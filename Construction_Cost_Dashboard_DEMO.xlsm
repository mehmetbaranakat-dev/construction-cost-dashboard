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1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1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1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8.xml" ContentType="application/vnd.openxmlformats-officedocument.drawing+xml"/>
  <Override PartName="/xl/ctrlProps/ctrlProp18.xml" ContentType="application/vnd.ms-excel.controlproperties+xml"/>
  <Override PartName="/xl/tables/table10.xml" ContentType="application/vnd.openxmlformats-officedocument.spreadsheetml.table+xml"/>
  <Override PartName="/xl/drawings/drawing19.xml" ContentType="application/vnd.openxmlformats-officedocument.drawing+xml"/>
  <Override PartName="/xl/ctrlProps/ctrlProp19.xml" ContentType="application/vnd.ms-excel.controlproperties+xml"/>
  <Override PartName="/xl/tables/table11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2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5.xml" ContentType="application/vnd.openxmlformats-officedocument.themeOverride+xml"/>
  <Override PartName="/xl/drawings/drawing22.xml" ContentType="application/vnd.openxmlformats-officedocument.drawing+xml"/>
  <Override PartName="/xl/ctrlProps/ctrlProp20.xml" ContentType="application/vnd.ms-excel.controlproperties+xml"/>
  <Override PartName="/xl/tables/table12.xml" ContentType="application/vnd.openxmlformats-officedocument.spreadsheetml.table+xml"/>
  <Override PartName="/xl/drawings/drawing23.xml" ContentType="application/vnd.openxmlformats-officedocument.drawing+xml"/>
  <Override PartName="/xl/tables/table13.xml" ContentType="application/vnd.openxmlformats-officedocument.spreadsheetml.table+xml"/>
  <Override PartName="/xl/drawings/drawing24.xml" ContentType="application/vnd.openxmlformats-officedocument.drawing+xml"/>
  <Override PartName="/xl/ctrlProps/ctrlProp21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25.xml" ContentType="application/vnd.openxmlformats-officedocument.drawing+xml"/>
  <Override PartName="/xl/tables/table2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xr:revisionPtr revIDLastSave="0" documentId="13_ncr:1_{18E5E7D1-3AFE-4C04-B395-5CAA3305AC2D}" xr6:coauthVersionLast="47" xr6:coauthVersionMax="47" xr10:uidLastSave="{00000000-0000-0000-0000-000000000000}"/>
  <bookViews>
    <workbookView xWindow="28680" yWindow="-120" windowWidth="29040" windowHeight="15720" tabRatio="806" firstSheet="1" activeTab="1" xr2:uid="{00000000-000D-0000-FFFF-FFFF00000000}"/>
  </bookViews>
  <sheets>
    <sheet name="Time" sheetId="6" state="hidden" r:id="rId1"/>
    <sheet name="DASHBOARD" sheetId="20" r:id="rId2"/>
    <sheet name="INVENTORY LIST" sheetId="24" state="hidden" r:id="rId3"/>
    <sheet name="SUPPLY CHAIN CHART" sheetId="34" state="hidden" r:id="rId4"/>
    <sheet name="ACTIVITY COSTS" sheetId="32" state="hidden" r:id="rId5"/>
    <sheet name="PRINCIPLE BASED" sheetId="27" state="hidden" r:id="rId6"/>
    <sheet name="PV Vs BESS" sheetId="30" state="hidden" r:id="rId7"/>
    <sheet name="HGV" sheetId="25" state="hidden" r:id="rId8"/>
    <sheet name="UI" sheetId="39" state="hidden" r:id="rId9"/>
    <sheet name="MAIN TABLE-1 AUTOMATED" sheetId="3" state="hidden" r:id="rId10"/>
    <sheet name="PIE CHART BESS PV" sheetId="31" state="hidden" r:id="rId11"/>
    <sheet name="MASTER LIST" sheetId="29" state="hidden" r:id="rId12"/>
    <sheet name="AUX. TABLE-2 MANUEL" sheetId="11" state="hidden" r:id="rId13"/>
    <sheet name="TABLE-3 HIRED EQUIPMENT" sheetId="12" state="hidden" r:id="rId14"/>
    <sheet name="CONTRACT TABLE-4 MANUAL" sheetId="22" state="hidden" r:id="rId15"/>
    <sheet name="Sheet4" sheetId="38" state="hidden" r:id="rId16"/>
    <sheet name="Append1" sheetId="21" state="hidden" r:id="rId17"/>
    <sheet name="PRICES" sheetId="5" state="hidden" r:id="rId18"/>
    <sheet name="HGVs Schedule" sheetId="16" state="hidden" r:id="rId19"/>
    <sheet name="CHART1- MATERIAL&amp;SERVICE BASED" sheetId="1" state="hidden" r:id="rId20"/>
    <sheet name="Sheet2" sheetId="33" state="hidden" r:id="rId21"/>
    <sheet name="CHART2-WORK BASED" sheetId="18" state="hidden" r:id="rId22"/>
    <sheet name="CHART3- PRINCIPLE BASED" sheetId="19" state="hidden" r:id="rId23"/>
    <sheet name="Sheet1" sheetId="36" state="hidden" r:id="rId24"/>
    <sheet name="Sheet3" sheetId="37" state="hidden" r:id="rId25"/>
    <sheet name="Delivery Report" sheetId="8" state="hidden" r:id="rId26"/>
    <sheet name="SUPPLIERS" sheetId="2" state="hidden" r:id="rId27"/>
    <sheet name="CATEGORY TABLES" sheetId="4" state="hidden" r:id="rId28"/>
    <sheet name="Version" sheetId="17" state="hidden" r:id="rId29"/>
  </sheets>
  <definedNames>
    <definedName name="_xleta.COS" hidden="1" xlm="1">#NAME?</definedName>
    <definedName name="_xleta.DATE" hidden="1" xlm="1">#NAME?</definedName>
    <definedName name="_xleta.IF" hidden="1" xlm="1">#NAME?</definedName>
    <definedName name="_xleta.MATCH" hidden="1" xlm="1">#NAME?</definedName>
    <definedName name="_xleta.MONTH" hidden="1" xlm="1">#NAME?</definedName>
    <definedName name="_xleta.NOT" hidden="1" xlm="1">#NAME?</definedName>
    <definedName name="_xleta.YEAR" hidden="1" xlm="1">#NAME?</definedName>
    <definedName name="ExternalData_1" localSheetId="16" hidden="1">Append1!$A$1:$D$2</definedName>
    <definedName name="ExternalData_1" localSheetId="2" hidden="1">'INVENTORY LIST'!$E$8:$F$9</definedName>
    <definedName name="ExternalData_1" localSheetId="11" hidden="1">'MASTER LIST'!$A$1:$M$197</definedName>
  </definedNames>
  <calcPr calcId="191029" calcMode="manual"/>
  <pivotCaches>
    <pivotCache cacheId="7" r:id="rId30"/>
    <pivotCache cacheId="11" r:id="rId31"/>
    <pivotCache cacheId="16" r:id="rId32"/>
    <pivotCache cacheId="21" r:id="rId3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1" l="1"/>
  <c r="R748" i="11"/>
  <c r="S748" i="11"/>
  <c r="S747" i="11"/>
  <c r="R747" i="11"/>
  <c r="S746" i="11"/>
  <c r="S745" i="11"/>
  <c r="R746" i="11"/>
  <c r="R745" i="11"/>
  <c r="S744" i="11"/>
  <c r="R744" i="11"/>
  <c r="S743" i="11"/>
  <c r="R743" i="11"/>
  <c r="S742" i="11"/>
  <c r="R742" i="11"/>
  <c r="S741" i="11"/>
  <c r="R741" i="11"/>
  <c r="P2316" i="3" a="1"/>
  <c r="P2316" i="3" s="1"/>
  <c r="Q2316" i="3"/>
  <c r="R2316" i="3" s="1"/>
  <c r="P2317" i="3" a="1"/>
  <c r="P2317" i="3" s="1"/>
  <c r="Q2317" i="3"/>
  <c r="R2317" i="3" s="1"/>
  <c r="P2318" i="3" a="1"/>
  <c r="P2318" i="3" s="1"/>
  <c r="Q2318" i="3"/>
  <c r="R2318" i="3"/>
  <c r="P2319" i="3" a="1"/>
  <c r="P2319" i="3" s="1"/>
  <c r="Q2319" i="3"/>
  <c r="R2319" i="3"/>
  <c r="P2320" i="3" a="1"/>
  <c r="P2320" i="3" s="1"/>
  <c r="Q2320" i="3"/>
  <c r="R2320" i="3"/>
  <c r="P2321" i="3" a="1"/>
  <c r="P2321" i="3"/>
  <c r="Q2321" i="3"/>
  <c r="R2321" i="3"/>
  <c r="P2322" i="3" a="1"/>
  <c r="P2322" i="3"/>
  <c r="Q2322" i="3"/>
  <c r="R2322" i="3"/>
  <c r="P2323" i="3" a="1"/>
  <c r="P2323" i="3" s="1"/>
  <c r="Q2323" i="3"/>
  <c r="R2323" i="3"/>
  <c r="P2313" i="3" a="1"/>
  <c r="P2313" i="3" s="1"/>
  <c r="Q2313" i="3"/>
  <c r="R2313" i="3" s="1"/>
  <c r="P2314" i="3" a="1"/>
  <c r="P2314" i="3" s="1"/>
  <c r="Q2314" i="3"/>
  <c r="R2314" i="3" s="1"/>
  <c r="S739" i="11"/>
  <c r="S738" i="11"/>
  <c r="S737" i="11"/>
  <c r="S736" i="11"/>
  <c r="S735" i="11"/>
  <c r="S734" i="11"/>
  <c r="S733" i="11"/>
  <c r="R739" i="11"/>
  <c r="R738" i="11"/>
  <c r="R737" i="11"/>
  <c r="R736" i="11"/>
  <c r="R735" i="11"/>
  <c r="R734" i="11"/>
  <c r="R733" i="11"/>
  <c r="S740" i="11"/>
  <c r="R740" i="11"/>
  <c r="S729" i="11"/>
  <c r="S730" i="11"/>
  <c r="S731" i="11"/>
  <c r="S732" i="11"/>
  <c r="R729" i="11"/>
  <c r="R730" i="11"/>
  <c r="R731" i="11"/>
  <c r="R732" i="1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Q2002" i="3"/>
  <c r="Q2003" i="3"/>
  <c r="Q2004" i="3"/>
  <c r="Q2005" i="3"/>
  <c r="Q2006" i="3"/>
  <c r="Q2007" i="3"/>
  <c r="Q2008" i="3"/>
  <c r="Q2009" i="3"/>
  <c r="Q2010" i="3"/>
  <c r="Q2011" i="3"/>
  <c r="Q2012" i="3"/>
  <c r="Q2013" i="3"/>
  <c r="Q2014" i="3"/>
  <c r="Q2015" i="3"/>
  <c r="Q2016" i="3"/>
  <c r="Q2017" i="3"/>
  <c r="Q2018" i="3"/>
  <c r="Q2019" i="3"/>
  <c r="Q2020" i="3"/>
  <c r="Q2021" i="3"/>
  <c r="Q2022" i="3"/>
  <c r="Q2023" i="3"/>
  <c r="Q2024" i="3"/>
  <c r="Q2025" i="3"/>
  <c r="Q2026" i="3"/>
  <c r="Q2027" i="3"/>
  <c r="Q2028" i="3"/>
  <c r="Q2029" i="3"/>
  <c r="Q2030" i="3"/>
  <c r="Q2031" i="3"/>
  <c r="Q2032" i="3"/>
  <c r="Q2033" i="3"/>
  <c r="Q2034" i="3"/>
  <c r="Q2035" i="3"/>
  <c r="Q2036" i="3"/>
  <c r="Q2037" i="3"/>
  <c r="Q2038" i="3"/>
  <c r="Q2039" i="3"/>
  <c r="Q2040" i="3"/>
  <c r="Q2041" i="3"/>
  <c r="Q2042" i="3"/>
  <c r="Q2043" i="3"/>
  <c r="Q2044" i="3"/>
  <c r="Q2045" i="3"/>
  <c r="Q2046" i="3"/>
  <c r="Q2047" i="3"/>
  <c r="Q2048" i="3"/>
  <c r="Q2049" i="3"/>
  <c r="Q2050" i="3"/>
  <c r="Q2051" i="3"/>
  <c r="Q2052" i="3"/>
  <c r="Q2053" i="3"/>
  <c r="Q2054" i="3"/>
  <c r="Q2055" i="3"/>
  <c r="Q2056" i="3"/>
  <c r="Q2057" i="3"/>
  <c r="Q2058" i="3"/>
  <c r="Q2059" i="3"/>
  <c r="Q2060" i="3"/>
  <c r="Q2061" i="3"/>
  <c r="Q2062" i="3"/>
  <c r="Q2063" i="3"/>
  <c r="Q2064" i="3"/>
  <c r="Q2065" i="3"/>
  <c r="Q2066" i="3"/>
  <c r="Q2067" i="3"/>
  <c r="Q2068" i="3"/>
  <c r="Q2069" i="3"/>
  <c r="Q2070" i="3"/>
  <c r="Q2071" i="3"/>
  <c r="Q2072" i="3"/>
  <c r="Q2073" i="3"/>
  <c r="Q2074" i="3"/>
  <c r="Q2075" i="3"/>
  <c r="Q2076" i="3"/>
  <c r="Q2077" i="3"/>
  <c r="Q2078" i="3"/>
  <c r="Q2079" i="3"/>
  <c r="Q2080" i="3"/>
  <c r="Q2081" i="3"/>
  <c r="Q2082" i="3"/>
  <c r="Q2083" i="3"/>
  <c r="Q2084" i="3"/>
  <c r="Q2085" i="3"/>
  <c r="Q2086" i="3"/>
  <c r="Q2087" i="3"/>
  <c r="Q2088" i="3"/>
  <c r="Q2089" i="3"/>
  <c r="Q2090" i="3"/>
  <c r="Q2091" i="3"/>
  <c r="Q2092" i="3"/>
  <c r="Q2093" i="3"/>
  <c r="Q2094" i="3"/>
  <c r="Q2095" i="3"/>
  <c r="Q2096" i="3"/>
  <c r="Q2097" i="3"/>
  <c r="Q2098" i="3"/>
  <c r="Q2099" i="3"/>
  <c r="Q2100" i="3"/>
  <c r="Q2101" i="3"/>
  <c r="Q2102" i="3"/>
  <c r="Q2103" i="3"/>
  <c r="Q2104" i="3"/>
  <c r="Q2105" i="3"/>
  <c r="Q2106" i="3"/>
  <c r="Q2107" i="3"/>
  <c r="Q2108" i="3"/>
  <c r="Q2109" i="3"/>
  <c r="Q2110" i="3"/>
  <c r="Q2111" i="3"/>
  <c r="Q2112" i="3"/>
  <c r="Q2113" i="3"/>
  <c r="Q2114" i="3"/>
  <c r="Q2115" i="3"/>
  <c r="Q2116" i="3"/>
  <c r="Q2117" i="3"/>
  <c r="Q2118" i="3"/>
  <c r="Q2119" i="3"/>
  <c r="Q2120" i="3"/>
  <c r="Q2121" i="3"/>
  <c r="Q2122" i="3"/>
  <c r="Q2123" i="3"/>
  <c r="Q2124" i="3"/>
  <c r="Q2125" i="3"/>
  <c r="Q2126" i="3"/>
  <c r="Q2127" i="3"/>
  <c r="Q2128" i="3"/>
  <c r="Q2129" i="3"/>
  <c r="Q2130" i="3"/>
  <c r="Q2131" i="3"/>
  <c r="Q2132" i="3"/>
  <c r="Q2133" i="3"/>
  <c r="Q2134" i="3"/>
  <c r="Q2135" i="3"/>
  <c r="Q2136" i="3"/>
  <c r="Q2137" i="3"/>
  <c r="Q2138" i="3"/>
  <c r="Q2139" i="3"/>
  <c r="Q2140" i="3"/>
  <c r="Q2141" i="3"/>
  <c r="Q2142" i="3"/>
  <c r="Q2143" i="3"/>
  <c r="Q2144" i="3"/>
  <c r="Q2145" i="3"/>
  <c r="Q2146" i="3"/>
  <c r="Q2147" i="3"/>
  <c r="Q2148" i="3"/>
  <c r="Q2149" i="3"/>
  <c r="Q2150" i="3"/>
  <c r="Q2151" i="3"/>
  <c r="Q2152" i="3"/>
  <c r="Q2153" i="3"/>
  <c r="Q2154" i="3"/>
  <c r="Q2155" i="3"/>
  <c r="Q2156" i="3"/>
  <c r="Q2157" i="3"/>
  <c r="Q2158" i="3"/>
  <c r="Q2159" i="3"/>
  <c r="Q2160" i="3"/>
  <c r="Q2161" i="3"/>
  <c r="Q2162" i="3"/>
  <c r="Q2163" i="3"/>
  <c r="Q2164" i="3"/>
  <c r="Q2165" i="3"/>
  <c r="Q2166" i="3"/>
  <c r="Q2167" i="3"/>
  <c r="Q2168" i="3"/>
  <c r="Q2169" i="3"/>
  <c r="Q2170" i="3"/>
  <c r="Q2171" i="3"/>
  <c r="Q2172" i="3"/>
  <c r="Q2173" i="3"/>
  <c r="Q2174" i="3"/>
  <c r="Q2175" i="3"/>
  <c r="Q2176" i="3"/>
  <c r="Q2177" i="3"/>
  <c r="Q2178" i="3"/>
  <c r="Q2179" i="3"/>
  <c r="Q2180" i="3"/>
  <c r="Q2181" i="3"/>
  <c r="Q2182" i="3"/>
  <c r="Q2183" i="3"/>
  <c r="Q2184" i="3"/>
  <c r="Q2185" i="3"/>
  <c r="Q2186" i="3"/>
  <c r="Q2187" i="3"/>
  <c r="Q2188" i="3"/>
  <c r="Q2189" i="3"/>
  <c r="Q2190" i="3"/>
  <c r="Q2191" i="3"/>
  <c r="Q2192" i="3"/>
  <c r="Q2193" i="3"/>
  <c r="Q2194" i="3"/>
  <c r="Q2195" i="3"/>
  <c r="Q2196" i="3"/>
  <c r="Q2197" i="3"/>
  <c r="Q2198" i="3"/>
  <c r="Q2199" i="3"/>
  <c r="Q2200" i="3"/>
  <c r="Q2201" i="3"/>
  <c r="Q2202" i="3"/>
  <c r="Q2203" i="3"/>
  <c r="Q2204" i="3"/>
  <c r="Q2205" i="3"/>
  <c r="Q2206" i="3"/>
  <c r="Q2207" i="3"/>
  <c r="Q2208" i="3"/>
  <c r="Q2209" i="3"/>
  <c r="Q2210" i="3"/>
  <c r="Q2211" i="3"/>
  <c r="Q2212" i="3"/>
  <c r="Q2213" i="3"/>
  <c r="Q2214" i="3"/>
  <c r="Q2215" i="3"/>
  <c r="Q2216" i="3"/>
  <c r="Q2217" i="3"/>
  <c r="Q2218" i="3"/>
  <c r="Q2219" i="3"/>
  <c r="Q2220" i="3"/>
  <c r="Q2221" i="3"/>
  <c r="Q2222" i="3"/>
  <c r="Q2223" i="3"/>
  <c r="Q2224" i="3"/>
  <c r="Q2225" i="3"/>
  <c r="Q2226" i="3"/>
  <c r="Q2227" i="3"/>
  <c r="Q2228" i="3"/>
  <c r="Q2229" i="3"/>
  <c r="Q2230" i="3"/>
  <c r="Q2231" i="3"/>
  <c r="Q2232" i="3"/>
  <c r="Q2233" i="3"/>
  <c r="Q2234" i="3"/>
  <c r="Q2235" i="3"/>
  <c r="Q2236" i="3"/>
  <c r="Q2237" i="3"/>
  <c r="Q2238" i="3"/>
  <c r="Q2239" i="3"/>
  <c r="Q2240" i="3"/>
  <c r="Q2241" i="3"/>
  <c r="Q2242" i="3"/>
  <c r="Q2243" i="3"/>
  <c r="Q2244" i="3"/>
  <c r="Q2245" i="3"/>
  <c r="Q2246" i="3"/>
  <c r="Q2247" i="3"/>
  <c r="Q2248" i="3"/>
  <c r="Q2249" i="3"/>
  <c r="Q2250" i="3"/>
  <c r="Q2251" i="3"/>
  <c r="Q2252" i="3"/>
  <c r="Q2253" i="3"/>
  <c r="Q2254" i="3"/>
  <c r="Q2255" i="3"/>
  <c r="Q2256" i="3"/>
  <c r="Q2257" i="3"/>
  <c r="Q2258" i="3"/>
  <c r="Q2259" i="3"/>
  <c r="Q2260" i="3"/>
  <c r="Q2261" i="3"/>
  <c r="Q2262" i="3"/>
  <c r="Q2263" i="3"/>
  <c r="Q2264" i="3"/>
  <c r="Q2265" i="3"/>
  <c r="Q2266" i="3"/>
  <c r="Q2267" i="3"/>
  <c r="Q2268" i="3"/>
  <c r="Q2269" i="3"/>
  <c r="Q2270" i="3"/>
  <c r="Q2271" i="3"/>
  <c r="Q2272" i="3"/>
  <c r="Q2273" i="3"/>
  <c r="Q2274" i="3"/>
  <c r="Q2275" i="3"/>
  <c r="Q2276" i="3"/>
  <c r="Q2277" i="3"/>
  <c r="Q2278" i="3"/>
  <c r="Q2279" i="3"/>
  <c r="Q2280" i="3"/>
  <c r="Q2281" i="3"/>
  <c r="Q2282" i="3"/>
  <c r="Q2283" i="3"/>
  <c r="Q2284" i="3"/>
  <c r="Q2285" i="3"/>
  <c r="Q2286" i="3"/>
  <c r="Q2287" i="3"/>
  <c r="Q2288" i="3"/>
  <c r="Q2289" i="3"/>
  <c r="Q2290" i="3"/>
  <c r="Q2291" i="3"/>
  <c r="Q2292" i="3"/>
  <c r="Q2293" i="3"/>
  <c r="Q2294" i="3"/>
  <c r="Q2295" i="3"/>
  <c r="Q2296" i="3"/>
  <c r="Q2297" i="3"/>
  <c r="Q2298" i="3"/>
  <c r="Q2299" i="3"/>
  <c r="Q2300" i="3"/>
  <c r="Q2301" i="3"/>
  <c r="Q2302" i="3"/>
  <c r="Q2303" i="3"/>
  <c r="Q2304" i="3"/>
  <c r="Q2305" i="3"/>
  <c r="Q2306" i="3"/>
  <c r="Q2307" i="3"/>
  <c r="Q2308" i="3"/>
  <c r="Q2309" i="3"/>
  <c r="Q2310" i="3"/>
  <c r="Q2311" i="3"/>
  <c r="Q2312" i="3"/>
  <c r="Q2315" i="3"/>
  <c r="Q2324" i="3"/>
  <c r="Q2325" i="3"/>
  <c r="Q2326" i="3"/>
  <c r="Q2327" i="3"/>
  <c r="Q2328" i="3"/>
  <c r="Q2329" i="3"/>
  <c r="Q2330" i="3"/>
  <c r="Q2331" i="3"/>
  <c r="Q2332" i="3"/>
  <c r="Q2333" i="3"/>
  <c r="Q2334" i="3"/>
  <c r="Q2335" i="3"/>
  <c r="Q2336" i="3"/>
  <c r="Q2337" i="3"/>
  <c r="Q2338" i="3"/>
  <c r="Q2339" i="3"/>
  <c r="Q2340" i="3"/>
  <c r="Q2341" i="3"/>
  <c r="Q2342" i="3"/>
  <c r="Q2343" i="3"/>
  <c r="Q2344" i="3"/>
  <c r="Q2345" i="3"/>
  <c r="Q2346" i="3"/>
  <c r="Q2347" i="3"/>
  <c r="Q2348" i="3"/>
  <c r="Q2349" i="3"/>
  <c r="Q2350" i="3"/>
  <c r="Q2351" i="3"/>
  <c r="Q2352" i="3"/>
  <c r="Q2353" i="3"/>
  <c r="Q2354" i="3"/>
  <c r="Q2355" i="3"/>
  <c r="Q2356" i="3"/>
  <c r="Q2357" i="3"/>
  <c r="Q2358" i="3"/>
  <c r="Q2359" i="3"/>
  <c r="Q2360" i="3"/>
  <c r="Q2361" i="3"/>
  <c r="Q2362" i="3"/>
  <c r="Q2363" i="3"/>
  <c r="Q2364" i="3"/>
  <c r="Q2365" i="3"/>
  <c r="Q2366" i="3"/>
  <c r="Q2367" i="3"/>
  <c r="Q2368" i="3"/>
  <c r="Q2369" i="3"/>
  <c r="Q2370" i="3"/>
  <c r="Q2371" i="3"/>
  <c r="Q2372" i="3"/>
  <c r="Q2373" i="3"/>
  <c r="Q2374" i="3"/>
  <c r="Q2375" i="3"/>
  <c r="Q2376" i="3"/>
  <c r="Q2377" i="3"/>
  <c r="Q2378" i="3"/>
  <c r="Q2379" i="3"/>
  <c r="Q2380" i="3"/>
  <c r="Q2381" i="3"/>
  <c r="Q2382" i="3"/>
  <c r="Q2383" i="3"/>
  <c r="Q2384" i="3"/>
  <c r="Q2385" i="3"/>
  <c r="Q2386" i="3"/>
  <c r="Q2387" i="3"/>
  <c r="Q2388" i="3"/>
  <c r="Q2389" i="3"/>
  <c r="Q2390" i="3"/>
  <c r="Q2391" i="3"/>
  <c r="Q2392" i="3"/>
  <c r="Q2393" i="3"/>
  <c r="Q2394" i="3"/>
  <c r="Q2395" i="3"/>
  <c r="Q2396" i="3"/>
  <c r="Q2397" i="3"/>
  <c r="Q2398" i="3"/>
  <c r="Q2399" i="3"/>
  <c r="Q2400" i="3"/>
  <c r="Q2401" i="3"/>
  <c r="Q2402" i="3"/>
  <c r="Q2403" i="3"/>
  <c r="Q2404" i="3"/>
  <c r="Q2405" i="3"/>
  <c r="Q2406" i="3"/>
  <c r="Q2407" i="3"/>
  <c r="Q2408" i="3"/>
  <c r="Q2409" i="3"/>
  <c r="Q2410" i="3"/>
  <c r="Q2411" i="3"/>
  <c r="Q2412" i="3"/>
  <c r="Q2413" i="3"/>
  <c r="Q2414" i="3"/>
  <c r="Q2415" i="3"/>
  <c r="Q2416" i="3"/>
  <c r="Q2417" i="3"/>
  <c r="Q2418" i="3"/>
  <c r="Q2419" i="3"/>
  <c r="Q2420" i="3"/>
  <c r="Q2421" i="3"/>
  <c r="Q2422" i="3"/>
  <c r="Q2423" i="3"/>
  <c r="Q2424" i="3"/>
  <c r="Q2425" i="3"/>
  <c r="Q2426" i="3"/>
  <c r="Q2427" i="3"/>
  <c r="Q2428" i="3"/>
  <c r="Q2429" i="3"/>
  <c r="Q2430" i="3"/>
  <c r="Q2431" i="3"/>
  <c r="Q2432" i="3"/>
  <c r="Q2433" i="3"/>
  <c r="Q2434" i="3"/>
  <c r="Q2435" i="3"/>
  <c r="Q2436" i="3"/>
  <c r="Q2437" i="3"/>
  <c r="Q2438" i="3"/>
  <c r="Q2439" i="3"/>
  <c r="Q2440" i="3"/>
  <c r="Q2441" i="3"/>
  <c r="Q2442" i="3"/>
  <c r="Q2443" i="3"/>
  <c r="Q2444" i="3"/>
  <c r="Q2445" i="3"/>
  <c r="Q2446" i="3"/>
  <c r="Q2447" i="3"/>
  <c r="Q2448" i="3"/>
  <c r="Q2449" i="3"/>
  <c r="Q2450" i="3"/>
  <c r="Q2451" i="3"/>
  <c r="Q2452" i="3"/>
  <c r="Q2453" i="3"/>
  <c r="Q2454" i="3"/>
  <c r="Q2455" i="3"/>
  <c r="Q2456" i="3"/>
  <c r="Q2457" i="3"/>
  <c r="Q2458" i="3"/>
  <c r="Q2459" i="3"/>
  <c r="Q2460" i="3"/>
  <c r="Q2461" i="3"/>
  <c r="Q2462" i="3"/>
  <c r="Q2463" i="3"/>
  <c r="Q2464" i="3"/>
  <c r="Q2465" i="3"/>
  <c r="Q2466" i="3"/>
  <c r="Q2467" i="3"/>
  <c r="Q2468" i="3"/>
  <c r="Q2469" i="3"/>
  <c r="Q2470" i="3"/>
  <c r="Q2471" i="3"/>
  <c r="Q2472" i="3"/>
  <c r="Q2473" i="3"/>
  <c r="Q2474" i="3"/>
  <c r="Q2475" i="3"/>
  <c r="Q2476" i="3"/>
  <c r="Q2477" i="3"/>
  <c r="Q2478" i="3"/>
  <c r="Q2479" i="3"/>
  <c r="Q2480" i="3"/>
  <c r="Q2481" i="3"/>
  <c r="Q2482" i="3"/>
  <c r="Q2483" i="3"/>
  <c r="Q2484" i="3"/>
  <c r="Q2485" i="3"/>
  <c r="Q2486" i="3"/>
  <c r="Q2487" i="3"/>
  <c r="Q2488" i="3"/>
  <c r="Q2489" i="3"/>
  <c r="Q2490" i="3"/>
  <c r="Q2491" i="3"/>
  <c r="Q2492" i="3"/>
  <c r="Q2493" i="3"/>
  <c r="Q2494" i="3"/>
  <c r="Q2495" i="3"/>
  <c r="Q2496" i="3"/>
  <c r="Q2497" i="3"/>
  <c r="Q2498" i="3"/>
  <c r="Q2499" i="3"/>
  <c r="Q2500" i="3"/>
  <c r="Q2501" i="3"/>
  <c r="Q2502" i="3"/>
  <c r="Q2503" i="3"/>
  <c r="Q2504" i="3"/>
  <c r="Q2505" i="3"/>
  <c r="Q2506" i="3"/>
  <c r="Q2507" i="3"/>
  <c r="Q2508" i="3"/>
  <c r="Q2509" i="3"/>
  <c r="Q2510" i="3"/>
  <c r="Q2511" i="3"/>
  <c r="Q2512" i="3"/>
  <c r="Q2513" i="3"/>
  <c r="Q2514" i="3"/>
  <c r="Q2515" i="3"/>
  <c r="Q2516" i="3"/>
  <c r="Q2517" i="3"/>
  <c r="Q2518" i="3"/>
  <c r="Q2519" i="3"/>
  <c r="Q2520" i="3"/>
  <c r="Q2521" i="3"/>
  <c r="Q2522" i="3"/>
  <c r="Q2523" i="3"/>
  <c r="Q2524" i="3"/>
  <c r="Q2525" i="3"/>
  <c r="Q2526" i="3"/>
  <c r="Q2527" i="3"/>
  <c r="Q2528" i="3"/>
  <c r="Q2529" i="3"/>
  <c r="Q2530" i="3"/>
  <c r="Q2531" i="3"/>
  <c r="Q2532" i="3"/>
  <c r="Q2533" i="3"/>
  <c r="Q2534" i="3"/>
  <c r="Q2535" i="3"/>
  <c r="Q2536" i="3"/>
  <c r="Q2537" i="3"/>
  <c r="Q2538" i="3"/>
  <c r="Q2539" i="3"/>
  <c r="Q2540" i="3"/>
  <c r="Q2541" i="3"/>
  <c r="Q2542" i="3"/>
  <c r="Q2543" i="3"/>
  <c r="Q2544" i="3"/>
  <c r="Q2545" i="3"/>
  <c r="Q2546" i="3"/>
  <c r="Q2547" i="3"/>
  <c r="Q2548" i="3"/>
  <c r="Q2549" i="3"/>
  <c r="Q2550" i="3"/>
  <c r="Q2551" i="3"/>
  <c r="Q2552" i="3"/>
  <c r="Q2553" i="3"/>
  <c r="Q2554" i="3"/>
  <c r="Q2555" i="3"/>
  <c r="Q2556" i="3"/>
  <c r="Q2557" i="3"/>
  <c r="Q2558" i="3"/>
  <c r="Q2559" i="3"/>
  <c r="Q2560" i="3"/>
  <c r="Q2561" i="3"/>
  <c r="Q2562" i="3"/>
  <c r="Q2563" i="3"/>
  <c r="Q2564" i="3"/>
  <c r="Q2565" i="3"/>
  <c r="Q2566" i="3"/>
  <c r="Q2567" i="3"/>
  <c r="Q2568" i="3"/>
  <c r="Q2569" i="3"/>
  <c r="Q2570" i="3"/>
  <c r="Q2571" i="3"/>
  <c r="Q2572" i="3"/>
  <c r="Q2573" i="3"/>
  <c r="Q2574" i="3"/>
  <c r="Q2575" i="3"/>
  <c r="Q2576" i="3"/>
  <c r="Q2577" i="3"/>
  <c r="Q2578" i="3"/>
  <c r="Q2579" i="3"/>
  <c r="Q2580" i="3"/>
  <c r="Q2581" i="3"/>
  <c r="Q2582" i="3"/>
  <c r="Q2583" i="3"/>
  <c r="Q2584" i="3"/>
  <c r="Q2585" i="3"/>
  <c r="Q2586" i="3"/>
  <c r="Q2587" i="3"/>
  <c r="Q2588" i="3"/>
  <c r="Q2589" i="3"/>
  <c r="Q2590" i="3"/>
  <c r="Q2591" i="3"/>
  <c r="Q2592" i="3"/>
  <c r="Q2593" i="3"/>
  <c r="Q2594" i="3"/>
  <c r="Q2595" i="3"/>
  <c r="Q2596" i="3"/>
  <c r="Q2597" i="3"/>
  <c r="Q2598" i="3"/>
  <c r="Q2599" i="3"/>
  <c r="Q2600" i="3"/>
  <c r="Q2601" i="3"/>
  <c r="Q2602" i="3"/>
  <c r="Q2603" i="3"/>
  <c r="Q2604" i="3"/>
  <c r="Q2605" i="3"/>
  <c r="Q2606" i="3"/>
  <c r="Q2607" i="3"/>
  <c r="Q2608" i="3"/>
  <c r="Q2609" i="3"/>
  <c r="Q2610" i="3"/>
  <c r="Q2611" i="3"/>
  <c r="Q2612" i="3"/>
  <c r="Q2613" i="3"/>
  <c r="Q2614" i="3"/>
  <c r="Q2615" i="3"/>
  <c r="Q2616" i="3"/>
  <c r="Q2617" i="3"/>
  <c r="Q2618" i="3"/>
  <c r="Q2619" i="3"/>
  <c r="Q2620" i="3"/>
  <c r="Q2621" i="3"/>
  <c r="Q2622" i="3"/>
  <c r="Q2623" i="3"/>
  <c r="Q2624" i="3"/>
  <c r="Q2625" i="3"/>
  <c r="Q2626" i="3"/>
  <c r="Q2627" i="3"/>
  <c r="Q2628" i="3"/>
  <c r="Q2629" i="3"/>
  <c r="Q2630" i="3"/>
  <c r="Q2631" i="3"/>
  <c r="Q2632" i="3"/>
  <c r="Q2633" i="3"/>
  <c r="Q2634" i="3"/>
  <c r="Q2635" i="3"/>
  <c r="Q2636" i="3"/>
  <c r="Q2637" i="3"/>
  <c r="Q2638" i="3"/>
  <c r="Q2639" i="3"/>
  <c r="Q2640" i="3"/>
  <c r="Q2641" i="3"/>
  <c r="Q2642" i="3"/>
  <c r="Q2643" i="3"/>
  <c r="Q2644" i="3"/>
  <c r="Q2645" i="3"/>
  <c r="Q2646" i="3"/>
  <c r="Q2647" i="3"/>
  <c r="Q2648" i="3"/>
  <c r="Q2649" i="3"/>
  <c r="Q2650" i="3"/>
  <c r="Q2651" i="3"/>
  <c r="Q2652" i="3"/>
  <c r="Q2653" i="3"/>
  <c r="Q2654" i="3"/>
  <c r="Q2655" i="3"/>
  <c r="Q2656" i="3"/>
  <c r="Q2657" i="3"/>
  <c r="Q2658" i="3"/>
  <c r="Q2659" i="3"/>
  <c r="Q2660" i="3"/>
  <c r="Q2661" i="3"/>
  <c r="Q2662" i="3"/>
  <c r="Q2663" i="3"/>
  <c r="Q2664" i="3"/>
  <c r="Q2665" i="3"/>
  <c r="Q2666" i="3"/>
  <c r="Q2667" i="3"/>
  <c r="Q2668" i="3"/>
  <c r="Q2669" i="3"/>
  <c r="Q2670" i="3"/>
  <c r="Q2671" i="3"/>
  <c r="Q2672" i="3"/>
  <c r="Q2673" i="3"/>
  <c r="Q2674" i="3"/>
  <c r="Q2675" i="3"/>
  <c r="Q2676" i="3"/>
  <c r="Q2677" i="3"/>
  <c r="Q2678" i="3"/>
  <c r="Q2679" i="3"/>
  <c r="Q2680" i="3"/>
  <c r="Q2681" i="3"/>
  <c r="Q2682" i="3"/>
  <c r="Q2683" i="3"/>
  <c r="Q2684" i="3"/>
  <c r="Q2685" i="3"/>
  <c r="Q2686" i="3"/>
  <c r="Q2687" i="3"/>
  <c r="Q2688" i="3"/>
  <c r="Q2689" i="3"/>
  <c r="Q2690" i="3"/>
  <c r="Q2691" i="3"/>
  <c r="Q2692" i="3"/>
  <c r="Q2693" i="3"/>
  <c r="Q2694" i="3"/>
  <c r="Q2695" i="3"/>
  <c r="Q2696" i="3"/>
  <c r="Q2697" i="3"/>
  <c r="Q2698" i="3"/>
  <c r="Q2699" i="3"/>
  <c r="Q2700" i="3"/>
  <c r="Q2701" i="3"/>
  <c r="Q2702" i="3"/>
  <c r="Q2703" i="3"/>
  <c r="Q2704" i="3"/>
  <c r="Q2705" i="3"/>
  <c r="Q2706" i="3"/>
  <c r="Q2707" i="3"/>
  <c r="Q2708" i="3"/>
  <c r="Q2709" i="3"/>
  <c r="Q2710" i="3"/>
  <c r="Q2711" i="3"/>
  <c r="Q2712" i="3"/>
  <c r="Q2713" i="3"/>
  <c r="Q2714" i="3"/>
  <c r="Q2715" i="3"/>
  <c r="Q2716" i="3"/>
  <c r="Q2717" i="3"/>
  <c r="Q2718" i="3"/>
  <c r="Q2719" i="3"/>
  <c r="Q2720" i="3"/>
  <c r="Q2721" i="3"/>
  <c r="Q2722" i="3"/>
  <c r="Q2723" i="3"/>
  <c r="Q2724" i="3"/>
  <c r="Q2725" i="3"/>
  <c r="Q2726" i="3"/>
  <c r="Q2727" i="3"/>
  <c r="Q2728" i="3"/>
  <c r="Q2729" i="3"/>
  <c r="Q2730" i="3"/>
  <c r="Q2731" i="3"/>
  <c r="Q2732" i="3"/>
  <c r="Q2733" i="3"/>
  <c r="Q2734" i="3"/>
  <c r="Q2735" i="3"/>
  <c r="Q2736" i="3"/>
  <c r="Q2737" i="3"/>
  <c r="Q2738" i="3"/>
  <c r="Q2739" i="3"/>
  <c r="Q2740" i="3"/>
  <c r="Q2741" i="3"/>
  <c r="Q2742" i="3"/>
  <c r="Q2743" i="3"/>
  <c r="Q2744" i="3"/>
  <c r="Q2745" i="3"/>
  <c r="Q2746" i="3"/>
  <c r="Q2747" i="3"/>
  <c r="Q2748" i="3"/>
  <c r="Q2749" i="3"/>
  <c r="Q2750" i="3"/>
  <c r="Q2751" i="3"/>
  <c r="Q2752" i="3"/>
  <c r="Q2753" i="3"/>
  <c r="Q2754" i="3"/>
  <c r="Q2755" i="3"/>
  <c r="Q2756" i="3"/>
  <c r="Q2757" i="3"/>
  <c r="Q2758" i="3"/>
  <c r="Q2759" i="3"/>
  <c r="Q2760" i="3"/>
  <c r="Q2761" i="3"/>
  <c r="Q2762" i="3"/>
  <c r="Q2763" i="3"/>
  <c r="Q2764" i="3"/>
  <c r="Q2765" i="3"/>
  <c r="Q2766" i="3"/>
  <c r="Q2767" i="3"/>
  <c r="Q2768" i="3"/>
  <c r="Q2769" i="3"/>
  <c r="Q2770" i="3"/>
  <c r="Q2771" i="3"/>
  <c r="Q2772" i="3"/>
  <c r="Q2773" i="3"/>
  <c r="Q2774" i="3"/>
  <c r="Q2775" i="3"/>
  <c r="Q2776" i="3"/>
  <c r="Q2777" i="3"/>
  <c r="Q2778" i="3"/>
  <c r="Q2779" i="3"/>
  <c r="Q2780" i="3"/>
  <c r="Q2781" i="3"/>
  <c r="Q2782" i="3"/>
  <c r="Q2783" i="3"/>
  <c r="Q2784" i="3"/>
  <c r="Q2785" i="3"/>
  <c r="Q2786" i="3"/>
  <c r="Q2787" i="3"/>
  <c r="Q2788" i="3"/>
  <c r="Q2789" i="3"/>
  <c r="Q2790" i="3"/>
  <c r="Q2791" i="3"/>
  <c r="Q2792" i="3"/>
  <c r="Q2793" i="3"/>
  <c r="Q2794" i="3"/>
  <c r="Q2795" i="3"/>
  <c r="Q2796" i="3"/>
  <c r="Q2797" i="3"/>
  <c r="Q2798" i="3"/>
  <c r="Q2799" i="3"/>
  <c r="Q2800" i="3"/>
  <c r="Q2801" i="3"/>
  <c r="Q2802" i="3"/>
  <c r="Q2803" i="3"/>
  <c r="Q2804" i="3"/>
  <c r="Q2805" i="3"/>
  <c r="Q2806" i="3"/>
  <c r="Q2807" i="3"/>
  <c r="Q2808" i="3"/>
  <c r="Q2809" i="3"/>
  <c r="Q2810" i="3"/>
  <c r="Q2811" i="3"/>
  <c r="Q2812" i="3"/>
  <c r="Q2813" i="3"/>
  <c r="Q2814" i="3"/>
  <c r="Q2815" i="3"/>
  <c r="Q2816" i="3"/>
  <c r="Q2817" i="3"/>
  <c r="Q2818" i="3"/>
  <c r="Q2819" i="3"/>
  <c r="Q2820" i="3"/>
  <c r="Q2821" i="3"/>
  <c r="Q2822" i="3"/>
  <c r="Q2823" i="3"/>
  <c r="Q2824" i="3"/>
  <c r="Q2825" i="3"/>
  <c r="Q2826" i="3"/>
  <c r="Q2827" i="3"/>
  <c r="Q2828" i="3"/>
  <c r="Q2829" i="3"/>
  <c r="Q2830" i="3"/>
  <c r="Q2831" i="3"/>
  <c r="Q2832" i="3"/>
  <c r="Q2833" i="3"/>
  <c r="Q2834" i="3"/>
  <c r="Q2835" i="3"/>
  <c r="Q2836" i="3"/>
  <c r="Q2837" i="3"/>
  <c r="Q2838" i="3"/>
  <c r="Q2839" i="3"/>
  <c r="Q2840" i="3"/>
  <c r="Q2841" i="3"/>
  <c r="Q2842" i="3"/>
  <c r="Q2843" i="3"/>
  <c r="Q2844" i="3"/>
  <c r="Q2845" i="3"/>
  <c r="Q2846" i="3"/>
  <c r="Q2847" i="3"/>
  <c r="Q2848" i="3"/>
  <c r="Q2849" i="3"/>
  <c r="Q2850" i="3"/>
  <c r="Q2851" i="3"/>
  <c r="Q2852" i="3"/>
  <c r="Q2853" i="3"/>
  <c r="Q2854" i="3"/>
  <c r="Q2855" i="3"/>
  <c r="Q2856" i="3"/>
  <c r="Q2857" i="3"/>
  <c r="Q2858" i="3"/>
  <c r="Q2859" i="3"/>
  <c r="Q2860" i="3"/>
  <c r="Q2861" i="3"/>
  <c r="Q2862" i="3"/>
  <c r="Q2863" i="3"/>
  <c r="Q2864" i="3"/>
  <c r="Q2865" i="3"/>
  <c r="Q2866" i="3"/>
  <c r="Q2867" i="3"/>
  <c r="Q2868" i="3"/>
  <c r="Q2869" i="3"/>
  <c r="Q2870" i="3"/>
  <c r="Q2871" i="3"/>
  <c r="Q2872" i="3"/>
  <c r="Q2873" i="3"/>
  <c r="Q2874" i="3"/>
  <c r="Q2875" i="3"/>
  <c r="Q2876" i="3"/>
  <c r="Q2877" i="3"/>
  <c r="Q2878" i="3"/>
  <c r="Q2879" i="3"/>
  <c r="Q2880" i="3"/>
  <c r="Q2881" i="3"/>
  <c r="Q2882" i="3"/>
  <c r="Q2883" i="3"/>
  <c r="Q2884" i="3"/>
  <c r="Q2885" i="3"/>
  <c r="Q2886" i="3"/>
  <c r="Q2887" i="3"/>
  <c r="Q2888" i="3"/>
  <c r="Q2889" i="3"/>
  <c r="Q2890" i="3"/>
  <c r="Q2891" i="3"/>
  <c r="Q2892" i="3"/>
  <c r="Q2893" i="3"/>
  <c r="Q2894" i="3"/>
  <c r="Q2895" i="3"/>
  <c r="Q2896" i="3"/>
  <c r="Q2897" i="3"/>
  <c r="Q2898" i="3"/>
  <c r="Q2899" i="3"/>
  <c r="Q2900" i="3"/>
  <c r="Q2901" i="3"/>
  <c r="Q2902" i="3"/>
  <c r="Q2903" i="3"/>
  <c r="Q2904" i="3"/>
  <c r="Q2905" i="3"/>
  <c r="Q2906" i="3"/>
  <c r="Q2907" i="3"/>
  <c r="Q2908" i="3"/>
  <c r="Q2909" i="3"/>
  <c r="Q2910" i="3"/>
  <c r="Q2911" i="3"/>
  <c r="Q2912" i="3"/>
  <c r="Q2913" i="3"/>
  <c r="Q2914" i="3"/>
  <c r="Q2915" i="3"/>
  <c r="Q2916" i="3"/>
  <c r="Q2917" i="3"/>
  <c r="Q2918" i="3"/>
  <c r="Q2919" i="3"/>
  <c r="Q2920" i="3"/>
  <c r="Q2921" i="3"/>
  <c r="Q2922" i="3"/>
  <c r="Q2923" i="3"/>
  <c r="Q2924" i="3"/>
  <c r="Q2925" i="3"/>
  <c r="Q2926" i="3"/>
  <c r="Q2927" i="3"/>
  <c r="Q2928" i="3"/>
  <c r="Q2929" i="3"/>
  <c r="Q2930" i="3"/>
  <c r="Q2931" i="3"/>
  <c r="Q2932" i="3"/>
  <c r="Q2933" i="3"/>
  <c r="Q2934" i="3"/>
  <c r="Q2935" i="3"/>
  <c r="Q2936" i="3"/>
  <c r="Q2937" i="3"/>
  <c r="Q2938" i="3"/>
  <c r="Q2939" i="3"/>
  <c r="Q2940" i="3"/>
  <c r="Q2941" i="3"/>
  <c r="Q2942" i="3"/>
  <c r="Q2943" i="3"/>
  <c r="Q2944" i="3"/>
  <c r="Q2945" i="3"/>
  <c r="Q2946" i="3"/>
  <c r="Q2947" i="3"/>
  <c r="Q2948" i="3"/>
  <c r="Q2949" i="3"/>
  <c r="Q2950" i="3"/>
  <c r="Q2951" i="3"/>
  <c r="Q2952" i="3"/>
  <c r="Q2953" i="3"/>
  <c r="Q2954" i="3"/>
  <c r="Q2955" i="3"/>
  <c r="Q2956" i="3"/>
  <c r="Q2957" i="3"/>
  <c r="Q2958" i="3"/>
  <c r="Q2959" i="3"/>
  <c r="Q2960" i="3"/>
  <c r="Q2961" i="3"/>
  <c r="Q2962" i="3"/>
  <c r="Q2963" i="3"/>
  <c r="Q2964" i="3"/>
  <c r="Q2965" i="3"/>
  <c r="Q2966" i="3"/>
  <c r="Q2967" i="3"/>
  <c r="Q2968" i="3"/>
  <c r="Q2969" i="3"/>
  <c r="Q2970" i="3"/>
  <c r="Q2971" i="3"/>
  <c r="Q2972" i="3"/>
  <c r="Q2973" i="3"/>
  <c r="Q2974" i="3"/>
  <c r="Q2975" i="3"/>
  <c r="Q2976" i="3"/>
  <c r="Q2977" i="3"/>
  <c r="Q2978" i="3"/>
  <c r="Q2979" i="3"/>
  <c r="Q2980" i="3"/>
  <c r="Q2981" i="3"/>
  <c r="Q2982" i="3"/>
  <c r="Q2983" i="3"/>
  <c r="Q2984" i="3"/>
  <c r="Q2985" i="3"/>
  <c r="Q2986" i="3"/>
  <c r="Q2987" i="3"/>
  <c r="Q2988" i="3"/>
  <c r="Q2989" i="3"/>
  <c r="Q2990" i="3"/>
  <c r="Q2991" i="3"/>
  <c r="Q2992" i="3"/>
  <c r="Q2993" i="3"/>
  <c r="Q2994" i="3"/>
  <c r="Q2995" i="3"/>
  <c r="Q2996" i="3"/>
  <c r="Q2997" i="3"/>
  <c r="Q2998" i="3"/>
  <c r="Q2999" i="3"/>
  <c r="Q3000" i="3"/>
  <c r="P2232" i="3" a="1"/>
  <c r="P2232" i="3" s="1"/>
  <c r="V3001" i="3" l="1"/>
  <c r="W3001" i="3"/>
  <c r="X3001" i="3"/>
  <c r="S728" i="11"/>
  <c r="R728" i="11"/>
  <c r="P2301" i="3" a="1"/>
  <c r="P2301" i="3" s="1"/>
  <c r="R2301" i="3"/>
  <c r="V2301" i="3"/>
  <c r="W2301" i="3"/>
  <c r="S727" i="11"/>
  <c r="R727" i="11"/>
  <c r="P2292" i="3" a="1"/>
  <c r="P2292" i="3" s="1"/>
  <c r="P2293" i="3" a="1"/>
  <c r="P2293" i="3" s="1"/>
  <c r="P2294" i="3" a="1"/>
  <c r="P2294" i="3" s="1"/>
  <c r="P2295" i="3" a="1"/>
  <c r="P2295" i="3" s="1"/>
  <c r="P2296" i="3" a="1"/>
  <c r="P2296" i="3" s="1"/>
  <c r="P2297" i="3" a="1"/>
  <c r="P2297" i="3" s="1"/>
  <c r="P2298" i="3" a="1"/>
  <c r="P2298" i="3" s="1"/>
  <c r="P2299" i="3" a="1"/>
  <c r="P2299" i="3" s="1"/>
  <c r="P2300" i="3" a="1"/>
  <c r="P2300" i="3" s="1"/>
  <c r="P2302" i="3" a="1"/>
  <c r="P2302" i="3" s="1"/>
  <c r="P2303" i="3" a="1"/>
  <c r="P2303" i="3" s="1"/>
  <c r="P2304" i="3" a="1"/>
  <c r="P2304" i="3" s="1"/>
  <c r="P2305" i="3" a="1"/>
  <c r="P2305" i="3" s="1"/>
  <c r="P2306" i="3" a="1"/>
  <c r="P2306" i="3" s="1"/>
  <c r="P2307" i="3" a="1"/>
  <c r="P2307" i="3" s="1"/>
  <c r="P2308" i="3" a="1"/>
  <c r="P2308" i="3" s="1"/>
  <c r="P2309" i="3" a="1"/>
  <c r="P2309" i="3" s="1"/>
  <c r="P2310" i="3" a="1"/>
  <c r="P2310" i="3" s="1"/>
  <c r="P2311" i="3" a="1"/>
  <c r="P2311" i="3" s="1"/>
  <c r="P2312" i="3" a="1"/>
  <c r="P2312" i="3" s="1"/>
  <c r="S726" i="11"/>
  <c r="R726" i="11"/>
  <c r="W128" i="12" a="1"/>
  <c r="W128" i="12" s="1"/>
  <c r="S725" i="11"/>
  <c r="S724" i="11"/>
  <c r="R725" i="11"/>
  <c r="R724" i="11"/>
  <c r="R723" i="11"/>
  <c r="R722" i="11"/>
  <c r="R721" i="11"/>
  <c r="R720" i="11"/>
  <c r="S723" i="11"/>
  <c r="S722" i="11"/>
  <c r="S721" i="11"/>
  <c r="S720" i="11"/>
  <c r="S719" i="11"/>
  <c r="S718" i="11"/>
  <c r="S717" i="11"/>
  <c r="S716" i="11"/>
  <c r="S715" i="11"/>
  <c r="S714" i="11"/>
  <c r="S713" i="11"/>
  <c r="S712" i="11"/>
  <c r="S711" i="11"/>
  <c r="S710" i="11"/>
  <c r="R719" i="11"/>
  <c r="R718" i="11"/>
  <c r="R717" i="11"/>
  <c r="R716" i="11"/>
  <c r="R715" i="11"/>
  <c r="R714" i="11"/>
  <c r="R713" i="11"/>
  <c r="R712" i="11"/>
  <c r="R711" i="11"/>
  <c r="R710" i="11"/>
  <c r="S709" i="11"/>
  <c r="R709" i="11"/>
  <c r="S708" i="11"/>
  <c r="R708" i="11"/>
  <c r="R707" i="11"/>
  <c r="S707" i="11"/>
  <c r="P2291" i="3" a="1"/>
  <c r="P2291" i="3" s="1"/>
  <c r="R2291" i="3"/>
  <c r="V2291" i="3"/>
  <c r="P1919" i="3" a="1"/>
  <c r="P1919" i="3" s="1"/>
  <c r="P1894" i="3" a="1"/>
  <c r="P1894" i="3" s="1"/>
  <c r="P1830" i="3" a="1"/>
  <c r="P1830" i="3" s="1"/>
  <c r="P1749" i="3" a="1"/>
  <c r="P1749" i="3" s="1"/>
  <c r="P1654" i="3" a="1"/>
  <c r="P1654" i="3" s="1"/>
  <c r="S706" i="11"/>
  <c r="R706" i="11"/>
  <c r="S705" i="11"/>
  <c r="R705" i="11"/>
  <c r="S704" i="11"/>
  <c r="R704" i="11"/>
  <c r="S703" i="11"/>
  <c r="R703" i="11"/>
  <c r="S702" i="11"/>
  <c r="R702" i="11"/>
  <c r="S701" i="11"/>
  <c r="R701" i="11"/>
  <c r="R698" i="11"/>
  <c r="S698" i="11"/>
  <c r="R699" i="11"/>
  <c r="S699" i="11"/>
  <c r="R700" i="11"/>
  <c r="S700" i="11"/>
  <c r="R697" i="11"/>
  <c r="S697" i="11"/>
  <c r="R696" i="11"/>
  <c r="S696" i="11"/>
  <c r="S695" i="11"/>
  <c r="R695" i="11"/>
  <c r="S694" i="11"/>
  <c r="R694" i="11"/>
  <c r="R692" i="11"/>
  <c r="S692" i="11"/>
  <c r="R693" i="11"/>
  <c r="S693" i="11"/>
  <c r="S691" i="11"/>
  <c r="R691" i="11"/>
  <c r="S690" i="11"/>
  <c r="R690" i="11"/>
  <c r="S688" i="11"/>
  <c r="S689" i="11"/>
  <c r="R688" i="11"/>
  <c r="R689" i="11"/>
  <c r="R687" i="11"/>
  <c r="S686" i="11"/>
  <c r="S687" i="11"/>
  <c r="R686" i="11"/>
  <c r="P2282" i="3" a="1"/>
  <c r="P2282" i="3" s="1"/>
  <c r="S683" i="11"/>
  <c r="S684" i="11"/>
  <c r="S685" i="11"/>
  <c r="R683" i="11"/>
  <c r="R684" i="11"/>
  <c r="R685" i="11"/>
  <c r="X682" i="11"/>
  <c r="Y682" i="11"/>
  <c r="Z682" i="11"/>
  <c r="S682" i="11"/>
  <c r="R682" i="11"/>
  <c r="R678" i="11"/>
  <c r="R679" i="11"/>
  <c r="R680" i="11"/>
  <c r="R681" i="11"/>
  <c r="R677" i="11"/>
  <c r="S678" i="11"/>
  <c r="S679" i="11"/>
  <c r="S680" i="11"/>
  <c r="S681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S452" i="11"/>
  <c r="S453" i="11"/>
  <c r="S454" i="11"/>
  <c r="S455" i="11"/>
  <c r="S456" i="11"/>
  <c r="S457" i="11"/>
  <c r="S458" i="11"/>
  <c r="S459" i="11"/>
  <c r="S460" i="11"/>
  <c r="S461" i="11"/>
  <c r="S462" i="11"/>
  <c r="S463" i="11"/>
  <c r="S464" i="11"/>
  <c r="S465" i="11"/>
  <c r="S466" i="11"/>
  <c r="S467" i="11"/>
  <c r="S468" i="11"/>
  <c r="S469" i="11"/>
  <c r="S470" i="11"/>
  <c r="S471" i="11"/>
  <c r="S472" i="11"/>
  <c r="S473" i="11"/>
  <c r="S474" i="11"/>
  <c r="S475" i="11"/>
  <c r="S476" i="11"/>
  <c r="S477" i="11"/>
  <c r="S478" i="11"/>
  <c r="S479" i="11"/>
  <c r="S480" i="11"/>
  <c r="S481" i="11"/>
  <c r="S482" i="11"/>
  <c r="S483" i="11"/>
  <c r="S484" i="11"/>
  <c r="S485" i="11"/>
  <c r="S486" i="11"/>
  <c r="S487" i="11"/>
  <c r="S488" i="11"/>
  <c r="S489" i="11"/>
  <c r="S490" i="11"/>
  <c r="S491" i="11"/>
  <c r="S492" i="11"/>
  <c r="S493" i="11"/>
  <c r="S494" i="11"/>
  <c r="S495" i="11"/>
  <c r="S496" i="11"/>
  <c r="S497" i="11"/>
  <c r="S498" i="11"/>
  <c r="S499" i="11"/>
  <c r="S500" i="11"/>
  <c r="S501" i="11"/>
  <c r="S502" i="11"/>
  <c r="S503" i="11"/>
  <c r="S504" i="11"/>
  <c r="S505" i="11"/>
  <c r="S506" i="11"/>
  <c r="S507" i="11"/>
  <c r="S508" i="11"/>
  <c r="S509" i="11"/>
  <c r="S510" i="11"/>
  <c r="S511" i="11"/>
  <c r="S512" i="11"/>
  <c r="S513" i="11"/>
  <c r="S514" i="11"/>
  <c r="S515" i="11"/>
  <c r="S516" i="11"/>
  <c r="S517" i="11"/>
  <c r="S518" i="11"/>
  <c r="S519" i="11"/>
  <c r="S520" i="1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S636" i="11"/>
  <c r="S637" i="11"/>
  <c r="S638" i="11"/>
  <c r="S639" i="11"/>
  <c r="S640" i="11"/>
  <c r="S641" i="11"/>
  <c r="S642" i="11"/>
  <c r="S643" i="11"/>
  <c r="S644" i="11"/>
  <c r="S645" i="11"/>
  <c r="S646" i="11"/>
  <c r="S647" i="11"/>
  <c r="S648" i="11"/>
  <c r="S649" i="11"/>
  <c r="S650" i="11"/>
  <c r="S651" i="11"/>
  <c r="S652" i="11"/>
  <c r="S653" i="11"/>
  <c r="S654" i="11"/>
  <c r="S655" i="11"/>
  <c r="S656" i="11"/>
  <c r="S657" i="11"/>
  <c r="S658" i="11"/>
  <c r="S659" i="11"/>
  <c r="S660" i="11"/>
  <c r="S661" i="11"/>
  <c r="S662" i="11"/>
  <c r="S663" i="11"/>
  <c r="S664" i="11"/>
  <c r="S665" i="11"/>
  <c r="S666" i="11"/>
  <c r="S667" i="11"/>
  <c r="S668" i="11"/>
  <c r="S669" i="11"/>
  <c r="S670" i="11"/>
  <c r="S671" i="11"/>
  <c r="S672" i="11"/>
  <c r="S673" i="11"/>
  <c r="S674" i="11"/>
  <c r="S675" i="11"/>
  <c r="S676" i="11"/>
  <c r="S677" i="11"/>
  <c r="S749" i="11"/>
  <c r="S750" i="11"/>
  <c r="S751" i="11"/>
  <c r="S752" i="11"/>
  <c r="S753" i="11"/>
  <c r="S754" i="11"/>
  <c r="S755" i="11"/>
  <c r="S756" i="11"/>
  <c r="S757" i="11"/>
  <c r="S758" i="11"/>
  <c r="S759" i="11"/>
  <c r="S760" i="11"/>
  <c r="S761" i="11"/>
  <c r="S762" i="11"/>
  <c r="S763" i="11"/>
  <c r="S764" i="11"/>
  <c r="S765" i="11"/>
  <c r="S766" i="11"/>
  <c r="S767" i="11"/>
  <c r="S768" i="11"/>
  <c r="S769" i="11"/>
  <c r="S770" i="11"/>
  <c r="S771" i="11"/>
  <c r="S772" i="11"/>
  <c r="S773" i="11"/>
  <c r="S774" i="11"/>
  <c r="S775" i="11"/>
  <c r="S776" i="11"/>
  <c r="S777" i="11"/>
  <c r="S778" i="11"/>
  <c r="S779" i="11"/>
  <c r="S780" i="11"/>
  <c r="S781" i="11"/>
  <c r="S782" i="11"/>
  <c r="S783" i="11"/>
  <c r="S784" i="11"/>
  <c r="S785" i="11"/>
  <c r="S786" i="11"/>
  <c r="S787" i="11"/>
  <c r="S788" i="11"/>
  <c r="S789" i="11"/>
  <c r="S790" i="11"/>
  <c r="S791" i="11"/>
  <c r="S792" i="11"/>
  <c r="S793" i="11"/>
  <c r="S794" i="11"/>
  <c r="S795" i="11"/>
  <c r="S796" i="11"/>
  <c r="S797" i="11"/>
  <c r="S798" i="11"/>
  <c r="S799" i="11"/>
  <c r="S800" i="11"/>
  <c r="S801" i="11"/>
  <c r="S802" i="11"/>
  <c r="S803" i="11"/>
  <c r="S804" i="11"/>
  <c r="S805" i="11"/>
  <c r="S806" i="11"/>
  <c r="S807" i="11"/>
  <c r="S808" i="11"/>
  <c r="S809" i="11"/>
  <c r="S810" i="11"/>
  <c r="S811" i="11"/>
  <c r="S812" i="11"/>
  <c r="S813" i="11"/>
  <c r="S814" i="11"/>
  <c r="S815" i="11"/>
  <c r="S816" i="11"/>
  <c r="S817" i="11"/>
  <c r="S818" i="11"/>
  <c r="S819" i="11"/>
  <c r="S820" i="11"/>
  <c r="S821" i="11"/>
  <c r="S822" i="11"/>
  <c r="S823" i="11"/>
  <c r="S824" i="11"/>
  <c r="S825" i="11"/>
  <c r="S826" i="11"/>
  <c r="S827" i="11"/>
  <c r="S828" i="11"/>
  <c r="S829" i="11"/>
  <c r="S830" i="11"/>
  <c r="S831" i="11"/>
  <c r="S832" i="11"/>
  <c r="S833" i="11"/>
  <c r="S834" i="11"/>
  <c r="S835" i="11"/>
  <c r="S836" i="11"/>
  <c r="S837" i="11"/>
  <c r="S838" i="11"/>
  <c r="S839" i="11"/>
  <c r="S840" i="11"/>
  <c r="S841" i="11"/>
  <c r="S842" i="11"/>
  <c r="S843" i="11"/>
  <c r="S844" i="11"/>
  <c r="S845" i="11"/>
  <c r="S846" i="11"/>
  <c r="S847" i="11"/>
  <c r="S848" i="11"/>
  <c r="S849" i="11"/>
  <c r="S850" i="11"/>
  <c r="S851" i="11"/>
  <c r="S852" i="11"/>
  <c r="S853" i="11"/>
  <c r="S854" i="11"/>
  <c r="S855" i="11"/>
  <c r="S856" i="11"/>
  <c r="S857" i="11"/>
  <c r="S858" i="11"/>
  <c r="S859" i="11"/>
  <c r="S860" i="11"/>
  <c r="S861" i="11"/>
  <c r="S862" i="11"/>
  <c r="S863" i="11"/>
  <c r="S864" i="11"/>
  <c r="S865" i="11"/>
  <c r="S866" i="11"/>
  <c r="S867" i="11"/>
  <c r="S868" i="11"/>
  <c r="S869" i="11"/>
  <c r="S870" i="11"/>
  <c r="S871" i="11"/>
  <c r="S872" i="11"/>
  <c r="S873" i="11"/>
  <c r="S874" i="11"/>
  <c r="S875" i="11"/>
  <c r="S876" i="11"/>
  <c r="S877" i="11"/>
  <c r="S878" i="11"/>
  <c r="S879" i="11"/>
  <c r="S880" i="11"/>
  <c r="S881" i="11"/>
  <c r="S882" i="11"/>
  <c r="S883" i="11"/>
  <c r="S884" i="11"/>
  <c r="S885" i="11"/>
  <c r="S886" i="11"/>
  <c r="S887" i="11"/>
  <c r="S888" i="11"/>
  <c r="S889" i="11"/>
  <c r="S890" i="11"/>
  <c r="S891" i="11"/>
  <c r="S892" i="11"/>
  <c r="S893" i="11"/>
  <c r="S894" i="11"/>
  <c r="S895" i="11"/>
  <c r="S896" i="11"/>
  <c r="S897" i="11"/>
  <c r="S898" i="11"/>
  <c r="S899" i="11"/>
  <c r="S900" i="11"/>
  <c r="S901" i="11"/>
  <c r="S902" i="11"/>
  <c r="S903" i="11"/>
  <c r="S904" i="11"/>
  <c r="S905" i="11"/>
  <c r="S906" i="11"/>
  <c r="S907" i="11"/>
  <c r="S908" i="11"/>
  <c r="S909" i="11"/>
  <c r="S910" i="11"/>
  <c r="S911" i="11"/>
  <c r="S912" i="11"/>
  <c r="S913" i="11"/>
  <c r="S914" i="11"/>
  <c r="S915" i="11"/>
  <c r="S916" i="11"/>
  <c r="S917" i="11"/>
  <c r="S918" i="11"/>
  <c r="S919" i="11"/>
  <c r="S920" i="11"/>
  <c r="S921" i="11"/>
  <c r="S922" i="11"/>
  <c r="S923" i="11"/>
  <c r="S924" i="11"/>
  <c r="S925" i="11"/>
  <c r="S926" i="11"/>
  <c r="S927" i="11"/>
  <c r="S928" i="11"/>
  <c r="S929" i="11"/>
  <c r="S930" i="11"/>
  <c r="S931" i="11"/>
  <c r="S932" i="11"/>
  <c r="S933" i="11"/>
  <c r="S934" i="11"/>
  <c r="S935" i="11"/>
  <c r="S936" i="11"/>
  <c r="S937" i="11"/>
  <c r="S938" i="11"/>
  <c r="S939" i="11"/>
  <c r="S940" i="11"/>
  <c r="S941" i="11"/>
  <c r="S942" i="11"/>
  <c r="S943" i="11"/>
  <c r="S944" i="11"/>
  <c r="S945" i="11"/>
  <c r="S946" i="11"/>
  <c r="S947" i="11"/>
  <c r="S948" i="11"/>
  <c r="S949" i="11"/>
  <c r="S950" i="11"/>
  <c r="S951" i="11"/>
  <c r="S952" i="11"/>
  <c r="S953" i="11"/>
  <c r="S954" i="11"/>
  <c r="S955" i="11"/>
  <c r="S956" i="11"/>
  <c r="S957" i="11"/>
  <c r="S958" i="11"/>
  <c r="S959" i="11"/>
  <c r="S960" i="11"/>
  <c r="S961" i="11"/>
  <c r="S962" i="11"/>
  <c r="S963" i="11"/>
  <c r="S964" i="11"/>
  <c r="S965" i="11"/>
  <c r="S966" i="11"/>
  <c r="S967" i="11"/>
  <c r="S968" i="11"/>
  <c r="S969" i="11"/>
  <c r="S970" i="11"/>
  <c r="S971" i="11"/>
  <c r="S972" i="11"/>
  <c r="S973" i="11"/>
  <c r="S974" i="11"/>
  <c r="S975" i="11"/>
  <c r="S976" i="11"/>
  <c r="S977" i="11"/>
  <c r="S978" i="11"/>
  <c r="S979" i="11"/>
  <c r="S980" i="11"/>
  <c r="S981" i="11"/>
  <c r="S982" i="11"/>
  <c r="S983" i="11"/>
  <c r="S984" i="11"/>
  <c r="S985" i="11"/>
  <c r="S986" i="11"/>
  <c r="S987" i="11"/>
  <c r="S988" i="11"/>
  <c r="S989" i="11"/>
  <c r="S990" i="11"/>
  <c r="S991" i="11"/>
  <c r="S992" i="11"/>
  <c r="S993" i="11"/>
  <c r="S994" i="11"/>
  <c r="S995" i="11"/>
  <c r="S996" i="11"/>
  <c r="S997" i="11"/>
  <c r="S998" i="11"/>
  <c r="S999" i="11"/>
  <c r="S1000" i="11"/>
  <c r="S1001" i="11"/>
  <c r="S1002" i="11"/>
  <c r="S1003" i="11"/>
  <c r="S1004" i="11"/>
  <c r="S1005" i="11"/>
  <c r="S1006" i="11"/>
  <c r="S1007" i="11"/>
  <c r="S1008" i="11"/>
  <c r="S1009" i="11"/>
  <c r="S1010" i="11"/>
  <c r="S1011" i="11"/>
  <c r="S1012" i="11"/>
  <c r="S1013" i="11"/>
  <c r="S1014" i="11"/>
  <c r="S1015" i="11"/>
  <c r="S1016" i="11"/>
  <c r="S1017" i="11"/>
  <c r="S1018" i="11"/>
  <c r="S1019" i="11"/>
  <c r="S1020" i="11"/>
  <c r="S1021" i="11"/>
  <c r="S1022" i="11"/>
  <c r="S1023" i="11"/>
  <c r="S1024" i="11"/>
  <c r="S1025" i="11"/>
  <c r="S1026" i="11"/>
  <c r="S1027" i="11"/>
  <c r="S1028" i="11"/>
  <c r="S1029" i="11"/>
  <c r="S1030" i="11"/>
  <c r="S1031" i="11"/>
  <c r="S1032" i="11"/>
  <c r="S1033" i="11"/>
  <c r="S1034" i="11"/>
  <c r="S1035" i="11"/>
  <c r="S1036" i="11"/>
  <c r="S1037" i="11"/>
  <c r="S1038" i="11"/>
  <c r="S1039" i="11"/>
  <c r="S1040" i="11"/>
  <c r="S1041" i="11"/>
  <c r="S1042" i="11"/>
  <c r="S1043" i="11"/>
  <c r="S1044" i="11"/>
  <c r="S1045" i="11"/>
  <c r="S1046" i="11"/>
  <c r="S1047" i="11"/>
  <c r="S1048" i="11"/>
  <c r="S1049" i="11"/>
  <c r="S1050" i="11"/>
  <c r="S1051" i="11"/>
  <c r="S1052" i="11"/>
  <c r="S1053" i="11"/>
  <c r="S1054" i="11"/>
  <c r="S1055" i="11"/>
  <c r="S1056" i="11"/>
  <c r="S1057" i="11"/>
  <c r="S1058" i="11"/>
  <c r="S1059" i="11"/>
  <c r="S1060" i="11"/>
  <c r="S1061" i="11"/>
  <c r="S1062" i="11"/>
  <c r="S1063" i="11"/>
  <c r="S1064" i="11"/>
  <c r="S1065" i="11"/>
  <c r="S1066" i="11"/>
  <c r="S1067" i="11"/>
  <c r="S1068" i="11"/>
  <c r="S1069" i="11"/>
  <c r="S1070" i="11"/>
  <c r="S1071" i="11"/>
  <c r="S1072" i="11"/>
  <c r="S1073" i="11"/>
  <c r="S1074" i="11"/>
  <c r="S1075" i="11"/>
  <c r="S1076" i="11"/>
  <c r="S1077" i="11"/>
  <c r="S1078" i="11"/>
  <c r="S1079" i="11"/>
  <c r="S1080" i="11"/>
  <c r="S1081" i="11"/>
  <c r="S1082" i="11"/>
  <c r="S1083" i="11"/>
  <c r="S1084" i="11"/>
  <c r="S1085" i="11"/>
  <c r="S1086" i="11"/>
  <c r="S1087" i="11"/>
  <c r="S1088" i="11"/>
  <c r="S1089" i="11"/>
  <c r="S1090" i="11"/>
  <c r="S1091" i="11"/>
  <c r="S1092" i="11"/>
  <c r="S1093" i="11"/>
  <c r="S1094" i="11"/>
  <c r="S1095" i="11"/>
  <c r="S1096" i="11"/>
  <c r="S1097" i="11"/>
  <c r="S1098" i="11"/>
  <c r="S1099" i="11"/>
  <c r="S1100" i="11"/>
  <c r="S1101" i="11"/>
  <c r="S1102" i="11"/>
  <c r="S1103" i="11"/>
  <c r="S1104" i="11"/>
  <c r="S1105" i="11"/>
  <c r="S1106" i="11"/>
  <c r="S1107" i="11"/>
  <c r="S1108" i="11"/>
  <c r="S1109" i="11"/>
  <c r="S1110" i="11"/>
  <c r="S1111" i="11"/>
  <c r="S1112" i="11"/>
  <c r="S1113" i="11"/>
  <c r="S1114" i="11"/>
  <c r="S1115" i="11"/>
  <c r="S1116" i="11"/>
  <c r="S1117" i="11"/>
  <c r="S1118" i="11"/>
  <c r="S1119" i="11"/>
  <c r="S1120" i="11"/>
  <c r="S1121" i="11"/>
  <c r="S1122" i="11"/>
  <c r="S1123" i="11"/>
  <c r="S1124" i="11"/>
  <c r="S1125" i="11"/>
  <c r="S1126" i="11"/>
  <c r="S1127" i="11"/>
  <c r="S1128" i="11"/>
  <c r="S1129" i="11"/>
  <c r="S1130" i="11"/>
  <c r="S1131" i="11"/>
  <c r="S1132" i="11"/>
  <c r="S1133" i="11"/>
  <c r="S1134" i="11"/>
  <c r="S1135" i="11"/>
  <c r="S1136" i="11"/>
  <c r="S1137" i="11"/>
  <c r="S1138" i="11"/>
  <c r="S1139" i="11"/>
  <c r="S1140" i="11"/>
  <c r="S1141" i="11"/>
  <c r="S1142" i="11"/>
  <c r="S1143" i="11"/>
  <c r="S1144" i="11"/>
  <c r="S1145" i="11"/>
  <c r="S1146" i="11"/>
  <c r="S1147" i="11"/>
  <c r="S1148" i="11"/>
  <c r="S1149" i="11"/>
  <c r="S1150" i="11"/>
  <c r="S1151" i="11"/>
  <c r="S1152" i="11"/>
  <c r="S1153" i="11"/>
  <c r="S1154" i="11"/>
  <c r="S1155" i="11"/>
  <c r="S1156" i="11"/>
  <c r="S1157" i="11"/>
  <c r="S1158" i="11"/>
  <c r="S1159" i="11"/>
  <c r="S1160" i="11"/>
  <c r="S1161" i="11"/>
  <c r="S1162" i="11"/>
  <c r="S1163" i="11"/>
  <c r="S1164" i="11"/>
  <c r="S1165" i="11"/>
  <c r="S1166" i="11"/>
  <c r="S1167" i="11"/>
  <c r="S1168" i="11"/>
  <c r="S1169" i="11"/>
  <c r="S1170" i="11"/>
  <c r="S1171" i="11"/>
  <c r="S1172" i="11"/>
  <c r="S1173" i="11"/>
  <c r="S1174" i="11"/>
  <c r="S1175" i="11"/>
  <c r="S1176" i="11"/>
  <c r="S1177" i="11"/>
  <c r="S1178" i="11"/>
  <c r="S1179" i="11"/>
  <c r="S1180" i="11"/>
  <c r="S1181" i="11"/>
  <c r="S1182" i="11"/>
  <c r="S1183" i="11"/>
  <c r="S1184" i="11"/>
  <c r="S1185" i="11"/>
  <c r="S1186" i="11"/>
  <c r="S1187" i="11"/>
  <c r="S1188" i="11"/>
  <c r="S1189" i="11"/>
  <c r="S1190" i="11"/>
  <c r="S1191" i="11"/>
  <c r="S1192" i="11"/>
  <c r="S1193" i="11"/>
  <c r="S1194" i="11"/>
  <c r="S1195" i="11"/>
  <c r="S1196" i="11"/>
  <c r="S1197" i="11"/>
  <c r="S1198" i="11"/>
  <c r="S1199" i="11"/>
  <c r="S1200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R452" i="11"/>
  <c r="R453" i="11"/>
  <c r="R454" i="11"/>
  <c r="R455" i="11"/>
  <c r="R456" i="11"/>
  <c r="R457" i="11"/>
  <c r="R458" i="11"/>
  <c r="R459" i="11"/>
  <c r="R460" i="11"/>
  <c r="R461" i="11"/>
  <c r="R462" i="11"/>
  <c r="R463" i="11"/>
  <c r="R464" i="11"/>
  <c r="R465" i="11"/>
  <c r="R466" i="11"/>
  <c r="R467" i="11"/>
  <c r="R468" i="11"/>
  <c r="R469" i="11"/>
  <c r="R470" i="11"/>
  <c r="R471" i="11"/>
  <c r="R472" i="11"/>
  <c r="R473" i="11"/>
  <c r="R474" i="11"/>
  <c r="R475" i="11"/>
  <c r="R476" i="11"/>
  <c r="R477" i="11"/>
  <c r="R478" i="11"/>
  <c r="R479" i="11"/>
  <c r="R480" i="11"/>
  <c r="R481" i="11"/>
  <c r="R482" i="11"/>
  <c r="R483" i="11"/>
  <c r="R484" i="11"/>
  <c r="R485" i="11"/>
  <c r="R486" i="11"/>
  <c r="R487" i="11"/>
  <c r="R488" i="11"/>
  <c r="R489" i="11"/>
  <c r="R490" i="11"/>
  <c r="R491" i="11"/>
  <c r="R492" i="11"/>
  <c r="R493" i="11"/>
  <c r="R494" i="11"/>
  <c r="R495" i="11"/>
  <c r="R496" i="11"/>
  <c r="R497" i="11"/>
  <c r="R498" i="11"/>
  <c r="R499" i="11"/>
  <c r="R500" i="11"/>
  <c r="R501" i="11"/>
  <c r="R502" i="11"/>
  <c r="R503" i="11"/>
  <c r="R504" i="11"/>
  <c r="R505" i="11"/>
  <c r="R506" i="11"/>
  <c r="R507" i="11"/>
  <c r="R508" i="11"/>
  <c r="R509" i="11"/>
  <c r="R510" i="11"/>
  <c r="R511" i="11"/>
  <c r="R512" i="11"/>
  <c r="R513" i="11"/>
  <c r="R514" i="11"/>
  <c r="R515" i="11"/>
  <c r="R516" i="11"/>
  <c r="R517" i="11"/>
  <c r="R518" i="11"/>
  <c r="R519" i="11"/>
  <c r="R520" i="11"/>
  <c r="R521" i="11"/>
  <c r="R522" i="11"/>
  <c r="R523" i="11"/>
  <c r="R524" i="11"/>
  <c r="R525" i="11"/>
  <c r="R526" i="11"/>
  <c r="R527" i="11"/>
  <c r="R528" i="11"/>
  <c r="R529" i="11"/>
  <c r="R530" i="11"/>
  <c r="R531" i="11"/>
  <c r="R532" i="11"/>
  <c r="R533" i="11"/>
  <c r="R534" i="11"/>
  <c r="R535" i="11"/>
  <c r="R536" i="11"/>
  <c r="R537" i="11"/>
  <c r="R538" i="11"/>
  <c r="R539" i="11"/>
  <c r="R540" i="11"/>
  <c r="R541" i="11"/>
  <c r="R542" i="11"/>
  <c r="R543" i="11"/>
  <c r="R544" i="11"/>
  <c r="R545" i="11"/>
  <c r="R546" i="11"/>
  <c r="R547" i="11"/>
  <c r="R548" i="11"/>
  <c r="R549" i="11"/>
  <c r="R550" i="11"/>
  <c r="R551" i="11"/>
  <c r="R552" i="11"/>
  <c r="R553" i="11"/>
  <c r="R554" i="11"/>
  <c r="R555" i="11"/>
  <c r="R556" i="11"/>
  <c r="R557" i="11"/>
  <c r="R558" i="11"/>
  <c r="R559" i="11"/>
  <c r="R560" i="11"/>
  <c r="R561" i="11"/>
  <c r="R562" i="11"/>
  <c r="R563" i="11"/>
  <c r="R564" i="11"/>
  <c r="R565" i="11"/>
  <c r="R566" i="11"/>
  <c r="R567" i="11"/>
  <c r="R568" i="11"/>
  <c r="R569" i="11"/>
  <c r="R570" i="11"/>
  <c r="R571" i="11"/>
  <c r="R572" i="11"/>
  <c r="R573" i="11"/>
  <c r="R574" i="11"/>
  <c r="R575" i="11"/>
  <c r="R576" i="11"/>
  <c r="R577" i="11"/>
  <c r="R578" i="11"/>
  <c r="R579" i="11"/>
  <c r="R580" i="11"/>
  <c r="R581" i="11"/>
  <c r="R582" i="11"/>
  <c r="R583" i="11"/>
  <c r="R584" i="11"/>
  <c r="R585" i="11"/>
  <c r="R586" i="11"/>
  <c r="R587" i="11"/>
  <c r="R588" i="11"/>
  <c r="R589" i="11"/>
  <c r="R590" i="11"/>
  <c r="R591" i="11"/>
  <c r="R592" i="11"/>
  <c r="R593" i="11"/>
  <c r="R594" i="11"/>
  <c r="R595" i="11"/>
  <c r="R596" i="11"/>
  <c r="R597" i="11"/>
  <c r="R598" i="11"/>
  <c r="R599" i="11"/>
  <c r="R600" i="11"/>
  <c r="R601" i="11"/>
  <c r="R602" i="11"/>
  <c r="R603" i="11"/>
  <c r="R604" i="11"/>
  <c r="R605" i="11"/>
  <c r="R606" i="11"/>
  <c r="R607" i="11"/>
  <c r="R608" i="11"/>
  <c r="R609" i="11"/>
  <c r="R610" i="11"/>
  <c r="R611" i="11"/>
  <c r="R612" i="11"/>
  <c r="R613" i="11"/>
  <c r="R614" i="11"/>
  <c r="R615" i="11"/>
  <c r="R616" i="11"/>
  <c r="R617" i="11"/>
  <c r="R618" i="11"/>
  <c r="R619" i="11"/>
  <c r="R620" i="11"/>
  <c r="R621" i="11"/>
  <c r="R622" i="11"/>
  <c r="R623" i="11"/>
  <c r="R624" i="11"/>
  <c r="R625" i="11"/>
  <c r="R626" i="11"/>
  <c r="R627" i="11"/>
  <c r="R628" i="11"/>
  <c r="R629" i="11"/>
  <c r="R630" i="11"/>
  <c r="R631" i="11"/>
  <c r="R632" i="11"/>
  <c r="R633" i="11"/>
  <c r="R634" i="11"/>
  <c r="R635" i="11"/>
  <c r="R636" i="11"/>
  <c r="R637" i="11"/>
  <c r="R638" i="11"/>
  <c r="R639" i="11"/>
  <c r="R640" i="11"/>
  <c r="R641" i="11"/>
  <c r="R642" i="11"/>
  <c r="R643" i="11"/>
  <c r="R644" i="11"/>
  <c r="R645" i="11"/>
  <c r="R646" i="11"/>
  <c r="R647" i="11"/>
  <c r="R648" i="11"/>
  <c r="R649" i="11"/>
  <c r="R650" i="11"/>
  <c r="R651" i="11"/>
  <c r="R652" i="11"/>
  <c r="R653" i="11"/>
  <c r="R654" i="11"/>
  <c r="R655" i="11"/>
  <c r="R656" i="11"/>
  <c r="R657" i="11"/>
  <c r="R658" i="11"/>
  <c r="R659" i="11"/>
  <c r="R660" i="11"/>
  <c r="R661" i="11"/>
  <c r="R662" i="11"/>
  <c r="R663" i="11"/>
  <c r="R664" i="11"/>
  <c r="R665" i="11"/>
  <c r="R666" i="11"/>
  <c r="R667" i="11"/>
  <c r="R668" i="11"/>
  <c r="R669" i="11"/>
  <c r="R670" i="11"/>
  <c r="R671" i="11"/>
  <c r="R672" i="11"/>
  <c r="R673" i="11"/>
  <c r="R674" i="11"/>
  <c r="R675" i="11"/>
  <c r="R676" i="11"/>
  <c r="R749" i="11"/>
  <c r="R750" i="11"/>
  <c r="R751" i="11"/>
  <c r="R752" i="11"/>
  <c r="R753" i="11"/>
  <c r="R754" i="11"/>
  <c r="R755" i="11"/>
  <c r="R756" i="11"/>
  <c r="R757" i="11"/>
  <c r="R758" i="11"/>
  <c r="R759" i="11"/>
  <c r="R760" i="11"/>
  <c r="R761" i="11"/>
  <c r="R762" i="11"/>
  <c r="R763" i="11"/>
  <c r="R764" i="11"/>
  <c r="R765" i="11"/>
  <c r="R766" i="11"/>
  <c r="R767" i="11"/>
  <c r="R768" i="11"/>
  <c r="R769" i="11"/>
  <c r="R770" i="11"/>
  <c r="R771" i="11"/>
  <c r="R772" i="11"/>
  <c r="R773" i="11"/>
  <c r="R774" i="11"/>
  <c r="R775" i="11"/>
  <c r="R776" i="11"/>
  <c r="R777" i="11"/>
  <c r="R778" i="11"/>
  <c r="R779" i="11"/>
  <c r="R780" i="11"/>
  <c r="R781" i="11"/>
  <c r="R782" i="11"/>
  <c r="R783" i="11"/>
  <c r="R784" i="11"/>
  <c r="R785" i="11"/>
  <c r="R786" i="11"/>
  <c r="R787" i="11"/>
  <c r="R788" i="11"/>
  <c r="R789" i="11"/>
  <c r="R790" i="11"/>
  <c r="R791" i="11"/>
  <c r="R792" i="11"/>
  <c r="R793" i="11"/>
  <c r="R794" i="11"/>
  <c r="R795" i="11"/>
  <c r="R796" i="11"/>
  <c r="R797" i="11"/>
  <c r="R798" i="11"/>
  <c r="R799" i="11"/>
  <c r="R800" i="11"/>
  <c r="R801" i="11"/>
  <c r="R802" i="11"/>
  <c r="R803" i="11"/>
  <c r="R804" i="11"/>
  <c r="R805" i="11"/>
  <c r="R806" i="11"/>
  <c r="R807" i="11"/>
  <c r="R808" i="11"/>
  <c r="R809" i="11"/>
  <c r="R810" i="11"/>
  <c r="R811" i="11"/>
  <c r="R812" i="11"/>
  <c r="R813" i="11"/>
  <c r="R814" i="11"/>
  <c r="R815" i="11"/>
  <c r="R816" i="11"/>
  <c r="R817" i="11"/>
  <c r="R818" i="11"/>
  <c r="R819" i="11"/>
  <c r="R820" i="11"/>
  <c r="R821" i="11"/>
  <c r="R822" i="11"/>
  <c r="R823" i="11"/>
  <c r="R824" i="11"/>
  <c r="R825" i="11"/>
  <c r="R826" i="11"/>
  <c r="R827" i="11"/>
  <c r="R828" i="11"/>
  <c r="R829" i="11"/>
  <c r="R830" i="11"/>
  <c r="R831" i="11"/>
  <c r="R832" i="11"/>
  <c r="R833" i="11"/>
  <c r="R834" i="11"/>
  <c r="R835" i="11"/>
  <c r="R836" i="11"/>
  <c r="R837" i="11"/>
  <c r="R838" i="11"/>
  <c r="R839" i="11"/>
  <c r="R840" i="11"/>
  <c r="R841" i="11"/>
  <c r="R842" i="11"/>
  <c r="R843" i="11"/>
  <c r="R844" i="11"/>
  <c r="R845" i="11"/>
  <c r="R846" i="11"/>
  <c r="R847" i="11"/>
  <c r="R848" i="11"/>
  <c r="R849" i="11"/>
  <c r="R850" i="11"/>
  <c r="R851" i="11"/>
  <c r="R852" i="11"/>
  <c r="R853" i="11"/>
  <c r="R854" i="11"/>
  <c r="R855" i="11"/>
  <c r="R856" i="11"/>
  <c r="R857" i="11"/>
  <c r="R858" i="11"/>
  <c r="R859" i="11"/>
  <c r="R860" i="11"/>
  <c r="R861" i="11"/>
  <c r="R862" i="11"/>
  <c r="R863" i="11"/>
  <c r="R864" i="11"/>
  <c r="R865" i="11"/>
  <c r="R866" i="11"/>
  <c r="R867" i="11"/>
  <c r="R868" i="11"/>
  <c r="R869" i="11"/>
  <c r="R870" i="11"/>
  <c r="R871" i="11"/>
  <c r="R872" i="11"/>
  <c r="R873" i="11"/>
  <c r="R874" i="11"/>
  <c r="R875" i="11"/>
  <c r="R876" i="11"/>
  <c r="R877" i="11"/>
  <c r="R878" i="11"/>
  <c r="R879" i="11"/>
  <c r="R880" i="11"/>
  <c r="R881" i="11"/>
  <c r="R882" i="11"/>
  <c r="R883" i="11"/>
  <c r="R884" i="11"/>
  <c r="R885" i="11"/>
  <c r="R886" i="11"/>
  <c r="R887" i="11"/>
  <c r="R888" i="11"/>
  <c r="R889" i="11"/>
  <c r="R890" i="11"/>
  <c r="R891" i="11"/>
  <c r="R892" i="11"/>
  <c r="R893" i="11"/>
  <c r="R894" i="11"/>
  <c r="R895" i="11"/>
  <c r="R896" i="11"/>
  <c r="R897" i="11"/>
  <c r="R898" i="11"/>
  <c r="R899" i="11"/>
  <c r="R900" i="11"/>
  <c r="R901" i="11"/>
  <c r="R902" i="11"/>
  <c r="R903" i="11"/>
  <c r="R904" i="11"/>
  <c r="R905" i="11"/>
  <c r="R906" i="11"/>
  <c r="R907" i="11"/>
  <c r="R908" i="11"/>
  <c r="R909" i="11"/>
  <c r="R910" i="11"/>
  <c r="R911" i="11"/>
  <c r="R912" i="11"/>
  <c r="R913" i="11"/>
  <c r="R914" i="11"/>
  <c r="R915" i="11"/>
  <c r="R916" i="11"/>
  <c r="R917" i="11"/>
  <c r="R918" i="11"/>
  <c r="R919" i="11"/>
  <c r="R920" i="11"/>
  <c r="R921" i="11"/>
  <c r="R922" i="11"/>
  <c r="R923" i="11"/>
  <c r="R924" i="11"/>
  <c r="R925" i="11"/>
  <c r="R926" i="11"/>
  <c r="R927" i="11"/>
  <c r="R928" i="11"/>
  <c r="R929" i="11"/>
  <c r="R930" i="11"/>
  <c r="R931" i="11"/>
  <c r="R932" i="11"/>
  <c r="R933" i="11"/>
  <c r="R934" i="11"/>
  <c r="R935" i="11"/>
  <c r="R936" i="11"/>
  <c r="R937" i="11"/>
  <c r="R938" i="11"/>
  <c r="R939" i="11"/>
  <c r="R940" i="11"/>
  <c r="R941" i="11"/>
  <c r="R942" i="11"/>
  <c r="R943" i="11"/>
  <c r="R944" i="11"/>
  <c r="R945" i="11"/>
  <c r="R946" i="11"/>
  <c r="R947" i="11"/>
  <c r="R948" i="11"/>
  <c r="R949" i="11"/>
  <c r="R950" i="11"/>
  <c r="R951" i="11"/>
  <c r="R952" i="11"/>
  <c r="R953" i="11"/>
  <c r="R954" i="11"/>
  <c r="R955" i="11"/>
  <c r="R956" i="11"/>
  <c r="R957" i="11"/>
  <c r="R958" i="11"/>
  <c r="R959" i="11"/>
  <c r="R960" i="11"/>
  <c r="R961" i="11"/>
  <c r="R962" i="11"/>
  <c r="R963" i="11"/>
  <c r="R964" i="11"/>
  <c r="R965" i="11"/>
  <c r="R966" i="11"/>
  <c r="R967" i="11"/>
  <c r="R968" i="11"/>
  <c r="R969" i="11"/>
  <c r="R970" i="11"/>
  <c r="R971" i="11"/>
  <c r="R972" i="11"/>
  <c r="R973" i="11"/>
  <c r="R974" i="11"/>
  <c r="R975" i="11"/>
  <c r="R976" i="11"/>
  <c r="R977" i="11"/>
  <c r="R978" i="11"/>
  <c r="R979" i="11"/>
  <c r="R980" i="11"/>
  <c r="R981" i="11"/>
  <c r="R982" i="11"/>
  <c r="R983" i="11"/>
  <c r="R984" i="11"/>
  <c r="R985" i="11"/>
  <c r="R986" i="11"/>
  <c r="R987" i="11"/>
  <c r="R988" i="11"/>
  <c r="R989" i="11"/>
  <c r="R990" i="11"/>
  <c r="R991" i="11"/>
  <c r="R992" i="11"/>
  <c r="R993" i="11"/>
  <c r="R994" i="11"/>
  <c r="R995" i="11"/>
  <c r="R996" i="11"/>
  <c r="R997" i="11"/>
  <c r="R998" i="11"/>
  <c r="R999" i="11"/>
  <c r="R1000" i="11"/>
  <c r="R1001" i="11"/>
  <c r="R1002" i="11"/>
  <c r="R1003" i="11"/>
  <c r="R1004" i="11"/>
  <c r="R1005" i="11"/>
  <c r="R1006" i="11"/>
  <c r="R1007" i="11"/>
  <c r="R1008" i="11"/>
  <c r="R1009" i="11"/>
  <c r="R1010" i="11"/>
  <c r="R1011" i="11"/>
  <c r="R1012" i="11"/>
  <c r="R1013" i="11"/>
  <c r="R1014" i="11"/>
  <c r="R1015" i="11"/>
  <c r="R1016" i="11"/>
  <c r="R1017" i="11"/>
  <c r="R1018" i="11"/>
  <c r="R1019" i="11"/>
  <c r="R1020" i="11"/>
  <c r="R1021" i="11"/>
  <c r="R1022" i="11"/>
  <c r="R1023" i="11"/>
  <c r="R1024" i="11"/>
  <c r="R1025" i="11"/>
  <c r="R1026" i="11"/>
  <c r="R1027" i="11"/>
  <c r="R1028" i="11"/>
  <c r="R1029" i="11"/>
  <c r="R1030" i="11"/>
  <c r="R1031" i="11"/>
  <c r="R1032" i="11"/>
  <c r="R1033" i="11"/>
  <c r="R1034" i="11"/>
  <c r="R1035" i="11"/>
  <c r="R1036" i="11"/>
  <c r="R1037" i="11"/>
  <c r="R1038" i="11"/>
  <c r="R1039" i="11"/>
  <c r="R1040" i="11"/>
  <c r="R1041" i="11"/>
  <c r="R1042" i="11"/>
  <c r="R1043" i="11"/>
  <c r="R1044" i="11"/>
  <c r="R1045" i="11"/>
  <c r="R1046" i="11"/>
  <c r="R1047" i="11"/>
  <c r="R1048" i="11"/>
  <c r="R1049" i="11"/>
  <c r="R1050" i="11"/>
  <c r="R1051" i="11"/>
  <c r="R1052" i="11"/>
  <c r="R1053" i="11"/>
  <c r="R1054" i="11"/>
  <c r="R1055" i="11"/>
  <c r="R1056" i="11"/>
  <c r="R1057" i="11"/>
  <c r="R1058" i="11"/>
  <c r="R1059" i="11"/>
  <c r="R1060" i="11"/>
  <c r="R1061" i="11"/>
  <c r="R1062" i="11"/>
  <c r="R1063" i="11"/>
  <c r="R1064" i="11"/>
  <c r="R1065" i="11"/>
  <c r="R1066" i="11"/>
  <c r="R1067" i="11"/>
  <c r="R1068" i="11"/>
  <c r="R1069" i="11"/>
  <c r="R1070" i="11"/>
  <c r="R1071" i="11"/>
  <c r="R1072" i="11"/>
  <c r="R1073" i="11"/>
  <c r="R1074" i="11"/>
  <c r="R1075" i="11"/>
  <c r="R1076" i="11"/>
  <c r="R1077" i="11"/>
  <c r="R1078" i="11"/>
  <c r="R1079" i="11"/>
  <c r="R1080" i="11"/>
  <c r="R1081" i="11"/>
  <c r="R1082" i="11"/>
  <c r="R1083" i="11"/>
  <c r="R1084" i="11"/>
  <c r="R1085" i="11"/>
  <c r="R1086" i="11"/>
  <c r="R1087" i="11"/>
  <c r="R1088" i="11"/>
  <c r="R1089" i="11"/>
  <c r="R1090" i="11"/>
  <c r="R1091" i="11"/>
  <c r="R1092" i="11"/>
  <c r="R1093" i="11"/>
  <c r="R1094" i="11"/>
  <c r="R1095" i="11"/>
  <c r="R1096" i="11"/>
  <c r="R1097" i="11"/>
  <c r="R1098" i="11"/>
  <c r="R1099" i="11"/>
  <c r="R1100" i="11"/>
  <c r="R1101" i="11"/>
  <c r="R1102" i="11"/>
  <c r="R1103" i="11"/>
  <c r="R1104" i="11"/>
  <c r="R1105" i="11"/>
  <c r="R1106" i="11"/>
  <c r="R1107" i="11"/>
  <c r="R1108" i="11"/>
  <c r="R1109" i="11"/>
  <c r="R1110" i="11"/>
  <c r="R1111" i="11"/>
  <c r="R1112" i="11"/>
  <c r="R1113" i="11"/>
  <c r="R1114" i="11"/>
  <c r="R1115" i="11"/>
  <c r="R1116" i="11"/>
  <c r="R1117" i="11"/>
  <c r="R1118" i="11"/>
  <c r="R1119" i="11"/>
  <c r="R1120" i="11"/>
  <c r="R1121" i="11"/>
  <c r="R1122" i="11"/>
  <c r="R1123" i="11"/>
  <c r="R1124" i="11"/>
  <c r="R1125" i="11"/>
  <c r="R1126" i="11"/>
  <c r="R1127" i="11"/>
  <c r="R1128" i="11"/>
  <c r="R1129" i="11"/>
  <c r="R1130" i="11"/>
  <c r="R1131" i="11"/>
  <c r="R1132" i="11"/>
  <c r="R1133" i="11"/>
  <c r="R1134" i="11"/>
  <c r="R1135" i="11"/>
  <c r="R1136" i="11"/>
  <c r="R1137" i="11"/>
  <c r="R1138" i="11"/>
  <c r="R1139" i="11"/>
  <c r="R1140" i="11"/>
  <c r="R1141" i="11"/>
  <c r="R1142" i="11"/>
  <c r="R1143" i="11"/>
  <c r="R1144" i="11"/>
  <c r="R1145" i="11"/>
  <c r="R1146" i="11"/>
  <c r="R1147" i="11"/>
  <c r="R1148" i="11"/>
  <c r="R1149" i="11"/>
  <c r="R1150" i="11"/>
  <c r="R1151" i="11"/>
  <c r="R1152" i="11"/>
  <c r="R1153" i="11"/>
  <c r="R1154" i="11"/>
  <c r="R1155" i="11"/>
  <c r="R1156" i="11"/>
  <c r="R1157" i="11"/>
  <c r="R1158" i="11"/>
  <c r="R1159" i="11"/>
  <c r="R1160" i="11"/>
  <c r="R1161" i="11"/>
  <c r="R1162" i="11"/>
  <c r="R1163" i="11"/>
  <c r="R1164" i="11"/>
  <c r="R1165" i="11"/>
  <c r="R1166" i="11"/>
  <c r="R1167" i="11"/>
  <c r="R1168" i="11"/>
  <c r="R1169" i="11"/>
  <c r="R1170" i="11"/>
  <c r="R1171" i="11"/>
  <c r="R1172" i="11"/>
  <c r="R1173" i="11"/>
  <c r="R1174" i="11"/>
  <c r="R1175" i="11"/>
  <c r="R1176" i="11"/>
  <c r="R1177" i="11"/>
  <c r="R1178" i="11"/>
  <c r="R1179" i="11"/>
  <c r="R1180" i="11"/>
  <c r="R1181" i="11"/>
  <c r="R1182" i="11"/>
  <c r="R1183" i="11"/>
  <c r="R1184" i="11"/>
  <c r="R1185" i="11"/>
  <c r="R1186" i="11"/>
  <c r="R1187" i="11"/>
  <c r="R1188" i="11"/>
  <c r="R1189" i="11"/>
  <c r="R1190" i="11"/>
  <c r="R1191" i="11"/>
  <c r="R1192" i="11"/>
  <c r="R1193" i="11"/>
  <c r="R1194" i="11"/>
  <c r="R1195" i="11"/>
  <c r="R1196" i="11"/>
  <c r="R1197" i="11"/>
  <c r="R1198" i="11"/>
  <c r="R1199" i="11"/>
  <c r="R1200" i="11"/>
  <c r="R3" i="11"/>
  <c r="P3000" i="3" a="1"/>
  <c r="P3000" i="3" s="1"/>
  <c r="R3000" i="3"/>
  <c r="V3000" i="3"/>
  <c r="W3000" i="3"/>
  <c r="X3000" i="3"/>
  <c r="P2008" i="3" a="1"/>
  <c r="P2008" i="3" s="1"/>
  <c r="R2008" i="3"/>
  <c r="P2009" i="3" a="1"/>
  <c r="P2009" i="3" s="1"/>
  <c r="R2009" i="3"/>
  <c r="H103" i="12"/>
  <c r="P2157" i="3" a="1"/>
  <c r="P2157" i="3" s="1"/>
  <c r="X621" i="11"/>
  <c r="Y621" i="11"/>
  <c r="Z621" i="11"/>
  <c r="P2032" i="3" a="1"/>
  <c r="P2032" i="3" s="1"/>
  <c r="M141" i="4"/>
  <c r="M143" i="4"/>
  <c r="M144" i="4"/>
  <c r="M139" i="4"/>
  <c r="M140" i="4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M15" i="22"/>
  <c r="M16" i="22"/>
  <c r="M17" i="22"/>
  <c r="M18" i="22"/>
  <c r="M19" i="22"/>
  <c r="M20" i="22"/>
  <c r="M21" i="22"/>
  <c r="M22" i="22"/>
  <c r="M23" i="22"/>
  <c r="M24" i="22"/>
  <c r="M25" i="22"/>
  <c r="M26" i="22"/>
  <c r="M27" i="22"/>
  <c r="M28" i="22"/>
  <c r="M29" i="22"/>
  <c r="M30" i="22"/>
  <c r="M31" i="22"/>
  <c r="M32" i="22"/>
  <c r="M33" i="22"/>
  <c r="M34" i="22"/>
  <c r="M35" i="22"/>
  <c r="M36" i="22"/>
  <c r="M37" i="22"/>
  <c r="M38" i="22"/>
  <c r="M39" i="22"/>
  <c r="M40" i="22"/>
  <c r="M41" i="22"/>
  <c r="M42" i="22"/>
  <c r="M43" i="22"/>
  <c r="M44" i="22"/>
  <c r="M45" i="22"/>
  <c r="M46" i="22"/>
  <c r="M47" i="22"/>
  <c r="M48" i="22"/>
  <c r="B26" i="19"/>
  <c r="B25" i="19"/>
  <c r="Q4" i="22"/>
  <c r="R4" i="22"/>
  <c r="S4" i="22"/>
  <c r="Q5" i="22"/>
  <c r="R5" i="22"/>
  <c r="S5" i="22"/>
  <c r="Q6" i="22"/>
  <c r="T6" i="22" s="1"/>
  <c r="R6" i="22"/>
  <c r="S6" i="22"/>
  <c r="Q7" i="22"/>
  <c r="R7" i="22"/>
  <c r="S7" i="22"/>
  <c r="Q8" i="22"/>
  <c r="R8" i="22"/>
  <c r="S8" i="22"/>
  <c r="Q9" i="22"/>
  <c r="R9" i="22"/>
  <c r="S9" i="22"/>
  <c r="T9" i="22"/>
  <c r="Q10" i="22"/>
  <c r="R10" i="22"/>
  <c r="S10" i="22"/>
  <c r="Q11" i="22"/>
  <c r="R11" i="22"/>
  <c r="S11" i="22"/>
  <c r="Q12" i="22"/>
  <c r="R12" i="22"/>
  <c r="S12" i="22"/>
  <c r="T12" i="22"/>
  <c r="Q13" i="22"/>
  <c r="R13" i="22"/>
  <c r="S13" i="22"/>
  <c r="Q14" i="22"/>
  <c r="R14" i="22"/>
  <c r="S14" i="22"/>
  <c r="Q15" i="22"/>
  <c r="T15" i="22" s="1"/>
  <c r="R15" i="22"/>
  <c r="S15" i="22"/>
  <c r="Q16" i="22"/>
  <c r="R16" i="22"/>
  <c r="S16" i="22"/>
  <c r="Q17" i="22"/>
  <c r="R17" i="22"/>
  <c r="S17" i="22"/>
  <c r="Q18" i="22"/>
  <c r="R18" i="22"/>
  <c r="S18" i="22"/>
  <c r="T18" i="22"/>
  <c r="Q19" i="22"/>
  <c r="R19" i="22"/>
  <c r="S19" i="22"/>
  <c r="Q20" i="22"/>
  <c r="R20" i="22"/>
  <c r="S20" i="22"/>
  <c r="Q21" i="22"/>
  <c r="R21" i="22"/>
  <c r="S21" i="22"/>
  <c r="Q22" i="22"/>
  <c r="R22" i="22"/>
  <c r="S22" i="22"/>
  <c r="Q23" i="22"/>
  <c r="T23" i="22" s="1"/>
  <c r="R23" i="22"/>
  <c r="S23" i="22"/>
  <c r="Q24" i="22"/>
  <c r="R24" i="22"/>
  <c r="S24" i="22"/>
  <c r="Q25" i="22"/>
  <c r="R25" i="22"/>
  <c r="S25" i="22"/>
  <c r="Q26" i="22"/>
  <c r="T26" i="22" s="1"/>
  <c r="R26" i="22"/>
  <c r="S26" i="22"/>
  <c r="Q27" i="22"/>
  <c r="T27" i="22" s="1"/>
  <c r="R27" i="22"/>
  <c r="S27" i="22"/>
  <c r="Q28" i="22"/>
  <c r="R28" i="22"/>
  <c r="S28" i="22"/>
  <c r="Q29" i="22"/>
  <c r="R29" i="22"/>
  <c r="S29" i="22"/>
  <c r="T29" i="22"/>
  <c r="Q30" i="22"/>
  <c r="R30" i="22"/>
  <c r="S30" i="22"/>
  <c r="Q31" i="22"/>
  <c r="R31" i="22"/>
  <c r="S31" i="22"/>
  <c r="Q32" i="22"/>
  <c r="R32" i="22"/>
  <c r="S32" i="22"/>
  <c r="T32" i="22"/>
  <c r="Q33" i="22"/>
  <c r="R33" i="22"/>
  <c r="S33" i="22"/>
  <c r="Q34" i="22"/>
  <c r="T34" i="22" s="1"/>
  <c r="R34" i="22"/>
  <c r="S34" i="22"/>
  <c r="Q35" i="22"/>
  <c r="R35" i="22"/>
  <c r="S35" i="22"/>
  <c r="T35" i="22"/>
  <c r="Q36" i="22"/>
  <c r="R36" i="22"/>
  <c r="S36" i="22"/>
  <c r="Q37" i="22"/>
  <c r="R37" i="22"/>
  <c r="S37" i="22"/>
  <c r="Q38" i="22"/>
  <c r="R38" i="22"/>
  <c r="S38" i="22"/>
  <c r="T38" i="22"/>
  <c r="Q39" i="22"/>
  <c r="R39" i="22"/>
  <c r="S39" i="22"/>
  <c r="T39" i="22"/>
  <c r="Q40" i="22"/>
  <c r="R40" i="22"/>
  <c r="S40" i="22"/>
  <c r="Q41" i="22"/>
  <c r="T41" i="22" s="1"/>
  <c r="R41" i="22"/>
  <c r="S41" i="22"/>
  <c r="Q42" i="22"/>
  <c r="R42" i="22"/>
  <c r="S42" i="22"/>
  <c r="T42" i="22"/>
  <c r="Q43" i="22"/>
  <c r="R43" i="22"/>
  <c r="S43" i="22"/>
  <c r="Q44" i="22"/>
  <c r="R44" i="22"/>
  <c r="S44" i="22"/>
  <c r="Q45" i="22"/>
  <c r="R45" i="22"/>
  <c r="S45" i="22"/>
  <c r="T45" i="22"/>
  <c r="Q46" i="22"/>
  <c r="R46" i="22"/>
  <c r="S46" i="22"/>
  <c r="Q47" i="22"/>
  <c r="R47" i="22"/>
  <c r="S47" i="22"/>
  <c r="Q48" i="22"/>
  <c r="T48" i="22" s="1"/>
  <c r="R48" i="22"/>
  <c r="S48" i="22"/>
  <c r="S3" i="22"/>
  <c r="R3" i="22"/>
  <c r="Q3" i="22"/>
  <c r="T3" i="22" s="1"/>
  <c r="A1" i="22"/>
  <c r="X1718" i="3"/>
  <c r="X1847" i="3"/>
  <c r="X1920" i="3"/>
  <c r="W1718" i="3"/>
  <c r="W1847" i="3"/>
  <c r="W1920" i="3"/>
  <c r="V1718" i="3"/>
  <c r="V1847" i="3"/>
  <c r="V1920" i="3"/>
  <c r="T8" i="22" l="1"/>
  <c r="Y3001" i="3"/>
  <c r="T11" i="22"/>
  <c r="T36" i="22"/>
  <c r="T30" i="22"/>
  <c r="T33" i="22"/>
  <c r="T4" i="22"/>
  <c r="T43" i="22"/>
  <c r="T14" i="22"/>
  <c r="T21" i="22"/>
  <c r="T17" i="22"/>
  <c r="T24" i="22"/>
  <c r="T31" i="22"/>
  <c r="T44" i="22"/>
  <c r="T47" i="22"/>
  <c r="T7" i="22"/>
  <c r="T20" i="22"/>
  <c r="AA682" i="11"/>
  <c r="C25" i="19"/>
  <c r="R1" i="11"/>
  <c r="Y3000" i="3"/>
  <c r="AA621" i="11"/>
  <c r="Y1920" i="3"/>
  <c r="Y1847" i="3"/>
  <c r="Y1718" i="3"/>
  <c r="T46" i="22"/>
  <c r="T10" i="22"/>
  <c r="T13" i="22"/>
  <c r="T16" i="22"/>
  <c r="T19" i="22"/>
  <c r="T28" i="22"/>
  <c r="T5" i="22"/>
  <c r="T22" i="22"/>
  <c r="T25" i="22"/>
  <c r="T37" i="22"/>
  <c r="T40" i="22"/>
  <c r="M138" i="4"/>
  <c r="M137" i="4"/>
  <c r="P2076" i="3" a="1"/>
  <c r="P2076" i="3" s="1"/>
  <c r="R2076" i="3"/>
  <c r="P2077" i="3" a="1"/>
  <c r="P2077" i="3" s="1"/>
  <c r="R2077" i="3"/>
  <c r="P2078" i="3" a="1"/>
  <c r="P2078" i="3" s="1"/>
  <c r="R2078" i="3"/>
  <c r="P2079" i="3" a="1"/>
  <c r="P2079" i="3" s="1"/>
  <c r="R2079" i="3"/>
  <c r="P2034" i="3" a="1"/>
  <c r="P2034" i="3" s="1"/>
  <c r="R2034" i="3"/>
  <c r="P2033" i="3" a="1"/>
  <c r="P2033" i="3" s="1"/>
  <c r="P2022" i="3" a="1"/>
  <c r="P2022" i="3" s="1"/>
  <c r="R2017" i="3"/>
  <c r="W19" i="12" a="1"/>
  <c r="W19" i="12" s="1"/>
  <c r="W20" i="12" a="1"/>
  <c r="W20" i="12" s="1"/>
  <c r="W21" i="12" a="1"/>
  <c r="W21" i="12" s="1"/>
  <c r="W22" i="12" a="1"/>
  <c r="W22" i="12" s="1"/>
  <c r="H16" i="12"/>
  <c r="H15" i="12"/>
  <c r="H14" i="12"/>
  <c r="H13" i="12"/>
  <c r="H12" i="12"/>
  <c r="H8" i="12"/>
  <c r="H7" i="12"/>
  <c r="H6" i="12"/>
  <c r="P2016" i="3" a="1"/>
  <c r="P2016" i="3" s="1"/>
  <c r="P2017" i="3" a="1"/>
  <c r="P2017" i="3" s="1"/>
  <c r="P2006" i="3" a="1"/>
  <c r="P2006" i="3" s="1"/>
  <c r="P1925" i="3" a="1"/>
  <c r="P1925" i="3" s="1"/>
  <c r="X21" i="12" a="1"/>
  <c r="X21" i="12" s="1"/>
  <c r="X22" i="12" a="1"/>
  <c r="X22" i="12" s="1"/>
  <c r="X565" i="11"/>
  <c r="Y565" i="11"/>
  <c r="Z565" i="11"/>
  <c r="R2245" i="3"/>
  <c r="Q3" i="3"/>
  <c r="R3" i="3" s="1"/>
  <c r="P3" i="3" a="1"/>
  <c r="P3" i="3" s="1"/>
  <c r="P4" i="3" a="1"/>
  <c r="P4" i="3" s="1"/>
  <c r="P5" i="3" a="1"/>
  <c r="P5" i="3" s="1"/>
  <c r="P6" i="3" a="1"/>
  <c r="P6" i="3" s="1"/>
  <c r="P7" i="3" a="1"/>
  <c r="P7" i="3" s="1"/>
  <c r="P8" i="3" a="1"/>
  <c r="P8" i="3" s="1"/>
  <c r="P9" i="3" a="1"/>
  <c r="P9" i="3" s="1"/>
  <c r="P10" i="3" a="1"/>
  <c r="P10" i="3" s="1"/>
  <c r="P11" i="3" a="1"/>
  <c r="P11" i="3" s="1"/>
  <c r="P12" i="3" a="1"/>
  <c r="P12" i="3" s="1"/>
  <c r="P13" i="3" a="1"/>
  <c r="P13" i="3" s="1"/>
  <c r="P14" i="3" a="1"/>
  <c r="P14" i="3" s="1"/>
  <c r="P15" i="3" a="1"/>
  <c r="P15" i="3" s="1"/>
  <c r="P16" i="3" a="1"/>
  <c r="P16" i="3" s="1"/>
  <c r="P17" i="3" a="1"/>
  <c r="P17" i="3" s="1"/>
  <c r="P18" i="3" a="1"/>
  <c r="P18" i="3" s="1"/>
  <c r="P19" i="3" a="1"/>
  <c r="P19" i="3" s="1"/>
  <c r="P20" i="3" a="1"/>
  <c r="P20" i="3" s="1"/>
  <c r="P22" i="3" a="1"/>
  <c r="P22" i="3" s="1"/>
  <c r="P23" i="3" a="1"/>
  <c r="P23" i="3" s="1"/>
  <c r="P24" i="3" a="1"/>
  <c r="P24" i="3" s="1"/>
  <c r="P25" i="3" a="1"/>
  <c r="P25" i="3" s="1"/>
  <c r="P26" i="3" a="1"/>
  <c r="P26" i="3" s="1"/>
  <c r="P27" i="3" a="1"/>
  <c r="P27" i="3" s="1"/>
  <c r="P28" i="3" a="1"/>
  <c r="P28" i="3" s="1"/>
  <c r="P30" i="3" a="1"/>
  <c r="P30" i="3" s="1"/>
  <c r="P31" i="3" a="1"/>
  <c r="P31" i="3" s="1"/>
  <c r="P32" i="3" a="1"/>
  <c r="P32" i="3" s="1"/>
  <c r="P33" i="3" a="1"/>
  <c r="P33" i="3" s="1"/>
  <c r="P34" i="3" a="1"/>
  <c r="P34" i="3" s="1"/>
  <c r="P35" i="3" a="1"/>
  <c r="P35" i="3" s="1"/>
  <c r="P36" i="3" a="1"/>
  <c r="P36" i="3" s="1"/>
  <c r="P38" i="3" a="1"/>
  <c r="P38" i="3" s="1"/>
  <c r="P39" i="3" a="1"/>
  <c r="P39" i="3" s="1"/>
  <c r="P40" i="3" a="1"/>
  <c r="P40" i="3" s="1"/>
  <c r="P41" i="3" a="1"/>
  <c r="P41" i="3" s="1"/>
  <c r="P42" i="3" a="1"/>
  <c r="P42" i="3" s="1"/>
  <c r="P43" i="3" a="1"/>
  <c r="P43" i="3" s="1"/>
  <c r="P44" i="3" a="1"/>
  <c r="P44" i="3" s="1"/>
  <c r="P45" i="3" a="1"/>
  <c r="P45" i="3" s="1"/>
  <c r="P46" i="3" a="1"/>
  <c r="P46" i="3" s="1"/>
  <c r="P47" i="3" a="1"/>
  <c r="P47" i="3" s="1"/>
  <c r="P48" i="3" a="1"/>
  <c r="P48" i="3" s="1"/>
  <c r="P49" i="3" a="1"/>
  <c r="P49" i="3" s="1"/>
  <c r="P50" i="3" a="1"/>
  <c r="P50" i="3" s="1"/>
  <c r="P51" i="3" a="1"/>
  <c r="P51" i="3" s="1"/>
  <c r="P52" i="3" a="1"/>
  <c r="P52" i="3" s="1"/>
  <c r="P53" i="3" a="1"/>
  <c r="P53" i="3" s="1"/>
  <c r="P54" i="3" a="1"/>
  <c r="P54" i="3" s="1"/>
  <c r="P55" i="3" a="1"/>
  <c r="P55" i="3" s="1"/>
  <c r="P56" i="3" a="1"/>
  <c r="P56" i="3" s="1"/>
  <c r="P57" i="3" a="1"/>
  <c r="P57" i="3" s="1"/>
  <c r="P58" i="3" a="1"/>
  <c r="P58" i="3" s="1"/>
  <c r="P59" i="3" a="1"/>
  <c r="P59" i="3" s="1"/>
  <c r="P60" i="3" a="1"/>
  <c r="P60" i="3" s="1"/>
  <c r="P61" i="3" a="1"/>
  <c r="P61" i="3" s="1"/>
  <c r="P62" i="3" a="1"/>
  <c r="P62" i="3" s="1"/>
  <c r="P63" i="3" a="1"/>
  <c r="P63" i="3" s="1"/>
  <c r="P64" i="3" a="1"/>
  <c r="P64" i="3" s="1"/>
  <c r="P65" i="3" a="1"/>
  <c r="P65" i="3" s="1"/>
  <c r="P66" i="3" a="1"/>
  <c r="P66" i="3" s="1"/>
  <c r="P67" i="3" a="1"/>
  <c r="P67" i="3" s="1"/>
  <c r="P68" i="3" a="1"/>
  <c r="P68" i="3" s="1"/>
  <c r="P69" i="3" a="1"/>
  <c r="P69" i="3" s="1"/>
  <c r="P70" i="3" a="1"/>
  <c r="P70" i="3" s="1"/>
  <c r="P71" i="3" a="1"/>
  <c r="P71" i="3" s="1"/>
  <c r="P72" i="3" a="1"/>
  <c r="P72" i="3" s="1"/>
  <c r="P73" i="3" a="1"/>
  <c r="P73" i="3" s="1"/>
  <c r="P74" i="3" a="1"/>
  <c r="P74" i="3" s="1"/>
  <c r="P75" i="3" a="1"/>
  <c r="P75" i="3" s="1"/>
  <c r="P76" i="3" a="1"/>
  <c r="P76" i="3" s="1"/>
  <c r="P77" i="3" a="1"/>
  <c r="P77" i="3" s="1"/>
  <c r="P78" i="3" a="1"/>
  <c r="P78" i="3" s="1"/>
  <c r="P79" i="3" a="1"/>
  <c r="P79" i="3" s="1"/>
  <c r="P80" i="3" a="1"/>
  <c r="P80" i="3" s="1"/>
  <c r="P81" i="3" a="1"/>
  <c r="P81" i="3" s="1"/>
  <c r="P82" i="3" a="1"/>
  <c r="P82" i="3" s="1"/>
  <c r="P83" i="3" a="1"/>
  <c r="P83" i="3" s="1"/>
  <c r="P84" i="3" a="1"/>
  <c r="P84" i="3" s="1"/>
  <c r="P85" i="3" a="1"/>
  <c r="P85" i="3" s="1"/>
  <c r="P86" i="3" a="1"/>
  <c r="P86" i="3" s="1"/>
  <c r="P87" i="3" a="1"/>
  <c r="P87" i="3" s="1"/>
  <c r="P88" i="3" a="1"/>
  <c r="P88" i="3" s="1"/>
  <c r="P89" i="3" a="1"/>
  <c r="P89" i="3" s="1"/>
  <c r="P90" i="3" a="1"/>
  <c r="P90" i="3" s="1"/>
  <c r="P91" i="3" a="1"/>
  <c r="P91" i="3" s="1"/>
  <c r="P92" i="3" a="1"/>
  <c r="P92" i="3" s="1"/>
  <c r="P93" i="3" a="1"/>
  <c r="P93" i="3" s="1"/>
  <c r="P94" i="3" a="1"/>
  <c r="P94" i="3" s="1"/>
  <c r="P95" i="3" a="1"/>
  <c r="P95" i="3" s="1"/>
  <c r="P96" i="3" a="1"/>
  <c r="P96" i="3" s="1"/>
  <c r="P97" i="3" a="1"/>
  <c r="P97" i="3" s="1"/>
  <c r="P98" i="3" a="1"/>
  <c r="P98" i="3" s="1"/>
  <c r="P99" i="3" a="1"/>
  <c r="P99" i="3" s="1"/>
  <c r="P100" i="3" a="1"/>
  <c r="P100" i="3" s="1"/>
  <c r="P101" i="3" a="1"/>
  <c r="P101" i="3" s="1"/>
  <c r="P102" i="3" a="1"/>
  <c r="P102" i="3" s="1"/>
  <c r="P103" i="3" a="1"/>
  <c r="P103" i="3" s="1"/>
  <c r="P104" i="3" a="1"/>
  <c r="P104" i="3" s="1"/>
  <c r="P105" i="3" a="1"/>
  <c r="P105" i="3" s="1"/>
  <c r="P106" i="3" a="1"/>
  <c r="P106" i="3" s="1"/>
  <c r="P107" i="3" a="1"/>
  <c r="P107" i="3" s="1"/>
  <c r="P108" i="3" a="1"/>
  <c r="P108" i="3" s="1"/>
  <c r="P109" i="3" a="1"/>
  <c r="P109" i="3" s="1"/>
  <c r="P110" i="3" a="1"/>
  <c r="P110" i="3" s="1"/>
  <c r="P111" i="3" a="1"/>
  <c r="P111" i="3" s="1"/>
  <c r="P112" i="3" a="1"/>
  <c r="P112" i="3" s="1"/>
  <c r="P113" i="3" a="1"/>
  <c r="P113" i="3" s="1"/>
  <c r="P114" i="3" a="1"/>
  <c r="P114" i="3" s="1"/>
  <c r="P115" i="3" a="1"/>
  <c r="P115" i="3" s="1"/>
  <c r="P116" i="3" a="1"/>
  <c r="P116" i="3" s="1"/>
  <c r="P117" i="3" a="1"/>
  <c r="P117" i="3" s="1"/>
  <c r="P118" i="3" a="1"/>
  <c r="P118" i="3" s="1"/>
  <c r="P119" i="3" a="1"/>
  <c r="P119" i="3" s="1"/>
  <c r="P120" i="3" a="1"/>
  <c r="P120" i="3" s="1"/>
  <c r="P121" i="3" a="1"/>
  <c r="P121" i="3" s="1"/>
  <c r="P122" i="3" a="1"/>
  <c r="P122" i="3" s="1"/>
  <c r="P123" i="3" a="1"/>
  <c r="P123" i="3" s="1"/>
  <c r="P124" i="3" a="1"/>
  <c r="P124" i="3" s="1"/>
  <c r="P125" i="3" a="1"/>
  <c r="P125" i="3" s="1"/>
  <c r="P126" i="3" a="1"/>
  <c r="P126" i="3" s="1"/>
  <c r="P127" i="3" a="1"/>
  <c r="P127" i="3" s="1"/>
  <c r="P128" i="3" a="1"/>
  <c r="P128" i="3" s="1"/>
  <c r="P129" i="3" a="1"/>
  <c r="P129" i="3" s="1"/>
  <c r="P130" i="3" a="1"/>
  <c r="P130" i="3" s="1"/>
  <c r="P131" i="3" a="1"/>
  <c r="P131" i="3" s="1"/>
  <c r="P132" i="3" a="1"/>
  <c r="P132" i="3" s="1"/>
  <c r="P133" i="3" a="1"/>
  <c r="P133" i="3" s="1"/>
  <c r="P134" i="3" a="1"/>
  <c r="P134" i="3" s="1"/>
  <c r="P135" i="3" a="1"/>
  <c r="P135" i="3" s="1"/>
  <c r="P136" i="3" a="1"/>
  <c r="P136" i="3" s="1"/>
  <c r="P137" i="3" a="1"/>
  <c r="P137" i="3" s="1"/>
  <c r="P138" i="3" a="1"/>
  <c r="P138" i="3" s="1"/>
  <c r="P139" i="3" a="1"/>
  <c r="P139" i="3" s="1"/>
  <c r="P140" i="3" a="1"/>
  <c r="P140" i="3" s="1"/>
  <c r="P141" i="3" a="1"/>
  <c r="P141" i="3" s="1"/>
  <c r="P142" i="3" a="1"/>
  <c r="P142" i="3" s="1"/>
  <c r="P143" i="3" a="1"/>
  <c r="P143" i="3" s="1"/>
  <c r="P144" i="3" a="1"/>
  <c r="P144" i="3" s="1"/>
  <c r="P145" i="3" a="1"/>
  <c r="P145" i="3" s="1"/>
  <c r="P146" i="3" a="1"/>
  <c r="P146" i="3" s="1"/>
  <c r="P147" i="3" a="1"/>
  <c r="P147" i="3" s="1"/>
  <c r="P148" i="3" a="1"/>
  <c r="P148" i="3" s="1"/>
  <c r="P149" i="3" a="1"/>
  <c r="P149" i="3" s="1"/>
  <c r="P150" i="3" a="1"/>
  <c r="P150" i="3" s="1"/>
  <c r="P151" i="3" a="1"/>
  <c r="P151" i="3" s="1"/>
  <c r="P152" i="3" a="1"/>
  <c r="P152" i="3" s="1"/>
  <c r="P153" i="3" a="1"/>
  <c r="P153" i="3" s="1"/>
  <c r="P154" i="3" a="1"/>
  <c r="P154" i="3" s="1"/>
  <c r="P155" i="3" a="1"/>
  <c r="P155" i="3" s="1"/>
  <c r="P156" i="3" a="1"/>
  <c r="P156" i="3" s="1"/>
  <c r="P157" i="3" a="1"/>
  <c r="P157" i="3" s="1"/>
  <c r="P158" i="3" a="1"/>
  <c r="P158" i="3" s="1"/>
  <c r="P159" i="3" a="1"/>
  <c r="P159" i="3" s="1"/>
  <c r="P160" i="3" a="1"/>
  <c r="P160" i="3" s="1"/>
  <c r="P161" i="3" a="1"/>
  <c r="P161" i="3" s="1"/>
  <c r="P162" i="3" a="1"/>
  <c r="P162" i="3" s="1"/>
  <c r="P163" i="3" a="1"/>
  <c r="P163" i="3" s="1"/>
  <c r="P164" i="3" a="1"/>
  <c r="P164" i="3" s="1"/>
  <c r="P165" i="3" a="1"/>
  <c r="P165" i="3" s="1"/>
  <c r="P166" i="3" a="1"/>
  <c r="P166" i="3" s="1"/>
  <c r="P167" i="3" a="1"/>
  <c r="P167" i="3" s="1"/>
  <c r="P168" i="3" a="1"/>
  <c r="P168" i="3" s="1"/>
  <c r="P169" i="3" a="1"/>
  <c r="P169" i="3" s="1"/>
  <c r="P170" i="3" a="1"/>
  <c r="P170" i="3" s="1"/>
  <c r="P171" i="3" a="1"/>
  <c r="P171" i="3" s="1"/>
  <c r="P172" i="3" a="1"/>
  <c r="P172" i="3" s="1"/>
  <c r="P173" i="3" a="1"/>
  <c r="P173" i="3" s="1"/>
  <c r="P174" i="3" a="1"/>
  <c r="P174" i="3" s="1"/>
  <c r="P175" i="3" a="1"/>
  <c r="P175" i="3" s="1"/>
  <c r="P176" i="3" a="1"/>
  <c r="P176" i="3" s="1"/>
  <c r="P177" i="3" a="1"/>
  <c r="P177" i="3" s="1"/>
  <c r="P178" i="3" a="1"/>
  <c r="P178" i="3" s="1"/>
  <c r="P179" i="3" a="1"/>
  <c r="P179" i="3" s="1"/>
  <c r="P180" i="3" a="1"/>
  <c r="P180" i="3" s="1"/>
  <c r="P181" i="3" a="1"/>
  <c r="P181" i="3" s="1"/>
  <c r="P182" i="3" a="1"/>
  <c r="P182" i="3" s="1"/>
  <c r="P184" i="3" a="1"/>
  <c r="P184" i="3" s="1"/>
  <c r="P185" i="3" a="1"/>
  <c r="P185" i="3" s="1"/>
  <c r="P186" i="3" a="1"/>
  <c r="P186" i="3" s="1"/>
  <c r="P187" i="3" a="1"/>
  <c r="P187" i="3" s="1"/>
  <c r="P188" i="3" a="1"/>
  <c r="P188" i="3" s="1"/>
  <c r="P189" i="3" a="1"/>
  <c r="P189" i="3" s="1"/>
  <c r="P190" i="3" a="1"/>
  <c r="P190" i="3" s="1"/>
  <c r="P191" i="3" a="1"/>
  <c r="P191" i="3" s="1"/>
  <c r="P192" i="3" a="1"/>
  <c r="P192" i="3" s="1"/>
  <c r="P193" i="3" a="1"/>
  <c r="P193" i="3" s="1"/>
  <c r="P194" i="3" a="1"/>
  <c r="P194" i="3" s="1"/>
  <c r="P195" i="3" a="1"/>
  <c r="P195" i="3" s="1"/>
  <c r="P196" i="3" a="1"/>
  <c r="P196" i="3" s="1"/>
  <c r="P197" i="3" a="1"/>
  <c r="P197" i="3" s="1"/>
  <c r="P198" i="3" a="1"/>
  <c r="P198" i="3" s="1"/>
  <c r="P199" i="3" a="1"/>
  <c r="P199" i="3" s="1"/>
  <c r="P200" i="3" a="1"/>
  <c r="P200" i="3" s="1"/>
  <c r="P201" i="3" a="1"/>
  <c r="P201" i="3" s="1"/>
  <c r="P202" i="3" a="1"/>
  <c r="P202" i="3" s="1"/>
  <c r="P203" i="3" a="1"/>
  <c r="P203" i="3" s="1"/>
  <c r="P204" i="3" a="1"/>
  <c r="P204" i="3" s="1"/>
  <c r="P205" i="3" a="1"/>
  <c r="P205" i="3" s="1"/>
  <c r="P206" i="3" a="1"/>
  <c r="P206" i="3" s="1"/>
  <c r="P207" i="3" a="1"/>
  <c r="P207" i="3" s="1"/>
  <c r="P208" i="3" a="1"/>
  <c r="P208" i="3" s="1"/>
  <c r="P210" i="3" a="1"/>
  <c r="P210" i="3" s="1"/>
  <c r="P211" i="3" a="1"/>
  <c r="P211" i="3" s="1"/>
  <c r="P212" i="3" a="1"/>
  <c r="P212" i="3" s="1"/>
  <c r="P213" i="3" a="1"/>
  <c r="P213" i="3" s="1"/>
  <c r="P214" i="3" a="1"/>
  <c r="P214" i="3" s="1"/>
  <c r="P215" i="3" a="1"/>
  <c r="P215" i="3" s="1"/>
  <c r="P216" i="3" a="1"/>
  <c r="P216" i="3" s="1"/>
  <c r="P217" i="3" a="1"/>
  <c r="P217" i="3" s="1"/>
  <c r="P218" i="3" a="1"/>
  <c r="P218" i="3" s="1"/>
  <c r="P219" i="3" a="1"/>
  <c r="P219" i="3" s="1"/>
  <c r="P220" i="3" a="1"/>
  <c r="P220" i="3" s="1"/>
  <c r="P222" i="3" a="1"/>
  <c r="P222" i="3" s="1"/>
  <c r="P223" i="3" a="1"/>
  <c r="P223" i="3" s="1"/>
  <c r="P224" i="3" a="1"/>
  <c r="P224" i="3" s="1"/>
  <c r="P225" i="3" a="1"/>
  <c r="P225" i="3" s="1"/>
  <c r="P226" i="3" a="1"/>
  <c r="P226" i="3" s="1"/>
  <c r="P227" i="3" a="1"/>
  <c r="P227" i="3" s="1"/>
  <c r="P228" i="3" a="1"/>
  <c r="P228" i="3" s="1"/>
  <c r="P229" i="3" a="1"/>
  <c r="P229" i="3" s="1"/>
  <c r="P230" i="3" a="1"/>
  <c r="P230" i="3" s="1"/>
  <c r="P231" i="3" a="1"/>
  <c r="P231" i="3" s="1"/>
  <c r="P232" i="3" a="1"/>
  <c r="P232" i="3" s="1"/>
  <c r="P233" i="3" a="1"/>
  <c r="P233" i="3" s="1"/>
  <c r="P234" i="3" a="1"/>
  <c r="P234" i="3" s="1"/>
  <c r="P235" i="3" a="1"/>
  <c r="P235" i="3" s="1"/>
  <c r="P236" i="3" a="1"/>
  <c r="P236" i="3" s="1"/>
  <c r="P237" i="3" a="1"/>
  <c r="P237" i="3" s="1"/>
  <c r="P238" i="3" a="1"/>
  <c r="P238" i="3" s="1"/>
  <c r="P239" i="3" a="1"/>
  <c r="P239" i="3" s="1"/>
  <c r="P240" i="3" a="1"/>
  <c r="P240" i="3" s="1"/>
  <c r="P241" i="3" a="1"/>
  <c r="P241" i="3" s="1"/>
  <c r="P242" i="3" a="1"/>
  <c r="P242" i="3" s="1"/>
  <c r="P243" i="3" a="1"/>
  <c r="P243" i="3" s="1"/>
  <c r="P244" i="3" a="1"/>
  <c r="P244" i="3" s="1"/>
  <c r="P245" i="3" a="1"/>
  <c r="P245" i="3" s="1"/>
  <c r="P246" i="3" a="1"/>
  <c r="P246" i="3" s="1"/>
  <c r="P247" i="3" a="1"/>
  <c r="P247" i="3" s="1"/>
  <c r="P248" i="3" a="1"/>
  <c r="P248" i="3" s="1"/>
  <c r="P249" i="3" a="1"/>
  <c r="P249" i="3" s="1"/>
  <c r="P250" i="3" a="1"/>
  <c r="P250" i="3" s="1"/>
  <c r="P251" i="3" a="1"/>
  <c r="P251" i="3" s="1"/>
  <c r="P252" i="3" a="1"/>
  <c r="P252" i="3" s="1"/>
  <c r="P253" i="3" a="1"/>
  <c r="P253" i="3" s="1"/>
  <c r="P254" i="3" a="1"/>
  <c r="P254" i="3" s="1"/>
  <c r="P255" i="3" a="1"/>
  <c r="P255" i="3" s="1"/>
  <c r="P256" i="3" a="1"/>
  <c r="P256" i="3" s="1"/>
  <c r="P257" i="3" a="1"/>
  <c r="P257" i="3" s="1"/>
  <c r="P258" i="3" a="1"/>
  <c r="P258" i="3" s="1"/>
  <c r="P259" i="3" a="1"/>
  <c r="P259" i="3" s="1"/>
  <c r="P260" i="3" a="1"/>
  <c r="P260" i="3" s="1"/>
  <c r="P261" i="3" a="1"/>
  <c r="P261" i="3" s="1"/>
  <c r="P262" i="3" a="1"/>
  <c r="P262" i="3" s="1"/>
  <c r="P263" i="3" a="1"/>
  <c r="P263" i="3" s="1"/>
  <c r="P264" i="3" a="1"/>
  <c r="P264" i="3" s="1"/>
  <c r="P265" i="3" a="1"/>
  <c r="P265" i="3" s="1"/>
  <c r="P266" i="3" a="1"/>
  <c r="P266" i="3" s="1"/>
  <c r="P267" i="3" a="1"/>
  <c r="P267" i="3" s="1"/>
  <c r="P268" i="3" a="1"/>
  <c r="P268" i="3" s="1"/>
  <c r="P269" i="3" a="1"/>
  <c r="P269" i="3" s="1"/>
  <c r="P270" i="3" a="1"/>
  <c r="P270" i="3" s="1"/>
  <c r="P271" i="3" a="1"/>
  <c r="P271" i="3" s="1"/>
  <c r="P272" i="3" a="1"/>
  <c r="P272" i="3" s="1"/>
  <c r="P273" i="3" a="1"/>
  <c r="P273" i="3" s="1"/>
  <c r="P274" i="3" a="1"/>
  <c r="P274" i="3" s="1"/>
  <c r="P275" i="3" a="1"/>
  <c r="P275" i="3" s="1"/>
  <c r="P276" i="3" a="1"/>
  <c r="P276" i="3" s="1"/>
  <c r="P277" i="3" a="1"/>
  <c r="P277" i="3" s="1"/>
  <c r="P278" i="3" a="1"/>
  <c r="P278" i="3" s="1"/>
  <c r="P279" i="3" a="1"/>
  <c r="P279" i="3" s="1"/>
  <c r="P280" i="3" a="1"/>
  <c r="P280" i="3" s="1"/>
  <c r="P281" i="3" a="1"/>
  <c r="P281" i="3" s="1"/>
  <c r="P282" i="3" a="1"/>
  <c r="P282" i="3" s="1"/>
  <c r="P283" i="3" a="1"/>
  <c r="P283" i="3" s="1"/>
  <c r="P284" i="3" a="1"/>
  <c r="P284" i="3" s="1"/>
  <c r="P285" i="3" a="1"/>
  <c r="P285" i="3" s="1"/>
  <c r="P286" i="3" a="1"/>
  <c r="P286" i="3" s="1"/>
  <c r="P287" i="3" a="1"/>
  <c r="P287" i="3" s="1"/>
  <c r="P288" i="3" a="1"/>
  <c r="P288" i="3" s="1"/>
  <c r="P289" i="3" a="1"/>
  <c r="P289" i="3" s="1"/>
  <c r="P290" i="3" a="1"/>
  <c r="P290" i="3" s="1"/>
  <c r="P291" i="3" a="1"/>
  <c r="P291" i="3" s="1"/>
  <c r="P292" i="3" a="1"/>
  <c r="P292" i="3" s="1"/>
  <c r="P293" i="3" a="1"/>
  <c r="P293" i="3" s="1"/>
  <c r="P294" i="3" a="1"/>
  <c r="P294" i="3" s="1"/>
  <c r="P295" i="3" a="1"/>
  <c r="P295" i="3" s="1"/>
  <c r="P296" i="3" a="1"/>
  <c r="P296" i="3" s="1"/>
  <c r="P297" i="3" a="1"/>
  <c r="P297" i="3" s="1"/>
  <c r="P298" i="3" a="1"/>
  <c r="P298" i="3" s="1"/>
  <c r="P299" i="3" a="1"/>
  <c r="P299" i="3" s="1"/>
  <c r="P300" i="3" a="1"/>
  <c r="P300" i="3" s="1"/>
  <c r="P301" i="3" a="1"/>
  <c r="P301" i="3" s="1"/>
  <c r="P302" i="3" a="1"/>
  <c r="P302" i="3" s="1"/>
  <c r="P303" i="3" a="1"/>
  <c r="P303" i="3" s="1"/>
  <c r="P304" i="3" a="1"/>
  <c r="P304" i="3" s="1"/>
  <c r="P305" i="3" a="1"/>
  <c r="P305" i="3" s="1"/>
  <c r="P306" i="3" a="1"/>
  <c r="P306" i="3" s="1"/>
  <c r="P307" i="3" a="1"/>
  <c r="P307" i="3" s="1"/>
  <c r="P308" i="3" a="1"/>
  <c r="P308" i="3" s="1"/>
  <c r="P309" i="3" a="1"/>
  <c r="P309" i="3" s="1"/>
  <c r="P310" i="3" a="1"/>
  <c r="P310" i="3" s="1"/>
  <c r="P311" i="3" a="1"/>
  <c r="P311" i="3" s="1"/>
  <c r="P312" i="3" a="1"/>
  <c r="P312" i="3" s="1"/>
  <c r="P313" i="3" a="1"/>
  <c r="P313" i="3" s="1"/>
  <c r="P314" i="3" a="1"/>
  <c r="P314" i="3" s="1"/>
  <c r="P315" i="3" a="1"/>
  <c r="P315" i="3" s="1"/>
  <c r="P316" i="3" a="1"/>
  <c r="P316" i="3" s="1"/>
  <c r="P317" i="3" a="1"/>
  <c r="P317" i="3" s="1"/>
  <c r="P318" i="3" a="1"/>
  <c r="P318" i="3" s="1"/>
  <c r="P319" i="3" a="1"/>
  <c r="P319" i="3" s="1"/>
  <c r="P320" i="3" a="1"/>
  <c r="P320" i="3" s="1"/>
  <c r="P321" i="3" a="1"/>
  <c r="P321" i="3" s="1"/>
  <c r="P322" i="3" a="1"/>
  <c r="P322" i="3" s="1"/>
  <c r="P323" i="3" a="1"/>
  <c r="P323" i="3" s="1"/>
  <c r="P324" i="3" a="1"/>
  <c r="P324" i="3" s="1"/>
  <c r="P325" i="3" a="1"/>
  <c r="P325" i="3" s="1"/>
  <c r="P326" i="3" a="1"/>
  <c r="P326" i="3" s="1"/>
  <c r="P327" i="3" a="1"/>
  <c r="P327" i="3" s="1"/>
  <c r="P328" i="3" a="1"/>
  <c r="P328" i="3" s="1"/>
  <c r="P329" i="3" a="1"/>
  <c r="P329" i="3" s="1"/>
  <c r="P330" i="3" a="1"/>
  <c r="P330" i="3" s="1"/>
  <c r="P331" i="3" a="1"/>
  <c r="P331" i="3" s="1"/>
  <c r="P332" i="3" a="1"/>
  <c r="P332" i="3" s="1"/>
  <c r="P333" i="3" a="1"/>
  <c r="P333" i="3" s="1"/>
  <c r="P334" i="3" a="1"/>
  <c r="P334" i="3" s="1"/>
  <c r="P335" i="3" a="1"/>
  <c r="P335" i="3" s="1"/>
  <c r="P336" i="3" a="1"/>
  <c r="P336" i="3" s="1"/>
  <c r="P337" i="3" a="1"/>
  <c r="P337" i="3" s="1"/>
  <c r="P338" i="3" a="1"/>
  <c r="P338" i="3" s="1"/>
  <c r="P339" i="3" a="1"/>
  <c r="P339" i="3" s="1"/>
  <c r="P340" i="3" a="1"/>
  <c r="P340" i="3" s="1"/>
  <c r="P341" i="3" a="1"/>
  <c r="P341" i="3" s="1"/>
  <c r="P342" i="3" a="1"/>
  <c r="P342" i="3" s="1"/>
  <c r="P343" i="3" a="1"/>
  <c r="P343" i="3" s="1"/>
  <c r="P344" i="3" a="1"/>
  <c r="P344" i="3" s="1"/>
  <c r="P345" i="3" a="1"/>
  <c r="P345" i="3" s="1"/>
  <c r="P346" i="3" a="1"/>
  <c r="P346" i="3" s="1"/>
  <c r="P347" i="3" a="1"/>
  <c r="P347" i="3" s="1"/>
  <c r="P348" i="3" a="1"/>
  <c r="P348" i="3" s="1"/>
  <c r="P349" i="3" a="1"/>
  <c r="P349" i="3" s="1"/>
  <c r="P350" i="3" a="1"/>
  <c r="P350" i="3" s="1"/>
  <c r="P351" i="3" a="1"/>
  <c r="P351" i="3" s="1"/>
  <c r="P352" i="3" a="1"/>
  <c r="P352" i="3" s="1"/>
  <c r="P353" i="3" a="1"/>
  <c r="P353" i="3" s="1"/>
  <c r="P354" i="3" a="1"/>
  <c r="P354" i="3" s="1"/>
  <c r="P355" i="3" a="1"/>
  <c r="P355" i="3" s="1"/>
  <c r="P356" i="3" a="1"/>
  <c r="P356" i="3" s="1"/>
  <c r="P357" i="3" a="1"/>
  <c r="P357" i="3" s="1"/>
  <c r="P358" i="3" a="1"/>
  <c r="P358" i="3" s="1"/>
  <c r="P359" i="3" a="1"/>
  <c r="P359" i="3" s="1"/>
  <c r="P360" i="3" a="1"/>
  <c r="P360" i="3" s="1"/>
  <c r="P361" i="3" a="1"/>
  <c r="P361" i="3" s="1"/>
  <c r="P362" i="3" a="1"/>
  <c r="P362" i="3" s="1"/>
  <c r="P363" i="3" a="1"/>
  <c r="P363" i="3" s="1"/>
  <c r="P364" i="3" a="1"/>
  <c r="P364" i="3" s="1"/>
  <c r="P365" i="3" a="1"/>
  <c r="P365" i="3" s="1"/>
  <c r="P366" i="3" a="1"/>
  <c r="P366" i="3" s="1"/>
  <c r="P367" i="3" a="1"/>
  <c r="P367" i="3" s="1"/>
  <c r="P368" i="3" a="1"/>
  <c r="P368" i="3" s="1"/>
  <c r="P369" i="3" a="1"/>
  <c r="P369" i="3" s="1"/>
  <c r="P370" i="3" a="1"/>
  <c r="P370" i="3" s="1"/>
  <c r="P371" i="3" a="1"/>
  <c r="P371" i="3" s="1"/>
  <c r="P372" i="3" a="1"/>
  <c r="P372" i="3" s="1"/>
  <c r="P373" i="3" a="1"/>
  <c r="P373" i="3" s="1"/>
  <c r="P374" i="3" a="1"/>
  <c r="P374" i="3" s="1"/>
  <c r="P375" i="3" a="1"/>
  <c r="P375" i="3" s="1"/>
  <c r="P376" i="3" a="1"/>
  <c r="P376" i="3" s="1"/>
  <c r="P377" i="3" a="1"/>
  <c r="P377" i="3" s="1"/>
  <c r="P378" i="3" a="1"/>
  <c r="P378" i="3" s="1"/>
  <c r="P379" i="3" a="1"/>
  <c r="P379" i="3" s="1"/>
  <c r="P380" i="3" a="1"/>
  <c r="P380" i="3" s="1"/>
  <c r="P381" i="3" a="1"/>
  <c r="P381" i="3" s="1"/>
  <c r="P382" i="3" a="1"/>
  <c r="P382" i="3" s="1"/>
  <c r="P383" i="3" a="1"/>
  <c r="P383" i="3" s="1"/>
  <c r="P384" i="3" a="1"/>
  <c r="P384" i="3" s="1"/>
  <c r="P385" i="3" a="1"/>
  <c r="P385" i="3" s="1"/>
  <c r="P386" i="3" a="1"/>
  <c r="P386" i="3" s="1"/>
  <c r="P387" i="3" a="1"/>
  <c r="P387" i="3" s="1"/>
  <c r="P388" i="3" a="1"/>
  <c r="P388" i="3" s="1"/>
  <c r="P389" i="3" a="1"/>
  <c r="P389" i="3" s="1"/>
  <c r="P390" i="3" a="1"/>
  <c r="P390" i="3" s="1"/>
  <c r="P391" i="3" a="1"/>
  <c r="P391" i="3" s="1"/>
  <c r="P392" i="3" a="1"/>
  <c r="P392" i="3" s="1"/>
  <c r="P393" i="3" a="1"/>
  <c r="P393" i="3" s="1"/>
  <c r="P394" i="3" a="1"/>
  <c r="P394" i="3" s="1"/>
  <c r="P395" i="3" a="1"/>
  <c r="P395" i="3" s="1"/>
  <c r="P396" i="3" a="1"/>
  <c r="P396" i="3" s="1"/>
  <c r="P397" i="3" a="1"/>
  <c r="P397" i="3" s="1"/>
  <c r="P398" i="3" a="1"/>
  <c r="P398" i="3" s="1"/>
  <c r="P399" i="3" a="1"/>
  <c r="P399" i="3" s="1"/>
  <c r="P400" i="3" a="1"/>
  <c r="P400" i="3" s="1"/>
  <c r="P401" i="3" a="1"/>
  <c r="P401" i="3" s="1"/>
  <c r="P402" i="3" a="1"/>
  <c r="P402" i="3" s="1"/>
  <c r="P403" i="3" a="1"/>
  <c r="P403" i="3" s="1"/>
  <c r="P404" i="3" a="1"/>
  <c r="P404" i="3" s="1"/>
  <c r="P405" i="3" a="1"/>
  <c r="P405" i="3" s="1"/>
  <c r="P406" i="3" a="1"/>
  <c r="P406" i="3" s="1"/>
  <c r="P407" i="3" a="1"/>
  <c r="P407" i="3" s="1"/>
  <c r="P408" i="3" a="1"/>
  <c r="P408" i="3" s="1"/>
  <c r="P409" i="3" a="1"/>
  <c r="P409" i="3" s="1"/>
  <c r="P410" i="3" a="1"/>
  <c r="P410" i="3" s="1"/>
  <c r="P411" i="3" a="1"/>
  <c r="P411" i="3" s="1"/>
  <c r="P412" i="3" a="1"/>
  <c r="P412" i="3" s="1"/>
  <c r="P413" i="3" a="1"/>
  <c r="P413" i="3" s="1"/>
  <c r="P414" i="3" a="1"/>
  <c r="P414" i="3" s="1"/>
  <c r="P415" i="3" a="1"/>
  <c r="P415" i="3" s="1"/>
  <c r="P416" i="3" a="1"/>
  <c r="P416" i="3" s="1"/>
  <c r="P417" i="3" a="1"/>
  <c r="P417" i="3" s="1"/>
  <c r="P418" i="3" a="1"/>
  <c r="P418" i="3" s="1"/>
  <c r="P419" i="3" a="1"/>
  <c r="P419" i="3" s="1"/>
  <c r="P420" i="3" a="1"/>
  <c r="P420" i="3" s="1"/>
  <c r="P421" i="3" a="1"/>
  <c r="P421" i="3" s="1"/>
  <c r="P422" i="3" a="1"/>
  <c r="P422" i="3" s="1"/>
  <c r="P423" i="3" a="1"/>
  <c r="P423" i="3" s="1"/>
  <c r="P424" i="3" a="1"/>
  <c r="P424" i="3" s="1"/>
  <c r="P425" i="3" a="1"/>
  <c r="P425" i="3" s="1"/>
  <c r="P426" i="3" a="1"/>
  <c r="P426" i="3" s="1"/>
  <c r="P427" i="3" a="1"/>
  <c r="P427" i="3" s="1"/>
  <c r="P428" i="3" a="1"/>
  <c r="P428" i="3" s="1"/>
  <c r="P429" i="3" a="1"/>
  <c r="P429" i="3" s="1"/>
  <c r="P430" i="3" a="1"/>
  <c r="P430" i="3" s="1"/>
  <c r="P431" i="3" a="1"/>
  <c r="P431" i="3" s="1"/>
  <c r="P432" i="3" a="1"/>
  <c r="P432" i="3" s="1"/>
  <c r="P433" i="3" a="1"/>
  <c r="P433" i="3" s="1"/>
  <c r="P434" i="3" a="1"/>
  <c r="P434" i="3" s="1"/>
  <c r="P435" i="3" a="1"/>
  <c r="P435" i="3" s="1"/>
  <c r="P436" i="3" a="1"/>
  <c r="P436" i="3" s="1"/>
  <c r="P437" i="3" a="1"/>
  <c r="P437" i="3" s="1"/>
  <c r="P438" i="3" a="1"/>
  <c r="P438" i="3" s="1"/>
  <c r="P439" i="3" a="1"/>
  <c r="P439" i="3" s="1"/>
  <c r="P440" i="3" a="1"/>
  <c r="P440" i="3" s="1"/>
  <c r="P441" i="3" a="1"/>
  <c r="P441" i="3" s="1"/>
  <c r="P442" i="3" a="1"/>
  <c r="P442" i="3" s="1"/>
  <c r="P443" i="3" a="1"/>
  <c r="P443" i="3" s="1"/>
  <c r="P444" i="3" a="1"/>
  <c r="P444" i="3" s="1"/>
  <c r="P445" i="3" a="1"/>
  <c r="P445" i="3" s="1"/>
  <c r="P446" i="3" a="1"/>
  <c r="P446" i="3" s="1"/>
  <c r="P447" i="3" a="1"/>
  <c r="P447" i="3" s="1"/>
  <c r="P448" i="3" a="1"/>
  <c r="P448" i="3" s="1"/>
  <c r="P449" i="3" a="1"/>
  <c r="P449" i="3" s="1"/>
  <c r="P450" i="3" a="1"/>
  <c r="P450" i="3" s="1"/>
  <c r="P451" i="3" a="1"/>
  <c r="P451" i="3" s="1"/>
  <c r="P452" i="3" a="1"/>
  <c r="P452" i="3" s="1"/>
  <c r="P453" i="3" a="1"/>
  <c r="P453" i="3" s="1"/>
  <c r="P454" i="3" a="1"/>
  <c r="P454" i="3" s="1"/>
  <c r="P455" i="3" a="1"/>
  <c r="P455" i="3" s="1"/>
  <c r="P456" i="3" a="1"/>
  <c r="P456" i="3" s="1"/>
  <c r="P457" i="3" a="1"/>
  <c r="P457" i="3" s="1"/>
  <c r="P458" i="3" a="1"/>
  <c r="P458" i="3" s="1"/>
  <c r="P459" i="3" a="1"/>
  <c r="P459" i="3" s="1"/>
  <c r="P460" i="3" a="1"/>
  <c r="P460" i="3" s="1"/>
  <c r="P461" i="3" a="1"/>
  <c r="P461" i="3" s="1"/>
  <c r="P462" i="3" a="1"/>
  <c r="P462" i="3" s="1"/>
  <c r="P463" i="3" a="1"/>
  <c r="P463" i="3" s="1"/>
  <c r="P464" i="3" a="1"/>
  <c r="P464" i="3" s="1"/>
  <c r="P465" i="3" a="1"/>
  <c r="P465" i="3" s="1"/>
  <c r="P466" i="3" a="1"/>
  <c r="P466" i="3" s="1"/>
  <c r="P467" i="3" a="1"/>
  <c r="P467" i="3" s="1"/>
  <c r="P468" i="3" a="1"/>
  <c r="P468" i="3" s="1"/>
  <c r="P469" i="3" a="1"/>
  <c r="P469" i="3" s="1"/>
  <c r="P470" i="3" a="1"/>
  <c r="P470" i="3" s="1"/>
  <c r="P471" i="3" a="1"/>
  <c r="P471" i="3" s="1"/>
  <c r="P472" i="3" a="1"/>
  <c r="P472" i="3" s="1"/>
  <c r="P473" i="3" a="1"/>
  <c r="P473" i="3" s="1"/>
  <c r="P474" i="3" a="1"/>
  <c r="P474" i="3" s="1"/>
  <c r="P475" i="3" a="1"/>
  <c r="P475" i="3" s="1"/>
  <c r="P476" i="3" a="1"/>
  <c r="P476" i="3" s="1"/>
  <c r="P477" i="3" a="1"/>
  <c r="P477" i="3" s="1"/>
  <c r="P478" i="3" a="1"/>
  <c r="P478" i="3" s="1"/>
  <c r="P479" i="3" a="1"/>
  <c r="P479" i="3" s="1"/>
  <c r="P480" i="3" a="1"/>
  <c r="P480" i="3" s="1"/>
  <c r="P481" i="3" a="1"/>
  <c r="P481" i="3" s="1"/>
  <c r="P482" i="3" a="1"/>
  <c r="P482" i="3" s="1"/>
  <c r="P483" i="3" a="1"/>
  <c r="P483" i="3" s="1"/>
  <c r="P484" i="3" a="1"/>
  <c r="P484" i="3" s="1"/>
  <c r="P485" i="3" a="1"/>
  <c r="P485" i="3" s="1"/>
  <c r="P486" i="3" a="1"/>
  <c r="P486" i="3" s="1"/>
  <c r="P487" i="3" a="1"/>
  <c r="P487" i="3" s="1"/>
  <c r="P488" i="3" a="1"/>
  <c r="P488" i="3" s="1"/>
  <c r="P489" i="3" a="1"/>
  <c r="P489" i="3" s="1"/>
  <c r="P490" i="3" a="1"/>
  <c r="P490" i="3" s="1"/>
  <c r="P491" i="3" a="1"/>
  <c r="P491" i="3" s="1"/>
  <c r="P492" i="3" a="1"/>
  <c r="P492" i="3" s="1"/>
  <c r="P493" i="3" a="1"/>
  <c r="P493" i="3" s="1"/>
  <c r="P494" i="3" a="1"/>
  <c r="P494" i="3" s="1"/>
  <c r="P495" i="3" a="1"/>
  <c r="P495" i="3" s="1"/>
  <c r="P496" i="3" a="1"/>
  <c r="P496" i="3" s="1"/>
  <c r="P497" i="3" a="1"/>
  <c r="P497" i="3" s="1"/>
  <c r="P498" i="3" a="1"/>
  <c r="P498" i="3" s="1"/>
  <c r="P499" i="3" a="1"/>
  <c r="P499" i="3" s="1"/>
  <c r="P500" i="3" a="1"/>
  <c r="P500" i="3" s="1"/>
  <c r="P501" i="3" a="1"/>
  <c r="P501" i="3" s="1"/>
  <c r="P502" i="3" a="1"/>
  <c r="P502" i="3" s="1"/>
  <c r="P503" i="3" a="1"/>
  <c r="P503" i="3" s="1"/>
  <c r="P504" i="3" a="1"/>
  <c r="P504" i="3" s="1"/>
  <c r="P505" i="3" a="1"/>
  <c r="P505" i="3" s="1"/>
  <c r="P506" i="3" a="1"/>
  <c r="P506" i="3" s="1"/>
  <c r="P507" i="3" a="1"/>
  <c r="P507" i="3" s="1"/>
  <c r="P508" i="3" a="1"/>
  <c r="P508" i="3" s="1"/>
  <c r="P509" i="3" a="1"/>
  <c r="P509" i="3" s="1"/>
  <c r="P510" i="3" a="1"/>
  <c r="P510" i="3" s="1"/>
  <c r="P511" i="3" a="1"/>
  <c r="P511" i="3" s="1"/>
  <c r="P512" i="3" a="1"/>
  <c r="P512" i="3" s="1"/>
  <c r="P513" i="3" a="1"/>
  <c r="P513" i="3" s="1"/>
  <c r="P514" i="3" a="1"/>
  <c r="P514" i="3" s="1"/>
  <c r="P515" i="3" a="1"/>
  <c r="P515" i="3" s="1"/>
  <c r="P516" i="3" a="1"/>
  <c r="P516" i="3" s="1"/>
  <c r="P517" i="3" a="1"/>
  <c r="P517" i="3" s="1"/>
  <c r="P518" i="3" a="1"/>
  <c r="P518" i="3" s="1"/>
  <c r="P519" i="3" a="1"/>
  <c r="P519" i="3" s="1"/>
  <c r="P520" i="3" a="1"/>
  <c r="P520" i="3" s="1"/>
  <c r="P521" i="3" a="1"/>
  <c r="P521" i="3" s="1"/>
  <c r="P522" i="3" a="1"/>
  <c r="P522" i="3" s="1"/>
  <c r="P523" i="3" a="1"/>
  <c r="P523" i="3" s="1"/>
  <c r="P524" i="3" a="1"/>
  <c r="P524" i="3" s="1"/>
  <c r="P525" i="3" a="1"/>
  <c r="P525" i="3" s="1"/>
  <c r="P526" i="3" a="1"/>
  <c r="P526" i="3" s="1"/>
  <c r="P527" i="3" a="1"/>
  <c r="P527" i="3" s="1"/>
  <c r="P528" i="3" a="1"/>
  <c r="P528" i="3" s="1"/>
  <c r="P529" i="3" a="1"/>
  <c r="P529" i="3" s="1"/>
  <c r="P531" i="3" a="1"/>
  <c r="P531" i="3" s="1"/>
  <c r="P532" i="3" a="1"/>
  <c r="P532" i="3" s="1"/>
  <c r="P533" i="3" a="1"/>
  <c r="P533" i="3" s="1"/>
  <c r="P534" i="3" a="1"/>
  <c r="P534" i="3" s="1"/>
  <c r="P535" i="3" a="1"/>
  <c r="P535" i="3" s="1"/>
  <c r="P536" i="3" a="1"/>
  <c r="P536" i="3" s="1"/>
  <c r="P537" i="3" a="1"/>
  <c r="P537" i="3" s="1"/>
  <c r="P538" i="3" a="1"/>
  <c r="P538" i="3" s="1"/>
  <c r="P539" i="3" a="1"/>
  <c r="P539" i="3" s="1"/>
  <c r="P540" i="3" a="1"/>
  <c r="P540" i="3" s="1"/>
  <c r="P541" i="3" a="1"/>
  <c r="P541" i="3" s="1"/>
  <c r="P542" i="3" a="1"/>
  <c r="P542" i="3" s="1"/>
  <c r="P543" i="3" a="1"/>
  <c r="P543" i="3" s="1"/>
  <c r="P544" i="3" a="1"/>
  <c r="P544" i="3" s="1"/>
  <c r="P545" i="3" a="1"/>
  <c r="P545" i="3" s="1"/>
  <c r="P546" i="3" a="1"/>
  <c r="P546" i="3" s="1"/>
  <c r="P547" i="3" a="1"/>
  <c r="P547" i="3" s="1"/>
  <c r="P548" i="3" a="1"/>
  <c r="P548" i="3" s="1"/>
  <c r="P549" i="3" a="1"/>
  <c r="P549" i="3" s="1"/>
  <c r="P550" i="3" a="1"/>
  <c r="P550" i="3" s="1"/>
  <c r="P551" i="3" a="1"/>
  <c r="P551" i="3" s="1"/>
  <c r="P552" i="3" a="1"/>
  <c r="P552" i="3" s="1"/>
  <c r="P553" i="3" a="1"/>
  <c r="P553" i="3" s="1"/>
  <c r="P554" i="3" a="1"/>
  <c r="P554" i="3" s="1"/>
  <c r="P555" i="3" a="1"/>
  <c r="P555" i="3" s="1"/>
  <c r="P556" i="3" a="1"/>
  <c r="P556" i="3" s="1"/>
  <c r="P557" i="3" a="1"/>
  <c r="P557" i="3" s="1"/>
  <c r="P558" i="3" a="1"/>
  <c r="P558" i="3" s="1"/>
  <c r="P559" i="3" a="1"/>
  <c r="P559" i="3" s="1"/>
  <c r="P560" i="3" a="1"/>
  <c r="P560" i="3" s="1"/>
  <c r="P561" i="3" a="1"/>
  <c r="P561" i="3" s="1"/>
  <c r="P562" i="3" a="1"/>
  <c r="P562" i="3" s="1"/>
  <c r="P563" i="3" a="1"/>
  <c r="P563" i="3" s="1"/>
  <c r="P564" i="3" a="1"/>
  <c r="P564" i="3" s="1"/>
  <c r="P565" i="3" a="1"/>
  <c r="P565" i="3" s="1"/>
  <c r="P566" i="3" a="1"/>
  <c r="P566" i="3" s="1"/>
  <c r="P567" i="3" a="1"/>
  <c r="P567" i="3" s="1"/>
  <c r="P568" i="3" a="1"/>
  <c r="P568" i="3" s="1"/>
  <c r="P569" i="3" a="1"/>
  <c r="P569" i="3" s="1"/>
  <c r="P570" i="3" a="1"/>
  <c r="P570" i="3" s="1"/>
  <c r="P571" i="3" a="1"/>
  <c r="P571" i="3" s="1"/>
  <c r="P572" i="3" a="1"/>
  <c r="P572" i="3" s="1"/>
  <c r="P573" i="3" a="1"/>
  <c r="P573" i="3" s="1"/>
  <c r="P574" i="3" a="1"/>
  <c r="P574" i="3" s="1"/>
  <c r="P575" i="3" a="1"/>
  <c r="P575" i="3" s="1"/>
  <c r="P576" i="3" a="1"/>
  <c r="P576" i="3" s="1"/>
  <c r="P577" i="3" a="1"/>
  <c r="P577" i="3" s="1"/>
  <c r="P578" i="3" a="1"/>
  <c r="P578" i="3" s="1"/>
  <c r="P579" i="3" a="1"/>
  <c r="P579" i="3" s="1"/>
  <c r="P580" i="3" a="1"/>
  <c r="P580" i="3" s="1"/>
  <c r="P581" i="3" a="1"/>
  <c r="P581" i="3" s="1"/>
  <c r="P582" i="3" a="1"/>
  <c r="P582" i="3" s="1"/>
  <c r="P583" i="3" a="1"/>
  <c r="P583" i="3" s="1"/>
  <c r="P584" i="3" a="1"/>
  <c r="P584" i="3" s="1"/>
  <c r="P585" i="3" a="1"/>
  <c r="P585" i="3" s="1"/>
  <c r="P586" i="3" a="1"/>
  <c r="P586" i="3" s="1"/>
  <c r="P587" i="3" a="1"/>
  <c r="P587" i="3" s="1"/>
  <c r="P588" i="3" a="1"/>
  <c r="P588" i="3" s="1"/>
  <c r="P589" i="3" a="1"/>
  <c r="P589" i="3" s="1"/>
  <c r="P590" i="3" a="1"/>
  <c r="P590" i="3" s="1"/>
  <c r="P591" i="3" a="1"/>
  <c r="P591" i="3" s="1"/>
  <c r="P592" i="3" a="1"/>
  <c r="P592" i="3" s="1"/>
  <c r="P593" i="3" a="1"/>
  <c r="P593" i="3" s="1"/>
  <c r="P594" i="3" a="1"/>
  <c r="P594" i="3" s="1"/>
  <c r="P595" i="3" a="1"/>
  <c r="P595" i="3" s="1"/>
  <c r="P596" i="3" a="1"/>
  <c r="P596" i="3" s="1"/>
  <c r="P597" i="3" a="1"/>
  <c r="P597" i="3" s="1"/>
  <c r="P598" i="3" a="1"/>
  <c r="P598" i="3" s="1"/>
  <c r="P599" i="3" a="1"/>
  <c r="P599" i="3" s="1"/>
  <c r="P600" i="3" a="1"/>
  <c r="P600" i="3" s="1"/>
  <c r="P601" i="3" a="1"/>
  <c r="P601" i="3" s="1"/>
  <c r="P602" i="3" a="1"/>
  <c r="P602" i="3" s="1"/>
  <c r="P603" i="3" a="1"/>
  <c r="P603" i="3" s="1"/>
  <c r="P604" i="3" a="1"/>
  <c r="P604" i="3" s="1"/>
  <c r="P605" i="3" a="1"/>
  <c r="P605" i="3" s="1"/>
  <c r="P606" i="3" a="1"/>
  <c r="P606" i="3" s="1"/>
  <c r="P607" i="3" a="1"/>
  <c r="P607" i="3" s="1"/>
  <c r="P608" i="3" a="1"/>
  <c r="P608" i="3" s="1"/>
  <c r="P609" i="3" a="1"/>
  <c r="P609" i="3" s="1"/>
  <c r="P610" i="3" a="1"/>
  <c r="P610" i="3" s="1"/>
  <c r="P611" i="3" a="1"/>
  <c r="P611" i="3" s="1"/>
  <c r="P612" i="3" a="1"/>
  <c r="P612" i="3" s="1"/>
  <c r="P613" i="3" a="1"/>
  <c r="P613" i="3" s="1"/>
  <c r="P614" i="3" a="1"/>
  <c r="P614" i="3" s="1"/>
  <c r="P615" i="3" a="1"/>
  <c r="P615" i="3" s="1"/>
  <c r="P616" i="3" a="1"/>
  <c r="P616" i="3" s="1"/>
  <c r="P617" i="3" a="1"/>
  <c r="P617" i="3" s="1"/>
  <c r="P618" i="3" a="1"/>
  <c r="P618" i="3" s="1"/>
  <c r="P619" i="3" a="1"/>
  <c r="P619" i="3" s="1"/>
  <c r="P620" i="3" a="1"/>
  <c r="P620" i="3" s="1"/>
  <c r="P621" i="3" a="1"/>
  <c r="P621" i="3" s="1"/>
  <c r="P622" i="3" a="1"/>
  <c r="P622" i="3" s="1"/>
  <c r="P623" i="3" a="1"/>
  <c r="P623" i="3" s="1"/>
  <c r="P624" i="3" a="1"/>
  <c r="P624" i="3" s="1"/>
  <c r="P625" i="3" a="1"/>
  <c r="P625" i="3" s="1"/>
  <c r="P626" i="3" a="1"/>
  <c r="P626" i="3" s="1"/>
  <c r="P627" i="3" a="1"/>
  <c r="P627" i="3" s="1"/>
  <c r="P628" i="3" a="1"/>
  <c r="P628" i="3" s="1"/>
  <c r="P629" i="3" a="1"/>
  <c r="P629" i="3" s="1"/>
  <c r="P630" i="3" a="1"/>
  <c r="P630" i="3" s="1"/>
  <c r="P631" i="3" a="1"/>
  <c r="P631" i="3" s="1"/>
  <c r="P632" i="3" a="1"/>
  <c r="P632" i="3" s="1"/>
  <c r="P633" i="3" a="1"/>
  <c r="P633" i="3" s="1"/>
  <c r="P634" i="3" a="1"/>
  <c r="P634" i="3" s="1"/>
  <c r="P635" i="3" a="1"/>
  <c r="P635" i="3" s="1"/>
  <c r="P636" i="3" a="1"/>
  <c r="P636" i="3" s="1"/>
  <c r="P637" i="3" a="1"/>
  <c r="P637" i="3" s="1"/>
  <c r="P638" i="3" a="1"/>
  <c r="P638" i="3" s="1"/>
  <c r="P639" i="3" a="1"/>
  <c r="P639" i="3" s="1"/>
  <c r="P640" i="3" a="1"/>
  <c r="P640" i="3" s="1"/>
  <c r="P641" i="3" a="1"/>
  <c r="P641" i="3" s="1"/>
  <c r="P642" i="3" a="1"/>
  <c r="P642" i="3" s="1"/>
  <c r="P643" i="3" a="1"/>
  <c r="P643" i="3" s="1"/>
  <c r="P644" i="3" a="1"/>
  <c r="P644" i="3" s="1"/>
  <c r="P645" i="3" a="1"/>
  <c r="P645" i="3" s="1"/>
  <c r="P646" i="3" a="1"/>
  <c r="P646" i="3" s="1"/>
  <c r="P647" i="3" a="1"/>
  <c r="P647" i="3" s="1"/>
  <c r="P648" i="3" a="1"/>
  <c r="P648" i="3" s="1"/>
  <c r="P649" i="3" a="1"/>
  <c r="P649" i="3" s="1"/>
  <c r="P650" i="3" a="1"/>
  <c r="P650" i="3" s="1"/>
  <c r="P651" i="3" a="1"/>
  <c r="P651" i="3" s="1"/>
  <c r="P652" i="3" a="1"/>
  <c r="P652" i="3" s="1"/>
  <c r="P653" i="3" a="1"/>
  <c r="P653" i="3" s="1"/>
  <c r="P654" i="3" a="1"/>
  <c r="P654" i="3" s="1"/>
  <c r="P655" i="3" a="1"/>
  <c r="P655" i="3" s="1"/>
  <c r="P656" i="3" a="1"/>
  <c r="P656" i="3" s="1"/>
  <c r="P658" i="3" a="1"/>
  <c r="P658" i="3" s="1"/>
  <c r="P659" i="3" a="1"/>
  <c r="P659" i="3" s="1"/>
  <c r="P660" i="3" a="1"/>
  <c r="P660" i="3" s="1"/>
  <c r="P661" i="3" a="1"/>
  <c r="P661" i="3" s="1"/>
  <c r="P662" i="3" a="1"/>
  <c r="P662" i="3" s="1"/>
  <c r="P663" i="3" a="1"/>
  <c r="P663" i="3" s="1"/>
  <c r="P664" i="3" a="1"/>
  <c r="P664" i="3" s="1"/>
  <c r="P665" i="3" a="1"/>
  <c r="P665" i="3" s="1"/>
  <c r="P666" i="3" a="1"/>
  <c r="P666" i="3" s="1"/>
  <c r="P667" i="3" a="1"/>
  <c r="P667" i="3" s="1"/>
  <c r="P668" i="3" a="1"/>
  <c r="P668" i="3" s="1"/>
  <c r="P669" i="3" a="1"/>
  <c r="P669" i="3" s="1"/>
  <c r="P670" i="3" a="1"/>
  <c r="P670" i="3" s="1"/>
  <c r="P671" i="3" a="1"/>
  <c r="P671" i="3" s="1"/>
  <c r="P672" i="3" a="1"/>
  <c r="P672" i="3" s="1"/>
  <c r="P673" i="3" a="1"/>
  <c r="P673" i="3" s="1"/>
  <c r="P674" i="3" a="1"/>
  <c r="P674" i="3" s="1"/>
  <c r="P675" i="3" a="1"/>
  <c r="P675" i="3" s="1"/>
  <c r="P676" i="3" a="1"/>
  <c r="P676" i="3" s="1"/>
  <c r="P677" i="3" a="1"/>
  <c r="P677" i="3" s="1"/>
  <c r="P678" i="3" a="1"/>
  <c r="P678" i="3" s="1"/>
  <c r="P679" i="3" a="1"/>
  <c r="P679" i="3" s="1"/>
  <c r="P680" i="3" a="1"/>
  <c r="P680" i="3" s="1"/>
  <c r="P681" i="3" a="1"/>
  <c r="P681" i="3" s="1"/>
  <c r="P682" i="3" a="1"/>
  <c r="P682" i="3" s="1"/>
  <c r="P683" i="3" a="1"/>
  <c r="P683" i="3" s="1"/>
  <c r="P684" i="3" a="1"/>
  <c r="P684" i="3" s="1"/>
  <c r="P685" i="3" a="1"/>
  <c r="P685" i="3" s="1"/>
  <c r="P686" i="3" a="1"/>
  <c r="P686" i="3" s="1"/>
  <c r="P687" i="3" a="1"/>
  <c r="P687" i="3" s="1"/>
  <c r="P688" i="3" a="1"/>
  <c r="P688" i="3" s="1"/>
  <c r="P689" i="3" a="1"/>
  <c r="P689" i="3" s="1"/>
  <c r="P690" i="3" a="1"/>
  <c r="P690" i="3" s="1"/>
  <c r="P691" i="3" a="1"/>
  <c r="P691" i="3" s="1"/>
  <c r="P692" i="3" a="1"/>
  <c r="P692" i="3" s="1"/>
  <c r="P693" i="3" a="1"/>
  <c r="P693" i="3" s="1"/>
  <c r="P694" i="3" a="1"/>
  <c r="P694" i="3" s="1"/>
  <c r="P695" i="3" a="1"/>
  <c r="P695" i="3" s="1"/>
  <c r="P696" i="3" a="1"/>
  <c r="P696" i="3" s="1"/>
  <c r="P698" i="3" a="1"/>
  <c r="P698" i="3" s="1"/>
  <c r="P699" i="3" a="1"/>
  <c r="P699" i="3" s="1"/>
  <c r="P700" i="3" a="1"/>
  <c r="P700" i="3" s="1"/>
  <c r="P701" i="3" a="1"/>
  <c r="P701" i="3" s="1"/>
  <c r="P702" i="3" a="1"/>
  <c r="P702" i="3" s="1"/>
  <c r="P703" i="3" a="1"/>
  <c r="P703" i="3" s="1"/>
  <c r="P704" i="3" a="1"/>
  <c r="P704" i="3" s="1"/>
  <c r="P705" i="3" a="1"/>
  <c r="P705" i="3" s="1"/>
  <c r="P706" i="3" a="1"/>
  <c r="P706" i="3" s="1"/>
  <c r="P707" i="3" a="1"/>
  <c r="P707" i="3" s="1"/>
  <c r="P708" i="3" a="1"/>
  <c r="P708" i="3" s="1"/>
  <c r="P709" i="3" a="1"/>
  <c r="P709" i="3" s="1"/>
  <c r="P710" i="3" a="1"/>
  <c r="P710" i="3" s="1"/>
  <c r="P711" i="3" a="1"/>
  <c r="P711" i="3" s="1"/>
  <c r="P712" i="3" a="1"/>
  <c r="P712" i="3" s="1"/>
  <c r="P713" i="3" a="1"/>
  <c r="P713" i="3" s="1"/>
  <c r="P714" i="3" a="1"/>
  <c r="P714" i="3" s="1"/>
  <c r="P715" i="3" a="1"/>
  <c r="P715" i="3" s="1"/>
  <c r="P716" i="3" a="1"/>
  <c r="P716" i="3" s="1"/>
  <c r="P717" i="3" a="1"/>
  <c r="P717" i="3" s="1"/>
  <c r="P718" i="3" a="1"/>
  <c r="P718" i="3" s="1"/>
  <c r="P719" i="3" a="1"/>
  <c r="P719" i="3" s="1"/>
  <c r="P720" i="3" a="1"/>
  <c r="P720" i="3" s="1"/>
  <c r="P721" i="3" a="1"/>
  <c r="P721" i="3" s="1"/>
  <c r="P722" i="3" a="1"/>
  <c r="P722" i="3" s="1"/>
  <c r="P723" i="3" a="1"/>
  <c r="P723" i="3" s="1"/>
  <c r="P724" i="3" a="1"/>
  <c r="P724" i="3" s="1"/>
  <c r="P725" i="3" a="1"/>
  <c r="P725" i="3" s="1"/>
  <c r="P726" i="3" a="1"/>
  <c r="P726" i="3" s="1"/>
  <c r="P727" i="3" a="1"/>
  <c r="P727" i="3" s="1"/>
  <c r="P728" i="3" a="1"/>
  <c r="P728" i="3" s="1"/>
  <c r="P729" i="3" a="1"/>
  <c r="P729" i="3" s="1"/>
  <c r="P730" i="3" a="1"/>
  <c r="P730" i="3" s="1"/>
  <c r="P731" i="3" a="1"/>
  <c r="P731" i="3" s="1"/>
  <c r="P732" i="3" a="1"/>
  <c r="P732" i="3" s="1"/>
  <c r="P733" i="3" a="1"/>
  <c r="P733" i="3" s="1"/>
  <c r="P734" i="3" a="1"/>
  <c r="P734" i="3" s="1"/>
  <c r="P735" i="3" a="1"/>
  <c r="P735" i="3" s="1"/>
  <c r="P736" i="3" a="1"/>
  <c r="P736" i="3" s="1"/>
  <c r="P737" i="3" a="1"/>
  <c r="P737" i="3" s="1"/>
  <c r="P738" i="3" a="1"/>
  <c r="P738" i="3" s="1"/>
  <c r="P739" i="3" a="1"/>
  <c r="P739" i="3" s="1"/>
  <c r="P740" i="3" a="1"/>
  <c r="P740" i="3" s="1"/>
  <c r="P741" i="3" a="1"/>
  <c r="P741" i="3" s="1"/>
  <c r="P742" i="3" a="1"/>
  <c r="P742" i="3" s="1"/>
  <c r="P743" i="3" a="1"/>
  <c r="P743" i="3" s="1"/>
  <c r="P744" i="3" a="1"/>
  <c r="P744" i="3" s="1"/>
  <c r="P745" i="3" a="1"/>
  <c r="P745" i="3" s="1"/>
  <c r="P746" i="3" a="1"/>
  <c r="P746" i="3" s="1"/>
  <c r="P747" i="3" a="1"/>
  <c r="P747" i="3" s="1"/>
  <c r="P748" i="3" a="1"/>
  <c r="P748" i="3" s="1"/>
  <c r="P749" i="3" a="1"/>
  <c r="P749" i="3" s="1"/>
  <c r="P750" i="3" a="1"/>
  <c r="P750" i="3" s="1"/>
  <c r="P751" i="3" a="1"/>
  <c r="P751" i="3" s="1"/>
  <c r="P752" i="3" a="1"/>
  <c r="P752" i="3" s="1"/>
  <c r="P753" i="3" a="1"/>
  <c r="P753" i="3" s="1"/>
  <c r="P754" i="3" a="1"/>
  <c r="P754" i="3" s="1"/>
  <c r="P755" i="3" a="1"/>
  <c r="P755" i="3" s="1"/>
  <c r="P756" i="3" a="1"/>
  <c r="P756" i="3" s="1"/>
  <c r="P757" i="3" a="1"/>
  <c r="P757" i="3" s="1"/>
  <c r="P758" i="3" a="1"/>
  <c r="P758" i="3" s="1"/>
  <c r="P759" i="3" a="1"/>
  <c r="P759" i="3" s="1"/>
  <c r="P760" i="3" a="1"/>
  <c r="P760" i="3" s="1"/>
  <c r="P761" i="3" a="1"/>
  <c r="P761" i="3" s="1"/>
  <c r="P762" i="3" a="1"/>
  <c r="P762" i="3" s="1"/>
  <c r="P763" i="3" a="1"/>
  <c r="P763" i="3" s="1"/>
  <c r="P764" i="3" a="1"/>
  <c r="P764" i="3" s="1"/>
  <c r="P765" i="3" a="1"/>
  <c r="P765" i="3" s="1"/>
  <c r="P766" i="3" a="1"/>
  <c r="P766" i="3" s="1"/>
  <c r="P767" i="3" a="1"/>
  <c r="P767" i="3" s="1"/>
  <c r="P768" i="3" a="1"/>
  <c r="P768" i="3" s="1"/>
  <c r="P769" i="3" a="1"/>
  <c r="P769" i="3" s="1"/>
  <c r="P770" i="3" a="1"/>
  <c r="P770" i="3" s="1"/>
  <c r="P771" i="3" a="1"/>
  <c r="P771" i="3" s="1"/>
  <c r="P772" i="3" a="1"/>
  <c r="P772" i="3" s="1"/>
  <c r="P773" i="3" a="1"/>
  <c r="P773" i="3" s="1"/>
  <c r="P774" i="3" a="1"/>
  <c r="P774" i="3" s="1"/>
  <c r="P775" i="3" a="1"/>
  <c r="P775" i="3" s="1"/>
  <c r="P776" i="3" a="1"/>
  <c r="P776" i="3" s="1"/>
  <c r="P777" i="3" a="1"/>
  <c r="P777" i="3" s="1"/>
  <c r="P778" i="3" a="1"/>
  <c r="P778" i="3" s="1"/>
  <c r="P779" i="3" a="1"/>
  <c r="P779" i="3" s="1"/>
  <c r="P780" i="3" a="1"/>
  <c r="P780" i="3" s="1"/>
  <c r="P781" i="3" a="1"/>
  <c r="P781" i="3" s="1"/>
  <c r="P782" i="3" a="1"/>
  <c r="P782" i="3" s="1"/>
  <c r="P783" i="3" a="1"/>
  <c r="P783" i="3" s="1"/>
  <c r="P784" i="3" a="1"/>
  <c r="P784" i="3" s="1"/>
  <c r="P785" i="3" a="1"/>
  <c r="P785" i="3" s="1"/>
  <c r="P786" i="3" a="1"/>
  <c r="P786" i="3" s="1"/>
  <c r="P787" i="3" a="1"/>
  <c r="P787" i="3" s="1"/>
  <c r="P788" i="3" a="1"/>
  <c r="P788" i="3" s="1"/>
  <c r="P789" i="3" a="1"/>
  <c r="P789" i="3" s="1"/>
  <c r="P790" i="3" a="1"/>
  <c r="P790" i="3" s="1"/>
  <c r="P791" i="3" a="1"/>
  <c r="P791" i="3" s="1"/>
  <c r="P792" i="3" a="1"/>
  <c r="P792" i="3" s="1"/>
  <c r="P793" i="3" a="1"/>
  <c r="P793" i="3" s="1"/>
  <c r="P794" i="3" a="1"/>
  <c r="P794" i="3" s="1"/>
  <c r="P795" i="3" a="1"/>
  <c r="P795" i="3" s="1"/>
  <c r="P796" i="3" a="1"/>
  <c r="P796" i="3" s="1"/>
  <c r="P797" i="3" a="1"/>
  <c r="P797" i="3" s="1"/>
  <c r="P798" i="3" a="1"/>
  <c r="P798" i="3" s="1"/>
  <c r="P799" i="3" a="1"/>
  <c r="P799" i="3" s="1"/>
  <c r="P800" i="3" a="1"/>
  <c r="P800" i="3" s="1"/>
  <c r="P801" i="3" a="1"/>
  <c r="P801" i="3" s="1"/>
  <c r="P802" i="3" a="1"/>
  <c r="P802" i="3" s="1"/>
  <c r="P803" i="3" a="1"/>
  <c r="P803" i="3" s="1"/>
  <c r="P804" i="3" a="1"/>
  <c r="P804" i="3" s="1"/>
  <c r="P805" i="3" a="1"/>
  <c r="P805" i="3" s="1"/>
  <c r="P806" i="3" a="1"/>
  <c r="P806" i="3" s="1"/>
  <c r="P807" i="3" a="1"/>
  <c r="P807" i="3" s="1"/>
  <c r="P808" i="3" a="1"/>
  <c r="P808" i="3" s="1"/>
  <c r="P809" i="3" a="1"/>
  <c r="P809" i="3" s="1"/>
  <c r="P810" i="3" a="1"/>
  <c r="P810" i="3" s="1"/>
  <c r="P811" i="3" a="1"/>
  <c r="P811" i="3" s="1"/>
  <c r="P812" i="3" a="1"/>
  <c r="P812" i="3" s="1"/>
  <c r="P813" i="3" a="1"/>
  <c r="P813" i="3" s="1"/>
  <c r="P814" i="3" a="1"/>
  <c r="P814" i="3" s="1"/>
  <c r="P815" i="3" a="1"/>
  <c r="P815" i="3" s="1"/>
  <c r="P816" i="3" a="1"/>
  <c r="P816" i="3" s="1"/>
  <c r="P817" i="3" a="1"/>
  <c r="P817" i="3" s="1"/>
  <c r="P818" i="3" a="1"/>
  <c r="P818" i="3" s="1"/>
  <c r="P819" i="3" a="1"/>
  <c r="P819" i="3" s="1"/>
  <c r="P820" i="3" a="1"/>
  <c r="P820" i="3" s="1"/>
  <c r="P821" i="3" a="1"/>
  <c r="P821" i="3" s="1"/>
  <c r="P822" i="3" a="1"/>
  <c r="P822" i="3" s="1"/>
  <c r="P823" i="3" a="1"/>
  <c r="P823" i="3" s="1"/>
  <c r="P824" i="3" a="1"/>
  <c r="P824" i="3" s="1"/>
  <c r="P825" i="3" a="1"/>
  <c r="P825" i="3" s="1"/>
  <c r="P826" i="3" a="1"/>
  <c r="P826" i="3" s="1"/>
  <c r="P827" i="3" a="1"/>
  <c r="P827" i="3" s="1"/>
  <c r="P828" i="3" a="1"/>
  <c r="P828" i="3" s="1"/>
  <c r="P829" i="3" a="1"/>
  <c r="P829" i="3" s="1"/>
  <c r="P830" i="3" a="1"/>
  <c r="P830" i="3" s="1"/>
  <c r="P831" i="3" a="1"/>
  <c r="P831" i="3" s="1"/>
  <c r="P832" i="3" a="1"/>
  <c r="P832" i="3" s="1"/>
  <c r="P833" i="3" a="1"/>
  <c r="P833" i="3" s="1"/>
  <c r="P834" i="3" a="1"/>
  <c r="P834" i="3" s="1"/>
  <c r="P835" i="3" a="1"/>
  <c r="P835" i="3" s="1"/>
  <c r="P836" i="3" a="1"/>
  <c r="P836" i="3" s="1"/>
  <c r="P837" i="3" a="1"/>
  <c r="P837" i="3" s="1"/>
  <c r="P838" i="3" a="1"/>
  <c r="P838" i="3" s="1"/>
  <c r="P839" i="3" a="1"/>
  <c r="P839" i="3" s="1"/>
  <c r="P840" i="3" a="1"/>
  <c r="P840" i="3" s="1"/>
  <c r="P841" i="3" a="1"/>
  <c r="P841" i="3" s="1"/>
  <c r="P842" i="3" a="1"/>
  <c r="P842" i="3" s="1"/>
  <c r="P843" i="3" a="1"/>
  <c r="P843" i="3" s="1"/>
  <c r="P844" i="3" a="1"/>
  <c r="P844" i="3" s="1"/>
  <c r="P845" i="3" a="1"/>
  <c r="P845" i="3" s="1"/>
  <c r="P846" i="3" a="1"/>
  <c r="P846" i="3" s="1"/>
  <c r="P847" i="3" a="1"/>
  <c r="P847" i="3" s="1"/>
  <c r="P848" i="3" a="1"/>
  <c r="P848" i="3" s="1"/>
  <c r="P849" i="3" a="1"/>
  <c r="P849" i="3" s="1"/>
  <c r="P850" i="3" a="1"/>
  <c r="P850" i="3" s="1"/>
  <c r="P851" i="3" a="1"/>
  <c r="P851" i="3" s="1"/>
  <c r="P852" i="3" a="1"/>
  <c r="P852" i="3" s="1"/>
  <c r="P853" i="3" a="1"/>
  <c r="P853" i="3" s="1"/>
  <c r="P854" i="3" a="1"/>
  <c r="P854" i="3" s="1"/>
  <c r="P855" i="3" a="1"/>
  <c r="P855" i="3" s="1"/>
  <c r="P856" i="3" a="1"/>
  <c r="P856" i="3" s="1"/>
  <c r="P857" i="3" a="1"/>
  <c r="P857" i="3" s="1"/>
  <c r="P858" i="3" a="1"/>
  <c r="P858" i="3" s="1"/>
  <c r="P859" i="3" a="1"/>
  <c r="P859" i="3" s="1"/>
  <c r="P860" i="3" a="1"/>
  <c r="P860" i="3" s="1"/>
  <c r="P861" i="3" a="1"/>
  <c r="P861" i="3" s="1"/>
  <c r="P862" i="3" a="1"/>
  <c r="P862" i="3" s="1"/>
  <c r="P863" i="3" a="1"/>
  <c r="P863" i="3" s="1"/>
  <c r="P864" i="3" a="1"/>
  <c r="P864" i="3" s="1"/>
  <c r="P865" i="3" a="1"/>
  <c r="P865" i="3" s="1"/>
  <c r="P866" i="3" a="1"/>
  <c r="P866" i="3" s="1"/>
  <c r="P867" i="3" a="1"/>
  <c r="P867" i="3" s="1"/>
  <c r="P868" i="3" a="1"/>
  <c r="P868" i="3" s="1"/>
  <c r="P869" i="3" a="1"/>
  <c r="P869" i="3" s="1"/>
  <c r="P870" i="3" a="1"/>
  <c r="P870" i="3" s="1"/>
  <c r="P871" i="3" a="1"/>
  <c r="P871" i="3" s="1"/>
  <c r="P872" i="3" a="1"/>
  <c r="P872" i="3" s="1"/>
  <c r="P873" i="3" a="1"/>
  <c r="P873" i="3" s="1"/>
  <c r="P874" i="3" a="1"/>
  <c r="P874" i="3" s="1"/>
  <c r="P875" i="3" a="1"/>
  <c r="P875" i="3" s="1"/>
  <c r="P876" i="3" a="1"/>
  <c r="P876" i="3" s="1"/>
  <c r="P877" i="3" a="1"/>
  <c r="P877" i="3" s="1"/>
  <c r="P878" i="3" a="1"/>
  <c r="P878" i="3" s="1"/>
  <c r="P879" i="3" a="1"/>
  <c r="P879" i="3" s="1"/>
  <c r="P880" i="3" a="1"/>
  <c r="P880" i="3" s="1"/>
  <c r="P881" i="3" a="1"/>
  <c r="P881" i="3" s="1"/>
  <c r="P882" i="3" a="1"/>
  <c r="P882" i="3" s="1"/>
  <c r="P883" i="3" a="1"/>
  <c r="P883" i="3" s="1"/>
  <c r="P884" i="3" a="1"/>
  <c r="P884" i="3" s="1"/>
  <c r="P885" i="3" a="1"/>
  <c r="P885" i="3" s="1"/>
  <c r="P886" i="3" a="1"/>
  <c r="P886" i="3" s="1"/>
  <c r="P887" i="3" a="1"/>
  <c r="P887" i="3" s="1"/>
  <c r="P888" i="3" a="1"/>
  <c r="P888" i="3" s="1"/>
  <c r="P889" i="3" a="1"/>
  <c r="P889" i="3" s="1"/>
  <c r="P890" i="3" a="1"/>
  <c r="P890" i="3" s="1"/>
  <c r="P891" i="3" a="1"/>
  <c r="P891" i="3" s="1"/>
  <c r="P892" i="3" a="1"/>
  <c r="P892" i="3" s="1"/>
  <c r="P893" i="3" a="1"/>
  <c r="P893" i="3" s="1"/>
  <c r="P894" i="3" a="1"/>
  <c r="P894" i="3" s="1"/>
  <c r="P895" i="3" a="1"/>
  <c r="P895" i="3" s="1"/>
  <c r="P896" i="3" a="1"/>
  <c r="P896" i="3" s="1"/>
  <c r="P897" i="3" a="1"/>
  <c r="P897" i="3" s="1"/>
  <c r="P898" i="3" a="1"/>
  <c r="P898" i="3" s="1"/>
  <c r="P899" i="3" a="1"/>
  <c r="P899" i="3" s="1"/>
  <c r="P900" i="3" a="1"/>
  <c r="P900" i="3" s="1"/>
  <c r="P901" i="3" a="1"/>
  <c r="P901" i="3" s="1"/>
  <c r="P902" i="3" a="1"/>
  <c r="P902" i="3" s="1"/>
  <c r="P903" i="3" a="1"/>
  <c r="P903" i="3" s="1"/>
  <c r="P904" i="3" a="1"/>
  <c r="P904" i="3" s="1"/>
  <c r="P905" i="3" a="1"/>
  <c r="P905" i="3" s="1"/>
  <c r="P906" i="3" a="1"/>
  <c r="P906" i="3" s="1"/>
  <c r="P907" i="3" a="1"/>
  <c r="P907" i="3" s="1"/>
  <c r="P908" i="3" a="1"/>
  <c r="P908" i="3" s="1"/>
  <c r="P909" i="3" a="1"/>
  <c r="P909" i="3" s="1"/>
  <c r="P910" i="3" a="1"/>
  <c r="P910" i="3" s="1"/>
  <c r="P911" i="3" a="1"/>
  <c r="P911" i="3" s="1"/>
  <c r="P912" i="3" a="1"/>
  <c r="P912" i="3" s="1"/>
  <c r="P913" i="3" a="1"/>
  <c r="P913" i="3" s="1"/>
  <c r="P914" i="3" a="1"/>
  <c r="P914" i="3" s="1"/>
  <c r="P915" i="3" a="1"/>
  <c r="P915" i="3" s="1"/>
  <c r="P916" i="3" a="1"/>
  <c r="P916" i="3" s="1"/>
  <c r="P917" i="3" a="1"/>
  <c r="P917" i="3" s="1"/>
  <c r="P918" i="3" a="1"/>
  <c r="P918" i="3" s="1"/>
  <c r="P919" i="3" a="1"/>
  <c r="P919" i="3" s="1"/>
  <c r="P920" i="3" a="1"/>
  <c r="P920" i="3" s="1"/>
  <c r="P921" i="3" a="1"/>
  <c r="P921" i="3" s="1"/>
  <c r="P922" i="3" a="1"/>
  <c r="P922" i="3" s="1"/>
  <c r="P923" i="3" a="1"/>
  <c r="P923" i="3" s="1"/>
  <c r="P924" i="3" a="1"/>
  <c r="P924" i="3" s="1"/>
  <c r="P925" i="3" a="1"/>
  <c r="P925" i="3" s="1"/>
  <c r="P926" i="3" a="1"/>
  <c r="P926" i="3" s="1"/>
  <c r="P927" i="3" a="1"/>
  <c r="P927" i="3" s="1"/>
  <c r="P928" i="3" a="1"/>
  <c r="P928" i="3" s="1"/>
  <c r="P929" i="3" a="1"/>
  <c r="P929" i="3" s="1"/>
  <c r="P930" i="3" a="1"/>
  <c r="P930" i="3" s="1"/>
  <c r="P931" i="3" a="1"/>
  <c r="P931" i="3" s="1"/>
  <c r="P932" i="3" a="1"/>
  <c r="P932" i="3" s="1"/>
  <c r="P933" i="3" a="1"/>
  <c r="P933" i="3" s="1"/>
  <c r="P934" i="3" a="1"/>
  <c r="P934" i="3" s="1"/>
  <c r="P935" i="3" a="1"/>
  <c r="P935" i="3" s="1"/>
  <c r="P936" i="3" a="1"/>
  <c r="P936" i="3" s="1"/>
  <c r="P937" i="3" a="1"/>
  <c r="P937" i="3" s="1"/>
  <c r="P938" i="3" a="1"/>
  <c r="P938" i="3" s="1"/>
  <c r="P939" i="3" a="1"/>
  <c r="P939" i="3" s="1"/>
  <c r="P940" i="3" a="1"/>
  <c r="P940" i="3" s="1"/>
  <c r="P941" i="3" a="1"/>
  <c r="P941" i="3" s="1"/>
  <c r="P942" i="3" a="1"/>
  <c r="P942" i="3" s="1"/>
  <c r="P943" i="3" a="1"/>
  <c r="P943" i="3" s="1"/>
  <c r="P944" i="3" a="1"/>
  <c r="P944" i="3" s="1"/>
  <c r="P945" i="3" a="1"/>
  <c r="P945" i="3" s="1"/>
  <c r="P946" i="3" a="1"/>
  <c r="P946" i="3" s="1"/>
  <c r="P947" i="3" a="1"/>
  <c r="P947" i="3" s="1"/>
  <c r="P948" i="3" a="1"/>
  <c r="P948" i="3" s="1"/>
  <c r="P949" i="3" a="1"/>
  <c r="P949" i="3" s="1"/>
  <c r="P950" i="3" a="1"/>
  <c r="P950" i="3" s="1"/>
  <c r="P951" i="3" a="1"/>
  <c r="P951" i="3" s="1"/>
  <c r="P952" i="3" a="1"/>
  <c r="P952" i="3" s="1"/>
  <c r="P953" i="3" a="1"/>
  <c r="P953" i="3" s="1"/>
  <c r="P954" i="3" a="1"/>
  <c r="P954" i="3" s="1"/>
  <c r="P955" i="3" a="1"/>
  <c r="P955" i="3" s="1"/>
  <c r="P956" i="3" a="1"/>
  <c r="P956" i="3" s="1"/>
  <c r="P957" i="3" a="1"/>
  <c r="P957" i="3" s="1"/>
  <c r="P958" i="3" a="1"/>
  <c r="P958" i="3" s="1"/>
  <c r="P959" i="3" a="1"/>
  <c r="P959" i="3" s="1"/>
  <c r="P960" i="3" a="1"/>
  <c r="P960" i="3" s="1"/>
  <c r="P961" i="3" a="1"/>
  <c r="P961" i="3" s="1"/>
  <c r="P962" i="3" a="1"/>
  <c r="P962" i="3" s="1"/>
  <c r="P963" i="3" a="1"/>
  <c r="P963" i="3" s="1"/>
  <c r="P964" i="3" a="1"/>
  <c r="P964" i="3" s="1"/>
  <c r="P965" i="3" a="1"/>
  <c r="P965" i="3" s="1"/>
  <c r="P966" i="3" a="1"/>
  <c r="P966" i="3" s="1"/>
  <c r="P967" i="3" a="1"/>
  <c r="P967" i="3" s="1"/>
  <c r="P968" i="3" a="1"/>
  <c r="P968" i="3" s="1"/>
  <c r="P969" i="3" a="1"/>
  <c r="P969" i="3" s="1"/>
  <c r="P970" i="3" a="1"/>
  <c r="P970" i="3" s="1"/>
  <c r="P971" i="3" a="1"/>
  <c r="P971" i="3" s="1"/>
  <c r="P972" i="3" a="1"/>
  <c r="P972" i="3" s="1"/>
  <c r="P973" i="3" a="1"/>
  <c r="P973" i="3" s="1"/>
  <c r="P974" i="3" a="1"/>
  <c r="P974" i="3" s="1"/>
  <c r="P975" i="3" a="1"/>
  <c r="P975" i="3" s="1"/>
  <c r="P976" i="3" a="1"/>
  <c r="P976" i="3" s="1"/>
  <c r="P977" i="3" a="1"/>
  <c r="P977" i="3" s="1"/>
  <c r="P978" i="3" a="1"/>
  <c r="P978" i="3" s="1"/>
  <c r="P979" i="3" a="1"/>
  <c r="P979" i="3" s="1"/>
  <c r="P980" i="3" a="1"/>
  <c r="P980" i="3" s="1"/>
  <c r="P981" i="3" a="1"/>
  <c r="P981" i="3" s="1"/>
  <c r="P982" i="3" a="1"/>
  <c r="P982" i="3" s="1"/>
  <c r="P983" i="3" a="1"/>
  <c r="P983" i="3" s="1"/>
  <c r="P984" i="3" a="1"/>
  <c r="P984" i="3" s="1"/>
  <c r="P985" i="3" a="1"/>
  <c r="P985" i="3" s="1"/>
  <c r="P986" i="3" a="1"/>
  <c r="P986" i="3" s="1"/>
  <c r="P987" i="3" a="1"/>
  <c r="P987" i="3" s="1"/>
  <c r="P988" i="3" a="1"/>
  <c r="P988" i="3" s="1"/>
  <c r="P989" i="3" a="1"/>
  <c r="P989" i="3" s="1"/>
  <c r="P990" i="3" a="1"/>
  <c r="P990" i="3" s="1"/>
  <c r="P991" i="3" a="1"/>
  <c r="P991" i="3" s="1"/>
  <c r="P992" i="3" a="1"/>
  <c r="P992" i="3" s="1"/>
  <c r="P993" i="3" a="1"/>
  <c r="P993" i="3" s="1"/>
  <c r="P994" i="3" a="1"/>
  <c r="P994" i="3" s="1"/>
  <c r="P995" i="3" a="1"/>
  <c r="P995" i="3" s="1"/>
  <c r="P996" i="3" a="1"/>
  <c r="P996" i="3" s="1"/>
  <c r="P997" i="3" a="1"/>
  <c r="P997" i="3" s="1"/>
  <c r="P998" i="3" a="1"/>
  <c r="P998" i="3" s="1"/>
  <c r="P999" i="3" a="1"/>
  <c r="P999" i="3" s="1"/>
  <c r="P1000" i="3" a="1"/>
  <c r="P1000" i="3" s="1"/>
  <c r="P1001" i="3" a="1"/>
  <c r="P1001" i="3" s="1"/>
  <c r="P1002" i="3" a="1"/>
  <c r="P1002" i="3" s="1"/>
  <c r="P1003" i="3" a="1"/>
  <c r="P1003" i="3" s="1"/>
  <c r="P1004" i="3" a="1"/>
  <c r="P1004" i="3" s="1"/>
  <c r="P1005" i="3" a="1"/>
  <c r="P1005" i="3" s="1"/>
  <c r="P1006" i="3" a="1"/>
  <c r="P1006" i="3" s="1"/>
  <c r="P1007" i="3" a="1"/>
  <c r="P1007" i="3" s="1"/>
  <c r="P1008" i="3" a="1"/>
  <c r="P1008" i="3" s="1"/>
  <c r="P1009" i="3" a="1"/>
  <c r="P1009" i="3" s="1"/>
  <c r="P1010" i="3" a="1"/>
  <c r="P1010" i="3" s="1"/>
  <c r="P1011" i="3" a="1"/>
  <c r="P1011" i="3" s="1"/>
  <c r="P1012" i="3" a="1"/>
  <c r="P1012" i="3" s="1"/>
  <c r="P1013" i="3" a="1"/>
  <c r="P1013" i="3" s="1"/>
  <c r="P1014" i="3" a="1"/>
  <c r="P1014" i="3" s="1"/>
  <c r="P1015" i="3" a="1"/>
  <c r="P1015" i="3" s="1"/>
  <c r="P1016" i="3" a="1"/>
  <c r="P1016" i="3" s="1"/>
  <c r="P1017" i="3" a="1"/>
  <c r="P1017" i="3" s="1"/>
  <c r="P1018" i="3" a="1"/>
  <c r="P1018" i="3" s="1"/>
  <c r="P1019" i="3" a="1"/>
  <c r="P1019" i="3" s="1"/>
  <c r="P1020" i="3" a="1"/>
  <c r="P1020" i="3" s="1"/>
  <c r="P1021" i="3" a="1"/>
  <c r="P1021" i="3" s="1"/>
  <c r="P1022" i="3" a="1"/>
  <c r="P1022" i="3" s="1"/>
  <c r="P1023" i="3" a="1"/>
  <c r="P1023" i="3" s="1"/>
  <c r="P1024" i="3" a="1"/>
  <c r="P1024" i="3" s="1"/>
  <c r="P1025" i="3" a="1"/>
  <c r="P1025" i="3" s="1"/>
  <c r="P1026" i="3" a="1"/>
  <c r="P1026" i="3" s="1"/>
  <c r="P1027" i="3" a="1"/>
  <c r="P1027" i="3" s="1"/>
  <c r="P1028" i="3" a="1"/>
  <c r="P1028" i="3" s="1"/>
  <c r="P1029" i="3" a="1"/>
  <c r="P1029" i="3" s="1"/>
  <c r="P1030" i="3" a="1"/>
  <c r="P1030" i="3" s="1"/>
  <c r="P1031" i="3" a="1"/>
  <c r="P1031" i="3" s="1"/>
  <c r="P1032" i="3" a="1"/>
  <c r="P1032" i="3" s="1"/>
  <c r="P1033" i="3" a="1"/>
  <c r="P1033" i="3" s="1"/>
  <c r="P1034" i="3" a="1"/>
  <c r="P1034" i="3" s="1"/>
  <c r="P1035" i="3" a="1"/>
  <c r="P1035" i="3" s="1"/>
  <c r="P1036" i="3" a="1"/>
  <c r="P1036" i="3" s="1"/>
  <c r="P1037" i="3" a="1"/>
  <c r="P1037" i="3" s="1"/>
  <c r="P1038" i="3" a="1"/>
  <c r="P1038" i="3" s="1"/>
  <c r="P1039" i="3" a="1"/>
  <c r="P1039" i="3" s="1"/>
  <c r="P1040" i="3" a="1"/>
  <c r="P1040" i="3" s="1"/>
  <c r="P1041" i="3" a="1"/>
  <c r="P1041" i="3" s="1"/>
  <c r="P1042" i="3" a="1"/>
  <c r="P1042" i="3" s="1"/>
  <c r="P1043" i="3" a="1"/>
  <c r="P1043" i="3" s="1"/>
  <c r="P1044" i="3" a="1"/>
  <c r="P1044" i="3" s="1"/>
  <c r="P1045" i="3" a="1"/>
  <c r="P1045" i="3" s="1"/>
  <c r="P1046" i="3" a="1"/>
  <c r="P1046" i="3" s="1"/>
  <c r="P1047" i="3" a="1"/>
  <c r="P1047" i="3" s="1"/>
  <c r="P1048" i="3" a="1"/>
  <c r="P1048" i="3" s="1"/>
  <c r="P1049" i="3" a="1"/>
  <c r="P1049" i="3" s="1"/>
  <c r="P1050" i="3" a="1"/>
  <c r="P1050" i="3" s="1"/>
  <c r="P1051" i="3" a="1"/>
  <c r="P1051" i="3" s="1"/>
  <c r="P1052" i="3" a="1"/>
  <c r="P1052" i="3" s="1"/>
  <c r="P1053" i="3" a="1"/>
  <c r="P1053" i="3" s="1"/>
  <c r="P1054" i="3" a="1"/>
  <c r="P1054" i="3" s="1"/>
  <c r="P1055" i="3" a="1"/>
  <c r="P1055" i="3" s="1"/>
  <c r="P1056" i="3" a="1"/>
  <c r="P1056" i="3" s="1"/>
  <c r="P1057" i="3" a="1"/>
  <c r="P1057" i="3" s="1"/>
  <c r="P1058" i="3" a="1"/>
  <c r="P1058" i="3" s="1"/>
  <c r="P1059" i="3" a="1"/>
  <c r="P1059" i="3" s="1"/>
  <c r="P1060" i="3" a="1"/>
  <c r="P1060" i="3" s="1"/>
  <c r="P1061" i="3" a="1"/>
  <c r="P1061" i="3" s="1"/>
  <c r="P1062" i="3" a="1"/>
  <c r="P1062" i="3" s="1"/>
  <c r="P1063" i="3" a="1"/>
  <c r="P1063" i="3" s="1"/>
  <c r="P1064" i="3" a="1"/>
  <c r="P1064" i="3" s="1"/>
  <c r="P1065" i="3" a="1"/>
  <c r="P1065" i="3" s="1"/>
  <c r="P1066" i="3" a="1"/>
  <c r="P1066" i="3" s="1"/>
  <c r="P1067" i="3" a="1"/>
  <c r="P1067" i="3" s="1"/>
  <c r="P1068" i="3" a="1"/>
  <c r="P1068" i="3" s="1"/>
  <c r="P1069" i="3" a="1"/>
  <c r="P1069" i="3" s="1"/>
  <c r="P1070" i="3" a="1"/>
  <c r="P1070" i="3" s="1"/>
  <c r="P1071" i="3" a="1"/>
  <c r="P1071" i="3" s="1"/>
  <c r="P1072" i="3" a="1"/>
  <c r="P1072" i="3" s="1"/>
  <c r="P1073" i="3" a="1"/>
  <c r="P1073" i="3" s="1"/>
  <c r="P1074" i="3" a="1"/>
  <c r="P1074" i="3" s="1"/>
  <c r="P1075" i="3" a="1"/>
  <c r="P1075" i="3" s="1"/>
  <c r="P1076" i="3" a="1"/>
  <c r="P1076" i="3" s="1"/>
  <c r="P1077" i="3" a="1"/>
  <c r="P1077" i="3" s="1"/>
  <c r="P1078" i="3" a="1"/>
  <c r="P1078" i="3" s="1"/>
  <c r="P1079" i="3" a="1"/>
  <c r="P1079" i="3" s="1"/>
  <c r="P1080" i="3" a="1"/>
  <c r="P1080" i="3" s="1"/>
  <c r="P1081" i="3" a="1"/>
  <c r="P1081" i="3" s="1"/>
  <c r="P1082" i="3" a="1"/>
  <c r="P1082" i="3" s="1"/>
  <c r="P1083" i="3" a="1"/>
  <c r="P1083" i="3" s="1"/>
  <c r="P1084" i="3" a="1"/>
  <c r="P1084" i="3" s="1"/>
  <c r="P1085" i="3" a="1"/>
  <c r="P1085" i="3" s="1"/>
  <c r="P1086" i="3" a="1"/>
  <c r="P1086" i="3" s="1"/>
  <c r="P1087" i="3" a="1"/>
  <c r="P1087" i="3" s="1"/>
  <c r="P1088" i="3" a="1"/>
  <c r="P1088" i="3" s="1"/>
  <c r="P1089" i="3" a="1"/>
  <c r="P1089" i="3" s="1"/>
  <c r="P1090" i="3" a="1"/>
  <c r="P1090" i="3" s="1"/>
  <c r="P1091" i="3" a="1"/>
  <c r="P1091" i="3" s="1"/>
  <c r="P1092" i="3" a="1"/>
  <c r="P1092" i="3" s="1"/>
  <c r="P1093" i="3" a="1"/>
  <c r="P1093" i="3" s="1"/>
  <c r="P1094" i="3" a="1"/>
  <c r="P1094" i="3" s="1"/>
  <c r="P1095" i="3" a="1"/>
  <c r="P1095" i="3" s="1"/>
  <c r="P1096" i="3" a="1"/>
  <c r="P1096" i="3" s="1"/>
  <c r="P1097" i="3" a="1"/>
  <c r="P1097" i="3" s="1"/>
  <c r="P1098" i="3" a="1"/>
  <c r="P1098" i="3" s="1"/>
  <c r="P1099" i="3" a="1"/>
  <c r="P1099" i="3" s="1"/>
  <c r="P1100" i="3" a="1"/>
  <c r="P1100" i="3" s="1"/>
  <c r="P1101" i="3" a="1"/>
  <c r="P1101" i="3" s="1"/>
  <c r="P1102" i="3" a="1"/>
  <c r="P1102" i="3" s="1"/>
  <c r="P1103" i="3" a="1"/>
  <c r="P1103" i="3" s="1"/>
  <c r="P1104" i="3" a="1"/>
  <c r="P1104" i="3" s="1"/>
  <c r="P1105" i="3" a="1"/>
  <c r="P1105" i="3" s="1"/>
  <c r="P1106" i="3" a="1"/>
  <c r="P1106" i="3" s="1"/>
  <c r="P1107" i="3" a="1"/>
  <c r="P1107" i="3" s="1"/>
  <c r="P1108" i="3" a="1"/>
  <c r="P1108" i="3" s="1"/>
  <c r="P1109" i="3" a="1"/>
  <c r="P1109" i="3" s="1"/>
  <c r="P1110" i="3" a="1"/>
  <c r="P1110" i="3" s="1"/>
  <c r="P1111" i="3" a="1"/>
  <c r="P1111" i="3" s="1"/>
  <c r="P1112" i="3" a="1"/>
  <c r="P1112" i="3" s="1"/>
  <c r="P1113" i="3" a="1"/>
  <c r="P1113" i="3" s="1"/>
  <c r="P1114" i="3" a="1"/>
  <c r="P1114" i="3" s="1"/>
  <c r="P1115" i="3" a="1"/>
  <c r="P1115" i="3" s="1"/>
  <c r="P1116" i="3" a="1"/>
  <c r="P1116" i="3" s="1"/>
  <c r="P1117" i="3" a="1"/>
  <c r="P1117" i="3" s="1"/>
  <c r="P1118" i="3" a="1"/>
  <c r="P1118" i="3" s="1"/>
  <c r="P1119" i="3" a="1"/>
  <c r="P1119" i="3" s="1"/>
  <c r="P1120" i="3" a="1"/>
  <c r="P1120" i="3" s="1"/>
  <c r="P1121" i="3" a="1"/>
  <c r="P1121" i="3" s="1"/>
  <c r="P1122" i="3" a="1"/>
  <c r="P1122" i="3" s="1"/>
  <c r="P1123" i="3" a="1"/>
  <c r="P1123" i="3" s="1"/>
  <c r="P1124" i="3" a="1"/>
  <c r="P1124" i="3" s="1"/>
  <c r="P1125" i="3" a="1"/>
  <c r="P1125" i="3" s="1"/>
  <c r="P1126" i="3" a="1"/>
  <c r="P1126" i="3" s="1"/>
  <c r="P1127" i="3" a="1"/>
  <c r="P1127" i="3" s="1"/>
  <c r="P1128" i="3" a="1"/>
  <c r="P1128" i="3" s="1"/>
  <c r="P1129" i="3" a="1"/>
  <c r="P1129" i="3" s="1"/>
  <c r="P1130" i="3" a="1"/>
  <c r="P1130" i="3" s="1"/>
  <c r="P1131" i="3" a="1"/>
  <c r="P1131" i="3" s="1"/>
  <c r="P1132" i="3" a="1"/>
  <c r="P1132" i="3" s="1"/>
  <c r="P1133" i="3" a="1"/>
  <c r="P1133" i="3" s="1"/>
  <c r="P1134" i="3" a="1"/>
  <c r="P1134" i="3" s="1"/>
  <c r="P1135" i="3" a="1"/>
  <c r="P1135" i="3" s="1"/>
  <c r="P1136" i="3" a="1"/>
  <c r="P1136" i="3" s="1"/>
  <c r="P1137" i="3" a="1"/>
  <c r="P1137" i="3" s="1"/>
  <c r="P1138" i="3" a="1"/>
  <c r="P1138" i="3" s="1"/>
  <c r="P1139" i="3" a="1"/>
  <c r="P1139" i="3" s="1"/>
  <c r="P1140" i="3" a="1"/>
  <c r="P1140" i="3" s="1"/>
  <c r="P1141" i="3" a="1"/>
  <c r="P1141" i="3" s="1"/>
  <c r="P1142" i="3" a="1"/>
  <c r="P1142" i="3" s="1"/>
  <c r="P1143" i="3" a="1"/>
  <c r="P1143" i="3" s="1"/>
  <c r="P1144" i="3" a="1"/>
  <c r="P1144" i="3" s="1"/>
  <c r="P1145" i="3" a="1"/>
  <c r="P1145" i="3" s="1"/>
  <c r="P1146" i="3" a="1"/>
  <c r="P1146" i="3" s="1"/>
  <c r="P1147" i="3" a="1"/>
  <c r="P1147" i="3" s="1"/>
  <c r="P1148" i="3" a="1"/>
  <c r="P1148" i="3" s="1"/>
  <c r="P1149" i="3" a="1"/>
  <c r="P1149" i="3" s="1"/>
  <c r="P1150" i="3" a="1"/>
  <c r="P1150" i="3" s="1"/>
  <c r="P1151" i="3" a="1"/>
  <c r="P1151" i="3" s="1"/>
  <c r="P1152" i="3" a="1"/>
  <c r="P1152" i="3" s="1"/>
  <c r="P1153" i="3" a="1"/>
  <c r="P1153" i="3" s="1"/>
  <c r="P1154" i="3" a="1"/>
  <c r="P1154" i="3" s="1"/>
  <c r="P1155" i="3" a="1"/>
  <c r="P1155" i="3" s="1"/>
  <c r="P1156" i="3" a="1"/>
  <c r="P1156" i="3" s="1"/>
  <c r="P1157" i="3" a="1"/>
  <c r="P1157" i="3" s="1"/>
  <c r="P1158" i="3" a="1"/>
  <c r="P1158" i="3" s="1"/>
  <c r="P1159" i="3" a="1"/>
  <c r="P1159" i="3" s="1"/>
  <c r="P1160" i="3" a="1"/>
  <c r="P1160" i="3" s="1"/>
  <c r="P1161" i="3" a="1"/>
  <c r="P1161" i="3" s="1"/>
  <c r="P1162" i="3" a="1"/>
  <c r="P1162" i="3" s="1"/>
  <c r="P1163" i="3" a="1"/>
  <c r="P1163" i="3" s="1"/>
  <c r="P1164" i="3" a="1"/>
  <c r="P1164" i="3" s="1"/>
  <c r="P1165" i="3" a="1"/>
  <c r="P1165" i="3" s="1"/>
  <c r="P1166" i="3" a="1"/>
  <c r="P1166" i="3" s="1"/>
  <c r="P1167" i="3" a="1"/>
  <c r="P1167" i="3" s="1"/>
  <c r="P1168" i="3" a="1"/>
  <c r="P1168" i="3" s="1"/>
  <c r="P1169" i="3" a="1"/>
  <c r="P1169" i="3" s="1"/>
  <c r="P1170" i="3" a="1"/>
  <c r="P1170" i="3" s="1"/>
  <c r="P1171" i="3" a="1"/>
  <c r="P1171" i="3" s="1"/>
  <c r="P1172" i="3" a="1"/>
  <c r="P1172" i="3" s="1"/>
  <c r="P1173" i="3" a="1"/>
  <c r="P1173" i="3" s="1"/>
  <c r="P1174" i="3" a="1"/>
  <c r="P1174" i="3" s="1"/>
  <c r="P1175" i="3" a="1"/>
  <c r="P1175" i="3" s="1"/>
  <c r="P1176" i="3" a="1"/>
  <c r="P1176" i="3" s="1"/>
  <c r="P1177" i="3" a="1"/>
  <c r="P1177" i="3" s="1"/>
  <c r="P1178" i="3" a="1"/>
  <c r="P1178" i="3" s="1"/>
  <c r="P1179" i="3" a="1"/>
  <c r="P1179" i="3" s="1"/>
  <c r="P1180" i="3" a="1"/>
  <c r="P1180" i="3" s="1"/>
  <c r="P1181" i="3" a="1"/>
  <c r="P1181" i="3" s="1"/>
  <c r="P1182" i="3" a="1"/>
  <c r="P1182" i="3" s="1"/>
  <c r="P1183" i="3" a="1"/>
  <c r="P1183" i="3" s="1"/>
  <c r="P1184" i="3" a="1"/>
  <c r="P1184" i="3" s="1"/>
  <c r="P1185" i="3" a="1"/>
  <c r="P1185" i="3" s="1"/>
  <c r="P1186" i="3" a="1"/>
  <c r="P1186" i="3" s="1"/>
  <c r="P1187" i="3" a="1"/>
  <c r="P1187" i="3" s="1"/>
  <c r="P1188" i="3" a="1"/>
  <c r="P1188" i="3" s="1"/>
  <c r="P1189" i="3" a="1"/>
  <c r="P1189" i="3" s="1"/>
  <c r="P1190" i="3" a="1"/>
  <c r="P1190" i="3" s="1"/>
  <c r="P1191" i="3" a="1"/>
  <c r="P1191" i="3" s="1"/>
  <c r="P1192" i="3" a="1"/>
  <c r="P1192" i="3" s="1"/>
  <c r="P1193" i="3" a="1"/>
  <c r="P1193" i="3" s="1"/>
  <c r="P1194" i="3" a="1"/>
  <c r="P1194" i="3" s="1"/>
  <c r="P1195" i="3" a="1"/>
  <c r="P1195" i="3" s="1"/>
  <c r="P1196" i="3" a="1"/>
  <c r="P1196" i="3" s="1"/>
  <c r="P1197" i="3" a="1"/>
  <c r="P1197" i="3" s="1"/>
  <c r="P1198" i="3" a="1"/>
  <c r="P1198" i="3" s="1"/>
  <c r="P1199" i="3" a="1"/>
  <c r="P1199" i="3" s="1"/>
  <c r="P1200" i="3" a="1"/>
  <c r="P1200" i="3" s="1"/>
  <c r="P1201" i="3" a="1"/>
  <c r="P1201" i="3" s="1"/>
  <c r="P1202" i="3" a="1"/>
  <c r="P1202" i="3" s="1"/>
  <c r="P1203" i="3" a="1"/>
  <c r="P1203" i="3" s="1"/>
  <c r="P1204" i="3" a="1"/>
  <c r="P1204" i="3" s="1"/>
  <c r="P1205" i="3" a="1"/>
  <c r="P1205" i="3" s="1"/>
  <c r="P1206" i="3" a="1"/>
  <c r="P1206" i="3" s="1"/>
  <c r="P1207" i="3" a="1"/>
  <c r="P1207" i="3" s="1"/>
  <c r="P1208" i="3" a="1"/>
  <c r="P1208" i="3" s="1"/>
  <c r="P1209" i="3" a="1"/>
  <c r="P1209" i="3" s="1"/>
  <c r="P1210" i="3" a="1"/>
  <c r="P1210" i="3" s="1"/>
  <c r="P1211" i="3" a="1"/>
  <c r="P1211" i="3" s="1"/>
  <c r="P1212" i="3" a="1"/>
  <c r="P1212" i="3" s="1"/>
  <c r="P1213" i="3" a="1"/>
  <c r="P1213" i="3" s="1"/>
  <c r="P1214" i="3" a="1"/>
  <c r="P1214" i="3" s="1"/>
  <c r="P1215" i="3" a="1"/>
  <c r="P1215" i="3" s="1"/>
  <c r="P1216" i="3" a="1"/>
  <c r="P1216" i="3" s="1"/>
  <c r="P1217" i="3" a="1"/>
  <c r="P1217" i="3" s="1"/>
  <c r="P1218" i="3" a="1"/>
  <c r="P1218" i="3" s="1"/>
  <c r="P1219" i="3" a="1"/>
  <c r="P1219" i="3" s="1"/>
  <c r="P1220" i="3" a="1"/>
  <c r="P1220" i="3" s="1"/>
  <c r="P1221" i="3" a="1"/>
  <c r="P1221" i="3" s="1"/>
  <c r="P1222" i="3" a="1"/>
  <c r="P1222" i="3" s="1"/>
  <c r="P1223" i="3" a="1"/>
  <c r="P1223" i="3" s="1"/>
  <c r="P1224" i="3" a="1"/>
  <c r="P1224" i="3" s="1"/>
  <c r="P1225" i="3" a="1"/>
  <c r="P1225" i="3" s="1"/>
  <c r="P1226" i="3" a="1"/>
  <c r="P1226" i="3" s="1"/>
  <c r="P1227" i="3" a="1"/>
  <c r="P1227" i="3" s="1"/>
  <c r="P1228" i="3" a="1"/>
  <c r="P1228" i="3" s="1"/>
  <c r="P1229" i="3" a="1"/>
  <c r="P1229" i="3" s="1"/>
  <c r="P1230" i="3" a="1"/>
  <c r="P1230" i="3" s="1"/>
  <c r="P1231" i="3" a="1"/>
  <c r="P1231" i="3" s="1"/>
  <c r="P1232" i="3" a="1"/>
  <c r="P1232" i="3" s="1"/>
  <c r="P1233" i="3" a="1"/>
  <c r="P1233" i="3" s="1"/>
  <c r="P1234" i="3" a="1"/>
  <c r="P1234" i="3" s="1"/>
  <c r="P1235" i="3" a="1"/>
  <c r="P1235" i="3" s="1"/>
  <c r="P1236" i="3" a="1"/>
  <c r="P1236" i="3" s="1"/>
  <c r="P1237" i="3" a="1"/>
  <c r="P1237" i="3" s="1"/>
  <c r="P1238" i="3" a="1"/>
  <c r="P1238" i="3" s="1"/>
  <c r="P1239" i="3" a="1"/>
  <c r="P1239" i="3" s="1"/>
  <c r="P1240" i="3" a="1"/>
  <c r="P1240" i="3" s="1"/>
  <c r="P1241" i="3" a="1"/>
  <c r="P1241" i="3" s="1"/>
  <c r="P1242" i="3" a="1"/>
  <c r="P1242" i="3" s="1"/>
  <c r="P1243" i="3" a="1"/>
  <c r="P1243" i="3" s="1"/>
  <c r="P1244" i="3" a="1"/>
  <c r="P1244" i="3" s="1"/>
  <c r="P1245" i="3" a="1"/>
  <c r="P1245" i="3" s="1"/>
  <c r="P1246" i="3" a="1"/>
  <c r="P1246" i="3" s="1"/>
  <c r="P1247" i="3" a="1"/>
  <c r="P1247" i="3" s="1"/>
  <c r="P1248" i="3" a="1"/>
  <c r="P1248" i="3" s="1"/>
  <c r="P1249" i="3" a="1"/>
  <c r="P1249" i="3" s="1"/>
  <c r="P1250" i="3" a="1"/>
  <c r="P1250" i="3" s="1"/>
  <c r="P1251" i="3" a="1"/>
  <c r="P1251" i="3" s="1"/>
  <c r="P1252" i="3" a="1"/>
  <c r="P1252" i="3" s="1"/>
  <c r="P1253" i="3" a="1"/>
  <c r="P1253" i="3" s="1"/>
  <c r="P1254" i="3" a="1"/>
  <c r="P1254" i="3" s="1"/>
  <c r="P1255" i="3" a="1"/>
  <c r="P1255" i="3" s="1"/>
  <c r="P1256" i="3" a="1"/>
  <c r="P1256" i="3" s="1"/>
  <c r="P1257" i="3" a="1"/>
  <c r="P1257" i="3" s="1"/>
  <c r="P1258" i="3" a="1"/>
  <c r="P1258" i="3" s="1"/>
  <c r="P1259" i="3" a="1"/>
  <c r="P1259" i="3" s="1"/>
  <c r="P1260" i="3" a="1"/>
  <c r="P1260" i="3" s="1"/>
  <c r="P1261" i="3" a="1"/>
  <c r="P1261" i="3" s="1"/>
  <c r="P1262" i="3" a="1"/>
  <c r="P1262" i="3" s="1"/>
  <c r="P1263" i="3" a="1"/>
  <c r="P1263" i="3" s="1"/>
  <c r="P1264" i="3" a="1"/>
  <c r="P1264" i="3" s="1"/>
  <c r="P1265" i="3" a="1"/>
  <c r="P1265" i="3" s="1"/>
  <c r="P1266" i="3" a="1"/>
  <c r="P1266" i="3" s="1"/>
  <c r="P1267" i="3" a="1"/>
  <c r="P1267" i="3" s="1"/>
  <c r="P1268" i="3" a="1"/>
  <c r="P1268" i="3" s="1"/>
  <c r="P1269" i="3" a="1"/>
  <c r="P1269" i="3" s="1"/>
  <c r="P1270" i="3" a="1"/>
  <c r="P1270" i="3" s="1"/>
  <c r="P1271" i="3" a="1"/>
  <c r="P1271" i="3" s="1"/>
  <c r="P1272" i="3" a="1"/>
  <c r="P1272" i="3" s="1"/>
  <c r="P1273" i="3" a="1"/>
  <c r="P1273" i="3" s="1"/>
  <c r="P1274" i="3" a="1"/>
  <c r="P1274" i="3" s="1"/>
  <c r="P1275" i="3" a="1"/>
  <c r="P1275" i="3" s="1"/>
  <c r="P1276" i="3" a="1"/>
  <c r="P1276" i="3" s="1"/>
  <c r="P1277" i="3" a="1"/>
  <c r="P1277" i="3" s="1"/>
  <c r="P1278" i="3" a="1"/>
  <c r="P1278" i="3" s="1"/>
  <c r="P1279" i="3" a="1"/>
  <c r="P1279" i="3" s="1"/>
  <c r="P1280" i="3" a="1"/>
  <c r="P1280" i="3" s="1"/>
  <c r="P1281" i="3" a="1"/>
  <c r="P1281" i="3" s="1"/>
  <c r="P1282" i="3" a="1"/>
  <c r="P1282" i="3" s="1"/>
  <c r="P1283" i="3" a="1"/>
  <c r="P1283" i="3" s="1"/>
  <c r="P1284" i="3" a="1"/>
  <c r="P1284" i="3" s="1"/>
  <c r="P1285" i="3" a="1"/>
  <c r="P1285" i="3" s="1"/>
  <c r="P1286" i="3" a="1"/>
  <c r="P1286" i="3" s="1"/>
  <c r="P1287" i="3" a="1"/>
  <c r="P1287" i="3" s="1"/>
  <c r="P1288" i="3" a="1"/>
  <c r="P1288" i="3" s="1"/>
  <c r="P1289" i="3" a="1"/>
  <c r="P1289" i="3" s="1"/>
  <c r="P1290" i="3" a="1"/>
  <c r="P1290" i="3" s="1"/>
  <c r="P1291" i="3" a="1"/>
  <c r="P1291" i="3" s="1"/>
  <c r="P1292" i="3" a="1"/>
  <c r="P1292" i="3" s="1"/>
  <c r="P1293" i="3" a="1"/>
  <c r="P1293" i="3" s="1"/>
  <c r="P1294" i="3" a="1"/>
  <c r="P1294" i="3" s="1"/>
  <c r="P1295" i="3" a="1"/>
  <c r="P1295" i="3" s="1"/>
  <c r="P1296" i="3" a="1"/>
  <c r="P1296" i="3" s="1"/>
  <c r="P1297" i="3" a="1"/>
  <c r="P1297" i="3" s="1"/>
  <c r="P1298" i="3" a="1"/>
  <c r="P1298" i="3" s="1"/>
  <c r="P1299" i="3" a="1"/>
  <c r="P1299" i="3" s="1"/>
  <c r="P1300" i="3" a="1"/>
  <c r="P1300" i="3" s="1"/>
  <c r="P1301" i="3" a="1"/>
  <c r="P1301" i="3" s="1"/>
  <c r="P1302" i="3" a="1"/>
  <c r="P1302" i="3" s="1"/>
  <c r="P1303" i="3" a="1"/>
  <c r="P1303" i="3" s="1"/>
  <c r="P1304" i="3" a="1"/>
  <c r="P1304" i="3" s="1"/>
  <c r="P1305" i="3" a="1"/>
  <c r="P1305" i="3" s="1"/>
  <c r="P1306" i="3" a="1"/>
  <c r="P1306" i="3" s="1"/>
  <c r="P1307" i="3" a="1"/>
  <c r="P1307" i="3" s="1"/>
  <c r="P1308" i="3" a="1"/>
  <c r="P1308" i="3" s="1"/>
  <c r="P1309" i="3" a="1"/>
  <c r="P1309" i="3" s="1"/>
  <c r="P1310" i="3" a="1"/>
  <c r="P1310" i="3" s="1"/>
  <c r="P1311" i="3" a="1"/>
  <c r="P1311" i="3" s="1"/>
  <c r="P1312" i="3" a="1"/>
  <c r="P1312" i="3" s="1"/>
  <c r="P1313" i="3" a="1"/>
  <c r="P1313" i="3" s="1"/>
  <c r="P1314" i="3" a="1"/>
  <c r="P1314" i="3" s="1"/>
  <c r="P1315" i="3" a="1"/>
  <c r="P1315" i="3" s="1"/>
  <c r="P1316" i="3" a="1"/>
  <c r="P1316" i="3" s="1"/>
  <c r="P1317" i="3" a="1"/>
  <c r="P1317" i="3" s="1"/>
  <c r="P1318" i="3" a="1"/>
  <c r="P1318" i="3" s="1"/>
  <c r="P1319" i="3" a="1"/>
  <c r="P1319" i="3" s="1"/>
  <c r="P1320" i="3" a="1"/>
  <c r="P1320" i="3" s="1"/>
  <c r="P1321" i="3" a="1"/>
  <c r="P1321" i="3" s="1"/>
  <c r="P1322" i="3" a="1"/>
  <c r="P1322" i="3" s="1"/>
  <c r="P1323" i="3" a="1"/>
  <c r="P1323" i="3" s="1"/>
  <c r="P1324" i="3" a="1"/>
  <c r="P1324" i="3" s="1"/>
  <c r="P1325" i="3" a="1"/>
  <c r="P1325" i="3" s="1"/>
  <c r="P1326" i="3" a="1"/>
  <c r="P1326" i="3" s="1"/>
  <c r="P1327" i="3" a="1"/>
  <c r="P1327" i="3" s="1"/>
  <c r="P1328" i="3" a="1"/>
  <c r="P1328" i="3" s="1"/>
  <c r="P1329" i="3" a="1"/>
  <c r="P1329" i="3" s="1"/>
  <c r="P1330" i="3" a="1"/>
  <c r="P1330" i="3" s="1"/>
  <c r="P1331" i="3" a="1"/>
  <c r="P1331" i="3" s="1"/>
  <c r="P1332" i="3" a="1"/>
  <c r="P1332" i="3" s="1"/>
  <c r="P1333" i="3" a="1"/>
  <c r="P1333" i="3" s="1"/>
  <c r="P1334" i="3" a="1"/>
  <c r="P1334" i="3" s="1"/>
  <c r="P1335" i="3" a="1"/>
  <c r="P1335" i="3" s="1"/>
  <c r="P1336" i="3" a="1"/>
  <c r="P1336" i="3" s="1"/>
  <c r="P1337" i="3" a="1"/>
  <c r="P1337" i="3" s="1"/>
  <c r="P1338" i="3" a="1"/>
  <c r="P1338" i="3" s="1"/>
  <c r="P1339" i="3" a="1"/>
  <c r="P1339" i="3" s="1"/>
  <c r="P1340" i="3" a="1"/>
  <c r="P1340" i="3" s="1"/>
  <c r="P1341" i="3" a="1"/>
  <c r="P1341" i="3" s="1"/>
  <c r="P1342" i="3" a="1"/>
  <c r="P1342" i="3" s="1"/>
  <c r="P1343" i="3" a="1"/>
  <c r="P1343" i="3" s="1"/>
  <c r="P1344" i="3" a="1"/>
  <c r="P1344" i="3" s="1"/>
  <c r="P1345" i="3" a="1"/>
  <c r="P1345" i="3" s="1"/>
  <c r="P1346" i="3" a="1"/>
  <c r="P1346" i="3" s="1"/>
  <c r="P1347" i="3" a="1"/>
  <c r="P1347" i="3" s="1"/>
  <c r="P1348" i="3" a="1"/>
  <c r="P1348" i="3" s="1"/>
  <c r="P1349" i="3" a="1"/>
  <c r="P1349" i="3" s="1"/>
  <c r="P1350" i="3" a="1"/>
  <c r="P1350" i="3" s="1"/>
  <c r="P1351" i="3" a="1"/>
  <c r="P1351" i="3" s="1"/>
  <c r="P1352" i="3" a="1"/>
  <c r="P1352" i="3" s="1"/>
  <c r="P1353" i="3" a="1"/>
  <c r="P1353" i="3" s="1"/>
  <c r="P1354" i="3" a="1"/>
  <c r="P1354" i="3" s="1"/>
  <c r="P1355" i="3" a="1"/>
  <c r="P1355" i="3" s="1"/>
  <c r="P1356" i="3" a="1"/>
  <c r="P1356" i="3" s="1"/>
  <c r="P1357" i="3" a="1"/>
  <c r="P1357" i="3" s="1"/>
  <c r="P1358" i="3" a="1"/>
  <c r="P1358" i="3" s="1"/>
  <c r="P1359" i="3" a="1"/>
  <c r="P1359" i="3" s="1"/>
  <c r="P1360" i="3" a="1"/>
  <c r="P1360" i="3" s="1"/>
  <c r="P1361" i="3" a="1"/>
  <c r="P1361" i="3" s="1"/>
  <c r="P1362" i="3" a="1"/>
  <c r="P1362" i="3" s="1"/>
  <c r="P1363" i="3" a="1"/>
  <c r="P1363" i="3" s="1"/>
  <c r="P1364" i="3" a="1"/>
  <c r="P1364" i="3" s="1"/>
  <c r="P1365" i="3" a="1"/>
  <c r="P1365" i="3" s="1"/>
  <c r="P1366" i="3" a="1"/>
  <c r="P1366" i="3" s="1"/>
  <c r="P1367" i="3" a="1"/>
  <c r="P1367" i="3" s="1"/>
  <c r="P1368" i="3" a="1"/>
  <c r="P1368" i="3" s="1"/>
  <c r="P1369" i="3" a="1"/>
  <c r="P1369" i="3" s="1"/>
  <c r="P1370" i="3" a="1"/>
  <c r="P1370" i="3" s="1"/>
  <c r="P1371" i="3" a="1"/>
  <c r="P1371" i="3" s="1"/>
  <c r="P1372" i="3" a="1"/>
  <c r="P1372" i="3" s="1"/>
  <c r="P1373" i="3" a="1"/>
  <c r="P1373" i="3" s="1"/>
  <c r="P1374" i="3" a="1"/>
  <c r="P1374" i="3" s="1"/>
  <c r="P1375" i="3" a="1"/>
  <c r="P1375" i="3" s="1"/>
  <c r="P1376" i="3" a="1"/>
  <c r="P1376" i="3" s="1"/>
  <c r="P1377" i="3" a="1"/>
  <c r="P1377" i="3" s="1"/>
  <c r="P1378" i="3" a="1"/>
  <c r="P1378" i="3" s="1"/>
  <c r="P1379" i="3" a="1"/>
  <c r="P1379" i="3" s="1"/>
  <c r="P1380" i="3" a="1"/>
  <c r="P1380" i="3" s="1"/>
  <c r="P1381" i="3" a="1"/>
  <c r="P1381" i="3" s="1"/>
  <c r="P1382" i="3" a="1"/>
  <c r="P1382" i="3" s="1"/>
  <c r="P1383" i="3" a="1"/>
  <c r="P1383" i="3" s="1"/>
  <c r="P1384" i="3" a="1"/>
  <c r="P1384" i="3" s="1"/>
  <c r="P1385" i="3" a="1"/>
  <c r="P1385" i="3" s="1"/>
  <c r="P1386" i="3" a="1"/>
  <c r="P1386" i="3" s="1"/>
  <c r="P1387" i="3" a="1"/>
  <c r="P1387" i="3" s="1"/>
  <c r="P1388" i="3" a="1"/>
  <c r="P1388" i="3" s="1"/>
  <c r="P1389" i="3" a="1"/>
  <c r="P1389" i="3" s="1"/>
  <c r="P1390" i="3" a="1"/>
  <c r="P1390" i="3" s="1"/>
  <c r="P1391" i="3" a="1"/>
  <c r="P1391" i="3" s="1"/>
  <c r="P1392" i="3" a="1"/>
  <c r="P1392" i="3" s="1"/>
  <c r="P1393" i="3" a="1"/>
  <c r="P1393" i="3" s="1"/>
  <c r="P1394" i="3" a="1"/>
  <c r="P1394" i="3" s="1"/>
  <c r="P1395" i="3" a="1"/>
  <c r="P1395" i="3" s="1"/>
  <c r="P1396" i="3" a="1"/>
  <c r="P1396" i="3" s="1"/>
  <c r="P1397" i="3" a="1"/>
  <c r="P1397" i="3" s="1"/>
  <c r="P1398" i="3" a="1"/>
  <c r="P1398" i="3" s="1"/>
  <c r="P1413" i="3" a="1"/>
  <c r="P1413" i="3" s="1"/>
  <c r="P1414" i="3" a="1"/>
  <c r="P1414" i="3" s="1"/>
  <c r="P1415" i="3" a="1"/>
  <c r="P1415" i="3" s="1"/>
  <c r="P1416" i="3" a="1"/>
  <c r="P1416" i="3" s="1"/>
  <c r="P1417" i="3" a="1"/>
  <c r="P1417" i="3" s="1"/>
  <c r="P1418" i="3" a="1"/>
  <c r="P1418" i="3" s="1"/>
  <c r="P1419" i="3" a="1"/>
  <c r="P1419" i="3" s="1"/>
  <c r="P1420" i="3" a="1"/>
  <c r="P1420" i="3" s="1"/>
  <c r="P1421" i="3" a="1"/>
  <c r="P1421" i="3" s="1"/>
  <c r="P1422" i="3" a="1"/>
  <c r="P1422" i="3" s="1"/>
  <c r="P1423" i="3" a="1"/>
  <c r="P1423" i="3" s="1"/>
  <c r="P1424" i="3" a="1"/>
  <c r="P1424" i="3" s="1"/>
  <c r="P1425" i="3" a="1"/>
  <c r="P1425" i="3" s="1"/>
  <c r="P1426" i="3" a="1"/>
  <c r="P1426" i="3" s="1"/>
  <c r="P1427" i="3" a="1"/>
  <c r="P1427" i="3" s="1"/>
  <c r="P1428" i="3" a="1"/>
  <c r="P1428" i="3" s="1"/>
  <c r="P1429" i="3" a="1"/>
  <c r="P1429" i="3" s="1"/>
  <c r="P1430" i="3" a="1"/>
  <c r="P1430" i="3" s="1"/>
  <c r="P1431" i="3" a="1"/>
  <c r="P1431" i="3" s="1"/>
  <c r="P1432" i="3" a="1"/>
  <c r="P1432" i="3" s="1"/>
  <c r="P1433" i="3" a="1"/>
  <c r="P1433" i="3" s="1"/>
  <c r="P1434" i="3" a="1"/>
  <c r="P1434" i="3" s="1"/>
  <c r="P1435" i="3" a="1"/>
  <c r="P1435" i="3" s="1"/>
  <c r="P1436" i="3" a="1"/>
  <c r="P1436" i="3" s="1"/>
  <c r="P1437" i="3" a="1"/>
  <c r="P1437" i="3" s="1"/>
  <c r="P1438" i="3" a="1"/>
  <c r="P1438" i="3" s="1"/>
  <c r="P1439" i="3" a="1"/>
  <c r="P1439" i="3" s="1"/>
  <c r="P1440" i="3" a="1"/>
  <c r="P1440" i="3" s="1"/>
  <c r="P1441" i="3" a="1"/>
  <c r="P1441" i="3" s="1"/>
  <c r="P1442" i="3" a="1"/>
  <c r="P1442" i="3" s="1"/>
  <c r="P1443" i="3" a="1"/>
  <c r="P1443" i="3" s="1"/>
  <c r="P1444" i="3" a="1"/>
  <c r="P1444" i="3" s="1"/>
  <c r="P1445" i="3" a="1"/>
  <c r="P1445" i="3" s="1"/>
  <c r="P1446" i="3" a="1"/>
  <c r="P1446" i="3" s="1"/>
  <c r="P1447" i="3" a="1"/>
  <c r="P1447" i="3" s="1"/>
  <c r="P1448" i="3" a="1"/>
  <c r="P1448" i="3" s="1"/>
  <c r="P1449" i="3" a="1"/>
  <c r="P1449" i="3" s="1"/>
  <c r="P1450" i="3" a="1"/>
  <c r="P1450" i="3" s="1"/>
  <c r="P1451" i="3" a="1"/>
  <c r="P1451" i="3" s="1"/>
  <c r="P1452" i="3" a="1"/>
  <c r="P1452" i="3" s="1"/>
  <c r="P1453" i="3" a="1"/>
  <c r="P1453" i="3" s="1"/>
  <c r="P1454" i="3" a="1"/>
  <c r="P1454" i="3" s="1"/>
  <c r="P1455" i="3" a="1"/>
  <c r="P1455" i="3" s="1"/>
  <c r="P1456" i="3" a="1"/>
  <c r="P1456" i="3" s="1"/>
  <c r="P1457" i="3" a="1"/>
  <c r="P1457" i="3" s="1"/>
  <c r="P1458" i="3" a="1"/>
  <c r="P1458" i="3" s="1"/>
  <c r="P1459" i="3" a="1"/>
  <c r="P1459" i="3" s="1"/>
  <c r="P1460" i="3" a="1"/>
  <c r="P1460" i="3" s="1"/>
  <c r="P1461" i="3" a="1"/>
  <c r="P1461" i="3" s="1"/>
  <c r="P1462" i="3" a="1"/>
  <c r="P1462" i="3" s="1"/>
  <c r="P1463" i="3" a="1"/>
  <c r="P1463" i="3" s="1"/>
  <c r="P1464" i="3" a="1"/>
  <c r="P1464" i="3" s="1"/>
  <c r="P1465" i="3" a="1"/>
  <c r="P1465" i="3" s="1"/>
  <c r="P1466" i="3" a="1"/>
  <c r="P1466" i="3" s="1"/>
  <c r="P1467" i="3" a="1"/>
  <c r="P1467" i="3" s="1"/>
  <c r="P1468" i="3" a="1"/>
  <c r="P1468" i="3" s="1"/>
  <c r="P1469" i="3" a="1"/>
  <c r="P1469" i="3" s="1"/>
  <c r="P1470" i="3" a="1"/>
  <c r="P1470" i="3" s="1"/>
  <c r="P1471" i="3" a="1"/>
  <c r="P1471" i="3" s="1"/>
  <c r="P1472" i="3" a="1"/>
  <c r="P1472" i="3" s="1"/>
  <c r="P1473" i="3" a="1"/>
  <c r="P1473" i="3" s="1"/>
  <c r="P1474" i="3" a="1"/>
  <c r="P1474" i="3" s="1"/>
  <c r="P1475" i="3" a="1"/>
  <c r="P1475" i="3" s="1"/>
  <c r="P1476" i="3" a="1"/>
  <c r="P1476" i="3" s="1"/>
  <c r="P1477" i="3" a="1"/>
  <c r="P1477" i="3" s="1"/>
  <c r="P1478" i="3" a="1"/>
  <c r="P1478" i="3" s="1"/>
  <c r="P1479" i="3" a="1"/>
  <c r="P1479" i="3" s="1"/>
  <c r="P1480" i="3" a="1"/>
  <c r="P1480" i="3" s="1"/>
  <c r="P1481" i="3" a="1"/>
  <c r="P1481" i="3" s="1"/>
  <c r="P1482" i="3" a="1"/>
  <c r="P1482" i="3" s="1"/>
  <c r="P1483" i="3" a="1"/>
  <c r="P1483" i="3" s="1"/>
  <c r="P1484" i="3" a="1"/>
  <c r="P1484" i="3" s="1"/>
  <c r="P1485" i="3" a="1"/>
  <c r="P1485" i="3" s="1"/>
  <c r="P1486" i="3" a="1"/>
  <c r="P1486" i="3" s="1"/>
  <c r="P1487" i="3" a="1"/>
  <c r="P1487" i="3" s="1"/>
  <c r="P1488" i="3" a="1"/>
  <c r="P1488" i="3" s="1"/>
  <c r="P1489" i="3" a="1"/>
  <c r="P1489" i="3" s="1"/>
  <c r="P1490" i="3" a="1"/>
  <c r="P1490" i="3" s="1"/>
  <c r="P1491" i="3" a="1"/>
  <c r="P1491" i="3" s="1"/>
  <c r="P1492" i="3" a="1"/>
  <c r="P1492" i="3" s="1"/>
  <c r="P1493" i="3" a="1"/>
  <c r="P1493" i="3" s="1"/>
  <c r="P1494" i="3" a="1"/>
  <c r="P1494" i="3" s="1"/>
  <c r="P1495" i="3" a="1"/>
  <c r="P1495" i="3" s="1"/>
  <c r="P1496" i="3" a="1"/>
  <c r="P1496" i="3" s="1"/>
  <c r="P1497" i="3" a="1"/>
  <c r="P1497" i="3" s="1"/>
  <c r="P1498" i="3" a="1"/>
  <c r="P1498" i="3" s="1"/>
  <c r="P1499" i="3" a="1"/>
  <c r="P1499" i="3" s="1"/>
  <c r="P1500" i="3" a="1"/>
  <c r="P1500" i="3" s="1"/>
  <c r="P1501" i="3" a="1"/>
  <c r="P1501" i="3" s="1"/>
  <c r="P1502" i="3" a="1"/>
  <c r="P1502" i="3" s="1"/>
  <c r="P1503" i="3" a="1"/>
  <c r="P1503" i="3" s="1"/>
  <c r="P1504" i="3" a="1"/>
  <c r="P1504" i="3" s="1"/>
  <c r="P1505" i="3" a="1"/>
  <c r="P1505" i="3" s="1"/>
  <c r="P1506" i="3" a="1"/>
  <c r="P1506" i="3" s="1"/>
  <c r="P1507" i="3" a="1"/>
  <c r="P1507" i="3" s="1"/>
  <c r="P1508" i="3" a="1"/>
  <c r="P1508" i="3" s="1"/>
  <c r="P1509" i="3" a="1"/>
  <c r="P1509" i="3" s="1"/>
  <c r="P1510" i="3" a="1"/>
  <c r="P1510" i="3" s="1"/>
  <c r="P1511" i="3" a="1"/>
  <c r="P1511" i="3" s="1"/>
  <c r="P1512" i="3" a="1"/>
  <c r="P1512" i="3" s="1"/>
  <c r="P1513" i="3" a="1"/>
  <c r="P1513" i="3" s="1"/>
  <c r="P1514" i="3" a="1"/>
  <c r="P1514" i="3" s="1"/>
  <c r="P1515" i="3" a="1"/>
  <c r="P1515" i="3" s="1"/>
  <c r="P1516" i="3" a="1"/>
  <c r="P1516" i="3" s="1"/>
  <c r="P1517" i="3" a="1"/>
  <c r="P1517" i="3" s="1"/>
  <c r="P1518" i="3" a="1"/>
  <c r="P1518" i="3" s="1"/>
  <c r="P1519" i="3" a="1"/>
  <c r="P1519" i="3" s="1"/>
  <c r="P1520" i="3" a="1"/>
  <c r="P1520" i="3" s="1"/>
  <c r="P1521" i="3" a="1"/>
  <c r="P1521" i="3" s="1"/>
  <c r="P1522" i="3" a="1"/>
  <c r="P1522" i="3" s="1"/>
  <c r="P1523" i="3" a="1"/>
  <c r="P1523" i="3" s="1"/>
  <c r="P1524" i="3" a="1"/>
  <c r="P1524" i="3" s="1"/>
  <c r="P1525" i="3" a="1"/>
  <c r="P1525" i="3" s="1"/>
  <c r="P1526" i="3" a="1"/>
  <c r="P1526" i="3" s="1"/>
  <c r="P1527" i="3" a="1"/>
  <c r="P1527" i="3" s="1"/>
  <c r="P1528" i="3" a="1"/>
  <c r="P1528" i="3" s="1"/>
  <c r="P1529" i="3" a="1"/>
  <c r="P1529" i="3" s="1"/>
  <c r="P1530" i="3" a="1"/>
  <c r="P1530" i="3" s="1"/>
  <c r="P1531" i="3" a="1"/>
  <c r="P1531" i="3" s="1"/>
  <c r="P1532" i="3" a="1"/>
  <c r="P1532" i="3" s="1"/>
  <c r="P1533" i="3" a="1"/>
  <c r="P1533" i="3" s="1"/>
  <c r="P1534" i="3" a="1"/>
  <c r="P1534" i="3" s="1"/>
  <c r="P1535" i="3" a="1"/>
  <c r="P1535" i="3" s="1"/>
  <c r="P1536" i="3" a="1"/>
  <c r="P1536" i="3" s="1"/>
  <c r="P1537" i="3" a="1"/>
  <c r="P1537" i="3" s="1"/>
  <c r="P1538" i="3" a="1"/>
  <c r="P1538" i="3" s="1"/>
  <c r="P1539" i="3" a="1"/>
  <c r="P1539" i="3" s="1"/>
  <c r="P1540" i="3" a="1"/>
  <c r="P1540" i="3" s="1"/>
  <c r="P1541" i="3" a="1"/>
  <c r="P1541" i="3" s="1"/>
  <c r="P1542" i="3" a="1"/>
  <c r="P1542" i="3" s="1"/>
  <c r="P1543" i="3" a="1"/>
  <c r="P1543" i="3" s="1"/>
  <c r="P1544" i="3" a="1"/>
  <c r="P1544" i="3" s="1"/>
  <c r="P1545" i="3" a="1"/>
  <c r="P1545" i="3" s="1"/>
  <c r="P1546" i="3" a="1"/>
  <c r="P1546" i="3" s="1"/>
  <c r="P1547" i="3" a="1"/>
  <c r="P1547" i="3" s="1"/>
  <c r="P1548" i="3" a="1"/>
  <c r="P1548" i="3" s="1"/>
  <c r="P1549" i="3" a="1"/>
  <c r="P1549" i="3" s="1"/>
  <c r="P1550" i="3" a="1"/>
  <c r="P1550" i="3" s="1"/>
  <c r="P1551" i="3" a="1"/>
  <c r="P1551" i="3" s="1"/>
  <c r="P1552" i="3" a="1"/>
  <c r="P1552" i="3" s="1"/>
  <c r="P1553" i="3" a="1"/>
  <c r="P1553" i="3" s="1"/>
  <c r="P1554" i="3" a="1"/>
  <c r="P1554" i="3" s="1"/>
  <c r="P1555" i="3" a="1"/>
  <c r="P1555" i="3" s="1"/>
  <c r="P1557" i="3" a="1"/>
  <c r="P1557" i="3" s="1"/>
  <c r="P1558" i="3" a="1"/>
  <c r="P1558" i="3" s="1"/>
  <c r="P1559" i="3" a="1"/>
  <c r="P1559" i="3" s="1"/>
  <c r="P1560" i="3" a="1"/>
  <c r="P1560" i="3" s="1"/>
  <c r="P1561" i="3" a="1"/>
  <c r="P1561" i="3" s="1"/>
  <c r="P1562" i="3" a="1"/>
  <c r="P1562" i="3" s="1"/>
  <c r="P1563" i="3" a="1"/>
  <c r="P1563" i="3" s="1"/>
  <c r="P1564" i="3" a="1"/>
  <c r="P1564" i="3" s="1"/>
  <c r="P1565" i="3" a="1"/>
  <c r="P1565" i="3" s="1"/>
  <c r="P1566" i="3" a="1"/>
  <c r="P1566" i="3" s="1"/>
  <c r="P1567" i="3" a="1"/>
  <c r="P1567" i="3" s="1"/>
  <c r="P1568" i="3" a="1"/>
  <c r="P1568" i="3" s="1"/>
  <c r="P1569" i="3" a="1"/>
  <c r="P1569" i="3" s="1"/>
  <c r="P1570" i="3" a="1"/>
  <c r="P1570" i="3" s="1"/>
  <c r="P1571" i="3" a="1"/>
  <c r="P1571" i="3" s="1"/>
  <c r="P1572" i="3" a="1"/>
  <c r="P1572" i="3" s="1"/>
  <c r="P1573" i="3" a="1"/>
  <c r="P1573" i="3" s="1"/>
  <c r="P1574" i="3" a="1"/>
  <c r="P1574" i="3" s="1"/>
  <c r="P1575" i="3" a="1"/>
  <c r="P1575" i="3" s="1"/>
  <c r="P1576" i="3" a="1"/>
  <c r="P1576" i="3" s="1"/>
  <c r="P1577" i="3" a="1"/>
  <c r="P1577" i="3" s="1"/>
  <c r="P1578" i="3" a="1"/>
  <c r="P1578" i="3" s="1"/>
  <c r="P1579" i="3" a="1"/>
  <c r="P1579" i="3" s="1"/>
  <c r="P1580" i="3" a="1"/>
  <c r="P1580" i="3" s="1"/>
  <c r="P1581" i="3" a="1"/>
  <c r="P1581" i="3" s="1"/>
  <c r="P1582" i="3" a="1"/>
  <c r="P1582" i="3" s="1"/>
  <c r="P1583" i="3" a="1"/>
  <c r="P1583" i="3" s="1"/>
  <c r="P1584" i="3" a="1"/>
  <c r="P1584" i="3" s="1"/>
  <c r="P1585" i="3" a="1"/>
  <c r="P1585" i="3" s="1"/>
  <c r="P1586" i="3" a="1"/>
  <c r="P1586" i="3" s="1"/>
  <c r="P1587" i="3" a="1"/>
  <c r="P1587" i="3" s="1"/>
  <c r="P1588" i="3" a="1"/>
  <c r="P1588" i="3" s="1"/>
  <c r="P1589" i="3" a="1"/>
  <c r="P1589" i="3" s="1"/>
  <c r="P1590" i="3" a="1"/>
  <c r="P1590" i="3" s="1"/>
  <c r="P1591" i="3" a="1"/>
  <c r="P1591" i="3" s="1"/>
  <c r="P1592" i="3" a="1"/>
  <c r="P1592" i="3" s="1"/>
  <c r="P1593" i="3" a="1"/>
  <c r="P1593" i="3" s="1"/>
  <c r="P1594" i="3" a="1"/>
  <c r="P1594" i="3" s="1"/>
  <c r="P1595" i="3" a="1"/>
  <c r="P1595" i="3" s="1"/>
  <c r="P1596" i="3" a="1"/>
  <c r="P1596" i="3" s="1"/>
  <c r="P1597" i="3" a="1"/>
  <c r="P1597" i="3" s="1"/>
  <c r="P1598" i="3" a="1"/>
  <c r="P1598" i="3" s="1"/>
  <c r="P1599" i="3" a="1"/>
  <c r="P1599" i="3" s="1"/>
  <c r="P1600" i="3" a="1"/>
  <c r="P1600" i="3" s="1"/>
  <c r="P1601" i="3" a="1"/>
  <c r="P1601" i="3" s="1"/>
  <c r="P1602" i="3" a="1"/>
  <c r="P1602" i="3" s="1"/>
  <c r="P1603" i="3" a="1"/>
  <c r="P1603" i="3" s="1"/>
  <c r="P1604" i="3" a="1"/>
  <c r="P1604" i="3" s="1"/>
  <c r="P1605" i="3" a="1"/>
  <c r="P1605" i="3" s="1"/>
  <c r="P1606" i="3" a="1"/>
  <c r="P1606" i="3" s="1"/>
  <c r="P1607" i="3" a="1"/>
  <c r="P1607" i="3" s="1"/>
  <c r="P1608" i="3" a="1"/>
  <c r="P1608" i="3" s="1"/>
  <c r="P1609" i="3" a="1"/>
  <c r="P1609" i="3" s="1"/>
  <c r="P1610" i="3" a="1"/>
  <c r="P1610" i="3" s="1"/>
  <c r="P1611" i="3" a="1"/>
  <c r="P1611" i="3" s="1"/>
  <c r="P1612" i="3" a="1"/>
  <c r="P1612" i="3" s="1"/>
  <c r="P1613" i="3" a="1"/>
  <c r="P1613" i="3" s="1"/>
  <c r="P1614" i="3" a="1"/>
  <c r="P1614" i="3" s="1"/>
  <c r="P1615" i="3" a="1"/>
  <c r="P1615" i="3" s="1"/>
  <c r="P1616" i="3" a="1"/>
  <c r="P1616" i="3" s="1"/>
  <c r="P1617" i="3" a="1"/>
  <c r="P1617" i="3" s="1"/>
  <c r="P1618" i="3" a="1"/>
  <c r="P1618" i="3" s="1"/>
  <c r="P1619" i="3" a="1"/>
  <c r="P1619" i="3" s="1"/>
  <c r="P1620" i="3" a="1"/>
  <c r="P1620" i="3" s="1"/>
  <c r="P1621" i="3" a="1"/>
  <c r="P1621" i="3" s="1"/>
  <c r="P1622" i="3" a="1"/>
  <c r="P1622" i="3" s="1"/>
  <c r="P1623" i="3" a="1"/>
  <c r="P1623" i="3" s="1"/>
  <c r="P1624" i="3" a="1"/>
  <c r="P1624" i="3" s="1"/>
  <c r="P1625" i="3" a="1"/>
  <c r="P1625" i="3" s="1"/>
  <c r="P1626" i="3" a="1"/>
  <c r="P1626" i="3" s="1"/>
  <c r="P1627" i="3" a="1"/>
  <c r="P1627" i="3" s="1"/>
  <c r="P1628" i="3" a="1"/>
  <c r="P1628" i="3" s="1"/>
  <c r="P1629" i="3" a="1"/>
  <c r="P1629" i="3" s="1"/>
  <c r="P1630" i="3" a="1"/>
  <c r="P1630" i="3" s="1"/>
  <c r="P1631" i="3" a="1"/>
  <c r="P1631" i="3" s="1"/>
  <c r="P1632" i="3" a="1"/>
  <c r="P1632" i="3" s="1"/>
  <c r="P1633" i="3" a="1"/>
  <c r="P1633" i="3" s="1"/>
  <c r="P1634" i="3" a="1"/>
  <c r="P1634" i="3" s="1"/>
  <c r="P1635" i="3" a="1"/>
  <c r="P1635" i="3" s="1"/>
  <c r="P1636" i="3" a="1"/>
  <c r="P1636" i="3" s="1"/>
  <c r="P1637" i="3" a="1"/>
  <c r="P1637" i="3" s="1"/>
  <c r="P1638" i="3" a="1"/>
  <c r="P1638" i="3" s="1"/>
  <c r="P1639" i="3" a="1"/>
  <c r="P1639" i="3" s="1"/>
  <c r="P1641" i="3" a="1"/>
  <c r="P1641" i="3" s="1"/>
  <c r="P1642" i="3" a="1"/>
  <c r="P1642" i="3" s="1"/>
  <c r="P1643" i="3" a="1"/>
  <c r="P1643" i="3" s="1"/>
  <c r="P1644" i="3" a="1"/>
  <c r="P1644" i="3" s="1"/>
  <c r="P1645" i="3" a="1"/>
  <c r="P1645" i="3" s="1"/>
  <c r="P1646" i="3" a="1"/>
  <c r="P1646" i="3" s="1"/>
  <c r="P1647" i="3" a="1"/>
  <c r="P1647" i="3" s="1"/>
  <c r="P1648" i="3" a="1"/>
  <c r="P1648" i="3" s="1"/>
  <c r="P1649" i="3" a="1"/>
  <c r="P1649" i="3" s="1"/>
  <c r="P1650" i="3" a="1"/>
  <c r="P1650" i="3" s="1"/>
  <c r="P1651" i="3" a="1"/>
  <c r="P1651" i="3" s="1"/>
  <c r="P1652" i="3" a="1"/>
  <c r="P1652" i="3" s="1"/>
  <c r="P1653" i="3" a="1"/>
  <c r="P1653" i="3" s="1"/>
  <c r="P1655" i="3" a="1"/>
  <c r="P1655" i="3" s="1"/>
  <c r="P1656" i="3" a="1"/>
  <c r="P1656" i="3" s="1"/>
  <c r="P1657" i="3" a="1"/>
  <c r="P1657" i="3" s="1"/>
  <c r="P1658" i="3" a="1"/>
  <c r="P1658" i="3" s="1"/>
  <c r="P1659" i="3" a="1"/>
  <c r="P1659" i="3" s="1"/>
  <c r="P1660" i="3" a="1"/>
  <c r="P1660" i="3" s="1"/>
  <c r="P1661" i="3" a="1"/>
  <c r="P1661" i="3" s="1"/>
  <c r="P1662" i="3" a="1"/>
  <c r="P1662" i="3" s="1"/>
  <c r="P1663" i="3" a="1"/>
  <c r="P1663" i="3" s="1"/>
  <c r="P1664" i="3" a="1"/>
  <c r="P1664" i="3" s="1"/>
  <c r="P1665" i="3" a="1"/>
  <c r="P1665" i="3" s="1"/>
  <c r="P1666" i="3" a="1"/>
  <c r="P1666" i="3" s="1"/>
  <c r="P1667" i="3" a="1"/>
  <c r="P1667" i="3" s="1"/>
  <c r="P1668" i="3" a="1"/>
  <c r="P1668" i="3" s="1"/>
  <c r="P1669" i="3" a="1"/>
  <c r="P1669" i="3" s="1"/>
  <c r="P1670" i="3" a="1"/>
  <c r="P1670" i="3" s="1"/>
  <c r="P1671" i="3" a="1"/>
  <c r="P1671" i="3" s="1"/>
  <c r="P1672" i="3" a="1"/>
  <c r="P1672" i="3" s="1"/>
  <c r="P1673" i="3" a="1"/>
  <c r="P1673" i="3" s="1"/>
  <c r="P1674" i="3" a="1"/>
  <c r="P1674" i="3" s="1"/>
  <c r="P1675" i="3" a="1"/>
  <c r="P1675" i="3" s="1"/>
  <c r="P1676" i="3" a="1"/>
  <c r="P1676" i="3" s="1"/>
  <c r="P1677" i="3" a="1"/>
  <c r="P1677" i="3" s="1"/>
  <c r="P1678" i="3" a="1"/>
  <c r="P1678" i="3" s="1"/>
  <c r="P1679" i="3" a="1"/>
  <c r="P1679" i="3" s="1"/>
  <c r="P1680" i="3" a="1"/>
  <c r="P1680" i="3" s="1"/>
  <c r="P1681" i="3" a="1"/>
  <c r="P1681" i="3" s="1"/>
  <c r="P1682" i="3" a="1"/>
  <c r="P1682" i="3" s="1"/>
  <c r="P1683" i="3" a="1"/>
  <c r="P1683" i="3" s="1"/>
  <c r="P1684" i="3" a="1"/>
  <c r="P1684" i="3" s="1"/>
  <c r="P1685" i="3" a="1"/>
  <c r="P1685" i="3" s="1"/>
  <c r="P1686" i="3" a="1"/>
  <c r="P1686" i="3" s="1"/>
  <c r="P1687" i="3" a="1"/>
  <c r="P1687" i="3" s="1"/>
  <c r="P1688" i="3" a="1"/>
  <c r="P1688" i="3" s="1"/>
  <c r="P1690" i="3" a="1"/>
  <c r="P1690" i="3" s="1"/>
  <c r="P1691" i="3" a="1"/>
  <c r="P1691" i="3" s="1"/>
  <c r="P1692" i="3" a="1"/>
  <c r="P1692" i="3" s="1"/>
  <c r="P1693" i="3" a="1"/>
  <c r="P1693" i="3" s="1"/>
  <c r="P1694" i="3" a="1"/>
  <c r="P1694" i="3" s="1"/>
  <c r="P1695" i="3" a="1"/>
  <c r="P1695" i="3" s="1"/>
  <c r="P1696" i="3" a="1"/>
  <c r="P1696" i="3" s="1"/>
  <c r="P1697" i="3" a="1"/>
  <c r="P1697" i="3" s="1"/>
  <c r="P1698" i="3" a="1"/>
  <c r="P1698" i="3" s="1"/>
  <c r="P1699" i="3" a="1"/>
  <c r="P1699" i="3" s="1"/>
  <c r="P1700" i="3" a="1"/>
  <c r="P1700" i="3" s="1"/>
  <c r="P1701" i="3" a="1"/>
  <c r="P1701" i="3" s="1"/>
  <c r="P1702" i="3" a="1"/>
  <c r="P1702" i="3" s="1"/>
  <c r="P1703" i="3" a="1"/>
  <c r="P1703" i="3" s="1"/>
  <c r="P1704" i="3" a="1"/>
  <c r="P1704" i="3" s="1"/>
  <c r="P1705" i="3" a="1"/>
  <c r="P1705" i="3" s="1"/>
  <c r="P1706" i="3" a="1"/>
  <c r="P1706" i="3" s="1"/>
  <c r="P1707" i="3" a="1"/>
  <c r="P1707" i="3" s="1"/>
  <c r="P1708" i="3" a="1"/>
  <c r="P1708" i="3" s="1"/>
  <c r="P1709" i="3" a="1"/>
  <c r="P1709" i="3" s="1"/>
  <c r="P1710" i="3" a="1"/>
  <c r="P1710" i="3" s="1"/>
  <c r="P1711" i="3" a="1"/>
  <c r="P1711" i="3" s="1"/>
  <c r="P1712" i="3" a="1"/>
  <c r="P1712" i="3" s="1"/>
  <c r="P1713" i="3" a="1"/>
  <c r="P1713" i="3" s="1"/>
  <c r="P1714" i="3" a="1"/>
  <c r="P1714" i="3" s="1"/>
  <c r="P1715" i="3" a="1"/>
  <c r="P1715" i="3" s="1"/>
  <c r="P1716" i="3" a="1"/>
  <c r="P1716" i="3" s="1"/>
  <c r="P1717" i="3" a="1"/>
  <c r="P1717" i="3" s="1"/>
  <c r="P1719" i="3" a="1"/>
  <c r="P1719" i="3" s="1"/>
  <c r="P1720" i="3" a="1"/>
  <c r="P1720" i="3" s="1"/>
  <c r="P1721" i="3" a="1"/>
  <c r="P1721" i="3" s="1"/>
  <c r="P1722" i="3" a="1"/>
  <c r="P1722" i="3" s="1"/>
  <c r="P1723" i="3" a="1"/>
  <c r="P1723" i="3" s="1"/>
  <c r="P1724" i="3" a="1"/>
  <c r="P1724" i="3" s="1"/>
  <c r="P1725" i="3" a="1"/>
  <c r="P1725" i="3" s="1"/>
  <c r="P1726" i="3" a="1"/>
  <c r="P1726" i="3" s="1"/>
  <c r="P1727" i="3" a="1"/>
  <c r="P1727" i="3" s="1"/>
  <c r="P1728" i="3" a="1"/>
  <c r="P1728" i="3" s="1"/>
  <c r="P1729" i="3" a="1"/>
  <c r="P1729" i="3" s="1"/>
  <c r="P1730" i="3" a="1"/>
  <c r="P1730" i="3" s="1"/>
  <c r="P1731" i="3" a="1"/>
  <c r="P1731" i="3" s="1"/>
  <c r="P1732" i="3" a="1"/>
  <c r="P1732" i="3" s="1"/>
  <c r="P1733" i="3" a="1"/>
  <c r="P1733" i="3" s="1"/>
  <c r="P1734" i="3" a="1"/>
  <c r="P1734" i="3" s="1"/>
  <c r="P1735" i="3" a="1"/>
  <c r="P1735" i="3" s="1"/>
  <c r="P1736" i="3" a="1"/>
  <c r="P1736" i="3" s="1"/>
  <c r="P1737" i="3" a="1"/>
  <c r="P1737" i="3" s="1"/>
  <c r="P1738" i="3" a="1"/>
  <c r="P1738" i="3" s="1"/>
  <c r="P1739" i="3" a="1"/>
  <c r="P1739" i="3" s="1"/>
  <c r="P1740" i="3" a="1"/>
  <c r="P1740" i="3" s="1"/>
  <c r="P1741" i="3" a="1"/>
  <c r="P1741" i="3" s="1"/>
  <c r="P1742" i="3" a="1"/>
  <c r="P1742" i="3" s="1"/>
  <c r="P1743" i="3" a="1"/>
  <c r="P1743" i="3" s="1"/>
  <c r="P1744" i="3" a="1"/>
  <c r="P1744" i="3" s="1"/>
  <c r="P1745" i="3" a="1"/>
  <c r="P1745" i="3" s="1"/>
  <c r="P1746" i="3" a="1"/>
  <c r="P1746" i="3" s="1"/>
  <c r="P1747" i="3" a="1"/>
  <c r="P1747" i="3" s="1"/>
  <c r="P1748" i="3" a="1"/>
  <c r="P1748" i="3" s="1"/>
  <c r="P1750" i="3" a="1"/>
  <c r="P1750" i="3" s="1"/>
  <c r="P1751" i="3" a="1"/>
  <c r="P1751" i="3" s="1"/>
  <c r="P1752" i="3" a="1"/>
  <c r="P1752" i="3" s="1"/>
  <c r="P1753" i="3" a="1"/>
  <c r="P1753" i="3" s="1"/>
  <c r="P1754" i="3" a="1"/>
  <c r="P1754" i="3" s="1"/>
  <c r="P1755" i="3" a="1"/>
  <c r="P1755" i="3" s="1"/>
  <c r="P1756" i="3" a="1"/>
  <c r="P1756" i="3" s="1"/>
  <c r="P1757" i="3" a="1"/>
  <c r="P1757" i="3" s="1"/>
  <c r="P1758" i="3" a="1"/>
  <c r="P1758" i="3" s="1"/>
  <c r="P1759" i="3" a="1"/>
  <c r="P1759" i="3" s="1"/>
  <c r="P1760" i="3" a="1"/>
  <c r="P1760" i="3" s="1"/>
  <c r="P1761" i="3" a="1"/>
  <c r="P1761" i="3" s="1"/>
  <c r="P1762" i="3" a="1"/>
  <c r="P1762" i="3" s="1"/>
  <c r="P1763" i="3" a="1"/>
  <c r="P1763" i="3" s="1"/>
  <c r="P1764" i="3" a="1"/>
  <c r="P1764" i="3" s="1"/>
  <c r="P1765" i="3" a="1"/>
  <c r="P1765" i="3" s="1"/>
  <c r="P1766" i="3" a="1"/>
  <c r="P1766" i="3" s="1"/>
  <c r="P1767" i="3" a="1"/>
  <c r="P1767" i="3" s="1"/>
  <c r="P1768" i="3" a="1"/>
  <c r="P1768" i="3" s="1"/>
  <c r="P1769" i="3" a="1"/>
  <c r="P1769" i="3" s="1"/>
  <c r="P1770" i="3" a="1"/>
  <c r="P1770" i="3" s="1"/>
  <c r="P1771" i="3" a="1"/>
  <c r="P1771" i="3" s="1"/>
  <c r="P1772" i="3" a="1"/>
  <c r="P1772" i="3" s="1"/>
  <c r="P1773" i="3" a="1"/>
  <c r="P1773" i="3" s="1"/>
  <c r="P1774" i="3" a="1"/>
  <c r="P1774" i="3" s="1"/>
  <c r="P1775" i="3" a="1"/>
  <c r="P1775" i="3" s="1"/>
  <c r="P1776" i="3" a="1"/>
  <c r="P1776" i="3" s="1"/>
  <c r="P1777" i="3" a="1"/>
  <c r="P1777" i="3" s="1"/>
  <c r="P1778" i="3" a="1"/>
  <c r="P1778" i="3" s="1"/>
  <c r="P1779" i="3" a="1"/>
  <c r="P1779" i="3" s="1"/>
  <c r="P1780" i="3" a="1"/>
  <c r="P1780" i="3" s="1"/>
  <c r="P1781" i="3" a="1"/>
  <c r="P1781" i="3" s="1"/>
  <c r="P1782" i="3" a="1"/>
  <c r="P1782" i="3" s="1"/>
  <c r="P1783" i="3" a="1"/>
  <c r="P1783" i="3" s="1"/>
  <c r="P1784" i="3" a="1"/>
  <c r="P1784" i="3" s="1"/>
  <c r="P1785" i="3" a="1"/>
  <c r="P1785" i="3" s="1"/>
  <c r="P1786" i="3" a="1"/>
  <c r="P1786" i="3" s="1"/>
  <c r="P1787" i="3" a="1"/>
  <c r="P1787" i="3" s="1"/>
  <c r="P1788" i="3" a="1"/>
  <c r="P1788" i="3" s="1"/>
  <c r="P1789" i="3" a="1"/>
  <c r="P1789" i="3" s="1"/>
  <c r="P1790" i="3" a="1"/>
  <c r="P1790" i="3" s="1"/>
  <c r="P1791" i="3" a="1"/>
  <c r="P1791" i="3" s="1"/>
  <c r="P1792" i="3" a="1"/>
  <c r="P1792" i="3" s="1"/>
  <c r="P1793" i="3" a="1"/>
  <c r="P1793" i="3" s="1"/>
  <c r="P1794" i="3" a="1"/>
  <c r="P1794" i="3" s="1"/>
  <c r="P1795" i="3" a="1"/>
  <c r="P1795" i="3" s="1"/>
  <c r="P1796" i="3" a="1"/>
  <c r="P1796" i="3" s="1"/>
  <c r="P1797" i="3" a="1"/>
  <c r="P1797" i="3" s="1"/>
  <c r="P1798" i="3" a="1"/>
  <c r="P1798" i="3" s="1"/>
  <c r="P1799" i="3" a="1"/>
  <c r="P1799" i="3" s="1"/>
  <c r="P1800" i="3" a="1"/>
  <c r="P1800" i="3" s="1"/>
  <c r="P1801" i="3" a="1"/>
  <c r="P1801" i="3" s="1"/>
  <c r="P1802" i="3" a="1"/>
  <c r="P1802" i="3" s="1"/>
  <c r="P1803" i="3" a="1"/>
  <c r="P1803" i="3" s="1"/>
  <c r="P1804" i="3" a="1"/>
  <c r="P1804" i="3" s="1"/>
  <c r="P1805" i="3" a="1"/>
  <c r="P1805" i="3" s="1"/>
  <c r="P1806" i="3" a="1"/>
  <c r="P1806" i="3" s="1"/>
  <c r="P1807" i="3" a="1"/>
  <c r="P1807" i="3" s="1"/>
  <c r="P1808" i="3" a="1"/>
  <c r="P1808" i="3" s="1"/>
  <c r="P1809" i="3" a="1"/>
  <c r="P1809" i="3" s="1"/>
  <c r="P1810" i="3" a="1"/>
  <c r="P1810" i="3" s="1"/>
  <c r="P1811" i="3" a="1"/>
  <c r="P1811" i="3" s="1"/>
  <c r="P1812" i="3" a="1"/>
  <c r="P1812" i="3" s="1"/>
  <c r="P1813" i="3" a="1"/>
  <c r="P1813" i="3" s="1"/>
  <c r="P1814" i="3" a="1"/>
  <c r="P1814" i="3" s="1"/>
  <c r="P1815" i="3" a="1"/>
  <c r="P1815" i="3" s="1"/>
  <c r="P1816" i="3" a="1"/>
  <c r="P1816" i="3" s="1"/>
  <c r="P1817" i="3" a="1"/>
  <c r="P1817" i="3" s="1"/>
  <c r="P1818" i="3" a="1"/>
  <c r="P1818" i="3" s="1"/>
  <c r="P1819" i="3" a="1"/>
  <c r="P1819" i="3" s="1"/>
  <c r="P1820" i="3" a="1"/>
  <c r="P1820" i="3" s="1"/>
  <c r="P1821" i="3" a="1"/>
  <c r="P1821" i="3" s="1"/>
  <c r="P1822" i="3" a="1"/>
  <c r="P1822" i="3" s="1"/>
  <c r="P1823" i="3" a="1"/>
  <c r="P1823" i="3" s="1"/>
  <c r="P1824" i="3" a="1"/>
  <c r="P1824" i="3" s="1"/>
  <c r="P1825" i="3" a="1"/>
  <c r="P1825" i="3" s="1"/>
  <c r="P1826" i="3" a="1"/>
  <c r="P1826" i="3" s="1"/>
  <c r="P1827" i="3" a="1"/>
  <c r="P1827" i="3" s="1"/>
  <c r="P1828" i="3" a="1"/>
  <c r="P1828" i="3" s="1"/>
  <c r="P1831" i="3" a="1"/>
  <c r="P1831" i="3" s="1"/>
  <c r="P1832" i="3" a="1"/>
  <c r="P1832" i="3" s="1"/>
  <c r="P1833" i="3" a="1"/>
  <c r="P1833" i="3" s="1"/>
  <c r="P1834" i="3" a="1"/>
  <c r="P1834" i="3" s="1"/>
  <c r="P1835" i="3" a="1"/>
  <c r="P1835" i="3" s="1"/>
  <c r="P1836" i="3" a="1"/>
  <c r="P1836" i="3" s="1"/>
  <c r="P1837" i="3" a="1"/>
  <c r="P1837" i="3" s="1"/>
  <c r="P1838" i="3" a="1"/>
  <c r="P1838" i="3" s="1"/>
  <c r="P1839" i="3" a="1"/>
  <c r="P1839" i="3" s="1"/>
  <c r="P1840" i="3" a="1"/>
  <c r="P1840" i="3" s="1"/>
  <c r="P1841" i="3" a="1"/>
  <c r="P1841" i="3" s="1"/>
  <c r="P1842" i="3" a="1"/>
  <c r="P1842" i="3" s="1"/>
  <c r="P1843" i="3" a="1"/>
  <c r="P1843" i="3" s="1"/>
  <c r="P1844" i="3" a="1"/>
  <c r="P1844" i="3" s="1"/>
  <c r="P1845" i="3" a="1"/>
  <c r="P1845" i="3" s="1"/>
  <c r="P1847" i="3" a="1"/>
  <c r="P1847" i="3" s="1"/>
  <c r="P1846" i="3" a="1"/>
  <c r="P1846" i="3" s="1"/>
  <c r="P1848" i="3" a="1"/>
  <c r="P1848" i="3" s="1"/>
  <c r="P1849" i="3" a="1"/>
  <c r="P1849" i="3" s="1"/>
  <c r="P1850" i="3" a="1"/>
  <c r="P1850" i="3" s="1"/>
  <c r="P1851" i="3" a="1"/>
  <c r="P1851" i="3" s="1"/>
  <c r="P1852" i="3" a="1"/>
  <c r="P1852" i="3" s="1"/>
  <c r="P1853" i="3" a="1"/>
  <c r="P1853" i="3" s="1"/>
  <c r="P1854" i="3" a="1"/>
  <c r="P1854" i="3" s="1"/>
  <c r="P1855" i="3" a="1"/>
  <c r="P1855" i="3" s="1"/>
  <c r="P1856" i="3" a="1"/>
  <c r="P1856" i="3" s="1"/>
  <c r="P1857" i="3" a="1"/>
  <c r="P1857" i="3" s="1"/>
  <c r="P1858" i="3" a="1"/>
  <c r="P1858" i="3" s="1"/>
  <c r="P1859" i="3" a="1"/>
  <c r="P1859" i="3" s="1"/>
  <c r="P1860" i="3" a="1"/>
  <c r="P1860" i="3" s="1"/>
  <c r="P1861" i="3" a="1"/>
  <c r="P1861" i="3" s="1"/>
  <c r="P1862" i="3" a="1"/>
  <c r="P1862" i="3" s="1"/>
  <c r="P1863" i="3" a="1"/>
  <c r="P1863" i="3" s="1"/>
  <c r="P1864" i="3" a="1"/>
  <c r="P1864" i="3" s="1"/>
  <c r="P1865" i="3" a="1"/>
  <c r="P1865" i="3" s="1"/>
  <c r="P1866" i="3" a="1"/>
  <c r="P1866" i="3" s="1"/>
  <c r="P1867" i="3" a="1"/>
  <c r="P1867" i="3" s="1"/>
  <c r="P1868" i="3" a="1"/>
  <c r="P1868" i="3" s="1"/>
  <c r="P1869" i="3" a="1"/>
  <c r="P1869" i="3" s="1"/>
  <c r="P1870" i="3" a="1"/>
  <c r="P1870" i="3" s="1"/>
  <c r="P1871" i="3" a="1"/>
  <c r="P1871" i="3" s="1"/>
  <c r="P1872" i="3" a="1"/>
  <c r="P1872" i="3" s="1"/>
  <c r="P1873" i="3" a="1"/>
  <c r="P1873" i="3" s="1"/>
  <c r="P1874" i="3" a="1"/>
  <c r="P1874" i="3" s="1"/>
  <c r="P1875" i="3" a="1"/>
  <c r="P1875" i="3" s="1"/>
  <c r="P1876" i="3" a="1"/>
  <c r="P1876" i="3" s="1"/>
  <c r="P1877" i="3" a="1"/>
  <c r="P1877" i="3" s="1"/>
  <c r="P1878" i="3" a="1"/>
  <c r="P1878" i="3" s="1"/>
  <c r="P1879" i="3" a="1"/>
  <c r="P1879" i="3" s="1"/>
  <c r="P1880" i="3" a="1"/>
  <c r="P1880" i="3" s="1"/>
  <c r="P1881" i="3" a="1"/>
  <c r="P1881" i="3" s="1"/>
  <c r="P1882" i="3" a="1"/>
  <c r="P1882" i="3" s="1"/>
  <c r="P1883" i="3" a="1"/>
  <c r="P1883" i="3" s="1"/>
  <c r="P1884" i="3" a="1"/>
  <c r="P1884" i="3" s="1"/>
  <c r="P1885" i="3" a="1"/>
  <c r="P1885" i="3" s="1"/>
  <c r="P1886" i="3" a="1"/>
  <c r="P1886" i="3" s="1"/>
  <c r="P1887" i="3" a="1"/>
  <c r="P1887" i="3" s="1"/>
  <c r="P1888" i="3" a="1"/>
  <c r="P1888" i="3" s="1"/>
  <c r="P1889" i="3" a="1"/>
  <c r="P1889" i="3" s="1"/>
  <c r="P1890" i="3" a="1"/>
  <c r="P1890" i="3" s="1"/>
  <c r="P1891" i="3" a="1"/>
  <c r="P1891" i="3" s="1"/>
  <c r="P1892" i="3" a="1"/>
  <c r="P1892" i="3" s="1"/>
  <c r="P1895" i="3" a="1"/>
  <c r="P1895" i="3" s="1"/>
  <c r="P1896" i="3" a="1"/>
  <c r="P1896" i="3" s="1"/>
  <c r="P1897" i="3" a="1"/>
  <c r="P1897" i="3" s="1"/>
  <c r="P1898" i="3" a="1"/>
  <c r="P1898" i="3" s="1"/>
  <c r="P1899" i="3" a="1"/>
  <c r="P1899" i="3" s="1"/>
  <c r="P1900" i="3" a="1"/>
  <c r="P1900" i="3" s="1"/>
  <c r="P1901" i="3" a="1"/>
  <c r="P1901" i="3" s="1"/>
  <c r="P1902" i="3" a="1"/>
  <c r="P1902" i="3" s="1"/>
  <c r="P1903" i="3" a="1"/>
  <c r="P1903" i="3" s="1"/>
  <c r="P1904" i="3" a="1"/>
  <c r="P1904" i="3" s="1"/>
  <c r="P1905" i="3" a="1"/>
  <c r="P1905" i="3" s="1"/>
  <c r="P1906" i="3" a="1"/>
  <c r="P1906" i="3" s="1"/>
  <c r="P1907" i="3" a="1"/>
  <c r="P1907" i="3" s="1"/>
  <c r="P1908" i="3" a="1"/>
  <c r="P1908" i="3" s="1"/>
  <c r="P1909" i="3" a="1"/>
  <c r="P1909" i="3" s="1"/>
  <c r="P1910" i="3" a="1"/>
  <c r="P1910" i="3" s="1"/>
  <c r="P1911" i="3" a="1"/>
  <c r="P1911" i="3" s="1"/>
  <c r="P1912" i="3" a="1"/>
  <c r="P1912" i="3" s="1"/>
  <c r="P1913" i="3" a="1"/>
  <c r="P1913" i="3" s="1"/>
  <c r="P1914" i="3" a="1"/>
  <c r="P1914" i="3" s="1"/>
  <c r="P1915" i="3" a="1"/>
  <c r="P1915" i="3" s="1"/>
  <c r="P1917" i="3" a="1"/>
  <c r="P1917" i="3" s="1"/>
  <c r="P1922" i="3" a="1"/>
  <c r="P1922" i="3" s="1"/>
  <c r="P1923" i="3" a="1"/>
  <c r="P1923" i="3" s="1"/>
  <c r="P1924" i="3" a="1"/>
  <c r="P1924" i="3" s="1"/>
  <c r="P1926" i="3" a="1"/>
  <c r="P1926" i="3" s="1"/>
  <c r="P1927" i="3" a="1"/>
  <c r="P1927" i="3" s="1"/>
  <c r="P1928" i="3" a="1"/>
  <c r="P1928" i="3" s="1"/>
  <c r="P1929" i="3" a="1"/>
  <c r="P1929" i="3" s="1"/>
  <c r="P1930" i="3" a="1"/>
  <c r="P1930" i="3" s="1"/>
  <c r="P1931" i="3" a="1"/>
  <c r="P1931" i="3" s="1"/>
  <c r="P1932" i="3" a="1"/>
  <c r="P1932" i="3" s="1"/>
  <c r="P1933" i="3" a="1"/>
  <c r="P1933" i="3" s="1"/>
  <c r="P1934" i="3" a="1"/>
  <c r="P1934" i="3" s="1"/>
  <c r="P1935" i="3" a="1"/>
  <c r="P1935" i="3" s="1"/>
  <c r="P1936" i="3" a="1"/>
  <c r="P1936" i="3" s="1"/>
  <c r="P1937" i="3" a="1"/>
  <c r="P1937" i="3" s="1"/>
  <c r="P1938" i="3" a="1"/>
  <c r="P1938" i="3" s="1"/>
  <c r="P1939" i="3" a="1"/>
  <c r="P1939" i="3" s="1"/>
  <c r="P1940" i="3" a="1"/>
  <c r="P1940" i="3" s="1"/>
  <c r="P1941" i="3" a="1"/>
  <c r="P1941" i="3" s="1"/>
  <c r="P1942" i="3" a="1"/>
  <c r="P1942" i="3" s="1"/>
  <c r="P1943" i="3" a="1"/>
  <c r="P1943" i="3" s="1"/>
  <c r="P1944" i="3" a="1"/>
  <c r="P1944" i="3" s="1"/>
  <c r="P1945" i="3" a="1"/>
  <c r="P1945" i="3" s="1"/>
  <c r="P1946" i="3" a="1"/>
  <c r="P1946" i="3" s="1"/>
  <c r="P1947" i="3" a="1"/>
  <c r="P1947" i="3" s="1"/>
  <c r="P1948" i="3" a="1"/>
  <c r="P1948" i="3" s="1"/>
  <c r="P1949" i="3" a="1"/>
  <c r="P1949" i="3" s="1"/>
  <c r="P1950" i="3" a="1"/>
  <c r="P1950" i="3" s="1"/>
  <c r="P1951" i="3" a="1"/>
  <c r="P1951" i="3" s="1"/>
  <c r="P1952" i="3" a="1"/>
  <c r="P1952" i="3" s="1"/>
  <c r="P1953" i="3" a="1"/>
  <c r="P1953" i="3" s="1"/>
  <c r="P1954" i="3" a="1"/>
  <c r="P1954" i="3" s="1"/>
  <c r="P1955" i="3" a="1"/>
  <c r="P1955" i="3" s="1"/>
  <c r="P1956" i="3" a="1"/>
  <c r="P1956" i="3" s="1"/>
  <c r="P1957" i="3" a="1"/>
  <c r="P1957" i="3" s="1"/>
  <c r="P1958" i="3" a="1"/>
  <c r="P1958" i="3" s="1"/>
  <c r="P1959" i="3" a="1"/>
  <c r="P1959" i="3" s="1"/>
  <c r="P1718" i="3" a="1"/>
  <c r="P1718" i="3" s="1"/>
  <c r="P1960" i="3" a="1"/>
  <c r="P1960" i="3" s="1"/>
  <c r="P1961" i="3" a="1"/>
  <c r="P1961" i="3" s="1"/>
  <c r="P1962" i="3" a="1"/>
  <c r="P1962" i="3" s="1"/>
  <c r="P1963" i="3" a="1"/>
  <c r="P1963" i="3" s="1"/>
  <c r="P1964" i="3" a="1"/>
  <c r="P1964" i="3" s="1"/>
  <c r="P1965" i="3" a="1"/>
  <c r="P1965" i="3" s="1"/>
  <c r="P1966" i="3" a="1"/>
  <c r="P1966" i="3" s="1"/>
  <c r="P1967" i="3" a="1"/>
  <c r="P1967" i="3" s="1"/>
  <c r="P1969" i="3" a="1"/>
  <c r="P1969" i="3" s="1"/>
  <c r="P1970" i="3" a="1"/>
  <c r="P1970" i="3" s="1"/>
  <c r="P1971" i="3" a="1"/>
  <c r="P1971" i="3" s="1"/>
  <c r="P1972" i="3" a="1"/>
  <c r="P1972" i="3" s="1"/>
  <c r="P1973" i="3" a="1"/>
  <c r="P1973" i="3" s="1"/>
  <c r="P1974" i="3" a="1"/>
  <c r="P1974" i="3" s="1"/>
  <c r="P1975" i="3" a="1"/>
  <c r="P1975" i="3" s="1"/>
  <c r="P1976" i="3" a="1"/>
  <c r="P1976" i="3" s="1"/>
  <c r="P1977" i="3" a="1"/>
  <c r="P1977" i="3" s="1"/>
  <c r="P1978" i="3" a="1"/>
  <c r="P1978" i="3" s="1"/>
  <c r="P1979" i="3" a="1"/>
  <c r="P1979" i="3" s="1"/>
  <c r="P1980" i="3" a="1"/>
  <c r="P1980" i="3" s="1"/>
  <c r="P1981" i="3" a="1"/>
  <c r="P1981" i="3" s="1"/>
  <c r="P1982" i="3" a="1"/>
  <c r="P1982" i="3" s="1"/>
  <c r="P1983" i="3" a="1"/>
  <c r="P1983" i="3" s="1"/>
  <c r="P1984" i="3" a="1"/>
  <c r="P1984" i="3" s="1"/>
  <c r="P1985" i="3" a="1"/>
  <c r="P1985" i="3" s="1"/>
  <c r="P1986" i="3" a="1"/>
  <c r="P1986" i="3" s="1"/>
  <c r="P1987" i="3" a="1"/>
  <c r="P1987" i="3" s="1"/>
  <c r="P1988" i="3" a="1"/>
  <c r="P1988" i="3" s="1"/>
  <c r="P1989" i="3" a="1"/>
  <c r="P1989" i="3" s="1"/>
  <c r="P1990" i="3" a="1"/>
  <c r="P1990" i="3" s="1"/>
  <c r="P1991" i="3" a="1"/>
  <c r="P1991" i="3" s="1"/>
  <c r="P1992" i="3" a="1"/>
  <c r="P1992" i="3" s="1"/>
  <c r="P1994" i="3" a="1"/>
  <c r="P1994" i="3" s="1"/>
  <c r="P1995" i="3" a="1"/>
  <c r="P1995" i="3" s="1"/>
  <c r="P1996" i="3" a="1"/>
  <c r="P1996" i="3" s="1"/>
  <c r="P1997" i="3" a="1"/>
  <c r="P1997" i="3" s="1"/>
  <c r="P1998" i="3" a="1"/>
  <c r="P1998" i="3" s="1"/>
  <c r="P1999" i="3" a="1"/>
  <c r="P1999" i="3" s="1"/>
  <c r="P2000" i="3" a="1"/>
  <c r="P2000" i="3" s="1"/>
  <c r="P2001" i="3" a="1"/>
  <c r="P2001" i="3" s="1"/>
  <c r="P2002" i="3" a="1"/>
  <c r="P2002" i="3" s="1"/>
  <c r="P2003" i="3" a="1"/>
  <c r="P2003" i="3" s="1"/>
  <c r="P2004" i="3" a="1"/>
  <c r="P2004" i="3" s="1"/>
  <c r="P2005" i="3" a="1"/>
  <c r="P2005" i="3" s="1"/>
  <c r="P2007" i="3" a="1"/>
  <c r="P2007" i="3" s="1"/>
  <c r="P2010" i="3" a="1"/>
  <c r="P2010" i="3" s="1"/>
  <c r="P2011" i="3" a="1"/>
  <c r="P2011" i="3" s="1"/>
  <c r="P2012" i="3" a="1"/>
  <c r="P2012" i="3" s="1"/>
  <c r="P2013" i="3" a="1"/>
  <c r="P2013" i="3" s="1"/>
  <c r="P2014" i="3" a="1"/>
  <c r="P2014" i="3" s="1"/>
  <c r="P2015" i="3" a="1"/>
  <c r="P2015" i="3" s="1"/>
  <c r="P2018" i="3" a="1"/>
  <c r="P2018" i="3" s="1"/>
  <c r="P2019" i="3" a="1"/>
  <c r="P2019" i="3" s="1"/>
  <c r="P2020" i="3" a="1"/>
  <c r="P2020" i="3" s="1"/>
  <c r="P1689" i="3" a="1"/>
  <c r="P1689" i="3" s="1"/>
  <c r="P2021" i="3" a="1"/>
  <c r="P2021" i="3" s="1"/>
  <c r="P2023" i="3" a="1"/>
  <c r="P2023" i="3" s="1"/>
  <c r="P2024" i="3" a="1"/>
  <c r="P2024" i="3" s="1"/>
  <c r="P2025" i="3" a="1"/>
  <c r="P2025" i="3" s="1"/>
  <c r="P2026" i="3" a="1"/>
  <c r="P2026" i="3" s="1"/>
  <c r="P2027" i="3" a="1"/>
  <c r="P2027" i="3" s="1"/>
  <c r="P2028" i="3" a="1"/>
  <c r="P2028" i="3" s="1"/>
  <c r="P2029" i="3" a="1"/>
  <c r="P2029" i="3" s="1"/>
  <c r="P2030" i="3" a="1"/>
  <c r="P2030" i="3" s="1"/>
  <c r="P2031" i="3" a="1"/>
  <c r="P2031" i="3" s="1"/>
  <c r="P1829" i="3" a="1"/>
  <c r="P1829" i="3" s="1"/>
  <c r="P1993" i="3" a="1"/>
  <c r="P1993" i="3" s="1"/>
  <c r="P1916" i="3" a="1"/>
  <c r="P1916" i="3" s="1"/>
  <c r="P1920" i="3" a="1"/>
  <c r="P1920" i="3" s="1"/>
  <c r="P1968" i="3" a="1"/>
  <c r="P1968" i="3" s="1"/>
  <c r="P1399" i="3" a="1"/>
  <c r="P1399" i="3" s="1"/>
  <c r="P1640" i="3" a="1"/>
  <c r="P1640" i="3" s="1"/>
  <c r="P2035" i="3" a="1"/>
  <c r="P2035" i="3" s="1"/>
  <c r="P2036" i="3" a="1"/>
  <c r="P2036" i="3" s="1"/>
  <c r="P2037" i="3" a="1"/>
  <c r="P2037" i="3" s="1"/>
  <c r="P2038" i="3" a="1"/>
  <c r="P2038" i="3" s="1"/>
  <c r="P2039" i="3" a="1"/>
  <c r="P2039" i="3" s="1"/>
  <c r="P2040" i="3" a="1"/>
  <c r="P2040" i="3" s="1"/>
  <c r="P2041" i="3" a="1"/>
  <c r="P2041" i="3" s="1"/>
  <c r="P2042" i="3" a="1"/>
  <c r="P2042" i="3" s="1"/>
  <c r="P2043" i="3" a="1"/>
  <c r="P2043" i="3" s="1"/>
  <c r="P2044" i="3" a="1"/>
  <c r="P2044" i="3" s="1"/>
  <c r="P2045" i="3" a="1"/>
  <c r="P2045" i="3" s="1"/>
  <c r="P2057" i="3" a="1"/>
  <c r="P2057" i="3" s="1"/>
  <c r="P2058" i="3" a="1"/>
  <c r="P2058" i="3" s="1"/>
  <c r="P2059" i="3" a="1"/>
  <c r="P2059" i="3" s="1"/>
  <c r="P2060" i="3" a="1"/>
  <c r="P2060" i="3" s="1"/>
  <c r="P2061" i="3" a="1"/>
  <c r="P2061" i="3" s="1"/>
  <c r="P2062" i="3" a="1"/>
  <c r="P2062" i="3" s="1"/>
  <c r="P2063" i="3" a="1"/>
  <c r="P2063" i="3" s="1"/>
  <c r="P2046" i="3" a="1"/>
  <c r="P2046" i="3" s="1"/>
  <c r="P2047" i="3" a="1"/>
  <c r="P2047" i="3" s="1"/>
  <c r="P2048" i="3" a="1"/>
  <c r="P2048" i="3" s="1"/>
  <c r="P2049" i="3" a="1"/>
  <c r="P2049" i="3" s="1"/>
  <c r="P2050" i="3" a="1"/>
  <c r="P2050" i="3" s="1"/>
  <c r="P2051" i="3" a="1"/>
  <c r="P2051" i="3" s="1"/>
  <c r="P2052" i="3" a="1"/>
  <c r="P2052" i="3" s="1"/>
  <c r="P2053" i="3" a="1"/>
  <c r="P2053" i="3" s="1"/>
  <c r="P2054" i="3" a="1"/>
  <c r="P2054" i="3" s="1"/>
  <c r="P2055" i="3" a="1"/>
  <c r="P2055" i="3" s="1"/>
  <c r="P2056" i="3" a="1"/>
  <c r="P2056" i="3" s="1"/>
  <c r="P2064" i="3" a="1"/>
  <c r="P2064" i="3" s="1"/>
  <c r="P1918" i="3" a="1"/>
  <c r="P1918" i="3" s="1"/>
  <c r="P1893" i="3" a="1"/>
  <c r="P1893" i="3" s="1"/>
  <c r="P1921" i="3" a="1"/>
  <c r="P1921" i="3" s="1"/>
  <c r="P2065" i="3" a="1"/>
  <c r="P2065" i="3" s="1"/>
  <c r="P2066" i="3" a="1"/>
  <c r="P2066" i="3" s="1"/>
  <c r="P2067" i="3" a="1"/>
  <c r="P2067" i="3" s="1"/>
  <c r="P2068" i="3" a="1"/>
  <c r="P2068" i="3" s="1"/>
  <c r="P2069" i="3" a="1"/>
  <c r="P2069" i="3" s="1"/>
  <c r="P2070" i="3" a="1"/>
  <c r="P2070" i="3" s="1"/>
  <c r="P2071" i="3" a="1"/>
  <c r="P2071" i="3" s="1"/>
  <c r="P2072" i="3" a="1"/>
  <c r="P2072" i="3" s="1"/>
  <c r="P2080" i="3" a="1"/>
  <c r="P2080" i="3" s="1"/>
  <c r="P2081" i="3" a="1"/>
  <c r="P2081" i="3" s="1"/>
  <c r="P2082" i="3" a="1"/>
  <c r="P2082" i="3" s="1"/>
  <c r="P2083" i="3" a="1"/>
  <c r="P2083" i="3" s="1"/>
  <c r="P2084" i="3" a="1"/>
  <c r="P2084" i="3" s="1"/>
  <c r="P2085" i="3" a="1"/>
  <c r="P2085" i="3" s="1"/>
  <c r="P2073" i="3" a="1"/>
  <c r="P2073" i="3" s="1"/>
  <c r="P2086" i="3" a="1"/>
  <c r="P2086" i="3" s="1"/>
  <c r="P2087" i="3" a="1"/>
  <c r="P2087" i="3" s="1"/>
  <c r="P2088" i="3" a="1"/>
  <c r="P2088" i="3" s="1"/>
  <c r="P2089" i="3" a="1"/>
  <c r="P2089" i="3" s="1"/>
  <c r="P2090" i="3" a="1"/>
  <c r="P2090" i="3" s="1"/>
  <c r="P2091" i="3" a="1"/>
  <c r="P2091" i="3" s="1"/>
  <c r="P2092" i="3" a="1"/>
  <c r="P2092" i="3" s="1"/>
  <c r="P2093" i="3" a="1"/>
  <c r="P2093" i="3" s="1"/>
  <c r="P2094" i="3" a="1"/>
  <c r="P2094" i="3" s="1"/>
  <c r="P2095" i="3" a="1"/>
  <c r="P2095" i="3" s="1"/>
  <c r="P2096" i="3" a="1"/>
  <c r="P2096" i="3" s="1"/>
  <c r="P2097" i="3" a="1"/>
  <c r="P2097" i="3" s="1"/>
  <c r="P2098" i="3" a="1"/>
  <c r="P2098" i="3" s="1"/>
  <c r="P2099" i="3" a="1"/>
  <c r="P2099" i="3" s="1"/>
  <c r="P2100" i="3" a="1"/>
  <c r="P2100" i="3" s="1"/>
  <c r="P2101" i="3" a="1"/>
  <c r="P2101" i="3" s="1"/>
  <c r="P2102" i="3" a="1"/>
  <c r="P2102" i="3" s="1"/>
  <c r="P2103" i="3" a="1"/>
  <c r="P2103" i="3" s="1"/>
  <c r="P2074" i="3" a="1"/>
  <c r="P2074" i="3" s="1"/>
  <c r="P2104" i="3" a="1"/>
  <c r="P2104" i="3" s="1"/>
  <c r="P2105" i="3" a="1"/>
  <c r="P2105" i="3" s="1"/>
  <c r="P2123" i="3" a="1"/>
  <c r="P2123" i="3" s="1"/>
  <c r="P1400" i="3" a="1"/>
  <c r="P1400" i="3" s="1"/>
  <c r="P1401" i="3" a="1"/>
  <c r="P1401" i="3" s="1"/>
  <c r="P1402" i="3" a="1"/>
  <c r="P1402" i="3" s="1"/>
  <c r="P1403" i="3" a="1"/>
  <c r="P1403" i="3" s="1"/>
  <c r="P1404" i="3" a="1"/>
  <c r="P1404" i="3" s="1"/>
  <c r="P1405" i="3" a="1"/>
  <c r="P1405" i="3" s="1"/>
  <c r="P1406" i="3" a="1"/>
  <c r="P1406" i="3" s="1"/>
  <c r="P1407" i="3" a="1"/>
  <c r="P1407" i="3" s="1"/>
  <c r="P1408" i="3" a="1"/>
  <c r="P1408" i="3" s="1"/>
  <c r="P1409" i="3" a="1"/>
  <c r="P1409" i="3" s="1"/>
  <c r="P1410" i="3" a="1"/>
  <c r="P1410" i="3" s="1"/>
  <c r="P1411" i="3" a="1"/>
  <c r="P1411" i="3" s="1"/>
  <c r="P1412" i="3" a="1"/>
  <c r="P1412" i="3" s="1"/>
  <c r="P2106" i="3" a="1"/>
  <c r="P2106" i="3" s="1"/>
  <c r="P2107" i="3" a="1"/>
  <c r="P2107" i="3" s="1"/>
  <c r="P2108" i="3" a="1"/>
  <c r="P2108" i="3" s="1"/>
  <c r="P2109" i="3" a="1"/>
  <c r="P2109" i="3" s="1"/>
  <c r="P2110" i="3" a="1"/>
  <c r="P2110" i="3" s="1"/>
  <c r="P2111" i="3" a="1"/>
  <c r="P2111" i="3" s="1"/>
  <c r="P2112" i="3" a="1"/>
  <c r="P2112" i="3" s="1"/>
  <c r="P2113" i="3" a="1"/>
  <c r="P2113" i="3" s="1"/>
  <c r="P2114" i="3" a="1"/>
  <c r="P2114" i="3" s="1"/>
  <c r="P2115" i="3" a="1"/>
  <c r="P2115" i="3" s="1"/>
  <c r="P2116" i="3" a="1"/>
  <c r="P2116" i="3" s="1"/>
  <c r="P2117" i="3" a="1"/>
  <c r="P2117" i="3" s="1"/>
  <c r="P2118" i="3" a="1"/>
  <c r="P2118" i="3" s="1"/>
  <c r="P2119" i="3" a="1"/>
  <c r="P2119" i="3" s="1"/>
  <c r="P2120" i="3" a="1"/>
  <c r="P2120" i="3" s="1"/>
  <c r="P2121" i="3" a="1"/>
  <c r="P2121" i="3" s="1"/>
  <c r="P2122" i="3" a="1"/>
  <c r="P2122" i="3" s="1"/>
  <c r="P2124" i="3" a="1"/>
  <c r="P2124" i="3" s="1"/>
  <c r="P2125" i="3" a="1"/>
  <c r="P2125" i="3" s="1"/>
  <c r="P2126" i="3" a="1"/>
  <c r="P2126" i="3" s="1"/>
  <c r="P2127" i="3" a="1"/>
  <c r="P2127" i="3" s="1"/>
  <c r="P2128" i="3" a="1"/>
  <c r="P2128" i="3" s="1"/>
  <c r="P2129" i="3" a="1"/>
  <c r="P2129" i="3" s="1"/>
  <c r="P2130" i="3" a="1"/>
  <c r="P2130" i="3" s="1"/>
  <c r="P2131" i="3" a="1"/>
  <c r="P2131" i="3" s="1"/>
  <c r="P2132" i="3" a="1"/>
  <c r="P2132" i="3" s="1"/>
  <c r="P2133" i="3" a="1"/>
  <c r="P2133" i="3" s="1"/>
  <c r="P2134" i="3" a="1"/>
  <c r="P2134" i="3" s="1"/>
  <c r="P2135" i="3" a="1"/>
  <c r="P2135" i="3" s="1"/>
  <c r="P2136" i="3" a="1"/>
  <c r="P2136" i="3" s="1"/>
  <c r="P2137" i="3" a="1"/>
  <c r="P2137" i="3" s="1"/>
  <c r="P2138" i="3" a="1"/>
  <c r="P2138" i="3" s="1"/>
  <c r="P2139" i="3" a="1"/>
  <c r="P2139" i="3" s="1"/>
  <c r="P2140" i="3" a="1"/>
  <c r="P2140" i="3" s="1"/>
  <c r="P2141" i="3" a="1"/>
  <c r="P2141" i="3" s="1"/>
  <c r="P2142" i="3" a="1"/>
  <c r="P2142" i="3" s="1"/>
  <c r="P2143" i="3" a="1"/>
  <c r="P2143" i="3" s="1"/>
  <c r="P2144" i="3" a="1"/>
  <c r="P2144" i="3" s="1"/>
  <c r="P2145" i="3" a="1"/>
  <c r="P2145" i="3" s="1"/>
  <c r="P2146" i="3" a="1"/>
  <c r="P2146" i="3" s="1"/>
  <c r="P2147" i="3" a="1"/>
  <c r="P2147" i="3" s="1"/>
  <c r="P2148" i="3" a="1"/>
  <c r="P2148" i="3" s="1"/>
  <c r="P2149" i="3" a="1"/>
  <c r="P2149" i="3" s="1"/>
  <c r="P2150" i="3" a="1"/>
  <c r="P2150" i="3" s="1"/>
  <c r="P2151" i="3" a="1"/>
  <c r="P2151" i="3" s="1"/>
  <c r="P2152" i="3" a="1"/>
  <c r="P2152" i="3" s="1"/>
  <c r="P2153" i="3" a="1"/>
  <c r="P2153" i="3" s="1"/>
  <c r="P2154" i="3" a="1"/>
  <c r="P2154" i="3" s="1"/>
  <c r="P2155" i="3" a="1"/>
  <c r="P2155" i="3" s="1"/>
  <c r="P2156" i="3" a="1"/>
  <c r="P2156" i="3" s="1"/>
  <c r="P2158" i="3" a="1"/>
  <c r="P2158" i="3" s="1"/>
  <c r="P2159" i="3" a="1"/>
  <c r="P2159" i="3" s="1"/>
  <c r="P2160" i="3" a="1"/>
  <c r="P2160" i="3" s="1"/>
  <c r="P2161" i="3" a="1"/>
  <c r="P2161" i="3" s="1"/>
  <c r="P2162" i="3" a="1"/>
  <c r="P2162" i="3" s="1"/>
  <c r="P2163" i="3" a="1"/>
  <c r="P2163" i="3" s="1"/>
  <c r="P2164" i="3" a="1"/>
  <c r="P2164" i="3" s="1"/>
  <c r="P2165" i="3" a="1"/>
  <c r="P2165" i="3" s="1"/>
  <c r="P2166" i="3" a="1"/>
  <c r="P2166" i="3" s="1"/>
  <c r="P2167" i="3" a="1"/>
  <c r="P2167" i="3" s="1"/>
  <c r="P2168" i="3" a="1"/>
  <c r="P2168" i="3" s="1"/>
  <c r="P2169" i="3" a="1"/>
  <c r="P2169" i="3" s="1"/>
  <c r="P2170" i="3" a="1"/>
  <c r="P2170" i="3" s="1"/>
  <c r="P2171" i="3" a="1"/>
  <c r="P2171" i="3" s="1"/>
  <c r="P2172" i="3" a="1"/>
  <c r="P2172" i="3" s="1"/>
  <c r="P2173" i="3" a="1"/>
  <c r="P2173" i="3" s="1"/>
  <c r="P2174" i="3" a="1"/>
  <c r="P2174" i="3" s="1"/>
  <c r="P2175" i="3" a="1"/>
  <c r="P2175" i="3" s="1"/>
  <c r="P2176" i="3" a="1"/>
  <c r="P2176" i="3" s="1"/>
  <c r="P2177" i="3" a="1"/>
  <c r="P2177" i="3" s="1"/>
  <c r="P2178" i="3" a="1"/>
  <c r="P2178" i="3" s="1"/>
  <c r="P2179" i="3" a="1"/>
  <c r="P2179" i="3" s="1"/>
  <c r="P2180" i="3" a="1"/>
  <c r="P2180" i="3" s="1"/>
  <c r="P2181" i="3" a="1"/>
  <c r="P2181" i="3" s="1"/>
  <c r="P2182" i="3" a="1"/>
  <c r="P2182" i="3" s="1"/>
  <c r="P2183" i="3" a="1"/>
  <c r="P2183" i="3" s="1"/>
  <c r="P2184" i="3" a="1"/>
  <c r="P2184" i="3" s="1"/>
  <c r="P2185" i="3" a="1"/>
  <c r="P2185" i="3" s="1"/>
  <c r="P2186" i="3" a="1"/>
  <c r="P2186" i="3" s="1"/>
  <c r="P2187" i="3" a="1"/>
  <c r="P2187" i="3" s="1"/>
  <c r="P2188" i="3" a="1"/>
  <c r="P2188" i="3" s="1"/>
  <c r="P2189" i="3" a="1"/>
  <c r="P2189" i="3" s="1"/>
  <c r="P2190" i="3" a="1"/>
  <c r="P2190" i="3" s="1"/>
  <c r="P2191" i="3" a="1"/>
  <c r="P2191" i="3" s="1"/>
  <c r="P2192" i="3" a="1"/>
  <c r="P2192" i="3" s="1"/>
  <c r="P2193" i="3" a="1"/>
  <c r="P2193" i="3" s="1"/>
  <c r="P2194" i="3" a="1"/>
  <c r="P2194" i="3" s="1"/>
  <c r="P2195" i="3" a="1"/>
  <c r="P2195" i="3" s="1"/>
  <c r="P2196" i="3" a="1"/>
  <c r="P2196" i="3" s="1"/>
  <c r="P2197" i="3" a="1"/>
  <c r="P2197" i="3" s="1"/>
  <c r="P2198" i="3" a="1"/>
  <c r="P2198" i="3" s="1"/>
  <c r="P2199" i="3" a="1"/>
  <c r="P2199" i="3" s="1"/>
  <c r="P2200" i="3" a="1"/>
  <c r="P2200" i="3" s="1"/>
  <c r="P2201" i="3" a="1"/>
  <c r="P2201" i="3" s="1"/>
  <c r="P2202" i="3" a="1"/>
  <c r="P2202" i="3" s="1"/>
  <c r="P2203" i="3" a="1"/>
  <c r="P2203" i="3" s="1"/>
  <c r="P2204" i="3" a="1"/>
  <c r="P2204" i="3" s="1"/>
  <c r="P2205" i="3" a="1"/>
  <c r="P2205" i="3" s="1"/>
  <c r="P2206" i="3" a="1"/>
  <c r="P2206" i="3" s="1"/>
  <c r="P2207" i="3" a="1"/>
  <c r="P2207" i="3" s="1"/>
  <c r="P2208" i="3" a="1"/>
  <c r="P2208" i="3" s="1"/>
  <c r="P2209" i="3" a="1"/>
  <c r="P2209" i="3" s="1"/>
  <c r="P2210" i="3" a="1"/>
  <c r="P2210" i="3" s="1"/>
  <c r="P2211" i="3" a="1"/>
  <c r="P2211" i="3" s="1"/>
  <c r="P2212" i="3" a="1"/>
  <c r="P2212" i="3" s="1"/>
  <c r="P2213" i="3" a="1"/>
  <c r="P2213" i="3" s="1"/>
  <c r="P2214" i="3" a="1"/>
  <c r="P2214" i="3" s="1"/>
  <c r="P2215" i="3" a="1"/>
  <c r="P2215" i="3" s="1"/>
  <c r="P2216" i="3" a="1"/>
  <c r="P2216" i="3" s="1"/>
  <c r="P2217" i="3" a="1"/>
  <c r="P2217" i="3" s="1"/>
  <c r="P2218" i="3" a="1"/>
  <c r="P2218" i="3" s="1"/>
  <c r="P2219" i="3" a="1"/>
  <c r="P2219" i="3" s="1"/>
  <c r="P2220" i="3" a="1"/>
  <c r="P2220" i="3" s="1"/>
  <c r="P2221" i="3" a="1"/>
  <c r="P2221" i="3" s="1"/>
  <c r="P2222" i="3" a="1"/>
  <c r="P2222" i="3" s="1"/>
  <c r="P2223" i="3" a="1"/>
  <c r="P2223" i="3" s="1"/>
  <c r="P2224" i="3" a="1"/>
  <c r="P2224" i="3" s="1"/>
  <c r="P2225" i="3" a="1"/>
  <c r="P2225" i="3" s="1"/>
  <c r="P2226" i="3" a="1"/>
  <c r="P2226" i="3" s="1"/>
  <c r="P2227" i="3" a="1"/>
  <c r="P2227" i="3" s="1"/>
  <c r="P2228" i="3" a="1"/>
  <c r="P2228" i="3" s="1"/>
  <c r="P2229" i="3" a="1"/>
  <c r="P2229" i="3" s="1"/>
  <c r="P2230" i="3" a="1"/>
  <c r="P2230" i="3" s="1"/>
  <c r="P2231" i="3" a="1"/>
  <c r="P2231" i="3" s="1"/>
  <c r="P2075" i="3" a="1"/>
  <c r="P2075" i="3" s="1"/>
  <c r="P21" i="3" a="1"/>
  <c r="P21" i="3" s="1"/>
  <c r="P29" i="3" a="1"/>
  <c r="P29" i="3" s="1"/>
  <c r="P37" i="3" a="1"/>
  <c r="P37" i="3" s="1"/>
  <c r="P183" i="3" a="1"/>
  <c r="P183" i="3" s="1"/>
  <c r="P221" i="3" a="1"/>
  <c r="P221" i="3" s="1"/>
  <c r="P530" i="3" a="1"/>
  <c r="P530" i="3" s="1"/>
  <c r="P697" i="3" a="1"/>
  <c r="P697" i="3" s="1"/>
  <c r="P1556" i="3" a="1"/>
  <c r="P1556" i="3" s="1"/>
  <c r="P2233" i="3" a="1"/>
  <c r="P2233" i="3" s="1"/>
  <c r="P2244" i="3" a="1"/>
  <c r="P2244" i="3" s="1"/>
  <c r="P2234" i="3" a="1"/>
  <c r="P2234" i="3" s="1"/>
  <c r="P2251" i="3" a="1"/>
  <c r="P2251" i="3" s="1"/>
  <c r="P2252" i="3" a="1"/>
  <c r="P2252" i="3" s="1"/>
  <c r="P2253" i="3" a="1"/>
  <c r="P2253" i="3" s="1"/>
  <c r="P2235" i="3" a="1"/>
  <c r="P2235" i="3" s="1"/>
  <c r="P2236" i="3" a="1"/>
  <c r="P2236" i="3" s="1"/>
  <c r="P2237" i="3" a="1"/>
  <c r="P2237" i="3" s="1"/>
  <c r="P2238" i="3" a="1"/>
  <c r="P2238" i="3" s="1"/>
  <c r="P2239" i="3" a="1"/>
  <c r="P2239" i="3" s="1"/>
  <c r="P2240" i="3" a="1"/>
  <c r="P2240" i="3" s="1"/>
  <c r="P2241" i="3" a="1"/>
  <c r="P2241" i="3" s="1"/>
  <c r="P2272" i="3" a="1"/>
  <c r="P2272" i="3" s="1"/>
  <c r="P2273" i="3" a="1"/>
  <c r="P2273" i="3" s="1"/>
  <c r="P2274" i="3" a="1"/>
  <c r="P2274" i="3" s="1"/>
  <c r="P2275" i="3" a="1"/>
  <c r="P2275" i="3" s="1"/>
  <c r="P2245" i="3" a="1"/>
  <c r="P2245" i="3" s="1"/>
  <c r="P2246" i="3" a="1"/>
  <c r="P2246" i="3" s="1"/>
  <c r="P2247" i="3" a="1"/>
  <c r="P2247" i="3" s="1"/>
  <c r="P2248" i="3" a="1"/>
  <c r="P2248" i="3" s="1"/>
  <c r="P2249" i="3" a="1"/>
  <c r="P2249" i="3" s="1"/>
  <c r="P2250" i="3" a="1"/>
  <c r="P2250" i="3" s="1"/>
  <c r="P2265" i="3" a="1"/>
  <c r="P2265" i="3" s="1"/>
  <c r="P2267" i="3" a="1"/>
  <c r="P2267" i="3" s="1"/>
  <c r="P2268" i="3" a="1"/>
  <c r="P2268" i="3" s="1"/>
  <c r="P2269" i="3" a="1"/>
  <c r="P2269" i="3" s="1"/>
  <c r="P2270" i="3" a="1"/>
  <c r="P2270" i="3" s="1"/>
  <c r="P2271" i="3" a="1"/>
  <c r="P2271" i="3" s="1"/>
  <c r="P2276" i="3" a="1"/>
  <c r="P2276" i="3" s="1"/>
  <c r="P2277" i="3" a="1"/>
  <c r="P2277" i="3" s="1"/>
  <c r="P2284" i="3" a="1"/>
  <c r="P2284" i="3" s="1"/>
  <c r="P2286" i="3" a="1"/>
  <c r="P2286" i="3" s="1"/>
  <c r="P2242" i="3" a="1"/>
  <c r="P2242" i="3" s="1"/>
  <c r="P2243" i="3" a="1"/>
  <c r="P2243" i="3" s="1"/>
  <c r="P2254" i="3" a="1"/>
  <c r="P2254" i="3" s="1"/>
  <c r="P2255" i="3" a="1"/>
  <c r="P2255" i="3" s="1"/>
  <c r="P2256" i="3" a="1"/>
  <c r="P2256" i="3" s="1"/>
  <c r="P2257" i="3" a="1"/>
  <c r="P2257" i="3" s="1"/>
  <c r="P2258" i="3" a="1"/>
  <c r="P2258" i="3" s="1"/>
  <c r="P2259" i="3" a="1"/>
  <c r="P2259" i="3" s="1"/>
  <c r="P2260" i="3" a="1"/>
  <c r="P2260" i="3" s="1"/>
  <c r="P2261" i="3" a="1"/>
  <c r="P2261" i="3" s="1"/>
  <c r="P2262" i="3" a="1"/>
  <c r="P2262" i="3" s="1"/>
  <c r="P2263" i="3" a="1"/>
  <c r="P2263" i="3" s="1"/>
  <c r="P2264" i="3" a="1"/>
  <c r="P2264" i="3" s="1"/>
  <c r="P2266" i="3" a="1"/>
  <c r="P2266" i="3" s="1"/>
  <c r="P2278" i="3" a="1"/>
  <c r="P2278" i="3" s="1"/>
  <c r="P2279" i="3" a="1"/>
  <c r="P2279" i="3" s="1"/>
  <c r="P2280" i="3" a="1"/>
  <c r="P2280" i="3" s="1"/>
  <c r="P2281" i="3" a="1"/>
  <c r="P2281" i="3" s="1"/>
  <c r="P2283" i="3" a="1"/>
  <c r="P2283" i="3" s="1"/>
  <c r="P2287" i="3" a="1"/>
  <c r="P2287" i="3" s="1"/>
  <c r="P2288" i="3" a="1"/>
  <c r="P2288" i="3" s="1"/>
  <c r="P2289" i="3" a="1"/>
  <c r="P2289" i="3" s="1"/>
  <c r="P2290" i="3" a="1"/>
  <c r="P2290" i="3" s="1"/>
  <c r="P2285" i="3" a="1"/>
  <c r="P2285" i="3" s="1"/>
  <c r="P2315" i="3" a="1"/>
  <c r="P2315" i="3" s="1"/>
  <c r="P2324" i="3" a="1"/>
  <c r="P2324" i="3" s="1"/>
  <c r="P2325" i="3" a="1"/>
  <c r="P2325" i="3" s="1"/>
  <c r="P2326" i="3" a="1"/>
  <c r="P2326" i="3" s="1"/>
  <c r="P2327" i="3" a="1"/>
  <c r="P2327" i="3" s="1"/>
  <c r="P2328" i="3" a="1"/>
  <c r="P2328" i="3" s="1"/>
  <c r="P2329" i="3" a="1"/>
  <c r="P2329" i="3" s="1"/>
  <c r="P2330" i="3" a="1"/>
  <c r="P2330" i="3" s="1"/>
  <c r="P2331" i="3" a="1"/>
  <c r="P2331" i="3" s="1"/>
  <c r="P2332" i="3" a="1"/>
  <c r="P2332" i="3" s="1"/>
  <c r="P2333" i="3" a="1"/>
  <c r="P2333" i="3" s="1"/>
  <c r="P2334" i="3" a="1"/>
  <c r="P2334" i="3" s="1"/>
  <c r="P2335" i="3" a="1"/>
  <c r="P2335" i="3" s="1"/>
  <c r="P2336" i="3" a="1"/>
  <c r="P2336" i="3" s="1"/>
  <c r="P2337" i="3" a="1"/>
  <c r="P2337" i="3" s="1"/>
  <c r="P2338" i="3" a="1"/>
  <c r="P2338" i="3" s="1"/>
  <c r="P2339" i="3" a="1"/>
  <c r="P2339" i="3" s="1"/>
  <c r="P2340" i="3" a="1"/>
  <c r="P2340" i="3" s="1"/>
  <c r="P2341" i="3" a="1"/>
  <c r="P2341" i="3" s="1"/>
  <c r="P2342" i="3" a="1"/>
  <c r="P2342" i="3" s="1"/>
  <c r="P2343" i="3" a="1"/>
  <c r="P2343" i="3" s="1"/>
  <c r="P2344" i="3" a="1"/>
  <c r="P2344" i="3" s="1"/>
  <c r="P2345" i="3" a="1"/>
  <c r="P2345" i="3" s="1"/>
  <c r="P2346" i="3" a="1"/>
  <c r="P2346" i="3" s="1"/>
  <c r="P2347" i="3" a="1"/>
  <c r="P2347" i="3" s="1"/>
  <c r="P2348" i="3" a="1"/>
  <c r="P2348" i="3" s="1"/>
  <c r="P2349" i="3" a="1"/>
  <c r="P2349" i="3" s="1"/>
  <c r="P2350" i="3" a="1"/>
  <c r="P2350" i="3" s="1"/>
  <c r="P2351" i="3" a="1"/>
  <c r="P2351" i="3" s="1"/>
  <c r="P2352" i="3" a="1"/>
  <c r="P2352" i="3" s="1"/>
  <c r="P2353" i="3" a="1"/>
  <c r="P2353" i="3" s="1"/>
  <c r="P2354" i="3" a="1"/>
  <c r="P2354" i="3" s="1"/>
  <c r="P2355" i="3" a="1"/>
  <c r="P2355" i="3" s="1"/>
  <c r="P2356" i="3" a="1"/>
  <c r="P2356" i="3" s="1"/>
  <c r="P2357" i="3" a="1"/>
  <c r="P2357" i="3" s="1"/>
  <c r="P2358" i="3" a="1"/>
  <c r="P2358" i="3" s="1"/>
  <c r="P2359" i="3" a="1"/>
  <c r="P2359" i="3" s="1"/>
  <c r="P2360" i="3" a="1"/>
  <c r="P2360" i="3" s="1"/>
  <c r="P2361" i="3" a="1"/>
  <c r="P2361" i="3" s="1"/>
  <c r="P2362" i="3" a="1"/>
  <c r="P2362" i="3" s="1"/>
  <c r="P2363" i="3" a="1"/>
  <c r="P2363" i="3" s="1"/>
  <c r="P2364" i="3" a="1"/>
  <c r="P2364" i="3" s="1"/>
  <c r="P2365" i="3" a="1"/>
  <c r="P2365" i="3" s="1"/>
  <c r="P2366" i="3" a="1"/>
  <c r="P2366" i="3" s="1"/>
  <c r="P2367" i="3" a="1"/>
  <c r="P2367" i="3" s="1"/>
  <c r="P2368" i="3" a="1"/>
  <c r="P2368" i="3" s="1"/>
  <c r="P2369" i="3" a="1"/>
  <c r="P2369" i="3" s="1"/>
  <c r="P2370" i="3" a="1"/>
  <c r="P2370" i="3" s="1"/>
  <c r="P2371" i="3" a="1"/>
  <c r="P2371" i="3" s="1"/>
  <c r="P2372" i="3" a="1"/>
  <c r="P2372" i="3" s="1"/>
  <c r="P2373" i="3" a="1"/>
  <c r="P2373" i="3" s="1"/>
  <c r="P2374" i="3" a="1"/>
  <c r="P2374" i="3" s="1"/>
  <c r="P2375" i="3" a="1"/>
  <c r="P2375" i="3" s="1"/>
  <c r="P2376" i="3" a="1"/>
  <c r="P2376" i="3" s="1"/>
  <c r="P2377" i="3" a="1"/>
  <c r="P2377" i="3" s="1"/>
  <c r="P2378" i="3" a="1"/>
  <c r="P2378" i="3" s="1"/>
  <c r="P2379" i="3" a="1"/>
  <c r="P2379" i="3" s="1"/>
  <c r="P2380" i="3" a="1"/>
  <c r="P2380" i="3" s="1"/>
  <c r="P2381" i="3" a="1"/>
  <c r="P2381" i="3" s="1"/>
  <c r="P2382" i="3" a="1"/>
  <c r="P2382" i="3" s="1"/>
  <c r="P2383" i="3" a="1"/>
  <c r="P2383" i="3" s="1"/>
  <c r="P2384" i="3" a="1"/>
  <c r="P2384" i="3" s="1"/>
  <c r="P2385" i="3" a="1"/>
  <c r="P2385" i="3" s="1"/>
  <c r="P2386" i="3" a="1"/>
  <c r="P2386" i="3" s="1"/>
  <c r="P2387" i="3" a="1"/>
  <c r="P2387" i="3" s="1"/>
  <c r="P2388" i="3" a="1"/>
  <c r="P2388" i="3" s="1"/>
  <c r="P2389" i="3" a="1"/>
  <c r="P2389" i="3" s="1"/>
  <c r="P2390" i="3" a="1"/>
  <c r="P2390" i="3" s="1"/>
  <c r="P2391" i="3" a="1"/>
  <c r="P2391" i="3" s="1"/>
  <c r="P2392" i="3" a="1"/>
  <c r="P2392" i="3" s="1"/>
  <c r="P2393" i="3" a="1"/>
  <c r="P2393" i="3" s="1"/>
  <c r="P2394" i="3" a="1"/>
  <c r="P2394" i="3" s="1"/>
  <c r="P2395" i="3" a="1"/>
  <c r="P2395" i="3" s="1"/>
  <c r="P2396" i="3" a="1"/>
  <c r="P2396" i="3" s="1"/>
  <c r="P2397" i="3" a="1"/>
  <c r="P2397" i="3" s="1"/>
  <c r="P2398" i="3" a="1"/>
  <c r="P2398" i="3" s="1"/>
  <c r="P2399" i="3" a="1"/>
  <c r="P2399" i="3" s="1"/>
  <c r="P2400" i="3" a="1"/>
  <c r="P2400" i="3" s="1"/>
  <c r="P2401" i="3" a="1"/>
  <c r="P2401" i="3" s="1"/>
  <c r="P2402" i="3" a="1"/>
  <c r="P2402" i="3" s="1"/>
  <c r="P2403" i="3" a="1"/>
  <c r="P2403" i="3" s="1"/>
  <c r="P2404" i="3" a="1"/>
  <c r="P2404" i="3" s="1"/>
  <c r="P2405" i="3" a="1"/>
  <c r="P2405" i="3" s="1"/>
  <c r="P2406" i="3" a="1"/>
  <c r="P2406" i="3" s="1"/>
  <c r="P2407" i="3" a="1"/>
  <c r="P2407" i="3" s="1"/>
  <c r="P2408" i="3" a="1"/>
  <c r="P2408" i="3" s="1"/>
  <c r="P2409" i="3" a="1"/>
  <c r="P2409" i="3" s="1"/>
  <c r="P2410" i="3" a="1"/>
  <c r="P2410" i="3" s="1"/>
  <c r="P2411" i="3" a="1"/>
  <c r="P2411" i="3" s="1"/>
  <c r="P2412" i="3" a="1"/>
  <c r="P2412" i="3" s="1"/>
  <c r="P2413" i="3" a="1"/>
  <c r="P2413" i="3" s="1"/>
  <c r="P2414" i="3" a="1"/>
  <c r="P2414" i="3" s="1"/>
  <c r="P2415" i="3" a="1"/>
  <c r="P2415" i="3" s="1"/>
  <c r="P2416" i="3" a="1"/>
  <c r="P2416" i="3" s="1"/>
  <c r="P2417" i="3" a="1"/>
  <c r="P2417" i="3" s="1"/>
  <c r="P2418" i="3" a="1"/>
  <c r="P2418" i="3" s="1"/>
  <c r="P2419" i="3" a="1"/>
  <c r="P2419" i="3" s="1"/>
  <c r="P2420" i="3" a="1"/>
  <c r="P2420" i="3" s="1"/>
  <c r="P2421" i="3" a="1"/>
  <c r="P2421" i="3" s="1"/>
  <c r="P2422" i="3" a="1"/>
  <c r="P2422" i="3" s="1"/>
  <c r="P2423" i="3" a="1"/>
  <c r="P2423" i="3" s="1"/>
  <c r="P2424" i="3" a="1"/>
  <c r="P2424" i="3" s="1"/>
  <c r="P2425" i="3" a="1"/>
  <c r="P2425" i="3" s="1"/>
  <c r="P2426" i="3" a="1"/>
  <c r="P2426" i="3" s="1"/>
  <c r="P2427" i="3" a="1"/>
  <c r="P2427" i="3" s="1"/>
  <c r="P2428" i="3" a="1"/>
  <c r="P2428" i="3" s="1"/>
  <c r="P2429" i="3" a="1"/>
  <c r="P2429" i="3" s="1"/>
  <c r="P2430" i="3" a="1"/>
  <c r="P2430" i="3" s="1"/>
  <c r="P2431" i="3" a="1"/>
  <c r="P2431" i="3" s="1"/>
  <c r="P2432" i="3" a="1"/>
  <c r="P2432" i="3" s="1"/>
  <c r="P2433" i="3" a="1"/>
  <c r="P2433" i="3" s="1"/>
  <c r="P2434" i="3" a="1"/>
  <c r="P2434" i="3" s="1"/>
  <c r="P2435" i="3" a="1"/>
  <c r="P2435" i="3" s="1"/>
  <c r="P2436" i="3" a="1"/>
  <c r="P2436" i="3" s="1"/>
  <c r="P2437" i="3" a="1"/>
  <c r="P2437" i="3" s="1"/>
  <c r="P2438" i="3" a="1"/>
  <c r="P2438" i="3" s="1"/>
  <c r="P2439" i="3" a="1"/>
  <c r="P2439" i="3" s="1"/>
  <c r="P2440" i="3" a="1"/>
  <c r="P2440" i="3" s="1"/>
  <c r="P2441" i="3" a="1"/>
  <c r="P2441" i="3" s="1"/>
  <c r="P2442" i="3" a="1"/>
  <c r="P2442" i="3" s="1"/>
  <c r="P2443" i="3" a="1"/>
  <c r="P2443" i="3" s="1"/>
  <c r="P2444" i="3" a="1"/>
  <c r="P2444" i="3" s="1"/>
  <c r="P2445" i="3" a="1"/>
  <c r="P2445" i="3" s="1"/>
  <c r="P2446" i="3" a="1"/>
  <c r="P2446" i="3" s="1"/>
  <c r="P2447" i="3" a="1"/>
  <c r="P2447" i="3" s="1"/>
  <c r="P2448" i="3" a="1"/>
  <c r="P2448" i="3" s="1"/>
  <c r="P2449" i="3" a="1"/>
  <c r="P2449" i="3" s="1"/>
  <c r="P2450" i="3" a="1"/>
  <c r="P2450" i="3" s="1"/>
  <c r="P2451" i="3" a="1"/>
  <c r="P2451" i="3" s="1"/>
  <c r="P2452" i="3" a="1"/>
  <c r="P2452" i="3" s="1"/>
  <c r="P2453" i="3" a="1"/>
  <c r="P2453" i="3" s="1"/>
  <c r="P2454" i="3" a="1"/>
  <c r="P2454" i="3" s="1"/>
  <c r="P2455" i="3" a="1"/>
  <c r="P2455" i="3" s="1"/>
  <c r="P2456" i="3" a="1"/>
  <c r="P2456" i="3" s="1"/>
  <c r="P2457" i="3" a="1"/>
  <c r="P2457" i="3" s="1"/>
  <c r="P2458" i="3" a="1"/>
  <c r="P2458" i="3" s="1"/>
  <c r="P2459" i="3" a="1"/>
  <c r="P2459" i="3" s="1"/>
  <c r="P2460" i="3" a="1"/>
  <c r="P2460" i="3" s="1"/>
  <c r="P2461" i="3" a="1"/>
  <c r="P2461" i="3" s="1"/>
  <c r="P2462" i="3" a="1"/>
  <c r="P2462" i="3" s="1"/>
  <c r="P2463" i="3" a="1"/>
  <c r="P2463" i="3" s="1"/>
  <c r="P2464" i="3" a="1"/>
  <c r="P2464" i="3" s="1"/>
  <c r="P2465" i="3" a="1"/>
  <c r="P2465" i="3" s="1"/>
  <c r="P2466" i="3" a="1"/>
  <c r="P2466" i="3" s="1"/>
  <c r="P2467" i="3" a="1"/>
  <c r="P2467" i="3" s="1"/>
  <c r="P2468" i="3" a="1"/>
  <c r="P2468" i="3" s="1"/>
  <c r="P2469" i="3" a="1"/>
  <c r="P2469" i="3" s="1"/>
  <c r="P2470" i="3" a="1"/>
  <c r="P2470" i="3" s="1"/>
  <c r="P2471" i="3" a="1"/>
  <c r="P2471" i="3" s="1"/>
  <c r="P2472" i="3" a="1"/>
  <c r="P2472" i="3" s="1"/>
  <c r="P2473" i="3" a="1"/>
  <c r="P2473" i="3" s="1"/>
  <c r="P2474" i="3" a="1"/>
  <c r="P2474" i="3" s="1"/>
  <c r="P2475" i="3" a="1"/>
  <c r="P2475" i="3" s="1"/>
  <c r="P2476" i="3" a="1"/>
  <c r="P2476" i="3" s="1"/>
  <c r="P2477" i="3" a="1"/>
  <c r="P2477" i="3" s="1"/>
  <c r="P2478" i="3" a="1"/>
  <c r="P2478" i="3" s="1"/>
  <c r="P2479" i="3" a="1"/>
  <c r="P2479" i="3" s="1"/>
  <c r="P2480" i="3" a="1"/>
  <c r="P2480" i="3" s="1"/>
  <c r="P2481" i="3" a="1"/>
  <c r="P2481" i="3" s="1"/>
  <c r="P2482" i="3" a="1"/>
  <c r="P2482" i="3" s="1"/>
  <c r="P2483" i="3" a="1"/>
  <c r="P2483" i="3" s="1"/>
  <c r="P2484" i="3" a="1"/>
  <c r="P2484" i="3" s="1"/>
  <c r="P2485" i="3" a="1"/>
  <c r="P2485" i="3" s="1"/>
  <c r="P2486" i="3" a="1"/>
  <c r="P2486" i="3" s="1"/>
  <c r="P2487" i="3" a="1"/>
  <c r="P2487" i="3" s="1"/>
  <c r="P2488" i="3" a="1"/>
  <c r="P2488" i="3" s="1"/>
  <c r="P2489" i="3" a="1"/>
  <c r="P2489" i="3" s="1"/>
  <c r="P2490" i="3" a="1"/>
  <c r="P2490" i="3" s="1"/>
  <c r="P2491" i="3" a="1"/>
  <c r="P2491" i="3" s="1"/>
  <c r="P2492" i="3" a="1"/>
  <c r="P2492" i="3" s="1"/>
  <c r="P2493" i="3" a="1"/>
  <c r="P2493" i="3" s="1"/>
  <c r="P2494" i="3" a="1"/>
  <c r="P2494" i="3" s="1"/>
  <c r="P2495" i="3" a="1"/>
  <c r="P2495" i="3" s="1"/>
  <c r="P2496" i="3" a="1"/>
  <c r="P2496" i="3" s="1"/>
  <c r="P2497" i="3" a="1"/>
  <c r="P2497" i="3" s="1"/>
  <c r="P2498" i="3" a="1"/>
  <c r="P2498" i="3" s="1"/>
  <c r="P2499" i="3" a="1"/>
  <c r="P2499" i="3" s="1"/>
  <c r="P2500" i="3" a="1"/>
  <c r="P2500" i="3" s="1"/>
  <c r="P2501" i="3" a="1"/>
  <c r="P2501" i="3" s="1"/>
  <c r="P2502" i="3" a="1"/>
  <c r="P2502" i="3" s="1"/>
  <c r="P2503" i="3" a="1"/>
  <c r="P2503" i="3" s="1"/>
  <c r="P2504" i="3" a="1"/>
  <c r="P2504" i="3" s="1"/>
  <c r="P2505" i="3" a="1"/>
  <c r="P2505" i="3" s="1"/>
  <c r="P2506" i="3" a="1"/>
  <c r="P2506" i="3" s="1"/>
  <c r="P2507" i="3" a="1"/>
  <c r="P2507" i="3" s="1"/>
  <c r="P2508" i="3" a="1"/>
  <c r="P2508" i="3" s="1"/>
  <c r="P2509" i="3" a="1"/>
  <c r="P2509" i="3" s="1"/>
  <c r="P2510" i="3" a="1"/>
  <c r="P2510" i="3" s="1"/>
  <c r="P2511" i="3" a="1"/>
  <c r="P2511" i="3" s="1"/>
  <c r="P2512" i="3" a="1"/>
  <c r="P2512" i="3" s="1"/>
  <c r="P2513" i="3" a="1"/>
  <c r="P2513" i="3" s="1"/>
  <c r="P2514" i="3" a="1"/>
  <c r="P2514" i="3" s="1"/>
  <c r="P2515" i="3" a="1"/>
  <c r="P2515" i="3" s="1"/>
  <c r="P2516" i="3" a="1"/>
  <c r="P2516" i="3" s="1"/>
  <c r="P2517" i="3" a="1"/>
  <c r="P2517" i="3" s="1"/>
  <c r="P2518" i="3" a="1"/>
  <c r="P2518" i="3" s="1"/>
  <c r="P2519" i="3" a="1"/>
  <c r="P2519" i="3" s="1"/>
  <c r="P2520" i="3" a="1"/>
  <c r="P2520" i="3" s="1"/>
  <c r="P2521" i="3" a="1"/>
  <c r="P2521" i="3" s="1"/>
  <c r="P2522" i="3" a="1"/>
  <c r="P2522" i="3" s="1"/>
  <c r="P2523" i="3" a="1"/>
  <c r="P2523" i="3" s="1"/>
  <c r="P2524" i="3" a="1"/>
  <c r="P2524" i="3" s="1"/>
  <c r="P2525" i="3" a="1"/>
  <c r="P2525" i="3" s="1"/>
  <c r="P2526" i="3" a="1"/>
  <c r="P2526" i="3" s="1"/>
  <c r="P2527" i="3" a="1"/>
  <c r="P2527" i="3" s="1"/>
  <c r="P2528" i="3" a="1"/>
  <c r="P2528" i="3" s="1"/>
  <c r="P2529" i="3" a="1"/>
  <c r="P2529" i="3" s="1"/>
  <c r="P2530" i="3" a="1"/>
  <c r="P2530" i="3" s="1"/>
  <c r="P2531" i="3" a="1"/>
  <c r="P2531" i="3" s="1"/>
  <c r="P2532" i="3" a="1"/>
  <c r="P2532" i="3" s="1"/>
  <c r="P2533" i="3" a="1"/>
  <c r="P2533" i="3" s="1"/>
  <c r="P2534" i="3" a="1"/>
  <c r="P2534" i="3" s="1"/>
  <c r="P2535" i="3" a="1"/>
  <c r="P2535" i="3" s="1"/>
  <c r="P2536" i="3" a="1"/>
  <c r="P2536" i="3" s="1"/>
  <c r="P2537" i="3" a="1"/>
  <c r="P2537" i="3" s="1"/>
  <c r="P2538" i="3" a="1"/>
  <c r="P2538" i="3" s="1"/>
  <c r="P2539" i="3" a="1"/>
  <c r="P2539" i="3" s="1"/>
  <c r="P2540" i="3" a="1"/>
  <c r="P2540" i="3" s="1"/>
  <c r="P2541" i="3" a="1"/>
  <c r="P2541" i="3" s="1"/>
  <c r="P2542" i="3" a="1"/>
  <c r="P2542" i="3" s="1"/>
  <c r="P2543" i="3" a="1"/>
  <c r="P2543" i="3" s="1"/>
  <c r="P2544" i="3" a="1"/>
  <c r="P2544" i="3" s="1"/>
  <c r="P2545" i="3" a="1"/>
  <c r="P2545" i="3" s="1"/>
  <c r="P2546" i="3" a="1"/>
  <c r="P2546" i="3" s="1"/>
  <c r="P2547" i="3" a="1"/>
  <c r="P2547" i="3" s="1"/>
  <c r="P2548" i="3" a="1"/>
  <c r="P2548" i="3" s="1"/>
  <c r="P2549" i="3" a="1"/>
  <c r="P2549" i="3" s="1"/>
  <c r="P2550" i="3" a="1"/>
  <c r="P2550" i="3" s="1"/>
  <c r="P2551" i="3" a="1"/>
  <c r="P2551" i="3" s="1"/>
  <c r="P2552" i="3" a="1"/>
  <c r="P2552" i="3" s="1"/>
  <c r="P2553" i="3" a="1"/>
  <c r="P2553" i="3" s="1"/>
  <c r="P2554" i="3" a="1"/>
  <c r="P2554" i="3" s="1"/>
  <c r="P2555" i="3" a="1"/>
  <c r="P2555" i="3" s="1"/>
  <c r="P2556" i="3" a="1"/>
  <c r="P2556" i="3" s="1"/>
  <c r="P2557" i="3" a="1"/>
  <c r="P2557" i="3" s="1"/>
  <c r="P2558" i="3" a="1"/>
  <c r="P2558" i="3" s="1"/>
  <c r="P2559" i="3" a="1"/>
  <c r="P2559" i="3" s="1"/>
  <c r="P2560" i="3" a="1"/>
  <c r="P2560" i="3" s="1"/>
  <c r="P2561" i="3" a="1"/>
  <c r="P2561" i="3" s="1"/>
  <c r="P2562" i="3" a="1"/>
  <c r="P2562" i="3" s="1"/>
  <c r="P2563" i="3" a="1"/>
  <c r="P2563" i="3" s="1"/>
  <c r="P2564" i="3" a="1"/>
  <c r="P2564" i="3" s="1"/>
  <c r="P2565" i="3" a="1"/>
  <c r="P2565" i="3" s="1"/>
  <c r="P2566" i="3" a="1"/>
  <c r="P2566" i="3" s="1"/>
  <c r="P2567" i="3" a="1"/>
  <c r="P2567" i="3" s="1"/>
  <c r="P2568" i="3" a="1"/>
  <c r="P2568" i="3" s="1"/>
  <c r="P2569" i="3" a="1"/>
  <c r="P2569" i="3" s="1"/>
  <c r="P2570" i="3" a="1"/>
  <c r="P2570" i="3" s="1"/>
  <c r="P2571" i="3" a="1"/>
  <c r="P2571" i="3" s="1"/>
  <c r="P2572" i="3" a="1"/>
  <c r="P2572" i="3" s="1"/>
  <c r="P2573" i="3" a="1"/>
  <c r="P2573" i="3" s="1"/>
  <c r="P2574" i="3" a="1"/>
  <c r="P2574" i="3" s="1"/>
  <c r="P2575" i="3" a="1"/>
  <c r="P2575" i="3" s="1"/>
  <c r="P2576" i="3" a="1"/>
  <c r="P2576" i="3" s="1"/>
  <c r="P2577" i="3" a="1"/>
  <c r="P2577" i="3" s="1"/>
  <c r="P2578" i="3" a="1"/>
  <c r="P2578" i="3" s="1"/>
  <c r="P2579" i="3" a="1"/>
  <c r="P2579" i="3" s="1"/>
  <c r="P2580" i="3" a="1"/>
  <c r="P2580" i="3" s="1"/>
  <c r="P2581" i="3" a="1"/>
  <c r="P2581" i="3" s="1"/>
  <c r="P2582" i="3" a="1"/>
  <c r="P2582" i="3" s="1"/>
  <c r="P2583" i="3" a="1"/>
  <c r="P2583" i="3" s="1"/>
  <c r="P2584" i="3" a="1"/>
  <c r="P2584" i="3" s="1"/>
  <c r="P2585" i="3" a="1"/>
  <c r="P2585" i="3" s="1"/>
  <c r="P2586" i="3" a="1"/>
  <c r="P2586" i="3" s="1"/>
  <c r="P2587" i="3" a="1"/>
  <c r="P2587" i="3" s="1"/>
  <c r="P2588" i="3" a="1"/>
  <c r="P2588" i="3" s="1"/>
  <c r="P2589" i="3" a="1"/>
  <c r="P2589" i="3" s="1"/>
  <c r="P2590" i="3" a="1"/>
  <c r="P2590" i="3" s="1"/>
  <c r="P2591" i="3" a="1"/>
  <c r="P2591" i="3" s="1"/>
  <c r="P2592" i="3" a="1"/>
  <c r="P2592" i="3" s="1"/>
  <c r="P2593" i="3" a="1"/>
  <c r="P2593" i="3" s="1"/>
  <c r="P2594" i="3" a="1"/>
  <c r="P2594" i="3" s="1"/>
  <c r="P2595" i="3" a="1"/>
  <c r="P2595" i="3" s="1"/>
  <c r="P2596" i="3" a="1"/>
  <c r="P2596" i="3" s="1"/>
  <c r="P2597" i="3" a="1"/>
  <c r="P2597" i="3" s="1"/>
  <c r="P2598" i="3" a="1"/>
  <c r="P2598" i="3" s="1"/>
  <c r="P2599" i="3" a="1"/>
  <c r="P2599" i="3" s="1"/>
  <c r="P2600" i="3" a="1"/>
  <c r="P2600" i="3" s="1"/>
  <c r="P2601" i="3" a="1"/>
  <c r="P2601" i="3" s="1"/>
  <c r="P2602" i="3" a="1"/>
  <c r="P2602" i="3" s="1"/>
  <c r="P2603" i="3" a="1"/>
  <c r="P2603" i="3" s="1"/>
  <c r="P2604" i="3" a="1"/>
  <c r="P2604" i="3" s="1"/>
  <c r="P2605" i="3" a="1"/>
  <c r="P2605" i="3" s="1"/>
  <c r="P2606" i="3" a="1"/>
  <c r="P2606" i="3" s="1"/>
  <c r="P2607" i="3" a="1"/>
  <c r="P2607" i="3" s="1"/>
  <c r="P2608" i="3" a="1"/>
  <c r="P2608" i="3" s="1"/>
  <c r="P2609" i="3" a="1"/>
  <c r="P2609" i="3" s="1"/>
  <c r="P2610" i="3" a="1"/>
  <c r="P2610" i="3" s="1"/>
  <c r="P2611" i="3" a="1"/>
  <c r="P2611" i="3" s="1"/>
  <c r="P2612" i="3" a="1"/>
  <c r="P2612" i="3" s="1"/>
  <c r="P2613" i="3" a="1"/>
  <c r="P2613" i="3" s="1"/>
  <c r="P2614" i="3" a="1"/>
  <c r="P2614" i="3" s="1"/>
  <c r="P2615" i="3" a="1"/>
  <c r="P2615" i="3" s="1"/>
  <c r="P2616" i="3" a="1"/>
  <c r="P2616" i="3" s="1"/>
  <c r="P2617" i="3" a="1"/>
  <c r="P2617" i="3" s="1"/>
  <c r="P2618" i="3" a="1"/>
  <c r="P2618" i="3" s="1"/>
  <c r="P2619" i="3" a="1"/>
  <c r="P2619" i="3" s="1"/>
  <c r="P2620" i="3" a="1"/>
  <c r="P2620" i="3" s="1"/>
  <c r="P2621" i="3" a="1"/>
  <c r="P2621" i="3" s="1"/>
  <c r="P2622" i="3" a="1"/>
  <c r="P2622" i="3" s="1"/>
  <c r="P2623" i="3" a="1"/>
  <c r="P2623" i="3" s="1"/>
  <c r="P2624" i="3" a="1"/>
  <c r="P2624" i="3" s="1"/>
  <c r="P2625" i="3" a="1"/>
  <c r="P2625" i="3" s="1"/>
  <c r="P2626" i="3" a="1"/>
  <c r="P2626" i="3" s="1"/>
  <c r="P2627" i="3" a="1"/>
  <c r="P2627" i="3" s="1"/>
  <c r="P2628" i="3" a="1"/>
  <c r="P2628" i="3" s="1"/>
  <c r="P2629" i="3" a="1"/>
  <c r="P2629" i="3" s="1"/>
  <c r="P2630" i="3" a="1"/>
  <c r="P2630" i="3" s="1"/>
  <c r="P2631" i="3" a="1"/>
  <c r="P2631" i="3" s="1"/>
  <c r="P2632" i="3" a="1"/>
  <c r="P2632" i="3" s="1"/>
  <c r="P2633" i="3" a="1"/>
  <c r="P2633" i="3" s="1"/>
  <c r="P2634" i="3" a="1"/>
  <c r="P2634" i="3" s="1"/>
  <c r="P2635" i="3" a="1"/>
  <c r="P2635" i="3" s="1"/>
  <c r="P2636" i="3" a="1"/>
  <c r="P2636" i="3" s="1"/>
  <c r="P2637" i="3" a="1"/>
  <c r="P2637" i="3" s="1"/>
  <c r="P2638" i="3" a="1"/>
  <c r="P2638" i="3" s="1"/>
  <c r="P2639" i="3" a="1"/>
  <c r="P2639" i="3" s="1"/>
  <c r="P2640" i="3" a="1"/>
  <c r="P2640" i="3" s="1"/>
  <c r="P2641" i="3" a="1"/>
  <c r="P2641" i="3" s="1"/>
  <c r="P2642" i="3" a="1"/>
  <c r="P2642" i="3" s="1"/>
  <c r="P2643" i="3" a="1"/>
  <c r="P2643" i="3" s="1"/>
  <c r="P2644" i="3" a="1"/>
  <c r="P2644" i="3" s="1"/>
  <c r="P2645" i="3" a="1"/>
  <c r="P2645" i="3" s="1"/>
  <c r="P2646" i="3" a="1"/>
  <c r="P2646" i="3" s="1"/>
  <c r="P2647" i="3" a="1"/>
  <c r="P2647" i="3" s="1"/>
  <c r="P2648" i="3" a="1"/>
  <c r="P2648" i="3" s="1"/>
  <c r="P2649" i="3" a="1"/>
  <c r="P2649" i="3" s="1"/>
  <c r="P2650" i="3" a="1"/>
  <c r="P2650" i="3" s="1"/>
  <c r="P2651" i="3" a="1"/>
  <c r="P2651" i="3" s="1"/>
  <c r="P2652" i="3" a="1"/>
  <c r="P2652" i="3" s="1"/>
  <c r="P2653" i="3" a="1"/>
  <c r="P2653" i="3" s="1"/>
  <c r="P2654" i="3" a="1"/>
  <c r="P2654" i="3" s="1"/>
  <c r="P2655" i="3" a="1"/>
  <c r="P2655" i="3" s="1"/>
  <c r="P2656" i="3" a="1"/>
  <c r="P2656" i="3" s="1"/>
  <c r="P2657" i="3" a="1"/>
  <c r="P2657" i="3" s="1"/>
  <c r="P2658" i="3" a="1"/>
  <c r="P2658" i="3" s="1"/>
  <c r="P2659" i="3" a="1"/>
  <c r="P2659" i="3" s="1"/>
  <c r="P2660" i="3" a="1"/>
  <c r="P2660" i="3" s="1"/>
  <c r="P2661" i="3" a="1"/>
  <c r="P2661" i="3" s="1"/>
  <c r="P2662" i="3" a="1"/>
  <c r="P2662" i="3" s="1"/>
  <c r="P2663" i="3" a="1"/>
  <c r="P2663" i="3" s="1"/>
  <c r="P2664" i="3" a="1"/>
  <c r="P2664" i="3" s="1"/>
  <c r="P2665" i="3" a="1"/>
  <c r="P2665" i="3" s="1"/>
  <c r="P2666" i="3" a="1"/>
  <c r="P2666" i="3" s="1"/>
  <c r="P2667" i="3" a="1"/>
  <c r="P2667" i="3" s="1"/>
  <c r="P2668" i="3" a="1"/>
  <c r="P2668" i="3" s="1"/>
  <c r="P2669" i="3" a="1"/>
  <c r="P2669" i="3" s="1"/>
  <c r="P2670" i="3" a="1"/>
  <c r="P2670" i="3" s="1"/>
  <c r="P2671" i="3" a="1"/>
  <c r="P2671" i="3" s="1"/>
  <c r="P2672" i="3" a="1"/>
  <c r="P2672" i="3" s="1"/>
  <c r="P2673" i="3" a="1"/>
  <c r="P2673" i="3" s="1"/>
  <c r="P2674" i="3" a="1"/>
  <c r="P2674" i="3" s="1"/>
  <c r="P2675" i="3" a="1"/>
  <c r="P2675" i="3" s="1"/>
  <c r="P2676" i="3" a="1"/>
  <c r="P2676" i="3" s="1"/>
  <c r="P2677" i="3" a="1"/>
  <c r="P2677" i="3" s="1"/>
  <c r="P2678" i="3" a="1"/>
  <c r="P2678" i="3" s="1"/>
  <c r="P2679" i="3" a="1"/>
  <c r="P2679" i="3" s="1"/>
  <c r="P2680" i="3" a="1"/>
  <c r="P2680" i="3" s="1"/>
  <c r="P2681" i="3" a="1"/>
  <c r="P2681" i="3" s="1"/>
  <c r="P2682" i="3" a="1"/>
  <c r="P2682" i="3" s="1"/>
  <c r="P2683" i="3" a="1"/>
  <c r="P2683" i="3" s="1"/>
  <c r="P2684" i="3" a="1"/>
  <c r="P2684" i="3" s="1"/>
  <c r="P2685" i="3" a="1"/>
  <c r="P2685" i="3" s="1"/>
  <c r="P2686" i="3" a="1"/>
  <c r="P2686" i="3" s="1"/>
  <c r="P2687" i="3" a="1"/>
  <c r="P2687" i="3" s="1"/>
  <c r="P2688" i="3" a="1"/>
  <c r="P2688" i="3" s="1"/>
  <c r="P2689" i="3" a="1"/>
  <c r="P2689" i="3" s="1"/>
  <c r="P2690" i="3" a="1"/>
  <c r="P2690" i="3" s="1"/>
  <c r="P2691" i="3" a="1"/>
  <c r="P2691" i="3" s="1"/>
  <c r="P2692" i="3" a="1"/>
  <c r="P2692" i="3" s="1"/>
  <c r="P2693" i="3" a="1"/>
  <c r="P2693" i="3" s="1"/>
  <c r="P2694" i="3" a="1"/>
  <c r="P2694" i="3" s="1"/>
  <c r="P2695" i="3" a="1"/>
  <c r="P2695" i="3" s="1"/>
  <c r="P2696" i="3" a="1"/>
  <c r="P2696" i="3" s="1"/>
  <c r="P2697" i="3" a="1"/>
  <c r="P2697" i="3" s="1"/>
  <c r="P2698" i="3" a="1"/>
  <c r="P2698" i="3" s="1"/>
  <c r="P2699" i="3" a="1"/>
  <c r="P2699" i="3" s="1"/>
  <c r="P2700" i="3" a="1"/>
  <c r="P2700" i="3" s="1"/>
  <c r="P2701" i="3" a="1"/>
  <c r="P2701" i="3" s="1"/>
  <c r="P2702" i="3" a="1"/>
  <c r="P2702" i="3" s="1"/>
  <c r="P2703" i="3" a="1"/>
  <c r="P2703" i="3" s="1"/>
  <c r="P2704" i="3" a="1"/>
  <c r="P2704" i="3" s="1"/>
  <c r="P2705" i="3" a="1"/>
  <c r="P2705" i="3" s="1"/>
  <c r="P2706" i="3" a="1"/>
  <c r="P2706" i="3" s="1"/>
  <c r="P2707" i="3" a="1"/>
  <c r="P2707" i="3" s="1"/>
  <c r="P2708" i="3" a="1"/>
  <c r="P2708" i="3" s="1"/>
  <c r="P2709" i="3" a="1"/>
  <c r="P2709" i="3" s="1"/>
  <c r="P2710" i="3" a="1"/>
  <c r="P2710" i="3" s="1"/>
  <c r="P2711" i="3" a="1"/>
  <c r="P2711" i="3" s="1"/>
  <c r="P2712" i="3" a="1"/>
  <c r="P2712" i="3" s="1"/>
  <c r="P2713" i="3" a="1"/>
  <c r="P2713" i="3" s="1"/>
  <c r="P2714" i="3" a="1"/>
  <c r="P2714" i="3" s="1"/>
  <c r="P2715" i="3" a="1"/>
  <c r="P2715" i="3" s="1"/>
  <c r="P2716" i="3" a="1"/>
  <c r="P2716" i="3" s="1"/>
  <c r="P2717" i="3" a="1"/>
  <c r="P2717" i="3" s="1"/>
  <c r="P2718" i="3" a="1"/>
  <c r="P2718" i="3" s="1"/>
  <c r="P2719" i="3" a="1"/>
  <c r="P2719" i="3" s="1"/>
  <c r="P2720" i="3" a="1"/>
  <c r="P2720" i="3" s="1"/>
  <c r="P2721" i="3" a="1"/>
  <c r="P2721" i="3" s="1"/>
  <c r="P2722" i="3" a="1"/>
  <c r="P2722" i="3" s="1"/>
  <c r="P2723" i="3" a="1"/>
  <c r="P2723" i="3" s="1"/>
  <c r="P2724" i="3" a="1"/>
  <c r="P2724" i="3" s="1"/>
  <c r="P2725" i="3" a="1"/>
  <c r="P2725" i="3" s="1"/>
  <c r="P2726" i="3" a="1"/>
  <c r="P2726" i="3" s="1"/>
  <c r="P2727" i="3" a="1"/>
  <c r="P2727" i="3" s="1"/>
  <c r="P2728" i="3" a="1"/>
  <c r="P2728" i="3" s="1"/>
  <c r="P2729" i="3" a="1"/>
  <c r="P2729" i="3" s="1"/>
  <c r="P2730" i="3" a="1"/>
  <c r="P2730" i="3" s="1"/>
  <c r="P2731" i="3" a="1"/>
  <c r="P2731" i="3" s="1"/>
  <c r="P2732" i="3" a="1"/>
  <c r="P2732" i="3" s="1"/>
  <c r="P2733" i="3" a="1"/>
  <c r="P2733" i="3" s="1"/>
  <c r="P2734" i="3" a="1"/>
  <c r="P2734" i="3" s="1"/>
  <c r="P2735" i="3" a="1"/>
  <c r="P2735" i="3" s="1"/>
  <c r="P2736" i="3" a="1"/>
  <c r="P2736" i="3" s="1"/>
  <c r="P2737" i="3" a="1"/>
  <c r="P2737" i="3" s="1"/>
  <c r="P2738" i="3" a="1"/>
  <c r="P2738" i="3" s="1"/>
  <c r="P2739" i="3" a="1"/>
  <c r="P2739" i="3" s="1"/>
  <c r="P2740" i="3" a="1"/>
  <c r="P2740" i="3" s="1"/>
  <c r="P2741" i="3" a="1"/>
  <c r="P2741" i="3" s="1"/>
  <c r="P2742" i="3" a="1"/>
  <c r="P2742" i="3" s="1"/>
  <c r="P2743" i="3" a="1"/>
  <c r="P2743" i="3" s="1"/>
  <c r="P2744" i="3" a="1"/>
  <c r="P2744" i="3" s="1"/>
  <c r="P2745" i="3" a="1"/>
  <c r="P2745" i="3" s="1"/>
  <c r="P2746" i="3" a="1"/>
  <c r="P2746" i="3" s="1"/>
  <c r="P2747" i="3" a="1"/>
  <c r="P2747" i="3" s="1"/>
  <c r="P2748" i="3" a="1"/>
  <c r="P2748" i="3" s="1"/>
  <c r="P2749" i="3" a="1"/>
  <c r="P2749" i="3" s="1"/>
  <c r="P2750" i="3" a="1"/>
  <c r="P2750" i="3" s="1"/>
  <c r="P2751" i="3" a="1"/>
  <c r="P2751" i="3" s="1"/>
  <c r="P2752" i="3" a="1"/>
  <c r="P2752" i="3" s="1"/>
  <c r="P2753" i="3" a="1"/>
  <c r="P2753" i="3" s="1"/>
  <c r="P2754" i="3" a="1"/>
  <c r="P2754" i="3" s="1"/>
  <c r="P2755" i="3" a="1"/>
  <c r="P2755" i="3" s="1"/>
  <c r="P2756" i="3" a="1"/>
  <c r="P2756" i="3" s="1"/>
  <c r="P2757" i="3" a="1"/>
  <c r="P2757" i="3" s="1"/>
  <c r="P2758" i="3" a="1"/>
  <c r="P2758" i="3" s="1"/>
  <c r="P2759" i="3" a="1"/>
  <c r="P2759" i="3" s="1"/>
  <c r="P2760" i="3" a="1"/>
  <c r="P2760" i="3" s="1"/>
  <c r="P2761" i="3" a="1"/>
  <c r="P2761" i="3" s="1"/>
  <c r="P2762" i="3" a="1"/>
  <c r="P2762" i="3" s="1"/>
  <c r="P2763" i="3" a="1"/>
  <c r="P2763" i="3" s="1"/>
  <c r="P2764" i="3" a="1"/>
  <c r="P2764" i="3" s="1"/>
  <c r="P2765" i="3" a="1"/>
  <c r="P2765" i="3" s="1"/>
  <c r="P2766" i="3" a="1"/>
  <c r="P2766" i="3" s="1"/>
  <c r="P2767" i="3" a="1"/>
  <c r="P2767" i="3" s="1"/>
  <c r="P2768" i="3" a="1"/>
  <c r="P2768" i="3" s="1"/>
  <c r="P2769" i="3" a="1"/>
  <c r="P2769" i="3" s="1"/>
  <c r="P2770" i="3" a="1"/>
  <c r="P2770" i="3" s="1"/>
  <c r="P2771" i="3" a="1"/>
  <c r="P2771" i="3" s="1"/>
  <c r="P2772" i="3" a="1"/>
  <c r="P2772" i="3" s="1"/>
  <c r="P2773" i="3" a="1"/>
  <c r="P2773" i="3" s="1"/>
  <c r="P2774" i="3" a="1"/>
  <c r="P2774" i="3" s="1"/>
  <c r="P2775" i="3" a="1"/>
  <c r="P2775" i="3" s="1"/>
  <c r="P2776" i="3" a="1"/>
  <c r="P2776" i="3" s="1"/>
  <c r="P2777" i="3" a="1"/>
  <c r="P2777" i="3" s="1"/>
  <c r="P2778" i="3" a="1"/>
  <c r="P2778" i="3" s="1"/>
  <c r="P2779" i="3" a="1"/>
  <c r="P2779" i="3" s="1"/>
  <c r="P2780" i="3" a="1"/>
  <c r="P2780" i="3" s="1"/>
  <c r="P2781" i="3" a="1"/>
  <c r="P2781" i="3" s="1"/>
  <c r="P2782" i="3" a="1"/>
  <c r="P2782" i="3" s="1"/>
  <c r="P2783" i="3" a="1"/>
  <c r="P2783" i="3" s="1"/>
  <c r="P2784" i="3" a="1"/>
  <c r="P2784" i="3" s="1"/>
  <c r="P2785" i="3" a="1"/>
  <c r="P2785" i="3" s="1"/>
  <c r="P2786" i="3" a="1"/>
  <c r="P2786" i="3" s="1"/>
  <c r="P2787" i="3" a="1"/>
  <c r="P2787" i="3" s="1"/>
  <c r="P2788" i="3" a="1"/>
  <c r="P2788" i="3" s="1"/>
  <c r="P2789" i="3" a="1"/>
  <c r="P2789" i="3" s="1"/>
  <c r="P2790" i="3" a="1"/>
  <c r="P2790" i="3" s="1"/>
  <c r="P2791" i="3" a="1"/>
  <c r="P2791" i="3" s="1"/>
  <c r="P2792" i="3" a="1"/>
  <c r="P2792" i="3" s="1"/>
  <c r="P2793" i="3" a="1"/>
  <c r="P2793" i="3" s="1"/>
  <c r="P2794" i="3" a="1"/>
  <c r="P2794" i="3" s="1"/>
  <c r="P2795" i="3" a="1"/>
  <c r="P2795" i="3" s="1"/>
  <c r="P2796" i="3" a="1"/>
  <c r="P2796" i="3" s="1"/>
  <c r="P2797" i="3" a="1"/>
  <c r="P2797" i="3" s="1"/>
  <c r="P2798" i="3" a="1"/>
  <c r="P2798" i="3" s="1"/>
  <c r="P2799" i="3" a="1"/>
  <c r="P2799" i="3" s="1"/>
  <c r="P2800" i="3" a="1"/>
  <c r="P2800" i="3" s="1"/>
  <c r="P2801" i="3" a="1"/>
  <c r="P2801" i="3" s="1"/>
  <c r="P2802" i="3" a="1"/>
  <c r="P2802" i="3" s="1"/>
  <c r="P2803" i="3" a="1"/>
  <c r="P2803" i="3" s="1"/>
  <c r="P2804" i="3" a="1"/>
  <c r="P2804" i="3" s="1"/>
  <c r="P2805" i="3" a="1"/>
  <c r="P2805" i="3" s="1"/>
  <c r="P2806" i="3" a="1"/>
  <c r="P2806" i="3" s="1"/>
  <c r="P2807" i="3" a="1"/>
  <c r="P2807" i="3" s="1"/>
  <c r="P2808" i="3" a="1"/>
  <c r="P2808" i="3" s="1"/>
  <c r="P2809" i="3" a="1"/>
  <c r="P2809" i="3" s="1"/>
  <c r="P2810" i="3" a="1"/>
  <c r="P2810" i="3" s="1"/>
  <c r="P2811" i="3" a="1"/>
  <c r="P2811" i="3" s="1"/>
  <c r="P2812" i="3" a="1"/>
  <c r="P2812" i="3" s="1"/>
  <c r="P2813" i="3" a="1"/>
  <c r="P2813" i="3" s="1"/>
  <c r="P2814" i="3" a="1"/>
  <c r="P2814" i="3" s="1"/>
  <c r="P2815" i="3" a="1"/>
  <c r="P2815" i="3" s="1"/>
  <c r="P2816" i="3" a="1"/>
  <c r="P2816" i="3" s="1"/>
  <c r="P2817" i="3" a="1"/>
  <c r="P2817" i="3" s="1"/>
  <c r="P2818" i="3" a="1"/>
  <c r="P2818" i="3" s="1"/>
  <c r="P2819" i="3" a="1"/>
  <c r="P2819" i="3" s="1"/>
  <c r="P2820" i="3" a="1"/>
  <c r="P2820" i="3" s="1"/>
  <c r="P2821" i="3" a="1"/>
  <c r="P2821" i="3" s="1"/>
  <c r="P2822" i="3" a="1"/>
  <c r="P2822" i="3" s="1"/>
  <c r="P2823" i="3" a="1"/>
  <c r="P2823" i="3" s="1"/>
  <c r="P2824" i="3" a="1"/>
  <c r="P2824" i="3" s="1"/>
  <c r="P2825" i="3" a="1"/>
  <c r="P2825" i="3" s="1"/>
  <c r="P2826" i="3" a="1"/>
  <c r="P2826" i="3" s="1"/>
  <c r="P2827" i="3" a="1"/>
  <c r="P2827" i="3" s="1"/>
  <c r="P2828" i="3" a="1"/>
  <c r="P2828" i="3" s="1"/>
  <c r="P2829" i="3" a="1"/>
  <c r="P2829" i="3" s="1"/>
  <c r="P2830" i="3" a="1"/>
  <c r="P2830" i="3" s="1"/>
  <c r="P2831" i="3" a="1"/>
  <c r="P2831" i="3" s="1"/>
  <c r="P2832" i="3" a="1"/>
  <c r="P2832" i="3" s="1"/>
  <c r="P2833" i="3" a="1"/>
  <c r="P2833" i="3" s="1"/>
  <c r="P2834" i="3" a="1"/>
  <c r="P2834" i="3" s="1"/>
  <c r="P2835" i="3" a="1"/>
  <c r="P2835" i="3" s="1"/>
  <c r="P2836" i="3" a="1"/>
  <c r="P2836" i="3" s="1"/>
  <c r="P2837" i="3" a="1"/>
  <c r="P2837" i="3" s="1"/>
  <c r="P2838" i="3" a="1"/>
  <c r="P2838" i="3" s="1"/>
  <c r="P2839" i="3" a="1"/>
  <c r="P2839" i="3" s="1"/>
  <c r="P2840" i="3" a="1"/>
  <c r="P2840" i="3" s="1"/>
  <c r="P2841" i="3" a="1"/>
  <c r="P2841" i="3" s="1"/>
  <c r="P2842" i="3" a="1"/>
  <c r="P2842" i="3" s="1"/>
  <c r="P2843" i="3" a="1"/>
  <c r="P2843" i="3" s="1"/>
  <c r="P2844" i="3" a="1"/>
  <c r="P2844" i="3" s="1"/>
  <c r="P2845" i="3" a="1"/>
  <c r="P2845" i="3" s="1"/>
  <c r="P2846" i="3" a="1"/>
  <c r="P2846" i="3" s="1"/>
  <c r="P2847" i="3" a="1"/>
  <c r="P2847" i="3" s="1"/>
  <c r="P2848" i="3" a="1"/>
  <c r="P2848" i="3" s="1"/>
  <c r="P2849" i="3" a="1"/>
  <c r="P2849" i="3" s="1"/>
  <c r="P2850" i="3" a="1"/>
  <c r="P2850" i="3" s="1"/>
  <c r="P2851" i="3" a="1"/>
  <c r="P2851" i="3" s="1"/>
  <c r="P2852" i="3" a="1"/>
  <c r="P2852" i="3" s="1"/>
  <c r="P2853" i="3" a="1"/>
  <c r="P2853" i="3" s="1"/>
  <c r="P2854" i="3" a="1"/>
  <c r="P2854" i="3" s="1"/>
  <c r="P2855" i="3" a="1"/>
  <c r="P2855" i="3" s="1"/>
  <c r="P2856" i="3" a="1"/>
  <c r="P2856" i="3" s="1"/>
  <c r="P2857" i="3" a="1"/>
  <c r="P2857" i="3" s="1"/>
  <c r="P2858" i="3" a="1"/>
  <c r="P2858" i="3" s="1"/>
  <c r="P2859" i="3" a="1"/>
  <c r="P2859" i="3" s="1"/>
  <c r="P2860" i="3" a="1"/>
  <c r="P2860" i="3" s="1"/>
  <c r="P2861" i="3" a="1"/>
  <c r="P2861" i="3" s="1"/>
  <c r="P2862" i="3" a="1"/>
  <c r="P2862" i="3" s="1"/>
  <c r="P2863" i="3" a="1"/>
  <c r="P2863" i="3" s="1"/>
  <c r="P2864" i="3" a="1"/>
  <c r="P2864" i="3" s="1"/>
  <c r="P2865" i="3" a="1"/>
  <c r="P2865" i="3" s="1"/>
  <c r="P2866" i="3" a="1"/>
  <c r="P2866" i="3" s="1"/>
  <c r="P2867" i="3" a="1"/>
  <c r="P2867" i="3" s="1"/>
  <c r="P2868" i="3" a="1"/>
  <c r="P2868" i="3" s="1"/>
  <c r="P2869" i="3" a="1"/>
  <c r="P2869" i="3" s="1"/>
  <c r="P2870" i="3" a="1"/>
  <c r="P2870" i="3" s="1"/>
  <c r="P2871" i="3" a="1"/>
  <c r="P2871" i="3" s="1"/>
  <c r="P2872" i="3" a="1"/>
  <c r="P2872" i="3" s="1"/>
  <c r="P2873" i="3" a="1"/>
  <c r="P2873" i="3" s="1"/>
  <c r="P2874" i="3" a="1"/>
  <c r="P2874" i="3" s="1"/>
  <c r="P2875" i="3" a="1"/>
  <c r="P2875" i="3" s="1"/>
  <c r="P2876" i="3" a="1"/>
  <c r="P2876" i="3" s="1"/>
  <c r="P2877" i="3" a="1"/>
  <c r="P2877" i="3" s="1"/>
  <c r="P2878" i="3" a="1"/>
  <c r="P2878" i="3" s="1"/>
  <c r="P2879" i="3" a="1"/>
  <c r="P2879" i="3" s="1"/>
  <c r="P2880" i="3" a="1"/>
  <c r="P2880" i="3" s="1"/>
  <c r="P2881" i="3" a="1"/>
  <c r="P2881" i="3" s="1"/>
  <c r="P2882" i="3" a="1"/>
  <c r="P2882" i="3" s="1"/>
  <c r="P2883" i="3" a="1"/>
  <c r="P2883" i="3" s="1"/>
  <c r="P2884" i="3" a="1"/>
  <c r="P2884" i="3" s="1"/>
  <c r="P2885" i="3" a="1"/>
  <c r="P2885" i="3" s="1"/>
  <c r="P2886" i="3" a="1"/>
  <c r="P2886" i="3" s="1"/>
  <c r="P2887" i="3" a="1"/>
  <c r="P2887" i="3" s="1"/>
  <c r="P2888" i="3" a="1"/>
  <c r="P2888" i="3" s="1"/>
  <c r="P2889" i="3" a="1"/>
  <c r="P2889" i="3" s="1"/>
  <c r="P2890" i="3" a="1"/>
  <c r="P2890" i="3" s="1"/>
  <c r="P2891" i="3" a="1"/>
  <c r="P2891" i="3" s="1"/>
  <c r="P2892" i="3" a="1"/>
  <c r="P2892" i="3" s="1"/>
  <c r="P2893" i="3" a="1"/>
  <c r="P2893" i="3" s="1"/>
  <c r="P2894" i="3" a="1"/>
  <c r="P2894" i="3" s="1"/>
  <c r="P2895" i="3" a="1"/>
  <c r="P2895" i="3" s="1"/>
  <c r="P2896" i="3" a="1"/>
  <c r="P2896" i="3" s="1"/>
  <c r="P2897" i="3" a="1"/>
  <c r="P2897" i="3" s="1"/>
  <c r="P2898" i="3" a="1"/>
  <c r="P2898" i="3" s="1"/>
  <c r="P2899" i="3" a="1"/>
  <c r="P2899" i="3" s="1"/>
  <c r="P2900" i="3" a="1"/>
  <c r="P2900" i="3" s="1"/>
  <c r="P2901" i="3" a="1"/>
  <c r="P2901" i="3" s="1"/>
  <c r="P2902" i="3" a="1"/>
  <c r="P2902" i="3" s="1"/>
  <c r="P2903" i="3" a="1"/>
  <c r="P2903" i="3" s="1"/>
  <c r="P2904" i="3" a="1"/>
  <c r="P2904" i="3" s="1"/>
  <c r="P2905" i="3" a="1"/>
  <c r="P2905" i="3" s="1"/>
  <c r="P2906" i="3" a="1"/>
  <c r="P2906" i="3" s="1"/>
  <c r="P2907" i="3" a="1"/>
  <c r="P2907" i="3" s="1"/>
  <c r="P2908" i="3" a="1"/>
  <c r="P2908" i="3" s="1"/>
  <c r="P2909" i="3" a="1"/>
  <c r="P2909" i="3" s="1"/>
  <c r="P2910" i="3" a="1"/>
  <c r="P2910" i="3" s="1"/>
  <c r="P2911" i="3" a="1"/>
  <c r="P2911" i="3" s="1"/>
  <c r="P2912" i="3" a="1"/>
  <c r="P2912" i="3" s="1"/>
  <c r="P2913" i="3" a="1"/>
  <c r="P2913" i="3" s="1"/>
  <c r="P2914" i="3" a="1"/>
  <c r="P2914" i="3" s="1"/>
  <c r="P2915" i="3" a="1"/>
  <c r="P2915" i="3" s="1"/>
  <c r="P2916" i="3" a="1"/>
  <c r="P2916" i="3" s="1"/>
  <c r="P2917" i="3" a="1"/>
  <c r="P2917" i="3" s="1"/>
  <c r="P2918" i="3" a="1"/>
  <c r="P2918" i="3" s="1"/>
  <c r="P2919" i="3" a="1"/>
  <c r="P2919" i="3" s="1"/>
  <c r="P2920" i="3" a="1"/>
  <c r="P2920" i="3" s="1"/>
  <c r="P2921" i="3" a="1"/>
  <c r="P2921" i="3" s="1"/>
  <c r="P2922" i="3" a="1"/>
  <c r="P2922" i="3" s="1"/>
  <c r="P2923" i="3" a="1"/>
  <c r="P2923" i="3" s="1"/>
  <c r="P2924" i="3" a="1"/>
  <c r="P2924" i="3" s="1"/>
  <c r="P2925" i="3" a="1"/>
  <c r="P2925" i="3" s="1"/>
  <c r="P2926" i="3" a="1"/>
  <c r="P2926" i="3" s="1"/>
  <c r="P2927" i="3" a="1"/>
  <c r="P2927" i="3" s="1"/>
  <c r="P2928" i="3" a="1"/>
  <c r="P2928" i="3" s="1"/>
  <c r="P2929" i="3" a="1"/>
  <c r="P2929" i="3" s="1"/>
  <c r="P2930" i="3" a="1"/>
  <c r="P2930" i="3" s="1"/>
  <c r="P2931" i="3" a="1"/>
  <c r="P2931" i="3" s="1"/>
  <c r="P2932" i="3" a="1"/>
  <c r="P2932" i="3" s="1"/>
  <c r="P2933" i="3" a="1"/>
  <c r="P2933" i="3" s="1"/>
  <c r="P2934" i="3" a="1"/>
  <c r="P2934" i="3" s="1"/>
  <c r="P2935" i="3" a="1"/>
  <c r="P2935" i="3" s="1"/>
  <c r="P2936" i="3" a="1"/>
  <c r="P2936" i="3" s="1"/>
  <c r="P2937" i="3" a="1"/>
  <c r="P2937" i="3" s="1"/>
  <c r="P2938" i="3" a="1"/>
  <c r="P2938" i="3" s="1"/>
  <c r="P2939" i="3" a="1"/>
  <c r="P2939" i="3" s="1"/>
  <c r="P2940" i="3" a="1"/>
  <c r="P2940" i="3" s="1"/>
  <c r="P2941" i="3" a="1"/>
  <c r="P2941" i="3" s="1"/>
  <c r="P2942" i="3" a="1"/>
  <c r="P2942" i="3" s="1"/>
  <c r="P2943" i="3" a="1"/>
  <c r="P2943" i="3" s="1"/>
  <c r="P2944" i="3" a="1"/>
  <c r="P2944" i="3" s="1"/>
  <c r="P2945" i="3" a="1"/>
  <c r="P2945" i="3" s="1"/>
  <c r="P2946" i="3" a="1"/>
  <c r="P2946" i="3" s="1"/>
  <c r="P2947" i="3" a="1"/>
  <c r="P2947" i="3" s="1"/>
  <c r="P2948" i="3" a="1"/>
  <c r="P2948" i="3" s="1"/>
  <c r="P2949" i="3" a="1"/>
  <c r="P2949" i="3" s="1"/>
  <c r="P2950" i="3" a="1"/>
  <c r="P2950" i="3" s="1"/>
  <c r="P2951" i="3" a="1"/>
  <c r="P2951" i="3" s="1"/>
  <c r="P2952" i="3" a="1"/>
  <c r="P2952" i="3" s="1"/>
  <c r="P2953" i="3" a="1"/>
  <c r="P2953" i="3" s="1"/>
  <c r="P2954" i="3" a="1"/>
  <c r="P2954" i="3" s="1"/>
  <c r="P2955" i="3" a="1"/>
  <c r="P2955" i="3" s="1"/>
  <c r="P2956" i="3" a="1"/>
  <c r="P2956" i="3" s="1"/>
  <c r="P2957" i="3" a="1"/>
  <c r="P2957" i="3" s="1"/>
  <c r="P2958" i="3" a="1"/>
  <c r="P2958" i="3" s="1"/>
  <c r="P2959" i="3" a="1"/>
  <c r="P2959" i="3" s="1"/>
  <c r="P2960" i="3" a="1"/>
  <c r="P2960" i="3" s="1"/>
  <c r="P2961" i="3" a="1"/>
  <c r="P2961" i="3" s="1"/>
  <c r="P2962" i="3" a="1"/>
  <c r="P2962" i="3" s="1"/>
  <c r="P2963" i="3" a="1"/>
  <c r="P2963" i="3" s="1"/>
  <c r="P2964" i="3" a="1"/>
  <c r="P2964" i="3" s="1"/>
  <c r="P2965" i="3" a="1"/>
  <c r="P2965" i="3" s="1"/>
  <c r="P2966" i="3" a="1"/>
  <c r="P2966" i="3" s="1"/>
  <c r="P2967" i="3" a="1"/>
  <c r="P2967" i="3" s="1"/>
  <c r="P2968" i="3" a="1"/>
  <c r="P2968" i="3" s="1"/>
  <c r="P2969" i="3" a="1"/>
  <c r="P2969" i="3" s="1"/>
  <c r="P2970" i="3" a="1"/>
  <c r="P2970" i="3" s="1"/>
  <c r="P2971" i="3" a="1"/>
  <c r="P2971" i="3" s="1"/>
  <c r="P2972" i="3" a="1"/>
  <c r="P2972" i="3" s="1"/>
  <c r="P2973" i="3" a="1"/>
  <c r="P2973" i="3" s="1"/>
  <c r="P2974" i="3" a="1"/>
  <c r="P2974" i="3" s="1"/>
  <c r="P2975" i="3" a="1"/>
  <c r="P2975" i="3" s="1"/>
  <c r="P2976" i="3" a="1"/>
  <c r="P2976" i="3" s="1"/>
  <c r="P2977" i="3" a="1"/>
  <c r="P2977" i="3" s="1"/>
  <c r="P2978" i="3" a="1"/>
  <c r="P2978" i="3" s="1"/>
  <c r="P2979" i="3" a="1"/>
  <c r="P2979" i="3" s="1"/>
  <c r="P2980" i="3" a="1"/>
  <c r="P2980" i="3" s="1"/>
  <c r="P2981" i="3" a="1"/>
  <c r="P2981" i="3" s="1"/>
  <c r="P2982" i="3" a="1"/>
  <c r="P2982" i="3" s="1"/>
  <c r="P2983" i="3" a="1"/>
  <c r="P2983" i="3" s="1"/>
  <c r="P2984" i="3" a="1"/>
  <c r="P2984" i="3" s="1"/>
  <c r="P2985" i="3" a="1"/>
  <c r="P2985" i="3" s="1"/>
  <c r="P2986" i="3" a="1"/>
  <c r="P2986" i="3" s="1"/>
  <c r="P2987" i="3" a="1"/>
  <c r="P2987" i="3" s="1"/>
  <c r="P2988" i="3" a="1"/>
  <c r="P2988" i="3" s="1"/>
  <c r="P2989" i="3" a="1"/>
  <c r="P2989" i="3" s="1"/>
  <c r="P2990" i="3" a="1"/>
  <c r="P2990" i="3" s="1"/>
  <c r="P2991" i="3" a="1"/>
  <c r="P2991" i="3" s="1"/>
  <c r="P2992" i="3" a="1"/>
  <c r="P2992" i="3" s="1"/>
  <c r="P2993" i="3" a="1"/>
  <c r="P2993" i="3" s="1"/>
  <c r="P2994" i="3" a="1"/>
  <c r="P2994" i="3" s="1"/>
  <c r="P2995" i="3" a="1"/>
  <c r="P2995" i="3" s="1"/>
  <c r="P2996" i="3" a="1"/>
  <c r="P2996" i="3" s="1"/>
  <c r="P2997" i="3" a="1"/>
  <c r="P2997" i="3" s="1"/>
  <c r="P2998" i="3" a="1"/>
  <c r="P2998" i="3" s="1"/>
  <c r="P2999" i="3" a="1"/>
  <c r="P2999" i="3" s="1"/>
  <c r="AA565" i="11" l="1"/>
  <c r="R1994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69" i="3"/>
  <c r="R1970" i="3"/>
  <c r="M123" i="4"/>
  <c r="M124" i="4"/>
  <c r="M125" i="4"/>
  <c r="M126" i="4"/>
  <c r="M127" i="4"/>
  <c r="M128" i="4"/>
  <c r="M129" i="4"/>
  <c r="M130" i="4"/>
  <c r="M131" i="4"/>
  <c r="M132" i="4"/>
  <c r="W10" i="12" a="1"/>
  <c r="W10" i="12" s="1"/>
  <c r="X10" i="12" a="1"/>
  <c r="X10" i="12" s="1"/>
  <c r="W11" i="12" a="1"/>
  <c r="W11" i="12" s="1"/>
  <c r="X11" i="12" a="1"/>
  <c r="X11" i="12" s="1"/>
  <c r="W12" i="12" a="1"/>
  <c r="W12" i="12" s="1"/>
  <c r="X12" i="12" a="1"/>
  <c r="X12" i="12" s="1"/>
  <c r="W13" i="12" a="1"/>
  <c r="W13" i="12" s="1"/>
  <c r="X13" i="12" a="1"/>
  <c r="X13" i="12" s="1"/>
  <c r="W14" i="12" a="1"/>
  <c r="W14" i="12" s="1"/>
  <c r="X14" i="12" a="1"/>
  <c r="X14" i="12" s="1"/>
  <c r="W15" i="12" a="1"/>
  <c r="W15" i="12" s="1"/>
  <c r="X15" i="12" a="1"/>
  <c r="X15" i="12" s="1"/>
  <c r="W16" i="12" a="1"/>
  <c r="W16" i="12" s="1"/>
  <c r="X16" i="12" a="1"/>
  <c r="X16" i="12" s="1"/>
  <c r="W17" i="12" a="1"/>
  <c r="W17" i="12" s="1"/>
  <c r="X17" i="12" a="1"/>
  <c r="X17" i="12" s="1"/>
  <c r="W18" i="12" a="1"/>
  <c r="W18" i="12" s="1"/>
  <c r="X18" i="12" a="1"/>
  <c r="X18" i="12" s="1"/>
  <c r="X19" i="12" a="1"/>
  <c r="X19" i="12" s="1"/>
  <c r="X20" i="12" a="1"/>
  <c r="X20" i="12" s="1"/>
  <c r="Y17" i="12" l="1"/>
  <c r="Z17" i="12"/>
  <c r="AB17" i="12"/>
  <c r="AC17" i="12"/>
  <c r="AA17" i="12"/>
  <c r="Z15" i="12"/>
  <c r="Y15" i="12"/>
  <c r="AA15" i="12"/>
  <c r="AB15" i="12"/>
  <c r="AC15" i="12"/>
  <c r="AA14" i="12"/>
  <c r="AB14" i="12"/>
  <c r="AC14" i="12"/>
  <c r="Z14" i="12"/>
  <c r="Y14" i="12"/>
  <c r="AC20" i="12"/>
  <c r="Y20" i="12"/>
  <c r="Z20" i="12"/>
  <c r="AA20" i="12"/>
  <c r="AB20" i="12"/>
  <c r="Y19" i="12"/>
  <c r="Z19" i="12"/>
  <c r="AA19" i="12"/>
  <c r="AB19" i="12"/>
  <c r="AC19" i="12"/>
  <c r="AB18" i="12"/>
  <c r="Y18" i="12"/>
  <c r="AA18" i="12"/>
  <c r="Z18" i="12"/>
  <c r="AC18" i="12"/>
  <c r="Y13" i="12"/>
  <c r="Z13" i="12"/>
  <c r="AA13" i="12"/>
  <c r="AB13" i="12"/>
  <c r="AC13" i="12"/>
  <c r="Z12" i="12"/>
  <c r="Y12" i="12"/>
  <c r="AA12" i="12"/>
  <c r="AB12" i="12"/>
  <c r="AC12" i="12"/>
  <c r="Z11" i="12"/>
  <c r="AA11" i="12"/>
  <c r="AB11" i="12"/>
  <c r="AC11" i="12"/>
  <c r="Y11" i="12"/>
  <c r="Y16" i="12"/>
  <c r="Z16" i="12"/>
  <c r="AA16" i="12"/>
  <c r="AB16" i="12"/>
  <c r="AC16" i="12"/>
  <c r="Y10" i="12"/>
  <c r="Z10" i="12"/>
  <c r="AA10" i="12"/>
  <c r="AB10" i="12"/>
  <c r="AC10" i="12"/>
  <c r="R1480" i="3" l="1"/>
  <c r="R1381" i="3"/>
  <c r="R1834" i="3"/>
  <c r="R1832" i="3"/>
  <c r="R1860" i="3"/>
  <c r="R1861" i="3"/>
  <c r="R1863" i="3"/>
  <c r="R1865" i="3"/>
  <c r="R1869" i="3"/>
  <c r="R1879" i="3"/>
  <c r="R1880" i="3"/>
  <c r="R1881" i="3"/>
  <c r="R1883" i="3"/>
  <c r="R1885" i="3"/>
  <c r="R1889" i="3"/>
  <c r="R1890" i="3"/>
  <c r="R1891" i="3"/>
  <c r="R1892" i="3"/>
  <c r="R1901" i="3"/>
  <c r="R1903" i="3"/>
  <c r="R1905" i="3"/>
  <c r="R1907" i="3"/>
  <c r="R1909" i="3"/>
  <c r="R1910" i="3"/>
  <c r="R1912" i="3"/>
  <c r="R1913" i="3"/>
  <c r="R1285" i="3"/>
  <c r="R1613" i="3"/>
  <c r="R1747" i="3"/>
  <c r="R1772" i="3"/>
  <c r="R1845" i="3"/>
  <c r="R1870" i="3"/>
  <c r="R1287" i="3"/>
  <c r="R1288" i="3"/>
  <c r="R1323" i="3"/>
  <c r="R1324" i="3"/>
  <c r="R1325" i="3"/>
  <c r="R1326" i="3"/>
  <c r="R1327" i="3"/>
  <c r="R1328" i="3"/>
  <c r="R1329" i="3"/>
  <c r="R1330" i="3"/>
  <c r="R1389" i="3"/>
  <c r="R1390" i="3"/>
  <c r="R1391" i="3"/>
  <c r="R1413" i="3"/>
  <c r="R1461" i="3"/>
  <c r="R1462" i="3"/>
  <c r="R1463" i="3"/>
  <c r="R1469" i="3"/>
  <c r="R1481" i="3"/>
  <c r="R1482" i="3"/>
  <c r="R1484" i="3"/>
  <c r="R1485" i="3"/>
  <c r="R1486" i="3"/>
  <c r="R1570" i="3"/>
  <c r="R1571" i="3"/>
  <c r="R1573" i="3"/>
  <c r="R1574" i="3"/>
  <c r="R1576" i="3"/>
  <c r="R1577" i="3"/>
  <c r="R1579" i="3"/>
  <c r="R1581" i="3"/>
  <c r="R1587" i="3"/>
  <c r="R1588" i="3"/>
  <c r="R1589" i="3"/>
  <c r="R1591" i="3"/>
  <c r="R1592" i="3"/>
  <c r="R1593" i="3"/>
  <c r="R1594" i="3"/>
  <c r="R1596" i="3"/>
  <c r="R1598" i="3"/>
  <c r="R1599" i="3"/>
  <c r="R1600" i="3"/>
  <c r="R1602" i="3"/>
  <c r="R1603" i="3"/>
  <c r="R1604" i="3"/>
  <c r="R1605" i="3"/>
  <c r="R1606" i="3"/>
  <c r="R1608" i="3"/>
  <c r="R1611" i="3"/>
  <c r="R1612" i="3"/>
  <c r="R1618" i="3"/>
  <c r="R1620" i="3"/>
  <c r="R1621" i="3"/>
  <c r="R1622" i="3"/>
  <c r="R1623" i="3"/>
  <c r="R1625" i="3"/>
  <c r="R1627" i="3"/>
  <c r="R1628" i="3"/>
  <c r="R1629" i="3"/>
  <c r="R1630" i="3"/>
  <c r="R1631" i="3"/>
  <c r="R1632" i="3"/>
  <c r="R1633" i="3"/>
  <c r="R1635" i="3"/>
  <c r="R1636" i="3"/>
  <c r="R1637" i="3"/>
  <c r="R1638" i="3"/>
  <c r="R1644" i="3"/>
  <c r="R1645" i="3"/>
  <c r="R1647" i="3"/>
  <c r="R1648" i="3"/>
  <c r="R1649" i="3"/>
  <c r="R1650" i="3"/>
  <c r="R1657" i="3"/>
  <c r="R1659" i="3"/>
  <c r="R1662" i="3"/>
  <c r="R1663" i="3"/>
  <c r="R1664" i="3"/>
  <c r="R1665" i="3"/>
  <c r="R1666" i="3"/>
  <c r="R1667" i="3"/>
  <c r="R1668" i="3"/>
  <c r="R1669" i="3"/>
  <c r="R1670" i="3"/>
  <c r="R1671" i="3"/>
  <c r="R1673" i="3"/>
  <c r="R1674" i="3"/>
  <c r="R1675" i="3"/>
  <c r="R1677" i="3"/>
  <c r="R1678" i="3"/>
  <c r="R1679" i="3"/>
  <c r="R1680" i="3"/>
  <c r="R1681" i="3"/>
  <c r="R1683" i="3"/>
  <c r="R1686" i="3"/>
  <c r="R1687" i="3"/>
  <c r="R1693" i="3"/>
  <c r="R1695" i="3"/>
  <c r="R1696" i="3"/>
  <c r="R1697" i="3"/>
  <c r="R1698" i="3"/>
  <c r="R1700" i="3"/>
  <c r="R1703" i="3"/>
  <c r="R1704" i="3"/>
  <c r="R1706" i="3"/>
  <c r="R1707" i="3"/>
  <c r="R1708" i="3"/>
  <c r="R1709" i="3"/>
  <c r="R1710" i="3"/>
  <c r="R1712" i="3"/>
  <c r="R1713" i="3"/>
  <c r="R1721" i="3"/>
  <c r="R1722" i="3"/>
  <c r="R1723" i="3"/>
  <c r="R1724" i="3"/>
  <c r="R1726" i="3"/>
  <c r="R1727" i="3"/>
  <c r="R1728" i="3"/>
  <c r="R1729" i="3"/>
  <c r="R1730" i="3"/>
  <c r="R1731" i="3"/>
  <c r="R1733" i="3"/>
  <c r="R1734" i="3"/>
  <c r="R1735" i="3"/>
  <c r="R1736" i="3"/>
  <c r="R1737" i="3"/>
  <c r="R1739" i="3"/>
  <c r="R1740" i="3"/>
  <c r="R1741" i="3"/>
  <c r="R1742" i="3"/>
  <c r="R1743" i="3"/>
  <c r="R1746" i="3"/>
  <c r="R1752" i="3"/>
  <c r="R1753" i="3"/>
  <c r="R1754" i="3"/>
  <c r="R1755" i="3"/>
  <c r="R1756" i="3"/>
  <c r="R1757" i="3"/>
  <c r="R1759" i="3"/>
  <c r="R1760" i="3"/>
  <c r="R1762" i="3"/>
  <c r="R1763" i="3"/>
  <c r="R1764" i="3"/>
  <c r="R1766" i="3"/>
  <c r="R1767" i="3"/>
  <c r="R1768" i="3"/>
  <c r="R1769" i="3"/>
  <c r="R1773" i="3"/>
  <c r="R1774" i="3"/>
  <c r="R1776" i="3"/>
  <c r="R1777" i="3"/>
  <c r="R1778" i="3"/>
  <c r="R1779" i="3"/>
  <c r="R1780" i="3"/>
  <c r="R1781" i="3"/>
  <c r="R1782" i="3"/>
  <c r="R1783" i="3"/>
  <c r="R1785" i="3"/>
  <c r="R1786" i="3"/>
  <c r="R1789" i="3"/>
  <c r="R1792" i="3"/>
  <c r="R1793" i="3"/>
  <c r="R1794" i="3"/>
  <c r="R1795" i="3"/>
  <c r="R1796" i="3"/>
  <c r="R1797" i="3"/>
  <c r="R1801" i="3"/>
  <c r="R1802" i="3"/>
  <c r="R1804" i="3"/>
  <c r="R1805" i="3"/>
  <c r="R1806" i="3"/>
  <c r="R1807" i="3"/>
  <c r="R1808" i="3"/>
  <c r="R1809" i="3"/>
  <c r="R1810" i="3"/>
  <c r="R1837" i="3"/>
  <c r="R1838" i="3"/>
  <c r="R1839" i="3"/>
  <c r="R1841" i="3"/>
  <c r="R1842" i="3"/>
  <c r="R1855" i="3"/>
  <c r="R1856" i="3"/>
  <c r="R1859" i="3"/>
  <c r="R1849" i="3"/>
  <c r="R1852" i="3"/>
  <c r="R1915" i="3"/>
  <c r="R1938" i="3"/>
  <c r="R1940" i="3"/>
  <c r="R1941" i="3"/>
  <c r="R1943" i="3"/>
  <c r="R1945" i="3"/>
  <c r="R1946" i="3"/>
  <c r="R1947" i="3"/>
  <c r="R1948" i="3"/>
  <c r="R1951" i="3"/>
  <c r="R1953" i="3"/>
  <c r="R1955" i="3"/>
  <c r="R1956" i="3"/>
  <c r="R1957" i="3"/>
  <c r="R1958" i="3"/>
  <c r="R1959" i="3"/>
  <c r="R1718" i="3"/>
  <c r="V1570" i="3"/>
  <c r="W1570" i="3"/>
  <c r="X1570" i="3"/>
  <c r="V1571" i="3"/>
  <c r="W1571" i="3"/>
  <c r="X1571" i="3"/>
  <c r="R1572" i="3"/>
  <c r="V1572" i="3"/>
  <c r="W1572" i="3"/>
  <c r="X1572" i="3"/>
  <c r="V1573" i="3"/>
  <c r="W1573" i="3"/>
  <c r="X1573" i="3"/>
  <c r="V1574" i="3"/>
  <c r="W1574" i="3"/>
  <c r="X1574" i="3"/>
  <c r="R1575" i="3"/>
  <c r="V1575" i="3"/>
  <c r="W1575" i="3"/>
  <c r="X1575" i="3"/>
  <c r="V1576" i="3"/>
  <c r="W1576" i="3"/>
  <c r="X1576" i="3"/>
  <c r="V1577" i="3"/>
  <c r="W1577" i="3"/>
  <c r="X1577" i="3"/>
  <c r="R1578" i="3"/>
  <c r="V1578" i="3"/>
  <c r="W1578" i="3"/>
  <c r="X1578" i="3"/>
  <c r="V1579" i="3"/>
  <c r="W1579" i="3"/>
  <c r="X1579" i="3"/>
  <c r="R1580" i="3"/>
  <c r="V1580" i="3"/>
  <c r="W1580" i="3"/>
  <c r="X1580" i="3"/>
  <c r="V1581" i="3"/>
  <c r="W1581" i="3"/>
  <c r="X1581" i="3"/>
  <c r="V1587" i="3"/>
  <c r="W1587" i="3"/>
  <c r="X1587" i="3"/>
  <c r="V1588" i="3"/>
  <c r="W1588" i="3"/>
  <c r="X1588" i="3"/>
  <c r="V1589" i="3"/>
  <c r="W1589" i="3"/>
  <c r="X1589" i="3"/>
  <c r="R1590" i="3"/>
  <c r="V1590" i="3"/>
  <c r="W1590" i="3"/>
  <c r="X1590" i="3"/>
  <c r="V1591" i="3"/>
  <c r="W1591" i="3"/>
  <c r="X1591" i="3"/>
  <c r="V1592" i="3"/>
  <c r="W1592" i="3"/>
  <c r="X1592" i="3"/>
  <c r="V1593" i="3"/>
  <c r="W1593" i="3"/>
  <c r="X1593" i="3"/>
  <c r="V1594" i="3"/>
  <c r="W1594" i="3"/>
  <c r="X1594" i="3"/>
  <c r="R1595" i="3"/>
  <c r="V1595" i="3"/>
  <c r="W1595" i="3"/>
  <c r="X1595" i="3"/>
  <c r="V1596" i="3"/>
  <c r="W1596" i="3"/>
  <c r="X1596" i="3"/>
  <c r="R1597" i="3"/>
  <c r="V1597" i="3"/>
  <c r="W1597" i="3"/>
  <c r="X1597" i="3"/>
  <c r="V1598" i="3"/>
  <c r="W1598" i="3"/>
  <c r="X1598" i="3"/>
  <c r="V1599" i="3"/>
  <c r="W1599" i="3"/>
  <c r="X1599" i="3"/>
  <c r="V1600" i="3"/>
  <c r="W1600" i="3"/>
  <c r="X1600" i="3"/>
  <c r="R1601" i="3"/>
  <c r="V1601" i="3"/>
  <c r="W1601" i="3"/>
  <c r="X1601" i="3"/>
  <c r="V1602" i="3"/>
  <c r="W1602" i="3"/>
  <c r="X1602" i="3"/>
  <c r="V1603" i="3"/>
  <c r="W1603" i="3"/>
  <c r="X1603" i="3"/>
  <c r="V1604" i="3"/>
  <c r="W1604" i="3"/>
  <c r="X1604" i="3"/>
  <c r="V1605" i="3"/>
  <c r="W1605" i="3"/>
  <c r="X1605" i="3"/>
  <c r="V1606" i="3"/>
  <c r="W1606" i="3"/>
  <c r="X1606" i="3"/>
  <c r="R1607" i="3"/>
  <c r="V1607" i="3"/>
  <c r="W1607" i="3"/>
  <c r="X1607" i="3"/>
  <c r="V1608" i="3"/>
  <c r="W1608" i="3"/>
  <c r="X1608" i="3"/>
  <c r="R1609" i="3"/>
  <c r="V1609" i="3"/>
  <c r="W1609" i="3"/>
  <c r="X1609" i="3"/>
  <c r="R1610" i="3"/>
  <c r="V1610" i="3"/>
  <c r="W1610" i="3"/>
  <c r="X1610" i="3"/>
  <c r="V1611" i="3"/>
  <c r="W1611" i="3"/>
  <c r="X1611" i="3"/>
  <c r="V1612" i="3"/>
  <c r="W1612" i="3"/>
  <c r="X1612" i="3"/>
  <c r="V1618" i="3"/>
  <c r="W1618" i="3"/>
  <c r="X1618" i="3"/>
  <c r="R1619" i="3"/>
  <c r="V1619" i="3"/>
  <c r="W1619" i="3"/>
  <c r="X1619" i="3"/>
  <c r="V1620" i="3"/>
  <c r="W1620" i="3"/>
  <c r="X1620" i="3"/>
  <c r="V1621" i="3"/>
  <c r="W1621" i="3"/>
  <c r="X1621" i="3"/>
  <c r="V1622" i="3"/>
  <c r="W1622" i="3"/>
  <c r="X1622" i="3"/>
  <c r="V1623" i="3"/>
  <c r="W1623" i="3"/>
  <c r="X1623" i="3"/>
  <c r="R1624" i="3"/>
  <c r="V1624" i="3"/>
  <c r="W1624" i="3"/>
  <c r="X1624" i="3"/>
  <c r="V1625" i="3"/>
  <c r="W1625" i="3"/>
  <c r="X1625" i="3"/>
  <c r="R1626" i="3"/>
  <c r="V1626" i="3"/>
  <c r="W1626" i="3"/>
  <c r="X1626" i="3"/>
  <c r="V1627" i="3"/>
  <c r="W1627" i="3"/>
  <c r="X1627" i="3"/>
  <c r="V1628" i="3"/>
  <c r="W1628" i="3"/>
  <c r="X1628" i="3"/>
  <c r="V1629" i="3"/>
  <c r="W1629" i="3"/>
  <c r="X1629" i="3"/>
  <c r="V1630" i="3"/>
  <c r="W1630" i="3"/>
  <c r="X1630" i="3"/>
  <c r="V1631" i="3"/>
  <c r="W1631" i="3"/>
  <c r="X1631" i="3"/>
  <c r="V1632" i="3"/>
  <c r="W1632" i="3"/>
  <c r="X1632" i="3"/>
  <c r="V1633" i="3"/>
  <c r="W1633" i="3"/>
  <c r="X1633" i="3"/>
  <c r="V1635" i="3"/>
  <c r="W1635" i="3"/>
  <c r="X1635" i="3"/>
  <c r="V1636" i="3"/>
  <c r="W1636" i="3"/>
  <c r="X1636" i="3"/>
  <c r="V1637" i="3"/>
  <c r="W1637" i="3"/>
  <c r="X1637" i="3"/>
  <c r="V1638" i="3"/>
  <c r="W1638" i="3"/>
  <c r="X1638" i="3"/>
  <c r="R1642" i="3"/>
  <c r="V1642" i="3"/>
  <c r="W1642" i="3"/>
  <c r="X1642" i="3"/>
  <c r="R1643" i="3"/>
  <c r="V1643" i="3"/>
  <c r="W1643" i="3"/>
  <c r="X1643" i="3"/>
  <c r="V1644" i="3"/>
  <c r="W1644" i="3"/>
  <c r="X1644" i="3"/>
  <c r="V1645" i="3"/>
  <c r="W1645" i="3"/>
  <c r="X1645" i="3"/>
  <c r="R1646" i="3"/>
  <c r="V1646" i="3"/>
  <c r="W1646" i="3"/>
  <c r="X1646" i="3"/>
  <c r="V1647" i="3"/>
  <c r="W1647" i="3"/>
  <c r="X1647" i="3"/>
  <c r="V1648" i="3"/>
  <c r="W1648" i="3"/>
  <c r="X1648" i="3"/>
  <c r="V1649" i="3"/>
  <c r="W1649" i="3"/>
  <c r="X1649" i="3"/>
  <c r="V1650" i="3"/>
  <c r="W1650" i="3"/>
  <c r="X1650" i="3"/>
  <c r="V1657" i="3"/>
  <c r="W1657" i="3"/>
  <c r="X1657" i="3"/>
  <c r="R1658" i="3"/>
  <c r="V1658" i="3"/>
  <c r="W1658" i="3"/>
  <c r="X1658" i="3"/>
  <c r="V1659" i="3"/>
  <c r="W1659" i="3"/>
  <c r="X1659" i="3"/>
  <c r="R1660" i="3"/>
  <c r="V1660" i="3"/>
  <c r="W1660" i="3"/>
  <c r="X1660" i="3"/>
  <c r="R1661" i="3"/>
  <c r="V1661" i="3"/>
  <c r="W1661" i="3"/>
  <c r="X1661" i="3"/>
  <c r="V1662" i="3"/>
  <c r="W1662" i="3"/>
  <c r="X1662" i="3"/>
  <c r="V1663" i="3"/>
  <c r="W1663" i="3"/>
  <c r="X1663" i="3"/>
  <c r="V1664" i="3"/>
  <c r="W1664" i="3"/>
  <c r="X1664" i="3"/>
  <c r="V1665" i="3"/>
  <c r="W1665" i="3"/>
  <c r="X1665" i="3"/>
  <c r="V1666" i="3"/>
  <c r="W1666" i="3"/>
  <c r="X1666" i="3"/>
  <c r="V1667" i="3"/>
  <c r="W1667" i="3"/>
  <c r="X1667" i="3"/>
  <c r="V1668" i="3"/>
  <c r="W1668" i="3"/>
  <c r="X1668" i="3"/>
  <c r="V1669" i="3"/>
  <c r="W1669" i="3"/>
  <c r="X1669" i="3"/>
  <c r="V1670" i="3"/>
  <c r="W1670" i="3"/>
  <c r="X1670" i="3"/>
  <c r="V1671" i="3"/>
  <c r="W1671" i="3"/>
  <c r="X1671" i="3"/>
  <c r="R1672" i="3"/>
  <c r="V1672" i="3"/>
  <c r="W1672" i="3"/>
  <c r="X1672" i="3"/>
  <c r="V1673" i="3"/>
  <c r="W1673" i="3"/>
  <c r="X1673" i="3"/>
  <c r="V1674" i="3"/>
  <c r="W1674" i="3"/>
  <c r="X1674" i="3"/>
  <c r="V1675" i="3"/>
  <c r="W1675" i="3"/>
  <c r="X1675" i="3"/>
  <c r="R1676" i="3"/>
  <c r="V1676" i="3"/>
  <c r="W1676" i="3"/>
  <c r="X1676" i="3"/>
  <c r="V1677" i="3"/>
  <c r="W1677" i="3"/>
  <c r="X1677" i="3"/>
  <c r="V1678" i="3"/>
  <c r="W1678" i="3"/>
  <c r="X1678" i="3"/>
  <c r="V1679" i="3"/>
  <c r="W1679" i="3"/>
  <c r="X1679" i="3"/>
  <c r="V1680" i="3"/>
  <c r="W1680" i="3"/>
  <c r="X1680" i="3"/>
  <c r="V1681" i="3"/>
  <c r="W1681" i="3"/>
  <c r="X1681" i="3"/>
  <c r="R1682" i="3"/>
  <c r="V1682" i="3"/>
  <c r="W1682" i="3"/>
  <c r="X1682" i="3"/>
  <c r="V1683" i="3"/>
  <c r="W1683" i="3"/>
  <c r="X1683" i="3"/>
  <c r="R1684" i="3"/>
  <c r="V1684" i="3"/>
  <c r="W1684" i="3"/>
  <c r="X1684" i="3"/>
  <c r="R1685" i="3"/>
  <c r="V1685" i="3"/>
  <c r="W1685" i="3"/>
  <c r="X1685" i="3"/>
  <c r="V1686" i="3"/>
  <c r="W1686" i="3"/>
  <c r="X1686" i="3"/>
  <c r="V1687" i="3"/>
  <c r="W1687" i="3"/>
  <c r="X1687" i="3"/>
  <c r="V1693" i="3"/>
  <c r="W1693" i="3"/>
  <c r="X1693" i="3"/>
  <c r="R1694" i="3"/>
  <c r="V1694" i="3"/>
  <c r="W1694" i="3"/>
  <c r="X1694" i="3"/>
  <c r="V1695" i="3"/>
  <c r="W1695" i="3"/>
  <c r="X1695" i="3"/>
  <c r="V1696" i="3"/>
  <c r="W1696" i="3"/>
  <c r="X1696" i="3"/>
  <c r="V1697" i="3"/>
  <c r="W1697" i="3"/>
  <c r="X1697" i="3"/>
  <c r="V1698" i="3"/>
  <c r="W1698" i="3"/>
  <c r="X1698" i="3"/>
  <c r="R1699" i="3"/>
  <c r="V1699" i="3"/>
  <c r="W1699" i="3"/>
  <c r="X1699" i="3"/>
  <c r="V1700" i="3"/>
  <c r="W1700" i="3"/>
  <c r="X1700" i="3"/>
  <c r="R1701" i="3"/>
  <c r="V1701" i="3"/>
  <c r="W1701" i="3"/>
  <c r="X1701" i="3"/>
  <c r="R1702" i="3"/>
  <c r="V1702" i="3"/>
  <c r="W1702" i="3"/>
  <c r="X1702" i="3"/>
  <c r="V1703" i="3"/>
  <c r="W1703" i="3"/>
  <c r="X1703" i="3"/>
  <c r="V1704" i="3"/>
  <c r="W1704" i="3"/>
  <c r="X1704" i="3"/>
  <c r="R1705" i="3"/>
  <c r="V1705" i="3"/>
  <c r="W1705" i="3"/>
  <c r="X1705" i="3"/>
  <c r="V1706" i="3"/>
  <c r="W1706" i="3"/>
  <c r="X1706" i="3"/>
  <c r="V1707" i="3"/>
  <c r="W1707" i="3"/>
  <c r="X1707" i="3"/>
  <c r="V1708" i="3"/>
  <c r="W1708" i="3"/>
  <c r="X1708" i="3"/>
  <c r="V1709" i="3"/>
  <c r="W1709" i="3"/>
  <c r="X1709" i="3"/>
  <c r="V1710" i="3"/>
  <c r="W1710" i="3"/>
  <c r="X1710" i="3"/>
  <c r="R1711" i="3"/>
  <c r="V1711" i="3"/>
  <c r="W1711" i="3"/>
  <c r="X1711" i="3"/>
  <c r="V1712" i="3"/>
  <c r="W1712" i="3"/>
  <c r="X1712" i="3"/>
  <c r="V1713" i="3"/>
  <c r="W1713" i="3"/>
  <c r="X1713" i="3"/>
  <c r="V1721" i="3"/>
  <c r="W1721" i="3"/>
  <c r="X1721" i="3"/>
  <c r="V1722" i="3"/>
  <c r="W1722" i="3"/>
  <c r="X1722" i="3"/>
  <c r="V1723" i="3"/>
  <c r="W1723" i="3"/>
  <c r="X1723" i="3"/>
  <c r="V1724" i="3"/>
  <c r="W1724" i="3"/>
  <c r="X1724" i="3"/>
  <c r="R1725" i="3"/>
  <c r="V1725" i="3"/>
  <c r="W1725" i="3"/>
  <c r="X1725" i="3"/>
  <c r="V1726" i="3"/>
  <c r="W1726" i="3"/>
  <c r="X1726" i="3"/>
  <c r="V1727" i="3"/>
  <c r="W1727" i="3"/>
  <c r="X1727" i="3"/>
  <c r="V1728" i="3"/>
  <c r="W1728" i="3"/>
  <c r="X1728" i="3"/>
  <c r="V1729" i="3"/>
  <c r="W1729" i="3"/>
  <c r="X1729" i="3"/>
  <c r="V1730" i="3"/>
  <c r="W1730" i="3"/>
  <c r="X1730" i="3"/>
  <c r="V1731" i="3"/>
  <c r="W1731" i="3"/>
  <c r="X1731" i="3"/>
  <c r="R1732" i="3"/>
  <c r="V1732" i="3"/>
  <c r="W1732" i="3"/>
  <c r="X1732" i="3"/>
  <c r="V1733" i="3"/>
  <c r="W1733" i="3"/>
  <c r="X1733" i="3"/>
  <c r="V1734" i="3"/>
  <c r="W1734" i="3"/>
  <c r="X1734" i="3"/>
  <c r="V1735" i="3"/>
  <c r="W1735" i="3"/>
  <c r="X1735" i="3"/>
  <c r="V1736" i="3"/>
  <c r="W1736" i="3"/>
  <c r="X1736" i="3"/>
  <c r="V1737" i="3"/>
  <c r="W1737" i="3"/>
  <c r="X1737" i="3"/>
  <c r="R1738" i="3"/>
  <c r="V1738" i="3"/>
  <c r="W1738" i="3"/>
  <c r="X1738" i="3"/>
  <c r="V1739" i="3"/>
  <c r="W1739" i="3"/>
  <c r="X1739" i="3"/>
  <c r="V1740" i="3"/>
  <c r="W1740" i="3"/>
  <c r="X1740" i="3"/>
  <c r="V1741" i="3"/>
  <c r="W1741" i="3"/>
  <c r="X1741" i="3"/>
  <c r="V1742" i="3"/>
  <c r="W1742" i="3"/>
  <c r="X1742" i="3"/>
  <c r="V1743" i="3"/>
  <c r="W1743" i="3"/>
  <c r="X1743" i="3"/>
  <c r="R1744" i="3"/>
  <c r="V1744" i="3"/>
  <c r="W1744" i="3"/>
  <c r="X1744" i="3"/>
  <c r="R1745" i="3"/>
  <c r="V1745" i="3"/>
  <c r="W1745" i="3"/>
  <c r="X1745" i="3"/>
  <c r="V1746" i="3"/>
  <c r="W1746" i="3"/>
  <c r="X1746" i="3"/>
  <c r="V1752" i="3"/>
  <c r="W1752" i="3"/>
  <c r="X1752" i="3"/>
  <c r="V1753" i="3"/>
  <c r="W1753" i="3"/>
  <c r="X1753" i="3"/>
  <c r="V1754" i="3"/>
  <c r="W1754" i="3"/>
  <c r="X1754" i="3"/>
  <c r="V1755" i="3"/>
  <c r="W1755" i="3"/>
  <c r="X1755" i="3"/>
  <c r="V1756" i="3"/>
  <c r="W1756" i="3"/>
  <c r="X1756" i="3"/>
  <c r="V1757" i="3"/>
  <c r="W1757" i="3"/>
  <c r="X1757" i="3"/>
  <c r="R1758" i="3"/>
  <c r="V1758" i="3"/>
  <c r="W1758" i="3"/>
  <c r="X1758" i="3"/>
  <c r="V1759" i="3"/>
  <c r="W1759" i="3"/>
  <c r="X1759" i="3"/>
  <c r="V1760" i="3"/>
  <c r="W1760" i="3"/>
  <c r="X1760" i="3"/>
  <c r="R1761" i="3"/>
  <c r="V1761" i="3"/>
  <c r="W1761" i="3"/>
  <c r="X1761" i="3"/>
  <c r="V1762" i="3"/>
  <c r="W1762" i="3"/>
  <c r="X1762" i="3"/>
  <c r="V1763" i="3"/>
  <c r="W1763" i="3"/>
  <c r="X1763" i="3"/>
  <c r="V1764" i="3"/>
  <c r="W1764" i="3"/>
  <c r="X1764" i="3"/>
  <c r="R1765" i="3"/>
  <c r="V1765" i="3"/>
  <c r="W1765" i="3"/>
  <c r="X1765" i="3"/>
  <c r="V1766" i="3"/>
  <c r="W1766" i="3"/>
  <c r="X1766" i="3"/>
  <c r="V1767" i="3"/>
  <c r="W1767" i="3"/>
  <c r="X1767" i="3"/>
  <c r="V1768" i="3"/>
  <c r="W1768" i="3"/>
  <c r="X1768" i="3"/>
  <c r="V1769" i="3"/>
  <c r="W1769" i="3"/>
  <c r="X1769" i="3"/>
  <c r="R1770" i="3"/>
  <c r="V1770" i="3"/>
  <c r="W1770" i="3"/>
  <c r="X1770" i="3"/>
  <c r="V1773" i="3"/>
  <c r="W1773" i="3"/>
  <c r="X1773" i="3"/>
  <c r="V1774" i="3"/>
  <c r="W1774" i="3"/>
  <c r="X1774" i="3"/>
  <c r="R1775" i="3"/>
  <c r="V1775" i="3"/>
  <c r="W1775" i="3"/>
  <c r="X1775" i="3"/>
  <c r="V1776" i="3"/>
  <c r="W1776" i="3"/>
  <c r="X1776" i="3"/>
  <c r="V1777" i="3"/>
  <c r="W1777" i="3"/>
  <c r="X1777" i="3"/>
  <c r="V1778" i="3"/>
  <c r="W1778" i="3"/>
  <c r="X1778" i="3"/>
  <c r="V1779" i="3"/>
  <c r="W1779" i="3"/>
  <c r="X1779" i="3"/>
  <c r="V1780" i="3"/>
  <c r="W1780" i="3"/>
  <c r="X1780" i="3"/>
  <c r="V1781" i="3"/>
  <c r="W1781" i="3"/>
  <c r="X1781" i="3"/>
  <c r="V1782" i="3"/>
  <c r="W1782" i="3"/>
  <c r="X1782" i="3"/>
  <c r="V1783" i="3"/>
  <c r="W1783" i="3"/>
  <c r="X1783" i="3"/>
  <c r="R1784" i="3"/>
  <c r="V1784" i="3"/>
  <c r="W1784" i="3"/>
  <c r="X1784" i="3"/>
  <c r="V1785" i="3"/>
  <c r="W1785" i="3"/>
  <c r="X1785" i="3"/>
  <c r="V1786" i="3"/>
  <c r="W1786" i="3"/>
  <c r="X1786" i="3"/>
  <c r="R1787" i="3"/>
  <c r="V1787" i="3"/>
  <c r="W1787" i="3"/>
  <c r="X1787" i="3"/>
  <c r="R1788" i="3"/>
  <c r="V1788" i="3"/>
  <c r="W1788" i="3"/>
  <c r="X1788" i="3"/>
  <c r="V1789" i="3"/>
  <c r="W1789" i="3"/>
  <c r="X1789" i="3"/>
  <c r="R1790" i="3"/>
  <c r="V1790" i="3"/>
  <c r="W1790" i="3"/>
  <c r="X1790" i="3"/>
  <c r="R1791" i="3"/>
  <c r="V1791" i="3"/>
  <c r="W1791" i="3"/>
  <c r="X1791" i="3"/>
  <c r="V1792" i="3"/>
  <c r="W1792" i="3"/>
  <c r="X1792" i="3"/>
  <c r="V1793" i="3"/>
  <c r="W1793" i="3"/>
  <c r="X1793" i="3"/>
  <c r="V1794" i="3"/>
  <c r="W1794" i="3"/>
  <c r="X1794" i="3"/>
  <c r="V1795" i="3"/>
  <c r="W1795" i="3"/>
  <c r="X1795" i="3"/>
  <c r="V1796" i="3"/>
  <c r="W1796" i="3"/>
  <c r="X1796" i="3"/>
  <c r="V1797" i="3"/>
  <c r="W1797" i="3"/>
  <c r="X1797" i="3"/>
  <c r="R1798" i="3"/>
  <c r="V1798" i="3"/>
  <c r="W1798" i="3"/>
  <c r="X1798" i="3"/>
  <c r="R1799" i="3"/>
  <c r="V1799" i="3"/>
  <c r="W1799" i="3"/>
  <c r="X1799" i="3"/>
  <c r="R1800" i="3"/>
  <c r="V1800" i="3"/>
  <c r="W1800" i="3"/>
  <c r="X1800" i="3"/>
  <c r="V1801" i="3"/>
  <c r="W1801" i="3"/>
  <c r="X1801" i="3"/>
  <c r="V1802" i="3"/>
  <c r="W1802" i="3"/>
  <c r="X1802" i="3"/>
  <c r="R1803" i="3"/>
  <c r="V1803" i="3"/>
  <c r="W1803" i="3"/>
  <c r="X1803" i="3"/>
  <c r="V1804" i="3"/>
  <c r="W1804" i="3"/>
  <c r="X1804" i="3"/>
  <c r="V1805" i="3"/>
  <c r="W1805" i="3"/>
  <c r="X1805" i="3"/>
  <c r="V1806" i="3"/>
  <c r="W1806" i="3"/>
  <c r="X1806" i="3"/>
  <c r="V1807" i="3"/>
  <c r="W1807" i="3"/>
  <c r="X1807" i="3"/>
  <c r="V1808" i="3"/>
  <c r="W1808" i="3"/>
  <c r="X1808" i="3"/>
  <c r="V1809" i="3"/>
  <c r="W1809" i="3"/>
  <c r="X1809" i="3"/>
  <c r="V1810" i="3"/>
  <c r="W1810" i="3"/>
  <c r="X1810" i="3"/>
  <c r="R1811" i="3"/>
  <c r="V1811" i="3"/>
  <c r="W1811" i="3"/>
  <c r="X1811" i="3"/>
  <c r="R1836" i="3"/>
  <c r="V1836" i="3"/>
  <c r="W1836" i="3"/>
  <c r="X1836" i="3"/>
  <c r="V1837" i="3"/>
  <c r="W1837" i="3"/>
  <c r="X1837" i="3"/>
  <c r="V1838" i="3"/>
  <c r="W1838" i="3"/>
  <c r="X1838" i="3"/>
  <c r="V1839" i="3"/>
  <c r="W1839" i="3"/>
  <c r="X1839" i="3"/>
  <c r="R1840" i="3"/>
  <c r="V1840" i="3"/>
  <c r="W1840" i="3"/>
  <c r="X1840" i="3"/>
  <c r="V1841" i="3"/>
  <c r="W1841" i="3"/>
  <c r="X1841" i="3"/>
  <c r="V1842" i="3"/>
  <c r="W1842" i="3"/>
  <c r="X1842" i="3"/>
  <c r="R1854" i="3"/>
  <c r="V1854" i="3"/>
  <c r="W1854" i="3"/>
  <c r="X1854" i="3"/>
  <c r="V1855" i="3"/>
  <c r="W1855" i="3"/>
  <c r="X1855" i="3"/>
  <c r="V1856" i="3"/>
  <c r="W1856" i="3"/>
  <c r="X1856" i="3"/>
  <c r="R1857" i="3"/>
  <c r="V1857" i="3"/>
  <c r="W1857" i="3"/>
  <c r="X1857" i="3"/>
  <c r="R1858" i="3"/>
  <c r="V1858" i="3"/>
  <c r="W1858" i="3"/>
  <c r="X1858" i="3"/>
  <c r="V1859" i="3"/>
  <c r="W1859" i="3"/>
  <c r="X1859" i="3"/>
  <c r="R1304" i="3"/>
  <c r="V1304" i="3"/>
  <c r="W1304" i="3"/>
  <c r="X1304" i="3"/>
  <c r="R1321" i="3"/>
  <c r="V1321" i="3"/>
  <c r="W1321" i="3"/>
  <c r="X1321" i="3"/>
  <c r="R1322" i="3"/>
  <c r="V1322" i="3"/>
  <c r="W1322" i="3"/>
  <c r="X1322" i="3"/>
  <c r="V1323" i="3"/>
  <c r="W1323" i="3"/>
  <c r="X1323" i="3"/>
  <c r="V1324" i="3"/>
  <c r="W1324" i="3"/>
  <c r="X1324" i="3"/>
  <c r="V1325" i="3"/>
  <c r="W1325" i="3"/>
  <c r="X1325" i="3"/>
  <c r="V1326" i="3"/>
  <c r="W1326" i="3"/>
  <c r="X1326" i="3"/>
  <c r="V1327" i="3"/>
  <c r="W1327" i="3"/>
  <c r="X1327" i="3"/>
  <c r="V1328" i="3"/>
  <c r="W1328" i="3"/>
  <c r="X1328" i="3"/>
  <c r="V1329" i="3"/>
  <c r="W1329" i="3"/>
  <c r="X1329" i="3"/>
  <c r="V1330" i="3"/>
  <c r="W1330" i="3"/>
  <c r="X1330" i="3"/>
  <c r="R1384" i="3"/>
  <c r="V1384" i="3"/>
  <c r="W1384" i="3"/>
  <c r="X1384" i="3"/>
  <c r="R1385" i="3"/>
  <c r="V1385" i="3"/>
  <c r="W1385" i="3"/>
  <c r="X1385" i="3"/>
  <c r="R1386" i="3"/>
  <c r="V1386" i="3"/>
  <c r="W1386" i="3"/>
  <c r="X1386" i="3"/>
  <c r="R1387" i="3"/>
  <c r="V1387" i="3"/>
  <c r="W1387" i="3"/>
  <c r="X1387" i="3"/>
  <c r="R1388" i="3"/>
  <c r="V1388" i="3"/>
  <c r="W1388" i="3"/>
  <c r="X1388" i="3"/>
  <c r="V1389" i="3"/>
  <c r="W1389" i="3"/>
  <c r="X1389" i="3"/>
  <c r="V1390" i="3"/>
  <c r="W1390" i="3"/>
  <c r="X1390" i="3"/>
  <c r="V1391" i="3"/>
  <c r="W1391" i="3"/>
  <c r="X1391" i="3"/>
  <c r="V1413" i="3"/>
  <c r="W1413" i="3"/>
  <c r="X1413" i="3"/>
  <c r="V1461" i="3"/>
  <c r="W1461" i="3"/>
  <c r="X1461" i="3"/>
  <c r="V1462" i="3"/>
  <c r="W1462" i="3"/>
  <c r="X1462" i="3"/>
  <c r="V1463" i="3"/>
  <c r="W1463" i="3"/>
  <c r="X1463" i="3"/>
  <c r="R1464" i="3"/>
  <c r="V1464" i="3"/>
  <c r="W1464" i="3"/>
  <c r="X1464" i="3"/>
  <c r="R1465" i="3"/>
  <c r="V1465" i="3"/>
  <c r="W1465" i="3"/>
  <c r="X1465" i="3"/>
  <c r="R1466" i="3"/>
  <c r="V1466" i="3"/>
  <c r="W1466" i="3"/>
  <c r="X1466" i="3"/>
  <c r="R1467" i="3"/>
  <c r="V1467" i="3"/>
  <c r="W1467" i="3"/>
  <c r="X1467" i="3"/>
  <c r="R1468" i="3"/>
  <c r="V1468" i="3"/>
  <c r="W1468" i="3"/>
  <c r="X1468" i="3"/>
  <c r="V1469" i="3"/>
  <c r="W1469" i="3"/>
  <c r="X1469" i="3"/>
  <c r="V1481" i="3"/>
  <c r="W1481" i="3"/>
  <c r="X1481" i="3"/>
  <c r="V1482" i="3"/>
  <c r="W1482" i="3"/>
  <c r="X1482" i="3"/>
  <c r="R1483" i="3"/>
  <c r="V1483" i="3"/>
  <c r="W1483" i="3"/>
  <c r="X1483" i="3"/>
  <c r="V1484" i="3"/>
  <c r="W1484" i="3"/>
  <c r="X1484" i="3"/>
  <c r="V1485" i="3"/>
  <c r="W1485" i="3"/>
  <c r="X1485" i="3"/>
  <c r="V1486" i="3"/>
  <c r="W1486" i="3"/>
  <c r="X1486" i="3"/>
  <c r="R1831" i="3"/>
  <c r="V1831" i="3"/>
  <c r="W1831" i="3"/>
  <c r="X1831" i="3"/>
  <c r="V1832" i="3"/>
  <c r="W1832" i="3"/>
  <c r="X1832" i="3"/>
  <c r="R1833" i="3"/>
  <c r="V1833" i="3"/>
  <c r="W1833" i="3"/>
  <c r="X1833" i="3"/>
  <c r="V1834" i="3"/>
  <c r="W1834" i="3"/>
  <c r="X1834" i="3"/>
  <c r="R1835" i="3"/>
  <c r="V1835" i="3"/>
  <c r="W1835" i="3"/>
  <c r="X1835" i="3"/>
  <c r="V1849" i="3"/>
  <c r="W1849" i="3"/>
  <c r="X1849" i="3"/>
  <c r="R1850" i="3"/>
  <c r="V1850" i="3"/>
  <c r="W1850" i="3"/>
  <c r="X1850" i="3"/>
  <c r="R1851" i="3"/>
  <c r="V1851" i="3"/>
  <c r="W1851" i="3"/>
  <c r="X1851" i="3"/>
  <c r="V1852" i="3"/>
  <c r="W1852" i="3"/>
  <c r="X1852" i="3"/>
  <c r="R1853" i="3"/>
  <c r="V1853" i="3"/>
  <c r="W1853" i="3"/>
  <c r="X1853" i="3"/>
  <c r="V1860" i="3"/>
  <c r="W1860" i="3"/>
  <c r="X1860" i="3"/>
  <c r="V1861" i="3"/>
  <c r="W1861" i="3"/>
  <c r="X1861" i="3"/>
  <c r="R1862" i="3"/>
  <c r="V1862" i="3"/>
  <c r="W1862" i="3"/>
  <c r="X1862" i="3"/>
  <c r="V1863" i="3"/>
  <c r="W1863" i="3"/>
  <c r="X1863" i="3"/>
  <c r="R1864" i="3"/>
  <c r="V1864" i="3"/>
  <c r="W1864" i="3"/>
  <c r="X1864" i="3"/>
  <c r="V1865" i="3"/>
  <c r="W1865" i="3"/>
  <c r="X1865" i="3"/>
  <c r="R1866" i="3"/>
  <c r="V1866" i="3"/>
  <c r="W1866" i="3"/>
  <c r="X1866" i="3"/>
  <c r="R1867" i="3"/>
  <c r="V1867" i="3"/>
  <c r="W1867" i="3"/>
  <c r="X1867" i="3"/>
  <c r="R1868" i="3"/>
  <c r="V1868" i="3"/>
  <c r="W1868" i="3"/>
  <c r="X1868" i="3"/>
  <c r="V1869" i="3"/>
  <c r="W1869" i="3"/>
  <c r="X1869" i="3"/>
  <c r="R1878" i="3"/>
  <c r="V1878" i="3"/>
  <c r="W1878" i="3"/>
  <c r="X1878" i="3"/>
  <c r="V1879" i="3"/>
  <c r="W1879" i="3"/>
  <c r="X1879" i="3"/>
  <c r="V1880" i="3"/>
  <c r="W1880" i="3"/>
  <c r="X1880" i="3"/>
  <c r="V1881" i="3"/>
  <c r="W1881" i="3"/>
  <c r="X1881" i="3"/>
  <c r="R1882" i="3"/>
  <c r="V1882" i="3"/>
  <c r="W1882" i="3"/>
  <c r="X1882" i="3"/>
  <c r="V1883" i="3"/>
  <c r="W1883" i="3"/>
  <c r="X1883" i="3"/>
  <c r="R1884" i="3"/>
  <c r="V1884" i="3"/>
  <c r="W1884" i="3"/>
  <c r="X1884" i="3"/>
  <c r="V1885" i="3"/>
  <c r="W1885" i="3"/>
  <c r="X1885" i="3"/>
  <c r="R1886" i="3"/>
  <c r="V1886" i="3"/>
  <c r="W1886" i="3"/>
  <c r="X1886" i="3"/>
  <c r="R1887" i="3"/>
  <c r="V1887" i="3"/>
  <c r="W1887" i="3"/>
  <c r="X1887" i="3"/>
  <c r="R1888" i="3"/>
  <c r="V1888" i="3"/>
  <c r="W1888" i="3"/>
  <c r="X1888" i="3"/>
  <c r="V1889" i="3"/>
  <c r="W1889" i="3"/>
  <c r="X1889" i="3"/>
  <c r="V1890" i="3"/>
  <c r="W1890" i="3"/>
  <c r="X1890" i="3"/>
  <c r="V1891" i="3"/>
  <c r="W1891" i="3"/>
  <c r="X1891" i="3"/>
  <c r="V1892" i="3"/>
  <c r="W1892" i="3"/>
  <c r="X1892" i="3"/>
  <c r="V1901" i="3"/>
  <c r="W1901" i="3"/>
  <c r="X1901" i="3"/>
  <c r="R1902" i="3"/>
  <c r="V1902" i="3"/>
  <c r="W1902" i="3"/>
  <c r="X1902" i="3"/>
  <c r="V1903" i="3"/>
  <c r="W1903" i="3"/>
  <c r="X1903" i="3"/>
  <c r="R1904" i="3"/>
  <c r="V1904" i="3"/>
  <c r="W1904" i="3"/>
  <c r="X1904" i="3"/>
  <c r="V1905" i="3"/>
  <c r="W1905" i="3"/>
  <c r="X1905" i="3"/>
  <c r="R1906" i="3"/>
  <c r="V1906" i="3"/>
  <c r="W1906" i="3"/>
  <c r="X1906" i="3"/>
  <c r="V1907" i="3"/>
  <c r="W1907" i="3"/>
  <c r="X1907" i="3"/>
  <c r="R1908" i="3"/>
  <c r="V1908" i="3"/>
  <c r="W1908" i="3"/>
  <c r="X1908" i="3"/>
  <c r="V1909" i="3"/>
  <c r="W1909" i="3"/>
  <c r="X1909" i="3"/>
  <c r="V1910" i="3"/>
  <c r="W1910" i="3"/>
  <c r="X1910" i="3"/>
  <c r="R1911" i="3"/>
  <c r="V1911" i="3"/>
  <c r="W1911" i="3"/>
  <c r="X1911" i="3"/>
  <c r="V1912" i="3"/>
  <c r="W1912" i="3"/>
  <c r="X1912" i="3"/>
  <c r="V1913" i="3"/>
  <c r="W1913" i="3"/>
  <c r="X1913" i="3"/>
  <c r="R1914" i="3"/>
  <c r="V1914" i="3"/>
  <c r="W1914" i="3"/>
  <c r="X1914" i="3"/>
  <c r="V1285" i="3"/>
  <c r="W1285" i="3"/>
  <c r="X1285" i="3"/>
  <c r="R1317" i="3"/>
  <c r="V1317" i="3"/>
  <c r="W1317" i="3"/>
  <c r="X1317" i="3"/>
  <c r="R1396" i="3"/>
  <c r="V1396" i="3"/>
  <c r="W1396" i="3"/>
  <c r="X1396" i="3"/>
  <c r="R1553" i="3"/>
  <c r="V1553" i="3"/>
  <c r="W1553" i="3"/>
  <c r="X1553" i="3"/>
  <c r="V1613" i="3"/>
  <c r="W1613" i="3"/>
  <c r="X1613" i="3"/>
  <c r="R1688" i="3"/>
  <c r="V1688" i="3"/>
  <c r="W1688" i="3"/>
  <c r="X1688" i="3"/>
  <c r="V1747" i="3"/>
  <c r="W1747" i="3"/>
  <c r="X1747" i="3"/>
  <c r="V1772" i="3"/>
  <c r="W1772" i="3"/>
  <c r="X1772" i="3"/>
  <c r="R1827" i="3"/>
  <c r="V1827" i="3"/>
  <c r="W1827" i="3"/>
  <c r="X1827" i="3"/>
  <c r="V1845" i="3"/>
  <c r="W1845" i="3"/>
  <c r="X1845" i="3"/>
  <c r="V1870" i="3"/>
  <c r="W1870" i="3"/>
  <c r="X1870" i="3"/>
  <c r="R1847" i="3"/>
  <c r="R1286" i="3"/>
  <c r="V1286" i="3"/>
  <c r="W1286" i="3"/>
  <c r="X1286" i="3"/>
  <c r="R1318" i="3"/>
  <c r="V1318" i="3"/>
  <c r="W1318" i="3"/>
  <c r="X1318" i="3"/>
  <c r="R1397" i="3"/>
  <c r="V1397" i="3"/>
  <c r="W1397" i="3"/>
  <c r="X1397" i="3"/>
  <c r="R1302" i="3"/>
  <c r="V1302" i="3"/>
  <c r="W1302" i="3"/>
  <c r="X1302" i="3"/>
  <c r="V1381" i="3"/>
  <c r="W1381" i="3"/>
  <c r="X1381" i="3"/>
  <c r="V1480" i="3"/>
  <c r="W1480" i="3"/>
  <c r="X1480" i="3"/>
  <c r="R1263" i="3"/>
  <c r="V1263" i="3"/>
  <c r="W1263" i="3"/>
  <c r="X1263" i="3"/>
  <c r="R1398" i="3"/>
  <c r="V1398" i="3"/>
  <c r="W1398" i="3"/>
  <c r="X1398" i="3"/>
  <c r="R1554" i="3"/>
  <c r="V1554" i="3"/>
  <c r="W1554" i="3"/>
  <c r="X1554" i="3"/>
  <c r="R1714" i="3"/>
  <c r="V1714" i="3"/>
  <c r="W1714" i="3"/>
  <c r="X1714" i="3"/>
  <c r="R1614" i="3"/>
  <c r="V1614" i="3"/>
  <c r="W1614" i="3"/>
  <c r="X1614" i="3"/>
  <c r="R1615" i="3"/>
  <c r="V1615" i="3"/>
  <c r="W1615" i="3"/>
  <c r="X1615" i="3"/>
  <c r="R1639" i="3"/>
  <c r="V1639" i="3"/>
  <c r="W1639" i="3"/>
  <c r="X1639" i="3"/>
  <c r="R1715" i="3"/>
  <c r="V1715" i="3"/>
  <c r="W1715" i="3"/>
  <c r="X1715" i="3"/>
  <c r="R1771" i="3"/>
  <c r="V1771" i="3"/>
  <c r="W1771" i="3"/>
  <c r="X1771" i="3"/>
  <c r="R1846" i="3"/>
  <c r="V1846" i="3"/>
  <c r="W1846" i="3"/>
  <c r="X1846" i="3"/>
  <c r="V1287" i="3"/>
  <c r="W1287" i="3"/>
  <c r="X1287" i="3"/>
  <c r="R1748" i="3"/>
  <c r="V1748" i="3"/>
  <c r="W1748" i="3"/>
  <c r="X1748" i="3"/>
  <c r="V1288" i="3"/>
  <c r="W1288" i="3"/>
  <c r="X1288" i="3"/>
  <c r="R1303" i="3"/>
  <c r="V1303" i="3"/>
  <c r="W1303" i="3"/>
  <c r="X1303" i="3"/>
  <c r="R1319" i="3"/>
  <c r="V1319" i="3"/>
  <c r="W1319" i="3"/>
  <c r="X1319" i="3"/>
  <c r="R1382" i="3"/>
  <c r="V1382" i="3"/>
  <c r="W1382" i="3"/>
  <c r="X1382" i="3"/>
  <c r="R1383" i="3"/>
  <c r="V1383" i="3"/>
  <c r="W1383" i="3"/>
  <c r="X1383" i="3"/>
  <c r="R1555" i="3"/>
  <c r="V1555" i="3"/>
  <c r="W1555" i="3"/>
  <c r="X1555" i="3"/>
  <c r="R1716" i="3"/>
  <c r="V1716" i="3"/>
  <c r="W1716" i="3"/>
  <c r="X1716" i="3"/>
  <c r="R1828" i="3"/>
  <c r="V1828" i="3"/>
  <c r="W1828" i="3"/>
  <c r="X1828" i="3"/>
  <c r="R1582" i="3"/>
  <c r="V1582" i="3"/>
  <c r="W1582" i="3"/>
  <c r="X1582" i="3"/>
  <c r="R1717" i="3"/>
  <c r="V1717" i="3"/>
  <c r="W1717" i="3"/>
  <c r="X1717" i="3"/>
  <c r="V1915" i="3"/>
  <c r="W1915" i="3"/>
  <c r="X1915" i="3"/>
  <c r="R1937" i="3"/>
  <c r="V1937" i="3"/>
  <c r="W1937" i="3"/>
  <c r="X1937" i="3"/>
  <c r="V1938" i="3"/>
  <c r="W1938" i="3"/>
  <c r="X1938" i="3"/>
  <c r="R1939" i="3"/>
  <c r="V1939" i="3"/>
  <c r="W1939" i="3"/>
  <c r="X1939" i="3"/>
  <c r="V1940" i="3"/>
  <c r="W1940" i="3"/>
  <c r="X1940" i="3"/>
  <c r="V1941" i="3"/>
  <c r="W1941" i="3"/>
  <c r="X1941" i="3"/>
  <c r="R1942" i="3"/>
  <c r="V1942" i="3"/>
  <c r="W1942" i="3"/>
  <c r="X1942" i="3"/>
  <c r="V1943" i="3"/>
  <c r="W1943" i="3"/>
  <c r="X1943" i="3"/>
  <c r="R1944" i="3"/>
  <c r="V1944" i="3"/>
  <c r="W1944" i="3"/>
  <c r="X1944" i="3"/>
  <c r="V1945" i="3"/>
  <c r="W1945" i="3"/>
  <c r="X1945" i="3"/>
  <c r="V1946" i="3"/>
  <c r="W1946" i="3"/>
  <c r="X1946" i="3"/>
  <c r="V1947" i="3"/>
  <c r="W1947" i="3"/>
  <c r="X1947" i="3"/>
  <c r="V1948" i="3"/>
  <c r="W1948" i="3"/>
  <c r="X1948" i="3"/>
  <c r="R1949" i="3"/>
  <c r="V1949" i="3"/>
  <c r="W1949" i="3"/>
  <c r="X1949" i="3"/>
  <c r="R1950" i="3"/>
  <c r="V1950" i="3"/>
  <c r="W1950" i="3"/>
  <c r="X1950" i="3"/>
  <c r="V1951" i="3"/>
  <c r="W1951" i="3"/>
  <c r="X1951" i="3"/>
  <c r="R1952" i="3"/>
  <c r="V1952" i="3"/>
  <c r="W1952" i="3"/>
  <c r="X1952" i="3"/>
  <c r="V1953" i="3"/>
  <c r="W1953" i="3"/>
  <c r="X1953" i="3"/>
  <c r="R1954" i="3"/>
  <c r="V1954" i="3"/>
  <c r="W1954" i="3"/>
  <c r="X1954" i="3"/>
  <c r="V1955" i="3"/>
  <c r="W1955" i="3"/>
  <c r="X1955" i="3"/>
  <c r="V1956" i="3"/>
  <c r="W1956" i="3"/>
  <c r="X1956" i="3"/>
  <c r="V1957" i="3"/>
  <c r="W1957" i="3"/>
  <c r="X1957" i="3"/>
  <c r="V1958" i="3"/>
  <c r="W1958" i="3"/>
  <c r="X1958" i="3"/>
  <c r="V1959" i="3"/>
  <c r="W1959" i="3"/>
  <c r="X1959" i="3"/>
  <c r="R1960" i="3"/>
  <c r="V1960" i="3"/>
  <c r="W1960" i="3"/>
  <c r="X1960" i="3"/>
  <c r="R1961" i="3"/>
  <c r="V1961" i="3"/>
  <c r="W1961" i="3"/>
  <c r="X1961" i="3"/>
  <c r="R1962" i="3"/>
  <c r="V1962" i="3"/>
  <c r="W1962" i="3"/>
  <c r="X1962" i="3"/>
  <c r="R1963" i="3"/>
  <c r="V1963" i="3"/>
  <c r="W1963" i="3"/>
  <c r="X1963" i="3"/>
  <c r="R1964" i="3"/>
  <c r="V1964" i="3"/>
  <c r="W1964" i="3"/>
  <c r="X1964" i="3"/>
  <c r="R1965" i="3"/>
  <c r="V1965" i="3"/>
  <c r="W1965" i="3"/>
  <c r="X1965" i="3"/>
  <c r="R1966" i="3"/>
  <c r="V1966" i="3"/>
  <c r="W1966" i="3"/>
  <c r="X1966" i="3"/>
  <c r="R1967" i="3"/>
  <c r="V1967" i="3"/>
  <c r="W1967" i="3"/>
  <c r="X1967" i="3"/>
  <c r="V1969" i="3"/>
  <c r="W1969" i="3"/>
  <c r="X1969" i="3"/>
  <c r="V1970" i="3"/>
  <c r="W1970" i="3"/>
  <c r="X1970" i="3"/>
  <c r="V1971" i="3"/>
  <c r="W1971" i="3"/>
  <c r="X1971" i="3"/>
  <c r="V1972" i="3"/>
  <c r="W1972" i="3"/>
  <c r="X1972" i="3"/>
  <c r="V1973" i="3"/>
  <c r="W1973" i="3"/>
  <c r="X1973" i="3"/>
  <c r="V1974" i="3"/>
  <c r="W1974" i="3"/>
  <c r="X1974" i="3"/>
  <c r="V1975" i="3"/>
  <c r="W1975" i="3"/>
  <c r="X1975" i="3"/>
  <c r="V1976" i="3"/>
  <c r="W1976" i="3"/>
  <c r="X1976" i="3"/>
  <c r="V1977" i="3"/>
  <c r="W1977" i="3"/>
  <c r="X1977" i="3"/>
  <c r="V1978" i="3"/>
  <c r="W1978" i="3"/>
  <c r="X1978" i="3"/>
  <c r="V1979" i="3"/>
  <c r="W1979" i="3"/>
  <c r="X1979" i="3"/>
  <c r="V1980" i="3"/>
  <c r="W1980" i="3"/>
  <c r="X1980" i="3"/>
  <c r="V1981" i="3"/>
  <c r="W1981" i="3"/>
  <c r="X1981" i="3"/>
  <c r="V1982" i="3"/>
  <c r="W1982" i="3"/>
  <c r="X1982" i="3"/>
  <c r="V1983" i="3"/>
  <c r="W1983" i="3"/>
  <c r="X1983" i="3"/>
  <c r="V1984" i="3"/>
  <c r="W1984" i="3"/>
  <c r="X1984" i="3"/>
  <c r="V1985" i="3"/>
  <c r="W1985" i="3"/>
  <c r="X1985" i="3"/>
  <c r="V1986" i="3"/>
  <c r="W1986" i="3"/>
  <c r="X1986" i="3"/>
  <c r="V1987" i="3"/>
  <c r="W1987" i="3"/>
  <c r="X1987" i="3"/>
  <c r="V1988" i="3"/>
  <c r="W1988" i="3"/>
  <c r="X1988" i="3"/>
  <c r="V1989" i="3"/>
  <c r="W1989" i="3"/>
  <c r="X1989" i="3"/>
  <c r="V1990" i="3"/>
  <c r="W1990" i="3"/>
  <c r="X1990" i="3"/>
  <c r="V1991" i="3"/>
  <c r="W1991" i="3"/>
  <c r="X1991" i="3"/>
  <c r="V1992" i="3"/>
  <c r="W1992" i="3"/>
  <c r="X1992" i="3"/>
  <c r="V1994" i="3"/>
  <c r="W1994" i="3"/>
  <c r="X1994" i="3"/>
  <c r="R1995" i="3"/>
  <c r="V1995" i="3"/>
  <c r="W1995" i="3"/>
  <c r="X1995" i="3"/>
  <c r="R1996" i="3"/>
  <c r="V1996" i="3"/>
  <c r="W1996" i="3"/>
  <c r="X1996" i="3"/>
  <c r="R1997" i="3"/>
  <c r="V1997" i="3"/>
  <c r="W1997" i="3"/>
  <c r="X1997" i="3"/>
  <c r="R1998" i="3"/>
  <c r="V1998" i="3"/>
  <c r="W1998" i="3"/>
  <c r="X1998" i="3"/>
  <c r="R1999" i="3"/>
  <c r="V1999" i="3"/>
  <c r="W1999" i="3"/>
  <c r="X1999" i="3"/>
  <c r="R2000" i="3"/>
  <c r="V2000" i="3"/>
  <c r="W2000" i="3"/>
  <c r="X2000" i="3"/>
  <c r="R2001" i="3"/>
  <c r="V2001" i="3"/>
  <c r="W2001" i="3"/>
  <c r="X2001" i="3"/>
  <c r="R2002" i="3"/>
  <c r="V2002" i="3"/>
  <c r="W2002" i="3"/>
  <c r="X2002" i="3"/>
  <c r="R2003" i="3"/>
  <c r="V2003" i="3"/>
  <c r="W2003" i="3"/>
  <c r="X2003" i="3"/>
  <c r="R2004" i="3"/>
  <c r="V2004" i="3"/>
  <c r="W2004" i="3"/>
  <c r="X2004" i="3"/>
  <c r="R2005" i="3"/>
  <c r="V2005" i="3"/>
  <c r="W2005" i="3"/>
  <c r="X2005" i="3"/>
  <c r="R2006" i="3"/>
  <c r="V2006" i="3"/>
  <c r="W2006" i="3"/>
  <c r="X2006" i="3"/>
  <c r="R2007" i="3"/>
  <c r="V2007" i="3"/>
  <c r="W2007" i="3"/>
  <c r="X2007" i="3"/>
  <c r="R2010" i="3"/>
  <c r="V2010" i="3"/>
  <c r="W2010" i="3"/>
  <c r="X2010" i="3"/>
  <c r="R2011" i="3"/>
  <c r="V2011" i="3"/>
  <c r="W2011" i="3"/>
  <c r="X2011" i="3"/>
  <c r="R2012" i="3"/>
  <c r="V2012" i="3"/>
  <c r="W2012" i="3"/>
  <c r="X2012" i="3"/>
  <c r="R2013" i="3"/>
  <c r="V2013" i="3"/>
  <c r="W2013" i="3"/>
  <c r="X2013" i="3"/>
  <c r="R2014" i="3"/>
  <c r="V2014" i="3"/>
  <c r="W2014" i="3"/>
  <c r="X2014" i="3"/>
  <c r="R2015" i="3"/>
  <c r="V2015" i="3"/>
  <c r="W2015" i="3"/>
  <c r="X2015" i="3"/>
  <c r="R2016" i="3"/>
  <c r="V2016" i="3"/>
  <c r="W2016" i="3"/>
  <c r="X2016" i="3"/>
  <c r="V2017" i="3"/>
  <c r="W2017" i="3"/>
  <c r="X2017" i="3"/>
  <c r="R2018" i="3"/>
  <c r="V2018" i="3"/>
  <c r="W2018" i="3"/>
  <c r="X2018" i="3"/>
  <c r="R2019" i="3"/>
  <c r="V2019" i="3"/>
  <c r="W2019" i="3"/>
  <c r="X2019" i="3"/>
  <c r="R2020" i="3"/>
  <c r="V2020" i="3"/>
  <c r="W2020" i="3"/>
  <c r="X2020" i="3"/>
  <c r="R1689" i="3"/>
  <c r="V1689" i="3"/>
  <c r="W1689" i="3"/>
  <c r="X1689" i="3"/>
  <c r="R2021" i="3"/>
  <c r="V2021" i="3"/>
  <c r="W2021" i="3"/>
  <c r="X2021" i="3"/>
  <c r="R2022" i="3"/>
  <c r="V2022" i="3"/>
  <c r="W2022" i="3"/>
  <c r="X2022" i="3"/>
  <c r="R2023" i="3"/>
  <c r="V2023" i="3"/>
  <c r="W2023" i="3"/>
  <c r="X2023" i="3"/>
  <c r="R2024" i="3"/>
  <c r="V2024" i="3"/>
  <c r="W2024" i="3"/>
  <c r="X2024" i="3"/>
  <c r="R2025" i="3"/>
  <c r="V2025" i="3"/>
  <c r="W2025" i="3"/>
  <c r="X2025" i="3"/>
  <c r="R2026" i="3"/>
  <c r="V2026" i="3"/>
  <c r="W2026" i="3"/>
  <c r="X2026" i="3"/>
  <c r="R2027" i="3"/>
  <c r="V2027" i="3"/>
  <c r="W2027" i="3"/>
  <c r="X2027" i="3"/>
  <c r="R2028" i="3"/>
  <c r="V2028" i="3"/>
  <c r="W2028" i="3"/>
  <c r="X2028" i="3"/>
  <c r="R2029" i="3"/>
  <c r="V2029" i="3"/>
  <c r="W2029" i="3"/>
  <c r="X2029" i="3"/>
  <c r="R2030" i="3"/>
  <c r="V2030" i="3"/>
  <c r="W2030" i="3"/>
  <c r="X2030" i="3"/>
  <c r="R2031" i="3"/>
  <c r="V2031" i="3"/>
  <c r="W2031" i="3"/>
  <c r="X2031" i="3"/>
  <c r="R1829" i="3"/>
  <c r="V1829" i="3"/>
  <c r="W1829" i="3"/>
  <c r="X1829" i="3"/>
  <c r="R1993" i="3"/>
  <c r="V1993" i="3"/>
  <c r="W1993" i="3"/>
  <c r="X1993" i="3"/>
  <c r="R1916" i="3"/>
  <c r="V1916" i="3"/>
  <c r="W1916" i="3"/>
  <c r="X1916" i="3"/>
  <c r="R1920" i="3"/>
  <c r="R1968" i="3"/>
  <c r="V1968" i="3"/>
  <c r="W1968" i="3"/>
  <c r="X1968" i="3"/>
  <c r="R1399" i="3"/>
  <c r="V1399" i="3"/>
  <c r="W1399" i="3"/>
  <c r="X1399" i="3"/>
  <c r="R1640" i="3"/>
  <c r="V1640" i="3"/>
  <c r="W1640" i="3"/>
  <c r="X1640" i="3"/>
  <c r="R2033" i="3"/>
  <c r="V2033" i="3"/>
  <c r="W2033" i="3"/>
  <c r="X2033" i="3"/>
  <c r="V2034" i="3"/>
  <c r="W2034" i="3"/>
  <c r="X2034" i="3"/>
  <c r="R2035" i="3"/>
  <c r="V2035" i="3"/>
  <c r="W2035" i="3"/>
  <c r="X2035" i="3"/>
  <c r="R2036" i="3"/>
  <c r="V2036" i="3"/>
  <c r="W2036" i="3"/>
  <c r="X2036" i="3"/>
  <c r="R2037" i="3"/>
  <c r="V2037" i="3"/>
  <c r="W2037" i="3"/>
  <c r="X2037" i="3"/>
  <c r="R2038" i="3"/>
  <c r="V2038" i="3"/>
  <c r="W2038" i="3"/>
  <c r="X2038" i="3"/>
  <c r="R2039" i="3"/>
  <c r="V2039" i="3"/>
  <c r="W2039" i="3"/>
  <c r="X2039" i="3"/>
  <c r="R2040" i="3"/>
  <c r="V2040" i="3"/>
  <c r="W2040" i="3"/>
  <c r="X2040" i="3"/>
  <c r="R2041" i="3"/>
  <c r="V2041" i="3"/>
  <c r="W2041" i="3"/>
  <c r="X2041" i="3"/>
  <c r="R2042" i="3"/>
  <c r="V2042" i="3"/>
  <c r="W2042" i="3"/>
  <c r="X2042" i="3"/>
  <c r="R2043" i="3"/>
  <c r="V2043" i="3"/>
  <c r="W2043" i="3"/>
  <c r="X2043" i="3"/>
  <c r="R2044" i="3"/>
  <c r="V2044" i="3"/>
  <c r="W2044" i="3"/>
  <c r="X2044" i="3"/>
  <c r="R2045" i="3"/>
  <c r="V2045" i="3"/>
  <c r="W2045" i="3"/>
  <c r="X2045" i="3"/>
  <c r="R2057" i="3"/>
  <c r="V2057" i="3"/>
  <c r="W2057" i="3"/>
  <c r="X2057" i="3"/>
  <c r="R2058" i="3"/>
  <c r="V2058" i="3"/>
  <c r="W2058" i="3"/>
  <c r="X2058" i="3"/>
  <c r="R2059" i="3"/>
  <c r="V2059" i="3"/>
  <c r="W2059" i="3"/>
  <c r="X2059" i="3"/>
  <c r="R2060" i="3"/>
  <c r="V2060" i="3"/>
  <c r="W2060" i="3"/>
  <c r="X2060" i="3"/>
  <c r="R2061" i="3"/>
  <c r="V2061" i="3"/>
  <c r="W2061" i="3"/>
  <c r="X2061" i="3"/>
  <c r="R2062" i="3"/>
  <c r="V2062" i="3"/>
  <c r="W2062" i="3"/>
  <c r="X2062" i="3"/>
  <c r="R2063" i="3"/>
  <c r="V2063" i="3"/>
  <c r="W2063" i="3"/>
  <c r="X2063" i="3"/>
  <c r="R2046" i="3"/>
  <c r="V2046" i="3"/>
  <c r="W2046" i="3"/>
  <c r="X2046" i="3"/>
  <c r="R2047" i="3"/>
  <c r="V2047" i="3"/>
  <c r="W2047" i="3"/>
  <c r="X2047" i="3"/>
  <c r="R2048" i="3"/>
  <c r="V2048" i="3"/>
  <c r="W2048" i="3"/>
  <c r="X2048" i="3"/>
  <c r="R2049" i="3"/>
  <c r="V2049" i="3"/>
  <c r="W2049" i="3"/>
  <c r="X2049" i="3"/>
  <c r="R2050" i="3"/>
  <c r="V2050" i="3"/>
  <c r="W2050" i="3"/>
  <c r="X2050" i="3"/>
  <c r="R2051" i="3"/>
  <c r="V2051" i="3"/>
  <c r="W2051" i="3"/>
  <c r="X2051" i="3"/>
  <c r="R2052" i="3"/>
  <c r="V2052" i="3"/>
  <c r="W2052" i="3"/>
  <c r="X2052" i="3"/>
  <c r="R2053" i="3"/>
  <c r="V2053" i="3"/>
  <c r="W2053" i="3"/>
  <c r="X2053" i="3"/>
  <c r="R2054" i="3"/>
  <c r="V2054" i="3"/>
  <c r="W2054" i="3"/>
  <c r="X2054" i="3"/>
  <c r="R2055" i="3"/>
  <c r="V2055" i="3"/>
  <c r="W2055" i="3"/>
  <c r="X2055" i="3"/>
  <c r="R2056" i="3"/>
  <c r="V2056" i="3"/>
  <c r="W2056" i="3"/>
  <c r="X2056" i="3"/>
  <c r="R2064" i="3"/>
  <c r="V2064" i="3"/>
  <c r="W2064" i="3"/>
  <c r="X2064" i="3"/>
  <c r="R1918" i="3"/>
  <c r="V1918" i="3"/>
  <c r="W1918" i="3"/>
  <c r="X1918" i="3"/>
  <c r="R1893" i="3"/>
  <c r="V1893" i="3"/>
  <c r="W1893" i="3"/>
  <c r="X1893" i="3"/>
  <c r="R1921" i="3"/>
  <c r="V1921" i="3"/>
  <c r="W1921" i="3"/>
  <c r="X1921" i="3"/>
  <c r="R2065" i="3"/>
  <c r="V2065" i="3"/>
  <c r="W2065" i="3"/>
  <c r="X2065" i="3"/>
  <c r="R2066" i="3"/>
  <c r="V2066" i="3"/>
  <c r="W2066" i="3"/>
  <c r="X2066" i="3"/>
  <c r="R2067" i="3"/>
  <c r="V2067" i="3"/>
  <c r="W2067" i="3"/>
  <c r="X2067" i="3"/>
  <c r="R2068" i="3"/>
  <c r="V2068" i="3"/>
  <c r="W2068" i="3"/>
  <c r="X2068" i="3"/>
  <c r="R2069" i="3"/>
  <c r="V2069" i="3"/>
  <c r="W2069" i="3"/>
  <c r="X2069" i="3"/>
  <c r="R2070" i="3"/>
  <c r="V2070" i="3"/>
  <c r="W2070" i="3"/>
  <c r="X2070" i="3"/>
  <c r="R2071" i="3"/>
  <c r="V2071" i="3"/>
  <c r="W2071" i="3"/>
  <c r="X2071" i="3"/>
  <c r="R2072" i="3"/>
  <c r="V2072" i="3"/>
  <c r="W2072" i="3"/>
  <c r="X2072" i="3"/>
  <c r="V2076" i="3"/>
  <c r="W2076" i="3"/>
  <c r="X2076" i="3"/>
  <c r="V2077" i="3"/>
  <c r="W2077" i="3"/>
  <c r="X2077" i="3"/>
  <c r="V2078" i="3"/>
  <c r="W2078" i="3"/>
  <c r="X2078" i="3"/>
  <c r="V2079" i="3"/>
  <c r="W2079" i="3"/>
  <c r="X2079" i="3"/>
  <c r="R2080" i="3"/>
  <c r="V2080" i="3"/>
  <c r="W2080" i="3"/>
  <c r="X2080" i="3"/>
  <c r="R2081" i="3"/>
  <c r="V2081" i="3"/>
  <c r="W2081" i="3"/>
  <c r="X2081" i="3"/>
  <c r="R2082" i="3"/>
  <c r="V2082" i="3"/>
  <c r="W2082" i="3"/>
  <c r="X2082" i="3"/>
  <c r="R2083" i="3"/>
  <c r="V2083" i="3"/>
  <c r="W2083" i="3"/>
  <c r="X2083" i="3"/>
  <c r="R2084" i="3"/>
  <c r="V2084" i="3"/>
  <c r="W2084" i="3"/>
  <c r="X2084" i="3"/>
  <c r="R2085" i="3"/>
  <c r="V2085" i="3"/>
  <c r="W2085" i="3"/>
  <c r="X2085" i="3"/>
  <c r="R2073" i="3"/>
  <c r="V2073" i="3"/>
  <c r="W2073" i="3"/>
  <c r="X2073" i="3"/>
  <c r="R2086" i="3"/>
  <c r="V2086" i="3"/>
  <c r="W2086" i="3"/>
  <c r="X2086" i="3"/>
  <c r="R2087" i="3"/>
  <c r="V2087" i="3"/>
  <c r="W2087" i="3"/>
  <c r="X2087" i="3"/>
  <c r="R2088" i="3"/>
  <c r="V2088" i="3"/>
  <c r="W2088" i="3"/>
  <c r="X2088" i="3"/>
  <c r="R2089" i="3"/>
  <c r="V2089" i="3"/>
  <c r="W2089" i="3"/>
  <c r="X2089" i="3"/>
  <c r="R2090" i="3"/>
  <c r="V2090" i="3"/>
  <c r="W2090" i="3"/>
  <c r="X2090" i="3"/>
  <c r="R2091" i="3"/>
  <c r="V2091" i="3"/>
  <c r="W2091" i="3"/>
  <c r="X2091" i="3"/>
  <c r="R2092" i="3"/>
  <c r="V2092" i="3"/>
  <c r="W2092" i="3"/>
  <c r="X2092" i="3"/>
  <c r="R2093" i="3"/>
  <c r="V2093" i="3"/>
  <c r="W2093" i="3"/>
  <c r="X2093" i="3"/>
  <c r="R2094" i="3"/>
  <c r="V2094" i="3"/>
  <c r="W2094" i="3"/>
  <c r="X2094" i="3"/>
  <c r="R2095" i="3"/>
  <c r="V2095" i="3"/>
  <c r="W2095" i="3"/>
  <c r="X2095" i="3"/>
  <c r="R2096" i="3"/>
  <c r="V2096" i="3"/>
  <c r="W2096" i="3"/>
  <c r="X2096" i="3"/>
  <c r="R2097" i="3"/>
  <c r="V2097" i="3"/>
  <c r="W2097" i="3"/>
  <c r="X2097" i="3"/>
  <c r="R2098" i="3"/>
  <c r="V2098" i="3"/>
  <c r="W2098" i="3"/>
  <c r="X2098" i="3"/>
  <c r="R2099" i="3"/>
  <c r="V2099" i="3"/>
  <c r="W2099" i="3"/>
  <c r="X2099" i="3"/>
  <c r="R2100" i="3"/>
  <c r="V2100" i="3"/>
  <c r="W2100" i="3"/>
  <c r="X2100" i="3"/>
  <c r="R2101" i="3"/>
  <c r="V2101" i="3"/>
  <c r="W2101" i="3"/>
  <c r="X2101" i="3"/>
  <c r="R2102" i="3"/>
  <c r="V2102" i="3"/>
  <c r="W2102" i="3"/>
  <c r="X2102" i="3"/>
  <c r="R2103" i="3"/>
  <c r="V2103" i="3"/>
  <c r="W2103" i="3"/>
  <c r="X2103" i="3"/>
  <c r="R2074" i="3"/>
  <c r="V2074" i="3"/>
  <c r="W2074" i="3"/>
  <c r="X2074" i="3"/>
  <c r="R2104" i="3"/>
  <c r="V2104" i="3"/>
  <c r="W2104" i="3"/>
  <c r="X2104" i="3"/>
  <c r="R2105" i="3"/>
  <c r="V2105" i="3"/>
  <c r="W2105" i="3"/>
  <c r="X2105" i="3"/>
  <c r="R2123" i="3"/>
  <c r="V2123" i="3"/>
  <c r="W2123" i="3"/>
  <c r="X2123" i="3"/>
  <c r="R1400" i="3"/>
  <c r="V1400" i="3"/>
  <c r="W1400" i="3"/>
  <c r="X1400" i="3"/>
  <c r="R1401" i="3"/>
  <c r="V1401" i="3"/>
  <c r="W1401" i="3"/>
  <c r="X1401" i="3"/>
  <c r="R1402" i="3"/>
  <c r="V1402" i="3"/>
  <c r="W1402" i="3"/>
  <c r="X1402" i="3"/>
  <c r="R1403" i="3"/>
  <c r="V1403" i="3"/>
  <c r="W1403" i="3"/>
  <c r="X1403" i="3"/>
  <c r="R1404" i="3"/>
  <c r="V1404" i="3"/>
  <c r="W1404" i="3"/>
  <c r="X1404" i="3"/>
  <c r="R1405" i="3"/>
  <c r="V1405" i="3"/>
  <c r="W1405" i="3"/>
  <c r="X1405" i="3"/>
  <c r="R1406" i="3"/>
  <c r="V1406" i="3"/>
  <c r="W1406" i="3"/>
  <c r="X1406" i="3"/>
  <c r="R1407" i="3"/>
  <c r="V1407" i="3"/>
  <c r="W1407" i="3"/>
  <c r="X1407" i="3"/>
  <c r="R1408" i="3"/>
  <c r="V1408" i="3"/>
  <c r="W1408" i="3"/>
  <c r="X1408" i="3"/>
  <c r="R1409" i="3"/>
  <c r="V1409" i="3"/>
  <c r="W1409" i="3"/>
  <c r="X1409" i="3"/>
  <c r="R1410" i="3"/>
  <c r="V1410" i="3"/>
  <c r="W1410" i="3"/>
  <c r="X1410" i="3"/>
  <c r="R1411" i="3"/>
  <c r="V1411" i="3"/>
  <c r="W1411" i="3"/>
  <c r="X1411" i="3"/>
  <c r="R1412" i="3"/>
  <c r="V1412" i="3"/>
  <c r="W1412" i="3"/>
  <c r="X1412" i="3"/>
  <c r="R2106" i="3"/>
  <c r="V2106" i="3"/>
  <c r="W2106" i="3"/>
  <c r="X2106" i="3"/>
  <c r="R2107" i="3"/>
  <c r="V2107" i="3"/>
  <c r="W2107" i="3"/>
  <c r="X2107" i="3"/>
  <c r="R2108" i="3"/>
  <c r="V2108" i="3"/>
  <c r="W2108" i="3"/>
  <c r="X2108" i="3"/>
  <c r="R2109" i="3"/>
  <c r="V2109" i="3"/>
  <c r="W2109" i="3"/>
  <c r="X2109" i="3"/>
  <c r="R2110" i="3"/>
  <c r="V2110" i="3"/>
  <c r="W2110" i="3"/>
  <c r="X2110" i="3"/>
  <c r="R2111" i="3"/>
  <c r="V2111" i="3"/>
  <c r="W2111" i="3"/>
  <c r="X2111" i="3"/>
  <c r="R2112" i="3"/>
  <c r="V2112" i="3"/>
  <c r="W2112" i="3"/>
  <c r="X2112" i="3"/>
  <c r="R2113" i="3"/>
  <c r="V2113" i="3"/>
  <c r="W2113" i="3"/>
  <c r="X2113" i="3"/>
  <c r="R2114" i="3"/>
  <c r="V2114" i="3"/>
  <c r="W2114" i="3"/>
  <c r="X2114" i="3"/>
  <c r="R2115" i="3"/>
  <c r="V2115" i="3"/>
  <c r="W2115" i="3"/>
  <c r="X2115" i="3"/>
  <c r="R2116" i="3"/>
  <c r="V2116" i="3"/>
  <c r="W2116" i="3"/>
  <c r="X2116" i="3"/>
  <c r="R2117" i="3"/>
  <c r="V2117" i="3"/>
  <c r="W2117" i="3"/>
  <c r="X2117" i="3"/>
  <c r="R2118" i="3"/>
  <c r="V2118" i="3"/>
  <c r="W2118" i="3"/>
  <c r="X2118" i="3"/>
  <c r="R2119" i="3"/>
  <c r="V2119" i="3"/>
  <c r="W2119" i="3"/>
  <c r="X2119" i="3"/>
  <c r="R2120" i="3"/>
  <c r="V2120" i="3"/>
  <c r="W2120" i="3"/>
  <c r="X2120" i="3"/>
  <c r="R2121" i="3"/>
  <c r="V2121" i="3"/>
  <c r="W2121" i="3"/>
  <c r="X2121" i="3"/>
  <c r="R2122" i="3"/>
  <c r="V2122" i="3"/>
  <c r="W2122" i="3"/>
  <c r="X2122" i="3"/>
  <c r="R2124" i="3"/>
  <c r="V2124" i="3"/>
  <c r="W2124" i="3"/>
  <c r="X2124" i="3"/>
  <c r="R2125" i="3"/>
  <c r="V2125" i="3"/>
  <c r="W2125" i="3"/>
  <c r="X2125" i="3"/>
  <c r="R2126" i="3"/>
  <c r="V2126" i="3"/>
  <c r="W2126" i="3"/>
  <c r="X2126" i="3"/>
  <c r="R2127" i="3"/>
  <c r="V2127" i="3"/>
  <c r="W2127" i="3"/>
  <c r="X2127" i="3"/>
  <c r="R2128" i="3"/>
  <c r="V2128" i="3"/>
  <c r="W2128" i="3"/>
  <c r="X2128" i="3"/>
  <c r="R2129" i="3"/>
  <c r="V2129" i="3"/>
  <c r="W2129" i="3"/>
  <c r="X2129" i="3"/>
  <c r="R2130" i="3"/>
  <c r="V2130" i="3"/>
  <c r="W2130" i="3"/>
  <c r="X2130" i="3"/>
  <c r="R2131" i="3"/>
  <c r="V2131" i="3"/>
  <c r="W2131" i="3"/>
  <c r="X2131" i="3"/>
  <c r="R2132" i="3"/>
  <c r="V2132" i="3"/>
  <c r="W2132" i="3"/>
  <c r="X2132" i="3"/>
  <c r="R2133" i="3"/>
  <c r="V2133" i="3"/>
  <c r="W2133" i="3"/>
  <c r="X2133" i="3"/>
  <c r="R2134" i="3"/>
  <c r="V2134" i="3"/>
  <c r="W2134" i="3"/>
  <c r="X2134" i="3"/>
  <c r="R2135" i="3"/>
  <c r="V2135" i="3"/>
  <c r="W2135" i="3"/>
  <c r="X2135" i="3"/>
  <c r="R2136" i="3"/>
  <c r="V2136" i="3"/>
  <c r="W2136" i="3"/>
  <c r="X2136" i="3"/>
  <c r="R2137" i="3"/>
  <c r="V2137" i="3"/>
  <c r="W2137" i="3"/>
  <c r="X2137" i="3"/>
  <c r="R2138" i="3"/>
  <c r="V2138" i="3"/>
  <c r="W2138" i="3"/>
  <c r="X2138" i="3"/>
  <c r="R2139" i="3"/>
  <c r="V2139" i="3"/>
  <c r="W2139" i="3"/>
  <c r="X2139" i="3"/>
  <c r="R2140" i="3"/>
  <c r="V2140" i="3"/>
  <c r="W2140" i="3"/>
  <c r="X2140" i="3"/>
  <c r="R2141" i="3"/>
  <c r="V2141" i="3"/>
  <c r="W2141" i="3"/>
  <c r="X2141" i="3"/>
  <c r="R2142" i="3"/>
  <c r="V2142" i="3"/>
  <c r="W2142" i="3"/>
  <c r="X2142" i="3"/>
  <c r="R2143" i="3"/>
  <c r="V2143" i="3"/>
  <c r="W2143" i="3"/>
  <c r="X2143" i="3"/>
  <c r="R2144" i="3"/>
  <c r="V2144" i="3"/>
  <c r="W2144" i="3"/>
  <c r="X2144" i="3"/>
  <c r="R2145" i="3"/>
  <c r="V2145" i="3"/>
  <c r="W2145" i="3"/>
  <c r="X2145" i="3"/>
  <c r="R2146" i="3"/>
  <c r="V2146" i="3"/>
  <c r="W2146" i="3"/>
  <c r="X2146" i="3"/>
  <c r="R2147" i="3"/>
  <c r="V2147" i="3"/>
  <c r="W2147" i="3"/>
  <c r="X2147" i="3"/>
  <c r="R2148" i="3"/>
  <c r="V2148" i="3"/>
  <c r="W2148" i="3"/>
  <c r="X2148" i="3"/>
  <c r="R2149" i="3"/>
  <c r="V2149" i="3"/>
  <c r="W2149" i="3"/>
  <c r="X2149" i="3"/>
  <c r="R2150" i="3"/>
  <c r="V2150" i="3"/>
  <c r="W2150" i="3"/>
  <c r="X2150" i="3"/>
  <c r="R2151" i="3"/>
  <c r="V2151" i="3"/>
  <c r="W2151" i="3"/>
  <c r="X2151" i="3"/>
  <c r="R2152" i="3"/>
  <c r="V2152" i="3"/>
  <c r="W2152" i="3"/>
  <c r="X2152" i="3"/>
  <c r="R2153" i="3"/>
  <c r="V2153" i="3"/>
  <c r="W2153" i="3"/>
  <c r="X2153" i="3"/>
  <c r="R2154" i="3"/>
  <c r="V2154" i="3"/>
  <c r="W2154" i="3"/>
  <c r="X2154" i="3"/>
  <c r="R2155" i="3"/>
  <c r="V2155" i="3"/>
  <c r="W2155" i="3"/>
  <c r="X2155" i="3"/>
  <c r="R2156" i="3"/>
  <c r="V2156" i="3"/>
  <c r="W2156" i="3"/>
  <c r="X2156" i="3"/>
  <c r="R2157" i="3"/>
  <c r="V2157" i="3"/>
  <c r="W2157" i="3"/>
  <c r="X2157" i="3"/>
  <c r="R2158" i="3"/>
  <c r="V2158" i="3"/>
  <c r="W2158" i="3"/>
  <c r="X2158" i="3"/>
  <c r="R2159" i="3"/>
  <c r="V2159" i="3"/>
  <c r="W2159" i="3"/>
  <c r="X2159" i="3"/>
  <c r="R2160" i="3"/>
  <c r="V2160" i="3"/>
  <c r="W2160" i="3"/>
  <c r="X2160" i="3"/>
  <c r="R2161" i="3"/>
  <c r="V2161" i="3"/>
  <c r="W2161" i="3"/>
  <c r="X2161" i="3"/>
  <c r="R2162" i="3"/>
  <c r="V2162" i="3"/>
  <c r="W2162" i="3"/>
  <c r="X2162" i="3"/>
  <c r="R2032" i="3"/>
  <c r="V2032" i="3"/>
  <c r="W2032" i="3"/>
  <c r="X2032" i="3"/>
  <c r="R2163" i="3"/>
  <c r="V2163" i="3"/>
  <c r="W2163" i="3"/>
  <c r="X2163" i="3"/>
  <c r="R2164" i="3"/>
  <c r="V2164" i="3"/>
  <c r="W2164" i="3"/>
  <c r="X2164" i="3"/>
  <c r="R2165" i="3"/>
  <c r="V2165" i="3"/>
  <c r="W2165" i="3"/>
  <c r="X2165" i="3"/>
  <c r="R2166" i="3"/>
  <c r="V2166" i="3"/>
  <c r="W2166" i="3"/>
  <c r="X2166" i="3"/>
  <c r="R2167" i="3"/>
  <c r="V2167" i="3"/>
  <c r="W2167" i="3"/>
  <c r="X2167" i="3"/>
  <c r="R2168" i="3"/>
  <c r="V2168" i="3"/>
  <c r="W2168" i="3"/>
  <c r="X2168" i="3"/>
  <c r="R2169" i="3"/>
  <c r="V2169" i="3"/>
  <c r="W2169" i="3"/>
  <c r="X2169" i="3"/>
  <c r="R2170" i="3"/>
  <c r="V2170" i="3"/>
  <c r="W2170" i="3"/>
  <c r="X2170" i="3"/>
  <c r="R2171" i="3"/>
  <c r="V2171" i="3"/>
  <c r="W2171" i="3"/>
  <c r="X2171" i="3"/>
  <c r="R2172" i="3"/>
  <c r="V2172" i="3"/>
  <c r="W2172" i="3"/>
  <c r="X2172" i="3"/>
  <c r="R2173" i="3"/>
  <c r="V2173" i="3"/>
  <c r="W2173" i="3"/>
  <c r="X2173" i="3"/>
  <c r="R2174" i="3"/>
  <c r="V2174" i="3"/>
  <c r="W2174" i="3"/>
  <c r="X2174" i="3"/>
  <c r="R2175" i="3"/>
  <c r="V2175" i="3"/>
  <c r="W2175" i="3"/>
  <c r="X2175" i="3"/>
  <c r="R2176" i="3"/>
  <c r="V2176" i="3"/>
  <c r="W2176" i="3"/>
  <c r="X2176" i="3"/>
  <c r="R2177" i="3"/>
  <c r="V2177" i="3"/>
  <c r="W2177" i="3"/>
  <c r="X2177" i="3"/>
  <c r="R2178" i="3"/>
  <c r="V2178" i="3"/>
  <c r="W2178" i="3"/>
  <c r="X2178" i="3"/>
  <c r="R2179" i="3"/>
  <c r="V2179" i="3"/>
  <c r="W2179" i="3"/>
  <c r="X2179" i="3"/>
  <c r="R2180" i="3"/>
  <c r="V2180" i="3"/>
  <c r="W2180" i="3"/>
  <c r="X2180" i="3"/>
  <c r="R2181" i="3"/>
  <c r="V2181" i="3"/>
  <c r="W2181" i="3"/>
  <c r="X2181" i="3"/>
  <c r="R2182" i="3"/>
  <c r="V2182" i="3"/>
  <c r="W2182" i="3"/>
  <c r="X2182" i="3"/>
  <c r="R2183" i="3"/>
  <c r="V2183" i="3"/>
  <c r="W2183" i="3"/>
  <c r="X2183" i="3"/>
  <c r="R2184" i="3"/>
  <c r="V2184" i="3"/>
  <c r="W2184" i="3"/>
  <c r="X2184" i="3"/>
  <c r="R2185" i="3"/>
  <c r="V2185" i="3"/>
  <c r="W2185" i="3"/>
  <c r="X2185" i="3"/>
  <c r="R2186" i="3"/>
  <c r="V2186" i="3"/>
  <c r="W2186" i="3"/>
  <c r="X2186" i="3"/>
  <c r="R2187" i="3"/>
  <c r="V2187" i="3"/>
  <c r="W2187" i="3"/>
  <c r="X2187" i="3"/>
  <c r="R2188" i="3"/>
  <c r="V2188" i="3"/>
  <c r="W2188" i="3"/>
  <c r="X2188" i="3"/>
  <c r="R2189" i="3"/>
  <c r="V2189" i="3"/>
  <c r="W2189" i="3"/>
  <c r="X2189" i="3"/>
  <c r="R2190" i="3"/>
  <c r="V2190" i="3"/>
  <c r="W2190" i="3"/>
  <c r="X2190" i="3"/>
  <c r="R2191" i="3"/>
  <c r="V2191" i="3"/>
  <c r="W2191" i="3"/>
  <c r="X2191" i="3"/>
  <c r="R2192" i="3"/>
  <c r="V2192" i="3"/>
  <c r="W2192" i="3"/>
  <c r="X2192" i="3"/>
  <c r="R2193" i="3"/>
  <c r="V2193" i="3"/>
  <c r="W2193" i="3"/>
  <c r="X2193" i="3"/>
  <c r="R2194" i="3"/>
  <c r="V2194" i="3"/>
  <c r="W2194" i="3"/>
  <c r="X2194" i="3"/>
  <c r="R2195" i="3"/>
  <c r="V2195" i="3"/>
  <c r="W2195" i="3"/>
  <c r="X2195" i="3"/>
  <c r="R2196" i="3"/>
  <c r="V2196" i="3"/>
  <c r="W2196" i="3"/>
  <c r="X2196" i="3"/>
  <c r="R2197" i="3"/>
  <c r="V2197" i="3"/>
  <c r="W2197" i="3"/>
  <c r="X2197" i="3"/>
  <c r="R2198" i="3"/>
  <c r="V2198" i="3"/>
  <c r="W2198" i="3"/>
  <c r="X2198" i="3"/>
  <c r="R2199" i="3"/>
  <c r="V2199" i="3"/>
  <c r="W2199" i="3"/>
  <c r="X2199" i="3"/>
  <c r="R2200" i="3"/>
  <c r="V2200" i="3"/>
  <c r="W2200" i="3"/>
  <c r="X2200" i="3"/>
  <c r="R2201" i="3"/>
  <c r="V2201" i="3"/>
  <c r="W2201" i="3"/>
  <c r="X2201" i="3"/>
  <c r="R2202" i="3"/>
  <c r="V2202" i="3"/>
  <c r="W2202" i="3"/>
  <c r="X2202" i="3"/>
  <c r="R2203" i="3"/>
  <c r="V2203" i="3"/>
  <c r="W2203" i="3"/>
  <c r="X2203" i="3"/>
  <c r="R2204" i="3"/>
  <c r="V2204" i="3"/>
  <c r="W2204" i="3"/>
  <c r="X2204" i="3"/>
  <c r="R2205" i="3"/>
  <c r="V2205" i="3"/>
  <c r="W2205" i="3"/>
  <c r="X2205" i="3"/>
  <c r="R2206" i="3"/>
  <c r="V2206" i="3"/>
  <c r="W2206" i="3"/>
  <c r="X2206" i="3"/>
  <c r="R2207" i="3"/>
  <c r="V2207" i="3"/>
  <c r="W2207" i="3"/>
  <c r="X2207" i="3"/>
  <c r="R2208" i="3"/>
  <c r="V2208" i="3"/>
  <c r="W2208" i="3"/>
  <c r="X2208" i="3"/>
  <c r="R2209" i="3"/>
  <c r="V2209" i="3"/>
  <c r="W2209" i="3"/>
  <c r="X2209" i="3"/>
  <c r="R2210" i="3"/>
  <c r="V2210" i="3"/>
  <c r="W2210" i="3"/>
  <c r="X2210" i="3"/>
  <c r="R2211" i="3"/>
  <c r="V2211" i="3"/>
  <c r="W2211" i="3"/>
  <c r="X2211" i="3"/>
  <c r="R2212" i="3"/>
  <c r="V2212" i="3"/>
  <c r="W2212" i="3"/>
  <c r="X2212" i="3"/>
  <c r="R2213" i="3"/>
  <c r="V2213" i="3"/>
  <c r="W2213" i="3"/>
  <c r="X2213" i="3"/>
  <c r="R2214" i="3"/>
  <c r="V2214" i="3"/>
  <c r="W2214" i="3"/>
  <c r="X2214" i="3"/>
  <c r="R2215" i="3"/>
  <c r="V2215" i="3"/>
  <c r="W2215" i="3"/>
  <c r="X2215" i="3"/>
  <c r="R2216" i="3"/>
  <c r="V2216" i="3"/>
  <c r="W2216" i="3"/>
  <c r="X2216" i="3"/>
  <c r="R2217" i="3"/>
  <c r="V2217" i="3"/>
  <c r="W2217" i="3"/>
  <c r="X2217" i="3"/>
  <c r="R2218" i="3"/>
  <c r="V2218" i="3"/>
  <c r="W2218" i="3"/>
  <c r="X2218" i="3"/>
  <c r="R2219" i="3"/>
  <c r="V2219" i="3"/>
  <c r="W2219" i="3"/>
  <c r="X2219" i="3"/>
  <c r="R2220" i="3"/>
  <c r="V2220" i="3"/>
  <c r="W2220" i="3"/>
  <c r="X2220" i="3"/>
  <c r="R2221" i="3"/>
  <c r="V2221" i="3"/>
  <c r="W2221" i="3"/>
  <c r="X2221" i="3"/>
  <c r="R2222" i="3"/>
  <c r="V2222" i="3"/>
  <c r="W2222" i="3"/>
  <c r="X2222" i="3"/>
  <c r="R2223" i="3"/>
  <c r="V2223" i="3"/>
  <c r="W2223" i="3"/>
  <c r="X2223" i="3"/>
  <c r="R2224" i="3"/>
  <c r="V2224" i="3"/>
  <c r="W2224" i="3"/>
  <c r="X2224" i="3"/>
  <c r="R2225" i="3"/>
  <c r="V2225" i="3"/>
  <c r="W2225" i="3"/>
  <c r="X2225" i="3"/>
  <c r="R2226" i="3"/>
  <c r="V2226" i="3"/>
  <c r="W2226" i="3"/>
  <c r="X2226" i="3"/>
  <c r="R2227" i="3"/>
  <c r="V2227" i="3"/>
  <c r="W2227" i="3"/>
  <c r="X2227" i="3"/>
  <c r="R2228" i="3"/>
  <c r="V2228" i="3"/>
  <c r="W2228" i="3"/>
  <c r="X2228" i="3"/>
  <c r="R2229" i="3"/>
  <c r="V2229" i="3"/>
  <c r="W2229" i="3"/>
  <c r="X2229" i="3"/>
  <c r="R2230" i="3"/>
  <c r="V2230" i="3"/>
  <c r="W2230" i="3"/>
  <c r="X2230" i="3"/>
  <c r="R2231" i="3"/>
  <c r="V2231" i="3"/>
  <c r="W2231" i="3"/>
  <c r="X2231" i="3"/>
  <c r="R2232" i="3"/>
  <c r="V2232" i="3"/>
  <c r="W2232" i="3"/>
  <c r="X2232" i="3"/>
  <c r="R2075" i="3"/>
  <c r="V2075" i="3"/>
  <c r="W2075" i="3"/>
  <c r="X2075" i="3"/>
  <c r="V2008" i="3"/>
  <c r="W2008" i="3"/>
  <c r="X2008" i="3"/>
  <c r="V2009" i="3"/>
  <c r="W2009" i="3"/>
  <c r="X2009" i="3"/>
  <c r="R21" i="3"/>
  <c r="V21" i="3"/>
  <c r="W21" i="3"/>
  <c r="X21" i="3"/>
  <c r="R29" i="3"/>
  <c r="V29" i="3"/>
  <c r="W29" i="3"/>
  <c r="X29" i="3"/>
  <c r="R37" i="3"/>
  <c r="V37" i="3"/>
  <c r="W37" i="3"/>
  <c r="X37" i="3"/>
  <c r="R183" i="3"/>
  <c r="V183" i="3"/>
  <c r="W183" i="3"/>
  <c r="X183" i="3"/>
  <c r="R221" i="3"/>
  <c r="V221" i="3"/>
  <c r="W221" i="3"/>
  <c r="X221" i="3"/>
  <c r="R530" i="3"/>
  <c r="V530" i="3"/>
  <c r="W530" i="3"/>
  <c r="X530" i="3"/>
  <c r="R697" i="3"/>
  <c r="V697" i="3"/>
  <c r="W697" i="3"/>
  <c r="X697" i="3"/>
  <c r="R1556" i="3"/>
  <c r="V1556" i="3"/>
  <c r="W1556" i="3"/>
  <c r="X1556" i="3"/>
  <c r="R2233" i="3"/>
  <c r="V2233" i="3"/>
  <c r="W2233" i="3"/>
  <c r="X2233" i="3"/>
  <c r="R2244" i="3"/>
  <c r="V2244" i="3"/>
  <c r="W2244" i="3"/>
  <c r="X2244" i="3"/>
  <c r="R2234" i="3"/>
  <c r="V2234" i="3"/>
  <c r="W2234" i="3"/>
  <c r="X2234" i="3"/>
  <c r="R2251" i="3"/>
  <c r="V2251" i="3"/>
  <c r="W2251" i="3"/>
  <c r="X2251" i="3"/>
  <c r="R2252" i="3"/>
  <c r="V2252" i="3"/>
  <c r="W2252" i="3"/>
  <c r="X2252" i="3"/>
  <c r="R2253" i="3"/>
  <c r="V2253" i="3"/>
  <c r="W2253" i="3"/>
  <c r="X2253" i="3"/>
  <c r="R2235" i="3"/>
  <c r="V2235" i="3"/>
  <c r="W2235" i="3"/>
  <c r="X2235" i="3"/>
  <c r="R2236" i="3"/>
  <c r="V2236" i="3"/>
  <c r="W2236" i="3"/>
  <c r="X2236" i="3"/>
  <c r="R2237" i="3"/>
  <c r="V2237" i="3"/>
  <c r="W2237" i="3"/>
  <c r="X2237" i="3"/>
  <c r="R2238" i="3"/>
  <c r="V2238" i="3"/>
  <c r="W2238" i="3"/>
  <c r="X2238" i="3"/>
  <c r="R2239" i="3"/>
  <c r="V2239" i="3"/>
  <c r="W2239" i="3"/>
  <c r="X2239" i="3"/>
  <c r="R2240" i="3"/>
  <c r="V2240" i="3"/>
  <c r="W2240" i="3"/>
  <c r="X2240" i="3"/>
  <c r="R2241" i="3"/>
  <c r="V2241" i="3"/>
  <c r="W2241" i="3"/>
  <c r="X2241" i="3"/>
  <c r="R2272" i="3"/>
  <c r="V2272" i="3"/>
  <c r="W2272" i="3"/>
  <c r="X2272" i="3"/>
  <c r="R2273" i="3"/>
  <c r="V2273" i="3"/>
  <c r="W2273" i="3"/>
  <c r="X2273" i="3"/>
  <c r="R2274" i="3"/>
  <c r="V2274" i="3"/>
  <c r="W2274" i="3"/>
  <c r="X2274" i="3"/>
  <c r="R2275" i="3"/>
  <c r="V2275" i="3"/>
  <c r="W2275" i="3"/>
  <c r="X2275" i="3"/>
  <c r="V2245" i="3"/>
  <c r="W2245" i="3"/>
  <c r="X2245" i="3"/>
  <c r="R2246" i="3"/>
  <c r="V2246" i="3"/>
  <c r="W2246" i="3"/>
  <c r="X2246" i="3"/>
  <c r="R2247" i="3"/>
  <c r="V2247" i="3"/>
  <c r="W2247" i="3"/>
  <c r="X2247" i="3"/>
  <c r="R2248" i="3"/>
  <c r="V2248" i="3"/>
  <c r="W2248" i="3"/>
  <c r="X2248" i="3"/>
  <c r="R2249" i="3"/>
  <c r="V2249" i="3"/>
  <c r="W2249" i="3"/>
  <c r="X2249" i="3"/>
  <c r="R2250" i="3"/>
  <c r="V2250" i="3"/>
  <c r="W2250" i="3"/>
  <c r="X2250" i="3"/>
  <c r="R2265" i="3"/>
  <c r="V2265" i="3"/>
  <c r="W2265" i="3"/>
  <c r="X2265" i="3"/>
  <c r="R2267" i="3"/>
  <c r="V2267" i="3"/>
  <c r="W2267" i="3"/>
  <c r="X2267" i="3"/>
  <c r="R2268" i="3"/>
  <c r="V2268" i="3"/>
  <c r="W2268" i="3"/>
  <c r="X2268" i="3"/>
  <c r="R2269" i="3"/>
  <c r="V2269" i="3"/>
  <c r="W2269" i="3"/>
  <c r="X2269" i="3"/>
  <c r="R2270" i="3"/>
  <c r="V2270" i="3"/>
  <c r="W2270" i="3"/>
  <c r="X2270" i="3"/>
  <c r="R2271" i="3"/>
  <c r="V2271" i="3"/>
  <c r="W2271" i="3"/>
  <c r="X2271" i="3"/>
  <c r="R2276" i="3"/>
  <c r="V2276" i="3"/>
  <c r="W2276" i="3"/>
  <c r="X2276" i="3"/>
  <c r="R2277" i="3"/>
  <c r="V2277" i="3"/>
  <c r="W2277" i="3"/>
  <c r="X2277" i="3"/>
  <c r="R2284" i="3"/>
  <c r="V2284" i="3"/>
  <c r="W2284" i="3"/>
  <c r="X2284" i="3"/>
  <c r="R2286" i="3"/>
  <c r="V2286" i="3"/>
  <c r="W2286" i="3"/>
  <c r="X2286" i="3"/>
  <c r="R2242" i="3"/>
  <c r="V2242" i="3"/>
  <c r="W2242" i="3"/>
  <c r="X2242" i="3"/>
  <c r="R2243" i="3"/>
  <c r="V2243" i="3"/>
  <c r="W2243" i="3"/>
  <c r="X2243" i="3"/>
  <c r="R2254" i="3"/>
  <c r="V2254" i="3"/>
  <c r="W2254" i="3"/>
  <c r="X2254" i="3"/>
  <c r="R2255" i="3"/>
  <c r="V2255" i="3"/>
  <c r="W2255" i="3"/>
  <c r="X2255" i="3"/>
  <c r="R2256" i="3"/>
  <c r="V2256" i="3"/>
  <c r="W2256" i="3"/>
  <c r="X2256" i="3"/>
  <c r="R2257" i="3"/>
  <c r="V2257" i="3"/>
  <c r="W2257" i="3"/>
  <c r="X2257" i="3"/>
  <c r="R2258" i="3"/>
  <c r="V2258" i="3"/>
  <c r="W2258" i="3"/>
  <c r="X2258" i="3"/>
  <c r="R2259" i="3"/>
  <c r="V2259" i="3"/>
  <c r="W2259" i="3"/>
  <c r="X2259" i="3"/>
  <c r="R2260" i="3"/>
  <c r="V2260" i="3"/>
  <c r="W2260" i="3"/>
  <c r="X2260" i="3"/>
  <c r="R2261" i="3"/>
  <c r="V2261" i="3"/>
  <c r="W2261" i="3"/>
  <c r="X2261" i="3"/>
  <c r="R2262" i="3"/>
  <c r="V2262" i="3"/>
  <c r="W2262" i="3"/>
  <c r="X2262" i="3"/>
  <c r="R2263" i="3"/>
  <c r="V2263" i="3"/>
  <c r="W2263" i="3"/>
  <c r="X2263" i="3"/>
  <c r="R2264" i="3"/>
  <c r="V2264" i="3"/>
  <c r="W2264" i="3"/>
  <c r="X2264" i="3"/>
  <c r="R2266" i="3"/>
  <c r="V2266" i="3"/>
  <c r="W2266" i="3"/>
  <c r="X2266" i="3"/>
  <c r="R2278" i="3"/>
  <c r="V2278" i="3"/>
  <c r="W2278" i="3"/>
  <c r="X2278" i="3"/>
  <c r="R2279" i="3"/>
  <c r="V2279" i="3"/>
  <c r="W2279" i="3"/>
  <c r="X2279" i="3"/>
  <c r="R2280" i="3"/>
  <c r="V2280" i="3"/>
  <c r="W2280" i="3"/>
  <c r="X2280" i="3"/>
  <c r="R2281" i="3"/>
  <c r="V2281" i="3"/>
  <c r="W2281" i="3"/>
  <c r="X2281" i="3"/>
  <c r="R2282" i="3"/>
  <c r="V2282" i="3"/>
  <c r="W2282" i="3"/>
  <c r="X2282" i="3"/>
  <c r="R2283" i="3"/>
  <c r="V2283" i="3"/>
  <c r="W2283" i="3"/>
  <c r="X2283" i="3"/>
  <c r="R2287" i="3"/>
  <c r="V2287" i="3"/>
  <c r="W2287" i="3"/>
  <c r="X2287" i="3"/>
  <c r="R2288" i="3"/>
  <c r="V2288" i="3"/>
  <c r="W2288" i="3"/>
  <c r="X2288" i="3"/>
  <c r="R2289" i="3"/>
  <c r="V2289" i="3"/>
  <c r="W2289" i="3"/>
  <c r="X2289" i="3"/>
  <c r="R2290" i="3"/>
  <c r="V2290" i="3"/>
  <c r="W2290" i="3"/>
  <c r="X2290" i="3"/>
  <c r="R2285" i="3"/>
  <c r="V2285" i="3"/>
  <c r="W2285" i="3"/>
  <c r="X2285" i="3"/>
  <c r="R1654" i="3"/>
  <c r="V1654" i="3"/>
  <c r="W1654" i="3"/>
  <c r="X1654" i="3"/>
  <c r="R1749" i="3"/>
  <c r="V1749" i="3"/>
  <c r="W1749" i="3"/>
  <c r="X1749" i="3"/>
  <c r="R1830" i="3"/>
  <c r="V1830" i="3"/>
  <c r="W1830" i="3"/>
  <c r="X1830" i="3"/>
  <c r="R1894" i="3"/>
  <c r="V1894" i="3"/>
  <c r="W1894" i="3"/>
  <c r="X1894" i="3"/>
  <c r="R1919" i="3"/>
  <c r="V1919" i="3"/>
  <c r="W1919" i="3"/>
  <c r="X1919" i="3"/>
  <c r="W2291" i="3"/>
  <c r="X2291" i="3"/>
  <c r="R2292" i="3"/>
  <c r="V2292" i="3"/>
  <c r="W2292" i="3"/>
  <c r="X2292" i="3"/>
  <c r="R2293" i="3"/>
  <c r="V2293" i="3"/>
  <c r="W2293" i="3"/>
  <c r="X2293" i="3"/>
  <c r="R2294" i="3"/>
  <c r="V2294" i="3"/>
  <c r="W2294" i="3"/>
  <c r="X2294" i="3"/>
  <c r="R2295" i="3"/>
  <c r="V2295" i="3"/>
  <c r="W2295" i="3"/>
  <c r="X2295" i="3"/>
  <c r="R2296" i="3"/>
  <c r="V2296" i="3"/>
  <c r="W2296" i="3"/>
  <c r="X2296" i="3"/>
  <c r="R2297" i="3"/>
  <c r="V2297" i="3"/>
  <c r="W2297" i="3"/>
  <c r="X2297" i="3"/>
  <c r="R2298" i="3"/>
  <c r="V2298" i="3"/>
  <c r="W2298" i="3"/>
  <c r="X2298" i="3"/>
  <c r="R2299" i="3"/>
  <c r="V2299" i="3"/>
  <c r="W2299" i="3"/>
  <c r="X2299" i="3"/>
  <c r="R2300" i="3"/>
  <c r="V2300" i="3"/>
  <c r="W2300" i="3"/>
  <c r="X2300" i="3"/>
  <c r="X2301" i="3"/>
  <c r="R2302" i="3"/>
  <c r="V2302" i="3"/>
  <c r="W2302" i="3"/>
  <c r="X2302" i="3"/>
  <c r="R2303" i="3"/>
  <c r="V2303" i="3"/>
  <c r="W2303" i="3"/>
  <c r="X2303" i="3"/>
  <c r="R2304" i="3"/>
  <c r="V2304" i="3"/>
  <c r="W2304" i="3"/>
  <c r="X2304" i="3"/>
  <c r="R2305" i="3"/>
  <c r="V2305" i="3"/>
  <c r="W2305" i="3"/>
  <c r="X2305" i="3"/>
  <c r="R2306" i="3"/>
  <c r="V2306" i="3"/>
  <c r="W2306" i="3"/>
  <c r="X2306" i="3"/>
  <c r="R2307" i="3"/>
  <c r="V2307" i="3"/>
  <c r="W2307" i="3"/>
  <c r="X2307" i="3"/>
  <c r="R2308" i="3"/>
  <c r="V2308" i="3"/>
  <c r="W2308" i="3"/>
  <c r="X2308" i="3"/>
  <c r="R2309" i="3"/>
  <c r="V2309" i="3"/>
  <c r="W2309" i="3"/>
  <c r="X2309" i="3"/>
  <c r="R2310" i="3"/>
  <c r="V2310" i="3"/>
  <c r="W2310" i="3"/>
  <c r="X2310" i="3"/>
  <c r="R2311" i="3"/>
  <c r="V2311" i="3"/>
  <c r="W2311" i="3"/>
  <c r="X2311" i="3"/>
  <c r="R2312" i="3"/>
  <c r="V2312" i="3"/>
  <c r="W2312" i="3"/>
  <c r="X2312" i="3"/>
  <c r="V2313" i="3"/>
  <c r="W2313" i="3"/>
  <c r="X2313" i="3"/>
  <c r="V2314" i="3"/>
  <c r="W2314" i="3"/>
  <c r="X2314" i="3"/>
  <c r="R2315" i="3"/>
  <c r="V2315" i="3"/>
  <c r="W2315" i="3"/>
  <c r="X2315" i="3"/>
  <c r="V2316" i="3"/>
  <c r="W2316" i="3"/>
  <c r="X2316" i="3"/>
  <c r="V2317" i="3"/>
  <c r="W2317" i="3"/>
  <c r="X2317" i="3"/>
  <c r="V2318" i="3"/>
  <c r="W2318" i="3"/>
  <c r="X2318" i="3"/>
  <c r="V2319" i="3"/>
  <c r="W2319" i="3"/>
  <c r="X2319" i="3"/>
  <c r="V2320" i="3"/>
  <c r="W2320" i="3"/>
  <c r="X2320" i="3"/>
  <c r="V2321" i="3"/>
  <c r="W2321" i="3"/>
  <c r="X2321" i="3"/>
  <c r="V2322" i="3"/>
  <c r="W2322" i="3"/>
  <c r="X2322" i="3"/>
  <c r="V2323" i="3"/>
  <c r="W2323" i="3"/>
  <c r="X2323" i="3"/>
  <c r="R2324" i="3"/>
  <c r="V2324" i="3"/>
  <c r="W2324" i="3"/>
  <c r="X2324" i="3"/>
  <c r="R2325" i="3"/>
  <c r="V2325" i="3"/>
  <c r="W2325" i="3"/>
  <c r="X2325" i="3"/>
  <c r="R2326" i="3"/>
  <c r="V2326" i="3"/>
  <c r="W2326" i="3"/>
  <c r="X2326" i="3"/>
  <c r="R2327" i="3"/>
  <c r="V2327" i="3"/>
  <c r="W2327" i="3"/>
  <c r="X2327" i="3"/>
  <c r="R2328" i="3"/>
  <c r="V2328" i="3"/>
  <c r="W2328" i="3"/>
  <c r="X2328" i="3"/>
  <c r="R2329" i="3"/>
  <c r="V2329" i="3"/>
  <c r="W2329" i="3"/>
  <c r="X2329" i="3"/>
  <c r="R2330" i="3"/>
  <c r="V2330" i="3"/>
  <c r="W2330" i="3"/>
  <c r="X2330" i="3"/>
  <c r="R2331" i="3"/>
  <c r="V2331" i="3"/>
  <c r="W2331" i="3"/>
  <c r="X2331" i="3"/>
  <c r="R2332" i="3"/>
  <c r="V2332" i="3"/>
  <c r="W2332" i="3"/>
  <c r="X2332" i="3"/>
  <c r="R2333" i="3"/>
  <c r="V2333" i="3"/>
  <c r="W2333" i="3"/>
  <c r="X2333" i="3"/>
  <c r="R2334" i="3"/>
  <c r="V2334" i="3"/>
  <c r="W2334" i="3"/>
  <c r="X2334" i="3"/>
  <c r="R2335" i="3"/>
  <c r="V2335" i="3"/>
  <c r="W2335" i="3"/>
  <c r="X2335" i="3"/>
  <c r="R2336" i="3"/>
  <c r="V2336" i="3"/>
  <c r="W2336" i="3"/>
  <c r="X2336" i="3"/>
  <c r="R2337" i="3"/>
  <c r="V2337" i="3"/>
  <c r="W2337" i="3"/>
  <c r="X2337" i="3"/>
  <c r="R2338" i="3"/>
  <c r="V2338" i="3"/>
  <c r="W2338" i="3"/>
  <c r="X2338" i="3"/>
  <c r="R2339" i="3"/>
  <c r="V2339" i="3"/>
  <c r="W2339" i="3"/>
  <c r="X2339" i="3"/>
  <c r="R2340" i="3"/>
  <c r="V2340" i="3"/>
  <c r="W2340" i="3"/>
  <c r="X2340" i="3"/>
  <c r="R2341" i="3"/>
  <c r="V2341" i="3"/>
  <c r="W2341" i="3"/>
  <c r="X2341" i="3"/>
  <c r="R2342" i="3"/>
  <c r="V2342" i="3"/>
  <c r="W2342" i="3"/>
  <c r="X2342" i="3"/>
  <c r="R2343" i="3"/>
  <c r="V2343" i="3"/>
  <c r="W2343" i="3"/>
  <c r="X2343" i="3"/>
  <c r="R2344" i="3"/>
  <c r="V2344" i="3"/>
  <c r="W2344" i="3"/>
  <c r="X2344" i="3"/>
  <c r="R2345" i="3"/>
  <c r="V2345" i="3"/>
  <c r="W2345" i="3"/>
  <c r="X2345" i="3"/>
  <c r="R2346" i="3"/>
  <c r="V2346" i="3"/>
  <c r="W2346" i="3"/>
  <c r="X2346" i="3"/>
  <c r="R2347" i="3"/>
  <c r="V2347" i="3"/>
  <c r="W2347" i="3"/>
  <c r="X2347" i="3"/>
  <c r="R2348" i="3"/>
  <c r="V2348" i="3"/>
  <c r="W2348" i="3"/>
  <c r="X2348" i="3"/>
  <c r="R2349" i="3"/>
  <c r="V2349" i="3"/>
  <c r="W2349" i="3"/>
  <c r="X2349" i="3"/>
  <c r="R2350" i="3"/>
  <c r="V2350" i="3"/>
  <c r="W2350" i="3"/>
  <c r="X2350" i="3"/>
  <c r="R2351" i="3"/>
  <c r="V2351" i="3"/>
  <c r="W2351" i="3"/>
  <c r="X2351" i="3"/>
  <c r="R2352" i="3"/>
  <c r="V2352" i="3"/>
  <c r="W2352" i="3"/>
  <c r="X2352" i="3"/>
  <c r="R2353" i="3"/>
  <c r="V2353" i="3"/>
  <c r="W2353" i="3"/>
  <c r="X2353" i="3"/>
  <c r="R2354" i="3"/>
  <c r="V2354" i="3"/>
  <c r="W2354" i="3"/>
  <c r="X2354" i="3"/>
  <c r="R2355" i="3"/>
  <c r="V2355" i="3"/>
  <c r="W2355" i="3"/>
  <c r="X2355" i="3"/>
  <c r="R2356" i="3"/>
  <c r="V2356" i="3"/>
  <c r="W2356" i="3"/>
  <c r="X2356" i="3"/>
  <c r="R2357" i="3"/>
  <c r="V2357" i="3"/>
  <c r="W2357" i="3"/>
  <c r="X2357" i="3"/>
  <c r="R2358" i="3"/>
  <c r="V2358" i="3"/>
  <c r="W2358" i="3"/>
  <c r="X2358" i="3"/>
  <c r="R2359" i="3"/>
  <c r="V2359" i="3"/>
  <c r="W2359" i="3"/>
  <c r="X2359" i="3"/>
  <c r="R2360" i="3"/>
  <c r="V2360" i="3"/>
  <c r="W2360" i="3"/>
  <c r="X2360" i="3"/>
  <c r="R2361" i="3"/>
  <c r="V2361" i="3"/>
  <c r="W2361" i="3"/>
  <c r="X2361" i="3"/>
  <c r="R2362" i="3"/>
  <c r="V2362" i="3"/>
  <c r="W2362" i="3"/>
  <c r="X2362" i="3"/>
  <c r="R2363" i="3"/>
  <c r="V2363" i="3"/>
  <c r="W2363" i="3"/>
  <c r="X2363" i="3"/>
  <c r="R2364" i="3"/>
  <c r="V2364" i="3"/>
  <c r="W2364" i="3"/>
  <c r="X2364" i="3"/>
  <c r="R2365" i="3"/>
  <c r="V2365" i="3"/>
  <c r="W2365" i="3"/>
  <c r="X2365" i="3"/>
  <c r="R2366" i="3"/>
  <c r="V2366" i="3"/>
  <c r="W2366" i="3"/>
  <c r="X2366" i="3"/>
  <c r="R2367" i="3"/>
  <c r="V2367" i="3"/>
  <c r="W2367" i="3"/>
  <c r="X2367" i="3"/>
  <c r="R2368" i="3"/>
  <c r="V2368" i="3"/>
  <c r="W2368" i="3"/>
  <c r="X2368" i="3"/>
  <c r="R2369" i="3"/>
  <c r="V2369" i="3"/>
  <c r="W2369" i="3"/>
  <c r="X2369" i="3"/>
  <c r="R2370" i="3"/>
  <c r="V2370" i="3"/>
  <c r="W2370" i="3"/>
  <c r="X2370" i="3"/>
  <c r="R2371" i="3"/>
  <c r="V2371" i="3"/>
  <c r="W2371" i="3"/>
  <c r="X2371" i="3"/>
  <c r="R2372" i="3"/>
  <c r="V2372" i="3"/>
  <c r="W2372" i="3"/>
  <c r="X2372" i="3"/>
  <c r="R2373" i="3"/>
  <c r="V2373" i="3"/>
  <c r="W2373" i="3"/>
  <c r="X2373" i="3"/>
  <c r="R2374" i="3"/>
  <c r="V2374" i="3"/>
  <c r="W2374" i="3"/>
  <c r="X2374" i="3"/>
  <c r="R2375" i="3"/>
  <c r="V2375" i="3"/>
  <c r="W2375" i="3"/>
  <c r="X2375" i="3"/>
  <c r="R2376" i="3"/>
  <c r="V2376" i="3"/>
  <c r="W2376" i="3"/>
  <c r="X2376" i="3"/>
  <c r="R2377" i="3"/>
  <c r="V2377" i="3"/>
  <c r="W2377" i="3"/>
  <c r="X2377" i="3"/>
  <c r="R2378" i="3"/>
  <c r="V2378" i="3"/>
  <c r="W2378" i="3"/>
  <c r="X2378" i="3"/>
  <c r="R2379" i="3"/>
  <c r="V2379" i="3"/>
  <c r="W2379" i="3"/>
  <c r="X2379" i="3"/>
  <c r="R2380" i="3"/>
  <c r="V2380" i="3"/>
  <c r="W2380" i="3"/>
  <c r="X2380" i="3"/>
  <c r="R2381" i="3"/>
  <c r="V2381" i="3"/>
  <c r="W2381" i="3"/>
  <c r="X2381" i="3"/>
  <c r="R2382" i="3"/>
  <c r="V2382" i="3"/>
  <c r="W2382" i="3"/>
  <c r="X2382" i="3"/>
  <c r="R2383" i="3"/>
  <c r="V2383" i="3"/>
  <c r="W2383" i="3"/>
  <c r="X2383" i="3"/>
  <c r="R2384" i="3"/>
  <c r="V2384" i="3"/>
  <c r="W2384" i="3"/>
  <c r="X2384" i="3"/>
  <c r="R2385" i="3"/>
  <c r="V2385" i="3"/>
  <c r="W2385" i="3"/>
  <c r="X2385" i="3"/>
  <c r="R2386" i="3"/>
  <c r="V2386" i="3"/>
  <c r="W2386" i="3"/>
  <c r="X2386" i="3"/>
  <c r="R2387" i="3"/>
  <c r="V2387" i="3"/>
  <c r="W2387" i="3"/>
  <c r="X2387" i="3"/>
  <c r="R2388" i="3"/>
  <c r="V2388" i="3"/>
  <c r="W2388" i="3"/>
  <c r="X2388" i="3"/>
  <c r="R2389" i="3"/>
  <c r="V2389" i="3"/>
  <c r="W2389" i="3"/>
  <c r="X2389" i="3"/>
  <c r="R2390" i="3"/>
  <c r="V2390" i="3"/>
  <c r="W2390" i="3"/>
  <c r="X2390" i="3"/>
  <c r="R2391" i="3"/>
  <c r="V2391" i="3"/>
  <c r="W2391" i="3"/>
  <c r="X2391" i="3"/>
  <c r="R2392" i="3"/>
  <c r="V2392" i="3"/>
  <c r="W2392" i="3"/>
  <c r="X2392" i="3"/>
  <c r="R2393" i="3"/>
  <c r="V2393" i="3"/>
  <c r="W2393" i="3"/>
  <c r="X2393" i="3"/>
  <c r="R2394" i="3"/>
  <c r="V2394" i="3"/>
  <c r="W2394" i="3"/>
  <c r="X2394" i="3"/>
  <c r="R2395" i="3"/>
  <c r="V2395" i="3"/>
  <c r="W2395" i="3"/>
  <c r="X2395" i="3"/>
  <c r="R2396" i="3"/>
  <c r="V2396" i="3"/>
  <c r="W2396" i="3"/>
  <c r="X2396" i="3"/>
  <c r="R2397" i="3"/>
  <c r="V2397" i="3"/>
  <c r="W2397" i="3"/>
  <c r="X2397" i="3"/>
  <c r="R2398" i="3"/>
  <c r="V2398" i="3"/>
  <c r="W2398" i="3"/>
  <c r="X2398" i="3"/>
  <c r="R2399" i="3"/>
  <c r="V2399" i="3"/>
  <c r="W2399" i="3"/>
  <c r="X2399" i="3"/>
  <c r="R2400" i="3"/>
  <c r="V2400" i="3"/>
  <c r="W2400" i="3"/>
  <c r="X2400" i="3"/>
  <c r="R2401" i="3"/>
  <c r="V2401" i="3"/>
  <c r="W2401" i="3"/>
  <c r="X2401" i="3"/>
  <c r="R2402" i="3"/>
  <c r="V2402" i="3"/>
  <c r="W2402" i="3"/>
  <c r="X2402" i="3"/>
  <c r="R2403" i="3"/>
  <c r="V2403" i="3"/>
  <c r="W2403" i="3"/>
  <c r="X2403" i="3"/>
  <c r="R2404" i="3"/>
  <c r="V2404" i="3"/>
  <c r="W2404" i="3"/>
  <c r="X2404" i="3"/>
  <c r="R2405" i="3"/>
  <c r="V2405" i="3"/>
  <c r="W2405" i="3"/>
  <c r="X2405" i="3"/>
  <c r="R2406" i="3"/>
  <c r="V2406" i="3"/>
  <c r="W2406" i="3"/>
  <c r="X2406" i="3"/>
  <c r="R2407" i="3"/>
  <c r="V2407" i="3"/>
  <c r="W2407" i="3"/>
  <c r="X2407" i="3"/>
  <c r="R2408" i="3"/>
  <c r="V2408" i="3"/>
  <c r="W2408" i="3"/>
  <c r="X2408" i="3"/>
  <c r="R2409" i="3"/>
  <c r="V2409" i="3"/>
  <c r="W2409" i="3"/>
  <c r="X2409" i="3"/>
  <c r="R2410" i="3"/>
  <c r="V2410" i="3"/>
  <c r="W2410" i="3"/>
  <c r="X2410" i="3"/>
  <c r="R2411" i="3"/>
  <c r="V2411" i="3"/>
  <c r="W2411" i="3"/>
  <c r="X2411" i="3"/>
  <c r="R2412" i="3"/>
  <c r="V2412" i="3"/>
  <c r="W2412" i="3"/>
  <c r="X2412" i="3"/>
  <c r="R2413" i="3"/>
  <c r="V2413" i="3"/>
  <c r="W2413" i="3"/>
  <c r="X2413" i="3"/>
  <c r="R2414" i="3"/>
  <c r="V2414" i="3"/>
  <c r="W2414" i="3"/>
  <c r="X2414" i="3"/>
  <c r="R2415" i="3"/>
  <c r="V2415" i="3"/>
  <c r="W2415" i="3"/>
  <c r="X2415" i="3"/>
  <c r="R2416" i="3"/>
  <c r="V2416" i="3"/>
  <c r="W2416" i="3"/>
  <c r="X2416" i="3"/>
  <c r="R2417" i="3"/>
  <c r="V2417" i="3"/>
  <c r="W2417" i="3"/>
  <c r="X2417" i="3"/>
  <c r="R2418" i="3"/>
  <c r="V2418" i="3"/>
  <c r="W2418" i="3"/>
  <c r="X2418" i="3"/>
  <c r="R2419" i="3"/>
  <c r="V2419" i="3"/>
  <c r="W2419" i="3"/>
  <c r="X2419" i="3"/>
  <c r="R2420" i="3"/>
  <c r="V2420" i="3"/>
  <c r="W2420" i="3"/>
  <c r="X2420" i="3"/>
  <c r="R2421" i="3"/>
  <c r="V2421" i="3"/>
  <c r="W2421" i="3"/>
  <c r="X2421" i="3"/>
  <c r="R2422" i="3"/>
  <c r="V2422" i="3"/>
  <c r="W2422" i="3"/>
  <c r="X2422" i="3"/>
  <c r="R2423" i="3"/>
  <c r="V2423" i="3"/>
  <c r="W2423" i="3"/>
  <c r="X2423" i="3"/>
  <c r="R2424" i="3"/>
  <c r="V2424" i="3"/>
  <c r="W2424" i="3"/>
  <c r="X2424" i="3"/>
  <c r="R2425" i="3"/>
  <c r="V2425" i="3"/>
  <c r="W2425" i="3"/>
  <c r="X2425" i="3"/>
  <c r="R2426" i="3"/>
  <c r="V2426" i="3"/>
  <c r="W2426" i="3"/>
  <c r="X2426" i="3"/>
  <c r="R2427" i="3"/>
  <c r="V2427" i="3"/>
  <c r="W2427" i="3"/>
  <c r="X2427" i="3"/>
  <c r="R2428" i="3"/>
  <c r="V2428" i="3"/>
  <c r="W2428" i="3"/>
  <c r="X2428" i="3"/>
  <c r="R2429" i="3"/>
  <c r="V2429" i="3"/>
  <c r="W2429" i="3"/>
  <c r="X2429" i="3"/>
  <c r="R2430" i="3"/>
  <c r="V2430" i="3"/>
  <c r="W2430" i="3"/>
  <c r="X2430" i="3"/>
  <c r="R2431" i="3"/>
  <c r="V2431" i="3"/>
  <c r="W2431" i="3"/>
  <c r="X2431" i="3"/>
  <c r="R2432" i="3"/>
  <c r="V2432" i="3"/>
  <c r="W2432" i="3"/>
  <c r="X2432" i="3"/>
  <c r="R2433" i="3"/>
  <c r="V2433" i="3"/>
  <c r="W2433" i="3"/>
  <c r="X2433" i="3"/>
  <c r="R2434" i="3"/>
  <c r="V2434" i="3"/>
  <c r="W2434" i="3"/>
  <c r="X2434" i="3"/>
  <c r="R2435" i="3"/>
  <c r="V2435" i="3"/>
  <c r="W2435" i="3"/>
  <c r="X2435" i="3"/>
  <c r="R2436" i="3"/>
  <c r="V2436" i="3"/>
  <c r="W2436" i="3"/>
  <c r="X2436" i="3"/>
  <c r="R2437" i="3"/>
  <c r="V2437" i="3"/>
  <c r="W2437" i="3"/>
  <c r="X2437" i="3"/>
  <c r="R2438" i="3"/>
  <c r="V2438" i="3"/>
  <c r="W2438" i="3"/>
  <c r="X2438" i="3"/>
  <c r="R2439" i="3"/>
  <c r="V2439" i="3"/>
  <c r="W2439" i="3"/>
  <c r="X2439" i="3"/>
  <c r="R2440" i="3"/>
  <c r="V2440" i="3"/>
  <c r="W2440" i="3"/>
  <c r="X2440" i="3"/>
  <c r="R2441" i="3"/>
  <c r="V2441" i="3"/>
  <c r="W2441" i="3"/>
  <c r="X2441" i="3"/>
  <c r="R2442" i="3"/>
  <c r="V2442" i="3"/>
  <c r="W2442" i="3"/>
  <c r="X2442" i="3"/>
  <c r="R2443" i="3"/>
  <c r="V2443" i="3"/>
  <c r="W2443" i="3"/>
  <c r="X2443" i="3"/>
  <c r="R2444" i="3"/>
  <c r="V2444" i="3"/>
  <c r="W2444" i="3"/>
  <c r="X2444" i="3"/>
  <c r="R2445" i="3"/>
  <c r="V2445" i="3"/>
  <c r="W2445" i="3"/>
  <c r="X2445" i="3"/>
  <c r="R2446" i="3"/>
  <c r="V2446" i="3"/>
  <c r="W2446" i="3"/>
  <c r="X2446" i="3"/>
  <c r="R2447" i="3"/>
  <c r="V2447" i="3"/>
  <c r="W2447" i="3"/>
  <c r="X2447" i="3"/>
  <c r="R2448" i="3"/>
  <c r="V2448" i="3"/>
  <c r="W2448" i="3"/>
  <c r="X2448" i="3"/>
  <c r="R2449" i="3"/>
  <c r="V2449" i="3"/>
  <c r="W2449" i="3"/>
  <c r="X2449" i="3"/>
  <c r="R2450" i="3"/>
  <c r="V2450" i="3"/>
  <c r="W2450" i="3"/>
  <c r="X2450" i="3"/>
  <c r="R2451" i="3"/>
  <c r="V2451" i="3"/>
  <c r="W2451" i="3"/>
  <c r="X2451" i="3"/>
  <c r="R2452" i="3"/>
  <c r="V2452" i="3"/>
  <c r="W2452" i="3"/>
  <c r="X2452" i="3"/>
  <c r="R2453" i="3"/>
  <c r="V2453" i="3"/>
  <c r="W2453" i="3"/>
  <c r="X2453" i="3"/>
  <c r="R2454" i="3"/>
  <c r="V2454" i="3"/>
  <c r="W2454" i="3"/>
  <c r="X2454" i="3"/>
  <c r="R2455" i="3"/>
  <c r="V2455" i="3"/>
  <c r="W2455" i="3"/>
  <c r="X2455" i="3"/>
  <c r="R2456" i="3"/>
  <c r="V2456" i="3"/>
  <c r="W2456" i="3"/>
  <c r="X2456" i="3"/>
  <c r="R2457" i="3"/>
  <c r="V2457" i="3"/>
  <c r="W2457" i="3"/>
  <c r="X2457" i="3"/>
  <c r="R2458" i="3"/>
  <c r="V2458" i="3"/>
  <c r="W2458" i="3"/>
  <c r="X2458" i="3"/>
  <c r="R2459" i="3"/>
  <c r="V2459" i="3"/>
  <c r="W2459" i="3"/>
  <c r="X2459" i="3"/>
  <c r="R2460" i="3"/>
  <c r="V2460" i="3"/>
  <c r="W2460" i="3"/>
  <c r="X2460" i="3"/>
  <c r="R2461" i="3"/>
  <c r="V2461" i="3"/>
  <c r="W2461" i="3"/>
  <c r="X2461" i="3"/>
  <c r="R2462" i="3"/>
  <c r="V2462" i="3"/>
  <c r="W2462" i="3"/>
  <c r="X2462" i="3"/>
  <c r="R2463" i="3"/>
  <c r="V2463" i="3"/>
  <c r="W2463" i="3"/>
  <c r="X2463" i="3"/>
  <c r="R2464" i="3"/>
  <c r="V2464" i="3"/>
  <c r="W2464" i="3"/>
  <c r="X2464" i="3"/>
  <c r="R2465" i="3"/>
  <c r="V2465" i="3"/>
  <c r="W2465" i="3"/>
  <c r="X2465" i="3"/>
  <c r="R2466" i="3"/>
  <c r="V2466" i="3"/>
  <c r="W2466" i="3"/>
  <c r="X2466" i="3"/>
  <c r="R2467" i="3"/>
  <c r="V2467" i="3"/>
  <c r="W2467" i="3"/>
  <c r="X2467" i="3"/>
  <c r="R2468" i="3"/>
  <c r="V2468" i="3"/>
  <c r="W2468" i="3"/>
  <c r="X2468" i="3"/>
  <c r="R2469" i="3"/>
  <c r="V2469" i="3"/>
  <c r="W2469" i="3"/>
  <c r="X2469" i="3"/>
  <c r="R2470" i="3"/>
  <c r="V2470" i="3"/>
  <c r="W2470" i="3"/>
  <c r="X2470" i="3"/>
  <c r="R2471" i="3"/>
  <c r="V2471" i="3"/>
  <c r="W2471" i="3"/>
  <c r="X2471" i="3"/>
  <c r="R2472" i="3"/>
  <c r="V2472" i="3"/>
  <c r="W2472" i="3"/>
  <c r="X2472" i="3"/>
  <c r="R2473" i="3"/>
  <c r="V2473" i="3"/>
  <c r="W2473" i="3"/>
  <c r="X2473" i="3"/>
  <c r="R2474" i="3"/>
  <c r="V2474" i="3"/>
  <c r="W2474" i="3"/>
  <c r="X2474" i="3"/>
  <c r="R2475" i="3"/>
  <c r="V2475" i="3"/>
  <c r="W2475" i="3"/>
  <c r="X2475" i="3"/>
  <c r="R2476" i="3"/>
  <c r="V2476" i="3"/>
  <c r="W2476" i="3"/>
  <c r="X2476" i="3"/>
  <c r="R2477" i="3"/>
  <c r="V2477" i="3"/>
  <c r="W2477" i="3"/>
  <c r="X2477" i="3"/>
  <c r="R2478" i="3"/>
  <c r="V2478" i="3"/>
  <c r="W2478" i="3"/>
  <c r="X2478" i="3"/>
  <c r="R2479" i="3"/>
  <c r="V2479" i="3"/>
  <c r="W2479" i="3"/>
  <c r="X2479" i="3"/>
  <c r="R2480" i="3"/>
  <c r="V2480" i="3"/>
  <c r="W2480" i="3"/>
  <c r="X2480" i="3"/>
  <c r="R2481" i="3"/>
  <c r="V2481" i="3"/>
  <c r="W2481" i="3"/>
  <c r="X2481" i="3"/>
  <c r="R2482" i="3"/>
  <c r="V2482" i="3"/>
  <c r="W2482" i="3"/>
  <c r="X2482" i="3"/>
  <c r="R2483" i="3"/>
  <c r="V2483" i="3"/>
  <c r="W2483" i="3"/>
  <c r="X2483" i="3"/>
  <c r="R2484" i="3"/>
  <c r="V2484" i="3"/>
  <c r="W2484" i="3"/>
  <c r="X2484" i="3"/>
  <c r="R2485" i="3"/>
  <c r="V2485" i="3"/>
  <c r="W2485" i="3"/>
  <c r="X2485" i="3"/>
  <c r="R2486" i="3"/>
  <c r="V2486" i="3"/>
  <c r="W2486" i="3"/>
  <c r="X2486" i="3"/>
  <c r="R2487" i="3"/>
  <c r="V2487" i="3"/>
  <c r="W2487" i="3"/>
  <c r="X2487" i="3"/>
  <c r="R2488" i="3"/>
  <c r="V2488" i="3"/>
  <c r="W2488" i="3"/>
  <c r="X2488" i="3"/>
  <c r="R2489" i="3"/>
  <c r="V2489" i="3"/>
  <c r="W2489" i="3"/>
  <c r="X2489" i="3"/>
  <c r="R2490" i="3"/>
  <c r="V2490" i="3"/>
  <c r="W2490" i="3"/>
  <c r="X2490" i="3"/>
  <c r="R2491" i="3"/>
  <c r="V2491" i="3"/>
  <c r="W2491" i="3"/>
  <c r="X2491" i="3"/>
  <c r="R2492" i="3"/>
  <c r="V2492" i="3"/>
  <c r="W2492" i="3"/>
  <c r="X2492" i="3"/>
  <c r="R2493" i="3"/>
  <c r="V2493" i="3"/>
  <c r="W2493" i="3"/>
  <c r="X2493" i="3"/>
  <c r="R2494" i="3"/>
  <c r="V2494" i="3"/>
  <c r="W2494" i="3"/>
  <c r="X2494" i="3"/>
  <c r="R2495" i="3"/>
  <c r="V2495" i="3"/>
  <c r="W2495" i="3"/>
  <c r="X2495" i="3"/>
  <c r="R2496" i="3"/>
  <c r="V2496" i="3"/>
  <c r="W2496" i="3"/>
  <c r="X2496" i="3"/>
  <c r="R2497" i="3"/>
  <c r="V2497" i="3"/>
  <c r="W2497" i="3"/>
  <c r="X2497" i="3"/>
  <c r="R2498" i="3"/>
  <c r="V2498" i="3"/>
  <c r="W2498" i="3"/>
  <c r="X2498" i="3"/>
  <c r="R2499" i="3"/>
  <c r="V2499" i="3"/>
  <c r="W2499" i="3"/>
  <c r="X2499" i="3"/>
  <c r="R2500" i="3"/>
  <c r="V2500" i="3"/>
  <c r="W2500" i="3"/>
  <c r="X2500" i="3"/>
  <c r="R2501" i="3"/>
  <c r="V2501" i="3"/>
  <c r="W2501" i="3"/>
  <c r="X2501" i="3"/>
  <c r="R2502" i="3"/>
  <c r="V2502" i="3"/>
  <c r="W2502" i="3"/>
  <c r="X2502" i="3"/>
  <c r="R2503" i="3"/>
  <c r="V2503" i="3"/>
  <c r="W2503" i="3"/>
  <c r="X2503" i="3"/>
  <c r="R2504" i="3"/>
  <c r="V2504" i="3"/>
  <c r="W2504" i="3"/>
  <c r="X2504" i="3"/>
  <c r="R2505" i="3"/>
  <c r="V2505" i="3"/>
  <c r="W2505" i="3"/>
  <c r="X2505" i="3"/>
  <c r="R2506" i="3"/>
  <c r="V2506" i="3"/>
  <c r="W2506" i="3"/>
  <c r="X2506" i="3"/>
  <c r="R2507" i="3"/>
  <c r="V2507" i="3"/>
  <c r="W2507" i="3"/>
  <c r="X2507" i="3"/>
  <c r="R2508" i="3"/>
  <c r="V2508" i="3"/>
  <c r="W2508" i="3"/>
  <c r="X2508" i="3"/>
  <c r="R2509" i="3"/>
  <c r="V2509" i="3"/>
  <c r="W2509" i="3"/>
  <c r="X2509" i="3"/>
  <c r="R2510" i="3"/>
  <c r="V2510" i="3"/>
  <c r="W2510" i="3"/>
  <c r="X2510" i="3"/>
  <c r="R2511" i="3"/>
  <c r="V2511" i="3"/>
  <c r="W2511" i="3"/>
  <c r="X2511" i="3"/>
  <c r="R2512" i="3"/>
  <c r="V2512" i="3"/>
  <c r="W2512" i="3"/>
  <c r="X2512" i="3"/>
  <c r="R2513" i="3"/>
  <c r="V2513" i="3"/>
  <c r="W2513" i="3"/>
  <c r="X2513" i="3"/>
  <c r="R2514" i="3"/>
  <c r="V2514" i="3"/>
  <c r="W2514" i="3"/>
  <c r="X2514" i="3"/>
  <c r="R2515" i="3"/>
  <c r="V2515" i="3"/>
  <c r="W2515" i="3"/>
  <c r="X2515" i="3"/>
  <c r="R2516" i="3"/>
  <c r="V2516" i="3"/>
  <c r="W2516" i="3"/>
  <c r="X2516" i="3"/>
  <c r="R2517" i="3"/>
  <c r="V2517" i="3"/>
  <c r="W2517" i="3"/>
  <c r="X2517" i="3"/>
  <c r="R2518" i="3"/>
  <c r="V2518" i="3"/>
  <c r="W2518" i="3"/>
  <c r="X2518" i="3"/>
  <c r="R2519" i="3"/>
  <c r="V2519" i="3"/>
  <c r="W2519" i="3"/>
  <c r="X2519" i="3"/>
  <c r="R2520" i="3"/>
  <c r="V2520" i="3"/>
  <c r="W2520" i="3"/>
  <c r="X2520" i="3"/>
  <c r="R2521" i="3"/>
  <c r="V2521" i="3"/>
  <c r="W2521" i="3"/>
  <c r="X2521" i="3"/>
  <c r="R2522" i="3"/>
  <c r="V2522" i="3"/>
  <c r="W2522" i="3"/>
  <c r="X2522" i="3"/>
  <c r="R2523" i="3"/>
  <c r="V2523" i="3"/>
  <c r="W2523" i="3"/>
  <c r="X2523" i="3"/>
  <c r="R2524" i="3"/>
  <c r="V2524" i="3"/>
  <c r="W2524" i="3"/>
  <c r="X2524" i="3"/>
  <c r="R2525" i="3"/>
  <c r="V2525" i="3"/>
  <c r="W2525" i="3"/>
  <c r="X2525" i="3"/>
  <c r="R2526" i="3"/>
  <c r="V2526" i="3"/>
  <c r="W2526" i="3"/>
  <c r="X2526" i="3"/>
  <c r="R2527" i="3"/>
  <c r="V2527" i="3"/>
  <c r="W2527" i="3"/>
  <c r="X2527" i="3"/>
  <c r="R2528" i="3"/>
  <c r="V2528" i="3"/>
  <c r="W2528" i="3"/>
  <c r="X2528" i="3"/>
  <c r="R2529" i="3"/>
  <c r="V2529" i="3"/>
  <c r="W2529" i="3"/>
  <c r="X2529" i="3"/>
  <c r="R2530" i="3"/>
  <c r="V2530" i="3"/>
  <c r="W2530" i="3"/>
  <c r="X2530" i="3"/>
  <c r="R2531" i="3"/>
  <c r="V2531" i="3"/>
  <c r="W2531" i="3"/>
  <c r="X2531" i="3"/>
  <c r="R2532" i="3"/>
  <c r="V2532" i="3"/>
  <c r="W2532" i="3"/>
  <c r="X2532" i="3"/>
  <c r="R2533" i="3"/>
  <c r="V2533" i="3"/>
  <c r="W2533" i="3"/>
  <c r="X2533" i="3"/>
  <c r="R2534" i="3"/>
  <c r="V2534" i="3"/>
  <c r="W2534" i="3"/>
  <c r="X2534" i="3"/>
  <c r="R2535" i="3"/>
  <c r="V2535" i="3"/>
  <c r="W2535" i="3"/>
  <c r="X2535" i="3"/>
  <c r="R2536" i="3"/>
  <c r="V2536" i="3"/>
  <c r="W2536" i="3"/>
  <c r="X2536" i="3"/>
  <c r="R2537" i="3"/>
  <c r="V2537" i="3"/>
  <c r="W2537" i="3"/>
  <c r="X2537" i="3"/>
  <c r="R2538" i="3"/>
  <c r="V2538" i="3"/>
  <c r="W2538" i="3"/>
  <c r="X2538" i="3"/>
  <c r="R2539" i="3"/>
  <c r="V2539" i="3"/>
  <c r="W2539" i="3"/>
  <c r="X2539" i="3"/>
  <c r="R2540" i="3"/>
  <c r="V2540" i="3"/>
  <c r="W2540" i="3"/>
  <c r="X2540" i="3"/>
  <c r="R2541" i="3"/>
  <c r="V2541" i="3"/>
  <c r="W2541" i="3"/>
  <c r="X2541" i="3"/>
  <c r="R2542" i="3"/>
  <c r="V2542" i="3"/>
  <c r="W2542" i="3"/>
  <c r="X2542" i="3"/>
  <c r="R2543" i="3"/>
  <c r="V2543" i="3"/>
  <c r="W2543" i="3"/>
  <c r="X2543" i="3"/>
  <c r="R2544" i="3"/>
  <c r="V2544" i="3"/>
  <c r="W2544" i="3"/>
  <c r="X2544" i="3"/>
  <c r="R2545" i="3"/>
  <c r="V2545" i="3"/>
  <c r="W2545" i="3"/>
  <c r="X2545" i="3"/>
  <c r="R2546" i="3"/>
  <c r="V2546" i="3"/>
  <c r="W2546" i="3"/>
  <c r="X2546" i="3"/>
  <c r="R2547" i="3"/>
  <c r="V2547" i="3"/>
  <c r="W2547" i="3"/>
  <c r="X2547" i="3"/>
  <c r="R2548" i="3"/>
  <c r="V2548" i="3"/>
  <c r="W2548" i="3"/>
  <c r="X2548" i="3"/>
  <c r="R2549" i="3"/>
  <c r="V2549" i="3"/>
  <c r="W2549" i="3"/>
  <c r="X2549" i="3"/>
  <c r="R2550" i="3"/>
  <c r="V2550" i="3"/>
  <c r="W2550" i="3"/>
  <c r="X2550" i="3"/>
  <c r="R2551" i="3"/>
  <c r="V2551" i="3"/>
  <c r="W2551" i="3"/>
  <c r="X2551" i="3"/>
  <c r="R2552" i="3"/>
  <c r="V2552" i="3"/>
  <c r="W2552" i="3"/>
  <c r="X2552" i="3"/>
  <c r="R2553" i="3"/>
  <c r="V2553" i="3"/>
  <c r="W2553" i="3"/>
  <c r="X2553" i="3"/>
  <c r="R2554" i="3"/>
  <c r="V2554" i="3"/>
  <c r="W2554" i="3"/>
  <c r="X2554" i="3"/>
  <c r="R2555" i="3"/>
  <c r="V2555" i="3"/>
  <c r="W2555" i="3"/>
  <c r="X2555" i="3"/>
  <c r="R2556" i="3"/>
  <c r="V2556" i="3"/>
  <c r="W2556" i="3"/>
  <c r="X2556" i="3"/>
  <c r="R2557" i="3"/>
  <c r="V2557" i="3"/>
  <c r="W2557" i="3"/>
  <c r="X2557" i="3"/>
  <c r="R2558" i="3"/>
  <c r="V2558" i="3"/>
  <c r="W2558" i="3"/>
  <c r="X2558" i="3"/>
  <c r="R2559" i="3"/>
  <c r="V2559" i="3"/>
  <c r="W2559" i="3"/>
  <c r="X2559" i="3"/>
  <c r="R2560" i="3"/>
  <c r="V2560" i="3"/>
  <c r="W2560" i="3"/>
  <c r="X2560" i="3"/>
  <c r="R2561" i="3"/>
  <c r="V2561" i="3"/>
  <c r="W2561" i="3"/>
  <c r="X2561" i="3"/>
  <c r="R2562" i="3"/>
  <c r="V2562" i="3"/>
  <c r="W2562" i="3"/>
  <c r="X2562" i="3"/>
  <c r="R2563" i="3"/>
  <c r="V2563" i="3"/>
  <c r="W2563" i="3"/>
  <c r="X2563" i="3"/>
  <c r="R2564" i="3"/>
  <c r="V2564" i="3"/>
  <c r="W2564" i="3"/>
  <c r="X2564" i="3"/>
  <c r="R2565" i="3"/>
  <c r="V2565" i="3"/>
  <c r="W2565" i="3"/>
  <c r="X2565" i="3"/>
  <c r="R2566" i="3"/>
  <c r="V2566" i="3"/>
  <c r="W2566" i="3"/>
  <c r="X2566" i="3"/>
  <c r="R2567" i="3"/>
  <c r="V2567" i="3"/>
  <c r="W2567" i="3"/>
  <c r="X2567" i="3"/>
  <c r="R2568" i="3"/>
  <c r="V2568" i="3"/>
  <c r="W2568" i="3"/>
  <c r="X2568" i="3"/>
  <c r="R2569" i="3"/>
  <c r="V2569" i="3"/>
  <c r="W2569" i="3"/>
  <c r="X2569" i="3"/>
  <c r="R2570" i="3"/>
  <c r="V2570" i="3"/>
  <c r="W2570" i="3"/>
  <c r="X2570" i="3"/>
  <c r="R2571" i="3"/>
  <c r="V2571" i="3"/>
  <c r="W2571" i="3"/>
  <c r="X2571" i="3"/>
  <c r="R2572" i="3"/>
  <c r="V2572" i="3"/>
  <c r="W2572" i="3"/>
  <c r="X2572" i="3"/>
  <c r="R2573" i="3"/>
  <c r="V2573" i="3"/>
  <c r="W2573" i="3"/>
  <c r="X2573" i="3"/>
  <c r="R2574" i="3"/>
  <c r="V2574" i="3"/>
  <c r="W2574" i="3"/>
  <c r="X2574" i="3"/>
  <c r="R2575" i="3"/>
  <c r="V2575" i="3"/>
  <c r="W2575" i="3"/>
  <c r="X2575" i="3"/>
  <c r="R2576" i="3"/>
  <c r="V2576" i="3"/>
  <c r="W2576" i="3"/>
  <c r="X2576" i="3"/>
  <c r="R2577" i="3"/>
  <c r="V2577" i="3"/>
  <c r="W2577" i="3"/>
  <c r="X2577" i="3"/>
  <c r="R2578" i="3"/>
  <c r="V2578" i="3"/>
  <c r="W2578" i="3"/>
  <c r="X2578" i="3"/>
  <c r="R2579" i="3"/>
  <c r="V2579" i="3"/>
  <c r="W2579" i="3"/>
  <c r="X2579" i="3"/>
  <c r="R2580" i="3"/>
  <c r="V2580" i="3"/>
  <c r="W2580" i="3"/>
  <c r="X2580" i="3"/>
  <c r="R2581" i="3"/>
  <c r="V2581" i="3"/>
  <c r="W2581" i="3"/>
  <c r="X2581" i="3"/>
  <c r="R2582" i="3"/>
  <c r="V2582" i="3"/>
  <c r="W2582" i="3"/>
  <c r="X2582" i="3"/>
  <c r="R2583" i="3"/>
  <c r="V2583" i="3"/>
  <c r="W2583" i="3"/>
  <c r="X2583" i="3"/>
  <c r="R2584" i="3"/>
  <c r="V2584" i="3"/>
  <c r="W2584" i="3"/>
  <c r="X2584" i="3"/>
  <c r="R2585" i="3"/>
  <c r="V2585" i="3"/>
  <c r="W2585" i="3"/>
  <c r="X2585" i="3"/>
  <c r="R2586" i="3"/>
  <c r="V2586" i="3"/>
  <c r="W2586" i="3"/>
  <c r="X2586" i="3"/>
  <c r="R2587" i="3"/>
  <c r="V2587" i="3"/>
  <c r="W2587" i="3"/>
  <c r="X2587" i="3"/>
  <c r="R2588" i="3"/>
  <c r="V2588" i="3"/>
  <c r="W2588" i="3"/>
  <c r="X2588" i="3"/>
  <c r="R2589" i="3"/>
  <c r="V2589" i="3"/>
  <c r="W2589" i="3"/>
  <c r="X2589" i="3"/>
  <c r="R2590" i="3"/>
  <c r="V2590" i="3"/>
  <c r="W2590" i="3"/>
  <c r="X2590" i="3"/>
  <c r="R2591" i="3"/>
  <c r="V2591" i="3"/>
  <c r="W2591" i="3"/>
  <c r="X2591" i="3"/>
  <c r="R2592" i="3"/>
  <c r="V2592" i="3"/>
  <c r="W2592" i="3"/>
  <c r="X2592" i="3"/>
  <c r="R2593" i="3"/>
  <c r="V2593" i="3"/>
  <c r="W2593" i="3"/>
  <c r="X2593" i="3"/>
  <c r="R2594" i="3"/>
  <c r="V2594" i="3"/>
  <c r="W2594" i="3"/>
  <c r="X2594" i="3"/>
  <c r="R2595" i="3"/>
  <c r="V2595" i="3"/>
  <c r="W2595" i="3"/>
  <c r="X2595" i="3"/>
  <c r="R2596" i="3"/>
  <c r="V2596" i="3"/>
  <c r="W2596" i="3"/>
  <c r="X2596" i="3"/>
  <c r="R2597" i="3"/>
  <c r="V2597" i="3"/>
  <c r="W2597" i="3"/>
  <c r="X2597" i="3"/>
  <c r="R2598" i="3"/>
  <c r="V2598" i="3"/>
  <c r="W2598" i="3"/>
  <c r="X2598" i="3"/>
  <c r="R2599" i="3"/>
  <c r="V2599" i="3"/>
  <c r="W2599" i="3"/>
  <c r="X2599" i="3"/>
  <c r="R2600" i="3"/>
  <c r="V2600" i="3"/>
  <c r="W2600" i="3"/>
  <c r="X2600" i="3"/>
  <c r="R2601" i="3"/>
  <c r="V2601" i="3"/>
  <c r="W2601" i="3"/>
  <c r="X2601" i="3"/>
  <c r="R2602" i="3"/>
  <c r="V2602" i="3"/>
  <c r="W2602" i="3"/>
  <c r="X2602" i="3"/>
  <c r="R2603" i="3"/>
  <c r="V2603" i="3"/>
  <c r="W2603" i="3"/>
  <c r="X2603" i="3"/>
  <c r="R2604" i="3"/>
  <c r="V2604" i="3"/>
  <c r="W2604" i="3"/>
  <c r="X2604" i="3"/>
  <c r="R2605" i="3"/>
  <c r="V2605" i="3"/>
  <c r="W2605" i="3"/>
  <c r="X2605" i="3"/>
  <c r="R2606" i="3"/>
  <c r="V2606" i="3"/>
  <c r="W2606" i="3"/>
  <c r="X2606" i="3"/>
  <c r="R2607" i="3"/>
  <c r="V2607" i="3"/>
  <c r="W2607" i="3"/>
  <c r="X2607" i="3"/>
  <c r="R2608" i="3"/>
  <c r="V2608" i="3"/>
  <c r="W2608" i="3"/>
  <c r="X2608" i="3"/>
  <c r="R2609" i="3"/>
  <c r="V2609" i="3"/>
  <c r="W2609" i="3"/>
  <c r="X2609" i="3"/>
  <c r="R2610" i="3"/>
  <c r="V2610" i="3"/>
  <c r="W2610" i="3"/>
  <c r="X2610" i="3"/>
  <c r="R2611" i="3"/>
  <c r="V2611" i="3"/>
  <c r="W2611" i="3"/>
  <c r="X2611" i="3"/>
  <c r="R2612" i="3"/>
  <c r="V2612" i="3"/>
  <c r="W2612" i="3"/>
  <c r="X2612" i="3"/>
  <c r="R2613" i="3"/>
  <c r="V2613" i="3"/>
  <c r="W2613" i="3"/>
  <c r="X2613" i="3"/>
  <c r="R2614" i="3"/>
  <c r="V2614" i="3"/>
  <c r="W2614" i="3"/>
  <c r="X2614" i="3"/>
  <c r="R2615" i="3"/>
  <c r="V2615" i="3"/>
  <c r="W2615" i="3"/>
  <c r="X2615" i="3"/>
  <c r="R2616" i="3"/>
  <c r="V2616" i="3"/>
  <c r="W2616" i="3"/>
  <c r="X2616" i="3"/>
  <c r="R2617" i="3"/>
  <c r="V2617" i="3"/>
  <c r="W2617" i="3"/>
  <c r="X2617" i="3"/>
  <c r="R2618" i="3"/>
  <c r="V2618" i="3"/>
  <c r="W2618" i="3"/>
  <c r="X2618" i="3"/>
  <c r="R2619" i="3"/>
  <c r="V2619" i="3"/>
  <c r="W2619" i="3"/>
  <c r="X2619" i="3"/>
  <c r="R2620" i="3"/>
  <c r="V2620" i="3"/>
  <c r="W2620" i="3"/>
  <c r="X2620" i="3"/>
  <c r="R2621" i="3"/>
  <c r="V2621" i="3"/>
  <c r="W2621" i="3"/>
  <c r="X2621" i="3"/>
  <c r="R2622" i="3"/>
  <c r="V2622" i="3"/>
  <c r="W2622" i="3"/>
  <c r="X2622" i="3"/>
  <c r="R2623" i="3"/>
  <c r="V2623" i="3"/>
  <c r="W2623" i="3"/>
  <c r="X2623" i="3"/>
  <c r="R2624" i="3"/>
  <c r="V2624" i="3"/>
  <c r="W2624" i="3"/>
  <c r="X2624" i="3"/>
  <c r="R2625" i="3"/>
  <c r="V2625" i="3"/>
  <c r="W2625" i="3"/>
  <c r="X2625" i="3"/>
  <c r="R2626" i="3"/>
  <c r="V2626" i="3"/>
  <c r="W2626" i="3"/>
  <c r="X2626" i="3"/>
  <c r="R2627" i="3"/>
  <c r="V2627" i="3"/>
  <c r="W2627" i="3"/>
  <c r="X2627" i="3"/>
  <c r="R2628" i="3"/>
  <c r="V2628" i="3"/>
  <c r="W2628" i="3"/>
  <c r="X2628" i="3"/>
  <c r="R2629" i="3"/>
  <c r="V2629" i="3"/>
  <c r="W2629" i="3"/>
  <c r="X2629" i="3"/>
  <c r="R2630" i="3"/>
  <c r="V2630" i="3"/>
  <c r="W2630" i="3"/>
  <c r="X2630" i="3"/>
  <c r="R2631" i="3"/>
  <c r="V2631" i="3"/>
  <c r="W2631" i="3"/>
  <c r="X2631" i="3"/>
  <c r="R2632" i="3"/>
  <c r="V2632" i="3"/>
  <c r="W2632" i="3"/>
  <c r="X2632" i="3"/>
  <c r="R2633" i="3"/>
  <c r="V2633" i="3"/>
  <c r="W2633" i="3"/>
  <c r="X2633" i="3"/>
  <c r="R2634" i="3"/>
  <c r="V2634" i="3"/>
  <c r="W2634" i="3"/>
  <c r="X2634" i="3"/>
  <c r="R2635" i="3"/>
  <c r="V2635" i="3"/>
  <c r="W2635" i="3"/>
  <c r="X2635" i="3"/>
  <c r="R2636" i="3"/>
  <c r="V2636" i="3"/>
  <c r="W2636" i="3"/>
  <c r="X2636" i="3"/>
  <c r="R2637" i="3"/>
  <c r="V2637" i="3"/>
  <c r="W2637" i="3"/>
  <c r="X2637" i="3"/>
  <c r="R2638" i="3"/>
  <c r="V2638" i="3"/>
  <c r="W2638" i="3"/>
  <c r="X2638" i="3"/>
  <c r="R2639" i="3"/>
  <c r="V2639" i="3"/>
  <c r="W2639" i="3"/>
  <c r="X2639" i="3"/>
  <c r="R2640" i="3"/>
  <c r="V2640" i="3"/>
  <c r="W2640" i="3"/>
  <c r="X2640" i="3"/>
  <c r="R2641" i="3"/>
  <c r="V2641" i="3"/>
  <c r="W2641" i="3"/>
  <c r="X2641" i="3"/>
  <c r="R2642" i="3"/>
  <c r="V2642" i="3"/>
  <c r="W2642" i="3"/>
  <c r="X2642" i="3"/>
  <c r="R2643" i="3"/>
  <c r="V2643" i="3"/>
  <c r="W2643" i="3"/>
  <c r="X2643" i="3"/>
  <c r="R2644" i="3"/>
  <c r="V2644" i="3"/>
  <c r="W2644" i="3"/>
  <c r="X2644" i="3"/>
  <c r="R2645" i="3"/>
  <c r="V2645" i="3"/>
  <c r="W2645" i="3"/>
  <c r="X2645" i="3"/>
  <c r="R2646" i="3"/>
  <c r="V2646" i="3"/>
  <c r="W2646" i="3"/>
  <c r="X2646" i="3"/>
  <c r="R2647" i="3"/>
  <c r="V2647" i="3"/>
  <c r="W2647" i="3"/>
  <c r="X2647" i="3"/>
  <c r="R2648" i="3"/>
  <c r="V2648" i="3"/>
  <c r="W2648" i="3"/>
  <c r="X2648" i="3"/>
  <c r="R2649" i="3"/>
  <c r="V2649" i="3"/>
  <c r="W2649" i="3"/>
  <c r="X2649" i="3"/>
  <c r="R2650" i="3"/>
  <c r="V2650" i="3"/>
  <c r="W2650" i="3"/>
  <c r="X2650" i="3"/>
  <c r="R2651" i="3"/>
  <c r="V2651" i="3"/>
  <c r="W2651" i="3"/>
  <c r="X2651" i="3"/>
  <c r="R2652" i="3"/>
  <c r="V2652" i="3"/>
  <c r="W2652" i="3"/>
  <c r="X2652" i="3"/>
  <c r="R2653" i="3"/>
  <c r="V2653" i="3"/>
  <c r="W2653" i="3"/>
  <c r="X2653" i="3"/>
  <c r="R2654" i="3"/>
  <c r="V2654" i="3"/>
  <c r="W2654" i="3"/>
  <c r="X2654" i="3"/>
  <c r="R2655" i="3"/>
  <c r="V2655" i="3"/>
  <c r="W2655" i="3"/>
  <c r="X2655" i="3"/>
  <c r="R2656" i="3"/>
  <c r="V2656" i="3"/>
  <c r="W2656" i="3"/>
  <c r="X2656" i="3"/>
  <c r="R2657" i="3"/>
  <c r="V2657" i="3"/>
  <c r="W2657" i="3"/>
  <c r="X2657" i="3"/>
  <c r="R2658" i="3"/>
  <c r="V2658" i="3"/>
  <c r="W2658" i="3"/>
  <c r="X2658" i="3"/>
  <c r="R2659" i="3"/>
  <c r="V2659" i="3"/>
  <c r="W2659" i="3"/>
  <c r="X2659" i="3"/>
  <c r="R2660" i="3"/>
  <c r="V2660" i="3"/>
  <c r="W2660" i="3"/>
  <c r="X2660" i="3"/>
  <c r="R2661" i="3"/>
  <c r="V2661" i="3"/>
  <c r="W2661" i="3"/>
  <c r="X2661" i="3"/>
  <c r="R2662" i="3"/>
  <c r="V2662" i="3"/>
  <c r="W2662" i="3"/>
  <c r="X2662" i="3"/>
  <c r="R2663" i="3"/>
  <c r="V2663" i="3"/>
  <c r="W2663" i="3"/>
  <c r="X2663" i="3"/>
  <c r="R2664" i="3"/>
  <c r="V2664" i="3"/>
  <c r="W2664" i="3"/>
  <c r="X2664" i="3"/>
  <c r="R2665" i="3"/>
  <c r="V2665" i="3"/>
  <c r="W2665" i="3"/>
  <c r="X2665" i="3"/>
  <c r="R2666" i="3"/>
  <c r="V2666" i="3"/>
  <c r="W2666" i="3"/>
  <c r="X2666" i="3"/>
  <c r="R2667" i="3"/>
  <c r="V2667" i="3"/>
  <c r="W2667" i="3"/>
  <c r="X2667" i="3"/>
  <c r="R2668" i="3"/>
  <c r="V2668" i="3"/>
  <c r="W2668" i="3"/>
  <c r="X2668" i="3"/>
  <c r="R2669" i="3"/>
  <c r="V2669" i="3"/>
  <c r="W2669" i="3"/>
  <c r="X2669" i="3"/>
  <c r="R2670" i="3"/>
  <c r="V2670" i="3"/>
  <c r="W2670" i="3"/>
  <c r="X2670" i="3"/>
  <c r="R2671" i="3"/>
  <c r="V2671" i="3"/>
  <c r="W2671" i="3"/>
  <c r="X2671" i="3"/>
  <c r="R2672" i="3"/>
  <c r="V2672" i="3"/>
  <c r="W2672" i="3"/>
  <c r="X2672" i="3"/>
  <c r="R2673" i="3"/>
  <c r="V2673" i="3"/>
  <c r="W2673" i="3"/>
  <c r="X2673" i="3"/>
  <c r="R2674" i="3"/>
  <c r="V2674" i="3"/>
  <c r="W2674" i="3"/>
  <c r="X2674" i="3"/>
  <c r="R2675" i="3"/>
  <c r="V2675" i="3"/>
  <c r="W2675" i="3"/>
  <c r="X2675" i="3"/>
  <c r="R2676" i="3"/>
  <c r="V2676" i="3"/>
  <c r="W2676" i="3"/>
  <c r="X2676" i="3"/>
  <c r="R2677" i="3"/>
  <c r="V2677" i="3"/>
  <c r="W2677" i="3"/>
  <c r="X2677" i="3"/>
  <c r="R2678" i="3"/>
  <c r="V2678" i="3"/>
  <c r="W2678" i="3"/>
  <c r="X2678" i="3"/>
  <c r="R2679" i="3"/>
  <c r="V2679" i="3"/>
  <c r="W2679" i="3"/>
  <c r="X2679" i="3"/>
  <c r="R2680" i="3"/>
  <c r="V2680" i="3"/>
  <c r="W2680" i="3"/>
  <c r="X2680" i="3"/>
  <c r="R2681" i="3"/>
  <c r="V2681" i="3"/>
  <c r="W2681" i="3"/>
  <c r="X2681" i="3"/>
  <c r="R2682" i="3"/>
  <c r="V2682" i="3"/>
  <c r="W2682" i="3"/>
  <c r="X2682" i="3"/>
  <c r="R2683" i="3"/>
  <c r="V2683" i="3"/>
  <c r="W2683" i="3"/>
  <c r="X2683" i="3"/>
  <c r="R2684" i="3"/>
  <c r="V2684" i="3"/>
  <c r="W2684" i="3"/>
  <c r="X2684" i="3"/>
  <c r="R2685" i="3"/>
  <c r="V2685" i="3"/>
  <c r="W2685" i="3"/>
  <c r="X2685" i="3"/>
  <c r="R2686" i="3"/>
  <c r="V2686" i="3"/>
  <c r="W2686" i="3"/>
  <c r="X2686" i="3"/>
  <c r="R2687" i="3"/>
  <c r="V2687" i="3"/>
  <c r="W2687" i="3"/>
  <c r="X2687" i="3"/>
  <c r="R2688" i="3"/>
  <c r="V2688" i="3"/>
  <c r="W2688" i="3"/>
  <c r="X2688" i="3"/>
  <c r="R2689" i="3"/>
  <c r="V2689" i="3"/>
  <c r="W2689" i="3"/>
  <c r="X2689" i="3"/>
  <c r="R2690" i="3"/>
  <c r="V2690" i="3"/>
  <c r="W2690" i="3"/>
  <c r="X2690" i="3"/>
  <c r="R2691" i="3"/>
  <c r="V2691" i="3"/>
  <c r="W2691" i="3"/>
  <c r="X2691" i="3"/>
  <c r="R2692" i="3"/>
  <c r="V2692" i="3"/>
  <c r="W2692" i="3"/>
  <c r="X2692" i="3"/>
  <c r="R2693" i="3"/>
  <c r="V2693" i="3"/>
  <c r="W2693" i="3"/>
  <c r="X2693" i="3"/>
  <c r="R2694" i="3"/>
  <c r="V2694" i="3"/>
  <c r="W2694" i="3"/>
  <c r="X2694" i="3"/>
  <c r="R2695" i="3"/>
  <c r="V2695" i="3"/>
  <c r="W2695" i="3"/>
  <c r="X2695" i="3"/>
  <c r="R2696" i="3"/>
  <c r="V2696" i="3"/>
  <c r="W2696" i="3"/>
  <c r="X2696" i="3"/>
  <c r="R2697" i="3"/>
  <c r="V2697" i="3"/>
  <c r="W2697" i="3"/>
  <c r="X2697" i="3"/>
  <c r="R2698" i="3"/>
  <c r="V2698" i="3"/>
  <c r="W2698" i="3"/>
  <c r="X2698" i="3"/>
  <c r="R2699" i="3"/>
  <c r="V2699" i="3"/>
  <c r="W2699" i="3"/>
  <c r="X2699" i="3"/>
  <c r="R2700" i="3"/>
  <c r="V2700" i="3"/>
  <c r="W2700" i="3"/>
  <c r="X2700" i="3"/>
  <c r="R2701" i="3"/>
  <c r="V2701" i="3"/>
  <c r="W2701" i="3"/>
  <c r="X2701" i="3"/>
  <c r="R2702" i="3"/>
  <c r="V2702" i="3"/>
  <c r="W2702" i="3"/>
  <c r="X2702" i="3"/>
  <c r="R2703" i="3"/>
  <c r="V2703" i="3"/>
  <c r="W2703" i="3"/>
  <c r="X2703" i="3"/>
  <c r="R2704" i="3"/>
  <c r="V2704" i="3"/>
  <c r="W2704" i="3"/>
  <c r="X2704" i="3"/>
  <c r="R2705" i="3"/>
  <c r="V2705" i="3"/>
  <c r="W2705" i="3"/>
  <c r="X2705" i="3"/>
  <c r="R2706" i="3"/>
  <c r="V2706" i="3"/>
  <c r="W2706" i="3"/>
  <c r="X2706" i="3"/>
  <c r="R2707" i="3"/>
  <c r="V2707" i="3"/>
  <c r="W2707" i="3"/>
  <c r="X2707" i="3"/>
  <c r="R2708" i="3"/>
  <c r="V2708" i="3"/>
  <c r="W2708" i="3"/>
  <c r="X2708" i="3"/>
  <c r="R2709" i="3"/>
  <c r="V2709" i="3"/>
  <c r="W2709" i="3"/>
  <c r="X2709" i="3"/>
  <c r="R2710" i="3"/>
  <c r="V2710" i="3"/>
  <c r="W2710" i="3"/>
  <c r="X2710" i="3"/>
  <c r="R2711" i="3"/>
  <c r="V2711" i="3"/>
  <c r="W2711" i="3"/>
  <c r="X2711" i="3"/>
  <c r="R2712" i="3"/>
  <c r="V2712" i="3"/>
  <c r="W2712" i="3"/>
  <c r="X2712" i="3"/>
  <c r="R2713" i="3"/>
  <c r="V2713" i="3"/>
  <c r="W2713" i="3"/>
  <c r="X2713" i="3"/>
  <c r="R2714" i="3"/>
  <c r="V2714" i="3"/>
  <c r="W2714" i="3"/>
  <c r="X2714" i="3"/>
  <c r="R2715" i="3"/>
  <c r="V2715" i="3"/>
  <c r="W2715" i="3"/>
  <c r="X2715" i="3"/>
  <c r="R2716" i="3"/>
  <c r="V2716" i="3"/>
  <c r="W2716" i="3"/>
  <c r="X2716" i="3"/>
  <c r="R2717" i="3"/>
  <c r="V2717" i="3"/>
  <c r="W2717" i="3"/>
  <c r="X2717" i="3"/>
  <c r="R2718" i="3"/>
  <c r="V2718" i="3"/>
  <c r="W2718" i="3"/>
  <c r="X2718" i="3"/>
  <c r="R2719" i="3"/>
  <c r="V2719" i="3"/>
  <c r="W2719" i="3"/>
  <c r="X2719" i="3"/>
  <c r="R2720" i="3"/>
  <c r="V2720" i="3"/>
  <c r="W2720" i="3"/>
  <c r="X2720" i="3"/>
  <c r="R2721" i="3"/>
  <c r="V2721" i="3"/>
  <c r="W2721" i="3"/>
  <c r="X2721" i="3"/>
  <c r="R2722" i="3"/>
  <c r="V2722" i="3"/>
  <c r="W2722" i="3"/>
  <c r="X2722" i="3"/>
  <c r="R2723" i="3"/>
  <c r="V2723" i="3"/>
  <c r="W2723" i="3"/>
  <c r="X2723" i="3"/>
  <c r="R2724" i="3"/>
  <c r="V2724" i="3"/>
  <c r="W2724" i="3"/>
  <c r="X2724" i="3"/>
  <c r="R2725" i="3"/>
  <c r="V2725" i="3"/>
  <c r="W2725" i="3"/>
  <c r="X2725" i="3"/>
  <c r="R2726" i="3"/>
  <c r="V2726" i="3"/>
  <c r="W2726" i="3"/>
  <c r="X2726" i="3"/>
  <c r="R2727" i="3"/>
  <c r="V2727" i="3"/>
  <c r="W2727" i="3"/>
  <c r="X2727" i="3"/>
  <c r="R2728" i="3"/>
  <c r="V2728" i="3"/>
  <c r="W2728" i="3"/>
  <c r="X2728" i="3"/>
  <c r="R2729" i="3"/>
  <c r="V2729" i="3"/>
  <c r="W2729" i="3"/>
  <c r="X2729" i="3"/>
  <c r="R2730" i="3"/>
  <c r="V2730" i="3"/>
  <c r="W2730" i="3"/>
  <c r="X2730" i="3"/>
  <c r="R2731" i="3"/>
  <c r="V2731" i="3"/>
  <c r="W2731" i="3"/>
  <c r="X2731" i="3"/>
  <c r="R2732" i="3"/>
  <c r="V2732" i="3"/>
  <c r="W2732" i="3"/>
  <c r="X2732" i="3"/>
  <c r="R2733" i="3"/>
  <c r="V2733" i="3"/>
  <c r="W2733" i="3"/>
  <c r="X2733" i="3"/>
  <c r="R2734" i="3"/>
  <c r="V2734" i="3"/>
  <c r="W2734" i="3"/>
  <c r="X2734" i="3"/>
  <c r="R2735" i="3"/>
  <c r="V2735" i="3"/>
  <c r="W2735" i="3"/>
  <c r="X2735" i="3"/>
  <c r="R2736" i="3"/>
  <c r="V2736" i="3"/>
  <c r="W2736" i="3"/>
  <c r="X2736" i="3"/>
  <c r="R2737" i="3"/>
  <c r="V2737" i="3"/>
  <c r="W2737" i="3"/>
  <c r="X2737" i="3"/>
  <c r="R2738" i="3"/>
  <c r="V2738" i="3"/>
  <c r="W2738" i="3"/>
  <c r="X2738" i="3"/>
  <c r="R2739" i="3"/>
  <c r="V2739" i="3"/>
  <c r="W2739" i="3"/>
  <c r="X2739" i="3"/>
  <c r="R2740" i="3"/>
  <c r="V2740" i="3"/>
  <c r="W2740" i="3"/>
  <c r="X2740" i="3"/>
  <c r="R2741" i="3"/>
  <c r="V2741" i="3"/>
  <c r="W2741" i="3"/>
  <c r="X2741" i="3"/>
  <c r="R2742" i="3"/>
  <c r="V2742" i="3"/>
  <c r="W2742" i="3"/>
  <c r="X2742" i="3"/>
  <c r="R2743" i="3"/>
  <c r="V2743" i="3"/>
  <c r="W2743" i="3"/>
  <c r="X2743" i="3"/>
  <c r="R2744" i="3"/>
  <c r="V2744" i="3"/>
  <c r="W2744" i="3"/>
  <c r="X2744" i="3"/>
  <c r="R2745" i="3"/>
  <c r="V2745" i="3"/>
  <c r="W2745" i="3"/>
  <c r="X2745" i="3"/>
  <c r="R2746" i="3"/>
  <c r="V2746" i="3"/>
  <c r="W2746" i="3"/>
  <c r="X2746" i="3"/>
  <c r="R2747" i="3"/>
  <c r="V2747" i="3"/>
  <c r="W2747" i="3"/>
  <c r="X2747" i="3"/>
  <c r="R2748" i="3"/>
  <c r="V2748" i="3"/>
  <c r="W2748" i="3"/>
  <c r="X2748" i="3"/>
  <c r="R2749" i="3"/>
  <c r="V2749" i="3"/>
  <c r="W2749" i="3"/>
  <c r="X2749" i="3"/>
  <c r="R2750" i="3"/>
  <c r="V2750" i="3"/>
  <c r="W2750" i="3"/>
  <c r="X2750" i="3"/>
  <c r="R2751" i="3"/>
  <c r="V2751" i="3"/>
  <c r="W2751" i="3"/>
  <c r="X2751" i="3"/>
  <c r="R2752" i="3"/>
  <c r="V2752" i="3"/>
  <c r="W2752" i="3"/>
  <c r="X2752" i="3"/>
  <c r="R2753" i="3"/>
  <c r="V2753" i="3"/>
  <c r="W2753" i="3"/>
  <c r="X2753" i="3"/>
  <c r="R2754" i="3"/>
  <c r="V2754" i="3"/>
  <c r="W2754" i="3"/>
  <c r="X2754" i="3"/>
  <c r="R2755" i="3"/>
  <c r="V2755" i="3"/>
  <c r="W2755" i="3"/>
  <c r="X2755" i="3"/>
  <c r="R2756" i="3"/>
  <c r="V2756" i="3"/>
  <c r="W2756" i="3"/>
  <c r="X2756" i="3"/>
  <c r="R2757" i="3"/>
  <c r="V2757" i="3"/>
  <c r="W2757" i="3"/>
  <c r="X2757" i="3"/>
  <c r="R2758" i="3"/>
  <c r="V2758" i="3"/>
  <c r="W2758" i="3"/>
  <c r="X2758" i="3"/>
  <c r="R2759" i="3"/>
  <c r="V2759" i="3"/>
  <c r="W2759" i="3"/>
  <c r="X2759" i="3"/>
  <c r="R2760" i="3"/>
  <c r="V2760" i="3"/>
  <c r="W2760" i="3"/>
  <c r="X2760" i="3"/>
  <c r="R2761" i="3"/>
  <c r="V2761" i="3"/>
  <c r="W2761" i="3"/>
  <c r="X2761" i="3"/>
  <c r="R2762" i="3"/>
  <c r="V2762" i="3"/>
  <c r="W2762" i="3"/>
  <c r="X2762" i="3"/>
  <c r="R2763" i="3"/>
  <c r="V2763" i="3"/>
  <c r="W2763" i="3"/>
  <c r="X2763" i="3"/>
  <c r="R2764" i="3"/>
  <c r="V2764" i="3"/>
  <c r="W2764" i="3"/>
  <c r="X2764" i="3"/>
  <c r="R2765" i="3"/>
  <c r="V2765" i="3"/>
  <c r="W2765" i="3"/>
  <c r="X2765" i="3"/>
  <c r="R2766" i="3"/>
  <c r="V2766" i="3"/>
  <c r="W2766" i="3"/>
  <c r="X2766" i="3"/>
  <c r="R2767" i="3"/>
  <c r="V2767" i="3"/>
  <c r="W2767" i="3"/>
  <c r="X2767" i="3"/>
  <c r="R2768" i="3"/>
  <c r="V2768" i="3"/>
  <c r="W2768" i="3"/>
  <c r="X2768" i="3"/>
  <c r="R2769" i="3"/>
  <c r="V2769" i="3"/>
  <c r="W2769" i="3"/>
  <c r="X2769" i="3"/>
  <c r="R2770" i="3"/>
  <c r="V2770" i="3"/>
  <c r="W2770" i="3"/>
  <c r="X2770" i="3"/>
  <c r="R2771" i="3"/>
  <c r="V2771" i="3"/>
  <c r="W2771" i="3"/>
  <c r="X2771" i="3"/>
  <c r="R2772" i="3"/>
  <c r="V2772" i="3"/>
  <c r="W2772" i="3"/>
  <c r="X2772" i="3"/>
  <c r="R2773" i="3"/>
  <c r="V2773" i="3"/>
  <c r="W2773" i="3"/>
  <c r="X2773" i="3"/>
  <c r="R2774" i="3"/>
  <c r="V2774" i="3"/>
  <c r="W2774" i="3"/>
  <c r="X2774" i="3"/>
  <c r="R2775" i="3"/>
  <c r="V2775" i="3"/>
  <c r="W2775" i="3"/>
  <c r="X2775" i="3"/>
  <c r="R2776" i="3"/>
  <c r="V2776" i="3"/>
  <c r="W2776" i="3"/>
  <c r="X2776" i="3"/>
  <c r="R2777" i="3"/>
  <c r="V2777" i="3"/>
  <c r="W2777" i="3"/>
  <c r="X2777" i="3"/>
  <c r="R2778" i="3"/>
  <c r="V2778" i="3"/>
  <c r="W2778" i="3"/>
  <c r="X2778" i="3"/>
  <c r="R2779" i="3"/>
  <c r="V2779" i="3"/>
  <c r="W2779" i="3"/>
  <c r="X2779" i="3"/>
  <c r="R2780" i="3"/>
  <c r="V2780" i="3"/>
  <c r="W2780" i="3"/>
  <c r="X2780" i="3"/>
  <c r="R2781" i="3"/>
  <c r="V2781" i="3"/>
  <c r="W2781" i="3"/>
  <c r="X2781" i="3"/>
  <c r="R2782" i="3"/>
  <c r="V2782" i="3"/>
  <c r="W2782" i="3"/>
  <c r="X2782" i="3"/>
  <c r="R2783" i="3"/>
  <c r="V2783" i="3"/>
  <c r="W2783" i="3"/>
  <c r="X2783" i="3"/>
  <c r="R2784" i="3"/>
  <c r="V2784" i="3"/>
  <c r="W2784" i="3"/>
  <c r="X2784" i="3"/>
  <c r="R2785" i="3"/>
  <c r="V2785" i="3"/>
  <c r="W2785" i="3"/>
  <c r="X2785" i="3"/>
  <c r="R2786" i="3"/>
  <c r="V2786" i="3"/>
  <c r="W2786" i="3"/>
  <c r="X2786" i="3"/>
  <c r="R2787" i="3"/>
  <c r="V2787" i="3"/>
  <c r="W2787" i="3"/>
  <c r="X2787" i="3"/>
  <c r="R2788" i="3"/>
  <c r="V2788" i="3"/>
  <c r="W2788" i="3"/>
  <c r="X2788" i="3"/>
  <c r="R2789" i="3"/>
  <c r="V2789" i="3"/>
  <c r="W2789" i="3"/>
  <c r="X2789" i="3"/>
  <c r="R2790" i="3"/>
  <c r="V2790" i="3"/>
  <c r="W2790" i="3"/>
  <c r="X2790" i="3"/>
  <c r="R2791" i="3"/>
  <c r="V2791" i="3"/>
  <c r="W2791" i="3"/>
  <c r="X2791" i="3"/>
  <c r="R2792" i="3"/>
  <c r="V2792" i="3"/>
  <c r="W2792" i="3"/>
  <c r="X2792" i="3"/>
  <c r="R2793" i="3"/>
  <c r="V2793" i="3"/>
  <c r="W2793" i="3"/>
  <c r="X2793" i="3"/>
  <c r="R2794" i="3"/>
  <c r="V2794" i="3"/>
  <c r="W2794" i="3"/>
  <c r="X2794" i="3"/>
  <c r="R2795" i="3"/>
  <c r="V2795" i="3"/>
  <c r="W2795" i="3"/>
  <c r="X2795" i="3"/>
  <c r="R2796" i="3"/>
  <c r="V2796" i="3"/>
  <c r="W2796" i="3"/>
  <c r="X2796" i="3"/>
  <c r="R2797" i="3"/>
  <c r="V2797" i="3"/>
  <c r="W2797" i="3"/>
  <c r="X2797" i="3"/>
  <c r="R2798" i="3"/>
  <c r="V2798" i="3"/>
  <c r="W2798" i="3"/>
  <c r="X2798" i="3"/>
  <c r="R2799" i="3"/>
  <c r="V2799" i="3"/>
  <c r="W2799" i="3"/>
  <c r="X2799" i="3"/>
  <c r="R2800" i="3"/>
  <c r="V2800" i="3"/>
  <c r="W2800" i="3"/>
  <c r="X2800" i="3"/>
  <c r="R2801" i="3"/>
  <c r="V2801" i="3"/>
  <c r="W2801" i="3"/>
  <c r="X2801" i="3"/>
  <c r="R2802" i="3"/>
  <c r="V2802" i="3"/>
  <c r="W2802" i="3"/>
  <c r="X2802" i="3"/>
  <c r="R2803" i="3"/>
  <c r="V2803" i="3"/>
  <c r="W2803" i="3"/>
  <c r="X2803" i="3"/>
  <c r="R2804" i="3"/>
  <c r="V2804" i="3"/>
  <c r="W2804" i="3"/>
  <c r="X2804" i="3"/>
  <c r="R2805" i="3"/>
  <c r="V2805" i="3"/>
  <c r="W2805" i="3"/>
  <c r="X2805" i="3"/>
  <c r="R2806" i="3"/>
  <c r="V2806" i="3"/>
  <c r="W2806" i="3"/>
  <c r="X2806" i="3"/>
  <c r="R2807" i="3"/>
  <c r="V2807" i="3"/>
  <c r="W2807" i="3"/>
  <c r="X2807" i="3"/>
  <c r="R2808" i="3"/>
  <c r="V2808" i="3"/>
  <c r="W2808" i="3"/>
  <c r="X2808" i="3"/>
  <c r="R2809" i="3"/>
  <c r="V2809" i="3"/>
  <c r="W2809" i="3"/>
  <c r="X2809" i="3"/>
  <c r="R2810" i="3"/>
  <c r="V2810" i="3"/>
  <c r="W2810" i="3"/>
  <c r="X2810" i="3"/>
  <c r="R2811" i="3"/>
  <c r="V2811" i="3"/>
  <c r="W2811" i="3"/>
  <c r="X2811" i="3"/>
  <c r="R2812" i="3"/>
  <c r="V2812" i="3"/>
  <c r="W2812" i="3"/>
  <c r="X2812" i="3"/>
  <c r="R2813" i="3"/>
  <c r="V2813" i="3"/>
  <c r="W2813" i="3"/>
  <c r="X2813" i="3"/>
  <c r="R2814" i="3"/>
  <c r="V2814" i="3"/>
  <c r="W2814" i="3"/>
  <c r="X2814" i="3"/>
  <c r="R2815" i="3"/>
  <c r="V2815" i="3"/>
  <c r="W2815" i="3"/>
  <c r="X2815" i="3"/>
  <c r="R2816" i="3"/>
  <c r="V2816" i="3"/>
  <c r="W2816" i="3"/>
  <c r="X2816" i="3"/>
  <c r="R2817" i="3"/>
  <c r="V2817" i="3"/>
  <c r="W2817" i="3"/>
  <c r="X2817" i="3"/>
  <c r="R2818" i="3"/>
  <c r="V2818" i="3"/>
  <c r="W2818" i="3"/>
  <c r="X2818" i="3"/>
  <c r="R2819" i="3"/>
  <c r="V2819" i="3"/>
  <c r="W2819" i="3"/>
  <c r="X2819" i="3"/>
  <c r="R2820" i="3"/>
  <c r="V2820" i="3"/>
  <c r="W2820" i="3"/>
  <c r="X2820" i="3"/>
  <c r="R2821" i="3"/>
  <c r="V2821" i="3"/>
  <c r="W2821" i="3"/>
  <c r="X2821" i="3"/>
  <c r="R2822" i="3"/>
  <c r="V2822" i="3"/>
  <c r="W2822" i="3"/>
  <c r="X2822" i="3"/>
  <c r="R2823" i="3"/>
  <c r="V2823" i="3"/>
  <c r="W2823" i="3"/>
  <c r="X2823" i="3"/>
  <c r="R2824" i="3"/>
  <c r="V2824" i="3"/>
  <c r="W2824" i="3"/>
  <c r="X2824" i="3"/>
  <c r="R2825" i="3"/>
  <c r="V2825" i="3"/>
  <c r="W2825" i="3"/>
  <c r="X2825" i="3"/>
  <c r="R2826" i="3"/>
  <c r="V2826" i="3"/>
  <c r="W2826" i="3"/>
  <c r="X2826" i="3"/>
  <c r="R2827" i="3"/>
  <c r="V2827" i="3"/>
  <c r="W2827" i="3"/>
  <c r="X2827" i="3"/>
  <c r="R2828" i="3"/>
  <c r="V2828" i="3"/>
  <c r="W2828" i="3"/>
  <c r="X2828" i="3"/>
  <c r="R2829" i="3"/>
  <c r="V2829" i="3"/>
  <c r="W2829" i="3"/>
  <c r="X2829" i="3"/>
  <c r="R2830" i="3"/>
  <c r="V2830" i="3"/>
  <c r="W2830" i="3"/>
  <c r="X2830" i="3"/>
  <c r="R2831" i="3"/>
  <c r="V2831" i="3"/>
  <c r="W2831" i="3"/>
  <c r="X2831" i="3"/>
  <c r="R2832" i="3"/>
  <c r="V2832" i="3"/>
  <c r="W2832" i="3"/>
  <c r="X2832" i="3"/>
  <c r="R2833" i="3"/>
  <c r="V2833" i="3"/>
  <c r="W2833" i="3"/>
  <c r="X2833" i="3"/>
  <c r="R2834" i="3"/>
  <c r="V2834" i="3"/>
  <c r="W2834" i="3"/>
  <c r="X2834" i="3"/>
  <c r="R2835" i="3"/>
  <c r="V2835" i="3"/>
  <c r="W2835" i="3"/>
  <c r="X2835" i="3"/>
  <c r="R2836" i="3"/>
  <c r="V2836" i="3"/>
  <c r="W2836" i="3"/>
  <c r="X2836" i="3"/>
  <c r="R2837" i="3"/>
  <c r="V2837" i="3"/>
  <c r="W2837" i="3"/>
  <c r="X2837" i="3"/>
  <c r="R2838" i="3"/>
  <c r="V2838" i="3"/>
  <c r="W2838" i="3"/>
  <c r="X2838" i="3"/>
  <c r="R2839" i="3"/>
  <c r="V2839" i="3"/>
  <c r="W2839" i="3"/>
  <c r="X2839" i="3"/>
  <c r="R2840" i="3"/>
  <c r="V2840" i="3"/>
  <c r="W2840" i="3"/>
  <c r="X2840" i="3"/>
  <c r="R2841" i="3"/>
  <c r="V2841" i="3"/>
  <c r="W2841" i="3"/>
  <c r="X2841" i="3"/>
  <c r="R2842" i="3"/>
  <c r="V2842" i="3"/>
  <c r="W2842" i="3"/>
  <c r="X2842" i="3"/>
  <c r="R2843" i="3"/>
  <c r="V2843" i="3"/>
  <c r="W2843" i="3"/>
  <c r="X2843" i="3"/>
  <c r="R2844" i="3"/>
  <c r="V2844" i="3"/>
  <c r="W2844" i="3"/>
  <c r="X2844" i="3"/>
  <c r="R2845" i="3"/>
  <c r="V2845" i="3"/>
  <c r="W2845" i="3"/>
  <c r="X2845" i="3"/>
  <c r="R2846" i="3"/>
  <c r="V2846" i="3"/>
  <c r="W2846" i="3"/>
  <c r="X2846" i="3"/>
  <c r="R2847" i="3"/>
  <c r="V2847" i="3"/>
  <c r="W2847" i="3"/>
  <c r="X2847" i="3"/>
  <c r="R2848" i="3"/>
  <c r="V2848" i="3"/>
  <c r="W2848" i="3"/>
  <c r="X2848" i="3"/>
  <c r="R2849" i="3"/>
  <c r="V2849" i="3"/>
  <c r="W2849" i="3"/>
  <c r="X2849" i="3"/>
  <c r="R2850" i="3"/>
  <c r="V2850" i="3"/>
  <c r="W2850" i="3"/>
  <c r="X2850" i="3"/>
  <c r="R2851" i="3"/>
  <c r="V2851" i="3"/>
  <c r="W2851" i="3"/>
  <c r="X2851" i="3"/>
  <c r="R2852" i="3"/>
  <c r="V2852" i="3"/>
  <c r="W2852" i="3"/>
  <c r="X2852" i="3"/>
  <c r="R2853" i="3"/>
  <c r="V2853" i="3"/>
  <c r="W2853" i="3"/>
  <c r="X2853" i="3"/>
  <c r="R2854" i="3"/>
  <c r="V2854" i="3"/>
  <c r="W2854" i="3"/>
  <c r="X2854" i="3"/>
  <c r="R2855" i="3"/>
  <c r="V2855" i="3"/>
  <c r="W2855" i="3"/>
  <c r="X2855" i="3"/>
  <c r="R2856" i="3"/>
  <c r="V2856" i="3"/>
  <c r="W2856" i="3"/>
  <c r="X2856" i="3"/>
  <c r="R2857" i="3"/>
  <c r="V2857" i="3"/>
  <c r="W2857" i="3"/>
  <c r="X2857" i="3"/>
  <c r="R2858" i="3"/>
  <c r="V2858" i="3"/>
  <c r="W2858" i="3"/>
  <c r="X2858" i="3"/>
  <c r="R2859" i="3"/>
  <c r="V2859" i="3"/>
  <c r="W2859" i="3"/>
  <c r="X2859" i="3"/>
  <c r="R2860" i="3"/>
  <c r="V2860" i="3"/>
  <c r="W2860" i="3"/>
  <c r="X2860" i="3"/>
  <c r="R2861" i="3"/>
  <c r="V2861" i="3"/>
  <c r="W2861" i="3"/>
  <c r="X2861" i="3"/>
  <c r="R2862" i="3"/>
  <c r="V2862" i="3"/>
  <c r="W2862" i="3"/>
  <c r="X2862" i="3"/>
  <c r="R2863" i="3"/>
  <c r="V2863" i="3"/>
  <c r="W2863" i="3"/>
  <c r="X2863" i="3"/>
  <c r="R2864" i="3"/>
  <c r="V2864" i="3"/>
  <c r="W2864" i="3"/>
  <c r="X2864" i="3"/>
  <c r="R2865" i="3"/>
  <c r="V2865" i="3"/>
  <c r="W2865" i="3"/>
  <c r="X2865" i="3"/>
  <c r="R2866" i="3"/>
  <c r="V2866" i="3"/>
  <c r="W2866" i="3"/>
  <c r="X2866" i="3"/>
  <c r="R2867" i="3"/>
  <c r="V2867" i="3"/>
  <c r="W2867" i="3"/>
  <c r="X2867" i="3"/>
  <c r="R2868" i="3"/>
  <c r="V2868" i="3"/>
  <c r="W2868" i="3"/>
  <c r="X2868" i="3"/>
  <c r="R2869" i="3"/>
  <c r="V2869" i="3"/>
  <c r="W2869" i="3"/>
  <c r="X2869" i="3"/>
  <c r="R2870" i="3"/>
  <c r="V2870" i="3"/>
  <c r="W2870" i="3"/>
  <c r="X2870" i="3"/>
  <c r="R2871" i="3"/>
  <c r="V2871" i="3"/>
  <c r="W2871" i="3"/>
  <c r="X2871" i="3"/>
  <c r="R2872" i="3"/>
  <c r="V2872" i="3"/>
  <c r="W2872" i="3"/>
  <c r="X2872" i="3"/>
  <c r="R2873" i="3"/>
  <c r="V2873" i="3"/>
  <c r="W2873" i="3"/>
  <c r="X2873" i="3"/>
  <c r="R2874" i="3"/>
  <c r="V2874" i="3"/>
  <c r="W2874" i="3"/>
  <c r="X2874" i="3"/>
  <c r="R2875" i="3"/>
  <c r="V2875" i="3"/>
  <c r="W2875" i="3"/>
  <c r="X2875" i="3"/>
  <c r="R2876" i="3"/>
  <c r="V2876" i="3"/>
  <c r="W2876" i="3"/>
  <c r="X2876" i="3"/>
  <c r="R2877" i="3"/>
  <c r="V2877" i="3"/>
  <c r="W2877" i="3"/>
  <c r="X2877" i="3"/>
  <c r="R2878" i="3"/>
  <c r="V2878" i="3"/>
  <c r="W2878" i="3"/>
  <c r="X2878" i="3"/>
  <c r="R2879" i="3"/>
  <c r="V2879" i="3"/>
  <c r="W2879" i="3"/>
  <c r="X2879" i="3"/>
  <c r="R2880" i="3"/>
  <c r="V2880" i="3"/>
  <c r="W2880" i="3"/>
  <c r="X2880" i="3"/>
  <c r="R2881" i="3"/>
  <c r="V2881" i="3"/>
  <c r="W2881" i="3"/>
  <c r="X2881" i="3"/>
  <c r="R2882" i="3"/>
  <c r="V2882" i="3"/>
  <c r="W2882" i="3"/>
  <c r="X2882" i="3"/>
  <c r="R2883" i="3"/>
  <c r="V2883" i="3"/>
  <c r="W2883" i="3"/>
  <c r="X2883" i="3"/>
  <c r="R2884" i="3"/>
  <c r="V2884" i="3"/>
  <c r="W2884" i="3"/>
  <c r="X2884" i="3"/>
  <c r="R2885" i="3"/>
  <c r="V2885" i="3"/>
  <c r="W2885" i="3"/>
  <c r="X2885" i="3"/>
  <c r="R2886" i="3"/>
  <c r="V2886" i="3"/>
  <c r="W2886" i="3"/>
  <c r="X2886" i="3"/>
  <c r="R2887" i="3"/>
  <c r="V2887" i="3"/>
  <c r="W2887" i="3"/>
  <c r="X2887" i="3"/>
  <c r="R2888" i="3"/>
  <c r="V2888" i="3"/>
  <c r="W2888" i="3"/>
  <c r="X2888" i="3"/>
  <c r="R2889" i="3"/>
  <c r="V2889" i="3"/>
  <c r="W2889" i="3"/>
  <c r="X2889" i="3"/>
  <c r="R2890" i="3"/>
  <c r="V2890" i="3"/>
  <c r="W2890" i="3"/>
  <c r="X2890" i="3"/>
  <c r="R2891" i="3"/>
  <c r="V2891" i="3"/>
  <c r="W2891" i="3"/>
  <c r="X2891" i="3"/>
  <c r="R2892" i="3"/>
  <c r="V2892" i="3"/>
  <c r="W2892" i="3"/>
  <c r="X2892" i="3"/>
  <c r="R2893" i="3"/>
  <c r="V2893" i="3"/>
  <c r="W2893" i="3"/>
  <c r="X2893" i="3"/>
  <c r="R2894" i="3"/>
  <c r="V2894" i="3"/>
  <c r="W2894" i="3"/>
  <c r="X2894" i="3"/>
  <c r="R2895" i="3"/>
  <c r="V2895" i="3"/>
  <c r="W2895" i="3"/>
  <c r="X2895" i="3"/>
  <c r="R2896" i="3"/>
  <c r="V2896" i="3"/>
  <c r="W2896" i="3"/>
  <c r="X2896" i="3"/>
  <c r="R2897" i="3"/>
  <c r="V2897" i="3"/>
  <c r="W2897" i="3"/>
  <c r="X2897" i="3"/>
  <c r="R2898" i="3"/>
  <c r="V2898" i="3"/>
  <c r="W2898" i="3"/>
  <c r="X2898" i="3"/>
  <c r="R2899" i="3"/>
  <c r="V2899" i="3"/>
  <c r="W2899" i="3"/>
  <c r="X2899" i="3"/>
  <c r="R2900" i="3"/>
  <c r="V2900" i="3"/>
  <c r="W2900" i="3"/>
  <c r="X2900" i="3"/>
  <c r="R2901" i="3"/>
  <c r="V2901" i="3"/>
  <c r="W2901" i="3"/>
  <c r="X2901" i="3"/>
  <c r="R2902" i="3"/>
  <c r="V2902" i="3"/>
  <c r="W2902" i="3"/>
  <c r="X2902" i="3"/>
  <c r="R2903" i="3"/>
  <c r="V2903" i="3"/>
  <c r="W2903" i="3"/>
  <c r="X2903" i="3"/>
  <c r="R2904" i="3"/>
  <c r="V2904" i="3"/>
  <c r="W2904" i="3"/>
  <c r="X2904" i="3"/>
  <c r="R2905" i="3"/>
  <c r="V2905" i="3"/>
  <c r="W2905" i="3"/>
  <c r="X2905" i="3"/>
  <c r="R2906" i="3"/>
  <c r="V2906" i="3"/>
  <c r="W2906" i="3"/>
  <c r="X2906" i="3"/>
  <c r="R2907" i="3"/>
  <c r="V2907" i="3"/>
  <c r="W2907" i="3"/>
  <c r="X2907" i="3"/>
  <c r="R2908" i="3"/>
  <c r="V2908" i="3"/>
  <c r="W2908" i="3"/>
  <c r="X2908" i="3"/>
  <c r="R2909" i="3"/>
  <c r="V2909" i="3"/>
  <c r="W2909" i="3"/>
  <c r="X2909" i="3"/>
  <c r="R2910" i="3"/>
  <c r="V2910" i="3"/>
  <c r="W2910" i="3"/>
  <c r="X2910" i="3"/>
  <c r="R2911" i="3"/>
  <c r="V2911" i="3"/>
  <c r="W2911" i="3"/>
  <c r="X2911" i="3"/>
  <c r="R2912" i="3"/>
  <c r="V2912" i="3"/>
  <c r="W2912" i="3"/>
  <c r="X2912" i="3"/>
  <c r="R2913" i="3"/>
  <c r="V2913" i="3"/>
  <c r="W2913" i="3"/>
  <c r="X2913" i="3"/>
  <c r="R2914" i="3"/>
  <c r="V2914" i="3"/>
  <c r="W2914" i="3"/>
  <c r="X2914" i="3"/>
  <c r="R2915" i="3"/>
  <c r="V2915" i="3"/>
  <c r="W2915" i="3"/>
  <c r="X2915" i="3"/>
  <c r="R2916" i="3"/>
  <c r="V2916" i="3"/>
  <c r="W2916" i="3"/>
  <c r="X2916" i="3"/>
  <c r="R2917" i="3"/>
  <c r="V2917" i="3"/>
  <c r="W2917" i="3"/>
  <c r="X2917" i="3"/>
  <c r="R2918" i="3"/>
  <c r="V2918" i="3"/>
  <c r="W2918" i="3"/>
  <c r="X2918" i="3"/>
  <c r="R2919" i="3"/>
  <c r="V2919" i="3"/>
  <c r="W2919" i="3"/>
  <c r="X2919" i="3"/>
  <c r="R2920" i="3"/>
  <c r="V2920" i="3"/>
  <c r="W2920" i="3"/>
  <c r="X2920" i="3"/>
  <c r="R2921" i="3"/>
  <c r="V2921" i="3"/>
  <c r="W2921" i="3"/>
  <c r="X2921" i="3"/>
  <c r="R2922" i="3"/>
  <c r="V2922" i="3"/>
  <c r="W2922" i="3"/>
  <c r="X2922" i="3"/>
  <c r="R2923" i="3"/>
  <c r="V2923" i="3"/>
  <c r="W2923" i="3"/>
  <c r="X2923" i="3"/>
  <c r="R2924" i="3"/>
  <c r="V2924" i="3"/>
  <c r="W2924" i="3"/>
  <c r="X2924" i="3"/>
  <c r="R2925" i="3"/>
  <c r="V2925" i="3"/>
  <c r="W2925" i="3"/>
  <c r="X2925" i="3"/>
  <c r="R2926" i="3"/>
  <c r="V2926" i="3"/>
  <c r="W2926" i="3"/>
  <c r="X2926" i="3"/>
  <c r="R2927" i="3"/>
  <c r="V2927" i="3"/>
  <c r="W2927" i="3"/>
  <c r="X2927" i="3"/>
  <c r="R2928" i="3"/>
  <c r="V2928" i="3"/>
  <c r="W2928" i="3"/>
  <c r="X2928" i="3"/>
  <c r="R2929" i="3"/>
  <c r="V2929" i="3"/>
  <c r="W2929" i="3"/>
  <c r="X2929" i="3"/>
  <c r="R2930" i="3"/>
  <c r="V2930" i="3"/>
  <c r="W2930" i="3"/>
  <c r="X2930" i="3"/>
  <c r="R2931" i="3"/>
  <c r="V2931" i="3"/>
  <c r="W2931" i="3"/>
  <c r="X2931" i="3"/>
  <c r="R2932" i="3"/>
  <c r="V2932" i="3"/>
  <c r="W2932" i="3"/>
  <c r="X2932" i="3"/>
  <c r="R2933" i="3"/>
  <c r="V2933" i="3"/>
  <c r="W2933" i="3"/>
  <c r="X2933" i="3"/>
  <c r="R2934" i="3"/>
  <c r="V2934" i="3"/>
  <c r="W2934" i="3"/>
  <c r="X2934" i="3"/>
  <c r="R2935" i="3"/>
  <c r="V2935" i="3"/>
  <c r="W2935" i="3"/>
  <c r="X2935" i="3"/>
  <c r="R2936" i="3"/>
  <c r="V2936" i="3"/>
  <c r="W2936" i="3"/>
  <c r="X2936" i="3"/>
  <c r="R2937" i="3"/>
  <c r="V2937" i="3"/>
  <c r="W2937" i="3"/>
  <c r="X2937" i="3"/>
  <c r="R2938" i="3"/>
  <c r="V2938" i="3"/>
  <c r="W2938" i="3"/>
  <c r="X2938" i="3"/>
  <c r="R2939" i="3"/>
  <c r="V2939" i="3"/>
  <c r="W2939" i="3"/>
  <c r="X2939" i="3"/>
  <c r="R2940" i="3"/>
  <c r="V2940" i="3"/>
  <c r="W2940" i="3"/>
  <c r="X2940" i="3"/>
  <c r="R2941" i="3"/>
  <c r="V2941" i="3"/>
  <c r="W2941" i="3"/>
  <c r="X2941" i="3"/>
  <c r="R2942" i="3"/>
  <c r="V2942" i="3"/>
  <c r="W2942" i="3"/>
  <c r="X2942" i="3"/>
  <c r="R2943" i="3"/>
  <c r="V2943" i="3"/>
  <c r="W2943" i="3"/>
  <c r="X2943" i="3"/>
  <c r="R2944" i="3"/>
  <c r="V2944" i="3"/>
  <c r="W2944" i="3"/>
  <c r="X2944" i="3"/>
  <c r="R2945" i="3"/>
  <c r="V2945" i="3"/>
  <c r="W2945" i="3"/>
  <c r="X2945" i="3"/>
  <c r="R2946" i="3"/>
  <c r="V2946" i="3"/>
  <c r="W2946" i="3"/>
  <c r="X2946" i="3"/>
  <c r="R2947" i="3"/>
  <c r="V2947" i="3"/>
  <c r="W2947" i="3"/>
  <c r="X2947" i="3"/>
  <c r="R2948" i="3"/>
  <c r="V2948" i="3"/>
  <c r="W2948" i="3"/>
  <c r="X2948" i="3"/>
  <c r="R2949" i="3"/>
  <c r="V2949" i="3"/>
  <c r="W2949" i="3"/>
  <c r="X2949" i="3"/>
  <c r="R2950" i="3"/>
  <c r="V2950" i="3"/>
  <c r="W2950" i="3"/>
  <c r="X2950" i="3"/>
  <c r="R2951" i="3"/>
  <c r="V2951" i="3"/>
  <c r="W2951" i="3"/>
  <c r="X2951" i="3"/>
  <c r="R2952" i="3"/>
  <c r="V2952" i="3"/>
  <c r="W2952" i="3"/>
  <c r="X2952" i="3"/>
  <c r="R2953" i="3"/>
  <c r="V2953" i="3"/>
  <c r="W2953" i="3"/>
  <c r="X2953" i="3"/>
  <c r="R2954" i="3"/>
  <c r="V2954" i="3"/>
  <c r="W2954" i="3"/>
  <c r="X2954" i="3"/>
  <c r="R2955" i="3"/>
  <c r="V2955" i="3"/>
  <c r="W2955" i="3"/>
  <c r="X2955" i="3"/>
  <c r="R2956" i="3"/>
  <c r="V2956" i="3"/>
  <c r="W2956" i="3"/>
  <c r="X2956" i="3"/>
  <c r="R2957" i="3"/>
  <c r="V2957" i="3"/>
  <c r="W2957" i="3"/>
  <c r="X2957" i="3"/>
  <c r="R2958" i="3"/>
  <c r="V2958" i="3"/>
  <c r="W2958" i="3"/>
  <c r="X2958" i="3"/>
  <c r="R2959" i="3"/>
  <c r="V2959" i="3"/>
  <c r="W2959" i="3"/>
  <c r="X2959" i="3"/>
  <c r="R2960" i="3"/>
  <c r="V2960" i="3"/>
  <c r="W2960" i="3"/>
  <c r="X2960" i="3"/>
  <c r="R2961" i="3"/>
  <c r="V2961" i="3"/>
  <c r="W2961" i="3"/>
  <c r="X2961" i="3"/>
  <c r="R2962" i="3"/>
  <c r="V2962" i="3"/>
  <c r="W2962" i="3"/>
  <c r="X2962" i="3"/>
  <c r="R2963" i="3"/>
  <c r="V2963" i="3"/>
  <c r="W2963" i="3"/>
  <c r="X2963" i="3"/>
  <c r="R2964" i="3"/>
  <c r="V2964" i="3"/>
  <c r="W2964" i="3"/>
  <c r="X2964" i="3"/>
  <c r="R2965" i="3"/>
  <c r="V2965" i="3"/>
  <c r="W2965" i="3"/>
  <c r="X2965" i="3"/>
  <c r="R2966" i="3"/>
  <c r="V2966" i="3"/>
  <c r="W2966" i="3"/>
  <c r="X2966" i="3"/>
  <c r="R2967" i="3"/>
  <c r="V2967" i="3"/>
  <c r="W2967" i="3"/>
  <c r="X2967" i="3"/>
  <c r="R2968" i="3"/>
  <c r="V2968" i="3"/>
  <c r="W2968" i="3"/>
  <c r="X2968" i="3"/>
  <c r="R2969" i="3"/>
  <c r="V2969" i="3"/>
  <c r="W2969" i="3"/>
  <c r="X2969" i="3"/>
  <c r="R2970" i="3"/>
  <c r="V2970" i="3"/>
  <c r="W2970" i="3"/>
  <c r="X2970" i="3"/>
  <c r="R2971" i="3"/>
  <c r="V2971" i="3"/>
  <c r="W2971" i="3"/>
  <c r="X2971" i="3"/>
  <c r="R2972" i="3"/>
  <c r="V2972" i="3"/>
  <c r="W2972" i="3"/>
  <c r="X2972" i="3"/>
  <c r="R2973" i="3"/>
  <c r="V2973" i="3"/>
  <c r="W2973" i="3"/>
  <c r="X2973" i="3"/>
  <c r="R2974" i="3"/>
  <c r="V2974" i="3"/>
  <c r="W2974" i="3"/>
  <c r="X2974" i="3"/>
  <c r="R2975" i="3"/>
  <c r="V2975" i="3"/>
  <c r="W2975" i="3"/>
  <c r="X2975" i="3"/>
  <c r="R2976" i="3"/>
  <c r="V2976" i="3"/>
  <c r="W2976" i="3"/>
  <c r="X2976" i="3"/>
  <c r="R2977" i="3"/>
  <c r="V2977" i="3"/>
  <c r="W2977" i="3"/>
  <c r="X2977" i="3"/>
  <c r="R2978" i="3"/>
  <c r="V2978" i="3"/>
  <c r="W2978" i="3"/>
  <c r="X2978" i="3"/>
  <c r="R2979" i="3"/>
  <c r="V2979" i="3"/>
  <c r="W2979" i="3"/>
  <c r="X2979" i="3"/>
  <c r="R2980" i="3"/>
  <c r="V2980" i="3"/>
  <c r="W2980" i="3"/>
  <c r="X2980" i="3"/>
  <c r="R2981" i="3"/>
  <c r="V2981" i="3"/>
  <c r="W2981" i="3"/>
  <c r="X2981" i="3"/>
  <c r="R2982" i="3"/>
  <c r="V2982" i="3"/>
  <c r="W2982" i="3"/>
  <c r="X2982" i="3"/>
  <c r="R2983" i="3"/>
  <c r="V2983" i="3"/>
  <c r="W2983" i="3"/>
  <c r="X2983" i="3"/>
  <c r="R2984" i="3"/>
  <c r="V2984" i="3"/>
  <c r="W2984" i="3"/>
  <c r="X2984" i="3"/>
  <c r="R2985" i="3"/>
  <c r="V2985" i="3"/>
  <c r="W2985" i="3"/>
  <c r="X2985" i="3"/>
  <c r="R2986" i="3"/>
  <c r="V2986" i="3"/>
  <c r="W2986" i="3"/>
  <c r="X2986" i="3"/>
  <c r="R2987" i="3"/>
  <c r="V2987" i="3"/>
  <c r="W2987" i="3"/>
  <c r="X2987" i="3"/>
  <c r="R2988" i="3"/>
  <c r="V2988" i="3"/>
  <c r="W2988" i="3"/>
  <c r="X2988" i="3"/>
  <c r="R2989" i="3"/>
  <c r="V2989" i="3"/>
  <c r="W2989" i="3"/>
  <c r="X2989" i="3"/>
  <c r="R2990" i="3"/>
  <c r="V2990" i="3"/>
  <c r="W2990" i="3"/>
  <c r="X2990" i="3"/>
  <c r="R2991" i="3"/>
  <c r="V2991" i="3"/>
  <c r="W2991" i="3"/>
  <c r="X2991" i="3"/>
  <c r="R2992" i="3"/>
  <c r="V2992" i="3"/>
  <c r="W2992" i="3"/>
  <c r="X2992" i="3"/>
  <c r="R2993" i="3"/>
  <c r="V2993" i="3"/>
  <c r="W2993" i="3"/>
  <c r="X2993" i="3"/>
  <c r="R2994" i="3"/>
  <c r="V2994" i="3"/>
  <c r="W2994" i="3"/>
  <c r="X2994" i="3"/>
  <c r="R2995" i="3"/>
  <c r="V2995" i="3"/>
  <c r="W2995" i="3"/>
  <c r="X2995" i="3"/>
  <c r="R2996" i="3"/>
  <c r="V2996" i="3"/>
  <c r="W2996" i="3"/>
  <c r="X2996" i="3"/>
  <c r="R2997" i="3"/>
  <c r="V2997" i="3"/>
  <c r="W2997" i="3"/>
  <c r="X2997" i="3"/>
  <c r="R2998" i="3"/>
  <c r="V2998" i="3"/>
  <c r="W2998" i="3"/>
  <c r="X2998" i="3"/>
  <c r="R2999" i="3"/>
  <c r="V2999" i="3"/>
  <c r="W2999" i="3"/>
  <c r="X2999" i="3"/>
  <c r="W4" i="12" a="1"/>
  <c r="W4" i="12" s="1"/>
  <c r="W5" i="12" a="1"/>
  <c r="W5" i="12" s="1"/>
  <c r="W6" i="12" a="1"/>
  <c r="W6" i="12" s="1"/>
  <c r="W7" i="12" a="1"/>
  <c r="W7" i="12" s="1"/>
  <c r="W8" i="12" a="1"/>
  <c r="W8" i="12" s="1"/>
  <c r="W9" i="12" a="1"/>
  <c r="W9" i="12" s="1"/>
  <c r="W23" i="12" a="1"/>
  <c r="W23" i="12" s="1"/>
  <c r="W24" i="12" a="1"/>
  <c r="W24" i="12" s="1"/>
  <c r="W25" i="12" a="1"/>
  <c r="W25" i="12" s="1"/>
  <c r="W26" i="12" a="1"/>
  <c r="W26" i="12" s="1"/>
  <c r="W27" i="12" a="1"/>
  <c r="W27" i="12" s="1"/>
  <c r="W28" i="12" a="1"/>
  <c r="W28" i="12" s="1"/>
  <c r="W29" i="12" a="1"/>
  <c r="W29" i="12" s="1"/>
  <c r="W30" i="12" a="1"/>
  <c r="W30" i="12" s="1"/>
  <c r="W31" i="12" a="1"/>
  <c r="W31" i="12" s="1"/>
  <c r="W32" i="12" a="1"/>
  <c r="W32" i="12" s="1"/>
  <c r="W33" i="12" a="1"/>
  <c r="W33" i="12" s="1"/>
  <c r="W34" i="12" a="1"/>
  <c r="W34" i="12" s="1"/>
  <c r="W35" i="12" a="1"/>
  <c r="W35" i="12" s="1"/>
  <c r="W36" i="12" a="1"/>
  <c r="W36" i="12" s="1"/>
  <c r="W37" i="12" a="1"/>
  <c r="W37" i="12" s="1"/>
  <c r="W38" i="12" a="1"/>
  <c r="W38" i="12" s="1"/>
  <c r="W39" i="12" a="1"/>
  <c r="W39" i="12" s="1"/>
  <c r="W40" i="12" a="1"/>
  <c r="W40" i="12" s="1"/>
  <c r="W41" i="12" a="1"/>
  <c r="W41" i="12" s="1"/>
  <c r="W42" i="12" a="1"/>
  <c r="W42" i="12" s="1"/>
  <c r="W43" i="12" a="1"/>
  <c r="W43" i="12" s="1"/>
  <c r="W44" i="12" a="1"/>
  <c r="W44" i="12" s="1"/>
  <c r="W45" i="12" a="1"/>
  <c r="W45" i="12" s="1"/>
  <c r="W46" i="12" a="1"/>
  <c r="W46" i="12" s="1"/>
  <c r="W47" i="12" a="1"/>
  <c r="W47" i="12" s="1"/>
  <c r="W48" i="12" a="1"/>
  <c r="W48" i="12" s="1"/>
  <c r="W49" i="12" a="1"/>
  <c r="W49" i="12" s="1"/>
  <c r="W50" i="12" a="1"/>
  <c r="W50" i="12" s="1"/>
  <c r="W51" i="12" a="1"/>
  <c r="W51" i="12" s="1"/>
  <c r="W52" i="12" a="1"/>
  <c r="W52" i="12" s="1"/>
  <c r="W53" i="12" a="1"/>
  <c r="W53" i="12" s="1"/>
  <c r="W54" i="12" a="1"/>
  <c r="W54" i="12" s="1"/>
  <c r="W55" i="12" a="1"/>
  <c r="W55" i="12" s="1"/>
  <c r="W56" i="12" a="1"/>
  <c r="W56" i="12" s="1"/>
  <c r="W57" i="12" a="1"/>
  <c r="W57" i="12" s="1"/>
  <c r="W58" i="12" a="1"/>
  <c r="W58" i="12" s="1"/>
  <c r="W59" i="12" a="1"/>
  <c r="W59" i="12" s="1"/>
  <c r="W60" i="12" a="1"/>
  <c r="W60" i="12" s="1"/>
  <c r="W61" i="12" a="1"/>
  <c r="W61" i="12" s="1"/>
  <c r="W62" i="12" a="1"/>
  <c r="W62" i="12" s="1"/>
  <c r="W63" i="12" a="1"/>
  <c r="W63" i="12" s="1"/>
  <c r="W64" i="12" a="1"/>
  <c r="W64" i="12" s="1"/>
  <c r="W65" i="12" a="1"/>
  <c r="W65" i="12" s="1"/>
  <c r="W66" i="12" a="1"/>
  <c r="W66" i="12" s="1"/>
  <c r="W67" i="12" a="1"/>
  <c r="W67" i="12" s="1"/>
  <c r="W68" i="12" a="1"/>
  <c r="W68" i="12" s="1"/>
  <c r="W69" i="12" a="1"/>
  <c r="W69" i="12" s="1"/>
  <c r="W70" i="12" a="1"/>
  <c r="W70" i="12" s="1"/>
  <c r="W71" i="12" a="1"/>
  <c r="W71" i="12" s="1"/>
  <c r="W72" i="12" a="1"/>
  <c r="W72" i="12" s="1"/>
  <c r="W73" i="12" a="1"/>
  <c r="W73" i="12" s="1"/>
  <c r="W74" i="12" a="1"/>
  <c r="W74" i="12" s="1"/>
  <c r="W75" i="12" a="1"/>
  <c r="W75" i="12" s="1"/>
  <c r="W76" i="12" a="1"/>
  <c r="W76" i="12" s="1"/>
  <c r="W77" i="12" a="1"/>
  <c r="W77" i="12" s="1"/>
  <c r="W78" i="12" a="1"/>
  <c r="W78" i="12" s="1"/>
  <c r="W79" i="12" a="1"/>
  <c r="W79" i="12" s="1"/>
  <c r="W80" i="12" a="1"/>
  <c r="W80" i="12" s="1"/>
  <c r="W81" i="12" a="1"/>
  <c r="W81" i="12" s="1"/>
  <c r="W82" i="12" a="1"/>
  <c r="W82" i="12" s="1"/>
  <c r="W83" i="12" a="1"/>
  <c r="W83" i="12" s="1"/>
  <c r="W84" i="12" a="1"/>
  <c r="W84" i="12" s="1"/>
  <c r="W85" i="12" a="1"/>
  <c r="W85" i="12" s="1"/>
  <c r="W86" i="12" a="1"/>
  <c r="W86" i="12" s="1"/>
  <c r="W87" i="12" a="1"/>
  <c r="W87" i="12" s="1"/>
  <c r="W88" i="12" a="1"/>
  <c r="W88" i="12" s="1"/>
  <c r="W89" i="12" a="1"/>
  <c r="W89" i="12" s="1"/>
  <c r="W90" i="12" a="1"/>
  <c r="W90" i="12" s="1"/>
  <c r="W91" i="12" a="1"/>
  <c r="W91" i="12" s="1"/>
  <c r="W92" i="12" a="1"/>
  <c r="W92" i="12" s="1"/>
  <c r="W93" i="12" a="1"/>
  <c r="W93" i="12" s="1"/>
  <c r="W94" i="12" a="1"/>
  <c r="W94" i="12" s="1"/>
  <c r="W95" i="12" a="1"/>
  <c r="W95" i="12" s="1"/>
  <c r="W96" i="12" a="1"/>
  <c r="W96" i="12" s="1"/>
  <c r="W97" i="12" a="1"/>
  <c r="W97" i="12" s="1"/>
  <c r="W98" i="12" a="1"/>
  <c r="W98" i="12" s="1"/>
  <c r="W99" i="12" a="1"/>
  <c r="W99" i="12" s="1"/>
  <c r="W100" i="12" a="1"/>
  <c r="W100" i="12" s="1"/>
  <c r="W101" i="12" a="1"/>
  <c r="W101" i="12" s="1"/>
  <c r="W102" i="12" a="1"/>
  <c r="W102" i="12" s="1"/>
  <c r="W103" i="12" a="1"/>
  <c r="W103" i="12" s="1"/>
  <c r="W104" i="12" a="1"/>
  <c r="W104" i="12" s="1"/>
  <c r="W105" i="12" a="1"/>
  <c r="W105" i="12" s="1"/>
  <c r="W106" i="12" a="1"/>
  <c r="W106" i="12" s="1"/>
  <c r="W107" i="12" a="1"/>
  <c r="W107" i="12" s="1"/>
  <c r="W108" i="12" a="1"/>
  <c r="W108" i="12" s="1"/>
  <c r="W109" i="12" a="1"/>
  <c r="W109" i="12" s="1"/>
  <c r="W110" i="12" a="1"/>
  <c r="W110" i="12" s="1"/>
  <c r="W111" i="12" a="1"/>
  <c r="W111" i="12" s="1"/>
  <c r="W112" i="12" a="1"/>
  <c r="W112" i="12" s="1"/>
  <c r="W113" i="12" a="1"/>
  <c r="W113" i="12" s="1"/>
  <c r="W114" i="12" a="1"/>
  <c r="W114" i="12" s="1"/>
  <c r="W115" i="12" a="1"/>
  <c r="W115" i="12" s="1"/>
  <c r="W116" i="12" a="1"/>
  <c r="W116" i="12" s="1"/>
  <c r="W117" i="12" a="1"/>
  <c r="W117" i="12" s="1"/>
  <c r="W118" i="12" a="1"/>
  <c r="W118" i="12" s="1"/>
  <c r="W119" i="12" a="1"/>
  <c r="W119" i="12" s="1"/>
  <c r="W120" i="12" a="1"/>
  <c r="W120" i="12" s="1"/>
  <c r="W121" i="12" a="1"/>
  <c r="W121" i="12" s="1"/>
  <c r="W122" i="12" a="1"/>
  <c r="W122" i="12" s="1"/>
  <c r="W123" i="12" a="1"/>
  <c r="W123" i="12" s="1"/>
  <c r="W124" i="12" a="1"/>
  <c r="W124" i="12" s="1"/>
  <c r="W125" i="12" a="1"/>
  <c r="W125" i="12" s="1"/>
  <c r="W126" i="12" a="1"/>
  <c r="W126" i="12" s="1"/>
  <c r="W127" i="12" a="1"/>
  <c r="W127" i="12" s="1"/>
  <c r="W129" i="12" a="1"/>
  <c r="W129" i="12" s="1"/>
  <c r="W130" i="12" a="1"/>
  <c r="W130" i="12" s="1"/>
  <c r="W131" i="12" a="1"/>
  <c r="W131" i="12" s="1"/>
  <c r="W132" i="12" a="1"/>
  <c r="W132" i="12" s="1"/>
  <c r="W133" i="12" a="1"/>
  <c r="W133" i="12" s="1"/>
  <c r="W134" i="12" a="1"/>
  <c r="W134" i="12" s="1"/>
  <c r="W135" i="12" a="1"/>
  <c r="W135" i="12" s="1"/>
  <c r="W136" i="12" a="1"/>
  <c r="W136" i="12" s="1"/>
  <c r="W137" i="12" a="1"/>
  <c r="W137" i="12" s="1"/>
  <c r="W138" i="12" a="1"/>
  <c r="W138" i="12" s="1"/>
  <c r="W139" i="12" a="1"/>
  <c r="W139" i="12" s="1"/>
  <c r="W140" i="12" a="1"/>
  <c r="W140" i="12" s="1"/>
  <c r="W141" i="12" a="1"/>
  <c r="W141" i="12" s="1"/>
  <c r="W142" i="12" a="1"/>
  <c r="W142" i="12" s="1"/>
  <c r="W143" i="12" a="1"/>
  <c r="W143" i="12" s="1"/>
  <c r="W144" i="12" a="1"/>
  <c r="W144" i="12" s="1"/>
  <c r="W145" i="12" a="1"/>
  <c r="W145" i="12" s="1"/>
  <c r="W146" i="12" a="1"/>
  <c r="W146" i="12" s="1"/>
  <c r="W147" i="12" a="1"/>
  <c r="W147" i="12" s="1"/>
  <c r="W148" i="12" a="1"/>
  <c r="W148" i="12" s="1"/>
  <c r="W149" i="12" a="1"/>
  <c r="W149" i="12" s="1"/>
  <c r="W150" i="12" a="1"/>
  <c r="W150" i="12" s="1"/>
  <c r="W151" i="12" a="1"/>
  <c r="W151" i="12" s="1"/>
  <c r="W152" i="12" a="1"/>
  <c r="W152" i="12" s="1"/>
  <c r="W153" i="12" a="1"/>
  <c r="W153" i="12" s="1"/>
  <c r="W154" i="12" a="1"/>
  <c r="W154" i="12" s="1"/>
  <c r="W155" i="12" a="1"/>
  <c r="W155" i="12" s="1"/>
  <c r="W156" i="12" a="1"/>
  <c r="W156" i="12" s="1"/>
  <c r="W157" i="12" a="1"/>
  <c r="W157" i="12" s="1"/>
  <c r="W158" i="12" a="1"/>
  <c r="W158" i="12" s="1"/>
  <c r="W159" i="12" a="1"/>
  <c r="W159" i="12" s="1"/>
  <c r="W160" i="12" a="1"/>
  <c r="W160" i="12" s="1"/>
  <c r="W161" i="12" a="1"/>
  <c r="W161" i="12" s="1"/>
  <c r="W162" i="12" a="1"/>
  <c r="W162" i="12" s="1"/>
  <c r="W163" i="12" a="1"/>
  <c r="W163" i="12" s="1"/>
  <c r="W164" i="12" a="1"/>
  <c r="W164" i="12" s="1"/>
  <c r="W165" i="12" a="1"/>
  <c r="W165" i="12" s="1"/>
  <c r="W166" i="12" a="1"/>
  <c r="W166" i="12" s="1"/>
  <c r="W167" i="12" a="1"/>
  <c r="W167" i="12" s="1"/>
  <c r="W168" i="12" a="1"/>
  <c r="W168" i="12" s="1"/>
  <c r="W169" i="12" a="1"/>
  <c r="W169" i="12" s="1"/>
  <c r="W170" i="12" a="1"/>
  <c r="W170" i="12" s="1"/>
  <c r="W171" i="12" a="1"/>
  <c r="W171" i="12" s="1"/>
  <c r="W172" i="12" a="1"/>
  <c r="W172" i="12" s="1"/>
  <c r="W173" i="12" a="1"/>
  <c r="W173" i="12" s="1"/>
  <c r="W174" i="12" a="1"/>
  <c r="W174" i="12" s="1"/>
  <c r="W175" i="12" a="1"/>
  <c r="W175" i="12" s="1"/>
  <c r="W176" i="12" a="1"/>
  <c r="W176" i="12" s="1"/>
  <c r="W177" i="12" a="1"/>
  <c r="W177" i="12" s="1"/>
  <c r="W178" i="12" a="1"/>
  <c r="W178" i="12" s="1"/>
  <c r="W179" i="12" a="1"/>
  <c r="W179" i="12" s="1"/>
  <c r="W180" i="12" a="1"/>
  <c r="W180" i="12" s="1"/>
  <c r="W181" i="12" a="1"/>
  <c r="W181" i="12" s="1"/>
  <c r="W182" i="12" a="1"/>
  <c r="W182" i="12" s="1"/>
  <c r="W183" i="12" a="1"/>
  <c r="W183" i="12" s="1"/>
  <c r="W184" i="12" a="1"/>
  <c r="W184" i="12" s="1"/>
  <c r="W185" i="12" a="1"/>
  <c r="W185" i="12" s="1"/>
  <c r="W186" i="12" a="1"/>
  <c r="W186" i="12" s="1"/>
  <c r="W3" i="12" a="1"/>
  <c r="W3" i="12" s="1"/>
  <c r="Y1786" i="3" l="1"/>
  <c r="Y1763" i="3"/>
  <c r="Y1674" i="3"/>
  <c r="Y1807" i="3"/>
  <c r="Y1774" i="3"/>
  <c r="Y1839" i="3"/>
  <c r="Y1906" i="3"/>
  <c r="Y1731" i="3"/>
  <c r="Y1768" i="3"/>
  <c r="Y1740" i="3"/>
  <c r="Y1626" i="3"/>
  <c r="Y1797" i="3"/>
  <c r="Y1327" i="3"/>
  <c r="Y2270" i="3"/>
  <c r="Y2211" i="3"/>
  <c r="Y2209" i="3"/>
  <c r="Y1766" i="3"/>
  <c r="Y1323" i="3"/>
  <c r="Y1703" i="3"/>
  <c r="Y1665" i="3"/>
  <c r="Y2426" i="3"/>
  <c r="Y2277" i="3"/>
  <c r="Y2246" i="3"/>
  <c r="Y2235" i="3"/>
  <c r="Y1958" i="3"/>
  <c r="Y1717" i="3"/>
  <c r="Y1302" i="3"/>
  <c r="Y1986" i="3"/>
  <c r="Y2986" i="3"/>
  <c r="Y2386" i="3"/>
  <c r="Y2292" i="3"/>
  <c r="Y1391" i="3"/>
  <c r="Y1625" i="3"/>
  <c r="Y1570" i="3"/>
  <c r="Y2744" i="3"/>
  <c r="Y2720" i="3"/>
  <c r="Y2708" i="3"/>
  <c r="Y2660" i="3"/>
  <c r="Y2609" i="3"/>
  <c r="Y2597" i="3"/>
  <c r="Y2585" i="3"/>
  <c r="Y2537" i="3"/>
  <c r="Y2429" i="3"/>
  <c r="Y2637" i="3"/>
  <c r="Y2929" i="3"/>
  <c r="Y2581" i="3"/>
  <c r="Y2983" i="3"/>
  <c r="Y2827" i="3"/>
  <c r="Y2815" i="3"/>
  <c r="Y2767" i="3"/>
  <c r="Y2743" i="3"/>
  <c r="Y2659" i="3"/>
  <c r="Y2673" i="3"/>
  <c r="Y2831" i="3"/>
  <c r="Y2819" i="3"/>
  <c r="Y2795" i="3"/>
  <c r="Y2771" i="3"/>
  <c r="Y2663" i="3"/>
  <c r="Y2428" i="3"/>
  <c r="Y2421" i="3"/>
  <c r="Y2409" i="3"/>
  <c r="Y2835" i="3"/>
  <c r="Y2811" i="3"/>
  <c r="Y2799" i="3"/>
  <c r="Y2739" i="3"/>
  <c r="Y2655" i="3"/>
  <c r="Y2636" i="3"/>
  <c r="Y2576" i="3"/>
  <c r="Y2564" i="3"/>
  <c r="Y2552" i="3"/>
  <c r="Y2401" i="3"/>
  <c r="Y1712" i="3"/>
  <c r="Y2693" i="3"/>
  <c r="Y1591" i="3"/>
  <c r="Y2150" i="3"/>
  <c r="Y2081" i="3"/>
  <c r="Y2052" i="3"/>
  <c r="Y1587" i="3"/>
  <c r="Y2914" i="3"/>
  <c r="Y2096" i="3"/>
  <c r="Y1771" i="3"/>
  <c r="Y2933" i="3"/>
  <c r="Y2921" i="3"/>
  <c r="Y2909" i="3"/>
  <c r="Y2897" i="3"/>
  <c r="Y2137" i="3"/>
  <c r="Y2978" i="3"/>
  <c r="Y2906" i="3"/>
  <c r="Y2100" i="3"/>
  <c r="Y2088" i="3"/>
  <c r="Y2077" i="3"/>
  <c r="Y1985" i="3"/>
  <c r="Y2901" i="3"/>
  <c r="Y2129" i="3"/>
  <c r="Y2980" i="3"/>
  <c r="Y2956" i="3"/>
  <c r="Y2944" i="3"/>
  <c r="Y2908" i="3"/>
  <c r="Y2774" i="3"/>
  <c r="Y2587" i="3"/>
  <c r="Y2575" i="3"/>
  <c r="Y2563" i="3"/>
  <c r="Y2333" i="3"/>
  <c r="Y2249" i="3"/>
  <c r="Y1976" i="3"/>
  <c r="Y1714" i="3"/>
  <c r="Y1860" i="3"/>
  <c r="Y1329" i="3"/>
  <c r="Y2963" i="3"/>
  <c r="Y2862" i="3"/>
  <c r="Y2481" i="3"/>
  <c r="Y2323" i="3"/>
  <c r="Y2960" i="3"/>
  <c r="Y2936" i="3"/>
  <c r="Y2912" i="3"/>
  <c r="Y2888" i="3"/>
  <c r="Y2852" i="3"/>
  <c r="Y2706" i="3"/>
  <c r="Y2579" i="3"/>
  <c r="Y2430" i="3"/>
  <c r="Y2349" i="3"/>
  <c r="Y2263" i="3"/>
  <c r="Y2183" i="3"/>
  <c r="Y2136" i="3"/>
  <c r="Y2856" i="3"/>
  <c r="Y2710" i="3"/>
  <c r="Y2662" i="3"/>
  <c r="Y2329" i="3"/>
  <c r="Y29" i="3"/>
  <c r="Y2105" i="3"/>
  <c r="Y1908" i="3"/>
  <c r="Y1868" i="3"/>
  <c r="Y1390" i="3"/>
  <c r="Y2971" i="3"/>
  <c r="Y2954" i="3"/>
  <c r="Y1611" i="3"/>
  <c r="Y1592" i="3"/>
  <c r="Y2917" i="3"/>
  <c r="Y2898" i="3"/>
  <c r="Y2850" i="3"/>
  <c r="Y2776" i="3"/>
  <c r="Y2740" i="3"/>
  <c r="Y2723" i="3"/>
  <c r="Y2584" i="3"/>
  <c r="Y2577" i="3"/>
  <c r="Y2565" i="3"/>
  <c r="Y2347" i="3"/>
  <c r="Y2134" i="3"/>
  <c r="Y2012" i="3"/>
  <c r="Y1384" i="3"/>
  <c r="Y1859" i="3"/>
  <c r="Y1705" i="3"/>
  <c r="Y1578" i="3"/>
  <c r="Y2838" i="3"/>
  <c r="Y2694" i="3"/>
  <c r="Y1572" i="3"/>
  <c r="Y2962" i="3"/>
  <c r="Y2945" i="3"/>
  <c r="Y2931" i="3"/>
  <c r="Y2895" i="3"/>
  <c r="Y2821" i="3"/>
  <c r="Y2773" i="3"/>
  <c r="Y2737" i="3"/>
  <c r="Y2665" i="3"/>
  <c r="Y2550" i="3"/>
  <c r="Y2423" i="3"/>
  <c r="Y2399" i="3"/>
  <c r="Y2387" i="3"/>
  <c r="Y2356" i="3"/>
  <c r="Y2202" i="3"/>
  <c r="Y2190" i="3"/>
  <c r="Y2155" i="3"/>
  <c r="Y2131" i="3"/>
  <c r="Y1975" i="3"/>
  <c r="Y1554" i="3"/>
  <c r="Y1911" i="3"/>
  <c r="Y1791" i="3"/>
  <c r="Y2787" i="3"/>
  <c r="Y2168" i="3"/>
  <c r="Y1631" i="3"/>
  <c r="Y1596" i="3"/>
  <c r="Y2420" i="3"/>
  <c r="Y1577" i="3"/>
  <c r="Y2999" i="3"/>
  <c r="Y2935" i="3"/>
  <c r="Y2923" i="3"/>
  <c r="Y2918" i="3"/>
  <c r="Y2813" i="3"/>
  <c r="Y2705" i="3"/>
  <c r="Y2554" i="3"/>
  <c r="Y2542" i="3"/>
  <c r="Y2372" i="3"/>
  <c r="Y2220" i="3"/>
  <c r="Y2035" i="3"/>
  <c r="Y1991" i="3"/>
  <c r="Y1716" i="3"/>
  <c r="Y1903" i="3"/>
  <c r="Y1883" i="3"/>
  <c r="Y1761" i="3"/>
  <c r="Y2671" i="3"/>
  <c r="Y2484" i="3"/>
  <c r="Y1957" i="3"/>
  <c r="Y1779" i="3"/>
  <c r="Y1722" i="3"/>
  <c r="Y2798" i="3"/>
  <c r="Y1382" i="3"/>
  <c r="Y1581" i="3"/>
  <c r="Y2958" i="3"/>
  <c r="Y2927" i="3"/>
  <c r="Y2829" i="3"/>
  <c r="Y2721" i="3"/>
  <c r="Y2661" i="3"/>
  <c r="Y2419" i="3"/>
  <c r="Y2198" i="3"/>
  <c r="Y2127" i="3"/>
  <c r="Y1287" i="3"/>
  <c r="Y1711" i="3"/>
  <c r="Y2981" i="3"/>
  <c r="Y2977" i="3"/>
  <c r="Y2975" i="3"/>
  <c r="Y2926" i="3"/>
  <c r="Y2924" i="3"/>
  <c r="Y2922" i="3"/>
  <c r="Y2920" i="3"/>
  <c r="Y2849" i="3"/>
  <c r="Y2843" i="3"/>
  <c r="Y2726" i="3"/>
  <c r="Y2635" i="3"/>
  <c r="Y2629" i="3"/>
  <c r="Y2627" i="3"/>
  <c r="Y2625" i="3"/>
  <c r="Y2623" i="3"/>
  <c r="Y2617" i="3"/>
  <c r="Y2615" i="3"/>
  <c r="Y2611" i="3"/>
  <c r="Y2591" i="3"/>
  <c r="Y2414" i="3"/>
  <c r="Y2412" i="3"/>
  <c r="Y2404" i="3"/>
  <c r="Y2402" i="3"/>
  <c r="Y2380" i="3"/>
  <c r="Y2368" i="3"/>
  <c r="Y2360" i="3"/>
  <c r="Y2358" i="3"/>
  <c r="Y2197" i="3"/>
  <c r="Y2191" i="3"/>
  <c r="Y2189" i="3"/>
  <c r="Y2173" i="3"/>
  <c r="Y2165" i="3"/>
  <c r="Y1937" i="3"/>
  <c r="Y1783" i="3"/>
  <c r="Y2892" i="3"/>
  <c r="Y2328" i="3"/>
  <c r="Y1640" i="3"/>
  <c r="Y1747" i="3"/>
  <c r="Y1759" i="3"/>
  <c r="Y2953" i="3"/>
  <c r="Y2951" i="3"/>
  <c r="Y2949" i="3"/>
  <c r="Y2947" i="3"/>
  <c r="Y2876" i="3"/>
  <c r="Y2874" i="3"/>
  <c r="Y2777" i="3"/>
  <c r="Y2763" i="3"/>
  <c r="Y2745" i="3"/>
  <c r="Y2684" i="3"/>
  <c r="Y2682" i="3"/>
  <c r="Y2680" i="3"/>
  <c r="Y2674" i="3"/>
  <c r="Y2672" i="3"/>
  <c r="Y2668" i="3"/>
  <c r="Y2519" i="3"/>
  <c r="Y2515" i="3"/>
  <c r="Y2513" i="3"/>
  <c r="Y2487" i="3"/>
  <c r="Y2453" i="3"/>
  <c r="Y2447" i="3"/>
  <c r="Y2441" i="3"/>
  <c r="Y2435" i="3"/>
  <c r="Y2316" i="3"/>
  <c r="Y2314" i="3"/>
  <c r="Y2312" i="3"/>
  <c r="Y2308" i="3"/>
  <c r="Y2109" i="3"/>
  <c r="Y1854" i="3"/>
  <c r="Y1810" i="3"/>
  <c r="Y1808" i="3"/>
  <c r="Y1792" i="3"/>
  <c r="Y1679" i="3"/>
  <c r="Y2996" i="3"/>
  <c r="Y2992" i="3"/>
  <c r="Y2941" i="3"/>
  <c r="Y2939" i="3"/>
  <c r="Y2216" i="3"/>
  <c r="Y2972" i="3"/>
  <c r="Y2731" i="3"/>
  <c r="Y2729" i="3"/>
  <c r="Y2622" i="3"/>
  <c r="Y1940" i="3"/>
  <c r="Y1782" i="3"/>
  <c r="Y2968" i="3"/>
  <c r="Y2966" i="3"/>
  <c r="Y2840" i="3"/>
  <c r="Y2806" i="3"/>
  <c r="Y2715" i="3"/>
  <c r="Y2604" i="3"/>
  <c r="Y2602" i="3"/>
  <c r="Y2596" i="3"/>
  <c r="Y2594" i="3"/>
  <c r="Y2592" i="3"/>
  <c r="Y2570" i="3"/>
  <c r="Y2385" i="3"/>
  <c r="Y2381" i="3"/>
  <c r="Y2373" i="3"/>
  <c r="Y2048" i="3"/>
  <c r="Y2046" i="3"/>
  <c r="Y2020" i="3"/>
  <c r="Y1828" i="3"/>
  <c r="Y1869" i="3"/>
  <c r="Y1853" i="3"/>
  <c r="Y1851" i="3"/>
  <c r="Y2950" i="3"/>
  <c r="Y2948" i="3"/>
  <c r="Y2885" i="3"/>
  <c r="Y2883" i="3"/>
  <c r="Y2877" i="3"/>
  <c r="Y2865" i="3"/>
  <c r="Y2778" i="3"/>
  <c r="Y2687" i="3"/>
  <c r="Y2669" i="3"/>
  <c r="Y2643" i="3"/>
  <c r="Y2536" i="3"/>
  <c r="Y2528" i="3"/>
  <c r="Y2526" i="3"/>
  <c r="Y2512" i="3"/>
  <c r="Y2482" i="3"/>
  <c r="Y2476" i="3"/>
  <c r="Y2474" i="3"/>
  <c r="Y2472" i="3"/>
  <c r="Y2464" i="3"/>
  <c r="Y2460" i="3"/>
  <c r="Y2448" i="3"/>
  <c r="Y2446" i="3"/>
  <c r="Y2438" i="3"/>
  <c r="Y2315" i="3"/>
  <c r="Y2309" i="3"/>
  <c r="Y2303" i="3"/>
  <c r="Y2297" i="3"/>
  <c r="Y2278" i="3"/>
  <c r="Y2215" i="3"/>
  <c r="Y2118" i="3"/>
  <c r="Y2106" i="3"/>
  <c r="Y1407" i="3"/>
  <c r="Y1401" i="3"/>
  <c r="Y2123" i="3"/>
  <c r="Y1776" i="3"/>
  <c r="Y1702" i="3"/>
  <c r="Y1700" i="3"/>
  <c r="Y2099" i="3"/>
  <c r="Y2082" i="3"/>
  <c r="Y2080" i="3"/>
  <c r="Y1966" i="3"/>
  <c r="Y1886" i="3"/>
  <c r="Y2989" i="3"/>
  <c r="Y2817" i="3"/>
  <c r="Y2788" i="3"/>
  <c r="Y2722" i="3"/>
  <c r="Y2718" i="3"/>
  <c r="Y2683" i="3"/>
  <c r="Y2677" i="3"/>
  <c r="Y2675" i="3"/>
  <c r="Y2477" i="3"/>
  <c r="Y2475" i="3"/>
  <c r="Y2473" i="3"/>
  <c r="Y2471" i="3"/>
  <c r="Y2465" i="3"/>
  <c r="Y2459" i="3"/>
  <c r="Y2348" i="3"/>
  <c r="Y2346" i="3"/>
  <c r="Y2338" i="3"/>
  <c r="Y2336" i="3"/>
  <c r="Y2334" i="3"/>
  <c r="Y2148" i="3"/>
  <c r="Y2103" i="3"/>
  <c r="Y2001" i="3"/>
  <c r="Y1955" i="3"/>
  <c r="Y1949" i="3"/>
  <c r="Y1832" i="3"/>
  <c r="Y1486" i="3"/>
  <c r="Y1469" i="3"/>
  <c r="Y1754" i="3"/>
  <c r="Y1746" i="3"/>
  <c r="Y1739" i="3"/>
  <c r="Y1728" i="3"/>
  <c r="Y1693" i="3"/>
  <c r="Y1677" i="3"/>
  <c r="Y1638" i="3"/>
  <c r="Y1604" i="3"/>
  <c r="Y1597" i="3"/>
  <c r="Y1571" i="3"/>
  <c r="Y2904" i="3"/>
  <c r="Y2846" i="3"/>
  <c r="Y2598" i="3"/>
  <c r="Y2265" i="3"/>
  <c r="Y2037" i="3"/>
  <c r="Y1385" i="3"/>
  <c r="Y1328" i="3"/>
  <c r="Y1304" i="3"/>
  <c r="Y1620" i="3"/>
  <c r="Y1599" i="3"/>
  <c r="Y2994" i="3"/>
  <c r="Y2657" i="3"/>
  <c r="Y1721" i="3"/>
  <c r="Y1573" i="3"/>
  <c r="Y2861" i="3"/>
  <c r="Y2727" i="3"/>
  <c r="Y2702" i="3"/>
  <c r="Y2649" i="3"/>
  <c r="Y2647" i="3"/>
  <c r="Y2504" i="3"/>
  <c r="Y2498" i="3"/>
  <c r="Y2494" i="3"/>
  <c r="Y2398" i="3"/>
  <c r="Y2371" i="3"/>
  <c r="Y2369" i="3"/>
  <c r="Y2365" i="3"/>
  <c r="Y2361" i="3"/>
  <c r="Y2225" i="3"/>
  <c r="Y2164" i="3"/>
  <c r="Y2161" i="3"/>
  <c r="Y2067" i="3"/>
  <c r="Y2065" i="3"/>
  <c r="Y2064" i="3"/>
  <c r="Y2023" i="3"/>
  <c r="Y1781" i="3"/>
  <c r="Y1762" i="3"/>
  <c r="Y1745" i="3"/>
  <c r="Y1736" i="3"/>
  <c r="Y1670" i="3"/>
  <c r="Y2990" i="3"/>
  <c r="Y2969" i="3"/>
  <c r="Y2967" i="3"/>
  <c r="Y2965" i="3"/>
  <c r="Y2942" i="3"/>
  <c r="Y2940" i="3"/>
  <c r="Y2938" i="3"/>
  <c r="Y2915" i="3"/>
  <c r="Y2913" i="3"/>
  <c r="Y2911" i="3"/>
  <c r="Y2859" i="3"/>
  <c r="Y2756" i="3"/>
  <c r="Y2754" i="3"/>
  <c r="Y2752" i="3"/>
  <c r="Y2746" i="3"/>
  <c r="Y2586" i="3"/>
  <c r="Y2549" i="3"/>
  <c r="Y2547" i="3"/>
  <c r="Y2545" i="3"/>
  <c r="Y2466" i="3"/>
  <c r="Y2343" i="3"/>
  <c r="Y2302" i="3"/>
  <c r="Y2300" i="3"/>
  <c r="Y2298" i="3"/>
  <c r="Y2294" i="3"/>
  <c r="Y2290" i="3"/>
  <c r="Y2288" i="3"/>
  <c r="Y1412" i="3"/>
  <c r="Y1410" i="3"/>
  <c r="Y1406" i="3"/>
  <c r="Y2010" i="3"/>
  <c r="Y2004" i="3"/>
  <c r="Y1954" i="3"/>
  <c r="Y1850" i="3"/>
  <c r="Y1485" i="3"/>
  <c r="Y1842" i="3"/>
  <c r="Y1753" i="3"/>
  <c r="Y1628" i="3"/>
  <c r="Y1646" i="3"/>
  <c r="Y1642" i="3"/>
  <c r="Y1635" i="3"/>
  <c r="Y1603" i="3"/>
  <c r="Y2982" i="3"/>
  <c r="Y2959" i="3"/>
  <c r="Y2957" i="3"/>
  <c r="Y2932" i="3"/>
  <c r="Y2930" i="3"/>
  <c r="Y2903" i="3"/>
  <c r="Y2886" i="3"/>
  <c r="Y2880" i="3"/>
  <c r="Y2824" i="3"/>
  <c r="Y2818" i="3"/>
  <c r="Y2816" i="3"/>
  <c r="Y2812" i="3"/>
  <c r="Y2802" i="3"/>
  <c r="Y2719" i="3"/>
  <c r="Y2603" i="3"/>
  <c r="Y2572" i="3"/>
  <c r="Y2523" i="3"/>
  <c r="Y2384" i="3"/>
  <c r="Y2382" i="3"/>
  <c r="Y2143" i="3"/>
  <c r="Y2141" i="3"/>
  <c r="Y2061" i="3"/>
  <c r="Y1466" i="3"/>
  <c r="Y1857" i="3"/>
  <c r="Y1605" i="3"/>
  <c r="Y2974" i="3"/>
  <c r="Y2440" i="3"/>
  <c r="Y1827" i="3"/>
  <c r="Y1863" i="3"/>
  <c r="Y1733" i="3"/>
  <c r="Y1650" i="3"/>
  <c r="Y2734" i="3"/>
  <c r="Y2732" i="3"/>
  <c r="Y2701" i="3"/>
  <c r="Y2699" i="3"/>
  <c r="Y2695" i="3"/>
  <c r="Y2691" i="3"/>
  <c r="Y2652" i="3"/>
  <c r="Y2650" i="3"/>
  <c r="Y2646" i="3"/>
  <c r="Y2644" i="3"/>
  <c r="Y2638" i="3"/>
  <c r="Y2589" i="3"/>
  <c r="Y2562" i="3"/>
  <c r="Y2538" i="3"/>
  <c r="Y2505" i="3"/>
  <c r="Y2503" i="3"/>
  <c r="Y2493" i="3"/>
  <c r="Y2491" i="3"/>
  <c r="Y2393" i="3"/>
  <c r="Y2366" i="3"/>
  <c r="Y2364" i="3"/>
  <c r="Y2163" i="3"/>
  <c r="Y2162" i="3"/>
  <c r="Y2160" i="3"/>
  <c r="Y2068" i="3"/>
  <c r="Y1918" i="3"/>
  <c r="Y1916" i="3"/>
  <c r="Y1829" i="3"/>
  <c r="Y2026" i="3"/>
  <c r="Y2011" i="3"/>
  <c r="Y2003" i="3"/>
  <c r="Y1285" i="3"/>
  <c r="Y2998" i="3"/>
  <c r="Y2987" i="3"/>
  <c r="Y2807" i="3"/>
  <c r="Y2765" i="3"/>
  <c r="Y2716" i="3"/>
  <c r="Y2640" i="3"/>
  <c r="Y2621" i="3"/>
  <c r="Y2541" i="3"/>
  <c r="Y2539" i="3"/>
  <c r="Y2439" i="3"/>
  <c r="Y2416" i="3"/>
  <c r="Y2397" i="3"/>
  <c r="Y2378" i="3"/>
  <c r="Y2376" i="3"/>
  <c r="Y2359" i="3"/>
  <c r="Y2357" i="3"/>
  <c r="Y2307" i="3"/>
  <c r="Y2261" i="3"/>
  <c r="Y2245" i="3"/>
  <c r="Y2214" i="3"/>
  <c r="Y2212" i="3"/>
  <c r="Y2179" i="3"/>
  <c r="Y2104" i="3"/>
  <c r="Y2083" i="3"/>
  <c r="Y2055" i="3"/>
  <c r="Y2053" i="3"/>
  <c r="Y2045" i="3"/>
  <c r="Y2043" i="3"/>
  <c r="Y2041" i="3"/>
  <c r="Y2022" i="3"/>
  <c r="Y1555" i="3"/>
  <c r="Y1639" i="3"/>
  <c r="Y1914" i="3"/>
  <c r="Y1912" i="3"/>
  <c r="Y1834" i="3"/>
  <c r="Y1482" i="3"/>
  <c r="Y2889" i="3"/>
  <c r="Y2863" i="3"/>
  <c r="Y2841" i="3"/>
  <c r="Y2805" i="3"/>
  <c r="Y2803" i="3"/>
  <c r="Y2792" i="3"/>
  <c r="Y2790" i="3"/>
  <c r="Y2784" i="3"/>
  <c r="Y2782" i="3"/>
  <c r="Y2780" i="3"/>
  <c r="Y2742" i="3"/>
  <c r="Y2433" i="3"/>
  <c r="Y2408" i="3"/>
  <c r="Y2322" i="3"/>
  <c r="Y2320" i="3"/>
  <c r="Y2318" i="3"/>
  <c r="Y2253" i="3"/>
  <c r="Y2251" i="3"/>
  <c r="Y2244" i="3"/>
  <c r="Y1556" i="3"/>
  <c r="Y530" i="3"/>
  <c r="Y2070" i="3"/>
  <c r="Y2049" i="3"/>
  <c r="Y1965" i="3"/>
  <c r="Y1943" i="3"/>
  <c r="Y1941" i="3"/>
  <c r="Y1939" i="3"/>
  <c r="Y1397" i="3"/>
  <c r="Y1286" i="3"/>
  <c r="Y1866" i="3"/>
  <c r="Y1864" i="3"/>
  <c r="Y1467" i="3"/>
  <c r="Y1838" i="3"/>
  <c r="Y1788" i="3"/>
  <c r="Y2979" i="3"/>
  <c r="Y2970" i="3"/>
  <c r="Y2961" i="3"/>
  <c r="Y2952" i="3"/>
  <c r="Y2943" i="3"/>
  <c r="Y2934" i="3"/>
  <c r="Y2925" i="3"/>
  <c r="Y2916" i="3"/>
  <c r="Y2907" i="3"/>
  <c r="Y2830" i="3"/>
  <c r="Y2828" i="3"/>
  <c r="Y2826" i="3"/>
  <c r="Y2820" i="3"/>
  <c r="Y2761" i="3"/>
  <c r="Y2759" i="3"/>
  <c r="Y2757" i="3"/>
  <c r="Y2605" i="3"/>
  <c r="Y2590" i="3"/>
  <c r="Y2560" i="3"/>
  <c r="Y2533" i="3"/>
  <c r="Y2531" i="3"/>
  <c r="Y2529" i="3"/>
  <c r="Y2510" i="3"/>
  <c r="Y2483" i="3"/>
  <c r="Y2479" i="3"/>
  <c r="Y2427" i="3"/>
  <c r="Y2362" i="3"/>
  <c r="Y2075" i="3"/>
  <c r="Y2229" i="3"/>
  <c r="Y2171" i="3"/>
  <c r="Y2133" i="3"/>
  <c r="Y2107" i="3"/>
  <c r="Y2047" i="3"/>
  <c r="Y2007" i="3"/>
  <c r="Y2005" i="3"/>
  <c r="Y1987" i="3"/>
  <c r="Y1396" i="3"/>
  <c r="Y2881" i="3"/>
  <c r="Y2848" i="3"/>
  <c r="Y2797" i="3"/>
  <c r="Y2698" i="3"/>
  <c r="Y2696" i="3"/>
  <c r="Y2658" i="3"/>
  <c r="Y2641" i="3"/>
  <c r="Y2546" i="3"/>
  <c r="Y2544" i="3"/>
  <c r="Y2525" i="3"/>
  <c r="Y2502" i="3"/>
  <c r="Y2291" i="3"/>
  <c r="Y1894" i="3"/>
  <c r="Y1749" i="3"/>
  <c r="Y2158" i="3"/>
  <c r="Y1404" i="3"/>
  <c r="Y2091" i="3"/>
  <c r="Y2089" i="3"/>
  <c r="Y2031" i="3"/>
  <c r="Y1956" i="3"/>
  <c r="Y1582" i="3"/>
  <c r="Y1389" i="3"/>
  <c r="Y1387" i="3"/>
  <c r="Y1330" i="3"/>
  <c r="Y1324" i="3"/>
  <c r="Y2894" i="3"/>
  <c r="Y2870" i="3"/>
  <c r="Y2844" i="3"/>
  <c r="Y2730" i="3"/>
  <c r="Y2728" i="3"/>
  <c r="Y2711" i="3"/>
  <c r="Y2540" i="3"/>
  <c r="Y2490" i="3"/>
  <c r="Y2488" i="3"/>
  <c r="Y2375" i="3"/>
  <c r="Y2327" i="3"/>
  <c r="Y2264" i="3"/>
  <c r="Y2262" i="3"/>
  <c r="Y2260" i="3"/>
  <c r="Y2258" i="3"/>
  <c r="Y2184" i="3"/>
  <c r="Y2180" i="3"/>
  <c r="Y2116" i="3"/>
  <c r="Y2044" i="3"/>
  <c r="Y2036" i="3"/>
  <c r="Y1973" i="3"/>
  <c r="Y1971" i="3"/>
  <c r="Y1950" i="3"/>
  <c r="Y1835" i="3"/>
  <c r="Y1322" i="3"/>
  <c r="Y2995" i="3"/>
  <c r="Y2993" i="3"/>
  <c r="Y2984" i="3"/>
  <c r="Y2964" i="3"/>
  <c r="Y2955" i="3"/>
  <c r="Y2946" i="3"/>
  <c r="Y2937" i="3"/>
  <c r="Y2928" i="3"/>
  <c r="Y2919" i="3"/>
  <c r="Y2910" i="3"/>
  <c r="Y2879" i="3"/>
  <c r="Y2868" i="3"/>
  <c r="Y2772" i="3"/>
  <c r="Y2770" i="3"/>
  <c r="Y2768" i="3"/>
  <c r="Y2766" i="3"/>
  <c r="Y2764" i="3"/>
  <c r="Y2582" i="3"/>
  <c r="Y2580" i="3"/>
  <c r="Y2392" i="3"/>
  <c r="Y2390" i="3"/>
  <c r="Y2256" i="3"/>
  <c r="Y2254" i="3"/>
  <c r="Y2241" i="3"/>
  <c r="Y2112" i="3"/>
  <c r="Y1997" i="3"/>
  <c r="Y1946" i="3"/>
  <c r="Y1398" i="3"/>
  <c r="Y1480" i="3"/>
  <c r="Y1909" i="3"/>
  <c r="Y1867" i="3"/>
  <c r="Y1831" i="3"/>
  <c r="Y2853" i="3"/>
  <c r="Y2804" i="3"/>
  <c r="Y2800" i="3"/>
  <c r="Y2793" i="3"/>
  <c r="Y2791" i="3"/>
  <c r="Y2785" i="3"/>
  <c r="Y2783" i="3"/>
  <c r="Y2612" i="3"/>
  <c r="Y2610" i="3"/>
  <c r="Y2451" i="3"/>
  <c r="Y2434" i="3"/>
  <c r="Y2407" i="3"/>
  <c r="Y2354" i="3"/>
  <c r="Y2352" i="3"/>
  <c r="Y2234" i="3"/>
  <c r="Y2207" i="3"/>
  <c r="Y2205" i="3"/>
  <c r="Y2176" i="3"/>
  <c r="Y2174" i="3"/>
  <c r="Y2140" i="3"/>
  <c r="Y2071" i="3"/>
  <c r="Y2016" i="3"/>
  <c r="Y2014" i="3"/>
  <c r="Y2006" i="3"/>
  <c r="Y1995" i="3"/>
  <c r="Y1992" i="3"/>
  <c r="Y1990" i="3"/>
  <c r="Y1942" i="3"/>
  <c r="Y1319" i="3"/>
  <c r="Y1845" i="3"/>
  <c r="Y1907" i="3"/>
  <c r="Y1462" i="3"/>
  <c r="Y2991" i="3"/>
  <c r="Y2748" i="3"/>
  <c r="Y2676" i="3"/>
  <c r="Y2344" i="3"/>
  <c r="Y2296" i="3"/>
  <c r="Y2195" i="3"/>
  <c r="Y2193" i="3"/>
  <c r="Y2130" i="3"/>
  <c r="Y2126" i="3"/>
  <c r="Y2873" i="3"/>
  <c r="Y2332" i="3"/>
  <c r="Y2218" i="3"/>
  <c r="Y2159" i="3"/>
  <c r="Y1801" i="3"/>
  <c r="Y1687" i="3"/>
  <c r="Y1590" i="3"/>
  <c r="Y1588" i="3"/>
  <c r="Y1809" i="3"/>
  <c r="Y1683" i="3"/>
  <c r="Y1681" i="3"/>
  <c r="Y1675" i="3"/>
  <c r="Y1664" i="3"/>
  <c r="Y1629" i="3"/>
  <c r="Y1621" i="3"/>
  <c r="Y1737" i="3"/>
  <c r="Y1673" i="3"/>
  <c r="Y1662" i="3"/>
  <c r="Y1601" i="3"/>
  <c r="Y2833" i="3"/>
  <c r="Y2755" i="3"/>
  <c r="Y2753" i="3"/>
  <c r="Y2749" i="3"/>
  <c r="Y2747" i="3"/>
  <c r="Y2704" i="3"/>
  <c r="Y2666" i="3"/>
  <c r="Y2651" i="3"/>
  <c r="Y2634" i="3"/>
  <c r="Y2561" i="3"/>
  <c r="Y2559" i="3"/>
  <c r="Y2553" i="3"/>
  <c r="Y2551" i="3"/>
  <c r="Y2534" i="3"/>
  <c r="Y2507" i="3"/>
  <c r="Y2383" i="3"/>
  <c r="Y2370" i="3"/>
  <c r="Y2355" i="3"/>
  <c r="Y2351" i="3"/>
  <c r="Y1919" i="3"/>
  <c r="Y2221" i="3"/>
  <c r="Y2204" i="3"/>
  <c r="Y2172" i="3"/>
  <c r="Y2166" i="3"/>
  <c r="Y2015" i="3"/>
  <c r="Y1998" i="3"/>
  <c r="Y1996" i="3"/>
  <c r="Y1974" i="3"/>
  <c r="Y1970" i="3"/>
  <c r="Y1890" i="3"/>
  <c r="Y1888" i="3"/>
  <c r="Y1879" i="3"/>
  <c r="Y1852" i="3"/>
  <c r="Y1770" i="3"/>
  <c r="Y1764" i="3"/>
  <c r="Y1760" i="3"/>
  <c r="Y1589" i="3"/>
  <c r="Y1723" i="3"/>
  <c r="Y1682" i="3"/>
  <c r="Y1663" i="3"/>
  <c r="Y1657" i="3"/>
  <c r="Y2893" i="3"/>
  <c r="Y2891" i="3"/>
  <c r="Y2871" i="3"/>
  <c r="Y2858" i="3"/>
  <c r="Y2847" i="3"/>
  <c r="Y2836" i="3"/>
  <c r="Y2762" i="3"/>
  <c r="Y2741" i="3"/>
  <c r="Y2639" i="3"/>
  <c r="Y2620" i="3"/>
  <c r="Y2618" i="3"/>
  <c r="Y2601" i="3"/>
  <c r="Y2495" i="3"/>
  <c r="Y2445" i="3"/>
  <c r="Y2345" i="3"/>
  <c r="Y2337" i="3"/>
  <c r="Y2274" i="3"/>
  <c r="Y2008" i="3"/>
  <c r="Y2232" i="3"/>
  <c r="Y2228" i="3"/>
  <c r="Y2226" i="3"/>
  <c r="Y2196" i="3"/>
  <c r="Y2194" i="3"/>
  <c r="Y2153" i="3"/>
  <c r="Y2151" i="3"/>
  <c r="Y2147" i="3"/>
  <c r="Y2145" i="3"/>
  <c r="Y2111" i="3"/>
  <c r="Y1983" i="3"/>
  <c r="Y1981" i="3"/>
  <c r="Y1977" i="3"/>
  <c r="Y1884" i="3"/>
  <c r="Y1483" i="3"/>
  <c r="Y1481" i="3"/>
  <c r="Y1468" i="3"/>
  <c r="Y1858" i="3"/>
  <c r="Y1856" i="3"/>
  <c r="Y1804" i="3"/>
  <c r="Y1798" i="3"/>
  <c r="Y1787" i="3"/>
  <c r="Y1777" i="3"/>
  <c r="Y1706" i="3"/>
  <c r="Y1595" i="3"/>
  <c r="Y1608" i="3"/>
  <c r="Y1796" i="3"/>
  <c r="Y1794" i="3"/>
  <c r="Y1698" i="3"/>
  <c r="Y1666" i="3"/>
  <c r="Y1636" i="3"/>
  <c r="Y2845" i="3"/>
  <c r="Y2810" i="3"/>
  <c r="Y2789" i="3"/>
  <c r="Y2775" i="3"/>
  <c r="Y2725" i="3"/>
  <c r="Y2690" i="3"/>
  <c r="Y2681" i="3"/>
  <c r="Y2670" i="3"/>
  <c r="Y2633" i="3"/>
  <c r="Y2613" i="3"/>
  <c r="Y2578" i="3"/>
  <c r="Y2543" i="3"/>
  <c r="Y2508" i="3"/>
  <c r="Y2506" i="3"/>
  <c r="Y2444" i="3"/>
  <c r="Y2442" i="3"/>
  <c r="Y2396" i="3"/>
  <c r="Y2394" i="3"/>
  <c r="Y2374" i="3"/>
  <c r="Y2287" i="3"/>
  <c r="Y2149" i="3"/>
  <c r="Y1263" i="3"/>
  <c r="Y1465" i="3"/>
  <c r="Y1627" i="3"/>
  <c r="Y1576" i="3"/>
  <c r="Y2985" i="3"/>
  <c r="Y2900" i="3"/>
  <c r="Y2884" i="3"/>
  <c r="Y2794" i="3"/>
  <c r="Y2709" i="3"/>
  <c r="Y2697" i="3"/>
  <c r="Y2679" i="3"/>
  <c r="Y2656" i="3"/>
  <c r="Y2631" i="3"/>
  <c r="Y2600" i="3"/>
  <c r="Y2567" i="3"/>
  <c r="Y2532" i="3"/>
  <c r="Y2530" i="3"/>
  <c r="Y2457" i="3"/>
  <c r="Y2455" i="3"/>
  <c r="Y2363" i="3"/>
  <c r="Y2350" i="3"/>
  <c r="Y2326" i="3"/>
  <c r="Y2240" i="3"/>
  <c r="Y2206" i="3"/>
  <c r="Y2094" i="3"/>
  <c r="Y2063" i="3"/>
  <c r="Y1880" i="3"/>
  <c r="Y1463" i="3"/>
  <c r="Y1793" i="3"/>
  <c r="Y1744" i="3"/>
  <c r="Y1735" i="3"/>
  <c r="Y1680" i="3"/>
  <c r="Y1678" i="3"/>
  <c r="Y1574" i="3"/>
  <c r="Y2988" i="3"/>
  <c r="Y2882" i="3"/>
  <c r="Y2654" i="3"/>
  <c r="Y2335" i="3"/>
  <c r="Y2269" i="3"/>
  <c r="Y2267" i="3"/>
  <c r="Y2250" i="3"/>
  <c r="Y2224" i="3"/>
  <c r="Y2213" i="3"/>
  <c r="Y2092" i="3"/>
  <c r="Y2069" i="3"/>
  <c r="Y2056" i="3"/>
  <c r="Y2024" i="3"/>
  <c r="Y1969" i="3"/>
  <c r="Y1288" i="3"/>
  <c r="Y1553" i="3"/>
  <c r="Y1885" i="3"/>
  <c r="Y1769" i="3"/>
  <c r="Y1767" i="3"/>
  <c r="Y2864" i="3"/>
  <c r="Y2735" i="3"/>
  <c r="Y2707" i="3"/>
  <c r="Y2686" i="3"/>
  <c r="Y1892" i="3"/>
  <c r="Y1610" i="3"/>
  <c r="Y2406" i="3"/>
  <c r="Y2388" i="3"/>
  <c r="Y2181" i="3"/>
  <c r="Y2997" i="3"/>
  <c r="Y2867" i="3"/>
  <c r="Y2781" i="3"/>
  <c r="Y2769" i="3"/>
  <c r="Y2751" i="3"/>
  <c r="Y2733" i="3"/>
  <c r="Y2712" i="3"/>
  <c r="Y2700" i="3"/>
  <c r="Y2648" i="3"/>
  <c r="Y2614" i="3"/>
  <c r="Y2524" i="3"/>
  <c r="Y2377" i="3"/>
  <c r="Y2299" i="3"/>
  <c r="Y2154" i="3"/>
  <c r="Y2152" i="3"/>
  <c r="Y1400" i="3"/>
  <c r="Y2038" i="3"/>
  <c r="Y1993" i="3"/>
  <c r="Y2017" i="3"/>
  <c r="Y1982" i="3"/>
  <c r="Y1952" i="3"/>
  <c r="Y1870" i="3"/>
  <c r="Y1905" i="3"/>
  <c r="Y1862" i="3"/>
  <c r="Y1802" i="3"/>
  <c r="Y1800" i="3"/>
  <c r="Y1778" i="3"/>
  <c r="Y2632" i="3"/>
  <c r="Y1840" i="3"/>
  <c r="Y1624" i="3"/>
  <c r="Y1593" i="3"/>
  <c r="Y2875" i="3"/>
  <c r="Y2809" i="3"/>
  <c r="Y2779" i="3"/>
  <c r="Y2758" i="3"/>
  <c r="Y2689" i="3"/>
  <c r="Y2599" i="3"/>
  <c r="Y2588" i="3"/>
  <c r="Y2458" i="3"/>
  <c r="Y2456" i="3"/>
  <c r="Y2454" i="3"/>
  <c r="Y2432" i="3"/>
  <c r="Y2325" i="3"/>
  <c r="Y2310" i="3"/>
  <c r="Y2115" i="3"/>
  <c r="Y2113" i="3"/>
  <c r="Y1960" i="3"/>
  <c r="Y2857" i="3"/>
  <c r="Y2834" i="3"/>
  <c r="Y2825" i="3"/>
  <c r="Y2814" i="3"/>
  <c r="Y2738" i="3"/>
  <c r="Y2717" i="3"/>
  <c r="Y2703" i="3"/>
  <c r="Y2630" i="3"/>
  <c r="Y2628" i="3"/>
  <c r="Y2518" i="3"/>
  <c r="Y2516" i="3"/>
  <c r="Y2492" i="3"/>
  <c r="Y2417" i="3"/>
  <c r="Y2415" i="3"/>
  <c r="Y2268" i="3"/>
  <c r="Y2201" i="3"/>
  <c r="Y2199" i="3"/>
  <c r="Y2125" i="3"/>
  <c r="Y2060" i="3"/>
  <c r="Y2029" i="3"/>
  <c r="Y2027" i="3"/>
  <c r="Y1967" i="3"/>
  <c r="Y1741" i="3"/>
  <c r="Y1732" i="3"/>
  <c r="Y1697" i="3"/>
  <c r="Y1695" i="3"/>
  <c r="Y1600" i="3"/>
  <c r="Y2973" i="3"/>
  <c r="Y2899" i="3"/>
  <c r="Y2855" i="3"/>
  <c r="Y2839" i="3"/>
  <c r="Y2823" i="3"/>
  <c r="Y2976" i="3"/>
  <c r="Y2837" i="3"/>
  <c r="Y2801" i="3"/>
  <c r="Y2713" i="3"/>
  <c r="Y2692" i="3"/>
  <c r="Y2685" i="3"/>
  <c r="Y2667" i="3"/>
  <c r="Y2653" i="3"/>
  <c r="Y2642" i="3"/>
  <c r="Y2624" i="3"/>
  <c r="Y2608" i="3"/>
  <c r="Y2606" i="3"/>
  <c r="Y2595" i="3"/>
  <c r="Y2573" i="3"/>
  <c r="Y2501" i="3"/>
  <c r="Y2480" i="3"/>
  <c r="Y2452" i="3"/>
  <c r="Y2437" i="3"/>
  <c r="Y2424" i="3"/>
  <c r="Y2405" i="3"/>
  <c r="Y2389" i="3"/>
  <c r="Y2321" i="3"/>
  <c r="Y2319" i="3"/>
  <c r="Y2257" i="3"/>
  <c r="Y2255" i="3"/>
  <c r="Y2233" i="3"/>
  <c r="Y221" i="3"/>
  <c r="Y37" i="3"/>
  <c r="Y2219" i="3"/>
  <c r="Y2217" i="3"/>
  <c r="Y2210" i="3"/>
  <c r="Y1865" i="3"/>
  <c r="Y1704" i="3"/>
  <c r="Y1660" i="3"/>
  <c r="Y2571" i="3"/>
  <c r="Y2527" i="3"/>
  <c r="Y2522" i="3"/>
  <c r="Y2520" i="3"/>
  <c r="Y2499" i="3"/>
  <c r="Y2468" i="3"/>
  <c r="Y2449" i="3"/>
  <c r="Y2410" i="3"/>
  <c r="Y2330" i="3"/>
  <c r="Y2281" i="3"/>
  <c r="Y2279" i="3"/>
  <c r="Y2242" i="3"/>
  <c r="Y2248" i="3"/>
  <c r="Y2238" i="3"/>
  <c r="Y2208" i="3"/>
  <c r="Y2188" i="3"/>
  <c r="Y2186" i="3"/>
  <c r="Y2132" i="3"/>
  <c r="Y1409" i="3"/>
  <c r="Y2090" i="3"/>
  <c r="Y2051" i="3"/>
  <c r="Y2058" i="3"/>
  <c r="Y2034" i="3"/>
  <c r="Y1689" i="3"/>
  <c r="Y1846" i="3"/>
  <c r="Y1889" i="3"/>
  <c r="Y1882" i="3"/>
  <c r="Y1849" i="3"/>
  <c r="Y1836" i="3"/>
  <c r="Y1730" i="3"/>
  <c r="Y1633" i="3"/>
  <c r="Y1579" i="3"/>
  <c r="Y2574" i="3"/>
  <c r="Y2555" i="3"/>
  <c r="Y2548" i="3"/>
  <c r="Y2486" i="3"/>
  <c r="Y2339" i="3"/>
  <c r="Y2285" i="3"/>
  <c r="Y1921" i="3"/>
  <c r="Y1758" i="3"/>
  <c r="Y1756" i="3"/>
  <c r="Y1685" i="3"/>
  <c r="Y1672" i="3"/>
  <c r="Y1644" i="3"/>
  <c r="Y2558" i="3"/>
  <c r="Y2514" i="3"/>
  <c r="Y2489" i="3"/>
  <c r="Y2469" i="3"/>
  <c r="Y2462" i="3"/>
  <c r="Y2450" i="3"/>
  <c r="Y2443" i="3"/>
  <c r="Y2436" i="3"/>
  <c r="Y2422" i="3"/>
  <c r="Y2411" i="3"/>
  <c r="Y1830" i="3"/>
  <c r="Y2282" i="3"/>
  <c r="Y2169" i="3"/>
  <c r="Y2079" i="3"/>
  <c r="Y1979" i="3"/>
  <c r="Y1959" i="3"/>
  <c r="Y1948" i="3"/>
  <c r="Y1910" i="3"/>
  <c r="Y1413" i="3"/>
  <c r="Y1799" i="3"/>
  <c r="Y1649" i="3"/>
  <c r="Y1609" i="3"/>
  <c r="Y1607" i="3"/>
  <c r="Y2500" i="3"/>
  <c r="Y2467" i="3"/>
  <c r="Y2247" i="3"/>
  <c r="Y2237" i="3"/>
  <c r="Y2187" i="3"/>
  <c r="Y2185" i="3"/>
  <c r="Y2121" i="3"/>
  <c r="Y1408" i="3"/>
  <c r="Y2098" i="3"/>
  <c r="Y2072" i="3"/>
  <c r="Y1837" i="3"/>
  <c r="Y1709" i="3"/>
  <c r="Y1686" i="3"/>
  <c r="Y1671" i="3"/>
  <c r="Y1647" i="3"/>
  <c r="Y2418" i="3"/>
  <c r="Y2342" i="3"/>
  <c r="Y2313" i="3"/>
  <c r="Y2306" i="3"/>
  <c r="Y2304" i="3"/>
  <c r="Y2009" i="3"/>
  <c r="Y2178" i="3"/>
  <c r="Y2119" i="3"/>
  <c r="Y2087" i="3"/>
  <c r="Y2073" i="3"/>
  <c r="Y1688" i="3"/>
  <c r="Y2568" i="3"/>
  <c r="Y2395" i="3"/>
  <c r="Y2311" i="3"/>
  <c r="Y2203" i="3"/>
  <c r="Y2138" i="3"/>
  <c r="Y2028" i="3"/>
  <c r="Y2000" i="3"/>
  <c r="Y1988" i="3"/>
  <c r="Y1963" i="3"/>
  <c r="Y1913" i="3"/>
  <c r="Y1388" i="3"/>
  <c r="Y1855" i="3"/>
  <c r="Y1811" i="3"/>
  <c r="Y1806" i="3"/>
  <c r="Y1795" i="3"/>
  <c r="Y1790" i="3"/>
  <c r="Y1734" i="3"/>
  <c r="Y1727" i="3"/>
  <c r="Y1725" i="3"/>
  <c r="Y1707" i="3"/>
  <c r="Y1669" i="3"/>
  <c r="Y1645" i="3"/>
  <c r="Y1619" i="3"/>
  <c r="Y1612" i="3"/>
  <c r="Y1594" i="3"/>
  <c r="Y1637" i="3"/>
  <c r="Y1622" i="3"/>
  <c r="Y2146" i="3"/>
  <c r="Y2139" i="3"/>
  <c r="Y2128" i="3"/>
  <c r="Y2120" i="3"/>
  <c r="Y2097" i="3"/>
  <c r="Y2086" i="3"/>
  <c r="Y2078" i="3"/>
  <c r="Y2050" i="3"/>
  <c r="Y2025" i="3"/>
  <c r="Y1989" i="3"/>
  <c r="Y1951" i="3"/>
  <c r="Y1938" i="3"/>
  <c r="Y1317" i="3"/>
  <c r="Y1386" i="3"/>
  <c r="Y1321" i="3"/>
  <c r="Y1752" i="3"/>
  <c r="Y1726" i="3"/>
  <c r="Y1724" i="3"/>
  <c r="Y1710" i="3"/>
  <c r="Y1696" i="3"/>
  <c r="Y1684" i="3"/>
  <c r="Y1618" i="3"/>
  <c r="Y1580" i="3"/>
  <c r="Y2324" i="3"/>
  <c r="Y2289" i="3"/>
  <c r="Y2276" i="3"/>
  <c r="Y2275" i="3"/>
  <c r="Y2236" i="3"/>
  <c r="Y21" i="3"/>
  <c r="Y2227" i="3"/>
  <c r="Y2182" i="3"/>
  <c r="Y2177" i="3"/>
  <c r="Y2175" i="3"/>
  <c r="Y2144" i="3"/>
  <c r="Y1405" i="3"/>
  <c r="Y1403" i="3"/>
  <c r="Y2085" i="3"/>
  <c r="Y2076" i="3"/>
  <c r="Y2057" i="3"/>
  <c r="Y2021" i="3"/>
  <c r="Y2013" i="3"/>
  <c r="Y1881" i="3"/>
  <c r="Y1326" i="3"/>
  <c r="Y1841" i="3"/>
  <c r="Y1805" i="3"/>
  <c r="Y1784" i="3"/>
  <c r="Y1757" i="3"/>
  <c r="Y1738" i="3"/>
  <c r="Y1708" i="3"/>
  <c r="Y1694" i="3"/>
  <c r="Y1668" i="3"/>
  <c r="Y1648" i="3"/>
  <c r="Y1632" i="3"/>
  <c r="Y1606" i="3"/>
  <c r="Y1972" i="3"/>
  <c r="Y1945" i="3"/>
  <c r="Y1661" i="3"/>
  <c r="Y1623" i="3"/>
  <c r="Y2273" i="3"/>
  <c r="Y2223" i="3"/>
  <c r="Y2032" i="3"/>
  <c r="Y2124" i="3"/>
  <c r="Y2114" i="3"/>
  <c r="Y2093" i="3"/>
  <c r="Y2062" i="3"/>
  <c r="Y2042" i="3"/>
  <c r="Y2040" i="3"/>
  <c r="Y2030" i="3"/>
  <c r="Y2018" i="3"/>
  <c r="Y1383" i="3"/>
  <c r="Y1748" i="3"/>
  <c r="Y1891" i="3"/>
  <c r="Y1464" i="3"/>
  <c r="Y1789" i="3"/>
  <c r="Y1780" i="3"/>
  <c r="Y1775" i="3"/>
  <c r="Y1773" i="3"/>
  <c r="Y1755" i="3"/>
  <c r="Y1743" i="3"/>
  <c r="Y1729" i="3"/>
  <c r="Y1713" i="3"/>
  <c r="Y1701" i="3"/>
  <c r="Y1659" i="3"/>
  <c r="Y1602" i="3"/>
  <c r="Y2878" i="3"/>
  <c r="Y2842" i="3"/>
  <c r="Y2619" i="3"/>
  <c r="Y2535" i="3"/>
  <c r="Y2478" i="3"/>
  <c r="Y2379" i="3"/>
  <c r="Y2266" i="3"/>
  <c r="Y1902" i="3"/>
  <c r="Y2566" i="3"/>
  <c r="Y2887" i="3"/>
  <c r="Y2851" i="3"/>
  <c r="Y2832" i="3"/>
  <c r="Y2822" i="3"/>
  <c r="Y2760" i="3"/>
  <c r="Y2750" i="3"/>
  <c r="Y2688" i="3"/>
  <c r="Y2678" i="3"/>
  <c r="Y2509" i="3"/>
  <c r="Y2317" i="3"/>
  <c r="Y2272" i="3"/>
  <c r="Y2252" i="3"/>
  <c r="Y183" i="3"/>
  <c r="Y2200" i="3"/>
  <c r="Y2054" i="3"/>
  <c r="Y2039" i="3"/>
  <c r="Y1325" i="3"/>
  <c r="Y2890" i="3"/>
  <c r="Y2854" i="3"/>
  <c r="Y2593" i="3"/>
  <c r="Y2569" i="3"/>
  <c r="Y2353" i="3"/>
  <c r="Y2293" i="3"/>
  <c r="Y1654" i="3"/>
  <c r="Y2280" i="3"/>
  <c r="Y1318" i="3"/>
  <c r="Y2896" i="3"/>
  <c r="Y2860" i="3"/>
  <c r="Y2400" i="3"/>
  <c r="Y2095" i="3"/>
  <c r="Y2902" i="3"/>
  <c r="Y2866" i="3"/>
  <c r="Y2808" i="3"/>
  <c r="Y2736" i="3"/>
  <c r="Y2664" i="3"/>
  <c r="Y2616" i="3"/>
  <c r="Y2517" i="3"/>
  <c r="Y2431" i="3"/>
  <c r="Y2243" i="3"/>
  <c r="Y2222" i="3"/>
  <c r="Y2905" i="3"/>
  <c r="Y2869" i="3"/>
  <c r="Y2796" i="3"/>
  <c r="Y2786" i="3"/>
  <c r="Y2724" i="3"/>
  <c r="Y2714" i="3"/>
  <c r="Y2645" i="3"/>
  <c r="Y2556" i="3"/>
  <c r="Y2496" i="3"/>
  <c r="Y2403" i="3"/>
  <c r="Y2301" i="3"/>
  <c r="Y2286" i="3"/>
  <c r="Y2872" i="3"/>
  <c r="Y2626" i="3"/>
  <c r="Y2470" i="3"/>
  <c r="Y2463" i="3"/>
  <c r="Y2413" i="3"/>
  <c r="Y2340" i="3"/>
  <c r="Y2231" i="3"/>
  <c r="Y2167" i="3"/>
  <c r="Y2156" i="3"/>
  <c r="Y2583" i="3"/>
  <c r="Y2557" i="3"/>
  <c r="Y2497" i="3"/>
  <c r="Y2367" i="3"/>
  <c r="Y2341" i="3"/>
  <c r="Y2271" i="3"/>
  <c r="Y2170" i="3"/>
  <c r="Y1978" i="3"/>
  <c r="Y2521" i="3"/>
  <c r="Y2461" i="3"/>
  <c r="Y2331" i="3"/>
  <c r="Y2305" i="3"/>
  <c r="Y2259" i="3"/>
  <c r="Y2110" i="3"/>
  <c r="Y2607" i="3"/>
  <c r="Y2391" i="3"/>
  <c r="Y2283" i="3"/>
  <c r="Y2284" i="3"/>
  <c r="Y697" i="3"/>
  <c r="Y2511" i="3"/>
  <c r="Y2485" i="3"/>
  <c r="Y2425" i="3"/>
  <c r="Y2295" i="3"/>
  <c r="Y2239" i="3"/>
  <c r="Y2192" i="3"/>
  <c r="Y1399" i="3"/>
  <c r="Y2102" i="3"/>
  <c r="Y1947" i="3"/>
  <c r="Y1615" i="3"/>
  <c r="Y1658" i="3"/>
  <c r="Y2117" i="3"/>
  <c r="Y2108" i="3"/>
  <c r="Y1962" i="3"/>
  <c r="Y1303" i="3"/>
  <c r="Y1461" i="3"/>
  <c r="Y2230" i="3"/>
  <c r="Y2157" i="3"/>
  <c r="Y2142" i="3"/>
  <c r="Y2135" i="3"/>
  <c r="Y1402" i="3"/>
  <c r="Y1994" i="3"/>
  <c r="Y1984" i="3"/>
  <c r="Y2066" i="3"/>
  <c r="Y2002" i="3"/>
  <c r="Y1861" i="3"/>
  <c r="Y1598" i="3"/>
  <c r="Y1613" i="3"/>
  <c r="Y2074" i="3"/>
  <c r="Y2033" i="3"/>
  <c r="Y1964" i="3"/>
  <c r="Y1803" i="3"/>
  <c r="Y1765" i="3"/>
  <c r="Y1643" i="3"/>
  <c r="Y1953" i="3"/>
  <c r="Y1915" i="3"/>
  <c r="Y1772" i="3"/>
  <c r="Y1878" i="3"/>
  <c r="Y1699" i="3"/>
  <c r="Y1381" i="3"/>
  <c r="Y1887" i="3"/>
  <c r="Y1742" i="3"/>
  <c r="Y1630" i="3"/>
  <c r="Y1575" i="3"/>
  <c r="Y1614" i="3"/>
  <c r="Y1901" i="3"/>
  <c r="Y1676" i="3"/>
  <c r="Y2122" i="3"/>
  <c r="Y1411" i="3"/>
  <c r="Y2101" i="3"/>
  <c r="Y2084" i="3"/>
  <c r="Y1893" i="3"/>
  <c r="Y2059" i="3"/>
  <c r="Y1968" i="3"/>
  <c r="Y2019" i="3"/>
  <c r="Y1999" i="3"/>
  <c r="Y1980" i="3"/>
  <c r="Y1961" i="3"/>
  <c r="Y1944" i="3"/>
  <c r="Y1715" i="3"/>
  <c r="Y1904" i="3"/>
  <c r="Y1833" i="3"/>
  <c r="Y1484" i="3"/>
  <c r="Y1785" i="3"/>
  <c r="Y1667" i="3"/>
  <c r="R1690" i="3"/>
  <c r="V1690" i="3"/>
  <c r="A1" i="3"/>
  <c r="A1" i="5" s="1"/>
  <c r="B23" i="19"/>
  <c r="B24" i="19"/>
  <c r="B4" i="19"/>
  <c r="B5" i="19"/>
  <c r="B6" i="19"/>
  <c r="B7" i="19"/>
  <c r="B8" i="19"/>
  <c r="B9" i="19"/>
  <c r="B10" i="19"/>
  <c r="B11" i="19"/>
  <c r="B12" i="19"/>
  <c r="B13" i="19"/>
  <c r="B14" i="19"/>
  <c r="C14" i="19" s="1"/>
  <c r="B15" i="19"/>
  <c r="B16" i="19"/>
  <c r="B17" i="19"/>
  <c r="B18" i="19"/>
  <c r="B19" i="19"/>
  <c r="B20" i="19"/>
  <c r="B21" i="19"/>
  <c r="B22" i="19"/>
  <c r="B3" i="19"/>
  <c r="C3" i="19" s="1"/>
  <c r="B22" i="18"/>
  <c r="B21" i="18"/>
  <c r="C21" i="18" s="1"/>
  <c r="B20" i="18"/>
  <c r="C20" i="18" s="1"/>
  <c r="B19" i="18"/>
  <c r="C19" i="18" s="1"/>
  <c r="B18" i="18"/>
  <c r="C18" i="18" s="1"/>
  <c r="B17" i="18"/>
  <c r="C17" i="18" s="1"/>
  <c r="B16" i="18"/>
  <c r="C16" i="18" s="1"/>
  <c r="B15" i="18"/>
  <c r="C15" i="18" s="1"/>
  <c r="B14" i="18"/>
  <c r="C14" i="18" s="1"/>
  <c r="B13" i="18"/>
  <c r="C13" i="18" s="1"/>
  <c r="B12" i="18"/>
  <c r="C12" i="18" s="1"/>
  <c r="B11" i="18"/>
  <c r="C11" i="18" s="1"/>
  <c r="B10" i="18"/>
  <c r="B9" i="18"/>
  <c r="B8" i="18"/>
  <c r="B7" i="18"/>
  <c r="B6" i="18"/>
  <c r="B5" i="18"/>
  <c r="B4" i="18"/>
  <c r="B3" i="18"/>
  <c r="A2" i="18" l="1"/>
  <c r="A2" i="11"/>
  <c r="B1" i="12" s="1"/>
  <c r="B20" i="1"/>
  <c r="B1" i="19"/>
  <c r="B1" i="8"/>
  <c r="A1" i="2"/>
  <c r="A1" i="4"/>
  <c r="C21" i="8"/>
  <c r="C22" i="8"/>
  <c r="C23" i="8"/>
  <c r="C24" i="8"/>
  <c r="C25" i="8"/>
  <c r="C26" i="8"/>
  <c r="C27" i="8"/>
  <c r="C28" i="8"/>
  <c r="C29" i="8"/>
  <c r="B21" i="8"/>
  <c r="B22" i="8"/>
  <c r="B23" i="8"/>
  <c r="B24" i="8"/>
  <c r="B25" i="8"/>
  <c r="B26" i="8"/>
  <c r="B27" i="8"/>
  <c r="B28" i="8"/>
  <c r="B29" i="8"/>
  <c r="AV7" i="12"/>
  <c r="AV8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5" i="12"/>
  <c r="AV26" i="12"/>
  <c r="AV27" i="12"/>
  <c r="AV61" i="12"/>
  <c r="AV62" i="12"/>
  <c r="AV83" i="12"/>
  <c r="AV84" i="12"/>
  <c r="AV85" i="12"/>
  <c r="AV90" i="12"/>
  <c r="AV94" i="12"/>
  <c r="AV101" i="12"/>
  <c r="AV115" i="12"/>
  <c r="AV119" i="12"/>
  <c r="AV120" i="12"/>
  <c r="AV121" i="12"/>
  <c r="AV122" i="12"/>
  <c r="AV123" i="12"/>
  <c r="AV127" i="12"/>
  <c r="AV128" i="12"/>
  <c r="AV129" i="12"/>
  <c r="AV130" i="12"/>
  <c r="AV131" i="12"/>
  <c r="AV132" i="12"/>
  <c r="AV133" i="12"/>
  <c r="AV134" i="12"/>
  <c r="AV135" i="12"/>
  <c r="AV136" i="12"/>
  <c r="AV137" i="12"/>
  <c r="AV138" i="12"/>
  <c r="AV139" i="12"/>
  <c r="AV140" i="12"/>
  <c r="AV141" i="12"/>
  <c r="AV142" i="12"/>
  <c r="AV143" i="12"/>
  <c r="AV144" i="12"/>
  <c r="AV145" i="12"/>
  <c r="AV146" i="12"/>
  <c r="AV147" i="12"/>
  <c r="AV148" i="12"/>
  <c r="AV149" i="12"/>
  <c r="AV150" i="12"/>
  <c r="AV151" i="12"/>
  <c r="AV152" i="12"/>
  <c r="AV153" i="12"/>
  <c r="AV154" i="12"/>
  <c r="AV155" i="12"/>
  <c r="AV156" i="12"/>
  <c r="AV157" i="12"/>
  <c r="AV158" i="12"/>
  <c r="AV159" i="12"/>
  <c r="AV160" i="12"/>
  <c r="AV161" i="12"/>
  <c r="AV162" i="12"/>
  <c r="AV163" i="12"/>
  <c r="AV164" i="12"/>
  <c r="AV165" i="12"/>
  <c r="AV166" i="12"/>
  <c r="AV167" i="12"/>
  <c r="AV168" i="12"/>
  <c r="AV169" i="12"/>
  <c r="AV170" i="12"/>
  <c r="AV171" i="12"/>
  <c r="AV172" i="12"/>
  <c r="AV173" i="12"/>
  <c r="AV174" i="12"/>
  <c r="AV175" i="12"/>
  <c r="AV176" i="12"/>
  <c r="AV177" i="12"/>
  <c r="AV178" i="12"/>
  <c r="AV179" i="12"/>
  <c r="AV180" i="12"/>
  <c r="AV181" i="12"/>
  <c r="AV182" i="12"/>
  <c r="AV183" i="12"/>
  <c r="AV184" i="12"/>
  <c r="AV185" i="12"/>
  <c r="AV186" i="12"/>
  <c r="AD10" i="12"/>
  <c r="AD11" i="12"/>
  <c r="AD12" i="12"/>
  <c r="AD13" i="12"/>
  <c r="AD14" i="12"/>
  <c r="AD15" i="12"/>
  <c r="AD16" i="12"/>
  <c r="AD17" i="12"/>
  <c r="AD18" i="12"/>
  <c r="AD19" i="12"/>
  <c r="AD20" i="12"/>
  <c r="AD123" i="12"/>
  <c r="AD127" i="12"/>
  <c r="AD129" i="12"/>
  <c r="AD130" i="12"/>
  <c r="AD131" i="12"/>
  <c r="AD132" i="12"/>
  <c r="AD133" i="12"/>
  <c r="AD134" i="12"/>
  <c r="AD135" i="12"/>
  <c r="AD136" i="12"/>
  <c r="AD137" i="12"/>
  <c r="AD138" i="12"/>
  <c r="AD139" i="12"/>
  <c r="AD140" i="12"/>
  <c r="AD141" i="12"/>
  <c r="AD142" i="12"/>
  <c r="AD143" i="12"/>
  <c r="AD144" i="12"/>
  <c r="AD145" i="12"/>
  <c r="AD146" i="12"/>
  <c r="AD147" i="12"/>
  <c r="AD148" i="12"/>
  <c r="AD149" i="12"/>
  <c r="AD150" i="12"/>
  <c r="AD151" i="12"/>
  <c r="AD152" i="12"/>
  <c r="AD153" i="12"/>
  <c r="AD154" i="12"/>
  <c r="AD155" i="12"/>
  <c r="AD156" i="12"/>
  <c r="AD157" i="12"/>
  <c r="AD158" i="12"/>
  <c r="AD159" i="12"/>
  <c r="AD160" i="12"/>
  <c r="AD161" i="12"/>
  <c r="AD162" i="12"/>
  <c r="AD163" i="12"/>
  <c r="AD164" i="12"/>
  <c r="AD165" i="12"/>
  <c r="AD166" i="12"/>
  <c r="AD167" i="12"/>
  <c r="AD168" i="12"/>
  <c r="AD169" i="12"/>
  <c r="AD170" i="12"/>
  <c r="AD171" i="12"/>
  <c r="AD172" i="12"/>
  <c r="AD173" i="12"/>
  <c r="AD174" i="12"/>
  <c r="AD175" i="12"/>
  <c r="AD176" i="12"/>
  <c r="AD177" i="12"/>
  <c r="AD178" i="12"/>
  <c r="AD179" i="12"/>
  <c r="AD180" i="12"/>
  <c r="AD181" i="12"/>
  <c r="AD182" i="12"/>
  <c r="AD183" i="12"/>
  <c r="AD184" i="12"/>
  <c r="AD185" i="12"/>
  <c r="AD186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H124" i="12" l="1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X4" i="12" a="1"/>
  <c r="X4" i="12" s="1"/>
  <c r="X5" i="12" a="1"/>
  <c r="X5" i="12" s="1"/>
  <c r="X6" i="12" a="1"/>
  <c r="X6" i="12" s="1"/>
  <c r="X7" i="12" a="1"/>
  <c r="X7" i="12" s="1"/>
  <c r="X8" i="12" a="1"/>
  <c r="X8" i="12" s="1"/>
  <c r="X9" i="12" a="1"/>
  <c r="X9" i="12" s="1"/>
  <c r="AV9" i="12" s="1"/>
  <c r="X23" i="12" a="1"/>
  <c r="X23" i="12" s="1"/>
  <c r="X24" i="12" a="1"/>
  <c r="X24" i="12" s="1"/>
  <c r="AV24" i="12" s="1"/>
  <c r="X25" i="12" a="1"/>
  <c r="X25" i="12" s="1"/>
  <c r="X26" i="12" a="1"/>
  <c r="X26" i="12" s="1"/>
  <c r="X27" i="12" a="1"/>
  <c r="X27" i="12" s="1"/>
  <c r="X28" i="12" a="1"/>
  <c r="X28" i="12" s="1"/>
  <c r="AV28" i="12" s="1"/>
  <c r="X29" i="12" a="1"/>
  <c r="X29" i="12" s="1"/>
  <c r="AV29" i="12" s="1"/>
  <c r="X30" i="12" a="1"/>
  <c r="X30" i="12" s="1"/>
  <c r="AV30" i="12" s="1"/>
  <c r="X31" i="12" a="1"/>
  <c r="X31" i="12" s="1"/>
  <c r="AV31" i="12" s="1"/>
  <c r="X32" i="12" a="1"/>
  <c r="X32" i="12" s="1"/>
  <c r="AV32" i="12" s="1"/>
  <c r="X33" i="12" a="1"/>
  <c r="X33" i="12" s="1"/>
  <c r="AV33" i="12" s="1"/>
  <c r="X34" i="12" a="1"/>
  <c r="X34" i="12" s="1"/>
  <c r="AV34" i="12" s="1"/>
  <c r="X35" i="12" a="1"/>
  <c r="X35" i="12" s="1"/>
  <c r="AV35" i="12" s="1"/>
  <c r="X36" i="12" a="1"/>
  <c r="X36" i="12" s="1"/>
  <c r="AV36" i="12" s="1"/>
  <c r="X37" i="12" a="1"/>
  <c r="X37" i="12" s="1"/>
  <c r="AV37" i="12" s="1"/>
  <c r="X38" i="12" a="1"/>
  <c r="X38" i="12" s="1"/>
  <c r="AV38" i="12" s="1"/>
  <c r="X39" i="12" a="1"/>
  <c r="X39" i="12" s="1"/>
  <c r="AV39" i="12" s="1"/>
  <c r="X40" i="12" a="1"/>
  <c r="X40" i="12" s="1"/>
  <c r="AV40" i="12" s="1"/>
  <c r="X41" i="12" a="1"/>
  <c r="X41" i="12" s="1"/>
  <c r="AV41" i="12" s="1"/>
  <c r="X42" i="12" a="1"/>
  <c r="X42" i="12" s="1"/>
  <c r="AV42" i="12" s="1"/>
  <c r="X43" i="12" a="1"/>
  <c r="X43" i="12" s="1"/>
  <c r="AV43" i="12" s="1"/>
  <c r="X44" i="12" a="1"/>
  <c r="X44" i="12" s="1"/>
  <c r="AV44" i="12" s="1"/>
  <c r="X45" i="12" a="1"/>
  <c r="X45" i="12" s="1"/>
  <c r="AV45" i="12" s="1"/>
  <c r="X46" i="12" a="1"/>
  <c r="X46" i="12" s="1"/>
  <c r="AV46" i="12" s="1"/>
  <c r="X47" i="12" a="1"/>
  <c r="X47" i="12" s="1"/>
  <c r="AV47" i="12" s="1"/>
  <c r="X48" i="12" a="1"/>
  <c r="X48" i="12" s="1"/>
  <c r="AV48" i="12" s="1"/>
  <c r="X49" i="12" a="1"/>
  <c r="X49" i="12" s="1"/>
  <c r="AV49" i="12" s="1"/>
  <c r="X50" i="12" a="1"/>
  <c r="X50" i="12" s="1"/>
  <c r="AV50" i="12" s="1"/>
  <c r="X51" i="12" a="1"/>
  <c r="X51" i="12" s="1"/>
  <c r="AV51" i="12" s="1"/>
  <c r="X52" i="12" a="1"/>
  <c r="X52" i="12" s="1"/>
  <c r="AV52" i="12" s="1"/>
  <c r="X53" i="12" a="1"/>
  <c r="X53" i="12" s="1"/>
  <c r="AV53" i="12" s="1"/>
  <c r="X54" i="12" a="1"/>
  <c r="X54" i="12" s="1"/>
  <c r="AV54" i="12" s="1"/>
  <c r="X55" i="12" a="1"/>
  <c r="X55" i="12" s="1"/>
  <c r="AV55" i="12" s="1"/>
  <c r="X56" i="12" a="1"/>
  <c r="X56" i="12" s="1"/>
  <c r="AV56" i="12" s="1"/>
  <c r="X57" i="12" a="1"/>
  <c r="X57" i="12" s="1"/>
  <c r="AV57" i="12" s="1"/>
  <c r="X58" i="12" a="1"/>
  <c r="X58" i="12" s="1"/>
  <c r="AV58" i="12" s="1"/>
  <c r="X59" i="12" a="1"/>
  <c r="X59" i="12" s="1"/>
  <c r="AV59" i="12" s="1"/>
  <c r="X60" i="12" a="1"/>
  <c r="X60" i="12" s="1"/>
  <c r="AV60" i="12" s="1"/>
  <c r="X61" i="12" a="1"/>
  <c r="X61" i="12" s="1"/>
  <c r="X62" i="12" a="1"/>
  <c r="X62" i="12" s="1"/>
  <c r="X63" i="12" a="1"/>
  <c r="X63" i="12" s="1"/>
  <c r="AV63" i="12" s="1"/>
  <c r="X64" i="12" a="1"/>
  <c r="X64" i="12" s="1"/>
  <c r="AV64" i="12" s="1"/>
  <c r="X65" i="12" a="1"/>
  <c r="X65" i="12" s="1"/>
  <c r="AV65" i="12" s="1"/>
  <c r="X66" i="12" a="1"/>
  <c r="X66" i="12" s="1"/>
  <c r="AV66" i="12" s="1"/>
  <c r="X67" i="12" a="1"/>
  <c r="X67" i="12" s="1"/>
  <c r="AV67" i="12" s="1"/>
  <c r="X68" i="12" a="1"/>
  <c r="X68" i="12" s="1"/>
  <c r="AV68" i="12" s="1"/>
  <c r="X69" i="12" a="1"/>
  <c r="X69" i="12" s="1"/>
  <c r="AV69" i="12" s="1"/>
  <c r="X70" i="12" a="1"/>
  <c r="X70" i="12" s="1"/>
  <c r="AV70" i="12" s="1"/>
  <c r="X71" i="12" a="1"/>
  <c r="X71" i="12" s="1"/>
  <c r="AV71" i="12" s="1"/>
  <c r="X72" i="12" a="1"/>
  <c r="X72" i="12" s="1"/>
  <c r="AV72" i="12" s="1"/>
  <c r="X73" i="12" a="1"/>
  <c r="X73" i="12" s="1"/>
  <c r="AV73" i="12" s="1"/>
  <c r="X74" i="12" a="1"/>
  <c r="X74" i="12" s="1"/>
  <c r="AV74" i="12" s="1"/>
  <c r="X75" i="12" a="1"/>
  <c r="X75" i="12" s="1"/>
  <c r="AV75" i="12" s="1"/>
  <c r="X76" i="12" a="1"/>
  <c r="X76" i="12" s="1"/>
  <c r="AV76" i="12" s="1"/>
  <c r="X77" i="12" a="1"/>
  <c r="X77" i="12" s="1"/>
  <c r="AV77" i="12" s="1"/>
  <c r="X78" i="12" a="1"/>
  <c r="X78" i="12" s="1"/>
  <c r="AV78" i="12" s="1"/>
  <c r="X79" i="12" a="1"/>
  <c r="X79" i="12" s="1"/>
  <c r="AV79" i="12" s="1"/>
  <c r="X80" i="12" a="1"/>
  <c r="X80" i="12" s="1"/>
  <c r="AV80" i="12" s="1"/>
  <c r="X81" i="12" a="1"/>
  <c r="X81" i="12" s="1"/>
  <c r="AV81" i="12" s="1"/>
  <c r="X82" i="12" a="1"/>
  <c r="X82" i="12" s="1"/>
  <c r="AV82" i="12" s="1"/>
  <c r="X83" i="12" a="1"/>
  <c r="X83" i="12" s="1"/>
  <c r="X84" i="12" a="1"/>
  <c r="X84" i="12" s="1"/>
  <c r="X85" i="12" a="1"/>
  <c r="X85" i="12" s="1"/>
  <c r="X86" i="12" a="1"/>
  <c r="X86" i="12" s="1"/>
  <c r="AV86" i="12" s="1"/>
  <c r="X87" i="12" a="1"/>
  <c r="X87" i="12" s="1"/>
  <c r="AV87" i="12" s="1"/>
  <c r="X88" i="12" a="1"/>
  <c r="X88" i="12" s="1"/>
  <c r="AV88" i="12" s="1"/>
  <c r="X89" i="12" a="1"/>
  <c r="X89" i="12" s="1"/>
  <c r="AV89" i="12" s="1"/>
  <c r="X90" i="12" a="1"/>
  <c r="X90" i="12" s="1"/>
  <c r="X91" i="12" a="1"/>
  <c r="X91" i="12" s="1"/>
  <c r="AV91" i="12" s="1"/>
  <c r="X92" i="12" a="1"/>
  <c r="X92" i="12" s="1"/>
  <c r="AV92" i="12" s="1"/>
  <c r="X93" i="12" a="1"/>
  <c r="X93" i="12" s="1"/>
  <c r="AV93" i="12" s="1"/>
  <c r="X94" i="12" a="1"/>
  <c r="X94" i="12" s="1"/>
  <c r="X95" i="12" a="1"/>
  <c r="X95" i="12" s="1"/>
  <c r="AV95" i="12" s="1"/>
  <c r="X96" i="12" a="1"/>
  <c r="X96" i="12" s="1"/>
  <c r="AV96" i="12" s="1"/>
  <c r="X97" i="12" a="1"/>
  <c r="X97" i="12" s="1"/>
  <c r="AV97" i="12" s="1"/>
  <c r="X98" i="12" a="1"/>
  <c r="X98" i="12" s="1"/>
  <c r="AV98" i="12" s="1"/>
  <c r="X99" i="12" a="1"/>
  <c r="X99" i="12" s="1"/>
  <c r="AV99" i="12" s="1"/>
  <c r="X100" i="12" a="1"/>
  <c r="X100" i="12" s="1"/>
  <c r="AV100" i="12" s="1"/>
  <c r="X101" i="12" a="1"/>
  <c r="X101" i="12" s="1"/>
  <c r="X102" i="12" a="1"/>
  <c r="X102" i="12" s="1"/>
  <c r="AV102" i="12" s="1"/>
  <c r="X103" i="12" a="1"/>
  <c r="X103" i="12" s="1"/>
  <c r="AV103" i="12" s="1"/>
  <c r="X104" i="12" a="1"/>
  <c r="X104" i="12" s="1"/>
  <c r="AV104" i="12" s="1"/>
  <c r="X105" i="12" a="1"/>
  <c r="X105" i="12" s="1"/>
  <c r="AV105" i="12" s="1"/>
  <c r="X106" i="12" a="1"/>
  <c r="X106" i="12" s="1"/>
  <c r="AV106" i="12" s="1"/>
  <c r="X107" i="12" a="1"/>
  <c r="X107" i="12" s="1"/>
  <c r="AV107" i="12" s="1"/>
  <c r="X108" i="12" a="1"/>
  <c r="X108" i="12" s="1"/>
  <c r="AV108" i="12" s="1"/>
  <c r="X109" i="12" a="1"/>
  <c r="X109" i="12" s="1"/>
  <c r="AV109" i="12" s="1"/>
  <c r="X110" i="12" a="1"/>
  <c r="X110" i="12" s="1"/>
  <c r="AV110" i="12" s="1"/>
  <c r="X111" i="12" a="1"/>
  <c r="X111" i="12" s="1"/>
  <c r="AV111" i="12" s="1"/>
  <c r="X112" i="12" a="1"/>
  <c r="X112" i="12" s="1"/>
  <c r="AV112" i="12" s="1"/>
  <c r="X113" i="12" a="1"/>
  <c r="X113" i="12" s="1"/>
  <c r="AV113" i="12" s="1"/>
  <c r="X114" i="12" a="1"/>
  <c r="X114" i="12" s="1"/>
  <c r="AV114" i="12" s="1"/>
  <c r="X115" i="12" a="1"/>
  <c r="X115" i="12" s="1"/>
  <c r="X116" i="12" a="1"/>
  <c r="X116" i="12" s="1"/>
  <c r="AV116" i="12" s="1"/>
  <c r="X117" i="12" a="1"/>
  <c r="X117" i="12" s="1"/>
  <c r="AV117" i="12" s="1"/>
  <c r="X118" i="12" a="1"/>
  <c r="X118" i="12" s="1"/>
  <c r="AV118" i="12" s="1"/>
  <c r="X119" i="12" a="1"/>
  <c r="X119" i="12" s="1"/>
  <c r="X120" i="12" a="1"/>
  <c r="X120" i="12" s="1"/>
  <c r="X121" i="12" a="1"/>
  <c r="X121" i="12" s="1"/>
  <c r="X122" i="12" a="1"/>
  <c r="X122" i="12" s="1"/>
  <c r="X123" i="12" a="1"/>
  <c r="X123" i="12" s="1"/>
  <c r="X124" i="12" a="1"/>
  <c r="X124" i="12" s="1"/>
  <c r="AV124" i="12" s="1"/>
  <c r="X125" i="12" a="1"/>
  <c r="X125" i="12" s="1"/>
  <c r="AV125" i="12" s="1"/>
  <c r="X126" i="12" a="1"/>
  <c r="X126" i="12" s="1"/>
  <c r="AV126" i="12" s="1"/>
  <c r="X127" i="12" a="1"/>
  <c r="X127" i="12" s="1"/>
  <c r="X128" i="12" a="1"/>
  <c r="X128" i="12" s="1"/>
  <c r="X129" i="12" a="1"/>
  <c r="X129" i="12" s="1"/>
  <c r="X130" i="12" a="1"/>
  <c r="X130" i="12" s="1"/>
  <c r="X131" i="12" a="1"/>
  <c r="X131" i="12" s="1"/>
  <c r="X132" i="12" a="1"/>
  <c r="X132" i="12" s="1"/>
  <c r="X133" i="12" a="1"/>
  <c r="X133" i="12" s="1"/>
  <c r="X134" i="12" a="1"/>
  <c r="X134" i="12" s="1"/>
  <c r="X135" i="12" a="1"/>
  <c r="X135" i="12" s="1"/>
  <c r="X136" i="12" a="1"/>
  <c r="X136" i="12" s="1"/>
  <c r="X137" i="12" a="1"/>
  <c r="X137" i="12" s="1"/>
  <c r="X138" i="12" a="1"/>
  <c r="X138" i="12" s="1"/>
  <c r="X139" i="12" a="1"/>
  <c r="X139" i="12" s="1"/>
  <c r="X140" i="12" a="1"/>
  <c r="X140" i="12" s="1"/>
  <c r="X141" i="12" a="1"/>
  <c r="X141" i="12" s="1"/>
  <c r="X142" i="12" a="1"/>
  <c r="X142" i="12" s="1"/>
  <c r="X143" i="12" a="1"/>
  <c r="X143" i="12" s="1"/>
  <c r="X144" i="12" a="1"/>
  <c r="X144" i="12" s="1"/>
  <c r="X145" i="12" a="1"/>
  <c r="X145" i="12" s="1"/>
  <c r="X146" i="12" a="1"/>
  <c r="X146" i="12" s="1"/>
  <c r="X147" i="12" a="1"/>
  <c r="X147" i="12" s="1"/>
  <c r="X148" i="12" a="1"/>
  <c r="X148" i="12" s="1"/>
  <c r="X149" i="12" a="1"/>
  <c r="X149" i="12" s="1"/>
  <c r="X150" i="12" a="1"/>
  <c r="X150" i="12" s="1"/>
  <c r="X151" i="12" a="1"/>
  <c r="X151" i="12" s="1"/>
  <c r="X152" i="12" a="1"/>
  <c r="X152" i="12" s="1"/>
  <c r="X153" i="12" a="1"/>
  <c r="X153" i="12" s="1"/>
  <c r="X154" i="12" a="1"/>
  <c r="X154" i="12" s="1"/>
  <c r="X155" i="12" a="1"/>
  <c r="X155" i="12" s="1"/>
  <c r="X156" i="12" a="1"/>
  <c r="X156" i="12" s="1"/>
  <c r="X157" i="12" a="1"/>
  <c r="X157" i="12" s="1"/>
  <c r="X158" i="12" a="1"/>
  <c r="X158" i="12" s="1"/>
  <c r="X159" i="12" a="1"/>
  <c r="X159" i="12" s="1"/>
  <c r="X160" i="12" a="1"/>
  <c r="X160" i="12" s="1"/>
  <c r="X161" i="12" a="1"/>
  <c r="X161" i="12" s="1"/>
  <c r="X162" i="12" a="1"/>
  <c r="X162" i="12" s="1"/>
  <c r="X163" i="12" a="1"/>
  <c r="X163" i="12" s="1"/>
  <c r="X164" i="12" a="1"/>
  <c r="X164" i="12" s="1"/>
  <c r="X165" i="12" a="1"/>
  <c r="X165" i="12" s="1"/>
  <c r="X166" i="12" a="1"/>
  <c r="X166" i="12" s="1"/>
  <c r="X167" i="12" a="1"/>
  <c r="X167" i="12" s="1"/>
  <c r="X168" i="12" a="1"/>
  <c r="X168" i="12" s="1"/>
  <c r="X169" i="12" a="1"/>
  <c r="X169" i="12" s="1"/>
  <c r="X170" i="12" a="1"/>
  <c r="X170" i="12" s="1"/>
  <c r="X171" i="12" a="1"/>
  <c r="X171" i="12" s="1"/>
  <c r="X172" i="12" a="1"/>
  <c r="X172" i="12" s="1"/>
  <c r="X173" i="12" a="1"/>
  <c r="X173" i="12" s="1"/>
  <c r="X174" i="12" a="1"/>
  <c r="X174" i="12" s="1"/>
  <c r="X175" i="12" a="1"/>
  <c r="X175" i="12" s="1"/>
  <c r="X176" i="12" a="1"/>
  <c r="X176" i="12" s="1"/>
  <c r="X177" i="12" a="1"/>
  <c r="X177" i="12" s="1"/>
  <c r="X178" i="12" a="1"/>
  <c r="X178" i="12" s="1"/>
  <c r="X179" i="12" a="1"/>
  <c r="X179" i="12" s="1"/>
  <c r="X180" i="12" a="1"/>
  <c r="X180" i="12" s="1"/>
  <c r="X181" i="12" a="1"/>
  <c r="X181" i="12" s="1"/>
  <c r="X182" i="12" a="1"/>
  <c r="X182" i="12" s="1"/>
  <c r="X183" i="12" a="1"/>
  <c r="X183" i="12" s="1"/>
  <c r="X184" i="12" a="1"/>
  <c r="X184" i="12" s="1"/>
  <c r="X185" i="12" a="1"/>
  <c r="X185" i="12" s="1"/>
  <c r="X186" i="12" a="1"/>
  <c r="X186" i="12" s="1"/>
  <c r="X3" i="12" a="1"/>
  <c r="X3" i="12" s="1"/>
  <c r="H4" i="12"/>
  <c r="H5" i="12"/>
  <c r="H3" i="12"/>
  <c r="P3" i="12"/>
  <c r="Q3" i="12" s="1"/>
  <c r="Q4" i="12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33" i="4"/>
  <c r="M134" i="4"/>
  <c r="M135" i="4"/>
  <c r="M136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P5" i="12"/>
  <c r="Q5" i="12" s="1"/>
  <c r="P6" i="12"/>
  <c r="Q6" i="12" s="1"/>
  <c r="P7" i="12"/>
  <c r="Q7" i="12" s="1"/>
  <c r="P8" i="12"/>
  <c r="Q8" i="12" s="1"/>
  <c r="P9" i="12"/>
  <c r="Q9" i="12" s="1"/>
  <c r="P10" i="12"/>
  <c r="Q10" i="12" s="1"/>
  <c r="P11" i="12"/>
  <c r="Q11" i="12" s="1"/>
  <c r="P12" i="12"/>
  <c r="Q12" i="12" s="1"/>
  <c r="P13" i="12"/>
  <c r="Q13" i="12" s="1"/>
  <c r="P14" i="12"/>
  <c r="Q14" i="12" s="1"/>
  <c r="P15" i="12"/>
  <c r="Q15" i="12" s="1"/>
  <c r="P16" i="12"/>
  <c r="Q16" i="12" s="1"/>
  <c r="P46" i="12"/>
  <c r="Q46" i="12" s="1"/>
  <c r="P47" i="12"/>
  <c r="Q47" i="12" s="1"/>
  <c r="P48" i="12"/>
  <c r="Q48" i="12" s="1"/>
  <c r="P49" i="12"/>
  <c r="Q49" i="12" s="1"/>
  <c r="P50" i="12"/>
  <c r="Q50" i="12" s="1"/>
  <c r="P51" i="12"/>
  <c r="Q51" i="12" s="1"/>
  <c r="P52" i="12"/>
  <c r="Q52" i="12" s="1"/>
  <c r="P53" i="12"/>
  <c r="Q53" i="12" s="1"/>
  <c r="P54" i="12"/>
  <c r="Q54" i="12" s="1"/>
  <c r="P55" i="12"/>
  <c r="Q55" i="12" s="1"/>
  <c r="P56" i="12"/>
  <c r="Q56" i="12" s="1"/>
  <c r="P57" i="12"/>
  <c r="Q57" i="12" s="1"/>
  <c r="P58" i="12"/>
  <c r="Q58" i="12" s="1"/>
  <c r="P59" i="12"/>
  <c r="Q59" i="12" s="1"/>
  <c r="P60" i="12"/>
  <c r="Q60" i="12" s="1"/>
  <c r="P61" i="12"/>
  <c r="Q61" i="12" s="1"/>
  <c r="P62" i="12"/>
  <c r="Q62" i="12" s="1"/>
  <c r="P63" i="12"/>
  <c r="Q63" i="12" s="1"/>
  <c r="P64" i="12"/>
  <c r="Q64" i="12" s="1"/>
  <c r="P65" i="12"/>
  <c r="Q65" i="12" s="1"/>
  <c r="P66" i="12"/>
  <c r="Q66" i="12" s="1"/>
  <c r="P67" i="12"/>
  <c r="Q67" i="12" s="1"/>
  <c r="P68" i="12"/>
  <c r="Q68" i="12" s="1"/>
  <c r="P69" i="12"/>
  <c r="Q69" i="12" s="1"/>
  <c r="P70" i="12"/>
  <c r="Q70" i="12" s="1"/>
  <c r="P71" i="12"/>
  <c r="Q71" i="12" s="1"/>
  <c r="P72" i="12"/>
  <c r="Q72" i="12" s="1"/>
  <c r="P73" i="12"/>
  <c r="Q73" i="12" s="1"/>
  <c r="P74" i="12"/>
  <c r="Q74" i="12" s="1"/>
  <c r="P75" i="12"/>
  <c r="Q75" i="12" s="1"/>
  <c r="P76" i="12"/>
  <c r="Q76" i="12" s="1"/>
  <c r="P77" i="12"/>
  <c r="Q77" i="12" s="1"/>
  <c r="P78" i="12"/>
  <c r="Q78" i="12" s="1"/>
  <c r="P79" i="12"/>
  <c r="Q79" i="12" s="1"/>
  <c r="P80" i="12"/>
  <c r="Q80" i="12" s="1"/>
  <c r="P81" i="12"/>
  <c r="Q81" i="12" s="1"/>
  <c r="P82" i="12"/>
  <c r="Q82" i="12" s="1"/>
  <c r="P83" i="12"/>
  <c r="Q83" i="12" s="1"/>
  <c r="P84" i="12"/>
  <c r="Q84" i="12" s="1"/>
  <c r="P85" i="12"/>
  <c r="Q85" i="12" s="1"/>
  <c r="P86" i="12"/>
  <c r="Q86" i="12" s="1"/>
  <c r="P87" i="12"/>
  <c r="Q87" i="12" s="1"/>
  <c r="P88" i="12"/>
  <c r="Q88" i="12" s="1"/>
  <c r="P89" i="12"/>
  <c r="Q89" i="12" s="1"/>
  <c r="P90" i="12"/>
  <c r="Q90" i="12" s="1"/>
  <c r="P91" i="12"/>
  <c r="Q91" i="12" s="1"/>
  <c r="P92" i="12"/>
  <c r="Q92" i="12" s="1"/>
  <c r="P93" i="12"/>
  <c r="Q93" i="12" s="1"/>
  <c r="P94" i="12"/>
  <c r="Q94" i="12" s="1"/>
  <c r="P95" i="12"/>
  <c r="Q95" i="12" s="1"/>
  <c r="P96" i="12"/>
  <c r="Q96" i="12" s="1"/>
  <c r="P97" i="12"/>
  <c r="Q97" i="12" s="1"/>
  <c r="P98" i="12"/>
  <c r="Q98" i="12" s="1"/>
  <c r="P99" i="12"/>
  <c r="Q99" i="12" s="1"/>
  <c r="P100" i="12"/>
  <c r="Q100" i="12" s="1"/>
  <c r="P101" i="12"/>
  <c r="Q101" i="12" s="1"/>
  <c r="P102" i="12"/>
  <c r="Q102" i="12" s="1"/>
  <c r="P103" i="12"/>
  <c r="Q103" i="12" s="1"/>
  <c r="P104" i="12"/>
  <c r="Q104" i="12" s="1"/>
  <c r="P105" i="12"/>
  <c r="Q105" i="12" s="1"/>
  <c r="P106" i="12"/>
  <c r="Q106" i="12" s="1"/>
  <c r="P107" i="12"/>
  <c r="Q107" i="12" s="1"/>
  <c r="P108" i="12"/>
  <c r="Q108" i="12" s="1"/>
  <c r="P109" i="12"/>
  <c r="Q109" i="12" s="1"/>
  <c r="P110" i="12"/>
  <c r="Q110" i="12" s="1"/>
  <c r="P111" i="12"/>
  <c r="Q111" i="12" s="1"/>
  <c r="P112" i="12"/>
  <c r="Q112" i="12" s="1"/>
  <c r="P113" i="12"/>
  <c r="Q113" i="12" s="1"/>
  <c r="P114" i="12"/>
  <c r="Q114" i="12" s="1"/>
  <c r="P115" i="12"/>
  <c r="Q115" i="12" s="1"/>
  <c r="P116" i="12"/>
  <c r="Q116" i="12" s="1"/>
  <c r="P117" i="12"/>
  <c r="Q117" i="12" s="1"/>
  <c r="P118" i="12"/>
  <c r="Q118" i="12" s="1"/>
  <c r="P119" i="12"/>
  <c r="Q119" i="12" s="1"/>
  <c r="P120" i="12"/>
  <c r="Q120" i="12" s="1"/>
  <c r="P121" i="12"/>
  <c r="Q121" i="12" s="1"/>
  <c r="P122" i="12"/>
  <c r="Q122" i="12" s="1"/>
  <c r="P123" i="12"/>
  <c r="Q123" i="12" s="1"/>
  <c r="P124" i="12"/>
  <c r="Q124" i="12" s="1"/>
  <c r="P125" i="12"/>
  <c r="Q125" i="12" s="1"/>
  <c r="P126" i="12"/>
  <c r="Q126" i="12" s="1"/>
  <c r="P127" i="12"/>
  <c r="Q127" i="12" s="1"/>
  <c r="P128" i="12"/>
  <c r="Q128" i="12" s="1"/>
  <c r="P129" i="12"/>
  <c r="Q129" i="12" s="1"/>
  <c r="P130" i="12"/>
  <c r="Q130" i="12" s="1"/>
  <c r="P131" i="12"/>
  <c r="Q131" i="12" s="1"/>
  <c r="P132" i="12"/>
  <c r="Q132" i="12" s="1"/>
  <c r="P133" i="12"/>
  <c r="Q133" i="12" s="1"/>
  <c r="P134" i="12"/>
  <c r="Q134" i="12" s="1"/>
  <c r="P135" i="12"/>
  <c r="Q135" i="12" s="1"/>
  <c r="P136" i="12"/>
  <c r="Q136" i="12" s="1"/>
  <c r="P137" i="12"/>
  <c r="Q137" i="12" s="1"/>
  <c r="P138" i="12"/>
  <c r="Q138" i="12" s="1"/>
  <c r="P139" i="12"/>
  <c r="Q139" i="12" s="1"/>
  <c r="P140" i="12"/>
  <c r="Q140" i="12" s="1"/>
  <c r="P141" i="12"/>
  <c r="Q141" i="12" s="1"/>
  <c r="P142" i="12"/>
  <c r="Q142" i="12" s="1"/>
  <c r="P143" i="12"/>
  <c r="Q143" i="12" s="1"/>
  <c r="P144" i="12"/>
  <c r="Q144" i="12" s="1"/>
  <c r="P145" i="12"/>
  <c r="Q145" i="12" s="1"/>
  <c r="P146" i="12"/>
  <c r="Q146" i="12" s="1"/>
  <c r="P147" i="12"/>
  <c r="Q147" i="12" s="1"/>
  <c r="P148" i="12"/>
  <c r="Q148" i="12" s="1"/>
  <c r="P149" i="12"/>
  <c r="Q149" i="12" s="1"/>
  <c r="P150" i="12"/>
  <c r="Q150" i="12" s="1"/>
  <c r="P151" i="12"/>
  <c r="Q151" i="12" s="1"/>
  <c r="P152" i="12"/>
  <c r="Q152" i="12" s="1"/>
  <c r="P153" i="12"/>
  <c r="Q153" i="12" s="1"/>
  <c r="P154" i="12"/>
  <c r="Q154" i="12" s="1"/>
  <c r="P155" i="12"/>
  <c r="Q155" i="12" s="1"/>
  <c r="P156" i="12"/>
  <c r="Q156" i="12" s="1"/>
  <c r="P157" i="12"/>
  <c r="Q157" i="12" s="1"/>
  <c r="P158" i="12"/>
  <c r="Q158" i="12" s="1"/>
  <c r="P159" i="12"/>
  <c r="Q159" i="12" s="1"/>
  <c r="P160" i="12"/>
  <c r="Q160" i="12" s="1"/>
  <c r="P161" i="12"/>
  <c r="Q161" i="12" s="1"/>
  <c r="P162" i="12"/>
  <c r="Q162" i="12" s="1"/>
  <c r="P163" i="12"/>
  <c r="Q163" i="12" s="1"/>
  <c r="P164" i="12"/>
  <c r="Q164" i="12" s="1"/>
  <c r="P165" i="12"/>
  <c r="Q165" i="12" s="1"/>
  <c r="P166" i="12"/>
  <c r="Q166" i="12" s="1"/>
  <c r="P167" i="12"/>
  <c r="Q167" i="12" s="1"/>
  <c r="P168" i="12"/>
  <c r="Q168" i="12" s="1"/>
  <c r="P169" i="12"/>
  <c r="Q169" i="12" s="1"/>
  <c r="P170" i="12"/>
  <c r="Q170" i="12" s="1"/>
  <c r="P171" i="12"/>
  <c r="Q171" i="12" s="1"/>
  <c r="P172" i="12"/>
  <c r="Q172" i="12" s="1"/>
  <c r="P173" i="12"/>
  <c r="Q173" i="12" s="1"/>
  <c r="P174" i="12"/>
  <c r="Q174" i="12" s="1"/>
  <c r="P175" i="12"/>
  <c r="Q175" i="12" s="1"/>
  <c r="P176" i="12"/>
  <c r="Q176" i="12" s="1"/>
  <c r="P177" i="12"/>
  <c r="Q177" i="12" s="1"/>
  <c r="P178" i="12"/>
  <c r="Q178" i="12" s="1"/>
  <c r="P179" i="12"/>
  <c r="Q179" i="12" s="1"/>
  <c r="P180" i="12"/>
  <c r="Q180" i="12" s="1"/>
  <c r="P181" i="12"/>
  <c r="Q181" i="12" s="1"/>
  <c r="P182" i="12"/>
  <c r="Q182" i="12" s="1"/>
  <c r="P183" i="12"/>
  <c r="Q183" i="12" s="1"/>
  <c r="P184" i="12"/>
  <c r="Q184" i="12" s="1"/>
  <c r="P185" i="12"/>
  <c r="Q185" i="12" s="1"/>
  <c r="P186" i="12"/>
  <c r="Q186" i="12" s="1"/>
  <c r="AR4" i="12"/>
  <c r="AS4" i="12"/>
  <c r="AT4" i="12"/>
  <c r="AR5" i="12"/>
  <c r="AS5" i="12"/>
  <c r="AT5" i="12"/>
  <c r="AR6" i="12"/>
  <c r="AS6" i="12"/>
  <c r="AT6" i="12"/>
  <c r="AR7" i="12"/>
  <c r="AS7" i="12"/>
  <c r="AT7" i="12"/>
  <c r="AR8" i="12"/>
  <c r="AS8" i="12"/>
  <c r="AT8" i="12"/>
  <c r="AR9" i="12"/>
  <c r="AS9" i="12"/>
  <c r="AT9" i="12"/>
  <c r="AR10" i="12"/>
  <c r="AS10" i="12"/>
  <c r="AT10" i="12"/>
  <c r="AR11" i="12"/>
  <c r="AS11" i="12"/>
  <c r="AT11" i="12"/>
  <c r="AR12" i="12"/>
  <c r="AS12" i="12"/>
  <c r="AT12" i="12"/>
  <c r="AR13" i="12"/>
  <c r="AS13" i="12"/>
  <c r="AT13" i="12"/>
  <c r="AR14" i="12"/>
  <c r="AS14" i="12"/>
  <c r="AT14" i="12"/>
  <c r="AR15" i="12"/>
  <c r="AS15" i="12"/>
  <c r="AT15" i="12"/>
  <c r="AR16" i="12"/>
  <c r="AS16" i="12"/>
  <c r="AT16" i="12"/>
  <c r="AR17" i="12"/>
  <c r="AS17" i="12"/>
  <c r="AT17" i="12"/>
  <c r="AR18" i="12"/>
  <c r="AS18" i="12"/>
  <c r="AT18" i="12"/>
  <c r="AR19" i="12"/>
  <c r="AS19" i="12"/>
  <c r="AT19" i="12"/>
  <c r="AR20" i="12"/>
  <c r="AS20" i="12"/>
  <c r="AT20" i="12"/>
  <c r="AR21" i="12"/>
  <c r="AS21" i="12"/>
  <c r="AT21" i="12"/>
  <c r="AR22" i="12"/>
  <c r="AS22" i="12"/>
  <c r="AT22" i="12"/>
  <c r="AR23" i="12"/>
  <c r="AS23" i="12"/>
  <c r="AT23" i="12"/>
  <c r="AR24" i="12"/>
  <c r="AS24" i="12"/>
  <c r="AT24" i="12"/>
  <c r="AR25" i="12"/>
  <c r="AS25" i="12"/>
  <c r="AT25" i="12"/>
  <c r="AR26" i="12"/>
  <c r="AS26" i="12"/>
  <c r="AT26" i="12"/>
  <c r="AR27" i="12"/>
  <c r="AS27" i="12"/>
  <c r="AT27" i="12"/>
  <c r="AR28" i="12"/>
  <c r="AS28" i="12"/>
  <c r="AT28" i="12"/>
  <c r="AR29" i="12"/>
  <c r="AS29" i="12"/>
  <c r="AT29" i="12"/>
  <c r="AR30" i="12"/>
  <c r="AS30" i="12"/>
  <c r="AT30" i="12"/>
  <c r="AR31" i="12"/>
  <c r="AS31" i="12"/>
  <c r="AT31" i="12"/>
  <c r="AR32" i="12"/>
  <c r="AS32" i="12"/>
  <c r="AT32" i="12"/>
  <c r="AR33" i="12"/>
  <c r="AS33" i="12"/>
  <c r="AT33" i="12"/>
  <c r="AR34" i="12"/>
  <c r="AS34" i="12"/>
  <c r="AT34" i="12"/>
  <c r="AR35" i="12"/>
  <c r="AS35" i="12"/>
  <c r="AT35" i="12"/>
  <c r="AR36" i="12"/>
  <c r="AS36" i="12"/>
  <c r="AT36" i="12"/>
  <c r="AR37" i="12"/>
  <c r="AS37" i="12"/>
  <c r="AT37" i="12"/>
  <c r="AR38" i="12"/>
  <c r="AS38" i="12"/>
  <c r="AT38" i="12"/>
  <c r="AR39" i="12"/>
  <c r="AS39" i="12"/>
  <c r="AT39" i="12"/>
  <c r="AR40" i="12"/>
  <c r="AS40" i="12"/>
  <c r="AT40" i="12"/>
  <c r="AR41" i="12"/>
  <c r="AS41" i="12"/>
  <c r="AT41" i="12"/>
  <c r="AR42" i="12"/>
  <c r="AS42" i="12"/>
  <c r="AT42" i="12"/>
  <c r="AR43" i="12"/>
  <c r="AS43" i="12"/>
  <c r="AT43" i="12"/>
  <c r="AR44" i="12"/>
  <c r="AS44" i="12"/>
  <c r="AT44" i="12"/>
  <c r="AR45" i="12"/>
  <c r="AS45" i="12"/>
  <c r="AT45" i="12"/>
  <c r="AR46" i="12"/>
  <c r="AS46" i="12"/>
  <c r="AT46" i="12"/>
  <c r="AR47" i="12"/>
  <c r="AS47" i="12"/>
  <c r="AT47" i="12"/>
  <c r="AR48" i="12"/>
  <c r="AS48" i="12"/>
  <c r="AT48" i="12"/>
  <c r="AR49" i="12"/>
  <c r="AS49" i="12"/>
  <c r="AT49" i="12"/>
  <c r="AR50" i="12"/>
  <c r="AS50" i="12"/>
  <c r="AT50" i="12"/>
  <c r="AR51" i="12"/>
  <c r="AS51" i="12"/>
  <c r="AT51" i="12"/>
  <c r="AR52" i="12"/>
  <c r="AS52" i="12"/>
  <c r="AT52" i="12"/>
  <c r="AR53" i="12"/>
  <c r="AS53" i="12"/>
  <c r="AT53" i="12"/>
  <c r="AR54" i="12"/>
  <c r="AS54" i="12"/>
  <c r="AT54" i="12"/>
  <c r="AR55" i="12"/>
  <c r="AS55" i="12"/>
  <c r="AT55" i="12"/>
  <c r="AR56" i="12"/>
  <c r="AS56" i="12"/>
  <c r="AT56" i="12"/>
  <c r="AR57" i="12"/>
  <c r="AS57" i="12"/>
  <c r="AT57" i="12"/>
  <c r="AR58" i="12"/>
  <c r="AS58" i="12"/>
  <c r="AT58" i="12"/>
  <c r="AR59" i="12"/>
  <c r="AS59" i="12"/>
  <c r="AT59" i="12"/>
  <c r="AR60" i="12"/>
  <c r="AS60" i="12"/>
  <c r="AT60" i="12"/>
  <c r="AR61" i="12"/>
  <c r="AS61" i="12"/>
  <c r="AT61" i="12"/>
  <c r="AR62" i="12"/>
  <c r="AS62" i="12"/>
  <c r="AT62" i="12"/>
  <c r="AR63" i="12"/>
  <c r="AS63" i="12"/>
  <c r="AT63" i="12"/>
  <c r="AR64" i="12"/>
  <c r="AS64" i="12"/>
  <c r="AT64" i="12"/>
  <c r="AR65" i="12"/>
  <c r="AS65" i="12"/>
  <c r="AT65" i="12"/>
  <c r="AR66" i="12"/>
  <c r="AS66" i="12"/>
  <c r="AT66" i="12"/>
  <c r="AR67" i="12"/>
  <c r="AS67" i="12"/>
  <c r="AT67" i="12"/>
  <c r="AR68" i="12"/>
  <c r="AS68" i="12"/>
  <c r="AT68" i="12"/>
  <c r="AR69" i="12"/>
  <c r="AS69" i="12"/>
  <c r="AT69" i="12"/>
  <c r="AR70" i="12"/>
  <c r="AS70" i="12"/>
  <c r="AT70" i="12"/>
  <c r="AR71" i="12"/>
  <c r="AS71" i="12"/>
  <c r="AT71" i="12"/>
  <c r="AR72" i="12"/>
  <c r="AS72" i="12"/>
  <c r="AT72" i="12"/>
  <c r="AR73" i="12"/>
  <c r="AS73" i="12"/>
  <c r="AT73" i="12"/>
  <c r="AR74" i="12"/>
  <c r="AS74" i="12"/>
  <c r="AT74" i="12"/>
  <c r="AR75" i="12"/>
  <c r="AS75" i="12"/>
  <c r="AT75" i="12"/>
  <c r="AR76" i="12"/>
  <c r="AS76" i="12"/>
  <c r="AT76" i="12"/>
  <c r="AR77" i="12"/>
  <c r="AS77" i="12"/>
  <c r="AT77" i="12"/>
  <c r="AR78" i="12"/>
  <c r="AS78" i="12"/>
  <c r="AT78" i="12"/>
  <c r="AR79" i="12"/>
  <c r="AS79" i="12"/>
  <c r="AT79" i="12"/>
  <c r="AR80" i="12"/>
  <c r="AS80" i="12"/>
  <c r="AT80" i="12"/>
  <c r="AR81" i="12"/>
  <c r="AS81" i="12"/>
  <c r="AT81" i="12"/>
  <c r="AR82" i="12"/>
  <c r="AS82" i="12"/>
  <c r="AT82" i="12"/>
  <c r="AR83" i="12"/>
  <c r="AS83" i="12"/>
  <c r="AT83" i="12"/>
  <c r="AR84" i="12"/>
  <c r="AS84" i="12"/>
  <c r="AT84" i="12"/>
  <c r="AR85" i="12"/>
  <c r="AS85" i="12"/>
  <c r="AT85" i="12"/>
  <c r="AR86" i="12"/>
  <c r="AS86" i="12"/>
  <c r="AT86" i="12"/>
  <c r="AR87" i="12"/>
  <c r="AS87" i="12"/>
  <c r="AT87" i="12"/>
  <c r="AR88" i="12"/>
  <c r="AS88" i="12"/>
  <c r="AT88" i="12"/>
  <c r="AR89" i="12"/>
  <c r="AS89" i="12"/>
  <c r="AT89" i="12"/>
  <c r="AR90" i="12"/>
  <c r="AS90" i="12"/>
  <c r="AT90" i="12"/>
  <c r="AR91" i="12"/>
  <c r="AS91" i="12"/>
  <c r="AT91" i="12"/>
  <c r="AR92" i="12"/>
  <c r="AS92" i="12"/>
  <c r="AT92" i="12"/>
  <c r="AR93" i="12"/>
  <c r="AS93" i="12"/>
  <c r="AT93" i="12"/>
  <c r="AR94" i="12"/>
  <c r="AS94" i="12"/>
  <c r="AT94" i="12"/>
  <c r="AR95" i="12"/>
  <c r="AS95" i="12"/>
  <c r="AT95" i="12"/>
  <c r="AR96" i="12"/>
  <c r="AS96" i="12"/>
  <c r="AT96" i="12"/>
  <c r="AR97" i="12"/>
  <c r="AS97" i="12"/>
  <c r="AT97" i="12"/>
  <c r="AR98" i="12"/>
  <c r="AS98" i="12"/>
  <c r="AT98" i="12"/>
  <c r="AR99" i="12"/>
  <c r="AS99" i="12"/>
  <c r="AT99" i="12"/>
  <c r="AR100" i="12"/>
  <c r="AS100" i="12"/>
  <c r="AT100" i="12"/>
  <c r="AR101" i="12"/>
  <c r="AS101" i="12"/>
  <c r="AT101" i="12"/>
  <c r="AR102" i="12"/>
  <c r="AS102" i="12"/>
  <c r="AT102" i="12"/>
  <c r="AR103" i="12"/>
  <c r="AS103" i="12"/>
  <c r="AT103" i="12"/>
  <c r="AR104" i="12"/>
  <c r="AS104" i="12"/>
  <c r="AT104" i="12"/>
  <c r="AR105" i="12"/>
  <c r="AS105" i="12"/>
  <c r="AT105" i="12"/>
  <c r="AR106" i="12"/>
  <c r="AS106" i="12"/>
  <c r="AT106" i="12"/>
  <c r="AR107" i="12"/>
  <c r="AS107" i="12"/>
  <c r="AT107" i="12"/>
  <c r="AR108" i="12"/>
  <c r="AS108" i="12"/>
  <c r="AT108" i="12"/>
  <c r="AR109" i="12"/>
  <c r="AS109" i="12"/>
  <c r="AT109" i="12"/>
  <c r="AR110" i="12"/>
  <c r="AS110" i="12"/>
  <c r="AT110" i="12"/>
  <c r="AR111" i="12"/>
  <c r="AS111" i="12"/>
  <c r="AT111" i="12"/>
  <c r="AR112" i="12"/>
  <c r="AS112" i="12"/>
  <c r="AT112" i="12"/>
  <c r="AR113" i="12"/>
  <c r="AS113" i="12"/>
  <c r="AT113" i="12"/>
  <c r="AR114" i="12"/>
  <c r="AS114" i="12"/>
  <c r="AT114" i="12"/>
  <c r="AR115" i="12"/>
  <c r="AS115" i="12"/>
  <c r="AT115" i="12"/>
  <c r="AR116" i="12"/>
  <c r="AS116" i="12"/>
  <c r="AT116" i="12"/>
  <c r="AR117" i="12"/>
  <c r="AS117" i="12"/>
  <c r="AT117" i="12"/>
  <c r="AR118" i="12"/>
  <c r="AS118" i="12"/>
  <c r="AT118" i="12"/>
  <c r="AR119" i="12"/>
  <c r="AS119" i="12"/>
  <c r="AT119" i="12"/>
  <c r="AR120" i="12"/>
  <c r="AS120" i="12"/>
  <c r="AT120" i="12"/>
  <c r="AR121" i="12"/>
  <c r="AS121" i="12"/>
  <c r="AT121" i="12"/>
  <c r="AR122" i="12"/>
  <c r="AS122" i="12"/>
  <c r="AT122" i="12"/>
  <c r="AR123" i="12"/>
  <c r="AS123" i="12"/>
  <c r="AT123" i="12"/>
  <c r="AR124" i="12"/>
  <c r="AS124" i="12"/>
  <c r="AT124" i="12"/>
  <c r="AR125" i="12"/>
  <c r="AS125" i="12"/>
  <c r="AT125" i="12"/>
  <c r="AR126" i="12"/>
  <c r="AS126" i="12"/>
  <c r="AT126" i="12"/>
  <c r="AR127" i="12"/>
  <c r="AS127" i="12"/>
  <c r="AT127" i="12"/>
  <c r="AR128" i="12"/>
  <c r="AS128" i="12"/>
  <c r="AT128" i="12"/>
  <c r="AR129" i="12"/>
  <c r="AS129" i="12"/>
  <c r="AT129" i="12"/>
  <c r="AR130" i="12"/>
  <c r="AS130" i="12"/>
  <c r="AT130" i="12"/>
  <c r="AR131" i="12"/>
  <c r="AS131" i="12"/>
  <c r="AT131" i="12"/>
  <c r="AR132" i="12"/>
  <c r="AS132" i="12"/>
  <c r="AT132" i="12"/>
  <c r="AR133" i="12"/>
  <c r="AS133" i="12"/>
  <c r="AT133" i="12"/>
  <c r="AR134" i="12"/>
  <c r="AS134" i="12"/>
  <c r="AT134" i="12"/>
  <c r="AR135" i="12"/>
  <c r="AS135" i="12"/>
  <c r="AT135" i="12"/>
  <c r="AR136" i="12"/>
  <c r="AS136" i="12"/>
  <c r="AT136" i="12"/>
  <c r="AR137" i="12"/>
  <c r="AS137" i="12"/>
  <c r="AT137" i="12"/>
  <c r="AR138" i="12"/>
  <c r="AS138" i="12"/>
  <c r="AT138" i="12"/>
  <c r="AR139" i="12"/>
  <c r="AS139" i="12"/>
  <c r="AT139" i="12"/>
  <c r="AR140" i="12"/>
  <c r="AS140" i="12"/>
  <c r="AT140" i="12"/>
  <c r="AR141" i="12"/>
  <c r="AS141" i="12"/>
  <c r="AT141" i="12"/>
  <c r="AR142" i="12"/>
  <c r="AS142" i="12"/>
  <c r="AT142" i="12"/>
  <c r="AR143" i="12"/>
  <c r="AS143" i="12"/>
  <c r="AT143" i="12"/>
  <c r="AR144" i="12"/>
  <c r="AS144" i="12"/>
  <c r="AT144" i="12"/>
  <c r="AR145" i="12"/>
  <c r="AS145" i="12"/>
  <c r="AT145" i="12"/>
  <c r="AR146" i="12"/>
  <c r="AS146" i="12"/>
  <c r="AT146" i="12"/>
  <c r="AR147" i="12"/>
  <c r="AS147" i="12"/>
  <c r="AT147" i="12"/>
  <c r="AR148" i="12"/>
  <c r="AS148" i="12"/>
  <c r="AT148" i="12"/>
  <c r="AR149" i="12"/>
  <c r="AS149" i="12"/>
  <c r="AT149" i="12"/>
  <c r="AR150" i="12"/>
  <c r="AS150" i="12"/>
  <c r="AT150" i="12"/>
  <c r="AR151" i="12"/>
  <c r="AS151" i="12"/>
  <c r="AT151" i="12"/>
  <c r="AR152" i="12"/>
  <c r="AS152" i="12"/>
  <c r="AT152" i="12"/>
  <c r="AR153" i="12"/>
  <c r="AS153" i="12"/>
  <c r="AT153" i="12"/>
  <c r="AR154" i="12"/>
  <c r="AS154" i="12"/>
  <c r="AT154" i="12"/>
  <c r="AR155" i="12"/>
  <c r="AS155" i="12"/>
  <c r="AT155" i="12"/>
  <c r="AR156" i="12"/>
  <c r="AS156" i="12"/>
  <c r="AT156" i="12"/>
  <c r="AR157" i="12"/>
  <c r="AS157" i="12"/>
  <c r="AT157" i="12"/>
  <c r="AR158" i="12"/>
  <c r="AS158" i="12"/>
  <c r="AT158" i="12"/>
  <c r="AR159" i="12"/>
  <c r="AS159" i="12"/>
  <c r="AT159" i="12"/>
  <c r="AR160" i="12"/>
  <c r="AS160" i="12"/>
  <c r="AT160" i="12"/>
  <c r="AR161" i="12"/>
  <c r="AS161" i="12"/>
  <c r="AT161" i="12"/>
  <c r="AR162" i="12"/>
  <c r="AS162" i="12"/>
  <c r="AT162" i="12"/>
  <c r="AR163" i="12"/>
  <c r="AS163" i="12"/>
  <c r="AT163" i="12"/>
  <c r="AR164" i="12"/>
  <c r="AS164" i="12"/>
  <c r="AT164" i="12"/>
  <c r="AR165" i="12"/>
  <c r="AS165" i="12"/>
  <c r="AT165" i="12"/>
  <c r="AR166" i="12"/>
  <c r="AS166" i="12"/>
  <c r="AT166" i="12"/>
  <c r="AR167" i="12"/>
  <c r="AS167" i="12"/>
  <c r="AT167" i="12"/>
  <c r="AR168" i="12"/>
  <c r="AS168" i="12"/>
  <c r="AT168" i="12"/>
  <c r="AR169" i="12"/>
  <c r="AS169" i="12"/>
  <c r="AT169" i="12"/>
  <c r="AR170" i="12"/>
  <c r="AS170" i="12"/>
  <c r="AT170" i="12"/>
  <c r="AR171" i="12"/>
  <c r="AS171" i="12"/>
  <c r="AT171" i="12"/>
  <c r="AR172" i="12"/>
  <c r="AS172" i="12"/>
  <c r="AT172" i="12"/>
  <c r="AR173" i="12"/>
  <c r="AS173" i="12"/>
  <c r="AT173" i="12"/>
  <c r="AR174" i="12"/>
  <c r="AS174" i="12"/>
  <c r="AT174" i="12"/>
  <c r="AR175" i="12"/>
  <c r="AS175" i="12"/>
  <c r="AT175" i="12"/>
  <c r="AR176" i="12"/>
  <c r="AS176" i="12"/>
  <c r="AT176" i="12"/>
  <c r="AR177" i="12"/>
  <c r="AS177" i="12"/>
  <c r="AT177" i="12"/>
  <c r="AR178" i="12"/>
  <c r="AS178" i="12"/>
  <c r="AT178" i="12"/>
  <c r="AR179" i="12"/>
  <c r="AS179" i="12"/>
  <c r="AT179" i="12"/>
  <c r="AR180" i="12"/>
  <c r="AS180" i="12"/>
  <c r="AT180" i="12"/>
  <c r="AR181" i="12"/>
  <c r="AS181" i="12"/>
  <c r="AT181" i="12"/>
  <c r="AR182" i="12"/>
  <c r="AS182" i="12"/>
  <c r="AT182" i="12"/>
  <c r="AR183" i="12"/>
  <c r="AS183" i="12"/>
  <c r="AT183" i="12"/>
  <c r="AR184" i="12"/>
  <c r="AS184" i="12"/>
  <c r="AT184" i="12"/>
  <c r="AR185" i="12"/>
  <c r="AS185" i="12"/>
  <c r="AT185" i="12"/>
  <c r="AR186" i="12"/>
  <c r="AS186" i="12"/>
  <c r="AT186" i="12"/>
  <c r="AT3" i="12"/>
  <c r="AS3" i="12"/>
  <c r="AR3" i="12"/>
  <c r="AN4" i="12"/>
  <c r="AO4" i="12"/>
  <c r="AP4" i="12"/>
  <c r="AN5" i="12"/>
  <c r="AO5" i="12"/>
  <c r="AP5" i="12"/>
  <c r="AN6" i="12"/>
  <c r="AO6" i="12"/>
  <c r="AP6" i="12"/>
  <c r="AN7" i="12"/>
  <c r="AO7" i="12"/>
  <c r="AP7" i="12"/>
  <c r="AN8" i="12"/>
  <c r="AO8" i="12"/>
  <c r="AP8" i="12"/>
  <c r="AN9" i="12"/>
  <c r="AO9" i="12"/>
  <c r="AP9" i="12"/>
  <c r="AN10" i="12"/>
  <c r="AO10" i="12"/>
  <c r="AP10" i="12"/>
  <c r="AN11" i="12"/>
  <c r="AO11" i="12"/>
  <c r="AP11" i="12"/>
  <c r="AN12" i="12"/>
  <c r="AO12" i="12"/>
  <c r="AP12" i="12"/>
  <c r="AN13" i="12"/>
  <c r="AO13" i="12"/>
  <c r="AP13" i="12"/>
  <c r="AN14" i="12"/>
  <c r="AO14" i="12"/>
  <c r="AP14" i="12"/>
  <c r="AN15" i="12"/>
  <c r="AO15" i="12"/>
  <c r="AP15" i="12"/>
  <c r="AN16" i="12"/>
  <c r="AO16" i="12"/>
  <c r="AP16" i="12"/>
  <c r="AN17" i="12"/>
  <c r="AO17" i="12"/>
  <c r="AP17" i="12"/>
  <c r="AN18" i="12"/>
  <c r="AO18" i="12"/>
  <c r="AP18" i="12"/>
  <c r="AN19" i="12"/>
  <c r="AO19" i="12"/>
  <c r="AP19" i="12"/>
  <c r="AN20" i="12"/>
  <c r="AO20" i="12"/>
  <c r="AP20" i="12"/>
  <c r="AN21" i="12"/>
  <c r="AO21" i="12"/>
  <c r="AP21" i="12"/>
  <c r="AN22" i="12"/>
  <c r="AO22" i="12"/>
  <c r="AP22" i="12"/>
  <c r="AN23" i="12"/>
  <c r="AO23" i="12"/>
  <c r="AP23" i="12"/>
  <c r="AN24" i="12"/>
  <c r="AO24" i="12"/>
  <c r="AP24" i="12"/>
  <c r="AN25" i="12"/>
  <c r="AO25" i="12"/>
  <c r="AP25" i="12"/>
  <c r="AN26" i="12"/>
  <c r="AO26" i="12"/>
  <c r="AP26" i="12"/>
  <c r="AN27" i="12"/>
  <c r="AO27" i="12"/>
  <c r="AP27" i="12"/>
  <c r="AN28" i="12"/>
  <c r="AO28" i="12"/>
  <c r="AP28" i="12"/>
  <c r="AN29" i="12"/>
  <c r="AO29" i="12"/>
  <c r="AP29" i="12"/>
  <c r="AN30" i="12"/>
  <c r="AO30" i="12"/>
  <c r="AP30" i="12"/>
  <c r="AN31" i="12"/>
  <c r="AO31" i="12"/>
  <c r="AP31" i="12"/>
  <c r="AN32" i="12"/>
  <c r="AO32" i="12"/>
  <c r="AP32" i="12"/>
  <c r="AN33" i="12"/>
  <c r="AO33" i="12"/>
  <c r="AP33" i="12"/>
  <c r="AN34" i="12"/>
  <c r="AO34" i="12"/>
  <c r="AP34" i="12"/>
  <c r="AN35" i="12"/>
  <c r="AO35" i="12"/>
  <c r="AP35" i="12"/>
  <c r="AN36" i="12"/>
  <c r="AO36" i="12"/>
  <c r="AP36" i="12"/>
  <c r="AN37" i="12"/>
  <c r="AO37" i="12"/>
  <c r="AP37" i="12"/>
  <c r="AN38" i="12"/>
  <c r="AO38" i="12"/>
  <c r="AP38" i="12"/>
  <c r="AN39" i="12"/>
  <c r="AO39" i="12"/>
  <c r="AP39" i="12"/>
  <c r="AN40" i="12"/>
  <c r="AO40" i="12"/>
  <c r="AP40" i="12"/>
  <c r="AN41" i="12"/>
  <c r="AO41" i="12"/>
  <c r="AP41" i="12"/>
  <c r="AN42" i="12"/>
  <c r="AO42" i="12"/>
  <c r="AP42" i="12"/>
  <c r="AN43" i="12"/>
  <c r="AO43" i="12"/>
  <c r="AP43" i="12"/>
  <c r="AN44" i="12"/>
  <c r="AO44" i="12"/>
  <c r="AP44" i="12"/>
  <c r="AN45" i="12"/>
  <c r="AO45" i="12"/>
  <c r="AP45" i="12"/>
  <c r="AN46" i="12"/>
  <c r="AO46" i="12"/>
  <c r="AP46" i="12"/>
  <c r="AN47" i="12"/>
  <c r="AO47" i="12"/>
  <c r="AP47" i="12"/>
  <c r="AN48" i="12"/>
  <c r="AO48" i="12"/>
  <c r="AP48" i="12"/>
  <c r="AN49" i="12"/>
  <c r="AO49" i="12"/>
  <c r="AP49" i="12"/>
  <c r="AN50" i="12"/>
  <c r="AO50" i="12"/>
  <c r="AP50" i="12"/>
  <c r="AN51" i="12"/>
  <c r="AO51" i="12"/>
  <c r="AP51" i="12"/>
  <c r="AN52" i="12"/>
  <c r="AO52" i="12"/>
  <c r="AP52" i="12"/>
  <c r="AN53" i="12"/>
  <c r="AO53" i="12"/>
  <c r="AP53" i="12"/>
  <c r="AN54" i="12"/>
  <c r="AO54" i="12"/>
  <c r="AP54" i="12"/>
  <c r="AN55" i="12"/>
  <c r="AO55" i="12"/>
  <c r="AP55" i="12"/>
  <c r="AN56" i="12"/>
  <c r="AO56" i="12"/>
  <c r="AP56" i="12"/>
  <c r="AN57" i="12"/>
  <c r="AO57" i="12"/>
  <c r="AP57" i="12"/>
  <c r="AN58" i="12"/>
  <c r="AO58" i="12"/>
  <c r="AP58" i="12"/>
  <c r="AN59" i="12"/>
  <c r="AO59" i="12"/>
  <c r="AP59" i="12"/>
  <c r="AN60" i="12"/>
  <c r="AO60" i="12"/>
  <c r="AP60" i="12"/>
  <c r="AN61" i="12"/>
  <c r="AO61" i="12"/>
  <c r="AP61" i="12"/>
  <c r="AN62" i="12"/>
  <c r="AO62" i="12"/>
  <c r="AP62" i="12"/>
  <c r="AN63" i="12"/>
  <c r="AO63" i="12"/>
  <c r="AP63" i="12"/>
  <c r="AN64" i="12"/>
  <c r="AO64" i="12"/>
  <c r="AP64" i="12"/>
  <c r="AN65" i="12"/>
  <c r="AO65" i="12"/>
  <c r="AP65" i="12"/>
  <c r="AN66" i="12"/>
  <c r="AO66" i="12"/>
  <c r="AP66" i="12"/>
  <c r="AN67" i="12"/>
  <c r="AO67" i="12"/>
  <c r="AP67" i="12"/>
  <c r="AN68" i="12"/>
  <c r="AO68" i="12"/>
  <c r="AP68" i="12"/>
  <c r="AN69" i="12"/>
  <c r="AO69" i="12"/>
  <c r="AP69" i="12"/>
  <c r="AN70" i="12"/>
  <c r="AO70" i="12"/>
  <c r="AP70" i="12"/>
  <c r="AN71" i="12"/>
  <c r="AO71" i="12"/>
  <c r="AP71" i="12"/>
  <c r="AN72" i="12"/>
  <c r="AO72" i="12"/>
  <c r="AP72" i="12"/>
  <c r="AN73" i="12"/>
  <c r="AO73" i="12"/>
  <c r="AP73" i="12"/>
  <c r="AN74" i="12"/>
  <c r="AO74" i="12"/>
  <c r="AP74" i="12"/>
  <c r="AN75" i="12"/>
  <c r="AO75" i="12"/>
  <c r="AP75" i="12"/>
  <c r="AN76" i="12"/>
  <c r="AO76" i="12"/>
  <c r="AP76" i="12"/>
  <c r="AN77" i="12"/>
  <c r="AO77" i="12"/>
  <c r="AP77" i="12"/>
  <c r="AN78" i="12"/>
  <c r="AO78" i="12"/>
  <c r="AP78" i="12"/>
  <c r="AN79" i="12"/>
  <c r="AO79" i="12"/>
  <c r="AP79" i="12"/>
  <c r="AN80" i="12"/>
  <c r="AO80" i="12"/>
  <c r="AP80" i="12"/>
  <c r="AN81" i="12"/>
  <c r="AO81" i="12"/>
  <c r="AP81" i="12"/>
  <c r="AN82" i="12"/>
  <c r="AO82" i="12"/>
  <c r="AP82" i="12"/>
  <c r="AN83" i="12"/>
  <c r="AO83" i="12"/>
  <c r="AP83" i="12"/>
  <c r="AN84" i="12"/>
  <c r="AO84" i="12"/>
  <c r="AP84" i="12"/>
  <c r="AN85" i="12"/>
  <c r="AO85" i="12"/>
  <c r="AP85" i="12"/>
  <c r="AN86" i="12"/>
  <c r="AO86" i="12"/>
  <c r="AP86" i="12"/>
  <c r="AN87" i="12"/>
  <c r="AO87" i="12"/>
  <c r="AP87" i="12"/>
  <c r="AN88" i="12"/>
  <c r="AO88" i="12"/>
  <c r="AP88" i="12"/>
  <c r="AN89" i="12"/>
  <c r="AO89" i="12"/>
  <c r="AP89" i="12"/>
  <c r="AN90" i="12"/>
  <c r="AO90" i="12"/>
  <c r="AP90" i="12"/>
  <c r="AN91" i="12"/>
  <c r="AO91" i="12"/>
  <c r="AP91" i="12"/>
  <c r="AN92" i="12"/>
  <c r="AO92" i="12"/>
  <c r="AP92" i="12"/>
  <c r="AN93" i="12"/>
  <c r="AO93" i="12"/>
  <c r="AP93" i="12"/>
  <c r="AN94" i="12"/>
  <c r="AO94" i="12"/>
  <c r="AP94" i="12"/>
  <c r="AN95" i="12"/>
  <c r="AO95" i="12"/>
  <c r="AP95" i="12"/>
  <c r="AN96" i="12"/>
  <c r="AO96" i="12"/>
  <c r="AP96" i="12"/>
  <c r="AN97" i="12"/>
  <c r="AO97" i="12"/>
  <c r="AP97" i="12"/>
  <c r="AN98" i="12"/>
  <c r="AO98" i="12"/>
  <c r="AP98" i="12"/>
  <c r="AN99" i="12"/>
  <c r="AO99" i="12"/>
  <c r="AP99" i="12"/>
  <c r="AN100" i="12"/>
  <c r="AO100" i="12"/>
  <c r="AP100" i="12"/>
  <c r="AN101" i="12"/>
  <c r="AO101" i="12"/>
  <c r="AP101" i="12"/>
  <c r="AN102" i="12"/>
  <c r="AO102" i="12"/>
  <c r="AP102" i="12"/>
  <c r="AN103" i="12"/>
  <c r="AO103" i="12"/>
  <c r="AP103" i="12"/>
  <c r="AN104" i="12"/>
  <c r="AO104" i="12"/>
  <c r="AP104" i="12"/>
  <c r="AN105" i="12"/>
  <c r="AO105" i="12"/>
  <c r="AP105" i="12"/>
  <c r="AN106" i="12"/>
  <c r="AO106" i="12"/>
  <c r="AP106" i="12"/>
  <c r="AN107" i="12"/>
  <c r="AO107" i="12"/>
  <c r="AP107" i="12"/>
  <c r="AN108" i="12"/>
  <c r="AO108" i="12"/>
  <c r="AP108" i="12"/>
  <c r="AN109" i="12"/>
  <c r="AO109" i="12"/>
  <c r="AP109" i="12"/>
  <c r="AN110" i="12"/>
  <c r="AO110" i="12"/>
  <c r="AP110" i="12"/>
  <c r="AN111" i="12"/>
  <c r="AO111" i="12"/>
  <c r="AP111" i="12"/>
  <c r="AN112" i="12"/>
  <c r="AO112" i="12"/>
  <c r="AP112" i="12"/>
  <c r="AN113" i="12"/>
  <c r="AO113" i="12"/>
  <c r="AP113" i="12"/>
  <c r="AN114" i="12"/>
  <c r="AO114" i="12"/>
  <c r="AP114" i="12"/>
  <c r="AN115" i="12"/>
  <c r="AO115" i="12"/>
  <c r="AP115" i="12"/>
  <c r="AN116" i="12"/>
  <c r="AO116" i="12"/>
  <c r="AP116" i="12"/>
  <c r="AN117" i="12"/>
  <c r="AO117" i="12"/>
  <c r="AP117" i="12"/>
  <c r="AN118" i="12"/>
  <c r="AO118" i="12"/>
  <c r="AP118" i="12"/>
  <c r="AN119" i="12"/>
  <c r="AO119" i="12"/>
  <c r="AP119" i="12"/>
  <c r="AN120" i="12"/>
  <c r="AO120" i="12"/>
  <c r="AP120" i="12"/>
  <c r="AN121" i="12"/>
  <c r="AO121" i="12"/>
  <c r="AP121" i="12"/>
  <c r="AN122" i="12"/>
  <c r="AO122" i="12"/>
  <c r="AP122" i="12"/>
  <c r="AN123" i="12"/>
  <c r="AO123" i="12"/>
  <c r="AP123" i="12"/>
  <c r="AN124" i="12"/>
  <c r="AO124" i="12"/>
  <c r="AP124" i="12"/>
  <c r="AN125" i="12"/>
  <c r="AO125" i="12"/>
  <c r="AP125" i="12"/>
  <c r="AN126" i="12"/>
  <c r="AO126" i="12"/>
  <c r="AP126" i="12"/>
  <c r="AN127" i="12"/>
  <c r="AO127" i="12"/>
  <c r="AP127" i="12"/>
  <c r="AN128" i="12"/>
  <c r="AO128" i="12"/>
  <c r="AP128" i="12"/>
  <c r="AN129" i="12"/>
  <c r="AO129" i="12"/>
  <c r="AP129" i="12"/>
  <c r="AN130" i="12"/>
  <c r="AO130" i="12"/>
  <c r="AP130" i="12"/>
  <c r="AN131" i="12"/>
  <c r="AO131" i="12"/>
  <c r="AP131" i="12"/>
  <c r="AN132" i="12"/>
  <c r="AO132" i="12"/>
  <c r="AP132" i="12"/>
  <c r="AN133" i="12"/>
  <c r="AO133" i="12"/>
  <c r="AP133" i="12"/>
  <c r="AN134" i="12"/>
  <c r="AO134" i="12"/>
  <c r="AP134" i="12"/>
  <c r="AN135" i="12"/>
  <c r="AO135" i="12"/>
  <c r="AP135" i="12"/>
  <c r="AN136" i="12"/>
  <c r="AO136" i="12"/>
  <c r="AP136" i="12"/>
  <c r="AN137" i="12"/>
  <c r="AO137" i="12"/>
  <c r="AP137" i="12"/>
  <c r="AN138" i="12"/>
  <c r="AO138" i="12"/>
  <c r="AP138" i="12"/>
  <c r="AN139" i="12"/>
  <c r="AO139" i="12"/>
  <c r="AP139" i="12"/>
  <c r="AN140" i="12"/>
  <c r="AO140" i="12"/>
  <c r="AP140" i="12"/>
  <c r="AN141" i="12"/>
  <c r="AO141" i="12"/>
  <c r="AP141" i="12"/>
  <c r="AN142" i="12"/>
  <c r="AO142" i="12"/>
  <c r="AP142" i="12"/>
  <c r="AN143" i="12"/>
  <c r="AO143" i="12"/>
  <c r="AP143" i="12"/>
  <c r="AN144" i="12"/>
  <c r="AO144" i="12"/>
  <c r="AP144" i="12"/>
  <c r="AN145" i="12"/>
  <c r="AO145" i="12"/>
  <c r="AP145" i="12"/>
  <c r="AN146" i="12"/>
  <c r="AO146" i="12"/>
  <c r="AP146" i="12"/>
  <c r="AN147" i="12"/>
  <c r="AO147" i="12"/>
  <c r="AP147" i="12"/>
  <c r="AN148" i="12"/>
  <c r="AO148" i="12"/>
  <c r="AP148" i="12"/>
  <c r="AN149" i="12"/>
  <c r="AO149" i="12"/>
  <c r="AP149" i="12"/>
  <c r="AN150" i="12"/>
  <c r="AO150" i="12"/>
  <c r="AP150" i="12"/>
  <c r="AN151" i="12"/>
  <c r="AO151" i="12"/>
  <c r="AP151" i="12"/>
  <c r="AN152" i="12"/>
  <c r="AO152" i="12"/>
  <c r="AP152" i="12"/>
  <c r="AN153" i="12"/>
  <c r="AO153" i="12"/>
  <c r="AP153" i="12"/>
  <c r="AN154" i="12"/>
  <c r="AO154" i="12"/>
  <c r="AP154" i="12"/>
  <c r="AN155" i="12"/>
  <c r="AO155" i="12"/>
  <c r="AP155" i="12"/>
  <c r="AN156" i="12"/>
  <c r="AO156" i="12"/>
  <c r="AP156" i="12"/>
  <c r="AN157" i="12"/>
  <c r="AO157" i="12"/>
  <c r="AP157" i="12"/>
  <c r="AN158" i="12"/>
  <c r="AO158" i="12"/>
  <c r="AP158" i="12"/>
  <c r="AN159" i="12"/>
  <c r="AO159" i="12"/>
  <c r="AP159" i="12"/>
  <c r="AN160" i="12"/>
  <c r="AO160" i="12"/>
  <c r="AP160" i="12"/>
  <c r="AN161" i="12"/>
  <c r="AO161" i="12"/>
  <c r="AP161" i="12"/>
  <c r="AN162" i="12"/>
  <c r="AO162" i="12"/>
  <c r="AP162" i="12"/>
  <c r="AN163" i="12"/>
  <c r="AO163" i="12"/>
  <c r="AP163" i="12"/>
  <c r="AN164" i="12"/>
  <c r="AO164" i="12"/>
  <c r="AP164" i="12"/>
  <c r="AN165" i="12"/>
  <c r="AO165" i="12"/>
  <c r="AP165" i="12"/>
  <c r="AN166" i="12"/>
  <c r="AO166" i="12"/>
  <c r="AP166" i="12"/>
  <c r="AN167" i="12"/>
  <c r="AO167" i="12"/>
  <c r="AP167" i="12"/>
  <c r="AN168" i="12"/>
  <c r="AO168" i="12"/>
  <c r="AP168" i="12"/>
  <c r="AN169" i="12"/>
  <c r="AO169" i="12"/>
  <c r="AP169" i="12"/>
  <c r="AN170" i="12"/>
  <c r="AO170" i="12"/>
  <c r="AP170" i="12"/>
  <c r="AN171" i="12"/>
  <c r="AO171" i="12"/>
  <c r="AP171" i="12"/>
  <c r="AN172" i="12"/>
  <c r="AO172" i="12"/>
  <c r="AP172" i="12"/>
  <c r="AN173" i="12"/>
  <c r="AO173" i="12"/>
  <c r="AP173" i="12"/>
  <c r="AN174" i="12"/>
  <c r="AO174" i="12"/>
  <c r="AP174" i="12"/>
  <c r="AN175" i="12"/>
  <c r="AO175" i="12"/>
  <c r="AP175" i="12"/>
  <c r="AN176" i="12"/>
  <c r="AO176" i="12"/>
  <c r="AP176" i="12"/>
  <c r="AN177" i="12"/>
  <c r="AO177" i="12"/>
  <c r="AP177" i="12"/>
  <c r="AN178" i="12"/>
  <c r="AO178" i="12"/>
  <c r="AP178" i="12"/>
  <c r="AN179" i="12"/>
  <c r="AO179" i="12"/>
  <c r="AP179" i="12"/>
  <c r="AN180" i="12"/>
  <c r="AO180" i="12"/>
  <c r="AP180" i="12"/>
  <c r="AN181" i="12"/>
  <c r="AO181" i="12"/>
  <c r="AP181" i="12"/>
  <c r="AN182" i="12"/>
  <c r="AO182" i="12"/>
  <c r="AP182" i="12"/>
  <c r="AN183" i="12"/>
  <c r="AO183" i="12"/>
  <c r="AP183" i="12"/>
  <c r="AN184" i="12"/>
  <c r="AO184" i="12"/>
  <c r="AP184" i="12"/>
  <c r="AN185" i="12"/>
  <c r="AO185" i="12"/>
  <c r="AP185" i="12"/>
  <c r="AN186" i="12"/>
  <c r="AO186" i="12"/>
  <c r="AP186" i="12"/>
  <c r="AP3" i="12"/>
  <c r="AO3" i="12"/>
  <c r="AN3" i="12"/>
  <c r="AL4" i="12"/>
  <c r="AL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20" i="12"/>
  <c r="AL21" i="12"/>
  <c r="AL22" i="12"/>
  <c r="AL23" i="12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49" i="12"/>
  <c r="AL50" i="12"/>
  <c r="AL51" i="12"/>
  <c r="AL52" i="12"/>
  <c r="AL53" i="12"/>
  <c r="AL54" i="12"/>
  <c r="AL55" i="12"/>
  <c r="AL56" i="12"/>
  <c r="AL57" i="12"/>
  <c r="AL58" i="12"/>
  <c r="AL59" i="12"/>
  <c r="AL60" i="12"/>
  <c r="AL61" i="12"/>
  <c r="AL62" i="12"/>
  <c r="AL63" i="12"/>
  <c r="AL64" i="12"/>
  <c r="AL65" i="12"/>
  <c r="AL66" i="12"/>
  <c r="AL67" i="12"/>
  <c r="AL68" i="12"/>
  <c r="AL69" i="12"/>
  <c r="AL70" i="12"/>
  <c r="AL71" i="12"/>
  <c r="AL72" i="12"/>
  <c r="AL73" i="12"/>
  <c r="AL74" i="12"/>
  <c r="AL75" i="12"/>
  <c r="AL76" i="12"/>
  <c r="AL77" i="12"/>
  <c r="AL78" i="12"/>
  <c r="AL79" i="12"/>
  <c r="AL80" i="12"/>
  <c r="AL81" i="12"/>
  <c r="AL82" i="12"/>
  <c r="AL83" i="12"/>
  <c r="AL84" i="12"/>
  <c r="AL85" i="12"/>
  <c r="AL86" i="12"/>
  <c r="AL87" i="12"/>
  <c r="AL88" i="12"/>
  <c r="AL89" i="12"/>
  <c r="AL90" i="12"/>
  <c r="AL91" i="12"/>
  <c r="AL92" i="12"/>
  <c r="AL93" i="12"/>
  <c r="AL94" i="12"/>
  <c r="AL95" i="12"/>
  <c r="AL96" i="12"/>
  <c r="AL97" i="12"/>
  <c r="AL98" i="12"/>
  <c r="AL99" i="12"/>
  <c r="AL100" i="12"/>
  <c r="AL101" i="12"/>
  <c r="AL102" i="12"/>
  <c r="AL103" i="12"/>
  <c r="AL104" i="12"/>
  <c r="AL105" i="12"/>
  <c r="AL106" i="12"/>
  <c r="AL107" i="12"/>
  <c r="AL108" i="12"/>
  <c r="AL109" i="12"/>
  <c r="AL110" i="12"/>
  <c r="AL111" i="12"/>
  <c r="AL112" i="12"/>
  <c r="AL113" i="12"/>
  <c r="AL114" i="12"/>
  <c r="AL115" i="12"/>
  <c r="AL116" i="12"/>
  <c r="AL117" i="12"/>
  <c r="AL118" i="12"/>
  <c r="AL119" i="12"/>
  <c r="AL120" i="12"/>
  <c r="AL121" i="12"/>
  <c r="AL122" i="12"/>
  <c r="AL123" i="12"/>
  <c r="AL124" i="12"/>
  <c r="AL125" i="12"/>
  <c r="AL126" i="12"/>
  <c r="AL127" i="12"/>
  <c r="AL128" i="12"/>
  <c r="AL129" i="12"/>
  <c r="AL130" i="12"/>
  <c r="AL131" i="12"/>
  <c r="AL132" i="12"/>
  <c r="AL133" i="12"/>
  <c r="AL134" i="12"/>
  <c r="AL135" i="12"/>
  <c r="AL136" i="12"/>
  <c r="AL137" i="12"/>
  <c r="AL138" i="12"/>
  <c r="AL139" i="12"/>
  <c r="AL140" i="12"/>
  <c r="AL141" i="12"/>
  <c r="AL142" i="12"/>
  <c r="AL143" i="12"/>
  <c r="AL144" i="12"/>
  <c r="AL145" i="12"/>
  <c r="AL146" i="12"/>
  <c r="AL147" i="12"/>
  <c r="AL148" i="12"/>
  <c r="AL149" i="12"/>
  <c r="AL150" i="12"/>
  <c r="AL151" i="12"/>
  <c r="AL152" i="12"/>
  <c r="AL153" i="12"/>
  <c r="AL154" i="12"/>
  <c r="AL155" i="12"/>
  <c r="AL156" i="12"/>
  <c r="AL157" i="12"/>
  <c r="AL158" i="12"/>
  <c r="AL159" i="12"/>
  <c r="AL160" i="12"/>
  <c r="AL161" i="12"/>
  <c r="AL162" i="12"/>
  <c r="AL163" i="12"/>
  <c r="AL164" i="12"/>
  <c r="AL165" i="12"/>
  <c r="AL166" i="12"/>
  <c r="AL167" i="12"/>
  <c r="AL168" i="12"/>
  <c r="AL169" i="12"/>
  <c r="AL170" i="12"/>
  <c r="AL171" i="12"/>
  <c r="AL172" i="12"/>
  <c r="AL173" i="12"/>
  <c r="AL174" i="12"/>
  <c r="AL175" i="12"/>
  <c r="AL176" i="12"/>
  <c r="AL177" i="12"/>
  <c r="AL178" i="12"/>
  <c r="AL179" i="12"/>
  <c r="AL180" i="12"/>
  <c r="AL181" i="12"/>
  <c r="AL182" i="12"/>
  <c r="AL183" i="12"/>
  <c r="AL184" i="12"/>
  <c r="AL185" i="12"/>
  <c r="AL186" i="12"/>
  <c r="AL3" i="12"/>
  <c r="AK4" i="12"/>
  <c r="AK5" i="12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K102" i="12"/>
  <c r="AK103" i="12"/>
  <c r="AK104" i="12"/>
  <c r="AK105" i="12"/>
  <c r="AK106" i="12"/>
  <c r="AK107" i="12"/>
  <c r="AK108" i="12"/>
  <c r="AK109" i="12"/>
  <c r="AK110" i="12"/>
  <c r="AK111" i="12"/>
  <c r="AK112" i="12"/>
  <c r="AK113" i="12"/>
  <c r="AK114" i="12"/>
  <c r="AK115" i="12"/>
  <c r="AK116" i="12"/>
  <c r="AK117" i="12"/>
  <c r="AK118" i="12"/>
  <c r="AK119" i="12"/>
  <c r="AK120" i="12"/>
  <c r="AK121" i="12"/>
  <c r="AK122" i="12"/>
  <c r="AK123" i="12"/>
  <c r="AK124" i="12"/>
  <c r="AK125" i="12"/>
  <c r="AK126" i="12"/>
  <c r="AK127" i="12"/>
  <c r="AK128" i="12"/>
  <c r="AK129" i="12"/>
  <c r="AK130" i="12"/>
  <c r="AK131" i="12"/>
  <c r="AK132" i="12"/>
  <c r="AK133" i="12"/>
  <c r="AK134" i="12"/>
  <c r="AK135" i="12"/>
  <c r="AK136" i="12"/>
  <c r="AK137" i="12"/>
  <c r="AK138" i="12"/>
  <c r="AK139" i="12"/>
  <c r="AK140" i="12"/>
  <c r="AK141" i="12"/>
  <c r="AK142" i="12"/>
  <c r="AK143" i="12"/>
  <c r="AK144" i="12"/>
  <c r="AK145" i="12"/>
  <c r="AK146" i="12"/>
  <c r="AK147" i="12"/>
  <c r="AK148" i="12"/>
  <c r="AK149" i="12"/>
  <c r="AK150" i="12"/>
  <c r="AK151" i="12"/>
  <c r="AK152" i="12"/>
  <c r="AK153" i="12"/>
  <c r="AK154" i="12"/>
  <c r="AK155" i="12"/>
  <c r="AK156" i="12"/>
  <c r="AK157" i="12"/>
  <c r="AK158" i="12"/>
  <c r="AK159" i="12"/>
  <c r="AK160" i="12"/>
  <c r="AK161" i="12"/>
  <c r="AK162" i="12"/>
  <c r="AK163" i="12"/>
  <c r="AK164" i="12"/>
  <c r="AK165" i="12"/>
  <c r="AK166" i="12"/>
  <c r="AK167" i="12"/>
  <c r="AK168" i="12"/>
  <c r="AK169" i="12"/>
  <c r="AK170" i="12"/>
  <c r="AK171" i="12"/>
  <c r="AK172" i="12"/>
  <c r="AK173" i="12"/>
  <c r="AK174" i="12"/>
  <c r="AK175" i="12"/>
  <c r="AK176" i="12"/>
  <c r="AK177" i="12"/>
  <c r="AK178" i="12"/>
  <c r="AK179" i="12"/>
  <c r="AK180" i="12"/>
  <c r="AK181" i="12"/>
  <c r="AK182" i="12"/>
  <c r="AK183" i="12"/>
  <c r="AK184" i="12"/>
  <c r="AK185" i="12"/>
  <c r="AK186" i="12"/>
  <c r="AK3" i="12"/>
  <c r="AJ4" i="12"/>
  <c r="AJ5" i="12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20" i="12"/>
  <c r="AJ21" i="12"/>
  <c r="AJ22" i="12"/>
  <c r="AJ23" i="12"/>
  <c r="AJ24" i="12"/>
  <c r="AJ25" i="12"/>
  <c r="AJ26" i="12"/>
  <c r="AJ27" i="12"/>
  <c r="AJ28" i="12"/>
  <c r="AJ29" i="12"/>
  <c r="AJ30" i="12"/>
  <c r="AJ31" i="12"/>
  <c r="AJ32" i="12"/>
  <c r="AJ33" i="12"/>
  <c r="AJ34" i="12"/>
  <c r="AJ35" i="12"/>
  <c r="AJ36" i="12"/>
  <c r="AJ37" i="12"/>
  <c r="AJ38" i="12"/>
  <c r="AJ39" i="12"/>
  <c r="AJ40" i="12"/>
  <c r="AJ41" i="12"/>
  <c r="AJ42" i="12"/>
  <c r="AJ43" i="12"/>
  <c r="AJ44" i="12"/>
  <c r="AJ45" i="12"/>
  <c r="AJ46" i="12"/>
  <c r="AJ47" i="12"/>
  <c r="AJ48" i="12"/>
  <c r="AJ49" i="12"/>
  <c r="AJ50" i="12"/>
  <c r="AJ51" i="12"/>
  <c r="AJ52" i="12"/>
  <c r="AJ53" i="12"/>
  <c r="AJ54" i="12"/>
  <c r="AJ55" i="12"/>
  <c r="AJ56" i="12"/>
  <c r="AJ57" i="12"/>
  <c r="AJ58" i="12"/>
  <c r="AJ59" i="12"/>
  <c r="AJ60" i="12"/>
  <c r="AJ61" i="12"/>
  <c r="AJ62" i="12"/>
  <c r="AJ63" i="12"/>
  <c r="AJ64" i="12"/>
  <c r="AJ65" i="12"/>
  <c r="AJ66" i="12"/>
  <c r="AJ67" i="12"/>
  <c r="AJ68" i="12"/>
  <c r="AJ69" i="12"/>
  <c r="AJ70" i="12"/>
  <c r="AJ71" i="12"/>
  <c r="AJ72" i="12"/>
  <c r="AJ73" i="12"/>
  <c r="AJ74" i="12"/>
  <c r="AJ75" i="12"/>
  <c r="AJ76" i="12"/>
  <c r="AJ77" i="12"/>
  <c r="AJ78" i="12"/>
  <c r="AJ79" i="12"/>
  <c r="AJ80" i="12"/>
  <c r="AJ81" i="12"/>
  <c r="AJ82" i="12"/>
  <c r="AJ83" i="12"/>
  <c r="AJ84" i="12"/>
  <c r="AJ85" i="12"/>
  <c r="AJ86" i="12"/>
  <c r="AJ87" i="12"/>
  <c r="AJ88" i="12"/>
  <c r="AJ89" i="12"/>
  <c r="AJ90" i="12"/>
  <c r="AJ91" i="12"/>
  <c r="AJ92" i="12"/>
  <c r="AJ93" i="12"/>
  <c r="AJ94" i="12"/>
  <c r="AJ95" i="12"/>
  <c r="AJ96" i="12"/>
  <c r="AJ97" i="12"/>
  <c r="AJ98" i="12"/>
  <c r="AJ99" i="12"/>
  <c r="AJ100" i="12"/>
  <c r="AJ101" i="12"/>
  <c r="AJ102" i="12"/>
  <c r="AJ103" i="12"/>
  <c r="AJ104" i="12"/>
  <c r="AJ105" i="12"/>
  <c r="AJ106" i="12"/>
  <c r="AJ107" i="12"/>
  <c r="AJ108" i="12"/>
  <c r="AJ109" i="12"/>
  <c r="AJ110" i="12"/>
  <c r="AJ111" i="12"/>
  <c r="AJ112" i="12"/>
  <c r="AJ113" i="12"/>
  <c r="AJ114" i="12"/>
  <c r="AJ115" i="12"/>
  <c r="AJ116" i="12"/>
  <c r="AJ117" i="12"/>
  <c r="AJ118" i="12"/>
  <c r="AJ119" i="12"/>
  <c r="AJ120" i="12"/>
  <c r="AJ121" i="12"/>
  <c r="AJ122" i="12"/>
  <c r="AJ123" i="12"/>
  <c r="AJ124" i="12"/>
  <c r="AJ125" i="12"/>
  <c r="AJ126" i="12"/>
  <c r="AJ127" i="12"/>
  <c r="AJ128" i="12"/>
  <c r="AJ129" i="12"/>
  <c r="AJ130" i="12"/>
  <c r="AJ131" i="12"/>
  <c r="AJ132" i="12"/>
  <c r="AJ133" i="12"/>
  <c r="AJ134" i="12"/>
  <c r="AJ135" i="12"/>
  <c r="AJ136" i="12"/>
  <c r="AJ137" i="12"/>
  <c r="AJ138" i="12"/>
  <c r="AJ139" i="12"/>
  <c r="AJ140" i="12"/>
  <c r="AJ141" i="12"/>
  <c r="AJ142" i="12"/>
  <c r="AJ143" i="12"/>
  <c r="AJ144" i="12"/>
  <c r="AJ145" i="12"/>
  <c r="AJ146" i="12"/>
  <c r="AJ147" i="12"/>
  <c r="AJ148" i="12"/>
  <c r="AJ149" i="12"/>
  <c r="AJ150" i="12"/>
  <c r="AJ151" i="12"/>
  <c r="AJ152" i="12"/>
  <c r="AJ153" i="12"/>
  <c r="AJ154" i="12"/>
  <c r="AJ155" i="12"/>
  <c r="AJ156" i="12"/>
  <c r="AJ157" i="12"/>
  <c r="AJ158" i="12"/>
  <c r="AJ159" i="12"/>
  <c r="AJ160" i="12"/>
  <c r="AJ161" i="12"/>
  <c r="AJ162" i="12"/>
  <c r="AJ163" i="12"/>
  <c r="AJ164" i="12"/>
  <c r="AJ165" i="12"/>
  <c r="AJ166" i="12"/>
  <c r="AJ167" i="12"/>
  <c r="AJ168" i="12"/>
  <c r="AJ169" i="12"/>
  <c r="AJ170" i="12"/>
  <c r="AJ171" i="12"/>
  <c r="AJ172" i="12"/>
  <c r="AJ173" i="12"/>
  <c r="AJ174" i="12"/>
  <c r="AJ175" i="12"/>
  <c r="AJ176" i="12"/>
  <c r="AJ177" i="12"/>
  <c r="AJ178" i="12"/>
  <c r="AJ179" i="12"/>
  <c r="AJ180" i="12"/>
  <c r="AJ181" i="12"/>
  <c r="AJ182" i="12"/>
  <c r="AJ183" i="12"/>
  <c r="AJ184" i="12"/>
  <c r="AJ185" i="12"/>
  <c r="AJ186" i="12"/>
  <c r="AJ3" i="12"/>
  <c r="A1" i="12"/>
  <c r="Y3" i="4"/>
  <c r="Y2" i="4"/>
  <c r="R635" i="3"/>
  <c r="X76" i="11"/>
  <c r="Y76" i="11"/>
  <c r="Z76" i="11"/>
  <c r="Q657" i="3"/>
  <c r="AF127" i="12" l="1"/>
  <c r="AF128" i="12"/>
  <c r="AQ125" i="12"/>
  <c r="AF126" i="12"/>
  <c r="AF124" i="12"/>
  <c r="AF125" i="12"/>
  <c r="AF120" i="12"/>
  <c r="AF122" i="12"/>
  <c r="AF121" i="12"/>
  <c r="AF123" i="12"/>
  <c r="AF104" i="12"/>
  <c r="AF118" i="12"/>
  <c r="AF105" i="12"/>
  <c r="AF119" i="12"/>
  <c r="AF106" i="12"/>
  <c r="AF109" i="12"/>
  <c r="AF112" i="12"/>
  <c r="AF113" i="12"/>
  <c r="AF114" i="12"/>
  <c r="AF101" i="12"/>
  <c r="AF102" i="12"/>
  <c r="AF100" i="12"/>
  <c r="AF107" i="12"/>
  <c r="AF108" i="12"/>
  <c r="AF110" i="12"/>
  <c r="AF111" i="12"/>
  <c r="AF115" i="12"/>
  <c r="AF116" i="12"/>
  <c r="AF103" i="12"/>
  <c r="AF117" i="12"/>
  <c r="AF98" i="12"/>
  <c r="AF99" i="12"/>
  <c r="AF95" i="12"/>
  <c r="AF96" i="12"/>
  <c r="AF97" i="12"/>
  <c r="AF94" i="12"/>
  <c r="AF93" i="12"/>
  <c r="AF91" i="12"/>
  <c r="AF92" i="12"/>
  <c r="AF88" i="12"/>
  <c r="AF82" i="12"/>
  <c r="AF89" i="12"/>
  <c r="AF85" i="12"/>
  <c r="AF81" i="12"/>
  <c r="AF83" i="12"/>
  <c r="AF86" i="12"/>
  <c r="AF90" i="12"/>
  <c r="AF84" i="12"/>
  <c r="AF87" i="12"/>
  <c r="AF61" i="12"/>
  <c r="AF75" i="12"/>
  <c r="AF63" i="12"/>
  <c r="AF77" i="12"/>
  <c r="AF78" i="12"/>
  <c r="AF65" i="12"/>
  <c r="AF62" i="12"/>
  <c r="AF76" i="12"/>
  <c r="AF64" i="12"/>
  <c r="AF79" i="12"/>
  <c r="AF74" i="12"/>
  <c r="AF66" i="12"/>
  <c r="AF80" i="12"/>
  <c r="AF67" i="12"/>
  <c r="AF69" i="12"/>
  <c r="AF70" i="12"/>
  <c r="AF71" i="12"/>
  <c r="AF72" i="12"/>
  <c r="AF73" i="12"/>
  <c r="AF68" i="12"/>
  <c r="AF58" i="12"/>
  <c r="AF52" i="12"/>
  <c r="AF59" i="12"/>
  <c r="AF46" i="12"/>
  <c r="AF60" i="12"/>
  <c r="AF48" i="12"/>
  <c r="AF56" i="12"/>
  <c r="AF47" i="12"/>
  <c r="AF53" i="12"/>
  <c r="AF49" i="12"/>
  <c r="AF57" i="12"/>
  <c r="AF50" i="12"/>
  <c r="AF54" i="12"/>
  <c r="AF51" i="12"/>
  <c r="AF55" i="12"/>
  <c r="AQ145" i="12"/>
  <c r="AF32" i="12"/>
  <c r="AF33" i="12"/>
  <c r="AF34" i="12"/>
  <c r="AF45" i="12"/>
  <c r="AF35" i="12"/>
  <c r="AF37" i="12"/>
  <c r="AF38" i="12"/>
  <c r="AF36" i="12"/>
  <c r="AF39" i="12"/>
  <c r="AF44" i="12"/>
  <c r="AF40" i="12"/>
  <c r="AF43" i="12"/>
  <c r="AF30" i="12"/>
  <c r="AF41" i="12"/>
  <c r="AF29" i="12"/>
  <c r="AF31" i="12"/>
  <c r="AF28" i="12"/>
  <c r="AF42" i="12"/>
  <c r="AF21" i="12"/>
  <c r="AF22" i="12"/>
  <c r="AF23" i="12"/>
  <c r="AF24" i="12"/>
  <c r="AF25" i="12"/>
  <c r="AF27" i="12"/>
  <c r="AF26" i="12"/>
  <c r="AU45" i="12"/>
  <c r="P657" i="3" a="1"/>
  <c r="P657" i="3" s="1"/>
  <c r="AF20" i="12"/>
  <c r="AF10" i="12"/>
  <c r="AF11" i="12"/>
  <c r="AF12" i="12"/>
  <c r="AF14" i="12"/>
  <c r="AF15" i="12"/>
  <c r="AF19" i="12"/>
  <c r="AF17" i="12"/>
  <c r="AF16" i="12"/>
  <c r="AF13" i="12"/>
  <c r="AF18" i="12"/>
  <c r="AU57" i="12"/>
  <c r="AM168" i="12"/>
  <c r="AM84" i="12"/>
  <c r="AF9" i="12"/>
  <c r="AU83" i="12"/>
  <c r="AM108" i="12"/>
  <c r="AM24" i="12"/>
  <c r="AU122" i="12"/>
  <c r="AC3" i="12"/>
  <c r="AV3" i="12"/>
  <c r="AV4" i="12"/>
  <c r="AV5" i="12"/>
  <c r="C90" i="1"/>
  <c r="C89" i="1"/>
  <c r="C91" i="1"/>
  <c r="C87" i="1"/>
  <c r="C88" i="1"/>
  <c r="C85" i="1"/>
  <c r="AV6" i="12"/>
  <c r="AU30" i="12"/>
  <c r="AU164" i="12"/>
  <c r="AU128" i="12"/>
  <c r="AU84" i="12"/>
  <c r="AQ155" i="12"/>
  <c r="AQ151" i="12"/>
  <c r="AQ79" i="12"/>
  <c r="AQ11" i="12"/>
  <c r="AA180" i="12"/>
  <c r="AB180" i="12"/>
  <c r="Y180" i="12"/>
  <c r="AC180" i="12"/>
  <c r="Z180" i="12"/>
  <c r="AA168" i="12"/>
  <c r="AB168" i="12"/>
  <c r="Z168" i="12"/>
  <c r="AC168" i="12"/>
  <c r="Y168" i="12"/>
  <c r="AA156" i="12"/>
  <c r="AB156" i="12"/>
  <c r="Y156" i="12"/>
  <c r="AC156" i="12"/>
  <c r="Z156" i="12"/>
  <c r="AA144" i="12"/>
  <c r="AB144" i="12"/>
  <c r="Z144" i="12"/>
  <c r="AC144" i="12"/>
  <c r="Y144" i="12"/>
  <c r="AA132" i="12"/>
  <c r="AB132" i="12"/>
  <c r="Y132" i="12"/>
  <c r="AC132" i="12"/>
  <c r="Z132" i="12"/>
  <c r="AA120" i="12"/>
  <c r="AB120" i="12"/>
  <c r="Z120" i="12"/>
  <c r="AC120" i="12"/>
  <c r="Y120" i="12"/>
  <c r="AA108" i="12"/>
  <c r="AB108" i="12"/>
  <c r="Y108" i="12"/>
  <c r="AC108" i="12"/>
  <c r="Z108" i="12"/>
  <c r="AA96" i="12"/>
  <c r="AB96" i="12"/>
  <c r="Z96" i="12"/>
  <c r="AC96" i="12"/>
  <c r="Y96" i="12"/>
  <c r="AA84" i="12"/>
  <c r="AB84" i="12"/>
  <c r="Y84" i="12"/>
  <c r="AC84" i="12"/>
  <c r="Z84" i="12"/>
  <c r="AA72" i="12"/>
  <c r="AB72" i="12"/>
  <c r="AC72" i="12"/>
  <c r="Z72" i="12"/>
  <c r="Y72" i="12"/>
  <c r="AA60" i="12"/>
  <c r="AB60" i="12"/>
  <c r="Y60" i="12"/>
  <c r="Z60" i="12"/>
  <c r="AC60" i="12"/>
  <c r="AA48" i="12"/>
  <c r="AB48" i="12"/>
  <c r="AC48" i="12"/>
  <c r="Z48" i="12"/>
  <c r="Y48" i="12"/>
  <c r="AA36" i="12"/>
  <c r="AB36" i="12"/>
  <c r="Y36" i="12"/>
  <c r="AC36" i="12"/>
  <c r="Z36" i="12"/>
  <c r="AA24" i="12"/>
  <c r="AB24" i="12"/>
  <c r="Z24" i="12"/>
  <c r="Y24" i="12"/>
  <c r="AC24" i="12"/>
  <c r="AA179" i="12"/>
  <c r="Y179" i="12"/>
  <c r="AC179" i="12"/>
  <c r="AB179" i="12"/>
  <c r="Z179" i="12"/>
  <c r="AA167" i="12"/>
  <c r="Y167" i="12"/>
  <c r="AB167" i="12"/>
  <c r="Z167" i="12"/>
  <c r="AC167" i="12"/>
  <c r="AA155" i="12"/>
  <c r="Y155" i="12"/>
  <c r="AC155" i="12"/>
  <c r="Z155" i="12"/>
  <c r="AB155" i="12"/>
  <c r="AA143" i="12"/>
  <c r="Y143" i="12"/>
  <c r="AB143" i="12"/>
  <c r="Z143" i="12"/>
  <c r="AC143" i="12"/>
  <c r="AA131" i="12"/>
  <c r="Y131" i="12"/>
  <c r="AC131" i="12"/>
  <c r="Z131" i="12"/>
  <c r="AB131" i="12"/>
  <c r="AA119" i="12"/>
  <c r="Y119" i="12"/>
  <c r="AC119" i="12"/>
  <c r="AB119" i="12"/>
  <c r="Z119" i="12"/>
  <c r="AA107" i="12"/>
  <c r="Y107" i="12"/>
  <c r="AC107" i="12"/>
  <c r="Z107" i="12"/>
  <c r="AB107" i="12"/>
  <c r="AA95" i="12"/>
  <c r="Y95" i="12"/>
  <c r="AC95" i="12"/>
  <c r="AB95" i="12"/>
  <c r="Z95" i="12"/>
  <c r="AA83" i="12"/>
  <c r="Y83" i="12"/>
  <c r="AB83" i="12"/>
  <c r="AC83" i="12"/>
  <c r="Z83" i="12"/>
  <c r="AA71" i="12"/>
  <c r="Y71" i="12"/>
  <c r="AC71" i="12"/>
  <c r="AB71" i="12"/>
  <c r="Z71" i="12"/>
  <c r="AA59" i="12"/>
  <c r="Y59" i="12"/>
  <c r="AB59" i="12"/>
  <c r="AC59" i="12"/>
  <c r="Z59" i="12"/>
  <c r="AA47" i="12"/>
  <c r="Y47" i="12"/>
  <c r="AC47" i="12"/>
  <c r="Z47" i="12"/>
  <c r="AB47" i="12"/>
  <c r="AA35" i="12"/>
  <c r="Y35" i="12"/>
  <c r="AB35" i="12"/>
  <c r="AC35" i="12"/>
  <c r="Z35" i="12"/>
  <c r="AA23" i="12"/>
  <c r="Y23" i="12"/>
  <c r="AC23" i="12"/>
  <c r="Z23" i="12"/>
  <c r="AB23" i="12"/>
  <c r="AB178" i="12"/>
  <c r="AC178" i="12"/>
  <c r="Z178" i="12"/>
  <c r="Y178" i="12"/>
  <c r="AA178" i="12"/>
  <c r="AB166" i="12"/>
  <c r="AC166" i="12"/>
  <c r="Z166" i="12"/>
  <c r="AA166" i="12"/>
  <c r="Y166" i="12"/>
  <c r="AB154" i="12"/>
  <c r="AC154" i="12"/>
  <c r="Z154" i="12"/>
  <c r="Y154" i="12"/>
  <c r="AA154" i="12"/>
  <c r="AB142" i="12"/>
  <c r="AC142" i="12"/>
  <c r="Z142" i="12"/>
  <c r="AA142" i="12"/>
  <c r="Y142" i="12"/>
  <c r="AB130" i="12"/>
  <c r="AC130" i="12"/>
  <c r="Z130" i="12"/>
  <c r="Y130" i="12"/>
  <c r="AA130" i="12"/>
  <c r="AB118" i="12"/>
  <c r="AC118" i="12"/>
  <c r="Z118" i="12"/>
  <c r="AA118" i="12"/>
  <c r="Y118" i="12"/>
  <c r="AB106" i="12"/>
  <c r="AC106" i="12"/>
  <c r="Z106" i="12"/>
  <c r="Y106" i="12"/>
  <c r="AA106" i="12"/>
  <c r="AB94" i="12"/>
  <c r="AC94" i="12"/>
  <c r="Z94" i="12"/>
  <c r="AA94" i="12"/>
  <c r="Y94" i="12"/>
  <c r="AB82" i="12"/>
  <c r="AC82" i="12"/>
  <c r="Z82" i="12"/>
  <c r="Y82" i="12"/>
  <c r="AA82" i="12"/>
  <c r="AB70" i="12"/>
  <c r="AC70" i="12"/>
  <c r="Z70" i="12"/>
  <c r="AA70" i="12"/>
  <c r="Y70" i="12"/>
  <c r="AB58" i="12"/>
  <c r="AC58" i="12"/>
  <c r="Z58" i="12"/>
  <c r="Y58" i="12"/>
  <c r="AA58" i="12"/>
  <c r="AB46" i="12"/>
  <c r="AC46" i="12"/>
  <c r="Z46" i="12"/>
  <c r="AA46" i="12"/>
  <c r="Y46" i="12"/>
  <c r="AB34" i="12"/>
  <c r="AC34" i="12"/>
  <c r="Z34" i="12"/>
  <c r="Y34" i="12"/>
  <c r="AA34" i="12"/>
  <c r="AB22" i="12"/>
  <c r="AC22" i="12"/>
  <c r="Z22" i="12"/>
  <c r="AA22" i="12"/>
  <c r="Y22" i="12"/>
  <c r="AB177" i="12"/>
  <c r="Y177" i="12"/>
  <c r="AC177" i="12"/>
  <c r="AA177" i="12"/>
  <c r="Z177" i="12"/>
  <c r="AB165" i="12"/>
  <c r="Y165" i="12"/>
  <c r="Z165" i="12"/>
  <c r="AA165" i="12"/>
  <c r="AC165" i="12"/>
  <c r="AB153" i="12"/>
  <c r="Y153" i="12"/>
  <c r="AC153" i="12"/>
  <c r="AA153" i="12"/>
  <c r="Z153" i="12"/>
  <c r="AB141" i="12"/>
  <c r="Y141" i="12"/>
  <c r="Z141" i="12"/>
  <c r="AA141" i="12"/>
  <c r="AC141" i="12"/>
  <c r="AB129" i="12"/>
  <c r="Y129" i="12"/>
  <c r="AC129" i="12"/>
  <c r="AA129" i="12"/>
  <c r="Z129" i="12"/>
  <c r="AB117" i="12"/>
  <c r="Y117" i="12"/>
  <c r="Z117" i="12"/>
  <c r="AA117" i="12"/>
  <c r="AC117" i="12"/>
  <c r="AB105" i="12"/>
  <c r="Y105" i="12"/>
  <c r="AC105" i="12"/>
  <c r="AA105" i="12"/>
  <c r="Z105" i="12"/>
  <c r="AB93" i="12"/>
  <c r="Y93" i="12"/>
  <c r="AC93" i="12"/>
  <c r="Z93" i="12"/>
  <c r="AA93" i="12"/>
  <c r="AB81" i="12"/>
  <c r="Y81" i="12"/>
  <c r="AC81" i="12"/>
  <c r="AA81" i="12"/>
  <c r="Z81" i="12"/>
  <c r="AB69" i="12"/>
  <c r="Y69" i="12"/>
  <c r="AC69" i="12"/>
  <c r="Z69" i="12"/>
  <c r="AA69" i="12"/>
  <c r="AB57" i="12"/>
  <c r="Y57" i="12"/>
  <c r="AC57" i="12"/>
  <c r="AA57" i="12"/>
  <c r="Z57" i="12"/>
  <c r="AB45" i="12"/>
  <c r="Y45" i="12"/>
  <c r="AC45" i="12"/>
  <c r="Z45" i="12"/>
  <c r="AA45" i="12"/>
  <c r="AB33" i="12"/>
  <c r="Y33" i="12"/>
  <c r="AC33" i="12"/>
  <c r="AA33" i="12"/>
  <c r="Z33" i="12"/>
  <c r="AB21" i="12"/>
  <c r="Y21" i="12"/>
  <c r="AC21" i="12"/>
  <c r="Z21" i="12"/>
  <c r="AA21" i="12"/>
  <c r="AB9" i="12"/>
  <c r="Y9" i="12"/>
  <c r="AC9" i="12"/>
  <c r="AA9" i="12"/>
  <c r="Z9" i="12"/>
  <c r="AC176" i="12"/>
  <c r="Z176" i="12"/>
  <c r="AB176" i="12"/>
  <c r="Y176" i="12"/>
  <c r="AA176" i="12"/>
  <c r="AC164" i="12"/>
  <c r="Z164" i="12"/>
  <c r="Y164" i="12"/>
  <c r="AB164" i="12"/>
  <c r="AA164" i="12"/>
  <c r="AC152" i="12"/>
  <c r="Z152" i="12"/>
  <c r="Y152" i="12"/>
  <c r="AA152" i="12"/>
  <c r="AB152" i="12"/>
  <c r="AC140" i="12"/>
  <c r="Z140" i="12"/>
  <c r="AB140" i="12"/>
  <c r="Y140" i="12"/>
  <c r="AA140" i="12"/>
  <c r="AC128" i="12"/>
  <c r="Z128" i="12"/>
  <c r="Y128" i="12"/>
  <c r="AB128" i="12"/>
  <c r="AA128" i="12"/>
  <c r="AC116" i="12"/>
  <c r="Z116" i="12"/>
  <c r="Y116" i="12"/>
  <c r="AB116" i="12"/>
  <c r="AA116" i="12"/>
  <c r="AC104" i="12"/>
  <c r="Z104" i="12"/>
  <c r="AB104" i="12"/>
  <c r="Y104" i="12"/>
  <c r="AA104" i="12"/>
  <c r="AC92" i="12"/>
  <c r="Z92" i="12"/>
  <c r="Y92" i="12"/>
  <c r="AA92" i="12"/>
  <c r="AB92" i="12"/>
  <c r="AC80" i="12"/>
  <c r="Z80" i="12"/>
  <c r="AB80" i="12"/>
  <c r="Y80" i="12"/>
  <c r="AA80" i="12"/>
  <c r="AC68" i="12"/>
  <c r="Z68" i="12"/>
  <c r="Y68" i="12"/>
  <c r="AA68" i="12"/>
  <c r="AB68" i="12"/>
  <c r="AC56" i="12"/>
  <c r="Z56" i="12"/>
  <c r="Y56" i="12"/>
  <c r="AA56" i="12"/>
  <c r="AB56" i="12"/>
  <c r="AB44" i="12"/>
  <c r="AC44" i="12"/>
  <c r="Z44" i="12"/>
  <c r="Y44" i="12"/>
  <c r="AA44" i="12"/>
  <c r="AB32" i="12"/>
  <c r="AC32" i="12"/>
  <c r="Z32" i="12"/>
  <c r="Y32" i="12"/>
  <c r="AA32" i="12"/>
  <c r="AB8" i="12"/>
  <c r="Z8" i="12"/>
  <c r="AC8" i="12"/>
  <c r="Y8" i="12"/>
  <c r="AA8" i="12"/>
  <c r="Y6" i="12"/>
  <c r="Z6" i="12"/>
  <c r="AC6" i="12"/>
  <c r="AA6" i="12"/>
  <c r="AB6" i="12"/>
  <c r="Y5" i="12"/>
  <c r="AA5" i="12"/>
  <c r="Z5" i="12"/>
  <c r="AC5" i="12"/>
  <c r="AB5" i="12"/>
  <c r="Z4" i="12"/>
  <c r="AC4" i="12"/>
  <c r="AB4" i="12"/>
  <c r="AA4" i="12"/>
  <c r="Y4" i="12"/>
  <c r="Y175" i="12"/>
  <c r="AA175" i="12"/>
  <c r="AC175" i="12"/>
  <c r="AB175" i="12"/>
  <c r="Z175" i="12"/>
  <c r="Y163" i="12"/>
  <c r="AA163" i="12"/>
  <c r="Z163" i="12"/>
  <c r="AB163" i="12"/>
  <c r="AC163" i="12"/>
  <c r="Y151" i="12"/>
  <c r="AA151" i="12"/>
  <c r="AC151" i="12"/>
  <c r="Z151" i="12"/>
  <c r="AB151" i="12"/>
  <c r="Y139" i="12"/>
  <c r="AA139" i="12"/>
  <c r="Z139" i="12"/>
  <c r="AC139" i="12"/>
  <c r="AB139" i="12"/>
  <c r="Y127" i="12"/>
  <c r="AA127" i="12"/>
  <c r="AC127" i="12"/>
  <c r="AB127" i="12"/>
  <c r="Z127" i="12"/>
  <c r="Y115" i="12"/>
  <c r="AD115" i="12" s="1"/>
  <c r="AA115" i="12"/>
  <c r="Z115" i="12"/>
  <c r="AB115" i="12"/>
  <c r="AC115" i="12"/>
  <c r="Y103" i="12"/>
  <c r="AA103" i="12"/>
  <c r="AC103" i="12"/>
  <c r="Z103" i="12"/>
  <c r="AB103" i="12"/>
  <c r="Y91" i="12"/>
  <c r="AA91" i="12"/>
  <c r="Z91" i="12"/>
  <c r="AC91" i="12"/>
  <c r="AB91" i="12"/>
  <c r="Y79" i="12"/>
  <c r="AA79" i="12"/>
  <c r="AB79" i="12"/>
  <c r="AC79" i="12"/>
  <c r="Z79" i="12"/>
  <c r="Y67" i="12"/>
  <c r="AA67" i="12"/>
  <c r="Z67" i="12"/>
  <c r="AC67" i="12"/>
  <c r="AB67" i="12"/>
  <c r="Y55" i="12"/>
  <c r="AA55" i="12"/>
  <c r="AC55" i="12"/>
  <c r="AB55" i="12"/>
  <c r="Z55" i="12"/>
  <c r="Y43" i="12"/>
  <c r="AA43" i="12"/>
  <c r="AC43" i="12"/>
  <c r="Z43" i="12"/>
  <c r="AB43" i="12"/>
  <c r="Y31" i="12"/>
  <c r="AA31" i="12"/>
  <c r="AB31" i="12"/>
  <c r="AC31" i="12"/>
  <c r="Z31" i="12"/>
  <c r="Y7" i="12"/>
  <c r="AA7" i="12"/>
  <c r="AB7" i="12"/>
  <c r="AC7" i="12"/>
  <c r="Z7" i="12"/>
  <c r="AC183" i="12"/>
  <c r="Z183" i="12"/>
  <c r="AA183" i="12"/>
  <c r="AB183" i="12"/>
  <c r="Y183" i="12"/>
  <c r="AC171" i="12"/>
  <c r="Z171" i="12"/>
  <c r="AA171" i="12"/>
  <c r="Y171" i="12"/>
  <c r="AB171" i="12"/>
  <c r="AC159" i="12"/>
  <c r="Z159" i="12"/>
  <c r="AA159" i="12"/>
  <c r="Y159" i="12"/>
  <c r="AB159" i="12"/>
  <c r="AC147" i="12"/>
  <c r="Z147" i="12"/>
  <c r="AA147" i="12"/>
  <c r="AB147" i="12"/>
  <c r="Y147" i="12"/>
  <c r="AC135" i="12"/>
  <c r="Z135" i="12"/>
  <c r="AA135" i="12"/>
  <c r="Y135" i="12"/>
  <c r="AB135" i="12"/>
  <c r="AC123" i="12"/>
  <c r="Z123" i="12"/>
  <c r="AA123" i="12"/>
  <c r="AB123" i="12"/>
  <c r="Y123" i="12"/>
  <c r="AC111" i="12"/>
  <c r="Z111" i="12"/>
  <c r="AA111" i="12"/>
  <c r="Y111" i="12"/>
  <c r="AB111" i="12"/>
  <c r="AC99" i="12"/>
  <c r="Z99" i="12"/>
  <c r="AA99" i="12"/>
  <c r="Y99" i="12"/>
  <c r="AB99" i="12"/>
  <c r="AC87" i="12"/>
  <c r="Z87" i="12"/>
  <c r="AA87" i="12"/>
  <c r="Y87" i="12"/>
  <c r="AB87" i="12"/>
  <c r="AC75" i="12"/>
  <c r="Z75" i="12"/>
  <c r="AA75" i="12"/>
  <c r="Y75" i="12"/>
  <c r="AB75" i="12"/>
  <c r="AC63" i="12"/>
  <c r="Z63" i="12"/>
  <c r="AA63" i="12"/>
  <c r="Y63" i="12"/>
  <c r="AB63" i="12"/>
  <c r="AC51" i="12"/>
  <c r="Z51" i="12"/>
  <c r="AA51" i="12"/>
  <c r="Y51" i="12"/>
  <c r="AB51" i="12"/>
  <c r="AC39" i="12"/>
  <c r="Z39" i="12"/>
  <c r="AA39" i="12"/>
  <c r="AB39" i="12"/>
  <c r="Y39" i="12"/>
  <c r="AC27" i="12"/>
  <c r="Z27" i="12"/>
  <c r="AA27" i="12"/>
  <c r="Y27" i="12"/>
  <c r="AB27" i="12"/>
  <c r="Y186" i="12"/>
  <c r="AC186" i="12"/>
  <c r="Z186" i="12"/>
  <c r="AB186" i="12"/>
  <c r="AA186" i="12"/>
  <c r="Y174" i="12"/>
  <c r="AC174" i="12"/>
  <c r="Z174" i="12"/>
  <c r="AA174" i="12"/>
  <c r="AB174" i="12"/>
  <c r="Y162" i="12"/>
  <c r="AC162" i="12"/>
  <c r="Z162" i="12"/>
  <c r="AB162" i="12"/>
  <c r="AA162" i="12"/>
  <c r="Y150" i="12"/>
  <c r="AC150" i="12"/>
  <c r="Z150" i="12"/>
  <c r="AA150" i="12"/>
  <c r="AB150" i="12"/>
  <c r="Y138" i="12"/>
  <c r="AC138" i="12"/>
  <c r="Z138" i="12"/>
  <c r="AB138" i="12"/>
  <c r="AA138" i="12"/>
  <c r="Y126" i="12"/>
  <c r="AC126" i="12"/>
  <c r="Z126" i="12"/>
  <c r="AA126" i="12"/>
  <c r="AB126" i="12"/>
  <c r="Y114" i="12"/>
  <c r="AC114" i="12"/>
  <c r="Z114" i="12"/>
  <c r="AB114" i="12"/>
  <c r="AA114" i="12"/>
  <c r="Y102" i="12"/>
  <c r="AC102" i="12"/>
  <c r="Z102" i="12"/>
  <c r="AA102" i="12"/>
  <c r="AB102" i="12"/>
  <c r="Y90" i="12"/>
  <c r="AC90" i="12"/>
  <c r="Z90" i="12"/>
  <c r="AB90" i="12"/>
  <c r="AA90" i="12"/>
  <c r="Y78" i="12"/>
  <c r="AC78" i="12"/>
  <c r="Z78" i="12"/>
  <c r="AA78" i="12"/>
  <c r="AB78" i="12"/>
  <c r="Y66" i="12"/>
  <c r="AC66" i="12"/>
  <c r="Z66" i="12"/>
  <c r="AA66" i="12"/>
  <c r="AB66" i="12"/>
  <c r="Y54" i="12"/>
  <c r="AC54" i="12"/>
  <c r="Z54" i="12"/>
  <c r="AA54" i="12"/>
  <c r="AB54" i="12"/>
  <c r="Y42" i="12"/>
  <c r="AC42" i="12"/>
  <c r="Z42" i="12"/>
  <c r="AB42" i="12"/>
  <c r="AA42" i="12"/>
  <c r="Y30" i="12"/>
  <c r="AC30" i="12"/>
  <c r="Z30" i="12"/>
  <c r="AA30" i="12"/>
  <c r="AB30" i="12"/>
  <c r="Y185" i="12"/>
  <c r="AA185" i="12"/>
  <c r="AB185" i="12"/>
  <c r="AC185" i="12"/>
  <c r="Z185" i="12"/>
  <c r="Y173" i="12"/>
  <c r="AA173" i="12"/>
  <c r="AC173" i="12"/>
  <c r="Z173" i="12"/>
  <c r="AB173" i="12"/>
  <c r="Y161" i="12"/>
  <c r="AA161" i="12"/>
  <c r="AC161" i="12"/>
  <c r="Z161" i="12"/>
  <c r="AB161" i="12"/>
  <c r="Y149" i="12"/>
  <c r="AA149" i="12"/>
  <c r="AC149" i="12"/>
  <c r="AB149" i="12"/>
  <c r="Z149" i="12"/>
  <c r="Y137" i="12"/>
  <c r="AA137" i="12"/>
  <c r="AC137" i="12"/>
  <c r="AB137" i="12"/>
  <c r="Z137" i="12"/>
  <c r="Y125" i="12"/>
  <c r="AA125" i="12"/>
  <c r="AC125" i="12"/>
  <c r="AB125" i="12"/>
  <c r="Z125" i="12"/>
  <c r="Y113" i="12"/>
  <c r="AA113" i="12"/>
  <c r="AC113" i="12"/>
  <c r="Z113" i="12"/>
  <c r="AB113" i="12"/>
  <c r="Y101" i="12"/>
  <c r="AA101" i="12"/>
  <c r="AC101" i="12"/>
  <c r="AB101" i="12"/>
  <c r="Z101" i="12"/>
  <c r="Y89" i="12"/>
  <c r="AA89" i="12"/>
  <c r="Z89" i="12"/>
  <c r="AC89" i="12"/>
  <c r="AB89" i="12"/>
  <c r="Y77" i="12"/>
  <c r="AA77" i="12"/>
  <c r="AC77" i="12"/>
  <c r="AB77" i="12"/>
  <c r="Z77" i="12"/>
  <c r="Y65" i="12"/>
  <c r="AA65" i="12"/>
  <c r="AB65" i="12"/>
  <c r="AC65" i="12"/>
  <c r="Z65" i="12"/>
  <c r="Y53" i="12"/>
  <c r="AA53" i="12"/>
  <c r="AC53" i="12"/>
  <c r="Z53" i="12"/>
  <c r="AB53" i="12"/>
  <c r="Y41" i="12"/>
  <c r="AA41" i="12"/>
  <c r="AC41" i="12"/>
  <c r="Z41" i="12"/>
  <c r="AB41" i="12"/>
  <c r="Y29" i="12"/>
  <c r="AA29" i="12"/>
  <c r="Z29" i="12"/>
  <c r="AC29" i="12"/>
  <c r="AB29" i="12"/>
  <c r="AC184" i="12"/>
  <c r="Z184" i="12"/>
  <c r="AB184" i="12"/>
  <c r="Y184" i="12"/>
  <c r="AA184" i="12"/>
  <c r="AC172" i="12"/>
  <c r="Z172" i="12"/>
  <c r="AB172" i="12"/>
  <c r="AA172" i="12"/>
  <c r="Y172" i="12"/>
  <c r="AC160" i="12"/>
  <c r="Z160" i="12"/>
  <c r="AB160" i="12"/>
  <c r="AA160" i="12"/>
  <c r="Y160" i="12"/>
  <c r="AC148" i="12"/>
  <c r="Z148" i="12"/>
  <c r="AB148" i="12"/>
  <c r="AA148" i="12"/>
  <c r="Y148" i="12"/>
  <c r="AC136" i="12"/>
  <c r="Z136" i="12"/>
  <c r="AB136" i="12"/>
  <c r="AA136" i="12"/>
  <c r="Y136" i="12"/>
  <c r="AC124" i="12"/>
  <c r="Z124" i="12"/>
  <c r="AB124" i="12"/>
  <c r="AA124" i="12"/>
  <c r="Y124" i="12"/>
  <c r="AC112" i="12"/>
  <c r="Z112" i="12"/>
  <c r="AB112" i="12"/>
  <c r="AA112" i="12"/>
  <c r="Y112" i="12"/>
  <c r="AC100" i="12"/>
  <c r="Z100" i="12"/>
  <c r="AB100" i="12"/>
  <c r="AA100" i="12"/>
  <c r="Y100" i="12"/>
  <c r="AC88" i="12"/>
  <c r="Z88" i="12"/>
  <c r="AB88" i="12"/>
  <c r="Y88" i="12"/>
  <c r="AA88" i="12"/>
  <c r="AC76" i="12"/>
  <c r="Z76" i="12"/>
  <c r="AB76" i="12"/>
  <c r="AA76" i="12"/>
  <c r="Y76" i="12"/>
  <c r="AC64" i="12"/>
  <c r="Z64" i="12"/>
  <c r="AB64" i="12"/>
  <c r="Y64" i="12"/>
  <c r="AA64" i="12"/>
  <c r="AC52" i="12"/>
  <c r="Z52" i="12"/>
  <c r="AB52" i="12"/>
  <c r="AA52" i="12"/>
  <c r="Y52" i="12"/>
  <c r="AC40" i="12"/>
  <c r="Z40" i="12"/>
  <c r="AB40" i="12"/>
  <c r="Y40" i="12"/>
  <c r="AA40" i="12"/>
  <c r="AC28" i="12"/>
  <c r="Z28" i="12"/>
  <c r="AB28" i="12"/>
  <c r="AA28" i="12"/>
  <c r="Y28" i="12"/>
  <c r="AC182" i="12"/>
  <c r="Z182" i="12"/>
  <c r="AB182" i="12"/>
  <c r="Y182" i="12"/>
  <c r="AA182" i="12"/>
  <c r="AC170" i="12"/>
  <c r="Z170" i="12"/>
  <c r="AB170" i="12"/>
  <c r="Y170" i="12"/>
  <c r="AA170" i="12"/>
  <c r="AC158" i="12"/>
  <c r="Z158" i="12"/>
  <c r="AB158" i="12"/>
  <c r="Y158" i="12"/>
  <c r="AA158" i="12"/>
  <c r="AC146" i="12"/>
  <c r="Z146" i="12"/>
  <c r="AB146" i="12"/>
  <c r="Y146" i="12"/>
  <c r="AA146" i="12"/>
  <c r="AC134" i="12"/>
  <c r="Z134" i="12"/>
  <c r="AB134" i="12"/>
  <c r="Y134" i="12"/>
  <c r="AA134" i="12"/>
  <c r="AC122" i="12"/>
  <c r="Z122" i="12"/>
  <c r="AB122" i="12"/>
  <c r="Y122" i="12"/>
  <c r="AA122" i="12"/>
  <c r="AC110" i="12"/>
  <c r="Z110" i="12"/>
  <c r="AB110" i="12"/>
  <c r="AA110" i="12"/>
  <c r="Y110" i="12"/>
  <c r="AC98" i="12"/>
  <c r="Z98" i="12"/>
  <c r="AB98" i="12"/>
  <c r="AA98" i="12"/>
  <c r="Y98" i="12"/>
  <c r="AC86" i="12"/>
  <c r="Z86" i="12"/>
  <c r="AB86" i="12"/>
  <c r="Y86" i="12"/>
  <c r="AA86" i="12"/>
  <c r="AC74" i="12"/>
  <c r="Z74" i="12"/>
  <c r="AB74" i="12"/>
  <c r="Y74" i="12"/>
  <c r="AA74" i="12"/>
  <c r="AC62" i="12"/>
  <c r="Z62" i="12"/>
  <c r="AB62" i="12"/>
  <c r="Y62" i="12"/>
  <c r="AA62" i="12"/>
  <c r="AC50" i="12"/>
  <c r="Z50" i="12"/>
  <c r="AB50" i="12"/>
  <c r="AA50" i="12"/>
  <c r="Y50" i="12"/>
  <c r="AC38" i="12"/>
  <c r="Z38" i="12"/>
  <c r="AB38" i="12"/>
  <c r="AA38" i="12"/>
  <c r="Y38" i="12"/>
  <c r="AC26" i="12"/>
  <c r="Z26" i="12"/>
  <c r="AB26" i="12"/>
  <c r="AA26" i="12"/>
  <c r="Y26" i="12"/>
  <c r="AA181" i="12"/>
  <c r="Y181" i="12"/>
  <c r="Z181" i="12"/>
  <c r="AB181" i="12"/>
  <c r="AC181" i="12"/>
  <c r="AA169" i="12"/>
  <c r="Y169" i="12"/>
  <c r="AC169" i="12"/>
  <c r="Z169" i="12"/>
  <c r="AB169" i="12"/>
  <c r="AA157" i="12"/>
  <c r="Y157" i="12"/>
  <c r="AB157" i="12"/>
  <c r="Z157" i="12"/>
  <c r="AC157" i="12"/>
  <c r="AA145" i="12"/>
  <c r="Y145" i="12"/>
  <c r="AC145" i="12"/>
  <c r="AB145" i="12"/>
  <c r="Z145" i="12"/>
  <c r="AA133" i="12"/>
  <c r="Y133" i="12"/>
  <c r="Z133" i="12"/>
  <c r="AC133" i="12"/>
  <c r="AB133" i="12"/>
  <c r="AA121" i="12"/>
  <c r="Y121" i="12"/>
  <c r="AB121" i="12"/>
  <c r="AC121" i="12"/>
  <c r="Z121" i="12"/>
  <c r="AA109" i="12"/>
  <c r="Y109" i="12"/>
  <c r="Z109" i="12"/>
  <c r="AB109" i="12"/>
  <c r="AC109" i="12"/>
  <c r="AA97" i="12"/>
  <c r="Y97" i="12"/>
  <c r="AB97" i="12"/>
  <c r="AC97" i="12"/>
  <c r="Z97" i="12"/>
  <c r="AA85" i="12"/>
  <c r="Y85" i="12"/>
  <c r="AB85" i="12"/>
  <c r="Z85" i="12"/>
  <c r="AC85" i="12"/>
  <c r="AA73" i="12"/>
  <c r="Y73" i="12"/>
  <c r="AC73" i="12"/>
  <c r="AB73" i="12"/>
  <c r="Z73" i="12"/>
  <c r="AA61" i="12"/>
  <c r="Y61" i="12"/>
  <c r="AB61" i="12"/>
  <c r="Z61" i="12"/>
  <c r="AC61" i="12"/>
  <c r="AA49" i="12"/>
  <c r="Y49" i="12"/>
  <c r="AC49" i="12"/>
  <c r="Z49" i="12"/>
  <c r="AB49" i="12"/>
  <c r="AA37" i="12"/>
  <c r="Y37" i="12"/>
  <c r="AB37" i="12"/>
  <c r="AC37" i="12"/>
  <c r="Z37" i="12"/>
  <c r="AA25" i="12"/>
  <c r="Y25" i="12"/>
  <c r="AC25" i="12"/>
  <c r="Z25" i="12"/>
  <c r="AB25" i="12"/>
  <c r="AF6" i="12"/>
  <c r="AF3" i="12"/>
  <c r="AF7" i="12"/>
  <c r="AF4" i="12"/>
  <c r="AF8" i="12"/>
  <c r="AF5" i="12"/>
  <c r="AU82" i="12"/>
  <c r="AQ73" i="12"/>
  <c r="AQ37" i="12"/>
  <c r="AQ17" i="12"/>
  <c r="AU153" i="12"/>
  <c r="AU125" i="12"/>
  <c r="AU113" i="12"/>
  <c r="AU11" i="12"/>
  <c r="AU110" i="12"/>
  <c r="AU102" i="12"/>
  <c r="AU86" i="12"/>
  <c r="AQ53" i="12"/>
  <c r="AU14" i="12"/>
  <c r="AQ148" i="12"/>
  <c r="AQ112" i="12"/>
  <c r="AQ104" i="12"/>
  <c r="AQ100" i="12"/>
  <c r="AQ92" i="12"/>
  <c r="AQ80" i="12"/>
  <c r="AQ76" i="12"/>
  <c r="AQ64" i="12"/>
  <c r="AQ56" i="12"/>
  <c r="AQ178" i="12"/>
  <c r="AU35" i="12"/>
  <c r="AQ107" i="12"/>
  <c r="AQ103" i="12"/>
  <c r="AU135" i="12"/>
  <c r="AU99" i="12"/>
  <c r="AQ77" i="12"/>
  <c r="AQ49" i="12"/>
  <c r="AU7" i="12"/>
  <c r="AU120" i="12"/>
  <c r="AU171" i="12"/>
  <c r="AQ106" i="12"/>
  <c r="AU33" i="12"/>
  <c r="AQ184" i="12"/>
  <c r="AU123" i="12"/>
  <c r="AU68" i="12"/>
  <c r="AU117" i="12"/>
  <c r="AU167" i="12"/>
  <c r="AU9" i="12"/>
  <c r="AM7" i="12"/>
  <c r="AU56" i="12"/>
  <c r="AU12" i="12"/>
  <c r="AQ94" i="12"/>
  <c r="AU155" i="12"/>
  <c r="AQ70" i="12"/>
  <c r="AQ175" i="12"/>
  <c r="AU177" i="12"/>
  <c r="AU71" i="12"/>
  <c r="AU47" i="12"/>
  <c r="AQ44" i="12"/>
  <c r="AQ158" i="12"/>
  <c r="AQ147" i="12"/>
  <c r="AQ119" i="12"/>
  <c r="AQ91" i="12"/>
  <c r="AQ83" i="12"/>
  <c r="AQ35" i="12"/>
  <c r="AQ31" i="12"/>
  <c r="AQ28" i="12"/>
  <c r="AU119" i="12"/>
  <c r="AU46" i="12"/>
  <c r="AU126" i="12"/>
  <c r="AM67" i="12"/>
  <c r="AQ36" i="12"/>
  <c r="AM127" i="12"/>
  <c r="AU50" i="12"/>
  <c r="AU27" i="12"/>
  <c r="AM174" i="12"/>
  <c r="AM150" i="12"/>
  <c r="AM126" i="12"/>
  <c r="AM102" i="12"/>
  <c r="AM78" i="12"/>
  <c r="AM66" i="12"/>
  <c r="AM42" i="12"/>
  <c r="AM18" i="12"/>
  <c r="AM6" i="12"/>
  <c r="AQ109" i="12"/>
  <c r="AQ67" i="12"/>
  <c r="AU129" i="12"/>
  <c r="AQ136" i="12"/>
  <c r="AQ128" i="12"/>
  <c r="AQ74" i="12"/>
  <c r="AQ47" i="12"/>
  <c r="AU160" i="12"/>
  <c r="AU156" i="12"/>
  <c r="AU118" i="12"/>
  <c r="AU107" i="12"/>
  <c r="AM186" i="12"/>
  <c r="AM162" i="12"/>
  <c r="AM138" i="12"/>
  <c r="AM114" i="12"/>
  <c r="AM90" i="12"/>
  <c r="AM54" i="12"/>
  <c r="AM30" i="12"/>
  <c r="AQ97" i="12"/>
  <c r="AU149" i="12"/>
  <c r="AU141" i="12"/>
  <c r="AQ166" i="12"/>
  <c r="AU152" i="12"/>
  <c r="AU132" i="12"/>
  <c r="AM151" i="12"/>
  <c r="AM91" i="12"/>
  <c r="AQ113" i="12"/>
  <c r="AM179" i="12"/>
  <c r="AM155" i="12"/>
  <c r="AM143" i="12"/>
  <c r="AM119" i="12"/>
  <c r="AM107" i="12"/>
  <c r="AM83" i="12"/>
  <c r="AM59" i="12"/>
  <c r="AM47" i="12"/>
  <c r="AM23" i="12"/>
  <c r="AQ86" i="12"/>
  <c r="AM115" i="12"/>
  <c r="AM167" i="12"/>
  <c r="AM35" i="12"/>
  <c r="AQ40" i="12"/>
  <c r="AM131" i="12"/>
  <c r="AM71" i="12"/>
  <c r="AM11" i="12"/>
  <c r="AM166" i="12"/>
  <c r="AM142" i="12"/>
  <c r="AM118" i="12"/>
  <c r="AM94" i="12"/>
  <c r="AM58" i="12"/>
  <c r="AM22" i="12"/>
  <c r="AQ34" i="12"/>
  <c r="AQ14" i="12"/>
  <c r="AQ169" i="12"/>
  <c r="AQ161" i="12"/>
  <c r="AQ115" i="12"/>
  <c r="AU44" i="12"/>
  <c r="AU36" i="12"/>
  <c r="AU21" i="12"/>
  <c r="AU17" i="12"/>
  <c r="AQ152" i="12"/>
  <c r="AM95" i="12"/>
  <c r="AM178" i="12"/>
  <c r="AM154" i="12"/>
  <c r="AM130" i="12"/>
  <c r="AM106" i="12"/>
  <c r="AM82" i="12"/>
  <c r="AM70" i="12"/>
  <c r="AM46" i="12"/>
  <c r="AM34" i="12"/>
  <c r="AM10" i="12"/>
  <c r="AQ181" i="12"/>
  <c r="AQ154" i="12"/>
  <c r="AQ143" i="12"/>
  <c r="AQ139" i="12"/>
  <c r="AQ38" i="12"/>
  <c r="AQ22" i="12"/>
  <c r="AM152" i="12"/>
  <c r="AM8" i="12"/>
  <c r="AQ146" i="12"/>
  <c r="AU174" i="12"/>
  <c r="AU158" i="12"/>
  <c r="AU143" i="12"/>
  <c r="AU63" i="12"/>
  <c r="AU146" i="12"/>
  <c r="AU116" i="12"/>
  <c r="AU89" i="12"/>
  <c r="AU55" i="12"/>
  <c r="AM169" i="12"/>
  <c r="AM145" i="12"/>
  <c r="AM85" i="12"/>
  <c r="AU96" i="12"/>
  <c r="AU92" i="12"/>
  <c r="AU69" i="12"/>
  <c r="AA3" i="12"/>
  <c r="AQ142" i="12"/>
  <c r="AU140" i="12"/>
  <c r="AU136" i="12"/>
  <c r="AU72" i="12"/>
  <c r="AQ176" i="12"/>
  <c r="AQ164" i="12"/>
  <c r="AQ149" i="12"/>
  <c r="AU182" i="12"/>
  <c r="AU121" i="12"/>
  <c r="AU87" i="12"/>
  <c r="AQ25" i="12"/>
  <c r="AQ5" i="12"/>
  <c r="AU185" i="12"/>
  <c r="AQ20" i="12"/>
  <c r="AQ116" i="12"/>
  <c r="AQ89" i="12"/>
  <c r="AU32" i="12"/>
  <c r="AQ43" i="12"/>
  <c r="AU66" i="12"/>
  <c r="AU62" i="12"/>
  <c r="AU24" i="12"/>
  <c r="AU20" i="12"/>
  <c r="AM25" i="12"/>
  <c r="AQ163" i="12"/>
  <c r="AQ122" i="12"/>
  <c r="AQ54" i="12"/>
  <c r="AQ8" i="12"/>
  <c r="AU15" i="12"/>
  <c r="AM132" i="12"/>
  <c r="AQ50" i="12"/>
  <c r="AU161" i="12"/>
  <c r="AU53" i="12"/>
  <c r="AQ133" i="12"/>
  <c r="AQ65" i="12"/>
  <c r="AQ7" i="12"/>
  <c r="AU176" i="12"/>
  <c r="AU168" i="12"/>
  <c r="AU138" i="12"/>
  <c r="AU105" i="12"/>
  <c r="AU60" i="12"/>
  <c r="AM120" i="12"/>
  <c r="AQ144" i="12"/>
  <c r="AU93" i="12"/>
  <c r="AU74" i="12"/>
  <c r="AQ186" i="12"/>
  <c r="AU154" i="12"/>
  <c r="AM144" i="12"/>
  <c r="AM96" i="12"/>
  <c r="AM60" i="12"/>
  <c r="AQ137" i="12"/>
  <c r="AQ19" i="12"/>
  <c r="AU131" i="12"/>
  <c r="AM184" i="12"/>
  <c r="AM172" i="12"/>
  <c r="AM160" i="12"/>
  <c r="AM148" i="12"/>
  <c r="AM136" i="12"/>
  <c r="AM124" i="12"/>
  <c r="AM112" i="12"/>
  <c r="AM100" i="12"/>
  <c r="AM88" i="12"/>
  <c r="AM76" i="12"/>
  <c r="AM64" i="12"/>
  <c r="AM52" i="12"/>
  <c r="AM40" i="12"/>
  <c r="AM28" i="12"/>
  <c r="AM16" i="12"/>
  <c r="AM128" i="12"/>
  <c r="AM68" i="12"/>
  <c r="AU81" i="12"/>
  <c r="AQ127" i="12"/>
  <c r="AQ59" i="12"/>
  <c r="AU49" i="12"/>
  <c r="AQ180" i="12"/>
  <c r="AQ55" i="12"/>
  <c r="AQ105" i="12"/>
  <c r="AU144" i="12"/>
  <c r="AM185" i="12"/>
  <c r="AM173" i="12"/>
  <c r="AM161" i="12"/>
  <c r="AM149" i="12"/>
  <c r="AM137" i="12"/>
  <c r="AM125" i="12"/>
  <c r="AM113" i="12"/>
  <c r="AM101" i="12"/>
  <c r="AM89" i="12"/>
  <c r="AM77" i="12"/>
  <c r="AM65" i="12"/>
  <c r="AM53" i="12"/>
  <c r="AM41" i="12"/>
  <c r="AM29" i="12"/>
  <c r="AM17" i="12"/>
  <c r="AM5" i="12"/>
  <c r="AQ134" i="12"/>
  <c r="AQ130" i="12"/>
  <c r="AQ51" i="12"/>
  <c r="AQ33" i="12"/>
  <c r="AU173" i="12"/>
  <c r="AU162" i="12"/>
  <c r="AU95" i="12"/>
  <c r="AU52" i="12"/>
  <c r="AQ131" i="12"/>
  <c r="AU85" i="12"/>
  <c r="AU13" i="12"/>
  <c r="AQ123" i="12"/>
  <c r="AU77" i="12"/>
  <c r="AU59" i="12"/>
  <c r="AU41" i="12"/>
  <c r="AM180" i="12"/>
  <c r="AM156" i="12"/>
  <c r="AM72" i="12"/>
  <c r="AM48" i="12"/>
  <c r="AM36" i="12"/>
  <c r="AM12" i="12"/>
  <c r="AQ179" i="12"/>
  <c r="AQ172" i="12"/>
  <c r="AQ126" i="12"/>
  <c r="AQ108" i="12"/>
  <c r="AQ62" i="12"/>
  <c r="AQ58" i="12"/>
  <c r="AU180" i="12"/>
  <c r="AU165" i="12"/>
  <c r="AU80" i="12"/>
  <c r="AU48" i="12"/>
  <c r="AU42" i="12"/>
  <c r="AQ48" i="12"/>
  <c r="AU159" i="12"/>
  <c r="AU23" i="12"/>
  <c r="AQ32" i="12"/>
  <c r="AU8" i="12"/>
  <c r="AQ177" i="12"/>
  <c r="AU67" i="12"/>
  <c r="AU38" i="12"/>
  <c r="AM177" i="12"/>
  <c r="AM165" i="12"/>
  <c r="AM153" i="12"/>
  <c r="AM141" i="12"/>
  <c r="AM117" i="12"/>
  <c r="AM105" i="12"/>
  <c r="AM93" i="12"/>
  <c r="AM81" i="12"/>
  <c r="AM69" i="12"/>
  <c r="AM57" i="12"/>
  <c r="AM45" i="12"/>
  <c r="AM33" i="12"/>
  <c r="AM21" i="12"/>
  <c r="AM9" i="12"/>
  <c r="AQ182" i="12"/>
  <c r="AQ118" i="12"/>
  <c r="AQ82" i="12"/>
  <c r="AQ72" i="12"/>
  <c r="AQ6" i="12"/>
  <c r="AU150" i="12"/>
  <c r="AU101" i="12"/>
  <c r="AU25" i="12"/>
  <c r="AU18" i="12"/>
  <c r="AQ120" i="12"/>
  <c r="AQ41" i="12"/>
  <c r="AU10" i="12"/>
  <c r="AM129" i="12"/>
  <c r="AM175" i="12"/>
  <c r="AM139" i="12"/>
  <c r="AM31" i="12"/>
  <c r="AQ121" i="12"/>
  <c r="AQ110" i="12"/>
  <c r="AQ85" i="12"/>
  <c r="AQ78" i="12"/>
  <c r="AQ71" i="12"/>
  <c r="AQ42" i="12"/>
  <c r="AQ23" i="12"/>
  <c r="AQ9" i="12"/>
  <c r="AU104" i="12"/>
  <c r="AU39" i="12"/>
  <c r="AM176" i="12"/>
  <c r="AM164" i="12"/>
  <c r="AM140" i="12"/>
  <c r="AM116" i="12"/>
  <c r="AM104" i="12"/>
  <c r="AM92" i="12"/>
  <c r="AM80" i="12"/>
  <c r="AM56" i="12"/>
  <c r="AM44" i="12"/>
  <c r="AM32" i="12"/>
  <c r="AM20" i="12"/>
  <c r="AQ167" i="12"/>
  <c r="AQ114" i="12"/>
  <c r="AQ75" i="12"/>
  <c r="AQ68" i="12"/>
  <c r="AQ46" i="12"/>
  <c r="AQ13" i="12"/>
  <c r="AU186" i="12"/>
  <c r="AU157" i="12"/>
  <c r="AU108" i="12"/>
  <c r="AU61" i="12"/>
  <c r="AM163" i="12"/>
  <c r="AM103" i="12"/>
  <c r="AM79" i="12"/>
  <c r="AM55" i="12"/>
  <c r="AM43" i="12"/>
  <c r="AM19" i="12"/>
  <c r="AQ185" i="12"/>
  <c r="AQ95" i="12"/>
  <c r="AU124" i="12"/>
  <c r="AU114" i="12"/>
  <c r="AM181" i="12"/>
  <c r="AM133" i="12"/>
  <c r="AM109" i="12"/>
  <c r="AM97" i="12"/>
  <c r="AM61" i="12"/>
  <c r="AM49" i="12"/>
  <c r="AM37" i="12"/>
  <c r="AM13" i="12"/>
  <c r="AU134" i="12"/>
  <c r="AM157" i="12"/>
  <c r="AM121" i="12"/>
  <c r="AM73" i="12"/>
  <c r="AU51" i="12"/>
  <c r="AQ140" i="12"/>
  <c r="AQ153" i="12"/>
  <c r="AQ61" i="12"/>
  <c r="AU179" i="12"/>
  <c r="AQ157" i="12"/>
  <c r="AU172" i="12"/>
  <c r="AQ81" i="12"/>
  <c r="AQ150" i="12"/>
  <c r="AU100" i="12"/>
  <c r="AU65" i="12"/>
  <c r="AU16" i="12"/>
  <c r="AU183" i="12"/>
  <c r="AU169" i="12"/>
  <c r="AU111" i="12"/>
  <c r="AU97" i="12"/>
  <c r="AU90" i="12"/>
  <c r="AU31" i="12"/>
  <c r="AQ88" i="12"/>
  <c r="AQ16" i="12"/>
  <c r="AU175" i="12"/>
  <c r="AU130" i="12"/>
  <c r="AU103" i="12"/>
  <c r="AU75" i="12"/>
  <c r="AU54" i="12"/>
  <c r="AQ170" i="12"/>
  <c r="AQ156" i="12"/>
  <c r="AQ84" i="12"/>
  <c r="AQ26" i="12"/>
  <c r="AU137" i="12"/>
  <c r="AU26" i="12"/>
  <c r="AU147" i="12"/>
  <c r="AU133" i="12"/>
  <c r="AU64" i="12"/>
  <c r="AU5" i="12"/>
  <c r="AQ183" i="12"/>
  <c r="AQ173" i="12"/>
  <c r="AQ159" i="12"/>
  <c r="AQ111" i="12"/>
  <c r="AQ101" i="12"/>
  <c r="AQ87" i="12"/>
  <c r="AQ39" i="12"/>
  <c r="AQ29" i="12"/>
  <c r="AQ15" i="12"/>
  <c r="AU88" i="12"/>
  <c r="AU78" i="12"/>
  <c r="AU29" i="12"/>
  <c r="AM171" i="12"/>
  <c r="AM159" i="12"/>
  <c r="AM147" i="12"/>
  <c r="AM135" i="12"/>
  <c r="AM123" i="12"/>
  <c r="AM111" i="12"/>
  <c r="AM99" i="12"/>
  <c r="AM87" i="12"/>
  <c r="AM75" i="12"/>
  <c r="AM63" i="12"/>
  <c r="AM51" i="12"/>
  <c r="AM39" i="12"/>
  <c r="AM27" i="12"/>
  <c r="AM15" i="12"/>
  <c r="AQ162" i="12"/>
  <c r="AQ117" i="12"/>
  <c r="AQ90" i="12"/>
  <c r="AQ45" i="12"/>
  <c r="AQ18" i="12"/>
  <c r="AU170" i="12"/>
  <c r="AU163" i="12"/>
  <c r="AU98" i="12"/>
  <c r="AU91" i="12"/>
  <c r="AU127" i="12"/>
  <c r="AU6" i="12"/>
  <c r="AQ160" i="12"/>
  <c r="AQ98" i="12"/>
  <c r="AQ12" i="12"/>
  <c r="AU19" i="12"/>
  <c r="AM183" i="12"/>
  <c r="AM182" i="12"/>
  <c r="AM170" i="12"/>
  <c r="AM158" i="12"/>
  <c r="AM146" i="12"/>
  <c r="AM134" i="12"/>
  <c r="AM122" i="12"/>
  <c r="AM110" i="12"/>
  <c r="AM98" i="12"/>
  <c r="AM86" i="12"/>
  <c r="AM74" i="12"/>
  <c r="AM62" i="12"/>
  <c r="AM50" i="12"/>
  <c r="AM38" i="12"/>
  <c r="AM26" i="12"/>
  <c r="AM14" i="12"/>
  <c r="AQ124" i="12"/>
  <c r="AQ52" i="12"/>
  <c r="AU166" i="12"/>
  <c r="AU139" i="12"/>
  <c r="AU28" i="12"/>
  <c r="AQ57" i="12"/>
  <c r="AQ21" i="12"/>
  <c r="AU178" i="12"/>
  <c r="AU142" i="12"/>
  <c r="AU106" i="12"/>
  <c r="AU70" i="12"/>
  <c r="AU34" i="12"/>
  <c r="AQ60" i="12"/>
  <c r="AU181" i="12"/>
  <c r="AQ171" i="12"/>
  <c r="AQ135" i="12"/>
  <c r="AQ99" i="12"/>
  <c r="AQ63" i="12"/>
  <c r="AQ27" i="12"/>
  <c r="AU184" i="12"/>
  <c r="AU148" i="12"/>
  <c r="AU112" i="12"/>
  <c r="AU76" i="12"/>
  <c r="AU40" i="12"/>
  <c r="AQ165" i="12"/>
  <c r="AQ129" i="12"/>
  <c r="AQ132" i="12"/>
  <c r="AQ96" i="12"/>
  <c r="AU37" i="12"/>
  <c r="AM4" i="12"/>
  <c r="AQ174" i="12"/>
  <c r="AQ138" i="12"/>
  <c r="AQ102" i="12"/>
  <c r="AQ66" i="12"/>
  <c r="AQ30" i="12"/>
  <c r="AQ10" i="12"/>
  <c r="AU151" i="12"/>
  <c r="AU115" i="12"/>
  <c r="AU79" i="12"/>
  <c r="AU43" i="12"/>
  <c r="AQ93" i="12"/>
  <c r="AQ168" i="12"/>
  <c r="AQ24" i="12"/>
  <c r="AU145" i="12"/>
  <c r="AU109" i="12"/>
  <c r="AU73" i="12"/>
  <c r="AQ141" i="12"/>
  <c r="AQ69" i="12"/>
  <c r="AU94" i="12"/>
  <c r="AU58" i="12"/>
  <c r="AU22" i="12"/>
  <c r="AQ3" i="12"/>
  <c r="AU4" i="12"/>
  <c r="AQ4" i="12"/>
  <c r="AM3" i="12"/>
  <c r="AU3" i="12"/>
  <c r="AA76" i="11"/>
  <c r="C18" i="19"/>
  <c r="X479" i="11"/>
  <c r="X274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70" i="11"/>
  <c r="X307" i="11"/>
  <c r="X328" i="11"/>
  <c r="X330" i="11"/>
  <c r="X331" i="11"/>
  <c r="X332" i="11"/>
  <c r="X333" i="11"/>
  <c r="X334" i="11"/>
  <c r="X335" i="11"/>
  <c r="X336" i="11"/>
  <c r="X337" i="11"/>
  <c r="X338" i="11"/>
  <c r="X339" i="11"/>
  <c r="X340" i="11"/>
  <c r="X341" i="11"/>
  <c r="X342" i="11"/>
  <c r="X343" i="11"/>
  <c r="X344" i="11"/>
  <c r="X345" i="11"/>
  <c r="X346" i="11"/>
  <c r="X407" i="11"/>
  <c r="X449" i="11"/>
  <c r="X450" i="11"/>
  <c r="X451" i="11"/>
  <c r="X452" i="11"/>
  <c r="X453" i="11"/>
  <c r="X454" i="11"/>
  <c r="X455" i="11"/>
  <c r="X456" i="11"/>
  <c r="X457" i="11"/>
  <c r="X458" i="11"/>
  <c r="X459" i="11"/>
  <c r="X460" i="11"/>
  <c r="X461" i="11"/>
  <c r="X462" i="11"/>
  <c r="X463" i="11"/>
  <c r="X464" i="11"/>
  <c r="X465" i="11"/>
  <c r="X466" i="11"/>
  <c r="X551" i="11"/>
  <c r="X552" i="11"/>
  <c r="X488" i="11"/>
  <c r="X489" i="11"/>
  <c r="X490" i="11"/>
  <c r="X491" i="11"/>
  <c r="X492" i="11"/>
  <c r="X493" i="11"/>
  <c r="X494" i="11"/>
  <c r="X495" i="11"/>
  <c r="X496" i="11"/>
  <c r="X497" i="11"/>
  <c r="X498" i="11"/>
  <c r="X499" i="11"/>
  <c r="X534" i="11"/>
  <c r="X363" i="11"/>
  <c r="X354" i="11"/>
  <c r="X45" i="11"/>
  <c r="X535" i="11"/>
  <c r="X537" i="11"/>
  <c r="X538" i="11"/>
  <c r="X500" i="11"/>
  <c r="X536" i="11"/>
  <c r="X539" i="11"/>
  <c r="X540" i="11"/>
  <c r="X554" i="11"/>
  <c r="X541" i="11"/>
  <c r="X542" i="11"/>
  <c r="X543" i="11"/>
  <c r="X544" i="11"/>
  <c r="X545" i="11"/>
  <c r="X546" i="11"/>
  <c r="X547" i="11"/>
  <c r="X548" i="11"/>
  <c r="X549" i="11"/>
  <c r="X550" i="11"/>
  <c r="X558" i="11"/>
  <c r="X559" i="11"/>
  <c r="X560" i="11"/>
  <c r="X561" i="11"/>
  <c r="X562" i="11"/>
  <c r="X563" i="11"/>
  <c r="X564" i="11"/>
  <c r="X566" i="11"/>
  <c r="X567" i="11"/>
  <c r="X568" i="11"/>
  <c r="X569" i="11"/>
  <c r="X570" i="11"/>
  <c r="X571" i="11"/>
  <c r="X572" i="11"/>
  <c r="X573" i="11"/>
  <c r="X574" i="11"/>
  <c r="X580" i="11"/>
  <c r="X585" i="11"/>
  <c r="X586" i="11"/>
  <c r="X587" i="11"/>
  <c r="X588" i="11"/>
  <c r="X589" i="11"/>
  <c r="X590" i="11"/>
  <c r="X591" i="11"/>
  <c r="X592" i="11"/>
  <c r="X593" i="11"/>
  <c r="X594" i="11"/>
  <c r="X595" i="11"/>
  <c r="X596" i="11"/>
  <c r="X597" i="11"/>
  <c r="X598" i="11"/>
  <c r="X599" i="11"/>
  <c r="X600" i="11"/>
  <c r="X601" i="11"/>
  <c r="X602" i="11"/>
  <c r="X603" i="11"/>
  <c r="X604" i="11"/>
  <c r="X605" i="11"/>
  <c r="X606" i="11"/>
  <c r="X553" i="11"/>
  <c r="X555" i="11"/>
  <c r="X607" i="11"/>
  <c r="X608" i="11"/>
  <c r="X614" i="11"/>
  <c r="X615" i="11"/>
  <c r="X616" i="11"/>
  <c r="X581" i="11"/>
  <c r="X575" i="11"/>
  <c r="X576" i="11"/>
  <c r="X577" i="11"/>
  <c r="X578" i="11"/>
  <c r="X556" i="11"/>
  <c r="X557" i="11"/>
  <c r="X579" i="11"/>
  <c r="X582" i="11"/>
  <c r="X583" i="11"/>
  <c r="X584" i="11"/>
  <c r="X617" i="11"/>
  <c r="X467" i="11"/>
  <c r="X613" i="11"/>
  <c r="X609" i="11"/>
  <c r="X610" i="11"/>
  <c r="X611" i="11"/>
  <c r="X612" i="11"/>
  <c r="X618" i="11"/>
  <c r="X619" i="11"/>
  <c r="X620" i="11"/>
  <c r="X622" i="11"/>
  <c r="X623" i="11"/>
  <c r="X624" i="11"/>
  <c r="X625" i="11"/>
  <c r="X626" i="11"/>
  <c r="X627" i="11"/>
  <c r="X628" i="11"/>
  <c r="X629" i="11"/>
  <c r="X630" i="11"/>
  <c r="X631" i="11"/>
  <c r="X632" i="11"/>
  <c r="X633" i="11"/>
  <c r="X634" i="11"/>
  <c r="X635" i="11"/>
  <c r="X636" i="11"/>
  <c r="X637" i="11"/>
  <c r="X638" i="11"/>
  <c r="X639" i="11"/>
  <c r="X640" i="11"/>
  <c r="X641" i="11"/>
  <c r="X642" i="11"/>
  <c r="X643" i="11"/>
  <c r="X644" i="11"/>
  <c r="X645" i="11"/>
  <c r="X646" i="11"/>
  <c r="X647" i="11"/>
  <c r="X648" i="11"/>
  <c r="X649" i="11"/>
  <c r="X650" i="11"/>
  <c r="X651" i="11"/>
  <c r="X652" i="11"/>
  <c r="X653" i="11"/>
  <c r="X654" i="11"/>
  <c r="X655" i="11"/>
  <c r="X656" i="11"/>
  <c r="X657" i="11"/>
  <c r="X658" i="11"/>
  <c r="X659" i="11"/>
  <c r="X660" i="11"/>
  <c r="X661" i="11"/>
  <c r="X662" i="11"/>
  <c r="X663" i="11"/>
  <c r="X664" i="11"/>
  <c r="X665" i="11"/>
  <c r="X666" i="11"/>
  <c r="X667" i="11"/>
  <c r="X668" i="11"/>
  <c r="X669" i="11"/>
  <c r="X670" i="11"/>
  <c r="X671" i="11"/>
  <c r="X672" i="11"/>
  <c r="X673" i="11"/>
  <c r="X674" i="11"/>
  <c r="X675" i="11"/>
  <c r="X676" i="11"/>
  <c r="X677" i="11"/>
  <c r="X678" i="11"/>
  <c r="X679" i="11"/>
  <c r="X680" i="11"/>
  <c r="X681" i="11"/>
  <c r="X683" i="11"/>
  <c r="X684" i="11"/>
  <c r="X685" i="11"/>
  <c r="X686" i="11"/>
  <c r="X687" i="11"/>
  <c r="X688" i="11"/>
  <c r="X689" i="11"/>
  <c r="X690" i="11"/>
  <c r="X691" i="11"/>
  <c r="X692" i="11"/>
  <c r="X693" i="11"/>
  <c r="X694" i="11"/>
  <c r="X695" i="11"/>
  <c r="X696" i="11"/>
  <c r="X697" i="11"/>
  <c r="X698" i="11"/>
  <c r="X699" i="11"/>
  <c r="X700" i="11"/>
  <c r="X701" i="11"/>
  <c r="X702" i="11"/>
  <c r="X703" i="11"/>
  <c r="X704" i="11"/>
  <c r="X705" i="11"/>
  <c r="X706" i="11"/>
  <c r="X707" i="11"/>
  <c r="X708" i="11"/>
  <c r="X709" i="11"/>
  <c r="X710" i="11"/>
  <c r="X711" i="11"/>
  <c r="X712" i="11"/>
  <c r="X713" i="11"/>
  <c r="X714" i="11"/>
  <c r="X715" i="11"/>
  <c r="X716" i="11"/>
  <c r="X717" i="11"/>
  <c r="X718" i="11"/>
  <c r="X719" i="11"/>
  <c r="X720" i="11"/>
  <c r="X721" i="11"/>
  <c r="X722" i="11"/>
  <c r="X723" i="11"/>
  <c r="X724" i="11"/>
  <c r="X725" i="11"/>
  <c r="X726" i="11"/>
  <c r="X727" i="11"/>
  <c r="X728" i="11"/>
  <c r="X729" i="11"/>
  <c r="X730" i="11"/>
  <c r="X731" i="11"/>
  <c r="X732" i="11"/>
  <c r="X733" i="11"/>
  <c r="X734" i="11"/>
  <c r="X735" i="11"/>
  <c r="X736" i="11"/>
  <c r="X737" i="11"/>
  <c r="X738" i="11"/>
  <c r="X739" i="11"/>
  <c r="X740" i="11"/>
  <c r="X741" i="11"/>
  <c r="X742" i="11"/>
  <c r="X743" i="11"/>
  <c r="X744" i="11"/>
  <c r="X745" i="11"/>
  <c r="X746" i="11"/>
  <c r="X747" i="11"/>
  <c r="X748" i="11"/>
  <c r="X749" i="11"/>
  <c r="X750" i="11"/>
  <c r="X751" i="11"/>
  <c r="X752" i="11"/>
  <c r="X753" i="11"/>
  <c r="X754" i="11"/>
  <c r="X755" i="11"/>
  <c r="X756" i="11"/>
  <c r="X757" i="11"/>
  <c r="X758" i="11"/>
  <c r="X759" i="11"/>
  <c r="X760" i="11"/>
  <c r="X761" i="11"/>
  <c r="X762" i="11"/>
  <c r="X763" i="11"/>
  <c r="X764" i="11"/>
  <c r="X765" i="11"/>
  <c r="X766" i="11"/>
  <c r="X767" i="11"/>
  <c r="X768" i="11"/>
  <c r="X769" i="11"/>
  <c r="X770" i="11"/>
  <c r="X771" i="11"/>
  <c r="X772" i="11"/>
  <c r="X773" i="11"/>
  <c r="X774" i="11"/>
  <c r="X775" i="11"/>
  <c r="X776" i="11"/>
  <c r="X777" i="11"/>
  <c r="X778" i="11"/>
  <c r="X779" i="11"/>
  <c r="X780" i="11"/>
  <c r="X781" i="11"/>
  <c r="X782" i="11"/>
  <c r="X783" i="11"/>
  <c r="X784" i="11"/>
  <c r="X785" i="11"/>
  <c r="X786" i="11"/>
  <c r="X787" i="11"/>
  <c r="X788" i="11"/>
  <c r="X789" i="11"/>
  <c r="X790" i="11"/>
  <c r="X791" i="11"/>
  <c r="X792" i="11"/>
  <c r="X793" i="11"/>
  <c r="X794" i="11"/>
  <c r="X795" i="11"/>
  <c r="X796" i="11"/>
  <c r="X797" i="11"/>
  <c r="X798" i="11"/>
  <c r="X799" i="11"/>
  <c r="X800" i="11"/>
  <c r="X801" i="11"/>
  <c r="X802" i="11"/>
  <c r="X803" i="11"/>
  <c r="X804" i="11"/>
  <c r="X805" i="11"/>
  <c r="X806" i="11"/>
  <c r="X807" i="11"/>
  <c r="X808" i="11"/>
  <c r="X809" i="11"/>
  <c r="X810" i="11"/>
  <c r="X811" i="11"/>
  <c r="X812" i="11"/>
  <c r="X813" i="11"/>
  <c r="X814" i="11"/>
  <c r="X815" i="11"/>
  <c r="X816" i="11"/>
  <c r="X817" i="11"/>
  <c r="X818" i="11"/>
  <c r="X819" i="11"/>
  <c r="X820" i="11"/>
  <c r="X821" i="11"/>
  <c r="X822" i="11"/>
  <c r="X823" i="11"/>
  <c r="X824" i="11"/>
  <c r="X825" i="11"/>
  <c r="X826" i="11"/>
  <c r="X827" i="11"/>
  <c r="X828" i="11"/>
  <c r="X829" i="11"/>
  <c r="X830" i="11"/>
  <c r="X831" i="11"/>
  <c r="X832" i="11"/>
  <c r="X833" i="11"/>
  <c r="X834" i="11"/>
  <c r="X835" i="11"/>
  <c r="X836" i="11"/>
  <c r="X837" i="11"/>
  <c r="X838" i="11"/>
  <c r="X839" i="11"/>
  <c r="X840" i="11"/>
  <c r="X841" i="11"/>
  <c r="X842" i="11"/>
  <c r="X843" i="11"/>
  <c r="X844" i="11"/>
  <c r="X845" i="11"/>
  <c r="X846" i="11"/>
  <c r="X847" i="11"/>
  <c r="X848" i="11"/>
  <c r="X849" i="11"/>
  <c r="X850" i="11"/>
  <c r="X851" i="11"/>
  <c r="X852" i="11"/>
  <c r="X853" i="11"/>
  <c r="X854" i="11"/>
  <c r="X855" i="11"/>
  <c r="X856" i="11"/>
  <c r="X857" i="11"/>
  <c r="X858" i="11"/>
  <c r="X859" i="11"/>
  <c r="X860" i="11"/>
  <c r="X861" i="11"/>
  <c r="X862" i="11"/>
  <c r="X863" i="11"/>
  <c r="X864" i="11"/>
  <c r="X865" i="11"/>
  <c r="X866" i="11"/>
  <c r="X867" i="11"/>
  <c r="X868" i="11"/>
  <c r="X869" i="11"/>
  <c r="X870" i="11"/>
  <c r="X871" i="11"/>
  <c r="X872" i="11"/>
  <c r="X873" i="11"/>
  <c r="X874" i="11"/>
  <c r="X875" i="11"/>
  <c r="X876" i="11"/>
  <c r="X877" i="11"/>
  <c r="X878" i="11"/>
  <c r="X879" i="11"/>
  <c r="X880" i="11"/>
  <c r="X881" i="11"/>
  <c r="X882" i="11"/>
  <c r="X883" i="11"/>
  <c r="X884" i="11"/>
  <c r="X885" i="11"/>
  <c r="X886" i="11"/>
  <c r="X887" i="11"/>
  <c r="X888" i="11"/>
  <c r="X889" i="11"/>
  <c r="X890" i="11"/>
  <c r="X891" i="11"/>
  <c r="X892" i="11"/>
  <c r="X893" i="11"/>
  <c r="X894" i="11"/>
  <c r="X895" i="11"/>
  <c r="X896" i="11"/>
  <c r="X897" i="11"/>
  <c r="X898" i="11"/>
  <c r="X899" i="11"/>
  <c r="X900" i="11"/>
  <c r="X901" i="11"/>
  <c r="X902" i="11"/>
  <c r="X903" i="11"/>
  <c r="X904" i="11"/>
  <c r="X905" i="11"/>
  <c r="X906" i="11"/>
  <c r="X907" i="11"/>
  <c r="X908" i="11"/>
  <c r="X909" i="11"/>
  <c r="X910" i="11"/>
  <c r="X911" i="11"/>
  <c r="X912" i="11"/>
  <c r="X913" i="11"/>
  <c r="X914" i="11"/>
  <c r="X915" i="11"/>
  <c r="X916" i="11"/>
  <c r="X917" i="11"/>
  <c r="X918" i="11"/>
  <c r="X919" i="11"/>
  <c r="X920" i="11"/>
  <c r="X921" i="11"/>
  <c r="X922" i="11"/>
  <c r="X923" i="11"/>
  <c r="X924" i="11"/>
  <c r="X925" i="11"/>
  <c r="X926" i="11"/>
  <c r="X927" i="11"/>
  <c r="X928" i="11"/>
  <c r="X929" i="11"/>
  <c r="X930" i="11"/>
  <c r="X931" i="11"/>
  <c r="X932" i="11"/>
  <c r="X933" i="11"/>
  <c r="X934" i="11"/>
  <c r="X935" i="11"/>
  <c r="X936" i="11"/>
  <c r="X937" i="11"/>
  <c r="X938" i="11"/>
  <c r="X939" i="11"/>
  <c r="X940" i="11"/>
  <c r="X941" i="11"/>
  <c r="X942" i="11"/>
  <c r="X943" i="11"/>
  <c r="X944" i="11"/>
  <c r="X945" i="11"/>
  <c r="X946" i="11"/>
  <c r="X947" i="11"/>
  <c r="X948" i="11"/>
  <c r="X949" i="11"/>
  <c r="X950" i="11"/>
  <c r="X951" i="11"/>
  <c r="X952" i="11"/>
  <c r="X953" i="11"/>
  <c r="X954" i="11"/>
  <c r="X955" i="11"/>
  <c r="X956" i="11"/>
  <c r="X957" i="11"/>
  <c r="X958" i="11"/>
  <c r="X959" i="11"/>
  <c r="X960" i="11"/>
  <c r="X961" i="11"/>
  <c r="X962" i="11"/>
  <c r="X963" i="11"/>
  <c r="X964" i="11"/>
  <c r="X965" i="11"/>
  <c r="X966" i="11"/>
  <c r="X967" i="11"/>
  <c r="X968" i="11"/>
  <c r="X969" i="11"/>
  <c r="X970" i="11"/>
  <c r="X971" i="11"/>
  <c r="X972" i="11"/>
  <c r="X973" i="11"/>
  <c r="X974" i="11"/>
  <c r="X975" i="11"/>
  <c r="X976" i="11"/>
  <c r="X977" i="11"/>
  <c r="X978" i="11"/>
  <c r="X979" i="11"/>
  <c r="X980" i="11"/>
  <c r="X981" i="11"/>
  <c r="X982" i="11"/>
  <c r="X983" i="11"/>
  <c r="X984" i="11"/>
  <c r="X985" i="11"/>
  <c r="X986" i="11"/>
  <c r="X987" i="11"/>
  <c r="X988" i="11"/>
  <c r="X989" i="11"/>
  <c r="X990" i="11"/>
  <c r="X991" i="11"/>
  <c r="X992" i="11"/>
  <c r="X993" i="11"/>
  <c r="X994" i="11"/>
  <c r="X995" i="11"/>
  <c r="X996" i="11"/>
  <c r="X997" i="11"/>
  <c r="X998" i="11"/>
  <c r="X999" i="11"/>
  <c r="X1000" i="11"/>
  <c r="X1001" i="11"/>
  <c r="X1002" i="11"/>
  <c r="X1003" i="11"/>
  <c r="X1004" i="11"/>
  <c r="X1005" i="11"/>
  <c r="X1006" i="11"/>
  <c r="X1007" i="11"/>
  <c r="X1008" i="11"/>
  <c r="X1009" i="11"/>
  <c r="X1010" i="11"/>
  <c r="X1011" i="11"/>
  <c r="X1012" i="11"/>
  <c r="X1013" i="11"/>
  <c r="X1014" i="11"/>
  <c r="X1015" i="11"/>
  <c r="X1016" i="11"/>
  <c r="X1017" i="11"/>
  <c r="X1018" i="11"/>
  <c r="X1019" i="11"/>
  <c r="X1020" i="11"/>
  <c r="X1021" i="11"/>
  <c r="X1022" i="11"/>
  <c r="X1023" i="11"/>
  <c r="X1024" i="11"/>
  <c r="X1025" i="11"/>
  <c r="X1026" i="11"/>
  <c r="X1027" i="11"/>
  <c r="X1028" i="11"/>
  <c r="X1029" i="11"/>
  <c r="X1030" i="11"/>
  <c r="X1031" i="11"/>
  <c r="X1032" i="11"/>
  <c r="X1033" i="11"/>
  <c r="X1034" i="11"/>
  <c r="X1035" i="11"/>
  <c r="X1036" i="11"/>
  <c r="X1037" i="11"/>
  <c r="X1038" i="11"/>
  <c r="X1039" i="11"/>
  <c r="X1040" i="11"/>
  <c r="X1041" i="11"/>
  <c r="X1042" i="11"/>
  <c r="X1043" i="11"/>
  <c r="X1044" i="11"/>
  <c r="X1045" i="11"/>
  <c r="X1046" i="11"/>
  <c r="X1047" i="11"/>
  <c r="X1048" i="11"/>
  <c r="X1049" i="11"/>
  <c r="X1050" i="11"/>
  <c r="X1051" i="11"/>
  <c r="X1052" i="11"/>
  <c r="X1053" i="11"/>
  <c r="X1054" i="11"/>
  <c r="X1055" i="11"/>
  <c r="X1056" i="11"/>
  <c r="X1057" i="11"/>
  <c r="X1058" i="11"/>
  <c r="X1059" i="11"/>
  <c r="X1060" i="11"/>
  <c r="X1061" i="11"/>
  <c r="X1062" i="11"/>
  <c r="X1063" i="11"/>
  <c r="X1064" i="11"/>
  <c r="X1065" i="11"/>
  <c r="X1066" i="11"/>
  <c r="X1067" i="11"/>
  <c r="X1068" i="11"/>
  <c r="X1069" i="11"/>
  <c r="X1070" i="11"/>
  <c r="X1071" i="11"/>
  <c r="X1072" i="11"/>
  <c r="X1073" i="11"/>
  <c r="X1074" i="11"/>
  <c r="X1075" i="11"/>
  <c r="X1076" i="11"/>
  <c r="X1077" i="11"/>
  <c r="X1078" i="11"/>
  <c r="X1079" i="11"/>
  <c r="X1080" i="11"/>
  <c r="X1081" i="11"/>
  <c r="X1082" i="11"/>
  <c r="X1083" i="11"/>
  <c r="X1084" i="11"/>
  <c r="X1085" i="11"/>
  <c r="X1086" i="11"/>
  <c r="X1087" i="11"/>
  <c r="X1088" i="11"/>
  <c r="X1089" i="11"/>
  <c r="X1090" i="11"/>
  <c r="X1091" i="11"/>
  <c r="X1092" i="11"/>
  <c r="X1093" i="11"/>
  <c r="X1094" i="11"/>
  <c r="X1095" i="11"/>
  <c r="X1096" i="11"/>
  <c r="X1097" i="11"/>
  <c r="X1098" i="11"/>
  <c r="X1099" i="11"/>
  <c r="X1100" i="11"/>
  <c r="X1101" i="11"/>
  <c r="X1102" i="11"/>
  <c r="X1103" i="11"/>
  <c r="X1104" i="11"/>
  <c r="X1105" i="11"/>
  <c r="X1106" i="11"/>
  <c r="X1107" i="11"/>
  <c r="X1108" i="11"/>
  <c r="X1109" i="11"/>
  <c r="X1110" i="11"/>
  <c r="X1111" i="11"/>
  <c r="X1112" i="11"/>
  <c r="X1113" i="11"/>
  <c r="X1114" i="11"/>
  <c r="X1115" i="11"/>
  <c r="X1116" i="11"/>
  <c r="X1117" i="11"/>
  <c r="X1118" i="11"/>
  <c r="X1119" i="11"/>
  <c r="X1120" i="11"/>
  <c r="X1121" i="11"/>
  <c r="X1122" i="11"/>
  <c r="X1123" i="11"/>
  <c r="X1124" i="11"/>
  <c r="X1125" i="11"/>
  <c r="X1126" i="11"/>
  <c r="X1127" i="11"/>
  <c r="X1128" i="11"/>
  <c r="X1129" i="11"/>
  <c r="X1130" i="11"/>
  <c r="X1131" i="11"/>
  <c r="X1132" i="11"/>
  <c r="X1133" i="11"/>
  <c r="X1134" i="11"/>
  <c r="X1135" i="11"/>
  <c r="X1136" i="11"/>
  <c r="X1137" i="11"/>
  <c r="X1138" i="11"/>
  <c r="X1139" i="11"/>
  <c r="X1140" i="11"/>
  <c r="X1141" i="11"/>
  <c r="X1142" i="11"/>
  <c r="X1143" i="11"/>
  <c r="X1144" i="11"/>
  <c r="X1145" i="11"/>
  <c r="X1146" i="11"/>
  <c r="X1147" i="11"/>
  <c r="X1148" i="11"/>
  <c r="X1149" i="11"/>
  <c r="X1150" i="11"/>
  <c r="X1151" i="11"/>
  <c r="X1152" i="11"/>
  <c r="X1153" i="11"/>
  <c r="X1154" i="11"/>
  <c r="X1155" i="11"/>
  <c r="X1156" i="11"/>
  <c r="X1157" i="11"/>
  <c r="X1158" i="11"/>
  <c r="X1159" i="11"/>
  <c r="X1160" i="11"/>
  <c r="X1161" i="11"/>
  <c r="X1162" i="11"/>
  <c r="X1163" i="11"/>
  <c r="X1164" i="11"/>
  <c r="X1165" i="11"/>
  <c r="X1166" i="11"/>
  <c r="X1167" i="11"/>
  <c r="X1168" i="11"/>
  <c r="X1169" i="11"/>
  <c r="X1170" i="11"/>
  <c r="X1171" i="11"/>
  <c r="X1172" i="11"/>
  <c r="X1173" i="11"/>
  <c r="X1174" i="11"/>
  <c r="X1175" i="11"/>
  <c r="X1176" i="11"/>
  <c r="X1177" i="11"/>
  <c r="X1178" i="11"/>
  <c r="X1179" i="11"/>
  <c r="X1180" i="11"/>
  <c r="X1181" i="11"/>
  <c r="X1182" i="11"/>
  <c r="X1183" i="11"/>
  <c r="X1184" i="11"/>
  <c r="X1185" i="11"/>
  <c r="X1186" i="11"/>
  <c r="X1187" i="11"/>
  <c r="X1188" i="11"/>
  <c r="X1189" i="11"/>
  <c r="X1190" i="11"/>
  <c r="X1191" i="11"/>
  <c r="X1192" i="11"/>
  <c r="X1193" i="11"/>
  <c r="X1194" i="11"/>
  <c r="X1195" i="11"/>
  <c r="X1196" i="11"/>
  <c r="X1197" i="11"/>
  <c r="X1198" i="11"/>
  <c r="X1199" i="11"/>
  <c r="X1200" i="11"/>
  <c r="Y479" i="11"/>
  <c r="Y274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70" i="11"/>
  <c r="Y307" i="11"/>
  <c r="Y328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407" i="11"/>
  <c r="Y449" i="11"/>
  <c r="Y450" i="11"/>
  <c r="Y451" i="11"/>
  <c r="Y452" i="11"/>
  <c r="Y453" i="11"/>
  <c r="Y454" i="11"/>
  <c r="Y455" i="11"/>
  <c r="Y456" i="11"/>
  <c r="Y457" i="11"/>
  <c r="Y458" i="11"/>
  <c r="Y459" i="11"/>
  <c r="Y460" i="11"/>
  <c r="Y461" i="11"/>
  <c r="Y462" i="11"/>
  <c r="Y463" i="11"/>
  <c r="Y464" i="11"/>
  <c r="Y465" i="11"/>
  <c r="Y466" i="11"/>
  <c r="Y551" i="11"/>
  <c r="Y552" i="11"/>
  <c r="Y488" i="11"/>
  <c r="Y489" i="11"/>
  <c r="Y490" i="11"/>
  <c r="Y491" i="11"/>
  <c r="Y492" i="11"/>
  <c r="Y493" i="11"/>
  <c r="Y494" i="11"/>
  <c r="Y495" i="11"/>
  <c r="Y496" i="11"/>
  <c r="Y497" i="11"/>
  <c r="Y498" i="11"/>
  <c r="Y499" i="11"/>
  <c r="Y534" i="11"/>
  <c r="Y363" i="11"/>
  <c r="Y354" i="11"/>
  <c r="Y45" i="11"/>
  <c r="Y535" i="11"/>
  <c r="Y537" i="11"/>
  <c r="Y538" i="11"/>
  <c r="Y500" i="11"/>
  <c r="Y536" i="11"/>
  <c r="Y539" i="11"/>
  <c r="Y540" i="11"/>
  <c r="Y554" i="11"/>
  <c r="Y541" i="11"/>
  <c r="Y542" i="11"/>
  <c r="Y543" i="11"/>
  <c r="Y544" i="11"/>
  <c r="Y545" i="11"/>
  <c r="Y546" i="11"/>
  <c r="Y547" i="11"/>
  <c r="Y548" i="11"/>
  <c r="Y549" i="11"/>
  <c r="Y550" i="11"/>
  <c r="Y558" i="11"/>
  <c r="Y559" i="11"/>
  <c r="Y560" i="11"/>
  <c r="Y561" i="11"/>
  <c r="Y562" i="11"/>
  <c r="Y563" i="11"/>
  <c r="Y564" i="11"/>
  <c r="Y566" i="11"/>
  <c r="Y567" i="11"/>
  <c r="Y568" i="11"/>
  <c r="Y569" i="11"/>
  <c r="Y570" i="11"/>
  <c r="Y571" i="11"/>
  <c r="Y572" i="11"/>
  <c r="Y573" i="11"/>
  <c r="Y574" i="11"/>
  <c r="Y580" i="11"/>
  <c r="Y585" i="11"/>
  <c r="Y586" i="11"/>
  <c r="Y587" i="11"/>
  <c r="Y588" i="11"/>
  <c r="Y589" i="11"/>
  <c r="Y590" i="11"/>
  <c r="Y591" i="11"/>
  <c r="Y592" i="11"/>
  <c r="Y593" i="11"/>
  <c r="Y594" i="11"/>
  <c r="Y595" i="11"/>
  <c r="Y596" i="11"/>
  <c r="Y597" i="11"/>
  <c r="Y598" i="11"/>
  <c r="Y599" i="11"/>
  <c r="Y600" i="11"/>
  <c r="Y601" i="11"/>
  <c r="Y602" i="11"/>
  <c r="Y603" i="11"/>
  <c r="Y604" i="11"/>
  <c r="Y605" i="11"/>
  <c r="Y606" i="11"/>
  <c r="Y553" i="11"/>
  <c r="Y555" i="11"/>
  <c r="Y607" i="11"/>
  <c r="Y608" i="11"/>
  <c r="Y614" i="11"/>
  <c r="Y615" i="11"/>
  <c r="Y616" i="11"/>
  <c r="Y581" i="11"/>
  <c r="Y575" i="11"/>
  <c r="Y576" i="11"/>
  <c r="Y577" i="11"/>
  <c r="Y578" i="11"/>
  <c r="Y556" i="11"/>
  <c r="Y557" i="11"/>
  <c r="Y579" i="11"/>
  <c r="Y582" i="11"/>
  <c r="Y583" i="11"/>
  <c r="Y584" i="11"/>
  <c r="Y617" i="11"/>
  <c r="Y467" i="11"/>
  <c r="Y613" i="11"/>
  <c r="Y609" i="11"/>
  <c r="Y610" i="11"/>
  <c r="Y611" i="11"/>
  <c r="Y612" i="11"/>
  <c r="Y618" i="11"/>
  <c r="Y619" i="11"/>
  <c r="Y620" i="11"/>
  <c r="Y622" i="11"/>
  <c r="Y623" i="11"/>
  <c r="Y624" i="11"/>
  <c r="Y625" i="11"/>
  <c r="Y626" i="11"/>
  <c r="Y627" i="11"/>
  <c r="Y628" i="11"/>
  <c r="Y629" i="11"/>
  <c r="Y630" i="11"/>
  <c r="Y631" i="11"/>
  <c r="Y632" i="11"/>
  <c r="Y633" i="11"/>
  <c r="Y634" i="11"/>
  <c r="Y635" i="11"/>
  <c r="Y636" i="11"/>
  <c r="Y637" i="11"/>
  <c r="Y638" i="11"/>
  <c r="Y639" i="11"/>
  <c r="Y640" i="11"/>
  <c r="Y641" i="11"/>
  <c r="Y642" i="11"/>
  <c r="Y643" i="11"/>
  <c r="Y644" i="11"/>
  <c r="Y645" i="11"/>
  <c r="Y646" i="11"/>
  <c r="Y647" i="11"/>
  <c r="Y648" i="11"/>
  <c r="Y649" i="11"/>
  <c r="Y650" i="11"/>
  <c r="Y651" i="11"/>
  <c r="Y652" i="11"/>
  <c r="Y653" i="11"/>
  <c r="Y654" i="11"/>
  <c r="Y655" i="11"/>
  <c r="Y656" i="11"/>
  <c r="Y657" i="11"/>
  <c r="Y658" i="11"/>
  <c r="Y659" i="11"/>
  <c r="Y660" i="11"/>
  <c r="Y661" i="11"/>
  <c r="Y662" i="11"/>
  <c r="Y663" i="11"/>
  <c r="Y664" i="11"/>
  <c r="Y665" i="11"/>
  <c r="Y666" i="11"/>
  <c r="Y667" i="11"/>
  <c r="Y668" i="11"/>
  <c r="Y669" i="11"/>
  <c r="Y670" i="11"/>
  <c r="Y671" i="11"/>
  <c r="Y672" i="11"/>
  <c r="Y673" i="11"/>
  <c r="Y674" i="11"/>
  <c r="Y675" i="11"/>
  <c r="Y676" i="11"/>
  <c r="Y677" i="11"/>
  <c r="Y678" i="11"/>
  <c r="Y679" i="11"/>
  <c r="Y680" i="11"/>
  <c r="Y681" i="11"/>
  <c r="Y683" i="11"/>
  <c r="Y684" i="11"/>
  <c r="Y685" i="11"/>
  <c r="Y686" i="11"/>
  <c r="Y687" i="11"/>
  <c r="Y688" i="11"/>
  <c r="Y689" i="11"/>
  <c r="Y690" i="11"/>
  <c r="Y691" i="11"/>
  <c r="Y692" i="11"/>
  <c r="Y693" i="11"/>
  <c r="Y694" i="11"/>
  <c r="Y695" i="11"/>
  <c r="Y696" i="11"/>
  <c r="Y697" i="11"/>
  <c r="Y698" i="11"/>
  <c r="Y699" i="11"/>
  <c r="Y700" i="11"/>
  <c r="Y701" i="11"/>
  <c r="Y702" i="11"/>
  <c r="Y703" i="11"/>
  <c r="Y704" i="11"/>
  <c r="Y705" i="11"/>
  <c r="Y706" i="11"/>
  <c r="Y707" i="11"/>
  <c r="Y708" i="11"/>
  <c r="Y709" i="11"/>
  <c r="Y710" i="11"/>
  <c r="Y711" i="11"/>
  <c r="Y712" i="11"/>
  <c r="Y713" i="11"/>
  <c r="Y714" i="11"/>
  <c r="Y715" i="11"/>
  <c r="Y716" i="11"/>
  <c r="Y717" i="11"/>
  <c r="Y718" i="11"/>
  <c r="Y719" i="11"/>
  <c r="Y720" i="11"/>
  <c r="Y721" i="11"/>
  <c r="Y722" i="11"/>
  <c r="Y723" i="11"/>
  <c r="Y724" i="11"/>
  <c r="Y725" i="11"/>
  <c r="Y726" i="11"/>
  <c r="Y727" i="11"/>
  <c r="Y728" i="11"/>
  <c r="Y729" i="11"/>
  <c r="Y730" i="11"/>
  <c r="Y731" i="11"/>
  <c r="Y732" i="11"/>
  <c r="Y733" i="11"/>
  <c r="Y734" i="11"/>
  <c r="Y735" i="11"/>
  <c r="Y736" i="11"/>
  <c r="Y737" i="11"/>
  <c r="Y738" i="11"/>
  <c r="Y739" i="11"/>
  <c r="Y740" i="11"/>
  <c r="Y741" i="11"/>
  <c r="Y742" i="11"/>
  <c r="Y743" i="11"/>
  <c r="Y744" i="11"/>
  <c r="Y745" i="11"/>
  <c r="Y746" i="11"/>
  <c r="Y747" i="11"/>
  <c r="Y748" i="11"/>
  <c r="Y749" i="11"/>
  <c r="Y750" i="11"/>
  <c r="Y751" i="11"/>
  <c r="Y752" i="11"/>
  <c r="Y753" i="11"/>
  <c r="Y754" i="11"/>
  <c r="Y755" i="11"/>
  <c r="Y756" i="11"/>
  <c r="Y757" i="11"/>
  <c r="Y758" i="11"/>
  <c r="Y759" i="11"/>
  <c r="Y760" i="11"/>
  <c r="Y761" i="11"/>
  <c r="Y762" i="11"/>
  <c r="Y763" i="11"/>
  <c r="Y764" i="11"/>
  <c r="Y765" i="11"/>
  <c r="Y766" i="11"/>
  <c r="Y767" i="11"/>
  <c r="Y768" i="11"/>
  <c r="Y769" i="11"/>
  <c r="Y770" i="11"/>
  <c r="Y771" i="11"/>
  <c r="Y772" i="11"/>
  <c r="Y773" i="11"/>
  <c r="Y774" i="11"/>
  <c r="Y775" i="11"/>
  <c r="Y776" i="11"/>
  <c r="Y777" i="11"/>
  <c r="Y778" i="11"/>
  <c r="Y779" i="11"/>
  <c r="Y780" i="11"/>
  <c r="Y781" i="11"/>
  <c r="Y782" i="11"/>
  <c r="Y783" i="11"/>
  <c r="Y784" i="11"/>
  <c r="Y785" i="11"/>
  <c r="Y786" i="11"/>
  <c r="Y787" i="11"/>
  <c r="Y788" i="11"/>
  <c r="Y789" i="11"/>
  <c r="Y790" i="11"/>
  <c r="Y791" i="11"/>
  <c r="Y792" i="11"/>
  <c r="Y793" i="11"/>
  <c r="Y794" i="11"/>
  <c r="Y795" i="11"/>
  <c r="Y796" i="11"/>
  <c r="Y797" i="11"/>
  <c r="Y798" i="11"/>
  <c r="Y799" i="11"/>
  <c r="Y800" i="11"/>
  <c r="Y801" i="11"/>
  <c r="Y802" i="11"/>
  <c r="Y803" i="11"/>
  <c r="Y804" i="11"/>
  <c r="Y805" i="11"/>
  <c r="Y806" i="11"/>
  <c r="Y807" i="11"/>
  <c r="Y808" i="11"/>
  <c r="Y809" i="11"/>
  <c r="Y810" i="11"/>
  <c r="Y811" i="11"/>
  <c r="Y812" i="11"/>
  <c r="Y813" i="11"/>
  <c r="Y814" i="11"/>
  <c r="Y815" i="11"/>
  <c r="Y816" i="11"/>
  <c r="Y817" i="11"/>
  <c r="Y818" i="11"/>
  <c r="Y819" i="11"/>
  <c r="Y820" i="11"/>
  <c r="Y821" i="11"/>
  <c r="Y822" i="11"/>
  <c r="Y823" i="11"/>
  <c r="Y824" i="11"/>
  <c r="Y825" i="11"/>
  <c r="Y826" i="11"/>
  <c r="Y827" i="11"/>
  <c r="Y828" i="11"/>
  <c r="Y829" i="11"/>
  <c r="Y830" i="11"/>
  <c r="Y831" i="11"/>
  <c r="Y832" i="11"/>
  <c r="Y833" i="11"/>
  <c r="Y834" i="11"/>
  <c r="Y835" i="11"/>
  <c r="Y836" i="11"/>
  <c r="Y837" i="11"/>
  <c r="Y838" i="11"/>
  <c r="Y839" i="11"/>
  <c r="Y840" i="11"/>
  <c r="Y841" i="11"/>
  <c r="Y842" i="11"/>
  <c r="Y843" i="11"/>
  <c r="Y844" i="11"/>
  <c r="Y845" i="11"/>
  <c r="Y846" i="11"/>
  <c r="Y847" i="11"/>
  <c r="Y848" i="11"/>
  <c r="Y849" i="11"/>
  <c r="Y850" i="11"/>
  <c r="Y851" i="11"/>
  <c r="Y852" i="11"/>
  <c r="Y853" i="11"/>
  <c r="Y854" i="11"/>
  <c r="Y855" i="11"/>
  <c r="Y856" i="11"/>
  <c r="Y857" i="11"/>
  <c r="Y858" i="11"/>
  <c r="Y859" i="11"/>
  <c r="Y860" i="11"/>
  <c r="Y861" i="11"/>
  <c r="Y862" i="11"/>
  <c r="Y863" i="11"/>
  <c r="Y864" i="11"/>
  <c r="Y865" i="11"/>
  <c r="Y866" i="11"/>
  <c r="Y867" i="11"/>
  <c r="Y868" i="11"/>
  <c r="Y869" i="11"/>
  <c r="Y870" i="11"/>
  <c r="Y871" i="11"/>
  <c r="Y872" i="11"/>
  <c r="Y873" i="11"/>
  <c r="Y874" i="11"/>
  <c r="Y875" i="11"/>
  <c r="Y876" i="11"/>
  <c r="Y877" i="11"/>
  <c r="Y878" i="11"/>
  <c r="Y879" i="11"/>
  <c r="Y880" i="11"/>
  <c r="Y881" i="11"/>
  <c r="Y882" i="11"/>
  <c r="Y883" i="11"/>
  <c r="Y884" i="11"/>
  <c r="Y885" i="11"/>
  <c r="Y886" i="11"/>
  <c r="Y887" i="11"/>
  <c r="Y888" i="11"/>
  <c r="Y889" i="11"/>
  <c r="Y890" i="11"/>
  <c r="Y891" i="11"/>
  <c r="Y892" i="11"/>
  <c r="Y893" i="11"/>
  <c r="Y894" i="11"/>
  <c r="Y895" i="11"/>
  <c r="Y896" i="11"/>
  <c r="Y897" i="11"/>
  <c r="Y898" i="11"/>
  <c r="Y899" i="11"/>
  <c r="Y900" i="11"/>
  <c r="Y901" i="11"/>
  <c r="Y902" i="11"/>
  <c r="Y903" i="11"/>
  <c r="Y904" i="11"/>
  <c r="Y905" i="11"/>
  <c r="Y906" i="11"/>
  <c r="Y907" i="11"/>
  <c r="Y908" i="11"/>
  <c r="Y909" i="11"/>
  <c r="Y910" i="11"/>
  <c r="Y911" i="11"/>
  <c r="Y912" i="11"/>
  <c r="Y913" i="11"/>
  <c r="Y914" i="11"/>
  <c r="Y915" i="11"/>
  <c r="Y916" i="11"/>
  <c r="Y917" i="11"/>
  <c r="Y918" i="11"/>
  <c r="Y919" i="11"/>
  <c r="Y920" i="11"/>
  <c r="Y921" i="11"/>
  <c r="Y922" i="11"/>
  <c r="Y923" i="11"/>
  <c r="Y924" i="11"/>
  <c r="Y925" i="11"/>
  <c r="Y926" i="11"/>
  <c r="Y927" i="11"/>
  <c r="Y928" i="11"/>
  <c r="Y929" i="11"/>
  <c r="Y930" i="11"/>
  <c r="Y931" i="11"/>
  <c r="Y932" i="11"/>
  <c r="Y933" i="11"/>
  <c r="Y934" i="11"/>
  <c r="Y935" i="11"/>
  <c r="Y936" i="11"/>
  <c r="Y937" i="11"/>
  <c r="Y938" i="11"/>
  <c r="Y939" i="11"/>
  <c r="Y940" i="11"/>
  <c r="Y941" i="11"/>
  <c r="Y942" i="11"/>
  <c r="Y943" i="11"/>
  <c r="Y944" i="11"/>
  <c r="Y945" i="11"/>
  <c r="Y946" i="11"/>
  <c r="Y947" i="11"/>
  <c r="Y948" i="11"/>
  <c r="Y949" i="11"/>
  <c r="Y950" i="11"/>
  <c r="Y951" i="11"/>
  <c r="Y952" i="11"/>
  <c r="Y953" i="11"/>
  <c r="Y954" i="11"/>
  <c r="Y955" i="11"/>
  <c r="Y956" i="11"/>
  <c r="Y957" i="11"/>
  <c r="Y958" i="11"/>
  <c r="Y959" i="11"/>
  <c r="Y960" i="11"/>
  <c r="Y961" i="11"/>
  <c r="Y962" i="11"/>
  <c r="Y963" i="11"/>
  <c r="Y964" i="11"/>
  <c r="Y965" i="11"/>
  <c r="Y966" i="11"/>
  <c r="Y967" i="11"/>
  <c r="Y968" i="11"/>
  <c r="Y969" i="11"/>
  <c r="Y970" i="11"/>
  <c r="Y971" i="11"/>
  <c r="Y972" i="11"/>
  <c r="Y973" i="11"/>
  <c r="Y974" i="11"/>
  <c r="Y975" i="11"/>
  <c r="Y976" i="11"/>
  <c r="Y977" i="11"/>
  <c r="Y978" i="11"/>
  <c r="Y979" i="11"/>
  <c r="Y980" i="11"/>
  <c r="Y981" i="11"/>
  <c r="Y982" i="11"/>
  <c r="Y983" i="11"/>
  <c r="Y984" i="11"/>
  <c r="Y985" i="11"/>
  <c r="Y986" i="11"/>
  <c r="Y987" i="11"/>
  <c r="Y988" i="11"/>
  <c r="Y989" i="11"/>
  <c r="Y990" i="11"/>
  <c r="Y991" i="11"/>
  <c r="Y992" i="11"/>
  <c r="Y993" i="11"/>
  <c r="Y994" i="11"/>
  <c r="Y995" i="11"/>
  <c r="Y996" i="11"/>
  <c r="Y997" i="11"/>
  <c r="Y998" i="11"/>
  <c r="Y999" i="11"/>
  <c r="Y1000" i="11"/>
  <c r="Y1001" i="11"/>
  <c r="Y1002" i="11"/>
  <c r="Y1003" i="11"/>
  <c r="Y1004" i="11"/>
  <c r="Y1005" i="11"/>
  <c r="Y1006" i="11"/>
  <c r="Y1007" i="11"/>
  <c r="Y1008" i="11"/>
  <c r="Y1009" i="11"/>
  <c r="Y1010" i="11"/>
  <c r="Y1011" i="11"/>
  <c r="Y1012" i="11"/>
  <c r="Y1013" i="11"/>
  <c r="Y1014" i="11"/>
  <c r="Y1015" i="11"/>
  <c r="Y1016" i="11"/>
  <c r="Y1017" i="11"/>
  <c r="Y1018" i="11"/>
  <c r="Y1019" i="11"/>
  <c r="Y1020" i="11"/>
  <c r="Y1021" i="11"/>
  <c r="Y1022" i="11"/>
  <c r="Y1023" i="11"/>
  <c r="Y1024" i="11"/>
  <c r="Y1025" i="11"/>
  <c r="Y1026" i="11"/>
  <c r="Y1027" i="11"/>
  <c r="Y1028" i="11"/>
  <c r="Y1029" i="11"/>
  <c r="Y1030" i="11"/>
  <c r="Y1031" i="11"/>
  <c r="Y1032" i="11"/>
  <c r="Y1033" i="11"/>
  <c r="Y1034" i="11"/>
  <c r="Y1035" i="11"/>
  <c r="Y1036" i="11"/>
  <c r="Y1037" i="11"/>
  <c r="Y1038" i="11"/>
  <c r="Y1039" i="11"/>
  <c r="Y1040" i="11"/>
  <c r="Y1041" i="11"/>
  <c r="Y1042" i="11"/>
  <c r="Y1043" i="11"/>
  <c r="Y1044" i="11"/>
  <c r="Y1045" i="11"/>
  <c r="Y1046" i="11"/>
  <c r="Y1047" i="11"/>
  <c r="Y1048" i="11"/>
  <c r="Y1049" i="11"/>
  <c r="Y1050" i="11"/>
  <c r="Y1051" i="11"/>
  <c r="Y1052" i="11"/>
  <c r="Y1053" i="11"/>
  <c r="Y1054" i="11"/>
  <c r="Y1055" i="11"/>
  <c r="Y1056" i="11"/>
  <c r="Y1057" i="11"/>
  <c r="Y1058" i="11"/>
  <c r="Y1059" i="11"/>
  <c r="Y1060" i="11"/>
  <c r="Y1061" i="11"/>
  <c r="Y1062" i="11"/>
  <c r="Y1063" i="11"/>
  <c r="Y1064" i="11"/>
  <c r="Y1065" i="11"/>
  <c r="Y1066" i="11"/>
  <c r="Y1067" i="11"/>
  <c r="Y1068" i="11"/>
  <c r="Y1069" i="11"/>
  <c r="Y1070" i="11"/>
  <c r="Y1071" i="11"/>
  <c r="Y1072" i="11"/>
  <c r="Y1073" i="11"/>
  <c r="Y1074" i="11"/>
  <c r="Y1075" i="11"/>
  <c r="Y1076" i="11"/>
  <c r="Y1077" i="11"/>
  <c r="Y1078" i="11"/>
  <c r="Y1079" i="11"/>
  <c r="Y1080" i="11"/>
  <c r="Y1081" i="11"/>
  <c r="Y1082" i="11"/>
  <c r="Y1083" i="11"/>
  <c r="Y1084" i="11"/>
  <c r="Y1085" i="11"/>
  <c r="Y1086" i="11"/>
  <c r="Y1087" i="11"/>
  <c r="Y1088" i="11"/>
  <c r="Y1089" i="11"/>
  <c r="Y1090" i="11"/>
  <c r="Y1091" i="11"/>
  <c r="Y1092" i="11"/>
  <c r="Y1093" i="11"/>
  <c r="Y1094" i="11"/>
  <c r="Y1095" i="11"/>
  <c r="Y1096" i="11"/>
  <c r="Y1097" i="11"/>
  <c r="Y1098" i="11"/>
  <c r="Y1099" i="11"/>
  <c r="Y1100" i="11"/>
  <c r="Y1101" i="11"/>
  <c r="Y1102" i="11"/>
  <c r="Y1103" i="11"/>
  <c r="Y1104" i="11"/>
  <c r="Y1105" i="11"/>
  <c r="Y1106" i="11"/>
  <c r="Y1107" i="11"/>
  <c r="Y1108" i="11"/>
  <c r="Y1109" i="11"/>
  <c r="Y1110" i="11"/>
  <c r="Y1111" i="11"/>
  <c r="Y1112" i="11"/>
  <c r="Y1113" i="11"/>
  <c r="Y1114" i="11"/>
  <c r="Y1115" i="11"/>
  <c r="Y1116" i="11"/>
  <c r="Y1117" i="11"/>
  <c r="Y1118" i="11"/>
  <c r="Y1119" i="11"/>
  <c r="Y1120" i="11"/>
  <c r="Y1121" i="11"/>
  <c r="Y1122" i="11"/>
  <c r="Y1123" i="11"/>
  <c r="Y1124" i="11"/>
  <c r="Y1125" i="11"/>
  <c r="Y1126" i="11"/>
  <c r="Y1127" i="11"/>
  <c r="Y1128" i="11"/>
  <c r="Y1129" i="11"/>
  <c r="Y1130" i="11"/>
  <c r="Y1131" i="11"/>
  <c r="Y1132" i="11"/>
  <c r="Y1133" i="11"/>
  <c r="Y1134" i="11"/>
  <c r="Y1135" i="11"/>
  <c r="Y1136" i="11"/>
  <c r="Y1137" i="11"/>
  <c r="Y1138" i="11"/>
  <c r="Y1139" i="11"/>
  <c r="Y1140" i="11"/>
  <c r="Y1141" i="11"/>
  <c r="Y1142" i="11"/>
  <c r="Y1143" i="11"/>
  <c r="Y1144" i="11"/>
  <c r="Y1145" i="11"/>
  <c r="Y1146" i="11"/>
  <c r="Y1147" i="11"/>
  <c r="Y1148" i="11"/>
  <c r="Y1149" i="11"/>
  <c r="Y1150" i="11"/>
  <c r="Y1151" i="11"/>
  <c r="Y1152" i="11"/>
  <c r="Y1153" i="11"/>
  <c r="Y1154" i="11"/>
  <c r="Y1155" i="11"/>
  <c r="Y1156" i="11"/>
  <c r="Y1157" i="11"/>
  <c r="Y1158" i="11"/>
  <c r="Y1159" i="11"/>
  <c r="Y1160" i="11"/>
  <c r="Y1161" i="11"/>
  <c r="Y1162" i="11"/>
  <c r="Y1163" i="11"/>
  <c r="Y1164" i="11"/>
  <c r="Y1165" i="11"/>
  <c r="Y1166" i="11"/>
  <c r="Y1167" i="11"/>
  <c r="Y1168" i="11"/>
  <c r="Y1169" i="11"/>
  <c r="Y1170" i="11"/>
  <c r="Y1171" i="11"/>
  <c r="Y1172" i="11"/>
  <c r="Y1173" i="11"/>
  <c r="Y1174" i="11"/>
  <c r="Y1175" i="11"/>
  <c r="Y1176" i="11"/>
  <c r="Y1177" i="11"/>
  <c r="Y1178" i="11"/>
  <c r="Y1179" i="11"/>
  <c r="Y1180" i="11"/>
  <c r="Y1181" i="11"/>
  <c r="Y1182" i="11"/>
  <c r="Y1183" i="11"/>
  <c r="Y1184" i="11"/>
  <c r="Y1185" i="11"/>
  <c r="Y1186" i="11"/>
  <c r="Y1187" i="11"/>
  <c r="Y1188" i="11"/>
  <c r="Y1189" i="11"/>
  <c r="Y1190" i="11"/>
  <c r="Y1191" i="11"/>
  <c r="Y1192" i="11"/>
  <c r="Y1193" i="11"/>
  <c r="Y1194" i="11"/>
  <c r="Y1195" i="11"/>
  <c r="Y1196" i="11"/>
  <c r="Y1197" i="11"/>
  <c r="Y1198" i="11"/>
  <c r="Y1199" i="11"/>
  <c r="Y1200" i="11"/>
  <c r="Z479" i="11"/>
  <c r="Z274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70" i="11"/>
  <c r="Z307" i="11"/>
  <c r="Z328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407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551" i="11"/>
  <c r="Z552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34" i="11"/>
  <c r="Z363" i="11"/>
  <c r="Z354" i="11"/>
  <c r="Z45" i="11"/>
  <c r="Z535" i="11"/>
  <c r="Z537" i="11"/>
  <c r="Z538" i="11"/>
  <c r="Z500" i="11"/>
  <c r="Z536" i="11"/>
  <c r="Z539" i="11"/>
  <c r="Z540" i="11"/>
  <c r="Z554" i="11"/>
  <c r="Z541" i="11"/>
  <c r="Z542" i="11"/>
  <c r="Z543" i="11"/>
  <c r="Z544" i="11"/>
  <c r="Z545" i="11"/>
  <c r="Z546" i="11"/>
  <c r="Z547" i="11"/>
  <c r="Z548" i="11"/>
  <c r="Z549" i="11"/>
  <c r="Z550" i="11"/>
  <c r="Z558" i="11"/>
  <c r="Z559" i="11"/>
  <c r="Z560" i="11"/>
  <c r="Z561" i="11"/>
  <c r="Z562" i="11"/>
  <c r="Z563" i="11"/>
  <c r="Z564" i="11"/>
  <c r="Z566" i="11"/>
  <c r="Z567" i="11"/>
  <c r="Z568" i="11"/>
  <c r="Z569" i="11"/>
  <c r="Z570" i="11"/>
  <c r="Z571" i="11"/>
  <c r="Z572" i="11"/>
  <c r="Z573" i="11"/>
  <c r="Z574" i="11"/>
  <c r="Z580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553" i="11"/>
  <c r="Z555" i="11"/>
  <c r="Z607" i="11"/>
  <c r="Z608" i="11"/>
  <c r="Z614" i="11"/>
  <c r="Z615" i="11"/>
  <c r="Z616" i="11"/>
  <c r="Z581" i="11"/>
  <c r="Z575" i="11"/>
  <c r="Z576" i="11"/>
  <c r="Z577" i="11"/>
  <c r="Z578" i="11"/>
  <c r="Z556" i="11"/>
  <c r="Z557" i="11"/>
  <c r="Z579" i="11"/>
  <c r="Z582" i="11"/>
  <c r="Z583" i="11"/>
  <c r="Z584" i="11"/>
  <c r="Z617" i="11"/>
  <c r="Z467" i="11"/>
  <c r="Z613" i="11"/>
  <c r="Z609" i="11"/>
  <c r="Z610" i="11"/>
  <c r="Z611" i="11"/>
  <c r="Z612" i="11"/>
  <c r="Z618" i="11"/>
  <c r="Z619" i="11"/>
  <c r="Z620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634" i="11"/>
  <c r="Z635" i="11"/>
  <c r="Z636" i="11"/>
  <c r="Z637" i="11"/>
  <c r="Z638" i="11"/>
  <c r="Z639" i="11"/>
  <c r="Z640" i="11"/>
  <c r="Z641" i="11"/>
  <c r="Z642" i="11"/>
  <c r="Z643" i="11"/>
  <c r="Z644" i="11"/>
  <c r="Z645" i="11"/>
  <c r="Z646" i="11"/>
  <c r="Z647" i="11"/>
  <c r="Z648" i="11"/>
  <c r="Z649" i="11"/>
  <c r="Z650" i="11"/>
  <c r="Z651" i="11"/>
  <c r="Z652" i="11"/>
  <c r="Z653" i="11"/>
  <c r="Z654" i="11"/>
  <c r="Z655" i="11"/>
  <c r="Z656" i="11"/>
  <c r="Z657" i="11"/>
  <c r="Z658" i="11"/>
  <c r="Z659" i="11"/>
  <c r="Z660" i="11"/>
  <c r="Z661" i="11"/>
  <c r="Z662" i="11"/>
  <c r="Z663" i="11"/>
  <c r="Z664" i="11"/>
  <c r="Z665" i="11"/>
  <c r="Z666" i="11"/>
  <c r="Z667" i="11"/>
  <c r="Z668" i="11"/>
  <c r="Z669" i="11"/>
  <c r="Z670" i="11"/>
  <c r="Z671" i="11"/>
  <c r="Z672" i="11"/>
  <c r="Z673" i="11"/>
  <c r="Z674" i="11"/>
  <c r="Z675" i="11"/>
  <c r="Z676" i="11"/>
  <c r="Z677" i="11"/>
  <c r="Z678" i="11"/>
  <c r="Z679" i="11"/>
  <c r="Z680" i="11"/>
  <c r="Z681" i="11"/>
  <c r="Z683" i="11"/>
  <c r="Z684" i="11"/>
  <c r="Z685" i="11"/>
  <c r="Z686" i="11"/>
  <c r="Z687" i="11"/>
  <c r="Z688" i="11"/>
  <c r="Z689" i="11"/>
  <c r="Z690" i="11"/>
  <c r="Z691" i="11"/>
  <c r="Z692" i="11"/>
  <c r="Z693" i="11"/>
  <c r="Z694" i="11"/>
  <c r="Z695" i="11"/>
  <c r="Z696" i="11"/>
  <c r="Z697" i="11"/>
  <c r="Z698" i="11"/>
  <c r="Z699" i="11"/>
  <c r="Z700" i="11"/>
  <c r="Z701" i="11"/>
  <c r="Z702" i="11"/>
  <c r="Z703" i="11"/>
  <c r="Z704" i="11"/>
  <c r="Z705" i="11"/>
  <c r="Z706" i="11"/>
  <c r="Z707" i="11"/>
  <c r="Z708" i="11"/>
  <c r="Z709" i="11"/>
  <c r="Z710" i="11"/>
  <c r="Z711" i="11"/>
  <c r="Z712" i="11"/>
  <c r="Z713" i="11"/>
  <c r="Z714" i="11"/>
  <c r="Z715" i="11"/>
  <c r="Z716" i="11"/>
  <c r="Z717" i="11"/>
  <c r="Z718" i="11"/>
  <c r="Z719" i="11"/>
  <c r="Z720" i="11"/>
  <c r="Z721" i="11"/>
  <c r="Z722" i="11"/>
  <c r="Z723" i="11"/>
  <c r="Z724" i="11"/>
  <c r="Z725" i="11"/>
  <c r="Z726" i="11"/>
  <c r="Z727" i="11"/>
  <c r="Z728" i="11"/>
  <c r="Z729" i="11"/>
  <c r="Z730" i="11"/>
  <c r="Z731" i="11"/>
  <c r="Z732" i="11"/>
  <c r="Z733" i="11"/>
  <c r="Z734" i="11"/>
  <c r="Z735" i="11"/>
  <c r="Z736" i="11"/>
  <c r="Z737" i="11"/>
  <c r="Z738" i="11"/>
  <c r="Z739" i="11"/>
  <c r="Z740" i="11"/>
  <c r="Z741" i="11"/>
  <c r="Z742" i="11"/>
  <c r="Z743" i="11"/>
  <c r="Z744" i="11"/>
  <c r="Z745" i="11"/>
  <c r="Z746" i="11"/>
  <c r="Z747" i="11"/>
  <c r="Z748" i="11"/>
  <c r="Z749" i="11"/>
  <c r="Z750" i="11"/>
  <c r="Z751" i="11"/>
  <c r="Z752" i="11"/>
  <c r="Z753" i="11"/>
  <c r="Z754" i="11"/>
  <c r="Z755" i="11"/>
  <c r="Z756" i="11"/>
  <c r="Z757" i="11"/>
  <c r="Z758" i="11"/>
  <c r="Z759" i="11"/>
  <c r="Z760" i="11"/>
  <c r="Z761" i="11"/>
  <c r="Z762" i="11"/>
  <c r="Z763" i="11"/>
  <c r="Z764" i="11"/>
  <c r="Z765" i="11"/>
  <c r="Z766" i="11"/>
  <c r="Z767" i="11"/>
  <c r="Z768" i="11"/>
  <c r="Z769" i="11"/>
  <c r="Z770" i="11"/>
  <c r="Z771" i="11"/>
  <c r="Z772" i="11"/>
  <c r="Z773" i="11"/>
  <c r="Z774" i="11"/>
  <c r="Z775" i="11"/>
  <c r="Z776" i="11"/>
  <c r="Z777" i="11"/>
  <c r="Z778" i="11"/>
  <c r="Z779" i="11"/>
  <c r="Z780" i="11"/>
  <c r="Z781" i="11"/>
  <c r="Z782" i="11"/>
  <c r="Z783" i="11"/>
  <c r="Z784" i="11"/>
  <c r="Z785" i="11"/>
  <c r="Z786" i="11"/>
  <c r="Z787" i="11"/>
  <c r="Z788" i="11"/>
  <c r="Z789" i="11"/>
  <c r="Z790" i="11"/>
  <c r="Z791" i="11"/>
  <c r="Z792" i="11"/>
  <c r="Z793" i="11"/>
  <c r="Z794" i="11"/>
  <c r="Z795" i="11"/>
  <c r="Z796" i="11"/>
  <c r="Z797" i="11"/>
  <c r="Z798" i="11"/>
  <c r="Z799" i="11"/>
  <c r="Z800" i="11"/>
  <c r="Z801" i="11"/>
  <c r="Z802" i="11"/>
  <c r="Z803" i="11"/>
  <c r="Z804" i="11"/>
  <c r="Z805" i="11"/>
  <c r="Z806" i="11"/>
  <c r="Z807" i="11"/>
  <c r="Z808" i="11"/>
  <c r="Z809" i="11"/>
  <c r="Z810" i="11"/>
  <c r="Z811" i="11"/>
  <c r="Z812" i="11"/>
  <c r="Z813" i="11"/>
  <c r="Z814" i="11"/>
  <c r="Z815" i="11"/>
  <c r="Z816" i="11"/>
  <c r="Z817" i="11"/>
  <c r="Z818" i="11"/>
  <c r="Z819" i="11"/>
  <c r="Z820" i="11"/>
  <c r="Z821" i="11"/>
  <c r="Z822" i="11"/>
  <c r="Z823" i="11"/>
  <c r="Z824" i="11"/>
  <c r="Z825" i="11"/>
  <c r="Z826" i="11"/>
  <c r="Z827" i="11"/>
  <c r="Z828" i="11"/>
  <c r="Z829" i="11"/>
  <c r="Z830" i="11"/>
  <c r="Z831" i="11"/>
  <c r="Z832" i="11"/>
  <c r="Z833" i="11"/>
  <c r="Z834" i="11"/>
  <c r="Z835" i="11"/>
  <c r="Z836" i="11"/>
  <c r="Z837" i="11"/>
  <c r="Z838" i="11"/>
  <c r="Z839" i="11"/>
  <c r="Z840" i="11"/>
  <c r="Z841" i="11"/>
  <c r="Z842" i="11"/>
  <c r="Z843" i="11"/>
  <c r="Z844" i="11"/>
  <c r="Z845" i="11"/>
  <c r="Z846" i="11"/>
  <c r="Z847" i="11"/>
  <c r="Z848" i="11"/>
  <c r="Z849" i="11"/>
  <c r="Z850" i="11"/>
  <c r="Z851" i="11"/>
  <c r="Z852" i="11"/>
  <c r="Z853" i="11"/>
  <c r="Z854" i="11"/>
  <c r="Z855" i="11"/>
  <c r="Z856" i="11"/>
  <c r="Z857" i="11"/>
  <c r="Z858" i="11"/>
  <c r="Z859" i="11"/>
  <c r="Z860" i="11"/>
  <c r="Z861" i="11"/>
  <c r="Z862" i="11"/>
  <c r="Z863" i="11"/>
  <c r="Z864" i="11"/>
  <c r="Z865" i="11"/>
  <c r="Z866" i="11"/>
  <c r="Z867" i="11"/>
  <c r="Z868" i="11"/>
  <c r="Z869" i="11"/>
  <c r="Z870" i="11"/>
  <c r="Z871" i="11"/>
  <c r="Z872" i="11"/>
  <c r="Z873" i="11"/>
  <c r="Z874" i="11"/>
  <c r="Z875" i="11"/>
  <c r="Z876" i="11"/>
  <c r="Z877" i="11"/>
  <c r="Z878" i="11"/>
  <c r="Z879" i="11"/>
  <c r="Z880" i="11"/>
  <c r="Z881" i="11"/>
  <c r="Z882" i="11"/>
  <c r="Z883" i="11"/>
  <c r="Z884" i="11"/>
  <c r="Z885" i="11"/>
  <c r="Z886" i="11"/>
  <c r="Z887" i="11"/>
  <c r="Z888" i="11"/>
  <c r="Z889" i="11"/>
  <c r="Z890" i="11"/>
  <c r="Z891" i="11"/>
  <c r="Z892" i="11"/>
  <c r="Z893" i="11"/>
  <c r="Z894" i="11"/>
  <c r="Z895" i="11"/>
  <c r="Z896" i="11"/>
  <c r="Z897" i="11"/>
  <c r="Z898" i="11"/>
  <c r="Z899" i="11"/>
  <c r="Z900" i="11"/>
  <c r="Z901" i="11"/>
  <c r="Z902" i="11"/>
  <c r="Z903" i="11"/>
  <c r="Z904" i="11"/>
  <c r="Z905" i="11"/>
  <c r="Z906" i="11"/>
  <c r="Z907" i="11"/>
  <c r="Z908" i="11"/>
  <c r="Z909" i="11"/>
  <c r="Z910" i="11"/>
  <c r="Z911" i="11"/>
  <c r="Z912" i="11"/>
  <c r="Z913" i="11"/>
  <c r="Z914" i="11"/>
  <c r="Z915" i="11"/>
  <c r="Z916" i="11"/>
  <c r="Z917" i="11"/>
  <c r="Z918" i="11"/>
  <c r="Z919" i="11"/>
  <c r="Z920" i="11"/>
  <c r="Z921" i="11"/>
  <c r="Z922" i="11"/>
  <c r="Z923" i="11"/>
  <c r="Z924" i="11"/>
  <c r="Z925" i="11"/>
  <c r="Z926" i="11"/>
  <c r="Z927" i="11"/>
  <c r="Z928" i="11"/>
  <c r="Z929" i="11"/>
  <c r="Z930" i="11"/>
  <c r="Z931" i="11"/>
  <c r="Z932" i="11"/>
  <c r="Z933" i="11"/>
  <c r="Z934" i="11"/>
  <c r="Z935" i="11"/>
  <c r="Z936" i="11"/>
  <c r="Z937" i="11"/>
  <c r="Z938" i="11"/>
  <c r="Z939" i="11"/>
  <c r="Z940" i="11"/>
  <c r="Z941" i="11"/>
  <c r="Z942" i="11"/>
  <c r="Z943" i="11"/>
  <c r="Z944" i="11"/>
  <c r="Z945" i="11"/>
  <c r="Z946" i="11"/>
  <c r="Z947" i="11"/>
  <c r="Z948" i="11"/>
  <c r="Z949" i="11"/>
  <c r="Z950" i="11"/>
  <c r="Z951" i="11"/>
  <c r="Z952" i="11"/>
  <c r="Z953" i="11"/>
  <c r="Z954" i="11"/>
  <c r="Z955" i="11"/>
  <c r="Z956" i="11"/>
  <c r="Z957" i="11"/>
  <c r="Z958" i="11"/>
  <c r="Z959" i="11"/>
  <c r="Z960" i="11"/>
  <c r="Z961" i="11"/>
  <c r="Z962" i="11"/>
  <c r="Z963" i="11"/>
  <c r="Z964" i="11"/>
  <c r="Z965" i="11"/>
  <c r="Z966" i="11"/>
  <c r="Z967" i="11"/>
  <c r="Z968" i="11"/>
  <c r="Z969" i="11"/>
  <c r="Z970" i="11"/>
  <c r="Z971" i="11"/>
  <c r="Z972" i="11"/>
  <c r="Z973" i="11"/>
  <c r="Z974" i="11"/>
  <c r="Z975" i="11"/>
  <c r="Z976" i="11"/>
  <c r="Z977" i="11"/>
  <c r="Z978" i="11"/>
  <c r="Z979" i="11"/>
  <c r="Z980" i="11"/>
  <c r="Z981" i="11"/>
  <c r="Z982" i="11"/>
  <c r="Z983" i="11"/>
  <c r="Z984" i="11"/>
  <c r="Z985" i="11"/>
  <c r="Z986" i="11"/>
  <c r="Z987" i="11"/>
  <c r="Z988" i="11"/>
  <c r="Z989" i="11"/>
  <c r="Z990" i="11"/>
  <c r="Z991" i="11"/>
  <c r="Z992" i="11"/>
  <c r="Z993" i="11"/>
  <c r="Z994" i="11"/>
  <c r="Z995" i="11"/>
  <c r="Z996" i="11"/>
  <c r="Z997" i="11"/>
  <c r="Z998" i="11"/>
  <c r="Z999" i="11"/>
  <c r="Z1000" i="11"/>
  <c r="Z1001" i="11"/>
  <c r="Z1002" i="11"/>
  <c r="Z1003" i="11"/>
  <c r="Z1004" i="11"/>
  <c r="Z1005" i="11"/>
  <c r="Z1006" i="11"/>
  <c r="Z1007" i="11"/>
  <c r="Z1008" i="11"/>
  <c r="Z1009" i="11"/>
  <c r="Z1010" i="11"/>
  <c r="Z1011" i="11"/>
  <c r="Z1012" i="11"/>
  <c r="Z1013" i="11"/>
  <c r="Z1014" i="11"/>
  <c r="Z1015" i="11"/>
  <c r="Z1016" i="11"/>
  <c r="Z1017" i="11"/>
  <c r="Z1018" i="11"/>
  <c r="Z1019" i="11"/>
  <c r="Z1020" i="11"/>
  <c r="Z1021" i="11"/>
  <c r="Z1022" i="11"/>
  <c r="Z1023" i="11"/>
  <c r="Z1024" i="11"/>
  <c r="Z1025" i="11"/>
  <c r="Z1026" i="11"/>
  <c r="Z1027" i="11"/>
  <c r="Z1028" i="11"/>
  <c r="Z1029" i="11"/>
  <c r="Z1030" i="11"/>
  <c r="Z1031" i="11"/>
  <c r="Z1032" i="11"/>
  <c r="Z1033" i="11"/>
  <c r="Z1034" i="11"/>
  <c r="Z1035" i="11"/>
  <c r="Z1036" i="11"/>
  <c r="Z1037" i="11"/>
  <c r="Z1038" i="11"/>
  <c r="Z1039" i="11"/>
  <c r="Z1040" i="11"/>
  <c r="Z1041" i="11"/>
  <c r="Z1042" i="11"/>
  <c r="Z1043" i="11"/>
  <c r="Z1044" i="11"/>
  <c r="Z1045" i="11"/>
  <c r="Z1046" i="11"/>
  <c r="Z1047" i="11"/>
  <c r="Z1048" i="11"/>
  <c r="Z1049" i="11"/>
  <c r="Z1050" i="11"/>
  <c r="Z1051" i="11"/>
  <c r="Z1052" i="11"/>
  <c r="Z1053" i="11"/>
  <c r="Z1054" i="11"/>
  <c r="Z1055" i="11"/>
  <c r="Z1056" i="11"/>
  <c r="Z1057" i="11"/>
  <c r="Z1058" i="11"/>
  <c r="Z1059" i="11"/>
  <c r="Z1060" i="11"/>
  <c r="Z1061" i="11"/>
  <c r="Z1062" i="11"/>
  <c r="Z1063" i="11"/>
  <c r="Z1064" i="11"/>
  <c r="Z1065" i="11"/>
  <c r="Z1066" i="11"/>
  <c r="Z1067" i="11"/>
  <c r="Z1068" i="11"/>
  <c r="Z1069" i="11"/>
  <c r="Z1070" i="11"/>
  <c r="Z1071" i="11"/>
  <c r="Z1072" i="11"/>
  <c r="Z1073" i="11"/>
  <c r="Z1074" i="11"/>
  <c r="Z1075" i="11"/>
  <c r="Z1076" i="11"/>
  <c r="Z1077" i="11"/>
  <c r="Z1078" i="11"/>
  <c r="Z1079" i="11"/>
  <c r="Z1080" i="11"/>
  <c r="Z1081" i="11"/>
  <c r="Z1082" i="11"/>
  <c r="Z1083" i="11"/>
  <c r="Z1084" i="11"/>
  <c r="Z1085" i="11"/>
  <c r="Z1086" i="11"/>
  <c r="Z1087" i="11"/>
  <c r="Z1088" i="11"/>
  <c r="Z1089" i="11"/>
  <c r="Z1090" i="11"/>
  <c r="Z1091" i="11"/>
  <c r="Z1092" i="11"/>
  <c r="Z1093" i="11"/>
  <c r="Z1094" i="11"/>
  <c r="Z1095" i="11"/>
  <c r="Z1096" i="11"/>
  <c r="Z1097" i="11"/>
  <c r="Z1098" i="11"/>
  <c r="Z1099" i="11"/>
  <c r="Z1100" i="11"/>
  <c r="Z1101" i="11"/>
  <c r="Z1102" i="11"/>
  <c r="Z1103" i="11"/>
  <c r="Z1104" i="11"/>
  <c r="Z1105" i="11"/>
  <c r="Z1106" i="11"/>
  <c r="Z1107" i="11"/>
  <c r="Z1108" i="11"/>
  <c r="Z1109" i="11"/>
  <c r="Z1110" i="11"/>
  <c r="Z1111" i="11"/>
  <c r="Z1112" i="11"/>
  <c r="Z1113" i="11"/>
  <c r="Z1114" i="11"/>
  <c r="Z1115" i="11"/>
  <c r="Z1116" i="11"/>
  <c r="Z1117" i="11"/>
  <c r="Z1118" i="11"/>
  <c r="Z1119" i="11"/>
  <c r="Z1120" i="11"/>
  <c r="Z1121" i="11"/>
  <c r="Z1122" i="11"/>
  <c r="Z1123" i="11"/>
  <c r="Z1124" i="11"/>
  <c r="Z1125" i="11"/>
  <c r="Z1126" i="11"/>
  <c r="Z1127" i="11"/>
  <c r="Z1128" i="11"/>
  <c r="Z1129" i="11"/>
  <c r="Z1130" i="11"/>
  <c r="Z1131" i="11"/>
  <c r="Z1132" i="11"/>
  <c r="Z1133" i="11"/>
  <c r="Z1134" i="11"/>
  <c r="Z1135" i="11"/>
  <c r="Z1136" i="11"/>
  <c r="Z1137" i="11"/>
  <c r="Z1138" i="11"/>
  <c r="Z1139" i="11"/>
  <c r="Z1140" i="11"/>
  <c r="Z1141" i="11"/>
  <c r="Z1142" i="11"/>
  <c r="Z1143" i="11"/>
  <c r="Z1144" i="11"/>
  <c r="Z1145" i="11"/>
  <c r="Z1146" i="11"/>
  <c r="Z1147" i="11"/>
  <c r="Z1148" i="11"/>
  <c r="Z1149" i="11"/>
  <c r="Z1150" i="11"/>
  <c r="Z1151" i="11"/>
  <c r="Z1152" i="11"/>
  <c r="Z1153" i="11"/>
  <c r="Z1154" i="11"/>
  <c r="Z1155" i="11"/>
  <c r="Z1156" i="11"/>
  <c r="Z1157" i="11"/>
  <c r="Z1158" i="11"/>
  <c r="Z1159" i="11"/>
  <c r="Z1160" i="11"/>
  <c r="Z1161" i="11"/>
  <c r="Z1162" i="11"/>
  <c r="Z1163" i="11"/>
  <c r="Z1164" i="11"/>
  <c r="Z1165" i="11"/>
  <c r="Z1166" i="11"/>
  <c r="Z1167" i="11"/>
  <c r="Z1168" i="11"/>
  <c r="Z1169" i="11"/>
  <c r="Z1170" i="11"/>
  <c r="Z1171" i="11"/>
  <c r="Z1172" i="11"/>
  <c r="Z1173" i="11"/>
  <c r="Z1174" i="11"/>
  <c r="Z1175" i="11"/>
  <c r="Z1176" i="11"/>
  <c r="Z1177" i="11"/>
  <c r="Z1178" i="11"/>
  <c r="Z1179" i="11"/>
  <c r="Z1180" i="11"/>
  <c r="Z1181" i="11"/>
  <c r="Z1182" i="11"/>
  <c r="Z1183" i="11"/>
  <c r="Z1184" i="11"/>
  <c r="Z1185" i="11"/>
  <c r="Z1186" i="11"/>
  <c r="Z1187" i="11"/>
  <c r="Z1188" i="11"/>
  <c r="Z1189" i="11"/>
  <c r="Z1190" i="11"/>
  <c r="Z1191" i="11"/>
  <c r="Z1192" i="11"/>
  <c r="Z1193" i="11"/>
  <c r="Z1194" i="11"/>
  <c r="Z1195" i="11"/>
  <c r="Z1196" i="11"/>
  <c r="Z1197" i="11"/>
  <c r="Z1198" i="11"/>
  <c r="Z1199" i="11"/>
  <c r="Z1200" i="11"/>
  <c r="X469" i="11"/>
  <c r="X470" i="11"/>
  <c r="X477" i="11"/>
  <c r="X478" i="11"/>
  <c r="Y469" i="11"/>
  <c r="Y470" i="11"/>
  <c r="Y477" i="11"/>
  <c r="Y478" i="11"/>
  <c r="Z469" i="11"/>
  <c r="Z470" i="11"/>
  <c r="Z477" i="11"/>
  <c r="Z478" i="11"/>
  <c r="X448" i="11"/>
  <c r="Y448" i="11"/>
  <c r="Z448" i="11"/>
  <c r="X409" i="11"/>
  <c r="X410" i="11"/>
  <c r="X411" i="11"/>
  <c r="X412" i="11"/>
  <c r="X413" i="11"/>
  <c r="X414" i="11"/>
  <c r="X415" i="11"/>
  <c r="X416" i="11"/>
  <c r="X417" i="11"/>
  <c r="X418" i="11"/>
  <c r="X419" i="11"/>
  <c r="X420" i="11"/>
  <c r="X421" i="11"/>
  <c r="X422" i="11"/>
  <c r="X423" i="11"/>
  <c r="X424" i="11"/>
  <c r="X425" i="11"/>
  <c r="X426" i="11"/>
  <c r="X427" i="11"/>
  <c r="X428" i="11"/>
  <c r="X429" i="11"/>
  <c r="X430" i="11"/>
  <c r="X431" i="11"/>
  <c r="X432" i="11"/>
  <c r="X433" i="11"/>
  <c r="X434" i="11"/>
  <c r="X435" i="11"/>
  <c r="X436" i="11"/>
  <c r="X437" i="11"/>
  <c r="X438" i="11"/>
  <c r="X439" i="11"/>
  <c r="X440" i="11"/>
  <c r="X441" i="11"/>
  <c r="X442" i="11"/>
  <c r="X443" i="11"/>
  <c r="X444" i="11"/>
  <c r="X445" i="11"/>
  <c r="X446" i="11"/>
  <c r="X447" i="11"/>
  <c r="Y409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8" i="11"/>
  <c r="Y439" i="11"/>
  <c r="Y440" i="11"/>
  <c r="Y441" i="11"/>
  <c r="Y442" i="11"/>
  <c r="Y443" i="11"/>
  <c r="Y444" i="11"/>
  <c r="Y445" i="11"/>
  <c r="Y446" i="11"/>
  <c r="Y447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X408" i="11"/>
  <c r="Y408" i="11"/>
  <c r="Z408" i="11"/>
  <c r="X380" i="11"/>
  <c r="X381" i="11"/>
  <c r="X382" i="11"/>
  <c r="X383" i="11"/>
  <c r="X384" i="11"/>
  <c r="X385" i="11"/>
  <c r="X386" i="11"/>
  <c r="X387" i="11"/>
  <c r="X388" i="11"/>
  <c r="X389" i="11"/>
  <c r="X390" i="11"/>
  <c r="X391" i="11"/>
  <c r="X392" i="11"/>
  <c r="X393" i="11"/>
  <c r="X394" i="11"/>
  <c r="X395" i="11"/>
  <c r="X396" i="11"/>
  <c r="X397" i="11"/>
  <c r="X398" i="11"/>
  <c r="X468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468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468" i="11"/>
  <c r="X356" i="11"/>
  <c r="X357" i="11"/>
  <c r="X358" i="11"/>
  <c r="X359" i="11"/>
  <c r="X360" i="11"/>
  <c r="X361" i="11"/>
  <c r="X362" i="11"/>
  <c r="Y356" i="11"/>
  <c r="Y357" i="11"/>
  <c r="Y358" i="11"/>
  <c r="Y359" i="11"/>
  <c r="Y360" i="11"/>
  <c r="Y361" i="11"/>
  <c r="Y362" i="11"/>
  <c r="Z356" i="11"/>
  <c r="Z357" i="11"/>
  <c r="Z358" i="11"/>
  <c r="Z359" i="11"/>
  <c r="Z360" i="11"/>
  <c r="Z361" i="11"/>
  <c r="Z362" i="11"/>
  <c r="X349" i="11"/>
  <c r="X350" i="11"/>
  <c r="X351" i="11"/>
  <c r="X352" i="11"/>
  <c r="X353" i="11"/>
  <c r="Y349" i="11"/>
  <c r="Y350" i="11"/>
  <c r="Y351" i="11"/>
  <c r="Y352" i="11"/>
  <c r="Y353" i="11"/>
  <c r="Z349" i="11"/>
  <c r="Z350" i="11"/>
  <c r="Z351" i="11"/>
  <c r="Z352" i="11"/>
  <c r="Z353" i="11"/>
  <c r="X310" i="11"/>
  <c r="X311" i="11"/>
  <c r="X312" i="11"/>
  <c r="X313" i="11"/>
  <c r="X314" i="11"/>
  <c r="X315" i="11"/>
  <c r="X316" i="11"/>
  <c r="X317" i="11"/>
  <c r="X318" i="11"/>
  <c r="X319" i="11"/>
  <c r="X320" i="11"/>
  <c r="X321" i="11"/>
  <c r="X322" i="11"/>
  <c r="X323" i="11"/>
  <c r="X324" i="11"/>
  <c r="X325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X273" i="11"/>
  <c r="Y273" i="11"/>
  <c r="Z273" i="11"/>
  <c r="AD120" i="12" l="1"/>
  <c r="AE120" i="12" s="1"/>
  <c r="AH120" i="12" s="1" a="1"/>
  <c r="AH120" i="12" s="1"/>
  <c r="AD128" i="12"/>
  <c r="AD126" i="12"/>
  <c r="C26" i="19"/>
  <c r="AD125" i="12"/>
  <c r="AE125" i="12" s="1"/>
  <c r="AH125" i="12" s="1" a="1"/>
  <c r="AH125" i="12" s="1"/>
  <c r="AD124" i="12"/>
  <c r="AD113" i="12"/>
  <c r="AD114" i="12"/>
  <c r="AE114" i="12" s="1"/>
  <c r="AH114" i="12" s="1" a="1"/>
  <c r="AH114" i="12" s="1"/>
  <c r="AD100" i="12"/>
  <c r="AE100" i="12" s="1"/>
  <c r="AH100" i="12" s="1" a="1"/>
  <c r="AH100" i="12" s="1"/>
  <c r="AD105" i="12"/>
  <c r="AE105" i="12" s="1"/>
  <c r="AH105" i="12" s="1" a="1"/>
  <c r="AH105" i="12" s="1"/>
  <c r="AD107" i="12"/>
  <c r="AE107" i="12" s="1"/>
  <c r="AH107" i="12" s="1" a="1"/>
  <c r="AH107" i="12" s="1"/>
  <c r="AD101" i="12"/>
  <c r="AE101" i="12" s="1"/>
  <c r="AH101" i="12" s="1" a="1"/>
  <c r="AH101" i="12" s="1"/>
  <c r="AD102" i="12"/>
  <c r="AD122" i="12"/>
  <c r="AD106" i="12"/>
  <c r="AD121" i="12"/>
  <c r="AD108" i="12"/>
  <c r="AD110" i="12"/>
  <c r="AD112" i="12"/>
  <c r="AD119" i="12"/>
  <c r="AE119" i="12" s="1"/>
  <c r="AH119" i="12" s="1" a="1"/>
  <c r="AH119" i="12" s="1"/>
  <c r="AD111" i="12"/>
  <c r="AE111" i="12" s="1"/>
  <c r="AH111" i="12" s="1" a="1"/>
  <c r="AH111" i="12" s="1"/>
  <c r="AD109" i="12"/>
  <c r="AE109" i="12" s="1"/>
  <c r="AH109" i="12" s="1" a="1"/>
  <c r="AH109" i="12" s="1"/>
  <c r="AD117" i="12"/>
  <c r="AE117" i="12" s="1"/>
  <c r="AH117" i="12" s="1" a="1"/>
  <c r="AH117" i="12" s="1"/>
  <c r="AD103" i="12"/>
  <c r="AE103" i="12" s="1"/>
  <c r="AH103" i="12" s="1" a="1"/>
  <c r="AH103" i="12" s="1"/>
  <c r="AD118" i="12"/>
  <c r="AD96" i="12"/>
  <c r="AD94" i="12"/>
  <c r="AD98" i="12"/>
  <c r="AD104" i="12"/>
  <c r="AD116" i="12"/>
  <c r="AD99" i="12"/>
  <c r="AD97" i="12"/>
  <c r="AE97" i="12" s="1"/>
  <c r="AH97" i="12" s="1" a="1"/>
  <c r="AH97" i="12" s="1"/>
  <c r="AD95" i="12"/>
  <c r="AD93" i="12"/>
  <c r="AE93" i="12" s="1"/>
  <c r="AH93" i="12" s="1" a="1"/>
  <c r="AH93" i="12" s="1"/>
  <c r="AD85" i="12"/>
  <c r="AE85" i="12" s="1"/>
  <c r="AH85" i="12" s="1" a="1"/>
  <c r="AH85" i="12" s="1"/>
  <c r="AD91" i="12"/>
  <c r="AE91" i="12" s="1"/>
  <c r="AH91" i="12" s="1" a="1"/>
  <c r="AH91" i="12" s="1"/>
  <c r="AD86" i="12"/>
  <c r="AD88" i="12"/>
  <c r="AD87" i="12"/>
  <c r="AD89" i="12"/>
  <c r="AD90" i="12"/>
  <c r="AE90" i="12" s="1"/>
  <c r="AH90" i="12" s="1" a="1"/>
  <c r="AH90" i="12" s="1"/>
  <c r="AD82" i="12"/>
  <c r="AD92" i="12"/>
  <c r="AE92" i="12" s="1"/>
  <c r="AH92" i="12" s="1" a="1"/>
  <c r="AH92" i="12" s="1"/>
  <c r="AD84" i="12"/>
  <c r="AD81" i="12"/>
  <c r="AD83" i="12"/>
  <c r="AD77" i="12"/>
  <c r="AE77" i="12" s="1"/>
  <c r="AH77" i="12" s="1" a="1"/>
  <c r="AH77" i="12" s="1"/>
  <c r="AD78" i="12"/>
  <c r="AE78" i="12" s="1"/>
  <c r="AH78" i="12" s="1" a="1"/>
  <c r="AH78" i="12" s="1"/>
  <c r="AD67" i="12"/>
  <c r="AD72" i="12"/>
  <c r="AD70" i="12"/>
  <c r="AD62" i="12"/>
  <c r="AD64" i="12"/>
  <c r="AE64" i="12" s="1"/>
  <c r="AH64" i="12" s="1" a="1"/>
  <c r="AH64" i="12" s="1"/>
  <c r="AD56" i="12"/>
  <c r="AE56" i="12" s="1"/>
  <c r="AH56" i="12" s="1" a="1"/>
  <c r="AH56" i="12" s="1"/>
  <c r="AD80" i="12"/>
  <c r="AD79" i="12"/>
  <c r="AE79" i="12" s="1"/>
  <c r="AH79" i="12" s="1" a="1"/>
  <c r="AH79" i="12" s="1"/>
  <c r="AD69" i="12"/>
  <c r="AD71" i="12"/>
  <c r="AD63" i="12"/>
  <c r="AE63" i="12" s="1"/>
  <c r="AH63" i="12" s="1" a="1"/>
  <c r="AH63" i="12" s="1"/>
  <c r="AD61" i="12"/>
  <c r="AE61" i="12" s="1"/>
  <c r="AH61" i="12" s="1" a="1"/>
  <c r="AH61" i="12" s="1"/>
  <c r="AD65" i="12"/>
  <c r="AD66" i="12"/>
  <c r="AD76" i="12"/>
  <c r="AD74" i="12"/>
  <c r="AD75" i="12"/>
  <c r="AE75" i="12" s="1"/>
  <c r="AH75" i="12" s="1" a="1"/>
  <c r="AH75" i="12" s="1"/>
  <c r="AD73" i="12"/>
  <c r="AE73" i="12" s="1"/>
  <c r="AH73" i="12" s="1" a="1"/>
  <c r="AH73" i="12" s="1"/>
  <c r="AD68" i="12"/>
  <c r="AE68" i="12" s="1"/>
  <c r="AH68" i="12" s="1" a="1"/>
  <c r="AH68" i="12" s="1"/>
  <c r="AD44" i="12"/>
  <c r="AD58" i="12"/>
  <c r="AD60" i="12"/>
  <c r="AE60" i="12" s="1"/>
  <c r="AH60" i="12" s="1" a="1"/>
  <c r="AH60" i="12" s="1"/>
  <c r="AD50" i="12"/>
  <c r="AE50" i="12" s="1"/>
  <c r="AH50" i="12" s="1" a="1"/>
  <c r="AH50" i="12" s="1"/>
  <c r="AD52" i="12"/>
  <c r="AE52" i="12" s="1"/>
  <c r="AH52" i="12" s="1" a="1"/>
  <c r="AH52" i="12" s="1"/>
  <c r="AD57" i="12"/>
  <c r="AD59" i="12"/>
  <c r="AD51" i="12"/>
  <c r="AD47" i="12"/>
  <c r="AD53" i="12"/>
  <c r="AD54" i="12"/>
  <c r="AE54" i="12" s="1"/>
  <c r="AH54" i="12" s="1" a="1"/>
  <c r="AH54" i="12" s="1"/>
  <c r="AD55" i="12"/>
  <c r="AE55" i="12" s="1"/>
  <c r="AH55" i="12" s="1" a="1"/>
  <c r="AH55" i="12" s="1"/>
  <c r="AD49" i="12"/>
  <c r="AE49" i="12" s="1"/>
  <c r="AH49" i="12" s="1" a="1"/>
  <c r="AH49" i="12" s="1"/>
  <c r="AD46" i="12"/>
  <c r="AE46" i="12" s="1"/>
  <c r="AH46" i="12" s="1" a="1"/>
  <c r="AH46" i="12" s="1"/>
  <c r="AD48" i="12"/>
  <c r="AE48" i="12" s="1"/>
  <c r="AH48" i="12" s="1" a="1"/>
  <c r="AH48" i="12" s="1"/>
  <c r="AD40" i="12"/>
  <c r="AE40" i="12" s="1"/>
  <c r="AH40" i="12" s="1" a="1"/>
  <c r="AH40" i="12" s="1"/>
  <c r="AD34" i="12"/>
  <c r="AE34" i="12" s="1"/>
  <c r="AH34" i="12" s="1" a="1"/>
  <c r="AH34" i="12" s="1"/>
  <c r="AD29" i="12"/>
  <c r="AD30" i="12"/>
  <c r="AD38" i="12"/>
  <c r="AD39" i="12"/>
  <c r="AD45" i="12"/>
  <c r="AD32" i="12"/>
  <c r="AD37" i="12"/>
  <c r="AE37" i="12" s="1"/>
  <c r="AH37" i="12" s="1" a="1"/>
  <c r="AH37" i="12" s="1"/>
  <c r="AD41" i="12"/>
  <c r="AD42" i="12"/>
  <c r="AE42" i="12" s="1"/>
  <c r="AH42" i="12" s="1" a="1"/>
  <c r="AH42" i="12" s="1"/>
  <c r="AD31" i="12"/>
  <c r="AE31" i="12" s="1"/>
  <c r="AH31" i="12" s="1" a="1"/>
  <c r="AH31" i="12" s="1"/>
  <c r="AD36" i="12"/>
  <c r="AE36" i="12" s="1"/>
  <c r="AH36" i="12" s="1" a="1"/>
  <c r="AH36" i="12" s="1"/>
  <c r="AD28" i="12"/>
  <c r="AE28" i="12" s="1"/>
  <c r="AH28" i="12" s="1" a="1"/>
  <c r="AH28" i="12" s="1"/>
  <c r="AD43" i="12"/>
  <c r="AD33" i="12"/>
  <c r="AD35" i="12"/>
  <c r="AD23" i="12"/>
  <c r="AD26" i="12"/>
  <c r="AD27" i="12"/>
  <c r="AD24" i="12"/>
  <c r="AD25" i="12"/>
  <c r="AD7" i="12"/>
  <c r="AD22" i="12"/>
  <c r="AE22" i="12" s="1"/>
  <c r="AH22" i="12" s="1" a="1"/>
  <c r="AH22" i="12" s="1"/>
  <c r="AD21" i="12"/>
  <c r="AE21" i="12" s="1"/>
  <c r="AH21" i="12" s="1" a="1"/>
  <c r="AH21" i="12" s="1"/>
  <c r="AD9" i="12"/>
  <c r="AE9" i="12" s="1"/>
  <c r="AH9" i="12" s="1" a="1"/>
  <c r="AH9" i="12" s="1"/>
  <c r="AD8" i="12"/>
  <c r="AE8" i="12" s="1"/>
  <c r="AH8" i="12" s="1" a="1"/>
  <c r="AH8" i="12" s="1"/>
  <c r="AA392" i="11"/>
  <c r="AA362" i="11"/>
  <c r="AA393" i="11"/>
  <c r="AA361" i="11"/>
  <c r="AA380" i="11"/>
  <c r="AA391" i="11"/>
  <c r="AA381" i="11"/>
  <c r="B16" i="8"/>
  <c r="AA289" i="11"/>
  <c r="AA319" i="11"/>
  <c r="AA1160" i="11"/>
  <c r="AA1076" i="11"/>
  <c r="AA956" i="11"/>
  <c r="AA716" i="11"/>
  <c r="AA443" i="11"/>
  <c r="AA764" i="11"/>
  <c r="AA1123" i="11"/>
  <c r="AA1039" i="11"/>
  <c r="AA991" i="11"/>
  <c r="AA943" i="11"/>
  <c r="AA931" i="11"/>
  <c r="AA907" i="11"/>
  <c r="AA895" i="11"/>
  <c r="AA871" i="11"/>
  <c r="AA823" i="11"/>
  <c r="AA811" i="11"/>
  <c r="AA799" i="11"/>
  <c r="AA787" i="11"/>
  <c r="AA775" i="11"/>
  <c r="AA763" i="11"/>
  <c r="AA751" i="11"/>
  <c r="AA739" i="11"/>
  <c r="AA727" i="11"/>
  <c r="AA715" i="11"/>
  <c r="AA703" i="11"/>
  <c r="AA691" i="11"/>
  <c r="AA679" i="11"/>
  <c r="AA667" i="11"/>
  <c r="AA655" i="11"/>
  <c r="AA643" i="11"/>
  <c r="AA631" i="11"/>
  <c r="AA619" i="11"/>
  <c r="AA579" i="11"/>
  <c r="AA607" i="11"/>
  <c r="AA597" i="11"/>
  <c r="AA585" i="11"/>
  <c r="AA545" i="11"/>
  <c r="AA535" i="11"/>
  <c r="AA492" i="11"/>
  <c r="AA461" i="11"/>
  <c r="AA449" i="11"/>
  <c r="AA336" i="11"/>
  <c r="AA236" i="11"/>
  <c r="AA224" i="11"/>
  <c r="AA212" i="11"/>
  <c r="AA1147" i="11"/>
  <c r="AA1111" i="11"/>
  <c r="AA1087" i="11"/>
  <c r="AA1063" i="11"/>
  <c r="AA1027" i="11"/>
  <c r="AA1003" i="11"/>
  <c r="AA979" i="11"/>
  <c r="AA967" i="11"/>
  <c r="AA955" i="11"/>
  <c r="AA351" i="11"/>
  <c r="AA1194" i="11"/>
  <c r="AA1182" i="11"/>
  <c r="AA1170" i="11"/>
  <c r="AA1158" i="11"/>
  <c r="AA1146" i="11"/>
  <c r="AA1134" i="11"/>
  <c r="AA1122" i="11"/>
  <c r="AA1110" i="11"/>
  <c r="AA1098" i="11"/>
  <c r="AA1086" i="11"/>
  <c r="AA1074" i="11"/>
  <c r="AA1062" i="11"/>
  <c r="AA1050" i="11"/>
  <c r="AA1038" i="11"/>
  <c r="AA1026" i="11"/>
  <c r="AA1014" i="11"/>
  <c r="AA1002" i="11"/>
  <c r="AA990" i="11"/>
  <c r="AA978" i="11"/>
  <c r="AA966" i="11"/>
  <c r="AA954" i="11"/>
  <c r="AA942" i="11"/>
  <c r="AA930" i="11"/>
  <c r="AA918" i="11"/>
  <c r="AA906" i="11"/>
  <c r="AA894" i="11"/>
  <c r="AA882" i="11"/>
  <c r="AA870" i="11"/>
  <c r="AA858" i="11"/>
  <c r="AA846" i="11"/>
  <c r="AA834" i="11"/>
  <c r="AA822" i="11"/>
  <c r="AA810" i="11"/>
  <c r="AA798" i="11"/>
  <c r="AA786" i="11"/>
  <c r="AA774" i="11"/>
  <c r="AA762" i="11"/>
  <c r="AA750" i="11"/>
  <c r="AA738" i="11"/>
  <c r="AA726" i="11"/>
  <c r="AA714" i="11"/>
  <c r="AA702" i="11"/>
  <c r="AA690" i="11"/>
  <c r="AA678" i="11"/>
  <c r="AA666" i="11"/>
  <c r="AA654" i="11"/>
  <c r="AA642" i="11"/>
  <c r="AA630" i="11"/>
  <c r="AA618" i="11"/>
  <c r="AA557" i="11"/>
  <c r="AA555" i="11"/>
  <c r="AA596" i="11"/>
  <c r="AA580" i="11"/>
  <c r="AA563" i="11"/>
  <c r="AA544" i="11"/>
  <c r="AA45" i="11"/>
  <c r="AA491" i="11"/>
  <c r="AA460" i="11"/>
  <c r="AA407" i="11"/>
  <c r="AA335" i="11"/>
  <c r="AA235" i="11"/>
  <c r="AA223" i="11"/>
  <c r="AA211" i="11"/>
  <c r="AA199" i="11"/>
  <c r="AA181" i="11"/>
  <c r="AA169" i="11"/>
  <c r="AA146" i="11"/>
  <c r="AA134" i="11"/>
  <c r="AA96" i="11"/>
  <c r="AA419" i="11"/>
  <c r="AA1184" i="11"/>
  <c r="AA1148" i="11"/>
  <c r="AA1124" i="11"/>
  <c r="AA1100" i="11"/>
  <c r="AA1064" i="11"/>
  <c r="AA1040" i="11"/>
  <c r="AA1016" i="11"/>
  <c r="AA992" i="11"/>
  <c r="AA968" i="11"/>
  <c r="AA932" i="11"/>
  <c r="AA908" i="11"/>
  <c r="AA884" i="11"/>
  <c r="AA860" i="11"/>
  <c r="AA836" i="11"/>
  <c r="AA812" i="11"/>
  <c r="AA788" i="11"/>
  <c r="AA740" i="11"/>
  <c r="AA704" i="11"/>
  <c r="AA352" i="11"/>
  <c r="AA1159" i="11"/>
  <c r="AA919" i="11"/>
  <c r="AA1183" i="11"/>
  <c r="AA883" i="11"/>
  <c r="AA353" i="11"/>
  <c r="AA752" i="11"/>
  <c r="AA1171" i="11"/>
  <c r="AA1051" i="11"/>
  <c r="AA859" i="11"/>
  <c r="AA358" i="11"/>
  <c r="AA431" i="11"/>
  <c r="AA1196" i="11"/>
  <c r="AA1172" i="11"/>
  <c r="AA1136" i="11"/>
  <c r="AA1112" i="11"/>
  <c r="AA1088" i="11"/>
  <c r="AA1052" i="11"/>
  <c r="AA1028" i="11"/>
  <c r="AA1004" i="11"/>
  <c r="AA980" i="11"/>
  <c r="AA944" i="11"/>
  <c r="AA920" i="11"/>
  <c r="AA896" i="11"/>
  <c r="AA872" i="11"/>
  <c r="AA848" i="11"/>
  <c r="AA824" i="11"/>
  <c r="AA800" i="11"/>
  <c r="AA776" i="11"/>
  <c r="AA728" i="11"/>
  <c r="AA692" i="11"/>
  <c r="AA318" i="11"/>
  <c r="AA1195" i="11"/>
  <c r="AA1135" i="11"/>
  <c r="AA1099" i="11"/>
  <c r="AA1075" i="11"/>
  <c r="AA1015" i="11"/>
  <c r="AA835" i="11"/>
  <c r="AA359" i="11"/>
  <c r="AA388" i="11"/>
  <c r="AA286" i="11"/>
  <c r="AA442" i="11"/>
  <c r="AA430" i="11"/>
  <c r="AA418" i="11"/>
  <c r="AA398" i="11"/>
  <c r="AA386" i="11"/>
  <c r="AA360" i="11"/>
  <c r="AA478" i="11"/>
  <c r="AA441" i="11"/>
  <c r="AA350" i="11"/>
  <c r="AA428" i="11"/>
  <c r="AA1193" i="11"/>
  <c r="AA1133" i="11"/>
  <c r="AA1049" i="11"/>
  <c r="AA989" i="11"/>
  <c r="AA977" i="11"/>
  <c r="AA965" i="11"/>
  <c r="AA953" i="11"/>
  <c r="AA941" i="11"/>
  <c r="AA929" i="11"/>
  <c r="AA917" i="11"/>
  <c r="AA905" i="11"/>
  <c r="AA893" i="11"/>
  <c r="AA881" i="11"/>
  <c r="AA869" i="11"/>
  <c r="AA857" i="11"/>
  <c r="AA845" i="11"/>
  <c r="AA833" i="11"/>
  <c r="AA821" i="11"/>
  <c r="AA809" i="11"/>
  <c r="AA797" i="11"/>
  <c r="AA785" i="11"/>
  <c r="AA773" i="11"/>
  <c r="AA761" i="11"/>
  <c r="AA749" i="11"/>
  <c r="AA737" i="11"/>
  <c r="AA725" i="11"/>
  <c r="AA713" i="11"/>
  <c r="AA701" i="11"/>
  <c r="AA689" i="11"/>
  <c r="AA677" i="11"/>
  <c r="AA665" i="11"/>
  <c r="AA653" i="11"/>
  <c r="AA641" i="11"/>
  <c r="AA629" i="11"/>
  <c r="AA612" i="11"/>
  <c r="AA556" i="11"/>
  <c r="AA553" i="11"/>
  <c r="AA595" i="11"/>
  <c r="AA574" i="11"/>
  <c r="AA562" i="11"/>
  <c r="AA543" i="11"/>
  <c r="AA354" i="11"/>
  <c r="AA490" i="11"/>
  <c r="AA459" i="11"/>
  <c r="AA346" i="11"/>
  <c r="AA334" i="11"/>
  <c r="AA234" i="11"/>
  <c r="AA222" i="11"/>
  <c r="AA210" i="11"/>
  <c r="AA198" i="11"/>
  <c r="AA180" i="11"/>
  <c r="AA157" i="11"/>
  <c r="AA145" i="11"/>
  <c r="AA133" i="11"/>
  <c r="AA95" i="11"/>
  <c r="AA83" i="11"/>
  <c r="AA70" i="11"/>
  <c r="AA58" i="11"/>
  <c r="AA408" i="11"/>
  <c r="AA847" i="11"/>
  <c r="AA429" i="11"/>
  <c r="AA440" i="11"/>
  <c r="AA1025" i="11"/>
  <c r="AA1192" i="11"/>
  <c r="AA1132" i="11"/>
  <c r="AA1084" i="11"/>
  <c r="AA1024" i="11"/>
  <c r="AA976" i="11"/>
  <c r="AA928" i="11"/>
  <c r="AA868" i="11"/>
  <c r="AA832" i="11"/>
  <c r="AA808" i="11"/>
  <c r="AA796" i="11"/>
  <c r="AA784" i="11"/>
  <c r="AA772" i="11"/>
  <c r="AA760" i="11"/>
  <c r="AA724" i="11"/>
  <c r="AA712" i="11"/>
  <c r="AA700" i="11"/>
  <c r="AA688" i="11"/>
  <c r="AA676" i="11"/>
  <c r="AA664" i="11"/>
  <c r="AA652" i="11"/>
  <c r="AA640" i="11"/>
  <c r="AA628" i="11"/>
  <c r="AA611" i="11"/>
  <c r="AA578" i="11"/>
  <c r="AA606" i="11"/>
  <c r="AA594" i="11"/>
  <c r="AA573" i="11"/>
  <c r="AA561" i="11"/>
  <c r="AA542" i="11"/>
  <c r="AA363" i="11"/>
  <c r="AA489" i="11"/>
  <c r="AA458" i="11"/>
  <c r="AA345" i="11"/>
  <c r="AA333" i="11"/>
  <c r="AA233" i="11"/>
  <c r="AA221" i="11"/>
  <c r="AA209" i="11"/>
  <c r="AA197" i="11"/>
  <c r="AA179" i="11"/>
  <c r="AA156" i="11"/>
  <c r="AA144" i="11"/>
  <c r="AA106" i="11"/>
  <c r="AA94" i="11"/>
  <c r="AA82" i="11"/>
  <c r="AA69" i="11"/>
  <c r="AA57" i="11"/>
  <c r="AA287" i="11"/>
  <c r="AA317" i="11"/>
  <c r="AA417" i="11"/>
  <c r="AA316" i="11"/>
  <c r="AA390" i="11"/>
  <c r="AA416" i="11"/>
  <c r="AA1181" i="11"/>
  <c r="AA1169" i="11"/>
  <c r="AA1145" i="11"/>
  <c r="AA1121" i="11"/>
  <c r="AA1097" i="11"/>
  <c r="AA1085" i="11"/>
  <c r="AA1073" i="11"/>
  <c r="AA1037" i="11"/>
  <c r="AA1001" i="11"/>
  <c r="AA349" i="11"/>
  <c r="AA389" i="11"/>
  <c r="AA1168" i="11"/>
  <c r="AA1120" i="11"/>
  <c r="AA1060" i="11"/>
  <c r="AA1012" i="11"/>
  <c r="AA952" i="11"/>
  <c r="AA904" i="11"/>
  <c r="AA844" i="11"/>
  <c r="AA736" i="11"/>
  <c r="AA284" i="11"/>
  <c r="AA477" i="11"/>
  <c r="AA1157" i="11"/>
  <c r="AA1109" i="11"/>
  <c r="AA1061" i="11"/>
  <c r="AA1013" i="11"/>
  <c r="AA1180" i="11"/>
  <c r="AA1156" i="11"/>
  <c r="AA1144" i="11"/>
  <c r="AA1108" i="11"/>
  <c r="AA1096" i="11"/>
  <c r="AA1072" i="11"/>
  <c r="AA1048" i="11"/>
  <c r="AA1036" i="11"/>
  <c r="AA1000" i="11"/>
  <c r="AA988" i="11"/>
  <c r="AA964" i="11"/>
  <c r="AA940" i="11"/>
  <c r="AA916" i="11"/>
  <c r="AA892" i="11"/>
  <c r="AA880" i="11"/>
  <c r="AA856" i="11"/>
  <c r="AA820" i="11"/>
  <c r="AA748" i="11"/>
  <c r="AA357" i="11"/>
  <c r="AA356" i="11"/>
  <c r="AA468" i="11"/>
  <c r="AA387" i="11"/>
  <c r="AD4" i="12"/>
  <c r="AD6" i="12"/>
  <c r="AE6" i="12" s="1"/>
  <c r="AH6" i="12" s="1" a="1"/>
  <c r="AH6" i="12" s="1"/>
  <c r="AD5" i="12"/>
  <c r="AE7" i="12"/>
  <c r="AH7" i="12" s="1" a="1"/>
  <c r="AH7" i="12" s="1"/>
  <c r="AF1" i="12"/>
  <c r="AE175" i="12"/>
  <c r="AH175" i="12" s="1" a="1"/>
  <c r="AH175" i="12" s="1"/>
  <c r="AE38" i="12"/>
  <c r="AH38" i="12" s="1" a="1"/>
  <c r="AH38" i="12" s="1"/>
  <c r="AE98" i="12"/>
  <c r="AH98" i="12" s="1" a="1"/>
  <c r="AH98" i="12" s="1"/>
  <c r="AE141" i="12"/>
  <c r="AH141" i="12" s="1" a="1"/>
  <c r="AH141" i="12" s="1"/>
  <c r="AE151" i="12"/>
  <c r="AH151" i="12" s="1" a="1"/>
  <c r="AH151" i="12" s="1"/>
  <c r="AE177" i="12"/>
  <c r="AH177" i="12" s="1" a="1"/>
  <c r="AH177" i="12" s="1"/>
  <c r="AE18" i="12"/>
  <c r="AH18" i="12" s="1" a="1"/>
  <c r="AH18" i="12" s="1"/>
  <c r="AE123" i="12"/>
  <c r="AH123" i="12" s="1" a="1"/>
  <c r="AH123" i="12" s="1"/>
  <c r="AE154" i="12"/>
  <c r="AH154" i="12" s="1" a="1"/>
  <c r="AH154" i="12" s="1"/>
  <c r="AE14" i="12"/>
  <c r="AH14" i="12" s="1" a="1"/>
  <c r="AH14" i="12" s="1"/>
  <c r="AE186" i="12"/>
  <c r="AH186" i="12" s="1" a="1"/>
  <c r="AH186" i="12" s="1"/>
  <c r="AE45" i="12"/>
  <c r="AH45" i="12" s="1" a="1"/>
  <c r="AH45" i="12" s="1"/>
  <c r="AE30" i="12"/>
  <c r="AH30" i="12" s="1" a="1"/>
  <c r="AH30" i="12" s="1"/>
  <c r="AE15" i="12"/>
  <c r="AH15" i="12" s="1" a="1"/>
  <c r="AH15" i="12" s="1"/>
  <c r="AE113" i="12"/>
  <c r="AH113" i="12" s="1" a="1"/>
  <c r="AH113" i="12" s="1"/>
  <c r="AE182" i="12"/>
  <c r="AH182" i="12" s="1" a="1"/>
  <c r="AH182" i="12" s="1"/>
  <c r="AE160" i="12"/>
  <c r="AH160" i="12" s="1" a="1"/>
  <c r="AH160" i="12" s="1"/>
  <c r="AE148" i="12"/>
  <c r="AH148" i="12" s="1" a="1"/>
  <c r="AH148" i="12" s="1"/>
  <c r="AE88" i="12"/>
  <c r="AH88" i="12" s="1" a="1"/>
  <c r="AH88" i="12" s="1"/>
  <c r="AE118" i="12"/>
  <c r="AH118" i="12" s="1" a="1"/>
  <c r="AH118" i="12" s="1"/>
  <c r="AE152" i="12"/>
  <c r="AH152" i="12" s="1" a="1"/>
  <c r="AH152" i="12" s="1"/>
  <c r="AE10" i="12"/>
  <c r="AH10" i="12" s="1" a="1"/>
  <c r="AH10" i="12" s="1"/>
  <c r="AE158" i="12"/>
  <c r="AH158" i="12" s="1" a="1"/>
  <c r="AH158" i="12" s="1"/>
  <c r="AE164" i="12"/>
  <c r="AH164" i="12" s="1" a="1"/>
  <c r="AH164" i="12" s="1"/>
  <c r="AE112" i="12"/>
  <c r="AH112" i="12" s="1" a="1"/>
  <c r="AH112" i="12" s="1"/>
  <c r="AE116" i="12"/>
  <c r="AH116" i="12" s="1" a="1"/>
  <c r="AH116" i="12" s="1"/>
  <c r="AE44" i="12"/>
  <c r="AH44" i="12" s="1" a="1"/>
  <c r="AH44" i="12" s="1"/>
  <c r="AE66" i="12"/>
  <c r="AH66" i="12" s="1" a="1"/>
  <c r="AH66" i="12" s="1"/>
  <c r="AE11" i="12"/>
  <c r="AH11" i="12" s="1" a="1"/>
  <c r="AH11" i="12" s="1"/>
  <c r="AE43" i="12"/>
  <c r="AH43" i="12" s="1" a="1"/>
  <c r="AH43" i="12" s="1"/>
  <c r="AE129" i="12"/>
  <c r="AH129" i="12" s="1" a="1"/>
  <c r="AH129" i="12" s="1"/>
  <c r="AE94" i="12"/>
  <c r="AH94" i="12" s="1" a="1"/>
  <c r="AH94" i="12" s="1"/>
  <c r="AE39" i="12"/>
  <c r="AH39" i="12" s="1" a="1"/>
  <c r="AH39" i="12" s="1"/>
  <c r="AE131" i="12"/>
  <c r="AH131" i="12" s="1" a="1"/>
  <c r="AH131" i="12" s="1"/>
  <c r="AE41" i="12"/>
  <c r="AH41" i="12" s="1" a="1"/>
  <c r="AH41" i="12" s="1"/>
  <c r="AE184" i="12"/>
  <c r="AH184" i="12" s="1" a="1"/>
  <c r="AH184" i="12" s="1"/>
  <c r="AE163" i="12"/>
  <c r="AH163" i="12" s="1" a="1"/>
  <c r="AH163" i="12" s="1"/>
  <c r="AE132" i="12"/>
  <c r="AH132" i="12" s="1" a="1"/>
  <c r="AH132" i="12" s="1"/>
  <c r="AE168" i="12"/>
  <c r="AH168" i="12" s="1" a="1"/>
  <c r="AH168" i="12" s="1"/>
  <c r="AE104" i="12"/>
  <c r="AH104" i="12" s="1" a="1"/>
  <c r="AH104" i="12" s="1"/>
  <c r="AE162" i="12"/>
  <c r="AH162" i="12" s="1" a="1"/>
  <c r="AH162" i="12" s="1"/>
  <c r="AE137" i="12"/>
  <c r="AH137" i="12" s="1" a="1"/>
  <c r="AH137" i="12" s="1"/>
  <c r="AE108" i="12"/>
  <c r="AH108" i="12" s="1" a="1"/>
  <c r="AH108" i="12" s="1"/>
  <c r="AE183" i="12"/>
  <c r="AH183" i="12" s="1" a="1"/>
  <c r="AH183" i="12" s="1"/>
  <c r="AE69" i="12"/>
  <c r="AH69" i="12" s="1" a="1"/>
  <c r="AH69" i="12" s="1"/>
  <c r="AE167" i="12"/>
  <c r="AH167" i="12" s="1" a="1"/>
  <c r="AH167" i="12" s="1"/>
  <c r="AE33" i="12"/>
  <c r="AH33" i="12" s="1" a="1"/>
  <c r="AH33" i="12" s="1"/>
  <c r="AE156" i="12"/>
  <c r="AH156" i="12" s="1" a="1"/>
  <c r="AH156" i="12" s="1"/>
  <c r="AE99" i="12"/>
  <c r="AH99" i="12" s="1" a="1"/>
  <c r="AH99" i="12" s="1"/>
  <c r="AE20" i="12"/>
  <c r="AH20" i="12" s="1" a="1"/>
  <c r="AH20" i="12" s="1"/>
  <c r="AE32" i="12"/>
  <c r="AH32" i="12" s="1" a="1"/>
  <c r="AH32" i="12" s="1"/>
  <c r="AE5" i="12"/>
  <c r="AH5" i="12" s="1" a="1"/>
  <c r="AH5" i="12" s="1"/>
  <c r="AE170" i="12"/>
  <c r="AH170" i="12" s="1" a="1"/>
  <c r="AH170" i="12" s="1"/>
  <c r="AE169" i="12"/>
  <c r="AH169" i="12" s="1" a="1"/>
  <c r="AH169" i="12" s="1"/>
  <c r="AE57" i="12"/>
  <c r="AH57" i="12" s="1" a="1"/>
  <c r="AH57" i="12" s="1"/>
  <c r="AE62" i="12"/>
  <c r="AH62" i="12" s="1" a="1"/>
  <c r="AH62" i="12" s="1"/>
  <c r="AE138" i="12"/>
  <c r="AH138" i="12" s="1" a="1"/>
  <c r="AH138" i="12" s="1"/>
  <c r="AE76" i="12"/>
  <c r="AH76" i="12" s="1" a="1"/>
  <c r="AH76" i="12" s="1"/>
  <c r="AE126" i="12"/>
  <c r="AH126" i="12" s="1" a="1"/>
  <c r="AH126" i="12" s="1"/>
  <c r="AE71" i="12"/>
  <c r="AH71" i="12" s="1" a="1"/>
  <c r="AH71" i="12" s="1"/>
  <c r="AE121" i="12"/>
  <c r="AH121" i="12" s="1" a="1"/>
  <c r="AH121" i="12" s="1"/>
  <c r="AE173" i="12"/>
  <c r="AH173" i="12" s="1" a="1"/>
  <c r="AH173" i="12" s="1"/>
  <c r="AE178" i="12"/>
  <c r="AH178" i="12" s="1" a="1"/>
  <c r="AH178" i="12" s="1"/>
  <c r="AE122" i="12"/>
  <c r="AH122" i="12" s="1" a="1"/>
  <c r="AH122" i="12" s="1"/>
  <c r="AE87" i="12"/>
  <c r="AH87" i="12" s="1" a="1"/>
  <c r="AH87" i="12" s="1"/>
  <c r="AE149" i="12"/>
  <c r="AH149" i="12" s="1" a="1"/>
  <c r="AH149" i="12" s="1"/>
  <c r="AE35" i="12"/>
  <c r="AH35" i="12" s="1" a="1"/>
  <c r="AH35" i="12" s="1"/>
  <c r="AE143" i="12"/>
  <c r="AH143" i="12" s="1" a="1"/>
  <c r="AH143" i="12" s="1"/>
  <c r="AE144" i="12"/>
  <c r="AH144" i="12" s="1" a="1"/>
  <c r="AH144" i="12" s="1"/>
  <c r="AE106" i="12"/>
  <c r="AH106" i="12" s="1" a="1"/>
  <c r="AH106" i="12" s="1"/>
  <c r="AE185" i="12"/>
  <c r="AH185" i="12" s="1" a="1"/>
  <c r="AH185" i="12" s="1"/>
  <c r="AE65" i="12"/>
  <c r="AH65" i="12" s="1" a="1"/>
  <c r="AH65" i="12" s="1"/>
  <c r="AE176" i="12"/>
  <c r="AH176" i="12" s="1" a="1"/>
  <c r="AH176" i="12" s="1"/>
  <c r="AE13" i="12"/>
  <c r="AH13" i="12" s="1" a="1"/>
  <c r="AH13" i="12" s="1"/>
  <c r="AE147" i="12"/>
  <c r="AH147" i="12" s="1" a="1"/>
  <c r="AH147" i="12" s="1"/>
  <c r="AE124" i="12"/>
  <c r="AH124" i="12" s="1" a="1"/>
  <c r="AH124" i="12" s="1"/>
  <c r="AE4" i="12"/>
  <c r="AH4" i="12" s="1" a="1"/>
  <c r="AH4" i="12" s="1"/>
  <c r="AE128" i="12"/>
  <c r="AH128" i="12" s="1" a="1"/>
  <c r="AH128" i="12" s="1"/>
  <c r="AE86" i="12"/>
  <c r="AH86" i="12" s="1" a="1"/>
  <c r="AH86" i="12" s="1"/>
  <c r="AE25" i="12"/>
  <c r="AH25" i="12" s="1" a="1"/>
  <c r="AH25" i="12" s="1"/>
  <c r="AE157" i="12"/>
  <c r="AH157" i="12" s="1" a="1"/>
  <c r="AH157" i="12" s="1"/>
  <c r="AE19" i="12"/>
  <c r="AH19" i="12" s="1" a="1"/>
  <c r="AH19" i="12" s="1"/>
  <c r="AE110" i="12"/>
  <c r="AH110" i="12" s="1" a="1"/>
  <c r="AH110" i="12" s="1"/>
  <c r="AE135" i="12"/>
  <c r="AH135" i="12" s="1" a="1"/>
  <c r="AH135" i="12" s="1"/>
  <c r="AE171" i="12"/>
  <c r="AH171" i="12" s="1" a="1"/>
  <c r="AH171" i="12" s="1"/>
  <c r="AE174" i="12"/>
  <c r="AH174" i="12" s="1" a="1"/>
  <c r="AH174" i="12" s="1"/>
  <c r="AE70" i="12"/>
  <c r="AH70" i="12" s="1" a="1"/>
  <c r="AH70" i="12" s="1"/>
  <c r="AE127" i="12"/>
  <c r="AH127" i="12" s="1" a="1"/>
  <c r="AH127" i="12" s="1"/>
  <c r="AE155" i="12"/>
  <c r="AH155" i="12" s="1" a="1"/>
  <c r="AH155" i="12" s="1"/>
  <c r="AE159" i="12"/>
  <c r="AH159" i="12" s="1" a="1"/>
  <c r="AH159" i="12" s="1"/>
  <c r="AE179" i="12"/>
  <c r="AH179" i="12" s="1" a="1"/>
  <c r="AH179" i="12" s="1"/>
  <c r="AE161" i="12"/>
  <c r="AH161" i="12" s="1" a="1"/>
  <c r="AH161" i="12" s="1"/>
  <c r="AE146" i="12"/>
  <c r="AH146" i="12" s="1" a="1"/>
  <c r="AH146" i="12" s="1"/>
  <c r="AE29" i="12"/>
  <c r="AH29" i="12" s="1" a="1"/>
  <c r="AH29" i="12" s="1"/>
  <c r="AE115" i="12"/>
  <c r="AH115" i="12" s="1" a="1"/>
  <c r="AH115" i="12" s="1"/>
  <c r="AE134" i="12"/>
  <c r="AH134" i="12" s="1" a="1"/>
  <c r="AH134" i="12" s="1"/>
  <c r="AE95" i="12"/>
  <c r="AH95" i="12" s="1" a="1"/>
  <c r="AH95" i="12" s="1"/>
  <c r="AE83" i="12"/>
  <c r="AH83" i="12" s="1" a="1"/>
  <c r="AH83" i="12" s="1"/>
  <c r="AE81" i="12"/>
  <c r="AH81" i="12" s="1" a="1"/>
  <c r="AH81" i="12" s="1"/>
  <c r="AE180" i="12"/>
  <c r="AH180" i="12" s="1" a="1"/>
  <c r="AH180" i="12" s="1"/>
  <c r="AE153" i="12"/>
  <c r="AH153" i="12" s="1" a="1"/>
  <c r="AH153" i="12" s="1"/>
  <c r="AE181" i="12"/>
  <c r="AH181" i="12" s="1" a="1"/>
  <c r="AH181" i="12" s="1"/>
  <c r="AE16" i="12"/>
  <c r="AH16" i="12" s="1" a="1"/>
  <c r="AH16" i="12" s="1"/>
  <c r="AE136" i="12"/>
  <c r="AH136" i="12" s="1" a="1"/>
  <c r="AH136" i="12" s="1"/>
  <c r="AE150" i="12"/>
  <c r="AH150" i="12" s="1" a="1"/>
  <c r="AH150" i="12" s="1"/>
  <c r="AE145" i="12"/>
  <c r="AH145" i="12" s="1" a="1"/>
  <c r="AH145" i="12" s="1"/>
  <c r="AE47" i="12"/>
  <c r="AH47" i="12" s="1" a="1"/>
  <c r="AH47" i="12" s="1"/>
  <c r="AE53" i="12"/>
  <c r="AH53" i="12" s="1" a="1"/>
  <c r="AH53" i="12" s="1"/>
  <c r="AE102" i="12"/>
  <c r="AH102" i="12" s="1" a="1"/>
  <c r="AH102" i="12" s="1"/>
  <c r="AE74" i="12"/>
  <c r="AH74" i="12" s="1" a="1"/>
  <c r="AH74" i="12" s="1"/>
  <c r="AE130" i="12"/>
  <c r="AH130" i="12" s="1" a="1"/>
  <c r="AH130" i="12" s="1"/>
  <c r="AE12" i="12"/>
  <c r="AH12" i="12" s="1" a="1"/>
  <c r="AH12" i="12" s="1"/>
  <c r="AE24" i="12"/>
  <c r="AH24" i="12" s="1" a="1"/>
  <c r="AH24" i="12" s="1"/>
  <c r="AE140" i="12"/>
  <c r="AH140" i="12" s="1" a="1"/>
  <c r="AH140" i="12" s="1"/>
  <c r="AE142" i="12"/>
  <c r="AH142" i="12" s="1" a="1"/>
  <c r="AH142" i="12" s="1"/>
  <c r="AE27" i="12"/>
  <c r="AH27" i="12" s="1" a="1"/>
  <c r="AH27" i="12" s="1"/>
  <c r="AE172" i="12"/>
  <c r="AH172" i="12" s="1" a="1"/>
  <c r="AH172" i="12" s="1"/>
  <c r="AE84" i="12"/>
  <c r="AH84" i="12" s="1" a="1"/>
  <c r="AH84" i="12" s="1"/>
  <c r="AE89" i="12"/>
  <c r="AH89" i="12" s="1" a="1"/>
  <c r="AH89" i="12" s="1"/>
  <c r="AE72" i="12"/>
  <c r="AH72" i="12" s="1" a="1"/>
  <c r="AH72" i="12" s="1"/>
  <c r="AE51" i="12"/>
  <c r="AH51" i="12" s="1" a="1"/>
  <c r="AH51" i="12" s="1"/>
  <c r="AE166" i="12"/>
  <c r="AH166" i="12" s="1" a="1"/>
  <c r="AH166" i="12" s="1"/>
  <c r="AE59" i="12"/>
  <c r="AH59" i="12" s="1" a="1"/>
  <c r="AH59" i="12" s="1"/>
  <c r="AE26" i="12"/>
  <c r="AH26" i="12" s="1" a="1"/>
  <c r="AH26" i="12" s="1"/>
  <c r="AE80" i="12"/>
  <c r="AH80" i="12" s="1" a="1"/>
  <c r="AH80" i="12" s="1"/>
  <c r="AE96" i="12"/>
  <c r="AH96" i="12" s="1" a="1"/>
  <c r="AH96" i="12" s="1"/>
  <c r="AE58" i="12"/>
  <c r="AH58" i="12" s="1" a="1"/>
  <c r="AH58" i="12" s="1"/>
  <c r="AE82" i="12"/>
  <c r="AH82" i="12" s="1" a="1"/>
  <c r="AH82" i="12" s="1"/>
  <c r="AE23" i="12"/>
  <c r="AH23" i="12" s="1" a="1"/>
  <c r="AH23" i="12" s="1"/>
  <c r="AE67" i="12"/>
  <c r="AH67" i="12" s="1" a="1"/>
  <c r="AH67" i="12" s="1"/>
  <c r="AE17" i="12"/>
  <c r="AH17" i="12" s="1" a="1"/>
  <c r="AH17" i="12" s="1"/>
  <c r="AE133" i="12"/>
  <c r="AH133" i="12" s="1" a="1"/>
  <c r="AH133" i="12" s="1"/>
  <c r="AE165" i="12"/>
  <c r="AH165" i="12" s="1" a="1"/>
  <c r="AH165" i="12" s="1"/>
  <c r="AE139" i="12"/>
  <c r="AH139" i="12" s="1" a="1"/>
  <c r="AH139" i="12" s="1"/>
  <c r="AA415" i="11"/>
  <c r="AA314" i="11"/>
  <c r="AA438" i="11"/>
  <c r="AA426" i="11"/>
  <c r="AA414" i="11"/>
  <c r="AA469" i="11"/>
  <c r="AA283" i="11"/>
  <c r="AA448" i="11"/>
  <c r="AA313" i="11"/>
  <c r="AA437" i="11"/>
  <c r="AA425" i="11"/>
  <c r="AA413" i="11"/>
  <c r="AA281" i="11"/>
  <c r="AA324" i="11"/>
  <c r="AA436" i="11"/>
  <c r="AA424" i="11"/>
  <c r="AA412" i="11"/>
  <c r="AA427" i="11"/>
  <c r="AA291" i="11"/>
  <c r="AA311" i="11"/>
  <c r="AA397" i="11"/>
  <c r="AA411" i="11"/>
  <c r="AA315" i="11"/>
  <c r="AA470" i="11"/>
  <c r="AA280" i="11"/>
  <c r="AA312" i="11"/>
  <c r="AA279" i="11"/>
  <c r="AA323" i="11"/>
  <c r="AA385" i="11"/>
  <c r="AA447" i="11"/>
  <c r="AA435" i="11"/>
  <c r="AA423" i="11"/>
  <c r="AA290" i="11"/>
  <c r="AA322" i="11"/>
  <c r="AA310" i="11"/>
  <c r="AA396" i="11"/>
  <c r="AA384" i="11"/>
  <c r="AA446" i="11"/>
  <c r="AA434" i="11"/>
  <c r="AA422" i="11"/>
  <c r="AA410" i="11"/>
  <c r="AA273" i="11"/>
  <c r="AA439" i="11"/>
  <c r="AA321" i="11"/>
  <c r="AA395" i="11"/>
  <c r="AA409" i="11"/>
  <c r="AA282" i="11"/>
  <c r="AA325" i="11"/>
  <c r="AA383" i="11"/>
  <c r="AA445" i="11"/>
  <c r="AA433" i="11"/>
  <c r="AA421" i="11"/>
  <c r="AA288" i="11"/>
  <c r="AA320" i="11"/>
  <c r="AA394" i="11"/>
  <c r="AA382" i="11"/>
  <c r="AA444" i="11"/>
  <c r="AA432" i="11"/>
  <c r="AA420" i="11"/>
  <c r="AA680" i="11"/>
  <c r="AA668" i="11"/>
  <c r="AA656" i="11"/>
  <c r="AA644" i="11"/>
  <c r="AA632" i="11"/>
  <c r="AA620" i="11"/>
  <c r="AA582" i="11"/>
  <c r="AA608" i="11"/>
  <c r="AA598" i="11"/>
  <c r="AA586" i="11"/>
  <c r="AA564" i="11"/>
  <c r="AA546" i="11"/>
  <c r="AA537" i="11"/>
  <c r="AA493" i="11"/>
  <c r="AA462" i="11"/>
  <c r="AA450" i="11"/>
  <c r="AA479" i="11"/>
  <c r="AA200" i="11"/>
  <c r="AA182" i="11"/>
  <c r="AA170" i="11"/>
  <c r="AA147" i="11"/>
  <c r="AA135" i="11"/>
  <c r="AA97" i="11"/>
  <c r="AA85" i="11"/>
  <c r="AA72" i="11"/>
  <c r="AA60" i="11"/>
  <c r="AA285" i="11"/>
  <c r="AA84" i="11"/>
  <c r="AA71" i="11"/>
  <c r="AA59" i="11"/>
  <c r="AA1191" i="11"/>
  <c r="AA1143" i="11"/>
  <c r="AA1107" i="11"/>
  <c r="AA1071" i="11"/>
  <c r="AA1047" i="11"/>
  <c r="AA1023" i="11"/>
  <c r="AA1011" i="11"/>
  <c r="AA963" i="11"/>
  <c r="AA1167" i="11"/>
  <c r="AA1119" i="11"/>
  <c r="AA1083" i="11"/>
  <c r="AA975" i="11"/>
  <c r="AA1155" i="11"/>
  <c r="AA1131" i="11"/>
  <c r="AA1095" i="11"/>
  <c r="AA1059" i="11"/>
  <c r="AA1035" i="11"/>
  <c r="AA987" i="11"/>
  <c r="AA1179" i="11"/>
  <c r="AA999" i="11"/>
  <c r="AA939" i="11"/>
  <c r="AA915" i="11"/>
  <c r="AA879" i="11"/>
  <c r="AA855" i="11"/>
  <c r="AA831" i="11"/>
  <c r="AA795" i="11"/>
  <c r="AA771" i="11"/>
  <c r="AA747" i="11"/>
  <c r="AA723" i="11"/>
  <c r="AA699" i="11"/>
  <c r="AA675" i="11"/>
  <c r="AA639" i="11"/>
  <c r="AA610" i="11"/>
  <c r="AA605" i="11"/>
  <c r="AA572" i="11"/>
  <c r="AA541" i="11"/>
  <c r="AA488" i="11"/>
  <c r="AA344" i="11"/>
  <c r="AA220" i="11"/>
  <c r="AA196" i="11"/>
  <c r="AA178" i="11"/>
  <c r="AA155" i="11"/>
  <c r="AA143" i="11"/>
  <c r="AA105" i="11"/>
  <c r="AA93" i="11"/>
  <c r="AA56" i="11"/>
  <c r="AA1190" i="11"/>
  <c r="AA1178" i="11"/>
  <c r="AA1166" i="11"/>
  <c r="AA1154" i="11"/>
  <c r="AA1142" i="11"/>
  <c r="AA1130" i="11"/>
  <c r="AA1118" i="11"/>
  <c r="AA1106" i="11"/>
  <c r="AA1094" i="11"/>
  <c r="AA1082" i="11"/>
  <c r="AA1070" i="11"/>
  <c r="AA1058" i="11"/>
  <c r="AA1046" i="11"/>
  <c r="AA1034" i="11"/>
  <c r="AA1022" i="11"/>
  <c r="AA1010" i="11"/>
  <c r="AA998" i="11"/>
  <c r="AA986" i="11"/>
  <c r="AA974" i="11"/>
  <c r="AA962" i="11"/>
  <c r="AA950" i="11"/>
  <c r="AA938" i="11"/>
  <c r="AA926" i="11"/>
  <c r="AA914" i="11"/>
  <c r="AA902" i="11"/>
  <c r="AA890" i="11"/>
  <c r="AA878" i="11"/>
  <c r="AA866" i="11"/>
  <c r="AA854" i="11"/>
  <c r="AA842" i="11"/>
  <c r="AA830" i="11"/>
  <c r="AA818" i="11"/>
  <c r="AA806" i="11"/>
  <c r="AA794" i="11"/>
  <c r="AA782" i="11"/>
  <c r="AA770" i="11"/>
  <c r="AA758" i="11"/>
  <c r="AA746" i="11"/>
  <c r="AA734" i="11"/>
  <c r="AA722" i="11"/>
  <c r="AA710" i="11"/>
  <c r="AA698" i="11"/>
  <c r="AA686" i="11"/>
  <c r="AA674" i="11"/>
  <c r="AA662" i="11"/>
  <c r="AA650" i="11"/>
  <c r="AA638" i="11"/>
  <c r="AA626" i="11"/>
  <c r="AA609" i="11"/>
  <c r="AA576" i="11"/>
  <c r="AA604" i="11"/>
  <c r="AA592" i="11"/>
  <c r="AA571" i="11"/>
  <c r="AA559" i="11"/>
  <c r="AA554" i="11"/>
  <c r="AA499" i="11"/>
  <c r="AA552" i="11"/>
  <c r="AA456" i="11"/>
  <c r="AA343" i="11"/>
  <c r="AA951" i="11"/>
  <c r="AA927" i="11"/>
  <c r="AA903" i="11"/>
  <c r="AA867" i="11"/>
  <c r="AA843" i="11"/>
  <c r="AA807" i="11"/>
  <c r="AA783" i="11"/>
  <c r="AA759" i="11"/>
  <c r="AA711" i="11"/>
  <c r="AA687" i="11"/>
  <c r="AA651" i="11"/>
  <c r="AA627" i="11"/>
  <c r="AA577" i="11"/>
  <c r="AA560" i="11"/>
  <c r="AA534" i="11"/>
  <c r="AA457" i="11"/>
  <c r="AA332" i="11"/>
  <c r="AA208" i="11"/>
  <c r="AA81" i="11"/>
  <c r="AA891" i="11"/>
  <c r="AA819" i="11"/>
  <c r="AA735" i="11"/>
  <c r="AA663" i="11"/>
  <c r="AA593" i="11"/>
  <c r="AA232" i="11"/>
  <c r="AA68" i="11"/>
  <c r="AA1199" i="11"/>
  <c r="AA1187" i="11"/>
  <c r="AA1175" i="11"/>
  <c r="AA1163" i="11"/>
  <c r="AA1151" i="11"/>
  <c r="AA1139" i="11"/>
  <c r="AA1127" i="11"/>
  <c r="AA1115" i="11"/>
  <c r="AA1103" i="11"/>
  <c r="AA1091" i="11"/>
  <c r="AA1079" i="11"/>
  <c r="AA1067" i="11"/>
  <c r="AA1055" i="11"/>
  <c r="AA1043" i="11"/>
  <c r="AA1031" i="11"/>
  <c r="AA1019" i="11"/>
  <c r="AA1198" i="11"/>
  <c r="AA1197" i="11"/>
  <c r="AA331" i="11"/>
  <c r="AA207" i="11"/>
  <c r="AA104" i="11"/>
  <c r="AA1189" i="11"/>
  <c r="AA1177" i="11"/>
  <c r="AA1165" i="11"/>
  <c r="AA1153" i="11"/>
  <c r="AA1141" i="11"/>
  <c r="AA1129" i="11"/>
  <c r="AA1117" i="11"/>
  <c r="AA1105" i="11"/>
  <c r="AA1093" i="11"/>
  <c r="AA1081" i="11"/>
  <c r="AA1069" i="11"/>
  <c r="AA1057" i="11"/>
  <c r="AA1045" i="11"/>
  <c r="AA1033" i="11"/>
  <c r="AA1021" i="11"/>
  <c r="AA1009" i="11"/>
  <c r="AA997" i="11"/>
  <c r="AA985" i="11"/>
  <c r="AA973" i="11"/>
  <c r="AA961" i="11"/>
  <c r="AA949" i="11"/>
  <c r="AA937" i="11"/>
  <c r="AA925" i="11"/>
  <c r="AA913" i="11"/>
  <c r="AA901" i="11"/>
  <c r="AA889" i="11"/>
  <c r="AA877" i="11"/>
  <c r="AA865" i="11"/>
  <c r="AA853" i="11"/>
  <c r="AA841" i="11"/>
  <c r="AA829" i="11"/>
  <c r="AA817" i="11"/>
  <c r="AA805" i="11"/>
  <c r="AA793" i="11"/>
  <c r="AA781" i="11"/>
  <c r="AA769" i="11"/>
  <c r="AA757" i="11"/>
  <c r="AA745" i="11"/>
  <c r="AA733" i="11"/>
  <c r="AA721" i="11"/>
  <c r="AA709" i="11"/>
  <c r="AA697" i="11"/>
  <c r="AA685" i="11"/>
  <c r="AA673" i="11"/>
  <c r="AA661" i="11"/>
  <c r="AA649" i="11"/>
  <c r="AA637" i="11"/>
  <c r="AA625" i="11"/>
  <c r="AA613" i="11"/>
  <c r="AA575" i="11"/>
  <c r="AA603" i="11"/>
  <c r="AA591" i="11"/>
  <c r="AA570" i="11"/>
  <c r="AA558" i="11"/>
  <c r="AA540" i="11"/>
  <c r="AA498" i="11"/>
  <c r="AA551" i="11"/>
  <c r="AA455" i="11"/>
  <c r="AA342" i="11"/>
  <c r="AA330" i="11"/>
  <c r="AA230" i="11"/>
  <c r="AA218" i="11"/>
  <c r="AA206" i="11"/>
  <c r="AA194" i="11"/>
  <c r="AA176" i="11"/>
  <c r="AA153" i="11"/>
  <c r="AA141" i="11"/>
  <c r="AA103" i="11"/>
  <c r="AA91" i="11"/>
  <c r="AA79" i="11"/>
  <c r="AA66" i="11"/>
  <c r="AA54" i="11"/>
  <c r="AA231" i="11"/>
  <c r="AA219" i="11"/>
  <c r="AA195" i="11"/>
  <c r="AA177" i="11"/>
  <c r="AA154" i="11"/>
  <c r="AA142" i="11"/>
  <c r="AA92" i="11"/>
  <c r="AA80" i="11"/>
  <c r="AA67" i="11"/>
  <c r="AA55" i="11"/>
  <c r="AA1200" i="11"/>
  <c r="AA1188" i="11"/>
  <c r="AA1176" i="11"/>
  <c r="AA1164" i="11"/>
  <c r="AA1152" i="11"/>
  <c r="AA1140" i="11"/>
  <c r="AA1128" i="11"/>
  <c r="AA1116" i="11"/>
  <c r="AA1104" i="11"/>
  <c r="AA1092" i="11"/>
  <c r="AA1080" i="11"/>
  <c r="AA1068" i="11"/>
  <c r="AA1056" i="11"/>
  <c r="AA1044" i="11"/>
  <c r="AA1032" i="11"/>
  <c r="AA1020" i="11"/>
  <c r="AA1008" i="11"/>
  <c r="AA996" i="11"/>
  <c r="AA984" i="11"/>
  <c r="AA972" i="11"/>
  <c r="AA960" i="11"/>
  <c r="AA948" i="11"/>
  <c r="AA936" i="11"/>
  <c r="AA924" i="11"/>
  <c r="AA912" i="11"/>
  <c r="AA900" i="11"/>
  <c r="AA888" i="11"/>
  <c r="AA876" i="11"/>
  <c r="AA864" i="11"/>
  <c r="AA852" i="11"/>
  <c r="AA840" i="11"/>
  <c r="AA828" i="11"/>
  <c r="AA816" i="11"/>
  <c r="AA804" i="11"/>
  <c r="AA792" i="11"/>
  <c r="AA780" i="11"/>
  <c r="AA768" i="11"/>
  <c r="AA756" i="11"/>
  <c r="AA744" i="11"/>
  <c r="AA732" i="11"/>
  <c r="AA720" i="11"/>
  <c r="AA708" i="11"/>
  <c r="AA696" i="11"/>
  <c r="AA684" i="11"/>
  <c r="AA672" i="11"/>
  <c r="AA660" i="11"/>
  <c r="AA648" i="11"/>
  <c r="AA636" i="11"/>
  <c r="AA624" i="11"/>
  <c r="AA467" i="11"/>
  <c r="AA581" i="11"/>
  <c r="AA602" i="11"/>
  <c r="AA590" i="11"/>
  <c r="AA569" i="11"/>
  <c r="AA550" i="11"/>
  <c r="AA539" i="11"/>
  <c r="AA497" i="11"/>
  <c r="AA466" i="11"/>
  <c r="AA454" i="11"/>
  <c r="AA341" i="11"/>
  <c r="AA328" i="11"/>
  <c r="AA229" i="11"/>
  <c r="AA217" i="11"/>
  <c r="AA205" i="11"/>
  <c r="AA193" i="11"/>
  <c r="AA175" i="11"/>
  <c r="AA152" i="11"/>
  <c r="AA140" i="11"/>
  <c r="AA102" i="11"/>
  <c r="AA90" i="11"/>
  <c r="AA78" i="11"/>
  <c r="AA65" i="11"/>
  <c r="AA53" i="11"/>
  <c r="AA1007" i="11"/>
  <c r="AA995" i="11"/>
  <c r="AA983" i="11"/>
  <c r="AA971" i="11"/>
  <c r="AA959" i="11"/>
  <c r="AA947" i="11"/>
  <c r="AA935" i="11"/>
  <c r="AA923" i="11"/>
  <c r="AA911" i="11"/>
  <c r="AA899" i="11"/>
  <c r="AA887" i="11"/>
  <c r="AA875" i="11"/>
  <c r="AA863" i="11"/>
  <c r="AA851" i="11"/>
  <c r="AA839" i="11"/>
  <c r="AA827" i="11"/>
  <c r="AA815" i="11"/>
  <c r="AA803" i="11"/>
  <c r="AA791" i="11"/>
  <c r="AA779" i="11"/>
  <c r="AA767" i="11"/>
  <c r="AA755" i="11"/>
  <c r="AA743" i="11"/>
  <c r="AA731" i="11"/>
  <c r="AA719" i="11"/>
  <c r="AA707" i="11"/>
  <c r="AA695" i="11"/>
  <c r="AA683" i="11"/>
  <c r="AA671" i="11"/>
  <c r="AA659" i="11"/>
  <c r="AA647" i="11"/>
  <c r="AA635" i="11"/>
  <c r="AA623" i="11"/>
  <c r="AA617" i="11"/>
  <c r="AA616" i="11"/>
  <c r="AA601" i="11"/>
  <c r="AA589" i="11"/>
  <c r="AA568" i="11"/>
  <c r="AA549" i="11"/>
  <c r="AA536" i="11"/>
  <c r="AA496" i="11"/>
  <c r="AA465" i="11"/>
  <c r="AA453" i="11"/>
  <c r="AA340" i="11"/>
  <c r="AA307" i="11"/>
  <c r="AA228" i="11"/>
  <c r="AA216" i="11"/>
  <c r="AA204" i="11"/>
  <c r="AA192" i="11"/>
  <c r="AA174" i="11"/>
  <c r="AA151" i="11"/>
  <c r="AA139" i="11"/>
  <c r="AA101" i="11"/>
  <c r="AA89" i="11"/>
  <c r="AA77" i="11"/>
  <c r="AA64" i="11"/>
  <c r="AA52" i="11"/>
  <c r="AA1186" i="11"/>
  <c r="AA1174" i="11"/>
  <c r="AA1162" i="11"/>
  <c r="AA1150" i="11"/>
  <c r="AA1138" i="11"/>
  <c r="AA1126" i="11"/>
  <c r="AA1114" i="11"/>
  <c r="AA1102" i="11"/>
  <c r="AA1090" i="11"/>
  <c r="AA1078" i="11"/>
  <c r="AA1066" i="11"/>
  <c r="AA1054" i="11"/>
  <c r="AA1042" i="11"/>
  <c r="AA1030" i="11"/>
  <c r="AA1018" i="11"/>
  <c r="AA1006" i="11"/>
  <c r="AA994" i="11"/>
  <c r="AA982" i="11"/>
  <c r="AA970" i="11"/>
  <c r="AA958" i="11"/>
  <c r="AA946" i="11"/>
  <c r="AA934" i="11"/>
  <c r="AA922" i="11"/>
  <c r="AA910" i="11"/>
  <c r="AA898" i="11"/>
  <c r="AA886" i="11"/>
  <c r="AA874" i="11"/>
  <c r="AA862" i="11"/>
  <c r="AA850" i="11"/>
  <c r="AA838" i="11"/>
  <c r="AA826" i="11"/>
  <c r="AA814" i="11"/>
  <c r="AA802" i="11"/>
  <c r="AA790" i="11"/>
  <c r="AA778" i="11"/>
  <c r="AA766" i="11"/>
  <c r="AA754" i="11"/>
  <c r="AA742" i="11"/>
  <c r="AA730" i="11"/>
  <c r="AA718" i="11"/>
  <c r="AA706" i="11"/>
  <c r="AA694" i="11"/>
  <c r="AA670" i="11"/>
  <c r="AA658" i="11"/>
  <c r="AA646" i="11"/>
  <c r="AA634" i="11"/>
  <c r="AA622" i="11"/>
  <c r="AA584" i="11"/>
  <c r="AA615" i="11"/>
  <c r="AA600" i="11"/>
  <c r="AA588" i="11"/>
  <c r="AA567" i="11"/>
  <c r="AA548" i="11"/>
  <c r="AA500" i="11"/>
  <c r="AA495" i="11"/>
  <c r="AA464" i="11"/>
  <c r="AA452" i="11"/>
  <c r="AA339" i="11"/>
  <c r="AA270" i="11"/>
  <c r="AA227" i="11"/>
  <c r="AA215" i="11"/>
  <c r="AA203" i="11"/>
  <c r="AA191" i="11"/>
  <c r="AA173" i="11"/>
  <c r="AA150" i="11"/>
  <c r="AA138" i="11"/>
  <c r="AA100" i="11"/>
  <c r="AA88" i="11"/>
  <c r="AA75" i="11"/>
  <c r="AA63" i="11"/>
  <c r="AA51" i="11"/>
  <c r="AA1185" i="11"/>
  <c r="AA1173" i="11"/>
  <c r="AA1161" i="11"/>
  <c r="AA1149" i="11"/>
  <c r="AA1137" i="11"/>
  <c r="AA1125" i="11"/>
  <c r="AA1113" i="11"/>
  <c r="AA1101" i="11"/>
  <c r="AA1089" i="11"/>
  <c r="AA1077" i="11"/>
  <c r="AA1065" i="11"/>
  <c r="AA1053" i="11"/>
  <c r="AA1041" i="11"/>
  <c r="AA1029" i="11"/>
  <c r="AA1017" i="11"/>
  <c r="AA1005" i="11"/>
  <c r="AA993" i="11"/>
  <c r="AA981" i="11"/>
  <c r="AA969" i="11"/>
  <c r="AA957" i="11"/>
  <c r="AA945" i="11"/>
  <c r="AA933" i="11"/>
  <c r="AA921" i="11"/>
  <c r="AA909" i="11"/>
  <c r="AA897" i="11"/>
  <c r="AA885" i="11"/>
  <c r="AA873" i="11"/>
  <c r="AA861" i="11"/>
  <c r="AA849" i="11"/>
  <c r="AA837" i="11"/>
  <c r="AA825" i="11"/>
  <c r="AA813" i="11"/>
  <c r="AA801" i="11"/>
  <c r="AA789" i="11"/>
  <c r="AA777" i="11"/>
  <c r="AA765" i="11"/>
  <c r="AA753" i="11"/>
  <c r="AA741" i="11"/>
  <c r="AA729" i="11"/>
  <c r="AA717" i="11"/>
  <c r="AA705" i="11"/>
  <c r="AA693" i="11"/>
  <c r="AA681" i="11"/>
  <c r="AA669" i="11"/>
  <c r="AA657" i="11"/>
  <c r="AA645" i="11"/>
  <c r="AA633" i="11"/>
  <c r="AA583" i="11"/>
  <c r="AA614" i="11"/>
  <c r="AA599" i="11"/>
  <c r="AA587" i="11"/>
  <c r="AA566" i="11"/>
  <c r="AA547" i="11"/>
  <c r="AA538" i="11"/>
  <c r="AA494" i="11"/>
  <c r="AA463" i="11"/>
  <c r="AA451" i="11"/>
  <c r="AA338" i="11"/>
  <c r="AA238" i="11"/>
  <c r="AA226" i="11"/>
  <c r="AA214" i="11"/>
  <c r="AA202" i="11"/>
  <c r="AA190" i="11"/>
  <c r="AA172" i="11"/>
  <c r="AA149" i="11"/>
  <c r="AA137" i="11"/>
  <c r="AA99" i="11"/>
  <c r="AA87" i="11"/>
  <c r="AA74" i="11"/>
  <c r="AA62" i="11"/>
  <c r="AA274" i="11"/>
  <c r="AA337" i="11"/>
  <c r="AA237" i="11"/>
  <c r="AA225" i="11"/>
  <c r="AA213" i="11"/>
  <c r="AA201" i="11"/>
  <c r="AA183" i="11"/>
  <c r="AA171" i="11"/>
  <c r="AA148" i="11"/>
  <c r="AA136" i="11"/>
  <c r="AA98" i="11"/>
  <c r="AA86" i="11"/>
  <c r="AA73" i="11"/>
  <c r="AA61" i="11"/>
  <c r="C21" i="19"/>
  <c r="C9" i="18" l="1"/>
  <c r="C22" i="19"/>
  <c r="C19" i="19"/>
  <c r="C12" i="19"/>
  <c r="C20" i="19"/>
  <c r="C17" i="19"/>
  <c r="AI175" i="12"/>
  <c r="AG175" i="12" a="1"/>
  <c r="AG175" i="12" s="1"/>
  <c r="AG93" i="12" a="1"/>
  <c r="AG93" i="12" s="1"/>
  <c r="AI93" i="12" s="1"/>
  <c r="AG109" i="12" a="1"/>
  <c r="AG109" i="12" s="1"/>
  <c r="AI109" i="12" s="1"/>
  <c r="AG61" i="12" a="1"/>
  <c r="AG61" i="12" s="1"/>
  <c r="AI61" i="12" s="1"/>
  <c r="AI155" i="12"/>
  <c r="AG155" i="12" a="1"/>
  <c r="AG155" i="12" s="1"/>
  <c r="AG102" i="12" a="1"/>
  <c r="AG102" i="12" s="1"/>
  <c r="AI102" i="12" s="1"/>
  <c r="AG81" i="12" a="1"/>
  <c r="AG81" i="12" s="1"/>
  <c r="AI81" i="12" s="1"/>
  <c r="AG57" i="12" a="1"/>
  <c r="AG57" i="12" s="1"/>
  <c r="AI57" i="12" s="1"/>
  <c r="AG33" i="12" a="1"/>
  <c r="AG33" i="12" s="1"/>
  <c r="AI33" i="12" s="1"/>
  <c r="AG75" i="12" a="1"/>
  <c r="AG75" i="12" s="1"/>
  <c r="AI75" i="12" s="1"/>
  <c r="AG58" i="12" a="1"/>
  <c r="AG58" i="12" s="1"/>
  <c r="AI58" i="12" s="1"/>
  <c r="AG64" i="12" a="1"/>
  <c r="AG64" i="12" s="1"/>
  <c r="AI64" i="12" s="1"/>
  <c r="AI186" i="12"/>
  <c r="AG186" i="12" a="1"/>
  <c r="AG186" i="12" s="1"/>
  <c r="AG53" i="12" a="1"/>
  <c r="AG53" i="12" s="1"/>
  <c r="AI53" i="12" s="1"/>
  <c r="AG106" i="12" a="1"/>
  <c r="AG106" i="12" s="1"/>
  <c r="AI106" i="12" s="1"/>
  <c r="AG28" i="12" a="1"/>
  <c r="AG28" i="12" s="1"/>
  <c r="AI28" i="12" s="1"/>
  <c r="AG80" i="12" a="1"/>
  <c r="AG80" i="12" s="1"/>
  <c r="AI80" i="12" s="1"/>
  <c r="AI142" i="12"/>
  <c r="AG142" i="12" a="1"/>
  <c r="AG142" i="12" s="1"/>
  <c r="AG6" i="12" a="1"/>
  <c r="AG6" i="12" s="1"/>
  <c r="AI6" i="12" s="1"/>
  <c r="AG83" i="12" a="1"/>
  <c r="AG83" i="12" s="1"/>
  <c r="AI83" i="12" s="1"/>
  <c r="AG70" i="12" a="1"/>
  <c r="AG70" i="12" s="1"/>
  <c r="AI70" i="12" s="1"/>
  <c r="AG25" i="12" a="1"/>
  <c r="AG25" i="12" s="1"/>
  <c r="AI25" i="12" s="1"/>
  <c r="AI144" i="12"/>
  <c r="AG144" i="12" a="1"/>
  <c r="AG144" i="12" s="1"/>
  <c r="AI173" i="12"/>
  <c r="AG173" i="12" a="1"/>
  <c r="AG173" i="12" s="1"/>
  <c r="AI167" i="12"/>
  <c r="AG167" i="12" a="1"/>
  <c r="AG167" i="12" s="1"/>
  <c r="AI163" i="12"/>
  <c r="AG163" i="12" a="1"/>
  <c r="AG163" i="12" s="1"/>
  <c r="AG90" i="12" a="1"/>
  <c r="AG90" i="12" s="1"/>
  <c r="AI90" i="12" s="1"/>
  <c r="AG7" i="12" a="1"/>
  <c r="AG7" i="12" s="1"/>
  <c r="AI7" i="12" s="1"/>
  <c r="AG107" i="12" a="1"/>
  <c r="AG107" i="12" s="1"/>
  <c r="AI107" i="12" s="1"/>
  <c r="AG120" i="12" a="1"/>
  <c r="AG120" i="12" s="1"/>
  <c r="AI120" i="12" s="1"/>
  <c r="AG94" i="12" a="1"/>
  <c r="AG94" i="12" s="1"/>
  <c r="AI94" i="12" s="1"/>
  <c r="AI168" i="12"/>
  <c r="AG168" i="12" a="1"/>
  <c r="AG168" i="12" s="1"/>
  <c r="AG60" i="12" a="1"/>
  <c r="AG60" i="12" s="1"/>
  <c r="AI60" i="12" s="1"/>
  <c r="AG49" i="12" a="1"/>
  <c r="AG49" i="12" s="1"/>
  <c r="AI49" i="12" s="1"/>
  <c r="AG88" i="12" a="1"/>
  <c r="AG88" i="12" s="1"/>
  <c r="AI88" i="12" s="1"/>
  <c r="AG96" i="12" a="1"/>
  <c r="AG96" i="12" s="1"/>
  <c r="AI96" i="12" s="1"/>
  <c r="AI157" i="12"/>
  <c r="AG157" i="12" a="1"/>
  <c r="AG157" i="12" s="1"/>
  <c r="AI170" i="12"/>
  <c r="AG170" i="12" a="1"/>
  <c r="AG170" i="12" s="1"/>
  <c r="AG54" i="12" a="1"/>
  <c r="AG54" i="12" s="1"/>
  <c r="AI54" i="12" s="1"/>
  <c r="AI139" i="12"/>
  <c r="AG139" i="12" a="1"/>
  <c r="AG139" i="12" s="1"/>
  <c r="AG52" i="12" a="1"/>
  <c r="AG52" i="12" s="1"/>
  <c r="AI52" i="12" s="1"/>
  <c r="AI140" i="12"/>
  <c r="AG140" i="12" a="1"/>
  <c r="AG140" i="12" s="1"/>
  <c r="AG78" i="12" a="1"/>
  <c r="AG78" i="12" s="1"/>
  <c r="AI78" i="12" s="1"/>
  <c r="AG95" i="12" a="1"/>
  <c r="AG95" i="12" s="1"/>
  <c r="AI95" i="12" s="1"/>
  <c r="AI174" i="12"/>
  <c r="AG174" i="12" a="1"/>
  <c r="AG174" i="12" s="1"/>
  <c r="AG86" i="12" a="1"/>
  <c r="AG86" i="12" s="1"/>
  <c r="AI86" i="12" s="1"/>
  <c r="AG34" i="12" a="1"/>
  <c r="AG34" i="12" s="1"/>
  <c r="AI34" i="12" s="1"/>
  <c r="AI121" i="12"/>
  <c r="AG121" i="12" a="1"/>
  <c r="AG121" i="12" s="1"/>
  <c r="AG5" i="12" a="1"/>
  <c r="AG5" i="12" s="1"/>
  <c r="AI5" i="12" s="1"/>
  <c r="AG69" i="12" a="1"/>
  <c r="AG69" i="12" s="1"/>
  <c r="AI69" i="12" s="1"/>
  <c r="AI184" i="12"/>
  <c r="AG184" i="12" a="1"/>
  <c r="AG184" i="12" s="1"/>
  <c r="AG44" i="12" a="1"/>
  <c r="AG44" i="12" s="1"/>
  <c r="AI44" i="12" s="1"/>
  <c r="AG103" i="12" a="1"/>
  <c r="AG103" i="12" s="1"/>
  <c r="AI103" i="12" s="1"/>
  <c r="AG14" i="12" a="1"/>
  <c r="AG14" i="12" s="1"/>
  <c r="AI14" i="12" s="1"/>
  <c r="AG38" i="12" a="1"/>
  <c r="AG38" i="12" s="1"/>
  <c r="AI38" i="12" s="1"/>
  <c r="AG67" i="12" a="1"/>
  <c r="AG67" i="12" s="1"/>
  <c r="AI67" i="12" s="1"/>
  <c r="AG48" i="12" a="1"/>
  <c r="AG48" i="12" s="1"/>
  <c r="AI48" i="12" s="1"/>
  <c r="AI179" i="12"/>
  <c r="AG179" i="12" a="1"/>
  <c r="AG179" i="12" s="1"/>
  <c r="AG117" i="12" a="1"/>
  <c r="AG117" i="12" s="1"/>
  <c r="AI117" i="12" s="1"/>
  <c r="AI151" i="12"/>
  <c r="AG151" i="12" a="1"/>
  <c r="AG151" i="12" s="1"/>
  <c r="AG23" i="12" a="1"/>
  <c r="AG23" i="12" s="1"/>
  <c r="AI23" i="12" s="1"/>
  <c r="AI130" i="12"/>
  <c r="AG130" i="12" a="1"/>
  <c r="AG130" i="12" s="1"/>
  <c r="AI159" i="12"/>
  <c r="AG159" i="12" a="1"/>
  <c r="AG159" i="12" s="1"/>
  <c r="AG87" i="12" a="1"/>
  <c r="AG87" i="12" s="1"/>
  <c r="AI87" i="12" s="1"/>
  <c r="AI141" i="12"/>
  <c r="AG141" i="12" a="1"/>
  <c r="AG141" i="12" s="1"/>
  <c r="AG74" i="12" a="1"/>
  <c r="AG74" i="12" s="1"/>
  <c r="AI74" i="12" s="1"/>
  <c r="AG19" i="12" a="1"/>
  <c r="AG19" i="12" s="1"/>
  <c r="AI19" i="12" s="1"/>
  <c r="AI122" i="12"/>
  <c r="AG122" i="12" a="1"/>
  <c r="AG122" i="12" s="1"/>
  <c r="AG118" i="12" a="1"/>
  <c r="AG118" i="12" s="1"/>
  <c r="AI118" i="12" s="1"/>
  <c r="AI172" i="12"/>
  <c r="AG172" i="12" a="1"/>
  <c r="AG172" i="12" s="1"/>
  <c r="AI180" i="12"/>
  <c r="AG180" i="12" a="1"/>
  <c r="AG180" i="12" s="1"/>
  <c r="AI185" i="12"/>
  <c r="AG185" i="12" a="1"/>
  <c r="AG185" i="12" s="1"/>
  <c r="AI178" i="12"/>
  <c r="AG178" i="12" a="1"/>
  <c r="AG178" i="12" s="1"/>
  <c r="AI169" i="12"/>
  <c r="AG169" i="12" a="1"/>
  <c r="AG169" i="12" s="1"/>
  <c r="AG125" i="12" a="1"/>
  <c r="AG125" i="12" s="1"/>
  <c r="AI125" i="12" s="1"/>
  <c r="AG36" i="12" a="1"/>
  <c r="AG36" i="12" s="1"/>
  <c r="AI36" i="12" s="1"/>
  <c r="AG11" i="12" a="1"/>
  <c r="AG11" i="12" s="1"/>
  <c r="AI11" i="12" s="1"/>
  <c r="AG40" i="12" a="1"/>
  <c r="AG40" i="12" s="1"/>
  <c r="AI40" i="12" s="1"/>
  <c r="AG27" i="12" a="1"/>
  <c r="AG27" i="12" s="1"/>
  <c r="AI27" i="12" s="1"/>
  <c r="AI127" i="12"/>
  <c r="AG127" i="12" a="1"/>
  <c r="AG127" i="12" s="1"/>
  <c r="AG91" i="12" a="1"/>
  <c r="AG91" i="12" s="1"/>
  <c r="AI91" i="12" s="1"/>
  <c r="AG56" i="12" a="1"/>
  <c r="AG56" i="12" s="1"/>
  <c r="AI56" i="12" s="1"/>
  <c r="AI132" i="12"/>
  <c r="AG132" i="12" a="1"/>
  <c r="AG132" i="12" s="1"/>
  <c r="AG66" i="12" a="1"/>
  <c r="AG66" i="12" s="1"/>
  <c r="AI66" i="12" s="1"/>
  <c r="AG98" i="12" a="1"/>
  <c r="AG98" i="12" s="1"/>
  <c r="AI98" i="12" s="1"/>
  <c r="AI165" i="12"/>
  <c r="AG165" i="12" a="1"/>
  <c r="AG165" i="12" s="1"/>
  <c r="AG26" i="12" a="1"/>
  <c r="AG26" i="12" s="1"/>
  <c r="AI26" i="12" s="1"/>
  <c r="AG24" i="12" a="1"/>
  <c r="AG24" i="12" s="1"/>
  <c r="AI24" i="12" s="1"/>
  <c r="AG47" i="12" a="1"/>
  <c r="AG47" i="12" s="1"/>
  <c r="AI47" i="12" s="1"/>
  <c r="AI134" i="12"/>
  <c r="AG134" i="12" a="1"/>
  <c r="AG134" i="12" s="1"/>
  <c r="AG101" i="12" a="1"/>
  <c r="AG101" i="12" s="1"/>
  <c r="AI101" i="12" s="1"/>
  <c r="AG128" i="12" a="1"/>
  <c r="AG128" i="12" s="1"/>
  <c r="AI128" i="12" s="1"/>
  <c r="AG8" i="12" a="1"/>
  <c r="AG8" i="12" s="1"/>
  <c r="AI8" i="12" s="1"/>
  <c r="AG71" i="12" a="1"/>
  <c r="AG71" i="12" s="1"/>
  <c r="AI71" i="12" s="1"/>
  <c r="AG32" i="12" a="1"/>
  <c r="AG32" i="12" s="1"/>
  <c r="AI32" i="12" s="1"/>
  <c r="AI183" i="12"/>
  <c r="AG183" i="12" a="1"/>
  <c r="AG183" i="12" s="1"/>
  <c r="AG41" i="12" a="1"/>
  <c r="AG41" i="12" s="1"/>
  <c r="AI41" i="12" s="1"/>
  <c r="AG116" i="12" a="1"/>
  <c r="AG116" i="12" s="1"/>
  <c r="AI116" i="12" s="1"/>
  <c r="AI148" i="12"/>
  <c r="AG148" i="12" a="1"/>
  <c r="AG148" i="12" s="1"/>
  <c r="AI154" i="12"/>
  <c r="AG154" i="12" a="1"/>
  <c r="AG154" i="12" s="1"/>
  <c r="AG37" i="12" a="1"/>
  <c r="AG37" i="12" s="1"/>
  <c r="AI37" i="12" s="1"/>
  <c r="AG104" i="12" a="1"/>
  <c r="AG104" i="12" s="1"/>
  <c r="AI104" i="12" s="1"/>
  <c r="AI129" i="12"/>
  <c r="AG129" i="12" a="1"/>
  <c r="AG129" i="12" s="1"/>
  <c r="AG63" i="12" a="1"/>
  <c r="AG63" i="12" s="1"/>
  <c r="AI63" i="12" s="1"/>
  <c r="AG111" i="12" a="1"/>
  <c r="AG111" i="12" s="1"/>
  <c r="AI111" i="12" s="1"/>
  <c r="AI171" i="12"/>
  <c r="AG171" i="12" a="1"/>
  <c r="AG171" i="12" s="1"/>
  <c r="AI143" i="12"/>
  <c r="AG143" i="12" a="1"/>
  <c r="AG143" i="12" s="1"/>
  <c r="AI160" i="12"/>
  <c r="AG160" i="12" a="1"/>
  <c r="AG160" i="12" s="1"/>
  <c r="AG46" i="12" a="1"/>
  <c r="AG46" i="12" s="1"/>
  <c r="AI46" i="12" s="1"/>
  <c r="AG100" i="12" a="1"/>
  <c r="AG100" i="12" s="1"/>
  <c r="AI100" i="12" s="1"/>
  <c r="AG82" i="12" a="1"/>
  <c r="AG82" i="12" s="1"/>
  <c r="AI82" i="12" s="1"/>
  <c r="AG45" i="12" a="1"/>
  <c r="AG45" i="12" s="1"/>
  <c r="AI45" i="12" s="1"/>
  <c r="AI133" i="12"/>
  <c r="AG133" i="12" a="1"/>
  <c r="AG133" i="12" s="1"/>
  <c r="AG59" i="12" a="1"/>
  <c r="AG59" i="12" s="1"/>
  <c r="AI59" i="12" s="1"/>
  <c r="AI115" i="12"/>
  <c r="AG115" i="12" a="1"/>
  <c r="AG115" i="12" s="1"/>
  <c r="AG4" i="12" a="1"/>
  <c r="AG4" i="12" s="1"/>
  <c r="AI4" i="12" s="1"/>
  <c r="AG126" i="12" a="1"/>
  <c r="AG126" i="12" s="1"/>
  <c r="AI126" i="12" s="1"/>
  <c r="AG20" i="12" a="1"/>
  <c r="AG20" i="12" s="1"/>
  <c r="AI20" i="12" s="1"/>
  <c r="AG108" i="12" a="1"/>
  <c r="AG108" i="12" s="1"/>
  <c r="AI108" i="12" s="1"/>
  <c r="AI131" i="12"/>
  <c r="AG131" i="12" a="1"/>
  <c r="AG131" i="12" s="1"/>
  <c r="AG112" i="12" a="1"/>
  <c r="AG112" i="12" s="1"/>
  <c r="AI112" i="12" s="1"/>
  <c r="AI123" i="12"/>
  <c r="AG123" i="12" a="1"/>
  <c r="AG123" i="12" s="1"/>
  <c r="AG31" i="12" a="1"/>
  <c r="AG31" i="12" s="1"/>
  <c r="AI31" i="12" s="1"/>
  <c r="AI166" i="12"/>
  <c r="AG166" i="12" a="1"/>
  <c r="AG166" i="12" s="1"/>
  <c r="AG12" i="12" a="1"/>
  <c r="AG12" i="12" s="1"/>
  <c r="AI12" i="12" s="1"/>
  <c r="AI150" i="12"/>
  <c r="AG150" i="12" a="1"/>
  <c r="AG150" i="12" s="1"/>
  <c r="AG29" i="12" a="1"/>
  <c r="AG29" i="12" s="1"/>
  <c r="AI29" i="12" s="1"/>
  <c r="AI135" i="12"/>
  <c r="AG135" i="12" a="1"/>
  <c r="AG135" i="12" s="1"/>
  <c r="AG124" i="12" a="1"/>
  <c r="AG124" i="12" s="1"/>
  <c r="AI124" i="12" s="1"/>
  <c r="AG35" i="12" a="1"/>
  <c r="AG35" i="12" s="1"/>
  <c r="AI35" i="12" s="1"/>
  <c r="AG76" i="12" a="1"/>
  <c r="AG76" i="12" s="1"/>
  <c r="AI76" i="12" s="1"/>
  <c r="AG99" i="12" a="1"/>
  <c r="AG99" i="12" s="1"/>
  <c r="AI99" i="12" s="1"/>
  <c r="AI137" i="12"/>
  <c r="AG137" i="12" a="1"/>
  <c r="AG137" i="12" s="1"/>
  <c r="AG77" i="12" a="1"/>
  <c r="AG77" i="12" s="1"/>
  <c r="AI77" i="12" s="1"/>
  <c r="AG22" i="12" a="1"/>
  <c r="AG22" i="12" s="1"/>
  <c r="AI22" i="12" s="1"/>
  <c r="AI182" i="12"/>
  <c r="AG182" i="12" a="1"/>
  <c r="AG182" i="12" s="1"/>
  <c r="AG18" i="12" a="1"/>
  <c r="AG18" i="12" s="1"/>
  <c r="AI18" i="12" s="1"/>
  <c r="AG10" i="12" a="1"/>
  <c r="AG10" i="12" s="1"/>
  <c r="AI10" i="12" s="1"/>
  <c r="AI152" i="12"/>
  <c r="AG152" i="12" a="1"/>
  <c r="AG152" i="12" s="1"/>
  <c r="AG43" i="12" a="1"/>
  <c r="AG43" i="12" s="1"/>
  <c r="AI43" i="12" s="1"/>
  <c r="AG42" i="12" a="1"/>
  <c r="AG42" i="12" s="1"/>
  <c r="AI42" i="12" s="1"/>
  <c r="AG51" i="12" a="1"/>
  <c r="AG51" i="12" s="1"/>
  <c r="AI51" i="12" s="1"/>
  <c r="AG92" i="12" a="1"/>
  <c r="AG92" i="12" s="1"/>
  <c r="AI92" i="12" s="1"/>
  <c r="AI146" i="12"/>
  <c r="AG146" i="12" a="1"/>
  <c r="AG146" i="12" s="1"/>
  <c r="AG110" i="12" a="1"/>
  <c r="AG110" i="12" s="1"/>
  <c r="AI110" i="12" s="1"/>
  <c r="AI147" i="12"/>
  <c r="AG147" i="12" a="1"/>
  <c r="AG147" i="12" s="1"/>
  <c r="AI149" i="12"/>
  <c r="AG149" i="12" a="1"/>
  <c r="AG149" i="12" s="1"/>
  <c r="AI138" i="12"/>
  <c r="AG138" i="12" a="1"/>
  <c r="AG138" i="12" s="1"/>
  <c r="AG85" i="12" a="1"/>
  <c r="AG85" i="12" s="1"/>
  <c r="AI85" i="12" s="1"/>
  <c r="AI162" i="12"/>
  <c r="AG162" i="12" a="1"/>
  <c r="AG162" i="12" s="1"/>
  <c r="AG9" i="12" a="1"/>
  <c r="AG9" i="12" s="1"/>
  <c r="AI9" i="12" s="1"/>
  <c r="AI164" i="12"/>
  <c r="AG164" i="12" a="1"/>
  <c r="AG164" i="12" s="1"/>
  <c r="AG113" i="12" a="1"/>
  <c r="AG113" i="12" s="1"/>
  <c r="AI113" i="12" s="1"/>
  <c r="AI119" i="12"/>
  <c r="AG119" i="12" a="1"/>
  <c r="AG119" i="12" s="1"/>
  <c r="AG72" i="12" a="1"/>
  <c r="AG72" i="12" s="1"/>
  <c r="AI72" i="12" s="1"/>
  <c r="AG16" i="12" a="1"/>
  <c r="AG16" i="12" s="1"/>
  <c r="AI16" i="12" s="1"/>
  <c r="AI176" i="12"/>
  <c r="AG176" i="12" a="1"/>
  <c r="AG176" i="12" s="1"/>
  <c r="AG15" i="12" a="1"/>
  <c r="AG15" i="12" s="1"/>
  <c r="AI15" i="12" s="1"/>
  <c r="AG89" i="12" a="1"/>
  <c r="AG89" i="12" s="1"/>
  <c r="AI89" i="12" s="1"/>
  <c r="AI181" i="12"/>
  <c r="AG181" i="12" a="1"/>
  <c r="AG181" i="12" s="1"/>
  <c r="AG55" i="12" a="1"/>
  <c r="AG55" i="12" s="1"/>
  <c r="AI55" i="12" s="1"/>
  <c r="AG30" i="12" a="1"/>
  <c r="AG30" i="12" s="1"/>
  <c r="AI30" i="12" s="1"/>
  <c r="AG84" i="12" a="1"/>
  <c r="AG84" i="12" s="1"/>
  <c r="AI84" i="12" s="1"/>
  <c r="AI153" i="12"/>
  <c r="AG153" i="12" a="1"/>
  <c r="AG153" i="12" s="1"/>
  <c r="AG65" i="12" a="1"/>
  <c r="AG65" i="12" s="1"/>
  <c r="AI65" i="12" s="1"/>
  <c r="AG114" i="12" a="1"/>
  <c r="AG114" i="12" s="1"/>
  <c r="AI114" i="12" s="1"/>
  <c r="AI145" i="12"/>
  <c r="AG145" i="12" a="1"/>
  <c r="AG145" i="12" s="1"/>
  <c r="AG21" i="12" a="1"/>
  <c r="AG21" i="12" s="1"/>
  <c r="AI21" i="12" s="1"/>
  <c r="AG17" i="12" a="1"/>
  <c r="AG17" i="12" s="1"/>
  <c r="AI17" i="12" s="1"/>
  <c r="AG73" i="12" a="1"/>
  <c r="AG73" i="12" s="1"/>
  <c r="AI73" i="12" s="1"/>
  <c r="AG68" i="12" a="1"/>
  <c r="AG68" i="12" s="1"/>
  <c r="AI68" i="12" s="1"/>
  <c r="AI136" i="12"/>
  <c r="AG136" i="12" a="1"/>
  <c r="AG136" i="12" s="1"/>
  <c r="AI161" i="12"/>
  <c r="AG161" i="12" a="1"/>
  <c r="AG161" i="12" s="1"/>
  <c r="AG105" i="12" a="1"/>
  <c r="AG105" i="12" s="1"/>
  <c r="AI105" i="12" s="1"/>
  <c r="AG13" i="12" a="1"/>
  <c r="AG13" i="12" s="1"/>
  <c r="AI13" i="12" s="1"/>
  <c r="AG79" i="12" a="1"/>
  <c r="AG79" i="12" s="1"/>
  <c r="AI79" i="12" s="1"/>
  <c r="AG62" i="12" a="1"/>
  <c r="AG62" i="12" s="1"/>
  <c r="AI62" i="12" s="1"/>
  <c r="AI156" i="12"/>
  <c r="AG156" i="12" a="1"/>
  <c r="AG156" i="12" s="1"/>
  <c r="AG97" i="12" a="1"/>
  <c r="AG97" i="12" s="1"/>
  <c r="AI97" i="12" s="1"/>
  <c r="AG39" i="12" a="1"/>
  <c r="AG39" i="12" s="1"/>
  <c r="AI39" i="12" s="1"/>
  <c r="AI158" i="12"/>
  <c r="AG158" i="12" a="1"/>
  <c r="AG158" i="12" s="1"/>
  <c r="AG50" i="12" a="1"/>
  <c r="AG50" i="12" s="1"/>
  <c r="AI50" i="12" s="1"/>
  <c r="AI177" i="12"/>
  <c r="AG177" i="12" a="1"/>
  <c r="AG177" i="12" s="1"/>
  <c r="R1047" i="3"/>
  <c r="R1069" i="3"/>
  <c r="R1089" i="3"/>
  <c r="R1229" i="3"/>
  <c r="R816" i="3"/>
  <c r="R1128" i="3"/>
  <c r="R1135" i="3"/>
  <c r="R1196" i="3"/>
  <c r="R1208" i="3"/>
  <c r="R1241" i="3"/>
  <c r="R212" i="3"/>
  <c r="R462" i="3"/>
  <c r="R587" i="3"/>
  <c r="R775" i="3"/>
  <c r="R1062" i="3"/>
  <c r="R1320" i="3"/>
  <c r="R1917" i="3"/>
  <c r="R852" i="3"/>
  <c r="C16" i="19" s="1"/>
  <c r="R1634" i="3"/>
  <c r="R1583" i="3"/>
  <c r="R1584" i="3"/>
  <c r="R1585" i="3"/>
  <c r="R1586" i="3"/>
  <c r="R1616" i="3"/>
  <c r="R1617" i="3"/>
  <c r="R12" i="3"/>
  <c r="R13" i="3"/>
  <c r="R14" i="3"/>
  <c r="R28" i="3"/>
  <c r="R582" i="3"/>
  <c r="R583" i="3"/>
  <c r="R584" i="3"/>
  <c r="R632" i="3"/>
  <c r="R633" i="3"/>
  <c r="R657" i="3"/>
  <c r="R658" i="3"/>
  <c r="R659" i="3"/>
  <c r="R844" i="3"/>
  <c r="R870" i="3"/>
  <c r="R871" i="3"/>
  <c r="R872" i="3"/>
  <c r="R916" i="3"/>
  <c r="R1049" i="3"/>
  <c r="R1103" i="3"/>
  <c r="R1104" i="3"/>
  <c r="R1105" i="3"/>
  <c r="R1134" i="3"/>
  <c r="R1129" i="3"/>
  <c r="R1457" i="3"/>
  <c r="R1256" i="3"/>
  <c r="R1257" i="3"/>
  <c r="R1258" i="3"/>
  <c r="R1259" i="3"/>
  <c r="R1260" i="3"/>
  <c r="R1458" i="3"/>
  <c r="R1459" i="3"/>
  <c r="R585" i="3"/>
  <c r="R1460" i="3"/>
  <c r="R1106" i="3"/>
  <c r="R292" i="3"/>
  <c r="R560" i="3"/>
  <c r="R637" i="3"/>
  <c r="R561" i="3"/>
  <c r="R638" i="3"/>
  <c r="R562" i="3"/>
  <c r="R293" i="3"/>
  <c r="C11" i="19" s="1"/>
  <c r="R1848" i="3"/>
  <c r="R1871" i="3"/>
  <c r="R1719" i="3"/>
  <c r="R1527" i="3"/>
  <c r="R1528" i="3"/>
  <c r="R1651" i="3"/>
  <c r="R1652" i="3"/>
  <c r="R1653" i="3"/>
  <c r="R1641" i="3"/>
  <c r="R1927" i="3"/>
  <c r="R1928" i="3"/>
  <c r="R1929" i="3"/>
  <c r="R1930" i="3"/>
  <c r="R1931" i="3"/>
  <c r="R1932" i="3"/>
  <c r="R1933" i="3"/>
  <c r="R1934" i="3"/>
  <c r="R1935" i="3"/>
  <c r="R1936" i="3"/>
  <c r="R1922" i="3"/>
  <c r="R1923" i="3"/>
  <c r="R1924" i="3"/>
  <c r="R1655" i="3"/>
  <c r="R1656" i="3"/>
  <c r="R1691" i="3"/>
  <c r="R1872" i="3"/>
  <c r="R1750" i="3"/>
  <c r="R1751" i="3"/>
  <c r="R1197" i="3"/>
  <c r="R1198" i="3"/>
  <c r="R1812" i="3"/>
  <c r="R1814" i="3"/>
  <c r="R1815" i="3"/>
  <c r="R1816" i="3"/>
  <c r="R1817" i="3"/>
  <c r="R1818" i="3"/>
  <c r="R1819" i="3"/>
  <c r="R1820" i="3"/>
  <c r="R1821" i="3"/>
  <c r="R1843" i="3"/>
  <c r="R1873" i="3"/>
  <c r="R1875" i="3"/>
  <c r="R1876" i="3"/>
  <c r="R1877" i="3"/>
  <c r="R1896" i="3"/>
  <c r="R1897" i="3"/>
  <c r="R1898" i="3"/>
  <c r="R1899" i="3"/>
  <c r="R1900" i="3"/>
  <c r="R1529" i="3"/>
  <c r="R1530" i="3"/>
  <c r="R1531" i="3"/>
  <c r="R1545" i="3"/>
  <c r="R1546" i="3"/>
  <c r="R1547" i="3"/>
  <c r="R1548" i="3"/>
  <c r="R1549" i="3"/>
  <c r="R1550" i="3"/>
  <c r="R1551" i="3"/>
  <c r="R1552" i="3"/>
  <c r="R1822" i="3"/>
  <c r="R1824" i="3"/>
  <c r="R1826" i="3"/>
  <c r="R1692" i="3"/>
  <c r="R1720" i="3"/>
  <c r="R1264" i="3"/>
  <c r="R1265" i="3"/>
  <c r="R1266" i="3"/>
  <c r="R1268" i="3"/>
  <c r="R1269" i="3"/>
  <c r="R1270" i="3"/>
  <c r="R1273" i="3"/>
  <c r="R1274" i="3"/>
  <c r="R1275" i="3"/>
  <c r="R1276" i="3"/>
  <c r="R1277" i="3"/>
  <c r="R1278" i="3"/>
  <c r="R1279" i="3"/>
  <c r="R1280" i="3"/>
  <c r="R1281" i="3"/>
  <c r="R1282" i="3"/>
  <c r="R1289" i="3"/>
  <c r="R1290" i="3"/>
  <c r="R1291" i="3"/>
  <c r="R1293" i="3"/>
  <c r="R1294" i="3"/>
  <c r="R1295" i="3"/>
  <c r="R1296" i="3"/>
  <c r="R1297" i="3"/>
  <c r="R1301" i="3"/>
  <c r="R1305" i="3"/>
  <c r="R1306" i="3"/>
  <c r="R1307" i="3"/>
  <c r="R1308" i="3"/>
  <c r="R1309" i="3"/>
  <c r="R1310" i="3"/>
  <c r="R1311" i="3"/>
  <c r="R1312" i="3"/>
  <c r="R1315" i="3"/>
  <c r="R1316" i="3"/>
  <c r="R1331" i="3"/>
  <c r="R1335" i="3"/>
  <c r="R1336" i="3"/>
  <c r="R1337" i="3"/>
  <c r="R1338" i="3"/>
  <c r="R1341" i="3"/>
  <c r="R1343" i="3"/>
  <c r="R1344" i="3"/>
  <c r="R1345" i="3"/>
  <c r="R1346" i="3"/>
  <c r="R1347" i="3"/>
  <c r="R1348" i="3"/>
  <c r="R1349" i="3"/>
  <c r="R1350" i="3"/>
  <c r="R1355" i="3"/>
  <c r="R1356" i="3"/>
  <c r="R1357" i="3"/>
  <c r="R1358" i="3"/>
  <c r="R1359" i="3"/>
  <c r="R1360" i="3"/>
  <c r="R1361" i="3"/>
  <c r="R1362" i="3"/>
  <c r="R1367" i="3"/>
  <c r="R1368" i="3"/>
  <c r="R1369" i="3"/>
  <c r="R1370" i="3"/>
  <c r="R1371" i="3"/>
  <c r="R1372" i="3"/>
  <c r="R1373" i="3"/>
  <c r="R1374" i="3"/>
  <c r="R1379" i="3"/>
  <c r="R1380" i="3"/>
  <c r="R1392" i="3"/>
  <c r="R1393" i="3"/>
  <c r="R1394" i="3"/>
  <c r="R1395" i="3"/>
  <c r="R1414" i="3"/>
  <c r="R1415" i="3"/>
  <c r="R1420" i="3"/>
  <c r="R1421" i="3"/>
  <c r="R1422" i="3"/>
  <c r="R1423" i="3"/>
  <c r="R1424" i="3"/>
  <c r="R1425" i="3"/>
  <c r="R1426" i="3"/>
  <c r="R1427" i="3"/>
  <c r="R1432" i="3"/>
  <c r="R1433" i="3"/>
  <c r="R1434" i="3"/>
  <c r="R1435" i="3"/>
  <c r="R1436" i="3"/>
  <c r="R1438" i="3"/>
  <c r="R1439" i="3"/>
  <c r="R1444" i="3"/>
  <c r="R1445" i="3"/>
  <c r="R1446" i="3"/>
  <c r="R1447" i="3"/>
  <c r="R1448" i="3"/>
  <c r="R1449" i="3"/>
  <c r="R1450" i="3"/>
  <c r="R1451" i="3"/>
  <c r="R1456" i="3"/>
  <c r="R1470" i="3"/>
  <c r="R1471" i="3"/>
  <c r="R1472" i="3"/>
  <c r="R1473" i="3"/>
  <c r="R1474" i="3"/>
  <c r="R1475" i="3"/>
  <c r="R1476" i="3"/>
  <c r="R1488" i="3"/>
  <c r="R1489" i="3"/>
  <c r="R1490" i="3"/>
  <c r="R1491" i="3"/>
  <c r="R1492" i="3"/>
  <c r="R1493" i="3"/>
  <c r="R1494" i="3"/>
  <c r="R1495" i="3"/>
  <c r="R1500" i="3"/>
  <c r="R1501" i="3"/>
  <c r="R1502" i="3"/>
  <c r="R1503" i="3"/>
  <c r="R1504" i="3"/>
  <c r="R1505" i="3"/>
  <c r="R1506" i="3"/>
  <c r="R1507" i="3"/>
  <c r="R1512" i="3"/>
  <c r="R1513" i="3"/>
  <c r="R1514" i="3"/>
  <c r="R1515" i="3"/>
  <c r="R1516" i="3"/>
  <c r="R1517" i="3"/>
  <c r="R1518" i="3"/>
  <c r="R1519" i="3"/>
  <c r="R1522" i="3"/>
  <c r="R1524" i="3"/>
  <c r="R1526" i="3"/>
  <c r="R1533" i="3"/>
  <c r="R1534" i="3"/>
  <c r="R1536" i="3"/>
  <c r="R1537" i="3"/>
  <c r="R1540" i="3"/>
  <c r="R1542" i="3"/>
  <c r="R1543" i="3"/>
  <c r="R1544" i="3"/>
  <c r="R1558" i="3"/>
  <c r="R1559" i="3"/>
  <c r="R1560" i="3"/>
  <c r="R1561" i="3"/>
  <c r="R1562" i="3"/>
  <c r="R1567" i="3"/>
  <c r="R1569" i="3"/>
  <c r="R634" i="3"/>
  <c r="R636" i="3"/>
  <c r="C86" i="1" s="1"/>
  <c r="R1925" i="3"/>
  <c r="R1926" i="3"/>
  <c r="R1895" i="3"/>
  <c r="R1813" i="3"/>
  <c r="R1844" i="3"/>
  <c r="R1874" i="3"/>
  <c r="R1532" i="3"/>
  <c r="R1823" i="3"/>
  <c r="R1825" i="3"/>
  <c r="R1267" i="3"/>
  <c r="R1271" i="3"/>
  <c r="R1272" i="3"/>
  <c r="R1283" i="3"/>
  <c r="R1284" i="3"/>
  <c r="R1292" i="3"/>
  <c r="R1298" i="3"/>
  <c r="R1299" i="3"/>
  <c r="R1300" i="3"/>
  <c r="R1313" i="3"/>
  <c r="R1314" i="3"/>
  <c r="R1332" i="3"/>
  <c r="R1333" i="3"/>
  <c r="R1334" i="3"/>
  <c r="R1339" i="3"/>
  <c r="R1340" i="3"/>
  <c r="R1342" i="3"/>
  <c r="R1351" i="3"/>
  <c r="R1352" i="3"/>
  <c r="R1353" i="3"/>
  <c r="R1354" i="3"/>
  <c r="R1363" i="3"/>
  <c r="R1364" i="3"/>
  <c r="R1365" i="3"/>
  <c r="R1366" i="3"/>
  <c r="R1375" i="3"/>
  <c r="R1376" i="3"/>
  <c r="R1377" i="3"/>
  <c r="R1378" i="3"/>
  <c r="R1416" i="3"/>
  <c r="R1417" i="3"/>
  <c r="R1418" i="3"/>
  <c r="R1419" i="3"/>
  <c r="R1428" i="3"/>
  <c r="R1429" i="3"/>
  <c r="R1430" i="3"/>
  <c r="R1431" i="3"/>
  <c r="R1437" i="3"/>
  <c r="R1440" i="3"/>
  <c r="R1441" i="3"/>
  <c r="R1442" i="3"/>
  <c r="R1443" i="3"/>
  <c r="R1452" i="3"/>
  <c r="R1453" i="3"/>
  <c r="R1454" i="3"/>
  <c r="R1455" i="3"/>
  <c r="R1477" i="3"/>
  <c r="R1478" i="3"/>
  <c r="R1479" i="3"/>
  <c r="R1487" i="3"/>
  <c r="R1496" i="3"/>
  <c r="R1497" i="3"/>
  <c r="R1498" i="3"/>
  <c r="R1499" i="3"/>
  <c r="R1508" i="3"/>
  <c r="R1509" i="3"/>
  <c r="R1510" i="3"/>
  <c r="R1511" i="3"/>
  <c r="R1520" i="3"/>
  <c r="R1521" i="3"/>
  <c r="R1523" i="3"/>
  <c r="R1525" i="3"/>
  <c r="R1535" i="3"/>
  <c r="R1538" i="3"/>
  <c r="R1539" i="3"/>
  <c r="R1541" i="3"/>
  <c r="R1563" i="3"/>
  <c r="R1564" i="3"/>
  <c r="R1565" i="3"/>
  <c r="R1566" i="3"/>
  <c r="R1568" i="3"/>
  <c r="V1128" i="3"/>
  <c r="V1135" i="3"/>
  <c r="V1196" i="3"/>
  <c r="V1208" i="3"/>
  <c r="V1241" i="3"/>
  <c r="V3" i="3"/>
  <c r="V212" i="3"/>
  <c r="V462" i="3"/>
  <c r="V587" i="3"/>
  <c r="V775" i="3"/>
  <c r="V1062" i="3"/>
  <c r="V1320" i="3"/>
  <c r="V1917" i="3"/>
  <c r="V852" i="3"/>
  <c r="V1634" i="3"/>
  <c r="V1583" i="3"/>
  <c r="V1584" i="3"/>
  <c r="V1585" i="3"/>
  <c r="V1586" i="3"/>
  <c r="V1616" i="3"/>
  <c r="V1617" i="3"/>
  <c r="V12" i="3"/>
  <c r="V13" i="3"/>
  <c r="V14" i="3"/>
  <c r="V28" i="3"/>
  <c r="V580" i="3"/>
  <c r="V581" i="3"/>
  <c r="V582" i="3"/>
  <c r="V583" i="3"/>
  <c r="V584" i="3"/>
  <c r="V632" i="3"/>
  <c r="V633" i="3"/>
  <c r="V657" i="3"/>
  <c r="V658" i="3"/>
  <c r="V659" i="3"/>
  <c r="V844" i="3"/>
  <c r="V870" i="3"/>
  <c r="V871" i="3"/>
  <c r="V872" i="3"/>
  <c r="V916" i="3"/>
  <c r="V1049" i="3"/>
  <c r="V1103" i="3"/>
  <c r="V1104" i="3"/>
  <c r="V1105" i="3"/>
  <c r="V1134" i="3"/>
  <c r="V1129" i="3"/>
  <c r="V1457" i="3"/>
  <c r="V1256" i="3"/>
  <c r="V1257" i="3"/>
  <c r="V1258" i="3"/>
  <c r="V1259" i="3"/>
  <c r="V1260" i="3"/>
  <c r="V1458" i="3"/>
  <c r="V1459" i="3"/>
  <c r="V585" i="3"/>
  <c r="V1460" i="3"/>
  <c r="V1106" i="3"/>
  <c r="V292" i="3"/>
  <c r="V560" i="3"/>
  <c r="V637" i="3"/>
  <c r="V561" i="3"/>
  <c r="V638" i="3"/>
  <c r="V562" i="3"/>
  <c r="V293" i="3"/>
  <c r="V634" i="3"/>
  <c r="V635" i="3"/>
  <c r="V636" i="3"/>
  <c r="V1848" i="3"/>
  <c r="V1871" i="3"/>
  <c r="V1719" i="3"/>
  <c r="V1527" i="3"/>
  <c r="V1528" i="3"/>
  <c r="V1651" i="3"/>
  <c r="V1652" i="3"/>
  <c r="V1653" i="3"/>
  <c r="V1641" i="3"/>
  <c r="V1927" i="3"/>
  <c r="V1928" i="3"/>
  <c r="V1929" i="3"/>
  <c r="V1930" i="3"/>
  <c r="V1931" i="3"/>
  <c r="V1932" i="3"/>
  <c r="V1933" i="3"/>
  <c r="V1934" i="3"/>
  <c r="V1935" i="3"/>
  <c r="V1936" i="3"/>
  <c r="V1922" i="3"/>
  <c r="V1923" i="3"/>
  <c r="V1924" i="3"/>
  <c r="V1925" i="3"/>
  <c r="V1926" i="3"/>
  <c r="V1895" i="3"/>
  <c r="V1655" i="3"/>
  <c r="V1656" i="3"/>
  <c r="V1691" i="3"/>
  <c r="V1872" i="3"/>
  <c r="V1750" i="3"/>
  <c r="V1751" i="3"/>
  <c r="V1197" i="3"/>
  <c r="V1198" i="3"/>
  <c r="V1812" i="3"/>
  <c r="V1813" i="3"/>
  <c r="V1814" i="3"/>
  <c r="V1815" i="3"/>
  <c r="V1816" i="3"/>
  <c r="V1817" i="3"/>
  <c r="V1818" i="3"/>
  <c r="V1819" i="3"/>
  <c r="V1820" i="3"/>
  <c r="V1821" i="3"/>
  <c r="V1843" i="3"/>
  <c r="V1844" i="3"/>
  <c r="V1873" i="3"/>
  <c r="V1874" i="3"/>
  <c r="V1875" i="3"/>
  <c r="V1876" i="3"/>
  <c r="V1877" i="3"/>
  <c r="V1896" i="3"/>
  <c r="V1897" i="3"/>
  <c r="V1898" i="3"/>
  <c r="V1899" i="3"/>
  <c r="V1900" i="3"/>
  <c r="V1529" i="3"/>
  <c r="V1530" i="3"/>
  <c r="V1531" i="3"/>
  <c r="V1532" i="3"/>
  <c r="V1545" i="3"/>
  <c r="V1546" i="3"/>
  <c r="V1547" i="3"/>
  <c r="V1548" i="3"/>
  <c r="V1549" i="3"/>
  <c r="V1550" i="3"/>
  <c r="V1551" i="3"/>
  <c r="V1552" i="3"/>
  <c r="V1822" i="3"/>
  <c r="V1823" i="3"/>
  <c r="V1824" i="3"/>
  <c r="V1825" i="3"/>
  <c r="V1826" i="3"/>
  <c r="V1692" i="3"/>
  <c r="V1720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92" i="3"/>
  <c r="V1393" i="3"/>
  <c r="V1394" i="3"/>
  <c r="V1395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70" i="3"/>
  <c r="V1471" i="3"/>
  <c r="V1472" i="3"/>
  <c r="V1473" i="3"/>
  <c r="V1474" i="3"/>
  <c r="V1475" i="3"/>
  <c r="V1476" i="3"/>
  <c r="V1477" i="3"/>
  <c r="V1478" i="3"/>
  <c r="V1479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W1128" i="3"/>
  <c r="W1135" i="3"/>
  <c r="W1196" i="3"/>
  <c r="W1208" i="3"/>
  <c r="W1241" i="3"/>
  <c r="W3" i="3"/>
  <c r="W212" i="3"/>
  <c r="W462" i="3"/>
  <c r="W587" i="3"/>
  <c r="W775" i="3"/>
  <c r="W1062" i="3"/>
  <c r="W1320" i="3"/>
  <c r="W1917" i="3"/>
  <c r="W852" i="3"/>
  <c r="W1634" i="3"/>
  <c r="W1583" i="3"/>
  <c r="W1584" i="3"/>
  <c r="W1585" i="3"/>
  <c r="W1586" i="3"/>
  <c r="W1616" i="3"/>
  <c r="W1617" i="3"/>
  <c r="W12" i="3"/>
  <c r="W13" i="3"/>
  <c r="W14" i="3"/>
  <c r="W28" i="3"/>
  <c r="W580" i="3"/>
  <c r="W581" i="3"/>
  <c r="W582" i="3"/>
  <c r="W583" i="3"/>
  <c r="W584" i="3"/>
  <c r="W632" i="3"/>
  <c r="W633" i="3"/>
  <c r="W657" i="3"/>
  <c r="W658" i="3"/>
  <c r="W659" i="3"/>
  <c r="W844" i="3"/>
  <c r="W870" i="3"/>
  <c r="W871" i="3"/>
  <c r="W872" i="3"/>
  <c r="W916" i="3"/>
  <c r="W1049" i="3"/>
  <c r="W1103" i="3"/>
  <c r="W1104" i="3"/>
  <c r="W1105" i="3"/>
  <c r="W1134" i="3"/>
  <c r="W1129" i="3"/>
  <c r="W1457" i="3"/>
  <c r="W1256" i="3"/>
  <c r="W1257" i="3"/>
  <c r="W1258" i="3"/>
  <c r="W1259" i="3"/>
  <c r="W1260" i="3"/>
  <c r="W1458" i="3"/>
  <c r="W1459" i="3"/>
  <c r="W585" i="3"/>
  <c r="W1460" i="3"/>
  <c r="W1106" i="3"/>
  <c r="W292" i="3"/>
  <c r="W560" i="3"/>
  <c r="W637" i="3"/>
  <c r="W561" i="3"/>
  <c r="W638" i="3"/>
  <c r="W562" i="3"/>
  <c r="W293" i="3"/>
  <c r="W634" i="3"/>
  <c r="W635" i="3"/>
  <c r="W636" i="3"/>
  <c r="W1848" i="3"/>
  <c r="W1871" i="3"/>
  <c r="W1690" i="3"/>
  <c r="W1719" i="3"/>
  <c r="W1527" i="3"/>
  <c r="W1528" i="3"/>
  <c r="W1651" i="3"/>
  <c r="W1652" i="3"/>
  <c r="W1653" i="3"/>
  <c r="W1641" i="3"/>
  <c r="W1927" i="3"/>
  <c r="W1928" i="3"/>
  <c r="W1929" i="3"/>
  <c r="W1930" i="3"/>
  <c r="W1931" i="3"/>
  <c r="W1932" i="3"/>
  <c r="W1933" i="3"/>
  <c r="W1934" i="3"/>
  <c r="W1935" i="3"/>
  <c r="W1936" i="3"/>
  <c r="W1922" i="3"/>
  <c r="W1923" i="3"/>
  <c r="W1924" i="3"/>
  <c r="W1925" i="3"/>
  <c r="W1926" i="3"/>
  <c r="W1895" i="3"/>
  <c r="W1655" i="3"/>
  <c r="W1656" i="3"/>
  <c r="W1691" i="3"/>
  <c r="W1872" i="3"/>
  <c r="W1750" i="3"/>
  <c r="W1751" i="3"/>
  <c r="W1197" i="3"/>
  <c r="W1198" i="3"/>
  <c r="W1812" i="3"/>
  <c r="W1813" i="3"/>
  <c r="W1814" i="3"/>
  <c r="W1815" i="3"/>
  <c r="W1816" i="3"/>
  <c r="W1817" i="3"/>
  <c r="W1818" i="3"/>
  <c r="W1819" i="3"/>
  <c r="W1820" i="3"/>
  <c r="W1821" i="3"/>
  <c r="W1843" i="3"/>
  <c r="W1844" i="3"/>
  <c r="W1873" i="3"/>
  <c r="W1874" i="3"/>
  <c r="W1875" i="3"/>
  <c r="W1876" i="3"/>
  <c r="W1877" i="3"/>
  <c r="W1896" i="3"/>
  <c r="W1897" i="3"/>
  <c r="W1898" i="3"/>
  <c r="W1899" i="3"/>
  <c r="W1900" i="3"/>
  <c r="W1529" i="3"/>
  <c r="W1530" i="3"/>
  <c r="W1531" i="3"/>
  <c r="W1532" i="3"/>
  <c r="W1545" i="3"/>
  <c r="W1546" i="3"/>
  <c r="W1547" i="3"/>
  <c r="W1548" i="3"/>
  <c r="W1549" i="3"/>
  <c r="W1550" i="3"/>
  <c r="W1551" i="3"/>
  <c r="W1552" i="3"/>
  <c r="W1822" i="3"/>
  <c r="W1823" i="3"/>
  <c r="W1824" i="3"/>
  <c r="W1825" i="3"/>
  <c r="W1826" i="3"/>
  <c r="W1692" i="3"/>
  <c r="W1720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92" i="3"/>
  <c r="W1393" i="3"/>
  <c r="W1394" i="3"/>
  <c r="W1395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70" i="3"/>
  <c r="W1471" i="3"/>
  <c r="W1472" i="3"/>
  <c r="W1473" i="3"/>
  <c r="W1474" i="3"/>
  <c r="W1475" i="3"/>
  <c r="W1476" i="3"/>
  <c r="W1477" i="3"/>
  <c r="W1478" i="3"/>
  <c r="W1479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X1128" i="3"/>
  <c r="X1135" i="3"/>
  <c r="X1196" i="3"/>
  <c r="X1208" i="3"/>
  <c r="X1241" i="3"/>
  <c r="X3" i="3"/>
  <c r="X212" i="3"/>
  <c r="X462" i="3"/>
  <c r="X587" i="3"/>
  <c r="X775" i="3"/>
  <c r="X1062" i="3"/>
  <c r="X1320" i="3"/>
  <c r="X1917" i="3"/>
  <c r="X852" i="3"/>
  <c r="X1634" i="3"/>
  <c r="X1583" i="3"/>
  <c r="X1584" i="3"/>
  <c r="X1585" i="3"/>
  <c r="X1586" i="3"/>
  <c r="X1616" i="3"/>
  <c r="X1617" i="3"/>
  <c r="X12" i="3"/>
  <c r="X13" i="3"/>
  <c r="X14" i="3"/>
  <c r="X28" i="3"/>
  <c r="X580" i="3"/>
  <c r="X581" i="3"/>
  <c r="X582" i="3"/>
  <c r="X583" i="3"/>
  <c r="X584" i="3"/>
  <c r="X632" i="3"/>
  <c r="X633" i="3"/>
  <c r="X657" i="3"/>
  <c r="X658" i="3"/>
  <c r="X659" i="3"/>
  <c r="X844" i="3"/>
  <c r="X870" i="3"/>
  <c r="X871" i="3"/>
  <c r="X872" i="3"/>
  <c r="X916" i="3"/>
  <c r="X1049" i="3"/>
  <c r="X1103" i="3"/>
  <c r="X1104" i="3"/>
  <c r="X1105" i="3"/>
  <c r="X1134" i="3"/>
  <c r="X1129" i="3"/>
  <c r="X1457" i="3"/>
  <c r="X1256" i="3"/>
  <c r="X1257" i="3"/>
  <c r="X1258" i="3"/>
  <c r="X1259" i="3"/>
  <c r="X1260" i="3"/>
  <c r="X1458" i="3"/>
  <c r="X1459" i="3"/>
  <c r="X585" i="3"/>
  <c r="X1460" i="3"/>
  <c r="X1106" i="3"/>
  <c r="X292" i="3"/>
  <c r="X560" i="3"/>
  <c r="X637" i="3"/>
  <c r="X561" i="3"/>
  <c r="X638" i="3"/>
  <c r="X562" i="3"/>
  <c r="X293" i="3"/>
  <c r="X634" i="3"/>
  <c r="X635" i="3"/>
  <c r="X636" i="3"/>
  <c r="X1848" i="3"/>
  <c r="X1871" i="3"/>
  <c r="X1690" i="3"/>
  <c r="X1719" i="3"/>
  <c r="X1527" i="3"/>
  <c r="X1528" i="3"/>
  <c r="X1651" i="3"/>
  <c r="X1652" i="3"/>
  <c r="X1653" i="3"/>
  <c r="X1641" i="3"/>
  <c r="X1927" i="3"/>
  <c r="X1928" i="3"/>
  <c r="X1929" i="3"/>
  <c r="X1930" i="3"/>
  <c r="X1931" i="3"/>
  <c r="X1932" i="3"/>
  <c r="X1933" i="3"/>
  <c r="X1934" i="3"/>
  <c r="X1935" i="3"/>
  <c r="X1936" i="3"/>
  <c r="X1922" i="3"/>
  <c r="X1923" i="3"/>
  <c r="X1924" i="3"/>
  <c r="X1925" i="3"/>
  <c r="X1926" i="3"/>
  <c r="X1895" i="3"/>
  <c r="X1655" i="3"/>
  <c r="X1656" i="3"/>
  <c r="X1691" i="3"/>
  <c r="X1872" i="3"/>
  <c r="X1750" i="3"/>
  <c r="X1751" i="3"/>
  <c r="X1197" i="3"/>
  <c r="X1198" i="3"/>
  <c r="X1812" i="3"/>
  <c r="X1813" i="3"/>
  <c r="X1814" i="3"/>
  <c r="X1815" i="3"/>
  <c r="X1816" i="3"/>
  <c r="X1817" i="3"/>
  <c r="X1818" i="3"/>
  <c r="X1819" i="3"/>
  <c r="X1820" i="3"/>
  <c r="X1821" i="3"/>
  <c r="X1843" i="3"/>
  <c r="X1844" i="3"/>
  <c r="X1873" i="3"/>
  <c r="X1874" i="3"/>
  <c r="X1875" i="3"/>
  <c r="X1876" i="3"/>
  <c r="X1877" i="3"/>
  <c r="X1896" i="3"/>
  <c r="X1897" i="3"/>
  <c r="X1898" i="3"/>
  <c r="X1899" i="3"/>
  <c r="X1900" i="3"/>
  <c r="X1529" i="3"/>
  <c r="X1530" i="3"/>
  <c r="X1531" i="3"/>
  <c r="X1532" i="3"/>
  <c r="X1545" i="3"/>
  <c r="X1546" i="3"/>
  <c r="X1547" i="3"/>
  <c r="X1548" i="3"/>
  <c r="X1549" i="3"/>
  <c r="X1550" i="3"/>
  <c r="X1551" i="3"/>
  <c r="X1552" i="3"/>
  <c r="X1822" i="3"/>
  <c r="X1823" i="3"/>
  <c r="X1824" i="3"/>
  <c r="X1825" i="3"/>
  <c r="X1826" i="3"/>
  <c r="X1692" i="3"/>
  <c r="X1720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92" i="3"/>
  <c r="X1393" i="3"/>
  <c r="X1394" i="3"/>
  <c r="X1395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70" i="3"/>
  <c r="X1471" i="3"/>
  <c r="X1472" i="3"/>
  <c r="X1473" i="3"/>
  <c r="X1474" i="3"/>
  <c r="X1475" i="3"/>
  <c r="X1476" i="3"/>
  <c r="X1477" i="3"/>
  <c r="X1478" i="3"/>
  <c r="X1479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C24" i="19" l="1"/>
  <c r="C10" i="18"/>
  <c r="C5" i="18"/>
  <c r="Y1536" i="3"/>
  <c r="Y1516" i="3"/>
  <c r="Y1426" i="3"/>
  <c r="Y1394" i="3"/>
  <c r="Y1296" i="3"/>
  <c r="Y1278" i="3"/>
  <c r="Y1936" i="3"/>
  <c r="Y1528" i="3"/>
  <c r="C14" i="8"/>
  <c r="Y1475" i="3"/>
  <c r="Y1448" i="3"/>
  <c r="Y1349" i="3"/>
  <c r="Y1335" i="3"/>
  <c r="Y1900" i="3"/>
  <c r="Y1819" i="3"/>
  <c r="Y1494" i="3"/>
  <c r="Y1473" i="3"/>
  <c r="Y1361" i="3"/>
  <c r="Y1347" i="3"/>
  <c r="Y1552" i="3"/>
  <c r="Y1898" i="3"/>
  <c r="Y1470" i="3"/>
  <c r="Y1344" i="3"/>
  <c r="Y1877" i="3"/>
  <c r="Y1501" i="3"/>
  <c r="Y1368" i="3"/>
  <c r="Y1720" i="3"/>
  <c r="Y1561" i="3"/>
  <c r="Y1534" i="3"/>
  <c r="Y1438" i="3"/>
  <c r="Y1424" i="3"/>
  <c r="Y1311" i="3"/>
  <c r="Y1294" i="3"/>
  <c r="Y1751" i="3"/>
  <c r="Y1934" i="3"/>
  <c r="Y1525" i="3"/>
  <c r="Y1421" i="3"/>
  <c r="Y1291" i="3"/>
  <c r="Y1931" i="3"/>
  <c r="Y1568" i="3"/>
  <c r="Y1445" i="3"/>
  <c r="Y1332" i="3"/>
  <c r="Y1816" i="3"/>
  <c r="Y1506" i="3"/>
  <c r="Y1492" i="3"/>
  <c r="Y1373" i="3"/>
  <c r="Y1359" i="3"/>
  <c r="Y1268" i="3"/>
  <c r="Y1550" i="3"/>
  <c r="Y1518" i="3"/>
  <c r="Y1504" i="3"/>
  <c r="Y1414" i="3"/>
  <c r="Y1371" i="3"/>
  <c r="Y1280" i="3"/>
  <c r="Y1266" i="3"/>
  <c r="Y1652" i="3"/>
  <c r="Y1489" i="3"/>
  <c r="Y1356" i="3"/>
  <c r="Y1547" i="3"/>
  <c r="Y1513" i="3"/>
  <c r="Y1380" i="3"/>
  <c r="Y1275" i="3"/>
  <c r="Y1690" i="3"/>
  <c r="Y1559" i="3"/>
  <c r="Y1450" i="3"/>
  <c r="Y1436" i="3"/>
  <c r="Y1337" i="3"/>
  <c r="Y1309" i="3"/>
  <c r="Y1821" i="3"/>
  <c r="Y1872" i="3"/>
  <c r="Y1543" i="3"/>
  <c r="Y1433" i="3"/>
  <c r="Y1306" i="3"/>
  <c r="Y1655" i="3"/>
  <c r="Y562" i="3"/>
  <c r="Y1560" i="3"/>
  <c r="Y1535" i="3"/>
  <c r="Y1517" i="3"/>
  <c r="Y1505" i="3"/>
  <c r="Y1493" i="3"/>
  <c r="Y1474" i="3"/>
  <c r="Y1449" i="3"/>
  <c r="Y1437" i="3"/>
  <c r="Y1425" i="3"/>
  <c r="Y1395" i="3"/>
  <c r="Y1372" i="3"/>
  <c r="Y1360" i="3"/>
  <c r="Y1348" i="3"/>
  <c r="Y1336" i="3"/>
  <c r="Y1310" i="3"/>
  <c r="Y1295" i="3"/>
  <c r="Y1279" i="3"/>
  <c r="Y1267" i="3"/>
  <c r="Y1551" i="3"/>
  <c r="Y1899" i="3"/>
  <c r="Y1820" i="3"/>
  <c r="Y1750" i="3"/>
  <c r="Y1935" i="3"/>
  <c r="Y1651" i="3"/>
  <c r="Y1558" i="3"/>
  <c r="Y1533" i="3"/>
  <c r="Y1515" i="3"/>
  <c r="Y1503" i="3"/>
  <c r="Y1491" i="3"/>
  <c r="Y1472" i="3"/>
  <c r="Y1447" i="3"/>
  <c r="Y1435" i="3"/>
  <c r="Y1423" i="3"/>
  <c r="Y1393" i="3"/>
  <c r="Y1370" i="3"/>
  <c r="Y1358" i="3"/>
  <c r="Y1346" i="3"/>
  <c r="Y1334" i="3"/>
  <c r="Y1308" i="3"/>
  <c r="Y1293" i="3"/>
  <c r="Y1277" i="3"/>
  <c r="Y1265" i="3"/>
  <c r="Y1549" i="3"/>
  <c r="Y1897" i="3"/>
  <c r="Y1818" i="3"/>
  <c r="Y1691" i="3"/>
  <c r="Y1933" i="3"/>
  <c r="Y1527" i="3"/>
  <c r="Y1569" i="3"/>
  <c r="Y1544" i="3"/>
  <c r="Y1526" i="3"/>
  <c r="Y1514" i="3"/>
  <c r="Y1502" i="3"/>
  <c r="Y1490" i="3"/>
  <c r="Y1471" i="3"/>
  <c r="Y1446" i="3"/>
  <c r="Y1434" i="3"/>
  <c r="Y1422" i="3"/>
  <c r="Y1392" i="3"/>
  <c r="Y1369" i="3"/>
  <c r="Y1357" i="3"/>
  <c r="Y1345" i="3"/>
  <c r="Y1333" i="3"/>
  <c r="Y1307" i="3"/>
  <c r="Y1292" i="3"/>
  <c r="Y1276" i="3"/>
  <c r="Y1264" i="3"/>
  <c r="Y1548" i="3"/>
  <c r="Y1896" i="3"/>
  <c r="Y1817" i="3"/>
  <c r="Y1656" i="3"/>
  <c r="Y1932" i="3"/>
  <c r="Y1719" i="3"/>
  <c r="Y1566" i="3"/>
  <c r="Y1541" i="3"/>
  <c r="Y1523" i="3"/>
  <c r="Y1511" i="3"/>
  <c r="Y1499" i="3"/>
  <c r="Y1487" i="3"/>
  <c r="Y1455" i="3"/>
  <c r="Y1443" i="3"/>
  <c r="Y1431" i="3"/>
  <c r="Y1419" i="3"/>
  <c r="Y1378" i="3"/>
  <c r="Y1366" i="3"/>
  <c r="Y1354" i="3"/>
  <c r="Y1342" i="3"/>
  <c r="Y1316" i="3"/>
  <c r="Y1301" i="3"/>
  <c r="Y1289" i="3"/>
  <c r="Y1273" i="3"/>
  <c r="Y1826" i="3"/>
  <c r="Y1545" i="3"/>
  <c r="Y1875" i="3"/>
  <c r="Y1814" i="3"/>
  <c r="Y1926" i="3"/>
  <c r="Y1929" i="3"/>
  <c r="Y1848" i="3"/>
  <c r="Y1565" i="3"/>
  <c r="Y1540" i="3"/>
  <c r="Y1522" i="3"/>
  <c r="Y1510" i="3"/>
  <c r="Y1498" i="3"/>
  <c r="Y1479" i="3"/>
  <c r="Y1454" i="3"/>
  <c r="Y1442" i="3"/>
  <c r="Y1430" i="3"/>
  <c r="Y1418" i="3"/>
  <c r="Y1377" i="3"/>
  <c r="Y1365" i="3"/>
  <c r="Y1353" i="3"/>
  <c r="Y1341" i="3"/>
  <c r="Y1315" i="3"/>
  <c r="Y1300" i="3"/>
  <c r="Y1284" i="3"/>
  <c r="Y1272" i="3"/>
  <c r="Y1825" i="3"/>
  <c r="Y1532" i="3"/>
  <c r="Y1874" i="3"/>
  <c r="Y1813" i="3"/>
  <c r="Y1925" i="3"/>
  <c r="Y1928" i="3"/>
  <c r="Y636" i="3"/>
  <c r="Y1564" i="3"/>
  <c r="Y1539" i="3"/>
  <c r="Y1521" i="3"/>
  <c r="Y1509" i="3"/>
  <c r="Y1497" i="3"/>
  <c r="Y1478" i="3"/>
  <c r="Y1453" i="3"/>
  <c r="Y1441" i="3"/>
  <c r="Y1429" i="3"/>
  <c r="Y1417" i="3"/>
  <c r="Y1376" i="3"/>
  <c r="Y1364" i="3"/>
  <c r="Y1352" i="3"/>
  <c r="Y1340" i="3"/>
  <c r="Y1314" i="3"/>
  <c r="Y1299" i="3"/>
  <c r="Y1283" i="3"/>
  <c r="Y1271" i="3"/>
  <c r="Y1824" i="3"/>
  <c r="Y1531" i="3"/>
  <c r="Y1873" i="3"/>
  <c r="Y1812" i="3"/>
  <c r="Y1924" i="3"/>
  <c r="Y1927" i="3"/>
  <c r="Y635" i="3"/>
  <c r="Y1563" i="3"/>
  <c r="Y1538" i="3"/>
  <c r="Y1520" i="3"/>
  <c r="Y1508" i="3"/>
  <c r="Y1496" i="3"/>
  <c r="Y1477" i="3"/>
  <c r="Y1452" i="3"/>
  <c r="Y1440" i="3"/>
  <c r="Y1428" i="3"/>
  <c r="Y1416" i="3"/>
  <c r="Y1375" i="3"/>
  <c r="Y1363" i="3"/>
  <c r="Y1562" i="3"/>
  <c r="Y1537" i="3"/>
  <c r="Y1519" i="3"/>
  <c r="Y1507" i="3"/>
  <c r="Y1495" i="3"/>
  <c r="Y1476" i="3"/>
  <c r="Y1451" i="3"/>
  <c r="Y1439" i="3"/>
  <c r="Y1427" i="3"/>
  <c r="Y1415" i="3"/>
  <c r="Y1374" i="3"/>
  <c r="Y1362" i="3"/>
  <c r="Y1350" i="3"/>
  <c r="Y1338" i="3"/>
  <c r="Y1312" i="3"/>
  <c r="Y1297" i="3"/>
  <c r="Y1281" i="3"/>
  <c r="Y1269" i="3"/>
  <c r="Y1822" i="3"/>
  <c r="Y1529" i="3"/>
  <c r="Y1843" i="3"/>
  <c r="Y1197" i="3"/>
  <c r="Y1922" i="3"/>
  <c r="Y1653" i="3"/>
  <c r="Y293" i="3"/>
  <c r="Y1567" i="3"/>
  <c r="Y1542" i="3"/>
  <c r="Y1524" i="3"/>
  <c r="Y1512" i="3"/>
  <c r="Y1500" i="3"/>
  <c r="Y1488" i="3"/>
  <c r="Y1456" i="3"/>
  <c r="Y1444" i="3"/>
  <c r="Y1432" i="3"/>
  <c r="Y1420" i="3"/>
  <c r="Y1379" i="3"/>
  <c r="Y1367" i="3"/>
  <c r="Y1355" i="3"/>
  <c r="Y1343" i="3"/>
  <c r="Y1331" i="3"/>
  <c r="Y1305" i="3"/>
  <c r="Y1290" i="3"/>
  <c r="Y1274" i="3"/>
  <c r="Y1692" i="3"/>
  <c r="Y1546" i="3"/>
  <c r="Y1876" i="3"/>
  <c r="Y1815" i="3"/>
  <c r="Y1895" i="3"/>
  <c r="Y1930" i="3"/>
  <c r="Y1871" i="3"/>
  <c r="Y1351" i="3"/>
  <c r="Y1339" i="3"/>
  <c r="Y1313" i="3"/>
  <c r="Y1298" i="3"/>
  <c r="Y1282" i="3"/>
  <c r="Y1270" i="3"/>
  <c r="Y1823" i="3"/>
  <c r="Y1530" i="3"/>
  <c r="Y1844" i="3"/>
  <c r="Y1198" i="3"/>
  <c r="Y1923" i="3"/>
  <c r="Y1641" i="3"/>
  <c r="Y634" i="3"/>
  <c r="Y1458" i="3"/>
  <c r="Y1049" i="3"/>
  <c r="Y583" i="3"/>
  <c r="Y1105" i="3"/>
  <c r="Y1103" i="3"/>
  <c r="Y1585" i="3"/>
  <c r="Y1616" i="3"/>
  <c r="Y1584" i="3"/>
  <c r="Y1241" i="3"/>
  <c r="Y1459" i="3"/>
  <c r="Y584" i="3"/>
  <c r="Y3" i="3"/>
  <c r="Y1260" i="3"/>
  <c r="Y916" i="3"/>
  <c r="Y582" i="3"/>
  <c r="Y1583" i="3"/>
  <c r="Y1208" i="3"/>
  <c r="Y1259" i="3"/>
  <c r="Y872" i="3"/>
  <c r="Y581" i="3"/>
  <c r="Y1634" i="3"/>
  <c r="Y1196" i="3"/>
  <c r="Y1460" i="3"/>
  <c r="Y633" i="3"/>
  <c r="Y462" i="3"/>
  <c r="Y638" i="3"/>
  <c r="Y1258" i="3"/>
  <c r="Y871" i="3"/>
  <c r="Y580" i="3"/>
  <c r="Y852" i="3"/>
  <c r="Y1135" i="3"/>
  <c r="Y585" i="3"/>
  <c r="Y1104" i="3"/>
  <c r="Y632" i="3"/>
  <c r="Y1586" i="3"/>
  <c r="Y212" i="3"/>
  <c r="Y561" i="3"/>
  <c r="Y1257" i="3"/>
  <c r="Y870" i="3"/>
  <c r="Y28" i="3"/>
  <c r="Y1917" i="3"/>
  <c r="Y1128" i="3"/>
  <c r="Y1106" i="3"/>
  <c r="Y1134" i="3"/>
  <c r="Y657" i="3"/>
  <c r="Y1617" i="3"/>
  <c r="Y587" i="3"/>
  <c r="Y637" i="3"/>
  <c r="Y1256" i="3"/>
  <c r="Y844" i="3"/>
  <c r="Y14" i="3"/>
  <c r="Y1320" i="3"/>
  <c r="Y560" i="3"/>
  <c r="Y1457" i="3"/>
  <c r="Y659" i="3"/>
  <c r="Y13" i="3"/>
  <c r="Y1062" i="3"/>
  <c r="Y292" i="3"/>
  <c r="Y1129" i="3"/>
  <c r="Y658" i="3"/>
  <c r="Y12" i="3"/>
  <c r="Y775" i="3"/>
  <c r="R471" i="3" l="1"/>
  <c r="R472" i="3"/>
  <c r="R473" i="3"/>
  <c r="R474" i="3"/>
  <c r="R475" i="3"/>
  <c r="R491" i="3"/>
  <c r="R492" i="3"/>
  <c r="R493" i="3"/>
  <c r="R494" i="3"/>
  <c r="R495" i="3"/>
  <c r="R496" i="3"/>
  <c r="R497" i="3"/>
  <c r="R498" i="3"/>
  <c r="R974" i="3"/>
  <c r="R975" i="3"/>
  <c r="R976" i="3"/>
  <c r="R991" i="3"/>
  <c r="R992" i="3"/>
  <c r="R993" i="3"/>
  <c r="R994" i="3"/>
  <c r="R995" i="3"/>
  <c r="R996" i="3"/>
  <c r="R997" i="3"/>
  <c r="R1149" i="3"/>
  <c r="R1150" i="3"/>
  <c r="R1151" i="3"/>
  <c r="R1152" i="3"/>
  <c r="R1166" i="3"/>
  <c r="R1167" i="3"/>
  <c r="R1030" i="3"/>
  <c r="R873" i="3"/>
  <c r="R874" i="3"/>
  <c r="R875" i="3"/>
  <c r="R876" i="3"/>
  <c r="R887" i="3"/>
  <c r="R888" i="3"/>
  <c r="R889" i="3"/>
  <c r="R890" i="3"/>
  <c r="R891" i="3"/>
  <c r="R1058" i="3"/>
  <c r="R1059" i="3"/>
  <c r="R1060" i="3"/>
  <c r="R1131" i="3"/>
  <c r="R544" i="3"/>
  <c r="R545" i="3"/>
  <c r="R553" i="3"/>
  <c r="R554" i="3"/>
  <c r="R555" i="3"/>
  <c r="R556" i="3"/>
  <c r="R569" i="3"/>
  <c r="R570" i="3"/>
  <c r="R571" i="3"/>
  <c r="R572" i="3"/>
  <c r="R573" i="3"/>
  <c r="R669" i="3"/>
  <c r="R670" i="3"/>
  <c r="R715" i="3"/>
  <c r="R716" i="3"/>
  <c r="R717" i="3"/>
  <c r="R718" i="3"/>
  <c r="R728" i="3"/>
  <c r="R729" i="3"/>
  <c r="R800" i="3"/>
  <c r="R801" i="3"/>
  <c r="R819" i="3"/>
  <c r="R833" i="3"/>
  <c r="R904" i="3"/>
  <c r="R905" i="3"/>
  <c r="R906" i="3"/>
  <c r="R1007" i="3"/>
  <c r="R1008" i="3"/>
  <c r="R357" i="3"/>
  <c r="R358" i="3"/>
  <c r="R359" i="3"/>
  <c r="R399" i="3"/>
  <c r="R400" i="3"/>
  <c r="R401" i="3"/>
  <c r="R438" i="3"/>
  <c r="R439" i="3"/>
  <c r="R440" i="3"/>
  <c r="R441" i="3"/>
  <c r="R454" i="3"/>
  <c r="R455" i="3"/>
  <c r="R483" i="3"/>
  <c r="R484" i="3"/>
  <c r="R518" i="3"/>
  <c r="R519" i="3"/>
  <c r="R520" i="3"/>
  <c r="R521" i="3"/>
  <c r="R522" i="3"/>
  <c r="R563" i="3"/>
  <c r="R564" i="3"/>
  <c r="R565" i="3"/>
  <c r="R566" i="3"/>
  <c r="R809" i="3"/>
  <c r="R810" i="3"/>
  <c r="R811" i="3"/>
  <c r="R812" i="3"/>
  <c r="R892" i="3"/>
  <c r="R893" i="3"/>
  <c r="R894" i="3"/>
  <c r="R895" i="3"/>
  <c r="R381" i="3"/>
  <c r="R382" i="3"/>
  <c r="R383" i="3"/>
  <c r="R546" i="3"/>
  <c r="R547" i="3"/>
  <c r="R425" i="3"/>
  <c r="R426" i="3"/>
  <c r="R427" i="3"/>
  <c r="R428" i="3"/>
  <c r="R604" i="3"/>
  <c r="R625" i="3"/>
  <c r="R626" i="3"/>
  <c r="R627" i="3"/>
  <c r="R639" i="3"/>
  <c r="R640" i="3"/>
  <c r="R641" i="3"/>
  <c r="R642" i="3"/>
  <c r="R649" i="3"/>
  <c r="R650" i="3"/>
  <c r="R651" i="3"/>
  <c r="R652" i="3"/>
  <c r="R653" i="3"/>
  <c r="R654" i="3"/>
  <c r="R660" i="3"/>
  <c r="R672" i="3"/>
  <c r="R673" i="3"/>
  <c r="R674" i="3"/>
  <c r="R675" i="3"/>
  <c r="R1021" i="3"/>
  <c r="R919" i="3"/>
  <c r="R878" i="3"/>
  <c r="R709" i="3"/>
  <c r="Q209" i="3"/>
  <c r="V471" i="3"/>
  <c r="W471" i="3"/>
  <c r="X471" i="3"/>
  <c r="V472" i="3"/>
  <c r="W472" i="3"/>
  <c r="X472" i="3"/>
  <c r="V473" i="3"/>
  <c r="W473" i="3"/>
  <c r="X473" i="3"/>
  <c r="V474" i="3"/>
  <c r="W474" i="3"/>
  <c r="X474" i="3"/>
  <c r="V475" i="3"/>
  <c r="W475" i="3"/>
  <c r="X475" i="3"/>
  <c r="V491" i="3"/>
  <c r="W491" i="3"/>
  <c r="X491" i="3"/>
  <c r="V492" i="3"/>
  <c r="W492" i="3"/>
  <c r="X492" i="3"/>
  <c r="V493" i="3"/>
  <c r="W493" i="3"/>
  <c r="X493" i="3"/>
  <c r="V494" i="3"/>
  <c r="W494" i="3"/>
  <c r="X494" i="3"/>
  <c r="V495" i="3"/>
  <c r="W495" i="3"/>
  <c r="X495" i="3"/>
  <c r="V496" i="3"/>
  <c r="W496" i="3"/>
  <c r="X496" i="3"/>
  <c r="V497" i="3"/>
  <c r="W497" i="3"/>
  <c r="X497" i="3"/>
  <c r="V498" i="3"/>
  <c r="W498" i="3"/>
  <c r="X498" i="3"/>
  <c r="V974" i="3"/>
  <c r="W974" i="3"/>
  <c r="X974" i="3"/>
  <c r="V975" i="3"/>
  <c r="W975" i="3"/>
  <c r="X975" i="3"/>
  <c r="V976" i="3"/>
  <c r="W976" i="3"/>
  <c r="X976" i="3"/>
  <c r="V991" i="3"/>
  <c r="W991" i="3"/>
  <c r="X991" i="3"/>
  <c r="V992" i="3"/>
  <c r="W992" i="3"/>
  <c r="X992" i="3"/>
  <c r="V993" i="3"/>
  <c r="W993" i="3"/>
  <c r="X993" i="3"/>
  <c r="V994" i="3"/>
  <c r="W994" i="3"/>
  <c r="X994" i="3"/>
  <c r="V995" i="3"/>
  <c r="W995" i="3"/>
  <c r="X995" i="3"/>
  <c r="V996" i="3"/>
  <c r="W996" i="3"/>
  <c r="X996" i="3"/>
  <c r="V997" i="3"/>
  <c r="W997" i="3"/>
  <c r="X997" i="3"/>
  <c r="V1149" i="3"/>
  <c r="W1149" i="3"/>
  <c r="X1149" i="3"/>
  <c r="V1150" i="3"/>
  <c r="W1150" i="3"/>
  <c r="X1150" i="3"/>
  <c r="V1151" i="3"/>
  <c r="W1151" i="3"/>
  <c r="X1151" i="3"/>
  <c r="V1152" i="3"/>
  <c r="W1152" i="3"/>
  <c r="X1152" i="3"/>
  <c r="V1166" i="3"/>
  <c r="W1166" i="3"/>
  <c r="X1166" i="3"/>
  <c r="V1167" i="3"/>
  <c r="W1167" i="3"/>
  <c r="X1167" i="3"/>
  <c r="V1030" i="3"/>
  <c r="W1030" i="3"/>
  <c r="X1030" i="3"/>
  <c r="V873" i="3"/>
  <c r="W873" i="3"/>
  <c r="X873" i="3"/>
  <c r="V874" i="3"/>
  <c r="W874" i="3"/>
  <c r="X874" i="3"/>
  <c r="V875" i="3"/>
  <c r="W875" i="3"/>
  <c r="X875" i="3"/>
  <c r="V876" i="3"/>
  <c r="W876" i="3"/>
  <c r="X876" i="3"/>
  <c r="V887" i="3"/>
  <c r="W887" i="3"/>
  <c r="X887" i="3"/>
  <c r="V888" i="3"/>
  <c r="W888" i="3"/>
  <c r="X888" i="3"/>
  <c r="V889" i="3"/>
  <c r="W889" i="3"/>
  <c r="X889" i="3"/>
  <c r="V890" i="3"/>
  <c r="W890" i="3"/>
  <c r="X890" i="3"/>
  <c r="V891" i="3"/>
  <c r="W891" i="3"/>
  <c r="X891" i="3"/>
  <c r="V1058" i="3"/>
  <c r="W1058" i="3"/>
  <c r="X1058" i="3"/>
  <c r="V1059" i="3"/>
  <c r="W1059" i="3"/>
  <c r="X1059" i="3"/>
  <c r="V1060" i="3"/>
  <c r="W1060" i="3"/>
  <c r="X1060" i="3"/>
  <c r="V1131" i="3"/>
  <c r="W1131" i="3"/>
  <c r="X1131" i="3"/>
  <c r="V544" i="3"/>
  <c r="W544" i="3"/>
  <c r="X544" i="3"/>
  <c r="V545" i="3"/>
  <c r="W545" i="3"/>
  <c r="X545" i="3"/>
  <c r="V553" i="3"/>
  <c r="W553" i="3"/>
  <c r="X553" i="3"/>
  <c r="V554" i="3"/>
  <c r="W554" i="3"/>
  <c r="X554" i="3"/>
  <c r="V555" i="3"/>
  <c r="W555" i="3"/>
  <c r="X555" i="3"/>
  <c r="V556" i="3"/>
  <c r="W556" i="3"/>
  <c r="X556" i="3"/>
  <c r="V569" i="3"/>
  <c r="W569" i="3"/>
  <c r="X569" i="3"/>
  <c r="V570" i="3"/>
  <c r="W570" i="3"/>
  <c r="X570" i="3"/>
  <c r="V571" i="3"/>
  <c r="W571" i="3"/>
  <c r="X571" i="3"/>
  <c r="V572" i="3"/>
  <c r="W572" i="3"/>
  <c r="X572" i="3"/>
  <c r="V573" i="3"/>
  <c r="W573" i="3"/>
  <c r="X573" i="3"/>
  <c r="V669" i="3"/>
  <c r="W669" i="3"/>
  <c r="X669" i="3"/>
  <c r="V670" i="3"/>
  <c r="W670" i="3"/>
  <c r="X670" i="3"/>
  <c r="V715" i="3"/>
  <c r="W715" i="3"/>
  <c r="X715" i="3"/>
  <c r="V716" i="3"/>
  <c r="W716" i="3"/>
  <c r="X716" i="3"/>
  <c r="V717" i="3"/>
  <c r="W717" i="3"/>
  <c r="X717" i="3"/>
  <c r="V718" i="3"/>
  <c r="W718" i="3"/>
  <c r="X718" i="3"/>
  <c r="V728" i="3"/>
  <c r="W728" i="3"/>
  <c r="X728" i="3"/>
  <c r="V729" i="3"/>
  <c r="W729" i="3"/>
  <c r="X729" i="3"/>
  <c r="V800" i="3"/>
  <c r="W800" i="3"/>
  <c r="X800" i="3"/>
  <c r="V801" i="3"/>
  <c r="W801" i="3"/>
  <c r="X801" i="3"/>
  <c r="V819" i="3"/>
  <c r="W819" i="3"/>
  <c r="X819" i="3"/>
  <c r="V833" i="3"/>
  <c r="W833" i="3"/>
  <c r="X833" i="3"/>
  <c r="V904" i="3"/>
  <c r="W904" i="3"/>
  <c r="X904" i="3"/>
  <c r="V905" i="3"/>
  <c r="W905" i="3"/>
  <c r="X905" i="3"/>
  <c r="V906" i="3"/>
  <c r="W906" i="3"/>
  <c r="X906" i="3"/>
  <c r="V1007" i="3"/>
  <c r="W1007" i="3"/>
  <c r="X1007" i="3"/>
  <c r="V1008" i="3"/>
  <c r="W1008" i="3"/>
  <c r="X1008" i="3"/>
  <c r="V357" i="3"/>
  <c r="W357" i="3"/>
  <c r="X357" i="3"/>
  <c r="V358" i="3"/>
  <c r="W358" i="3"/>
  <c r="X358" i="3"/>
  <c r="V359" i="3"/>
  <c r="W359" i="3"/>
  <c r="X359" i="3"/>
  <c r="V399" i="3"/>
  <c r="W399" i="3"/>
  <c r="X399" i="3"/>
  <c r="V400" i="3"/>
  <c r="W400" i="3"/>
  <c r="X400" i="3"/>
  <c r="V401" i="3"/>
  <c r="W401" i="3"/>
  <c r="X401" i="3"/>
  <c r="V438" i="3"/>
  <c r="W438" i="3"/>
  <c r="X438" i="3"/>
  <c r="V439" i="3"/>
  <c r="W439" i="3"/>
  <c r="X439" i="3"/>
  <c r="V440" i="3"/>
  <c r="W440" i="3"/>
  <c r="X440" i="3"/>
  <c r="V441" i="3"/>
  <c r="W441" i="3"/>
  <c r="X441" i="3"/>
  <c r="V454" i="3"/>
  <c r="W454" i="3"/>
  <c r="X454" i="3"/>
  <c r="V455" i="3"/>
  <c r="W455" i="3"/>
  <c r="X455" i="3"/>
  <c r="V483" i="3"/>
  <c r="W483" i="3"/>
  <c r="X483" i="3"/>
  <c r="V484" i="3"/>
  <c r="W484" i="3"/>
  <c r="X484" i="3"/>
  <c r="V518" i="3"/>
  <c r="W518" i="3"/>
  <c r="X518" i="3"/>
  <c r="V519" i="3"/>
  <c r="W519" i="3"/>
  <c r="X519" i="3"/>
  <c r="V520" i="3"/>
  <c r="W520" i="3"/>
  <c r="X520" i="3"/>
  <c r="V521" i="3"/>
  <c r="W521" i="3"/>
  <c r="X521" i="3"/>
  <c r="V522" i="3"/>
  <c r="W522" i="3"/>
  <c r="X522" i="3"/>
  <c r="V563" i="3"/>
  <c r="W563" i="3"/>
  <c r="X563" i="3"/>
  <c r="V564" i="3"/>
  <c r="W564" i="3"/>
  <c r="X564" i="3"/>
  <c r="V565" i="3"/>
  <c r="W565" i="3"/>
  <c r="X565" i="3"/>
  <c r="V566" i="3"/>
  <c r="W566" i="3"/>
  <c r="X566" i="3"/>
  <c r="V809" i="3"/>
  <c r="W809" i="3"/>
  <c r="X809" i="3"/>
  <c r="V810" i="3"/>
  <c r="W810" i="3"/>
  <c r="X810" i="3"/>
  <c r="V811" i="3"/>
  <c r="W811" i="3"/>
  <c r="X811" i="3"/>
  <c r="V812" i="3"/>
  <c r="W812" i="3"/>
  <c r="X812" i="3"/>
  <c r="V892" i="3"/>
  <c r="W892" i="3"/>
  <c r="X892" i="3"/>
  <c r="V893" i="3"/>
  <c r="W893" i="3"/>
  <c r="X893" i="3"/>
  <c r="V894" i="3"/>
  <c r="W894" i="3"/>
  <c r="X894" i="3"/>
  <c r="V895" i="3"/>
  <c r="W895" i="3"/>
  <c r="X895" i="3"/>
  <c r="V381" i="3"/>
  <c r="W381" i="3"/>
  <c r="X381" i="3"/>
  <c r="V382" i="3"/>
  <c r="W382" i="3"/>
  <c r="X382" i="3"/>
  <c r="V383" i="3"/>
  <c r="W383" i="3"/>
  <c r="X383" i="3"/>
  <c r="V546" i="3"/>
  <c r="W546" i="3"/>
  <c r="X546" i="3"/>
  <c r="V547" i="3"/>
  <c r="W547" i="3"/>
  <c r="X547" i="3"/>
  <c r="V425" i="3"/>
  <c r="W425" i="3"/>
  <c r="X425" i="3"/>
  <c r="V426" i="3"/>
  <c r="W426" i="3"/>
  <c r="X426" i="3"/>
  <c r="V427" i="3"/>
  <c r="W427" i="3"/>
  <c r="X427" i="3"/>
  <c r="V428" i="3"/>
  <c r="W428" i="3"/>
  <c r="X428" i="3"/>
  <c r="V604" i="3"/>
  <c r="W604" i="3"/>
  <c r="X604" i="3"/>
  <c r="V625" i="3"/>
  <c r="W625" i="3"/>
  <c r="X625" i="3"/>
  <c r="V626" i="3"/>
  <c r="W626" i="3"/>
  <c r="X626" i="3"/>
  <c r="V627" i="3"/>
  <c r="W627" i="3"/>
  <c r="X627" i="3"/>
  <c r="V639" i="3"/>
  <c r="W639" i="3"/>
  <c r="X639" i="3"/>
  <c r="V640" i="3"/>
  <c r="W640" i="3"/>
  <c r="X640" i="3"/>
  <c r="V641" i="3"/>
  <c r="W641" i="3"/>
  <c r="X641" i="3"/>
  <c r="V642" i="3"/>
  <c r="W642" i="3"/>
  <c r="X642" i="3"/>
  <c r="V649" i="3"/>
  <c r="W649" i="3"/>
  <c r="X649" i="3"/>
  <c r="V650" i="3"/>
  <c r="W650" i="3"/>
  <c r="X650" i="3"/>
  <c r="V651" i="3"/>
  <c r="W651" i="3"/>
  <c r="X651" i="3"/>
  <c r="V652" i="3"/>
  <c r="W652" i="3"/>
  <c r="X652" i="3"/>
  <c r="V653" i="3"/>
  <c r="W653" i="3"/>
  <c r="X653" i="3"/>
  <c r="V654" i="3"/>
  <c r="W654" i="3"/>
  <c r="X654" i="3"/>
  <c r="V660" i="3"/>
  <c r="W660" i="3"/>
  <c r="X660" i="3"/>
  <c r="V672" i="3"/>
  <c r="W672" i="3"/>
  <c r="X672" i="3"/>
  <c r="V673" i="3"/>
  <c r="W673" i="3"/>
  <c r="X673" i="3"/>
  <c r="V674" i="3"/>
  <c r="W674" i="3"/>
  <c r="X674" i="3"/>
  <c r="V675" i="3"/>
  <c r="W675" i="3"/>
  <c r="X675" i="3"/>
  <c r="R681" i="3"/>
  <c r="V681" i="3"/>
  <c r="W681" i="3"/>
  <c r="X681" i="3"/>
  <c r="R682" i="3"/>
  <c r="V682" i="3"/>
  <c r="W682" i="3"/>
  <c r="X682" i="3"/>
  <c r="R690" i="3"/>
  <c r="V690" i="3"/>
  <c r="W690" i="3"/>
  <c r="X690" i="3"/>
  <c r="R691" i="3"/>
  <c r="V691" i="3"/>
  <c r="W691" i="3"/>
  <c r="X691" i="3"/>
  <c r="R692" i="3"/>
  <c r="V692" i="3"/>
  <c r="W692" i="3"/>
  <c r="X692" i="3"/>
  <c r="R693" i="3"/>
  <c r="V693" i="3"/>
  <c r="W693" i="3"/>
  <c r="X693" i="3"/>
  <c r="R699" i="3"/>
  <c r="V699" i="3"/>
  <c r="W699" i="3"/>
  <c r="X699" i="3"/>
  <c r="R700" i="3"/>
  <c r="V700" i="3"/>
  <c r="W700" i="3"/>
  <c r="X700" i="3"/>
  <c r="R701" i="3"/>
  <c r="V701" i="3"/>
  <c r="W701" i="3"/>
  <c r="X701" i="3"/>
  <c r="R702" i="3"/>
  <c r="V702" i="3"/>
  <c r="W702" i="3"/>
  <c r="X702" i="3"/>
  <c r="R719" i="3"/>
  <c r="V719" i="3"/>
  <c r="W719" i="3"/>
  <c r="X719" i="3"/>
  <c r="R720" i="3"/>
  <c r="V720" i="3"/>
  <c r="W720" i="3"/>
  <c r="X720" i="3"/>
  <c r="R721" i="3"/>
  <c r="V721" i="3"/>
  <c r="W721" i="3"/>
  <c r="X721" i="3"/>
  <c r="R722" i="3"/>
  <c r="V722" i="3"/>
  <c r="W722" i="3"/>
  <c r="X722" i="3"/>
  <c r="R730" i="3"/>
  <c r="V730" i="3"/>
  <c r="W730" i="3"/>
  <c r="X730" i="3"/>
  <c r="R731" i="3"/>
  <c r="V731" i="3"/>
  <c r="W731" i="3"/>
  <c r="X731" i="3"/>
  <c r="R735" i="3"/>
  <c r="V735" i="3"/>
  <c r="W735" i="3"/>
  <c r="X735" i="3"/>
  <c r="R736" i="3"/>
  <c r="V736" i="3"/>
  <c r="W736" i="3"/>
  <c r="X736" i="3"/>
  <c r="R737" i="3"/>
  <c r="V737" i="3"/>
  <c r="W737" i="3"/>
  <c r="X737" i="3"/>
  <c r="R738" i="3"/>
  <c r="V738" i="3"/>
  <c r="W738" i="3"/>
  <c r="X738" i="3"/>
  <c r="R739" i="3"/>
  <c r="V739" i="3"/>
  <c r="W739" i="3"/>
  <c r="X739" i="3"/>
  <c r="R740" i="3"/>
  <c r="V740" i="3"/>
  <c r="W740" i="3"/>
  <c r="X740" i="3"/>
  <c r="R741" i="3"/>
  <c r="V741" i="3"/>
  <c r="W741" i="3"/>
  <c r="X741" i="3"/>
  <c r="R742" i="3"/>
  <c r="V742" i="3"/>
  <c r="W742" i="3"/>
  <c r="X742" i="3"/>
  <c r="R762" i="3"/>
  <c r="V762" i="3"/>
  <c r="W762" i="3"/>
  <c r="X762" i="3"/>
  <c r="R763" i="3"/>
  <c r="V763" i="3"/>
  <c r="W763" i="3"/>
  <c r="X763" i="3"/>
  <c r="R764" i="3"/>
  <c r="V764" i="3"/>
  <c r="W764" i="3"/>
  <c r="X764" i="3"/>
  <c r="R765" i="3"/>
  <c r="V765" i="3"/>
  <c r="W765" i="3"/>
  <c r="X765" i="3"/>
  <c r="R766" i="3"/>
  <c r="V766" i="3"/>
  <c r="W766" i="3"/>
  <c r="X766" i="3"/>
  <c r="R767" i="3"/>
  <c r="V767" i="3"/>
  <c r="W767" i="3"/>
  <c r="X767" i="3"/>
  <c r="R768" i="3"/>
  <c r="V768" i="3"/>
  <c r="W768" i="3"/>
  <c r="X768" i="3"/>
  <c r="R769" i="3"/>
  <c r="V769" i="3"/>
  <c r="W769" i="3"/>
  <c r="X769" i="3"/>
  <c r="R770" i="3"/>
  <c r="V770" i="3"/>
  <c r="W770" i="3"/>
  <c r="X770" i="3"/>
  <c r="R771" i="3"/>
  <c r="V771" i="3"/>
  <c r="W771" i="3"/>
  <c r="X771" i="3"/>
  <c r="R772" i="3"/>
  <c r="V772" i="3"/>
  <c r="W772" i="3"/>
  <c r="X772" i="3"/>
  <c r="R783" i="3"/>
  <c r="V783" i="3"/>
  <c r="W783" i="3"/>
  <c r="X783" i="3"/>
  <c r="R784" i="3"/>
  <c r="V784" i="3"/>
  <c r="W784" i="3"/>
  <c r="X784" i="3"/>
  <c r="R785" i="3"/>
  <c r="V785" i="3"/>
  <c r="W785" i="3"/>
  <c r="X785" i="3"/>
  <c r="R786" i="3"/>
  <c r="V786" i="3"/>
  <c r="W786" i="3"/>
  <c r="X786" i="3"/>
  <c r="R787" i="3"/>
  <c r="V787" i="3"/>
  <c r="W787" i="3"/>
  <c r="X787" i="3"/>
  <c r="R788" i="3"/>
  <c r="V788" i="3"/>
  <c r="W788" i="3"/>
  <c r="X788" i="3"/>
  <c r="R789" i="3"/>
  <c r="V789" i="3"/>
  <c r="W789" i="3"/>
  <c r="X789" i="3"/>
  <c r="R813" i="3"/>
  <c r="V813" i="3"/>
  <c r="W813" i="3"/>
  <c r="X813" i="3"/>
  <c r="R820" i="3"/>
  <c r="V820" i="3"/>
  <c r="W820" i="3"/>
  <c r="X820" i="3"/>
  <c r="R821" i="3"/>
  <c r="V821" i="3"/>
  <c r="W821" i="3"/>
  <c r="X821" i="3"/>
  <c r="R822" i="3"/>
  <c r="V822" i="3"/>
  <c r="W822" i="3"/>
  <c r="X822" i="3"/>
  <c r="R823" i="3"/>
  <c r="V823" i="3"/>
  <c r="W823" i="3"/>
  <c r="X823" i="3"/>
  <c r="R824" i="3"/>
  <c r="V824" i="3"/>
  <c r="W824" i="3"/>
  <c r="X824" i="3"/>
  <c r="R825" i="3"/>
  <c r="V825" i="3"/>
  <c r="W825" i="3"/>
  <c r="X825" i="3"/>
  <c r="R826" i="3"/>
  <c r="V826" i="3"/>
  <c r="W826" i="3"/>
  <c r="X826" i="3"/>
  <c r="R827" i="3"/>
  <c r="V827" i="3"/>
  <c r="W827" i="3"/>
  <c r="X827" i="3"/>
  <c r="R828" i="3"/>
  <c r="V828" i="3"/>
  <c r="W828" i="3"/>
  <c r="X828" i="3"/>
  <c r="R829" i="3"/>
  <c r="V829" i="3"/>
  <c r="W829" i="3"/>
  <c r="X829" i="3"/>
  <c r="R834" i="3"/>
  <c r="V834" i="3"/>
  <c r="W834" i="3"/>
  <c r="X834" i="3"/>
  <c r="R835" i="3"/>
  <c r="V835" i="3"/>
  <c r="W835" i="3"/>
  <c r="X835" i="3"/>
  <c r="R836" i="3"/>
  <c r="V836" i="3"/>
  <c r="W836" i="3"/>
  <c r="X836" i="3"/>
  <c r="R837" i="3"/>
  <c r="V837" i="3"/>
  <c r="W837" i="3"/>
  <c r="X837" i="3"/>
  <c r="R838" i="3"/>
  <c r="V838" i="3"/>
  <c r="W838" i="3"/>
  <c r="X838" i="3"/>
  <c r="R839" i="3"/>
  <c r="V839" i="3"/>
  <c r="W839" i="3"/>
  <c r="X839" i="3"/>
  <c r="R860" i="3"/>
  <c r="V860" i="3"/>
  <c r="W860" i="3"/>
  <c r="X860" i="3"/>
  <c r="R861" i="3"/>
  <c r="V861" i="3"/>
  <c r="W861" i="3"/>
  <c r="X861" i="3"/>
  <c r="R862" i="3"/>
  <c r="V862" i="3"/>
  <c r="W862" i="3"/>
  <c r="X862" i="3"/>
  <c r="R863" i="3"/>
  <c r="V863" i="3"/>
  <c r="W863" i="3"/>
  <c r="X863" i="3"/>
  <c r="R928" i="3"/>
  <c r="V928" i="3"/>
  <c r="W928" i="3"/>
  <c r="X928" i="3"/>
  <c r="R929" i="3"/>
  <c r="V929" i="3"/>
  <c r="W929" i="3"/>
  <c r="X929" i="3"/>
  <c r="R930" i="3"/>
  <c r="V930" i="3"/>
  <c r="W930" i="3"/>
  <c r="X930" i="3"/>
  <c r="R931" i="3"/>
  <c r="V931" i="3"/>
  <c r="W931" i="3"/>
  <c r="X931" i="3"/>
  <c r="R932" i="3"/>
  <c r="V932" i="3"/>
  <c r="W932" i="3"/>
  <c r="X932" i="3"/>
  <c r="R933" i="3"/>
  <c r="V933" i="3"/>
  <c r="W933" i="3"/>
  <c r="X933" i="3"/>
  <c r="R934" i="3"/>
  <c r="V934" i="3"/>
  <c r="W934" i="3"/>
  <c r="X934" i="3"/>
  <c r="R935" i="3"/>
  <c r="V935" i="3"/>
  <c r="W935" i="3"/>
  <c r="X935" i="3"/>
  <c r="R936" i="3"/>
  <c r="V936" i="3"/>
  <c r="W936" i="3"/>
  <c r="X936" i="3"/>
  <c r="R937" i="3"/>
  <c r="V937" i="3"/>
  <c r="W937" i="3"/>
  <c r="X937" i="3"/>
  <c r="R938" i="3"/>
  <c r="V938" i="3"/>
  <c r="W938" i="3"/>
  <c r="X938" i="3"/>
  <c r="R984" i="3"/>
  <c r="V984" i="3"/>
  <c r="W984" i="3"/>
  <c r="X984" i="3"/>
  <c r="R985" i="3"/>
  <c r="V985" i="3"/>
  <c r="W985" i="3"/>
  <c r="X985" i="3"/>
  <c r="R986" i="3"/>
  <c r="V986" i="3"/>
  <c r="W986" i="3"/>
  <c r="X986" i="3"/>
  <c r="R987" i="3"/>
  <c r="V987" i="3"/>
  <c r="W987" i="3"/>
  <c r="X987" i="3"/>
  <c r="R1002" i="3"/>
  <c r="V1002" i="3"/>
  <c r="W1002" i="3"/>
  <c r="X1002" i="3"/>
  <c r="R1003" i="3"/>
  <c r="V1003" i="3"/>
  <c r="W1003" i="3"/>
  <c r="X1003" i="3"/>
  <c r="R1004" i="3"/>
  <c r="V1004" i="3"/>
  <c r="W1004" i="3"/>
  <c r="X1004" i="3"/>
  <c r="R1025" i="3"/>
  <c r="V1025" i="3"/>
  <c r="W1025" i="3"/>
  <c r="X1025" i="3"/>
  <c r="R1026" i="3"/>
  <c r="V1026" i="3"/>
  <c r="W1026" i="3"/>
  <c r="X1026" i="3"/>
  <c r="R1027" i="3"/>
  <c r="V1027" i="3"/>
  <c r="W1027" i="3"/>
  <c r="X1027" i="3"/>
  <c r="R1035" i="3"/>
  <c r="V1035" i="3"/>
  <c r="W1035" i="3"/>
  <c r="X1035" i="3"/>
  <c r="R1036" i="3"/>
  <c r="V1036" i="3"/>
  <c r="W1036" i="3"/>
  <c r="X1036" i="3"/>
  <c r="R1037" i="3"/>
  <c r="V1037" i="3"/>
  <c r="W1037" i="3"/>
  <c r="X1037" i="3"/>
  <c r="R1044" i="3"/>
  <c r="V1044" i="3"/>
  <c r="W1044" i="3"/>
  <c r="X1044" i="3"/>
  <c r="R1045" i="3"/>
  <c r="V1045" i="3"/>
  <c r="W1045" i="3"/>
  <c r="X1045" i="3"/>
  <c r="R1046" i="3"/>
  <c r="V1046" i="3"/>
  <c r="W1046" i="3"/>
  <c r="X1046" i="3"/>
  <c r="R1055" i="3"/>
  <c r="V1055" i="3"/>
  <c r="W1055" i="3"/>
  <c r="X1055" i="3"/>
  <c r="R1056" i="3"/>
  <c r="V1056" i="3"/>
  <c r="W1056" i="3"/>
  <c r="X1056" i="3"/>
  <c r="R1057" i="3"/>
  <c r="V1057" i="3"/>
  <c r="W1057" i="3"/>
  <c r="X1057" i="3"/>
  <c r="R1115" i="3"/>
  <c r="V1115" i="3"/>
  <c r="W1115" i="3"/>
  <c r="X1115" i="3"/>
  <c r="R1116" i="3"/>
  <c r="V1116" i="3"/>
  <c r="W1116" i="3"/>
  <c r="X1116" i="3"/>
  <c r="R1117" i="3"/>
  <c r="V1117" i="3"/>
  <c r="W1117" i="3"/>
  <c r="X1117" i="3"/>
  <c r="R1118" i="3"/>
  <c r="V1118" i="3"/>
  <c r="W1118" i="3"/>
  <c r="X1118" i="3"/>
  <c r="R1124" i="3"/>
  <c r="V1124" i="3"/>
  <c r="W1124" i="3"/>
  <c r="X1124" i="3"/>
  <c r="R1125" i="3"/>
  <c r="V1125" i="3"/>
  <c r="W1125" i="3"/>
  <c r="X1125" i="3"/>
  <c r="R1142" i="3"/>
  <c r="V1142" i="3"/>
  <c r="W1142" i="3"/>
  <c r="X1142" i="3"/>
  <c r="R1143" i="3"/>
  <c r="V1143" i="3"/>
  <c r="W1143" i="3"/>
  <c r="X1143" i="3"/>
  <c r="R1144" i="3"/>
  <c r="V1144" i="3"/>
  <c r="W1144" i="3"/>
  <c r="X1144" i="3"/>
  <c r="R1145" i="3"/>
  <c r="V1145" i="3"/>
  <c r="W1145" i="3"/>
  <c r="X1145" i="3"/>
  <c r="R1146" i="3"/>
  <c r="V1146" i="3"/>
  <c r="W1146" i="3"/>
  <c r="X1146" i="3"/>
  <c r="R1147" i="3"/>
  <c r="V1147" i="3"/>
  <c r="W1147" i="3"/>
  <c r="X1147" i="3"/>
  <c r="R1153" i="3"/>
  <c r="V1153" i="3"/>
  <c r="W1153" i="3"/>
  <c r="X1153" i="3"/>
  <c r="R1154" i="3"/>
  <c r="V1154" i="3"/>
  <c r="W1154" i="3"/>
  <c r="X1154" i="3"/>
  <c r="R1155" i="3"/>
  <c r="V1155" i="3"/>
  <c r="W1155" i="3"/>
  <c r="X1155" i="3"/>
  <c r="R1156" i="3"/>
  <c r="V1156" i="3"/>
  <c r="W1156" i="3"/>
  <c r="X1156" i="3"/>
  <c r="R1157" i="3"/>
  <c r="V1157" i="3"/>
  <c r="W1157" i="3"/>
  <c r="X1157" i="3"/>
  <c r="R1158" i="3"/>
  <c r="V1158" i="3"/>
  <c r="W1158" i="3"/>
  <c r="X1158" i="3"/>
  <c r="R1172" i="3"/>
  <c r="V1172" i="3"/>
  <c r="W1172" i="3"/>
  <c r="X1172" i="3"/>
  <c r="R1173" i="3"/>
  <c r="V1173" i="3"/>
  <c r="W1173" i="3"/>
  <c r="X1173" i="3"/>
  <c r="R1200" i="3"/>
  <c r="V1200" i="3"/>
  <c r="W1200" i="3"/>
  <c r="X1200" i="3"/>
  <c r="R1201" i="3"/>
  <c r="V1201" i="3"/>
  <c r="W1201" i="3"/>
  <c r="X1201" i="3"/>
  <c r="R1202" i="3"/>
  <c r="V1202" i="3"/>
  <c r="W1202" i="3"/>
  <c r="X1202" i="3"/>
  <c r="R1203" i="3"/>
  <c r="V1203" i="3"/>
  <c r="W1203" i="3"/>
  <c r="X1203" i="3"/>
  <c r="R1204" i="3"/>
  <c r="V1204" i="3"/>
  <c r="W1204" i="3"/>
  <c r="X1204" i="3"/>
  <c r="R1205" i="3"/>
  <c r="V1205" i="3"/>
  <c r="W1205" i="3"/>
  <c r="X1205" i="3"/>
  <c r="R1215" i="3"/>
  <c r="V1215" i="3"/>
  <c r="W1215" i="3"/>
  <c r="X1215" i="3"/>
  <c r="R1216" i="3"/>
  <c r="V1216" i="3"/>
  <c r="W1216" i="3"/>
  <c r="X1216" i="3"/>
  <c r="R1217" i="3"/>
  <c r="V1217" i="3"/>
  <c r="W1217" i="3"/>
  <c r="X1217" i="3"/>
  <c r="R1218" i="3"/>
  <c r="V1218" i="3"/>
  <c r="W1218" i="3"/>
  <c r="X1218" i="3"/>
  <c r="R1219" i="3"/>
  <c r="V1219" i="3"/>
  <c r="W1219" i="3"/>
  <c r="X1219" i="3"/>
  <c r="R1236" i="3"/>
  <c r="V1236" i="3"/>
  <c r="W1236" i="3"/>
  <c r="X1236" i="3"/>
  <c r="R1237" i="3"/>
  <c r="V1237" i="3"/>
  <c r="W1237" i="3"/>
  <c r="X1237" i="3"/>
  <c r="R1238" i="3"/>
  <c r="V1238" i="3"/>
  <c r="W1238" i="3"/>
  <c r="X1238" i="3"/>
  <c r="R1251" i="3"/>
  <c r="V1251" i="3"/>
  <c r="W1251" i="3"/>
  <c r="X1251" i="3"/>
  <c r="R1252" i="3"/>
  <c r="V1252" i="3"/>
  <c r="W1252" i="3"/>
  <c r="X1252" i="3"/>
  <c r="R1253" i="3"/>
  <c r="V1253" i="3"/>
  <c r="W1253" i="3"/>
  <c r="X1253" i="3"/>
  <c r="R907" i="3"/>
  <c r="V907" i="3"/>
  <c r="W907" i="3"/>
  <c r="X907" i="3"/>
  <c r="R908" i="3"/>
  <c r="V908" i="3"/>
  <c r="W908" i="3"/>
  <c r="X908" i="3"/>
  <c r="R909" i="3"/>
  <c r="V909" i="3"/>
  <c r="W909" i="3"/>
  <c r="X909" i="3"/>
  <c r="R910" i="3"/>
  <c r="V910" i="3"/>
  <c r="W910" i="3"/>
  <c r="X910" i="3"/>
  <c r="R911" i="3"/>
  <c r="V911" i="3"/>
  <c r="W911" i="3"/>
  <c r="X911" i="3"/>
  <c r="R912" i="3"/>
  <c r="V912" i="3"/>
  <c r="W912" i="3"/>
  <c r="X912" i="3"/>
  <c r="R913" i="3"/>
  <c r="V913" i="3"/>
  <c r="W913" i="3"/>
  <c r="X913" i="3"/>
  <c r="R914" i="3"/>
  <c r="V914" i="3"/>
  <c r="W914" i="3"/>
  <c r="X914" i="3"/>
  <c r="R939" i="3"/>
  <c r="V939" i="3"/>
  <c r="W939" i="3"/>
  <c r="X939" i="3"/>
  <c r="R940" i="3"/>
  <c r="V940" i="3"/>
  <c r="W940" i="3"/>
  <c r="X940" i="3"/>
  <c r="R941" i="3"/>
  <c r="V941" i="3"/>
  <c r="W941" i="3"/>
  <c r="X941" i="3"/>
  <c r="R942" i="3"/>
  <c r="V942" i="3"/>
  <c r="W942" i="3"/>
  <c r="X942" i="3"/>
  <c r="R943" i="3"/>
  <c r="V943" i="3"/>
  <c r="W943" i="3"/>
  <c r="X943" i="3"/>
  <c r="R944" i="3"/>
  <c r="V944" i="3"/>
  <c r="W944" i="3"/>
  <c r="X944" i="3"/>
  <c r="R945" i="3"/>
  <c r="V945" i="3"/>
  <c r="W945" i="3"/>
  <c r="X945" i="3"/>
  <c r="R946" i="3"/>
  <c r="V946" i="3"/>
  <c r="W946" i="3"/>
  <c r="X946" i="3"/>
  <c r="R965" i="3"/>
  <c r="V965" i="3"/>
  <c r="W965" i="3"/>
  <c r="X965" i="3"/>
  <c r="R966" i="3"/>
  <c r="V966" i="3"/>
  <c r="W966" i="3"/>
  <c r="X966" i="3"/>
  <c r="R967" i="3"/>
  <c r="V967" i="3"/>
  <c r="W967" i="3"/>
  <c r="X967" i="3"/>
  <c r="R968" i="3"/>
  <c r="V968" i="3"/>
  <c r="W968" i="3"/>
  <c r="X968" i="3"/>
  <c r="R969" i="3"/>
  <c r="V969" i="3"/>
  <c r="W969" i="3"/>
  <c r="X969" i="3"/>
  <c r="R970" i="3"/>
  <c r="V970" i="3"/>
  <c r="W970" i="3"/>
  <c r="X970" i="3"/>
  <c r="R971" i="3"/>
  <c r="V971" i="3"/>
  <c r="W971" i="3"/>
  <c r="X971" i="3"/>
  <c r="R988" i="3"/>
  <c r="V988" i="3"/>
  <c r="W988" i="3"/>
  <c r="X988" i="3"/>
  <c r="R989" i="3"/>
  <c r="V989" i="3"/>
  <c r="W989" i="3"/>
  <c r="X989" i="3"/>
  <c r="R1028" i="3"/>
  <c r="V1028" i="3"/>
  <c r="W1028" i="3"/>
  <c r="X1028" i="3"/>
  <c r="R1220" i="3"/>
  <c r="V1220" i="3"/>
  <c r="W1220" i="3"/>
  <c r="X1220" i="3"/>
  <c r="R1221" i="3"/>
  <c r="V1221" i="3"/>
  <c r="W1221" i="3"/>
  <c r="X1221" i="3"/>
  <c r="R1222" i="3"/>
  <c r="V1222" i="3"/>
  <c r="W1222" i="3"/>
  <c r="X1222" i="3"/>
  <c r="R1223" i="3"/>
  <c r="V1223" i="3"/>
  <c r="W1223" i="3"/>
  <c r="X1223" i="3"/>
  <c r="R1224" i="3"/>
  <c r="V1224" i="3"/>
  <c r="W1224" i="3"/>
  <c r="X1224" i="3"/>
  <c r="R1225" i="3"/>
  <c r="V1225" i="3"/>
  <c r="W1225" i="3"/>
  <c r="X1225" i="3"/>
  <c r="R1226" i="3"/>
  <c r="V1226" i="3"/>
  <c r="W1226" i="3"/>
  <c r="X1226" i="3"/>
  <c r="R1227" i="3"/>
  <c r="V1227" i="3"/>
  <c r="W1227" i="3"/>
  <c r="X1227" i="3"/>
  <c r="R128" i="3"/>
  <c r="V128" i="3"/>
  <c r="W128" i="3"/>
  <c r="X128" i="3"/>
  <c r="R129" i="3"/>
  <c r="V129" i="3"/>
  <c r="W129" i="3"/>
  <c r="X129" i="3"/>
  <c r="R130" i="3"/>
  <c r="V130" i="3"/>
  <c r="W130" i="3"/>
  <c r="X130" i="3"/>
  <c r="R131" i="3"/>
  <c r="V131" i="3"/>
  <c r="W131" i="3"/>
  <c r="X131" i="3"/>
  <c r="R132" i="3"/>
  <c r="V132" i="3"/>
  <c r="W132" i="3"/>
  <c r="X132" i="3"/>
  <c r="R133" i="3"/>
  <c r="V133" i="3"/>
  <c r="W133" i="3"/>
  <c r="X133" i="3"/>
  <c r="R134" i="3"/>
  <c r="V134" i="3"/>
  <c r="W134" i="3"/>
  <c r="X134" i="3"/>
  <c r="R135" i="3"/>
  <c r="V135" i="3"/>
  <c r="W135" i="3"/>
  <c r="X135" i="3"/>
  <c r="R136" i="3"/>
  <c r="V136" i="3"/>
  <c r="W136" i="3"/>
  <c r="X136" i="3"/>
  <c r="R137" i="3"/>
  <c r="V137" i="3"/>
  <c r="W137" i="3"/>
  <c r="X137" i="3"/>
  <c r="R138" i="3"/>
  <c r="V138" i="3"/>
  <c r="W138" i="3"/>
  <c r="X138" i="3"/>
  <c r="R139" i="3"/>
  <c r="V139" i="3"/>
  <c r="W139" i="3"/>
  <c r="X139" i="3"/>
  <c r="R140" i="3"/>
  <c r="V140" i="3"/>
  <c r="W140" i="3"/>
  <c r="X140" i="3"/>
  <c r="R141" i="3"/>
  <c r="V141" i="3"/>
  <c r="W141" i="3"/>
  <c r="X141" i="3"/>
  <c r="R142" i="3"/>
  <c r="V142" i="3"/>
  <c r="W142" i="3"/>
  <c r="X142" i="3"/>
  <c r="R143" i="3"/>
  <c r="V143" i="3"/>
  <c r="W143" i="3"/>
  <c r="X143" i="3"/>
  <c r="R144" i="3"/>
  <c r="V144" i="3"/>
  <c r="W144" i="3"/>
  <c r="X144" i="3"/>
  <c r="R145" i="3"/>
  <c r="V145" i="3"/>
  <c r="W145" i="3"/>
  <c r="X145" i="3"/>
  <c r="R146" i="3"/>
  <c r="V146" i="3"/>
  <c r="W146" i="3"/>
  <c r="X146" i="3"/>
  <c r="R147" i="3"/>
  <c r="V147" i="3"/>
  <c r="W147" i="3"/>
  <c r="X147" i="3"/>
  <c r="R148" i="3"/>
  <c r="V148" i="3"/>
  <c r="W148" i="3"/>
  <c r="X148" i="3"/>
  <c r="R149" i="3"/>
  <c r="V149" i="3"/>
  <c r="W149" i="3"/>
  <c r="X149" i="3"/>
  <c r="R150" i="3"/>
  <c r="V150" i="3"/>
  <c r="W150" i="3"/>
  <c r="X150" i="3"/>
  <c r="R151" i="3"/>
  <c r="V151" i="3"/>
  <c r="W151" i="3"/>
  <c r="X151" i="3"/>
  <c r="R152" i="3"/>
  <c r="V152" i="3"/>
  <c r="W152" i="3"/>
  <c r="X152" i="3"/>
  <c r="R153" i="3"/>
  <c r="V153" i="3"/>
  <c r="W153" i="3"/>
  <c r="X153" i="3"/>
  <c r="R154" i="3"/>
  <c r="V154" i="3"/>
  <c r="W154" i="3"/>
  <c r="X154" i="3"/>
  <c r="R155" i="3"/>
  <c r="V155" i="3"/>
  <c r="W155" i="3"/>
  <c r="X155" i="3"/>
  <c r="R156" i="3"/>
  <c r="V156" i="3"/>
  <c r="W156" i="3"/>
  <c r="X156" i="3"/>
  <c r="R157" i="3"/>
  <c r="V157" i="3"/>
  <c r="W157" i="3"/>
  <c r="X157" i="3"/>
  <c r="R365" i="3"/>
  <c r="V365" i="3"/>
  <c r="W365" i="3"/>
  <c r="X365" i="3"/>
  <c r="R366" i="3"/>
  <c r="V366" i="3"/>
  <c r="W366" i="3"/>
  <c r="X366" i="3"/>
  <c r="R367" i="3"/>
  <c r="V367" i="3"/>
  <c r="W367" i="3"/>
  <c r="X367" i="3"/>
  <c r="R5" i="3"/>
  <c r="V5" i="3"/>
  <c r="W5" i="3"/>
  <c r="X5" i="3"/>
  <c r="R6" i="3"/>
  <c r="V6" i="3"/>
  <c r="W6" i="3"/>
  <c r="X6" i="3"/>
  <c r="R7" i="3"/>
  <c r="V7" i="3"/>
  <c r="W7" i="3"/>
  <c r="X7" i="3"/>
  <c r="R15" i="3"/>
  <c r="V15" i="3"/>
  <c r="W15" i="3"/>
  <c r="X15" i="3"/>
  <c r="R16" i="3"/>
  <c r="V16" i="3"/>
  <c r="W16" i="3"/>
  <c r="X16" i="3"/>
  <c r="R17" i="3"/>
  <c r="V17" i="3"/>
  <c r="W17" i="3"/>
  <c r="X17" i="3"/>
  <c r="R18" i="3"/>
  <c r="V18" i="3"/>
  <c r="W18" i="3"/>
  <c r="X18" i="3"/>
  <c r="R19" i="3"/>
  <c r="V19" i="3"/>
  <c r="W19" i="3"/>
  <c r="X19" i="3"/>
  <c r="R20" i="3"/>
  <c r="V20" i="3"/>
  <c r="W20" i="3"/>
  <c r="X20" i="3"/>
  <c r="R22" i="3"/>
  <c r="V22" i="3"/>
  <c r="W22" i="3"/>
  <c r="X22" i="3"/>
  <c r="R23" i="3"/>
  <c r="V23" i="3"/>
  <c r="W23" i="3"/>
  <c r="X23" i="3"/>
  <c r="R24" i="3"/>
  <c r="V24" i="3"/>
  <c r="W24" i="3"/>
  <c r="X24" i="3"/>
  <c r="R25" i="3"/>
  <c r="V25" i="3"/>
  <c r="W25" i="3"/>
  <c r="X25" i="3"/>
  <c r="R26" i="3"/>
  <c r="V26" i="3"/>
  <c r="W26" i="3"/>
  <c r="X26" i="3"/>
  <c r="R27" i="3"/>
  <c r="V27" i="3"/>
  <c r="W27" i="3"/>
  <c r="X27" i="3"/>
  <c r="R30" i="3"/>
  <c r="V30" i="3"/>
  <c r="W30" i="3"/>
  <c r="X30" i="3"/>
  <c r="R31" i="3"/>
  <c r="V31" i="3"/>
  <c r="W31" i="3"/>
  <c r="X31" i="3"/>
  <c r="R32" i="3"/>
  <c r="V32" i="3"/>
  <c r="W32" i="3"/>
  <c r="X32" i="3"/>
  <c r="R33" i="3"/>
  <c r="V33" i="3"/>
  <c r="W33" i="3"/>
  <c r="X33" i="3"/>
  <c r="R34" i="3"/>
  <c r="V34" i="3"/>
  <c r="W34" i="3"/>
  <c r="X34" i="3"/>
  <c r="R35" i="3"/>
  <c r="V35" i="3"/>
  <c r="W35" i="3"/>
  <c r="X35" i="3"/>
  <c r="R39" i="3"/>
  <c r="V39" i="3"/>
  <c r="W39" i="3"/>
  <c r="X39" i="3"/>
  <c r="R40" i="3"/>
  <c r="V40" i="3"/>
  <c r="W40" i="3"/>
  <c r="X40" i="3"/>
  <c r="R41" i="3"/>
  <c r="V41" i="3"/>
  <c r="W41" i="3"/>
  <c r="X41" i="3"/>
  <c r="R42" i="3"/>
  <c r="V42" i="3"/>
  <c r="W42" i="3"/>
  <c r="X42" i="3"/>
  <c r="R43" i="3"/>
  <c r="V43" i="3"/>
  <c r="W43" i="3"/>
  <c r="X43" i="3"/>
  <c r="R44" i="3"/>
  <c r="V44" i="3"/>
  <c r="W44" i="3"/>
  <c r="X44" i="3"/>
  <c r="R45" i="3"/>
  <c r="V45" i="3"/>
  <c r="W45" i="3"/>
  <c r="X45" i="3"/>
  <c r="R46" i="3"/>
  <c r="V46" i="3"/>
  <c r="W46" i="3"/>
  <c r="X46" i="3"/>
  <c r="R58" i="3"/>
  <c r="V58" i="3"/>
  <c r="W58" i="3"/>
  <c r="X58" i="3"/>
  <c r="R59" i="3"/>
  <c r="V59" i="3"/>
  <c r="W59" i="3"/>
  <c r="X59" i="3"/>
  <c r="R60" i="3"/>
  <c r="V60" i="3"/>
  <c r="W60" i="3"/>
  <c r="X60" i="3"/>
  <c r="R61" i="3"/>
  <c r="V61" i="3"/>
  <c r="W61" i="3"/>
  <c r="X61" i="3"/>
  <c r="R62" i="3"/>
  <c r="V62" i="3"/>
  <c r="W62" i="3"/>
  <c r="X62" i="3"/>
  <c r="R63" i="3"/>
  <c r="V63" i="3"/>
  <c r="W63" i="3"/>
  <c r="X63" i="3"/>
  <c r="R64" i="3"/>
  <c r="V64" i="3"/>
  <c r="W64" i="3"/>
  <c r="X64" i="3"/>
  <c r="R65" i="3"/>
  <c r="V65" i="3"/>
  <c r="W65" i="3"/>
  <c r="X65" i="3"/>
  <c r="R66" i="3"/>
  <c r="V66" i="3"/>
  <c r="W66" i="3"/>
  <c r="X66" i="3"/>
  <c r="R67" i="3"/>
  <c r="V67" i="3"/>
  <c r="W67" i="3"/>
  <c r="X67" i="3"/>
  <c r="R68" i="3"/>
  <c r="V68" i="3"/>
  <c r="W68" i="3"/>
  <c r="X68" i="3"/>
  <c r="R69" i="3"/>
  <c r="V69" i="3"/>
  <c r="W69" i="3"/>
  <c r="X69" i="3"/>
  <c r="R70" i="3"/>
  <c r="V70" i="3"/>
  <c r="W70" i="3"/>
  <c r="X70" i="3"/>
  <c r="R71" i="3"/>
  <c r="V71" i="3"/>
  <c r="W71" i="3"/>
  <c r="X71" i="3"/>
  <c r="R72" i="3"/>
  <c r="V72" i="3"/>
  <c r="W72" i="3"/>
  <c r="X72" i="3"/>
  <c r="R82" i="3"/>
  <c r="V82" i="3"/>
  <c r="W82" i="3"/>
  <c r="X82" i="3"/>
  <c r="R83" i="3"/>
  <c r="V83" i="3"/>
  <c r="W83" i="3"/>
  <c r="X83" i="3"/>
  <c r="R84" i="3"/>
  <c r="V84" i="3"/>
  <c r="W84" i="3"/>
  <c r="X84" i="3"/>
  <c r="R85" i="3"/>
  <c r="V85" i="3"/>
  <c r="W85" i="3"/>
  <c r="X85" i="3"/>
  <c r="R86" i="3"/>
  <c r="V86" i="3"/>
  <c r="W86" i="3"/>
  <c r="X86" i="3"/>
  <c r="R87" i="3"/>
  <c r="V87" i="3"/>
  <c r="W87" i="3"/>
  <c r="X87" i="3"/>
  <c r="R88" i="3"/>
  <c r="V88" i="3"/>
  <c r="W88" i="3"/>
  <c r="X88" i="3"/>
  <c r="R89" i="3"/>
  <c r="V89" i="3"/>
  <c r="W89" i="3"/>
  <c r="X89" i="3"/>
  <c r="R90" i="3"/>
  <c r="V90" i="3"/>
  <c r="W90" i="3"/>
  <c r="X90" i="3"/>
  <c r="R91" i="3"/>
  <c r="V91" i="3"/>
  <c r="W91" i="3"/>
  <c r="X91" i="3"/>
  <c r="R92" i="3"/>
  <c r="V92" i="3"/>
  <c r="W92" i="3"/>
  <c r="X92" i="3"/>
  <c r="R628" i="3"/>
  <c r="V628" i="3"/>
  <c r="W628" i="3"/>
  <c r="X628" i="3"/>
  <c r="R643" i="3"/>
  <c r="V643" i="3"/>
  <c r="W643" i="3"/>
  <c r="X643" i="3"/>
  <c r="R655" i="3"/>
  <c r="V655" i="3"/>
  <c r="W655" i="3"/>
  <c r="X655" i="3"/>
  <c r="R1094" i="3"/>
  <c r="V1094" i="3"/>
  <c r="W1094" i="3"/>
  <c r="X1094" i="3"/>
  <c r="R1095" i="3"/>
  <c r="V1095" i="3"/>
  <c r="W1095" i="3"/>
  <c r="X1095" i="3"/>
  <c r="R1096" i="3"/>
  <c r="V1096" i="3"/>
  <c r="W1096" i="3"/>
  <c r="X1096" i="3"/>
  <c r="R1097" i="3"/>
  <c r="V1097" i="3"/>
  <c r="W1097" i="3"/>
  <c r="X1097" i="3"/>
  <c r="R1098" i="3"/>
  <c r="V1098" i="3"/>
  <c r="W1098" i="3"/>
  <c r="X1098" i="3"/>
  <c r="R1099" i="3"/>
  <c r="V1099" i="3"/>
  <c r="W1099" i="3"/>
  <c r="X1099" i="3"/>
  <c r="R1100" i="3"/>
  <c r="V1100" i="3"/>
  <c r="W1100" i="3"/>
  <c r="X1100" i="3"/>
  <c r="R1159" i="3"/>
  <c r="V1159" i="3"/>
  <c r="W1159" i="3"/>
  <c r="X1159" i="3"/>
  <c r="R1160" i="3"/>
  <c r="V1160" i="3"/>
  <c r="W1160" i="3"/>
  <c r="X1160" i="3"/>
  <c r="R1161" i="3"/>
  <c r="V1161" i="3"/>
  <c r="W1161" i="3"/>
  <c r="X1161" i="3"/>
  <c r="R1162" i="3"/>
  <c r="V1162" i="3"/>
  <c r="W1162" i="3"/>
  <c r="X1162" i="3"/>
  <c r="R1163" i="3"/>
  <c r="V1163" i="3"/>
  <c r="W1163" i="3"/>
  <c r="X1163" i="3"/>
  <c r="R1174" i="3"/>
  <c r="V1174" i="3"/>
  <c r="W1174" i="3"/>
  <c r="X1174" i="3"/>
  <c r="R1175" i="3"/>
  <c r="V1175" i="3"/>
  <c r="W1175" i="3"/>
  <c r="X1175" i="3"/>
  <c r="R1176" i="3"/>
  <c r="V1176" i="3"/>
  <c r="W1176" i="3"/>
  <c r="X1176" i="3"/>
  <c r="R1177" i="3"/>
  <c r="V1177" i="3"/>
  <c r="W1177" i="3"/>
  <c r="X1177" i="3"/>
  <c r="R1178" i="3"/>
  <c r="V1178" i="3"/>
  <c r="W1178" i="3"/>
  <c r="X1178" i="3"/>
  <c r="R1179" i="3"/>
  <c r="V1179" i="3"/>
  <c r="W1179" i="3"/>
  <c r="X1179" i="3"/>
  <c r="R1180" i="3"/>
  <c r="V1180" i="3"/>
  <c r="W1180" i="3"/>
  <c r="X1180" i="3"/>
  <c r="R1181" i="3"/>
  <c r="V1181" i="3"/>
  <c r="W1181" i="3"/>
  <c r="X1181" i="3"/>
  <c r="R93" i="3"/>
  <c r="V93" i="3"/>
  <c r="W93" i="3"/>
  <c r="X93" i="3"/>
  <c r="R94" i="3"/>
  <c r="V94" i="3"/>
  <c r="W94" i="3"/>
  <c r="X94" i="3"/>
  <c r="R95" i="3"/>
  <c r="V95" i="3"/>
  <c r="W95" i="3"/>
  <c r="X95" i="3"/>
  <c r="R96" i="3"/>
  <c r="V96" i="3"/>
  <c r="W96" i="3"/>
  <c r="X96" i="3"/>
  <c r="R97" i="3"/>
  <c r="V97" i="3"/>
  <c r="W97" i="3"/>
  <c r="X97" i="3"/>
  <c r="R98" i="3"/>
  <c r="V98" i="3"/>
  <c r="W98" i="3"/>
  <c r="X98" i="3"/>
  <c r="R99" i="3"/>
  <c r="V99" i="3"/>
  <c r="W99" i="3"/>
  <c r="X99" i="3"/>
  <c r="R100" i="3"/>
  <c r="V100" i="3"/>
  <c r="W100" i="3"/>
  <c r="X100" i="3"/>
  <c r="R101" i="3"/>
  <c r="V101" i="3"/>
  <c r="W101" i="3"/>
  <c r="X101" i="3"/>
  <c r="R102" i="3"/>
  <c r="V102" i="3"/>
  <c r="W102" i="3"/>
  <c r="X102" i="3"/>
  <c r="R103" i="3"/>
  <c r="V103" i="3"/>
  <c r="W103" i="3"/>
  <c r="X103" i="3"/>
  <c r="R104" i="3"/>
  <c r="V104" i="3"/>
  <c r="W104" i="3"/>
  <c r="X104" i="3"/>
  <c r="R105" i="3"/>
  <c r="V105" i="3"/>
  <c r="W105" i="3"/>
  <c r="X105" i="3"/>
  <c r="R106" i="3"/>
  <c r="V106" i="3"/>
  <c r="W106" i="3"/>
  <c r="X106" i="3"/>
  <c r="R107" i="3"/>
  <c r="V107" i="3"/>
  <c r="W107" i="3"/>
  <c r="X107" i="3"/>
  <c r="R108" i="3"/>
  <c r="V108" i="3"/>
  <c r="W108" i="3"/>
  <c r="X108" i="3"/>
  <c r="R109" i="3"/>
  <c r="V109" i="3"/>
  <c r="W109" i="3"/>
  <c r="X109" i="3"/>
  <c r="R110" i="3"/>
  <c r="V110" i="3"/>
  <c r="W110" i="3"/>
  <c r="X110" i="3"/>
  <c r="R111" i="3"/>
  <c r="V111" i="3"/>
  <c r="W111" i="3"/>
  <c r="X111" i="3"/>
  <c r="R112" i="3"/>
  <c r="V112" i="3"/>
  <c r="W112" i="3"/>
  <c r="X112" i="3"/>
  <c r="R113" i="3"/>
  <c r="V113" i="3"/>
  <c r="W113" i="3"/>
  <c r="X113" i="3"/>
  <c r="R114" i="3"/>
  <c r="V114" i="3"/>
  <c r="W114" i="3"/>
  <c r="X114" i="3"/>
  <c r="R115" i="3"/>
  <c r="V115" i="3"/>
  <c r="W115" i="3"/>
  <c r="X115" i="3"/>
  <c r="R116" i="3"/>
  <c r="V116" i="3"/>
  <c r="W116" i="3"/>
  <c r="X116" i="3"/>
  <c r="R117" i="3"/>
  <c r="V117" i="3"/>
  <c r="W117" i="3"/>
  <c r="X117" i="3"/>
  <c r="R118" i="3"/>
  <c r="V118" i="3"/>
  <c r="W118" i="3"/>
  <c r="X118" i="3"/>
  <c r="R119" i="3"/>
  <c r="V119" i="3"/>
  <c r="W119" i="3"/>
  <c r="X119" i="3"/>
  <c r="R120" i="3"/>
  <c r="V120" i="3"/>
  <c r="W120" i="3"/>
  <c r="X120" i="3"/>
  <c r="R121" i="3"/>
  <c r="V121" i="3"/>
  <c r="W121" i="3"/>
  <c r="X121" i="3"/>
  <c r="R122" i="3"/>
  <c r="V122" i="3"/>
  <c r="W122" i="3"/>
  <c r="X122" i="3"/>
  <c r="R123" i="3"/>
  <c r="V123" i="3"/>
  <c r="W123" i="3"/>
  <c r="X123" i="3"/>
  <c r="R158" i="3"/>
  <c r="V158" i="3"/>
  <c r="W158" i="3"/>
  <c r="X158" i="3"/>
  <c r="R159" i="3"/>
  <c r="V159" i="3"/>
  <c r="W159" i="3"/>
  <c r="X159" i="3"/>
  <c r="R160" i="3"/>
  <c r="V160" i="3"/>
  <c r="W160" i="3"/>
  <c r="X160" i="3"/>
  <c r="R161" i="3"/>
  <c r="V161" i="3"/>
  <c r="W161" i="3"/>
  <c r="X161" i="3"/>
  <c r="R162" i="3"/>
  <c r="V162" i="3"/>
  <c r="W162" i="3"/>
  <c r="X162" i="3"/>
  <c r="R163" i="3"/>
  <c r="V163" i="3"/>
  <c r="W163" i="3"/>
  <c r="X163" i="3"/>
  <c r="R164" i="3"/>
  <c r="V164" i="3"/>
  <c r="W164" i="3"/>
  <c r="X164" i="3"/>
  <c r="R165" i="3"/>
  <c r="V165" i="3"/>
  <c r="W165" i="3"/>
  <c r="X165" i="3"/>
  <c r="R166" i="3"/>
  <c r="V166" i="3"/>
  <c r="W166" i="3"/>
  <c r="X166" i="3"/>
  <c r="R167" i="3"/>
  <c r="V167" i="3"/>
  <c r="W167" i="3"/>
  <c r="X167" i="3"/>
  <c r="R168" i="3"/>
  <c r="V168" i="3"/>
  <c r="W168" i="3"/>
  <c r="X168" i="3"/>
  <c r="R169" i="3"/>
  <c r="V169" i="3"/>
  <c r="W169" i="3"/>
  <c r="X169" i="3"/>
  <c r="R170" i="3"/>
  <c r="V170" i="3"/>
  <c r="W170" i="3"/>
  <c r="X170" i="3"/>
  <c r="R171" i="3"/>
  <c r="V171" i="3"/>
  <c r="W171" i="3"/>
  <c r="X171" i="3"/>
  <c r="R172" i="3"/>
  <c r="V172" i="3"/>
  <c r="W172" i="3"/>
  <c r="X172" i="3"/>
  <c r="R173" i="3"/>
  <c r="V173" i="3"/>
  <c r="W173" i="3"/>
  <c r="X173" i="3"/>
  <c r="R8" i="3"/>
  <c r="V8" i="3"/>
  <c r="W8" i="3"/>
  <c r="X8" i="3"/>
  <c r="R174" i="3"/>
  <c r="V174" i="3"/>
  <c r="W174" i="3"/>
  <c r="X174" i="3"/>
  <c r="R175" i="3"/>
  <c r="V175" i="3"/>
  <c r="W175" i="3"/>
  <c r="X175" i="3"/>
  <c r="R176" i="3"/>
  <c r="V176" i="3"/>
  <c r="W176" i="3"/>
  <c r="X176" i="3"/>
  <c r="R177" i="3"/>
  <c r="V177" i="3"/>
  <c r="W177" i="3"/>
  <c r="X177" i="3"/>
  <c r="R178" i="3"/>
  <c r="V178" i="3"/>
  <c r="W178" i="3"/>
  <c r="X178" i="3"/>
  <c r="R179" i="3"/>
  <c r="V179" i="3"/>
  <c r="W179" i="3"/>
  <c r="X179" i="3"/>
  <c r="R947" i="3"/>
  <c r="V947" i="3"/>
  <c r="W947" i="3"/>
  <c r="X947" i="3"/>
  <c r="R948" i="3"/>
  <c r="V948" i="3"/>
  <c r="W948" i="3"/>
  <c r="X948" i="3"/>
  <c r="R949" i="3"/>
  <c r="V949" i="3"/>
  <c r="W949" i="3"/>
  <c r="X949" i="3"/>
  <c r="R972" i="3"/>
  <c r="V972" i="3"/>
  <c r="W972" i="3"/>
  <c r="X972" i="3"/>
  <c r="R973" i="3"/>
  <c r="V973" i="3"/>
  <c r="W973" i="3"/>
  <c r="X973" i="3"/>
  <c r="R186" i="3"/>
  <c r="V186" i="3"/>
  <c r="W186" i="3"/>
  <c r="X186" i="3"/>
  <c r="R197" i="3"/>
  <c r="V197" i="3"/>
  <c r="W197" i="3"/>
  <c r="X197" i="3"/>
  <c r="R198" i="3"/>
  <c r="V198" i="3"/>
  <c r="W198" i="3"/>
  <c r="X198" i="3"/>
  <c r="R199" i="3"/>
  <c r="V199" i="3"/>
  <c r="W199" i="3"/>
  <c r="X199" i="3"/>
  <c r="R200" i="3"/>
  <c r="V200" i="3"/>
  <c r="W200" i="3"/>
  <c r="X200" i="3"/>
  <c r="R201" i="3"/>
  <c r="V201" i="3"/>
  <c r="W201" i="3"/>
  <c r="X201" i="3"/>
  <c r="R202" i="3"/>
  <c r="V202" i="3"/>
  <c r="W202" i="3"/>
  <c r="X202" i="3"/>
  <c r="R207" i="3"/>
  <c r="V207" i="3"/>
  <c r="W207" i="3"/>
  <c r="X207" i="3"/>
  <c r="R215" i="3"/>
  <c r="V215" i="3"/>
  <c r="W215" i="3"/>
  <c r="X215" i="3"/>
  <c r="R226" i="3"/>
  <c r="V226" i="3"/>
  <c r="W226" i="3"/>
  <c r="X226" i="3"/>
  <c r="R227" i="3"/>
  <c r="V227" i="3"/>
  <c r="W227" i="3"/>
  <c r="X227" i="3"/>
  <c r="R228" i="3"/>
  <c r="V228" i="3"/>
  <c r="W228" i="3"/>
  <c r="X228" i="3"/>
  <c r="R229" i="3"/>
  <c r="V229" i="3"/>
  <c r="W229" i="3"/>
  <c r="X229" i="3"/>
  <c r="R230" i="3"/>
  <c r="V230" i="3"/>
  <c r="W230" i="3"/>
  <c r="X230" i="3"/>
  <c r="R231" i="3"/>
  <c r="V231" i="3"/>
  <c r="W231" i="3"/>
  <c r="X231" i="3"/>
  <c r="R234" i="3"/>
  <c r="V234" i="3"/>
  <c r="W234" i="3"/>
  <c r="X234" i="3"/>
  <c r="R235" i="3"/>
  <c r="V235" i="3"/>
  <c r="W235" i="3"/>
  <c r="X235" i="3"/>
  <c r="R236" i="3"/>
  <c r="V236" i="3"/>
  <c r="W236" i="3"/>
  <c r="X236" i="3"/>
  <c r="R237" i="3"/>
  <c r="V237" i="3"/>
  <c r="W237" i="3"/>
  <c r="X237" i="3"/>
  <c r="R238" i="3"/>
  <c r="V238" i="3"/>
  <c r="W238" i="3"/>
  <c r="X238" i="3"/>
  <c r="R239" i="3"/>
  <c r="V239" i="3"/>
  <c r="W239" i="3"/>
  <c r="X239" i="3"/>
  <c r="R240" i="3"/>
  <c r="V240" i="3"/>
  <c r="W240" i="3"/>
  <c r="X240" i="3"/>
  <c r="R241" i="3"/>
  <c r="V241" i="3"/>
  <c r="W241" i="3"/>
  <c r="X241" i="3"/>
  <c r="R242" i="3"/>
  <c r="V242" i="3"/>
  <c r="W242" i="3"/>
  <c r="X242" i="3"/>
  <c r="R243" i="3"/>
  <c r="V243" i="3"/>
  <c r="W243" i="3"/>
  <c r="X243" i="3"/>
  <c r="R247" i="3"/>
  <c r="V247" i="3"/>
  <c r="W247" i="3"/>
  <c r="X247" i="3"/>
  <c r="R250" i="3"/>
  <c r="V250" i="3"/>
  <c r="W250" i="3"/>
  <c r="X250" i="3"/>
  <c r="R251" i="3"/>
  <c r="V251" i="3"/>
  <c r="W251" i="3"/>
  <c r="X251" i="3"/>
  <c r="R252" i="3"/>
  <c r="V252" i="3"/>
  <c r="W252" i="3"/>
  <c r="X252" i="3"/>
  <c r="R253" i="3"/>
  <c r="V253" i="3"/>
  <c r="W253" i="3"/>
  <c r="X253" i="3"/>
  <c r="R254" i="3"/>
  <c r="V254" i="3"/>
  <c r="W254" i="3"/>
  <c r="X254" i="3"/>
  <c r="R255" i="3"/>
  <c r="V255" i="3"/>
  <c r="W255" i="3"/>
  <c r="X255" i="3"/>
  <c r="R256" i="3"/>
  <c r="V256" i="3"/>
  <c r="W256" i="3"/>
  <c r="X256" i="3"/>
  <c r="R257" i="3"/>
  <c r="V257" i="3"/>
  <c r="W257" i="3"/>
  <c r="X257" i="3"/>
  <c r="R258" i="3"/>
  <c r="V258" i="3"/>
  <c r="W258" i="3"/>
  <c r="X258" i="3"/>
  <c r="R259" i="3"/>
  <c r="V259" i="3"/>
  <c r="W259" i="3"/>
  <c r="X259" i="3"/>
  <c r="R260" i="3"/>
  <c r="V260" i="3"/>
  <c r="W260" i="3"/>
  <c r="X260" i="3"/>
  <c r="R261" i="3"/>
  <c r="V261" i="3"/>
  <c r="W261" i="3"/>
  <c r="X261" i="3"/>
  <c r="R262" i="3"/>
  <c r="V262" i="3"/>
  <c r="W262" i="3"/>
  <c r="X262" i="3"/>
  <c r="R263" i="3"/>
  <c r="V263" i="3"/>
  <c r="W263" i="3"/>
  <c r="X263" i="3"/>
  <c r="R264" i="3"/>
  <c r="V264" i="3"/>
  <c r="W264" i="3"/>
  <c r="X264" i="3"/>
  <c r="R265" i="3"/>
  <c r="V265" i="3"/>
  <c r="W265" i="3"/>
  <c r="X265" i="3"/>
  <c r="R266" i="3"/>
  <c r="V266" i="3"/>
  <c r="W266" i="3"/>
  <c r="X266" i="3"/>
  <c r="R270" i="3"/>
  <c r="V270" i="3"/>
  <c r="W270" i="3"/>
  <c r="X270" i="3"/>
  <c r="R271" i="3"/>
  <c r="V271" i="3"/>
  <c r="W271" i="3"/>
  <c r="X271" i="3"/>
  <c r="R272" i="3"/>
  <c r="V272" i="3"/>
  <c r="W272" i="3"/>
  <c r="X272" i="3"/>
  <c r="R273" i="3"/>
  <c r="V273" i="3"/>
  <c r="W273" i="3"/>
  <c r="X273" i="3"/>
  <c r="R274" i="3"/>
  <c r="V274" i="3"/>
  <c r="W274" i="3"/>
  <c r="X274" i="3"/>
  <c r="R275" i="3"/>
  <c r="V275" i="3"/>
  <c r="W275" i="3"/>
  <c r="X275" i="3"/>
  <c r="R276" i="3"/>
  <c r="V276" i="3"/>
  <c r="W276" i="3"/>
  <c r="X276" i="3"/>
  <c r="R277" i="3"/>
  <c r="V277" i="3"/>
  <c r="W277" i="3"/>
  <c r="X277" i="3"/>
  <c r="R278" i="3"/>
  <c r="V278" i="3"/>
  <c r="W278" i="3"/>
  <c r="X278" i="3"/>
  <c r="R279" i="3"/>
  <c r="V279" i="3"/>
  <c r="W279" i="3"/>
  <c r="X279" i="3"/>
  <c r="R280" i="3"/>
  <c r="V280" i="3"/>
  <c r="W280" i="3"/>
  <c r="X280" i="3"/>
  <c r="R281" i="3"/>
  <c r="V281" i="3"/>
  <c r="W281" i="3"/>
  <c r="X281" i="3"/>
  <c r="R282" i="3"/>
  <c r="V282" i="3"/>
  <c r="W282" i="3"/>
  <c r="X282" i="3"/>
  <c r="R286" i="3"/>
  <c r="V286" i="3"/>
  <c r="W286" i="3"/>
  <c r="X286" i="3"/>
  <c r="R287" i="3"/>
  <c r="V287" i="3"/>
  <c r="W287" i="3"/>
  <c r="X287" i="3"/>
  <c r="R301" i="3"/>
  <c r="V301" i="3"/>
  <c r="W301" i="3"/>
  <c r="X301" i="3"/>
  <c r="R302" i="3"/>
  <c r="V302" i="3"/>
  <c r="W302" i="3"/>
  <c r="X302" i="3"/>
  <c r="R303" i="3"/>
  <c r="V303" i="3"/>
  <c r="W303" i="3"/>
  <c r="X303" i="3"/>
  <c r="R312" i="3"/>
  <c r="V312" i="3"/>
  <c r="W312" i="3"/>
  <c r="X312" i="3"/>
  <c r="R313" i="3"/>
  <c r="V313" i="3"/>
  <c r="W313" i="3"/>
  <c r="X313" i="3"/>
  <c r="R314" i="3"/>
  <c r="V314" i="3"/>
  <c r="W314" i="3"/>
  <c r="X314" i="3"/>
  <c r="R318" i="3"/>
  <c r="V318" i="3"/>
  <c r="W318" i="3"/>
  <c r="X318" i="3"/>
  <c r="R319" i="3"/>
  <c r="V319" i="3"/>
  <c r="W319" i="3"/>
  <c r="X319" i="3"/>
  <c r="R320" i="3"/>
  <c r="V320" i="3"/>
  <c r="W320" i="3"/>
  <c r="X320" i="3"/>
  <c r="R321" i="3"/>
  <c r="V321" i="3"/>
  <c r="W321" i="3"/>
  <c r="X321" i="3"/>
  <c r="R322" i="3"/>
  <c r="V322" i="3"/>
  <c r="W322" i="3"/>
  <c r="X322" i="3"/>
  <c r="R323" i="3"/>
  <c r="V323" i="3"/>
  <c r="W323" i="3"/>
  <c r="X323" i="3"/>
  <c r="R324" i="3"/>
  <c r="V324" i="3"/>
  <c r="W324" i="3"/>
  <c r="X324" i="3"/>
  <c r="R325" i="3"/>
  <c r="V325" i="3"/>
  <c r="W325" i="3"/>
  <c r="X325" i="3"/>
  <c r="R326" i="3"/>
  <c r="V326" i="3"/>
  <c r="W326" i="3"/>
  <c r="X326" i="3"/>
  <c r="R331" i="3"/>
  <c r="V331" i="3"/>
  <c r="W331" i="3"/>
  <c r="X331" i="3"/>
  <c r="R332" i="3"/>
  <c r="V332" i="3"/>
  <c r="W332" i="3"/>
  <c r="X332" i="3"/>
  <c r="R333" i="3"/>
  <c r="V333" i="3"/>
  <c r="W333" i="3"/>
  <c r="X333" i="3"/>
  <c r="R334" i="3"/>
  <c r="V334" i="3"/>
  <c r="W334" i="3"/>
  <c r="X334" i="3"/>
  <c r="R335" i="3"/>
  <c r="V335" i="3"/>
  <c r="W335" i="3"/>
  <c r="X335" i="3"/>
  <c r="R336" i="3"/>
  <c r="V336" i="3"/>
  <c r="W336" i="3"/>
  <c r="X336" i="3"/>
  <c r="R337" i="3"/>
  <c r="V337" i="3"/>
  <c r="W337" i="3"/>
  <c r="X337" i="3"/>
  <c r="R338" i="3"/>
  <c r="V338" i="3"/>
  <c r="W338" i="3"/>
  <c r="X338" i="3"/>
  <c r="R344" i="3"/>
  <c r="V344" i="3"/>
  <c r="W344" i="3"/>
  <c r="X344" i="3"/>
  <c r="R345" i="3"/>
  <c r="V345" i="3"/>
  <c r="W345" i="3"/>
  <c r="X345" i="3"/>
  <c r="R346" i="3"/>
  <c r="V346" i="3"/>
  <c r="W346" i="3"/>
  <c r="X346" i="3"/>
  <c r="R347" i="3"/>
  <c r="V347" i="3"/>
  <c r="W347" i="3"/>
  <c r="X347" i="3"/>
  <c r="R348" i="3"/>
  <c r="V348" i="3"/>
  <c r="W348" i="3"/>
  <c r="X348" i="3"/>
  <c r="R349" i="3"/>
  <c r="V349" i="3"/>
  <c r="W349" i="3"/>
  <c r="X349" i="3"/>
  <c r="R350" i="3"/>
  <c r="V350" i="3"/>
  <c r="W350" i="3"/>
  <c r="X350" i="3"/>
  <c r="R351" i="3"/>
  <c r="V351" i="3"/>
  <c r="W351" i="3"/>
  <c r="X351" i="3"/>
  <c r="R352" i="3"/>
  <c r="V352" i="3"/>
  <c r="W352" i="3"/>
  <c r="X352" i="3"/>
  <c r="R353" i="3"/>
  <c r="V353" i="3"/>
  <c r="W353" i="3"/>
  <c r="X353" i="3"/>
  <c r="R354" i="3"/>
  <c r="V354" i="3"/>
  <c r="W354" i="3"/>
  <c r="X354" i="3"/>
  <c r="R361" i="3"/>
  <c r="V361" i="3"/>
  <c r="W361" i="3"/>
  <c r="X361" i="3"/>
  <c r="R362" i="3"/>
  <c r="V362" i="3"/>
  <c r="W362" i="3"/>
  <c r="X362" i="3"/>
  <c r="R363" i="3"/>
  <c r="V363" i="3"/>
  <c r="W363" i="3"/>
  <c r="X363" i="3"/>
  <c r="R370" i="3"/>
  <c r="V370" i="3"/>
  <c r="W370" i="3"/>
  <c r="X370" i="3"/>
  <c r="R402" i="3"/>
  <c r="V402" i="3"/>
  <c r="W402" i="3"/>
  <c r="X402" i="3"/>
  <c r="R403" i="3"/>
  <c r="V403" i="3"/>
  <c r="W403" i="3"/>
  <c r="X403" i="3"/>
  <c r="R404" i="3"/>
  <c r="V404" i="3"/>
  <c r="W404" i="3"/>
  <c r="X404" i="3"/>
  <c r="R405" i="3"/>
  <c r="V405" i="3"/>
  <c r="W405" i="3"/>
  <c r="X405" i="3"/>
  <c r="R417" i="3"/>
  <c r="V417" i="3"/>
  <c r="W417" i="3"/>
  <c r="X417" i="3"/>
  <c r="R418" i="3"/>
  <c r="V418" i="3"/>
  <c r="W418" i="3"/>
  <c r="X418" i="3"/>
  <c r="R419" i="3"/>
  <c r="V419" i="3"/>
  <c r="W419" i="3"/>
  <c r="X419" i="3"/>
  <c r="R420" i="3"/>
  <c r="V420" i="3"/>
  <c r="W420" i="3"/>
  <c r="X420" i="3"/>
  <c r="R421" i="3"/>
  <c r="V421" i="3"/>
  <c r="W421" i="3"/>
  <c r="X421" i="3"/>
  <c r="R422" i="3"/>
  <c r="V422" i="3"/>
  <c r="W422" i="3"/>
  <c r="X422" i="3"/>
  <c r="R457" i="3"/>
  <c r="V457" i="3"/>
  <c r="W457" i="3"/>
  <c r="X457" i="3"/>
  <c r="R458" i="3"/>
  <c r="V458" i="3"/>
  <c r="W458" i="3"/>
  <c r="X458" i="3"/>
  <c r="R459" i="3"/>
  <c r="V459" i="3"/>
  <c r="W459" i="3"/>
  <c r="X459" i="3"/>
  <c r="R486" i="3"/>
  <c r="V486" i="3"/>
  <c r="W486" i="3"/>
  <c r="X486" i="3"/>
  <c r="R487" i="3"/>
  <c r="V487" i="3"/>
  <c r="W487" i="3"/>
  <c r="X487" i="3"/>
  <c r="R488" i="3"/>
  <c r="V488" i="3"/>
  <c r="W488" i="3"/>
  <c r="X488" i="3"/>
  <c r="R500" i="3"/>
  <c r="V500" i="3"/>
  <c r="W500" i="3"/>
  <c r="X500" i="3"/>
  <c r="R507" i="3"/>
  <c r="V507" i="3"/>
  <c r="W507" i="3"/>
  <c r="X507" i="3"/>
  <c r="R508" i="3"/>
  <c r="V508" i="3"/>
  <c r="W508" i="3"/>
  <c r="X508" i="3"/>
  <c r="R509" i="3"/>
  <c r="V509" i="3"/>
  <c r="W509" i="3"/>
  <c r="X509" i="3"/>
  <c r="R510" i="3"/>
  <c r="V510" i="3"/>
  <c r="W510" i="3"/>
  <c r="X510" i="3"/>
  <c r="R511" i="3"/>
  <c r="V511" i="3"/>
  <c r="W511" i="3"/>
  <c r="X511" i="3"/>
  <c r="R512" i="3"/>
  <c r="V512" i="3"/>
  <c r="W512" i="3"/>
  <c r="X512" i="3"/>
  <c r="R513" i="3"/>
  <c r="V513" i="3"/>
  <c r="W513" i="3"/>
  <c r="X513" i="3"/>
  <c r="R514" i="3"/>
  <c r="V514" i="3"/>
  <c r="W514" i="3"/>
  <c r="X514" i="3"/>
  <c r="R524" i="3"/>
  <c r="V524" i="3"/>
  <c r="W524" i="3"/>
  <c r="X524" i="3"/>
  <c r="R525" i="3"/>
  <c r="V525" i="3"/>
  <c r="W525" i="3"/>
  <c r="X525" i="3"/>
  <c r="R526" i="3"/>
  <c r="V526" i="3"/>
  <c r="W526" i="3"/>
  <c r="X526" i="3"/>
  <c r="R527" i="3"/>
  <c r="V527" i="3"/>
  <c r="W527" i="3"/>
  <c r="X527" i="3"/>
  <c r="R710" i="3"/>
  <c r="V710" i="3"/>
  <c r="W710" i="3"/>
  <c r="X710" i="3"/>
  <c r="R711" i="3"/>
  <c r="V711" i="3"/>
  <c r="W711" i="3"/>
  <c r="X711" i="3"/>
  <c r="R288" i="3"/>
  <c r="V288" i="3"/>
  <c r="W288" i="3"/>
  <c r="X288" i="3"/>
  <c r="R289" i="3"/>
  <c r="V289" i="3"/>
  <c r="W289" i="3"/>
  <c r="X289" i="3"/>
  <c r="R295" i="3"/>
  <c r="V295" i="3"/>
  <c r="W295" i="3"/>
  <c r="X295" i="3"/>
  <c r="R296" i="3"/>
  <c r="V296" i="3"/>
  <c r="W296" i="3"/>
  <c r="X296" i="3"/>
  <c r="R297" i="3"/>
  <c r="V297" i="3"/>
  <c r="W297" i="3"/>
  <c r="X297" i="3"/>
  <c r="R298" i="3"/>
  <c r="V298" i="3"/>
  <c r="W298" i="3"/>
  <c r="X298" i="3"/>
  <c r="R304" i="3"/>
  <c r="V304" i="3"/>
  <c r="W304" i="3"/>
  <c r="X304" i="3"/>
  <c r="R305" i="3"/>
  <c r="V305" i="3"/>
  <c r="W305" i="3"/>
  <c r="X305" i="3"/>
  <c r="R180" i="3"/>
  <c r="V180" i="3"/>
  <c r="W180" i="3"/>
  <c r="X180" i="3"/>
  <c r="R216" i="3"/>
  <c r="V216" i="3"/>
  <c r="W216" i="3"/>
  <c r="X216" i="3"/>
  <c r="R290" i="3"/>
  <c r="V290" i="3"/>
  <c r="W290" i="3"/>
  <c r="X290" i="3"/>
  <c r="R339" i="3"/>
  <c r="V339" i="3"/>
  <c r="W339" i="3"/>
  <c r="X339" i="3"/>
  <c r="R477" i="3"/>
  <c r="V477" i="3"/>
  <c r="W477" i="3"/>
  <c r="X477" i="3"/>
  <c r="R515" i="3"/>
  <c r="V515" i="3"/>
  <c r="W515" i="3"/>
  <c r="X515" i="3"/>
  <c r="R578" i="3"/>
  <c r="V578" i="3"/>
  <c r="W578" i="3"/>
  <c r="X578" i="3"/>
  <c r="R615" i="3"/>
  <c r="V615" i="3"/>
  <c r="W615" i="3"/>
  <c r="X615" i="3"/>
  <c r="R661" i="3"/>
  <c r="V661" i="3"/>
  <c r="W661" i="3"/>
  <c r="X661" i="3"/>
  <c r="R753" i="3"/>
  <c r="V753" i="3"/>
  <c r="W753" i="3"/>
  <c r="X753" i="3"/>
  <c r="R830" i="3"/>
  <c r="V830" i="3"/>
  <c r="W830" i="3"/>
  <c r="X830" i="3"/>
  <c r="R950" i="3"/>
  <c r="V950" i="3"/>
  <c r="W950" i="3"/>
  <c r="X950" i="3"/>
  <c r="R1050" i="3"/>
  <c r="V1050" i="3"/>
  <c r="W1050" i="3"/>
  <c r="X1050" i="3"/>
  <c r="R1107" i="3"/>
  <c r="V1107" i="3"/>
  <c r="W1107" i="3"/>
  <c r="X1107" i="3"/>
  <c r="R1193" i="3"/>
  <c r="V1193" i="3"/>
  <c r="W1193" i="3"/>
  <c r="X1193" i="3"/>
  <c r="R1249" i="3"/>
  <c r="V1249" i="3"/>
  <c r="W1249" i="3"/>
  <c r="X1249" i="3"/>
  <c r="R9" i="3"/>
  <c r="V9" i="3"/>
  <c r="W9" i="3"/>
  <c r="X9" i="3"/>
  <c r="R10" i="3"/>
  <c r="V10" i="3"/>
  <c r="W10" i="3"/>
  <c r="X10" i="3"/>
  <c r="R11" i="3"/>
  <c r="V11" i="3"/>
  <c r="W11" i="3"/>
  <c r="X11" i="3"/>
  <c r="R73" i="3"/>
  <c r="V73" i="3"/>
  <c r="W73" i="3"/>
  <c r="X73" i="3"/>
  <c r="R219" i="3"/>
  <c r="V219" i="3"/>
  <c r="W219" i="3"/>
  <c r="X219" i="3"/>
  <c r="R489" i="3"/>
  <c r="V489" i="3"/>
  <c r="W489" i="3"/>
  <c r="X489" i="3"/>
  <c r="R406" i="3"/>
  <c r="V406" i="3"/>
  <c r="W406" i="3"/>
  <c r="X406" i="3"/>
  <c r="R196" i="3"/>
  <c r="V196" i="3"/>
  <c r="W196" i="3"/>
  <c r="X196" i="3"/>
  <c r="R204" i="3"/>
  <c r="V204" i="3"/>
  <c r="W204" i="3"/>
  <c r="X204" i="3"/>
  <c r="R206" i="3"/>
  <c r="V206" i="3"/>
  <c r="W206" i="3"/>
  <c r="X206" i="3"/>
  <c r="R210" i="3"/>
  <c r="V210" i="3"/>
  <c r="W210" i="3"/>
  <c r="X210" i="3"/>
  <c r="R214" i="3"/>
  <c r="V214" i="3"/>
  <c r="W214" i="3"/>
  <c r="X214" i="3"/>
  <c r="R225" i="3"/>
  <c r="V225" i="3"/>
  <c r="W225" i="3"/>
  <c r="X225" i="3"/>
  <c r="R233" i="3"/>
  <c r="V233" i="3"/>
  <c r="W233" i="3"/>
  <c r="X233" i="3"/>
  <c r="R269" i="3"/>
  <c r="V269" i="3"/>
  <c r="W269" i="3"/>
  <c r="X269" i="3"/>
  <c r="R285" i="3"/>
  <c r="V285" i="3"/>
  <c r="W285" i="3"/>
  <c r="X285" i="3"/>
  <c r="R330" i="3"/>
  <c r="V330" i="3"/>
  <c r="W330" i="3"/>
  <c r="X330" i="3"/>
  <c r="R360" i="3"/>
  <c r="V360" i="3"/>
  <c r="W360" i="3"/>
  <c r="X360" i="3"/>
  <c r="R384" i="3"/>
  <c r="V384" i="3"/>
  <c r="W384" i="3"/>
  <c r="X384" i="3"/>
  <c r="R423" i="3"/>
  <c r="V423" i="3"/>
  <c r="W423" i="3"/>
  <c r="X423" i="3"/>
  <c r="R460" i="3"/>
  <c r="V460" i="3"/>
  <c r="W460" i="3"/>
  <c r="X460" i="3"/>
  <c r="R478" i="3"/>
  <c r="V478" i="3"/>
  <c r="W478" i="3"/>
  <c r="X478" i="3"/>
  <c r="R490" i="3"/>
  <c r="V490" i="3"/>
  <c r="W490" i="3"/>
  <c r="X490" i="3"/>
  <c r="R501" i="3"/>
  <c r="V501" i="3"/>
  <c r="W501" i="3"/>
  <c r="X501" i="3"/>
  <c r="R516" i="3"/>
  <c r="V516" i="3"/>
  <c r="W516" i="3"/>
  <c r="X516" i="3"/>
  <c r="R528" i="3"/>
  <c r="V528" i="3"/>
  <c r="W528" i="3"/>
  <c r="X528" i="3"/>
  <c r="R537" i="3"/>
  <c r="V537" i="3"/>
  <c r="W537" i="3"/>
  <c r="X537" i="3"/>
  <c r="R549" i="3"/>
  <c r="V549" i="3"/>
  <c r="W549" i="3"/>
  <c r="X549" i="3"/>
  <c r="R558" i="3"/>
  <c r="V558" i="3"/>
  <c r="W558" i="3"/>
  <c r="X558" i="3"/>
  <c r="R575" i="3"/>
  <c r="V575" i="3"/>
  <c r="W575" i="3"/>
  <c r="X575" i="3"/>
  <c r="R712" i="3"/>
  <c r="V712" i="3"/>
  <c r="W712" i="3"/>
  <c r="X712" i="3"/>
  <c r="R723" i="3"/>
  <c r="V723" i="3"/>
  <c r="W723" i="3"/>
  <c r="X723" i="3"/>
  <c r="R743" i="3"/>
  <c r="V743" i="3"/>
  <c r="W743" i="3"/>
  <c r="X743" i="3"/>
  <c r="R815" i="3"/>
  <c r="V815" i="3"/>
  <c r="W815" i="3"/>
  <c r="X815" i="3"/>
  <c r="R841" i="3"/>
  <c r="V841" i="3"/>
  <c r="W841" i="3"/>
  <c r="X841" i="3"/>
  <c r="R1183" i="3"/>
  <c r="V1183" i="3"/>
  <c r="W1183" i="3"/>
  <c r="X1183" i="3"/>
  <c r="R1194" i="3"/>
  <c r="V1194" i="3"/>
  <c r="W1194" i="3"/>
  <c r="X1194" i="3"/>
  <c r="R1213" i="3"/>
  <c r="V1213" i="3"/>
  <c r="W1213" i="3"/>
  <c r="X1213" i="3"/>
  <c r="R1234" i="3"/>
  <c r="V1234" i="3"/>
  <c r="W1234" i="3"/>
  <c r="X1234" i="3"/>
  <c r="R1250" i="3"/>
  <c r="V1250" i="3"/>
  <c r="W1250" i="3"/>
  <c r="X1250" i="3"/>
  <c r="R185" i="3"/>
  <c r="V185" i="3"/>
  <c r="W185" i="3"/>
  <c r="X185" i="3"/>
  <c r="R605" i="3"/>
  <c r="V605" i="3"/>
  <c r="W605" i="3"/>
  <c r="X605" i="3"/>
  <c r="R662" i="3"/>
  <c r="V662" i="3"/>
  <c r="W662" i="3"/>
  <c r="X662" i="3"/>
  <c r="R677" i="3"/>
  <c r="V677" i="3"/>
  <c r="W677" i="3"/>
  <c r="X677" i="3"/>
  <c r="R814" i="3"/>
  <c r="V814" i="3"/>
  <c r="W814" i="3"/>
  <c r="X814" i="3"/>
  <c r="R831" i="3"/>
  <c r="V831" i="3"/>
  <c r="W831" i="3"/>
  <c r="X831" i="3"/>
  <c r="R840" i="3"/>
  <c r="V840" i="3"/>
  <c r="W840" i="3"/>
  <c r="X840" i="3"/>
  <c r="R1108" i="3"/>
  <c r="V1108" i="3"/>
  <c r="W1108" i="3"/>
  <c r="X1108" i="3"/>
  <c r="R1119" i="3"/>
  <c r="V1119" i="3"/>
  <c r="W1119" i="3"/>
  <c r="X1119" i="3"/>
  <c r="R1126" i="3"/>
  <c r="V1126" i="3"/>
  <c r="W1126" i="3"/>
  <c r="X1126" i="3"/>
  <c r="R1148" i="3"/>
  <c r="V1148" i="3"/>
  <c r="W1148" i="3"/>
  <c r="X1148" i="3"/>
  <c r="R1164" i="3"/>
  <c r="V1164" i="3"/>
  <c r="W1164" i="3"/>
  <c r="X1164" i="3"/>
  <c r="R1182" i="3"/>
  <c r="V1182" i="3"/>
  <c r="W1182" i="3"/>
  <c r="X1182" i="3"/>
  <c r="R1206" i="3"/>
  <c r="V1206" i="3"/>
  <c r="W1206" i="3"/>
  <c r="X1206" i="3"/>
  <c r="R1214" i="3"/>
  <c r="V1214" i="3"/>
  <c r="W1214" i="3"/>
  <c r="X1214" i="3"/>
  <c r="R1235" i="3"/>
  <c r="V1235" i="3"/>
  <c r="W1235" i="3"/>
  <c r="X1235" i="3"/>
  <c r="R1254" i="3"/>
  <c r="V1254" i="3"/>
  <c r="W1254" i="3"/>
  <c r="X1254" i="3"/>
  <c r="R205" i="3"/>
  <c r="V205" i="3"/>
  <c r="W205" i="3"/>
  <c r="X205" i="3"/>
  <c r="R208" i="3"/>
  <c r="V208" i="3"/>
  <c r="W208" i="3"/>
  <c r="X208" i="3"/>
  <c r="R211" i="3"/>
  <c r="V211" i="3"/>
  <c r="W211" i="3"/>
  <c r="X211" i="3"/>
  <c r="R267" i="3"/>
  <c r="V267" i="3"/>
  <c r="W267" i="3"/>
  <c r="X267" i="3"/>
  <c r="R283" i="3"/>
  <c r="V283" i="3"/>
  <c r="W283" i="3"/>
  <c r="X283" i="3"/>
  <c r="R291" i="3"/>
  <c r="V291" i="3"/>
  <c r="W291" i="3"/>
  <c r="X291" i="3"/>
  <c r="R306" i="3"/>
  <c r="V306" i="3"/>
  <c r="W306" i="3"/>
  <c r="X306" i="3"/>
  <c r="R315" i="3"/>
  <c r="V315" i="3"/>
  <c r="W315" i="3"/>
  <c r="X315" i="3"/>
  <c r="R327" i="3"/>
  <c r="V327" i="3"/>
  <c r="W327" i="3"/>
  <c r="X327" i="3"/>
  <c r="R340" i="3"/>
  <c r="V340" i="3"/>
  <c r="W340" i="3"/>
  <c r="X340" i="3"/>
  <c r="R355" i="3"/>
  <c r="V355" i="3"/>
  <c r="W355" i="3"/>
  <c r="X355" i="3"/>
  <c r="R364" i="3"/>
  <c r="V364" i="3"/>
  <c r="W364" i="3"/>
  <c r="X364" i="3"/>
  <c r="R368" i="3"/>
  <c r="V368" i="3"/>
  <c r="W368" i="3"/>
  <c r="X368" i="3"/>
  <c r="R371" i="3"/>
  <c r="V371" i="3"/>
  <c r="W371" i="3"/>
  <c r="X371" i="3"/>
  <c r="R385" i="3"/>
  <c r="V385" i="3"/>
  <c r="W385" i="3"/>
  <c r="X385" i="3"/>
  <c r="R407" i="3"/>
  <c r="V407" i="3"/>
  <c r="W407" i="3"/>
  <c r="X407" i="3"/>
  <c r="R424" i="3"/>
  <c r="V424" i="3"/>
  <c r="W424" i="3"/>
  <c r="X424" i="3"/>
  <c r="R503" i="3"/>
  <c r="V503" i="3"/>
  <c r="W503" i="3"/>
  <c r="X503" i="3"/>
  <c r="R586" i="3"/>
  <c r="V586" i="3"/>
  <c r="W586" i="3"/>
  <c r="X586" i="3"/>
  <c r="R618" i="3"/>
  <c r="V618" i="3"/>
  <c r="W618" i="3"/>
  <c r="X618" i="3"/>
  <c r="R624" i="3"/>
  <c r="V624" i="3"/>
  <c r="W624" i="3"/>
  <c r="X624" i="3"/>
  <c r="R629" i="3"/>
  <c r="V629" i="3"/>
  <c r="W629" i="3"/>
  <c r="X629" i="3"/>
  <c r="R656" i="3"/>
  <c r="V656" i="3"/>
  <c r="W656" i="3"/>
  <c r="X656" i="3"/>
  <c r="R676" i="3"/>
  <c r="V676" i="3"/>
  <c r="W676" i="3"/>
  <c r="X676" i="3"/>
  <c r="R1029" i="3"/>
  <c r="V1029" i="3"/>
  <c r="W1029" i="3"/>
  <c r="X1029" i="3"/>
  <c r="R1088" i="3"/>
  <c r="V1088" i="3"/>
  <c r="W1088" i="3"/>
  <c r="X1088" i="3"/>
  <c r="R1101" i="3"/>
  <c r="V1101" i="3"/>
  <c r="W1101" i="3"/>
  <c r="X1101" i="3"/>
  <c r="R1165" i="3"/>
  <c r="V1165" i="3"/>
  <c r="W1165" i="3"/>
  <c r="X1165" i="3"/>
  <c r="R1184" i="3"/>
  <c r="V1184" i="3"/>
  <c r="W1184" i="3"/>
  <c r="X1184" i="3"/>
  <c r="R203" i="3"/>
  <c r="V203" i="3"/>
  <c r="W203" i="3"/>
  <c r="X203" i="3"/>
  <c r="R341" i="3"/>
  <c r="V341" i="3"/>
  <c r="W341" i="3"/>
  <c r="X341" i="3"/>
  <c r="R504" i="3"/>
  <c r="V504" i="3"/>
  <c r="W504" i="3"/>
  <c r="X504" i="3"/>
  <c r="R576" i="3"/>
  <c r="V576" i="3"/>
  <c r="W576" i="3"/>
  <c r="X576" i="3"/>
  <c r="R630" i="3"/>
  <c r="V630" i="3"/>
  <c r="W630" i="3"/>
  <c r="X630" i="3"/>
  <c r="R773" i="3"/>
  <c r="V773" i="3"/>
  <c r="W773" i="3"/>
  <c r="X773" i="3"/>
  <c r="R1005" i="3"/>
  <c r="V1005" i="3"/>
  <c r="W1005" i="3"/>
  <c r="X1005" i="3"/>
  <c r="R1228" i="3"/>
  <c r="V1228" i="3"/>
  <c r="W1228" i="3"/>
  <c r="X1228" i="3"/>
  <c r="R1557" i="3"/>
  <c r="V1557" i="3"/>
  <c r="W1557" i="3"/>
  <c r="X1557" i="3"/>
  <c r="R36" i="3"/>
  <c r="V36" i="3"/>
  <c r="W36" i="3"/>
  <c r="X36" i="3"/>
  <c r="R181" i="3"/>
  <c r="V181" i="3"/>
  <c r="W181" i="3"/>
  <c r="X181" i="3"/>
  <c r="R187" i="3"/>
  <c r="V187" i="3"/>
  <c r="W187" i="3"/>
  <c r="X187" i="3"/>
  <c r="R217" i="3"/>
  <c r="V217" i="3"/>
  <c r="W217" i="3"/>
  <c r="X217" i="3"/>
  <c r="R299" i="3"/>
  <c r="V299" i="3"/>
  <c r="W299" i="3"/>
  <c r="X299" i="3"/>
  <c r="R316" i="3"/>
  <c r="V316" i="3"/>
  <c r="W316" i="3"/>
  <c r="X316" i="3"/>
  <c r="R505" i="3"/>
  <c r="V505" i="3"/>
  <c r="W505" i="3"/>
  <c r="X505" i="3"/>
  <c r="R538" i="3"/>
  <c r="V538" i="3"/>
  <c r="W538" i="3"/>
  <c r="X538" i="3"/>
  <c r="R559" i="3"/>
  <c r="V559" i="3"/>
  <c r="W559" i="3"/>
  <c r="X559" i="3"/>
  <c r="R579" i="3"/>
  <c r="V579" i="3"/>
  <c r="W579" i="3"/>
  <c r="X579" i="3"/>
  <c r="R592" i="3"/>
  <c r="V592" i="3"/>
  <c r="W592" i="3"/>
  <c r="X592" i="3"/>
  <c r="R616" i="3"/>
  <c r="V616" i="3"/>
  <c r="W616" i="3"/>
  <c r="X616" i="3"/>
  <c r="R619" i="3"/>
  <c r="V619" i="3"/>
  <c r="W619" i="3"/>
  <c r="X619" i="3"/>
  <c r="R644" i="3"/>
  <c r="V644" i="3"/>
  <c r="W644" i="3"/>
  <c r="X644" i="3"/>
  <c r="R744" i="3"/>
  <c r="V744" i="3"/>
  <c r="W744" i="3"/>
  <c r="X744" i="3"/>
  <c r="R774" i="3"/>
  <c r="V774" i="3"/>
  <c r="W774" i="3"/>
  <c r="X774" i="3"/>
  <c r="R1006" i="3"/>
  <c r="V1006" i="3"/>
  <c r="W1006" i="3"/>
  <c r="X1006" i="3"/>
  <c r="R1239" i="3"/>
  <c r="V1239" i="3"/>
  <c r="W1239" i="3"/>
  <c r="X1239" i="3"/>
  <c r="R182" i="3"/>
  <c r="V182" i="3"/>
  <c r="W182" i="3"/>
  <c r="X182" i="3"/>
  <c r="R244" i="3"/>
  <c r="V244" i="3"/>
  <c r="W244" i="3"/>
  <c r="X244" i="3"/>
  <c r="R307" i="3"/>
  <c r="V307" i="3"/>
  <c r="W307" i="3"/>
  <c r="X307" i="3"/>
  <c r="R372" i="3"/>
  <c r="V372" i="3"/>
  <c r="W372" i="3"/>
  <c r="X372" i="3"/>
  <c r="R517" i="3"/>
  <c r="V517" i="3"/>
  <c r="W517" i="3"/>
  <c r="X517" i="3"/>
  <c r="R568" i="3"/>
  <c r="V568" i="3"/>
  <c r="W568" i="3"/>
  <c r="X568" i="3"/>
  <c r="R631" i="3"/>
  <c r="V631" i="3"/>
  <c r="W631" i="3"/>
  <c r="X631" i="3"/>
  <c r="R678" i="3"/>
  <c r="V678" i="3"/>
  <c r="W678" i="3"/>
  <c r="X678" i="3"/>
  <c r="V816" i="3"/>
  <c r="W816" i="3"/>
  <c r="X816" i="3"/>
  <c r="V1047" i="3"/>
  <c r="W1047" i="3"/>
  <c r="X1047" i="3"/>
  <c r="V1069" i="3"/>
  <c r="W1069" i="3"/>
  <c r="X1069" i="3"/>
  <c r="V1089" i="3"/>
  <c r="W1089" i="3"/>
  <c r="X1089" i="3"/>
  <c r="V1229" i="3"/>
  <c r="W1229" i="3"/>
  <c r="X1229" i="3"/>
  <c r="R461" i="3"/>
  <c r="V461" i="3"/>
  <c r="W461" i="3"/>
  <c r="X461" i="3"/>
  <c r="R694" i="3"/>
  <c r="V694" i="3"/>
  <c r="W694" i="3"/>
  <c r="X694" i="3"/>
  <c r="R951" i="3"/>
  <c r="V951" i="3"/>
  <c r="W951" i="3"/>
  <c r="X951" i="3"/>
  <c r="R990" i="3"/>
  <c r="V990" i="3"/>
  <c r="W990" i="3"/>
  <c r="X990" i="3"/>
  <c r="R1127" i="3"/>
  <c r="V1127" i="3"/>
  <c r="W1127" i="3"/>
  <c r="X1127" i="3"/>
  <c r="R442" i="3"/>
  <c r="V442" i="3"/>
  <c r="W442" i="3"/>
  <c r="X442" i="3"/>
  <c r="R329" i="3"/>
  <c r="V329" i="3"/>
  <c r="W329" i="3"/>
  <c r="X329" i="3"/>
  <c r="R343" i="3"/>
  <c r="V343" i="3"/>
  <c r="W343" i="3"/>
  <c r="X343" i="3"/>
  <c r="R443" i="3"/>
  <c r="V443" i="3"/>
  <c r="W443" i="3"/>
  <c r="X443" i="3"/>
  <c r="R456" i="3"/>
  <c r="V456" i="3"/>
  <c r="W456" i="3"/>
  <c r="X456" i="3"/>
  <c r="R476" i="3"/>
  <c r="V476" i="3"/>
  <c r="W476" i="3"/>
  <c r="X476" i="3"/>
  <c r="R485" i="3"/>
  <c r="V485" i="3"/>
  <c r="W485" i="3"/>
  <c r="X485" i="3"/>
  <c r="R499" i="3"/>
  <c r="V499" i="3"/>
  <c r="W499" i="3"/>
  <c r="X499" i="3"/>
  <c r="R502" i="3"/>
  <c r="V502" i="3"/>
  <c r="W502" i="3"/>
  <c r="X502" i="3"/>
  <c r="R506" i="3"/>
  <c r="V506" i="3"/>
  <c r="W506" i="3"/>
  <c r="X506" i="3"/>
  <c r="R523" i="3"/>
  <c r="V523" i="3"/>
  <c r="W523" i="3"/>
  <c r="X523" i="3"/>
  <c r="R536" i="3"/>
  <c r="V536" i="3"/>
  <c r="W536" i="3"/>
  <c r="X536" i="3"/>
  <c r="R548" i="3"/>
  <c r="V548" i="3"/>
  <c r="W548" i="3"/>
  <c r="X548" i="3"/>
  <c r="R557" i="3"/>
  <c r="V557" i="3"/>
  <c r="W557" i="3"/>
  <c r="X557" i="3"/>
  <c r="R567" i="3"/>
  <c r="V567" i="3"/>
  <c r="W567" i="3"/>
  <c r="X567" i="3"/>
  <c r="R574" i="3"/>
  <c r="V574" i="3"/>
  <c r="W574" i="3"/>
  <c r="X574" i="3"/>
  <c r="R577" i="3"/>
  <c r="V577" i="3"/>
  <c r="W577" i="3"/>
  <c r="X577" i="3"/>
  <c r="R671" i="3"/>
  <c r="V671" i="3"/>
  <c r="W671" i="3"/>
  <c r="X671" i="3"/>
  <c r="R680" i="3"/>
  <c r="V680" i="3"/>
  <c r="W680" i="3"/>
  <c r="X680" i="3"/>
  <c r="R689" i="3"/>
  <c r="V689" i="3"/>
  <c r="W689" i="3"/>
  <c r="X689" i="3"/>
  <c r="R698" i="3"/>
  <c r="V698" i="3"/>
  <c r="W698" i="3"/>
  <c r="X698" i="3"/>
  <c r="R734" i="3"/>
  <c r="V734" i="3"/>
  <c r="W734" i="3"/>
  <c r="X734" i="3"/>
  <c r="R896" i="3"/>
  <c r="V896" i="3"/>
  <c r="W896" i="3"/>
  <c r="X896" i="3"/>
  <c r="R952" i="3"/>
  <c r="V952" i="3"/>
  <c r="W952" i="3"/>
  <c r="X952" i="3"/>
  <c r="R998" i="3"/>
  <c r="V998" i="3"/>
  <c r="W998" i="3"/>
  <c r="X998" i="3"/>
  <c r="R1009" i="3"/>
  <c r="V1009" i="3"/>
  <c r="W1009" i="3"/>
  <c r="X1009" i="3"/>
  <c r="R1038" i="3"/>
  <c r="V1038" i="3"/>
  <c r="W1038" i="3"/>
  <c r="X1038" i="3"/>
  <c r="R1051" i="3"/>
  <c r="V1051" i="3"/>
  <c r="W1051" i="3"/>
  <c r="X1051" i="3"/>
  <c r="R1061" i="3"/>
  <c r="V1061" i="3"/>
  <c r="W1061" i="3"/>
  <c r="X1061" i="3"/>
  <c r="R1084" i="3"/>
  <c r="V1084" i="3"/>
  <c r="W1084" i="3"/>
  <c r="X1084" i="3"/>
  <c r="R1102" i="3"/>
  <c r="V1102" i="3"/>
  <c r="W1102" i="3"/>
  <c r="X1102" i="3"/>
  <c r="R1109" i="3"/>
  <c r="V1109" i="3"/>
  <c r="W1109" i="3"/>
  <c r="X1109" i="3"/>
  <c r="R1120" i="3"/>
  <c r="V1120" i="3"/>
  <c r="W1120" i="3"/>
  <c r="X1120" i="3"/>
  <c r="R1132" i="3"/>
  <c r="V1132" i="3"/>
  <c r="W1132" i="3"/>
  <c r="X1132" i="3"/>
  <c r="R1133" i="3"/>
  <c r="V1133" i="3"/>
  <c r="W1133" i="3"/>
  <c r="X1133" i="3"/>
  <c r="R1168" i="3"/>
  <c r="V1168" i="3"/>
  <c r="W1168" i="3"/>
  <c r="X1168" i="3"/>
  <c r="R1195" i="3"/>
  <c r="V1195" i="3"/>
  <c r="W1195" i="3"/>
  <c r="X1195" i="3"/>
  <c r="R1207" i="3"/>
  <c r="V1207" i="3"/>
  <c r="W1207" i="3"/>
  <c r="X1207" i="3"/>
  <c r="R1240" i="3"/>
  <c r="V1240" i="3"/>
  <c r="W1240" i="3"/>
  <c r="X1240" i="3"/>
  <c r="R1255" i="3"/>
  <c r="V1255" i="3"/>
  <c r="W1255" i="3"/>
  <c r="X1255" i="3"/>
  <c r="R309" i="3"/>
  <c r="V309" i="3"/>
  <c r="W309" i="3"/>
  <c r="X309" i="3"/>
  <c r="R444" i="3"/>
  <c r="V444" i="3"/>
  <c r="W444" i="3"/>
  <c r="X444" i="3"/>
  <c r="R600" i="3"/>
  <c r="V600" i="3"/>
  <c r="W600" i="3"/>
  <c r="X600" i="3"/>
  <c r="R606" i="3"/>
  <c r="V606" i="3"/>
  <c r="W606" i="3"/>
  <c r="X606" i="3"/>
  <c r="R617" i="3"/>
  <c r="V617" i="3"/>
  <c r="W617" i="3"/>
  <c r="X617" i="3"/>
  <c r="R645" i="3"/>
  <c r="V645" i="3"/>
  <c r="W645" i="3"/>
  <c r="X645" i="3"/>
  <c r="R663" i="3"/>
  <c r="V663" i="3"/>
  <c r="W663" i="3"/>
  <c r="X663" i="3"/>
  <c r="R777" i="3"/>
  <c r="V777" i="3"/>
  <c r="W777" i="3"/>
  <c r="X777" i="3"/>
  <c r="R817" i="3"/>
  <c r="V817" i="3"/>
  <c r="W817" i="3"/>
  <c r="X817" i="3"/>
  <c r="R832" i="3"/>
  <c r="V832" i="3"/>
  <c r="W832" i="3"/>
  <c r="X832" i="3"/>
  <c r="R842" i="3"/>
  <c r="V842" i="3"/>
  <c r="W842" i="3"/>
  <c r="X842" i="3"/>
  <c r="R869" i="3"/>
  <c r="V869" i="3"/>
  <c r="W869" i="3"/>
  <c r="X869" i="3"/>
  <c r="R778" i="3"/>
  <c r="V778" i="3"/>
  <c r="W778" i="3"/>
  <c r="X778" i="3"/>
  <c r="R999" i="3"/>
  <c r="V999" i="3"/>
  <c r="W999" i="3"/>
  <c r="X999" i="3"/>
  <c r="R529" i="3"/>
  <c r="V529" i="3"/>
  <c r="W529" i="3"/>
  <c r="X529" i="3"/>
  <c r="R695" i="3"/>
  <c r="V695" i="3"/>
  <c r="W695" i="3"/>
  <c r="X695" i="3"/>
  <c r="R245" i="3"/>
  <c r="V245" i="3"/>
  <c r="W245" i="3"/>
  <c r="X245" i="3"/>
  <c r="R1185" i="3"/>
  <c r="V1185" i="3"/>
  <c r="W1185" i="3"/>
  <c r="X1185" i="3"/>
  <c r="R1169" i="3"/>
  <c r="V1169" i="3"/>
  <c r="W1169" i="3"/>
  <c r="X1169" i="3"/>
  <c r="R696" i="3"/>
  <c r="V696" i="3"/>
  <c r="W696" i="3"/>
  <c r="X696" i="3"/>
  <c r="R724" i="3"/>
  <c r="V724" i="3"/>
  <c r="W724" i="3"/>
  <c r="X724" i="3"/>
  <c r="R745" i="3"/>
  <c r="V745" i="3"/>
  <c r="W745" i="3"/>
  <c r="X745" i="3"/>
  <c r="R779" i="3"/>
  <c r="V779" i="3"/>
  <c r="W779" i="3"/>
  <c r="X779" i="3"/>
  <c r="R818" i="3"/>
  <c r="V818" i="3"/>
  <c r="W818" i="3"/>
  <c r="X818" i="3"/>
  <c r="R843" i="3"/>
  <c r="V843" i="3"/>
  <c r="W843" i="3"/>
  <c r="X843" i="3"/>
  <c r="R864" i="3"/>
  <c r="V864" i="3"/>
  <c r="W864" i="3"/>
  <c r="X864" i="3"/>
  <c r="R915" i="3"/>
  <c r="V915" i="3"/>
  <c r="W915" i="3"/>
  <c r="X915" i="3"/>
  <c r="R977" i="3"/>
  <c r="V977" i="3"/>
  <c r="W977" i="3"/>
  <c r="X977" i="3"/>
  <c r="R1031" i="3"/>
  <c r="V1031" i="3"/>
  <c r="W1031" i="3"/>
  <c r="X1031" i="3"/>
  <c r="R1048" i="3"/>
  <c r="V1048" i="3"/>
  <c r="W1048" i="3"/>
  <c r="X1048" i="3"/>
  <c r="R1070" i="3"/>
  <c r="V1070" i="3"/>
  <c r="W1070" i="3"/>
  <c r="X1070" i="3"/>
  <c r="R1090" i="3"/>
  <c r="V1090" i="3"/>
  <c r="W1090" i="3"/>
  <c r="X1090" i="3"/>
  <c r="R1110" i="3"/>
  <c r="V1110" i="3"/>
  <c r="W1110" i="3"/>
  <c r="X1110" i="3"/>
  <c r="C23" i="19" l="1"/>
  <c r="C6" i="18"/>
  <c r="C9" i="19"/>
  <c r="C15" i="19"/>
  <c r="C6" i="19"/>
  <c r="C7" i="18"/>
  <c r="C7" i="19"/>
  <c r="C8" i="19"/>
  <c r="C10" i="19"/>
  <c r="P209" i="3" a="1"/>
  <c r="P209" i="3" s="1"/>
  <c r="C53" i="1"/>
  <c r="C54" i="1"/>
  <c r="Y1090" i="3"/>
  <c r="Y1031" i="3"/>
  <c r="Y864" i="3"/>
  <c r="Y779" i="3"/>
  <c r="Y999" i="3"/>
  <c r="Y842" i="3"/>
  <c r="Y1084" i="3"/>
  <c r="Y1038" i="3"/>
  <c r="Y952" i="3"/>
  <c r="Y698" i="3"/>
  <c r="Y671" i="3"/>
  <c r="Y567" i="3"/>
  <c r="Y536" i="3"/>
  <c r="Y502" i="3"/>
  <c r="Y476" i="3"/>
  <c r="Y343" i="3"/>
  <c r="Y1127" i="3"/>
  <c r="Y694" i="3"/>
  <c r="E89" i="1"/>
  <c r="E55" i="1"/>
  <c r="E54" i="1"/>
  <c r="E53" i="1"/>
  <c r="E52" i="1"/>
  <c r="E91" i="1"/>
  <c r="E90" i="1"/>
  <c r="E88" i="1"/>
  <c r="E87" i="1"/>
  <c r="E86" i="1"/>
  <c r="E85" i="1"/>
  <c r="C52" i="1"/>
  <c r="E242" i="1"/>
  <c r="E241" i="1"/>
  <c r="E229" i="1"/>
  <c r="E217" i="1"/>
  <c r="E205" i="1"/>
  <c r="E193" i="1"/>
  <c r="C181" i="1"/>
  <c r="E181" i="1"/>
  <c r="E157" i="1"/>
  <c r="C157" i="1"/>
  <c r="C121" i="1"/>
  <c r="E121" i="1"/>
  <c r="C97" i="1"/>
  <c r="E97" i="1"/>
  <c r="E288" i="1"/>
  <c r="E276" i="1"/>
  <c r="E264" i="1"/>
  <c r="E252" i="1"/>
  <c r="E362" i="1"/>
  <c r="E350" i="1"/>
  <c r="E338" i="1"/>
  <c r="E326" i="1"/>
  <c r="E314" i="1"/>
  <c r="E302" i="1"/>
  <c r="C78" i="1"/>
  <c r="E78" i="1"/>
  <c r="E240" i="1"/>
  <c r="E228" i="1"/>
  <c r="E216" i="1"/>
  <c r="E204" i="1"/>
  <c r="E192" i="1"/>
  <c r="C180" i="1"/>
  <c r="E180" i="1"/>
  <c r="C168" i="1"/>
  <c r="E168" i="1"/>
  <c r="C156" i="1"/>
  <c r="E156" i="1"/>
  <c r="C144" i="1"/>
  <c r="E144" i="1"/>
  <c r="E132" i="1"/>
  <c r="C132" i="1"/>
  <c r="C120" i="1"/>
  <c r="E120" i="1"/>
  <c r="E108" i="1"/>
  <c r="C108" i="1"/>
  <c r="C96" i="1"/>
  <c r="E96" i="1"/>
  <c r="E77" i="1"/>
  <c r="C77" i="1"/>
  <c r="E65" i="1"/>
  <c r="C65" i="1"/>
  <c r="E287" i="1"/>
  <c r="E275" i="1"/>
  <c r="E263" i="1"/>
  <c r="E251" i="1"/>
  <c r="E361" i="1"/>
  <c r="E349" i="1"/>
  <c r="E337" i="1"/>
  <c r="E325" i="1"/>
  <c r="E313" i="1"/>
  <c r="E301" i="1"/>
  <c r="E68" i="1"/>
  <c r="C68" i="1"/>
  <c r="E66" i="1"/>
  <c r="C66" i="1"/>
  <c r="E239" i="1"/>
  <c r="E227" i="1"/>
  <c r="E215" i="1"/>
  <c r="E203" i="1"/>
  <c r="E191" i="1"/>
  <c r="E179" i="1"/>
  <c r="C179" i="1"/>
  <c r="C167" i="1"/>
  <c r="E167" i="1"/>
  <c r="C155" i="1"/>
  <c r="E155" i="1"/>
  <c r="C143" i="1"/>
  <c r="E143" i="1"/>
  <c r="C131" i="1"/>
  <c r="E131" i="1"/>
  <c r="C119" i="1"/>
  <c r="E119" i="1"/>
  <c r="C107" i="1"/>
  <c r="E107" i="1"/>
  <c r="C95" i="1"/>
  <c r="E95" i="1"/>
  <c r="C76" i="1"/>
  <c r="E76" i="1"/>
  <c r="E64" i="1"/>
  <c r="C64" i="1"/>
  <c r="E286" i="1"/>
  <c r="E274" i="1"/>
  <c r="E262" i="1"/>
  <c r="E250" i="1"/>
  <c r="E360" i="1"/>
  <c r="E348" i="1"/>
  <c r="E336" i="1"/>
  <c r="E324" i="1"/>
  <c r="E312" i="1"/>
  <c r="E300" i="1"/>
  <c r="E133" i="1"/>
  <c r="C133" i="1"/>
  <c r="E238" i="1"/>
  <c r="E226" i="1"/>
  <c r="E214" i="1"/>
  <c r="E202" i="1"/>
  <c r="C190" i="1"/>
  <c r="E190" i="1"/>
  <c r="C178" i="1"/>
  <c r="E178" i="1"/>
  <c r="C166" i="1"/>
  <c r="E166" i="1"/>
  <c r="C154" i="1"/>
  <c r="E154" i="1"/>
  <c r="C142" i="1"/>
  <c r="E142" i="1"/>
  <c r="C130" i="1"/>
  <c r="E130" i="1"/>
  <c r="C118" i="1"/>
  <c r="E118" i="1"/>
  <c r="C106" i="1"/>
  <c r="E106" i="1"/>
  <c r="C94" i="1"/>
  <c r="E94" i="1"/>
  <c r="E75" i="1"/>
  <c r="C75" i="1"/>
  <c r="E63" i="1"/>
  <c r="C63" i="1"/>
  <c r="E297" i="1"/>
  <c r="E285" i="1"/>
  <c r="E273" i="1"/>
  <c r="E261" i="1"/>
  <c r="E249" i="1"/>
  <c r="E359" i="1"/>
  <c r="E347" i="1"/>
  <c r="E335" i="1"/>
  <c r="E323" i="1"/>
  <c r="E311" i="1"/>
  <c r="E299" i="1"/>
  <c r="C145" i="1"/>
  <c r="E145" i="1"/>
  <c r="E237" i="1"/>
  <c r="E225" i="1"/>
  <c r="E213" i="1"/>
  <c r="E201" i="1"/>
  <c r="C189" i="1"/>
  <c r="E189" i="1"/>
  <c r="C177" i="1"/>
  <c r="E177" i="1"/>
  <c r="E165" i="1"/>
  <c r="C165" i="1"/>
  <c r="E153" i="1"/>
  <c r="C153" i="1"/>
  <c r="E141" i="1"/>
  <c r="C141" i="1"/>
  <c r="C129" i="1"/>
  <c r="E129" i="1"/>
  <c r="E117" i="1"/>
  <c r="C117" i="1"/>
  <c r="E105" i="1"/>
  <c r="C105" i="1"/>
  <c r="C93" i="1"/>
  <c r="E93" i="1"/>
  <c r="E74" i="1"/>
  <c r="C74" i="1"/>
  <c r="E62" i="1"/>
  <c r="C62" i="1"/>
  <c r="E296" i="1"/>
  <c r="E284" i="1"/>
  <c r="E272" i="1"/>
  <c r="E260" i="1"/>
  <c r="E370" i="1"/>
  <c r="E358" i="1"/>
  <c r="E346" i="1"/>
  <c r="E334" i="1"/>
  <c r="E322" i="1"/>
  <c r="E310" i="1"/>
  <c r="E298" i="1"/>
  <c r="E109" i="1"/>
  <c r="C109" i="1"/>
  <c r="E247" i="1"/>
  <c r="E235" i="1"/>
  <c r="E223" i="1"/>
  <c r="E211" i="1"/>
  <c r="E199" i="1"/>
  <c r="E187" i="1"/>
  <c r="C187" i="1"/>
  <c r="C175" i="1"/>
  <c r="E175" i="1"/>
  <c r="C163" i="1"/>
  <c r="E163" i="1"/>
  <c r="C151" i="1"/>
  <c r="E151" i="1"/>
  <c r="C139" i="1"/>
  <c r="E139" i="1"/>
  <c r="E127" i="1"/>
  <c r="C127" i="1"/>
  <c r="E115" i="1"/>
  <c r="C115" i="1"/>
  <c r="C103" i="1"/>
  <c r="E103" i="1"/>
  <c r="C84" i="1"/>
  <c r="E84" i="1"/>
  <c r="E72" i="1"/>
  <c r="C72" i="1"/>
  <c r="E60" i="1"/>
  <c r="C60" i="1"/>
  <c r="E294" i="1"/>
  <c r="E282" i="1"/>
  <c r="E270" i="1"/>
  <c r="E258" i="1"/>
  <c r="E368" i="1"/>
  <c r="E356" i="1"/>
  <c r="E344" i="1"/>
  <c r="E332" i="1"/>
  <c r="E320" i="1"/>
  <c r="E308" i="1"/>
  <c r="C169" i="1"/>
  <c r="E169" i="1"/>
  <c r="E246" i="1"/>
  <c r="E234" i="1"/>
  <c r="E222" i="1"/>
  <c r="E210" i="1"/>
  <c r="E198" i="1"/>
  <c r="E186" i="1"/>
  <c r="C186" i="1"/>
  <c r="E174" i="1"/>
  <c r="C174" i="1"/>
  <c r="E162" i="1"/>
  <c r="C162" i="1"/>
  <c r="E150" i="1"/>
  <c r="C150" i="1"/>
  <c r="E138" i="1"/>
  <c r="C138" i="1"/>
  <c r="E126" i="1"/>
  <c r="C126" i="1"/>
  <c r="E114" i="1"/>
  <c r="C114" i="1"/>
  <c r="E102" i="1"/>
  <c r="C102" i="1"/>
  <c r="E83" i="1"/>
  <c r="C83" i="1"/>
  <c r="E71" i="1"/>
  <c r="C71" i="1"/>
  <c r="E59" i="1"/>
  <c r="C59" i="1"/>
  <c r="E293" i="1"/>
  <c r="E281" i="1"/>
  <c r="E269" i="1"/>
  <c r="E257" i="1"/>
  <c r="E367" i="1"/>
  <c r="E355" i="1"/>
  <c r="E343" i="1"/>
  <c r="E331" i="1"/>
  <c r="E319" i="1"/>
  <c r="E307" i="1"/>
  <c r="E243" i="1"/>
  <c r="E231" i="1"/>
  <c r="E219" i="1"/>
  <c r="E207" i="1"/>
  <c r="E195" i="1"/>
  <c r="E183" i="1"/>
  <c r="C183" i="1"/>
  <c r="C171" i="1"/>
  <c r="E171" i="1"/>
  <c r="C159" i="1"/>
  <c r="E159" i="1"/>
  <c r="E147" i="1"/>
  <c r="C147" i="1"/>
  <c r="E135" i="1"/>
  <c r="C135" i="1"/>
  <c r="C123" i="1"/>
  <c r="E123" i="1"/>
  <c r="C99" i="1"/>
  <c r="E99" i="1"/>
  <c r="E80" i="1"/>
  <c r="C80" i="1"/>
  <c r="E56" i="1"/>
  <c r="C56" i="1"/>
  <c r="E290" i="1"/>
  <c r="E278" i="1"/>
  <c r="E266" i="1"/>
  <c r="E254" i="1"/>
  <c r="E364" i="1"/>
  <c r="E352" i="1"/>
  <c r="E340" i="1"/>
  <c r="E328" i="1"/>
  <c r="E316" i="1"/>
  <c r="E304" i="1"/>
  <c r="E230" i="1"/>
  <c r="E218" i="1"/>
  <c r="E206" i="1"/>
  <c r="E194" i="1"/>
  <c r="C182" i="1"/>
  <c r="E182" i="1"/>
  <c r="E170" i="1"/>
  <c r="C170" i="1"/>
  <c r="C158" i="1"/>
  <c r="D158" i="1"/>
  <c r="E158" i="1"/>
  <c r="C146" i="1"/>
  <c r="E146" i="1"/>
  <c r="C134" i="1"/>
  <c r="E134" i="1"/>
  <c r="C122" i="1"/>
  <c r="E122" i="1"/>
  <c r="C110" i="1"/>
  <c r="D110" i="1"/>
  <c r="E110" i="1"/>
  <c r="E98" i="1"/>
  <c r="C98" i="1"/>
  <c r="C79" i="1"/>
  <c r="E79" i="1"/>
  <c r="E67" i="1"/>
  <c r="C67" i="1"/>
  <c r="E339" i="1"/>
  <c r="E248" i="1"/>
  <c r="E236" i="1"/>
  <c r="E224" i="1"/>
  <c r="E212" i="1"/>
  <c r="E188" i="1"/>
  <c r="C188" i="1"/>
  <c r="C176" i="1"/>
  <c r="E176" i="1"/>
  <c r="C164" i="1"/>
  <c r="E164" i="1"/>
  <c r="C152" i="1"/>
  <c r="E152" i="1"/>
  <c r="E128" i="1"/>
  <c r="C128" i="1"/>
  <c r="E104" i="1"/>
  <c r="C104" i="1"/>
  <c r="C73" i="1"/>
  <c r="E73" i="1"/>
  <c r="E295" i="1"/>
  <c r="E259" i="1"/>
  <c r="E357" i="1"/>
  <c r="E333" i="1"/>
  <c r="E309" i="1"/>
  <c r="E245" i="1"/>
  <c r="E233" i="1"/>
  <c r="E221" i="1"/>
  <c r="E209" i="1"/>
  <c r="E197" i="1"/>
  <c r="C185" i="1"/>
  <c r="E185" i="1"/>
  <c r="C173" i="1"/>
  <c r="E173" i="1"/>
  <c r="E161" i="1"/>
  <c r="C161" i="1"/>
  <c r="C149" i="1"/>
  <c r="E149" i="1"/>
  <c r="D149" i="1"/>
  <c r="C137" i="1"/>
  <c r="E137" i="1"/>
  <c r="C125" i="1"/>
  <c r="E125" i="1"/>
  <c r="D125" i="1"/>
  <c r="E113" i="1"/>
  <c r="C113" i="1"/>
  <c r="E101" i="1"/>
  <c r="C101" i="1"/>
  <c r="E82" i="1"/>
  <c r="C82" i="1"/>
  <c r="D82" i="1"/>
  <c r="E70" i="1"/>
  <c r="C58" i="1"/>
  <c r="E58" i="1"/>
  <c r="D58" i="1"/>
  <c r="E292" i="1"/>
  <c r="E280" i="1"/>
  <c r="E268" i="1"/>
  <c r="E256" i="1"/>
  <c r="E366" i="1"/>
  <c r="E354" i="1"/>
  <c r="E342" i="1"/>
  <c r="E330" i="1"/>
  <c r="E318" i="1"/>
  <c r="E306" i="1"/>
  <c r="C111" i="1"/>
  <c r="E111" i="1"/>
  <c r="E289" i="1"/>
  <c r="E277" i="1"/>
  <c r="E265" i="1"/>
  <c r="E253" i="1"/>
  <c r="E363" i="1"/>
  <c r="E351" i="1"/>
  <c r="E327" i="1"/>
  <c r="E315" i="1"/>
  <c r="E303" i="1"/>
  <c r="E200" i="1"/>
  <c r="D140" i="1"/>
  <c r="E140" i="1"/>
  <c r="C140" i="1"/>
  <c r="C116" i="1"/>
  <c r="E116" i="1"/>
  <c r="D92" i="1"/>
  <c r="E92" i="1"/>
  <c r="C92" i="1"/>
  <c r="C61" i="1"/>
  <c r="E61" i="1"/>
  <c r="E283" i="1"/>
  <c r="E271" i="1"/>
  <c r="E369" i="1"/>
  <c r="E345" i="1"/>
  <c r="E321" i="1"/>
  <c r="E244" i="1"/>
  <c r="E232" i="1"/>
  <c r="E220" i="1"/>
  <c r="E208" i="1"/>
  <c r="E196" i="1"/>
  <c r="C184" i="1"/>
  <c r="E184" i="1"/>
  <c r="C172" i="1"/>
  <c r="E172" i="1"/>
  <c r="C160" i="1"/>
  <c r="E160" i="1"/>
  <c r="E148" i="1"/>
  <c r="D148" i="1"/>
  <c r="C148" i="1"/>
  <c r="D136" i="1"/>
  <c r="E136" i="1"/>
  <c r="C136" i="1"/>
  <c r="C124" i="1"/>
  <c r="E124" i="1"/>
  <c r="C112" i="1"/>
  <c r="E112" i="1"/>
  <c r="D112" i="1"/>
  <c r="E100" i="1"/>
  <c r="C100" i="1"/>
  <c r="D100" i="1"/>
  <c r="E81" i="1"/>
  <c r="C81" i="1"/>
  <c r="D81" i="1"/>
  <c r="E69" i="1"/>
  <c r="C57" i="1"/>
  <c r="E57" i="1"/>
  <c r="E291" i="1"/>
  <c r="E279" i="1"/>
  <c r="E267" i="1"/>
  <c r="E255" i="1"/>
  <c r="E365" i="1"/>
  <c r="E353" i="1"/>
  <c r="E341" i="1"/>
  <c r="E329" i="1"/>
  <c r="E317" i="1"/>
  <c r="E305" i="1"/>
  <c r="D54" i="1"/>
  <c r="Y696" i="3"/>
  <c r="D55" i="1"/>
  <c r="Y245" i="3"/>
  <c r="D53" i="1"/>
  <c r="C55" i="1"/>
  <c r="C20" i="8"/>
  <c r="C18" i="8"/>
  <c r="C13" i="8"/>
  <c r="C17" i="8"/>
  <c r="C15" i="8"/>
  <c r="C12" i="8"/>
  <c r="C19" i="8"/>
  <c r="Y810" i="3"/>
  <c r="Y441" i="3"/>
  <c r="Y906" i="3"/>
  <c r="Y833" i="3"/>
  <c r="Y800" i="3"/>
  <c r="Y718" i="3"/>
  <c r="Y715" i="3"/>
  <c r="Y573" i="3"/>
  <c r="Y570" i="3"/>
  <c r="Y555" i="3"/>
  <c r="Y545" i="3"/>
  <c r="Y1060" i="3"/>
  <c r="Y891" i="3"/>
  <c r="Y888" i="3"/>
  <c r="Y875" i="3"/>
  <c r="Y1030" i="3"/>
  <c r="Y1152" i="3"/>
  <c r="Y1149" i="3"/>
  <c r="Y995" i="3"/>
  <c r="Y992" i="3"/>
  <c r="Y975" i="3"/>
  <c r="Y497" i="3"/>
  <c r="Y494" i="3"/>
  <c r="Y491" i="3"/>
  <c r="Y473" i="3"/>
  <c r="Y1069" i="3"/>
  <c r="Y426" i="3"/>
  <c r="Y546" i="3"/>
  <c r="Y811" i="3"/>
  <c r="Y454" i="3"/>
  <c r="Y904" i="3"/>
  <c r="Y801" i="3"/>
  <c r="Y728" i="3"/>
  <c r="Y716" i="3"/>
  <c r="Y669" i="3"/>
  <c r="Y571" i="3"/>
  <c r="Y556" i="3"/>
  <c r="Y1131" i="3"/>
  <c r="Y1058" i="3"/>
  <c r="Y889" i="3"/>
  <c r="Y1166" i="3"/>
  <c r="Y1150" i="3"/>
  <c r="Y568" i="3"/>
  <c r="Y307" i="3"/>
  <c r="Y1239" i="3"/>
  <c r="Y744" i="3"/>
  <c r="Y616" i="3"/>
  <c r="Y559" i="3"/>
  <c r="Y316" i="3"/>
  <c r="Y187" i="3"/>
  <c r="Y424" i="3"/>
  <c r="Y371" i="3"/>
  <c r="Y355" i="3"/>
  <c r="Y315" i="3"/>
  <c r="Y1213" i="3"/>
  <c r="Y841" i="3"/>
  <c r="Y723" i="3"/>
  <c r="Y558" i="3"/>
  <c r="Y528" i="3"/>
  <c r="Y490" i="3"/>
  <c r="Y423" i="3"/>
  <c r="Y330" i="3"/>
  <c r="Y233" i="3"/>
  <c r="Y210" i="3"/>
  <c r="Y219" i="3"/>
  <c r="Y10" i="3"/>
  <c r="Y1193" i="3"/>
  <c r="Y515" i="3"/>
  <c r="Y290" i="3"/>
  <c r="Y305" i="3"/>
  <c r="Y297" i="3"/>
  <c r="Y289" i="3"/>
  <c r="Y710" i="3"/>
  <c r="Y513" i="3"/>
  <c r="Y510" i="3"/>
  <c r="Y507" i="3"/>
  <c r="Y458" i="3"/>
  <c r="Y421" i="3"/>
  <c r="Y418" i="3"/>
  <c r="Y404" i="3"/>
  <c r="Y370" i="3"/>
  <c r="Y361" i="3"/>
  <c r="Y352" i="3"/>
  <c r="Y349" i="3"/>
  <c r="Y346" i="3"/>
  <c r="Y338" i="3"/>
  <c r="Y335" i="3"/>
  <c r="Y332" i="3"/>
  <c r="Y325" i="3"/>
  <c r="Y322" i="3"/>
  <c r="Y319" i="3"/>
  <c r="Y313" i="3"/>
  <c r="Y302" i="3"/>
  <c r="Y286" i="3"/>
  <c r="Y280" i="3"/>
  <c r="Y277" i="3"/>
  <c r="Y274" i="3"/>
  <c r="Y271" i="3"/>
  <c r="Y265" i="3"/>
  <c r="Y262" i="3"/>
  <c r="Y259" i="3"/>
  <c r="Y256" i="3"/>
  <c r="Y253" i="3"/>
  <c r="Y250" i="3"/>
  <c r="Y242" i="3"/>
  <c r="Y239" i="3"/>
  <c r="Y236" i="3"/>
  <c r="Y231" i="3"/>
  <c r="Y228" i="3"/>
  <c r="Y215" i="3"/>
  <c r="Y201" i="3"/>
  <c r="Y198" i="3"/>
  <c r="Y973" i="3"/>
  <c r="Y948" i="3"/>
  <c r="Y178" i="3"/>
  <c r="Y175" i="3"/>
  <c r="Y173" i="3"/>
  <c r="Y170" i="3"/>
  <c r="Y167" i="3"/>
  <c r="Y164" i="3"/>
  <c r="Y161" i="3"/>
  <c r="Y158" i="3"/>
  <c r="Y121" i="3"/>
  <c r="Y118" i="3"/>
  <c r="Y115" i="3"/>
  <c r="Y112" i="3"/>
  <c r="Y109" i="3"/>
  <c r="Y106" i="3"/>
  <c r="Y103" i="3"/>
  <c r="Y100" i="3"/>
  <c r="Y97" i="3"/>
  <c r="Y94" i="3"/>
  <c r="Y1180" i="3"/>
  <c r="Y1177" i="3"/>
  <c r="Y1174" i="3"/>
  <c r="Y1161" i="3"/>
  <c r="Y1100" i="3"/>
  <c r="Y1097" i="3"/>
  <c r="Y1094" i="3"/>
  <c r="Y90" i="3"/>
  <c r="Y87" i="3"/>
  <c r="Y84" i="3"/>
  <c r="Y72" i="3"/>
  <c r="Y69" i="3"/>
  <c r="Y66" i="3"/>
  <c r="Y63" i="3"/>
  <c r="Y60" i="3"/>
  <c r="Y46" i="3"/>
  <c r="Y43" i="3"/>
  <c r="Y40" i="3"/>
  <c r="Y34" i="3"/>
  <c r="Y31" i="3"/>
  <c r="Y26" i="3"/>
  <c r="Y23" i="3"/>
  <c r="Y19" i="3"/>
  <c r="Y16" i="3"/>
  <c r="Y6" i="3"/>
  <c r="Y366" i="3"/>
  <c r="Y156" i="3"/>
  <c r="Y153" i="3"/>
  <c r="Y150" i="3"/>
  <c r="Y147" i="3"/>
  <c r="Y144" i="3"/>
  <c r="Y141" i="3"/>
  <c r="Y138" i="3"/>
  <c r="Y135" i="3"/>
  <c r="Y132" i="3"/>
  <c r="Y129" i="3"/>
  <c r="Y1253" i="3"/>
  <c r="Y1238" i="3"/>
  <c r="Y1219" i="3"/>
  <c r="Y1216" i="3"/>
  <c r="Y1204" i="3"/>
  <c r="Y1201" i="3"/>
  <c r="Y1172" i="3"/>
  <c r="Y1156" i="3"/>
  <c r="Y1153" i="3"/>
  <c r="Y1145" i="3"/>
  <c r="Y1142" i="3"/>
  <c r="Y1118" i="3"/>
  <c r="Y1115" i="3"/>
  <c r="Y1055" i="3"/>
  <c r="Y1044" i="3"/>
  <c r="Y1035" i="3"/>
  <c r="Y1025" i="3"/>
  <c r="Y1002" i="3"/>
  <c r="Y985" i="3"/>
  <c r="Y937" i="3"/>
  <c r="Y934" i="3"/>
  <c r="Y931" i="3"/>
  <c r="Y928" i="3"/>
  <c r="Y861" i="3"/>
  <c r="Y838" i="3"/>
  <c r="Y835" i="3"/>
  <c r="Y828" i="3"/>
  <c r="Y825" i="3"/>
  <c r="Y822" i="3"/>
  <c r="Y813" i="3"/>
  <c r="Y787" i="3"/>
  <c r="Y784" i="3"/>
  <c r="Y771" i="3"/>
  <c r="Y768" i="3"/>
  <c r="Y765" i="3"/>
  <c r="Y762" i="3"/>
  <c r="Y740" i="3"/>
  <c r="Y737" i="3"/>
  <c r="Y731" i="3"/>
  <c r="Y721" i="3"/>
  <c r="Y702" i="3"/>
  <c r="Y699" i="3"/>
  <c r="Y691" i="3"/>
  <c r="Y681" i="3"/>
  <c r="Y1110" i="3"/>
  <c r="Y1048" i="3"/>
  <c r="Y915" i="3"/>
  <c r="Y818" i="3"/>
  <c r="Y724" i="3"/>
  <c r="Y1185" i="3"/>
  <c r="Y529" i="3"/>
  <c r="Y869" i="3"/>
  <c r="Y817" i="3"/>
  <c r="Y816" i="3"/>
  <c r="Y673" i="3"/>
  <c r="Y1089" i="3"/>
  <c r="Y678" i="3"/>
  <c r="Y517" i="3"/>
  <c r="Y244" i="3"/>
  <c r="Y1006" i="3"/>
  <c r="Y644" i="3"/>
  <c r="Y592" i="3"/>
  <c r="Y538" i="3"/>
  <c r="Y299" i="3"/>
  <c r="Y181" i="3"/>
  <c r="Y407" i="3"/>
  <c r="Y368" i="3"/>
  <c r="Y340" i="3"/>
  <c r="Y306" i="3"/>
  <c r="Y1250" i="3"/>
  <c r="Y1194" i="3"/>
  <c r="Y815" i="3"/>
  <c r="Y712" i="3"/>
  <c r="Y549" i="3"/>
  <c r="Y516" i="3"/>
  <c r="Y478" i="3"/>
  <c r="Y384" i="3"/>
  <c r="Y285" i="3"/>
  <c r="Y225" i="3"/>
  <c r="Y206" i="3"/>
  <c r="Y73" i="3"/>
  <c r="Y9" i="3"/>
  <c r="Y1107" i="3"/>
  <c r="Y830" i="3"/>
  <c r="Y615" i="3"/>
  <c r="Y477" i="3"/>
  <c r="Y216" i="3"/>
  <c r="Y288" i="3"/>
  <c r="Y972" i="3"/>
  <c r="Y947" i="3"/>
  <c r="Y996" i="3"/>
  <c r="Y993" i="3"/>
  <c r="Y976" i="3"/>
  <c r="Y498" i="3"/>
  <c r="Y495" i="3"/>
  <c r="Y492" i="3"/>
  <c r="Y474" i="3"/>
  <c r="Y471" i="3"/>
  <c r="Y1234" i="3"/>
  <c r="Y1183" i="3"/>
  <c r="Y743" i="3"/>
  <c r="Y575" i="3"/>
  <c r="Y537" i="3"/>
  <c r="Y501" i="3"/>
  <c r="Y460" i="3"/>
  <c r="Y360" i="3"/>
  <c r="Y269" i="3"/>
  <c r="Y214" i="3"/>
  <c r="Y204" i="3"/>
  <c r="Y1070" i="3"/>
  <c r="Y977" i="3"/>
  <c r="Y843" i="3"/>
  <c r="Y745" i="3"/>
  <c r="Y1169" i="3"/>
  <c r="Y695" i="3"/>
  <c r="Y778" i="3"/>
  <c r="Y832" i="3"/>
  <c r="Y663" i="3"/>
  <c r="Y606" i="3"/>
  <c r="Y309" i="3"/>
  <c r="Y1207" i="3"/>
  <c r="Y1133" i="3"/>
  <c r="Y1109" i="3"/>
  <c r="Y1061" i="3"/>
  <c r="Y1009" i="3"/>
  <c r="Y896" i="3"/>
  <c r="Y689" i="3"/>
  <c r="Y577" i="3"/>
  <c r="Y557" i="3"/>
  <c r="Y523" i="3"/>
  <c r="Y499" i="3"/>
  <c r="Y456" i="3"/>
  <c r="Y329" i="3"/>
  <c r="Y990" i="3"/>
  <c r="Y461" i="3"/>
  <c r="Y660" i="3"/>
  <c r="Y92" i="3"/>
  <c r="Y89" i="3"/>
  <c r="Y86" i="3"/>
  <c r="Y83" i="3"/>
  <c r="Y71" i="3"/>
  <c r="Y68" i="3"/>
  <c r="Y65" i="3"/>
  <c r="Y62" i="3"/>
  <c r="Y59" i="3"/>
  <c r="Y45" i="3"/>
  <c r="Y42" i="3"/>
  <c r="Y39" i="3"/>
  <c r="Y33" i="3"/>
  <c r="Y30" i="3"/>
  <c r="Y25" i="3"/>
  <c r="Y22" i="3"/>
  <c r="Y18" i="3"/>
  <c r="Y15" i="3"/>
  <c r="Y5" i="3"/>
  <c r="Y365" i="3"/>
  <c r="Y155" i="3"/>
  <c r="Y152" i="3"/>
  <c r="Y149" i="3"/>
  <c r="Y146" i="3"/>
  <c r="Y143" i="3"/>
  <c r="Y140" i="3"/>
  <c r="Y137" i="3"/>
  <c r="Y134" i="3"/>
  <c r="Y131" i="3"/>
  <c r="Y128" i="3"/>
  <c r="Y1225" i="3"/>
  <c r="Y1222" i="3"/>
  <c r="Y1028" i="3"/>
  <c r="Y971" i="3"/>
  <c r="Y968" i="3"/>
  <c r="Y965" i="3"/>
  <c r="Y944" i="3"/>
  <c r="Y941" i="3"/>
  <c r="Y914" i="3"/>
  <c r="Y911" i="3"/>
  <c r="Y908" i="3"/>
  <c r="Y1252" i="3"/>
  <c r="Y1237" i="3"/>
  <c r="Y1218" i="3"/>
  <c r="Y1215" i="3"/>
  <c r="Y1203" i="3"/>
  <c r="Y1200" i="3"/>
  <c r="Y1158" i="3"/>
  <c r="Y1155" i="3"/>
  <c r="Y1147" i="3"/>
  <c r="Y1144" i="3"/>
  <c r="Y1125" i="3"/>
  <c r="Y1117" i="3"/>
  <c r="Y1057" i="3"/>
  <c r="Y1046" i="3"/>
  <c r="Y1037" i="3"/>
  <c r="Y1027" i="3"/>
  <c r="Y1004" i="3"/>
  <c r="Y987" i="3"/>
  <c r="Y984" i="3"/>
  <c r="Y936" i="3"/>
  <c r="Y933" i="3"/>
  <c r="Y930" i="3"/>
  <c r="Y863" i="3"/>
  <c r="Y860" i="3"/>
  <c r="Y837" i="3"/>
  <c r="Y834" i="3"/>
  <c r="Y827" i="3"/>
  <c r="Y824" i="3"/>
  <c r="Y821" i="3"/>
  <c r="Y789" i="3"/>
  <c r="Y786" i="3"/>
  <c r="Y783" i="3"/>
  <c r="Y770" i="3"/>
  <c r="Y767" i="3"/>
  <c r="Y764" i="3"/>
  <c r="Y742" i="3"/>
  <c r="Y739" i="3"/>
  <c r="Y736" i="3"/>
  <c r="Y730" i="3"/>
  <c r="Y720" i="3"/>
  <c r="Y701" i="3"/>
  <c r="Y693" i="3"/>
  <c r="Y690" i="3"/>
  <c r="Y675" i="3"/>
  <c r="Y651" i="3"/>
  <c r="Y642" i="3"/>
  <c r="Y639" i="3"/>
  <c r="Y382" i="3"/>
  <c r="Y894" i="3"/>
  <c r="Y812" i="3"/>
  <c r="Y809" i="3"/>
  <c r="Y905" i="3"/>
  <c r="Y819" i="3"/>
  <c r="Y729" i="3"/>
  <c r="Y717" i="3"/>
  <c r="Y670" i="3"/>
  <c r="Y572" i="3"/>
  <c r="Y569" i="3"/>
  <c r="Y544" i="3"/>
  <c r="Y1059" i="3"/>
  <c r="Y890" i="3"/>
  <c r="Y994" i="3"/>
  <c r="Y991" i="3"/>
  <c r="Y974" i="3"/>
  <c r="Y496" i="3"/>
  <c r="Y493" i="3"/>
  <c r="Y475" i="3"/>
  <c r="Y472" i="3"/>
  <c r="Y489" i="3"/>
  <c r="Y11" i="3"/>
  <c r="Y1249" i="3"/>
  <c r="Y1050" i="3"/>
  <c r="Y753" i="3"/>
  <c r="Y578" i="3"/>
  <c r="Y339" i="3"/>
  <c r="Y180" i="3"/>
  <c r="Y949" i="3"/>
  <c r="Y643" i="3"/>
  <c r="Y91" i="3"/>
  <c r="Y88" i="3"/>
  <c r="Y85" i="3"/>
  <c r="Y82" i="3"/>
  <c r="Y70" i="3"/>
  <c r="Y67" i="3"/>
  <c r="Y64" i="3"/>
  <c r="Y61" i="3"/>
  <c r="Y58" i="3"/>
  <c r="Y44" i="3"/>
  <c r="Y41" i="3"/>
  <c r="Y35" i="3"/>
  <c r="Y32" i="3"/>
  <c r="Y27" i="3"/>
  <c r="Y24" i="3"/>
  <c r="Y20" i="3"/>
  <c r="Y17" i="3"/>
  <c r="Y7" i="3"/>
  <c r="Y1227" i="3"/>
  <c r="Y1224" i="3"/>
  <c r="Y1221" i="3"/>
  <c r="Y989" i="3"/>
  <c r="Y970" i="3"/>
  <c r="Y967" i="3"/>
  <c r="Y946" i="3"/>
  <c r="Y943" i="3"/>
  <c r="Y940" i="3"/>
  <c r="Y913" i="3"/>
  <c r="Y910" i="3"/>
  <c r="Y907" i="3"/>
  <c r="Y1251" i="3"/>
  <c r="Y1236" i="3"/>
  <c r="Y1217" i="3"/>
  <c r="Y1205" i="3"/>
  <c r="Y1202" i="3"/>
  <c r="Y1173" i="3"/>
  <c r="Y1157" i="3"/>
  <c r="Y1154" i="3"/>
  <c r="Y1146" i="3"/>
  <c r="Y1143" i="3"/>
  <c r="Y1124" i="3"/>
  <c r="Y1116" i="3"/>
  <c r="Y1056" i="3"/>
  <c r="Y1045" i="3"/>
  <c r="Y1036" i="3"/>
  <c r="Y1026" i="3"/>
  <c r="Y1003" i="3"/>
  <c r="Y986" i="3"/>
  <c r="Y938" i="3"/>
  <c r="Y935" i="3"/>
  <c r="Y932" i="3"/>
  <c r="Y929" i="3"/>
  <c r="Y862" i="3"/>
  <c r="Y839" i="3"/>
  <c r="Y836" i="3"/>
  <c r="Y829" i="3"/>
  <c r="Y826" i="3"/>
  <c r="Y823" i="3"/>
  <c r="Y820" i="3"/>
  <c r="Y788" i="3"/>
  <c r="Y785" i="3"/>
  <c r="Y772" i="3"/>
  <c r="Y769" i="3"/>
  <c r="Y766" i="3"/>
  <c r="Y763" i="3"/>
  <c r="Y741" i="3"/>
  <c r="Y738" i="3"/>
  <c r="Y735" i="3"/>
  <c r="Y722" i="3"/>
  <c r="Y719" i="3"/>
  <c r="Y700" i="3"/>
  <c r="Y692" i="3"/>
  <c r="Y682" i="3"/>
  <c r="Y641" i="3"/>
  <c r="Y649" i="3"/>
  <c r="Y626" i="3"/>
  <c r="Y1557" i="3"/>
  <c r="Y773" i="3"/>
  <c r="Y504" i="3"/>
  <c r="Y1228" i="3"/>
  <c r="Y630" i="3"/>
  <c r="Y341" i="3"/>
  <c r="Y777" i="3"/>
  <c r="Y617" i="3"/>
  <c r="Y1120" i="3"/>
  <c r="Y196" i="3"/>
  <c r="Y873" i="3"/>
  <c r="Y628" i="3"/>
  <c r="Y1240" i="3"/>
  <c r="Y425" i="3"/>
  <c r="Y444" i="3"/>
  <c r="Y1168" i="3"/>
  <c r="Y887" i="3"/>
  <c r="Y1184" i="3"/>
  <c r="Y1088" i="3"/>
  <c r="Y656" i="3"/>
  <c r="Y618" i="3"/>
  <c r="Y1165" i="3"/>
  <c r="Y1029" i="3"/>
  <c r="Y629" i="3"/>
  <c r="Y586" i="3"/>
  <c r="Y600" i="3"/>
  <c r="Y1132" i="3"/>
  <c r="Y734" i="3"/>
  <c r="Y506" i="3"/>
  <c r="Y951" i="3"/>
  <c r="Y1229" i="3"/>
  <c r="Y182" i="3"/>
  <c r="Y774" i="3"/>
  <c r="Y505" i="3"/>
  <c r="Y217" i="3"/>
  <c r="Y36" i="3"/>
  <c r="Y1005" i="3"/>
  <c r="Y203" i="3"/>
  <c r="Y1101" i="3"/>
  <c r="Y503" i="3"/>
  <c r="Y385" i="3"/>
  <c r="Y364" i="3"/>
  <c r="Y327" i="3"/>
  <c r="Y291" i="3"/>
  <c r="Y645" i="3"/>
  <c r="Y1102" i="3"/>
  <c r="Y680" i="3"/>
  <c r="Y485" i="3"/>
  <c r="Y1047" i="3"/>
  <c r="Y619" i="3"/>
  <c r="Y624" i="3"/>
  <c r="Y1255" i="3"/>
  <c r="Y1051" i="3"/>
  <c r="Y548" i="3"/>
  <c r="Y442" i="3"/>
  <c r="Y631" i="3"/>
  <c r="Y579" i="3"/>
  <c r="Y676" i="3"/>
  <c r="Y1195" i="3"/>
  <c r="Y998" i="3"/>
  <c r="Y574" i="3"/>
  <c r="Y443" i="3"/>
  <c r="Y372" i="3"/>
  <c r="Y576" i="3"/>
  <c r="Y211" i="3"/>
  <c r="Y283" i="3"/>
  <c r="Y208" i="3"/>
  <c r="Y267" i="3"/>
  <c r="Y205" i="3"/>
  <c r="Y1254" i="3"/>
  <c r="Y1206" i="3"/>
  <c r="Y1148" i="3"/>
  <c r="Y1108" i="3"/>
  <c r="Y814" i="3"/>
  <c r="Y605" i="3"/>
  <c r="Y1235" i="3"/>
  <c r="Y1182" i="3"/>
  <c r="Y1126" i="3"/>
  <c r="Y840" i="3"/>
  <c r="Y677" i="3"/>
  <c r="Y185" i="3"/>
  <c r="Y1214" i="3"/>
  <c r="Y1164" i="3"/>
  <c r="Y1119" i="3"/>
  <c r="Y831" i="3"/>
  <c r="Y662" i="3"/>
  <c r="Y406" i="3"/>
  <c r="Y661" i="3"/>
  <c r="Y950" i="3"/>
  <c r="Y296" i="3"/>
  <c r="Y304" i="3"/>
  <c r="Y295" i="3"/>
  <c r="Y298" i="3"/>
  <c r="Y525" i="3"/>
  <c r="Y487" i="3"/>
  <c r="Y512" i="3"/>
  <c r="Y500" i="3"/>
  <c r="Y486" i="3"/>
  <c r="Y403" i="3"/>
  <c r="Y363" i="3"/>
  <c r="Y354" i="3"/>
  <c r="Y337" i="3"/>
  <c r="Y334" i="3"/>
  <c r="Y331" i="3"/>
  <c r="Y312" i="3"/>
  <c r="Y301" i="3"/>
  <c r="Y282" i="3"/>
  <c r="Y279" i="3"/>
  <c r="Y276" i="3"/>
  <c r="Y273" i="3"/>
  <c r="Y270" i="3"/>
  <c r="Y264" i="3"/>
  <c r="Y261" i="3"/>
  <c r="Y258" i="3"/>
  <c r="Y255" i="3"/>
  <c r="Y247" i="3"/>
  <c r="Y235" i="3"/>
  <c r="Y230" i="3"/>
  <c r="Y227" i="3"/>
  <c r="Y207" i="3"/>
  <c r="Y200" i="3"/>
  <c r="Y197" i="3"/>
  <c r="Y526" i="3"/>
  <c r="Y514" i="3"/>
  <c r="Y508" i="3"/>
  <c r="Y459" i="3"/>
  <c r="Y419" i="3"/>
  <c r="Y402" i="3"/>
  <c r="Y362" i="3"/>
  <c r="Y350" i="3"/>
  <c r="Y344" i="3"/>
  <c r="Y336" i="3"/>
  <c r="Y326" i="3"/>
  <c r="Y320" i="3"/>
  <c r="Y314" i="3"/>
  <c r="Y287" i="3"/>
  <c r="Y278" i="3"/>
  <c r="Y275" i="3"/>
  <c r="Y266" i="3"/>
  <c r="Y263" i="3"/>
  <c r="Y257" i="3"/>
  <c r="Y251" i="3"/>
  <c r="Y243" i="3"/>
  <c r="Y240" i="3"/>
  <c r="Y237" i="3"/>
  <c r="Y234" i="3"/>
  <c r="Y229" i="3"/>
  <c r="Y226" i="3"/>
  <c r="Y186" i="3"/>
  <c r="Y509" i="3"/>
  <c r="Y417" i="3"/>
  <c r="Y351" i="3"/>
  <c r="Y324" i="3"/>
  <c r="Y241" i="3"/>
  <c r="Y711" i="3"/>
  <c r="Y488" i="3"/>
  <c r="Y405" i="3"/>
  <c r="Y347" i="3"/>
  <c r="Y323" i="3"/>
  <c r="Y281" i="3"/>
  <c r="Y260" i="3"/>
  <c r="Y199" i="3"/>
  <c r="Y524" i="3"/>
  <c r="Y420" i="3"/>
  <c r="Y345" i="3"/>
  <c r="Y318" i="3"/>
  <c r="Y238" i="3"/>
  <c r="Y511" i="3"/>
  <c r="Y422" i="3"/>
  <c r="Y353" i="3"/>
  <c r="Y333" i="3"/>
  <c r="Y303" i="3"/>
  <c r="Y272" i="3"/>
  <c r="Y254" i="3"/>
  <c r="Y202" i="3"/>
  <c r="Y527" i="3"/>
  <c r="Y457" i="3"/>
  <c r="Y348" i="3"/>
  <c r="Y321" i="3"/>
  <c r="Y252" i="3"/>
  <c r="Y174" i="3"/>
  <c r="Y176" i="3"/>
  <c r="Y177" i="3"/>
  <c r="Y179" i="3"/>
  <c r="Y8" i="3"/>
  <c r="Y172" i="3"/>
  <c r="Y166" i="3"/>
  <c r="Y123" i="3"/>
  <c r="Y114" i="3"/>
  <c r="Y105" i="3"/>
  <c r="Y96" i="3"/>
  <c r="Y168" i="3"/>
  <c r="Y122" i="3"/>
  <c r="Y113" i="3"/>
  <c r="Y104" i="3"/>
  <c r="Y95" i="3"/>
  <c r="Y169" i="3"/>
  <c r="Y160" i="3"/>
  <c r="Y117" i="3"/>
  <c r="Y108" i="3"/>
  <c r="Y99" i="3"/>
  <c r="Y165" i="3"/>
  <c r="Y159" i="3"/>
  <c r="Y116" i="3"/>
  <c r="Y107" i="3"/>
  <c r="Y98" i="3"/>
  <c r="Y163" i="3"/>
  <c r="Y120" i="3"/>
  <c r="Y111" i="3"/>
  <c r="Y102" i="3"/>
  <c r="Y93" i="3"/>
  <c r="Y171" i="3"/>
  <c r="Y162" i="3"/>
  <c r="Y119" i="3"/>
  <c r="Y110" i="3"/>
  <c r="Y101" i="3"/>
  <c r="Y1099" i="3"/>
  <c r="Y1181" i="3"/>
  <c r="Y1178" i="3"/>
  <c r="Y1175" i="3"/>
  <c r="Y1162" i="3"/>
  <c r="Y1159" i="3"/>
  <c r="Y1098" i="3"/>
  <c r="Y1095" i="3"/>
  <c r="Y1179" i="3"/>
  <c r="Y1176" i="3"/>
  <c r="Y1096" i="3"/>
  <c r="Y1163" i="3"/>
  <c r="Y1160" i="3"/>
  <c r="Y655" i="3"/>
  <c r="Y367" i="3"/>
  <c r="Y157" i="3"/>
  <c r="Y151" i="3"/>
  <c r="Y148" i="3"/>
  <c r="Y145" i="3"/>
  <c r="Y142" i="3"/>
  <c r="Y139" i="3"/>
  <c r="Y136" i="3"/>
  <c r="Y130" i="3"/>
  <c r="Y154" i="3"/>
  <c r="Y133" i="3"/>
  <c r="Y1223" i="3"/>
  <c r="Y1220" i="3"/>
  <c r="Y988" i="3"/>
  <c r="Y969" i="3"/>
  <c r="Y966" i="3"/>
  <c r="Y945" i="3"/>
  <c r="Y942" i="3"/>
  <c r="Y939" i="3"/>
  <c r="Y912" i="3"/>
  <c r="Y909" i="3"/>
  <c r="Y1226" i="3"/>
  <c r="Y650" i="3"/>
  <c r="Y564" i="3"/>
  <c r="Y521" i="3"/>
  <c r="Y518" i="3"/>
  <c r="Y438" i="3"/>
  <c r="Y399" i="3"/>
  <c r="Y357" i="3"/>
  <c r="Y455" i="3"/>
  <c r="Y553" i="3"/>
  <c r="Y874" i="3"/>
  <c r="Y1167" i="3"/>
  <c r="Y1151" i="3"/>
  <c r="Y997" i="3"/>
  <c r="Y652" i="3"/>
  <c r="Y428" i="3"/>
  <c r="Y381" i="3"/>
  <c r="Y893" i="3"/>
  <c r="Y654" i="3"/>
  <c r="Y625" i="3"/>
  <c r="Y566" i="3"/>
  <c r="Y563" i="3"/>
  <c r="Y520" i="3"/>
  <c r="Y484" i="3"/>
  <c r="Y440" i="3"/>
  <c r="Y401" i="3"/>
  <c r="Y359" i="3"/>
  <c r="Y1008" i="3"/>
  <c r="Y876" i="3"/>
  <c r="Y672" i="3"/>
  <c r="Y627" i="3"/>
  <c r="Y427" i="3"/>
  <c r="Y383" i="3"/>
  <c r="Y895" i="3"/>
  <c r="Y892" i="3"/>
  <c r="Y674" i="3"/>
  <c r="Y640" i="3"/>
  <c r="Y547" i="3"/>
  <c r="Y565" i="3"/>
  <c r="Y522" i="3"/>
  <c r="Y519" i="3"/>
  <c r="Y483" i="3"/>
  <c r="Y439" i="3"/>
  <c r="Y400" i="3"/>
  <c r="Y358" i="3"/>
  <c r="Y554" i="3"/>
  <c r="Y653" i="3"/>
  <c r="Y604" i="3"/>
  <c r="Y1007" i="3"/>
  <c r="X113" i="11"/>
  <c r="Y113" i="11"/>
  <c r="Z113" i="11"/>
  <c r="X114" i="11"/>
  <c r="Y114" i="11"/>
  <c r="Z114" i="11"/>
  <c r="X115" i="11"/>
  <c r="Y115" i="11"/>
  <c r="Z115" i="11"/>
  <c r="V1083" i="3"/>
  <c r="W1083" i="3"/>
  <c r="X1083" i="3"/>
  <c r="X107" i="11"/>
  <c r="X108" i="11"/>
  <c r="X109" i="11"/>
  <c r="X110" i="11"/>
  <c r="X111" i="11"/>
  <c r="X112" i="11"/>
  <c r="X116" i="11"/>
  <c r="X117" i="11"/>
  <c r="X118" i="11"/>
  <c r="X119" i="11"/>
  <c r="X120" i="11"/>
  <c r="X121" i="11"/>
  <c r="X122" i="11"/>
  <c r="X123" i="11"/>
  <c r="X124" i="11"/>
  <c r="X188" i="11"/>
  <c r="X189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2" i="11"/>
  <c r="Y107" i="11"/>
  <c r="Y108" i="11"/>
  <c r="Y109" i="11"/>
  <c r="Y110" i="11"/>
  <c r="Y111" i="11"/>
  <c r="Y112" i="11"/>
  <c r="Y116" i="11"/>
  <c r="Y117" i="11"/>
  <c r="Y118" i="11"/>
  <c r="Y119" i="11"/>
  <c r="Y120" i="11"/>
  <c r="Y121" i="11"/>
  <c r="Y122" i="11"/>
  <c r="Y123" i="11"/>
  <c r="Y124" i="11"/>
  <c r="Y188" i="11"/>
  <c r="Y189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2" i="11"/>
  <c r="Z107" i="11"/>
  <c r="Z108" i="11"/>
  <c r="Z109" i="11"/>
  <c r="Z110" i="11"/>
  <c r="Z111" i="11"/>
  <c r="Z112" i="11"/>
  <c r="Z116" i="11"/>
  <c r="Z117" i="11"/>
  <c r="Z118" i="11"/>
  <c r="Z119" i="11"/>
  <c r="Z120" i="11"/>
  <c r="Z121" i="11"/>
  <c r="Z122" i="11"/>
  <c r="Z123" i="11"/>
  <c r="Z124" i="11"/>
  <c r="Z188" i="11"/>
  <c r="Z189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2" i="11"/>
  <c r="X131" i="11"/>
  <c r="X132" i="11"/>
  <c r="X185" i="11"/>
  <c r="X186" i="11"/>
  <c r="X187" i="11"/>
  <c r="Y131" i="11"/>
  <c r="Y132" i="11"/>
  <c r="Y185" i="11"/>
  <c r="Y186" i="11"/>
  <c r="Y187" i="11"/>
  <c r="Z131" i="11"/>
  <c r="Z132" i="11"/>
  <c r="Z185" i="11"/>
  <c r="Z186" i="11"/>
  <c r="Z187" i="11"/>
  <c r="X49" i="11"/>
  <c r="Y49" i="11"/>
  <c r="Z49" i="11"/>
  <c r="X50" i="11"/>
  <c r="Y50" i="11"/>
  <c r="Z50" i="11"/>
  <c r="AA260" i="11" l="1"/>
  <c r="AA124" i="11"/>
  <c r="AA109" i="11"/>
  <c r="AA248" i="11"/>
  <c r="AA108" i="11"/>
  <c r="AA259" i="11"/>
  <c r="AA247" i="11"/>
  <c r="AA123" i="11"/>
  <c r="AA269" i="11"/>
  <c r="AA245" i="11"/>
  <c r="AA244" i="11"/>
  <c r="AA242" i="11"/>
  <c r="AA187" i="11"/>
  <c r="AA253" i="11"/>
  <c r="AA186" i="11"/>
  <c r="AA264" i="11"/>
  <c r="AA116" i="11"/>
  <c r="AA239" i="11"/>
  <c r="AA112" i="11"/>
  <c r="AA258" i="11"/>
  <c r="AA107" i="11"/>
  <c r="AA257" i="11"/>
  <c r="AA121" i="11"/>
  <c r="AA268" i="11"/>
  <c r="AA120" i="11"/>
  <c r="AA243" i="11"/>
  <c r="AA254" i="11"/>
  <c r="AA265" i="11"/>
  <c r="AA263" i="11"/>
  <c r="AA132" i="11"/>
  <c r="AA262" i="11"/>
  <c r="AA111" i="11"/>
  <c r="AA246" i="11"/>
  <c r="AA255" i="11"/>
  <c r="AA266" i="11"/>
  <c r="AA117" i="11"/>
  <c r="AA49" i="11"/>
  <c r="AA252" i="11"/>
  <c r="AA114" i="11"/>
  <c r="AA185" i="11"/>
  <c r="AA251" i="11"/>
  <c r="AA250" i="11"/>
  <c r="AA189" i="11"/>
  <c r="AA131" i="11"/>
  <c r="AA261" i="11"/>
  <c r="AA249" i="11"/>
  <c r="AA188" i="11"/>
  <c r="AA110" i="11"/>
  <c r="AA113" i="11"/>
  <c r="AA272" i="11"/>
  <c r="AA256" i="11"/>
  <c r="AA122" i="11"/>
  <c r="AA50" i="11"/>
  <c r="AA267" i="11"/>
  <c r="AA119" i="11"/>
  <c r="AA115" i="11"/>
  <c r="AA118" i="11"/>
  <c r="AA241" i="11"/>
  <c r="AA240" i="11"/>
  <c r="Y1083" i="3"/>
  <c r="X43" i="11"/>
  <c r="X44" i="11"/>
  <c r="X48" i="11"/>
  <c r="X125" i="11"/>
  <c r="X126" i="11"/>
  <c r="X127" i="11"/>
  <c r="X128" i="11"/>
  <c r="X129" i="11"/>
  <c r="X130" i="11"/>
  <c r="Y43" i="11"/>
  <c r="Y44" i="11"/>
  <c r="Y48" i="11"/>
  <c r="Y125" i="11"/>
  <c r="Y126" i="11"/>
  <c r="Y127" i="11"/>
  <c r="Y128" i="11"/>
  <c r="Y129" i="11"/>
  <c r="Y130" i="11"/>
  <c r="Z43" i="11"/>
  <c r="Z44" i="11"/>
  <c r="Z48" i="11"/>
  <c r="Z125" i="11"/>
  <c r="Z126" i="11"/>
  <c r="Z127" i="11"/>
  <c r="Z128" i="11"/>
  <c r="Z129" i="11"/>
  <c r="Z130" i="11"/>
  <c r="V1041" i="3"/>
  <c r="W1041" i="3"/>
  <c r="X1041" i="3"/>
  <c r="V1042" i="3"/>
  <c r="W1042" i="3"/>
  <c r="X1042" i="3"/>
  <c r="V1043" i="3"/>
  <c r="W1043" i="3"/>
  <c r="X1043" i="3"/>
  <c r="X40" i="11"/>
  <c r="Y40" i="11"/>
  <c r="Z40" i="11"/>
  <c r="X41" i="11"/>
  <c r="X42" i="11"/>
  <c r="Y41" i="11"/>
  <c r="Y42" i="11"/>
  <c r="Z41" i="11"/>
  <c r="Z42" i="11"/>
  <c r="X32" i="11"/>
  <c r="X33" i="11"/>
  <c r="X34" i="11"/>
  <c r="X35" i="11"/>
  <c r="X36" i="11"/>
  <c r="X37" i="11"/>
  <c r="X38" i="11"/>
  <c r="X39" i="11"/>
  <c r="Y32" i="11"/>
  <c r="Y33" i="11"/>
  <c r="Y34" i="11"/>
  <c r="Y35" i="11"/>
  <c r="Y36" i="11"/>
  <c r="Y37" i="11"/>
  <c r="Y38" i="11"/>
  <c r="Y39" i="11"/>
  <c r="Z32" i="11"/>
  <c r="Z33" i="11"/>
  <c r="Z34" i="11"/>
  <c r="Z35" i="11"/>
  <c r="Z36" i="11"/>
  <c r="Z37" i="11"/>
  <c r="Z38" i="11"/>
  <c r="Z39" i="11"/>
  <c r="X27" i="11"/>
  <c r="X28" i="11"/>
  <c r="X29" i="11"/>
  <c r="X30" i="11"/>
  <c r="X31" i="11"/>
  <c r="Y27" i="11"/>
  <c r="Y28" i="11"/>
  <c r="Y29" i="11"/>
  <c r="Y30" i="11"/>
  <c r="Y31" i="11"/>
  <c r="Z27" i="11"/>
  <c r="Z28" i="11"/>
  <c r="Z29" i="11"/>
  <c r="Z30" i="11"/>
  <c r="Z31" i="11"/>
  <c r="X46" i="11"/>
  <c r="X47" i="11"/>
  <c r="Z46" i="11"/>
  <c r="Z47" i="11"/>
  <c r="Z20" i="11"/>
  <c r="Z22" i="11"/>
  <c r="Z21" i="11"/>
  <c r="Z23" i="11"/>
  <c r="Z25" i="11"/>
  <c r="Z24" i="11"/>
  <c r="Z26" i="11"/>
  <c r="Y46" i="11"/>
  <c r="Y47" i="11"/>
  <c r="Y20" i="11"/>
  <c r="Y22" i="11"/>
  <c r="Y21" i="11"/>
  <c r="Y23" i="11"/>
  <c r="Y25" i="11"/>
  <c r="Y24" i="11"/>
  <c r="Y26" i="11"/>
  <c r="X20" i="11"/>
  <c r="X22" i="11"/>
  <c r="X21" i="11"/>
  <c r="X23" i="11"/>
  <c r="X25" i="11"/>
  <c r="X24" i="11"/>
  <c r="X26" i="11"/>
  <c r="X19" i="11"/>
  <c r="Y19" i="11"/>
  <c r="Z19" i="11"/>
  <c r="X18" i="11"/>
  <c r="Y18" i="11"/>
  <c r="Z18" i="11"/>
  <c r="X8" i="11"/>
  <c r="X11" i="11"/>
  <c r="X12" i="11"/>
  <c r="X13" i="11"/>
  <c r="X9" i="11"/>
  <c r="X14" i="11"/>
  <c r="X16" i="11"/>
  <c r="X15" i="11"/>
  <c r="X17" i="11"/>
  <c r="Y8" i="11"/>
  <c r="Y11" i="11"/>
  <c r="Y12" i="11"/>
  <c r="Y13" i="11"/>
  <c r="Y9" i="11"/>
  <c r="Y14" i="11"/>
  <c r="Y16" i="11"/>
  <c r="Y15" i="11"/>
  <c r="Y17" i="11"/>
  <c r="Z8" i="11"/>
  <c r="Z11" i="11"/>
  <c r="Z12" i="11"/>
  <c r="Z13" i="11"/>
  <c r="Z9" i="11"/>
  <c r="Z14" i="11"/>
  <c r="Z16" i="11"/>
  <c r="Z15" i="11"/>
  <c r="Z17" i="11"/>
  <c r="Z275" i="11"/>
  <c r="Z293" i="11"/>
  <c r="Z402" i="11"/>
  <c r="Z399" i="11"/>
  <c r="Z294" i="11"/>
  <c r="Z400" i="11"/>
  <c r="Z403" i="11"/>
  <c r="Z276" i="11"/>
  <c r="Z480" i="11"/>
  <c r="Z271" i="11"/>
  <c r="Z277" i="11"/>
  <c r="Z484" i="11"/>
  <c r="Z292" i="11"/>
  <c r="Z278" i="11"/>
  <c r="Z308" i="11"/>
  <c r="Z309" i="11"/>
  <c r="Z327" i="11"/>
  <c r="Z364" i="11"/>
  <c r="Z365" i="11"/>
  <c r="Z377" i="11"/>
  <c r="Z378" i="11"/>
  <c r="Z401" i="11"/>
  <c r="Z404" i="11"/>
  <c r="Z481" i="11"/>
  <c r="Z406" i="11"/>
  <c r="Z326" i="11"/>
  <c r="Z405" i="11"/>
  <c r="Z355" i="11"/>
  <c r="Z485" i="11"/>
  <c r="Z486" i="11"/>
  <c r="Z487" i="11"/>
  <c r="Z471" i="11"/>
  <c r="Z501" i="11"/>
  <c r="Z472" i="11"/>
  <c r="Z502" i="11"/>
  <c r="Z503" i="11"/>
  <c r="Z504" i="11"/>
  <c r="Z506" i="11"/>
  <c r="Z505" i="11"/>
  <c r="Z507" i="11"/>
  <c r="Z508" i="11"/>
  <c r="Z510" i="11"/>
  <c r="Z509" i="11"/>
  <c r="Z511" i="11"/>
  <c r="Z512" i="11"/>
  <c r="Z513" i="11"/>
  <c r="Z515" i="11"/>
  <c r="Z514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2" i="11"/>
  <c r="Z531" i="11"/>
  <c r="Z329" i="11"/>
  <c r="Z347" i="11"/>
  <c r="Z348" i="11"/>
  <c r="Z371" i="11"/>
  <c r="Z370" i="11"/>
  <c r="Z372" i="11"/>
  <c r="Z374" i="11"/>
  <c r="Z375" i="11"/>
  <c r="Z373" i="11"/>
  <c r="Z376" i="11"/>
  <c r="Z379" i="11"/>
  <c r="Z483" i="11"/>
  <c r="Z482" i="11"/>
  <c r="Z473" i="11"/>
  <c r="Z474" i="11"/>
  <c r="Z475" i="11"/>
  <c r="Z476" i="11"/>
  <c r="Z158" i="11"/>
  <c r="Z159" i="11"/>
  <c r="Z160" i="11"/>
  <c r="Z161" i="11"/>
  <c r="Z162" i="11"/>
  <c r="Z163" i="11"/>
  <c r="Z164" i="11"/>
  <c r="Z165" i="11"/>
  <c r="Z166" i="11"/>
  <c r="Z167" i="11"/>
  <c r="Z168" i="11"/>
  <c r="Z184" i="11"/>
  <c r="Z296" i="11"/>
  <c r="Z297" i="11"/>
  <c r="Z300" i="11"/>
  <c r="Z299" i="11"/>
  <c r="Z298" i="11"/>
  <c r="Z301" i="11"/>
  <c r="Z295" i="11"/>
  <c r="Z302" i="11"/>
  <c r="Z303" i="11"/>
  <c r="Z304" i="11"/>
  <c r="Z305" i="11"/>
  <c r="Z306" i="11"/>
  <c r="Z366" i="11"/>
  <c r="Z367" i="11"/>
  <c r="Z368" i="11"/>
  <c r="Z533" i="11"/>
  <c r="Z369" i="11"/>
  <c r="Z6" i="11"/>
  <c r="Z4" i="11"/>
  <c r="Z3" i="11"/>
  <c r="Z5" i="11"/>
  <c r="Z7" i="11"/>
  <c r="Z10" i="11"/>
  <c r="Y275" i="11"/>
  <c r="Y293" i="11"/>
  <c r="Y402" i="11"/>
  <c r="Y399" i="11"/>
  <c r="Y294" i="11"/>
  <c r="Y400" i="11"/>
  <c r="Y403" i="11"/>
  <c r="Y276" i="11"/>
  <c r="Y480" i="11"/>
  <c r="Y271" i="11"/>
  <c r="Y277" i="11"/>
  <c r="Y484" i="11"/>
  <c r="Y292" i="11"/>
  <c r="Y278" i="11"/>
  <c r="Y308" i="11"/>
  <c r="Y309" i="11"/>
  <c r="Y327" i="11"/>
  <c r="Y364" i="11"/>
  <c r="Y365" i="11"/>
  <c r="Y377" i="11"/>
  <c r="Y378" i="11"/>
  <c r="Y401" i="11"/>
  <c r="Y404" i="11"/>
  <c r="Y481" i="11"/>
  <c r="Y406" i="11"/>
  <c r="Y326" i="11"/>
  <c r="Y405" i="11"/>
  <c r="Y355" i="11"/>
  <c r="Y485" i="11"/>
  <c r="Y486" i="11"/>
  <c r="Y487" i="11"/>
  <c r="Y471" i="11"/>
  <c r="Y501" i="11"/>
  <c r="Y472" i="11"/>
  <c r="Y502" i="11"/>
  <c r="Y503" i="11"/>
  <c r="Y504" i="11"/>
  <c r="Y506" i="11"/>
  <c r="Y505" i="11"/>
  <c r="Y507" i="11"/>
  <c r="Y508" i="11"/>
  <c r="Y510" i="11"/>
  <c r="Y509" i="11"/>
  <c r="Y511" i="11"/>
  <c r="Y512" i="11"/>
  <c r="Y513" i="11"/>
  <c r="Y515" i="11"/>
  <c r="Y514" i="11"/>
  <c r="Y516" i="11"/>
  <c r="Y517" i="11"/>
  <c r="Y518" i="11"/>
  <c r="Y519" i="11"/>
  <c r="Y520" i="11"/>
  <c r="Y521" i="11"/>
  <c r="Y522" i="11"/>
  <c r="Y523" i="11"/>
  <c r="Y524" i="11"/>
  <c r="Y525" i="11"/>
  <c r="Y526" i="11"/>
  <c r="Y527" i="11"/>
  <c r="Y528" i="11"/>
  <c r="Y529" i="11"/>
  <c r="Y530" i="11"/>
  <c r="Y532" i="11"/>
  <c r="Y531" i="11"/>
  <c r="Y329" i="11"/>
  <c r="Y347" i="11"/>
  <c r="Y348" i="11"/>
  <c r="Y371" i="11"/>
  <c r="Y370" i="11"/>
  <c r="Y372" i="11"/>
  <c r="Y374" i="11"/>
  <c r="Y375" i="11"/>
  <c r="Y373" i="11"/>
  <c r="Y376" i="11"/>
  <c r="Y379" i="11"/>
  <c r="Y483" i="11"/>
  <c r="Y482" i="11"/>
  <c r="Y473" i="11"/>
  <c r="Y474" i="11"/>
  <c r="Y475" i="11"/>
  <c r="Y476" i="11"/>
  <c r="Y158" i="11"/>
  <c r="Y159" i="11"/>
  <c r="Y160" i="11"/>
  <c r="Y161" i="11"/>
  <c r="Y162" i="11"/>
  <c r="Y163" i="11"/>
  <c r="Y164" i="11"/>
  <c r="Y165" i="11"/>
  <c r="Y166" i="11"/>
  <c r="Y167" i="11"/>
  <c r="Y168" i="11"/>
  <c r="Y184" i="11"/>
  <c r="Y296" i="11"/>
  <c r="Y297" i="11"/>
  <c r="Y300" i="11"/>
  <c r="Y299" i="11"/>
  <c r="Y298" i="11"/>
  <c r="Y301" i="11"/>
  <c r="Y295" i="11"/>
  <c r="Y302" i="11"/>
  <c r="Y303" i="11"/>
  <c r="Y304" i="11"/>
  <c r="Y305" i="11"/>
  <c r="Y306" i="11"/>
  <c r="Y366" i="11"/>
  <c r="Y367" i="11"/>
  <c r="Y368" i="11"/>
  <c r="Y533" i="11"/>
  <c r="Y369" i="11"/>
  <c r="Y6" i="11"/>
  <c r="Y4" i="11"/>
  <c r="Y3" i="11"/>
  <c r="Y5" i="11"/>
  <c r="Y7" i="11"/>
  <c r="Y10" i="11"/>
  <c r="X275" i="11"/>
  <c r="X293" i="11"/>
  <c r="X402" i="11"/>
  <c r="X399" i="11"/>
  <c r="X294" i="11"/>
  <c r="X400" i="11"/>
  <c r="X403" i="11"/>
  <c r="X276" i="11"/>
  <c r="X480" i="11"/>
  <c r="X271" i="11"/>
  <c r="X277" i="11"/>
  <c r="X484" i="11"/>
  <c r="X292" i="11"/>
  <c r="X278" i="11"/>
  <c r="X308" i="11"/>
  <c r="X309" i="11"/>
  <c r="X327" i="11"/>
  <c r="X364" i="11"/>
  <c r="X365" i="11"/>
  <c r="X377" i="11"/>
  <c r="X378" i="11"/>
  <c r="X401" i="11"/>
  <c r="X404" i="11"/>
  <c r="X481" i="11"/>
  <c r="X406" i="11"/>
  <c r="X326" i="11"/>
  <c r="X405" i="11"/>
  <c r="X355" i="11"/>
  <c r="X485" i="11"/>
  <c r="X486" i="11"/>
  <c r="X487" i="11"/>
  <c r="X471" i="11"/>
  <c r="X501" i="11"/>
  <c r="X472" i="11"/>
  <c r="X502" i="11"/>
  <c r="X503" i="11"/>
  <c r="X504" i="11"/>
  <c r="X506" i="11"/>
  <c r="X505" i="11"/>
  <c r="X507" i="11"/>
  <c r="X508" i="11"/>
  <c r="X510" i="11"/>
  <c r="X509" i="11"/>
  <c r="X511" i="11"/>
  <c r="X512" i="11"/>
  <c r="X513" i="11"/>
  <c r="X515" i="11"/>
  <c r="X514" i="11"/>
  <c r="X516" i="11"/>
  <c r="X517" i="11"/>
  <c r="X518" i="11"/>
  <c r="X519" i="11"/>
  <c r="X520" i="11"/>
  <c r="X521" i="11"/>
  <c r="X522" i="11"/>
  <c r="X523" i="11"/>
  <c r="X524" i="11"/>
  <c r="X525" i="11"/>
  <c r="X526" i="11"/>
  <c r="X527" i="11"/>
  <c r="X528" i="11"/>
  <c r="X529" i="11"/>
  <c r="X530" i="11"/>
  <c r="X532" i="11"/>
  <c r="X531" i="11"/>
  <c r="X329" i="11"/>
  <c r="X347" i="11"/>
  <c r="X348" i="11"/>
  <c r="X371" i="11"/>
  <c r="X370" i="11"/>
  <c r="X372" i="11"/>
  <c r="X374" i="11"/>
  <c r="X375" i="11"/>
  <c r="X373" i="11"/>
  <c r="X376" i="11"/>
  <c r="X379" i="11"/>
  <c r="X483" i="11"/>
  <c r="X482" i="11"/>
  <c r="X473" i="11"/>
  <c r="X474" i="11"/>
  <c r="X475" i="11"/>
  <c r="X476" i="11"/>
  <c r="X158" i="11"/>
  <c r="X159" i="11"/>
  <c r="X160" i="11"/>
  <c r="X161" i="11"/>
  <c r="X162" i="11"/>
  <c r="X163" i="11"/>
  <c r="X164" i="11"/>
  <c r="X165" i="11"/>
  <c r="X166" i="11"/>
  <c r="X167" i="11"/>
  <c r="X168" i="11"/>
  <c r="X184" i="11"/>
  <c r="X296" i="11"/>
  <c r="X297" i="11"/>
  <c r="X300" i="11"/>
  <c r="X299" i="11"/>
  <c r="X298" i="11"/>
  <c r="X301" i="11"/>
  <c r="X295" i="11"/>
  <c r="X302" i="11"/>
  <c r="X303" i="11"/>
  <c r="X304" i="11"/>
  <c r="X305" i="11"/>
  <c r="X306" i="11"/>
  <c r="X366" i="11"/>
  <c r="X367" i="11"/>
  <c r="X368" i="11"/>
  <c r="X533" i="11"/>
  <c r="X369" i="11"/>
  <c r="X6" i="11"/>
  <c r="X4" i="11"/>
  <c r="X3" i="11"/>
  <c r="X5" i="11"/>
  <c r="X7" i="11"/>
  <c r="X10" i="11"/>
  <c r="X614" i="3"/>
  <c r="X623" i="3"/>
  <c r="X209" i="3"/>
  <c r="X213" i="3"/>
  <c r="X218" i="3"/>
  <c r="X220" i="3"/>
  <c r="X222" i="3"/>
  <c r="X232" i="3"/>
  <c r="X246" i="3"/>
  <c r="X248" i="3"/>
  <c r="X249" i="3"/>
  <c r="X268" i="3"/>
  <c r="X284" i="3"/>
  <c r="X294" i="3"/>
  <c r="X300" i="3"/>
  <c r="X308" i="3"/>
  <c r="X310" i="3"/>
  <c r="X311" i="3"/>
  <c r="X317" i="3"/>
  <c r="X328" i="3"/>
  <c r="X342" i="3"/>
  <c r="X356" i="3"/>
  <c r="X588" i="3"/>
  <c r="X589" i="3"/>
  <c r="X590" i="3"/>
  <c r="X591" i="3"/>
  <c r="X593" i="3"/>
  <c r="X594" i="3"/>
  <c r="X595" i="3"/>
  <c r="X596" i="3"/>
  <c r="X597" i="3"/>
  <c r="X598" i="3"/>
  <c r="X599" i="3"/>
  <c r="X369" i="3"/>
  <c r="X531" i="3"/>
  <c r="X532" i="3"/>
  <c r="X533" i="3"/>
  <c r="X534" i="3"/>
  <c r="X535" i="3"/>
  <c r="X539" i="3"/>
  <c r="X540" i="3"/>
  <c r="X541" i="3"/>
  <c r="X542" i="3"/>
  <c r="X543" i="3"/>
  <c r="X550" i="3"/>
  <c r="X551" i="3"/>
  <c r="X552" i="3"/>
  <c r="X601" i="3"/>
  <c r="X602" i="3"/>
  <c r="X603" i="3"/>
  <c r="X607" i="3"/>
  <c r="X608" i="3"/>
  <c r="X609" i="3"/>
  <c r="X610" i="3"/>
  <c r="X611" i="3"/>
  <c r="X646" i="3"/>
  <c r="X647" i="3"/>
  <c r="X648" i="3"/>
  <c r="X746" i="3"/>
  <c r="X747" i="3"/>
  <c r="X748" i="3"/>
  <c r="X749" i="3"/>
  <c r="X750" i="3"/>
  <c r="X751" i="3"/>
  <c r="X754" i="3"/>
  <c r="X755" i="3"/>
  <c r="X756" i="3"/>
  <c r="X757" i="3"/>
  <c r="X758" i="3"/>
  <c r="X776" i="3"/>
  <c r="X780" i="3"/>
  <c r="X781" i="3"/>
  <c r="X782" i="3"/>
  <c r="X790" i="3"/>
  <c r="X791" i="3"/>
  <c r="X792" i="3"/>
  <c r="X793" i="3"/>
  <c r="X794" i="3"/>
  <c r="X802" i="3"/>
  <c r="X803" i="3"/>
  <c r="X804" i="3"/>
  <c r="X805" i="3"/>
  <c r="X806" i="3"/>
  <c r="X807" i="3"/>
  <c r="X845" i="3"/>
  <c r="X846" i="3"/>
  <c r="X847" i="3"/>
  <c r="X848" i="3"/>
  <c r="X849" i="3"/>
  <c r="X850" i="3"/>
  <c r="X851" i="3"/>
  <c r="X853" i="3"/>
  <c r="X854" i="3"/>
  <c r="X855" i="3"/>
  <c r="X856" i="3"/>
  <c r="X857" i="3"/>
  <c r="X865" i="3"/>
  <c r="X866" i="3"/>
  <c r="X867" i="3"/>
  <c r="X877" i="3"/>
  <c r="X878" i="3"/>
  <c r="X879" i="3"/>
  <c r="X880" i="3"/>
  <c r="X881" i="3"/>
  <c r="X882" i="3"/>
  <c r="X883" i="3"/>
  <c r="X884" i="3"/>
  <c r="X897" i="3"/>
  <c r="X898" i="3"/>
  <c r="X899" i="3"/>
  <c r="X900" i="3"/>
  <c r="X901" i="3"/>
  <c r="X902" i="3"/>
  <c r="X903" i="3"/>
  <c r="X917" i="3"/>
  <c r="X918" i="3"/>
  <c r="X919" i="3"/>
  <c r="X920" i="3"/>
  <c r="X921" i="3"/>
  <c r="X922" i="3"/>
  <c r="X923" i="3"/>
  <c r="X924" i="3"/>
  <c r="X925" i="3"/>
  <c r="X953" i="3"/>
  <c r="X954" i="3"/>
  <c r="X955" i="3"/>
  <c r="X956" i="3"/>
  <c r="X957" i="3"/>
  <c r="X958" i="3"/>
  <c r="X95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71" i="3"/>
  <c r="X1072" i="3"/>
  <c r="X1073" i="3"/>
  <c r="X1074" i="3"/>
  <c r="X1075" i="3"/>
  <c r="X1076" i="3"/>
  <c r="X1111" i="3"/>
  <c r="X1112" i="3"/>
  <c r="X1113" i="3"/>
  <c r="X1114" i="3"/>
  <c r="X1121" i="3"/>
  <c r="X1122" i="3"/>
  <c r="X1123" i="3"/>
  <c r="X1130" i="3"/>
  <c r="X1136" i="3"/>
  <c r="X1137" i="3"/>
  <c r="X1138" i="3"/>
  <c r="X1139" i="3"/>
  <c r="X1140" i="3"/>
  <c r="X1141" i="3"/>
  <c r="X1170" i="3"/>
  <c r="X1171" i="3"/>
  <c r="X1186" i="3"/>
  <c r="X1187" i="3"/>
  <c r="X1188" i="3"/>
  <c r="X1189" i="3"/>
  <c r="X1190" i="3"/>
  <c r="X1191" i="3"/>
  <c r="X1192" i="3"/>
  <c r="X1199" i="3"/>
  <c r="X1209" i="3"/>
  <c r="X1210" i="3"/>
  <c r="X1211" i="3"/>
  <c r="X1212" i="3"/>
  <c r="X1230" i="3"/>
  <c r="X1231" i="3"/>
  <c r="X1232" i="3"/>
  <c r="X1233" i="3"/>
  <c r="X1242" i="3"/>
  <c r="X1243" i="3"/>
  <c r="X1244" i="3"/>
  <c r="X1245" i="3"/>
  <c r="X1246" i="3"/>
  <c r="X1247" i="3"/>
  <c r="X1248" i="3"/>
  <c r="X1261" i="3"/>
  <c r="X1262" i="3"/>
  <c r="X885" i="3"/>
  <c r="X886" i="3"/>
  <c r="X926" i="3"/>
  <c r="X927" i="3"/>
  <c r="X960" i="3"/>
  <c r="X961" i="3"/>
  <c r="X962" i="3"/>
  <c r="X963" i="3"/>
  <c r="X964" i="3"/>
  <c r="X978" i="3"/>
  <c r="X979" i="3"/>
  <c r="X980" i="3"/>
  <c r="X981" i="3"/>
  <c r="X1000" i="3"/>
  <c r="X1001" i="3"/>
  <c r="X1022" i="3"/>
  <c r="X1023" i="3"/>
  <c r="X1024" i="3"/>
  <c r="X1032" i="3"/>
  <c r="X1033" i="3"/>
  <c r="X1034" i="3"/>
  <c r="X1039" i="3"/>
  <c r="X1040" i="3"/>
  <c r="X1052" i="3"/>
  <c r="X1053" i="3"/>
  <c r="X1054" i="3"/>
  <c r="X1063" i="3"/>
  <c r="X1064" i="3"/>
  <c r="X1065" i="3"/>
  <c r="X1066" i="3"/>
  <c r="X1067" i="3"/>
  <c r="X1077" i="3"/>
  <c r="X1078" i="3"/>
  <c r="X1079" i="3"/>
  <c r="X1080" i="3"/>
  <c r="X1081" i="3"/>
  <c r="X1082" i="3"/>
  <c r="X1085" i="3"/>
  <c r="X1086" i="3"/>
  <c r="X1092" i="3"/>
  <c r="X1087" i="3"/>
  <c r="X1091" i="3"/>
  <c r="X1093" i="3"/>
  <c r="X1068" i="3"/>
  <c r="X612" i="3"/>
  <c r="X620" i="3"/>
  <c r="X621" i="3"/>
  <c r="X622" i="3"/>
  <c r="X613" i="3"/>
  <c r="X679" i="3"/>
  <c r="X683" i="3"/>
  <c r="X684" i="3"/>
  <c r="X685" i="3"/>
  <c r="X703" i="3"/>
  <c r="X704" i="3"/>
  <c r="X705" i="3"/>
  <c r="X713" i="3"/>
  <c r="X714" i="3"/>
  <c r="X725" i="3"/>
  <c r="X726" i="3"/>
  <c r="X727" i="3"/>
  <c r="X732" i="3"/>
  <c r="X733" i="3"/>
  <c r="X752" i="3"/>
  <c r="X759" i="3"/>
  <c r="X760" i="3"/>
  <c r="X761" i="3"/>
  <c r="X795" i="3"/>
  <c r="X796" i="3"/>
  <c r="X797" i="3"/>
  <c r="X798" i="3"/>
  <c r="X799" i="3"/>
  <c r="X808" i="3"/>
  <c r="X858" i="3"/>
  <c r="X859" i="3"/>
  <c r="X868" i="3"/>
  <c r="X982" i="3"/>
  <c r="X983" i="3"/>
  <c r="X4" i="3"/>
  <c r="X38" i="3"/>
  <c r="X47" i="3"/>
  <c r="X48" i="3"/>
  <c r="X49" i="3"/>
  <c r="X50" i="3"/>
  <c r="X51" i="3"/>
  <c r="X52" i="3"/>
  <c r="X53" i="3"/>
  <c r="X54" i="3"/>
  <c r="X55" i="3"/>
  <c r="X56" i="3"/>
  <c r="X57" i="3"/>
  <c r="X74" i="3"/>
  <c r="X75" i="3"/>
  <c r="X76" i="3"/>
  <c r="X77" i="3"/>
  <c r="X78" i="3"/>
  <c r="X79" i="3"/>
  <c r="X80" i="3"/>
  <c r="X81" i="3"/>
  <c r="X124" i="3"/>
  <c r="X125" i="3"/>
  <c r="X126" i="3"/>
  <c r="X127" i="3"/>
  <c r="X184" i="3"/>
  <c r="X188" i="3"/>
  <c r="X189" i="3"/>
  <c r="X190" i="3"/>
  <c r="X191" i="3"/>
  <c r="X192" i="3"/>
  <c r="X193" i="3"/>
  <c r="X194" i="3"/>
  <c r="X195" i="3"/>
  <c r="X373" i="3"/>
  <c r="X374" i="3"/>
  <c r="X375" i="3"/>
  <c r="X376" i="3"/>
  <c r="X377" i="3"/>
  <c r="X378" i="3"/>
  <c r="X379" i="3"/>
  <c r="X380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408" i="3"/>
  <c r="X409" i="3"/>
  <c r="X410" i="3"/>
  <c r="X411" i="3"/>
  <c r="X412" i="3"/>
  <c r="X413" i="3"/>
  <c r="X414" i="3"/>
  <c r="X415" i="3"/>
  <c r="X416" i="3"/>
  <c r="X429" i="3"/>
  <c r="X430" i="3"/>
  <c r="X431" i="3"/>
  <c r="X432" i="3"/>
  <c r="X433" i="3"/>
  <c r="X434" i="3"/>
  <c r="X435" i="3"/>
  <c r="X436" i="3"/>
  <c r="X437" i="3"/>
  <c r="X445" i="3"/>
  <c r="X446" i="3"/>
  <c r="X447" i="3"/>
  <c r="X448" i="3"/>
  <c r="X449" i="3"/>
  <c r="X450" i="3"/>
  <c r="X451" i="3"/>
  <c r="X452" i="3"/>
  <c r="X453" i="3"/>
  <c r="X463" i="3"/>
  <c r="X464" i="3"/>
  <c r="X465" i="3"/>
  <c r="X466" i="3"/>
  <c r="X467" i="3"/>
  <c r="X468" i="3"/>
  <c r="X469" i="3"/>
  <c r="X470" i="3"/>
  <c r="X479" i="3"/>
  <c r="X480" i="3"/>
  <c r="X481" i="3"/>
  <c r="X482" i="3"/>
  <c r="X664" i="3"/>
  <c r="X665" i="3"/>
  <c r="X666" i="3"/>
  <c r="X667" i="3"/>
  <c r="X668" i="3"/>
  <c r="X686" i="3"/>
  <c r="X687" i="3"/>
  <c r="X688" i="3"/>
  <c r="X706" i="3"/>
  <c r="X707" i="3"/>
  <c r="X708" i="3"/>
  <c r="X709" i="3"/>
  <c r="X223" i="3"/>
  <c r="X224" i="3"/>
  <c r="W614" i="3"/>
  <c r="R1186" i="3"/>
  <c r="R1076" i="3"/>
  <c r="R1075" i="3"/>
  <c r="R1074" i="3"/>
  <c r="R1013" i="3"/>
  <c r="R918" i="3"/>
  <c r="R903" i="3"/>
  <c r="R900" i="3"/>
  <c r="R897" i="3"/>
  <c r="R882" i="3"/>
  <c r="R881" i="3"/>
  <c r="R623" i="3"/>
  <c r="R209" i="3"/>
  <c r="R213" i="3"/>
  <c r="R218" i="3"/>
  <c r="R220" i="3"/>
  <c r="R222" i="3"/>
  <c r="R232" i="3"/>
  <c r="R246" i="3"/>
  <c r="R248" i="3"/>
  <c r="R249" i="3"/>
  <c r="R268" i="3"/>
  <c r="R284" i="3"/>
  <c r="R294" i="3"/>
  <c r="R300" i="3"/>
  <c r="R308" i="3"/>
  <c r="R310" i="3"/>
  <c r="R311" i="3"/>
  <c r="R317" i="3"/>
  <c r="R328" i="3"/>
  <c r="R342" i="3"/>
  <c r="R356" i="3"/>
  <c r="R588" i="3"/>
  <c r="R589" i="3"/>
  <c r="R590" i="3"/>
  <c r="R591" i="3"/>
  <c r="R593" i="3"/>
  <c r="R594" i="3"/>
  <c r="R595" i="3"/>
  <c r="R596" i="3"/>
  <c r="R597" i="3"/>
  <c r="R598" i="3"/>
  <c r="R599" i="3"/>
  <c r="R369" i="3"/>
  <c r="R531" i="3"/>
  <c r="R532" i="3"/>
  <c r="R533" i="3"/>
  <c r="R534" i="3"/>
  <c r="R535" i="3"/>
  <c r="R539" i="3"/>
  <c r="R541" i="3"/>
  <c r="R542" i="3"/>
  <c r="R543" i="3"/>
  <c r="R550" i="3"/>
  <c r="R551" i="3"/>
  <c r="R552" i="3"/>
  <c r="R601" i="3"/>
  <c r="R602" i="3"/>
  <c r="R603" i="3"/>
  <c r="R607" i="3"/>
  <c r="R608" i="3"/>
  <c r="R609" i="3"/>
  <c r="R610" i="3"/>
  <c r="R611" i="3"/>
  <c r="R646" i="3"/>
  <c r="R647" i="3"/>
  <c r="R648" i="3"/>
  <c r="R746" i="3"/>
  <c r="R747" i="3"/>
  <c r="R748" i="3"/>
  <c r="R749" i="3"/>
  <c r="R750" i="3"/>
  <c r="R751" i="3"/>
  <c r="R754" i="3"/>
  <c r="R755" i="3"/>
  <c r="R756" i="3"/>
  <c r="R757" i="3"/>
  <c r="R758" i="3"/>
  <c r="R776" i="3"/>
  <c r="R780" i="3"/>
  <c r="R781" i="3"/>
  <c r="R782" i="3"/>
  <c r="R790" i="3"/>
  <c r="R791" i="3"/>
  <c r="R792" i="3"/>
  <c r="R793" i="3"/>
  <c r="R794" i="3"/>
  <c r="R802" i="3"/>
  <c r="R803" i="3"/>
  <c r="R804" i="3"/>
  <c r="R805" i="3"/>
  <c r="R806" i="3"/>
  <c r="R807" i="3"/>
  <c r="R845" i="3"/>
  <c r="R846" i="3"/>
  <c r="R847" i="3"/>
  <c r="R848" i="3"/>
  <c r="R849" i="3"/>
  <c r="R850" i="3"/>
  <c r="R851" i="3"/>
  <c r="R853" i="3"/>
  <c r="R854" i="3"/>
  <c r="R855" i="3"/>
  <c r="R856" i="3"/>
  <c r="R857" i="3"/>
  <c r="R865" i="3"/>
  <c r="R866" i="3"/>
  <c r="R867" i="3"/>
  <c r="R877" i="3"/>
  <c r="R879" i="3"/>
  <c r="R880" i="3"/>
  <c r="R883" i="3"/>
  <c r="R884" i="3"/>
  <c r="R898" i="3"/>
  <c r="R899" i="3"/>
  <c r="R901" i="3"/>
  <c r="R902" i="3"/>
  <c r="R917" i="3"/>
  <c r="R920" i="3"/>
  <c r="R921" i="3"/>
  <c r="R922" i="3"/>
  <c r="R923" i="3"/>
  <c r="R924" i="3"/>
  <c r="R925" i="3"/>
  <c r="R953" i="3"/>
  <c r="R954" i="3"/>
  <c r="R955" i="3"/>
  <c r="R956" i="3"/>
  <c r="R957" i="3"/>
  <c r="R958" i="3"/>
  <c r="R959" i="3"/>
  <c r="R1010" i="3"/>
  <c r="R1011" i="3"/>
  <c r="R1012" i="3"/>
  <c r="R1014" i="3"/>
  <c r="R1015" i="3"/>
  <c r="R1016" i="3"/>
  <c r="R1017" i="3"/>
  <c r="R1018" i="3"/>
  <c r="R1019" i="3"/>
  <c r="R1020" i="3"/>
  <c r="R1071" i="3"/>
  <c r="R1072" i="3"/>
  <c r="R1073" i="3"/>
  <c r="R1111" i="3"/>
  <c r="R1112" i="3"/>
  <c r="R1113" i="3"/>
  <c r="R1114" i="3"/>
  <c r="R1121" i="3"/>
  <c r="R1122" i="3"/>
  <c r="R1123" i="3"/>
  <c r="R1130" i="3"/>
  <c r="R1136" i="3"/>
  <c r="R1137" i="3"/>
  <c r="R1138" i="3"/>
  <c r="R1139" i="3"/>
  <c r="R1140" i="3"/>
  <c r="R1141" i="3"/>
  <c r="R1170" i="3"/>
  <c r="R1171" i="3"/>
  <c r="R1187" i="3"/>
  <c r="R1188" i="3"/>
  <c r="R1189" i="3"/>
  <c r="R1190" i="3"/>
  <c r="R1191" i="3"/>
  <c r="R1192" i="3"/>
  <c r="R1199" i="3"/>
  <c r="R1209" i="3"/>
  <c r="R1210" i="3"/>
  <c r="R1211" i="3"/>
  <c r="R1212" i="3"/>
  <c r="R1230" i="3"/>
  <c r="R1231" i="3"/>
  <c r="R1232" i="3"/>
  <c r="R1233" i="3"/>
  <c r="R1242" i="3"/>
  <c r="R1243" i="3"/>
  <c r="R1244" i="3"/>
  <c r="R1245" i="3"/>
  <c r="R1246" i="3"/>
  <c r="R1247" i="3"/>
  <c r="R1248" i="3"/>
  <c r="R1261" i="3"/>
  <c r="R1262" i="3"/>
  <c r="R885" i="3"/>
  <c r="R886" i="3"/>
  <c r="R926" i="3"/>
  <c r="R927" i="3"/>
  <c r="R960" i="3"/>
  <c r="R961" i="3"/>
  <c r="R962" i="3"/>
  <c r="R963" i="3"/>
  <c r="R964" i="3"/>
  <c r="R978" i="3"/>
  <c r="R979" i="3"/>
  <c r="R980" i="3"/>
  <c r="R981" i="3"/>
  <c r="R1000" i="3"/>
  <c r="R1001" i="3"/>
  <c r="R1022" i="3"/>
  <c r="R1023" i="3"/>
  <c r="R1024" i="3"/>
  <c r="R1032" i="3"/>
  <c r="R1033" i="3"/>
  <c r="R1034" i="3"/>
  <c r="R1039" i="3"/>
  <c r="R1040" i="3"/>
  <c r="R1041" i="3"/>
  <c r="R1042" i="3"/>
  <c r="R1043" i="3"/>
  <c r="R1052" i="3"/>
  <c r="R1053" i="3"/>
  <c r="R1054" i="3"/>
  <c r="R1063" i="3"/>
  <c r="R1064" i="3"/>
  <c r="R1065" i="3"/>
  <c r="R1066" i="3"/>
  <c r="R1067" i="3"/>
  <c r="R1077" i="3"/>
  <c r="R1078" i="3"/>
  <c r="R1079" i="3"/>
  <c r="R1080" i="3"/>
  <c r="R1081" i="3"/>
  <c r="R1082" i="3"/>
  <c r="R1083" i="3"/>
  <c r="R1085" i="3"/>
  <c r="R1086" i="3"/>
  <c r="R1092" i="3"/>
  <c r="R1087" i="3"/>
  <c r="R1091" i="3"/>
  <c r="R1093" i="3"/>
  <c r="R1068" i="3"/>
  <c r="R612" i="3"/>
  <c r="R620" i="3"/>
  <c r="R621" i="3"/>
  <c r="R622" i="3"/>
  <c r="R613" i="3"/>
  <c r="R679" i="3"/>
  <c r="R683" i="3"/>
  <c r="R684" i="3"/>
  <c r="R685" i="3"/>
  <c r="R703" i="3"/>
  <c r="R704" i="3"/>
  <c r="R705" i="3"/>
  <c r="R713" i="3"/>
  <c r="R714" i="3"/>
  <c r="R725" i="3"/>
  <c r="R726" i="3"/>
  <c r="R727" i="3"/>
  <c r="R732" i="3"/>
  <c r="R733" i="3"/>
  <c r="R752" i="3"/>
  <c r="R759" i="3"/>
  <c r="R760" i="3"/>
  <c r="R761" i="3"/>
  <c r="R795" i="3"/>
  <c r="R796" i="3"/>
  <c r="R797" i="3"/>
  <c r="R798" i="3"/>
  <c r="R799" i="3"/>
  <c r="R858" i="3"/>
  <c r="R859" i="3"/>
  <c r="R868" i="3"/>
  <c r="R982" i="3"/>
  <c r="R983" i="3"/>
  <c r="R4" i="3"/>
  <c r="R38" i="3"/>
  <c r="R614" i="3"/>
  <c r="V1186" i="3"/>
  <c r="W1186" i="3"/>
  <c r="V1021" i="3"/>
  <c r="W1021" i="3"/>
  <c r="V1013" i="3"/>
  <c r="W1013" i="3"/>
  <c r="V919" i="3"/>
  <c r="W919" i="3"/>
  <c r="V918" i="3"/>
  <c r="W918" i="3"/>
  <c r="V903" i="3"/>
  <c r="W903" i="3"/>
  <c r="V900" i="3"/>
  <c r="W900" i="3"/>
  <c r="V897" i="3"/>
  <c r="W897" i="3"/>
  <c r="V882" i="3"/>
  <c r="W882" i="3"/>
  <c r="V881" i="3"/>
  <c r="W881" i="3"/>
  <c r="V878" i="3"/>
  <c r="W878" i="3"/>
  <c r="R224" i="3"/>
  <c r="V224" i="3"/>
  <c r="W224" i="3"/>
  <c r="R223" i="3"/>
  <c r="V223" i="3"/>
  <c r="W223" i="3"/>
  <c r="E23" i="1"/>
  <c r="E24" i="1"/>
  <c r="E25" i="1"/>
  <c r="E26" i="1"/>
  <c r="E27" i="1"/>
  <c r="E28" i="1"/>
  <c r="E29" i="1"/>
  <c r="E30" i="1"/>
  <c r="B22" i="1"/>
  <c r="E22" i="1" s="1"/>
  <c r="W623" i="3"/>
  <c r="W218" i="3"/>
  <c r="W220" i="3"/>
  <c r="W222" i="3"/>
  <c r="W248" i="3"/>
  <c r="W249" i="3"/>
  <c r="W268" i="3"/>
  <c r="W300" i="3"/>
  <c r="W308" i="3"/>
  <c r="W310" i="3"/>
  <c r="W311" i="3"/>
  <c r="W317" i="3"/>
  <c r="W356" i="3"/>
  <c r="W588" i="3"/>
  <c r="W589" i="3"/>
  <c r="W590" i="3"/>
  <c r="W591" i="3"/>
  <c r="W593" i="3"/>
  <c r="W594" i="3"/>
  <c r="W595" i="3"/>
  <c r="W596" i="3"/>
  <c r="W597" i="3"/>
  <c r="W598" i="3"/>
  <c r="W369" i="3"/>
  <c r="W531" i="3"/>
  <c r="W533" i="3"/>
  <c r="W534" i="3"/>
  <c r="W535" i="3"/>
  <c r="W540" i="3"/>
  <c r="W541" i="3"/>
  <c r="W542" i="3"/>
  <c r="W550" i="3"/>
  <c r="W551" i="3"/>
  <c r="W552" i="3"/>
  <c r="W601" i="3"/>
  <c r="W602" i="3"/>
  <c r="W603" i="3"/>
  <c r="W607" i="3"/>
  <c r="W608" i="3"/>
  <c r="W609" i="3"/>
  <c r="W610" i="3"/>
  <c r="W611" i="3"/>
  <c r="W647" i="3"/>
  <c r="W746" i="3"/>
  <c r="W747" i="3"/>
  <c r="W748" i="3"/>
  <c r="W749" i="3"/>
  <c r="W750" i="3"/>
  <c r="W751" i="3"/>
  <c r="W754" i="3"/>
  <c r="W755" i="3"/>
  <c r="W756" i="3"/>
  <c r="W757" i="3"/>
  <c r="W758" i="3"/>
  <c r="W776" i="3"/>
  <c r="W780" i="3"/>
  <c r="W781" i="3"/>
  <c r="W782" i="3"/>
  <c r="W790" i="3"/>
  <c r="W791" i="3"/>
  <c r="W792" i="3"/>
  <c r="W794" i="3"/>
  <c r="W802" i="3"/>
  <c r="W803" i="3"/>
  <c r="W804" i="3"/>
  <c r="W805" i="3"/>
  <c r="W806" i="3"/>
  <c r="W807" i="3"/>
  <c r="W845" i="3"/>
  <c r="W846" i="3"/>
  <c r="W848" i="3"/>
  <c r="W849" i="3"/>
  <c r="W850" i="3"/>
  <c r="W851" i="3"/>
  <c r="W853" i="3"/>
  <c r="W854" i="3"/>
  <c r="W855" i="3"/>
  <c r="W856" i="3"/>
  <c r="W857" i="3"/>
  <c r="W865" i="3"/>
  <c r="W866" i="3"/>
  <c r="W867" i="3"/>
  <c r="W877" i="3"/>
  <c r="W879" i="3"/>
  <c r="W880" i="3"/>
  <c r="W883" i="3"/>
  <c r="W884" i="3"/>
  <c r="W898" i="3"/>
  <c r="W899" i="3"/>
  <c r="W901" i="3"/>
  <c r="W209" i="3"/>
  <c r="W213" i="3"/>
  <c r="W232" i="3"/>
  <c r="W246" i="3"/>
  <c r="W284" i="3"/>
  <c r="W294" i="3"/>
  <c r="W328" i="3"/>
  <c r="W342" i="3"/>
  <c r="W599" i="3"/>
  <c r="W532" i="3"/>
  <c r="W539" i="3"/>
  <c r="W543" i="3"/>
  <c r="W646" i="3"/>
  <c r="W648" i="3"/>
  <c r="W793" i="3"/>
  <c r="W847" i="3"/>
  <c r="W902" i="3"/>
  <c r="W917" i="3"/>
  <c r="W920" i="3"/>
  <c r="W921" i="3"/>
  <c r="W922" i="3"/>
  <c r="W923" i="3"/>
  <c r="W924" i="3"/>
  <c r="W925" i="3"/>
  <c r="W953" i="3"/>
  <c r="W954" i="3"/>
  <c r="W955" i="3"/>
  <c r="W956" i="3"/>
  <c r="W957" i="3"/>
  <c r="W958" i="3"/>
  <c r="W959" i="3"/>
  <c r="W1010" i="3"/>
  <c r="W1011" i="3"/>
  <c r="W1012" i="3"/>
  <c r="W1014" i="3"/>
  <c r="W1015" i="3"/>
  <c r="W1017" i="3"/>
  <c r="W1018" i="3"/>
  <c r="W1019" i="3"/>
  <c r="W1016" i="3"/>
  <c r="W1020" i="3"/>
  <c r="W1071" i="3"/>
  <c r="W1072" i="3"/>
  <c r="W1073" i="3"/>
  <c r="W1074" i="3"/>
  <c r="W1075" i="3"/>
  <c r="W1076" i="3"/>
  <c r="W1111" i="3"/>
  <c r="W1112" i="3"/>
  <c r="W1113" i="3"/>
  <c r="W1114" i="3"/>
  <c r="W1121" i="3"/>
  <c r="W1122" i="3"/>
  <c r="W1123" i="3"/>
  <c r="W1130" i="3"/>
  <c r="W1136" i="3"/>
  <c r="W1137" i="3"/>
  <c r="W1138" i="3"/>
  <c r="W1139" i="3"/>
  <c r="W1140" i="3"/>
  <c r="W1141" i="3"/>
  <c r="W1170" i="3"/>
  <c r="W1171" i="3"/>
  <c r="W1187" i="3"/>
  <c r="W1188" i="3"/>
  <c r="W1189" i="3"/>
  <c r="W1190" i="3"/>
  <c r="W1191" i="3"/>
  <c r="W1192" i="3"/>
  <c r="W1199" i="3"/>
  <c r="W1209" i="3"/>
  <c r="W1210" i="3"/>
  <c r="W1211" i="3"/>
  <c r="W1212" i="3"/>
  <c r="W1230" i="3"/>
  <c r="W1231" i="3"/>
  <c r="W1232" i="3"/>
  <c r="W1233" i="3"/>
  <c r="W1242" i="3"/>
  <c r="W1243" i="3"/>
  <c r="W1244" i="3"/>
  <c r="W1245" i="3"/>
  <c r="W1246" i="3"/>
  <c r="W1247" i="3"/>
  <c r="W1248" i="3"/>
  <c r="W1261" i="3"/>
  <c r="W1262" i="3"/>
  <c r="W885" i="3"/>
  <c r="W886" i="3"/>
  <c r="W926" i="3"/>
  <c r="W927" i="3"/>
  <c r="W960" i="3"/>
  <c r="W961" i="3"/>
  <c r="W962" i="3"/>
  <c r="W963" i="3"/>
  <c r="W964" i="3"/>
  <c r="W978" i="3"/>
  <c r="W979" i="3"/>
  <c r="W980" i="3"/>
  <c r="W981" i="3"/>
  <c r="W1000" i="3"/>
  <c r="W1001" i="3"/>
  <c r="W1022" i="3"/>
  <c r="W1023" i="3"/>
  <c r="W1024" i="3"/>
  <c r="W1032" i="3"/>
  <c r="W1033" i="3"/>
  <c r="W1034" i="3"/>
  <c r="W1039" i="3"/>
  <c r="W1040" i="3"/>
  <c r="W1052" i="3"/>
  <c r="W1053" i="3"/>
  <c r="W1054" i="3"/>
  <c r="W1063" i="3"/>
  <c r="W1064" i="3"/>
  <c r="W1065" i="3"/>
  <c r="W1066" i="3"/>
  <c r="W1067" i="3"/>
  <c r="W1077" i="3"/>
  <c r="W1078" i="3"/>
  <c r="W1079" i="3"/>
  <c r="W1080" i="3"/>
  <c r="W1081" i="3"/>
  <c r="W1082" i="3"/>
  <c r="W1085" i="3"/>
  <c r="W1086" i="3"/>
  <c r="W1092" i="3"/>
  <c r="W1087" i="3"/>
  <c r="W1091" i="3"/>
  <c r="W1093" i="3"/>
  <c r="W1068" i="3"/>
  <c r="W612" i="3"/>
  <c r="W620" i="3"/>
  <c r="W621" i="3"/>
  <c r="W622" i="3"/>
  <c r="W613" i="3"/>
  <c r="W679" i="3"/>
  <c r="W683" i="3"/>
  <c r="W684" i="3"/>
  <c r="W685" i="3"/>
  <c r="W703" i="3"/>
  <c r="W704" i="3"/>
  <c r="W705" i="3"/>
  <c r="W713" i="3"/>
  <c r="W714" i="3"/>
  <c r="W725" i="3"/>
  <c r="W726" i="3"/>
  <c r="W727" i="3"/>
  <c r="W732" i="3"/>
  <c r="W733" i="3"/>
  <c r="W752" i="3"/>
  <c r="W759" i="3"/>
  <c r="W760" i="3"/>
  <c r="W761" i="3"/>
  <c r="W795" i="3"/>
  <c r="W796" i="3"/>
  <c r="W797" i="3"/>
  <c r="W798" i="3"/>
  <c r="W799" i="3"/>
  <c r="W808" i="3"/>
  <c r="W858" i="3"/>
  <c r="W859" i="3"/>
  <c r="W868" i="3"/>
  <c r="W982" i="3"/>
  <c r="W983" i="3"/>
  <c r="W4" i="3"/>
  <c r="W38" i="3"/>
  <c r="W47" i="3"/>
  <c r="W48" i="3"/>
  <c r="W49" i="3"/>
  <c r="W50" i="3"/>
  <c r="W51" i="3"/>
  <c r="W52" i="3"/>
  <c r="W53" i="3"/>
  <c r="W54" i="3"/>
  <c r="W55" i="3"/>
  <c r="W56" i="3"/>
  <c r="W57" i="3"/>
  <c r="W74" i="3"/>
  <c r="W75" i="3"/>
  <c r="W76" i="3"/>
  <c r="W77" i="3"/>
  <c r="W78" i="3"/>
  <c r="W79" i="3"/>
  <c r="W80" i="3"/>
  <c r="W81" i="3"/>
  <c r="W124" i="3"/>
  <c r="W125" i="3"/>
  <c r="W126" i="3"/>
  <c r="W127" i="3"/>
  <c r="W184" i="3"/>
  <c r="W188" i="3"/>
  <c r="W189" i="3"/>
  <c r="W190" i="3"/>
  <c r="W191" i="3"/>
  <c r="W192" i="3"/>
  <c r="W193" i="3"/>
  <c r="W194" i="3"/>
  <c r="W195" i="3"/>
  <c r="W373" i="3"/>
  <c r="W374" i="3"/>
  <c r="W375" i="3"/>
  <c r="W376" i="3"/>
  <c r="W377" i="3"/>
  <c r="W378" i="3"/>
  <c r="W379" i="3"/>
  <c r="W380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408" i="3"/>
  <c r="W409" i="3"/>
  <c r="W410" i="3"/>
  <c r="W411" i="3"/>
  <c r="W412" i="3"/>
  <c r="W413" i="3"/>
  <c r="W414" i="3"/>
  <c r="W415" i="3"/>
  <c r="W416" i="3"/>
  <c r="W429" i="3"/>
  <c r="W430" i="3"/>
  <c r="W431" i="3"/>
  <c r="W432" i="3"/>
  <c r="W433" i="3"/>
  <c r="W434" i="3"/>
  <c r="W435" i="3"/>
  <c r="W436" i="3"/>
  <c r="W437" i="3"/>
  <c r="W445" i="3"/>
  <c r="W446" i="3"/>
  <c r="W447" i="3"/>
  <c r="W448" i="3"/>
  <c r="W449" i="3"/>
  <c r="W450" i="3"/>
  <c r="W451" i="3"/>
  <c r="W452" i="3"/>
  <c r="W453" i="3"/>
  <c r="W463" i="3"/>
  <c r="W464" i="3"/>
  <c r="W465" i="3"/>
  <c r="W466" i="3"/>
  <c r="W467" i="3"/>
  <c r="W468" i="3"/>
  <c r="W469" i="3"/>
  <c r="W470" i="3"/>
  <c r="W479" i="3"/>
  <c r="W480" i="3"/>
  <c r="W481" i="3"/>
  <c r="W482" i="3"/>
  <c r="W664" i="3"/>
  <c r="W665" i="3"/>
  <c r="W666" i="3"/>
  <c r="W667" i="3"/>
  <c r="W668" i="3"/>
  <c r="W686" i="3"/>
  <c r="W687" i="3"/>
  <c r="W688" i="3"/>
  <c r="W706" i="3"/>
  <c r="W707" i="3"/>
  <c r="W708" i="3"/>
  <c r="W709" i="3"/>
  <c r="V623" i="3"/>
  <c r="V218" i="3"/>
  <c r="V220" i="3"/>
  <c r="V222" i="3"/>
  <c r="V248" i="3"/>
  <c r="V249" i="3"/>
  <c r="V268" i="3"/>
  <c r="V300" i="3"/>
  <c r="V308" i="3"/>
  <c r="V310" i="3"/>
  <c r="V311" i="3"/>
  <c r="V317" i="3"/>
  <c r="V356" i="3"/>
  <c r="V588" i="3"/>
  <c r="V589" i="3"/>
  <c r="V590" i="3"/>
  <c r="V591" i="3"/>
  <c r="V593" i="3"/>
  <c r="V594" i="3"/>
  <c r="V595" i="3"/>
  <c r="V596" i="3"/>
  <c r="V597" i="3"/>
  <c r="V598" i="3"/>
  <c r="V369" i="3"/>
  <c r="V531" i="3"/>
  <c r="V533" i="3"/>
  <c r="V534" i="3"/>
  <c r="V535" i="3"/>
  <c r="V540" i="3"/>
  <c r="V541" i="3"/>
  <c r="V542" i="3"/>
  <c r="V550" i="3"/>
  <c r="V551" i="3"/>
  <c r="V552" i="3"/>
  <c r="V601" i="3"/>
  <c r="V602" i="3"/>
  <c r="V603" i="3"/>
  <c r="V607" i="3"/>
  <c r="V608" i="3"/>
  <c r="V609" i="3"/>
  <c r="V610" i="3"/>
  <c r="V611" i="3"/>
  <c r="V647" i="3"/>
  <c r="V746" i="3"/>
  <c r="V747" i="3"/>
  <c r="V748" i="3"/>
  <c r="V749" i="3"/>
  <c r="V750" i="3"/>
  <c r="V751" i="3"/>
  <c r="V754" i="3"/>
  <c r="V755" i="3"/>
  <c r="V756" i="3"/>
  <c r="V757" i="3"/>
  <c r="V758" i="3"/>
  <c r="V776" i="3"/>
  <c r="V780" i="3"/>
  <c r="V781" i="3"/>
  <c r="V782" i="3"/>
  <c r="V790" i="3"/>
  <c r="V791" i="3"/>
  <c r="V792" i="3"/>
  <c r="V794" i="3"/>
  <c r="V802" i="3"/>
  <c r="V803" i="3"/>
  <c r="V804" i="3"/>
  <c r="V805" i="3"/>
  <c r="V806" i="3"/>
  <c r="V807" i="3"/>
  <c r="V845" i="3"/>
  <c r="V846" i="3"/>
  <c r="V848" i="3"/>
  <c r="V849" i="3"/>
  <c r="V850" i="3"/>
  <c r="V851" i="3"/>
  <c r="V853" i="3"/>
  <c r="V854" i="3"/>
  <c r="V855" i="3"/>
  <c r="V856" i="3"/>
  <c r="V857" i="3"/>
  <c r="V865" i="3"/>
  <c r="V866" i="3"/>
  <c r="V867" i="3"/>
  <c r="V877" i="3"/>
  <c r="V879" i="3"/>
  <c r="V880" i="3"/>
  <c r="V883" i="3"/>
  <c r="V884" i="3"/>
  <c r="V898" i="3"/>
  <c r="V899" i="3"/>
  <c r="V901" i="3"/>
  <c r="V209" i="3"/>
  <c r="V213" i="3"/>
  <c r="V232" i="3"/>
  <c r="V246" i="3"/>
  <c r="V284" i="3"/>
  <c r="V294" i="3"/>
  <c r="V328" i="3"/>
  <c r="V342" i="3"/>
  <c r="V599" i="3"/>
  <c r="V532" i="3"/>
  <c r="V539" i="3"/>
  <c r="V543" i="3"/>
  <c r="V646" i="3"/>
  <c r="V648" i="3"/>
  <c r="V793" i="3"/>
  <c r="V847" i="3"/>
  <c r="V902" i="3"/>
  <c r="V917" i="3"/>
  <c r="V920" i="3"/>
  <c r="V921" i="3"/>
  <c r="V922" i="3"/>
  <c r="V923" i="3"/>
  <c r="V924" i="3"/>
  <c r="V925" i="3"/>
  <c r="V953" i="3"/>
  <c r="V954" i="3"/>
  <c r="V955" i="3"/>
  <c r="V956" i="3"/>
  <c r="V957" i="3"/>
  <c r="V958" i="3"/>
  <c r="V959" i="3"/>
  <c r="V1010" i="3"/>
  <c r="V1011" i="3"/>
  <c r="V1012" i="3"/>
  <c r="V1014" i="3"/>
  <c r="V1015" i="3"/>
  <c r="V1017" i="3"/>
  <c r="V1018" i="3"/>
  <c r="V1019" i="3"/>
  <c r="V1016" i="3"/>
  <c r="V1020" i="3"/>
  <c r="V1071" i="3"/>
  <c r="V1072" i="3"/>
  <c r="V1073" i="3"/>
  <c r="V1074" i="3"/>
  <c r="V1075" i="3"/>
  <c r="V1076" i="3"/>
  <c r="V1111" i="3"/>
  <c r="V1112" i="3"/>
  <c r="V1113" i="3"/>
  <c r="V1114" i="3"/>
  <c r="V1121" i="3"/>
  <c r="V1122" i="3"/>
  <c r="V1123" i="3"/>
  <c r="V1130" i="3"/>
  <c r="V1136" i="3"/>
  <c r="V1137" i="3"/>
  <c r="V1138" i="3"/>
  <c r="V1139" i="3"/>
  <c r="V1140" i="3"/>
  <c r="V1141" i="3"/>
  <c r="V1170" i="3"/>
  <c r="V1171" i="3"/>
  <c r="V1187" i="3"/>
  <c r="V1188" i="3"/>
  <c r="V1189" i="3"/>
  <c r="V1190" i="3"/>
  <c r="V1191" i="3"/>
  <c r="V1192" i="3"/>
  <c r="V1199" i="3"/>
  <c r="V1209" i="3"/>
  <c r="V1210" i="3"/>
  <c r="V1211" i="3"/>
  <c r="V1212" i="3"/>
  <c r="V1230" i="3"/>
  <c r="V1231" i="3"/>
  <c r="V1232" i="3"/>
  <c r="V1233" i="3"/>
  <c r="V1242" i="3"/>
  <c r="V1243" i="3"/>
  <c r="V1244" i="3"/>
  <c r="V1245" i="3"/>
  <c r="V1246" i="3"/>
  <c r="V1247" i="3"/>
  <c r="V1248" i="3"/>
  <c r="V1261" i="3"/>
  <c r="V1262" i="3"/>
  <c r="V885" i="3"/>
  <c r="V886" i="3"/>
  <c r="V926" i="3"/>
  <c r="V927" i="3"/>
  <c r="V960" i="3"/>
  <c r="V961" i="3"/>
  <c r="V962" i="3"/>
  <c r="V963" i="3"/>
  <c r="V964" i="3"/>
  <c r="V978" i="3"/>
  <c r="V979" i="3"/>
  <c r="V980" i="3"/>
  <c r="V981" i="3"/>
  <c r="V1000" i="3"/>
  <c r="V1001" i="3"/>
  <c r="V1022" i="3"/>
  <c r="V1023" i="3"/>
  <c r="V1024" i="3"/>
  <c r="V1032" i="3"/>
  <c r="V1033" i="3"/>
  <c r="V1034" i="3"/>
  <c r="V1039" i="3"/>
  <c r="V1040" i="3"/>
  <c r="V1052" i="3"/>
  <c r="V1053" i="3"/>
  <c r="V1054" i="3"/>
  <c r="V1063" i="3"/>
  <c r="V1064" i="3"/>
  <c r="V1065" i="3"/>
  <c r="V1066" i="3"/>
  <c r="V1067" i="3"/>
  <c r="V1077" i="3"/>
  <c r="V1078" i="3"/>
  <c r="V1079" i="3"/>
  <c r="V1080" i="3"/>
  <c r="V1081" i="3"/>
  <c r="V1082" i="3"/>
  <c r="V1085" i="3"/>
  <c r="V1086" i="3"/>
  <c r="V1092" i="3"/>
  <c r="V1087" i="3"/>
  <c r="V1091" i="3"/>
  <c r="V1093" i="3"/>
  <c r="V1068" i="3"/>
  <c r="V612" i="3"/>
  <c r="V620" i="3"/>
  <c r="V621" i="3"/>
  <c r="V622" i="3"/>
  <c r="V613" i="3"/>
  <c r="V679" i="3"/>
  <c r="V683" i="3"/>
  <c r="V684" i="3"/>
  <c r="V685" i="3"/>
  <c r="V703" i="3"/>
  <c r="V704" i="3"/>
  <c r="V705" i="3"/>
  <c r="V713" i="3"/>
  <c r="V714" i="3"/>
  <c r="V725" i="3"/>
  <c r="V726" i="3"/>
  <c r="V727" i="3"/>
  <c r="V732" i="3"/>
  <c r="V733" i="3"/>
  <c r="V752" i="3"/>
  <c r="V759" i="3"/>
  <c r="V760" i="3"/>
  <c r="V761" i="3"/>
  <c r="V795" i="3"/>
  <c r="V796" i="3"/>
  <c r="V797" i="3"/>
  <c r="V798" i="3"/>
  <c r="V799" i="3"/>
  <c r="V808" i="3"/>
  <c r="V858" i="3"/>
  <c r="V859" i="3"/>
  <c r="V868" i="3"/>
  <c r="V982" i="3"/>
  <c r="V983" i="3"/>
  <c r="V4" i="3"/>
  <c r="V38" i="3"/>
  <c r="V47" i="3"/>
  <c r="V48" i="3"/>
  <c r="V49" i="3"/>
  <c r="V50" i="3"/>
  <c r="V51" i="3"/>
  <c r="V52" i="3"/>
  <c r="V53" i="3"/>
  <c r="V54" i="3"/>
  <c r="V55" i="3"/>
  <c r="V56" i="3"/>
  <c r="V57" i="3"/>
  <c r="V74" i="3"/>
  <c r="V75" i="3"/>
  <c r="V76" i="3"/>
  <c r="V77" i="3"/>
  <c r="V78" i="3"/>
  <c r="V79" i="3"/>
  <c r="V80" i="3"/>
  <c r="V81" i="3"/>
  <c r="V124" i="3"/>
  <c r="V125" i="3"/>
  <c r="V126" i="3"/>
  <c r="V127" i="3"/>
  <c r="V184" i="3"/>
  <c r="V188" i="3"/>
  <c r="V189" i="3"/>
  <c r="V190" i="3"/>
  <c r="V191" i="3"/>
  <c r="V192" i="3"/>
  <c r="V193" i="3"/>
  <c r="V194" i="3"/>
  <c r="V195" i="3"/>
  <c r="V373" i="3"/>
  <c r="V374" i="3"/>
  <c r="V375" i="3"/>
  <c r="V376" i="3"/>
  <c r="V377" i="3"/>
  <c r="V378" i="3"/>
  <c r="V379" i="3"/>
  <c r="V380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408" i="3"/>
  <c r="V409" i="3"/>
  <c r="V410" i="3"/>
  <c r="V411" i="3"/>
  <c r="V412" i="3"/>
  <c r="V413" i="3"/>
  <c r="V414" i="3"/>
  <c r="V415" i="3"/>
  <c r="V416" i="3"/>
  <c r="V429" i="3"/>
  <c r="V430" i="3"/>
  <c r="V431" i="3"/>
  <c r="V432" i="3"/>
  <c r="V433" i="3"/>
  <c r="V434" i="3"/>
  <c r="V435" i="3"/>
  <c r="V436" i="3"/>
  <c r="V437" i="3"/>
  <c r="V445" i="3"/>
  <c r="V446" i="3"/>
  <c r="V447" i="3"/>
  <c r="V448" i="3"/>
  <c r="V449" i="3"/>
  <c r="V450" i="3"/>
  <c r="V451" i="3"/>
  <c r="V452" i="3"/>
  <c r="V453" i="3"/>
  <c r="V463" i="3"/>
  <c r="V464" i="3"/>
  <c r="V465" i="3"/>
  <c r="V466" i="3"/>
  <c r="V467" i="3"/>
  <c r="V468" i="3"/>
  <c r="V469" i="3"/>
  <c r="V470" i="3"/>
  <c r="V479" i="3"/>
  <c r="V480" i="3"/>
  <c r="V481" i="3"/>
  <c r="V482" i="3"/>
  <c r="V664" i="3"/>
  <c r="V665" i="3"/>
  <c r="V666" i="3"/>
  <c r="V667" i="3"/>
  <c r="V668" i="3"/>
  <c r="V686" i="3"/>
  <c r="V687" i="3"/>
  <c r="V688" i="3"/>
  <c r="V706" i="3"/>
  <c r="V707" i="3"/>
  <c r="V708" i="3"/>
  <c r="V709" i="3"/>
  <c r="V614" i="3"/>
  <c r="R708" i="3"/>
  <c r="R707" i="3"/>
  <c r="R706" i="3"/>
  <c r="R688" i="3"/>
  <c r="R687" i="3"/>
  <c r="R686" i="3"/>
  <c r="R668" i="3"/>
  <c r="R667" i="3"/>
  <c r="R666" i="3"/>
  <c r="R665" i="3"/>
  <c r="R664" i="3"/>
  <c r="R482" i="3"/>
  <c r="R481" i="3"/>
  <c r="R480" i="3"/>
  <c r="R479" i="3"/>
  <c r="R470" i="3"/>
  <c r="R469" i="3"/>
  <c r="R468" i="3"/>
  <c r="R467" i="3"/>
  <c r="R466" i="3"/>
  <c r="R465" i="3"/>
  <c r="R464" i="3"/>
  <c r="R463" i="3"/>
  <c r="R453" i="3"/>
  <c r="R452" i="3"/>
  <c r="R451" i="3"/>
  <c r="R450" i="3"/>
  <c r="R449" i="3"/>
  <c r="R448" i="3"/>
  <c r="R447" i="3"/>
  <c r="R446" i="3"/>
  <c r="R445" i="3"/>
  <c r="R437" i="3"/>
  <c r="R436" i="3"/>
  <c r="R435" i="3"/>
  <c r="R434" i="3"/>
  <c r="R433" i="3"/>
  <c r="R432" i="3"/>
  <c r="R431" i="3"/>
  <c r="R430" i="3"/>
  <c r="R429" i="3"/>
  <c r="R416" i="3"/>
  <c r="R415" i="3"/>
  <c r="R414" i="3"/>
  <c r="R413" i="3"/>
  <c r="R412" i="3"/>
  <c r="R411" i="3"/>
  <c r="R410" i="3"/>
  <c r="R409" i="3"/>
  <c r="R408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R386" i="3"/>
  <c r="R380" i="3"/>
  <c r="R379" i="3"/>
  <c r="R378" i="3"/>
  <c r="R377" i="3"/>
  <c r="R376" i="3"/>
  <c r="R375" i="3"/>
  <c r="R374" i="3"/>
  <c r="R373" i="3"/>
  <c r="R195" i="3"/>
  <c r="R194" i="3"/>
  <c r="R193" i="3"/>
  <c r="R192" i="3"/>
  <c r="R191" i="3"/>
  <c r="R190" i="3"/>
  <c r="R189" i="3"/>
  <c r="R188" i="3"/>
  <c r="R184" i="3"/>
  <c r="R127" i="3"/>
  <c r="R126" i="3"/>
  <c r="R125" i="3"/>
  <c r="R124" i="3"/>
  <c r="R81" i="3"/>
  <c r="R80" i="3"/>
  <c r="R79" i="3"/>
  <c r="R78" i="3"/>
  <c r="R77" i="3"/>
  <c r="R76" i="3"/>
  <c r="R75" i="3"/>
  <c r="R74" i="3"/>
  <c r="R57" i="3"/>
  <c r="R56" i="3"/>
  <c r="R55" i="3"/>
  <c r="R54" i="3"/>
  <c r="R53" i="3"/>
  <c r="R52" i="3"/>
  <c r="R51" i="3"/>
  <c r="R50" i="3"/>
  <c r="R49" i="3"/>
  <c r="R48" i="3"/>
  <c r="R47" i="3"/>
  <c r="R808" i="3"/>
  <c r="C5" i="19" l="1"/>
  <c r="C8" i="18"/>
  <c r="D157" i="1"/>
  <c r="D216" i="1"/>
  <c r="D275" i="1"/>
  <c r="D349" i="1"/>
  <c r="D301" i="1"/>
  <c r="D167" i="1"/>
  <c r="D202" i="1"/>
  <c r="D211" i="1"/>
  <c r="D163" i="1"/>
  <c r="D169" i="1"/>
  <c r="D281" i="1"/>
  <c r="D170" i="1"/>
  <c r="D333" i="1"/>
  <c r="D221" i="1"/>
  <c r="D256" i="1"/>
  <c r="D330" i="1"/>
  <c r="D200" i="1"/>
  <c r="D168" i="1"/>
  <c r="D215" i="1"/>
  <c r="D262" i="1"/>
  <c r="D336" i="1"/>
  <c r="D201" i="1"/>
  <c r="D260" i="1"/>
  <c r="D334" i="1"/>
  <c r="D270" i="1"/>
  <c r="D344" i="1"/>
  <c r="D343" i="1"/>
  <c r="D195" i="1"/>
  <c r="D173" i="1"/>
  <c r="D292" i="1"/>
  <c r="D277" i="1"/>
  <c r="D351" i="1"/>
  <c r="D291" i="1"/>
  <c r="D317" i="1"/>
  <c r="D181" i="1"/>
  <c r="D276" i="1"/>
  <c r="D350" i="1"/>
  <c r="D302" i="1"/>
  <c r="D263" i="1"/>
  <c r="D337" i="1"/>
  <c r="D261" i="1"/>
  <c r="D335" i="1"/>
  <c r="D210" i="1"/>
  <c r="D162" i="1"/>
  <c r="D269" i="1"/>
  <c r="D290" i="1"/>
  <c r="D364" i="1"/>
  <c r="D316" i="1"/>
  <c r="D206" i="1"/>
  <c r="D236" i="1"/>
  <c r="D176" i="1"/>
  <c r="D366" i="1"/>
  <c r="D318" i="1"/>
  <c r="D321" i="1"/>
  <c r="D208" i="1"/>
  <c r="D365" i="1"/>
  <c r="D345" i="1"/>
  <c r="D172" i="1"/>
  <c r="D229" i="1"/>
  <c r="D238" i="1"/>
  <c r="D190" i="1"/>
  <c r="D237" i="1"/>
  <c r="D189" i="1"/>
  <c r="D296" i="1"/>
  <c r="D199" i="1"/>
  <c r="D243" i="1"/>
  <c r="D161" i="1"/>
  <c r="D283" i="1"/>
  <c r="D160" i="1"/>
  <c r="D279" i="1"/>
  <c r="D307" i="1"/>
  <c r="D188" i="1"/>
  <c r="D217" i="1"/>
  <c r="D203" i="1"/>
  <c r="D250" i="1"/>
  <c r="D324" i="1"/>
  <c r="D297" i="1"/>
  <c r="D249" i="1"/>
  <c r="D370" i="1"/>
  <c r="D322" i="1"/>
  <c r="D247" i="1"/>
  <c r="D164" i="1"/>
  <c r="D280" i="1"/>
  <c r="D207" i="1"/>
  <c r="D218" i="1"/>
  <c r="D264" i="1"/>
  <c r="D338" i="1"/>
  <c r="D204" i="1"/>
  <c r="D251" i="1"/>
  <c r="D325" i="1"/>
  <c r="D191" i="1"/>
  <c r="D323" i="1"/>
  <c r="D258" i="1"/>
  <c r="D332" i="1"/>
  <c r="D246" i="1"/>
  <c r="D198" i="1"/>
  <c r="D257" i="1"/>
  <c r="D331" i="1"/>
  <c r="D183" i="1"/>
  <c r="D352" i="1"/>
  <c r="D194" i="1"/>
  <c r="D224" i="1"/>
  <c r="D295" i="1"/>
  <c r="D309" i="1"/>
  <c r="D209" i="1"/>
  <c r="D265" i="1"/>
  <c r="D327" i="1"/>
  <c r="D271" i="1"/>
  <c r="D244" i="1"/>
  <c r="D196" i="1"/>
  <c r="D353" i="1"/>
  <c r="D305" i="1"/>
  <c r="D240" i="1"/>
  <c r="D239" i="1"/>
  <c r="D226" i="1"/>
  <c r="D178" i="1"/>
  <c r="D359" i="1"/>
  <c r="D225" i="1"/>
  <c r="D235" i="1"/>
  <c r="D320" i="1"/>
  <c r="D231" i="1"/>
  <c r="D278" i="1"/>
  <c r="D304" i="1"/>
  <c r="D354" i="1"/>
  <c r="D306" i="1"/>
  <c r="D286" i="1"/>
  <c r="D312" i="1"/>
  <c r="D285" i="1"/>
  <c r="D311" i="1"/>
  <c r="D177" i="1"/>
  <c r="D284" i="1"/>
  <c r="D358" i="1"/>
  <c r="D310" i="1"/>
  <c r="D187" i="1"/>
  <c r="D294" i="1"/>
  <c r="D368" i="1"/>
  <c r="D319" i="1"/>
  <c r="D259" i="1"/>
  <c r="D245" i="1"/>
  <c r="D197" i="1"/>
  <c r="D268" i="1"/>
  <c r="D315" i="1"/>
  <c r="D341" i="1"/>
  <c r="D242" i="1"/>
  <c r="D252" i="1"/>
  <c r="D192" i="1"/>
  <c r="D360" i="1"/>
  <c r="D213" i="1"/>
  <c r="D175" i="1"/>
  <c r="D234" i="1"/>
  <c r="D186" i="1"/>
  <c r="D367" i="1"/>
  <c r="D219" i="1"/>
  <c r="D171" i="1"/>
  <c r="D266" i="1"/>
  <c r="D340" i="1"/>
  <c r="D182" i="1"/>
  <c r="D339" i="1"/>
  <c r="D212" i="1"/>
  <c r="D253" i="1"/>
  <c r="D369" i="1"/>
  <c r="D232" i="1"/>
  <c r="D184" i="1"/>
  <c r="D267" i="1"/>
  <c r="D357" i="1"/>
  <c r="D342" i="1"/>
  <c r="D348" i="1"/>
  <c r="D205" i="1"/>
  <c r="D326" i="1"/>
  <c r="D287" i="1"/>
  <c r="D361" i="1"/>
  <c r="D313" i="1"/>
  <c r="D227" i="1"/>
  <c r="D214" i="1"/>
  <c r="D166" i="1"/>
  <c r="D223" i="1"/>
  <c r="D293" i="1"/>
  <c r="D230" i="1"/>
  <c r="D282" i="1"/>
  <c r="D356" i="1"/>
  <c r="D355" i="1"/>
  <c r="D254" i="1"/>
  <c r="D248" i="1"/>
  <c r="D241" i="1"/>
  <c r="D180" i="1"/>
  <c r="D179" i="1"/>
  <c r="D274" i="1"/>
  <c r="D300" i="1"/>
  <c r="D299" i="1"/>
  <c r="D165" i="1"/>
  <c r="D272" i="1"/>
  <c r="D346" i="1"/>
  <c r="D298" i="1"/>
  <c r="D308" i="1"/>
  <c r="D222" i="1"/>
  <c r="D174" i="1"/>
  <c r="D233" i="1"/>
  <c r="D185" i="1"/>
  <c r="D289" i="1"/>
  <c r="D363" i="1"/>
  <c r="D303" i="1"/>
  <c r="D255" i="1"/>
  <c r="D329" i="1"/>
  <c r="D159" i="1"/>
  <c r="D328" i="1"/>
  <c r="D193" i="1"/>
  <c r="D288" i="1"/>
  <c r="D362" i="1"/>
  <c r="D314" i="1"/>
  <c r="D228" i="1"/>
  <c r="D273" i="1"/>
  <c r="D347" i="1"/>
  <c r="D220" i="1"/>
  <c r="D155" i="1"/>
  <c r="D147" i="1"/>
  <c r="D156" i="1"/>
  <c r="D69" i="1"/>
  <c r="D124" i="1"/>
  <c r="D57" i="1"/>
  <c r="D61" i="1"/>
  <c r="D67" i="1"/>
  <c r="D154" i="1"/>
  <c r="D153" i="1"/>
  <c r="D113" i="1"/>
  <c r="D56" i="1"/>
  <c r="D52" i="1"/>
  <c r="D152" i="1"/>
  <c r="D73" i="1"/>
  <c r="D137" i="1"/>
  <c r="D70" i="1"/>
  <c r="D116" i="1"/>
  <c r="D146" i="1"/>
  <c r="D79" i="1"/>
  <c r="D134" i="1"/>
  <c r="D104" i="1"/>
  <c r="D99" i="1"/>
  <c r="D151" i="1"/>
  <c r="D98" i="1"/>
  <c r="D128" i="1"/>
  <c r="D101" i="1"/>
  <c r="D135" i="1"/>
  <c r="Y446" i="3"/>
  <c r="Y796" i="3"/>
  <c r="Y707" i="3"/>
  <c r="Y193" i="3"/>
  <c r="D144" i="1"/>
  <c r="D150" i="1"/>
  <c r="Y80" i="3"/>
  <c r="Y1054" i="3"/>
  <c r="Y1000" i="3"/>
  <c r="Y957" i="3"/>
  <c r="Y902" i="3"/>
  <c r="Y194" i="3"/>
  <c r="D83" i="1"/>
  <c r="D115" i="1"/>
  <c r="Y445" i="3"/>
  <c r="Y414" i="3"/>
  <c r="AA37" i="11"/>
  <c r="AA36" i="11"/>
  <c r="AA13" i="11"/>
  <c r="AA35" i="11"/>
  <c r="AA14" i="11"/>
  <c r="AA9" i="11"/>
  <c r="AA129" i="11"/>
  <c r="AA48" i="11"/>
  <c r="D145" i="1"/>
  <c r="D111" i="1"/>
  <c r="D94" i="1"/>
  <c r="AA44" i="11"/>
  <c r="AA46" i="11"/>
  <c r="AA43" i="11"/>
  <c r="AA26" i="11"/>
  <c r="D62" i="1"/>
  <c r="D138" i="1"/>
  <c r="D117" i="1"/>
  <c r="D72" i="1"/>
  <c r="D126" i="1"/>
  <c r="D30" i="1"/>
  <c r="D139" i="1"/>
  <c r="D122" i="1"/>
  <c r="D141" i="1"/>
  <c r="D74" i="1"/>
  <c r="D127" i="1"/>
  <c r="D102" i="1"/>
  <c r="D123" i="1"/>
  <c r="D64" i="1"/>
  <c r="D105" i="1"/>
  <c r="D96" i="1"/>
  <c r="D119" i="1"/>
  <c r="D130" i="1"/>
  <c r="D103" i="1"/>
  <c r="D71" i="1"/>
  <c r="D97" i="1"/>
  <c r="D118" i="1"/>
  <c r="D93" i="1"/>
  <c r="D109" i="1"/>
  <c r="D84" i="1"/>
  <c r="D59" i="1"/>
  <c r="D80" i="1"/>
  <c r="D106" i="1"/>
  <c r="D143" i="1"/>
  <c r="Y481" i="3"/>
  <c r="Y480" i="3"/>
  <c r="Y393" i="3"/>
  <c r="Y52" i="3"/>
  <c r="D27" i="1"/>
  <c r="Y708" i="3"/>
  <c r="Y415" i="3"/>
  <c r="Y81" i="3"/>
  <c r="Y713" i="3"/>
  <c r="D129" i="1"/>
  <c r="D120" i="1"/>
  <c r="D65" i="1"/>
  <c r="D133" i="1"/>
  <c r="D142" i="1"/>
  <c r="D75" i="1"/>
  <c r="D60" i="1"/>
  <c r="D114" i="1"/>
  <c r="D107" i="1"/>
  <c r="D121" i="1"/>
  <c r="D108" i="1"/>
  <c r="D68" i="1"/>
  <c r="D95" i="1"/>
  <c r="D63" i="1"/>
  <c r="D66" i="1"/>
  <c r="D76" i="1"/>
  <c r="D77" i="1"/>
  <c r="D78" i="1"/>
  <c r="D131" i="1"/>
  <c r="D132" i="1"/>
  <c r="Y394" i="3"/>
  <c r="Y53" i="3"/>
  <c r="Y451" i="3"/>
  <c r="D28" i="1"/>
  <c r="Y886" i="3"/>
  <c r="Y387" i="3"/>
  <c r="Y1020" i="3"/>
  <c r="Y1085" i="3"/>
  <c r="Y466" i="3"/>
  <c r="Y467" i="3"/>
  <c r="Y668" i="3"/>
  <c r="Y683" i="3"/>
  <c r="Y408" i="3"/>
  <c r="Y679" i="3"/>
  <c r="Y1122" i="3"/>
  <c r="Y433" i="3"/>
  <c r="Y188" i="3"/>
  <c r="Y733" i="3"/>
  <c r="Y1034" i="3"/>
  <c r="Y47" i="3"/>
  <c r="Y452" i="3"/>
  <c r="Y859" i="3"/>
  <c r="Y388" i="3"/>
  <c r="Y409" i="3"/>
  <c r="Y667" i="3"/>
  <c r="Y432" i="3"/>
  <c r="Y732" i="3"/>
  <c r="Y1188" i="3"/>
  <c r="Y848" i="3"/>
  <c r="Y377" i="3"/>
  <c r="Y1078" i="3"/>
  <c r="Y376" i="3"/>
  <c r="Y858" i="3"/>
  <c r="Y1232" i="3"/>
  <c r="Y877" i="3"/>
  <c r="Y75" i="3"/>
  <c r="Y284" i="3"/>
  <c r="AA19" i="11"/>
  <c r="D86" i="1"/>
  <c r="D85" i="1"/>
  <c r="Y687" i="3"/>
  <c r="Y469" i="3"/>
  <c r="Y448" i="3"/>
  <c r="Y429" i="3"/>
  <c r="Y396" i="3"/>
  <c r="Y379" i="3"/>
  <c r="Y190" i="3"/>
  <c r="Y77" i="3"/>
  <c r="Y49" i="3"/>
  <c r="Y798" i="3"/>
  <c r="Y725" i="3"/>
  <c r="Y621" i="3"/>
  <c r="Y1080" i="3"/>
  <c r="Y1040" i="3"/>
  <c r="Y979" i="3"/>
  <c r="Y1261" i="3"/>
  <c r="Y1212" i="3"/>
  <c r="Y1170" i="3"/>
  <c r="Y1113" i="3"/>
  <c r="Y1018" i="3"/>
  <c r="C30" i="1"/>
  <c r="Y964" i="3"/>
  <c r="D22" i="1"/>
  <c r="D88" i="1"/>
  <c r="D90" i="1"/>
  <c r="D89" i="1"/>
  <c r="D91" i="1"/>
  <c r="D87" i="1"/>
  <c r="C28" i="1"/>
  <c r="D29" i="1"/>
  <c r="E43" i="1"/>
  <c r="C43" i="1"/>
  <c r="D43" i="1"/>
  <c r="E31" i="1"/>
  <c r="C31" i="1"/>
  <c r="D31" i="1"/>
  <c r="C22" i="1"/>
  <c r="E46" i="1"/>
  <c r="D46" i="1"/>
  <c r="C46" i="1"/>
  <c r="E34" i="1"/>
  <c r="C34" i="1"/>
  <c r="D34" i="1"/>
  <c r="D23" i="1"/>
  <c r="C45" i="1"/>
  <c r="E45" i="1"/>
  <c r="D45" i="1"/>
  <c r="E33" i="1"/>
  <c r="C33" i="1"/>
  <c r="D33" i="1"/>
  <c r="E44" i="1"/>
  <c r="D44" i="1"/>
  <c r="C44" i="1"/>
  <c r="E32" i="1"/>
  <c r="D32" i="1"/>
  <c r="C32" i="1"/>
  <c r="E42" i="1"/>
  <c r="C42" i="1"/>
  <c r="D42" i="1"/>
  <c r="E41" i="1"/>
  <c r="C41" i="1"/>
  <c r="D41" i="1"/>
  <c r="E40" i="1"/>
  <c r="C40" i="1"/>
  <c r="D40" i="1"/>
  <c r="C23" i="1"/>
  <c r="E39" i="1"/>
  <c r="D39" i="1"/>
  <c r="C39" i="1"/>
  <c r="E47" i="1"/>
  <c r="C47" i="1"/>
  <c r="D47" i="1"/>
  <c r="E35" i="1"/>
  <c r="D35" i="1"/>
  <c r="C35" i="1"/>
  <c r="E51" i="1"/>
  <c r="C51" i="1"/>
  <c r="D51" i="1"/>
  <c r="E50" i="1"/>
  <c r="C50" i="1"/>
  <c r="D50" i="1"/>
  <c r="E38" i="1"/>
  <c r="C38" i="1"/>
  <c r="D38" i="1"/>
  <c r="E49" i="1"/>
  <c r="D49" i="1"/>
  <c r="C49" i="1"/>
  <c r="E37" i="1"/>
  <c r="C37" i="1"/>
  <c r="D37" i="1"/>
  <c r="E48" i="1"/>
  <c r="C48" i="1"/>
  <c r="D48" i="1"/>
  <c r="E36" i="1"/>
  <c r="D36" i="1"/>
  <c r="C36" i="1"/>
  <c r="D26" i="1"/>
  <c r="C29" i="1"/>
  <c r="D24" i="1"/>
  <c r="C26" i="1"/>
  <c r="C27" i="1"/>
  <c r="C24" i="1"/>
  <c r="D25" i="1"/>
  <c r="Y790" i="3"/>
  <c r="Y749" i="3"/>
  <c r="AA306" i="11"/>
  <c r="AA184" i="11"/>
  <c r="AA476" i="11"/>
  <c r="AA370" i="11"/>
  <c r="AA525" i="11"/>
  <c r="AA513" i="11"/>
  <c r="AA472" i="11"/>
  <c r="AA38" i="11"/>
  <c r="AA12" i="11"/>
  <c r="AA533" i="11"/>
  <c r="AA299" i="11"/>
  <c r="AA161" i="11"/>
  <c r="AA373" i="11"/>
  <c r="AA529" i="11"/>
  <c r="AA517" i="11"/>
  <c r="AA506" i="11"/>
  <c r="AA326" i="11"/>
  <c r="AA278" i="11"/>
  <c r="AA293" i="11"/>
  <c r="AA522" i="11"/>
  <c r="AA302" i="11"/>
  <c r="AA4" i="11"/>
  <c r="AA295" i="11"/>
  <c r="AA164" i="11"/>
  <c r="AA483" i="11"/>
  <c r="AA531" i="11"/>
  <c r="AA520" i="11"/>
  <c r="AA508" i="11"/>
  <c r="AA485" i="11"/>
  <c r="AA327" i="11"/>
  <c r="AA294" i="11"/>
  <c r="AA347" i="11"/>
  <c r="AA521" i="11"/>
  <c r="AA6" i="11"/>
  <c r="AA473" i="11"/>
  <c r="AA400" i="11"/>
  <c r="AA298" i="11"/>
  <c r="AA509" i="11"/>
  <c r="AA329" i="11"/>
  <c r="AA487" i="11"/>
  <c r="AA510" i="11"/>
  <c r="AA5" i="11"/>
  <c r="AA303" i="11"/>
  <c r="AA365" i="11"/>
  <c r="AA40" i="11"/>
  <c r="AA3" i="11"/>
  <c r="AA482" i="11"/>
  <c r="AA364" i="11"/>
  <c r="AA301" i="11"/>
  <c r="AA162" i="11"/>
  <c r="AA128" i="11"/>
  <c r="AA367" i="11"/>
  <c r="AA297" i="11"/>
  <c r="AA159" i="11"/>
  <c r="AA374" i="11"/>
  <c r="AA527" i="11"/>
  <c r="AA514" i="11"/>
  <c r="AA503" i="11"/>
  <c r="AA481" i="11"/>
  <c r="AA484" i="11"/>
  <c r="AA166" i="11"/>
  <c r="AA403" i="11"/>
  <c r="AA165" i="11"/>
  <c r="AA486" i="11"/>
  <c r="AA163" i="11"/>
  <c r="AA369" i="11"/>
  <c r="AA15" i="11"/>
  <c r="AA126" i="11"/>
  <c r="C11" i="8"/>
  <c r="B12" i="8"/>
  <c r="B15" i="8"/>
  <c r="B13" i="8"/>
  <c r="B9" i="8"/>
  <c r="B14" i="8"/>
  <c r="B18" i="8"/>
  <c r="B19" i="8"/>
  <c r="B20" i="8"/>
  <c r="B17" i="8"/>
  <c r="B10" i="8"/>
  <c r="B11" i="8"/>
  <c r="AA18" i="11"/>
  <c r="AA17" i="11"/>
  <c r="AA127" i="11"/>
  <c r="AA379" i="11"/>
  <c r="AA532" i="11"/>
  <c r="AA519" i="11"/>
  <c r="AA507" i="11"/>
  <c r="AA355" i="11"/>
  <c r="AA309" i="11"/>
  <c r="AA399" i="11"/>
  <c r="AA39" i="11"/>
  <c r="AA42" i="11"/>
  <c r="AA376" i="11"/>
  <c r="AA530" i="11"/>
  <c r="AA518" i="11"/>
  <c r="AA505" i="11"/>
  <c r="AA405" i="11"/>
  <c r="AA308" i="11"/>
  <c r="AA402" i="11"/>
  <c r="AA16" i="11"/>
  <c r="AA41" i="11"/>
  <c r="AA125" i="11"/>
  <c r="AA368" i="11"/>
  <c r="AA300" i="11"/>
  <c r="AA160" i="11"/>
  <c r="AA375" i="11"/>
  <c r="AA528" i="11"/>
  <c r="AA516" i="11"/>
  <c r="AA504" i="11"/>
  <c r="AA406" i="11"/>
  <c r="AA292" i="11"/>
  <c r="AA275" i="11"/>
  <c r="AA24" i="11"/>
  <c r="AA47" i="11"/>
  <c r="AA31" i="11"/>
  <c r="AA25" i="11"/>
  <c r="AA30" i="11"/>
  <c r="AA366" i="11"/>
  <c r="AA296" i="11"/>
  <c r="AA158" i="11"/>
  <c r="AA372" i="11"/>
  <c r="AA526" i="11"/>
  <c r="AA515" i="11"/>
  <c r="AA502" i="11"/>
  <c r="AA404" i="11"/>
  <c r="AA277" i="11"/>
  <c r="AA23" i="11"/>
  <c r="AA29" i="11"/>
  <c r="AA34" i="11"/>
  <c r="AA401" i="11"/>
  <c r="AA271" i="11"/>
  <c r="AA11" i="11"/>
  <c r="AA21" i="11"/>
  <c r="AA28" i="11"/>
  <c r="AA33" i="11"/>
  <c r="AA10" i="11"/>
  <c r="AA305" i="11"/>
  <c r="AA168" i="11"/>
  <c r="AA475" i="11"/>
  <c r="AA371" i="11"/>
  <c r="AA524" i="11"/>
  <c r="AA512" i="11"/>
  <c r="AA501" i="11"/>
  <c r="AA378" i="11"/>
  <c r="AA480" i="11"/>
  <c r="AA8" i="11"/>
  <c r="AA22" i="11"/>
  <c r="AA27" i="11"/>
  <c r="AA32" i="11"/>
  <c r="AA7" i="11"/>
  <c r="AA304" i="11"/>
  <c r="AA167" i="11"/>
  <c r="AA474" i="11"/>
  <c r="AA348" i="11"/>
  <c r="AA523" i="11"/>
  <c r="AA511" i="11"/>
  <c r="AA471" i="11"/>
  <c r="AA377" i="11"/>
  <c r="AA276" i="11"/>
  <c r="AA20" i="11"/>
  <c r="AA130" i="11"/>
  <c r="Y601" i="3"/>
  <c r="Y598" i="3"/>
  <c r="Y311" i="3"/>
  <c r="Y184" i="3"/>
  <c r="Y74" i="3"/>
  <c r="Y38" i="3"/>
  <c r="Y795" i="3"/>
  <c r="Y1247" i="3"/>
  <c r="Y1210" i="3"/>
  <c r="Y1140" i="3"/>
  <c r="Y1111" i="3"/>
  <c r="Y1015" i="3"/>
  <c r="Y925" i="3"/>
  <c r="Y543" i="3"/>
  <c r="Y901" i="3"/>
  <c r="Y856" i="3"/>
  <c r="Y805" i="3"/>
  <c r="Y758" i="3"/>
  <c r="Y611" i="3"/>
  <c r="Y541" i="3"/>
  <c r="Y593" i="3"/>
  <c r="Y1086" i="3"/>
  <c r="Y1063" i="3"/>
  <c r="Y1001" i="3"/>
  <c r="Y926" i="3"/>
  <c r="Y1233" i="3"/>
  <c r="Y1189" i="3"/>
  <c r="Y1123" i="3"/>
  <c r="Y1071" i="3"/>
  <c r="Y958" i="3"/>
  <c r="Y917" i="3"/>
  <c r="Y294" i="3"/>
  <c r="Y705" i="3"/>
  <c r="Y1068" i="3"/>
  <c r="Y1077" i="3"/>
  <c r="Y1033" i="3"/>
  <c r="Y963" i="3"/>
  <c r="Y1246" i="3"/>
  <c r="Y1209" i="3"/>
  <c r="Y1139" i="3"/>
  <c r="Y1076" i="3"/>
  <c r="Y1014" i="3"/>
  <c r="Y924" i="3"/>
  <c r="Y539" i="3"/>
  <c r="Y899" i="3"/>
  <c r="Y855" i="3"/>
  <c r="Y804" i="3"/>
  <c r="Y757" i="3"/>
  <c r="Y610" i="3"/>
  <c r="Y540" i="3"/>
  <c r="Y591" i="3"/>
  <c r="Y248" i="3"/>
  <c r="Y665" i="3"/>
  <c r="Y464" i="3"/>
  <c r="Y436" i="3"/>
  <c r="Y412" i="3"/>
  <c r="Y391" i="3"/>
  <c r="Y374" i="3"/>
  <c r="Y126" i="3"/>
  <c r="Y56" i="3"/>
  <c r="Y983" i="3"/>
  <c r="Y760" i="3"/>
  <c r="Y703" i="3"/>
  <c r="Y1091" i="3"/>
  <c r="Y1066" i="3"/>
  <c r="Y1024" i="3"/>
  <c r="Y961" i="3"/>
  <c r="Y1244" i="3"/>
  <c r="Y1192" i="3"/>
  <c r="Y1137" i="3"/>
  <c r="Y1074" i="3"/>
  <c r="Y1011" i="3"/>
  <c r="Y922" i="3"/>
  <c r="Y599" i="3"/>
  <c r="Y884" i="3"/>
  <c r="Y853" i="3"/>
  <c r="Y802" i="3"/>
  <c r="Y709" i="3"/>
  <c r="Y482" i="3"/>
  <c r="Y453" i="3"/>
  <c r="Y434" i="3"/>
  <c r="Y410" i="3"/>
  <c r="Y389" i="3"/>
  <c r="Y755" i="3"/>
  <c r="Y608" i="3"/>
  <c r="Y534" i="3"/>
  <c r="Y589" i="3"/>
  <c r="Y220" i="3"/>
  <c r="Y1041" i="3"/>
  <c r="Y954" i="3"/>
  <c r="Y648" i="3"/>
  <c r="Y213" i="3"/>
  <c r="Y865" i="3"/>
  <c r="Y807" i="3"/>
  <c r="Y780" i="3"/>
  <c r="Y746" i="3"/>
  <c r="Y550" i="3"/>
  <c r="Y595" i="3"/>
  <c r="Y300" i="3"/>
  <c r="Y881" i="3"/>
  <c r="Y1043" i="3"/>
  <c r="Y666" i="3"/>
  <c r="Y465" i="3"/>
  <c r="Y437" i="3"/>
  <c r="Y195" i="3"/>
  <c r="Y124" i="3"/>
  <c r="Y54" i="3"/>
  <c r="Y868" i="3"/>
  <c r="Y752" i="3"/>
  <c r="Y684" i="3"/>
  <c r="Y1092" i="3"/>
  <c r="Y1064" i="3"/>
  <c r="Y706" i="3"/>
  <c r="Y479" i="3"/>
  <c r="Y450" i="3"/>
  <c r="Y431" i="3"/>
  <c r="Y398" i="3"/>
  <c r="Y386" i="3"/>
  <c r="Y192" i="3"/>
  <c r="Y79" i="3"/>
  <c r="Y51" i="3"/>
  <c r="Y808" i="3"/>
  <c r="Y727" i="3"/>
  <c r="Y613" i="3"/>
  <c r="Y1082" i="3"/>
  <c r="Y1053" i="3"/>
  <c r="Y981" i="3"/>
  <c r="Y1231" i="3"/>
  <c r="Y1187" i="3"/>
  <c r="Y1121" i="3"/>
  <c r="Y1016" i="3"/>
  <c r="Y956" i="3"/>
  <c r="Y847" i="3"/>
  <c r="Y246" i="3"/>
  <c r="Y867" i="3"/>
  <c r="Y846" i="3"/>
  <c r="Y782" i="3"/>
  <c r="Y748" i="3"/>
  <c r="Y552" i="3"/>
  <c r="Y597" i="3"/>
  <c r="Y310" i="3"/>
  <c r="Y688" i="3"/>
  <c r="Y470" i="3"/>
  <c r="Y449" i="3"/>
  <c r="Y430" i="3"/>
  <c r="Y397" i="3"/>
  <c r="Y380" i="3"/>
  <c r="Y191" i="3"/>
  <c r="Y78" i="3"/>
  <c r="Y50" i="3"/>
  <c r="Y799" i="3"/>
  <c r="Y726" i="3"/>
  <c r="Y622" i="3"/>
  <c r="Y1081" i="3"/>
  <c r="Y1052" i="3"/>
  <c r="Y980" i="3"/>
  <c r="Y1262" i="3"/>
  <c r="Y1230" i="3"/>
  <c r="Y1171" i="3"/>
  <c r="Y1114" i="3"/>
  <c r="Y1019" i="3"/>
  <c r="Y955" i="3"/>
  <c r="Y793" i="3"/>
  <c r="Y232" i="3"/>
  <c r="Y866" i="3"/>
  <c r="Y845" i="3"/>
  <c r="Y781" i="3"/>
  <c r="Y747" i="3"/>
  <c r="Y551" i="3"/>
  <c r="Y596" i="3"/>
  <c r="Y308" i="3"/>
  <c r="Y882" i="3"/>
  <c r="Y1013" i="3"/>
  <c r="Y413" i="3"/>
  <c r="Y392" i="3"/>
  <c r="Y375" i="3"/>
  <c r="Y127" i="3"/>
  <c r="Y57" i="3"/>
  <c r="Y4" i="3"/>
  <c r="Y761" i="3"/>
  <c r="Y704" i="3"/>
  <c r="Y1093" i="3"/>
  <c r="Y1067" i="3"/>
  <c r="Y1032" i="3"/>
  <c r="Y962" i="3"/>
  <c r="Y1245" i="3"/>
  <c r="Y1199" i="3"/>
  <c r="Y1138" i="3"/>
  <c r="Y1075" i="3"/>
  <c r="Y1022" i="3"/>
  <c r="Y927" i="3"/>
  <c r="Y1242" i="3"/>
  <c r="Y1190" i="3"/>
  <c r="Y1130" i="3"/>
  <c r="Y1072" i="3"/>
  <c r="Y959" i="3"/>
  <c r="Y920" i="3"/>
  <c r="Y328" i="3"/>
  <c r="Y880" i="3"/>
  <c r="Y850" i="3"/>
  <c r="Y792" i="3"/>
  <c r="Y751" i="3"/>
  <c r="Y603" i="3"/>
  <c r="Y531" i="3"/>
  <c r="Y356" i="3"/>
  <c r="Y623" i="3"/>
  <c r="Y879" i="3"/>
  <c r="Y849" i="3"/>
  <c r="Y791" i="3"/>
  <c r="Y750" i="3"/>
  <c r="Y602" i="3"/>
  <c r="Y317" i="3"/>
  <c r="Y223" i="3"/>
  <c r="Y686" i="3"/>
  <c r="Y468" i="3"/>
  <c r="Y447" i="3"/>
  <c r="Y416" i="3"/>
  <c r="Y395" i="3"/>
  <c r="Y378" i="3"/>
  <c r="Y189" i="3"/>
  <c r="Y76" i="3"/>
  <c r="Y48" i="3"/>
  <c r="Y797" i="3"/>
  <c r="Y714" i="3"/>
  <c r="Y620" i="3"/>
  <c r="Y1079" i="3"/>
  <c r="Y1039" i="3"/>
  <c r="Y978" i="3"/>
  <c r="Y1248" i="3"/>
  <c r="Y1211" i="3"/>
  <c r="Y1141" i="3"/>
  <c r="Y1112" i="3"/>
  <c r="Y1017" i="3"/>
  <c r="Y953" i="3"/>
  <c r="Y646" i="3"/>
  <c r="Y857" i="3"/>
  <c r="Y806" i="3"/>
  <c r="Y776" i="3"/>
  <c r="Y647" i="3"/>
  <c r="Y542" i="3"/>
  <c r="Y594" i="3"/>
  <c r="Y268" i="3"/>
  <c r="Y224" i="3"/>
  <c r="Y897" i="3"/>
  <c r="Y1021" i="3"/>
  <c r="Y209" i="3"/>
  <c r="Y612" i="3"/>
  <c r="Y369" i="3"/>
  <c r="Y885" i="3"/>
  <c r="Y878" i="3"/>
  <c r="Y918" i="3"/>
  <c r="Y903" i="3"/>
  <c r="Y919" i="3"/>
  <c r="Y1186" i="3"/>
  <c r="Y249" i="3"/>
  <c r="Y1042" i="3"/>
  <c r="Y1012" i="3"/>
  <c r="Y923" i="3"/>
  <c r="Y532" i="3"/>
  <c r="Y898" i="3"/>
  <c r="Y854" i="3"/>
  <c r="Y803" i="3"/>
  <c r="Y756" i="3"/>
  <c r="Y609" i="3"/>
  <c r="Y535" i="3"/>
  <c r="Y590" i="3"/>
  <c r="Y222" i="3"/>
  <c r="Y614" i="3"/>
  <c r="Y664" i="3"/>
  <c r="Y463" i="3"/>
  <c r="Y435" i="3"/>
  <c r="Y411" i="3"/>
  <c r="Y390" i="3"/>
  <c r="Y373" i="3"/>
  <c r="Y125" i="3"/>
  <c r="Y55" i="3"/>
  <c r="Y982" i="3"/>
  <c r="Y759" i="3"/>
  <c r="Y685" i="3"/>
  <c r="Y1087" i="3"/>
  <c r="Y1065" i="3"/>
  <c r="Y1023" i="3"/>
  <c r="Y960" i="3"/>
  <c r="Y1243" i="3"/>
  <c r="Y1191" i="3"/>
  <c r="Y1136" i="3"/>
  <c r="Y1073" i="3"/>
  <c r="Y1010" i="3"/>
  <c r="Y921" i="3"/>
  <c r="Y342" i="3"/>
  <c r="Y883" i="3"/>
  <c r="Y851" i="3"/>
  <c r="Y794" i="3"/>
  <c r="Y754" i="3"/>
  <c r="Y607" i="3"/>
  <c r="Y533" i="3"/>
  <c r="Y588" i="3"/>
  <c r="Y218" i="3"/>
  <c r="Y900" i="3"/>
  <c r="S1" i="11"/>
  <c r="R540" i="3"/>
  <c r="C25" i="1" s="1"/>
  <c r="E20" i="1" l="1"/>
  <c r="B30" i="8"/>
  <c r="C4" i="18"/>
  <c r="C10" i="8"/>
  <c r="D20" i="1"/>
  <c r="C20" i="1"/>
  <c r="R580" i="3" l="1"/>
  <c r="R581" i="3"/>
  <c r="C70" i="1" s="1"/>
  <c r="C238" i="1" l="1"/>
  <c r="C273" i="1"/>
  <c r="C204" i="1"/>
  <c r="C241" i="1"/>
  <c r="C363" i="1"/>
  <c r="C356" i="1"/>
  <c r="C265" i="1"/>
  <c r="C209" i="1"/>
  <c r="C338" i="1"/>
  <c r="C222" i="1"/>
  <c r="C335" i="1"/>
  <c r="C275" i="1"/>
  <c r="C326" i="1"/>
  <c r="C352" i="1"/>
  <c r="C277" i="1"/>
  <c r="C210" i="1"/>
  <c r="C260" i="1"/>
  <c r="C311" i="1"/>
  <c r="C233" i="1"/>
  <c r="C199" i="1"/>
  <c r="C320" i="1"/>
  <c r="C231" i="1"/>
  <c r="C303" i="1"/>
  <c r="C362" i="1"/>
  <c r="C226" i="1"/>
  <c r="C216" i="1"/>
  <c r="C198" i="1"/>
  <c r="C272" i="1"/>
  <c r="C221" i="1"/>
  <c r="C215" i="1"/>
  <c r="C331" i="1"/>
  <c r="C353" i="1"/>
  <c r="C207" i="1"/>
  <c r="C266" i="1"/>
  <c r="C270" i="1"/>
  <c r="C218" i="1"/>
  <c r="C220" i="1"/>
  <c r="C297" i="1"/>
  <c r="C257" i="1"/>
  <c r="C252" i="1"/>
  <c r="C235" i="1"/>
  <c r="C191" i="1"/>
  <c r="C349" i="1"/>
  <c r="C219" i="1"/>
  <c r="C307" i="1"/>
  <c r="C351" i="1"/>
  <c r="C334" i="1"/>
  <c r="C314" i="1"/>
  <c r="C280" i="1"/>
  <c r="C281" i="1"/>
  <c r="C361" i="1"/>
  <c r="C283" i="1"/>
  <c r="C197" i="1"/>
  <c r="C315" i="1"/>
  <c r="C256" i="1"/>
  <c r="C267" i="1"/>
  <c r="C237" i="1"/>
  <c r="C344" i="1"/>
  <c r="C268" i="1"/>
  <c r="C230" i="1"/>
  <c r="C309" i="1"/>
  <c r="C253" i="1"/>
  <c r="C200" i="1"/>
  <c r="C247" i="1"/>
  <c r="C370" i="1"/>
  <c r="C354" i="1"/>
  <c r="C300" i="1"/>
  <c r="C242" i="1"/>
  <c r="C192" i="1"/>
  <c r="C248" i="1"/>
  <c r="C313" i="1"/>
  <c r="C336" i="1"/>
  <c r="C328" i="1"/>
  <c r="C203" i="1"/>
  <c r="C274" i="1"/>
  <c r="C304" i="1"/>
  <c r="C228" i="1"/>
  <c r="C306" i="1"/>
  <c r="C214" i="1"/>
  <c r="C236" i="1"/>
  <c r="C360" i="1"/>
  <c r="C299" i="1"/>
  <c r="C211" i="1"/>
  <c r="C294" i="1"/>
  <c r="C324" i="1"/>
  <c r="C224" i="1"/>
  <c r="C312" i="1"/>
  <c r="C288" i="1"/>
  <c r="C330" i="1"/>
  <c r="C259" i="1"/>
  <c r="C342" i="1"/>
  <c r="C310" i="1"/>
  <c r="C232" i="1"/>
  <c r="C296" i="1"/>
  <c r="C254" i="1"/>
  <c r="C333" i="1"/>
  <c r="C258" i="1"/>
  <c r="C286" i="1"/>
  <c r="C234" i="1"/>
  <c r="C205" i="1"/>
  <c r="C368" i="1"/>
  <c r="C322" i="1"/>
  <c r="C276" i="1"/>
  <c r="C302" i="1"/>
  <c r="C367" i="1"/>
  <c r="C341" i="1"/>
  <c r="C206" i="1"/>
  <c r="C255" i="1"/>
  <c r="C287" i="1"/>
  <c r="C355" i="1"/>
  <c r="C262" i="1"/>
  <c r="C202" i="1"/>
  <c r="C244" i="1"/>
  <c r="C340" i="1"/>
  <c r="C213" i="1"/>
  <c r="C229" i="1"/>
  <c r="C225" i="1"/>
  <c r="C263" i="1"/>
  <c r="C250" i="1"/>
  <c r="C278" i="1"/>
  <c r="C348" i="1"/>
  <c r="C201" i="1"/>
  <c r="C271" i="1"/>
  <c r="C369" i="1"/>
  <c r="C279" i="1"/>
  <c r="C319" i="1"/>
  <c r="C223" i="1"/>
  <c r="C317" i="1"/>
  <c r="C293" i="1"/>
  <c r="C295" i="1"/>
  <c r="C316" i="1"/>
  <c r="C323" i="1"/>
  <c r="C245" i="1"/>
  <c r="C301" i="1"/>
  <c r="C217" i="1"/>
  <c r="C240" i="1"/>
  <c r="C285" i="1"/>
  <c r="C321" i="1"/>
  <c r="C325" i="1"/>
  <c r="C289" i="1"/>
  <c r="C243" i="1"/>
  <c r="C284" i="1"/>
  <c r="C346" i="1"/>
  <c r="C359" i="1"/>
  <c r="C193" i="1"/>
  <c r="C305" i="1"/>
  <c r="C251" i="1"/>
  <c r="C357" i="1"/>
  <c r="C249" i="1"/>
  <c r="C246" i="1"/>
  <c r="C364" i="1"/>
  <c r="C290" i="1"/>
  <c r="C208" i="1"/>
  <c r="C196" i="1"/>
  <c r="C343" i="1"/>
  <c r="C261" i="1"/>
  <c r="C298" i="1"/>
  <c r="C358" i="1"/>
  <c r="C282" i="1"/>
  <c r="C239" i="1"/>
  <c r="C365" i="1"/>
  <c r="C264" i="1"/>
  <c r="C291" i="1"/>
  <c r="C269" i="1"/>
  <c r="C327" i="1"/>
  <c r="C212" i="1"/>
  <c r="C347" i="1"/>
  <c r="C308" i="1"/>
  <c r="C339" i="1"/>
  <c r="C195" i="1"/>
  <c r="C227" i="1"/>
  <c r="C332" i="1"/>
  <c r="C329" i="1"/>
  <c r="C345" i="1"/>
  <c r="C337" i="1"/>
  <c r="C318" i="1"/>
  <c r="C194" i="1"/>
  <c r="C292" i="1"/>
  <c r="C366" i="1"/>
  <c r="C350" i="1"/>
  <c r="C3" i="18"/>
  <c r="C4" i="19"/>
  <c r="C9" i="8"/>
  <c r="C69" i="1"/>
  <c r="Y3" i="12"/>
  <c r="AB3" i="12"/>
  <c r="Z3" i="12"/>
  <c r="AD3" i="12" l="1"/>
  <c r="AE3" i="12" s="1"/>
  <c r="AH3" i="12" l="1" a="1"/>
  <c r="AH3" i="12" s="1"/>
  <c r="AE1" i="12"/>
  <c r="AG3" i="12" a="1"/>
  <c r="AG3" i="12" s="1"/>
  <c r="AI3" i="12" l="1"/>
  <c r="C13" i="19" l="1"/>
  <c r="C22" i="18"/>
  <c r="C16" i="8"/>
  <c r="AI1" i="12"/>
  <c r="C30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tc={E9D19D63-1AB2-496F-8E0F-AAC5197433DB}</author>
    <author>tc={F88B592C-7FA4-4B9C-A7D5-6C5CD3A7CDF3}</author>
    <author>tc={31FBA132-A431-4A50-8214-812B7E484C60}</author>
    <author>tc={311F87AE-14C2-4482-8ADE-3E5FE53735D6}</author>
    <author>tc={54BBD3D4-3512-447C-BCFA-CCC6B53FCCA9}</author>
    <author>tc={531482BE-F59B-4326-8FA3-BEA771FBD589}</author>
    <author>tc={29B3486B-1E21-498A-9E56-C85425A2AAD5}</author>
    <author>tc={6AE540FF-601D-452E-97D4-394F38B47FD7}</author>
    <author>tc={B01CC6E9-597F-4B8F-B074-39AA6269E4DC}</author>
    <author>tc={FEC4F69D-E216-4FE7-A57C-BFD6A7DC1C37}</author>
    <author>tc={7238A273-F63D-4A45-87FF-016BE5505EB1}</author>
    <author>tc={D1E47C10-288D-4AE6-8D7C-D0EF11F67B75}</author>
  </authors>
  <commentList>
    <comment ref="B1926" authorId="0" shapeId="0" xr:uid="{E9D19D63-1AB2-496F-8E0F-AAC5197433DB}">
      <text>
        <r>
          <rPr>
            <sz val="9"/>
            <rFont val="Tahoma"/>
            <family val="2"/>
          </rPr>
          <t>Sample comment: verify cost allocation for this item.</t>
        </r>
      </text>
    </comment>
    <comment ref="B2157" authorId="1" shapeId="0" xr:uid="{F88B592C-7FA4-4B9C-A7D5-6C5CD3A7CDF3}">
      <text>
        <r>
          <rPr>
            <sz val="9"/>
            <rFont val="Tahoma"/>
            <family val="2"/>
          </rPr>
          <t>Sample comment: check whether this belongs to PV or BESS scope.</t>
        </r>
      </text>
    </comment>
    <comment ref="U2189" authorId="2" shapeId="0" xr:uid="{31FBA132-A431-4A50-8214-812B7E484C60}">
      <text>
        <r>
          <rPr>
            <sz val="9"/>
            <rFont val="Tahoma"/>
            <family val="2"/>
          </rPr>
          <t>Sample comment: confirm supplier invoice reference.</t>
        </r>
      </text>
    </comment>
    <comment ref="B2205" authorId="3" shapeId="0" xr:uid="{311F87AE-14C2-4482-8ADE-3E5FE53735D6}">
      <text>
        <r>
          <rPr>
            <sz val="9"/>
            <rFont val="Tahoma"/>
            <family val="2"/>
          </rPr>
          <t>Sample comment: review quantity against delivery note.</t>
        </r>
      </text>
    </comment>
    <comment ref="B2221" authorId="4" shapeId="0" xr:uid="{54BBD3D4-3512-447C-BCFA-CCC6B53FCCA9}">
      <text>
        <r>
          <rPr>
            <sz val="9"/>
            <rFont val="Tahoma"/>
            <family val="2"/>
          </rPr>
          <t>Sample comment: pending PO confirmation.</t>
        </r>
      </text>
    </comment>
    <comment ref="B2229" authorId="5" shapeId="0" xr:uid="{531482BE-F59B-4326-8FA3-BEA771FBD589}">
      <text>
        <r>
          <rPr>
            <sz val="9"/>
            <rFont val="Tahoma"/>
            <family val="2"/>
          </rPr>
          <t>Sample comment: verify cost allocation for this item.</t>
        </r>
      </text>
    </comment>
    <comment ref="U2229" authorId="6" shapeId="0" xr:uid="{29B3486B-1E21-498A-9E56-C85425A2AAD5}">
      <text>
        <r>
          <rPr>
            <sz val="9"/>
            <rFont val="Tahoma"/>
            <family val="2"/>
          </rPr>
          <t>Sample comment: check whether this belongs to PV or BESS scope.</t>
        </r>
      </text>
    </comment>
    <comment ref="J2241" authorId="7" shapeId="0" xr:uid="{6AE540FF-601D-452E-97D4-394F38B47FD7}">
      <text>
        <r>
          <rPr>
            <sz val="9"/>
            <rFont val="Tahoma"/>
            <family val="2"/>
          </rPr>
          <t>Sample comment: confirm supplier invoice reference.</t>
        </r>
      </text>
    </comment>
    <comment ref="B2266" authorId="8" shapeId="0" xr:uid="{B01CC6E9-597F-4B8F-B074-39AA6269E4DC}">
      <text>
        <r>
          <rPr>
            <sz val="9"/>
            <rFont val="Tahoma"/>
            <family val="2"/>
          </rPr>
          <t>Sample comment: review quantity against delivery note.</t>
        </r>
      </text>
    </comment>
    <comment ref="B2285" authorId="9" shapeId="0" xr:uid="{FEC4F69D-E216-4FE7-A57C-BFD6A7DC1C37}">
      <text>
        <r>
          <rPr>
            <sz val="9"/>
            <rFont val="Tahoma"/>
            <family val="2"/>
          </rPr>
          <t>Sample comment: pending PO confirmation.</t>
        </r>
      </text>
    </comment>
    <comment ref="B2288" authorId="10" shapeId="0" xr:uid="{7238A273-F63D-4A45-87FF-016BE5505EB1}">
      <text>
        <r>
          <rPr>
            <sz val="9"/>
            <rFont val="Tahoma"/>
            <family val="2"/>
          </rPr>
          <t>Sample comment: verify cost allocation for this item.</t>
        </r>
      </text>
    </comment>
    <comment ref="D2291" authorId="11" shapeId="0" xr:uid="{D1E47C10-288D-4AE6-8D7C-D0EF11F67B75}">
      <text>
        <r>
          <rPr>
            <sz val="9"/>
            <rFont val="Tahoma"/>
            <family val="2"/>
          </rPr>
          <t>Sample comment: check whether this belongs to PV or BESS scope.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C28967-BC50-4831-A2F1-1CEF814DE6BB}" keepAlive="1" name="Query - AUX Inventory" description="Connection to the 'AUX Inventory' query in the workbook." type="5" refreshedVersion="0">
    <dbPr connection="Provider=Microsoft.Mashup.OleDb.1;Data Source=$Workbook$;Location=&quot;AUX Inventory&quot;;Extended Properties=&quot;&quot;" command="SELECT * FROM [AUX Inventory]"/>
  </connection>
  <connection id="2" xr16:uid="{82C6DDDE-C5F1-497B-946B-47F532C69420}" keepAlive="1" name="Query - AuxDelivery" description="Connection to the 'AuxDelivery' query in the workbook." type="5" refreshedVersion="8" saveData="1">
    <dbPr connection="Provider=Microsoft.Mashup.OleDb.1;Data Source=$Workbook$;Location=AuxDelivery;Extended Properties=&quot;&quot;" command="SELECT * FROM [AuxDelivery]"/>
  </connection>
  <connection id="3" xr16:uid="{B1CABE82-1C29-4BE1-A3E8-26B9DE1C68CE}" keepAlive="1" name="Query - AUX-MASTER" description="Connection to the 'AUX-MASTER' query in the workbook." type="5" refreshedVersion="0">
    <dbPr connection="Provider=Microsoft.Mashup.OleDb.1;Data Source=$Workbook$;Location=AUX-MASTER;Extended Properties=&quot;&quot;" command="SELECT * FROM [AUX-MASTER]"/>
  </connection>
  <connection id="4" xr16:uid="{9C3EC161-F240-45FF-A6D7-5A2AA93F3F89}" keepAlive="1" name="Query - CONTRACT-MASTER" description="Connection to the 'CONTRACT-MASTER' query in the workbook." type="5" refreshedVersion="0">
    <dbPr connection="Provider=Microsoft.Mashup.OleDb.1;Data Source=$Workbook$;Location=CONTRACT-MASTER;Extended Properties=&quot;&quot;" command="SELECT * FROM [CONTRACT-MASTER]"/>
  </connection>
  <connection id="5" xr16:uid="{FBDA21A5-A1E3-48F9-B397-09654AABD159}" keepAlive="1" name="Query - HGV_Combined" description="Connection to the 'HGV_Combined' query in the workbook." type="5" refreshedVersion="8" saveData="1">
    <dbPr connection="Provider=Microsoft.Mashup.OleDb.1;Data Source=$Workbook$;Location=HGV_Combined;Extended Properties=&quot;&quot;" command="SELECT * FROM [HGV_Combined]"/>
  </connection>
  <connection id="6" xr16:uid="{21B8CA8F-A0E9-4EB3-A998-119596418FC8}" keepAlive="1" name="Query - HireCollection" description="Connection to the 'HireCollection' query in the workbook." type="5" refreshedVersion="0">
    <dbPr connection="Provider=Microsoft.Mashup.OleDb.1;Data Source=$Workbook$;Location=HireCollection;Extended Properties=&quot;&quot;" command="SELECT * FROM [HireCollection]"/>
  </connection>
  <connection id="7" xr16:uid="{1E8F393E-4312-407D-A4E9-86D6524ED378}" keepAlive="1" name="Query - HireDelivery" description="Connection to the 'HireDelivery' query in the workbook." type="5" refreshedVersion="0">
    <dbPr connection="Provider=Microsoft.Mashup.OleDb.1;Data Source=$Workbook$;Location=HireDelivery;Extended Properties=&quot;&quot;" command="SELECT * FROM [HireDelivery]"/>
  </connection>
  <connection id="8" xr16:uid="{CF34555A-F23A-4267-9901-3B9E56C02C3D}" keepAlive="1" name="Query - HIRE-MASTER" description="Connection to the 'HIRE-MASTER' query in the workbook." type="5" refreshedVersion="0">
    <dbPr connection="Provider=Microsoft.Mashup.OleDb.1;Data Source=$Workbook$;Location=HIRE-MASTER;Extended Properties=&quot;&quot;" command="SELECT * FROM [HIRE-MASTER]"/>
  </connection>
  <connection id="9" xr16:uid="{79B57CA3-661C-4242-A4D7-F9CF55662D5C}" keepAlive="1" name="Query - Inventory List" description="Connection to the 'Inventory List' query in the workbook." type="5" refreshedVersion="8" saveData="1">
    <dbPr connection="Provider=Microsoft.Mashup.OleDb.1;Data Source=$Workbook$;Location=&quot;Inventory List&quot;;Extended Properties=&quot;&quot;" command="SELECT * FROM [Inventory List]"/>
  </connection>
  <connection id="10" xr16:uid="{C73AF04A-36CF-4340-84B8-9FA10FC72019}" keepAlive="1" name="Query - Main" description="Connection to the 'Main' query in the workbook." type="5" refreshedVersion="0">
    <dbPr connection="Provider=Microsoft.Mashup.OleDb.1;Data Source=$Workbook$;Location=Main;Extended Properties=&quot;&quot;" command="SELECT * FROM [Main]"/>
  </connection>
  <connection id="11" xr16:uid="{0ADADA03-6707-478F-9DDF-5AE368B406CF}" keepAlive="1" name="Query - Main Inventory" description="Connection to the 'Main Inventory' query in the workbook." type="5" refreshedVersion="0">
    <dbPr connection="Provider=Microsoft.Mashup.OleDb.1;Data Source=$Workbook$;Location=&quot;Main Inventory&quot;;Extended Properties=&quot;&quot;" command="SELECT * FROM [Main Inventory]"/>
  </connection>
  <connection id="12" xr16:uid="{710C1412-D52A-42F8-AF7B-871F8AA6336E}" keepAlive="1" name="Query - Main-Master" description="Connection to the 'Main-Master' query in the workbook." type="5" refreshedVersion="0">
    <dbPr connection="Provider=Microsoft.Mashup.OleDb.1;Data Source=$Workbook$;Location=Main-Master;Extended Properties=&quot;&quot;" command="SELECT * FROM [Main-Master]"/>
  </connection>
  <connection id="13" xr16:uid="{839DEFA4-E427-4F58-A71E-AF200EF75AE1}" keepAlive="1" name="Query - MASTER LIST" description="Connection to the 'MASTER LIST' query in the workbook." type="5" refreshedVersion="8" saveData="1">
    <dbPr connection="Provider=Microsoft.Mashup.OleDb.1;Data Source=$Workbook$;Location=&quot;MASTER LIST&quot;;Extended Properties=&quot;&quot;" command="SELECT * FROM [MASTER LIS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<sst xmlns="http://schemas.openxmlformats.org/spreadsheetml/2006/main" count="900" uniqueCount="401">
  <si>
    <t>YEAR</t>
  </si>
  <si>
    <t>WEEK</t>
  </si>
  <si>
    <t xml:space="preserve">SAMPLE PROJECT </t>
  </si>
  <si>
    <t>WEEK COST</t>
  </si>
  <si>
    <t>TOTAL COST</t>
  </si>
  <si>
    <t>Incoming Materials</t>
  </si>
  <si>
    <t>Aggregate</t>
  </si>
  <si>
    <t>Sand</t>
  </si>
  <si>
    <t>Muck Away</t>
  </si>
  <si>
    <t>Diesel</t>
  </si>
  <si>
    <t>Waste Cost</t>
  </si>
  <si>
    <t>Concrete</t>
  </si>
  <si>
    <t>Hire Equipment</t>
  </si>
  <si>
    <t>General site Costs</t>
  </si>
  <si>
    <t>Drinking Water</t>
  </si>
  <si>
    <t>Effluent collection</t>
  </si>
  <si>
    <t>General Water delivery</t>
  </si>
  <si>
    <t>TOTAL SITE COST/ WEEKLY/ TOTAL</t>
  </si>
  <si>
    <t>COMPANY</t>
  </si>
  <si>
    <t>MONTH</t>
  </si>
  <si>
    <t xml:space="preserve"> TOTAL</t>
  </si>
  <si>
    <t>TOTAL</t>
  </si>
  <si>
    <t>MATERIALS / SERVICES</t>
  </si>
  <si>
    <t>Total Cost / Material / Services</t>
  </si>
  <si>
    <t>Material Cost (MONTHLY)</t>
  </si>
  <si>
    <t>COST / Company   (MONTHLY)</t>
  </si>
  <si>
    <t>PRICE TOTAL</t>
  </si>
  <si>
    <t>LOCATION</t>
  </si>
  <si>
    <t>DATE</t>
  </si>
  <si>
    <t>LOGISTIC</t>
  </si>
  <si>
    <t>ACCOUNTING</t>
  </si>
  <si>
    <t>HGVs</t>
  </si>
  <si>
    <t>COST</t>
  </si>
  <si>
    <t>TIME</t>
  </si>
  <si>
    <t>SPECIFIC COST NAME / WORK BASED</t>
  </si>
  <si>
    <t>ADDRESSING THE COST ITEM</t>
  </si>
  <si>
    <t>PRINCIPLE OF WORKS</t>
  </si>
  <si>
    <t>SUPPLIER NAME</t>
  </si>
  <si>
    <t>DELIVERY NOTE</t>
  </si>
  <si>
    <t>MATERIAL &amp; SERVICE</t>
  </si>
  <si>
    <t>DESCRIPTION</t>
  </si>
  <si>
    <t>INTERVIEWED BY</t>
  </si>
  <si>
    <t>ACCOUNT REF</t>
  </si>
  <si>
    <t>NUMBER OF HGVs</t>
  </si>
  <si>
    <t>QUANTITY</t>
  </si>
  <si>
    <t>UPDATE</t>
  </si>
  <si>
    <t>UNITS</t>
  </si>
  <si>
    <t>UNIT PRICE</t>
  </si>
  <si>
    <t>OTHERS</t>
  </si>
  <si>
    <t>Sharp Sand</t>
  </si>
  <si>
    <t>CIVIL</t>
  </si>
  <si>
    <t>100/200 Clean Stone Pr.</t>
  </si>
  <si>
    <t>6F5 PR.</t>
  </si>
  <si>
    <t>Qty</t>
  </si>
  <si>
    <t>Date of Hire</t>
  </si>
  <si>
    <t>SPECIFIC NAME OF WORK</t>
  </si>
  <si>
    <t>DATE Receipt</t>
  </si>
  <si>
    <t>SUPPLIER</t>
  </si>
  <si>
    <t>ORDER NO.</t>
  </si>
  <si>
    <t>Ordered By</t>
  </si>
  <si>
    <t>PAYMENT METHOD</t>
  </si>
  <si>
    <t>Reusable Material</t>
  </si>
  <si>
    <t>Expenses</t>
  </si>
  <si>
    <t>N/A</t>
  </si>
  <si>
    <t>Company name</t>
  </si>
  <si>
    <t>Authorized Person</t>
  </si>
  <si>
    <t>phone</t>
  </si>
  <si>
    <t>E-mail</t>
  </si>
  <si>
    <t>Website</t>
  </si>
  <si>
    <t xml:space="preserve"> Location</t>
  </si>
  <si>
    <t>MATERIALS</t>
  </si>
  <si>
    <t>MAIN CATEGORIES OF COST</t>
  </si>
  <si>
    <t>EQUIPMENT</t>
  </si>
  <si>
    <t>ACCOUNT STATUS</t>
  </si>
  <si>
    <t>PAID</t>
  </si>
  <si>
    <t>6F5 RC</t>
  </si>
  <si>
    <t>ELECTRICAL</t>
  </si>
  <si>
    <t>REVIEWED</t>
  </si>
  <si>
    <t>MECHANICAL</t>
  </si>
  <si>
    <t>ISSUED</t>
  </si>
  <si>
    <t>LANDSCAPING</t>
  </si>
  <si>
    <t>LOGISTIC &amp; OPERATIONAL COSTs</t>
  </si>
  <si>
    <t>COMPOUND</t>
  </si>
  <si>
    <t>INVENTORY</t>
  </si>
  <si>
    <t>SUNDRIES</t>
  </si>
  <si>
    <t>HIRED EQUIPMENTS</t>
  </si>
  <si>
    <t>TRAFFIC MANAGEMENT</t>
  </si>
  <si>
    <t>PUBLIC ENGAGEMENT</t>
  </si>
  <si>
    <t>CONSUMABLES</t>
  </si>
  <si>
    <t>MATERIAL</t>
  </si>
  <si>
    <t>SUPLLIER</t>
  </si>
  <si>
    <t>PRICE UPDATE</t>
  </si>
  <si>
    <t>UNIT</t>
  </si>
  <si>
    <t>Description</t>
  </si>
  <si>
    <t>NOT YET BEEN CHECKED</t>
  </si>
  <si>
    <t>Type 1 PR.</t>
  </si>
  <si>
    <t>10/20 Gravel</t>
  </si>
  <si>
    <t>20/40 Gravel</t>
  </si>
  <si>
    <t>20/40 Gravel RC</t>
  </si>
  <si>
    <t>20/40 Crushed Grey</t>
  </si>
  <si>
    <t>75/100 Graded Clean stone</t>
  </si>
  <si>
    <t>40/80 Crushed RC</t>
  </si>
  <si>
    <t>Type 1 - Tarmac %50/50</t>
  </si>
  <si>
    <t>Tarmac Planing</t>
  </si>
  <si>
    <t>100 Clean stone RC</t>
  </si>
  <si>
    <t>Type 1 RC</t>
  </si>
  <si>
    <t>Row Labels</t>
  </si>
  <si>
    <t>Grand Total</t>
  </si>
  <si>
    <t>Column Labels</t>
  </si>
  <si>
    <t>MONTH-YEAR</t>
  </si>
  <si>
    <t>v1.0</t>
  </si>
  <si>
    <t>Date</t>
  </si>
  <si>
    <t>Version</t>
  </si>
  <si>
    <t>300/500 Clean Stone Pr.</t>
  </si>
  <si>
    <t>White Diesel</t>
  </si>
  <si>
    <t>Muck Away backloaded</t>
  </si>
  <si>
    <t>Topsoil Away</t>
  </si>
  <si>
    <t>Mounting Structure</t>
  </si>
  <si>
    <t>APPROVED</t>
  </si>
  <si>
    <t>C25/30 SEMIDRY</t>
  </si>
  <si>
    <t>C25/30 S3 Dmx:10</t>
  </si>
  <si>
    <t>C8/10 S3 Dmx:20</t>
  </si>
  <si>
    <t>GroundHog service</t>
  </si>
  <si>
    <t>SPECIFIC WORKS - BUDGET BASED</t>
  </si>
  <si>
    <t>Grey water Refill</t>
  </si>
  <si>
    <t>Effluent Removal</t>
  </si>
  <si>
    <t>NOTEs</t>
  </si>
  <si>
    <t>PERSONEL</t>
  </si>
  <si>
    <t>PAYMENT</t>
  </si>
  <si>
    <t>Account</t>
  </si>
  <si>
    <t>LOGIC</t>
  </si>
  <si>
    <t>YES</t>
  </si>
  <si>
    <t>NO</t>
  </si>
  <si>
    <t>Road Sweeper</t>
  </si>
  <si>
    <t>Site visit- service fee</t>
  </si>
  <si>
    <t>Transportation / Delivery fee</t>
  </si>
  <si>
    <t>Lifting Operation</t>
  </si>
  <si>
    <t>Concrete Pump</t>
  </si>
  <si>
    <t>Site visit- Cleaning Service</t>
  </si>
  <si>
    <t>Internet Service</t>
  </si>
  <si>
    <t>TEMPORARY WORKS</t>
  </si>
  <si>
    <t>HIRED EQUIPMENT</t>
  </si>
  <si>
    <t>40/80 Clean Tarmac+Concrete RC</t>
  </si>
  <si>
    <t>Terram 1000 Geotextile 4,5X100M</t>
  </si>
  <si>
    <t>Tensar Geogrid HX165 3,8X50M</t>
  </si>
  <si>
    <t>Tensar Interax NX850 3,8X50M</t>
  </si>
  <si>
    <t>US 1000 Geotextile non-wowen white 4,5X100M</t>
  </si>
  <si>
    <t>Lotrak 100NW 4,5 X100M non wowen</t>
  </si>
  <si>
    <t>Rebar Cut &amp; Bent</t>
  </si>
  <si>
    <t>Rebar Prefabricate</t>
  </si>
  <si>
    <t>Unit Price</t>
  </si>
  <si>
    <t>HSE</t>
  </si>
  <si>
    <t>Bentonite water bar (20mmx 25mm x 5 mtr)</t>
  </si>
  <si>
    <t>Bentonite WB adhesive 310 ml</t>
  </si>
  <si>
    <t>63mm Black Twinwall Duct in 50m Coil c/w Coupler</t>
  </si>
  <si>
    <t>Order Qty</t>
  </si>
  <si>
    <t>DELIVERY STATUS</t>
  </si>
  <si>
    <t>DELIVERED</t>
  </si>
  <si>
    <t>PARTLY DELIVERED</t>
  </si>
  <si>
    <t>PENDING</t>
  </si>
  <si>
    <t>RETURNED</t>
  </si>
  <si>
    <t>PARTLY RETURNED</t>
  </si>
  <si>
    <t>ORDERED</t>
  </si>
  <si>
    <t>MCP WALL SLEEVE BWS150/160/250</t>
  </si>
  <si>
    <t>MCP WALL SLEEVE BWS200/200/250</t>
  </si>
  <si>
    <t>SOLUFORM Underwater Bagwork 32N – Pallet of 50</t>
  </si>
  <si>
    <t>SOLUFORM Above Water Bagwork 32N – Pallet of 50</t>
  </si>
  <si>
    <t>Galvanised Steel U-Shape Rebar Pins 300×100×300 × 8mm</t>
  </si>
  <si>
    <t>Soluform Prefilled Sandbags – 50 bags per pack</t>
  </si>
  <si>
    <t>MCCANN Integral Seal Concrete Pipe CL H 450 x 2.5m</t>
  </si>
  <si>
    <t>CPM Trelleborg Pipe Lubricant 2.5kg</t>
  </si>
  <si>
    <t>900mm S&amp;S Concrete Pipe CH 2.5m SR4</t>
  </si>
  <si>
    <t>Strataweb 200mm 2.56m x 8.35m</t>
  </si>
  <si>
    <t>Strataweb Fixing Pins 700mm</t>
  </si>
  <si>
    <t>StrataLock</t>
  </si>
  <si>
    <t>BSS PRESSED SLAB 450X450X50MM NATURAL Concrete Slabs</t>
  </si>
  <si>
    <t>HEIDELBERG CEMENT GY 25KG</t>
  </si>
  <si>
    <t>A393 Mesh 4.8m x 2.4m (incl. slings)</t>
  </si>
  <si>
    <t>Natcem Cement 25kg</t>
  </si>
  <si>
    <t>Water tank 20.000 lt</t>
  </si>
  <si>
    <t>QUALITY</t>
  </si>
  <si>
    <t>SANITARY PRODUCTS</t>
  </si>
  <si>
    <t>STATIONARY</t>
  </si>
  <si>
    <t>ADMINSTIRATIVE</t>
  </si>
  <si>
    <t>PPE</t>
  </si>
  <si>
    <t>Standard M20 Lifting Loops</t>
  </si>
  <si>
    <t>Premium M20 Swivel Lifting Eye</t>
  </si>
  <si>
    <t>Althon Headwall H6C B – for 450mm</t>
  </si>
  <si>
    <t>CAGLARs LIST-2</t>
  </si>
  <si>
    <t>24ft Welfare/Office/Changing room</t>
  </si>
  <si>
    <t>weekly</t>
  </si>
  <si>
    <t>Date of Planned Offhire</t>
  </si>
  <si>
    <t>HGVs (Delivery)</t>
  </si>
  <si>
    <t>HGVs (Collection)</t>
  </si>
  <si>
    <t>HGVs (Total)</t>
  </si>
  <si>
    <t>YEAR2</t>
  </si>
  <si>
    <t>MONTH3</t>
  </si>
  <si>
    <t>YEAR3</t>
  </si>
  <si>
    <t>MONTH2</t>
  </si>
  <si>
    <t>WEEK2</t>
  </si>
  <si>
    <t>MONTH-YEAR2</t>
  </si>
  <si>
    <t>WEEK3</t>
  </si>
  <si>
    <t>MONTH-YEAR3</t>
  </si>
  <si>
    <t>Actual Date of Offhire</t>
  </si>
  <si>
    <t>Date to Hire (DH)</t>
  </si>
  <si>
    <t>Actual Date to Offhire (ADtO)</t>
  </si>
  <si>
    <t>Hourly Cost</t>
  </si>
  <si>
    <t>Daily Cost</t>
  </si>
  <si>
    <t>Weekly Cost</t>
  </si>
  <si>
    <t>Monthly Cost</t>
  </si>
  <si>
    <t>One-off Cost</t>
  </si>
  <si>
    <t>HIRE TYPE</t>
  </si>
  <si>
    <t>hourly</t>
  </si>
  <si>
    <t>daily</t>
  </si>
  <si>
    <t>monthly</t>
  </si>
  <si>
    <t>one-off</t>
  </si>
  <si>
    <t>Hire Type - If Applicable !</t>
  </si>
  <si>
    <t>Date of Planned Offhire (DoPO) / If Applicable</t>
  </si>
  <si>
    <t>1xDesk 1xChair 1xPoly Chair 1x Filing Cabinet</t>
  </si>
  <si>
    <t>10kva Welfare Generator</t>
  </si>
  <si>
    <t>Solar Fuel Cell Tower – Fully autonomous</t>
  </si>
  <si>
    <t xml:space="preserve">1125 Litre 3000psi Pressure washer </t>
  </si>
  <si>
    <t>Order Ref</t>
  </si>
  <si>
    <t>NOTE</t>
  </si>
  <si>
    <t>HIRE STATUS</t>
  </si>
  <si>
    <t>Track Pads (yellow)</t>
  </si>
  <si>
    <t>16ft Mobile Welfare Eco Groundhog</t>
  </si>
  <si>
    <t>Sim card</t>
  </si>
  <si>
    <t>Wheel washing unit</t>
  </si>
  <si>
    <t>Water Dispenser</t>
  </si>
  <si>
    <t>Portal toilet</t>
  </si>
  <si>
    <t>COSHH Cabinet</t>
  </si>
  <si>
    <t>Gator</t>
  </si>
  <si>
    <t>Tower Light</t>
  </si>
  <si>
    <t>20ft Anti Vandal Store</t>
  </si>
  <si>
    <t>16ft Standard Tank (Grey Waste)</t>
  </si>
  <si>
    <t>Double side racking for the storage container</t>
  </si>
  <si>
    <t>12ft Secure Office</t>
  </si>
  <si>
    <t>1xDesk 1xOff-Chair 1xPoly Chair 1xFiling Cabinet</t>
  </si>
  <si>
    <t>Stair Case Landing</t>
  </si>
  <si>
    <t xml:space="preserve">Distribution Board </t>
  </si>
  <si>
    <t>32ft Anti Vandal Meeting Room</t>
  </si>
  <si>
    <t>15xPadded Chairs 6xOffice Tables</t>
  </si>
  <si>
    <t>32ft Anti Vandal Office</t>
  </si>
  <si>
    <t>4xDesks 4xOff-Chair 4xPad-Chair 4xPoly Chairs 2xFiling Cabinets</t>
  </si>
  <si>
    <t>32ft Anti Vandal Canteen</t>
  </si>
  <si>
    <t>4xTables 24xPoly Chairs</t>
  </si>
  <si>
    <t>Fridge, Microwave &amp; Kettle</t>
  </si>
  <si>
    <t>32ft Security Changing Room</t>
  </si>
  <si>
    <t>4x 1.5m Double Sided Cloakroom Benches</t>
  </si>
  <si>
    <t>Delivery Price</t>
  </si>
  <si>
    <t>Collection Price</t>
  </si>
  <si>
    <t>6kva Welfare Generator</t>
  </si>
  <si>
    <t>Yearly Cost</t>
  </si>
  <si>
    <t>TOTAL HIRE COST</t>
  </si>
  <si>
    <t>TOTAL HIRE WEEKLY COST</t>
  </si>
  <si>
    <t>DELIVERY COST</t>
  </si>
  <si>
    <t>COLLECTION COST</t>
  </si>
  <si>
    <t>yearly</t>
  </si>
  <si>
    <t>Dehumidifier</t>
  </si>
  <si>
    <t>3+1 Mains Toilet Block</t>
  </si>
  <si>
    <t>Furniture Pack for 32-OFF</t>
  </si>
  <si>
    <t>Smoking Shelter</t>
  </si>
  <si>
    <t>3 Station Boot Wash</t>
  </si>
  <si>
    <t>950ltr  fuel cube</t>
  </si>
  <si>
    <t>16ft Anti vandal power pod c/w100kwa gen</t>
  </si>
  <si>
    <t xml:space="preserve">100 kwa Generator </t>
  </si>
  <si>
    <t>20M 32amp lead</t>
  </si>
  <si>
    <t xml:space="preserve">Furniture Pack </t>
  </si>
  <si>
    <t>20ft Anti Vandal Tank (Grey Waste)</t>
  </si>
  <si>
    <t xml:space="preserve">Eco Tower – Requires 110/240 power supply </t>
  </si>
  <si>
    <t>32ft  Changing Room</t>
  </si>
  <si>
    <t>12ft Mobile Welfare Groundhog</t>
  </si>
  <si>
    <t>Soundex Premium Curtain Plus Generator Surround Package</t>
  </si>
  <si>
    <t>60KVA Generator</t>
  </si>
  <si>
    <t>Discharge  pump 3''</t>
  </si>
  <si>
    <t>GPS kit</t>
  </si>
  <si>
    <t>COSHH Storage Container</t>
  </si>
  <si>
    <t>Track Pads flex</t>
  </si>
  <si>
    <t>Track Pads (black 40mm)</t>
  </si>
  <si>
    <t>Noise measurment  Equipment</t>
  </si>
  <si>
    <t>Dust Supression 1500lt</t>
  </si>
  <si>
    <t>8 yard skip - metal</t>
  </si>
  <si>
    <t>8 yard skip - general</t>
  </si>
  <si>
    <t>date slicer</t>
  </si>
  <si>
    <t>A2-A5</t>
  </si>
  <si>
    <t>ENVIROMENTAL - WASTE MANAGEMENT</t>
  </si>
  <si>
    <t>Contractual Costs</t>
  </si>
  <si>
    <t xml:space="preserve">6 yard skip - Concrete </t>
  </si>
  <si>
    <t xml:space="preserve">Delivery Status </t>
  </si>
  <si>
    <t xml:space="preserve">TO BE FILLED  </t>
  </si>
  <si>
    <t>Location</t>
  </si>
  <si>
    <t>Compound</t>
  </si>
  <si>
    <t xml:space="preserve">Satellite Compound </t>
  </si>
  <si>
    <t xml:space="preserve">Plot 1 </t>
  </si>
  <si>
    <t>Plot 2</t>
  </si>
  <si>
    <t>Plot 3</t>
  </si>
  <si>
    <t xml:space="preserve">Plot 4 </t>
  </si>
  <si>
    <t xml:space="preserve">Plot 5 </t>
  </si>
  <si>
    <t>Plot 6</t>
  </si>
  <si>
    <t xml:space="preserve">Bess </t>
  </si>
  <si>
    <t>SECURITY</t>
  </si>
  <si>
    <t>Security Services</t>
  </si>
  <si>
    <t>Banksman Services</t>
  </si>
  <si>
    <t>Dog Unit Services</t>
  </si>
  <si>
    <t xml:space="preserve"> INVOICE CHECKED</t>
  </si>
  <si>
    <t>INVOICE NUMBER</t>
  </si>
  <si>
    <t xml:space="preserve">DPM - Black Jack 908 - </t>
  </si>
  <si>
    <t>760mm Square Composite Cover and Frame D400</t>
  </si>
  <si>
    <t>Assisted Lift Stick</t>
  </si>
  <si>
    <t>FROM INVOICE</t>
  </si>
  <si>
    <t>FROM QOUTATION</t>
  </si>
  <si>
    <t>Tipper Hire</t>
  </si>
  <si>
    <t>12 yard  skip - general</t>
  </si>
  <si>
    <t>COLLECTED</t>
  </si>
  <si>
    <t>OFF-HIRED</t>
  </si>
  <si>
    <t xml:space="preserve">ON SITE </t>
  </si>
  <si>
    <t>ON HIRE</t>
  </si>
  <si>
    <t>C25/30 S4 Dmx:10</t>
  </si>
  <si>
    <t xml:space="preserve"> Concrete Pipe CL H 450 x 2.5m</t>
  </si>
  <si>
    <t>Electric Cable Below Warning Tape 150mm x 365mtr</t>
  </si>
  <si>
    <t>-</t>
  </si>
  <si>
    <t xml:space="preserve">Vegetation Clearence </t>
  </si>
  <si>
    <t xml:space="preserve">32ft Storage Container  with Racks </t>
  </si>
  <si>
    <t xml:space="preserve">32ft Storage Container  - Dual Doors </t>
  </si>
  <si>
    <t>HGV COUNT</t>
  </si>
  <si>
    <t>MOVEMENT TYPE</t>
  </si>
  <si>
    <t>Sum of HGV COUNT</t>
  </si>
  <si>
    <t>DESCRIPTION OF CONTRACT</t>
  </si>
  <si>
    <t>CONTRACT</t>
  </si>
  <si>
    <t>SIGNED BY</t>
  </si>
  <si>
    <t>DATE OF CONTRACT</t>
  </si>
  <si>
    <t>SUBCONTRACTOR/ CONTRACTOR</t>
  </si>
  <si>
    <t>PO NUMBER / CONTRACT REFERENCE</t>
  </si>
  <si>
    <t>Contract Signature Date</t>
  </si>
  <si>
    <t>Quantity</t>
  </si>
  <si>
    <t>DESIGN</t>
  </si>
  <si>
    <t>SURVEY</t>
  </si>
  <si>
    <t>IF /Hire Equipment</t>
  </si>
  <si>
    <t>PROJECT INFO</t>
  </si>
  <si>
    <t>ITEM</t>
  </si>
  <si>
    <t>DATE IN</t>
  </si>
  <si>
    <t>Dehumidifier PP005</t>
  </si>
  <si>
    <t>Expansion Foam Sheet  25x200 (2m)</t>
  </si>
  <si>
    <t>HydroTank PVC Waterstop - Internal Expansion XTCB 250mm x 12m</t>
  </si>
  <si>
    <t>PVC Waterstop 22" Welding Blade 110V 350W c/w 110V Yellow Plug</t>
  </si>
  <si>
    <t>HydroTank PVC Waterstop - Internal Expansion XTCB 250mm Jointing Jig</t>
  </si>
  <si>
    <t>PRECON 1.6mm (16g) TYING WIRE</t>
  </si>
  <si>
    <t>50mm CONCRETE CONCAVE BAR</t>
  </si>
  <si>
    <t>40/50 CONCRETE SPACER BLOCKS</t>
  </si>
  <si>
    <t>SIKAFLEX-415 UNIVERSAL 600ML</t>
  </si>
  <si>
    <t>600cc BARREL GUN</t>
  </si>
  <si>
    <t xml:space="preserve">Mechanical Seal </t>
  </si>
  <si>
    <t>Delivery Cost</t>
  </si>
  <si>
    <t>Material / Service Costs</t>
  </si>
  <si>
    <t>Internet Service 1</t>
  </si>
  <si>
    <t>Arboriculturist</t>
  </si>
  <si>
    <t>Cadweld Horizontal Tee Mold 70mm² Conductors</t>
  </si>
  <si>
    <t>nVent ERICO Cadweld Plus Welding F20</t>
  </si>
  <si>
    <t>nVent ERICO Handle Clamp CLAMP.HANDLE.E-Z CHANGE 3</t>
  </si>
  <si>
    <t>nVent ERICO CADWELD Plus Impulse Control Unit</t>
  </si>
  <si>
    <t>nVent ERICO TSCSTP Cadweld Cleaning Kit</t>
  </si>
  <si>
    <t>nVent ERICO B136B Mold Cleaner Tool B136B</t>
  </si>
  <si>
    <t xml:space="preserve"> Cable Cover 150mm x 2.5mm x 40m  Caution Cable below </t>
  </si>
  <si>
    <t>BWS200/200/250 WALL SLEEVE</t>
  </si>
  <si>
    <t>BWS150/160/250 WALL SLEEVE</t>
  </si>
  <si>
    <t>BWS200/200/200 WALL SLEEVE</t>
  </si>
  <si>
    <t>BWS150/160/200 WALL SLEEVE</t>
  </si>
  <si>
    <t>50mm OD 40mm ID Black Polypipe Ridgicoil 50m c/w Coupler</t>
  </si>
  <si>
    <t>160mm OD × 137mm ID Black Twinwall Duct in 25m Coil c/w Coupler</t>
  </si>
  <si>
    <t>50mm Twinwall Duct Coupler</t>
  </si>
  <si>
    <t>63mm Twinwall Duct Coupler</t>
  </si>
  <si>
    <t>160mm Twinwall Duct Coupler</t>
  </si>
  <si>
    <t xml:space="preserve">MHC 150 </t>
  </si>
  <si>
    <t>MHC 200</t>
  </si>
  <si>
    <t>HGV</t>
  </si>
  <si>
    <t>PO NUMBER</t>
  </si>
  <si>
    <t>PROJECT TYPE</t>
  </si>
  <si>
    <t>Sum of COST</t>
  </si>
  <si>
    <t>Sum of PRICE TOTAL</t>
  </si>
  <si>
    <t>Sum of WEEK COST</t>
  </si>
  <si>
    <t>Sum of TOTAL COST</t>
  </si>
  <si>
    <t xml:space="preserve">we need to ask Robin to allocate  the Work </t>
  </si>
  <si>
    <t>SUPPLY CHAIN LIST</t>
  </si>
  <si>
    <t>BUDGET A</t>
  </si>
  <si>
    <t>BUDGET B</t>
  </si>
  <si>
    <t>Project Name</t>
  </si>
  <si>
    <t>Project Address</t>
  </si>
  <si>
    <t>Project Coordinate</t>
  </si>
  <si>
    <t>Supplier A</t>
  </si>
  <si>
    <t>Supplier B</t>
  </si>
  <si>
    <t>Supplier C</t>
  </si>
  <si>
    <t>Subcontrator A</t>
  </si>
  <si>
    <t>Subcontrator B</t>
  </si>
  <si>
    <t>Subcontrator C</t>
  </si>
  <si>
    <t>Security</t>
  </si>
  <si>
    <t>Activity A</t>
  </si>
  <si>
    <t>Activity B</t>
  </si>
  <si>
    <t>Activity C</t>
  </si>
  <si>
    <t>Launch Version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</si>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</sst>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£&quot;#,##0.00;[Red]\-&quot;£&quot;#,##0.00"/>
    <numFmt numFmtId="164" formatCode="&quot;£&quot;#,##0.00"/>
    <numFmt numFmtId="165" formatCode="[$£-809]#,##0.00"/>
    <numFmt numFmtId="166" formatCode="_-[$£-809]* #,##0.00_-;\-[$£-809]* #,##0.00_-;_-[$£-809]* &quot;-&quot;??_-;_-@_-"/>
    <numFmt numFmtId="167" formatCode="&quot;£&quot;#,##0.000"/>
  </numFmts>
  <fonts count="50" x14ac:knownFonts="1">
    <font>
      <sz val="11"/>
      <color theme="1"/>
      <name val="Calibri"/>
      <family val="2"/>
      <scheme val="minor"/>
    </font>
    <font>
      <b/>
      <i/>
      <sz val="10"/>
      <color rgb="FF00008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Helvetica"/>
      <family val="2"/>
      <charset val="1"/>
    </font>
    <font>
      <sz val="8"/>
      <name val="Calibri"/>
      <family val="2"/>
      <scheme val="minor"/>
    </font>
    <font>
      <sz val="11.5"/>
      <color rgb="FF404040"/>
      <name val="Arial"/>
      <family val="2"/>
      <charset val="1"/>
    </font>
    <font>
      <sz val="11"/>
      <color rgb="FF555555"/>
      <name val="Calibri"/>
      <family val="2"/>
      <scheme val="minor"/>
    </font>
    <font>
      <sz val="11"/>
      <color rgb="FF565959"/>
      <name val="Calibri"/>
      <family val="2"/>
      <scheme val="minor"/>
    </font>
    <font>
      <sz val="10.5"/>
      <color rgb="FF111820"/>
      <name val="Arial"/>
      <family val="2"/>
      <charset val="1"/>
    </font>
    <font>
      <sz val="10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sz val="10"/>
      <color theme="3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orbel Light"/>
      <family val="2"/>
    </font>
    <font>
      <b/>
      <sz val="11"/>
      <color theme="5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1"/>
      <name val="Courier New"/>
      <family val="3"/>
    </font>
    <font>
      <b/>
      <sz val="14"/>
      <color rgb="FF00206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2"/>
      <color rgb="FF000000"/>
      <name val="Corbel Light"/>
      <family val="2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2F75B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 tint="0.79998168889431442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5" tint="0.39997558519241921"/>
        <bgColor theme="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FB5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theme="4" tint="0.3999755851924192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A5A5A5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165" fontId="0" fillId="0" borderId="1" xfId="0" applyNumberFormat="1" applyBorder="1"/>
    <xf numFmtId="0" fontId="4" fillId="0" borderId="0" xfId="0" applyFont="1"/>
    <xf numFmtId="0" fontId="0" fillId="0" borderId="0" xfId="0" applyAlignment="1">
      <alignment wrapText="1"/>
    </xf>
    <xf numFmtId="0" fontId="6" fillId="0" borderId="0" xfId="0" applyFont="1"/>
    <xf numFmtId="0" fontId="9" fillId="0" borderId="0" xfId="0" applyFont="1"/>
    <xf numFmtId="0" fontId="2" fillId="0" borderId="0" xfId="1"/>
    <xf numFmtId="165" fontId="0" fillId="0" borderId="0" xfId="0" applyNumberFormat="1"/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center" vertical="center" wrapText="1"/>
    </xf>
    <xf numFmtId="0" fontId="6" fillId="8" borderId="0" xfId="0" applyFont="1" applyFill="1" applyAlignment="1">
      <alignment vertical="center"/>
    </xf>
    <xf numFmtId="0" fontId="6" fillId="8" borderId="0" xfId="0" applyFont="1" applyFill="1" applyAlignment="1">
      <alignment horizontal="center" vertical="center"/>
    </xf>
    <xf numFmtId="0" fontId="7" fillId="4" borderId="9" xfId="0" applyFont="1" applyFill="1" applyBorder="1" applyAlignment="1">
      <alignment horizontal="left" vertical="center" wrapText="1"/>
    </xf>
    <xf numFmtId="0" fontId="8" fillId="0" borderId="0" xfId="0" applyFont="1"/>
    <xf numFmtId="2" fontId="0" fillId="0" borderId="0" xfId="0" applyNumberFormat="1"/>
    <xf numFmtId="0" fontId="0" fillId="14" borderId="0" xfId="0" applyFill="1"/>
    <xf numFmtId="0" fontId="12" fillId="0" borderId="12" xfId="0" applyFont="1" applyBorder="1"/>
    <xf numFmtId="0" fontId="14" fillId="17" borderId="12" xfId="0" applyFont="1" applyFill="1" applyBorder="1" applyAlignment="1">
      <alignment horizontal="left" vertical="center" wrapText="1"/>
    </xf>
    <xf numFmtId="0" fontId="11" fillId="6" borderId="12" xfId="0" applyFont="1" applyFill="1" applyBorder="1" applyAlignment="1">
      <alignment horizontal="left" vertical="center"/>
    </xf>
    <xf numFmtId="0" fontId="11" fillId="12" borderId="12" xfId="0" applyFont="1" applyFill="1" applyBorder="1" applyAlignment="1">
      <alignment horizontal="left" vertical="center"/>
    </xf>
    <xf numFmtId="0" fontId="11" fillId="5" borderId="12" xfId="0" applyFont="1" applyFill="1" applyBorder="1" applyAlignment="1">
      <alignment horizontal="left" vertical="center"/>
    </xf>
    <xf numFmtId="0" fontId="11" fillId="7" borderId="12" xfId="0" applyFont="1" applyFill="1" applyBorder="1" applyAlignment="1">
      <alignment horizontal="left" vertical="center"/>
    </xf>
    <xf numFmtId="0" fontId="0" fillId="3" borderId="9" xfId="0" applyFill="1" applyBorder="1"/>
    <xf numFmtId="0" fontId="0" fillId="0" borderId="9" xfId="0" applyBorder="1"/>
    <xf numFmtId="0" fontId="7" fillId="4" borderId="13" xfId="0" applyFont="1" applyFill="1" applyBorder="1"/>
    <xf numFmtId="0" fontId="0" fillId="3" borderId="14" xfId="0" applyFill="1" applyBorder="1"/>
    <xf numFmtId="0" fontId="0" fillId="0" borderId="14" xfId="0" applyBorder="1"/>
    <xf numFmtId="0" fontId="22" fillId="16" borderId="12" xfId="0" applyFont="1" applyFill="1" applyBorder="1" applyAlignment="1">
      <alignment horizontal="left"/>
    </xf>
    <xf numFmtId="14" fontId="22" fillId="14" borderId="12" xfId="0" applyNumberFormat="1" applyFont="1" applyFill="1" applyBorder="1" applyAlignment="1">
      <alignment horizontal="left"/>
    </xf>
    <xf numFmtId="0" fontId="22" fillId="14" borderId="12" xfId="0" applyFont="1" applyFill="1" applyBorder="1" applyAlignment="1">
      <alignment horizontal="left"/>
    </xf>
    <xf numFmtId="0" fontId="22" fillId="14" borderId="12" xfId="0" applyFont="1" applyFill="1" applyBorder="1" applyAlignment="1" applyProtection="1">
      <alignment horizontal="left"/>
      <protection locked="0"/>
    </xf>
    <xf numFmtId="0" fontId="22" fillId="18" borderId="12" xfId="0" applyFont="1" applyFill="1" applyBorder="1" applyAlignment="1">
      <alignment horizontal="left"/>
    </xf>
    <xf numFmtId="164" fontId="22" fillId="18" borderId="12" xfId="0" applyNumberFormat="1" applyFont="1" applyFill="1" applyBorder="1" applyAlignment="1">
      <alignment horizontal="left"/>
    </xf>
    <xf numFmtId="1" fontId="22" fillId="18" borderId="12" xfId="0" applyNumberFormat="1" applyFont="1" applyFill="1" applyBorder="1" applyAlignment="1">
      <alignment horizontal="left"/>
    </xf>
    <xf numFmtId="0" fontId="24" fillId="14" borderId="12" xfId="0" applyFont="1" applyFill="1" applyBorder="1" applyAlignment="1">
      <alignment horizontal="left"/>
    </xf>
    <xf numFmtId="0" fontId="24" fillId="0" borderId="0" xfId="0" applyFont="1"/>
    <xf numFmtId="0" fontId="12" fillId="3" borderId="12" xfId="0" applyFont="1" applyFill="1" applyBorder="1"/>
    <xf numFmtId="0" fontId="12" fillId="0" borderId="18" xfId="0" applyFont="1" applyBorder="1"/>
    <xf numFmtId="0" fontId="13" fillId="9" borderId="20" xfId="0" applyFont="1" applyFill="1" applyBorder="1"/>
    <xf numFmtId="0" fontId="12" fillId="6" borderId="12" xfId="0" applyFont="1" applyFill="1" applyBorder="1"/>
    <xf numFmtId="165" fontId="0" fillId="6" borderId="12" xfId="0" applyNumberFormat="1" applyFill="1" applyBorder="1"/>
    <xf numFmtId="0" fontId="5" fillId="2" borderId="21" xfId="0" applyFont="1" applyFill="1" applyBorder="1" applyAlignment="1">
      <alignment horizontal="center" vertical="center"/>
    </xf>
    <xf numFmtId="0" fontId="0" fillId="14" borderId="22" xfId="0" applyFill="1" applyBorder="1"/>
    <xf numFmtId="0" fontId="6" fillId="0" borderId="23" xfId="0" applyFont="1" applyBorder="1" applyAlignment="1">
      <alignment horizontal="center" vertical="center"/>
    </xf>
    <xf numFmtId="165" fontId="0" fillId="14" borderId="24" xfId="0" applyNumberFormat="1" applyFill="1" applyBorder="1"/>
    <xf numFmtId="0" fontId="6" fillId="0" borderId="11" xfId="0" applyFont="1" applyBorder="1"/>
    <xf numFmtId="0" fontId="0" fillId="14" borderId="24" xfId="0" applyFill="1" applyBorder="1"/>
    <xf numFmtId="0" fontId="5" fillId="2" borderId="25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65" fontId="0" fillId="14" borderId="0" xfId="0" applyNumberFormat="1" applyFill="1"/>
    <xf numFmtId="0" fontId="13" fillId="9" borderId="26" xfId="0" applyFont="1" applyFill="1" applyBorder="1"/>
    <xf numFmtId="0" fontId="13" fillId="9" borderId="27" xfId="0" applyFont="1" applyFill="1" applyBorder="1"/>
    <xf numFmtId="0" fontId="14" fillId="17" borderId="28" xfId="0" applyFont="1" applyFill="1" applyBorder="1" applyAlignment="1">
      <alignment horizontal="left" vertical="center" wrapText="1"/>
    </xf>
    <xf numFmtId="0" fontId="14" fillId="17" borderId="18" xfId="0" applyFont="1" applyFill="1" applyBorder="1" applyAlignment="1">
      <alignment horizontal="left" vertical="center" wrapText="1"/>
    </xf>
    <xf numFmtId="0" fontId="11" fillId="18" borderId="12" xfId="0" applyFont="1" applyFill="1" applyBorder="1"/>
    <xf numFmtId="14" fontId="11" fillId="0" borderId="12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2" xfId="0" applyFont="1" applyBorder="1" applyAlignment="1">
      <alignment horizontal="left" vertical="center" wrapText="1"/>
    </xf>
    <xf numFmtId="166" fontId="11" fillId="0" borderId="12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horizontal="left" vertical="center"/>
    </xf>
    <xf numFmtId="0" fontId="11" fillId="0" borderId="12" xfId="0" applyFont="1" applyBorder="1" applyAlignment="1">
      <alignment horizontal="left" wrapText="1"/>
    </xf>
    <xf numFmtId="0" fontId="11" fillId="0" borderId="12" xfId="0" applyFont="1" applyBorder="1"/>
    <xf numFmtId="14" fontId="11" fillId="0" borderId="12" xfId="0" applyNumberFormat="1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2" xfId="0" applyFont="1" applyBorder="1" applyAlignment="1">
      <alignment horizontal="left"/>
    </xf>
    <xf numFmtId="0" fontId="11" fillId="0" borderId="12" xfId="0" applyFont="1" applyBorder="1" applyAlignment="1">
      <alignment wrapText="1"/>
    </xf>
    <xf numFmtId="0" fontId="12" fillId="0" borderId="12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0" borderId="12" xfId="0" applyFont="1" applyBorder="1"/>
    <xf numFmtId="0" fontId="19" fillId="0" borderId="12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11" fillId="0" borderId="12" xfId="0" quotePrefix="1" applyFont="1" applyBorder="1" applyAlignment="1">
      <alignment horizontal="center"/>
    </xf>
    <xf numFmtId="0" fontId="19" fillId="0" borderId="12" xfId="0" applyFont="1" applyBorder="1" applyAlignment="1">
      <alignment horizontal="center" vertical="center"/>
    </xf>
    <xf numFmtId="0" fontId="14" fillId="19" borderId="12" xfId="0" applyFont="1" applyFill="1" applyBorder="1" applyAlignment="1">
      <alignment horizontal="left" vertical="center" wrapText="1"/>
    </xf>
    <xf numFmtId="0" fontId="14" fillId="20" borderId="12" xfId="0" applyFont="1" applyFill="1" applyBorder="1" applyAlignment="1">
      <alignment horizontal="left" vertical="center" wrapText="1"/>
    </xf>
    <xf numFmtId="0" fontId="25" fillId="21" borderId="12" xfId="0" applyFont="1" applyFill="1" applyBorder="1"/>
    <xf numFmtId="0" fontId="26" fillId="21" borderId="12" xfId="0" applyFont="1" applyFill="1" applyBorder="1" applyAlignment="1">
      <alignment horizontal="left" vertical="center"/>
    </xf>
    <xf numFmtId="0" fontId="27" fillId="0" borderId="29" xfId="0" applyFont="1" applyBorder="1"/>
    <xf numFmtId="0" fontId="0" fillId="14" borderId="12" xfId="0" applyFill="1" applyBorder="1" applyAlignment="1">
      <alignment horizontal="left"/>
    </xf>
    <xf numFmtId="0" fontId="0" fillId="0" borderId="0" xfId="0" pivotButton="1"/>
    <xf numFmtId="0" fontId="28" fillId="14" borderId="19" xfId="0" applyFont="1" applyFill="1" applyBorder="1"/>
    <xf numFmtId="0" fontId="11" fillId="23" borderId="12" xfId="0" applyFont="1" applyFill="1" applyBorder="1" applyAlignment="1">
      <alignment horizontal="left" vertical="center"/>
    </xf>
    <xf numFmtId="0" fontId="29" fillId="15" borderId="12" xfId="0" applyFont="1" applyFill="1" applyBorder="1"/>
    <xf numFmtId="0" fontId="30" fillId="15" borderId="12" xfId="0" applyFont="1" applyFill="1" applyBorder="1" applyAlignment="1">
      <alignment horizontal="left" vertical="center" wrapText="1"/>
    </xf>
    <xf numFmtId="0" fontId="0" fillId="8" borderId="0" xfId="0" applyFill="1"/>
    <xf numFmtId="167" fontId="0" fillId="0" borderId="0" xfId="0" applyNumberFormat="1"/>
    <xf numFmtId="0" fontId="10" fillId="10" borderId="15" xfId="0" applyFont="1" applyFill="1" applyBorder="1"/>
    <xf numFmtId="0" fontId="10" fillId="10" borderId="16" xfId="0" applyFont="1" applyFill="1" applyBorder="1"/>
    <xf numFmtId="0" fontId="10" fillId="10" borderId="17" xfId="0" applyFont="1" applyFill="1" applyBorder="1"/>
    <xf numFmtId="167" fontId="0" fillId="18" borderId="12" xfId="0" applyNumberFormat="1" applyFill="1" applyBorder="1" applyAlignment="1">
      <alignment horizontal="left"/>
    </xf>
    <xf numFmtId="0" fontId="0" fillId="22" borderId="0" xfId="0" applyFill="1"/>
    <xf numFmtId="0" fontId="7" fillId="4" borderId="30" xfId="0" applyFont="1" applyFill="1" applyBorder="1"/>
    <xf numFmtId="0" fontId="0" fillId="3" borderId="30" xfId="0" applyFill="1" applyBorder="1"/>
    <xf numFmtId="0" fontId="0" fillId="0" borderId="30" xfId="0" applyBorder="1"/>
    <xf numFmtId="0" fontId="22" fillId="14" borderId="18" xfId="0" applyFont="1" applyFill="1" applyBorder="1" applyAlignment="1">
      <alignment horizontal="left"/>
    </xf>
    <xf numFmtId="0" fontId="22" fillId="14" borderId="18" xfId="0" applyFont="1" applyFill="1" applyBorder="1" applyAlignment="1" applyProtection="1">
      <alignment horizontal="left"/>
      <protection locked="0"/>
    </xf>
    <xf numFmtId="4" fontId="0" fillId="0" borderId="0" xfId="0" applyNumberFormat="1" applyAlignment="1">
      <alignment horizontal="center"/>
    </xf>
    <xf numFmtId="0" fontId="11" fillId="22" borderId="12" xfId="0" applyFont="1" applyFill="1" applyBorder="1" applyAlignment="1">
      <alignment horizontal="left" vertical="center" wrapText="1"/>
    </xf>
    <xf numFmtId="14" fontId="22" fillId="14" borderId="18" xfId="0" applyNumberFormat="1" applyFont="1" applyFill="1" applyBorder="1" applyAlignment="1">
      <alignment horizontal="left"/>
    </xf>
    <xf numFmtId="0" fontId="10" fillId="6" borderId="12" xfId="0" applyFont="1" applyFill="1" applyBorder="1" applyAlignment="1">
      <alignment horizontal="center"/>
    </xf>
    <xf numFmtId="0" fontId="10" fillId="8" borderId="0" xfId="0" applyFont="1" applyFill="1" applyAlignment="1">
      <alignment horizontal="left" vertical="center"/>
    </xf>
    <xf numFmtId="0" fontId="11" fillId="14" borderId="12" xfId="0" applyFont="1" applyFill="1" applyBorder="1" applyAlignment="1">
      <alignment horizontal="left" vertical="center" wrapText="1"/>
    </xf>
    <xf numFmtId="164" fontId="11" fillId="0" borderId="12" xfId="0" applyNumberFormat="1" applyFont="1" applyBorder="1" applyAlignment="1">
      <alignment horizontal="left" vertical="center" wrapText="1"/>
    </xf>
    <xf numFmtId="164" fontId="11" fillId="0" borderId="12" xfId="0" applyNumberFormat="1" applyFont="1" applyBorder="1" applyAlignment="1">
      <alignment horizontal="left" vertical="center"/>
    </xf>
    <xf numFmtId="164" fontId="11" fillId="0" borderId="12" xfId="0" applyNumberFormat="1" applyFont="1" applyBorder="1" applyAlignment="1">
      <alignment horizontal="left" wrapText="1"/>
    </xf>
    <xf numFmtId="164" fontId="11" fillId="14" borderId="12" xfId="0" applyNumberFormat="1" applyFont="1" applyFill="1" applyBorder="1" applyAlignment="1">
      <alignment horizontal="left" vertical="center" wrapText="1"/>
    </xf>
    <xf numFmtId="164" fontId="11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left"/>
    </xf>
    <xf numFmtId="0" fontId="33" fillId="0" borderId="12" xfId="0" applyFont="1" applyBorder="1" applyAlignment="1">
      <alignment horizontal="left" vertical="center" wrapText="1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 applyAlignment="1">
      <alignment horizontal="left" wrapText="1"/>
    </xf>
    <xf numFmtId="0" fontId="33" fillId="14" borderId="12" xfId="0" applyFont="1" applyFill="1" applyBorder="1" applyAlignment="1">
      <alignment horizontal="left" vertical="center" wrapText="1"/>
    </xf>
    <xf numFmtId="0" fontId="33" fillId="0" borderId="12" xfId="0" applyFont="1" applyBorder="1" applyAlignment="1">
      <alignment horizontal="left"/>
    </xf>
    <xf numFmtId="0" fontId="34" fillId="8" borderId="0" xfId="0" applyFont="1" applyFill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0" borderId="0" xfId="0" applyFont="1" applyAlignment="1">
      <alignment horizontal="left"/>
    </xf>
    <xf numFmtId="0" fontId="11" fillId="18" borderId="18" xfId="0" applyFont="1" applyFill="1" applyBorder="1"/>
    <xf numFmtId="14" fontId="11" fillId="0" borderId="18" xfId="0" applyNumberFormat="1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8" xfId="0" applyFont="1" applyBorder="1"/>
    <xf numFmtId="0" fontId="33" fillId="0" borderId="18" xfId="0" applyFont="1" applyBorder="1" applyAlignment="1">
      <alignment horizontal="left"/>
    </xf>
    <xf numFmtId="0" fontId="11" fillId="0" borderId="18" xfId="0" applyFont="1" applyBorder="1" applyAlignment="1">
      <alignment horizontal="left"/>
    </xf>
    <xf numFmtId="164" fontId="18" fillId="0" borderId="12" xfId="0" applyNumberFormat="1" applyFont="1" applyBorder="1" applyAlignment="1">
      <alignment horizontal="left"/>
    </xf>
    <xf numFmtId="164" fontId="11" fillId="0" borderId="18" xfId="0" applyNumberFormat="1" applyFont="1" applyBorder="1" applyAlignment="1">
      <alignment horizontal="left"/>
    </xf>
    <xf numFmtId="0" fontId="0" fillId="16" borderId="9" xfId="0" applyFill="1" applyBorder="1"/>
    <xf numFmtId="0" fontId="18" fillId="0" borderId="12" xfId="0" applyFont="1" applyBorder="1" applyAlignment="1">
      <alignment wrapText="1"/>
    </xf>
    <xf numFmtId="0" fontId="11" fillId="0" borderId="18" xfId="0" applyFont="1" applyBorder="1" applyAlignment="1">
      <alignment wrapText="1"/>
    </xf>
    <xf numFmtId="0" fontId="14" fillId="19" borderId="10" xfId="0" applyFont="1" applyFill="1" applyBorder="1" applyAlignment="1">
      <alignment horizontal="left" vertical="center" wrapText="1"/>
    </xf>
    <xf numFmtId="0" fontId="14" fillId="17" borderId="10" xfId="0" applyFont="1" applyFill="1" applyBorder="1" applyAlignment="1">
      <alignment horizontal="left" vertical="center" wrapText="1"/>
    </xf>
    <xf numFmtId="0" fontId="14" fillId="20" borderId="10" xfId="0" applyFont="1" applyFill="1" applyBorder="1" applyAlignment="1">
      <alignment horizontal="left" vertical="center" wrapText="1"/>
    </xf>
    <xf numFmtId="0" fontId="26" fillId="21" borderId="10" xfId="0" applyFont="1" applyFill="1" applyBorder="1" applyAlignment="1">
      <alignment horizontal="left" vertical="center"/>
    </xf>
    <xf numFmtId="0" fontId="14" fillId="6" borderId="10" xfId="0" applyFont="1" applyFill="1" applyBorder="1" applyAlignment="1">
      <alignment horizontal="left" vertical="center"/>
    </xf>
    <xf numFmtId="0" fontId="32" fillId="15" borderId="10" xfId="0" applyFont="1" applyFill="1" applyBorder="1" applyAlignment="1">
      <alignment horizontal="left" vertical="center" wrapText="1"/>
    </xf>
    <xf numFmtId="0" fontId="14" fillId="23" borderId="10" xfId="0" applyFont="1" applyFill="1" applyBorder="1" applyAlignment="1">
      <alignment horizontal="left" vertical="center"/>
    </xf>
    <xf numFmtId="0" fontId="14" fillId="5" borderId="10" xfId="0" applyFont="1" applyFill="1" applyBorder="1" applyAlignment="1">
      <alignment horizontal="left" vertical="center"/>
    </xf>
    <xf numFmtId="0" fontId="14" fillId="7" borderId="10" xfId="0" applyFont="1" applyFill="1" applyBorder="1" applyAlignment="1">
      <alignment horizontal="left" vertical="center"/>
    </xf>
    <xf numFmtId="0" fontId="0" fillId="0" borderId="32" xfId="0" applyBorder="1"/>
    <xf numFmtId="0" fontId="26" fillId="21" borderId="10" xfId="0" applyFont="1" applyFill="1" applyBorder="1" applyAlignment="1">
      <alignment horizontal="left" vertical="center" wrapText="1"/>
    </xf>
    <xf numFmtId="0" fontId="14" fillId="13" borderId="10" xfId="0" applyFont="1" applyFill="1" applyBorder="1" applyAlignment="1">
      <alignment horizontal="left" vertical="center"/>
    </xf>
    <xf numFmtId="14" fontId="37" fillId="25" borderId="0" xfId="0" applyNumberFormat="1" applyFont="1" applyFill="1" applyAlignment="1">
      <alignment horizontal="center" vertical="center"/>
    </xf>
    <xf numFmtId="0" fontId="26" fillId="27" borderId="10" xfId="0" applyFont="1" applyFill="1" applyBorder="1" applyAlignment="1">
      <alignment horizontal="left" vertical="center" wrapText="1"/>
    </xf>
    <xf numFmtId="0" fontId="38" fillId="28" borderId="10" xfId="0" applyFont="1" applyFill="1" applyBorder="1" applyAlignment="1">
      <alignment horizontal="left" vertical="center"/>
    </xf>
    <xf numFmtId="0" fontId="35" fillId="29" borderId="0" xfId="0" applyFont="1" applyFill="1"/>
    <xf numFmtId="164" fontId="35" fillId="29" borderId="0" xfId="0" applyNumberFormat="1" applyFont="1" applyFill="1"/>
    <xf numFmtId="0" fontId="35" fillId="26" borderId="0" xfId="0" applyFont="1" applyFill="1"/>
    <xf numFmtId="164" fontId="35" fillId="29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9" fillId="0" borderId="0" xfId="0" applyFont="1" applyAlignment="1">
      <alignment vertical="center"/>
    </xf>
    <xf numFmtId="0" fontId="7" fillId="4" borderId="31" xfId="0" applyFont="1" applyFill="1" applyBorder="1" applyAlignment="1">
      <alignment horizontal="center" wrapText="1"/>
    </xf>
    <xf numFmtId="0" fontId="0" fillId="10" borderId="0" xfId="0" applyFill="1"/>
    <xf numFmtId="0" fontId="14" fillId="13" borderId="10" xfId="0" applyFont="1" applyFill="1" applyBorder="1" applyAlignment="1">
      <alignment horizontal="left" vertical="center" wrapText="1"/>
    </xf>
    <xf numFmtId="0" fontId="14" fillId="7" borderId="10" xfId="0" applyFont="1" applyFill="1" applyBorder="1" applyAlignment="1">
      <alignment horizontal="left" vertical="center" wrapText="1"/>
    </xf>
    <xf numFmtId="0" fontId="14" fillId="6" borderId="10" xfId="0" applyFont="1" applyFill="1" applyBorder="1" applyAlignment="1">
      <alignment horizontal="left" vertical="center" wrapText="1"/>
    </xf>
    <xf numFmtId="14" fontId="35" fillId="29" borderId="0" xfId="0" applyNumberFormat="1" applyFont="1" applyFill="1"/>
    <xf numFmtId="0" fontId="0" fillId="0" borderId="0" xfId="0" applyAlignment="1">
      <alignment vertical="center" wrapText="1"/>
    </xf>
    <xf numFmtId="167" fontId="0" fillId="14" borderId="0" xfId="0" applyNumberFormat="1" applyFill="1"/>
    <xf numFmtId="0" fontId="14" fillId="5" borderId="10" xfId="0" applyFont="1" applyFill="1" applyBorder="1" applyAlignment="1">
      <alignment horizontal="left" vertical="center" wrapText="1"/>
    </xf>
    <xf numFmtId="0" fontId="14" fillId="22" borderId="10" xfId="0" applyFont="1" applyFill="1" applyBorder="1" applyAlignment="1">
      <alignment horizontal="left" vertical="center" wrapText="1"/>
    </xf>
    <xf numFmtId="0" fontId="14" fillId="8" borderId="10" xfId="0" applyFont="1" applyFill="1" applyBorder="1" applyAlignment="1">
      <alignment horizontal="left" vertical="center" wrapText="1"/>
    </xf>
    <xf numFmtId="0" fontId="13" fillId="30" borderId="10" xfId="0" applyFont="1" applyFill="1" applyBorder="1" applyAlignment="1">
      <alignment horizontal="left" vertical="center" wrapText="1"/>
    </xf>
    <xf numFmtId="164" fontId="24" fillId="22" borderId="12" xfId="0" applyNumberFormat="1" applyFont="1" applyFill="1" applyBorder="1"/>
    <xf numFmtId="0" fontId="24" fillId="0" borderId="12" xfId="0" applyFont="1" applyBorder="1"/>
    <xf numFmtId="0" fontId="0" fillId="25" borderId="0" xfId="0" applyFill="1" applyAlignment="1">
      <alignment vertical="center" wrapText="1"/>
    </xf>
    <xf numFmtId="0" fontId="36" fillId="25" borderId="0" xfId="0" applyFont="1" applyFill="1" applyAlignment="1">
      <alignment vertical="center" wrapText="1"/>
    </xf>
    <xf numFmtId="0" fontId="0" fillId="15" borderId="0" xfId="0" applyFill="1" applyAlignment="1">
      <alignment vertical="center" wrapText="1"/>
    </xf>
    <xf numFmtId="0" fontId="11" fillId="0" borderId="0" xfId="0" applyFont="1"/>
    <xf numFmtId="14" fontId="11" fillId="0" borderId="0" xfId="0" applyNumberFormat="1" applyFont="1"/>
    <xf numFmtId="0" fontId="0" fillId="8" borderId="0" xfId="0" applyFill="1" applyAlignment="1">
      <alignment horizontal="center"/>
    </xf>
    <xf numFmtId="0" fontId="14" fillId="8" borderId="10" xfId="0" applyFont="1" applyFill="1" applyBorder="1" applyAlignment="1">
      <alignment horizontal="left" vertical="center"/>
    </xf>
    <xf numFmtId="0" fontId="8" fillId="14" borderId="0" xfId="0" applyFont="1" applyFill="1"/>
    <xf numFmtId="0" fontId="0" fillId="31" borderId="0" xfId="0" applyFill="1"/>
    <xf numFmtId="0" fontId="6" fillId="8" borderId="0" xfId="0" applyFont="1" applyFill="1" applyAlignment="1">
      <alignment horizontal="left" vertical="center"/>
    </xf>
    <xf numFmtId="0" fontId="11" fillId="14" borderId="12" xfId="0" applyFont="1" applyFill="1" applyBorder="1" applyAlignment="1">
      <alignment horizontal="left"/>
    </xf>
    <xf numFmtId="0" fontId="0" fillId="32" borderId="0" xfId="0" applyFill="1"/>
    <xf numFmtId="0" fontId="0" fillId="32" borderId="0" xfId="0" applyFill="1" applyAlignment="1">
      <alignment horizontal="left" vertical="center" wrapText="1"/>
    </xf>
    <xf numFmtId="4" fontId="40" fillId="22" borderId="0" xfId="0" applyNumberFormat="1" applyFont="1" applyFill="1" applyAlignment="1">
      <alignment vertical="center"/>
    </xf>
    <xf numFmtId="0" fontId="7" fillId="4" borderId="36" xfId="0" applyFont="1" applyFill="1" applyBorder="1"/>
    <xf numFmtId="0" fontId="12" fillId="3" borderId="0" xfId="0" applyFont="1" applyFill="1"/>
    <xf numFmtId="0" fontId="12" fillId="0" borderId="0" xfId="0" applyFont="1"/>
    <xf numFmtId="0" fontId="42" fillId="0" borderId="0" xfId="0" applyFont="1"/>
    <xf numFmtId="0" fontId="42" fillId="31" borderId="0" xfId="0" applyFont="1" applyFill="1"/>
    <xf numFmtId="0" fontId="11" fillId="12" borderId="0" xfId="0" applyFont="1" applyFill="1" applyAlignment="1">
      <alignment horizontal="center" vertical="center" wrapText="1"/>
    </xf>
    <xf numFmtId="14" fontId="0" fillId="0" borderId="0" xfId="0" applyNumberFormat="1" applyAlignment="1">
      <alignment vertical="center"/>
    </xf>
    <xf numFmtId="0" fontId="11" fillId="0" borderId="18" xfId="0" applyFont="1" applyBorder="1" applyAlignment="1">
      <alignment horizontal="center" vertical="center"/>
    </xf>
    <xf numFmtId="0" fontId="10" fillId="8" borderId="0" xfId="0" applyFont="1" applyFill="1" applyAlignment="1">
      <alignment horizontal="left" vertical="center" wrapText="1"/>
    </xf>
    <xf numFmtId="8" fontId="11" fillId="0" borderId="12" xfId="0" applyNumberFormat="1" applyFont="1" applyBorder="1" applyAlignment="1">
      <alignment horizontal="left"/>
    </xf>
    <xf numFmtId="0" fontId="11" fillId="6" borderId="12" xfId="0" applyFont="1" applyFill="1" applyBorder="1" applyAlignment="1">
      <alignment horizontal="left" vertical="center" wrapText="1"/>
    </xf>
    <xf numFmtId="0" fontId="22" fillId="14" borderId="12" xfId="0" applyFont="1" applyFill="1" applyBorder="1" applyAlignment="1">
      <alignment horizontal="left" wrapText="1"/>
    </xf>
    <xf numFmtId="0" fontId="23" fillId="14" borderId="12" xfId="0" applyFont="1" applyFill="1" applyBorder="1" applyAlignment="1">
      <alignment wrapText="1"/>
    </xf>
    <xf numFmtId="0" fontId="22" fillId="14" borderId="18" xfId="0" applyFont="1" applyFill="1" applyBorder="1" applyAlignment="1">
      <alignment horizontal="left" wrapText="1"/>
    </xf>
    <xf numFmtId="14" fontId="11" fillId="22" borderId="18" xfId="0" applyNumberFormat="1" applyFont="1" applyFill="1" applyBorder="1" applyAlignment="1">
      <alignment horizontal="center" vertical="center"/>
    </xf>
    <xf numFmtId="0" fontId="11" fillId="0" borderId="18" xfId="0" applyFont="1" applyBorder="1" applyAlignment="1">
      <alignment horizontal="left" vertical="center" wrapText="1"/>
    </xf>
    <xf numFmtId="0" fontId="33" fillId="0" borderId="18" xfId="0" applyFont="1" applyBorder="1" applyAlignment="1">
      <alignment horizontal="left" vertical="center" wrapText="1"/>
    </xf>
    <xf numFmtId="164" fontId="11" fillId="0" borderId="18" xfId="0" applyNumberFormat="1" applyFont="1" applyBorder="1" applyAlignment="1">
      <alignment horizontal="left" vertical="center" wrapText="1"/>
    </xf>
    <xf numFmtId="0" fontId="0" fillId="16" borderId="14" xfId="0" applyFill="1" applyBorder="1"/>
    <xf numFmtId="0" fontId="0" fillId="14" borderId="12" xfId="0" applyFill="1" applyBorder="1" applyAlignment="1">
      <alignment horizontal="left" wrapText="1"/>
    </xf>
    <xf numFmtId="0" fontId="11" fillId="6" borderId="10" xfId="0" applyFont="1" applyFill="1" applyBorder="1" applyAlignment="1">
      <alignment horizontal="left" vertical="center" wrapText="1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7" borderId="10" xfId="0" applyFont="1" applyFill="1" applyBorder="1" applyAlignment="1">
      <alignment horizontal="left" vertical="center"/>
    </xf>
    <xf numFmtId="0" fontId="25" fillId="21" borderId="15" xfId="0" applyFont="1" applyFill="1" applyBorder="1" applyAlignment="1">
      <alignment horizontal="center" wrapText="1"/>
    </xf>
    <xf numFmtId="0" fontId="11" fillId="23" borderId="10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/>
    </xf>
    <xf numFmtId="14" fontId="43" fillId="0" borderId="0" xfId="0" applyNumberFormat="1" applyFont="1" applyAlignment="1">
      <alignment horizontal="center"/>
    </xf>
    <xf numFmtId="0" fontId="26" fillId="21" borderId="10" xfId="0" applyFont="1" applyFill="1" applyBorder="1" applyAlignment="1">
      <alignment horizontal="center" vertical="center" wrapText="1"/>
    </xf>
    <xf numFmtId="0" fontId="10" fillId="11" borderId="12" xfId="0" applyFont="1" applyFill="1" applyBorder="1"/>
    <xf numFmtId="14" fontId="0" fillId="33" borderId="0" xfId="0" applyNumberFormat="1" applyFill="1" applyAlignment="1">
      <alignment horizontal="center"/>
    </xf>
    <xf numFmtId="0" fontId="22" fillId="14" borderId="12" xfId="0" applyFont="1" applyFill="1" applyBorder="1" applyAlignment="1" applyProtection="1">
      <alignment horizontal="center"/>
      <protection locked="0"/>
    </xf>
    <xf numFmtId="0" fontId="31" fillId="0" borderId="0" xfId="0" applyFont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41" fillId="8" borderId="0" xfId="0" applyFont="1" applyFill="1" applyAlignment="1">
      <alignment vertical="center"/>
    </xf>
    <xf numFmtId="164" fontId="22" fillId="14" borderId="18" xfId="0" applyNumberFormat="1" applyFont="1" applyFill="1" applyBorder="1" applyAlignment="1">
      <alignment horizontal="left"/>
    </xf>
    <xf numFmtId="0" fontId="11" fillId="12" borderId="12" xfId="0" applyFont="1" applyFill="1" applyBorder="1"/>
    <xf numFmtId="164" fontId="24" fillId="14" borderId="18" xfId="0" applyNumberFormat="1" applyFont="1" applyFill="1" applyBorder="1" applyAlignment="1">
      <alignment horizontal="left"/>
    </xf>
    <xf numFmtId="0" fontId="31" fillId="0" borderId="12" xfId="0" applyFont="1" applyBorder="1" applyAlignment="1">
      <alignment horizontal="center" vertical="center"/>
    </xf>
    <xf numFmtId="4" fontId="40" fillId="10" borderId="0" xfId="0" applyNumberFormat="1" applyFont="1" applyFill="1" applyAlignment="1">
      <alignment vertical="center"/>
    </xf>
    <xf numFmtId="0" fontId="4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22" fillId="18" borderId="18" xfId="0" applyFont="1" applyFill="1" applyBorder="1" applyAlignment="1">
      <alignment horizontal="left"/>
    </xf>
    <xf numFmtId="1" fontId="22" fillId="18" borderId="18" xfId="0" applyNumberFormat="1" applyFont="1" applyFill="1" applyBorder="1" applyAlignment="1">
      <alignment horizontal="left"/>
    </xf>
    <xf numFmtId="0" fontId="45" fillId="8" borderId="0" xfId="0" applyFont="1" applyFill="1" applyAlignment="1">
      <alignment horizontal="left" vertical="center"/>
    </xf>
    <xf numFmtId="0" fontId="22" fillId="14" borderId="12" xfId="0" applyFont="1" applyFill="1" applyBorder="1" applyAlignment="1">
      <alignment horizontal="center" wrapText="1"/>
    </xf>
    <xf numFmtId="0" fontId="22" fillId="14" borderId="12" xfId="0" applyFont="1" applyFill="1" applyBorder="1" applyAlignment="1" applyProtection="1">
      <alignment horizontal="left" wrapText="1"/>
      <protection locked="0"/>
    </xf>
    <xf numFmtId="0" fontId="22" fillId="14" borderId="0" xfId="0" applyFont="1" applyFill="1" applyAlignment="1">
      <alignment horizontal="left" wrapText="1"/>
    </xf>
    <xf numFmtId="0" fontId="11" fillId="0" borderId="0" xfId="0" applyFont="1" applyAlignment="1">
      <alignment horizontal="left"/>
    </xf>
    <xf numFmtId="1" fontId="11" fillId="0" borderId="12" xfId="0" applyNumberFormat="1" applyFont="1" applyBorder="1" applyAlignment="1">
      <alignment horizontal="left"/>
    </xf>
    <xf numFmtId="1" fontId="11" fillId="0" borderId="12" xfId="0" applyNumberFormat="1" applyFont="1" applyBorder="1" applyAlignment="1">
      <alignment horizontal="left" wrapText="1"/>
    </xf>
    <xf numFmtId="1" fontId="11" fillId="0" borderId="18" xfId="0" applyNumberFormat="1" applyFont="1" applyBorder="1" applyAlignment="1">
      <alignment horizontal="left"/>
    </xf>
    <xf numFmtId="1" fontId="11" fillId="0" borderId="12" xfId="0" applyNumberFormat="1" applyFont="1" applyBorder="1" applyAlignment="1">
      <alignment horizontal="left" vertical="center" wrapText="1"/>
    </xf>
    <xf numFmtId="1" fontId="11" fillId="14" borderId="12" xfId="0" applyNumberFormat="1" applyFont="1" applyFill="1" applyBorder="1" applyAlignment="1">
      <alignment horizontal="left" vertical="center" wrapText="1"/>
    </xf>
    <xf numFmtId="1" fontId="11" fillId="0" borderId="12" xfId="0" applyNumberFormat="1" applyFont="1" applyBorder="1" applyAlignment="1">
      <alignment horizontal="left" vertical="center"/>
    </xf>
    <xf numFmtId="1" fontId="11" fillId="0" borderId="18" xfId="0" applyNumberFormat="1" applyFont="1" applyBorder="1" applyAlignment="1">
      <alignment horizontal="left" vertical="center" wrapText="1"/>
    </xf>
    <xf numFmtId="0" fontId="46" fillId="14" borderId="0" xfId="0" applyFont="1" applyFill="1"/>
    <xf numFmtId="0" fontId="22" fillId="14" borderId="0" xfId="0" applyFont="1" applyFill="1" applyAlignment="1" applyProtection="1">
      <alignment horizontal="left"/>
      <protection locked="0"/>
    </xf>
    <xf numFmtId="0" fontId="22" fillId="14" borderId="0" xfId="0" applyFont="1" applyFill="1" applyAlignment="1">
      <alignment horizontal="left"/>
    </xf>
    <xf numFmtId="0" fontId="0" fillId="0" borderId="38" xfId="0" applyBorder="1"/>
    <xf numFmtId="0" fontId="0" fillId="0" borderId="40" xfId="0" applyBorder="1"/>
    <xf numFmtId="0" fontId="0" fillId="0" borderId="39" xfId="0" applyBorder="1"/>
    <xf numFmtId="0" fontId="47" fillId="31" borderId="0" xfId="0" applyFont="1" applyFill="1"/>
    <xf numFmtId="0" fontId="0" fillId="0" borderId="0" xfId="0" applyAlignment="1">
      <alignment vertical="top"/>
    </xf>
    <xf numFmtId="0" fontId="0" fillId="34" borderId="0" xfId="0" applyFill="1"/>
    <xf numFmtId="0" fontId="0" fillId="35" borderId="0" xfId="0" applyFill="1"/>
    <xf numFmtId="0" fontId="5" fillId="35" borderId="1" xfId="0" applyFont="1" applyFill="1" applyBorder="1" applyAlignment="1">
      <alignment horizontal="center" vertical="center"/>
    </xf>
    <xf numFmtId="0" fontId="6" fillId="35" borderId="1" xfId="0" applyFont="1" applyFill="1" applyBorder="1" applyAlignment="1">
      <alignment horizontal="center" vertical="center"/>
    </xf>
    <xf numFmtId="0" fontId="6" fillId="35" borderId="0" xfId="0" applyFont="1" applyFill="1"/>
    <xf numFmtId="0" fontId="6" fillId="35" borderId="0" xfId="0" applyFont="1" applyFill="1" applyAlignment="1">
      <alignment horizontal="center" vertical="center"/>
    </xf>
    <xf numFmtId="0" fontId="3" fillId="35" borderId="2" xfId="0" applyFont="1" applyFill="1" applyBorder="1" applyAlignment="1">
      <alignment horizontal="center" vertical="center"/>
    </xf>
    <xf numFmtId="0" fontId="48" fillId="35" borderId="19" xfId="0" applyFont="1" applyFill="1" applyBorder="1"/>
    <xf numFmtId="165" fontId="35" fillId="35" borderId="2" xfId="0" applyNumberFormat="1" applyFont="1" applyFill="1" applyBorder="1"/>
    <xf numFmtId="0" fontId="49" fillId="35" borderId="43" xfId="0" applyFont="1" applyFill="1" applyBorder="1" applyAlignment="1">
      <alignment horizontal="center" vertical="center"/>
    </xf>
    <xf numFmtId="0" fontId="49" fillId="35" borderId="12" xfId="0" applyFont="1" applyFill="1" applyBorder="1" applyAlignment="1">
      <alignment horizontal="center" vertical="center" wrapText="1"/>
    </xf>
    <xf numFmtId="0" fontId="35" fillId="35" borderId="37" xfId="0" applyFont="1" applyFill="1" applyBorder="1"/>
    <xf numFmtId="165" fontId="35" fillId="35" borderId="44" xfId="0" applyNumberFormat="1" applyFont="1" applyFill="1" applyBorder="1"/>
    <xf numFmtId="165" fontId="35" fillId="35" borderId="42" xfId="0" applyNumberFormat="1" applyFont="1" applyFill="1" applyBorder="1"/>
    <xf numFmtId="165" fontId="35" fillId="35" borderId="41" xfId="0" applyNumberFormat="1" applyFont="1" applyFill="1" applyBorder="1"/>
    <xf numFmtId="165" fontId="35" fillId="35" borderId="6" xfId="0" applyNumberFormat="1" applyFont="1" applyFill="1" applyBorder="1"/>
    <xf numFmtId="165" fontId="35" fillId="35" borderId="8" xfId="0" applyNumberFormat="1" applyFont="1" applyFill="1" applyBorder="1"/>
    <xf numFmtId="165" fontId="35" fillId="35" borderId="7" xfId="0" applyNumberFormat="1" applyFont="1" applyFill="1" applyBorder="1"/>
    <xf numFmtId="14" fontId="0" fillId="35" borderId="0" xfId="0" applyNumberFormat="1" applyFill="1"/>
    <xf numFmtId="0" fontId="22" fillId="35" borderId="0" xfId="0" applyFont="1" applyFill="1"/>
    <xf numFmtId="14" fontId="22" fillId="35" borderId="0" xfId="0" applyNumberFormat="1" applyFont="1" applyFill="1"/>
    <xf numFmtId="0" fontId="0" fillId="35" borderId="0" xfId="0" applyFill="1" applyAlignment="1">
      <alignment horizontal="left"/>
    </xf>
    <xf numFmtId="0" fontId="0" fillId="36" borderId="0" xfId="0" applyFill="1"/>
    <xf numFmtId="0" fontId="11" fillId="14" borderId="12" xfId="0" applyFont="1" applyFill="1" applyBorder="1"/>
    <xf numFmtId="0" fontId="10" fillId="7" borderId="15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7" borderId="17" xfId="0" applyFont="1" applyFill="1" applyBorder="1" applyAlignment="1">
      <alignment horizontal="center"/>
    </xf>
    <xf numFmtId="0" fontId="10" fillId="6" borderId="12" xfId="0" applyFont="1" applyFill="1" applyBorder="1" applyAlignment="1">
      <alignment horizontal="center"/>
    </xf>
    <xf numFmtId="0" fontId="6" fillId="12" borderId="15" xfId="0" applyFont="1" applyFill="1" applyBorder="1" applyAlignment="1">
      <alignment horizontal="center"/>
    </xf>
    <xf numFmtId="0" fontId="6" fillId="12" borderId="16" xfId="0" applyFont="1" applyFill="1" applyBorder="1" applyAlignment="1">
      <alignment horizontal="center"/>
    </xf>
    <xf numFmtId="0" fontId="6" fillId="12" borderId="17" xfId="0" applyFont="1" applyFill="1" applyBorder="1" applyAlignment="1">
      <alignment horizontal="center"/>
    </xf>
    <xf numFmtId="0" fontId="0" fillId="24" borderId="33" xfId="0" applyFill="1" applyBorder="1" applyAlignment="1">
      <alignment horizontal="center"/>
    </xf>
    <xf numFmtId="0" fontId="0" fillId="24" borderId="34" xfId="0" applyFill="1" applyBorder="1" applyAlignment="1">
      <alignment horizontal="center"/>
    </xf>
    <xf numFmtId="0" fontId="0" fillId="24" borderId="35" xfId="0" applyFill="1" applyBorder="1" applyAlignment="1">
      <alignment horizontal="center"/>
    </xf>
    <xf numFmtId="0" fontId="10" fillId="11" borderId="15" xfId="0" applyFont="1" applyFill="1" applyBorder="1" applyAlignment="1">
      <alignment horizontal="center"/>
    </xf>
    <xf numFmtId="0" fontId="10" fillId="11" borderId="16" xfId="0" applyFont="1" applyFill="1" applyBorder="1" applyAlignment="1">
      <alignment horizontal="center"/>
    </xf>
    <xf numFmtId="0" fontId="10" fillId="11" borderId="17" xfId="0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/>
    </xf>
    <xf numFmtId="0" fontId="10" fillId="10" borderId="16" xfId="0" applyFont="1" applyFill="1" applyBorder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0" fontId="0" fillId="14" borderId="12" xfId="0" applyFill="1" applyBorder="1" applyAlignment="1">
      <alignment wrapText="1"/>
    </xf>
    <xf numFmtId="0" fontId="0" fillId="0" borderId="0" xfId="0" applyNumberFormat="1"/>
  </cellXfs>
  <cellStyles count="2">
    <cellStyle name="Hyperlink" xfId="1" xr:uid="{00000000-000B-0000-0000-000008000000}"/>
    <cellStyle name="Normal" xfId="0" builtinId="0"/>
  </cellStyles>
  <dxfs count="2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numFmt numFmtId="19" formatCode="dd/mm/yyyy"/>
    </dxf>
    <dxf>
      <numFmt numFmtId="19" formatCode="dd/mm/yyyy"/>
      <fill>
        <patternFill patternType="solid">
          <fgColor indexed="64"/>
          <bgColor theme="1" tint="0.249977111117893"/>
        </patternFill>
      </fill>
    </dxf>
    <dxf>
      <numFmt numFmtId="0" formatCode="General"/>
      <fill>
        <patternFill patternType="solid">
          <fgColor indexed="64"/>
          <bgColor theme="1" tint="0.249977111117893"/>
        </patternFill>
      </fill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ourier New"/>
        <family val="3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5" formatCode="[$£-809]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[$£-809]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rgb="FF000000"/>
        </top>
        <bottom style="thin">
          <color auto="1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C000"/>
        <name val="Calibri"/>
        <family val="2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numFmt numFmtId="164" formatCode="&quot;£&quot;#,##0.00"/>
    </dxf>
    <dxf>
      <fill>
        <patternFill patternType="solid">
          <fgColor indexed="64"/>
          <bgColor rgb="FF00B0F0"/>
        </patternFill>
      </fill>
      <alignment horizontal="left" vertical="center" textRotation="0" wrapText="1" indent="0" justifyLastLine="0" shrinkToFit="0" readingOrder="0"/>
    </dxf>
    <dxf>
      <numFmt numFmtId="164" formatCode="&quot;£&quot;#,##0.00"/>
    </dxf>
    <dxf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numFmt numFmtId="165" formatCode="[$£-809]#,##0.00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numFmt numFmtId="165" formatCode="[$£-809]#,##0.00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numFmt numFmtId="165" formatCode="[$£-809]#,##0.00"/>
      <fill>
        <patternFill patternType="solid">
          <fgColor indexed="64"/>
          <bgColor theme="1" tint="0.249977111117893"/>
        </patternFill>
      </fill>
      <border diagonalUp="0" diagonalDown="0" outline="0">
        <left style="medium">
          <color rgb="FF000000"/>
        </left>
        <right style="medium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numFmt numFmtId="164" formatCode="&quot;£&quot;#,##0.00"/>
    </dxf>
    <dxf>
      <numFmt numFmtId="167" formatCode="&quot;£&quot;#,##0.000"/>
    </dxf>
    <dxf>
      <numFmt numFmtId="164" formatCode="&quot;£&quot;#,##0.00"/>
    </dxf>
    <dxf>
      <numFmt numFmtId="0" formatCode="General"/>
    </dxf>
    <dxf>
      <numFmt numFmtId="0" formatCode="General"/>
    </dxf>
    <dxf>
      <numFmt numFmtId="164" formatCode="&quot;£&quot;#,##0.00"/>
    </dxf>
    <dxf>
      <numFmt numFmtId="164" formatCode="&quot;£&quot;#,##0.00"/>
    </dxf>
    <dxf>
      <numFmt numFmtId="19" formatCode="dd/mm/yyyy"/>
      <alignment horizontal="center" textRotation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indexed="64"/>
          <bgColor theme="2" tint="-0.499984740745262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2" tint="-0.499984740745262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£&quot;#,##0.00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£&quot;#,##0.00"/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</font>
      <numFmt numFmtId="19" formatCode="dd/mm/yyyy"/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0"/>
        </patternFill>
      </fill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0"/>
        </patternFill>
      </fill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0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color auto="1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numFmt numFmtId="1" formatCode="0"/>
      <fill>
        <patternFill patternType="solid">
          <fgColor indexed="64"/>
          <bgColor theme="0" tint="-0.249977111117893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numFmt numFmtId="164" formatCode="&quot;£&quot;#,##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£&quot;#,##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numFmt numFmtId="164" formatCode="&quot;£&quot;#,##0.00"/>
      <fill>
        <patternFill patternType="solid">
          <fgColor indexed="64"/>
          <bgColor theme="0" tint="-0.249977111117893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numFmt numFmtId="167" formatCode="&quot;£&quot;#,##0.000"/>
      <fill>
        <patternFill patternType="solid">
          <fgColor indexed="64"/>
          <bgColor theme="0" tint="-0.249977111117893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 patternType="solid">
          <fgColor indexed="64"/>
          <bgColor theme="0" tint="-0.249977111117893"/>
        </patternFill>
      </fill>
      <alignment horizontal="left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fill>
        <patternFill>
          <bgColor theme="0"/>
        </patternFill>
      </fill>
      <alignment horizontal="left" vertical="bottom" textRotation="0" indent="0" justifyLastLine="0" shrinkToFit="0" readingOrder="0"/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1AFABA"/>
      <color rgb="FF1DA9F7"/>
      <color rgb="FFFFD966"/>
      <color rgb="FFFBFB5B"/>
      <color rgb="FFFCFB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sharedStrings" Target="sharedString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4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[COST FOR M&amp;S V4.0-DEMO.xlsm]Sheet1!PivotTable1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  <c:dLbl>
          <c:idx val="0"/>
          <c:layout>
            <c:manualLayout>
              <c:x val="-0.24341950673926924"/>
              <c:y val="-0.16266553468055234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  <c:dLbl>
          <c:idx val="0"/>
          <c:layout>
            <c:manualLayout>
              <c:x val="0.37886122743916889"/>
              <c:y val="5.2293131943144285E-2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1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12"/>
      </c:pivotFmt>
      <c:pivotFmt>
        <c:idx val="13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0"/>
      </c:pivotFmt>
      <c:pivotFmt>
        <c:idx val="21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3"/>
      </c:pivotFmt>
      <c:pivotFmt>
        <c:idx val="2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7"/>
      </c:pivotFmt>
      <c:pivotFmt>
        <c:idx val="2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</c:pivotFmts>
    <c:plotArea>
      <c:layout>
        <c:manualLayout>
          <c:layoutTarget val="inner"/>
          <c:xMode val="edge"/>
          <c:yMode val="edge"/>
          <c:x val="0.20129610402280029"/>
          <c:y val="0.11875531745981754"/>
          <c:w val="0.63675109924951401"/>
          <c:h val="0.806250389612194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444500" dist="50800">
                <a:schemeClr val="accent1">
                  <a:lumMod val="50000"/>
                </a:schemeClr>
              </a:inn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  <a:innerShdw blurRad="444500" dist="50800">
                  <a:schemeClr val="accent1">
                    <a:lumMod val="50000"/>
                  </a:schemeClr>
                </a:innerShd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FE4F-43CE-8ED1-548A1BE4312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E4F-43CE-8ED1-548A1BE43126}"/>
              </c:ext>
            </c:extLst>
          </c:dPt>
          <c:dLbls>
            <c:numFmt formatCode="&quot;£&quot;#,##0" sourceLinked="0"/>
            <c:spPr>
              <a:noFill/>
              <a:ln>
                <a:noFill/>
              </a:ln>
              <a:effectLst>
                <a:innerShdw blurRad="114300">
                  <a:prstClr val="black"/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Sheet1!$A$2:$A$14</c:f>
              <c:strCache>
                <c:ptCount val="12"/>
                <c:pt idx="0">
                  <c:v>Aggregate</c:v>
                </c:pt>
                <c:pt idx="1">
                  <c:v>Concrete</c:v>
                </c:pt>
                <c:pt idx="2">
                  <c:v>Diesel</c:v>
                </c:pt>
                <c:pt idx="3">
                  <c:v>Drinking Water</c:v>
                </c:pt>
                <c:pt idx="4">
                  <c:v>Effluent collection</c:v>
                </c:pt>
                <c:pt idx="5">
                  <c:v>General site Costs</c:v>
                </c:pt>
                <c:pt idx="6">
                  <c:v>General Water delivery</c:v>
                </c:pt>
                <c:pt idx="7">
                  <c:v>Hire Equipment</c:v>
                </c:pt>
                <c:pt idx="8">
                  <c:v>Incoming Materials</c:v>
                </c:pt>
                <c:pt idx="9">
                  <c:v>Muck Away</c:v>
                </c:pt>
                <c:pt idx="10">
                  <c:v>Sand</c:v>
                </c:pt>
                <c:pt idx="11">
                  <c:v>Waste Cost</c:v>
                </c:pt>
              </c:strCache>
            </c:strRef>
          </c:cat>
          <c:val>
            <c:numRef>
              <c:f>Sheet1!$B$2:$B$14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4F-43CE-8ED1-548A1BE43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4174191"/>
        <c:axId val="534173231"/>
      </c:barChart>
      <c:valAx>
        <c:axId val="53417323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£&quot;#,##0,&quot;K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4191"/>
        <c:crosses val="autoZero"/>
        <c:crossBetween val="between"/>
      </c:valAx>
      <c:catAx>
        <c:axId val="534174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innerShdw blurRad="114300">
            <a:prstClr val="black"/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[COST FOR M&amp;S V4.0-DEMO.xlsm]Sheet3!PivotTable2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  <c:dLbl>
          <c:idx val="0"/>
          <c:layout>
            <c:manualLayout>
              <c:x val="-0.24341950673926924"/>
              <c:y val="-0.16266553468055234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  <c:dLbl>
          <c:idx val="0"/>
          <c:layout>
            <c:manualLayout>
              <c:x val="0.37886122743916889"/>
              <c:y val="5.2293131943144285E-2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1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12"/>
      </c:pivotFmt>
      <c:pivotFmt>
        <c:idx val="13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0"/>
      </c:pivotFmt>
      <c:pivotFmt>
        <c:idx val="21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3"/>
      </c:pivotFmt>
      <c:pivotFmt>
        <c:idx val="2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7"/>
      </c:pivotFmt>
      <c:pivotFmt>
        <c:idx val="2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4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4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</c:pivotFmts>
    <c:plotArea>
      <c:layout>
        <c:manualLayout>
          <c:layoutTarget val="inner"/>
          <c:xMode val="edge"/>
          <c:yMode val="edge"/>
          <c:x val="0.19734385653819092"/>
          <c:y val="0.11055627946213084"/>
          <c:w val="0.63675109924951401"/>
          <c:h val="0.806250389612194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444500" dist="50800">
                <a:schemeClr val="accent1">
                  <a:lumMod val="50000"/>
                </a:schemeClr>
              </a:inn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  <a:innerShdw blurRad="444500" dist="50800">
                  <a:schemeClr val="accent1">
                    <a:lumMod val="50000"/>
                  </a:schemeClr>
                </a:innerShd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D8C3-4536-812D-E0DAC344F45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8C3-4536-812D-E0DAC344F455}"/>
              </c:ext>
            </c:extLst>
          </c:dPt>
          <c:dLbls>
            <c:numFmt formatCode="&quot;£&quot;#,##0" sourceLinked="0"/>
            <c:spPr>
              <a:noFill/>
              <a:ln>
                <a:noFill/>
              </a:ln>
              <a:effectLst>
                <a:innerShdw blurRad="114300">
                  <a:prstClr val="black"/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Sheet3!$A$2:$A$14</c:f>
              <c:strCache>
                <c:ptCount val="12"/>
                <c:pt idx="0">
                  <c:v>Aggregate</c:v>
                </c:pt>
                <c:pt idx="1">
                  <c:v>Concrete</c:v>
                </c:pt>
                <c:pt idx="2">
                  <c:v>Diesel</c:v>
                </c:pt>
                <c:pt idx="3">
                  <c:v>Drinking Water</c:v>
                </c:pt>
                <c:pt idx="4">
                  <c:v>Effluent collection</c:v>
                </c:pt>
                <c:pt idx="5">
                  <c:v>General site Costs</c:v>
                </c:pt>
                <c:pt idx="6">
                  <c:v>General Water delivery</c:v>
                </c:pt>
                <c:pt idx="7">
                  <c:v>Hire Equipment</c:v>
                </c:pt>
                <c:pt idx="8">
                  <c:v>Incoming Materials</c:v>
                </c:pt>
                <c:pt idx="9">
                  <c:v>Muck Away</c:v>
                </c:pt>
                <c:pt idx="10">
                  <c:v>Sand</c:v>
                </c:pt>
                <c:pt idx="11">
                  <c:v>Waste Cost</c:v>
                </c:pt>
              </c:strCache>
            </c:strRef>
          </c:cat>
          <c:val>
            <c:numRef>
              <c:f>Sheet3!$B$2:$B$14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3-4536-812D-E0DAC344F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4174191"/>
        <c:axId val="534173231"/>
      </c:barChart>
      <c:valAx>
        <c:axId val="53417323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£&quot;#,##0,&quot;K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4191"/>
        <c:crosses val="autoZero"/>
        <c:crossBetween val="between"/>
      </c:valAx>
      <c:catAx>
        <c:axId val="534174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innerShdw blurRad="114300">
            <a:prstClr val="black"/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[COST FOR M&amp;S V4.0-DEMO.xlsm]Sheet2!PivotTable1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  <c:dLbl>
          <c:idx val="0"/>
          <c:layout>
            <c:manualLayout>
              <c:x val="-0.24341950673926924"/>
              <c:y val="-0.16266553468055234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  <c:dLbl>
          <c:idx val="0"/>
          <c:layout>
            <c:manualLayout>
              <c:x val="0.37886122743916889"/>
              <c:y val="5.2293131943144285E-2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1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1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3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1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3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30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1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33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114300">
              <a:prstClr val="black"/>
            </a:innerShdw>
            <a:softEdge rad="0"/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C000">
              <a:lumMod val="40000"/>
              <a:lumOff val="60000"/>
            </a:srgbClr>
          </a:solidFill>
          <a:ln>
            <a:noFill/>
          </a:ln>
          <a:effectLst>
            <a:innerShdw blurRad="114300">
              <a:prstClr val="black"/>
            </a:innerShdw>
            <a:softEdge rad="0"/>
          </a:effectLst>
        </c:spPr>
      </c:pivotFmt>
      <c:pivotFmt>
        <c:idx val="36"/>
        <c:spPr>
          <a:solidFill>
            <a:srgbClr val="E7E6E6"/>
          </a:solidFill>
          <a:ln>
            <a:noFill/>
          </a:ln>
          <a:effectLst>
            <a:glow rad="63500">
              <a:srgbClr val="4472C4">
                <a:satMod val="175000"/>
                <a:alpha val="40000"/>
              </a:srgbClr>
            </a:glow>
            <a:innerShdw blurRad="114300">
              <a:prstClr val="black"/>
            </a:innerShdw>
            <a:softEdge rad="0"/>
          </a:effectLst>
        </c:spPr>
      </c:pivotFmt>
      <c:pivotFmt>
        <c:idx val="37"/>
        <c:spPr>
          <a:solidFill>
            <a:srgbClr val="FF0000"/>
          </a:solidFill>
          <a:ln>
            <a:noFill/>
          </a:ln>
          <a:effectLst>
            <a:innerShdw blurRad="114300">
              <a:prstClr val="black"/>
            </a:innerShdw>
            <a:softEdge rad="0"/>
          </a:effectLst>
        </c:spPr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</c:pivotFmts>
    <c:plotArea>
      <c:layout>
        <c:manualLayout>
          <c:layoutTarget val="inner"/>
          <c:xMode val="edge"/>
          <c:yMode val="edge"/>
          <c:x val="0.11102867485138414"/>
          <c:y val="0.12151377013052334"/>
          <c:w val="0.56418314511798429"/>
          <c:h val="0.803491837172476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114300">
                <a:prstClr val="black"/>
              </a:innerShdw>
              <a:softEdge rad="0"/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DFD-4BB1-AD30-3CA3BEEE25C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DFD-4BB1-AD30-3CA3BEEE25C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DFD-4BB1-AD30-3CA3BEEE25C9}"/>
              </c:ext>
            </c:extLst>
          </c:dPt>
          <c:dLbls>
            <c:numFmt formatCode="&quot;£&quot;#,##0" sourceLinked="0"/>
            <c:spPr>
              <a:noFill/>
              <a:ln>
                <a:noFill/>
              </a:ln>
              <a:effectLst>
                <a:innerShdw blurRad="114300">
                  <a:prstClr val="black"/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Sheet2!$A$2:$A$3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Sheet2!$B$2:$B$3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FD-4BB1-AD30-3CA3BEEE2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4174191"/>
        <c:axId val="534173231"/>
      </c:barChart>
      <c:valAx>
        <c:axId val="53417323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£&quot;#,##0,&quot;K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4191"/>
        <c:crosses val="autoZero"/>
        <c:crossBetween val="between"/>
      </c:valAx>
      <c:catAx>
        <c:axId val="534174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innerShdw blurRad="114300">
            <a:prstClr val="black"/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PRINCIPLE BASED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09618358869607"/>
          <c:y val="7.6316401793606464E-2"/>
          <c:w val="0.683272745036274"/>
          <c:h val="0.8725247870920651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'CHART3- PRINCIPLE BASED'!$C$2</c:f>
              <c:strCache>
                <c:ptCount val="1"/>
                <c:pt idx="0">
                  <c:v>PRICE 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'CHART3- PRINCIPLE BASED'!$B$3:$B$26</c:f>
              <c:strCache>
                <c:ptCount val="24"/>
                <c:pt idx="0">
                  <c:v>DESIGN</c:v>
                </c:pt>
                <c:pt idx="1">
                  <c:v>CIVIL</c:v>
                </c:pt>
                <c:pt idx="2">
                  <c:v>ELECTRICAL</c:v>
                </c:pt>
                <c:pt idx="3">
                  <c:v>MECHANICAL</c:v>
                </c:pt>
                <c:pt idx="4">
                  <c:v>LANDSCAPING</c:v>
                </c:pt>
                <c:pt idx="5">
                  <c:v>LOGISTIC &amp; OPERATIONAL COSTs</c:v>
                </c:pt>
                <c:pt idx="6">
                  <c:v>COMPOUND</c:v>
                </c:pt>
                <c:pt idx="7">
                  <c:v>CONSUMABLES</c:v>
                </c:pt>
                <c:pt idx="8">
                  <c:v>INVENTORY</c:v>
                </c:pt>
                <c:pt idx="9">
                  <c:v>SUNDRIES</c:v>
                </c:pt>
                <c:pt idx="10">
                  <c:v>HIRED EQUIPMENTS</c:v>
                </c:pt>
                <c:pt idx="11">
                  <c:v>TRAFFIC MANAGEMENT</c:v>
                </c:pt>
                <c:pt idx="12">
                  <c:v>PUBLIC ENGAGEMENT</c:v>
                </c:pt>
                <c:pt idx="13">
                  <c:v>TEMPORARY WORKS</c:v>
                </c:pt>
                <c:pt idx="14">
                  <c:v>HSE</c:v>
                </c:pt>
                <c:pt idx="15">
                  <c:v>QUALITY</c:v>
                </c:pt>
                <c:pt idx="16">
                  <c:v>SANITARY PRODUCTS</c:v>
                </c:pt>
                <c:pt idx="17">
                  <c:v>STATIONARY</c:v>
                </c:pt>
                <c:pt idx="18">
                  <c:v>ADMINSTIRATIVE</c:v>
                </c:pt>
                <c:pt idx="19">
                  <c:v>PPE</c:v>
                </c:pt>
                <c:pt idx="20">
                  <c:v>ENVIROMENTAL - WASTE MANAGEMENT</c:v>
                </c:pt>
                <c:pt idx="21">
                  <c:v>SECURITY</c:v>
                </c:pt>
                <c:pt idx="22">
                  <c:v>SURVEY</c:v>
                </c:pt>
                <c:pt idx="23">
                  <c:v>OTHERS</c:v>
                </c:pt>
              </c:strCache>
            </c:strRef>
          </c:cat>
          <c:val>
            <c:numRef>
              <c:f>'CHART3- PRINCIPLE BASED'!$C$3:$C$26</c:f>
              <c:numCache>
                <c:formatCode>"£"#,##0.00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E-4ED6-BD34-CB524F07BE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2"/>
        <c:overlap val="-50"/>
        <c:axId val="533374112"/>
        <c:axId val="533372672"/>
      </c:barChart>
      <c:catAx>
        <c:axId val="5333741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2672"/>
        <c:crossesAt val="1"/>
        <c:auto val="1"/>
        <c:lblAlgn val="ctr"/>
        <c:lblOffset val="100"/>
        <c:noMultiLvlLbl val="0"/>
      </c:catAx>
      <c:valAx>
        <c:axId val="53337267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[$£-809]#,##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4112"/>
        <c:crosses val="autoZero"/>
        <c:crossBetween val="between"/>
      </c:valAx>
      <c:spPr>
        <a:solidFill>
          <a:schemeClr val="bg2">
            <a:lumMod val="25000"/>
            <a:alpha val="0"/>
          </a:schemeClr>
        </a:solidFill>
        <a:ln>
          <a:noFill/>
        </a:ln>
        <a:effectLst>
          <a:glow rad="127000">
            <a:schemeClr val="bg2">
              <a:lumMod val="25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 FOR M&amp;S V4.0-DEMO.xlsm]PIE CHART BESS PV!PivotTable1</c:name>
    <c:fmtId val="3"/>
  </c:pivotSource>
  <c:chart>
    <c:title>
      <c:layout>
        <c:manualLayout>
          <c:xMode val="edge"/>
          <c:yMode val="edge"/>
          <c:x val="0.38857687842640137"/>
          <c:y val="2.20452582231284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D966"/>
          </a:solidFill>
          <a:ln>
            <a:noFill/>
          </a:ln>
          <a:effectLst>
            <a:glow rad="63500">
              <a:schemeClr val="bg1">
                <a:lumMod val="85000"/>
                <a:alpha val="40000"/>
              </a:schemeClr>
            </a:glow>
            <a:innerShdw blurRad="444500">
              <a:srgbClr val="00B0F0"/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D966"/>
          </a:solidFill>
          <a:ln>
            <a:noFill/>
          </a:ln>
          <a:effectLst>
            <a:glow rad="63500">
              <a:schemeClr val="bg1">
                <a:lumMod val="85000"/>
                <a:alpha val="40000"/>
              </a:schemeClr>
            </a:glow>
            <a:innerShdw blurRad="431800">
              <a:srgbClr val="FFC000"/>
            </a:innerShdw>
          </a:effectLst>
        </c:spPr>
        <c:dLbl>
          <c:idx val="0"/>
          <c:layout>
            <c:manualLayout>
              <c:x val="-0.24341950673926924"/>
              <c:y val="-0.16266553468055234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DA9F7"/>
          </a:solidFill>
          <a:ln>
            <a:noFill/>
          </a:ln>
          <a:effectLst>
            <a:glow rad="63500">
              <a:schemeClr val="bg1">
                <a:lumMod val="85000"/>
                <a:alpha val="40000"/>
              </a:schemeClr>
            </a:glow>
            <a:innerShdw blurRad="114300">
              <a:prstClr val="black"/>
            </a:innerShdw>
            <a:softEdge rad="0"/>
          </a:effectLst>
        </c:spPr>
        <c:dLbl>
          <c:idx val="0"/>
          <c:layout>
            <c:manualLayout>
              <c:x val="0.35171847344568985"/>
              <c:y val="0.13825903887576368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'PIE CHART BESS PV'!$B$1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D966"/>
            </a:solidFill>
            <a:ln>
              <a:noFill/>
            </a:ln>
            <a:effectLst>
              <a:glow rad="63500">
                <a:schemeClr val="bg1">
                  <a:lumMod val="85000"/>
                  <a:alpha val="40000"/>
                </a:schemeClr>
              </a:glow>
              <a:innerShdw blurRad="444500">
                <a:srgbClr val="00B0F0"/>
              </a:innerShdw>
            </a:effectLst>
          </c:spPr>
          <c:dPt>
            <c:idx val="0"/>
            <c:bubble3D val="0"/>
            <c:spPr>
              <a:solidFill>
                <a:srgbClr val="FFD966"/>
              </a:solidFill>
              <a:ln>
                <a:noFill/>
              </a:ln>
              <a:effectLst>
                <a:glow rad="63500">
                  <a:schemeClr val="bg1">
                    <a:lumMod val="85000"/>
                    <a:alpha val="40000"/>
                  </a:schemeClr>
                </a:glow>
                <a:innerShdw blurRad="444500">
                  <a:srgbClr val="00B0F0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9DF-486B-9245-A1A02290E2A6}"/>
              </c:ext>
            </c:extLst>
          </c:dPt>
          <c:dPt>
            <c:idx val="1"/>
            <c:bubble3D val="0"/>
            <c:spPr>
              <a:solidFill>
                <a:srgbClr val="FFD966"/>
              </a:solidFill>
              <a:ln>
                <a:noFill/>
              </a:ln>
              <a:effectLst>
                <a:glow rad="63500">
                  <a:schemeClr val="bg1">
                    <a:lumMod val="85000"/>
                    <a:alpha val="40000"/>
                  </a:schemeClr>
                </a:glow>
                <a:innerShdw blurRad="444500">
                  <a:srgbClr val="00B0F0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9DF-486B-9245-A1A02290E2A6}"/>
              </c:ext>
            </c:extLst>
          </c:dPt>
          <c:dLbls>
            <c:numFmt formatCode="&quot;£&quot;#,##0" sourceLinked="0"/>
            <c:spPr>
              <a:noFill/>
              <a:ln>
                <a:noFill/>
              </a:ln>
              <a:effectLst>
                <a:innerShdw blurRad="114300">
                  <a:prstClr val="black"/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CHART BESS PV'!$A$2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'PIE CHART BESS PV'!$B$2</c:f>
              <c:numCache>
                <c:formatCode>"£"#,##0.00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B9DF-486B-9245-A1A02290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>
          <a:innerShdw blurRad="114300">
            <a:prstClr val="black"/>
          </a:innerShdw>
        </a:effectLst>
      </c:spPr>
    </c:plotArea>
    <c:legend>
      <c:legendPos val="r"/>
      <c:layout>
        <c:manualLayout>
          <c:xMode val="edge"/>
          <c:yMode val="edge"/>
          <c:x val="0.78200281962344642"/>
          <c:y val="0.14079914873879648"/>
          <c:w val="0.17219232535579912"/>
          <c:h val="0.249484354158809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[COST FOR M&amp;S V4.0-DEMO.xlsm]PIE CHART BESS PV!PivotTable2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  <c:dLbl>
          <c:idx val="0"/>
          <c:layout>
            <c:manualLayout>
              <c:x val="-0.24341950673926924"/>
              <c:y val="-0.16266553468055234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  <c:dLbl>
          <c:idx val="0"/>
          <c:layout>
            <c:manualLayout>
              <c:x val="0.37886122743916889"/>
              <c:y val="5.2293131943144285E-2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1102867485138414"/>
          <c:y val="0.12151377013052334"/>
          <c:w val="0.56418314511798429"/>
          <c:h val="0.80349183717247696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'PIE CHART BESS PV'!$E$25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DF-486B-9245-A1A02290E2A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DF-486B-9245-A1A02290E2A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3B3-4394-BD8F-94B6D25C90C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3B3-4394-BD8F-94B6D25C90C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3B3-4394-BD8F-94B6D25C90C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3B3-4394-BD8F-94B6D25C90C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3B3-4394-BD8F-94B6D25C90C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3B3-4394-BD8F-94B6D25C90C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3B3-4394-BD8F-94B6D25C90C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3B3-4394-BD8F-94B6D25C90C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3B3-4394-BD8F-94B6D25C90C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3B3-4394-BD8F-94B6D25C90C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3B3-4394-BD8F-94B6D25C90C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3B3-4394-BD8F-94B6D25C90C0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3B3-4394-BD8F-94B6D25C90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3B3-4394-BD8F-94B6D25C90C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3B3-4394-BD8F-94B6D25C90C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3B3-4394-BD8F-94B6D25C90C0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23B3-4394-BD8F-94B6D25C90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23B3-4394-BD8F-94B6D25C90C0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23B3-4394-BD8F-94B6D25C90C0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23B3-4394-BD8F-94B6D25C90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23B3-4394-BD8F-94B6D25C90C0}"/>
              </c:ext>
            </c:extLst>
          </c:dPt>
          <c:dLbls>
            <c:numFmt formatCode="&quot;£&quot;#,##0" sourceLinked="0"/>
            <c:spPr>
              <a:noFill/>
              <a:ln>
                <a:noFill/>
              </a:ln>
              <a:effectLst>
                <a:innerShdw blurRad="114300">
                  <a:prstClr val="black"/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'PIE CHART BESS PV'!$D$26:$D$27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'PIE CHART BESS PV'!$E$26:$E$27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B9DF-486B-9245-A1A02290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4174191"/>
        <c:axId val="534173231"/>
      </c:barChart>
      <c:valAx>
        <c:axId val="53417323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£&quot;#,##0,&quot;K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4191"/>
        <c:crosses val="autoZero"/>
        <c:crossBetween val="between"/>
      </c:valAx>
      <c:catAx>
        <c:axId val="534174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innerShdw blurRad="114300">
            <a:prstClr val="black"/>
          </a:innerShdw>
        </a:effectLst>
      </c:spPr>
    </c:plotArea>
    <c:legend>
      <c:legendPos val="r"/>
      <c:layout>
        <c:manualLayout>
          <c:xMode val="edge"/>
          <c:yMode val="edge"/>
          <c:x val="0.76335002386179629"/>
          <c:y val="4.8028177194394429E-2"/>
          <c:w val="0.21799722413344302"/>
          <c:h val="0.929215209817027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 FOR M&amp;S V4.0-DEMO.xlsm]HGVs Schedule!PivotTable2</c:name>
    <c:fmtId val="3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5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</c:pivotFmt>
      <c:pivotFmt>
        <c:idx val="13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</c:pivotFmt>
      <c:pivotFmt>
        <c:idx val="140"/>
      </c:pivotFmt>
      <c:pivotFmt>
        <c:idx val="141"/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</c:pivotFmt>
      <c:pivotFmt>
        <c:idx val="14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</c:pivotFmt>
      <c:pivotFmt>
        <c:idx val="147"/>
      </c:pivotFmt>
      <c:pivotFmt>
        <c:idx val="148"/>
      </c:pivotFmt>
      <c:pivotFmt>
        <c:idx val="149"/>
      </c:pivotFmt>
      <c:pivotFmt>
        <c:idx val="150"/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</c:pivotFmt>
      <c:pivotFmt>
        <c:idx val="153"/>
      </c:pivotFmt>
      <c:pivotFmt>
        <c:idx val="154"/>
      </c:pivotFmt>
      <c:pivotFmt>
        <c:idx val="155"/>
      </c:pivotFmt>
      <c:pivotFmt>
        <c:idx val="156"/>
      </c:pivotFmt>
      <c:pivotFmt>
        <c:idx val="157"/>
      </c:pivotFmt>
      <c:pivotFmt>
        <c:idx val="15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</c:pivotFmt>
      <c:pivotFmt>
        <c:idx val="183"/>
      </c:pivotFmt>
      <c:pivotFmt>
        <c:idx val="184"/>
      </c:pivotFmt>
      <c:pivotFmt>
        <c:idx val="185"/>
      </c:pivotFmt>
      <c:pivotFmt>
        <c:idx val="186"/>
        <c:spPr>
          <a:gradFill rotWithShape="1">
            <a:gsLst>
              <a:gs pos="0">
                <a:schemeClr val="accent3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gradFill rotWithShape="1">
            <a:gsLst>
              <a:gs pos="0">
                <a:schemeClr val="accent3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</c:pivotFmt>
      <c:pivotFmt>
        <c:idx val="191"/>
      </c:pivotFmt>
      <c:pivotFmt>
        <c:idx val="192"/>
      </c:pivotFmt>
      <c:pivotFmt>
        <c:idx val="193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</c:pivotFmt>
      <c:pivotFmt>
        <c:idx val="210"/>
      </c:pivotFmt>
      <c:pivotFmt>
        <c:idx val="211"/>
      </c:pivotFmt>
      <c:pivotFmt>
        <c:idx val="212"/>
      </c:pivotFmt>
      <c:pivotFmt>
        <c:idx val="213"/>
      </c:pivotFmt>
      <c:pivotFmt>
        <c:idx val="214"/>
      </c:pivotFmt>
      <c:pivotFmt>
        <c:idx val="215"/>
      </c:pivotFmt>
      <c:pivotFmt>
        <c:idx val="216"/>
      </c:pivotFmt>
      <c:pivotFmt>
        <c:idx val="217"/>
      </c:pivotFmt>
      <c:pivotFmt>
        <c:idx val="218"/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2514281303072413E-2"/>
          <c:y val="5.2443792744019078E-2"/>
          <c:w val="0.8197279355232111"/>
          <c:h val="0.819383493633648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'HGVs Schedule'!$B$3:$B$4</c:f>
              <c:strCache>
                <c:ptCount val="1"/>
                <c:pt idx="0">
                  <c:v>Grand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'HGVs Schedule'!$A$5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'HGVs Schedule'!$B$5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C4F-4385-AAEF-DDB51BCF6E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60"/>
        <c:axId val="1902732288"/>
        <c:axId val="1902730368"/>
      </c:barChart>
      <c:catAx>
        <c:axId val="190273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0368"/>
        <c:crosses val="autoZero"/>
        <c:auto val="1"/>
        <c:lblAlgn val="ctr"/>
        <c:lblOffset val="100"/>
        <c:noMultiLvlLbl val="0"/>
      </c:catAx>
      <c:valAx>
        <c:axId val="190273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467042204128029"/>
          <c:y val="5.3193926132035781E-2"/>
          <c:w val="0.15089354606260255"/>
          <c:h val="0.84628358301724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2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 FOR M&amp;S V4.0-DEMO.xlsm]Sheet4!PivotTable3</c:name>
    <c:fmtId val="3"/>
  </c:pivotSource>
  <c:chart>
    <c:title>
      <c:layout>
        <c:manualLayout>
          <c:xMode val="edge"/>
          <c:yMode val="edge"/>
          <c:x val="0.44767995126317101"/>
          <c:y val="2.5673155318959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5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9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5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rgbClr val="FBFB5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2514281303072413E-2"/>
          <c:y val="5.2443792744019078E-2"/>
          <c:w val="0.8197279355232111"/>
          <c:h val="0.819383493633648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BFB5B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Sheet4!$B$2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59B-49FC-87AF-050101F02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overlap val="-8"/>
        <c:axId val="1902732288"/>
        <c:axId val="1902730368"/>
      </c:barChart>
      <c:catAx>
        <c:axId val="190273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0368"/>
        <c:crosses val="autoZero"/>
        <c:auto val="1"/>
        <c:lblAlgn val="ctr"/>
        <c:lblOffset val="100"/>
        <c:noMultiLvlLbl val="0"/>
      </c:catAx>
      <c:valAx>
        <c:axId val="190273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2">
        <a:lumMod val="2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 FOR M&amp;S V4.0-DEMO.xlsm]PIE CHART BESS PV!PivotTable1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'PIE CHART BESS PV'!$B$1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A5-4B9E-B12F-F8DA218C74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A5-4B9E-B12F-F8DA218C74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CHART BESS PV'!$A$2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'PIE CHART BESS PV'!$B$2</c:f>
              <c:numCache>
                <c:formatCode>"£"#,##0.00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3A5-4B9E-B12F-F8DA218C7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 FOR M&amp;S V4.0-DEMO.xlsm]PIE CHART BESS PV!PivotTable2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'PIE CHART BESS PV'!$E$25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49-431C-BC1F-2D99BF483E2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49-431C-BC1F-2D99BF483E2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D49-431C-BC1F-2D99BF483E2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D49-431C-BC1F-2D99BF483E2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D49-431C-BC1F-2D99BF483E2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D49-431C-BC1F-2D99BF483E2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D49-431C-BC1F-2D99BF483E2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D49-431C-BC1F-2D99BF483E2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D49-431C-BC1F-2D99BF483E2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D49-431C-BC1F-2D99BF483E2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D49-431C-BC1F-2D99BF483E2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D49-431C-BC1F-2D99BF483E2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D49-431C-BC1F-2D99BF483E2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D49-431C-BC1F-2D99BF483E2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D49-431C-BC1F-2D99BF483E2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D49-431C-BC1F-2D99BF483E2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D49-431C-BC1F-2D99BF483E2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D49-431C-BC1F-2D99BF483E22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D49-431C-BC1F-2D99BF483E22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D49-431C-BC1F-2D99BF483E22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D49-431C-BC1F-2D99BF483E22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AD49-431C-BC1F-2D99BF483E22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AD49-431C-BC1F-2D99BF483E22}"/>
              </c:ext>
            </c:extLst>
          </c:dPt>
          <c:cat>
            <c:strRef>
              <c:f>'PIE CHART BESS PV'!$D$26:$D$27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'PIE CHART BESS PV'!$E$26:$E$27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E80-4475-A447-1BD0A3EB1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 FOR M&amp;S V4.0-DEMO.xlsm]Sheet4!PivotTable3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5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9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5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2514281303072413E-2"/>
          <c:y val="5.2443792744019078E-2"/>
          <c:w val="0.8197279355232111"/>
          <c:h val="0.819383493633648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Sheet4!$A$2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Sheet4!$B$2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54BA-4D7D-8867-86A10509F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84"/>
        <c:axId val="1902732288"/>
        <c:axId val="1902730368"/>
      </c:barChart>
      <c:catAx>
        <c:axId val="190273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0368"/>
        <c:crosses val="autoZero"/>
        <c:auto val="1"/>
        <c:lblAlgn val="ctr"/>
        <c:lblOffset val="100"/>
        <c:noMultiLvlLbl val="0"/>
      </c:catAx>
      <c:valAx>
        <c:axId val="190273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3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2">
        <a:lumMod val="2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 FOR M&amp;S V4.0-DEMO.xlsm]Sheet2!PivotTable1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Sheet2!$A$2:$A$3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Sheet2!$B$2:$B$3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2-481A-A2C5-566CC55CA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80381343"/>
        <c:axId val="580379423"/>
      </c:barChart>
      <c:catAx>
        <c:axId val="580381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9423"/>
        <c:crosses val="autoZero"/>
        <c:auto val="1"/>
        <c:lblAlgn val="ctr"/>
        <c:lblOffset val="100"/>
        <c:noMultiLvlLbl val="0"/>
      </c:catAx>
      <c:valAx>
        <c:axId val="580379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8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[COST FOR M&amp;S V4.0-DEMO.xlsm]Sheet1!PivotTable1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1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12"/>
      </c:pivotFmt>
      <c:pivotFmt>
        <c:idx val="13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0"/>
      </c:pivotFmt>
      <c:pivotFmt>
        <c:idx val="21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3"/>
      </c:pivotFmt>
      <c:pivotFmt>
        <c:idx val="2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7"/>
      </c:pivotFmt>
      <c:pivotFmt>
        <c:idx val="2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4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4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</c:pivotFmts>
    <c:plotArea>
      <c:layout>
        <c:manualLayout>
          <c:layoutTarget val="inner"/>
          <c:xMode val="edge"/>
          <c:yMode val="edge"/>
          <c:x val="0.20129610402280029"/>
          <c:y val="0.11875531745981754"/>
          <c:w val="0.63675109924951401"/>
          <c:h val="0.806250389612194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444500" dist="50800">
                <a:schemeClr val="accent1">
                  <a:lumMod val="50000"/>
                </a:schemeClr>
              </a:inn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  <a:innerShdw blurRad="444500" dist="50800">
                  <a:schemeClr val="accent1">
                    <a:lumMod val="50000"/>
                  </a:schemeClr>
                </a:innerShd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4-F98F-439B-A96B-5EB26FB619E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98F-439B-A96B-5EB26FB619E8}"/>
              </c:ext>
            </c:extLst>
          </c:dPt>
          <c:dLbls>
            <c:numFmt formatCode="&quot;£&quot;#,##0" sourceLinked="0"/>
            <c:spPr>
              <a:noFill/>
              <a:ln>
                <a:noFill/>
              </a:ln>
              <a:effectLst>
                <a:innerShdw blurRad="114300">
                  <a:prstClr val="black"/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Sheet1!$A$2:$A$14</c:f>
              <c:strCache>
                <c:ptCount val="12"/>
                <c:pt idx="0">
                  <c:v>Aggregate</c:v>
                </c:pt>
                <c:pt idx="1">
                  <c:v>Concrete</c:v>
                </c:pt>
                <c:pt idx="2">
                  <c:v>Diesel</c:v>
                </c:pt>
                <c:pt idx="3">
                  <c:v>Drinking Water</c:v>
                </c:pt>
                <c:pt idx="4">
                  <c:v>Effluent collection</c:v>
                </c:pt>
                <c:pt idx="5">
                  <c:v>General site Costs</c:v>
                </c:pt>
                <c:pt idx="6">
                  <c:v>General Water delivery</c:v>
                </c:pt>
                <c:pt idx="7">
                  <c:v>Hire Equipment</c:v>
                </c:pt>
                <c:pt idx="8">
                  <c:v>Incoming Materials</c:v>
                </c:pt>
                <c:pt idx="9">
                  <c:v>Muck Away</c:v>
                </c:pt>
                <c:pt idx="10">
                  <c:v>Sand</c:v>
                </c:pt>
                <c:pt idx="11">
                  <c:v>Waste Cost</c:v>
                </c:pt>
              </c:strCache>
            </c:strRef>
          </c:cat>
          <c:val>
            <c:numRef>
              <c:f>Sheet1!$B$2:$B$14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8F-439B-A96B-5EB26FB61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4174191"/>
        <c:axId val="534173231"/>
      </c:barChart>
      <c:valAx>
        <c:axId val="53417323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£&quot;#,##0,&quot;K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4191"/>
        <c:crosses val="autoZero"/>
        <c:crossBetween val="between"/>
      </c:valAx>
      <c:catAx>
        <c:axId val="534174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innerShdw blurRad="114300">
            <a:prstClr val="black"/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[COST FOR M&amp;S V4.0-DEMO.xlsm]Sheet3!PivotTable2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7650273224043"/>
              <c:y val="-0.157643642397842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3770491803278687"/>
              <c:y val="4.978220286247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  <c:dLbl>
          <c:idx val="0"/>
          <c:layout>
            <c:manualLayout>
              <c:x val="-0.24341950673926924"/>
              <c:y val="-0.16266553468055234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  <c:dLbl>
          <c:idx val="0"/>
          <c:layout>
            <c:manualLayout>
              <c:x val="0.37886122743916889"/>
              <c:y val="5.2293131943144285E-2"/>
            </c:manualLayout>
          </c:layout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4">
                <a:lumMod val="75000"/>
              </a:schemeClr>
            </a:innerShdw>
          </a:effectLst>
        </c:spPr>
      </c:pivotFmt>
      <c:pivotFmt>
        <c:idx val="1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12"/>
      </c:pivotFmt>
      <c:pivotFmt>
        <c:idx val="13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0"/>
      </c:pivotFmt>
      <c:pivotFmt>
        <c:idx val="21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3"/>
      </c:pivotFmt>
      <c:pivotFmt>
        <c:idx val="2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5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</c:pivotFmt>
      <c:pivotFmt>
        <c:idx val="27"/>
      </c:pivotFmt>
      <c:pivotFmt>
        <c:idx val="2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0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2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4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6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  <c:pivotFmt>
        <c:idx val="38"/>
        <c:spPr>
          <a:solidFill>
            <a:schemeClr val="bg1">
              <a:lumMod val="95000"/>
            </a:schemeClr>
          </a:solidFill>
          <a:ln>
            <a:noFill/>
          </a:ln>
          <a:effectLst>
            <a:innerShdw blurRad="444500" dist="50800">
              <a:schemeClr val="accent1">
                <a:lumMod val="50000"/>
              </a:schemeClr>
            </a:innerShdw>
          </a:effectLst>
        </c:spPr>
        <c:marker>
          <c:symbol val="none"/>
        </c:marker>
        <c:dLbl>
          <c:idx val="0"/>
          <c:numFmt formatCode="&quot;£&quot;#,##0" sourceLinked="0"/>
          <c:spPr>
            <a:noFill/>
            <a:ln>
              <a:noFill/>
            </a:ln>
            <a:effectLst>
              <a:innerShdw blurRad="114300">
                <a:prstClr val="black"/>
              </a:inn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bg1">
              <a:lumMod val="95000"/>
            </a:schemeClr>
          </a:solidFill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innerShdw blurRad="444500" dist="50800">
              <a:schemeClr val="accent1">
                <a:lumMod val="50000"/>
              </a:schemeClr>
            </a:innerShdw>
            <a:softEdge rad="0"/>
          </a:effectLst>
        </c:spPr>
      </c:pivotFmt>
    </c:pivotFmts>
    <c:plotArea>
      <c:layout>
        <c:manualLayout>
          <c:layoutTarget val="inner"/>
          <c:xMode val="edge"/>
          <c:yMode val="edge"/>
          <c:x val="0.20129610402280029"/>
          <c:y val="0.11875531745981754"/>
          <c:w val="0.63675109924951401"/>
          <c:h val="0.806250389612194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444500" dist="50800">
                <a:schemeClr val="accent1">
                  <a:lumMod val="50000"/>
                </a:schemeClr>
              </a:inn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  <a:innerShdw blurRad="444500" dist="50800">
                  <a:schemeClr val="accent1">
                    <a:lumMod val="50000"/>
                  </a:schemeClr>
                </a:innerShd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8-09B3-4522-BB00-BFAD28C3FD4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9B3-4522-BB00-BFAD28C3FD49}"/>
              </c:ext>
            </c:extLst>
          </c:dPt>
          <c:dLbls>
            <c:numFmt formatCode="&quot;£&quot;#,##0" sourceLinked="0"/>
            <c:spPr>
              <a:noFill/>
              <a:ln>
                <a:noFill/>
              </a:ln>
              <a:effectLst>
                <a:innerShdw blurRad="114300">
                  <a:prstClr val="black"/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Sheet3!$A$2:$A$14</c:f>
              <c:strCache>
                <c:ptCount val="12"/>
                <c:pt idx="0">
                  <c:v>Aggregate</c:v>
                </c:pt>
                <c:pt idx="1">
                  <c:v>Concrete</c:v>
                </c:pt>
                <c:pt idx="2">
                  <c:v>Diesel</c:v>
                </c:pt>
                <c:pt idx="3">
                  <c:v>Drinking Water</c:v>
                </c:pt>
                <c:pt idx="4">
                  <c:v>Effluent collection</c:v>
                </c:pt>
                <c:pt idx="5">
                  <c:v>General site Costs</c:v>
                </c:pt>
                <c:pt idx="6">
                  <c:v>General Water delivery</c:v>
                </c:pt>
                <c:pt idx="7">
                  <c:v>Hire Equipment</c:v>
                </c:pt>
                <c:pt idx="8">
                  <c:v>Incoming Materials</c:v>
                </c:pt>
                <c:pt idx="9">
                  <c:v>Muck Away</c:v>
                </c:pt>
                <c:pt idx="10">
                  <c:v>Sand</c:v>
                </c:pt>
                <c:pt idx="11">
                  <c:v>Waste Cost</c:v>
                </c:pt>
              </c:strCache>
            </c:strRef>
          </c:cat>
          <c:val>
            <c:numRef>
              <c:f>Sheet3!$B$2:$B$14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B3-4522-BB00-BFAD28C3F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4174191"/>
        <c:axId val="534173231"/>
      </c:barChart>
      <c:valAx>
        <c:axId val="53417323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£&quot;#,##0,&quot;K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4191"/>
        <c:crosses val="autoZero"/>
        <c:crossBetween val="between"/>
      </c:valAx>
      <c:catAx>
        <c:axId val="534174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innerShdw blurRad="114300">
            <a:prstClr val="black"/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'Delivery Report'!$A$2" max="2035" min="2025" page="10" val="2026"/>
</file>

<file path=xl/ctrlProps/ctrlProp2.xml><?xml version="1.0" encoding="utf-8"?>
<formControlPr xmlns="http://schemas.microsoft.com/office/spreadsheetml/2009/9/main" objectType="Spin" dx="26" fmlaLink="'Delivery Report'!$A$5" max="52" min="1" page="10" val="26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pin" dx="26" fmlaLink="'CHART1- MATERIAL&amp;SERVICE BASED'!$B$6" max="2035" min="2025" page="10" val="2026"/>
</file>

<file path=xl/ctrlProps/ctrlProp16.xml><?xml version="1.0" encoding="utf-8"?>
<formControlPr xmlns="http://schemas.microsoft.com/office/spreadsheetml/2009/9/main" objectType="Spin" dx="26" fmlaLink="'CHART1- MATERIAL&amp;SERVICE BASED'!$B$9" max="12" min="1" page="10" val="6"/>
</file>

<file path=xl/ctrlProps/ctrlProp17.xml><?xml version="1.0" encoding="utf-8"?>
<formControlPr xmlns="http://schemas.microsoft.com/office/spreadsheetml/2009/9/main" objectType="Drop" dropStyle="combo" dx="26" fmlaLink="AZ1" fmlaRange="SUPPLIERS!$B$2:$B$100" sel="2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40822</xdr:colOff>
      <xdr:row>0</xdr:row>
      <xdr:rowOff>0</xdr:rowOff>
    </xdr:from>
    <xdr:to>
      <xdr:col>71</xdr:col>
      <xdr:colOff>27215</xdr:colOff>
      <xdr:row>52</xdr:row>
      <xdr:rowOff>172811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2740817-3FA2-499B-8187-380D89D6994B}"/>
            </a:ext>
          </a:extLst>
        </xdr:cNvPr>
        <xdr:cNvSpPr/>
      </xdr:nvSpPr>
      <xdr:spPr>
        <a:xfrm>
          <a:off x="40822" y="0"/>
          <a:ext cx="15308036" cy="9371240"/>
        </a:xfrm>
        <a:custGeom>
          <a:avLst/>
          <a:gdLst>
            <a:gd name="csX0" fmla="*/ 0 w 15308036"/>
            <a:gd name="csY0" fmla="*/ 0 h 9371240"/>
            <a:gd name="csX1" fmla="*/ 282610 w 15308036"/>
            <a:gd name="csY1" fmla="*/ 0 h 9371240"/>
            <a:gd name="csX2" fmla="*/ 1177541 w 15308036"/>
            <a:gd name="csY2" fmla="*/ 0 h 9371240"/>
            <a:gd name="csX3" fmla="*/ 1307071 w 15308036"/>
            <a:gd name="csY3" fmla="*/ 0 h 9371240"/>
            <a:gd name="csX4" fmla="*/ 1895841 w 15308036"/>
            <a:gd name="csY4" fmla="*/ 0 h 9371240"/>
            <a:gd name="csX5" fmla="*/ 2025371 w 15308036"/>
            <a:gd name="csY5" fmla="*/ 0 h 9371240"/>
            <a:gd name="csX6" fmla="*/ 2767222 w 15308036"/>
            <a:gd name="csY6" fmla="*/ 0 h 9371240"/>
            <a:gd name="csX7" fmla="*/ 3355993 w 15308036"/>
            <a:gd name="csY7" fmla="*/ 0 h 9371240"/>
            <a:gd name="csX8" fmla="*/ 4097843 w 15308036"/>
            <a:gd name="csY8" fmla="*/ 0 h 9371240"/>
            <a:gd name="csX9" fmla="*/ 4686614 w 15308036"/>
            <a:gd name="csY9" fmla="*/ 0 h 9371240"/>
            <a:gd name="csX10" fmla="*/ 5428465 w 15308036"/>
            <a:gd name="csY10" fmla="*/ 0 h 9371240"/>
            <a:gd name="csX11" fmla="*/ 6170316 w 15308036"/>
            <a:gd name="csY11" fmla="*/ 0 h 9371240"/>
            <a:gd name="csX12" fmla="*/ 7065247 w 15308036"/>
            <a:gd name="csY12" fmla="*/ 0 h 9371240"/>
            <a:gd name="csX13" fmla="*/ 7194777 w 15308036"/>
            <a:gd name="csY13" fmla="*/ 0 h 9371240"/>
            <a:gd name="csX14" fmla="*/ 7324306 w 15308036"/>
            <a:gd name="csY14" fmla="*/ 0 h 9371240"/>
            <a:gd name="csX15" fmla="*/ 8219238 w 15308036"/>
            <a:gd name="csY15" fmla="*/ 0 h 9371240"/>
            <a:gd name="csX16" fmla="*/ 8654928 w 15308036"/>
            <a:gd name="csY16" fmla="*/ 0 h 9371240"/>
            <a:gd name="csX17" fmla="*/ 9549859 w 15308036"/>
            <a:gd name="csY17" fmla="*/ 0 h 9371240"/>
            <a:gd name="csX18" fmla="*/ 9985550 w 15308036"/>
            <a:gd name="csY18" fmla="*/ 0 h 9371240"/>
            <a:gd name="csX19" fmla="*/ 10727401 w 15308036"/>
            <a:gd name="csY19" fmla="*/ 0 h 9371240"/>
            <a:gd name="csX20" fmla="*/ 11010011 w 15308036"/>
            <a:gd name="csY20" fmla="*/ 0 h 9371240"/>
            <a:gd name="csX21" fmla="*/ 11598781 w 15308036"/>
            <a:gd name="csY21" fmla="*/ 0 h 9371240"/>
            <a:gd name="csX22" fmla="*/ 12187552 w 15308036"/>
            <a:gd name="csY22" fmla="*/ 0 h 9371240"/>
            <a:gd name="csX23" fmla="*/ 12623242 w 15308036"/>
            <a:gd name="csY23" fmla="*/ 0 h 9371240"/>
            <a:gd name="csX24" fmla="*/ 13058932 w 15308036"/>
            <a:gd name="csY24" fmla="*/ 0 h 9371240"/>
            <a:gd name="csX25" fmla="*/ 13188462 w 15308036"/>
            <a:gd name="csY25" fmla="*/ 0 h 9371240"/>
            <a:gd name="csX26" fmla="*/ 13317991 w 15308036"/>
            <a:gd name="csY26" fmla="*/ 0 h 9371240"/>
            <a:gd name="csX27" fmla="*/ 13447521 w 15308036"/>
            <a:gd name="csY27" fmla="*/ 0 h 9371240"/>
            <a:gd name="csX28" fmla="*/ 13577050 w 15308036"/>
            <a:gd name="csY28" fmla="*/ 0 h 9371240"/>
            <a:gd name="csX29" fmla="*/ 13706580 w 15308036"/>
            <a:gd name="csY29" fmla="*/ 0 h 9371240"/>
            <a:gd name="csX30" fmla="*/ 14142270 w 15308036"/>
            <a:gd name="csY30" fmla="*/ 0 h 9371240"/>
            <a:gd name="csX31" fmla="*/ 14271800 w 15308036"/>
            <a:gd name="csY31" fmla="*/ 0 h 9371240"/>
            <a:gd name="csX32" fmla="*/ 15308036 w 15308036"/>
            <a:gd name="csY32" fmla="*/ 0 h 9371240"/>
            <a:gd name="csX33" fmla="*/ 15308036 w 15308036"/>
            <a:gd name="csY33" fmla="*/ 304565 h 9371240"/>
            <a:gd name="csX34" fmla="*/ 15308036 w 15308036"/>
            <a:gd name="csY34" fmla="*/ 983980 h 9371240"/>
            <a:gd name="csX35" fmla="*/ 15308036 w 15308036"/>
            <a:gd name="csY35" fmla="*/ 1757108 h 9371240"/>
            <a:gd name="csX36" fmla="*/ 15308036 w 15308036"/>
            <a:gd name="csY36" fmla="*/ 2436522 h 9371240"/>
            <a:gd name="csX37" fmla="*/ 15308036 w 15308036"/>
            <a:gd name="csY37" fmla="*/ 2928513 h 9371240"/>
            <a:gd name="csX38" fmla="*/ 15308036 w 15308036"/>
            <a:gd name="csY38" fmla="*/ 3514215 h 9371240"/>
            <a:gd name="csX39" fmla="*/ 15308036 w 15308036"/>
            <a:gd name="csY39" fmla="*/ 3912493 h 9371240"/>
            <a:gd name="csX40" fmla="*/ 15308036 w 15308036"/>
            <a:gd name="csY40" fmla="*/ 4404483 h 9371240"/>
            <a:gd name="csX41" fmla="*/ 15308036 w 15308036"/>
            <a:gd name="csY41" fmla="*/ 5177610 h 9371240"/>
            <a:gd name="csX42" fmla="*/ 15308036 w 15308036"/>
            <a:gd name="csY42" fmla="*/ 5857025 h 9371240"/>
            <a:gd name="csX43" fmla="*/ 15308036 w 15308036"/>
            <a:gd name="csY43" fmla="*/ 6161590 h 9371240"/>
            <a:gd name="csX44" fmla="*/ 15308036 w 15308036"/>
            <a:gd name="csY44" fmla="*/ 6466156 h 9371240"/>
            <a:gd name="csX45" fmla="*/ 15308036 w 15308036"/>
            <a:gd name="csY45" fmla="*/ 7239283 h 9371240"/>
            <a:gd name="csX46" fmla="*/ 15308036 w 15308036"/>
            <a:gd name="csY46" fmla="*/ 7543848 h 9371240"/>
            <a:gd name="csX47" fmla="*/ 15308036 w 15308036"/>
            <a:gd name="csY47" fmla="*/ 7848413 h 9371240"/>
            <a:gd name="csX48" fmla="*/ 15308036 w 15308036"/>
            <a:gd name="csY48" fmla="*/ 8527828 h 9371240"/>
            <a:gd name="csX49" fmla="*/ 15308036 w 15308036"/>
            <a:gd name="csY49" fmla="*/ 9371240 h 9371240"/>
            <a:gd name="csX50" fmla="*/ 14413105 w 15308036"/>
            <a:gd name="csY50" fmla="*/ 9371240 h 9371240"/>
            <a:gd name="csX51" fmla="*/ 13518173 w 15308036"/>
            <a:gd name="csY51" fmla="*/ 9371240 h 9371240"/>
            <a:gd name="csX52" fmla="*/ 13235563 w 15308036"/>
            <a:gd name="csY52" fmla="*/ 9371240 h 9371240"/>
            <a:gd name="csX53" fmla="*/ 13106034 w 15308036"/>
            <a:gd name="csY53" fmla="*/ 9371240 h 9371240"/>
            <a:gd name="csX54" fmla="*/ 12364183 w 15308036"/>
            <a:gd name="csY54" fmla="*/ 9371240 h 9371240"/>
            <a:gd name="csX55" fmla="*/ 12234653 w 15308036"/>
            <a:gd name="csY55" fmla="*/ 9371240 h 9371240"/>
            <a:gd name="csX56" fmla="*/ 11339722 w 15308036"/>
            <a:gd name="csY56" fmla="*/ 9371240 h 9371240"/>
            <a:gd name="csX57" fmla="*/ 10750951 w 15308036"/>
            <a:gd name="csY57" fmla="*/ 9371240 h 9371240"/>
            <a:gd name="csX58" fmla="*/ 10315261 w 15308036"/>
            <a:gd name="csY58" fmla="*/ 9371240 h 9371240"/>
            <a:gd name="csX59" fmla="*/ 10185732 w 15308036"/>
            <a:gd name="csY59" fmla="*/ 9371240 h 9371240"/>
            <a:gd name="csX60" fmla="*/ 10056202 w 15308036"/>
            <a:gd name="csY60" fmla="*/ 9371240 h 9371240"/>
            <a:gd name="csX61" fmla="*/ 9467431 w 15308036"/>
            <a:gd name="csY61" fmla="*/ 9371240 h 9371240"/>
            <a:gd name="csX62" fmla="*/ 8725581 w 15308036"/>
            <a:gd name="csY62" fmla="*/ 9371240 h 9371240"/>
            <a:gd name="csX63" fmla="*/ 8136810 w 15308036"/>
            <a:gd name="csY63" fmla="*/ 9371240 h 9371240"/>
            <a:gd name="csX64" fmla="*/ 7394959 w 15308036"/>
            <a:gd name="csY64" fmla="*/ 9371240 h 9371240"/>
            <a:gd name="csX65" fmla="*/ 6653108 w 15308036"/>
            <a:gd name="csY65" fmla="*/ 9371240 h 9371240"/>
            <a:gd name="csX66" fmla="*/ 6217418 w 15308036"/>
            <a:gd name="csY66" fmla="*/ 9371240 h 9371240"/>
            <a:gd name="csX67" fmla="*/ 5781727 w 15308036"/>
            <a:gd name="csY67" fmla="*/ 9371240 h 9371240"/>
            <a:gd name="csX68" fmla="*/ 5346037 w 15308036"/>
            <a:gd name="csY68" fmla="*/ 9371240 h 9371240"/>
            <a:gd name="csX69" fmla="*/ 4451106 w 15308036"/>
            <a:gd name="csY69" fmla="*/ 9371240 h 9371240"/>
            <a:gd name="csX70" fmla="*/ 4321576 w 15308036"/>
            <a:gd name="csY70" fmla="*/ 9371240 h 9371240"/>
            <a:gd name="csX71" fmla="*/ 3579725 w 15308036"/>
            <a:gd name="csY71" fmla="*/ 9371240 h 9371240"/>
            <a:gd name="csX72" fmla="*/ 3144035 w 15308036"/>
            <a:gd name="csY72" fmla="*/ 9371240 h 9371240"/>
            <a:gd name="csX73" fmla="*/ 2555264 w 15308036"/>
            <a:gd name="csY73" fmla="*/ 9371240 h 9371240"/>
            <a:gd name="csX74" fmla="*/ 2272655 w 15308036"/>
            <a:gd name="csY74" fmla="*/ 9371240 h 9371240"/>
            <a:gd name="csX75" fmla="*/ 1836964 w 15308036"/>
            <a:gd name="csY75" fmla="*/ 9371240 h 9371240"/>
            <a:gd name="csX76" fmla="*/ 1248194 w 15308036"/>
            <a:gd name="csY76" fmla="*/ 9371240 h 9371240"/>
            <a:gd name="csX77" fmla="*/ 965584 w 15308036"/>
            <a:gd name="csY77" fmla="*/ 9371240 h 9371240"/>
            <a:gd name="csX78" fmla="*/ 529894 w 15308036"/>
            <a:gd name="csY78" fmla="*/ 9371240 h 9371240"/>
            <a:gd name="csX79" fmla="*/ 0 w 15308036"/>
            <a:gd name="csY79" fmla="*/ 9371240 h 9371240"/>
            <a:gd name="csX80" fmla="*/ 0 w 15308036"/>
            <a:gd name="csY80" fmla="*/ 9066675 h 9371240"/>
            <a:gd name="csX81" fmla="*/ 0 w 15308036"/>
            <a:gd name="csY81" fmla="*/ 8574685 h 9371240"/>
            <a:gd name="csX82" fmla="*/ 0 w 15308036"/>
            <a:gd name="csY82" fmla="*/ 8270119 h 9371240"/>
            <a:gd name="csX83" fmla="*/ 0 w 15308036"/>
            <a:gd name="csY83" fmla="*/ 7871842 h 9371240"/>
            <a:gd name="csX84" fmla="*/ 0 w 15308036"/>
            <a:gd name="csY84" fmla="*/ 7192427 h 9371240"/>
            <a:gd name="csX85" fmla="*/ 0 w 15308036"/>
            <a:gd name="csY85" fmla="*/ 6887861 h 9371240"/>
            <a:gd name="csX86" fmla="*/ 0 w 15308036"/>
            <a:gd name="csY86" fmla="*/ 6489584 h 9371240"/>
            <a:gd name="csX87" fmla="*/ 0 w 15308036"/>
            <a:gd name="csY87" fmla="*/ 5903881 h 9371240"/>
            <a:gd name="csX88" fmla="*/ 0 w 15308036"/>
            <a:gd name="csY88" fmla="*/ 5318179 h 9371240"/>
            <a:gd name="csX89" fmla="*/ 0 w 15308036"/>
            <a:gd name="csY89" fmla="*/ 5013613 h 9371240"/>
            <a:gd name="csX90" fmla="*/ 0 w 15308036"/>
            <a:gd name="csY90" fmla="*/ 4709048 h 9371240"/>
            <a:gd name="csX91" fmla="*/ 0 w 15308036"/>
            <a:gd name="csY91" fmla="*/ 4123346 h 9371240"/>
            <a:gd name="csX92" fmla="*/ 0 w 15308036"/>
            <a:gd name="csY92" fmla="*/ 3725068 h 9371240"/>
            <a:gd name="csX93" fmla="*/ 0 w 15308036"/>
            <a:gd name="csY93" fmla="*/ 3326790 h 9371240"/>
            <a:gd name="csX94" fmla="*/ 0 w 15308036"/>
            <a:gd name="csY94" fmla="*/ 2928513 h 9371240"/>
            <a:gd name="csX95" fmla="*/ 0 w 15308036"/>
            <a:gd name="csY95" fmla="*/ 2342810 h 9371240"/>
            <a:gd name="csX96" fmla="*/ 0 w 15308036"/>
            <a:gd name="csY96" fmla="*/ 1944532 h 9371240"/>
            <a:gd name="csX97" fmla="*/ 0 w 15308036"/>
            <a:gd name="csY97" fmla="*/ 1171405 h 9371240"/>
            <a:gd name="csX98" fmla="*/ 0 w 15308036"/>
            <a:gd name="csY98" fmla="*/ 773127 h 9371240"/>
            <a:gd name="csX99" fmla="*/ 0 w 15308036"/>
            <a:gd name="csY99" fmla="*/ 0 h 937124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</a:cxnLst>
          <a:rect l="l" t="t" r="r" b="b"/>
          <a:pathLst>
            <a:path w="15308036" h="9371240" fill="none" extrusionOk="0">
              <a:moveTo>
                <a:pt x="0" y="0"/>
              </a:moveTo>
              <a:cubicBezTo>
                <a:pt x="98090" y="-11509"/>
                <a:pt x="204209" y="24299"/>
                <a:pt x="282610" y="0"/>
              </a:cubicBezTo>
              <a:cubicBezTo>
                <a:pt x="361011" y="-24299"/>
                <a:pt x="803533" y="81075"/>
                <a:pt x="1177541" y="0"/>
              </a:cubicBezTo>
              <a:cubicBezTo>
                <a:pt x="1551549" y="-81075"/>
                <a:pt x="1270588" y="10467"/>
                <a:pt x="1307071" y="0"/>
              </a:cubicBezTo>
              <a:cubicBezTo>
                <a:pt x="1343554" y="-10467"/>
                <a:pt x="1766521" y="45577"/>
                <a:pt x="1895841" y="0"/>
              </a:cubicBezTo>
              <a:cubicBezTo>
                <a:pt x="2025161" y="-45577"/>
                <a:pt x="1979151" y="15293"/>
                <a:pt x="2025371" y="0"/>
              </a:cubicBezTo>
              <a:cubicBezTo>
                <a:pt x="2071591" y="-15293"/>
                <a:pt x="2537423" y="15457"/>
                <a:pt x="2767222" y="0"/>
              </a:cubicBezTo>
              <a:cubicBezTo>
                <a:pt x="2997021" y="-15457"/>
                <a:pt x="3232939" y="47758"/>
                <a:pt x="3355993" y="0"/>
              </a:cubicBezTo>
              <a:cubicBezTo>
                <a:pt x="3479047" y="-47758"/>
                <a:pt x="3769879" y="31778"/>
                <a:pt x="4097843" y="0"/>
              </a:cubicBezTo>
              <a:cubicBezTo>
                <a:pt x="4425807" y="-31778"/>
                <a:pt x="4489415" y="52254"/>
                <a:pt x="4686614" y="0"/>
              </a:cubicBezTo>
              <a:cubicBezTo>
                <a:pt x="4883813" y="-52254"/>
                <a:pt x="5078644" y="13058"/>
                <a:pt x="5428465" y="0"/>
              </a:cubicBezTo>
              <a:cubicBezTo>
                <a:pt x="5778286" y="-13058"/>
                <a:pt x="5922628" y="83199"/>
                <a:pt x="6170316" y="0"/>
              </a:cubicBezTo>
              <a:cubicBezTo>
                <a:pt x="6418004" y="-83199"/>
                <a:pt x="6860888" y="83545"/>
                <a:pt x="7065247" y="0"/>
              </a:cubicBezTo>
              <a:cubicBezTo>
                <a:pt x="7269606" y="-83545"/>
                <a:pt x="7153697" y="74"/>
                <a:pt x="7194777" y="0"/>
              </a:cubicBezTo>
              <a:cubicBezTo>
                <a:pt x="7235857" y="-74"/>
                <a:pt x="7276856" y="15056"/>
                <a:pt x="7324306" y="0"/>
              </a:cubicBezTo>
              <a:cubicBezTo>
                <a:pt x="7371756" y="-15056"/>
                <a:pt x="7947039" y="39932"/>
                <a:pt x="8219238" y="0"/>
              </a:cubicBezTo>
              <a:cubicBezTo>
                <a:pt x="8491437" y="-39932"/>
                <a:pt x="8553992" y="31828"/>
                <a:pt x="8654928" y="0"/>
              </a:cubicBezTo>
              <a:cubicBezTo>
                <a:pt x="8755864" y="-31828"/>
                <a:pt x="9190562" y="76625"/>
                <a:pt x="9549859" y="0"/>
              </a:cubicBezTo>
              <a:cubicBezTo>
                <a:pt x="9909156" y="-76625"/>
                <a:pt x="9853891" y="49518"/>
                <a:pt x="9985550" y="0"/>
              </a:cubicBezTo>
              <a:cubicBezTo>
                <a:pt x="10117209" y="-49518"/>
                <a:pt x="10493447" y="12799"/>
                <a:pt x="10727401" y="0"/>
              </a:cubicBezTo>
              <a:cubicBezTo>
                <a:pt x="10961355" y="-12799"/>
                <a:pt x="10913479" y="12742"/>
                <a:pt x="11010011" y="0"/>
              </a:cubicBezTo>
              <a:cubicBezTo>
                <a:pt x="11106543" y="-12742"/>
                <a:pt x="11366172" y="65295"/>
                <a:pt x="11598781" y="0"/>
              </a:cubicBezTo>
              <a:cubicBezTo>
                <a:pt x="11831390" y="-65295"/>
                <a:pt x="11942746" y="149"/>
                <a:pt x="12187552" y="0"/>
              </a:cubicBezTo>
              <a:cubicBezTo>
                <a:pt x="12432358" y="-149"/>
                <a:pt x="12489042" y="51795"/>
                <a:pt x="12623242" y="0"/>
              </a:cubicBezTo>
              <a:cubicBezTo>
                <a:pt x="12757442" y="-51795"/>
                <a:pt x="12937479" y="19658"/>
                <a:pt x="13058932" y="0"/>
              </a:cubicBezTo>
              <a:cubicBezTo>
                <a:pt x="13180385" y="-19658"/>
                <a:pt x="13137232" y="6107"/>
                <a:pt x="13188462" y="0"/>
              </a:cubicBezTo>
              <a:cubicBezTo>
                <a:pt x="13239692" y="-6107"/>
                <a:pt x="13288429" y="4385"/>
                <a:pt x="13317991" y="0"/>
              </a:cubicBezTo>
              <a:cubicBezTo>
                <a:pt x="13347553" y="-4385"/>
                <a:pt x="13414090" y="12007"/>
                <a:pt x="13447521" y="0"/>
              </a:cubicBezTo>
              <a:cubicBezTo>
                <a:pt x="13480952" y="-12007"/>
                <a:pt x="13542019" y="13511"/>
                <a:pt x="13577050" y="0"/>
              </a:cubicBezTo>
              <a:cubicBezTo>
                <a:pt x="13612081" y="-13511"/>
                <a:pt x="13659690" y="4189"/>
                <a:pt x="13706580" y="0"/>
              </a:cubicBezTo>
              <a:cubicBezTo>
                <a:pt x="13753470" y="-4189"/>
                <a:pt x="13989309" y="44101"/>
                <a:pt x="14142270" y="0"/>
              </a:cubicBezTo>
              <a:cubicBezTo>
                <a:pt x="14295231" y="-44101"/>
                <a:pt x="14244358" y="888"/>
                <a:pt x="14271800" y="0"/>
              </a:cubicBezTo>
              <a:cubicBezTo>
                <a:pt x="14299242" y="-888"/>
                <a:pt x="14968725" y="53929"/>
                <a:pt x="15308036" y="0"/>
              </a:cubicBezTo>
              <a:cubicBezTo>
                <a:pt x="15325648" y="152233"/>
                <a:pt x="15296238" y="172856"/>
                <a:pt x="15308036" y="304565"/>
              </a:cubicBezTo>
              <a:cubicBezTo>
                <a:pt x="15319834" y="436275"/>
                <a:pt x="15304472" y="770582"/>
                <a:pt x="15308036" y="983980"/>
              </a:cubicBezTo>
              <a:cubicBezTo>
                <a:pt x="15311600" y="1197379"/>
                <a:pt x="15272644" y="1503420"/>
                <a:pt x="15308036" y="1757108"/>
              </a:cubicBezTo>
              <a:cubicBezTo>
                <a:pt x="15343428" y="2010796"/>
                <a:pt x="15228912" y="2115321"/>
                <a:pt x="15308036" y="2436522"/>
              </a:cubicBezTo>
              <a:cubicBezTo>
                <a:pt x="15387160" y="2757723"/>
                <a:pt x="15266243" y="2810566"/>
                <a:pt x="15308036" y="2928513"/>
              </a:cubicBezTo>
              <a:cubicBezTo>
                <a:pt x="15349829" y="3046460"/>
                <a:pt x="15290621" y="3224539"/>
                <a:pt x="15308036" y="3514215"/>
              </a:cubicBezTo>
              <a:cubicBezTo>
                <a:pt x="15325451" y="3803891"/>
                <a:pt x="15305378" y="3766820"/>
                <a:pt x="15308036" y="3912493"/>
              </a:cubicBezTo>
              <a:cubicBezTo>
                <a:pt x="15310694" y="4058166"/>
                <a:pt x="15270065" y="4299378"/>
                <a:pt x="15308036" y="4404483"/>
              </a:cubicBezTo>
              <a:cubicBezTo>
                <a:pt x="15346007" y="4509588"/>
                <a:pt x="15260657" y="4942364"/>
                <a:pt x="15308036" y="5177610"/>
              </a:cubicBezTo>
              <a:cubicBezTo>
                <a:pt x="15355415" y="5412856"/>
                <a:pt x="15258401" y="5691961"/>
                <a:pt x="15308036" y="5857025"/>
              </a:cubicBezTo>
              <a:cubicBezTo>
                <a:pt x="15357671" y="6022090"/>
                <a:pt x="15297533" y="6091847"/>
                <a:pt x="15308036" y="6161590"/>
              </a:cubicBezTo>
              <a:cubicBezTo>
                <a:pt x="15318539" y="6231334"/>
                <a:pt x="15299327" y="6317431"/>
                <a:pt x="15308036" y="6466156"/>
              </a:cubicBezTo>
              <a:cubicBezTo>
                <a:pt x="15316745" y="6614881"/>
                <a:pt x="15284678" y="6968779"/>
                <a:pt x="15308036" y="7239283"/>
              </a:cubicBezTo>
              <a:cubicBezTo>
                <a:pt x="15331394" y="7509787"/>
                <a:pt x="15286462" y="7444198"/>
                <a:pt x="15308036" y="7543848"/>
              </a:cubicBezTo>
              <a:cubicBezTo>
                <a:pt x="15329610" y="7643498"/>
                <a:pt x="15301015" y="7732218"/>
                <a:pt x="15308036" y="7848413"/>
              </a:cubicBezTo>
              <a:cubicBezTo>
                <a:pt x="15315057" y="7964608"/>
                <a:pt x="15281402" y="8240756"/>
                <a:pt x="15308036" y="8527828"/>
              </a:cubicBezTo>
              <a:cubicBezTo>
                <a:pt x="15334670" y="8814900"/>
                <a:pt x="15230405" y="9160250"/>
                <a:pt x="15308036" y="9371240"/>
              </a:cubicBezTo>
              <a:cubicBezTo>
                <a:pt x="15050214" y="9411880"/>
                <a:pt x="14734147" y="9325610"/>
                <a:pt x="14413105" y="9371240"/>
              </a:cubicBezTo>
              <a:cubicBezTo>
                <a:pt x="14092063" y="9416870"/>
                <a:pt x="13856887" y="9314818"/>
                <a:pt x="13518173" y="9371240"/>
              </a:cubicBezTo>
              <a:cubicBezTo>
                <a:pt x="13179459" y="9427662"/>
                <a:pt x="13367714" y="9369830"/>
                <a:pt x="13235563" y="9371240"/>
              </a:cubicBezTo>
              <a:cubicBezTo>
                <a:pt x="13103412" y="9372650"/>
                <a:pt x="13157099" y="9371080"/>
                <a:pt x="13106034" y="9371240"/>
              </a:cubicBezTo>
              <a:cubicBezTo>
                <a:pt x="13054969" y="9371400"/>
                <a:pt x="12616294" y="9282422"/>
                <a:pt x="12364183" y="9371240"/>
              </a:cubicBezTo>
              <a:cubicBezTo>
                <a:pt x="12112072" y="9460058"/>
                <a:pt x="12277119" y="9359851"/>
                <a:pt x="12234653" y="9371240"/>
              </a:cubicBezTo>
              <a:cubicBezTo>
                <a:pt x="12192187" y="9382629"/>
                <a:pt x="11633840" y="9314697"/>
                <a:pt x="11339722" y="9371240"/>
              </a:cubicBezTo>
              <a:cubicBezTo>
                <a:pt x="11045604" y="9427783"/>
                <a:pt x="10874047" y="9326471"/>
                <a:pt x="10750951" y="9371240"/>
              </a:cubicBezTo>
              <a:cubicBezTo>
                <a:pt x="10627855" y="9416009"/>
                <a:pt x="10450778" y="9348811"/>
                <a:pt x="10315261" y="9371240"/>
              </a:cubicBezTo>
              <a:cubicBezTo>
                <a:pt x="10179744" y="9393669"/>
                <a:pt x="10217261" y="9365698"/>
                <a:pt x="10185732" y="9371240"/>
              </a:cubicBezTo>
              <a:cubicBezTo>
                <a:pt x="10154203" y="9376782"/>
                <a:pt x="10087952" y="9369699"/>
                <a:pt x="10056202" y="9371240"/>
              </a:cubicBezTo>
              <a:cubicBezTo>
                <a:pt x="10024452" y="9372781"/>
                <a:pt x="9646355" y="9334650"/>
                <a:pt x="9467431" y="9371240"/>
              </a:cubicBezTo>
              <a:cubicBezTo>
                <a:pt x="9288507" y="9407830"/>
                <a:pt x="8943492" y="9299282"/>
                <a:pt x="8725581" y="9371240"/>
              </a:cubicBezTo>
              <a:cubicBezTo>
                <a:pt x="8507670" y="9443198"/>
                <a:pt x="8299645" y="9303388"/>
                <a:pt x="8136810" y="9371240"/>
              </a:cubicBezTo>
              <a:cubicBezTo>
                <a:pt x="7973975" y="9439092"/>
                <a:pt x="7608500" y="9298419"/>
                <a:pt x="7394959" y="9371240"/>
              </a:cubicBezTo>
              <a:cubicBezTo>
                <a:pt x="7181418" y="9444061"/>
                <a:pt x="6848538" y="9287170"/>
                <a:pt x="6653108" y="9371240"/>
              </a:cubicBezTo>
              <a:cubicBezTo>
                <a:pt x="6457678" y="9455310"/>
                <a:pt x="6417726" y="9324319"/>
                <a:pt x="6217418" y="9371240"/>
              </a:cubicBezTo>
              <a:cubicBezTo>
                <a:pt x="6017110" y="9418161"/>
                <a:pt x="5987529" y="9323160"/>
                <a:pt x="5781727" y="9371240"/>
              </a:cubicBezTo>
              <a:cubicBezTo>
                <a:pt x="5575925" y="9419320"/>
                <a:pt x="5498551" y="9362133"/>
                <a:pt x="5346037" y="9371240"/>
              </a:cubicBezTo>
              <a:cubicBezTo>
                <a:pt x="5193523" y="9380347"/>
                <a:pt x="4662636" y="9291067"/>
                <a:pt x="4451106" y="9371240"/>
              </a:cubicBezTo>
              <a:cubicBezTo>
                <a:pt x="4239576" y="9451413"/>
                <a:pt x="4348520" y="9366948"/>
                <a:pt x="4321576" y="9371240"/>
              </a:cubicBezTo>
              <a:cubicBezTo>
                <a:pt x="4294632" y="9375532"/>
                <a:pt x="3745737" y="9313146"/>
                <a:pt x="3579725" y="9371240"/>
              </a:cubicBezTo>
              <a:cubicBezTo>
                <a:pt x="3413713" y="9429334"/>
                <a:pt x="3281246" y="9350835"/>
                <a:pt x="3144035" y="9371240"/>
              </a:cubicBezTo>
              <a:cubicBezTo>
                <a:pt x="3006824" y="9391645"/>
                <a:pt x="2807566" y="9334410"/>
                <a:pt x="2555264" y="9371240"/>
              </a:cubicBezTo>
              <a:cubicBezTo>
                <a:pt x="2302962" y="9408070"/>
                <a:pt x="2362582" y="9338872"/>
                <a:pt x="2272655" y="9371240"/>
              </a:cubicBezTo>
              <a:cubicBezTo>
                <a:pt x="2182728" y="9403608"/>
                <a:pt x="2004512" y="9329560"/>
                <a:pt x="1836964" y="9371240"/>
              </a:cubicBezTo>
              <a:cubicBezTo>
                <a:pt x="1669416" y="9412920"/>
                <a:pt x="1516770" y="9359005"/>
                <a:pt x="1248194" y="9371240"/>
              </a:cubicBezTo>
              <a:cubicBezTo>
                <a:pt x="979618" y="9383475"/>
                <a:pt x="1029525" y="9360442"/>
                <a:pt x="965584" y="9371240"/>
              </a:cubicBezTo>
              <a:cubicBezTo>
                <a:pt x="901643" y="9382038"/>
                <a:pt x="686623" y="9338746"/>
                <a:pt x="529894" y="9371240"/>
              </a:cubicBezTo>
              <a:cubicBezTo>
                <a:pt x="373165" y="9403734"/>
                <a:pt x="242942" y="9316947"/>
                <a:pt x="0" y="9371240"/>
              </a:cubicBezTo>
              <a:cubicBezTo>
                <a:pt x="-27678" y="9254902"/>
                <a:pt x="13158" y="9207580"/>
                <a:pt x="0" y="9066675"/>
              </a:cubicBezTo>
              <a:cubicBezTo>
                <a:pt x="-13158" y="8925771"/>
                <a:pt x="27636" y="8745109"/>
                <a:pt x="0" y="8574685"/>
              </a:cubicBezTo>
              <a:cubicBezTo>
                <a:pt x="-27636" y="8404261"/>
                <a:pt x="26252" y="8409322"/>
                <a:pt x="0" y="8270119"/>
              </a:cubicBezTo>
              <a:cubicBezTo>
                <a:pt x="-26252" y="8130916"/>
                <a:pt x="31600" y="8057147"/>
                <a:pt x="0" y="7871842"/>
              </a:cubicBezTo>
              <a:cubicBezTo>
                <a:pt x="-31600" y="7686537"/>
                <a:pt x="10621" y="7476327"/>
                <a:pt x="0" y="7192427"/>
              </a:cubicBezTo>
              <a:cubicBezTo>
                <a:pt x="-10621" y="6908527"/>
                <a:pt x="16032" y="6948934"/>
                <a:pt x="0" y="6887861"/>
              </a:cubicBezTo>
              <a:cubicBezTo>
                <a:pt x="-16032" y="6826788"/>
                <a:pt x="41885" y="6602330"/>
                <a:pt x="0" y="6489584"/>
              </a:cubicBezTo>
              <a:cubicBezTo>
                <a:pt x="-41885" y="6376838"/>
                <a:pt x="51342" y="6135381"/>
                <a:pt x="0" y="5903881"/>
              </a:cubicBezTo>
              <a:cubicBezTo>
                <a:pt x="-51342" y="5672381"/>
                <a:pt x="18761" y="5481808"/>
                <a:pt x="0" y="5318179"/>
              </a:cubicBezTo>
              <a:cubicBezTo>
                <a:pt x="-18761" y="5154550"/>
                <a:pt x="24533" y="5126986"/>
                <a:pt x="0" y="5013613"/>
              </a:cubicBezTo>
              <a:cubicBezTo>
                <a:pt x="-24533" y="4900240"/>
                <a:pt x="29393" y="4795771"/>
                <a:pt x="0" y="4709048"/>
              </a:cubicBezTo>
              <a:cubicBezTo>
                <a:pt x="-29393" y="4622325"/>
                <a:pt x="16300" y="4294928"/>
                <a:pt x="0" y="4123346"/>
              </a:cubicBezTo>
              <a:cubicBezTo>
                <a:pt x="-16300" y="3951764"/>
                <a:pt x="5517" y="3898416"/>
                <a:pt x="0" y="3725068"/>
              </a:cubicBezTo>
              <a:cubicBezTo>
                <a:pt x="-5517" y="3551720"/>
                <a:pt x="27325" y="3453860"/>
                <a:pt x="0" y="3326790"/>
              </a:cubicBezTo>
              <a:cubicBezTo>
                <a:pt x="-27325" y="3199720"/>
                <a:pt x="9628" y="3122137"/>
                <a:pt x="0" y="2928513"/>
              </a:cubicBezTo>
              <a:cubicBezTo>
                <a:pt x="-9628" y="2734889"/>
                <a:pt x="30744" y="2568900"/>
                <a:pt x="0" y="2342810"/>
              </a:cubicBezTo>
              <a:cubicBezTo>
                <a:pt x="-30744" y="2116720"/>
                <a:pt x="41832" y="2106358"/>
                <a:pt x="0" y="1944532"/>
              </a:cubicBezTo>
              <a:cubicBezTo>
                <a:pt x="-41832" y="1782706"/>
                <a:pt x="17490" y="1369734"/>
                <a:pt x="0" y="1171405"/>
              </a:cubicBezTo>
              <a:cubicBezTo>
                <a:pt x="-17490" y="973076"/>
                <a:pt x="6174" y="969095"/>
                <a:pt x="0" y="773127"/>
              </a:cubicBezTo>
              <a:cubicBezTo>
                <a:pt x="-6174" y="577159"/>
                <a:pt x="52877" y="373529"/>
                <a:pt x="0" y="0"/>
              </a:cubicBezTo>
              <a:close/>
            </a:path>
            <a:path w="15308036" h="9371240" stroke="0" extrusionOk="0">
              <a:moveTo>
                <a:pt x="0" y="0"/>
              </a:moveTo>
              <a:cubicBezTo>
                <a:pt x="97215" y="-2094"/>
                <a:pt x="268109" y="32445"/>
                <a:pt x="435690" y="0"/>
              </a:cubicBezTo>
              <a:cubicBezTo>
                <a:pt x="603271" y="-32445"/>
                <a:pt x="504658" y="2506"/>
                <a:pt x="565220" y="0"/>
              </a:cubicBezTo>
              <a:cubicBezTo>
                <a:pt x="625782" y="-2506"/>
                <a:pt x="1121895" y="93368"/>
                <a:pt x="1460151" y="0"/>
              </a:cubicBezTo>
              <a:cubicBezTo>
                <a:pt x="1798407" y="-93368"/>
                <a:pt x="1795033" y="24122"/>
                <a:pt x="1895841" y="0"/>
              </a:cubicBezTo>
              <a:cubicBezTo>
                <a:pt x="1996649" y="-24122"/>
                <a:pt x="2136550" y="48061"/>
                <a:pt x="2331532" y="0"/>
              </a:cubicBezTo>
              <a:cubicBezTo>
                <a:pt x="2526514" y="-48061"/>
                <a:pt x="2988506" y="56904"/>
                <a:pt x="3226463" y="0"/>
              </a:cubicBezTo>
              <a:cubicBezTo>
                <a:pt x="3464420" y="-56904"/>
                <a:pt x="3418833" y="17337"/>
                <a:pt x="3509073" y="0"/>
              </a:cubicBezTo>
              <a:cubicBezTo>
                <a:pt x="3599313" y="-17337"/>
                <a:pt x="3985580" y="13304"/>
                <a:pt x="4404004" y="0"/>
              </a:cubicBezTo>
              <a:cubicBezTo>
                <a:pt x="4822428" y="-13304"/>
                <a:pt x="5110556" y="52368"/>
                <a:pt x="5298936" y="0"/>
              </a:cubicBezTo>
              <a:cubicBezTo>
                <a:pt x="5487316" y="-52368"/>
                <a:pt x="5676909" y="47040"/>
                <a:pt x="5887706" y="0"/>
              </a:cubicBezTo>
              <a:cubicBezTo>
                <a:pt x="6098503" y="-47040"/>
                <a:pt x="6420425" y="86755"/>
                <a:pt x="6782637" y="0"/>
              </a:cubicBezTo>
              <a:cubicBezTo>
                <a:pt x="7144849" y="-86755"/>
                <a:pt x="7121470" y="18793"/>
                <a:pt x="7218328" y="0"/>
              </a:cubicBezTo>
              <a:cubicBezTo>
                <a:pt x="7315186" y="-18793"/>
                <a:pt x="7507903" y="19361"/>
                <a:pt x="7654018" y="0"/>
              </a:cubicBezTo>
              <a:cubicBezTo>
                <a:pt x="7800133" y="-19361"/>
                <a:pt x="8105345" y="63823"/>
                <a:pt x="8395869" y="0"/>
              </a:cubicBezTo>
              <a:cubicBezTo>
                <a:pt x="8686393" y="-63823"/>
                <a:pt x="8737109" y="25736"/>
                <a:pt x="8831559" y="0"/>
              </a:cubicBezTo>
              <a:cubicBezTo>
                <a:pt x="8926009" y="-25736"/>
                <a:pt x="9308104" y="34576"/>
                <a:pt x="9726491" y="0"/>
              </a:cubicBezTo>
              <a:cubicBezTo>
                <a:pt x="10144878" y="-34576"/>
                <a:pt x="10325583" y="93212"/>
                <a:pt x="10621422" y="0"/>
              </a:cubicBezTo>
              <a:cubicBezTo>
                <a:pt x="10917261" y="-93212"/>
                <a:pt x="10954994" y="60124"/>
                <a:pt x="11210193" y="0"/>
              </a:cubicBezTo>
              <a:cubicBezTo>
                <a:pt x="11465392" y="-60124"/>
                <a:pt x="11470335" y="34686"/>
                <a:pt x="11645883" y="0"/>
              </a:cubicBezTo>
              <a:cubicBezTo>
                <a:pt x="11821431" y="-34686"/>
                <a:pt x="11720460" y="398"/>
                <a:pt x="11775412" y="0"/>
              </a:cubicBezTo>
              <a:cubicBezTo>
                <a:pt x="11830364" y="-398"/>
                <a:pt x="11933982" y="5535"/>
                <a:pt x="12058022" y="0"/>
              </a:cubicBezTo>
              <a:cubicBezTo>
                <a:pt x="12182062" y="-5535"/>
                <a:pt x="12276716" y="5004"/>
                <a:pt x="12340632" y="0"/>
              </a:cubicBezTo>
              <a:cubicBezTo>
                <a:pt x="12404548" y="-5004"/>
                <a:pt x="12655588" y="44858"/>
                <a:pt x="12776322" y="0"/>
              </a:cubicBezTo>
              <a:cubicBezTo>
                <a:pt x="12897056" y="-44858"/>
                <a:pt x="13275740" y="39620"/>
                <a:pt x="13671254" y="0"/>
              </a:cubicBezTo>
              <a:cubicBezTo>
                <a:pt x="14066768" y="-39620"/>
                <a:pt x="14031368" y="31511"/>
                <a:pt x="14260024" y="0"/>
              </a:cubicBezTo>
              <a:cubicBezTo>
                <a:pt x="14488680" y="-31511"/>
                <a:pt x="14567909" y="16685"/>
                <a:pt x="14695715" y="0"/>
              </a:cubicBezTo>
              <a:cubicBezTo>
                <a:pt x="14823521" y="-16685"/>
                <a:pt x="15159656" y="29736"/>
                <a:pt x="15308036" y="0"/>
              </a:cubicBezTo>
              <a:cubicBezTo>
                <a:pt x="15342244" y="105640"/>
                <a:pt x="15284696" y="215887"/>
                <a:pt x="15308036" y="304565"/>
              </a:cubicBezTo>
              <a:cubicBezTo>
                <a:pt x="15331376" y="393244"/>
                <a:pt x="15251487" y="648146"/>
                <a:pt x="15308036" y="983980"/>
              </a:cubicBezTo>
              <a:cubicBezTo>
                <a:pt x="15364585" y="1319814"/>
                <a:pt x="15298586" y="1207850"/>
                <a:pt x="15308036" y="1288546"/>
              </a:cubicBezTo>
              <a:cubicBezTo>
                <a:pt x="15317486" y="1369242"/>
                <a:pt x="15258440" y="1627031"/>
                <a:pt x="15308036" y="1780536"/>
              </a:cubicBezTo>
              <a:cubicBezTo>
                <a:pt x="15357632" y="1934041"/>
                <a:pt x="15292398" y="2358430"/>
                <a:pt x="15308036" y="2553663"/>
              </a:cubicBezTo>
              <a:cubicBezTo>
                <a:pt x="15323674" y="2748896"/>
                <a:pt x="15301936" y="2943281"/>
                <a:pt x="15308036" y="3139365"/>
              </a:cubicBezTo>
              <a:cubicBezTo>
                <a:pt x="15314136" y="3335449"/>
                <a:pt x="15233324" y="3621720"/>
                <a:pt x="15308036" y="3818780"/>
              </a:cubicBezTo>
              <a:cubicBezTo>
                <a:pt x="15382748" y="4015840"/>
                <a:pt x="15285985" y="4110407"/>
                <a:pt x="15308036" y="4310770"/>
              </a:cubicBezTo>
              <a:cubicBezTo>
                <a:pt x="15330087" y="4511133"/>
                <a:pt x="15270375" y="4768673"/>
                <a:pt x="15308036" y="4896473"/>
              </a:cubicBezTo>
              <a:cubicBezTo>
                <a:pt x="15345697" y="5024273"/>
                <a:pt x="15263316" y="5505572"/>
                <a:pt x="15308036" y="5669600"/>
              </a:cubicBezTo>
              <a:cubicBezTo>
                <a:pt x="15352756" y="5833628"/>
                <a:pt x="15300485" y="5968575"/>
                <a:pt x="15308036" y="6067878"/>
              </a:cubicBezTo>
              <a:cubicBezTo>
                <a:pt x="15315587" y="6167181"/>
                <a:pt x="15263263" y="6563004"/>
                <a:pt x="15308036" y="6747293"/>
              </a:cubicBezTo>
              <a:cubicBezTo>
                <a:pt x="15352809" y="6931582"/>
                <a:pt x="15266980" y="7065840"/>
                <a:pt x="15308036" y="7145571"/>
              </a:cubicBezTo>
              <a:cubicBezTo>
                <a:pt x="15349092" y="7225302"/>
                <a:pt x="15272446" y="7512514"/>
                <a:pt x="15308036" y="7731273"/>
              </a:cubicBezTo>
              <a:cubicBezTo>
                <a:pt x="15343626" y="7950032"/>
                <a:pt x="15258150" y="8190342"/>
                <a:pt x="15308036" y="8410688"/>
              </a:cubicBezTo>
              <a:cubicBezTo>
                <a:pt x="15357922" y="8631035"/>
                <a:pt x="15299762" y="8566730"/>
                <a:pt x="15308036" y="8715253"/>
              </a:cubicBezTo>
              <a:cubicBezTo>
                <a:pt x="15316310" y="8863776"/>
                <a:pt x="15243676" y="9228941"/>
                <a:pt x="15308036" y="9371240"/>
              </a:cubicBezTo>
              <a:cubicBezTo>
                <a:pt x="14878562" y="9400181"/>
                <a:pt x="14614153" y="9291563"/>
                <a:pt x="14413105" y="9371240"/>
              </a:cubicBezTo>
              <a:cubicBezTo>
                <a:pt x="14212057" y="9450917"/>
                <a:pt x="13908047" y="9364995"/>
                <a:pt x="13518173" y="9371240"/>
              </a:cubicBezTo>
              <a:cubicBezTo>
                <a:pt x="13128299" y="9377485"/>
                <a:pt x="12995484" y="9314694"/>
                <a:pt x="12776322" y="9371240"/>
              </a:cubicBezTo>
              <a:cubicBezTo>
                <a:pt x="12557160" y="9427786"/>
                <a:pt x="12516958" y="9358872"/>
                <a:pt x="12340632" y="9371240"/>
              </a:cubicBezTo>
              <a:cubicBezTo>
                <a:pt x="12164306" y="9383608"/>
                <a:pt x="11840850" y="9303889"/>
                <a:pt x="11598781" y="9371240"/>
              </a:cubicBezTo>
              <a:cubicBezTo>
                <a:pt x="11356712" y="9438591"/>
                <a:pt x="11413192" y="9363015"/>
                <a:pt x="11316171" y="9371240"/>
              </a:cubicBezTo>
              <a:cubicBezTo>
                <a:pt x="11219150" y="9379465"/>
                <a:pt x="10873043" y="9311467"/>
                <a:pt x="10727401" y="9371240"/>
              </a:cubicBezTo>
              <a:cubicBezTo>
                <a:pt x="10581759" y="9431013"/>
                <a:pt x="10624358" y="9368038"/>
                <a:pt x="10597871" y="9371240"/>
              </a:cubicBezTo>
              <a:cubicBezTo>
                <a:pt x="10571384" y="9374442"/>
                <a:pt x="10090656" y="9322959"/>
                <a:pt x="9702940" y="9371240"/>
              </a:cubicBezTo>
              <a:cubicBezTo>
                <a:pt x="9315224" y="9419521"/>
                <a:pt x="9359705" y="9305852"/>
                <a:pt x="9114169" y="9371240"/>
              </a:cubicBezTo>
              <a:cubicBezTo>
                <a:pt x="8868633" y="9436628"/>
                <a:pt x="8633954" y="9338285"/>
                <a:pt x="8219238" y="9371240"/>
              </a:cubicBezTo>
              <a:cubicBezTo>
                <a:pt x="7804522" y="9404195"/>
                <a:pt x="7892202" y="9327911"/>
                <a:pt x="7783548" y="9371240"/>
              </a:cubicBezTo>
              <a:cubicBezTo>
                <a:pt x="7674894" y="9414569"/>
                <a:pt x="7640975" y="9355898"/>
                <a:pt x="7500938" y="9371240"/>
              </a:cubicBezTo>
              <a:cubicBezTo>
                <a:pt x="7360901" y="9386582"/>
                <a:pt x="7173169" y="9341907"/>
                <a:pt x="6912167" y="9371240"/>
              </a:cubicBezTo>
              <a:cubicBezTo>
                <a:pt x="6651165" y="9400573"/>
                <a:pt x="6448062" y="9306166"/>
                <a:pt x="6170316" y="9371240"/>
              </a:cubicBezTo>
              <a:cubicBezTo>
                <a:pt x="5892570" y="9436314"/>
                <a:pt x="5570965" y="9335231"/>
                <a:pt x="5275385" y="9371240"/>
              </a:cubicBezTo>
              <a:cubicBezTo>
                <a:pt x="4979805" y="9407249"/>
                <a:pt x="4776872" y="9286590"/>
                <a:pt x="4533534" y="9371240"/>
              </a:cubicBezTo>
              <a:cubicBezTo>
                <a:pt x="4290196" y="9455890"/>
                <a:pt x="3870213" y="9346652"/>
                <a:pt x="3638602" y="9371240"/>
              </a:cubicBezTo>
              <a:cubicBezTo>
                <a:pt x="3406991" y="9395828"/>
                <a:pt x="3206211" y="9310769"/>
                <a:pt x="2896751" y="9371240"/>
              </a:cubicBezTo>
              <a:cubicBezTo>
                <a:pt x="2587291" y="9431711"/>
                <a:pt x="2688880" y="9357567"/>
                <a:pt x="2614142" y="9371240"/>
              </a:cubicBezTo>
              <a:cubicBezTo>
                <a:pt x="2539404" y="9384913"/>
                <a:pt x="2045510" y="9292574"/>
                <a:pt x="1872291" y="9371240"/>
              </a:cubicBezTo>
              <a:cubicBezTo>
                <a:pt x="1699072" y="9449906"/>
                <a:pt x="1622574" y="9355555"/>
                <a:pt x="1436600" y="9371240"/>
              </a:cubicBezTo>
              <a:cubicBezTo>
                <a:pt x="1250626" y="9386925"/>
                <a:pt x="1235093" y="9365547"/>
                <a:pt x="1153990" y="9371240"/>
              </a:cubicBezTo>
              <a:cubicBezTo>
                <a:pt x="1072887" y="9376933"/>
                <a:pt x="1075212" y="9360218"/>
                <a:pt x="1024461" y="9371240"/>
              </a:cubicBezTo>
              <a:cubicBezTo>
                <a:pt x="973710" y="9382262"/>
                <a:pt x="875356" y="9367304"/>
                <a:pt x="741851" y="9371240"/>
              </a:cubicBezTo>
              <a:cubicBezTo>
                <a:pt x="608346" y="9375176"/>
                <a:pt x="155141" y="9343613"/>
                <a:pt x="0" y="9371240"/>
              </a:cubicBezTo>
              <a:cubicBezTo>
                <a:pt x="-28850" y="9178012"/>
                <a:pt x="38098" y="9060344"/>
                <a:pt x="0" y="8785538"/>
              </a:cubicBezTo>
              <a:cubicBezTo>
                <a:pt x="-38098" y="8510732"/>
                <a:pt x="2" y="8362421"/>
                <a:pt x="0" y="8012410"/>
              </a:cubicBezTo>
              <a:cubicBezTo>
                <a:pt x="-2" y="7662399"/>
                <a:pt x="12736" y="7610944"/>
                <a:pt x="0" y="7239283"/>
              </a:cubicBezTo>
              <a:cubicBezTo>
                <a:pt x="-12736" y="6867622"/>
                <a:pt x="3896" y="6875489"/>
                <a:pt x="0" y="6653580"/>
              </a:cubicBezTo>
              <a:cubicBezTo>
                <a:pt x="-3896" y="6431671"/>
                <a:pt x="69414" y="6058752"/>
                <a:pt x="0" y="5880453"/>
              </a:cubicBezTo>
              <a:cubicBezTo>
                <a:pt x="-69414" y="5702154"/>
                <a:pt x="69460" y="5494783"/>
                <a:pt x="0" y="5294751"/>
              </a:cubicBezTo>
              <a:cubicBezTo>
                <a:pt x="-69460" y="5094719"/>
                <a:pt x="19144" y="4807794"/>
                <a:pt x="0" y="4615336"/>
              </a:cubicBezTo>
              <a:cubicBezTo>
                <a:pt x="-19144" y="4422878"/>
                <a:pt x="20092" y="4424524"/>
                <a:pt x="0" y="4310770"/>
              </a:cubicBezTo>
              <a:cubicBezTo>
                <a:pt x="-20092" y="4197016"/>
                <a:pt x="80657" y="3887269"/>
                <a:pt x="0" y="3537643"/>
              </a:cubicBezTo>
              <a:cubicBezTo>
                <a:pt x="-80657" y="3188017"/>
                <a:pt x="44335" y="3285533"/>
                <a:pt x="0" y="3045653"/>
              </a:cubicBezTo>
              <a:cubicBezTo>
                <a:pt x="-44335" y="2805773"/>
                <a:pt x="63048" y="2587971"/>
                <a:pt x="0" y="2366238"/>
              </a:cubicBezTo>
              <a:cubicBezTo>
                <a:pt x="-63048" y="2144506"/>
                <a:pt x="390" y="2187070"/>
                <a:pt x="0" y="2061673"/>
              </a:cubicBezTo>
              <a:cubicBezTo>
                <a:pt x="-390" y="1936276"/>
                <a:pt x="87500" y="1638330"/>
                <a:pt x="0" y="1288545"/>
              </a:cubicBezTo>
              <a:cubicBezTo>
                <a:pt x="-87500" y="938760"/>
                <a:pt x="31604" y="947762"/>
                <a:pt x="0" y="796555"/>
              </a:cubicBezTo>
              <a:cubicBezTo>
                <a:pt x="-31604" y="645348"/>
                <a:pt x="85245" y="359040"/>
                <a:pt x="0" y="0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accent4">
              <a:shade val="15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>
          <a:innerShdw blurRad="114300">
            <a:prstClr val="black"/>
          </a:innerShdw>
          <a:softEdge rad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182879</xdr:colOff>
      <xdr:row>0</xdr:row>
      <xdr:rowOff>151840</xdr:rowOff>
    </xdr:from>
    <xdr:to>
      <xdr:col>7</xdr:col>
      <xdr:colOff>145676</xdr:colOff>
      <xdr:row>5</xdr:row>
      <xdr:rowOff>115868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AFE5722-41F0-4148-8A84-B36AA204231B}"/>
            </a:ext>
          </a:extLst>
        </xdr:cNvPr>
        <xdr:cNvSpPr/>
      </xdr:nvSpPr>
      <xdr:spPr>
        <a:xfrm>
          <a:off x="180974" y="151840"/>
          <a:ext cx="1496322" cy="868903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63</xdr:col>
      <xdr:colOff>19211</xdr:colOff>
      <xdr:row>0</xdr:row>
      <xdr:rowOff>131573</xdr:rowOff>
    </xdr:from>
    <xdr:ext cx="1018743" cy="321273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0562E798-647A-47DA-A2C3-FC00C2B1CDC5}"/>
            </a:ext>
          </a:extLst>
        </xdr:cNvPr>
        <xdr:cNvSpPr/>
      </xdr:nvSpPr>
      <xdr:spPr>
        <a:xfrm>
          <a:off x="13925711" y="131573"/>
          <a:ext cx="1018743" cy="32127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066368AF-4C7E-4192-8B8C-CD243BDFAB6C}" type="TxLink">
            <a:rPr lang="en-US" sz="14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 b="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62</xdr:col>
      <xdr:colOff>168923</xdr:colOff>
      <xdr:row>3</xdr:row>
      <xdr:rowOff>24699</xdr:rowOff>
    </xdr:from>
    <xdr:ext cx="1051448" cy="309952"/>
    <xdr:sp macro="" textlink="'TABLE-3 HIRED EQUIPMENT'!AF1">
      <xdr:nvSpPr>
        <xdr:cNvPr id="6" name="Rectangle: Rounded Corners 5" descr=" zc z">
          <a:extLst>
            <a:ext uri="{FF2B5EF4-FFF2-40B4-BE49-F238E27FC236}">
              <a16:creationId xmlns:a16="http://schemas.microsoft.com/office/drawing/2014/main" id="{2B0E49DC-37E8-42A5-B7FA-6E23152C3A9B}"/>
            </a:ext>
          </a:extLst>
        </xdr:cNvPr>
        <xdr:cNvSpPr/>
      </xdr:nvSpPr>
      <xdr:spPr>
        <a:xfrm>
          <a:off x="13898530" y="555378"/>
          <a:ext cx="1051448" cy="30995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9E6F5FDC-76B2-4F91-BB0A-E371BE0F72C7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£0.00</a:t>
          </a:fld>
          <a:endParaRPr lang="en-GB" sz="1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50</xdr:col>
      <xdr:colOff>57710</xdr:colOff>
      <xdr:row>3</xdr:row>
      <xdr:rowOff>20844</xdr:rowOff>
    </xdr:from>
    <xdr:ext cx="2123628" cy="319031"/>
    <xdr:sp macro="" textlink="">
      <xdr:nvSpPr>
        <xdr:cNvPr id="7" name="Rectangle: Rounded Corners 6" descr=" zc z">
          <a:extLst>
            <a:ext uri="{FF2B5EF4-FFF2-40B4-BE49-F238E27FC236}">
              <a16:creationId xmlns:a16="http://schemas.microsoft.com/office/drawing/2014/main" id="{3C3D8D0B-0BC8-4845-80DC-44EF69E199CA}"/>
            </a:ext>
          </a:extLst>
        </xdr:cNvPr>
        <xdr:cNvSpPr/>
      </xdr:nvSpPr>
      <xdr:spPr>
        <a:xfrm>
          <a:off x="11664603" y="551523"/>
          <a:ext cx="2123628" cy="3190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2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WEEKLY</a:t>
          </a:r>
          <a:r>
            <a:rPr lang="en-US" sz="1100" b="0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 </a:t>
          </a:r>
          <a:r>
            <a:rPr lang="en-US" sz="1200" b="0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HIRE EQUIP COST</a:t>
          </a: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:</a:t>
          </a:r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50</xdr:col>
      <xdr:colOff>81560</xdr:colOff>
      <xdr:row>0</xdr:row>
      <xdr:rowOff>138698</xdr:rowOff>
    </xdr:from>
    <xdr:ext cx="2111095" cy="302445"/>
    <xdr:sp macro="" textlink="'CATEGORY TABLES'!AE2">
      <xdr:nvSpPr>
        <xdr:cNvPr id="8" name="Rectangle: Rounded Corners 7" descr=" zc z">
          <a:extLst>
            <a:ext uri="{FF2B5EF4-FFF2-40B4-BE49-F238E27FC236}">
              <a16:creationId xmlns:a16="http://schemas.microsoft.com/office/drawing/2014/main" id="{7315051B-7EA2-416E-B10F-1B4B85F1C1C8}"/>
            </a:ext>
          </a:extLst>
        </xdr:cNvPr>
        <xdr:cNvSpPr/>
      </xdr:nvSpPr>
      <xdr:spPr>
        <a:xfrm>
          <a:off x="11688453" y="138698"/>
          <a:ext cx="2111095" cy="30244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fld id="{AA94AE92-EFC9-41AD-81EB-09D2A923F39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Project Name</a:t>
          </a:fld>
          <a:endParaRPr lang="en-US" sz="14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44</xdr:col>
      <xdr:colOff>125297</xdr:colOff>
      <xdr:row>3</xdr:row>
      <xdr:rowOff>17417</xdr:rowOff>
    </xdr:from>
    <xdr:to>
      <xdr:col>49</xdr:col>
      <xdr:colOff>151583</xdr:colOff>
      <xdr:row>4</xdr:row>
      <xdr:rowOff>173084</xdr:rowOff>
    </xdr:to>
    <xdr:sp macro="[0]!CAlculat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C7A4BAC-0DB3-41AE-B587-5DAD8BA63D83}"/>
            </a:ext>
          </a:extLst>
        </xdr:cNvPr>
        <xdr:cNvSpPr/>
      </xdr:nvSpPr>
      <xdr:spPr>
        <a:xfrm>
          <a:off x="10534761" y="548096"/>
          <a:ext cx="1046822" cy="332559"/>
        </a:xfrm>
        <a:prstGeom prst="roundRect">
          <a:avLst/>
        </a:prstGeom>
        <a:solidFill>
          <a:schemeClr val="bg1">
            <a:lumMod val="9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twoCellAnchor>
    <xdr:from>
      <xdr:col>61</xdr:col>
      <xdr:colOff>16681</xdr:colOff>
      <xdr:row>47</xdr:row>
      <xdr:rowOff>48583</xdr:rowOff>
    </xdr:from>
    <xdr:to>
      <xdr:col>69</xdr:col>
      <xdr:colOff>154898</xdr:colOff>
      <xdr:row>50</xdr:row>
      <xdr:rowOff>69940</xdr:rowOff>
    </xdr:to>
    <xdr:sp macro="[0]!GoToHGV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940906B-829E-492A-953F-1B881776B143}"/>
            </a:ext>
          </a:extLst>
        </xdr:cNvPr>
        <xdr:cNvSpPr/>
      </xdr:nvSpPr>
      <xdr:spPr>
        <a:xfrm>
          <a:off x="13569395" y="8362547"/>
          <a:ext cx="1553360" cy="552036"/>
        </a:xfrm>
        <a:prstGeom prst="roundRect">
          <a:avLst/>
        </a:prstGeom>
        <a:solidFill>
          <a:schemeClr val="bg1">
            <a:lumMod val="8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HGV's</a:t>
          </a:r>
        </a:p>
      </xdr:txBody>
    </xdr:sp>
    <xdr:clientData/>
  </xdr:twoCellAnchor>
  <xdr:twoCellAnchor>
    <xdr:from>
      <xdr:col>44</xdr:col>
      <xdr:colOff>114572</xdr:colOff>
      <xdr:row>14</xdr:row>
      <xdr:rowOff>47975</xdr:rowOff>
    </xdr:from>
    <xdr:to>
      <xdr:col>52</xdr:col>
      <xdr:colOff>53435</xdr:colOff>
      <xdr:row>20</xdr:row>
      <xdr:rowOff>71573</xdr:rowOff>
    </xdr:to>
    <xdr:sp macro="[0]!GoTo_SupplyChain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39D91DC-467C-41F5-BBE0-9E60B9096240}"/>
            </a:ext>
          </a:extLst>
        </xdr:cNvPr>
        <xdr:cNvSpPr/>
      </xdr:nvSpPr>
      <xdr:spPr>
        <a:xfrm>
          <a:off x="10524036" y="2524475"/>
          <a:ext cx="1490078" cy="1084955"/>
        </a:xfrm>
        <a:prstGeom prst="roundRect">
          <a:avLst/>
        </a:prstGeom>
        <a:solidFill>
          <a:schemeClr val="bg1">
            <a:lumMod val="8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baseline="0">
              <a:solidFill>
                <a:sysClr val="windowText" lastClr="000000"/>
              </a:solidFill>
            </a:rPr>
            <a:t> SUPPLY CHAIN CHARTS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44</xdr:col>
      <xdr:colOff>100276</xdr:colOff>
      <xdr:row>31</xdr:row>
      <xdr:rowOff>82972</xdr:rowOff>
    </xdr:from>
    <xdr:to>
      <xdr:col>69</xdr:col>
      <xdr:colOff>106952</xdr:colOff>
      <xdr:row>42</xdr:row>
      <xdr:rowOff>99060</xdr:rowOff>
    </xdr:to>
    <xdr:sp macro="[0]!GoTo_UI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7C4B9098-D8A8-46A2-BA47-6E78B4A6B65A}"/>
            </a:ext>
          </a:extLst>
        </xdr:cNvPr>
        <xdr:cNvSpPr/>
      </xdr:nvSpPr>
      <xdr:spPr>
        <a:xfrm>
          <a:off x="10509740" y="5566651"/>
          <a:ext cx="4565069" cy="196190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DATA INPUT / UI</a:t>
          </a:r>
        </a:p>
      </xdr:txBody>
    </xdr:sp>
    <xdr:clientData/>
  </xdr:twoCellAnchor>
  <xdr:twoCellAnchor>
    <xdr:from>
      <xdr:col>53</xdr:col>
      <xdr:colOff>13416</xdr:colOff>
      <xdr:row>14</xdr:row>
      <xdr:rowOff>42726</xdr:rowOff>
    </xdr:from>
    <xdr:to>
      <xdr:col>60</xdr:col>
      <xdr:colOff>167897</xdr:colOff>
      <xdr:row>20</xdr:row>
      <xdr:rowOff>65410</xdr:rowOff>
    </xdr:to>
    <xdr:sp macro="[0]!GoTo_PVBES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804362D-27EC-471E-847C-B4A249EFF9A2}"/>
            </a:ext>
          </a:extLst>
        </xdr:cNvPr>
        <xdr:cNvSpPr/>
      </xdr:nvSpPr>
      <xdr:spPr>
        <a:xfrm>
          <a:off x="12150987" y="2519226"/>
          <a:ext cx="1392731" cy="1084041"/>
        </a:xfrm>
        <a:prstGeom prst="roundRect">
          <a:avLst/>
        </a:prstGeom>
        <a:solidFill>
          <a:schemeClr val="bg1">
            <a:lumMod val="8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COST</a:t>
          </a:r>
          <a:r>
            <a:rPr lang="en-GB" sz="1400" b="1" baseline="0">
              <a:solidFill>
                <a:sysClr val="windowText" lastClr="000000"/>
              </a:solidFill>
            </a:rPr>
            <a:t> FOR PV &amp; BESS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52</xdr:col>
      <xdr:colOff>18408</xdr:colOff>
      <xdr:row>47</xdr:row>
      <xdr:rowOff>48713</xdr:rowOff>
    </xdr:from>
    <xdr:to>
      <xdr:col>60</xdr:col>
      <xdr:colOff>112668</xdr:colOff>
      <xdr:row>50</xdr:row>
      <xdr:rowOff>93345</xdr:rowOff>
    </xdr:to>
    <xdr:sp macro="[0]!GoToInventory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69A69E09-A40E-4018-B67F-D5E4C40F0084}"/>
            </a:ext>
          </a:extLst>
        </xdr:cNvPr>
        <xdr:cNvSpPr/>
      </xdr:nvSpPr>
      <xdr:spPr>
        <a:xfrm>
          <a:off x="11979087" y="8362677"/>
          <a:ext cx="1509402" cy="575311"/>
        </a:xfrm>
        <a:prstGeom prst="roundRect">
          <a:avLst/>
        </a:prstGeom>
        <a:solidFill>
          <a:schemeClr val="bg1">
            <a:lumMod val="8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INVENTORY</a:t>
          </a:r>
          <a:r>
            <a:rPr lang="en-GB" sz="1400" b="1" baseline="0">
              <a:solidFill>
                <a:sysClr val="windowText" lastClr="000000"/>
              </a:solidFill>
            </a:rPr>
            <a:t> LIST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44</xdr:col>
      <xdr:colOff>58513</xdr:colOff>
      <xdr:row>47</xdr:row>
      <xdr:rowOff>73751</xdr:rowOff>
    </xdr:from>
    <xdr:to>
      <xdr:col>51</xdr:col>
      <xdr:colOff>95251</xdr:colOff>
      <xdr:row>50</xdr:row>
      <xdr:rowOff>99059</xdr:rowOff>
    </xdr:to>
    <xdr:sp macro="[0]!GoTo_ActivityCosts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E247A26C-9903-453D-B553-67D22148F21F}"/>
            </a:ext>
          </a:extLst>
        </xdr:cNvPr>
        <xdr:cNvSpPr/>
      </xdr:nvSpPr>
      <xdr:spPr>
        <a:xfrm>
          <a:off x="10467977" y="8387715"/>
          <a:ext cx="1411060" cy="555987"/>
        </a:xfrm>
        <a:prstGeom prst="roundRect">
          <a:avLst/>
        </a:prstGeom>
        <a:solidFill>
          <a:schemeClr val="accent2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baseline="0">
              <a:solidFill>
                <a:sysClr val="windowText" lastClr="000000"/>
              </a:solidFill>
            </a:rPr>
            <a:t>ACTIVITY COSTs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44</xdr:col>
      <xdr:colOff>95251</xdr:colOff>
      <xdr:row>21</xdr:row>
      <xdr:rowOff>27213</xdr:rowOff>
    </xdr:from>
    <xdr:to>
      <xdr:col>69</xdr:col>
      <xdr:colOff>81643</xdr:colOff>
      <xdr:row>27</xdr:row>
      <xdr:rowOff>29117</xdr:rowOff>
    </xdr:to>
    <xdr:sp macro="[0]!GoToChart1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3EE10B6E-72D7-4C93-B6EE-C02534F76897}"/>
            </a:ext>
          </a:extLst>
        </xdr:cNvPr>
        <xdr:cNvSpPr/>
      </xdr:nvSpPr>
      <xdr:spPr>
        <a:xfrm>
          <a:off x="10504715" y="3741963"/>
          <a:ext cx="4544785" cy="1063261"/>
        </a:xfrm>
        <a:prstGeom prst="roundRect">
          <a:avLst/>
        </a:prstGeom>
        <a:solidFill>
          <a:schemeClr val="bg1">
            <a:lumMod val="8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SUPPLIER</a:t>
          </a:r>
          <a:r>
            <a:rPr lang="en-GB" sz="1400" b="1" baseline="0">
              <a:solidFill>
                <a:sysClr val="windowText" lastClr="000000"/>
              </a:solidFill>
            </a:rPr>
            <a:t> BASED COSTS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61</xdr:col>
      <xdr:colOff>79433</xdr:colOff>
      <xdr:row>14</xdr:row>
      <xdr:rowOff>52253</xdr:rowOff>
    </xdr:from>
    <xdr:to>
      <xdr:col>69</xdr:col>
      <xdr:colOff>60833</xdr:colOff>
      <xdr:row>20</xdr:row>
      <xdr:rowOff>83549</xdr:rowOff>
    </xdr:to>
    <xdr:sp macro="[0]!GoToPrincipleBased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D91A30E4-F080-4C88-9C32-753A4651DB87}"/>
            </a:ext>
          </a:extLst>
        </xdr:cNvPr>
        <xdr:cNvSpPr/>
      </xdr:nvSpPr>
      <xdr:spPr>
        <a:xfrm>
          <a:off x="13632147" y="2528753"/>
          <a:ext cx="1396543" cy="1092653"/>
        </a:xfrm>
        <a:prstGeom prst="roundRect">
          <a:avLst/>
        </a:prstGeom>
        <a:solidFill>
          <a:schemeClr val="bg1">
            <a:lumMod val="8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PRINCIPLE</a:t>
          </a:r>
          <a:r>
            <a:rPr lang="en-GB" sz="1400" b="1" baseline="0">
              <a:solidFill>
                <a:sysClr val="windowText" lastClr="000000"/>
              </a:solidFill>
            </a:rPr>
            <a:t> BASED COSTs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44</xdr:col>
      <xdr:colOff>108857</xdr:colOff>
      <xdr:row>0</xdr:row>
      <xdr:rowOff>130356</xdr:rowOff>
    </xdr:from>
    <xdr:ext cx="1066463" cy="317575"/>
    <xdr:sp macro="" textlink="'MAIN TABLE-1 AUTOMATED'!A1">
      <xdr:nvSpPr>
        <xdr:cNvPr id="9" name="Rectangle: Rounded Corners 8" descr=" zc z">
          <a:extLst>
            <a:ext uri="{FF2B5EF4-FFF2-40B4-BE49-F238E27FC236}">
              <a16:creationId xmlns:a16="http://schemas.microsoft.com/office/drawing/2014/main" id="{D3993BE4-90EB-4A23-A26B-8DAF6DF32616}"/>
            </a:ext>
          </a:extLst>
        </xdr:cNvPr>
        <xdr:cNvSpPr/>
      </xdr:nvSpPr>
      <xdr:spPr>
        <a:xfrm>
          <a:off x="10518321" y="130356"/>
          <a:ext cx="106646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151840</xdr:rowOff>
    </xdr:from>
    <xdr:to>
      <xdr:col>4</xdr:col>
      <xdr:colOff>818029</xdr:colOff>
      <xdr:row>5</xdr:row>
      <xdr:rowOff>115868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AADC2CE-3822-4029-BA68-F61454556D95}"/>
            </a:ext>
          </a:extLst>
        </xdr:cNvPr>
        <xdr:cNvSpPr/>
      </xdr:nvSpPr>
      <xdr:spPr>
        <a:xfrm>
          <a:off x="180974" y="151840"/>
          <a:ext cx="1533526" cy="860499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8</xdr:col>
      <xdr:colOff>46729</xdr:colOff>
      <xdr:row>1</xdr:row>
      <xdr:rowOff>0</xdr:rowOff>
    </xdr:from>
    <xdr:ext cx="907454" cy="302784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8FC8B69A-244F-46D5-B3C3-1768D97C0F66}"/>
            </a:ext>
          </a:extLst>
        </xdr:cNvPr>
        <xdr:cNvSpPr/>
      </xdr:nvSpPr>
      <xdr:spPr>
        <a:xfrm>
          <a:off x="7823611" y="179294"/>
          <a:ext cx="907454" cy="30278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938092CF-1EA4-4513-BF29-CF1800DD54E6}" type="TxLink">
            <a:rPr lang="en-US" sz="14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 b="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4</xdr:col>
      <xdr:colOff>921009</xdr:colOff>
      <xdr:row>0</xdr:row>
      <xdr:rowOff>158788</xdr:rowOff>
    </xdr:from>
    <xdr:ext cx="1779606" cy="294938"/>
    <xdr:sp macro="" textlink="'CATEGORY TABLES'!AE2">
      <xdr:nvSpPr>
        <xdr:cNvPr id="8" name="Rectangle: Rounded Corners 7" descr=" zc z">
          <a:extLst>
            <a:ext uri="{FF2B5EF4-FFF2-40B4-BE49-F238E27FC236}">
              <a16:creationId xmlns:a16="http://schemas.microsoft.com/office/drawing/2014/main" id="{C44B5D6E-F7E7-4EBC-9E5F-D147DB1C45AD}"/>
            </a:ext>
          </a:extLst>
        </xdr:cNvPr>
        <xdr:cNvSpPr/>
      </xdr:nvSpPr>
      <xdr:spPr>
        <a:xfrm>
          <a:off x="1817480" y="158788"/>
          <a:ext cx="1779606" cy="294938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t>INVENTORY LIST</a:t>
          </a:r>
        </a:p>
      </xdr:txBody>
    </xdr:sp>
    <xdr:clientData/>
  </xdr:oneCellAnchor>
  <xdr:twoCellAnchor>
    <xdr:from>
      <xdr:col>4</xdr:col>
      <xdr:colOff>934905</xdr:colOff>
      <xdr:row>2</xdr:row>
      <xdr:rowOff>126851</xdr:rowOff>
    </xdr:from>
    <xdr:to>
      <xdr:col>4</xdr:col>
      <xdr:colOff>2711823</xdr:colOff>
      <xdr:row>5</xdr:row>
      <xdr:rowOff>87966</xdr:rowOff>
    </xdr:to>
    <xdr:sp macro="[0]!RefreshAllQueri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9B3F667-D1E5-4EEA-87A2-A426EE90B0B4}"/>
            </a:ext>
          </a:extLst>
        </xdr:cNvPr>
        <xdr:cNvSpPr/>
      </xdr:nvSpPr>
      <xdr:spPr>
        <a:xfrm>
          <a:off x="1831376" y="485439"/>
          <a:ext cx="1776918" cy="498998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twoCellAnchor>
    <xdr:from>
      <xdr:col>5</xdr:col>
      <xdr:colOff>233418</xdr:colOff>
      <xdr:row>3</xdr:row>
      <xdr:rowOff>13110</xdr:rowOff>
    </xdr:from>
    <xdr:to>
      <xdr:col>12</xdr:col>
      <xdr:colOff>29807</xdr:colOff>
      <xdr:row>5</xdr:row>
      <xdr:rowOff>54347</xdr:rowOff>
    </xdr:to>
    <xdr:sp macro="[0]!GoToDashboard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41A60002-7225-4858-A4C2-E2CFCEA314DE}"/>
            </a:ext>
          </a:extLst>
        </xdr:cNvPr>
        <xdr:cNvSpPr/>
      </xdr:nvSpPr>
      <xdr:spPr>
        <a:xfrm>
          <a:off x="7943065" y="550992"/>
          <a:ext cx="2272889" cy="399826"/>
        </a:xfrm>
        <a:prstGeom prst="roundRect">
          <a:avLst/>
        </a:prstGeom>
        <a:solidFill>
          <a:schemeClr val="bg1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GB" sz="1200" b="1">
              <a:solidFill>
                <a:sysClr val="windowText" lastClr="000000"/>
              </a:solidFill>
            </a:rPr>
            <a:t>BACK</a:t>
          </a:r>
          <a:r>
            <a:rPr lang="en-GB" sz="1200" b="1" baseline="0">
              <a:solidFill>
                <a:sysClr val="windowText" lastClr="000000"/>
              </a:solidFill>
            </a:rPr>
            <a:t> TO DASHBOARD </a:t>
          </a:r>
          <a:endParaRPr lang="en-GB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289446</xdr:colOff>
      <xdr:row>3</xdr:row>
      <xdr:rowOff>121361</xdr:rowOff>
    </xdr:from>
    <xdr:to>
      <xdr:col>5</xdr:col>
      <xdr:colOff>679970</xdr:colOff>
      <xdr:row>4</xdr:row>
      <xdr:rowOff>134472</xdr:rowOff>
    </xdr:to>
    <xdr:sp macro="" textlink="">
      <xdr:nvSpPr>
        <xdr:cNvPr id="20" name="Arrow: Left 19">
          <a:extLst>
            <a:ext uri="{FF2B5EF4-FFF2-40B4-BE49-F238E27FC236}">
              <a16:creationId xmlns:a16="http://schemas.microsoft.com/office/drawing/2014/main" id="{BF7FFB26-030E-42F7-8395-A462A44EC3B1}"/>
            </a:ext>
          </a:extLst>
        </xdr:cNvPr>
        <xdr:cNvSpPr/>
      </xdr:nvSpPr>
      <xdr:spPr>
        <a:xfrm>
          <a:off x="6732828" y="659243"/>
          <a:ext cx="390524" cy="19240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5</xdr:col>
      <xdr:colOff>255831</xdr:colOff>
      <xdr:row>1</xdr:row>
      <xdr:rowOff>0</xdr:rowOff>
    </xdr:from>
    <xdr:ext cx="1066463" cy="317575"/>
    <xdr:sp macro="" textlink="'MAIN TABLE-1 AUTOMATED'!A1">
      <xdr:nvSpPr>
        <xdr:cNvPr id="21" name="Rectangle: Rounded Corners 20" descr=" zc z">
          <a:extLst>
            <a:ext uri="{FF2B5EF4-FFF2-40B4-BE49-F238E27FC236}">
              <a16:creationId xmlns:a16="http://schemas.microsoft.com/office/drawing/2014/main" id="{B395E0DB-5577-424D-8CCB-0996257F4244}"/>
            </a:ext>
          </a:extLst>
        </xdr:cNvPr>
        <xdr:cNvSpPr/>
      </xdr:nvSpPr>
      <xdr:spPr>
        <a:xfrm>
          <a:off x="6699213" y="179294"/>
          <a:ext cx="106646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59</xdr:col>
      <xdr:colOff>112058</xdr:colOff>
      <xdr:row>42</xdr:row>
      <xdr:rowOff>94914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EC066AF-8BBC-442A-8DC7-E072B8B6FE67}"/>
            </a:ext>
          </a:extLst>
        </xdr:cNvPr>
        <xdr:cNvSpPr/>
      </xdr:nvSpPr>
      <xdr:spPr>
        <a:xfrm>
          <a:off x="0" y="0"/>
          <a:ext cx="12819529" cy="7625267"/>
        </a:xfrm>
        <a:custGeom>
          <a:avLst/>
          <a:gdLst>
            <a:gd name="csX0" fmla="*/ 0 w 12819529"/>
            <a:gd name="csY0" fmla="*/ 0 h 7625267"/>
            <a:gd name="csX1" fmla="*/ 839096 w 12819529"/>
            <a:gd name="csY1" fmla="*/ 0 h 7625267"/>
            <a:gd name="csX2" fmla="*/ 1678193 w 12819529"/>
            <a:gd name="csY2" fmla="*/ 0 h 7625267"/>
            <a:gd name="csX3" fmla="*/ 1876313 w 12819529"/>
            <a:gd name="csY3" fmla="*/ 0 h 7625267"/>
            <a:gd name="csX4" fmla="*/ 2459019 w 12819529"/>
            <a:gd name="csY4" fmla="*/ 0 h 7625267"/>
            <a:gd name="csX5" fmla="*/ 2785334 w 12819529"/>
            <a:gd name="csY5" fmla="*/ 0 h 7625267"/>
            <a:gd name="csX6" fmla="*/ 3111649 w 12819529"/>
            <a:gd name="csY6" fmla="*/ 0 h 7625267"/>
            <a:gd name="csX7" fmla="*/ 3437965 w 12819529"/>
            <a:gd name="csY7" fmla="*/ 0 h 7625267"/>
            <a:gd name="csX8" fmla="*/ 3764280 w 12819529"/>
            <a:gd name="csY8" fmla="*/ 0 h 7625267"/>
            <a:gd name="csX9" fmla="*/ 4218790 w 12819529"/>
            <a:gd name="csY9" fmla="*/ 0 h 7625267"/>
            <a:gd name="csX10" fmla="*/ 4545106 w 12819529"/>
            <a:gd name="csY10" fmla="*/ 0 h 7625267"/>
            <a:gd name="csX11" fmla="*/ 4999616 w 12819529"/>
            <a:gd name="csY11" fmla="*/ 0 h 7625267"/>
            <a:gd name="csX12" fmla="*/ 5710517 w 12819529"/>
            <a:gd name="csY12" fmla="*/ 0 h 7625267"/>
            <a:gd name="csX13" fmla="*/ 6036833 w 12819529"/>
            <a:gd name="csY13" fmla="*/ 0 h 7625267"/>
            <a:gd name="csX14" fmla="*/ 6234953 w 12819529"/>
            <a:gd name="csY14" fmla="*/ 0 h 7625267"/>
            <a:gd name="csX15" fmla="*/ 7074049 w 12819529"/>
            <a:gd name="csY15" fmla="*/ 0 h 7625267"/>
            <a:gd name="csX16" fmla="*/ 7272169 w 12819529"/>
            <a:gd name="csY16" fmla="*/ 0 h 7625267"/>
            <a:gd name="csX17" fmla="*/ 7854875 w 12819529"/>
            <a:gd name="csY17" fmla="*/ 0 h 7625267"/>
            <a:gd name="csX18" fmla="*/ 8052995 w 12819529"/>
            <a:gd name="csY18" fmla="*/ 0 h 7625267"/>
            <a:gd name="csX19" fmla="*/ 8763896 w 12819529"/>
            <a:gd name="csY19" fmla="*/ 0 h 7625267"/>
            <a:gd name="csX20" fmla="*/ 9346602 w 12819529"/>
            <a:gd name="csY20" fmla="*/ 0 h 7625267"/>
            <a:gd name="csX21" fmla="*/ 10057503 w 12819529"/>
            <a:gd name="csY21" fmla="*/ 0 h 7625267"/>
            <a:gd name="csX22" fmla="*/ 10640209 w 12819529"/>
            <a:gd name="csY22" fmla="*/ 0 h 7625267"/>
            <a:gd name="csX23" fmla="*/ 11351110 w 12819529"/>
            <a:gd name="csY23" fmla="*/ 0 h 7625267"/>
            <a:gd name="csX24" fmla="*/ 12062011 w 12819529"/>
            <a:gd name="csY24" fmla="*/ 0 h 7625267"/>
            <a:gd name="csX25" fmla="*/ 12819529 w 12819529"/>
            <a:gd name="csY25" fmla="*/ 0 h 7625267"/>
            <a:gd name="csX26" fmla="*/ 12819529 w 12819529"/>
            <a:gd name="csY26" fmla="*/ 357801 h 7625267"/>
            <a:gd name="csX27" fmla="*/ 12819529 w 12819529"/>
            <a:gd name="csY27" fmla="*/ 944360 h 7625267"/>
            <a:gd name="csX28" fmla="*/ 12819529 w 12819529"/>
            <a:gd name="csY28" fmla="*/ 1378414 h 7625267"/>
            <a:gd name="csX29" fmla="*/ 12819529 w 12819529"/>
            <a:gd name="csY29" fmla="*/ 2117478 h 7625267"/>
            <a:gd name="csX30" fmla="*/ 12819529 w 12819529"/>
            <a:gd name="csY30" fmla="*/ 2475279 h 7625267"/>
            <a:gd name="csX31" fmla="*/ 12819529 w 12819529"/>
            <a:gd name="csY31" fmla="*/ 2833080 h 7625267"/>
            <a:gd name="csX32" fmla="*/ 12819529 w 12819529"/>
            <a:gd name="csY32" fmla="*/ 3343386 h 7625267"/>
            <a:gd name="csX33" fmla="*/ 12819529 w 12819529"/>
            <a:gd name="csY33" fmla="*/ 3929945 h 7625267"/>
            <a:gd name="csX34" fmla="*/ 12819529 w 12819529"/>
            <a:gd name="csY34" fmla="*/ 4592757 h 7625267"/>
            <a:gd name="csX35" fmla="*/ 12819529 w 12819529"/>
            <a:gd name="csY35" fmla="*/ 5255569 h 7625267"/>
            <a:gd name="csX36" fmla="*/ 12819529 w 12819529"/>
            <a:gd name="csY36" fmla="*/ 5994633 h 7625267"/>
            <a:gd name="csX37" fmla="*/ 12819529 w 12819529"/>
            <a:gd name="csY37" fmla="*/ 6581192 h 7625267"/>
            <a:gd name="csX38" fmla="*/ 12819529 w 12819529"/>
            <a:gd name="csY38" fmla="*/ 6938993 h 7625267"/>
            <a:gd name="csX39" fmla="*/ 12819529 w 12819529"/>
            <a:gd name="csY39" fmla="*/ 7625267 h 7625267"/>
            <a:gd name="csX40" fmla="*/ 12236823 w 12819529"/>
            <a:gd name="csY40" fmla="*/ 7625267 h 7625267"/>
            <a:gd name="csX41" fmla="*/ 11654117 w 12819529"/>
            <a:gd name="csY41" fmla="*/ 7625267 h 7625267"/>
            <a:gd name="csX42" fmla="*/ 11199607 w 12819529"/>
            <a:gd name="csY42" fmla="*/ 7625267 h 7625267"/>
            <a:gd name="csX43" fmla="*/ 10360510 w 12819529"/>
            <a:gd name="csY43" fmla="*/ 7625267 h 7625267"/>
            <a:gd name="csX44" fmla="*/ 9777804 w 12819529"/>
            <a:gd name="csY44" fmla="*/ 7625267 h 7625267"/>
            <a:gd name="csX45" fmla="*/ 9451489 w 12819529"/>
            <a:gd name="csY45" fmla="*/ 7625267 h 7625267"/>
            <a:gd name="csX46" fmla="*/ 9125174 w 12819529"/>
            <a:gd name="csY46" fmla="*/ 7625267 h 7625267"/>
            <a:gd name="csX47" fmla="*/ 8927054 w 12819529"/>
            <a:gd name="csY47" fmla="*/ 7625267 h 7625267"/>
            <a:gd name="csX48" fmla="*/ 8344348 w 12819529"/>
            <a:gd name="csY48" fmla="*/ 7625267 h 7625267"/>
            <a:gd name="csX49" fmla="*/ 8018033 w 12819529"/>
            <a:gd name="csY49" fmla="*/ 7625267 h 7625267"/>
            <a:gd name="csX50" fmla="*/ 7178936 w 12819529"/>
            <a:gd name="csY50" fmla="*/ 7625267 h 7625267"/>
            <a:gd name="csX51" fmla="*/ 6468035 w 12819529"/>
            <a:gd name="csY51" fmla="*/ 7625267 h 7625267"/>
            <a:gd name="csX52" fmla="*/ 6013525 w 12819529"/>
            <a:gd name="csY52" fmla="*/ 7625267 h 7625267"/>
            <a:gd name="csX53" fmla="*/ 5174428 w 12819529"/>
            <a:gd name="csY53" fmla="*/ 7625267 h 7625267"/>
            <a:gd name="csX54" fmla="*/ 4591722 w 12819529"/>
            <a:gd name="csY54" fmla="*/ 7625267 h 7625267"/>
            <a:gd name="csX55" fmla="*/ 4265407 w 12819529"/>
            <a:gd name="csY55" fmla="*/ 7625267 h 7625267"/>
            <a:gd name="csX56" fmla="*/ 3426310 w 12819529"/>
            <a:gd name="csY56" fmla="*/ 7625267 h 7625267"/>
            <a:gd name="csX57" fmla="*/ 3099995 w 12819529"/>
            <a:gd name="csY57" fmla="*/ 7625267 h 7625267"/>
            <a:gd name="csX58" fmla="*/ 2773680 w 12819529"/>
            <a:gd name="csY58" fmla="*/ 7625267 h 7625267"/>
            <a:gd name="csX59" fmla="*/ 2190974 w 12819529"/>
            <a:gd name="csY59" fmla="*/ 7625267 h 7625267"/>
            <a:gd name="csX60" fmla="*/ 1480073 w 12819529"/>
            <a:gd name="csY60" fmla="*/ 7625267 h 7625267"/>
            <a:gd name="csX61" fmla="*/ 640976 w 12819529"/>
            <a:gd name="csY61" fmla="*/ 7625267 h 7625267"/>
            <a:gd name="csX62" fmla="*/ 0 w 12819529"/>
            <a:gd name="csY62" fmla="*/ 7625267 h 7625267"/>
            <a:gd name="csX63" fmla="*/ 0 w 12819529"/>
            <a:gd name="csY63" fmla="*/ 7267466 h 7625267"/>
            <a:gd name="csX64" fmla="*/ 0 w 12819529"/>
            <a:gd name="csY64" fmla="*/ 6604654 h 7625267"/>
            <a:gd name="csX65" fmla="*/ 0 w 12819529"/>
            <a:gd name="csY65" fmla="*/ 5941843 h 7625267"/>
            <a:gd name="csX66" fmla="*/ 0 w 12819529"/>
            <a:gd name="csY66" fmla="*/ 5584042 h 7625267"/>
            <a:gd name="csX67" fmla="*/ 0 w 12819529"/>
            <a:gd name="csY67" fmla="*/ 5149988 h 7625267"/>
            <a:gd name="csX68" fmla="*/ 0 w 12819529"/>
            <a:gd name="csY68" fmla="*/ 4639682 h 7625267"/>
            <a:gd name="csX69" fmla="*/ 0 w 12819529"/>
            <a:gd name="csY69" fmla="*/ 4205628 h 7625267"/>
            <a:gd name="csX70" fmla="*/ 0 w 12819529"/>
            <a:gd name="csY70" fmla="*/ 3619069 h 7625267"/>
            <a:gd name="csX71" fmla="*/ 0 w 12819529"/>
            <a:gd name="csY71" fmla="*/ 3185015 h 7625267"/>
            <a:gd name="csX72" fmla="*/ 0 w 12819529"/>
            <a:gd name="csY72" fmla="*/ 2445951 h 7625267"/>
            <a:gd name="csX73" fmla="*/ 0 w 12819529"/>
            <a:gd name="csY73" fmla="*/ 1706887 h 7625267"/>
            <a:gd name="csX74" fmla="*/ 0 w 12819529"/>
            <a:gd name="csY74" fmla="*/ 1349086 h 7625267"/>
            <a:gd name="csX75" fmla="*/ 0 w 12819529"/>
            <a:gd name="csY75" fmla="*/ 991285 h 7625267"/>
            <a:gd name="csX76" fmla="*/ 0 w 12819529"/>
            <a:gd name="csY76" fmla="*/ 557231 h 7625267"/>
            <a:gd name="csX77" fmla="*/ 0 w 12819529"/>
            <a:gd name="csY77" fmla="*/ 0 h 762526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</a:cxnLst>
          <a:rect l="l" t="t" r="r" b="b"/>
          <a:pathLst>
            <a:path w="12819529" h="7625267" fill="none" extrusionOk="0">
              <a:moveTo>
                <a:pt x="0" y="0"/>
              </a:moveTo>
              <a:cubicBezTo>
                <a:pt x="409540" y="-71404"/>
                <a:pt x="620247" y="72468"/>
                <a:pt x="839096" y="0"/>
              </a:cubicBezTo>
              <a:cubicBezTo>
                <a:pt x="1057945" y="-72468"/>
                <a:pt x="1487476" y="19234"/>
                <a:pt x="1678193" y="0"/>
              </a:cubicBezTo>
              <a:cubicBezTo>
                <a:pt x="1868910" y="-19234"/>
                <a:pt x="1829324" y="21218"/>
                <a:pt x="1876313" y="0"/>
              </a:cubicBezTo>
              <a:cubicBezTo>
                <a:pt x="1923302" y="-21218"/>
                <a:pt x="2240212" y="61672"/>
                <a:pt x="2459019" y="0"/>
              </a:cubicBezTo>
              <a:cubicBezTo>
                <a:pt x="2677826" y="-61672"/>
                <a:pt x="2673278" y="25507"/>
                <a:pt x="2785334" y="0"/>
              </a:cubicBezTo>
              <a:cubicBezTo>
                <a:pt x="2897390" y="-25507"/>
                <a:pt x="2961228" y="19215"/>
                <a:pt x="3111649" y="0"/>
              </a:cubicBezTo>
              <a:cubicBezTo>
                <a:pt x="3262071" y="-19215"/>
                <a:pt x="3302014" y="33815"/>
                <a:pt x="3437965" y="0"/>
              </a:cubicBezTo>
              <a:cubicBezTo>
                <a:pt x="3573916" y="-33815"/>
                <a:pt x="3662809" y="21072"/>
                <a:pt x="3764280" y="0"/>
              </a:cubicBezTo>
              <a:cubicBezTo>
                <a:pt x="3865752" y="-21072"/>
                <a:pt x="4054007" y="34916"/>
                <a:pt x="4218790" y="0"/>
              </a:cubicBezTo>
              <a:cubicBezTo>
                <a:pt x="4383573" y="-34916"/>
                <a:pt x="4447941" y="31647"/>
                <a:pt x="4545106" y="0"/>
              </a:cubicBezTo>
              <a:cubicBezTo>
                <a:pt x="4642271" y="-31647"/>
                <a:pt x="4839145" y="20085"/>
                <a:pt x="4999616" y="0"/>
              </a:cubicBezTo>
              <a:cubicBezTo>
                <a:pt x="5160087" y="-20085"/>
                <a:pt x="5382578" y="70543"/>
                <a:pt x="5710517" y="0"/>
              </a:cubicBezTo>
              <a:cubicBezTo>
                <a:pt x="6038456" y="-70543"/>
                <a:pt x="5933505" y="33946"/>
                <a:pt x="6036833" y="0"/>
              </a:cubicBezTo>
              <a:cubicBezTo>
                <a:pt x="6140161" y="-33946"/>
                <a:pt x="6177335" y="19411"/>
                <a:pt x="6234953" y="0"/>
              </a:cubicBezTo>
              <a:cubicBezTo>
                <a:pt x="6292571" y="-19411"/>
                <a:pt x="6888244" y="90675"/>
                <a:pt x="7074049" y="0"/>
              </a:cubicBezTo>
              <a:cubicBezTo>
                <a:pt x="7259854" y="-90675"/>
                <a:pt x="7186306" y="14434"/>
                <a:pt x="7272169" y="0"/>
              </a:cubicBezTo>
              <a:cubicBezTo>
                <a:pt x="7358032" y="-14434"/>
                <a:pt x="7677755" y="37258"/>
                <a:pt x="7854875" y="0"/>
              </a:cubicBezTo>
              <a:cubicBezTo>
                <a:pt x="8031995" y="-37258"/>
                <a:pt x="8002813" y="1584"/>
                <a:pt x="8052995" y="0"/>
              </a:cubicBezTo>
              <a:cubicBezTo>
                <a:pt x="8103177" y="-1584"/>
                <a:pt x="8498525" y="79895"/>
                <a:pt x="8763896" y="0"/>
              </a:cubicBezTo>
              <a:cubicBezTo>
                <a:pt x="9029267" y="-79895"/>
                <a:pt x="9213941" y="50596"/>
                <a:pt x="9346602" y="0"/>
              </a:cubicBezTo>
              <a:cubicBezTo>
                <a:pt x="9479263" y="-50596"/>
                <a:pt x="9767244" y="44357"/>
                <a:pt x="10057503" y="0"/>
              </a:cubicBezTo>
              <a:cubicBezTo>
                <a:pt x="10347762" y="-44357"/>
                <a:pt x="10477547" y="13538"/>
                <a:pt x="10640209" y="0"/>
              </a:cubicBezTo>
              <a:cubicBezTo>
                <a:pt x="10802871" y="-13538"/>
                <a:pt x="11166819" y="9251"/>
                <a:pt x="11351110" y="0"/>
              </a:cubicBezTo>
              <a:cubicBezTo>
                <a:pt x="11535401" y="-9251"/>
                <a:pt x="11751571" y="33074"/>
                <a:pt x="12062011" y="0"/>
              </a:cubicBezTo>
              <a:cubicBezTo>
                <a:pt x="12372451" y="-33074"/>
                <a:pt x="12590648" y="48398"/>
                <a:pt x="12819529" y="0"/>
              </a:cubicBezTo>
              <a:cubicBezTo>
                <a:pt x="12833163" y="103184"/>
                <a:pt x="12777533" y="263310"/>
                <a:pt x="12819529" y="357801"/>
              </a:cubicBezTo>
              <a:cubicBezTo>
                <a:pt x="12861525" y="452292"/>
                <a:pt x="12782556" y="806310"/>
                <a:pt x="12819529" y="944360"/>
              </a:cubicBezTo>
              <a:cubicBezTo>
                <a:pt x="12856502" y="1082410"/>
                <a:pt x="12802692" y="1209539"/>
                <a:pt x="12819529" y="1378414"/>
              </a:cubicBezTo>
              <a:cubicBezTo>
                <a:pt x="12836366" y="1547289"/>
                <a:pt x="12751921" y="1897083"/>
                <a:pt x="12819529" y="2117478"/>
              </a:cubicBezTo>
              <a:cubicBezTo>
                <a:pt x="12887137" y="2337873"/>
                <a:pt x="12783114" y="2379608"/>
                <a:pt x="12819529" y="2475279"/>
              </a:cubicBezTo>
              <a:cubicBezTo>
                <a:pt x="12855944" y="2570950"/>
                <a:pt x="12796995" y="2738490"/>
                <a:pt x="12819529" y="2833080"/>
              </a:cubicBezTo>
              <a:cubicBezTo>
                <a:pt x="12842063" y="2927670"/>
                <a:pt x="12763112" y="3209032"/>
                <a:pt x="12819529" y="3343386"/>
              </a:cubicBezTo>
              <a:cubicBezTo>
                <a:pt x="12875946" y="3477740"/>
                <a:pt x="12778013" y="3682852"/>
                <a:pt x="12819529" y="3929945"/>
              </a:cubicBezTo>
              <a:cubicBezTo>
                <a:pt x="12861045" y="4177038"/>
                <a:pt x="12776026" y="4305588"/>
                <a:pt x="12819529" y="4592757"/>
              </a:cubicBezTo>
              <a:cubicBezTo>
                <a:pt x="12863032" y="4879926"/>
                <a:pt x="12809285" y="5008280"/>
                <a:pt x="12819529" y="5255569"/>
              </a:cubicBezTo>
              <a:cubicBezTo>
                <a:pt x="12829773" y="5502858"/>
                <a:pt x="12743787" y="5671760"/>
                <a:pt x="12819529" y="5994633"/>
              </a:cubicBezTo>
              <a:cubicBezTo>
                <a:pt x="12895271" y="6317506"/>
                <a:pt x="12753984" y="6428218"/>
                <a:pt x="12819529" y="6581192"/>
              </a:cubicBezTo>
              <a:cubicBezTo>
                <a:pt x="12885074" y="6734166"/>
                <a:pt x="12777758" y="6803473"/>
                <a:pt x="12819529" y="6938993"/>
              </a:cubicBezTo>
              <a:cubicBezTo>
                <a:pt x="12861300" y="7074513"/>
                <a:pt x="12773594" y="7306268"/>
                <a:pt x="12819529" y="7625267"/>
              </a:cubicBezTo>
              <a:cubicBezTo>
                <a:pt x="12602223" y="7648525"/>
                <a:pt x="12395151" y="7596205"/>
                <a:pt x="12236823" y="7625267"/>
              </a:cubicBezTo>
              <a:cubicBezTo>
                <a:pt x="12078495" y="7654329"/>
                <a:pt x="11879773" y="7591577"/>
                <a:pt x="11654117" y="7625267"/>
              </a:cubicBezTo>
              <a:cubicBezTo>
                <a:pt x="11428461" y="7658957"/>
                <a:pt x="11401239" y="7585648"/>
                <a:pt x="11199607" y="7625267"/>
              </a:cubicBezTo>
              <a:cubicBezTo>
                <a:pt x="10997975" y="7664886"/>
                <a:pt x="10545886" y="7598341"/>
                <a:pt x="10360510" y="7625267"/>
              </a:cubicBezTo>
              <a:cubicBezTo>
                <a:pt x="10175134" y="7652193"/>
                <a:pt x="9930875" y="7596122"/>
                <a:pt x="9777804" y="7625267"/>
              </a:cubicBezTo>
              <a:cubicBezTo>
                <a:pt x="9624733" y="7654412"/>
                <a:pt x="9551836" y="7604143"/>
                <a:pt x="9451489" y="7625267"/>
              </a:cubicBezTo>
              <a:cubicBezTo>
                <a:pt x="9351142" y="7646391"/>
                <a:pt x="9244271" y="7620744"/>
                <a:pt x="9125174" y="7625267"/>
              </a:cubicBezTo>
              <a:cubicBezTo>
                <a:pt x="9006077" y="7629790"/>
                <a:pt x="8996126" y="7618220"/>
                <a:pt x="8927054" y="7625267"/>
              </a:cubicBezTo>
              <a:cubicBezTo>
                <a:pt x="8857982" y="7632314"/>
                <a:pt x="8598696" y="7609937"/>
                <a:pt x="8344348" y="7625267"/>
              </a:cubicBezTo>
              <a:cubicBezTo>
                <a:pt x="8090000" y="7640597"/>
                <a:pt x="8128276" y="7609949"/>
                <a:pt x="8018033" y="7625267"/>
              </a:cubicBezTo>
              <a:cubicBezTo>
                <a:pt x="7907790" y="7640585"/>
                <a:pt x="7431614" y="7551967"/>
                <a:pt x="7178936" y="7625267"/>
              </a:cubicBezTo>
              <a:cubicBezTo>
                <a:pt x="6926258" y="7698567"/>
                <a:pt x="6637625" y="7556013"/>
                <a:pt x="6468035" y="7625267"/>
              </a:cubicBezTo>
              <a:cubicBezTo>
                <a:pt x="6298445" y="7694521"/>
                <a:pt x="6207982" y="7592462"/>
                <a:pt x="6013525" y="7625267"/>
              </a:cubicBezTo>
              <a:cubicBezTo>
                <a:pt x="5819068" y="7658072"/>
                <a:pt x="5352030" y="7609848"/>
                <a:pt x="5174428" y="7625267"/>
              </a:cubicBezTo>
              <a:cubicBezTo>
                <a:pt x="4996826" y="7640686"/>
                <a:pt x="4800837" y="7597235"/>
                <a:pt x="4591722" y="7625267"/>
              </a:cubicBezTo>
              <a:cubicBezTo>
                <a:pt x="4382607" y="7653299"/>
                <a:pt x="4404853" y="7618505"/>
                <a:pt x="4265407" y="7625267"/>
              </a:cubicBezTo>
              <a:cubicBezTo>
                <a:pt x="4125961" y="7632029"/>
                <a:pt x="3652178" y="7577386"/>
                <a:pt x="3426310" y="7625267"/>
              </a:cubicBezTo>
              <a:cubicBezTo>
                <a:pt x="3200442" y="7673148"/>
                <a:pt x="3233870" y="7610396"/>
                <a:pt x="3099995" y="7625267"/>
              </a:cubicBezTo>
              <a:cubicBezTo>
                <a:pt x="2966121" y="7640138"/>
                <a:pt x="2929506" y="7596971"/>
                <a:pt x="2773680" y="7625267"/>
              </a:cubicBezTo>
              <a:cubicBezTo>
                <a:pt x="2617855" y="7653563"/>
                <a:pt x="2431947" y="7624412"/>
                <a:pt x="2190974" y="7625267"/>
              </a:cubicBezTo>
              <a:cubicBezTo>
                <a:pt x="1950001" y="7626122"/>
                <a:pt x="1742984" y="7540796"/>
                <a:pt x="1480073" y="7625267"/>
              </a:cubicBezTo>
              <a:cubicBezTo>
                <a:pt x="1217162" y="7709738"/>
                <a:pt x="865774" y="7577338"/>
                <a:pt x="640976" y="7625267"/>
              </a:cubicBezTo>
              <a:cubicBezTo>
                <a:pt x="416178" y="7673196"/>
                <a:pt x="288707" y="7583132"/>
                <a:pt x="0" y="7625267"/>
              </a:cubicBezTo>
              <a:cubicBezTo>
                <a:pt x="-23883" y="7470885"/>
                <a:pt x="8470" y="7387125"/>
                <a:pt x="0" y="7267466"/>
              </a:cubicBezTo>
              <a:cubicBezTo>
                <a:pt x="-8470" y="7147807"/>
                <a:pt x="48026" y="6860420"/>
                <a:pt x="0" y="6604654"/>
              </a:cubicBezTo>
              <a:cubicBezTo>
                <a:pt x="-48026" y="6348888"/>
                <a:pt x="28544" y="6180241"/>
                <a:pt x="0" y="5941843"/>
              </a:cubicBezTo>
              <a:cubicBezTo>
                <a:pt x="-28544" y="5703445"/>
                <a:pt x="23812" y="5721731"/>
                <a:pt x="0" y="5584042"/>
              </a:cubicBezTo>
              <a:cubicBezTo>
                <a:pt x="-23812" y="5446353"/>
                <a:pt x="31577" y="5244683"/>
                <a:pt x="0" y="5149988"/>
              </a:cubicBezTo>
              <a:cubicBezTo>
                <a:pt x="-31577" y="5055293"/>
                <a:pt x="957" y="4793055"/>
                <a:pt x="0" y="4639682"/>
              </a:cubicBezTo>
              <a:cubicBezTo>
                <a:pt x="-957" y="4486309"/>
                <a:pt x="35965" y="4329230"/>
                <a:pt x="0" y="4205628"/>
              </a:cubicBezTo>
              <a:cubicBezTo>
                <a:pt x="-35965" y="4082026"/>
                <a:pt x="14081" y="3861296"/>
                <a:pt x="0" y="3619069"/>
              </a:cubicBezTo>
              <a:cubicBezTo>
                <a:pt x="-14081" y="3376842"/>
                <a:pt x="2287" y="3342122"/>
                <a:pt x="0" y="3185015"/>
              </a:cubicBezTo>
              <a:cubicBezTo>
                <a:pt x="-2287" y="3027908"/>
                <a:pt x="15072" y="2710275"/>
                <a:pt x="0" y="2445951"/>
              </a:cubicBezTo>
              <a:cubicBezTo>
                <a:pt x="-15072" y="2181627"/>
                <a:pt x="52087" y="2027295"/>
                <a:pt x="0" y="1706887"/>
              </a:cubicBezTo>
              <a:cubicBezTo>
                <a:pt x="-52087" y="1386479"/>
                <a:pt x="34988" y="1440903"/>
                <a:pt x="0" y="1349086"/>
              </a:cubicBezTo>
              <a:cubicBezTo>
                <a:pt x="-34988" y="1257269"/>
                <a:pt x="1405" y="1139523"/>
                <a:pt x="0" y="991285"/>
              </a:cubicBezTo>
              <a:cubicBezTo>
                <a:pt x="-1405" y="843047"/>
                <a:pt x="21981" y="682917"/>
                <a:pt x="0" y="557231"/>
              </a:cubicBezTo>
              <a:cubicBezTo>
                <a:pt x="-21981" y="431545"/>
                <a:pt x="41707" y="124915"/>
                <a:pt x="0" y="0"/>
              </a:cubicBezTo>
              <a:close/>
            </a:path>
            <a:path w="12819529" h="7625267" stroke="0" extrusionOk="0">
              <a:moveTo>
                <a:pt x="0" y="0"/>
              </a:moveTo>
              <a:cubicBezTo>
                <a:pt x="197702" y="-18705"/>
                <a:pt x="320435" y="21124"/>
                <a:pt x="454511" y="0"/>
              </a:cubicBezTo>
              <a:cubicBezTo>
                <a:pt x="588587" y="-21124"/>
                <a:pt x="556353" y="1265"/>
                <a:pt x="652631" y="0"/>
              </a:cubicBezTo>
              <a:cubicBezTo>
                <a:pt x="748909" y="-1265"/>
                <a:pt x="1270395" y="45133"/>
                <a:pt x="1491727" y="0"/>
              </a:cubicBezTo>
              <a:cubicBezTo>
                <a:pt x="1713059" y="-45133"/>
                <a:pt x="1727559" y="54256"/>
                <a:pt x="1946238" y="0"/>
              </a:cubicBezTo>
              <a:cubicBezTo>
                <a:pt x="2164917" y="-54256"/>
                <a:pt x="2259553" y="5544"/>
                <a:pt x="2400748" y="0"/>
              </a:cubicBezTo>
              <a:cubicBezTo>
                <a:pt x="2541943" y="-5544"/>
                <a:pt x="2906109" y="46450"/>
                <a:pt x="3239845" y="0"/>
              </a:cubicBezTo>
              <a:cubicBezTo>
                <a:pt x="3573581" y="-46450"/>
                <a:pt x="3409817" y="26336"/>
                <a:pt x="3566160" y="0"/>
              </a:cubicBezTo>
              <a:cubicBezTo>
                <a:pt x="3722504" y="-26336"/>
                <a:pt x="4135459" y="22369"/>
                <a:pt x="4405256" y="0"/>
              </a:cubicBezTo>
              <a:cubicBezTo>
                <a:pt x="4675053" y="-22369"/>
                <a:pt x="4828847" y="63364"/>
                <a:pt x="5244353" y="0"/>
              </a:cubicBezTo>
              <a:cubicBezTo>
                <a:pt x="5659859" y="-63364"/>
                <a:pt x="5563267" y="59164"/>
                <a:pt x="5827059" y="0"/>
              </a:cubicBezTo>
              <a:cubicBezTo>
                <a:pt x="6090851" y="-59164"/>
                <a:pt x="6466990" y="17701"/>
                <a:pt x="6666155" y="0"/>
              </a:cubicBezTo>
              <a:cubicBezTo>
                <a:pt x="6865320" y="-17701"/>
                <a:pt x="6975148" y="50953"/>
                <a:pt x="7120666" y="0"/>
              </a:cubicBezTo>
              <a:cubicBezTo>
                <a:pt x="7266184" y="-50953"/>
                <a:pt x="7375945" y="23747"/>
                <a:pt x="7575176" y="0"/>
              </a:cubicBezTo>
              <a:cubicBezTo>
                <a:pt x="7774407" y="-23747"/>
                <a:pt x="8019665" y="10606"/>
                <a:pt x="8286077" y="0"/>
              </a:cubicBezTo>
              <a:cubicBezTo>
                <a:pt x="8552489" y="-10606"/>
                <a:pt x="8571031" y="47034"/>
                <a:pt x="8740588" y="0"/>
              </a:cubicBezTo>
              <a:cubicBezTo>
                <a:pt x="8910145" y="-47034"/>
                <a:pt x="9385132" y="1503"/>
                <a:pt x="9579684" y="0"/>
              </a:cubicBezTo>
              <a:cubicBezTo>
                <a:pt x="9774236" y="-1503"/>
                <a:pt x="10125072" y="51266"/>
                <a:pt x="10418781" y="0"/>
              </a:cubicBezTo>
              <a:cubicBezTo>
                <a:pt x="10712490" y="-51266"/>
                <a:pt x="10793097" y="24921"/>
                <a:pt x="11001487" y="0"/>
              </a:cubicBezTo>
              <a:cubicBezTo>
                <a:pt x="11209877" y="-24921"/>
                <a:pt x="11263169" y="38132"/>
                <a:pt x="11455997" y="0"/>
              </a:cubicBezTo>
              <a:cubicBezTo>
                <a:pt x="11648825" y="-38132"/>
                <a:pt x="11605783" y="20376"/>
                <a:pt x="11654117" y="0"/>
              </a:cubicBezTo>
              <a:cubicBezTo>
                <a:pt x="11702451" y="-20376"/>
                <a:pt x="11864677" y="34349"/>
                <a:pt x="11980433" y="0"/>
              </a:cubicBezTo>
              <a:cubicBezTo>
                <a:pt x="12096189" y="-34349"/>
                <a:pt x="12163891" y="23608"/>
                <a:pt x="12306748" y="0"/>
              </a:cubicBezTo>
              <a:cubicBezTo>
                <a:pt x="12449605" y="-23608"/>
                <a:pt x="12675591" y="27792"/>
                <a:pt x="12819529" y="0"/>
              </a:cubicBezTo>
              <a:cubicBezTo>
                <a:pt x="12822469" y="300702"/>
                <a:pt x="12804323" y="563121"/>
                <a:pt x="12819529" y="739064"/>
              </a:cubicBezTo>
              <a:cubicBezTo>
                <a:pt x="12834735" y="915007"/>
                <a:pt x="12780108" y="1224083"/>
                <a:pt x="12819529" y="1401876"/>
              </a:cubicBezTo>
              <a:cubicBezTo>
                <a:pt x="12858950" y="1579669"/>
                <a:pt x="12810757" y="1782748"/>
                <a:pt x="12819529" y="1988435"/>
              </a:cubicBezTo>
              <a:cubicBezTo>
                <a:pt x="12828301" y="2194122"/>
                <a:pt x="12784161" y="2289599"/>
                <a:pt x="12819529" y="2574994"/>
              </a:cubicBezTo>
              <a:cubicBezTo>
                <a:pt x="12854897" y="2860389"/>
                <a:pt x="12805569" y="3008237"/>
                <a:pt x="12819529" y="3314058"/>
              </a:cubicBezTo>
              <a:cubicBezTo>
                <a:pt x="12833489" y="3619879"/>
                <a:pt x="12764493" y="3774681"/>
                <a:pt x="12819529" y="3976870"/>
              </a:cubicBezTo>
              <a:cubicBezTo>
                <a:pt x="12874565" y="4179059"/>
                <a:pt x="12780454" y="4236502"/>
                <a:pt x="12819529" y="4334671"/>
              </a:cubicBezTo>
              <a:cubicBezTo>
                <a:pt x="12858604" y="4432840"/>
                <a:pt x="12800513" y="4601014"/>
                <a:pt x="12819529" y="4844977"/>
              </a:cubicBezTo>
              <a:cubicBezTo>
                <a:pt x="12838545" y="5088940"/>
                <a:pt x="12811919" y="5333284"/>
                <a:pt x="12819529" y="5584042"/>
              </a:cubicBezTo>
              <a:cubicBezTo>
                <a:pt x="12827139" y="5834801"/>
                <a:pt x="12760652" y="5905245"/>
                <a:pt x="12819529" y="6170601"/>
              </a:cubicBezTo>
              <a:cubicBezTo>
                <a:pt x="12878406" y="6435957"/>
                <a:pt x="12765015" y="6541740"/>
                <a:pt x="12819529" y="6833412"/>
              </a:cubicBezTo>
              <a:cubicBezTo>
                <a:pt x="12874043" y="7125084"/>
                <a:pt x="12749045" y="7406343"/>
                <a:pt x="12819529" y="7625267"/>
              </a:cubicBezTo>
              <a:cubicBezTo>
                <a:pt x="12651206" y="7676762"/>
                <a:pt x="12356156" y="7575736"/>
                <a:pt x="12236823" y="7625267"/>
              </a:cubicBezTo>
              <a:cubicBezTo>
                <a:pt x="12117490" y="7674798"/>
                <a:pt x="11720328" y="7612038"/>
                <a:pt x="11525922" y="7625267"/>
              </a:cubicBezTo>
              <a:cubicBezTo>
                <a:pt x="11331516" y="7638496"/>
                <a:pt x="11265406" y="7592525"/>
                <a:pt x="11199607" y="7625267"/>
              </a:cubicBezTo>
              <a:cubicBezTo>
                <a:pt x="11133808" y="7658009"/>
                <a:pt x="11097033" y="7618289"/>
                <a:pt x="11001487" y="7625267"/>
              </a:cubicBezTo>
              <a:cubicBezTo>
                <a:pt x="10905941" y="7632245"/>
                <a:pt x="10796314" y="7612613"/>
                <a:pt x="10675171" y="7625267"/>
              </a:cubicBezTo>
              <a:cubicBezTo>
                <a:pt x="10554028" y="7637921"/>
                <a:pt x="10417530" y="7573023"/>
                <a:pt x="10220661" y="7625267"/>
              </a:cubicBezTo>
              <a:cubicBezTo>
                <a:pt x="10023792" y="7677511"/>
                <a:pt x="9901304" y="7584671"/>
                <a:pt x="9637955" y="7625267"/>
              </a:cubicBezTo>
              <a:cubicBezTo>
                <a:pt x="9374606" y="7665863"/>
                <a:pt x="9471815" y="7619214"/>
                <a:pt x="9311640" y="7625267"/>
              </a:cubicBezTo>
              <a:cubicBezTo>
                <a:pt x="9151466" y="7631320"/>
                <a:pt x="8737616" y="7577268"/>
                <a:pt x="8472543" y="7625267"/>
              </a:cubicBezTo>
              <a:cubicBezTo>
                <a:pt x="8207470" y="7673266"/>
                <a:pt x="8047841" y="7585242"/>
                <a:pt x="7889837" y="7625267"/>
              </a:cubicBezTo>
              <a:cubicBezTo>
                <a:pt x="7731833" y="7665292"/>
                <a:pt x="7317608" y="7557171"/>
                <a:pt x="7050741" y="7625267"/>
              </a:cubicBezTo>
              <a:cubicBezTo>
                <a:pt x="6783874" y="7693363"/>
                <a:pt x="6553561" y="7541032"/>
                <a:pt x="6339840" y="7625267"/>
              </a:cubicBezTo>
              <a:cubicBezTo>
                <a:pt x="6126119" y="7709502"/>
                <a:pt x="6001176" y="7579482"/>
                <a:pt x="5885329" y="7625267"/>
              </a:cubicBezTo>
              <a:cubicBezTo>
                <a:pt x="5769482" y="7671052"/>
                <a:pt x="5493801" y="7560618"/>
                <a:pt x="5174428" y="7625267"/>
              </a:cubicBezTo>
              <a:cubicBezTo>
                <a:pt x="4855055" y="7689916"/>
                <a:pt x="4991714" y="7609673"/>
                <a:pt x="4848113" y="7625267"/>
              </a:cubicBezTo>
              <a:cubicBezTo>
                <a:pt x="4704513" y="7640861"/>
                <a:pt x="4551489" y="7607862"/>
                <a:pt x="4265407" y="7625267"/>
              </a:cubicBezTo>
              <a:cubicBezTo>
                <a:pt x="3979325" y="7642672"/>
                <a:pt x="4109202" y="7625161"/>
                <a:pt x="4067287" y="7625267"/>
              </a:cubicBezTo>
              <a:cubicBezTo>
                <a:pt x="4025372" y="7625373"/>
                <a:pt x="3632733" y="7574475"/>
                <a:pt x="3228190" y="7625267"/>
              </a:cubicBezTo>
              <a:cubicBezTo>
                <a:pt x="2823647" y="7676059"/>
                <a:pt x="2770808" y="7568970"/>
                <a:pt x="2645485" y="7625267"/>
              </a:cubicBezTo>
              <a:cubicBezTo>
                <a:pt x="2520162" y="7681564"/>
                <a:pt x="2065773" y="7598716"/>
                <a:pt x="1806388" y="7625267"/>
              </a:cubicBezTo>
              <a:cubicBezTo>
                <a:pt x="1547003" y="7651818"/>
                <a:pt x="1486738" y="7590150"/>
                <a:pt x="1351878" y="7625267"/>
              </a:cubicBezTo>
              <a:cubicBezTo>
                <a:pt x="1217018" y="7660384"/>
                <a:pt x="1107734" y="7614249"/>
                <a:pt x="1025562" y="7625267"/>
              </a:cubicBezTo>
              <a:cubicBezTo>
                <a:pt x="943390" y="7636285"/>
                <a:pt x="316765" y="7582697"/>
                <a:pt x="0" y="7625267"/>
              </a:cubicBezTo>
              <a:cubicBezTo>
                <a:pt x="-55102" y="7461916"/>
                <a:pt x="3533" y="7125929"/>
                <a:pt x="0" y="6962455"/>
              </a:cubicBezTo>
              <a:cubicBezTo>
                <a:pt x="-3533" y="6798981"/>
                <a:pt x="31296" y="6691343"/>
                <a:pt x="0" y="6604654"/>
              </a:cubicBezTo>
              <a:cubicBezTo>
                <a:pt x="-31296" y="6517965"/>
                <a:pt x="18332" y="6223219"/>
                <a:pt x="0" y="6018095"/>
              </a:cubicBezTo>
              <a:cubicBezTo>
                <a:pt x="-18332" y="5812971"/>
                <a:pt x="8577" y="5638940"/>
                <a:pt x="0" y="5507789"/>
              </a:cubicBezTo>
              <a:cubicBezTo>
                <a:pt x="-8577" y="5376638"/>
                <a:pt x="692" y="5221793"/>
                <a:pt x="0" y="4997483"/>
              </a:cubicBezTo>
              <a:cubicBezTo>
                <a:pt x="-692" y="4773173"/>
                <a:pt x="25167" y="4622024"/>
                <a:pt x="0" y="4487176"/>
              </a:cubicBezTo>
              <a:cubicBezTo>
                <a:pt x="-25167" y="4352328"/>
                <a:pt x="59699" y="4128455"/>
                <a:pt x="0" y="3976870"/>
              </a:cubicBezTo>
              <a:cubicBezTo>
                <a:pt x="-59699" y="3825285"/>
                <a:pt x="60082" y="3564697"/>
                <a:pt x="0" y="3314058"/>
              </a:cubicBezTo>
              <a:cubicBezTo>
                <a:pt x="-60082" y="3063419"/>
                <a:pt x="54885" y="2892344"/>
                <a:pt x="0" y="2727499"/>
              </a:cubicBezTo>
              <a:cubicBezTo>
                <a:pt x="-54885" y="2562654"/>
                <a:pt x="10382" y="2542704"/>
                <a:pt x="0" y="2369698"/>
              </a:cubicBezTo>
              <a:cubicBezTo>
                <a:pt x="-10382" y="2196692"/>
                <a:pt x="49296" y="2081579"/>
                <a:pt x="0" y="1859392"/>
              </a:cubicBezTo>
              <a:cubicBezTo>
                <a:pt x="-49296" y="1637205"/>
                <a:pt x="31144" y="1503085"/>
                <a:pt x="0" y="1196580"/>
              </a:cubicBezTo>
              <a:cubicBezTo>
                <a:pt x="-31144" y="890075"/>
                <a:pt x="30027" y="947136"/>
                <a:pt x="0" y="762527"/>
              </a:cubicBezTo>
              <a:cubicBezTo>
                <a:pt x="-30027" y="577918"/>
                <a:pt x="83100" y="164348"/>
                <a:pt x="0" y="0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accent4">
              <a:shade val="15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>
          <a:innerShdw blurRad="114300">
            <a:prstClr val="black"/>
          </a:innerShdw>
          <a:softEdge rad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16473</xdr:colOff>
      <xdr:row>0</xdr:row>
      <xdr:rowOff>172347</xdr:rowOff>
    </xdr:from>
    <xdr:to>
      <xdr:col>7</xdr:col>
      <xdr:colOff>203388</xdr:colOff>
      <xdr:row>5</xdr:row>
      <xdr:rowOff>138280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16DB876-66C1-42B9-B05B-6BDAFC1BC631}"/>
            </a:ext>
          </a:extLst>
        </xdr:cNvPr>
        <xdr:cNvSpPr/>
      </xdr:nvSpPr>
      <xdr:spPr>
        <a:xfrm>
          <a:off x="248883" y="168537"/>
          <a:ext cx="1558515" cy="870808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48</xdr:col>
      <xdr:colOff>158564</xdr:colOff>
      <xdr:row>1</xdr:row>
      <xdr:rowOff>121360</xdr:rowOff>
    </xdr:from>
    <xdr:ext cx="974913" cy="317575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5E520766-3514-475F-AB67-41AB90408632}"/>
            </a:ext>
          </a:extLst>
        </xdr:cNvPr>
        <xdr:cNvSpPr/>
      </xdr:nvSpPr>
      <xdr:spPr>
        <a:xfrm>
          <a:off x="11017064" y="300654"/>
          <a:ext cx="97491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8CF23CD7-A6BE-4766-9AE0-55978D5B0FE6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39</xdr:col>
      <xdr:colOff>9301</xdr:colOff>
      <xdr:row>1</xdr:row>
      <xdr:rowOff>119454</xdr:rowOff>
    </xdr:from>
    <xdr:ext cx="2061882" cy="313765"/>
    <xdr:sp macro="" textlink="'CATEGORY TABLES'!AE2">
      <xdr:nvSpPr>
        <xdr:cNvPr id="5" name="Rectangle: Rounded Corners 4" descr=" zc z">
          <a:extLst>
            <a:ext uri="{FF2B5EF4-FFF2-40B4-BE49-F238E27FC236}">
              <a16:creationId xmlns:a16="http://schemas.microsoft.com/office/drawing/2014/main" id="{7C34CED6-7083-4B8E-BB9E-361770BE9433}"/>
            </a:ext>
          </a:extLst>
        </xdr:cNvPr>
        <xdr:cNvSpPr/>
      </xdr:nvSpPr>
      <xdr:spPr>
        <a:xfrm>
          <a:off x="8884360" y="298748"/>
          <a:ext cx="2061882" cy="31376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t>SUPPLY</a:t>
          </a:r>
          <a:r>
            <a:rPr lang="en-US" sz="1400" b="1" i="0" u="none" strike="noStrike" baseline="0">
              <a:solidFill>
                <a:srgbClr val="C00000"/>
              </a:solidFill>
              <a:latin typeface="Calibri"/>
              <a:ea typeface="Calibri"/>
              <a:cs typeface="Calibri"/>
            </a:rPr>
            <a:t> CHAIN CHART</a:t>
          </a:r>
          <a:endParaRPr lang="en-US" sz="14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33</xdr:col>
      <xdr:colOff>181199</xdr:colOff>
      <xdr:row>1</xdr:row>
      <xdr:rowOff>102758</xdr:rowOff>
    </xdr:from>
    <xdr:to>
      <xdr:col>38</xdr:col>
      <xdr:colOff>171901</xdr:colOff>
      <xdr:row>5</xdr:row>
      <xdr:rowOff>117773</xdr:rowOff>
    </xdr:to>
    <xdr:sp macro="[0]!CAlcul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F8A7D7D-6E4D-41BC-B1B7-FB5D2794DC09}"/>
            </a:ext>
          </a:extLst>
        </xdr:cNvPr>
        <xdr:cNvSpPr/>
      </xdr:nvSpPr>
      <xdr:spPr>
        <a:xfrm>
          <a:off x="7644317" y="282052"/>
          <a:ext cx="1167319" cy="732192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>
    <xdr:from>
      <xdr:col>39</xdr:col>
      <xdr:colOff>20506</xdr:colOff>
      <xdr:row>3</xdr:row>
      <xdr:rowOff>126850</xdr:rowOff>
    </xdr:from>
    <xdr:to>
      <xdr:col>54</xdr:col>
      <xdr:colOff>115870</xdr:colOff>
      <xdr:row>5</xdr:row>
      <xdr:rowOff>128978</xdr:rowOff>
    </xdr:to>
    <xdr:sp macro="[0]!GoToDashboar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71B2790-770A-42CE-920D-40840A1D6EF2}"/>
            </a:ext>
          </a:extLst>
        </xdr:cNvPr>
        <xdr:cNvSpPr/>
      </xdr:nvSpPr>
      <xdr:spPr>
        <a:xfrm>
          <a:off x="8895565" y="664732"/>
          <a:ext cx="3087334" cy="360717"/>
        </a:xfrm>
        <a:prstGeom prst="roundRect">
          <a:avLst/>
        </a:prstGeom>
        <a:solidFill>
          <a:schemeClr val="bg1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GB" sz="1400" b="1">
              <a:solidFill>
                <a:sysClr val="windowText" lastClr="000000"/>
              </a:solidFill>
            </a:rPr>
            <a:t>BACK</a:t>
          </a:r>
          <a:r>
            <a:rPr lang="en-GB" sz="1400" b="1" baseline="0">
              <a:solidFill>
                <a:sysClr val="windowText" lastClr="000000"/>
              </a:solidFill>
            </a:rPr>
            <a:t> TO DASHBOARD 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39</xdr:col>
      <xdr:colOff>175708</xdr:colOff>
      <xdr:row>4</xdr:row>
      <xdr:rowOff>37205</xdr:rowOff>
    </xdr:from>
    <xdr:to>
      <xdr:col>41</xdr:col>
      <xdr:colOff>80346</xdr:colOff>
      <xdr:row>5</xdr:row>
      <xdr:rowOff>46505</xdr:rowOff>
    </xdr:to>
    <xdr:sp macro="" textlink="">
      <xdr:nvSpPr>
        <xdr:cNvPr id="8" name="Arrow: Left 7">
          <a:extLst>
            <a:ext uri="{FF2B5EF4-FFF2-40B4-BE49-F238E27FC236}">
              <a16:creationId xmlns:a16="http://schemas.microsoft.com/office/drawing/2014/main" id="{4DED76D5-4ECC-4C1E-ACB4-D02FBB8774EF}"/>
            </a:ext>
          </a:extLst>
        </xdr:cNvPr>
        <xdr:cNvSpPr/>
      </xdr:nvSpPr>
      <xdr:spPr>
        <a:xfrm>
          <a:off x="9050767" y="754381"/>
          <a:ext cx="375285" cy="18859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</xdr:col>
      <xdr:colOff>56926</xdr:colOff>
      <xdr:row>6</xdr:row>
      <xdr:rowOff>27456</xdr:rowOff>
    </xdr:from>
    <xdr:ext cx="1422250" cy="317575"/>
    <xdr:sp macro="" textlink="'MAIN TABLE-1 AUTOMATED'!A1">
      <xdr:nvSpPr>
        <xdr:cNvPr id="10" name="Rectangle: Rounded Corners 9" descr=" zc z">
          <a:extLst>
            <a:ext uri="{FF2B5EF4-FFF2-40B4-BE49-F238E27FC236}">
              <a16:creationId xmlns:a16="http://schemas.microsoft.com/office/drawing/2014/main" id="{7A0141C6-FC1E-4F43-8B1D-1953993E3093}"/>
            </a:ext>
          </a:extLst>
        </xdr:cNvPr>
        <xdr:cNvSpPr/>
      </xdr:nvSpPr>
      <xdr:spPr>
        <a:xfrm>
          <a:off x="281044" y="1103221"/>
          <a:ext cx="1422250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ct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121920</xdr:rowOff>
        </xdr:from>
        <xdr:to>
          <xdr:col>8</xdr:col>
          <xdr:colOff>152400</xdr:colOff>
          <xdr:row>13</xdr:row>
          <xdr:rowOff>68580</xdr:rowOff>
        </xdr:to>
        <xdr:sp macro="" textlink="">
          <xdr:nvSpPr>
            <xdr:cNvPr id="47105" name="Spinner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10</xdr:row>
          <xdr:rowOff>106680</xdr:rowOff>
        </xdr:from>
        <xdr:to>
          <xdr:col>18</xdr:col>
          <xdr:colOff>22860</xdr:colOff>
          <xdr:row>13</xdr:row>
          <xdr:rowOff>45720</xdr:rowOff>
        </xdr:to>
        <xdr:sp macro="" textlink="">
          <xdr:nvSpPr>
            <xdr:cNvPr id="47106" name="Spinner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3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4</xdr:col>
      <xdr:colOff>158787</xdr:colOff>
      <xdr:row>10</xdr:row>
      <xdr:rowOff>98948</xdr:rowOff>
    </xdr:from>
    <xdr:ext cx="623719" cy="545501"/>
    <xdr:sp macro="" textlink="'Delivery Report'!A2">
      <xdr:nvSpPr>
        <xdr:cNvPr id="11" name="Rectangle: Rounded Corners 10" descr=" zc z">
          <a:extLst>
            <a:ext uri="{FF2B5EF4-FFF2-40B4-BE49-F238E27FC236}">
              <a16:creationId xmlns:a16="http://schemas.microsoft.com/office/drawing/2014/main" id="{957E7816-CA42-46A4-B675-5E1FBEFBE5F7}"/>
            </a:ext>
          </a:extLst>
        </xdr:cNvPr>
        <xdr:cNvSpPr/>
      </xdr:nvSpPr>
      <xdr:spPr>
        <a:xfrm>
          <a:off x="1055258" y="1891889"/>
          <a:ext cx="623719" cy="545501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B4A4DE68-6976-4779-BB2C-0D99584D809A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2026</a:t>
          </a:fld>
          <a:endParaRPr lang="en-US" sz="32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54123</xdr:colOff>
      <xdr:row>10</xdr:row>
      <xdr:rowOff>98948</xdr:rowOff>
    </xdr:from>
    <xdr:ext cx="704067" cy="534519"/>
    <xdr:sp macro="" textlink="">
      <xdr:nvSpPr>
        <xdr:cNvPr id="12" name="Rectangle: Rounded Corners 11" descr=" zc z">
          <a:extLst>
            <a:ext uri="{FF2B5EF4-FFF2-40B4-BE49-F238E27FC236}">
              <a16:creationId xmlns:a16="http://schemas.microsoft.com/office/drawing/2014/main" id="{0DD6D8F6-AC57-45BA-8AC1-4A00E6F863BB}"/>
            </a:ext>
          </a:extLst>
        </xdr:cNvPr>
        <xdr:cNvSpPr/>
      </xdr:nvSpPr>
      <xdr:spPr>
        <a:xfrm>
          <a:off x="278241" y="1891889"/>
          <a:ext cx="704067" cy="534519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YEAR</a:t>
          </a:r>
        </a:p>
      </xdr:txBody>
    </xdr:sp>
    <xdr:clientData/>
  </xdr:oneCellAnchor>
  <xdr:oneCellAnchor>
    <xdr:from>
      <xdr:col>10</xdr:col>
      <xdr:colOff>195993</xdr:colOff>
      <xdr:row>10</xdr:row>
      <xdr:rowOff>61745</xdr:rowOff>
    </xdr:from>
    <xdr:ext cx="694764" cy="549088"/>
    <xdr:sp macro="" textlink="">
      <xdr:nvSpPr>
        <xdr:cNvPr id="13" name="Rectangle: Rounded Corners 12" descr=" zc z">
          <a:extLst>
            <a:ext uri="{FF2B5EF4-FFF2-40B4-BE49-F238E27FC236}">
              <a16:creationId xmlns:a16="http://schemas.microsoft.com/office/drawing/2014/main" id="{40DCACC0-ECE4-49A2-B05C-9C2CBBF56F6E}"/>
            </a:ext>
          </a:extLst>
        </xdr:cNvPr>
        <xdr:cNvSpPr/>
      </xdr:nvSpPr>
      <xdr:spPr>
        <a:xfrm>
          <a:off x="2437169" y="1854686"/>
          <a:ext cx="694764" cy="549088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WEEK</a:t>
          </a:r>
        </a:p>
      </xdr:txBody>
    </xdr:sp>
    <xdr:clientData/>
  </xdr:oneCellAnchor>
  <xdr:oneCellAnchor>
    <xdr:from>
      <xdr:col>14</xdr:col>
      <xdr:colOff>48410</xdr:colOff>
      <xdr:row>10</xdr:row>
      <xdr:rowOff>65330</xdr:rowOff>
    </xdr:from>
    <xdr:ext cx="618229" cy="543596"/>
    <xdr:sp macro="" textlink="'Delivery Report'!A5">
      <xdr:nvSpPr>
        <xdr:cNvPr id="14" name="Rectangle: Rounded Corners 13" descr=" zc z">
          <a:extLst>
            <a:ext uri="{FF2B5EF4-FFF2-40B4-BE49-F238E27FC236}">
              <a16:creationId xmlns:a16="http://schemas.microsoft.com/office/drawing/2014/main" id="{386AC821-2346-4896-A52A-2FFB9DD486E2}"/>
            </a:ext>
          </a:extLst>
        </xdr:cNvPr>
        <xdr:cNvSpPr/>
      </xdr:nvSpPr>
      <xdr:spPr>
        <a:xfrm>
          <a:off x="3186057" y="1858271"/>
          <a:ext cx="618229" cy="543596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A7A66535-86DD-414E-B12F-23E83FF5FE7E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26</a:t>
          </a:fld>
          <a:endParaRPr lang="en-US" sz="24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0</xdr:col>
      <xdr:colOff>130885</xdr:colOff>
      <xdr:row>13</xdr:row>
      <xdr:rowOff>162596</xdr:rowOff>
    </xdr:from>
    <xdr:to>
      <xdr:col>29</xdr:col>
      <xdr:colOff>112058</xdr:colOff>
      <xdr:row>39</xdr:row>
      <xdr:rowOff>112506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9407C82-F7A8-40E1-8D4D-DC6FA9F2A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139963</xdr:colOff>
      <xdr:row>15</xdr:row>
      <xdr:rowOff>71267</xdr:rowOff>
    </xdr:from>
    <xdr:ext cx="1660600" cy="257737"/>
    <xdr:sp macro="" textlink="">
      <xdr:nvSpPr>
        <xdr:cNvPr id="16" name="Rectangle: Rounded Corners 15" descr=" zc z">
          <a:extLst>
            <a:ext uri="{FF2B5EF4-FFF2-40B4-BE49-F238E27FC236}">
              <a16:creationId xmlns:a16="http://schemas.microsoft.com/office/drawing/2014/main" id="{383F33A6-D1F0-4B53-9336-F5FB016BE7C1}"/>
            </a:ext>
          </a:extLst>
        </xdr:cNvPr>
        <xdr:cNvSpPr/>
      </xdr:nvSpPr>
      <xdr:spPr>
        <a:xfrm>
          <a:off x="2157022" y="2760679"/>
          <a:ext cx="1660600" cy="25773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WEEKLY</a:t>
          </a:r>
          <a:r>
            <a:rPr lang="en-US" sz="1400" b="1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 TOTAL =</a:t>
          </a:r>
          <a:endParaRPr lang="en-US" sz="1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37</xdr:col>
      <xdr:colOff>87965</xdr:colOff>
      <xdr:row>15</xdr:row>
      <xdr:rowOff>35524</xdr:rowOff>
    </xdr:from>
    <xdr:ext cx="1667772" cy="263225"/>
    <xdr:sp macro="" textlink="">
      <xdr:nvSpPr>
        <xdr:cNvPr id="17" name="Rectangle: Rounded Corners 16" descr=" zc z">
          <a:extLst>
            <a:ext uri="{FF2B5EF4-FFF2-40B4-BE49-F238E27FC236}">
              <a16:creationId xmlns:a16="http://schemas.microsoft.com/office/drawing/2014/main" id="{2FE6D8D7-E036-4129-BBC3-49B9AEA3869F}"/>
            </a:ext>
          </a:extLst>
        </xdr:cNvPr>
        <xdr:cNvSpPr/>
      </xdr:nvSpPr>
      <xdr:spPr>
        <a:xfrm>
          <a:off x="8492377" y="2724936"/>
          <a:ext cx="1667772" cy="2632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TOTAL                 =</a:t>
          </a:r>
        </a:p>
      </xdr:txBody>
    </xdr:sp>
    <xdr:clientData/>
  </xdr:oneCellAnchor>
  <xdr:oneCellAnchor>
    <xdr:from>
      <xdr:col>17</xdr:col>
      <xdr:colOff>56030</xdr:colOff>
      <xdr:row>15</xdr:row>
      <xdr:rowOff>71046</xdr:rowOff>
    </xdr:from>
    <xdr:ext cx="1290805" cy="255830"/>
    <xdr:sp macro="" textlink="'Delivery Report'!B30">
      <xdr:nvSpPr>
        <xdr:cNvPr id="18" name="Rectangle: Rounded Corners 17" descr=" zc z">
          <a:extLst>
            <a:ext uri="{FF2B5EF4-FFF2-40B4-BE49-F238E27FC236}">
              <a16:creationId xmlns:a16="http://schemas.microsoft.com/office/drawing/2014/main" id="{18B8F0BA-AC96-41DD-9018-5363C45D88B5}"/>
            </a:ext>
          </a:extLst>
        </xdr:cNvPr>
        <xdr:cNvSpPr/>
      </xdr:nvSpPr>
      <xdr:spPr>
        <a:xfrm>
          <a:off x="3866030" y="2760458"/>
          <a:ext cx="1290805" cy="255830"/>
        </a:xfrm>
        <a:prstGeom prst="roundRect">
          <a:avLst/>
        </a:prstGeom>
        <a:solidFill>
          <a:srgbClr val="FFFF0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05DAD157-9731-48B1-B5DF-B64E95403945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£0.00</a:t>
          </a:fld>
          <a:endParaRPr lang="en-US" sz="18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44</xdr:col>
      <xdr:colOff>168089</xdr:colOff>
      <xdr:row>15</xdr:row>
      <xdr:rowOff>35523</xdr:rowOff>
    </xdr:from>
    <xdr:ext cx="1288901" cy="257735"/>
    <xdr:sp macro="" textlink="'Delivery Report'!C30">
      <xdr:nvSpPr>
        <xdr:cNvPr id="19" name="Rectangle: Rounded Corners 18" descr=" zc z">
          <a:extLst>
            <a:ext uri="{FF2B5EF4-FFF2-40B4-BE49-F238E27FC236}">
              <a16:creationId xmlns:a16="http://schemas.microsoft.com/office/drawing/2014/main" id="{D0D79088-FA9D-4D90-A30C-388DF59027B5}"/>
            </a:ext>
          </a:extLst>
        </xdr:cNvPr>
        <xdr:cNvSpPr/>
      </xdr:nvSpPr>
      <xdr:spPr>
        <a:xfrm>
          <a:off x="10219765" y="2724935"/>
          <a:ext cx="1288901" cy="257735"/>
        </a:xfrm>
        <a:prstGeom prst="roundRect">
          <a:avLst/>
        </a:prstGeom>
        <a:solidFill>
          <a:srgbClr val="FFFF0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7EFE9440-B283-4E84-9C5A-7AAC75728630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£0.00</a:t>
          </a:fld>
          <a:endParaRPr lang="en-US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28</xdr:col>
      <xdr:colOff>1905</xdr:colOff>
      <xdr:row>13</xdr:row>
      <xdr:rowOff>82252</xdr:rowOff>
    </xdr:from>
    <xdr:to>
      <xdr:col>59</xdr:col>
      <xdr:colOff>1905</xdr:colOff>
      <xdr:row>39</xdr:row>
      <xdr:rowOff>147583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885E2EA4-B0F6-4B55-A672-53E4577DC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45</xdr:col>
      <xdr:colOff>112059</xdr:colOff>
      <xdr:row>42</xdr:row>
      <xdr:rowOff>94914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7B2E531-754D-4985-BE19-D9BC91D42F06}"/>
            </a:ext>
          </a:extLst>
        </xdr:cNvPr>
        <xdr:cNvSpPr/>
      </xdr:nvSpPr>
      <xdr:spPr>
        <a:xfrm>
          <a:off x="0" y="0"/>
          <a:ext cx="10399059" cy="7625267"/>
        </a:xfrm>
        <a:custGeom>
          <a:avLst/>
          <a:gdLst>
            <a:gd name="csX0" fmla="*/ 0 w 10399059"/>
            <a:gd name="csY0" fmla="*/ 0 h 7625267"/>
            <a:gd name="csX1" fmla="*/ 473735 w 10399059"/>
            <a:gd name="csY1" fmla="*/ 0 h 7625267"/>
            <a:gd name="csX2" fmla="*/ 1155451 w 10399059"/>
            <a:gd name="csY2" fmla="*/ 0 h 7625267"/>
            <a:gd name="csX3" fmla="*/ 1629186 w 10399059"/>
            <a:gd name="csY3" fmla="*/ 0 h 7625267"/>
            <a:gd name="csX4" fmla="*/ 1894940 w 10399059"/>
            <a:gd name="csY4" fmla="*/ 0 h 7625267"/>
            <a:gd name="csX5" fmla="*/ 2368675 w 10399059"/>
            <a:gd name="csY5" fmla="*/ 0 h 7625267"/>
            <a:gd name="csX6" fmla="*/ 3050391 w 10399059"/>
            <a:gd name="csY6" fmla="*/ 0 h 7625267"/>
            <a:gd name="csX7" fmla="*/ 3836097 w 10399059"/>
            <a:gd name="csY7" fmla="*/ 0 h 7625267"/>
            <a:gd name="csX8" fmla="*/ 4101851 w 10399059"/>
            <a:gd name="csY8" fmla="*/ 0 h 7625267"/>
            <a:gd name="csX9" fmla="*/ 4367605 w 10399059"/>
            <a:gd name="csY9" fmla="*/ 0 h 7625267"/>
            <a:gd name="csX10" fmla="*/ 5153311 w 10399059"/>
            <a:gd name="csY10" fmla="*/ 0 h 7625267"/>
            <a:gd name="csX11" fmla="*/ 5419065 w 10399059"/>
            <a:gd name="csY11" fmla="*/ 0 h 7625267"/>
            <a:gd name="csX12" fmla="*/ 5996791 w 10399059"/>
            <a:gd name="csY12" fmla="*/ 0 h 7625267"/>
            <a:gd name="csX13" fmla="*/ 6366535 w 10399059"/>
            <a:gd name="csY13" fmla="*/ 0 h 7625267"/>
            <a:gd name="csX14" fmla="*/ 6736279 w 10399059"/>
            <a:gd name="csY14" fmla="*/ 0 h 7625267"/>
            <a:gd name="csX15" fmla="*/ 7106024 w 10399059"/>
            <a:gd name="csY15" fmla="*/ 0 h 7625267"/>
            <a:gd name="csX16" fmla="*/ 7475768 w 10399059"/>
            <a:gd name="csY16" fmla="*/ 0 h 7625267"/>
            <a:gd name="csX17" fmla="*/ 7949503 w 10399059"/>
            <a:gd name="csY17" fmla="*/ 0 h 7625267"/>
            <a:gd name="csX18" fmla="*/ 8319247 w 10399059"/>
            <a:gd name="csY18" fmla="*/ 0 h 7625267"/>
            <a:gd name="csX19" fmla="*/ 8792982 w 10399059"/>
            <a:gd name="csY19" fmla="*/ 0 h 7625267"/>
            <a:gd name="csX20" fmla="*/ 9474698 w 10399059"/>
            <a:gd name="csY20" fmla="*/ 0 h 7625267"/>
            <a:gd name="csX21" fmla="*/ 9844443 w 10399059"/>
            <a:gd name="csY21" fmla="*/ 0 h 7625267"/>
            <a:gd name="csX22" fmla="*/ 10399059 w 10399059"/>
            <a:gd name="csY22" fmla="*/ 0 h 7625267"/>
            <a:gd name="csX23" fmla="*/ 10399059 w 10399059"/>
            <a:gd name="csY23" fmla="*/ 739064 h 7625267"/>
            <a:gd name="csX24" fmla="*/ 10399059 w 10399059"/>
            <a:gd name="csY24" fmla="*/ 1478129 h 7625267"/>
            <a:gd name="csX25" fmla="*/ 10399059 w 10399059"/>
            <a:gd name="csY25" fmla="*/ 1835930 h 7625267"/>
            <a:gd name="csX26" fmla="*/ 10399059 w 10399059"/>
            <a:gd name="csY26" fmla="*/ 2269983 h 7625267"/>
            <a:gd name="csX27" fmla="*/ 10399059 w 10399059"/>
            <a:gd name="csY27" fmla="*/ 2856542 h 7625267"/>
            <a:gd name="csX28" fmla="*/ 10399059 w 10399059"/>
            <a:gd name="csY28" fmla="*/ 3519354 h 7625267"/>
            <a:gd name="csX29" fmla="*/ 10399059 w 10399059"/>
            <a:gd name="csY29" fmla="*/ 4029660 h 7625267"/>
            <a:gd name="csX30" fmla="*/ 10399059 w 10399059"/>
            <a:gd name="csY30" fmla="*/ 4463714 h 7625267"/>
            <a:gd name="csX31" fmla="*/ 10399059 w 10399059"/>
            <a:gd name="csY31" fmla="*/ 4897768 h 7625267"/>
            <a:gd name="csX32" fmla="*/ 10399059 w 10399059"/>
            <a:gd name="csY32" fmla="*/ 5560579 h 7625267"/>
            <a:gd name="csX33" fmla="*/ 10399059 w 10399059"/>
            <a:gd name="csY33" fmla="*/ 5918380 h 7625267"/>
            <a:gd name="csX34" fmla="*/ 10399059 w 10399059"/>
            <a:gd name="csY34" fmla="*/ 6428687 h 7625267"/>
            <a:gd name="csX35" fmla="*/ 10399059 w 10399059"/>
            <a:gd name="csY35" fmla="*/ 7015246 h 7625267"/>
            <a:gd name="csX36" fmla="*/ 10399059 w 10399059"/>
            <a:gd name="csY36" fmla="*/ 7625267 h 7625267"/>
            <a:gd name="csX37" fmla="*/ 9613352 w 10399059"/>
            <a:gd name="csY37" fmla="*/ 7625267 h 7625267"/>
            <a:gd name="csX38" fmla="*/ 9347599 w 10399059"/>
            <a:gd name="csY38" fmla="*/ 7625267 h 7625267"/>
            <a:gd name="csX39" fmla="*/ 9081845 w 10399059"/>
            <a:gd name="csY39" fmla="*/ 7625267 h 7625267"/>
            <a:gd name="csX40" fmla="*/ 8296138 w 10399059"/>
            <a:gd name="csY40" fmla="*/ 7625267 h 7625267"/>
            <a:gd name="csX41" fmla="*/ 7822403 w 10399059"/>
            <a:gd name="csY41" fmla="*/ 7625267 h 7625267"/>
            <a:gd name="csX42" fmla="*/ 7036697 w 10399059"/>
            <a:gd name="csY42" fmla="*/ 7625267 h 7625267"/>
            <a:gd name="csX43" fmla="*/ 6458971 w 10399059"/>
            <a:gd name="csY43" fmla="*/ 7625267 h 7625267"/>
            <a:gd name="csX44" fmla="*/ 6193217 w 10399059"/>
            <a:gd name="csY44" fmla="*/ 7625267 h 7625267"/>
            <a:gd name="csX45" fmla="*/ 5823473 w 10399059"/>
            <a:gd name="csY45" fmla="*/ 7625267 h 7625267"/>
            <a:gd name="csX46" fmla="*/ 5349738 w 10399059"/>
            <a:gd name="csY46" fmla="*/ 7625267 h 7625267"/>
            <a:gd name="csX47" fmla="*/ 4668022 w 10399059"/>
            <a:gd name="csY47" fmla="*/ 7625267 h 7625267"/>
            <a:gd name="csX48" fmla="*/ 3986306 w 10399059"/>
            <a:gd name="csY48" fmla="*/ 7625267 h 7625267"/>
            <a:gd name="csX49" fmla="*/ 3408580 w 10399059"/>
            <a:gd name="csY49" fmla="*/ 7625267 h 7625267"/>
            <a:gd name="csX50" fmla="*/ 2934846 w 10399059"/>
            <a:gd name="csY50" fmla="*/ 7625267 h 7625267"/>
            <a:gd name="csX51" fmla="*/ 2149139 w 10399059"/>
            <a:gd name="csY51" fmla="*/ 7625267 h 7625267"/>
            <a:gd name="csX52" fmla="*/ 1571413 w 10399059"/>
            <a:gd name="csY52" fmla="*/ 7625267 h 7625267"/>
            <a:gd name="csX53" fmla="*/ 1201669 w 10399059"/>
            <a:gd name="csY53" fmla="*/ 7625267 h 7625267"/>
            <a:gd name="csX54" fmla="*/ 831925 w 10399059"/>
            <a:gd name="csY54" fmla="*/ 7625267 h 7625267"/>
            <a:gd name="csX55" fmla="*/ 566171 w 10399059"/>
            <a:gd name="csY55" fmla="*/ 7625267 h 7625267"/>
            <a:gd name="csX56" fmla="*/ 0 w 10399059"/>
            <a:gd name="csY56" fmla="*/ 7625267 h 7625267"/>
            <a:gd name="csX57" fmla="*/ 0 w 10399059"/>
            <a:gd name="csY57" fmla="*/ 7191213 h 7625267"/>
            <a:gd name="csX58" fmla="*/ 0 w 10399059"/>
            <a:gd name="csY58" fmla="*/ 6757160 h 7625267"/>
            <a:gd name="csX59" fmla="*/ 0 w 10399059"/>
            <a:gd name="csY59" fmla="*/ 6094348 h 7625267"/>
            <a:gd name="csX60" fmla="*/ 0 w 10399059"/>
            <a:gd name="csY60" fmla="*/ 5431536 h 7625267"/>
            <a:gd name="csX61" fmla="*/ 0 w 10399059"/>
            <a:gd name="csY61" fmla="*/ 4768725 h 7625267"/>
            <a:gd name="csX62" fmla="*/ 0 w 10399059"/>
            <a:gd name="csY62" fmla="*/ 4410924 h 7625267"/>
            <a:gd name="csX63" fmla="*/ 0 w 10399059"/>
            <a:gd name="csY63" fmla="*/ 3976870 h 7625267"/>
            <a:gd name="csX64" fmla="*/ 0 w 10399059"/>
            <a:gd name="csY64" fmla="*/ 3314058 h 7625267"/>
            <a:gd name="csX65" fmla="*/ 0 w 10399059"/>
            <a:gd name="csY65" fmla="*/ 2574994 h 7625267"/>
            <a:gd name="csX66" fmla="*/ 0 w 10399059"/>
            <a:gd name="csY66" fmla="*/ 1835930 h 7625267"/>
            <a:gd name="csX67" fmla="*/ 0 w 10399059"/>
            <a:gd name="csY67" fmla="*/ 1249371 h 7625267"/>
            <a:gd name="csX68" fmla="*/ 0 w 10399059"/>
            <a:gd name="csY68" fmla="*/ 739064 h 7625267"/>
            <a:gd name="csX69" fmla="*/ 0 w 10399059"/>
            <a:gd name="csY69" fmla="*/ 0 h 762526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</a:cxnLst>
          <a:rect l="l" t="t" r="r" b="b"/>
          <a:pathLst>
            <a:path w="10399059" h="7625267" fill="none" extrusionOk="0">
              <a:moveTo>
                <a:pt x="0" y="0"/>
              </a:moveTo>
              <a:cubicBezTo>
                <a:pt x="104567" y="-10372"/>
                <a:pt x="297490" y="35280"/>
                <a:pt x="473735" y="0"/>
              </a:cubicBezTo>
              <a:cubicBezTo>
                <a:pt x="649980" y="-35280"/>
                <a:pt x="849999" y="33628"/>
                <a:pt x="1155451" y="0"/>
              </a:cubicBezTo>
              <a:cubicBezTo>
                <a:pt x="1460903" y="-33628"/>
                <a:pt x="1393939" y="24827"/>
                <a:pt x="1629186" y="0"/>
              </a:cubicBezTo>
              <a:cubicBezTo>
                <a:pt x="1864434" y="-24827"/>
                <a:pt x="1782770" y="9389"/>
                <a:pt x="1894940" y="0"/>
              </a:cubicBezTo>
              <a:cubicBezTo>
                <a:pt x="2007110" y="-9389"/>
                <a:pt x="2207292" y="42602"/>
                <a:pt x="2368675" y="0"/>
              </a:cubicBezTo>
              <a:cubicBezTo>
                <a:pt x="2530059" y="-42602"/>
                <a:pt x="2780071" y="56969"/>
                <a:pt x="3050391" y="0"/>
              </a:cubicBezTo>
              <a:cubicBezTo>
                <a:pt x="3320711" y="-56969"/>
                <a:pt x="3520425" y="50525"/>
                <a:pt x="3836097" y="0"/>
              </a:cubicBezTo>
              <a:cubicBezTo>
                <a:pt x="4151769" y="-50525"/>
                <a:pt x="3971867" y="30393"/>
                <a:pt x="4101851" y="0"/>
              </a:cubicBezTo>
              <a:cubicBezTo>
                <a:pt x="4231835" y="-30393"/>
                <a:pt x="4296172" y="9391"/>
                <a:pt x="4367605" y="0"/>
              </a:cubicBezTo>
              <a:cubicBezTo>
                <a:pt x="4439038" y="-9391"/>
                <a:pt x="4908421" y="43395"/>
                <a:pt x="5153311" y="0"/>
              </a:cubicBezTo>
              <a:cubicBezTo>
                <a:pt x="5398201" y="-43395"/>
                <a:pt x="5353222" y="14031"/>
                <a:pt x="5419065" y="0"/>
              </a:cubicBezTo>
              <a:cubicBezTo>
                <a:pt x="5484908" y="-14031"/>
                <a:pt x="5843104" y="3275"/>
                <a:pt x="5996791" y="0"/>
              </a:cubicBezTo>
              <a:cubicBezTo>
                <a:pt x="6150478" y="-3275"/>
                <a:pt x="6192374" y="31745"/>
                <a:pt x="6366535" y="0"/>
              </a:cubicBezTo>
              <a:cubicBezTo>
                <a:pt x="6540696" y="-31745"/>
                <a:pt x="6628878" y="38582"/>
                <a:pt x="6736279" y="0"/>
              </a:cubicBezTo>
              <a:cubicBezTo>
                <a:pt x="6843680" y="-38582"/>
                <a:pt x="6984155" y="2569"/>
                <a:pt x="7106024" y="0"/>
              </a:cubicBezTo>
              <a:cubicBezTo>
                <a:pt x="7227893" y="-2569"/>
                <a:pt x="7389170" y="20096"/>
                <a:pt x="7475768" y="0"/>
              </a:cubicBezTo>
              <a:cubicBezTo>
                <a:pt x="7562366" y="-20096"/>
                <a:pt x="7718282" y="43313"/>
                <a:pt x="7949503" y="0"/>
              </a:cubicBezTo>
              <a:cubicBezTo>
                <a:pt x="8180725" y="-43313"/>
                <a:pt x="8151332" y="17729"/>
                <a:pt x="8319247" y="0"/>
              </a:cubicBezTo>
              <a:cubicBezTo>
                <a:pt x="8487162" y="-17729"/>
                <a:pt x="8570458" y="45978"/>
                <a:pt x="8792982" y="0"/>
              </a:cubicBezTo>
              <a:cubicBezTo>
                <a:pt x="9015506" y="-45978"/>
                <a:pt x="9182756" y="81662"/>
                <a:pt x="9474698" y="0"/>
              </a:cubicBezTo>
              <a:cubicBezTo>
                <a:pt x="9766640" y="-81662"/>
                <a:pt x="9763624" y="28460"/>
                <a:pt x="9844443" y="0"/>
              </a:cubicBezTo>
              <a:cubicBezTo>
                <a:pt x="9925262" y="-28460"/>
                <a:pt x="10142270" y="37155"/>
                <a:pt x="10399059" y="0"/>
              </a:cubicBezTo>
              <a:cubicBezTo>
                <a:pt x="10415751" y="174553"/>
                <a:pt x="10320178" y="424750"/>
                <a:pt x="10399059" y="739064"/>
              </a:cubicBezTo>
              <a:cubicBezTo>
                <a:pt x="10477940" y="1053378"/>
                <a:pt x="10370468" y="1122060"/>
                <a:pt x="10399059" y="1478129"/>
              </a:cubicBezTo>
              <a:cubicBezTo>
                <a:pt x="10427650" y="1834199"/>
                <a:pt x="10390117" y="1704641"/>
                <a:pt x="10399059" y="1835930"/>
              </a:cubicBezTo>
              <a:cubicBezTo>
                <a:pt x="10408001" y="1967219"/>
                <a:pt x="10386442" y="2180027"/>
                <a:pt x="10399059" y="2269983"/>
              </a:cubicBezTo>
              <a:cubicBezTo>
                <a:pt x="10411676" y="2359939"/>
                <a:pt x="10389613" y="2660424"/>
                <a:pt x="10399059" y="2856542"/>
              </a:cubicBezTo>
              <a:cubicBezTo>
                <a:pt x="10408505" y="3052660"/>
                <a:pt x="10397818" y="3257582"/>
                <a:pt x="10399059" y="3519354"/>
              </a:cubicBezTo>
              <a:cubicBezTo>
                <a:pt x="10400300" y="3781126"/>
                <a:pt x="10352573" y="3814109"/>
                <a:pt x="10399059" y="4029660"/>
              </a:cubicBezTo>
              <a:cubicBezTo>
                <a:pt x="10445545" y="4245211"/>
                <a:pt x="10349855" y="4257497"/>
                <a:pt x="10399059" y="4463714"/>
              </a:cubicBezTo>
              <a:cubicBezTo>
                <a:pt x="10448263" y="4669931"/>
                <a:pt x="10385604" y="4752081"/>
                <a:pt x="10399059" y="4897768"/>
              </a:cubicBezTo>
              <a:cubicBezTo>
                <a:pt x="10412514" y="5043455"/>
                <a:pt x="10358825" y="5255876"/>
                <a:pt x="10399059" y="5560579"/>
              </a:cubicBezTo>
              <a:cubicBezTo>
                <a:pt x="10439293" y="5865282"/>
                <a:pt x="10373755" y="5761755"/>
                <a:pt x="10399059" y="5918380"/>
              </a:cubicBezTo>
              <a:cubicBezTo>
                <a:pt x="10424363" y="6075005"/>
                <a:pt x="10360087" y="6303138"/>
                <a:pt x="10399059" y="6428687"/>
              </a:cubicBezTo>
              <a:cubicBezTo>
                <a:pt x="10438031" y="6554236"/>
                <a:pt x="10362086" y="6877196"/>
                <a:pt x="10399059" y="7015246"/>
              </a:cubicBezTo>
              <a:cubicBezTo>
                <a:pt x="10436032" y="7153296"/>
                <a:pt x="10383982" y="7430394"/>
                <a:pt x="10399059" y="7625267"/>
              </a:cubicBezTo>
              <a:cubicBezTo>
                <a:pt x="10235057" y="7693814"/>
                <a:pt x="9916970" y="7603140"/>
                <a:pt x="9613352" y="7625267"/>
              </a:cubicBezTo>
              <a:cubicBezTo>
                <a:pt x="9309734" y="7647394"/>
                <a:pt x="9434978" y="7601854"/>
                <a:pt x="9347599" y="7625267"/>
              </a:cubicBezTo>
              <a:cubicBezTo>
                <a:pt x="9260220" y="7648680"/>
                <a:pt x="9183380" y="7595272"/>
                <a:pt x="9081845" y="7625267"/>
              </a:cubicBezTo>
              <a:cubicBezTo>
                <a:pt x="8980310" y="7655262"/>
                <a:pt x="8476938" y="7615187"/>
                <a:pt x="8296138" y="7625267"/>
              </a:cubicBezTo>
              <a:cubicBezTo>
                <a:pt x="8115338" y="7635347"/>
                <a:pt x="7978765" y="7600233"/>
                <a:pt x="7822403" y="7625267"/>
              </a:cubicBezTo>
              <a:cubicBezTo>
                <a:pt x="7666041" y="7650301"/>
                <a:pt x="7295962" y="7578827"/>
                <a:pt x="7036697" y="7625267"/>
              </a:cubicBezTo>
              <a:cubicBezTo>
                <a:pt x="6777432" y="7671707"/>
                <a:pt x="6588721" y="7606923"/>
                <a:pt x="6458971" y="7625267"/>
              </a:cubicBezTo>
              <a:cubicBezTo>
                <a:pt x="6329221" y="7643611"/>
                <a:pt x="6284953" y="7604198"/>
                <a:pt x="6193217" y="7625267"/>
              </a:cubicBezTo>
              <a:cubicBezTo>
                <a:pt x="6101481" y="7646336"/>
                <a:pt x="5962056" y="7591405"/>
                <a:pt x="5823473" y="7625267"/>
              </a:cubicBezTo>
              <a:cubicBezTo>
                <a:pt x="5684890" y="7659129"/>
                <a:pt x="5569850" y="7614851"/>
                <a:pt x="5349738" y="7625267"/>
              </a:cubicBezTo>
              <a:cubicBezTo>
                <a:pt x="5129626" y="7635683"/>
                <a:pt x="4940813" y="7578796"/>
                <a:pt x="4668022" y="7625267"/>
              </a:cubicBezTo>
              <a:cubicBezTo>
                <a:pt x="4395231" y="7671738"/>
                <a:pt x="4326394" y="7570942"/>
                <a:pt x="3986306" y="7625267"/>
              </a:cubicBezTo>
              <a:cubicBezTo>
                <a:pt x="3646218" y="7679592"/>
                <a:pt x="3676553" y="7587708"/>
                <a:pt x="3408580" y="7625267"/>
              </a:cubicBezTo>
              <a:cubicBezTo>
                <a:pt x="3140607" y="7662826"/>
                <a:pt x="3107778" y="7575126"/>
                <a:pt x="2934846" y="7625267"/>
              </a:cubicBezTo>
              <a:cubicBezTo>
                <a:pt x="2761914" y="7675408"/>
                <a:pt x="2475646" y="7556699"/>
                <a:pt x="2149139" y="7625267"/>
              </a:cubicBezTo>
              <a:cubicBezTo>
                <a:pt x="1822632" y="7693835"/>
                <a:pt x="1840094" y="7619000"/>
                <a:pt x="1571413" y="7625267"/>
              </a:cubicBezTo>
              <a:cubicBezTo>
                <a:pt x="1302732" y="7631534"/>
                <a:pt x="1374606" y="7590593"/>
                <a:pt x="1201669" y="7625267"/>
              </a:cubicBezTo>
              <a:cubicBezTo>
                <a:pt x="1028732" y="7659941"/>
                <a:pt x="947226" y="7614719"/>
                <a:pt x="831925" y="7625267"/>
              </a:cubicBezTo>
              <a:cubicBezTo>
                <a:pt x="716624" y="7635815"/>
                <a:pt x="645057" y="7612927"/>
                <a:pt x="566171" y="7625267"/>
              </a:cubicBezTo>
              <a:cubicBezTo>
                <a:pt x="487285" y="7637607"/>
                <a:pt x="259646" y="7575869"/>
                <a:pt x="0" y="7625267"/>
              </a:cubicBezTo>
              <a:cubicBezTo>
                <a:pt x="-18948" y="7448391"/>
                <a:pt x="18518" y="7346628"/>
                <a:pt x="0" y="7191213"/>
              </a:cubicBezTo>
              <a:cubicBezTo>
                <a:pt x="-18518" y="7035798"/>
                <a:pt x="50217" y="6960849"/>
                <a:pt x="0" y="6757160"/>
              </a:cubicBezTo>
              <a:cubicBezTo>
                <a:pt x="-50217" y="6553471"/>
                <a:pt x="38652" y="6319759"/>
                <a:pt x="0" y="6094348"/>
              </a:cubicBezTo>
              <a:cubicBezTo>
                <a:pt x="-38652" y="5868937"/>
                <a:pt x="78889" y="5753761"/>
                <a:pt x="0" y="5431536"/>
              </a:cubicBezTo>
              <a:cubicBezTo>
                <a:pt x="-78889" y="5109311"/>
                <a:pt x="2920" y="5086363"/>
                <a:pt x="0" y="4768725"/>
              </a:cubicBezTo>
              <a:cubicBezTo>
                <a:pt x="-2920" y="4451087"/>
                <a:pt x="8329" y="4551222"/>
                <a:pt x="0" y="4410924"/>
              </a:cubicBezTo>
              <a:cubicBezTo>
                <a:pt x="-8329" y="4270626"/>
                <a:pt x="8780" y="4186815"/>
                <a:pt x="0" y="3976870"/>
              </a:cubicBezTo>
              <a:cubicBezTo>
                <a:pt x="-8780" y="3766925"/>
                <a:pt x="61722" y="3603131"/>
                <a:pt x="0" y="3314058"/>
              </a:cubicBezTo>
              <a:cubicBezTo>
                <a:pt x="-61722" y="3024985"/>
                <a:pt x="18897" y="2843194"/>
                <a:pt x="0" y="2574994"/>
              </a:cubicBezTo>
              <a:cubicBezTo>
                <a:pt x="-18897" y="2306794"/>
                <a:pt x="48102" y="2049019"/>
                <a:pt x="0" y="1835930"/>
              </a:cubicBezTo>
              <a:cubicBezTo>
                <a:pt x="-48102" y="1622841"/>
                <a:pt x="64031" y="1418052"/>
                <a:pt x="0" y="1249371"/>
              </a:cubicBezTo>
              <a:cubicBezTo>
                <a:pt x="-64031" y="1080690"/>
                <a:pt x="17989" y="956346"/>
                <a:pt x="0" y="739064"/>
              </a:cubicBezTo>
              <a:cubicBezTo>
                <a:pt x="-17989" y="521782"/>
                <a:pt x="53910" y="268008"/>
                <a:pt x="0" y="0"/>
              </a:cubicBezTo>
              <a:close/>
            </a:path>
            <a:path w="10399059" h="7625267" stroke="0" extrusionOk="0">
              <a:moveTo>
                <a:pt x="0" y="0"/>
              </a:moveTo>
              <a:cubicBezTo>
                <a:pt x="158744" y="-36736"/>
                <a:pt x="245359" y="10749"/>
                <a:pt x="473735" y="0"/>
              </a:cubicBezTo>
              <a:cubicBezTo>
                <a:pt x="702111" y="-10749"/>
                <a:pt x="662257" y="13169"/>
                <a:pt x="739489" y="0"/>
              </a:cubicBezTo>
              <a:cubicBezTo>
                <a:pt x="816721" y="-13169"/>
                <a:pt x="1364532" y="50508"/>
                <a:pt x="1525195" y="0"/>
              </a:cubicBezTo>
              <a:cubicBezTo>
                <a:pt x="1685858" y="-50508"/>
                <a:pt x="1875792" y="2351"/>
                <a:pt x="1998930" y="0"/>
              </a:cubicBezTo>
              <a:cubicBezTo>
                <a:pt x="2122068" y="-2351"/>
                <a:pt x="2328219" y="10757"/>
                <a:pt x="2472665" y="0"/>
              </a:cubicBezTo>
              <a:cubicBezTo>
                <a:pt x="2617112" y="-10757"/>
                <a:pt x="2879404" y="10909"/>
                <a:pt x="3258372" y="0"/>
              </a:cubicBezTo>
              <a:cubicBezTo>
                <a:pt x="3637340" y="-10909"/>
                <a:pt x="3474592" y="26799"/>
                <a:pt x="3628116" y="0"/>
              </a:cubicBezTo>
              <a:cubicBezTo>
                <a:pt x="3781640" y="-26799"/>
                <a:pt x="4182224" y="35719"/>
                <a:pt x="4413823" y="0"/>
              </a:cubicBezTo>
              <a:cubicBezTo>
                <a:pt x="4645422" y="-35719"/>
                <a:pt x="4839084" y="24038"/>
                <a:pt x="5199529" y="0"/>
              </a:cubicBezTo>
              <a:cubicBezTo>
                <a:pt x="5559974" y="-24038"/>
                <a:pt x="5620206" y="32349"/>
                <a:pt x="5777255" y="0"/>
              </a:cubicBezTo>
              <a:cubicBezTo>
                <a:pt x="5934304" y="-32349"/>
                <a:pt x="6207974" y="91137"/>
                <a:pt x="6562962" y="0"/>
              </a:cubicBezTo>
              <a:cubicBezTo>
                <a:pt x="6917950" y="-91137"/>
                <a:pt x="6834664" y="31051"/>
                <a:pt x="7036697" y="0"/>
              </a:cubicBezTo>
              <a:cubicBezTo>
                <a:pt x="7238731" y="-31051"/>
                <a:pt x="7343052" y="31877"/>
                <a:pt x="7510432" y="0"/>
              </a:cubicBezTo>
              <a:cubicBezTo>
                <a:pt x="7677813" y="-31877"/>
                <a:pt x="8050668" y="57801"/>
                <a:pt x="8192148" y="0"/>
              </a:cubicBezTo>
              <a:cubicBezTo>
                <a:pt x="8333628" y="-57801"/>
                <a:pt x="8511093" y="49930"/>
                <a:pt x="8665883" y="0"/>
              </a:cubicBezTo>
              <a:cubicBezTo>
                <a:pt x="8820674" y="-49930"/>
                <a:pt x="9196993" y="76526"/>
                <a:pt x="9451589" y="0"/>
              </a:cubicBezTo>
              <a:cubicBezTo>
                <a:pt x="9706185" y="-76526"/>
                <a:pt x="10191771" y="89270"/>
                <a:pt x="10399059" y="0"/>
              </a:cubicBezTo>
              <a:cubicBezTo>
                <a:pt x="10419089" y="131666"/>
                <a:pt x="10342216" y="423774"/>
                <a:pt x="10399059" y="586559"/>
              </a:cubicBezTo>
              <a:cubicBezTo>
                <a:pt x="10455902" y="749344"/>
                <a:pt x="10336668" y="976681"/>
                <a:pt x="10399059" y="1249371"/>
              </a:cubicBezTo>
              <a:cubicBezTo>
                <a:pt x="10461450" y="1522061"/>
                <a:pt x="10378917" y="1500962"/>
                <a:pt x="10399059" y="1607172"/>
              </a:cubicBezTo>
              <a:cubicBezTo>
                <a:pt x="10419201" y="1713382"/>
                <a:pt x="10379942" y="1885579"/>
                <a:pt x="10399059" y="2041225"/>
              </a:cubicBezTo>
              <a:cubicBezTo>
                <a:pt x="10418176" y="2196871"/>
                <a:pt x="10341406" y="2515798"/>
                <a:pt x="10399059" y="2704037"/>
              </a:cubicBezTo>
              <a:cubicBezTo>
                <a:pt x="10456712" y="2892276"/>
                <a:pt x="10369569" y="2962155"/>
                <a:pt x="10399059" y="3214343"/>
              </a:cubicBezTo>
              <a:cubicBezTo>
                <a:pt x="10428549" y="3466531"/>
                <a:pt x="10359472" y="3449542"/>
                <a:pt x="10399059" y="3648397"/>
              </a:cubicBezTo>
              <a:cubicBezTo>
                <a:pt x="10438646" y="3847252"/>
                <a:pt x="10359638" y="4133416"/>
                <a:pt x="10399059" y="4311209"/>
              </a:cubicBezTo>
              <a:cubicBezTo>
                <a:pt x="10438480" y="4489002"/>
                <a:pt x="10390287" y="4692081"/>
                <a:pt x="10399059" y="4897768"/>
              </a:cubicBezTo>
              <a:cubicBezTo>
                <a:pt x="10407831" y="5103455"/>
                <a:pt x="10363691" y="5198932"/>
                <a:pt x="10399059" y="5484327"/>
              </a:cubicBezTo>
              <a:cubicBezTo>
                <a:pt x="10434427" y="5769722"/>
                <a:pt x="10385099" y="5917570"/>
                <a:pt x="10399059" y="6223391"/>
              </a:cubicBezTo>
              <a:cubicBezTo>
                <a:pt x="10413019" y="6529212"/>
                <a:pt x="10344023" y="6684014"/>
                <a:pt x="10399059" y="6886203"/>
              </a:cubicBezTo>
              <a:cubicBezTo>
                <a:pt x="10454095" y="7088392"/>
                <a:pt x="10364308" y="7432053"/>
                <a:pt x="10399059" y="7625267"/>
              </a:cubicBezTo>
              <a:cubicBezTo>
                <a:pt x="10192753" y="7679746"/>
                <a:pt x="10134612" y="7618605"/>
                <a:pt x="9925324" y="7625267"/>
              </a:cubicBezTo>
              <a:cubicBezTo>
                <a:pt x="9716036" y="7631929"/>
                <a:pt x="9732616" y="7614383"/>
                <a:pt x="9659570" y="7625267"/>
              </a:cubicBezTo>
              <a:cubicBezTo>
                <a:pt x="9586524" y="7636151"/>
                <a:pt x="9133110" y="7616986"/>
                <a:pt x="8977854" y="7625267"/>
              </a:cubicBezTo>
              <a:cubicBezTo>
                <a:pt x="8822598" y="7633548"/>
                <a:pt x="8708110" y="7584833"/>
                <a:pt x="8608110" y="7625267"/>
              </a:cubicBezTo>
              <a:cubicBezTo>
                <a:pt x="8508110" y="7665701"/>
                <a:pt x="8454627" y="7619240"/>
                <a:pt x="8342356" y="7625267"/>
              </a:cubicBezTo>
              <a:cubicBezTo>
                <a:pt x="8230085" y="7631294"/>
                <a:pt x="8082332" y="7616762"/>
                <a:pt x="7972612" y="7625267"/>
              </a:cubicBezTo>
              <a:cubicBezTo>
                <a:pt x="7862892" y="7633772"/>
                <a:pt x="7622058" y="7621684"/>
                <a:pt x="7290896" y="7625267"/>
              </a:cubicBezTo>
              <a:cubicBezTo>
                <a:pt x="6959734" y="7628850"/>
                <a:pt x="7051291" y="7608299"/>
                <a:pt x="6921151" y="7625267"/>
              </a:cubicBezTo>
              <a:cubicBezTo>
                <a:pt x="6791011" y="7642235"/>
                <a:pt x="6738887" y="7598402"/>
                <a:pt x="6655398" y="7625267"/>
              </a:cubicBezTo>
              <a:cubicBezTo>
                <a:pt x="6571909" y="7652132"/>
                <a:pt x="6468737" y="7613032"/>
                <a:pt x="6285653" y="7625267"/>
              </a:cubicBezTo>
              <a:cubicBezTo>
                <a:pt x="6102569" y="7637502"/>
                <a:pt x="5929206" y="7610670"/>
                <a:pt x="5811919" y="7625267"/>
              </a:cubicBezTo>
              <a:cubicBezTo>
                <a:pt x="5694632" y="7639864"/>
                <a:pt x="5371154" y="7580158"/>
                <a:pt x="5234193" y="7625267"/>
              </a:cubicBezTo>
              <a:cubicBezTo>
                <a:pt x="5097232" y="7670376"/>
                <a:pt x="4945680" y="7607561"/>
                <a:pt x="4864449" y="7625267"/>
              </a:cubicBezTo>
              <a:cubicBezTo>
                <a:pt x="4783218" y="7642973"/>
                <a:pt x="4310454" y="7535437"/>
                <a:pt x="4078742" y="7625267"/>
              </a:cubicBezTo>
              <a:cubicBezTo>
                <a:pt x="3847030" y="7715097"/>
                <a:pt x="3648300" y="7615934"/>
                <a:pt x="3501017" y="7625267"/>
              </a:cubicBezTo>
              <a:cubicBezTo>
                <a:pt x="3353734" y="7634600"/>
                <a:pt x="2958239" y="7620615"/>
                <a:pt x="2715310" y="7625267"/>
              </a:cubicBezTo>
              <a:cubicBezTo>
                <a:pt x="2472381" y="7629919"/>
                <a:pt x="2199110" y="7567338"/>
                <a:pt x="2033594" y="7625267"/>
              </a:cubicBezTo>
              <a:cubicBezTo>
                <a:pt x="1868078" y="7683196"/>
                <a:pt x="1780589" y="7576158"/>
                <a:pt x="1559859" y="7625267"/>
              </a:cubicBezTo>
              <a:cubicBezTo>
                <a:pt x="1339130" y="7674376"/>
                <a:pt x="1128657" y="7621140"/>
                <a:pt x="878143" y="7625267"/>
              </a:cubicBezTo>
              <a:cubicBezTo>
                <a:pt x="627629" y="7629394"/>
                <a:pt x="607892" y="7622566"/>
                <a:pt x="508398" y="7625267"/>
              </a:cubicBezTo>
              <a:cubicBezTo>
                <a:pt x="408904" y="7627968"/>
                <a:pt x="118858" y="7579909"/>
                <a:pt x="0" y="7625267"/>
              </a:cubicBezTo>
              <a:cubicBezTo>
                <a:pt x="-9109" y="7505353"/>
                <a:pt x="13744" y="7384286"/>
                <a:pt x="0" y="7267466"/>
              </a:cubicBezTo>
              <a:cubicBezTo>
                <a:pt x="-13744" y="7150646"/>
                <a:pt x="40748" y="6750344"/>
                <a:pt x="0" y="6528402"/>
              </a:cubicBezTo>
              <a:cubicBezTo>
                <a:pt x="-40748" y="6306460"/>
                <a:pt x="53507" y="6071587"/>
                <a:pt x="0" y="5865590"/>
              </a:cubicBezTo>
              <a:cubicBezTo>
                <a:pt x="-53507" y="5659593"/>
                <a:pt x="54532" y="5445651"/>
                <a:pt x="0" y="5202778"/>
              </a:cubicBezTo>
              <a:cubicBezTo>
                <a:pt x="-54532" y="4959905"/>
                <a:pt x="8896" y="4819658"/>
                <a:pt x="0" y="4539967"/>
              </a:cubicBezTo>
              <a:cubicBezTo>
                <a:pt x="-8896" y="4260276"/>
                <a:pt x="802" y="4267241"/>
                <a:pt x="0" y="4105913"/>
              </a:cubicBezTo>
              <a:cubicBezTo>
                <a:pt x="-802" y="3944585"/>
                <a:pt x="19581" y="3638979"/>
                <a:pt x="0" y="3366849"/>
              </a:cubicBezTo>
              <a:cubicBezTo>
                <a:pt x="-19581" y="3094719"/>
                <a:pt x="50697" y="2900960"/>
                <a:pt x="0" y="2780290"/>
              </a:cubicBezTo>
              <a:cubicBezTo>
                <a:pt x="-50697" y="2659620"/>
                <a:pt x="31296" y="2509178"/>
                <a:pt x="0" y="2422489"/>
              </a:cubicBezTo>
              <a:cubicBezTo>
                <a:pt x="-31296" y="2335800"/>
                <a:pt x="18332" y="2041054"/>
                <a:pt x="0" y="1835930"/>
              </a:cubicBezTo>
              <a:cubicBezTo>
                <a:pt x="-18332" y="1630806"/>
                <a:pt x="789" y="1460319"/>
                <a:pt x="0" y="1325623"/>
              </a:cubicBezTo>
              <a:cubicBezTo>
                <a:pt x="-789" y="1190927"/>
                <a:pt x="692" y="1039627"/>
                <a:pt x="0" y="815317"/>
              </a:cubicBezTo>
              <a:cubicBezTo>
                <a:pt x="-692" y="591007"/>
                <a:pt x="85058" y="169626"/>
                <a:pt x="0" y="0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accent4">
              <a:shade val="15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>
          <a:innerShdw blurRad="114300">
            <a:prstClr val="black"/>
          </a:innerShdw>
          <a:softEdge rad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16473</xdr:colOff>
      <xdr:row>0</xdr:row>
      <xdr:rowOff>172347</xdr:rowOff>
    </xdr:from>
    <xdr:to>
      <xdr:col>7</xdr:col>
      <xdr:colOff>203388</xdr:colOff>
      <xdr:row>5</xdr:row>
      <xdr:rowOff>138280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BEEE5C-5C78-4715-A70F-26573837FB4F}"/>
            </a:ext>
          </a:extLst>
        </xdr:cNvPr>
        <xdr:cNvSpPr/>
      </xdr:nvSpPr>
      <xdr:spPr>
        <a:xfrm>
          <a:off x="248883" y="168537"/>
          <a:ext cx="1558515" cy="870808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38</xdr:col>
      <xdr:colOff>25998</xdr:colOff>
      <xdr:row>1</xdr:row>
      <xdr:rowOff>18602</xdr:rowOff>
    </xdr:from>
    <xdr:ext cx="974913" cy="317575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823A9E29-4042-4B7B-9387-8FBD23994405}"/>
            </a:ext>
          </a:extLst>
        </xdr:cNvPr>
        <xdr:cNvSpPr/>
      </xdr:nvSpPr>
      <xdr:spPr>
        <a:xfrm>
          <a:off x="8665733" y="197896"/>
          <a:ext cx="97491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8CF23CD7-A6BE-4766-9AE0-55978D5B0FE6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30</xdr:col>
      <xdr:colOff>2126</xdr:colOff>
      <xdr:row>1</xdr:row>
      <xdr:rowOff>18601</xdr:rowOff>
    </xdr:from>
    <xdr:ext cx="1824432" cy="313765"/>
    <xdr:sp macro="" textlink="'CATEGORY TABLES'!AE2">
      <xdr:nvSpPr>
        <xdr:cNvPr id="5" name="Rectangle: Rounded Corners 4" descr=" zc z">
          <a:extLst>
            <a:ext uri="{FF2B5EF4-FFF2-40B4-BE49-F238E27FC236}">
              <a16:creationId xmlns:a16="http://schemas.microsoft.com/office/drawing/2014/main" id="{915737A6-237D-43DC-9BBA-01F107866781}"/>
            </a:ext>
          </a:extLst>
        </xdr:cNvPr>
        <xdr:cNvSpPr/>
      </xdr:nvSpPr>
      <xdr:spPr>
        <a:xfrm>
          <a:off x="6759273" y="197895"/>
          <a:ext cx="1824432" cy="31376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t>ACTIVITY COSTS</a:t>
          </a:r>
        </a:p>
      </xdr:txBody>
    </xdr:sp>
    <xdr:clientData/>
  </xdr:oneCellAnchor>
  <xdr:twoCellAnchor>
    <xdr:from>
      <xdr:col>24</xdr:col>
      <xdr:colOff>150720</xdr:colOff>
      <xdr:row>1</xdr:row>
      <xdr:rowOff>26222</xdr:rowOff>
    </xdr:from>
    <xdr:to>
      <xdr:col>29</xdr:col>
      <xdr:colOff>86062</xdr:colOff>
      <xdr:row>5</xdr:row>
      <xdr:rowOff>37427</xdr:rowOff>
    </xdr:to>
    <xdr:sp macro="[0]!CAlculat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EE7AD29-8AD3-47FB-AC0E-0DF81BD3C694}"/>
            </a:ext>
          </a:extLst>
        </xdr:cNvPr>
        <xdr:cNvSpPr/>
      </xdr:nvSpPr>
      <xdr:spPr>
        <a:xfrm>
          <a:off x="5529544" y="205516"/>
          <a:ext cx="1078342" cy="728382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twoCellAnchor>
    <xdr:from>
      <xdr:col>30</xdr:col>
      <xdr:colOff>13112</xdr:colOff>
      <xdr:row>3</xdr:row>
      <xdr:rowOff>27903</xdr:rowOff>
    </xdr:from>
    <xdr:to>
      <xdr:col>42</xdr:col>
      <xdr:colOff>56030</xdr:colOff>
      <xdr:row>5</xdr:row>
      <xdr:rowOff>16696</xdr:rowOff>
    </xdr:to>
    <xdr:sp macro="[0]!GoToDashboard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D94EFE1-B8F7-4656-8BD4-09CA18E772C7}"/>
            </a:ext>
          </a:extLst>
        </xdr:cNvPr>
        <xdr:cNvSpPr/>
      </xdr:nvSpPr>
      <xdr:spPr>
        <a:xfrm>
          <a:off x="6770259" y="565785"/>
          <a:ext cx="2866800" cy="347382"/>
        </a:xfrm>
        <a:prstGeom prst="roundRect">
          <a:avLst/>
        </a:prstGeom>
        <a:solidFill>
          <a:schemeClr val="bg1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GB" sz="1400" b="1">
              <a:solidFill>
                <a:sysClr val="windowText" lastClr="000000"/>
              </a:solidFill>
            </a:rPr>
            <a:t>BACK</a:t>
          </a:r>
          <a:r>
            <a:rPr lang="en-GB" sz="1400" b="1" baseline="0">
              <a:solidFill>
                <a:sysClr val="windowText" lastClr="000000"/>
              </a:solidFill>
            </a:rPr>
            <a:t> TO DASHBOARD 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169993</xdr:colOff>
      <xdr:row>3</xdr:row>
      <xdr:rowOff>110154</xdr:rowOff>
    </xdr:from>
    <xdr:to>
      <xdr:col>32</xdr:col>
      <xdr:colOff>80346</xdr:colOff>
      <xdr:row>4</xdr:row>
      <xdr:rowOff>115645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9289EC9F-C5AF-4E74-A6BD-13507C2F5624}"/>
            </a:ext>
          </a:extLst>
        </xdr:cNvPr>
        <xdr:cNvSpPr/>
      </xdr:nvSpPr>
      <xdr:spPr>
        <a:xfrm>
          <a:off x="6927140" y="648036"/>
          <a:ext cx="381000" cy="18478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</xdr:col>
      <xdr:colOff>49530</xdr:colOff>
      <xdr:row>5</xdr:row>
      <xdr:rowOff>163830</xdr:rowOff>
    </xdr:from>
    <xdr:ext cx="1508760" cy="317575"/>
    <xdr:sp macro="" textlink="'MAIN TABLE-1 AUTOMATED'!A1">
      <xdr:nvSpPr>
        <xdr:cNvPr id="11" name="Rectangle: Rounded Corners 10" descr=" zc z">
          <a:extLst>
            <a:ext uri="{FF2B5EF4-FFF2-40B4-BE49-F238E27FC236}">
              <a16:creationId xmlns:a16="http://schemas.microsoft.com/office/drawing/2014/main" id="{C5A28B84-964D-4401-A9DE-6BC7C554ED69}"/>
            </a:ext>
          </a:extLst>
        </xdr:cNvPr>
        <xdr:cNvSpPr/>
      </xdr:nvSpPr>
      <xdr:spPr>
        <a:xfrm>
          <a:off x="281940" y="1072515"/>
          <a:ext cx="1508760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ct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  <xdr:twoCellAnchor>
    <xdr:from>
      <xdr:col>3</xdr:col>
      <xdr:colOff>50539</xdr:colOff>
      <xdr:row>9</xdr:row>
      <xdr:rowOff>95138</xdr:rowOff>
    </xdr:from>
    <xdr:to>
      <xdr:col>41</xdr:col>
      <xdr:colOff>112059</xdr:colOff>
      <xdr:row>38</xdr:row>
      <xdr:rowOff>162598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384979C-3430-4F96-A746-562807DF0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47</xdr:col>
      <xdr:colOff>156882</xdr:colOff>
      <xdr:row>42</xdr:row>
      <xdr:rowOff>94914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33AE193-7D7C-47ED-9CA2-101F3844A032}"/>
            </a:ext>
          </a:extLst>
        </xdr:cNvPr>
        <xdr:cNvSpPr/>
      </xdr:nvSpPr>
      <xdr:spPr>
        <a:xfrm>
          <a:off x="0" y="0"/>
          <a:ext cx="10847294" cy="7625267"/>
        </a:xfrm>
        <a:custGeom>
          <a:avLst/>
          <a:gdLst>
            <a:gd name="csX0" fmla="*/ 0 w 10847294"/>
            <a:gd name="csY0" fmla="*/ 0 h 7625267"/>
            <a:gd name="csX1" fmla="*/ 570910 w 10847294"/>
            <a:gd name="csY1" fmla="*/ 0 h 7625267"/>
            <a:gd name="csX2" fmla="*/ 816402 w 10847294"/>
            <a:gd name="csY2" fmla="*/ 0 h 7625267"/>
            <a:gd name="csX3" fmla="*/ 1278839 w 10847294"/>
            <a:gd name="csY3" fmla="*/ 0 h 7625267"/>
            <a:gd name="csX4" fmla="*/ 1958222 w 10847294"/>
            <a:gd name="csY4" fmla="*/ 0 h 7625267"/>
            <a:gd name="csX5" fmla="*/ 2746078 w 10847294"/>
            <a:gd name="csY5" fmla="*/ 0 h 7625267"/>
            <a:gd name="csX6" fmla="*/ 2991570 w 10847294"/>
            <a:gd name="csY6" fmla="*/ 0 h 7625267"/>
            <a:gd name="csX7" fmla="*/ 3237061 w 10847294"/>
            <a:gd name="csY7" fmla="*/ 0 h 7625267"/>
            <a:gd name="csX8" fmla="*/ 4024917 w 10847294"/>
            <a:gd name="csY8" fmla="*/ 0 h 7625267"/>
            <a:gd name="csX9" fmla="*/ 4270408 w 10847294"/>
            <a:gd name="csY9" fmla="*/ 0 h 7625267"/>
            <a:gd name="csX10" fmla="*/ 4841319 w 10847294"/>
            <a:gd name="csY10" fmla="*/ 0 h 7625267"/>
            <a:gd name="csX11" fmla="*/ 5195283 w 10847294"/>
            <a:gd name="csY11" fmla="*/ 0 h 7625267"/>
            <a:gd name="csX12" fmla="*/ 5549247 w 10847294"/>
            <a:gd name="csY12" fmla="*/ 0 h 7625267"/>
            <a:gd name="csX13" fmla="*/ 5903212 w 10847294"/>
            <a:gd name="csY13" fmla="*/ 0 h 7625267"/>
            <a:gd name="csX14" fmla="*/ 6257176 w 10847294"/>
            <a:gd name="csY14" fmla="*/ 0 h 7625267"/>
            <a:gd name="csX15" fmla="*/ 6719613 w 10847294"/>
            <a:gd name="csY15" fmla="*/ 0 h 7625267"/>
            <a:gd name="csX16" fmla="*/ 7073578 w 10847294"/>
            <a:gd name="csY16" fmla="*/ 0 h 7625267"/>
            <a:gd name="csX17" fmla="*/ 7536015 w 10847294"/>
            <a:gd name="csY17" fmla="*/ 0 h 7625267"/>
            <a:gd name="csX18" fmla="*/ 8215398 w 10847294"/>
            <a:gd name="csY18" fmla="*/ 0 h 7625267"/>
            <a:gd name="csX19" fmla="*/ 8569362 w 10847294"/>
            <a:gd name="csY19" fmla="*/ 0 h 7625267"/>
            <a:gd name="csX20" fmla="*/ 8814854 w 10847294"/>
            <a:gd name="csY20" fmla="*/ 0 h 7625267"/>
            <a:gd name="csX21" fmla="*/ 9602710 w 10847294"/>
            <a:gd name="csY21" fmla="*/ 0 h 7625267"/>
            <a:gd name="csX22" fmla="*/ 9848201 w 10847294"/>
            <a:gd name="csY22" fmla="*/ 0 h 7625267"/>
            <a:gd name="csX23" fmla="*/ 10847294 w 10847294"/>
            <a:gd name="csY23" fmla="*/ 0 h 7625267"/>
            <a:gd name="csX24" fmla="*/ 10847294 w 10847294"/>
            <a:gd name="csY24" fmla="*/ 357801 h 7625267"/>
            <a:gd name="csX25" fmla="*/ 10847294 w 10847294"/>
            <a:gd name="csY25" fmla="*/ 944360 h 7625267"/>
            <a:gd name="csX26" fmla="*/ 10847294 w 10847294"/>
            <a:gd name="csY26" fmla="*/ 1607172 h 7625267"/>
            <a:gd name="csX27" fmla="*/ 10847294 w 10847294"/>
            <a:gd name="csY27" fmla="*/ 2117478 h 7625267"/>
            <a:gd name="csX28" fmla="*/ 10847294 w 10847294"/>
            <a:gd name="csY28" fmla="*/ 2551532 h 7625267"/>
            <a:gd name="csX29" fmla="*/ 10847294 w 10847294"/>
            <a:gd name="csY29" fmla="*/ 2985585 h 7625267"/>
            <a:gd name="csX30" fmla="*/ 10847294 w 10847294"/>
            <a:gd name="csY30" fmla="*/ 3648397 h 7625267"/>
            <a:gd name="csX31" fmla="*/ 10847294 w 10847294"/>
            <a:gd name="csY31" fmla="*/ 4006198 h 7625267"/>
            <a:gd name="csX32" fmla="*/ 10847294 w 10847294"/>
            <a:gd name="csY32" fmla="*/ 4516504 h 7625267"/>
            <a:gd name="csX33" fmla="*/ 10847294 w 10847294"/>
            <a:gd name="csY33" fmla="*/ 5103063 h 7625267"/>
            <a:gd name="csX34" fmla="*/ 10847294 w 10847294"/>
            <a:gd name="csY34" fmla="*/ 5537117 h 7625267"/>
            <a:gd name="csX35" fmla="*/ 10847294 w 10847294"/>
            <a:gd name="csY35" fmla="*/ 6276181 h 7625267"/>
            <a:gd name="csX36" fmla="*/ 10847294 w 10847294"/>
            <a:gd name="csY36" fmla="*/ 6633982 h 7625267"/>
            <a:gd name="csX37" fmla="*/ 10847294 w 10847294"/>
            <a:gd name="csY37" fmla="*/ 6991783 h 7625267"/>
            <a:gd name="csX38" fmla="*/ 10847294 w 10847294"/>
            <a:gd name="csY38" fmla="*/ 7625267 h 7625267"/>
            <a:gd name="csX39" fmla="*/ 10276384 w 10847294"/>
            <a:gd name="csY39" fmla="*/ 7625267 h 7625267"/>
            <a:gd name="csX40" fmla="*/ 9488528 w 10847294"/>
            <a:gd name="csY40" fmla="*/ 7625267 h 7625267"/>
            <a:gd name="csX41" fmla="*/ 8917617 w 10847294"/>
            <a:gd name="csY41" fmla="*/ 7625267 h 7625267"/>
            <a:gd name="csX42" fmla="*/ 8672126 w 10847294"/>
            <a:gd name="csY42" fmla="*/ 7625267 h 7625267"/>
            <a:gd name="csX43" fmla="*/ 8318162 w 10847294"/>
            <a:gd name="csY43" fmla="*/ 7625267 h 7625267"/>
            <a:gd name="csX44" fmla="*/ 7855724 w 10847294"/>
            <a:gd name="csY44" fmla="*/ 7625267 h 7625267"/>
            <a:gd name="csX45" fmla="*/ 7176341 w 10847294"/>
            <a:gd name="csY45" fmla="*/ 7625267 h 7625267"/>
            <a:gd name="csX46" fmla="*/ 6496958 w 10847294"/>
            <a:gd name="csY46" fmla="*/ 7625267 h 7625267"/>
            <a:gd name="csX47" fmla="*/ 5926048 w 10847294"/>
            <a:gd name="csY47" fmla="*/ 7625267 h 7625267"/>
            <a:gd name="csX48" fmla="*/ 5463611 w 10847294"/>
            <a:gd name="csY48" fmla="*/ 7625267 h 7625267"/>
            <a:gd name="csX49" fmla="*/ 4675755 w 10847294"/>
            <a:gd name="csY49" fmla="*/ 7625267 h 7625267"/>
            <a:gd name="csX50" fmla="*/ 4104844 w 10847294"/>
            <a:gd name="csY50" fmla="*/ 7625267 h 7625267"/>
            <a:gd name="csX51" fmla="*/ 3750880 w 10847294"/>
            <a:gd name="csY51" fmla="*/ 7625267 h 7625267"/>
            <a:gd name="csX52" fmla="*/ 3396916 w 10847294"/>
            <a:gd name="csY52" fmla="*/ 7625267 h 7625267"/>
            <a:gd name="csX53" fmla="*/ 3151424 w 10847294"/>
            <a:gd name="csY53" fmla="*/ 7625267 h 7625267"/>
            <a:gd name="csX54" fmla="*/ 2580514 w 10847294"/>
            <a:gd name="csY54" fmla="*/ 7625267 h 7625267"/>
            <a:gd name="csX55" fmla="*/ 2226550 w 10847294"/>
            <a:gd name="csY55" fmla="*/ 7625267 h 7625267"/>
            <a:gd name="csX56" fmla="*/ 1438694 w 10847294"/>
            <a:gd name="csY56" fmla="*/ 7625267 h 7625267"/>
            <a:gd name="csX57" fmla="*/ 759311 w 10847294"/>
            <a:gd name="csY57" fmla="*/ 7625267 h 7625267"/>
            <a:gd name="csX58" fmla="*/ 0 w 10847294"/>
            <a:gd name="csY58" fmla="*/ 7625267 h 7625267"/>
            <a:gd name="csX59" fmla="*/ 0 w 10847294"/>
            <a:gd name="csY59" fmla="*/ 6886203 h 7625267"/>
            <a:gd name="csX60" fmla="*/ 0 w 10847294"/>
            <a:gd name="csY60" fmla="*/ 6528402 h 7625267"/>
            <a:gd name="csX61" fmla="*/ 0 w 10847294"/>
            <a:gd name="csY61" fmla="*/ 6094348 h 7625267"/>
            <a:gd name="csX62" fmla="*/ 0 w 10847294"/>
            <a:gd name="csY62" fmla="*/ 5431536 h 7625267"/>
            <a:gd name="csX63" fmla="*/ 0 w 10847294"/>
            <a:gd name="csY63" fmla="*/ 4692472 h 7625267"/>
            <a:gd name="csX64" fmla="*/ 0 w 10847294"/>
            <a:gd name="csY64" fmla="*/ 3953408 h 7625267"/>
            <a:gd name="csX65" fmla="*/ 0 w 10847294"/>
            <a:gd name="csY65" fmla="*/ 3366849 h 7625267"/>
            <a:gd name="csX66" fmla="*/ 0 w 10847294"/>
            <a:gd name="csY66" fmla="*/ 2856542 h 7625267"/>
            <a:gd name="csX67" fmla="*/ 0 w 10847294"/>
            <a:gd name="csY67" fmla="*/ 2269983 h 7625267"/>
            <a:gd name="csX68" fmla="*/ 0 w 10847294"/>
            <a:gd name="csY68" fmla="*/ 1683424 h 7625267"/>
            <a:gd name="csX69" fmla="*/ 0 w 10847294"/>
            <a:gd name="csY69" fmla="*/ 1325623 h 7625267"/>
            <a:gd name="csX70" fmla="*/ 0 w 10847294"/>
            <a:gd name="csY70" fmla="*/ 662812 h 7625267"/>
            <a:gd name="csX71" fmla="*/ 0 w 10847294"/>
            <a:gd name="csY71" fmla="*/ 0 h 762526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</a:cxnLst>
          <a:rect l="l" t="t" r="r" b="b"/>
          <a:pathLst>
            <a:path w="10847294" h="7625267" fill="none" extrusionOk="0">
              <a:moveTo>
                <a:pt x="0" y="0"/>
              </a:moveTo>
              <a:cubicBezTo>
                <a:pt x="206038" y="-9380"/>
                <a:pt x="425761" y="45332"/>
                <a:pt x="570910" y="0"/>
              </a:cubicBezTo>
              <a:cubicBezTo>
                <a:pt x="716059" y="-45332"/>
                <a:pt x="728911" y="26655"/>
                <a:pt x="816402" y="0"/>
              </a:cubicBezTo>
              <a:cubicBezTo>
                <a:pt x="903893" y="-26655"/>
                <a:pt x="1095780" y="37728"/>
                <a:pt x="1278839" y="0"/>
              </a:cubicBezTo>
              <a:cubicBezTo>
                <a:pt x="1461898" y="-37728"/>
                <a:pt x="1699411" y="39180"/>
                <a:pt x="1958222" y="0"/>
              </a:cubicBezTo>
              <a:cubicBezTo>
                <a:pt x="2217033" y="-39180"/>
                <a:pt x="2567481" y="48265"/>
                <a:pt x="2746078" y="0"/>
              </a:cubicBezTo>
              <a:cubicBezTo>
                <a:pt x="2924675" y="-48265"/>
                <a:pt x="2920102" y="26260"/>
                <a:pt x="2991570" y="0"/>
              </a:cubicBezTo>
              <a:cubicBezTo>
                <a:pt x="3063038" y="-26260"/>
                <a:pt x="3156720" y="7205"/>
                <a:pt x="3237061" y="0"/>
              </a:cubicBezTo>
              <a:cubicBezTo>
                <a:pt x="3317402" y="-7205"/>
                <a:pt x="3679604" y="37581"/>
                <a:pt x="4024917" y="0"/>
              </a:cubicBezTo>
              <a:cubicBezTo>
                <a:pt x="4370230" y="-37581"/>
                <a:pt x="4190715" y="18262"/>
                <a:pt x="4270408" y="0"/>
              </a:cubicBezTo>
              <a:cubicBezTo>
                <a:pt x="4350101" y="-18262"/>
                <a:pt x="4635269" y="42392"/>
                <a:pt x="4841319" y="0"/>
              </a:cubicBezTo>
              <a:cubicBezTo>
                <a:pt x="5047369" y="-42392"/>
                <a:pt x="5022428" y="12244"/>
                <a:pt x="5195283" y="0"/>
              </a:cubicBezTo>
              <a:cubicBezTo>
                <a:pt x="5368138" y="-12244"/>
                <a:pt x="5401238" y="42346"/>
                <a:pt x="5549247" y="0"/>
              </a:cubicBezTo>
              <a:cubicBezTo>
                <a:pt x="5697256" y="-42346"/>
                <a:pt x="5740032" y="5607"/>
                <a:pt x="5903212" y="0"/>
              </a:cubicBezTo>
              <a:cubicBezTo>
                <a:pt x="6066393" y="-5607"/>
                <a:pt x="6169030" y="12845"/>
                <a:pt x="6257176" y="0"/>
              </a:cubicBezTo>
              <a:cubicBezTo>
                <a:pt x="6345322" y="-12845"/>
                <a:pt x="6489846" y="19631"/>
                <a:pt x="6719613" y="0"/>
              </a:cubicBezTo>
              <a:cubicBezTo>
                <a:pt x="6949380" y="-19631"/>
                <a:pt x="6923101" y="41716"/>
                <a:pt x="7073578" y="0"/>
              </a:cubicBezTo>
              <a:cubicBezTo>
                <a:pt x="7224056" y="-41716"/>
                <a:pt x="7407120" y="24445"/>
                <a:pt x="7536015" y="0"/>
              </a:cubicBezTo>
              <a:cubicBezTo>
                <a:pt x="7664910" y="-24445"/>
                <a:pt x="8059112" y="12698"/>
                <a:pt x="8215398" y="0"/>
              </a:cubicBezTo>
              <a:cubicBezTo>
                <a:pt x="8371684" y="-12698"/>
                <a:pt x="8411013" y="26834"/>
                <a:pt x="8569362" y="0"/>
              </a:cubicBezTo>
              <a:cubicBezTo>
                <a:pt x="8727711" y="-26834"/>
                <a:pt x="8730508" y="15992"/>
                <a:pt x="8814854" y="0"/>
              </a:cubicBezTo>
              <a:cubicBezTo>
                <a:pt x="8899200" y="-15992"/>
                <a:pt x="9413700" y="80949"/>
                <a:pt x="9602710" y="0"/>
              </a:cubicBezTo>
              <a:cubicBezTo>
                <a:pt x="9791720" y="-80949"/>
                <a:pt x="9733578" y="27632"/>
                <a:pt x="9848201" y="0"/>
              </a:cubicBezTo>
              <a:cubicBezTo>
                <a:pt x="9962824" y="-27632"/>
                <a:pt x="10504864" y="58228"/>
                <a:pt x="10847294" y="0"/>
              </a:cubicBezTo>
              <a:cubicBezTo>
                <a:pt x="10889497" y="115414"/>
                <a:pt x="10831541" y="190340"/>
                <a:pt x="10847294" y="357801"/>
              </a:cubicBezTo>
              <a:cubicBezTo>
                <a:pt x="10863047" y="525262"/>
                <a:pt x="10837848" y="748242"/>
                <a:pt x="10847294" y="944360"/>
              </a:cubicBezTo>
              <a:cubicBezTo>
                <a:pt x="10856740" y="1140478"/>
                <a:pt x="10846053" y="1345400"/>
                <a:pt x="10847294" y="1607172"/>
              </a:cubicBezTo>
              <a:cubicBezTo>
                <a:pt x="10848535" y="1868944"/>
                <a:pt x="10800808" y="1901927"/>
                <a:pt x="10847294" y="2117478"/>
              </a:cubicBezTo>
              <a:cubicBezTo>
                <a:pt x="10893780" y="2333029"/>
                <a:pt x="10798090" y="2345315"/>
                <a:pt x="10847294" y="2551532"/>
              </a:cubicBezTo>
              <a:cubicBezTo>
                <a:pt x="10896498" y="2757749"/>
                <a:pt x="10832465" y="2842896"/>
                <a:pt x="10847294" y="2985585"/>
              </a:cubicBezTo>
              <a:cubicBezTo>
                <a:pt x="10862123" y="3128274"/>
                <a:pt x="10812892" y="3338745"/>
                <a:pt x="10847294" y="3648397"/>
              </a:cubicBezTo>
              <a:cubicBezTo>
                <a:pt x="10881696" y="3958049"/>
                <a:pt x="10821990" y="3849573"/>
                <a:pt x="10847294" y="4006198"/>
              </a:cubicBezTo>
              <a:cubicBezTo>
                <a:pt x="10872598" y="4162823"/>
                <a:pt x="10808003" y="4392527"/>
                <a:pt x="10847294" y="4516504"/>
              </a:cubicBezTo>
              <a:cubicBezTo>
                <a:pt x="10886585" y="4640481"/>
                <a:pt x="10810321" y="4965013"/>
                <a:pt x="10847294" y="5103063"/>
              </a:cubicBezTo>
              <a:cubicBezTo>
                <a:pt x="10884267" y="5241113"/>
                <a:pt x="10830457" y="5368242"/>
                <a:pt x="10847294" y="5537117"/>
              </a:cubicBezTo>
              <a:cubicBezTo>
                <a:pt x="10864131" y="5705992"/>
                <a:pt x="10779686" y="6055786"/>
                <a:pt x="10847294" y="6276181"/>
              </a:cubicBezTo>
              <a:cubicBezTo>
                <a:pt x="10914902" y="6496576"/>
                <a:pt x="10810879" y="6538311"/>
                <a:pt x="10847294" y="6633982"/>
              </a:cubicBezTo>
              <a:cubicBezTo>
                <a:pt x="10883709" y="6729653"/>
                <a:pt x="10824760" y="6897193"/>
                <a:pt x="10847294" y="6991783"/>
              </a:cubicBezTo>
              <a:cubicBezTo>
                <a:pt x="10869828" y="7086373"/>
                <a:pt x="10813430" y="7477322"/>
                <a:pt x="10847294" y="7625267"/>
              </a:cubicBezTo>
              <a:cubicBezTo>
                <a:pt x="10606599" y="7634487"/>
                <a:pt x="10417761" y="7606986"/>
                <a:pt x="10276384" y="7625267"/>
              </a:cubicBezTo>
              <a:cubicBezTo>
                <a:pt x="10135007" y="7643548"/>
                <a:pt x="9744163" y="7551330"/>
                <a:pt x="9488528" y="7625267"/>
              </a:cubicBezTo>
              <a:cubicBezTo>
                <a:pt x="9232893" y="7699204"/>
                <a:pt x="9048934" y="7557333"/>
                <a:pt x="8917617" y="7625267"/>
              </a:cubicBezTo>
              <a:cubicBezTo>
                <a:pt x="8786300" y="7693201"/>
                <a:pt x="8734942" y="7596431"/>
                <a:pt x="8672126" y="7625267"/>
              </a:cubicBezTo>
              <a:cubicBezTo>
                <a:pt x="8609310" y="7654103"/>
                <a:pt x="8479076" y="7599007"/>
                <a:pt x="8318162" y="7625267"/>
              </a:cubicBezTo>
              <a:cubicBezTo>
                <a:pt x="8157248" y="7651527"/>
                <a:pt x="8005800" y="7581662"/>
                <a:pt x="7855724" y="7625267"/>
              </a:cubicBezTo>
              <a:cubicBezTo>
                <a:pt x="7705648" y="7668872"/>
                <a:pt x="7509172" y="7578595"/>
                <a:pt x="7176341" y="7625267"/>
              </a:cubicBezTo>
              <a:cubicBezTo>
                <a:pt x="6843510" y="7671939"/>
                <a:pt x="6829617" y="7614636"/>
                <a:pt x="6496958" y="7625267"/>
              </a:cubicBezTo>
              <a:cubicBezTo>
                <a:pt x="6164299" y="7635898"/>
                <a:pt x="6117026" y="7608010"/>
                <a:pt x="5926048" y="7625267"/>
              </a:cubicBezTo>
              <a:cubicBezTo>
                <a:pt x="5735070" y="7642524"/>
                <a:pt x="5644385" y="7602700"/>
                <a:pt x="5463611" y="7625267"/>
              </a:cubicBezTo>
              <a:cubicBezTo>
                <a:pt x="5282837" y="7647834"/>
                <a:pt x="4993268" y="7622741"/>
                <a:pt x="4675755" y="7625267"/>
              </a:cubicBezTo>
              <a:cubicBezTo>
                <a:pt x="4358242" y="7627793"/>
                <a:pt x="4363246" y="7571676"/>
                <a:pt x="4104844" y="7625267"/>
              </a:cubicBezTo>
              <a:cubicBezTo>
                <a:pt x="3846442" y="7678858"/>
                <a:pt x="3927109" y="7589909"/>
                <a:pt x="3750880" y="7625267"/>
              </a:cubicBezTo>
              <a:cubicBezTo>
                <a:pt x="3574651" y="7660625"/>
                <a:pt x="3483305" y="7602289"/>
                <a:pt x="3396916" y="7625267"/>
              </a:cubicBezTo>
              <a:cubicBezTo>
                <a:pt x="3310527" y="7648245"/>
                <a:pt x="3267154" y="7621359"/>
                <a:pt x="3151424" y="7625267"/>
              </a:cubicBezTo>
              <a:cubicBezTo>
                <a:pt x="3035694" y="7629175"/>
                <a:pt x="2727633" y="7599589"/>
                <a:pt x="2580514" y="7625267"/>
              </a:cubicBezTo>
              <a:cubicBezTo>
                <a:pt x="2433395" y="7650945"/>
                <a:pt x="2361089" y="7598883"/>
                <a:pt x="2226550" y="7625267"/>
              </a:cubicBezTo>
              <a:cubicBezTo>
                <a:pt x="2092011" y="7651651"/>
                <a:pt x="1805283" y="7546634"/>
                <a:pt x="1438694" y="7625267"/>
              </a:cubicBezTo>
              <a:cubicBezTo>
                <a:pt x="1072105" y="7703900"/>
                <a:pt x="929490" y="7594055"/>
                <a:pt x="759311" y="7625267"/>
              </a:cubicBezTo>
              <a:cubicBezTo>
                <a:pt x="589132" y="7656479"/>
                <a:pt x="298054" y="7593747"/>
                <a:pt x="0" y="7625267"/>
              </a:cubicBezTo>
              <a:cubicBezTo>
                <a:pt x="-41974" y="7409560"/>
                <a:pt x="80037" y="7118912"/>
                <a:pt x="0" y="6886203"/>
              </a:cubicBezTo>
              <a:cubicBezTo>
                <a:pt x="-80037" y="6653494"/>
                <a:pt x="8329" y="6668700"/>
                <a:pt x="0" y="6528402"/>
              </a:cubicBezTo>
              <a:cubicBezTo>
                <a:pt x="-8329" y="6388104"/>
                <a:pt x="8780" y="6304293"/>
                <a:pt x="0" y="6094348"/>
              </a:cubicBezTo>
              <a:cubicBezTo>
                <a:pt x="-8780" y="5884403"/>
                <a:pt x="61722" y="5720609"/>
                <a:pt x="0" y="5431536"/>
              </a:cubicBezTo>
              <a:cubicBezTo>
                <a:pt x="-61722" y="5142463"/>
                <a:pt x="18897" y="4960672"/>
                <a:pt x="0" y="4692472"/>
              </a:cubicBezTo>
              <a:cubicBezTo>
                <a:pt x="-18897" y="4424272"/>
                <a:pt x="48102" y="4166497"/>
                <a:pt x="0" y="3953408"/>
              </a:cubicBezTo>
              <a:cubicBezTo>
                <a:pt x="-48102" y="3740319"/>
                <a:pt x="64031" y="3535530"/>
                <a:pt x="0" y="3366849"/>
              </a:cubicBezTo>
              <a:cubicBezTo>
                <a:pt x="-64031" y="3198168"/>
                <a:pt x="17989" y="3073824"/>
                <a:pt x="0" y="2856542"/>
              </a:cubicBezTo>
              <a:cubicBezTo>
                <a:pt x="-17989" y="2639260"/>
                <a:pt x="50699" y="2459569"/>
                <a:pt x="0" y="2269983"/>
              </a:cubicBezTo>
              <a:cubicBezTo>
                <a:pt x="-50699" y="2080397"/>
                <a:pt x="25671" y="1823671"/>
                <a:pt x="0" y="1683424"/>
              </a:cubicBezTo>
              <a:cubicBezTo>
                <a:pt x="-25671" y="1543177"/>
                <a:pt x="8470" y="1445282"/>
                <a:pt x="0" y="1325623"/>
              </a:cubicBezTo>
              <a:cubicBezTo>
                <a:pt x="-8470" y="1205964"/>
                <a:pt x="49247" y="914698"/>
                <a:pt x="0" y="662812"/>
              </a:cubicBezTo>
              <a:cubicBezTo>
                <a:pt x="-49247" y="410926"/>
                <a:pt x="24218" y="240698"/>
                <a:pt x="0" y="0"/>
              </a:cubicBezTo>
              <a:close/>
            </a:path>
            <a:path w="10847294" h="7625267" stroke="0" extrusionOk="0">
              <a:moveTo>
                <a:pt x="0" y="0"/>
              </a:moveTo>
              <a:cubicBezTo>
                <a:pt x="223357" y="-4339"/>
                <a:pt x="267284" y="17825"/>
                <a:pt x="462437" y="0"/>
              </a:cubicBezTo>
              <a:cubicBezTo>
                <a:pt x="657590" y="-17825"/>
                <a:pt x="606921" y="19130"/>
                <a:pt x="707929" y="0"/>
              </a:cubicBezTo>
              <a:cubicBezTo>
                <a:pt x="808937" y="-19130"/>
                <a:pt x="1164144" y="25889"/>
                <a:pt x="1495785" y="0"/>
              </a:cubicBezTo>
              <a:cubicBezTo>
                <a:pt x="1827426" y="-25889"/>
                <a:pt x="1810234" y="35265"/>
                <a:pt x="1958222" y="0"/>
              </a:cubicBezTo>
              <a:cubicBezTo>
                <a:pt x="2106210" y="-35265"/>
                <a:pt x="2221240" y="9043"/>
                <a:pt x="2420659" y="0"/>
              </a:cubicBezTo>
              <a:cubicBezTo>
                <a:pt x="2620078" y="-9043"/>
                <a:pt x="2990970" y="39866"/>
                <a:pt x="3208515" y="0"/>
              </a:cubicBezTo>
              <a:cubicBezTo>
                <a:pt x="3426060" y="-39866"/>
                <a:pt x="3487026" y="30524"/>
                <a:pt x="3562480" y="0"/>
              </a:cubicBezTo>
              <a:cubicBezTo>
                <a:pt x="3637934" y="-30524"/>
                <a:pt x="4165597" y="28399"/>
                <a:pt x="4350336" y="0"/>
              </a:cubicBezTo>
              <a:cubicBezTo>
                <a:pt x="4535075" y="-28399"/>
                <a:pt x="4958652" y="40207"/>
                <a:pt x="5138192" y="0"/>
              </a:cubicBezTo>
              <a:cubicBezTo>
                <a:pt x="5317732" y="-40207"/>
                <a:pt x="5496957" y="17825"/>
                <a:pt x="5709102" y="0"/>
              </a:cubicBezTo>
              <a:cubicBezTo>
                <a:pt x="5921247" y="-17825"/>
                <a:pt x="6206978" y="56421"/>
                <a:pt x="6496958" y="0"/>
              </a:cubicBezTo>
              <a:cubicBezTo>
                <a:pt x="6786938" y="-56421"/>
                <a:pt x="6865877" y="44241"/>
                <a:pt x="6959395" y="0"/>
              </a:cubicBezTo>
              <a:cubicBezTo>
                <a:pt x="7052913" y="-44241"/>
                <a:pt x="7195748" y="20989"/>
                <a:pt x="7421833" y="0"/>
              </a:cubicBezTo>
              <a:cubicBezTo>
                <a:pt x="7647918" y="-20989"/>
                <a:pt x="7940045" y="74997"/>
                <a:pt x="8101216" y="0"/>
              </a:cubicBezTo>
              <a:cubicBezTo>
                <a:pt x="8262387" y="-74997"/>
                <a:pt x="8381944" y="13475"/>
                <a:pt x="8563653" y="0"/>
              </a:cubicBezTo>
              <a:cubicBezTo>
                <a:pt x="8745362" y="-13475"/>
                <a:pt x="9182655" y="27910"/>
                <a:pt x="9351509" y="0"/>
              </a:cubicBezTo>
              <a:cubicBezTo>
                <a:pt x="9520363" y="-27910"/>
                <a:pt x="9878516" y="60049"/>
                <a:pt x="10139365" y="0"/>
              </a:cubicBezTo>
              <a:cubicBezTo>
                <a:pt x="10400214" y="-60049"/>
                <a:pt x="10623855" y="84613"/>
                <a:pt x="10847294" y="0"/>
              </a:cubicBezTo>
              <a:cubicBezTo>
                <a:pt x="10896892" y="242353"/>
                <a:pt x="10818265" y="265966"/>
                <a:pt x="10847294" y="510306"/>
              </a:cubicBezTo>
              <a:cubicBezTo>
                <a:pt x="10876323" y="754646"/>
                <a:pt x="10827152" y="761897"/>
                <a:pt x="10847294" y="868107"/>
              </a:cubicBezTo>
              <a:cubicBezTo>
                <a:pt x="10867436" y="974317"/>
                <a:pt x="10828974" y="1136826"/>
                <a:pt x="10847294" y="1302161"/>
              </a:cubicBezTo>
              <a:cubicBezTo>
                <a:pt x="10865614" y="1467496"/>
                <a:pt x="10789641" y="1776734"/>
                <a:pt x="10847294" y="1964973"/>
              </a:cubicBezTo>
              <a:cubicBezTo>
                <a:pt x="10904947" y="2153212"/>
                <a:pt x="10817804" y="2223091"/>
                <a:pt x="10847294" y="2475279"/>
              </a:cubicBezTo>
              <a:cubicBezTo>
                <a:pt x="10876784" y="2727467"/>
                <a:pt x="10807707" y="2710478"/>
                <a:pt x="10847294" y="2909333"/>
              </a:cubicBezTo>
              <a:cubicBezTo>
                <a:pt x="10886881" y="3108188"/>
                <a:pt x="10803773" y="3395960"/>
                <a:pt x="10847294" y="3572144"/>
              </a:cubicBezTo>
              <a:cubicBezTo>
                <a:pt x="10890815" y="3748328"/>
                <a:pt x="10838522" y="3953016"/>
                <a:pt x="10847294" y="4158703"/>
              </a:cubicBezTo>
              <a:cubicBezTo>
                <a:pt x="10856066" y="4364390"/>
                <a:pt x="10811926" y="4459867"/>
                <a:pt x="10847294" y="4745262"/>
              </a:cubicBezTo>
              <a:cubicBezTo>
                <a:pt x="10882662" y="5030657"/>
                <a:pt x="10837476" y="5176259"/>
                <a:pt x="10847294" y="5484327"/>
              </a:cubicBezTo>
              <a:cubicBezTo>
                <a:pt x="10857112" y="5792395"/>
                <a:pt x="10790810" y="5945607"/>
                <a:pt x="10847294" y="6147138"/>
              </a:cubicBezTo>
              <a:cubicBezTo>
                <a:pt x="10903778" y="6348669"/>
                <a:pt x="10808219" y="6406770"/>
                <a:pt x="10847294" y="6504939"/>
              </a:cubicBezTo>
              <a:cubicBezTo>
                <a:pt x="10886369" y="6603108"/>
                <a:pt x="10831855" y="6766290"/>
                <a:pt x="10847294" y="7015246"/>
              </a:cubicBezTo>
              <a:cubicBezTo>
                <a:pt x="10862733" y="7264202"/>
                <a:pt x="10788740" y="7440324"/>
                <a:pt x="10847294" y="7625267"/>
              </a:cubicBezTo>
              <a:cubicBezTo>
                <a:pt x="10726998" y="7653199"/>
                <a:pt x="10462377" y="7606977"/>
                <a:pt x="10276384" y="7625267"/>
              </a:cubicBezTo>
              <a:cubicBezTo>
                <a:pt x="10090391" y="7643557"/>
                <a:pt x="10075758" y="7613368"/>
                <a:pt x="9922419" y="7625267"/>
              </a:cubicBezTo>
              <a:cubicBezTo>
                <a:pt x="9769080" y="7637166"/>
                <a:pt x="9749924" y="7608040"/>
                <a:pt x="9676928" y="7625267"/>
              </a:cubicBezTo>
              <a:cubicBezTo>
                <a:pt x="9603932" y="7642494"/>
                <a:pt x="9490831" y="7603714"/>
                <a:pt x="9322964" y="7625267"/>
              </a:cubicBezTo>
              <a:cubicBezTo>
                <a:pt x="9155097" y="7646820"/>
                <a:pt x="8931463" y="7601671"/>
                <a:pt x="8643581" y="7625267"/>
              </a:cubicBezTo>
              <a:cubicBezTo>
                <a:pt x="8355699" y="7648863"/>
                <a:pt x="8452570" y="7603587"/>
                <a:pt x="8289616" y="7625267"/>
              </a:cubicBezTo>
              <a:cubicBezTo>
                <a:pt x="8126662" y="7646947"/>
                <a:pt x="8114931" y="7618441"/>
                <a:pt x="8044125" y="7625267"/>
              </a:cubicBezTo>
              <a:cubicBezTo>
                <a:pt x="7973319" y="7632093"/>
                <a:pt x="7852578" y="7608829"/>
                <a:pt x="7690161" y="7625267"/>
              </a:cubicBezTo>
              <a:cubicBezTo>
                <a:pt x="7527744" y="7641705"/>
                <a:pt x="7446608" y="7611495"/>
                <a:pt x="7227723" y="7625267"/>
              </a:cubicBezTo>
              <a:cubicBezTo>
                <a:pt x="7008838" y="7639039"/>
                <a:pt x="6829970" y="7560773"/>
                <a:pt x="6656813" y="7625267"/>
              </a:cubicBezTo>
              <a:cubicBezTo>
                <a:pt x="6483656" y="7689761"/>
                <a:pt x="6384256" y="7602568"/>
                <a:pt x="6302849" y="7625267"/>
              </a:cubicBezTo>
              <a:cubicBezTo>
                <a:pt x="6221442" y="7647966"/>
                <a:pt x="5687036" y="7596736"/>
                <a:pt x="5514993" y="7625267"/>
              </a:cubicBezTo>
              <a:cubicBezTo>
                <a:pt x="5342950" y="7653798"/>
                <a:pt x="5079272" y="7609650"/>
                <a:pt x="4944082" y="7625267"/>
              </a:cubicBezTo>
              <a:cubicBezTo>
                <a:pt x="4808892" y="7640884"/>
                <a:pt x="4535562" y="7603164"/>
                <a:pt x="4156226" y="7625267"/>
              </a:cubicBezTo>
              <a:cubicBezTo>
                <a:pt x="3776890" y="7647370"/>
                <a:pt x="3678918" y="7561141"/>
                <a:pt x="3476843" y="7625267"/>
              </a:cubicBezTo>
              <a:cubicBezTo>
                <a:pt x="3274768" y="7689393"/>
                <a:pt x="3189406" y="7590702"/>
                <a:pt x="3014406" y="7625267"/>
              </a:cubicBezTo>
              <a:cubicBezTo>
                <a:pt x="2839406" y="7659832"/>
                <a:pt x="2666585" y="7545569"/>
                <a:pt x="2335023" y="7625267"/>
              </a:cubicBezTo>
              <a:cubicBezTo>
                <a:pt x="2003461" y="7704965"/>
                <a:pt x="2086494" y="7593745"/>
                <a:pt x="1981058" y="7625267"/>
              </a:cubicBezTo>
              <a:cubicBezTo>
                <a:pt x="1875622" y="7656789"/>
                <a:pt x="1653866" y="7577275"/>
                <a:pt x="1410148" y="7625267"/>
              </a:cubicBezTo>
              <a:cubicBezTo>
                <a:pt x="1166430" y="7673259"/>
                <a:pt x="1278698" y="7614828"/>
                <a:pt x="1164657" y="7625267"/>
              </a:cubicBezTo>
              <a:cubicBezTo>
                <a:pt x="1050616" y="7635706"/>
                <a:pt x="235888" y="7513097"/>
                <a:pt x="0" y="7625267"/>
              </a:cubicBezTo>
              <a:cubicBezTo>
                <a:pt x="-42629" y="7378056"/>
                <a:pt x="69092" y="7291413"/>
                <a:pt x="0" y="7038708"/>
              </a:cubicBezTo>
              <a:cubicBezTo>
                <a:pt x="-69092" y="6786003"/>
                <a:pt x="54532" y="6618769"/>
                <a:pt x="0" y="6375896"/>
              </a:cubicBezTo>
              <a:cubicBezTo>
                <a:pt x="-54532" y="6133023"/>
                <a:pt x="8896" y="5992776"/>
                <a:pt x="0" y="5713085"/>
              </a:cubicBezTo>
              <a:cubicBezTo>
                <a:pt x="-8896" y="5433394"/>
                <a:pt x="802" y="5440359"/>
                <a:pt x="0" y="5279031"/>
              </a:cubicBezTo>
              <a:cubicBezTo>
                <a:pt x="-802" y="5117703"/>
                <a:pt x="19581" y="4812097"/>
                <a:pt x="0" y="4539967"/>
              </a:cubicBezTo>
              <a:cubicBezTo>
                <a:pt x="-19581" y="4267837"/>
                <a:pt x="50697" y="4074078"/>
                <a:pt x="0" y="3953408"/>
              </a:cubicBezTo>
              <a:cubicBezTo>
                <a:pt x="-50697" y="3832738"/>
                <a:pt x="31296" y="3682296"/>
                <a:pt x="0" y="3595607"/>
              </a:cubicBezTo>
              <a:cubicBezTo>
                <a:pt x="-31296" y="3508918"/>
                <a:pt x="18332" y="3214172"/>
                <a:pt x="0" y="3009048"/>
              </a:cubicBezTo>
              <a:cubicBezTo>
                <a:pt x="-18332" y="2803924"/>
                <a:pt x="789" y="2633437"/>
                <a:pt x="0" y="2498741"/>
              </a:cubicBezTo>
              <a:cubicBezTo>
                <a:pt x="-789" y="2364045"/>
                <a:pt x="692" y="2212745"/>
                <a:pt x="0" y="1988435"/>
              </a:cubicBezTo>
              <a:cubicBezTo>
                <a:pt x="-692" y="1764125"/>
                <a:pt x="28382" y="1611236"/>
                <a:pt x="0" y="1478129"/>
              </a:cubicBezTo>
              <a:cubicBezTo>
                <a:pt x="-28382" y="1345022"/>
                <a:pt x="58522" y="1121721"/>
                <a:pt x="0" y="967822"/>
              </a:cubicBezTo>
              <a:cubicBezTo>
                <a:pt x="-58522" y="813923"/>
                <a:pt x="97080" y="374434"/>
                <a:pt x="0" y="0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accent4">
              <a:shade val="15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>
          <a:innerShdw blurRad="114300">
            <a:prstClr val="black"/>
          </a:innerShdw>
          <a:softEdge rad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16473</xdr:colOff>
      <xdr:row>0</xdr:row>
      <xdr:rowOff>172347</xdr:rowOff>
    </xdr:from>
    <xdr:to>
      <xdr:col>7</xdr:col>
      <xdr:colOff>203388</xdr:colOff>
      <xdr:row>5</xdr:row>
      <xdr:rowOff>138280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EA5380-523E-4DE4-B0D7-EA437EFA243C}"/>
            </a:ext>
          </a:extLst>
        </xdr:cNvPr>
        <xdr:cNvSpPr/>
      </xdr:nvSpPr>
      <xdr:spPr>
        <a:xfrm>
          <a:off x="240591" y="172347"/>
          <a:ext cx="1531621" cy="862404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41</xdr:col>
      <xdr:colOff>227703</xdr:colOff>
      <xdr:row>0</xdr:row>
      <xdr:rowOff>130661</xdr:rowOff>
    </xdr:from>
    <xdr:ext cx="974913" cy="317575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3ABD422B-259C-41A5-A905-4BC23B06626B}"/>
            </a:ext>
          </a:extLst>
        </xdr:cNvPr>
        <xdr:cNvSpPr/>
      </xdr:nvSpPr>
      <xdr:spPr>
        <a:xfrm>
          <a:off x="9573409" y="130661"/>
          <a:ext cx="97491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8CF23CD7-A6BE-4766-9AE0-55978D5B0FE6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91552</xdr:colOff>
      <xdr:row>0</xdr:row>
      <xdr:rowOff>141866</xdr:rowOff>
    </xdr:from>
    <xdr:ext cx="2207558" cy="313765"/>
    <xdr:sp macro="" textlink="'CATEGORY TABLES'!AE2">
      <xdr:nvSpPr>
        <xdr:cNvPr id="5" name="Rectangle: Rounded Corners 4" descr=" zc z">
          <a:extLst>
            <a:ext uri="{FF2B5EF4-FFF2-40B4-BE49-F238E27FC236}">
              <a16:creationId xmlns:a16="http://schemas.microsoft.com/office/drawing/2014/main" id="{1EC67FB1-B397-4BAA-A246-8761BA1EA9C8}"/>
            </a:ext>
          </a:extLst>
        </xdr:cNvPr>
        <xdr:cNvSpPr/>
      </xdr:nvSpPr>
      <xdr:spPr>
        <a:xfrm>
          <a:off x="7319346" y="141866"/>
          <a:ext cx="2207558" cy="31376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t>PRINCIPLE BASED COST</a:t>
          </a:r>
        </a:p>
      </xdr:txBody>
    </xdr:sp>
    <xdr:clientData/>
  </xdr:oneCellAnchor>
  <xdr:twoCellAnchor>
    <xdr:from>
      <xdr:col>1</xdr:col>
      <xdr:colOff>11428</xdr:colOff>
      <xdr:row>7</xdr:row>
      <xdr:rowOff>22189</xdr:rowOff>
    </xdr:from>
    <xdr:to>
      <xdr:col>47</xdr:col>
      <xdr:colOff>33618</xdr:colOff>
      <xdr:row>40</xdr:row>
      <xdr:rowOff>130885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17FA232-40DA-47FA-ADBD-C3BB8454C8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122595</xdr:colOff>
      <xdr:row>0</xdr:row>
      <xdr:rowOff>119679</xdr:rowOff>
    </xdr:from>
    <xdr:to>
      <xdr:col>32</xdr:col>
      <xdr:colOff>33844</xdr:colOff>
      <xdr:row>4</xdr:row>
      <xdr:rowOff>125170</xdr:rowOff>
    </xdr:to>
    <xdr:sp macro="[0]!CAlculat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285A6C8-ECCD-47CB-8D7F-DFE04F022A76}"/>
            </a:ext>
          </a:extLst>
        </xdr:cNvPr>
        <xdr:cNvSpPr/>
      </xdr:nvSpPr>
      <xdr:spPr>
        <a:xfrm>
          <a:off x="6173771" y="119679"/>
          <a:ext cx="1087867" cy="722667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twoCellAnchor>
    <xdr:from>
      <xdr:col>32</xdr:col>
      <xdr:colOff>57935</xdr:colOff>
      <xdr:row>2</xdr:row>
      <xdr:rowOff>141867</xdr:rowOff>
    </xdr:from>
    <xdr:to>
      <xdr:col>46</xdr:col>
      <xdr:colOff>35526</xdr:colOff>
      <xdr:row>4</xdr:row>
      <xdr:rowOff>123265</xdr:rowOff>
    </xdr:to>
    <xdr:sp macro="[0]!GoToDashboard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C320AB2-ED1F-4242-8612-39A45009346C}"/>
            </a:ext>
          </a:extLst>
        </xdr:cNvPr>
        <xdr:cNvSpPr/>
      </xdr:nvSpPr>
      <xdr:spPr>
        <a:xfrm>
          <a:off x="7285729" y="500455"/>
          <a:ext cx="3272121" cy="339986"/>
        </a:xfrm>
        <a:prstGeom prst="roundRect">
          <a:avLst/>
        </a:prstGeom>
        <a:solidFill>
          <a:schemeClr val="bg1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BACK</a:t>
          </a:r>
          <a:r>
            <a:rPr lang="en-GB" sz="1400" b="1" baseline="0">
              <a:solidFill>
                <a:sysClr val="windowText" lastClr="000000"/>
              </a:solidFill>
            </a:rPr>
            <a:t> TO DASHBOARD 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209326</xdr:colOff>
      <xdr:row>3</xdr:row>
      <xdr:rowOff>35523</xdr:rowOff>
    </xdr:from>
    <xdr:to>
      <xdr:col>34</xdr:col>
      <xdr:colOff>113964</xdr:colOff>
      <xdr:row>4</xdr:row>
      <xdr:rowOff>31489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EB29DAA3-BF64-4BEE-B8AD-C764586CDB88}"/>
            </a:ext>
          </a:extLst>
        </xdr:cNvPr>
        <xdr:cNvSpPr/>
      </xdr:nvSpPr>
      <xdr:spPr>
        <a:xfrm>
          <a:off x="7437120" y="573405"/>
          <a:ext cx="375285" cy="17526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</xdr:col>
      <xdr:colOff>49530</xdr:colOff>
      <xdr:row>5</xdr:row>
      <xdr:rowOff>163830</xdr:rowOff>
    </xdr:from>
    <xdr:ext cx="1508760" cy="317575"/>
    <xdr:sp macro="" textlink="'MAIN TABLE-1 AUTOMATED'!A1">
      <xdr:nvSpPr>
        <xdr:cNvPr id="10" name="Rectangle: Rounded Corners 9" descr=" zc z">
          <a:extLst>
            <a:ext uri="{FF2B5EF4-FFF2-40B4-BE49-F238E27FC236}">
              <a16:creationId xmlns:a16="http://schemas.microsoft.com/office/drawing/2014/main" id="{E313690A-5C62-4D8E-A2DD-1590CE829FEC}"/>
            </a:ext>
          </a:extLst>
        </xdr:cNvPr>
        <xdr:cNvSpPr/>
      </xdr:nvSpPr>
      <xdr:spPr>
        <a:xfrm>
          <a:off x="278130" y="1068705"/>
          <a:ext cx="1508760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ct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85</xdr:col>
      <xdr:colOff>33618</xdr:colOff>
      <xdr:row>51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63A07FB-BF53-490D-B94B-7E07EF8D40CC}"/>
            </a:ext>
          </a:extLst>
        </xdr:cNvPr>
        <xdr:cNvSpPr/>
      </xdr:nvSpPr>
      <xdr:spPr>
        <a:xfrm>
          <a:off x="0" y="0"/>
          <a:ext cx="17414838" cy="9229725"/>
        </a:xfrm>
        <a:custGeom>
          <a:avLst/>
          <a:gdLst>
            <a:gd name="csX0" fmla="*/ 0 w 17414838"/>
            <a:gd name="csY0" fmla="*/ 0 h 9229725"/>
            <a:gd name="csX1" fmla="*/ 580495 w 17414838"/>
            <a:gd name="csY1" fmla="*/ 0 h 9229725"/>
            <a:gd name="csX2" fmla="*/ 638544 w 17414838"/>
            <a:gd name="csY2" fmla="*/ 0 h 9229725"/>
            <a:gd name="csX3" fmla="*/ 696594 w 17414838"/>
            <a:gd name="csY3" fmla="*/ 0 h 9229725"/>
            <a:gd name="csX4" fmla="*/ 1625385 w 17414838"/>
            <a:gd name="csY4" fmla="*/ 0 h 9229725"/>
            <a:gd name="csX5" fmla="*/ 2031731 w 17414838"/>
            <a:gd name="csY5" fmla="*/ 0 h 9229725"/>
            <a:gd name="csX6" fmla="*/ 2960522 w 17414838"/>
            <a:gd name="csY6" fmla="*/ 0 h 9229725"/>
            <a:gd name="csX7" fmla="*/ 3366869 w 17414838"/>
            <a:gd name="csY7" fmla="*/ 0 h 9229725"/>
            <a:gd name="csX8" fmla="*/ 4121512 w 17414838"/>
            <a:gd name="csY8" fmla="*/ 0 h 9229725"/>
            <a:gd name="csX9" fmla="*/ 4353709 w 17414838"/>
            <a:gd name="csY9" fmla="*/ 0 h 9229725"/>
            <a:gd name="csX10" fmla="*/ 4934204 w 17414838"/>
            <a:gd name="csY10" fmla="*/ 0 h 9229725"/>
            <a:gd name="csX11" fmla="*/ 5514699 w 17414838"/>
            <a:gd name="csY11" fmla="*/ 0 h 9229725"/>
            <a:gd name="csX12" fmla="*/ 5921045 w 17414838"/>
            <a:gd name="csY12" fmla="*/ 0 h 9229725"/>
            <a:gd name="csX13" fmla="*/ 6327391 w 17414838"/>
            <a:gd name="csY13" fmla="*/ 0 h 9229725"/>
            <a:gd name="csX14" fmla="*/ 6385441 w 17414838"/>
            <a:gd name="csY14" fmla="*/ 0 h 9229725"/>
            <a:gd name="csX15" fmla="*/ 6443490 w 17414838"/>
            <a:gd name="csY15" fmla="*/ 0 h 9229725"/>
            <a:gd name="csX16" fmla="*/ 6501540 w 17414838"/>
            <a:gd name="csY16" fmla="*/ 0 h 9229725"/>
            <a:gd name="csX17" fmla="*/ 6559589 w 17414838"/>
            <a:gd name="csY17" fmla="*/ 0 h 9229725"/>
            <a:gd name="csX18" fmla="*/ 6617638 w 17414838"/>
            <a:gd name="csY18" fmla="*/ 0 h 9229725"/>
            <a:gd name="csX19" fmla="*/ 7023985 w 17414838"/>
            <a:gd name="csY19" fmla="*/ 0 h 9229725"/>
            <a:gd name="csX20" fmla="*/ 7082034 w 17414838"/>
            <a:gd name="csY20" fmla="*/ 0 h 9229725"/>
            <a:gd name="csX21" fmla="*/ 8010825 w 17414838"/>
            <a:gd name="csY21" fmla="*/ 0 h 9229725"/>
            <a:gd name="csX22" fmla="*/ 8068875 w 17414838"/>
            <a:gd name="csY22" fmla="*/ 0 h 9229725"/>
            <a:gd name="csX23" fmla="*/ 8649370 w 17414838"/>
            <a:gd name="csY23" fmla="*/ 0 h 9229725"/>
            <a:gd name="csX24" fmla="*/ 9578161 w 17414838"/>
            <a:gd name="csY24" fmla="*/ 0 h 9229725"/>
            <a:gd name="csX25" fmla="*/ 10506952 w 17414838"/>
            <a:gd name="csY25" fmla="*/ 0 h 9229725"/>
            <a:gd name="csX26" fmla="*/ 11261595 w 17414838"/>
            <a:gd name="csY26" fmla="*/ 0 h 9229725"/>
            <a:gd name="csX27" fmla="*/ 11667941 w 17414838"/>
            <a:gd name="csY27" fmla="*/ 0 h 9229725"/>
            <a:gd name="csX28" fmla="*/ 11900139 w 17414838"/>
            <a:gd name="csY28" fmla="*/ 0 h 9229725"/>
            <a:gd name="csX29" fmla="*/ 12654782 w 17414838"/>
            <a:gd name="csY29" fmla="*/ 0 h 9229725"/>
            <a:gd name="csX30" fmla="*/ 13409425 w 17414838"/>
            <a:gd name="csY30" fmla="*/ 0 h 9229725"/>
            <a:gd name="csX31" fmla="*/ 14164068 w 17414838"/>
            <a:gd name="csY31" fmla="*/ 0 h 9229725"/>
            <a:gd name="csX32" fmla="*/ 14222118 w 17414838"/>
            <a:gd name="csY32" fmla="*/ 0 h 9229725"/>
            <a:gd name="csX33" fmla="*/ 14454316 w 17414838"/>
            <a:gd name="csY33" fmla="*/ 0 h 9229725"/>
            <a:gd name="csX34" fmla="*/ 15208959 w 17414838"/>
            <a:gd name="csY34" fmla="*/ 0 h 9229725"/>
            <a:gd name="csX35" fmla="*/ 16137750 w 17414838"/>
            <a:gd name="csY35" fmla="*/ 0 h 9229725"/>
            <a:gd name="csX36" fmla="*/ 17414838 w 17414838"/>
            <a:gd name="csY36" fmla="*/ 0 h 9229725"/>
            <a:gd name="csX37" fmla="*/ 17414838 w 17414838"/>
            <a:gd name="csY37" fmla="*/ 576858 h 9229725"/>
            <a:gd name="csX38" fmla="*/ 17414838 w 17414838"/>
            <a:gd name="csY38" fmla="*/ 1338310 h 9229725"/>
            <a:gd name="csX39" fmla="*/ 17414838 w 17414838"/>
            <a:gd name="csY39" fmla="*/ 2099762 h 9229725"/>
            <a:gd name="csX40" fmla="*/ 17414838 w 17414838"/>
            <a:gd name="csY40" fmla="*/ 2584323 h 9229725"/>
            <a:gd name="csX41" fmla="*/ 17414838 w 17414838"/>
            <a:gd name="csY41" fmla="*/ 3345775 h 9229725"/>
            <a:gd name="csX42" fmla="*/ 17414838 w 17414838"/>
            <a:gd name="csY42" fmla="*/ 4014930 h 9229725"/>
            <a:gd name="csX43" fmla="*/ 17414838 w 17414838"/>
            <a:gd name="csY43" fmla="*/ 4314896 h 9229725"/>
            <a:gd name="csX44" fmla="*/ 17414838 w 17414838"/>
            <a:gd name="csY44" fmla="*/ 4799457 h 9229725"/>
            <a:gd name="csX45" fmla="*/ 17414838 w 17414838"/>
            <a:gd name="csY45" fmla="*/ 5560909 h 9229725"/>
            <a:gd name="csX46" fmla="*/ 17414838 w 17414838"/>
            <a:gd name="csY46" fmla="*/ 6322362 h 9229725"/>
            <a:gd name="csX47" fmla="*/ 17414838 w 17414838"/>
            <a:gd name="csY47" fmla="*/ 6806922 h 9229725"/>
            <a:gd name="csX48" fmla="*/ 17414838 w 17414838"/>
            <a:gd name="csY48" fmla="*/ 7291483 h 9229725"/>
            <a:gd name="csX49" fmla="*/ 17414838 w 17414838"/>
            <a:gd name="csY49" fmla="*/ 7960638 h 9229725"/>
            <a:gd name="csX50" fmla="*/ 17414838 w 17414838"/>
            <a:gd name="csY50" fmla="*/ 8352901 h 9229725"/>
            <a:gd name="csX51" fmla="*/ 17414838 w 17414838"/>
            <a:gd name="csY51" fmla="*/ 9229725 h 9229725"/>
            <a:gd name="csX52" fmla="*/ 17008492 w 17414838"/>
            <a:gd name="csY52" fmla="*/ 9229725 h 9229725"/>
            <a:gd name="csX53" fmla="*/ 16253849 w 17414838"/>
            <a:gd name="csY53" fmla="*/ 9229725 h 9229725"/>
            <a:gd name="csX54" fmla="*/ 15499206 w 17414838"/>
            <a:gd name="csY54" fmla="*/ 9229725 h 9229725"/>
            <a:gd name="csX55" fmla="*/ 15092860 w 17414838"/>
            <a:gd name="csY55" fmla="*/ 9229725 h 9229725"/>
            <a:gd name="csX56" fmla="*/ 14686513 w 17414838"/>
            <a:gd name="csY56" fmla="*/ 9229725 h 9229725"/>
            <a:gd name="csX57" fmla="*/ 14280167 w 17414838"/>
            <a:gd name="csY57" fmla="*/ 9229725 h 9229725"/>
            <a:gd name="csX58" fmla="*/ 13351376 w 17414838"/>
            <a:gd name="csY58" fmla="*/ 9229725 h 9229725"/>
            <a:gd name="csX59" fmla="*/ 13293326 w 17414838"/>
            <a:gd name="csY59" fmla="*/ 9229725 h 9229725"/>
            <a:gd name="csX60" fmla="*/ 12538683 w 17414838"/>
            <a:gd name="csY60" fmla="*/ 9229725 h 9229725"/>
            <a:gd name="csX61" fmla="*/ 12132337 w 17414838"/>
            <a:gd name="csY61" fmla="*/ 9229725 h 9229725"/>
            <a:gd name="csX62" fmla="*/ 11551843 w 17414838"/>
            <a:gd name="csY62" fmla="*/ 9229725 h 9229725"/>
            <a:gd name="csX63" fmla="*/ 11319645 w 17414838"/>
            <a:gd name="csY63" fmla="*/ 9229725 h 9229725"/>
            <a:gd name="csX64" fmla="*/ 10913298 w 17414838"/>
            <a:gd name="csY64" fmla="*/ 9229725 h 9229725"/>
            <a:gd name="csX65" fmla="*/ 10332804 w 17414838"/>
            <a:gd name="csY65" fmla="*/ 9229725 h 9229725"/>
            <a:gd name="csX66" fmla="*/ 10100606 w 17414838"/>
            <a:gd name="csY66" fmla="*/ 9229725 h 9229725"/>
            <a:gd name="csX67" fmla="*/ 9694260 w 17414838"/>
            <a:gd name="csY67" fmla="*/ 9229725 h 9229725"/>
            <a:gd name="csX68" fmla="*/ 9636210 w 17414838"/>
            <a:gd name="csY68" fmla="*/ 9229725 h 9229725"/>
            <a:gd name="csX69" fmla="*/ 9578161 w 17414838"/>
            <a:gd name="csY69" fmla="*/ 9229725 h 9229725"/>
            <a:gd name="csX70" fmla="*/ 8997666 w 17414838"/>
            <a:gd name="csY70" fmla="*/ 9229725 h 9229725"/>
            <a:gd name="csX71" fmla="*/ 8765468 w 17414838"/>
            <a:gd name="csY71" fmla="*/ 9229725 h 9229725"/>
            <a:gd name="csX72" fmla="*/ 8533271 w 17414838"/>
            <a:gd name="csY72" fmla="*/ 9229725 h 9229725"/>
            <a:gd name="csX73" fmla="*/ 7952776 w 17414838"/>
            <a:gd name="csY73" fmla="*/ 9229725 h 9229725"/>
            <a:gd name="csX74" fmla="*/ 7546430 w 17414838"/>
            <a:gd name="csY74" fmla="*/ 9229725 h 9229725"/>
            <a:gd name="csX75" fmla="*/ 6791787 w 17414838"/>
            <a:gd name="csY75" fmla="*/ 9229725 h 9229725"/>
            <a:gd name="csX76" fmla="*/ 6211292 w 17414838"/>
            <a:gd name="csY76" fmla="*/ 9229725 h 9229725"/>
            <a:gd name="csX77" fmla="*/ 5804946 w 17414838"/>
            <a:gd name="csY77" fmla="*/ 9229725 h 9229725"/>
            <a:gd name="csX78" fmla="*/ 5224451 w 17414838"/>
            <a:gd name="csY78" fmla="*/ 9229725 h 9229725"/>
            <a:gd name="csX79" fmla="*/ 4469808 w 17414838"/>
            <a:gd name="csY79" fmla="*/ 9229725 h 9229725"/>
            <a:gd name="csX80" fmla="*/ 4063462 w 17414838"/>
            <a:gd name="csY80" fmla="*/ 9229725 h 9229725"/>
            <a:gd name="csX81" fmla="*/ 3482968 w 17414838"/>
            <a:gd name="csY81" fmla="*/ 9229725 h 9229725"/>
            <a:gd name="csX82" fmla="*/ 2728325 w 17414838"/>
            <a:gd name="csY82" fmla="*/ 9229725 h 9229725"/>
            <a:gd name="csX83" fmla="*/ 2147830 w 17414838"/>
            <a:gd name="csY83" fmla="*/ 9229725 h 9229725"/>
            <a:gd name="csX84" fmla="*/ 1393187 w 17414838"/>
            <a:gd name="csY84" fmla="*/ 9229725 h 9229725"/>
            <a:gd name="csX85" fmla="*/ 812692 w 17414838"/>
            <a:gd name="csY85" fmla="*/ 9229725 h 9229725"/>
            <a:gd name="csX86" fmla="*/ 0 w 17414838"/>
            <a:gd name="csY86" fmla="*/ 9229725 h 9229725"/>
            <a:gd name="csX87" fmla="*/ 0 w 17414838"/>
            <a:gd name="csY87" fmla="*/ 8929759 h 9229725"/>
            <a:gd name="csX88" fmla="*/ 0 w 17414838"/>
            <a:gd name="csY88" fmla="*/ 8445198 h 9229725"/>
            <a:gd name="csX89" fmla="*/ 0 w 17414838"/>
            <a:gd name="csY89" fmla="*/ 8052935 h 9229725"/>
            <a:gd name="csX90" fmla="*/ 0 w 17414838"/>
            <a:gd name="csY90" fmla="*/ 7476077 h 9229725"/>
            <a:gd name="csX91" fmla="*/ 0 w 17414838"/>
            <a:gd name="csY91" fmla="*/ 7176111 h 9229725"/>
            <a:gd name="csX92" fmla="*/ 0 w 17414838"/>
            <a:gd name="csY92" fmla="*/ 6876145 h 9229725"/>
            <a:gd name="csX93" fmla="*/ 0 w 17414838"/>
            <a:gd name="csY93" fmla="*/ 6299287 h 9229725"/>
            <a:gd name="csX94" fmla="*/ 0 w 17414838"/>
            <a:gd name="csY94" fmla="*/ 5907024 h 9229725"/>
            <a:gd name="csX95" fmla="*/ 0 w 17414838"/>
            <a:gd name="csY95" fmla="*/ 5607058 h 9229725"/>
            <a:gd name="csX96" fmla="*/ 0 w 17414838"/>
            <a:gd name="csY96" fmla="*/ 4937903 h 9229725"/>
            <a:gd name="csX97" fmla="*/ 0 w 17414838"/>
            <a:gd name="csY97" fmla="*/ 4268748 h 9229725"/>
            <a:gd name="csX98" fmla="*/ 0 w 17414838"/>
            <a:gd name="csY98" fmla="*/ 3968782 h 9229725"/>
            <a:gd name="csX99" fmla="*/ 0 w 17414838"/>
            <a:gd name="csY99" fmla="*/ 3299627 h 9229725"/>
            <a:gd name="csX100" fmla="*/ 0 w 17414838"/>
            <a:gd name="csY100" fmla="*/ 2999661 h 9229725"/>
            <a:gd name="csX101" fmla="*/ 0 w 17414838"/>
            <a:gd name="csY101" fmla="*/ 2330506 h 9229725"/>
            <a:gd name="csX102" fmla="*/ 0 w 17414838"/>
            <a:gd name="csY102" fmla="*/ 2030540 h 9229725"/>
            <a:gd name="csX103" fmla="*/ 0 w 17414838"/>
            <a:gd name="csY103" fmla="*/ 1361384 h 9229725"/>
            <a:gd name="csX104" fmla="*/ 0 w 17414838"/>
            <a:gd name="csY104" fmla="*/ 876824 h 9229725"/>
            <a:gd name="csX105" fmla="*/ 0 w 17414838"/>
            <a:gd name="csY105" fmla="*/ 0 h 92297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</a:cxnLst>
          <a:rect l="l" t="t" r="r" b="b"/>
          <a:pathLst>
            <a:path w="17414838" h="9229725" fill="none" extrusionOk="0">
              <a:moveTo>
                <a:pt x="0" y="0"/>
              </a:moveTo>
              <a:cubicBezTo>
                <a:pt x="184217" y="-19077"/>
                <a:pt x="421932" y="27139"/>
                <a:pt x="580495" y="0"/>
              </a:cubicBezTo>
              <a:cubicBezTo>
                <a:pt x="739059" y="-27139"/>
                <a:pt x="622761" y="6244"/>
                <a:pt x="638544" y="0"/>
              </a:cubicBezTo>
              <a:cubicBezTo>
                <a:pt x="654327" y="-6244"/>
                <a:pt x="668732" y="6567"/>
                <a:pt x="696594" y="0"/>
              </a:cubicBezTo>
              <a:cubicBezTo>
                <a:pt x="724456" y="-6567"/>
                <a:pt x="1312630" y="50568"/>
                <a:pt x="1625385" y="0"/>
              </a:cubicBezTo>
              <a:cubicBezTo>
                <a:pt x="1938140" y="-50568"/>
                <a:pt x="1945489" y="12157"/>
                <a:pt x="2031731" y="0"/>
              </a:cubicBezTo>
              <a:cubicBezTo>
                <a:pt x="2117973" y="-12157"/>
                <a:pt x="2534430" y="102336"/>
                <a:pt x="2960522" y="0"/>
              </a:cubicBezTo>
              <a:cubicBezTo>
                <a:pt x="3386614" y="-102336"/>
                <a:pt x="3179920" y="19948"/>
                <a:pt x="3366869" y="0"/>
              </a:cubicBezTo>
              <a:cubicBezTo>
                <a:pt x="3553818" y="-19948"/>
                <a:pt x="3835959" y="28251"/>
                <a:pt x="4121512" y="0"/>
              </a:cubicBezTo>
              <a:cubicBezTo>
                <a:pt x="4407065" y="-28251"/>
                <a:pt x="4304409" y="17477"/>
                <a:pt x="4353709" y="0"/>
              </a:cubicBezTo>
              <a:cubicBezTo>
                <a:pt x="4403009" y="-17477"/>
                <a:pt x="4689834" y="44808"/>
                <a:pt x="4934204" y="0"/>
              </a:cubicBezTo>
              <a:cubicBezTo>
                <a:pt x="5178575" y="-44808"/>
                <a:pt x="5242520" y="20636"/>
                <a:pt x="5514699" y="0"/>
              </a:cubicBezTo>
              <a:cubicBezTo>
                <a:pt x="5786878" y="-20636"/>
                <a:pt x="5765348" y="928"/>
                <a:pt x="5921045" y="0"/>
              </a:cubicBezTo>
              <a:cubicBezTo>
                <a:pt x="6076742" y="-928"/>
                <a:pt x="6227947" y="17802"/>
                <a:pt x="6327391" y="0"/>
              </a:cubicBezTo>
              <a:cubicBezTo>
                <a:pt x="6426835" y="-17802"/>
                <a:pt x="6369915" y="132"/>
                <a:pt x="6385441" y="0"/>
              </a:cubicBezTo>
              <a:cubicBezTo>
                <a:pt x="6400967" y="-132"/>
                <a:pt x="6415977" y="4942"/>
                <a:pt x="6443490" y="0"/>
              </a:cubicBezTo>
              <a:cubicBezTo>
                <a:pt x="6471003" y="-4942"/>
                <a:pt x="6489365" y="3219"/>
                <a:pt x="6501540" y="0"/>
              </a:cubicBezTo>
              <a:cubicBezTo>
                <a:pt x="6513715" y="-3219"/>
                <a:pt x="6538579" y="3411"/>
                <a:pt x="6559589" y="0"/>
              </a:cubicBezTo>
              <a:cubicBezTo>
                <a:pt x="6580599" y="-3411"/>
                <a:pt x="6589083" y="2105"/>
                <a:pt x="6617638" y="0"/>
              </a:cubicBezTo>
              <a:cubicBezTo>
                <a:pt x="6646193" y="-2105"/>
                <a:pt x="6926119" y="17259"/>
                <a:pt x="7023985" y="0"/>
              </a:cubicBezTo>
              <a:cubicBezTo>
                <a:pt x="7121851" y="-17259"/>
                <a:pt x="7058465" y="5195"/>
                <a:pt x="7082034" y="0"/>
              </a:cubicBezTo>
              <a:cubicBezTo>
                <a:pt x="7105603" y="-5195"/>
                <a:pt x="7739542" y="4473"/>
                <a:pt x="8010825" y="0"/>
              </a:cubicBezTo>
              <a:cubicBezTo>
                <a:pt x="8282108" y="-4473"/>
                <a:pt x="8048121" y="300"/>
                <a:pt x="8068875" y="0"/>
              </a:cubicBezTo>
              <a:cubicBezTo>
                <a:pt x="8089629" y="-300"/>
                <a:pt x="8513690" y="36083"/>
                <a:pt x="8649370" y="0"/>
              </a:cubicBezTo>
              <a:cubicBezTo>
                <a:pt x="8785050" y="-36083"/>
                <a:pt x="9204098" y="16432"/>
                <a:pt x="9578161" y="0"/>
              </a:cubicBezTo>
              <a:cubicBezTo>
                <a:pt x="9952224" y="-16432"/>
                <a:pt x="10289085" y="75492"/>
                <a:pt x="10506952" y="0"/>
              </a:cubicBezTo>
              <a:cubicBezTo>
                <a:pt x="10724819" y="-75492"/>
                <a:pt x="10946248" y="28436"/>
                <a:pt x="11261595" y="0"/>
              </a:cubicBezTo>
              <a:cubicBezTo>
                <a:pt x="11576942" y="-28436"/>
                <a:pt x="11483646" y="33837"/>
                <a:pt x="11667941" y="0"/>
              </a:cubicBezTo>
              <a:cubicBezTo>
                <a:pt x="11852236" y="-33837"/>
                <a:pt x="11828490" y="23185"/>
                <a:pt x="11900139" y="0"/>
              </a:cubicBezTo>
              <a:cubicBezTo>
                <a:pt x="11971788" y="-23185"/>
                <a:pt x="12357189" y="52137"/>
                <a:pt x="12654782" y="0"/>
              </a:cubicBezTo>
              <a:cubicBezTo>
                <a:pt x="12952375" y="-52137"/>
                <a:pt x="13215742" y="445"/>
                <a:pt x="13409425" y="0"/>
              </a:cubicBezTo>
              <a:cubicBezTo>
                <a:pt x="13603108" y="-445"/>
                <a:pt x="13886508" y="65486"/>
                <a:pt x="14164068" y="0"/>
              </a:cubicBezTo>
              <a:cubicBezTo>
                <a:pt x="14441628" y="-65486"/>
                <a:pt x="14205426" y="3744"/>
                <a:pt x="14222118" y="0"/>
              </a:cubicBezTo>
              <a:cubicBezTo>
                <a:pt x="14238810" y="-3744"/>
                <a:pt x="14379205" y="10905"/>
                <a:pt x="14454316" y="0"/>
              </a:cubicBezTo>
              <a:cubicBezTo>
                <a:pt x="14529427" y="-10905"/>
                <a:pt x="15056105" y="15162"/>
                <a:pt x="15208959" y="0"/>
              </a:cubicBezTo>
              <a:cubicBezTo>
                <a:pt x="15361813" y="-15162"/>
                <a:pt x="15693625" y="81215"/>
                <a:pt x="16137750" y="0"/>
              </a:cubicBezTo>
              <a:cubicBezTo>
                <a:pt x="16581875" y="-81215"/>
                <a:pt x="16857124" y="119519"/>
                <a:pt x="17414838" y="0"/>
              </a:cubicBezTo>
              <a:cubicBezTo>
                <a:pt x="17439769" y="128557"/>
                <a:pt x="17355217" y="440963"/>
                <a:pt x="17414838" y="576858"/>
              </a:cubicBezTo>
              <a:cubicBezTo>
                <a:pt x="17474459" y="712753"/>
                <a:pt x="17350756" y="984815"/>
                <a:pt x="17414838" y="1338310"/>
              </a:cubicBezTo>
              <a:cubicBezTo>
                <a:pt x="17478920" y="1691805"/>
                <a:pt x="17362403" y="1864607"/>
                <a:pt x="17414838" y="2099762"/>
              </a:cubicBezTo>
              <a:cubicBezTo>
                <a:pt x="17467273" y="2334917"/>
                <a:pt x="17358081" y="2367647"/>
                <a:pt x="17414838" y="2584323"/>
              </a:cubicBezTo>
              <a:cubicBezTo>
                <a:pt x="17471595" y="2800999"/>
                <a:pt x="17334693" y="3001755"/>
                <a:pt x="17414838" y="3345775"/>
              </a:cubicBezTo>
              <a:cubicBezTo>
                <a:pt x="17494983" y="3689795"/>
                <a:pt x="17412100" y="3753560"/>
                <a:pt x="17414838" y="4014930"/>
              </a:cubicBezTo>
              <a:cubicBezTo>
                <a:pt x="17417576" y="4276300"/>
                <a:pt x="17401995" y="4195331"/>
                <a:pt x="17414838" y="4314896"/>
              </a:cubicBezTo>
              <a:cubicBezTo>
                <a:pt x="17427681" y="4434461"/>
                <a:pt x="17398461" y="4642052"/>
                <a:pt x="17414838" y="4799457"/>
              </a:cubicBezTo>
              <a:cubicBezTo>
                <a:pt x="17431215" y="4956862"/>
                <a:pt x="17353414" y="5367166"/>
                <a:pt x="17414838" y="5560909"/>
              </a:cubicBezTo>
              <a:cubicBezTo>
                <a:pt x="17476262" y="5754652"/>
                <a:pt x="17358925" y="6014758"/>
                <a:pt x="17414838" y="6322362"/>
              </a:cubicBezTo>
              <a:cubicBezTo>
                <a:pt x="17470751" y="6629966"/>
                <a:pt x="17389506" y="6575981"/>
                <a:pt x="17414838" y="6806922"/>
              </a:cubicBezTo>
              <a:cubicBezTo>
                <a:pt x="17440170" y="7037863"/>
                <a:pt x="17394950" y="7055094"/>
                <a:pt x="17414838" y="7291483"/>
              </a:cubicBezTo>
              <a:cubicBezTo>
                <a:pt x="17434726" y="7527872"/>
                <a:pt x="17388850" y="7774209"/>
                <a:pt x="17414838" y="7960638"/>
              </a:cubicBezTo>
              <a:cubicBezTo>
                <a:pt x="17440826" y="8147068"/>
                <a:pt x="17382247" y="8163595"/>
                <a:pt x="17414838" y="8352901"/>
              </a:cubicBezTo>
              <a:cubicBezTo>
                <a:pt x="17447429" y="8542207"/>
                <a:pt x="17316117" y="9020809"/>
                <a:pt x="17414838" y="9229725"/>
              </a:cubicBezTo>
              <a:cubicBezTo>
                <a:pt x="17250121" y="9276139"/>
                <a:pt x="17104977" y="9216184"/>
                <a:pt x="17008492" y="9229725"/>
              </a:cubicBezTo>
              <a:cubicBezTo>
                <a:pt x="16912007" y="9243266"/>
                <a:pt x="16483200" y="9214532"/>
                <a:pt x="16253849" y="9229725"/>
              </a:cubicBezTo>
              <a:cubicBezTo>
                <a:pt x="16024498" y="9244918"/>
                <a:pt x="15667507" y="9142152"/>
                <a:pt x="15499206" y="9229725"/>
              </a:cubicBezTo>
              <a:cubicBezTo>
                <a:pt x="15330905" y="9317298"/>
                <a:pt x="15229531" y="9212167"/>
                <a:pt x="15092860" y="9229725"/>
              </a:cubicBezTo>
              <a:cubicBezTo>
                <a:pt x="14956189" y="9247283"/>
                <a:pt x="14878987" y="9196751"/>
                <a:pt x="14686513" y="9229725"/>
              </a:cubicBezTo>
              <a:cubicBezTo>
                <a:pt x="14494039" y="9262699"/>
                <a:pt x="14479997" y="9206553"/>
                <a:pt x="14280167" y="9229725"/>
              </a:cubicBezTo>
              <a:cubicBezTo>
                <a:pt x="14080337" y="9252897"/>
                <a:pt x="13787078" y="9199881"/>
                <a:pt x="13351376" y="9229725"/>
              </a:cubicBezTo>
              <a:cubicBezTo>
                <a:pt x="12915674" y="9259569"/>
                <a:pt x="13315838" y="9223104"/>
                <a:pt x="13293326" y="9229725"/>
              </a:cubicBezTo>
              <a:cubicBezTo>
                <a:pt x="13270814" y="9236346"/>
                <a:pt x="12793200" y="9204790"/>
                <a:pt x="12538683" y="9229725"/>
              </a:cubicBezTo>
              <a:cubicBezTo>
                <a:pt x="12284166" y="9254660"/>
                <a:pt x="12302293" y="9182835"/>
                <a:pt x="12132337" y="9229725"/>
              </a:cubicBezTo>
              <a:cubicBezTo>
                <a:pt x="11962381" y="9276615"/>
                <a:pt x="11709538" y="9170130"/>
                <a:pt x="11551843" y="9229725"/>
              </a:cubicBezTo>
              <a:cubicBezTo>
                <a:pt x="11394148" y="9289320"/>
                <a:pt x="11425766" y="9228385"/>
                <a:pt x="11319645" y="9229725"/>
              </a:cubicBezTo>
              <a:cubicBezTo>
                <a:pt x="11213524" y="9231065"/>
                <a:pt x="11054951" y="9198582"/>
                <a:pt x="10913298" y="9229725"/>
              </a:cubicBezTo>
              <a:cubicBezTo>
                <a:pt x="10771645" y="9260868"/>
                <a:pt x="10609272" y="9188357"/>
                <a:pt x="10332804" y="9229725"/>
              </a:cubicBezTo>
              <a:cubicBezTo>
                <a:pt x="10056336" y="9271093"/>
                <a:pt x="10160755" y="9206747"/>
                <a:pt x="10100606" y="9229725"/>
              </a:cubicBezTo>
              <a:cubicBezTo>
                <a:pt x="10040457" y="9252703"/>
                <a:pt x="9799342" y="9226705"/>
                <a:pt x="9694260" y="9229725"/>
              </a:cubicBezTo>
              <a:cubicBezTo>
                <a:pt x="9589178" y="9232745"/>
                <a:pt x="9653514" y="9227950"/>
                <a:pt x="9636210" y="9229725"/>
              </a:cubicBezTo>
              <a:cubicBezTo>
                <a:pt x="9618906" y="9231500"/>
                <a:pt x="9600530" y="9228544"/>
                <a:pt x="9578161" y="9229725"/>
              </a:cubicBezTo>
              <a:cubicBezTo>
                <a:pt x="9555792" y="9230906"/>
                <a:pt x="9146958" y="9202191"/>
                <a:pt x="8997666" y="9229725"/>
              </a:cubicBezTo>
              <a:cubicBezTo>
                <a:pt x="8848375" y="9257259"/>
                <a:pt x="8881382" y="9201908"/>
                <a:pt x="8765468" y="9229725"/>
              </a:cubicBezTo>
              <a:cubicBezTo>
                <a:pt x="8649554" y="9257542"/>
                <a:pt x="8614278" y="9220909"/>
                <a:pt x="8533271" y="9229725"/>
              </a:cubicBezTo>
              <a:cubicBezTo>
                <a:pt x="8452264" y="9238541"/>
                <a:pt x="8146097" y="9189731"/>
                <a:pt x="7952776" y="9229725"/>
              </a:cubicBezTo>
              <a:cubicBezTo>
                <a:pt x="7759456" y="9269719"/>
                <a:pt x="7666048" y="9206634"/>
                <a:pt x="7546430" y="9229725"/>
              </a:cubicBezTo>
              <a:cubicBezTo>
                <a:pt x="7426812" y="9252816"/>
                <a:pt x="7005839" y="9148575"/>
                <a:pt x="6791787" y="9229725"/>
              </a:cubicBezTo>
              <a:cubicBezTo>
                <a:pt x="6577735" y="9310875"/>
                <a:pt x="6403011" y="9167773"/>
                <a:pt x="6211292" y="9229725"/>
              </a:cubicBezTo>
              <a:cubicBezTo>
                <a:pt x="6019574" y="9291677"/>
                <a:pt x="5942637" y="9208310"/>
                <a:pt x="5804946" y="9229725"/>
              </a:cubicBezTo>
              <a:cubicBezTo>
                <a:pt x="5667255" y="9251140"/>
                <a:pt x="5397346" y="9168778"/>
                <a:pt x="5224451" y="9229725"/>
              </a:cubicBezTo>
              <a:cubicBezTo>
                <a:pt x="5051556" y="9290672"/>
                <a:pt x="4780918" y="9167966"/>
                <a:pt x="4469808" y="9229725"/>
              </a:cubicBezTo>
              <a:cubicBezTo>
                <a:pt x="4158698" y="9291484"/>
                <a:pt x="4200221" y="9209369"/>
                <a:pt x="4063462" y="9229725"/>
              </a:cubicBezTo>
              <a:cubicBezTo>
                <a:pt x="3926703" y="9250081"/>
                <a:pt x="3706727" y="9160848"/>
                <a:pt x="3482968" y="9229725"/>
              </a:cubicBezTo>
              <a:cubicBezTo>
                <a:pt x="3259209" y="9298602"/>
                <a:pt x="3060507" y="9224514"/>
                <a:pt x="2728325" y="9229725"/>
              </a:cubicBezTo>
              <a:cubicBezTo>
                <a:pt x="2396143" y="9234936"/>
                <a:pt x="2332920" y="9210365"/>
                <a:pt x="2147830" y="9229725"/>
              </a:cubicBezTo>
              <a:cubicBezTo>
                <a:pt x="1962740" y="9249085"/>
                <a:pt x="1667898" y="9202778"/>
                <a:pt x="1393187" y="9229725"/>
              </a:cubicBezTo>
              <a:cubicBezTo>
                <a:pt x="1118476" y="9256672"/>
                <a:pt x="963922" y="9192243"/>
                <a:pt x="812692" y="9229725"/>
              </a:cubicBezTo>
              <a:cubicBezTo>
                <a:pt x="661462" y="9267207"/>
                <a:pt x="386502" y="9211376"/>
                <a:pt x="0" y="9229725"/>
              </a:cubicBezTo>
              <a:cubicBezTo>
                <a:pt x="-31468" y="9152855"/>
                <a:pt x="26379" y="8991034"/>
                <a:pt x="0" y="8929759"/>
              </a:cubicBezTo>
              <a:cubicBezTo>
                <a:pt x="-26379" y="8868484"/>
                <a:pt x="13905" y="8639708"/>
                <a:pt x="0" y="8445198"/>
              </a:cubicBezTo>
              <a:cubicBezTo>
                <a:pt x="-13905" y="8250688"/>
                <a:pt x="37412" y="8240097"/>
                <a:pt x="0" y="8052935"/>
              </a:cubicBezTo>
              <a:cubicBezTo>
                <a:pt x="-37412" y="7865773"/>
                <a:pt x="64818" y="7682878"/>
                <a:pt x="0" y="7476077"/>
              </a:cubicBezTo>
              <a:cubicBezTo>
                <a:pt x="-64818" y="7269276"/>
                <a:pt x="591" y="7298383"/>
                <a:pt x="0" y="7176111"/>
              </a:cubicBezTo>
              <a:cubicBezTo>
                <a:pt x="-591" y="7053839"/>
                <a:pt x="12110" y="7015707"/>
                <a:pt x="0" y="6876145"/>
              </a:cubicBezTo>
              <a:cubicBezTo>
                <a:pt x="-12110" y="6736583"/>
                <a:pt x="35359" y="6531423"/>
                <a:pt x="0" y="6299287"/>
              </a:cubicBezTo>
              <a:cubicBezTo>
                <a:pt x="-35359" y="6067151"/>
                <a:pt x="1576" y="6051265"/>
                <a:pt x="0" y="5907024"/>
              </a:cubicBezTo>
              <a:cubicBezTo>
                <a:pt x="-1576" y="5762783"/>
                <a:pt x="32829" y="5707267"/>
                <a:pt x="0" y="5607058"/>
              </a:cubicBezTo>
              <a:cubicBezTo>
                <a:pt x="-32829" y="5506849"/>
                <a:pt x="6884" y="5116173"/>
                <a:pt x="0" y="4937903"/>
              </a:cubicBezTo>
              <a:cubicBezTo>
                <a:pt x="-6884" y="4759634"/>
                <a:pt x="11691" y="4403270"/>
                <a:pt x="0" y="4268748"/>
              </a:cubicBezTo>
              <a:cubicBezTo>
                <a:pt x="-11691" y="4134227"/>
                <a:pt x="7622" y="4092880"/>
                <a:pt x="0" y="3968782"/>
              </a:cubicBezTo>
              <a:cubicBezTo>
                <a:pt x="-7622" y="3844684"/>
                <a:pt x="23135" y="3566835"/>
                <a:pt x="0" y="3299627"/>
              </a:cubicBezTo>
              <a:cubicBezTo>
                <a:pt x="-23135" y="3032419"/>
                <a:pt x="22182" y="3079925"/>
                <a:pt x="0" y="2999661"/>
              </a:cubicBezTo>
              <a:cubicBezTo>
                <a:pt x="-22182" y="2919397"/>
                <a:pt x="23523" y="2506443"/>
                <a:pt x="0" y="2330506"/>
              </a:cubicBezTo>
              <a:cubicBezTo>
                <a:pt x="-23523" y="2154570"/>
                <a:pt x="25014" y="2178485"/>
                <a:pt x="0" y="2030540"/>
              </a:cubicBezTo>
              <a:cubicBezTo>
                <a:pt x="-25014" y="1882595"/>
                <a:pt x="47801" y="1550729"/>
                <a:pt x="0" y="1361384"/>
              </a:cubicBezTo>
              <a:cubicBezTo>
                <a:pt x="-47801" y="1172039"/>
                <a:pt x="28225" y="1009529"/>
                <a:pt x="0" y="876824"/>
              </a:cubicBezTo>
              <a:cubicBezTo>
                <a:pt x="-28225" y="744119"/>
                <a:pt x="55159" y="267464"/>
                <a:pt x="0" y="0"/>
              </a:cubicBezTo>
              <a:close/>
            </a:path>
            <a:path w="17414838" h="9229725" stroke="0" extrusionOk="0">
              <a:moveTo>
                <a:pt x="0" y="0"/>
              </a:moveTo>
              <a:cubicBezTo>
                <a:pt x="134286" y="-18953"/>
                <a:pt x="262965" y="8455"/>
                <a:pt x="406346" y="0"/>
              </a:cubicBezTo>
              <a:cubicBezTo>
                <a:pt x="549727" y="-8455"/>
                <a:pt x="447106" y="3101"/>
                <a:pt x="464396" y="0"/>
              </a:cubicBezTo>
              <a:cubicBezTo>
                <a:pt x="481686" y="-3101"/>
                <a:pt x="1084010" y="43558"/>
                <a:pt x="1393187" y="0"/>
              </a:cubicBezTo>
              <a:cubicBezTo>
                <a:pt x="1702364" y="-43558"/>
                <a:pt x="1606531" y="11040"/>
                <a:pt x="1799533" y="0"/>
              </a:cubicBezTo>
              <a:cubicBezTo>
                <a:pt x="1992535" y="-11040"/>
                <a:pt x="2061812" y="28381"/>
                <a:pt x="2205879" y="0"/>
              </a:cubicBezTo>
              <a:cubicBezTo>
                <a:pt x="2349946" y="-28381"/>
                <a:pt x="2726518" y="77110"/>
                <a:pt x="3134671" y="0"/>
              </a:cubicBezTo>
              <a:cubicBezTo>
                <a:pt x="3542824" y="-77110"/>
                <a:pt x="3260765" y="18913"/>
                <a:pt x="3366869" y="0"/>
              </a:cubicBezTo>
              <a:cubicBezTo>
                <a:pt x="3472973" y="-18913"/>
                <a:pt x="3898046" y="52288"/>
                <a:pt x="4295660" y="0"/>
              </a:cubicBezTo>
              <a:cubicBezTo>
                <a:pt x="4693274" y="-52288"/>
                <a:pt x="4854186" y="719"/>
                <a:pt x="5224451" y="0"/>
              </a:cubicBezTo>
              <a:cubicBezTo>
                <a:pt x="5594716" y="-719"/>
                <a:pt x="5649245" y="56910"/>
                <a:pt x="5804946" y="0"/>
              </a:cubicBezTo>
              <a:cubicBezTo>
                <a:pt x="5960647" y="-56910"/>
                <a:pt x="6427933" y="12838"/>
                <a:pt x="6733737" y="0"/>
              </a:cubicBezTo>
              <a:cubicBezTo>
                <a:pt x="7039541" y="-12838"/>
                <a:pt x="6939689" y="45157"/>
                <a:pt x="7140084" y="0"/>
              </a:cubicBezTo>
              <a:cubicBezTo>
                <a:pt x="7340479" y="-45157"/>
                <a:pt x="7409160" y="27909"/>
                <a:pt x="7546430" y="0"/>
              </a:cubicBezTo>
              <a:cubicBezTo>
                <a:pt x="7683700" y="-27909"/>
                <a:pt x="8104656" y="33132"/>
                <a:pt x="8301073" y="0"/>
              </a:cubicBezTo>
              <a:cubicBezTo>
                <a:pt x="8497490" y="-33132"/>
                <a:pt x="8573433" y="9788"/>
                <a:pt x="8707419" y="0"/>
              </a:cubicBezTo>
              <a:cubicBezTo>
                <a:pt x="8841405" y="-9788"/>
                <a:pt x="9300470" y="74217"/>
                <a:pt x="9636210" y="0"/>
              </a:cubicBezTo>
              <a:cubicBezTo>
                <a:pt x="9971950" y="-74217"/>
                <a:pt x="10308590" y="11720"/>
                <a:pt x="10565002" y="0"/>
              </a:cubicBezTo>
              <a:cubicBezTo>
                <a:pt x="10821414" y="-11720"/>
                <a:pt x="10964070" y="37533"/>
                <a:pt x="11145496" y="0"/>
              </a:cubicBezTo>
              <a:cubicBezTo>
                <a:pt x="11326922" y="-37533"/>
                <a:pt x="11367098" y="34812"/>
                <a:pt x="11551843" y="0"/>
              </a:cubicBezTo>
              <a:cubicBezTo>
                <a:pt x="11736588" y="-34812"/>
                <a:pt x="11596246" y="6100"/>
                <a:pt x="11609892" y="0"/>
              </a:cubicBezTo>
              <a:cubicBezTo>
                <a:pt x="11623538" y="-6100"/>
                <a:pt x="11763764" y="723"/>
                <a:pt x="11842090" y="0"/>
              </a:cubicBezTo>
              <a:cubicBezTo>
                <a:pt x="11920416" y="-723"/>
                <a:pt x="11966215" y="10466"/>
                <a:pt x="12074288" y="0"/>
              </a:cubicBezTo>
              <a:cubicBezTo>
                <a:pt x="12182361" y="-10466"/>
                <a:pt x="12370634" y="11969"/>
                <a:pt x="12480634" y="0"/>
              </a:cubicBezTo>
              <a:cubicBezTo>
                <a:pt x="12590634" y="-11969"/>
                <a:pt x="13190927" y="20679"/>
                <a:pt x="13409425" y="0"/>
              </a:cubicBezTo>
              <a:cubicBezTo>
                <a:pt x="13627923" y="-20679"/>
                <a:pt x="13799280" y="19822"/>
                <a:pt x="13989920" y="0"/>
              </a:cubicBezTo>
              <a:cubicBezTo>
                <a:pt x="14180560" y="-19822"/>
                <a:pt x="14206887" y="27472"/>
                <a:pt x="14396266" y="0"/>
              </a:cubicBezTo>
              <a:cubicBezTo>
                <a:pt x="14585645" y="-27472"/>
                <a:pt x="14433807" y="1257"/>
                <a:pt x="14454316" y="0"/>
              </a:cubicBezTo>
              <a:cubicBezTo>
                <a:pt x="14474825" y="-1257"/>
                <a:pt x="14497880" y="640"/>
                <a:pt x="14512365" y="0"/>
              </a:cubicBezTo>
              <a:cubicBezTo>
                <a:pt x="14526850" y="-640"/>
                <a:pt x="14917320" y="34151"/>
                <a:pt x="15267008" y="0"/>
              </a:cubicBezTo>
              <a:cubicBezTo>
                <a:pt x="15616696" y="-34151"/>
                <a:pt x="15405288" y="1254"/>
                <a:pt x="15499206" y="0"/>
              </a:cubicBezTo>
              <a:cubicBezTo>
                <a:pt x="15593124" y="-1254"/>
                <a:pt x="16165698" y="110250"/>
                <a:pt x="16427997" y="0"/>
              </a:cubicBezTo>
              <a:cubicBezTo>
                <a:pt x="16690296" y="-110250"/>
                <a:pt x="16651391" y="856"/>
                <a:pt x="16834343" y="0"/>
              </a:cubicBezTo>
              <a:cubicBezTo>
                <a:pt x="17017295" y="-856"/>
                <a:pt x="16875478" y="1725"/>
                <a:pt x="16892393" y="0"/>
              </a:cubicBezTo>
              <a:cubicBezTo>
                <a:pt x="16909308" y="-1725"/>
                <a:pt x="17300870" y="21413"/>
                <a:pt x="17414838" y="0"/>
              </a:cubicBezTo>
              <a:cubicBezTo>
                <a:pt x="17436431" y="139767"/>
                <a:pt x="17370620" y="279890"/>
                <a:pt x="17414838" y="392263"/>
              </a:cubicBezTo>
              <a:cubicBezTo>
                <a:pt x="17459056" y="504636"/>
                <a:pt x="17361318" y="826352"/>
                <a:pt x="17414838" y="969121"/>
              </a:cubicBezTo>
              <a:cubicBezTo>
                <a:pt x="17468358" y="1111890"/>
                <a:pt x="17340223" y="1527206"/>
                <a:pt x="17414838" y="1730573"/>
              </a:cubicBezTo>
              <a:cubicBezTo>
                <a:pt x="17489453" y="1933940"/>
                <a:pt x="17388917" y="2007972"/>
                <a:pt x="17414838" y="2122837"/>
              </a:cubicBezTo>
              <a:cubicBezTo>
                <a:pt x="17440759" y="2237702"/>
                <a:pt x="17406491" y="2493569"/>
                <a:pt x="17414838" y="2791992"/>
              </a:cubicBezTo>
              <a:cubicBezTo>
                <a:pt x="17423185" y="3090416"/>
                <a:pt x="17406875" y="3052991"/>
                <a:pt x="17414838" y="3184255"/>
              </a:cubicBezTo>
              <a:cubicBezTo>
                <a:pt x="17422801" y="3315519"/>
                <a:pt x="17400708" y="3564154"/>
                <a:pt x="17414838" y="3761113"/>
              </a:cubicBezTo>
              <a:cubicBezTo>
                <a:pt x="17428968" y="3958072"/>
                <a:pt x="17406259" y="4165234"/>
                <a:pt x="17414838" y="4430268"/>
              </a:cubicBezTo>
              <a:cubicBezTo>
                <a:pt x="17423417" y="4695303"/>
                <a:pt x="17394939" y="4655803"/>
                <a:pt x="17414838" y="4730234"/>
              </a:cubicBezTo>
              <a:cubicBezTo>
                <a:pt x="17434737" y="4804665"/>
                <a:pt x="17386592" y="4908806"/>
                <a:pt x="17414838" y="5030200"/>
              </a:cubicBezTo>
              <a:cubicBezTo>
                <a:pt x="17443084" y="5151594"/>
                <a:pt x="17411473" y="5452885"/>
                <a:pt x="17414838" y="5791652"/>
              </a:cubicBezTo>
              <a:cubicBezTo>
                <a:pt x="17418203" y="6130419"/>
                <a:pt x="17345920" y="6124084"/>
                <a:pt x="17414838" y="6368510"/>
              </a:cubicBezTo>
              <a:cubicBezTo>
                <a:pt x="17483756" y="6612936"/>
                <a:pt x="17392674" y="6581376"/>
                <a:pt x="17414838" y="6668476"/>
              </a:cubicBezTo>
              <a:cubicBezTo>
                <a:pt x="17437002" y="6755576"/>
                <a:pt x="17358946" y="7091427"/>
                <a:pt x="17414838" y="7245334"/>
              </a:cubicBezTo>
              <a:cubicBezTo>
                <a:pt x="17470730" y="7399241"/>
                <a:pt x="17401050" y="7683163"/>
                <a:pt x="17414838" y="8006786"/>
              </a:cubicBezTo>
              <a:cubicBezTo>
                <a:pt x="17428626" y="8330409"/>
                <a:pt x="17392108" y="8251244"/>
                <a:pt x="17414838" y="8491347"/>
              </a:cubicBezTo>
              <a:cubicBezTo>
                <a:pt x="17437568" y="8731450"/>
                <a:pt x="17339751" y="8918778"/>
                <a:pt x="17414838" y="9229725"/>
              </a:cubicBezTo>
              <a:cubicBezTo>
                <a:pt x="17279068" y="9255599"/>
                <a:pt x="17022765" y="9213846"/>
                <a:pt x="16834343" y="9229725"/>
              </a:cubicBezTo>
              <a:cubicBezTo>
                <a:pt x="16645922" y="9245604"/>
                <a:pt x="16241747" y="9195161"/>
                <a:pt x="15905552" y="9229725"/>
              </a:cubicBezTo>
              <a:cubicBezTo>
                <a:pt x="15569357" y="9264289"/>
                <a:pt x="15590186" y="9201463"/>
                <a:pt x="15325057" y="9229725"/>
              </a:cubicBezTo>
              <a:cubicBezTo>
                <a:pt x="15059929" y="9257987"/>
                <a:pt x="14668488" y="9199943"/>
                <a:pt x="14396266" y="9229725"/>
              </a:cubicBezTo>
              <a:cubicBezTo>
                <a:pt x="14124044" y="9259507"/>
                <a:pt x="14138613" y="9208309"/>
                <a:pt x="13989920" y="9229725"/>
              </a:cubicBezTo>
              <a:cubicBezTo>
                <a:pt x="13841227" y="9251141"/>
                <a:pt x="13827491" y="9215230"/>
                <a:pt x="13757722" y="9229725"/>
              </a:cubicBezTo>
              <a:cubicBezTo>
                <a:pt x="13687953" y="9244220"/>
                <a:pt x="13364324" y="9224043"/>
                <a:pt x="13177227" y="9229725"/>
              </a:cubicBezTo>
              <a:cubicBezTo>
                <a:pt x="12990131" y="9235407"/>
                <a:pt x="12706196" y="9217470"/>
                <a:pt x="12422584" y="9229725"/>
              </a:cubicBezTo>
              <a:cubicBezTo>
                <a:pt x="12138972" y="9241980"/>
                <a:pt x="11836037" y="9165778"/>
                <a:pt x="11493793" y="9229725"/>
              </a:cubicBezTo>
              <a:cubicBezTo>
                <a:pt x="11151549" y="9293672"/>
                <a:pt x="11033336" y="9139685"/>
                <a:pt x="10739150" y="9229725"/>
              </a:cubicBezTo>
              <a:cubicBezTo>
                <a:pt x="10444964" y="9319765"/>
                <a:pt x="10079008" y="9224656"/>
                <a:pt x="9810359" y="9229725"/>
              </a:cubicBezTo>
              <a:cubicBezTo>
                <a:pt x="9541710" y="9234794"/>
                <a:pt x="9298406" y="9176215"/>
                <a:pt x="9055716" y="9229725"/>
              </a:cubicBezTo>
              <a:cubicBezTo>
                <a:pt x="8813026" y="9283235"/>
                <a:pt x="8877930" y="9226303"/>
                <a:pt x="8823518" y="9229725"/>
              </a:cubicBezTo>
              <a:cubicBezTo>
                <a:pt x="8769106" y="9233147"/>
                <a:pt x="8232365" y="9162544"/>
                <a:pt x="8068875" y="9229725"/>
              </a:cubicBezTo>
              <a:cubicBezTo>
                <a:pt x="7905385" y="9296906"/>
                <a:pt x="7818928" y="9182612"/>
                <a:pt x="7662529" y="9229725"/>
              </a:cubicBezTo>
              <a:cubicBezTo>
                <a:pt x="7506130" y="9276838"/>
                <a:pt x="7540290" y="9208707"/>
                <a:pt x="7430331" y="9229725"/>
              </a:cubicBezTo>
              <a:cubicBezTo>
                <a:pt x="7320372" y="9250743"/>
                <a:pt x="7396672" y="9229335"/>
                <a:pt x="7372281" y="9229725"/>
              </a:cubicBezTo>
              <a:cubicBezTo>
                <a:pt x="7347890" y="9230115"/>
                <a:pt x="7225551" y="9217208"/>
                <a:pt x="7140084" y="9229725"/>
              </a:cubicBezTo>
              <a:cubicBezTo>
                <a:pt x="7054617" y="9242242"/>
                <a:pt x="7004057" y="9223293"/>
                <a:pt x="6907886" y="9229725"/>
              </a:cubicBezTo>
              <a:cubicBezTo>
                <a:pt x="6811715" y="9236157"/>
                <a:pt x="6497615" y="9199618"/>
                <a:pt x="6327391" y="9229725"/>
              </a:cubicBezTo>
              <a:cubicBezTo>
                <a:pt x="6157168" y="9259832"/>
                <a:pt x="5894841" y="9198326"/>
                <a:pt x="5746897" y="9229725"/>
              </a:cubicBezTo>
              <a:cubicBezTo>
                <a:pt x="5598953" y="9261124"/>
                <a:pt x="5434180" y="9208320"/>
                <a:pt x="5340550" y="9229725"/>
              </a:cubicBezTo>
              <a:cubicBezTo>
                <a:pt x="5246920" y="9251130"/>
                <a:pt x="4680019" y="9176005"/>
                <a:pt x="4411759" y="9229725"/>
              </a:cubicBezTo>
              <a:cubicBezTo>
                <a:pt x="4143499" y="9283445"/>
                <a:pt x="4262839" y="9212475"/>
                <a:pt x="4179561" y="9229725"/>
              </a:cubicBezTo>
              <a:cubicBezTo>
                <a:pt x="4096283" y="9246975"/>
                <a:pt x="3502012" y="9134218"/>
                <a:pt x="3250770" y="9229725"/>
              </a:cubicBezTo>
              <a:cubicBezTo>
                <a:pt x="2999528" y="9325232"/>
                <a:pt x="3124848" y="9223334"/>
                <a:pt x="3018572" y="9229725"/>
              </a:cubicBezTo>
              <a:cubicBezTo>
                <a:pt x="2912296" y="9236116"/>
                <a:pt x="2471628" y="9220475"/>
                <a:pt x="2263929" y="9229725"/>
              </a:cubicBezTo>
              <a:cubicBezTo>
                <a:pt x="2056230" y="9238975"/>
                <a:pt x="1542410" y="9157434"/>
                <a:pt x="1335138" y="9229725"/>
              </a:cubicBezTo>
              <a:cubicBezTo>
                <a:pt x="1127866" y="9302016"/>
                <a:pt x="1297310" y="9223975"/>
                <a:pt x="1277088" y="9229725"/>
              </a:cubicBezTo>
              <a:cubicBezTo>
                <a:pt x="1256866" y="9235475"/>
                <a:pt x="536363" y="9210518"/>
                <a:pt x="0" y="9229725"/>
              </a:cubicBezTo>
              <a:cubicBezTo>
                <a:pt x="-85327" y="8886954"/>
                <a:pt x="47035" y="8670702"/>
                <a:pt x="0" y="8468273"/>
              </a:cubicBezTo>
              <a:cubicBezTo>
                <a:pt x="-47035" y="8265844"/>
                <a:pt x="44879" y="7869372"/>
                <a:pt x="0" y="7706820"/>
              </a:cubicBezTo>
              <a:cubicBezTo>
                <a:pt x="-44879" y="7544268"/>
                <a:pt x="15950" y="7347460"/>
                <a:pt x="0" y="7222260"/>
              </a:cubicBezTo>
              <a:cubicBezTo>
                <a:pt x="-15950" y="7097060"/>
                <a:pt x="7672" y="6783738"/>
                <a:pt x="0" y="6645402"/>
              </a:cubicBezTo>
              <a:cubicBezTo>
                <a:pt x="-7672" y="6507066"/>
                <a:pt x="1126" y="6420610"/>
                <a:pt x="0" y="6253139"/>
              </a:cubicBezTo>
              <a:cubicBezTo>
                <a:pt x="-1126" y="6085668"/>
                <a:pt x="75577" y="5830761"/>
                <a:pt x="0" y="5583984"/>
              </a:cubicBezTo>
              <a:cubicBezTo>
                <a:pt x="-75577" y="5337207"/>
                <a:pt x="23967" y="4989574"/>
                <a:pt x="0" y="4822531"/>
              </a:cubicBezTo>
              <a:cubicBezTo>
                <a:pt x="-23967" y="4655488"/>
                <a:pt x="26383" y="4518446"/>
                <a:pt x="0" y="4337971"/>
              </a:cubicBezTo>
              <a:cubicBezTo>
                <a:pt x="-26383" y="4157496"/>
                <a:pt x="52655" y="3768292"/>
                <a:pt x="0" y="3576518"/>
              </a:cubicBezTo>
              <a:cubicBezTo>
                <a:pt x="-52655" y="3384744"/>
                <a:pt x="60935" y="3286054"/>
                <a:pt x="0" y="2999661"/>
              </a:cubicBezTo>
              <a:cubicBezTo>
                <a:pt x="-60935" y="2713268"/>
                <a:pt x="15804" y="2395107"/>
                <a:pt x="0" y="2238208"/>
              </a:cubicBezTo>
              <a:cubicBezTo>
                <a:pt x="-15804" y="2081309"/>
                <a:pt x="1625" y="1716524"/>
                <a:pt x="0" y="1476756"/>
              </a:cubicBezTo>
              <a:cubicBezTo>
                <a:pt x="-1625" y="1236988"/>
                <a:pt x="44345" y="1207121"/>
                <a:pt x="0" y="1084493"/>
              </a:cubicBezTo>
              <a:cubicBezTo>
                <a:pt x="-44345" y="961865"/>
                <a:pt x="54086" y="729114"/>
                <a:pt x="0" y="599932"/>
              </a:cubicBezTo>
              <a:cubicBezTo>
                <a:pt x="-54086" y="470750"/>
                <a:pt x="21086" y="158911"/>
                <a:pt x="0" y="0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rgbClr val="7030A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>
          <a:innerShdw blurRad="114300">
            <a:prstClr val="black"/>
          </a:innerShdw>
          <a:softEdge rad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rgbClr val="FFFF00"/>
            </a:solidFill>
          </a:endParaRPr>
        </a:p>
      </xdr:txBody>
    </xdr:sp>
    <xdr:clientData/>
  </xdr:twoCellAnchor>
  <xdr:twoCellAnchor>
    <xdr:from>
      <xdr:col>0</xdr:col>
      <xdr:colOff>182879</xdr:colOff>
      <xdr:row>0</xdr:row>
      <xdr:rowOff>151840</xdr:rowOff>
    </xdr:from>
    <xdr:to>
      <xdr:col>7</xdr:col>
      <xdr:colOff>145676</xdr:colOff>
      <xdr:row>5</xdr:row>
      <xdr:rowOff>115868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307DD6-82F8-4E67-8E3A-0520713B905E}"/>
            </a:ext>
          </a:extLst>
        </xdr:cNvPr>
        <xdr:cNvSpPr/>
      </xdr:nvSpPr>
      <xdr:spPr>
        <a:xfrm>
          <a:off x="180974" y="151840"/>
          <a:ext cx="1562997" cy="868903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76</xdr:col>
      <xdr:colOff>115644</xdr:colOff>
      <xdr:row>1</xdr:row>
      <xdr:rowOff>22412</xdr:rowOff>
    </xdr:from>
    <xdr:ext cx="974913" cy="317575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ED1331BD-E4A1-479A-9303-5CFDF2D21C25}"/>
            </a:ext>
          </a:extLst>
        </xdr:cNvPr>
        <xdr:cNvSpPr/>
      </xdr:nvSpPr>
      <xdr:spPr>
        <a:xfrm>
          <a:off x="15955719" y="199577"/>
          <a:ext cx="97491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3849FCFA-2AF2-40B6-A5DE-4EDBFA480CAD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65</xdr:col>
      <xdr:colOff>11206</xdr:colOff>
      <xdr:row>1</xdr:row>
      <xdr:rowOff>22635</xdr:rowOff>
    </xdr:from>
    <xdr:ext cx="1852780" cy="317351"/>
    <xdr:sp macro="" textlink="'CATEGORY TABLES'!AE2">
      <xdr:nvSpPr>
        <xdr:cNvPr id="5" name="Rectangle: Rounded Corners 4" descr=" zc z">
          <a:extLst>
            <a:ext uri="{FF2B5EF4-FFF2-40B4-BE49-F238E27FC236}">
              <a16:creationId xmlns:a16="http://schemas.microsoft.com/office/drawing/2014/main" id="{548F13F7-D704-4061-A0A9-63F0A30DB9B6}"/>
            </a:ext>
          </a:extLst>
        </xdr:cNvPr>
        <xdr:cNvSpPr/>
      </xdr:nvSpPr>
      <xdr:spPr>
        <a:xfrm>
          <a:off x="13967236" y="199800"/>
          <a:ext cx="1852780" cy="317351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fld id="{997BE6FD-53BC-4CF1-8D0E-5C8EB98A20E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Project Name</a:t>
          </a:fld>
          <a:endParaRPr lang="en-US" sz="14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65</xdr:col>
      <xdr:colOff>22412</xdr:colOff>
      <xdr:row>3</xdr:row>
      <xdr:rowOff>91775</xdr:rowOff>
    </xdr:from>
    <xdr:to>
      <xdr:col>82</xdr:col>
      <xdr:colOff>78441</xdr:colOff>
      <xdr:row>5</xdr:row>
      <xdr:rowOff>65330</xdr:rowOff>
    </xdr:to>
    <xdr:sp macro="[0]!GoToDashboar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BE909C-16B7-4BB4-9F39-DE69211F9AC7}"/>
            </a:ext>
          </a:extLst>
        </xdr:cNvPr>
        <xdr:cNvSpPr/>
      </xdr:nvSpPr>
      <xdr:spPr>
        <a:xfrm>
          <a:off x="13972727" y="638510"/>
          <a:ext cx="2974489" cy="329790"/>
        </a:xfrm>
        <a:prstGeom prst="roundRect">
          <a:avLst/>
        </a:prstGeom>
        <a:solidFill>
          <a:schemeClr val="bg1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BACK</a:t>
          </a:r>
          <a:r>
            <a:rPr lang="en-GB" sz="1200" b="1" baseline="0">
              <a:solidFill>
                <a:sysClr val="windowText" lastClr="000000"/>
              </a:solidFill>
            </a:rPr>
            <a:t> TO DASHBOARD </a:t>
          </a:r>
          <a:endParaRPr lang="en-GB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66</xdr:col>
      <xdr:colOff>27903</xdr:colOff>
      <xdr:row>3</xdr:row>
      <xdr:rowOff>173804</xdr:rowOff>
    </xdr:from>
    <xdr:to>
      <xdr:col>68</xdr:col>
      <xdr:colOff>80346</xdr:colOff>
      <xdr:row>4</xdr:row>
      <xdr:rowOff>171675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8A28CCEA-8867-47EF-883A-3839F0760773}"/>
            </a:ext>
          </a:extLst>
        </xdr:cNvPr>
        <xdr:cNvSpPr/>
      </xdr:nvSpPr>
      <xdr:spPr>
        <a:xfrm>
          <a:off x="14151573" y="712919"/>
          <a:ext cx="399153" cy="178846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57</xdr:col>
      <xdr:colOff>121361</xdr:colOff>
      <xdr:row>1</xdr:row>
      <xdr:rowOff>22412</xdr:rowOff>
    </xdr:from>
    <xdr:to>
      <xdr:col>64</xdr:col>
      <xdr:colOff>26222</xdr:colOff>
      <xdr:row>5</xdr:row>
      <xdr:rowOff>117774</xdr:rowOff>
    </xdr:to>
    <xdr:sp macro="[0]!Updat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66306DEB-9179-43D5-AAD0-DE265F6369EB}"/>
            </a:ext>
          </a:extLst>
        </xdr:cNvPr>
        <xdr:cNvSpPr/>
      </xdr:nvSpPr>
      <xdr:spPr>
        <a:xfrm>
          <a:off x="12705791" y="199577"/>
          <a:ext cx="1099296" cy="823072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CHART UPDATE</a:t>
          </a:r>
        </a:p>
      </xdr:txBody>
    </xdr:sp>
    <xdr:clientData/>
  </xdr:twoCellAnchor>
  <xdr:twoCellAnchor>
    <xdr:from>
      <xdr:col>50</xdr:col>
      <xdr:colOff>136071</xdr:colOff>
      <xdr:row>1</xdr:row>
      <xdr:rowOff>27215</xdr:rowOff>
    </xdr:from>
    <xdr:to>
      <xdr:col>57</xdr:col>
      <xdr:colOff>31407</xdr:colOff>
      <xdr:row>5</xdr:row>
      <xdr:rowOff>122577</xdr:rowOff>
    </xdr:to>
    <xdr:sp macro="[0]!RefreshAllQuerie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64E4BF1-3233-4172-9089-754D49EA724D}"/>
            </a:ext>
          </a:extLst>
        </xdr:cNvPr>
        <xdr:cNvSpPr/>
      </xdr:nvSpPr>
      <xdr:spPr>
        <a:xfrm>
          <a:off x="11514636" y="206285"/>
          <a:ext cx="1097391" cy="823072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REFRESH QUERIES</a:t>
          </a:r>
        </a:p>
      </xdr:txBody>
    </xdr:sp>
    <xdr:clientData/>
  </xdr:twoCellAnchor>
  <xdr:oneCellAnchor>
    <xdr:from>
      <xdr:col>0</xdr:col>
      <xdr:colOff>215810</xdr:colOff>
      <xdr:row>6</xdr:row>
      <xdr:rowOff>25309</xdr:rowOff>
    </xdr:from>
    <xdr:ext cx="1512297" cy="301263"/>
    <xdr:sp macro="" textlink="'MAIN TABLE-1 AUTOMATED'!A1">
      <xdr:nvSpPr>
        <xdr:cNvPr id="12" name="Rectangle: Rounded Corners 11" descr=" zc z">
          <a:extLst>
            <a:ext uri="{FF2B5EF4-FFF2-40B4-BE49-F238E27FC236}">
              <a16:creationId xmlns:a16="http://schemas.microsoft.com/office/drawing/2014/main" id="{4C529273-BE7A-485C-98CD-0C45E0A1ED4B}"/>
            </a:ext>
          </a:extLst>
        </xdr:cNvPr>
        <xdr:cNvSpPr/>
      </xdr:nvSpPr>
      <xdr:spPr>
        <a:xfrm>
          <a:off x="215810" y="1086666"/>
          <a:ext cx="1512297" cy="30126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ct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  <xdr:twoCellAnchor>
    <xdr:from>
      <xdr:col>48</xdr:col>
      <xdr:colOff>26943</xdr:colOff>
      <xdr:row>8</xdr:row>
      <xdr:rowOff>40821</xdr:rowOff>
    </xdr:from>
    <xdr:to>
      <xdr:col>82</xdr:col>
      <xdr:colOff>97157</xdr:colOff>
      <xdr:row>47</xdr:row>
      <xdr:rowOff>83547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38EE89F-545D-461A-94DA-C8AEE167F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91440</xdr:colOff>
      <xdr:row>7</xdr:row>
      <xdr:rowOff>17417</xdr:rowOff>
    </xdr:from>
    <xdr:to>
      <xdr:col>44</xdr:col>
      <xdr:colOff>126275</xdr:colOff>
      <xdr:row>48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76786F5-8232-40FE-8376-F58C58CD7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142057</xdr:colOff>
      <xdr:row>5</xdr:row>
      <xdr:rowOff>103414</xdr:rowOff>
    </xdr:from>
    <xdr:to>
      <xdr:col>23</xdr:col>
      <xdr:colOff>13605</xdr:colOff>
      <xdr:row>9</xdr:row>
      <xdr:rowOff>11703</xdr:rowOff>
    </xdr:to>
    <xdr:sp macro="" textlink="">
      <xdr:nvSpPr>
        <xdr:cNvPr id="17" name="swBody">
          <a:extLst>
            <a:ext uri="{FF2B5EF4-FFF2-40B4-BE49-F238E27FC236}">
              <a16:creationId xmlns:a16="http://schemas.microsoft.com/office/drawing/2014/main" id="{B4C05871-0DE2-146A-8650-E44D84B74BB5}"/>
            </a:ext>
          </a:extLst>
        </xdr:cNvPr>
        <xdr:cNvSpPr/>
      </xdr:nvSpPr>
      <xdr:spPr>
        <a:xfrm>
          <a:off x="4074521" y="987878"/>
          <a:ext cx="1259477" cy="615861"/>
        </a:xfrm>
        <a:prstGeom prst="roundRect">
          <a:avLst/>
        </a:prstGeom>
        <a:solidFill>
          <a:srgbClr val="FFFFFF"/>
        </a:solidFill>
        <a:ln>
          <a:noFill/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PV</a:t>
          </a:r>
          <a:r>
            <a:rPr lang="en-GB" sz="1100" baseline="0"/>
            <a:t>              </a:t>
          </a:r>
          <a:r>
            <a:rPr lang="en-GB" sz="1400" b="1" baseline="0">
              <a:solidFill>
                <a:sysClr val="windowText" lastClr="000000"/>
              </a:solidFill>
            </a:rPr>
            <a:t>BESS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190952</xdr:colOff>
      <xdr:row>5</xdr:row>
      <xdr:rowOff>169001</xdr:rowOff>
    </xdr:from>
    <xdr:to>
      <xdr:col>19</xdr:col>
      <xdr:colOff>214990</xdr:colOff>
      <xdr:row>8</xdr:row>
      <xdr:rowOff>99059</xdr:rowOff>
    </xdr:to>
    <xdr:sp macro="[0]!ToggleSwitch" textlink="">
      <xdr:nvSpPr>
        <xdr:cNvPr id="18" name="swKnob">
          <a:extLst>
            <a:ext uri="{FF2B5EF4-FFF2-40B4-BE49-F238E27FC236}">
              <a16:creationId xmlns:a16="http://schemas.microsoft.com/office/drawing/2014/main" id="{015DFBD8-5980-2236-F700-096BE89DB1F4}"/>
            </a:ext>
          </a:extLst>
        </xdr:cNvPr>
        <xdr:cNvSpPr/>
      </xdr:nvSpPr>
      <xdr:spPr>
        <a:xfrm>
          <a:off x="4077152" y="1073876"/>
          <a:ext cx="481238" cy="472983"/>
        </a:xfrm>
        <a:prstGeom prst="flowChartConnector">
          <a:avLst/>
        </a:prstGeom>
        <a:solidFill>
          <a:srgbClr val="FFC000"/>
        </a:solidFill>
        <a:effectLst/>
        <a:scene3d>
          <a:camera prst="orthographicFront"/>
          <a:lightRig rig="threePt" dir="t"/>
        </a:scene3d>
        <a:sp3d>
          <a:bevelT w="44450" h="69850" prst="softRound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rgbClr val="FF6666"/>
              </a:solidFill>
            </a:rPr>
            <a:t>⇆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0</xdr:rowOff>
    </xdr:from>
    <xdr:to>
      <xdr:col>85</xdr:col>
      <xdr:colOff>65330</xdr:colOff>
      <xdr:row>51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CADF554-9026-46AE-B9D0-2DA719B374FA}"/>
            </a:ext>
          </a:extLst>
        </xdr:cNvPr>
        <xdr:cNvSpPr/>
      </xdr:nvSpPr>
      <xdr:spPr>
        <a:xfrm>
          <a:off x="33617" y="0"/>
          <a:ext cx="17109478" cy="9144000"/>
        </a:xfrm>
        <a:custGeom>
          <a:avLst/>
          <a:gdLst>
            <a:gd name="csX0" fmla="*/ 0 w 17109478"/>
            <a:gd name="csY0" fmla="*/ 0 h 9144000"/>
            <a:gd name="csX1" fmla="*/ 247792 w 17109478"/>
            <a:gd name="csY1" fmla="*/ 0 h 9144000"/>
            <a:gd name="csX2" fmla="*/ 1008869 w 17109478"/>
            <a:gd name="csY2" fmla="*/ 0 h 9144000"/>
            <a:gd name="csX3" fmla="*/ 1769946 w 17109478"/>
            <a:gd name="csY3" fmla="*/ 0 h 9144000"/>
            <a:gd name="csX4" fmla="*/ 2702118 w 17109478"/>
            <a:gd name="csY4" fmla="*/ 0 h 9144000"/>
            <a:gd name="csX5" fmla="*/ 2778815 w 17109478"/>
            <a:gd name="csY5" fmla="*/ 0 h 9144000"/>
            <a:gd name="csX6" fmla="*/ 2855513 w 17109478"/>
            <a:gd name="csY6" fmla="*/ 0 h 9144000"/>
            <a:gd name="csX7" fmla="*/ 3787684 w 17109478"/>
            <a:gd name="csY7" fmla="*/ 0 h 9144000"/>
            <a:gd name="csX8" fmla="*/ 4206572 w 17109478"/>
            <a:gd name="csY8" fmla="*/ 0 h 9144000"/>
            <a:gd name="csX9" fmla="*/ 5138743 w 17109478"/>
            <a:gd name="csY9" fmla="*/ 0 h 9144000"/>
            <a:gd name="csX10" fmla="*/ 5557630 w 17109478"/>
            <a:gd name="csY10" fmla="*/ 0 h 9144000"/>
            <a:gd name="csX11" fmla="*/ 6318707 w 17109478"/>
            <a:gd name="csY11" fmla="*/ 0 h 9144000"/>
            <a:gd name="csX12" fmla="*/ 6566500 w 17109478"/>
            <a:gd name="csY12" fmla="*/ 0 h 9144000"/>
            <a:gd name="csX13" fmla="*/ 7156482 w 17109478"/>
            <a:gd name="csY13" fmla="*/ 0 h 9144000"/>
            <a:gd name="csX14" fmla="*/ 7746464 w 17109478"/>
            <a:gd name="csY14" fmla="*/ 0 h 9144000"/>
            <a:gd name="csX15" fmla="*/ 8165351 w 17109478"/>
            <a:gd name="csY15" fmla="*/ 0 h 9144000"/>
            <a:gd name="csX16" fmla="*/ 8584238 w 17109478"/>
            <a:gd name="csY16" fmla="*/ 0 h 9144000"/>
            <a:gd name="csX17" fmla="*/ 8660936 w 17109478"/>
            <a:gd name="csY17" fmla="*/ 0 h 9144000"/>
            <a:gd name="csX18" fmla="*/ 8737633 w 17109478"/>
            <a:gd name="csY18" fmla="*/ 0 h 9144000"/>
            <a:gd name="csX19" fmla="*/ 8814331 w 17109478"/>
            <a:gd name="csY19" fmla="*/ 0 h 9144000"/>
            <a:gd name="csX20" fmla="*/ 8891029 w 17109478"/>
            <a:gd name="csY20" fmla="*/ 0 h 9144000"/>
            <a:gd name="csX21" fmla="*/ 8967726 w 17109478"/>
            <a:gd name="csY21" fmla="*/ 0 h 9144000"/>
            <a:gd name="csX22" fmla="*/ 9386614 w 17109478"/>
            <a:gd name="csY22" fmla="*/ 0 h 9144000"/>
            <a:gd name="csX23" fmla="*/ 9463311 w 17109478"/>
            <a:gd name="csY23" fmla="*/ 0 h 9144000"/>
            <a:gd name="csX24" fmla="*/ 10395483 w 17109478"/>
            <a:gd name="csY24" fmla="*/ 0 h 9144000"/>
            <a:gd name="csX25" fmla="*/ 10472181 w 17109478"/>
            <a:gd name="csY25" fmla="*/ 0 h 9144000"/>
            <a:gd name="csX26" fmla="*/ 11062163 w 17109478"/>
            <a:gd name="csY26" fmla="*/ 0 h 9144000"/>
            <a:gd name="csX27" fmla="*/ 11994334 w 17109478"/>
            <a:gd name="csY27" fmla="*/ 0 h 9144000"/>
            <a:gd name="csX28" fmla="*/ 12926506 w 17109478"/>
            <a:gd name="csY28" fmla="*/ 0 h 9144000"/>
            <a:gd name="csX29" fmla="*/ 13687582 w 17109478"/>
            <a:gd name="csY29" fmla="*/ 0 h 9144000"/>
            <a:gd name="csX30" fmla="*/ 14106470 w 17109478"/>
            <a:gd name="csY30" fmla="*/ 0 h 9144000"/>
            <a:gd name="csX31" fmla="*/ 14354262 w 17109478"/>
            <a:gd name="csY31" fmla="*/ 0 h 9144000"/>
            <a:gd name="csX32" fmla="*/ 15115339 w 17109478"/>
            <a:gd name="csY32" fmla="*/ 0 h 9144000"/>
            <a:gd name="csX33" fmla="*/ 15876416 w 17109478"/>
            <a:gd name="csY33" fmla="*/ 0 h 9144000"/>
            <a:gd name="csX34" fmla="*/ 17109478 w 17109478"/>
            <a:gd name="csY34" fmla="*/ 0 h 9144000"/>
            <a:gd name="csX35" fmla="*/ 17109478 w 17109478"/>
            <a:gd name="csY35" fmla="*/ 297180 h 9144000"/>
            <a:gd name="csX36" fmla="*/ 17109478 w 17109478"/>
            <a:gd name="csY36" fmla="*/ 594360 h 9144000"/>
            <a:gd name="csX37" fmla="*/ 17109478 w 17109478"/>
            <a:gd name="csY37" fmla="*/ 1348740 h 9144000"/>
            <a:gd name="csX38" fmla="*/ 17109478 w 17109478"/>
            <a:gd name="csY38" fmla="*/ 1645920 h 9144000"/>
            <a:gd name="csX39" fmla="*/ 17109478 w 17109478"/>
            <a:gd name="csY39" fmla="*/ 1943100 h 9144000"/>
            <a:gd name="csX40" fmla="*/ 17109478 w 17109478"/>
            <a:gd name="csY40" fmla="*/ 2606040 h 9144000"/>
            <a:gd name="csX41" fmla="*/ 17109478 w 17109478"/>
            <a:gd name="csY41" fmla="*/ 3360420 h 9144000"/>
            <a:gd name="csX42" fmla="*/ 17109478 w 17109478"/>
            <a:gd name="csY42" fmla="*/ 4114800 h 9144000"/>
            <a:gd name="csX43" fmla="*/ 17109478 w 17109478"/>
            <a:gd name="csY43" fmla="*/ 4594860 h 9144000"/>
            <a:gd name="csX44" fmla="*/ 17109478 w 17109478"/>
            <a:gd name="csY44" fmla="*/ 5349240 h 9144000"/>
            <a:gd name="csX45" fmla="*/ 17109478 w 17109478"/>
            <a:gd name="csY45" fmla="*/ 6012180 h 9144000"/>
            <a:gd name="csX46" fmla="*/ 17109478 w 17109478"/>
            <a:gd name="csY46" fmla="*/ 6309360 h 9144000"/>
            <a:gd name="csX47" fmla="*/ 17109478 w 17109478"/>
            <a:gd name="csY47" fmla="*/ 6789420 h 9144000"/>
            <a:gd name="csX48" fmla="*/ 17109478 w 17109478"/>
            <a:gd name="csY48" fmla="*/ 7543800 h 9144000"/>
            <a:gd name="csX49" fmla="*/ 17109478 w 17109478"/>
            <a:gd name="csY49" fmla="*/ 8298180 h 9144000"/>
            <a:gd name="csX50" fmla="*/ 17109478 w 17109478"/>
            <a:gd name="csY50" fmla="*/ 9144000 h 9144000"/>
            <a:gd name="csX51" fmla="*/ 16690591 w 17109478"/>
            <a:gd name="csY51" fmla="*/ 9144000 h 9144000"/>
            <a:gd name="csX52" fmla="*/ 16613893 w 17109478"/>
            <a:gd name="csY52" fmla="*/ 9144000 h 9144000"/>
            <a:gd name="csX53" fmla="*/ 16023911 w 17109478"/>
            <a:gd name="csY53" fmla="*/ 9144000 h 9144000"/>
            <a:gd name="csX54" fmla="*/ 15262834 w 17109478"/>
            <a:gd name="csY54" fmla="*/ 9144000 h 9144000"/>
            <a:gd name="csX55" fmla="*/ 14672852 w 17109478"/>
            <a:gd name="csY55" fmla="*/ 9144000 h 9144000"/>
            <a:gd name="csX56" fmla="*/ 13911776 w 17109478"/>
            <a:gd name="csY56" fmla="*/ 9144000 h 9144000"/>
            <a:gd name="csX57" fmla="*/ 13150699 w 17109478"/>
            <a:gd name="csY57" fmla="*/ 9144000 h 9144000"/>
            <a:gd name="csX58" fmla="*/ 12731812 w 17109478"/>
            <a:gd name="csY58" fmla="*/ 9144000 h 9144000"/>
            <a:gd name="csX59" fmla="*/ 12312924 w 17109478"/>
            <a:gd name="csY59" fmla="*/ 9144000 h 9144000"/>
            <a:gd name="csX60" fmla="*/ 11894037 w 17109478"/>
            <a:gd name="csY60" fmla="*/ 9144000 h 9144000"/>
            <a:gd name="csX61" fmla="*/ 10961866 w 17109478"/>
            <a:gd name="csY61" fmla="*/ 9144000 h 9144000"/>
            <a:gd name="csX62" fmla="*/ 10885168 w 17109478"/>
            <a:gd name="csY62" fmla="*/ 9144000 h 9144000"/>
            <a:gd name="csX63" fmla="*/ 10124091 w 17109478"/>
            <a:gd name="csY63" fmla="*/ 9144000 h 9144000"/>
            <a:gd name="csX64" fmla="*/ 9705204 w 17109478"/>
            <a:gd name="csY64" fmla="*/ 9144000 h 9144000"/>
            <a:gd name="csX65" fmla="*/ 9115222 w 17109478"/>
            <a:gd name="csY65" fmla="*/ 9144000 h 9144000"/>
            <a:gd name="csX66" fmla="*/ 8867429 w 17109478"/>
            <a:gd name="csY66" fmla="*/ 9144000 h 9144000"/>
            <a:gd name="csX67" fmla="*/ 8448542 w 17109478"/>
            <a:gd name="csY67" fmla="*/ 9144000 h 9144000"/>
            <a:gd name="csX68" fmla="*/ 7858560 w 17109478"/>
            <a:gd name="csY68" fmla="*/ 9144000 h 9144000"/>
            <a:gd name="csX69" fmla="*/ 7610768 w 17109478"/>
            <a:gd name="csY69" fmla="*/ 9144000 h 9144000"/>
            <a:gd name="csX70" fmla="*/ 7191881 w 17109478"/>
            <a:gd name="csY70" fmla="*/ 9144000 h 9144000"/>
            <a:gd name="csX71" fmla="*/ 7115183 w 17109478"/>
            <a:gd name="csY71" fmla="*/ 9144000 h 9144000"/>
            <a:gd name="csX72" fmla="*/ 7038485 w 17109478"/>
            <a:gd name="csY72" fmla="*/ 9144000 h 9144000"/>
            <a:gd name="csX73" fmla="*/ 6448503 w 17109478"/>
            <a:gd name="csY73" fmla="*/ 9144000 h 9144000"/>
            <a:gd name="csX74" fmla="*/ 6200711 w 17109478"/>
            <a:gd name="csY74" fmla="*/ 9144000 h 9144000"/>
            <a:gd name="csX75" fmla="*/ 5952918 w 17109478"/>
            <a:gd name="csY75" fmla="*/ 9144000 h 9144000"/>
            <a:gd name="csX76" fmla="*/ 5362936 w 17109478"/>
            <a:gd name="csY76" fmla="*/ 9144000 h 9144000"/>
            <a:gd name="csX77" fmla="*/ 4944049 w 17109478"/>
            <a:gd name="csY77" fmla="*/ 9144000 h 9144000"/>
            <a:gd name="csX78" fmla="*/ 4182972 w 17109478"/>
            <a:gd name="csY78" fmla="*/ 9144000 h 9144000"/>
            <a:gd name="csX79" fmla="*/ 3592990 w 17109478"/>
            <a:gd name="csY79" fmla="*/ 9144000 h 9144000"/>
            <a:gd name="csX80" fmla="*/ 3174103 w 17109478"/>
            <a:gd name="csY80" fmla="*/ 9144000 h 9144000"/>
            <a:gd name="csX81" fmla="*/ 2584121 w 17109478"/>
            <a:gd name="csY81" fmla="*/ 9144000 h 9144000"/>
            <a:gd name="csX82" fmla="*/ 1823044 w 17109478"/>
            <a:gd name="csY82" fmla="*/ 9144000 h 9144000"/>
            <a:gd name="csX83" fmla="*/ 1404157 w 17109478"/>
            <a:gd name="csY83" fmla="*/ 9144000 h 9144000"/>
            <a:gd name="csX84" fmla="*/ 814175 w 17109478"/>
            <a:gd name="csY84" fmla="*/ 9144000 h 9144000"/>
            <a:gd name="csX85" fmla="*/ 0 w 17109478"/>
            <a:gd name="csY85" fmla="*/ 9144000 h 9144000"/>
            <a:gd name="csX86" fmla="*/ 0 w 17109478"/>
            <a:gd name="csY86" fmla="*/ 8572500 h 9144000"/>
            <a:gd name="csX87" fmla="*/ 0 w 17109478"/>
            <a:gd name="csY87" fmla="*/ 8001000 h 9144000"/>
            <a:gd name="csX88" fmla="*/ 0 w 17109478"/>
            <a:gd name="csY88" fmla="*/ 7612380 h 9144000"/>
            <a:gd name="csX89" fmla="*/ 0 w 17109478"/>
            <a:gd name="csY89" fmla="*/ 6858000 h 9144000"/>
            <a:gd name="csX90" fmla="*/ 0 w 17109478"/>
            <a:gd name="csY90" fmla="*/ 6469380 h 9144000"/>
            <a:gd name="csX91" fmla="*/ 0 w 17109478"/>
            <a:gd name="csY91" fmla="*/ 5989320 h 9144000"/>
            <a:gd name="csX92" fmla="*/ 0 w 17109478"/>
            <a:gd name="csY92" fmla="*/ 5600700 h 9144000"/>
            <a:gd name="csX93" fmla="*/ 0 w 17109478"/>
            <a:gd name="csY93" fmla="*/ 5029200 h 9144000"/>
            <a:gd name="csX94" fmla="*/ 0 w 17109478"/>
            <a:gd name="csY94" fmla="*/ 4732020 h 9144000"/>
            <a:gd name="csX95" fmla="*/ 0 w 17109478"/>
            <a:gd name="csY95" fmla="*/ 4434840 h 9144000"/>
            <a:gd name="csX96" fmla="*/ 0 w 17109478"/>
            <a:gd name="csY96" fmla="*/ 3863340 h 9144000"/>
            <a:gd name="csX97" fmla="*/ 0 w 17109478"/>
            <a:gd name="csY97" fmla="*/ 3474720 h 9144000"/>
            <a:gd name="csX98" fmla="*/ 0 w 17109478"/>
            <a:gd name="csY98" fmla="*/ 3177540 h 9144000"/>
            <a:gd name="csX99" fmla="*/ 0 w 17109478"/>
            <a:gd name="csY99" fmla="*/ 2514600 h 9144000"/>
            <a:gd name="csX100" fmla="*/ 0 w 17109478"/>
            <a:gd name="csY100" fmla="*/ 1851660 h 9144000"/>
            <a:gd name="csX101" fmla="*/ 0 w 17109478"/>
            <a:gd name="csY101" fmla="*/ 1554480 h 9144000"/>
            <a:gd name="csX102" fmla="*/ 0 w 17109478"/>
            <a:gd name="csY102" fmla="*/ 891540 h 9144000"/>
            <a:gd name="csX103" fmla="*/ 0 w 17109478"/>
            <a:gd name="csY103" fmla="*/ 594360 h 9144000"/>
            <a:gd name="csX104" fmla="*/ 0 w 17109478"/>
            <a:gd name="csY104" fmla="*/ 0 h 91440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</a:cxnLst>
          <a:rect l="l" t="t" r="r" b="b"/>
          <a:pathLst>
            <a:path w="17109478" h="9144000" fill="none" extrusionOk="0">
              <a:moveTo>
                <a:pt x="0" y="0"/>
              </a:moveTo>
              <a:cubicBezTo>
                <a:pt x="82291" y="-10126"/>
                <a:pt x="157138" y="13552"/>
                <a:pt x="247792" y="0"/>
              </a:cubicBezTo>
              <a:cubicBezTo>
                <a:pt x="338446" y="-13552"/>
                <a:pt x="773315" y="21814"/>
                <a:pt x="1008869" y="0"/>
              </a:cubicBezTo>
              <a:cubicBezTo>
                <a:pt x="1244423" y="-21814"/>
                <a:pt x="1586747" y="13797"/>
                <a:pt x="1769946" y="0"/>
              </a:cubicBezTo>
              <a:cubicBezTo>
                <a:pt x="1953145" y="-13797"/>
                <a:pt x="2431781" y="2753"/>
                <a:pt x="2702118" y="0"/>
              </a:cubicBezTo>
              <a:cubicBezTo>
                <a:pt x="2972455" y="-2753"/>
                <a:pt x="2756920" y="6364"/>
                <a:pt x="2778815" y="0"/>
              </a:cubicBezTo>
              <a:cubicBezTo>
                <a:pt x="2800710" y="-6364"/>
                <a:pt x="2817655" y="791"/>
                <a:pt x="2855513" y="0"/>
              </a:cubicBezTo>
              <a:cubicBezTo>
                <a:pt x="2893371" y="-791"/>
                <a:pt x="3522034" y="10465"/>
                <a:pt x="3787684" y="0"/>
              </a:cubicBezTo>
              <a:cubicBezTo>
                <a:pt x="4053334" y="-10465"/>
                <a:pt x="4092113" y="35852"/>
                <a:pt x="4206572" y="0"/>
              </a:cubicBezTo>
              <a:cubicBezTo>
                <a:pt x="4321031" y="-35852"/>
                <a:pt x="4791022" y="71340"/>
                <a:pt x="5138743" y="0"/>
              </a:cubicBezTo>
              <a:cubicBezTo>
                <a:pt x="5486464" y="-71340"/>
                <a:pt x="5361017" y="17276"/>
                <a:pt x="5557630" y="0"/>
              </a:cubicBezTo>
              <a:cubicBezTo>
                <a:pt x="5754243" y="-17276"/>
                <a:pt x="6050056" y="66431"/>
                <a:pt x="6318707" y="0"/>
              </a:cubicBezTo>
              <a:cubicBezTo>
                <a:pt x="6587358" y="-66431"/>
                <a:pt x="6486184" y="15744"/>
                <a:pt x="6566500" y="0"/>
              </a:cubicBezTo>
              <a:cubicBezTo>
                <a:pt x="6646816" y="-15744"/>
                <a:pt x="6999681" y="12229"/>
                <a:pt x="7156482" y="0"/>
              </a:cubicBezTo>
              <a:cubicBezTo>
                <a:pt x="7313283" y="-12229"/>
                <a:pt x="7546945" y="11504"/>
                <a:pt x="7746464" y="0"/>
              </a:cubicBezTo>
              <a:cubicBezTo>
                <a:pt x="7945983" y="-11504"/>
                <a:pt x="7971350" y="3433"/>
                <a:pt x="8165351" y="0"/>
              </a:cubicBezTo>
              <a:cubicBezTo>
                <a:pt x="8359352" y="-3433"/>
                <a:pt x="8426964" y="1557"/>
                <a:pt x="8584238" y="0"/>
              </a:cubicBezTo>
              <a:cubicBezTo>
                <a:pt x="8741512" y="-1557"/>
                <a:pt x="8638752" y="4346"/>
                <a:pt x="8660936" y="0"/>
              </a:cubicBezTo>
              <a:cubicBezTo>
                <a:pt x="8683120" y="-4346"/>
                <a:pt x="8716009" y="2027"/>
                <a:pt x="8737633" y="0"/>
              </a:cubicBezTo>
              <a:cubicBezTo>
                <a:pt x="8759257" y="-2027"/>
                <a:pt x="8777466" y="3359"/>
                <a:pt x="8814331" y="0"/>
              </a:cubicBezTo>
              <a:cubicBezTo>
                <a:pt x="8851196" y="-3359"/>
                <a:pt x="8868829" y="5910"/>
                <a:pt x="8891029" y="0"/>
              </a:cubicBezTo>
              <a:cubicBezTo>
                <a:pt x="8913229" y="-5910"/>
                <a:pt x="8929539" y="4880"/>
                <a:pt x="8967726" y="0"/>
              </a:cubicBezTo>
              <a:cubicBezTo>
                <a:pt x="9005913" y="-4880"/>
                <a:pt x="9267223" y="19039"/>
                <a:pt x="9386614" y="0"/>
              </a:cubicBezTo>
              <a:cubicBezTo>
                <a:pt x="9506005" y="-19039"/>
                <a:pt x="9437218" y="5700"/>
                <a:pt x="9463311" y="0"/>
              </a:cubicBezTo>
              <a:cubicBezTo>
                <a:pt x="9489404" y="-5700"/>
                <a:pt x="10114404" y="20753"/>
                <a:pt x="10395483" y="0"/>
              </a:cubicBezTo>
              <a:cubicBezTo>
                <a:pt x="10676562" y="-20753"/>
                <a:pt x="10455269" y="5225"/>
                <a:pt x="10472181" y="0"/>
              </a:cubicBezTo>
              <a:cubicBezTo>
                <a:pt x="10489093" y="-5225"/>
                <a:pt x="10943501" y="33122"/>
                <a:pt x="11062163" y="0"/>
              </a:cubicBezTo>
              <a:cubicBezTo>
                <a:pt x="11180825" y="-33122"/>
                <a:pt x="11664825" y="32405"/>
                <a:pt x="11994334" y="0"/>
              </a:cubicBezTo>
              <a:cubicBezTo>
                <a:pt x="12323843" y="-32405"/>
                <a:pt x="12634841" y="65174"/>
                <a:pt x="12926506" y="0"/>
              </a:cubicBezTo>
              <a:cubicBezTo>
                <a:pt x="13218171" y="-65174"/>
                <a:pt x="13462033" y="16604"/>
                <a:pt x="13687582" y="0"/>
              </a:cubicBezTo>
              <a:cubicBezTo>
                <a:pt x="13913131" y="-16604"/>
                <a:pt x="13936189" y="38985"/>
                <a:pt x="14106470" y="0"/>
              </a:cubicBezTo>
              <a:cubicBezTo>
                <a:pt x="14276751" y="-38985"/>
                <a:pt x="14257396" y="23040"/>
                <a:pt x="14354262" y="0"/>
              </a:cubicBezTo>
              <a:cubicBezTo>
                <a:pt x="14451128" y="-23040"/>
                <a:pt x="14859743" y="59814"/>
                <a:pt x="15115339" y="0"/>
              </a:cubicBezTo>
              <a:cubicBezTo>
                <a:pt x="15370935" y="-59814"/>
                <a:pt x="15568452" y="6793"/>
                <a:pt x="15876416" y="0"/>
              </a:cubicBezTo>
              <a:cubicBezTo>
                <a:pt x="16184380" y="-6793"/>
                <a:pt x="16544698" y="79273"/>
                <a:pt x="17109478" y="0"/>
              </a:cubicBezTo>
              <a:cubicBezTo>
                <a:pt x="17120768" y="64105"/>
                <a:pt x="17092239" y="197561"/>
                <a:pt x="17109478" y="297180"/>
              </a:cubicBezTo>
              <a:cubicBezTo>
                <a:pt x="17126717" y="396799"/>
                <a:pt x="17082704" y="452079"/>
                <a:pt x="17109478" y="594360"/>
              </a:cubicBezTo>
              <a:cubicBezTo>
                <a:pt x="17136252" y="736641"/>
                <a:pt x="17036585" y="1152002"/>
                <a:pt x="17109478" y="1348740"/>
              </a:cubicBezTo>
              <a:cubicBezTo>
                <a:pt x="17182371" y="1545478"/>
                <a:pt x="17081610" y="1568167"/>
                <a:pt x="17109478" y="1645920"/>
              </a:cubicBezTo>
              <a:cubicBezTo>
                <a:pt x="17137346" y="1723673"/>
                <a:pt x="17074117" y="1851826"/>
                <a:pt x="17109478" y="1943100"/>
              </a:cubicBezTo>
              <a:cubicBezTo>
                <a:pt x="17144839" y="2034374"/>
                <a:pt x="17071977" y="2372206"/>
                <a:pt x="17109478" y="2606040"/>
              </a:cubicBezTo>
              <a:cubicBezTo>
                <a:pt x="17146979" y="2839874"/>
                <a:pt x="17064971" y="3003070"/>
                <a:pt x="17109478" y="3360420"/>
              </a:cubicBezTo>
              <a:cubicBezTo>
                <a:pt x="17153985" y="3717770"/>
                <a:pt x="17108687" y="3796403"/>
                <a:pt x="17109478" y="4114800"/>
              </a:cubicBezTo>
              <a:cubicBezTo>
                <a:pt x="17110269" y="4433197"/>
                <a:pt x="17052997" y="4412837"/>
                <a:pt x="17109478" y="4594860"/>
              </a:cubicBezTo>
              <a:cubicBezTo>
                <a:pt x="17165959" y="4776883"/>
                <a:pt x="17045665" y="5192216"/>
                <a:pt x="17109478" y="5349240"/>
              </a:cubicBezTo>
              <a:cubicBezTo>
                <a:pt x="17173291" y="5506264"/>
                <a:pt x="17106634" y="5687189"/>
                <a:pt x="17109478" y="6012180"/>
              </a:cubicBezTo>
              <a:cubicBezTo>
                <a:pt x="17112322" y="6337171"/>
                <a:pt x="17074078" y="6189249"/>
                <a:pt x="17109478" y="6309360"/>
              </a:cubicBezTo>
              <a:cubicBezTo>
                <a:pt x="17144878" y="6429471"/>
                <a:pt x="17078973" y="6602926"/>
                <a:pt x="17109478" y="6789420"/>
              </a:cubicBezTo>
              <a:cubicBezTo>
                <a:pt x="17139983" y="6975914"/>
                <a:pt x="17051857" y="7348261"/>
                <a:pt x="17109478" y="7543800"/>
              </a:cubicBezTo>
              <a:cubicBezTo>
                <a:pt x="17167099" y="7739339"/>
                <a:pt x="17097261" y="7928775"/>
                <a:pt x="17109478" y="8298180"/>
              </a:cubicBezTo>
              <a:cubicBezTo>
                <a:pt x="17121695" y="8667585"/>
                <a:pt x="17070495" y="8898286"/>
                <a:pt x="17109478" y="9144000"/>
              </a:cubicBezTo>
              <a:cubicBezTo>
                <a:pt x="16965365" y="9155420"/>
                <a:pt x="16874140" y="9097730"/>
                <a:pt x="16690591" y="9144000"/>
              </a:cubicBezTo>
              <a:cubicBezTo>
                <a:pt x="16507042" y="9190270"/>
                <a:pt x="16631005" y="9139287"/>
                <a:pt x="16613893" y="9144000"/>
              </a:cubicBezTo>
              <a:cubicBezTo>
                <a:pt x="16596781" y="9148713"/>
                <a:pt x="16168525" y="9109470"/>
                <a:pt x="16023911" y="9144000"/>
              </a:cubicBezTo>
              <a:cubicBezTo>
                <a:pt x="15879297" y="9178530"/>
                <a:pt x="15618364" y="9115946"/>
                <a:pt x="15262834" y="9144000"/>
              </a:cubicBezTo>
              <a:cubicBezTo>
                <a:pt x="14907304" y="9172054"/>
                <a:pt x="14819012" y="9084111"/>
                <a:pt x="14672852" y="9144000"/>
              </a:cubicBezTo>
              <a:cubicBezTo>
                <a:pt x="14526692" y="9203889"/>
                <a:pt x="14104199" y="9132571"/>
                <a:pt x="13911776" y="9144000"/>
              </a:cubicBezTo>
              <a:cubicBezTo>
                <a:pt x="13719353" y="9155429"/>
                <a:pt x="13321894" y="9102000"/>
                <a:pt x="13150699" y="9144000"/>
              </a:cubicBezTo>
              <a:cubicBezTo>
                <a:pt x="12979504" y="9186000"/>
                <a:pt x="12820986" y="9113952"/>
                <a:pt x="12731812" y="9144000"/>
              </a:cubicBezTo>
              <a:cubicBezTo>
                <a:pt x="12642638" y="9174048"/>
                <a:pt x="12421513" y="9098647"/>
                <a:pt x="12312924" y="9144000"/>
              </a:cubicBezTo>
              <a:cubicBezTo>
                <a:pt x="12204335" y="9189353"/>
                <a:pt x="11981228" y="9108687"/>
                <a:pt x="11894037" y="9144000"/>
              </a:cubicBezTo>
              <a:cubicBezTo>
                <a:pt x="11806846" y="9179313"/>
                <a:pt x="11380470" y="9105825"/>
                <a:pt x="10961866" y="9144000"/>
              </a:cubicBezTo>
              <a:cubicBezTo>
                <a:pt x="10543262" y="9182175"/>
                <a:pt x="10902774" y="9141075"/>
                <a:pt x="10885168" y="9144000"/>
              </a:cubicBezTo>
              <a:cubicBezTo>
                <a:pt x="10867562" y="9146925"/>
                <a:pt x="10285311" y="9058461"/>
                <a:pt x="10124091" y="9144000"/>
              </a:cubicBezTo>
              <a:cubicBezTo>
                <a:pt x="9962871" y="9229539"/>
                <a:pt x="9909062" y="9125009"/>
                <a:pt x="9705204" y="9144000"/>
              </a:cubicBezTo>
              <a:cubicBezTo>
                <a:pt x="9501346" y="9162991"/>
                <a:pt x="9348499" y="9111903"/>
                <a:pt x="9115222" y="9144000"/>
              </a:cubicBezTo>
              <a:cubicBezTo>
                <a:pt x="8881945" y="9176097"/>
                <a:pt x="8955326" y="9115078"/>
                <a:pt x="8867429" y="9144000"/>
              </a:cubicBezTo>
              <a:cubicBezTo>
                <a:pt x="8779532" y="9172922"/>
                <a:pt x="8567535" y="9143155"/>
                <a:pt x="8448542" y="9144000"/>
              </a:cubicBezTo>
              <a:cubicBezTo>
                <a:pt x="8329549" y="9144845"/>
                <a:pt x="8105068" y="9117063"/>
                <a:pt x="7858560" y="9144000"/>
              </a:cubicBezTo>
              <a:cubicBezTo>
                <a:pt x="7612052" y="9170937"/>
                <a:pt x="7701649" y="9117895"/>
                <a:pt x="7610768" y="9144000"/>
              </a:cubicBezTo>
              <a:cubicBezTo>
                <a:pt x="7519887" y="9170105"/>
                <a:pt x="7343792" y="9130908"/>
                <a:pt x="7191881" y="9144000"/>
              </a:cubicBezTo>
              <a:cubicBezTo>
                <a:pt x="7039970" y="9157092"/>
                <a:pt x="7151885" y="9136644"/>
                <a:pt x="7115183" y="9144000"/>
              </a:cubicBezTo>
              <a:cubicBezTo>
                <a:pt x="7078481" y="9151356"/>
                <a:pt x="7072130" y="9143588"/>
                <a:pt x="7038485" y="9144000"/>
              </a:cubicBezTo>
              <a:cubicBezTo>
                <a:pt x="7004840" y="9144412"/>
                <a:pt x="6687582" y="9123318"/>
                <a:pt x="6448503" y="9144000"/>
              </a:cubicBezTo>
              <a:cubicBezTo>
                <a:pt x="6209424" y="9164682"/>
                <a:pt x="6311168" y="9117580"/>
                <a:pt x="6200711" y="9144000"/>
              </a:cubicBezTo>
              <a:cubicBezTo>
                <a:pt x="6090254" y="9170420"/>
                <a:pt x="6038927" y="9125498"/>
                <a:pt x="5952918" y="9144000"/>
              </a:cubicBezTo>
              <a:cubicBezTo>
                <a:pt x="5866909" y="9162502"/>
                <a:pt x="5649706" y="9104415"/>
                <a:pt x="5362936" y="9144000"/>
              </a:cubicBezTo>
              <a:cubicBezTo>
                <a:pt x="5076166" y="9183585"/>
                <a:pt x="5144979" y="9097283"/>
                <a:pt x="4944049" y="9144000"/>
              </a:cubicBezTo>
              <a:cubicBezTo>
                <a:pt x="4743119" y="9190717"/>
                <a:pt x="4379681" y="9069482"/>
                <a:pt x="4182972" y="9144000"/>
              </a:cubicBezTo>
              <a:cubicBezTo>
                <a:pt x="3986263" y="9218518"/>
                <a:pt x="3721563" y="9090106"/>
                <a:pt x="3592990" y="9144000"/>
              </a:cubicBezTo>
              <a:cubicBezTo>
                <a:pt x="3464417" y="9197894"/>
                <a:pt x="3375722" y="9114045"/>
                <a:pt x="3174103" y="9144000"/>
              </a:cubicBezTo>
              <a:cubicBezTo>
                <a:pt x="2972484" y="9173955"/>
                <a:pt x="2803694" y="9136013"/>
                <a:pt x="2584121" y="9144000"/>
              </a:cubicBezTo>
              <a:cubicBezTo>
                <a:pt x="2364548" y="9151987"/>
                <a:pt x="2016634" y="9062827"/>
                <a:pt x="1823044" y="9144000"/>
              </a:cubicBezTo>
              <a:cubicBezTo>
                <a:pt x="1629454" y="9225173"/>
                <a:pt x="1581845" y="9116490"/>
                <a:pt x="1404157" y="9144000"/>
              </a:cubicBezTo>
              <a:cubicBezTo>
                <a:pt x="1226469" y="9171510"/>
                <a:pt x="1064355" y="9097048"/>
                <a:pt x="814175" y="9144000"/>
              </a:cubicBezTo>
              <a:cubicBezTo>
                <a:pt x="563995" y="9190952"/>
                <a:pt x="275310" y="9137777"/>
                <a:pt x="0" y="9144000"/>
              </a:cubicBezTo>
              <a:cubicBezTo>
                <a:pt x="-48347" y="8895895"/>
                <a:pt x="2542" y="8805541"/>
                <a:pt x="0" y="8572500"/>
              </a:cubicBezTo>
              <a:cubicBezTo>
                <a:pt x="-2542" y="8339459"/>
                <a:pt x="67151" y="8192794"/>
                <a:pt x="0" y="8001000"/>
              </a:cubicBezTo>
              <a:cubicBezTo>
                <a:pt x="-67151" y="7809206"/>
                <a:pt x="19568" y="7703777"/>
                <a:pt x="0" y="7612380"/>
              </a:cubicBezTo>
              <a:cubicBezTo>
                <a:pt x="-19568" y="7520983"/>
                <a:pt x="34386" y="7124023"/>
                <a:pt x="0" y="6858000"/>
              </a:cubicBezTo>
              <a:cubicBezTo>
                <a:pt x="-34386" y="6591977"/>
                <a:pt x="10910" y="6572377"/>
                <a:pt x="0" y="6469380"/>
              </a:cubicBezTo>
              <a:cubicBezTo>
                <a:pt x="-10910" y="6366383"/>
                <a:pt x="37836" y="6095653"/>
                <a:pt x="0" y="5989320"/>
              </a:cubicBezTo>
              <a:cubicBezTo>
                <a:pt x="-37836" y="5882987"/>
                <a:pt x="17010" y="5776292"/>
                <a:pt x="0" y="5600700"/>
              </a:cubicBezTo>
              <a:cubicBezTo>
                <a:pt x="-17010" y="5425108"/>
                <a:pt x="15373" y="5272547"/>
                <a:pt x="0" y="5029200"/>
              </a:cubicBezTo>
              <a:cubicBezTo>
                <a:pt x="-15373" y="4785853"/>
                <a:pt x="8708" y="4819549"/>
                <a:pt x="0" y="4732020"/>
              </a:cubicBezTo>
              <a:cubicBezTo>
                <a:pt x="-8708" y="4644491"/>
                <a:pt x="28743" y="4577830"/>
                <a:pt x="0" y="4434840"/>
              </a:cubicBezTo>
              <a:cubicBezTo>
                <a:pt x="-28743" y="4291850"/>
                <a:pt x="59984" y="4142462"/>
                <a:pt x="0" y="3863340"/>
              </a:cubicBezTo>
              <a:cubicBezTo>
                <a:pt x="-59984" y="3584218"/>
                <a:pt x="22823" y="3588014"/>
                <a:pt x="0" y="3474720"/>
              </a:cubicBezTo>
              <a:cubicBezTo>
                <a:pt x="-22823" y="3361426"/>
                <a:pt x="27854" y="3238532"/>
                <a:pt x="0" y="3177540"/>
              </a:cubicBezTo>
              <a:cubicBezTo>
                <a:pt x="-27854" y="3116548"/>
                <a:pt x="70337" y="2681643"/>
                <a:pt x="0" y="2514600"/>
              </a:cubicBezTo>
              <a:cubicBezTo>
                <a:pt x="-70337" y="2347557"/>
                <a:pt x="46911" y="2059341"/>
                <a:pt x="0" y="1851660"/>
              </a:cubicBezTo>
              <a:cubicBezTo>
                <a:pt x="-46911" y="1643979"/>
                <a:pt x="5953" y="1699445"/>
                <a:pt x="0" y="1554480"/>
              </a:cubicBezTo>
              <a:cubicBezTo>
                <a:pt x="-5953" y="1409515"/>
                <a:pt x="42433" y="1185052"/>
                <a:pt x="0" y="891540"/>
              </a:cubicBezTo>
              <a:cubicBezTo>
                <a:pt x="-42433" y="598028"/>
                <a:pt x="34775" y="718128"/>
                <a:pt x="0" y="594360"/>
              </a:cubicBezTo>
              <a:cubicBezTo>
                <a:pt x="-34775" y="470592"/>
                <a:pt x="57128" y="225904"/>
                <a:pt x="0" y="0"/>
              </a:cubicBezTo>
              <a:close/>
            </a:path>
            <a:path w="17109478" h="9144000" stroke="0" extrusionOk="0">
              <a:moveTo>
                <a:pt x="0" y="0"/>
              </a:moveTo>
              <a:cubicBezTo>
                <a:pt x="83787" y="-19744"/>
                <a:pt x="214542" y="37799"/>
                <a:pt x="418887" y="0"/>
              </a:cubicBezTo>
              <a:cubicBezTo>
                <a:pt x="623232" y="-37799"/>
                <a:pt x="459087" y="5440"/>
                <a:pt x="495585" y="0"/>
              </a:cubicBezTo>
              <a:cubicBezTo>
                <a:pt x="532083" y="-5440"/>
                <a:pt x="1140033" y="105500"/>
                <a:pt x="1427756" y="0"/>
              </a:cubicBezTo>
              <a:cubicBezTo>
                <a:pt x="1715479" y="-105500"/>
                <a:pt x="1695823" y="33302"/>
                <a:pt x="1846644" y="0"/>
              </a:cubicBezTo>
              <a:cubicBezTo>
                <a:pt x="1997465" y="-33302"/>
                <a:pt x="2137086" y="19477"/>
                <a:pt x="2265531" y="0"/>
              </a:cubicBezTo>
              <a:cubicBezTo>
                <a:pt x="2393976" y="-19477"/>
                <a:pt x="2768125" y="53522"/>
                <a:pt x="3197702" y="0"/>
              </a:cubicBezTo>
              <a:cubicBezTo>
                <a:pt x="3627279" y="-53522"/>
                <a:pt x="3346955" y="27222"/>
                <a:pt x="3445495" y="0"/>
              </a:cubicBezTo>
              <a:cubicBezTo>
                <a:pt x="3544035" y="-27222"/>
                <a:pt x="4011089" y="28678"/>
                <a:pt x="4377666" y="0"/>
              </a:cubicBezTo>
              <a:cubicBezTo>
                <a:pt x="4744243" y="-28678"/>
                <a:pt x="4903467" y="23903"/>
                <a:pt x="5309838" y="0"/>
              </a:cubicBezTo>
              <a:cubicBezTo>
                <a:pt x="5716209" y="-23903"/>
                <a:pt x="5661442" y="65743"/>
                <a:pt x="5899820" y="0"/>
              </a:cubicBezTo>
              <a:cubicBezTo>
                <a:pt x="6138198" y="-65743"/>
                <a:pt x="6404231" y="64592"/>
                <a:pt x="6831992" y="0"/>
              </a:cubicBezTo>
              <a:cubicBezTo>
                <a:pt x="7259753" y="-64592"/>
                <a:pt x="7090812" y="43362"/>
                <a:pt x="7250879" y="0"/>
              </a:cubicBezTo>
              <a:cubicBezTo>
                <a:pt x="7410946" y="-43362"/>
                <a:pt x="7469479" y="48737"/>
                <a:pt x="7669766" y="0"/>
              </a:cubicBezTo>
              <a:cubicBezTo>
                <a:pt x="7870053" y="-48737"/>
                <a:pt x="8221566" y="10441"/>
                <a:pt x="8430843" y="0"/>
              </a:cubicBezTo>
              <a:cubicBezTo>
                <a:pt x="8640120" y="-10441"/>
                <a:pt x="8747165" y="5742"/>
                <a:pt x="8849730" y="0"/>
              </a:cubicBezTo>
              <a:cubicBezTo>
                <a:pt x="8952295" y="-5742"/>
                <a:pt x="9494769" y="55366"/>
                <a:pt x="9781902" y="0"/>
              </a:cubicBezTo>
              <a:cubicBezTo>
                <a:pt x="10069035" y="-55366"/>
                <a:pt x="10455386" y="67877"/>
                <a:pt x="10714073" y="0"/>
              </a:cubicBezTo>
              <a:cubicBezTo>
                <a:pt x="10972760" y="-67877"/>
                <a:pt x="11129088" y="44912"/>
                <a:pt x="11304055" y="0"/>
              </a:cubicBezTo>
              <a:cubicBezTo>
                <a:pt x="11479022" y="-44912"/>
                <a:pt x="11539902" y="24236"/>
                <a:pt x="11722942" y="0"/>
              </a:cubicBezTo>
              <a:cubicBezTo>
                <a:pt x="11905982" y="-24236"/>
                <a:pt x="11773229" y="5720"/>
                <a:pt x="11799640" y="0"/>
              </a:cubicBezTo>
              <a:cubicBezTo>
                <a:pt x="11826051" y="-5720"/>
                <a:pt x="11931207" y="24007"/>
                <a:pt x="12047432" y="0"/>
              </a:cubicBezTo>
              <a:cubicBezTo>
                <a:pt x="12163657" y="-24007"/>
                <a:pt x="12204642" y="24246"/>
                <a:pt x="12295225" y="0"/>
              </a:cubicBezTo>
              <a:cubicBezTo>
                <a:pt x="12385808" y="-24246"/>
                <a:pt x="12619816" y="30334"/>
                <a:pt x="12714112" y="0"/>
              </a:cubicBezTo>
              <a:cubicBezTo>
                <a:pt x="12808408" y="-30334"/>
                <a:pt x="13346097" y="104009"/>
                <a:pt x="13646284" y="0"/>
              </a:cubicBezTo>
              <a:cubicBezTo>
                <a:pt x="13946471" y="-104009"/>
                <a:pt x="14013578" y="49550"/>
                <a:pt x="14236266" y="0"/>
              </a:cubicBezTo>
              <a:cubicBezTo>
                <a:pt x="14458954" y="-49550"/>
                <a:pt x="14535935" y="33585"/>
                <a:pt x="14655153" y="0"/>
              </a:cubicBezTo>
              <a:cubicBezTo>
                <a:pt x="14774371" y="-33585"/>
                <a:pt x="14696463" y="1451"/>
                <a:pt x="14731851" y="0"/>
              </a:cubicBezTo>
              <a:cubicBezTo>
                <a:pt x="14767239" y="-1451"/>
                <a:pt x="14778341" y="8291"/>
                <a:pt x="14808548" y="0"/>
              </a:cubicBezTo>
              <a:cubicBezTo>
                <a:pt x="14838755" y="-8291"/>
                <a:pt x="15369967" y="62820"/>
                <a:pt x="15569625" y="0"/>
              </a:cubicBezTo>
              <a:cubicBezTo>
                <a:pt x="15769283" y="-62820"/>
                <a:pt x="15761976" y="25222"/>
                <a:pt x="15817417" y="0"/>
              </a:cubicBezTo>
              <a:cubicBezTo>
                <a:pt x="15872858" y="-25222"/>
                <a:pt x="16557603" y="22911"/>
                <a:pt x="17109478" y="0"/>
              </a:cubicBezTo>
              <a:cubicBezTo>
                <a:pt x="17129826" y="144226"/>
                <a:pt x="17056634" y="315128"/>
                <a:pt x="17109478" y="480060"/>
              </a:cubicBezTo>
              <a:cubicBezTo>
                <a:pt x="17162322" y="644992"/>
                <a:pt x="17079510" y="843723"/>
                <a:pt x="17109478" y="1051560"/>
              </a:cubicBezTo>
              <a:cubicBezTo>
                <a:pt x="17139446" y="1259397"/>
                <a:pt x="17084629" y="1505554"/>
                <a:pt x="17109478" y="1714500"/>
              </a:cubicBezTo>
              <a:cubicBezTo>
                <a:pt x="17134327" y="1923446"/>
                <a:pt x="17077673" y="1996843"/>
                <a:pt x="17109478" y="2194560"/>
              </a:cubicBezTo>
              <a:cubicBezTo>
                <a:pt x="17141283" y="2392277"/>
                <a:pt x="17051619" y="2539169"/>
                <a:pt x="17109478" y="2766060"/>
              </a:cubicBezTo>
              <a:cubicBezTo>
                <a:pt x="17167337" y="2992951"/>
                <a:pt x="17080579" y="3351941"/>
                <a:pt x="17109478" y="3520440"/>
              </a:cubicBezTo>
              <a:cubicBezTo>
                <a:pt x="17138377" y="3688939"/>
                <a:pt x="17094545" y="3830218"/>
                <a:pt x="17109478" y="3909060"/>
              </a:cubicBezTo>
              <a:cubicBezTo>
                <a:pt x="17124411" y="3987902"/>
                <a:pt x="17033279" y="4322552"/>
                <a:pt x="17109478" y="4572000"/>
              </a:cubicBezTo>
              <a:cubicBezTo>
                <a:pt x="17185677" y="4821448"/>
                <a:pt x="17063626" y="4782410"/>
                <a:pt x="17109478" y="4960620"/>
              </a:cubicBezTo>
              <a:cubicBezTo>
                <a:pt x="17155330" y="5138830"/>
                <a:pt x="17046536" y="5395119"/>
                <a:pt x="17109478" y="5532120"/>
              </a:cubicBezTo>
              <a:cubicBezTo>
                <a:pt x="17172420" y="5669121"/>
                <a:pt x="17063474" y="6011019"/>
                <a:pt x="17109478" y="6195060"/>
              </a:cubicBezTo>
              <a:cubicBezTo>
                <a:pt x="17155482" y="6379101"/>
                <a:pt x="17078901" y="6418251"/>
                <a:pt x="17109478" y="6492240"/>
              </a:cubicBezTo>
              <a:cubicBezTo>
                <a:pt x="17140055" y="6566229"/>
                <a:pt x="17089932" y="6654018"/>
                <a:pt x="17109478" y="6789420"/>
              </a:cubicBezTo>
              <a:cubicBezTo>
                <a:pt x="17129024" y="6924822"/>
                <a:pt x="17032099" y="7347671"/>
                <a:pt x="17109478" y="7543800"/>
              </a:cubicBezTo>
              <a:cubicBezTo>
                <a:pt x="17186857" y="7739929"/>
                <a:pt x="17074277" y="7963972"/>
                <a:pt x="17109478" y="8115300"/>
              </a:cubicBezTo>
              <a:cubicBezTo>
                <a:pt x="17144679" y="8266628"/>
                <a:pt x="17080786" y="8292573"/>
                <a:pt x="17109478" y="8412480"/>
              </a:cubicBezTo>
              <a:cubicBezTo>
                <a:pt x="17138170" y="8532387"/>
                <a:pt x="17104316" y="8881677"/>
                <a:pt x="17109478" y="9144000"/>
              </a:cubicBezTo>
              <a:cubicBezTo>
                <a:pt x="16775158" y="9213026"/>
                <a:pt x="16587152" y="9133367"/>
                <a:pt x="16177306" y="9144000"/>
              </a:cubicBezTo>
              <a:cubicBezTo>
                <a:pt x="15767460" y="9154633"/>
                <a:pt x="16004780" y="9116287"/>
                <a:pt x="15929514" y="9144000"/>
              </a:cubicBezTo>
              <a:cubicBezTo>
                <a:pt x="15854248" y="9171713"/>
                <a:pt x="15499874" y="9123405"/>
                <a:pt x="15339532" y="9144000"/>
              </a:cubicBezTo>
              <a:cubicBezTo>
                <a:pt x="15179190" y="9164595"/>
                <a:pt x="15297928" y="9136940"/>
                <a:pt x="15262834" y="9144000"/>
              </a:cubicBezTo>
              <a:cubicBezTo>
                <a:pt x="15227740" y="9151060"/>
                <a:pt x="14556885" y="9086645"/>
                <a:pt x="14330663" y="9144000"/>
              </a:cubicBezTo>
              <a:cubicBezTo>
                <a:pt x="14104441" y="9201355"/>
                <a:pt x="13997408" y="9130553"/>
                <a:pt x="13740681" y="9144000"/>
              </a:cubicBezTo>
              <a:cubicBezTo>
                <a:pt x="13483954" y="9157447"/>
                <a:pt x="13091643" y="9051128"/>
                <a:pt x="12808509" y="9144000"/>
              </a:cubicBezTo>
              <a:cubicBezTo>
                <a:pt x="12525375" y="9236872"/>
                <a:pt x="12596459" y="9122496"/>
                <a:pt x="12389622" y="9144000"/>
              </a:cubicBezTo>
              <a:cubicBezTo>
                <a:pt x="12182785" y="9165504"/>
                <a:pt x="12192042" y="9128830"/>
                <a:pt x="12141830" y="9144000"/>
              </a:cubicBezTo>
              <a:cubicBezTo>
                <a:pt x="12091618" y="9159170"/>
                <a:pt x="11688173" y="9079931"/>
                <a:pt x="11551848" y="9144000"/>
              </a:cubicBezTo>
              <a:cubicBezTo>
                <a:pt x="11415523" y="9208069"/>
                <a:pt x="11119745" y="9061149"/>
                <a:pt x="10790771" y="9144000"/>
              </a:cubicBezTo>
              <a:cubicBezTo>
                <a:pt x="10461797" y="9226851"/>
                <a:pt x="10066121" y="9124827"/>
                <a:pt x="9858599" y="9144000"/>
              </a:cubicBezTo>
              <a:cubicBezTo>
                <a:pt x="9651077" y="9163173"/>
                <a:pt x="9322684" y="9126076"/>
                <a:pt x="9097522" y="9144000"/>
              </a:cubicBezTo>
              <a:cubicBezTo>
                <a:pt x="8872360" y="9161924"/>
                <a:pt x="8377658" y="9125250"/>
                <a:pt x="8165351" y="9144000"/>
              </a:cubicBezTo>
              <a:cubicBezTo>
                <a:pt x="7953044" y="9162750"/>
                <a:pt x="7739015" y="9077631"/>
                <a:pt x="7404274" y="9144000"/>
              </a:cubicBezTo>
              <a:cubicBezTo>
                <a:pt x="7069533" y="9210369"/>
                <a:pt x="7236954" y="9125814"/>
                <a:pt x="7156482" y="9144000"/>
              </a:cubicBezTo>
              <a:cubicBezTo>
                <a:pt x="7076010" y="9162186"/>
                <a:pt x="6618641" y="9073348"/>
                <a:pt x="6395405" y="9144000"/>
              </a:cubicBezTo>
              <a:cubicBezTo>
                <a:pt x="6172169" y="9214652"/>
                <a:pt x="6092358" y="9135488"/>
                <a:pt x="5976518" y="9144000"/>
              </a:cubicBezTo>
              <a:cubicBezTo>
                <a:pt x="5860678" y="9152512"/>
                <a:pt x="5848114" y="9142730"/>
                <a:pt x="5728725" y="9144000"/>
              </a:cubicBezTo>
              <a:cubicBezTo>
                <a:pt x="5609336" y="9145270"/>
                <a:pt x="5669721" y="9138943"/>
                <a:pt x="5652028" y="9144000"/>
              </a:cubicBezTo>
              <a:cubicBezTo>
                <a:pt x="5634335" y="9149057"/>
                <a:pt x="5481463" y="9131669"/>
                <a:pt x="5404235" y="9144000"/>
              </a:cubicBezTo>
              <a:cubicBezTo>
                <a:pt x="5327007" y="9156331"/>
                <a:pt x="5278330" y="9132020"/>
                <a:pt x="5156443" y="9144000"/>
              </a:cubicBezTo>
              <a:cubicBezTo>
                <a:pt x="5034556" y="9155980"/>
                <a:pt x="4727675" y="9102467"/>
                <a:pt x="4566461" y="9144000"/>
              </a:cubicBezTo>
              <a:cubicBezTo>
                <a:pt x="4405247" y="9185533"/>
                <a:pt x="4170054" y="9100191"/>
                <a:pt x="3976479" y="9144000"/>
              </a:cubicBezTo>
              <a:cubicBezTo>
                <a:pt x="3782904" y="9187809"/>
                <a:pt x="3673716" y="9097842"/>
                <a:pt x="3557591" y="9144000"/>
              </a:cubicBezTo>
              <a:cubicBezTo>
                <a:pt x="3441466" y="9190158"/>
                <a:pt x="2875735" y="9087259"/>
                <a:pt x="2625420" y="9144000"/>
              </a:cubicBezTo>
              <a:cubicBezTo>
                <a:pt x="2375105" y="9200741"/>
                <a:pt x="2459354" y="9122206"/>
                <a:pt x="2377627" y="9144000"/>
              </a:cubicBezTo>
              <a:cubicBezTo>
                <a:pt x="2295900" y="9165794"/>
                <a:pt x="1780799" y="9124855"/>
                <a:pt x="1445456" y="9144000"/>
              </a:cubicBezTo>
              <a:cubicBezTo>
                <a:pt x="1110113" y="9163145"/>
                <a:pt x="1255645" y="9142126"/>
                <a:pt x="1197663" y="9144000"/>
              </a:cubicBezTo>
              <a:cubicBezTo>
                <a:pt x="1139681" y="9145874"/>
                <a:pt x="343591" y="9039873"/>
                <a:pt x="0" y="9144000"/>
              </a:cubicBezTo>
              <a:cubicBezTo>
                <a:pt x="-86711" y="8785674"/>
                <a:pt x="54929" y="8622567"/>
                <a:pt x="0" y="8389620"/>
              </a:cubicBezTo>
              <a:cubicBezTo>
                <a:pt x="-54929" y="8156673"/>
                <a:pt x="49767" y="8137328"/>
                <a:pt x="0" y="7909560"/>
              </a:cubicBezTo>
              <a:cubicBezTo>
                <a:pt x="-49767" y="7681792"/>
                <a:pt x="56654" y="7414500"/>
                <a:pt x="0" y="7246620"/>
              </a:cubicBezTo>
              <a:cubicBezTo>
                <a:pt x="-56654" y="7078740"/>
                <a:pt x="7665" y="7041377"/>
                <a:pt x="0" y="6949440"/>
              </a:cubicBezTo>
              <a:cubicBezTo>
                <a:pt x="-7665" y="6857503"/>
                <a:pt x="22064" y="6523906"/>
                <a:pt x="0" y="6195060"/>
              </a:cubicBezTo>
              <a:cubicBezTo>
                <a:pt x="-22064" y="5866214"/>
                <a:pt x="31178" y="5878721"/>
                <a:pt x="0" y="5715000"/>
              </a:cubicBezTo>
              <a:cubicBezTo>
                <a:pt x="-31178" y="5551279"/>
                <a:pt x="29155" y="5262799"/>
                <a:pt x="0" y="5143500"/>
              </a:cubicBezTo>
              <a:cubicBezTo>
                <a:pt x="-29155" y="5024201"/>
                <a:pt x="1781" y="4937731"/>
                <a:pt x="0" y="4754880"/>
              </a:cubicBezTo>
              <a:cubicBezTo>
                <a:pt x="-1781" y="4572029"/>
                <a:pt x="54869" y="4338864"/>
                <a:pt x="0" y="4091940"/>
              </a:cubicBezTo>
              <a:cubicBezTo>
                <a:pt x="-54869" y="3845016"/>
                <a:pt x="20634" y="3607842"/>
                <a:pt x="0" y="3337560"/>
              </a:cubicBezTo>
              <a:cubicBezTo>
                <a:pt x="-20634" y="3067278"/>
                <a:pt x="36340" y="3054390"/>
                <a:pt x="0" y="2857500"/>
              </a:cubicBezTo>
              <a:cubicBezTo>
                <a:pt x="-36340" y="2660610"/>
                <a:pt x="89062" y="2417636"/>
                <a:pt x="0" y="2103120"/>
              </a:cubicBezTo>
              <a:cubicBezTo>
                <a:pt x="-89062" y="1788604"/>
                <a:pt x="51934" y="1725188"/>
                <a:pt x="0" y="1531620"/>
              </a:cubicBezTo>
              <a:cubicBezTo>
                <a:pt x="-51934" y="1338052"/>
                <a:pt x="52797" y="1081832"/>
                <a:pt x="0" y="777240"/>
              </a:cubicBezTo>
              <a:cubicBezTo>
                <a:pt x="-52797" y="472648"/>
                <a:pt x="50812" y="289048"/>
                <a:pt x="0" y="0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accent4">
              <a:shade val="15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>
          <a:innerShdw blurRad="114300">
            <a:prstClr val="black"/>
          </a:innerShdw>
          <a:softEdge rad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182879</xdr:colOff>
      <xdr:row>0</xdr:row>
      <xdr:rowOff>151840</xdr:rowOff>
    </xdr:from>
    <xdr:to>
      <xdr:col>7</xdr:col>
      <xdr:colOff>145676</xdr:colOff>
      <xdr:row>5</xdr:row>
      <xdr:rowOff>115868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AC4B4B-AA6D-4B5F-97CB-3CA056F5369B}"/>
            </a:ext>
          </a:extLst>
        </xdr:cNvPr>
        <xdr:cNvSpPr/>
      </xdr:nvSpPr>
      <xdr:spPr>
        <a:xfrm>
          <a:off x="180974" y="151840"/>
          <a:ext cx="1496322" cy="868903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76</xdr:col>
      <xdr:colOff>115644</xdr:colOff>
      <xdr:row>1</xdr:row>
      <xdr:rowOff>22412</xdr:rowOff>
    </xdr:from>
    <xdr:ext cx="974913" cy="317575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23FFB219-2A16-413E-B363-7EC048E5B1D4}"/>
            </a:ext>
          </a:extLst>
        </xdr:cNvPr>
        <xdr:cNvSpPr/>
      </xdr:nvSpPr>
      <xdr:spPr>
        <a:xfrm>
          <a:off x="15680615" y="201706"/>
          <a:ext cx="97491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3849FCFA-2AF2-40B6-A5DE-4EDBFA480CAD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65</xdr:col>
      <xdr:colOff>11206</xdr:colOff>
      <xdr:row>1</xdr:row>
      <xdr:rowOff>22635</xdr:rowOff>
    </xdr:from>
    <xdr:ext cx="1852780" cy="317351"/>
    <xdr:sp macro="" textlink="'CATEGORY TABLES'!AE2">
      <xdr:nvSpPr>
        <xdr:cNvPr id="8" name="Rectangle: Rounded Corners 7" descr=" zc z">
          <a:extLst>
            <a:ext uri="{FF2B5EF4-FFF2-40B4-BE49-F238E27FC236}">
              <a16:creationId xmlns:a16="http://schemas.microsoft.com/office/drawing/2014/main" id="{9473381E-C75C-4714-ABF0-3E34D81EFAD7}"/>
            </a:ext>
          </a:extLst>
        </xdr:cNvPr>
        <xdr:cNvSpPr/>
      </xdr:nvSpPr>
      <xdr:spPr>
        <a:xfrm>
          <a:off x="13727206" y="201929"/>
          <a:ext cx="1852780" cy="317351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t>HGVs Activity</a:t>
          </a:r>
        </a:p>
      </xdr:txBody>
    </xdr:sp>
    <xdr:clientData/>
  </xdr:oneCellAnchor>
  <xdr:twoCellAnchor>
    <xdr:from>
      <xdr:col>65</xdr:col>
      <xdr:colOff>22412</xdr:colOff>
      <xdr:row>3</xdr:row>
      <xdr:rowOff>91775</xdr:rowOff>
    </xdr:from>
    <xdr:to>
      <xdr:col>82</xdr:col>
      <xdr:colOff>78441</xdr:colOff>
      <xdr:row>5</xdr:row>
      <xdr:rowOff>65330</xdr:rowOff>
    </xdr:to>
    <xdr:sp macro="[0]!GoToDashboard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F5A1512-1224-455B-AA0E-EC437D33F606}"/>
            </a:ext>
          </a:extLst>
        </xdr:cNvPr>
        <xdr:cNvSpPr/>
      </xdr:nvSpPr>
      <xdr:spPr>
        <a:xfrm>
          <a:off x="13738412" y="629657"/>
          <a:ext cx="2913529" cy="332144"/>
        </a:xfrm>
        <a:prstGeom prst="roundRect">
          <a:avLst/>
        </a:prstGeom>
        <a:solidFill>
          <a:schemeClr val="bg1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BACK</a:t>
          </a:r>
          <a:r>
            <a:rPr lang="en-GB" sz="1200" b="1" baseline="0">
              <a:solidFill>
                <a:sysClr val="windowText" lastClr="000000"/>
              </a:solidFill>
            </a:rPr>
            <a:t> TO DASHBOARD </a:t>
          </a:r>
          <a:endParaRPr lang="en-GB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66</xdr:col>
      <xdr:colOff>27903</xdr:colOff>
      <xdr:row>3</xdr:row>
      <xdr:rowOff>173804</xdr:rowOff>
    </xdr:from>
    <xdr:to>
      <xdr:col>68</xdr:col>
      <xdr:colOff>80346</xdr:colOff>
      <xdr:row>4</xdr:row>
      <xdr:rowOff>171675</xdr:rowOff>
    </xdr:to>
    <xdr:sp macro="" textlink="">
      <xdr:nvSpPr>
        <xdr:cNvPr id="20" name="Arrow: Left 19">
          <a:extLst>
            <a:ext uri="{FF2B5EF4-FFF2-40B4-BE49-F238E27FC236}">
              <a16:creationId xmlns:a16="http://schemas.microsoft.com/office/drawing/2014/main" id="{59205895-8825-B7C4-CB8D-B8D4D825855D}"/>
            </a:ext>
          </a:extLst>
        </xdr:cNvPr>
        <xdr:cNvSpPr/>
      </xdr:nvSpPr>
      <xdr:spPr>
        <a:xfrm>
          <a:off x="13911991" y="711686"/>
          <a:ext cx="388620" cy="17716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57</xdr:col>
      <xdr:colOff>121361</xdr:colOff>
      <xdr:row>1</xdr:row>
      <xdr:rowOff>22412</xdr:rowOff>
    </xdr:from>
    <xdr:to>
      <xdr:col>64</xdr:col>
      <xdr:colOff>26222</xdr:colOff>
      <xdr:row>5</xdr:row>
      <xdr:rowOff>117774</xdr:rowOff>
    </xdr:to>
    <xdr:sp macro="[0]!Update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1A94E75C-38C3-4760-9342-ECD5A1CD5D03}"/>
            </a:ext>
          </a:extLst>
        </xdr:cNvPr>
        <xdr:cNvSpPr/>
      </xdr:nvSpPr>
      <xdr:spPr>
        <a:xfrm>
          <a:off x="12492655" y="201706"/>
          <a:ext cx="1081479" cy="812539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CHART UPDATE</a:t>
          </a:r>
        </a:p>
      </xdr:txBody>
    </xdr:sp>
    <xdr:clientData/>
  </xdr:twoCellAnchor>
  <xdr:twoCellAnchor>
    <xdr:from>
      <xdr:col>50</xdr:col>
      <xdr:colOff>136071</xdr:colOff>
      <xdr:row>1</xdr:row>
      <xdr:rowOff>27215</xdr:rowOff>
    </xdr:from>
    <xdr:to>
      <xdr:col>57</xdr:col>
      <xdr:colOff>31407</xdr:colOff>
      <xdr:row>5</xdr:row>
      <xdr:rowOff>122577</xdr:rowOff>
    </xdr:to>
    <xdr:sp macro="[0]!RefreshAllQueri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381FFC7-B643-4DF6-8CFF-633CBE4B3720}"/>
            </a:ext>
          </a:extLst>
        </xdr:cNvPr>
        <xdr:cNvSpPr/>
      </xdr:nvSpPr>
      <xdr:spPr>
        <a:xfrm>
          <a:off x="11742964" y="204108"/>
          <a:ext cx="1133586" cy="802933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REFRESH QUERIES</a:t>
          </a:r>
        </a:p>
      </xdr:txBody>
    </xdr:sp>
    <xdr:clientData/>
  </xdr:twoCellAnchor>
  <xdr:oneCellAnchor>
    <xdr:from>
      <xdr:col>44</xdr:col>
      <xdr:colOff>149679</xdr:colOff>
      <xdr:row>1</xdr:row>
      <xdr:rowOff>40821</xdr:rowOff>
    </xdr:from>
    <xdr:ext cx="1066463" cy="317575"/>
    <xdr:sp macro="" textlink="'MAIN TABLE-1 AUTOMATED'!A1">
      <xdr:nvSpPr>
        <xdr:cNvPr id="7" name="Rectangle: Rounded Corners 6" descr=" zc z">
          <a:extLst>
            <a:ext uri="{FF2B5EF4-FFF2-40B4-BE49-F238E27FC236}">
              <a16:creationId xmlns:a16="http://schemas.microsoft.com/office/drawing/2014/main" id="{FF8C5FFA-411F-401B-AC9D-283D7C1359CA}"/>
            </a:ext>
          </a:extLst>
        </xdr:cNvPr>
        <xdr:cNvSpPr/>
      </xdr:nvSpPr>
      <xdr:spPr>
        <a:xfrm>
          <a:off x="10559143" y="217714"/>
          <a:ext cx="106646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  <xdr:twoCellAnchor>
    <xdr:from>
      <xdr:col>0</xdr:col>
      <xdr:colOff>97043</xdr:colOff>
      <xdr:row>8</xdr:row>
      <xdr:rowOff>67235</xdr:rowOff>
    </xdr:from>
    <xdr:to>
      <xdr:col>83</xdr:col>
      <xdr:colOff>156883</xdr:colOff>
      <xdr:row>28</xdr:row>
      <xdr:rowOff>108554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FE2F09D-05F5-4D5B-A4BC-148A6CFB1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100854</xdr:colOff>
      <xdr:row>29</xdr:row>
      <xdr:rowOff>93457</xdr:rowOff>
    </xdr:from>
    <xdr:to>
      <xdr:col>83</xdr:col>
      <xdr:colOff>89648</xdr:colOff>
      <xdr:row>49</xdr:row>
      <xdr:rowOff>139625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5B3DD32-2AEF-4B69-8672-2239C60E8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87359</xdr:colOff>
      <xdr:row>0</xdr:row>
      <xdr:rowOff>0</xdr:rowOff>
    </xdr:from>
    <xdr:to>
      <xdr:col>43</xdr:col>
      <xdr:colOff>190501</xdr:colOff>
      <xdr:row>52</xdr:row>
      <xdr:rowOff>54428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E8CAFBC-6788-4A6B-93A8-A4705F6FB287}"/>
            </a:ext>
          </a:extLst>
        </xdr:cNvPr>
        <xdr:cNvSpPr/>
      </xdr:nvSpPr>
      <xdr:spPr>
        <a:xfrm>
          <a:off x="87359" y="0"/>
          <a:ext cx="10267678" cy="9252857"/>
        </a:xfrm>
        <a:custGeom>
          <a:avLst/>
          <a:gdLst>
            <a:gd name="csX0" fmla="*/ 0 w 10267678"/>
            <a:gd name="csY0" fmla="*/ 0 h 9252857"/>
            <a:gd name="csX1" fmla="*/ 365073 w 10267678"/>
            <a:gd name="csY1" fmla="*/ 0 h 9252857"/>
            <a:gd name="csX2" fmla="*/ 627469 w 10267678"/>
            <a:gd name="csY2" fmla="*/ 0 h 9252857"/>
            <a:gd name="csX3" fmla="*/ 889865 w 10267678"/>
            <a:gd name="csY3" fmla="*/ 0 h 9252857"/>
            <a:gd name="csX4" fmla="*/ 1665646 w 10267678"/>
            <a:gd name="csY4" fmla="*/ 0 h 9252857"/>
            <a:gd name="csX5" fmla="*/ 1928042 w 10267678"/>
            <a:gd name="csY5" fmla="*/ 0 h 9252857"/>
            <a:gd name="csX6" fmla="*/ 2498468 w 10267678"/>
            <a:gd name="csY6" fmla="*/ 0 h 9252857"/>
            <a:gd name="csX7" fmla="*/ 2863541 w 10267678"/>
            <a:gd name="csY7" fmla="*/ 0 h 9252857"/>
            <a:gd name="csX8" fmla="*/ 3228614 w 10267678"/>
            <a:gd name="csY8" fmla="*/ 0 h 9252857"/>
            <a:gd name="csX9" fmla="*/ 3593687 w 10267678"/>
            <a:gd name="csY9" fmla="*/ 0 h 9252857"/>
            <a:gd name="csX10" fmla="*/ 3958760 w 10267678"/>
            <a:gd name="csY10" fmla="*/ 0 h 9252857"/>
            <a:gd name="csX11" fmla="*/ 4426510 w 10267678"/>
            <a:gd name="csY11" fmla="*/ 0 h 9252857"/>
            <a:gd name="csX12" fmla="*/ 4791583 w 10267678"/>
            <a:gd name="csY12" fmla="*/ 0 h 9252857"/>
            <a:gd name="csX13" fmla="*/ 5259333 w 10267678"/>
            <a:gd name="csY13" fmla="*/ 0 h 9252857"/>
            <a:gd name="csX14" fmla="*/ 5932436 w 10267678"/>
            <a:gd name="csY14" fmla="*/ 0 h 9252857"/>
            <a:gd name="csX15" fmla="*/ 6297509 w 10267678"/>
            <a:gd name="csY15" fmla="*/ 0 h 9252857"/>
            <a:gd name="csX16" fmla="*/ 6559905 w 10267678"/>
            <a:gd name="csY16" fmla="*/ 0 h 9252857"/>
            <a:gd name="csX17" fmla="*/ 7335686 w 10267678"/>
            <a:gd name="csY17" fmla="*/ 0 h 9252857"/>
            <a:gd name="csX18" fmla="*/ 7598082 w 10267678"/>
            <a:gd name="csY18" fmla="*/ 0 h 9252857"/>
            <a:gd name="csX19" fmla="*/ 8168508 w 10267678"/>
            <a:gd name="csY19" fmla="*/ 0 h 9252857"/>
            <a:gd name="csX20" fmla="*/ 8430904 w 10267678"/>
            <a:gd name="csY20" fmla="*/ 0 h 9252857"/>
            <a:gd name="csX21" fmla="*/ 9104008 w 10267678"/>
            <a:gd name="csY21" fmla="*/ 0 h 9252857"/>
            <a:gd name="csX22" fmla="*/ 9674434 w 10267678"/>
            <a:gd name="csY22" fmla="*/ 0 h 9252857"/>
            <a:gd name="csX23" fmla="*/ 10267678 w 10267678"/>
            <a:gd name="csY23" fmla="*/ 0 h 9252857"/>
            <a:gd name="csX24" fmla="*/ 10267678 w 10267678"/>
            <a:gd name="csY24" fmla="*/ 578304 h 9252857"/>
            <a:gd name="csX25" fmla="*/ 10267678 w 10267678"/>
            <a:gd name="csY25" fmla="*/ 971550 h 9252857"/>
            <a:gd name="csX26" fmla="*/ 10267678 w 10267678"/>
            <a:gd name="csY26" fmla="*/ 1642382 h 9252857"/>
            <a:gd name="csX27" fmla="*/ 10267678 w 10267678"/>
            <a:gd name="csY27" fmla="*/ 1943100 h 9252857"/>
            <a:gd name="csX28" fmla="*/ 10267678 w 10267678"/>
            <a:gd name="csY28" fmla="*/ 2428875 h 9252857"/>
            <a:gd name="csX29" fmla="*/ 10267678 w 10267678"/>
            <a:gd name="csY29" fmla="*/ 3007179 h 9252857"/>
            <a:gd name="csX30" fmla="*/ 10267678 w 10267678"/>
            <a:gd name="csY30" fmla="*/ 3400425 h 9252857"/>
            <a:gd name="csX31" fmla="*/ 10267678 w 10267678"/>
            <a:gd name="csY31" fmla="*/ 4163786 h 9252857"/>
            <a:gd name="csX32" fmla="*/ 10267678 w 10267678"/>
            <a:gd name="csY32" fmla="*/ 4464504 h 9252857"/>
            <a:gd name="csX33" fmla="*/ 10267678 w 10267678"/>
            <a:gd name="csY33" fmla="*/ 4765221 h 9252857"/>
            <a:gd name="csX34" fmla="*/ 10267678 w 10267678"/>
            <a:gd name="csY34" fmla="*/ 5250996 h 9252857"/>
            <a:gd name="csX35" fmla="*/ 10267678 w 10267678"/>
            <a:gd name="csY35" fmla="*/ 5829300 h 9252857"/>
            <a:gd name="csX36" fmla="*/ 10267678 w 10267678"/>
            <a:gd name="csY36" fmla="*/ 6500132 h 9252857"/>
            <a:gd name="csX37" fmla="*/ 10267678 w 10267678"/>
            <a:gd name="csY37" fmla="*/ 7170964 h 9252857"/>
            <a:gd name="csX38" fmla="*/ 10267678 w 10267678"/>
            <a:gd name="csY38" fmla="*/ 7934325 h 9252857"/>
            <a:gd name="csX39" fmla="*/ 10267678 w 10267678"/>
            <a:gd name="csY39" fmla="*/ 8512628 h 9252857"/>
            <a:gd name="csX40" fmla="*/ 10267678 w 10267678"/>
            <a:gd name="csY40" fmla="*/ 9252857 h 9252857"/>
            <a:gd name="csX41" fmla="*/ 9491898 w 10267678"/>
            <a:gd name="csY41" fmla="*/ 9252857 h 9252857"/>
            <a:gd name="csX42" fmla="*/ 8818795 w 10267678"/>
            <a:gd name="csY42" fmla="*/ 9252857 h 9252857"/>
            <a:gd name="csX43" fmla="*/ 8248368 w 10267678"/>
            <a:gd name="csY43" fmla="*/ 9252857 h 9252857"/>
            <a:gd name="csX44" fmla="*/ 7780618 w 10267678"/>
            <a:gd name="csY44" fmla="*/ 9252857 h 9252857"/>
            <a:gd name="csX45" fmla="*/ 7004838 w 10267678"/>
            <a:gd name="csY45" fmla="*/ 9252857 h 9252857"/>
            <a:gd name="csX46" fmla="*/ 6434412 w 10267678"/>
            <a:gd name="csY46" fmla="*/ 9252857 h 9252857"/>
            <a:gd name="csX47" fmla="*/ 6069339 w 10267678"/>
            <a:gd name="csY47" fmla="*/ 9252857 h 9252857"/>
            <a:gd name="csX48" fmla="*/ 5704266 w 10267678"/>
            <a:gd name="csY48" fmla="*/ 9252857 h 9252857"/>
            <a:gd name="csX49" fmla="*/ 5441869 w 10267678"/>
            <a:gd name="csY49" fmla="*/ 9252857 h 9252857"/>
            <a:gd name="csX50" fmla="*/ 4871443 w 10267678"/>
            <a:gd name="csY50" fmla="*/ 9252857 h 9252857"/>
            <a:gd name="csX51" fmla="*/ 4506370 w 10267678"/>
            <a:gd name="csY51" fmla="*/ 9252857 h 9252857"/>
            <a:gd name="csX52" fmla="*/ 3730590 w 10267678"/>
            <a:gd name="csY52" fmla="*/ 9252857 h 9252857"/>
            <a:gd name="csX53" fmla="*/ 3057486 w 10267678"/>
            <a:gd name="csY53" fmla="*/ 9252857 h 9252857"/>
            <a:gd name="csX54" fmla="*/ 2589737 w 10267678"/>
            <a:gd name="csY54" fmla="*/ 9252857 h 9252857"/>
            <a:gd name="csX55" fmla="*/ 1813956 w 10267678"/>
            <a:gd name="csY55" fmla="*/ 9252857 h 9252857"/>
            <a:gd name="csX56" fmla="*/ 1243530 w 10267678"/>
            <a:gd name="csY56" fmla="*/ 9252857 h 9252857"/>
            <a:gd name="csX57" fmla="*/ 878457 w 10267678"/>
            <a:gd name="csY57" fmla="*/ 9252857 h 9252857"/>
            <a:gd name="csX58" fmla="*/ 0 w 10267678"/>
            <a:gd name="csY58" fmla="*/ 9252857 h 9252857"/>
            <a:gd name="csX59" fmla="*/ 0 w 10267678"/>
            <a:gd name="csY59" fmla="*/ 8859611 h 9252857"/>
            <a:gd name="csX60" fmla="*/ 0 w 10267678"/>
            <a:gd name="csY60" fmla="*/ 8096250 h 9252857"/>
            <a:gd name="csX61" fmla="*/ 0 w 10267678"/>
            <a:gd name="csY61" fmla="*/ 7517946 h 9252857"/>
            <a:gd name="csX62" fmla="*/ 0 w 10267678"/>
            <a:gd name="csY62" fmla="*/ 7032171 h 9252857"/>
            <a:gd name="csX63" fmla="*/ 0 w 10267678"/>
            <a:gd name="csY63" fmla="*/ 6453868 h 9252857"/>
            <a:gd name="csX64" fmla="*/ 0 w 10267678"/>
            <a:gd name="csY64" fmla="*/ 5875564 h 9252857"/>
            <a:gd name="csX65" fmla="*/ 0 w 10267678"/>
            <a:gd name="csY65" fmla="*/ 5574846 h 9252857"/>
            <a:gd name="csX66" fmla="*/ 0 w 10267678"/>
            <a:gd name="csY66" fmla="*/ 4904014 h 9252857"/>
            <a:gd name="csX67" fmla="*/ 0 w 10267678"/>
            <a:gd name="csY67" fmla="*/ 4233182 h 9252857"/>
            <a:gd name="csX68" fmla="*/ 0 w 10267678"/>
            <a:gd name="csY68" fmla="*/ 3932464 h 9252857"/>
            <a:gd name="csX69" fmla="*/ 0 w 10267678"/>
            <a:gd name="csY69" fmla="*/ 3539218 h 9252857"/>
            <a:gd name="csX70" fmla="*/ 0 w 10267678"/>
            <a:gd name="csY70" fmla="*/ 3053443 h 9252857"/>
            <a:gd name="csX71" fmla="*/ 0 w 10267678"/>
            <a:gd name="csY71" fmla="*/ 2660196 h 9252857"/>
            <a:gd name="csX72" fmla="*/ 0 w 10267678"/>
            <a:gd name="csY72" fmla="*/ 2081893 h 9252857"/>
            <a:gd name="csX73" fmla="*/ 0 w 10267678"/>
            <a:gd name="csY73" fmla="*/ 1688646 h 9252857"/>
            <a:gd name="csX74" fmla="*/ 0 w 10267678"/>
            <a:gd name="csY74" fmla="*/ 925286 h 9252857"/>
            <a:gd name="csX75" fmla="*/ 0 w 10267678"/>
            <a:gd name="csY75" fmla="*/ 0 h 925285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</a:cxnLst>
          <a:rect l="l" t="t" r="r" b="b"/>
          <a:pathLst>
            <a:path w="10267678" h="9252857" fill="none" extrusionOk="0">
              <a:moveTo>
                <a:pt x="0" y="0"/>
              </a:moveTo>
              <a:cubicBezTo>
                <a:pt x="169644" y="-39332"/>
                <a:pt x="183717" y="22668"/>
                <a:pt x="365073" y="0"/>
              </a:cubicBezTo>
              <a:cubicBezTo>
                <a:pt x="546429" y="-22668"/>
                <a:pt x="570730" y="4356"/>
                <a:pt x="627469" y="0"/>
              </a:cubicBezTo>
              <a:cubicBezTo>
                <a:pt x="684208" y="-4356"/>
                <a:pt x="779617" y="9683"/>
                <a:pt x="889865" y="0"/>
              </a:cubicBezTo>
              <a:cubicBezTo>
                <a:pt x="1000113" y="-9683"/>
                <a:pt x="1498500" y="34856"/>
                <a:pt x="1665646" y="0"/>
              </a:cubicBezTo>
              <a:cubicBezTo>
                <a:pt x="1832792" y="-34856"/>
                <a:pt x="1846449" y="26"/>
                <a:pt x="1928042" y="0"/>
              </a:cubicBezTo>
              <a:cubicBezTo>
                <a:pt x="2009635" y="-26"/>
                <a:pt x="2265576" y="67014"/>
                <a:pt x="2498468" y="0"/>
              </a:cubicBezTo>
              <a:cubicBezTo>
                <a:pt x="2731360" y="-67014"/>
                <a:pt x="2759569" y="18198"/>
                <a:pt x="2863541" y="0"/>
              </a:cubicBezTo>
              <a:cubicBezTo>
                <a:pt x="2967513" y="-18198"/>
                <a:pt x="3092383" y="19825"/>
                <a:pt x="3228614" y="0"/>
              </a:cubicBezTo>
              <a:cubicBezTo>
                <a:pt x="3364845" y="-19825"/>
                <a:pt x="3484314" y="19143"/>
                <a:pt x="3593687" y="0"/>
              </a:cubicBezTo>
              <a:cubicBezTo>
                <a:pt x="3703060" y="-19143"/>
                <a:pt x="3822006" y="20188"/>
                <a:pt x="3958760" y="0"/>
              </a:cubicBezTo>
              <a:cubicBezTo>
                <a:pt x="4095514" y="-20188"/>
                <a:pt x="4326913" y="21858"/>
                <a:pt x="4426510" y="0"/>
              </a:cubicBezTo>
              <a:cubicBezTo>
                <a:pt x="4526107" y="-21858"/>
                <a:pt x="4644419" y="25588"/>
                <a:pt x="4791583" y="0"/>
              </a:cubicBezTo>
              <a:cubicBezTo>
                <a:pt x="4938747" y="-25588"/>
                <a:pt x="5095886" y="17672"/>
                <a:pt x="5259333" y="0"/>
              </a:cubicBezTo>
              <a:cubicBezTo>
                <a:pt x="5422780" y="-17672"/>
                <a:pt x="5743092" y="66223"/>
                <a:pt x="5932436" y="0"/>
              </a:cubicBezTo>
              <a:cubicBezTo>
                <a:pt x="6121780" y="-66223"/>
                <a:pt x="6147476" y="21934"/>
                <a:pt x="6297509" y="0"/>
              </a:cubicBezTo>
              <a:cubicBezTo>
                <a:pt x="6447542" y="-21934"/>
                <a:pt x="6469916" y="18247"/>
                <a:pt x="6559905" y="0"/>
              </a:cubicBezTo>
              <a:cubicBezTo>
                <a:pt x="6649894" y="-18247"/>
                <a:pt x="7143222" y="48637"/>
                <a:pt x="7335686" y="0"/>
              </a:cubicBezTo>
              <a:cubicBezTo>
                <a:pt x="7528150" y="-48637"/>
                <a:pt x="7488459" y="4841"/>
                <a:pt x="7598082" y="0"/>
              </a:cubicBezTo>
              <a:cubicBezTo>
                <a:pt x="7707705" y="-4841"/>
                <a:pt x="7966846" y="68046"/>
                <a:pt x="8168508" y="0"/>
              </a:cubicBezTo>
              <a:cubicBezTo>
                <a:pt x="8370170" y="-68046"/>
                <a:pt x="8376819" y="24989"/>
                <a:pt x="8430904" y="0"/>
              </a:cubicBezTo>
              <a:cubicBezTo>
                <a:pt x="8484989" y="-24989"/>
                <a:pt x="8822809" y="70375"/>
                <a:pt x="9104008" y="0"/>
              </a:cubicBezTo>
              <a:cubicBezTo>
                <a:pt x="9385207" y="-70375"/>
                <a:pt x="9450827" y="50092"/>
                <a:pt x="9674434" y="0"/>
              </a:cubicBezTo>
              <a:cubicBezTo>
                <a:pt x="9898041" y="-50092"/>
                <a:pt x="9974648" y="30389"/>
                <a:pt x="10267678" y="0"/>
              </a:cubicBezTo>
              <a:cubicBezTo>
                <a:pt x="10323628" y="194351"/>
                <a:pt x="10243387" y="291989"/>
                <a:pt x="10267678" y="578304"/>
              </a:cubicBezTo>
              <a:cubicBezTo>
                <a:pt x="10291969" y="864619"/>
                <a:pt x="10250077" y="832460"/>
                <a:pt x="10267678" y="971550"/>
              </a:cubicBezTo>
              <a:cubicBezTo>
                <a:pt x="10285279" y="1110640"/>
                <a:pt x="10235509" y="1489369"/>
                <a:pt x="10267678" y="1642382"/>
              </a:cubicBezTo>
              <a:cubicBezTo>
                <a:pt x="10299847" y="1795395"/>
                <a:pt x="10259388" y="1812576"/>
                <a:pt x="10267678" y="1943100"/>
              </a:cubicBezTo>
              <a:cubicBezTo>
                <a:pt x="10275968" y="2073624"/>
                <a:pt x="10221129" y="2245799"/>
                <a:pt x="10267678" y="2428875"/>
              </a:cubicBezTo>
              <a:cubicBezTo>
                <a:pt x="10314227" y="2611951"/>
                <a:pt x="10261007" y="2720387"/>
                <a:pt x="10267678" y="3007179"/>
              </a:cubicBezTo>
              <a:cubicBezTo>
                <a:pt x="10274349" y="3293971"/>
                <a:pt x="10255284" y="3216216"/>
                <a:pt x="10267678" y="3400425"/>
              </a:cubicBezTo>
              <a:cubicBezTo>
                <a:pt x="10280072" y="3584634"/>
                <a:pt x="10199112" y="3863362"/>
                <a:pt x="10267678" y="4163786"/>
              </a:cubicBezTo>
              <a:cubicBezTo>
                <a:pt x="10336244" y="4464210"/>
                <a:pt x="10238833" y="4346958"/>
                <a:pt x="10267678" y="4464504"/>
              </a:cubicBezTo>
              <a:cubicBezTo>
                <a:pt x="10296523" y="4582050"/>
                <a:pt x="10252023" y="4704743"/>
                <a:pt x="10267678" y="4765221"/>
              </a:cubicBezTo>
              <a:cubicBezTo>
                <a:pt x="10283333" y="4825699"/>
                <a:pt x="10255172" y="5125040"/>
                <a:pt x="10267678" y="5250996"/>
              </a:cubicBezTo>
              <a:cubicBezTo>
                <a:pt x="10280184" y="5376952"/>
                <a:pt x="10202218" y="5540543"/>
                <a:pt x="10267678" y="5829300"/>
              </a:cubicBezTo>
              <a:cubicBezTo>
                <a:pt x="10333138" y="6118057"/>
                <a:pt x="10239472" y="6209448"/>
                <a:pt x="10267678" y="6500132"/>
              </a:cubicBezTo>
              <a:cubicBezTo>
                <a:pt x="10295884" y="6790816"/>
                <a:pt x="10247364" y="6987653"/>
                <a:pt x="10267678" y="7170964"/>
              </a:cubicBezTo>
              <a:cubicBezTo>
                <a:pt x="10287992" y="7354275"/>
                <a:pt x="10249160" y="7758121"/>
                <a:pt x="10267678" y="7934325"/>
              </a:cubicBezTo>
              <a:cubicBezTo>
                <a:pt x="10286196" y="8110529"/>
                <a:pt x="10222815" y="8362142"/>
                <a:pt x="10267678" y="8512628"/>
              </a:cubicBezTo>
              <a:cubicBezTo>
                <a:pt x="10312541" y="8663114"/>
                <a:pt x="10191166" y="9044054"/>
                <a:pt x="10267678" y="9252857"/>
              </a:cubicBezTo>
              <a:cubicBezTo>
                <a:pt x="10104263" y="9255084"/>
                <a:pt x="9709185" y="9209997"/>
                <a:pt x="9491898" y="9252857"/>
              </a:cubicBezTo>
              <a:cubicBezTo>
                <a:pt x="9274611" y="9295717"/>
                <a:pt x="8979157" y="9200549"/>
                <a:pt x="8818795" y="9252857"/>
              </a:cubicBezTo>
              <a:cubicBezTo>
                <a:pt x="8658433" y="9305165"/>
                <a:pt x="8417558" y="9186279"/>
                <a:pt x="8248368" y="9252857"/>
              </a:cubicBezTo>
              <a:cubicBezTo>
                <a:pt x="8079178" y="9319435"/>
                <a:pt x="8002484" y="9209555"/>
                <a:pt x="7780618" y="9252857"/>
              </a:cubicBezTo>
              <a:cubicBezTo>
                <a:pt x="7558752" y="9296159"/>
                <a:pt x="7212008" y="9209821"/>
                <a:pt x="7004838" y="9252857"/>
              </a:cubicBezTo>
              <a:cubicBezTo>
                <a:pt x="6797668" y="9295893"/>
                <a:pt x="6618076" y="9201996"/>
                <a:pt x="6434412" y="9252857"/>
              </a:cubicBezTo>
              <a:cubicBezTo>
                <a:pt x="6250748" y="9303718"/>
                <a:pt x="6214389" y="9238528"/>
                <a:pt x="6069339" y="9252857"/>
              </a:cubicBezTo>
              <a:cubicBezTo>
                <a:pt x="5924289" y="9267186"/>
                <a:pt x="5882397" y="9209985"/>
                <a:pt x="5704266" y="9252857"/>
              </a:cubicBezTo>
              <a:cubicBezTo>
                <a:pt x="5526135" y="9295729"/>
                <a:pt x="5549655" y="9252404"/>
                <a:pt x="5441869" y="9252857"/>
              </a:cubicBezTo>
              <a:cubicBezTo>
                <a:pt x="5334083" y="9253310"/>
                <a:pt x="5111646" y="9198133"/>
                <a:pt x="4871443" y="9252857"/>
              </a:cubicBezTo>
              <a:cubicBezTo>
                <a:pt x="4631240" y="9307581"/>
                <a:pt x="4592482" y="9241090"/>
                <a:pt x="4506370" y="9252857"/>
              </a:cubicBezTo>
              <a:cubicBezTo>
                <a:pt x="4420258" y="9264624"/>
                <a:pt x="3968761" y="9198194"/>
                <a:pt x="3730590" y="9252857"/>
              </a:cubicBezTo>
              <a:cubicBezTo>
                <a:pt x="3492419" y="9307520"/>
                <a:pt x="3388321" y="9241779"/>
                <a:pt x="3057486" y="9252857"/>
              </a:cubicBezTo>
              <a:cubicBezTo>
                <a:pt x="2726651" y="9263935"/>
                <a:pt x="2725420" y="9233065"/>
                <a:pt x="2589737" y="9252857"/>
              </a:cubicBezTo>
              <a:cubicBezTo>
                <a:pt x="2454054" y="9272649"/>
                <a:pt x="2102417" y="9194658"/>
                <a:pt x="1813956" y="9252857"/>
              </a:cubicBezTo>
              <a:cubicBezTo>
                <a:pt x="1525495" y="9311056"/>
                <a:pt x="1358565" y="9222834"/>
                <a:pt x="1243530" y="9252857"/>
              </a:cubicBezTo>
              <a:cubicBezTo>
                <a:pt x="1128495" y="9282880"/>
                <a:pt x="1037515" y="9219645"/>
                <a:pt x="878457" y="9252857"/>
              </a:cubicBezTo>
              <a:cubicBezTo>
                <a:pt x="719399" y="9286069"/>
                <a:pt x="367883" y="9224112"/>
                <a:pt x="0" y="9252857"/>
              </a:cubicBezTo>
              <a:cubicBezTo>
                <a:pt x="-12381" y="9077146"/>
                <a:pt x="4133" y="8975185"/>
                <a:pt x="0" y="8859611"/>
              </a:cubicBezTo>
              <a:cubicBezTo>
                <a:pt x="-4133" y="8744037"/>
                <a:pt x="13813" y="8301134"/>
                <a:pt x="0" y="8096250"/>
              </a:cubicBezTo>
              <a:cubicBezTo>
                <a:pt x="-13813" y="7891366"/>
                <a:pt x="6632" y="7781416"/>
                <a:pt x="0" y="7517946"/>
              </a:cubicBezTo>
              <a:cubicBezTo>
                <a:pt x="-6632" y="7254476"/>
                <a:pt x="32921" y="7180182"/>
                <a:pt x="0" y="7032171"/>
              </a:cubicBezTo>
              <a:cubicBezTo>
                <a:pt x="-32921" y="6884160"/>
                <a:pt x="9962" y="6632230"/>
                <a:pt x="0" y="6453868"/>
              </a:cubicBezTo>
              <a:cubicBezTo>
                <a:pt x="-9962" y="6275506"/>
                <a:pt x="49168" y="6024381"/>
                <a:pt x="0" y="5875564"/>
              </a:cubicBezTo>
              <a:cubicBezTo>
                <a:pt x="-49168" y="5726747"/>
                <a:pt x="27433" y="5661665"/>
                <a:pt x="0" y="5574846"/>
              </a:cubicBezTo>
              <a:cubicBezTo>
                <a:pt x="-27433" y="5488027"/>
                <a:pt x="79474" y="5084339"/>
                <a:pt x="0" y="4904014"/>
              </a:cubicBezTo>
              <a:cubicBezTo>
                <a:pt x="-79474" y="4723689"/>
                <a:pt x="22242" y="4409637"/>
                <a:pt x="0" y="4233182"/>
              </a:cubicBezTo>
              <a:cubicBezTo>
                <a:pt x="-22242" y="4056727"/>
                <a:pt x="33538" y="4001345"/>
                <a:pt x="0" y="3932464"/>
              </a:cubicBezTo>
              <a:cubicBezTo>
                <a:pt x="-33538" y="3863583"/>
                <a:pt x="3540" y="3733910"/>
                <a:pt x="0" y="3539218"/>
              </a:cubicBezTo>
              <a:cubicBezTo>
                <a:pt x="-3540" y="3344526"/>
                <a:pt x="137" y="3243540"/>
                <a:pt x="0" y="3053443"/>
              </a:cubicBezTo>
              <a:cubicBezTo>
                <a:pt x="-137" y="2863346"/>
                <a:pt x="16598" y="2772363"/>
                <a:pt x="0" y="2660196"/>
              </a:cubicBezTo>
              <a:cubicBezTo>
                <a:pt x="-16598" y="2548029"/>
                <a:pt x="42658" y="2307407"/>
                <a:pt x="0" y="2081893"/>
              </a:cubicBezTo>
              <a:cubicBezTo>
                <a:pt x="-42658" y="1856379"/>
                <a:pt x="13995" y="1807850"/>
                <a:pt x="0" y="1688646"/>
              </a:cubicBezTo>
              <a:cubicBezTo>
                <a:pt x="-13995" y="1569442"/>
                <a:pt x="17853" y="1092499"/>
                <a:pt x="0" y="925286"/>
              </a:cubicBezTo>
              <a:cubicBezTo>
                <a:pt x="-17853" y="758073"/>
                <a:pt x="87316" y="234840"/>
                <a:pt x="0" y="0"/>
              </a:cubicBezTo>
              <a:close/>
            </a:path>
            <a:path w="10267678" h="9252857" stroke="0" extrusionOk="0">
              <a:moveTo>
                <a:pt x="0" y="0"/>
              </a:moveTo>
              <a:cubicBezTo>
                <a:pt x="203729" y="-44053"/>
                <a:pt x="340455" y="24947"/>
                <a:pt x="467750" y="0"/>
              </a:cubicBezTo>
              <a:cubicBezTo>
                <a:pt x="595045" y="-24947"/>
                <a:pt x="636703" y="18853"/>
                <a:pt x="730146" y="0"/>
              </a:cubicBezTo>
              <a:cubicBezTo>
                <a:pt x="823589" y="-18853"/>
                <a:pt x="1135341" y="23016"/>
                <a:pt x="1505926" y="0"/>
              </a:cubicBezTo>
              <a:cubicBezTo>
                <a:pt x="1876511" y="-23016"/>
                <a:pt x="1747496" y="25113"/>
                <a:pt x="1973676" y="0"/>
              </a:cubicBezTo>
              <a:cubicBezTo>
                <a:pt x="2199856" y="-25113"/>
                <a:pt x="2292443" y="39043"/>
                <a:pt x="2441426" y="0"/>
              </a:cubicBezTo>
              <a:cubicBezTo>
                <a:pt x="2590409" y="-39043"/>
                <a:pt x="3014029" y="40752"/>
                <a:pt x="3217206" y="0"/>
              </a:cubicBezTo>
              <a:cubicBezTo>
                <a:pt x="3420383" y="-40752"/>
                <a:pt x="3464825" y="27375"/>
                <a:pt x="3582279" y="0"/>
              </a:cubicBezTo>
              <a:cubicBezTo>
                <a:pt x="3699733" y="-27375"/>
                <a:pt x="4098908" y="40791"/>
                <a:pt x="4358059" y="0"/>
              </a:cubicBezTo>
              <a:cubicBezTo>
                <a:pt x="4617210" y="-40791"/>
                <a:pt x="4873274" y="91508"/>
                <a:pt x="5133839" y="0"/>
              </a:cubicBezTo>
              <a:cubicBezTo>
                <a:pt x="5394404" y="-91508"/>
                <a:pt x="5559425" y="15776"/>
                <a:pt x="5704266" y="0"/>
              </a:cubicBezTo>
              <a:cubicBezTo>
                <a:pt x="5849107" y="-15776"/>
                <a:pt x="6229234" y="91531"/>
                <a:pt x="6480046" y="0"/>
              </a:cubicBezTo>
              <a:cubicBezTo>
                <a:pt x="6730858" y="-91531"/>
                <a:pt x="6776584" y="24699"/>
                <a:pt x="6947795" y="0"/>
              </a:cubicBezTo>
              <a:cubicBezTo>
                <a:pt x="7119006" y="-24699"/>
                <a:pt x="7307562" y="29868"/>
                <a:pt x="7415545" y="0"/>
              </a:cubicBezTo>
              <a:cubicBezTo>
                <a:pt x="7523528" y="-29868"/>
                <a:pt x="7939692" y="32756"/>
                <a:pt x="8088649" y="0"/>
              </a:cubicBezTo>
              <a:cubicBezTo>
                <a:pt x="8237606" y="-32756"/>
                <a:pt x="8340678" y="14751"/>
                <a:pt x="8556398" y="0"/>
              </a:cubicBezTo>
              <a:cubicBezTo>
                <a:pt x="8772118" y="-14751"/>
                <a:pt x="9124820" y="67895"/>
                <a:pt x="9332178" y="0"/>
              </a:cubicBezTo>
              <a:cubicBezTo>
                <a:pt x="9539536" y="-67895"/>
                <a:pt x="9946976" y="83380"/>
                <a:pt x="10267678" y="0"/>
              </a:cubicBezTo>
              <a:cubicBezTo>
                <a:pt x="10297757" y="244230"/>
                <a:pt x="10259689" y="354888"/>
                <a:pt x="10267678" y="578304"/>
              </a:cubicBezTo>
              <a:cubicBezTo>
                <a:pt x="10275667" y="801720"/>
                <a:pt x="10236009" y="1046036"/>
                <a:pt x="10267678" y="1249136"/>
              </a:cubicBezTo>
              <a:cubicBezTo>
                <a:pt x="10299347" y="1452236"/>
                <a:pt x="10233939" y="1462267"/>
                <a:pt x="10267678" y="1549854"/>
              </a:cubicBezTo>
              <a:cubicBezTo>
                <a:pt x="10301417" y="1637441"/>
                <a:pt x="10227535" y="1845164"/>
                <a:pt x="10267678" y="1943100"/>
              </a:cubicBezTo>
              <a:cubicBezTo>
                <a:pt x="10307821" y="2041036"/>
                <a:pt x="10252777" y="2373254"/>
                <a:pt x="10267678" y="2613932"/>
              </a:cubicBezTo>
              <a:cubicBezTo>
                <a:pt x="10282579" y="2854610"/>
                <a:pt x="10217343" y="2969013"/>
                <a:pt x="10267678" y="3099707"/>
              </a:cubicBezTo>
              <a:cubicBezTo>
                <a:pt x="10318013" y="3230402"/>
                <a:pt x="10257733" y="3336799"/>
                <a:pt x="10267678" y="3492954"/>
              </a:cubicBezTo>
              <a:cubicBezTo>
                <a:pt x="10277623" y="3649109"/>
                <a:pt x="10265681" y="3963456"/>
                <a:pt x="10267678" y="4163786"/>
              </a:cubicBezTo>
              <a:cubicBezTo>
                <a:pt x="10269675" y="4364116"/>
                <a:pt x="10260581" y="4457963"/>
                <a:pt x="10267678" y="4742089"/>
              </a:cubicBezTo>
              <a:cubicBezTo>
                <a:pt x="10274775" y="5026215"/>
                <a:pt x="10241491" y="5187626"/>
                <a:pt x="10267678" y="5320393"/>
              </a:cubicBezTo>
              <a:cubicBezTo>
                <a:pt x="10293865" y="5453160"/>
                <a:pt x="10234298" y="5927689"/>
                <a:pt x="10267678" y="6083753"/>
              </a:cubicBezTo>
              <a:cubicBezTo>
                <a:pt x="10301058" y="6239817"/>
                <a:pt x="10239227" y="6501487"/>
                <a:pt x="10267678" y="6754586"/>
              </a:cubicBezTo>
              <a:cubicBezTo>
                <a:pt x="10296129" y="7007685"/>
                <a:pt x="10247409" y="6976311"/>
                <a:pt x="10267678" y="7055303"/>
              </a:cubicBezTo>
              <a:cubicBezTo>
                <a:pt x="10287947" y="7134295"/>
                <a:pt x="10247940" y="7366712"/>
                <a:pt x="10267678" y="7541078"/>
              </a:cubicBezTo>
              <a:cubicBezTo>
                <a:pt x="10287416" y="7715445"/>
                <a:pt x="10211300" y="8072066"/>
                <a:pt x="10267678" y="8304439"/>
              </a:cubicBezTo>
              <a:cubicBezTo>
                <a:pt x="10324056" y="8536812"/>
                <a:pt x="10240241" y="8986426"/>
                <a:pt x="10267678" y="9252857"/>
              </a:cubicBezTo>
              <a:cubicBezTo>
                <a:pt x="10098301" y="9285919"/>
                <a:pt x="9863396" y="9183301"/>
                <a:pt x="9594575" y="9252857"/>
              </a:cubicBezTo>
              <a:cubicBezTo>
                <a:pt x="9325754" y="9322413"/>
                <a:pt x="9386691" y="9245822"/>
                <a:pt x="9332178" y="9252857"/>
              </a:cubicBezTo>
              <a:cubicBezTo>
                <a:pt x="9277665" y="9259892"/>
                <a:pt x="9055868" y="9246421"/>
                <a:pt x="8967105" y="9252857"/>
              </a:cubicBezTo>
              <a:cubicBezTo>
                <a:pt x="8878342" y="9259293"/>
                <a:pt x="8484558" y="9226830"/>
                <a:pt x="8294002" y="9252857"/>
              </a:cubicBezTo>
              <a:cubicBezTo>
                <a:pt x="8103446" y="9278884"/>
                <a:pt x="8005556" y="9250947"/>
                <a:pt x="7928929" y="9252857"/>
              </a:cubicBezTo>
              <a:cubicBezTo>
                <a:pt x="7852302" y="9254767"/>
                <a:pt x="7730005" y="9240231"/>
                <a:pt x="7666533" y="9252857"/>
              </a:cubicBezTo>
              <a:cubicBezTo>
                <a:pt x="7603061" y="9265483"/>
                <a:pt x="7425601" y="9243986"/>
                <a:pt x="7301460" y="9252857"/>
              </a:cubicBezTo>
              <a:cubicBezTo>
                <a:pt x="7177319" y="9261728"/>
                <a:pt x="6949151" y="9217849"/>
                <a:pt x="6833710" y="9252857"/>
              </a:cubicBezTo>
              <a:cubicBezTo>
                <a:pt x="6718269" y="9287865"/>
                <a:pt x="6474760" y="9213702"/>
                <a:pt x="6263284" y="9252857"/>
              </a:cubicBezTo>
              <a:cubicBezTo>
                <a:pt x="6051808" y="9292012"/>
                <a:pt x="5993697" y="9213387"/>
                <a:pt x="5898211" y="9252857"/>
              </a:cubicBezTo>
              <a:cubicBezTo>
                <a:pt x="5802725" y="9292327"/>
                <a:pt x="5432276" y="9181857"/>
                <a:pt x="5122430" y="9252857"/>
              </a:cubicBezTo>
              <a:cubicBezTo>
                <a:pt x="4812584" y="9323857"/>
                <a:pt x="4827754" y="9190881"/>
                <a:pt x="4552004" y="9252857"/>
              </a:cubicBezTo>
              <a:cubicBezTo>
                <a:pt x="4276254" y="9314833"/>
                <a:pt x="3981041" y="9230827"/>
                <a:pt x="3776224" y="9252857"/>
              </a:cubicBezTo>
              <a:cubicBezTo>
                <a:pt x="3571407" y="9274887"/>
                <a:pt x="3370982" y="9237073"/>
                <a:pt x="3103120" y="9252857"/>
              </a:cubicBezTo>
              <a:cubicBezTo>
                <a:pt x="2835258" y="9268641"/>
                <a:pt x="2798326" y="9235490"/>
                <a:pt x="2635371" y="9252857"/>
              </a:cubicBezTo>
              <a:cubicBezTo>
                <a:pt x="2472416" y="9270224"/>
                <a:pt x="2274035" y="9244501"/>
                <a:pt x="1962267" y="9252857"/>
              </a:cubicBezTo>
              <a:cubicBezTo>
                <a:pt x="1650499" y="9261213"/>
                <a:pt x="1686252" y="9236955"/>
                <a:pt x="1597194" y="9252857"/>
              </a:cubicBezTo>
              <a:cubicBezTo>
                <a:pt x="1508136" y="9268759"/>
                <a:pt x="1178667" y="9243078"/>
                <a:pt x="1026768" y="9252857"/>
              </a:cubicBezTo>
              <a:cubicBezTo>
                <a:pt x="874869" y="9262636"/>
                <a:pt x="878135" y="9246592"/>
                <a:pt x="764372" y="9252857"/>
              </a:cubicBezTo>
              <a:cubicBezTo>
                <a:pt x="650609" y="9259122"/>
                <a:pt x="202851" y="9172738"/>
                <a:pt x="0" y="9252857"/>
              </a:cubicBezTo>
              <a:cubicBezTo>
                <a:pt x="-3768" y="9094537"/>
                <a:pt x="49242" y="8919755"/>
                <a:pt x="0" y="8674553"/>
              </a:cubicBezTo>
              <a:cubicBezTo>
                <a:pt x="-49242" y="8429351"/>
                <a:pt x="20249" y="8228868"/>
                <a:pt x="0" y="8003721"/>
              </a:cubicBezTo>
              <a:cubicBezTo>
                <a:pt x="-20249" y="7778574"/>
                <a:pt x="31367" y="7629658"/>
                <a:pt x="0" y="7332889"/>
              </a:cubicBezTo>
              <a:cubicBezTo>
                <a:pt x="-31367" y="7036120"/>
                <a:pt x="23782" y="7021937"/>
                <a:pt x="0" y="6939643"/>
              </a:cubicBezTo>
              <a:cubicBezTo>
                <a:pt x="-23782" y="6857349"/>
                <a:pt x="7311" y="6387989"/>
                <a:pt x="0" y="6176282"/>
              </a:cubicBezTo>
              <a:cubicBezTo>
                <a:pt x="-7311" y="5964575"/>
                <a:pt x="11177" y="5814561"/>
                <a:pt x="0" y="5597978"/>
              </a:cubicBezTo>
              <a:cubicBezTo>
                <a:pt x="-11177" y="5381395"/>
                <a:pt x="11004" y="5393072"/>
                <a:pt x="0" y="5297261"/>
              </a:cubicBezTo>
              <a:cubicBezTo>
                <a:pt x="-11004" y="5201450"/>
                <a:pt x="42301" y="4872399"/>
                <a:pt x="0" y="4718957"/>
              </a:cubicBezTo>
              <a:cubicBezTo>
                <a:pt x="-42301" y="4565515"/>
                <a:pt x="18069" y="4404838"/>
                <a:pt x="0" y="4233182"/>
              </a:cubicBezTo>
              <a:cubicBezTo>
                <a:pt x="-18069" y="4061527"/>
                <a:pt x="9027" y="3959445"/>
                <a:pt x="0" y="3747407"/>
              </a:cubicBezTo>
              <a:cubicBezTo>
                <a:pt x="-9027" y="3535370"/>
                <a:pt x="14324" y="3383730"/>
                <a:pt x="0" y="3261632"/>
              </a:cubicBezTo>
              <a:cubicBezTo>
                <a:pt x="-14324" y="3139534"/>
                <a:pt x="41927" y="2996320"/>
                <a:pt x="0" y="2775857"/>
              </a:cubicBezTo>
              <a:cubicBezTo>
                <a:pt x="-41927" y="2555395"/>
                <a:pt x="15293" y="2404112"/>
                <a:pt x="0" y="2105025"/>
              </a:cubicBezTo>
              <a:cubicBezTo>
                <a:pt x="-15293" y="1805938"/>
                <a:pt x="14698" y="1681400"/>
                <a:pt x="0" y="1526721"/>
              </a:cubicBezTo>
              <a:cubicBezTo>
                <a:pt x="-14698" y="1372042"/>
                <a:pt x="25908" y="1334676"/>
                <a:pt x="0" y="1226004"/>
              </a:cubicBezTo>
              <a:cubicBezTo>
                <a:pt x="-25908" y="1117332"/>
                <a:pt x="6425" y="925064"/>
                <a:pt x="0" y="740229"/>
              </a:cubicBezTo>
              <a:cubicBezTo>
                <a:pt x="-6425" y="555395"/>
                <a:pt x="64746" y="168016"/>
                <a:pt x="0" y="0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accent4">
              <a:shade val="15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>
          <a:innerShdw blurRad="114300">
            <a:prstClr val="black"/>
          </a:innerShdw>
          <a:softEdge rad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99331</xdr:colOff>
      <xdr:row>0</xdr:row>
      <xdr:rowOff>151840</xdr:rowOff>
    </xdr:from>
    <xdr:to>
      <xdr:col>9</xdr:col>
      <xdr:colOff>62128</xdr:colOff>
      <xdr:row>5</xdr:row>
      <xdr:rowOff>115868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87B05DB-ECAD-4A8B-B1EE-B1F0F26A3C06}"/>
            </a:ext>
          </a:extLst>
        </xdr:cNvPr>
        <xdr:cNvSpPr/>
      </xdr:nvSpPr>
      <xdr:spPr>
        <a:xfrm>
          <a:off x="561974" y="151840"/>
          <a:ext cx="1582047" cy="848492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37</xdr:col>
      <xdr:colOff>196104</xdr:colOff>
      <xdr:row>0</xdr:row>
      <xdr:rowOff>119871</xdr:rowOff>
    </xdr:from>
    <xdr:ext cx="1018743" cy="321273"/>
    <xdr:sp macro="" textlink="'TABLE-3 HIRED EQUIPMENT'!A1">
      <xdr:nvSpPr>
        <xdr:cNvPr id="4" name="Rectangle: Rounded Corners 3" descr=" zc z">
          <a:extLst>
            <a:ext uri="{FF2B5EF4-FFF2-40B4-BE49-F238E27FC236}">
              <a16:creationId xmlns:a16="http://schemas.microsoft.com/office/drawing/2014/main" id="{CF916BEC-7F60-4461-8663-6BEE51A48541}"/>
            </a:ext>
          </a:extLst>
        </xdr:cNvPr>
        <xdr:cNvSpPr/>
      </xdr:nvSpPr>
      <xdr:spPr>
        <a:xfrm>
          <a:off x="8891068" y="119871"/>
          <a:ext cx="1018743" cy="32127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066368AF-4C7E-4192-8B8C-CD243BDFAB6C}" type="TxLink">
            <a:rPr lang="en-US" sz="14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 b="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37</xdr:col>
      <xdr:colOff>176543</xdr:colOff>
      <xdr:row>2</xdr:row>
      <xdr:rowOff>141449</xdr:rowOff>
    </xdr:from>
    <xdr:ext cx="1051448" cy="309952"/>
    <xdr:sp macro="" textlink="'TABLE-3 HIRED EQUIPMENT'!AF1">
      <xdr:nvSpPr>
        <xdr:cNvPr id="6" name="Rectangle: Rounded Corners 5" descr=" zc z">
          <a:extLst>
            <a:ext uri="{FF2B5EF4-FFF2-40B4-BE49-F238E27FC236}">
              <a16:creationId xmlns:a16="http://schemas.microsoft.com/office/drawing/2014/main" id="{27CC0B2F-13C6-444E-85C4-C8DC5F930139}"/>
            </a:ext>
          </a:extLst>
        </xdr:cNvPr>
        <xdr:cNvSpPr/>
      </xdr:nvSpPr>
      <xdr:spPr>
        <a:xfrm>
          <a:off x="8871507" y="495235"/>
          <a:ext cx="1051448" cy="30995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9E6F5FDC-76B2-4F91-BB0A-E371BE0F72C7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£0.00</a:t>
          </a:fld>
          <a:endParaRPr lang="en-GB" sz="1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178269</xdr:colOff>
      <xdr:row>2</xdr:row>
      <xdr:rowOff>149296</xdr:rowOff>
    </xdr:from>
    <xdr:ext cx="2123628" cy="319031"/>
    <xdr:sp macro="" textlink="">
      <xdr:nvSpPr>
        <xdr:cNvPr id="7" name="Rectangle: Rounded Corners 6" descr=" zc z">
          <a:extLst>
            <a:ext uri="{FF2B5EF4-FFF2-40B4-BE49-F238E27FC236}">
              <a16:creationId xmlns:a16="http://schemas.microsoft.com/office/drawing/2014/main" id="{B0C68000-8BA3-4730-ABBA-DEB68AC1E592}"/>
            </a:ext>
          </a:extLst>
        </xdr:cNvPr>
        <xdr:cNvSpPr/>
      </xdr:nvSpPr>
      <xdr:spPr>
        <a:xfrm>
          <a:off x="6668876" y="503082"/>
          <a:ext cx="2123628" cy="3190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2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WEEKLY</a:t>
          </a:r>
          <a:r>
            <a:rPr lang="en-US" sz="1100" b="0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 </a:t>
          </a:r>
          <a:r>
            <a:rPr lang="en-US" sz="1200" b="0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HIRE EQUIP COST</a:t>
          </a: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:</a:t>
          </a:r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182525</xdr:colOff>
      <xdr:row>0</xdr:row>
      <xdr:rowOff>134888</xdr:rowOff>
    </xdr:from>
    <xdr:ext cx="2111095" cy="302445"/>
    <xdr:sp macro="" textlink="'CATEGORY TABLES'!AE2">
      <xdr:nvSpPr>
        <xdr:cNvPr id="8" name="Rectangle: Rounded Corners 7" descr=" zc z">
          <a:extLst>
            <a:ext uri="{FF2B5EF4-FFF2-40B4-BE49-F238E27FC236}">
              <a16:creationId xmlns:a16="http://schemas.microsoft.com/office/drawing/2014/main" id="{5E367E6D-EEC0-4ACA-9553-3B80C402B4AD}"/>
            </a:ext>
          </a:extLst>
        </xdr:cNvPr>
        <xdr:cNvSpPr/>
      </xdr:nvSpPr>
      <xdr:spPr>
        <a:xfrm>
          <a:off x="6673132" y="134888"/>
          <a:ext cx="2111095" cy="30244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t>USER INTERFACE</a:t>
          </a:r>
        </a:p>
      </xdr:txBody>
    </xdr:sp>
    <xdr:clientData/>
  </xdr:oneCellAnchor>
  <xdr:twoCellAnchor>
    <xdr:from>
      <xdr:col>23</xdr:col>
      <xdr:colOff>212655</xdr:colOff>
      <xdr:row>2</xdr:row>
      <xdr:rowOff>165191</xdr:rowOff>
    </xdr:from>
    <xdr:to>
      <xdr:col>28</xdr:col>
      <xdr:colOff>77833</xdr:colOff>
      <xdr:row>4</xdr:row>
      <xdr:rowOff>108858</xdr:rowOff>
    </xdr:to>
    <xdr:sp macro="[0]!CAlculat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9B7921E-E33A-4C85-998F-F872C6B05ED2}"/>
            </a:ext>
          </a:extLst>
        </xdr:cNvPr>
        <xdr:cNvSpPr/>
      </xdr:nvSpPr>
      <xdr:spPr>
        <a:xfrm>
          <a:off x="5533048" y="518977"/>
          <a:ext cx="1035392" cy="297452"/>
        </a:xfrm>
        <a:prstGeom prst="roundRect">
          <a:avLst/>
        </a:prstGeom>
        <a:solidFill>
          <a:schemeClr val="bg1">
            <a:lumMod val="95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twoCellAnchor>
    <xdr:from>
      <xdr:col>2</xdr:col>
      <xdr:colOff>138250</xdr:colOff>
      <xdr:row>10</xdr:row>
      <xdr:rowOff>140151</xdr:rowOff>
    </xdr:from>
    <xdr:to>
      <xdr:col>22</xdr:col>
      <xdr:colOff>71847</xdr:colOff>
      <xdr:row>16</xdr:row>
      <xdr:rowOff>143960</xdr:rowOff>
    </xdr:to>
    <xdr:sp macro="[0]!GoTo_MainTabl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2E22F442-03CF-4940-9564-61F2FF9D07F6}"/>
            </a:ext>
          </a:extLst>
        </xdr:cNvPr>
        <xdr:cNvSpPr/>
      </xdr:nvSpPr>
      <xdr:spPr>
        <a:xfrm>
          <a:off x="600893" y="1909080"/>
          <a:ext cx="4560025" cy="1065166"/>
        </a:xfrm>
        <a:prstGeom prst="roundRect">
          <a:avLst/>
        </a:prstGeom>
        <a:solidFill>
          <a:srgbClr val="00B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FF00"/>
              </a:solidFill>
            </a:rPr>
            <a:t>MAIN</a:t>
          </a:r>
          <a:r>
            <a:rPr lang="en-GB" sz="1800" b="1" baseline="0">
              <a:solidFill>
                <a:srgbClr val="FFFF00"/>
              </a:solidFill>
            </a:rPr>
            <a:t> TABLE</a:t>
          </a:r>
          <a:endParaRPr lang="en-GB" sz="1800" b="1">
            <a:solidFill>
              <a:srgbClr val="FFFF00"/>
            </a:solidFill>
          </a:endParaRPr>
        </a:p>
      </xdr:txBody>
    </xdr:sp>
    <xdr:clientData/>
  </xdr:twoCellAnchor>
  <xdr:oneCellAnchor>
    <xdr:from>
      <xdr:col>23</xdr:col>
      <xdr:colOff>200297</xdr:colOff>
      <xdr:row>0</xdr:row>
      <xdr:rowOff>134166</xdr:rowOff>
    </xdr:from>
    <xdr:ext cx="1066463" cy="317575"/>
    <xdr:sp macro="" textlink="'MAIN TABLE-1 AUTOMATED'!A1">
      <xdr:nvSpPr>
        <xdr:cNvPr id="19" name="Rectangle: Rounded Corners 18" descr=" zc z">
          <a:extLst>
            <a:ext uri="{FF2B5EF4-FFF2-40B4-BE49-F238E27FC236}">
              <a16:creationId xmlns:a16="http://schemas.microsoft.com/office/drawing/2014/main" id="{48757F59-5659-499B-B35E-905175305416}"/>
            </a:ext>
          </a:extLst>
        </xdr:cNvPr>
        <xdr:cNvSpPr/>
      </xdr:nvSpPr>
      <xdr:spPr>
        <a:xfrm>
          <a:off x="5520690" y="134166"/>
          <a:ext cx="1066463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  <xdr:twoCellAnchor>
    <xdr:from>
      <xdr:col>23</xdr:col>
      <xdr:colOff>3810</xdr:colOff>
      <xdr:row>17</xdr:row>
      <xdr:rowOff>116747</xdr:rowOff>
    </xdr:from>
    <xdr:to>
      <xdr:col>41</xdr:col>
      <xdr:colOff>235130</xdr:colOff>
      <xdr:row>23</xdr:row>
      <xdr:rowOff>105046</xdr:rowOff>
    </xdr:to>
    <xdr:sp macro="[0]!GoTo_ContractTabl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8E2B920D-22C0-44D6-B076-F1BAE2EEBFD3}"/>
            </a:ext>
          </a:extLst>
        </xdr:cNvPr>
        <xdr:cNvSpPr/>
      </xdr:nvSpPr>
      <xdr:spPr>
        <a:xfrm>
          <a:off x="5324203" y="3123926"/>
          <a:ext cx="4585606" cy="1049656"/>
        </a:xfrm>
        <a:prstGeom prst="roundRect">
          <a:avLst/>
        </a:prstGeom>
        <a:solidFill>
          <a:srgbClr val="00206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FF00"/>
              </a:solidFill>
            </a:rPr>
            <a:t>CONTRACT</a:t>
          </a:r>
          <a:r>
            <a:rPr lang="en-GB" sz="1800" b="1" baseline="0">
              <a:solidFill>
                <a:srgbClr val="FFFF00"/>
              </a:solidFill>
            </a:rPr>
            <a:t> TABLE</a:t>
          </a:r>
          <a:endParaRPr lang="en-GB" sz="1800" b="1">
            <a:solidFill>
              <a:srgbClr val="FFFF00"/>
            </a:solidFill>
          </a:endParaRPr>
        </a:p>
      </xdr:txBody>
    </xdr:sp>
    <xdr:clientData/>
  </xdr:twoCellAnchor>
  <xdr:twoCellAnchor>
    <xdr:from>
      <xdr:col>2</xdr:col>
      <xdr:colOff>149679</xdr:colOff>
      <xdr:row>17</xdr:row>
      <xdr:rowOff>108857</xdr:rowOff>
    </xdr:from>
    <xdr:to>
      <xdr:col>22</xdr:col>
      <xdr:colOff>81371</xdr:colOff>
      <xdr:row>23</xdr:row>
      <xdr:rowOff>110761</xdr:rowOff>
    </xdr:to>
    <xdr:sp macro="[0]!GoTo_HiringTabl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7474C47A-50BB-424D-9179-325214D1DDA8}"/>
            </a:ext>
          </a:extLst>
        </xdr:cNvPr>
        <xdr:cNvSpPr/>
      </xdr:nvSpPr>
      <xdr:spPr>
        <a:xfrm>
          <a:off x="612322" y="3116036"/>
          <a:ext cx="4558120" cy="1063261"/>
        </a:xfrm>
        <a:prstGeom prst="roundRect">
          <a:avLst/>
        </a:prstGeom>
        <a:solidFill>
          <a:srgbClr val="7030A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accent4">
                  <a:lumMod val="40000"/>
                  <a:lumOff val="60000"/>
                </a:schemeClr>
              </a:solidFill>
            </a:rPr>
            <a:t>HIRING</a:t>
          </a:r>
          <a:r>
            <a:rPr lang="en-GB" sz="1800" b="1" baseline="0">
              <a:solidFill>
                <a:schemeClr val="accent4">
                  <a:lumMod val="40000"/>
                  <a:lumOff val="60000"/>
                </a:schemeClr>
              </a:solidFill>
            </a:rPr>
            <a:t> TABLE</a:t>
          </a:r>
          <a:endParaRPr lang="en-GB" sz="1800" b="1">
            <a:solidFill>
              <a:schemeClr val="accent4">
                <a:lumMod val="40000"/>
                <a:lumOff val="60000"/>
              </a:schemeClr>
            </a:solidFill>
          </a:endParaRPr>
        </a:p>
      </xdr:txBody>
    </xdr:sp>
    <xdr:clientData/>
  </xdr:twoCellAnchor>
  <xdr:twoCellAnchor>
    <xdr:from>
      <xdr:col>22</xdr:col>
      <xdr:colOff>229418</xdr:colOff>
      <xdr:row>10</xdr:row>
      <xdr:rowOff>116749</xdr:rowOff>
    </xdr:from>
    <xdr:to>
      <xdr:col>41</xdr:col>
      <xdr:colOff>207645</xdr:colOff>
      <xdr:row>16</xdr:row>
      <xdr:rowOff>118653</xdr:rowOff>
    </xdr:to>
    <xdr:sp macro="[0]!GoTo_AuxTable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50CFEC33-0EDC-4A9B-A0FD-3AA3239E5F64}"/>
            </a:ext>
          </a:extLst>
        </xdr:cNvPr>
        <xdr:cNvSpPr/>
      </xdr:nvSpPr>
      <xdr:spPr>
        <a:xfrm>
          <a:off x="5318489" y="1885678"/>
          <a:ext cx="4563835" cy="106326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ysClr val="windowText" lastClr="000000"/>
              </a:solidFill>
            </a:rPr>
            <a:t>AUX </a:t>
          </a:r>
          <a:r>
            <a:rPr lang="en-GB" sz="1800" b="1" baseline="0">
              <a:solidFill>
                <a:sysClr val="windowText" lastClr="000000"/>
              </a:solidFill>
            </a:rPr>
            <a:t>TABLE</a:t>
          </a:r>
          <a:endParaRPr lang="en-GB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147770</xdr:colOff>
      <xdr:row>28</xdr:row>
      <xdr:rowOff>132260</xdr:rowOff>
    </xdr:from>
    <xdr:to>
      <xdr:col>22</xdr:col>
      <xdr:colOff>120558</xdr:colOff>
      <xdr:row>34</xdr:row>
      <xdr:rowOff>155392</xdr:rowOff>
    </xdr:to>
    <xdr:sp macro="[0]!GoTo_PricesTable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4909D5E5-BF2F-453D-9F6D-635745CB5AF5}"/>
            </a:ext>
          </a:extLst>
        </xdr:cNvPr>
        <xdr:cNvSpPr/>
      </xdr:nvSpPr>
      <xdr:spPr>
        <a:xfrm>
          <a:off x="610413" y="5085260"/>
          <a:ext cx="4599216" cy="1084489"/>
        </a:xfrm>
        <a:prstGeom prst="roundRect">
          <a:avLst/>
        </a:prstGeom>
        <a:solidFill>
          <a:srgbClr val="FF000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>
              <a:solidFill>
                <a:schemeClr val="bg1"/>
              </a:solidFill>
            </a:rPr>
            <a:t>PRICES TABLE</a:t>
          </a:r>
        </a:p>
      </xdr:txBody>
    </xdr:sp>
    <xdr:clientData/>
  </xdr:twoCellAnchor>
  <xdr:twoCellAnchor>
    <xdr:from>
      <xdr:col>23</xdr:col>
      <xdr:colOff>17418</xdr:colOff>
      <xdr:row>28</xdr:row>
      <xdr:rowOff>132260</xdr:rowOff>
    </xdr:from>
    <xdr:to>
      <xdr:col>42</xdr:col>
      <xdr:colOff>27215</xdr:colOff>
      <xdr:row>34</xdr:row>
      <xdr:rowOff>149678</xdr:rowOff>
    </xdr:to>
    <xdr:sp macro="[0]!GoTo_Suppliers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EC3FFF0D-35B3-4AE6-803E-7418586F1A62}"/>
            </a:ext>
          </a:extLst>
        </xdr:cNvPr>
        <xdr:cNvSpPr/>
      </xdr:nvSpPr>
      <xdr:spPr>
        <a:xfrm>
          <a:off x="5337811" y="5085260"/>
          <a:ext cx="4609011" cy="1078775"/>
        </a:xfrm>
        <a:prstGeom prst="roundRect">
          <a:avLst/>
        </a:prstGeom>
        <a:solidFill>
          <a:srgbClr val="FFC00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ysClr val="windowText" lastClr="000000"/>
              </a:solidFill>
            </a:rPr>
            <a:t>SUPPLIERS</a:t>
          </a:r>
          <a:r>
            <a:rPr lang="en-GB" sz="1600" b="1">
              <a:solidFill>
                <a:sysClr val="windowText" lastClr="000000"/>
              </a:solidFill>
            </a:rPr>
            <a:t> / </a:t>
          </a:r>
          <a:r>
            <a:rPr lang="en-GB" sz="1800" b="1">
              <a:solidFill>
                <a:sysClr val="windowText" lastClr="000000"/>
              </a:solidFill>
            </a:rPr>
            <a:t>SUBCONTRACTORS</a:t>
          </a:r>
          <a:endParaRPr lang="en-GB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42998</xdr:colOff>
      <xdr:row>35</xdr:row>
      <xdr:rowOff>138250</xdr:rowOff>
    </xdr:from>
    <xdr:to>
      <xdr:col>42</xdr:col>
      <xdr:colOff>44632</xdr:colOff>
      <xdr:row>41</xdr:row>
      <xdr:rowOff>157572</xdr:rowOff>
    </xdr:to>
    <xdr:sp macro="[0]!GoTo_VersionTable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66A82071-0C44-4761-B776-875FE846AD61}"/>
            </a:ext>
          </a:extLst>
        </xdr:cNvPr>
        <xdr:cNvSpPr/>
      </xdr:nvSpPr>
      <xdr:spPr>
        <a:xfrm>
          <a:off x="5363391" y="6329500"/>
          <a:ext cx="4600848" cy="108067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ysClr val="windowText" lastClr="000000"/>
              </a:solidFill>
            </a:rPr>
            <a:t>VERSION TABLE</a:t>
          </a:r>
        </a:p>
      </xdr:txBody>
    </xdr:sp>
    <xdr:clientData/>
  </xdr:twoCellAnchor>
  <xdr:twoCellAnchor>
    <xdr:from>
      <xdr:col>2</xdr:col>
      <xdr:colOff>188594</xdr:colOff>
      <xdr:row>36</xdr:row>
      <xdr:rowOff>5715</xdr:rowOff>
    </xdr:from>
    <xdr:to>
      <xdr:col>22</xdr:col>
      <xdr:colOff>99060</xdr:colOff>
      <xdr:row>41</xdr:row>
      <xdr:rowOff>161381</xdr:rowOff>
    </xdr:to>
    <xdr:sp macro="[0]!GoTo_CategoryTable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B9DD8CB5-6521-44C1-82BC-38FE990487ED}"/>
            </a:ext>
          </a:extLst>
        </xdr:cNvPr>
        <xdr:cNvSpPr/>
      </xdr:nvSpPr>
      <xdr:spPr>
        <a:xfrm>
          <a:off x="651237" y="6373858"/>
          <a:ext cx="4536894" cy="104013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accent5"/>
              </a:solidFill>
            </a:rPr>
            <a:t>CATEGORY</a:t>
          </a:r>
          <a:r>
            <a:rPr lang="en-GB" sz="1800" b="1" baseline="0">
              <a:solidFill>
                <a:schemeClr val="accent5"/>
              </a:solidFill>
            </a:rPr>
            <a:t> TABLE</a:t>
          </a:r>
          <a:endParaRPr lang="en-GB" sz="1800" b="1">
            <a:solidFill>
              <a:schemeClr val="accent5"/>
            </a:solidFill>
          </a:endParaRPr>
        </a:p>
      </xdr:txBody>
    </xdr:sp>
    <xdr:clientData/>
  </xdr:twoCellAnchor>
  <xdr:twoCellAnchor>
    <xdr:from>
      <xdr:col>2</xdr:col>
      <xdr:colOff>182608</xdr:colOff>
      <xdr:row>43</xdr:row>
      <xdr:rowOff>93071</xdr:rowOff>
    </xdr:from>
    <xdr:to>
      <xdr:col>42</xdr:col>
      <xdr:colOff>68035</xdr:colOff>
      <xdr:row>48</xdr:row>
      <xdr:rowOff>149678</xdr:rowOff>
    </xdr:to>
    <xdr:sp macro="[0]!GoToDashboard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94AB5FCF-1B75-4BF9-B2C2-F41B0294A02A}"/>
            </a:ext>
          </a:extLst>
        </xdr:cNvPr>
        <xdr:cNvSpPr/>
      </xdr:nvSpPr>
      <xdr:spPr>
        <a:xfrm>
          <a:off x="645251" y="7699464"/>
          <a:ext cx="9342391" cy="941071"/>
        </a:xfrm>
        <a:prstGeom prst="roundRect">
          <a:avLst/>
        </a:prstGeom>
        <a:solidFill>
          <a:srgbClr val="1AFABA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 baseline="0">
              <a:solidFill>
                <a:srgbClr val="002060"/>
              </a:solidFill>
            </a:rPr>
            <a:t>DASHBOARD </a:t>
          </a:r>
          <a:endParaRPr lang="en-GB" sz="2800" b="1">
            <a:solidFill>
              <a:srgbClr val="002060"/>
            </a:solidFill>
          </a:endParaRPr>
        </a:p>
      </xdr:txBody>
    </xdr:sp>
    <xdr:clientData/>
  </xdr:twoCellAnchor>
  <xdr:twoCellAnchor>
    <xdr:from>
      <xdr:col>4</xdr:col>
      <xdr:colOff>27214</xdr:colOff>
      <xdr:row>44</xdr:row>
      <xdr:rowOff>69941</xdr:rowOff>
    </xdr:from>
    <xdr:to>
      <xdr:col>9</xdr:col>
      <xdr:colOff>15512</xdr:colOff>
      <xdr:row>47</xdr:row>
      <xdr:rowOff>163287</xdr:rowOff>
    </xdr:to>
    <xdr:sp macro="" textlink="">
      <xdr:nvSpPr>
        <xdr:cNvPr id="10" name="Arrow: Left 9">
          <a:extLst>
            <a:ext uri="{FF2B5EF4-FFF2-40B4-BE49-F238E27FC236}">
              <a16:creationId xmlns:a16="http://schemas.microsoft.com/office/drawing/2014/main" id="{37C2DABC-5623-8C1A-5110-D34BDC0A4BF5}"/>
            </a:ext>
          </a:extLst>
        </xdr:cNvPr>
        <xdr:cNvSpPr/>
      </xdr:nvSpPr>
      <xdr:spPr>
        <a:xfrm>
          <a:off x="952500" y="7853227"/>
          <a:ext cx="1144905" cy="624024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68580</xdr:rowOff>
        </xdr:from>
        <xdr:to>
          <xdr:col>0</xdr:col>
          <xdr:colOff>1554480</xdr:colOff>
          <xdr:row>1</xdr:row>
          <xdr:rowOff>403860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480060</xdr:rowOff>
        </xdr:from>
        <xdr:to>
          <xdr:col>0</xdr:col>
          <xdr:colOff>1569720</xdr:colOff>
          <xdr:row>1</xdr:row>
          <xdr:rowOff>922020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Remove/Go to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990600</xdr:rowOff>
        </xdr:from>
        <xdr:to>
          <xdr:col>0</xdr:col>
          <xdr:colOff>518160</xdr:colOff>
          <xdr:row>1</xdr:row>
          <xdr:rowOff>1440180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Diesel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1</xdr:row>
          <xdr:rowOff>990600</xdr:rowOff>
        </xdr:from>
        <xdr:to>
          <xdr:col>0</xdr:col>
          <xdr:colOff>998220</xdr:colOff>
          <xdr:row>1</xdr:row>
          <xdr:rowOff>1432560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1051560</xdr:colOff>
          <xdr:row>1</xdr:row>
          <xdr:rowOff>990600</xdr:rowOff>
        </xdr:from>
        <xdr:to>
          <xdr:col>0</xdr:col>
          <xdr:colOff>1554480</xdr:colOff>
          <xdr:row>1</xdr:row>
          <xdr:rowOff>1432560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Effluent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58238</xdr:colOff>
      <xdr:row>1</xdr:row>
      <xdr:rowOff>1483178</xdr:rowOff>
    </xdr:from>
    <xdr:to>
      <xdr:col>0</xdr:col>
      <xdr:colOff>1551213</xdr:colOff>
      <xdr:row>1</xdr:row>
      <xdr:rowOff>1768929</xdr:rowOff>
    </xdr:to>
    <xdr:sp macro="[0]!Back_To_UI" textlink="">
      <xdr:nvSpPr>
        <xdr:cNvPr id="5158" name="Text Box 38">
          <a:extLst>
            <a:ext uri="{FF2B5EF4-FFF2-40B4-BE49-F238E27FC236}">
              <a16:creationId xmlns:a16="http://schemas.microsoft.com/office/drawing/2014/main" id="{3FB0E6E0-E009-FD84-3F15-47CA8E8EB159}"/>
            </a:ext>
          </a:extLst>
        </xdr:cNvPr>
        <xdr:cNvSpPr txBox="1">
          <a:spLocks noChangeArrowheads="1"/>
        </xdr:cNvSpPr>
      </xdr:nvSpPr>
      <xdr:spPr bwMode="auto">
        <a:xfrm>
          <a:off x="58238" y="1673678"/>
          <a:ext cx="1492975" cy="285751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</xdr:colOff>
      <xdr:row>0</xdr:row>
      <xdr:rowOff>142875</xdr:rowOff>
    </xdr:from>
    <xdr:to>
      <xdr:col>10</xdr:col>
      <xdr:colOff>514350</xdr:colOff>
      <xdr:row>17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7DA9B4-1AE9-E22B-1D27-74088DD39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154305</xdr:colOff>
      <xdr:row>2</xdr:row>
      <xdr:rowOff>66675</xdr:rowOff>
    </xdr:from>
    <xdr:to>
      <xdr:col>18</xdr:col>
      <xdr:colOff>459105</xdr:colOff>
      <xdr:row>17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B29BDE-82F9-955D-2E34-59F45E96D1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99060</xdr:rowOff>
        </xdr:from>
        <xdr:to>
          <xdr:col>0</xdr:col>
          <xdr:colOff>1280160</xdr:colOff>
          <xdr:row>0</xdr:row>
          <xdr:rowOff>327660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C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403860</xdr:rowOff>
        </xdr:from>
        <xdr:to>
          <xdr:col>0</xdr:col>
          <xdr:colOff>1264920</xdr:colOff>
          <xdr:row>0</xdr:row>
          <xdr:rowOff>830580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C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Remove/Go to Last Row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125730</xdr:colOff>
      <xdr:row>0</xdr:row>
      <xdr:rowOff>866775</xdr:rowOff>
    </xdr:from>
    <xdr:to>
      <xdr:col>0</xdr:col>
      <xdr:colOff>1266825</xdr:colOff>
      <xdr:row>0</xdr:row>
      <xdr:rowOff>1163956</xdr:rowOff>
    </xdr:to>
    <xdr:sp macro="[0]!Back_To_UI" textlink="">
      <xdr:nvSpPr>
        <xdr:cNvPr id="2" name="Text Box 38">
          <a:extLst>
            <a:ext uri="{FF2B5EF4-FFF2-40B4-BE49-F238E27FC236}">
              <a16:creationId xmlns:a16="http://schemas.microsoft.com/office/drawing/2014/main" id="{7E5AED6A-BB05-4769-AAEE-9D33E5D1BA56}"/>
            </a:ext>
          </a:extLst>
        </xdr:cNvPr>
        <xdr:cNvSpPr txBox="1">
          <a:spLocks noChangeArrowheads="1"/>
        </xdr:cNvSpPr>
      </xdr:nvSpPr>
      <xdr:spPr bwMode="auto">
        <a:xfrm>
          <a:off x="125730" y="866775"/>
          <a:ext cx="1141095" cy="297181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  <a:effectLst>
          <a:innerShdw blurRad="114300">
            <a:prstClr val="black"/>
          </a:innerShdw>
        </a:effectLst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</xdr:row>
          <xdr:rowOff>68580</xdr:rowOff>
        </xdr:from>
        <xdr:to>
          <xdr:col>0</xdr:col>
          <xdr:colOff>1264920</xdr:colOff>
          <xdr:row>1</xdr:row>
          <xdr:rowOff>373380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D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</xdr:row>
          <xdr:rowOff>441960</xdr:rowOff>
        </xdr:from>
        <xdr:to>
          <xdr:col>0</xdr:col>
          <xdr:colOff>1264920</xdr:colOff>
          <xdr:row>1</xdr:row>
          <xdr:rowOff>1028700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D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Remove/Go to Last Row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112059</xdr:colOff>
      <xdr:row>1</xdr:row>
      <xdr:rowOff>1064558</xdr:rowOff>
    </xdr:from>
    <xdr:to>
      <xdr:col>0</xdr:col>
      <xdr:colOff>1255059</xdr:colOff>
      <xdr:row>1</xdr:row>
      <xdr:rowOff>1356024</xdr:rowOff>
    </xdr:to>
    <xdr:sp macro="[0]!Back_To_UI" textlink="">
      <xdr:nvSpPr>
        <xdr:cNvPr id="2" name="Text Box 38">
          <a:extLst>
            <a:ext uri="{FF2B5EF4-FFF2-40B4-BE49-F238E27FC236}">
              <a16:creationId xmlns:a16="http://schemas.microsoft.com/office/drawing/2014/main" id="{734D56C8-B65C-4EAC-B40E-BE61163619CD}"/>
            </a:ext>
          </a:extLst>
        </xdr:cNvPr>
        <xdr:cNvSpPr txBox="1">
          <a:spLocks noChangeArrowheads="1"/>
        </xdr:cNvSpPr>
      </xdr:nvSpPr>
      <xdr:spPr bwMode="auto">
        <a:xfrm>
          <a:off x="112059" y="1367117"/>
          <a:ext cx="1143000" cy="291466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76200</xdr:rowOff>
        </xdr:from>
        <xdr:to>
          <xdr:col>0</xdr:col>
          <xdr:colOff>1554480</xdr:colOff>
          <xdr:row>1</xdr:row>
          <xdr:rowOff>365760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E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44630</xdr:colOff>
      <xdr:row>1</xdr:row>
      <xdr:rowOff>435429</xdr:rowOff>
    </xdr:from>
    <xdr:to>
      <xdr:col>0</xdr:col>
      <xdr:colOff>1527809</xdr:colOff>
      <xdr:row>1</xdr:row>
      <xdr:rowOff>721178</xdr:rowOff>
    </xdr:to>
    <xdr:sp macro="[0]!Back_To_UI" textlink="">
      <xdr:nvSpPr>
        <xdr:cNvPr id="2" name="Text Box 38">
          <a:extLst>
            <a:ext uri="{FF2B5EF4-FFF2-40B4-BE49-F238E27FC236}">
              <a16:creationId xmlns:a16="http://schemas.microsoft.com/office/drawing/2014/main" id="{A30DB624-ADF3-46DB-8371-44BE006E0D46}"/>
            </a:ext>
          </a:extLst>
        </xdr:cNvPr>
        <xdr:cNvSpPr txBox="1">
          <a:spLocks noChangeArrowheads="1"/>
        </xdr:cNvSpPr>
      </xdr:nvSpPr>
      <xdr:spPr bwMode="auto">
        <a:xfrm>
          <a:off x="44630" y="884465"/>
          <a:ext cx="1483179" cy="285749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</xdr:row>
      <xdr:rowOff>95250</xdr:rowOff>
    </xdr:from>
    <xdr:to>
      <xdr:col>21</xdr:col>
      <xdr:colOff>457199</xdr:colOff>
      <xdr:row>16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3CCE10-0F29-3FB9-8879-6FB982D2A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990600</xdr:colOff>
          <xdr:row>0</xdr:row>
          <xdr:rowOff>289560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81915</xdr:colOff>
      <xdr:row>0</xdr:row>
      <xdr:rowOff>123825</xdr:rowOff>
    </xdr:from>
    <xdr:to>
      <xdr:col>1</xdr:col>
      <xdr:colOff>1388745</xdr:colOff>
      <xdr:row>0</xdr:row>
      <xdr:rowOff>818861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4302CE-F4E6-4F63-9102-BD23B9895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" y="123825"/>
          <a:ext cx="1320165" cy="7083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312420</xdr:rowOff>
        </xdr:from>
        <xdr:to>
          <xdr:col>0</xdr:col>
          <xdr:colOff>990600</xdr:colOff>
          <xdr:row>0</xdr:row>
          <xdr:rowOff>792480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1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Remove/Go to Last Row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59055</xdr:colOff>
      <xdr:row>0</xdr:row>
      <xdr:rowOff>838200</xdr:rowOff>
    </xdr:from>
    <xdr:to>
      <xdr:col>0</xdr:col>
      <xdr:colOff>1000125</xdr:colOff>
      <xdr:row>0</xdr:row>
      <xdr:rowOff>1139191</xdr:rowOff>
    </xdr:to>
    <xdr:sp macro="[0]!Back_To_UI" textlink="">
      <xdr:nvSpPr>
        <xdr:cNvPr id="3" name="Text Box 38">
          <a:extLst>
            <a:ext uri="{FF2B5EF4-FFF2-40B4-BE49-F238E27FC236}">
              <a16:creationId xmlns:a16="http://schemas.microsoft.com/office/drawing/2014/main" id="{264073B6-E3FD-44DA-BCD5-93126AB7D7C8}"/>
            </a:ext>
          </a:extLst>
        </xdr:cNvPr>
        <xdr:cNvSpPr txBox="1">
          <a:spLocks noChangeArrowheads="1"/>
        </xdr:cNvSpPr>
      </xdr:nvSpPr>
      <xdr:spPr bwMode="auto">
        <a:xfrm>
          <a:off x="59055" y="838200"/>
          <a:ext cx="941070" cy="300991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1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93457</xdr:colOff>
      <xdr:row>0</xdr:row>
      <xdr:rowOff>89647</xdr:rowOff>
    </xdr:from>
    <xdr:to>
      <xdr:col>1</xdr:col>
      <xdr:colOff>369794</xdr:colOff>
      <xdr:row>9</xdr:row>
      <xdr:rowOff>97266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288237F-8487-44DD-B0E0-63CA0616E977}"/>
            </a:ext>
          </a:extLst>
        </xdr:cNvPr>
        <xdr:cNvSpPr/>
      </xdr:nvSpPr>
      <xdr:spPr>
        <a:xfrm>
          <a:off x="93457" y="89647"/>
          <a:ext cx="1172808" cy="881678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0</xdr:col>
      <xdr:colOff>97269</xdr:colOff>
      <xdr:row>9</xdr:row>
      <xdr:rowOff>141867</xdr:rowOff>
    </xdr:from>
    <xdr:ext cx="1157790" cy="317575"/>
    <xdr:sp macro="" textlink="'MAIN TABLE-1 AUTOMATED'!A1">
      <xdr:nvSpPr>
        <xdr:cNvPr id="5" name="Rectangle: Rounded Corners 4" descr=" zc z">
          <a:extLst>
            <a:ext uri="{FF2B5EF4-FFF2-40B4-BE49-F238E27FC236}">
              <a16:creationId xmlns:a16="http://schemas.microsoft.com/office/drawing/2014/main" id="{0348CB9E-8978-46C8-9D5C-A111AA9637A4}"/>
            </a:ext>
          </a:extLst>
        </xdr:cNvPr>
        <xdr:cNvSpPr/>
      </xdr:nvSpPr>
      <xdr:spPr>
        <a:xfrm>
          <a:off x="97269" y="1015926"/>
          <a:ext cx="1157790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fld id="{B2436A7F-0EB1-4EA0-A5A9-BCA2A40075AE}" type="TxLink">
            <a:rPr lang="en-US" sz="1000" b="0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ctr"/>
            <a:t>Version: v1.0</a:t>
          </a:fld>
          <a:endParaRPr lang="en-GB" sz="1050">
            <a:solidFill>
              <a:srgbClr val="C00000"/>
            </a:solidFill>
          </a:endParaRPr>
        </a:p>
      </xdr:txBody>
    </xdr:sp>
    <xdr:clientData/>
  </xdr:oneCellAnchor>
  <xdr:oneCellAnchor>
    <xdr:from>
      <xdr:col>1</xdr:col>
      <xdr:colOff>435124</xdr:colOff>
      <xdr:row>0</xdr:row>
      <xdr:rowOff>827331</xdr:rowOff>
    </xdr:from>
    <xdr:ext cx="1111287" cy="534519"/>
    <xdr:sp macro="" textlink="">
      <xdr:nvSpPr>
        <xdr:cNvPr id="7" name="Rectangle: Rounded Corners 6" descr=" zc z">
          <a:extLst>
            <a:ext uri="{FF2B5EF4-FFF2-40B4-BE49-F238E27FC236}">
              <a16:creationId xmlns:a16="http://schemas.microsoft.com/office/drawing/2014/main" id="{BE056802-06EC-4423-8668-B2B2992CFFE6}"/>
            </a:ext>
          </a:extLst>
        </xdr:cNvPr>
        <xdr:cNvSpPr/>
      </xdr:nvSpPr>
      <xdr:spPr>
        <a:xfrm>
          <a:off x="1331595" y="827331"/>
          <a:ext cx="1111287" cy="534519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YEAR</a:t>
          </a:r>
        </a:p>
      </xdr:txBody>
    </xdr:sp>
    <xdr:clientData/>
  </xdr:oneCellAnchor>
  <xdr:oneCellAnchor>
    <xdr:from>
      <xdr:col>1</xdr:col>
      <xdr:colOff>1613647</xdr:colOff>
      <xdr:row>0</xdr:row>
      <xdr:rowOff>827105</xdr:rowOff>
    </xdr:from>
    <xdr:ext cx="1051448" cy="545501"/>
    <xdr:sp macro="" textlink="'CHART1- MATERIAL&amp;SERVICE BASED'!B6">
      <xdr:nvSpPr>
        <xdr:cNvPr id="8" name="Rectangle: Rounded Corners 7" descr=" zc z">
          <a:extLst>
            <a:ext uri="{FF2B5EF4-FFF2-40B4-BE49-F238E27FC236}">
              <a16:creationId xmlns:a16="http://schemas.microsoft.com/office/drawing/2014/main" id="{D83C771C-268C-442D-A561-DF31C34BC5A8}"/>
            </a:ext>
          </a:extLst>
        </xdr:cNvPr>
        <xdr:cNvSpPr/>
      </xdr:nvSpPr>
      <xdr:spPr>
        <a:xfrm>
          <a:off x="2510118" y="827105"/>
          <a:ext cx="1051448" cy="545501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A12B9AFB-C177-4296-A9ED-C1752E2C260E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2026</a:t>
          </a:fld>
          <a:endParaRPr lang="en-US" sz="40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2743200</xdr:colOff>
          <xdr:row>0</xdr:row>
          <xdr:rowOff>876300</xdr:rowOff>
        </xdr:from>
        <xdr:to>
          <xdr:col>1</xdr:col>
          <xdr:colOff>2887980</xdr:colOff>
          <xdr:row>11</xdr:row>
          <xdr:rowOff>106680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</xdr:col>
      <xdr:colOff>2956448</xdr:colOff>
      <xdr:row>0</xdr:row>
      <xdr:rowOff>816125</xdr:rowOff>
    </xdr:from>
    <xdr:ext cx="1314900" cy="549088"/>
    <xdr:sp macro="" textlink="">
      <xdr:nvSpPr>
        <xdr:cNvPr id="9" name="Rectangle: Rounded Corners 8" descr=" zc z">
          <a:extLst>
            <a:ext uri="{FF2B5EF4-FFF2-40B4-BE49-F238E27FC236}">
              <a16:creationId xmlns:a16="http://schemas.microsoft.com/office/drawing/2014/main" id="{CCBAB404-A851-404D-9894-167DA30944B7}"/>
            </a:ext>
          </a:extLst>
        </xdr:cNvPr>
        <xdr:cNvSpPr/>
      </xdr:nvSpPr>
      <xdr:spPr>
        <a:xfrm>
          <a:off x="3852919" y="816125"/>
          <a:ext cx="1314900" cy="549088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MONTH</a:t>
          </a:r>
        </a:p>
      </xdr:txBody>
    </xdr:sp>
    <xdr:clientData/>
  </xdr:oneCellAnchor>
  <xdr:oneCellAnchor>
    <xdr:from>
      <xdr:col>2</xdr:col>
      <xdr:colOff>1008529</xdr:colOff>
      <xdr:row>0</xdr:row>
      <xdr:rowOff>819937</xdr:rowOff>
    </xdr:from>
    <xdr:ext cx="1025451" cy="543596"/>
    <xdr:sp macro="" textlink="'CHART1- MATERIAL&amp;SERVICE BASED'!B9">
      <xdr:nvSpPr>
        <xdr:cNvPr id="10" name="Rectangle: Rounded Corners 9" descr=" zc z">
          <a:extLst>
            <a:ext uri="{FF2B5EF4-FFF2-40B4-BE49-F238E27FC236}">
              <a16:creationId xmlns:a16="http://schemas.microsoft.com/office/drawing/2014/main" id="{76D9286A-5F7D-4729-9D45-35B72B96F863}"/>
            </a:ext>
          </a:extLst>
        </xdr:cNvPr>
        <xdr:cNvSpPr/>
      </xdr:nvSpPr>
      <xdr:spPr>
        <a:xfrm>
          <a:off x="5244353" y="819937"/>
          <a:ext cx="1025451" cy="543596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F30F46DA-EE82-4791-B307-E7D4F4F28932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</a:t>
          </a:fld>
          <a:endParaRPr lang="en-US" sz="32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2118360</xdr:colOff>
          <xdr:row>0</xdr:row>
          <xdr:rowOff>868680</xdr:rowOff>
        </xdr:from>
        <xdr:to>
          <xdr:col>2</xdr:col>
          <xdr:colOff>2255520</xdr:colOff>
          <xdr:row>11</xdr:row>
          <xdr:rowOff>99060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</xdr:col>
      <xdr:colOff>397921</xdr:colOff>
      <xdr:row>11</xdr:row>
      <xdr:rowOff>169993</xdr:rowOff>
    </xdr:from>
    <xdr:ext cx="5238637" cy="549088"/>
    <xdr:sp macro="" textlink="B3">
      <xdr:nvSpPr>
        <xdr:cNvPr id="11" name="Rectangle: Rounded Corners 10" descr=" zc z">
          <a:extLst>
            <a:ext uri="{FF2B5EF4-FFF2-40B4-BE49-F238E27FC236}">
              <a16:creationId xmlns:a16="http://schemas.microsoft.com/office/drawing/2014/main" id="{50A1C364-E999-46CB-A7C8-1963C24F0C27}"/>
            </a:ext>
          </a:extLst>
        </xdr:cNvPr>
        <xdr:cNvSpPr/>
      </xdr:nvSpPr>
      <xdr:spPr>
        <a:xfrm>
          <a:off x="1294392" y="1425052"/>
          <a:ext cx="5238637" cy="549088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l"/>
          <a:fld id="{50A5FCD7-80A2-4134-80CA-E313F5AA4A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Supplier B</a:t>
          </a:fld>
          <a:endParaRPr lang="en-US" sz="32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2941320</xdr:colOff>
          <xdr:row>12</xdr:row>
          <xdr:rowOff>106680</xdr:rowOff>
        </xdr:from>
        <xdr:to>
          <xdr:col>2</xdr:col>
          <xdr:colOff>2164080</xdr:colOff>
          <xdr:row>13</xdr:row>
          <xdr:rowOff>175260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465156</xdr:colOff>
      <xdr:row>0</xdr:row>
      <xdr:rowOff>97491</xdr:rowOff>
    </xdr:from>
    <xdr:to>
      <xdr:col>2</xdr:col>
      <xdr:colOff>2308411</xdr:colOff>
      <xdr:row>0</xdr:row>
      <xdr:rowOff>763905</xdr:rowOff>
    </xdr:to>
    <xdr:sp macro="[0]!CAlcul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A25DC2E-08B4-4129-8458-79FBE33A3CDC}"/>
            </a:ext>
          </a:extLst>
        </xdr:cNvPr>
        <xdr:cNvSpPr/>
      </xdr:nvSpPr>
      <xdr:spPr>
        <a:xfrm>
          <a:off x="1361627" y="97491"/>
          <a:ext cx="5182608" cy="666414"/>
        </a:xfrm>
        <a:prstGeom prst="roundRect">
          <a:avLst/>
        </a:prstGeom>
        <a:solidFill>
          <a:sysClr val="window" lastClr="FFFFFF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oneCellAnchor>
    <xdr:from>
      <xdr:col>4</xdr:col>
      <xdr:colOff>683559</xdr:colOff>
      <xdr:row>0</xdr:row>
      <xdr:rowOff>93233</xdr:rowOff>
    </xdr:from>
    <xdr:ext cx="1077447" cy="317575"/>
    <xdr:sp macro="" textlink="'TABLE-3 HIRED EQUIPMENT'!A1">
      <xdr:nvSpPr>
        <xdr:cNvPr id="13" name="Rectangle: Rounded Corners 12" descr=" zc z">
          <a:extLst>
            <a:ext uri="{FF2B5EF4-FFF2-40B4-BE49-F238E27FC236}">
              <a16:creationId xmlns:a16="http://schemas.microsoft.com/office/drawing/2014/main" id="{E71BA006-D483-4419-927A-707CE3BA6F20}"/>
            </a:ext>
          </a:extLst>
        </xdr:cNvPr>
        <xdr:cNvSpPr/>
      </xdr:nvSpPr>
      <xdr:spPr>
        <a:xfrm>
          <a:off x="10130118" y="93233"/>
          <a:ext cx="1077447" cy="317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r"/>
          <a:fld id="{8CF23CD7-A6BE-4766-9AE0-55978D5B0FE6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11/07/2026</a:t>
          </a:fld>
          <a:endParaRPr lang="en-GB" sz="105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2457898</xdr:colOff>
      <xdr:row>0</xdr:row>
      <xdr:rowOff>112059</xdr:rowOff>
    </xdr:from>
    <xdr:ext cx="3369160" cy="313765"/>
    <xdr:sp macro="" textlink="'CATEGORY TABLES'!AE2">
      <xdr:nvSpPr>
        <xdr:cNvPr id="14" name="Rectangle: Rounded Corners 13" descr=" zc z">
          <a:extLst>
            <a:ext uri="{FF2B5EF4-FFF2-40B4-BE49-F238E27FC236}">
              <a16:creationId xmlns:a16="http://schemas.microsoft.com/office/drawing/2014/main" id="{A3722704-A051-4946-B44E-550098E3FCFC}"/>
            </a:ext>
          </a:extLst>
        </xdr:cNvPr>
        <xdr:cNvSpPr/>
      </xdr:nvSpPr>
      <xdr:spPr>
        <a:xfrm>
          <a:off x="6693722" y="112059"/>
          <a:ext cx="3369160" cy="31376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ea typeface="Calibri"/>
              <a:cs typeface="Calibri"/>
            </a:rPr>
            <a:t>SUPPLIER</a:t>
          </a:r>
          <a:r>
            <a:rPr lang="en-US" sz="1400" b="1" i="0" u="none" strike="noStrike" baseline="0">
              <a:solidFill>
                <a:srgbClr val="C00000"/>
              </a:solidFill>
              <a:latin typeface="Calibri"/>
              <a:ea typeface="Calibri"/>
              <a:cs typeface="Calibri"/>
            </a:rPr>
            <a:t> BASED COSTS</a:t>
          </a:r>
          <a:endParaRPr lang="en-US" sz="1400" b="1" i="0" u="none" strike="noStrike">
            <a:solidFill>
              <a:srgbClr val="C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2</xdr:col>
      <xdr:colOff>2429772</xdr:colOff>
      <xdr:row>0</xdr:row>
      <xdr:rowOff>459441</xdr:rowOff>
    </xdr:from>
    <xdr:to>
      <xdr:col>5</xdr:col>
      <xdr:colOff>2130</xdr:colOff>
      <xdr:row>9</xdr:row>
      <xdr:rowOff>39555</xdr:rowOff>
    </xdr:to>
    <xdr:sp macro="[0]!GoToDashboard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66CFDFE2-A0B0-4D2B-9D20-42FF0DA317C3}"/>
            </a:ext>
          </a:extLst>
        </xdr:cNvPr>
        <xdr:cNvSpPr/>
      </xdr:nvSpPr>
      <xdr:spPr>
        <a:xfrm>
          <a:off x="6665596" y="459441"/>
          <a:ext cx="4497593" cy="454173"/>
        </a:xfrm>
        <a:prstGeom prst="roundRect">
          <a:avLst/>
        </a:prstGeom>
        <a:solidFill>
          <a:schemeClr val="bg1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BACK</a:t>
          </a:r>
          <a:r>
            <a:rPr lang="en-GB" sz="1400" b="1" baseline="0">
              <a:solidFill>
                <a:sysClr val="windowText" lastClr="000000"/>
              </a:solidFill>
            </a:rPr>
            <a:t> TO DASHBOARD 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2637193</xdr:colOff>
      <xdr:row>0</xdr:row>
      <xdr:rowOff>605118</xdr:rowOff>
    </xdr:from>
    <xdr:to>
      <xdr:col>2</xdr:col>
      <xdr:colOff>3012478</xdr:colOff>
      <xdr:row>0</xdr:row>
      <xdr:rowOff>786092</xdr:rowOff>
    </xdr:to>
    <xdr:sp macro="" textlink="">
      <xdr:nvSpPr>
        <xdr:cNvPr id="18" name="Arrow: Left 17">
          <a:extLst>
            <a:ext uri="{FF2B5EF4-FFF2-40B4-BE49-F238E27FC236}">
              <a16:creationId xmlns:a16="http://schemas.microsoft.com/office/drawing/2014/main" id="{927D9AF3-BC3C-4D75-AF0F-522475B107A6}"/>
            </a:ext>
          </a:extLst>
        </xdr:cNvPr>
        <xdr:cNvSpPr/>
      </xdr:nvSpPr>
      <xdr:spPr>
        <a:xfrm>
          <a:off x="6873017" y="605118"/>
          <a:ext cx="375285" cy="180974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2</xdr:col>
      <xdr:colOff>2427867</xdr:colOff>
      <xdr:row>9</xdr:row>
      <xdr:rowOff>124946</xdr:rowOff>
    </xdr:from>
    <xdr:ext cx="2424280" cy="674258"/>
    <xdr:sp macro="" textlink="'CHART1- MATERIAL&amp;SERVICE BASED'!B3">
      <xdr:nvSpPr>
        <xdr:cNvPr id="19" name="Rectangle: Rounded Corners 18" descr=" zc z">
          <a:extLst>
            <a:ext uri="{FF2B5EF4-FFF2-40B4-BE49-F238E27FC236}">
              <a16:creationId xmlns:a16="http://schemas.microsoft.com/office/drawing/2014/main" id="{838C67B9-766D-4C85-A91B-9883D9DFE49F}"/>
            </a:ext>
          </a:extLst>
        </xdr:cNvPr>
        <xdr:cNvSpPr/>
      </xdr:nvSpPr>
      <xdr:spPr>
        <a:xfrm>
          <a:off x="6663691" y="999005"/>
          <a:ext cx="2424280" cy="674258"/>
        </a:xfrm>
        <a:prstGeom prst="roundRect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MONTHLY</a:t>
          </a:r>
          <a:r>
            <a:rPr lang="en-US" sz="1400" b="1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 MATERIALS COST (TOTAL)</a:t>
          </a:r>
          <a:endParaRPr lang="en-US" sz="1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1501589</xdr:colOff>
      <xdr:row>9</xdr:row>
      <xdr:rowOff>112059</xdr:rowOff>
    </xdr:from>
    <xdr:ext cx="1962709" cy="670448"/>
    <xdr:sp macro="" textlink="'CHART1- MATERIAL&amp;SERVICE BASED'!D20">
      <xdr:nvSpPr>
        <xdr:cNvPr id="20" name="Rectangle: Rounded Corners 19" descr=" zc z">
          <a:extLst>
            <a:ext uri="{FF2B5EF4-FFF2-40B4-BE49-F238E27FC236}">
              <a16:creationId xmlns:a16="http://schemas.microsoft.com/office/drawing/2014/main" id="{36639C9C-2B88-4326-8950-C7FCDF3A894D}"/>
            </a:ext>
          </a:extLst>
        </xdr:cNvPr>
        <xdr:cNvSpPr/>
      </xdr:nvSpPr>
      <xdr:spPr>
        <a:xfrm>
          <a:off x="8034618" y="986118"/>
          <a:ext cx="1962709" cy="670448"/>
        </a:xfrm>
        <a:prstGeom prst="roundRect">
          <a:avLst/>
        </a:prstGeom>
        <a:solidFill>
          <a:srgbClr val="FFFF0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33846A3B-E665-475C-8A7C-C3BA30C7900F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£0.00</a:t>
          </a:fld>
          <a:endParaRPr lang="en-US" sz="40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2420693</xdr:colOff>
      <xdr:row>13</xdr:row>
      <xdr:rowOff>141866</xdr:rowOff>
    </xdr:from>
    <xdr:ext cx="2431454" cy="311859"/>
    <xdr:sp macro="" textlink="B3">
      <xdr:nvSpPr>
        <xdr:cNvPr id="21" name="Rectangle: Rounded Corners 20" descr=" zc z">
          <a:extLst>
            <a:ext uri="{FF2B5EF4-FFF2-40B4-BE49-F238E27FC236}">
              <a16:creationId xmlns:a16="http://schemas.microsoft.com/office/drawing/2014/main" id="{AA49A5E4-F24A-4B5B-9C46-A5F3D8475B4A}"/>
            </a:ext>
          </a:extLst>
        </xdr:cNvPr>
        <xdr:cNvSpPr/>
      </xdr:nvSpPr>
      <xdr:spPr>
        <a:xfrm>
          <a:off x="6656517" y="1777925"/>
          <a:ext cx="2431454" cy="31185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74FC9FC8-DBA9-455B-AD4B-2B35AD841471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Supplier B</a:t>
          </a:fld>
          <a:endParaRPr lang="en-US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2422375</xdr:colOff>
      <xdr:row>15</xdr:row>
      <xdr:rowOff>102532</xdr:rowOff>
    </xdr:from>
    <xdr:ext cx="2431454" cy="311859"/>
    <xdr:sp macro="" textlink="'CHART1- MATERIAL&amp;SERVICE BASED'!B3">
      <xdr:nvSpPr>
        <xdr:cNvPr id="22" name="Rectangle: Rounded Corners 21" descr=" zc z">
          <a:extLst>
            <a:ext uri="{FF2B5EF4-FFF2-40B4-BE49-F238E27FC236}">
              <a16:creationId xmlns:a16="http://schemas.microsoft.com/office/drawing/2014/main" id="{09E0B7F8-EE2B-43BC-81AF-EC507DFE964A}"/>
            </a:ext>
          </a:extLst>
        </xdr:cNvPr>
        <xdr:cNvSpPr/>
      </xdr:nvSpPr>
      <xdr:spPr>
        <a:xfrm>
          <a:off x="6658199" y="2119591"/>
          <a:ext cx="2431454" cy="31185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MONTHLY</a:t>
          </a:r>
          <a:r>
            <a:rPr lang="en-US" sz="1400" b="1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 COST TOTAL</a:t>
          </a:r>
          <a:endParaRPr lang="en-US" sz="1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1469876</xdr:colOff>
      <xdr:row>13</xdr:row>
      <xdr:rowOff>127074</xdr:rowOff>
    </xdr:from>
    <xdr:ext cx="1962709" cy="670448"/>
    <xdr:sp macro="" textlink="'CHART1- MATERIAL&amp;SERVICE BASED'!E20">
      <xdr:nvSpPr>
        <xdr:cNvPr id="23" name="Rectangle: Rounded Corners 22" descr=" zc z">
          <a:extLst>
            <a:ext uri="{FF2B5EF4-FFF2-40B4-BE49-F238E27FC236}">
              <a16:creationId xmlns:a16="http://schemas.microsoft.com/office/drawing/2014/main" id="{A14FE2FB-98D9-4405-9941-59F557B9F9F4}"/>
            </a:ext>
          </a:extLst>
        </xdr:cNvPr>
        <xdr:cNvSpPr/>
      </xdr:nvSpPr>
      <xdr:spPr>
        <a:xfrm>
          <a:off x="8720082" y="1763133"/>
          <a:ext cx="1962709" cy="670448"/>
        </a:xfrm>
        <a:prstGeom prst="roundRect">
          <a:avLst/>
        </a:prstGeom>
        <a:solidFill>
          <a:srgbClr val="FFFF0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CDBA346D-18F7-4BF0-A598-8BC91CA6B5F5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£0.00</a:t>
          </a:fld>
          <a:endParaRPr lang="en-US" sz="32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0</xdr:col>
      <xdr:colOff>89647</xdr:colOff>
      <xdr:row>11</xdr:row>
      <xdr:rowOff>163492</xdr:rowOff>
    </xdr:from>
    <xdr:ext cx="1152413" cy="549088"/>
    <xdr:sp macro="" textlink="">
      <xdr:nvSpPr>
        <xdr:cNvPr id="24" name="Rectangle: Rounded Corners 23" descr=" zc z">
          <a:extLst>
            <a:ext uri="{FF2B5EF4-FFF2-40B4-BE49-F238E27FC236}">
              <a16:creationId xmlns:a16="http://schemas.microsoft.com/office/drawing/2014/main" id="{93C3BBBE-EF4F-4AC7-BD45-979DD646D285}"/>
            </a:ext>
          </a:extLst>
        </xdr:cNvPr>
        <xdr:cNvSpPr/>
      </xdr:nvSpPr>
      <xdr:spPr>
        <a:xfrm>
          <a:off x="89647" y="1418551"/>
          <a:ext cx="1152413" cy="549088"/>
        </a:xfrm>
        <a:prstGeom prst="roundRect">
          <a:avLst/>
        </a:prstGeom>
        <a:solidFill>
          <a:srgbClr val="92D05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COMPANY</a:t>
          </a:r>
        </a:p>
      </xdr:txBody>
    </xdr:sp>
    <xdr:clientData/>
  </xdr:oneCellAnchor>
  <xdr:oneCellAnchor>
    <xdr:from>
      <xdr:col>0</xdr:col>
      <xdr:colOff>78440</xdr:colOff>
      <xdr:row>15</xdr:row>
      <xdr:rowOff>13111</xdr:rowOff>
    </xdr:from>
    <xdr:ext cx="3137647" cy="423918"/>
    <xdr:sp macro="" textlink="'CHART1- MATERIAL&amp;SERVICE BASED'!B3">
      <xdr:nvSpPr>
        <xdr:cNvPr id="25" name="Rectangle: Rounded Corners 24" descr=" zc z">
          <a:extLst>
            <a:ext uri="{FF2B5EF4-FFF2-40B4-BE49-F238E27FC236}">
              <a16:creationId xmlns:a16="http://schemas.microsoft.com/office/drawing/2014/main" id="{871E221F-D86D-46B5-9480-693368E44266}"/>
            </a:ext>
          </a:extLst>
        </xdr:cNvPr>
        <xdr:cNvSpPr/>
      </xdr:nvSpPr>
      <xdr:spPr>
        <a:xfrm>
          <a:off x="78440" y="2030170"/>
          <a:ext cx="3137647" cy="423918"/>
        </a:xfrm>
        <a:prstGeom prst="roundRect">
          <a:avLst/>
        </a:prstGeom>
        <a:solidFill>
          <a:schemeClr val="accent2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MONTHLY</a:t>
          </a:r>
          <a:r>
            <a:rPr lang="en-US" sz="1400" b="1" i="0" u="none" strike="noStrike" baseline="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 MATERIALS COST</a:t>
          </a:r>
          <a:endParaRPr lang="en-US" sz="1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2383043</xdr:colOff>
      <xdr:row>15</xdr:row>
      <xdr:rowOff>33617</xdr:rowOff>
    </xdr:from>
    <xdr:ext cx="3272117" cy="407223"/>
    <xdr:sp macro="" textlink="C20">
      <xdr:nvSpPr>
        <xdr:cNvPr id="26" name="Rectangle: Rounded Corners 25" descr=" zc z">
          <a:extLst>
            <a:ext uri="{FF2B5EF4-FFF2-40B4-BE49-F238E27FC236}">
              <a16:creationId xmlns:a16="http://schemas.microsoft.com/office/drawing/2014/main" id="{D963418F-6E86-4C84-A46F-2DB20543904C}"/>
            </a:ext>
          </a:extLst>
        </xdr:cNvPr>
        <xdr:cNvSpPr/>
      </xdr:nvSpPr>
      <xdr:spPr>
        <a:xfrm>
          <a:off x="3279514" y="2050676"/>
          <a:ext cx="3272117" cy="407223"/>
        </a:xfrm>
        <a:prstGeom prst="roundRect">
          <a:avLst/>
        </a:prstGeom>
        <a:solidFill>
          <a:srgbClr val="FFFF00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fld id="{ECCF537D-7E42-4959-A9E8-DC3489BE5AB8}" type="TxLink">
            <a:rPr lang="en-US" sz="1600" b="1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 algn="ctr"/>
            <a:t>£0.00</a:t>
          </a:fld>
          <a:endParaRPr lang="en-US" sz="4400" b="1" i="0" u="none" strike="noStrike">
            <a:solidFill>
              <a:srgbClr val="002060"/>
            </a:solidFill>
            <a:latin typeface="Calibri"/>
            <a:ea typeface="Calibri"/>
            <a:cs typeface="Calibri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0</xdr:row>
      <xdr:rowOff>140970</xdr:rowOff>
    </xdr:from>
    <xdr:to>
      <xdr:col>15</xdr:col>
      <xdr:colOff>95250</xdr:colOff>
      <xdr:row>19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D5303A-82C4-1956-E641-658E3CAFC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114300</xdr:rowOff>
        </xdr:from>
        <xdr:to>
          <xdr:col>0</xdr:col>
          <xdr:colOff>1112520</xdr:colOff>
          <xdr:row>0</xdr:row>
          <xdr:rowOff>769620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83820</xdr:rowOff>
        </xdr:from>
        <xdr:to>
          <xdr:col>0</xdr:col>
          <xdr:colOff>1013460</xdr:colOff>
          <xdr:row>0</xdr:row>
          <xdr:rowOff>746760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6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125729</xdr:colOff>
      <xdr:row>0</xdr:row>
      <xdr:rowOff>142875</xdr:rowOff>
    </xdr:from>
    <xdr:to>
      <xdr:col>10</xdr:col>
      <xdr:colOff>447674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C88DCA-EFFE-4A29-9A21-B89B4368D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</xdr:colOff>
      <xdr:row>0</xdr:row>
      <xdr:rowOff>142875</xdr:rowOff>
    </xdr:from>
    <xdr:to>
      <xdr:col>10</xdr:col>
      <xdr:colOff>430530</xdr:colOff>
      <xdr:row>15</xdr:row>
      <xdr:rowOff>173355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7405EE-E5A1-453C-BF54-C8A4B3508B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60960</xdr:rowOff>
        </xdr:from>
        <xdr:to>
          <xdr:col>1</xdr:col>
          <xdr:colOff>3185160</xdr:colOff>
          <xdr:row>6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29807</xdr:colOff>
      <xdr:row>0</xdr:row>
      <xdr:rowOff>29808</xdr:rowOff>
    </xdr:from>
    <xdr:to>
      <xdr:col>0</xdr:col>
      <xdr:colOff>1075765</xdr:colOff>
      <xdr:row>0</xdr:row>
      <xdr:rowOff>326989</xdr:rowOff>
    </xdr:to>
    <xdr:sp macro="[0]!Back_To_UI" textlink="">
      <xdr:nvSpPr>
        <xdr:cNvPr id="2" name="Text Box 38">
          <a:extLst>
            <a:ext uri="{FF2B5EF4-FFF2-40B4-BE49-F238E27FC236}">
              <a16:creationId xmlns:a16="http://schemas.microsoft.com/office/drawing/2014/main" id="{473267B3-F855-498A-AA89-26F57A9EE5EA}"/>
            </a:ext>
          </a:extLst>
        </xdr:cNvPr>
        <xdr:cNvSpPr txBox="1">
          <a:spLocks noChangeArrowheads="1"/>
        </xdr:cNvSpPr>
      </xdr:nvSpPr>
      <xdr:spPr bwMode="auto">
        <a:xfrm>
          <a:off x="29807" y="29808"/>
          <a:ext cx="1045958" cy="297181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68580</xdr:rowOff>
        </xdr:from>
        <xdr:to>
          <xdr:col>0</xdr:col>
          <xdr:colOff>1181100</xdr:colOff>
          <xdr:row>0</xdr:row>
          <xdr:rowOff>350520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105049</xdr:colOff>
      <xdr:row>0</xdr:row>
      <xdr:rowOff>394607</xdr:rowOff>
    </xdr:from>
    <xdr:to>
      <xdr:col>0</xdr:col>
      <xdr:colOff>1170214</xdr:colOff>
      <xdr:row>0</xdr:row>
      <xdr:rowOff>703761</xdr:rowOff>
    </xdr:to>
    <xdr:sp macro="[0]!Back_To_UI" textlink="">
      <xdr:nvSpPr>
        <xdr:cNvPr id="2" name="Text Box 38">
          <a:extLst>
            <a:ext uri="{FF2B5EF4-FFF2-40B4-BE49-F238E27FC236}">
              <a16:creationId xmlns:a16="http://schemas.microsoft.com/office/drawing/2014/main" id="{100D13AE-E145-4545-9C8A-BB8B46F79503}"/>
            </a:ext>
          </a:extLst>
        </xdr:cNvPr>
        <xdr:cNvSpPr txBox="1">
          <a:spLocks noChangeArrowheads="1"/>
        </xdr:cNvSpPr>
      </xdr:nvSpPr>
      <xdr:spPr bwMode="auto">
        <a:xfrm>
          <a:off x="105049" y="394607"/>
          <a:ext cx="1065165" cy="309154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38101</xdr:rowOff>
    </xdr:from>
    <xdr:to>
      <xdr:col>0</xdr:col>
      <xdr:colOff>1162051</xdr:colOff>
      <xdr:row>0</xdr:row>
      <xdr:rowOff>266701</xdr:rowOff>
    </xdr:to>
    <xdr:sp macro="[0]!Back_To_UI" textlink="">
      <xdr:nvSpPr>
        <xdr:cNvPr id="2" name="Text Box 38">
          <a:extLst>
            <a:ext uri="{FF2B5EF4-FFF2-40B4-BE49-F238E27FC236}">
              <a16:creationId xmlns:a16="http://schemas.microsoft.com/office/drawing/2014/main" id="{48D2B555-3F50-43D3-BAF7-2A5BD0896AE4}"/>
            </a:ext>
          </a:extLst>
        </xdr:cNvPr>
        <xdr:cNvSpPr txBox="1">
          <a:spLocks noChangeArrowheads="1"/>
        </xdr:cNvSpPr>
      </xdr:nvSpPr>
      <xdr:spPr bwMode="auto">
        <a:xfrm>
          <a:off x="38101" y="38101"/>
          <a:ext cx="1123950" cy="228600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BACK TO 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olleague A" id="{EE928A9C-205B-4413-91EF-1632833B486E}" userId="colleague.a@example.com" providerId="PeoplePicker"/>
  <person displayName="Author" id="{1942FD3E-2A12-4FE7-B50C-40482AA8AFA1}" userId="author@example.com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at, Mehmet Baran" refreshedDate="46214.848686805555" createdVersion="8" refreshedVersion="8" minRefreshableVersion="3" recordCount="22" xr:uid="{4B34408D-0038-4631-BC2D-1230B90F51D0}">
  <cacheSource type="worksheet">
    <worksheetSource name="Table18"/>
  </cacheSource>
  <cacheFields count="3">
    <cacheField name="SAMPLE PROJECT " numFmtId="0">
      <sharedItems containsBlank="1" count="14">
        <s v="Incoming Materials"/>
        <s v="Aggregate"/>
        <s v="Sand"/>
        <s v="Muck Away"/>
        <s v="Diesel"/>
        <s v="Waste Cost"/>
        <s v="Concrete"/>
        <s v="Hire Equipment"/>
        <s v="General site Costs"/>
        <s v="Drinking Water"/>
        <s v="Effluent collection"/>
        <s v="General Water delivery"/>
        <m/>
        <s v="TOTAL SITE COST/ WEEKLY/ TOTAL"/>
      </sharedItems>
    </cacheField>
    <cacheField name="WEEK COST" numFmtId="165">
      <sharedItems containsMixedTypes="1" containsNumber="1" containsInteger="1" minValue="0" maxValue="0"/>
    </cacheField>
    <cacheField name="TOTAL COST" numFmtId="165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at, Mehmet Baran" refreshedDate="46214.848686805555" createdVersion="8" refreshedVersion="8" minRefreshableVersion="3" recordCount="20" xr:uid="{98716630-CDE9-45BA-BB6B-9095F1FD2FCB}">
  <cacheSource type="worksheet">
    <worksheetSource name="Table6"/>
  </cacheSource>
  <cacheFields count="2">
    <cacheField name="SPECIFIC WORKS - BUDGET BASED" numFmtId="0">
      <sharedItems containsMixedTypes="1" containsNumber="1" containsInteger="1" minValue="0" maxValue="0" count="4">
        <s v="Activity A"/>
        <s v="Activity B"/>
        <s v="Activity C"/>
        <n v="0"/>
      </sharedItems>
    </cacheField>
    <cacheField name="PRICE TOTAL" numFmtId="164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at, Mehmet Baran" refreshedDate="46214.848686921294" createdVersion="8" refreshedVersion="8" minRefreshableVersion="3" recordCount="196" xr:uid="{C31F3741-B45F-4CC5-9557-D8E54C28139A}">
  <cacheSource type="worksheet">
    <worksheetSource name="MASTER_LIST"/>
  </cacheSource>
  <cacheFields count="13">
    <cacheField name="SPECIFIC COST NAME / WORK BASED" numFmtId="0">
      <sharedItems containsNonDate="0" containsString="0" containsBlank="1"/>
    </cacheField>
    <cacheField name="ADDRESSING THE COST ITEM" numFmtId="0">
      <sharedItems containsNonDate="0" containsString="0" containsBlank="1"/>
    </cacheField>
    <cacheField name="PRINCIPLE OF WORKS" numFmtId="0">
      <sharedItems containsNonDate="0" containsBlank="1" count="24">
        <m/>
        <s v="CONSUMABLES" u="1"/>
        <s v="CIVIL" u="1"/>
        <s v="LOGISTIC &amp; OPERATIONAL COSTs" u="1"/>
        <s v="PUBLIC ENGAGEMENT" u="1"/>
        <s v="ENVIROMENTAL - WASTE MANAGEMENT" u="1"/>
        <s v="ELECTRICAL" u="1"/>
        <s v="COMPOUND" u="1"/>
        <s v="TEMPORARY WORKS" u="1"/>
        <s v="LANDSCAPING" u="1"/>
        <s v="SECURITY" u="1"/>
        <s v="INVENTORY" u="1"/>
        <s v="STATIONARY" u="1"/>
        <s v="HSE" u="1"/>
        <s v="SANITARY PRODUCTS" u="1"/>
        <s v="PPE" u="1"/>
        <s v="SUNDRIES" u="1"/>
        <s v="OTHERS" u="1"/>
        <s v="HIRED EQUIPMENTS" u="1"/>
        <s v="ADMINSTIRATIVE" u="1"/>
        <s v="SURVEY" u="1"/>
        <s v="MECHANICAL" u="1"/>
        <s v="QUALITY" u="1"/>
        <s v="DESIGN" u="1"/>
      </sharedItems>
    </cacheField>
    <cacheField name="DATE" numFmtId="14">
      <sharedItems containsNonDate="0" containsString="0" containsBlank="1"/>
    </cacheField>
    <cacheField name="SUPPLIER NAME" numFmtId="0">
      <sharedItems containsNonDate="0" containsString="0" containsBlank="1"/>
    </cacheField>
    <cacheField name="MATERIAL &amp; SERVICE" numFmtId="0">
      <sharedItems containsNonDate="0" containsString="0" containsBlank="1"/>
    </cacheField>
    <cacheField name="ACCOUNT REF" numFmtId="0">
      <sharedItems containsNonDate="0" containsString="0" containsBlank="1"/>
    </cacheField>
    <cacheField name="COST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WEEK" numFmtId="0">
      <sharedItems containsNonDate="0" containsString="0" containsBlank="1"/>
    </cacheField>
    <cacheField name="MONTH-YEAR" numFmtId="0">
      <sharedItems/>
    </cacheField>
    <cacheField name="PROJECT TYPE" numFmtId="0">
      <sharedItems containsNonDate="0" containsBlank="1" count="3">
        <m/>
        <s v="PV" u="1"/>
        <s v="BES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at, Mehmet Baran" refreshedDate="46214.84868703704" createdVersion="8" refreshedVersion="8" minRefreshableVersion="3" recordCount="1" xr:uid="{AED6E8C3-A45E-4F8F-B779-1F21799E5C98}">
  <cacheSource type="worksheet">
    <worksheetSource name="HGV_Combined"/>
  </cacheSource>
  <cacheFields count="4">
    <cacheField name="PRINCIPLE OF WORKS" numFmtId="0">
      <sharedItems containsNonDate="0" containsBlank="1" count="18">
        <m/>
        <s v="COMPOUND" u="1"/>
        <s v="CIVIL" u="1"/>
        <s v="CONSUMABLES" u="1"/>
        <s v="MECHANICAL" u="1"/>
        <s v="LOGISTIC &amp; OPERATIONAL COSTs" u="1"/>
        <s v="INVENTORY" u="1"/>
        <s v="PUBLIC ENGAGEMENT" u="1"/>
        <s v="ENVIROMENTAL - WASTE MANAGEMENT" u="1"/>
        <s v="ELECTRICAL" u="1"/>
        <s v="TEMPORARY WORKS" u="1"/>
        <s v="LANDSCAPING" u="1"/>
        <s v="SECURITY" u="1"/>
        <s v="HIRED EQUIPMENTS" u="1"/>
        <s v="STATIONARY" u="1"/>
        <s v="HSE" u="1"/>
        <s v="QUALITY" u="1"/>
        <s v="ENVIRONMENTAL - WASTE MANAGEMENT" u="1"/>
      </sharedItems>
    </cacheField>
    <cacheField name="HGV COUNT" numFmtId="0">
      <sharedItems containsNonDate="0" containsString="0" containsBlank="1"/>
    </cacheField>
    <cacheField name="MOVEMENT TYPE" numFmtId="0">
      <sharedItems containsNonDate="0" containsString="0" containsBlank="1"/>
    </cacheField>
    <cacheField name="MONTH-YEAR" numFmtId="0">
      <sharedItems containsNonDate="0" containsBlank="1" count="15">
        <m/>
        <s v="2025-10" u="1"/>
        <s v="2025-11" u="1"/>
        <s v="2025-12" u="1"/>
        <s v="2026-1" u="1"/>
        <s v="2026-2" u="1"/>
        <s v="2026-3" u="1"/>
        <s v="2026-4" u="1"/>
        <s v="2026-5" u="1"/>
        <s v="2026-6" u="1"/>
        <s v="2026-7" u="1"/>
        <s v="01/10/2025" u="1"/>
        <s v="01/11/2025" u="1"/>
        <s v="01/05/2026" u="1"/>
        <s v="01/06/202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n v="0"/>
    <n v="0"/>
  </r>
  <r>
    <x v="1"/>
    <n v="0"/>
    <n v="0"/>
  </r>
  <r>
    <x v="2"/>
    <n v="0"/>
    <n v="0"/>
  </r>
  <r>
    <x v="3"/>
    <n v="0"/>
    <n v="0"/>
  </r>
  <r>
    <x v="4"/>
    <n v="0"/>
    <n v="0"/>
  </r>
  <r>
    <x v="5"/>
    <n v="0"/>
    <n v="0"/>
  </r>
  <r>
    <x v="6"/>
    <n v="0"/>
    <n v="0"/>
  </r>
  <r>
    <x v="7"/>
    <n v="0"/>
    <n v="0"/>
  </r>
  <r>
    <x v="8"/>
    <n v="0"/>
    <n v="0"/>
  </r>
  <r>
    <x v="9"/>
    <n v="0"/>
    <n v="0"/>
  </r>
  <r>
    <x v="10"/>
    <n v="0"/>
    <n v="0"/>
  </r>
  <r>
    <x v="11"/>
    <n v="0"/>
    <n v="0"/>
  </r>
  <r>
    <x v="12"/>
    <s v=""/>
    <s v=""/>
  </r>
  <r>
    <x v="12"/>
    <s v=""/>
    <s v=""/>
  </r>
  <r>
    <x v="12"/>
    <s v=""/>
    <s v=""/>
  </r>
  <r>
    <x v="12"/>
    <s v=""/>
    <s v=""/>
  </r>
  <r>
    <x v="12"/>
    <s v=""/>
    <s v=""/>
  </r>
  <r>
    <x v="12"/>
    <s v=""/>
    <s v=""/>
  </r>
  <r>
    <x v="12"/>
    <s v=""/>
    <s v=""/>
  </r>
  <r>
    <x v="12"/>
    <s v=""/>
    <s v=""/>
  </r>
  <r>
    <x v="12"/>
    <s v=""/>
    <s v=""/>
  </r>
  <r>
    <x v="13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0"/>
  </r>
  <r>
    <x v="1"/>
    <n v="0"/>
  </r>
  <r>
    <x v="2"/>
    <n v="0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  <r>
    <x v="3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  <r>
    <m/>
    <m/>
    <x v="0"/>
    <m/>
    <m/>
    <m/>
    <m/>
    <m/>
    <m/>
    <m/>
    <m/>
    <s v="-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DB979-B33B-4FD8-A089-BFCF6566B772}" name="PivotTable1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1:B2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4">
        <item m="1" x="2"/>
        <item m="1" x="1"/>
        <item h="1" x="0"/>
        <item t="default"/>
      </items>
    </pivotField>
  </pivotFields>
  <rowFields count="1">
    <field x="12"/>
  </rowFields>
  <rowItems count="1">
    <i t="grand">
      <x/>
    </i>
  </rowItems>
  <colItems count="1">
    <i/>
  </colItems>
  <dataFields count="1">
    <dataField name="Sum of COST" fld="7" baseField="0" baseItem="0" numFmtId="164"/>
  </dataFields>
  <formats count="1">
    <format dxfId="218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4C12F-FA3B-4A2E-99FE-C94467912591}" name="PivotTable2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D25:E27" firstHeaderRow="1" firstDataRow="1" firstDataCol="1" rowPageCount="1" colPageCount="1"/>
  <pivotFields count="13">
    <pivotField showAll="0"/>
    <pivotField showAll="0"/>
    <pivotField axis="axisRow" showAll="0">
      <items count="25">
        <item m="1" x="19"/>
        <item m="1" x="2"/>
        <item m="1" x="7"/>
        <item m="1" x="1"/>
        <item m="1" x="23"/>
        <item m="1" x="6"/>
        <item m="1" x="5"/>
        <item m="1" x="18"/>
        <item m="1" x="13"/>
        <item m="1" x="11"/>
        <item m="1" x="9"/>
        <item m="1" x="3"/>
        <item m="1" x="21"/>
        <item m="1" x="17"/>
        <item m="1" x="15"/>
        <item m="1" x="4"/>
        <item m="1" x="22"/>
        <item m="1" x="14"/>
        <item m="1" x="10"/>
        <item m="1" x="12"/>
        <item m="1" x="16"/>
        <item m="1" x="20"/>
        <item m="1" x="8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Page" showAll="0">
      <items count="4">
        <item m="1" x="2"/>
        <item m="1" x="1"/>
        <item x="0"/>
        <item t="default"/>
      </items>
    </pivotField>
  </pivotFields>
  <rowFields count="1">
    <field x="2"/>
  </rowFields>
  <rowItems count="2">
    <i>
      <x v="23"/>
    </i>
    <i t="grand">
      <x/>
    </i>
  </rowItems>
  <colItems count="1">
    <i/>
  </colItems>
  <pageFields count="1">
    <pageField fld="12" item="2" hier="-1"/>
  </pageFields>
  <dataFields count="1">
    <dataField name="Sum of COST" fld="7" baseField="0" baseItem="0"/>
  </dataFields>
  <chartFormats count="4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7FB0D6-ED7A-4DF3-B492-34CBD52B2416}" name="PivotTable3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1:B2" firstHeaderRow="1" firstDataRow="1" firstDataCol="1"/>
  <pivotFields count="4">
    <pivotField showAll="0"/>
    <pivotField dataField="1" showAll="0"/>
    <pivotField showAll="0"/>
    <pivotField axis="axisRow" showAll="0">
      <items count="16">
        <item h="1" m="1" x="13"/>
        <item h="1" m="1" x="14"/>
        <item h="1" m="1" x="11"/>
        <item h="1" m="1" x="12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h="1" m="1" x="10"/>
        <item h="1" x="0"/>
        <item t="default"/>
      </items>
    </pivotField>
  </pivotFields>
  <rowFields count="1">
    <field x="3"/>
  </rowFields>
  <rowItems count="1">
    <i t="grand">
      <x/>
    </i>
  </rowItems>
  <colItems count="1">
    <i/>
  </colItems>
  <dataFields count="1">
    <dataField name="Sum of HGV COUNT" fld="1" baseField="0" baseItem="0"/>
  </dataFields>
  <chartFormats count="2">
    <chartFormat chart="0" format="1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EAD321-259D-4375-9ADC-26C6CEC09A51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3">
  <location ref="A3:B5" firstHeaderRow="1" firstDataRow="2" firstDataCol="1"/>
  <pivotFields count="4">
    <pivotField axis="axisCol" multipleItemSelectionAllowed="1" showAll="0" sortType="ascending">
      <items count="19">
        <item m="1" x="2"/>
        <item m="1" x="1"/>
        <item m="1" x="3"/>
        <item m="1" x="9"/>
        <item m="1" x="8"/>
        <item m="1" x="17"/>
        <item m="1" x="13"/>
        <item m="1" x="15"/>
        <item m="1" x="6"/>
        <item m="1" x="11"/>
        <item m="1" x="5"/>
        <item m="1" x="4"/>
        <item m="1" x="7"/>
        <item m="1" x="16"/>
        <item m="1" x="12"/>
        <item m="1" x="14"/>
        <item m="1" x="10"/>
        <item h="1" x="0"/>
        <item t="default"/>
      </items>
    </pivotField>
    <pivotField dataField="1" showAll="0"/>
    <pivotField showAll="0"/>
    <pivotField axis="axisRow" showAll="0">
      <items count="16"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h="1" m="1" x="10"/>
        <item h="1" m="1" x="11"/>
        <item h="1" m="1" x="12"/>
        <item h="1" m="1" x="13"/>
        <item h="1" m="1" x="14"/>
        <item h="1" x="0"/>
        <item t="default"/>
      </items>
    </pivotField>
  </pivotFields>
  <rowFields count="1">
    <field x="3"/>
  </rowFields>
  <rowItems count="1">
    <i t="grand">
      <x/>
    </i>
  </rowItems>
  <colFields count="1">
    <field x="0"/>
  </colFields>
  <colItems count="1">
    <i t="grand">
      <x/>
    </i>
  </colItems>
  <dataFields count="1">
    <dataField name="Sum of HGV COUNT" fld="1" baseField="0" baseItem="0"/>
  </dataFields>
  <chartFormats count="145">
    <chartFormat chart="36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6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6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6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6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6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6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0"/>
          </reference>
        </references>
      </pivotArea>
    </chartFormat>
    <chartFormat chart="36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2"/>
          </reference>
        </references>
      </pivotArea>
    </chartFormat>
    <chartFormat chart="36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6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6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6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1"/>
          </reference>
        </references>
      </pivotArea>
    </chartFormat>
    <chartFormat chart="36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6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6" format="1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36" format="1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36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0"/>
          </reference>
        </references>
      </pivotArea>
    </chartFormat>
    <chartFormat chart="36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</references>
      </pivotArea>
    </chartFormat>
    <chartFormat chart="36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2"/>
          </reference>
        </references>
      </pivotArea>
    </chartFormat>
    <chartFormat chart="36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3"/>
          </reference>
        </references>
      </pivotArea>
    </chartFormat>
    <chartFormat chart="36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4"/>
          </reference>
        </references>
      </pivotArea>
    </chartFormat>
    <chartFormat chart="36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5"/>
          </reference>
        </references>
      </pivotArea>
    </chartFormat>
    <chartFormat chart="36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6"/>
          </reference>
        </references>
      </pivotArea>
    </chartFormat>
    <chartFormat chart="36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7"/>
          </reference>
        </references>
      </pivotArea>
    </chartFormat>
    <chartFormat chart="36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8"/>
          </reference>
        </references>
      </pivotArea>
    </chartFormat>
    <chartFormat chart="36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9"/>
          </reference>
        </references>
      </pivotArea>
    </chartFormat>
    <chartFormat chart="36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0"/>
          </reference>
        </references>
      </pivotArea>
    </chartFormat>
    <chartFormat chart="36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"/>
          </reference>
        </references>
      </pivotArea>
    </chartFormat>
    <chartFormat chart="36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2"/>
          </reference>
        </references>
      </pivotArea>
    </chartFormat>
    <chartFormat chart="36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3"/>
          </reference>
        </references>
      </pivotArea>
    </chartFormat>
    <chartFormat chart="36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4"/>
          </reference>
        </references>
      </pivotArea>
    </chartFormat>
    <chartFormat chart="36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5"/>
          </reference>
        </references>
      </pivotArea>
    </chartFormat>
    <chartFormat chart="36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6"/>
          </reference>
        </references>
      </pivotArea>
    </chartFormat>
    <chartFormat chart="36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7"/>
          </reference>
        </references>
      </pivotArea>
    </chartFormat>
    <chartFormat chart="36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8"/>
          </reference>
        </references>
      </pivotArea>
    </chartFormat>
    <chartFormat chart="36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9"/>
          </reference>
        </references>
      </pivotArea>
    </chartFormat>
    <chartFormat chart="36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</references>
      </pivotArea>
    </chartFormat>
    <chartFormat chart="36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"/>
          </reference>
        </references>
      </pivotArea>
    </chartFormat>
    <chartFormat chart="36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2"/>
          </reference>
        </references>
      </pivotArea>
    </chartFormat>
    <chartFormat chart="36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3"/>
          </reference>
        </references>
      </pivotArea>
    </chartFormat>
    <chartFormat chart="36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4"/>
          </reference>
        </references>
      </pivotArea>
    </chartFormat>
    <chartFormat chart="36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5"/>
          </reference>
        </references>
      </pivotArea>
    </chartFormat>
    <chartFormat chart="36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6"/>
          </reference>
        </references>
      </pivotArea>
    </chartFormat>
    <chartFormat chart="36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7"/>
          </reference>
        </references>
      </pivotArea>
    </chartFormat>
    <chartFormat chart="36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8"/>
          </reference>
        </references>
      </pivotArea>
    </chartFormat>
    <chartFormat chart="36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9"/>
          </reference>
        </references>
      </pivotArea>
    </chartFormat>
    <chartFormat chart="36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</references>
      </pivotArea>
    </chartFormat>
    <chartFormat chart="36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1"/>
          </reference>
        </references>
      </pivotArea>
    </chartFormat>
    <chartFormat chart="36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2"/>
          </reference>
        </references>
      </pivotArea>
    </chartFormat>
    <chartFormat chart="36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3"/>
          </reference>
        </references>
      </pivotArea>
    </chartFormat>
    <chartFormat chart="36" format="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4"/>
          </reference>
        </references>
      </pivotArea>
    </chartFormat>
    <chartFormat chart="36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5"/>
          </reference>
        </references>
      </pivotArea>
    </chartFormat>
    <chartFormat chart="36" format="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6"/>
          </reference>
        </references>
      </pivotArea>
    </chartFormat>
    <chartFormat chart="36" format="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7"/>
          </reference>
        </references>
      </pivotArea>
    </chartFormat>
    <chartFormat chart="36" format="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8"/>
          </reference>
        </references>
      </pivotArea>
    </chartFormat>
    <chartFormat chart="36" format="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9"/>
          </reference>
        </references>
      </pivotArea>
    </chartFormat>
    <chartFormat chart="36" format="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</references>
      </pivotArea>
    </chartFormat>
    <chartFormat chart="36" format="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1"/>
          </reference>
        </references>
      </pivotArea>
    </chartFormat>
    <chartFormat chart="36" format="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2"/>
          </reference>
        </references>
      </pivotArea>
    </chartFormat>
    <chartFormat chart="36" format="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3"/>
          </reference>
        </references>
      </pivotArea>
    </chartFormat>
    <chartFormat chart="36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4"/>
          </reference>
        </references>
      </pivotArea>
    </chartFormat>
    <chartFormat chart="36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5"/>
          </reference>
        </references>
      </pivotArea>
    </chartFormat>
    <chartFormat chart="36" format="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6"/>
          </reference>
        </references>
      </pivotArea>
    </chartFormat>
    <chartFormat chart="36" format="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7"/>
          </reference>
        </references>
      </pivotArea>
    </chartFormat>
    <chartFormat chart="36" format="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8"/>
          </reference>
        </references>
      </pivotArea>
    </chartFormat>
    <chartFormat chart="36" format="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9"/>
          </reference>
        </references>
      </pivotArea>
    </chartFormat>
    <chartFormat chart="36" format="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</references>
      </pivotArea>
    </chartFormat>
    <chartFormat chart="36" format="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3"/>
          </reference>
        </references>
      </pivotArea>
    </chartFormat>
    <chartFormat chart="36" format="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4"/>
          </reference>
        </references>
      </pivotArea>
    </chartFormat>
    <chartFormat chart="36" format="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5"/>
          </reference>
        </references>
      </pivotArea>
    </chartFormat>
    <chartFormat chart="36" format="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6"/>
          </reference>
        </references>
      </pivotArea>
    </chartFormat>
    <chartFormat chart="36" format="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7"/>
          </reference>
        </references>
      </pivotArea>
    </chartFormat>
    <chartFormat chart="36" format="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8"/>
          </reference>
        </references>
      </pivotArea>
    </chartFormat>
    <chartFormat chart="36" format="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9"/>
          </reference>
        </references>
      </pivotArea>
    </chartFormat>
    <chartFormat chart="36" format="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0"/>
          </reference>
        </references>
      </pivotArea>
    </chartFormat>
    <chartFormat chart="36" format="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1"/>
          </reference>
        </references>
      </pivotArea>
    </chartFormat>
    <chartFormat chart="36" format="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2"/>
          </reference>
        </references>
      </pivotArea>
    </chartFormat>
    <chartFormat chart="36" format="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3"/>
          </reference>
        </references>
      </pivotArea>
    </chartFormat>
    <chartFormat chart="36" format="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4"/>
          </reference>
        </references>
      </pivotArea>
    </chartFormat>
    <chartFormat chart="36" format="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5"/>
          </reference>
        </references>
      </pivotArea>
    </chartFormat>
    <chartFormat chart="36" format="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6"/>
          </reference>
        </references>
      </pivotArea>
    </chartFormat>
    <chartFormat chart="36" format="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7"/>
          </reference>
        </references>
      </pivotArea>
    </chartFormat>
    <chartFormat chart="36" format="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8"/>
          </reference>
        </references>
      </pivotArea>
    </chartFormat>
    <chartFormat chart="36" format="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9"/>
          </reference>
        </references>
      </pivotArea>
    </chartFormat>
    <chartFormat chart="36" format="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0"/>
          </reference>
        </references>
      </pivotArea>
    </chartFormat>
    <chartFormat chart="36" format="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1"/>
          </reference>
        </references>
      </pivotArea>
    </chartFormat>
    <chartFormat chart="36" format="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2"/>
          </reference>
        </references>
      </pivotArea>
    </chartFormat>
    <chartFormat chart="36" format="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3"/>
          </reference>
        </references>
      </pivotArea>
    </chartFormat>
    <chartFormat chart="36" format="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4"/>
          </reference>
        </references>
      </pivotArea>
    </chartFormat>
    <chartFormat chart="36" format="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5"/>
          </reference>
        </references>
      </pivotArea>
    </chartFormat>
    <chartFormat chart="36" format="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6"/>
          </reference>
        </references>
      </pivotArea>
    </chartFormat>
    <chartFormat chart="36" format="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7"/>
          </reference>
        </references>
      </pivotArea>
    </chartFormat>
    <chartFormat chart="36" format="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8"/>
          </reference>
        </references>
      </pivotArea>
    </chartFormat>
    <chartFormat chart="36" format="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3" count="1" selected="0">
            <x v="9"/>
          </reference>
        </references>
      </pivotArea>
    </chartFormat>
    <chartFormat chart="36" format="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0"/>
          </reference>
        </references>
      </pivotArea>
    </chartFormat>
    <chartFormat chart="36" format="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2"/>
          </reference>
        </references>
      </pivotArea>
    </chartFormat>
    <chartFormat chart="36" format="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3"/>
          </reference>
        </references>
      </pivotArea>
    </chartFormat>
    <chartFormat chart="36" format="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4"/>
          </reference>
        </references>
      </pivotArea>
    </chartFormat>
    <chartFormat chart="36" format="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5"/>
          </reference>
        </references>
      </pivotArea>
    </chartFormat>
    <chartFormat chart="36" format="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6"/>
          </reference>
        </references>
      </pivotArea>
    </chartFormat>
    <chartFormat chart="36" format="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7"/>
          </reference>
        </references>
      </pivotArea>
    </chartFormat>
    <chartFormat chart="36" format="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8"/>
          </reference>
        </references>
      </pivotArea>
    </chartFormat>
    <chartFormat chart="36" format="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3" count="1" selected="0">
            <x v="9"/>
          </reference>
        </references>
      </pivotArea>
    </chartFormat>
    <chartFormat chart="36" format="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0"/>
          </reference>
        </references>
      </pivotArea>
    </chartFormat>
    <chartFormat chart="36" format="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1"/>
          </reference>
        </references>
      </pivotArea>
    </chartFormat>
    <chartFormat chart="36" format="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2"/>
          </reference>
        </references>
      </pivotArea>
    </chartFormat>
    <chartFormat chart="36" format="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3"/>
          </reference>
        </references>
      </pivotArea>
    </chartFormat>
    <chartFormat chart="36" format="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4"/>
          </reference>
        </references>
      </pivotArea>
    </chartFormat>
    <chartFormat chart="36" format="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5"/>
          </reference>
        </references>
      </pivotArea>
    </chartFormat>
    <chartFormat chart="36" format="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6"/>
          </reference>
        </references>
      </pivotArea>
    </chartFormat>
    <chartFormat chart="36" format="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7"/>
          </reference>
        </references>
      </pivotArea>
    </chartFormat>
    <chartFormat chart="36" format="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8"/>
          </reference>
        </references>
      </pivotArea>
    </chartFormat>
    <chartFormat chart="36" format="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3" count="1" selected="0">
            <x v="9"/>
          </reference>
        </references>
      </pivotArea>
    </chartFormat>
    <chartFormat chart="36" format="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0"/>
          </reference>
        </references>
      </pivotArea>
    </chartFormat>
    <chartFormat chart="36" format="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1"/>
          </reference>
        </references>
      </pivotArea>
    </chartFormat>
    <chartFormat chart="36" format="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2"/>
          </reference>
        </references>
      </pivotArea>
    </chartFormat>
    <chartFormat chart="36" format="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3"/>
          </reference>
        </references>
      </pivotArea>
    </chartFormat>
    <chartFormat chart="36" format="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4"/>
          </reference>
        </references>
      </pivotArea>
    </chartFormat>
    <chartFormat chart="36" format="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5"/>
          </reference>
        </references>
      </pivotArea>
    </chartFormat>
    <chartFormat chart="36" format="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6"/>
          </reference>
        </references>
      </pivotArea>
    </chartFormat>
    <chartFormat chart="36" format="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7"/>
          </reference>
        </references>
      </pivotArea>
    </chartFormat>
    <chartFormat chart="36" format="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8"/>
          </reference>
        </references>
      </pivotArea>
    </chartFormat>
    <chartFormat chart="36" format="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3" count="1" selected="0">
            <x v="9"/>
          </reference>
        </references>
      </pivotArea>
    </chartFormat>
    <chartFormat chart="36" format="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0"/>
          </reference>
        </references>
      </pivotArea>
    </chartFormat>
    <chartFormat chart="36" format="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1"/>
          </reference>
        </references>
      </pivotArea>
    </chartFormat>
    <chartFormat chart="36" format="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2"/>
          </reference>
        </references>
      </pivotArea>
    </chartFormat>
    <chartFormat chart="36" format="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3"/>
          </reference>
        </references>
      </pivotArea>
    </chartFormat>
    <chartFormat chart="36" format="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4"/>
          </reference>
        </references>
      </pivotArea>
    </chartFormat>
    <chartFormat chart="36" format="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5"/>
          </reference>
        </references>
      </pivotArea>
    </chartFormat>
    <chartFormat chart="36" format="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6"/>
          </reference>
        </references>
      </pivotArea>
    </chartFormat>
    <chartFormat chart="36" format="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7"/>
          </reference>
        </references>
      </pivotArea>
    </chartFormat>
    <chartFormat chart="36" format="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8"/>
          </reference>
        </references>
      </pivotArea>
    </chartFormat>
    <chartFormat chart="36" format="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9"/>
          </reference>
        </references>
      </pivotArea>
    </chartFormat>
    <chartFormat chart="36" format="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0"/>
          </reference>
        </references>
      </pivotArea>
    </chartFormat>
    <chartFormat chart="36" format="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1"/>
          </reference>
        </references>
      </pivotArea>
    </chartFormat>
    <chartFormat chart="36" format="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2"/>
          </reference>
        </references>
      </pivotArea>
    </chartFormat>
    <chartFormat chart="36" format="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3"/>
          </reference>
        </references>
      </pivotArea>
    </chartFormat>
    <chartFormat chart="36" format="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4"/>
          </reference>
        </references>
      </pivotArea>
    </chartFormat>
    <chartFormat chart="36" format="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5"/>
          </reference>
        </references>
      </pivotArea>
    </chartFormat>
    <chartFormat chart="36" format="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6"/>
          </reference>
        </references>
      </pivotArea>
    </chartFormat>
    <chartFormat chart="36" format="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7"/>
          </reference>
        </references>
      </pivotArea>
    </chartFormat>
    <chartFormat chart="36" format="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8"/>
          </reference>
        </references>
      </pivotArea>
    </chartFormat>
    <chartFormat chart="36" format="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9"/>
          </reference>
        </references>
      </pivotArea>
    </chartFormat>
    <chartFormat chart="36" format="2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30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615D7B-7EA8-4674-95D0-7E8DEC5023B6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1:B3" firstHeaderRow="1" firstDataRow="1" firstDataCol="1"/>
  <pivotFields count="2">
    <pivotField axis="axisRow" showAll="0">
      <items count="5">
        <item x="3"/>
        <item h="1" x="0"/>
        <item h="1" x="1"/>
        <item h="1" x="2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PRICE TOTAL" fld="1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EA35AC-DF2F-48B5-972D-E72A47F85634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1:B14" firstHeaderRow="1" firstDataRow="1" firstDataCol="1"/>
  <pivotFields count="3">
    <pivotField axis="axisRow" showAll="0">
      <items count="15">
        <item x="1"/>
        <item x="6"/>
        <item x="4"/>
        <item x="9"/>
        <item x="10"/>
        <item x="8"/>
        <item x="11"/>
        <item x="7"/>
        <item x="0"/>
        <item x="3"/>
        <item x="2"/>
        <item h="1" x="13"/>
        <item x="5"/>
        <item h="1" x="12"/>
        <item t="default"/>
      </items>
    </pivotField>
    <pivotField dataField="1"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Sum of WEEK COST" fld="1" baseField="0" baseItem="0"/>
  </dataFields>
  <chartFormats count="6">
    <chartFormat chart="2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8BAC60-BB00-4BE7-BFB1-D70255122E5E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B14" firstHeaderRow="1" firstDataRow="1" firstDataCol="1"/>
  <pivotFields count="3">
    <pivotField axis="axisRow" showAll="0">
      <items count="15">
        <item x="1"/>
        <item x="6"/>
        <item x="4"/>
        <item x="9"/>
        <item x="10"/>
        <item x="8"/>
        <item x="11"/>
        <item x="7"/>
        <item x="0"/>
        <item x="3"/>
        <item x="2"/>
        <item h="1" x="13"/>
        <item x="5"/>
        <item h="1" x="12"/>
        <item t="default"/>
      </items>
    </pivotField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Sum of TOTAL COST" fld="2" baseField="0" baseItem="0"/>
  </dataFields>
  <chartFormats count="4">
    <chartFormat chart="0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E91BBDD5-BDF1-4C1B-A7FE-0C0C973DF73D}" autoFormatId="16" applyNumberFormats="0" applyBorderFormats="0" applyFontFormats="0" applyPatternFormats="0" applyAlignmentFormats="0" applyWidthHeightFormats="0">
  <queryTableRefresh nextId="3">
    <queryTableFields count="2">
      <queryTableField id="1" name="ITEM" tableColumnId="1"/>
      <queryTableField id="2" name="DATE I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3" xr16:uid="{6834E1C4-C719-4E9E-B687-FE09D2A11862}" autoFormatId="16" applyNumberFormats="0" applyBorderFormats="0" applyFontFormats="0" applyPatternFormats="0" applyAlignmentFormats="0" applyWidthHeightFormats="0">
  <queryTableRefresh nextId="14">
    <queryTableFields count="13">
      <queryTableField id="1" name="SPECIFIC COST NAME / WORK BASED" tableColumnId="1"/>
      <queryTableField id="2" name="ADDRESSING THE COST ITEM" tableColumnId="2"/>
      <queryTableField id="3" name="PRINCIPLE OF WORKS" tableColumnId="3"/>
      <queryTableField id="4" name="DATE" tableColumnId="4"/>
      <queryTableField id="5" name="SUPPLIER NAME" tableColumnId="5"/>
      <queryTableField id="6" name="MATERIAL &amp; SERVICE" tableColumnId="6"/>
      <queryTableField id="7" name="ACCOUNT REF" tableColumnId="7"/>
      <queryTableField id="8" name="COST" tableColumnId="8"/>
      <queryTableField id="9" name="YEAR" tableColumnId="9"/>
      <queryTableField id="10" name="MONTH" tableColumnId="10"/>
      <queryTableField id="11" name="WEEK" tableColumnId="11"/>
      <queryTableField id="12" name="MONTH-YEAR" tableColumnId="12"/>
      <queryTableField id="13" name="PROJECT TYPE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264E6CEE-6AAA-4FB3-92CC-371A92A2B8E3}" autoFormatId="16" applyNumberFormats="0" applyBorderFormats="0" applyFontFormats="0" applyPatternFormats="0" applyAlignmentFormats="0" applyWidthHeightFormats="0">
  <queryTableRefresh nextId="8">
    <queryTableFields count="4">
      <queryTableField id="1" name="PRINCIPLE OF WORKS" tableColumnId="1"/>
      <queryTableField id="2" name="HGV COUNT" tableColumnId="2"/>
      <queryTableField id="4" name="MOVEMENT TYPE" tableColumnId="4"/>
      <queryTableField id="7" name="MONTH-YEAR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6B9D161-F879-4705-949A-6209432D3B84}" name="Inventory_List" displayName="Inventory_List" ref="E8:F9" tableType="queryTable" insertRow="1" totalsRowShown="0" headerRowDxfId="220" dataDxfId="219">
  <autoFilter ref="E8:F9" xr:uid="{96B9D161-F879-4705-949A-6209432D3B84}"/>
  <tableColumns count="2">
    <tableColumn id="1" xr3:uid="{A2AF4330-6180-4A8A-86AB-AD6E55DDE8FB}" uniqueName="1" name="ITEM" queryTableFieldId="1" dataDxfId="49"/>
    <tableColumn id="2" xr3:uid="{C0830F77-0622-4CCE-8E9B-8180F39394A3}" uniqueName="2" name="DATE IN" queryTableFieldId="2" dataDxfId="48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48B571-14F5-4780-9773-10FF66DC4170}" name="Table1" displayName="Table1" ref="B2:Y3001" totalsRowShown="0" headerRowDxfId="233" dataDxfId="231" headerRowBorderDxfId="232">
  <autoFilter ref="B2:Y3001" xr:uid="{B948B571-14F5-4780-9773-10FF66DC4170}"/>
  <sortState xmlns:xlrd2="http://schemas.microsoft.com/office/spreadsheetml/2017/richdata2" ref="B223:Y2281">
    <sortCondition ref="E2:E3001"/>
  </sortState>
  <tableColumns count="24">
    <tableColumn id="17" xr3:uid="{5031E481-3356-4F31-BA57-553EC7CFFFE2}" name="SPECIFIC COST NAME / WORK BASED" dataDxfId="63"/>
    <tableColumn id="19" xr3:uid="{99E57924-546B-42C3-8A58-818F9026C785}" name="ADDRESSING THE COST ITEM" dataDxfId="62"/>
    <tableColumn id="20" xr3:uid="{65B1A33D-C09E-4596-A4C0-D037CCD9CA55}" name="PRINCIPLE OF WORKS" dataDxfId="61"/>
    <tableColumn id="1" xr3:uid="{B2A63B8F-2FFD-4EAD-9D45-2072C4AEFFC9}" name="DATE" dataDxfId="60"/>
    <tableColumn id="2" xr3:uid="{3497B94E-BF27-4532-9779-36E031AF370B}" name="SUPPLIER NAME" dataDxfId="59"/>
    <tableColumn id="23" xr3:uid="{48135EB5-8E68-4987-A226-5E791B85E070}" name="INVOICE NUMBER" dataDxfId="58"/>
    <tableColumn id="24" xr3:uid="{B8CC174B-E055-42CE-82F6-FF933CF768BE}" name="PO NUMBER" dataDxfId="57"/>
    <tableColumn id="12" xr3:uid="{E3CC989C-3CAF-4C80-9414-2707CDF6FF57}" name="DELIVERY NOTE" dataDxfId="56"/>
    <tableColumn id="3" xr3:uid="{DA1A5DB0-0256-487D-81D0-BB1F9CA4ADD4}" name="MATERIAL &amp; SERVICE" dataDxfId="55"/>
    <tableColumn id="13" xr3:uid="{5BF9426C-E6BC-4478-8290-3F5C5799718B}" name="DESCRIPTION" dataDxfId="54"/>
    <tableColumn id="22" xr3:uid="{866B53C9-CC89-4719-9E67-AD62791A18C0}" name="DELIVERY STATUS" dataDxfId="53"/>
    <tableColumn id="4" xr3:uid="{351D2E4C-7311-4373-AEC9-BBC1E03FC355}" name="NUMBER OF HGVs" dataDxfId="52"/>
    <tableColumn id="5" xr3:uid="{310F73B3-7D2A-423A-A4BE-41783AECE118}" name="QUANTITY" dataDxfId="51"/>
    <tableColumn id="11" xr3:uid="{09BF9420-A429-4DD9-84C0-349791DDE62B}" name="UPDATE" dataDxfId="50"/>
    <tableColumn id="6" xr3:uid="{0A8232DF-5C10-463B-B2E8-1A8E319D25B2}" name="UNITS" dataDxfId="230">
      <calculatedColumnFormula array="1">IF(N3="","",IFERROR(_xlfn.XLOOKUP(F3&amp;"|"&amp;J3&amp;"|"&amp;O3,PRICES!$C$2:$C$659&amp;"|"&amp;PRICES!$B$2:$B$659&amp;"|"&amp;PRICES!$D$2:$D$659,PRICES!$E$2:$E$659),"Not Found"))</calculatedColumnFormula>
    </tableColumn>
    <tableColumn id="7" xr3:uid="{A415FABD-891A-4C9E-98D9-52D3CE668D66}" name="UNIT PRICE" dataDxfId="229">
      <calculatedColumnFormula>IF(N3=0,"",SUMIFS(PRICES!$G$2:$G$658,PRICES!$B$2:$B$658,'MAIN TABLE-1 AUTOMATED'!J3,PRICES!$C$2:$C$658,'MAIN TABLE-1 AUTOMATED'!F3,PRICES!$D$2:$D$658,'MAIN TABLE-1 AUTOMATED'!O3))</calculatedColumnFormula>
    </tableColumn>
    <tableColumn id="10" xr3:uid="{53B01FD9-1C22-4D93-81F6-045E1DC53F11}" name="COST" dataDxfId="228">
      <calculatedColumnFormula>IF(Table1[[#This Row],[QUANTITY]]=0,"",Table1[[#This Row],[UNIT PRICE]]*Table1[[#This Row],[QUANTITY]])</calculatedColumnFormula>
    </tableColumn>
    <tableColumn id="9" xr3:uid="{10B1761A-50B4-4E7F-A581-55F467DEFAAE}" name="ACCOUNT STATUS" dataDxfId="227"/>
    <tableColumn id="8" xr3:uid="{20BA84BB-44A3-47B0-BB57-F1EA6FD0AFFA}" name="INTERVIEWED BY" dataDxfId="226"/>
    <tableColumn id="18" xr3:uid="{771CFA59-347D-446B-B8E8-2A9BB2DE9CDA}" name="ACCOUNT REF" dataDxfId="225"/>
    <tableColumn id="14" xr3:uid="{11AE7A6C-C1EF-4E64-A993-45D7A8485204}" name="YEAR" dataDxfId="224">
      <calculatedColumnFormula>IF(Table1[[#This Row],[DATE]]=0,"",YEAR(E3))</calculatedColumnFormula>
    </tableColumn>
    <tableColumn id="15" xr3:uid="{6E19B86A-EDCE-4319-90D0-1BE824B37A0C}" name="MONTH" dataDxfId="223">
      <calculatedColumnFormula>IF(E3=0,"",MONTH(E3))</calculatedColumnFormula>
    </tableColumn>
    <tableColumn id="16" xr3:uid="{D682F27A-A7A7-47CD-89CC-3C91ECD09E24}" name="WEEK" dataDxfId="222">
      <calculatedColumnFormula>IF(E3=0,"",WEEKNUM(E3))</calculatedColumnFormula>
    </tableColumn>
    <tableColumn id="21" xr3:uid="{CE8CB79E-2702-49D0-BA12-DDE3115FB2E3}" name="MONTH-YEAR" dataDxfId="221">
      <calculatedColumnFormula>TEXT(Table1[[#This Row],[YEAR]],"0000")&amp;"-"&amp;Table1[[#This Row],[MONTH]]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BB56B6-111A-483F-8316-75BCD069D10D}" name="MASTER_LIST" displayName="MASTER_LIST" ref="A1:M197" tableType="queryTable" totalsRowShown="0">
  <autoFilter ref="A1:M197" xr:uid="{EEBB56B6-111A-483F-8316-75BCD069D10D}">
    <filterColumn colId="7">
      <filters>
        <filter val="0.45"/>
        <filter val="0.6"/>
        <filter val="1.32"/>
        <filter val="1.5"/>
        <filter val="1.52"/>
        <filter val="1.6"/>
        <filter val="1.61"/>
        <filter val="1.71"/>
        <filter val="10.22"/>
        <filter val="10.24"/>
        <filter val="10.36"/>
        <filter val="10.45"/>
        <filter val="10.5"/>
        <filter val="10.52"/>
        <filter val="10.59"/>
        <filter val="10.62"/>
        <filter val="10.65"/>
        <filter val="10.72"/>
        <filter val="10.76"/>
        <filter val="10.8"/>
        <filter val="10.82"/>
        <filter val="10.98"/>
        <filter val="10.99"/>
        <filter val="100"/>
        <filter val="1001"/>
        <filter val="1021.95"/>
        <filter val="103.45"/>
        <filter val="103.5"/>
        <filter val="10351.81"/>
        <filter val="1040"/>
        <filter val="10438.8"/>
        <filter val="1048"/>
        <filter val="1048.8"/>
        <filter val="10497"/>
        <filter val="105"/>
        <filter val="1050"/>
        <filter val="10525.79"/>
        <filter val="10614.375"/>
        <filter val="107"/>
        <filter val="108.66"/>
        <filter val="1080"/>
        <filter val="109"/>
        <filter val="109.5"/>
        <filter val="109.99"/>
        <filter val="1093.56"/>
        <filter val="1099.8"/>
        <filter val="11"/>
        <filter val="11.08"/>
        <filter val="11.16"/>
        <filter val="11.18"/>
        <filter val="11.39"/>
        <filter val="11.52"/>
        <filter val="11.64"/>
        <filter val="11.7"/>
        <filter val="11.94"/>
        <filter val="110"/>
        <filter val="110.5"/>
        <filter val="1100"/>
        <filter val="1106"/>
        <filter val="1120"/>
        <filter val="114.75"/>
        <filter val="115"/>
        <filter val="115.2"/>
        <filter val="1150"/>
        <filter val="1155"/>
        <filter val="11575.2"/>
        <filter val="1164.6"/>
        <filter val="1170"/>
        <filter val="11850"/>
        <filter val="11880"/>
        <filter val="119"/>
        <filter val="119.2"/>
        <filter val="119.25"/>
        <filter val="119.8"/>
        <filter val="12.12"/>
        <filter val="12.24"/>
        <filter val="12.32"/>
        <filter val="12.38"/>
        <filter val="12.43"/>
        <filter val="12.45"/>
        <filter val="12.62"/>
        <filter val="12.63"/>
        <filter val="12.64"/>
        <filter val="12.99"/>
        <filter val="120"/>
        <filter val="1200"/>
        <filter val="12178.6"/>
        <filter val="123"/>
        <filter val="123.02"/>
        <filter val="12310.35"/>
        <filter val="1234.56"/>
        <filter val="124"/>
        <filter val="124.002"/>
        <filter val="12441.6"/>
        <filter val="125"/>
        <filter val="12579.84"/>
        <filter val="126.37"/>
        <filter val="127.5"/>
        <filter val="1276.8"/>
        <filter val="128.56"/>
        <filter val="1288.5"/>
        <filter val="129.62"/>
        <filter val="13.13"/>
        <filter val="13.28"/>
        <filter val="13.45"/>
        <filter val="13.84"/>
        <filter val="13.9"/>
        <filter val="13.95"/>
        <filter val="13.99"/>
        <filter val="130"/>
        <filter val="131.14"/>
        <filter val="131.8"/>
        <filter val="1310"/>
        <filter val="13115.52"/>
        <filter val="13116.24"/>
        <filter val="132"/>
        <filter val="132.5"/>
        <filter val="13356"/>
        <filter val="13356.64"/>
        <filter val="135"/>
        <filter val="1350"/>
        <filter val="1354.7"/>
        <filter val="1357.5"/>
        <filter val="137.5"/>
        <filter val="1375.5"/>
        <filter val="1378.5"/>
        <filter val="1380"/>
        <filter val="1392"/>
        <filter val="1398.96"/>
        <filter val="1399.95"/>
        <filter val="14"/>
        <filter val="14.06"/>
        <filter val="14.24"/>
        <filter val="14.48"/>
        <filter val="14.5"/>
        <filter val="14.69"/>
        <filter val="14.76"/>
        <filter val="14.78"/>
        <filter val="14.8"/>
        <filter val="14.95"/>
        <filter val="14.97"/>
        <filter val="140"/>
        <filter val="141.8"/>
        <filter val="1421.49"/>
        <filter val="143.62"/>
        <filter val="1434"/>
        <filter val="144.15"/>
        <filter val="1440"/>
        <filter val="1446.375"/>
        <filter val="1449"/>
        <filter val="145"/>
        <filter val="1450"/>
        <filter val="1456.5"/>
        <filter val="1464.6"/>
        <filter val="1475.6"/>
        <filter val="14798"/>
        <filter val="1488"/>
        <filter val="1490.5"/>
        <filter val="1495"/>
        <filter val="15.08"/>
        <filter val="15.15"/>
        <filter val="15.2"/>
        <filter val="15.21"/>
        <filter val="15.32"/>
        <filter val="15.35"/>
        <filter val="15.47"/>
        <filter val="15.5"/>
        <filter val="15.6"/>
        <filter val="150"/>
        <filter val="1502.01"/>
        <filter val="151"/>
        <filter val="151.04"/>
        <filter val="151.6"/>
        <filter val="153.87"/>
        <filter val="154144.75"/>
        <filter val="155"/>
        <filter val="15538.6"/>
        <filter val="156.21"/>
        <filter val="1567"/>
        <filter val="157.6"/>
        <filter val="157.73"/>
        <filter val="1572"/>
        <filter val="158.37"/>
        <filter val="1592"/>
        <filter val="16.08"/>
        <filter val="16.24"/>
        <filter val="16.31"/>
        <filter val="16.38"/>
        <filter val="16.39"/>
        <filter val="16.5"/>
        <filter val="16.66"/>
        <filter val="16.74"/>
        <filter val="16.95"/>
        <filter val="160650"/>
        <filter val="161.58"/>
        <filter val="162.6"/>
        <filter val="1626.9"/>
        <filter val="1629.7"/>
        <filter val="1635"/>
        <filter val="1645"/>
        <filter val="1650"/>
        <filter val="166.65"/>
        <filter val="167.76"/>
        <filter val="168.75"/>
        <filter val="169"/>
        <filter val="169.8"/>
        <filter val="1698"/>
        <filter val="17.07"/>
        <filter val="17.08"/>
        <filter val="17.1"/>
        <filter val="17.16"/>
        <filter val="17.17"/>
        <filter val="17.18"/>
        <filter val="17.35"/>
        <filter val="17.36"/>
        <filter val="17.64"/>
        <filter val="17.8"/>
        <filter val="17.9"/>
        <filter val="17.92"/>
        <filter val="17.99"/>
        <filter val="1716.48"/>
        <filter val="173.5"/>
        <filter val="1745"/>
        <filter val="1755"/>
        <filter val="1763.9"/>
        <filter val="1767"/>
        <filter val="1780.8"/>
        <filter val="179.5"/>
        <filter val="179.8"/>
        <filter val="17979.12"/>
        <filter val="18"/>
        <filter val="18.1"/>
        <filter val="18.3"/>
        <filter val="18.72"/>
        <filter val="18.88"/>
        <filter val="18.89"/>
        <filter val="18.97"/>
        <filter val="180"/>
        <filter val="182.5"/>
        <filter val="1820"/>
        <filter val="1827"/>
        <filter val="1830.75"/>
        <filter val="1840"/>
        <filter val="1843.53"/>
        <filter val="1864"/>
        <filter val="1875"/>
        <filter val="1878"/>
        <filter val="1880"/>
        <filter val="19.14"/>
        <filter val="19.44"/>
        <filter val="19.48"/>
        <filter val="19.7"/>
        <filter val="19.78"/>
        <filter val="19.8"/>
        <filter val="19.99"/>
        <filter val="190"/>
        <filter val="191"/>
        <filter val="191.15"/>
        <filter val="1953"/>
        <filter val="196.16"/>
        <filter val="197.5"/>
        <filter val="1990"/>
        <filter val="1993.66"/>
        <filter val="2.17"/>
        <filter val="2.42"/>
        <filter val="2.45"/>
        <filter val="2.49"/>
        <filter val="2.52"/>
        <filter val="2.58"/>
        <filter val="2.64"/>
        <filter val="2.69"/>
        <filter val="2.8"/>
        <filter val="2.95"/>
        <filter val="2.96"/>
        <filter val="20"/>
        <filter val="20.1"/>
        <filter val="20.15"/>
        <filter val="20.33"/>
        <filter val="20.34"/>
        <filter val="20.42"/>
        <filter val="20.8"/>
        <filter val="20.82"/>
        <filter val="200"/>
        <filter val="2004"/>
        <filter val="2025"/>
        <filter val="2045"/>
        <filter val="2052"/>
        <filter val="2073750"/>
        <filter val="2074.8"/>
        <filter val="2080"/>
        <filter val="21.23"/>
        <filter val="21.35"/>
        <filter val="21.42"/>
        <filter val="21.44"/>
        <filter val="21.6"/>
        <filter val="21.72"/>
        <filter val="21.78"/>
        <filter val="21.83"/>
        <filter val="21.89"/>
        <filter val="210"/>
        <filter val="2100"/>
        <filter val="212.1"/>
        <filter val="212.25"/>
        <filter val="2130"/>
        <filter val="215"/>
        <filter val="2184"/>
        <filter val="219.79"/>
        <filter val="2193.75"/>
        <filter val="21950"/>
        <filter val="22.14"/>
        <filter val="22.15"/>
        <filter val="22.21"/>
        <filter val="22.3"/>
        <filter val="22.33"/>
        <filter val="22.5"/>
        <filter val="22.66"/>
        <filter val="22.77"/>
        <filter val="22.86"/>
        <filter val="220"/>
        <filter val="2200"/>
        <filter val="221.1"/>
        <filter val="2213.75"/>
        <filter val="2238.2"/>
        <filter val="224.1"/>
        <filter val="2240"/>
        <filter val="2250"/>
        <filter val="2263.5"/>
        <filter val="227.3"/>
        <filter val="228"/>
        <filter val="2280"/>
        <filter val="23.25"/>
        <filter val="23.35"/>
        <filter val="23.4"/>
        <filter val="23.6"/>
        <filter val="23.64"/>
        <filter val="23.82"/>
        <filter val="23.84"/>
        <filter val="230"/>
        <filter val="2300"/>
        <filter val="2310"/>
        <filter val="232"/>
        <filter val="232.36"/>
        <filter val="232.5"/>
        <filter val="2325"/>
        <filter val="2340"/>
        <filter val="235"/>
        <filter val="2380"/>
        <filter val="2390.75"/>
        <filter val="24.01"/>
        <filter val="24.36"/>
        <filter val="24.5"/>
        <filter val="24.76"/>
        <filter val="24.83"/>
        <filter val="24.86"/>
        <filter val="24.9"/>
        <filter val="24.99"/>
        <filter val="240"/>
        <filter val="2418"/>
        <filter val="2441"/>
        <filter val="246"/>
        <filter val="24600"/>
        <filter val="2475"/>
        <filter val="248"/>
        <filter val="25"/>
        <filter val="25.24"/>
        <filter val="25.64"/>
        <filter val="25.81"/>
        <filter val="250"/>
        <filter val="250.88"/>
        <filter val="2507.34"/>
        <filter val="252000"/>
        <filter val="253"/>
        <filter val="253.5"/>
        <filter val="2530"/>
        <filter val="254.7"/>
        <filter val="259.2"/>
        <filter val="26.68"/>
        <filter val="260"/>
        <filter val="2615"/>
        <filter val="262"/>
        <filter val="262.28"/>
        <filter val="263.77"/>
        <filter val="2638.5"/>
        <filter val="264.02"/>
        <filter val="266.1"/>
        <filter val="2663.76"/>
        <filter val="269.25"/>
        <filter val="27"/>
        <filter val="27.14"/>
        <filter val="27.22"/>
        <filter val="27.27"/>
        <filter val="27.48"/>
        <filter val="27.6"/>
        <filter val="27.65"/>
        <filter val="271.68"/>
        <filter val="274.88"/>
        <filter val="275"/>
        <filter val="2760"/>
        <filter val="2763.4"/>
        <filter val="279000"/>
        <filter val="28"/>
        <filter val="28.04"/>
        <filter val="28.14"/>
        <filter val="28.5"/>
        <filter val="28.7"/>
        <filter val="280"/>
        <filter val="2812.5"/>
        <filter val="2835"/>
        <filter val="286"/>
        <filter val="2870"/>
        <filter val="288.55"/>
        <filter val="288.75"/>
        <filter val="2880"/>
        <filter val="29"/>
        <filter val="29.38"/>
        <filter val="29.56"/>
        <filter val="29.7"/>
        <filter val="29.99"/>
        <filter val="290"/>
        <filter val="2900"/>
        <filter val="291"/>
        <filter val="2925"/>
        <filter val="294.5"/>
        <filter val="296.96"/>
        <filter val="2960"/>
        <filter val="2990"/>
        <filter val="3.02"/>
        <filter val="3.03"/>
        <filter val="3.04"/>
        <filter val="3.08"/>
        <filter val="3.1"/>
        <filter val="3.17"/>
        <filter val="3.18"/>
        <filter val="3.2"/>
        <filter val="3.32"/>
        <filter val="3.54"/>
        <filter val="3.62"/>
        <filter val="3.63"/>
        <filter val="3.67"/>
        <filter val="3.76"/>
        <filter val="3.91"/>
        <filter val="3.94"/>
        <filter val="3.98"/>
        <filter val="30"/>
        <filter val="30.16"/>
        <filter val="30.25"/>
        <filter val="30.4"/>
        <filter val="30.45"/>
        <filter val="30.48"/>
        <filter val="30.56"/>
        <filter val="300"/>
        <filter val="3000"/>
        <filter val="307.86"/>
        <filter val="3074"/>
        <filter val="308.45"/>
        <filter val="3080"/>
        <filter val="3080.88"/>
        <filter val="31"/>
        <filter val="31.07"/>
        <filter val="31.2"/>
        <filter val="31.32"/>
        <filter val="31.51"/>
        <filter val="31.67"/>
        <filter val="31.8"/>
        <filter val="310"/>
        <filter val="3120"/>
        <filter val="3140"/>
        <filter val="31491"/>
        <filter val="315"/>
        <filter val="319"/>
        <filter val="32"/>
        <filter val="32.3"/>
        <filter val="32.6"/>
        <filter val="320"/>
        <filter val="322"/>
        <filter val="325"/>
        <filter val="3280"/>
        <filter val="3290"/>
        <filter val="33.22"/>
        <filter val="33.24"/>
        <filter val="33.48"/>
        <filter val="33.49"/>
        <filter val="33.9"/>
        <filter val="33.95"/>
        <filter val="330"/>
        <filter val="334"/>
        <filter val="3340"/>
        <filter val="336.3"/>
        <filter val="338.75"/>
        <filter val="339.6"/>
        <filter val="34.03"/>
        <filter val="34.1"/>
        <filter val="34.36"/>
        <filter val="34.99"/>
        <filter val="341"/>
        <filter val="3450"/>
        <filter val="3480"/>
        <filter val="35"/>
        <filter val="35.1"/>
        <filter val="35.28"/>
        <filter val="35.35"/>
        <filter val="35.36"/>
        <filter val="35.52"/>
        <filter val="35.68"/>
        <filter val="35.8"/>
        <filter val="3527.4"/>
        <filter val="355.1"/>
        <filter val="355.5"/>
        <filter val="357.3"/>
        <filter val="357.48"/>
        <filter val="36.2"/>
        <filter val="36.21"/>
        <filter val="36.25"/>
        <filter val="360.45"/>
        <filter val="363.05"/>
        <filter val="363.15"/>
        <filter val="364.05"/>
        <filter val="365"/>
        <filter val="366.3"/>
        <filter val="367.2"/>
        <filter val="367.65"/>
        <filter val="3680"/>
        <filter val="369"/>
        <filter val="369.45"/>
        <filter val="369.6"/>
        <filter val="369.9"/>
        <filter val="37.45"/>
        <filter val="37.74"/>
        <filter val="370.35"/>
        <filter val="373.2"/>
        <filter val="375.3"/>
        <filter val="3756"/>
        <filter val="377.15"/>
        <filter val="377.55"/>
        <filter val="3770"/>
        <filter val="3780"/>
        <filter val="379"/>
        <filter val="38.22"/>
        <filter val="38.32"/>
        <filter val="38.64"/>
        <filter val="38.83"/>
        <filter val="38.95"/>
        <filter val="382.05"/>
        <filter val="382.12"/>
        <filter val="3835"/>
        <filter val="385.65"/>
        <filter val="3857.8"/>
        <filter val="39"/>
        <filter val="39.14"/>
        <filter val="39.5"/>
        <filter val="39.72"/>
        <filter val="39.9"/>
        <filter val="39.99"/>
        <filter val="390"/>
        <filter val="391.5"/>
        <filter val="3910"/>
        <filter val="393.19"/>
        <filter val="393.828"/>
        <filter val="396"/>
        <filter val="396.03"/>
        <filter val="396.9"/>
        <filter val="396.936"/>
        <filter val="3960"/>
        <filter val="398.268"/>
        <filter val="3995.64"/>
        <filter val="4.03"/>
        <filter val="4.26"/>
        <filter val="4.33"/>
        <filter val="4.36"/>
        <filter val="4.4"/>
        <filter val="4.42"/>
        <filter val="4.43"/>
        <filter val="4.5"/>
        <filter val="4.62"/>
        <filter val="4.63"/>
        <filter val="4.68"/>
        <filter val="4.77"/>
        <filter val="4.8"/>
        <filter val="4.84"/>
        <filter val="4.86"/>
        <filter val="4.92"/>
        <filter val="4.96"/>
        <filter val="4.98"/>
        <filter val="4.99"/>
        <filter val="40"/>
        <filter val="40.3"/>
        <filter val="400"/>
        <filter val="400.932"/>
        <filter val="4000"/>
        <filter val="401.82"/>
        <filter val="402.3"/>
        <filter val="402.708"/>
        <filter val="403"/>
        <filter val="403.152"/>
        <filter val="403.25"/>
        <filter val="404.484"/>
        <filter val="405"/>
        <filter val="405.816"/>
        <filter val="405.9"/>
        <filter val="406"/>
        <filter val="406.5"/>
        <filter val="406.704"/>
        <filter val="407.148"/>
        <filter val="407.16"/>
        <filter val="408.036"/>
        <filter val="408.48"/>
        <filter val="408.924"/>
        <filter val="409.368"/>
        <filter val="409.5"/>
        <filter val="409.812"/>
        <filter val="41.72"/>
        <filter val="410.256"/>
        <filter val="410.7"/>
        <filter val="410.875"/>
        <filter val="411.144"/>
        <filter val="411.588"/>
        <filter val="412.032"/>
        <filter val="412.2"/>
        <filter val="412.92"/>
        <filter val="413.364"/>
        <filter val="413.808"/>
        <filter val="414"/>
        <filter val="414.252"/>
        <filter val="4140"/>
        <filter val="415.125"/>
        <filter val="415.584"/>
        <filter val="4158"/>
        <filter val="416.028"/>
        <filter val="416.25"/>
        <filter val="416.472"/>
        <filter val="416.916"/>
        <filter val="4160"/>
        <filter val="417"/>
        <filter val="417.36"/>
        <filter val="417.804"/>
        <filter val="418.248"/>
        <filter val="418.5"/>
        <filter val="418.692"/>
        <filter val="418.725"/>
        <filter val="419.4"/>
        <filter val="419.58"/>
        <filter val="4199.85"/>
        <filter val="42.34"/>
        <filter val="420"/>
        <filter val="420.024"/>
        <filter val="420.3"/>
        <filter val="420.468"/>
        <filter val="420.75"/>
        <filter val="420.912"/>
        <filter val="420.975"/>
        <filter val="4200"/>
        <filter val="421.65"/>
        <filter val="421.875"/>
        <filter val="422.244"/>
        <filter val="422.688"/>
        <filter val="422.775"/>
        <filter val="423"/>
        <filter val="423.132"/>
        <filter val="423.225"/>
        <filter val="423.45"/>
        <filter val="423.576"/>
        <filter val="423.9"/>
        <filter val="424.02"/>
        <filter val="425.025"/>
        <filter val="425.25"/>
        <filter val="425.352"/>
        <filter val="425.475"/>
        <filter val="425.7"/>
        <filter val="425.796"/>
        <filter val="426.375"/>
        <filter val="426.825"/>
        <filter val="427.05"/>
        <filter val="427.5"/>
        <filter val="427.95"/>
        <filter val="428.904"/>
        <filter val="429"/>
        <filter val="429.3"/>
        <filter val="429.875"/>
        <filter val="430"/>
        <filter val="430.1"/>
        <filter val="430.2"/>
        <filter val="432"/>
        <filter val="433.2"/>
        <filter val="433.35"/>
        <filter val="434.25"/>
        <filter val="434.7"/>
        <filter val="434.75"/>
        <filter val="435.15"/>
        <filter val="435.6"/>
        <filter val="4350"/>
        <filter val="436.05"/>
        <filter val="436.5"/>
        <filter val="436.6"/>
        <filter val="436.95"/>
        <filter val="437"/>
        <filter val="4370"/>
        <filter val="438.3"/>
        <filter val="438.75"/>
        <filter val="438.88"/>
        <filter val="439.2"/>
        <filter val="439.375"/>
        <filter val="44.1"/>
        <filter val="44.68"/>
        <filter val="44.75"/>
        <filter val="440.1"/>
        <filter val="441.45"/>
        <filter val="441.9"/>
        <filter val="442.35"/>
        <filter val="442.8"/>
        <filter val="442.84"/>
        <filter val="443.25"/>
        <filter val="443.7"/>
        <filter val="4435"/>
        <filter val="444.15"/>
        <filter val="444.6"/>
        <filter val="445.05"/>
        <filter val="445.075"/>
        <filter val="445.5"/>
        <filter val="445.95"/>
        <filter val="446.85"/>
        <filter val="447.3"/>
        <filter val="4478"/>
        <filter val="448.4"/>
        <filter val="449.55"/>
        <filter val="45"/>
        <filter val="45.22"/>
        <filter val="450"/>
        <filter val="450.475"/>
        <filter val="451.25"/>
        <filter val="454"/>
        <filter val="455"/>
        <filter val="455.5"/>
        <filter val="457.6"/>
        <filter val="458.12"/>
        <filter val="459"/>
        <filter val="459.68"/>
        <filter val="46.3"/>
        <filter val="46.7"/>
        <filter val="46.8"/>
        <filter val="46.9"/>
        <filter val="460"/>
        <filter val="4600"/>
        <filter val="461.76"/>
        <filter val="463.75"/>
        <filter val="463.84"/>
        <filter val="4640"/>
        <filter val="465"/>
        <filter val="466.2"/>
        <filter val="468.52"/>
        <filter val="4695"/>
        <filter val="47.2"/>
        <filter val="47.28"/>
        <filter val="47.6"/>
        <filter val="470"/>
        <filter val="470.11"/>
        <filter val="471.17"/>
        <filter val="471.64"/>
        <filter val="472.23"/>
        <filter val="472.68"/>
        <filter val="473.2"/>
        <filter val="475"/>
        <filter val="475.28"/>
        <filter val="475.94"/>
        <filter val="477.53"/>
        <filter val="477.88"/>
        <filter val="4775"/>
        <filter val="478.06"/>
        <filter val="478.92"/>
        <filter val="479.44"/>
        <filter val="479.65"/>
        <filter val="48.65"/>
        <filter val="48.87"/>
        <filter val="480"/>
        <filter val="480.71"/>
        <filter val="481.24"/>
        <filter val="481.77"/>
        <filter val="482.3"/>
        <filter val="482.83"/>
        <filter val="483.08"/>
        <filter val="483.36"/>
        <filter val="483.89"/>
        <filter val="4830"/>
        <filter val="484.42"/>
        <filter val="484.95"/>
        <filter val="485.16"/>
        <filter val="485.46"/>
        <filter val="485.48"/>
        <filter val="485.68"/>
        <filter val="486"/>
        <filter val="486.01"/>
        <filter val="486.54"/>
        <filter val="487.07"/>
        <filter val="487.24"/>
        <filter val="487.335"/>
        <filter val="488.13"/>
        <filter val="488.28"/>
        <filter val="488.66"/>
        <filter val="488.8"/>
        <filter val="489.19"/>
        <filter val="489.24"/>
        <filter val="489.32"/>
        <filter val="489.72"/>
        <filter val="489.78"/>
        <filter val="49.4"/>
        <filter val="49.65"/>
        <filter val="49.9"/>
        <filter val="490.25"/>
        <filter val="490.36"/>
        <filter val="490.86"/>
        <filter val="490.88"/>
        <filter val="491.31"/>
        <filter val="491.4"/>
        <filter val="491.84"/>
        <filter val="491.94"/>
        <filter val="492.37"/>
        <filter val="492.48"/>
        <filter val="492.9"/>
        <filter val="493"/>
        <filter val="493.02"/>
        <filter val="493.43"/>
        <filter val="493.48"/>
        <filter val="493.56"/>
        <filter val="493.96"/>
        <filter val="494"/>
        <filter val="494.1985"/>
        <filter val="494.49"/>
        <filter val="494.64"/>
        <filter val="495"/>
        <filter val="495.04"/>
        <filter val="495.18"/>
        <filter val="495.72"/>
        <filter val="496.08"/>
        <filter val="496.26"/>
        <filter val="496.61"/>
        <filter val="496.8"/>
        <filter val="497.14"/>
        <filter val="497.34"/>
        <filter val="497.67"/>
        <filter val="497.88"/>
        <filter val="498.2"/>
        <filter val="498.42"/>
        <filter val="498.73"/>
        <filter val="498.96"/>
        <filter val="499.2"/>
        <filter val="499.26"/>
        <filter val="499.5"/>
        <filter val="5.02"/>
        <filter val="5.18"/>
        <filter val="5.23"/>
        <filter val="5.38"/>
        <filter val="5.43"/>
        <filter val="5.45"/>
        <filter val="5.5"/>
        <filter val="5.72"/>
        <filter val="5.81"/>
        <filter val="5.95"/>
        <filter val="50"/>
        <filter val="50.48"/>
        <filter val="50.73"/>
        <filter val="500"/>
        <filter val="500.04"/>
        <filter val="500.58"/>
        <filter val="500.85"/>
        <filter val="500.94"/>
        <filter val="501.024"/>
        <filter val="501.12"/>
        <filter val="501.66"/>
        <filter val="502.2"/>
        <filter val="502.74"/>
        <filter val="502.84"/>
        <filter val="503.2"/>
        <filter val="503.28"/>
        <filter val="503.744"/>
        <filter val="503.82"/>
        <filter val="504.36"/>
        <filter val="504.832"/>
        <filter val="504.9"/>
        <filter val="505"/>
        <filter val="505.376"/>
        <filter val="505.44"/>
        <filter val="505.98"/>
        <filter val="506.52"/>
        <filter val="507.008"/>
        <filter val="507.06"/>
        <filter val="507.28"/>
        <filter val="507.6"/>
        <filter val="508.14"/>
        <filter val="508.64"/>
        <filter val="508.68"/>
        <filter val="509.22"/>
        <filter val="509.728"/>
        <filter val="509.76"/>
        <filter val="510.3"/>
        <filter val="510.84"/>
        <filter val="511.36"/>
        <filter val="511.38"/>
        <filter val="511.92"/>
        <filter val="512.46"/>
        <filter val="512.992"/>
        <filter val="513"/>
        <filter val="513.54"/>
        <filter val="514.08"/>
        <filter val="514.62"/>
        <filter val="5146.56"/>
        <filter val="515.16"/>
        <filter val="515.7"/>
        <filter val="516.24"/>
        <filter val="516.78"/>
        <filter val="516.8"/>
        <filter val="517.32"/>
        <filter val="517.86"/>
        <filter val="518.4"/>
        <filter val="518.94"/>
        <filter val="519.48"/>
        <filter val="519.52"/>
        <filter val="52.5"/>
        <filter val="520.02"/>
        <filter val="520.56"/>
        <filter val="520.608"/>
        <filter val="521.1"/>
        <filter val="521.64"/>
        <filter val="522.18"/>
        <filter val="522.24"/>
        <filter val="522.72"/>
        <filter val="5220"/>
        <filter val="523.26"/>
        <filter val="523.328"/>
        <filter val="523.8"/>
        <filter val="524"/>
        <filter val="524.34"/>
        <filter val="525.504"/>
        <filter val="525.96"/>
        <filter val="526.5"/>
        <filter val="526.77"/>
        <filter val="527"/>
        <filter val="527.04"/>
        <filter val="527.136"/>
        <filter val="527.58"/>
        <filter val="528"/>
        <filter val="528.12"/>
        <filter val="528.224"/>
        <filter val="529.2"/>
        <filter val="529.312"/>
        <filter val="53.84"/>
        <filter val="532.576"/>
        <filter val="533.725"/>
        <filter val="5331.1"/>
        <filter val="534.54"/>
        <filter val="536.31"/>
        <filter val="537.472"/>
        <filter val="539.85"/>
        <filter val="5391"/>
        <filter val="540"/>
        <filter val="540.8"/>
        <filter val="5400"/>
        <filter val="542.8"/>
        <filter val="543.46"/>
        <filter val="543.98"/>
        <filter val="544.57"/>
        <filter val="5450"/>
        <filter val="546.34"/>
        <filter val="546.94"/>
        <filter val="547.5"/>
        <filter val="547.52"/>
        <filter val="548.7"/>
        <filter val="549.44"/>
        <filter val="55"/>
        <filter val="55.04"/>
        <filter val="55.24"/>
        <filter val="551.06"/>
        <filter val="552.16"/>
        <filter val="552.24"/>
        <filter val="552.5"/>
        <filter val="553.42"/>
        <filter val="553.792"/>
        <filter val="554.01"/>
        <filter val="554.36"/>
        <filter val="555.78"/>
        <filter val="556.8"/>
        <filter val="556.96"/>
        <filter val="557.38"/>
        <filter val="557.4"/>
        <filter val="557.959"/>
        <filter val="559.91"/>
        <filter val="56"/>
        <filter val="56.55"/>
        <filter val="560.5"/>
        <filter val="5600"/>
        <filter val="561"/>
        <filter val="561.68"/>
        <filter val="563.58"/>
        <filter val="565"/>
        <filter val="567"/>
        <filter val="567.3"/>
        <filter val="567.6"/>
        <filter val="568"/>
        <filter val="57.48"/>
        <filter val="57.6"/>
        <filter val="572"/>
        <filter val="572.384"/>
        <filter val="5720"/>
        <filter val="575.4"/>
        <filter val="58"/>
        <filter val="58.5"/>
        <filter val="580"/>
        <filter val="582"/>
        <filter val="584.04"/>
        <filter val="585"/>
        <filter val="585.28"/>
        <filter val="5850"/>
        <filter val="588"/>
        <filter val="589"/>
        <filter val="591.3"/>
        <filter val="591.736"/>
        <filter val="591.975"/>
        <filter val="591240"/>
        <filter val="592.382"/>
        <filter val="592.65"/>
        <filter val="593.674"/>
        <filter val="595"/>
        <filter val="595.612"/>
        <filter val="5950"/>
        <filter val="596.258"/>
        <filter val="599.45"/>
        <filter val="6.02"/>
        <filter val="6.07"/>
        <filter val="6.22"/>
        <filter val="6.3"/>
        <filter val="6.44"/>
        <filter val="6.45"/>
        <filter val="6.48"/>
        <filter val="6.56"/>
        <filter val="6.78"/>
        <filter val="6.95"/>
        <filter val="60"/>
        <filter val="60.5"/>
        <filter val="60.9"/>
        <filter val="60.96"/>
        <filter val="600"/>
        <filter val="600.075"/>
        <filter val="600.134"/>
        <filter val="602.072"/>
        <filter val="602.775"/>
        <filter val="6066.45"/>
        <filter val="607.24"/>
        <filter val="607.525"/>
        <filter val="607.886"/>
        <filter val="608.475"/>
        <filter val="609.178"/>
        <filter val="609.9"/>
        <filter val="6090"/>
        <filter val="610.47"/>
        <filter val="611.116"/>
        <filter val="612.9"/>
        <filter val="613.05"/>
        <filter val="613.575"/>
        <filter val="613.7"/>
        <filter val="614.25"/>
        <filter val="616.55"/>
        <filter val="617.5"/>
        <filter val="617.625"/>
        <filter val="618.975"/>
        <filter val="619.4"/>
        <filter val="619.75"/>
        <filter val="619.875"/>
        <filter val="62.04"/>
        <filter val="62.4"/>
        <filter val="62.71"/>
        <filter val="62.87"/>
        <filter val="620"/>
        <filter val="620.825"/>
        <filter val="621.3"/>
        <filter val="622.25"/>
        <filter val="622.35"/>
        <filter val="623.2"/>
        <filter val="6237"/>
        <filter val="624.375"/>
        <filter val="624.625"/>
        <filter val="6240"/>
        <filter val="625.8"/>
        <filter val="626.05"/>
        <filter val="626.525"/>
        <filter val="628.9"/>
        <filter val="629.1"/>
        <filter val="629.13"/>
        <filter val="63.66"/>
        <filter val="630"/>
        <filter val="630.8"/>
        <filter val="631.125"/>
        <filter val="632.225"/>
        <filter val="6335"/>
        <filter val="634.6"/>
        <filter val="635.175"/>
        <filter val="635.85"/>
        <filter val="636"/>
        <filter val="636.5"/>
        <filter val="636.525"/>
        <filter val="637.875"/>
        <filter val="638.55"/>
        <filter val="639.225"/>
        <filter val="639.9"/>
        <filter val="64"/>
        <filter val="64.44"/>
        <filter val="640.575"/>
        <filter val="641.25"/>
        <filter val="642.675"/>
        <filter val="643.625"/>
        <filter val="644.575"/>
        <filter val="645.525"/>
        <filter val="646.475"/>
        <filter val="646.95"/>
        <filter val="647.425"/>
        <filter val="647.5"/>
        <filter val="648"/>
        <filter val="649.325"/>
        <filter val="649.8"/>
        <filter val="65"/>
        <filter val="650.275"/>
        <filter val="651.225"/>
        <filter val="651.7"/>
        <filter val="651.795"/>
        <filter val="6510.4"/>
        <filter val="652.4"/>
        <filter val="655.5"/>
        <filter val="656"/>
        <filter val="656.925"/>
        <filter val="657.875"/>
        <filter val="658.35"/>
        <filter val="659.775"/>
        <filter val="66.44"/>
        <filter val="661.675"/>
        <filter val="662.15"/>
        <filter val="662.625"/>
        <filter val="663.1"/>
        <filter val="665.475"/>
        <filter val="665.95"/>
        <filter val="6659.4"/>
        <filter val="666.425"/>
        <filter val="6670"/>
        <filter val="668.325"/>
        <filter val="669.275"/>
        <filter val="669.75"/>
        <filter val="67.46"/>
        <filter val="670.225"/>
        <filter val="670.7"/>
        <filter val="671.175"/>
        <filter val="671.65"/>
        <filter val="672.125"/>
        <filter val="673.075"/>
        <filter val="674.5"/>
        <filter val="674.975"/>
        <filter val="676.875"/>
        <filter val="677.825"/>
        <filter val="678.3"/>
        <filter val="678.775"/>
        <filter val="679.25"/>
        <filter val="679.725"/>
        <filter val="68"/>
        <filter val="68.52"/>
        <filter val="680"/>
        <filter val="680.675"/>
        <filter val="681.625"/>
        <filter val="682"/>
        <filter val="682.1"/>
        <filter val="683.525"/>
        <filter val="686.85"/>
        <filter val="690"/>
        <filter val="690.04"/>
        <filter val="695"/>
        <filter val="7.01"/>
        <filter val="7.07"/>
        <filter val="7.15"/>
        <filter val="7.16"/>
        <filter val="7.19"/>
        <filter val="7.3"/>
        <filter val="7.65"/>
        <filter val="7.66"/>
        <filter val="7.7"/>
        <filter val="7.8"/>
        <filter val="7.9"/>
        <filter val="7.91"/>
        <filter val="7.96"/>
        <filter val="70.79"/>
        <filter val="702.05"/>
        <filter val="7038"/>
        <filter val="71.9"/>
        <filter val="71.98"/>
        <filter val="7123.2"/>
        <filter val="720"/>
        <filter val="720.2"/>
        <filter val="725"/>
        <filter val="726"/>
        <filter val="729.04"/>
        <filter val="73.45"/>
        <filter val="73.6"/>
        <filter val="73.71"/>
        <filter val="731.12"/>
        <filter val="732.3"/>
        <filter val="7353.25"/>
        <filter val="736.84"/>
        <filter val="74.16"/>
        <filter val="742.04"/>
        <filter val="748.65"/>
        <filter val="748.8"/>
        <filter val="75"/>
        <filter val="75.3"/>
        <filter val="75.75"/>
        <filter val="75.95"/>
        <filter val="750"/>
        <filter val="754.05"/>
        <filter val="758.16"/>
        <filter val="76.57"/>
        <filter val="7682.5"/>
        <filter val="769.5"/>
        <filter val="777.92"/>
        <filter val="78.8"/>
        <filter val="786"/>
        <filter val="788.94"/>
        <filter val="7887.6"/>
        <filter val="795"/>
        <filter val="8.04"/>
        <filter val="8.07"/>
        <filter val="8.31"/>
        <filter val="8.33"/>
        <filter val="8.4"/>
        <filter val="8.46"/>
        <filter val="8.5"/>
        <filter val="8.53"/>
        <filter val="8.56"/>
        <filter val="8.63"/>
        <filter val="8.74"/>
        <filter val="8.75"/>
        <filter val="8.9"/>
        <filter val="8.95"/>
        <filter val="80"/>
        <filter val="800"/>
        <filter val="801.9"/>
        <filter val="81.52"/>
        <filter val="82.2"/>
        <filter val="8300"/>
        <filter val="84"/>
        <filter val="841.6"/>
        <filter val="847"/>
        <filter val="849"/>
        <filter val="85"/>
        <filter val="850"/>
        <filter val="8699"/>
        <filter val="87.72"/>
        <filter val="870"/>
        <filter val="873"/>
        <filter val="88.54"/>
        <filter val="88.64"/>
        <filter val="88.65"/>
        <filter val="8845"/>
        <filter val="89.9"/>
        <filter val="890"/>
        <filter val="890.4"/>
        <filter val="9.1"/>
        <filter val="9.12"/>
        <filter val="9.19"/>
        <filter val="9.2"/>
        <filter val="9.3"/>
        <filter val="9.4"/>
        <filter val="9.68"/>
        <filter val="9.72"/>
        <filter val="9.76"/>
        <filter val="9.85"/>
        <filter val="9.87"/>
        <filter val="9.96"/>
        <filter val="9.99"/>
        <filter val="90"/>
        <filter val="90.85"/>
        <filter val="900"/>
        <filter val="907.5"/>
        <filter val="91.23"/>
        <filter val="9100"/>
        <filter val="9156"/>
        <filter val="92.22"/>
        <filter val="920"/>
        <filter val="9345"/>
        <filter val="938"/>
        <filter val="95.7"/>
        <filter val="950"/>
        <filter val="96.6"/>
        <filter val="9640.4"/>
        <filter val="966.78"/>
        <filter val="97.64"/>
        <filter val="9794.4"/>
        <filter val="98.24"/>
        <filter val="98.4"/>
        <filter val="98.58"/>
        <filter val="981"/>
        <filter val="99"/>
        <filter val="99.5"/>
        <filter val="99.66"/>
        <filter val="995"/>
        <filter val="996"/>
      </filters>
    </filterColumn>
  </autoFilter>
  <tableColumns count="13">
    <tableColumn id="1" xr3:uid="{DC563F02-9C88-485B-82E1-DD8D1A21AB84}" uniqueName="1" name="SPECIFIC COST NAME / WORK BASED" queryTableFieldId="1" dataDxfId="217"/>
    <tableColumn id="2" xr3:uid="{B518DFA8-5120-44F3-8176-C0535A67599A}" uniqueName="2" name="ADDRESSING THE COST ITEM" queryTableFieldId="2" dataDxfId="216"/>
    <tableColumn id="3" xr3:uid="{9A1C390C-167A-49DE-ACE8-21F0A1DBE5D2}" uniqueName="3" name="PRINCIPLE OF WORKS" queryTableFieldId="3" dataDxfId="215"/>
    <tableColumn id="4" xr3:uid="{A1B21631-6166-45BD-96AF-82C49407E5BB}" uniqueName="4" name="DATE" queryTableFieldId="4" dataDxfId="47"/>
    <tableColumn id="5" xr3:uid="{C520B129-A250-4786-883A-7E2AE20643A8}" uniqueName="5" name="SUPPLIER NAME" queryTableFieldId="5" dataDxfId="214"/>
    <tableColumn id="6" xr3:uid="{73951F21-423E-4F19-8BEC-6EE187C8860F}" uniqueName="6" name="MATERIAL &amp; SERVICE" queryTableFieldId="6" dataDxfId="213"/>
    <tableColumn id="7" xr3:uid="{367BFAB7-4B83-4A95-823A-D01CDD8F0265}" uniqueName="7" name="ACCOUNT REF" queryTableFieldId="7"/>
    <tableColumn id="8" xr3:uid="{C703D52F-8BEC-469B-8727-6765C52098FF}" uniqueName="8" name="COST" queryTableFieldId="8"/>
    <tableColumn id="9" xr3:uid="{D2EFAC75-5477-4505-B80E-F05C526080DE}" uniqueName="9" name="YEAR" queryTableFieldId="9"/>
    <tableColumn id="10" xr3:uid="{A2548981-A31E-4423-B677-8E05D246C57A}" uniqueName="10" name="MONTH" queryTableFieldId="10"/>
    <tableColumn id="11" xr3:uid="{3AF223BE-6D59-4544-88C1-4E994AA91027}" uniqueName="11" name="WEEK" queryTableFieldId="11"/>
    <tableColumn id="12" xr3:uid="{854500E2-50D8-40B3-A773-AAF201FBE9C7}" uniqueName="12" name="MONTH-YEAR" queryTableFieldId="12"/>
    <tableColumn id="13" xr3:uid="{9C816BF1-0C2D-4946-9FF8-5B6B0BE68A8F}" uniqueName="13" name="PROJECT TYPE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67CA3-61B8-4209-9E80-543A8E2A1BF4}" name="Table111" displayName="Table111" ref="B2:AA1200" totalsRowShown="0" headerRowDxfId="212" dataDxfId="211">
  <autoFilter ref="B2:AA1200" xr:uid="{FFB726A3-F6C2-487A-A972-CDD7697D1349}"/>
  <sortState xmlns:xlrd2="http://schemas.microsoft.com/office/spreadsheetml/2017/richdata2" ref="B3:AA1200">
    <sortCondition ref="E2:E1200"/>
  </sortState>
  <tableColumns count="26">
    <tableColumn id="13" xr3:uid="{FEFC5838-8872-4995-9ADD-AAB515BA0877}" name="SPECIFIC NAME OF WORK" dataDxfId="210"/>
    <tableColumn id="14" xr3:uid="{CB059E8A-0951-47A2-95D4-72FBE6099FB3}" name="ADDRESSING THE COST ITEM" dataDxfId="209"/>
    <tableColumn id="15" xr3:uid="{60D116E4-D0F5-4E86-B8A7-1D3E80A9795F}" name="PRINCIPLE OF WORKS" dataDxfId="208"/>
    <tableColumn id="1" xr3:uid="{B82E2E04-8336-4868-ACF4-2CC0C16F69C1}" name="DATE Receipt" dataDxfId="207"/>
    <tableColumn id="2" xr3:uid="{07D8ECBE-DD0E-4E49-8B67-D5CD4890A2AB}" name="SUPPLIER" dataDxfId="206"/>
    <tableColumn id="3" xr3:uid="{B836AB45-6898-457B-B574-D5000C579314}" name="ORDER NO." dataDxfId="205"/>
    <tableColumn id="4" xr3:uid="{76B25B0C-D419-4942-ACD5-CA967D3DE8F2}" name="DESCRIPTION" dataDxfId="204"/>
    <tableColumn id="20" xr3:uid="{395B4FE5-5E6A-45C3-AAB2-2CCB98F777A6}" name="DELIVERY STATUS" dataDxfId="203"/>
    <tableColumn id="23" xr3:uid="{B17EB9CC-30BE-448F-89E9-9936F3FA6D6E}" name="ACCOUNT STATUS" dataDxfId="202"/>
    <tableColumn id="22" xr3:uid="{7E501826-59BB-40A3-8EF8-13BB93E32C15}" name="INTERVIEWED BY" dataDxfId="201"/>
    <tableColumn id="21" xr3:uid="{23253E67-24BC-481B-B026-705B288857A0}" name="ACCOUNT REF" dataDxfId="200"/>
    <tableColumn id="19" xr3:uid="{14994C05-E5E5-43E2-82EC-A50DFCED7B90}" name="Order Qty" dataDxfId="199"/>
    <tableColumn id="17" xr3:uid="{9AD2766A-A803-4C1D-91EA-5E93EC6259FC}" name="Qty" dataDxfId="198"/>
    <tableColumn id="26" xr3:uid="{1E62AB27-E154-4D52-A361-3331DFE61E01}" name="HGV" dataDxfId="197"/>
    <tableColumn id="7" xr3:uid="{68BC65A0-E973-41B2-B4FD-FD792ECE1A28}" name="Unit Price" dataDxfId="196"/>
    <tableColumn id="24" xr3:uid="{98557720-C78C-43A7-8515-22D8277100B7}" name="Delivery Cost" dataDxfId="195"/>
    <tableColumn id="25" xr3:uid="{23CF11B6-631B-47EA-8712-CB6F9CDF9C16}" name="Material / Service Costs" dataDxfId="194">
      <calculatedColumnFormula>IF(Table111[[#This Row],[Qty]]="","",Table111[[#This Row],[Qty]]*Table111[[#This Row],[Unit Price]])</calculatedColumnFormula>
    </tableColumn>
    <tableColumn id="5" xr3:uid="{00B7AD2B-AD61-4B07-B159-7FCB51A8FEBA}" name="COST" dataDxfId="193">
      <calculatedColumnFormula>IF(Table111[[#This Row],[Qty]]="","",Table111[[#This Row],[Qty]]*Table111[[#This Row],[Unit Price]]+Table111[[#This Row],[Delivery Cost]])</calculatedColumnFormula>
    </tableColumn>
    <tableColumn id="8" xr3:uid="{0D72C92F-3901-41BC-BE69-B2DFC568B2ED}" name="Ordered By" dataDxfId="192"/>
    <tableColumn id="6" xr3:uid="{79A849D7-6DC8-4A9F-B91D-5BE2359CDED1}" name="PAYMENT METHOD" dataDxfId="191"/>
    <tableColumn id="9" xr3:uid="{157FA61C-2DD7-4A48-8562-06AEA33E7B68}" name="Reusable Material" dataDxfId="190"/>
    <tableColumn id="16" xr3:uid="{072B3F8B-8D0F-46B7-8A04-A30426C33A8D}" name="NOTEs" dataDxfId="189"/>
    <tableColumn id="10" xr3:uid="{1AD7CDA1-8215-42CB-96CA-85834D461BBF}" name="YEAR" dataDxfId="188">
      <calculatedColumnFormula>IF(E3=0,"",YEAR(E3))</calculatedColumnFormula>
    </tableColumn>
    <tableColumn id="11" xr3:uid="{A561B1AE-99E3-489B-A696-FD0991CC8A24}" name="MONTH" dataDxfId="187">
      <calculatedColumnFormula>IF(E3=0,"",MONTH(E3))</calculatedColumnFormula>
    </tableColumn>
    <tableColumn id="12" xr3:uid="{96CE27A7-3DDA-485D-AB89-9B003A0F4A9D}" name="WEEK" dataDxfId="186">
      <calculatedColumnFormula>IF(E3=0,"",WEEKNUM(E3))</calculatedColumnFormula>
    </tableColumn>
    <tableColumn id="18" xr3:uid="{D24B3E77-5E7D-4190-9991-C086B647760C}" name="MONTH-YEAR" dataDxfId="185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CCA770C-DEB9-4429-8DD2-E132BEAE8CE2}" name="Table13" displayName="Table13" ref="B2:AV186" totalsRowShown="0" headerRowDxfId="184" headerRowBorderDxfId="183" tableBorderDxfId="182">
  <autoFilter ref="B2:AV186" xr:uid="{9CCA770C-DEB9-4429-8DD2-E132BEAE8CE2}"/>
  <tableColumns count="47">
    <tableColumn id="1" xr3:uid="{5414AB36-9659-45D6-98B9-12EDB5BB4DCF}" name="SPECIFIC COST NAME / WORK BASED"/>
    <tableColumn id="2" xr3:uid="{4CA85435-4F9D-422D-9F49-92CF0436460D}" name="ADDRESSING THE COST ITEM"/>
    <tableColumn id="3" xr3:uid="{25ADE705-AA7B-434C-B6FA-1B626CB8EBDE}" name="PRINCIPLE OF WORKS"/>
    <tableColumn id="4" xr3:uid="{69B4BE90-39F9-473E-87E3-80262DE07C5A}" name="Date to Hire (DH)" dataDxfId="181"/>
    <tableColumn id="21" xr3:uid="{FB5E4C64-CA53-4BDB-A459-127990594377}" name="Date of Planned Offhire (DoPO) / If Applicable" dataDxfId="180"/>
    <tableColumn id="5" xr3:uid="{4F06FEA3-6C21-48BC-91F3-01F35A3A12E1}" name="Actual Date to Offhire (ADtO)" dataDxfId="179"/>
    <tableColumn id="40" xr3:uid="{5EBEC66D-3B94-4551-A85A-52F48800C726}" name="HIRE STATUS" dataDxfId="178">
      <calculatedColumnFormula>IF(E3="","",IF(G3&lt;&gt;"","OFF-HIRED","ON HIRE"))</calculatedColumnFormula>
    </tableColumn>
    <tableColumn id="6" xr3:uid="{F700C1AF-B1EA-4154-BCF4-E4C977D871E0}" name="SUPPLIER NAME"/>
    <tableColumn id="7" xr3:uid="{BCB642FC-D88B-4CFB-975B-A7918BCED058}" name="HIRED EQUIPMENT"/>
    <tableColumn id="38" xr3:uid="{F8ECD5A2-4C93-49FF-A95E-54CF61697CE1}" name="Order Ref"/>
    <tableColumn id="39" xr3:uid="{F9EFE6D1-8C76-40E2-831E-D15D7B63BDD4}" name="NOTE"/>
    <tableColumn id="41" xr3:uid="{71DFCAA4-B337-47D2-8EB2-267717DF751A}" name="Delivery Status "/>
    <tableColumn id="47" xr3:uid="{93AA3332-EC7C-444F-8DB4-F9EB4FAF4604}" name="Location"/>
    <tableColumn id="8" xr3:uid="{7EB27A5D-5A24-4E88-A404-2CB3753E2B1C}" name="HGVs (Delivery)"/>
    <tableColumn id="24" xr3:uid="{EB604552-561C-45A6-81F4-7EAC34B18835}" name="HGVs (Collection)" dataDxfId="177">
      <calculatedColumnFormula>IF(O3=0,"",IF(G3&lt;&gt;"",O3,""))</calculatedColumnFormula>
    </tableColumn>
    <tableColumn id="23" xr3:uid="{E96164F8-5D2F-4DE9-8552-B77BFD2108A3}" name="HGVs (Total)" dataDxfId="176">
      <calculatedColumnFormula>IF(Table13[[#This Row],[HGVs (Collection)]]="",O3,Table13[[#This Row],[HGVs (Delivery)]]+Table13[[#This Row],[HGVs (Collection)]])</calculatedColumnFormula>
    </tableColumn>
    <tableColumn id="18" xr3:uid="{8A2746AD-06DC-466C-8775-06584AA07319}" name="ACCOUNT STATUS"/>
    <tableColumn id="19" xr3:uid="{7998179E-3597-4FB4-986F-0B346588582C}" name="INTERVIEWED BY"/>
    <tableColumn id="20" xr3:uid="{D1C6F0C2-E840-4566-BA84-0D0B5549703F}" name="ACCOUNT REF"/>
    <tableColumn id="9" xr3:uid="{6DF844F9-B43C-4BD1-9A40-F718AAB5B97E}" name="QUANTITY"/>
    <tableColumn id="10" xr3:uid="{B39035D0-AEF8-411E-8CF2-5783CAB3678E}" name="UPDATE"/>
    <tableColumn id="11" xr3:uid="{491D46AC-6D93-45ED-9018-A8A4EDA5BE2F}" name="UNITS" dataDxfId="175">
      <calculatedColumnFormula array="1">IF(Table13[[#This Row],[QUANTITY]]="","",IFERROR(IF(V3&lt;&gt;"",_xlfn.XLOOKUP(I3&amp;J3,PRICES!C:C&amp;PRICES!B:B,IF(PRICES!F:F&lt;&gt;"",PRICES!F:F,PRICES!E:E),"")),""))</calculatedColumnFormula>
    </tableColumn>
    <tableColumn id="12" xr3:uid="{0AE92FE3-49C8-43F3-A282-55F28CF3CA6A}" name="UNIT PRICE" dataDxfId="174">
      <calculatedColumnFormula array="1">IF(Table13[[#This Row],[QUANTITY]]="","",IFERROR(IF(U3&lt;&gt;"",_xlfn.XLOOKUP(I3&amp;J3&amp;V3,PRICES!C:C&amp;PRICES!B:B&amp;PRICES!D:D,PRICES!G:G,"")),""))</calculatedColumnFormula>
    </tableColumn>
    <tableColumn id="36" xr3:uid="{CD3939F1-1673-44FE-BA67-3A7F48797255}" name="Hourly Cost" dataDxfId="173">
      <calculatedColumnFormula>IF(LOWER(W3)="hourly",IF(G3&lt;&gt;"",IF(G3&gt;=F3,FLOOR((G3-E3)*24,1),FLOOR((F3-E3)*24,1)),FLOOR((TODAY()-E3)*24,1))*U3*X3,"")</calculatedColumnFormula>
    </tableColumn>
    <tableColumn id="35" xr3:uid="{353BDB9C-F2E0-491D-BDF6-913F1ECC132F}" name="Daily Cost" dataDxfId="172">
      <calculatedColumnFormula>IF(LOWER(W3)="daily",IF(G3&lt;&gt;"",IF(G3&gt;=F3,(G3-E3),(F3-E3)),TODAY()-E3)*U3*X3,"")</calculatedColumnFormula>
    </tableColumn>
    <tableColumn id="34" xr3:uid="{8D0A84ED-6883-4C11-9920-F6DB321B18CD}" name="Weekly Cost" dataDxfId="171">
      <calculatedColumnFormula>IF(LOWER(W3)="weekly",IF(G3&lt;&gt;"",IF(G3&gt;=F3,FLOOR((G3-E3)/7,1),FLOOR((F3-E3)/7,1)),FLOOR((TODAY()-E3)/7,1))*U3*X3,"")</calculatedColumnFormula>
    </tableColumn>
    <tableColumn id="33" xr3:uid="{5EF285EC-15B3-485D-8166-4D5FAF557147}" name="Monthly Cost" dataDxfId="170">
      <calculatedColumnFormula>IF(LOWER(W3)="monthly",IF(G3&lt;&gt;"",IF(G3&gt;=F3,FLOOR((G3-E3)/30,1),FLOOR((F3-E3)/30,1)),FLOOR((TODAY()-E3)/30,1))*U3*X3,"")</calculatedColumnFormula>
    </tableColumn>
    <tableColumn id="42" xr3:uid="{23FB16CE-6467-4230-8EAA-DD67F7D72673}" name="Yearly Cost" dataDxfId="169">
      <calculatedColumnFormula>IF(LOWER(W3)="yearly",
  IF(G3&lt;&gt;"",
    IF(G3&gt;=F3, FLOOR((G3-E3)/365,1), FLOOR((F3-E3)/365,1)),
    FLOOR((TODAY()-E3)/365,1)
  )*U3*V3*X3,
"")</calculatedColumnFormula>
    </tableColumn>
    <tableColumn id="37" xr3:uid="{0ABD6A70-7DBB-4DCB-9BAC-8C7A56A52B6A}" name="One-off Cost" dataDxfId="168">
      <calculatedColumnFormula>IF(Table13[[#This Row],[QUANTITY]]="","",
  IF(AND(Y3="",Z3="",AA3="",AB3="",AC3=""),
    U3*X3,
  ""))</calculatedColumnFormula>
    </tableColumn>
    <tableColumn id="13" xr3:uid="{9614A9D0-AF0B-4600-B25E-8BC82BB926E2}" name="TOTAL HIRE COST" dataDxfId="167">
      <calculatedColumnFormula>IF(Y3&lt;&gt;"",Y3,IF(Z3&lt;&gt;"",Z3,IF(AA3&lt;&gt;"",AA3,IF(AB3&lt;&gt;"",AB3,IF(AC3&lt;&gt;"",AC3,IF(AD3&lt;&gt;"",AD3,""))))))</calculatedColumnFormula>
    </tableColumn>
    <tableColumn id="43" xr3:uid="{F3E50669-487E-44D7-9713-17A83E85EB7B}" name="TOTAL HIRE WEEKLY COST" dataDxfId="166">
      <calculatedColumnFormula>IF(E3="","",
IF(OR(G3="",A$1&lt;G3),
IF(LOWER(W3)="hourly", X3*U3*8*7,
IF(LOWER(W3)="daily", X3*U3*7,
IF(LOWER(W3)="weekly", X3*U3,
IF(LOWER(W3)="monthly", X3*U3*12/52,
IF(LOWER(W3)="yearly", X3*U3/52,
IF(LOWER(W3)="one-off", X3*U3,
"")))))),
""))</calculatedColumnFormula>
    </tableColumn>
    <tableColumn id="44" xr3:uid="{3D369E4F-944C-48A4-9FF3-349060B04B66}" name="DELIVERY COST" dataDxfId="165">
      <calculatedColumnFormula array="1">IF(Table13[[#This Row],[TOTAL HIRE COST]]="","",IFERROR(IF(U3&lt;&gt;"",_xlfn.XLOOKUP(J3&amp;I3&amp;V3,PRICES!B:B&amp;PRICES!C:C&amp;PRICES!D:D,PRICES!H:H,"")),""))</calculatedColumnFormula>
    </tableColumn>
    <tableColumn id="45" xr3:uid="{51B0FD8A-96C0-42A3-A70E-14DD77572AD8}" name="COLLECTION COST" dataDxfId="164">
      <calculatedColumnFormula array="1">IF(Table13[[#This Row],[TOTAL HIRE COST]]="","",IFERROR(IF(U3&lt;&gt;"",_xlfn.XLOOKUP(J3&amp;I3&amp;V3,PRICES!B:B&amp;PRICES!C:C&amp;PRICES!D:D,PRICES!I:I,"")),""))</calculatedColumnFormula>
    </tableColumn>
    <tableColumn id="46" xr3:uid="{9F9947B1-513C-4109-AC69-C4F60417CCF7}" name="TOTAL COST" dataDxfId="163">
      <calculatedColumnFormula>IF(Table13[[#This Row],[TOTAL HIRE COST]]="","",Table13[[#This Row],[TOTAL HIRE COST]]+Table13[[#This Row],[DELIVERY COST]]+Table13[[#This Row],[COLLECTION COST]])</calculatedColumnFormula>
    </tableColumn>
    <tableColumn id="14" xr3:uid="{C5E80806-1920-4C77-AEB5-26C94F051AAF}" name="YEAR" dataDxfId="162">
      <calculatedColumnFormula>IF(Table13[[#This Row],[Date to Hire (DH)]]="","",YEAR(Table13[[#This Row],[Date to Hire (DH)]]))</calculatedColumnFormula>
    </tableColumn>
    <tableColumn id="15" xr3:uid="{F7EA47E5-D391-4441-B9D1-3D2D720415AF}" name="MONTH" dataDxfId="161">
      <calculatedColumnFormula>IF(Table13[[#This Row],[Date to Hire (DH)]]="","",MONTH(Table13[[#This Row],[Date to Hire (DH)]]))</calculatedColumnFormula>
    </tableColumn>
    <tableColumn id="16" xr3:uid="{F605ED82-89B1-4A7F-95A2-C3F4777024BF}" name="WEEK" dataDxfId="160">
      <calculatedColumnFormula>IF(Table13[[#This Row],[Date to Hire (DH)]]="","",WEEKNUM(Table13[[#This Row],[Date to Hire (DH)]]))</calculatedColumnFormula>
    </tableColumn>
    <tableColumn id="17" xr3:uid="{017D4BFB-9785-433F-AE00-AE1FF2088C76}" name="MONTH-YEAR" dataDxfId="159">
      <calculatedColumnFormula>TEXT(Table13[[#This Row],[YEAR]],"0000")&amp;"-"&amp;Table13[[#This Row],[MONTH]]</calculatedColumnFormula>
    </tableColumn>
    <tableColumn id="25" xr3:uid="{5EA5B1D4-263B-4305-9CC7-A976B5A32A47}" name="YEAR2" dataDxfId="158">
      <calculatedColumnFormula>IF(Table13[[#This Row],[Date of Planned Offhire (DoPO) / If Applicable]]="","",YEAR(Table13[[#This Row],[Date of Planned Offhire (DoPO) / If Applicable]]))</calculatedColumnFormula>
    </tableColumn>
    <tableColumn id="26" xr3:uid="{47A9DA33-CD35-4E53-9444-B0D07BA3BADF}" name="MONTH2" dataDxfId="157">
      <calculatedColumnFormula>IF(Table13[[#This Row],[Date of Planned Offhire (DoPO) / If Applicable]]="","",MONTH(Table13[[#This Row],[Date of Planned Offhire (DoPO) / If Applicable]]))</calculatedColumnFormula>
    </tableColumn>
    <tableColumn id="27" xr3:uid="{2A4673A6-F15D-4509-BEB9-99A4DB4BB83F}" name="WEEK2" dataDxfId="156">
      <calculatedColumnFormula>IF(Table13[[#This Row],[Date of Planned Offhire (DoPO) / If Applicable]]="","",WEEKNUM(Table13[[#This Row],[Date of Planned Offhire (DoPO) / If Applicable]]))</calculatedColumnFormula>
    </tableColumn>
    <tableColumn id="28" xr3:uid="{D4E973FE-5A7A-4E7F-AF7B-8ADCA071FD9C}" name="MONTH-YEAR2" dataDxfId="155">
      <calculatedColumnFormula>TEXT(Table13[[#This Row],[YEAR2]],"0000")&amp;"-"&amp;Table13[[#This Row],[MONTH2]]</calculatedColumnFormula>
    </tableColumn>
    <tableColumn id="29" xr3:uid="{09507076-F345-4DDF-9676-4411CB0CCBAD}" name="YEAR3" dataDxfId="154">
      <calculatedColumnFormula>IF(Table13[[#This Row],[Actual Date to Offhire (ADtO)]]="","",YEAR(Table13[[#This Row],[Actual Date to Offhire (ADtO)]]))</calculatedColumnFormula>
    </tableColumn>
    <tableColumn id="30" xr3:uid="{0EEC175F-8ABB-4A28-AE4C-7C1255F026EF}" name="MONTH3" dataDxfId="153">
      <calculatedColumnFormula>IF(Table13[[#This Row],[Actual Date to Offhire (ADtO)]]="","",MONTH(Table13[[#This Row],[Actual Date to Offhire (ADtO)]]))</calculatedColumnFormula>
    </tableColumn>
    <tableColumn id="31" xr3:uid="{5428677C-5BD8-40D8-BE1D-10F7B185ABEC}" name="WEEK3" dataDxfId="152">
      <calculatedColumnFormula>IF(Table13[[#This Row],[Actual Date to Offhire (ADtO)]]="","",WEEKNUM(Table13[[#This Row],[Actual Date to Offhire (ADtO)]]))</calculatedColumnFormula>
    </tableColumn>
    <tableColumn id="32" xr3:uid="{F06E3195-83F3-43A9-AD26-888649EA3199}" name="MONTH-YEAR3" dataDxfId="151">
      <calculatedColumnFormula>TEXT(Table13[[#This Row],[YEAR3]],"0000")&amp;"-"&amp;Table13[[#This Row],[MONTH3]]</calculatedColumnFormula>
    </tableColumn>
    <tableColumn id="22" xr3:uid="{B0B2AAE9-4D2A-4F5F-B466-60F64A9FAE70}" name="date slicer" dataDxfId="150">
      <calculatedColumnFormula>IF(E3="",0,
  IF('Delivery Report'!A$2*100+'Delivery Report'!A$5 &lt; YEAR(E3)*100+WEEKNUM(E3), 0,
    IF(OR(G3="", 'Delivery Report'!A$2*100+'Delivery Report'!A$5 &lt;= YEAR(G3)*100+WEEKNUM(G3)),
      IF(LOWER(W3)="hourly", U3*X3*56,
      IF(LOWER(W3)="daily", U3*X3*7,
      IF(LOWER(W3)="weekly", U3*X3,
      IF(LOWER(W3)="monthly", U3*X3*12/52,
      IF(LOWER(W3)="yearly", U3*X3/52,
      IF(LOWER(W3)="one-off", U3*X3,
      0)))))),
    0)))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0859CA4-82F3-441E-AA07-29E059FB70A9}" name="Table24" displayName="Table24" ref="B2:T48" totalsRowShown="0" headerRowDxfId="149" headerRowBorderDxfId="148" tableBorderDxfId="147">
  <autoFilter ref="B2:T48" xr:uid="{30859CA4-82F3-441E-AA07-29E059FB70A9}"/>
  <tableColumns count="19">
    <tableColumn id="1" xr3:uid="{E966C0CF-29AC-4A26-986E-0F431B3ED908}" name="SPECIFIC COST NAME / WORK BASED"/>
    <tableColumn id="9" xr3:uid="{FD5378EB-A6E0-478C-A170-910531ACF39B}" name="ADDRESSING THE COST ITEM"/>
    <tableColumn id="2" xr3:uid="{21DD3E81-04C3-48D8-AE09-163EB1DC1EEA}" name="PRINCIPLE OF WORKS"/>
    <tableColumn id="3" xr3:uid="{60619B97-C558-4398-AA28-E6B1D6703C03}" name="Contract Signature Date" dataDxfId="146"/>
    <tableColumn id="4" xr3:uid="{863821FE-CCCB-4600-B9C9-962FF6F9C383}" name="SUBCONTRACTOR/ CONTRACTOR"/>
    <tableColumn id="5" xr3:uid="{7D531796-7225-4722-B5EA-84C1B051C641}" name="PO NUMBER / CONTRACT REFERENCE"/>
    <tableColumn id="6" xr3:uid="{0ACDF6B4-0593-462F-A28A-57E0E8744D93}" name="DESCRIPTION OF CONTRACT"/>
    <tableColumn id="7" xr3:uid="{729C7922-5335-4793-8020-0B5EA0E425E6}" name="NOTE"/>
    <tableColumn id="8" xr3:uid="{E6294CF8-8DCA-4216-BB4B-3F94678BA5AD}" name="Quantity"/>
    <tableColumn id="10" xr3:uid="{52A5C6BE-545D-40CD-AFB1-882612B85954}" name="UNITS"/>
    <tableColumn id="11" xr3:uid="{BAE01FEB-BDCF-4276-9487-73B214097951}" name="UNIT PRICE" dataDxfId="145"/>
    <tableColumn id="12" xr3:uid="{08D96513-5D04-498B-AE0F-037245733567}" name="COST" dataDxfId="144">
      <calculatedColumnFormula>Table24[[#This Row],[Quantity]]*Table24[[#This Row],[UNIT PRICE]]</calculatedColumnFormula>
    </tableColumn>
    <tableColumn id="13" xr3:uid="{9C86B02B-3689-4D76-9331-3922367E047C}" name="ACCOUNT STATUS"/>
    <tableColumn id="14" xr3:uid="{4659C80F-ABB8-46A9-9706-1069298703AE}" name="SIGNED BY"/>
    <tableColumn id="15" xr3:uid="{6D4181A4-548B-40A0-A5F7-EC81748F4C43}" name="ACCOUNT REF"/>
    <tableColumn id="16" xr3:uid="{F3916A06-FF99-45D7-BE51-197AA8DA94DC}" name="YEAR">
      <calculatedColumnFormula>IF(Table24[[#This Row],[Contract Signature Date]]=0,"",YEAR(E3))</calculatedColumnFormula>
    </tableColumn>
    <tableColumn id="17" xr3:uid="{ED227F57-D47B-4961-9CA2-52DDCF843B98}" name="MONTH">
      <calculatedColumnFormula>IF(E3=0,"",MONTH(E3))</calculatedColumnFormula>
    </tableColumn>
    <tableColumn id="18" xr3:uid="{6214A0E7-B8C2-4CCE-9810-79C3EA22E5B9}" name="WEEK">
      <calculatedColumnFormula>IF(E3=0,"",WEEKNUM(E3))</calculatedColumnFormula>
    </tableColumn>
    <tableColumn id="19" xr3:uid="{9678BF03-6941-40D3-B3DF-070FAF715EFD}" name="MONTH-YEAR">
      <calculatedColumnFormula>TEXT(Table24[[#This Row],[YEAR]],"0000")&amp;"-"&amp;Table24[[#This Row],[MONTH]]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156A3FD-DC83-485D-99D1-BE065D404F7F}" name="HGV_Combined" displayName="HGV_Combined" ref="A1:D2" tableType="queryTable" insertRow="1" totalsRowShown="0">
  <autoFilter ref="A1:D2" xr:uid="{E156A3FD-DC83-485D-99D1-BE065D404F7F}"/>
  <tableColumns count="4">
    <tableColumn id="1" xr3:uid="{1D8A614C-E441-4233-97B4-E0B5FC7B4FCB}" uniqueName="1" name="PRINCIPLE OF WORKS" queryTableFieldId="1" dataDxfId="143"/>
    <tableColumn id="2" xr3:uid="{360E899D-2CEE-4055-8765-F4A732D5FBA9}" uniqueName="2" name="HGV COUNT" queryTableFieldId="2" dataDxfId="142"/>
    <tableColumn id="4" xr3:uid="{88444794-A381-418D-A0B3-364CEB05DFBD}" uniqueName="4" name="MOVEMENT TYPE" queryTableFieldId="4"/>
    <tableColumn id="7" xr3:uid="{90956F42-7B60-4E07-825A-FF595905182E}" uniqueName="7" name="MONTH-YEAR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1E8438-637B-47F6-AFA6-D2631EBA0FB3}" name="Table4" displayName="Table4" ref="B1:I658" totalsRowShown="0">
  <autoFilter ref="B1:I658" xr:uid="{071E8438-637B-47F6-AFA6-D2631EBA0FB3}"/>
  <tableColumns count="8">
    <tableColumn id="1" xr3:uid="{9F254130-7CF7-4BC4-989C-B07EE4C2E7AB}" name="MATERIAL"/>
    <tableColumn id="6" xr3:uid="{D0A4E9C0-987E-4180-A042-0F447667ED08}" name="SUPLLIER"/>
    <tableColumn id="4" xr3:uid="{821C62BF-4B3F-44BE-9A44-D87004011391}" name="PRICE UPDATE"/>
    <tableColumn id="2" xr3:uid="{787E050E-D651-4667-B2D4-CBE5F8DB7027}" name="UNIT"/>
    <tableColumn id="7" xr3:uid="{7C6B07E7-FC6B-4F79-8E60-57BF60C9438B}" name="Hire Type - If Applicable !"/>
    <tableColumn id="3" xr3:uid="{2E4BA40F-68B4-4907-BED4-691815CD1DFD}" name="UNIT PRICE" dataDxfId="141"/>
    <tableColumn id="9" xr3:uid="{72612D94-7C11-45E6-A0D8-B5B776F1A233}" name="Delivery Price" dataDxfId="140"/>
    <tableColumn id="8" xr3:uid="{4B3A03EF-4E56-4FF7-9541-863466BCA45C}" name="Collection Price" dataDxfId="13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E0436D1-FA38-4028-990A-2A39F96F0A20}" name="Table12" displayName="Table12" ref="B21:E370" totalsRowShown="0" headerRowDxfId="138" dataDxfId="137" tableBorderDxfId="136">
  <autoFilter ref="B21:E370" xr:uid="{5E0436D1-FA38-4028-990A-2A39F96F0A20}"/>
  <tableColumns count="4">
    <tableColumn id="1" xr3:uid="{9F936E6E-EEFF-4D02-99A8-65D6D2568D00}" name="MATERIALS / SERVICES" dataDxfId="135">
      <calculatedColumnFormula>IF('CATEGORY TABLES'!C2=0,"",'CATEGORY TABLES'!C2)</calculatedColumnFormula>
    </tableColumn>
    <tableColumn id="2" xr3:uid="{8E6A2B49-6350-427F-B35E-904FEF18EF09}" name="Total Cost / Material / Services" dataDxfId="134">
      <calculatedColumnFormula>IF(B22=0,"",SUMIFS(Table1[COST],Table1[MATERIAL &amp; SERVICE],Table12[[#This Row],[MATERIALS / SERVICES]]))</calculatedColumnFormula>
    </tableColumn>
    <tableColumn id="3" xr3:uid="{1C846800-7240-4D47-95FD-D69683D9974E}" name="Material Cost (MONTHLY)" dataDxfId="133">
      <calculatedColumnFormula>IF(B22=0,"",SUMIFS(Table1[COST],Table1[YEAR],'CHART1- MATERIAL&amp;SERVICE BASED'!$B$6,Table1[MONTH],'CHART1- MATERIAL&amp;SERVICE BASED'!$B$9,Table1[MATERIAL &amp; SERVICE],Table12[[#This Row],[MATERIALS / SERVICES]]))</calculatedColumnFormula>
    </tableColumn>
    <tableColumn id="4" xr3:uid="{9BD354D4-7867-4FBC-A860-E609C0065A71}" name="COST / Company   (MONTHLY)" dataDxfId="132">
      <calculatedColumnFormula>IF(B22=0,"",SUMIFS(Table1[COST],Table1[SUPPLIER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EC2AB1-3260-41E1-9385-F43C00A7EF45}" name="Table6" displayName="Table6" ref="B2:C22" totalsRowShown="0" headerRowDxfId="131">
  <autoFilter ref="B2:C22" xr:uid="{22EC2AB1-3260-41E1-9385-F43C00A7EF45}"/>
  <tableColumns count="2">
    <tableColumn id="1" xr3:uid="{11EBFBCD-BD96-4DFE-8F00-0E8915697592}" name="SPECIFIC WORKS - BUDGET BASED">
      <calculatedColumnFormula>'CATEGORY TABLES'!G2</calculatedColumnFormula>
    </tableColumn>
    <tableColumn id="2" xr3:uid="{D429A511-E706-4CA3-BA7B-B56C8299BA0D}" name="PRICE TOTAL" dataDxfId="130">
      <calculatedColumnFormula>IF(B3=0,"",SUMIFS(Table1[COST],Table1[SPECIFIC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5269D00-5E08-4B31-9DC3-416E3BF8AF61}" name="Table622" displayName="Table622" ref="B2:C26" totalsRowShown="0" headerRowDxfId="129">
  <autoFilter ref="B2:C26" xr:uid="{15269D00-5E08-4B31-9DC3-416E3BF8AF61}"/>
  <tableColumns count="2">
    <tableColumn id="1" xr3:uid="{B2357BE7-3685-469E-A769-91F12E8BF301}" name="SPECIFIC WORKS - BUDGET BASED">
      <calculatedColumnFormula>'CATEGORY TABLES'!E2</calculatedColumnFormula>
    </tableColumn>
    <tableColumn id="2" xr3:uid="{FF26FB3B-67BE-4EE8-8576-9BF7287E597B}" name="PRICE TOTAL" dataDxfId="128">
      <calculatedColumnFormula>IF(B3=0,"",SUMIFS(Table1[COST],Table1[PRINCIPLE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83D7121-EFFA-4176-B0B7-EDE20CD1757D}" name="Table18" displayName="Table18" ref="A8:C30" totalsRowShown="0" headerRowDxfId="127" headerRowBorderDxfId="126" tableBorderDxfId="125">
  <autoFilter ref="A8:C30" xr:uid="{583D7121-EFFA-4176-B0B7-EDE20CD1757D}"/>
  <tableColumns count="3">
    <tableColumn id="1" xr3:uid="{01DFD322-5B3F-4329-86AD-D6C813B94551}" name="SAMPLE PROJECT " dataDxfId="124"/>
    <tableColumn id="2" xr3:uid="{A41F1CD1-F65D-4229-9029-3D1D9F4982E1}" name="WEEK COST" dataDxfId="123"/>
    <tableColumn id="3" xr3:uid="{8533E0EC-0F3E-4321-83F2-139FF1344C4E}" name="TOTAL COST" dataDxfId="1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4490EC-69A7-4498-98D8-73FCB6AA9C99}" name="Table2" displayName="Table2" ref="B1:G100" totalsRowShown="0">
  <autoFilter ref="B1:G100" xr:uid="{B14490EC-69A7-4498-98D8-73FCB6AA9C99}"/>
  <tableColumns count="6">
    <tableColumn id="1" xr3:uid="{E6F89FF7-94D8-4871-9494-520682D672E1}" name="Company name" dataDxfId="121"/>
    <tableColumn id="2" xr3:uid="{7CFB346A-0FCA-4523-9C59-58E77D2D4BF4}" name="Authorized Person"/>
    <tableColumn id="3" xr3:uid="{819F1748-859C-40F4-AC29-896105423569}" name="phone"/>
    <tableColumn id="4" xr3:uid="{94EFB831-D443-4088-BE26-A81AA2EEFBC5}" name="E-mail"/>
    <tableColumn id="6" xr3:uid="{BD8E52CB-4909-4970-A7C5-B726F83D99F2}" name="Website"/>
    <tableColumn id="5" xr3:uid="{E3C2EF2E-937D-48BF-9C8A-3042E88A4E75}" name=" Location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552AA7-DB4A-4B17-91F9-7F9F0BDADF5D}" name="Table3" displayName="Table3" ref="C1:C350" totalsRowShown="0" headerRowDxfId="120">
  <autoFilter ref="C1:C350" xr:uid="{E3552AA7-DB4A-4B17-91F9-7F9F0BDADF5D}"/>
  <tableColumns count="1">
    <tableColumn id="1" xr3:uid="{607697D7-7E18-46B6-8924-9B20512B7F43}" name="MATERIAL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E02AB6-64A2-4EE4-BB98-654C094583C2}" name="Table5" displayName="Table5" ref="G1:G22" totalsRowShown="0" headerRowDxfId="119" headerRowBorderDxfId="118">
  <autoFilter ref="G1:G22" xr:uid="{56E02AB6-64A2-4EE4-BB98-654C094583C2}"/>
  <tableColumns count="1">
    <tableColumn id="1" xr3:uid="{A927A573-5A3D-492B-A1E7-B7589A17AF3C}" name="SPECIFIC NAME OF WORK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2358DD-9C83-4F27-BA46-E59AB2D23E78}" name="Table7" displayName="Table7" ref="K1:K27" totalsRowShown="0" headerRowDxfId="117">
  <autoFilter ref="K1:K27" xr:uid="{412358DD-9C83-4F27-BA46-E59AB2D23E78}"/>
  <tableColumns count="1">
    <tableColumn id="1" xr3:uid="{9482D3EF-00DB-4C50-9D24-1FFC7D8ABFEF}" name="SUPPLY CHAIN LIS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DAF2821-0F5D-4C54-A717-1D222783C8BA}" name="Table8" displayName="Table8" ref="M1:M350" totalsRowShown="0" dataDxfId="116">
  <autoFilter ref="M1:M350" xr:uid="{ADAF2821-0F5D-4C54-A717-1D222783C8BA}"/>
  <tableColumns count="1">
    <tableColumn id="1" xr3:uid="{A6012A4F-CFC3-448D-8EC8-A034859BDD6F}" name="EQUIPMENT" dataDxfId="115">
      <calculatedColumnFormula>IF(B2="YES",C2,"")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838911C-C119-4913-882D-61A9FBE58FA2}" name="Table14" displayName="Table14" ref="I1:I18" totalsRowShown="0" headerRowDxfId="114" dataDxfId="112" headerRowBorderDxfId="113" tableBorderDxfId="111" totalsRowBorderDxfId="110">
  <autoFilter ref="I1:I18" xr:uid="{9838911C-C119-4913-882D-61A9FBE58FA2}"/>
  <tableColumns count="1">
    <tableColumn id="1" xr3:uid="{F31557A2-8162-4E7A-8E83-D76E5993462C}" name="PERSONEL" dataDxfId="10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014C52-B2F7-4CDF-96D7-7C7EED9A6656}" name="Table15" displayName="Table15" ref="O1:O5" totalsRowShown="0" headerRowDxfId="108" headerRowBorderDxfId="107" tableBorderDxfId="106" totalsRowBorderDxfId="105">
  <autoFilter ref="O1:O5" xr:uid="{DF014C52-B2F7-4CDF-96D7-7C7EED9A6656}"/>
  <tableColumns count="1">
    <tableColumn id="1" xr3:uid="{318EE31F-687B-4426-BD56-68616A3336BE}" name="ACCOUNT REF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7860CD5-0C7F-40E2-8D36-9DD9AEDA7624}" name="Table16" displayName="Table16" ref="Q1:Q10" totalsRowShown="0" headerRowDxfId="104" dataDxfId="102" headerRowBorderDxfId="103" tableBorderDxfId="101" totalsRowBorderDxfId="100">
  <autoFilter ref="Q1:Q10" xr:uid="{37860CD5-0C7F-40E2-8D36-9DD9AEDA7624}"/>
  <tableColumns count="1">
    <tableColumn id="1" xr3:uid="{A03E9C37-6484-48B9-9E7D-97D2C52DA405}" name="ACCOUNT STATU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C01715-6EEE-4D8C-8B97-E2D076F7C756}" name="Table1618" displayName="Table1618" ref="E1:E30" totalsRowShown="0" headerRowDxfId="98" dataDxfId="96" headerRowBorderDxfId="97" tableBorderDxfId="95" totalsRowBorderDxfId="94">
  <autoFilter ref="E1:E30" xr:uid="{A9C01715-6EEE-4D8C-8B97-E2D076F7C756}"/>
  <tableColumns count="1">
    <tableColumn id="1" xr3:uid="{45A3B8E7-001A-4E8A-8C3A-08654E8198A3}" name="MAIN CATEGORIES OF COST" dataDxfId="9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96D1-920E-4131-8C6A-AC2CA8753D47}" name="Table1612" displayName="Table1612" ref="W1:W17" totalsRowShown="0" headerRowDxfId="92" dataDxfId="90" headerRowBorderDxfId="91" tableBorderDxfId="89" totalsRowBorderDxfId="88">
  <autoFilter ref="W1:W17" xr:uid="{D93B96D1-920E-4131-8C6A-AC2CA8753D47}"/>
  <tableColumns count="1">
    <tableColumn id="1" xr3:uid="{F7699CDC-27F5-47CD-BE5C-E81A0A0FB007}" name="DELIVERY STATUS" dataDxfId="8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89BD48F-6002-44C6-91C7-D4CB0AB387DE}" name="Table161220" displayName="Table161220" ref="AA1:AA10" totalsRowShown="0" headerRowDxfId="86" dataDxfId="84" headerRowBorderDxfId="85" tableBorderDxfId="83" totalsRowBorderDxfId="82">
  <autoFilter ref="AA1:AA10" xr:uid="{A89BD48F-6002-44C6-91C7-D4CB0AB387DE}"/>
  <tableColumns count="1">
    <tableColumn id="1" xr3:uid="{47974DC1-B033-4A34-BD07-EDFBFC64A112}" name="HIRE TYPE" dataDxfId="8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1269484-A832-424A-8FDD-24692A921E12}" name="Table20" displayName="Table20" ref="B1:B350" totalsRowShown="0" headerRowDxfId="80" dataDxfId="78" headerRowBorderDxfId="79" tableBorderDxfId="77">
  <autoFilter ref="B1:B350" xr:uid="{E1269484-A832-424A-8FDD-24692A921E12}"/>
  <tableColumns count="1">
    <tableColumn id="1" xr3:uid="{DD363652-266D-486C-A7F0-C8B81CF2F4C1}" name="IF /Hire Equipment" dataDxfId="7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717D3AC-1E2C-4BDF-B633-06FDCA20B7D6}" name="Table1623" displayName="Table1623" ref="AC1:AC14" totalsRowShown="0" headerRowDxfId="75" dataDxfId="73" headerRowBorderDxfId="74" tableBorderDxfId="72" totalsRowBorderDxfId="71">
  <autoFilter ref="AC1:AC14" xr:uid="{9717D3AC-1E2C-4BDF-B633-06FDCA20B7D6}"/>
  <tableColumns count="1">
    <tableColumn id="1" xr3:uid="{0EE4B6DA-1CEE-4F73-95C2-C2D8B5F54A8F}" name="LOCATION" dataDxfId="7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83E5613-349A-4AC4-96CF-0EED79304A7F}" name="Table162324" displayName="Table162324" ref="AE1:AE14" totalsRowShown="0" headerRowDxfId="69" dataDxfId="67" headerRowBorderDxfId="68" tableBorderDxfId="66" totalsRowBorderDxfId="65">
  <autoFilter ref="AE1:AE14" xr:uid="{A83E5613-349A-4AC4-96CF-0EED79304A7F}"/>
  <tableColumns count="1">
    <tableColumn id="1" xr3:uid="{F169D1D0-A009-4656-AAD3-2A679E41B731}" name="PROJECT INFO" dataDxfId="6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C86F32-F54B-44E5-B527-68DDC7D5A233}" name="Table9" displayName="Table9" ref="A1:C135" totalsRowShown="0">
  <autoFilter ref="A1:C135" xr:uid="{A7C86F32-F54B-44E5-B527-68DDC7D5A233}"/>
  <tableColumns count="3">
    <tableColumn id="1" xr3:uid="{A06B1750-B312-4ACD-8C4F-A4A18A20030A}" name="Version"/>
    <tableColumn id="2" xr3:uid="{17CAEF77-F3AF-45CA-96D5-CBC76BE45A0A}" name="Date"/>
    <tableColumn id="3" xr3:uid="{08B93D66-7B73-4857-8D5F-9E64D93C06C8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926" dT="2026-07-03T22:16:37.93" personId="{1942FD3E-2A12-4FE7-B50C-40482AA8AFA1}" id="{E9D19D63-1AB2-496F-8E0F-AAC5197433DB}">
    <text>Sample comment: verify cost allocation for this item.</text>
  </threadedComment>
  <threadedComment ref="B2157" dT="2026-07-03T22:08:40.09" personId="{1942FD3E-2A12-4FE7-B50C-40482AA8AFA1}" id="{F88B592C-7FA4-4B9C-A7D5-6C5CD3A7CDF3}">
    <text>Sample comment: check whether this belongs to PV or BESS scope.</text>
  </threadedComment>
  <threadedComment ref="U2189" dT="2026-07-03T21:46:52.05" personId="{1942FD3E-2A12-4FE7-B50C-40482AA8AFA1}" id="{31FBA132-A431-4A50-8214-812B7E484C60}">
    <text xml:space="preserve">13 of loads for the BESS foundations mate
</text>
  </threadedComment>
  <threadedComment ref="B2205" dT="2026-07-03T21:54:32.54" personId="{1942FD3E-2A12-4FE7-B50C-40482AA8AFA1}" id="{311F87AE-14C2-4482-8ADE-3E5FE53735D6}">
    <text xml:space="preserve"> This pump cost is not a running cost mate</text>
  </threadedComment>
  <threadedComment ref="B2221" dT="2026-07-03T21:50:33.98" personId="{1942FD3E-2A12-4FE7-B50C-40482AA8AFA1}" id="{54BBD3D4-3512-447C-BCFA-CCC6B53FCCA9}">
    <text>Sample comment: confirm supplier invoice reference.</text>
  </threadedComment>
  <threadedComment ref="B2229" dT="2026-07-03T21:48:44.63" personId="{1942FD3E-2A12-4FE7-B50C-40482AA8AFA1}" id="{531482BE-F59B-4326-8FA3-BEA771FBD589}">
    <text>Sample comment: review quantity against delivery note.</text>
  </threadedComment>
  <threadedComment ref="U2229" dT="2026-07-03T21:48:18.96" personId="{1942FD3E-2A12-4FE7-B50C-40482AA8AFA1}" id="{29B3486B-1E21-498A-9E56-C85425A2AAD5}">
    <text>Sample comment: pending PO confirmation.</text>
  </threadedComment>
  <threadedComment ref="J2241" dT="2026-07-03T22:11:55.48" personId="{1942FD3E-2A12-4FE7-B50C-40482AA8AFA1}" id="{6AE540FF-601D-452E-97D4-394F38B47FD7}">
    <text>Sample comment: verify cost allocation for this item.</text>
    <mentions>
      <mention mentionpersonId="{EE928A9C-205B-4413-91EF-1632833B486E}" mentionId="{194543EA-7CFD-4AAA-9CDA-1FFBD2C52B3E}" startIndex="0" length="21"/>
    </mentions>
  </threadedComment>
  <threadedComment ref="B2266" dT="2026-07-03T22:03:51.48" personId="{1942FD3E-2A12-4FE7-B50C-40482AA8AFA1}" id="{B01CC6E9-597F-4B8F-B074-39AA6269E4DC}">
    <text>Sample comment: check whether this belongs to PV or BESS scope.</text>
  </threadedComment>
  <threadedComment ref="B2285" dT="2026-07-03T22:06:44.72" personId="{1942FD3E-2A12-4FE7-B50C-40482AA8AFA1}" id="{FEC4F69D-E216-4FE7-A57C-BFD6A7DC1C37}">
    <text>Sample comment: confirm supplier invoice reference.</text>
  </threadedComment>
  <threadedComment ref="B2288" dT="2026-07-03T22:05:13.86" personId="{1942FD3E-2A12-4FE7-B50C-40482AA8AFA1}" id="{7238A273-F63D-4A45-87FF-016BE5505EB1}">
    <text>Sample comment: review quantity against delivery note.</text>
  </threadedComment>
  <threadedComment ref="D2291" dT="2026-07-03T22:05:48.74" personId="{1942FD3E-2A12-4FE7-B50C-40482AA8AFA1}" id="{D1E47C10-288D-4AE6-8D7C-D0EF11F67B75}">
    <text>Sample comment: pending PO confirmation.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4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4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table" Target="../tables/table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9.xml"/><Relationship Id="rId4" Type="http://schemas.openxmlformats.org/officeDocument/2006/relationships/table" Target="../tables/table1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2.xml"/><Relationship Id="rId4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ctrlProp" Target="../ctrlProps/ctrlProp21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vmlDrawing" Target="../drawings/vmlDrawing11.vml"/><Relationship Id="rId16" Type="http://schemas.openxmlformats.org/officeDocument/2006/relationships/table" Target="../tables/table26.xml"/><Relationship Id="rId1" Type="http://schemas.openxmlformats.org/officeDocument/2006/relationships/drawing" Target="../drawings/drawing24.xml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EC766-91CA-4983-A1B8-E321F78CD136}">
  <sheetPr codeName="Sheet4"/>
  <dimension ref="B3:F57"/>
  <sheetViews>
    <sheetView workbookViewId="0">
      <selection activeCell="J14" sqref="J14"/>
    </sheetView>
  </sheetViews>
  <sheetFormatPr defaultRowHeight="14.4" x14ac:dyDescent="0.3"/>
  <cols>
    <col min="2" max="2" width="10.5546875" customWidth="1"/>
  </cols>
  <sheetData>
    <row r="3" spans="2:6" ht="15" thickBot="1" x14ac:dyDescent="0.35"/>
    <row r="4" spans="2:6" x14ac:dyDescent="0.3">
      <c r="B4" s="6" t="s">
        <v>19</v>
      </c>
      <c r="D4" s="246" t="s">
        <v>0</v>
      </c>
      <c r="F4" s="6" t="s">
        <v>1</v>
      </c>
    </row>
    <row r="5" spans="2:6" x14ac:dyDescent="0.3">
      <c r="B5" s="7"/>
      <c r="D5" s="247"/>
      <c r="F5" s="7"/>
    </row>
    <row r="6" spans="2:6" x14ac:dyDescent="0.3">
      <c r="B6" s="7">
        <v>1</v>
      </c>
      <c r="D6" s="247">
        <v>2025</v>
      </c>
      <c r="F6" s="7">
        <v>1</v>
      </c>
    </row>
    <row r="7" spans="2:6" x14ac:dyDescent="0.3">
      <c r="B7" s="7">
        <v>2</v>
      </c>
      <c r="D7" s="247">
        <v>2026</v>
      </c>
      <c r="F7" s="7">
        <v>2</v>
      </c>
    </row>
    <row r="8" spans="2:6" x14ac:dyDescent="0.3">
      <c r="B8" s="7">
        <v>3</v>
      </c>
      <c r="D8" s="247">
        <v>2027</v>
      </c>
      <c r="F8" s="7">
        <v>3</v>
      </c>
    </row>
    <row r="9" spans="2:6" x14ac:dyDescent="0.3">
      <c r="B9" s="7">
        <v>4</v>
      </c>
      <c r="D9" s="247">
        <v>2028</v>
      </c>
      <c r="F9" s="7">
        <v>4</v>
      </c>
    </row>
    <row r="10" spans="2:6" x14ac:dyDescent="0.3">
      <c r="B10" s="7">
        <v>5</v>
      </c>
      <c r="D10" s="247">
        <v>2029</v>
      </c>
      <c r="F10" s="7">
        <v>5</v>
      </c>
    </row>
    <row r="11" spans="2:6" x14ac:dyDescent="0.3">
      <c r="B11" s="7">
        <v>6</v>
      </c>
      <c r="D11" s="247">
        <v>2030</v>
      </c>
      <c r="F11" s="7">
        <v>6</v>
      </c>
    </row>
    <row r="12" spans="2:6" x14ac:dyDescent="0.3">
      <c r="B12" s="7">
        <v>7</v>
      </c>
      <c r="D12" s="247">
        <v>2031</v>
      </c>
      <c r="F12" s="7">
        <v>7</v>
      </c>
    </row>
    <row r="13" spans="2:6" x14ac:dyDescent="0.3">
      <c r="B13" s="7">
        <v>8</v>
      </c>
      <c r="D13" s="247">
        <v>2032</v>
      </c>
      <c r="F13" s="7">
        <v>8</v>
      </c>
    </row>
    <row r="14" spans="2:6" x14ac:dyDescent="0.3">
      <c r="B14" s="7">
        <v>9</v>
      </c>
      <c r="D14" s="247">
        <v>2033</v>
      </c>
      <c r="F14" s="7">
        <v>9</v>
      </c>
    </row>
    <row r="15" spans="2:6" x14ac:dyDescent="0.3">
      <c r="B15" s="7">
        <v>10</v>
      </c>
      <c r="D15" s="247">
        <v>2034</v>
      </c>
      <c r="F15" s="7">
        <v>10</v>
      </c>
    </row>
    <row r="16" spans="2:6" ht="15" thickBot="1" x14ac:dyDescent="0.35">
      <c r="B16" s="7">
        <v>11</v>
      </c>
      <c r="D16" s="248">
        <v>2035</v>
      </c>
      <c r="F16" s="7">
        <v>11</v>
      </c>
    </row>
    <row r="17" spans="2:6" ht="15" thickBot="1" x14ac:dyDescent="0.35">
      <c r="B17" s="8">
        <v>12</v>
      </c>
      <c r="F17" s="7">
        <v>12</v>
      </c>
    </row>
    <row r="18" spans="2:6" x14ac:dyDescent="0.3">
      <c r="F18" s="7">
        <v>13</v>
      </c>
    </row>
    <row r="19" spans="2:6" x14ac:dyDescent="0.3">
      <c r="F19" s="7">
        <v>14</v>
      </c>
    </row>
    <row r="20" spans="2:6" x14ac:dyDescent="0.3">
      <c r="F20" s="7">
        <v>15</v>
      </c>
    </row>
    <row r="21" spans="2:6" x14ac:dyDescent="0.3">
      <c r="F21" s="7">
        <v>16</v>
      </c>
    </row>
    <row r="22" spans="2:6" x14ac:dyDescent="0.3">
      <c r="F22" s="7">
        <v>17</v>
      </c>
    </row>
    <row r="23" spans="2:6" x14ac:dyDescent="0.3">
      <c r="F23" s="7">
        <v>18</v>
      </c>
    </row>
    <row r="24" spans="2:6" x14ac:dyDescent="0.3">
      <c r="F24" s="7">
        <v>19</v>
      </c>
    </row>
    <row r="25" spans="2:6" x14ac:dyDescent="0.3">
      <c r="F25" s="7">
        <v>20</v>
      </c>
    </row>
    <row r="26" spans="2:6" x14ac:dyDescent="0.3">
      <c r="F26" s="7">
        <v>21</v>
      </c>
    </row>
    <row r="27" spans="2:6" x14ac:dyDescent="0.3">
      <c r="F27" s="7">
        <v>22</v>
      </c>
    </row>
    <row r="28" spans="2:6" x14ac:dyDescent="0.3">
      <c r="F28" s="7">
        <v>23</v>
      </c>
    </row>
    <row r="29" spans="2:6" x14ac:dyDescent="0.3">
      <c r="F29" s="7">
        <v>24</v>
      </c>
    </row>
    <row r="30" spans="2:6" x14ac:dyDescent="0.3">
      <c r="F30" s="7">
        <v>25</v>
      </c>
    </row>
    <row r="31" spans="2:6" x14ac:dyDescent="0.3">
      <c r="F31" s="7">
        <v>26</v>
      </c>
    </row>
    <row r="32" spans="2:6" x14ac:dyDescent="0.3">
      <c r="F32" s="7">
        <v>27</v>
      </c>
    </row>
    <row r="33" spans="6:6" x14ac:dyDescent="0.3">
      <c r="F33" s="7">
        <v>28</v>
      </c>
    </row>
    <row r="34" spans="6:6" x14ac:dyDescent="0.3">
      <c r="F34" s="7">
        <v>29</v>
      </c>
    </row>
    <row r="35" spans="6:6" x14ac:dyDescent="0.3">
      <c r="F35" s="7">
        <v>30</v>
      </c>
    </row>
    <row r="36" spans="6:6" x14ac:dyDescent="0.3">
      <c r="F36" s="7">
        <v>31</v>
      </c>
    </row>
    <row r="37" spans="6:6" x14ac:dyDescent="0.3">
      <c r="F37" s="7">
        <v>32</v>
      </c>
    </row>
    <row r="38" spans="6:6" x14ac:dyDescent="0.3">
      <c r="F38" s="7">
        <v>33</v>
      </c>
    </row>
    <row r="39" spans="6:6" x14ac:dyDescent="0.3">
      <c r="F39" s="7">
        <v>34</v>
      </c>
    </row>
    <row r="40" spans="6:6" x14ac:dyDescent="0.3">
      <c r="F40" s="7">
        <v>35</v>
      </c>
    </row>
    <row r="41" spans="6:6" x14ac:dyDescent="0.3">
      <c r="F41" s="7">
        <v>36</v>
      </c>
    </row>
    <row r="42" spans="6:6" x14ac:dyDescent="0.3">
      <c r="F42" s="7">
        <v>37</v>
      </c>
    </row>
    <row r="43" spans="6:6" x14ac:dyDescent="0.3">
      <c r="F43" s="7">
        <v>38</v>
      </c>
    </row>
    <row r="44" spans="6:6" x14ac:dyDescent="0.3">
      <c r="F44" s="7">
        <v>39</v>
      </c>
    </row>
    <row r="45" spans="6:6" x14ac:dyDescent="0.3">
      <c r="F45" s="7">
        <v>40</v>
      </c>
    </row>
    <row r="46" spans="6:6" x14ac:dyDescent="0.3">
      <c r="F46" s="7">
        <v>41</v>
      </c>
    </row>
    <row r="47" spans="6:6" x14ac:dyDescent="0.3">
      <c r="F47" s="7">
        <v>42</v>
      </c>
    </row>
    <row r="48" spans="6:6" x14ac:dyDescent="0.3">
      <c r="F48" s="7">
        <v>43</v>
      </c>
    </row>
    <row r="49" spans="6:6" x14ac:dyDescent="0.3">
      <c r="F49" s="7">
        <v>44</v>
      </c>
    </row>
    <row r="50" spans="6:6" x14ac:dyDescent="0.3">
      <c r="F50" s="7">
        <v>45</v>
      </c>
    </row>
    <row r="51" spans="6:6" x14ac:dyDescent="0.3">
      <c r="F51" s="7">
        <v>46</v>
      </c>
    </row>
    <row r="52" spans="6:6" x14ac:dyDescent="0.3">
      <c r="F52" s="7">
        <v>47</v>
      </c>
    </row>
    <row r="53" spans="6:6" x14ac:dyDescent="0.3">
      <c r="F53" s="7">
        <v>48</v>
      </c>
    </row>
    <row r="54" spans="6:6" x14ac:dyDescent="0.3">
      <c r="F54" s="7">
        <v>49</v>
      </c>
    </row>
    <row r="55" spans="6:6" x14ac:dyDescent="0.3">
      <c r="F55" s="7">
        <v>50</v>
      </c>
    </row>
    <row r="56" spans="6:6" x14ac:dyDescent="0.3">
      <c r="F56" s="7">
        <v>51</v>
      </c>
    </row>
    <row r="57" spans="6:6" x14ac:dyDescent="0.3">
      <c r="F57" s="8">
        <v>52</v>
      </c>
    </row>
  </sheetData>
  <pageMargins left="0.7" right="0.7" top="0.75" bottom="0.75" header="0.3" footer="0.3"/>
  <headerFooter>
    <oddHeader>&amp;L&amp;"Calibri"&amp;10&amp;K0000FF [RESTRICTED INTERNAL]&amp;1#_x000D_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B6310-0CE7-4DF8-88B7-985CAA8895AF}">
  <sheetPr codeName="Sheet9">
    <tabColor theme="1"/>
  </sheetPr>
  <dimension ref="A1"/>
  <sheetViews>
    <sheetView tabSelected="1" zoomScale="70" zoomScaleNormal="70" workbookViewId="0"/>
  </sheetViews>
  <sheetFormatPr defaultColWidth="8.88671875" defaultRowHeight="14.4" x14ac:dyDescent="0.3"/>
  <cols>
    <col min="1" max="27" width="3.33203125" style="252" customWidth="1"/>
    <col min="28" max="46" width="3.44140625" style="252" customWidth="1"/>
    <col min="47" max="54" width="2.44140625" style="252" customWidth="1"/>
    <col min="55" max="161" width="2.5546875" style="252" customWidth="1"/>
    <col min="162" max="16384" width="8.88671875" style="252"/>
  </cols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498DC-8E70-4FBC-9E6A-6F9F15FE1CD1}">
  <sheetPr codeName="Sheet12">
    <tabColor theme="1"/>
  </sheetPr>
  <dimension ref="E6:N75"/>
  <sheetViews>
    <sheetView zoomScale="85" zoomScaleNormal="85" workbookViewId="0">
      <pane ySplit="6" topLeftCell="A7" activePane="bottomLeft" state="frozen"/>
      <selection pane="bottomLeft"/>
    </sheetView>
  </sheetViews>
  <sheetFormatPr defaultColWidth="8.88671875" defaultRowHeight="14.4" x14ac:dyDescent="0.3"/>
  <cols>
    <col min="1" max="4" width="3.33203125" style="252" customWidth="1"/>
    <col min="5" max="5" width="9.33203125" style="252" bestFit="1" customWidth="1"/>
    <col min="6" max="6" width="12.77734375" style="269" bestFit="1" customWidth="1"/>
    <col min="7" max="7" width="3.33203125" style="252" customWidth="1"/>
    <col min="8" max="13" width="3.44140625" style="252" customWidth="1"/>
    <col min="14" max="14" width="0.33203125" style="273" customWidth="1"/>
    <col min="15" max="17" width="3.44140625" style="252" customWidth="1"/>
    <col min="18" max="18" width="2.33203125" style="252" customWidth="1"/>
    <col min="19" max="26" width="3.44140625" style="252" customWidth="1"/>
    <col min="27" max="34" width="2.44140625" style="252" customWidth="1"/>
    <col min="35" max="141" width="2.5546875" style="252" customWidth="1"/>
    <col min="142" max="16384" width="8.88671875" style="252"/>
  </cols>
  <sheetData>
    <row r="6" spans="5:9" ht="15" customHeight="1" x14ac:dyDescent="0.3"/>
    <row r="8" spans="5:9" ht="18" x14ac:dyDescent="0.35">
      <c r="E8" s="270" t="s">
        <v>340</v>
      </c>
      <c r="F8" s="271" t="s">
        <v>341</v>
      </c>
      <c r="H8" s="272"/>
      <c r="I8" s="272"/>
    </row>
    <row r="9" spans="5:9" x14ac:dyDescent="0.3">
      <c r="G9" s="272"/>
      <c r="H9" s="272"/>
      <c r="I9" s="272"/>
    </row>
    <row r="10" spans="5:9" x14ac:dyDescent="0.3">
      <c r="G10" s="272"/>
      <c r="H10" s="272"/>
      <c r="I10" s="272"/>
    </row>
    <row r="11" spans="5:9" x14ac:dyDescent="0.3">
      <c r="G11" s="272"/>
      <c r="H11" s="272"/>
      <c r="I11" s="272"/>
    </row>
    <row r="12" spans="5:9" x14ac:dyDescent="0.3">
      <c r="G12" s="272"/>
      <c r="H12" s="272"/>
      <c r="I12" s="272"/>
    </row>
    <row r="13" spans="5:9" x14ac:dyDescent="0.3">
      <c r="G13" s="272"/>
      <c r="H13" s="272"/>
      <c r="I13" s="272"/>
    </row>
    <row r="14" spans="5:9" x14ac:dyDescent="0.3">
      <c r="G14" s="272"/>
      <c r="H14" s="272"/>
      <c r="I14" s="272"/>
    </row>
    <row r="15" spans="5:9" x14ac:dyDescent="0.3">
      <c r="G15" s="272"/>
      <c r="H15" s="272"/>
      <c r="I15" s="272"/>
    </row>
    <row r="16" spans="5:9" x14ac:dyDescent="0.3">
      <c r="G16" s="272"/>
      <c r="H16" s="272"/>
      <c r="I16" s="272"/>
    </row>
    <row r="17" spans="7:9" x14ac:dyDescent="0.3">
      <c r="G17" s="272"/>
      <c r="H17" s="272"/>
      <c r="I17" s="272"/>
    </row>
    <row r="18" spans="7:9" x14ac:dyDescent="0.3">
      <c r="G18" s="272"/>
      <c r="H18" s="272"/>
      <c r="I18" s="272"/>
    </row>
    <row r="19" spans="7:9" x14ac:dyDescent="0.3">
      <c r="G19" s="272"/>
      <c r="H19" s="272"/>
      <c r="I19" s="272"/>
    </row>
    <row r="20" spans="7:9" x14ac:dyDescent="0.3">
      <c r="G20" s="272"/>
      <c r="H20" s="272"/>
      <c r="I20" s="272"/>
    </row>
    <row r="21" spans="7:9" x14ac:dyDescent="0.3">
      <c r="G21" s="272"/>
      <c r="H21" s="272"/>
      <c r="I21" s="272"/>
    </row>
    <row r="22" spans="7:9" x14ac:dyDescent="0.3">
      <c r="G22" s="272"/>
      <c r="H22" s="272"/>
      <c r="I22" s="272"/>
    </row>
    <row r="23" spans="7:9" x14ac:dyDescent="0.3">
      <c r="G23" s="272"/>
      <c r="H23" s="272"/>
      <c r="I23" s="272"/>
    </row>
    <row r="24" spans="7:9" x14ac:dyDescent="0.3">
      <c r="G24" s="272"/>
      <c r="H24" s="272"/>
      <c r="I24" s="272"/>
    </row>
    <row r="25" spans="7:9" x14ac:dyDescent="0.3">
      <c r="G25" s="272"/>
      <c r="H25" s="272"/>
      <c r="I25" s="272"/>
    </row>
    <row r="26" spans="7:9" x14ac:dyDescent="0.3">
      <c r="G26" s="272"/>
      <c r="H26" s="272"/>
      <c r="I26" s="272"/>
    </row>
    <row r="27" spans="7:9" x14ac:dyDescent="0.3">
      <c r="G27" s="272"/>
      <c r="H27" s="272"/>
      <c r="I27" s="272"/>
    </row>
    <row r="28" spans="7:9" x14ac:dyDescent="0.3">
      <c r="G28" s="272"/>
      <c r="H28" s="272"/>
      <c r="I28" s="272"/>
    </row>
    <row r="29" spans="7:9" x14ac:dyDescent="0.3">
      <c r="G29" s="272"/>
      <c r="H29" s="272"/>
      <c r="I29" s="272"/>
    </row>
    <row r="30" spans="7:9" x14ac:dyDescent="0.3">
      <c r="G30" s="272"/>
      <c r="H30" s="272"/>
      <c r="I30" s="272"/>
    </row>
    <row r="31" spans="7:9" x14ac:dyDescent="0.3">
      <c r="G31" s="272"/>
      <c r="H31" s="272"/>
      <c r="I31" s="272"/>
    </row>
    <row r="32" spans="7:9" x14ac:dyDescent="0.3">
      <c r="G32" s="272"/>
      <c r="H32" s="272"/>
      <c r="I32" s="272"/>
    </row>
    <row r="33" spans="7:9" x14ac:dyDescent="0.3">
      <c r="G33" s="272"/>
      <c r="H33" s="272"/>
      <c r="I33" s="272"/>
    </row>
    <row r="34" spans="7:9" x14ac:dyDescent="0.3">
      <c r="G34" s="272"/>
      <c r="H34" s="272"/>
      <c r="I34" s="272"/>
    </row>
    <row r="35" spans="7:9" x14ac:dyDescent="0.3">
      <c r="G35" s="272"/>
      <c r="H35" s="272"/>
      <c r="I35" s="272"/>
    </row>
    <row r="36" spans="7:9" x14ac:dyDescent="0.3">
      <c r="G36" s="272"/>
      <c r="H36" s="272"/>
      <c r="I36" s="272"/>
    </row>
    <row r="37" spans="7:9" x14ac:dyDescent="0.3">
      <c r="G37" s="272"/>
      <c r="H37" s="272"/>
      <c r="I37" s="272"/>
    </row>
    <row r="38" spans="7:9" x14ac:dyDescent="0.3">
      <c r="G38" s="272"/>
      <c r="H38" s="272"/>
      <c r="I38" s="272"/>
    </row>
    <row r="39" spans="7:9" x14ac:dyDescent="0.3">
      <c r="G39" s="272"/>
      <c r="H39" s="272"/>
      <c r="I39" s="272"/>
    </row>
    <row r="40" spans="7:9" x14ac:dyDescent="0.3">
      <c r="G40" s="272"/>
      <c r="H40" s="272"/>
      <c r="I40" s="272"/>
    </row>
    <row r="41" spans="7:9" x14ac:dyDescent="0.3">
      <c r="G41" s="272"/>
      <c r="H41" s="272"/>
      <c r="I41" s="272"/>
    </row>
    <row r="42" spans="7:9" x14ac:dyDescent="0.3">
      <c r="G42" s="272"/>
      <c r="H42" s="272"/>
      <c r="I42" s="272"/>
    </row>
    <row r="43" spans="7:9" x14ac:dyDescent="0.3">
      <c r="G43" s="272"/>
      <c r="H43" s="272"/>
      <c r="I43" s="272"/>
    </row>
    <row r="44" spans="7:9" x14ac:dyDescent="0.3">
      <c r="G44" s="272"/>
      <c r="H44" s="272"/>
      <c r="I44" s="272"/>
    </row>
    <row r="45" spans="7:9" x14ac:dyDescent="0.3">
      <c r="G45" s="272"/>
      <c r="H45" s="272"/>
      <c r="I45" s="272"/>
    </row>
    <row r="46" spans="7:9" x14ac:dyDescent="0.3">
      <c r="G46" s="272"/>
      <c r="H46" s="272"/>
      <c r="I46" s="272"/>
    </row>
    <row r="47" spans="7:9" x14ac:dyDescent="0.3">
      <c r="G47" s="272"/>
      <c r="H47" s="272"/>
      <c r="I47" s="272"/>
    </row>
    <row r="48" spans="7:9" x14ac:dyDescent="0.3">
      <c r="G48" s="272"/>
      <c r="H48" s="272"/>
      <c r="I48" s="272"/>
    </row>
    <row r="49" spans="7:9" x14ac:dyDescent="0.3">
      <c r="G49" s="272"/>
      <c r="H49" s="272"/>
      <c r="I49" s="272"/>
    </row>
    <row r="50" spans="7:9" x14ac:dyDescent="0.3">
      <c r="G50" s="272"/>
      <c r="H50" s="272"/>
      <c r="I50" s="272"/>
    </row>
    <row r="51" spans="7:9" x14ac:dyDescent="0.3">
      <c r="G51" s="272"/>
      <c r="H51" s="272"/>
      <c r="I51" s="272"/>
    </row>
    <row r="52" spans="7:9" x14ac:dyDescent="0.3">
      <c r="G52" s="272"/>
      <c r="H52" s="272"/>
      <c r="I52" s="272"/>
    </row>
    <row r="53" spans="7:9" x14ac:dyDescent="0.3">
      <c r="G53" s="272"/>
      <c r="H53" s="272"/>
      <c r="I53" s="272"/>
    </row>
    <row r="54" spans="7:9" x14ac:dyDescent="0.3">
      <c r="G54" s="272"/>
      <c r="H54" s="272"/>
      <c r="I54" s="272"/>
    </row>
    <row r="55" spans="7:9" x14ac:dyDescent="0.3">
      <c r="G55" s="272"/>
      <c r="H55" s="272"/>
      <c r="I55" s="272"/>
    </row>
    <row r="56" spans="7:9" x14ac:dyDescent="0.3">
      <c r="G56" s="272"/>
      <c r="H56" s="272"/>
      <c r="I56" s="272"/>
    </row>
    <row r="57" spans="7:9" x14ac:dyDescent="0.3">
      <c r="G57" s="272"/>
      <c r="H57" s="272"/>
      <c r="I57" s="272"/>
    </row>
    <row r="58" spans="7:9" x14ac:dyDescent="0.3">
      <c r="G58" s="272"/>
      <c r="H58" s="272"/>
      <c r="I58" s="272"/>
    </row>
    <row r="59" spans="7:9" x14ac:dyDescent="0.3">
      <c r="G59" s="272"/>
      <c r="H59" s="272"/>
      <c r="I59" s="272"/>
    </row>
    <row r="60" spans="7:9" x14ac:dyDescent="0.3">
      <c r="G60" s="272"/>
      <c r="H60" s="272"/>
      <c r="I60" s="272"/>
    </row>
    <row r="61" spans="7:9" x14ac:dyDescent="0.3">
      <c r="G61" s="272"/>
      <c r="H61" s="272"/>
      <c r="I61" s="272"/>
    </row>
    <row r="62" spans="7:9" x14ac:dyDescent="0.3">
      <c r="G62" s="272"/>
      <c r="H62" s="272"/>
      <c r="I62" s="272"/>
    </row>
    <row r="63" spans="7:9" x14ac:dyDescent="0.3">
      <c r="G63" s="272"/>
      <c r="H63" s="272"/>
      <c r="I63" s="272"/>
    </row>
    <row r="64" spans="7:9" x14ac:dyDescent="0.3">
      <c r="G64" s="272"/>
      <c r="H64" s="272"/>
      <c r="I64" s="272"/>
    </row>
    <row r="65" spans="7:9" x14ac:dyDescent="0.3">
      <c r="G65" s="272"/>
      <c r="H65" s="272"/>
      <c r="I65" s="272"/>
    </row>
    <row r="66" spans="7:9" x14ac:dyDescent="0.3">
      <c r="G66" s="272"/>
      <c r="H66" s="272"/>
      <c r="I66" s="272"/>
    </row>
    <row r="67" spans="7:9" x14ac:dyDescent="0.3">
      <c r="G67" s="272"/>
      <c r="H67" s="272"/>
      <c r="I67" s="272"/>
    </row>
    <row r="68" spans="7:9" x14ac:dyDescent="0.3">
      <c r="G68" s="272"/>
      <c r="H68" s="272"/>
      <c r="I68" s="272"/>
    </row>
    <row r="69" spans="7:9" x14ac:dyDescent="0.3">
      <c r="G69" s="272"/>
      <c r="H69" s="272"/>
      <c r="I69" s="272"/>
    </row>
    <row r="70" spans="7:9" x14ac:dyDescent="0.3">
      <c r="G70" s="272"/>
      <c r="H70" s="272"/>
      <c r="I70" s="272"/>
    </row>
    <row r="71" spans="7:9" x14ac:dyDescent="0.3">
      <c r="G71" s="272"/>
      <c r="H71" s="272"/>
      <c r="I71" s="272"/>
    </row>
    <row r="72" spans="7:9" x14ac:dyDescent="0.3">
      <c r="G72" s="272"/>
      <c r="H72" s="272"/>
      <c r="I72" s="272"/>
    </row>
    <row r="73" spans="7:9" x14ac:dyDescent="0.3">
      <c r="G73" s="272"/>
      <c r="H73" s="272"/>
      <c r="I73" s="272"/>
    </row>
    <row r="74" spans="7:9" x14ac:dyDescent="0.3">
      <c r="G74" s="272"/>
      <c r="H74" s="272"/>
      <c r="I74" s="272"/>
    </row>
    <row r="75" spans="7:9" x14ac:dyDescent="0.3">
      <c r="G75" s="272"/>
      <c r="H75" s="272"/>
      <c r="I75" s="272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D6D13-1669-4CAA-846E-10E74323F7DF}">
  <sheetPr codeName="Sheet26">
    <tabColor theme="1"/>
  </sheetPr>
  <dimension ref="A1"/>
  <sheetViews>
    <sheetView zoomScale="85" zoomScaleNormal="85" workbookViewId="0">
      <selection sqref="A1:XFD1048576"/>
    </sheetView>
  </sheetViews>
  <sheetFormatPr defaultColWidth="8.88671875" defaultRowHeight="14.4" x14ac:dyDescent="0.3"/>
  <cols>
    <col min="1" max="27" width="3.33203125" style="252" customWidth="1"/>
    <col min="28" max="46" width="3.44140625" style="252" customWidth="1"/>
    <col min="47" max="54" width="2.44140625" style="252" customWidth="1"/>
    <col min="55" max="161" width="2.5546875" style="252" customWidth="1"/>
    <col min="162" max="16384" width="8.88671875" style="252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Spinner 1">
              <controlPr defaultSize="0" autoPict="0">
                <anchor moveWithCells="1" sizeWithCells="1">
                  <from>
                    <xdr:col>7</xdr:col>
                    <xdr:colOff>182880</xdr:colOff>
                    <xdr:row>10</xdr:row>
                    <xdr:rowOff>121920</xdr:rowOff>
                  </from>
                  <to>
                    <xdr:col>8</xdr:col>
                    <xdr:colOff>152400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Spinner 2">
              <controlPr defaultSize="0" autoPict="0">
                <anchor moveWithCells="1" sizeWithCells="1">
                  <from>
                    <xdr:col>17</xdr:col>
                    <xdr:colOff>60960</xdr:colOff>
                    <xdr:row>10</xdr:row>
                    <xdr:rowOff>106680</xdr:rowOff>
                  </from>
                  <to>
                    <xdr:col>18</xdr:col>
                    <xdr:colOff>22860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5578-101F-493F-A93F-8CC2316E9605}">
  <sheetPr codeName="Sheet24">
    <tabColor theme="1"/>
  </sheetPr>
  <dimension ref="A1"/>
  <sheetViews>
    <sheetView zoomScale="85" zoomScaleNormal="85" workbookViewId="0">
      <selection activeCell="BD18" sqref="BD18"/>
    </sheetView>
  </sheetViews>
  <sheetFormatPr defaultColWidth="8.88671875" defaultRowHeight="14.4" x14ac:dyDescent="0.3"/>
  <cols>
    <col min="1" max="27" width="3.33203125" style="252" customWidth="1"/>
    <col min="28" max="46" width="3.44140625" style="252" customWidth="1"/>
    <col min="47" max="54" width="2.44140625" style="252" customWidth="1"/>
    <col min="55" max="161" width="2.5546875" style="252" customWidth="1"/>
    <col min="162" max="16384" width="8.88671875" style="252"/>
  </cols>
  <sheetData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A2D17-4602-440B-BB41-D0E1A2193F3B}">
  <sheetPr codeName="Sheet20">
    <tabColor theme="1"/>
  </sheetPr>
  <dimension ref="A1"/>
  <sheetViews>
    <sheetView zoomScale="85" zoomScaleNormal="85" workbookViewId="0"/>
  </sheetViews>
  <sheetFormatPr defaultColWidth="8.88671875" defaultRowHeight="14.4" x14ac:dyDescent="0.3"/>
  <cols>
    <col min="1" max="27" width="3.33203125" style="252" customWidth="1"/>
    <col min="28" max="46" width="3.44140625" style="252" customWidth="1"/>
    <col min="47" max="54" width="2.44140625" style="252" customWidth="1"/>
    <col min="55" max="161" width="2.5546875" style="252" customWidth="1"/>
    <col min="162" max="16384" width="8.88671875" style="252"/>
  </cols>
  <sheetData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71-949B-422A-82EF-E1792E74AB90}">
  <sheetPr codeName="Sheet21">
    <tabColor theme="1"/>
  </sheetPr>
  <dimension ref="A1"/>
  <sheetViews>
    <sheetView zoomScale="70" zoomScaleNormal="70" workbookViewId="0">
      <selection sqref="A1:XFD1048576"/>
    </sheetView>
  </sheetViews>
  <sheetFormatPr defaultColWidth="8.88671875" defaultRowHeight="14.4" x14ac:dyDescent="0.3"/>
  <cols>
    <col min="1" max="27" width="3.33203125" style="252" customWidth="1"/>
    <col min="28" max="46" width="3.44140625" style="252" customWidth="1"/>
    <col min="47" max="54" width="2.44140625" style="252" customWidth="1"/>
    <col min="55" max="161" width="2.5546875" style="252" customWidth="1"/>
    <col min="162" max="16384" width="8.88671875" style="252"/>
  </cols>
  <sheetData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1744D-EA8F-4F08-9C8C-56CB33B90F94}">
  <sheetPr codeName="Sheet19">
    <tabColor theme="1"/>
  </sheetPr>
  <dimension ref="A1"/>
  <sheetViews>
    <sheetView zoomScaleNormal="100" workbookViewId="0"/>
  </sheetViews>
  <sheetFormatPr defaultColWidth="8.88671875" defaultRowHeight="14.4" x14ac:dyDescent="0.3"/>
  <cols>
    <col min="1" max="27" width="3.33203125" style="251" customWidth="1"/>
    <col min="28" max="46" width="3.44140625" style="251" customWidth="1"/>
    <col min="47" max="54" width="2.44140625" style="251" customWidth="1"/>
    <col min="55" max="161" width="2.5546875" style="251" customWidth="1"/>
    <col min="162" max="16384" width="8.88671875" style="251"/>
  </cols>
  <sheetData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5319-A068-47FD-A88E-C98895004594}">
  <sheetPr codeName="Sheet30">
    <tabColor theme="1"/>
  </sheetPr>
  <dimension ref="A1"/>
  <sheetViews>
    <sheetView zoomScale="70" zoomScaleNormal="70" workbookViewId="0">
      <selection activeCell="BU31" sqref="BU31"/>
    </sheetView>
  </sheetViews>
  <sheetFormatPr defaultColWidth="8.88671875" defaultRowHeight="14.4" x14ac:dyDescent="0.3"/>
  <cols>
    <col min="1" max="27" width="3.33203125" style="252" customWidth="1"/>
    <col min="28" max="46" width="3.44140625" style="252" customWidth="1"/>
    <col min="47" max="54" width="2.44140625" style="252" customWidth="1"/>
    <col min="55" max="161" width="2.5546875" style="252" customWidth="1"/>
    <col min="162" max="16384" width="8.88671875" style="252"/>
  </cols>
  <sheetData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2E5E7-165A-4FB1-93C7-5F508372A95C}">
  <sheetPr codeName="Sheet5">
    <tabColor rgb="FF00B050"/>
    <pageSetUpPr fitToPage="1"/>
  </sheetPr>
  <dimension ref="A1:AD304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001" sqref="A3:A3001"/>
    </sheetView>
  </sheetViews>
  <sheetFormatPr defaultRowHeight="15" customHeight="1" x14ac:dyDescent="0.3"/>
  <cols>
    <col min="1" max="1" width="23.6640625" customWidth="1"/>
    <col min="2" max="2" width="39.88671875" customWidth="1"/>
    <col min="3" max="3" width="26.33203125" customWidth="1"/>
    <col min="4" max="4" width="30.6640625" customWidth="1"/>
    <col min="5" max="5" width="15.88671875" customWidth="1"/>
    <col min="6" max="6" width="27.44140625" customWidth="1"/>
    <col min="7" max="7" width="17.33203125" style="11" customWidth="1"/>
    <col min="8" max="8" width="13.44140625" style="11" customWidth="1"/>
    <col min="9" max="9" width="25.6640625" customWidth="1"/>
    <col min="10" max="10" width="68.109375" customWidth="1"/>
    <col min="11" max="11" width="36" style="11" customWidth="1"/>
    <col min="12" max="12" width="22.6640625" customWidth="1"/>
    <col min="16" max="16" width="8.88671875" customWidth="1"/>
    <col min="17" max="17" width="15.33203125" customWidth="1"/>
    <col min="18" max="18" width="17.33203125" customWidth="1"/>
    <col min="19" max="19" width="23" customWidth="1"/>
    <col min="20" max="20" width="22.6640625" style="96" customWidth="1"/>
    <col min="21" max="21" width="28.88671875" customWidth="1"/>
    <col min="22" max="22" width="22.5546875" hidden="1" customWidth="1"/>
    <col min="23" max="23" width="20.5546875" hidden="1" customWidth="1"/>
    <col min="24" max="24" width="22.88671875" style="44" hidden="1" customWidth="1"/>
    <col min="25" max="25" width="16.6640625" hidden="1" customWidth="1"/>
    <col min="26" max="26" width="9.88671875" customWidth="1"/>
    <col min="28" max="28" width="16.33203125" customWidth="1"/>
    <col min="29" max="29" width="9.88671875" customWidth="1"/>
    <col min="31" max="31" width="11.6640625" customWidth="1"/>
  </cols>
  <sheetData>
    <row r="1" spans="1:25" ht="15" customHeight="1" x14ac:dyDescent="0.35">
      <c r="A1" s="91" t="str">
        <f>"Version: "&amp;INDEX(Version!A:A,MATCH("zzz",Version!A:A,1))</f>
        <v>Version: v1.0</v>
      </c>
      <c r="B1" s="216" t="s">
        <v>27</v>
      </c>
      <c r="C1" s="216"/>
      <c r="D1" s="216"/>
      <c r="E1" s="86" t="s">
        <v>28</v>
      </c>
      <c r="F1" s="278" t="s">
        <v>29</v>
      </c>
      <c r="G1" s="278"/>
      <c r="H1" s="278"/>
      <c r="I1" s="278"/>
      <c r="J1" s="278"/>
      <c r="K1" s="278"/>
      <c r="L1" s="110"/>
      <c r="M1" s="93" t="s">
        <v>31</v>
      </c>
      <c r="N1" s="97" t="s">
        <v>32</v>
      </c>
      <c r="O1" s="98"/>
      <c r="P1" s="98"/>
      <c r="Q1" s="98"/>
      <c r="R1" s="99"/>
      <c r="S1" s="279" t="s">
        <v>30</v>
      </c>
      <c r="T1" s="280"/>
      <c r="U1" s="281"/>
      <c r="V1" s="275" t="s">
        <v>33</v>
      </c>
      <c r="W1" s="276"/>
      <c r="X1" s="276"/>
      <c r="Y1" s="277"/>
    </row>
    <row r="2" spans="1:25" ht="144" customHeight="1" x14ac:dyDescent="0.3">
      <c r="A2" s="181"/>
      <c r="B2" s="84" t="s">
        <v>34</v>
      </c>
      <c r="C2" s="26" t="s">
        <v>35</v>
      </c>
      <c r="D2" s="85" t="s">
        <v>36</v>
      </c>
      <c r="E2" s="87" t="s">
        <v>28</v>
      </c>
      <c r="F2" s="27" t="s">
        <v>37</v>
      </c>
      <c r="G2" s="197" t="s">
        <v>306</v>
      </c>
      <c r="H2" s="197" t="s">
        <v>376</v>
      </c>
      <c r="I2" s="27" t="s">
        <v>38</v>
      </c>
      <c r="J2" s="27" t="s">
        <v>39</v>
      </c>
      <c r="K2" s="197" t="s">
        <v>40</v>
      </c>
      <c r="L2" s="27" t="s">
        <v>156</v>
      </c>
      <c r="M2" s="94" t="s">
        <v>43</v>
      </c>
      <c r="N2" s="92" t="s">
        <v>44</v>
      </c>
      <c r="O2" s="92" t="s">
        <v>45</v>
      </c>
      <c r="P2" s="29" t="s">
        <v>46</v>
      </c>
      <c r="Q2" s="29" t="s">
        <v>47</v>
      </c>
      <c r="R2" s="29" t="s">
        <v>32</v>
      </c>
      <c r="S2" s="28" t="s">
        <v>73</v>
      </c>
      <c r="T2" s="28" t="s">
        <v>41</v>
      </c>
      <c r="U2" s="28" t="s">
        <v>42</v>
      </c>
      <c r="V2" s="30" t="s">
        <v>0</v>
      </c>
      <c r="W2" s="30" t="s">
        <v>19</v>
      </c>
      <c r="X2" s="30" t="s">
        <v>1</v>
      </c>
      <c r="Y2" s="30" t="s">
        <v>109</v>
      </c>
    </row>
    <row r="3" spans="1:25" ht="18" x14ac:dyDescent="0.35">
      <c r="A3" s="24"/>
      <c r="B3" s="38"/>
      <c r="C3" s="38"/>
      <c r="D3" s="38"/>
      <c r="E3" s="37"/>
      <c r="F3" s="38"/>
      <c r="G3" s="198"/>
      <c r="H3" s="198"/>
      <c r="I3" s="39"/>
      <c r="J3" s="38"/>
      <c r="K3" s="198"/>
      <c r="L3" s="38"/>
      <c r="M3" s="38"/>
      <c r="N3" s="38"/>
      <c r="O3" s="38"/>
      <c r="P3" s="40" t="str" cm="1">
        <f t="array" ref="P3">IF(N3="","",IFERROR(_xlfn.XLOOKUP(F3&amp;"|"&amp;J3&amp;"|"&amp;O3,PRICES!$C$2:$C$659&amp;"|"&amp;PRICES!$B$2:$B$659&amp;"|"&amp;PRICES!$D$2:$D$659,PRICES!$E$2:$E$659),"Not Found"))</f>
        <v/>
      </c>
      <c r="Q3" s="100" t="str">
        <f>IF(N3=0,"",SUMIFS(PRICES!$G$2:$G$658,PRICES!$B$2:$B$658,'MAIN TABLE-1 AUTOMATED'!J3,PRICES!$C$2:$C$658,'MAIN TABLE-1 AUTOMATED'!F3,PRICES!$D$2:$D$658,'MAIN TABLE-1 AUTOMATED'!O3))</f>
        <v/>
      </c>
      <c r="R3" s="41" t="str">
        <f>IF(Table1[[#This Row],[QUANTITY]]=0,"",Table1[[#This Row],[UNIT PRICE]]*Table1[[#This Row],[QUANTITY]])</f>
        <v/>
      </c>
      <c r="S3" s="89"/>
      <c r="T3" s="38"/>
      <c r="U3" s="43"/>
      <c r="V3" s="42" t="str">
        <f>IF(Table1[[#This Row],[DATE]]=0,"",YEAR(E3))</f>
        <v/>
      </c>
      <c r="W3" s="40" t="str">
        <f t="shared" ref="W3:W66" si="0">IF(E3=0,"",MONTH(E3))</f>
        <v/>
      </c>
      <c r="X3" s="40" t="str">
        <f t="shared" ref="X3:X66" si="1">IF(E3=0,"",WEEKNUM(E3))</f>
        <v/>
      </c>
      <c r="Y3" s="40" t="str">
        <f>TEXT(Table1[[#This Row],[YEAR]],"0000")&amp;"-"&amp;Table1[[#This Row],[MONTH]]</f>
        <v>-</v>
      </c>
    </row>
    <row r="4" spans="1:25" ht="18" x14ac:dyDescent="0.35">
      <c r="A4" s="24"/>
      <c r="B4" s="38"/>
      <c r="C4" s="38"/>
      <c r="D4" s="38"/>
      <c r="E4" s="37"/>
      <c r="F4" s="38"/>
      <c r="G4" s="198"/>
      <c r="H4" s="198"/>
      <c r="I4" s="39"/>
      <c r="J4" s="38"/>
      <c r="K4" s="198"/>
      <c r="L4" s="38"/>
      <c r="M4" s="38"/>
      <c r="N4" s="38"/>
      <c r="O4" s="38"/>
      <c r="P4" s="40" t="str" cm="1">
        <f t="array" ref="P4">IF(N4="","",IFERROR(_xlfn.XLOOKUP(F4&amp;"|"&amp;J4&amp;"|"&amp;O4,PRICES!$C$2:$C$659&amp;"|"&amp;PRICES!$B$2:$B$659&amp;"|"&amp;PRICES!$D$2:$D$659,PRICES!$E$2:$E$659),"Not Found"))</f>
        <v/>
      </c>
      <c r="Q4" s="100" t="str">
        <f>IF(N4=0,"",SUMIFS(PRICES!$G$2:$G$658,PRICES!$B$2:$B$658,'MAIN TABLE-1 AUTOMATED'!J4,PRICES!$C$2:$C$658,'MAIN TABLE-1 AUTOMATED'!F4,PRICES!$D$2:$D$658,'MAIN TABLE-1 AUTOMATED'!O4))</f>
        <v/>
      </c>
      <c r="R4" s="41" t="str">
        <f>IF(Table1[[#This Row],[QUANTITY]]=0,"",Table1[[#This Row],[UNIT PRICE]]*Table1[[#This Row],[QUANTITY]])</f>
        <v/>
      </c>
      <c r="S4" s="89"/>
      <c r="T4" s="38"/>
      <c r="U4" s="43"/>
      <c r="V4" s="42" t="str">
        <f>IF(Table1[[#This Row],[DATE]]=0,"",YEAR(E4))</f>
        <v/>
      </c>
      <c r="W4" s="40" t="str">
        <f t="shared" si="0"/>
        <v/>
      </c>
      <c r="X4" s="40" t="str">
        <f t="shared" si="1"/>
        <v/>
      </c>
      <c r="Y4" s="40" t="str">
        <f>TEXT(Table1[[#This Row],[YEAR]],"0000")&amp;"-"&amp;Table1[[#This Row],[MONTH]]</f>
        <v>-</v>
      </c>
    </row>
    <row r="5" spans="1:25" ht="18" x14ac:dyDescent="0.35">
      <c r="A5" s="24"/>
      <c r="B5" s="38"/>
      <c r="C5" s="38"/>
      <c r="D5" s="38"/>
      <c r="E5" s="37"/>
      <c r="F5" s="38"/>
      <c r="G5" s="198"/>
      <c r="H5" s="198"/>
      <c r="I5" s="39"/>
      <c r="J5" s="38"/>
      <c r="K5" s="198"/>
      <c r="L5" s="38"/>
      <c r="M5" s="38"/>
      <c r="N5" s="38"/>
      <c r="O5" s="38"/>
      <c r="P5" s="40" t="str" cm="1">
        <f t="array" ref="P5">IF(N5="","",IFERROR(_xlfn.XLOOKUP(F5&amp;"|"&amp;J5&amp;"|"&amp;O5,PRICES!$C$2:$C$659&amp;"|"&amp;PRICES!$B$2:$B$659&amp;"|"&amp;PRICES!$D$2:$D$659,PRICES!$E$2:$E$659),"Not Found"))</f>
        <v/>
      </c>
      <c r="Q5" s="100" t="str">
        <f>IF(N5=0,"",SUMIFS(PRICES!$G$2:$G$658,PRICES!$B$2:$B$658,'MAIN TABLE-1 AUTOMATED'!J5,PRICES!$C$2:$C$658,'MAIN TABLE-1 AUTOMATED'!F5,PRICES!$D$2:$D$658,'MAIN TABLE-1 AUTOMATED'!O5))</f>
        <v/>
      </c>
      <c r="R5" s="41" t="str">
        <f>IF(Table1[[#This Row],[QUANTITY]]=0,"",Table1[[#This Row],[UNIT PRICE]]*Table1[[#This Row],[QUANTITY]])</f>
        <v/>
      </c>
      <c r="S5" s="89"/>
      <c r="T5" s="38"/>
      <c r="U5" s="43"/>
      <c r="V5" s="42" t="str">
        <f>IF(Table1[[#This Row],[DATE]]=0,"",YEAR(E5))</f>
        <v/>
      </c>
      <c r="W5" s="40" t="str">
        <f t="shared" si="0"/>
        <v/>
      </c>
      <c r="X5" s="40" t="str">
        <f t="shared" si="1"/>
        <v/>
      </c>
      <c r="Y5" s="40" t="str">
        <f>TEXT(Table1[[#This Row],[YEAR]],"0000")&amp;"-"&amp;Table1[[#This Row],[MONTH]]</f>
        <v>-</v>
      </c>
    </row>
    <row r="6" spans="1:25" ht="18" x14ac:dyDescent="0.35">
      <c r="A6" s="24"/>
      <c r="B6" s="38"/>
      <c r="C6" s="38"/>
      <c r="D6" s="38"/>
      <c r="E6" s="37"/>
      <c r="F6" s="38"/>
      <c r="G6" s="198"/>
      <c r="H6" s="198"/>
      <c r="I6" s="39"/>
      <c r="J6" s="38"/>
      <c r="K6" s="198"/>
      <c r="L6" s="38"/>
      <c r="M6" s="38"/>
      <c r="N6" s="38"/>
      <c r="O6" s="38"/>
      <c r="P6" s="40" t="str" cm="1">
        <f t="array" ref="P6">IF(N6="","",IFERROR(_xlfn.XLOOKUP(F6&amp;"|"&amp;J6&amp;"|"&amp;O6,PRICES!$C$2:$C$659&amp;"|"&amp;PRICES!$B$2:$B$659&amp;"|"&amp;PRICES!$D$2:$D$659,PRICES!$E$2:$E$659),"Not Found"))</f>
        <v/>
      </c>
      <c r="Q6" s="100" t="str">
        <f>IF(N6=0,"",SUMIFS(PRICES!$G$2:$G$658,PRICES!$B$2:$B$658,'MAIN TABLE-1 AUTOMATED'!J6,PRICES!$C$2:$C$658,'MAIN TABLE-1 AUTOMATED'!F6,PRICES!$D$2:$D$658,'MAIN TABLE-1 AUTOMATED'!O6))</f>
        <v/>
      </c>
      <c r="R6" s="41" t="str">
        <f>IF(Table1[[#This Row],[QUANTITY]]=0,"",Table1[[#This Row],[UNIT PRICE]]*Table1[[#This Row],[QUANTITY]])</f>
        <v/>
      </c>
      <c r="S6" s="89"/>
      <c r="T6" s="38"/>
      <c r="U6" s="43"/>
      <c r="V6" s="42" t="str">
        <f>IF(Table1[[#This Row],[DATE]]=0,"",YEAR(E6))</f>
        <v/>
      </c>
      <c r="W6" s="40" t="str">
        <f t="shared" si="0"/>
        <v/>
      </c>
      <c r="X6" s="40" t="str">
        <f t="shared" si="1"/>
        <v/>
      </c>
      <c r="Y6" s="40" t="str">
        <f>TEXT(Table1[[#This Row],[YEAR]],"0000")&amp;"-"&amp;Table1[[#This Row],[MONTH]]</f>
        <v>-</v>
      </c>
    </row>
    <row r="7" spans="1:25" ht="18" x14ac:dyDescent="0.35">
      <c r="A7" s="24"/>
      <c r="B7" s="38"/>
      <c r="C7" s="38"/>
      <c r="D7" s="38"/>
      <c r="E7" s="37"/>
      <c r="F7" s="38"/>
      <c r="G7" s="198"/>
      <c r="H7" s="198"/>
      <c r="I7" s="39"/>
      <c r="J7" s="38"/>
      <c r="K7" s="198"/>
      <c r="L7" s="38"/>
      <c r="M7" s="38"/>
      <c r="N7" s="38"/>
      <c r="O7" s="38"/>
      <c r="P7" s="40" t="str" cm="1">
        <f t="array" ref="P7">IF(N7="","",IFERROR(_xlfn.XLOOKUP(F7&amp;"|"&amp;J7&amp;"|"&amp;O7,PRICES!$C$2:$C$659&amp;"|"&amp;PRICES!$B$2:$B$659&amp;"|"&amp;PRICES!$D$2:$D$659,PRICES!$E$2:$E$659),"Not Found"))</f>
        <v/>
      </c>
      <c r="Q7" s="100" t="str">
        <f>IF(N7=0,"",SUMIFS(PRICES!$G$2:$G$658,PRICES!$B$2:$B$658,'MAIN TABLE-1 AUTOMATED'!J7,PRICES!$C$2:$C$658,'MAIN TABLE-1 AUTOMATED'!F7,PRICES!$D$2:$D$658,'MAIN TABLE-1 AUTOMATED'!O7))</f>
        <v/>
      </c>
      <c r="R7" s="41" t="str">
        <f>IF(Table1[[#This Row],[QUANTITY]]=0,"",Table1[[#This Row],[UNIT PRICE]]*Table1[[#This Row],[QUANTITY]])</f>
        <v/>
      </c>
      <c r="S7" s="89"/>
      <c r="T7" s="38"/>
      <c r="U7" s="43"/>
      <c r="V7" s="42" t="str">
        <f>IF(Table1[[#This Row],[DATE]]=0,"",YEAR(E7))</f>
        <v/>
      </c>
      <c r="W7" s="40" t="str">
        <f t="shared" si="0"/>
        <v/>
      </c>
      <c r="X7" s="40" t="str">
        <f t="shared" si="1"/>
        <v/>
      </c>
      <c r="Y7" s="40" t="str">
        <f>TEXT(Table1[[#This Row],[YEAR]],"0000")&amp;"-"&amp;Table1[[#This Row],[MONTH]]</f>
        <v>-</v>
      </c>
    </row>
    <row r="8" spans="1:25" ht="18" x14ac:dyDescent="0.35">
      <c r="A8" s="24"/>
      <c r="B8" s="38"/>
      <c r="C8" s="38"/>
      <c r="D8" s="38"/>
      <c r="E8" s="37"/>
      <c r="F8" s="38"/>
      <c r="G8" s="198"/>
      <c r="H8" s="198"/>
      <c r="I8" s="39"/>
      <c r="J8" s="38"/>
      <c r="K8" s="198"/>
      <c r="L8" s="38"/>
      <c r="M8" s="38"/>
      <c r="N8" s="38"/>
      <c r="O8" s="38"/>
      <c r="P8" s="40" t="str" cm="1">
        <f t="array" ref="P8">IF(N8="","",IFERROR(_xlfn.XLOOKUP(F8&amp;"|"&amp;J8&amp;"|"&amp;O8,PRICES!$C$2:$C$659&amp;"|"&amp;PRICES!$B$2:$B$659&amp;"|"&amp;PRICES!$D$2:$D$659,PRICES!$E$2:$E$659),"Not Found"))</f>
        <v/>
      </c>
      <c r="Q8" s="100" t="str">
        <f>IF(N8=0,"",SUMIFS(PRICES!$G$2:$G$658,PRICES!$B$2:$B$658,'MAIN TABLE-1 AUTOMATED'!J8,PRICES!$C$2:$C$658,'MAIN TABLE-1 AUTOMATED'!F8,PRICES!$D$2:$D$658,'MAIN TABLE-1 AUTOMATED'!O8))</f>
        <v/>
      </c>
      <c r="R8" s="41" t="str">
        <f>IF(Table1[[#This Row],[QUANTITY]]=0,"",Table1[[#This Row],[UNIT PRICE]]*Table1[[#This Row],[QUANTITY]])</f>
        <v/>
      </c>
      <c r="S8" s="89"/>
      <c r="T8" s="38"/>
      <c r="U8" s="43"/>
      <c r="V8" s="42" t="str">
        <f>IF(Table1[[#This Row],[DATE]]=0,"",YEAR(E8))</f>
        <v/>
      </c>
      <c r="W8" s="40" t="str">
        <f t="shared" si="0"/>
        <v/>
      </c>
      <c r="X8" s="40" t="str">
        <f t="shared" si="1"/>
        <v/>
      </c>
      <c r="Y8" s="40" t="str">
        <f>TEXT(Table1[[#This Row],[YEAR]],"0000")&amp;"-"&amp;Table1[[#This Row],[MONTH]]</f>
        <v>-</v>
      </c>
    </row>
    <row r="9" spans="1:25" ht="18" x14ac:dyDescent="0.35">
      <c r="A9" s="24"/>
      <c r="B9" s="38"/>
      <c r="C9" s="38"/>
      <c r="D9" s="38"/>
      <c r="E9" s="37"/>
      <c r="F9" s="38"/>
      <c r="G9" s="198"/>
      <c r="H9" s="198"/>
      <c r="I9" s="39"/>
      <c r="J9" s="38"/>
      <c r="K9" s="198"/>
      <c r="L9" s="38"/>
      <c r="M9" s="38"/>
      <c r="N9" s="38"/>
      <c r="O9" s="38"/>
      <c r="P9" s="40" t="str" cm="1">
        <f t="array" ref="P9">IF(N9="","",IFERROR(_xlfn.XLOOKUP(F9&amp;"|"&amp;J9&amp;"|"&amp;O9,PRICES!$C$2:$C$659&amp;"|"&amp;PRICES!$B$2:$B$659&amp;"|"&amp;PRICES!$D$2:$D$659,PRICES!$E$2:$E$659),"Not Found"))</f>
        <v/>
      </c>
      <c r="Q9" s="100" t="str">
        <f>IF(N9=0,"",SUMIFS(PRICES!$G$2:$G$658,PRICES!$B$2:$B$658,'MAIN TABLE-1 AUTOMATED'!J9,PRICES!$C$2:$C$658,'MAIN TABLE-1 AUTOMATED'!F9,PRICES!$D$2:$D$658,'MAIN TABLE-1 AUTOMATED'!O9))</f>
        <v/>
      </c>
      <c r="R9" s="41" t="str">
        <f>IF(Table1[[#This Row],[QUANTITY]]=0,"",Table1[[#This Row],[UNIT PRICE]]*Table1[[#This Row],[QUANTITY]])</f>
        <v/>
      </c>
      <c r="S9" s="89"/>
      <c r="T9" s="38"/>
      <c r="U9" s="43"/>
      <c r="V9" s="42" t="str">
        <f>IF(Table1[[#This Row],[DATE]]=0,"",YEAR(E9))</f>
        <v/>
      </c>
      <c r="W9" s="40" t="str">
        <f t="shared" si="0"/>
        <v/>
      </c>
      <c r="X9" s="40" t="str">
        <f t="shared" si="1"/>
        <v/>
      </c>
      <c r="Y9" s="40" t="str">
        <f>TEXT(Table1[[#This Row],[YEAR]],"0000")&amp;"-"&amp;Table1[[#This Row],[MONTH]]</f>
        <v>-</v>
      </c>
    </row>
    <row r="10" spans="1:25" ht="18" x14ac:dyDescent="0.35">
      <c r="A10" s="24"/>
      <c r="B10" s="38"/>
      <c r="C10" s="38"/>
      <c r="D10" s="38"/>
      <c r="E10" s="37"/>
      <c r="F10" s="38"/>
      <c r="G10" s="198"/>
      <c r="H10" s="198"/>
      <c r="I10" s="39"/>
      <c r="J10" s="38"/>
      <c r="K10" s="198"/>
      <c r="L10" s="38"/>
      <c r="M10" s="38"/>
      <c r="N10" s="38"/>
      <c r="O10" s="38"/>
      <c r="P10" s="40" t="str" cm="1">
        <f t="array" ref="P10">IF(N10="","",IFERROR(_xlfn.XLOOKUP(F10&amp;"|"&amp;J10&amp;"|"&amp;O10,PRICES!$C$2:$C$659&amp;"|"&amp;PRICES!$B$2:$B$659&amp;"|"&amp;PRICES!$D$2:$D$659,PRICES!$E$2:$E$659),"Not Found"))</f>
        <v/>
      </c>
      <c r="Q10" s="100" t="str">
        <f>IF(N10=0,"",SUMIFS(PRICES!$G$2:$G$658,PRICES!$B$2:$B$658,'MAIN TABLE-1 AUTOMATED'!J10,PRICES!$C$2:$C$658,'MAIN TABLE-1 AUTOMATED'!F10,PRICES!$D$2:$D$658,'MAIN TABLE-1 AUTOMATED'!O10))</f>
        <v/>
      </c>
      <c r="R10" s="41" t="str">
        <f>IF(Table1[[#This Row],[QUANTITY]]=0,"",Table1[[#This Row],[UNIT PRICE]]*Table1[[#This Row],[QUANTITY]])</f>
        <v/>
      </c>
      <c r="S10" s="89"/>
      <c r="T10" s="38"/>
      <c r="U10" s="43"/>
      <c r="V10" s="42" t="str">
        <f>IF(Table1[[#This Row],[DATE]]=0,"",YEAR(E10))</f>
        <v/>
      </c>
      <c r="W10" s="40" t="str">
        <f t="shared" si="0"/>
        <v/>
      </c>
      <c r="X10" s="40" t="str">
        <f t="shared" si="1"/>
        <v/>
      </c>
      <c r="Y10" s="40" t="str">
        <f>TEXT(Table1[[#This Row],[YEAR]],"0000")&amp;"-"&amp;Table1[[#This Row],[MONTH]]</f>
        <v>-</v>
      </c>
    </row>
    <row r="11" spans="1:25" ht="18" x14ac:dyDescent="0.35">
      <c r="A11" s="24"/>
      <c r="B11" s="38"/>
      <c r="C11" s="38"/>
      <c r="D11" s="38"/>
      <c r="E11" s="37"/>
      <c r="F11" s="38"/>
      <c r="G11" s="198"/>
      <c r="H11" s="198"/>
      <c r="I11" s="39"/>
      <c r="J11" s="38"/>
      <c r="K11" s="198"/>
      <c r="L11" s="38"/>
      <c r="M11" s="38"/>
      <c r="N11" s="38"/>
      <c r="O11" s="38"/>
      <c r="P11" s="40" t="str" cm="1">
        <f t="array" ref="P11">IF(N11="","",IFERROR(_xlfn.XLOOKUP(F11&amp;"|"&amp;J11&amp;"|"&amp;O11,PRICES!$C$2:$C$659&amp;"|"&amp;PRICES!$B$2:$B$659&amp;"|"&amp;PRICES!$D$2:$D$659,PRICES!$E$2:$E$659),"Not Found"))</f>
        <v/>
      </c>
      <c r="Q11" s="100" t="str">
        <f>IF(N11=0,"",SUMIFS(PRICES!$G$2:$G$658,PRICES!$B$2:$B$658,'MAIN TABLE-1 AUTOMATED'!J11,PRICES!$C$2:$C$658,'MAIN TABLE-1 AUTOMATED'!F11,PRICES!$D$2:$D$658,'MAIN TABLE-1 AUTOMATED'!O11))</f>
        <v/>
      </c>
      <c r="R11" s="41" t="str">
        <f>IF(Table1[[#This Row],[QUANTITY]]=0,"",Table1[[#This Row],[UNIT PRICE]]*Table1[[#This Row],[QUANTITY]])</f>
        <v/>
      </c>
      <c r="S11" s="89"/>
      <c r="T11" s="38"/>
      <c r="U11" s="43"/>
      <c r="V11" s="42" t="str">
        <f>IF(Table1[[#This Row],[DATE]]=0,"",YEAR(E11))</f>
        <v/>
      </c>
      <c r="W11" s="40" t="str">
        <f t="shared" si="0"/>
        <v/>
      </c>
      <c r="X11" s="40" t="str">
        <f t="shared" si="1"/>
        <v/>
      </c>
      <c r="Y11" s="40" t="str">
        <f>TEXT(Table1[[#This Row],[YEAR]],"0000")&amp;"-"&amp;Table1[[#This Row],[MONTH]]</f>
        <v>-</v>
      </c>
    </row>
    <row r="12" spans="1:25" ht="18" x14ac:dyDescent="0.35">
      <c r="A12" s="24"/>
      <c r="B12" s="38"/>
      <c r="C12" s="38"/>
      <c r="D12" s="38"/>
      <c r="E12" s="37"/>
      <c r="F12" s="38"/>
      <c r="G12" s="198"/>
      <c r="H12" s="198"/>
      <c r="I12" s="39"/>
      <c r="J12" s="38"/>
      <c r="K12" s="198"/>
      <c r="L12" s="38"/>
      <c r="M12" s="38"/>
      <c r="N12" s="38"/>
      <c r="O12" s="38"/>
      <c r="P12" s="40" t="str" cm="1">
        <f t="array" ref="P12">IF(N12="","",IFERROR(_xlfn.XLOOKUP(F12&amp;"|"&amp;J12&amp;"|"&amp;O12,PRICES!$C$2:$C$659&amp;"|"&amp;PRICES!$B$2:$B$659&amp;"|"&amp;PRICES!$D$2:$D$659,PRICES!$E$2:$E$659),"Not Found"))</f>
        <v/>
      </c>
      <c r="Q12" s="100" t="str">
        <f>IF(N12=0,"",SUMIFS(PRICES!$G$2:$G$658,PRICES!$B$2:$B$658,'MAIN TABLE-1 AUTOMATED'!J12,PRICES!$C$2:$C$658,'MAIN TABLE-1 AUTOMATED'!F12,PRICES!$D$2:$D$658,'MAIN TABLE-1 AUTOMATED'!O12))</f>
        <v/>
      </c>
      <c r="R12" s="41" t="str">
        <f>IF(Table1[[#This Row],[QUANTITY]]=0,"",Table1[[#This Row],[UNIT PRICE]]*Table1[[#This Row],[QUANTITY]])</f>
        <v/>
      </c>
      <c r="S12" s="89"/>
      <c r="T12" s="38"/>
      <c r="U12" s="43"/>
      <c r="V12" s="42" t="str">
        <f>IF(Table1[[#This Row],[DATE]]=0,"",YEAR(E12))</f>
        <v/>
      </c>
      <c r="W12" s="40" t="str">
        <f t="shared" si="0"/>
        <v/>
      </c>
      <c r="X12" s="40" t="str">
        <f t="shared" si="1"/>
        <v/>
      </c>
      <c r="Y12" s="40" t="str">
        <f>TEXT(Table1[[#This Row],[YEAR]],"0000")&amp;"-"&amp;Table1[[#This Row],[MONTH]]</f>
        <v>-</v>
      </c>
    </row>
    <row r="13" spans="1:25" ht="18" x14ac:dyDescent="0.35">
      <c r="A13" s="24"/>
      <c r="B13" s="38"/>
      <c r="C13" s="38"/>
      <c r="D13" s="38"/>
      <c r="E13" s="37"/>
      <c r="F13" s="38"/>
      <c r="G13" s="198"/>
      <c r="H13" s="198"/>
      <c r="I13" s="39"/>
      <c r="J13" s="38"/>
      <c r="K13" s="198"/>
      <c r="L13" s="38"/>
      <c r="M13" s="38"/>
      <c r="N13" s="38"/>
      <c r="O13" s="38"/>
      <c r="P13" s="40" t="str" cm="1">
        <f t="array" ref="P13">IF(N13="","",IFERROR(_xlfn.XLOOKUP(F13&amp;"|"&amp;J13&amp;"|"&amp;O13,PRICES!$C$2:$C$659&amp;"|"&amp;PRICES!$B$2:$B$659&amp;"|"&amp;PRICES!$D$2:$D$659,PRICES!$E$2:$E$659),"Not Found"))</f>
        <v/>
      </c>
      <c r="Q13" s="100" t="str">
        <f>IF(N13=0,"",SUMIFS(PRICES!$G$2:$G$658,PRICES!$B$2:$B$658,'MAIN TABLE-1 AUTOMATED'!J13,PRICES!$C$2:$C$658,'MAIN TABLE-1 AUTOMATED'!F13,PRICES!$D$2:$D$658,'MAIN TABLE-1 AUTOMATED'!O13))</f>
        <v/>
      </c>
      <c r="R13" s="41" t="str">
        <f>IF(Table1[[#This Row],[QUANTITY]]=0,"",Table1[[#This Row],[UNIT PRICE]]*Table1[[#This Row],[QUANTITY]])</f>
        <v/>
      </c>
      <c r="S13" s="89"/>
      <c r="T13" s="38"/>
      <c r="U13" s="43"/>
      <c r="V13" s="42" t="str">
        <f>IF(Table1[[#This Row],[DATE]]=0,"",YEAR(E13))</f>
        <v/>
      </c>
      <c r="W13" s="40" t="str">
        <f t="shared" si="0"/>
        <v/>
      </c>
      <c r="X13" s="40" t="str">
        <f t="shared" si="1"/>
        <v/>
      </c>
      <c r="Y13" s="40" t="str">
        <f>TEXT(Table1[[#This Row],[YEAR]],"0000")&amp;"-"&amp;Table1[[#This Row],[MONTH]]</f>
        <v>-</v>
      </c>
    </row>
    <row r="14" spans="1:25" ht="18" x14ac:dyDescent="0.35">
      <c r="A14" s="24"/>
      <c r="B14" s="38"/>
      <c r="C14" s="38"/>
      <c r="D14" s="38"/>
      <c r="E14" s="37"/>
      <c r="F14" s="38"/>
      <c r="G14" s="198"/>
      <c r="H14" s="198"/>
      <c r="I14" s="39"/>
      <c r="J14" s="38"/>
      <c r="K14" s="198"/>
      <c r="L14" s="38"/>
      <c r="M14" s="38"/>
      <c r="N14" s="38"/>
      <c r="O14" s="38"/>
      <c r="P14" s="40" t="str" cm="1">
        <f t="array" ref="P14">IF(N14="","",IFERROR(_xlfn.XLOOKUP(F14&amp;"|"&amp;J14&amp;"|"&amp;O14,PRICES!$C$2:$C$659&amp;"|"&amp;PRICES!$B$2:$B$659&amp;"|"&amp;PRICES!$D$2:$D$659,PRICES!$E$2:$E$659),"Not Found"))</f>
        <v/>
      </c>
      <c r="Q14" s="100" t="str">
        <f>IF(N14=0,"",SUMIFS(PRICES!$G$2:$G$658,PRICES!$B$2:$B$658,'MAIN TABLE-1 AUTOMATED'!J14,PRICES!$C$2:$C$658,'MAIN TABLE-1 AUTOMATED'!F14,PRICES!$D$2:$D$658,'MAIN TABLE-1 AUTOMATED'!O14))</f>
        <v/>
      </c>
      <c r="R14" s="41" t="str">
        <f>IF(Table1[[#This Row],[QUANTITY]]=0,"",Table1[[#This Row],[UNIT PRICE]]*Table1[[#This Row],[QUANTITY]])</f>
        <v/>
      </c>
      <c r="S14" s="89"/>
      <c r="T14" s="38"/>
      <c r="U14" s="43"/>
      <c r="V14" s="42" t="str">
        <f>IF(Table1[[#This Row],[DATE]]=0,"",YEAR(E14))</f>
        <v/>
      </c>
      <c r="W14" s="40" t="str">
        <f t="shared" si="0"/>
        <v/>
      </c>
      <c r="X14" s="40" t="str">
        <f t="shared" si="1"/>
        <v/>
      </c>
      <c r="Y14" s="40" t="str">
        <f>TEXT(Table1[[#This Row],[YEAR]],"0000")&amp;"-"&amp;Table1[[#This Row],[MONTH]]</f>
        <v>-</v>
      </c>
    </row>
    <row r="15" spans="1:25" ht="18" x14ac:dyDescent="0.35">
      <c r="A15" s="24"/>
      <c r="B15" s="38"/>
      <c r="C15" s="38"/>
      <c r="D15" s="38"/>
      <c r="E15" s="37"/>
      <c r="F15" s="38"/>
      <c r="G15" s="198"/>
      <c r="H15" s="198"/>
      <c r="I15" s="39"/>
      <c r="J15" s="38"/>
      <c r="K15" s="198"/>
      <c r="L15" s="38"/>
      <c r="M15" s="38"/>
      <c r="N15" s="38"/>
      <c r="O15" s="38"/>
      <c r="P15" s="40" t="str" cm="1">
        <f t="array" ref="P15">IF(N15="","",IFERROR(_xlfn.XLOOKUP(F15&amp;"|"&amp;J15&amp;"|"&amp;O15,PRICES!$C$2:$C$659&amp;"|"&amp;PRICES!$B$2:$B$659&amp;"|"&amp;PRICES!$D$2:$D$659,PRICES!$E$2:$E$659),"Not Found"))</f>
        <v/>
      </c>
      <c r="Q15" s="100" t="str">
        <f>IF(N15=0,"",SUMIFS(PRICES!$G$2:$G$658,PRICES!$B$2:$B$658,'MAIN TABLE-1 AUTOMATED'!J15,PRICES!$C$2:$C$658,'MAIN TABLE-1 AUTOMATED'!F15,PRICES!$D$2:$D$658,'MAIN TABLE-1 AUTOMATED'!O15))</f>
        <v/>
      </c>
      <c r="R15" s="41" t="str">
        <f>IF(Table1[[#This Row],[QUANTITY]]=0,"",Table1[[#This Row],[UNIT PRICE]]*Table1[[#This Row],[QUANTITY]])</f>
        <v/>
      </c>
      <c r="S15" s="89"/>
      <c r="T15" s="38"/>
      <c r="U15" s="43"/>
      <c r="V15" s="42" t="str">
        <f>IF(Table1[[#This Row],[DATE]]=0,"",YEAR(E15))</f>
        <v/>
      </c>
      <c r="W15" s="40" t="str">
        <f t="shared" si="0"/>
        <v/>
      </c>
      <c r="X15" s="40" t="str">
        <f t="shared" si="1"/>
        <v/>
      </c>
      <c r="Y15" s="40" t="str">
        <f>TEXT(Table1[[#This Row],[YEAR]],"0000")&amp;"-"&amp;Table1[[#This Row],[MONTH]]</f>
        <v>-</v>
      </c>
    </row>
    <row r="16" spans="1:25" ht="18" x14ac:dyDescent="0.35">
      <c r="A16" s="24"/>
      <c r="B16" s="38"/>
      <c r="C16" s="38"/>
      <c r="D16" s="38"/>
      <c r="E16" s="37"/>
      <c r="F16" s="38"/>
      <c r="G16" s="198"/>
      <c r="H16" s="198"/>
      <c r="I16" s="39"/>
      <c r="J16" s="38"/>
      <c r="K16" s="198"/>
      <c r="L16" s="38"/>
      <c r="M16" s="38"/>
      <c r="N16" s="38"/>
      <c r="O16" s="38"/>
      <c r="P16" s="40" t="str" cm="1">
        <f t="array" ref="P16">IF(N16="","",IFERROR(_xlfn.XLOOKUP(F16&amp;"|"&amp;J16&amp;"|"&amp;O16,PRICES!$C$2:$C$659&amp;"|"&amp;PRICES!$B$2:$B$659&amp;"|"&amp;PRICES!$D$2:$D$659,PRICES!$E$2:$E$659),"Not Found"))</f>
        <v/>
      </c>
      <c r="Q16" s="100" t="str">
        <f>IF(N16=0,"",SUMIFS(PRICES!$G$2:$G$658,PRICES!$B$2:$B$658,'MAIN TABLE-1 AUTOMATED'!J16,PRICES!$C$2:$C$658,'MAIN TABLE-1 AUTOMATED'!F16,PRICES!$D$2:$D$658,'MAIN TABLE-1 AUTOMATED'!O16))</f>
        <v/>
      </c>
      <c r="R16" s="41" t="str">
        <f>IF(Table1[[#This Row],[QUANTITY]]=0,"",Table1[[#This Row],[UNIT PRICE]]*Table1[[#This Row],[QUANTITY]])</f>
        <v/>
      </c>
      <c r="S16" s="89"/>
      <c r="T16" s="38"/>
      <c r="U16" s="43"/>
      <c r="V16" s="42" t="str">
        <f>IF(Table1[[#This Row],[DATE]]=0,"",YEAR(E16))</f>
        <v/>
      </c>
      <c r="W16" s="40" t="str">
        <f t="shared" si="0"/>
        <v/>
      </c>
      <c r="X16" s="40" t="str">
        <f t="shared" si="1"/>
        <v/>
      </c>
      <c r="Y16" s="40" t="str">
        <f>TEXT(Table1[[#This Row],[YEAR]],"0000")&amp;"-"&amp;Table1[[#This Row],[MONTH]]</f>
        <v>-</v>
      </c>
    </row>
    <row r="17" spans="1:25" ht="18" x14ac:dyDescent="0.35">
      <c r="A17" s="24"/>
      <c r="B17" s="38"/>
      <c r="C17" s="38"/>
      <c r="D17" s="38"/>
      <c r="E17" s="37"/>
      <c r="F17" s="38"/>
      <c r="G17" s="198"/>
      <c r="H17" s="198"/>
      <c r="I17" s="39"/>
      <c r="J17" s="38"/>
      <c r="K17" s="198"/>
      <c r="L17" s="38"/>
      <c r="M17" s="38"/>
      <c r="N17" s="38"/>
      <c r="O17" s="38"/>
      <c r="P17" s="40" t="str" cm="1">
        <f t="array" ref="P17">IF(N17="","",IFERROR(_xlfn.XLOOKUP(F17&amp;"|"&amp;J17&amp;"|"&amp;O17,PRICES!$C$2:$C$659&amp;"|"&amp;PRICES!$B$2:$B$659&amp;"|"&amp;PRICES!$D$2:$D$659,PRICES!$E$2:$E$659),"Not Found"))</f>
        <v/>
      </c>
      <c r="Q17" s="100" t="str">
        <f>IF(N17=0,"",SUMIFS(PRICES!$G$2:$G$658,PRICES!$B$2:$B$658,'MAIN TABLE-1 AUTOMATED'!J17,PRICES!$C$2:$C$658,'MAIN TABLE-1 AUTOMATED'!F17,PRICES!$D$2:$D$658,'MAIN TABLE-1 AUTOMATED'!O17))</f>
        <v/>
      </c>
      <c r="R17" s="41" t="str">
        <f>IF(Table1[[#This Row],[QUANTITY]]=0,"",Table1[[#This Row],[UNIT PRICE]]*Table1[[#This Row],[QUANTITY]])</f>
        <v/>
      </c>
      <c r="S17" s="89"/>
      <c r="T17" s="38"/>
      <c r="U17" s="43"/>
      <c r="V17" s="42" t="str">
        <f>IF(Table1[[#This Row],[DATE]]=0,"",YEAR(E17))</f>
        <v/>
      </c>
      <c r="W17" s="40" t="str">
        <f t="shared" si="0"/>
        <v/>
      </c>
      <c r="X17" s="40" t="str">
        <f t="shared" si="1"/>
        <v/>
      </c>
      <c r="Y17" s="40" t="str">
        <f>TEXT(Table1[[#This Row],[YEAR]],"0000")&amp;"-"&amp;Table1[[#This Row],[MONTH]]</f>
        <v>-</v>
      </c>
    </row>
    <row r="18" spans="1:25" ht="18" x14ac:dyDescent="0.35">
      <c r="A18" s="24"/>
      <c r="B18" s="38"/>
      <c r="C18" s="38"/>
      <c r="D18" s="38"/>
      <c r="E18" s="37"/>
      <c r="F18" s="38"/>
      <c r="G18" s="198"/>
      <c r="H18" s="198"/>
      <c r="I18" s="39"/>
      <c r="J18" s="38"/>
      <c r="K18" s="198"/>
      <c r="L18" s="38"/>
      <c r="M18" s="38"/>
      <c r="N18" s="38"/>
      <c r="O18" s="38"/>
      <c r="P18" s="40" t="str" cm="1">
        <f t="array" ref="P18">IF(N18="","",IFERROR(_xlfn.XLOOKUP(F18&amp;"|"&amp;J18&amp;"|"&amp;O18,PRICES!$C$2:$C$659&amp;"|"&amp;PRICES!$B$2:$B$659&amp;"|"&amp;PRICES!$D$2:$D$659,PRICES!$E$2:$E$659),"Not Found"))</f>
        <v/>
      </c>
      <c r="Q18" s="100" t="str">
        <f>IF(N18=0,"",SUMIFS(PRICES!$G$2:$G$658,PRICES!$B$2:$B$658,'MAIN TABLE-1 AUTOMATED'!J18,PRICES!$C$2:$C$658,'MAIN TABLE-1 AUTOMATED'!F18,PRICES!$D$2:$D$658,'MAIN TABLE-1 AUTOMATED'!O18))</f>
        <v/>
      </c>
      <c r="R18" s="41" t="str">
        <f>IF(Table1[[#This Row],[QUANTITY]]=0,"",Table1[[#This Row],[UNIT PRICE]]*Table1[[#This Row],[QUANTITY]])</f>
        <v/>
      </c>
      <c r="S18" s="89"/>
      <c r="T18" s="38"/>
      <c r="U18" s="43"/>
      <c r="V18" s="42" t="str">
        <f>IF(Table1[[#This Row],[DATE]]=0,"",YEAR(E18))</f>
        <v/>
      </c>
      <c r="W18" s="40" t="str">
        <f t="shared" si="0"/>
        <v/>
      </c>
      <c r="X18" s="40" t="str">
        <f t="shared" si="1"/>
        <v/>
      </c>
      <c r="Y18" s="40" t="str">
        <f>TEXT(Table1[[#This Row],[YEAR]],"0000")&amp;"-"&amp;Table1[[#This Row],[MONTH]]</f>
        <v>-</v>
      </c>
    </row>
    <row r="19" spans="1:25" ht="18" x14ac:dyDescent="0.35">
      <c r="A19" s="24"/>
      <c r="B19" s="38"/>
      <c r="C19" s="38"/>
      <c r="D19" s="38"/>
      <c r="E19" s="37"/>
      <c r="F19" s="38"/>
      <c r="G19" s="198"/>
      <c r="H19" s="198"/>
      <c r="I19" s="39"/>
      <c r="J19" s="38"/>
      <c r="K19" s="198"/>
      <c r="L19" s="38"/>
      <c r="M19" s="38"/>
      <c r="N19" s="38"/>
      <c r="O19" s="38"/>
      <c r="P19" s="40" t="str" cm="1">
        <f t="array" ref="P19">IF(N19="","",IFERROR(_xlfn.XLOOKUP(F19&amp;"|"&amp;J19&amp;"|"&amp;O19,PRICES!$C$2:$C$659&amp;"|"&amp;PRICES!$B$2:$B$659&amp;"|"&amp;PRICES!$D$2:$D$659,PRICES!$E$2:$E$659),"Not Found"))</f>
        <v/>
      </c>
      <c r="Q19" s="100" t="str">
        <f>IF(N19=0,"",SUMIFS(PRICES!$G$2:$G$658,PRICES!$B$2:$B$658,'MAIN TABLE-1 AUTOMATED'!J19,PRICES!$C$2:$C$658,'MAIN TABLE-1 AUTOMATED'!F19,PRICES!$D$2:$D$658,'MAIN TABLE-1 AUTOMATED'!O19))</f>
        <v/>
      </c>
      <c r="R19" s="41" t="str">
        <f>IF(Table1[[#This Row],[QUANTITY]]=0,"",Table1[[#This Row],[UNIT PRICE]]*Table1[[#This Row],[QUANTITY]])</f>
        <v/>
      </c>
      <c r="S19" s="89"/>
      <c r="T19" s="38"/>
      <c r="U19" s="43"/>
      <c r="V19" s="42" t="str">
        <f>IF(Table1[[#This Row],[DATE]]=0,"",YEAR(E19))</f>
        <v/>
      </c>
      <c r="W19" s="40" t="str">
        <f t="shared" si="0"/>
        <v/>
      </c>
      <c r="X19" s="40" t="str">
        <f t="shared" si="1"/>
        <v/>
      </c>
      <c r="Y19" s="40" t="str">
        <f>TEXT(Table1[[#This Row],[YEAR]],"0000")&amp;"-"&amp;Table1[[#This Row],[MONTH]]</f>
        <v>-</v>
      </c>
    </row>
    <row r="20" spans="1:25" ht="18" x14ac:dyDescent="0.35">
      <c r="A20" s="24"/>
      <c r="B20" s="38"/>
      <c r="C20" s="38"/>
      <c r="D20" s="38"/>
      <c r="E20" s="37"/>
      <c r="F20" s="38"/>
      <c r="G20" s="198"/>
      <c r="H20" s="198"/>
      <c r="I20" s="39"/>
      <c r="J20" s="38"/>
      <c r="K20" s="198"/>
      <c r="L20" s="38"/>
      <c r="M20" s="38"/>
      <c r="N20" s="38"/>
      <c r="O20" s="38"/>
      <c r="P20" s="40" t="str" cm="1">
        <f t="array" ref="P20">IF(N20="","",IFERROR(_xlfn.XLOOKUP(F20&amp;"|"&amp;J20&amp;"|"&amp;O20,PRICES!$C$2:$C$659&amp;"|"&amp;PRICES!$B$2:$B$659&amp;"|"&amp;PRICES!$D$2:$D$659,PRICES!$E$2:$E$659),"Not Found"))</f>
        <v/>
      </c>
      <c r="Q20" s="100" t="str">
        <f>IF(N20=0,"",SUMIFS(PRICES!$G$2:$G$658,PRICES!$B$2:$B$658,'MAIN TABLE-1 AUTOMATED'!J20,PRICES!$C$2:$C$658,'MAIN TABLE-1 AUTOMATED'!F20,PRICES!$D$2:$D$658,'MAIN TABLE-1 AUTOMATED'!O20))</f>
        <v/>
      </c>
      <c r="R20" s="41" t="str">
        <f>IF(Table1[[#This Row],[QUANTITY]]=0,"",Table1[[#This Row],[UNIT PRICE]]*Table1[[#This Row],[QUANTITY]])</f>
        <v/>
      </c>
      <c r="S20" s="89"/>
      <c r="T20" s="38"/>
      <c r="U20" s="43"/>
      <c r="V20" s="42" t="str">
        <f>IF(Table1[[#This Row],[DATE]]=0,"",YEAR(E20))</f>
        <v/>
      </c>
      <c r="W20" s="40" t="str">
        <f t="shared" si="0"/>
        <v/>
      </c>
      <c r="X20" s="40" t="str">
        <f t="shared" si="1"/>
        <v/>
      </c>
      <c r="Y20" s="40" t="str">
        <f>TEXT(Table1[[#This Row],[YEAR]],"0000")&amp;"-"&amp;Table1[[#This Row],[MONTH]]</f>
        <v>-</v>
      </c>
    </row>
    <row r="21" spans="1:25" ht="18" x14ac:dyDescent="0.35">
      <c r="A21" s="24"/>
      <c r="B21" s="38"/>
      <c r="C21" s="38"/>
      <c r="D21" s="38"/>
      <c r="E21" s="37"/>
      <c r="F21" s="38"/>
      <c r="G21" s="198"/>
      <c r="H21" s="198"/>
      <c r="I21" s="39"/>
      <c r="J21" s="38"/>
      <c r="K21" s="39"/>
      <c r="L21" s="38"/>
      <c r="M21" s="38"/>
      <c r="N21" s="38"/>
      <c r="O21" s="38"/>
      <c r="P21" s="40" t="str" cm="1">
        <f t="array" ref="P21">IF(N21="","",IFERROR(_xlfn.XLOOKUP(F21&amp;"|"&amp;J21&amp;"|"&amp;O21,PRICES!$C$2:$C$659&amp;"|"&amp;PRICES!$B$2:$B$659&amp;"|"&amp;PRICES!$D$2:$D$659,PRICES!$E$2:$E$659),"Not Found"))</f>
        <v/>
      </c>
      <c r="Q21" s="100" t="str">
        <f>IF(N21=0,"",SUMIFS(PRICES!$G$2:$G$658,PRICES!$B$2:$B$658,'MAIN TABLE-1 AUTOMATED'!J21,PRICES!$C$2:$C$658,'MAIN TABLE-1 AUTOMATED'!F21,PRICES!$D$2:$D$658,'MAIN TABLE-1 AUTOMATED'!O21))</f>
        <v/>
      </c>
      <c r="R21" s="41" t="str">
        <f>IF(Table1[[#This Row],[QUANTITY]]=0,"",Table1[[#This Row],[UNIT PRICE]]*Table1[[#This Row],[QUANTITY]])</f>
        <v/>
      </c>
      <c r="S21" s="89"/>
      <c r="T21" s="38"/>
      <c r="U21" s="43"/>
      <c r="V21" s="42" t="str">
        <f>IF(Table1[[#This Row],[DATE]]=0,"",YEAR(E21))</f>
        <v/>
      </c>
      <c r="W21" s="40" t="str">
        <f t="shared" si="0"/>
        <v/>
      </c>
      <c r="X21" s="40" t="str">
        <f t="shared" si="1"/>
        <v/>
      </c>
      <c r="Y21" s="40" t="str">
        <f>TEXT(Table1[[#This Row],[YEAR]],"0000")&amp;"-"&amp;Table1[[#This Row],[MONTH]]</f>
        <v>-</v>
      </c>
    </row>
    <row r="22" spans="1:25" ht="18" x14ac:dyDescent="0.35">
      <c r="A22" s="24"/>
      <c r="B22" s="38"/>
      <c r="C22" s="38"/>
      <c r="D22" s="38"/>
      <c r="E22" s="37"/>
      <c r="F22" s="38"/>
      <c r="G22" s="198"/>
      <c r="H22" s="198"/>
      <c r="I22" s="39"/>
      <c r="J22" s="38"/>
      <c r="K22" s="198"/>
      <c r="L22" s="38"/>
      <c r="M22" s="38"/>
      <c r="N22" s="38"/>
      <c r="O22" s="38"/>
      <c r="P22" s="40" t="str" cm="1">
        <f t="array" ref="P22">IF(N22="","",IFERROR(_xlfn.XLOOKUP(F22&amp;"|"&amp;J22&amp;"|"&amp;O22,PRICES!$C$2:$C$659&amp;"|"&amp;PRICES!$B$2:$B$659&amp;"|"&amp;PRICES!$D$2:$D$659,PRICES!$E$2:$E$659),"Not Found"))</f>
        <v/>
      </c>
      <c r="Q22" s="100" t="str">
        <f>IF(N22=0,"",SUMIFS(PRICES!$G$2:$G$658,PRICES!$B$2:$B$658,'MAIN TABLE-1 AUTOMATED'!J22,PRICES!$C$2:$C$658,'MAIN TABLE-1 AUTOMATED'!F22,PRICES!$D$2:$D$658,'MAIN TABLE-1 AUTOMATED'!O22))</f>
        <v/>
      </c>
      <c r="R22" s="41" t="str">
        <f>IF(Table1[[#This Row],[QUANTITY]]=0,"",Table1[[#This Row],[UNIT PRICE]]*Table1[[#This Row],[QUANTITY]])</f>
        <v/>
      </c>
      <c r="S22" s="89"/>
      <c r="T22" s="38"/>
      <c r="U22" s="43"/>
      <c r="V22" s="42" t="str">
        <f>IF(Table1[[#This Row],[DATE]]=0,"",YEAR(E22))</f>
        <v/>
      </c>
      <c r="W22" s="40" t="str">
        <f t="shared" si="0"/>
        <v/>
      </c>
      <c r="X22" s="40" t="str">
        <f t="shared" si="1"/>
        <v/>
      </c>
      <c r="Y22" s="40" t="str">
        <f>TEXT(Table1[[#This Row],[YEAR]],"0000")&amp;"-"&amp;Table1[[#This Row],[MONTH]]</f>
        <v>-</v>
      </c>
    </row>
    <row r="23" spans="1:25" ht="18" x14ac:dyDescent="0.35">
      <c r="A23" s="24"/>
      <c r="B23" s="38"/>
      <c r="C23" s="38"/>
      <c r="D23" s="38"/>
      <c r="E23" s="37"/>
      <c r="F23" s="38"/>
      <c r="G23" s="198"/>
      <c r="H23" s="198"/>
      <c r="I23" s="39"/>
      <c r="J23" s="38"/>
      <c r="K23" s="198"/>
      <c r="L23" s="38"/>
      <c r="M23" s="38"/>
      <c r="N23" s="38"/>
      <c r="O23" s="38"/>
      <c r="P23" s="40" t="str" cm="1">
        <f t="array" ref="P23">IF(N23="","",IFERROR(_xlfn.XLOOKUP(F23&amp;"|"&amp;J23&amp;"|"&amp;O23,PRICES!$C$2:$C$659&amp;"|"&amp;PRICES!$B$2:$B$659&amp;"|"&amp;PRICES!$D$2:$D$659,PRICES!$E$2:$E$659),"Not Found"))</f>
        <v/>
      </c>
      <c r="Q23" s="100" t="str">
        <f>IF(N23=0,"",SUMIFS(PRICES!$G$2:$G$658,PRICES!$B$2:$B$658,'MAIN TABLE-1 AUTOMATED'!J23,PRICES!$C$2:$C$658,'MAIN TABLE-1 AUTOMATED'!F23,PRICES!$D$2:$D$658,'MAIN TABLE-1 AUTOMATED'!O23))</f>
        <v/>
      </c>
      <c r="R23" s="41" t="str">
        <f>IF(Table1[[#This Row],[QUANTITY]]=0,"",Table1[[#This Row],[UNIT PRICE]]*Table1[[#This Row],[QUANTITY]])</f>
        <v/>
      </c>
      <c r="S23" s="89"/>
      <c r="T23" s="38"/>
      <c r="U23" s="43"/>
      <c r="V23" s="42" t="str">
        <f>IF(Table1[[#This Row],[DATE]]=0,"",YEAR(E23))</f>
        <v/>
      </c>
      <c r="W23" s="40" t="str">
        <f t="shared" si="0"/>
        <v/>
      </c>
      <c r="X23" s="40" t="str">
        <f t="shared" si="1"/>
        <v/>
      </c>
      <c r="Y23" s="40" t="str">
        <f>TEXT(Table1[[#This Row],[YEAR]],"0000")&amp;"-"&amp;Table1[[#This Row],[MONTH]]</f>
        <v>-</v>
      </c>
    </row>
    <row r="24" spans="1:25" ht="18" x14ac:dyDescent="0.35">
      <c r="A24" s="24"/>
      <c r="B24" s="38"/>
      <c r="C24" s="38"/>
      <c r="D24" s="38"/>
      <c r="E24" s="37"/>
      <c r="F24" s="38"/>
      <c r="G24" s="198"/>
      <c r="H24" s="198"/>
      <c r="I24" s="39"/>
      <c r="J24" s="38"/>
      <c r="K24" s="198"/>
      <c r="L24" s="38"/>
      <c r="M24" s="38"/>
      <c r="N24" s="38"/>
      <c r="O24" s="38"/>
      <c r="P24" s="40" t="str" cm="1">
        <f t="array" ref="P24">IF(N24="","",IFERROR(_xlfn.XLOOKUP(F24&amp;"|"&amp;J24&amp;"|"&amp;O24,PRICES!$C$2:$C$659&amp;"|"&amp;PRICES!$B$2:$B$659&amp;"|"&amp;PRICES!$D$2:$D$659,PRICES!$E$2:$E$659),"Not Found"))</f>
        <v/>
      </c>
      <c r="Q24" s="100" t="str">
        <f>IF(N24=0,"",SUMIFS(PRICES!$G$2:$G$658,PRICES!$B$2:$B$658,'MAIN TABLE-1 AUTOMATED'!J24,PRICES!$C$2:$C$658,'MAIN TABLE-1 AUTOMATED'!F24,PRICES!$D$2:$D$658,'MAIN TABLE-1 AUTOMATED'!O24))</f>
        <v/>
      </c>
      <c r="R24" s="41" t="str">
        <f>IF(Table1[[#This Row],[QUANTITY]]=0,"",Table1[[#This Row],[UNIT PRICE]]*Table1[[#This Row],[QUANTITY]])</f>
        <v/>
      </c>
      <c r="S24" s="89"/>
      <c r="T24" s="38"/>
      <c r="U24" s="43"/>
      <c r="V24" s="42" t="str">
        <f>IF(Table1[[#This Row],[DATE]]=0,"",YEAR(E24))</f>
        <v/>
      </c>
      <c r="W24" s="40" t="str">
        <f t="shared" si="0"/>
        <v/>
      </c>
      <c r="X24" s="40" t="str">
        <f t="shared" si="1"/>
        <v/>
      </c>
      <c r="Y24" s="40" t="str">
        <f>TEXT(Table1[[#This Row],[YEAR]],"0000")&amp;"-"&amp;Table1[[#This Row],[MONTH]]</f>
        <v>-</v>
      </c>
    </row>
    <row r="25" spans="1:25" ht="18" x14ac:dyDescent="0.35">
      <c r="A25" s="24"/>
      <c r="B25" s="38"/>
      <c r="C25" s="38"/>
      <c r="D25" s="38"/>
      <c r="E25" s="37"/>
      <c r="F25" s="38"/>
      <c r="G25" s="198"/>
      <c r="H25" s="198"/>
      <c r="I25" s="39"/>
      <c r="J25" s="38"/>
      <c r="K25" s="198"/>
      <c r="L25" s="38"/>
      <c r="M25" s="38"/>
      <c r="N25" s="38"/>
      <c r="O25" s="38"/>
      <c r="P25" s="40" t="str" cm="1">
        <f t="array" ref="P25">IF(N25="","",IFERROR(_xlfn.XLOOKUP(F25&amp;"|"&amp;J25&amp;"|"&amp;O25,PRICES!$C$2:$C$659&amp;"|"&amp;PRICES!$B$2:$B$659&amp;"|"&amp;PRICES!$D$2:$D$659,PRICES!$E$2:$E$659),"Not Found"))</f>
        <v/>
      </c>
      <c r="Q25" s="100" t="str">
        <f>IF(N25=0,"",SUMIFS(PRICES!$G$2:$G$658,PRICES!$B$2:$B$658,'MAIN TABLE-1 AUTOMATED'!J25,PRICES!$C$2:$C$658,'MAIN TABLE-1 AUTOMATED'!F25,PRICES!$D$2:$D$658,'MAIN TABLE-1 AUTOMATED'!O25))</f>
        <v/>
      </c>
      <c r="R25" s="41" t="str">
        <f>IF(Table1[[#This Row],[QUANTITY]]=0,"",Table1[[#This Row],[UNIT PRICE]]*Table1[[#This Row],[QUANTITY]])</f>
        <v/>
      </c>
      <c r="S25" s="89"/>
      <c r="T25" s="38"/>
      <c r="U25" s="43"/>
      <c r="V25" s="42" t="str">
        <f>IF(Table1[[#This Row],[DATE]]=0,"",YEAR(E25))</f>
        <v/>
      </c>
      <c r="W25" s="40" t="str">
        <f t="shared" si="0"/>
        <v/>
      </c>
      <c r="X25" s="40" t="str">
        <f t="shared" si="1"/>
        <v/>
      </c>
      <c r="Y25" s="40" t="str">
        <f>TEXT(Table1[[#This Row],[YEAR]],"0000")&amp;"-"&amp;Table1[[#This Row],[MONTH]]</f>
        <v>-</v>
      </c>
    </row>
    <row r="26" spans="1:25" ht="18" x14ac:dyDescent="0.35">
      <c r="A26" s="24"/>
      <c r="B26" s="38"/>
      <c r="C26" s="38"/>
      <c r="D26" s="38"/>
      <c r="E26" s="37"/>
      <c r="F26" s="38"/>
      <c r="G26" s="198"/>
      <c r="H26" s="198"/>
      <c r="I26" s="39"/>
      <c r="J26" s="38"/>
      <c r="K26" s="198"/>
      <c r="L26" s="38"/>
      <c r="M26" s="38"/>
      <c r="N26" s="38"/>
      <c r="O26" s="38"/>
      <c r="P26" s="40" t="str" cm="1">
        <f t="array" ref="P26">IF(N26="","",IFERROR(_xlfn.XLOOKUP(F26&amp;"|"&amp;J26&amp;"|"&amp;O26,PRICES!$C$2:$C$659&amp;"|"&amp;PRICES!$B$2:$B$659&amp;"|"&amp;PRICES!$D$2:$D$659,PRICES!$E$2:$E$659),"Not Found"))</f>
        <v/>
      </c>
      <c r="Q26" s="100" t="str">
        <f>IF(N26=0,"",SUMIFS(PRICES!$G$2:$G$658,PRICES!$B$2:$B$658,'MAIN TABLE-1 AUTOMATED'!J26,PRICES!$C$2:$C$658,'MAIN TABLE-1 AUTOMATED'!F26,PRICES!$D$2:$D$658,'MAIN TABLE-1 AUTOMATED'!O26))</f>
        <v/>
      </c>
      <c r="R26" s="41" t="str">
        <f>IF(Table1[[#This Row],[QUANTITY]]=0,"",Table1[[#This Row],[UNIT PRICE]]*Table1[[#This Row],[QUANTITY]])</f>
        <v/>
      </c>
      <c r="S26" s="89"/>
      <c r="T26" s="38"/>
      <c r="U26" s="43"/>
      <c r="V26" s="42" t="str">
        <f>IF(Table1[[#This Row],[DATE]]=0,"",YEAR(E26))</f>
        <v/>
      </c>
      <c r="W26" s="40" t="str">
        <f t="shared" si="0"/>
        <v/>
      </c>
      <c r="X26" s="40" t="str">
        <f t="shared" si="1"/>
        <v/>
      </c>
      <c r="Y26" s="40" t="str">
        <f>TEXT(Table1[[#This Row],[YEAR]],"0000")&amp;"-"&amp;Table1[[#This Row],[MONTH]]</f>
        <v>-</v>
      </c>
    </row>
    <row r="27" spans="1:25" ht="18" x14ac:dyDescent="0.35">
      <c r="A27" s="24"/>
      <c r="B27" s="38"/>
      <c r="C27" s="38"/>
      <c r="D27" s="38"/>
      <c r="E27" s="37"/>
      <c r="F27" s="38"/>
      <c r="G27" s="198"/>
      <c r="H27" s="198"/>
      <c r="I27" s="39"/>
      <c r="J27" s="38"/>
      <c r="K27" s="198"/>
      <c r="L27" s="38"/>
      <c r="M27" s="38"/>
      <c r="N27" s="38"/>
      <c r="O27" s="38"/>
      <c r="P27" s="40" t="str" cm="1">
        <f t="array" ref="P27">IF(N27="","",IFERROR(_xlfn.XLOOKUP(F27&amp;"|"&amp;J27&amp;"|"&amp;O27,PRICES!$C$2:$C$659&amp;"|"&amp;PRICES!$B$2:$B$659&amp;"|"&amp;PRICES!$D$2:$D$659,PRICES!$E$2:$E$659),"Not Found"))</f>
        <v/>
      </c>
      <c r="Q27" s="100" t="str">
        <f>IF(N27=0,"",SUMIFS(PRICES!$G$2:$G$658,PRICES!$B$2:$B$658,'MAIN TABLE-1 AUTOMATED'!J27,PRICES!$C$2:$C$658,'MAIN TABLE-1 AUTOMATED'!F27,PRICES!$D$2:$D$658,'MAIN TABLE-1 AUTOMATED'!O27))</f>
        <v/>
      </c>
      <c r="R27" s="41" t="str">
        <f>IF(Table1[[#This Row],[QUANTITY]]=0,"",Table1[[#This Row],[UNIT PRICE]]*Table1[[#This Row],[QUANTITY]])</f>
        <v/>
      </c>
      <c r="S27" s="89"/>
      <c r="T27" s="38"/>
      <c r="U27" s="43"/>
      <c r="V27" s="42" t="str">
        <f>IF(Table1[[#This Row],[DATE]]=0,"",YEAR(E27))</f>
        <v/>
      </c>
      <c r="W27" s="40" t="str">
        <f t="shared" si="0"/>
        <v/>
      </c>
      <c r="X27" s="40" t="str">
        <f t="shared" si="1"/>
        <v/>
      </c>
      <c r="Y27" s="40" t="str">
        <f>TEXT(Table1[[#This Row],[YEAR]],"0000")&amp;"-"&amp;Table1[[#This Row],[MONTH]]</f>
        <v>-</v>
      </c>
    </row>
    <row r="28" spans="1:25" ht="18" x14ac:dyDescent="0.35">
      <c r="A28" s="24"/>
      <c r="B28" s="38"/>
      <c r="C28" s="38"/>
      <c r="D28" s="38"/>
      <c r="E28" s="37"/>
      <c r="F28" s="38"/>
      <c r="G28" s="198"/>
      <c r="H28" s="198"/>
      <c r="I28" s="39"/>
      <c r="J28" s="38"/>
      <c r="K28" s="198"/>
      <c r="L28" s="38"/>
      <c r="M28" s="38"/>
      <c r="N28" s="38"/>
      <c r="O28" s="38"/>
      <c r="P28" s="40" t="str" cm="1">
        <f t="array" ref="P28">IF(N28="","",IFERROR(_xlfn.XLOOKUP(F28&amp;"|"&amp;J28&amp;"|"&amp;O28,PRICES!$C$2:$C$659&amp;"|"&amp;PRICES!$B$2:$B$659&amp;"|"&amp;PRICES!$D$2:$D$659,PRICES!$E$2:$E$659),"Not Found"))</f>
        <v/>
      </c>
      <c r="Q28" s="100" t="str">
        <f>IF(N28=0,"",SUMIFS(PRICES!$G$2:$G$658,PRICES!$B$2:$B$658,'MAIN TABLE-1 AUTOMATED'!J28,PRICES!$C$2:$C$658,'MAIN TABLE-1 AUTOMATED'!F28,PRICES!$D$2:$D$658,'MAIN TABLE-1 AUTOMATED'!O28))</f>
        <v/>
      </c>
      <c r="R28" s="41" t="str">
        <f>IF(Table1[[#This Row],[QUANTITY]]=0,"",Table1[[#This Row],[UNIT PRICE]]*Table1[[#This Row],[QUANTITY]])</f>
        <v/>
      </c>
      <c r="S28" s="89"/>
      <c r="T28" s="38"/>
      <c r="U28" s="43"/>
      <c r="V28" s="42" t="str">
        <f>IF(Table1[[#This Row],[DATE]]=0,"",YEAR(E28))</f>
        <v/>
      </c>
      <c r="W28" s="40" t="str">
        <f t="shared" si="0"/>
        <v/>
      </c>
      <c r="X28" s="40" t="str">
        <f t="shared" si="1"/>
        <v/>
      </c>
      <c r="Y28" s="40" t="str">
        <f>TEXT(Table1[[#This Row],[YEAR]],"0000")&amp;"-"&amp;Table1[[#This Row],[MONTH]]</f>
        <v>-</v>
      </c>
    </row>
    <row r="29" spans="1:25" ht="18" x14ac:dyDescent="0.35">
      <c r="A29" s="24"/>
      <c r="B29" s="38"/>
      <c r="C29" s="38"/>
      <c r="D29" s="38"/>
      <c r="E29" s="37"/>
      <c r="F29" s="38"/>
      <c r="G29" s="198"/>
      <c r="H29" s="198"/>
      <c r="I29" s="39"/>
      <c r="J29" s="38"/>
      <c r="K29" s="39"/>
      <c r="L29" s="38"/>
      <c r="M29" s="38"/>
      <c r="N29" s="38"/>
      <c r="O29" s="38"/>
      <c r="P29" s="40" t="str" cm="1">
        <f t="array" ref="P29">IF(N29="","",IFERROR(_xlfn.XLOOKUP(F29&amp;"|"&amp;J29&amp;"|"&amp;O29,PRICES!$C$2:$C$659&amp;"|"&amp;PRICES!$B$2:$B$659&amp;"|"&amp;PRICES!$D$2:$D$659,PRICES!$E$2:$E$659),"Not Found"))</f>
        <v/>
      </c>
      <c r="Q29" s="100" t="str">
        <f>IF(N29=0,"",SUMIFS(PRICES!$G$2:$G$658,PRICES!$B$2:$B$658,'MAIN TABLE-1 AUTOMATED'!J29,PRICES!$C$2:$C$658,'MAIN TABLE-1 AUTOMATED'!F29,PRICES!$D$2:$D$658,'MAIN TABLE-1 AUTOMATED'!O29))</f>
        <v/>
      </c>
      <c r="R29" s="41" t="str">
        <f>IF(Table1[[#This Row],[QUANTITY]]=0,"",Table1[[#This Row],[UNIT PRICE]]*Table1[[#This Row],[QUANTITY]])</f>
        <v/>
      </c>
      <c r="S29" s="89"/>
      <c r="T29" s="38"/>
      <c r="U29" s="43"/>
      <c r="V29" s="42" t="str">
        <f>IF(Table1[[#This Row],[DATE]]=0,"",YEAR(E29))</f>
        <v/>
      </c>
      <c r="W29" s="40" t="str">
        <f t="shared" si="0"/>
        <v/>
      </c>
      <c r="X29" s="40" t="str">
        <f t="shared" si="1"/>
        <v/>
      </c>
      <c r="Y29" s="40" t="str">
        <f>TEXT(Table1[[#This Row],[YEAR]],"0000")&amp;"-"&amp;Table1[[#This Row],[MONTH]]</f>
        <v>-</v>
      </c>
    </row>
    <row r="30" spans="1:25" ht="18" x14ac:dyDescent="0.35">
      <c r="A30" s="24"/>
      <c r="B30" s="38"/>
      <c r="C30" s="38"/>
      <c r="D30" s="38"/>
      <c r="E30" s="37"/>
      <c r="F30" s="38"/>
      <c r="G30" s="198"/>
      <c r="H30" s="198"/>
      <c r="I30" s="39"/>
      <c r="J30" s="38"/>
      <c r="K30" s="198"/>
      <c r="L30" s="38"/>
      <c r="M30" s="38"/>
      <c r="N30" s="38"/>
      <c r="O30" s="38"/>
      <c r="P30" s="40" t="str" cm="1">
        <f t="array" ref="P30">IF(N30="","",IFERROR(_xlfn.XLOOKUP(F30&amp;"|"&amp;J30&amp;"|"&amp;O30,PRICES!$C$2:$C$659&amp;"|"&amp;PRICES!$B$2:$B$659&amp;"|"&amp;PRICES!$D$2:$D$659,PRICES!$E$2:$E$659),"Not Found"))</f>
        <v/>
      </c>
      <c r="Q30" s="100" t="str">
        <f>IF(N30=0,"",SUMIFS(PRICES!$G$2:$G$658,PRICES!$B$2:$B$658,'MAIN TABLE-1 AUTOMATED'!J30,PRICES!$C$2:$C$658,'MAIN TABLE-1 AUTOMATED'!F30,PRICES!$D$2:$D$658,'MAIN TABLE-1 AUTOMATED'!O30))</f>
        <v/>
      </c>
      <c r="R30" s="41" t="str">
        <f>IF(Table1[[#This Row],[QUANTITY]]=0,"",Table1[[#This Row],[UNIT PRICE]]*Table1[[#This Row],[QUANTITY]])</f>
        <v/>
      </c>
      <c r="S30" s="89"/>
      <c r="T30" s="38"/>
      <c r="U30" s="43"/>
      <c r="V30" s="42" t="str">
        <f>IF(Table1[[#This Row],[DATE]]=0,"",YEAR(E30))</f>
        <v/>
      </c>
      <c r="W30" s="40" t="str">
        <f t="shared" si="0"/>
        <v/>
      </c>
      <c r="X30" s="40" t="str">
        <f t="shared" si="1"/>
        <v/>
      </c>
      <c r="Y30" s="40" t="str">
        <f>TEXT(Table1[[#This Row],[YEAR]],"0000")&amp;"-"&amp;Table1[[#This Row],[MONTH]]</f>
        <v>-</v>
      </c>
    </row>
    <row r="31" spans="1:25" ht="18" x14ac:dyDescent="0.35">
      <c r="A31" s="24"/>
      <c r="B31" s="38"/>
      <c r="C31" s="38"/>
      <c r="D31" s="38"/>
      <c r="E31" s="37"/>
      <c r="F31" s="38"/>
      <c r="G31" s="198"/>
      <c r="H31" s="198"/>
      <c r="I31" s="39"/>
      <c r="J31" s="38"/>
      <c r="K31" s="198"/>
      <c r="L31" s="38"/>
      <c r="M31" s="38"/>
      <c r="N31" s="38"/>
      <c r="O31" s="38"/>
      <c r="P31" s="40" t="str" cm="1">
        <f t="array" ref="P31">IF(N31="","",IFERROR(_xlfn.XLOOKUP(F31&amp;"|"&amp;J31&amp;"|"&amp;O31,PRICES!$C$2:$C$659&amp;"|"&amp;PRICES!$B$2:$B$659&amp;"|"&amp;PRICES!$D$2:$D$659,PRICES!$E$2:$E$659),"Not Found"))</f>
        <v/>
      </c>
      <c r="Q31" s="100" t="str">
        <f>IF(N31=0,"",SUMIFS(PRICES!$G$2:$G$658,PRICES!$B$2:$B$658,'MAIN TABLE-1 AUTOMATED'!J31,PRICES!$C$2:$C$658,'MAIN TABLE-1 AUTOMATED'!F31,PRICES!$D$2:$D$658,'MAIN TABLE-1 AUTOMATED'!O31))</f>
        <v/>
      </c>
      <c r="R31" s="41" t="str">
        <f>IF(Table1[[#This Row],[QUANTITY]]=0,"",Table1[[#This Row],[UNIT PRICE]]*Table1[[#This Row],[QUANTITY]])</f>
        <v/>
      </c>
      <c r="S31" s="89"/>
      <c r="T31" s="38"/>
      <c r="U31" s="43"/>
      <c r="V31" s="42" t="str">
        <f>IF(Table1[[#This Row],[DATE]]=0,"",YEAR(E31))</f>
        <v/>
      </c>
      <c r="W31" s="40" t="str">
        <f t="shared" si="0"/>
        <v/>
      </c>
      <c r="X31" s="40" t="str">
        <f t="shared" si="1"/>
        <v/>
      </c>
      <c r="Y31" s="40" t="str">
        <f>TEXT(Table1[[#This Row],[YEAR]],"0000")&amp;"-"&amp;Table1[[#This Row],[MONTH]]</f>
        <v>-</v>
      </c>
    </row>
    <row r="32" spans="1:25" ht="18" x14ac:dyDescent="0.35">
      <c r="A32" s="24"/>
      <c r="B32" s="38"/>
      <c r="C32" s="38"/>
      <c r="D32" s="38"/>
      <c r="E32" s="37"/>
      <c r="F32" s="38"/>
      <c r="G32" s="198"/>
      <c r="H32" s="198"/>
      <c r="I32" s="39"/>
      <c r="J32" s="38"/>
      <c r="K32" s="198"/>
      <c r="L32" s="38"/>
      <c r="M32" s="38"/>
      <c r="N32" s="38"/>
      <c r="O32" s="38"/>
      <c r="P32" s="40" t="str" cm="1">
        <f t="array" ref="P32">IF(N32="","",IFERROR(_xlfn.XLOOKUP(F32&amp;"|"&amp;J32&amp;"|"&amp;O32,PRICES!$C$2:$C$659&amp;"|"&amp;PRICES!$B$2:$B$659&amp;"|"&amp;PRICES!$D$2:$D$659,PRICES!$E$2:$E$659),"Not Found"))</f>
        <v/>
      </c>
      <c r="Q32" s="100" t="str">
        <f>IF(N32=0,"",SUMIFS(PRICES!$G$2:$G$658,PRICES!$B$2:$B$658,'MAIN TABLE-1 AUTOMATED'!J32,PRICES!$C$2:$C$658,'MAIN TABLE-1 AUTOMATED'!F32,PRICES!$D$2:$D$658,'MAIN TABLE-1 AUTOMATED'!O32))</f>
        <v/>
      </c>
      <c r="R32" s="41" t="str">
        <f>IF(Table1[[#This Row],[QUANTITY]]=0,"",Table1[[#This Row],[UNIT PRICE]]*Table1[[#This Row],[QUANTITY]])</f>
        <v/>
      </c>
      <c r="S32" s="89"/>
      <c r="T32" s="38"/>
      <c r="U32" s="43"/>
      <c r="V32" s="42" t="str">
        <f>IF(Table1[[#This Row],[DATE]]=0,"",YEAR(E32))</f>
        <v/>
      </c>
      <c r="W32" s="40" t="str">
        <f t="shared" si="0"/>
        <v/>
      </c>
      <c r="X32" s="40" t="str">
        <f t="shared" si="1"/>
        <v/>
      </c>
      <c r="Y32" s="40" t="str">
        <f>TEXT(Table1[[#This Row],[YEAR]],"0000")&amp;"-"&amp;Table1[[#This Row],[MONTH]]</f>
        <v>-</v>
      </c>
    </row>
    <row r="33" spans="1:27" ht="18" x14ac:dyDescent="0.35">
      <c r="A33" s="24"/>
      <c r="B33" s="38"/>
      <c r="C33" s="38"/>
      <c r="D33" s="38"/>
      <c r="E33" s="37"/>
      <c r="F33" s="38"/>
      <c r="G33" s="198"/>
      <c r="H33" s="198"/>
      <c r="I33" s="39"/>
      <c r="J33" s="38"/>
      <c r="K33" s="198"/>
      <c r="L33" s="38"/>
      <c r="M33" s="38"/>
      <c r="N33" s="38"/>
      <c r="O33" s="38"/>
      <c r="P33" s="40" t="str" cm="1">
        <f t="array" ref="P33">IF(N33="","",IFERROR(_xlfn.XLOOKUP(F33&amp;"|"&amp;J33&amp;"|"&amp;O33,PRICES!$C$2:$C$659&amp;"|"&amp;PRICES!$B$2:$B$659&amp;"|"&amp;PRICES!$D$2:$D$659,PRICES!$E$2:$E$659),"Not Found"))</f>
        <v/>
      </c>
      <c r="Q33" s="100" t="str">
        <f>IF(N33=0,"",SUMIFS(PRICES!$G$2:$G$658,PRICES!$B$2:$B$658,'MAIN TABLE-1 AUTOMATED'!J33,PRICES!$C$2:$C$658,'MAIN TABLE-1 AUTOMATED'!F33,PRICES!$D$2:$D$658,'MAIN TABLE-1 AUTOMATED'!O33))</f>
        <v/>
      </c>
      <c r="R33" s="41" t="str">
        <f>IF(Table1[[#This Row],[QUANTITY]]=0,"",Table1[[#This Row],[UNIT PRICE]]*Table1[[#This Row],[QUANTITY]])</f>
        <v/>
      </c>
      <c r="S33" s="89"/>
      <c r="T33" s="38"/>
      <c r="U33" s="43"/>
      <c r="V33" s="42" t="str">
        <f>IF(Table1[[#This Row],[DATE]]=0,"",YEAR(E33))</f>
        <v/>
      </c>
      <c r="W33" s="40" t="str">
        <f t="shared" si="0"/>
        <v/>
      </c>
      <c r="X33" s="40" t="str">
        <f t="shared" si="1"/>
        <v/>
      </c>
      <c r="Y33" s="40" t="str">
        <f>TEXT(Table1[[#This Row],[YEAR]],"0000")&amp;"-"&amp;Table1[[#This Row],[MONTH]]</f>
        <v>-</v>
      </c>
    </row>
    <row r="34" spans="1:27" ht="18" x14ac:dyDescent="0.35">
      <c r="A34" s="24"/>
      <c r="B34" s="38"/>
      <c r="C34" s="38"/>
      <c r="D34" s="38"/>
      <c r="E34" s="37"/>
      <c r="F34" s="38"/>
      <c r="G34" s="198"/>
      <c r="H34" s="198"/>
      <c r="I34" s="39"/>
      <c r="J34" s="38"/>
      <c r="K34" s="198"/>
      <c r="L34" s="38"/>
      <c r="M34" s="38"/>
      <c r="N34" s="38"/>
      <c r="O34" s="38"/>
      <c r="P34" s="40" t="str" cm="1">
        <f t="array" ref="P34">IF(N34="","",IFERROR(_xlfn.XLOOKUP(F34&amp;"|"&amp;J34&amp;"|"&amp;O34,PRICES!$C$2:$C$659&amp;"|"&amp;PRICES!$B$2:$B$659&amp;"|"&amp;PRICES!$D$2:$D$659,PRICES!$E$2:$E$659),"Not Found"))</f>
        <v/>
      </c>
      <c r="Q34" s="100" t="str">
        <f>IF(N34=0,"",SUMIFS(PRICES!$G$2:$G$658,PRICES!$B$2:$B$658,'MAIN TABLE-1 AUTOMATED'!J34,PRICES!$C$2:$C$658,'MAIN TABLE-1 AUTOMATED'!F34,PRICES!$D$2:$D$658,'MAIN TABLE-1 AUTOMATED'!O34))</f>
        <v/>
      </c>
      <c r="R34" s="41" t="str">
        <f>IF(Table1[[#This Row],[QUANTITY]]=0,"",Table1[[#This Row],[UNIT PRICE]]*Table1[[#This Row],[QUANTITY]])</f>
        <v/>
      </c>
      <c r="S34" s="89"/>
      <c r="T34" s="38"/>
      <c r="U34" s="43"/>
      <c r="V34" s="42" t="str">
        <f>IF(Table1[[#This Row],[DATE]]=0,"",YEAR(E34))</f>
        <v/>
      </c>
      <c r="W34" s="40" t="str">
        <f t="shared" si="0"/>
        <v/>
      </c>
      <c r="X34" s="40" t="str">
        <f t="shared" si="1"/>
        <v/>
      </c>
      <c r="Y34" s="40" t="str">
        <f>TEXT(Table1[[#This Row],[YEAR]],"0000")&amp;"-"&amp;Table1[[#This Row],[MONTH]]</f>
        <v>-</v>
      </c>
    </row>
    <row r="35" spans="1:27" ht="18" x14ac:dyDescent="0.35">
      <c r="A35" s="24"/>
      <c r="B35" s="38"/>
      <c r="C35" s="38"/>
      <c r="D35" s="38"/>
      <c r="E35" s="37"/>
      <c r="F35" s="38"/>
      <c r="G35" s="198"/>
      <c r="H35" s="198"/>
      <c r="I35" s="39"/>
      <c r="J35" s="38"/>
      <c r="K35" s="198"/>
      <c r="L35" s="38"/>
      <c r="M35" s="38"/>
      <c r="N35" s="38"/>
      <c r="O35" s="38"/>
      <c r="P35" s="40" t="str" cm="1">
        <f t="array" ref="P35">IF(N35="","",IFERROR(_xlfn.XLOOKUP(F35&amp;"|"&amp;J35&amp;"|"&amp;O35,PRICES!$C$2:$C$659&amp;"|"&amp;PRICES!$B$2:$B$659&amp;"|"&amp;PRICES!$D$2:$D$659,PRICES!$E$2:$E$659),"Not Found"))</f>
        <v/>
      </c>
      <c r="Q35" s="100" t="str">
        <f>IF(N35=0,"",SUMIFS(PRICES!$G$2:$G$658,PRICES!$B$2:$B$658,'MAIN TABLE-1 AUTOMATED'!J35,PRICES!$C$2:$C$658,'MAIN TABLE-1 AUTOMATED'!F35,PRICES!$D$2:$D$658,'MAIN TABLE-1 AUTOMATED'!O35))</f>
        <v/>
      </c>
      <c r="R35" s="41" t="str">
        <f>IF(Table1[[#This Row],[QUANTITY]]=0,"",Table1[[#This Row],[UNIT PRICE]]*Table1[[#This Row],[QUANTITY]])</f>
        <v/>
      </c>
      <c r="S35" s="89"/>
      <c r="T35" s="38"/>
      <c r="U35" s="43"/>
      <c r="V35" s="42" t="str">
        <f>IF(Table1[[#This Row],[DATE]]=0,"",YEAR(E35))</f>
        <v/>
      </c>
      <c r="W35" s="40" t="str">
        <f t="shared" si="0"/>
        <v/>
      </c>
      <c r="X35" s="40" t="str">
        <f t="shared" si="1"/>
        <v/>
      </c>
      <c r="Y35" s="40" t="str">
        <f>TEXT(Table1[[#This Row],[YEAR]],"0000")&amp;"-"&amp;Table1[[#This Row],[MONTH]]</f>
        <v>-</v>
      </c>
    </row>
    <row r="36" spans="1:27" ht="18" x14ac:dyDescent="0.35">
      <c r="A36" s="24"/>
      <c r="B36" s="38"/>
      <c r="C36" s="38"/>
      <c r="D36" s="38"/>
      <c r="E36" s="37"/>
      <c r="F36" s="38"/>
      <c r="G36" s="198"/>
      <c r="H36" s="198"/>
      <c r="I36" s="39"/>
      <c r="J36" s="38"/>
      <c r="K36" s="198"/>
      <c r="L36" s="38"/>
      <c r="M36" s="38"/>
      <c r="N36" s="38"/>
      <c r="O36" s="38"/>
      <c r="P36" s="40" t="str" cm="1">
        <f t="array" ref="P36">IF(N36="","",IFERROR(_xlfn.XLOOKUP(F36&amp;"|"&amp;J36&amp;"|"&amp;O36,PRICES!$C$2:$C$659&amp;"|"&amp;PRICES!$B$2:$B$659&amp;"|"&amp;PRICES!$D$2:$D$659,PRICES!$E$2:$E$659),"Not Found"))</f>
        <v/>
      </c>
      <c r="Q36" s="100" t="str">
        <f>IF(N36=0,"",SUMIFS(PRICES!$G$2:$G$658,PRICES!$B$2:$B$658,'MAIN TABLE-1 AUTOMATED'!J36,PRICES!$C$2:$C$658,'MAIN TABLE-1 AUTOMATED'!F36,PRICES!$D$2:$D$658,'MAIN TABLE-1 AUTOMATED'!O36))</f>
        <v/>
      </c>
      <c r="R36" s="41" t="str">
        <f>IF(Table1[[#This Row],[QUANTITY]]=0,"",Table1[[#This Row],[UNIT PRICE]]*Table1[[#This Row],[QUANTITY]])</f>
        <v/>
      </c>
      <c r="S36" s="89"/>
      <c r="T36" s="38"/>
      <c r="U36" s="43"/>
      <c r="V36" s="42" t="str">
        <f>IF(Table1[[#This Row],[DATE]]=0,"",YEAR(E36))</f>
        <v/>
      </c>
      <c r="W36" s="40" t="str">
        <f t="shared" si="0"/>
        <v/>
      </c>
      <c r="X36" s="40" t="str">
        <f t="shared" si="1"/>
        <v/>
      </c>
      <c r="Y36" s="40" t="str">
        <f>TEXT(Table1[[#This Row],[YEAR]],"0000")&amp;"-"&amp;Table1[[#This Row],[MONTH]]</f>
        <v>-</v>
      </c>
    </row>
    <row r="37" spans="1:27" ht="18" x14ac:dyDescent="0.35">
      <c r="A37" s="24"/>
      <c r="B37" s="38"/>
      <c r="C37" s="38"/>
      <c r="D37" s="38"/>
      <c r="E37" s="37"/>
      <c r="F37" s="38"/>
      <c r="G37" s="198"/>
      <c r="H37" s="198"/>
      <c r="I37" s="39"/>
      <c r="J37" s="38"/>
      <c r="K37" s="39"/>
      <c r="L37" s="38"/>
      <c r="M37" s="38"/>
      <c r="N37" s="38"/>
      <c r="O37" s="38"/>
      <c r="P37" s="40" t="str" cm="1">
        <f t="array" ref="P37">IF(N37="","",IFERROR(_xlfn.XLOOKUP(F37&amp;"|"&amp;J37&amp;"|"&amp;O37,PRICES!$C$2:$C$659&amp;"|"&amp;PRICES!$B$2:$B$659&amp;"|"&amp;PRICES!$D$2:$D$659,PRICES!$E$2:$E$659),"Not Found"))</f>
        <v/>
      </c>
      <c r="Q37" s="100" t="str">
        <f>IF(N37=0,"",SUMIFS(PRICES!$G$2:$G$658,PRICES!$B$2:$B$658,'MAIN TABLE-1 AUTOMATED'!J37,PRICES!$C$2:$C$658,'MAIN TABLE-1 AUTOMATED'!F37,PRICES!$D$2:$D$658,'MAIN TABLE-1 AUTOMATED'!O37))</f>
        <v/>
      </c>
      <c r="R37" s="41" t="str">
        <f>IF(Table1[[#This Row],[QUANTITY]]=0,"",Table1[[#This Row],[UNIT PRICE]]*Table1[[#This Row],[QUANTITY]])</f>
        <v/>
      </c>
      <c r="S37" s="89"/>
      <c r="T37" s="38"/>
      <c r="U37" s="43"/>
      <c r="V37" s="42" t="str">
        <f>IF(Table1[[#This Row],[DATE]]=0,"",YEAR(E37))</f>
        <v/>
      </c>
      <c r="W37" s="40" t="str">
        <f t="shared" si="0"/>
        <v/>
      </c>
      <c r="X37" s="40" t="str">
        <f t="shared" si="1"/>
        <v/>
      </c>
      <c r="Y37" s="40" t="str">
        <f>TEXT(Table1[[#This Row],[YEAR]],"0000")&amp;"-"&amp;Table1[[#This Row],[MONTH]]</f>
        <v>-</v>
      </c>
      <c r="AA37" s="88"/>
    </row>
    <row r="38" spans="1:27" ht="18" x14ac:dyDescent="0.35">
      <c r="A38" s="24"/>
      <c r="B38" s="38"/>
      <c r="C38" s="38"/>
      <c r="D38" s="38"/>
      <c r="E38" s="37"/>
      <c r="F38" s="38"/>
      <c r="G38" s="198"/>
      <c r="H38" s="198"/>
      <c r="I38" s="39"/>
      <c r="J38" s="38"/>
      <c r="K38" s="198"/>
      <c r="L38" s="38"/>
      <c r="M38" s="38"/>
      <c r="N38" s="38"/>
      <c r="O38" s="38"/>
      <c r="P38" s="40" t="str" cm="1">
        <f t="array" ref="P38">IF(N38="","",IFERROR(_xlfn.XLOOKUP(F38&amp;"|"&amp;J38&amp;"|"&amp;O38,PRICES!$C$2:$C$659&amp;"|"&amp;PRICES!$B$2:$B$659&amp;"|"&amp;PRICES!$D$2:$D$659,PRICES!$E$2:$E$659),"Not Found"))</f>
        <v/>
      </c>
      <c r="Q38" s="100" t="str">
        <f>IF(N38=0,"",SUMIFS(PRICES!$G$2:$G$658,PRICES!$B$2:$B$658,'MAIN TABLE-1 AUTOMATED'!J38,PRICES!$C$2:$C$658,'MAIN TABLE-1 AUTOMATED'!F38,PRICES!$D$2:$D$658,'MAIN TABLE-1 AUTOMATED'!O38))</f>
        <v/>
      </c>
      <c r="R38" s="41" t="str">
        <f>IF(Table1[[#This Row],[QUANTITY]]=0,"",Table1[[#This Row],[UNIT PRICE]]*Table1[[#This Row],[QUANTITY]])</f>
        <v/>
      </c>
      <c r="S38" s="89"/>
      <c r="T38" s="38"/>
      <c r="U38" s="43"/>
      <c r="V38" s="42" t="str">
        <f>IF(Table1[[#This Row],[DATE]]=0,"",YEAR(E38))</f>
        <v/>
      </c>
      <c r="W38" s="40" t="str">
        <f t="shared" si="0"/>
        <v/>
      </c>
      <c r="X38" s="40" t="str">
        <f t="shared" si="1"/>
        <v/>
      </c>
      <c r="Y38" s="40" t="str">
        <f>TEXT(Table1[[#This Row],[YEAR]],"0000")&amp;"-"&amp;Table1[[#This Row],[MONTH]]</f>
        <v>-</v>
      </c>
      <c r="AA38" s="88"/>
    </row>
    <row r="39" spans="1:27" ht="18" x14ac:dyDescent="0.35">
      <c r="A39" s="24"/>
      <c r="B39" s="38"/>
      <c r="C39" s="38"/>
      <c r="D39" s="38"/>
      <c r="E39" s="37"/>
      <c r="F39" s="38"/>
      <c r="G39" s="198"/>
      <c r="H39" s="198"/>
      <c r="I39" s="39"/>
      <c r="J39" s="38"/>
      <c r="K39" s="198"/>
      <c r="L39" s="38"/>
      <c r="M39" s="38"/>
      <c r="N39" s="38"/>
      <c r="O39" s="38"/>
      <c r="P39" s="40" t="str" cm="1">
        <f t="array" ref="P39">IF(N39="","",IFERROR(_xlfn.XLOOKUP(F39&amp;"|"&amp;J39&amp;"|"&amp;O39,PRICES!$C$2:$C$659&amp;"|"&amp;PRICES!$B$2:$B$659&amp;"|"&amp;PRICES!$D$2:$D$659,PRICES!$E$2:$E$659),"Not Found"))</f>
        <v/>
      </c>
      <c r="Q39" s="100" t="str">
        <f>IF(N39=0,"",SUMIFS(PRICES!$G$2:$G$658,PRICES!$B$2:$B$658,'MAIN TABLE-1 AUTOMATED'!J39,PRICES!$C$2:$C$658,'MAIN TABLE-1 AUTOMATED'!F39,PRICES!$D$2:$D$658,'MAIN TABLE-1 AUTOMATED'!O39))</f>
        <v/>
      </c>
      <c r="R39" s="41" t="str">
        <f>IF(Table1[[#This Row],[QUANTITY]]=0,"",Table1[[#This Row],[UNIT PRICE]]*Table1[[#This Row],[QUANTITY]])</f>
        <v/>
      </c>
      <c r="S39" s="89"/>
      <c r="T39" s="38"/>
      <c r="U39" s="43"/>
      <c r="V39" s="42" t="str">
        <f>IF(Table1[[#This Row],[DATE]]=0,"",YEAR(E39))</f>
        <v/>
      </c>
      <c r="W39" s="40" t="str">
        <f t="shared" si="0"/>
        <v/>
      </c>
      <c r="X39" s="40" t="str">
        <f t="shared" si="1"/>
        <v/>
      </c>
      <c r="Y39" s="40" t="str">
        <f>TEXT(Table1[[#This Row],[YEAR]],"0000")&amp;"-"&amp;Table1[[#This Row],[MONTH]]</f>
        <v>-</v>
      </c>
      <c r="AA39" s="88"/>
    </row>
    <row r="40" spans="1:27" ht="18" x14ac:dyDescent="0.35">
      <c r="A40" s="24"/>
      <c r="B40" s="38"/>
      <c r="C40" s="38"/>
      <c r="D40" s="38"/>
      <c r="E40" s="37"/>
      <c r="F40" s="38"/>
      <c r="G40" s="198"/>
      <c r="H40" s="198"/>
      <c r="I40" s="39"/>
      <c r="J40" s="38"/>
      <c r="K40" s="198"/>
      <c r="L40" s="38"/>
      <c r="M40" s="38"/>
      <c r="N40" s="38"/>
      <c r="O40" s="38"/>
      <c r="P40" s="40" t="str" cm="1">
        <f t="array" ref="P40">IF(N40="","",IFERROR(_xlfn.XLOOKUP(F40&amp;"|"&amp;J40&amp;"|"&amp;O40,PRICES!$C$2:$C$659&amp;"|"&amp;PRICES!$B$2:$B$659&amp;"|"&amp;PRICES!$D$2:$D$659,PRICES!$E$2:$E$659),"Not Found"))</f>
        <v/>
      </c>
      <c r="Q40" s="100" t="str">
        <f>IF(N40=0,"",SUMIFS(PRICES!$G$2:$G$658,PRICES!$B$2:$B$658,'MAIN TABLE-1 AUTOMATED'!J40,PRICES!$C$2:$C$658,'MAIN TABLE-1 AUTOMATED'!F40,PRICES!$D$2:$D$658,'MAIN TABLE-1 AUTOMATED'!O40))</f>
        <v/>
      </c>
      <c r="R40" s="41" t="str">
        <f>IF(Table1[[#This Row],[QUANTITY]]=0,"",Table1[[#This Row],[UNIT PRICE]]*Table1[[#This Row],[QUANTITY]])</f>
        <v/>
      </c>
      <c r="S40" s="89"/>
      <c r="T40" s="38"/>
      <c r="U40" s="43"/>
      <c r="V40" s="42" t="str">
        <f>IF(Table1[[#This Row],[DATE]]=0,"",YEAR(E40))</f>
        <v/>
      </c>
      <c r="W40" s="40" t="str">
        <f t="shared" si="0"/>
        <v/>
      </c>
      <c r="X40" s="40" t="str">
        <f t="shared" si="1"/>
        <v/>
      </c>
      <c r="Y40" s="40" t="str">
        <f>TEXT(Table1[[#This Row],[YEAR]],"0000")&amp;"-"&amp;Table1[[#This Row],[MONTH]]</f>
        <v>-</v>
      </c>
      <c r="AA40" s="88"/>
    </row>
    <row r="41" spans="1:27" ht="18" x14ac:dyDescent="0.35">
      <c r="A41" s="24"/>
      <c r="B41" s="38"/>
      <c r="C41" s="38"/>
      <c r="D41" s="38"/>
      <c r="E41" s="37"/>
      <c r="F41" s="38"/>
      <c r="G41" s="198"/>
      <c r="H41" s="198"/>
      <c r="I41" s="39"/>
      <c r="J41" s="38"/>
      <c r="K41" s="198"/>
      <c r="L41" s="38"/>
      <c r="M41" s="38"/>
      <c r="N41" s="38"/>
      <c r="O41" s="38"/>
      <c r="P41" s="40" t="str" cm="1">
        <f t="array" ref="P41">IF(N41="","",IFERROR(_xlfn.XLOOKUP(F41&amp;"|"&amp;J41&amp;"|"&amp;O41,PRICES!$C$2:$C$659&amp;"|"&amp;PRICES!$B$2:$B$659&amp;"|"&amp;PRICES!$D$2:$D$659,PRICES!$E$2:$E$659),"Not Found"))</f>
        <v/>
      </c>
      <c r="Q41" s="100" t="str">
        <f>IF(N41=0,"",SUMIFS(PRICES!$G$2:$G$658,PRICES!$B$2:$B$658,'MAIN TABLE-1 AUTOMATED'!J41,PRICES!$C$2:$C$658,'MAIN TABLE-1 AUTOMATED'!F41,PRICES!$D$2:$D$658,'MAIN TABLE-1 AUTOMATED'!O41))</f>
        <v/>
      </c>
      <c r="R41" s="41" t="str">
        <f>IF(Table1[[#This Row],[QUANTITY]]=0,"",Table1[[#This Row],[UNIT PRICE]]*Table1[[#This Row],[QUANTITY]])</f>
        <v/>
      </c>
      <c r="S41" s="89"/>
      <c r="T41" s="38"/>
      <c r="U41" s="43"/>
      <c r="V41" s="42" t="str">
        <f>IF(Table1[[#This Row],[DATE]]=0,"",YEAR(E41))</f>
        <v/>
      </c>
      <c r="W41" s="40" t="str">
        <f t="shared" si="0"/>
        <v/>
      </c>
      <c r="X41" s="40" t="str">
        <f t="shared" si="1"/>
        <v/>
      </c>
      <c r="Y41" s="40" t="str">
        <f>TEXT(Table1[[#This Row],[YEAR]],"0000")&amp;"-"&amp;Table1[[#This Row],[MONTH]]</f>
        <v>-</v>
      </c>
      <c r="AA41" s="88"/>
    </row>
    <row r="42" spans="1:27" ht="18" x14ac:dyDescent="0.35">
      <c r="A42" s="24"/>
      <c r="B42" s="38"/>
      <c r="C42" s="38"/>
      <c r="D42" s="38"/>
      <c r="E42" s="37"/>
      <c r="F42" s="38"/>
      <c r="G42" s="198"/>
      <c r="H42" s="198"/>
      <c r="I42" s="39"/>
      <c r="J42" s="38"/>
      <c r="K42" s="198"/>
      <c r="L42" s="38"/>
      <c r="M42" s="38"/>
      <c r="N42" s="38"/>
      <c r="O42" s="38"/>
      <c r="P42" s="40" t="str" cm="1">
        <f t="array" ref="P42">IF(N42="","",IFERROR(_xlfn.XLOOKUP(F42&amp;"|"&amp;J42&amp;"|"&amp;O42,PRICES!$C$2:$C$659&amp;"|"&amp;PRICES!$B$2:$B$659&amp;"|"&amp;PRICES!$D$2:$D$659,PRICES!$E$2:$E$659),"Not Found"))</f>
        <v/>
      </c>
      <c r="Q42" s="100" t="str">
        <f>IF(N42=0,"",SUMIFS(PRICES!$G$2:$G$658,PRICES!$B$2:$B$658,'MAIN TABLE-1 AUTOMATED'!J42,PRICES!$C$2:$C$658,'MAIN TABLE-1 AUTOMATED'!F42,PRICES!$D$2:$D$658,'MAIN TABLE-1 AUTOMATED'!O42))</f>
        <v/>
      </c>
      <c r="R42" s="41" t="str">
        <f>IF(Table1[[#This Row],[QUANTITY]]=0,"",Table1[[#This Row],[UNIT PRICE]]*Table1[[#This Row],[QUANTITY]])</f>
        <v/>
      </c>
      <c r="S42" s="89"/>
      <c r="T42" s="38"/>
      <c r="U42" s="43"/>
      <c r="V42" s="42" t="str">
        <f>IF(Table1[[#This Row],[DATE]]=0,"",YEAR(E42))</f>
        <v/>
      </c>
      <c r="W42" s="40" t="str">
        <f t="shared" si="0"/>
        <v/>
      </c>
      <c r="X42" s="40" t="str">
        <f t="shared" si="1"/>
        <v/>
      </c>
      <c r="Y42" s="40" t="str">
        <f>TEXT(Table1[[#This Row],[YEAR]],"0000")&amp;"-"&amp;Table1[[#This Row],[MONTH]]</f>
        <v>-</v>
      </c>
    </row>
    <row r="43" spans="1:27" ht="18" x14ac:dyDescent="0.35">
      <c r="A43" s="24"/>
      <c r="B43" s="38"/>
      <c r="C43" s="38"/>
      <c r="D43" s="38"/>
      <c r="E43" s="37"/>
      <c r="F43" s="38"/>
      <c r="G43" s="198"/>
      <c r="H43" s="198"/>
      <c r="I43" s="39"/>
      <c r="J43" s="38"/>
      <c r="K43" s="198"/>
      <c r="L43" s="38"/>
      <c r="M43" s="38"/>
      <c r="N43" s="38"/>
      <c r="O43" s="38"/>
      <c r="P43" s="40" t="str" cm="1">
        <f t="array" ref="P43">IF(N43="","",IFERROR(_xlfn.XLOOKUP(F43&amp;"|"&amp;J43&amp;"|"&amp;O43,PRICES!$C$2:$C$659&amp;"|"&amp;PRICES!$B$2:$B$659&amp;"|"&amp;PRICES!$D$2:$D$659,PRICES!$E$2:$E$659),"Not Found"))</f>
        <v/>
      </c>
      <c r="Q43" s="100" t="str">
        <f>IF(N43=0,"",SUMIFS(PRICES!$G$2:$G$658,PRICES!$B$2:$B$658,'MAIN TABLE-1 AUTOMATED'!J43,PRICES!$C$2:$C$658,'MAIN TABLE-1 AUTOMATED'!F43,PRICES!$D$2:$D$658,'MAIN TABLE-1 AUTOMATED'!O43))</f>
        <v/>
      </c>
      <c r="R43" s="41" t="str">
        <f>IF(Table1[[#This Row],[QUANTITY]]=0,"",Table1[[#This Row],[UNIT PRICE]]*Table1[[#This Row],[QUANTITY]])</f>
        <v/>
      </c>
      <c r="S43" s="89"/>
      <c r="T43" s="38"/>
      <c r="U43" s="43"/>
      <c r="V43" s="42" t="str">
        <f>IF(Table1[[#This Row],[DATE]]=0,"",YEAR(E43))</f>
        <v/>
      </c>
      <c r="W43" s="40" t="str">
        <f t="shared" si="0"/>
        <v/>
      </c>
      <c r="X43" s="40" t="str">
        <f t="shared" si="1"/>
        <v/>
      </c>
      <c r="Y43" s="40" t="str">
        <f>TEXT(Table1[[#This Row],[YEAR]],"0000")&amp;"-"&amp;Table1[[#This Row],[MONTH]]</f>
        <v>-</v>
      </c>
    </row>
    <row r="44" spans="1:27" ht="18" x14ac:dyDescent="0.35">
      <c r="A44" s="24"/>
      <c r="B44" s="38"/>
      <c r="C44" s="38"/>
      <c r="D44" s="38"/>
      <c r="E44" s="37"/>
      <c r="F44" s="38"/>
      <c r="G44" s="198"/>
      <c r="H44" s="198"/>
      <c r="I44" s="39"/>
      <c r="J44" s="38"/>
      <c r="K44" s="198"/>
      <c r="L44" s="38"/>
      <c r="M44" s="38"/>
      <c r="N44" s="38"/>
      <c r="O44" s="38"/>
      <c r="P44" s="40" t="str" cm="1">
        <f t="array" ref="P44">IF(N44="","",IFERROR(_xlfn.XLOOKUP(F44&amp;"|"&amp;J44&amp;"|"&amp;O44,PRICES!$C$2:$C$659&amp;"|"&amp;PRICES!$B$2:$B$659&amp;"|"&amp;PRICES!$D$2:$D$659,PRICES!$E$2:$E$659),"Not Found"))</f>
        <v/>
      </c>
      <c r="Q44" s="100" t="str">
        <f>IF(N44=0,"",SUMIFS(PRICES!$G$2:$G$658,PRICES!$B$2:$B$658,'MAIN TABLE-1 AUTOMATED'!J44,PRICES!$C$2:$C$658,'MAIN TABLE-1 AUTOMATED'!F44,PRICES!$D$2:$D$658,'MAIN TABLE-1 AUTOMATED'!O44))</f>
        <v/>
      </c>
      <c r="R44" s="41" t="str">
        <f>IF(Table1[[#This Row],[QUANTITY]]=0,"",Table1[[#This Row],[UNIT PRICE]]*Table1[[#This Row],[QUANTITY]])</f>
        <v/>
      </c>
      <c r="S44" s="89"/>
      <c r="T44" s="38"/>
      <c r="U44" s="43"/>
      <c r="V44" s="42" t="str">
        <f>IF(Table1[[#This Row],[DATE]]=0,"",YEAR(E44))</f>
        <v/>
      </c>
      <c r="W44" s="40" t="str">
        <f t="shared" si="0"/>
        <v/>
      </c>
      <c r="X44" s="40" t="str">
        <f t="shared" si="1"/>
        <v/>
      </c>
      <c r="Y44" s="40" t="str">
        <f>TEXT(Table1[[#This Row],[YEAR]],"0000")&amp;"-"&amp;Table1[[#This Row],[MONTH]]</f>
        <v>-</v>
      </c>
    </row>
    <row r="45" spans="1:27" ht="18" x14ac:dyDescent="0.35">
      <c r="A45" s="24"/>
      <c r="B45" s="38"/>
      <c r="C45" s="38"/>
      <c r="D45" s="38"/>
      <c r="E45" s="37"/>
      <c r="F45" s="38"/>
      <c r="G45" s="198"/>
      <c r="H45" s="198"/>
      <c r="I45" s="39"/>
      <c r="J45" s="38"/>
      <c r="K45" s="198"/>
      <c r="L45" s="38"/>
      <c r="M45" s="38"/>
      <c r="N45" s="38"/>
      <c r="O45" s="38"/>
      <c r="P45" s="40" t="str" cm="1">
        <f t="array" ref="P45">IF(N45="","",IFERROR(_xlfn.XLOOKUP(F45&amp;"|"&amp;J45&amp;"|"&amp;O45,PRICES!$C$2:$C$659&amp;"|"&amp;PRICES!$B$2:$B$659&amp;"|"&amp;PRICES!$D$2:$D$659,PRICES!$E$2:$E$659),"Not Found"))</f>
        <v/>
      </c>
      <c r="Q45" s="100" t="str">
        <f>IF(N45=0,"",SUMIFS(PRICES!$G$2:$G$658,PRICES!$B$2:$B$658,'MAIN TABLE-1 AUTOMATED'!J45,PRICES!$C$2:$C$658,'MAIN TABLE-1 AUTOMATED'!F45,PRICES!$D$2:$D$658,'MAIN TABLE-1 AUTOMATED'!O45))</f>
        <v/>
      </c>
      <c r="R45" s="41" t="str">
        <f>IF(Table1[[#This Row],[QUANTITY]]=0,"",Table1[[#This Row],[UNIT PRICE]]*Table1[[#This Row],[QUANTITY]])</f>
        <v/>
      </c>
      <c r="S45" s="89"/>
      <c r="T45" s="38"/>
      <c r="U45" s="43"/>
      <c r="V45" s="42" t="str">
        <f>IF(Table1[[#This Row],[DATE]]=0,"",YEAR(E45))</f>
        <v/>
      </c>
      <c r="W45" s="40" t="str">
        <f t="shared" si="0"/>
        <v/>
      </c>
      <c r="X45" s="40" t="str">
        <f t="shared" si="1"/>
        <v/>
      </c>
      <c r="Y45" s="40" t="str">
        <f>TEXT(Table1[[#This Row],[YEAR]],"0000")&amp;"-"&amp;Table1[[#This Row],[MONTH]]</f>
        <v>-</v>
      </c>
    </row>
    <row r="46" spans="1:27" ht="18" x14ac:dyDescent="0.35">
      <c r="A46" s="24"/>
      <c r="B46" s="38"/>
      <c r="C46" s="38"/>
      <c r="D46" s="38"/>
      <c r="E46" s="37"/>
      <c r="F46" s="38"/>
      <c r="G46" s="198"/>
      <c r="H46" s="198"/>
      <c r="I46" s="39"/>
      <c r="J46" s="38"/>
      <c r="K46" s="198"/>
      <c r="L46" s="38"/>
      <c r="M46" s="38"/>
      <c r="N46" s="38"/>
      <c r="O46" s="38"/>
      <c r="P46" s="40" t="str" cm="1">
        <f t="array" ref="P46">IF(N46="","",IFERROR(_xlfn.XLOOKUP(F46&amp;"|"&amp;J46&amp;"|"&amp;O46,PRICES!$C$2:$C$659&amp;"|"&amp;PRICES!$B$2:$B$659&amp;"|"&amp;PRICES!$D$2:$D$659,PRICES!$E$2:$E$659),"Not Found"))</f>
        <v/>
      </c>
      <c r="Q46" s="100" t="str">
        <f>IF(N46=0,"",SUMIFS(PRICES!$G$2:$G$658,PRICES!$B$2:$B$658,'MAIN TABLE-1 AUTOMATED'!J46,PRICES!$C$2:$C$658,'MAIN TABLE-1 AUTOMATED'!F46,PRICES!$D$2:$D$658,'MAIN TABLE-1 AUTOMATED'!O46))</f>
        <v/>
      </c>
      <c r="R46" s="41" t="str">
        <f>IF(Table1[[#This Row],[QUANTITY]]=0,"",Table1[[#This Row],[UNIT PRICE]]*Table1[[#This Row],[QUANTITY]])</f>
        <v/>
      </c>
      <c r="S46" s="89"/>
      <c r="T46" s="38"/>
      <c r="U46" s="43"/>
      <c r="V46" s="42" t="str">
        <f>IF(Table1[[#This Row],[DATE]]=0,"",YEAR(E46))</f>
        <v/>
      </c>
      <c r="W46" s="40" t="str">
        <f t="shared" si="0"/>
        <v/>
      </c>
      <c r="X46" s="40" t="str">
        <f t="shared" si="1"/>
        <v/>
      </c>
      <c r="Y46" s="40" t="str">
        <f>TEXT(Table1[[#This Row],[YEAR]],"0000")&amp;"-"&amp;Table1[[#This Row],[MONTH]]</f>
        <v>-</v>
      </c>
    </row>
    <row r="47" spans="1:27" ht="18" x14ac:dyDescent="0.35">
      <c r="A47" s="24"/>
      <c r="B47" s="38"/>
      <c r="C47" s="38"/>
      <c r="D47" s="38"/>
      <c r="E47" s="37"/>
      <c r="F47" s="38"/>
      <c r="G47" s="198"/>
      <c r="H47" s="198"/>
      <c r="I47" s="39"/>
      <c r="J47" s="38"/>
      <c r="K47" s="198"/>
      <c r="L47" s="38"/>
      <c r="M47" s="38"/>
      <c r="N47" s="38"/>
      <c r="O47" s="38"/>
      <c r="P47" s="40" t="str" cm="1">
        <f t="array" ref="P47">IF(N47="","",IFERROR(_xlfn.XLOOKUP(F47&amp;"|"&amp;J47&amp;"|"&amp;O47,PRICES!$C$2:$C$659&amp;"|"&amp;PRICES!$B$2:$B$659&amp;"|"&amp;PRICES!$D$2:$D$659,PRICES!$E$2:$E$659),"Not Found"))</f>
        <v/>
      </c>
      <c r="Q47" s="100" t="str">
        <f>IF(N47=0,"",SUMIFS(PRICES!$G$2:$G$658,PRICES!$B$2:$B$658,'MAIN TABLE-1 AUTOMATED'!J47,PRICES!$C$2:$C$658,'MAIN TABLE-1 AUTOMATED'!F47,PRICES!$D$2:$D$658,'MAIN TABLE-1 AUTOMATED'!O47))</f>
        <v/>
      </c>
      <c r="R47" s="41" t="str">
        <f>IF(Table1[[#This Row],[QUANTITY]]=0,"",Table1[[#This Row],[UNIT PRICE]]*Table1[[#This Row],[QUANTITY]])</f>
        <v/>
      </c>
      <c r="S47" s="89"/>
      <c r="T47" s="38"/>
      <c r="U47" s="43"/>
      <c r="V47" s="42" t="str">
        <f>IF(Table1[[#This Row],[DATE]]=0,"",YEAR(E47))</f>
        <v/>
      </c>
      <c r="W47" s="40" t="str">
        <f t="shared" si="0"/>
        <v/>
      </c>
      <c r="X47" s="40" t="str">
        <f t="shared" si="1"/>
        <v/>
      </c>
      <c r="Y47" s="40" t="str">
        <f>TEXT(Table1[[#This Row],[YEAR]],"0000")&amp;"-"&amp;Table1[[#This Row],[MONTH]]</f>
        <v>-</v>
      </c>
    </row>
    <row r="48" spans="1:27" ht="18" x14ac:dyDescent="0.35">
      <c r="A48" s="24"/>
      <c r="B48" s="38"/>
      <c r="C48" s="38"/>
      <c r="D48" s="38"/>
      <c r="E48" s="37"/>
      <c r="F48" s="38"/>
      <c r="G48" s="198"/>
      <c r="H48" s="198"/>
      <c r="I48" s="39"/>
      <c r="J48" s="38"/>
      <c r="K48" s="198"/>
      <c r="L48" s="38"/>
      <c r="M48" s="38"/>
      <c r="N48" s="38"/>
      <c r="O48" s="38"/>
      <c r="P48" s="40" t="str" cm="1">
        <f t="array" ref="P48">IF(N48="","",IFERROR(_xlfn.XLOOKUP(F48&amp;"|"&amp;J48&amp;"|"&amp;O48,PRICES!$C$2:$C$659&amp;"|"&amp;PRICES!$B$2:$B$659&amp;"|"&amp;PRICES!$D$2:$D$659,PRICES!$E$2:$E$659),"Not Found"))</f>
        <v/>
      </c>
      <c r="Q48" s="100" t="str">
        <f>IF(N48=0,"",SUMIFS(PRICES!$G$2:$G$658,PRICES!$B$2:$B$658,'MAIN TABLE-1 AUTOMATED'!J48,PRICES!$C$2:$C$658,'MAIN TABLE-1 AUTOMATED'!F48,PRICES!$D$2:$D$658,'MAIN TABLE-1 AUTOMATED'!O48))</f>
        <v/>
      </c>
      <c r="R48" s="41" t="str">
        <f>IF(Table1[[#This Row],[QUANTITY]]=0,"",Table1[[#This Row],[UNIT PRICE]]*Table1[[#This Row],[QUANTITY]])</f>
        <v/>
      </c>
      <c r="S48" s="89"/>
      <c r="T48" s="38"/>
      <c r="U48" s="43"/>
      <c r="V48" s="42" t="str">
        <f>IF(Table1[[#This Row],[DATE]]=0,"",YEAR(E48))</f>
        <v/>
      </c>
      <c r="W48" s="40" t="str">
        <f t="shared" si="0"/>
        <v/>
      </c>
      <c r="X48" s="40" t="str">
        <f t="shared" si="1"/>
        <v/>
      </c>
      <c r="Y48" s="40" t="str">
        <f>TEXT(Table1[[#This Row],[YEAR]],"0000")&amp;"-"&amp;Table1[[#This Row],[MONTH]]</f>
        <v>-</v>
      </c>
    </row>
    <row r="49" spans="1:25" ht="18" x14ac:dyDescent="0.35">
      <c r="A49" s="24"/>
      <c r="B49" s="38"/>
      <c r="C49" s="38"/>
      <c r="D49" s="38"/>
      <c r="E49" s="37"/>
      <c r="F49" s="38"/>
      <c r="G49" s="198"/>
      <c r="H49" s="198"/>
      <c r="I49" s="39"/>
      <c r="J49" s="38"/>
      <c r="K49" s="198"/>
      <c r="L49" s="38"/>
      <c r="M49" s="38"/>
      <c r="N49" s="38"/>
      <c r="O49" s="38"/>
      <c r="P49" s="40" t="str" cm="1">
        <f t="array" ref="P49">IF(N49="","",IFERROR(_xlfn.XLOOKUP(F49&amp;"|"&amp;J49&amp;"|"&amp;O49,PRICES!$C$2:$C$659&amp;"|"&amp;PRICES!$B$2:$B$659&amp;"|"&amp;PRICES!$D$2:$D$659,PRICES!$E$2:$E$659),"Not Found"))</f>
        <v/>
      </c>
      <c r="Q49" s="100" t="str">
        <f>IF(N49=0,"",SUMIFS(PRICES!$G$2:$G$658,PRICES!$B$2:$B$658,'MAIN TABLE-1 AUTOMATED'!J49,PRICES!$C$2:$C$658,'MAIN TABLE-1 AUTOMATED'!F49,PRICES!$D$2:$D$658,'MAIN TABLE-1 AUTOMATED'!O49))</f>
        <v/>
      </c>
      <c r="R49" s="41" t="str">
        <f>IF(Table1[[#This Row],[QUANTITY]]=0,"",Table1[[#This Row],[UNIT PRICE]]*Table1[[#This Row],[QUANTITY]])</f>
        <v/>
      </c>
      <c r="S49" s="89"/>
      <c r="T49" s="38"/>
      <c r="U49" s="43"/>
      <c r="V49" s="42" t="str">
        <f>IF(Table1[[#This Row],[DATE]]=0,"",YEAR(E49))</f>
        <v/>
      </c>
      <c r="W49" s="40" t="str">
        <f t="shared" si="0"/>
        <v/>
      </c>
      <c r="X49" s="40" t="str">
        <f t="shared" si="1"/>
        <v/>
      </c>
      <c r="Y49" s="40" t="str">
        <f>TEXT(Table1[[#This Row],[YEAR]],"0000")&amp;"-"&amp;Table1[[#This Row],[MONTH]]</f>
        <v>-</v>
      </c>
    </row>
    <row r="50" spans="1:25" ht="18" x14ac:dyDescent="0.35">
      <c r="A50" s="24"/>
      <c r="B50" s="38"/>
      <c r="C50" s="38"/>
      <c r="D50" s="38"/>
      <c r="E50" s="37"/>
      <c r="F50" s="38"/>
      <c r="G50" s="198"/>
      <c r="H50" s="198"/>
      <c r="I50" s="39"/>
      <c r="J50" s="38"/>
      <c r="K50" s="198"/>
      <c r="L50" s="38"/>
      <c r="M50" s="38"/>
      <c r="N50" s="38"/>
      <c r="O50" s="38"/>
      <c r="P50" s="40" t="str" cm="1">
        <f t="array" ref="P50">IF(N50="","",IFERROR(_xlfn.XLOOKUP(F50&amp;"|"&amp;J50&amp;"|"&amp;O50,PRICES!$C$2:$C$659&amp;"|"&amp;PRICES!$B$2:$B$659&amp;"|"&amp;PRICES!$D$2:$D$659,PRICES!$E$2:$E$659),"Not Found"))</f>
        <v/>
      </c>
      <c r="Q50" s="100" t="str">
        <f>IF(N50=0,"",SUMIFS(PRICES!$G$2:$G$658,PRICES!$B$2:$B$658,'MAIN TABLE-1 AUTOMATED'!J50,PRICES!$C$2:$C$658,'MAIN TABLE-1 AUTOMATED'!F50,PRICES!$D$2:$D$658,'MAIN TABLE-1 AUTOMATED'!O50))</f>
        <v/>
      </c>
      <c r="R50" s="41" t="str">
        <f>IF(Table1[[#This Row],[QUANTITY]]=0,"",Table1[[#This Row],[UNIT PRICE]]*Table1[[#This Row],[QUANTITY]])</f>
        <v/>
      </c>
      <c r="S50" s="89"/>
      <c r="T50" s="38"/>
      <c r="U50" s="43"/>
      <c r="V50" s="42" t="str">
        <f>IF(Table1[[#This Row],[DATE]]=0,"",YEAR(E50))</f>
        <v/>
      </c>
      <c r="W50" s="40" t="str">
        <f t="shared" si="0"/>
        <v/>
      </c>
      <c r="X50" s="40" t="str">
        <f t="shared" si="1"/>
        <v/>
      </c>
      <c r="Y50" s="40" t="str">
        <f>TEXT(Table1[[#This Row],[YEAR]],"0000")&amp;"-"&amp;Table1[[#This Row],[MONTH]]</f>
        <v>-</v>
      </c>
    </row>
    <row r="51" spans="1:25" ht="18" x14ac:dyDescent="0.35">
      <c r="A51" s="24"/>
      <c r="B51" s="38"/>
      <c r="C51" s="38"/>
      <c r="D51" s="38"/>
      <c r="E51" s="37"/>
      <c r="F51" s="38"/>
      <c r="G51" s="198"/>
      <c r="H51" s="198"/>
      <c r="I51" s="39"/>
      <c r="J51" s="38"/>
      <c r="K51" s="198"/>
      <c r="L51" s="38"/>
      <c r="M51" s="38"/>
      <c r="N51" s="38"/>
      <c r="O51" s="38"/>
      <c r="P51" s="40" t="str" cm="1">
        <f t="array" ref="P51">IF(N51="","",IFERROR(_xlfn.XLOOKUP(F51&amp;"|"&amp;J51&amp;"|"&amp;O51,PRICES!$C$2:$C$659&amp;"|"&amp;PRICES!$B$2:$B$659&amp;"|"&amp;PRICES!$D$2:$D$659,PRICES!$E$2:$E$659),"Not Found"))</f>
        <v/>
      </c>
      <c r="Q51" s="100" t="str">
        <f>IF(N51=0,"",SUMIFS(PRICES!$G$2:$G$658,PRICES!$B$2:$B$658,'MAIN TABLE-1 AUTOMATED'!J51,PRICES!$C$2:$C$658,'MAIN TABLE-1 AUTOMATED'!F51,PRICES!$D$2:$D$658,'MAIN TABLE-1 AUTOMATED'!O51))</f>
        <v/>
      </c>
      <c r="R51" s="41" t="str">
        <f>IF(Table1[[#This Row],[QUANTITY]]=0,"",Table1[[#This Row],[UNIT PRICE]]*Table1[[#This Row],[QUANTITY]])</f>
        <v/>
      </c>
      <c r="S51" s="89"/>
      <c r="T51" s="38"/>
      <c r="U51" s="43"/>
      <c r="V51" s="42" t="str">
        <f>IF(Table1[[#This Row],[DATE]]=0,"",YEAR(E51))</f>
        <v/>
      </c>
      <c r="W51" s="40" t="str">
        <f t="shared" si="0"/>
        <v/>
      </c>
      <c r="X51" s="40" t="str">
        <f t="shared" si="1"/>
        <v/>
      </c>
      <c r="Y51" s="40" t="str">
        <f>TEXT(Table1[[#This Row],[YEAR]],"0000")&amp;"-"&amp;Table1[[#This Row],[MONTH]]</f>
        <v>-</v>
      </c>
    </row>
    <row r="52" spans="1:25" ht="18" x14ac:dyDescent="0.35">
      <c r="A52" s="24"/>
      <c r="B52" s="38"/>
      <c r="C52" s="38"/>
      <c r="D52" s="38"/>
      <c r="E52" s="37"/>
      <c r="F52" s="38"/>
      <c r="G52" s="198"/>
      <c r="H52" s="198"/>
      <c r="I52" s="39"/>
      <c r="J52" s="38"/>
      <c r="K52" s="198"/>
      <c r="L52" s="38"/>
      <c r="M52" s="38"/>
      <c r="N52" s="38"/>
      <c r="O52" s="38"/>
      <c r="P52" s="40" t="str" cm="1">
        <f t="array" ref="P52">IF(N52="","",IFERROR(_xlfn.XLOOKUP(F52&amp;"|"&amp;J52&amp;"|"&amp;O52,PRICES!$C$2:$C$659&amp;"|"&amp;PRICES!$B$2:$B$659&amp;"|"&amp;PRICES!$D$2:$D$659,PRICES!$E$2:$E$659),"Not Found"))</f>
        <v/>
      </c>
      <c r="Q52" s="100" t="str">
        <f>IF(N52=0,"",SUMIFS(PRICES!$G$2:$G$658,PRICES!$B$2:$B$658,'MAIN TABLE-1 AUTOMATED'!J52,PRICES!$C$2:$C$658,'MAIN TABLE-1 AUTOMATED'!F52,PRICES!$D$2:$D$658,'MAIN TABLE-1 AUTOMATED'!O52))</f>
        <v/>
      </c>
      <c r="R52" s="41" t="str">
        <f>IF(Table1[[#This Row],[QUANTITY]]=0,"",Table1[[#This Row],[UNIT PRICE]]*Table1[[#This Row],[QUANTITY]])</f>
        <v/>
      </c>
      <c r="S52" s="89"/>
      <c r="T52" s="38"/>
      <c r="U52" s="43"/>
      <c r="V52" s="42" t="str">
        <f>IF(Table1[[#This Row],[DATE]]=0,"",YEAR(E52))</f>
        <v/>
      </c>
      <c r="W52" s="40" t="str">
        <f t="shared" si="0"/>
        <v/>
      </c>
      <c r="X52" s="40" t="str">
        <f t="shared" si="1"/>
        <v/>
      </c>
      <c r="Y52" s="40" t="str">
        <f>TEXT(Table1[[#This Row],[YEAR]],"0000")&amp;"-"&amp;Table1[[#This Row],[MONTH]]</f>
        <v>-</v>
      </c>
    </row>
    <row r="53" spans="1:25" ht="18" x14ac:dyDescent="0.35">
      <c r="A53" s="24"/>
      <c r="B53" s="38"/>
      <c r="C53" s="38"/>
      <c r="D53" s="38"/>
      <c r="E53" s="37"/>
      <c r="F53" s="38"/>
      <c r="G53" s="198"/>
      <c r="H53" s="198"/>
      <c r="I53" s="39"/>
      <c r="J53" s="38"/>
      <c r="K53" s="198"/>
      <c r="L53" s="38"/>
      <c r="M53" s="38"/>
      <c r="N53" s="38"/>
      <c r="O53" s="38"/>
      <c r="P53" s="40" t="str" cm="1">
        <f t="array" ref="P53">IF(N53="","",IFERROR(_xlfn.XLOOKUP(F53&amp;"|"&amp;J53&amp;"|"&amp;O53,PRICES!$C$2:$C$659&amp;"|"&amp;PRICES!$B$2:$B$659&amp;"|"&amp;PRICES!$D$2:$D$659,PRICES!$E$2:$E$659),"Not Found"))</f>
        <v/>
      </c>
      <c r="Q53" s="100" t="str">
        <f>IF(N53=0,"",SUMIFS(PRICES!$G$2:$G$658,PRICES!$B$2:$B$658,'MAIN TABLE-1 AUTOMATED'!J53,PRICES!$C$2:$C$658,'MAIN TABLE-1 AUTOMATED'!F53,PRICES!$D$2:$D$658,'MAIN TABLE-1 AUTOMATED'!O53))</f>
        <v/>
      </c>
      <c r="R53" s="41" t="str">
        <f>IF(Table1[[#This Row],[QUANTITY]]=0,"",Table1[[#This Row],[UNIT PRICE]]*Table1[[#This Row],[QUANTITY]])</f>
        <v/>
      </c>
      <c r="S53" s="89"/>
      <c r="T53" s="38"/>
      <c r="U53" s="43"/>
      <c r="V53" s="42" t="str">
        <f>IF(Table1[[#This Row],[DATE]]=0,"",YEAR(E53))</f>
        <v/>
      </c>
      <c r="W53" s="40" t="str">
        <f t="shared" si="0"/>
        <v/>
      </c>
      <c r="X53" s="40" t="str">
        <f t="shared" si="1"/>
        <v/>
      </c>
      <c r="Y53" s="40" t="str">
        <f>TEXT(Table1[[#This Row],[YEAR]],"0000")&amp;"-"&amp;Table1[[#This Row],[MONTH]]</f>
        <v>-</v>
      </c>
    </row>
    <row r="54" spans="1:25" ht="18" x14ac:dyDescent="0.35">
      <c r="A54" s="24"/>
      <c r="B54" s="38"/>
      <c r="C54" s="38"/>
      <c r="D54" s="38"/>
      <c r="E54" s="37"/>
      <c r="F54" s="38"/>
      <c r="G54" s="198"/>
      <c r="H54" s="198"/>
      <c r="I54" s="39"/>
      <c r="J54" s="38"/>
      <c r="K54" s="198"/>
      <c r="L54" s="38"/>
      <c r="M54" s="38"/>
      <c r="N54" s="38"/>
      <c r="O54" s="38"/>
      <c r="P54" s="40" t="str" cm="1">
        <f t="array" ref="P54">IF(N54="","",IFERROR(_xlfn.XLOOKUP(F54&amp;"|"&amp;J54&amp;"|"&amp;O54,PRICES!$C$2:$C$659&amp;"|"&amp;PRICES!$B$2:$B$659&amp;"|"&amp;PRICES!$D$2:$D$659,PRICES!$E$2:$E$659),"Not Found"))</f>
        <v/>
      </c>
      <c r="Q54" s="100" t="str">
        <f>IF(N54=0,"",SUMIFS(PRICES!$G$2:$G$658,PRICES!$B$2:$B$658,'MAIN TABLE-1 AUTOMATED'!J54,PRICES!$C$2:$C$658,'MAIN TABLE-1 AUTOMATED'!F54,PRICES!$D$2:$D$658,'MAIN TABLE-1 AUTOMATED'!O54))</f>
        <v/>
      </c>
      <c r="R54" s="41" t="str">
        <f>IF(Table1[[#This Row],[QUANTITY]]=0,"",Table1[[#This Row],[UNIT PRICE]]*Table1[[#This Row],[QUANTITY]])</f>
        <v/>
      </c>
      <c r="S54" s="89"/>
      <c r="T54" s="38"/>
      <c r="U54" s="43"/>
      <c r="V54" s="42" t="str">
        <f>IF(Table1[[#This Row],[DATE]]=0,"",YEAR(E54))</f>
        <v/>
      </c>
      <c r="W54" s="40" t="str">
        <f t="shared" si="0"/>
        <v/>
      </c>
      <c r="X54" s="40" t="str">
        <f t="shared" si="1"/>
        <v/>
      </c>
      <c r="Y54" s="40" t="str">
        <f>TEXT(Table1[[#This Row],[YEAR]],"0000")&amp;"-"&amp;Table1[[#This Row],[MONTH]]</f>
        <v>-</v>
      </c>
    </row>
    <row r="55" spans="1:25" ht="18" x14ac:dyDescent="0.35">
      <c r="A55" s="24"/>
      <c r="B55" s="38"/>
      <c r="C55" s="38"/>
      <c r="D55" s="38"/>
      <c r="E55" s="37"/>
      <c r="F55" s="38"/>
      <c r="G55" s="198"/>
      <c r="H55" s="198"/>
      <c r="I55" s="39"/>
      <c r="J55" s="38"/>
      <c r="K55" s="198"/>
      <c r="L55" s="38"/>
      <c r="M55" s="38"/>
      <c r="N55" s="38"/>
      <c r="O55" s="38"/>
      <c r="P55" s="40" t="str" cm="1">
        <f t="array" ref="P55">IF(N55="","",IFERROR(_xlfn.XLOOKUP(F55&amp;"|"&amp;J55&amp;"|"&amp;O55,PRICES!$C$2:$C$659&amp;"|"&amp;PRICES!$B$2:$B$659&amp;"|"&amp;PRICES!$D$2:$D$659,PRICES!$E$2:$E$659),"Not Found"))</f>
        <v/>
      </c>
      <c r="Q55" s="100" t="str">
        <f>IF(N55=0,"",SUMIFS(PRICES!$G$2:$G$658,PRICES!$B$2:$B$658,'MAIN TABLE-1 AUTOMATED'!J55,PRICES!$C$2:$C$658,'MAIN TABLE-1 AUTOMATED'!F55,PRICES!$D$2:$D$658,'MAIN TABLE-1 AUTOMATED'!O55))</f>
        <v/>
      </c>
      <c r="R55" s="41" t="str">
        <f>IF(Table1[[#This Row],[QUANTITY]]=0,"",Table1[[#This Row],[UNIT PRICE]]*Table1[[#This Row],[QUANTITY]])</f>
        <v/>
      </c>
      <c r="S55" s="89"/>
      <c r="T55" s="38"/>
      <c r="U55" s="43"/>
      <c r="V55" s="42" t="str">
        <f>IF(Table1[[#This Row],[DATE]]=0,"",YEAR(E55))</f>
        <v/>
      </c>
      <c r="W55" s="40" t="str">
        <f t="shared" si="0"/>
        <v/>
      </c>
      <c r="X55" s="40" t="str">
        <f t="shared" si="1"/>
        <v/>
      </c>
      <c r="Y55" s="40" t="str">
        <f>TEXT(Table1[[#This Row],[YEAR]],"0000")&amp;"-"&amp;Table1[[#This Row],[MONTH]]</f>
        <v>-</v>
      </c>
    </row>
    <row r="56" spans="1:25" ht="18" x14ac:dyDescent="0.35">
      <c r="A56" s="24"/>
      <c r="B56" s="38"/>
      <c r="C56" s="38"/>
      <c r="D56" s="38"/>
      <c r="E56" s="37"/>
      <c r="F56" s="38"/>
      <c r="G56" s="198"/>
      <c r="H56" s="198"/>
      <c r="I56" s="39"/>
      <c r="J56" s="38"/>
      <c r="K56" s="198"/>
      <c r="L56" s="38"/>
      <c r="M56" s="38"/>
      <c r="N56" s="38"/>
      <c r="O56" s="38"/>
      <c r="P56" s="40" t="str" cm="1">
        <f t="array" ref="P56">IF(N56="","",IFERROR(_xlfn.XLOOKUP(F56&amp;"|"&amp;J56&amp;"|"&amp;O56,PRICES!$C$2:$C$659&amp;"|"&amp;PRICES!$B$2:$B$659&amp;"|"&amp;PRICES!$D$2:$D$659,PRICES!$E$2:$E$659),"Not Found"))</f>
        <v/>
      </c>
      <c r="Q56" s="100" t="str">
        <f>IF(N56=0,"",SUMIFS(PRICES!$G$2:$G$658,PRICES!$B$2:$B$658,'MAIN TABLE-1 AUTOMATED'!J56,PRICES!$C$2:$C$658,'MAIN TABLE-1 AUTOMATED'!F56,PRICES!$D$2:$D$658,'MAIN TABLE-1 AUTOMATED'!O56))</f>
        <v/>
      </c>
      <c r="R56" s="41" t="str">
        <f>IF(Table1[[#This Row],[QUANTITY]]=0,"",Table1[[#This Row],[UNIT PRICE]]*Table1[[#This Row],[QUANTITY]])</f>
        <v/>
      </c>
      <c r="S56" s="89"/>
      <c r="T56" s="38"/>
      <c r="U56" s="43"/>
      <c r="V56" s="42" t="str">
        <f>IF(Table1[[#This Row],[DATE]]=0,"",YEAR(E56))</f>
        <v/>
      </c>
      <c r="W56" s="40" t="str">
        <f t="shared" si="0"/>
        <v/>
      </c>
      <c r="X56" s="40" t="str">
        <f t="shared" si="1"/>
        <v/>
      </c>
      <c r="Y56" s="40" t="str">
        <f>TEXT(Table1[[#This Row],[YEAR]],"0000")&amp;"-"&amp;Table1[[#This Row],[MONTH]]</f>
        <v>-</v>
      </c>
    </row>
    <row r="57" spans="1:25" ht="18" x14ac:dyDescent="0.35">
      <c r="A57" s="24"/>
      <c r="B57" s="38"/>
      <c r="C57" s="38"/>
      <c r="D57" s="38"/>
      <c r="E57" s="37"/>
      <c r="F57" s="38"/>
      <c r="G57" s="198"/>
      <c r="H57" s="198"/>
      <c r="I57" s="39"/>
      <c r="J57" s="38"/>
      <c r="K57" s="198"/>
      <c r="L57" s="38"/>
      <c r="M57" s="38"/>
      <c r="N57" s="38"/>
      <c r="O57" s="38"/>
      <c r="P57" s="40" t="str" cm="1">
        <f t="array" ref="P57">IF(N57="","",IFERROR(_xlfn.XLOOKUP(F57&amp;"|"&amp;J57&amp;"|"&amp;O57,PRICES!$C$2:$C$659&amp;"|"&amp;PRICES!$B$2:$B$659&amp;"|"&amp;PRICES!$D$2:$D$659,PRICES!$E$2:$E$659),"Not Found"))</f>
        <v/>
      </c>
      <c r="Q57" s="100" t="str">
        <f>IF(N57=0,"",SUMIFS(PRICES!$G$2:$G$658,PRICES!$B$2:$B$658,'MAIN TABLE-1 AUTOMATED'!J57,PRICES!$C$2:$C$658,'MAIN TABLE-1 AUTOMATED'!F57,PRICES!$D$2:$D$658,'MAIN TABLE-1 AUTOMATED'!O57))</f>
        <v/>
      </c>
      <c r="R57" s="41" t="str">
        <f>IF(Table1[[#This Row],[QUANTITY]]=0,"",Table1[[#This Row],[UNIT PRICE]]*Table1[[#This Row],[QUANTITY]])</f>
        <v/>
      </c>
      <c r="S57" s="89"/>
      <c r="T57" s="38"/>
      <c r="U57" s="43"/>
      <c r="V57" s="42" t="str">
        <f>IF(Table1[[#This Row],[DATE]]=0,"",YEAR(E57))</f>
        <v/>
      </c>
      <c r="W57" s="40" t="str">
        <f t="shared" si="0"/>
        <v/>
      </c>
      <c r="X57" s="40" t="str">
        <f t="shared" si="1"/>
        <v/>
      </c>
      <c r="Y57" s="40" t="str">
        <f>TEXT(Table1[[#This Row],[YEAR]],"0000")&amp;"-"&amp;Table1[[#This Row],[MONTH]]</f>
        <v>-</v>
      </c>
    </row>
    <row r="58" spans="1:25" ht="18" x14ac:dyDescent="0.35">
      <c r="A58" s="24"/>
      <c r="B58" s="38"/>
      <c r="C58" s="38"/>
      <c r="D58" s="38"/>
      <c r="E58" s="37"/>
      <c r="F58" s="38"/>
      <c r="G58" s="198"/>
      <c r="H58" s="198"/>
      <c r="I58" s="39"/>
      <c r="J58" s="38"/>
      <c r="K58" s="198"/>
      <c r="L58" s="38"/>
      <c r="M58" s="38"/>
      <c r="N58" s="38"/>
      <c r="O58" s="38"/>
      <c r="P58" s="40" t="str" cm="1">
        <f t="array" ref="P58">IF(N58="","",IFERROR(_xlfn.XLOOKUP(F58&amp;"|"&amp;J58&amp;"|"&amp;O58,PRICES!$C$2:$C$659&amp;"|"&amp;PRICES!$B$2:$B$659&amp;"|"&amp;PRICES!$D$2:$D$659,PRICES!$E$2:$E$659),"Not Found"))</f>
        <v/>
      </c>
      <c r="Q58" s="100" t="str">
        <f>IF(N58=0,"",SUMIFS(PRICES!$G$2:$G$658,PRICES!$B$2:$B$658,'MAIN TABLE-1 AUTOMATED'!J58,PRICES!$C$2:$C$658,'MAIN TABLE-1 AUTOMATED'!F58,PRICES!$D$2:$D$658,'MAIN TABLE-1 AUTOMATED'!O58))</f>
        <v/>
      </c>
      <c r="R58" s="41" t="str">
        <f>IF(Table1[[#This Row],[QUANTITY]]=0,"",Table1[[#This Row],[UNIT PRICE]]*Table1[[#This Row],[QUANTITY]])</f>
        <v/>
      </c>
      <c r="S58" s="89"/>
      <c r="T58" s="38"/>
      <c r="U58" s="43"/>
      <c r="V58" s="42" t="str">
        <f>IF(Table1[[#This Row],[DATE]]=0,"",YEAR(E58))</f>
        <v/>
      </c>
      <c r="W58" s="40" t="str">
        <f t="shared" si="0"/>
        <v/>
      </c>
      <c r="X58" s="40" t="str">
        <f t="shared" si="1"/>
        <v/>
      </c>
      <c r="Y58" s="40" t="str">
        <f>TEXT(Table1[[#This Row],[YEAR]],"0000")&amp;"-"&amp;Table1[[#This Row],[MONTH]]</f>
        <v>-</v>
      </c>
    </row>
    <row r="59" spans="1:25" ht="18" x14ac:dyDescent="0.35">
      <c r="A59" s="24"/>
      <c r="B59" s="38"/>
      <c r="C59" s="38"/>
      <c r="D59" s="38"/>
      <c r="E59" s="37"/>
      <c r="F59" s="38"/>
      <c r="G59" s="198"/>
      <c r="H59" s="198"/>
      <c r="I59" s="39"/>
      <c r="J59" s="38"/>
      <c r="K59" s="198"/>
      <c r="L59" s="38"/>
      <c r="M59" s="38"/>
      <c r="N59" s="38"/>
      <c r="O59" s="38"/>
      <c r="P59" s="40" t="str" cm="1">
        <f t="array" ref="P59">IF(N59="","",IFERROR(_xlfn.XLOOKUP(F59&amp;"|"&amp;J59&amp;"|"&amp;O59,PRICES!$C$2:$C$659&amp;"|"&amp;PRICES!$B$2:$B$659&amp;"|"&amp;PRICES!$D$2:$D$659,PRICES!$E$2:$E$659),"Not Found"))</f>
        <v/>
      </c>
      <c r="Q59" s="100" t="str">
        <f>IF(N59=0,"",SUMIFS(PRICES!$G$2:$G$658,PRICES!$B$2:$B$658,'MAIN TABLE-1 AUTOMATED'!J59,PRICES!$C$2:$C$658,'MAIN TABLE-1 AUTOMATED'!F59,PRICES!$D$2:$D$658,'MAIN TABLE-1 AUTOMATED'!O59))</f>
        <v/>
      </c>
      <c r="R59" s="41" t="str">
        <f>IF(Table1[[#This Row],[QUANTITY]]=0,"",Table1[[#This Row],[UNIT PRICE]]*Table1[[#This Row],[QUANTITY]])</f>
        <v/>
      </c>
      <c r="S59" s="89"/>
      <c r="T59" s="38"/>
      <c r="U59" s="43"/>
      <c r="V59" s="42" t="str">
        <f>IF(Table1[[#This Row],[DATE]]=0,"",YEAR(E59))</f>
        <v/>
      </c>
      <c r="W59" s="40" t="str">
        <f t="shared" si="0"/>
        <v/>
      </c>
      <c r="X59" s="40" t="str">
        <f t="shared" si="1"/>
        <v/>
      </c>
      <c r="Y59" s="40" t="str">
        <f>TEXT(Table1[[#This Row],[YEAR]],"0000")&amp;"-"&amp;Table1[[#This Row],[MONTH]]</f>
        <v>-</v>
      </c>
    </row>
    <row r="60" spans="1:25" ht="18" x14ac:dyDescent="0.35">
      <c r="A60" s="24"/>
      <c r="B60" s="38"/>
      <c r="C60" s="38"/>
      <c r="D60" s="38"/>
      <c r="E60" s="37"/>
      <c r="F60" s="38"/>
      <c r="G60" s="198"/>
      <c r="H60" s="198"/>
      <c r="I60" s="39"/>
      <c r="J60" s="38"/>
      <c r="K60" s="198"/>
      <c r="L60" s="38"/>
      <c r="M60" s="38"/>
      <c r="N60" s="38"/>
      <c r="O60" s="38"/>
      <c r="P60" s="40" t="str" cm="1">
        <f t="array" ref="P60">IF(N60="","",IFERROR(_xlfn.XLOOKUP(F60&amp;"|"&amp;J60&amp;"|"&amp;O60,PRICES!$C$2:$C$659&amp;"|"&amp;PRICES!$B$2:$B$659&amp;"|"&amp;PRICES!$D$2:$D$659,PRICES!$E$2:$E$659),"Not Found"))</f>
        <v/>
      </c>
      <c r="Q60" s="100" t="str">
        <f>IF(N60=0,"",SUMIFS(PRICES!$G$2:$G$658,PRICES!$B$2:$B$658,'MAIN TABLE-1 AUTOMATED'!J60,PRICES!$C$2:$C$658,'MAIN TABLE-1 AUTOMATED'!F60,PRICES!$D$2:$D$658,'MAIN TABLE-1 AUTOMATED'!O60))</f>
        <v/>
      </c>
      <c r="R60" s="41" t="str">
        <f>IF(Table1[[#This Row],[QUANTITY]]=0,"",Table1[[#This Row],[UNIT PRICE]]*Table1[[#This Row],[QUANTITY]])</f>
        <v/>
      </c>
      <c r="S60" s="89"/>
      <c r="T60" s="38"/>
      <c r="U60" s="43"/>
      <c r="V60" s="42" t="str">
        <f>IF(Table1[[#This Row],[DATE]]=0,"",YEAR(E60))</f>
        <v/>
      </c>
      <c r="W60" s="40" t="str">
        <f t="shared" si="0"/>
        <v/>
      </c>
      <c r="X60" s="40" t="str">
        <f t="shared" si="1"/>
        <v/>
      </c>
      <c r="Y60" s="40" t="str">
        <f>TEXT(Table1[[#This Row],[YEAR]],"0000")&amp;"-"&amp;Table1[[#This Row],[MONTH]]</f>
        <v>-</v>
      </c>
    </row>
    <row r="61" spans="1:25" ht="18" x14ac:dyDescent="0.35">
      <c r="A61" s="24"/>
      <c r="B61" s="38"/>
      <c r="C61" s="38"/>
      <c r="D61" s="38"/>
      <c r="E61" s="37"/>
      <c r="F61" s="38"/>
      <c r="G61" s="198"/>
      <c r="H61" s="198"/>
      <c r="I61" s="39"/>
      <c r="J61" s="38"/>
      <c r="K61" s="198"/>
      <c r="L61" s="38"/>
      <c r="M61" s="38"/>
      <c r="N61" s="38"/>
      <c r="O61" s="38"/>
      <c r="P61" s="40" t="str" cm="1">
        <f t="array" ref="P61">IF(N61="","",IFERROR(_xlfn.XLOOKUP(F61&amp;"|"&amp;J61&amp;"|"&amp;O61,PRICES!$C$2:$C$659&amp;"|"&amp;PRICES!$B$2:$B$659&amp;"|"&amp;PRICES!$D$2:$D$659,PRICES!$E$2:$E$659),"Not Found"))</f>
        <v/>
      </c>
      <c r="Q61" s="100" t="str">
        <f>IF(N61=0,"",SUMIFS(PRICES!$G$2:$G$658,PRICES!$B$2:$B$658,'MAIN TABLE-1 AUTOMATED'!J61,PRICES!$C$2:$C$658,'MAIN TABLE-1 AUTOMATED'!F61,PRICES!$D$2:$D$658,'MAIN TABLE-1 AUTOMATED'!O61))</f>
        <v/>
      </c>
      <c r="R61" s="41" t="str">
        <f>IF(Table1[[#This Row],[QUANTITY]]=0,"",Table1[[#This Row],[UNIT PRICE]]*Table1[[#This Row],[QUANTITY]])</f>
        <v/>
      </c>
      <c r="S61" s="89"/>
      <c r="T61" s="38"/>
      <c r="U61" s="43"/>
      <c r="V61" s="42" t="str">
        <f>IF(Table1[[#This Row],[DATE]]=0,"",YEAR(E61))</f>
        <v/>
      </c>
      <c r="W61" s="40" t="str">
        <f t="shared" si="0"/>
        <v/>
      </c>
      <c r="X61" s="40" t="str">
        <f t="shared" si="1"/>
        <v/>
      </c>
      <c r="Y61" s="40" t="str">
        <f>TEXT(Table1[[#This Row],[YEAR]],"0000")&amp;"-"&amp;Table1[[#This Row],[MONTH]]</f>
        <v>-</v>
      </c>
    </row>
    <row r="62" spans="1:25" ht="18" x14ac:dyDescent="0.35">
      <c r="A62" s="24"/>
      <c r="B62" s="38"/>
      <c r="C62" s="38"/>
      <c r="D62" s="38"/>
      <c r="E62" s="37"/>
      <c r="F62" s="38"/>
      <c r="G62" s="198"/>
      <c r="H62" s="198"/>
      <c r="I62" s="39"/>
      <c r="J62" s="38"/>
      <c r="K62" s="198"/>
      <c r="L62" s="38"/>
      <c r="M62" s="38"/>
      <c r="N62" s="38"/>
      <c r="O62" s="38"/>
      <c r="P62" s="40" t="str" cm="1">
        <f t="array" ref="P62">IF(N62="","",IFERROR(_xlfn.XLOOKUP(F62&amp;"|"&amp;J62&amp;"|"&amp;O62,PRICES!$C$2:$C$659&amp;"|"&amp;PRICES!$B$2:$B$659&amp;"|"&amp;PRICES!$D$2:$D$659,PRICES!$E$2:$E$659),"Not Found"))</f>
        <v/>
      </c>
      <c r="Q62" s="100" t="str">
        <f>IF(N62=0,"",SUMIFS(PRICES!$G$2:$G$658,PRICES!$B$2:$B$658,'MAIN TABLE-1 AUTOMATED'!J62,PRICES!$C$2:$C$658,'MAIN TABLE-1 AUTOMATED'!F62,PRICES!$D$2:$D$658,'MAIN TABLE-1 AUTOMATED'!O62))</f>
        <v/>
      </c>
      <c r="R62" s="41" t="str">
        <f>IF(Table1[[#This Row],[QUANTITY]]=0,"",Table1[[#This Row],[UNIT PRICE]]*Table1[[#This Row],[QUANTITY]])</f>
        <v/>
      </c>
      <c r="S62" s="89"/>
      <c r="T62" s="38"/>
      <c r="U62" s="43"/>
      <c r="V62" s="42" t="str">
        <f>IF(Table1[[#This Row],[DATE]]=0,"",YEAR(E62))</f>
        <v/>
      </c>
      <c r="W62" s="40" t="str">
        <f t="shared" si="0"/>
        <v/>
      </c>
      <c r="X62" s="40" t="str">
        <f t="shared" si="1"/>
        <v/>
      </c>
      <c r="Y62" s="40" t="str">
        <f>TEXT(Table1[[#This Row],[YEAR]],"0000")&amp;"-"&amp;Table1[[#This Row],[MONTH]]</f>
        <v>-</v>
      </c>
    </row>
    <row r="63" spans="1:25" ht="18" x14ac:dyDescent="0.35">
      <c r="A63" s="24"/>
      <c r="B63" s="38"/>
      <c r="C63" s="38"/>
      <c r="D63" s="38"/>
      <c r="E63" s="37"/>
      <c r="F63" s="38"/>
      <c r="G63" s="198"/>
      <c r="H63" s="198"/>
      <c r="I63" s="39"/>
      <c r="J63" s="38"/>
      <c r="K63" s="198"/>
      <c r="L63" s="38"/>
      <c r="M63" s="38"/>
      <c r="N63" s="38"/>
      <c r="O63" s="38"/>
      <c r="P63" s="40" t="str" cm="1">
        <f t="array" ref="P63">IF(N63="","",IFERROR(_xlfn.XLOOKUP(F63&amp;"|"&amp;J63&amp;"|"&amp;O63,PRICES!$C$2:$C$659&amp;"|"&amp;PRICES!$B$2:$B$659&amp;"|"&amp;PRICES!$D$2:$D$659,PRICES!$E$2:$E$659),"Not Found"))</f>
        <v/>
      </c>
      <c r="Q63" s="100" t="str">
        <f>IF(N63=0,"",SUMIFS(PRICES!$G$2:$G$658,PRICES!$B$2:$B$658,'MAIN TABLE-1 AUTOMATED'!J63,PRICES!$C$2:$C$658,'MAIN TABLE-1 AUTOMATED'!F63,PRICES!$D$2:$D$658,'MAIN TABLE-1 AUTOMATED'!O63))</f>
        <v/>
      </c>
      <c r="R63" s="41" t="str">
        <f>IF(Table1[[#This Row],[QUANTITY]]=0,"",Table1[[#This Row],[UNIT PRICE]]*Table1[[#This Row],[QUANTITY]])</f>
        <v/>
      </c>
      <c r="S63" s="89"/>
      <c r="T63" s="38"/>
      <c r="U63" s="43"/>
      <c r="V63" s="42" t="str">
        <f>IF(Table1[[#This Row],[DATE]]=0,"",YEAR(E63))</f>
        <v/>
      </c>
      <c r="W63" s="40" t="str">
        <f t="shared" si="0"/>
        <v/>
      </c>
      <c r="X63" s="40" t="str">
        <f t="shared" si="1"/>
        <v/>
      </c>
      <c r="Y63" s="40" t="str">
        <f>TEXT(Table1[[#This Row],[YEAR]],"0000")&amp;"-"&amp;Table1[[#This Row],[MONTH]]</f>
        <v>-</v>
      </c>
    </row>
    <row r="64" spans="1:25" ht="18" x14ac:dyDescent="0.35">
      <c r="A64" s="24"/>
      <c r="B64" s="38"/>
      <c r="C64" s="38"/>
      <c r="D64" s="38"/>
      <c r="E64" s="37"/>
      <c r="F64" s="38"/>
      <c r="G64" s="198"/>
      <c r="H64" s="198"/>
      <c r="I64" s="39"/>
      <c r="J64" s="38"/>
      <c r="K64" s="198"/>
      <c r="L64" s="38"/>
      <c r="M64" s="38"/>
      <c r="N64" s="38"/>
      <c r="O64" s="38"/>
      <c r="P64" s="40" t="str" cm="1">
        <f t="array" ref="P64">IF(N64="","",IFERROR(_xlfn.XLOOKUP(F64&amp;"|"&amp;J64&amp;"|"&amp;O64,PRICES!$C$2:$C$659&amp;"|"&amp;PRICES!$B$2:$B$659&amp;"|"&amp;PRICES!$D$2:$D$659,PRICES!$E$2:$E$659),"Not Found"))</f>
        <v/>
      </c>
      <c r="Q64" s="100" t="str">
        <f>IF(N64=0,"",SUMIFS(PRICES!$G$2:$G$658,PRICES!$B$2:$B$658,'MAIN TABLE-1 AUTOMATED'!J64,PRICES!$C$2:$C$658,'MAIN TABLE-1 AUTOMATED'!F64,PRICES!$D$2:$D$658,'MAIN TABLE-1 AUTOMATED'!O64))</f>
        <v/>
      </c>
      <c r="R64" s="41" t="str">
        <f>IF(Table1[[#This Row],[QUANTITY]]=0,"",Table1[[#This Row],[UNIT PRICE]]*Table1[[#This Row],[QUANTITY]])</f>
        <v/>
      </c>
      <c r="S64" s="89"/>
      <c r="T64" s="38"/>
      <c r="U64" s="43"/>
      <c r="V64" s="42" t="str">
        <f>IF(Table1[[#This Row],[DATE]]=0,"",YEAR(E64))</f>
        <v/>
      </c>
      <c r="W64" s="40" t="str">
        <f t="shared" si="0"/>
        <v/>
      </c>
      <c r="X64" s="40" t="str">
        <f t="shared" si="1"/>
        <v/>
      </c>
      <c r="Y64" s="40" t="str">
        <f>TEXT(Table1[[#This Row],[YEAR]],"0000")&amp;"-"&amp;Table1[[#This Row],[MONTH]]</f>
        <v>-</v>
      </c>
    </row>
    <row r="65" spans="1:25" ht="18" x14ac:dyDescent="0.35">
      <c r="A65" s="24"/>
      <c r="B65" s="38"/>
      <c r="C65" s="38"/>
      <c r="D65" s="38"/>
      <c r="E65" s="37"/>
      <c r="F65" s="38"/>
      <c r="G65" s="198"/>
      <c r="H65" s="198"/>
      <c r="I65" s="39"/>
      <c r="J65" s="38"/>
      <c r="K65" s="198"/>
      <c r="L65" s="38"/>
      <c r="M65" s="38"/>
      <c r="N65" s="38"/>
      <c r="O65" s="38"/>
      <c r="P65" s="40" t="str" cm="1">
        <f t="array" ref="P65">IF(N65="","",IFERROR(_xlfn.XLOOKUP(F65&amp;"|"&amp;J65&amp;"|"&amp;O65,PRICES!$C$2:$C$659&amp;"|"&amp;PRICES!$B$2:$B$659&amp;"|"&amp;PRICES!$D$2:$D$659,PRICES!$E$2:$E$659),"Not Found"))</f>
        <v/>
      </c>
      <c r="Q65" s="100" t="str">
        <f>IF(N65=0,"",SUMIFS(PRICES!$G$2:$G$658,PRICES!$B$2:$B$658,'MAIN TABLE-1 AUTOMATED'!J65,PRICES!$C$2:$C$658,'MAIN TABLE-1 AUTOMATED'!F65,PRICES!$D$2:$D$658,'MAIN TABLE-1 AUTOMATED'!O65))</f>
        <v/>
      </c>
      <c r="R65" s="41" t="str">
        <f>IF(Table1[[#This Row],[QUANTITY]]=0,"",Table1[[#This Row],[UNIT PRICE]]*Table1[[#This Row],[QUANTITY]])</f>
        <v/>
      </c>
      <c r="S65" s="89"/>
      <c r="T65" s="38"/>
      <c r="U65" s="43"/>
      <c r="V65" s="42" t="str">
        <f>IF(Table1[[#This Row],[DATE]]=0,"",YEAR(E65))</f>
        <v/>
      </c>
      <c r="W65" s="40" t="str">
        <f t="shared" si="0"/>
        <v/>
      </c>
      <c r="X65" s="40" t="str">
        <f t="shared" si="1"/>
        <v/>
      </c>
      <c r="Y65" s="40" t="str">
        <f>TEXT(Table1[[#This Row],[YEAR]],"0000")&amp;"-"&amp;Table1[[#This Row],[MONTH]]</f>
        <v>-</v>
      </c>
    </row>
    <row r="66" spans="1:25" ht="18" x14ac:dyDescent="0.35">
      <c r="A66" s="24"/>
      <c r="B66" s="38"/>
      <c r="C66" s="38"/>
      <c r="D66" s="38"/>
      <c r="E66" s="37"/>
      <c r="F66" s="38"/>
      <c r="G66" s="198"/>
      <c r="H66" s="198"/>
      <c r="I66" s="39"/>
      <c r="J66" s="38"/>
      <c r="K66" s="198"/>
      <c r="L66" s="38"/>
      <c r="M66" s="38"/>
      <c r="N66" s="38"/>
      <c r="O66" s="38"/>
      <c r="P66" s="40" t="str" cm="1">
        <f t="array" ref="P66">IF(N66="","",IFERROR(_xlfn.XLOOKUP(F66&amp;"|"&amp;J66&amp;"|"&amp;O66,PRICES!$C$2:$C$659&amp;"|"&amp;PRICES!$B$2:$B$659&amp;"|"&amp;PRICES!$D$2:$D$659,PRICES!$E$2:$E$659),"Not Found"))</f>
        <v/>
      </c>
      <c r="Q66" s="100" t="str">
        <f>IF(N66=0,"",SUMIFS(PRICES!$G$2:$G$658,PRICES!$B$2:$B$658,'MAIN TABLE-1 AUTOMATED'!J66,PRICES!$C$2:$C$658,'MAIN TABLE-1 AUTOMATED'!F66,PRICES!$D$2:$D$658,'MAIN TABLE-1 AUTOMATED'!O66))</f>
        <v/>
      </c>
      <c r="R66" s="41" t="str">
        <f>IF(Table1[[#This Row],[QUANTITY]]=0,"",Table1[[#This Row],[UNIT PRICE]]*Table1[[#This Row],[QUANTITY]])</f>
        <v/>
      </c>
      <c r="S66" s="89"/>
      <c r="T66" s="38"/>
      <c r="U66" s="43"/>
      <c r="V66" s="42" t="str">
        <f>IF(Table1[[#This Row],[DATE]]=0,"",YEAR(E66))</f>
        <v/>
      </c>
      <c r="W66" s="40" t="str">
        <f t="shared" si="0"/>
        <v/>
      </c>
      <c r="X66" s="40" t="str">
        <f t="shared" si="1"/>
        <v/>
      </c>
      <c r="Y66" s="40" t="str">
        <f>TEXT(Table1[[#This Row],[YEAR]],"0000")&amp;"-"&amp;Table1[[#This Row],[MONTH]]</f>
        <v>-</v>
      </c>
    </row>
    <row r="67" spans="1:25" ht="18" x14ac:dyDescent="0.35">
      <c r="A67" s="24"/>
      <c r="B67" s="38"/>
      <c r="C67" s="38"/>
      <c r="D67" s="38"/>
      <c r="E67" s="37"/>
      <c r="F67" s="38"/>
      <c r="G67" s="198"/>
      <c r="H67" s="198"/>
      <c r="I67" s="39"/>
      <c r="J67" s="38"/>
      <c r="K67" s="198"/>
      <c r="L67" s="38"/>
      <c r="M67" s="38"/>
      <c r="N67" s="38"/>
      <c r="O67" s="38"/>
      <c r="P67" s="40" t="str" cm="1">
        <f t="array" ref="P67">IF(N67="","",IFERROR(_xlfn.XLOOKUP(F67&amp;"|"&amp;J67&amp;"|"&amp;O67,PRICES!$C$2:$C$659&amp;"|"&amp;PRICES!$B$2:$B$659&amp;"|"&amp;PRICES!$D$2:$D$659,PRICES!$E$2:$E$659),"Not Found"))</f>
        <v/>
      </c>
      <c r="Q67" s="100" t="str">
        <f>IF(N67=0,"",SUMIFS(PRICES!$G$2:$G$658,PRICES!$B$2:$B$658,'MAIN TABLE-1 AUTOMATED'!J67,PRICES!$C$2:$C$658,'MAIN TABLE-1 AUTOMATED'!F67,PRICES!$D$2:$D$658,'MAIN TABLE-1 AUTOMATED'!O67))</f>
        <v/>
      </c>
      <c r="R67" s="41" t="str">
        <f>IF(Table1[[#This Row],[QUANTITY]]=0,"",Table1[[#This Row],[UNIT PRICE]]*Table1[[#This Row],[QUANTITY]])</f>
        <v/>
      </c>
      <c r="S67" s="89"/>
      <c r="T67" s="38"/>
      <c r="U67" s="43"/>
      <c r="V67" s="42" t="str">
        <f>IF(Table1[[#This Row],[DATE]]=0,"",YEAR(E67))</f>
        <v/>
      </c>
      <c r="W67" s="40" t="str">
        <f t="shared" ref="W67:W130" si="2">IF(E67=0,"",MONTH(E67))</f>
        <v/>
      </c>
      <c r="X67" s="40" t="str">
        <f t="shared" ref="X67:X130" si="3">IF(E67=0,"",WEEKNUM(E67))</f>
        <v/>
      </c>
      <c r="Y67" s="40" t="str">
        <f>TEXT(Table1[[#This Row],[YEAR]],"0000")&amp;"-"&amp;Table1[[#This Row],[MONTH]]</f>
        <v>-</v>
      </c>
    </row>
    <row r="68" spans="1:25" ht="18" x14ac:dyDescent="0.35">
      <c r="A68" s="24"/>
      <c r="B68" s="38"/>
      <c r="C68" s="38"/>
      <c r="D68" s="38"/>
      <c r="E68" s="37"/>
      <c r="F68" s="38"/>
      <c r="G68" s="198"/>
      <c r="H68" s="198"/>
      <c r="I68" s="39"/>
      <c r="J68" s="38"/>
      <c r="K68" s="198"/>
      <c r="L68" s="38"/>
      <c r="M68" s="38"/>
      <c r="N68" s="38"/>
      <c r="O68" s="38"/>
      <c r="P68" s="40" t="str" cm="1">
        <f t="array" ref="P68">IF(N68="","",IFERROR(_xlfn.XLOOKUP(F68&amp;"|"&amp;J68&amp;"|"&amp;O68,PRICES!$C$2:$C$659&amp;"|"&amp;PRICES!$B$2:$B$659&amp;"|"&amp;PRICES!$D$2:$D$659,PRICES!$E$2:$E$659),"Not Found"))</f>
        <v/>
      </c>
      <c r="Q68" s="100" t="str">
        <f>IF(N68=0,"",SUMIFS(PRICES!$G$2:$G$658,PRICES!$B$2:$B$658,'MAIN TABLE-1 AUTOMATED'!J68,PRICES!$C$2:$C$658,'MAIN TABLE-1 AUTOMATED'!F68,PRICES!$D$2:$D$658,'MAIN TABLE-1 AUTOMATED'!O68))</f>
        <v/>
      </c>
      <c r="R68" s="41" t="str">
        <f>IF(Table1[[#This Row],[QUANTITY]]=0,"",Table1[[#This Row],[UNIT PRICE]]*Table1[[#This Row],[QUANTITY]])</f>
        <v/>
      </c>
      <c r="S68" s="89"/>
      <c r="T68" s="38"/>
      <c r="U68" s="43"/>
      <c r="V68" s="42" t="str">
        <f>IF(Table1[[#This Row],[DATE]]=0,"",YEAR(E68))</f>
        <v/>
      </c>
      <c r="W68" s="40" t="str">
        <f t="shared" si="2"/>
        <v/>
      </c>
      <c r="X68" s="40" t="str">
        <f t="shared" si="3"/>
        <v/>
      </c>
      <c r="Y68" s="40" t="str">
        <f>TEXT(Table1[[#This Row],[YEAR]],"0000")&amp;"-"&amp;Table1[[#This Row],[MONTH]]</f>
        <v>-</v>
      </c>
    </row>
    <row r="69" spans="1:25" ht="18" x14ac:dyDescent="0.35">
      <c r="A69" s="24"/>
      <c r="B69" s="38"/>
      <c r="C69" s="38"/>
      <c r="D69" s="38"/>
      <c r="E69" s="37"/>
      <c r="F69" s="38"/>
      <c r="G69" s="198"/>
      <c r="H69" s="198"/>
      <c r="I69" s="39"/>
      <c r="J69" s="38"/>
      <c r="K69" s="198"/>
      <c r="L69" s="38"/>
      <c r="M69" s="38"/>
      <c r="N69" s="38"/>
      <c r="O69" s="38"/>
      <c r="P69" s="40" t="str" cm="1">
        <f t="array" ref="P69">IF(N69="","",IFERROR(_xlfn.XLOOKUP(F69&amp;"|"&amp;J69&amp;"|"&amp;O69,PRICES!$C$2:$C$659&amp;"|"&amp;PRICES!$B$2:$B$659&amp;"|"&amp;PRICES!$D$2:$D$659,PRICES!$E$2:$E$659),"Not Found"))</f>
        <v/>
      </c>
      <c r="Q69" s="100" t="str">
        <f>IF(N69=0,"",SUMIFS(PRICES!$G$2:$G$658,PRICES!$B$2:$B$658,'MAIN TABLE-1 AUTOMATED'!J69,PRICES!$C$2:$C$658,'MAIN TABLE-1 AUTOMATED'!F69,PRICES!$D$2:$D$658,'MAIN TABLE-1 AUTOMATED'!O69))</f>
        <v/>
      </c>
      <c r="R69" s="41" t="str">
        <f>IF(Table1[[#This Row],[QUANTITY]]=0,"",Table1[[#This Row],[UNIT PRICE]]*Table1[[#This Row],[QUANTITY]])</f>
        <v/>
      </c>
      <c r="S69" s="89"/>
      <c r="T69" s="38"/>
      <c r="U69" s="43"/>
      <c r="V69" s="42" t="str">
        <f>IF(Table1[[#This Row],[DATE]]=0,"",YEAR(E69))</f>
        <v/>
      </c>
      <c r="W69" s="40" t="str">
        <f t="shared" si="2"/>
        <v/>
      </c>
      <c r="X69" s="40" t="str">
        <f t="shared" si="3"/>
        <v/>
      </c>
      <c r="Y69" s="40" t="str">
        <f>TEXT(Table1[[#This Row],[YEAR]],"0000")&amp;"-"&amp;Table1[[#This Row],[MONTH]]</f>
        <v>-</v>
      </c>
    </row>
    <row r="70" spans="1:25" ht="18" x14ac:dyDescent="0.35">
      <c r="A70" s="24"/>
      <c r="B70" s="38"/>
      <c r="C70" s="38"/>
      <c r="D70" s="38"/>
      <c r="E70" s="37"/>
      <c r="F70" s="38"/>
      <c r="G70" s="198"/>
      <c r="H70" s="198"/>
      <c r="I70" s="39"/>
      <c r="J70" s="38"/>
      <c r="K70" s="198"/>
      <c r="L70" s="38"/>
      <c r="M70" s="38"/>
      <c r="N70" s="38"/>
      <c r="O70" s="38"/>
      <c r="P70" s="40" t="str" cm="1">
        <f t="array" ref="P70">IF(N70="","",IFERROR(_xlfn.XLOOKUP(F70&amp;"|"&amp;J70&amp;"|"&amp;O70,PRICES!$C$2:$C$659&amp;"|"&amp;PRICES!$B$2:$B$659&amp;"|"&amp;PRICES!$D$2:$D$659,PRICES!$E$2:$E$659),"Not Found"))</f>
        <v/>
      </c>
      <c r="Q70" s="100" t="str">
        <f>IF(N70=0,"",SUMIFS(PRICES!$G$2:$G$658,PRICES!$B$2:$B$658,'MAIN TABLE-1 AUTOMATED'!J70,PRICES!$C$2:$C$658,'MAIN TABLE-1 AUTOMATED'!F70,PRICES!$D$2:$D$658,'MAIN TABLE-1 AUTOMATED'!O70))</f>
        <v/>
      </c>
      <c r="R70" s="41" t="str">
        <f>IF(Table1[[#This Row],[QUANTITY]]=0,"",Table1[[#This Row],[UNIT PRICE]]*Table1[[#This Row],[QUANTITY]])</f>
        <v/>
      </c>
      <c r="S70" s="89"/>
      <c r="T70" s="38"/>
      <c r="U70" s="43"/>
      <c r="V70" s="42" t="str">
        <f>IF(Table1[[#This Row],[DATE]]=0,"",YEAR(E70))</f>
        <v/>
      </c>
      <c r="W70" s="40" t="str">
        <f t="shared" si="2"/>
        <v/>
      </c>
      <c r="X70" s="40" t="str">
        <f t="shared" si="3"/>
        <v/>
      </c>
      <c r="Y70" s="40" t="str">
        <f>TEXT(Table1[[#This Row],[YEAR]],"0000")&amp;"-"&amp;Table1[[#This Row],[MONTH]]</f>
        <v>-</v>
      </c>
    </row>
    <row r="71" spans="1:25" ht="18" x14ac:dyDescent="0.35">
      <c r="A71" s="24"/>
      <c r="B71" s="38"/>
      <c r="C71" s="38"/>
      <c r="D71" s="38"/>
      <c r="E71" s="37"/>
      <c r="F71" s="38"/>
      <c r="G71" s="198"/>
      <c r="H71" s="198"/>
      <c r="I71" s="39"/>
      <c r="J71" s="38"/>
      <c r="K71" s="198"/>
      <c r="L71" s="38"/>
      <c r="M71" s="38"/>
      <c r="N71" s="38"/>
      <c r="O71" s="38"/>
      <c r="P71" s="40" t="str" cm="1">
        <f t="array" ref="P71">IF(N71="","",IFERROR(_xlfn.XLOOKUP(F71&amp;"|"&amp;J71&amp;"|"&amp;O71,PRICES!$C$2:$C$659&amp;"|"&amp;PRICES!$B$2:$B$659&amp;"|"&amp;PRICES!$D$2:$D$659,PRICES!$E$2:$E$659),"Not Found"))</f>
        <v/>
      </c>
      <c r="Q71" s="100" t="str">
        <f>IF(N71=0,"",SUMIFS(PRICES!$G$2:$G$658,PRICES!$B$2:$B$658,'MAIN TABLE-1 AUTOMATED'!J71,PRICES!$C$2:$C$658,'MAIN TABLE-1 AUTOMATED'!F71,PRICES!$D$2:$D$658,'MAIN TABLE-1 AUTOMATED'!O71))</f>
        <v/>
      </c>
      <c r="R71" s="41" t="str">
        <f>IF(Table1[[#This Row],[QUANTITY]]=0,"",Table1[[#This Row],[UNIT PRICE]]*Table1[[#This Row],[QUANTITY]])</f>
        <v/>
      </c>
      <c r="S71" s="89"/>
      <c r="T71" s="38"/>
      <c r="U71" s="43"/>
      <c r="V71" s="42" t="str">
        <f>IF(Table1[[#This Row],[DATE]]=0,"",YEAR(E71))</f>
        <v/>
      </c>
      <c r="W71" s="40" t="str">
        <f t="shared" si="2"/>
        <v/>
      </c>
      <c r="X71" s="40" t="str">
        <f t="shared" si="3"/>
        <v/>
      </c>
      <c r="Y71" s="40" t="str">
        <f>TEXT(Table1[[#This Row],[YEAR]],"0000")&amp;"-"&amp;Table1[[#This Row],[MONTH]]</f>
        <v>-</v>
      </c>
    </row>
    <row r="72" spans="1:25" ht="18" x14ac:dyDescent="0.35">
      <c r="A72" s="24"/>
      <c r="B72" s="38"/>
      <c r="C72" s="38"/>
      <c r="D72" s="38"/>
      <c r="E72" s="37"/>
      <c r="F72" s="38"/>
      <c r="G72" s="198"/>
      <c r="H72" s="198"/>
      <c r="I72" s="39"/>
      <c r="J72" s="38"/>
      <c r="K72" s="198"/>
      <c r="L72" s="38"/>
      <c r="M72" s="38"/>
      <c r="N72" s="38"/>
      <c r="O72" s="38"/>
      <c r="P72" s="40" t="str" cm="1">
        <f t="array" ref="P72">IF(N72="","",IFERROR(_xlfn.XLOOKUP(F72&amp;"|"&amp;J72&amp;"|"&amp;O72,PRICES!$C$2:$C$659&amp;"|"&amp;PRICES!$B$2:$B$659&amp;"|"&amp;PRICES!$D$2:$D$659,PRICES!$E$2:$E$659),"Not Found"))</f>
        <v/>
      </c>
      <c r="Q72" s="100" t="str">
        <f>IF(N72=0,"",SUMIFS(PRICES!$G$2:$G$658,PRICES!$B$2:$B$658,'MAIN TABLE-1 AUTOMATED'!J72,PRICES!$C$2:$C$658,'MAIN TABLE-1 AUTOMATED'!F72,PRICES!$D$2:$D$658,'MAIN TABLE-1 AUTOMATED'!O72))</f>
        <v/>
      </c>
      <c r="R72" s="41" t="str">
        <f>IF(Table1[[#This Row],[QUANTITY]]=0,"",Table1[[#This Row],[UNIT PRICE]]*Table1[[#This Row],[QUANTITY]])</f>
        <v/>
      </c>
      <c r="S72" s="89"/>
      <c r="T72" s="38"/>
      <c r="U72" s="43"/>
      <c r="V72" s="42" t="str">
        <f>IF(Table1[[#This Row],[DATE]]=0,"",YEAR(E72))</f>
        <v/>
      </c>
      <c r="W72" s="40" t="str">
        <f t="shared" si="2"/>
        <v/>
      </c>
      <c r="X72" s="40" t="str">
        <f t="shared" si="3"/>
        <v/>
      </c>
      <c r="Y72" s="40" t="str">
        <f>TEXT(Table1[[#This Row],[YEAR]],"0000")&amp;"-"&amp;Table1[[#This Row],[MONTH]]</f>
        <v>-</v>
      </c>
    </row>
    <row r="73" spans="1:25" ht="18" x14ac:dyDescent="0.35">
      <c r="A73" s="24"/>
      <c r="B73" s="38"/>
      <c r="C73" s="38"/>
      <c r="D73" s="38"/>
      <c r="E73" s="37"/>
      <c r="F73" s="38"/>
      <c r="G73" s="198"/>
      <c r="H73" s="198"/>
      <c r="I73" s="39"/>
      <c r="J73" s="38"/>
      <c r="K73" s="198"/>
      <c r="L73" s="38"/>
      <c r="M73" s="38"/>
      <c r="N73" s="38"/>
      <c r="O73" s="38"/>
      <c r="P73" s="40" t="str" cm="1">
        <f t="array" ref="P73">IF(N73="","",IFERROR(_xlfn.XLOOKUP(F73&amp;"|"&amp;J73&amp;"|"&amp;O73,PRICES!$C$2:$C$659&amp;"|"&amp;PRICES!$B$2:$B$659&amp;"|"&amp;PRICES!$D$2:$D$659,PRICES!$E$2:$E$659),"Not Found"))</f>
        <v/>
      </c>
      <c r="Q73" s="100" t="str">
        <f>IF(N73=0,"",SUMIFS(PRICES!$G$2:$G$658,PRICES!$B$2:$B$658,'MAIN TABLE-1 AUTOMATED'!J73,PRICES!$C$2:$C$658,'MAIN TABLE-1 AUTOMATED'!F73,PRICES!$D$2:$D$658,'MAIN TABLE-1 AUTOMATED'!O73))</f>
        <v/>
      </c>
      <c r="R73" s="41" t="str">
        <f>IF(Table1[[#This Row],[QUANTITY]]=0,"",Table1[[#This Row],[UNIT PRICE]]*Table1[[#This Row],[QUANTITY]])</f>
        <v/>
      </c>
      <c r="S73" s="89"/>
      <c r="T73" s="38"/>
      <c r="U73" s="43"/>
      <c r="V73" s="42" t="str">
        <f>IF(Table1[[#This Row],[DATE]]=0,"",YEAR(E73))</f>
        <v/>
      </c>
      <c r="W73" s="40" t="str">
        <f t="shared" si="2"/>
        <v/>
      </c>
      <c r="X73" s="40" t="str">
        <f t="shared" si="3"/>
        <v/>
      </c>
      <c r="Y73" s="40" t="str">
        <f>TEXT(Table1[[#This Row],[YEAR]],"0000")&amp;"-"&amp;Table1[[#This Row],[MONTH]]</f>
        <v>-</v>
      </c>
    </row>
    <row r="74" spans="1:25" ht="18" x14ac:dyDescent="0.35">
      <c r="A74" s="24"/>
      <c r="B74" s="38"/>
      <c r="C74" s="38"/>
      <c r="D74" s="38"/>
      <c r="E74" s="37"/>
      <c r="F74" s="38"/>
      <c r="G74" s="198"/>
      <c r="H74" s="198"/>
      <c r="I74" s="39"/>
      <c r="J74" s="38"/>
      <c r="K74" s="198"/>
      <c r="L74" s="38"/>
      <c r="M74" s="38"/>
      <c r="N74" s="38"/>
      <c r="O74" s="38"/>
      <c r="P74" s="40" t="str" cm="1">
        <f t="array" ref="P74">IF(N74="","",IFERROR(_xlfn.XLOOKUP(F74&amp;"|"&amp;J74&amp;"|"&amp;O74,PRICES!$C$2:$C$659&amp;"|"&amp;PRICES!$B$2:$B$659&amp;"|"&amp;PRICES!$D$2:$D$659,PRICES!$E$2:$E$659),"Not Found"))</f>
        <v/>
      </c>
      <c r="Q74" s="100" t="str">
        <f>IF(N74=0,"",SUMIFS(PRICES!$G$2:$G$658,PRICES!$B$2:$B$658,'MAIN TABLE-1 AUTOMATED'!J74,PRICES!$C$2:$C$658,'MAIN TABLE-1 AUTOMATED'!F74,PRICES!$D$2:$D$658,'MAIN TABLE-1 AUTOMATED'!O74))</f>
        <v/>
      </c>
      <c r="R74" s="41" t="str">
        <f>IF(Table1[[#This Row],[QUANTITY]]=0,"",Table1[[#This Row],[UNIT PRICE]]*Table1[[#This Row],[QUANTITY]])</f>
        <v/>
      </c>
      <c r="S74" s="89"/>
      <c r="T74" s="38"/>
      <c r="U74" s="43"/>
      <c r="V74" s="42" t="str">
        <f>IF(Table1[[#This Row],[DATE]]=0,"",YEAR(E74))</f>
        <v/>
      </c>
      <c r="W74" s="40" t="str">
        <f t="shared" si="2"/>
        <v/>
      </c>
      <c r="X74" s="40" t="str">
        <f t="shared" si="3"/>
        <v/>
      </c>
      <c r="Y74" s="40" t="str">
        <f>TEXT(Table1[[#This Row],[YEAR]],"0000")&amp;"-"&amp;Table1[[#This Row],[MONTH]]</f>
        <v>-</v>
      </c>
    </row>
    <row r="75" spans="1:25" ht="18" x14ac:dyDescent="0.35">
      <c r="A75" s="24"/>
      <c r="B75" s="38"/>
      <c r="C75" s="38"/>
      <c r="D75" s="38"/>
      <c r="E75" s="37"/>
      <c r="F75" s="38"/>
      <c r="G75" s="198"/>
      <c r="H75" s="198"/>
      <c r="I75" s="39"/>
      <c r="J75" s="38"/>
      <c r="K75" s="198"/>
      <c r="L75" s="38"/>
      <c r="M75" s="38"/>
      <c r="N75" s="38"/>
      <c r="O75" s="38"/>
      <c r="P75" s="40" t="str" cm="1">
        <f t="array" ref="P75">IF(N75="","",IFERROR(_xlfn.XLOOKUP(F75&amp;"|"&amp;J75&amp;"|"&amp;O75,PRICES!$C$2:$C$659&amp;"|"&amp;PRICES!$B$2:$B$659&amp;"|"&amp;PRICES!$D$2:$D$659,PRICES!$E$2:$E$659),"Not Found"))</f>
        <v/>
      </c>
      <c r="Q75" s="100" t="str">
        <f>IF(N75=0,"",SUMIFS(PRICES!$G$2:$G$658,PRICES!$B$2:$B$658,'MAIN TABLE-1 AUTOMATED'!J75,PRICES!$C$2:$C$658,'MAIN TABLE-1 AUTOMATED'!F75,PRICES!$D$2:$D$658,'MAIN TABLE-1 AUTOMATED'!O75))</f>
        <v/>
      </c>
      <c r="R75" s="41" t="str">
        <f>IF(Table1[[#This Row],[QUANTITY]]=0,"",Table1[[#This Row],[UNIT PRICE]]*Table1[[#This Row],[QUANTITY]])</f>
        <v/>
      </c>
      <c r="S75" s="89"/>
      <c r="T75" s="38"/>
      <c r="U75" s="43"/>
      <c r="V75" s="42" t="str">
        <f>IF(Table1[[#This Row],[DATE]]=0,"",YEAR(E75))</f>
        <v/>
      </c>
      <c r="W75" s="40" t="str">
        <f t="shared" si="2"/>
        <v/>
      </c>
      <c r="X75" s="40" t="str">
        <f t="shared" si="3"/>
        <v/>
      </c>
      <c r="Y75" s="40" t="str">
        <f>TEXT(Table1[[#This Row],[YEAR]],"0000")&amp;"-"&amp;Table1[[#This Row],[MONTH]]</f>
        <v>-</v>
      </c>
    </row>
    <row r="76" spans="1:25" ht="18" x14ac:dyDescent="0.35">
      <c r="A76" s="24"/>
      <c r="B76" s="38"/>
      <c r="C76" s="38"/>
      <c r="D76" s="38"/>
      <c r="E76" s="37"/>
      <c r="F76" s="38"/>
      <c r="G76" s="198"/>
      <c r="H76" s="198"/>
      <c r="I76" s="39"/>
      <c r="J76" s="38"/>
      <c r="K76" s="198"/>
      <c r="L76" s="38"/>
      <c r="M76" s="38"/>
      <c r="N76" s="38"/>
      <c r="O76" s="38"/>
      <c r="P76" s="40" t="str" cm="1">
        <f t="array" ref="P76">IF(N76="","",IFERROR(_xlfn.XLOOKUP(F76&amp;"|"&amp;J76&amp;"|"&amp;O76,PRICES!$C$2:$C$659&amp;"|"&amp;PRICES!$B$2:$B$659&amp;"|"&amp;PRICES!$D$2:$D$659,PRICES!$E$2:$E$659),"Not Found"))</f>
        <v/>
      </c>
      <c r="Q76" s="100" t="str">
        <f>IF(N76=0,"",SUMIFS(PRICES!$G$2:$G$658,PRICES!$B$2:$B$658,'MAIN TABLE-1 AUTOMATED'!J76,PRICES!$C$2:$C$658,'MAIN TABLE-1 AUTOMATED'!F76,PRICES!$D$2:$D$658,'MAIN TABLE-1 AUTOMATED'!O76))</f>
        <v/>
      </c>
      <c r="R76" s="41" t="str">
        <f>IF(Table1[[#This Row],[QUANTITY]]=0,"",Table1[[#This Row],[UNIT PRICE]]*Table1[[#This Row],[QUANTITY]])</f>
        <v/>
      </c>
      <c r="S76" s="89"/>
      <c r="T76" s="38"/>
      <c r="U76" s="43"/>
      <c r="V76" s="42" t="str">
        <f>IF(Table1[[#This Row],[DATE]]=0,"",YEAR(E76))</f>
        <v/>
      </c>
      <c r="W76" s="40" t="str">
        <f t="shared" si="2"/>
        <v/>
      </c>
      <c r="X76" s="40" t="str">
        <f t="shared" si="3"/>
        <v/>
      </c>
      <c r="Y76" s="40" t="str">
        <f>TEXT(Table1[[#This Row],[YEAR]],"0000")&amp;"-"&amp;Table1[[#This Row],[MONTH]]</f>
        <v>-</v>
      </c>
    </row>
    <row r="77" spans="1:25" ht="18" x14ac:dyDescent="0.35">
      <c r="A77" s="24"/>
      <c r="B77" s="38"/>
      <c r="C77" s="38"/>
      <c r="D77" s="38"/>
      <c r="E77" s="37"/>
      <c r="F77" s="38"/>
      <c r="G77" s="198"/>
      <c r="H77" s="198"/>
      <c r="I77" s="39"/>
      <c r="J77" s="38"/>
      <c r="K77" s="198"/>
      <c r="L77" s="38"/>
      <c r="M77" s="38"/>
      <c r="N77" s="38"/>
      <c r="O77" s="38"/>
      <c r="P77" s="40" t="str" cm="1">
        <f t="array" ref="P77">IF(N77="","",IFERROR(_xlfn.XLOOKUP(F77&amp;"|"&amp;J77&amp;"|"&amp;O77,PRICES!$C$2:$C$659&amp;"|"&amp;PRICES!$B$2:$B$659&amp;"|"&amp;PRICES!$D$2:$D$659,PRICES!$E$2:$E$659),"Not Found"))</f>
        <v/>
      </c>
      <c r="Q77" s="100" t="str">
        <f>IF(N77=0,"",SUMIFS(PRICES!$G$2:$G$658,PRICES!$B$2:$B$658,'MAIN TABLE-1 AUTOMATED'!J77,PRICES!$C$2:$C$658,'MAIN TABLE-1 AUTOMATED'!F77,PRICES!$D$2:$D$658,'MAIN TABLE-1 AUTOMATED'!O77))</f>
        <v/>
      </c>
      <c r="R77" s="41" t="str">
        <f>IF(Table1[[#This Row],[QUANTITY]]=0,"",Table1[[#This Row],[UNIT PRICE]]*Table1[[#This Row],[QUANTITY]])</f>
        <v/>
      </c>
      <c r="S77" s="89"/>
      <c r="T77" s="38"/>
      <c r="U77" s="43"/>
      <c r="V77" s="42" t="str">
        <f>IF(Table1[[#This Row],[DATE]]=0,"",YEAR(E77))</f>
        <v/>
      </c>
      <c r="W77" s="40" t="str">
        <f t="shared" si="2"/>
        <v/>
      </c>
      <c r="X77" s="40" t="str">
        <f t="shared" si="3"/>
        <v/>
      </c>
      <c r="Y77" s="40" t="str">
        <f>TEXT(Table1[[#This Row],[YEAR]],"0000")&amp;"-"&amp;Table1[[#This Row],[MONTH]]</f>
        <v>-</v>
      </c>
    </row>
    <row r="78" spans="1:25" ht="18" x14ac:dyDescent="0.35">
      <c r="A78" s="24"/>
      <c r="B78" s="38"/>
      <c r="C78" s="38"/>
      <c r="D78" s="38"/>
      <c r="E78" s="37"/>
      <c r="F78" s="38"/>
      <c r="G78" s="198"/>
      <c r="H78" s="198"/>
      <c r="I78" s="39"/>
      <c r="J78" s="38"/>
      <c r="K78" s="198"/>
      <c r="L78" s="38"/>
      <c r="M78" s="38"/>
      <c r="N78" s="38"/>
      <c r="O78" s="38"/>
      <c r="P78" s="40" t="str" cm="1">
        <f t="array" ref="P78">IF(N78="","",IFERROR(_xlfn.XLOOKUP(F78&amp;"|"&amp;J78&amp;"|"&amp;O78,PRICES!$C$2:$C$659&amp;"|"&amp;PRICES!$B$2:$B$659&amp;"|"&amp;PRICES!$D$2:$D$659,PRICES!$E$2:$E$659),"Not Found"))</f>
        <v/>
      </c>
      <c r="Q78" s="100" t="str">
        <f>IF(N78=0,"",SUMIFS(PRICES!$G$2:$G$658,PRICES!$B$2:$B$658,'MAIN TABLE-1 AUTOMATED'!J78,PRICES!$C$2:$C$658,'MAIN TABLE-1 AUTOMATED'!F78,PRICES!$D$2:$D$658,'MAIN TABLE-1 AUTOMATED'!O78))</f>
        <v/>
      </c>
      <c r="R78" s="41" t="str">
        <f>IF(Table1[[#This Row],[QUANTITY]]=0,"",Table1[[#This Row],[UNIT PRICE]]*Table1[[#This Row],[QUANTITY]])</f>
        <v/>
      </c>
      <c r="S78" s="89"/>
      <c r="T78" s="38"/>
      <c r="U78" s="43"/>
      <c r="V78" s="42" t="str">
        <f>IF(Table1[[#This Row],[DATE]]=0,"",YEAR(E78))</f>
        <v/>
      </c>
      <c r="W78" s="40" t="str">
        <f t="shared" si="2"/>
        <v/>
      </c>
      <c r="X78" s="40" t="str">
        <f t="shared" si="3"/>
        <v/>
      </c>
      <c r="Y78" s="40" t="str">
        <f>TEXT(Table1[[#This Row],[YEAR]],"0000")&amp;"-"&amp;Table1[[#This Row],[MONTH]]</f>
        <v>-</v>
      </c>
    </row>
    <row r="79" spans="1:25" ht="18" x14ac:dyDescent="0.35">
      <c r="A79" s="24"/>
      <c r="B79" s="38"/>
      <c r="C79" s="38"/>
      <c r="D79" s="38"/>
      <c r="E79" s="37"/>
      <c r="F79" s="38"/>
      <c r="G79" s="198"/>
      <c r="H79" s="198"/>
      <c r="I79" s="39"/>
      <c r="J79" s="38"/>
      <c r="K79" s="198"/>
      <c r="L79" s="38"/>
      <c r="M79" s="38"/>
      <c r="N79" s="38"/>
      <c r="O79" s="38"/>
      <c r="P79" s="40" t="str" cm="1">
        <f t="array" ref="P79">IF(N79="","",IFERROR(_xlfn.XLOOKUP(F79&amp;"|"&amp;J79&amp;"|"&amp;O79,PRICES!$C$2:$C$659&amp;"|"&amp;PRICES!$B$2:$B$659&amp;"|"&amp;PRICES!$D$2:$D$659,PRICES!$E$2:$E$659),"Not Found"))</f>
        <v/>
      </c>
      <c r="Q79" s="100" t="str">
        <f>IF(N79=0,"",SUMIFS(PRICES!$G$2:$G$658,PRICES!$B$2:$B$658,'MAIN TABLE-1 AUTOMATED'!J79,PRICES!$C$2:$C$658,'MAIN TABLE-1 AUTOMATED'!F79,PRICES!$D$2:$D$658,'MAIN TABLE-1 AUTOMATED'!O79))</f>
        <v/>
      </c>
      <c r="R79" s="41" t="str">
        <f>IF(Table1[[#This Row],[QUANTITY]]=0,"",Table1[[#This Row],[UNIT PRICE]]*Table1[[#This Row],[QUANTITY]])</f>
        <v/>
      </c>
      <c r="S79" s="89"/>
      <c r="T79" s="38"/>
      <c r="U79" s="43"/>
      <c r="V79" s="42" t="str">
        <f>IF(Table1[[#This Row],[DATE]]=0,"",YEAR(E79))</f>
        <v/>
      </c>
      <c r="W79" s="40" t="str">
        <f t="shared" si="2"/>
        <v/>
      </c>
      <c r="X79" s="40" t="str">
        <f t="shared" si="3"/>
        <v/>
      </c>
      <c r="Y79" s="40" t="str">
        <f>TEXT(Table1[[#This Row],[YEAR]],"0000")&amp;"-"&amp;Table1[[#This Row],[MONTH]]</f>
        <v>-</v>
      </c>
    </row>
    <row r="80" spans="1:25" ht="18" x14ac:dyDescent="0.35">
      <c r="A80" s="24"/>
      <c r="B80" s="38"/>
      <c r="C80" s="38"/>
      <c r="D80" s="38"/>
      <c r="E80" s="37"/>
      <c r="F80" s="38"/>
      <c r="G80" s="198"/>
      <c r="H80" s="198"/>
      <c r="I80" s="39"/>
      <c r="J80" s="38"/>
      <c r="K80" s="198"/>
      <c r="L80" s="38"/>
      <c r="M80" s="38"/>
      <c r="N80" s="38"/>
      <c r="O80" s="38"/>
      <c r="P80" s="40" t="str" cm="1">
        <f t="array" ref="P80">IF(N80="","",IFERROR(_xlfn.XLOOKUP(F80&amp;"|"&amp;J80&amp;"|"&amp;O80,PRICES!$C$2:$C$659&amp;"|"&amp;PRICES!$B$2:$B$659&amp;"|"&amp;PRICES!$D$2:$D$659,PRICES!$E$2:$E$659),"Not Found"))</f>
        <v/>
      </c>
      <c r="Q80" s="100" t="str">
        <f>IF(N80=0,"",SUMIFS(PRICES!$G$2:$G$658,PRICES!$B$2:$B$658,'MAIN TABLE-1 AUTOMATED'!J80,PRICES!$C$2:$C$658,'MAIN TABLE-1 AUTOMATED'!F80,PRICES!$D$2:$D$658,'MAIN TABLE-1 AUTOMATED'!O80))</f>
        <v/>
      </c>
      <c r="R80" s="41" t="str">
        <f>IF(Table1[[#This Row],[QUANTITY]]=0,"",Table1[[#This Row],[UNIT PRICE]]*Table1[[#This Row],[QUANTITY]])</f>
        <v/>
      </c>
      <c r="S80" s="89"/>
      <c r="T80" s="38"/>
      <c r="U80" s="43"/>
      <c r="V80" s="42" t="str">
        <f>IF(Table1[[#This Row],[DATE]]=0,"",YEAR(E80))</f>
        <v/>
      </c>
      <c r="W80" s="40" t="str">
        <f t="shared" si="2"/>
        <v/>
      </c>
      <c r="X80" s="40" t="str">
        <f t="shared" si="3"/>
        <v/>
      </c>
      <c r="Y80" s="40" t="str">
        <f>TEXT(Table1[[#This Row],[YEAR]],"0000")&amp;"-"&amp;Table1[[#This Row],[MONTH]]</f>
        <v>-</v>
      </c>
    </row>
    <row r="81" spans="1:25" ht="18" x14ac:dyDescent="0.35">
      <c r="A81" s="24"/>
      <c r="B81" s="38"/>
      <c r="C81" s="38"/>
      <c r="D81" s="38"/>
      <c r="E81" s="37"/>
      <c r="F81" s="38"/>
      <c r="G81" s="198"/>
      <c r="H81" s="198"/>
      <c r="I81" s="39"/>
      <c r="J81" s="38"/>
      <c r="K81" s="198"/>
      <c r="L81" s="38"/>
      <c r="M81" s="38"/>
      <c r="N81" s="38"/>
      <c r="O81" s="38"/>
      <c r="P81" s="40" t="str" cm="1">
        <f t="array" ref="P81">IF(N81="","",IFERROR(_xlfn.XLOOKUP(F81&amp;"|"&amp;J81&amp;"|"&amp;O81,PRICES!$C$2:$C$659&amp;"|"&amp;PRICES!$B$2:$B$659&amp;"|"&amp;PRICES!$D$2:$D$659,PRICES!$E$2:$E$659),"Not Found"))</f>
        <v/>
      </c>
      <c r="Q81" s="100" t="str">
        <f>IF(N81=0,"",SUMIFS(PRICES!$G$2:$G$658,PRICES!$B$2:$B$658,'MAIN TABLE-1 AUTOMATED'!J81,PRICES!$C$2:$C$658,'MAIN TABLE-1 AUTOMATED'!F81,PRICES!$D$2:$D$658,'MAIN TABLE-1 AUTOMATED'!O81))</f>
        <v/>
      </c>
      <c r="R81" s="41" t="str">
        <f>IF(Table1[[#This Row],[QUANTITY]]=0,"",Table1[[#This Row],[UNIT PRICE]]*Table1[[#This Row],[QUANTITY]])</f>
        <v/>
      </c>
      <c r="S81" s="89"/>
      <c r="T81" s="38"/>
      <c r="U81" s="43"/>
      <c r="V81" s="42" t="str">
        <f>IF(Table1[[#This Row],[DATE]]=0,"",YEAR(E81))</f>
        <v/>
      </c>
      <c r="W81" s="40" t="str">
        <f t="shared" si="2"/>
        <v/>
      </c>
      <c r="X81" s="40" t="str">
        <f t="shared" si="3"/>
        <v/>
      </c>
      <c r="Y81" s="40" t="str">
        <f>TEXT(Table1[[#This Row],[YEAR]],"0000")&amp;"-"&amp;Table1[[#This Row],[MONTH]]</f>
        <v>-</v>
      </c>
    </row>
    <row r="82" spans="1:25" ht="18" x14ac:dyDescent="0.35">
      <c r="A82" s="24"/>
      <c r="B82" s="38"/>
      <c r="C82" s="38"/>
      <c r="D82" s="38"/>
      <c r="E82" s="37"/>
      <c r="F82" s="38"/>
      <c r="G82" s="198"/>
      <c r="H82" s="198"/>
      <c r="I82" s="39"/>
      <c r="J82" s="38"/>
      <c r="K82" s="198"/>
      <c r="L82" s="38"/>
      <c r="M82" s="38"/>
      <c r="N82" s="38"/>
      <c r="O82" s="38"/>
      <c r="P82" s="40" t="str" cm="1">
        <f t="array" ref="P82">IF(N82="","",IFERROR(_xlfn.XLOOKUP(F82&amp;"|"&amp;J82&amp;"|"&amp;O82,PRICES!$C$2:$C$659&amp;"|"&amp;PRICES!$B$2:$B$659&amp;"|"&amp;PRICES!$D$2:$D$659,PRICES!$E$2:$E$659),"Not Found"))</f>
        <v/>
      </c>
      <c r="Q82" s="100" t="str">
        <f>IF(N82=0,"",SUMIFS(PRICES!$G$2:$G$658,PRICES!$B$2:$B$658,'MAIN TABLE-1 AUTOMATED'!J82,PRICES!$C$2:$C$658,'MAIN TABLE-1 AUTOMATED'!F82,PRICES!$D$2:$D$658,'MAIN TABLE-1 AUTOMATED'!O82))</f>
        <v/>
      </c>
      <c r="R82" s="41" t="str">
        <f>IF(Table1[[#This Row],[QUANTITY]]=0,"",Table1[[#This Row],[UNIT PRICE]]*Table1[[#This Row],[QUANTITY]])</f>
        <v/>
      </c>
      <c r="S82" s="89"/>
      <c r="T82" s="38"/>
      <c r="U82" s="43"/>
      <c r="V82" s="42" t="str">
        <f>IF(Table1[[#This Row],[DATE]]=0,"",YEAR(E82))</f>
        <v/>
      </c>
      <c r="W82" s="40" t="str">
        <f t="shared" si="2"/>
        <v/>
      </c>
      <c r="X82" s="40" t="str">
        <f t="shared" si="3"/>
        <v/>
      </c>
      <c r="Y82" s="40" t="str">
        <f>TEXT(Table1[[#This Row],[YEAR]],"0000")&amp;"-"&amp;Table1[[#This Row],[MONTH]]</f>
        <v>-</v>
      </c>
    </row>
    <row r="83" spans="1:25" ht="18" x14ac:dyDescent="0.35">
      <c r="A83" s="24"/>
      <c r="B83" s="38"/>
      <c r="C83" s="38"/>
      <c r="D83" s="38"/>
      <c r="E83" s="37"/>
      <c r="F83" s="38"/>
      <c r="G83" s="198"/>
      <c r="H83" s="198"/>
      <c r="I83" s="39"/>
      <c r="J83" s="38"/>
      <c r="K83" s="198"/>
      <c r="L83" s="38"/>
      <c r="M83" s="38"/>
      <c r="N83" s="38"/>
      <c r="O83" s="38"/>
      <c r="P83" s="40" t="str" cm="1">
        <f t="array" ref="P83">IF(N83="","",IFERROR(_xlfn.XLOOKUP(F83&amp;"|"&amp;J83&amp;"|"&amp;O83,PRICES!$C$2:$C$659&amp;"|"&amp;PRICES!$B$2:$B$659&amp;"|"&amp;PRICES!$D$2:$D$659,PRICES!$E$2:$E$659),"Not Found"))</f>
        <v/>
      </c>
      <c r="Q83" s="100" t="str">
        <f>IF(N83=0,"",SUMIFS(PRICES!$G$2:$G$658,PRICES!$B$2:$B$658,'MAIN TABLE-1 AUTOMATED'!J83,PRICES!$C$2:$C$658,'MAIN TABLE-1 AUTOMATED'!F83,PRICES!$D$2:$D$658,'MAIN TABLE-1 AUTOMATED'!O83))</f>
        <v/>
      </c>
      <c r="R83" s="41" t="str">
        <f>IF(Table1[[#This Row],[QUANTITY]]=0,"",Table1[[#This Row],[UNIT PRICE]]*Table1[[#This Row],[QUANTITY]])</f>
        <v/>
      </c>
      <c r="S83" s="89"/>
      <c r="T83" s="38"/>
      <c r="U83" s="43"/>
      <c r="V83" s="42" t="str">
        <f>IF(Table1[[#This Row],[DATE]]=0,"",YEAR(E83))</f>
        <v/>
      </c>
      <c r="W83" s="40" t="str">
        <f t="shared" si="2"/>
        <v/>
      </c>
      <c r="X83" s="40" t="str">
        <f t="shared" si="3"/>
        <v/>
      </c>
      <c r="Y83" s="40" t="str">
        <f>TEXT(Table1[[#This Row],[YEAR]],"0000")&amp;"-"&amp;Table1[[#This Row],[MONTH]]</f>
        <v>-</v>
      </c>
    </row>
    <row r="84" spans="1:25" ht="18" x14ac:dyDescent="0.35">
      <c r="A84" s="24"/>
      <c r="B84" s="38"/>
      <c r="C84" s="38"/>
      <c r="D84" s="38"/>
      <c r="E84" s="37"/>
      <c r="F84" s="38"/>
      <c r="G84" s="198"/>
      <c r="H84" s="198"/>
      <c r="I84" s="39"/>
      <c r="J84" s="38"/>
      <c r="K84" s="198"/>
      <c r="L84" s="38"/>
      <c r="M84" s="38"/>
      <c r="N84" s="38"/>
      <c r="O84" s="38"/>
      <c r="P84" s="40" t="str" cm="1">
        <f t="array" ref="P84">IF(N84="","",IFERROR(_xlfn.XLOOKUP(F84&amp;"|"&amp;J84&amp;"|"&amp;O84,PRICES!$C$2:$C$659&amp;"|"&amp;PRICES!$B$2:$B$659&amp;"|"&amp;PRICES!$D$2:$D$659,PRICES!$E$2:$E$659),"Not Found"))</f>
        <v/>
      </c>
      <c r="Q84" s="100" t="str">
        <f>IF(N84=0,"",SUMIFS(PRICES!$G$2:$G$658,PRICES!$B$2:$B$658,'MAIN TABLE-1 AUTOMATED'!J84,PRICES!$C$2:$C$658,'MAIN TABLE-1 AUTOMATED'!F84,PRICES!$D$2:$D$658,'MAIN TABLE-1 AUTOMATED'!O84))</f>
        <v/>
      </c>
      <c r="R84" s="41" t="str">
        <f>IF(Table1[[#This Row],[QUANTITY]]=0,"",Table1[[#This Row],[UNIT PRICE]]*Table1[[#This Row],[QUANTITY]])</f>
        <v/>
      </c>
      <c r="S84" s="89"/>
      <c r="T84" s="38"/>
      <c r="U84" s="43"/>
      <c r="V84" s="42" t="str">
        <f>IF(Table1[[#This Row],[DATE]]=0,"",YEAR(E84))</f>
        <v/>
      </c>
      <c r="W84" s="40" t="str">
        <f t="shared" si="2"/>
        <v/>
      </c>
      <c r="X84" s="40" t="str">
        <f t="shared" si="3"/>
        <v/>
      </c>
      <c r="Y84" s="40" t="str">
        <f>TEXT(Table1[[#This Row],[YEAR]],"0000")&amp;"-"&amp;Table1[[#This Row],[MONTH]]</f>
        <v>-</v>
      </c>
    </row>
    <row r="85" spans="1:25" ht="18" x14ac:dyDescent="0.35">
      <c r="A85" s="24"/>
      <c r="B85" s="38"/>
      <c r="C85" s="38"/>
      <c r="D85" s="38"/>
      <c r="E85" s="37"/>
      <c r="F85" s="38"/>
      <c r="G85" s="198"/>
      <c r="H85" s="198"/>
      <c r="I85" s="39"/>
      <c r="J85" s="38"/>
      <c r="K85" s="198"/>
      <c r="L85" s="38"/>
      <c r="M85" s="38"/>
      <c r="N85" s="38"/>
      <c r="O85" s="38"/>
      <c r="P85" s="40" t="str" cm="1">
        <f t="array" ref="P85">IF(N85="","",IFERROR(_xlfn.XLOOKUP(F85&amp;"|"&amp;J85&amp;"|"&amp;O85,PRICES!$C$2:$C$659&amp;"|"&amp;PRICES!$B$2:$B$659&amp;"|"&amp;PRICES!$D$2:$D$659,PRICES!$E$2:$E$659),"Not Found"))</f>
        <v/>
      </c>
      <c r="Q85" s="100" t="str">
        <f>IF(N85=0,"",SUMIFS(PRICES!$G$2:$G$658,PRICES!$B$2:$B$658,'MAIN TABLE-1 AUTOMATED'!J85,PRICES!$C$2:$C$658,'MAIN TABLE-1 AUTOMATED'!F85,PRICES!$D$2:$D$658,'MAIN TABLE-1 AUTOMATED'!O85))</f>
        <v/>
      </c>
      <c r="R85" s="41" t="str">
        <f>IF(Table1[[#This Row],[QUANTITY]]=0,"",Table1[[#This Row],[UNIT PRICE]]*Table1[[#This Row],[QUANTITY]])</f>
        <v/>
      </c>
      <c r="S85" s="89"/>
      <c r="T85" s="38"/>
      <c r="U85" s="43"/>
      <c r="V85" s="42" t="str">
        <f>IF(Table1[[#This Row],[DATE]]=0,"",YEAR(E85))</f>
        <v/>
      </c>
      <c r="W85" s="40" t="str">
        <f t="shared" si="2"/>
        <v/>
      </c>
      <c r="X85" s="40" t="str">
        <f t="shared" si="3"/>
        <v/>
      </c>
      <c r="Y85" s="40" t="str">
        <f>TEXT(Table1[[#This Row],[YEAR]],"0000")&amp;"-"&amp;Table1[[#This Row],[MONTH]]</f>
        <v>-</v>
      </c>
    </row>
    <row r="86" spans="1:25" ht="18" x14ac:dyDescent="0.35">
      <c r="A86" s="24"/>
      <c r="B86" s="38"/>
      <c r="C86" s="38"/>
      <c r="D86" s="38"/>
      <c r="E86" s="37"/>
      <c r="F86" s="38"/>
      <c r="G86" s="198"/>
      <c r="H86" s="198"/>
      <c r="I86" s="39"/>
      <c r="J86" s="38"/>
      <c r="K86" s="198"/>
      <c r="L86" s="38"/>
      <c r="M86" s="38"/>
      <c r="N86" s="38"/>
      <c r="O86" s="38"/>
      <c r="P86" s="40" t="str" cm="1">
        <f t="array" ref="P86">IF(N86="","",IFERROR(_xlfn.XLOOKUP(F86&amp;"|"&amp;J86&amp;"|"&amp;O86,PRICES!$C$2:$C$659&amp;"|"&amp;PRICES!$B$2:$B$659&amp;"|"&amp;PRICES!$D$2:$D$659,PRICES!$E$2:$E$659),"Not Found"))</f>
        <v/>
      </c>
      <c r="Q86" s="100" t="str">
        <f>IF(N86=0,"",SUMIFS(PRICES!$G$2:$G$658,PRICES!$B$2:$B$658,'MAIN TABLE-1 AUTOMATED'!J86,PRICES!$C$2:$C$658,'MAIN TABLE-1 AUTOMATED'!F86,PRICES!$D$2:$D$658,'MAIN TABLE-1 AUTOMATED'!O86))</f>
        <v/>
      </c>
      <c r="R86" s="41" t="str">
        <f>IF(Table1[[#This Row],[QUANTITY]]=0,"",Table1[[#This Row],[UNIT PRICE]]*Table1[[#This Row],[QUANTITY]])</f>
        <v/>
      </c>
      <c r="S86" s="89"/>
      <c r="T86" s="38"/>
      <c r="U86" s="43"/>
      <c r="V86" s="42" t="str">
        <f>IF(Table1[[#This Row],[DATE]]=0,"",YEAR(E86))</f>
        <v/>
      </c>
      <c r="W86" s="40" t="str">
        <f t="shared" si="2"/>
        <v/>
      </c>
      <c r="X86" s="40" t="str">
        <f t="shared" si="3"/>
        <v/>
      </c>
      <c r="Y86" s="40" t="str">
        <f>TEXT(Table1[[#This Row],[YEAR]],"0000")&amp;"-"&amp;Table1[[#This Row],[MONTH]]</f>
        <v>-</v>
      </c>
    </row>
    <row r="87" spans="1:25" ht="18" x14ac:dyDescent="0.35">
      <c r="A87" s="24"/>
      <c r="B87" s="38"/>
      <c r="C87" s="38"/>
      <c r="D87" s="38"/>
      <c r="E87" s="37"/>
      <c r="F87" s="38"/>
      <c r="G87" s="198"/>
      <c r="H87" s="198"/>
      <c r="I87" s="39"/>
      <c r="J87" s="38"/>
      <c r="K87" s="198"/>
      <c r="L87" s="38"/>
      <c r="M87" s="38"/>
      <c r="N87" s="38"/>
      <c r="O87" s="38"/>
      <c r="P87" s="40" t="str" cm="1">
        <f t="array" ref="P87">IF(N87="","",IFERROR(_xlfn.XLOOKUP(F87&amp;"|"&amp;J87&amp;"|"&amp;O87,PRICES!$C$2:$C$659&amp;"|"&amp;PRICES!$B$2:$B$659&amp;"|"&amp;PRICES!$D$2:$D$659,PRICES!$E$2:$E$659),"Not Found"))</f>
        <v/>
      </c>
      <c r="Q87" s="100" t="str">
        <f>IF(N87=0,"",SUMIFS(PRICES!$G$2:$G$658,PRICES!$B$2:$B$658,'MAIN TABLE-1 AUTOMATED'!J87,PRICES!$C$2:$C$658,'MAIN TABLE-1 AUTOMATED'!F87,PRICES!$D$2:$D$658,'MAIN TABLE-1 AUTOMATED'!O87))</f>
        <v/>
      </c>
      <c r="R87" s="41" t="str">
        <f>IF(Table1[[#This Row],[QUANTITY]]=0,"",Table1[[#This Row],[UNIT PRICE]]*Table1[[#This Row],[QUANTITY]])</f>
        <v/>
      </c>
      <c r="S87" s="89"/>
      <c r="T87" s="38"/>
      <c r="U87" s="43"/>
      <c r="V87" s="42" t="str">
        <f>IF(Table1[[#This Row],[DATE]]=0,"",YEAR(E87))</f>
        <v/>
      </c>
      <c r="W87" s="40" t="str">
        <f t="shared" si="2"/>
        <v/>
      </c>
      <c r="X87" s="40" t="str">
        <f t="shared" si="3"/>
        <v/>
      </c>
      <c r="Y87" s="40" t="str">
        <f>TEXT(Table1[[#This Row],[YEAR]],"0000")&amp;"-"&amp;Table1[[#This Row],[MONTH]]</f>
        <v>-</v>
      </c>
    </row>
    <row r="88" spans="1:25" ht="18" x14ac:dyDescent="0.35">
      <c r="A88" s="24"/>
      <c r="B88" s="38"/>
      <c r="C88" s="38"/>
      <c r="D88" s="38"/>
      <c r="E88" s="37"/>
      <c r="F88" s="38"/>
      <c r="G88" s="198"/>
      <c r="H88" s="198"/>
      <c r="I88" s="39"/>
      <c r="J88" s="38"/>
      <c r="K88" s="198"/>
      <c r="L88" s="38"/>
      <c r="M88" s="38"/>
      <c r="N88" s="38"/>
      <c r="O88" s="38"/>
      <c r="P88" s="40" t="str" cm="1">
        <f t="array" ref="P88">IF(N88="","",IFERROR(_xlfn.XLOOKUP(F88&amp;"|"&amp;J88&amp;"|"&amp;O88,PRICES!$C$2:$C$659&amp;"|"&amp;PRICES!$B$2:$B$659&amp;"|"&amp;PRICES!$D$2:$D$659,PRICES!$E$2:$E$659),"Not Found"))</f>
        <v/>
      </c>
      <c r="Q88" s="100" t="str">
        <f>IF(N88=0,"",SUMIFS(PRICES!$G$2:$G$658,PRICES!$B$2:$B$658,'MAIN TABLE-1 AUTOMATED'!J88,PRICES!$C$2:$C$658,'MAIN TABLE-1 AUTOMATED'!F88,PRICES!$D$2:$D$658,'MAIN TABLE-1 AUTOMATED'!O88))</f>
        <v/>
      </c>
      <c r="R88" s="41" t="str">
        <f>IF(Table1[[#This Row],[QUANTITY]]=0,"",Table1[[#This Row],[UNIT PRICE]]*Table1[[#This Row],[QUANTITY]])</f>
        <v/>
      </c>
      <c r="S88" s="89"/>
      <c r="T88" s="38"/>
      <c r="U88" s="43"/>
      <c r="V88" s="42" t="str">
        <f>IF(Table1[[#This Row],[DATE]]=0,"",YEAR(E88))</f>
        <v/>
      </c>
      <c r="W88" s="40" t="str">
        <f t="shared" si="2"/>
        <v/>
      </c>
      <c r="X88" s="40" t="str">
        <f t="shared" si="3"/>
        <v/>
      </c>
      <c r="Y88" s="40" t="str">
        <f>TEXT(Table1[[#This Row],[YEAR]],"0000")&amp;"-"&amp;Table1[[#This Row],[MONTH]]</f>
        <v>-</v>
      </c>
    </row>
    <row r="89" spans="1:25" ht="18" x14ac:dyDescent="0.35">
      <c r="A89" s="24"/>
      <c r="B89" s="38"/>
      <c r="C89" s="38"/>
      <c r="D89" s="38"/>
      <c r="E89" s="37"/>
      <c r="F89" s="38"/>
      <c r="G89" s="198"/>
      <c r="H89" s="198"/>
      <c r="I89" s="39"/>
      <c r="J89" s="38"/>
      <c r="K89" s="198"/>
      <c r="L89" s="38"/>
      <c r="M89" s="38"/>
      <c r="N89" s="38"/>
      <c r="O89" s="38"/>
      <c r="P89" s="40" t="str" cm="1">
        <f t="array" ref="P89">IF(N89="","",IFERROR(_xlfn.XLOOKUP(F89&amp;"|"&amp;J89&amp;"|"&amp;O89,PRICES!$C$2:$C$659&amp;"|"&amp;PRICES!$B$2:$B$659&amp;"|"&amp;PRICES!$D$2:$D$659,PRICES!$E$2:$E$659),"Not Found"))</f>
        <v/>
      </c>
      <c r="Q89" s="100" t="str">
        <f>IF(N89=0,"",SUMIFS(PRICES!$G$2:$G$658,PRICES!$B$2:$B$658,'MAIN TABLE-1 AUTOMATED'!J89,PRICES!$C$2:$C$658,'MAIN TABLE-1 AUTOMATED'!F89,PRICES!$D$2:$D$658,'MAIN TABLE-1 AUTOMATED'!O89))</f>
        <v/>
      </c>
      <c r="R89" s="41" t="str">
        <f>IF(Table1[[#This Row],[QUANTITY]]=0,"",Table1[[#This Row],[UNIT PRICE]]*Table1[[#This Row],[QUANTITY]])</f>
        <v/>
      </c>
      <c r="S89" s="89"/>
      <c r="T89" s="38"/>
      <c r="U89" s="43"/>
      <c r="V89" s="42" t="str">
        <f>IF(Table1[[#This Row],[DATE]]=0,"",YEAR(E89))</f>
        <v/>
      </c>
      <c r="W89" s="40" t="str">
        <f t="shared" si="2"/>
        <v/>
      </c>
      <c r="X89" s="40" t="str">
        <f t="shared" si="3"/>
        <v/>
      </c>
      <c r="Y89" s="40" t="str">
        <f>TEXT(Table1[[#This Row],[YEAR]],"0000")&amp;"-"&amp;Table1[[#This Row],[MONTH]]</f>
        <v>-</v>
      </c>
    </row>
    <row r="90" spans="1:25" ht="18" x14ac:dyDescent="0.35">
      <c r="A90" s="24"/>
      <c r="B90" s="38"/>
      <c r="C90" s="38"/>
      <c r="D90" s="38"/>
      <c r="E90" s="37"/>
      <c r="F90" s="38"/>
      <c r="G90" s="198"/>
      <c r="H90" s="198"/>
      <c r="I90" s="39"/>
      <c r="J90" s="38"/>
      <c r="K90" s="198"/>
      <c r="L90" s="38"/>
      <c r="M90" s="38"/>
      <c r="N90" s="38"/>
      <c r="O90" s="38"/>
      <c r="P90" s="40" t="str" cm="1">
        <f t="array" ref="P90">IF(N90="","",IFERROR(_xlfn.XLOOKUP(F90&amp;"|"&amp;J90&amp;"|"&amp;O90,PRICES!$C$2:$C$659&amp;"|"&amp;PRICES!$B$2:$B$659&amp;"|"&amp;PRICES!$D$2:$D$659,PRICES!$E$2:$E$659),"Not Found"))</f>
        <v/>
      </c>
      <c r="Q90" s="100" t="str">
        <f>IF(N90=0,"",SUMIFS(PRICES!$G$2:$G$658,PRICES!$B$2:$B$658,'MAIN TABLE-1 AUTOMATED'!J90,PRICES!$C$2:$C$658,'MAIN TABLE-1 AUTOMATED'!F90,PRICES!$D$2:$D$658,'MAIN TABLE-1 AUTOMATED'!O90))</f>
        <v/>
      </c>
      <c r="R90" s="41" t="str">
        <f>IF(Table1[[#This Row],[QUANTITY]]=0,"",Table1[[#This Row],[UNIT PRICE]]*Table1[[#This Row],[QUANTITY]])</f>
        <v/>
      </c>
      <c r="S90" s="89"/>
      <c r="T90" s="38"/>
      <c r="U90" s="43"/>
      <c r="V90" s="42" t="str">
        <f>IF(Table1[[#This Row],[DATE]]=0,"",YEAR(E90))</f>
        <v/>
      </c>
      <c r="W90" s="40" t="str">
        <f t="shared" si="2"/>
        <v/>
      </c>
      <c r="X90" s="40" t="str">
        <f t="shared" si="3"/>
        <v/>
      </c>
      <c r="Y90" s="40" t="str">
        <f>TEXT(Table1[[#This Row],[YEAR]],"0000")&amp;"-"&amp;Table1[[#This Row],[MONTH]]</f>
        <v>-</v>
      </c>
    </row>
    <row r="91" spans="1:25" ht="18" x14ac:dyDescent="0.35">
      <c r="A91" s="24"/>
      <c r="B91" s="38"/>
      <c r="C91" s="38"/>
      <c r="D91" s="38"/>
      <c r="E91" s="37"/>
      <c r="F91" s="38"/>
      <c r="G91" s="198"/>
      <c r="H91" s="198"/>
      <c r="I91" s="39"/>
      <c r="J91" s="38"/>
      <c r="K91" s="198"/>
      <c r="L91" s="38"/>
      <c r="M91" s="38"/>
      <c r="N91" s="38"/>
      <c r="O91" s="38"/>
      <c r="P91" s="40" t="str" cm="1">
        <f t="array" ref="P91">IF(N91="","",IFERROR(_xlfn.XLOOKUP(F91&amp;"|"&amp;J91&amp;"|"&amp;O91,PRICES!$C$2:$C$659&amp;"|"&amp;PRICES!$B$2:$B$659&amp;"|"&amp;PRICES!$D$2:$D$659,PRICES!$E$2:$E$659),"Not Found"))</f>
        <v/>
      </c>
      <c r="Q91" s="100" t="str">
        <f>IF(N91=0,"",SUMIFS(PRICES!$G$2:$G$658,PRICES!$B$2:$B$658,'MAIN TABLE-1 AUTOMATED'!J91,PRICES!$C$2:$C$658,'MAIN TABLE-1 AUTOMATED'!F91,PRICES!$D$2:$D$658,'MAIN TABLE-1 AUTOMATED'!O91))</f>
        <v/>
      </c>
      <c r="R91" s="41" t="str">
        <f>IF(Table1[[#This Row],[QUANTITY]]=0,"",Table1[[#This Row],[UNIT PRICE]]*Table1[[#This Row],[QUANTITY]])</f>
        <v/>
      </c>
      <c r="S91" s="89"/>
      <c r="T91" s="38"/>
      <c r="U91" s="43"/>
      <c r="V91" s="42" t="str">
        <f>IF(Table1[[#This Row],[DATE]]=0,"",YEAR(E91))</f>
        <v/>
      </c>
      <c r="W91" s="40" t="str">
        <f t="shared" si="2"/>
        <v/>
      </c>
      <c r="X91" s="40" t="str">
        <f t="shared" si="3"/>
        <v/>
      </c>
      <c r="Y91" s="40" t="str">
        <f>TEXT(Table1[[#This Row],[YEAR]],"0000")&amp;"-"&amp;Table1[[#This Row],[MONTH]]</f>
        <v>-</v>
      </c>
    </row>
    <row r="92" spans="1:25" ht="18" x14ac:dyDescent="0.35">
      <c r="A92" s="24"/>
      <c r="B92" s="38"/>
      <c r="C92" s="38"/>
      <c r="D92" s="38"/>
      <c r="E92" s="37"/>
      <c r="F92" s="38"/>
      <c r="G92" s="198"/>
      <c r="H92" s="198"/>
      <c r="I92" s="39"/>
      <c r="J92" s="38"/>
      <c r="K92" s="198"/>
      <c r="L92" s="38"/>
      <c r="M92" s="38"/>
      <c r="N92" s="38"/>
      <c r="O92" s="38"/>
      <c r="P92" s="40" t="str" cm="1">
        <f t="array" ref="P92">IF(N92="","",IFERROR(_xlfn.XLOOKUP(F92&amp;"|"&amp;J92&amp;"|"&amp;O92,PRICES!$C$2:$C$659&amp;"|"&amp;PRICES!$B$2:$B$659&amp;"|"&amp;PRICES!$D$2:$D$659,PRICES!$E$2:$E$659),"Not Found"))</f>
        <v/>
      </c>
      <c r="Q92" s="100" t="str">
        <f>IF(N92=0,"",SUMIFS(PRICES!$G$2:$G$658,PRICES!$B$2:$B$658,'MAIN TABLE-1 AUTOMATED'!J92,PRICES!$C$2:$C$658,'MAIN TABLE-1 AUTOMATED'!F92,PRICES!$D$2:$D$658,'MAIN TABLE-1 AUTOMATED'!O92))</f>
        <v/>
      </c>
      <c r="R92" s="41" t="str">
        <f>IF(Table1[[#This Row],[QUANTITY]]=0,"",Table1[[#This Row],[UNIT PRICE]]*Table1[[#This Row],[QUANTITY]])</f>
        <v/>
      </c>
      <c r="S92" s="89"/>
      <c r="T92" s="38"/>
      <c r="U92" s="43"/>
      <c r="V92" s="42" t="str">
        <f>IF(Table1[[#This Row],[DATE]]=0,"",YEAR(E92))</f>
        <v/>
      </c>
      <c r="W92" s="40" t="str">
        <f t="shared" si="2"/>
        <v/>
      </c>
      <c r="X92" s="40" t="str">
        <f t="shared" si="3"/>
        <v/>
      </c>
      <c r="Y92" s="40" t="str">
        <f>TEXT(Table1[[#This Row],[YEAR]],"0000")&amp;"-"&amp;Table1[[#This Row],[MONTH]]</f>
        <v>-</v>
      </c>
    </row>
    <row r="93" spans="1:25" ht="18" x14ac:dyDescent="0.35">
      <c r="A93" s="24"/>
      <c r="B93" s="38"/>
      <c r="C93" s="38"/>
      <c r="D93" s="38"/>
      <c r="E93" s="37"/>
      <c r="F93" s="38"/>
      <c r="G93" s="198"/>
      <c r="H93" s="198"/>
      <c r="I93" s="39"/>
      <c r="J93" s="38"/>
      <c r="K93" s="198"/>
      <c r="L93" s="38"/>
      <c r="M93" s="38"/>
      <c r="N93" s="38"/>
      <c r="O93" s="38"/>
      <c r="P93" s="40" t="str" cm="1">
        <f t="array" ref="P93">IF(N93="","",IFERROR(_xlfn.XLOOKUP(F93&amp;"|"&amp;J93&amp;"|"&amp;O93,PRICES!$C$2:$C$659&amp;"|"&amp;PRICES!$B$2:$B$659&amp;"|"&amp;PRICES!$D$2:$D$659,PRICES!$E$2:$E$659),"Not Found"))</f>
        <v/>
      </c>
      <c r="Q93" s="100" t="str">
        <f>IF(N93=0,"",SUMIFS(PRICES!$G$2:$G$658,PRICES!$B$2:$B$658,'MAIN TABLE-1 AUTOMATED'!J93,PRICES!$C$2:$C$658,'MAIN TABLE-1 AUTOMATED'!F93,PRICES!$D$2:$D$658,'MAIN TABLE-1 AUTOMATED'!O93))</f>
        <v/>
      </c>
      <c r="R93" s="41" t="str">
        <f>IF(Table1[[#This Row],[QUANTITY]]=0,"",Table1[[#This Row],[UNIT PRICE]]*Table1[[#This Row],[QUANTITY]])</f>
        <v/>
      </c>
      <c r="S93" s="89"/>
      <c r="T93" s="38"/>
      <c r="U93" s="43"/>
      <c r="V93" s="42" t="str">
        <f>IF(Table1[[#This Row],[DATE]]=0,"",YEAR(E93))</f>
        <v/>
      </c>
      <c r="W93" s="40" t="str">
        <f t="shared" si="2"/>
        <v/>
      </c>
      <c r="X93" s="40" t="str">
        <f t="shared" si="3"/>
        <v/>
      </c>
      <c r="Y93" s="40" t="str">
        <f>TEXT(Table1[[#This Row],[YEAR]],"0000")&amp;"-"&amp;Table1[[#This Row],[MONTH]]</f>
        <v>-</v>
      </c>
    </row>
    <row r="94" spans="1:25" ht="18" x14ac:dyDescent="0.35">
      <c r="A94" s="24"/>
      <c r="B94" s="38"/>
      <c r="C94" s="38"/>
      <c r="D94" s="38"/>
      <c r="E94" s="37"/>
      <c r="F94" s="38"/>
      <c r="G94" s="198"/>
      <c r="H94" s="198"/>
      <c r="I94" s="39"/>
      <c r="J94" s="38"/>
      <c r="K94" s="198"/>
      <c r="L94" s="38"/>
      <c r="M94" s="38"/>
      <c r="N94" s="38"/>
      <c r="O94" s="38"/>
      <c r="P94" s="40" t="str" cm="1">
        <f t="array" ref="P94">IF(N94="","",IFERROR(_xlfn.XLOOKUP(F94&amp;"|"&amp;J94&amp;"|"&amp;O94,PRICES!$C$2:$C$659&amp;"|"&amp;PRICES!$B$2:$B$659&amp;"|"&amp;PRICES!$D$2:$D$659,PRICES!$E$2:$E$659),"Not Found"))</f>
        <v/>
      </c>
      <c r="Q94" s="100" t="str">
        <f>IF(N94=0,"",SUMIFS(PRICES!$G$2:$G$658,PRICES!$B$2:$B$658,'MAIN TABLE-1 AUTOMATED'!J94,PRICES!$C$2:$C$658,'MAIN TABLE-1 AUTOMATED'!F94,PRICES!$D$2:$D$658,'MAIN TABLE-1 AUTOMATED'!O94))</f>
        <v/>
      </c>
      <c r="R94" s="41" t="str">
        <f>IF(Table1[[#This Row],[QUANTITY]]=0,"",Table1[[#This Row],[UNIT PRICE]]*Table1[[#This Row],[QUANTITY]])</f>
        <v/>
      </c>
      <c r="S94" s="89"/>
      <c r="T94" s="38"/>
      <c r="U94" s="43"/>
      <c r="V94" s="42" t="str">
        <f>IF(Table1[[#This Row],[DATE]]=0,"",YEAR(E94))</f>
        <v/>
      </c>
      <c r="W94" s="40" t="str">
        <f t="shared" si="2"/>
        <v/>
      </c>
      <c r="X94" s="40" t="str">
        <f t="shared" si="3"/>
        <v/>
      </c>
      <c r="Y94" s="40" t="str">
        <f>TEXT(Table1[[#This Row],[YEAR]],"0000")&amp;"-"&amp;Table1[[#This Row],[MONTH]]</f>
        <v>-</v>
      </c>
    </row>
    <row r="95" spans="1:25" ht="18" x14ac:dyDescent="0.35">
      <c r="A95" s="24"/>
      <c r="B95" s="38"/>
      <c r="C95" s="38"/>
      <c r="D95" s="38"/>
      <c r="E95" s="37"/>
      <c r="F95" s="38"/>
      <c r="G95" s="198"/>
      <c r="H95" s="198"/>
      <c r="I95" s="39"/>
      <c r="J95" s="38"/>
      <c r="K95" s="198"/>
      <c r="L95" s="38"/>
      <c r="M95" s="38"/>
      <c r="N95" s="38"/>
      <c r="O95" s="38"/>
      <c r="P95" s="40" t="str" cm="1">
        <f t="array" ref="P95">IF(N95="","",IFERROR(_xlfn.XLOOKUP(F95&amp;"|"&amp;J95&amp;"|"&amp;O95,PRICES!$C$2:$C$659&amp;"|"&amp;PRICES!$B$2:$B$659&amp;"|"&amp;PRICES!$D$2:$D$659,PRICES!$E$2:$E$659),"Not Found"))</f>
        <v/>
      </c>
      <c r="Q95" s="100" t="str">
        <f>IF(N95=0,"",SUMIFS(PRICES!$G$2:$G$658,PRICES!$B$2:$B$658,'MAIN TABLE-1 AUTOMATED'!J95,PRICES!$C$2:$C$658,'MAIN TABLE-1 AUTOMATED'!F95,PRICES!$D$2:$D$658,'MAIN TABLE-1 AUTOMATED'!O95))</f>
        <v/>
      </c>
      <c r="R95" s="41" t="str">
        <f>IF(Table1[[#This Row],[QUANTITY]]=0,"",Table1[[#This Row],[UNIT PRICE]]*Table1[[#This Row],[QUANTITY]])</f>
        <v/>
      </c>
      <c r="S95" s="89"/>
      <c r="T95" s="38"/>
      <c r="U95" s="43"/>
      <c r="V95" s="42" t="str">
        <f>IF(Table1[[#This Row],[DATE]]=0,"",YEAR(E95))</f>
        <v/>
      </c>
      <c r="W95" s="40" t="str">
        <f t="shared" si="2"/>
        <v/>
      </c>
      <c r="X95" s="40" t="str">
        <f t="shared" si="3"/>
        <v/>
      </c>
      <c r="Y95" s="40" t="str">
        <f>TEXT(Table1[[#This Row],[YEAR]],"0000")&amp;"-"&amp;Table1[[#This Row],[MONTH]]</f>
        <v>-</v>
      </c>
    </row>
    <row r="96" spans="1:25" ht="18" x14ac:dyDescent="0.35">
      <c r="A96" s="24"/>
      <c r="B96" s="38"/>
      <c r="C96" s="38"/>
      <c r="D96" s="38"/>
      <c r="E96" s="37"/>
      <c r="F96" s="38"/>
      <c r="G96" s="198"/>
      <c r="H96" s="198"/>
      <c r="I96" s="39"/>
      <c r="J96" s="38"/>
      <c r="K96" s="198"/>
      <c r="L96" s="38"/>
      <c r="M96" s="38"/>
      <c r="N96" s="38"/>
      <c r="O96" s="38"/>
      <c r="P96" s="40" t="str" cm="1">
        <f t="array" ref="P96">IF(N96="","",IFERROR(_xlfn.XLOOKUP(F96&amp;"|"&amp;J96&amp;"|"&amp;O96,PRICES!$C$2:$C$659&amp;"|"&amp;PRICES!$B$2:$B$659&amp;"|"&amp;PRICES!$D$2:$D$659,PRICES!$E$2:$E$659),"Not Found"))</f>
        <v/>
      </c>
      <c r="Q96" s="100" t="str">
        <f>IF(N96=0,"",SUMIFS(PRICES!$G$2:$G$658,PRICES!$B$2:$B$658,'MAIN TABLE-1 AUTOMATED'!J96,PRICES!$C$2:$C$658,'MAIN TABLE-1 AUTOMATED'!F96,PRICES!$D$2:$D$658,'MAIN TABLE-1 AUTOMATED'!O96))</f>
        <v/>
      </c>
      <c r="R96" s="41" t="str">
        <f>IF(Table1[[#This Row],[QUANTITY]]=0,"",Table1[[#This Row],[UNIT PRICE]]*Table1[[#This Row],[QUANTITY]])</f>
        <v/>
      </c>
      <c r="S96" s="89"/>
      <c r="T96" s="38"/>
      <c r="U96" s="43"/>
      <c r="V96" s="42" t="str">
        <f>IF(Table1[[#This Row],[DATE]]=0,"",YEAR(E96))</f>
        <v/>
      </c>
      <c r="W96" s="40" t="str">
        <f t="shared" si="2"/>
        <v/>
      </c>
      <c r="X96" s="40" t="str">
        <f t="shared" si="3"/>
        <v/>
      </c>
      <c r="Y96" s="40" t="str">
        <f>TEXT(Table1[[#This Row],[YEAR]],"0000")&amp;"-"&amp;Table1[[#This Row],[MONTH]]</f>
        <v>-</v>
      </c>
    </row>
    <row r="97" spans="1:25" ht="18" x14ac:dyDescent="0.35">
      <c r="A97" s="24"/>
      <c r="B97" s="38"/>
      <c r="C97" s="38"/>
      <c r="D97" s="38"/>
      <c r="E97" s="37"/>
      <c r="F97" s="38"/>
      <c r="G97" s="198"/>
      <c r="H97" s="198"/>
      <c r="I97" s="39"/>
      <c r="J97" s="38"/>
      <c r="K97" s="198"/>
      <c r="L97" s="38"/>
      <c r="M97" s="38"/>
      <c r="N97" s="38"/>
      <c r="O97" s="38"/>
      <c r="P97" s="40" t="str" cm="1">
        <f t="array" ref="P97">IF(N97="","",IFERROR(_xlfn.XLOOKUP(F97&amp;"|"&amp;J97&amp;"|"&amp;O97,PRICES!$C$2:$C$659&amp;"|"&amp;PRICES!$B$2:$B$659&amp;"|"&amp;PRICES!$D$2:$D$659,PRICES!$E$2:$E$659),"Not Found"))</f>
        <v/>
      </c>
      <c r="Q97" s="100" t="str">
        <f>IF(N97=0,"",SUMIFS(PRICES!$G$2:$G$658,PRICES!$B$2:$B$658,'MAIN TABLE-1 AUTOMATED'!J97,PRICES!$C$2:$C$658,'MAIN TABLE-1 AUTOMATED'!F97,PRICES!$D$2:$D$658,'MAIN TABLE-1 AUTOMATED'!O97))</f>
        <v/>
      </c>
      <c r="R97" s="41" t="str">
        <f>IF(Table1[[#This Row],[QUANTITY]]=0,"",Table1[[#This Row],[UNIT PRICE]]*Table1[[#This Row],[QUANTITY]])</f>
        <v/>
      </c>
      <c r="S97" s="89"/>
      <c r="T97" s="38"/>
      <c r="U97" s="43"/>
      <c r="V97" s="42" t="str">
        <f>IF(Table1[[#This Row],[DATE]]=0,"",YEAR(E97))</f>
        <v/>
      </c>
      <c r="W97" s="40" t="str">
        <f t="shared" si="2"/>
        <v/>
      </c>
      <c r="X97" s="40" t="str">
        <f t="shared" si="3"/>
        <v/>
      </c>
      <c r="Y97" s="40" t="str">
        <f>TEXT(Table1[[#This Row],[YEAR]],"0000")&amp;"-"&amp;Table1[[#This Row],[MONTH]]</f>
        <v>-</v>
      </c>
    </row>
    <row r="98" spans="1:25" ht="18" x14ac:dyDescent="0.35">
      <c r="A98" s="24"/>
      <c r="B98" s="38"/>
      <c r="C98" s="38"/>
      <c r="D98" s="38"/>
      <c r="E98" s="37"/>
      <c r="F98" s="38"/>
      <c r="G98" s="198"/>
      <c r="H98" s="198"/>
      <c r="I98" s="39"/>
      <c r="J98" s="38"/>
      <c r="K98" s="198"/>
      <c r="L98" s="38"/>
      <c r="M98" s="38"/>
      <c r="N98" s="38"/>
      <c r="O98" s="38"/>
      <c r="P98" s="40" t="str" cm="1">
        <f t="array" ref="P98">IF(N98="","",IFERROR(_xlfn.XLOOKUP(F98&amp;"|"&amp;J98&amp;"|"&amp;O98,PRICES!$C$2:$C$659&amp;"|"&amp;PRICES!$B$2:$B$659&amp;"|"&amp;PRICES!$D$2:$D$659,PRICES!$E$2:$E$659),"Not Found"))</f>
        <v/>
      </c>
      <c r="Q98" s="100" t="str">
        <f>IF(N98=0,"",SUMIFS(PRICES!$G$2:$G$658,PRICES!$B$2:$B$658,'MAIN TABLE-1 AUTOMATED'!J98,PRICES!$C$2:$C$658,'MAIN TABLE-1 AUTOMATED'!F98,PRICES!$D$2:$D$658,'MAIN TABLE-1 AUTOMATED'!O98))</f>
        <v/>
      </c>
      <c r="R98" s="41" t="str">
        <f>IF(Table1[[#This Row],[QUANTITY]]=0,"",Table1[[#This Row],[UNIT PRICE]]*Table1[[#This Row],[QUANTITY]])</f>
        <v/>
      </c>
      <c r="S98" s="89"/>
      <c r="T98" s="38"/>
      <c r="U98" s="43"/>
      <c r="V98" s="42" t="str">
        <f>IF(Table1[[#This Row],[DATE]]=0,"",YEAR(E98))</f>
        <v/>
      </c>
      <c r="W98" s="40" t="str">
        <f t="shared" si="2"/>
        <v/>
      </c>
      <c r="X98" s="40" t="str">
        <f t="shared" si="3"/>
        <v/>
      </c>
      <c r="Y98" s="40" t="str">
        <f>TEXT(Table1[[#This Row],[YEAR]],"0000")&amp;"-"&amp;Table1[[#This Row],[MONTH]]</f>
        <v>-</v>
      </c>
    </row>
    <row r="99" spans="1:25" ht="18" x14ac:dyDescent="0.35">
      <c r="A99" s="24"/>
      <c r="B99" s="38"/>
      <c r="C99" s="38"/>
      <c r="D99" s="38"/>
      <c r="E99" s="37"/>
      <c r="F99" s="38"/>
      <c r="G99" s="198"/>
      <c r="H99" s="198"/>
      <c r="I99" s="39"/>
      <c r="J99" s="38"/>
      <c r="K99" s="198"/>
      <c r="L99" s="38"/>
      <c r="M99" s="38"/>
      <c r="N99" s="38"/>
      <c r="O99" s="38"/>
      <c r="P99" s="40" t="str" cm="1">
        <f t="array" ref="P99">IF(N99="","",IFERROR(_xlfn.XLOOKUP(F99&amp;"|"&amp;J99&amp;"|"&amp;O99,PRICES!$C$2:$C$659&amp;"|"&amp;PRICES!$B$2:$B$659&amp;"|"&amp;PRICES!$D$2:$D$659,PRICES!$E$2:$E$659),"Not Found"))</f>
        <v/>
      </c>
      <c r="Q99" s="100" t="str">
        <f>IF(N99=0,"",SUMIFS(PRICES!$G$2:$G$658,PRICES!$B$2:$B$658,'MAIN TABLE-1 AUTOMATED'!J99,PRICES!$C$2:$C$658,'MAIN TABLE-1 AUTOMATED'!F99,PRICES!$D$2:$D$658,'MAIN TABLE-1 AUTOMATED'!O99))</f>
        <v/>
      </c>
      <c r="R99" s="41" t="str">
        <f>IF(Table1[[#This Row],[QUANTITY]]=0,"",Table1[[#This Row],[UNIT PRICE]]*Table1[[#This Row],[QUANTITY]])</f>
        <v/>
      </c>
      <c r="S99" s="89"/>
      <c r="T99" s="38"/>
      <c r="U99" s="43"/>
      <c r="V99" s="42" t="str">
        <f>IF(Table1[[#This Row],[DATE]]=0,"",YEAR(E99))</f>
        <v/>
      </c>
      <c r="W99" s="40" t="str">
        <f t="shared" si="2"/>
        <v/>
      </c>
      <c r="X99" s="40" t="str">
        <f t="shared" si="3"/>
        <v/>
      </c>
      <c r="Y99" s="40" t="str">
        <f>TEXT(Table1[[#This Row],[YEAR]],"0000")&amp;"-"&amp;Table1[[#This Row],[MONTH]]</f>
        <v>-</v>
      </c>
    </row>
    <row r="100" spans="1:25" ht="18" x14ac:dyDescent="0.35">
      <c r="A100" s="24"/>
      <c r="B100" s="38"/>
      <c r="C100" s="38"/>
      <c r="D100" s="38"/>
      <c r="E100" s="37"/>
      <c r="F100" s="38"/>
      <c r="G100" s="198"/>
      <c r="H100" s="198"/>
      <c r="I100" s="39"/>
      <c r="J100" s="38"/>
      <c r="K100" s="198"/>
      <c r="L100" s="38"/>
      <c r="M100" s="38"/>
      <c r="N100" s="38"/>
      <c r="O100" s="38"/>
      <c r="P100" s="40" t="str" cm="1">
        <f t="array" ref="P100">IF(N100="","",IFERROR(_xlfn.XLOOKUP(F100&amp;"|"&amp;J100&amp;"|"&amp;O100,PRICES!$C$2:$C$659&amp;"|"&amp;PRICES!$B$2:$B$659&amp;"|"&amp;PRICES!$D$2:$D$659,PRICES!$E$2:$E$659),"Not Found"))</f>
        <v/>
      </c>
      <c r="Q100" s="100" t="str">
        <f>IF(N100=0,"",SUMIFS(PRICES!$G$2:$G$658,PRICES!$B$2:$B$658,'MAIN TABLE-1 AUTOMATED'!J100,PRICES!$C$2:$C$658,'MAIN TABLE-1 AUTOMATED'!F100,PRICES!$D$2:$D$658,'MAIN TABLE-1 AUTOMATED'!O100))</f>
        <v/>
      </c>
      <c r="R100" s="41" t="str">
        <f>IF(Table1[[#This Row],[QUANTITY]]=0,"",Table1[[#This Row],[UNIT PRICE]]*Table1[[#This Row],[QUANTITY]])</f>
        <v/>
      </c>
      <c r="S100" s="89"/>
      <c r="T100" s="38"/>
      <c r="U100" s="43"/>
      <c r="V100" s="42" t="str">
        <f>IF(Table1[[#This Row],[DATE]]=0,"",YEAR(E100))</f>
        <v/>
      </c>
      <c r="W100" s="40" t="str">
        <f t="shared" si="2"/>
        <v/>
      </c>
      <c r="X100" s="40" t="str">
        <f t="shared" si="3"/>
        <v/>
      </c>
      <c r="Y100" s="40" t="str">
        <f>TEXT(Table1[[#This Row],[YEAR]],"0000")&amp;"-"&amp;Table1[[#This Row],[MONTH]]</f>
        <v>-</v>
      </c>
    </row>
    <row r="101" spans="1:25" ht="18" x14ac:dyDescent="0.35">
      <c r="A101" s="24"/>
      <c r="B101" s="38"/>
      <c r="C101" s="38"/>
      <c r="D101" s="38"/>
      <c r="E101" s="37"/>
      <c r="F101" s="38"/>
      <c r="G101" s="198"/>
      <c r="H101" s="198"/>
      <c r="I101" s="39"/>
      <c r="J101" s="38"/>
      <c r="K101" s="198"/>
      <c r="L101" s="38"/>
      <c r="M101" s="38"/>
      <c r="N101" s="38"/>
      <c r="O101" s="38"/>
      <c r="P101" s="40" t="str" cm="1">
        <f t="array" ref="P101">IF(N101="","",IFERROR(_xlfn.XLOOKUP(F101&amp;"|"&amp;J101&amp;"|"&amp;O101,PRICES!$C$2:$C$659&amp;"|"&amp;PRICES!$B$2:$B$659&amp;"|"&amp;PRICES!$D$2:$D$659,PRICES!$E$2:$E$659),"Not Found"))</f>
        <v/>
      </c>
      <c r="Q101" s="100" t="str">
        <f>IF(N101=0,"",SUMIFS(PRICES!$G$2:$G$658,PRICES!$B$2:$B$658,'MAIN TABLE-1 AUTOMATED'!J101,PRICES!$C$2:$C$658,'MAIN TABLE-1 AUTOMATED'!F101,PRICES!$D$2:$D$658,'MAIN TABLE-1 AUTOMATED'!O101))</f>
        <v/>
      </c>
      <c r="R101" s="41" t="str">
        <f>IF(Table1[[#This Row],[QUANTITY]]=0,"",Table1[[#This Row],[UNIT PRICE]]*Table1[[#This Row],[QUANTITY]])</f>
        <v/>
      </c>
      <c r="S101" s="89"/>
      <c r="T101" s="38"/>
      <c r="U101" s="43"/>
      <c r="V101" s="42" t="str">
        <f>IF(Table1[[#This Row],[DATE]]=0,"",YEAR(E101))</f>
        <v/>
      </c>
      <c r="W101" s="40" t="str">
        <f t="shared" si="2"/>
        <v/>
      </c>
      <c r="X101" s="40" t="str">
        <f t="shared" si="3"/>
        <v/>
      </c>
      <c r="Y101" s="40" t="str">
        <f>TEXT(Table1[[#This Row],[YEAR]],"0000")&amp;"-"&amp;Table1[[#This Row],[MONTH]]</f>
        <v>-</v>
      </c>
    </row>
    <row r="102" spans="1:25" ht="18" x14ac:dyDescent="0.35">
      <c r="A102" s="24"/>
      <c r="B102" s="38"/>
      <c r="C102" s="38"/>
      <c r="D102" s="38"/>
      <c r="E102" s="37"/>
      <c r="F102" s="38"/>
      <c r="G102" s="198"/>
      <c r="H102" s="198"/>
      <c r="I102" s="39"/>
      <c r="J102" s="38"/>
      <c r="K102" s="198"/>
      <c r="L102" s="38"/>
      <c r="M102" s="38"/>
      <c r="N102" s="38"/>
      <c r="O102" s="38"/>
      <c r="P102" s="40" t="str" cm="1">
        <f t="array" ref="P102">IF(N102="","",IFERROR(_xlfn.XLOOKUP(F102&amp;"|"&amp;J102&amp;"|"&amp;O102,PRICES!$C$2:$C$659&amp;"|"&amp;PRICES!$B$2:$B$659&amp;"|"&amp;PRICES!$D$2:$D$659,PRICES!$E$2:$E$659),"Not Found"))</f>
        <v/>
      </c>
      <c r="Q102" s="100" t="str">
        <f>IF(N102=0,"",SUMIFS(PRICES!$G$2:$G$658,PRICES!$B$2:$B$658,'MAIN TABLE-1 AUTOMATED'!J102,PRICES!$C$2:$C$658,'MAIN TABLE-1 AUTOMATED'!F102,PRICES!$D$2:$D$658,'MAIN TABLE-1 AUTOMATED'!O102))</f>
        <v/>
      </c>
      <c r="R102" s="41" t="str">
        <f>IF(Table1[[#This Row],[QUANTITY]]=0,"",Table1[[#This Row],[UNIT PRICE]]*Table1[[#This Row],[QUANTITY]])</f>
        <v/>
      </c>
      <c r="S102" s="89"/>
      <c r="T102" s="38"/>
      <c r="U102" s="43"/>
      <c r="V102" s="42" t="str">
        <f>IF(Table1[[#This Row],[DATE]]=0,"",YEAR(E102))</f>
        <v/>
      </c>
      <c r="W102" s="40" t="str">
        <f t="shared" si="2"/>
        <v/>
      </c>
      <c r="X102" s="40" t="str">
        <f t="shared" si="3"/>
        <v/>
      </c>
      <c r="Y102" s="40" t="str">
        <f>TEXT(Table1[[#This Row],[YEAR]],"0000")&amp;"-"&amp;Table1[[#This Row],[MONTH]]</f>
        <v>-</v>
      </c>
    </row>
    <row r="103" spans="1:25" ht="18" x14ac:dyDescent="0.35">
      <c r="A103" s="24"/>
      <c r="B103" s="38"/>
      <c r="C103" s="38"/>
      <c r="D103" s="38"/>
      <c r="E103" s="37"/>
      <c r="F103" s="38"/>
      <c r="G103" s="198"/>
      <c r="H103" s="198"/>
      <c r="I103" s="39"/>
      <c r="J103" s="38"/>
      <c r="K103" s="198"/>
      <c r="L103" s="38"/>
      <c r="M103" s="38"/>
      <c r="N103" s="38"/>
      <c r="O103" s="38"/>
      <c r="P103" s="40" t="str" cm="1">
        <f t="array" ref="P103">IF(N103="","",IFERROR(_xlfn.XLOOKUP(F103&amp;"|"&amp;J103&amp;"|"&amp;O103,PRICES!$C$2:$C$659&amp;"|"&amp;PRICES!$B$2:$B$659&amp;"|"&amp;PRICES!$D$2:$D$659,PRICES!$E$2:$E$659),"Not Found"))</f>
        <v/>
      </c>
      <c r="Q103" s="100" t="str">
        <f>IF(N103=0,"",SUMIFS(PRICES!$G$2:$G$658,PRICES!$B$2:$B$658,'MAIN TABLE-1 AUTOMATED'!J103,PRICES!$C$2:$C$658,'MAIN TABLE-1 AUTOMATED'!F103,PRICES!$D$2:$D$658,'MAIN TABLE-1 AUTOMATED'!O103))</f>
        <v/>
      </c>
      <c r="R103" s="41" t="str">
        <f>IF(Table1[[#This Row],[QUANTITY]]=0,"",Table1[[#This Row],[UNIT PRICE]]*Table1[[#This Row],[QUANTITY]])</f>
        <v/>
      </c>
      <c r="S103" s="89"/>
      <c r="T103" s="38"/>
      <c r="U103" s="43"/>
      <c r="V103" s="42" t="str">
        <f>IF(Table1[[#This Row],[DATE]]=0,"",YEAR(E103))</f>
        <v/>
      </c>
      <c r="W103" s="40" t="str">
        <f t="shared" si="2"/>
        <v/>
      </c>
      <c r="X103" s="40" t="str">
        <f t="shared" si="3"/>
        <v/>
      </c>
      <c r="Y103" s="40" t="str">
        <f>TEXT(Table1[[#This Row],[YEAR]],"0000")&amp;"-"&amp;Table1[[#This Row],[MONTH]]</f>
        <v>-</v>
      </c>
    </row>
    <row r="104" spans="1:25" ht="18" x14ac:dyDescent="0.35">
      <c r="A104" s="24"/>
      <c r="B104" s="38"/>
      <c r="C104" s="38"/>
      <c r="D104" s="38"/>
      <c r="E104" s="37"/>
      <c r="F104" s="38"/>
      <c r="G104" s="198"/>
      <c r="H104" s="198"/>
      <c r="I104" s="39"/>
      <c r="J104" s="38"/>
      <c r="K104" s="198"/>
      <c r="L104" s="38"/>
      <c r="M104" s="38"/>
      <c r="N104" s="38"/>
      <c r="O104" s="38"/>
      <c r="P104" s="40" t="str" cm="1">
        <f t="array" ref="P104">IF(N104="","",IFERROR(_xlfn.XLOOKUP(F104&amp;"|"&amp;J104&amp;"|"&amp;O104,PRICES!$C$2:$C$659&amp;"|"&amp;PRICES!$B$2:$B$659&amp;"|"&amp;PRICES!$D$2:$D$659,PRICES!$E$2:$E$659),"Not Found"))</f>
        <v/>
      </c>
      <c r="Q104" s="100" t="str">
        <f>IF(N104=0,"",SUMIFS(PRICES!$G$2:$G$658,PRICES!$B$2:$B$658,'MAIN TABLE-1 AUTOMATED'!J104,PRICES!$C$2:$C$658,'MAIN TABLE-1 AUTOMATED'!F104,PRICES!$D$2:$D$658,'MAIN TABLE-1 AUTOMATED'!O104))</f>
        <v/>
      </c>
      <c r="R104" s="41" t="str">
        <f>IF(Table1[[#This Row],[QUANTITY]]=0,"",Table1[[#This Row],[UNIT PRICE]]*Table1[[#This Row],[QUANTITY]])</f>
        <v/>
      </c>
      <c r="S104" s="89"/>
      <c r="T104" s="38"/>
      <c r="U104" s="43"/>
      <c r="V104" s="42" t="str">
        <f>IF(Table1[[#This Row],[DATE]]=0,"",YEAR(E104))</f>
        <v/>
      </c>
      <c r="W104" s="40" t="str">
        <f t="shared" si="2"/>
        <v/>
      </c>
      <c r="X104" s="40" t="str">
        <f t="shared" si="3"/>
        <v/>
      </c>
      <c r="Y104" s="40" t="str">
        <f>TEXT(Table1[[#This Row],[YEAR]],"0000")&amp;"-"&amp;Table1[[#This Row],[MONTH]]</f>
        <v>-</v>
      </c>
    </row>
    <row r="105" spans="1:25" ht="18" x14ac:dyDescent="0.35">
      <c r="A105" s="24"/>
      <c r="B105" s="38"/>
      <c r="C105" s="38"/>
      <c r="D105" s="38"/>
      <c r="E105" s="37"/>
      <c r="F105" s="38"/>
      <c r="G105" s="198"/>
      <c r="H105" s="198"/>
      <c r="I105" s="39"/>
      <c r="J105" s="38"/>
      <c r="K105" s="198"/>
      <c r="L105" s="38"/>
      <c r="M105" s="38"/>
      <c r="N105" s="38"/>
      <c r="O105" s="38"/>
      <c r="P105" s="40" t="str" cm="1">
        <f t="array" ref="P105">IF(N105="","",IFERROR(_xlfn.XLOOKUP(F105&amp;"|"&amp;J105&amp;"|"&amp;O105,PRICES!$C$2:$C$659&amp;"|"&amp;PRICES!$B$2:$B$659&amp;"|"&amp;PRICES!$D$2:$D$659,PRICES!$E$2:$E$659),"Not Found"))</f>
        <v/>
      </c>
      <c r="Q105" s="100" t="str">
        <f>IF(N105=0,"",SUMIFS(PRICES!$G$2:$G$658,PRICES!$B$2:$B$658,'MAIN TABLE-1 AUTOMATED'!J105,PRICES!$C$2:$C$658,'MAIN TABLE-1 AUTOMATED'!F105,PRICES!$D$2:$D$658,'MAIN TABLE-1 AUTOMATED'!O105))</f>
        <v/>
      </c>
      <c r="R105" s="41" t="str">
        <f>IF(Table1[[#This Row],[QUANTITY]]=0,"",Table1[[#This Row],[UNIT PRICE]]*Table1[[#This Row],[QUANTITY]])</f>
        <v/>
      </c>
      <c r="S105" s="89"/>
      <c r="T105" s="38"/>
      <c r="U105" s="43"/>
      <c r="V105" s="42" t="str">
        <f>IF(Table1[[#This Row],[DATE]]=0,"",YEAR(E105))</f>
        <v/>
      </c>
      <c r="W105" s="40" t="str">
        <f t="shared" si="2"/>
        <v/>
      </c>
      <c r="X105" s="40" t="str">
        <f t="shared" si="3"/>
        <v/>
      </c>
      <c r="Y105" s="40" t="str">
        <f>TEXT(Table1[[#This Row],[YEAR]],"0000")&amp;"-"&amp;Table1[[#This Row],[MONTH]]</f>
        <v>-</v>
      </c>
    </row>
    <row r="106" spans="1:25" ht="18" x14ac:dyDescent="0.35">
      <c r="A106" s="24"/>
      <c r="B106" s="38"/>
      <c r="C106" s="38"/>
      <c r="D106" s="38"/>
      <c r="E106" s="37"/>
      <c r="F106" s="38"/>
      <c r="G106" s="198"/>
      <c r="H106" s="198"/>
      <c r="I106" s="39"/>
      <c r="J106" s="38"/>
      <c r="K106" s="198"/>
      <c r="L106" s="38"/>
      <c r="M106" s="38"/>
      <c r="N106" s="38"/>
      <c r="O106" s="38"/>
      <c r="P106" s="40" t="str" cm="1">
        <f t="array" ref="P106">IF(N106="","",IFERROR(_xlfn.XLOOKUP(F106&amp;"|"&amp;J106&amp;"|"&amp;O106,PRICES!$C$2:$C$659&amp;"|"&amp;PRICES!$B$2:$B$659&amp;"|"&amp;PRICES!$D$2:$D$659,PRICES!$E$2:$E$659),"Not Found"))</f>
        <v/>
      </c>
      <c r="Q106" s="100" t="str">
        <f>IF(N106=0,"",SUMIFS(PRICES!$G$2:$G$658,PRICES!$B$2:$B$658,'MAIN TABLE-1 AUTOMATED'!J106,PRICES!$C$2:$C$658,'MAIN TABLE-1 AUTOMATED'!F106,PRICES!$D$2:$D$658,'MAIN TABLE-1 AUTOMATED'!O106))</f>
        <v/>
      </c>
      <c r="R106" s="41" t="str">
        <f>IF(Table1[[#This Row],[QUANTITY]]=0,"",Table1[[#This Row],[UNIT PRICE]]*Table1[[#This Row],[QUANTITY]])</f>
        <v/>
      </c>
      <c r="S106" s="89"/>
      <c r="T106" s="38"/>
      <c r="U106" s="43"/>
      <c r="V106" s="42" t="str">
        <f>IF(Table1[[#This Row],[DATE]]=0,"",YEAR(E106))</f>
        <v/>
      </c>
      <c r="W106" s="40" t="str">
        <f t="shared" si="2"/>
        <v/>
      </c>
      <c r="X106" s="40" t="str">
        <f t="shared" si="3"/>
        <v/>
      </c>
      <c r="Y106" s="40" t="str">
        <f>TEXT(Table1[[#This Row],[YEAR]],"0000")&amp;"-"&amp;Table1[[#This Row],[MONTH]]</f>
        <v>-</v>
      </c>
    </row>
    <row r="107" spans="1:25" ht="18" x14ac:dyDescent="0.35">
      <c r="A107" s="24"/>
      <c r="B107" s="38"/>
      <c r="C107" s="38"/>
      <c r="D107" s="38"/>
      <c r="E107" s="37"/>
      <c r="F107" s="38"/>
      <c r="G107" s="198"/>
      <c r="H107" s="198"/>
      <c r="I107" s="39"/>
      <c r="J107" s="38"/>
      <c r="K107" s="198"/>
      <c r="L107" s="38"/>
      <c r="M107" s="38"/>
      <c r="N107" s="38"/>
      <c r="O107" s="38"/>
      <c r="P107" s="40" t="str" cm="1">
        <f t="array" ref="P107">IF(N107="","",IFERROR(_xlfn.XLOOKUP(F107&amp;"|"&amp;J107&amp;"|"&amp;O107,PRICES!$C$2:$C$659&amp;"|"&amp;PRICES!$B$2:$B$659&amp;"|"&amp;PRICES!$D$2:$D$659,PRICES!$E$2:$E$659),"Not Found"))</f>
        <v/>
      </c>
      <c r="Q107" s="100" t="str">
        <f>IF(N107=0,"",SUMIFS(PRICES!$G$2:$G$658,PRICES!$B$2:$B$658,'MAIN TABLE-1 AUTOMATED'!J107,PRICES!$C$2:$C$658,'MAIN TABLE-1 AUTOMATED'!F107,PRICES!$D$2:$D$658,'MAIN TABLE-1 AUTOMATED'!O107))</f>
        <v/>
      </c>
      <c r="R107" s="41" t="str">
        <f>IF(Table1[[#This Row],[QUANTITY]]=0,"",Table1[[#This Row],[UNIT PRICE]]*Table1[[#This Row],[QUANTITY]])</f>
        <v/>
      </c>
      <c r="S107" s="89"/>
      <c r="T107" s="38"/>
      <c r="U107" s="43"/>
      <c r="V107" s="42" t="str">
        <f>IF(Table1[[#This Row],[DATE]]=0,"",YEAR(E107))</f>
        <v/>
      </c>
      <c r="W107" s="40" t="str">
        <f t="shared" si="2"/>
        <v/>
      </c>
      <c r="X107" s="40" t="str">
        <f t="shared" si="3"/>
        <v/>
      </c>
      <c r="Y107" s="40" t="str">
        <f>TEXT(Table1[[#This Row],[YEAR]],"0000")&amp;"-"&amp;Table1[[#This Row],[MONTH]]</f>
        <v>-</v>
      </c>
    </row>
    <row r="108" spans="1:25" ht="18" x14ac:dyDescent="0.35">
      <c r="A108" s="24"/>
      <c r="B108" s="38"/>
      <c r="C108" s="38"/>
      <c r="D108" s="38"/>
      <c r="E108" s="37"/>
      <c r="F108" s="38"/>
      <c r="G108" s="198"/>
      <c r="H108" s="198"/>
      <c r="I108" s="39"/>
      <c r="J108" s="38"/>
      <c r="K108" s="198"/>
      <c r="L108" s="38"/>
      <c r="M108" s="38"/>
      <c r="N108" s="38"/>
      <c r="O108" s="38"/>
      <c r="P108" s="40" t="str" cm="1">
        <f t="array" ref="P108">IF(N108="","",IFERROR(_xlfn.XLOOKUP(F108&amp;"|"&amp;J108&amp;"|"&amp;O108,PRICES!$C$2:$C$659&amp;"|"&amp;PRICES!$B$2:$B$659&amp;"|"&amp;PRICES!$D$2:$D$659,PRICES!$E$2:$E$659),"Not Found"))</f>
        <v/>
      </c>
      <c r="Q108" s="100" t="str">
        <f>IF(N108=0,"",SUMIFS(PRICES!$G$2:$G$658,PRICES!$B$2:$B$658,'MAIN TABLE-1 AUTOMATED'!J108,PRICES!$C$2:$C$658,'MAIN TABLE-1 AUTOMATED'!F108,PRICES!$D$2:$D$658,'MAIN TABLE-1 AUTOMATED'!O108))</f>
        <v/>
      </c>
      <c r="R108" s="41" t="str">
        <f>IF(Table1[[#This Row],[QUANTITY]]=0,"",Table1[[#This Row],[UNIT PRICE]]*Table1[[#This Row],[QUANTITY]])</f>
        <v/>
      </c>
      <c r="S108" s="89"/>
      <c r="T108" s="38"/>
      <c r="U108" s="43"/>
      <c r="V108" s="42" t="str">
        <f>IF(Table1[[#This Row],[DATE]]=0,"",YEAR(E108))</f>
        <v/>
      </c>
      <c r="W108" s="40" t="str">
        <f t="shared" si="2"/>
        <v/>
      </c>
      <c r="X108" s="40" t="str">
        <f t="shared" si="3"/>
        <v/>
      </c>
      <c r="Y108" s="40" t="str">
        <f>TEXT(Table1[[#This Row],[YEAR]],"0000")&amp;"-"&amp;Table1[[#This Row],[MONTH]]</f>
        <v>-</v>
      </c>
    </row>
    <row r="109" spans="1:25" ht="18" x14ac:dyDescent="0.35">
      <c r="A109" s="24"/>
      <c r="B109" s="38"/>
      <c r="C109" s="38"/>
      <c r="D109" s="38"/>
      <c r="E109" s="37"/>
      <c r="F109" s="38"/>
      <c r="G109" s="198"/>
      <c r="H109" s="198"/>
      <c r="I109" s="39"/>
      <c r="J109" s="38"/>
      <c r="K109" s="198"/>
      <c r="L109" s="38"/>
      <c r="M109" s="38"/>
      <c r="N109" s="38"/>
      <c r="O109" s="38"/>
      <c r="P109" s="40" t="str" cm="1">
        <f t="array" ref="P109">IF(N109="","",IFERROR(_xlfn.XLOOKUP(F109&amp;"|"&amp;J109&amp;"|"&amp;O109,PRICES!$C$2:$C$659&amp;"|"&amp;PRICES!$B$2:$B$659&amp;"|"&amp;PRICES!$D$2:$D$659,PRICES!$E$2:$E$659),"Not Found"))</f>
        <v/>
      </c>
      <c r="Q109" s="100" t="str">
        <f>IF(N109=0,"",SUMIFS(PRICES!$G$2:$G$658,PRICES!$B$2:$B$658,'MAIN TABLE-1 AUTOMATED'!J109,PRICES!$C$2:$C$658,'MAIN TABLE-1 AUTOMATED'!F109,PRICES!$D$2:$D$658,'MAIN TABLE-1 AUTOMATED'!O109))</f>
        <v/>
      </c>
      <c r="R109" s="41" t="str">
        <f>IF(Table1[[#This Row],[QUANTITY]]=0,"",Table1[[#This Row],[UNIT PRICE]]*Table1[[#This Row],[QUANTITY]])</f>
        <v/>
      </c>
      <c r="S109" s="89"/>
      <c r="T109" s="38"/>
      <c r="U109" s="43"/>
      <c r="V109" s="42" t="str">
        <f>IF(Table1[[#This Row],[DATE]]=0,"",YEAR(E109))</f>
        <v/>
      </c>
      <c r="W109" s="40" t="str">
        <f t="shared" si="2"/>
        <v/>
      </c>
      <c r="X109" s="40" t="str">
        <f t="shared" si="3"/>
        <v/>
      </c>
      <c r="Y109" s="40" t="str">
        <f>TEXT(Table1[[#This Row],[YEAR]],"0000")&amp;"-"&amp;Table1[[#This Row],[MONTH]]</f>
        <v>-</v>
      </c>
    </row>
    <row r="110" spans="1:25" ht="18" x14ac:dyDescent="0.35">
      <c r="A110" s="24"/>
      <c r="B110" s="38"/>
      <c r="C110" s="38"/>
      <c r="D110" s="38"/>
      <c r="E110" s="37"/>
      <c r="F110" s="38"/>
      <c r="G110" s="198"/>
      <c r="H110" s="198"/>
      <c r="I110" s="39"/>
      <c r="J110" s="38"/>
      <c r="K110" s="198"/>
      <c r="L110" s="38"/>
      <c r="M110" s="38"/>
      <c r="N110" s="38"/>
      <c r="O110" s="38"/>
      <c r="P110" s="40" t="str" cm="1">
        <f t="array" ref="P110">IF(N110="","",IFERROR(_xlfn.XLOOKUP(F110&amp;"|"&amp;J110&amp;"|"&amp;O110,PRICES!$C$2:$C$659&amp;"|"&amp;PRICES!$B$2:$B$659&amp;"|"&amp;PRICES!$D$2:$D$659,PRICES!$E$2:$E$659),"Not Found"))</f>
        <v/>
      </c>
      <c r="Q110" s="100" t="str">
        <f>IF(N110=0,"",SUMIFS(PRICES!$G$2:$G$658,PRICES!$B$2:$B$658,'MAIN TABLE-1 AUTOMATED'!J110,PRICES!$C$2:$C$658,'MAIN TABLE-1 AUTOMATED'!F110,PRICES!$D$2:$D$658,'MAIN TABLE-1 AUTOMATED'!O110))</f>
        <v/>
      </c>
      <c r="R110" s="41" t="str">
        <f>IF(Table1[[#This Row],[QUANTITY]]=0,"",Table1[[#This Row],[UNIT PRICE]]*Table1[[#This Row],[QUANTITY]])</f>
        <v/>
      </c>
      <c r="S110" s="89"/>
      <c r="T110" s="38"/>
      <c r="U110" s="43"/>
      <c r="V110" s="42" t="str">
        <f>IF(Table1[[#This Row],[DATE]]=0,"",YEAR(E110))</f>
        <v/>
      </c>
      <c r="W110" s="40" t="str">
        <f t="shared" si="2"/>
        <v/>
      </c>
      <c r="X110" s="40" t="str">
        <f t="shared" si="3"/>
        <v/>
      </c>
      <c r="Y110" s="40" t="str">
        <f>TEXT(Table1[[#This Row],[YEAR]],"0000")&amp;"-"&amp;Table1[[#This Row],[MONTH]]</f>
        <v>-</v>
      </c>
    </row>
    <row r="111" spans="1:25" ht="18" x14ac:dyDescent="0.35">
      <c r="A111" s="24"/>
      <c r="B111" s="38"/>
      <c r="C111" s="38"/>
      <c r="D111" s="38"/>
      <c r="E111" s="37"/>
      <c r="F111" s="38"/>
      <c r="G111" s="198"/>
      <c r="H111" s="198"/>
      <c r="I111" s="39"/>
      <c r="J111" s="38"/>
      <c r="K111" s="198"/>
      <c r="L111" s="38"/>
      <c r="M111" s="38"/>
      <c r="N111" s="38"/>
      <c r="O111" s="38"/>
      <c r="P111" s="40" t="str" cm="1">
        <f t="array" ref="P111">IF(N111="","",IFERROR(_xlfn.XLOOKUP(F111&amp;"|"&amp;J111&amp;"|"&amp;O111,PRICES!$C$2:$C$659&amp;"|"&amp;PRICES!$B$2:$B$659&amp;"|"&amp;PRICES!$D$2:$D$659,PRICES!$E$2:$E$659),"Not Found"))</f>
        <v/>
      </c>
      <c r="Q111" s="100" t="str">
        <f>IF(N111=0,"",SUMIFS(PRICES!$G$2:$G$658,PRICES!$B$2:$B$658,'MAIN TABLE-1 AUTOMATED'!J111,PRICES!$C$2:$C$658,'MAIN TABLE-1 AUTOMATED'!F111,PRICES!$D$2:$D$658,'MAIN TABLE-1 AUTOMATED'!O111))</f>
        <v/>
      </c>
      <c r="R111" s="41" t="str">
        <f>IF(Table1[[#This Row],[QUANTITY]]=0,"",Table1[[#This Row],[UNIT PRICE]]*Table1[[#This Row],[QUANTITY]])</f>
        <v/>
      </c>
      <c r="S111" s="89"/>
      <c r="T111" s="38"/>
      <c r="U111" s="43"/>
      <c r="V111" s="42" t="str">
        <f>IF(Table1[[#This Row],[DATE]]=0,"",YEAR(E111))</f>
        <v/>
      </c>
      <c r="W111" s="40" t="str">
        <f t="shared" si="2"/>
        <v/>
      </c>
      <c r="X111" s="40" t="str">
        <f t="shared" si="3"/>
        <v/>
      </c>
      <c r="Y111" s="40" t="str">
        <f>TEXT(Table1[[#This Row],[YEAR]],"0000")&amp;"-"&amp;Table1[[#This Row],[MONTH]]</f>
        <v>-</v>
      </c>
    </row>
    <row r="112" spans="1:25" ht="18" x14ac:dyDescent="0.35">
      <c r="A112" s="24"/>
      <c r="B112" s="38"/>
      <c r="C112" s="38"/>
      <c r="D112" s="38"/>
      <c r="E112" s="37"/>
      <c r="F112" s="38"/>
      <c r="G112" s="198"/>
      <c r="H112" s="198"/>
      <c r="I112" s="39"/>
      <c r="J112" s="38"/>
      <c r="K112" s="198"/>
      <c r="L112" s="38"/>
      <c r="M112" s="38"/>
      <c r="N112" s="38"/>
      <c r="O112" s="38"/>
      <c r="P112" s="40" t="str" cm="1">
        <f t="array" ref="P112">IF(N112="","",IFERROR(_xlfn.XLOOKUP(F112&amp;"|"&amp;J112&amp;"|"&amp;O112,PRICES!$C$2:$C$659&amp;"|"&amp;PRICES!$B$2:$B$659&amp;"|"&amp;PRICES!$D$2:$D$659,PRICES!$E$2:$E$659),"Not Found"))</f>
        <v/>
      </c>
      <c r="Q112" s="100" t="str">
        <f>IF(N112=0,"",SUMIFS(PRICES!$G$2:$G$658,PRICES!$B$2:$B$658,'MAIN TABLE-1 AUTOMATED'!J112,PRICES!$C$2:$C$658,'MAIN TABLE-1 AUTOMATED'!F112,PRICES!$D$2:$D$658,'MAIN TABLE-1 AUTOMATED'!O112))</f>
        <v/>
      </c>
      <c r="R112" s="41" t="str">
        <f>IF(Table1[[#This Row],[QUANTITY]]=0,"",Table1[[#This Row],[UNIT PRICE]]*Table1[[#This Row],[QUANTITY]])</f>
        <v/>
      </c>
      <c r="S112" s="89"/>
      <c r="T112" s="38"/>
      <c r="U112" s="43"/>
      <c r="V112" s="42" t="str">
        <f>IF(Table1[[#This Row],[DATE]]=0,"",YEAR(E112))</f>
        <v/>
      </c>
      <c r="W112" s="40" t="str">
        <f t="shared" si="2"/>
        <v/>
      </c>
      <c r="X112" s="40" t="str">
        <f t="shared" si="3"/>
        <v/>
      </c>
      <c r="Y112" s="40" t="str">
        <f>TEXT(Table1[[#This Row],[YEAR]],"0000")&amp;"-"&amp;Table1[[#This Row],[MONTH]]</f>
        <v>-</v>
      </c>
    </row>
    <row r="113" spans="1:25" ht="18" x14ac:dyDescent="0.35">
      <c r="A113" s="24"/>
      <c r="B113" s="38"/>
      <c r="C113" s="38"/>
      <c r="D113" s="38"/>
      <c r="E113" s="37"/>
      <c r="F113" s="38"/>
      <c r="G113" s="198"/>
      <c r="H113" s="198"/>
      <c r="I113" s="39"/>
      <c r="J113" s="38"/>
      <c r="K113" s="198"/>
      <c r="L113" s="38"/>
      <c r="M113" s="38"/>
      <c r="N113" s="38"/>
      <c r="O113" s="38"/>
      <c r="P113" s="40" t="str" cm="1">
        <f t="array" ref="P113">IF(N113="","",IFERROR(_xlfn.XLOOKUP(F113&amp;"|"&amp;J113&amp;"|"&amp;O113,PRICES!$C$2:$C$659&amp;"|"&amp;PRICES!$B$2:$B$659&amp;"|"&amp;PRICES!$D$2:$D$659,PRICES!$E$2:$E$659),"Not Found"))</f>
        <v/>
      </c>
      <c r="Q113" s="100" t="str">
        <f>IF(N113=0,"",SUMIFS(PRICES!$G$2:$G$658,PRICES!$B$2:$B$658,'MAIN TABLE-1 AUTOMATED'!J113,PRICES!$C$2:$C$658,'MAIN TABLE-1 AUTOMATED'!F113,PRICES!$D$2:$D$658,'MAIN TABLE-1 AUTOMATED'!O113))</f>
        <v/>
      </c>
      <c r="R113" s="41" t="str">
        <f>IF(Table1[[#This Row],[QUANTITY]]=0,"",Table1[[#This Row],[UNIT PRICE]]*Table1[[#This Row],[QUANTITY]])</f>
        <v/>
      </c>
      <c r="S113" s="89"/>
      <c r="T113" s="38"/>
      <c r="U113" s="43"/>
      <c r="V113" s="42" t="str">
        <f>IF(Table1[[#This Row],[DATE]]=0,"",YEAR(E113))</f>
        <v/>
      </c>
      <c r="W113" s="40" t="str">
        <f t="shared" si="2"/>
        <v/>
      </c>
      <c r="X113" s="40" t="str">
        <f t="shared" si="3"/>
        <v/>
      </c>
      <c r="Y113" s="40" t="str">
        <f>TEXT(Table1[[#This Row],[YEAR]],"0000")&amp;"-"&amp;Table1[[#This Row],[MONTH]]</f>
        <v>-</v>
      </c>
    </row>
    <row r="114" spans="1:25" ht="20.399999999999999" customHeight="1" x14ac:dyDescent="0.35">
      <c r="A114" s="24"/>
      <c r="B114" s="38"/>
      <c r="C114" s="38"/>
      <c r="D114" s="38"/>
      <c r="E114" s="37"/>
      <c r="F114" s="38"/>
      <c r="G114" s="198"/>
      <c r="H114" s="198"/>
      <c r="I114" s="39"/>
      <c r="J114" s="38"/>
      <c r="K114" s="198"/>
      <c r="L114" s="38"/>
      <c r="M114" s="38"/>
      <c r="N114" s="38"/>
      <c r="O114" s="38"/>
      <c r="P114" s="40" t="str" cm="1">
        <f t="array" ref="P114">IF(N114="","",IFERROR(_xlfn.XLOOKUP(F114&amp;"|"&amp;J114&amp;"|"&amp;O114,PRICES!$C$2:$C$659&amp;"|"&amp;PRICES!$B$2:$B$659&amp;"|"&amp;PRICES!$D$2:$D$659,PRICES!$E$2:$E$659),"Not Found"))</f>
        <v/>
      </c>
      <c r="Q114" s="100" t="str">
        <f>IF(N114=0,"",SUMIFS(PRICES!$G$2:$G$658,PRICES!$B$2:$B$658,'MAIN TABLE-1 AUTOMATED'!J114,PRICES!$C$2:$C$658,'MAIN TABLE-1 AUTOMATED'!F114,PRICES!$D$2:$D$658,'MAIN TABLE-1 AUTOMATED'!O114))</f>
        <v/>
      </c>
      <c r="R114" s="41" t="str">
        <f>IF(Table1[[#This Row],[QUANTITY]]=0,"",Table1[[#This Row],[UNIT PRICE]]*Table1[[#This Row],[QUANTITY]])</f>
        <v/>
      </c>
      <c r="S114" s="89"/>
      <c r="T114" s="38"/>
      <c r="U114" s="43"/>
      <c r="V114" s="42" t="str">
        <f>IF(Table1[[#This Row],[DATE]]=0,"",YEAR(E114))</f>
        <v/>
      </c>
      <c r="W114" s="40" t="str">
        <f t="shared" si="2"/>
        <v/>
      </c>
      <c r="X114" s="40" t="str">
        <f t="shared" si="3"/>
        <v/>
      </c>
      <c r="Y114" s="40" t="str">
        <f>TEXT(Table1[[#This Row],[YEAR]],"0000")&amp;"-"&amp;Table1[[#This Row],[MONTH]]</f>
        <v>-</v>
      </c>
    </row>
    <row r="115" spans="1:25" ht="18" x14ac:dyDescent="0.35">
      <c r="A115" s="24"/>
      <c r="B115" s="38"/>
      <c r="C115" s="38"/>
      <c r="D115" s="38"/>
      <c r="E115" s="37"/>
      <c r="F115" s="38"/>
      <c r="G115" s="198"/>
      <c r="H115" s="198"/>
      <c r="I115" s="39"/>
      <c r="J115" s="38"/>
      <c r="K115" s="198"/>
      <c r="L115" s="38"/>
      <c r="M115" s="38"/>
      <c r="N115" s="38"/>
      <c r="O115" s="38"/>
      <c r="P115" s="40" t="str" cm="1">
        <f t="array" ref="P115">IF(N115="","",IFERROR(_xlfn.XLOOKUP(F115&amp;"|"&amp;J115&amp;"|"&amp;O115,PRICES!$C$2:$C$659&amp;"|"&amp;PRICES!$B$2:$B$659&amp;"|"&amp;PRICES!$D$2:$D$659,PRICES!$E$2:$E$659),"Not Found"))</f>
        <v/>
      </c>
      <c r="Q115" s="100" t="str">
        <f>IF(N115=0,"",SUMIFS(PRICES!$G$2:$G$658,PRICES!$B$2:$B$658,'MAIN TABLE-1 AUTOMATED'!J115,PRICES!$C$2:$C$658,'MAIN TABLE-1 AUTOMATED'!F115,PRICES!$D$2:$D$658,'MAIN TABLE-1 AUTOMATED'!O115))</f>
        <v/>
      </c>
      <c r="R115" s="41" t="str">
        <f>IF(Table1[[#This Row],[QUANTITY]]=0,"",Table1[[#This Row],[UNIT PRICE]]*Table1[[#This Row],[QUANTITY]])</f>
        <v/>
      </c>
      <c r="S115" s="89"/>
      <c r="T115" s="38"/>
      <c r="U115" s="43"/>
      <c r="V115" s="42" t="str">
        <f>IF(Table1[[#This Row],[DATE]]=0,"",YEAR(E115))</f>
        <v/>
      </c>
      <c r="W115" s="40" t="str">
        <f t="shared" si="2"/>
        <v/>
      </c>
      <c r="X115" s="40" t="str">
        <f t="shared" si="3"/>
        <v/>
      </c>
      <c r="Y115" s="40" t="str">
        <f>TEXT(Table1[[#This Row],[YEAR]],"0000")&amp;"-"&amp;Table1[[#This Row],[MONTH]]</f>
        <v>-</v>
      </c>
    </row>
    <row r="116" spans="1:25" ht="18" x14ac:dyDescent="0.35">
      <c r="A116" s="24"/>
      <c r="B116" s="38"/>
      <c r="C116" s="38"/>
      <c r="D116" s="38"/>
      <c r="E116" s="37"/>
      <c r="F116" s="38"/>
      <c r="G116" s="198"/>
      <c r="H116" s="198"/>
      <c r="I116" s="39"/>
      <c r="J116" s="38"/>
      <c r="K116" s="198"/>
      <c r="L116" s="38"/>
      <c r="M116" s="38"/>
      <c r="N116" s="38"/>
      <c r="O116" s="38"/>
      <c r="P116" s="40" t="str" cm="1">
        <f t="array" ref="P116">IF(N116="","",IFERROR(_xlfn.XLOOKUP(F116&amp;"|"&amp;J116&amp;"|"&amp;O116,PRICES!$C$2:$C$659&amp;"|"&amp;PRICES!$B$2:$B$659&amp;"|"&amp;PRICES!$D$2:$D$659,PRICES!$E$2:$E$659),"Not Found"))</f>
        <v/>
      </c>
      <c r="Q116" s="100" t="str">
        <f>IF(N116=0,"",SUMIFS(PRICES!$G$2:$G$658,PRICES!$B$2:$B$658,'MAIN TABLE-1 AUTOMATED'!J116,PRICES!$C$2:$C$658,'MAIN TABLE-1 AUTOMATED'!F116,PRICES!$D$2:$D$658,'MAIN TABLE-1 AUTOMATED'!O116))</f>
        <v/>
      </c>
      <c r="R116" s="41" t="str">
        <f>IF(Table1[[#This Row],[QUANTITY]]=0,"",Table1[[#This Row],[UNIT PRICE]]*Table1[[#This Row],[QUANTITY]])</f>
        <v/>
      </c>
      <c r="S116" s="89"/>
      <c r="T116" s="38"/>
      <c r="U116" s="43"/>
      <c r="V116" s="42" t="str">
        <f>IF(Table1[[#This Row],[DATE]]=0,"",YEAR(E116))</f>
        <v/>
      </c>
      <c r="W116" s="40" t="str">
        <f t="shared" si="2"/>
        <v/>
      </c>
      <c r="X116" s="40" t="str">
        <f t="shared" si="3"/>
        <v/>
      </c>
      <c r="Y116" s="40" t="str">
        <f>TEXT(Table1[[#This Row],[YEAR]],"0000")&amp;"-"&amp;Table1[[#This Row],[MONTH]]</f>
        <v>-</v>
      </c>
    </row>
    <row r="117" spans="1:25" ht="18" x14ac:dyDescent="0.35">
      <c r="A117" s="24"/>
      <c r="B117" s="38"/>
      <c r="C117" s="38"/>
      <c r="D117" s="38"/>
      <c r="E117" s="37"/>
      <c r="F117" s="38"/>
      <c r="G117" s="198"/>
      <c r="H117" s="198"/>
      <c r="I117" s="39"/>
      <c r="J117" s="38"/>
      <c r="K117" s="198"/>
      <c r="L117" s="38"/>
      <c r="M117" s="38"/>
      <c r="N117" s="38"/>
      <c r="O117" s="38"/>
      <c r="P117" s="40" t="str" cm="1">
        <f t="array" ref="P117">IF(N117="","",IFERROR(_xlfn.XLOOKUP(F117&amp;"|"&amp;J117&amp;"|"&amp;O117,PRICES!$C$2:$C$659&amp;"|"&amp;PRICES!$B$2:$B$659&amp;"|"&amp;PRICES!$D$2:$D$659,PRICES!$E$2:$E$659),"Not Found"))</f>
        <v/>
      </c>
      <c r="Q117" s="100" t="str">
        <f>IF(N117=0,"",SUMIFS(PRICES!$G$2:$G$658,PRICES!$B$2:$B$658,'MAIN TABLE-1 AUTOMATED'!J117,PRICES!$C$2:$C$658,'MAIN TABLE-1 AUTOMATED'!F117,PRICES!$D$2:$D$658,'MAIN TABLE-1 AUTOMATED'!O117))</f>
        <v/>
      </c>
      <c r="R117" s="41" t="str">
        <f>IF(Table1[[#This Row],[QUANTITY]]=0,"",Table1[[#This Row],[UNIT PRICE]]*Table1[[#This Row],[QUANTITY]])</f>
        <v/>
      </c>
      <c r="S117" s="89"/>
      <c r="T117" s="38"/>
      <c r="U117" s="43"/>
      <c r="V117" s="42" t="str">
        <f>IF(Table1[[#This Row],[DATE]]=0,"",YEAR(E117))</f>
        <v/>
      </c>
      <c r="W117" s="40" t="str">
        <f t="shared" si="2"/>
        <v/>
      </c>
      <c r="X117" s="40" t="str">
        <f t="shared" si="3"/>
        <v/>
      </c>
      <c r="Y117" s="40" t="str">
        <f>TEXT(Table1[[#This Row],[YEAR]],"0000")&amp;"-"&amp;Table1[[#This Row],[MONTH]]</f>
        <v>-</v>
      </c>
    </row>
    <row r="118" spans="1:25" ht="18" x14ac:dyDescent="0.35">
      <c r="A118" s="24"/>
      <c r="B118" s="38"/>
      <c r="C118" s="38"/>
      <c r="D118" s="38"/>
      <c r="E118" s="37"/>
      <c r="F118" s="38"/>
      <c r="G118" s="198"/>
      <c r="H118" s="198"/>
      <c r="I118" s="39"/>
      <c r="J118" s="38"/>
      <c r="K118" s="198"/>
      <c r="L118" s="38"/>
      <c r="M118" s="38"/>
      <c r="N118" s="38"/>
      <c r="O118" s="38"/>
      <c r="P118" s="40" t="str" cm="1">
        <f t="array" ref="P118">IF(N118="","",IFERROR(_xlfn.XLOOKUP(F118&amp;"|"&amp;J118&amp;"|"&amp;O118,PRICES!$C$2:$C$659&amp;"|"&amp;PRICES!$B$2:$B$659&amp;"|"&amp;PRICES!$D$2:$D$659,PRICES!$E$2:$E$659),"Not Found"))</f>
        <v/>
      </c>
      <c r="Q118" s="100" t="str">
        <f>IF(N118=0,"",SUMIFS(PRICES!$G$2:$G$658,PRICES!$B$2:$B$658,'MAIN TABLE-1 AUTOMATED'!J118,PRICES!$C$2:$C$658,'MAIN TABLE-1 AUTOMATED'!F118,PRICES!$D$2:$D$658,'MAIN TABLE-1 AUTOMATED'!O118))</f>
        <v/>
      </c>
      <c r="R118" s="41" t="str">
        <f>IF(Table1[[#This Row],[QUANTITY]]=0,"",Table1[[#This Row],[UNIT PRICE]]*Table1[[#This Row],[QUANTITY]])</f>
        <v/>
      </c>
      <c r="S118" s="89"/>
      <c r="T118" s="38"/>
      <c r="U118" s="43"/>
      <c r="V118" s="42" t="str">
        <f>IF(Table1[[#This Row],[DATE]]=0,"",YEAR(E118))</f>
        <v/>
      </c>
      <c r="W118" s="40" t="str">
        <f t="shared" si="2"/>
        <v/>
      </c>
      <c r="X118" s="40" t="str">
        <f t="shared" si="3"/>
        <v/>
      </c>
      <c r="Y118" s="40" t="str">
        <f>TEXT(Table1[[#This Row],[YEAR]],"0000")&amp;"-"&amp;Table1[[#This Row],[MONTH]]</f>
        <v>-</v>
      </c>
    </row>
    <row r="119" spans="1:25" ht="18" x14ac:dyDescent="0.35">
      <c r="A119" s="24"/>
      <c r="B119" s="38"/>
      <c r="C119" s="38"/>
      <c r="D119" s="38"/>
      <c r="E119" s="37"/>
      <c r="F119" s="38"/>
      <c r="G119" s="198"/>
      <c r="H119" s="198"/>
      <c r="I119" s="39"/>
      <c r="J119" s="38"/>
      <c r="K119" s="198"/>
      <c r="L119" s="38"/>
      <c r="M119" s="38"/>
      <c r="N119" s="38"/>
      <c r="O119" s="38"/>
      <c r="P119" s="40" t="str" cm="1">
        <f t="array" ref="P119">IF(N119="","",IFERROR(_xlfn.XLOOKUP(F119&amp;"|"&amp;J119&amp;"|"&amp;O119,PRICES!$C$2:$C$659&amp;"|"&amp;PRICES!$B$2:$B$659&amp;"|"&amp;PRICES!$D$2:$D$659,PRICES!$E$2:$E$659),"Not Found"))</f>
        <v/>
      </c>
      <c r="Q119" s="100" t="str">
        <f>IF(N119=0,"",SUMIFS(PRICES!$G$2:$G$658,PRICES!$B$2:$B$658,'MAIN TABLE-1 AUTOMATED'!J119,PRICES!$C$2:$C$658,'MAIN TABLE-1 AUTOMATED'!F119,PRICES!$D$2:$D$658,'MAIN TABLE-1 AUTOMATED'!O119))</f>
        <v/>
      </c>
      <c r="R119" s="41" t="str">
        <f>IF(Table1[[#This Row],[QUANTITY]]=0,"",Table1[[#This Row],[UNIT PRICE]]*Table1[[#This Row],[QUANTITY]])</f>
        <v/>
      </c>
      <c r="S119" s="89"/>
      <c r="T119" s="38"/>
      <c r="U119" s="43"/>
      <c r="V119" s="42" t="str">
        <f>IF(Table1[[#This Row],[DATE]]=0,"",YEAR(E119))</f>
        <v/>
      </c>
      <c r="W119" s="40" t="str">
        <f t="shared" si="2"/>
        <v/>
      </c>
      <c r="X119" s="40" t="str">
        <f t="shared" si="3"/>
        <v/>
      </c>
      <c r="Y119" s="40" t="str">
        <f>TEXT(Table1[[#This Row],[YEAR]],"0000")&amp;"-"&amp;Table1[[#This Row],[MONTH]]</f>
        <v>-</v>
      </c>
    </row>
    <row r="120" spans="1:25" ht="18" x14ac:dyDescent="0.35">
      <c r="A120" s="24"/>
      <c r="B120" s="38"/>
      <c r="C120" s="38"/>
      <c r="D120" s="38"/>
      <c r="E120" s="37"/>
      <c r="F120" s="38"/>
      <c r="G120" s="198"/>
      <c r="H120" s="198"/>
      <c r="I120" s="39"/>
      <c r="J120" s="38"/>
      <c r="K120" s="198"/>
      <c r="L120" s="38"/>
      <c r="M120" s="38"/>
      <c r="N120" s="38"/>
      <c r="O120" s="38"/>
      <c r="P120" s="40" t="str" cm="1">
        <f t="array" ref="P120">IF(N120="","",IFERROR(_xlfn.XLOOKUP(F120&amp;"|"&amp;J120&amp;"|"&amp;O120,PRICES!$C$2:$C$659&amp;"|"&amp;PRICES!$B$2:$B$659&amp;"|"&amp;PRICES!$D$2:$D$659,PRICES!$E$2:$E$659),"Not Found"))</f>
        <v/>
      </c>
      <c r="Q120" s="100" t="str">
        <f>IF(N120=0,"",SUMIFS(PRICES!$G$2:$G$658,PRICES!$B$2:$B$658,'MAIN TABLE-1 AUTOMATED'!J120,PRICES!$C$2:$C$658,'MAIN TABLE-1 AUTOMATED'!F120,PRICES!$D$2:$D$658,'MAIN TABLE-1 AUTOMATED'!O120))</f>
        <v/>
      </c>
      <c r="R120" s="41" t="str">
        <f>IF(Table1[[#This Row],[QUANTITY]]=0,"",Table1[[#This Row],[UNIT PRICE]]*Table1[[#This Row],[QUANTITY]])</f>
        <v/>
      </c>
      <c r="S120" s="89"/>
      <c r="T120" s="38"/>
      <c r="U120" s="43"/>
      <c r="V120" s="42" t="str">
        <f>IF(Table1[[#This Row],[DATE]]=0,"",YEAR(E120))</f>
        <v/>
      </c>
      <c r="W120" s="40" t="str">
        <f t="shared" si="2"/>
        <v/>
      </c>
      <c r="X120" s="40" t="str">
        <f t="shared" si="3"/>
        <v/>
      </c>
      <c r="Y120" s="40" t="str">
        <f>TEXT(Table1[[#This Row],[YEAR]],"0000")&amp;"-"&amp;Table1[[#This Row],[MONTH]]</f>
        <v>-</v>
      </c>
    </row>
    <row r="121" spans="1:25" ht="18" x14ac:dyDescent="0.35">
      <c r="A121" s="24"/>
      <c r="B121" s="38"/>
      <c r="C121" s="38"/>
      <c r="D121" s="38"/>
      <c r="E121" s="37"/>
      <c r="F121" s="38"/>
      <c r="G121" s="198"/>
      <c r="H121" s="198"/>
      <c r="I121" s="39"/>
      <c r="J121" s="38"/>
      <c r="K121" s="198"/>
      <c r="L121" s="38"/>
      <c r="M121" s="38"/>
      <c r="N121" s="38"/>
      <c r="O121" s="38"/>
      <c r="P121" s="40" t="str" cm="1">
        <f t="array" ref="P121">IF(N121="","",IFERROR(_xlfn.XLOOKUP(F121&amp;"|"&amp;J121&amp;"|"&amp;O121,PRICES!$C$2:$C$659&amp;"|"&amp;PRICES!$B$2:$B$659&amp;"|"&amp;PRICES!$D$2:$D$659,PRICES!$E$2:$E$659),"Not Found"))</f>
        <v/>
      </c>
      <c r="Q121" s="100" t="str">
        <f>IF(N121=0,"",SUMIFS(PRICES!$G$2:$G$658,PRICES!$B$2:$B$658,'MAIN TABLE-1 AUTOMATED'!J121,PRICES!$C$2:$C$658,'MAIN TABLE-1 AUTOMATED'!F121,PRICES!$D$2:$D$658,'MAIN TABLE-1 AUTOMATED'!O121))</f>
        <v/>
      </c>
      <c r="R121" s="41" t="str">
        <f>IF(Table1[[#This Row],[QUANTITY]]=0,"",Table1[[#This Row],[UNIT PRICE]]*Table1[[#This Row],[QUANTITY]])</f>
        <v/>
      </c>
      <c r="S121" s="89"/>
      <c r="T121" s="38"/>
      <c r="U121" s="43"/>
      <c r="V121" s="42" t="str">
        <f>IF(Table1[[#This Row],[DATE]]=0,"",YEAR(E121))</f>
        <v/>
      </c>
      <c r="W121" s="40" t="str">
        <f t="shared" si="2"/>
        <v/>
      </c>
      <c r="X121" s="40" t="str">
        <f t="shared" si="3"/>
        <v/>
      </c>
      <c r="Y121" s="40" t="str">
        <f>TEXT(Table1[[#This Row],[YEAR]],"0000")&amp;"-"&amp;Table1[[#This Row],[MONTH]]</f>
        <v>-</v>
      </c>
    </row>
    <row r="122" spans="1:25" ht="18" x14ac:dyDescent="0.35">
      <c r="A122" s="24"/>
      <c r="B122" s="38"/>
      <c r="C122" s="38"/>
      <c r="D122" s="38"/>
      <c r="E122" s="37"/>
      <c r="F122" s="38"/>
      <c r="G122" s="198"/>
      <c r="H122" s="198"/>
      <c r="I122" s="39"/>
      <c r="J122" s="38"/>
      <c r="K122" s="198"/>
      <c r="L122" s="38"/>
      <c r="M122" s="38"/>
      <c r="N122" s="38"/>
      <c r="O122" s="38"/>
      <c r="P122" s="40" t="str" cm="1">
        <f t="array" ref="P122">IF(N122="","",IFERROR(_xlfn.XLOOKUP(F122&amp;"|"&amp;J122&amp;"|"&amp;O122,PRICES!$C$2:$C$659&amp;"|"&amp;PRICES!$B$2:$B$659&amp;"|"&amp;PRICES!$D$2:$D$659,PRICES!$E$2:$E$659),"Not Found"))</f>
        <v/>
      </c>
      <c r="Q122" s="100" t="str">
        <f>IF(N122=0,"",SUMIFS(PRICES!$G$2:$G$658,PRICES!$B$2:$B$658,'MAIN TABLE-1 AUTOMATED'!J122,PRICES!$C$2:$C$658,'MAIN TABLE-1 AUTOMATED'!F122,PRICES!$D$2:$D$658,'MAIN TABLE-1 AUTOMATED'!O122))</f>
        <v/>
      </c>
      <c r="R122" s="41" t="str">
        <f>IF(Table1[[#This Row],[QUANTITY]]=0,"",Table1[[#This Row],[UNIT PRICE]]*Table1[[#This Row],[QUANTITY]])</f>
        <v/>
      </c>
      <c r="S122" s="89"/>
      <c r="T122" s="38"/>
      <c r="U122" s="43"/>
      <c r="V122" s="42" t="str">
        <f>IF(Table1[[#This Row],[DATE]]=0,"",YEAR(E122))</f>
        <v/>
      </c>
      <c r="W122" s="40" t="str">
        <f t="shared" si="2"/>
        <v/>
      </c>
      <c r="X122" s="40" t="str">
        <f t="shared" si="3"/>
        <v/>
      </c>
      <c r="Y122" s="40" t="str">
        <f>TEXT(Table1[[#This Row],[YEAR]],"0000")&amp;"-"&amp;Table1[[#This Row],[MONTH]]</f>
        <v>-</v>
      </c>
    </row>
    <row r="123" spans="1:25" ht="18" x14ac:dyDescent="0.35">
      <c r="A123" s="24"/>
      <c r="B123" s="38"/>
      <c r="C123" s="38"/>
      <c r="D123" s="38"/>
      <c r="E123" s="37"/>
      <c r="F123" s="38"/>
      <c r="G123" s="198"/>
      <c r="H123" s="198"/>
      <c r="I123" s="39"/>
      <c r="J123" s="38"/>
      <c r="K123" s="198"/>
      <c r="L123" s="38"/>
      <c r="M123" s="38"/>
      <c r="N123" s="38"/>
      <c r="O123" s="38"/>
      <c r="P123" s="40" t="str" cm="1">
        <f t="array" ref="P123">IF(N123="","",IFERROR(_xlfn.XLOOKUP(F123&amp;"|"&amp;J123&amp;"|"&amp;O123,PRICES!$C$2:$C$659&amp;"|"&amp;PRICES!$B$2:$B$659&amp;"|"&amp;PRICES!$D$2:$D$659,PRICES!$E$2:$E$659),"Not Found"))</f>
        <v/>
      </c>
      <c r="Q123" s="100" t="str">
        <f>IF(N123=0,"",SUMIFS(PRICES!$G$2:$G$658,PRICES!$B$2:$B$658,'MAIN TABLE-1 AUTOMATED'!J123,PRICES!$C$2:$C$658,'MAIN TABLE-1 AUTOMATED'!F123,PRICES!$D$2:$D$658,'MAIN TABLE-1 AUTOMATED'!O123))</f>
        <v/>
      </c>
      <c r="R123" s="41" t="str">
        <f>IF(Table1[[#This Row],[QUANTITY]]=0,"",Table1[[#This Row],[UNIT PRICE]]*Table1[[#This Row],[QUANTITY]])</f>
        <v/>
      </c>
      <c r="S123" s="89"/>
      <c r="T123" s="38"/>
      <c r="U123" s="43"/>
      <c r="V123" s="42" t="str">
        <f>IF(Table1[[#This Row],[DATE]]=0,"",YEAR(E123))</f>
        <v/>
      </c>
      <c r="W123" s="40" t="str">
        <f t="shared" si="2"/>
        <v/>
      </c>
      <c r="X123" s="40" t="str">
        <f t="shared" si="3"/>
        <v/>
      </c>
      <c r="Y123" s="40" t="str">
        <f>TEXT(Table1[[#This Row],[YEAR]],"0000")&amp;"-"&amp;Table1[[#This Row],[MONTH]]</f>
        <v>-</v>
      </c>
    </row>
    <row r="124" spans="1:25" ht="18" x14ac:dyDescent="0.35">
      <c r="A124" s="24"/>
      <c r="B124" s="38"/>
      <c r="C124" s="38"/>
      <c r="D124" s="38"/>
      <c r="E124" s="37"/>
      <c r="F124" s="38"/>
      <c r="G124" s="198"/>
      <c r="H124" s="198"/>
      <c r="I124" s="39"/>
      <c r="J124" s="38"/>
      <c r="K124" s="198"/>
      <c r="L124" s="38"/>
      <c r="M124" s="38"/>
      <c r="N124" s="38"/>
      <c r="O124" s="38"/>
      <c r="P124" s="40" t="str" cm="1">
        <f t="array" ref="P124">IF(N124="","",IFERROR(_xlfn.XLOOKUP(F124&amp;"|"&amp;J124&amp;"|"&amp;O124,PRICES!$C$2:$C$659&amp;"|"&amp;PRICES!$B$2:$B$659&amp;"|"&amp;PRICES!$D$2:$D$659,PRICES!$E$2:$E$659),"Not Found"))</f>
        <v/>
      </c>
      <c r="Q124" s="100" t="str">
        <f>IF(N124=0,"",SUMIFS(PRICES!$G$2:$G$658,PRICES!$B$2:$B$658,'MAIN TABLE-1 AUTOMATED'!J124,PRICES!$C$2:$C$658,'MAIN TABLE-1 AUTOMATED'!F124,PRICES!$D$2:$D$658,'MAIN TABLE-1 AUTOMATED'!O124))</f>
        <v/>
      </c>
      <c r="R124" s="41" t="str">
        <f>IF(Table1[[#This Row],[QUANTITY]]=0,"",Table1[[#This Row],[UNIT PRICE]]*Table1[[#This Row],[QUANTITY]])</f>
        <v/>
      </c>
      <c r="S124" s="89"/>
      <c r="T124" s="38"/>
      <c r="U124" s="43"/>
      <c r="V124" s="42" t="str">
        <f>IF(Table1[[#This Row],[DATE]]=0,"",YEAR(E124))</f>
        <v/>
      </c>
      <c r="W124" s="40" t="str">
        <f t="shared" si="2"/>
        <v/>
      </c>
      <c r="X124" s="40" t="str">
        <f t="shared" si="3"/>
        <v/>
      </c>
      <c r="Y124" s="40" t="str">
        <f>TEXT(Table1[[#This Row],[YEAR]],"0000")&amp;"-"&amp;Table1[[#This Row],[MONTH]]</f>
        <v>-</v>
      </c>
    </row>
    <row r="125" spans="1:25" ht="18" x14ac:dyDescent="0.35">
      <c r="A125" s="24"/>
      <c r="B125" s="38"/>
      <c r="C125" s="38"/>
      <c r="D125" s="38"/>
      <c r="E125" s="37"/>
      <c r="F125" s="38"/>
      <c r="G125" s="198"/>
      <c r="H125" s="198"/>
      <c r="I125" s="39"/>
      <c r="J125" s="38"/>
      <c r="K125" s="198"/>
      <c r="L125" s="38"/>
      <c r="M125" s="38"/>
      <c r="N125" s="38"/>
      <c r="O125" s="38"/>
      <c r="P125" s="40" t="str" cm="1">
        <f t="array" ref="P125">IF(N125="","",IFERROR(_xlfn.XLOOKUP(F125&amp;"|"&amp;J125&amp;"|"&amp;O125,PRICES!$C$2:$C$659&amp;"|"&amp;PRICES!$B$2:$B$659&amp;"|"&amp;PRICES!$D$2:$D$659,PRICES!$E$2:$E$659),"Not Found"))</f>
        <v/>
      </c>
      <c r="Q125" s="100" t="str">
        <f>IF(N125=0,"",SUMIFS(PRICES!$G$2:$G$658,PRICES!$B$2:$B$658,'MAIN TABLE-1 AUTOMATED'!J125,PRICES!$C$2:$C$658,'MAIN TABLE-1 AUTOMATED'!F125,PRICES!$D$2:$D$658,'MAIN TABLE-1 AUTOMATED'!O125))</f>
        <v/>
      </c>
      <c r="R125" s="41" t="str">
        <f>IF(Table1[[#This Row],[QUANTITY]]=0,"",Table1[[#This Row],[UNIT PRICE]]*Table1[[#This Row],[QUANTITY]])</f>
        <v/>
      </c>
      <c r="S125" s="89"/>
      <c r="T125" s="38"/>
      <c r="U125" s="43"/>
      <c r="V125" s="42" t="str">
        <f>IF(Table1[[#This Row],[DATE]]=0,"",YEAR(E125))</f>
        <v/>
      </c>
      <c r="W125" s="40" t="str">
        <f t="shared" si="2"/>
        <v/>
      </c>
      <c r="X125" s="40" t="str">
        <f t="shared" si="3"/>
        <v/>
      </c>
      <c r="Y125" s="40" t="str">
        <f>TEXT(Table1[[#This Row],[YEAR]],"0000")&amp;"-"&amp;Table1[[#This Row],[MONTH]]</f>
        <v>-</v>
      </c>
    </row>
    <row r="126" spans="1:25" ht="18" x14ac:dyDescent="0.35">
      <c r="A126" s="24"/>
      <c r="B126" s="38"/>
      <c r="C126" s="38"/>
      <c r="D126" s="38"/>
      <c r="E126" s="37"/>
      <c r="F126" s="38"/>
      <c r="G126" s="198"/>
      <c r="H126" s="198"/>
      <c r="I126" s="39"/>
      <c r="J126" s="38"/>
      <c r="K126" s="198"/>
      <c r="L126" s="38"/>
      <c r="M126" s="38"/>
      <c r="N126" s="38"/>
      <c r="O126" s="38"/>
      <c r="P126" s="40" t="str" cm="1">
        <f t="array" ref="P126">IF(N126="","",IFERROR(_xlfn.XLOOKUP(F126&amp;"|"&amp;J126&amp;"|"&amp;O126,PRICES!$C$2:$C$659&amp;"|"&amp;PRICES!$B$2:$B$659&amp;"|"&amp;PRICES!$D$2:$D$659,PRICES!$E$2:$E$659),"Not Found"))</f>
        <v/>
      </c>
      <c r="Q126" s="100" t="str">
        <f>IF(N126=0,"",SUMIFS(PRICES!$G$2:$G$658,PRICES!$B$2:$B$658,'MAIN TABLE-1 AUTOMATED'!J126,PRICES!$C$2:$C$658,'MAIN TABLE-1 AUTOMATED'!F126,PRICES!$D$2:$D$658,'MAIN TABLE-1 AUTOMATED'!O126))</f>
        <v/>
      </c>
      <c r="R126" s="41" t="str">
        <f>IF(Table1[[#This Row],[QUANTITY]]=0,"",Table1[[#This Row],[UNIT PRICE]]*Table1[[#This Row],[QUANTITY]])</f>
        <v/>
      </c>
      <c r="S126" s="89"/>
      <c r="T126" s="38"/>
      <c r="U126" s="43"/>
      <c r="V126" s="42" t="str">
        <f>IF(Table1[[#This Row],[DATE]]=0,"",YEAR(E126))</f>
        <v/>
      </c>
      <c r="W126" s="40" t="str">
        <f t="shared" si="2"/>
        <v/>
      </c>
      <c r="X126" s="40" t="str">
        <f t="shared" si="3"/>
        <v/>
      </c>
      <c r="Y126" s="40" t="str">
        <f>TEXT(Table1[[#This Row],[YEAR]],"0000")&amp;"-"&amp;Table1[[#This Row],[MONTH]]</f>
        <v>-</v>
      </c>
    </row>
    <row r="127" spans="1:25" ht="18" x14ac:dyDescent="0.35">
      <c r="A127" s="24"/>
      <c r="B127" s="38"/>
      <c r="C127" s="38"/>
      <c r="D127" s="38"/>
      <c r="E127" s="37"/>
      <c r="F127" s="38"/>
      <c r="G127" s="198"/>
      <c r="H127" s="198"/>
      <c r="I127" s="39"/>
      <c r="J127" s="38"/>
      <c r="K127" s="198"/>
      <c r="L127" s="38"/>
      <c r="M127" s="38"/>
      <c r="N127" s="38"/>
      <c r="O127" s="38"/>
      <c r="P127" s="40" t="str" cm="1">
        <f t="array" ref="P127">IF(N127="","",IFERROR(_xlfn.XLOOKUP(F127&amp;"|"&amp;J127&amp;"|"&amp;O127,PRICES!$C$2:$C$659&amp;"|"&amp;PRICES!$B$2:$B$659&amp;"|"&amp;PRICES!$D$2:$D$659,PRICES!$E$2:$E$659),"Not Found"))</f>
        <v/>
      </c>
      <c r="Q127" s="100" t="str">
        <f>IF(N127=0,"",SUMIFS(PRICES!$G$2:$G$658,PRICES!$B$2:$B$658,'MAIN TABLE-1 AUTOMATED'!J127,PRICES!$C$2:$C$658,'MAIN TABLE-1 AUTOMATED'!F127,PRICES!$D$2:$D$658,'MAIN TABLE-1 AUTOMATED'!O127))</f>
        <v/>
      </c>
      <c r="R127" s="41" t="str">
        <f>IF(Table1[[#This Row],[QUANTITY]]=0,"",Table1[[#This Row],[UNIT PRICE]]*Table1[[#This Row],[QUANTITY]])</f>
        <v/>
      </c>
      <c r="S127" s="89"/>
      <c r="T127" s="38"/>
      <c r="U127" s="43"/>
      <c r="V127" s="42" t="str">
        <f>IF(Table1[[#This Row],[DATE]]=0,"",YEAR(E127))</f>
        <v/>
      </c>
      <c r="W127" s="40" t="str">
        <f t="shared" si="2"/>
        <v/>
      </c>
      <c r="X127" s="40" t="str">
        <f t="shared" si="3"/>
        <v/>
      </c>
      <c r="Y127" s="40" t="str">
        <f>TEXT(Table1[[#This Row],[YEAR]],"0000")&amp;"-"&amp;Table1[[#This Row],[MONTH]]</f>
        <v>-</v>
      </c>
    </row>
    <row r="128" spans="1:25" ht="18" x14ac:dyDescent="0.35">
      <c r="A128" s="24"/>
      <c r="B128" s="38"/>
      <c r="C128" s="38"/>
      <c r="D128" s="38"/>
      <c r="E128" s="37"/>
      <c r="F128" s="38"/>
      <c r="G128" s="198"/>
      <c r="H128" s="198"/>
      <c r="I128" s="39"/>
      <c r="J128" s="38"/>
      <c r="K128" s="198"/>
      <c r="L128" s="38"/>
      <c r="M128" s="38"/>
      <c r="N128" s="38"/>
      <c r="O128" s="38"/>
      <c r="P128" s="40" t="str" cm="1">
        <f t="array" ref="P128">IF(N128="","",IFERROR(_xlfn.XLOOKUP(F128&amp;"|"&amp;J128&amp;"|"&amp;O128,PRICES!$C$2:$C$659&amp;"|"&amp;PRICES!$B$2:$B$659&amp;"|"&amp;PRICES!$D$2:$D$659,PRICES!$E$2:$E$659),"Not Found"))</f>
        <v/>
      </c>
      <c r="Q128" s="100" t="str">
        <f>IF(N128=0,"",SUMIFS(PRICES!$G$2:$G$658,PRICES!$B$2:$B$658,'MAIN TABLE-1 AUTOMATED'!J128,PRICES!$C$2:$C$658,'MAIN TABLE-1 AUTOMATED'!F128,PRICES!$D$2:$D$658,'MAIN TABLE-1 AUTOMATED'!O128))</f>
        <v/>
      </c>
      <c r="R128" s="41" t="str">
        <f>IF(Table1[[#This Row],[QUANTITY]]=0,"",Table1[[#This Row],[UNIT PRICE]]*Table1[[#This Row],[QUANTITY]])</f>
        <v/>
      </c>
      <c r="S128" s="89"/>
      <c r="T128" s="38"/>
      <c r="U128" s="43"/>
      <c r="V128" s="42" t="str">
        <f>IF(Table1[[#This Row],[DATE]]=0,"",YEAR(E128))</f>
        <v/>
      </c>
      <c r="W128" s="40" t="str">
        <f t="shared" si="2"/>
        <v/>
      </c>
      <c r="X128" s="40" t="str">
        <f t="shared" si="3"/>
        <v/>
      </c>
      <c r="Y128" s="40" t="str">
        <f>TEXT(Table1[[#This Row],[YEAR]],"0000")&amp;"-"&amp;Table1[[#This Row],[MONTH]]</f>
        <v>-</v>
      </c>
    </row>
    <row r="129" spans="1:25" ht="18" x14ac:dyDescent="0.35">
      <c r="A129" s="24"/>
      <c r="B129" s="38"/>
      <c r="C129" s="38"/>
      <c r="D129" s="38"/>
      <c r="E129" s="37"/>
      <c r="F129" s="38"/>
      <c r="G129" s="198"/>
      <c r="H129" s="198"/>
      <c r="I129" s="39"/>
      <c r="J129" s="38"/>
      <c r="K129" s="198"/>
      <c r="L129" s="38"/>
      <c r="M129" s="38"/>
      <c r="N129" s="38"/>
      <c r="O129" s="38"/>
      <c r="P129" s="40" t="str" cm="1">
        <f t="array" ref="P129">IF(N129="","",IFERROR(_xlfn.XLOOKUP(F129&amp;"|"&amp;J129&amp;"|"&amp;O129,PRICES!$C$2:$C$659&amp;"|"&amp;PRICES!$B$2:$B$659&amp;"|"&amp;PRICES!$D$2:$D$659,PRICES!$E$2:$E$659),"Not Found"))</f>
        <v/>
      </c>
      <c r="Q129" s="100" t="str">
        <f>IF(N129=0,"",SUMIFS(PRICES!$G$2:$G$658,PRICES!$B$2:$B$658,'MAIN TABLE-1 AUTOMATED'!J129,PRICES!$C$2:$C$658,'MAIN TABLE-1 AUTOMATED'!F129,PRICES!$D$2:$D$658,'MAIN TABLE-1 AUTOMATED'!O129))</f>
        <v/>
      </c>
      <c r="R129" s="41" t="str">
        <f>IF(Table1[[#This Row],[QUANTITY]]=0,"",Table1[[#This Row],[UNIT PRICE]]*Table1[[#This Row],[QUANTITY]])</f>
        <v/>
      </c>
      <c r="S129" s="89"/>
      <c r="T129" s="38"/>
      <c r="U129" s="43"/>
      <c r="V129" s="42" t="str">
        <f>IF(Table1[[#This Row],[DATE]]=0,"",YEAR(E129))</f>
        <v/>
      </c>
      <c r="W129" s="40" t="str">
        <f t="shared" si="2"/>
        <v/>
      </c>
      <c r="X129" s="40" t="str">
        <f t="shared" si="3"/>
        <v/>
      </c>
      <c r="Y129" s="40" t="str">
        <f>TEXT(Table1[[#This Row],[YEAR]],"0000")&amp;"-"&amp;Table1[[#This Row],[MONTH]]</f>
        <v>-</v>
      </c>
    </row>
    <row r="130" spans="1:25" ht="18" x14ac:dyDescent="0.35">
      <c r="A130" s="24"/>
      <c r="B130" s="38"/>
      <c r="C130" s="38"/>
      <c r="D130" s="38"/>
      <c r="E130" s="37"/>
      <c r="F130" s="38"/>
      <c r="G130" s="198"/>
      <c r="H130" s="198"/>
      <c r="I130" s="39"/>
      <c r="J130" s="38"/>
      <c r="K130" s="198"/>
      <c r="L130" s="38"/>
      <c r="M130" s="38"/>
      <c r="N130" s="38"/>
      <c r="O130" s="38"/>
      <c r="P130" s="40" t="str" cm="1">
        <f t="array" ref="P130">IF(N130="","",IFERROR(_xlfn.XLOOKUP(F130&amp;"|"&amp;J130&amp;"|"&amp;O130,PRICES!$C$2:$C$659&amp;"|"&amp;PRICES!$B$2:$B$659&amp;"|"&amp;PRICES!$D$2:$D$659,PRICES!$E$2:$E$659),"Not Found"))</f>
        <v/>
      </c>
      <c r="Q130" s="100" t="str">
        <f>IF(N130=0,"",SUMIFS(PRICES!$G$2:$G$658,PRICES!$B$2:$B$658,'MAIN TABLE-1 AUTOMATED'!J130,PRICES!$C$2:$C$658,'MAIN TABLE-1 AUTOMATED'!F130,PRICES!$D$2:$D$658,'MAIN TABLE-1 AUTOMATED'!O130))</f>
        <v/>
      </c>
      <c r="R130" s="41" t="str">
        <f>IF(Table1[[#This Row],[QUANTITY]]=0,"",Table1[[#This Row],[UNIT PRICE]]*Table1[[#This Row],[QUANTITY]])</f>
        <v/>
      </c>
      <c r="S130" s="89"/>
      <c r="T130" s="38"/>
      <c r="U130" s="43"/>
      <c r="V130" s="42" t="str">
        <f>IF(Table1[[#This Row],[DATE]]=0,"",YEAR(E130))</f>
        <v/>
      </c>
      <c r="W130" s="40" t="str">
        <f t="shared" si="2"/>
        <v/>
      </c>
      <c r="X130" s="40" t="str">
        <f t="shared" si="3"/>
        <v/>
      </c>
      <c r="Y130" s="40" t="str">
        <f>TEXT(Table1[[#This Row],[YEAR]],"0000")&amp;"-"&amp;Table1[[#This Row],[MONTH]]</f>
        <v>-</v>
      </c>
    </row>
    <row r="131" spans="1:25" ht="18" x14ac:dyDescent="0.35">
      <c r="A131" s="24"/>
      <c r="B131" s="38"/>
      <c r="C131" s="38"/>
      <c r="D131" s="38"/>
      <c r="E131" s="37"/>
      <c r="F131" s="38"/>
      <c r="G131" s="198"/>
      <c r="H131" s="198"/>
      <c r="I131" s="39"/>
      <c r="J131" s="38"/>
      <c r="K131" s="198"/>
      <c r="L131" s="38"/>
      <c r="M131" s="38"/>
      <c r="N131" s="38"/>
      <c r="O131" s="38"/>
      <c r="P131" s="40" t="str" cm="1">
        <f t="array" ref="P131">IF(N131="","",IFERROR(_xlfn.XLOOKUP(F131&amp;"|"&amp;J131&amp;"|"&amp;O131,PRICES!$C$2:$C$659&amp;"|"&amp;PRICES!$B$2:$B$659&amp;"|"&amp;PRICES!$D$2:$D$659,PRICES!$E$2:$E$659),"Not Found"))</f>
        <v/>
      </c>
      <c r="Q131" s="100" t="str">
        <f>IF(N131=0,"",SUMIFS(PRICES!$G$2:$G$658,PRICES!$B$2:$B$658,'MAIN TABLE-1 AUTOMATED'!J131,PRICES!$C$2:$C$658,'MAIN TABLE-1 AUTOMATED'!F131,PRICES!$D$2:$D$658,'MAIN TABLE-1 AUTOMATED'!O131))</f>
        <v/>
      </c>
      <c r="R131" s="41" t="str">
        <f>IF(Table1[[#This Row],[QUANTITY]]=0,"",Table1[[#This Row],[UNIT PRICE]]*Table1[[#This Row],[QUANTITY]])</f>
        <v/>
      </c>
      <c r="S131" s="89"/>
      <c r="T131" s="38"/>
      <c r="U131" s="43"/>
      <c r="V131" s="42" t="str">
        <f>IF(Table1[[#This Row],[DATE]]=0,"",YEAR(E131))</f>
        <v/>
      </c>
      <c r="W131" s="40" t="str">
        <f t="shared" ref="W131:W194" si="4">IF(E131=0,"",MONTH(E131))</f>
        <v/>
      </c>
      <c r="X131" s="40" t="str">
        <f t="shared" ref="X131:X194" si="5">IF(E131=0,"",WEEKNUM(E131))</f>
        <v/>
      </c>
      <c r="Y131" s="40" t="str">
        <f>TEXT(Table1[[#This Row],[YEAR]],"0000")&amp;"-"&amp;Table1[[#This Row],[MONTH]]</f>
        <v>-</v>
      </c>
    </row>
    <row r="132" spans="1:25" ht="18" x14ac:dyDescent="0.35">
      <c r="A132" s="24"/>
      <c r="B132" s="38"/>
      <c r="C132" s="38"/>
      <c r="D132" s="38"/>
      <c r="E132" s="37"/>
      <c r="F132" s="38"/>
      <c r="G132" s="198"/>
      <c r="H132" s="198"/>
      <c r="I132" s="39"/>
      <c r="J132" s="38"/>
      <c r="K132" s="198"/>
      <c r="L132" s="38"/>
      <c r="M132" s="38"/>
      <c r="N132" s="38"/>
      <c r="O132" s="38"/>
      <c r="P132" s="40" t="str" cm="1">
        <f t="array" ref="P132">IF(N132="","",IFERROR(_xlfn.XLOOKUP(F132&amp;"|"&amp;J132&amp;"|"&amp;O132,PRICES!$C$2:$C$659&amp;"|"&amp;PRICES!$B$2:$B$659&amp;"|"&amp;PRICES!$D$2:$D$659,PRICES!$E$2:$E$659),"Not Found"))</f>
        <v/>
      </c>
      <c r="Q132" s="100" t="str">
        <f>IF(N132=0,"",SUMIFS(PRICES!$G$2:$G$658,PRICES!$B$2:$B$658,'MAIN TABLE-1 AUTOMATED'!J132,PRICES!$C$2:$C$658,'MAIN TABLE-1 AUTOMATED'!F132,PRICES!$D$2:$D$658,'MAIN TABLE-1 AUTOMATED'!O132))</f>
        <v/>
      </c>
      <c r="R132" s="41" t="str">
        <f>IF(Table1[[#This Row],[QUANTITY]]=0,"",Table1[[#This Row],[UNIT PRICE]]*Table1[[#This Row],[QUANTITY]])</f>
        <v/>
      </c>
      <c r="S132" s="89"/>
      <c r="T132" s="38"/>
      <c r="U132" s="43"/>
      <c r="V132" s="42" t="str">
        <f>IF(Table1[[#This Row],[DATE]]=0,"",YEAR(E132))</f>
        <v/>
      </c>
      <c r="W132" s="40" t="str">
        <f t="shared" si="4"/>
        <v/>
      </c>
      <c r="X132" s="40" t="str">
        <f t="shared" si="5"/>
        <v/>
      </c>
      <c r="Y132" s="40" t="str">
        <f>TEXT(Table1[[#This Row],[YEAR]],"0000")&amp;"-"&amp;Table1[[#This Row],[MONTH]]</f>
        <v>-</v>
      </c>
    </row>
    <row r="133" spans="1:25" ht="18" x14ac:dyDescent="0.35">
      <c r="A133" s="24"/>
      <c r="B133" s="38"/>
      <c r="C133" s="38"/>
      <c r="D133" s="38"/>
      <c r="E133" s="37"/>
      <c r="F133" s="38"/>
      <c r="G133" s="198"/>
      <c r="H133" s="198"/>
      <c r="I133" s="39"/>
      <c r="J133" s="38"/>
      <c r="K133" s="198"/>
      <c r="L133" s="38"/>
      <c r="M133" s="38"/>
      <c r="N133" s="38"/>
      <c r="O133" s="38"/>
      <c r="P133" s="40" t="str" cm="1">
        <f t="array" ref="P133">IF(N133="","",IFERROR(_xlfn.XLOOKUP(F133&amp;"|"&amp;J133&amp;"|"&amp;O133,PRICES!$C$2:$C$659&amp;"|"&amp;PRICES!$B$2:$B$659&amp;"|"&amp;PRICES!$D$2:$D$659,PRICES!$E$2:$E$659),"Not Found"))</f>
        <v/>
      </c>
      <c r="Q133" s="100" t="str">
        <f>IF(N133=0,"",SUMIFS(PRICES!$G$2:$G$658,PRICES!$B$2:$B$658,'MAIN TABLE-1 AUTOMATED'!J133,PRICES!$C$2:$C$658,'MAIN TABLE-1 AUTOMATED'!F133,PRICES!$D$2:$D$658,'MAIN TABLE-1 AUTOMATED'!O133))</f>
        <v/>
      </c>
      <c r="R133" s="41" t="str">
        <f>IF(Table1[[#This Row],[QUANTITY]]=0,"",Table1[[#This Row],[UNIT PRICE]]*Table1[[#This Row],[QUANTITY]])</f>
        <v/>
      </c>
      <c r="S133" s="89"/>
      <c r="T133" s="38"/>
      <c r="U133" s="43"/>
      <c r="V133" s="42" t="str">
        <f>IF(Table1[[#This Row],[DATE]]=0,"",YEAR(E133))</f>
        <v/>
      </c>
      <c r="W133" s="40" t="str">
        <f t="shared" si="4"/>
        <v/>
      </c>
      <c r="X133" s="40" t="str">
        <f t="shared" si="5"/>
        <v/>
      </c>
      <c r="Y133" s="40" t="str">
        <f>TEXT(Table1[[#This Row],[YEAR]],"0000")&amp;"-"&amp;Table1[[#This Row],[MONTH]]</f>
        <v>-</v>
      </c>
    </row>
    <row r="134" spans="1:25" ht="18" x14ac:dyDescent="0.35">
      <c r="A134" s="24"/>
      <c r="B134" s="38"/>
      <c r="C134" s="38"/>
      <c r="D134" s="38"/>
      <c r="E134" s="37"/>
      <c r="F134" s="38"/>
      <c r="G134" s="198"/>
      <c r="H134" s="198"/>
      <c r="I134" s="39"/>
      <c r="J134" s="38"/>
      <c r="K134" s="198"/>
      <c r="L134" s="38"/>
      <c r="M134" s="38"/>
      <c r="N134" s="38"/>
      <c r="O134" s="38"/>
      <c r="P134" s="40" t="str" cm="1">
        <f t="array" ref="P134">IF(N134="","",IFERROR(_xlfn.XLOOKUP(F134&amp;"|"&amp;J134&amp;"|"&amp;O134,PRICES!$C$2:$C$659&amp;"|"&amp;PRICES!$B$2:$B$659&amp;"|"&amp;PRICES!$D$2:$D$659,PRICES!$E$2:$E$659),"Not Found"))</f>
        <v/>
      </c>
      <c r="Q134" s="100" t="str">
        <f>IF(N134=0,"",SUMIFS(PRICES!$G$2:$G$658,PRICES!$B$2:$B$658,'MAIN TABLE-1 AUTOMATED'!J134,PRICES!$C$2:$C$658,'MAIN TABLE-1 AUTOMATED'!F134,PRICES!$D$2:$D$658,'MAIN TABLE-1 AUTOMATED'!O134))</f>
        <v/>
      </c>
      <c r="R134" s="41" t="str">
        <f>IF(Table1[[#This Row],[QUANTITY]]=0,"",Table1[[#This Row],[UNIT PRICE]]*Table1[[#This Row],[QUANTITY]])</f>
        <v/>
      </c>
      <c r="S134" s="89"/>
      <c r="T134" s="38"/>
      <c r="U134" s="43"/>
      <c r="V134" s="42" t="str">
        <f>IF(Table1[[#This Row],[DATE]]=0,"",YEAR(E134))</f>
        <v/>
      </c>
      <c r="W134" s="40" t="str">
        <f t="shared" si="4"/>
        <v/>
      </c>
      <c r="X134" s="40" t="str">
        <f t="shared" si="5"/>
        <v/>
      </c>
      <c r="Y134" s="40" t="str">
        <f>TEXT(Table1[[#This Row],[YEAR]],"0000")&amp;"-"&amp;Table1[[#This Row],[MONTH]]</f>
        <v>-</v>
      </c>
    </row>
    <row r="135" spans="1:25" ht="18" x14ac:dyDescent="0.35">
      <c r="A135" s="24"/>
      <c r="B135" s="38"/>
      <c r="C135" s="38"/>
      <c r="D135" s="38"/>
      <c r="E135" s="37"/>
      <c r="F135" s="38"/>
      <c r="G135" s="198"/>
      <c r="H135" s="198"/>
      <c r="I135" s="39"/>
      <c r="J135" s="38"/>
      <c r="K135" s="198"/>
      <c r="L135" s="38"/>
      <c r="M135" s="38"/>
      <c r="N135" s="38"/>
      <c r="O135" s="38"/>
      <c r="P135" s="40" t="str" cm="1">
        <f t="array" ref="P135">IF(N135="","",IFERROR(_xlfn.XLOOKUP(F135&amp;"|"&amp;J135&amp;"|"&amp;O135,PRICES!$C$2:$C$659&amp;"|"&amp;PRICES!$B$2:$B$659&amp;"|"&amp;PRICES!$D$2:$D$659,PRICES!$E$2:$E$659),"Not Found"))</f>
        <v/>
      </c>
      <c r="Q135" s="100" t="str">
        <f>IF(N135=0,"",SUMIFS(PRICES!$G$2:$G$658,PRICES!$B$2:$B$658,'MAIN TABLE-1 AUTOMATED'!J135,PRICES!$C$2:$C$658,'MAIN TABLE-1 AUTOMATED'!F135,PRICES!$D$2:$D$658,'MAIN TABLE-1 AUTOMATED'!O135))</f>
        <v/>
      </c>
      <c r="R135" s="41" t="str">
        <f>IF(Table1[[#This Row],[QUANTITY]]=0,"",Table1[[#This Row],[UNIT PRICE]]*Table1[[#This Row],[QUANTITY]])</f>
        <v/>
      </c>
      <c r="S135" s="89"/>
      <c r="T135" s="38"/>
      <c r="U135" s="43"/>
      <c r="V135" s="42" t="str">
        <f>IF(Table1[[#This Row],[DATE]]=0,"",YEAR(E135))</f>
        <v/>
      </c>
      <c r="W135" s="40" t="str">
        <f t="shared" si="4"/>
        <v/>
      </c>
      <c r="X135" s="40" t="str">
        <f t="shared" si="5"/>
        <v/>
      </c>
      <c r="Y135" s="40" t="str">
        <f>TEXT(Table1[[#This Row],[YEAR]],"0000")&amp;"-"&amp;Table1[[#This Row],[MONTH]]</f>
        <v>-</v>
      </c>
    </row>
    <row r="136" spans="1:25" ht="18" x14ac:dyDescent="0.35">
      <c r="A136" s="24"/>
      <c r="B136" s="38"/>
      <c r="C136" s="38"/>
      <c r="D136" s="38"/>
      <c r="E136" s="37"/>
      <c r="F136" s="38"/>
      <c r="G136" s="198"/>
      <c r="H136" s="198"/>
      <c r="I136" s="39"/>
      <c r="J136" s="38"/>
      <c r="K136" s="198"/>
      <c r="L136" s="38"/>
      <c r="M136" s="38"/>
      <c r="N136" s="38"/>
      <c r="O136" s="38"/>
      <c r="P136" s="40" t="str" cm="1">
        <f t="array" ref="P136">IF(N136="","",IFERROR(_xlfn.XLOOKUP(F136&amp;"|"&amp;J136&amp;"|"&amp;O136,PRICES!$C$2:$C$659&amp;"|"&amp;PRICES!$B$2:$B$659&amp;"|"&amp;PRICES!$D$2:$D$659,PRICES!$E$2:$E$659),"Not Found"))</f>
        <v/>
      </c>
      <c r="Q136" s="100" t="str">
        <f>IF(N136=0,"",SUMIFS(PRICES!$G$2:$G$658,PRICES!$B$2:$B$658,'MAIN TABLE-1 AUTOMATED'!J136,PRICES!$C$2:$C$658,'MAIN TABLE-1 AUTOMATED'!F136,PRICES!$D$2:$D$658,'MAIN TABLE-1 AUTOMATED'!O136))</f>
        <v/>
      </c>
      <c r="R136" s="41" t="str">
        <f>IF(Table1[[#This Row],[QUANTITY]]=0,"",Table1[[#This Row],[UNIT PRICE]]*Table1[[#This Row],[QUANTITY]])</f>
        <v/>
      </c>
      <c r="S136" s="89"/>
      <c r="T136" s="38"/>
      <c r="U136" s="43"/>
      <c r="V136" s="42" t="str">
        <f>IF(Table1[[#This Row],[DATE]]=0,"",YEAR(E136))</f>
        <v/>
      </c>
      <c r="W136" s="40" t="str">
        <f t="shared" si="4"/>
        <v/>
      </c>
      <c r="X136" s="40" t="str">
        <f t="shared" si="5"/>
        <v/>
      </c>
      <c r="Y136" s="40" t="str">
        <f>TEXT(Table1[[#This Row],[YEAR]],"0000")&amp;"-"&amp;Table1[[#This Row],[MONTH]]</f>
        <v>-</v>
      </c>
    </row>
    <row r="137" spans="1:25" ht="18" x14ac:dyDescent="0.35">
      <c r="A137" s="24"/>
      <c r="B137" s="38"/>
      <c r="C137" s="38"/>
      <c r="D137" s="38"/>
      <c r="E137" s="37"/>
      <c r="F137" s="38"/>
      <c r="G137" s="198"/>
      <c r="H137" s="198"/>
      <c r="I137" s="39"/>
      <c r="J137" s="38"/>
      <c r="K137" s="198"/>
      <c r="L137" s="38"/>
      <c r="M137" s="38"/>
      <c r="N137" s="38"/>
      <c r="O137" s="38"/>
      <c r="P137" s="40" t="str" cm="1">
        <f t="array" ref="P137">IF(N137="","",IFERROR(_xlfn.XLOOKUP(F137&amp;"|"&amp;J137&amp;"|"&amp;O137,PRICES!$C$2:$C$659&amp;"|"&amp;PRICES!$B$2:$B$659&amp;"|"&amp;PRICES!$D$2:$D$659,PRICES!$E$2:$E$659),"Not Found"))</f>
        <v/>
      </c>
      <c r="Q137" s="100" t="str">
        <f>IF(N137=0,"",SUMIFS(PRICES!$G$2:$G$658,PRICES!$B$2:$B$658,'MAIN TABLE-1 AUTOMATED'!J137,PRICES!$C$2:$C$658,'MAIN TABLE-1 AUTOMATED'!F137,PRICES!$D$2:$D$658,'MAIN TABLE-1 AUTOMATED'!O137))</f>
        <v/>
      </c>
      <c r="R137" s="41" t="str">
        <f>IF(Table1[[#This Row],[QUANTITY]]=0,"",Table1[[#This Row],[UNIT PRICE]]*Table1[[#This Row],[QUANTITY]])</f>
        <v/>
      </c>
      <c r="S137" s="89"/>
      <c r="T137" s="38"/>
      <c r="U137" s="43"/>
      <c r="V137" s="42" t="str">
        <f>IF(Table1[[#This Row],[DATE]]=0,"",YEAR(E137))</f>
        <v/>
      </c>
      <c r="W137" s="40" t="str">
        <f t="shared" si="4"/>
        <v/>
      </c>
      <c r="X137" s="40" t="str">
        <f t="shared" si="5"/>
        <v/>
      </c>
      <c r="Y137" s="40" t="str">
        <f>TEXT(Table1[[#This Row],[YEAR]],"0000")&amp;"-"&amp;Table1[[#This Row],[MONTH]]</f>
        <v>-</v>
      </c>
    </row>
    <row r="138" spans="1:25" ht="18" x14ac:dyDescent="0.35">
      <c r="A138" s="24"/>
      <c r="B138" s="38"/>
      <c r="C138" s="38"/>
      <c r="D138" s="38"/>
      <c r="E138" s="37"/>
      <c r="F138" s="38"/>
      <c r="G138" s="198"/>
      <c r="H138" s="198"/>
      <c r="I138" s="39"/>
      <c r="J138" s="38"/>
      <c r="K138" s="198"/>
      <c r="L138" s="38"/>
      <c r="M138" s="38"/>
      <c r="N138" s="38"/>
      <c r="O138" s="38"/>
      <c r="P138" s="40" t="str" cm="1">
        <f t="array" ref="P138">IF(N138="","",IFERROR(_xlfn.XLOOKUP(F138&amp;"|"&amp;J138&amp;"|"&amp;O138,PRICES!$C$2:$C$659&amp;"|"&amp;PRICES!$B$2:$B$659&amp;"|"&amp;PRICES!$D$2:$D$659,PRICES!$E$2:$E$659),"Not Found"))</f>
        <v/>
      </c>
      <c r="Q138" s="100" t="str">
        <f>IF(N138=0,"",SUMIFS(PRICES!$G$2:$G$658,PRICES!$B$2:$B$658,'MAIN TABLE-1 AUTOMATED'!J138,PRICES!$C$2:$C$658,'MAIN TABLE-1 AUTOMATED'!F138,PRICES!$D$2:$D$658,'MAIN TABLE-1 AUTOMATED'!O138))</f>
        <v/>
      </c>
      <c r="R138" s="41" t="str">
        <f>IF(Table1[[#This Row],[QUANTITY]]=0,"",Table1[[#This Row],[UNIT PRICE]]*Table1[[#This Row],[QUANTITY]])</f>
        <v/>
      </c>
      <c r="S138" s="89"/>
      <c r="T138" s="38"/>
      <c r="U138" s="43"/>
      <c r="V138" s="42" t="str">
        <f>IF(Table1[[#This Row],[DATE]]=0,"",YEAR(E138))</f>
        <v/>
      </c>
      <c r="W138" s="40" t="str">
        <f t="shared" si="4"/>
        <v/>
      </c>
      <c r="X138" s="40" t="str">
        <f t="shared" si="5"/>
        <v/>
      </c>
      <c r="Y138" s="40" t="str">
        <f>TEXT(Table1[[#This Row],[YEAR]],"0000")&amp;"-"&amp;Table1[[#This Row],[MONTH]]</f>
        <v>-</v>
      </c>
    </row>
    <row r="139" spans="1:25" ht="18" x14ac:dyDescent="0.35">
      <c r="A139" s="24"/>
      <c r="B139" s="38"/>
      <c r="C139" s="38"/>
      <c r="D139" s="38"/>
      <c r="E139" s="37"/>
      <c r="F139" s="38"/>
      <c r="G139" s="198"/>
      <c r="H139" s="198"/>
      <c r="I139" s="39"/>
      <c r="J139" s="38"/>
      <c r="K139" s="198"/>
      <c r="L139" s="38"/>
      <c r="M139" s="38"/>
      <c r="N139" s="38"/>
      <c r="O139" s="38"/>
      <c r="P139" s="40" t="str" cm="1">
        <f t="array" ref="P139">IF(N139="","",IFERROR(_xlfn.XLOOKUP(F139&amp;"|"&amp;J139&amp;"|"&amp;O139,PRICES!$C$2:$C$659&amp;"|"&amp;PRICES!$B$2:$B$659&amp;"|"&amp;PRICES!$D$2:$D$659,PRICES!$E$2:$E$659),"Not Found"))</f>
        <v/>
      </c>
      <c r="Q139" s="100" t="str">
        <f>IF(N139=0,"",SUMIFS(PRICES!$G$2:$G$658,PRICES!$B$2:$B$658,'MAIN TABLE-1 AUTOMATED'!J139,PRICES!$C$2:$C$658,'MAIN TABLE-1 AUTOMATED'!F139,PRICES!$D$2:$D$658,'MAIN TABLE-1 AUTOMATED'!O139))</f>
        <v/>
      </c>
      <c r="R139" s="41" t="str">
        <f>IF(Table1[[#This Row],[QUANTITY]]=0,"",Table1[[#This Row],[UNIT PRICE]]*Table1[[#This Row],[QUANTITY]])</f>
        <v/>
      </c>
      <c r="S139" s="89"/>
      <c r="T139" s="38"/>
      <c r="U139" s="43"/>
      <c r="V139" s="42" t="str">
        <f>IF(Table1[[#This Row],[DATE]]=0,"",YEAR(E139))</f>
        <v/>
      </c>
      <c r="W139" s="40" t="str">
        <f t="shared" si="4"/>
        <v/>
      </c>
      <c r="X139" s="40" t="str">
        <f t="shared" si="5"/>
        <v/>
      </c>
      <c r="Y139" s="40" t="str">
        <f>TEXT(Table1[[#This Row],[YEAR]],"0000")&amp;"-"&amp;Table1[[#This Row],[MONTH]]</f>
        <v>-</v>
      </c>
    </row>
    <row r="140" spans="1:25" ht="18" x14ac:dyDescent="0.35">
      <c r="A140" s="24"/>
      <c r="B140" s="38"/>
      <c r="C140" s="38"/>
      <c r="D140" s="38"/>
      <c r="E140" s="37"/>
      <c r="F140" s="38"/>
      <c r="G140" s="198"/>
      <c r="H140" s="198"/>
      <c r="I140" s="39"/>
      <c r="J140" s="38"/>
      <c r="K140" s="198"/>
      <c r="L140" s="38"/>
      <c r="M140" s="38"/>
      <c r="N140" s="38"/>
      <c r="O140" s="38"/>
      <c r="P140" s="40" t="str" cm="1">
        <f t="array" ref="P140">IF(N140="","",IFERROR(_xlfn.XLOOKUP(F140&amp;"|"&amp;J140&amp;"|"&amp;O140,PRICES!$C$2:$C$659&amp;"|"&amp;PRICES!$B$2:$B$659&amp;"|"&amp;PRICES!$D$2:$D$659,PRICES!$E$2:$E$659),"Not Found"))</f>
        <v/>
      </c>
      <c r="Q140" s="100" t="str">
        <f>IF(N140=0,"",SUMIFS(PRICES!$G$2:$G$658,PRICES!$B$2:$B$658,'MAIN TABLE-1 AUTOMATED'!J140,PRICES!$C$2:$C$658,'MAIN TABLE-1 AUTOMATED'!F140,PRICES!$D$2:$D$658,'MAIN TABLE-1 AUTOMATED'!O140))</f>
        <v/>
      </c>
      <c r="R140" s="41" t="str">
        <f>IF(Table1[[#This Row],[QUANTITY]]=0,"",Table1[[#This Row],[UNIT PRICE]]*Table1[[#This Row],[QUANTITY]])</f>
        <v/>
      </c>
      <c r="S140" s="89"/>
      <c r="T140" s="38"/>
      <c r="U140" s="43"/>
      <c r="V140" s="42" t="str">
        <f>IF(Table1[[#This Row],[DATE]]=0,"",YEAR(E140))</f>
        <v/>
      </c>
      <c r="W140" s="40" t="str">
        <f t="shared" si="4"/>
        <v/>
      </c>
      <c r="X140" s="40" t="str">
        <f t="shared" si="5"/>
        <v/>
      </c>
      <c r="Y140" s="40" t="str">
        <f>TEXT(Table1[[#This Row],[YEAR]],"0000")&amp;"-"&amp;Table1[[#This Row],[MONTH]]</f>
        <v>-</v>
      </c>
    </row>
    <row r="141" spans="1:25" ht="18" x14ac:dyDescent="0.35">
      <c r="A141" s="24"/>
      <c r="B141" s="38"/>
      <c r="C141" s="38"/>
      <c r="D141" s="38"/>
      <c r="E141" s="37"/>
      <c r="F141" s="38"/>
      <c r="G141" s="198"/>
      <c r="H141" s="198"/>
      <c r="I141" s="39"/>
      <c r="J141" s="38"/>
      <c r="K141" s="198"/>
      <c r="L141" s="38"/>
      <c r="M141" s="38"/>
      <c r="N141" s="38"/>
      <c r="O141" s="38"/>
      <c r="P141" s="40" t="str" cm="1">
        <f t="array" ref="P141">IF(N141="","",IFERROR(_xlfn.XLOOKUP(F141&amp;"|"&amp;J141&amp;"|"&amp;O141,PRICES!$C$2:$C$659&amp;"|"&amp;PRICES!$B$2:$B$659&amp;"|"&amp;PRICES!$D$2:$D$659,PRICES!$E$2:$E$659),"Not Found"))</f>
        <v/>
      </c>
      <c r="Q141" s="100" t="str">
        <f>IF(N141=0,"",SUMIFS(PRICES!$G$2:$G$658,PRICES!$B$2:$B$658,'MAIN TABLE-1 AUTOMATED'!J141,PRICES!$C$2:$C$658,'MAIN TABLE-1 AUTOMATED'!F141,PRICES!$D$2:$D$658,'MAIN TABLE-1 AUTOMATED'!O141))</f>
        <v/>
      </c>
      <c r="R141" s="41" t="str">
        <f>IF(Table1[[#This Row],[QUANTITY]]=0,"",Table1[[#This Row],[UNIT PRICE]]*Table1[[#This Row],[QUANTITY]])</f>
        <v/>
      </c>
      <c r="S141" s="89"/>
      <c r="T141" s="38"/>
      <c r="U141" s="43"/>
      <c r="V141" s="42" t="str">
        <f>IF(Table1[[#This Row],[DATE]]=0,"",YEAR(E141))</f>
        <v/>
      </c>
      <c r="W141" s="40" t="str">
        <f t="shared" si="4"/>
        <v/>
      </c>
      <c r="X141" s="40" t="str">
        <f t="shared" si="5"/>
        <v/>
      </c>
      <c r="Y141" s="40" t="str">
        <f>TEXT(Table1[[#This Row],[YEAR]],"0000")&amp;"-"&amp;Table1[[#This Row],[MONTH]]</f>
        <v>-</v>
      </c>
    </row>
    <row r="142" spans="1:25" ht="18" x14ac:dyDescent="0.35">
      <c r="A142" s="24"/>
      <c r="B142" s="38"/>
      <c r="C142" s="38"/>
      <c r="D142" s="38"/>
      <c r="E142" s="37"/>
      <c r="F142" s="38"/>
      <c r="G142" s="198"/>
      <c r="H142" s="198"/>
      <c r="I142" s="39"/>
      <c r="J142" s="38"/>
      <c r="K142" s="198"/>
      <c r="L142" s="38"/>
      <c r="M142" s="38"/>
      <c r="N142" s="38"/>
      <c r="O142" s="38"/>
      <c r="P142" s="40" t="str" cm="1">
        <f t="array" ref="P142">IF(N142="","",IFERROR(_xlfn.XLOOKUP(F142&amp;"|"&amp;J142&amp;"|"&amp;O142,PRICES!$C$2:$C$659&amp;"|"&amp;PRICES!$B$2:$B$659&amp;"|"&amp;PRICES!$D$2:$D$659,PRICES!$E$2:$E$659),"Not Found"))</f>
        <v/>
      </c>
      <c r="Q142" s="100" t="str">
        <f>IF(N142=0,"",SUMIFS(PRICES!$G$2:$G$658,PRICES!$B$2:$B$658,'MAIN TABLE-1 AUTOMATED'!J142,PRICES!$C$2:$C$658,'MAIN TABLE-1 AUTOMATED'!F142,PRICES!$D$2:$D$658,'MAIN TABLE-1 AUTOMATED'!O142))</f>
        <v/>
      </c>
      <c r="R142" s="41" t="str">
        <f>IF(Table1[[#This Row],[QUANTITY]]=0,"",Table1[[#This Row],[UNIT PRICE]]*Table1[[#This Row],[QUANTITY]])</f>
        <v/>
      </c>
      <c r="S142" s="89"/>
      <c r="T142" s="38"/>
      <c r="U142" s="43"/>
      <c r="V142" s="42" t="str">
        <f>IF(Table1[[#This Row],[DATE]]=0,"",YEAR(E142))</f>
        <v/>
      </c>
      <c r="W142" s="40" t="str">
        <f t="shared" si="4"/>
        <v/>
      </c>
      <c r="X142" s="40" t="str">
        <f t="shared" si="5"/>
        <v/>
      </c>
      <c r="Y142" s="40" t="str">
        <f>TEXT(Table1[[#This Row],[YEAR]],"0000")&amp;"-"&amp;Table1[[#This Row],[MONTH]]</f>
        <v>-</v>
      </c>
    </row>
    <row r="143" spans="1:25" ht="18" x14ac:dyDescent="0.35">
      <c r="A143" s="24"/>
      <c r="B143" s="38"/>
      <c r="C143" s="38"/>
      <c r="D143" s="38"/>
      <c r="E143" s="37"/>
      <c r="F143" s="38"/>
      <c r="G143" s="198"/>
      <c r="H143" s="198"/>
      <c r="I143" s="39"/>
      <c r="J143" s="38"/>
      <c r="K143" s="198"/>
      <c r="L143" s="38"/>
      <c r="M143" s="38"/>
      <c r="N143" s="38"/>
      <c r="O143" s="38"/>
      <c r="P143" s="40" t="str" cm="1">
        <f t="array" ref="P143">IF(N143="","",IFERROR(_xlfn.XLOOKUP(F143&amp;"|"&amp;J143&amp;"|"&amp;O143,PRICES!$C$2:$C$659&amp;"|"&amp;PRICES!$B$2:$B$659&amp;"|"&amp;PRICES!$D$2:$D$659,PRICES!$E$2:$E$659),"Not Found"))</f>
        <v/>
      </c>
      <c r="Q143" s="100" t="str">
        <f>IF(N143=0,"",SUMIFS(PRICES!$G$2:$G$658,PRICES!$B$2:$B$658,'MAIN TABLE-1 AUTOMATED'!J143,PRICES!$C$2:$C$658,'MAIN TABLE-1 AUTOMATED'!F143,PRICES!$D$2:$D$658,'MAIN TABLE-1 AUTOMATED'!O143))</f>
        <v/>
      </c>
      <c r="R143" s="41" t="str">
        <f>IF(Table1[[#This Row],[QUANTITY]]=0,"",Table1[[#This Row],[UNIT PRICE]]*Table1[[#This Row],[QUANTITY]])</f>
        <v/>
      </c>
      <c r="S143" s="89"/>
      <c r="T143" s="38"/>
      <c r="U143" s="43"/>
      <c r="V143" s="42" t="str">
        <f>IF(Table1[[#This Row],[DATE]]=0,"",YEAR(E143))</f>
        <v/>
      </c>
      <c r="W143" s="40" t="str">
        <f t="shared" si="4"/>
        <v/>
      </c>
      <c r="X143" s="40" t="str">
        <f t="shared" si="5"/>
        <v/>
      </c>
      <c r="Y143" s="40" t="str">
        <f>TEXT(Table1[[#This Row],[YEAR]],"0000")&amp;"-"&amp;Table1[[#This Row],[MONTH]]</f>
        <v>-</v>
      </c>
    </row>
    <row r="144" spans="1:25" ht="18" x14ac:dyDescent="0.35">
      <c r="A144" s="24"/>
      <c r="B144" s="38"/>
      <c r="C144" s="38"/>
      <c r="D144" s="38"/>
      <c r="E144" s="37"/>
      <c r="F144" s="38"/>
      <c r="G144" s="198"/>
      <c r="H144" s="198"/>
      <c r="I144" s="39"/>
      <c r="J144" s="38"/>
      <c r="K144" s="198"/>
      <c r="L144" s="38"/>
      <c r="M144" s="38"/>
      <c r="N144" s="38"/>
      <c r="O144" s="38"/>
      <c r="P144" s="40" t="str" cm="1">
        <f t="array" ref="P144">IF(N144="","",IFERROR(_xlfn.XLOOKUP(F144&amp;"|"&amp;J144&amp;"|"&amp;O144,PRICES!$C$2:$C$659&amp;"|"&amp;PRICES!$B$2:$B$659&amp;"|"&amp;PRICES!$D$2:$D$659,PRICES!$E$2:$E$659),"Not Found"))</f>
        <v/>
      </c>
      <c r="Q144" s="100" t="str">
        <f>IF(N144=0,"",SUMIFS(PRICES!$G$2:$G$658,PRICES!$B$2:$B$658,'MAIN TABLE-1 AUTOMATED'!J144,PRICES!$C$2:$C$658,'MAIN TABLE-1 AUTOMATED'!F144,PRICES!$D$2:$D$658,'MAIN TABLE-1 AUTOMATED'!O144))</f>
        <v/>
      </c>
      <c r="R144" s="41" t="str">
        <f>IF(Table1[[#This Row],[QUANTITY]]=0,"",Table1[[#This Row],[UNIT PRICE]]*Table1[[#This Row],[QUANTITY]])</f>
        <v/>
      </c>
      <c r="S144" s="89"/>
      <c r="T144" s="38"/>
      <c r="U144" s="43"/>
      <c r="V144" s="42" t="str">
        <f>IF(Table1[[#This Row],[DATE]]=0,"",YEAR(E144))</f>
        <v/>
      </c>
      <c r="W144" s="40" t="str">
        <f t="shared" si="4"/>
        <v/>
      </c>
      <c r="X144" s="40" t="str">
        <f t="shared" si="5"/>
        <v/>
      </c>
      <c r="Y144" s="40" t="str">
        <f>TEXT(Table1[[#This Row],[YEAR]],"0000")&amp;"-"&amp;Table1[[#This Row],[MONTH]]</f>
        <v>-</v>
      </c>
    </row>
    <row r="145" spans="1:25" ht="18" x14ac:dyDescent="0.35">
      <c r="A145" s="24"/>
      <c r="B145" s="38"/>
      <c r="C145" s="38"/>
      <c r="D145" s="38"/>
      <c r="E145" s="37"/>
      <c r="F145" s="38"/>
      <c r="G145" s="198"/>
      <c r="H145" s="198"/>
      <c r="I145" s="39"/>
      <c r="J145" s="38"/>
      <c r="K145" s="198"/>
      <c r="L145" s="38"/>
      <c r="M145" s="38"/>
      <c r="N145" s="38"/>
      <c r="O145" s="38"/>
      <c r="P145" s="40" t="str" cm="1">
        <f t="array" ref="P145">IF(N145="","",IFERROR(_xlfn.XLOOKUP(F145&amp;"|"&amp;J145&amp;"|"&amp;O145,PRICES!$C$2:$C$659&amp;"|"&amp;PRICES!$B$2:$B$659&amp;"|"&amp;PRICES!$D$2:$D$659,PRICES!$E$2:$E$659),"Not Found"))</f>
        <v/>
      </c>
      <c r="Q145" s="100" t="str">
        <f>IF(N145=0,"",SUMIFS(PRICES!$G$2:$G$658,PRICES!$B$2:$B$658,'MAIN TABLE-1 AUTOMATED'!J145,PRICES!$C$2:$C$658,'MAIN TABLE-1 AUTOMATED'!F145,PRICES!$D$2:$D$658,'MAIN TABLE-1 AUTOMATED'!O145))</f>
        <v/>
      </c>
      <c r="R145" s="41" t="str">
        <f>IF(Table1[[#This Row],[QUANTITY]]=0,"",Table1[[#This Row],[UNIT PRICE]]*Table1[[#This Row],[QUANTITY]])</f>
        <v/>
      </c>
      <c r="S145" s="89"/>
      <c r="T145" s="38"/>
      <c r="U145" s="43"/>
      <c r="V145" s="42" t="str">
        <f>IF(Table1[[#This Row],[DATE]]=0,"",YEAR(E145))</f>
        <v/>
      </c>
      <c r="W145" s="40" t="str">
        <f t="shared" si="4"/>
        <v/>
      </c>
      <c r="X145" s="40" t="str">
        <f t="shared" si="5"/>
        <v/>
      </c>
      <c r="Y145" s="40" t="str">
        <f>TEXT(Table1[[#This Row],[YEAR]],"0000")&amp;"-"&amp;Table1[[#This Row],[MONTH]]</f>
        <v>-</v>
      </c>
    </row>
    <row r="146" spans="1:25" ht="18" x14ac:dyDescent="0.35">
      <c r="A146" s="24"/>
      <c r="B146" s="38"/>
      <c r="C146" s="38"/>
      <c r="D146" s="38"/>
      <c r="E146" s="37"/>
      <c r="F146" s="38"/>
      <c r="G146" s="198"/>
      <c r="H146" s="198"/>
      <c r="I146" s="39"/>
      <c r="J146" s="38"/>
      <c r="K146" s="198"/>
      <c r="L146" s="38"/>
      <c r="M146" s="38"/>
      <c r="N146" s="38"/>
      <c r="O146" s="38"/>
      <c r="P146" s="40" t="str" cm="1">
        <f t="array" ref="P146">IF(N146="","",IFERROR(_xlfn.XLOOKUP(F146&amp;"|"&amp;J146&amp;"|"&amp;O146,PRICES!$C$2:$C$659&amp;"|"&amp;PRICES!$B$2:$B$659&amp;"|"&amp;PRICES!$D$2:$D$659,PRICES!$E$2:$E$659),"Not Found"))</f>
        <v/>
      </c>
      <c r="Q146" s="100" t="str">
        <f>IF(N146=0,"",SUMIFS(PRICES!$G$2:$G$658,PRICES!$B$2:$B$658,'MAIN TABLE-1 AUTOMATED'!J146,PRICES!$C$2:$C$658,'MAIN TABLE-1 AUTOMATED'!F146,PRICES!$D$2:$D$658,'MAIN TABLE-1 AUTOMATED'!O146))</f>
        <v/>
      </c>
      <c r="R146" s="41" t="str">
        <f>IF(Table1[[#This Row],[QUANTITY]]=0,"",Table1[[#This Row],[UNIT PRICE]]*Table1[[#This Row],[QUANTITY]])</f>
        <v/>
      </c>
      <c r="S146" s="89"/>
      <c r="T146" s="38"/>
      <c r="U146" s="43"/>
      <c r="V146" s="42" t="str">
        <f>IF(Table1[[#This Row],[DATE]]=0,"",YEAR(E146))</f>
        <v/>
      </c>
      <c r="W146" s="40" t="str">
        <f t="shared" si="4"/>
        <v/>
      </c>
      <c r="X146" s="40" t="str">
        <f t="shared" si="5"/>
        <v/>
      </c>
      <c r="Y146" s="40" t="str">
        <f>TEXT(Table1[[#This Row],[YEAR]],"0000")&amp;"-"&amp;Table1[[#This Row],[MONTH]]</f>
        <v>-</v>
      </c>
    </row>
    <row r="147" spans="1:25" ht="18" x14ac:dyDescent="0.35">
      <c r="A147" s="24"/>
      <c r="B147" s="38"/>
      <c r="C147" s="38"/>
      <c r="D147" s="38"/>
      <c r="E147" s="37"/>
      <c r="F147" s="38"/>
      <c r="G147" s="198"/>
      <c r="H147" s="198"/>
      <c r="I147" s="39"/>
      <c r="J147" s="38"/>
      <c r="K147" s="198"/>
      <c r="L147" s="38"/>
      <c r="M147" s="38"/>
      <c r="N147" s="38"/>
      <c r="O147" s="38"/>
      <c r="P147" s="40" t="str" cm="1">
        <f t="array" ref="P147">IF(N147="","",IFERROR(_xlfn.XLOOKUP(F147&amp;"|"&amp;J147&amp;"|"&amp;O147,PRICES!$C$2:$C$659&amp;"|"&amp;PRICES!$B$2:$B$659&amp;"|"&amp;PRICES!$D$2:$D$659,PRICES!$E$2:$E$659),"Not Found"))</f>
        <v/>
      </c>
      <c r="Q147" s="100" t="str">
        <f>IF(N147=0,"",SUMIFS(PRICES!$G$2:$G$658,PRICES!$B$2:$B$658,'MAIN TABLE-1 AUTOMATED'!J147,PRICES!$C$2:$C$658,'MAIN TABLE-1 AUTOMATED'!F147,PRICES!$D$2:$D$658,'MAIN TABLE-1 AUTOMATED'!O147))</f>
        <v/>
      </c>
      <c r="R147" s="41" t="str">
        <f>IF(Table1[[#This Row],[QUANTITY]]=0,"",Table1[[#This Row],[UNIT PRICE]]*Table1[[#This Row],[QUANTITY]])</f>
        <v/>
      </c>
      <c r="S147" s="89"/>
      <c r="T147" s="38"/>
      <c r="U147" s="43"/>
      <c r="V147" s="42" t="str">
        <f>IF(Table1[[#This Row],[DATE]]=0,"",YEAR(E147))</f>
        <v/>
      </c>
      <c r="W147" s="40" t="str">
        <f t="shared" si="4"/>
        <v/>
      </c>
      <c r="X147" s="40" t="str">
        <f t="shared" si="5"/>
        <v/>
      </c>
      <c r="Y147" s="40" t="str">
        <f>TEXT(Table1[[#This Row],[YEAR]],"0000")&amp;"-"&amp;Table1[[#This Row],[MONTH]]</f>
        <v>-</v>
      </c>
    </row>
    <row r="148" spans="1:25" ht="18" customHeight="1" x14ac:dyDescent="0.35">
      <c r="A148" s="24"/>
      <c r="B148" s="38"/>
      <c r="C148" s="38"/>
      <c r="D148" s="38"/>
      <c r="E148" s="37"/>
      <c r="F148" s="38"/>
      <c r="G148" s="198"/>
      <c r="H148" s="198"/>
      <c r="I148" s="39"/>
      <c r="J148" s="38"/>
      <c r="K148" s="198"/>
      <c r="L148" s="38"/>
      <c r="M148" s="38"/>
      <c r="N148" s="38"/>
      <c r="O148" s="38"/>
      <c r="P148" s="40" t="str" cm="1">
        <f t="array" ref="P148">IF(N148="","",IFERROR(_xlfn.XLOOKUP(F148&amp;"|"&amp;J148&amp;"|"&amp;O148,PRICES!$C$2:$C$659&amp;"|"&amp;PRICES!$B$2:$B$659&amp;"|"&amp;PRICES!$D$2:$D$659,PRICES!$E$2:$E$659),"Not Found"))</f>
        <v/>
      </c>
      <c r="Q148" s="100" t="str">
        <f>IF(N148=0,"",SUMIFS(PRICES!$G$2:$G$658,PRICES!$B$2:$B$658,'MAIN TABLE-1 AUTOMATED'!J148,PRICES!$C$2:$C$658,'MAIN TABLE-1 AUTOMATED'!F148,PRICES!$D$2:$D$658,'MAIN TABLE-1 AUTOMATED'!O148))</f>
        <v/>
      </c>
      <c r="R148" s="41" t="str">
        <f>IF(Table1[[#This Row],[QUANTITY]]=0,"",Table1[[#This Row],[UNIT PRICE]]*Table1[[#This Row],[QUANTITY]])</f>
        <v/>
      </c>
      <c r="S148" s="89"/>
      <c r="T148" s="38"/>
      <c r="U148" s="43"/>
      <c r="V148" s="42" t="str">
        <f>IF(Table1[[#This Row],[DATE]]=0,"",YEAR(E148))</f>
        <v/>
      </c>
      <c r="W148" s="40" t="str">
        <f t="shared" si="4"/>
        <v/>
      </c>
      <c r="X148" s="40" t="str">
        <f t="shared" si="5"/>
        <v/>
      </c>
      <c r="Y148" s="40" t="str">
        <f>TEXT(Table1[[#This Row],[YEAR]],"0000")&amp;"-"&amp;Table1[[#This Row],[MONTH]]</f>
        <v>-</v>
      </c>
    </row>
    <row r="149" spans="1:25" ht="18" x14ac:dyDescent="0.35">
      <c r="A149" s="24"/>
      <c r="B149" s="38"/>
      <c r="C149" s="38"/>
      <c r="D149" s="38"/>
      <c r="E149" s="37"/>
      <c r="F149" s="38"/>
      <c r="G149" s="198"/>
      <c r="H149" s="198"/>
      <c r="I149" s="39"/>
      <c r="J149" s="38"/>
      <c r="K149" s="198"/>
      <c r="L149" s="38"/>
      <c r="M149" s="38"/>
      <c r="N149" s="38"/>
      <c r="O149" s="38"/>
      <c r="P149" s="40" t="str" cm="1">
        <f t="array" ref="P149">IF(N149="","",IFERROR(_xlfn.XLOOKUP(F149&amp;"|"&amp;J149&amp;"|"&amp;O149,PRICES!$C$2:$C$659&amp;"|"&amp;PRICES!$B$2:$B$659&amp;"|"&amp;PRICES!$D$2:$D$659,PRICES!$E$2:$E$659),"Not Found"))</f>
        <v/>
      </c>
      <c r="Q149" s="100" t="str">
        <f>IF(N149=0,"",SUMIFS(PRICES!$G$2:$G$658,PRICES!$B$2:$B$658,'MAIN TABLE-1 AUTOMATED'!J149,PRICES!$C$2:$C$658,'MAIN TABLE-1 AUTOMATED'!F149,PRICES!$D$2:$D$658,'MAIN TABLE-1 AUTOMATED'!O149))</f>
        <v/>
      </c>
      <c r="R149" s="41" t="str">
        <f>IF(Table1[[#This Row],[QUANTITY]]=0,"",Table1[[#This Row],[UNIT PRICE]]*Table1[[#This Row],[QUANTITY]])</f>
        <v/>
      </c>
      <c r="S149" s="89"/>
      <c r="T149" s="38"/>
      <c r="U149" s="43"/>
      <c r="V149" s="42" t="str">
        <f>IF(Table1[[#This Row],[DATE]]=0,"",YEAR(E149))</f>
        <v/>
      </c>
      <c r="W149" s="40" t="str">
        <f t="shared" si="4"/>
        <v/>
      </c>
      <c r="X149" s="40" t="str">
        <f t="shared" si="5"/>
        <v/>
      </c>
      <c r="Y149" s="40" t="str">
        <f>TEXT(Table1[[#This Row],[YEAR]],"0000")&amp;"-"&amp;Table1[[#This Row],[MONTH]]</f>
        <v>-</v>
      </c>
    </row>
    <row r="150" spans="1:25" ht="18" x14ac:dyDescent="0.35">
      <c r="A150" s="24"/>
      <c r="B150" s="38"/>
      <c r="C150" s="38"/>
      <c r="D150" s="38"/>
      <c r="E150" s="37"/>
      <c r="F150" s="38"/>
      <c r="G150" s="198"/>
      <c r="H150" s="198"/>
      <c r="I150" s="39"/>
      <c r="J150" s="38"/>
      <c r="K150" s="198"/>
      <c r="L150" s="38"/>
      <c r="M150" s="38"/>
      <c r="N150" s="38"/>
      <c r="O150" s="38"/>
      <c r="P150" s="40" t="str" cm="1">
        <f t="array" ref="P150">IF(N150="","",IFERROR(_xlfn.XLOOKUP(F150&amp;"|"&amp;J150&amp;"|"&amp;O150,PRICES!$C$2:$C$659&amp;"|"&amp;PRICES!$B$2:$B$659&amp;"|"&amp;PRICES!$D$2:$D$659,PRICES!$E$2:$E$659),"Not Found"))</f>
        <v/>
      </c>
      <c r="Q150" s="100" t="str">
        <f>IF(N150=0,"",SUMIFS(PRICES!$G$2:$G$658,PRICES!$B$2:$B$658,'MAIN TABLE-1 AUTOMATED'!J150,PRICES!$C$2:$C$658,'MAIN TABLE-1 AUTOMATED'!F150,PRICES!$D$2:$D$658,'MAIN TABLE-1 AUTOMATED'!O150))</f>
        <v/>
      </c>
      <c r="R150" s="41" t="str">
        <f>IF(Table1[[#This Row],[QUANTITY]]=0,"",Table1[[#This Row],[UNIT PRICE]]*Table1[[#This Row],[QUANTITY]])</f>
        <v/>
      </c>
      <c r="S150" s="89"/>
      <c r="T150" s="38"/>
      <c r="U150" s="43"/>
      <c r="V150" s="42" t="str">
        <f>IF(Table1[[#This Row],[DATE]]=0,"",YEAR(E150))</f>
        <v/>
      </c>
      <c r="W150" s="40" t="str">
        <f t="shared" si="4"/>
        <v/>
      </c>
      <c r="X150" s="40" t="str">
        <f t="shared" si="5"/>
        <v/>
      </c>
      <c r="Y150" s="40" t="str">
        <f>TEXT(Table1[[#This Row],[YEAR]],"0000")&amp;"-"&amp;Table1[[#This Row],[MONTH]]</f>
        <v>-</v>
      </c>
    </row>
    <row r="151" spans="1:25" ht="18" x14ac:dyDescent="0.35">
      <c r="A151" s="24"/>
      <c r="B151" s="38"/>
      <c r="C151" s="38"/>
      <c r="D151" s="38"/>
      <c r="E151" s="37"/>
      <c r="F151" s="38"/>
      <c r="G151" s="198"/>
      <c r="H151" s="198"/>
      <c r="I151" s="39"/>
      <c r="J151" s="38"/>
      <c r="K151" s="198"/>
      <c r="L151" s="38"/>
      <c r="M151" s="38"/>
      <c r="N151" s="38"/>
      <c r="O151" s="38"/>
      <c r="P151" s="40" t="str" cm="1">
        <f t="array" ref="P151">IF(N151="","",IFERROR(_xlfn.XLOOKUP(F151&amp;"|"&amp;J151&amp;"|"&amp;O151,PRICES!$C$2:$C$659&amp;"|"&amp;PRICES!$B$2:$B$659&amp;"|"&amp;PRICES!$D$2:$D$659,PRICES!$E$2:$E$659),"Not Found"))</f>
        <v/>
      </c>
      <c r="Q151" s="100" t="str">
        <f>IF(N151=0,"",SUMIFS(PRICES!$G$2:$G$658,PRICES!$B$2:$B$658,'MAIN TABLE-1 AUTOMATED'!J151,PRICES!$C$2:$C$658,'MAIN TABLE-1 AUTOMATED'!F151,PRICES!$D$2:$D$658,'MAIN TABLE-1 AUTOMATED'!O151))</f>
        <v/>
      </c>
      <c r="R151" s="41" t="str">
        <f>IF(Table1[[#This Row],[QUANTITY]]=0,"",Table1[[#This Row],[UNIT PRICE]]*Table1[[#This Row],[QUANTITY]])</f>
        <v/>
      </c>
      <c r="S151" s="89"/>
      <c r="T151" s="38"/>
      <c r="U151" s="43"/>
      <c r="V151" s="42" t="str">
        <f>IF(Table1[[#This Row],[DATE]]=0,"",YEAR(E151))</f>
        <v/>
      </c>
      <c r="W151" s="40" t="str">
        <f t="shared" si="4"/>
        <v/>
      </c>
      <c r="X151" s="40" t="str">
        <f t="shared" si="5"/>
        <v/>
      </c>
      <c r="Y151" s="40" t="str">
        <f>TEXT(Table1[[#This Row],[YEAR]],"0000")&amp;"-"&amp;Table1[[#This Row],[MONTH]]</f>
        <v>-</v>
      </c>
    </row>
    <row r="152" spans="1:25" ht="19.2" customHeight="1" x14ac:dyDescent="0.35">
      <c r="A152" s="24"/>
      <c r="B152" s="38"/>
      <c r="C152" s="38"/>
      <c r="D152" s="38"/>
      <c r="E152" s="37"/>
      <c r="F152" s="38"/>
      <c r="G152" s="198"/>
      <c r="H152" s="198"/>
      <c r="I152" s="39"/>
      <c r="J152" s="38"/>
      <c r="K152" s="198"/>
      <c r="L152" s="38"/>
      <c r="M152" s="38"/>
      <c r="N152" s="38"/>
      <c r="O152" s="38"/>
      <c r="P152" s="40" t="str" cm="1">
        <f t="array" ref="P152">IF(N152="","",IFERROR(_xlfn.XLOOKUP(F152&amp;"|"&amp;J152&amp;"|"&amp;O152,PRICES!$C$2:$C$659&amp;"|"&amp;PRICES!$B$2:$B$659&amp;"|"&amp;PRICES!$D$2:$D$659,PRICES!$E$2:$E$659),"Not Found"))</f>
        <v/>
      </c>
      <c r="Q152" s="100" t="str">
        <f>IF(N152=0,"",SUMIFS(PRICES!$G$2:$G$658,PRICES!$B$2:$B$658,'MAIN TABLE-1 AUTOMATED'!J152,PRICES!$C$2:$C$658,'MAIN TABLE-1 AUTOMATED'!F152,PRICES!$D$2:$D$658,'MAIN TABLE-1 AUTOMATED'!O152))</f>
        <v/>
      </c>
      <c r="R152" s="41" t="str">
        <f>IF(Table1[[#This Row],[QUANTITY]]=0,"",Table1[[#This Row],[UNIT PRICE]]*Table1[[#This Row],[QUANTITY]])</f>
        <v/>
      </c>
      <c r="S152" s="89"/>
      <c r="T152" s="38"/>
      <c r="U152" s="43"/>
      <c r="V152" s="42" t="str">
        <f>IF(Table1[[#This Row],[DATE]]=0,"",YEAR(E152))</f>
        <v/>
      </c>
      <c r="W152" s="40" t="str">
        <f t="shared" si="4"/>
        <v/>
      </c>
      <c r="X152" s="40" t="str">
        <f t="shared" si="5"/>
        <v/>
      </c>
      <c r="Y152" s="40" t="str">
        <f>TEXT(Table1[[#This Row],[YEAR]],"0000")&amp;"-"&amp;Table1[[#This Row],[MONTH]]</f>
        <v>-</v>
      </c>
    </row>
    <row r="153" spans="1:25" ht="18" x14ac:dyDescent="0.35">
      <c r="A153" s="24"/>
      <c r="B153" s="38"/>
      <c r="C153" s="38"/>
      <c r="D153" s="38"/>
      <c r="E153" s="37"/>
      <c r="F153" s="38"/>
      <c r="G153" s="198"/>
      <c r="H153" s="198"/>
      <c r="I153" s="39"/>
      <c r="J153" s="38"/>
      <c r="K153" s="198"/>
      <c r="L153" s="38"/>
      <c r="M153" s="38"/>
      <c r="N153" s="38"/>
      <c r="O153" s="38"/>
      <c r="P153" s="40" t="str" cm="1">
        <f t="array" ref="P153">IF(N153="","",IFERROR(_xlfn.XLOOKUP(F153&amp;"|"&amp;J153&amp;"|"&amp;O153,PRICES!$C$2:$C$659&amp;"|"&amp;PRICES!$B$2:$B$659&amp;"|"&amp;PRICES!$D$2:$D$659,PRICES!$E$2:$E$659),"Not Found"))</f>
        <v/>
      </c>
      <c r="Q153" s="100" t="str">
        <f>IF(N153=0,"",SUMIFS(PRICES!$G$2:$G$658,PRICES!$B$2:$B$658,'MAIN TABLE-1 AUTOMATED'!J153,PRICES!$C$2:$C$658,'MAIN TABLE-1 AUTOMATED'!F153,PRICES!$D$2:$D$658,'MAIN TABLE-1 AUTOMATED'!O153))</f>
        <v/>
      </c>
      <c r="R153" s="41" t="str">
        <f>IF(Table1[[#This Row],[QUANTITY]]=0,"",Table1[[#This Row],[UNIT PRICE]]*Table1[[#This Row],[QUANTITY]])</f>
        <v/>
      </c>
      <c r="S153" s="89"/>
      <c r="T153" s="38"/>
      <c r="U153" s="43"/>
      <c r="V153" s="42" t="str">
        <f>IF(Table1[[#This Row],[DATE]]=0,"",YEAR(E153))</f>
        <v/>
      </c>
      <c r="W153" s="40" t="str">
        <f t="shared" si="4"/>
        <v/>
      </c>
      <c r="X153" s="40" t="str">
        <f t="shared" si="5"/>
        <v/>
      </c>
      <c r="Y153" s="40" t="str">
        <f>TEXT(Table1[[#This Row],[YEAR]],"0000")&amp;"-"&amp;Table1[[#This Row],[MONTH]]</f>
        <v>-</v>
      </c>
    </row>
    <row r="154" spans="1:25" ht="18" x14ac:dyDescent="0.35">
      <c r="A154" s="24"/>
      <c r="B154" s="38"/>
      <c r="C154" s="38"/>
      <c r="D154" s="38"/>
      <c r="E154" s="37"/>
      <c r="F154" s="38"/>
      <c r="G154" s="198"/>
      <c r="H154" s="198"/>
      <c r="I154" s="39"/>
      <c r="J154" s="38"/>
      <c r="K154" s="198"/>
      <c r="L154" s="38"/>
      <c r="M154" s="38"/>
      <c r="N154" s="38"/>
      <c r="O154" s="38"/>
      <c r="P154" s="40" t="str" cm="1">
        <f t="array" ref="P154">IF(N154="","",IFERROR(_xlfn.XLOOKUP(F154&amp;"|"&amp;J154&amp;"|"&amp;O154,PRICES!$C$2:$C$659&amp;"|"&amp;PRICES!$B$2:$B$659&amp;"|"&amp;PRICES!$D$2:$D$659,PRICES!$E$2:$E$659),"Not Found"))</f>
        <v/>
      </c>
      <c r="Q154" s="100" t="str">
        <f>IF(N154=0,"",SUMIFS(PRICES!$G$2:$G$658,PRICES!$B$2:$B$658,'MAIN TABLE-1 AUTOMATED'!J154,PRICES!$C$2:$C$658,'MAIN TABLE-1 AUTOMATED'!F154,PRICES!$D$2:$D$658,'MAIN TABLE-1 AUTOMATED'!O154))</f>
        <v/>
      </c>
      <c r="R154" s="41" t="str">
        <f>IF(Table1[[#This Row],[QUANTITY]]=0,"",Table1[[#This Row],[UNIT PRICE]]*Table1[[#This Row],[QUANTITY]])</f>
        <v/>
      </c>
      <c r="S154" s="89"/>
      <c r="T154" s="38"/>
      <c r="U154" s="43"/>
      <c r="V154" s="42" t="str">
        <f>IF(Table1[[#This Row],[DATE]]=0,"",YEAR(E154))</f>
        <v/>
      </c>
      <c r="W154" s="40" t="str">
        <f t="shared" si="4"/>
        <v/>
      </c>
      <c r="X154" s="40" t="str">
        <f t="shared" si="5"/>
        <v/>
      </c>
      <c r="Y154" s="40" t="str">
        <f>TEXT(Table1[[#This Row],[YEAR]],"0000")&amp;"-"&amp;Table1[[#This Row],[MONTH]]</f>
        <v>-</v>
      </c>
    </row>
    <row r="155" spans="1:25" ht="18" x14ac:dyDescent="0.35">
      <c r="A155" s="24"/>
      <c r="B155" s="38"/>
      <c r="C155" s="38"/>
      <c r="D155" s="38"/>
      <c r="E155" s="37"/>
      <c r="F155" s="38"/>
      <c r="G155" s="198"/>
      <c r="H155" s="198"/>
      <c r="I155" s="39"/>
      <c r="J155" s="38"/>
      <c r="K155" s="198"/>
      <c r="L155" s="38"/>
      <c r="M155" s="38"/>
      <c r="N155" s="38"/>
      <c r="O155" s="38"/>
      <c r="P155" s="40" t="str" cm="1">
        <f t="array" ref="P155">IF(N155="","",IFERROR(_xlfn.XLOOKUP(F155&amp;"|"&amp;J155&amp;"|"&amp;O155,PRICES!$C$2:$C$659&amp;"|"&amp;PRICES!$B$2:$B$659&amp;"|"&amp;PRICES!$D$2:$D$659,PRICES!$E$2:$E$659),"Not Found"))</f>
        <v/>
      </c>
      <c r="Q155" s="100" t="str">
        <f>IF(N155=0,"",SUMIFS(PRICES!$G$2:$G$658,PRICES!$B$2:$B$658,'MAIN TABLE-1 AUTOMATED'!J155,PRICES!$C$2:$C$658,'MAIN TABLE-1 AUTOMATED'!F155,PRICES!$D$2:$D$658,'MAIN TABLE-1 AUTOMATED'!O155))</f>
        <v/>
      </c>
      <c r="R155" s="41" t="str">
        <f>IF(Table1[[#This Row],[QUANTITY]]=0,"",Table1[[#This Row],[UNIT PRICE]]*Table1[[#This Row],[QUANTITY]])</f>
        <v/>
      </c>
      <c r="S155" s="89"/>
      <c r="T155" s="38"/>
      <c r="U155" s="43"/>
      <c r="V155" s="42" t="str">
        <f>IF(Table1[[#This Row],[DATE]]=0,"",YEAR(E155))</f>
        <v/>
      </c>
      <c r="W155" s="40" t="str">
        <f t="shared" si="4"/>
        <v/>
      </c>
      <c r="X155" s="40" t="str">
        <f t="shared" si="5"/>
        <v/>
      </c>
      <c r="Y155" s="40" t="str">
        <f>TEXT(Table1[[#This Row],[YEAR]],"0000")&amp;"-"&amp;Table1[[#This Row],[MONTH]]</f>
        <v>-</v>
      </c>
    </row>
    <row r="156" spans="1:25" ht="18" x14ac:dyDescent="0.35">
      <c r="A156" s="24"/>
      <c r="B156" s="38"/>
      <c r="C156" s="38"/>
      <c r="D156" s="38"/>
      <c r="E156" s="37"/>
      <c r="F156" s="38"/>
      <c r="G156" s="198"/>
      <c r="H156" s="198"/>
      <c r="I156" s="39"/>
      <c r="J156" s="38"/>
      <c r="K156" s="198"/>
      <c r="L156" s="38"/>
      <c r="M156" s="38"/>
      <c r="N156" s="38"/>
      <c r="O156" s="38"/>
      <c r="P156" s="40" t="str" cm="1">
        <f t="array" ref="P156">IF(N156="","",IFERROR(_xlfn.XLOOKUP(F156&amp;"|"&amp;J156&amp;"|"&amp;O156,PRICES!$C$2:$C$659&amp;"|"&amp;PRICES!$B$2:$B$659&amp;"|"&amp;PRICES!$D$2:$D$659,PRICES!$E$2:$E$659),"Not Found"))</f>
        <v/>
      </c>
      <c r="Q156" s="100" t="str">
        <f>IF(N156=0,"",SUMIFS(PRICES!$G$2:$G$658,PRICES!$B$2:$B$658,'MAIN TABLE-1 AUTOMATED'!J156,PRICES!$C$2:$C$658,'MAIN TABLE-1 AUTOMATED'!F156,PRICES!$D$2:$D$658,'MAIN TABLE-1 AUTOMATED'!O156))</f>
        <v/>
      </c>
      <c r="R156" s="41" t="str">
        <f>IF(Table1[[#This Row],[QUANTITY]]=0,"",Table1[[#This Row],[UNIT PRICE]]*Table1[[#This Row],[QUANTITY]])</f>
        <v/>
      </c>
      <c r="S156" s="89"/>
      <c r="T156" s="38"/>
      <c r="U156" s="43"/>
      <c r="V156" s="42" t="str">
        <f>IF(Table1[[#This Row],[DATE]]=0,"",YEAR(E156))</f>
        <v/>
      </c>
      <c r="W156" s="40" t="str">
        <f t="shared" si="4"/>
        <v/>
      </c>
      <c r="X156" s="40" t="str">
        <f t="shared" si="5"/>
        <v/>
      </c>
      <c r="Y156" s="40" t="str">
        <f>TEXT(Table1[[#This Row],[YEAR]],"0000")&amp;"-"&amp;Table1[[#This Row],[MONTH]]</f>
        <v>-</v>
      </c>
    </row>
    <row r="157" spans="1:25" ht="18" x14ac:dyDescent="0.35">
      <c r="A157" s="24"/>
      <c r="B157" s="38"/>
      <c r="C157" s="38"/>
      <c r="D157" s="38"/>
      <c r="E157" s="37"/>
      <c r="F157" s="38"/>
      <c r="G157" s="198"/>
      <c r="H157" s="198"/>
      <c r="I157" s="39"/>
      <c r="J157" s="38"/>
      <c r="K157" s="198"/>
      <c r="L157" s="38"/>
      <c r="M157" s="38"/>
      <c r="N157" s="38"/>
      <c r="O157" s="38"/>
      <c r="P157" s="40" t="str" cm="1">
        <f t="array" ref="P157">IF(N157="","",IFERROR(_xlfn.XLOOKUP(F157&amp;"|"&amp;J157&amp;"|"&amp;O157,PRICES!$C$2:$C$659&amp;"|"&amp;PRICES!$B$2:$B$659&amp;"|"&amp;PRICES!$D$2:$D$659,PRICES!$E$2:$E$659),"Not Found"))</f>
        <v/>
      </c>
      <c r="Q157" s="100" t="str">
        <f>IF(N157=0,"",SUMIFS(PRICES!$G$2:$G$658,PRICES!$B$2:$B$658,'MAIN TABLE-1 AUTOMATED'!J157,PRICES!$C$2:$C$658,'MAIN TABLE-1 AUTOMATED'!F157,PRICES!$D$2:$D$658,'MAIN TABLE-1 AUTOMATED'!O157))</f>
        <v/>
      </c>
      <c r="R157" s="41" t="str">
        <f>IF(Table1[[#This Row],[QUANTITY]]=0,"",Table1[[#This Row],[UNIT PRICE]]*Table1[[#This Row],[QUANTITY]])</f>
        <v/>
      </c>
      <c r="S157" s="89"/>
      <c r="T157" s="38"/>
      <c r="U157" s="43"/>
      <c r="V157" s="42" t="str">
        <f>IF(Table1[[#This Row],[DATE]]=0,"",YEAR(E157))</f>
        <v/>
      </c>
      <c r="W157" s="40" t="str">
        <f t="shared" si="4"/>
        <v/>
      </c>
      <c r="X157" s="40" t="str">
        <f t="shared" si="5"/>
        <v/>
      </c>
      <c r="Y157" s="40" t="str">
        <f>TEXT(Table1[[#This Row],[YEAR]],"0000")&amp;"-"&amp;Table1[[#This Row],[MONTH]]</f>
        <v>-</v>
      </c>
    </row>
    <row r="158" spans="1:25" ht="18" x14ac:dyDescent="0.35">
      <c r="A158" s="24"/>
      <c r="B158" s="38"/>
      <c r="C158" s="38"/>
      <c r="D158" s="38"/>
      <c r="E158" s="37"/>
      <c r="F158" s="38"/>
      <c r="G158" s="198"/>
      <c r="H158" s="198"/>
      <c r="I158" s="39"/>
      <c r="J158" s="38"/>
      <c r="K158" s="198"/>
      <c r="L158" s="38"/>
      <c r="M158" s="38"/>
      <c r="N158" s="38"/>
      <c r="O158" s="38"/>
      <c r="P158" s="40" t="str" cm="1">
        <f t="array" ref="P158">IF(N158="","",IFERROR(_xlfn.XLOOKUP(F158&amp;"|"&amp;J158&amp;"|"&amp;O158,PRICES!$C$2:$C$659&amp;"|"&amp;PRICES!$B$2:$B$659&amp;"|"&amp;PRICES!$D$2:$D$659,PRICES!$E$2:$E$659),"Not Found"))</f>
        <v/>
      </c>
      <c r="Q158" s="100" t="str">
        <f>IF(N158=0,"",SUMIFS(PRICES!$G$2:$G$658,PRICES!$B$2:$B$658,'MAIN TABLE-1 AUTOMATED'!J158,PRICES!$C$2:$C$658,'MAIN TABLE-1 AUTOMATED'!F158,PRICES!$D$2:$D$658,'MAIN TABLE-1 AUTOMATED'!O158))</f>
        <v/>
      </c>
      <c r="R158" s="41" t="str">
        <f>IF(Table1[[#This Row],[QUANTITY]]=0,"",Table1[[#This Row],[UNIT PRICE]]*Table1[[#This Row],[QUANTITY]])</f>
        <v/>
      </c>
      <c r="S158" s="89"/>
      <c r="T158" s="38"/>
      <c r="U158" s="43"/>
      <c r="V158" s="42" t="str">
        <f>IF(Table1[[#This Row],[DATE]]=0,"",YEAR(E158))</f>
        <v/>
      </c>
      <c r="W158" s="40" t="str">
        <f t="shared" si="4"/>
        <v/>
      </c>
      <c r="X158" s="40" t="str">
        <f t="shared" si="5"/>
        <v/>
      </c>
      <c r="Y158" s="40" t="str">
        <f>TEXT(Table1[[#This Row],[YEAR]],"0000")&amp;"-"&amp;Table1[[#This Row],[MONTH]]</f>
        <v>-</v>
      </c>
    </row>
    <row r="159" spans="1:25" ht="18" x14ac:dyDescent="0.35">
      <c r="A159" s="24"/>
      <c r="B159" s="38"/>
      <c r="C159" s="38"/>
      <c r="D159" s="38"/>
      <c r="E159" s="37"/>
      <c r="F159" s="38"/>
      <c r="G159" s="198"/>
      <c r="H159" s="198"/>
      <c r="I159" s="39"/>
      <c r="J159" s="38"/>
      <c r="K159" s="198"/>
      <c r="L159" s="38"/>
      <c r="M159" s="38"/>
      <c r="N159" s="38"/>
      <c r="O159" s="38"/>
      <c r="P159" s="40" t="str" cm="1">
        <f t="array" ref="P159">IF(N159="","",IFERROR(_xlfn.XLOOKUP(F159&amp;"|"&amp;J159&amp;"|"&amp;O159,PRICES!$C$2:$C$659&amp;"|"&amp;PRICES!$B$2:$B$659&amp;"|"&amp;PRICES!$D$2:$D$659,PRICES!$E$2:$E$659),"Not Found"))</f>
        <v/>
      </c>
      <c r="Q159" s="100" t="str">
        <f>IF(N159=0,"",SUMIFS(PRICES!$G$2:$G$658,PRICES!$B$2:$B$658,'MAIN TABLE-1 AUTOMATED'!J159,PRICES!$C$2:$C$658,'MAIN TABLE-1 AUTOMATED'!F159,PRICES!$D$2:$D$658,'MAIN TABLE-1 AUTOMATED'!O159))</f>
        <v/>
      </c>
      <c r="R159" s="41" t="str">
        <f>IF(Table1[[#This Row],[QUANTITY]]=0,"",Table1[[#This Row],[UNIT PRICE]]*Table1[[#This Row],[QUANTITY]])</f>
        <v/>
      </c>
      <c r="S159" s="89"/>
      <c r="T159" s="38"/>
      <c r="U159" s="43"/>
      <c r="V159" s="42" t="str">
        <f>IF(Table1[[#This Row],[DATE]]=0,"",YEAR(E159))</f>
        <v/>
      </c>
      <c r="W159" s="40" t="str">
        <f t="shared" si="4"/>
        <v/>
      </c>
      <c r="X159" s="40" t="str">
        <f t="shared" si="5"/>
        <v/>
      </c>
      <c r="Y159" s="40" t="str">
        <f>TEXT(Table1[[#This Row],[YEAR]],"0000")&amp;"-"&amp;Table1[[#This Row],[MONTH]]</f>
        <v>-</v>
      </c>
    </row>
    <row r="160" spans="1:25" ht="18" x14ac:dyDescent="0.35">
      <c r="A160" s="24"/>
      <c r="B160" s="38"/>
      <c r="C160" s="38"/>
      <c r="D160" s="38"/>
      <c r="E160" s="37"/>
      <c r="F160" s="38"/>
      <c r="G160" s="198"/>
      <c r="H160" s="198"/>
      <c r="I160" s="39"/>
      <c r="J160" s="38"/>
      <c r="K160" s="198"/>
      <c r="L160" s="38"/>
      <c r="M160" s="38"/>
      <c r="N160" s="38"/>
      <c r="O160" s="38"/>
      <c r="P160" s="40" t="str" cm="1">
        <f t="array" ref="P160">IF(N160="","",IFERROR(_xlfn.XLOOKUP(F160&amp;"|"&amp;J160&amp;"|"&amp;O160,PRICES!$C$2:$C$659&amp;"|"&amp;PRICES!$B$2:$B$659&amp;"|"&amp;PRICES!$D$2:$D$659,PRICES!$E$2:$E$659),"Not Found"))</f>
        <v/>
      </c>
      <c r="Q160" s="100" t="str">
        <f>IF(N160=0,"",SUMIFS(PRICES!$G$2:$G$658,PRICES!$B$2:$B$658,'MAIN TABLE-1 AUTOMATED'!J160,PRICES!$C$2:$C$658,'MAIN TABLE-1 AUTOMATED'!F160,PRICES!$D$2:$D$658,'MAIN TABLE-1 AUTOMATED'!O160))</f>
        <v/>
      </c>
      <c r="R160" s="41" t="str">
        <f>IF(Table1[[#This Row],[QUANTITY]]=0,"",Table1[[#This Row],[UNIT PRICE]]*Table1[[#This Row],[QUANTITY]])</f>
        <v/>
      </c>
      <c r="S160" s="89"/>
      <c r="T160" s="38"/>
      <c r="U160" s="43"/>
      <c r="V160" s="42" t="str">
        <f>IF(Table1[[#This Row],[DATE]]=0,"",YEAR(E160))</f>
        <v/>
      </c>
      <c r="W160" s="40" t="str">
        <f t="shared" si="4"/>
        <v/>
      </c>
      <c r="X160" s="40" t="str">
        <f t="shared" si="5"/>
        <v/>
      </c>
      <c r="Y160" s="40" t="str">
        <f>TEXT(Table1[[#This Row],[YEAR]],"0000")&amp;"-"&amp;Table1[[#This Row],[MONTH]]</f>
        <v>-</v>
      </c>
    </row>
    <row r="161" spans="1:25" ht="18" x14ac:dyDescent="0.35">
      <c r="A161" s="24"/>
      <c r="B161" s="38"/>
      <c r="C161" s="38"/>
      <c r="D161" s="38"/>
      <c r="E161" s="37"/>
      <c r="F161" s="38"/>
      <c r="G161" s="198"/>
      <c r="H161" s="198"/>
      <c r="I161" s="39"/>
      <c r="J161" s="38"/>
      <c r="K161" s="198"/>
      <c r="L161" s="38"/>
      <c r="M161" s="38"/>
      <c r="N161" s="38"/>
      <c r="O161" s="38"/>
      <c r="P161" s="40" t="str" cm="1">
        <f t="array" ref="P161">IF(N161="","",IFERROR(_xlfn.XLOOKUP(F161&amp;"|"&amp;J161&amp;"|"&amp;O161,PRICES!$C$2:$C$659&amp;"|"&amp;PRICES!$B$2:$B$659&amp;"|"&amp;PRICES!$D$2:$D$659,PRICES!$E$2:$E$659),"Not Found"))</f>
        <v/>
      </c>
      <c r="Q161" s="100" t="str">
        <f>IF(N161=0,"",SUMIFS(PRICES!$G$2:$G$658,PRICES!$B$2:$B$658,'MAIN TABLE-1 AUTOMATED'!J161,PRICES!$C$2:$C$658,'MAIN TABLE-1 AUTOMATED'!F161,PRICES!$D$2:$D$658,'MAIN TABLE-1 AUTOMATED'!O161))</f>
        <v/>
      </c>
      <c r="R161" s="41" t="str">
        <f>IF(Table1[[#This Row],[QUANTITY]]=0,"",Table1[[#This Row],[UNIT PRICE]]*Table1[[#This Row],[QUANTITY]])</f>
        <v/>
      </c>
      <c r="S161" s="89"/>
      <c r="T161" s="38"/>
      <c r="U161" s="43"/>
      <c r="V161" s="42" t="str">
        <f>IF(Table1[[#This Row],[DATE]]=0,"",YEAR(E161))</f>
        <v/>
      </c>
      <c r="W161" s="40" t="str">
        <f t="shared" si="4"/>
        <v/>
      </c>
      <c r="X161" s="40" t="str">
        <f t="shared" si="5"/>
        <v/>
      </c>
      <c r="Y161" s="40" t="str">
        <f>TEXT(Table1[[#This Row],[YEAR]],"0000")&amp;"-"&amp;Table1[[#This Row],[MONTH]]</f>
        <v>-</v>
      </c>
    </row>
    <row r="162" spans="1:25" ht="18" x14ac:dyDescent="0.35">
      <c r="A162" s="24"/>
      <c r="B162" s="38"/>
      <c r="C162" s="38"/>
      <c r="D162" s="38"/>
      <c r="E162" s="37"/>
      <c r="F162" s="38"/>
      <c r="G162" s="198"/>
      <c r="H162" s="198"/>
      <c r="I162" s="39"/>
      <c r="J162" s="38"/>
      <c r="K162" s="198"/>
      <c r="L162" s="38"/>
      <c r="M162" s="38"/>
      <c r="N162" s="38"/>
      <c r="O162" s="38"/>
      <c r="P162" s="40" t="str" cm="1">
        <f t="array" ref="P162">IF(N162="","",IFERROR(_xlfn.XLOOKUP(F162&amp;"|"&amp;J162&amp;"|"&amp;O162,PRICES!$C$2:$C$659&amp;"|"&amp;PRICES!$B$2:$B$659&amp;"|"&amp;PRICES!$D$2:$D$659,PRICES!$E$2:$E$659),"Not Found"))</f>
        <v/>
      </c>
      <c r="Q162" s="100" t="str">
        <f>IF(N162=0,"",SUMIFS(PRICES!$G$2:$G$658,PRICES!$B$2:$B$658,'MAIN TABLE-1 AUTOMATED'!J162,PRICES!$C$2:$C$658,'MAIN TABLE-1 AUTOMATED'!F162,PRICES!$D$2:$D$658,'MAIN TABLE-1 AUTOMATED'!O162))</f>
        <v/>
      </c>
      <c r="R162" s="41" t="str">
        <f>IF(Table1[[#This Row],[QUANTITY]]=0,"",Table1[[#This Row],[UNIT PRICE]]*Table1[[#This Row],[QUANTITY]])</f>
        <v/>
      </c>
      <c r="S162" s="89"/>
      <c r="T162" s="38"/>
      <c r="U162" s="43"/>
      <c r="V162" s="42" t="str">
        <f>IF(Table1[[#This Row],[DATE]]=0,"",YEAR(E162))</f>
        <v/>
      </c>
      <c r="W162" s="40" t="str">
        <f t="shared" si="4"/>
        <v/>
      </c>
      <c r="X162" s="40" t="str">
        <f t="shared" si="5"/>
        <v/>
      </c>
      <c r="Y162" s="40" t="str">
        <f>TEXT(Table1[[#This Row],[YEAR]],"0000")&amp;"-"&amp;Table1[[#This Row],[MONTH]]</f>
        <v>-</v>
      </c>
    </row>
    <row r="163" spans="1:25" ht="18" x14ac:dyDescent="0.35">
      <c r="A163" s="24"/>
      <c r="B163" s="38"/>
      <c r="C163" s="38"/>
      <c r="D163" s="38"/>
      <c r="E163" s="37"/>
      <c r="F163" s="38"/>
      <c r="G163" s="198"/>
      <c r="H163" s="198"/>
      <c r="I163" s="39"/>
      <c r="J163" s="38"/>
      <c r="K163" s="198"/>
      <c r="L163" s="38"/>
      <c r="M163" s="38"/>
      <c r="N163" s="38"/>
      <c r="O163" s="38"/>
      <c r="P163" s="40" t="str" cm="1">
        <f t="array" ref="P163">IF(N163="","",IFERROR(_xlfn.XLOOKUP(F163&amp;"|"&amp;J163&amp;"|"&amp;O163,PRICES!$C$2:$C$659&amp;"|"&amp;PRICES!$B$2:$B$659&amp;"|"&amp;PRICES!$D$2:$D$659,PRICES!$E$2:$E$659),"Not Found"))</f>
        <v/>
      </c>
      <c r="Q163" s="100" t="str">
        <f>IF(N163=0,"",SUMIFS(PRICES!$G$2:$G$658,PRICES!$B$2:$B$658,'MAIN TABLE-1 AUTOMATED'!J163,PRICES!$C$2:$C$658,'MAIN TABLE-1 AUTOMATED'!F163,PRICES!$D$2:$D$658,'MAIN TABLE-1 AUTOMATED'!O163))</f>
        <v/>
      </c>
      <c r="R163" s="41" t="str">
        <f>IF(Table1[[#This Row],[QUANTITY]]=0,"",Table1[[#This Row],[UNIT PRICE]]*Table1[[#This Row],[QUANTITY]])</f>
        <v/>
      </c>
      <c r="S163" s="89"/>
      <c r="T163" s="38"/>
      <c r="U163" s="43"/>
      <c r="V163" s="42" t="str">
        <f>IF(Table1[[#This Row],[DATE]]=0,"",YEAR(E163))</f>
        <v/>
      </c>
      <c r="W163" s="40" t="str">
        <f t="shared" si="4"/>
        <v/>
      </c>
      <c r="X163" s="40" t="str">
        <f t="shared" si="5"/>
        <v/>
      </c>
      <c r="Y163" s="40" t="str">
        <f>TEXT(Table1[[#This Row],[YEAR]],"0000")&amp;"-"&amp;Table1[[#This Row],[MONTH]]</f>
        <v>-</v>
      </c>
    </row>
    <row r="164" spans="1:25" ht="18" x14ac:dyDescent="0.35">
      <c r="A164" s="24"/>
      <c r="B164" s="38"/>
      <c r="C164" s="38"/>
      <c r="D164" s="38"/>
      <c r="E164" s="37"/>
      <c r="F164" s="38"/>
      <c r="G164" s="198"/>
      <c r="H164" s="198"/>
      <c r="I164" s="39"/>
      <c r="J164" s="38"/>
      <c r="K164" s="198"/>
      <c r="L164" s="38"/>
      <c r="M164" s="38"/>
      <c r="N164" s="38"/>
      <c r="O164" s="38"/>
      <c r="P164" s="40" t="str" cm="1">
        <f t="array" ref="P164">IF(N164="","",IFERROR(_xlfn.XLOOKUP(F164&amp;"|"&amp;J164&amp;"|"&amp;O164,PRICES!$C$2:$C$659&amp;"|"&amp;PRICES!$B$2:$B$659&amp;"|"&amp;PRICES!$D$2:$D$659,PRICES!$E$2:$E$659),"Not Found"))</f>
        <v/>
      </c>
      <c r="Q164" s="100" t="str">
        <f>IF(N164=0,"",SUMIFS(PRICES!$G$2:$G$658,PRICES!$B$2:$B$658,'MAIN TABLE-1 AUTOMATED'!J164,PRICES!$C$2:$C$658,'MAIN TABLE-1 AUTOMATED'!F164,PRICES!$D$2:$D$658,'MAIN TABLE-1 AUTOMATED'!O164))</f>
        <v/>
      </c>
      <c r="R164" s="41" t="str">
        <f>IF(Table1[[#This Row],[QUANTITY]]=0,"",Table1[[#This Row],[UNIT PRICE]]*Table1[[#This Row],[QUANTITY]])</f>
        <v/>
      </c>
      <c r="S164" s="89"/>
      <c r="T164" s="38"/>
      <c r="U164" s="43"/>
      <c r="V164" s="42" t="str">
        <f>IF(Table1[[#This Row],[DATE]]=0,"",YEAR(E164))</f>
        <v/>
      </c>
      <c r="W164" s="40" t="str">
        <f t="shared" si="4"/>
        <v/>
      </c>
      <c r="X164" s="40" t="str">
        <f t="shared" si="5"/>
        <v/>
      </c>
      <c r="Y164" s="40" t="str">
        <f>TEXT(Table1[[#This Row],[YEAR]],"0000")&amp;"-"&amp;Table1[[#This Row],[MONTH]]</f>
        <v>-</v>
      </c>
    </row>
    <row r="165" spans="1:25" ht="18" x14ac:dyDescent="0.35">
      <c r="A165" s="24"/>
      <c r="B165" s="38"/>
      <c r="C165" s="38"/>
      <c r="D165" s="38"/>
      <c r="E165" s="37"/>
      <c r="F165" s="38"/>
      <c r="G165" s="198"/>
      <c r="H165" s="198"/>
      <c r="I165" s="39"/>
      <c r="J165" s="38"/>
      <c r="K165" s="198"/>
      <c r="L165" s="38"/>
      <c r="M165" s="38"/>
      <c r="N165" s="38"/>
      <c r="O165" s="38"/>
      <c r="P165" s="40" t="str" cm="1">
        <f t="array" ref="P165">IF(N165="","",IFERROR(_xlfn.XLOOKUP(F165&amp;"|"&amp;J165&amp;"|"&amp;O165,PRICES!$C$2:$C$659&amp;"|"&amp;PRICES!$B$2:$B$659&amp;"|"&amp;PRICES!$D$2:$D$659,PRICES!$E$2:$E$659),"Not Found"))</f>
        <v/>
      </c>
      <c r="Q165" s="100" t="str">
        <f>IF(N165=0,"",SUMIFS(PRICES!$G$2:$G$658,PRICES!$B$2:$B$658,'MAIN TABLE-1 AUTOMATED'!J165,PRICES!$C$2:$C$658,'MAIN TABLE-1 AUTOMATED'!F165,PRICES!$D$2:$D$658,'MAIN TABLE-1 AUTOMATED'!O165))</f>
        <v/>
      </c>
      <c r="R165" s="41" t="str">
        <f>IF(Table1[[#This Row],[QUANTITY]]=0,"",Table1[[#This Row],[UNIT PRICE]]*Table1[[#This Row],[QUANTITY]])</f>
        <v/>
      </c>
      <c r="S165" s="89"/>
      <c r="T165" s="38"/>
      <c r="U165" s="43"/>
      <c r="V165" s="42" t="str">
        <f>IF(Table1[[#This Row],[DATE]]=0,"",YEAR(E165))</f>
        <v/>
      </c>
      <c r="W165" s="40" t="str">
        <f t="shared" si="4"/>
        <v/>
      </c>
      <c r="X165" s="40" t="str">
        <f t="shared" si="5"/>
        <v/>
      </c>
      <c r="Y165" s="40" t="str">
        <f>TEXT(Table1[[#This Row],[YEAR]],"0000")&amp;"-"&amp;Table1[[#This Row],[MONTH]]</f>
        <v>-</v>
      </c>
    </row>
    <row r="166" spans="1:25" ht="18" x14ac:dyDescent="0.35">
      <c r="A166" s="24"/>
      <c r="B166" s="38"/>
      <c r="C166" s="38"/>
      <c r="D166" s="38"/>
      <c r="E166" s="37"/>
      <c r="F166" s="38"/>
      <c r="G166" s="198"/>
      <c r="H166" s="198"/>
      <c r="I166" s="39"/>
      <c r="J166" s="38"/>
      <c r="K166" s="198"/>
      <c r="L166" s="38"/>
      <c r="M166" s="38"/>
      <c r="N166" s="38"/>
      <c r="O166" s="38"/>
      <c r="P166" s="40" t="str" cm="1">
        <f t="array" ref="P166">IF(N166="","",IFERROR(_xlfn.XLOOKUP(F166&amp;"|"&amp;J166&amp;"|"&amp;O166,PRICES!$C$2:$C$659&amp;"|"&amp;PRICES!$B$2:$B$659&amp;"|"&amp;PRICES!$D$2:$D$659,PRICES!$E$2:$E$659),"Not Found"))</f>
        <v/>
      </c>
      <c r="Q166" s="100" t="str">
        <f>IF(N166=0,"",SUMIFS(PRICES!$G$2:$G$658,PRICES!$B$2:$B$658,'MAIN TABLE-1 AUTOMATED'!J166,PRICES!$C$2:$C$658,'MAIN TABLE-1 AUTOMATED'!F166,PRICES!$D$2:$D$658,'MAIN TABLE-1 AUTOMATED'!O166))</f>
        <v/>
      </c>
      <c r="R166" s="41" t="str">
        <f>IF(Table1[[#This Row],[QUANTITY]]=0,"",Table1[[#This Row],[UNIT PRICE]]*Table1[[#This Row],[QUANTITY]])</f>
        <v/>
      </c>
      <c r="S166" s="89"/>
      <c r="T166" s="38"/>
      <c r="U166" s="43"/>
      <c r="V166" s="42" t="str">
        <f>IF(Table1[[#This Row],[DATE]]=0,"",YEAR(E166))</f>
        <v/>
      </c>
      <c r="W166" s="40" t="str">
        <f t="shared" si="4"/>
        <v/>
      </c>
      <c r="X166" s="40" t="str">
        <f t="shared" si="5"/>
        <v/>
      </c>
      <c r="Y166" s="40" t="str">
        <f>TEXT(Table1[[#This Row],[YEAR]],"0000")&amp;"-"&amp;Table1[[#This Row],[MONTH]]</f>
        <v>-</v>
      </c>
    </row>
    <row r="167" spans="1:25" ht="18" x14ac:dyDescent="0.35">
      <c r="A167" s="24"/>
      <c r="B167" s="38"/>
      <c r="C167" s="38"/>
      <c r="D167" s="38"/>
      <c r="E167" s="37"/>
      <c r="F167" s="38"/>
      <c r="G167" s="198"/>
      <c r="H167" s="198"/>
      <c r="I167" s="39"/>
      <c r="J167" s="38"/>
      <c r="K167" s="198"/>
      <c r="L167" s="38"/>
      <c r="M167" s="38"/>
      <c r="N167" s="38"/>
      <c r="O167" s="38"/>
      <c r="P167" s="40" t="str" cm="1">
        <f t="array" ref="P167">IF(N167="","",IFERROR(_xlfn.XLOOKUP(F167&amp;"|"&amp;J167&amp;"|"&amp;O167,PRICES!$C$2:$C$659&amp;"|"&amp;PRICES!$B$2:$B$659&amp;"|"&amp;PRICES!$D$2:$D$659,PRICES!$E$2:$E$659),"Not Found"))</f>
        <v/>
      </c>
      <c r="Q167" s="100" t="str">
        <f>IF(N167=0,"",SUMIFS(PRICES!$G$2:$G$658,PRICES!$B$2:$B$658,'MAIN TABLE-1 AUTOMATED'!J167,PRICES!$C$2:$C$658,'MAIN TABLE-1 AUTOMATED'!F167,PRICES!$D$2:$D$658,'MAIN TABLE-1 AUTOMATED'!O167))</f>
        <v/>
      </c>
      <c r="R167" s="41" t="str">
        <f>IF(Table1[[#This Row],[QUANTITY]]=0,"",Table1[[#This Row],[UNIT PRICE]]*Table1[[#This Row],[QUANTITY]])</f>
        <v/>
      </c>
      <c r="S167" s="89"/>
      <c r="T167" s="38"/>
      <c r="U167" s="43"/>
      <c r="V167" s="42" t="str">
        <f>IF(Table1[[#This Row],[DATE]]=0,"",YEAR(E167))</f>
        <v/>
      </c>
      <c r="W167" s="40" t="str">
        <f t="shared" si="4"/>
        <v/>
      </c>
      <c r="X167" s="40" t="str">
        <f t="shared" si="5"/>
        <v/>
      </c>
      <c r="Y167" s="40" t="str">
        <f>TEXT(Table1[[#This Row],[YEAR]],"0000")&amp;"-"&amp;Table1[[#This Row],[MONTH]]</f>
        <v>-</v>
      </c>
    </row>
    <row r="168" spans="1:25" ht="18" x14ac:dyDescent="0.35">
      <c r="A168" s="24"/>
      <c r="B168" s="38"/>
      <c r="C168" s="38"/>
      <c r="D168" s="38"/>
      <c r="E168" s="37"/>
      <c r="F168" s="38"/>
      <c r="G168" s="198"/>
      <c r="H168" s="198"/>
      <c r="I168" s="39"/>
      <c r="J168" s="38"/>
      <c r="K168" s="198"/>
      <c r="L168" s="38"/>
      <c r="M168" s="38"/>
      <c r="N168" s="38"/>
      <c r="O168" s="38"/>
      <c r="P168" s="40" t="str" cm="1">
        <f t="array" ref="P168">IF(N168="","",IFERROR(_xlfn.XLOOKUP(F168&amp;"|"&amp;J168&amp;"|"&amp;O168,PRICES!$C$2:$C$659&amp;"|"&amp;PRICES!$B$2:$B$659&amp;"|"&amp;PRICES!$D$2:$D$659,PRICES!$E$2:$E$659),"Not Found"))</f>
        <v/>
      </c>
      <c r="Q168" s="100" t="str">
        <f>IF(N168=0,"",SUMIFS(PRICES!$G$2:$G$658,PRICES!$B$2:$B$658,'MAIN TABLE-1 AUTOMATED'!J168,PRICES!$C$2:$C$658,'MAIN TABLE-1 AUTOMATED'!F168,PRICES!$D$2:$D$658,'MAIN TABLE-1 AUTOMATED'!O168))</f>
        <v/>
      </c>
      <c r="R168" s="41" t="str">
        <f>IF(Table1[[#This Row],[QUANTITY]]=0,"",Table1[[#This Row],[UNIT PRICE]]*Table1[[#This Row],[QUANTITY]])</f>
        <v/>
      </c>
      <c r="S168" s="89"/>
      <c r="T168" s="38"/>
      <c r="U168" s="43"/>
      <c r="V168" s="42" t="str">
        <f>IF(Table1[[#This Row],[DATE]]=0,"",YEAR(E168))</f>
        <v/>
      </c>
      <c r="W168" s="40" t="str">
        <f t="shared" si="4"/>
        <v/>
      </c>
      <c r="X168" s="40" t="str">
        <f t="shared" si="5"/>
        <v/>
      </c>
      <c r="Y168" s="40" t="str">
        <f>TEXT(Table1[[#This Row],[YEAR]],"0000")&amp;"-"&amp;Table1[[#This Row],[MONTH]]</f>
        <v>-</v>
      </c>
    </row>
    <row r="169" spans="1:25" ht="18" x14ac:dyDescent="0.35">
      <c r="A169" s="24"/>
      <c r="B169" s="38"/>
      <c r="C169" s="38"/>
      <c r="D169" s="38"/>
      <c r="E169" s="37"/>
      <c r="F169" s="38"/>
      <c r="G169" s="198"/>
      <c r="H169" s="198"/>
      <c r="I169" s="39"/>
      <c r="J169" s="38"/>
      <c r="K169" s="198"/>
      <c r="L169" s="38"/>
      <c r="M169" s="38"/>
      <c r="N169" s="38"/>
      <c r="O169" s="38"/>
      <c r="P169" s="40" t="str" cm="1">
        <f t="array" ref="P169">IF(N169="","",IFERROR(_xlfn.XLOOKUP(F169&amp;"|"&amp;J169&amp;"|"&amp;O169,PRICES!$C$2:$C$659&amp;"|"&amp;PRICES!$B$2:$B$659&amp;"|"&amp;PRICES!$D$2:$D$659,PRICES!$E$2:$E$659),"Not Found"))</f>
        <v/>
      </c>
      <c r="Q169" s="100" t="str">
        <f>IF(N169=0,"",SUMIFS(PRICES!$G$2:$G$658,PRICES!$B$2:$B$658,'MAIN TABLE-1 AUTOMATED'!J169,PRICES!$C$2:$C$658,'MAIN TABLE-1 AUTOMATED'!F169,PRICES!$D$2:$D$658,'MAIN TABLE-1 AUTOMATED'!O169))</f>
        <v/>
      </c>
      <c r="R169" s="41" t="str">
        <f>IF(Table1[[#This Row],[QUANTITY]]=0,"",Table1[[#This Row],[UNIT PRICE]]*Table1[[#This Row],[QUANTITY]])</f>
        <v/>
      </c>
      <c r="S169" s="89"/>
      <c r="T169" s="38"/>
      <c r="U169" s="43"/>
      <c r="V169" s="42" t="str">
        <f>IF(Table1[[#This Row],[DATE]]=0,"",YEAR(E169))</f>
        <v/>
      </c>
      <c r="W169" s="40" t="str">
        <f t="shared" si="4"/>
        <v/>
      </c>
      <c r="X169" s="40" t="str">
        <f t="shared" si="5"/>
        <v/>
      </c>
      <c r="Y169" s="40" t="str">
        <f>TEXT(Table1[[#This Row],[YEAR]],"0000")&amp;"-"&amp;Table1[[#This Row],[MONTH]]</f>
        <v>-</v>
      </c>
    </row>
    <row r="170" spans="1:25" ht="18" x14ac:dyDescent="0.35">
      <c r="A170" s="24"/>
      <c r="B170" s="38"/>
      <c r="C170" s="38"/>
      <c r="D170" s="38"/>
      <c r="E170" s="37"/>
      <c r="F170" s="38"/>
      <c r="G170" s="198"/>
      <c r="H170" s="198"/>
      <c r="I170" s="39"/>
      <c r="J170" s="38"/>
      <c r="K170" s="198"/>
      <c r="L170" s="38"/>
      <c r="M170" s="38"/>
      <c r="N170" s="38"/>
      <c r="O170" s="38"/>
      <c r="P170" s="40" t="str" cm="1">
        <f t="array" ref="P170">IF(N170="","",IFERROR(_xlfn.XLOOKUP(F170&amp;"|"&amp;J170&amp;"|"&amp;O170,PRICES!$C$2:$C$659&amp;"|"&amp;PRICES!$B$2:$B$659&amp;"|"&amp;PRICES!$D$2:$D$659,PRICES!$E$2:$E$659),"Not Found"))</f>
        <v/>
      </c>
      <c r="Q170" s="100" t="str">
        <f>IF(N170=0,"",SUMIFS(PRICES!$G$2:$G$658,PRICES!$B$2:$B$658,'MAIN TABLE-1 AUTOMATED'!J170,PRICES!$C$2:$C$658,'MAIN TABLE-1 AUTOMATED'!F170,PRICES!$D$2:$D$658,'MAIN TABLE-1 AUTOMATED'!O170))</f>
        <v/>
      </c>
      <c r="R170" s="41" t="str">
        <f>IF(Table1[[#This Row],[QUANTITY]]=0,"",Table1[[#This Row],[UNIT PRICE]]*Table1[[#This Row],[QUANTITY]])</f>
        <v/>
      </c>
      <c r="S170" s="89"/>
      <c r="T170" s="38"/>
      <c r="U170" s="43"/>
      <c r="V170" s="42" t="str">
        <f>IF(Table1[[#This Row],[DATE]]=0,"",YEAR(E170))</f>
        <v/>
      </c>
      <c r="W170" s="40" t="str">
        <f t="shared" si="4"/>
        <v/>
      </c>
      <c r="X170" s="40" t="str">
        <f t="shared" si="5"/>
        <v/>
      </c>
      <c r="Y170" s="40" t="str">
        <f>TEXT(Table1[[#This Row],[YEAR]],"0000")&amp;"-"&amp;Table1[[#This Row],[MONTH]]</f>
        <v>-</v>
      </c>
    </row>
    <row r="171" spans="1:25" ht="18" x14ac:dyDescent="0.35">
      <c r="A171" s="24"/>
      <c r="B171" s="38"/>
      <c r="C171" s="38"/>
      <c r="D171" s="38"/>
      <c r="E171" s="37"/>
      <c r="F171" s="38"/>
      <c r="G171" s="198"/>
      <c r="H171" s="198"/>
      <c r="I171" s="39"/>
      <c r="J171" s="38"/>
      <c r="K171" s="198"/>
      <c r="L171" s="38"/>
      <c r="M171" s="38"/>
      <c r="N171" s="38"/>
      <c r="O171" s="38"/>
      <c r="P171" s="40" t="str" cm="1">
        <f t="array" ref="P171">IF(N171="","",IFERROR(_xlfn.XLOOKUP(F171&amp;"|"&amp;J171&amp;"|"&amp;O171,PRICES!$C$2:$C$659&amp;"|"&amp;PRICES!$B$2:$B$659&amp;"|"&amp;PRICES!$D$2:$D$659,PRICES!$E$2:$E$659),"Not Found"))</f>
        <v/>
      </c>
      <c r="Q171" s="100" t="str">
        <f>IF(N171=0,"",SUMIFS(PRICES!$G$2:$G$658,PRICES!$B$2:$B$658,'MAIN TABLE-1 AUTOMATED'!J171,PRICES!$C$2:$C$658,'MAIN TABLE-1 AUTOMATED'!F171,PRICES!$D$2:$D$658,'MAIN TABLE-1 AUTOMATED'!O171))</f>
        <v/>
      </c>
      <c r="R171" s="41" t="str">
        <f>IF(Table1[[#This Row],[QUANTITY]]=0,"",Table1[[#This Row],[UNIT PRICE]]*Table1[[#This Row],[QUANTITY]])</f>
        <v/>
      </c>
      <c r="S171" s="89"/>
      <c r="T171" s="38"/>
      <c r="U171" s="43"/>
      <c r="V171" s="42" t="str">
        <f>IF(Table1[[#This Row],[DATE]]=0,"",YEAR(E171))</f>
        <v/>
      </c>
      <c r="W171" s="40" t="str">
        <f t="shared" si="4"/>
        <v/>
      </c>
      <c r="X171" s="40" t="str">
        <f t="shared" si="5"/>
        <v/>
      </c>
      <c r="Y171" s="40" t="str">
        <f>TEXT(Table1[[#This Row],[YEAR]],"0000")&amp;"-"&amp;Table1[[#This Row],[MONTH]]</f>
        <v>-</v>
      </c>
    </row>
    <row r="172" spans="1:25" ht="18" x14ac:dyDescent="0.35">
      <c r="A172" s="24"/>
      <c r="B172" s="38"/>
      <c r="C172" s="38"/>
      <c r="D172" s="38"/>
      <c r="E172" s="37"/>
      <c r="F172" s="38"/>
      <c r="G172" s="198"/>
      <c r="H172" s="198"/>
      <c r="I172" s="39"/>
      <c r="J172" s="38"/>
      <c r="K172" s="198"/>
      <c r="L172" s="38"/>
      <c r="M172" s="38"/>
      <c r="N172" s="38"/>
      <c r="O172" s="38"/>
      <c r="P172" s="40" t="str" cm="1">
        <f t="array" ref="P172">IF(N172="","",IFERROR(_xlfn.XLOOKUP(F172&amp;"|"&amp;J172&amp;"|"&amp;O172,PRICES!$C$2:$C$659&amp;"|"&amp;PRICES!$B$2:$B$659&amp;"|"&amp;PRICES!$D$2:$D$659,PRICES!$E$2:$E$659),"Not Found"))</f>
        <v/>
      </c>
      <c r="Q172" s="100" t="str">
        <f>IF(N172=0,"",SUMIFS(PRICES!$G$2:$G$658,PRICES!$B$2:$B$658,'MAIN TABLE-1 AUTOMATED'!J172,PRICES!$C$2:$C$658,'MAIN TABLE-1 AUTOMATED'!F172,PRICES!$D$2:$D$658,'MAIN TABLE-1 AUTOMATED'!O172))</f>
        <v/>
      </c>
      <c r="R172" s="41" t="str">
        <f>IF(Table1[[#This Row],[QUANTITY]]=0,"",Table1[[#This Row],[UNIT PRICE]]*Table1[[#This Row],[QUANTITY]])</f>
        <v/>
      </c>
      <c r="S172" s="89"/>
      <c r="T172" s="38"/>
      <c r="U172" s="43"/>
      <c r="V172" s="42" t="str">
        <f>IF(Table1[[#This Row],[DATE]]=0,"",YEAR(E172))</f>
        <v/>
      </c>
      <c r="W172" s="40" t="str">
        <f t="shared" si="4"/>
        <v/>
      </c>
      <c r="X172" s="40" t="str">
        <f t="shared" si="5"/>
        <v/>
      </c>
      <c r="Y172" s="40" t="str">
        <f>TEXT(Table1[[#This Row],[YEAR]],"0000")&amp;"-"&amp;Table1[[#This Row],[MONTH]]</f>
        <v>-</v>
      </c>
    </row>
    <row r="173" spans="1:25" ht="18" x14ac:dyDescent="0.35">
      <c r="A173" s="24"/>
      <c r="B173" s="38"/>
      <c r="C173" s="38"/>
      <c r="D173" s="38"/>
      <c r="E173" s="37"/>
      <c r="F173" s="38"/>
      <c r="G173" s="198"/>
      <c r="H173" s="198"/>
      <c r="I173" s="39"/>
      <c r="J173" s="38"/>
      <c r="K173" s="198"/>
      <c r="L173" s="38"/>
      <c r="M173" s="38"/>
      <c r="N173" s="38"/>
      <c r="O173" s="38"/>
      <c r="P173" s="40" t="str" cm="1">
        <f t="array" ref="P173">IF(N173="","",IFERROR(_xlfn.XLOOKUP(F173&amp;"|"&amp;J173&amp;"|"&amp;O173,PRICES!$C$2:$C$659&amp;"|"&amp;PRICES!$B$2:$B$659&amp;"|"&amp;PRICES!$D$2:$D$659,PRICES!$E$2:$E$659),"Not Found"))</f>
        <v/>
      </c>
      <c r="Q173" s="100" t="str">
        <f>IF(N173=0,"",SUMIFS(PRICES!$G$2:$G$658,PRICES!$B$2:$B$658,'MAIN TABLE-1 AUTOMATED'!J173,PRICES!$C$2:$C$658,'MAIN TABLE-1 AUTOMATED'!F173,PRICES!$D$2:$D$658,'MAIN TABLE-1 AUTOMATED'!O173))</f>
        <v/>
      </c>
      <c r="R173" s="41" t="str">
        <f>IF(Table1[[#This Row],[QUANTITY]]=0,"",Table1[[#This Row],[UNIT PRICE]]*Table1[[#This Row],[QUANTITY]])</f>
        <v/>
      </c>
      <c r="S173" s="89"/>
      <c r="T173" s="38"/>
      <c r="U173" s="43"/>
      <c r="V173" s="42" t="str">
        <f>IF(Table1[[#This Row],[DATE]]=0,"",YEAR(E173))</f>
        <v/>
      </c>
      <c r="W173" s="40" t="str">
        <f t="shared" si="4"/>
        <v/>
      </c>
      <c r="X173" s="40" t="str">
        <f t="shared" si="5"/>
        <v/>
      </c>
      <c r="Y173" s="40" t="str">
        <f>TEXT(Table1[[#This Row],[YEAR]],"0000")&amp;"-"&amp;Table1[[#This Row],[MONTH]]</f>
        <v>-</v>
      </c>
    </row>
    <row r="174" spans="1:25" ht="18" x14ac:dyDescent="0.35">
      <c r="A174" s="24"/>
      <c r="B174" s="38"/>
      <c r="C174" s="38"/>
      <c r="D174" s="38"/>
      <c r="E174" s="37"/>
      <c r="F174" s="38"/>
      <c r="G174" s="198"/>
      <c r="H174" s="198"/>
      <c r="I174" s="39"/>
      <c r="J174" s="38"/>
      <c r="K174" s="198"/>
      <c r="L174" s="38"/>
      <c r="M174" s="38"/>
      <c r="N174" s="38"/>
      <c r="O174" s="38"/>
      <c r="P174" s="40" t="str" cm="1">
        <f t="array" ref="P174">IF(N174="","",IFERROR(_xlfn.XLOOKUP(F174&amp;"|"&amp;J174&amp;"|"&amp;O174,PRICES!$C$2:$C$659&amp;"|"&amp;PRICES!$B$2:$B$659&amp;"|"&amp;PRICES!$D$2:$D$659,PRICES!$E$2:$E$659),"Not Found"))</f>
        <v/>
      </c>
      <c r="Q174" s="100" t="str">
        <f>IF(N174=0,"",SUMIFS(PRICES!$G$2:$G$658,PRICES!$B$2:$B$658,'MAIN TABLE-1 AUTOMATED'!J174,PRICES!$C$2:$C$658,'MAIN TABLE-1 AUTOMATED'!F174,PRICES!$D$2:$D$658,'MAIN TABLE-1 AUTOMATED'!O174))</f>
        <v/>
      </c>
      <c r="R174" s="41" t="str">
        <f>IF(Table1[[#This Row],[QUANTITY]]=0,"",Table1[[#This Row],[UNIT PRICE]]*Table1[[#This Row],[QUANTITY]])</f>
        <v/>
      </c>
      <c r="S174" s="89"/>
      <c r="T174" s="38"/>
      <c r="U174" s="43"/>
      <c r="V174" s="42" t="str">
        <f>IF(Table1[[#This Row],[DATE]]=0,"",YEAR(E174))</f>
        <v/>
      </c>
      <c r="W174" s="40" t="str">
        <f t="shared" si="4"/>
        <v/>
      </c>
      <c r="X174" s="40" t="str">
        <f t="shared" si="5"/>
        <v/>
      </c>
      <c r="Y174" s="40" t="str">
        <f>TEXT(Table1[[#This Row],[YEAR]],"0000")&amp;"-"&amp;Table1[[#This Row],[MONTH]]</f>
        <v>-</v>
      </c>
    </row>
    <row r="175" spans="1:25" ht="18" x14ac:dyDescent="0.35">
      <c r="A175" s="24"/>
      <c r="B175" s="38"/>
      <c r="C175" s="38"/>
      <c r="D175" s="38"/>
      <c r="E175" s="37"/>
      <c r="F175" s="38"/>
      <c r="G175" s="198"/>
      <c r="H175" s="198"/>
      <c r="I175" s="39"/>
      <c r="J175" s="38"/>
      <c r="K175" s="198"/>
      <c r="L175" s="38"/>
      <c r="M175" s="38"/>
      <c r="N175" s="38"/>
      <c r="O175" s="38"/>
      <c r="P175" s="40" t="str" cm="1">
        <f t="array" ref="P175">IF(N175="","",IFERROR(_xlfn.XLOOKUP(F175&amp;"|"&amp;J175&amp;"|"&amp;O175,PRICES!$C$2:$C$659&amp;"|"&amp;PRICES!$B$2:$B$659&amp;"|"&amp;PRICES!$D$2:$D$659,PRICES!$E$2:$E$659),"Not Found"))</f>
        <v/>
      </c>
      <c r="Q175" s="100" t="str">
        <f>IF(N175=0,"",SUMIFS(PRICES!$G$2:$G$658,PRICES!$B$2:$B$658,'MAIN TABLE-1 AUTOMATED'!J175,PRICES!$C$2:$C$658,'MAIN TABLE-1 AUTOMATED'!F175,PRICES!$D$2:$D$658,'MAIN TABLE-1 AUTOMATED'!O175))</f>
        <v/>
      </c>
      <c r="R175" s="41" t="str">
        <f>IF(Table1[[#This Row],[QUANTITY]]=0,"",Table1[[#This Row],[UNIT PRICE]]*Table1[[#This Row],[QUANTITY]])</f>
        <v/>
      </c>
      <c r="S175" s="89"/>
      <c r="T175" s="38"/>
      <c r="U175" s="43"/>
      <c r="V175" s="42" t="str">
        <f>IF(Table1[[#This Row],[DATE]]=0,"",YEAR(E175))</f>
        <v/>
      </c>
      <c r="W175" s="40" t="str">
        <f t="shared" si="4"/>
        <v/>
      </c>
      <c r="X175" s="40" t="str">
        <f t="shared" si="5"/>
        <v/>
      </c>
      <c r="Y175" s="40" t="str">
        <f>TEXT(Table1[[#This Row],[YEAR]],"0000")&amp;"-"&amp;Table1[[#This Row],[MONTH]]</f>
        <v>-</v>
      </c>
    </row>
    <row r="176" spans="1:25" ht="18" x14ac:dyDescent="0.35">
      <c r="A176" s="24"/>
      <c r="B176" s="38"/>
      <c r="C176" s="38"/>
      <c r="D176" s="38"/>
      <c r="E176" s="37"/>
      <c r="F176" s="38"/>
      <c r="G176" s="198"/>
      <c r="H176" s="198"/>
      <c r="I176" s="39"/>
      <c r="J176" s="38"/>
      <c r="K176" s="198"/>
      <c r="L176" s="38"/>
      <c r="M176" s="38"/>
      <c r="N176" s="38"/>
      <c r="O176" s="38"/>
      <c r="P176" s="40" t="str" cm="1">
        <f t="array" ref="P176">IF(N176="","",IFERROR(_xlfn.XLOOKUP(F176&amp;"|"&amp;J176&amp;"|"&amp;O176,PRICES!$C$2:$C$659&amp;"|"&amp;PRICES!$B$2:$B$659&amp;"|"&amp;PRICES!$D$2:$D$659,PRICES!$E$2:$E$659),"Not Found"))</f>
        <v/>
      </c>
      <c r="Q176" s="100" t="str">
        <f>IF(N176=0,"",SUMIFS(PRICES!$G$2:$G$658,PRICES!$B$2:$B$658,'MAIN TABLE-1 AUTOMATED'!J176,PRICES!$C$2:$C$658,'MAIN TABLE-1 AUTOMATED'!F176,PRICES!$D$2:$D$658,'MAIN TABLE-1 AUTOMATED'!O176))</f>
        <v/>
      </c>
      <c r="R176" s="41" t="str">
        <f>IF(Table1[[#This Row],[QUANTITY]]=0,"",Table1[[#This Row],[UNIT PRICE]]*Table1[[#This Row],[QUANTITY]])</f>
        <v/>
      </c>
      <c r="S176" s="89"/>
      <c r="T176" s="38"/>
      <c r="U176" s="43"/>
      <c r="V176" s="42" t="str">
        <f>IF(Table1[[#This Row],[DATE]]=0,"",YEAR(E176))</f>
        <v/>
      </c>
      <c r="W176" s="40" t="str">
        <f t="shared" si="4"/>
        <v/>
      </c>
      <c r="X176" s="40" t="str">
        <f t="shared" si="5"/>
        <v/>
      </c>
      <c r="Y176" s="40" t="str">
        <f>TEXT(Table1[[#This Row],[YEAR]],"0000")&amp;"-"&amp;Table1[[#This Row],[MONTH]]</f>
        <v>-</v>
      </c>
    </row>
    <row r="177" spans="1:25" ht="18" x14ac:dyDescent="0.35">
      <c r="A177" s="24"/>
      <c r="B177" s="38"/>
      <c r="C177" s="38"/>
      <c r="D177" s="38"/>
      <c r="E177" s="37"/>
      <c r="F177" s="38"/>
      <c r="G177" s="198"/>
      <c r="H177" s="198"/>
      <c r="I177" s="39"/>
      <c r="J177" s="38"/>
      <c r="K177" s="198"/>
      <c r="L177" s="38"/>
      <c r="M177" s="38"/>
      <c r="N177" s="38"/>
      <c r="O177" s="38"/>
      <c r="P177" s="40" t="str" cm="1">
        <f t="array" ref="P177">IF(N177="","",IFERROR(_xlfn.XLOOKUP(F177&amp;"|"&amp;J177&amp;"|"&amp;O177,PRICES!$C$2:$C$659&amp;"|"&amp;PRICES!$B$2:$B$659&amp;"|"&amp;PRICES!$D$2:$D$659,PRICES!$E$2:$E$659),"Not Found"))</f>
        <v/>
      </c>
      <c r="Q177" s="100" t="str">
        <f>IF(N177=0,"",SUMIFS(PRICES!$G$2:$G$658,PRICES!$B$2:$B$658,'MAIN TABLE-1 AUTOMATED'!J177,PRICES!$C$2:$C$658,'MAIN TABLE-1 AUTOMATED'!F177,PRICES!$D$2:$D$658,'MAIN TABLE-1 AUTOMATED'!O177))</f>
        <v/>
      </c>
      <c r="R177" s="41" t="str">
        <f>IF(Table1[[#This Row],[QUANTITY]]=0,"",Table1[[#This Row],[UNIT PRICE]]*Table1[[#This Row],[QUANTITY]])</f>
        <v/>
      </c>
      <c r="S177" s="89"/>
      <c r="T177" s="38"/>
      <c r="U177" s="43"/>
      <c r="V177" s="42" t="str">
        <f>IF(Table1[[#This Row],[DATE]]=0,"",YEAR(E177))</f>
        <v/>
      </c>
      <c r="W177" s="40" t="str">
        <f t="shared" si="4"/>
        <v/>
      </c>
      <c r="X177" s="40" t="str">
        <f t="shared" si="5"/>
        <v/>
      </c>
      <c r="Y177" s="40" t="str">
        <f>TEXT(Table1[[#This Row],[YEAR]],"0000")&amp;"-"&amp;Table1[[#This Row],[MONTH]]</f>
        <v>-</v>
      </c>
    </row>
    <row r="178" spans="1:25" ht="18" x14ac:dyDescent="0.35">
      <c r="A178" s="24"/>
      <c r="B178" s="38"/>
      <c r="C178" s="38"/>
      <c r="D178" s="38"/>
      <c r="E178" s="37"/>
      <c r="F178" s="38"/>
      <c r="G178" s="198"/>
      <c r="H178" s="198"/>
      <c r="I178" s="39"/>
      <c r="J178" s="38"/>
      <c r="K178" s="198"/>
      <c r="L178" s="38"/>
      <c r="M178" s="38"/>
      <c r="N178" s="38"/>
      <c r="O178" s="38"/>
      <c r="P178" s="40" t="str" cm="1">
        <f t="array" ref="P178">IF(N178="","",IFERROR(_xlfn.XLOOKUP(F178&amp;"|"&amp;J178&amp;"|"&amp;O178,PRICES!$C$2:$C$659&amp;"|"&amp;PRICES!$B$2:$B$659&amp;"|"&amp;PRICES!$D$2:$D$659,PRICES!$E$2:$E$659),"Not Found"))</f>
        <v/>
      </c>
      <c r="Q178" s="100" t="str">
        <f>IF(N178=0,"",SUMIFS(PRICES!$G$2:$G$658,PRICES!$B$2:$B$658,'MAIN TABLE-1 AUTOMATED'!J178,PRICES!$C$2:$C$658,'MAIN TABLE-1 AUTOMATED'!F178,PRICES!$D$2:$D$658,'MAIN TABLE-1 AUTOMATED'!O178))</f>
        <v/>
      </c>
      <c r="R178" s="41" t="str">
        <f>IF(Table1[[#This Row],[QUANTITY]]=0,"",Table1[[#This Row],[UNIT PRICE]]*Table1[[#This Row],[QUANTITY]])</f>
        <v/>
      </c>
      <c r="S178" s="89"/>
      <c r="T178" s="38"/>
      <c r="U178" s="43"/>
      <c r="V178" s="42" t="str">
        <f>IF(Table1[[#This Row],[DATE]]=0,"",YEAR(E178))</f>
        <v/>
      </c>
      <c r="W178" s="40" t="str">
        <f t="shared" si="4"/>
        <v/>
      </c>
      <c r="X178" s="40" t="str">
        <f t="shared" si="5"/>
        <v/>
      </c>
      <c r="Y178" s="40" t="str">
        <f>TEXT(Table1[[#This Row],[YEAR]],"0000")&amp;"-"&amp;Table1[[#This Row],[MONTH]]</f>
        <v>-</v>
      </c>
    </row>
    <row r="179" spans="1:25" ht="18" x14ac:dyDescent="0.35">
      <c r="A179" s="24"/>
      <c r="B179" s="38"/>
      <c r="C179" s="38"/>
      <c r="D179" s="38"/>
      <c r="E179" s="37"/>
      <c r="F179" s="38"/>
      <c r="G179" s="198"/>
      <c r="H179" s="198"/>
      <c r="I179" s="39"/>
      <c r="J179" s="38"/>
      <c r="K179" s="198"/>
      <c r="L179" s="38"/>
      <c r="M179" s="38"/>
      <c r="N179" s="38"/>
      <c r="O179" s="38"/>
      <c r="P179" s="40" t="str" cm="1">
        <f t="array" ref="P179">IF(N179="","",IFERROR(_xlfn.XLOOKUP(F179&amp;"|"&amp;J179&amp;"|"&amp;O179,PRICES!$C$2:$C$659&amp;"|"&amp;PRICES!$B$2:$B$659&amp;"|"&amp;PRICES!$D$2:$D$659,PRICES!$E$2:$E$659),"Not Found"))</f>
        <v/>
      </c>
      <c r="Q179" s="100" t="str">
        <f>IF(N179=0,"",SUMIFS(PRICES!$G$2:$G$658,PRICES!$B$2:$B$658,'MAIN TABLE-1 AUTOMATED'!J179,PRICES!$C$2:$C$658,'MAIN TABLE-1 AUTOMATED'!F179,PRICES!$D$2:$D$658,'MAIN TABLE-1 AUTOMATED'!O179))</f>
        <v/>
      </c>
      <c r="R179" s="41" t="str">
        <f>IF(Table1[[#This Row],[QUANTITY]]=0,"",Table1[[#This Row],[UNIT PRICE]]*Table1[[#This Row],[QUANTITY]])</f>
        <v/>
      </c>
      <c r="S179" s="89"/>
      <c r="T179" s="38"/>
      <c r="U179" s="43"/>
      <c r="V179" s="42" t="str">
        <f>IF(Table1[[#This Row],[DATE]]=0,"",YEAR(E179))</f>
        <v/>
      </c>
      <c r="W179" s="40" t="str">
        <f t="shared" si="4"/>
        <v/>
      </c>
      <c r="X179" s="40" t="str">
        <f t="shared" si="5"/>
        <v/>
      </c>
      <c r="Y179" s="40" t="str">
        <f>TEXT(Table1[[#This Row],[YEAR]],"0000")&amp;"-"&amp;Table1[[#This Row],[MONTH]]</f>
        <v>-</v>
      </c>
    </row>
    <row r="180" spans="1:25" ht="18" x14ac:dyDescent="0.35">
      <c r="A180" s="24"/>
      <c r="B180" s="38"/>
      <c r="C180" s="38"/>
      <c r="D180" s="38"/>
      <c r="E180" s="37"/>
      <c r="F180" s="38"/>
      <c r="G180" s="198"/>
      <c r="H180" s="198"/>
      <c r="I180" s="39"/>
      <c r="J180" s="38"/>
      <c r="K180" s="198"/>
      <c r="L180" s="38"/>
      <c r="M180" s="38"/>
      <c r="N180" s="38"/>
      <c r="O180" s="38"/>
      <c r="P180" s="40" t="str" cm="1">
        <f t="array" ref="P180">IF(N180="","",IFERROR(_xlfn.XLOOKUP(F180&amp;"|"&amp;J180&amp;"|"&amp;O180,PRICES!$C$2:$C$659&amp;"|"&amp;PRICES!$B$2:$B$659&amp;"|"&amp;PRICES!$D$2:$D$659,PRICES!$E$2:$E$659),"Not Found"))</f>
        <v/>
      </c>
      <c r="Q180" s="100" t="str">
        <f>IF(N180=0,"",SUMIFS(PRICES!$G$2:$G$658,PRICES!$B$2:$B$658,'MAIN TABLE-1 AUTOMATED'!J180,PRICES!$C$2:$C$658,'MAIN TABLE-1 AUTOMATED'!F180,PRICES!$D$2:$D$658,'MAIN TABLE-1 AUTOMATED'!O180))</f>
        <v/>
      </c>
      <c r="R180" s="41" t="str">
        <f>IF(Table1[[#This Row],[QUANTITY]]=0,"",Table1[[#This Row],[UNIT PRICE]]*Table1[[#This Row],[QUANTITY]])</f>
        <v/>
      </c>
      <c r="S180" s="89"/>
      <c r="T180" s="38"/>
      <c r="U180" s="43"/>
      <c r="V180" s="42" t="str">
        <f>IF(Table1[[#This Row],[DATE]]=0,"",YEAR(E180))</f>
        <v/>
      </c>
      <c r="W180" s="40" t="str">
        <f t="shared" si="4"/>
        <v/>
      </c>
      <c r="X180" s="40" t="str">
        <f t="shared" si="5"/>
        <v/>
      </c>
      <c r="Y180" s="40" t="str">
        <f>TEXT(Table1[[#This Row],[YEAR]],"0000")&amp;"-"&amp;Table1[[#This Row],[MONTH]]</f>
        <v>-</v>
      </c>
    </row>
    <row r="181" spans="1:25" ht="18" x14ac:dyDescent="0.35">
      <c r="A181" s="24"/>
      <c r="B181" s="38"/>
      <c r="C181" s="38"/>
      <c r="D181" s="38"/>
      <c r="E181" s="37"/>
      <c r="F181" s="38"/>
      <c r="G181" s="198"/>
      <c r="H181" s="198"/>
      <c r="I181" s="39"/>
      <c r="J181" s="38"/>
      <c r="K181" s="198"/>
      <c r="L181" s="38"/>
      <c r="M181" s="38"/>
      <c r="N181" s="38"/>
      <c r="O181" s="38"/>
      <c r="P181" s="40" t="str" cm="1">
        <f t="array" ref="P181">IF(N181="","",IFERROR(_xlfn.XLOOKUP(F181&amp;"|"&amp;J181&amp;"|"&amp;O181,PRICES!$C$2:$C$659&amp;"|"&amp;PRICES!$B$2:$B$659&amp;"|"&amp;PRICES!$D$2:$D$659,PRICES!$E$2:$E$659),"Not Found"))</f>
        <v/>
      </c>
      <c r="Q181" s="100" t="str">
        <f>IF(N181=0,"",SUMIFS(PRICES!$G$2:$G$658,PRICES!$B$2:$B$658,'MAIN TABLE-1 AUTOMATED'!J181,PRICES!$C$2:$C$658,'MAIN TABLE-1 AUTOMATED'!F181,PRICES!$D$2:$D$658,'MAIN TABLE-1 AUTOMATED'!O181))</f>
        <v/>
      </c>
      <c r="R181" s="41" t="str">
        <f>IF(Table1[[#This Row],[QUANTITY]]=0,"",Table1[[#This Row],[UNIT PRICE]]*Table1[[#This Row],[QUANTITY]])</f>
        <v/>
      </c>
      <c r="S181" s="89"/>
      <c r="T181" s="38"/>
      <c r="U181" s="43"/>
      <c r="V181" s="42" t="str">
        <f>IF(Table1[[#This Row],[DATE]]=0,"",YEAR(E181))</f>
        <v/>
      </c>
      <c r="W181" s="40" t="str">
        <f t="shared" si="4"/>
        <v/>
      </c>
      <c r="X181" s="40" t="str">
        <f t="shared" si="5"/>
        <v/>
      </c>
      <c r="Y181" s="40" t="str">
        <f>TEXT(Table1[[#This Row],[YEAR]],"0000")&amp;"-"&amp;Table1[[#This Row],[MONTH]]</f>
        <v>-</v>
      </c>
    </row>
    <row r="182" spans="1:25" ht="18" x14ac:dyDescent="0.35">
      <c r="A182" s="24"/>
      <c r="B182" s="38"/>
      <c r="C182" s="38"/>
      <c r="D182" s="38"/>
      <c r="E182" s="37"/>
      <c r="F182" s="38"/>
      <c r="G182" s="198"/>
      <c r="H182" s="198"/>
      <c r="I182" s="39"/>
      <c r="J182" s="38"/>
      <c r="K182" s="198"/>
      <c r="L182" s="38"/>
      <c r="M182" s="38"/>
      <c r="N182" s="38"/>
      <c r="O182" s="38"/>
      <c r="P182" s="40" t="str" cm="1">
        <f t="array" ref="P182">IF(N182="","",IFERROR(_xlfn.XLOOKUP(F182&amp;"|"&amp;J182&amp;"|"&amp;O182,PRICES!$C$2:$C$659&amp;"|"&amp;PRICES!$B$2:$B$659&amp;"|"&amp;PRICES!$D$2:$D$659,PRICES!$E$2:$E$659),"Not Found"))</f>
        <v/>
      </c>
      <c r="Q182" s="100" t="str">
        <f>IF(N182=0,"",SUMIFS(PRICES!$G$2:$G$658,PRICES!$B$2:$B$658,'MAIN TABLE-1 AUTOMATED'!J182,PRICES!$C$2:$C$658,'MAIN TABLE-1 AUTOMATED'!F182,PRICES!$D$2:$D$658,'MAIN TABLE-1 AUTOMATED'!O182))</f>
        <v/>
      </c>
      <c r="R182" s="41" t="str">
        <f>IF(Table1[[#This Row],[QUANTITY]]=0,"",Table1[[#This Row],[UNIT PRICE]]*Table1[[#This Row],[QUANTITY]])</f>
        <v/>
      </c>
      <c r="S182" s="89"/>
      <c r="T182" s="38"/>
      <c r="U182" s="43"/>
      <c r="V182" s="42" t="str">
        <f>IF(Table1[[#This Row],[DATE]]=0,"",YEAR(E182))</f>
        <v/>
      </c>
      <c r="W182" s="40" t="str">
        <f t="shared" si="4"/>
        <v/>
      </c>
      <c r="X182" s="40" t="str">
        <f t="shared" si="5"/>
        <v/>
      </c>
      <c r="Y182" s="40" t="str">
        <f>TEXT(Table1[[#This Row],[YEAR]],"0000")&amp;"-"&amp;Table1[[#This Row],[MONTH]]</f>
        <v>-</v>
      </c>
    </row>
    <row r="183" spans="1:25" ht="18" x14ac:dyDescent="0.35">
      <c r="A183" s="24"/>
      <c r="B183" s="38"/>
      <c r="C183" s="38"/>
      <c r="D183" s="38"/>
      <c r="E183" s="37"/>
      <c r="F183" s="38"/>
      <c r="G183" s="198"/>
      <c r="H183" s="198"/>
      <c r="I183" s="39"/>
      <c r="J183" s="38"/>
      <c r="K183" s="39"/>
      <c r="L183" s="38"/>
      <c r="M183" s="38"/>
      <c r="N183" s="38"/>
      <c r="O183" s="38"/>
      <c r="P183" s="40" t="str" cm="1">
        <f t="array" ref="P183">IF(N183="","",IFERROR(_xlfn.XLOOKUP(F183&amp;"|"&amp;J183&amp;"|"&amp;O183,PRICES!$C$2:$C$659&amp;"|"&amp;PRICES!$B$2:$B$659&amp;"|"&amp;PRICES!$D$2:$D$659,PRICES!$E$2:$E$659),"Not Found"))</f>
        <v/>
      </c>
      <c r="Q183" s="100" t="str">
        <f>IF(N183=0,"",SUMIFS(PRICES!$G$2:$G$658,PRICES!$B$2:$B$658,'MAIN TABLE-1 AUTOMATED'!J183,PRICES!$C$2:$C$658,'MAIN TABLE-1 AUTOMATED'!F183,PRICES!$D$2:$D$658,'MAIN TABLE-1 AUTOMATED'!O183))</f>
        <v/>
      </c>
      <c r="R183" s="41" t="str">
        <f>IF(Table1[[#This Row],[QUANTITY]]=0,"",Table1[[#This Row],[UNIT PRICE]]*Table1[[#This Row],[QUANTITY]])</f>
        <v/>
      </c>
      <c r="S183" s="89"/>
      <c r="T183" s="38"/>
      <c r="U183" s="43"/>
      <c r="V183" s="42" t="str">
        <f>IF(Table1[[#This Row],[DATE]]=0,"",YEAR(E183))</f>
        <v/>
      </c>
      <c r="W183" s="40" t="str">
        <f t="shared" si="4"/>
        <v/>
      </c>
      <c r="X183" s="40" t="str">
        <f t="shared" si="5"/>
        <v/>
      </c>
      <c r="Y183" s="40" t="str">
        <f>TEXT(Table1[[#This Row],[YEAR]],"0000")&amp;"-"&amp;Table1[[#This Row],[MONTH]]</f>
        <v>-</v>
      </c>
    </row>
    <row r="184" spans="1:25" ht="18" x14ac:dyDescent="0.35">
      <c r="A184" s="24"/>
      <c r="B184" s="38"/>
      <c r="C184" s="38"/>
      <c r="D184" s="38"/>
      <c r="E184" s="37"/>
      <c r="F184" s="38"/>
      <c r="G184" s="198"/>
      <c r="H184" s="198"/>
      <c r="I184" s="39"/>
      <c r="J184" s="38"/>
      <c r="K184" s="198"/>
      <c r="L184" s="38"/>
      <c r="M184" s="38"/>
      <c r="N184" s="38"/>
      <c r="O184" s="38"/>
      <c r="P184" s="40" t="str" cm="1">
        <f t="array" ref="P184">IF(N184="","",IFERROR(_xlfn.XLOOKUP(F184&amp;"|"&amp;J184&amp;"|"&amp;O184,PRICES!$C$2:$C$659&amp;"|"&amp;PRICES!$B$2:$B$659&amp;"|"&amp;PRICES!$D$2:$D$659,PRICES!$E$2:$E$659),"Not Found"))</f>
        <v/>
      </c>
      <c r="Q184" s="100" t="str">
        <f>IF(N184=0,"",SUMIFS(PRICES!$G$2:$G$658,PRICES!$B$2:$B$658,'MAIN TABLE-1 AUTOMATED'!J184,PRICES!$C$2:$C$658,'MAIN TABLE-1 AUTOMATED'!F184,PRICES!$D$2:$D$658,'MAIN TABLE-1 AUTOMATED'!O184))</f>
        <v/>
      </c>
      <c r="R184" s="41" t="str">
        <f>IF(Table1[[#This Row],[QUANTITY]]=0,"",Table1[[#This Row],[UNIT PRICE]]*Table1[[#This Row],[QUANTITY]])</f>
        <v/>
      </c>
      <c r="S184" s="89"/>
      <c r="T184" s="38"/>
      <c r="U184" s="43"/>
      <c r="V184" s="42" t="str">
        <f>IF(Table1[[#This Row],[DATE]]=0,"",YEAR(E184))</f>
        <v/>
      </c>
      <c r="W184" s="40" t="str">
        <f t="shared" si="4"/>
        <v/>
      </c>
      <c r="X184" s="40" t="str">
        <f t="shared" si="5"/>
        <v/>
      </c>
      <c r="Y184" s="40" t="str">
        <f>TEXT(Table1[[#This Row],[YEAR]],"0000")&amp;"-"&amp;Table1[[#This Row],[MONTH]]</f>
        <v>-</v>
      </c>
    </row>
    <row r="185" spans="1:25" ht="18" x14ac:dyDescent="0.35">
      <c r="A185" s="24"/>
      <c r="B185" s="38"/>
      <c r="C185" s="38"/>
      <c r="D185" s="38"/>
      <c r="E185" s="37"/>
      <c r="F185" s="38"/>
      <c r="G185" s="198"/>
      <c r="H185" s="198"/>
      <c r="I185" s="39"/>
      <c r="J185" s="38"/>
      <c r="K185" s="198"/>
      <c r="L185" s="38"/>
      <c r="M185" s="38"/>
      <c r="N185" s="38"/>
      <c r="O185" s="38"/>
      <c r="P185" s="40" t="str" cm="1">
        <f t="array" ref="P185">IF(N185="","",IFERROR(_xlfn.XLOOKUP(F185&amp;"|"&amp;J185&amp;"|"&amp;O185,PRICES!$C$2:$C$659&amp;"|"&amp;PRICES!$B$2:$B$659&amp;"|"&amp;PRICES!$D$2:$D$659,PRICES!$E$2:$E$659),"Not Found"))</f>
        <v/>
      </c>
      <c r="Q185" s="100" t="str">
        <f>IF(N185=0,"",SUMIFS(PRICES!$G$2:$G$658,PRICES!$B$2:$B$658,'MAIN TABLE-1 AUTOMATED'!J185,PRICES!$C$2:$C$658,'MAIN TABLE-1 AUTOMATED'!F185,PRICES!$D$2:$D$658,'MAIN TABLE-1 AUTOMATED'!O185))</f>
        <v/>
      </c>
      <c r="R185" s="41" t="str">
        <f>IF(Table1[[#This Row],[QUANTITY]]=0,"",Table1[[#This Row],[UNIT PRICE]]*Table1[[#This Row],[QUANTITY]])</f>
        <v/>
      </c>
      <c r="S185" s="89"/>
      <c r="T185" s="38"/>
      <c r="U185" s="43"/>
      <c r="V185" s="42" t="str">
        <f>IF(Table1[[#This Row],[DATE]]=0,"",YEAR(E185))</f>
        <v/>
      </c>
      <c r="W185" s="40" t="str">
        <f t="shared" si="4"/>
        <v/>
      </c>
      <c r="X185" s="40" t="str">
        <f t="shared" si="5"/>
        <v/>
      </c>
      <c r="Y185" s="40" t="str">
        <f>TEXT(Table1[[#This Row],[YEAR]],"0000")&amp;"-"&amp;Table1[[#This Row],[MONTH]]</f>
        <v>-</v>
      </c>
    </row>
    <row r="186" spans="1:25" ht="18" x14ac:dyDescent="0.35">
      <c r="A186" s="24"/>
      <c r="B186" s="38"/>
      <c r="C186" s="38"/>
      <c r="D186" s="38"/>
      <c r="E186" s="37"/>
      <c r="F186" s="38"/>
      <c r="G186" s="198"/>
      <c r="H186" s="198"/>
      <c r="I186" s="39"/>
      <c r="J186" s="38"/>
      <c r="K186" s="198"/>
      <c r="L186" s="38"/>
      <c r="M186" s="38"/>
      <c r="N186" s="38"/>
      <c r="O186" s="38"/>
      <c r="P186" s="40" t="str" cm="1">
        <f t="array" ref="P186">IF(N186="","",IFERROR(_xlfn.XLOOKUP(F186&amp;"|"&amp;J186&amp;"|"&amp;O186,PRICES!$C$2:$C$659&amp;"|"&amp;PRICES!$B$2:$B$659&amp;"|"&amp;PRICES!$D$2:$D$659,PRICES!$E$2:$E$659),"Not Found"))</f>
        <v/>
      </c>
      <c r="Q186" s="100" t="str">
        <f>IF(N186=0,"",SUMIFS(PRICES!$G$2:$G$658,PRICES!$B$2:$B$658,'MAIN TABLE-1 AUTOMATED'!J186,PRICES!$C$2:$C$658,'MAIN TABLE-1 AUTOMATED'!F186,PRICES!$D$2:$D$658,'MAIN TABLE-1 AUTOMATED'!O186))</f>
        <v/>
      </c>
      <c r="R186" s="41" t="str">
        <f>IF(Table1[[#This Row],[QUANTITY]]=0,"",Table1[[#This Row],[UNIT PRICE]]*Table1[[#This Row],[QUANTITY]])</f>
        <v/>
      </c>
      <c r="S186" s="89"/>
      <c r="T186" s="38"/>
      <c r="U186" s="43"/>
      <c r="V186" s="42" t="str">
        <f>IF(Table1[[#This Row],[DATE]]=0,"",YEAR(E186))</f>
        <v/>
      </c>
      <c r="W186" s="40" t="str">
        <f t="shared" si="4"/>
        <v/>
      </c>
      <c r="X186" s="40" t="str">
        <f t="shared" si="5"/>
        <v/>
      </c>
      <c r="Y186" s="40" t="str">
        <f>TEXT(Table1[[#This Row],[YEAR]],"0000")&amp;"-"&amp;Table1[[#This Row],[MONTH]]</f>
        <v>-</v>
      </c>
    </row>
    <row r="187" spans="1:25" ht="18" x14ac:dyDescent="0.35">
      <c r="A187" s="24"/>
      <c r="B187" s="38"/>
      <c r="C187" s="38"/>
      <c r="D187" s="38"/>
      <c r="E187" s="37"/>
      <c r="F187" s="38"/>
      <c r="G187" s="198"/>
      <c r="H187" s="198"/>
      <c r="I187" s="39"/>
      <c r="J187" s="38"/>
      <c r="K187" s="198"/>
      <c r="L187" s="38"/>
      <c r="M187" s="38"/>
      <c r="N187" s="38"/>
      <c r="O187" s="38"/>
      <c r="P187" s="40" t="str" cm="1">
        <f t="array" ref="P187">IF(N187="","",IFERROR(_xlfn.XLOOKUP(F187&amp;"|"&amp;J187&amp;"|"&amp;O187,PRICES!$C$2:$C$659&amp;"|"&amp;PRICES!$B$2:$B$659&amp;"|"&amp;PRICES!$D$2:$D$659,PRICES!$E$2:$E$659),"Not Found"))</f>
        <v/>
      </c>
      <c r="Q187" s="100" t="str">
        <f>IF(N187=0,"",SUMIFS(PRICES!$G$2:$G$658,PRICES!$B$2:$B$658,'MAIN TABLE-1 AUTOMATED'!J187,PRICES!$C$2:$C$658,'MAIN TABLE-1 AUTOMATED'!F187,PRICES!$D$2:$D$658,'MAIN TABLE-1 AUTOMATED'!O187))</f>
        <v/>
      </c>
      <c r="R187" s="41" t="str">
        <f>IF(Table1[[#This Row],[QUANTITY]]=0,"",Table1[[#This Row],[UNIT PRICE]]*Table1[[#This Row],[QUANTITY]])</f>
        <v/>
      </c>
      <c r="S187" s="89"/>
      <c r="T187" s="38"/>
      <c r="U187" s="43"/>
      <c r="V187" s="42" t="str">
        <f>IF(Table1[[#This Row],[DATE]]=0,"",YEAR(E187))</f>
        <v/>
      </c>
      <c r="W187" s="40" t="str">
        <f t="shared" si="4"/>
        <v/>
      </c>
      <c r="X187" s="40" t="str">
        <f t="shared" si="5"/>
        <v/>
      </c>
      <c r="Y187" s="40" t="str">
        <f>TEXT(Table1[[#This Row],[YEAR]],"0000")&amp;"-"&amp;Table1[[#This Row],[MONTH]]</f>
        <v>-</v>
      </c>
    </row>
    <row r="188" spans="1:25" ht="18" x14ac:dyDescent="0.35">
      <c r="A188" s="24"/>
      <c r="B188" s="38"/>
      <c r="C188" s="38"/>
      <c r="D188" s="38"/>
      <c r="E188" s="37"/>
      <c r="F188" s="38"/>
      <c r="G188" s="198"/>
      <c r="H188" s="198"/>
      <c r="I188" s="39"/>
      <c r="J188" s="38"/>
      <c r="K188" s="198"/>
      <c r="L188" s="38"/>
      <c r="M188" s="38"/>
      <c r="N188" s="38"/>
      <c r="O188" s="38"/>
      <c r="P188" s="40" t="str" cm="1">
        <f t="array" ref="P188">IF(N188="","",IFERROR(_xlfn.XLOOKUP(F188&amp;"|"&amp;J188&amp;"|"&amp;O188,PRICES!$C$2:$C$659&amp;"|"&amp;PRICES!$B$2:$B$659&amp;"|"&amp;PRICES!$D$2:$D$659,PRICES!$E$2:$E$659),"Not Found"))</f>
        <v/>
      </c>
      <c r="Q188" s="100" t="str">
        <f>IF(N188=0,"",SUMIFS(PRICES!$G$2:$G$658,PRICES!$B$2:$B$658,'MAIN TABLE-1 AUTOMATED'!J188,PRICES!$C$2:$C$658,'MAIN TABLE-1 AUTOMATED'!F188,PRICES!$D$2:$D$658,'MAIN TABLE-1 AUTOMATED'!O188))</f>
        <v/>
      </c>
      <c r="R188" s="41" t="str">
        <f>IF(Table1[[#This Row],[QUANTITY]]=0,"",Table1[[#This Row],[UNIT PRICE]]*Table1[[#This Row],[QUANTITY]])</f>
        <v/>
      </c>
      <c r="S188" s="89"/>
      <c r="T188" s="38"/>
      <c r="U188" s="43"/>
      <c r="V188" s="42" t="str">
        <f>IF(Table1[[#This Row],[DATE]]=0,"",YEAR(E188))</f>
        <v/>
      </c>
      <c r="W188" s="40" t="str">
        <f t="shared" si="4"/>
        <v/>
      </c>
      <c r="X188" s="40" t="str">
        <f t="shared" si="5"/>
        <v/>
      </c>
      <c r="Y188" s="40" t="str">
        <f>TEXT(Table1[[#This Row],[YEAR]],"0000")&amp;"-"&amp;Table1[[#This Row],[MONTH]]</f>
        <v>-</v>
      </c>
    </row>
    <row r="189" spans="1:25" ht="18" x14ac:dyDescent="0.35">
      <c r="A189" s="24"/>
      <c r="B189" s="38"/>
      <c r="C189" s="38"/>
      <c r="D189" s="38"/>
      <c r="E189" s="37"/>
      <c r="F189" s="38"/>
      <c r="G189" s="198"/>
      <c r="H189" s="198"/>
      <c r="I189" s="39"/>
      <c r="J189" s="38"/>
      <c r="K189" s="198"/>
      <c r="L189" s="38"/>
      <c r="M189" s="38"/>
      <c r="N189" s="38"/>
      <c r="O189" s="38"/>
      <c r="P189" s="40" t="str" cm="1">
        <f t="array" ref="P189">IF(N189="","",IFERROR(_xlfn.XLOOKUP(F189&amp;"|"&amp;J189&amp;"|"&amp;O189,PRICES!$C$2:$C$659&amp;"|"&amp;PRICES!$B$2:$B$659&amp;"|"&amp;PRICES!$D$2:$D$659,PRICES!$E$2:$E$659),"Not Found"))</f>
        <v/>
      </c>
      <c r="Q189" s="100" t="str">
        <f>IF(N189=0,"",SUMIFS(PRICES!$G$2:$G$658,PRICES!$B$2:$B$658,'MAIN TABLE-1 AUTOMATED'!J189,PRICES!$C$2:$C$658,'MAIN TABLE-1 AUTOMATED'!F189,PRICES!$D$2:$D$658,'MAIN TABLE-1 AUTOMATED'!O189))</f>
        <v/>
      </c>
      <c r="R189" s="41" t="str">
        <f>IF(Table1[[#This Row],[QUANTITY]]=0,"",Table1[[#This Row],[UNIT PRICE]]*Table1[[#This Row],[QUANTITY]])</f>
        <v/>
      </c>
      <c r="S189" s="89"/>
      <c r="T189" s="38"/>
      <c r="U189" s="43"/>
      <c r="V189" s="42" t="str">
        <f>IF(Table1[[#This Row],[DATE]]=0,"",YEAR(E189))</f>
        <v/>
      </c>
      <c r="W189" s="40" t="str">
        <f t="shared" si="4"/>
        <v/>
      </c>
      <c r="X189" s="40" t="str">
        <f t="shared" si="5"/>
        <v/>
      </c>
      <c r="Y189" s="40" t="str">
        <f>TEXT(Table1[[#This Row],[YEAR]],"0000")&amp;"-"&amp;Table1[[#This Row],[MONTH]]</f>
        <v>-</v>
      </c>
    </row>
    <row r="190" spans="1:25" ht="18" x14ac:dyDescent="0.35">
      <c r="A190" s="24"/>
      <c r="B190" s="38"/>
      <c r="C190" s="38"/>
      <c r="D190" s="38"/>
      <c r="E190" s="37"/>
      <c r="F190" s="38"/>
      <c r="G190" s="198"/>
      <c r="H190" s="198"/>
      <c r="I190" s="39"/>
      <c r="J190" s="38"/>
      <c r="K190" s="198"/>
      <c r="L190" s="38"/>
      <c r="M190" s="38"/>
      <c r="N190" s="38"/>
      <c r="O190" s="38"/>
      <c r="P190" s="40" t="str" cm="1">
        <f t="array" ref="P190">IF(N190="","",IFERROR(_xlfn.XLOOKUP(F190&amp;"|"&amp;J190&amp;"|"&amp;O190,PRICES!$C$2:$C$659&amp;"|"&amp;PRICES!$B$2:$B$659&amp;"|"&amp;PRICES!$D$2:$D$659,PRICES!$E$2:$E$659),"Not Found"))</f>
        <v/>
      </c>
      <c r="Q190" s="100" t="str">
        <f>IF(N190=0,"",SUMIFS(PRICES!$G$2:$G$658,PRICES!$B$2:$B$658,'MAIN TABLE-1 AUTOMATED'!J190,PRICES!$C$2:$C$658,'MAIN TABLE-1 AUTOMATED'!F190,PRICES!$D$2:$D$658,'MAIN TABLE-1 AUTOMATED'!O190))</f>
        <v/>
      </c>
      <c r="R190" s="41" t="str">
        <f>IF(Table1[[#This Row],[QUANTITY]]=0,"",Table1[[#This Row],[UNIT PRICE]]*Table1[[#This Row],[QUANTITY]])</f>
        <v/>
      </c>
      <c r="S190" s="89"/>
      <c r="T190" s="38"/>
      <c r="U190" s="43"/>
      <c r="V190" s="42" t="str">
        <f>IF(Table1[[#This Row],[DATE]]=0,"",YEAR(E190))</f>
        <v/>
      </c>
      <c r="W190" s="40" t="str">
        <f t="shared" si="4"/>
        <v/>
      </c>
      <c r="X190" s="40" t="str">
        <f t="shared" si="5"/>
        <v/>
      </c>
      <c r="Y190" s="40" t="str">
        <f>TEXT(Table1[[#This Row],[YEAR]],"0000")&amp;"-"&amp;Table1[[#This Row],[MONTH]]</f>
        <v>-</v>
      </c>
    </row>
    <row r="191" spans="1:25" ht="18" x14ac:dyDescent="0.35">
      <c r="A191" s="24"/>
      <c r="B191" s="38"/>
      <c r="C191" s="38"/>
      <c r="D191" s="38"/>
      <c r="E191" s="37"/>
      <c r="F191" s="38"/>
      <c r="G191" s="198"/>
      <c r="H191" s="198"/>
      <c r="I191" s="39"/>
      <c r="J191" s="38"/>
      <c r="K191" s="198"/>
      <c r="L191" s="38"/>
      <c r="M191" s="38"/>
      <c r="N191" s="38"/>
      <c r="O191" s="38"/>
      <c r="P191" s="40" t="str" cm="1">
        <f t="array" ref="P191">IF(N191="","",IFERROR(_xlfn.XLOOKUP(F191&amp;"|"&amp;J191&amp;"|"&amp;O191,PRICES!$C$2:$C$659&amp;"|"&amp;PRICES!$B$2:$B$659&amp;"|"&amp;PRICES!$D$2:$D$659,PRICES!$E$2:$E$659),"Not Found"))</f>
        <v/>
      </c>
      <c r="Q191" s="100" t="str">
        <f>IF(N191=0,"",SUMIFS(PRICES!$G$2:$G$658,PRICES!$B$2:$B$658,'MAIN TABLE-1 AUTOMATED'!J191,PRICES!$C$2:$C$658,'MAIN TABLE-1 AUTOMATED'!F191,PRICES!$D$2:$D$658,'MAIN TABLE-1 AUTOMATED'!O191))</f>
        <v/>
      </c>
      <c r="R191" s="41" t="str">
        <f>IF(Table1[[#This Row],[QUANTITY]]=0,"",Table1[[#This Row],[UNIT PRICE]]*Table1[[#This Row],[QUANTITY]])</f>
        <v/>
      </c>
      <c r="S191" s="89"/>
      <c r="T191" s="38"/>
      <c r="U191" s="43"/>
      <c r="V191" s="42" t="str">
        <f>IF(Table1[[#This Row],[DATE]]=0,"",YEAR(E191))</f>
        <v/>
      </c>
      <c r="W191" s="40" t="str">
        <f t="shared" si="4"/>
        <v/>
      </c>
      <c r="X191" s="40" t="str">
        <f t="shared" si="5"/>
        <v/>
      </c>
      <c r="Y191" s="40" t="str">
        <f>TEXT(Table1[[#This Row],[YEAR]],"0000")&amp;"-"&amp;Table1[[#This Row],[MONTH]]</f>
        <v>-</v>
      </c>
    </row>
    <row r="192" spans="1:25" ht="18" x14ac:dyDescent="0.35">
      <c r="A192" s="24"/>
      <c r="B192" s="38"/>
      <c r="C192" s="38"/>
      <c r="D192" s="38"/>
      <c r="E192" s="37"/>
      <c r="F192" s="38"/>
      <c r="G192" s="198"/>
      <c r="H192" s="198"/>
      <c r="I192" s="39"/>
      <c r="J192" s="38"/>
      <c r="K192" s="198"/>
      <c r="L192" s="38"/>
      <c r="M192" s="38"/>
      <c r="N192" s="38"/>
      <c r="O192" s="38"/>
      <c r="P192" s="40" t="str" cm="1">
        <f t="array" ref="P192">IF(N192="","",IFERROR(_xlfn.XLOOKUP(F192&amp;"|"&amp;J192&amp;"|"&amp;O192,PRICES!$C$2:$C$659&amp;"|"&amp;PRICES!$B$2:$B$659&amp;"|"&amp;PRICES!$D$2:$D$659,PRICES!$E$2:$E$659),"Not Found"))</f>
        <v/>
      </c>
      <c r="Q192" s="100" t="str">
        <f>IF(N192=0,"",SUMIFS(PRICES!$G$2:$G$658,PRICES!$B$2:$B$658,'MAIN TABLE-1 AUTOMATED'!J192,PRICES!$C$2:$C$658,'MAIN TABLE-1 AUTOMATED'!F192,PRICES!$D$2:$D$658,'MAIN TABLE-1 AUTOMATED'!O192))</f>
        <v/>
      </c>
      <c r="R192" s="41" t="str">
        <f>IF(Table1[[#This Row],[QUANTITY]]=0,"",Table1[[#This Row],[UNIT PRICE]]*Table1[[#This Row],[QUANTITY]])</f>
        <v/>
      </c>
      <c r="S192" s="89"/>
      <c r="T192" s="38"/>
      <c r="U192" s="43"/>
      <c r="V192" s="42" t="str">
        <f>IF(Table1[[#This Row],[DATE]]=0,"",YEAR(E192))</f>
        <v/>
      </c>
      <c r="W192" s="40" t="str">
        <f t="shared" si="4"/>
        <v/>
      </c>
      <c r="X192" s="40" t="str">
        <f t="shared" si="5"/>
        <v/>
      </c>
      <c r="Y192" s="40" t="str">
        <f>TEXT(Table1[[#This Row],[YEAR]],"0000")&amp;"-"&amp;Table1[[#This Row],[MONTH]]</f>
        <v>-</v>
      </c>
    </row>
    <row r="193" spans="1:25" ht="18" x14ac:dyDescent="0.35">
      <c r="A193" s="24"/>
      <c r="B193" s="38"/>
      <c r="C193" s="38"/>
      <c r="D193" s="38"/>
      <c r="E193" s="37"/>
      <c r="F193" s="38"/>
      <c r="G193" s="198"/>
      <c r="H193" s="198"/>
      <c r="I193" s="39"/>
      <c r="J193" s="38"/>
      <c r="K193" s="198"/>
      <c r="L193" s="38"/>
      <c r="M193" s="38"/>
      <c r="N193" s="38"/>
      <c r="O193" s="38"/>
      <c r="P193" s="40" t="str" cm="1">
        <f t="array" ref="P193">IF(N193="","",IFERROR(_xlfn.XLOOKUP(F193&amp;"|"&amp;J193&amp;"|"&amp;O193,PRICES!$C$2:$C$659&amp;"|"&amp;PRICES!$B$2:$B$659&amp;"|"&amp;PRICES!$D$2:$D$659,PRICES!$E$2:$E$659),"Not Found"))</f>
        <v/>
      </c>
      <c r="Q193" s="100" t="str">
        <f>IF(N193=0,"",SUMIFS(PRICES!$G$2:$G$658,PRICES!$B$2:$B$658,'MAIN TABLE-1 AUTOMATED'!J193,PRICES!$C$2:$C$658,'MAIN TABLE-1 AUTOMATED'!F193,PRICES!$D$2:$D$658,'MAIN TABLE-1 AUTOMATED'!O193))</f>
        <v/>
      </c>
      <c r="R193" s="41" t="str">
        <f>IF(Table1[[#This Row],[QUANTITY]]=0,"",Table1[[#This Row],[UNIT PRICE]]*Table1[[#This Row],[QUANTITY]])</f>
        <v/>
      </c>
      <c r="S193" s="89"/>
      <c r="T193" s="38"/>
      <c r="U193" s="43"/>
      <c r="V193" s="42" t="str">
        <f>IF(Table1[[#This Row],[DATE]]=0,"",YEAR(E193))</f>
        <v/>
      </c>
      <c r="W193" s="40" t="str">
        <f t="shared" si="4"/>
        <v/>
      </c>
      <c r="X193" s="40" t="str">
        <f t="shared" si="5"/>
        <v/>
      </c>
      <c r="Y193" s="40" t="str">
        <f>TEXT(Table1[[#This Row],[YEAR]],"0000")&amp;"-"&amp;Table1[[#This Row],[MONTH]]</f>
        <v>-</v>
      </c>
    </row>
    <row r="194" spans="1:25" ht="18" x14ac:dyDescent="0.35">
      <c r="A194" s="24"/>
      <c r="B194" s="38"/>
      <c r="C194" s="38"/>
      <c r="D194" s="38"/>
      <c r="E194" s="37"/>
      <c r="F194" s="38"/>
      <c r="G194" s="198"/>
      <c r="H194" s="198"/>
      <c r="I194" s="39"/>
      <c r="J194" s="38"/>
      <c r="K194" s="198"/>
      <c r="L194" s="38"/>
      <c r="M194" s="38"/>
      <c r="N194" s="38"/>
      <c r="O194" s="38"/>
      <c r="P194" s="40" t="str" cm="1">
        <f t="array" ref="P194">IF(N194="","",IFERROR(_xlfn.XLOOKUP(F194&amp;"|"&amp;J194&amp;"|"&amp;O194,PRICES!$C$2:$C$659&amp;"|"&amp;PRICES!$B$2:$B$659&amp;"|"&amp;PRICES!$D$2:$D$659,PRICES!$E$2:$E$659),"Not Found"))</f>
        <v/>
      </c>
      <c r="Q194" s="100" t="str">
        <f>IF(N194=0,"",SUMIFS(PRICES!$G$2:$G$658,PRICES!$B$2:$B$658,'MAIN TABLE-1 AUTOMATED'!J194,PRICES!$C$2:$C$658,'MAIN TABLE-1 AUTOMATED'!F194,PRICES!$D$2:$D$658,'MAIN TABLE-1 AUTOMATED'!O194))</f>
        <v/>
      </c>
      <c r="R194" s="41" t="str">
        <f>IF(Table1[[#This Row],[QUANTITY]]=0,"",Table1[[#This Row],[UNIT PRICE]]*Table1[[#This Row],[QUANTITY]])</f>
        <v/>
      </c>
      <c r="S194" s="89"/>
      <c r="T194" s="38"/>
      <c r="U194" s="43"/>
      <c r="V194" s="42" t="str">
        <f>IF(Table1[[#This Row],[DATE]]=0,"",YEAR(E194))</f>
        <v/>
      </c>
      <c r="W194" s="40" t="str">
        <f t="shared" si="4"/>
        <v/>
      </c>
      <c r="X194" s="40" t="str">
        <f t="shared" si="5"/>
        <v/>
      </c>
      <c r="Y194" s="40" t="str">
        <f>TEXT(Table1[[#This Row],[YEAR]],"0000")&amp;"-"&amp;Table1[[#This Row],[MONTH]]</f>
        <v>-</v>
      </c>
    </row>
    <row r="195" spans="1:25" ht="18" x14ac:dyDescent="0.35">
      <c r="A195" s="24"/>
      <c r="B195" s="38"/>
      <c r="C195" s="38"/>
      <c r="D195" s="38"/>
      <c r="E195" s="37"/>
      <c r="F195" s="38"/>
      <c r="G195" s="198"/>
      <c r="H195" s="198"/>
      <c r="I195" s="39"/>
      <c r="J195" s="38"/>
      <c r="K195" s="198"/>
      <c r="L195" s="38"/>
      <c r="M195" s="38"/>
      <c r="N195" s="38"/>
      <c r="O195" s="38"/>
      <c r="P195" s="40" t="str" cm="1">
        <f t="array" ref="P195">IF(N195="","",IFERROR(_xlfn.XLOOKUP(F195&amp;"|"&amp;J195&amp;"|"&amp;O195,PRICES!$C$2:$C$659&amp;"|"&amp;PRICES!$B$2:$B$659&amp;"|"&amp;PRICES!$D$2:$D$659,PRICES!$E$2:$E$659),"Not Found"))</f>
        <v/>
      </c>
      <c r="Q195" s="100" t="str">
        <f>IF(N195=0,"",SUMIFS(PRICES!$G$2:$G$658,PRICES!$B$2:$B$658,'MAIN TABLE-1 AUTOMATED'!J195,PRICES!$C$2:$C$658,'MAIN TABLE-1 AUTOMATED'!F195,PRICES!$D$2:$D$658,'MAIN TABLE-1 AUTOMATED'!O195))</f>
        <v/>
      </c>
      <c r="R195" s="41" t="str">
        <f>IF(Table1[[#This Row],[QUANTITY]]=0,"",Table1[[#This Row],[UNIT PRICE]]*Table1[[#This Row],[QUANTITY]])</f>
        <v/>
      </c>
      <c r="S195" s="89"/>
      <c r="T195" s="38"/>
      <c r="U195" s="43"/>
      <c r="V195" s="42" t="str">
        <f>IF(Table1[[#This Row],[DATE]]=0,"",YEAR(E195))</f>
        <v/>
      </c>
      <c r="W195" s="40" t="str">
        <f t="shared" ref="W195:W222" si="6">IF(E195=0,"",MONTH(E195))</f>
        <v/>
      </c>
      <c r="X195" s="40" t="str">
        <f t="shared" ref="X195:X222" si="7">IF(E195=0,"",WEEKNUM(E195))</f>
        <v/>
      </c>
      <c r="Y195" s="40" t="str">
        <f>TEXT(Table1[[#This Row],[YEAR]],"0000")&amp;"-"&amp;Table1[[#This Row],[MONTH]]</f>
        <v>-</v>
      </c>
    </row>
    <row r="196" spans="1:25" ht="18" x14ac:dyDescent="0.35">
      <c r="A196" s="24"/>
      <c r="B196" s="38"/>
      <c r="C196" s="38"/>
      <c r="D196" s="38"/>
      <c r="E196" s="37"/>
      <c r="F196" s="38"/>
      <c r="G196" s="198"/>
      <c r="H196" s="198"/>
      <c r="I196" s="39"/>
      <c r="J196" s="38"/>
      <c r="K196" s="198"/>
      <c r="L196" s="38"/>
      <c r="M196" s="38"/>
      <c r="N196" s="38"/>
      <c r="O196" s="38"/>
      <c r="P196" s="40" t="str" cm="1">
        <f t="array" ref="P196">IF(N196="","",IFERROR(_xlfn.XLOOKUP(F196&amp;"|"&amp;J196&amp;"|"&amp;O196,PRICES!$C$2:$C$659&amp;"|"&amp;PRICES!$B$2:$B$659&amp;"|"&amp;PRICES!$D$2:$D$659,PRICES!$E$2:$E$659),"Not Found"))</f>
        <v/>
      </c>
      <c r="Q196" s="100" t="str">
        <f>IF(N196=0,"",SUMIFS(PRICES!$G$2:$G$658,PRICES!$B$2:$B$658,'MAIN TABLE-1 AUTOMATED'!J196,PRICES!$C$2:$C$658,'MAIN TABLE-1 AUTOMATED'!F196,PRICES!$D$2:$D$658,'MAIN TABLE-1 AUTOMATED'!O196))</f>
        <v/>
      </c>
      <c r="R196" s="41" t="str">
        <f>IF(Table1[[#This Row],[QUANTITY]]=0,"",Table1[[#This Row],[UNIT PRICE]]*Table1[[#This Row],[QUANTITY]])</f>
        <v/>
      </c>
      <c r="S196" s="89"/>
      <c r="T196" s="38"/>
      <c r="U196" s="43"/>
      <c r="V196" s="42" t="str">
        <f>IF(Table1[[#This Row],[DATE]]=0,"",YEAR(E196))</f>
        <v/>
      </c>
      <c r="W196" s="40" t="str">
        <f t="shared" si="6"/>
        <v/>
      </c>
      <c r="X196" s="40" t="str">
        <f t="shared" si="7"/>
        <v/>
      </c>
      <c r="Y196" s="40" t="str">
        <f>TEXT(Table1[[#This Row],[YEAR]],"0000")&amp;"-"&amp;Table1[[#This Row],[MONTH]]</f>
        <v>-</v>
      </c>
    </row>
    <row r="197" spans="1:25" ht="18" x14ac:dyDescent="0.35">
      <c r="A197" s="24"/>
      <c r="B197" s="38"/>
      <c r="C197" s="38"/>
      <c r="D197" s="38"/>
      <c r="E197" s="37"/>
      <c r="F197" s="38"/>
      <c r="G197" s="198"/>
      <c r="H197" s="198"/>
      <c r="I197" s="39"/>
      <c r="J197" s="38"/>
      <c r="K197" s="198"/>
      <c r="L197" s="38"/>
      <c r="M197" s="38"/>
      <c r="N197" s="38"/>
      <c r="O197" s="38"/>
      <c r="P197" s="40" t="str" cm="1">
        <f t="array" ref="P197">IF(N197="","",IFERROR(_xlfn.XLOOKUP(F197&amp;"|"&amp;J197&amp;"|"&amp;O197,PRICES!$C$2:$C$659&amp;"|"&amp;PRICES!$B$2:$B$659&amp;"|"&amp;PRICES!$D$2:$D$659,PRICES!$E$2:$E$659),"Not Found"))</f>
        <v/>
      </c>
      <c r="Q197" s="100" t="str">
        <f>IF(N197=0,"",SUMIFS(PRICES!$G$2:$G$658,PRICES!$B$2:$B$658,'MAIN TABLE-1 AUTOMATED'!J197,PRICES!$C$2:$C$658,'MAIN TABLE-1 AUTOMATED'!F197,PRICES!$D$2:$D$658,'MAIN TABLE-1 AUTOMATED'!O197))</f>
        <v/>
      </c>
      <c r="R197" s="41" t="str">
        <f>IF(Table1[[#This Row],[QUANTITY]]=0,"",Table1[[#This Row],[UNIT PRICE]]*Table1[[#This Row],[QUANTITY]])</f>
        <v/>
      </c>
      <c r="S197" s="89"/>
      <c r="T197" s="38"/>
      <c r="U197" s="43"/>
      <c r="V197" s="42" t="str">
        <f>IF(Table1[[#This Row],[DATE]]=0,"",YEAR(E197))</f>
        <v/>
      </c>
      <c r="W197" s="40" t="str">
        <f t="shared" si="6"/>
        <v/>
      </c>
      <c r="X197" s="40" t="str">
        <f t="shared" si="7"/>
        <v/>
      </c>
      <c r="Y197" s="40" t="str">
        <f>TEXT(Table1[[#This Row],[YEAR]],"0000")&amp;"-"&amp;Table1[[#This Row],[MONTH]]</f>
        <v>-</v>
      </c>
    </row>
    <row r="198" spans="1:25" ht="18" x14ac:dyDescent="0.35">
      <c r="A198" s="24"/>
      <c r="B198" s="38"/>
      <c r="C198" s="38"/>
      <c r="D198" s="38"/>
      <c r="E198" s="37"/>
      <c r="F198" s="38"/>
      <c r="G198" s="198"/>
      <c r="H198" s="198"/>
      <c r="I198" s="39"/>
      <c r="J198" s="38"/>
      <c r="K198" s="198"/>
      <c r="L198" s="38"/>
      <c r="M198" s="38"/>
      <c r="N198" s="38"/>
      <c r="O198" s="38"/>
      <c r="P198" s="40" t="str" cm="1">
        <f t="array" ref="P198">IF(N198="","",IFERROR(_xlfn.XLOOKUP(F198&amp;"|"&amp;J198&amp;"|"&amp;O198,PRICES!$C$2:$C$659&amp;"|"&amp;PRICES!$B$2:$B$659&amp;"|"&amp;PRICES!$D$2:$D$659,PRICES!$E$2:$E$659),"Not Found"))</f>
        <v/>
      </c>
      <c r="Q198" s="100" t="str">
        <f>IF(N198=0,"",SUMIFS(PRICES!$G$2:$G$658,PRICES!$B$2:$B$658,'MAIN TABLE-1 AUTOMATED'!J198,PRICES!$C$2:$C$658,'MAIN TABLE-1 AUTOMATED'!F198,PRICES!$D$2:$D$658,'MAIN TABLE-1 AUTOMATED'!O198))</f>
        <v/>
      </c>
      <c r="R198" s="41" t="str">
        <f>IF(Table1[[#This Row],[QUANTITY]]=0,"",Table1[[#This Row],[UNIT PRICE]]*Table1[[#This Row],[QUANTITY]])</f>
        <v/>
      </c>
      <c r="S198" s="89"/>
      <c r="T198" s="38"/>
      <c r="U198" s="43"/>
      <c r="V198" s="42" t="str">
        <f>IF(Table1[[#This Row],[DATE]]=0,"",YEAR(E198))</f>
        <v/>
      </c>
      <c r="W198" s="40" t="str">
        <f t="shared" si="6"/>
        <v/>
      </c>
      <c r="X198" s="40" t="str">
        <f t="shared" si="7"/>
        <v/>
      </c>
      <c r="Y198" s="40" t="str">
        <f>TEXT(Table1[[#This Row],[YEAR]],"0000")&amp;"-"&amp;Table1[[#This Row],[MONTH]]</f>
        <v>-</v>
      </c>
    </row>
    <row r="199" spans="1:25" ht="18" x14ac:dyDescent="0.35">
      <c r="A199" s="24"/>
      <c r="B199" s="38"/>
      <c r="C199" s="38"/>
      <c r="D199" s="38"/>
      <c r="E199" s="37"/>
      <c r="F199" s="38"/>
      <c r="G199" s="198"/>
      <c r="H199" s="198"/>
      <c r="I199" s="39"/>
      <c r="J199" s="38"/>
      <c r="K199" s="198"/>
      <c r="L199" s="38"/>
      <c r="M199" s="38"/>
      <c r="N199" s="38"/>
      <c r="O199" s="38"/>
      <c r="P199" s="40" t="str" cm="1">
        <f t="array" ref="P199">IF(N199="","",IFERROR(_xlfn.XLOOKUP(F199&amp;"|"&amp;J199&amp;"|"&amp;O199,PRICES!$C$2:$C$659&amp;"|"&amp;PRICES!$B$2:$B$659&amp;"|"&amp;PRICES!$D$2:$D$659,PRICES!$E$2:$E$659),"Not Found"))</f>
        <v/>
      </c>
      <c r="Q199" s="100" t="str">
        <f>IF(N199=0,"",SUMIFS(PRICES!$G$2:$G$658,PRICES!$B$2:$B$658,'MAIN TABLE-1 AUTOMATED'!J199,PRICES!$C$2:$C$658,'MAIN TABLE-1 AUTOMATED'!F199,PRICES!$D$2:$D$658,'MAIN TABLE-1 AUTOMATED'!O199))</f>
        <v/>
      </c>
      <c r="R199" s="41" t="str">
        <f>IF(Table1[[#This Row],[QUANTITY]]=0,"",Table1[[#This Row],[UNIT PRICE]]*Table1[[#This Row],[QUANTITY]])</f>
        <v/>
      </c>
      <c r="S199" s="89"/>
      <c r="T199" s="38"/>
      <c r="U199" s="43"/>
      <c r="V199" s="42" t="str">
        <f>IF(Table1[[#This Row],[DATE]]=0,"",YEAR(E199))</f>
        <v/>
      </c>
      <c r="W199" s="40" t="str">
        <f t="shared" si="6"/>
        <v/>
      </c>
      <c r="X199" s="40" t="str">
        <f t="shared" si="7"/>
        <v/>
      </c>
      <c r="Y199" s="40" t="str">
        <f>TEXT(Table1[[#This Row],[YEAR]],"0000")&amp;"-"&amp;Table1[[#This Row],[MONTH]]</f>
        <v>-</v>
      </c>
    </row>
    <row r="200" spans="1:25" ht="18" x14ac:dyDescent="0.35">
      <c r="A200" s="24"/>
      <c r="B200" s="38"/>
      <c r="C200" s="38"/>
      <c r="D200" s="38"/>
      <c r="E200" s="37"/>
      <c r="F200" s="38"/>
      <c r="G200" s="198"/>
      <c r="H200" s="198"/>
      <c r="I200" s="39"/>
      <c r="J200" s="38"/>
      <c r="K200" s="198"/>
      <c r="L200" s="38"/>
      <c r="M200" s="38"/>
      <c r="N200" s="38"/>
      <c r="O200" s="38"/>
      <c r="P200" s="40" t="str" cm="1">
        <f t="array" ref="P200">IF(N200="","",IFERROR(_xlfn.XLOOKUP(F200&amp;"|"&amp;J200&amp;"|"&amp;O200,PRICES!$C$2:$C$659&amp;"|"&amp;PRICES!$B$2:$B$659&amp;"|"&amp;PRICES!$D$2:$D$659,PRICES!$E$2:$E$659),"Not Found"))</f>
        <v/>
      </c>
      <c r="Q200" s="100" t="str">
        <f>IF(N200=0,"",SUMIFS(PRICES!$G$2:$G$658,PRICES!$B$2:$B$658,'MAIN TABLE-1 AUTOMATED'!J200,PRICES!$C$2:$C$658,'MAIN TABLE-1 AUTOMATED'!F200,PRICES!$D$2:$D$658,'MAIN TABLE-1 AUTOMATED'!O200))</f>
        <v/>
      </c>
      <c r="R200" s="41" t="str">
        <f>IF(Table1[[#This Row],[QUANTITY]]=0,"",Table1[[#This Row],[UNIT PRICE]]*Table1[[#This Row],[QUANTITY]])</f>
        <v/>
      </c>
      <c r="S200" s="89"/>
      <c r="T200" s="38"/>
      <c r="U200" s="43"/>
      <c r="V200" s="42" t="str">
        <f>IF(Table1[[#This Row],[DATE]]=0,"",YEAR(E200))</f>
        <v/>
      </c>
      <c r="W200" s="40" t="str">
        <f t="shared" si="6"/>
        <v/>
      </c>
      <c r="X200" s="40" t="str">
        <f t="shared" si="7"/>
        <v/>
      </c>
      <c r="Y200" s="40" t="str">
        <f>TEXT(Table1[[#This Row],[YEAR]],"0000")&amp;"-"&amp;Table1[[#This Row],[MONTH]]</f>
        <v>-</v>
      </c>
    </row>
    <row r="201" spans="1:25" ht="18" x14ac:dyDescent="0.35">
      <c r="A201" s="24"/>
      <c r="B201" s="38"/>
      <c r="C201" s="38"/>
      <c r="D201" s="38"/>
      <c r="E201" s="37"/>
      <c r="F201" s="38"/>
      <c r="G201" s="198"/>
      <c r="H201" s="198"/>
      <c r="I201" s="39"/>
      <c r="J201" s="38"/>
      <c r="K201" s="198"/>
      <c r="L201" s="38"/>
      <c r="M201" s="38"/>
      <c r="N201" s="38"/>
      <c r="O201" s="38"/>
      <c r="P201" s="40" t="str" cm="1">
        <f t="array" ref="P201">IF(N201="","",IFERROR(_xlfn.XLOOKUP(F201&amp;"|"&amp;J201&amp;"|"&amp;O201,PRICES!$C$2:$C$659&amp;"|"&amp;PRICES!$B$2:$B$659&amp;"|"&amp;PRICES!$D$2:$D$659,PRICES!$E$2:$E$659),"Not Found"))</f>
        <v/>
      </c>
      <c r="Q201" s="100" t="str">
        <f>IF(N201=0,"",SUMIFS(PRICES!$G$2:$G$658,PRICES!$B$2:$B$658,'MAIN TABLE-1 AUTOMATED'!J201,PRICES!$C$2:$C$658,'MAIN TABLE-1 AUTOMATED'!F201,PRICES!$D$2:$D$658,'MAIN TABLE-1 AUTOMATED'!O201))</f>
        <v/>
      </c>
      <c r="R201" s="41" t="str">
        <f>IF(Table1[[#This Row],[QUANTITY]]=0,"",Table1[[#This Row],[UNIT PRICE]]*Table1[[#This Row],[QUANTITY]])</f>
        <v/>
      </c>
      <c r="S201" s="89"/>
      <c r="T201" s="38"/>
      <c r="U201" s="43"/>
      <c r="V201" s="42" t="str">
        <f>IF(Table1[[#This Row],[DATE]]=0,"",YEAR(E201))</f>
        <v/>
      </c>
      <c r="W201" s="40" t="str">
        <f t="shared" si="6"/>
        <v/>
      </c>
      <c r="X201" s="40" t="str">
        <f t="shared" si="7"/>
        <v/>
      </c>
      <c r="Y201" s="40" t="str">
        <f>TEXT(Table1[[#This Row],[YEAR]],"0000")&amp;"-"&amp;Table1[[#This Row],[MONTH]]</f>
        <v>-</v>
      </c>
    </row>
    <row r="202" spans="1:25" ht="18" x14ac:dyDescent="0.35">
      <c r="A202" s="24"/>
      <c r="B202" s="38"/>
      <c r="C202" s="38"/>
      <c r="D202" s="38"/>
      <c r="E202" s="37"/>
      <c r="F202" s="38"/>
      <c r="G202" s="198"/>
      <c r="H202" s="198"/>
      <c r="I202" s="39"/>
      <c r="J202" s="38"/>
      <c r="K202" s="198"/>
      <c r="L202" s="38"/>
      <c r="M202" s="38"/>
      <c r="N202" s="38"/>
      <c r="O202" s="38"/>
      <c r="P202" s="40" t="str" cm="1">
        <f t="array" ref="P202">IF(N202="","",IFERROR(_xlfn.XLOOKUP(F202&amp;"|"&amp;J202&amp;"|"&amp;O202,PRICES!$C$2:$C$659&amp;"|"&amp;PRICES!$B$2:$B$659&amp;"|"&amp;PRICES!$D$2:$D$659,PRICES!$E$2:$E$659),"Not Found"))</f>
        <v/>
      </c>
      <c r="Q202" s="100" t="str">
        <f>IF(N202=0,"",SUMIFS(PRICES!$G$2:$G$658,PRICES!$B$2:$B$658,'MAIN TABLE-1 AUTOMATED'!J202,PRICES!$C$2:$C$658,'MAIN TABLE-1 AUTOMATED'!F202,PRICES!$D$2:$D$658,'MAIN TABLE-1 AUTOMATED'!O202))</f>
        <v/>
      </c>
      <c r="R202" s="41" t="str">
        <f>IF(Table1[[#This Row],[QUANTITY]]=0,"",Table1[[#This Row],[UNIT PRICE]]*Table1[[#This Row],[QUANTITY]])</f>
        <v/>
      </c>
      <c r="S202" s="89"/>
      <c r="T202" s="38"/>
      <c r="U202" s="43"/>
      <c r="V202" s="42" t="str">
        <f>IF(Table1[[#This Row],[DATE]]=0,"",YEAR(E202))</f>
        <v/>
      </c>
      <c r="W202" s="40" t="str">
        <f t="shared" si="6"/>
        <v/>
      </c>
      <c r="X202" s="40" t="str">
        <f t="shared" si="7"/>
        <v/>
      </c>
      <c r="Y202" s="40" t="str">
        <f>TEXT(Table1[[#This Row],[YEAR]],"0000")&amp;"-"&amp;Table1[[#This Row],[MONTH]]</f>
        <v>-</v>
      </c>
    </row>
    <row r="203" spans="1:25" ht="18" x14ac:dyDescent="0.35">
      <c r="A203" s="24"/>
      <c r="B203" s="38"/>
      <c r="C203" s="38"/>
      <c r="D203" s="38"/>
      <c r="E203" s="37"/>
      <c r="F203" s="38"/>
      <c r="G203" s="198"/>
      <c r="H203" s="198"/>
      <c r="I203" s="39"/>
      <c r="J203" s="38"/>
      <c r="K203" s="198"/>
      <c r="L203" s="38"/>
      <c r="M203" s="38"/>
      <c r="N203" s="38"/>
      <c r="O203" s="38"/>
      <c r="P203" s="40" t="str" cm="1">
        <f t="array" ref="P203">IF(N203="","",IFERROR(_xlfn.XLOOKUP(F203&amp;"|"&amp;J203&amp;"|"&amp;O203,PRICES!$C$2:$C$659&amp;"|"&amp;PRICES!$B$2:$B$659&amp;"|"&amp;PRICES!$D$2:$D$659,PRICES!$E$2:$E$659),"Not Found"))</f>
        <v/>
      </c>
      <c r="Q203" s="100" t="str">
        <f>IF(N203=0,"",SUMIFS(PRICES!$G$2:$G$658,PRICES!$B$2:$B$658,'MAIN TABLE-1 AUTOMATED'!J203,PRICES!$C$2:$C$658,'MAIN TABLE-1 AUTOMATED'!F203,PRICES!$D$2:$D$658,'MAIN TABLE-1 AUTOMATED'!O203))</f>
        <v/>
      </c>
      <c r="R203" s="41" t="str">
        <f>IF(Table1[[#This Row],[QUANTITY]]=0,"",Table1[[#This Row],[UNIT PRICE]]*Table1[[#This Row],[QUANTITY]])</f>
        <v/>
      </c>
      <c r="S203" s="89"/>
      <c r="T203" s="38"/>
      <c r="U203" s="43"/>
      <c r="V203" s="42" t="str">
        <f>IF(Table1[[#This Row],[DATE]]=0,"",YEAR(E203))</f>
        <v/>
      </c>
      <c r="W203" s="40" t="str">
        <f t="shared" si="6"/>
        <v/>
      </c>
      <c r="X203" s="40" t="str">
        <f t="shared" si="7"/>
        <v/>
      </c>
      <c r="Y203" s="40" t="str">
        <f>TEXT(Table1[[#This Row],[YEAR]],"0000")&amp;"-"&amp;Table1[[#This Row],[MONTH]]</f>
        <v>-</v>
      </c>
    </row>
    <row r="204" spans="1:25" ht="18" x14ac:dyDescent="0.35">
      <c r="A204" s="24"/>
      <c r="B204" s="38"/>
      <c r="C204" s="38"/>
      <c r="D204" s="38"/>
      <c r="E204" s="37"/>
      <c r="F204" s="38"/>
      <c r="G204" s="198"/>
      <c r="H204" s="198"/>
      <c r="I204" s="39"/>
      <c r="J204" s="38"/>
      <c r="K204" s="198"/>
      <c r="L204" s="38"/>
      <c r="M204" s="38"/>
      <c r="N204" s="38"/>
      <c r="O204" s="38"/>
      <c r="P204" s="40" t="str" cm="1">
        <f t="array" ref="P204">IF(N204="","",IFERROR(_xlfn.XLOOKUP(F204&amp;"|"&amp;J204&amp;"|"&amp;O204,PRICES!$C$2:$C$659&amp;"|"&amp;PRICES!$B$2:$B$659&amp;"|"&amp;PRICES!$D$2:$D$659,PRICES!$E$2:$E$659),"Not Found"))</f>
        <v/>
      </c>
      <c r="Q204" s="100" t="str">
        <f>IF(N204=0,"",SUMIFS(PRICES!$G$2:$G$658,PRICES!$B$2:$B$658,'MAIN TABLE-1 AUTOMATED'!J204,PRICES!$C$2:$C$658,'MAIN TABLE-1 AUTOMATED'!F204,PRICES!$D$2:$D$658,'MAIN TABLE-1 AUTOMATED'!O204))</f>
        <v/>
      </c>
      <c r="R204" s="41" t="str">
        <f>IF(Table1[[#This Row],[QUANTITY]]=0,"",Table1[[#This Row],[UNIT PRICE]]*Table1[[#This Row],[QUANTITY]])</f>
        <v/>
      </c>
      <c r="S204" s="89"/>
      <c r="T204" s="38"/>
      <c r="U204" s="43"/>
      <c r="V204" s="42" t="str">
        <f>IF(Table1[[#This Row],[DATE]]=0,"",YEAR(E204))</f>
        <v/>
      </c>
      <c r="W204" s="40" t="str">
        <f t="shared" si="6"/>
        <v/>
      </c>
      <c r="X204" s="40" t="str">
        <f t="shared" si="7"/>
        <v/>
      </c>
      <c r="Y204" s="40" t="str">
        <f>TEXT(Table1[[#This Row],[YEAR]],"0000")&amp;"-"&amp;Table1[[#This Row],[MONTH]]</f>
        <v>-</v>
      </c>
    </row>
    <row r="205" spans="1:25" ht="18" x14ac:dyDescent="0.35">
      <c r="A205" s="24"/>
      <c r="B205" s="38"/>
      <c r="C205" s="38"/>
      <c r="D205" s="38"/>
      <c r="E205" s="37"/>
      <c r="F205" s="38"/>
      <c r="G205" s="198"/>
      <c r="H205" s="198"/>
      <c r="I205" s="38"/>
      <c r="J205" s="38"/>
      <c r="K205" s="198"/>
      <c r="L205" s="38"/>
      <c r="M205" s="38"/>
      <c r="N205" s="38"/>
      <c r="O205" s="38"/>
      <c r="P205" s="40" t="str" cm="1">
        <f t="array" ref="P205">IF(N205="","",IFERROR(_xlfn.XLOOKUP(F205&amp;"|"&amp;J205&amp;"|"&amp;O205,PRICES!$C$2:$C$659&amp;"|"&amp;PRICES!$B$2:$B$659&amp;"|"&amp;PRICES!$D$2:$D$659,PRICES!$E$2:$E$659),"Not Found"))</f>
        <v/>
      </c>
      <c r="Q205" s="100" t="str">
        <f>IF(N205=0,"",SUMIFS(PRICES!$G$2:$G$658,PRICES!$B$2:$B$658,'MAIN TABLE-1 AUTOMATED'!J205,PRICES!$C$2:$C$658,'MAIN TABLE-1 AUTOMATED'!F205,PRICES!$D$2:$D$658,'MAIN TABLE-1 AUTOMATED'!O205))</f>
        <v/>
      </c>
      <c r="R205" s="41" t="str">
        <f>IF(Table1[[#This Row],[QUANTITY]]=0,"",Table1[[#This Row],[UNIT PRICE]]*Table1[[#This Row],[QUANTITY]])</f>
        <v/>
      </c>
      <c r="S205" s="89"/>
      <c r="T205" s="38"/>
      <c r="U205" s="43"/>
      <c r="V205" s="42" t="str">
        <f>IF(Table1[[#This Row],[DATE]]=0,"",YEAR(E205))</f>
        <v/>
      </c>
      <c r="W205" s="40" t="str">
        <f t="shared" si="6"/>
        <v/>
      </c>
      <c r="X205" s="40" t="str">
        <f t="shared" si="7"/>
        <v/>
      </c>
      <c r="Y205" s="40" t="str">
        <f>TEXT(Table1[[#This Row],[YEAR]],"0000")&amp;"-"&amp;Table1[[#This Row],[MONTH]]</f>
        <v>-</v>
      </c>
    </row>
    <row r="206" spans="1:25" ht="18" x14ac:dyDescent="0.35">
      <c r="A206" s="24"/>
      <c r="B206" s="38"/>
      <c r="C206" s="38"/>
      <c r="D206" s="38"/>
      <c r="E206" s="37"/>
      <c r="F206" s="38"/>
      <c r="G206" s="198"/>
      <c r="H206" s="198"/>
      <c r="I206" s="39"/>
      <c r="J206" s="38"/>
      <c r="K206" s="198"/>
      <c r="L206" s="38"/>
      <c r="M206" s="38"/>
      <c r="N206" s="38"/>
      <c r="O206" s="38"/>
      <c r="P206" s="40" t="str" cm="1">
        <f t="array" ref="P206">IF(N206="","",IFERROR(_xlfn.XLOOKUP(F206&amp;"|"&amp;J206&amp;"|"&amp;O206,PRICES!$C$2:$C$659&amp;"|"&amp;PRICES!$B$2:$B$659&amp;"|"&amp;PRICES!$D$2:$D$659,PRICES!$E$2:$E$659),"Not Found"))</f>
        <v/>
      </c>
      <c r="Q206" s="100" t="str">
        <f>IF(N206=0,"",SUMIFS(PRICES!$G$2:$G$658,PRICES!$B$2:$B$658,'MAIN TABLE-1 AUTOMATED'!J206,PRICES!$C$2:$C$658,'MAIN TABLE-1 AUTOMATED'!F206,PRICES!$D$2:$D$658,'MAIN TABLE-1 AUTOMATED'!O206))</f>
        <v/>
      </c>
      <c r="R206" s="41" t="str">
        <f>IF(Table1[[#This Row],[QUANTITY]]=0,"",Table1[[#This Row],[UNIT PRICE]]*Table1[[#This Row],[QUANTITY]])</f>
        <v/>
      </c>
      <c r="S206" s="89"/>
      <c r="T206" s="38"/>
      <c r="U206" s="43"/>
      <c r="V206" s="42" t="str">
        <f>IF(Table1[[#This Row],[DATE]]=0,"",YEAR(E206))</f>
        <v/>
      </c>
      <c r="W206" s="40" t="str">
        <f t="shared" si="6"/>
        <v/>
      </c>
      <c r="X206" s="40" t="str">
        <f t="shared" si="7"/>
        <v/>
      </c>
      <c r="Y206" s="40" t="str">
        <f>TEXT(Table1[[#This Row],[YEAR]],"0000")&amp;"-"&amp;Table1[[#This Row],[MONTH]]</f>
        <v>-</v>
      </c>
    </row>
    <row r="207" spans="1:25" ht="16.2" customHeight="1" x14ac:dyDescent="0.35">
      <c r="A207" s="24"/>
      <c r="B207" s="38"/>
      <c r="C207" s="38"/>
      <c r="D207" s="38"/>
      <c r="E207" s="37"/>
      <c r="F207" s="38"/>
      <c r="G207" s="198"/>
      <c r="H207" s="198"/>
      <c r="I207" s="39"/>
      <c r="J207" s="38"/>
      <c r="K207" s="198"/>
      <c r="L207" s="38"/>
      <c r="M207" s="38"/>
      <c r="N207" s="38"/>
      <c r="O207" s="38"/>
      <c r="P207" s="40" t="str" cm="1">
        <f t="array" ref="P207">IF(N207="","",IFERROR(_xlfn.XLOOKUP(F207&amp;"|"&amp;J207&amp;"|"&amp;O207,PRICES!$C$2:$C$659&amp;"|"&amp;PRICES!$B$2:$B$659&amp;"|"&amp;PRICES!$D$2:$D$659,PRICES!$E$2:$E$659),"Not Found"))</f>
        <v/>
      </c>
      <c r="Q207" s="100" t="str">
        <f>IF(N207=0,"",SUMIFS(PRICES!$G$2:$G$658,PRICES!$B$2:$B$658,'MAIN TABLE-1 AUTOMATED'!J207,PRICES!$C$2:$C$658,'MAIN TABLE-1 AUTOMATED'!F207,PRICES!$D$2:$D$658,'MAIN TABLE-1 AUTOMATED'!O207))</f>
        <v/>
      </c>
      <c r="R207" s="41" t="str">
        <f>IF(Table1[[#This Row],[QUANTITY]]=0,"",Table1[[#This Row],[UNIT PRICE]]*Table1[[#This Row],[QUANTITY]])</f>
        <v/>
      </c>
      <c r="S207" s="89"/>
      <c r="T207" s="38"/>
      <c r="U207" s="43"/>
      <c r="V207" s="42" t="str">
        <f>IF(Table1[[#This Row],[DATE]]=0,"",YEAR(E207))</f>
        <v/>
      </c>
      <c r="W207" s="40" t="str">
        <f t="shared" si="6"/>
        <v/>
      </c>
      <c r="X207" s="40" t="str">
        <f t="shared" si="7"/>
        <v/>
      </c>
      <c r="Y207" s="40" t="str">
        <f>TEXT(Table1[[#This Row],[YEAR]],"0000")&amp;"-"&amp;Table1[[#This Row],[MONTH]]</f>
        <v>-</v>
      </c>
    </row>
    <row r="208" spans="1:25" ht="18" x14ac:dyDescent="0.35">
      <c r="A208" s="24"/>
      <c r="B208" s="38"/>
      <c r="C208" s="38"/>
      <c r="D208" s="38"/>
      <c r="E208" s="37"/>
      <c r="F208" s="38"/>
      <c r="G208" s="198"/>
      <c r="H208" s="198"/>
      <c r="I208" s="39"/>
      <c r="J208" s="38"/>
      <c r="K208" s="198"/>
      <c r="L208" s="38"/>
      <c r="M208" s="38"/>
      <c r="N208" s="38"/>
      <c r="O208" s="38"/>
      <c r="P208" s="40" t="str" cm="1">
        <f t="array" ref="P208">IF(N208="","",IFERROR(_xlfn.XLOOKUP(F208&amp;"|"&amp;J208&amp;"|"&amp;O208,PRICES!$C$2:$C$659&amp;"|"&amp;PRICES!$B$2:$B$659&amp;"|"&amp;PRICES!$D$2:$D$659,PRICES!$E$2:$E$659),"Not Found"))</f>
        <v/>
      </c>
      <c r="Q208" s="100" t="str">
        <f>IF(N208=0,"",SUMIFS(PRICES!$G$2:$G$658,PRICES!$B$2:$B$658,'MAIN TABLE-1 AUTOMATED'!J208,PRICES!$C$2:$C$658,'MAIN TABLE-1 AUTOMATED'!F208,PRICES!$D$2:$D$658,'MAIN TABLE-1 AUTOMATED'!O208))</f>
        <v/>
      </c>
      <c r="R208" s="41" t="str">
        <f>IF(Table1[[#This Row],[QUANTITY]]=0,"",Table1[[#This Row],[UNIT PRICE]]*Table1[[#This Row],[QUANTITY]])</f>
        <v/>
      </c>
      <c r="S208" s="89"/>
      <c r="T208" s="38"/>
      <c r="U208" s="43"/>
      <c r="V208" s="42" t="str">
        <f>IF(Table1[[#This Row],[DATE]]=0,"",YEAR(E208))</f>
        <v/>
      </c>
      <c r="W208" s="40" t="str">
        <f t="shared" si="6"/>
        <v/>
      </c>
      <c r="X208" s="40" t="str">
        <f t="shared" si="7"/>
        <v/>
      </c>
      <c r="Y208" s="40" t="str">
        <f>TEXT(Table1[[#This Row],[YEAR]],"0000")&amp;"-"&amp;Table1[[#This Row],[MONTH]]</f>
        <v>-</v>
      </c>
    </row>
    <row r="209" spans="1:25" ht="18" x14ac:dyDescent="0.35">
      <c r="A209" s="24"/>
      <c r="B209" s="36"/>
      <c r="C209" s="36"/>
      <c r="D209" s="36"/>
      <c r="E209" s="37"/>
      <c r="F209" s="38"/>
      <c r="G209" s="198"/>
      <c r="H209" s="198"/>
      <c r="I209" s="39"/>
      <c r="J209" s="38"/>
      <c r="K209" s="198"/>
      <c r="L209" s="38"/>
      <c r="M209" s="38"/>
      <c r="N209" s="38"/>
      <c r="O209" s="38"/>
      <c r="P209" s="40" t="str" cm="1">
        <f t="array" ref="P209">IF(N209="","",IFERROR(_xlfn.XLOOKUP(F209&amp;"|"&amp;J209&amp;"|"&amp;O209,PRICES!$C$2:$C$659&amp;"|"&amp;PRICES!$B$2:$B$659&amp;"|"&amp;PRICES!$D$2:$D$659,PRICES!$E$2:$E$659),"Not Found"))</f>
        <v/>
      </c>
      <c r="Q209" s="100" t="str">
        <f>IF(N209=0,"",SUMIFS(PRICES!$G$2:$G$658,PRICES!$B$2:$B$658,'MAIN TABLE-1 AUTOMATED'!J209,PRICES!$C$2:$C$658,'MAIN TABLE-1 AUTOMATED'!F209,PRICES!$D$2:$D$658,'MAIN TABLE-1 AUTOMATED'!O209))</f>
        <v/>
      </c>
      <c r="R209" s="41" t="str">
        <f>IF(Table1[[#This Row],[QUANTITY]]=0,"",Table1[[#This Row],[UNIT PRICE]]*Table1[[#This Row],[QUANTITY]])</f>
        <v/>
      </c>
      <c r="S209" s="89"/>
      <c r="T209" s="38"/>
      <c r="U209" s="43"/>
      <c r="V209" s="42" t="str">
        <f>IF(Table1[[#This Row],[DATE]]=0,"",YEAR(E209))</f>
        <v/>
      </c>
      <c r="W209" s="40" t="str">
        <f t="shared" si="6"/>
        <v/>
      </c>
      <c r="X209" s="40" t="str">
        <f t="shared" si="7"/>
        <v/>
      </c>
      <c r="Y209" s="40" t="str">
        <f>TEXT(Table1[[#This Row],[YEAR]],"0000")&amp;"-"&amp;Table1[[#This Row],[MONTH]]</f>
        <v>-</v>
      </c>
    </row>
    <row r="210" spans="1:25" ht="18" x14ac:dyDescent="0.35">
      <c r="A210" s="24"/>
      <c r="B210" s="38"/>
      <c r="C210" s="38"/>
      <c r="D210" s="38"/>
      <c r="E210" s="37"/>
      <c r="F210" s="38"/>
      <c r="G210" s="198"/>
      <c r="H210" s="198"/>
      <c r="I210" s="39"/>
      <c r="J210" s="38"/>
      <c r="K210" s="198"/>
      <c r="L210" s="38"/>
      <c r="M210" s="38"/>
      <c r="N210" s="38"/>
      <c r="O210" s="38"/>
      <c r="P210" s="40" t="str" cm="1">
        <f t="array" ref="P210">IF(N210="","",IFERROR(_xlfn.XLOOKUP(F210&amp;"|"&amp;J210&amp;"|"&amp;O210,PRICES!$C$2:$C$659&amp;"|"&amp;PRICES!$B$2:$B$659&amp;"|"&amp;PRICES!$D$2:$D$659,PRICES!$E$2:$E$659),"Not Found"))</f>
        <v/>
      </c>
      <c r="Q210" s="100" t="str">
        <f>IF(N210=0,"",SUMIFS(PRICES!$G$2:$G$658,PRICES!$B$2:$B$658,'MAIN TABLE-1 AUTOMATED'!J210,PRICES!$C$2:$C$658,'MAIN TABLE-1 AUTOMATED'!F210,PRICES!$D$2:$D$658,'MAIN TABLE-1 AUTOMATED'!O210))</f>
        <v/>
      </c>
      <c r="R210" s="41" t="str">
        <f>IF(Table1[[#This Row],[QUANTITY]]=0,"",Table1[[#This Row],[UNIT PRICE]]*Table1[[#This Row],[QUANTITY]])</f>
        <v/>
      </c>
      <c r="S210" s="89"/>
      <c r="T210" s="38"/>
      <c r="U210" s="43"/>
      <c r="V210" s="42" t="str">
        <f>IF(Table1[[#This Row],[DATE]]=0,"",YEAR(E210))</f>
        <v/>
      </c>
      <c r="W210" s="40" t="str">
        <f t="shared" si="6"/>
        <v/>
      </c>
      <c r="X210" s="40" t="str">
        <f t="shared" si="7"/>
        <v/>
      </c>
      <c r="Y210" s="40" t="str">
        <f>TEXT(Table1[[#This Row],[YEAR]],"0000")&amp;"-"&amp;Table1[[#This Row],[MONTH]]</f>
        <v>-</v>
      </c>
    </row>
    <row r="211" spans="1:25" ht="14.4" customHeight="1" x14ac:dyDescent="0.35">
      <c r="A211" s="24"/>
      <c r="B211" s="38"/>
      <c r="C211" s="38"/>
      <c r="D211" s="38"/>
      <c r="E211" s="37"/>
      <c r="F211" s="38"/>
      <c r="G211" s="198"/>
      <c r="H211" s="198"/>
      <c r="I211" s="39"/>
      <c r="J211" s="38"/>
      <c r="K211" s="198"/>
      <c r="L211" s="38"/>
      <c r="M211" s="38"/>
      <c r="N211" s="38"/>
      <c r="O211" s="38"/>
      <c r="P211" s="40" t="str" cm="1">
        <f t="array" ref="P211">IF(N211="","",IFERROR(_xlfn.XLOOKUP(F211&amp;"|"&amp;J211&amp;"|"&amp;O211,PRICES!$C$2:$C$659&amp;"|"&amp;PRICES!$B$2:$B$659&amp;"|"&amp;PRICES!$D$2:$D$659,PRICES!$E$2:$E$659),"Not Found"))</f>
        <v/>
      </c>
      <c r="Q211" s="100" t="str">
        <f>IF(N211=0,"",SUMIFS(PRICES!$G$2:$G$658,PRICES!$B$2:$B$658,'MAIN TABLE-1 AUTOMATED'!J211,PRICES!$C$2:$C$658,'MAIN TABLE-1 AUTOMATED'!F211,PRICES!$D$2:$D$658,'MAIN TABLE-1 AUTOMATED'!O211))</f>
        <v/>
      </c>
      <c r="R211" s="41" t="str">
        <f>IF(Table1[[#This Row],[QUANTITY]]=0,"",Table1[[#This Row],[UNIT PRICE]]*Table1[[#This Row],[QUANTITY]])</f>
        <v/>
      </c>
      <c r="S211" s="89"/>
      <c r="T211" s="38"/>
      <c r="U211" s="43"/>
      <c r="V211" s="42" t="str">
        <f>IF(Table1[[#This Row],[DATE]]=0,"",YEAR(E211))</f>
        <v/>
      </c>
      <c r="W211" s="40" t="str">
        <f t="shared" si="6"/>
        <v/>
      </c>
      <c r="X211" s="40" t="str">
        <f t="shared" si="7"/>
        <v/>
      </c>
      <c r="Y211" s="40" t="str">
        <f>TEXT(Table1[[#This Row],[YEAR]],"0000")&amp;"-"&amp;Table1[[#This Row],[MONTH]]</f>
        <v>-</v>
      </c>
    </row>
    <row r="212" spans="1:25" ht="18" x14ac:dyDescent="0.35">
      <c r="A212" s="24"/>
      <c r="B212" s="38"/>
      <c r="C212" s="38"/>
      <c r="D212" s="38"/>
      <c r="E212" s="37"/>
      <c r="F212" s="38"/>
      <c r="G212" s="198"/>
      <c r="H212" s="198"/>
      <c r="I212" s="39"/>
      <c r="J212" s="38"/>
      <c r="K212" s="198"/>
      <c r="L212" s="38"/>
      <c r="M212" s="38"/>
      <c r="N212" s="38"/>
      <c r="O212" s="38"/>
      <c r="P212" s="40" t="str" cm="1">
        <f t="array" ref="P212">IF(N212="","",IFERROR(_xlfn.XLOOKUP(F212&amp;"|"&amp;J212&amp;"|"&amp;O212,PRICES!$C$2:$C$659&amp;"|"&amp;PRICES!$B$2:$B$659&amp;"|"&amp;PRICES!$D$2:$D$659,PRICES!$E$2:$E$659),"Not Found"))</f>
        <v/>
      </c>
      <c r="Q212" s="100" t="str">
        <f>IF(N212=0,"",SUMIFS(PRICES!$G$2:$G$658,PRICES!$B$2:$B$658,'MAIN TABLE-1 AUTOMATED'!J212,PRICES!$C$2:$C$658,'MAIN TABLE-1 AUTOMATED'!F212,PRICES!$D$2:$D$658,'MAIN TABLE-1 AUTOMATED'!O212))</f>
        <v/>
      </c>
      <c r="R212" s="41" t="str">
        <f>IF(Table1[[#This Row],[QUANTITY]]=0,"",Table1[[#This Row],[UNIT PRICE]]*Table1[[#This Row],[QUANTITY]])</f>
        <v/>
      </c>
      <c r="S212" s="89"/>
      <c r="T212" s="38"/>
      <c r="U212" s="43"/>
      <c r="V212" s="42" t="str">
        <f>IF(Table1[[#This Row],[DATE]]=0,"",YEAR(E212))</f>
        <v/>
      </c>
      <c r="W212" s="40" t="str">
        <f t="shared" si="6"/>
        <v/>
      </c>
      <c r="X212" s="40" t="str">
        <f t="shared" si="7"/>
        <v/>
      </c>
      <c r="Y212" s="40" t="str">
        <f>TEXT(Table1[[#This Row],[YEAR]],"0000")&amp;"-"&amp;Table1[[#This Row],[MONTH]]</f>
        <v>-</v>
      </c>
    </row>
    <row r="213" spans="1:25" ht="18" x14ac:dyDescent="0.35">
      <c r="A213" s="24"/>
      <c r="B213" s="36"/>
      <c r="C213" s="36"/>
      <c r="D213" s="36"/>
      <c r="E213" s="37"/>
      <c r="F213" s="38"/>
      <c r="G213" s="198"/>
      <c r="H213" s="198"/>
      <c r="I213" s="39"/>
      <c r="J213" s="38"/>
      <c r="K213" s="198"/>
      <c r="L213" s="38"/>
      <c r="M213" s="38"/>
      <c r="N213" s="38"/>
      <c r="O213" s="38"/>
      <c r="P213" s="40" t="str" cm="1">
        <f t="array" ref="P213">IF(N213="","",IFERROR(_xlfn.XLOOKUP(F213&amp;"|"&amp;J213&amp;"|"&amp;O213,PRICES!$C$2:$C$659&amp;"|"&amp;PRICES!$B$2:$B$659&amp;"|"&amp;PRICES!$D$2:$D$659,PRICES!$E$2:$E$659),"Not Found"))</f>
        <v/>
      </c>
      <c r="Q213" s="100" t="str">
        <f>IF(N213=0,"",SUMIFS(PRICES!$G$2:$G$658,PRICES!$B$2:$B$658,'MAIN TABLE-1 AUTOMATED'!J213,PRICES!$C$2:$C$658,'MAIN TABLE-1 AUTOMATED'!F213,PRICES!$D$2:$D$658,'MAIN TABLE-1 AUTOMATED'!O213))</f>
        <v/>
      </c>
      <c r="R213" s="41" t="str">
        <f>IF(Table1[[#This Row],[QUANTITY]]=0,"",Table1[[#This Row],[UNIT PRICE]]*Table1[[#This Row],[QUANTITY]])</f>
        <v/>
      </c>
      <c r="S213" s="89"/>
      <c r="T213" s="38"/>
      <c r="U213" s="43"/>
      <c r="V213" s="42" t="str">
        <f>IF(Table1[[#This Row],[DATE]]=0,"",YEAR(E213))</f>
        <v/>
      </c>
      <c r="W213" s="40" t="str">
        <f t="shared" si="6"/>
        <v/>
      </c>
      <c r="X213" s="40" t="str">
        <f t="shared" si="7"/>
        <v/>
      </c>
      <c r="Y213" s="40" t="str">
        <f>TEXT(Table1[[#This Row],[YEAR]],"0000")&amp;"-"&amp;Table1[[#This Row],[MONTH]]</f>
        <v>-</v>
      </c>
    </row>
    <row r="214" spans="1:25" ht="18" x14ac:dyDescent="0.35">
      <c r="A214" s="24"/>
      <c r="B214" s="38"/>
      <c r="C214" s="38"/>
      <c r="D214" s="38"/>
      <c r="E214" s="37"/>
      <c r="F214" s="38"/>
      <c r="G214" s="198"/>
      <c r="H214" s="198"/>
      <c r="I214" s="39"/>
      <c r="J214" s="38"/>
      <c r="K214" s="198"/>
      <c r="L214" s="38"/>
      <c r="M214" s="38"/>
      <c r="N214" s="38"/>
      <c r="O214" s="38"/>
      <c r="P214" s="40" t="str" cm="1">
        <f t="array" ref="P214">IF(N214="","",IFERROR(_xlfn.XLOOKUP(F214&amp;"|"&amp;J214&amp;"|"&amp;O214,PRICES!$C$2:$C$659&amp;"|"&amp;PRICES!$B$2:$B$659&amp;"|"&amp;PRICES!$D$2:$D$659,PRICES!$E$2:$E$659),"Not Found"))</f>
        <v/>
      </c>
      <c r="Q214" s="100" t="str">
        <f>IF(N214=0,"",SUMIFS(PRICES!$G$2:$G$658,PRICES!$B$2:$B$658,'MAIN TABLE-1 AUTOMATED'!J214,PRICES!$C$2:$C$658,'MAIN TABLE-1 AUTOMATED'!F214,PRICES!$D$2:$D$658,'MAIN TABLE-1 AUTOMATED'!O214))</f>
        <v/>
      </c>
      <c r="R214" s="41" t="str">
        <f>IF(Table1[[#This Row],[QUANTITY]]=0,"",Table1[[#This Row],[UNIT PRICE]]*Table1[[#This Row],[QUANTITY]])</f>
        <v/>
      </c>
      <c r="S214" s="89"/>
      <c r="T214" s="38"/>
      <c r="U214" s="43"/>
      <c r="V214" s="42" t="str">
        <f>IF(Table1[[#This Row],[DATE]]=0,"",YEAR(E214))</f>
        <v/>
      </c>
      <c r="W214" s="40" t="str">
        <f t="shared" si="6"/>
        <v/>
      </c>
      <c r="X214" s="40" t="str">
        <f t="shared" si="7"/>
        <v/>
      </c>
      <c r="Y214" s="40" t="str">
        <f>TEXT(Table1[[#This Row],[YEAR]],"0000")&amp;"-"&amp;Table1[[#This Row],[MONTH]]</f>
        <v>-</v>
      </c>
    </row>
    <row r="215" spans="1:25" ht="18" x14ac:dyDescent="0.35">
      <c r="A215" s="24"/>
      <c r="B215" s="38"/>
      <c r="C215" s="38"/>
      <c r="D215" s="38"/>
      <c r="E215" s="37"/>
      <c r="F215" s="38"/>
      <c r="G215" s="198"/>
      <c r="H215" s="198"/>
      <c r="I215" s="39"/>
      <c r="J215" s="38"/>
      <c r="K215" s="198"/>
      <c r="L215" s="38"/>
      <c r="M215" s="38"/>
      <c r="N215" s="38"/>
      <c r="O215" s="38"/>
      <c r="P215" s="40" t="str" cm="1">
        <f t="array" ref="P215">IF(N215="","",IFERROR(_xlfn.XLOOKUP(F215&amp;"|"&amp;J215&amp;"|"&amp;O215,PRICES!$C$2:$C$659&amp;"|"&amp;PRICES!$B$2:$B$659&amp;"|"&amp;PRICES!$D$2:$D$659,PRICES!$E$2:$E$659),"Not Found"))</f>
        <v/>
      </c>
      <c r="Q215" s="100" t="str">
        <f>IF(N215=0,"",SUMIFS(PRICES!$G$2:$G$658,PRICES!$B$2:$B$658,'MAIN TABLE-1 AUTOMATED'!J215,PRICES!$C$2:$C$658,'MAIN TABLE-1 AUTOMATED'!F215,PRICES!$D$2:$D$658,'MAIN TABLE-1 AUTOMATED'!O215))</f>
        <v/>
      </c>
      <c r="R215" s="41" t="str">
        <f>IF(Table1[[#This Row],[QUANTITY]]=0,"",Table1[[#This Row],[UNIT PRICE]]*Table1[[#This Row],[QUANTITY]])</f>
        <v/>
      </c>
      <c r="S215" s="89"/>
      <c r="T215" s="38"/>
      <c r="U215" s="43"/>
      <c r="V215" s="42" t="str">
        <f>IF(Table1[[#This Row],[DATE]]=0,"",YEAR(E215))</f>
        <v/>
      </c>
      <c r="W215" s="40" t="str">
        <f t="shared" si="6"/>
        <v/>
      </c>
      <c r="X215" s="40" t="str">
        <f t="shared" si="7"/>
        <v/>
      </c>
      <c r="Y215" s="40" t="str">
        <f>TEXT(Table1[[#This Row],[YEAR]],"0000")&amp;"-"&amp;Table1[[#This Row],[MONTH]]</f>
        <v>-</v>
      </c>
    </row>
    <row r="216" spans="1:25" ht="18" x14ac:dyDescent="0.35">
      <c r="A216" s="24"/>
      <c r="B216" s="38"/>
      <c r="C216" s="38"/>
      <c r="D216" s="38"/>
      <c r="E216" s="37"/>
      <c r="F216" s="38"/>
      <c r="G216" s="198"/>
      <c r="H216" s="198"/>
      <c r="I216" s="39"/>
      <c r="J216" s="38"/>
      <c r="K216" s="198"/>
      <c r="L216" s="38"/>
      <c r="M216" s="38"/>
      <c r="N216" s="38"/>
      <c r="O216" s="38"/>
      <c r="P216" s="40" t="str" cm="1">
        <f t="array" ref="P216">IF(N216="","",IFERROR(_xlfn.XLOOKUP(F216&amp;"|"&amp;J216&amp;"|"&amp;O216,PRICES!$C$2:$C$659&amp;"|"&amp;PRICES!$B$2:$B$659&amp;"|"&amp;PRICES!$D$2:$D$659,PRICES!$E$2:$E$659),"Not Found"))</f>
        <v/>
      </c>
      <c r="Q216" s="100" t="str">
        <f>IF(N216=0,"",SUMIFS(PRICES!$G$2:$G$658,PRICES!$B$2:$B$658,'MAIN TABLE-1 AUTOMATED'!J216,PRICES!$C$2:$C$658,'MAIN TABLE-1 AUTOMATED'!F216,PRICES!$D$2:$D$658,'MAIN TABLE-1 AUTOMATED'!O216))</f>
        <v/>
      </c>
      <c r="R216" s="41" t="str">
        <f>IF(Table1[[#This Row],[QUANTITY]]=0,"",Table1[[#This Row],[UNIT PRICE]]*Table1[[#This Row],[QUANTITY]])</f>
        <v/>
      </c>
      <c r="S216" s="89"/>
      <c r="T216" s="38"/>
      <c r="U216" s="43"/>
      <c r="V216" s="42" t="str">
        <f>IF(Table1[[#This Row],[DATE]]=0,"",YEAR(E216))</f>
        <v/>
      </c>
      <c r="W216" s="40" t="str">
        <f t="shared" si="6"/>
        <v/>
      </c>
      <c r="X216" s="40" t="str">
        <f t="shared" si="7"/>
        <v/>
      </c>
      <c r="Y216" s="40" t="str">
        <f>TEXT(Table1[[#This Row],[YEAR]],"0000")&amp;"-"&amp;Table1[[#This Row],[MONTH]]</f>
        <v>-</v>
      </c>
    </row>
    <row r="217" spans="1:25" ht="18" x14ac:dyDescent="0.35">
      <c r="A217" s="24"/>
      <c r="B217" s="38"/>
      <c r="C217" s="38"/>
      <c r="D217" s="38"/>
      <c r="E217" s="37"/>
      <c r="F217" s="38"/>
      <c r="G217" s="198"/>
      <c r="H217" s="198"/>
      <c r="I217" s="39"/>
      <c r="J217" s="38"/>
      <c r="K217" s="198"/>
      <c r="L217" s="38"/>
      <c r="M217" s="38"/>
      <c r="N217" s="38"/>
      <c r="O217" s="38"/>
      <c r="P217" s="40" t="str" cm="1">
        <f t="array" ref="P217">IF(N217="","",IFERROR(_xlfn.XLOOKUP(F217&amp;"|"&amp;J217&amp;"|"&amp;O217,PRICES!$C$2:$C$659&amp;"|"&amp;PRICES!$B$2:$B$659&amp;"|"&amp;PRICES!$D$2:$D$659,PRICES!$E$2:$E$659),"Not Found"))</f>
        <v/>
      </c>
      <c r="Q217" s="100" t="str">
        <f>IF(N217=0,"",SUMIFS(PRICES!$G$2:$G$658,PRICES!$B$2:$B$658,'MAIN TABLE-1 AUTOMATED'!J217,PRICES!$C$2:$C$658,'MAIN TABLE-1 AUTOMATED'!F217,PRICES!$D$2:$D$658,'MAIN TABLE-1 AUTOMATED'!O217))</f>
        <v/>
      </c>
      <c r="R217" s="41" t="str">
        <f>IF(Table1[[#This Row],[QUANTITY]]=0,"",Table1[[#This Row],[UNIT PRICE]]*Table1[[#This Row],[QUANTITY]])</f>
        <v/>
      </c>
      <c r="S217" s="89"/>
      <c r="T217" s="38"/>
      <c r="U217" s="43"/>
      <c r="V217" s="42" t="str">
        <f>IF(Table1[[#This Row],[DATE]]=0,"",YEAR(E217))</f>
        <v/>
      </c>
      <c r="W217" s="40" t="str">
        <f t="shared" si="6"/>
        <v/>
      </c>
      <c r="X217" s="40" t="str">
        <f t="shared" si="7"/>
        <v/>
      </c>
      <c r="Y217" s="40" t="str">
        <f>TEXT(Table1[[#This Row],[YEAR]],"0000")&amp;"-"&amp;Table1[[#This Row],[MONTH]]</f>
        <v>-</v>
      </c>
    </row>
    <row r="218" spans="1:25" ht="18" x14ac:dyDescent="0.35">
      <c r="A218" s="24"/>
      <c r="B218" s="36"/>
      <c r="C218" s="36"/>
      <c r="D218" s="36"/>
      <c r="E218" s="37"/>
      <c r="F218" s="38"/>
      <c r="G218" s="198"/>
      <c r="H218" s="198"/>
      <c r="I218" s="39"/>
      <c r="J218" s="38"/>
      <c r="K218" s="198"/>
      <c r="L218" s="38"/>
      <c r="M218" s="38"/>
      <c r="N218" s="38"/>
      <c r="O218" s="38"/>
      <c r="P218" s="40" t="str" cm="1">
        <f t="array" ref="P218">IF(N218="","",IFERROR(_xlfn.XLOOKUP(F218&amp;"|"&amp;J218&amp;"|"&amp;O218,PRICES!$C$2:$C$659&amp;"|"&amp;PRICES!$B$2:$B$659&amp;"|"&amp;PRICES!$D$2:$D$659,PRICES!$E$2:$E$659),"Not Found"))</f>
        <v/>
      </c>
      <c r="Q218" s="100" t="str">
        <f>IF(N218=0,"",SUMIFS(PRICES!$G$2:$G$658,PRICES!$B$2:$B$658,'MAIN TABLE-1 AUTOMATED'!J218,PRICES!$C$2:$C$658,'MAIN TABLE-1 AUTOMATED'!F218,PRICES!$D$2:$D$658,'MAIN TABLE-1 AUTOMATED'!O218))</f>
        <v/>
      </c>
      <c r="R218" s="41" t="str">
        <f>IF(Table1[[#This Row],[QUANTITY]]=0,"",Table1[[#This Row],[UNIT PRICE]]*Table1[[#This Row],[QUANTITY]])</f>
        <v/>
      </c>
      <c r="S218" s="89"/>
      <c r="T218" s="38"/>
      <c r="U218" s="43"/>
      <c r="V218" s="42" t="str">
        <f>IF(Table1[[#This Row],[DATE]]=0,"",YEAR(E218))</f>
        <v/>
      </c>
      <c r="W218" s="40" t="str">
        <f t="shared" si="6"/>
        <v/>
      </c>
      <c r="X218" s="40" t="str">
        <f t="shared" si="7"/>
        <v/>
      </c>
      <c r="Y218" s="40" t="str">
        <f>TEXT(Table1[[#This Row],[YEAR]],"0000")&amp;"-"&amp;Table1[[#This Row],[MONTH]]</f>
        <v>-</v>
      </c>
    </row>
    <row r="219" spans="1:25" ht="18" x14ac:dyDescent="0.35">
      <c r="A219" s="24"/>
      <c r="B219" s="38"/>
      <c r="C219" s="38"/>
      <c r="D219" s="38"/>
      <c r="E219" s="37"/>
      <c r="F219" s="38"/>
      <c r="G219" s="198"/>
      <c r="H219" s="198"/>
      <c r="I219" s="39"/>
      <c r="J219" s="38"/>
      <c r="K219" s="198"/>
      <c r="L219" s="38"/>
      <c r="M219" s="38"/>
      <c r="N219" s="38"/>
      <c r="O219" s="38"/>
      <c r="P219" s="40" t="str" cm="1">
        <f t="array" ref="P219">IF(N219="","",IFERROR(_xlfn.XLOOKUP(F219&amp;"|"&amp;J219&amp;"|"&amp;O219,PRICES!$C$2:$C$659&amp;"|"&amp;PRICES!$B$2:$B$659&amp;"|"&amp;PRICES!$D$2:$D$659,PRICES!$E$2:$E$659),"Not Found"))</f>
        <v/>
      </c>
      <c r="Q219" s="100" t="str">
        <f>IF(N219=0,"",SUMIFS(PRICES!$G$2:$G$658,PRICES!$B$2:$B$658,'MAIN TABLE-1 AUTOMATED'!J219,PRICES!$C$2:$C$658,'MAIN TABLE-1 AUTOMATED'!F219,PRICES!$D$2:$D$658,'MAIN TABLE-1 AUTOMATED'!O219))</f>
        <v/>
      </c>
      <c r="R219" s="41" t="str">
        <f>IF(Table1[[#This Row],[QUANTITY]]=0,"",Table1[[#This Row],[UNIT PRICE]]*Table1[[#This Row],[QUANTITY]])</f>
        <v/>
      </c>
      <c r="S219" s="89"/>
      <c r="T219" s="38"/>
      <c r="U219" s="43"/>
      <c r="V219" s="42" t="str">
        <f>IF(Table1[[#This Row],[DATE]]=0,"",YEAR(E219))</f>
        <v/>
      </c>
      <c r="W219" s="40" t="str">
        <f t="shared" si="6"/>
        <v/>
      </c>
      <c r="X219" s="40" t="str">
        <f t="shared" si="7"/>
        <v/>
      </c>
      <c r="Y219" s="40" t="str">
        <f>TEXT(Table1[[#This Row],[YEAR]],"0000")&amp;"-"&amp;Table1[[#This Row],[MONTH]]</f>
        <v>-</v>
      </c>
    </row>
    <row r="220" spans="1:25" ht="18.600000000000001" customHeight="1" x14ac:dyDescent="0.35">
      <c r="A220" s="24"/>
      <c r="B220" s="36"/>
      <c r="C220" s="36"/>
      <c r="D220" s="36"/>
      <c r="E220" s="37"/>
      <c r="F220" s="38"/>
      <c r="G220" s="198"/>
      <c r="H220" s="198"/>
      <c r="I220" s="39"/>
      <c r="J220" s="38"/>
      <c r="K220" s="198"/>
      <c r="L220" s="38"/>
      <c r="M220" s="38"/>
      <c r="N220" s="38"/>
      <c r="O220" s="38"/>
      <c r="P220" s="40" t="str" cm="1">
        <f t="array" ref="P220">IF(N220="","",IFERROR(_xlfn.XLOOKUP(F220&amp;"|"&amp;J220&amp;"|"&amp;O220,PRICES!$C$2:$C$659&amp;"|"&amp;PRICES!$B$2:$B$659&amp;"|"&amp;PRICES!$D$2:$D$659,PRICES!$E$2:$E$659),"Not Found"))</f>
        <v/>
      </c>
      <c r="Q220" s="100" t="str">
        <f>IF(N220=0,"",SUMIFS(PRICES!$G$2:$G$658,PRICES!$B$2:$B$658,'MAIN TABLE-1 AUTOMATED'!J220,PRICES!$C$2:$C$658,'MAIN TABLE-1 AUTOMATED'!F220,PRICES!$D$2:$D$658,'MAIN TABLE-1 AUTOMATED'!O220))</f>
        <v/>
      </c>
      <c r="R220" s="41" t="str">
        <f>IF(Table1[[#This Row],[QUANTITY]]=0,"",Table1[[#This Row],[UNIT PRICE]]*Table1[[#This Row],[QUANTITY]])</f>
        <v/>
      </c>
      <c r="S220" s="89"/>
      <c r="T220" s="38"/>
      <c r="U220" s="43"/>
      <c r="V220" s="42" t="str">
        <f>IF(Table1[[#This Row],[DATE]]=0,"",YEAR(E220))</f>
        <v/>
      </c>
      <c r="W220" s="40" t="str">
        <f t="shared" si="6"/>
        <v/>
      </c>
      <c r="X220" s="40" t="str">
        <f t="shared" si="7"/>
        <v/>
      </c>
      <c r="Y220" s="40" t="str">
        <f>TEXT(Table1[[#This Row],[YEAR]],"0000")&amp;"-"&amp;Table1[[#This Row],[MONTH]]</f>
        <v>-</v>
      </c>
    </row>
    <row r="221" spans="1:25" ht="18" x14ac:dyDescent="0.35">
      <c r="A221" s="24"/>
      <c r="B221" s="38"/>
      <c r="C221" s="38"/>
      <c r="D221" s="38"/>
      <c r="E221" s="37"/>
      <c r="F221" s="38"/>
      <c r="G221" s="198"/>
      <c r="H221" s="198"/>
      <c r="I221" s="39"/>
      <c r="J221" s="38"/>
      <c r="K221" s="198"/>
      <c r="L221" s="38"/>
      <c r="M221" s="38"/>
      <c r="N221" s="38"/>
      <c r="O221" s="38"/>
      <c r="P221" s="40" t="str" cm="1">
        <f t="array" ref="P221">IF(N221="","",IFERROR(_xlfn.XLOOKUP(F221&amp;"|"&amp;J221&amp;"|"&amp;O221,PRICES!$C$2:$C$659&amp;"|"&amp;PRICES!$B$2:$B$659&amp;"|"&amp;PRICES!$D$2:$D$659,PRICES!$E$2:$E$659),"Not Found"))</f>
        <v/>
      </c>
      <c r="Q221" s="100" t="str">
        <f>IF(N221=0,"",SUMIFS(PRICES!$G$2:$G$658,PRICES!$B$2:$B$658,'MAIN TABLE-1 AUTOMATED'!J221,PRICES!$C$2:$C$658,'MAIN TABLE-1 AUTOMATED'!F221,PRICES!$D$2:$D$658,'MAIN TABLE-1 AUTOMATED'!O221))</f>
        <v/>
      </c>
      <c r="R221" s="41" t="str">
        <f>IF(Table1[[#This Row],[QUANTITY]]=0,"",Table1[[#This Row],[UNIT PRICE]]*Table1[[#This Row],[QUANTITY]])</f>
        <v/>
      </c>
      <c r="S221" s="89"/>
      <c r="T221" s="38"/>
      <c r="U221" s="43"/>
      <c r="V221" s="42" t="str">
        <f>IF(Table1[[#This Row],[DATE]]=0,"",YEAR(E221))</f>
        <v/>
      </c>
      <c r="W221" s="40" t="str">
        <f t="shared" si="6"/>
        <v/>
      </c>
      <c r="X221" s="40" t="str">
        <f t="shared" si="7"/>
        <v/>
      </c>
      <c r="Y221" s="40" t="str">
        <f>TEXT(Table1[[#This Row],[YEAR]],"0000")&amp;"-"&amp;Table1[[#This Row],[MONTH]]</f>
        <v>-</v>
      </c>
    </row>
    <row r="222" spans="1:25" ht="18" x14ac:dyDescent="0.35">
      <c r="A222" s="24"/>
      <c r="B222" s="36"/>
      <c r="C222" s="36"/>
      <c r="D222" s="36"/>
      <c r="E222" s="37"/>
      <c r="F222" s="38"/>
      <c r="G222" s="198"/>
      <c r="H222" s="198"/>
      <c r="I222" s="39"/>
      <c r="J222" s="38"/>
      <c r="K222" s="198"/>
      <c r="L222" s="38"/>
      <c r="M222" s="38"/>
      <c r="N222" s="38"/>
      <c r="O222" s="38"/>
      <c r="P222" s="40" t="str" cm="1">
        <f t="array" ref="P222">IF(N222="","",IFERROR(_xlfn.XLOOKUP(F222&amp;"|"&amp;J222&amp;"|"&amp;O222,PRICES!$C$2:$C$659&amp;"|"&amp;PRICES!$B$2:$B$659&amp;"|"&amp;PRICES!$D$2:$D$659,PRICES!$E$2:$E$659),"Not Found"))</f>
        <v/>
      </c>
      <c r="Q222" s="100" t="str">
        <f>IF(N222=0,"",SUMIFS(PRICES!$G$2:$G$658,PRICES!$B$2:$B$658,'MAIN TABLE-1 AUTOMATED'!J222,PRICES!$C$2:$C$658,'MAIN TABLE-1 AUTOMATED'!F222,PRICES!$D$2:$D$658,'MAIN TABLE-1 AUTOMATED'!O222))</f>
        <v/>
      </c>
      <c r="R222" s="41" t="str">
        <f>IF(Table1[[#This Row],[QUANTITY]]=0,"",Table1[[#This Row],[UNIT PRICE]]*Table1[[#This Row],[QUANTITY]])</f>
        <v/>
      </c>
      <c r="S222" s="89"/>
      <c r="T222" s="38"/>
      <c r="U222" s="43"/>
      <c r="V222" s="42" t="str">
        <f>IF(Table1[[#This Row],[DATE]]=0,"",YEAR(E222))</f>
        <v/>
      </c>
      <c r="W222" s="40" t="str">
        <f t="shared" si="6"/>
        <v/>
      </c>
      <c r="X222" s="40" t="str">
        <f t="shared" si="7"/>
        <v/>
      </c>
      <c r="Y222" s="40" t="str">
        <f>TEXT(Table1[[#This Row],[YEAR]],"0000")&amp;"-"&amp;Table1[[#This Row],[MONTH]]</f>
        <v>-</v>
      </c>
    </row>
    <row r="223" spans="1:25" ht="18" x14ac:dyDescent="0.35">
      <c r="A223" s="24"/>
      <c r="B223" s="38"/>
      <c r="C223" s="38"/>
      <c r="D223" s="38"/>
      <c r="E223" s="37"/>
      <c r="F223" s="38"/>
      <c r="G223" s="198"/>
      <c r="H223" s="198"/>
      <c r="I223" s="39"/>
      <c r="J223" s="38"/>
      <c r="K223" s="198"/>
      <c r="L223" s="38"/>
      <c r="M223" s="38"/>
      <c r="N223" s="38"/>
      <c r="O223" s="38"/>
      <c r="P223" s="40" t="str" cm="1">
        <f t="array" ref="P223">IF(N223="","",IFERROR(_xlfn.XLOOKUP(F223&amp;"|"&amp;J223&amp;"|"&amp;O223,PRICES!$C$2:$C$659&amp;"|"&amp;PRICES!$B$2:$B$659&amp;"|"&amp;PRICES!$D$2:$D$659,PRICES!$E$2:$E$659),"Not Found"))</f>
        <v/>
      </c>
      <c r="Q223" s="100" t="str">
        <f>IF(N223=0,"",SUMIFS(PRICES!$G$2:$G$658,PRICES!$B$2:$B$658,'MAIN TABLE-1 AUTOMATED'!J223,PRICES!$C$2:$C$658,'MAIN TABLE-1 AUTOMATED'!F223,PRICES!$D$2:$D$658,'MAIN TABLE-1 AUTOMATED'!O223))</f>
        <v/>
      </c>
      <c r="R223" s="41" t="str">
        <f>IF(Table1[[#This Row],[QUANTITY]]=0,"",Table1[[#This Row],[UNIT PRICE]]*Table1[[#This Row],[QUANTITY]])</f>
        <v/>
      </c>
      <c r="S223" s="89"/>
      <c r="T223" s="38"/>
      <c r="U223" s="43"/>
      <c r="V223" s="42" t="str">
        <f>IF(Table1[[#This Row],[DATE]]=0,"",YEAR(E223))</f>
        <v/>
      </c>
      <c r="W223" s="40" t="str">
        <f t="shared" ref="W223:W286" si="8">IF(E223=0,"",MONTH(E223))</f>
        <v/>
      </c>
      <c r="X223" s="40" t="str">
        <f t="shared" ref="X223:X286" si="9">IF(E223=0,"",WEEKNUM(E223))</f>
        <v/>
      </c>
      <c r="Y223" s="40" t="str">
        <f>TEXT(Table1[[#This Row],[YEAR]],"0000")&amp;"-"&amp;Table1[[#This Row],[MONTH]]</f>
        <v>-</v>
      </c>
    </row>
    <row r="224" spans="1:25" ht="18" x14ac:dyDescent="0.35">
      <c r="A224" s="24"/>
      <c r="B224" s="38"/>
      <c r="C224" s="38"/>
      <c r="D224" s="38"/>
      <c r="E224" s="37"/>
      <c r="F224" s="38"/>
      <c r="G224" s="198"/>
      <c r="H224" s="198"/>
      <c r="I224" s="39"/>
      <c r="J224" s="38"/>
      <c r="K224" s="198"/>
      <c r="L224" s="38"/>
      <c r="M224" s="38"/>
      <c r="N224" s="38"/>
      <c r="O224" s="38"/>
      <c r="P224" s="40" t="str" cm="1">
        <f t="array" ref="P224">IF(N224="","",IFERROR(_xlfn.XLOOKUP(F224&amp;"|"&amp;J224&amp;"|"&amp;O224,PRICES!$C$2:$C$659&amp;"|"&amp;PRICES!$B$2:$B$659&amp;"|"&amp;PRICES!$D$2:$D$659,PRICES!$E$2:$E$659),"Not Found"))</f>
        <v/>
      </c>
      <c r="Q224" s="100" t="str">
        <f>IF(N224=0,"",SUMIFS(PRICES!$G$2:$G$658,PRICES!$B$2:$B$658,'MAIN TABLE-1 AUTOMATED'!J224,PRICES!$C$2:$C$658,'MAIN TABLE-1 AUTOMATED'!F224,PRICES!$D$2:$D$658,'MAIN TABLE-1 AUTOMATED'!O224))</f>
        <v/>
      </c>
      <c r="R224" s="41" t="str">
        <f>IF(Table1[[#This Row],[QUANTITY]]=0,"",Table1[[#This Row],[UNIT PRICE]]*Table1[[#This Row],[QUANTITY]])</f>
        <v/>
      </c>
      <c r="S224" s="89"/>
      <c r="T224" s="38"/>
      <c r="U224" s="43"/>
      <c r="V224" s="42" t="str">
        <f>IF(Table1[[#This Row],[DATE]]=0,"",YEAR(E224))</f>
        <v/>
      </c>
      <c r="W224" s="40" t="str">
        <f t="shared" si="8"/>
        <v/>
      </c>
      <c r="X224" s="40" t="str">
        <f t="shared" si="9"/>
        <v/>
      </c>
      <c r="Y224" s="40" t="str">
        <f>TEXT(Table1[[#This Row],[YEAR]],"0000")&amp;"-"&amp;Table1[[#This Row],[MONTH]]</f>
        <v>-</v>
      </c>
    </row>
    <row r="225" spans="1:25" ht="18" x14ac:dyDescent="0.35">
      <c r="A225" s="24"/>
      <c r="B225" s="38"/>
      <c r="C225" s="38"/>
      <c r="D225" s="38"/>
      <c r="E225" s="37"/>
      <c r="F225" s="38"/>
      <c r="G225" s="198"/>
      <c r="H225" s="198"/>
      <c r="I225" s="39"/>
      <c r="J225" s="38"/>
      <c r="K225" s="198"/>
      <c r="L225" s="38"/>
      <c r="M225" s="38"/>
      <c r="N225" s="38"/>
      <c r="O225" s="38"/>
      <c r="P225" s="40" t="str" cm="1">
        <f t="array" ref="P225">IF(N225="","",IFERROR(_xlfn.XLOOKUP(F225&amp;"|"&amp;J225&amp;"|"&amp;O225,PRICES!$C$2:$C$659&amp;"|"&amp;PRICES!$B$2:$B$659&amp;"|"&amp;PRICES!$D$2:$D$659,PRICES!$E$2:$E$659),"Not Found"))</f>
        <v/>
      </c>
      <c r="Q225" s="100" t="str">
        <f>IF(N225=0,"",SUMIFS(PRICES!$G$2:$G$658,PRICES!$B$2:$B$658,'MAIN TABLE-1 AUTOMATED'!J225,PRICES!$C$2:$C$658,'MAIN TABLE-1 AUTOMATED'!F225,PRICES!$D$2:$D$658,'MAIN TABLE-1 AUTOMATED'!O225))</f>
        <v/>
      </c>
      <c r="R225" s="41" t="str">
        <f>IF(Table1[[#This Row],[QUANTITY]]=0,"",Table1[[#This Row],[UNIT PRICE]]*Table1[[#This Row],[QUANTITY]])</f>
        <v/>
      </c>
      <c r="S225" s="89"/>
      <c r="T225" s="38"/>
      <c r="U225" s="43"/>
      <c r="V225" s="42" t="str">
        <f>IF(Table1[[#This Row],[DATE]]=0,"",YEAR(E225))</f>
        <v/>
      </c>
      <c r="W225" s="40" t="str">
        <f t="shared" si="8"/>
        <v/>
      </c>
      <c r="X225" s="40" t="str">
        <f t="shared" si="9"/>
        <v/>
      </c>
      <c r="Y225" s="40" t="str">
        <f>TEXT(Table1[[#This Row],[YEAR]],"0000")&amp;"-"&amp;Table1[[#This Row],[MONTH]]</f>
        <v>-</v>
      </c>
    </row>
    <row r="226" spans="1:25" ht="18" x14ac:dyDescent="0.35">
      <c r="A226" s="24"/>
      <c r="B226" s="38"/>
      <c r="C226" s="38"/>
      <c r="D226" s="38"/>
      <c r="E226" s="37"/>
      <c r="F226" s="38"/>
      <c r="G226" s="198"/>
      <c r="H226" s="198"/>
      <c r="I226" s="39"/>
      <c r="J226" s="38"/>
      <c r="K226" s="198"/>
      <c r="L226" s="38"/>
      <c r="M226" s="38"/>
      <c r="N226" s="38"/>
      <c r="O226" s="38"/>
      <c r="P226" s="40" t="str" cm="1">
        <f t="array" ref="P226">IF(N226="","",IFERROR(_xlfn.XLOOKUP(F226&amp;"|"&amp;J226&amp;"|"&amp;O226,PRICES!$C$2:$C$659&amp;"|"&amp;PRICES!$B$2:$B$659&amp;"|"&amp;PRICES!$D$2:$D$659,PRICES!$E$2:$E$659),"Not Found"))</f>
        <v/>
      </c>
      <c r="Q226" s="100" t="str">
        <f>IF(N226=0,"",SUMIFS(PRICES!$G$2:$G$658,PRICES!$B$2:$B$658,'MAIN TABLE-1 AUTOMATED'!J226,PRICES!$C$2:$C$658,'MAIN TABLE-1 AUTOMATED'!F226,PRICES!$D$2:$D$658,'MAIN TABLE-1 AUTOMATED'!O226))</f>
        <v/>
      </c>
      <c r="R226" s="41" t="str">
        <f>IF(Table1[[#This Row],[QUANTITY]]=0,"",Table1[[#This Row],[UNIT PRICE]]*Table1[[#This Row],[QUANTITY]])</f>
        <v/>
      </c>
      <c r="S226" s="89"/>
      <c r="T226" s="38"/>
      <c r="U226" s="43"/>
      <c r="V226" s="42" t="str">
        <f>IF(Table1[[#This Row],[DATE]]=0,"",YEAR(E226))</f>
        <v/>
      </c>
      <c r="W226" s="40" t="str">
        <f t="shared" si="8"/>
        <v/>
      </c>
      <c r="X226" s="40" t="str">
        <f t="shared" si="9"/>
        <v/>
      </c>
      <c r="Y226" s="40" t="str">
        <f>TEXT(Table1[[#This Row],[YEAR]],"0000")&amp;"-"&amp;Table1[[#This Row],[MONTH]]</f>
        <v>-</v>
      </c>
    </row>
    <row r="227" spans="1:25" ht="18" x14ac:dyDescent="0.35">
      <c r="A227" s="24"/>
      <c r="B227" s="38"/>
      <c r="C227" s="38"/>
      <c r="D227" s="38"/>
      <c r="E227" s="37"/>
      <c r="F227" s="38"/>
      <c r="G227" s="198"/>
      <c r="H227" s="198"/>
      <c r="I227" s="39"/>
      <c r="J227" s="38"/>
      <c r="K227" s="198"/>
      <c r="L227" s="38"/>
      <c r="M227" s="38"/>
      <c r="N227" s="38"/>
      <c r="O227" s="38"/>
      <c r="P227" s="40" t="str" cm="1">
        <f t="array" ref="P227">IF(N227="","",IFERROR(_xlfn.XLOOKUP(F227&amp;"|"&amp;J227&amp;"|"&amp;O227,PRICES!$C$2:$C$659&amp;"|"&amp;PRICES!$B$2:$B$659&amp;"|"&amp;PRICES!$D$2:$D$659,PRICES!$E$2:$E$659),"Not Found"))</f>
        <v/>
      </c>
      <c r="Q227" s="100" t="str">
        <f>IF(N227=0,"",SUMIFS(PRICES!$G$2:$G$658,PRICES!$B$2:$B$658,'MAIN TABLE-1 AUTOMATED'!J227,PRICES!$C$2:$C$658,'MAIN TABLE-1 AUTOMATED'!F227,PRICES!$D$2:$D$658,'MAIN TABLE-1 AUTOMATED'!O227))</f>
        <v/>
      </c>
      <c r="R227" s="41" t="str">
        <f>IF(Table1[[#This Row],[QUANTITY]]=0,"",Table1[[#This Row],[UNIT PRICE]]*Table1[[#This Row],[QUANTITY]])</f>
        <v/>
      </c>
      <c r="S227" s="89"/>
      <c r="T227" s="38"/>
      <c r="U227" s="43"/>
      <c r="V227" s="42" t="str">
        <f>IF(Table1[[#This Row],[DATE]]=0,"",YEAR(E227))</f>
        <v/>
      </c>
      <c r="W227" s="40" t="str">
        <f t="shared" si="8"/>
        <v/>
      </c>
      <c r="X227" s="40" t="str">
        <f t="shared" si="9"/>
        <v/>
      </c>
      <c r="Y227" s="40" t="str">
        <f>TEXT(Table1[[#This Row],[YEAR]],"0000")&amp;"-"&amp;Table1[[#This Row],[MONTH]]</f>
        <v>-</v>
      </c>
    </row>
    <row r="228" spans="1:25" ht="18" x14ac:dyDescent="0.35">
      <c r="A228" s="24"/>
      <c r="B228" s="38"/>
      <c r="C228" s="38"/>
      <c r="D228" s="38"/>
      <c r="E228" s="37"/>
      <c r="F228" s="38"/>
      <c r="G228" s="198"/>
      <c r="H228" s="198"/>
      <c r="I228" s="39"/>
      <c r="J228" s="38"/>
      <c r="K228" s="198"/>
      <c r="L228" s="38"/>
      <c r="M228" s="38"/>
      <c r="N228" s="38"/>
      <c r="O228" s="38"/>
      <c r="P228" s="40" t="str" cm="1">
        <f t="array" ref="P228">IF(N228="","",IFERROR(_xlfn.XLOOKUP(F228&amp;"|"&amp;J228&amp;"|"&amp;O228,PRICES!$C$2:$C$659&amp;"|"&amp;PRICES!$B$2:$B$659&amp;"|"&amp;PRICES!$D$2:$D$659,PRICES!$E$2:$E$659),"Not Found"))</f>
        <v/>
      </c>
      <c r="Q228" s="100" t="str">
        <f>IF(N228=0,"",SUMIFS(PRICES!$G$2:$G$658,PRICES!$B$2:$B$658,'MAIN TABLE-1 AUTOMATED'!J228,PRICES!$C$2:$C$658,'MAIN TABLE-1 AUTOMATED'!F228,PRICES!$D$2:$D$658,'MAIN TABLE-1 AUTOMATED'!O228))</f>
        <v/>
      </c>
      <c r="R228" s="41" t="str">
        <f>IF(Table1[[#This Row],[QUANTITY]]=0,"",Table1[[#This Row],[UNIT PRICE]]*Table1[[#This Row],[QUANTITY]])</f>
        <v/>
      </c>
      <c r="S228" s="89"/>
      <c r="T228" s="38"/>
      <c r="U228" s="43"/>
      <c r="V228" s="42" t="str">
        <f>IF(Table1[[#This Row],[DATE]]=0,"",YEAR(E228))</f>
        <v/>
      </c>
      <c r="W228" s="40" t="str">
        <f t="shared" si="8"/>
        <v/>
      </c>
      <c r="X228" s="40" t="str">
        <f t="shared" si="9"/>
        <v/>
      </c>
      <c r="Y228" s="40" t="str">
        <f>TEXT(Table1[[#This Row],[YEAR]],"0000")&amp;"-"&amp;Table1[[#This Row],[MONTH]]</f>
        <v>-</v>
      </c>
    </row>
    <row r="229" spans="1:25" ht="18" x14ac:dyDescent="0.35">
      <c r="A229" s="24"/>
      <c r="B229" s="38"/>
      <c r="C229" s="38"/>
      <c r="D229" s="38"/>
      <c r="E229" s="37"/>
      <c r="F229" s="38"/>
      <c r="G229" s="198"/>
      <c r="H229" s="198"/>
      <c r="I229" s="39"/>
      <c r="J229" s="38"/>
      <c r="K229" s="198"/>
      <c r="L229" s="38"/>
      <c r="M229" s="38"/>
      <c r="N229" s="38"/>
      <c r="O229" s="38"/>
      <c r="P229" s="40" t="str" cm="1">
        <f t="array" ref="P229">IF(N229="","",IFERROR(_xlfn.XLOOKUP(F229&amp;"|"&amp;J229&amp;"|"&amp;O229,PRICES!$C$2:$C$659&amp;"|"&amp;PRICES!$B$2:$B$659&amp;"|"&amp;PRICES!$D$2:$D$659,PRICES!$E$2:$E$659),"Not Found"))</f>
        <v/>
      </c>
      <c r="Q229" s="100" t="str">
        <f>IF(N229=0,"",SUMIFS(PRICES!$G$2:$G$658,PRICES!$B$2:$B$658,'MAIN TABLE-1 AUTOMATED'!J229,PRICES!$C$2:$C$658,'MAIN TABLE-1 AUTOMATED'!F229,PRICES!$D$2:$D$658,'MAIN TABLE-1 AUTOMATED'!O229))</f>
        <v/>
      </c>
      <c r="R229" s="41" t="str">
        <f>IF(Table1[[#This Row],[QUANTITY]]=0,"",Table1[[#This Row],[UNIT PRICE]]*Table1[[#This Row],[QUANTITY]])</f>
        <v/>
      </c>
      <c r="S229" s="89"/>
      <c r="T229" s="38"/>
      <c r="U229" s="43"/>
      <c r="V229" s="42" t="str">
        <f>IF(Table1[[#This Row],[DATE]]=0,"",YEAR(E229))</f>
        <v/>
      </c>
      <c r="W229" s="40" t="str">
        <f t="shared" si="8"/>
        <v/>
      </c>
      <c r="X229" s="40" t="str">
        <f t="shared" si="9"/>
        <v/>
      </c>
      <c r="Y229" s="40" t="str">
        <f>TEXT(Table1[[#This Row],[YEAR]],"0000")&amp;"-"&amp;Table1[[#This Row],[MONTH]]</f>
        <v>-</v>
      </c>
    </row>
    <row r="230" spans="1:25" ht="18" x14ac:dyDescent="0.35">
      <c r="A230" s="24"/>
      <c r="B230" s="38"/>
      <c r="C230" s="38"/>
      <c r="D230" s="38"/>
      <c r="E230" s="37"/>
      <c r="F230" s="38"/>
      <c r="G230" s="198"/>
      <c r="H230" s="198"/>
      <c r="I230" s="39"/>
      <c r="J230" s="38"/>
      <c r="K230" s="198"/>
      <c r="L230" s="38"/>
      <c r="M230" s="38"/>
      <c r="N230" s="38"/>
      <c r="O230" s="38"/>
      <c r="P230" s="40" t="str" cm="1">
        <f t="array" ref="P230">IF(N230="","",IFERROR(_xlfn.XLOOKUP(F230&amp;"|"&amp;J230&amp;"|"&amp;O230,PRICES!$C$2:$C$659&amp;"|"&amp;PRICES!$B$2:$B$659&amp;"|"&amp;PRICES!$D$2:$D$659,PRICES!$E$2:$E$659),"Not Found"))</f>
        <v/>
      </c>
      <c r="Q230" s="100" t="str">
        <f>IF(N230=0,"",SUMIFS(PRICES!$G$2:$G$658,PRICES!$B$2:$B$658,'MAIN TABLE-1 AUTOMATED'!J230,PRICES!$C$2:$C$658,'MAIN TABLE-1 AUTOMATED'!F230,PRICES!$D$2:$D$658,'MAIN TABLE-1 AUTOMATED'!O230))</f>
        <v/>
      </c>
      <c r="R230" s="41" t="str">
        <f>IF(Table1[[#This Row],[QUANTITY]]=0,"",Table1[[#This Row],[UNIT PRICE]]*Table1[[#This Row],[QUANTITY]])</f>
        <v/>
      </c>
      <c r="S230" s="89"/>
      <c r="T230" s="38"/>
      <c r="U230" s="43"/>
      <c r="V230" s="42" t="str">
        <f>IF(Table1[[#This Row],[DATE]]=0,"",YEAR(E230))</f>
        <v/>
      </c>
      <c r="W230" s="40" t="str">
        <f t="shared" si="8"/>
        <v/>
      </c>
      <c r="X230" s="40" t="str">
        <f t="shared" si="9"/>
        <v/>
      </c>
      <c r="Y230" s="40" t="str">
        <f>TEXT(Table1[[#This Row],[YEAR]],"0000")&amp;"-"&amp;Table1[[#This Row],[MONTH]]</f>
        <v>-</v>
      </c>
    </row>
    <row r="231" spans="1:25" ht="18" x14ac:dyDescent="0.35">
      <c r="A231" s="24"/>
      <c r="B231" s="38"/>
      <c r="C231" s="38"/>
      <c r="D231" s="38"/>
      <c r="E231" s="37"/>
      <c r="F231" s="38"/>
      <c r="G231" s="198"/>
      <c r="H231" s="198"/>
      <c r="I231" s="39"/>
      <c r="J231" s="38"/>
      <c r="K231" s="198"/>
      <c r="L231" s="38"/>
      <c r="M231" s="38"/>
      <c r="N231" s="38"/>
      <c r="O231" s="38"/>
      <c r="P231" s="40" t="str" cm="1">
        <f t="array" ref="P231">IF(N231="","",IFERROR(_xlfn.XLOOKUP(F231&amp;"|"&amp;J231&amp;"|"&amp;O231,PRICES!$C$2:$C$659&amp;"|"&amp;PRICES!$B$2:$B$659&amp;"|"&amp;PRICES!$D$2:$D$659,PRICES!$E$2:$E$659),"Not Found"))</f>
        <v/>
      </c>
      <c r="Q231" s="100" t="str">
        <f>IF(N231=0,"",SUMIFS(PRICES!$G$2:$G$658,PRICES!$B$2:$B$658,'MAIN TABLE-1 AUTOMATED'!J231,PRICES!$C$2:$C$658,'MAIN TABLE-1 AUTOMATED'!F231,PRICES!$D$2:$D$658,'MAIN TABLE-1 AUTOMATED'!O231))</f>
        <v/>
      </c>
      <c r="R231" s="41" t="str">
        <f>IF(Table1[[#This Row],[QUANTITY]]=0,"",Table1[[#This Row],[UNIT PRICE]]*Table1[[#This Row],[QUANTITY]])</f>
        <v/>
      </c>
      <c r="S231" s="89"/>
      <c r="T231" s="38"/>
      <c r="U231" s="43"/>
      <c r="V231" s="42" t="str">
        <f>IF(Table1[[#This Row],[DATE]]=0,"",YEAR(E231))</f>
        <v/>
      </c>
      <c r="W231" s="40" t="str">
        <f t="shared" si="8"/>
        <v/>
      </c>
      <c r="X231" s="40" t="str">
        <f t="shared" si="9"/>
        <v/>
      </c>
      <c r="Y231" s="40" t="str">
        <f>TEXT(Table1[[#This Row],[YEAR]],"0000")&amp;"-"&amp;Table1[[#This Row],[MONTH]]</f>
        <v>-</v>
      </c>
    </row>
    <row r="232" spans="1:25" ht="18" x14ac:dyDescent="0.35">
      <c r="A232" s="24"/>
      <c r="B232" s="36"/>
      <c r="C232" s="36"/>
      <c r="D232" s="36"/>
      <c r="E232" s="37"/>
      <c r="F232" s="38"/>
      <c r="G232" s="198"/>
      <c r="H232" s="198"/>
      <c r="I232" s="39"/>
      <c r="J232" s="38"/>
      <c r="K232" s="198"/>
      <c r="L232" s="38"/>
      <c r="M232" s="38"/>
      <c r="N232" s="38"/>
      <c r="O232" s="38"/>
      <c r="P232" s="40" t="str" cm="1">
        <f t="array" ref="P232">IF(N232="","",IFERROR(_xlfn.XLOOKUP(F232&amp;"|"&amp;J232&amp;"|"&amp;O232,PRICES!$C$2:$C$659&amp;"|"&amp;PRICES!$B$2:$B$659&amp;"|"&amp;PRICES!$D$2:$D$659,PRICES!$E$2:$E$659),"Not Found"))</f>
        <v/>
      </c>
      <c r="Q232" s="100" t="str">
        <f>IF(N232=0,"",SUMIFS(PRICES!$G$2:$G$658,PRICES!$B$2:$B$658,'MAIN TABLE-1 AUTOMATED'!J232,PRICES!$C$2:$C$658,'MAIN TABLE-1 AUTOMATED'!F232,PRICES!$D$2:$D$658,'MAIN TABLE-1 AUTOMATED'!O232))</f>
        <v/>
      </c>
      <c r="R232" s="41" t="str">
        <f>IF(Table1[[#This Row],[QUANTITY]]=0,"",Table1[[#This Row],[UNIT PRICE]]*Table1[[#This Row],[QUANTITY]])</f>
        <v/>
      </c>
      <c r="S232" s="89"/>
      <c r="T232" s="38"/>
      <c r="U232" s="43"/>
      <c r="V232" s="42" t="str">
        <f>IF(Table1[[#This Row],[DATE]]=0,"",YEAR(E232))</f>
        <v/>
      </c>
      <c r="W232" s="40" t="str">
        <f t="shared" si="8"/>
        <v/>
      </c>
      <c r="X232" s="40" t="str">
        <f t="shared" si="9"/>
        <v/>
      </c>
      <c r="Y232" s="40" t="str">
        <f>TEXT(Table1[[#This Row],[YEAR]],"0000")&amp;"-"&amp;Table1[[#This Row],[MONTH]]</f>
        <v>-</v>
      </c>
    </row>
    <row r="233" spans="1:25" ht="18" x14ac:dyDescent="0.35">
      <c r="A233" s="24"/>
      <c r="B233" s="38"/>
      <c r="C233" s="38"/>
      <c r="D233" s="38"/>
      <c r="E233" s="37"/>
      <c r="F233" s="38"/>
      <c r="G233" s="198"/>
      <c r="H233" s="198"/>
      <c r="I233" s="39"/>
      <c r="J233" s="38"/>
      <c r="K233" s="198"/>
      <c r="L233" s="38"/>
      <c r="M233" s="38"/>
      <c r="N233" s="38"/>
      <c r="O233" s="38"/>
      <c r="P233" s="40" t="str" cm="1">
        <f t="array" ref="P233">IF(N233="","",IFERROR(_xlfn.XLOOKUP(F233&amp;"|"&amp;J233&amp;"|"&amp;O233,PRICES!$C$2:$C$659&amp;"|"&amp;PRICES!$B$2:$B$659&amp;"|"&amp;PRICES!$D$2:$D$659,PRICES!$E$2:$E$659),"Not Found"))</f>
        <v/>
      </c>
      <c r="Q233" s="100" t="str">
        <f>IF(N233=0,"",SUMIFS(PRICES!$G$2:$G$658,PRICES!$B$2:$B$658,'MAIN TABLE-1 AUTOMATED'!J233,PRICES!$C$2:$C$658,'MAIN TABLE-1 AUTOMATED'!F233,PRICES!$D$2:$D$658,'MAIN TABLE-1 AUTOMATED'!O233))</f>
        <v/>
      </c>
      <c r="R233" s="41" t="str">
        <f>IF(Table1[[#This Row],[QUANTITY]]=0,"",Table1[[#This Row],[UNIT PRICE]]*Table1[[#This Row],[QUANTITY]])</f>
        <v/>
      </c>
      <c r="S233" s="89"/>
      <c r="T233" s="38"/>
      <c r="U233" s="43"/>
      <c r="V233" s="42" t="str">
        <f>IF(Table1[[#This Row],[DATE]]=0,"",YEAR(E233))</f>
        <v/>
      </c>
      <c r="W233" s="40" t="str">
        <f t="shared" si="8"/>
        <v/>
      </c>
      <c r="X233" s="40" t="str">
        <f t="shared" si="9"/>
        <v/>
      </c>
      <c r="Y233" s="40" t="str">
        <f>TEXT(Table1[[#This Row],[YEAR]],"0000")&amp;"-"&amp;Table1[[#This Row],[MONTH]]</f>
        <v>-</v>
      </c>
    </row>
    <row r="234" spans="1:25" ht="18" x14ac:dyDescent="0.35">
      <c r="A234" s="24"/>
      <c r="B234" s="38"/>
      <c r="C234" s="38"/>
      <c r="D234" s="38"/>
      <c r="E234" s="37"/>
      <c r="F234" s="38"/>
      <c r="G234" s="198"/>
      <c r="H234" s="198"/>
      <c r="I234" s="39"/>
      <c r="J234" s="38"/>
      <c r="K234" s="198"/>
      <c r="L234" s="38"/>
      <c r="M234" s="38"/>
      <c r="N234" s="38"/>
      <c r="O234" s="38"/>
      <c r="P234" s="40" t="str" cm="1">
        <f t="array" ref="P234">IF(N234="","",IFERROR(_xlfn.XLOOKUP(F234&amp;"|"&amp;J234&amp;"|"&amp;O234,PRICES!$C$2:$C$659&amp;"|"&amp;PRICES!$B$2:$B$659&amp;"|"&amp;PRICES!$D$2:$D$659,PRICES!$E$2:$E$659),"Not Found"))</f>
        <v/>
      </c>
      <c r="Q234" s="100" t="str">
        <f>IF(N234=0,"",SUMIFS(PRICES!$G$2:$G$658,PRICES!$B$2:$B$658,'MAIN TABLE-1 AUTOMATED'!J234,PRICES!$C$2:$C$658,'MAIN TABLE-1 AUTOMATED'!F234,PRICES!$D$2:$D$658,'MAIN TABLE-1 AUTOMATED'!O234))</f>
        <v/>
      </c>
      <c r="R234" s="41" t="str">
        <f>IF(Table1[[#This Row],[QUANTITY]]=0,"",Table1[[#This Row],[UNIT PRICE]]*Table1[[#This Row],[QUANTITY]])</f>
        <v/>
      </c>
      <c r="S234" s="89"/>
      <c r="T234" s="38"/>
      <c r="U234" s="43"/>
      <c r="V234" s="42" t="str">
        <f>IF(Table1[[#This Row],[DATE]]=0,"",YEAR(E234))</f>
        <v/>
      </c>
      <c r="W234" s="40" t="str">
        <f t="shared" si="8"/>
        <v/>
      </c>
      <c r="X234" s="40" t="str">
        <f t="shared" si="9"/>
        <v/>
      </c>
      <c r="Y234" s="40" t="str">
        <f>TEXT(Table1[[#This Row],[YEAR]],"0000")&amp;"-"&amp;Table1[[#This Row],[MONTH]]</f>
        <v>-</v>
      </c>
    </row>
    <row r="235" spans="1:25" ht="18" x14ac:dyDescent="0.35">
      <c r="A235" s="24"/>
      <c r="B235" s="38"/>
      <c r="C235" s="38"/>
      <c r="D235" s="38"/>
      <c r="E235" s="37"/>
      <c r="F235" s="38"/>
      <c r="G235" s="198"/>
      <c r="H235" s="198"/>
      <c r="I235" s="39"/>
      <c r="J235" s="38"/>
      <c r="K235" s="198"/>
      <c r="L235" s="38"/>
      <c r="M235" s="38"/>
      <c r="N235" s="38"/>
      <c r="O235" s="38"/>
      <c r="P235" s="40" t="str" cm="1">
        <f t="array" ref="P235">IF(N235="","",IFERROR(_xlfn.XLOOKUP(F235&amp;"|"&amp;J235&amp;"|"&amp;O235,PRICES!$C$2:$C$659&amp;"|"&amp;PRICES!$B$2:$B$659&amp;"|"&amp;PRICES!$D$2:$D$659,PRICES!$E$2:$E$659),"Not Found"))</f>
        <v/>
      </c>
      <c r="Q235" s="100" t="str">
        <f>IF(N235=0,"",SUMIFS(PRICES!$G$2:$G$658,PRICES!$B$2:$B$658,'MAIN TABLE-1 AUTOMATED'!J235,PRICES!$C$2:$C$658,'MAIN TABLE-1 AUTOMATED'!F235,PRICES!$D$2:$D$658,'MAIN TABLE-1 AUTOMATED'!O235))</f>
        <v/>
      </c>
      <c r="R235" s="41" t="str">
        <f>IF(Table1[[#This Row],[QUANTITY]]=0,"",Table1[[#This Row],[UNIT PRICE]]*Table1[[#This Row],[QUANTITY]])</f>
        <v/>
      </c>
      <c r="S235" s="89"/>
      <c r="T235" s="38"/>
      <c r="U235" s="43"/>
      <c r="V235" s="42" t="str">
        <f>IF(Table1[[#This Row],[DATE]]=0,"",YEAR(E235))</f>
        <v/>
      </c>
      <c r="W235" s="40" t="str">
        <f t="shared" si="8"/>
        <v/>
      </c>
      <c r="X235" s="40" t="str">
        <f t="shared" si="9"/>
        <v/>
      </c>
      <c r="Y235" s="40" t="str">
        <f>TEXT(Table1[[#This Row],[YEAR]],"0000")&amp;"-"&amp;Table1[[#This Row],[MONTH]]</f>
        <v>-</v>
      </c>
    </row>
    <row r="236" spans="1:25" ht="18" x14ac:dyDescent="0.35">
      <c r="A236" s="24"/>
      <c r="B236" s="38"/>
      <c r="C236" s="38"/>
      <c r="D236" s="38"/>
      <c r="E236" s="37"/>
      <c r="F236" s="38"/>
      <c r="G236" s="198"/>
      <c r="H236" s="198"/>
      <c r="I236" s="39"/>
      <c r="J236" s="38"/>
      <c r="K236" s="198"/>
      <c r="L236" s="38"/>
      <c r="M236" s="38"/>
      <c r="N236" s="38"/>
      <c r="O236" s="38"/>
      <c r="P236" s="40" t="str" cm="1">
        <f t="array" ref="P236">IF(N236="","",IFERROR(_xlfn.XLOOKUP(F236&amp;"|"&amp;J236&amp;"|"&amp;O236,PRICES!$C$2:$C$659&amp;"|"&amp;PRICES!$B$2:$B$659&amp;"|"&amp;PRICES!$D$2:$D$659,PRICES!$E$2:$E$659),"Not Found"))</f>
        <v/>
      </c>
      <c r="Q236" s="100" t="str">
        <f>IF(N236=0,"",SUMIFS(PRICES!$G$2:$G$658,PRICES!$B$2:$B$658,'MAIN TABLE-1 AUTOMATED'!J236,PRICES!$C$2:$C$658,'MAIN TABLE-1 AUTOMATED'!F236,PRICES!$D$2:$D$658,'MAIN TABLE-1 AUTOMATED'!O236))</f>
        <v/>
      </c>
      <c r="R236" s="41" t="str">
        <f>IF(Table1[[#This Row],[QUANTITY]]=0,"",Table1[[#This Row],[UNIT PRICE]]*Table1[[#This Row],[QUANTITY]])</f>
        <v/>
      </c>
      <c r="S236" s="89"/>
      <c r="T236" s="38"/>
      <c r="U236" s="43"/>
      <c r="V236" s="42" t="str">
        <f>IF(Table1[[#This Row],[DATE]]=0,"",YEAR(E236))</f>
        <v/>
      </c>
      <c r="W236" s="40" t="str">
        <f t="shared" si="8"/>
        <v/>
      </c>
      <c r="X236" s="40" t="str">
        <f t="shared" si="9"/>
        <v/>
      </c>
      <c r="Y236" s="40" t="str">
        <f>TEXT(Table1[[#This Row],[YEAR]],"0000")&amp;"-"&amp;Table1[[#This Row],[MONTH]]</f>
        <v>-</v>
      </c>
    </row>
    <row r="237" spans="1:25" ht="18" x14ac:dyDescent="0.35">
      <c r="A237" s="24"/>
      <c r="B237" s="38"/>
      <c r="C237" s="38"/>
      <c r="D237" s="38"/>
      <c r="E237" s="37"/>
      <c r="F237" s="38"/>
      <c r="G237" s="198"/>
      <c r="H237" s="198"/>
      <c r="I237" s="39"/>
      <c r="J237" s="38"/>
      <c r="K237" s="198"/>
      <c r="L237" s="38"/>
      <c r="M237" s="38"/>
      <c r="N237" s="38"/>
      <c r="O237" s="38"/>
      <c r="P237" s="40" t="str" cm="1">
        <f t="array" ref="P237">IF(N237="","",IFERROR(_xlfn.XLOOKUP(F237&amp;"|"&amp;J237&amp;"|"&amp;O237,PRICES!$C$2:$C$659&amp;"|"&amp;PRICES!$B$2:$B$659&amp;"|"&amp;PRICES!$D$2:$D$659,PRICES!$E$2:$E$659),"Not Found"))</f>
        <v/>
      </c>
      <c r="Q237" s="100" t="str">
        <f>IF(N237=0,"",SUMIFS(PRICES!$G$2:$G$658,PRICES!$B$2:$B$658,'MAIN TABLE-1 AUTOMATED'!J237,PRICES!$C$2:$C$658,'MAIN TABLE-1 AUTOMATED'!F237,PRICES!$D$2:$D$658,'MAIN TABLE-1 AUTOMATED'!O237))</f>
        <v/>
      </c>
      <c r="R237" s="41" t="str">
        <f>IF(Table1[[#This Row],[QUANTITY]]=0,"",Table1[[#This Row],[UNIT PRICE]]*Table1[[#This Row],[QUANTITY]])</f>
        <v/>
      </c>
      <c r="S237" s="89"/>
      <c r="T237" s="38"/>
      <c r="U237" s="43"/>
      <c r="V237" s="42" t="str">
        <f>IF(Table1[[#This Row],[DATE]]=0,"",YEAR(E237))</f>
        <v/>
      </c>
      <c r="W237" s="40" t="str">
        <f t="shared" si="8"/>
        <v/>
      </c>
      <c r="X237" s="40" t="str">
        <f t="shared" si="9"/>
        <v/>
      </c>
      <c r="Y237" s="40" t="str">
        <f>TEXT(Table1[[#This Row],[YEAR]],"0000")&amp;"-"&amp;Table1[[#This Row],[MONTH]]</f>
        <v>-</v>
      </c>
    </row>
    <row r="238" spans="1:25" ht="18" x14ac:dyDescent="0.35">
      <c r="A238" s="24"/>
      <c r="B238" s="38"/>
      <c r="C238" s="38"/>
      <c r="D238" s="38"/>
      <c r="E238" s="37"/>
      <c r="F238" s="38"/>
      <c r="G238" s="198"/>
      <c r="H238" s="198"/>
      <c r="I238" s="39"/>
      <c r="J238" s="38"/>
      <c r="K238" s="198"/>
      <c r="L238" s="38"/>
      <c r="M238" s="38"/>
      <c r="N238" s="38"/>
      <c r="O238" s="38"/>
      <c r="P238" s="40" t="str" cm="1">
        <f t="array" ref="P238">IF(N238="","",IFERROR(_xlfn.XLOOKUP(F238&amp;"|"&amp;J238&amp;"|"&amp;O238,PRICES!$C$2:$C$659&amp;"|"&amp;PRICES!$B$2:$B$659&amp;"|"&amp;PRICES!$D$2:$D$659,PRICES!$E$2:$E$659),"Not Found"))</f>
        <v/>
      </c>
      <c r="Q238" s="100" t="str">
        <f>IF(N238=0,"",SUMIFS(PRICES!$G$2:$G$658,PRICES!$B$2:$B$658,'MAIN TABLE-1 AUTOMATED'!J238,PRICES!$C$2:$C$658,'MAIN TABLE-1 AUTOMATED'!F238,PRICES!$D$2:$D$658,'MAIN TABLE-1 AUTOMATED'!O238))</f>
        <v/>
      </c>
      <c r="R238" s="41" t="str">
        <f>IF(Table1[[#This Row],[QUANTITY]]=0,"",Table1[[#This Row],[UNIT PRICE]]*Table1[[#This Row],[QUANTITY]])</f>
        <v/>
      </c>
      <c r="S238" s="89"/>
      <c r="T238" s="38"/>
      <c r="U238" s="43"/>
      <c r="V238" s="42" t="str">
        <f>IF(Table1[[#This Row],[DATE]]=0,"",YEAR(E238))</f>
        <v/>
      </c>
      <c r="W238" s="40" t="str">
        <f t="shared" si="8"/>
        <v/>
      </c>
      <c r="X238" s="40" t="str">
        <f t="shared" si="9"/>
        <v/>
      </c>
      <c r="Y238" s="40" t="str">
        <f>TEXT(Table1[[#This Row],[YEAR]],"0000")&amp;"-"&amp;Table1[[#This Row],[MONTH]]</f>
        <v>-</v>
      </c>
    </row>
    <row r="239" spans="1:25" ht="18" x14ac:dyDescent="0.35">
      <c r="A239" s="24"/>
      <c r="B239" s="38"/>
      <c r="C239" s="38"/>
      <c r="D239" s="38"/>
      <c r="E239" s="37"/>
      <c r="F239" s="38"/>
      <c r="G239" s="198"/>
      <c r="H239" s="198"/>
      <c r="I239" s="39"/>
      <c r="J239" s="38"/>
      <c r="K239" s="198"/>
      <c r="L239" s="38"/>
      <c r="M239" s="38"/>
      <c r="N239" s="38"/>
      <c r="O239" s="38"/>
      <c r="P239" s="40" t="str" cm="1">
        <f t="array" ref="P239">IF(N239="","",IFERROR(_xlfn.XLOOKUP(F239&amp;"|"&amp;J239&amp;"|"&amp;O239,PRICES!$C$2:$C$659&amp;"|"&amp;PRICES!$B$2:$B$659&amp;"|"&amp;PRICES!$D$2:$D$659,PRICES!$E$2:$E$659),"Not Found"))</f>
        <v/>
      </c>
      <c r="Q239" s="100" t="str">
        <f>IF(N239=0,"",SUMIFS(PRICES!$G$2:$G$658,PRICES!$B$2:$B$658,'MAIN TABLE-1 AUTOMATED'!J239,PRICES!$C$2:$C$658,'MAIN TABLE-1 AUTOMATED'!F239,PRICES!$D$2:$D$658,'MAIN TABLE-1 AUTOMATED'!O239))</f>
        <v/>
      </c>
      <c r="R239" s="41" t="str">
        <f>IF(Table1[[#This Row],[QUANTITY]]=0,"",Table1[[#This Row],[UNIT PRICE]]*Table1[[#This Row],[QUANTITY]])</f>
        <v/>
      </c>
      <c r="S239" s="89"/>
      <c r="T239" s="38"/>
      <c r="U239" s="43"/>
      <c r="V239" s="42" t="str">
        <f>IF(Table1[[#This Row],[DATE]]=0,"",YEAR(E239))</f>
        <v/>
      </c>
      <c r="W239" s="40" t="str">
        <f t="shared" si="8"/>
        <v/>
      </c>
      <c r="X239" s="40" t="str">
        <f t="shared" si="9"/>
        <v/>
      </c>
      <c r="Y239" s="40" t="str">
        <f>TEXT(Table1[[#This Row],[YEAR]],"0000")&amp;"-"&amp;Table1[[#This Row],[MONTH]]</f>
        <v>-</v>
      </c>
    </row>
    <row r="240" spans="1:25" ht="18" x14ac:dyDescent="0.35">
      <c r="A240" s="24"/>
      <c r="B240" s="38"/>
      <c r="C240" s="38"/>
      <c r="D240" s="38"/>
      <c r="E240" s="37"/>
      <c r="F240" s="38"/>
      <c r="G240" s="198"/>
      <c r="H240" s="198"/>
      <c r="I240" s="39"/>
      <c r="J240" s="38"/>
      <c r="K240" s="198"/>
      <c r="L240" s="38"/>
      <c r="M240" s="38"/>
      <c r="N240" s="38"/>
      <c r="O240" s="38"/>
      <c r="P240" s="40" t="str" cm="1">
        <f t="array" ref="P240">IF(N240="","",IFERROR(_xlfn.XLOOKUP(F240&amp;"|"&amp;J240&amp;"|"&amp;O240,PRICES!$C$2:$C$659&amp;"|"&amp;PRICES!$B$2:$B$659&amp;"|"&amp;PRICES!$D$2:$D$659,PRICES!$E$2:$E$659),"Not Found"))</f>
        <v/>
      </c>
      <c r="Q240" s="100" t="str">
        <f>IF(N240=0,"",SUMIFS(PRICES!$G$2:$G$658,PRICES!$B$2:$B$658,'MAIN TABLE-1 AUTOMATED'!J240,PRICES!$C$2:$C$658,'MAIN TABLE-1 AUTOMATED'!F240,PRICES!$D$2:$D$658,'MAIN TABLE-1 AUTOMATED'!O240))</f>
        <v/>
      </c>
      <c r="R240" s="41" t="str">
        <f>IF(Table1[[#This Row],[QUANTITY]]=0,"",Table1[[#This Row],[UNIT PRICE]]*Table1[[#This Row],[QUANTITY]])</f>
        <v/>
      </c>
      <c r="S240" s="89"/>
      <c r="T240" s="38"/>
      <c r="U240" s="43"/>
      <c r="V240" s="42" t="str">
        <f>IF(Table1[[#This Row],[DATE]]=0,"",YEAR(E240))</f>
        <v/>
      </c>
      <c r="W240" s="40" t="str">
        <f t="shared" si="8"/>
        <v/>
      </c>
      <c r="X240" s="40" t="str">
        <f t="shared" si="9"/>
        <v/>
      </c>
      <c r="Y240" s="40" t="str">
        <f>TEXT(Table1[[#This Row],[YEAR]],"0000")&amp;"-"&amp;Table1[[#This Row],[MONTH]]</f>
        <v>-</v>
      </c>
    </row>
    <row r="241" spans="1:25" ht="18" x14ac:dyDescent="0.35">
      <c r="A241" s="24"/>
      <c r="B241" s="38"/>
      <c r="C241" s="38"/>
      <c r="D241" s="38"/>
      <c r="E241" s="37"/>
      <c r="F241" s="38"/>
      <c r="G241" s="198"/>
      <c r="H241" s="198"/>
      <c r="I241" s="39"/>
      <c r="J241" s="38"/>
      <c r="K241" s="198"/>
      <c r="L241" s="38"/>
      <c r="M241" s="38"/>
      <c r="N241" s="38"/>
      <c r="O241" s="38"/>
      <c r="P241" s="40" t="str" cm="1">
        <f t="array" ref="P241">IF(N241="","",IFERROR(_xlfn.XLOOKUP(F241&amp;"|"&amp;J241&amp;"|"&amp;O241,PRICES!$C$2:$C$659&amp;"|"&amp;PRICES!$B$2:$B$659&amp;"|"&amp;PRICES!$D$2:$D$659,PRICES!$E$2:$E$659),"Not Found"))</f>
        <v/>
      </c>
      <c r="Q241" s="100" t="str">
        <f>IF(N241=0,"",SUMIFS(PRICES!$G$2:$G$658,PRICES!$B$2:$B$658,'MAIN TABLE-1 AUTOMATED'!J241,PRICES!$C$2:$C$658,'MAIN TABLE-1 AUTOMATED'!F241,PRICES!$D$2:$D$658,'MAIN TABLE-1 AUTOMATED'!O241))</f>
        <v/>
      </c>
      <c r="R241" s="41" t="str">
        <f>IF(Table1[[#This Row],[QUANTITY]]=0,"",Table1[[#This Row],[UNIT PRICE]]*Table1[[#This Row],[QUANTITY]])</f>
        <v/>
      </c>
      <c r="S241" s="89"/>
      <c r="T241" s="38"/>
      <c r="U241" s="43"/>
      <c r="V241" s="42" t="str">
        <f>IF(Table1[[#This Row],[DATE]]=0,"",YEAR(E241))</f>
        <v/>
      </c>
      <c r="W241" s="40" t="str">
        <f t="shared" si="8"/>
        <v/>
      </c>
      <c r="X241" s="40" t="str">
        <f t="shared" si="9"/>
        <v/>
      </c>
      <c r="Y241" s="40" t="str">
        <f>TEXT(Table1[[#This Row],[YEAR]],"0000")&amp;"-"&amp;Table1[[#This Row],[MONTH]]</f>
        <v>-</v>
      </c>
    </row>
    <row r="242" spans="1:25" ht="18" x14ac:dyDescent="0.35">
      <c r="A242" s="24"/>
      <c r="B242" s="38"/>
      <c r="C242" s="38"/>
      <c r="D242" s="38"/>
      <c r="E242" s="37"/>
      <c r="F242" s="38"/>
      <c r="G242" s="198"/>
      <c r="H242" s="198"/>
      <c r="I242" s="39"/>
      <c r="J242" s="38"/>
      <c r="K242" s="198"/>
      <c r="L242" s="38"/>
      <c r="M242" s="38"/>
      <c r="N242" s="38"/>
      <c r="O242" s="38"/>
      <c r="P242" s="40" t="str" cm="1">
        <f t="array" ref="P242">IF(N242="","",IFERROR(_xlfn.XLOOKUP(F242&amp;"|"&amp;J242&amp;"|"&amp;O242,PRICES!$C$2:$C$659&amp;"|"&amp;PRICES!$B$2:$B$659&amp;"|"&amp;PRICES!$D$2:$D$659,PRICES!$E$2:$E$659),"Not Found"))</f>
        <v/>
      </c>
      <c r="Q242" s="100" t="str">
        <f>IF(N242=0,"",SUMIFS(PRICES!$G$2:$G$658,PRICES!$B$2:$B$658,'MAIN TABLE-1 AUTOMATED'!J242,PRICES!$C$2:$C$658,'MAIN TABLE-1 AUTOMATED'!F242,PRICES!$D$2:$D$658,'MAIN TABLE-1 AUTOMATED'!O242))</f>
        <v/>
      </c>
      <c r="R242" s="41" t="str">
        <f>IF(Table1[[#This Row],[QUANTITY]]=0,"",Table1[[#This Row],[UNIT PRICE]]*Table1[[#This Row],[QUANTITY]])</f>
        <v/>
      </c>
      <c r="S242" s="89"/>
      <c r="T242" s="38"/>
      <c r="U242" s="43"/>
      <c r="V242" s="42" t="str">
        <f>IF(Table1[[#This Row],[DATE]]=0,"",YEAR(E242))</f>
        <v/>
      </c>
      <c r="W242" s="40" t="str">
        <f t="shared" si="8"/>
        <v/>
      </c>
      <c r="X242" s="40" t="str">
        <f t="shared" si="9"/>
        <v/>
      </c>
      <c r="Y242" s="40" t="str">
        <f>TEXT(Table1[[#This Row],[YEAR]],"0000")&amp;"-"&amp;Table1[[#This Row],[MONTH]]</f>
        <v>-</v>
      </c>
    </row>
    <row r="243" spans="1:25" ht="18" x14ac:dyDescent="0.35">
      <c r="A243" s="24"/>
      <c r="B243" s="38"/>
      <c r="C243" s="38"/>
      <c r="D243" s="38"/>
      <c r="E243" s="37"/>
      <c r="F243" s="38"/>
      <c r="G243" s="198"/>
      <c r="H243" s="198"/>
      <c r="I243" s="39"/>
      <c r="J243" s="38"/>
      <c r="K243" s="198"/>
      <c r="L243" s="38"/>
      <c r="M243" s="38"/>
      <c r="N243" s="38"/>
      <c r="O243" s="38"/>
      <c r="P243" s="40" t="str" cm="1">
        <f t="array" ref="P243">IF(N243="","",IFERROR(_xlfn.XLOOKUP(F243&amp;"|"&amp;J243&amp;"|"&amp;O243,PRICES!$C$2:$C$659&amp;"|"&amp;PRICES!$B$2:$B$659&amp;"|"&amp;PRICES!$D$2:$D$659,PRICES!$E$2:$E$659),"Not Found"))</f>
        <v/>
      </c>
      <c r="Q243" s="100" t="str">
        <f>IF(N243=0,"",SUMIFS(PRICES!$G$2:$G$658,PRICES!$B$2:$B$658,'MAIN TABLE-1 AUTOMATED'!J243,PRICES!$C$2:$C$658,'MAIN TABLE-1 AUTOMATED'!F243,PRICES!$D$2:$D$658,'MAIN TABLE-1 AUTOMATED'!O243))</f>
        <v/>
      </c>
      <c r="R243" s="41" t="str">
        <f>IF(Table1[[#This Row],[QUANTITY]]=0,"",Table1[[#This Row],[UNIT PRICE]]*Table1[[#This Row],[QUANTITY]])</f>
        <v/>
      </c>
      <c r="S243" s="89"/>
      <c r="T243" s="38"/>
      <c r="U243" s="43"/>
      <c r="V243" s="42" t="str">
        <f>IF(Table1[[#This Row],[DATE]]=0,"",YEAR(E243))</f>
        <v/>
      </c>
      <c r="W243" s="40" t="str">
        <f t="shared" si="8"/>
        <v/>
      </c>
      <c r="X243" s="40" t="str">
        <f t="shared" si="9"/>
        <v/>
      </c>
      <c r="Y243" s="40" t="str">
        <f>TEXT(Table1[[#This Row],[YEAR]],"0000")&amp;"-"&amp;Table1[[#This Row],[MONTH]]</f>
        <v>-</v>
      </c>
    </row>
    <row r="244" spans="1:25" ht="18" x14ac:dyDescent="0.35">
      <c r="A244" s="24"/>
      <c r="B244" s="38"/>
      <c r="C244" s="38"/>
      <c r="D244" s="38"/>
      <c r="E244" s="37"/>
      <c r="F244" s="38"/>
      <c r="G244" s="198"/>
      <c r="H244" s="198"/>
      <c r="I244" s="39"/>
      <c r="J244" s="38"/>
      <c r="K244" s="198"/>
      <c r="L244" s="38"/>
      <c r="M244" s="38"/>
      <c r="N244" s="38"/>
      <c r="O244" s="38"/>
      <c r="P244" s="40" t="str" cm="1">
        <f t="array" ref="P244">IF(N244="","",IFERROR(_xlfn.XLOOKUP(F244&amp;"|"&amp;J244&amp;"|"&amp;O244,PRICES!$C$2:$C$659&amp;"|"&amp;PRICES!$B$2:$B$659&amp;"|"&amp;PRICES!$D$2:$D$659,PRICES!$E$2:$E$659),"Not Found"))</f>
        <v/>
      </c>
      <c r="Q244" s="100" t="str">
        <f>IF(N244=0,"",SUMIFS(PRICES!$G$2:$G$658,PRICES!$B$2:$B$658,'MAIN TABLE-1 AUTOMATED'!J244,PRICES!$C$2:$C$658,'MAIN TABLE-1 AUTOMATED'!F244,PRICES!$D$2:$D$658,'MAIN TABLE-1 AUTOMATED'!O244))</f>
        <v/>
      </c>
      <c r="R244" s="41" t="str">
        <f>IF(Table1[[#This Row],[QUANTITY]]=0,"",Table1[[#This Row],[UNIT PRICE]]*Table1[[#This Row],[QUANTITY]])</f>
        <v/>
      </c>
      <c r="S244" s="89"/>
      <c r="T244" s="38"/>
      <c r="U244" s="43"/>
      <c r="V244" s="42" t="str">
        <f>IF(Table1[[#This Row],[DATE]]=0,"",YEAR(E244))</f>
        <v/>
      </c>
      <c r="W244" s="40" t="str">
        <f t="shared" si="8"/>
        <v/>
      </c>
      <c r="X244" s="40" t="str">
        <f t="shared" si="9"/>
        <v/>
      </c>
      <c r="Y244" s="40" t="str">
        <f>TEXT(Table1[[#This Row],[YEAR]],"0000")&amp;"-"&amp;Table1[[#This Row],[MONTH]]</f>
        <v>-</v>
      </c>
    </row>
    <row r="245" spans="1:25" ht="18" x14ac:dyDescent="0.35">
      <c r="A245" s="24"/>
      <c r="B245" s="38"/>
      <c r="C245" s="38"/>
      <c r="D245" s="38"/>
      <c r="E245" s="37"/>
      <c r="F245" s="38"/>
      <c r="G245" s="198"/>
      <c r="H245" s="198"/>
      <c r="I245" s="39"/>
      <c r="J245" s="38"/>
      <c r="K245" s="198"/>
      <c r="L245" s="38"/>
      <c r="M245" s="38"/>
      <c r="N245" s="38"/>
      <c r="O245" s="38"/>
      <c r="P245" s="40" t="str" cm="1">
        <f t="array" ref="P245">IF(N245="","",IFERROR(_xlfn.XLOOKUP(F245&amp;"|"&amp;J245&amp;"|"&amp;O245,PRICES!$C$2:$C$659&amp;"|"&amp;PRICES!$B$2:$B$659&amp;"|"&amp;PRICES!$D$2:$D$659,PRICES!$E$2:$E$659),"Not Found"))</f>
        <v/>
      </c>
      <c r="Q245" s="100" t="str">
        <f>IF(N245=0,"",SUMIFS(PRICES!$G$2:$G$658,PRICES!$B$2:$B$658,'MAIN TABLE-1 AUTOMATED'!J245,PRICES!$C$2:$C$658,'MAIN TABLE-1 AUTOMATED'!F245,PRICES!$D$2:$D$658,'MAIN TABLE-1 AUTOMATED'!O245))</f>
        <v/>
      </c>
      <c r="R245" s="41" t="str">
        <f>IF(Table1[[#This Row],[QUANTITY]]=0,"",Table1[[#This Row],[UNIT PRICE]]*Table1[[#This Row],[QUANTITY]])</f>
        <v/>
      </c>
      <c r="S245" s="89"/>
      <c r="T245" s="38"/>
      <c r="U245" s="43"/>
      <c r="V245" s="42" t="str">
        <f>IF(Table1[[#This Row],[DATE]]=0,"",YEAR(E245))</f>
        <v/>
      </c>
      <c r="W245" s="40" t="str">
        <f t="shared" si="8"/>
        <v/>
      </c>
      <c r="X245" s="40" t="str">
        <f t="shared" si="9"/>
        <v/>
      </c>
      <c r="Y245" s="40" t="str">
        <f>TEXT(Table1[[#This Row],[YEAR]],"0000")&amp;"-"&amp;Table1[[#This Row],[MONTH]]</f>
        <v>-</v>
      </c>
    </row>
    <row r="246" spans="1:25" ht="18" x14ac:dyDescent="0.35">
      <c r="A246" s="24"/>
      <c r="B246" s="36"/>
      <c r="C246" s="36"/>
      <c r="D246" s="36"/>
      <c r="E246" s="37"/>
      <c r="F246" s="38"/>
      <c r="G246" s="198"/>
      <c r="H246" s="198"/>
      <c r="I246" s="39"/>
      <c r="J246" s="38"/>
      <c r="K246" s="198"/>
      <c r="L246" s="38"/>
      <c r="M246" s="38"/>
      <c r="N246" s="38"/>
      <c r="O246" s="38"/>
      <c r="P246" s="40" t="str" cm="1">
        <f t="array" ref="P246">IF(N246="","",IFERROR(_xlfn.XLOOKUP(F246&amp;"|"&amp;J246&amp;"|"&amp;O246,PRICES!$C$2:$C$659&amp;"|"&amp;PRICES!$B$2:$B$659&amp;"|"&amp;PRICES!$D$2:$D$659,PRICES!$E$2:$E$659),"Not Found"))</f>
        <v/>
      </c>
      <c r="Q246" s="100" t="str">
        <f>IF(N246=0,"",SUMIFS(PRICES!$G$2:$G$658,PRICES!$B$2:$B$658,'MAIN TABLE-1 AUTOMATED'!J246,PRICES!$C$2:$C$658,'MAIN TABLE-1 AUTOMATED'!F246,PRICES!$D$2:$D$658,'MAIN TABLE-1 AUTOMATED'!O246))</f>
        <v/>
      </c>
      <c r="R246" s="41" t="str">
        <f>IF(Table1[[#This Row],[QUANTITY]]=0,"",Table1[[#This Row],[UNIT PRICE]]*Table1[[#This Row],[QUANTITY]])</f>
        <v/>
      </c>
      <c r="S246" s="89"/>
      <c r="T246" s="38"/>
      <c r="U246" s="43"/>
      <c r="V246" s="42" t="str">
        <f>IF(Table1[[#This Row],[DATE]]=0,"",YEAR(E246))</f>
        <v/>
      </c>
      <c r="W246" s="40" t="str">
        <f t="shared" si="8"/>
        <v/>
      </c>
      <c r="X246" s="40" t="str">
        <f t="shared" si="9"/>
        <v/>
      </c>
      <c r="Y246" s="40" t="str">
        <f>TEXT(Table1[[#This Row],[YEAR]],"0000")&amp;"-"&amp;Table1[[#This Row],[MONTH]]</f>
        <v>-</v>
      </c>
    </row>
    <row r="247" spans="1:25" ht="18" x14ac:dyDescent="0.35">
      <c r="A247" s="24"/>
      <c r="B247" s="38"/>
      <c r="C247" s="38"/>
      <c r="D247" s="38"/>
      <c r="E247" s="37"/>
      <c r="F247" s="38"/>
      <c r="G247" s="198"/>
      <c r="H247" s="198"/>
      <c r="I247" s="39"/>
      <c r="J247" s="38"/>
      <c r="K247" s="198"/>
      <c r="L247" s="38"/>
      <c r="M247" s="38"/>
      <c r="N247" s="38"/>
      <c r="O247" s="38"/>
      <c r="P247" s="40" t="str" cm="1">
        <f t="array" ref="P247">IF(N247="","",IFERROR(_xlfn.XLOOKUP(F247&amp;"|"&amp;J247&amp;"|"&amp;O247,PRICES!$C$2:$C$659&amp;"|"&amp;PRICES!$B$2:$B$659&amp;"|"&amp;PRICES!$D$2:$D$659,PRICES!$E$2:$E$659),"Not Found"))</f>
        <v/>
      </c>
      <c r="Q247" s="100" t="str">
        <f>IF(N247=0,"",SUMIFS(PRICES!$G$2:$G$658,PRICES!$B$2:$B$658,'MAIN TABLE-1 AUTOMATED'!J247,PRICES!$C$2:$C$658,'MAIN TABLE-1 AUTOMATED'!F247,PRICES!$D$2:$D$658,'MAIN TABLE-1 AUTOMATED'!O247))</f>
        <v/>
      </c>
      <c r="R247" s="41" t="str">
        <f>IF(Table1[[#This Row],[QUANTITY]]=0,"",Table1[[#This Row],[UNIT PRICE]]*Table1[[#This Row],[QUANTITY]])</f>
        <v/>
      </c>
      <c r="S247" s="89"/>
      <c r="T247" s="38"/>
      <c r="U247" s="43"/>
      <c r="V247" s="42" t="str">
        <f>IF(Table1[[#This Row],[DATE]]=0,"",YEAR(E247))</f>
        <v/>
      </c>
      <c r="W247" s="40" t="str">
        <f t="shared" si="8"/>
        <v/>
      </c>
      <c r="X247" s="40" t="str">
        <f t="shared" si="9"/>
        <v/>
      </c>
      <c r="Y247" s="40" t="str">
        <f>TEXT(Table1[[#This Row],[YEAR]],"0000")&amp;"-"&amp;Table1[[#This Row],[MONTH]]</f>
        <v>-</v>
      </c>
    </row>
    <row r="248" spans="1:25" ht="18" x14ac:dyDescent="0.35">
      <c r="A248" s="24"/>
      <c r="B248" s="36"/>
      <c r="C248" s="36"/>
      <c r="D248" s="36"/>
      <c r="E248" s="37"/>
      <c r="F248" s="38"/>
      <c r="G248" s="198"/>
      <c r="H248" s="198"/>
      <c r="I248" s="39"/>
      <c r="J248" s="38"/>
      <c r="K248" s="198"/>
      <c r="L248" s="38"/>
      <c r="M248" s="38"/>
      <c r="N248" s="38"/>
      <c r="O248" s="38"/>
      <c r="P248" s="40" t="str" cm="1">
        <f t="array" ref="P248">IF(N248="","",IFERROR(_xlfn.XLOOKUP(F248&amp;"|"&amp;J248&amp;"|"&amp;O248,PRICES!$C$2:$C$659&amp;"|"&amp;PRICES!$B$2:$B$659&amp;"|"&amp;PRICES!$D$2:$D$659,PRICES!$E$2:$E$659),"Not Found"))</f>
        <v/>
      </c>
      <c r="Q248" s="100" t="str">
        <f>IF(N248=0,"",SUMIFS(PRICES!$G$2:$G$658,PRICES!$B$2:$B$658,'MAIN TABLE-1 AUTOMATED'!J248,PRICES!$C$2:$C$658,'MAIN TABLE-1 AUTOMATED'!F248,PRICES!$D$2:$D$658,'MAIN TABLE-1 AUTOMATED'!O248))</f>
        <v/>
      </c>
      <c r="R248" s="41" t="str">
        <f>IF(Table1[[#This Row],[QUANTITY]]=0,"",Table1[[#This Row],[UNIT PRICE]]*Table1[[#This Row],[QUANTITY]])</f>
        <v/>
      </c>
      <c r="S248" s="89"/>
      <c r="T248" s="38"/>
      <c r="U248" s="43"/>
      <c r="V248" s="42" t="str">
        <f>IF(Table1[[#This Row],[DATE]]=0,"",YEAR(E248))</f>
        <v/>
      </c>
      <c r="W248" s="40" t="str">
        <f t="shared" si="8"/>
        <v/>
      </c>
      <c r="X248" s="40" t="str">
        <f t="shared" si="9"/>
        <v/>
      </c>
      <c r="Y248" s="40" t="str">
        <f>TEXT(Table1[[#This Row],[YEAR]],"0000")&amp;"-"&amp;Table1[[#This Row],[MONTH]]</f>
        <v>-</v>
      </c>
    </row>
    <row r="249" spans="1:25" ht="18" x14ac:dyDescent="0.35">
      <c r="A249" s="24"/>
      <c r="B249" s="36"/>
      <c r="C249" s="36"/>
      <c r="D249" s="36"/>
      <c r="E249" s="37"/>
      <c r="F249" s="38"/>
      <c r="G249" s="198"/>
      <c r="H249" s="198"/>
      <c r="I249" s="39"/>
      <c r="J249" s="38"/>
      <c r="K249" s="198"/>
      <c r="L249" s="38"/>
      <c r="M249" s="38"/>
      <c r="N249" s="38"/>
      <c r="O249" s="38"/>
      <c r="P249" s="40" t="str" cm="1">
        <f t="array" ref="P249">IF(N249="","",IFERROR(_xlfn.XLOOKUP(F249&amp;"|"&amp;J249&amp;"|"&amp;O249,PRICES!$C$2:$C$659&amp;"|"&amp;PRICES!$B$2:$B$659&amp;"|"&amp;PRICES!$D$2:$D$659,PRICES!$E$2:$E$659),"Not Found"))</f>
        <v/>
      </c>
      <c r="Q249" s="100" t="str">
        <f>IF(N249=0,"",SUMIFS(PRICES!$G$2:$G$658,PRICES!$B$2:$B$658,'MAIN TABLE-1 AUTOMATED'!J249,PRICES!$C$2:$C$658,'MAIN TABLE-1 AUTOMATED'!F249,PRICES!$D$2:$D$658,'MAIN TABLE-1 AUTOMATED'!O249))</f>
        <v/>
      </c>
      <c r="R249" s="41" t="str">
        <f>IF(Table1[[#This Row],[QUANTITY]]=0,"",Table1[[#This Row],[UNIT PRICE]]*Table1[[#This Row],[QUANTITY]])</f>
        <v/>
      </c>
      <c r="S249" s="89"/>
      <c r="T249" s="38"/>
      <c r="U249" s="43"/>
      <c r="V249" s="42" t="str">
        <f>IF(Table1[[#This Row],[DATE]]=0,"",YEAR(E249))</f>
        <v/>
      </c>
      <c r="W249" s="40" t="str">
        <f t="shared" si="8"/>
        <v/>
      </c>
      <c r="X249" s="40" t="str">
        <f t="shared" si="9"/>
        <v/>
      </c>
      <c r="Y249" s="40" t="str">
        <f>TEXT(Table1[[#This Row],[YEAR]],"0000")&amp;"-"&amp;Table1[[#This Row],[MONTH]]</f>
        <v>-</v>
      </c>
    </row>
    <row r="250" spans="1:25" ht="18" x14ac:dyDescent="0.35">
      <c r="A250" s="24"/>
      <c r="B250" s="38"/>
      <c r="C250" s="38"/>
      <c r="D250" s="38"/>
      <c r="E250" s="37"/>
      <c r="F250" s="38"/>
      <c r="G250" s="198"/>
      <c r="H250" s="198"/>
      <c r="I250" s="39"/>
      <c r="J250" s="38"/>
      <c r="K250" s="198"/>
      <c r="L250" s="38"/>
      <c r="M250" s="38"/>
      <c r="N250" s="38"/>
      <c r="O250" s="38"/>
      <c r="P250" s="40" t="str" cm="1">
        <f t="array" ref="P250">IF(N250="","",IFERROR(_xlfn.XLOOKUP(F250&amp;"|"&amp;J250&amp;"|"&amp;O250,PRICES!$C$2:$C$659&amp;"|"&amp;PRICES!$B$2:$B$659&amp;"|"&amp;PRICES!$D$2:$D$659,PRICES!$E$2:$E$659),"Not Found"))</f>
        <v/>
      </c>
      <c r="Q250" s="100" t="str">
        <f>IF(N250=0,"",SUMIFS(PRICES!$G$2:$G$658,PRICES!$B$2:$B$658,'MAIN TABLE-1 AUTOMATED'!J250,PRICES!$C$2:$C$658,'MAIN TABLE-1 AUTOMATED'!F250,PRICES!$D$2:$D$658,'MAIN TABLE-1 AUTOMATED'!O250))</f>
        <v/>
      </c>
      <c r="R250" s="41" t="str">
        <f>IF(Table1[[#This Row],[QUANTITY]]=0,"",Table1[[#This Row],[UNIT PRICE]]*Table1[[#This Row],[QUANTITY]])</f>
        <v/>
      </c>
      <c r="S250" s="89"/>
      <c r="T250" s="38"/>
      <c r="U250" s="43"/>
      <c r="V250" s="42" t="str">
        <f>IF(Table1[[#This Row],[DATE]]=0,"",YEAR(E250))</f>
        <v/>
      </c>
      <c r="W250" s="40" t="str">
        <f t="shared" si="8"/>
        <v/>
      </c>
      <c r="X250" s="40" t="str">
        <f t="shared" si="9"/>
        <v/>
      </c>
      <c r="Y250" s="40" t="str">
        <f>TEXT(Table1[[#This Row],[YEAR]],"0000")&amp;"-"&amp;Table1[[#This Row],[MONTH]]</f>
        <v>-</v>
      </c>
    </row>
    <row r="251" spans="1:25" ht="18" x14ac:dyDescent="0.35">
      <c r="A251" s="24"/>
      <c r="B251" s="38"/>
      <c r="C251" s="38"/>
      <c r="D251" s="38"/>
      <c r="E251" s="37"/>
      <c r="F251" s="38"/>
      <c r="G251" s="198"/>
      <c r="H251" s="198"/>
      <c r="I251" s="39"/>
      <c r="J251" s="38"/>
      <c r="K251" s="198"/>
      <c r="L251" s="38"/>
      <c r="M251" s="38"/>
      <c r="N251" s="38"/>
      <c r="O251" s="38"/>
      <c r="P251" s="40" t="str" cm="1">
        <f t="array" ref="P251">IF(N251="","",IFERROR(_xlfn.XLOOKUP(F251&amp;"|"&amp;J251&amp;"|"&amp;O251,PRICES!$C$2:$C$659&amp;"|"&amp;PRICES!$B$2:$B$659&amp;"|"&amp;PRICES!$D$2:$D$659,PRICES!$E$2:$E$659),"Not Found"))</f>
        <v/>
      </c>
      <c r="Q251" s="100" t="str">
        <f>IF(N251=0,"",SUMIFS(PRICES!$G$2:$G$658,PRICES!$B$2:$B$658,'MAIN TABLE-1 AUTOMATED'!J251,PRICES!$C$2:$C$658,'MAIN TABLE-1 AUTOMATED'!F251,PRICES!$D$2:$D$658,'MAIN TABLE-1 AUTOMATED'!O251))</f>
        <v/>
      </c>
      <c r="R251" s="41" t="str">
        <f>IF(Table1[[#This Row],[QUANTITY]]=0,"",Table1[[#This Row],[UNIT PRICE]]*Table1[[#This Row],[QUANTITY]])</f>
        <v/>
      </c>
      <c r="S251" s="89"/>
      <c r="T251" s="38"/>
      <c r="U251" s="43"/>
      <c r="V251" s="42" t="str">
        <f>IF(Table1[[#This Row],[DATE]]=0,"",YEAR(E251))</f>
        <v/>
      </c>
      <c r="W251" s="40" t="str">
        <f t="shared" si="8"/>
        <v/>
      </c>
      <c r="X251" s="40" t="str">
        <f t="shared" si="9"/>
        <v/>
      </c>
      <c r="Y251" s="40" t="str">
        <f>TEXT(Table1[[#This Row],[YEAR]],"0000")&amp;"-"&amp;Table1[[#This Row],[MONTH]]</f>
        <v>-</v>
      </c>
    </row>
    <row r="252" spans="1:25" ht="18" x14ac:dyDescent="0.35">
      <c r="A252" s="24"/>
      <c r="B252" s="38"/>
      <c r="C252" s="38"/>
      <c r="D252" s="38"/>
      <c r="E252" s="37"/>
      <c r="F252" s="38"/>
      <c r="G252" s="198"/>
      <c r="H252" s="198"/>
      <c r="I252" s="39"/>
      <c r="J252" s="38"/>
      <c r="K252" s="198"/>
      <c r="L252" s="38"/>
      <c r="M252" s="38"/>
      <c r="N252" s="38"/>
      <c r="O252" s="38"/>
      <c r="P252" s="40" t="str" cm="1">
        <f t="array" ref="P252">IF(N252="","",IFERROR(_xlfn.XLOOKUP(F252&amp;"|"&amp;J252&amp;"|"&amp;O252,PRICES!$C$2:$C$659&amp;"|"&amp;PRICES!$B$2:$B$659&amp;"|"&amp;PRICES!$D$2:$D$659,PRICES!$E$2:$E$659),"Not Found"))</f>
        <v/>
      </c>
      <c r="Q252" s="100" t="str">
        <f>IF(N252=0,"",SUMIFS(PRICES!$G$2:$G$658,PRICES!$B$2:$B$658,'MAIN TABLE-1 AUTOMATED'!J252,PRICES!$C$2:$C$658,'MAIN TABLE-1 AUTOMATED'!F252,PRICES!$D$2:$D$658,'MAIN TABLE-1 AUTOMATED'!O252))</f>
        <v/>
      </c>
      <c r="R252" s="41" t="str">
        <f>IF(Table1[[#This Row],[QUANTITY]]=0,"",Table1[[#This Row],[UNIT PRICE]]*Table1[[#This Row],[QUANTITY]])</f>
        <v/>
      </c>
      <c r="S252" s="89"/>
      <c r="T252" s="38"/>
      <c r="U252" s="43"/>
      <c r="V252" s="42" t="str">
        <f>IF(Table1[[#This Row],[DATE]]=0,"",YEAR(E252))</f>
        <v/>
      </c>
      <c r="W252" s="40" t="str">
        <f t="shared" si="8"/>
        <v/>
      </c>
      <c r="X252" s="40" t="str">
        <f t="shared" si="9"/>
        <v/>
      </c>
      <c r="Y252" s="40" t="str">
        <f>TEXT(Table1[[#This Row],[YEAR]],"0000")&amp;"-"&amp;Table1[[#This Row],[MONTH]]</f>
        <v>-</v>
      </c>
    </row>
    <row r="253" spans="1:25" ht="18" x14ac:dyDescent="0.35">
      <c r="A253" s="24"/>
      <c r="B253" s="38"/>
      <c r="C253" s="38"/>
      <c r="D253" s="38"/>
      <c r="E253" s="37"/>
      <c r="F253" s="38"/>
      <c r="G253" s="198"/>
      <c r="H253" s="198"/>
      <c r="I253" s="39"/>
      <c r="J253" s="38"/>
      <c r="K253" s="198"/>
      <c r="L253" s="38"/>
      <c r="M253" s="38"/>
      <c r="N253" s="38"/>
      <c r="O253" s="38"/>
      <c r="P253" s="40" t="str" cm="1">
        <f t="array" ref="P253">IF(N253="","",IFERROR(_xlfn.XLOOKUP(F253&amp;"|"&amp;J253&amp;"|"&amp;O253,PRICES!$C$2:$C$659&amp;"|"&amp;PRICES!$B$2:$B$659&amp;"|"&amp;PRICES!$D$2:$D$659,PRICES!$E$2:$E$659),"Not Found"))</f>
        <v/>
      </c>
      <c r="Q253" s="100" t="str">
        <f>IF(N253=0,"",SUMIFS(PRICES!$G$2:$G$658,PRICES!$B$2:$B$658,'MAIN TABLE-1 AUTOMATED'!J253,PRICES!$C$2:$C$658,'MAIN TABLE-1 AUTOMATED'!F253,PRICES!$D$2:$D$658,'MAIN TABLE-1 AUTOMATED'!O253))</f>
        <v/>
      </c>
      <c r="R253" s="41" t="str">
        <f>IF(Table1[[#This Row],[QUANTITY]]=0,"",Table1[[#This Row],[UNIT PRICE]]*Table1[[#This Row],[QUANTITY]])</f>
        <v/>
      </c>
      <c r="S253" s="89"/>
      <c r="T253" s="38"/>
      <c r="U253" s="43"/>
      <c r="V253" s="42" t="str">
        <f>IF(Table1[[#This Row],[DATE]]=0,"",YEAR(E253))</f>
        <v/>
      </c>
      <c r="W253" s="40" t="str">
        <f t="shared" si="8"/>
        <v/>
      </c>
      <c r="X253" s="40" t="str">
        <f t="shared" si="9"/>
        <v/>
      </c>
      <c r="Y253" s="40" t="str">
        <f>TEXT(Table1[[#This Row],[YEAR]],"0000")&amp;"-"&amp;Table1[[#This Row],[MONTH]]</f>
        <v>-</v>
      </c>
    </row>
    <row r="254" spans="1:25" ht="18" x14ac:dyDescent="0.35">
      <c r="A254" s="24"/>
      <c r="B254" s="38"/>
      <c r="C254" s="38"/>
      <c r="D254" s="38"/>
      <c r="E254" s="37"/>
      <c r="F254" s="38"/>
      <c r="G254" s="198"/>
      <c r="H254" s="198"/>
      <c r="I254" s="39"/>
      <c r="J254" s="38"/>
      <c r="K254" s="198"/>
      <c r="L254" s="38"/>
      <c r="M254" s="38"/>
      <c r="N254" s="38"/>
      <c r="O254" s="38"/>
      <c r="P254" s="40" t="str" cm="1">
        <f t="array" ref="P254">IF(N254="","",IFERROR(_xlfn.XLOOKUP(F254&amp;"|"&amp;J254&amp;"|"&amp;O254,PRICES!$C$2:$C$659&amp;"|"&amp;PRICES!$B$2:$B$659&amp;"|"&amp;PRICES!$D$2:$D$659,PRICES!$E$2:$E$659),"Not Found"))</f>
        <v/>
      </c>
      <c r="Q254" s="100" t="str">
        <f>IF(N254=0,"",SUMIFS(PRICES!$G$2:$G$658,PRICES!$B$2:$B$658,'MAIN TABLE-1 AUTOMATED'!J254,PRICES!$C$2:$C$658,'MAIN TABLE-1 AUTOMATED'!F254,PRICES!$D$2:$D$658,'MAIN TABLE-1 AUTOMATED'!O254))</f>
        <v/>
      </c>
      <c r="R254" s="41" t="str">
        <f>IF(Table1[[#This Row],[QUANTITY]]=0,"",Table1[[#This Row],[UNIT PRICE]]*Table1[[#This Row],[QUANTITY]])</f>
        <v/>
      </c>
      <c r="S254" s="89"/>
      <c r="T254" s="38"/>
      <c r="U254" s="43"/>
      <c r="V254" s="42" t="str">
        <f>IF(Table1[[#This Row],[DATE]]=0,"",YEAR(E254))</f>
        <v/>
      </c>
      <c r="W254" s="40" t="str">
        <f t="shared" si="8"/>
        <v/>
      </c>
      <c r="X254" s="40" t="str">
        <f t="shared" si="9"/>
        <v/>
      </c>
      <c r="Y254" s="40" t="str">
        <f>TEXT(Table1[[#This Row],[YEAR]],"0000")&amp;"-"&amp;Table1[[#This Row],[MONTH]]</f>
        <v>-</v>
      </c>
    </row>
    <row r="255" spans="1:25" ht="18" x14ac:dyDescent="0.35">
      <c r="A255" s="24"/>
      <c r="B255" s="38"/>
      <c r="C255" s="38"/>
      <c r="D255" s="38"/>
      <c r="E255" s="37"/>
      <c r="F255" s="38"/>
      <c r="G255" s="198"/>
      <c r="H255" s="198"/>
      <c r="I255" s="39"/>
      <c r="J255" s="38"/>
      <c r="K255" s="198"/>
      <c r="L255" s="38"/>
      <c r="M255" s="38"/>
      <c r="N255" s="38"/>
      <c r="O255" s="38"/>
      <c r="P255" s="40" t="str" cm="1">
        <f t="array" ref="P255">IF(N255="","",IFERROR(_xlfn.XLOOKUP(F255&amp;"|"&amp;J255&amp;"|"&amp;O255,PRICES!$C$2:$C$659&amp;"|"&amp;PRICES!$B$2:$B$659&amp;"|"&amp;PRICES!$D$2:$D$659,PRICES!$E$2:$E$659),"Not Found"))</f>
        <v/>
      </c>
      <c r="Q255" s="100" t="str">
        <f>IF(N255=0,"",SUMIFS(PRICES!$G$2:$G$658,PRICES!$B$2:$B$658,'MAIN TABLE-1 AUTOMATED'!J255,PRICES!$C$2:$C$658,'MAIN TABLE-1 AUTOMATED'!F255,PRICES!$D$2:$D$658,'MAIN TABLE-1 AUTOMATED'!O255))</f>
        <v/>
      </c>
      <c r="R255" s="41" t="str">
        <f>IF(Table1[[#This Row],[QUANTITY]]=0,"",Table1[[#This Row],[UNIT PRICE]]*Table1[[#This Row],[QUANTITY]])</f>
        <v/>
      </c>
      <c r="S255" s="89"/>
      <c r="T255" s="38"/>
      <c r="U255" s="43"/>
      <c r="V255" s="42" t="str">
        <f>IF(Table1[[#This Row],[DATE]]=0,"",YEAR(E255))</f>
        <v/>
      </c>
      <c r="W255" s="40" t="str">
        <f t="shared" si="8"/>
        <v/>
      </c>
      <c r="X255" s="40" t="str">
        <f t="shared" si="9"/>
        <v/>
      </c>
      <c r="Y255" s="40" t="str">
        <f>TEXT(Table1[[#This Row],[YEAR]],"0000")&amp;"-"&amp;Table1[[#This Row],[MONTH]]</f>
        <v>-</v>
      </c>
    </row>
    <row r="256" spans="1:25" ht="18" x14ac:dyDescent="0.35">
      <c r="A256" s="24"/>
      <c r="B256" s="38"/>
      <c r="C256" s="38"/>
      <c r="D256" s="38"/>
      <c r="E256" s="37"/>
      <c r="F256" s="38"/>
      <c r="G256" s="198"/>
      <c r="H256" s="198"/>
      <c r="I256" s="39"/>
      <c r="J256" s="38"/>
      <c r="K256" s="198"/>
      <c r="L256" s="38"/>
      <c r="M256" s="38"/>
      <c r="N256" s="38"/>
      <c r="O256" s="38"/>
      <c r="P256" s="40" t="str" cm="1">
        <f t="array" ref="P256">IF(N256="","",IFERROR(_xlfn.XLOOKUP(F256&amp;"|"&amp;J256&amp;"|"&amp;O256,PRICES!$C$2:$C$659&amp;"|"&amp;PRICES!$B$2:$B$659&amp;"|"&amp;PRICES!$D$2:$D$659,PRICES!$E$2:$E$659),"Not Found"))</f>
        <v/>
      </c>
      <c r="Q256" s="100" t="str">
        <f>IF(N256=0,"",SUMIFS(PRICES!$G$2:$G$658,PRICES!$B$2:$B$658,'MAIN TABLE-1 AUTOMATED'!J256,PRICES!$C$2:$C$658,'MAIN TABLE-1 AUTOMATED'!F256,PRICES!$D$2:$D$658,'MAIN TABLE-1 AUTOMATED'!O256))</f>
        <v/>
      </c>
      <c r="R256" s="41" t="str">
        <f>IF(Table1[[#This Row],[QUANTITY]]=0,"",Table1[[#This Row],[UNIT PRICE]]*Table1[[#This Row],[QUANTITY]])</f>
        <v/>
      </c>
      <c r="S256" s="89"/>
      <c r="T256" s="38"/>
      <c r="U256" s="43"/>
      <c r="V256" s="42" t="str">
        <f>IF(Table1[[#This Row],[DATE]]=0,"",YEAR(E256))</f>
        <v/>
      </c>
      <c r="W256" s="40" t="str">
        <f t="shared" si="8"/>
        <v/>
      </c>
      <c r="X256" s="40" t="str">
        <f t="shared" si="9"/>
        <v/>
      </c>
      <c r="Y256" s="40" t="str">
        <f>TEXT(Table1[[#This Row],[YEAR]],"0000")&amp;"-"&amp;Table1[[#This Row],[MONTH]]</f>
        <v>-</v>
      </c>
    </row>
    <row r="257" spans="1:25" ht="18" x14ac:dyDescent="0.35">
      <c r="A257" s="24"/>
      <c r="B257" s="38"/>
      <c r="C257" s="38"/>
      <c r="D257" s="38"/>
      <c r="E257" s="37"/>
      <c r="F257" s="38"/>
      <c r="G257" s="198"/>
      <c r="H257" s="198"/>
      <c r="I257" s="39"/>
      <c r="J257" s="38"/>
      <c r="K257" s="198"/>
      <c r="L257" s="38"/>
      <c r="M257" s="38"/>
      <c r="N257" s="38"/>
      <c r="O257" s="38"/>
      <c r="P257" s="40" t="str" cm="1">
        <f t="array" ref="P257">IF(N257="","",IFERROR(_xlfn.XLOOKUP(F257&amp;"|"&amp;J257&amp;"|"&amp;O257,PRICES!$C$2:$C$659&amp;"|"&amp;PRICES!$B$2:$B$659&amp;"|"&amp;PRICES!$D$2:$D$659,PRICES!$E$2:$E$659),"Not Found"))</f>
        <v/>
      </c>
      <c r="Q257" s="100" t="str">
        <f>IF(N257=0,"",SUMIFS(PRICES!$G$2:$G$658,PRICES!$B$2:$B$658,'MAIN TABLE-1 AUTOMATED'!J257,PRICES!$C$2:$C$658,'MAIN TABLE-1 AUTOMATED'!F257,PRICES!$D$2:$D$658,'MAIN TABLE-1 AUTOMATED'!O257))</f>
        <v/>
      </c>
      <c r="R257" s="41" t="str">
        <f>IF(Table1[[#This Row],[QUANTITY]]=0,"",Table1[[#This Row],[UNIT PRICE]]*Table1[[#This Row],[QUANTITY]])</f>
        <v/>
      </c>
      <c r="S257" s="89"/>
      <c r="T257" s="38"/>
      <c r="U257" s="43"/>
      <c r="V257" s="42" t="str">
        <f>IF(Table1[[#This Row],[DATE]]=0,"",YEAR(E257))</f>
        <v/>
      </c>
      <c r="W257" s="40" t="str">
        <f t="shared" si="8"/>
        <v/>
      </c>
      <c r="X257" s="40" t="str">
        <f t="shared" si="9"/>
        <v/>
      </c>
      <c r="Y257" s="40" t="str">
        <f>TEXT(Table1[[#This Row],[YEAR]],"0000")&amp;"-"&amp;Table1[[#This Row],[MONTH]]</f>
        <v>-</v>
      </c>
    </row>
    <row r="258" spans="1:25" ht="18" x14ac:dyDescent="0.35">
      <c r="A258" s="24"/>
      <c r="B258" s="38"/>
      <c r="C258" s="38"/>
      <c r="D258" s="38"/>
      <c r="E258" s="37"/>
      <c r="F258" s="38"/>
      <c r="G258" s="198"/>
      <c r="H258" s="198"/>
      <c r="I258" s="39"/>
      <c r="J258" s="38"/>
      <c r="K258" s="198"/>
      <c r="L258" s="38"/>
      <c r="M258" s="38"/>
      <c r="N258" s="38"/>
      <c r="O258" s="38"/>
      <c r="P258" s="40" t="str" cm="1">
        <f t="array" ref="P258">IF(N258="","",IFERROR(_xlfn.XLOOKUP(F258&amp;"|"&amp;J258&amp;"|"&amp;O258,PRICES!$C$2:$C$659&amp;"|"&amp;PRICES!$B$2:$B$659&amp;"|"&amp;PRICES!$D$2:$D$659,PRICES!$E$2:$E$659),"Not Found"))</f>
        <v/>
      </c>
      <c r="Q258" s="100" t="str">
        <f>IF(N258=0,"",SUMIFS(PRICES!$G$2:$G$658,PRICES!$B$2:$B$658,'MAIN TABLE-1 AUTOMATED'!J258,PRICES!$C$2:$C$658,'MAIN TABLE-1 AUTOMATED'!F258,PRICES!$D$2:$D$658,'MAIN TABLE-1 AUTOMATED'!O258))</f>
        <v/>
      </c>
      <c r="R258" s="41" t="str">
        <f>IF(Table1[[#This Row],[QUANTITY]]=0,"",Table1[[#This Row],[UNIT PRICE]]*Table1[[#This Row],[QUANTITY]])</f>
        <v/>
      </c>
      <c r="S258" s="89"/>
      <c r="T258" s="38"/>
      <c r="U258" s="43"/>
      <c r="V258" s="42" t="str">
        <f>IF(Table1[[#This Row],[DATE]]=0,"",YEAR(E258))</f>
        <v/>
      </c>
      <c r="W258" s="40" t="str">
        <f t="shared" si="8"/>
        <v/>
      </c>
      <c r="X258" s="40" t="str">
        <f t="shared" si="9"/>
        <v/>
      </c>
      <c r="Y258" s="40" t="str">
        <f>TEXT(Table1[[#This Row],[YEAR]],"0000")&amp;"-"&amp;Table1[[#This Row],[MONTH]]</f>
        <v>-</v>
      </c>
    </row>
    <row r="259" spans="1:25" ht="18" x14ac:dyDescent="0.35">
      <c r="A259" s="24"/>
      <c r="B259" s="38"/>
      <c r="C259" s="38"/>
      <c r="D259" s="38"/>
      <c r="E259" s="37"/>
      <c r="F259" s="38"/>
      <c r="G259" s="198"/>
      <c r="H259" s="198"/>
      <c r="I259" s="39"/>
      <c r="J259" s="38"/>
      <c r="K259" s="198"/>
      <c r="L259" s="38"/>
      <c r="M259" s="38"/>
      <c r="N259" s="38"/>
      <c r="O259" s="38"/>
      <c r="P259" s="40" t="str" cm="1">
        <f t="array" ref="P259">IF(N259="","",IFERROR(_xlfn.XLOOKUP(F259&amp;"|"&amp;J259&amp;"|"&amp;O259,PRICES!$C$2:$C$659&amp;"|"&amp;PRICES!$B$2:$B$659&amp;"|"&amp;PRICES!$D$2:$D$659,PRICES!$E$2:$E$659),"Not Found"))</f>
        <v/>
      </c>
      <c r="Q259" s="100" t="str">
        <f>IF(N259=0,"",SUMIFS(PRICES!$G$2:$G$658,PRICES!$B$2:$B$658,'MAIN TABLE-1 AUTOMATED'!J259,PRICES!$C$2:$C$658,'MAIN TABLE-1 AUTOMATED'!F259,PRICES!$D$2:$D$658,'MAIN TABLE-1 AUTOMATED'!O259))</f>
        <v/>
      </c>
      <c r="R259" s="41" t="str">
        <f>IF(Table1[[#This Row],[QUANTITY]]=0,"",Table1[[#This Row],[UNIT PRICE]]*Table1[[#This Row],[QUANTITY]])</f>
        <v/>
      </c>
      <c r="S259" s="89"/>
      <c r="T259" s="38"/>
      <c r="U259" s="43"/>
      <c r="V259" s="42" t="str">
        <f>IF(Table1[[#This Row],[DATE]]=0,"",YEAR(E259))</f>
        <v/>
      </c>
      <c r="W259" s="40" t="str">
        <f t="shared" si="8"/>
        <v/>
      </c>
      <c r="X259" s="40" t="str">
        <f t="shared" si="9"/>
        <v/>
      </c>
      <c r="Y259" s="40" t="str">
        <f>TEXT(Table1[[#This Row],[YEAR]],"0000")&amp;"-"&amp;Table1[[#This Row],[MONTH]]</f>
        <v>-</v>
      </c>
    </row>
    <row r="260" spans="1:25" ht="18" x14ac:dyDescent="0.35">
      <c r="A260" s="24"/>
      <c r="B260" s="38"/>
      <c r="C260" s="38"/>
      <c r="D260" s="38"/>
      <c r="E260" s="37"/>
      <c r="F260" s="38"/>
      <c r="G260" s="198"/>
      <c r="H260" s="198"/>
      <c r="I260" s="39"/>
      <c r="J260" s="38"/>
      <c r="K260" s="198"/>
      <c r="L260" s="38"/>
      <c r="M260" s="38"/>
      <c r="N260" s="38"/>
      <c r="O260" s="38"/>
      <c r="P260" s="40" t="str" cm="1">
        <f t="array" ref="P260">IF(N260="","",IFERROR(_xlfn.XLOOKUP(F260&amp;"|"&amp;J260&amp;"|"&amp;O260,PRICES!$C$2:$C$659&amp;"|"&amp;PRICES!$B$2:$B$659&amp;"|"&amp;PRICES!$D$2:$D$659,PRICES!$E$2:$E$659),"Not Found"))</f>
        <v/>
      </c>
      <c r="Q260" s="100" t="str">
        <f>IF(N260=0,"",SUMIFS(PRICES!$G$2:$G$658,PRICES!$B$2:$B$658,'MAIN TABLE-1 AUTOMATED'!J260,PRICES!$C$2:$C$658,'MAIN TABLE-1 AUTOMATED'!F260,PRICES!$D$2:$D$658,'MAIN TABLE-1 AUTOMATED'!O260))</f>
        <v/>
      </c>
      <c r="R260" s="41" t="str">
        <f>IF(Table1[[#This Row],[QUANTITY]]=0,"",Table1[[#This Row],[UNIT PRICE]]*Table1[[#This Row],[QUANTITY]])</f>
        <v/>
      </c>
      <c r="S260" s="89"/>
      <c r="T260" s="38"/>
      <c r="U260" s="43"/>
      <c r="V260" s="42" t="str">
        <f>IF(Table1[[#This Row],[DATE]]=0,"",YEAR(E260))</f>
        <v/>
      </c>
      <c r="W260" s="40" t="str">
        <f t="shared" si="8"/>
        <v/>
      </c>
      <c r="X260" s="40" t="str">
        <f t="shared" si="9"/>
        <v/>
      </c>
      <c r="Y260" s="40" t="str">
        <f>TEXT(Table1[[#This Row],[YEAR]],"0000")&amp;"-"&amp;Table1[[#This Row],[MONTH]]</f>
        <v>-</v>
      </c>
    </row>
    <row r="261" spans="1:25" ht="18" x14ac:dyDescent="0.35">
      <c r="A261" s="24"/>
      <c r="B261" s="38"/>
      <c r="C261" s="38"/>
      <c r="D261" s="38"/>
      <c r="E261" s="37"/>
      <c r="F261" s="38"/>
      <c r="G261" s="198"/>
      <c r="H261" s="198"/>
      <c r="I261" s="39"/>
      <c r="J261" s="38"/>
      <c r="K261" s="198"/>
      <c r="L261" s="38"/>
      <c r="M261" s="38"/>
      <c r="N261" s="38"/>
      <c r="O261" s="38"/>
      <c r="P261" s="40" t="str" cm="1">
        <f t="array" ref="P261">IF(N261="","",IFERROR(_xlfn.XLOOKUP(F261&amp;"|"&amp;J261&amp;"|"&amp;O261,PRICES!$C$2:$C$659&amp;"|"&amp;PRICES!$B$2:$B$659&amp;"|"&amp;PRICES!$D$2:$D$659,PRICES!$E$2:$E$659),"Not Found"))</f>
        <v/>
      </c>
      <c r="Q261" s="100" t="str">
        <f>IF(N261=0,"",SUMIFS(PRICES!$G$2:$G$658,PRICES!$B$2:$B$658,'MAIN TABLE-1 AUTOMATED'!J261,PRICES!$C$2:$C$658,'MAIN TABLE-1 AUTOMATED'!F261,PRICES!$D$2:$D$658,'MAIN TABLE-1 AUTOMATED'!O261))</f>
        <v/>
      </c>
      <c r="R261" s="41" t="str">
        <f>IF(Table1[[#This Row],[QUANTITY]]=0,"",Table1[[#This Row],[UNIT PRICE]]*Table1[[#This Row],[QUANTITY]])</f>
        <v/>
      </c>
      <c r="S261" s="89"/>
      <c r="T261" s="38"/>
      <c r="U261" s="43"/>
      <c r="V261" s="42" t="str">
        <f>IF(Table1[[#This Row],[DATE]]=0,"",YEAR(E261))</f>
        <v/>
      </c>
      <c r="W261" s="40" t="str">
        <f t="shared" si="8"/>
        <v/>
      </c>
      <c r="X261" s="40" t="str">
        <f t="shared" si="9"/>
        <v/>
      </c>
      <c r="Y261" s="40" t="str">
        <f>TEXT(Table1[[#This Row],[YEAR]],"0000")&amp;"-"&amp;Table1[[#This Row],[MONTH]]</f>
        <v>-</v>
      </c>
    </row>
    <row r="262" spans="1:25" ht="18" x14ac:dyDescent="0.35">
      <c r="A262" s="24"/>
      <c r="B262" s="38"/>
      <c r="C262" s="38"/>
      <c r="D262" s="38"/>
      <c r="E262" s="37"/>
      <c r="F262" s="38"/>
      <c r="G262" s="198"/>
      <c r="H262" s="198"/>
      <c r="I262" s="39"/>
      <c r="J262" s="38"/>
      <c r="K262" s="198"/>
      <c r="L262" s="38"/>
      <c r="M262" s="38"/>
      <c r="N262" s="38"/>
      <c r="O262" s="38"/>
      <c r="P262" s="40" t="str" cm="1">
        <f t="array" ref="P262">IF(N262="","",IFERROR(_xlfn.XLOOKUP(F262&amp;"|"&amp;J262&amp;"|"&amp;O262,PRICES!$C$2:$C$659&amp;"|"&amp;PRICES!$B$2:$B$659&amp;"|"&amp;PRICES!$D$2:$D$659,PRICES!$E$2:$E$659),"Not Found"))</f>
        <v/>
      </c>
      <c r="Q262" s="100" t="str">
        <f>IF(N262=0,"",SUMIFS(PRICES!$G$2:$G$658,PRICES!$B$2:$B$658,'MAIN TABLE-1 AUTOMATED'!J262,PRICES!$C$2:$C$658,'MAIN TABLE-1 AUTOMATED'!F262,PRICES!$D$2:$D$658,'MAIN TABLE-1 AUTOMATED'!O262))</f>
        <v/>
      </c>
      <c r="R262" s="41" t="str">
        <f>IF(Table1[[#This Row],[QUANTITY]]=0,"",Table1[[#This Row],[UNIT PRICE]]*Table1[[#This Row],[QUANTITY]])</f>
        <v/>
      </c>
      <c r="S262" s="89"/>
      <c r="T262" s="38"/>
      <c r="U262" s="43"/>
      <c r="V262" s="42" t="str">
        <f>IF(Table1[[#This Row],[DATE]]=0,"",YEAR(E262))</f>
        <v/>
      </c>
      <c r="W262" s="40" t="str">
        <f t="shared" si="8"/>
        <v/>
      </c>
      <c r="X262" s="40" t="str">
        <f t="shared" si="9"/>
        <v/>
      </c>
      <c r="Y262" s="40" t="str">
        <f>TEXT(Table1[[#This Row],[YEAR]],"0000")&amp;"-"&amp;Table1[[#This Row],[MONTH]]</f>
        <v>-</v>
      </c>
    </row>
    <row r="263" spans="1:25" ht="18" x14ac:dyDescent="0.35">
      <c r="A263" s="24"/>
      <c r="B263" s="38"/>
      <c r="C263" s="38"/>
      <c r="D263" s="38"/>
      <c r="E263" s="37"/>
      <c r="F263" s="38"/>
      <c r="G263" s="198"/>
      <c r="H263" s="198"/>
      <c r="I263" s="39"/>
      <c r="J263" s="38"/>
      <c r="K263" s="198"/>
      <c r="L263" s="38"/>
      <c r="M263" s="38"/>
      <c r="N263" s="38"/>
      <c r="O263" s="38"/>
      <c r="P263" s="40" t="str" cm="1">
        <f t="array" ref="P263">IF(N263="","",IFERROR(_xlfn.XLOOKUP(F263&amp;"|"&amp;J263&amp;"|"&amp;O263,PRICES!$C$2:$C$659&amp;"|"&amp;PRICES!$B$2:$B$659&amp;"|"&amp;PRICES!$D$2:$D$659,PRICES!$E$2:$E$659),"Not Found"))</f>
        <v/>
      </c>
      <c r="Q263" s="100" t="str">
        <f>IF(N263=0,"",SUMIFS(PRICES!$G$2:$G$658,PRICES!$B$2:$B$658,'MAIN TABLE-1 AUTOMATED'!J263,PRICES!$C$2:$C$658,'MAIN TABLE-1 AUTOMATED'!F263,PRICES!$D$2:$D$658,'MAIN TABLE-1 AUTOMATED'!O263))</f>
        <v/>
      </c>
      <c r="R263" s="41" t="str">
        <f>IF(Table1[[#This Row],[QUANTITY]]=0,"",Table1[[#This Row],[UNIT PRICE]]*Table1[[#This Row],[QUANTITY]])</f>
        <v/>
      </c>
      <c r="S263" s="89"/>
      <c r="T263" s="38"/>
      <c r="U263" s="43"/>
      <c r="V263" s="42" t="str">
        <f>IF(Table1[[#This Row],[DATE]]=0,"",YEAR(E263))</f>
        <v/>
      </c>
      <c r="W263" s="40" t="str">
        <f t="shared" si="8"/>
        <v/>
      </c>
      <c r="X263" s="40" t="str">
        <f t="shared" si="9"/>
        <v/>
      </c>
      <c r="Y263" s="40" t="str">
        <f>TEXT(Table1[[#This Row],[YEAR]],"0000")&amp;"-"&amp;Table1[[#This Row],[MONTH]]</f>
        <v>-</v>
      </c>
    </row>
    <row r="264" spans="1:25" ht="18" x14ac:dyDescent="0.35">
      <c r="A264" s="24"/>
      <c r="B264" s="38"/>
      <c r="C264" s="38"/>
      <c r="D264" s="38"/>
      <c r="E264" s="37"/>
      <c r="F264" s="38"/>
      <c r="G264" s="198"/>
      <c r="H264" s="198"/>
      <c r="I264" s="39"/>
      <c r="J264" s="38"/>
      <c r="K264" s="198"/>
      <c r="L264" s="38"/>
      <c r="M264" s="38"/>
      <c r="N264" s="38"/>
      <c r="O264" s="38"/>
      <c r="P264" s="40" t="str" cm="1">
        <f t="array" ref="P264">IF(N264="","",IFERROR(_xlfn.XLOOKUP(F264&amp;"|"&amp;J264&amp;"|"&amp;O264,PRICES!$C$2:$C$659&amp;"|"&amp;PRICES!$B$2:$B$659&amp;"|"&amp;PRICES!$D$2:$D$659,PRICES!$E$2:$E$659),"Not Found"))</f>
        <v/>
      </c>
      <c r="Q264" s="100" t="str">
        <f>IF(N264=0,"",SUMIFS(PRICES!$G$2:$G$658,PRICES!$B$2:$B$658,'MAIN TABLE-1 AUTOMATED'!J264,PRICES!$C$2:$C$658,'MAIN TABLE-1 AUTOMATED'!F264,PRICES!$D$2:$D$658,'MAIN TABLE-1 AUTOMATED'!O264))</f>
        <v/>
      </c>
      <c r="R264" s="41" t="str">
        <f>IF(Table1[[#This Row],[QUANTITY]]=0,"",Table1[[#This Row],[UNIT PRICE]]*Table1[[#This Row],[QUANTITY]])</f>
        <v/>
      </c>
      <c r="S264" s="89"/>
      <c r="T264" s="38"/>
      <c r="U264" s="43"/>
      <c r="V264" s="42" t="str">
        <f>IF(Table1[[#This Row],[DATE]]=0,"",YEAR(E264))</f>
        <v/>
      </c>
      <c r="W264" s="40" t="str">
        <f t="shared" si="8"/>
        <v/>
      </c>
      <c r="X264" s="40" t="str">
        <f t="shared" si="9"/>
        <v/>
      </c>
      <c r="Y264" s="40" t="str">
        <f>TEXT(Table1[[#This Row],[YEAR]],"0000")&amp;"-"&amp;Table1[[#This Row],[MONTH]]</f>
        <v>-</v>
      </c>
    </row>
    <row r="265" spans="1:25" ht="18" x14ac:dyDescent="0.35">
      <c r="A265" s="24"/>
      <c r="B265" s="38"/>
      <c r="C265" s="38"/>
      <c r="D265" s="38"/>
      <c r="E265" s="37"/>
      <c r="F265" s="38"/>
      <c r="G265" s="198"/>
      <c r="H265" s="198"/>
      <c r="I265" s="39"/>
      <c r="J265" s="38"/>
      <c r="K265" s="198"/>
      <c r="L265" s="38"/>
      <c r="M265" s="38"/>
      <c r="N265" s="38"/>
      <c r="O265" s="38"/>
      <c r="P265" s="40" t="str" cm="1">
        <f t="array" ref="P265">IF(N265="","",IFERROR(_xlfn.XLOOKUP(F265&amp;"|"&amp;J265&amp;"|"&amp;O265,PRICES!$C$2:$C$659&amp;"|"&amp;PRICES!$B$2:$B$659&amp;"|"&amp;PRICES!$D$2:$D$659,PRICES!$E$2:$E$659),"Not Found"))</f>
        <v/>
      </c>
      <c r="Q265" s="100" t="str">
        <f>IF(N265=0,"",SUMIFS(PRICES!$G$2:$G$658,PRICES!$B$2:$B$658,'MAIN TABLE-1 AUTOMATED'!J265,PRICES!$C$2:$C$658,'MAIN TABLE-1 AUTOMATED'!F265,PRICES!$D$2:$D$658,'MAIN TABLE-1 AUTOMATED'!O265))</f>
        <v/>
      </c>
      <c r="R265" s="41" t="str">
        <f>IF(Table1[[#This Row],[QUANTITY]]=0,"",Table1[[#This Row],[UNIT PRICE]]*Table1[[#This Row],[QUANTITY]])</f>
        <v/>
      </c>
      <c r="S265" s="89"/>
      <c r="T265" s="38"/>
      <c r="U265" s="43"/>
      <c r="V265" s="42" t="str">
        <f>IF(Table1[[#This Row],[DATE]]=0,"",YEAR(E265))</f>
        <v/>
      </c>
      <c r="W265" s="40" t="str">
        <f t="shared" si="8"/>
        <v/>
      </c>
      <c r="X265" s="40" t="str">
        <f t="shared" si="9"/>
        <v/>
      </c>
      <c r="Y265" s="40" t="str">
        <f>TEXT(Table1[[#This Row],[YEAR]],"0000")&amp;"-"&amp;Table1[[#This Row],[MONTH]]</f>
        <v>-</v>
      </c>
    </row>
    <row r="266" spans="1:25" ht="18" x14ac:dyDescent="0.35">
      <c r="A266" s="24"/>
      <c r="B266" s="38"/>
      <c r="C266" s="38"/>
      <c r="D266" s="38"/>
      <c r="E266" s="37"/>
      <c r="F266" s="38"/>
      <c r="G266" s="198"/>
      <c r="H266" s="198"/>
      <c r="I266" s="39"/>
      <c r="J266" s="38"/>
      <c r="K266" s="198"/>
      <c r="L266" s="38"/>
      <c r="M266" s="38"/>
      <c r="N266" s="38"/>
      <c r="O266" s="38"/>
      <c r="P266" s="40" t="str" cm="1">
        <f t="array" ref="P266">IF(N266="","",IFERROR(_xlfn.XLOOKUP(F266&amp;"|"&amp;J266&amp;"|"&amp;O266,PRICES!$C$2:$C$659&amp;"|"&amp;PRICES!$B$2:$B$659&amp;"|"&amp;PRICES!$D$2:$D$659,PRICES!$E$2:$E$659),"Not Found"))</f>
        <v/>
      </c>
      <c r="Q266" s="100" t="str">
        <f>IF(N266=0,"",SUMIFS(PRICES!$G$2:$G$658,PRICES!$B$2:$B$658,'MAIN TABLE-1 AUTOMATED'!J266,PRICES!$C$2:$C$658,'MAIN TABLE-1 AUTOMATED'!F266,PRICES!$D$2:$D$658,'MAIN TABLE-1 AUTOMATED'!O266))</f>
        <v/>
      </c>
      <c r="R266" s="41" t="str">
        <f>IF(Table1[[#This Row],[QUANTITY]]=0,"",Table1[[#This Row],[UNIT PRICE]]*Table1[[#This Row],[QUANTITY]])</f>
        <v/>
      </c>
      <c r="S266" s="89"/>
      <c r="T266" s="38"/>
      <c r="U266" s="43"/>
      <c r="V266" s="42" t="str">
        <f>IF(Table1[[#This Row],[DATE]]=0,"",YEAR(E266))</f>
        <v/>
      </c>
      <c r="W266" s="40" t="str">
        <f t="shared" si="8"/>
        <v/>
      </c>
      <c r="X266" s="40" t="str">
        <f t="shared" si="9"/>
        <v/>
      </c>
      <c r="Y266" s="40" t="str">
        <f>TEXT(Table1[[#This Row],[YEAR]],"0000")&amp;"-"&amp;Table1[[#This Row],[MONTH]]</f>
        <v>-</v>
      </c>
    </row>
    <row r="267" spans="1:25" ht="18" x14ac:dyDescent="0.35">
      <c r="A267" s="24"/>
      <c r="B267" s="38"/>
      <c r="C267" s="38"/>
      <c r="D267" s="38"/>
      <c r="E267" s="37"/>
      <c r="F267" s="38"/>
      <c r="G267" s="198"/>
      <c r="H267" s="198"/>
      <c r="I267" s="39"/>
      <c r="J267" s="38"/>
      <c r="K267" s="198"/>
      <c r="L267" s="38"/>
      <c r="M267" s="38"/>
      <c r="N267" s="38"/>
      <c r="O267" s="38"/>
      <c r="P267" s="40" t="str" cm="1">
        <f t="array" ref="P267">IF(N267="","",IFERROR(_xlfn.XLOOKUP(F267&amp;"|"&amp;J267&amp;"|"&amp;O267,PRICES!$C$2:$C$659&amp;"|"&amp;PRICES!$B$2:$B$659&amp;"|"&amp;PRICES!$D$2:$D$659,PRICES!$E$2:$E$659),"Not Found"))</f>
        <v/>
      </c>
      <c r="Q267" s="100" t="str">
        <f>IF(N267=0,"",SUMIFS(PRICES!$G$2:$G$658,PRICES!$B$2:$B$658,'MAIN TABLE-1 AUTOMATED'!J267,PRICES!$C$2:$C$658,'MAIN TABLE-1 AUTOMATED'!F267,PRICES!$D$2:$D$658,'MAIN TABLE-1 AUTOMATED'!O267))</f>
        <v/>
      </c>
      <c r="R267" s="41" t="str">
        <f>IF(Table1[[#This Row],[QUANTITY]]=0,"",Table1[[#This Row],[UNIT PRICE]]*Table1[[#This Row],[QUANTITY]])</f>
        <v/>
      </c>
      <c r="S267" s="89"/>
      <c r="T267" s="38"/>
      <c r="U267" s="43"/>
      <c r="V267" s="42" t="str">
        <f>IF(Table1[[#This Row],[DATE]]=0,"",YEAR(E267))</f>
        <v/>
      </c>
      <c r="W267" s="40" t="str">
        <f t="shared" si="8"/>
        <v/>
      </c>
      <c r="X267" s="40" t="str">
        <f t="shared" si="9"/>
        <v/>
      </c>
      <c r="Y267" s="40" t="str">
        <f>TEXT(Table1[[#This Row],[YEAR]],"0000")&amp;"-"&amp;Table1[[#This Row],[MONTH]]</f>
        <v>-</v>
      </c>
    </row>
    <row r="268" spans="1:25" ht="18" x14ac:dyDescent="0.35">
      <c r="A268" s="24"/>
      <c r="B268" s="36"/>
      <c r="C268" s="36"/>
      <c r="D268" s="36"/>
      <c r="E268" s="37"/>
      <c r="F268" s="38"/>
      <c r="G268" s="198"/>
      <c r="H268" s="198"/>
      <c r="I268" s="39"/>
      <c r="J268" s="38"/>
      <c r="K268" s="198"/>
      <c r="L268" s="38"/>
      <c r="M268" s="38"/>
      <c r="N268" s="38"/>
      <c r="O268" s="38"/>
      <c r="P268" s="40" t="str" cm="1">
        <f t="array" ref="P268">IF(N268="","",IFERROR(_xlfn.XLOOKUP(F268&amp;"|"&amp;J268&amp;"|"&amp;O268,PRICES!$C$2:$C$659&amp;"|"&amp;PRICES!$B$2:$B$659&amp;"|"&amp;PRICES!$D$2:$D$659,PRICES!$E$2:$E$659),"Not Found"))</f>
        <v/>
      </c>
      <c r="Q268" s="100" t="str">
        <f>IF(N268=0,"",SUMIFS(PRICES!$G$2:$G$658,PRICES!$B$2:$B$658,'MAIN TABLE-1 AUTOMATED'!J268,PRICES!$C$2:$C$658,'MAIN TABLE-1 AUTOMATED'!F268,PRICES!$D$2:$D$658,'MAIN TABLE-1 AUTOMATED'!O268))</f>
        <v/>
      </c>
      <c r="R268" s="41" t="str">
        <f>IF(Table1[[#This Row],[QUANTITY]]=0,"",Table1[[#This Row],[UNIT PRICE]]*Table1[[#This Row],[QUANTITY]])</f>
        <v/>
      </c>
      <c r="S268" s="89"/>
      <c r="T268" s="38"/>
      <c r="U268" s="43"/>
      <c r="V268" s="42" t="str">
        <f>IF(Table1[[#This Row],[DATE]]=0,"",YEAR(E268))</f>
        <v/>
      </c>
      <c r="W268" s="40" t="str">
        <f t="shared" si="8"/>
        <v/>
      </c>
      <c r="X268" s="40" t="str">
        <f t="shared" si="9"/>
        <v/>
      </c>
      <c r="Y268" s="40" t="str">
        <f>TEXT(Table1[[#This Row],[YEAR]],"0000")&amp;"-"&amp;Table1[[#This Row],[MONTH]]</f>
        <v>-</v>
      </c>
    </row>
    <row r="269" spans="1:25" ht="18" x14ac:dyDescent="0.35">
      <c r="A269" s="24"/>
      <c r="B269" s="38"/>
      <c r="C269" s="38"/>
      <c r="D269" s="38"/>
      <c r="E269" s="37"/>
      <c r="F269" s="38"/>
      <c r="G269" s="198"/>
      <c r="H269" s="198"/>
      <c r="I269" s="39"/>
      <c r="J269" s="38"/>
      <c r="K269" s="198"/>
      <c r="L269" s="38"/>
      <c r="M269" s="38"/>
      <c r="N269" s="38"/>
      <c r="O269" s="38"/>
      <c r="P269" s="40" t="str" cm="1">
        <f t="array" ref="P269">IF(N269="","",IFERROR(_xlfn.XLOOKUP(F269&amp;"|"&amp;J269&amp;"|"&amp;O269,PRICES!$C$2:$C$659&amp;"|"&amp;PRICES!$B$2:$B$659&amp;"|"&amp;PRICES!$D$2:$D$659,PRICES!$E$2:$E$659),"Not Found"))</f>
        <v/>
      </c>
      <c r="Q269" s="100" t="str">
        <f>IF(N269=0,"",SUMIFS(PRICES!$G$2:$G$658,PRICES!$B$2:$B$658,'MAIN TABLE-1 AUTOMATED'!J269,PRICES!$C$2:$C$658,'MAIN TABLE-1 AUTOMATED'!F269,PRICES!$D$2:$D$658,'MAIN TABLE-1 AUTOMATED'!O269))</f>
        <v/>
      </c>
      <c r="R269" s="41" t="str">
        <f>IF(Table1[[#This Row],[QUANTITY]]=0,"",Table1[[#This Row],[UNIT PRICE]]*Table1[[#This Row],[QUANTITY]])</f>
        <v/>
      </c>
      <c r="S269" s="89"/>
      <c r="T269" s="38"/>
      <c r="U269" s="43"/>
      <c r="V269" s="42" t="str">
        <f>IF(Table1[[#This Row],[DATE]]=0,"",YEAR(E269))</f>
        <v/>
      </c>
      <c r="W269" s="40" t="str">
        <f t="shared" si="8"/>
        <v/>
      </c>
      <c r="X269" s="40" t="str">
        <f t="shared" si="9"/>
        <v/>
      </c>
      <c r="Y269" s="40" t="str">
        <f>TEXT(Table1[[#This Row],[YEAR]],"0000")&amp;"-"&amp;Table1[[#This Row],[MONTH]]</f>
        <v>-</v>
      </c>
    </row>
    <row r="270" spans="1:25" ht="18" x14ac:dyDescent="0.35">
      <c r="A270" s="24"/>
      <c r="B270" s="38"/>
      <c r="C270" s="38"/>
      <c r="D270" s="38"/>
      <c r="E270" s="37"/>
      <c r="F270" s="38"/>
      <c r="G270" s="198"/>
      <c r="H270" s="198"/>
      <c r="I270" s="39"/>
      <c r="J270" s="38"/>
      <c r="K270" s="198"/>
      <c r="L270" s="38"/>
      <c r="M270" s="38"/>
      <c r="N270" s="38"/>
      <c r="O270" s="38"/>
      <c r="P270" s="40" t="str" cm="1">
        <f t="array" ref="P270">IF(N270="","",IFERROR(_xlfn.XLOOKUP(F270&amp;"|"&amp;J270&amp;"|"&amp;O270,PRICES!$C$2:$C$659&amp;"|"&amp;PRICES!$B$2:$B$659&amp;"|"&amp;PRICES!$D$2:$D$659,PRICES!$E$2:$E$659),"Not Found"))</f>
        <v/>
      </c>
      <c r="Q270" s="100" t="str">
        <f>IF(N270=0,"",SUMIFS(PRICES!$G$2:$G$658,PRICES!$B$2:$B$658,'MAIN TABLE-1 AUTOMATED'!J270,PRICES!$C$2:$C$658,'MAIN TABLE-1 AUTOMATED'!F270,PRICES!$D$2:$D$658,'MAIN TABLE-1 AUTOMATED'!O270))</f>
        <v/>
      </c>
      <c r="R270" s="41" t="str">
        <f>IF(Table1[[#This Row],[QUANTITY]]=0,"",Table1[[#This Row],[UNIT PRICE]]*Table1[[#This Row],[QUANTITY]])</f>
        <v/>
      </c>
      <c r="S270" s="89"/>
      <c r="T270" s="38"/>
      <c r="U270" s="43"/>
      <c r="V270" s="42" t="str">
        <f>IF(Table1[[#This Row],[DATE]]=0,"",YEAR(E270))</f>
        <v/>
      </c>
      <c r="W270" s="40" t="str">
        <f t="shared" si="8"/>
        <v/>
      </c>
      <c r="X270" s="40" t="str">
        <f t="shared" si="9"/>
        <v/>
      </c>
      <c r="Y270" s="40" t="str">
        <f>TEXT(Table1[[#This Row],[YEAR]],"0000")&amp;"-"&amp;Table1[[#This Row],[MONTH]]</f>
        <v>-</v>
      </c>
    </row>
    <row r="271" spans="1:25" ht="18" x14ac:dyDescent="0.35">
      <c r="A271" s="24"/>
      <c r="B271" s="38"/>
      <c r="C271" s="38"/>
      <c r="D271" s="38"/>
      <c r="E271" s="37"/>
      <c r="F271" s="38"/>
      <c r="G271" s="198"/>
      <c r="H271" s="198"/>
      <c r="I271" s="39"/>
      <c r="J271" s="38"/>
      <c r="K271" s="198"/>
      <c r="L271" s="38"/>
      <c r="M271" s="38"/>
      <c r="N271" s="38"/>
      <c r="O271" s="38"/>
      <c r="P271" s="40" t="str" cm="1">
        <f t="array" ref="P271">IF(N271="","",IFERROR(_xlfn.XLOOKUP(F271&amp;"|"&amp;J271&amp;"|"&amp;O271,PRICES!$C$2:$C$659&amp;"|"&amp;PRICES!$B$2:$B$659&amp;"|"&amp;PRICES!$D$2:$D$659,PRICES!$E$2:$E$659),"Not Found"))</f>
        <v/>
      </c>
      <c r="Q271" s="100" t="str">
        <f>IF(N271=0,"",SUMIFS(PRICES!$G$2:$G$658,PRICES!$B$2:$B$658,'MAIN TABLE-1 AUTOMATED'!J271,PRICES!$C$2:$C$658,'MAIN TABLE-1 AUTOMATED'!F271,PRICES!$D$2:$D$658,'MAIN TABLE-1 AUTOMATED'!O271))</f>
        <v/>
      </c>
      <c r="R271" s="41" t="str">
        <f>IF(Table1[[#This Row],[QUANTITY]]=0,"",Table1[[#This Row],[UNIT PRICE]]*Table1[[#This Row],[QUANTITY]])</f>
        <v/>
      </c>
      <c r="S271" s="89"/>
      <c r="T271" s="38"/>
      <c r="U271" s="43"/>
      <c r="V271" s="42" t="str">
        <f>IF(Table1[[#This Row],[DATE]]=0,"",YEAR(E271))</f>
        <v/>
      </c>
      <c r="W271" s="40" t="str">
        <f t="shared" si="8"/>
        <v/>
      </c>
      <c r="X271" s="40" t="str">
        <f t="shared" si="9"/>
        <v/>
      </c>
      <c r="Y271" s="40" t="str">
        <f>TEXT(Table1[[#This Row],[YEAR]],"0000")&amp;"-"&amp;Table1[[#This Row],[MONTH]]</f>
        <v>-</v>
      </c>
    </row>
    <row r="272" spans="1:25" ht="18" x14ac:dyDescent="0.35">
      <c r="A272" s="24"/>
      <c r="B272" s="38"/>
      <c r="C272" s="38"/>
      <c r="D272" s="38"/>
      <c r="E272" s="37"/>
      <c r="F272" s="38"/>
      <c r="G272" s="198"/>
      <c r="H272" s="198"/>
      <c r="I272" s="39"/>
      <c r="J272" s="38"/>
      <c r="K272" s="198"/>
      <c r="L272" s="38"/>
      <c r="M272" s="38"/>
      <c r="N272" s="38"/>
      <c r="O272" s="38"/>
      <c r="P272" s="40" t="str" cm="1">
        <f t="array" ref="P272">IF(N272="","",IFERROR(_xlfn.XLOOKUP(F272&amp;"|"&amp;J272&amp;"|"&amp;O272,PRICES!$C$2:$C$659&amp;"|"&amp;PRICES!$B$2:$B$659&amp;"|"&amp;PRICES!$D$2:$D$659,PRICES!$E$2:$E$659),"Not Found"))</f>
        <v/>
      </c>
      <c r="Q272" s="100" t="str">
        <f>IF(N272=0,"",SUMIFS(PRICES!$G$2:$G$658,PRICES!$B$2:$B$658,'MAIN TABLE-1 AUTOMATED'!J272,PRICES!$C$2:$C$658,'MAIN TABLE-1 AUTOMATED'!F272,PRICES!$D$2:$D$658,'MAIN TABLE-1 AUTOMATED'!O272))</f>
        <v/>
      </c>
      <c r="R272" s="41" t="str">
        <f>IF(Table1[[#This Row],[QUANTITY]]=0,"",Table1[[#This Row],[UNIT PRICE]]*Table1[[#This Row],[QUANTITY]])</f>
        <v/>
      </c>
      <c r="S272" s="89"/>
      <c r="T272" s="38"/>
      <c r="U272" s="43"/>
      <c r="V272" s="42" t="str">
        <f>IF(Table1[[#This Row],[DATE]]=0,"",YEAR(E272))</f>
        <v/>
      </c>
      <c r="W272" s="40" t="str">
        <f t="shared" si="8"/>
        <v/>
      </c>
      <c r="X272" s="40" t="str">
        <f t="shared" si="9"/>
        <v/>
      </c>
      <c r="Y272" s="40" t="str">
        <f>TEXT(Table1[[#This Row],[YEAR]],"0000")&amp;"-"&amp;Table1[[#This Row],[MONTH]]</f>
        <v>-</v>
      </c>
    </row>
    <row r="273" spans="1:25" ht="18" x14ac:dyDescent="0.35">
      <c r="A273" s="24"/>
      <c r="B273" s="38"/>
      <c r="C273" s="38"/>
      <c r="D273" s="38"/>
      <c r="E273" s="37"/>
      <c r="F273" s="38"/>
      <c r="G273" s="198"/>
      <c r="H273" s="198"/>
      <c r="I273" s="39"/>
      <c r="J273" s="38"/>
      <c r="K273" s="198"/>
      <c r="L273" s="38"/>
      <c r="M273" s="38"/>
      <c r="N273" s="38"/>
      <c r="O273" s="38"/>
      <c r="P273" s="40" t="str" cm="1">
        <f t="array" ref="P273">IF(N273="","",IFERROR(_xlfn.XLOOKUP(F273&amp;"|"&amp;J273&amp;"|"&amp;O273,PRICES!$C$2:$C$659&amp;"|"&amp;PRICES!$B$2:$B$659&amp;"|"&amp;PRICES!$D$2:$D$659,PRICES!$E$2:$E$659),"Not Found"))</f>
        <v/>
      </c>
      <c r="Q273" s="100" t="str">
        <f>IF(N273=0,"",SUMIFS(PRICES!$G$2:$G$658,PRICES!$B$2:$B$658,'MAIN TABLE-1 AUTOMATED'!J273,PRICES!$C$2:$C$658,'MAIN TABLE-1 AUTOMATED'!F273,PRICES!$D$2:$D$658,'MAIN TABLE-1 AUTOMATED'!O273))</f>
        <v/>
      </c>
      <c r="R273" s="41" t="str">
        <f>IF(Table1[[#This Row],[QUANTITY]]=0,"",Table1[[#This Row],[UNIT PRICE]]*Table1[[#This Row],[QUANTITY]])</f>
        <v/>
      </c>
      <c r="S273" s="89"/>
      <c r="T273" s="38"/>
      <c r="U273" s="43"/>
      <c r="V273" s="42" t="str">
        <f>IF(Table1[[#This Row],[DATE]]=0,"",YEAR(E273))</f>
        <v/>
      </c>
      <c r="W273" s="40" t="str">
        <f t="shared" si="8"/>
        <v/>
      </c>
      <c r="X273" s="40" t="str">
        <f t="shared" si="9"/>
        <v/>
      </c>
      <c r="Y273" s="40" t="str">
        <f>TEXT(Table1[[#This Row],[YEAR]],"0000")&amp;"-"&amp;Table1[[#This Row],[MONTH]]</f>
        <v>-</v>
      </c>
    </row>
    <row r="274" spans="1:25" ht="18" x14ac:dyDescent="0.35">
      <c r="A274" s="24"/>
      <c r="B274" s="38"/>
      <c r="C274" s="38"/>
      <c r="D274" s="38"/>
      <c r="E274" s="37"/>
      <c r="F274" s="38"/>
      <c r="G274" s="198"/>
      <c r="H274" s="198"/>
      <c r="I274" s="39"/>
      <c r="J274" s="38"/>
      <c r="K274" s="198"/>
      <c r="L274" s="38"/>
      <c r="M274" s="38"/>
      <c r="N274" s="38"/>
      <c r="O274" s="38"/>
      <c r="P274" s="40" t="str" cm="1">
        <f t="array" ref="P274">IF(N274="","",IFERROR(_xlfn.XLOOKUP(F274&amp;"|"&amp;J274&amp;"|"&amp;O274,PRICES!$C$2:$C$659&amp;"|"&amp;PRICES!$B$2:$B$659&amp;"|"&amp;PRICES!$D$2:$D$659,PRICES!$E$2:$E$659),"Not Found"))</f>
        <v/>
      </c>
      <c r="Q274" s="100" t="str">
        <f>IF(N274=0,"",SUMIFS(PRICES!$G$2:$G$658,PRICES!$B$2:$B$658,'MAIN TABLE-1 AUTOMATED'!J274,PRICES!$C$2:$C$658,'MAIN TABLE-1 AUTOMATED'!F274,PRICES!$D$2:$D$658,'MAIN TABLE-1 AUTOMATED'!O274))</f>
        <v/>
      </c>
      <c r="R274" s="41" t="str">
        <f>IF(Table1[[#This Row],[QUANTITY]]=0,"",Table1[[#This Row],[UNIT PRICE]]*Table1[[#This Row],[QUANTITY]])</f>
        <v/>
      </c>
      <c r="S274" s="89"/>
      <c r="T274" s="38"/>
      <c r="U274" s="43"/>
      <c r="V274" s="42" t="str">
        <f>IF(Table1[[#This Row],[DATE]]=0,"",YEAR(E274))</f>
        <v/>
      </c>
      <c r="W274" s="40" t="str">
        <f t="shared" si="8"/>
        <v/>
      </c>
      <c r="X274" s="40" t="str">
        <f t="shared" si="9"/>
        <v/>
      </c>
      <c r="Y274" s="40" t="str">
        <f>TEXT(Table1[[#This Row],[YEAR]],"0000")&amp;"-"&amp;Table1[[#This Row],[MONTH]]</f>
        <v>-</v>
      </c>
    </row>
    <row r="275" spans="1:25" ht="18" x14ac:dyDescent="0.35">
      <c r="A275" s="24"/>
      <c r="B275" s="38"/>
      <c r="C275" s="38"/>
      <c r="D275" s="38"/>
      <c r="E275" s="37"/>
      <c r="F275" s="38"/>
      <c r="G275" s="198"/>
      <c r="H275" s="198"/>
      <c r="I275" s="39"/>
      <c r="J275" s="38"/>
      <c r="K275" s="198"/>
      <c r="L275" s="38"/>
      <c r="M275" s="38"/>
      <c r="N275" s="38"/>
      <c r="O275" s="38"/>
      <c r="P275" s="40" t="str" cm="1">
        <f t="array" ref="P275">IF(N275="","",IFERROR(_xlfn.XLOOKUP(F275&amp;"|"&amp;J275&amp;"|"&amp;O275,PRICES!$C$2:$C$659&amp;"|"&amp;PRICES!$B$2:$B$659&amp;"|"&amp;PRICES!$D$2:$D$659,PRICES!$E$2:$E$659),"Not Found"))</f>
        <v/>
      </c>
      <c r="Q275" s="100" t="str">
        <f>IF(N275=0,"",SUMIFS(PRICES!$G$2:$G$658,PRICES!$B$2:$B$658,'MAIN TABLE-1 AUTOMATED'!J275,PRICES!$C$2:$C$658,'MAIN TABLE-1 AUTOMATED'!F275,PRICES!$D$2:$D$658,'MAIN TABLE-1 AUTOMATED'!O275))</f>
        <v/>
      </c>
      <c r="R275" s="41" t="str">
        <f>IF(Table1[[#This Row],[QUANTITY]]=0,"",Table1[[#This Row],[UNIT PRICE]]*Table1[[#This Row],[QUANTITY]])</f>
        <v/>
      </c>
      <c r="S275" s="89"/>
      <c r="T275" s="38"/>
      <c r="U275" s="43"/>
      <c r="V275" s="42" t="str">
        <f>IF(Table1[[#This Row],[DATE]]=0,"",YEAR(E275))</f>
        <v/>
      </c>
      <c r="W275" s="40" t="str">
        <f t="shared" si="8"/>
        <v/>
      </c>
      <c r="X275" s="40" t="str">
        <f t="shared" si="9"/>
        <v/>
      </c>
      <c r="Y275" s="40" t="str">
        <f>TEXT(Table1[[#This Row],[YEAR]],"0000")&amp;"-"&amp;Table1[[#This Row],[MONTH]]</f>
        <v>-</v>
      </c>
    </row>
    <row r="276" spans="1:25" ht="18" x14ac:dyDescent="0.35">
      <c r="A276" s="24"/>
      <c r="B276" s="38"/>
      <c r="C276" s="38"/>
      <c r="D276" s="38"/>
      <c r="E276" s="37"/>
      <c r="F276" s="38"/>
      <c r="G276" s="198"/>
      <c r="H276" s="198"/>
      <c r="I276" s="39"/>
      <c r="J276" s="38"/>
      <c r="K276" s="198"/>
      <c r="L276" s="38"/>
      <c r="M276" s="38"/>
      <c r="N276" s="38"/>
      <c r="O276" s="38"/>
      <c r="P276" s="40" t="str" cm="1">
        <f t="array" ref="P276">IF(N276="","",IFERROR(_xlfn.XLOOKUP(F276&amp;"|"&amp;J276&amp;"|"&amp;O276,PRICES!$C$2:$C$659&amp;"|"&amp;PRICES!$B$2:$B$659&amp;"|"&amp;PRICES!$D$2:$D$659,PRICES!$E$2:$E$659),"Not Found"))</f>
        <v/>
      </c>
      <c r="Q276" s="100" t="str">
        <f>IF(N276=0,"",SUMIFS(PRICES!$G$2:$G$658,PRICES!$B$2:$B$658,'MAIN TABLE-1 AUTOMATED'!J276,PRICES!$C$2:$C$658,'MAIN TABLE-1 AUTOMATED'!F276,PRICES!$D$2:$D$658,'MAIN TABLE-1 AUTOMATED'!O276))</f>
        <v/>
      </c>
      <c r="R276" s="41" t="str">
        <f>IF(Table1[[#This Row],[QUANTITY]]=0,"",Table1[[#This Row],[UNIT PRICE]]*Table1[[#This Row],[QUANTITY]])</f>
        <v/>
      </c>
      <c r="S276" s="89"/>
      <c r="T276" s="38"/>
      <c r="U276" s="43"/>
      <c r="V276" s="42" t="str">
        <f>IF(Table1[[#This Row],[DATE]]=0,"",YEAR(E276))</f>
        <v/>
      </c>
      <c r="W276" s="40" t="str">
        <f t="shared" si="8"/>
        <v/>
      </c>
      <c r="X276" s="40" t="str">
        <f t="shared" si="9"/>
        <v/>
      </c>
      <c r="Y276" s="40" t="str">
        <f>TEXT(Table1[[#This Row],[YEAR]],"0000")&amp;"-"&amp;Table1[[#This Row],[MONTH]]</f>
        <v>-</v>
      </c>
    </row>
    <row r="277" spans="1:25" ht="18" x14ac:dyDescent="0.35">
      <c r="A277" s="24"/>
      <c r="B277" s="38"/>
      <c r="C277" s="38"/>
      <c r="D277" s="38"/>
      <c r="E277" s="37"/>
      <c r="F277" s="38"/>
      <c r="G277" s="198"/>
      <c r="H277" s="198"/>
      <c r="I277" s="39"/>
      <c r="J277" s="38"/>
      <c r="K277" s="198"/>
      <c r="L277" s="38"/>
      <c r="M277" s="38"/>
      <c r="N277" s="38"/>
      <c r="O277" s="38"/>
      <c r="P277" s="40" t="str" cm="1">
        <f t="array" ref="P277">IF(N277="","",IFERROR(_xlfn.XLOOKUP(F277&amp;"|"&amp;J277&amp;"|"&amp;O277,PRICES!$C$2:$C$659&amp;"|"&amp;PRICES!$B$2:$B$659&amp;"|"&amp;PRICES!$D$2:$D$659,PRICES!$E$2:$E$659),"Not Found"))</f>
        <v/>
      </c>
      <c r="Q277" s="100" t="str">
        <f>IF(N277=0,"",SUMIFS(PRICES!$G$2:$G$658,PRICES!$B$2:$B$658,'MAIN TABLE-1 AUTOMATED'!J277,PRICES!$C$2:$C$658,'MAIN TABLE-1 AUTOMATED'!F277,PRICES!$D$2:$D$658,'MAIN TABLE-1 AUTOMATED'!O277))</f>
        <v/>
      </c>
      <c r="R277" s="41" t="str">
        <f>IF(Table1[[#This Row],[QUANTITY]]=0,"",Table1[[#This Row],[UNIT PRICE]]*Table1[[#This Row],[QUANTITY]])</f>
        <v/>
      </c>
      <c r="S277" s="89"/>
      <c r="T277" s="38"/>
      <c r="U277" s="43"/>
      <c r="V277" s="42" t="str">
        <f>IF(Table1[[#This Row],[DATE]]=0,"",YEAR(E277))</f>
        <v/>
      </c>
      <c r="W277" s="40" t="str">
        <f t="shared" si="8"/>
        <v/>
      </c>
      <c r="X277" s="40" t="str">
        <f t="shared" si="9"/>
        <v/>
      </c>
      <c r="Y277" s="40" t="str">
        <f>TEXT(Table1[[#This Row],[YEAR]],"0000")&amp;"-"&amp;Table1[[#This Row],[MONTH]]</f>
        <v>-</v>
      </c>
    </row>
    <row r="278" spans="1:25" ht="18" x14ac:dyDescent="0.35">
      <c r="A278" s="24"/>
      <c r="B278" s="38"/>
      <c r="C278" s="38"/>
      <c r="D278" s="38"/>
      <c r="E278" s="37"/>
      <c r="F278" s="38"/>
      <c r="G278" s="198"/>
      <c r="H278" s="198"/>
      <c r="I278" s="39"/>
      <c r="J278" s="38"/>
      <c r="K278" s="198"/>
      <c r="L278" s="38"/>
      <c r="M278" s="38"/>
      <c r="N278" s="38"/>
      <c r="O278" s="38"/>
      <c r="P278" s="40" t="str" cm="1">
        <f t="array" ref="P278">IF(N278="","",IFERROR(_xlfn.XLOOKUP(F278&amp;"|"&amp;J278&amp;"|"&amp;O278,PRICES!$C$2:$C$659&amp;"|"&amp;PRICES!$B$2:$B$659&amp;"|"&amp;PRICES!$D$2:$D$659,PRICES!$E$2:$E$659),"Not Found"))</f>
        <v/>
      </c>
      <c r="Q278" s="100" t="str">
        <f>IF(N278=0,"",SUMIFS(PRICES!$G$2:$G$658,PRICES!$B$2:$B$658,'MAIN TABLE-1 AUTOMATED'!J278,PRICES!$C$2:$C$658,'MAIN TABLE-1 AUTOMATED'!F278,PRICES!$D$2:$D$658,'MAIN TABLE-1 AUTOMATED'!O278))</f>
        <v/>
      </c>
      <c r="R278" s="41" t="str">
        <f>IF(Table1[[#This Row],[QUANTITY]]=0,"",Table1[[#This Row],[UNIT PRICE]]*Table1[[#This Row],[QUANTITY]])</f>
        <v/>
      </c>
      <c r="S278" s="89"/>
      <c r="T278" s="38"/>
      <c r="U278" s="43"/>
      <c r="V278" s="42" t="str">
        <f>IF(Table1[[#This Row],[DATE]]=0,"",YEAR(E278))</f>
        <v/>
      </c>
      <c r="W278" s="40" t="str">
        <f t="shared" si="8"/>
        <v/>
      </c>
      <c r="X278" s="40" t="str">
        <f t="shared" si="9"/>
        <v/>
      </c>
      <c r="Y278" s="40" t="str">
        <f>TEXT(Table1[[#This Row],[YEAR]],"0000")&amp;"-"&amp;Table1[[#This Row],[MONTH]]</f>
        <v>-</v>
      </c>
    </row>
    <row r="279" spans="1:25" ht="18" x14ac:dyDescent="0.35">
      <c r="A279" s="24"/>
      <c r="B279" s="38"/>
      <c r="C279" s="38"/>
      <c r="D279" s="38"/>
      <c r="E279" s="37"/>
      <c r="F279" s="38"/>
      <c r="G279" s="198"/>
      <c r="H279" s="198"/>
      <c r="I279" s="39"/>
      <c r="J279" s="38"/>
      <c r="K279" s="198"/>
      <c r="L279" s="38"/>
      <c r="M279" s="38"/>
      <c r="N279" s="38"/>
      <c r="O279" s="38"/>
      <c r="P279" s="40" t="str" cm="1">
        <f t="array" ref="P279">IF(N279="","",IFERROR(_xlfn.XLOOKUP(F279&amp;"|"&amp;J279&amp;"|"&amp;O279,PRICES!$C$2:$C$659&amp;"|"&amp;PRICES!$B$2:$B$659&amp;"|"&amp;PRICES!$D$2:$D$659,PRICES!$E$2:$E$659),"Not Found"))</f>
        <v/>
      </c>
      <c r="Q279" s="100" t="str">
        <f>IF(N279=0,"",SUMIFS(PRICES!$G$2:$G$658,PRICES!$B$2:$B$658,'MAIN TABLE-1 AUTOMATED'!J279,PRICES!$C$2:$C$658,'MAIN TABLE-1 AUTOMATED'!F279,PRICES!$D$2:$D$658,'MAIN TABLE-1 AUTOMATED'!O279))</f>
        <v/>
      </c>
      <c r="R279" s="41" t="str">
        <f>IF(Table1[[#This Row],[QUANTITY]]=0,"",Table1[[#This Row],[UNIT PRICE]]*Table1[[#This Row],[QUANTITY]])</f>
        <v/>
      </c>
      <c r="S279" s="89"/>
      <c r="T279" s="38"/>
      <c r="U279" s="43"/>
      <c r="V279" s="42" t="str">
        <f>IF(Table1[[#This Row],[DATE]]=0,"",YEAR(E279))</f>
        <v/>
      </c>
      <c r="W279" s="40" t="str">
        <f t="shared" si="8"/>
        <v/>
      </c>
      <c r="X279" s="40" t="str">
        <f t="shared" si="9"/>
        <v/>
      </c>
      <c r="Y279" s="40" t="str">
        <f>TEXT(Table1[[#This Row],[YEAR]],"0000")&amp;"-"&amp;Table1[[#This Row],[MONTH]]</f>
        <v>-</v>
      </c>
    </row>
    <row r="280" spans="1:25" ht="18" x14ac:dyDescent="0.35">
      <c r="A280" s="24"/>
      <c r="B280" s="38"/>
      <c r="C280" s="38"/>
      <c r="D280" s="38"/>
      <c r="E280" s="37"/>
      <c r="F280" s="38"/>
      <c r="G280" s="198"/>
      <c r="H280" s="198"/>
      <c r="I280" s="39"/>
      <c r="J280" s="38"/>
      <c r="K280" s="198"/>
      <c r="L280" s="38"/>
      <c r="M280" s="38"/>
      <c r="N280" s="38"/>
      <c r="O280" s="38"/>
      <c r="P280" s="40" t="str" cm="1">
        <f t="array" ref="P280">IF(N280="","",IFERROR(_xlfn.XLOOKUP(F280&amp;"|"&amp;J280&amp;"|"&amp;O280,PRICES!$C$2:$C$659&amp;"|"&amp;PRICES!$B$2:$B$659&amp;"|"&amp;PRICES!$D$2:$D$659,PRICES!$E$2:$E$659),"Not Found"))</f>
        <v/>
      </c>
      <c r="Q280" s="100" t="str">
        <f>IF(N280=0,"",SUMIFS(PRICES!$G$2:$G$658,PRICES!$B$2:$B$658,'MAIN TABLE-1 AUTOMATED'!J280,PRICES!$C$2:$C$658,'MAIN TABLE-1 AUTOMATED'!F280,PRICES!$D$2:$D$658,'MAIN TABLE-1 AUTOMATED'!O280))</f>
        <v/>
      </c>
      <c r="R280" s="41" t="str">
        <f>IF(Table1[[#This Row],[QUANTITY]]=0,"",Table1[[#This Row],[UNIT PRICE]]*Table1[[#This Row],[QUANTITY]])</f>
        <v/>
      </c>
      <c r="S280" s="89"/>
      <c r="T280" s="38"/>
      <c r="U280" s="43"/>
      <c r="V280" s="42" t="str">
        <f>IF(Table1[[#This Row],[DATE]]=0,"",YEAR(E280))</f>
        <v/>
      </c>
      <c r="W280" s="40" t="str">
        <f t="shared" si="8"/>
        <v/>
      </c>
      <c r="X280" s="40" t="str">
        <f t="shared" si="9"/>
        <v/>
      </c>
      <c r="Y280" s="40" t="str">
        <f>TEXT(Table1[[#This Row],[YEAR]],"0000")&amp;"-"&amp;Table1[[#This Row],[MONTH]]</f>
        <v>-</v>
      </c>
    </row>
    <row r="281" spans="1:25" ht="18" x14ac:dyDescent="0.35">
      <c r="A281" s="24"/>
      <c r="B281" s="38"/>
      <c r="C281" s="38"/>
      <c r="D281" s="38"/>
      <c r="E281" s="37"/>
      <c r="F281" s="38"/>
      <c r="G281" s="198"/>
      <c r="H281" s="198"/>
      <c r="I281" s="39"/>
      <c r="J281" s="38"/>
      <c r="K281" s="198"/>
      <c r="L281" s="38"/>
      <c r="M281" s="38"/>
      <c r="N281" s="38"/>
      <c r="O281" s="38"/>
      <c r="P281" s="40" t="str" cm="1">
        <f t="array" ref="P281">IF(N281="","",IFERROR(_xlfn.XLOOKUP(F281&amp;"|"&amp;J281&amp;"|"&amp;O281,PRICES!$C$2:$C$659&amp;"|"&amp;PRICES!$B$2:$B$659&amp;"|"&amp;PRICES!$D$2:$D$659,PRICES!$E$2:$E$659),"Not Found"))</f>
        <v/>
      </c>
      <c r="Q281" s="100" t="str">
        <f>IF(N281=0,"",SUMIFS(PRICES!$G$2:$G$658,PRICES!$B$2:$B$658,'MAIN TABLE-1 AUTOMATED'!J281,PRICES!$C$2:$C$658,'MAIN TABLE-1 AUTOMATED'!F281,PRICES!$D$2:$D$658,'MAIN TABLE-1 AUTOMATED'!O281))</f>
        <v/>
      </c>
      <c r="R281" s="41" t="str">
        <f>IF(Table1[[#This Row],[QUANTITY]]=0,"",Table1[[#This Row],[UNIT PRICE]]*Table1[[#This Row],[QUANTITY]])</f>
        <v/>
      </c>
      <c r="S281" s="89"/>
      <c r="T281" s="38"/>
      <c r="U281" s="43"/>
      <c r="V281" s="42" t="str">
        <f>IF(Table1[[#This Row],[DATE]]=0,"",YEAR(E281))</f>
        <v/>
      </c>
      <c r="W281" s="40" t="str">
        <f t="shared" si="8"/>
        <v/>
      </c>
      <c r="X281" s="40" t="str">
        <f t="shared" si="9"/>
        <v/>
      </c>
      <c r="Y281" s="40" t="str">
        <f>TEXT(Table1[[#This Row],[YEAR]],"0000")&amp;"-"&amp;Table1[[#This Row],[MONTH]]</f>
        <v>-</v>
      </c>
    </row>
    <row r="282" spans="1:25" ht="18" x14ac:dyDescent="0.35">
      <c r="A282" s="24"/>
      <c r="B282" s="38"/>
      <c r="C282" s="38"/>
      <c r="D282" s="38"/>
      <c r="E282" s="37"/>
      <c r="F282" s="38"/>
      <c r="G282" s="198"/>
      <c r="H282" s="198"/>
      <c r="I282" s="39"/>
      <c r="J282" s="38"/>
      <c r="K282" s="198"/>
      <c r="L282" s="38"/>
      <c r="M282" s="38"/>
      <c r="N282" s="38"/>
      <c r="O282" s="38"/>
      <c r="P282" s="40" t="str" cm="1">
        <f t="array" ref="P282">IF(N282="","",IFERROR(_xlfn.XLOOKUP(F282&amp;"|"&amp;J282&amp;"|"&amp;O282,PRICES!$C$2:$C$659&amp;"|"&amp;PRICES!$B$2:$B$659&amp;"|"&amp;PRICES!$D$2:$D$659,PRICES!$E$2:$E$659),"Not Found"))</f>
        <v/>
      </c>
      <c r="Q282" s="100" t="str">
        <f>IF(N282=0,"",SUMIFS(PRICES!$G$2:$G$658,PRICES!$B$2:$B$658,'MAIN TABLE-1 AUTOMATED'!J282,PRICES!$C$2:$C$658,'MAIN TABLE-1 AUTOMATED'!F282,PRICES!$D$2:$D$658,'MAIN TABLE-1 AUTOMATED'!O282))</f>
        <v/>
      </c>
      <c r="R282" s="41" t="str">
        <f>IF(Table1[[#This Row],[QUANTITY]]=0,"",Table1[[#This Row],[UNIT PRICE]]*Table1[[#This Row],[QUANTITY]])</f>
        <v/>
      </c>
      <c r="S282" s="89"/>
      <c r="T282" s="38"/>
      <c r="U282" s="43"/>
      <c r="V282" s="42" t="str">
        <f>IF(Table1[[#This Row],[DATE]]=0,"",YEAR(E282))</f>
        <v/>
      </c>
      <c r="W282" s="40" t="str">
        <f t="shared" si="8"/>
        <v/>
      </c>
      <c r="X282" s="40" t="str">
        <f t="shared" si="9"/>
        <v/>
      </c>
      <c r="Y282" s="40" t="str">
        <f>TEXT(Table1[[#This Row],[YEAR]],"0000")&amp;"-"&amp;Table1[[#This Row],[MONTH]]</f>
        <v>-</v>
      </c>
    </row>
    <row r="283" spans="1:25" ht="18" x14ac:dyDescent="0.35">
      <c r="A283" s="24"/>
      <c r="B283" s="38"/>
      <c r="C283" s="38"/>
      <c r="D283" s="38"/>
      <c r="E283" s="37"/>
      <c r="F283" s="38"/>
      <c r="G283" s="198"/>
      <c r="H283" s="198"/>
      <c r="I283" s="39"/>
      <c r="J283" s="38"/>
      <c r="K283" s="198"/>
      <c r="L283" s="38"/>
      <c r="M283" s="38"/>
      <c r="N283" s="38"/>
      <c r="O283" s="38"/>
      <c r="P283" s="40" t="str" cm="1">
        <f t="array" ref="P283">IF(N283="","",IFERROR(_xlfn.XLOOKUP(F283&amp;"|"&amp;J283&amp;"|"&amp;O283,PRICES!$C$2:$C$659&amp;"|"&amp;PRICES!$B$2:$B$659&amp;"|"&amp;PRICES!$D$2:$D$659,PRICES!$E$2:$E$659),"Not Found"))</f>
        <v/>
      </c>
      <c r="Q283" s="100" t="str">
        <f>IF(N283=0,"",SUMIFS(PRICES!$G$2:$G$658,PRICES!$B$2:$B$658,'MAIN TABLE-1 AUTOMATED'!J283,PRICES!$C$2:$C$658,'MAIN TABLE-1 AUTOMATED'!F283,PRICES!$D$2:$D$658,'MAIN TABLE-1 AUTOMATED'!O283))</f>
        <v/>
      </c>
      <c r="R283" s="41" t="str">
        <f>IF(Table1[[#This Row],[QUANTITY]]=0,"",Table1[[#This Row],[UNIT PRICE]]*Table1[[#This Row],[QUANTITY]])</f>
        <v/>
      </c>
      <c r="S283" s="89"/>
      <c r="T283" s="38"/>
      <c r="U283" s="43"/>
      <c r="V283" s="42" t="str">
        <f>IF(Table1[[#This Row],[DATE]]=0,"",YEAR(E283))</f>
        <v/>
      </c>
      <c r="W283" s="40" t="str">
        <f t="shared" si="8"/>
        <v/>
      </c>
      <c r="X283" s="40" t="str">
        <f t="shared" si="9"/>
        <v/>
      </c>
      <c r="Y283" s="40" t="str">
        <f>TEXT(Table1[[#This Row],[YEAR]],"0000")&amp;"-"&amp;Table1[[#This Row],[MONTH]]</f>
        <v>-</v>
      </c>
    </row>
    <row r="284" spans="1:25" ht="18" x14ac:dyDescent="0.35">
      <c r="A284" s="24"/>
      <c r="B284" s="36"/>
      <c r="C284" s="36"/>
      <c r="D284" s="36"/>
      <c r="E284" s="37"/>
      <c r="F284" s="38"/>
      <c r="G284" s="198"/>
      <c r="H284" s="198"/>
      <c r="I284" s="39"/>
      <c r="J284" s="38"/>
      <c r="K284" s="198"/>
      <c r="L284" s="38"/>
      <c r="M284" s="38"/>
      <c r="N284" s="38"/>
      <c r="O284" s="38"/>
      <c r="P284" s="40" t="str" cm="1">
        <f t="array" ref="P284">IF(N284="","",IFERROR(_xlfn.XLOOKUP(F284&amp;"|"&amp;J284&amp;"|"&amp;O284,PRICES!$C$2:$C$659&amp;"|"&amp;PRICES!$B$2:$B$659&amp;"|"&amp;PRICES!$D$2:$D$659,PRICES!$E$2:$E$659),"Not Found"))</f>
        <v/>
      </c>
      <c r="Q284" s="100" t="str">
        <f>IF(N284=0,"",SUMIFS(PRICES!$G$2:$G$658,PRICES!$B$2:$B$658,'MAIN TABLE-1 AUTOMATED'!J284,PRICES!$C$2:$C$658,'MAIN TABLE-1 AUTOMATED'!F284,PRICES!$D$2:$D$658,'MAIN TABLE-1 AUTOMATED'!O284))</f>
        <v/>
      </c>
      <c r="R284" s="41" t="str">
        <f>IF(Table1[[#This Row],[QUANTITY]]=0,"",Table1[[#This Row],[UNIT PRICE]]*Table1[[#This Row],[QUANTITY]])</f>
        <v/>
      </c>
      <c r="S284" s="89"/>
      <c r="T284" s="38"/>
      <c r="U284" s="43"/>
      <c r="V284" s="42" t="str">
        <f>IF(Table1[[#This Row],[DATE]]=0,"",YEAR(E284))</f>
        <v/>
      </c>
      <c r="W284" s="40" t="str">
        <f t="shared" si="8"/>
        <v/>
      </c>
      <c r="X284" s="40" t="str">
        <f t="shared" si="9"/>
        <v/>
      </c>
      <c r="Y284" s="40" t="str">
        <f>TEXT(Table1[[#This Row],[YEAR]],"0000")&amp;"-"&amp;Table1[[#This Row],[MONTH]]</f>
        <v>-</v>
      </c>
    </row>
    <row r="285" spans="1:25" ht="18" x14ac:dyDescent="0.35">
      <c r="A285" s="24"/>
      <c r="B285" s="38"/>
      <c r="C285" s="38"/>
      <c r="D285" s="38"/>
      <c r="E285" s="37"/>
      <c r="F285" s="38"/>
      <c r="G285" s="198"/>
      <c r="H285" s="198"/>
      <c r="I285" s="39"/>
      <c r="J285" s="38"/>
      <c r="K285" s="198"/>
      <c r="L285" s="38"/>
      <c r="M285" s="38"/>
      <c r="N285" s="38"/>
      <c r="O285" s="38"/>
      <c r="P285" s="40" t="str" cm="1">
        <f t="array" ref="P285">IF(N285="","",IFERROR(_xlfn.XLOOKUP(F285&amp;"|"&amp;J285&amp;"|"&amp;O285,PRICES!$C$2:$C$659&amp;"|"&amp;PRICES!$B$2:$B$659&amp;"|"&amp;PRICES!$D$2:$D$659,PRICES!$E$2:$E$659),"Not Found"))</f>
        <v/>
      </c>
      <c r="Q285" s="100" t="str">
        <f>IF(N285=0,"",SUMIFS(PRICES!$G$2:$G$658,PRICES!$B$2:$B$658,'MAIN TABLE-1 AUTOMATED'!J285,PRICES!$C$2:$C$658,'MAIN TABLE-1 AUTOMATED'!F285,PRICES!$D$2:$D$658,'MAIN TABLE-1 AUTOMATED'!O285))</f>
        <v/>
      </c>
      <c r="R285" s="41" t="str">
        <f>IF(Table1[[#This Row],[QUANTITY]]=0,"",Table1[[#This Row],[UNIT PRICE]]*Table1[[#This Row],[QUANTITY]])</f>
        <v/>
      </c>
      <c r="S285" s="89"/>
      <c r="T285" s="38"/>
      <c r="U285" s="43"/>
      <c r="V285" s="42" t="str">
        <f>IF(Table1[[#This Row],[DATE]]=0,"",YEAR(E285))</f>
        <v/>
      </c>
      <c r="W285" s="40" t="str">
        <f t="shared" si="8"/>
        <v/>
      </c>
      <c r="X285" s="40" t="str">
        <f t="shared" si="9"/>
        <v/>
      </c>
      <c r="Y285" s="40" t="str">
        <f>TEXT(Table1[[#This Row],[YEAR]],"0000")&amp;"-"&amp;Table1[[#This Row],[MONTH]]</f>
        <v>-</v>
      </c>
    </row>
    <row r="286" spans="1:25" ht="18" x14ac:dyDescent="0.35">
      <c r="A286" s="24"/>
      <c r="B286" s="38"/>
      <c r="C286" s="38"/>
      <c r="D286" s="38"/>
      <c r="E286" s="37"/>
      <c r="F286" s="38"/>
      <c r="G286" s="198"/>
      <c r="H286" s="198"/>
      <c r="I286" s="39"/>
      <c r="J286" s="38"/>
      <c r="K286" s="198"/>
      <c r="L286" s="38"/>
      <c r="M286" s="38"/>
      <c r="N286" s="38"/>
      <c r="O286" s="38"/>
      <c r="P286" s="40" t="str" cm="1">
        <f t="array" ref="P286">IF(N286="","",IFERROR(_xlfn.XLOOKUP(F286&amp;"|"&amp;J286&amp;"|"&amp;O286,PRICES!$C$2:$C$659&amp;"|"&amp;PRICES!$B$2:$B$659&amp;"|"&amp;PRICES!$D$2:$D$659,PRICES!$E$2:$E$659),"Not Found"))</f>
        <v/>
      </c>
      <c r="Q286" s="100" t="str">
        <f>IF(N286=0,"",SUMIFS(PRICES!$G$2:$G$658,PRICES!$B$2:$B$658,'MAIN TABLE-1 AUTOMATED'!J286,PRICES!$C$2:$C$658,'MAIN TABLE-1 AUTOMATED'!F286,PRICES!$D$2:$D$658,'MAIN TABLE-1 AUTOMATED'!O286))</f>
        <v/>
      </c>
      <c r="R286" s="41" t="str">
        <f>IF(Table1[[#This Row],[QUANTITY]]=0,"",Table1[[#This Row],[UNIT PRICE]]*Table1[[#This Row],[QUANTITY]])</f>
        <v/>
      </c>
      <c r="S286" s="89"/>
      <c r="T286" s="38"/>
      <c r="U286" s="43"/>
      <c r="V286" s="42" t="str">
        <f>IF(Table1[[#This Row],[DATE]]=0,"",YEAR(E286))</f>
        <v/>
      </c>
      <c r="W286" s="40" t="str">
        <f t="shared" si="8"/>
        <v/>
      </c>
      <c r="X286" s="40" t="str">
        <f t="shared" si="9"/>
        <v/>
      </c>
      <c r="Y286" s="40" t="str">
        <f>TEXT(Table1[[#This Row],[YEAR]],"0000")&amp;"-"&amp;Table1[[#This Row],[MONTH]]</f>
        <v>-</v>
      </c>
    </row>
    <row r="287" spans="1:25" ht="18" x14ac:dyDescent="0.35">
      <c r="A287" s="24"/>
      <c r="B287" s="38"/>
      <c r="C287" s="38"/>
      <c r="D287" s="38"/>
      <c r="E287" s="37"/>
      <c r="F287" s="38"/>
      <c r="G287" s="198"/>
      <c r="H287" s="198"/>
      <c r="I287" s="39"/>
      <c r="J287" s="38"/>
      <c r="K287" s="198"/>
      <c r="L287" s="38"/>
      <c r="M287" s="38"/>
      <c r="N287" s="38"/>
      <c r="O287" s="38"/>
      <c r="P287" s="40" t="str" cm="1">
        <f t="array" ref="P287">IF(N287="","",IFERROR(_xlfn.XLOOKUP(F287&amp;"|"&amp;J287&amp;"|"&amp;O287,PRICES!$C$2:$C$659&amp;"|"&amp;PRICES!$B$2:$B$659&amp;"|"&amp;PRICES!$D$2:$D$659,PRICES!$E$2:$E$659),"Not Found"))</f>
        <v/>
      </c>
      <c r="Q287" s="100" t="str">
        <f>IF(N287=0,"",SUMIFS(PRICES!$G$2:$G$658,PRICES!$B$2:$B$658,'MAIN TABLE-1 AUTOMATED'!J287,PRICES!$C$2:$C$658,'MAIN TABLE-1 AUTOMATED'!F287,PRICES!$D$2:$D$658,'MAIN TABLE-1 AUTOMATED'!O287))</f>
        <v/>
      </c>
      <c r="R287" s="41" t="str">
        <f>IF(Table1[[#This Row],[QUANTITY]]=0,"",Table1[[#This Row],[UNIT PRICE]]*Table1[[#This Row],[QUANTITY]])</f>
        <v/>
      </c>
      <c r="S287" s="89"/>
      <c r="T287" s="38"/>
      <c r="U287" s="43"/>
      <c r="V287" s="42" t="str">
        <f>IF(Table1[[#This Row],[DATE]]=0,"",YEAR(E287))</f>
        <v/>
      </c>
      <c r="W287" s="40" t="str">
        <f t="shared" ref="W287:W350" si="10">IF(E287=0,"",MONTH(E287))</f>
        <v/>
      </c>
      <c r="X287" s="40" t="str">
        <f t="shared" ref="X287:X350" si="11">IF(E287=0,"",WEEKNUM(E287))</f>
        <v/>
      </c>
      <c r="Y287" s="40" t="str">
        <f>TEXT(Table1[[#This Row],[YEAR]],"0000")&amp;"-"&amp;Table1[[#This Row],[MONTH]]</f>
        <v>-</v>
      </c>
    </row>
    <row r="288" spans="1:25" ht="18" x14ac:dyDescent="0.35">
      <c r="A288" s="24"/>
      <c r="B288" s="38"/>
      <c r="C288" s="38"/>
      <c r="D288" s="38"/>
      <c r="E288" s="37"/>
      <c r="F288" s="38"/>
      <c r="G288" s="198"/>
      <c r="H288" s="198"/>
      <c r="I288" s="39"/>
      <c r="J288" s="38"/>
      <c r="K288" s="198"/>
      <c r="L288" s="38"/>
      <c r="M288" s="38"/>
      <c r="N288" s="38"/>
      <c r="O288" s="38"/>
      <c r="P288" s="40" t="str" cm="1">
        <f t="array" ref="P288">IF(N288="","",IFERROR(_xlfn.XLOOKUP(F288&amp;"|"&amp;J288&amp;"|"&amp;O288,PRICES!$C$2:$C$659&amp;"|"&amp;PRICES!$B$2:$B$659&amp;"|"&amp;PRICES!$D$2:$D$659,PRICES!$E$2:$E$659),"Not Found"))</f>
        <v/>
      </c>
      <c r="Q288" s="100" t="str">
        <f>IF(N288=0,"",SUMIFS(PRICES!$G$2:$G$658,PRICES!$B$2:$B$658,'MAIN TABLE-1 AUTOMATED'!J288,PRICES!$C$2:$C$658,'MAIN TABLE-1 AUTOMATED'!F288,PRICES!$D$2:$D$658,'MAIN TABLE-1 AUTOMATED'!O288))</f>
        <v/>
      </c>
      <c r="R288" s="41" t="str">
        <f>IF(Table1[[#This Row],[QUANTITY]]=0,"",Table1[[#This Row],[UNIT PRICE]]*Table1[[#This Row],[QUANTITY]])</f>
        <v/>
      </c>
      <c r="S288" s="89"/>
      <c r="T288" s="38"/>
      <c r="U288" s="43"/>
      <c r="V288" s="42" t="str">
        <f>IF(Table1[[#This Row],[DATE]]=0,"",YEAR(E288))</f>
        <v/>
      </c>
      <c r="W288" s="40" t="str">
        <f t="shared" si="10"/>
        <v/>
      </c>
      <c r="X288" s="40" t="str">
        <f t="shared" si="11"/>
        <v/>
      </c>
      <c r="Y288" s="40" t="str">
        <f>TEXT(Table1[[#This Row],[YEAR]],"0000")&amp;"-"&amp;Table1[[#This Row],[MONTH]]</f>
        <v>-</v>
      </c>
    </row>
    <row r="289" spans="1:25" ht="18" x14ac:dyDescent="0.35">
      <c r="A289" s="24"/>
      <c r="B289" s="38"/>
      <c r="C289" s="38"/>
      <c r="D289" s="38"/>
      <c r="E289" s="37"/>
      <c r="F289" s="38"/>
      <c r="G289" s="198"/>
      <c r="H289" s="198"/>
      <c r="I289" s="39"/>
      <c r="J289" s="38"/>
      <c r="K289" s="198"/>
      <c r="L289" s="38"/>
      <c r="M289" s="38"/>
      <c r="N289" s="38"/>
      <c r="O289" s="38"/>
      <c r="P289" s="40" t="str" cm="1">
        <f t="array" ref="P289">IF(N289="","",IFERROR(_xlfn.XLOOKUP(F289&amp;"|"&amp;J289&amp;"|"&amp;O289,PRICES!$C$2:$C$659&amp;"|"&amp;PRICES!$B$2:$B$659&amp;"|"&amp;PRICES!$D$2:$D$659,PRICES!$E$2:$E$659),"Not Found"))</f>
        <v/>
      </c>
      <c r="Q289" s="100" t="str">
        <f>IF(N289=0,"",SUMIFS(PRICES!$G$2:$G$658,PRICES!$B$2:$B$658,'MAIN TABLE-1 AUTOMATED'!J289,PRICES!$C$2:$C$658,'MAIN TABLE-1 AUTOMATED'!F289,PRICES!$D$2:$D$658,'MAIN TABLE-1 AUTOMATED'!O289))</f>
        <v/>
      </c>
      <c r="R289" s="41" t="str">
        <f>IF(Table1[[#This Row],[QUANTITY]]=0,"",Table1[[#This Row],[UNIT PRICE]]*Table1[[#This Row],[QUANTITY]])</f>
        <v/>
      </c>
      <c r="S289" s="89"/>
      <c r="T289" s="38"/>
      <c r="U289" s="43"/>
      <c r="V289" s="42" t="str">
        <f>IF(Table1[[#This Row],[DATE]]=0,"",YEAR(E289))</f>
        <v/>
      </c>
      <c r="W289" s="40" t="str">
        <f t="shared" si="10"/>
        <v/>
      </c>
      <c r="X289" s="40" t="str">
        <f t="shared" si="11"/>
        <v/>
      </c>
      <c r="Y289" s="40" t="str">
        <f>TEXT(Table1[[#This Row],[YEAR]],"0000")&amp;"-"&amp;Table1[[#This Row],[MONTH]]</f>
        <v>-</v>
      </c>
    </row>
    <row r="290" spans="1:25" ht="18" x14ac:dyDescent="0.35">
      <c r="A290" s="24"/>
      <c r="B290" s="38"/>
      <c r="C290" s="38"/>
      <c r="D290" s="38"/>
      <c r="E290" s="37"/>
      <c r="F290" s="38"/>
      <c r="G290" s="198"/>
      <c r="H290" s="198"/>
      <c r="I290" s="39"/>
      <c r="J290" s="38"/>
      <c r="K290" s="198"/>
      <c r="L290" s="38"/>
      <c r="M290" s="38"/>
      <c r="N290" s="38"/>
      <c r="O290" s="38"/>
      <c r="P290" s="40" t="str" cm="1">
        <f t="array" ref="P290">IF(N290="","",IFERROR(_xlfn.XLOOKUP(F290&amp;"|"&amp;J290&amp;"|"&amp;O290,PRICES!$C$2:$C$659&amp;"|"&amp;PRICES!$B$2:$B$659&amp;"|"&amp;PRICES!$D$2:$D$659,PRICES!$E$2:$E$659),"Not Found"))</f>
        <v/>
      </c>
      <c r="Q290" s="100" t="str">
        <f>IF(N290=0,"",SUMIFS(PRICES!$G$2:$G$658,PRICES!$B$2:$B$658,'MAIN TABLE-1 AUTOMATED'!J290,PRICES!$C$2:$C$658,'MAIN TABLE-1 AUTOMATED'!F290,PRICES!$D$2:$D$658,'MAIN TABLE-1 AUTOMATED'!O290))</f>
        <v/>
      </c>
      <c r="R290" s="41" t="str">
        <f>IF(Table1[[#This Row],[QUANTITY]]=0,"",Table1[[#This Row],[UNIT PRICE]]*Table1[[#This Row],[QUANTITY]])</f>
        <v/>
      </c>
      <c r="S290" s="89"/>
      <c r="T290" s="38"/>
      <c r="U290" s="43"/>
      <c r="V290" s="42" t="str">
        <f>IF(Table1[[#This Row],[DATE]]=0,"",YEAR(E290))</f>
        <v/>
      </c>
      <c r="W290" s="40" t="str">
        <f t="shared" si="10"/>
        <v/>
      </c>
      <c r="X290" s="40" t="str">
        <f t="shared" si="11"/>
        <v/>
      </c>
      <c r="Y290" s="40" t="str">
        <f>TEXT(Table1[[#This Row],[YEAR]],"0000")&amp;"-"&amp;Table1[[#This Row],[MONTH]]</f>
        <v>-</v>
      </c>
    </row>
    <row r="291" spans="1:25" ht="18" x14ac:dyDescent="0.35">
      <c r="A291" s="24"/>
      <c r="B291" s="38"/>
      <c r="C291" s="38"/>
      <c r="D291" s="38"/>
      <c r="E291" s="37"/>
      <c r="F291" s="38"/>
      <c r="G291" s="198"/>
      <c r="H291" s="198"/>
      <c r="I291" s="39"/>
      <c r="J291" s="38"/>
      <c r="K291" s="198"/>
      <c r="L291" s="38"/>
      <c r="M291" s="38"/>
      <c r="N291" s="38"/>
      <c r="O291" s="38"/>
      <c r="P291" s="40" t="str" cm="1">
        <f t="array" ref="P291">IF(N291="","",IFERROR(_xlfn.XLOOKUP(F291&amp;"|"&amp;J291&amp;"|"&amp;O291,PRICES!$C$2:$C$659&amp;"|"&amp;PRICES!$B$2:$B$659&amp;"|"&amp;PRICES!$D$2:$D$659,PRICES!$E$2:$E$659),"Not Found"))</f>
        <v/>
      </c>
      <c r="Q291" s="100" t="str">
        <f>IF(N291=0,"",SUMIFS(PRICES!$G$2:$G$658,PRICES!$B$2:$B$658,'MAIN TABLE-1 AUTOMATED'!J291,PRICES!$C$2:$C$658,'MAIN TABLE-1 AUTOMATED'!F291,PRICES!$D$2:$D$658,'MAIN TABLE-1 AUTOMATED'!O291))</f>
        <v/>
      </c>
      <c r="R291" s="41" t="str">
        <f>IF(Table1[[#This Row],[QUANTITY]]=0,"",Table1[[#This Row],[UNIT PRICE]]*Table1[[#This Row],[QUANTITY]])</f>
        <v/>
      </c>
      <c r="S291" s="89"/>
      <c r="T291" s="38"/>
      <c r="U291" s="43"/>
      <c r="V291" s="42" t="str">
        <f>IF(Table1[[#This Row],[DATE]]=0,"",YEAR(E291))</f>
        <v/>
      </c>
      <c r="W291" s="40" t="str">
        <f t="shared" si="10"/>
        <v/>
      </c>
      <c r="X291" s="40" t="str">
        <f t="shared" si="11"/>
        <v/>
      </c>
      <c r="Y291" s="40" t="str">
        <f>TEXT(Table1[[#This Row],[YEAR]],"0000")&amp;"-"&amp;Table1[[#This Row],[MONTH]]</f>
        <v>-</v>
      </c>
    </row>
    <row r="292" spans="1:25" ht="18" x14ac:dyDescent="0.35">
      <c r="A292" s="24"/>
      <c r="B292" s="38"/>
      <c r="C292" s="38"/>
      <c r="D292" s="38"/>
      <c r="E292" s="37"/>
      <c r="F292" s="38"/>
      <c r="G292" s="198"/>
      <c r="H292" s="198"/>
      <c r="I292" s="39"/>
      <c r="J292" s="38"/>
      <c r="K292" s="198"/>
      <c r="L292" s="38"/>
      <c r="M292" s="38"/>
      <c r="N292" s="38"/>
      <c r="O292" s="38"/>
      <c r="P292" s="40" t="str" cm="1">
        <f t="array" ref="P292">IF(N292="","",IFERROR(_xlfn.XLOOKUP(F292&amp;"|"&amp;J292&amp;"|"&amp;O292,PRICES!$C$2:$C$659&amp;"|"&amp;PRICES!$B$2:$B$659&amp;"|"&amp;PRICES!$D$2:$D$659,PRICES!$E$2:$E$659),"Not Found"))</f>
        <v/>
      </c>
      <c r="Q292" s="100" t="str">
        <f>IF(N292=0,"",SUMIFS(PRICES!$G$2:$G$658,PRICES!$B$2:$B$658,'MAIN TABLE-1 AUTOMATED'!J292,PRICES!$C$2:$C$658,'MAIN TABLE-1 AUTOMATED'!F292,PRICES!$D$2:$D$658,'MAIN TABLE-1 AUTOMATED'!O292))</f>
        <v/>
      </c>
      <c r="R292" s="41" t="str">
        <f>IF(Table1[[#This Row],[QUANTITY]]=0,"",Table1[[#This Row],[UNIT PRICE]]*Table1[[#This Row],[QUANTITY]])</f>
        <v/>
      </c>
      <c r="S292" s="89"/>
      <c r="T292" s="38"/>
      <c r="U292" s="43"/>
      <c r="V292" s="42" t="str">
        <f>IF(Table1[[#This Row],[DATE]]=0,"",YEAR(E292))</f>
        <v/>
      </c>
      <c r="W292" s="40" t="str">
        <f t="shared" si="10"/>
        <v/>
      </c>
      <c r="X292" s="40" t="str">
        <f t="shared" si="11"/>
        <v/>
      </c>
      <c r="Y292" s="40" t="str">
        <f>TEXT(Table1[[#This Row],[YEAR]],"0000")&amp;"-"&amp;Table1[[#This Row],[MONTH]]</f>
        <v>-</v>
      </c>
    </row>
    <row r="293" spans="1:25" ht="18" x14ac:dyDescent="0.35">
      <c r="A293" s="24"/>
      <c r="B293" s="38"/>
      <c r="C293" s="38"/>
      <c r="D293" s="38"/>
      <c r="E293" s="37"/>
      <c r="F293" s="38"/>
      <c r="G293" s="198"/>
      <c r="H293" s="198"/>
      <c r="I293" s="39"/>
      <c r="J293" s="38"/>
      <c r="K293" s="198"/>
      <c r="L293" s="38"/>
      <c r="M293" s="38"/>
      <c r="N293" s="38"/>
      <c r="O293" s="38"/>
      <c r="P293" s="40" t="str" cm="1">
        <f t="array" ref="P293">IF(N293="","",IFERROR(_xlfn.XLOOKUP(F293&amp;"|"&amp;J293&amp;"|"&amp;O293,PRICES!$C$2:$C$659&amp;"|"&amp;PRICES!$B$2:$B$659&amp;"|"&amp;PRICES!$D$2:$D$659,PRICES!$E$2:$E$659),"Not Found"))</f>
        <v/>
      </c>
      <c r="Q293" s="100" t="str">
        <f>IF(N293=0,"",SUMIFS(PRICES!$G$2:$G$658,PRICES!$B$2:$B$658,'MAIN TABLE-1 AUTOMATED'!J293,PRICES!$C$2:$C$658,'MAIN TABLE-1 AUTOMATED'!F293,PRICES!$D$2:$D$658,'MAIN TABLE-1 AUTOMATED'!O293))</f>
        <v/>
      </c>
      <c r="R293" s="41" t="str">
        <f>IF(Table1[[#This Row],[QUANTITY]]=0,"",Table1[[#This Row],[UNIT PRICE]]*Table1[[#This Row],[QUANTITY]])</f>
        <v/>
      </c>
      <c r="S293" s="89"/>
      <c r="T293" s="38"/>
      <c r="U293" s="43"/>
      <c r="V293" s="42" t="str">
        <f>IF(Table1[[#This Row],[DATE]]=0,"",YEAR(E293))</f>
        <v/>
      </c>
      <c r="W293" s="40" t="str">
        <f t="shared" si="10"/>
        <v/>
      </c>
      <c r="X293" s="40" t="str">
        <f t="shared" si="11"/>
        <v/>
      </c>
      <c r="Y293" s="40" t="str">
        <f>TEXT(Table1[[#This Row],[YEAR]],"0000")&amp;"-"&amp;Table1[[#This Row],[MONTH]]</f>
        <v>-</v>
      </c>
    </row>
    <row r="294" spans="1:25" ht="18" x14ac:dyDescent="0.35">
      <c r="A294" s="24"/>
      <c r="B294" s="36"/>
      <c r="C294" s="36"/>
      <c r="D294" s="36"/>
      <c r="E294" s="37"/>
      <c r="F294" s="38"/>
      <c r="G294" s="198"/>
      <c r="H294" s="198"/>
      <c r="I294" s="39"/>
      <c r="J294" s="38"/>
      <c r="K294" s="198"/>
      <c r="L294" s="38"/>
      <c r="M294" s="38"/>
      <c r="N294" s="38"/>
      <c r="O294" s="38"/>
      <c r="P294" s="40" t="str" cm="1">
        <f t="array" ref="P294">IF(N294="","",IFERROR(_xlfn.XLOOKUP(F294&amp;"|"&amp;J294&amp;"|"&amp;O294,PRICES!$C$2:$C$659&amp;"|"&amp;PRICES!$B$2:$B$659&amp;"|"&amp;PRICES!$D$2:$D$659,PRICES!$E$2:$E$659),"Not Found"))</f>
        <v/>
      </c>
      <c r="Q294" s="100" t="str">
        <f>IF(N294=0,"",SUMIFS(PRICES!$G$2:$G$658,PRICES!$B$2:$B$658,'MAIN TABLE-1 AUTOMATED'!J294,PRICES!$C$2:$C$658,'MAIN TABLE-1 AUTOMATED'!F294,PRICES!$D$2:$D$658,'MAIN TABLE-1 AUTOMATED'!O294))</f>
        <v/>
      </c>
      <c r="R294" s="41" t="str">
        <f>IF(Table1[[#This Row],[QUANTITY]]=0,"",Table1[[#This Row],[UNIT PRICE]]*Table1[[#This Row],[QUANTITY]])</f>
        <v/>
      </c>
      <c r="S294" s="89"/>
      <c r="T294" s="38"/>
      <c r="U294" s="43"/>
      <c r="V294" s="42" t="str">
        <f>IF(Table1[[#This Row],[DATE]]=0,"",YEAR(E294))</f>
        <v/>
      </c>
      <c r="W294" s="40" t="str">
        <f t="shared" si="10"/>
        <v/>
      </c>
      <c r="X294" s="40" t="str">
        <f t="shared" si="11"/>
        <v/>
      </c>
      <c r="Y294" s="40" t="str">
        <f>TEXT(Table1[[#This Row],[YEAR]],"0000")&amp;"-"&amp;Table1[[#This Row],[MONTH]]</f>
        <v>-</v>
      </c>
    </row>
    <row r="295" spans="1:25" ht="18" x14ac:dyDescent="0.35">
      <c r="A295" s="24"/>
      <c r="B295" s="38"/>
      <c r="C295" s="38"/>
      <c r="D295" s="38"/>
      <c r="E295" s="37"/>
      <c r="F295" s="38"/>
      <c r="G295" s="198"/>
      <c r="H295" s="198"/>
      <c r="I295" s="39"/>
      <c r="J295" s="38"/>
      <c r="K295" s="198"/>
      <c r="L295" s="38"/>
      <c r="M295" s="38"/>
      <c r="N295" s="38"/>
      <c r="O295" s="38"/>
      <c r="P295" s="40" t="str" cm="1">
        <f t="array" ref="P295">IF(N295="","",IFERROR(_xlfn.XLOOKUP(F295&amp;"|"&amp;J295&amp;"|"&amp;O295,PRICES!$C$2:$C$659&amp;"|"&amp;PRICES!$B$2:$B$659&amp;"|"&amp;PRICES!$D$2:$D$659,PRICES!$E$2:$E$659),"Not Found"))</f>
        <v/>
      </c>
      <c r="Q295" s="100" t="str">
        <f>IF(N295=0,"",SUMIFS(PRICES!$G$2:$G$658,PRICES!$B$2:$B$658,'MAIN TABLE-1 AUTOMATED'!J295,PRICES!$C$2:$C$658,'MAIN TABLE-1 AUTOMATED'!F295,PRICES!$D$2:$D$658,'MAIN TABLE-1 AUTOMATED'!O295))</f>
        <v/>
      </c>
      <c r="R295" s="41" t="str">
        <f>IF(Table1[[#This Row],[QUANTITY]]=0,"",Table1[[#This Row],[UNIT PRICE]]*Table1[[#This Row],[QUANTITY]])</f>
        <v/>
      </c>
      <c r="S295" s="89"/>
      <c r="T295" s="38"/>
      <c r="U295" s="43"/>
      <c r="V295" s="42" t="str">
        <f>IF(Table1[[#This Row],[DATE]]=0,"",YEAR(E295))</f>
        <v/>
      </c>
      <c r="W295" s="40" t="str">
        <f t="shared" si="10"/>
        <v/>
      </c>
      <c r="X295" s="40" t="str">
        <f t="shared" si="11"/>
        <v/>
      </c>
      <c r="Y295" s="40" t="str">
        <f>TEXT(Table1[[#This Row],[YEAR]],"0000")&amp;"-"&amp;Table1[[#This Row],[MONTH]]</f>
        <v>-</v>
      </c>
    </row>
    <row r="296" spans="1:25" ht="18" x14ac:dyDescent="0.35">
      <c r="A296" s="24"/>
      <c r="B296" s="38"/>
      <c r="C296" s="38"/>
      <c r="D296" s="38"/>
      <c r="E296" s="37"/>
      <c r="F296" s="38"/>
      <c r="G296" s="198"/>
      <c r="H296" s="198"/>
      <c r="I296" s="39"/>
      <c r="J296" s="38"/>
      <c r="K296" s="198"/>
      <c r="L296" s="38"/>
      <c r="M296" s="38"/>
      <c r="N296" s="38"/>
      <c r="O296" s="38"/>
      <c r="P296" s="40" t="str" cm="1">
        <f t="array" ref="P296">IF(N296="","",IFERROR(_xlfn.XLOOKUP(F296&amp;"|"&amp;J296&amp;"|"&amp;O296,PRICES!$C$2:$C$659&amp;"|"&amp;PRICES!$B$2:$B$659&amp;"|"&amp;PRICES!$D$2:$D$659,PRICES!$E$2:$E$659),"Not Found"))</f>
        <v/>
      </c>
      <c r="Q296" s="100" t="str">
        <f>IF(N296=0,"",SUMIFS(PRICES!$G$2:$G$658,PRICES!$B$2:$B$658,'MAIN TABLE-1 AUTOMATED'!J296,PRICES!$C$2:$C$658,'MAIN TABLE-1 AUTOMATED'!F296,PRICES!$D$2:$D$658,'MAIN TABLE-1 AUTOMATED'!O296))</f>
        <v/>
      </c>
      <c r="R296" s="41" t="str">
        <f>IF(Table1[[#This Row],[QUANTITY]]=0,"",Table1[[#This Row],[UNIT PRICE]]*Table1[[#This Row],[QUANTITY]])</f>
        <v/>
      </c>
      <c r="S296" s="89"/>
      <c r="T296" s="38"/>
      <c r="U296" s="43"/>
      <c r="V296" s="42" t="str">
        <f>IF(Table1[[#This Row],[DATE]]=0,"",YEAR(E296))</f>
        <v/>
      </c>
      <c r="W296" s="40" t="str">
        <f t="shared" si="10"/>
        <v/>
      </c>
      <c r="X296" s="40" t="str">
        <f t="shared" si="11"/>
        <v/>
      </c>
      <c r="Y296" s="40" t="str">
        <f>TEXT(Table1[[#This Row],[YEAR]],"0000")&amp;"-"&amp;Table1[[#This Row],[MONTH]]</f>
        <v>-</v>
      </c>
    </row>
    <row r="297" spans="1:25" ht="18" x14ac:dyDescent="0.35">
      <c r="A297" s="24"/>
      <c r="B297" s="38"/>
      <c r="C297" s="38"/>
      <c r="D297" s="38"/>
      <c r="E297" s="37"/>
      <c r="F297" s="38"/>
      <c r="G297" s="198"/>
      <c r="H297" s="198"/>
      <c r="I297" s="39"/>
      <c r="J297" s="38"/>
      <c r="K297" s="198"/>
      <c r="L297" s="38"/>
      <c r="M297" s="38"/>
      <c r="N297" s="38"/>
      <c r="O297" s="38"/>
      <c r="P297" s="40" t="str" cm="1">
        <f t="array" ref="P297">IF(N297="","",IFERROR(_xlfn.XLOOKUP(F297&amp;"|"&amp;J297&amp;"|"&amp;O297,PRICES!$C$2:$C$659&amp;"|"&amp;PRICES!$B$2:$B$659&amp;"|"&amp;PRICES!$D$2:$D$659,PRICES!$E$2:$E$659),"Not Found"))</f>
        <v/>
      </c>
      <c r="Q297" s="100" t="str">
        <f>IF(N297=0,"",SUMIFS(PRICES!$G$2:$G$658,PRICES!$B$2:$B$658,'MAIN TABLE-1 AUTOMATED'!J297,PRICES!$C$2:$C$658,'MAIN TABLE-1 AUTOMATED'!F297,PRICES!$D$2:$D$658,'MAIN TABLE-1 AUTOMATED'!O297))</f>
        <v/>
      </c>
      <c r="R297" s="41" t="str">
        <f>IF(Table1[[#This Row],[QUANTITY]]=0,"",Table1[[#This Row],[UNIT PRICE]]*Table1[[#This Row],[QUANTITY]])</f>
        <v/>
      </c>
      <c r="S297" s="89"/>
      <c r="T297" s="38"/>
      <c r="U297" s="43"/>
      <c r="V297" s="42" t="str">
        <f>IF(Table1[[#This Row],[DATE]]=0,"",YEAR(E297))</f>
        <v/>
      </c>
      <c r="W297" s="40" t="str">
        <f t="shared" si="10"/>
        <v/>
      </c>
      <c r="X297" s="40" t="str">
        <f t="shared" si="11"/>
        <v/>
      </c>
      <c r="Y297" s="40" t="str">
        <f>TEXT(Table1[[#This Row],[YEAR]],"0000")&amp;"-"&amp;Table1[[#This Row],[MONTH]]</f>
        <v>-</v>
      </c>
    </row>
    <row r="298" spans="1:25" ht="18" x14ac:dyDescent="0.35">
      <c r="A298" s="24"/>
      <c r="B298" s="38"/>
      <c r="C298" s="38"/>
      <c r="D298" s="38"/>
      <c r="E298" s="37"/>
      <c r="F298" s="38"/>
      <c r="G298" s="198"/>
      <c r="H298" s="198"/>
      <c r="I298" s="39"/>
      <c r="J298" s="38"/>
      <c r="K298" s="198"/>
      <c r="L298" s="38"/>
      <c r="M298" s="38"/>
      <c r="N298" s="38"/>
      <c r="O298" s="38"/>
      <c r="P298" s="40" t="str" cm="1">
        <f t="array" ref="P298">IF(N298="","",IFERROR(_xlfn.XLOOKUP(F298&amp;"|"&amp;J298&amp;"|"&amp;O298,PRICES!$C$2:$C$659&amp;"|"&amp;PRICES!$B$2:$B$659&amp;"|"&amp;PRICES!$D$2:$D$659,PRICES!$E$2:$E$659),"Not Found"))</f>
        <v/>
      </c>
      <c r="Q298" s="100" t="str">
        <f>IF(N298=0,"",SUMIFS(PRICES!$G$2:$G$658,PRICES!$B$2:$B$658,'MAIN TABLE-1 AUTOMATED'!J298,PRICES!$C$2:$C$658,'MAIN TABLE-1 AUTOMATED'!F298,PRICES!$D$2:$D$658,'MAIN TABLE-1 AUTOMATED'!O298))</f>
        <v/>
      </c>
      <c r="R298" s="41" t="str">
        <f>IF(Table1[[#This Row],[QUANTITY]]=0,"",Table1[[#This Row],[UNIT PRICE]]*Table1[[#This Row],[QUANTITY]])</f>
        <v/>
      </c>
      <c r="S298" s="89"/>
      <c r="T298" s="38"/>
      <c r="U298" s="43"/>
      <c r="V298" s="42" t="str">
        <f>IF(Table1[[#This Row],[DATE]]=0,"",YEAR(E298))</f>
        <v/>
      </c>
      <c r="W298" s="40" t="str">
        <f t="shared" si="10"/>
        <v/>
      </c>
      <c r="X298" s="40" t="str">
        <f t="shared" si="11"/>
        <v/>
      </c>
      <c r="Y298" s="40" t="str">
        <f>TEXT(Table1[[#This Row],[YEAR]],"0000")&amp;"-"&amp;Table1[[#This Row],[MONTH]]</f>
        <v>-</v>
      </c>
    </row>
    <row r="299" spans="1:25" ht="18" x14ac:dyDescent="0.35">
      <c r="A299" s="24"/>
      <c r="B299" s="38"/>
      <c r="C299" s="38"/>
      <c r="D299" s="38"/>
      <c r="E299" s="37"/>
      <c r="F299" s="38"/>
      <c r="G299" s="198"/>
      <c r="H299" s="198"/>
      <c r="I299" s="39"/>
      <c r="J299" s="38"/>
      <c r="K299" s="198"/>
      <c r="L299" s="38"/>
      <c r="M299" s="38"/>
      <c r="N299" s="38"/>
      <c r="O299" s="38"/>
      <c r="P299" s="40" t="str" cm="1">
        <f t="array" ref="P299">IF(N299="","",IFERROR(_xlfn.XLOOKUP(F299&amp;"|"&amp;J299&amp;"|"&amp;O299,PRICES!$C$2:$C$659&amp;"|"&amp;PRICES!$B$2:$B$659&amp;"|"&amp;PRICES!$D$2:$D$659,PRICES!$E$2:$E$659),"Not Found"))</f>
        <v/>
      </c>
      <c r="Q299" s="100" t="str">
        <f>IF(N299=0,"",SUMIFS(PRICES!$G$2:$G$658,PRICES!$B$2:$B$658,'MAIN TABLE-1 AUTOMATED'!J299,PRICES!$C$2:$C$658,'MAIN TABLE-1 AUTOMATED'!F299,PRICES!$D$2:$D$658,'MAIN TABLE-1 AUTOMATED'!O299))</f>
        <v/>
      </c>
      <c r="R299" s="41" t="str">
        <f>IF(Table1[[#This Row],[QUANTITY]]=0,"",Table1[[#This Row],[UNIT PRICE]]*Table1[[#This Row],[QUANTITY]])</f>
        <v/>
      </c>
      <c r="S299" s="89"/>
      <c r="T299" s="38"/>
      <c r="U299" s="43"/>
      <c r="V299" s="42" t="str">
        <f>IF(Table1[[#This Row],[DATE]]=0,"",YEAR(E299))</f>
        <v/>
      </c>
      <c r="W299" s="40" t="str">
        <f t="shared" si="10"/>
        <v/>
      </c>
      <c r="X299" s="40" t="str">
        <f t="shared" si="11"/>
        <v/>
      </c>
      <c r="Y299" s="40" t="str">
        <f>TEXT(Table1[[#This Row],[YEAR]],"0000")&amp;"-"&amp;Table1[[#This Row],[MONTH]]</f>
        <v>-</v>
      </c>
    </row>
    <row r="300" spans="1:25" ht="18" x14ac:dyDescent="0.35">
      <c r="A300" s="24"/>
      <c r="B300" s="36"/>
      <c r="C300" s="36"/>
      <c r="D300" s="36"/>
      <c r="E300" s="37"/>
      <c r="F300" s="38"/>
      <c r="G300" s="198"/>
      <c r="H300" s="198"/>
      <c r="I300" s="39"/>
      <c r="J300" s="38"/>
      <c r="K300" s="198"/>
      <c r="L300" s="38"/>
      <c r="M300" s="38"/>
      <c r="N300" s="38"/>
      <c r="O300" s="38"/>
      <c r="P300" s="40" t="str" cm="1">
        <f t="array" ref="P300">IF(N300="","",IFERROR(_xlfn.XLOOKUP(F300&amp;"|"&amp;J300&amp;"|"&amp;O300,PRICES!$C$2:$C$659&amp;"|"&amp;PRICES!$B$2:$B$659&amp;"|"&amp;PRICES!$D$2:$D$659,PRICES!$E$2:$E$659),"Not Found"))</f>
        <v/>
      </c>
      <c r="Q300" s="100" t="str">
        <f>IF(N300=0,"",SUMIFS(PRICES!$G$2:$G$658,PRICES!$B$2:$B$658,'MAIN TABLE-1 AUTOMATED'!J300,PRICES!$C$2:$C$658,'MAIN TABLE-1 AUTOMATED'!F300,PRICES!$D$2:$D$658,'MAIN TABLE-1 AUTOMATED'!O300))</f>
        <v/>
      </c>
      <c r="R300" s="41" t="str">
        <f>IF(Table1[[#This Row],[QUANTITY]]=0,"",Table1[[#This Row],[UNIT PRICE]]*Table1[[#This Row],[QUANTITY]])</f>
        <v/>
      </c>
      <c r="S300" s="89"/>
      <c r="T300" s="38"/>
      <c r="U300" s="43"/>
      <c r="V300" s="42" t="str">
        <f>IF(Table1[[#This Row],[DATE]]=0,"",YEAR(E300))</f>
        <v/>
      </c>
      <c r="W300" s="40" t="str">
        <f t="shared" si="10"/>
        <v/>
      </c>
      <c r="X300" s="40" t="str">
        <f t="shared" si="11"/>
        <v/>
      </c>
      <c r="Y300" s="40" t="str">
        <f>TEXT(Table1[[#This Row],[YEAR]],"0000")&amp;"-"&amp;Table1[[#This Row],[MONTH]]</f>
        <v>-</v>
      </c>
    </row>
    <row r="301" spans="1:25" ht="18" x14ac:dyDescent="0.35">
      <c r="A301" s="24"/>
      <c r="B301" s="38"/>
      <c r="C301" s="38"/>
      <c r="D301" s="38"/>
      <c r="E301" s="37"/>
      <c r="F301" s="38"/>
      <c r="G301" s="198"/>
      <c r="H301" s="198"/>
      <c r="I301" s="39"/>
      <c r="J301" s="38"/>
      <c r="K301" s="198"/>
      <c r="L301" s="38"/>
      <c r="M301" s="38"/>
      <c r="N301" s="38"/>
      <c r="O301" s="38"/>
      <c r="P301" s="40" t="str" cm="1">
        <f t="array" ref="P301">IF(N301="","",IFERROR(_xlfn.XLOOKUP(F301&amp;"|"&amp;J301&amp;"|"&amp;O301,PRICES!$C$2:$C$659&amp;"|"&amp;PRICES!$B$2:$B$659&amp;"|"&amp;PRICES!$D$2:$D$659,PRICES!$E$2:$E$659),"Not Found"))</f>
        <v/>
      </c>
      <c r="Q301" s="100" t="str">
        <f>IF(N301=0,"",SUMIFS(PRICES!$G$2:$G$658,PRICES!$B$2:$B$658,'MAIN TABLE-1 AUTOMATED'!J301,PRICES!$C$2:$C$658,'MAIN TABLE-1 AUTOMATED'!F301,PRICES!$D$2:$D$658,'MAIN TABLE-1 AUTOMATED'!O301))</f>
        <v/>
      </c>
      <c r="R301" s="41" t="str">
        <f>IF(Table1[[#This Row],[QUANTITY]]=0,"",Table1[[#This Row],[UNIT PRICE]]*Table1[[#This Row],[QUANTITY]])</f>
        <v/>
      </c>
      <c r="S301" s="89"/>
      <c r="T301" s="38"/>
      <c r="U301" s="43"/>
      <c r="V301" s="42" t="str">
        <f>IF(Table1[[#This Row],[DATE]]=0,"",YEAR(E301))</f>
        <v/>
      </c>
      <c r="W301" s="40" t="str">
        <f t="shared" si="10"/>
        <v/>
      </c>
      <c r="X301" s="40" t="str">
        <f t="shared" si="11"/>
        <v/>
      </c>
      <c r="Y301" s="40" t="str">
        <f>TEXT(Table1[[#This Row],[YEAR]],"0000")&amp;"-"&amp;Table1[[#This Row],[MONTH]]</f>
        <v>-</v>
      </c>
    </row>
    <row r="302" spans="1:25" ht="18" x14ac:dyDescent="0.35">
      <c r="A302" s="24"/>
      <c r="B302" s="38"/>
      <c r="C302" s="38"/>
      <c r="D302" s="38"/>
      <c r="E302" s="37"/>
      <c r="F302" s="38"/>
      <c r="G302" s="198"/>
      <c r="H302" s="198"/>
      <c r="I302" s="39"/>
      <c r="J302" s="38"/>
      <c r="K302" s="198"/>
      <c r="L302" s="38"/>
      <c r="M302" s="38"/>
      <c r="N302" s="38"/>
      <c r="O302" s="38"/>
      <c r="P302" s="40" t="str" cm="1">
        <f t="array" ref="P302">IF(N302="","",IFERROR(_xlfn.XLOOKUP(F302&amp;"|"&amp;J302&amp;"|"&amp;O302,PRICES!$C$2:$C$659&amp;"|"&amp;PRICES!$B$2:$B$659&amp;"|"&amp;PRICES!$D$2:$D$659,PRICES!$E$2:$E$659),"Not Found"))</f>
        <v/>
      </c>
      <c r="Q302" s="100" t="str">
        <f>IF(N302=0,"",SUMIFS(PRICES!$G$2:$G$658,PRICES!$B$2:$B$658,'MAIN TABLE-1 AUTOMATED'!J302,PRICES!$C$2:$C$658,'MAIN TABLE-1 AUTOMATED'!F302,PRICES!$D$2:$D$658,'MAIN TABLE-1 AUTOMATED'!O302))</f>
        <v/>
      </c>
      <c r="R302" s="41" t="str">
        <f>IF(Table1[[#This Row],[QUANTITY]]=0,"",Table1[[#This Row],[UNIT PRICE]]*Table1[[#This Row],[QUANTITY]])</f>
        <v/>
      </c>
      <c r="S302" s="89"/>
      <c r="T302" s="38"/>
      <c r="U302" s="43"/>
      <c r="V302" s="42" t="str">
        <f>IF(Table1[[#This Row],[DATE]]=0,"",YEAR(E302))</f>
        <v/>
      </c>
      <c r="W302" s="40" t="str">
        <f t="shared" si="10"/>
        <v/>
      </c>
      <c r="X302" s="40" t="str">
        <f t="shared" si="11"/>
        <v/>
      </c>
      <c r="Y302" s="40" t="str">
        <f>TEXT(Table1[[#This Row],[YEAR]],"0000")&amp;"-"&amp;Table1[[#This Row],[MONTH]]</f>
        <v>-</v>
      </c>
    </row>
    <row r="303" spans="1:25" ht="18" x14ac:dyDescent="0.35">
      <c r="A303" s="24"/>
      <c r="B303" s="38"/>
      <c r="C303" s="38"/>
      <c r="D303" s="38"/>
      <c r="E303" s="37"/>
      <c r="F303" s="38"/>
      <c r="G303" s="198"/>
      <c r="H303" s="198"/>
      <c r="I303" s="39"/>
      <c r="J303" s="38"/>
      <c r="K303" s="198"/>
      <c r="L303" s="38"/>
      <c r="M303" s="38"/>
      <c r="N303" s="38"/>
      <c r="O303" s="38"/>
      <c r="P303" s="40" t="str" cm="1">
        <f t="array" ref="P303">IF(N303="","",IFERROR(_xlfn.XLOOKUP(F303&amp;"|"&amp;J303&amp;"|"&amp;O303,PRICES!$C$2:$C$659&amp;"|"&amp;PRICES!$B$2:$B$659&amp;"|"&amp;PRICES!$D$2:$D$659,PRICES!$E$2:$E$659),"Not Found"))</f>
        <v/>
      </c>
      <c r="Q303" s="100" t="str">
        <f>IF(N303=0,"",SUMIFS(PRICES!$G$2:$G$658,PRICES!$B$2:$B$658,'MAIN TABLE-1 AUTOMATED'!J303,PRICES!$C$2:$C$658,'MAIN TABLE-1 AUTOMATED'!F303,PRICES!$D$2:$D$658,'MAIN TABLE-1 AUTOMATED'!O303))</f>
        <v/>
      </c>
      <c r="R303" s="41" t="str">
        <f>IF(Table1[[#This Row],[QUANTITY]]=0,"",Table1[[#This Row],[UNIT PRICE]]*Table1[[#This Row],[QUANTITY]])</f>
        <v/>
      </c>
      <c r="S303" s="89"/>
      <c r="T303" s="38"/>
      <c r="U303" s="43"/>
      <c r="V303" s="42" t="str">
        <f>IF(Table1[[#This Row],[DATE]]=0,"",YEAR(E303))</f>
        <v/>
      </c>
      <c r="W303" s="40" t="str">
        <f t="shared" si="10"/>
        <v/>
      </c>
      <c r="X303" s="40" t="str">
        <f t="shared" si="11"/>
        <v/>
      </c>
      <c r="Y303" s="40" t="str">
        <f>TEXT(Table1[[#This Row],[YEAR]],"0000")&amp;"-"&amp;Table1[[#This Row],[MONTH]]</f>
        <v>-</v>
      </c>
    </row>
    <row r="304" spans="1:25" ht="18" x14ac:dyDescent="0.35">
      <c r="A304" s="24"/>
      <c r="B304" s="38"/>
      <c r="C304" s="38"/>
      <c r="D304" s="38"/>
      <c r="E304" s="37"/>
      <c r="F304" s="38"/>
      <c r="G304" s="198"/>
      <c r="H304" s="198"/>
      <c r="I304" s="39"/>
      <c r="J304" s="38"/>
      <c r="K304" s="198"/>
      <c r="L304" s="38"/>
      <c r="M304" s="38"/>
      <c r="N304" s="38"/>
      <c r="O304" s="38"/>
      <c r="P304" s="40" t="str" cm="1">
        <f t="array" ref="P304">IF(N304="","",IFERROR(_xlfn.XLOOKUP(F304&amp;"|"&amp;J304&amp;"|"&amp;O304,PRICES!$C$2:$C$659&amp;"|"&amp;PRICES!$B$2:$B$659&amp;"|"&amp;PRICES!$D$2:$D$659,PRICES!$E$2:$E$659),"Not Found"))</f>
        <v/>
      </c>
      <c r="Q304" s="100" t="str">
        <f>IF(N304=0,"",SUMIFS(PRICES!$G$2:$G$658,PRICES!$B$2:$B$658,'MAIN TABLE-1 AUTOMATED'!J304,PRICES!$C$2:$C$658,'MAIN TABLE-1 AUTOMATED'!F304,PRICES!$D$2:$D$658,'MAIN TABLE-1 AUTOMATED'!O304))</f>
        <v/>
      </c>
      <c r="R304" s="41" t="str">
        <f>IF(Table1[[#This Row],[QUANTITY]]=0,"",Table1[[#This Row],[UNIT PRICE]]*Table1[[#This Row],[QUANTITY]])</f>
        <v/>
      </c>
      <c r="S304" s="89"/>
      <c r="T304" s="38"/>
      <c r="U304" s="43"/>
      <c r="V304" s="42" t="str">
        <f>IF(Table1[[#This Row],[DATE]]=0,"",YEAR(E304))</f>
        <v/>
      </c>
      <c r="W304" s="40" t="str">
        <f t="shared" si="10"/>
        <v/>
      </c>
      <c r="X304" s="40" t="str">
        <f t="shared" si="11"/>
        <v/>
      </c>
      <c r="Y304" s="40" t="str">
        <f>TEXT(Table1[[#This Row],[YEAR]],"0000")&amp;"-"&amp;Table1[[#This Row],[MONTH]]</f>
        <v>-</v>
      </c>
    </row>
    <row r="305" spans="1:25" ht="18" x14ac:dyDescent="0.35">
      <c r="A305" s="24"/>
      <c r="B305" s="38"/>
      <c r="C305" s="38"/>
      <c r="D305" s="38"/>
      <c r="E305" s="37"/>
      <c r="F305" s="38"/>
      <c r="G305" s="198"/>
      <c r="H305" s="198"/>
      <c r="I305" s="39"/>
      <c r="J305" s="38"/>
      <c r="K305" s="198"/>
      <c r="L305" s="38"/>
      <c r="M305" s="38"/>
      <c r="N305" s="38"/>
      <c r="O305" s="38"/>
      <c r="P305" s="40" t="str" cm="1">
        <f t="array" ref="P305">IF(N305="","",IFERROR(_xlfn.XLOOKUP(F305&amp;"|"&amp;J305&amp;"|"&amp;O305,PRICES!$C$2:$C$659&amp;"|"&amp;PRICES!$B$2:$B$659&amp;"|"&amp;PRICES!$D$2:$D$659,PRICES!$E$2:$E$659),"Not Found"))</f>
        <v/>
      </c>
      <c r="Q305" s="100" t="str">
        <f>IF(N305=0,"",SUMIFS(PRICES!$G$2:$G$658,PRICES!$B$2:$B$658,'MAIN TABLE-1 AUTOMATED'!J305,PRICES!$C$2:$C$658,'MAIN TABLE-1 AUTOMATED'!F305,PRICES!$D$2:$D$658,'MAIN TABLE-1 AUTOMATED'!O305))</f>
        <v/>
      </c>
      <c r="R305" s="41" t="str">
        <f>IF(Table1[[#This Row],[QUANTITY]]=0,"",Table1[[#This Row],[UNIT PRICE]]*Table1[[#This Row],[QUANTITY]])</f>
        <v/>
      </c>
      <c r="S305" s="89"/>
      <c r="T305" s="38"/>
      <c r="U305" s="43"/>
      <c r="V305" s="42" t="str">
        <f>IF(Table1[[#This Row],[DATE]]=0,"",YEAR(E305))</f>
        <v/>
      </c>
      <c r="W305" s="40" t="str">
        <f t="shared" si="10"/>
        <v/>
      </c>
      <c r="X305" s="40" t="str">
        <f t="shared" si="11"/>
        <v/>
      </c>
      <c r="Y305" s="40" t="str">
        <f>TEXT(Table1[[#This Row],[YEAR]],"0000")&amp;"-"&amp;Table1[[#This Row],[MONTH]]</f>
        <v>-</v>
      </c>
    </row>
    <row r="306" spans="1:25" ht="18" x14ac:dyDescent="0.35">
      <c r="A306" s="24"/>
      <c r="B306" s="38"/>
      <c r="C306" s="38"/>
      <c r="D306" s="38"/>
      <c r="E306" s="37"/>
      <c r="F306" s="38"/>
      <c r="G306" s="198"/>
      <c r="H306" s="198"/>
      <c r="I306" s="39"/>
      <c r="J306" s="38"/>
      <c r="K306" s="198"/>
      <c r="L306" s="38"/>
      <c r="M306" s="38"/>
      <c r="N306" s="38"/>
      <c r="O306" s="38"/>
      <c r="P306" s="40" t="str" cm="1">
        <f t="array" ref="P306">IF(N306="","",IFERROR(_xlfn.XLOOKUP(F306&amp;"|"&amp;J306&amp;"|"&amp;O306,PRICES!$C$2:$C$659&amp;"|"&amp;PRICES!$B$2:$B$659&amp;"|"&amp;PRICES!$D$2:$D$659,PRICES!$E$2:$E$659),"Not Found"))</f>
        <v/>
      </c>
      <c r="Q306" s="100" t="str">
        <f>IF(N306=0,"",SUMIFS(PRICES!$G$2:$G$658,PRICES!$B$2:$B$658,'MAIN TABLE-1 AUTOMATED'!J306,PRICES!$C$2:$C$658,'MAIN TABLE-1 AUTOMATED'!F306,PRICES!$D$2:$D$658,'MAIN TABLE-1 AUTOMATED'!O306))</f>
        <v/>
      </c>
      <c r="R306" s="41" t="str">
        <f>IF(Table1[[#This Row],[QUANTITY]]=0,"",Table1[[#This Row],[UNIT PRICE]]*Table1[[#This Row],[QUANTITY]])</f>
        <v/>
      </c>
      <c r="S306" s="89"/>
      <c r="T306" s="38"/>
      <c r="U306" s="43"/>
      <c r="V306" s="42" t="str">
        <f>IF(Table1[[#This Row],[DATE]]=0,"",YEAR(E306))</f>
        <v/>
      </c>
      <c r="W306" s="40" t="str">
        <f t="shared" si="10"/>
        <v/>
      </c>
      <c r="X306" s="40" t="str">
        <f t="shared" si="11"/>
        <v/>
      </c>
      <c r="Y306" s="40" t="str">
        <f>TEXT(Table1[[#This Row],[YEAR]],"0000")&amp;"-"&amp;Table1[[#This Row],[MONTH]]</f>
        <v>-</v>
      </c>
    </row>
    <row r="307" spans="1:25" ht="18" x14ac:dyDescent="0.35">
      <c r="A307" s="24"/>
      <c r="B307" s="38"/>
      <c r="C307" s="38"/>
      <c r="D307" s="38"/>
      <c r="E307" s="37"/>
      <c r="F307" s="38"/>
      <c r="G307" s="198"/>
      <c r="H307" s="198"/>
      <c r="I307" s="39"/>
      <c r="J307" s="38"/>
      <c r="K307" s="198"/>
      <c r="L307" s="38"/>
      <c r="M307" s="38"/>
      <c r="N307" s="38"/>
      <c r="O307" s="38"/>
      <c r="P307" s="40" t="str" cm="1">
        <f t="array" ref="P307">IF(N307="","",IFERROR(_xlfn.XLOOKUP(F307&amp;"|"&amp;J307&amp;"|"&amp;O307,PRICES!$C$2:$C$659&amp;"|"&amp;PRICES!$B$2:$B$659&amp;"|"&amp;PRICES!$D$2:$D$659,PRICES!$E$2:$E$659),"Not Found"))</f>
        <v/>
      </c>
      <c r="Q307" s="100" t="str">
        <f>IF(N307=0,"",SUMIFS(PRICES!$G$2:$G$658,PRICES!$B$2:$B$658,'MAIN TABLE-1 AUTOMATED'!J307,PRICES!$C$2:$C$658,'MAIN TABLE-1 AUTOMATED'!F307,PRICES!$D$2:$D$658,'MAIN TABLE-1 AUTOMATED'!O307))</f>
        <v/>
      </c>
      <c r="R307" s="41" t="str">
        <f>IF(Table1[[#This Row],[QUANTITY]]=0,"",Table1[[#This Row],[UNIT PRICE]]*Table1[[#This Row],[QUANTITY]])</f>
        <v/>
      </c>
      <c r="S307" s="89"/>
      <c r="T307" s="38"/>
      <c r="U307" s="43"/>
      <c r="V307" s="42" t="str">
        <f>IF(Table1[[#This Row],[DATE]]=0,"",YEAR(E307))</f>
        <v/>
      </c>
      <c r="W307" s="40" t="str">
        <f t="shared" si="10"/>
        <v/>
      </c>
      <c r="X307" s="40" t="str">
        <f t="shared" si="11"/>
        <v/>
      </c>
      <c r="Y307" s="40" t="str">
        <f>TEXT(Table1[[#This Row],[YEAR]],"0000")&amp;"-"&amp;Table1[[#This Row],[MONTH]]</f>
        <v>-</v>
      </c>
    </row>
    <row r="308" spans="1:25" ht="18" x14ac:dyDescent="0.35">
      <c r="A308" s="24"/>
      <c r="B308" s="36"/>
      <c r="C308" s="36"/>
      <c r="D308" s="36"/>
      <c r="E308" s="37"/>
      <c r="F308" s="38"/>
      <c r="G308" s="198"/>
      <c r="H308" s="198"/>
      <c r="I308" s="39"/>
      <c r="J308" s="38"/>
      <c r="K308" s="198"/>
      <c r="L308" s="38"/>
      <c r="M308" s="38"/>
      <c r="N308" s="38"/>
      <c r="O308" s="38"/>
      <c r="P308" s="40" t="str" cm="1">
        <f t="array" ref="P308">IF(N308="","",IFERROR(_xlfn.XLOOKUP(F308&amp;"|"&amp;J308&amp;"|"&amp;O308,PRICES!$C$2:$C$659&amp;"|"&amp;PRICES!$B$2:$B$659&amp;"|"&amp;PRICES!$D$2:$D$659,PRICES!$E$2:$E$659),"Not Found"))</f>
        <v/>
      </c>
      <c r="Q308" s="100" t="str">
        <f>IF(N308=0,"",SUMIFS(PRICES!$G$2:$G$658,PRICES!$B$2:$B$658,'MAIN TABLE-1 AUTOMATED'!J308,PRICES!$C$2:$C$658,'MAIN TABLE-1 AUTOMATED'!F308,PRICES!$D$2:$D$658,'MAIN TABLE-1 AUTOMATED'!O308))</f>
        <v/>
      </c>
      <c r="R308" s="41" t="str">
        <f>IF(Table1[[#This Row],[QUANTITY]]=0,"",Table1[[#This Row],[UNIT PRICE]]*Table1[[#This Row],[QUANTITY]])</f>
        <v/>
      </c>
      <c r="S308" s="89"/>
      <c r="T308" s="38"/>
      <c r="U308" s="43"/>
      <c r="V308" s="42" t="str">
        <f>IF(Table1[[#This Row],[DATE]]=0,"",YEAR(E308))</f>
        <v/>
      </c>
      <c r="W308" s="40" t="str">
        <f t="shared" si="10"/>
        <v/>
      </c>
      <c r="X308" s="40" t="str">
        <f t="shared" si="11"/>
        <v/>
      </c>
      <c r="Y308" s="40" t="str">
        <f>TEXT(Table1[[#This Row],[YEAR]],"0000")&amp;"-"&amp;Table1[[#This Row],[MONTH]]</f>
        <v>-</v>
      </c>
    </row>
    <row r="309" spans="1:25" ht="18" x14ac:dyDescent="0.35">
      <c r="A309" s="24"/>
      <c r="B309" s="38"/>
      <c r="C309" s="38"/>
      <c r="D309" s="38"/>
      <c r="E309" s="37"/>
      <c r="F309" s="38"/>
      <c r="G309" s="198"/>
      <c r="H309" s="198"/>
      <c r="I309" s="39"/>
      <c r="J309" s="38"/>
      <c r="K309" s="198"/>
      <c r="L309" s="38"/>
      <c r="M309" s="38"/>
      <c r="N309" s="38"/>
      <c r="O309" s="38"/>
      <c r="P309" s="40" t="str" cm="1">
        <f t="array" ref="P309">IF(N309="","",IFERROR(_xlfn.XLOOKUP(F309&amp;"|"&amp;J309&amp;"|"&amp;O309,PRICES!$C$2:$C$659&amp;"|"&amp;PRICES!$B$2:$B$659&amp;"|"&amp;PRICES!$D$2:$D$659,PRICES!$E$2:$E$659),"Not Found"))</f>
        <v/>
      </c>
      <c r="Q309" s="100" t="str">
        <f>IF(N309=0,"",SUMIFS(PRICES!$G$2:$G$658,PRICES!$B$2:$B$658,'MAIN TABLE-1 AUTOMATED'!J309,PRICES!$C$2:$C$658,'MAIN TABLE-1 AUTOMATED'!F309,PRICES!$D$2:$D$658,'MAIN TABLE-1 AUTOMATED'!O309))</f>
        <v/>
      </c>
      <c r="R309" s="41" t="str">
        <f>IF(Table1[[#This Row],[QUANTITY]]=0,"",Table1[[#This Row],[UNIT PRICE]]*Table1[[#This Row],[QUANTITY]])</f>
        <v/>
      </c>
      <c r="S309" s="89"/>
      <c r="T309" s="38"/>
      <c r="U309" s="43"/>
      <c r="V309" s="42" t="str">
        <f>IF(Table1[[#This Row],[DATE]]=0,"",YEAR(E309))</f>
        <v/>
      </c>
      <c r="W309" s="40" t="str">
        <f t="shared" si="10"/>
        <v/>
      </c>
      <c r="X309" s="40" t="str">
        <f t="shared" si="11"/>
        <v/>
      </c>
      <c r="Y309" s="40" t="str">
        <f>TEXT(Table1[[#This Row],[YEAR]],"0000")&amp;"-"&amp;Table1[[#This Row],[MONTH]]</f>
        <v>-</v>
      </c>
    </row>
    <row r="310" spans="1:25" ht="18" x14ac:dyDescent="0.35">
      <c r="A310" s="24"/>
      <c r="B310" s="36"/>
      <c r="C310" s="36"/>
      <c r="D310" s="36"/>
      <c r="E310" s="37"/>
      <c r="F310" s="38"/>
      <c r="G310" s="198"/>
      <c r="H310" s="198"/>
      <c r="I310" s="39"/>
      <c r="J310" s="38"/>
      <c r="K310" s="198"/>
      <c r="L310" s="38"/>
      <c r="M310" s="38"/>
      <c r="N310" s="38"/>
      <c r="O310" s="38"/>
      <c r="P310" s="40" t="str" cm="1">
        <f t="array" ref="P310">IF(N310="","",IFERROR(_xlfn.XLOOKUP(F310&amp;"|"&amp;J310&amp;"|"&amp;O310,PRICES!$C$2:$C$659&amp;"|"&amp;PRICES!$B$2:$B$659&amp;"|"&amp;PRICES!$D$2:$D$659,PRICES!$E$2:$E$659),"Not Found"))</f>
        <v/>
      </c>
      <c r="Q310" s="100" t="str">
        <f>IF(N310=0,"",SUMIFS(PRICES!$G$2:$G$658,PRICES!$B$2:$B$658,'MAIN TABLE-1 AUTOMATED'!J310,PRICES!$C$2:$C$658,'MAIN TABLE-1 AUTOMATED'!F310,PRICES!$D$2:$D$658,'MAIN TABLE-1 AUTOMATED'!O310))</f>
        <v/>
      </c>
      <c r="R310" s="41" t="str">
        <f>IF(Table1[[#This Row],[QUANTITY]]=0,"",Table1[[#This Row],[UNIT PRICE]]*Table1[[#This Row],[QUANTITY]])</f>
        <v/>
      </c>
      <c r="S310" s="89"/>
      <c r="T310" s="38"/>
      <c r="U310" s="43"/>
      <c r="V310" s="42" t="str">
        <f>IF(Table1[[#This Row],[DATE]]=0,"",YEAR(E310))</f>
        <v/>
      </c>
      <c r="W310" s="40" t="str">
        <f t="shared" si="10"/>
        <v/>
      </c>
      <c r="X310" s="40" t="str">
        <f t="shared" si="11"/>
        <v/>
      </c>
      <c r="Y310" s="40" t="str">
        <f>TEXT(Table1[[#This Row],[YEAR]],"0000")&amp;"-"&amp;Table1[[#This Row],[MONTH]]</f>
        <v>-</v>
      </c>
    </row>
    <row r="311" spans="1:25" ht="18" x14ac:dyDescent="0.35">
      <c r="A311" s="24"/>
      <c r="B311" s="36"/>
      <c r="C311" s="36"/>
      <c r="D311" s="36"/>
      <c r="E311" s="37"/>
      <c r="F311" s="38"/>
      <c r="G311" s="198"/>
      <c r="H311" s="198"/>
      <c r="I311" s="39"/>
      <c r="J311" s="38"/>
      <c r="K311" s="198"/>
      <c r="L311" s="38"/>
      <c r="M311" s="38"/>
      <c r="N311" s="38"/>
      <c r="O311" s="38"/>
      <c r="P311" s="40" t="str" cm="1">
        <f t="array" ref="P311">IF(N311="","",IFERROR(_xlfn.XLOOKUP(F311&amp;"|"&amp;J311&amp;"|"&amp;O311,PRICES!$C$2:$C$659&amp;"|"&amp;PRICES!$B$2:$B$659&amp;"|"&amp;PRICES!$D$2:$D$659,PRICES!$E$2:$E$659),"Not Found"))</f>
        <v/>
      </c>
      <c r="Q311" s="100" t="str">
        <f>IF(N311=0,"",SUMIFS(PRICES!$G$2:$G$658,PRICES!$B$2:$B$658,'MAIN TABLE-1 AUTOMATED'!J311,PRICES!$C$2:$C$658,'MAIN TABLE-1 AUTOMATED'!F311,PRICES!$D$2:$D$658,'MAIN TABLE-1 AUTOMATED'!O311))</f>
        <v/>
      </c>
      <c r="R311" s="41" t="str">
        <f>IF(Table1[[#This Row],[QUANTITY]]=0,"",Table1[[#This Row],[UNIT PRICE]]*Table1[[#This Row],[QUANTITY]])</f>
        <v/>
      </c>
      <c r="S311" s="89"/>
      <c r="T311" s="38"/>
      <c r="U311" s="43"/>
      <c r="V311" s="42" t="str">
        <f>IF(Table1[[#This Row],[DATE]]=0,"",YEAR(E311))</f>
        <v/>
      </c>
      <c r="W311" s="40" t="str">
        <f t="shared" si="10"/>
        <v/>
      </c>
      <c r="X311" s="40" t="str">
        <f t="shared" si="11"/>
        <v/>
      </c>
      <c r="Y311" s="40" t="str">
        <f>TEXT(Table1[[#This Row],[YEAR]],"0000")&amp;"-"&amp;Table1[[#This Row],[MONTH]]</f>
        <v>-</v>
      </c>
    </row>
    <row r="312" spans="1:25" ht="18" x14ac:dyDescent="0.35">
      <c r="A312" s="24"/>
      <c r="B312" s="38"/>
      <c r="C312" s="38"/>
      <c r="D312" s="38"/>
      <c r="E312" s="37"/>
      <c r="F312" s="38"/>
      <c r="G312" s="198"/>
      <c r="H312" s="198"/>
      <c r="I312" s="39"/>
      <c r="J312" s="38"/>
      <c r="K312" s="198"/>
      <c r="L312" s="38"/>
      <c r="M312" s="38"/>
      <c r="N312" s="38"/>
      <c r="O312" s="38"/>
      <c r="P312" s="40" t="str" cm="1">
        <f t="array" ref="P312">IF(N312="","",IFERROR(_xlfn.XLOOKUP(F312&amp;"|"&amp;J312&amp;"|"&amp;O312,PRICES!$C$2:$C$659&amp;"|"&amp;PRICES!$B$2:$B$659&amp;"|"&amp;PRICES!$D$2:$D$659,PRICES!$E$2:$E$659),"Not Found"))</f>
        <v/>
      </c>
      <c r="Q312" s="100" t="str">
        <f>IF(N312=0,"",SUMIFS(PRICES!$G$2:$G$658,PRICES!$B$2:$B$658,'MAIN TABLE-1 AUTOMATED'!J312,PRICES!$C$2:$C$658,'MAIN TABLE-1 AUTOMATED'!F312,PRICES!$D$2:$D$658,'MAIN TABLE-1 AUTOMATED'!O312))</f>
        <v/>
      </c>
      <c r="R312" s="41" t="str">
        <f>IF(Table1[[#This Row],[QUANTITY]]=0,"",Table1[[#This Row],[UNIT PRICE]]*Table1[[#This Row],[QUANTITY]])</f>
        <v/>
      </c>
      <c r="S312" s="89"/>
      <c r="T312" s="38"/>
      <c r="U312" s="43"/>
      <c r="V312" s="42" t="str">
        <f>IF(Table1[[#This Row],[DATE]]=0,"",YEAR(E312))</f>
        <v/>
      </c>
      <c r="W312" s="40" t="str">
        <f t="shared" si="10"/>
        <v/>
      </c>
      <c r="X312" s="40" t="str">
        <f t="shared" si="11"/>
        <v/>
      </c>
      <c r="Y312" s="40" t="str">
        <f>TEXT(Table1[[#This Row],[YEAR]],"0000")&amp;"-"&amp;Table1[[#This Row],[MONTH]]</f>
        <v>-</v>
      </c>
    </row>
    <row r="313" spans="1:25" ht="18" x14ac:dyDescent="0.35">
      <c r="A313" s="24"/>
      <c r="B313" s="38"/>
      <c r="C313" s="38"/>
      <c r="D313" s="38"/>
      <c r="E313" s="37"/>
      <c r="F313" s="38"/>
      <c r="G313" s="198"/>
      <c r="H313" s="198"/>
      <c r="I313" s="39"/>
      <c r="J313" s="38"/>
      <c r="K313" s="198"/>
      <c r="L313" s="38"/>
      <c r="M313" s="38"/>
      <c r="N313" s="38"/>
      <c r="O313" s="38"/>
      <c r="P313" s="40" t="str" cm="1">
        <f t="array" ref="P313">IF(N313="","",IFERROR(_xlfn.XLOOKUP(F313&amp;"|"&amp;J313&amp;"|"&amp;O313,PRICES!$C$2:$C$659&amp;"|"&amp;PRICES!$B$2:$B$659&amp;"|"&amp;PRICES!$D$2:$D$659,PRICES!$E$2:$E$659),"Not Found"))</f>
        <v/>
      </c>
      <c r="Q313" s="100" t="str">
        <f>IF(N313=0,"",SUMIFS(PRICES!$G$2:$G$658,PRICES!$B$2:$B$658,'MAIN TABLE-1 AUTOMATED'!J313,PRICES!$C$2:$C$658,'MAIN TABLE-1 AUTOMATED'!F313,PRICES!$D$2:$D$658,'MAIN TABLE-1 AUTOMATED'!O313))</f>
        <v/>
      </c>
      <c r="R313" s="41" t="str">
        <f>IF(Table1[[#This Row],[QUANTITY]]=0,"",Table1[[#This Row],[UNIT PRICE]]*Table1[[#This Row],[QUANTITY]])</f>
        <v/>
      </c>
      <c r="S313" s="89"/>
      <c r="T313" s="38"/>
      <c r="U313" s="43"/>
      <c r="V313" s="42" t="str">
        <f>IF(Table1[[#This Row],[DATE]]=0,"",YEAR(E313))</f>
        <v/>
      </c>
      <c r="W313" s="40" t="str">
        <f t="shared" si="10"/>
        <v/>
      </c>
      <c r="X313" s="40" t="str">
        <f t="shared" si="11"/>
        <v/>
      </c>
      <c r="Y313" s="40" t="str">
        <f>TEXT(Table1[[#This Row],[YEAR]],"0000")&amp;"-"&amp;Table1[[#This Row],[MONTH]]</f>
        <v>-</v>
      </c>
    </row>
    <row r="314" spans="1:25" ht="18" x14ac:dyDescent="0.35">
      <c r="A314" s="24"/>
      <c r="B314" s="38"/>
      <c r="C314" s="38"/>
      <c r="D314" s="38"/>
      <c r="E314" s="37"/>
      <c r="F314" s="38"/>
      <c r="G314" s="198"/>
      <c r="H314" s="198"/>
      <c r="I314" s="39"/>
      <c r="J314" s="38"/>
      <c r="K314" s="198"/>
      <c r="L314" s="38"/>
      <c r="M314" s="38"/>
      <c r="N314" s="38"/>
      <c r="O314" s="38"/>
      <c r="P314" s="40" t="str" cm="1">
        <f t="array" ref="P314">IF(N314="","",IFERROR(_xlfn.XLOOKUP(F314&amp;"|"&amp;J314&amp;"|"&amp;O314,PRICES!$C$2:$C$659&amp;"|"&amp;PRICES!$B$2:$B$659&amp;"|"&amp;PRICES!$D$2:$D$659,PRICES!$E$2:$E$659),"Not Found"))</f>
        <v/>
      </c>
      <c r="Q314" s="100" t="str">
        <f>IF(N314=0,"",SUMIFS(PRICES!$G$2:$G$658,PRICES!$B$2:$B$658,'MAIN TABLE-1 AUTOMATED'!J314,PRICES!$C$2:$C$658,'MAIN TABLE-1 AUTOMATED'!F314,PRICES!$D$2:$D$658,'MAIN TABLE-1 AUTOMATED'!O314))</f>
        <v/>
      </c>
      <c r="R314" s="41" t="str">
        <f>IF(Table1[[#This Row],[QUANTITY]]=0,"",Table1[[#This Row],[UNIT PRICE]]*Table1[[#This Row],[QUANTITY]])</f>
        <v/>
      </c>
      <c r="S314" s="89"/>
      <c r="T314" s="38"/>
      <c r="U314" s="43"/>
      <c r="V314" s="42" t="str">
        <f>IF(Table1[[#This Row],[DATE]]=0,"",YEAR(E314))</f>
        <v/>
      </c>
      <c r="W314" s="40" t="str">
        <f t="shared" si="10"/>
        <v/>
      </c>
      <c r="X314" s="40" t="str">
        <f t="shared" si="11"/>
        <v/>
      </c>
      <c r="Y314" s="40" t="str">
        <f>TEXT(Table1[[#This Row],[YEAR]],"0000")&amp;"-"&amp;Table1[[#This Row],[MONTH]]</f>
        <v>-</v>
      </c>
    </row>
    <row r="315" spans="1:25" ht="18" x14ac:dyDescent="0.35">
      <c r="A315" s="24"/>
      <c r="B315" s="38"/>
      <c r="C315" s="38"/>
      <c r="D315" s="38"/>
      <c r="E315" s="37"/>
      <c r="F315" s="38"/>
      <c r="G315" s="198"/>
      <c r="H315" s="198"/>
      <c r="I315" s="39"/>
      <c r="J315" s="38"/>
      <c r="K315" s="198"/>
      <c r="L315" s="38"/>
      <c r="M315" s="38"/>
      <c r="N315" s="38"/>
      <c r="O315" s="38"/>
      <c r="P315" s="40" t="str" cm="1">
        <f t="array" ref="P315">IF(N315="","",IFERROR(_xlfn.XLOOKUP(F315&amp;"|"&amp;J315&amp;"|"&amp;O315,PRICES!$C$2:$C$659&amp;"|"&amp;PRICES!$B$2:$B$659&amp;"|"&amp;PRICES!$D$2:$D$659,PRICES!$E$2:$E$659),"Not Found"))</f>
        <v/>
      </c>
      <c r="Q315" s="100" t="str">
        <f>IF(N315=0,"",SUMIFS(PRICES!$G$2:$G$658,PRICES!$B$2:$B$658,'MAIN TABLE-1 AUTOMATED'!J315,PRICES!$C$2:$C$658,'MAIN TABLE-1 AUTOMATED'!F315,PRICES!$D$2:$D$658,'MAIN TABLE-1 AUTOMATED'!O315))</f>
        <v/>
      </c>
      <c r="R315" s="41" t="str">
        <f>IF(Table1[[#This Row],[QUANTITY]]=0,"",Table1[[#This Row],[UNIT PRICE]]*Table1[[#This Row],[QUANTITY]])</f>
        <v/>
      </c>
      <c r="S315" s="89"/>
      <c r="T315" s="38"/>
      <c r="U315" s="43"/>
      <c r="V315" s="42" t="str">
        <f>IF(Table1[[#This Row],[DATE]]=0,"",YEAR(E315))</f>
        <v/>
      </c>
      <c r="W315" s="40" t="str">
        <f t="shared" si="10"/>
        <v/>
      </c>
      <c r="X315" s="40" t="str">
        <f t="shared" si="11"/>
        <v/>
      </c>
      <c r="Y315" s="40" t="str">
        <f>TEXT(Table1[[#This Row],[YEAR]],"0000")&amp;"-"&amp;Table1[[#This Row],[MONTH]]</f>
        <v>-</v>
      </c>
    </row>
    <row r="316" spans="1:25" ht="18" x14ac:dyDescent="0.35">
      <c r="A316" s="24"/>
      <c r="B316" s="38"/>
      <c r="C316" s="38"/>
      <c r="D316" s="38"/>
      <c r="E316" s="37"/>
      <c r="F316" s="38"/>
      <c r="G316" s="198"/>
      <c r="H316" s="198"/>
      <c r="I316" s="39"/>
      <c r="J316" s="38"/>
      <c r="K316" s="198"/>
      <c r="L316" s="38"/>
      <c r="M316" s="38"/>
      <c r="N316" s="38"/>
      <c r="O316" s="38"/>
      <c r="P316" s="40" t="str" cm="1">
        <f t="array" ref="P316">IF(N316="","",IFERROR(_xlfn.XLOOKUP(F316&amp;"|"&amp;J316&amp;"|"&amp;O316,PRICES!$C$2:$C$659&amp;"|"&amp;PRICES!$B$2:$B$659&amp;"|"&amp;PRICES!$D$2:$D$659,PRICES!$E$2:$E$659),"Not Found"))</f>
        <v/>
      </c>
      <c r="Q316" s="100" t="str">
        <f>IF(N316=0,"",SUMIFS(PRICES!$G$2:$G$658,PRICES!$B$2:$B$658,'MAIN TABLE-1 AUTOMATED'!J316,PRICES!$C$2:$C$658,'MAIN TABLE-1 AUTOMATED'!F316,PRICES!$D$2:$D$658,'MAIN TABLE-1 AUTOMATED'!O316))</f>
        <v/>
      </c>
      <c r="R316" s="41" t="str">
        <f>IF(Table1[[#This Row],[QUANTITY]]=0,"",Table1[[#This Row],[UNIT PRICE]]*Table1[[#This Row],[QUANTITY]])</f>
        <v/>
      </c>
      <c r="S316" s="89"/>
      <c r="T316" s="38"/>
      <c r="U316" s="43"/>
      <c r="V316" s="42" t="str">
        <f>IF(Table1[[#This Row],[DATE]]=0,"",YEAR(E316))</f>
        <v/>
      </c>
      <c r="W316" s="40" t="str">
        <f t="shared" si="10"/>
        <v/>
      </c>
      <c r="X316" s="40" t="str">
        <f t="shared" si="11"/>
        <v/>
      </c>
      <c r="Y316" s="40" t="str">
        <f>TEXT(Table1[[#This Row],[YEAR]],"0000")&amp;"-"&amp;Table1[[#This Row],[MONTH]]</f>
        <v>-</v>
      </c>
    </row>
    <row r="317" spans="1:25" ht="18" x14ac:dyDescent="0.35">
      <c r="A317" s="24"/>
      <c r="B317" s="36"/>
      <c r="C317" s="36"/>
      <c r="D317" s="36"/>
      <c r="E317" s="37"/>
      <c r="F317" s="38"/>
      <c r="G317" s="198"/>
      <c r="H317" s="198"/>
      <c r="I317" s="39"/>
      <c r="J317" s="38"/>
      <c r="K317" s="198"/>
      <c r="L317" s="38"/>
      <c r="M317" s="38"/>
      <c r="N317" s="38"/>
      <c r="O317" s="38"/>
      <c r="P317" s="40" t="str" cm="1">
        <f t="array" ref="P317">IF(N317="","",IFERROR(_xlfn.XLOOKUP(F317&amp;"|"&amp;J317&amp;"|"&amp;O317,PRICES!$C$2:$C$659&amp;"|"&amp;PRICES!$B$2:$B$659&amp;"|"&amp;PRICES!$D$2:$D$659,PRICES!$E$2:$E$659),"Not Found"))</f>
        <v/>
      </c>
      <c r="Q317" s="100" t="str">
        <f>IF(N317=0,"",SUMIFS(PRICES!$G$2:$G$658,PRICES!$B$2:$B$658,'MAIN TABLE-1 AUTOMATED'!J317,PRICES!$C$2:$C$658,'MAIN TABLE-1 AUTOMATED'!F317,PRICES!$D$2:$D$658,'MAIN TABLE-1 AUTOMATED'!O317))</f>
        <v/>
      </c>
      <c r="R317" s="41" t="str">
        <f>IF(Table1[[#This Row],[QUANTITY]]=0,"",Table1[[#This Row],[UNIT PRICE]]*Table1[[#This Row],[QUANTITY]])</f>
        <v/>
      </c>
      <c r="S317" s="89"/>
      <c r="T317" s="38"/>
      <c r="U317" s="43"/>
      <c r="V317" s="42" t="str">
        <f>IF(Table1[[#This Row],[DATE]]=0,"",YEAR(E317))</f>
        <v/>
      </c>
      <c r="W317" s="40" t="str">
        <f t="shared" si="10"/>
        <v/>
      </c>
      <c r="X317" s="40" t="str">
        <f t="shared" si="11"/>
        <v/>
      </c>
      <c r="Y317" s="40" t="str">
        <f>TEXT(Table1[[#This Row],[YEAR]],"0000")&amp;"-"&amp;Table1[[#This Row],[MONTH]]</f>
        <v>-</v>
      </c>
    </row>
    <row r="318" spans="1:25" ht="18" x14ac:dyDescent="0.35">
      <c r="A318" s="24"/>
      <c r="B318" s="38"/>
      <c r="C318" s="38"/>
      <c r="D318" s="38"/>
      <c r="E318" s="37"/>
      <c r="F318" s="38"/>
      <c r="G318" s="198"/>
      <c r="H318" s="198"/>
      <c r="I318" s="39"/>
      <c r="J318" s="38"/>
      <c r="K318" s="198"/>
      <c r="L318" s="38"/>
      <c r="M318" s="38"/>
      <c r="N318" s="38"/>
      <c r="O318" s="38"/>
      <c r="P318" s="40" t="str" cm="1">
        <f t="array" ref="P318">IF(N318="","",IFERROR(_xlfn.XLOOKUP(F318&amp;"|"&amp;J318&amp;"|"&amp;O318,PRICES!$C$2:$C$659&amp;"|"&amp;PRICES!$B$2:$B$659&amp;"|"&amp;PRICES!$D$2:$D$659,PRICES!$E$2:$E$659),"Not Found"))</f>
        <v/>
      </c>
      <c r="Q318" s="100" t="str">
        <f>IF(N318=0,"",SUMIFS(PRICES!$G$2:$G$658,PRICES!$B$2:$B$658,'MAIN TABLE-1 AUTOMATED'!J318,PRICES!$C$2:$C$658,'MAIN TABLE-1 AUTOMATED'!F318,PRICES!$D$2:$D$658,'MAIN TABLE-1 AUTOMATED'!O318))</f>
        <v/>
      </c>
      <c r="R318" s="41" t="str">
        <f>IF(Table1[[#This Row],[QUANTITY]]=0,"",Table1[[#This Row],[UNIT PRICE]]*Table1[[#This Row],[QUANTITY]])</f>
        <v/>
      </c>
      <c r="S318" s="89"/>
      <c r="T318" s="38"/>
      <c r="U318" s="43"/>
      <c r="V318" s="42" t="str">
        <f>IF(Table1[[#This Row],[DATE]]=0,"",YEAR(E318))</f>
        <v/>
      </c>
      <c r="W318" s="40" t="str">
        <f t="shared" si="10"/>
        <v/>
      </c>
      <c r="X318" s="40" t="str">
        <f t="shared" si="11"/>
        <v/>
      </c>
      <c r="Y318" s="40" t="str">
        <f>TEXT(Table1[[#This Row],[YEAR]],"0000")&amp;"-"&amp;Table1[[#This Row],[MONTH]]</f>
        <v>-</v>
      </c>
    </row>
    <row r="319" spans="1:25" ht="18" x14ac:dyDescent="0.35">
      <c r="A319" s="24"/>
      <c r="B319" s="38"/>
      <c r="C319" s="38"/>
      <c r="D319" s="38"/>
      <c r="E319" s="37"/>
      <c r="F319" s="38"/>
      <c r="G319" s="198"/>
      <c r="H319" s="198"/>
      <c r="I319" s="39"/>
      <c r="J319" s="38"/>
      <c r="K319" s="198"/>
      <c r="L319" s="38"/>
      <c r="M319" s="38"/>
      <c r="N319" s="38"/>
      <c r="O319" s="38"/>
      <c r="P319" s="40" t="str" cm="1">
        <f t="array" ref="P319">IF(N319="","",IFERROR(_xlfn.XLOOKUP(F319&amp;"|"&amp;J319&amp;"|"&amp;O319,PRICES!$C$2:$C$659&amp;"|"&amp;PRICES!$B$2:$B$659&amp;"|"&amp;PRICES!$D$2:$D$659,PRICES!$E$2:$E$659),"Not Found"))</f>
        <v/>
      </c>
      <c r="Q319" s="100" t="str">
        <f>IF(N319=0,"",SUMIFS(PRICES!$G$2:$G$658,PRICES!$B$2:$B$658,'MAIN TABLE-1 AUTOMATED'!J319,PRICES!$C$2:$C$658,'MAIN TABLE-1 AUTOMATED'!F319,PRICES!$D$2:$D$658,'MAIN TABLE-1 AUTOMATED'!O319))</f>
        <v/>
      </c>
      <c r="R319" s="41" t="str">
        <f>IF(Table1[[#This Row],[QUANTITY]]=0,"",Table1[[#This Row],[UNIT PRICE]]*Table1[[#This Row],[QUANTITY]])</f>
        <v/>
      </c>
      <c r="S319" s="89"/>
      <c r="T319" s="38"/>
      <c r="U319" s="43"/>
      <c r="V319" s="42" t="str">
        <f>IF(Table1[[#This Row],[DATE]]=0,"",YEAR(E319))</f>
        <v/>
      </c>
      <c r="W319" s="40" t="str">
        <f t="shared" si="10"/>
        <v/>
      </c>
      <c r="X319" s="40" t="str">
        <f t="shared" si="11"/>
        <v/>
      </c>
      <c r="Y319" s="40" t="str">
        <f>TEXT(Table1[[#This Row],[YEAR]],"0000")&amp;"-"&amp;Table1[[#This Row],[MONTH]]</f>
        <v>-</v>
      </c>
    </row>
    <row r="320" spans="1:25" ht="18" x14ac:dyDescent="0.35">
      <c r="A320" s="24"/>
      <c r="B320" s="38"/>
      <c r="C320" s="38"/>
      <c r="D320" s="38"/>
      <c r="E320" s="37"/>
      <c r="F320" s="38"/>
      <c r="G320" s="198"/>
      <c r="H320" s="198"/>
      <c r="I320" s="39"/>
      <c r="J320" s="38"/>
      <c r="K320" s="198"/>
      <c r="L320" s="38"/>
      <c r="M320" s="38"/>
      <c r="N320" s="38"/>
      <c r="O320" s="38"/>
      <c r="P320" s="40" t="str" cm="1">
        <f t="array" ref="P320">IF(N320="","",IFERROR(_xlfn.XLOOKUP(F320&amp;"|"&amp;J320&amp;"|"&amp;O320,PRICES!$C$2:$C$659&amp;"|"&amp;PRICES!$B$2:$B$659&amp;"|"&amp;PRICES!$D$2:$D$659,PRICES!$E$2:$E$659),"Not Found"))</f>
        <v/>
      </c>
      <c r="Q320" s="100" t="str">
        <f>IF(N320=0,"",SUMIFS(PRICES!$G$2:$G$658,PRICES!$B$2:$B$658,'MAIN TABLE-1 AUTOMATED'!J320,PRICES!$C$2:$C$658,'MAIN TABLE-1 AUTOMATED'!F320,PRICES!$D$2:$D$658,'MAIN TABLE-1 AUTOMATED'!O320))</f>
        <v/>
      </c>
      <c r="R320" s="41" t="str">
        <f>IF(Table1[[#This Row],[QUANTITY]]=0,"",Table1[[#This Row],[UNIT PRICE]]*Table1[[#This Row],[QUANTITY]])</f>
        <v/>
      </c>
      <c r="S320" s="89"/>
      <c r="T320" s="38"/>
      <c r="U320" s="43"/>
      <c r="V320" s="42" t="str">
        <f>IF(Table1[[#This Row],[DATE]]=0,"",YEAR(E320))</f>
        <v/>
      </c>
      <c r="W320" s="40" t="str">
        <f t="shared" si="10"/>
        <v/>
      </c>
      <c r="X320" s="40" t="str">
        <f t="shared" si="11"/>
        <v/>
      </c>
      <c r="Y320" s="40" t="str">
        <f>TEXT(Table1[[#This Row],[YEAR]],"0000")&amp;"-"&amp;Table1[[#This Row],[MONTH]]</f>
        <v>-</v>
      </c>
    </row>
    <row r="321" spans="1:25" ht="18" x14ac:dyDescent="0.35">
      <c r="A321" s="24"/>
      <c r="B321" s="38"/>
      <c r="C321" s="38"/>
      <c r="D321" s="38"/>
      <c r="E321" s="37"/>
      <c r="F321" s="38"/>
      <c r="G321" s="198"/>
      <c r="H321" s="198"/>
      <c r="I321" s="39"/>
      <c r="J321" s="38"/>
      <c r="K321" s="198"/>
      <c r="L321" s="38"/>
      <c r="M321" s="38"/>
      <c r="N321" s="38"/>
      <c r="O321" s="38"/>
      <c r="P321" s="40" t="str" cm="1">
        <f t="array" ref="P321">IF(N321="","",IFERROR(_xlfn.XLOOKUP(F321&amp;"|"&amp;J321&amp;"|"&amp;O321,PRICES!$C$2:$C$659&amp;"|"&amp;PRICES!$B$2:$B$659&amp;"|"&amp;PRICES!$D$2:$D$659,PRICES!$E$2:$E$659),"Not Found"))</f>
        <v/>
      </c>
      <c r="Q321" s="100" t="str">
        <f>IF(N321=0,"",SUMIFS(PRICES!$G$2:$G$658,PRICES!$B$2:$B$658,'MAIN TABLE-1 AUTOMATED'!J321,PRICES!$C$2:$C$658,'MAIN TABLE-1 AUTOMATED'!F321,PRICES!$D$2:$D$658,'MAIN TABLE-1 AUTOMATED'!O321))</f>
        <v/>
      </c>
      <c r="R321" s="41" t="str">
        <f>IF(Table1[[#This Row],[QUANTITY]]=0,"",Table1[[#This Row],[UNIT PRICE]]*Table1[[#This Row],[QUANTITY]])</f>
        <v/>
      </c>
      <c r="S321" s="89"/>
      <c r="T321" s="38"/>
      <c r="U321" s="43"/>
      <c r="V321" s="42" t="str">
        <f>IF(Table1[[#This Row],[DATE]]=0,"",YEAR(E321))</f>
        <v/>
      </c>
      <c r="W321" s="40" t="str">
        <f t="shared" si="10"/>
        <v/>
      </c>
      <c r="X321" s="40" t="str">
        <f t="shared" si="11"/>
        <v/>
      </c>
      <c r="Y321" s="40" t="str">
        <f>TEXT(Table1[[#This Row],[YEAR]],"0000")&amp;"-"&amp;Table1[[#This Row],[MONTH]]</f>
        <v>-</v>
      </c>
    </row>
    <row r="322" spans="1:25" ht="18" x14ac:dyDescent="0.35">
      <c r="A322" s="24"/>
      <c r="B322" s="38"/>
      <c r="C322" s="38"/>
      <c r="D322" s="38"/>
      <c r="E322" s="37"/>
      <c r="F322" s="38"/>
      <c r="G322" s="198"/>
      <c r="H322" s="198"/>
      <c r="I322" s="39"/>
      <c r="J322" s="38"/>
      <c r="K322" s="198"/>
      <c r="L322" s="38"/>
      <c r="M322" s="38"/>
      <c r="N322" s="38"/>
      <c r="O322" s="38"/>
      <c r="P322" s="40" t="str" cm="1">
        <f t="array" ref="P322">IF(N322="","",IFERROR(_xlfn.XLOOKUP(F322&amp;"|"&amp;J322&amp;"|"&amp;O322,PRICES!$C$2:$C$659&amp;"|"&amp;PRICES!$B$2:$B$659&amp;"|"&amp;PRICES!$D$2:$D$659,PRICES!$E$2:$E$659),"Not Found"))</f>
        <v/>
      </c>
      <c r="Q322" s="100" t="str">
        <f>IF(N322=0,"",SUMIFS(PRICES!$G$2:$G$658,PRICES!$B$2:$B$658,'MAIN TABLE-1 AUTOMATED'!J322,PRICES!$C$2:$C$658,'MAIN TABLE-1 AUTOMATED'!F322,PRICES!$D$2:$D$658,'MAIN TABLE-1 AUTOMATED'!O322))</f>
        <v/>
      </c>
      <c r="R322" s="41" t="str">
        <f>IF(Table1[[#This Row],[QUANTITY]]=0,"",Table1[[#This Row],[UNIT PRICE]]*Table1[[#This Row],[QUANTITY]])</f>
        <v/>
      </c>
      <c r="S322" s="89"/>
      <c r="T322" s="38"/>
      <c r="U322" s="43"/>
      <c r="V322" s="42" t="str">
        <f>IF(Table1[[#This Row],[DATE]]=0,"",YEAR(E322))</f>
        <v/>
      </c>
      <c r="W322" s="40" t="str">
        <f t="shared" si="10"/>
        <v/>
      </c>
      <c r="X322" s="40" t="str">
        <f t="shared" si="11"/>
        <v/>
      </c>
      <c r="Y322" s="40" t="str">
        <f>TEXT(Table1[[#This Row],[YEAR]],"0000")&amp;"-"&amp;Table1[[#This Row],[MONTH]]</f>
        <v>-</v>
      </c>
    </row>
    <row r="323" spans="1:25" ht="18" x14ac:dyDescent="0.35">
      <c r="A323" s="24"/>
      <c r="B323" s="38"/>
      <c r="C323" s="38"/>
      <c r="D323" s="38"/>
      <c r="E323" s="37"/>
      <c r="F323" s="38"/>
      <c r="G323" s="198"/>
      <c r="H323" s="198"/>
      <c r="I323" s="39"/>
      <c r="J323" s="38"/>
      <c r="K323" s="198"/>
      <c r="L323" s="38"/>
      <c r="M323" s="38"/>
      <c r="N323" s="38"/>
      <c r="O323" s="38"/>
      <c r="P323" s="40" t="str" cm="1">
        <f t="array" ref="P323">IF(N323="","",IFERROR(_xlfn.XLOOKUP(F323&amp;"|"&amp;J323&amp;"|"&amp;O323,PRICES!$C$2:$C$659&amp;"|"&amp;PRICES!$B$2:$B$659&amp;"|"&amp;PRICES!$D$2:$D$659,PRICES!$E$2:$E$659),"Not Found"))</f>
        <v/>
      </c>
      <c r="Q323" s="100" t="str">
        <f>IF(N323=0,"",SUMIFS(PRICES!$G$2:$G$658,PRICES!$B$2:$B$658,'MAIN TABLE-1 AUTOMATED'!J323,PRICES!$C$2:$C$658,'MAIN TABLE-1 AUTOMATED'!F323,PRICES!$D$2:$D$658,'MAIN TABLE-1 AUTOMATED'!O323))</f>
        <v/>
      </c>
      <c r="R323" s="41" t="str">
        <f>IF(Table1[[#This Row],[QUANTITY]]=0,"",Table1[[#This Row],[UNIT PRICE]]*Table1[[#This Row],[QUANTITY]])</f>
        <v/>
      </c>
      <c r="S323" s="89"/>
      <c r="T323" s="38"/>
      <c r="U323" s="43"/>
      <c r="V323" s="42" t="str">
        <f>IF(Table1[[#This Row],[DATE]]=0,"",YEAR(E323))</f>
        <v/>
      </c>
      <c r="W323" s="40" t="str">
        <f t="shared" si="10"/>
        <v/>
      </c>
      <c r="X323" s="40" t="str">
        <f t="shared" si="11"/>
        <v/>
      </c>
      <c r="Y323" s="40" t="str">
        <f>TEXT(Table1[[#This Row],[YEAR]],"0000")&amp;"-"&amp;Table1[[#This Row],[MONTH]]</f>
        <v>-</v>
      </c>
    </row>
    <row r="324" spans="1:25" ht="18" x14ac:dyDescent="0.35">
      <c r="A324" s="24"/>
      <c r="B324" s="38"/>
      <c r="C324" s="38"/>
      <c r="D324" s="38"/>
      <c r="E324" s="37"/>
      <c r="F324" s="38"/>
      <c r="G324" s="198"/>
      <c r="H324" s="198"/>
      <c r="I324" s="39"/>
      <c r="J324" s="38"/>
      <c r="K324" s="198"/>
      <c r="L324" s="38"/>
      <c r="M324" s="38"/>
      <c r="N324" s="38"/>
      <c r="O324" s="38"/>
      <c r="P324" s="40" t="str" cm="1">
        <f t="array" ref="P324">IF(N324="","",IFERROR(_xlfn.XLOOKUP(F324&amp;"|"&amp;J324&amp;"|"&amp;O324,PRICES!$C$2:$C$659&amp;"|"&amp;PRICES!$B$2:$B$659&amp;"|"&amp;PRICES!$D$2:$D$659,PRICES!$E$2:$E$659),"Not Found"))</f>
        <v/>
      </c>
      <c r="Q324" s="100" t="str">
        <f>IF(N324=0,"",SUMIFS(PRICES!$G$2:$G$658,PRICES!$B$2:$B$658,'MAIN TABLE-1 AUTOMATED'!J324,PRICES!$C$2:$C$658,'MAIN TABLE-1 AUTOMATED'!F324,PRICES!$D$2:$D$658,'MAIN TABLE-1 AUTOMATED'!O324))</f>
        <v/>
      </c>
      <c r="R324" s="41" t="str">
        <f>IF(Table1[[#This Row],[QUANTITY]]=0,"",Table1[[#This Row],[UNIT PRICE]]*Table1[[#This Row],[QUANTITY]])</f>
        <v/>
      </c>
      <c r="S324" s="89"/>
      <c r="T324" s="38"/>
      <c r="U324" s="43"/>
      <c r="V324" s="42" t="str">
        <f>IF(Table1[[#This Row],[DATE]]=0,"",YEAR(E324))</f>
        <v/>
      </c>
      <c r="W324" s="40" t="str">
        <f t="shared" si="10"/>
        <v/>
      </c>
      <c r="X324" s="40" t="str">
        <f t="shared" si="11"/>
        <v/>
      </c>
      <c r="Y324" s="40" t="str">
        <f>TEXT(Table1[[#This Row],[YEAR]],"0000")&amp;"-"&amp;Table1[[#This Row],[MONTH]]</f>
        <v>-</v>
      </c>
    </row>
    <row r="325" spans="1:25" ht="18" x14ac:dyDescent="0.35">
      <c r="A325" s="24"/>
      <c r="B325" s="38"/>
      <c r="C325" s="38"/>
      <c r="D325" s="38"/>
      <c r="E325" s="37"/>
      <c r="F325" s="38"/>
      <c r="G325" s="198"/>
      <c r="H325" s="198"/>
      <c r="I325" s="39"/>
      <c r="J325" s="38"/>
      <c r="K325" s="198"/>
      <c r="L325" s="38"/>
      <c r="M325" s="38"/>
      <c r="N325" s="38"/>
      <c r="O325" s="38"/>
      <c r="P325" s="40" t="str" cm="1">
        <f t="array" ref="P325">IF(N325="","",IFERROR(_xlfn.XLOOKUP(F325&amp;"|"&amp;J325&amp;"|"&amp;O325,PRICES!$C$2:$C$659&amp;"|"&amp;PRICES!$B$2:$B$659&amp;"|"&amp;PRICES!$D$2:$D$659,PRICES!$E$2:$E$659),"Not Found"))</f>
        <v/>
      </c>
      <c r="Q325" s="100" t="str">
        <f>IF(N325=0,"",SUMIFS(PRICES!$G$2:$G$658,PRICES!$B$2:$B$658,'MAIN TABLE-1 AUTOMATED'!J325,PRICES!$C$2:$C$658,'MAIN TABLE-1 AUTOMATED'!F325,PRICES!$D$2:$D$658,'MAIN TABLE-1 AUTOMATED'!O325))</f>
        <v/>
      </c>
      <c r="R325" s="41" t="str">
        <f>IF(Table1[[#This Row],[QUANTITY]]=0,"",Table1[[#This Row],[UNIT PRICE]]*Table1[[#This Row],[QUANTITY]])</f>
        <v/>
      </c>
      <c r="S325" s="89"/>
      <c r="T325" s="38"/>
      <c r="U325" s="43"/>
      <c r="V325" s="42" t="str">
        <f>IF(Table1[[#This Row],[DATE]]=0,"",YEAR(E325))</f>
        <v/>
      </c>
      <c r="W325" s="40" t="str">
        <f t="shared" si="10"/>
        <v/>
      </c>
      <c r="X325" s="40" t="str">
        <f t="shared" si="11"/>
        <v/>
      </c>
      <c r="Y325" s="40" t="str">
        <f>TEXT(Table1[[#This Row],[YEAR]],"0000")&amp;"-"&amp;Table1[[#This Row],[MONTH]]</f>
        <v>-</v>
      </c>
    </row>
    <row r="326" spans="1:25" ht="18" x14ac:dyDescent="0.35">
      <c r="A326" s="24"/>
      <c r="B326" s="38"/>
      <c r="C326" s="38"/>
      <c r="D326" s="38"/>
      <c r="E326" s="37"/>
      <c r="F326" s="38"/>
      <c r="G326" s="198"/>
      <c r="H326" s="198"/>
      <c r="I326" s="39"/>
      <c r="J326" s="38"/>
      <c r="K326" s="198"/>
      <c r="L326" s="38"/>
      <c r="M326" s="38"/>
      <c r="N326" s="38"/>
      <c r="O326" s="38"/>
      <c r="P326" s="40" t="str" cm="1">
        <f t="array" ref="P326">IF(N326="","",IFERROR(_xlfn.XLOOKUP(F326&amp;"|"&amp;J326&amp;"|"&amp;O326,PRICES!$C$2:$C$659&amp;"|"&amp;PRICES!$B$2:$B$659&amp;"|"&amp;PRICES!$D$2:$D$659,PRICES!$E$2:$E$659),"Not Found"))</f>
        <v/>
      </c>
      <c r="Q326" s="100" t="str">
        <f>IF(N326=0,"",SUMIFS(PRICES!$G$2:$G$658,PRICES!$B$2:$B$658,'MAIN TABLE-1 AUTOMATED'!J326,PRICES!$C$2:$C$658,'MAIN TABLE-1 AUTOMATED'!F326,PRICES!$D$2:$D$658,'MAIN TABLE-1 AUTOMATED'!O326))</f>
        <v/>
      </c>
      <c r="R326" s="41" t="str">
        <f>IF(Table1[[#This Row],[QUANTITY]]=0,"",Table1[[#This Row],[UNIT PRICE]]*Table1[[#This Row],[QUANTITY]])</f>
        <v/>
      </c>
      <c r="S326" s="89"/>
      <c r="T326" s="38"/>
      <c r="U326" s="43"/>
      <c r="V326" s="42" t="str">
        <f>IF(Table1[[#This Row],[DATE]]=0,"",YEAR(E326))</f>
        <v/>
      </c>
      <c r="W326" s="40" t="str">
        <f t="shared" si="10"/>
        <v/>
      </c>
      <c r="X326" s="40" t="str">
        <f t="shared" si="11"/>
        <v/>
      </c>
      <c r="Y326" s="40" t="str">
        <f>TEXT(Table1[[#This Row],[YEAR]],"0000")&amp;"-"&amp;Table1[[#This Row],[MONTH]]</f>
        <v>-</v>
      </c>
    </row>
    <row r="327" spans="1:25" ht="18" x14ac:dyDescent="0.35">
      <c r="A327" s="24"/>
      <c r="B327" s="38"/>
      <c r="C327" s="38"/>
      <c r="D327" s="38"/>
      <c r="E327" s="37"/>
      <c r="F327" s="38"/>
      <c r="G327" s="198"/>
      <c r="H327" s="198"/>
      <c r="I327" s="39"/>
      <c r="J327" s="38"/>
      <c r="K327" s="198"/>
      <c r="L327" s="38"/>
      <c r="M327" s="38"/>
      <c r="N327" s="38"/>
      <c r="O327" s="38"/>
      <c r="P327" s="40" t="str" cm="1">
        <f t="array" ref="P327">IF(N327="","",IFERROR(_xlfn.XLOOKUP(F327&amp;"|"&amp;J327&amp;"|"&amp;O327,PRICES!$C$2:$C$659&amp;"|"&amp;PRICES!$B$2:$B$659&amp;"|"&amp;PRICES!$D$2:$D$659,PRICES!$E$2:$E$659),"Not Found"))</f>
        <v/>
      </c>
      <c r="Q327" s="100" t="str">
        <f>IF(N327=0,"",SUMIFS(PRICES!$G$2:$G$658,PRICES!$B$2:$B$658,'MAIN TABLE-1 AUTOMATED'!J327,PRICES!$C$2:$C$658,'MAIN TABLE-1 AUTOMATED'!F327,PRICES!$D$2:$D$658,'MAIN TABLE-1 AUTOMATED'!O327))</f>
        <v/>
      </c>
      <c r="R327" s="41" t="str">
        <f>IF(Table1[[#This Row],[QUANTITY]]=0,"",Table1[[#This Row],[UNIT PRICE]]*Table1[[#This Row],[QUANTITY]])</f>
        <v/>
      </c>
      <c r="S327" s="89"/>
      <c r="T327" s="38"/>
      <c r="U327" s="43"/>
      <c r="V327" s="42" t="str">
        <f>IF(Table1[[#This Row],[DATE]]=0,"",YEAR(E327))</f>
        <v/>
      </c>
      <c r="W327" s="40" t="str">
        <f t="shared" si="10"/>
        <v/>
      </c>
      <c r="X327" s="40" t="str">
        <f t="shared" si="11"/>
        <v/>
      </c>
      <c r="Y327" s="40" t="str">
        <f>TEXT(Table1[[#This Row],[YEAR]],"0000")&amp;"-"&amp;Table1[[#This Row],[MONTH]]</f>
        <v>-</v>
      </c>
    </row>
    <row r="328" spans="1:25" ht="18" x14ac:dyDescent="0.35">
      <c r="A328" s="24"/>
      <c r="B328" s="36"/>
      <c r="C328" s="36"/>
      <c r="D328" s="36"/>
      <c r="E328" s="37"/>
      <c r="F328" s="38"/>
      <c r="G328" s="198"/>
      <c r="H328" s="198"/>
      <c r="I328" s="39"/>
      <c r="J328" s="38"/>
      <c r="K328" s="198"/>
      <c r="L328" s="38"/>
      <c r="M328" s="38"/>
      <c r="N328" s="38"/>
      <c r="O328" s="38"/>
      <c r="P328" s="40" t="str" cm="1">
        <f t="array" ref="P328">IF(N328="","",IFERROR(_xlfn.XLOOKUP(F328&amp;"|"&amp;J328&amp;"|"&amp;O328,PRICES!$C$2:$C$659&amp;"|"&amp;PRICES!$B$2:$B$659&amp;"|"&amp;PRICES!$D$2:$D$659,PRICES!$E$2:$E$659),"Not Found"))</f>
        <v/>
      </c>
      <c r="Q328" s="100" t="str">
        <f>IF(N328=0,"",SUMIFS(PRICES!$G$2:$G$658,PRICES!$B$2:$B$658,'MAIN TABLE-1 AUTOMATED'!J328,PRICES!$C$2:$C$658,'MAIN TABLE-1 AUTOMATED'!F328,PRICES!$D$2:$D$658,'MAIN TABLE-1 AUTOMATED'!O328))</f>
        <v/>
      </c>
      <c r="R328" s="41" t="str">
        <f>IF(Table1[[#This Row],[QUANTITY]]=0,"",Table1[[#This Row],[UNIT PRICE]]*Table1[[#This Row],[QUANTITY]])</f>
        <v/>
      </c>
      <c r="S328" s="89"/>
      <c r="T328" s="38"/>
      <c r="U328" s="43"/>
      <c r="V328" s="42" t="str">
        <f>IF(Table1[[#This Row],[DATE]]=0,"",YEAR(E328))</f>
        <v/>
      </c>
      <c r="W328" s="40" t="str">
        <f t="shared" si="10"/>
        <v/>
      </c>
      <c r="X328" s="40" t="str">
        <f t="shared" si="11"/>
        <v/>
      </c>
      <c r="Y328" s="40" t="str">
        <f>TEXT(Table1[[#This Row],[YEAR]],"0000")&amp;"-"&amp;Table1[[#This Row],[MONTH]]</f>
        <v>-</v>
      </c>
    </row>
    <row r="329" spans="1:25" ht="18" x14ac:dyDescent="0.35">
      <c r="A329" s="24"/>
      <c r="B329" s="38"/>
      <c r="C329" s="38"/>
      <c r="D329" s="38"/>
      <c r="E329" s="37"/>
      <c r="F329" s="38"/>
      <c r="G329" s="198"/>
      <c r="H329" s="198"/>
      <c r="I329" s="39"/>
      <c r="J329" s="38"/>
      <c r="K329" s="198"/>
      <c r="L329" s="38"/>
      <c r="M329" s="38"/>
      <c r="N329" s="38"/>
      <c r="O329" s="38"/>
      <c r="P329" s="40" t="str" cm="1">
        <f t="array" ref="P329">IF(N329="","",IFERROR(_xlfn.XLOOKUP(F329&amp;"|"&amp;J329&amp;"|"&amp;O329,PRICES!$C$2:$C$659&amp;"|"&amp;PRICES!$B$2:$B$659&amp;"|"&amp;PRICES!$D$2:$D$659,PRICES!$E$2:$E$659),"Not Found"))</f>
        <v/>
      </c>
      <c r="Q329" s="100" t="str">
        <f>IF(N329=0,"",SUMIFS(PRICES!$G$2:$G$658,PRICES!$B$2:$B$658,'MAIN TABLE-1 AUTOMATED'!J329,PRICES!$C$2:$C$658,'MAIN TABLE-1 AUTOMATED'!F329,PRICES!$D$2:$D$658,'MAIN TABLE-1 AUTOMATED'!O329))</f>
        <v/>
      </c>
      <c r="R329" s="41" t="str">
        <f>IF(Table1[[#This Row],[QUANTITY]]=0,"",Table1[[#This Row],[UNIT PRICE]]*Table1[[#This Row],[QUANTITY]])</f>
        <v/>
      </c>
      <c r="S329" s="89"/>
      <c r="T329" s="38"/>
      <c r="U329" s="43"/>
      <c r="V329" s="42" t="str">
        <f>IF(Table1[[#This Row],[DATE]]=0,"",YEAR(E329))</f>
        <v/>
      </c>
      <c r="W329" s="40" t="str">
        <f t="shared" si="10"/>
        <v/>
      </c>
      <c r="X329" s="40" t="str">
        <f t="shared" si="11"/>
        <v/>
      </c>
      <c r="Y329" s="40" t="str">
        <f>TEXT(Table1[[#This Row],[YEAR]],"0000")&amp;"-"&amp;Table1[[#This Row],[MONTH]]</f>
        <v>-</v>
      </c>
    </row>
    <row r="330" spans="1:25" ht="18" x14ac:dyDescent="0.35">
      <c r="A330" s="24"/>
      <c r="B330" s="38"/>
      <c r="C330" s="38"/>
      <c r="D330" s="38"/>
      <c r="E330" s="37"/>
      <c r="F330" s="38"/>
      <c r="G330" s="198"/>
      <c r="H330" s="198"/>
      <c r="I330" s="39"/>
      <c r="J330" s="38"/>
      <c r="K330" s="198"/>
      <c r="L330" s="38"/>
      <c r="M330" s="38"/>
      <c r="N330" s="38"/>
      <c r="O330" s="38"/>
      <c r="P330" s="40" t="str" cm="1">
        <f t="array" ref="P330">IF(N330="","",IFERROR(_xlfn.XLOOKUP(F330&amp;"|"&amp;J330&amp;"|"&amp;O330,PRICES!$C$2:$C$659&amp;"|"&amp;PRICES!$B$2:$B$659&amp;"|"&amp;PRICES!$D$2:$D$659,PRICES!$E$2:$E$659),"Not Found"))</f>
        <v/>
      </c>
      <c r="Q330" s="100" t="str">
        <f>IF(N330=0,"",SUMIFS(PRICES!$G$2:$G$658,PRICES!$B$2:$B$658,'MAIN TABLE-1 AUTOMATED'!J330,PRICES!$C$2:$C$658,'MAIN TABLE-1 AUTOMATED'!F330,PRICES!$D$2:$D$658,'MAIN TABLE-1 AUTOMATED'!O330))</f>
        <v/>
      </c>
      <c r="R330" s="41" t="str">
        <f>IF(Table1[[#This Row],[QUANTITY]]=0,"",Table1[[#This Row],[UNIT PRICE]]*Table1[[#This Row],[QUANTITY]])</f>
        <v/>
      </c>
      <c r="S330" s="89"/>
      <c r="T330" s="38"/>
      <c r="U330" s="43"/>
      <c r="V330" s="42" t="str">
        <f>IF(Table1[[#This Row],[DATE]]=0,"",YEAR(E330))</f>
        <v/>
      </c>
      <c r="W330" s="40" t="str">
        <f t="shared" si="10"/>
        <v/>
      </c>
      <c r="X330" s="40" t="str">
        <f t="shared" si="11"/>
        <v/>
      </c>
      <c r="Y330" s="40" t="str">
        <f>TEXT(Table1[[#This Row],[YEAR]],"0000")&amp;"-"&amp;Table1[[#This Row],[MONTH]]</f>
        <v>-</v>
      </c>
    </row>
    <row r="331" spans="1:25" ht="18" x14ac:dyDescent="0.35">
      <c r="A331" s="24"/>
      <c r="B331" s="38"/>
      <c r="C331" s="38"/>
      <c r="D331" s="38"/>
      <c r="E331" s="37"/>
      <c r="F331" s="38"/>
      <c r="G331" s="198"/>
      <c r="H331" s="198"/>
      <c r="I331" s="39"/>
      <c r="J331" s="38"/>
      <c r="K331" s="198"/>
      <c r="L331" s="38"/>
      <c r="M331" s="38"/>
      <c r="N331" s="38"/>
      <c r="O331" s="38"/>
      <c r="P331" s="40" t="str" cm="1">
        <f t="array" ref="P331">IF(N331="","",IFERROR(_xlfn.XLOOKUP(F331&amp;"|"&amp;J331&amp;"|"&amp;O331,PRICES!$C$2:$C$659&amp;"|"&amp;PRICES!$B$2:$B$659&amp;"|"&amp;PRICES!$D$2:$D$659,PRICES!$E$2:$E$659),"Not Found"))</f>
        <v/>
      </c>
      <c r="Q331" s="100" t="str">
        <f>IF(N331=0,"",SUMIFS(PRICES!$G$2:$G$658,PRICES!$B$2:$B$658,'MAIN TABLE-1 AUTOMATED'!J331,PRICES!$C$2:$C$658,'MAIN TABLE-1 AUTOMATED'!F331,PRICES!$D$2:$D$658,'MAIN TABLE-1 AUTOMATED'!O331))</f>
        <v/>
      </c>
      <c r="R331" s="41" t="str">
        <f>IF(Table1[[#This Row],[QUANTITY]]=0,"",Table1[[#This Row],[UNIT PRICE]]*Table1[[#This Row],[QUANTITY]])</f>
        <v/>
      </c>
      <c r="S331" s="89"/>
      <c r="T331" s="38"/>
      <c r="U331" s="43"/>
      <c r="V331" s="42" t="str">
        <f>IF(Table1[[#This Row],[DATE]]=0,"",YEAR(E331))</f>
        <v/>
      </c>
      <c r="W331" s="40" t="str">
        <f t="shared" si="10"/>
        <v/>
      </c>
      <c r="X331" s="40" t="str">
        <f t="shared" si="11"/>
        <v/>
      </c>
      <c r="Y331" s="40" t="str">
        <f>TEXT(Table1[[#This Row],[YEAR]],"0000")&amp;"-"&amp;Table1[[#This Row],[MONTH]]</f>
        <v>-</v>
      </c>
    </row>
    <row r="332" spans="1:25" ht="18" x14ac:dyDescent="0.35">
      <c r="A332" s="24"/>
      <c r="B332" s="38"/>
      <c r="C332" s="38"/>
      <c r="D332" s="38"/>
      <c r="E332" s="37"/>
      <c r="F332" s="38"/>
      <c r="G332" s="198"/>
      <c r="H332" s="198"/>
      <c r="I332" s="39"/>
      <c r="J332" s="38"/>
      <c r="K332" s="198"/>
      <c r="L332" s="38"/>
      <c r="M332" s="38"/>
      <c r="N332" s="38"/>
      <c r="O332" s="38"/>
      <c r="P332" s="40" t="str" cm="1">
        <f t="array" ref="P332">IF(N332="","",IFERROR(_xlfn.XLOOKUP(F332&amp;"|"&amp;J332&amp;"|"&amp;O332,PRICES!$C$2:$C$659&amp;"|"&amp;PRICES!$B$2:$B$659&amp;"|"&amp;PRICES!$D$2:$D$659,PRICES!$E$2:$E$659),"Not Found"))</f>
        <v/>
      </c>
      <c r="Q332" s="100" t="str">
        <f>IF(N332=0,"",SUMIFS(PRICES!$G$2:$G$658,PRICES!$B$2:$B$658,'MAIN TABLE-1 AUTOMATED'!J332,PRICES!$C$2:$C$658,'MAIN TABLE-1 AUTOMATED'!F332,PRICES!$D$2:$D$658,'MAIN TABLE-1 AUTOMATED'!O332))</f>
        <v/>
      </c>
      <c r="R332" s="41" t="str">
        <f>IF(Table1[[#This Row],[QUANTITY]]=0,"",Table1[[#This Row],[UNIT PRICE]]*Table1[[#This Row],[QUANTITY]])</f>
        <v/>
      </c>
      <c r="S332" s="89"/>
      <c r="T332" s="38"/>
      <c r="U332" s="43"/>
      <c r="V332" s="42" t="str">
        <f>IF(Table1[[#This Row],[DATE]]=0,"",YEAR(E332))</f>
        <v/>
      </c>
      <c r="W332" s="40" t="str">
        <f t="shared" si="10"/>
        <v/>
      </c>
      <c r="X332" s="40" t="str">
        <f t="shared" si="11"/>
        <v/>
      </c>
      <c r="Y332" s="40" t="str">
        <f>TEXT(Table1[[#This Row],[YEAR]],"0000")&amp;"-"&amp;Table1[[#This Row],[MONTH]]</f>
        <v>-</v>
      </c>
    </row>
    <row r="333" spans="1:25" ht="18" x14ac:dyDescent="0.35">
      <c r="A333" s="24"/>
      <c r="B333" s="38"/>
      <c r="C333" s="38"/>
      <c r="D333" s="38"/>
      <c r="E333" s="37"/>
      <c r="F333" s="38"/>
      <c r="G333" s="198"/>
      <c r="H333" s="198"/>
      <c r="I333" s="39"/>
      <c r="J333" s="38"/>
      <c r="K333" s="198"/>
      <c r="L333" s="38"/>
      <c r="M333" s="38"/>
      <c r="N333" s="38"/>
      <c r="O333" s="38"/>
      <c r="P333" s="40" t="str" cm="1">
        <f t="array" ref="P333">IF(N333="","",IFERROR(_xlfn.XLOOKUP(F333&amp;"|"&amp;J333&amp;"|"&amp;O333,PRICES!$C$2:$C$659&amp;"|"&amp;PRICES!$B$2:$B$659&amp;"|"&amp;PRICES!$D$2:$D$659,PRICES!$E$2:$E$659),"Not Found"))</f>
        <v/>
      </c>
      <c r="Q333" s="100" t="str">
        <f>IF(N333=0,"",SUMIFS(PRICES!$G$2:$G$658,PRICES!$B$2:$B$658,'MAIN TABLE-1 AUTOMATED'!J333,PRICES!$C$2:$C$658,'MAIN TABLE-1 AUTOMATED'!F333,PRICES!$D$2:$D$658,'MAIN TABLE-1 AUTOMATED'!O333))</f>
        <v/>
      </c>
      <c r="R333" s="41" t="str">
        <f>IF(Table1[[#This Row],[QUANTITY]]=0,"",Table1[[#This Row],[UNIT PRICE]]*Table1[[#This Row],[QUANTITY]])</f>
        <v/>
      </c>
      <c r="S333" s="89"/>
      <c r="T333" s="38"/>
      <c r="U333" s="43"/>
      <c r="V333" s="42" t="str">
        <f>IF(Table1[[#This Row],[DATE]]=0,"",YEAR(E333))</f>
        <v/>
      </c>
      <c r="W333" s="40" t="str">
        <f t="shared" si="10"/>
        <v/>
      </c>
      <c r="X333" s="40" t="str">
        <f t="shared" si="11"/>
        <v/>
      </c>
      <c r="Y333" s="40" t="str">
        <f>TEXT(Table1[[#This Row],[YEAR]],"0000")&amp;"-"&amp;Table1[[#This Row],[MONTH]]</f>
        <v>-</v>
      </c>
    </row>
    <row r="334" spans="1:25" ht="18" x14ac:dyDescent="0.35">
      <c r="A334" s="24"/>
      <c r="B334" s="38"/>
      <c r="C334" s="38"/>
      <c r="D334" s="38"/>
      <c r="E334" s="37"/>
      <c r="F334" s="38"/>
      <c r="G334" s="198"/>
      <c r="H334" s="198"/>
      <c r="I334" s="39"/>
      <c r="J334" s="38"/>
      <c r="K334" s="198"/>
      <c r="L334" s="38"/>
      <c r="M334" s="38"/>
      <c r="N334" s="38"/>
      <c r="O334" s="38"/>
      <c r="P334" s="40" t="str" cm="1">
        <f t="array" ref="P334">IF(N334="","",IFERROR(_xlfn.XLOOKUP(F334&amp;"|"&amp;J334&amp;"|"&amp;O334,PRICES!$C$2:$C$659&amp;"|"&amp;PRICES!$B$2:$B$659&amp;"|"&amp;PRICES!$D$2:$D$659,PRICES!$E$2:$E$659),"Not Found"))</f>
        <v/>
      </c>
      <c r="Q334" s="100" t="str">
        <f>IF(N334=0,"",SUMIFS(PRICES!$G$2:$G$658,PRICES!$B$2:$B$658,'MAIN TABLE-1 AUTOMATED'!J334,PRICES!$C$2:$C$658,'MAIN TABLE-1 AUTOMATED'!F334,PRICES!$D$2:$D$658,'MAIN TABLE-1 AUTOMATED'!O334))</f>
        <v/>
      </c>
      <c r="R334" s="41" t="str">
        <f>IF(Table1[[#This Row],[QUANTITY]]=0,"",Table1[[#This Row],[UNIT PRICE]]*Table1[[#This Row],[QUANTITY]])</f>
        <v/>
      </c>
      <c r="S334" s="89"/>
      <c r="T334" s="38"/>
      <c r="U334" s="43"/>
      <c r="V334" s="42" t="str">
        <f>IF(Table1[[#This Row],[DATE]]=0,"",YEAR(E334))</f>
        <v/>
      </c>
      <c r="W334" s="40" t="str">
        <f t="shared" si="10"/>
        <v/>
      </c>
      <c r="X334" s="40" t="str">
        <f t="shared" si="11"/>
        <v/>
      </c>
      <c r="Y334" s="40" t="str">
        <f>TEXT(Table1[[#This Row],[YEAR]],"0000")&amp;"-"&amp;Table1[[#This Row],[MONTH]]</f>
        <v>-</v>
      </c>
    </row>
    <row r="335" spans="1:25" ht="18" x14ac:dyDescent="0.35">
      <c r="A335" s="24"/>
      <c r="B335" s="38"/>
      <c r="C335" s="38"/>
      <c r="D335" s="38"/>
      <c r="E335" s="37"/>
      <c r="F335" s="38"/>
      <c r="G335" s="198"/>
      <c r="H335" s="198"/>
      <c r="I335" s="39"/>
      <c r="J335" s="38"/>
      <c r="K335" s="198"/>
      <c r="L335" s="38"/>
      <c r="M335" s="38"/>
      <c r="N335" s="38"/>
      <c r="O335" s="38"/>
      <c r="P335" s="40" t="str" cm="1">
        <f t="array" ref="P335">IF(N335="","",IFERROR(_xlfn.XLOOKUP(F335&amp;"|"&amp;J335&amp;"|"&amp;O335,PRICES!$C$2:$C$659&amp;"|"&amp;PRICES!$B$2:$B$659&amp;"|"&amp;PRICES!$D$2:$D$659,PRICES!$E$2:$E$659),"Not Found"))</f>
        <v/>
      </c>
      <c r="Q335" s="100" t="str">
        <f>IF(N335=0,"",SUMIFS(PRICES!$G$2:$G$658,PRICES!$B$2:$B$658,'MAIN TABLE-1 AUTOMATED'!J335,PRICES!$C$2:$C$658,'MAIN TABLE-1 AUTOMATED'!F335,PRICES!$D$2:$D$658,'MAIN TABLE-1 AUTOMATED'!O335))</f>
        <v/>
      </c>
      <c r="R335" s="41" t="str">
        <f>IF(Table1[[#This Row],[QUANTITY]]=0,"",Table1[[#This Row],[UNIT PRICE]]*Table1[[#This Row],[QUANTITY]])</f>
        <v/>
      </c>
      <c r="S335" s="89"/>
      <c r="T335" s="38"/>
      <c r="U335" s="43"/>
      <c r="V335" s="42" t="str">
        <f>IF(Table1[[#This Row],[DATE]]=0,"",YEAR(E335))</f>
        <v/>
      </c>
      <c r="W335" s="40" t="str">
        <f t="shared" si="10"/>
        <v/>
      </c>
      <c r="X335" s="40" t="str">
        <f t="shared" si="11"/>
        <v/>
      </c>
      <c r="Y335" s="40" t="str">
        <f>TEXT(Table1[[#This Row],[YEAR]],"0000")&amp;"-"&amp;Table1[[#This Row],[MONTH]]</f>
        <v>-</v>
      </c>
    </row>
    <row r="336" spans="1:25" ht="18" x14ac:dyDescent="0.35">
      <c r="A336" s="24"/>
      <c r="B336" s="38"/>
      <c r="C336" s="38"/>
      <c r="D336" s="38"/>
      <c r="E336" s="37"/>
      <c r="F336" s="38"/>
      <c r="G336" s="198"/>
      <c r="H336" s="198"/>
      <c r="I336" s="39"/>
      <c r="J336" s="38"/>
      <c r="K336" s="198"/>
      <c r="L336" s="38"/>
      <c r="M336" s="38"/>
      <c r="N336" s="38"/>
      <c r="O336" s="38"/>
      <c r="P336" s="40" t="str" cm="1">
        <f t="array" ref="P336">IF(N336="","",IFERROR(_xlfn.XLOOKUP(F336&amp;"|"&amp;J336&amp;"|"&amp;O336,PRICES!$C$2:$C$659&amp;"|"&amp;PRICES!$B$2:$B$659&amp;"|"&amp;PRICES!$D$2:$D$659,PRICES!$E$2:$E$659),"Not Found"))</f>
        <v/>
      </c>
      <c r="Q336" s="100" t="str">
        <f>IF(N336=0,"",SUMIFS(PRICES!$G$2:$G$658,PRICES!$B$2:$B$658,'MAIN TABLE-1 AUTOMATED'!J336,PRICES!$C$2:$C$658,'MAIN TABLE-1 AUTOMATED'!F336,PRICES!$D$2:$D$658,'MAIN TABLE-1 AUTOMATED'!O336))</f>
        <v/>
      </c>
      <c r="R336" s="41" t="str">
        <f>IF(Table1[[#This Row],[QUANTITY]]=0,"",Table1[[#This Row],[UNIT PRICE]]*Table1[[#This Row],[QUANTITY]])</f>
        <v/>
      </c>
      <c r="S336" s="89"/>
      <c r="T336" s="38"/>
      <c r="U336" s="43"/>
      <c r="V336" s="42" t="str">
        <f>IF(Table1[[#This Row],[DATE]]=0,"",YEAR(E336))</f>
        <v/>
      </c>
      <c r="W336" s="40" t="str">
        <f t="shared" si="10"/>
        <v/>
      </c>
      <c r="X336" s="40" t="str">
        <f t="shared" si="11"/>
        <v/>
      </c>
      <c r="Y336" s="40" t="str">
        <f>TEXT(Table1[[#This Row],[YEAR]],"0000")&amp;"-"&amp;Table1[[#This Row],[MONTH]]</f>
        <v>-</v>
      </c>
    </row>
    <row r="337" spans="1:25" ht="18" x14ac:dyDescent="0.35">
      <c r="A337" s="24"/>
      <c r="B337" s="38"/>
      <c r="C337" s="38"/>
      <c r="D337" s="38"/>
      <c r="E337" s="37"/>
      <c r="F337" s="38"/>
      <c r="G337" s="198"/>
      <c r="H337" s="198"/>
      <c r="I337" s="39"/>
      <c r="J337" s="38"/>
      <c r="K337" s="198"/>
      <c r="L337" s="38"/>
      <c r="M337" s="38"/>
      <c r="N337" s="38"/>
      <c r="O337" s="38"/>
      <c r="P337" s="40" t="str" cm="1">
        <f t="array" ref="P337">IF(N337="","",IFERROR(_xlfn.XLOOKUP(F337&amp;"|"&amp;J337&amp;"|"&amp;O337,PRICES!$C$2:$C$659&amp;"|"&amp;PRICES!$B$2:$B$659&amp;"|"&amp;PRICES!$D$2:$D$659,PRICES!$E$2:$E$659),"Not Found"))</f>
        <v/>
      </c>
      <c r="Q337" s="100" t="str">
        <f>IF(N337=0,"",SUMIFS(PRICES!$G$2:$G$658,PRICES!$B$2:$B$658,'MAIN TABLE-1 AUTOMATED'!J337,PRICES!$C$2:$C$658,'MAIN TABLE-1 AUTOMATED'!F337,PRICES!$D$2:$D$658,'MAIN TABLE-1 AUTOMATED'!O337))</f>
        <v/>
      </c>
      <c r="R337" s="41" t="str">
        <f>IF(Table1[[#This Row],[QUANTITY]]=0,"",Table1[[#This Row],[UNIT PRICE]]*Table1[[#This Row],[QUANTITY]])</f>
        <v/>
      </c>
      <c r="S337" s="89"/>
      <c r="T337" s="38"/>
      <c r="U337" s="43"/>
      <c r="V337" s="42" t="str">
        <f>IF(Table1[[#This Row],[DATE]]=0,"",YEAR(E337))</f>
        <v/>
      </c>
      <c r="W337" s="40" t="str">
        <f t="shared" si="10"/>
        <v/>
      </c>
      <c r="X337" s="40" t="str">
        <f t="shared" si="11"/>
        <v/>
      </c>
      <c r="Y337" s="40" t="str">
        <f>TEXT(Table1[[#This Row],[YEAR]],"0000")&amp;"-"&amp;Table1[[#This Row],[MONTH]]</f>
        <v>-</v>
      </c>
    </row>
    <row r="338" spans="1:25" ht="18" x14ac:dyDescent="0.35">
      <c r="A338" s="24"/>
      <c r="B338" s="38"/>
      <c r="C338" s="38"/>
      <c r="D338" s="38"/>
      <c r="E338" s="37"/>
      <c r="F338" s="38"/>
      <c r="G338" s="198"/>
      <c r="H338" s="198"/>
      <c r="I338" s="39"/>
      <c r="J338" s="38"/>
      <c r="K338" s="198"/>
      <c r="L338" s="38"/>
      <c r="M338" s="38"/>
      <c r="N338" s="38"/>
      <c r="O338" s="38"/>
      <c r="P338" s="40" t="str" cm="1">
        <f t="array" ref="P338">IF(N338="","",IFERROR(_xlfn.XLOOKUP(F338&amp;"|"&amp;J338&amp;"|"&amp;O338,PRICES!$C$2:$C$659&amp;"|"&amp;PRICES!$B$2:$B$659&amp;"|"&amp;PRICES!$D$2:$D$659,PRICES!$E$2:$E$659),"Not Found"))</f>
        <v/>
      </c>
      <c r="Q338" s="100" t="str">
        <f>IF(N338=0,"",SUMIFS(PRICES!$G$2:$G$658,PRICES!$B$2:$B$658,'MAIN TABLE-1 AUTOMATED'!J338,PRICES!$C$2:$C$658,'MAIN TABLE-1 AUTOMATED'!F338,PRICES!$D$2:$D$658,'MAIN TABLE-1 AUTOMATED'!O338))</f>
        <v/>
      </c>
      <c r="R338" s="41" t="str">
        <f>IF(Table1[[#This Row],[QUANTITY]]=0,"",Table1[[#This Row],[UNIT PRICE]]*Table1[[#This Row],[QUANTITY]])</f>
        <v/>
      </c>
      <c r="S338" s="89"/>
      <c r="T338" s="38"/>
      <c r="U338" s="43"/>
      <c r="V338" s="42" t="str">
        <f>IF(Table1[[#This Row],[DATE]]=0,"",YEAR(E338))</f>
        <v/>
      </c>
      <c r="W338" s="40" t="str">
        <f t="shared" si="10"/>
        <v/>
      </c>
      <c r="X338" s="40" t="str">
        <f t="shared" si="11"/>
        <v/>
      </c>
      <c r="Y338" s="40" t="str">
        <f>TEXT(Table1[[#This Row],[YEAR]],"0000")&amp;"-"&amp;Table1[[#This Row],[MONTH]]</f>
        <v>-</v>
      </c>
    </row>
    <row r="339" spans="1:25" ht="18" x14ac:dyDescent="0.35">
      <c r="A339" s="24"/>
      <c r="B339" s="38"/>
      <c r="C339" s="38"/>
      <c r="D339" s="38"/>
      <c r="E339" s="37"/>
      <c r="F339" s="38"/>
      <c r="G339" s="198"/>
      <c r="H339" s="198"/>
      <c r="I339" s="39"/>
      <c r="J339" s="38"/>
      <c r="K339" s="198"/>
      <c r="L339" s="38"/>
      <c r="M339" s="38"/>
      <c r="N339" s="38"/>
      <c r="O339" s="38"/>
      <c r="P339" s="40" t="str" cm="1">
        <f t="array" ref="P339">IF(N339="","",IFERROR(_xlfn.XLOOKUP(F339&amp;"|"&amp;J339&amp;"|"&amp;O339,PRICES!$C$2:$C$659&amp;"|"&amp;PRICES!$B$2:$B$659&amp;"|"&amp;PRICES!$D$2:$D$659,PRICES!$E$2:$E$659),"Not Found"))</f>
        <v/>
      </c>
      <c r="Q339" s="100" t="str">
        <f>IF(N339=0,"",SUMIFS(PRICES!$G$2:$G$658,PRICES!$B$2:$B$658,'MAIN TABLE-1 AUTOMATED'!J339,PRICES!$C$2:$C$658,'MAIN TABLE-1 AUTOMATED'!F339,PRICES!$D$2:$D$658,'MAIN TABLE-1 AUTOMATED'!O339))</f>
        <v/>
      </c>
      <c r="R339" s="41" t="str">
        <f>IF(Table1[[#This Row],[QUANTITY]]=0,"",Table1[[#This Row],[UNIT PRICE]]*Table1[[#This Row],[QUANTITY]])</f>
        <v/>
      </c>
      <c r="S339" s="89"/>
      <c r="T339" s="38"/>
      <c r="U339" s="43"/>
      <c r="V339" s="42" t="str">
        <f>IF(Table1[[#This Row],[DATE]]=0,"",YEAR(E339))</f>
        <v/>
      </c>
      <c r="W339" s="40" t="str">
        <f t="shared" si="10"/>
        <v/>
      </c>
      <c r="X339" s="40" t="str">
        <f t="shared" si="11"/>
        <v/>
      </c>
      <c r="Y339" s="40" t="str">
        <f>TEXT(Table1[[#This Row],[YEAR]],"0000")&amp;"-"&amp;Table1[[#This Row],[MONTH]]</f>
        <v>-</v>
      </c>
    </row>
    <row r="340" spans="1:25" ht="18" x14ac:dyDescent="0.35">
      <c r="A340" s="24"/>
      <c r="B340" s="38"/>
      <c r="C340" s="38"/>
      <c r="D340" s="38"/>
      <c r="E340" s="37"/>
      <c r="F340" s="38"/>
      <c r="G340" s="198"/>
      <c r="H340" s="198"/>
      <c r="I340" s="39"/>
      <c r="J340" s="38"/>
      <c r="K340" s="198"/>
      <c r="L340" s="38"/>
      <c r="M340" s="38"/>
      <c r="N340" s="38"/>
      <c r="O340" s="38"/>
      <c r="P340" s="40" t="str" cm="1">
        <f t="array" ref="P340">IF(N340="","",IFERROR(_xlfn.XLOOKUP(F340&amp;"|"&amp;J340&amp;"|"&amp;O340,PRICES!$C$2:$C$659&amp;"|"&amp;PRICES!$B$2:$B$659&amp;"|"&amp;PRICES!$D$2:$D$659,PRICES!$E$2:$E$659),"Not Found"))</f>
        <v/>
      </c>
      <c r="Q340" s="100" t="str">
        <f>IF(N340=0,"",SUMIFS(PRICES!$G$2:$G$658,PRICES!$B$2:$B$658,'MAIN TABLE-1 AUTOMATED'!J340,PRICES!$C$2:$C$658,'MAIN TABLE-1 AUTOMATED'!F340,PRICES!$D$2:$D$658,'MAIN TABLE-1 AUTOMATED'!O340))</f>
        <v/>
      </c>
      <c r="R340" s="41" t="str">
        <f>IF(Table1[[#This Row],[QUANTITY]]=0,"",Table1[[#This Row],[UNIT PRICE]]*Table1[[#This Row],[QUANTITY]])</f>
        <v/>
      </c>
      <c r="S340" s="89"/>
      <c r="T340" s="38"/>
      <c r="U340" s="43"/>
      <c r="V340" s="42" t="str">
        <f>IF(Table1[[#This Row],[DATE]]=0,"",YEAR(E340))</f>
        <v/>
      </c>
      <c r="W340" s="40" t="str">
        <f t="shared" si="10"/>
        <v/>
      </c>
      <c r="X340" s="40" t="str">
        <f t="shared" si="11"/>
        <v/>
      </c>
      <c r="Y340" s="40" t="str">
        <f>TEXT(Table1[[#This Row],[YEAR]],"0000")&amp;"-"&amp;Table1[[#This Row],[MONTH]]</f>
        <v>-</v>
      </c>
    </row>
    <row r="341" spans="1:25" ht="18" x14ac:dyDescent="0.35">
      <c r="A341" s="24"/>
      <c r="B341" s="38"/>
      <c r="C341" s="38"/>
      <c r="D341" s="38"/>
      <c r="E341" s="37"/>
      <c r="F341" s="38"/>
      <c r="G341" s="198"/>
      <c r="H341" s="198"/>
      <c r="I341" s="39"/>
      <c r="J341" s="38"/>
      <c r="K341" s="198"/>
      <c r="L341" s="38"/>
      <c r="M341" s="38"/>
      <c r="N341" s="38"/>
      <c r="O341" s="38"/>
      <c r="P341" s="40" t="str" cm="1">
        <f t="array" ref="P341">IF(N341="","",IFERROR(_xlfn.XLOOKUP(F341&amp;"|"&amp;J341&amp;"|"&amp;O341,PRICES!$C$2:$C$659&amp;"|"&amp;PRICES!$B$2:$B$659&amp;"|"&amp;PRICES!$D$2:$D$659,PRICES!$E$2:$E$659),"Not Found"))</f>
        <v/>
      </c>
      <c r="Q341" s="100" t="str">
        <f>IF(N341=0,"",SUMIFS(PRICES!$G$2:$G$658,PRICES!$B$2:$B$658,'MAIN TABLE-1 AUTOMATED'!J341,PRICES!$C$2:$C$658,'MAIN TABLE-1 AUTOMATED'!F341,PRICES!$D$2:$D$658,'MAIN TABLE-1 AUTOMATED'!O341))</f>
        <v/>
      </c>
      <c r="R341" s="41" t="str">
        <f>IF(Table1[[#This Row],[QUANTITY]]=0,"",Table1[[#This Row],[UNIT PRICE]]*Table1[[#This Row],[QUANTITY]])</f>
        <v/>
      </c>
      <c r="S341" s="89"/>
      <c r="T341" s="38"/>
      <c r="U341" s="43"/>
      <c r="V341" s="42" t="str">
        <f>IF(Table1[[#This Row],[DATE]]=0,"",YEAR(E341))</f>
        <v/>
      </c>
      <c r="W341" s="40" t="str">
        <f t="shared" si="10"/>
        <v/>
      </c>
      <c r="X341" s="40" t="str">
        <f t="shared" si="11"/>
        <v/>
      </c>
      <c r="Y341" s="40" t="str">
        <f>TEXT(Table1[[#This Row],[YEAR]],"0000")&amp;"-"&amp;Table1[[#This Row],[MONTH]]</f>
        <v>-</v>
      </c>
    </row>
    <row r="342" spans="1:25" ht="18" x14ac:dyDescent="0.35">
      <c r="A342" s="24"/>
      <c r="B342" s="36"/>
      <c r="C342" s="36"/>
      <c r="D342" s="36"/>
      <c r="E342" s="37"/>
      <c r="F342" s="38"/>
      <c r="G342" s="198"/>
      <c r="H342" s="198"/>
      <c r="I342" s="39"/>
      <c r="J342" s="38"/>
      <c r="K342" s="198"/>
      <c r="L342" s="38"/>
      <c r="M342" s="38"/>
      <c r="N342" s="38"/>
      <c r="O342" s="38"/>
      <c r="P342" s="40" t="str" cm="1">
        <f t="array" ref="P342">IF(N342="","",IFERROR(_xlfn.XLOOKUP(F342&amp;"|"&amp;J342&amp;"|"&amp;O342,PRICES!$C$2:$C$659&amp;"|"&amp;PRICES!$B$2:$B$659&amp;"|"&amp;PRICES!$D$2:$D$659,PRICES!$E$2:$E$659),"Not Found"))</f>
        <v/>
      </c>
      <c r="Q342" s="100" t="str">
        <f>IF(N342=0,"",SUMIFS(PRICES!$G$2:$G$658,PRICES!$B$2:$B$658,'MAIN TABLE-1 AUTOMATED'!J342,PRICES!$C$2:$C$658,'MAIN TABLE-1 AUTOMATED'!F342,PRICES!$D$2:$D$658,'MAIN TABLE-1 AUTOMATED'!O342))</f>
        <v/>
      </c>
      <c r="R342" s="41" t="str">
        <f>IF(Table1[[#This Row],[QUANTITY]]=0,"",Table1[[#This Row],[UNIT PRICE]]*Table1[[#This Row],[QUANTITY]])</f>
        <v/>
      </c>
      <c r="S342" s="89"/>
      <c r="T342" s="38"/>
      <c r="U342" s="43"/>
      <c r="V342" s="42" t="str">
        <f>IF(Table1[[#This Row],[DATE]]=0,"",YEAR(E342))</f>
        <v/>
      </c>
      <c r="W342" s="40" t="str">
        <f t="shared" si="10"/>
        <v/>
      </c>
      <c r="X342" s="40" t="str">
        <f t="shared" si="11"/>
        <v/>
      </c>
      <c r="Y342" s="40" t="str">
        <f>TEXT(Table1[[#This Row],[YEAR]],"0000")&amp;"-"&amp;Table1[[#This Row],[MONTH]]</f>
        <v>-</v>
      </c>
    </row>
    <row r="343" spans="1:25" ht="18" x14ac:dyDescent="0.35">
      <c r="A343" s="24"/>
      <c r="B343" s="38"/>
      <c r="C343" s="38"/>
      <c r="D343" s="38"/>
      <c r="E343" s="37"/>
      <c r="F343" s="38"/>
      <c r="G343" s="198"/>
      <c r="H343" s="198"/>
      <c r="I343" s="39"/>
      <c r="J343" s="38"/>
      <c r="K343" s="198"/>
      <c r="L343" s="38"/>
      <c r="M343" s="38"/>
      <c r="N343" s="38"/>
      <c r="O343" s="38"/>
      <c r="P343" s="40" t="str" cm="1">
        <f t="array" ref="P343">IF(N343="","",IFERROR(_xlfn.XLOOKUP(F343&amp;"|"&amp;J343&amp;"|"&amp;O343,PRICES!$C$2:$C$659&amp;"|"&amp;PRICES!$B$2:$B$659&amp;"|"&amp;PRICES!$D$2:$D$659,PRICES!$E$2:$E$659),"Not Found"))</f>
        <v/>
      </c>
      <c r="Q343" s="100" t="str">
        <f>IF(N343=0,"",SUMIFS(PRICES!$G$2:$G$658,PRICES!$B$2:$B$658,'MAIN TABLE-1 AUTOMATED'!J343,PRICES!$C$2:$C$658,'MAIN TABLE-1 AUTOMATED'!F343,PRICES!$D$2:$D$658,'MAIN TABLE-1 AUTOMATED'!O343))</f>
        <v/>
      </c>
      <c r="R343" s="41" t="str">
        <f>IF(Table1[[#This Row],[QUANTITY]]=0,"",Table1[[#This Row],[UNIT PRICE]]*Table1[[#This Row],[QUANTITY]])</f>
        <v/>
      </c>
      <c r="S343" s="89"/>
      <c r="T343" s="38"/>
      <c r="U343" s="43"/>
      <c r="V343" s="42" t="str">
        <f>IF(Table1[[#This Row],[DATE]]=0,"",YEAR(E343))</f>
        <v/>
      </c>
      <c r="W343" s="40" t="str">
        <f t="shared" si="10"/>
        <v/>
      </c>
      <c r="X343" s="40" t="str">
        <f t="shared" si="11"/>
        <v/>
      </c>
      <c r="Y343" s="40" t="str">
        <f>TEXT(Table1[[#This Row],[YEAR]],"0000")&amp;"-"&amp;Table1[[#This Row],[MONTH]]</f>
        <v>-</v>
      </c>
    </row>
    <row r="344" spans="1:25" ht="18" x14ac:dyDescent="0.35">
      <c r="A344" s="24"/>
      <c r="B344" s="38"/>
      <c r="C344" s="38"/>
      <c r="D344" s="38"/>
      <c r="E344" s="37"/>
      <c r="F344" s="38"/>
      <c r="G344" s="198"/>
      <c r="H344" s="198"/>
      <c r="I344" s="39"/>
      <c r="J344" s="38"/>
      <c r="K344" s="198"/>
      <c r="L344" s="38"/>
      <c r="M344" s="38"/>
      <c r="N344" s="38"/>
      <c r="O344" s="38"/>
      <c r="P344" s="40" t="str" cm="1">
        <f t="array" ref="P344">IF(N344="","",IFERROR(_xlfn.XLOOKUP(F344&amp;"|"&amp;J344&amp;"|"&amp;O344,PRICES!$C$2:$C$659&amp;"|"&amp;PRICES!$B$2:$B$659&amp;"|"&amp;PRICES!$D$2:$D$659,PRICES!$E$2:$E$659),"Not Found"))</f>
        <v/>
      </c>
      <c r="Q344" s="100" t="str">
        <f>IF(N344=0,"",SUMIFS(PRICES!$G$2:$G$658,PRICES!$B$2:$B$658,'MAIN TABLE-1 AUTOMATED'!J344,PRICES!$C$2:$C$658,'MAIN TABLE-1 AUTOMATED'!F344,PRICES!$D$2:$D$658,'MAIN TABLE-1 AUTOMATED'!O344))</f>
        <v/>
      </c>
      <c r="R344" s="41" t="str">
        <f>IF(Table1[[#This Row],[QUANTITY]]=0,"",Table1[[#This Row],[UNIT PRICE]]*Table1[[#This Row],[QUANTITY]])</f>
        <v/>
      </c>
      <c r="S344" s="89"/>
      <c r="T344" s="38"/>
      <c r="U344" s="43"/>
      <c r="V344" s="42" t="str">
        <f>IF(Table1[[#This Row],[DATE]]=0,"",YEAR(E344))</f>
        <v/>
      </c>
      <c r="W344" s="40" t="str">
        <f t="shared" si="10"/>
        <v/>
      </c>
      <c r="X344" s="40" t="str">
        <f t="shared" si="11"/>
        <v/>
      </c>
      <c r="Y344" s="40" t="str">
        <f>TEXT(Table1[[#This Row],[YEAR]],"0000")&amp;"-"&amp;Table1[[#This Row],[MONTH]]</f>
        <v>-</v>
      </c>
    </row>
    <row r="345" spans="1:25" ht="18" x14ac:dyDescent="0.35">
      <c r="A345" s="24"/>
      <c r="B345" s="38"/>
      <c r="C345" s="38"/>
      <c r="D345" s="38"/>
      <c r="E345" s="37"/>
      <c r="F345" s="38"/>
      <c r="G345" s="198"/>
      <c r="H345" s="198"/>
      <c r="I345" s="39"/>
      <c r="J345" s="38"/>
      <c r="K345" s="198"/>
      <c r="L345" s="38"/>
      <c r="M345" s="38"/>
      <c r="N345" s="38"/>
      <c r="O345" s="38"/>
      <c r="P345" s="40" t="str" cm="1">
        <f t="array" ref="P345">IF(N345="","",IFERROR(_xlfn.XLOOKUP(F345&amp;"|"&amp;J345&amp;"|"&amp;O345,PRICES!$C$2:$C$659&amp;"|"&amp;PRICES!$B$2:$B$659&amp;"|"&amp;PRICES!$D$2:$D$659,PRICES!$E$2:$E$659),"Not Found"))</f>
        <v/>
      </c>
      <c r="Q345" s="100" t="str">
        <f>IF(N345=0,"",SUMIFS(PRICES!$G$2:$G$658,PRICES!$B$2:$B$658,'MAIN TABLE-1 AUTOMATED'!J345,PRICES!$C$2:$C$658,'MAIN TABLE-1 AUTOMATED'!F345,PRICES!$D$2:$D$658,'MAIN TABLE-1 AUTOMATED'!O345))</f>
        <v/>
      </c>
      <c r="R345" s="41" t="str">
        <f>IF(Table1[[#This Row],[QUANTITY]]=0,"",Table1[[#This Row],[UNIT PRICE]]*Table1[[#This Row],[QUANTITY]])</f>
        <v/>
      </c>
      <c r="S345" s="89"/>
      <c r="T345" s="38"/>
      <c r="U345" s="43"/>
      <c r="V345" s="42" t="str">
        <f>IF(Table1[[#This Row],[DATE]]=0,"",YEAR(E345))</f>
        <v/>
      </c>
      <c r="W345" s="40" t="str">
        <f t="shared" si="10"/>
        <v/>
      </c>
      <c r="X345" s="40" t="str">
        <f t="shared" si="11"/>
        <v/>
      </c>
      <c r="Y345" s="40" t="str">
        <f>TEXT(Table1[[#This Row],[YEAR]],"0000")&amp;"-"&amp;Table1[[#This Row],[MONTH]]</f>
        <v>-</v>
      </c>
    </row>
    <row r="346" spans="1:25" ht="18" x14ac:dyDescent="0.35">
      <c r="A346" s="24"/>
      <c r="B346" s="38"/>
      <c r="C346" s="38"/>
      <c r="D346" s="38"/>
      <c r="E346" s="37"/>
      <c r="F346" s="38"/>
      <c r="G346" s="198"/>
      <c r="H346" s="198"/>
      <c r="I346" s="39"/>
      <c r="J346" s="38"/>
      <c r="K346" s="198"/>
      <c r="L346" s="38"/>
      <c r="M346" s="38"/>
      <c r="N346" s="38"/>
      <c r="O346" s="38"/>
      <c r="P346" s="40" t="str" cm="1">
        <f t="array" ref="P346">IF(N346="","",IFERROR(_xlfn.XLOOKUP(F346&amp;"|"&amp;J346&amp;"|"&amp;O346,PRICES!$C$2:$C$659&amp;"|"&amp;PRICES!$B$2:$B$659&amp;"|"&amp;PRICES!$D$2:$D$659,PRICES!$E$2:$E$659),"Not Found"))</f>
        <v/>
      </c>
      <c r="Q346" s="100" t="str">
        <f>IF(N346=0,"",SUMIFS(PRICES!$G$2:$G$658,PRICES!$B$2:$B$658,'MAIN TABLE-1 AUTOMATED'!J346,PRICES!$C$2:$C$658,'MAIN TABLE-1 AUTOMATED'!F346,PRICES!$D$2:$D$658,'MAIN TABLE-1 AUTOMATED'!O346))</f>
        <v/>
      </c>
      <c r="R346" s="41" t="str">
        <f>IF(Table1[[#This Row],[QUANTITY]]=0,"",Table1[[#This Row],[UNIT PRICE]]*Table1[[#This Row],[QUANTITY]])</f>
        <v/>
      </c>
      <c r="S346" s="89"/>
      <c r="T346" s="38"/>
      <c r="U346" s="43"/>
      <c r="V346" s="42" t="str">
        <f>IF(Table1[[#This Row],[DATE]]=0,"",YEAR(E346))</f>
        <v/>
      </c>
      <c r="W346" s="40" t="str">
        <f t="shared" si="10"/>
        <v/>
      </c>
      <c r="X346" s="40" t="str">
        <f t="shared" si="11"/>
        <v/>
      </c>
      <c r="Y346" s="40" t="str">
        <f>TEXT(Table1[[#This Row],[YEAR]],"0000")&amp;"-"&amp;Table1[[#This Row],[MONTH]]</f>
        <v>-</v>
      </c>
    </row>
    <row r="347" spans="1:25" ht="18" x14ac:dyDescent="0.35">
      <c r="A347" s="24"/>
      <c r="B347" s="38"/>
      <c r="C347" s="38"/>
      <c r="D347" s="38"/>
      <c r="E347" s="37"/>
      <c r="F347" s="38"/>
      <c r="G347" s="198"/>
      <c r="H347" s="198"/>
      <c r="I347" s="39"/>
      <c r="J347" s="38"/>
      <c r="K347" s="198"/>
      <c r="L347" s="38"/>
      <c r="M347" s="38"/>
      <c r="N347" s="38"/>
      <c r="O347" s="38"/>
      <c r="P347" s="40" t="str" cm="1">
        <f t="array" ref="P347">IF(N347="","",IFERROR(_xlfn.XLOOKUP(F347&amp;"|"&amp;J347&amp;"|"&amp;O347,PRICES!$C$2:$C$659&amp;"|"&amp;PRICES!$B$2:$B$659&amp;"|"&amp;PRICES!$D$2:$D$659,PRICES!$E$2:$E$659),"Not Found"))</f>
        <v/>
      </c>
      <c r="Q347" s="100" t="str">
        <f>IF(N347=0,"",SUMIFS(PRICES!$G$2:$G$658,PRICES!$B$2:$B$658,'MAIN TABLE-1 AUTOMATED'!J347,PRICES!$C$2:$C$658,'MAIN TABLE-1 AUTOMATED'!F347,PRICES!$D$2:$D$658,'MAIN TABLE-1 AUTOMATED'!O347))</f>
        <v/>
      </c>
      <c r="R347" s="41" t="str">
        <f>IF(Table1[[#This Row],[QUANTITY]]=0,"",Table1[[#This Row],[UNIT PRICE]]*Table1[[#This Row],[QUANTITY]])</f>
        <v/>
      </c>
      <c r="S347" s="89"/>
      <c r="T347" s="38"/>
      <c r="U347" s="43"/>
      <c r="V347" s="42" t="str">
        <f>IF(Table1[[#This Row],[DATE]]=0,"",YEAR(E347))</f>
        <v/>
      </c>
      <c r="W347" s="40" t="str">
        <f t="shared" si="10"/>
        <v/>
      </c>
      <c r="X347" s="40" t="str">
        <f t="shared" si="11"/>
        <v/>
      </c>
      <c r="Y347" s="40" t="str">
        <f>TEXT(Table1[[#This Row],[YEAR]],"0000")&amp;"-"&amp;Table1[[#This Row],[MONTH]]</f>
        <v>-</v>
      </c>
    </row>
    <row r="348" spans="1:25" ht="18" x14ac:dyDescent="0.35">
      <c r="A348" s="24"/>
      <c r="B348" s="38"/>
      <c r="C348" s="38"/>
      <c r="D348" s="38"/>
      <c r="E348" s="37"/>
      <c r="F348" s="38"/>
      <c r="G348" s="198"/>
      <c r="H348" s="198"/>
      <c r="I348" s="39"/>
      <c r="J348" s="38"/>
      <c r="K348" s="198"/>
      <c r="L348" s="38"/>
      <c r="M348" s="38"/>
      <c r="N348" s="38"/>
      <c r="O348" s="38"/>
      <c r="P348" s="40" t="str" cm="1">
        <f t="array" ref="P348">IF(N348="","",IFERROR(_xlfn.XLOOKUP(F348&amp;"|"&amp;J348&amp;"|"&amp;O348,PRICES!$C$2:$C$659&amp;"|"&amp;PRICES!$B$2:$B$659&amp;"|"&amp;PRICES!$D$2:$D$659,PRICES!$E$2:$E$659),"Not Found"))</f>
        <v/>
      </c>
      <c r="Q348" s="100" t="str">
        <f>IF(N348=0,"",SUMIFS(PRICES!$G$2:$G$658,PRICES!$B$2:$B$658,'MAIN TABLE-1 AUTOMATED'!J348,PRICES!$C$2:$C$658,'MAIN TABLE-1 AUTOMATED'!F348,PRICES!$D$2:$D$658,'MAIN TABLE-1 AUTOMATED'!O348))</f>
        <v/>
      </c>
      <c r="R348" s="41" t="str">
        <f>IF(Table1[[#This Row],[QUANTITY]]=0,"",Table1[[#This Row],[UNIT PRICE]]*Table1[[#This Row],[QUANTITY]])</f>
        <v/>
      </c>
      <c r="S348" s="89"/>
      <c r="T348" s="38"/>
      <c r="U348" s="43"/>
      <c r="V348" s="42" t="str">
        <f>IF(Table1[[#This Row],[DATE]]=0,"",YEAR(E348))</f>
        <v/>
      </c>
      <c r="W348" s="40" t="str">
        <f t="shared" si="10"/>
        <v/>
      </c>
      <c r="X348" s="40" t="str">
        <f t="shared" si="11"/>
        <v/>
      </c>
      <c r="Y348" s="40" t="str">
        <f>TEXT(Table1[[#This Row],[YEAR]],"0000")&amp;"-"&amp;Table1[[#This Row],[MONTH]]</f>
        <v>-</v>
      </c>
    </row>
    <row r="349" spans="1:25" ht="18" x14ac:dyDescent="0.35">
      <c r="A349" s="24"/>
      <c r="B349" s="38"/>
      <c r="C349" s="38"/>
      <c r="D349" s="38"/>
      <c r="E349" s="37"/>
      <c r="F349" s="38"/>
      <c r="G349" s="198"/>
      <c r="H349" s="198"/>
      <c r="I349" s="39"/>
      <c r="J349" s="38"/>
      <c r="K349" s="198"/>
      <c r="L349" s="38"/>
      <c r="M349" s="38"/>
      <c r="N349" s="38"/>
      <c r="O349" s="38"/>
      <c r="P349" s="40" t="str" cm="1">
        <f t="array" ref="P349">IF(N349="","",IFERROR(_xlfn.XLOOKUP(F349&amp;"|"&amp;J349&amp;"|"&amp;O349,PRICES!$C$2:$C$659&amp;"|"&amp;PRICES!$B$2:$B$659&amp;"|"&amp;PRICES!$D$2:$D$659,PRICES!$E$2:$E$659),"Not Found"))</f>
        <v/>
      </c>
      <c r="Q349" s="100" t="str">
        <f>IF(N349=0,"",SUMIFS(PRICES!$G$2:$G$658,PRICES!$B$2:$B$658,'MAIN TABLE-1 AUTOMATED'!J349,PRICES!$C$2:$C$658,'MAIN TABLE-1 AUTOMATED'!F349,PRICES!$D$2:$D$658,'MAIN TABLE-1 AUTOMATED'!O349))</f>
        <v/>
      </c>
      <c r="R349" s="41" t="str">
        <f>IF(Table1[[#This Row],[QUANTITY]]=0,"",Table1[[#This Row],[UNIT PRICE]]*Table1[[#This Row],[QUANTITY]])</f>
        <v/>
      </c>
      <c r="S349" s="89"/>
      <c r="T349" s="38"/>
      <c r="U349" s="43"/>
      <c r="V349" s="42" t="str">
        <f>IF(Table1[[#This Row],[DATE]]=0,"",YEAR(E349))</f>
        <v/>
      </c>
      <c r="W349" s="40" t="str">
        <f t="shared" si="10"/>
        <v/>
      </c>
      <c r="X349" s="40" t="str">
        <f t="shared" si="11"/>
        <v/>
      </c>
      <c r="Y349" s="40" t="str">
        <f>TEXT(Table1[[#This Row],[YEAR]],"0000")&amp;"-"&amp;Table1[[#This Row],[MONTH]]</f>
        <v>-</v>
      </c>
    </row>
    <row r="350" spans="1:25" ht="18" x14ac:dyDescent="0.35">
      <c r="A350" s="24"/>
      <c r="B350" s="38"/>
      <c r="C350" s="38"/>
      <c r="D350" s="38"/>
      <c r="E350" s="37"/>
      <c r="F350" s="38"/>
      <c r="G350" s="198"/>
      <c r="H350" s="198"/>
      <c r="I350" s="39"/>
      <c r="J350" s="38"/>
      <c r="K350" s="198"/>
      <c r="L350" s="38"/>
      <c r="M350" s="38"/>
      <c r="N350" s="38"/>
      <c r="O350" s="38"/>
      <c r="P350" s="40" t="str" cm="1">
        <f t="array" ref="P350">IF(N350="","",IFERROR(_xlfn.XLOOKUP(F350&amp;"|"&amp;J350&amp;"|"&amp;O350,PRICES!$C$2:$C$659&amp;"|"&amp;PRICES!$B$2:$B$659&amp;"|"&amp;PRICES!$D$2:$D$659,PRICES!$E$2:$E$659),"Not Found"))</f>
        <v/>
      </c>
      <c r="Q350" s="100" t="str">
        <f>IF(N350=0,"",SUMIFS(PRICES!$G$2:$G$658,PRICES!$B$2:$B$658,'MAIN TABLE-1 AUTOMATED'!J350,PRICES!$C$2:$C$658,'MAIN TABLE-1 AUTOMATED'!F350,PRICES!$D$2:$D$658,'MAIN TABLE-1 AUTOMATED'!O350))</f>
        <v/>
      </c>
      <c r="R350" s="41" t="str">
        <f>IF(Table1[[#This Row],[QUANTITY]]=0,"",Table1[[#This Row],[UNIT PRICE]]*Table1[[#This Row],[QUANTITY]])</f>
        <v/>
      </c>
      <c r="S350" s="89"/>
      <c r="T350" s="38"/>
      <c r="U350" s="43"/>
      <c r="V350" s="42" t="str">
        <f>IF(Table1[[#This Row],[DATE]]=0,"",YEAR(E350))</f>
        <v/>
      </c>
      <c r="W350" s="40" t="str">
        <f t="shared" si="10"/>
        <v/>
      </c>
      <c r="X350" s="40" t="str">
        <f t="shared" si="11"/>
        <v/>
      </c>
      <c r="Y350" s="40" t="str">
        <f>TEXT(Table1[[#This Row],[YEAR]],"0000")&amp;"-"&amp;Table1[[#This Row],[MONTH]]</f>
        <v>-</v>
      </c>
    </row>
    <row r="351" spans="1:25" ht="18" x14ac:dyDescent="0.35">
      <c r="A351" s="24"/>
      <c r="B351" s="38"/>
      <c r="C351" s="38"/>
      <c r="D351" s="38"/>
      <c r="E351" s="37"/>
      <c r="F351" s="38"/>
      <c r="G351" s="198"/>
      <c r="H351" s="198"/>
      <c r="I351" s="39"/>
      <c r="J351" s="38"/>
      <c r="K351" s="198"/>
      <c r="L351" s="38"/>
      <c r="M351" s="38"/>
      <c r="N351" s="38"/>
      <c r="O351" s="38"/>
      <c r="P351" s="40" t="str" cm="1">
        <f t="array" ref="P351">IF(N351="","",IFERROR(_xlfn.XLOOKUP(F351&amp;"|"&amp;J351&amp;"|"&amp;O351,PRICES!$C$2:$C$659&amp;"|"&amp;PRICES!$B$2:$B$659&amp;"|"&amp;PRICES!$D$2:$D$659,PRICES!$E$2:$E$659),"Not Found"))</f>
        <v/>
      </c>
      <c r="Q351" s="100" t="str">
        <f>IF(N351=0,"",SUMIFS(PRICES!$G$2:$G$658,PRICES!$B$2:$B$658,'MAIN TABLE-1 AUTOMATED'!J351,PRICES!$C$2:$C$658,'MAIN TABLE-1 AUTOMATED'!F351,PRICES!$D$2:$D$658,'MAIN TABLE-1 AUTOMATED'!O351))</f>
        <v/>
      </c>
      <c r="R351" s="41" t="str">
        <f>IF(Table1[[#This Row],[QUANTITY]]=0,"",Table1[[#This Row],[UNIT PRICE]]*Table1[[#This Row],[QUANTITY]])</f>
        <v/>
      </c>
      <c r="S351" s="89"/>
      <c r="T351" s="38"/>
      <c r="U351" s="43"/>
      <c r="V351" s="42" t="str">
        <f>IF(Table1[[#This Row],[DATE]]=0,"",YEAR(E351))</f>
        <v/>
      </c>
      <c r="W351" s="40" t="str">
        <f t="shared" ref="W351:W414" si="12">IF(E351=0,"",MONTH(E351))</f>
        <v/>
      </c>
      <c r="X351" s="40" t="str">
        <f t="shared" ref="X351:X414" si="13">IF(E351=0,"",WEEKNUM(E351))</f>
        <v/>
      </c>
      <c r="Y351" s="40" t="str">
        <f>TEXT(Table1[[#This Row],[YEAR]],"0000")&amp;"-"&amp;Table1[[#This Row],[MONTH]]</f>
        <v>-</v>
      </c>
    </row>
    <row r="352" spans="1:25" ht="18" x14ac:dyDescent="0.35">
      <c r="A352" s="24"/>
      <c r="B352" s="38"/>
      <c r="C352" s="38"/>
      <c r="D352" s="38"/>
      <c r="E352" s="37"/>
      <c r="F352" s="38"/>
      <c r="G352" s="198"/>
      <c r="H352" s="198"/>
      <c r="I352" s="39"/>
      <c r="J352" s="38"/>
      <c r="K352" s="198"/>
      <c r="L352" s="38"/>
      <c r="M352" s="38"/>
      <c r="N352" s="38"/>
      <c r="O352" s="38"/>
      <c r="P352" s="40" t="str" cm="1">
        <f t="array" ref="P352">IF(N352="","",IFERROR(_xlfn.XLOOKUP(F352&amp;"|"&amp;J352&amp;"|"&amp;O352,PRICES!$C$2:$C$659&amp;"|"&amp;PRICES!$B$2:$B$659&amp;"|"&amp;PRICES!$D$2:$D$659,PRICES!$E$2:$E$659),"Not Found"))</f>
        <v/>
      </c>
      <c r="Q352" s="100" t="str">
        <f>IF(N352=0,"",SUMIFS(PRICES!$G$2:$G$658,PRICES!$B$2:$B$658,'MAIN TABLE-1 AUTOMATED'!J352,PRICES!$C$2:$C$658,'MAIN TABLE-1 AUTOMATED'!F352,PRICES!$D$2:$D$658,'MAIN TABLE-1 AUTOMATED'!O352))</f>
        <v/>
      </c>
      <c r="R352" s="41" t="str">
        <f>IF(Table1[[#This Row],[QUANTITY]]=0,"",Table1[[#This Row],[UNIT PRICE]]*Table1[[#This Row],[QUANTITY]])</f>
        <v/>
      </c>
      <c r="S352" s="89"/>
      <c r="T352" s="38"/>
      <c r="U352" s="43"/>
      <c r="V352" s="42" t="str">
        <f>IF(Table1[[#This Row],[DATE]]=0,"",YEAR(E352))</f>
        <v/>
      </c>
      <c r="W352" s="40" t="str">
        <f t="shared" si="12"/>
        <v/>
      </c>
      <c r="X352" s="40" t="str">
        <f t="shared" si="13"/>
        <v/>
      </c>
      <c r="Y352" s="40" t="str">
        <f>TEXT(Table1[[#This Row],[YEAR]],"0000")&amp;"-"&amp;Table1[[#This Row],[MONTH]]</f>
        <v>-</v>
      </c>
    </row>
    <row r="353" spans="1:25" ht="18" x14ac:dyDescent="0.35">
      <c r="A353" s="24"/>
      <c r="B353" s="38"/>
      <c r="C353" s="38"/>
      <c r="D353" s="38"/>
      <c r="E353" s="37"/>
      <c r="F353" s="38"/>
      <c r="G353" s="198"/>
      <c r="H353" s="198"/>
      <c r="I353" s="39"/>
      <c r="J353" s="38"/>
      <c r="K353" s="198"/>
      <c r="L353" s="38"/>
      <c r="M353" s="38"/>
      <c r="N353" s="38"/>
      <c r="O353" s="38"/>
      <c r="P353" s="40" t="str" cm="1">
        <f t="array" ref="P353">IF(N353="","",IFERROR(_xlfn.XLOOKUP(F353&amp;"|"&amp;J353&amp;"|"&amp;O353,PRICES!$C$2:$C$659&amp;"|"&amp;PRICES!$B$2:$B$659&amp;"|"&amp;PRICES!$D$2:$D$659,PRICES!$E$2:$E$659),"Not Found"))</f>
        <v/>
      </c>
      <c r="Q353" s="100" t="str">
        <f>IF(N353=0,"",SUMIFS(PRICES!$G$2:$G$658,PRICES!$B$2:$B$658,'MAIN TABLE-1 AUTOMATED'!J353,PRICES!$C$2:$C$658,'MAIN TABLE-1 AUTOMATED'!F353,PRICES!$D$2:$D$658,'MAIN TABLE-1 AUTOMATED'!O353))</f>
        <v/>
      </c>
      <c r="R353" s="41" t="str">
        <f>IF(Table1[[#This Row],[QUANTITY]]=0,"",Table1[[#This Row],[UNIT PRICE]]*Table1[[#This Row],[QUANTITY]])</f>
        <v/>
      </c>
      <c r="S353" s="89"/>
      <c r="T353" s="38"/>
      <c r="U353" s="43"/>
      <c r="V353" s="42" t="str">
        <f>IF(Table1[[#This Row],[DATE]]=0,"",YEAR(E353))</f>
        <v/>
      </c>
      <c r="W353" s="40" t="str">
        <f t="shared" si="12"/>
        <v/>
      </c>
      <c r="X353" s="40" t="str">
        <f t="shared" si="13"/>
        <v/>
      </c>
      <c r="Y353" s="40" t="str">
        <f>TEXT(Table1[[#This Row],[YEAR]],"0000")&amp;"-"&amp;Table1[[#This Row],[MONTH]]</f>
        <v>-</v>
      </c>
    </row>
    <row r="354" spans="1:25" ht="18" x14ac:dyDescent="0.35">
      <c r="A354" s="24"/>
      <c r="B354" s="38"/>
      <c r="C354" s="38"/>
      <c r="D354" s="38"/>
      <c r="E354" s="37"/>
      <c r="F354" s="38"/>
      <c r="G354" s="198"/>
      <c r="H354" s="198"/>
      <c r="I354" s="39"/>
      <c r="J354" s="38"/>
      <c r="K354" s="198"/>
      <c r="L354" s="38"/>
      <c r="M354" s="38"/>
      <c r="N354" s="38"/>
      <c r="O354" s="38"/>
      <c r="P354" s="40" t="str" cm="1">
        <f t="array" ref="P354">IF(N354="","",IFERROR(_xlfn.XLOOKUP(F354&amp;"|"&amp;J354&amp;"|"&amp;O354,PRICES!$C$2:$C$659&amp;"|"&amp;PRICES!$B$2:$B$659&amp;"|"&amp;PRICES!$D$2:$D$659,PRICES!$E$2:$E$659),"Not Found"))</f>
        <v/>
      </c>
      <c r="Q354" s="100" t="str">
        <f>IF(N354=0,"",SUMIFS(PRICES!$G$2:$G$658,PRICES!$B$2:$B$658,'MAIN TABLE-1 AUTOMATED'!J354,PRICES!$C$2:$C$658,'MAIN TABLE-1 AUTOMATED'!F354,PRICES!$D$2:$D$658,'MAIN TABLE-1 AUTOMATED'!O354))</f>
        <v/>
      </c>
      <c r="R354" s="41" t="str">
        <f>IF(Table1[[#This Row],[QUANTITY]]=0,"",Table1[[#This Row],[UNIT PRICE]]*Table1[[#This Row],[QUANTITY]])</f>
        <v/>
      </c>
      <c r="S354" s="89"/>
      <c r="T354" s="38"/>
      <c r="U354" s="43"/>
      <c r="V354" s="42" t="str">
        <f>IF(Table1[[#This Row],[DATE]]=0,"",YEAR(E354))</f>
        <v/>
      </c>
      <c r="W354" s="40" t="str">
        <f t="shared" si="12"/>
        <v/>
      </c>
      <c r="X354" s="40" t="str">
        <f t="shared" si="13"/>
        <v/>
      </c>
      <c r="Y354" s="40" t="str">
        <f>TEXT(Table1[[#This Row],[YEAR]],"0000")&amp;"-"&amp;Table1[[#This Row],[MONTH]]</f>
        <v>-</v>
      </c>
    </row>
    <row r="355" spans="1:25" ht="18" x14ac:dyDescent="0.35">
      <c r="A355" s="24"/>
      <c r="B355" s="38"/>
      <c r="C355" s="38"/>
      <c r="D355" s="38"/>
      <c r="E355" s="37"/>
      <c r="F355" s="38"/>
      <c r="G355" s="198"/>
      <c r="H355" s="198"/>
      <c r="I355" s="39"/>
      <c r="J355" s="38"/>
      <c r="K355" s="198"/>
      <c r="L355" s="38"/>
      <c r="M355" s="38"/>
      <c r="N355" s="38"/>
      <c r="O355" s="38"/>
      <c r="P355" s="40" t="str" cm="1">
        <f t="array" ref="P355">IF(N355="","",IFERROR(_xlfn.XLOOKUP(F355&amp;"|"&amp;J355&amp;"|"&amp;O355,PRICES!$C$2:$C$659&amp;"|"&amp;PRICES!$B$2:$B$659&amp;"|"&amp;PRICES!$D$2:$D$659,PRICES!$E$2:$E$659),"Not Found"))</f>
        <v/>
      </c>
      <c r="Q355" s="100" t="str">
        <f>IF(N355=0,"",SUMIFS(PRICES!$G$2:$G$658,PRICES!$B$2:$B$658,'MAIN TABLE-1 AUTOMATED'!J355,PRICES!$C$2:$C$658,'MAIN TABLE-1 AUTOMATED'!F355,PRICES!$D$2:$D$658,'MAIN TABLE-1 AUTOMATED'!O355))</f>
        <v/>
      </c>
      <c r="R355" s="41" t="str">
        <f>IF(Table1[[#This Row],[QUANTITY]]=0,"",Table1[[#This Row],[UNIT PRICE]]*Table1[[#This Row],[QUANTITY]])</f>
        <v/>
      </c>
      <c r="S355" s="89"/>
      <c r="T355" s="38"/>
      <c r="U355" s="43"/>
      <c r="V355" s="42" t="str">
        <f>IF(Table1[[#This Row],[DATE]]=0,"",YEAR(E355))</f>
        <v/>
      </c>
      <c r="W355" s="40" t="str">
        <f t="shared" si="12"/>
        <v/>
      </c>
      <c r="X355" s="40" t="str">
        <f t="shared" si="13"/>
        <v/>
      </c>
      <c r="Y355" s="40" t="str">
        <f>TEXT(Table1[[#This Row],[YEAR]],"0000")&amp;"-"&amp;Table1[[#This Row],[MONTH]]</f>
        <v>-</v>
      </c>
    </row>
    <row r="356" spans="1:25" ht="18" x14ac:dyDescent="0.35">
      <c r="A356" s="24"/>
      <c r="B356" s="36"/>
      <c r="C356" s="36"/>
      <c r="D356" s="36"/>
      <c r="E356" s="37"/>
      <c r="F356" s="38"/>
      <c r="G356" s="198"/>
      <c r="H356" s="198"/>
      <c r="I356" s="39"/>
      <c r="J356" s="38"/>
      <c r="K356" s="198"/>
      <c r="L356" s="38"/>
      <c r="M356" s="38"/>
      <c r="N356" s="38"/>
      <c r="O356" s="38"/>
      <c r="P356" s="40" t="str" cm="1">
        <f t="array" ref="P356">IF(N356="","",IFERROR(_xlfn.XLOOKUP(F356&amp;"|"&amp;J356&amp;"|"&amp;O356,PRICES!$C$2:$C$659&amp;"|"&amp;PRICES!$B$2:$B$659&amp;"|"&amp;PRICES!$D$2:$D$659,PRICES!$E$2:$E$659),"Not Found"))</f>
        <v/>
      </c>
      <c r="Q356" s="100" t="str">
        <f>IF(N356=0,"",SUMIFS(PRICES!$G$2:$G$658,PRICES!$B$2:$B$658,'MAIN TABLE-1 AUTOMATED'!J356,PRICES!$C$2:$C$658,'MAIN TABLE-1 AUTOMATED'!F356,PRICES!$D$2:$D$658,'MAIN TABLE-1 AUTOMATED'!O356))</f>
        <v/>
      </c>
      <c r="R356" s="41" t="str">
        <f>IF(Table1[[#This Row],[QUANTITY]]=0,"",Table1[[#This Row],[UNIT PRICE]]*Table1[[#This Row],[QUANTITY]])</f>
        <v/>
      </c>
      <c r="S356" s="89"/>
      <c r="T356" s="38"/>
      <c r="U356" s="43"/>
      <c r="V356" s="42" t="str">
        <f>IF(Table1[[#This Row],[DATE]]=0,"",YEAR(E356))</f>
        <v/>
      </c>
      <c r="W356" s="40" t="str">
        <f t="shared" si="12"/>
        <v/>
      </c>
      <c r="X356" s="40" t="str">
        <f t="shared" si="13"/>
        <v/>
      </c>
      <c r="Y356" s="40" t="str">
        <f>TEXT(Table1[[#This Row],[YEAR]],"0000")&amp;"-"&amp;Table1[[#This Row],[MONTH]]</f>
        <v>-</v>
      </c>
    </row>
    <row r="357" spans="1:25" ht="18" x14ac:dyDescent="0.35">
      <c r="A357" s="24"/>
      <c r="B357" s="38"/>
      <c r="C357" s="38"/>
      <c r="D357" s="38"/>
      <c r="E357" s="37"/>
      <c r="F357" s="38"/>
      <c r="G357" s="198"/>
      <c r="H357" s="198"/>
      <c r="I357" s="39"/>
      <c r="J357" s="38"/>
      <c r="K357" s="198"/>
      <c r="L357" s="38"/>
      <c r="M357" s="38"/>
      <c r="N357" s="38"/>
      <c r="O357" s="38"/>
      <c r="P357" s="40" t="str" cm="1">
        <f t="array" ref="P357">IF(N357="","",IFERROR(_xlfn.XLOOKUP(F357&amp;"|"&amp;J357&amp;"|"&amp;O357,PRICES!$C$2:$C$659&amp;"|"&amp;PRICES!$B$2:$B$659&amp;"|"&amp;PRICES!$D$2:$D$659,PRICES!$E$2:$E$659),"Not Found"))</f>
        <v/>
      </c>
      <c r="Q357" s="100" t="str">
        <f>IF(N357=0,"",SUMIFS(PRICES!$G$2:$G$658,PRICES!$B$2:$B$658,'MAIN TABLE-1 AUTOMATED'!J357,PRICES!$C$2:$C$658,'MAIN TABLE-1 AUTOMATED'!F357,PRICES!$D$2:$D$658,'MAIN TABLE-1 AUTOMATED'!O357))</f>
        <v/>
      </c>
      <c r="R357" s="41" t="str">
        <f>IF(Table1[[#This Row],[QUANTITY]]=0,"",Table1[[#This Row],[UNIT PRICE]]*Table1[[#This Row],[QUANTITY]])</f>
        <v/>
      </c>
      <c r="S357" s="89"/>
      <c r="T357" s="38"/>
      <c r="U357" s="43"/>
      <c r="V357" s="42" t="str">
        <f>IF(Table1[[#This Row],[DATE]]=0,"",YEAR(E357))</f>
        <v/>
      </c>
      <c r="W357" s="40" t="str">
        <f t="shared" si="12"/>
        <v/>
      </c>
      <c r="X357" s="40" t="str">
        <f t="shared" si="13"/>
        <v/>
      </c>
      <c r="Y357" s="40" t="str">
        <f>TEXT(Table1[[#This Row],[YEAR]],"0000")&amp;"-"&amp;Table1[[#This Row],[MONTH]]</f>
        <v>-</v>
      </c>
    </row>
    <row r="358" spans="1:25" ht="18" x14ac:dyDescent="0.35">
      <c r="A358" s="24"/>
      <c r="B358" s="38"/>
      <c r="C358" s="38"/>
      <c r="D358" s="38"/>
      <c r="E358" s="37"/>
      <c r="F358" s="38"/>
      <c r="G358" s="198"/>
      <c r="H358" s="198"/>
      <c r="I358" s="39"/>
      <c r="J358" s="38"/>
      <c r="K358" s="198"/>
      <c r="L358" s="38"/>
      <c r="M358" s="38"/>
      <c r="N358" s="38"/>
      <c r="O358" s="38"/>
      <c r="P358" s="40" t="str" cm="1">
        <f t="array" ref="P358">IF(N358="","",IFERROR(_xlfn.XLOOKUP(F358&amp;"|"&amp;J358&amp;"|"&amp;O358,PRICES!$C$2:$C$659&amp;"|"&amp;PRICES!$B$2:$B$659&amp;"|"&amp;PRICES!$D$2:$D$659,PRICES!$E$2:$E$659),"Not Found"))</f>
        <v/>
      </c>
      <c r="Q358" s="100" t="str">
        <f>IF(N358=0,"",SUMIFS(PRICES!$G$2:$G$658,PRICES!$B$2:$B$658,'MAIN TABLE-1 AUTOMATED'!J358,PRICES!$C$2:$C$658,'MAIN TABLE-1 AUTOMATED'!F358,PRICES!$D$2:$D$658,'MAIN TABLE-1 AUTOMATED'!O358))</f>
        <v/>
      </c>
      <c r="R358" s="41" t="str">
        <f>IF(Table1[[#This Row],[QUANTITY]]=0,"",Table1[[#This Row],[UNIT PRICE]]*Table1[[#This Row],[QUANTITY]])</f>
        <v/>
      </c>
      <c r="S358" s="89"/>
      <c r="T358" s="38"/>
      <c r="U358" s="43"/>
      <c r="V358" s="42" t="str">
        <f>IF(Table1[[#This Row],[DATE]]=0,"",YEAR(E358))</f>
        <v/>
      </c>
      <c r="W358" s="40" t="str">
        <f t="shared" si="12"/>
        <v/>
      </c>
      <c r="X358" s="40" t="str">
        <f t="shared" si="13"/>
        <v/>
      </c>
      <c r="Y358" s="40" t="str">
        <f>TEXT(Table1[[#This Row],[YEAR]],"0000")&amp;"-"&amp;Table1[[#This Row],[MONTH]]</f>
        <v>-</v>
      </c>
    </row>
    <row r="359" spans="1:25" ht="18" x14ac:dyDescent="0.35">
      <c r="A359" s="24"/>
      <c r="B359" s="38"/>
      <c r="C359" s="38"/>
      <c r="D359" s="38"/>
      <c r="E359" s="37"/>
      <c r="F359" s="38"/>
      <c r="G359" s="198"/>
      <c r="H359" s="198"/>
      <c r="I359" s="39"/>
      <c r="J359" s="38"/>
      <c r="K359" s="198"/>
      <c r="L359" s="38"/>
      <c r="M359" s="38"/>
      <c r="N359" s="38"/>
      <c r="O359" s="38"/>
      <c r="P359" s="40" t="str" cm="1">
        <f t="array" ref="P359">IF(N359="","",IFERROR(_xlfn.XLOOKUP(F359&amp;"|"&amp;J359&amp;"|"&amp;O359,PRICES!$C$2:$C$659&amp;"|"&amp;PRICES!$B$2:$B$659&amp;"|"&amp;PRICES!$D$2:$D$659,PRICES!$E$2:$E$659),"Not Found"))</f>
        <v/>
      </c>
      <c r="Q359" s="100" t="str">
        <f>IF(N359=0,"",SUMIFS(PRICES!$G$2:$G$658,PRICES!$B$2:$B$658,'MAIN TABLE-1 AUTOMATED'!J359,PRICES!$C$2:$C$658,'MAIN TABLE-1 AUTOMATED'!F359,PRICES!$D$2:$D$658,'MAIN TABLE-1 AUTOMATED'!O359))</f>
        <v/>
      </c>
      <c r="R359" s="41" t="str">
        <f>IF(Table1[[#This Row],[QUANTITY]]=0,"",Table1[[#This Row],[UNIT PRICE]]*Table1[[#This Row],[QUANTITY]])</f>
        <v/>
      </c>
      <c r="S359" s="89"/>
      <c r="T359" s="38"/>
      <c r="U359" s="43"/>
      <c r="V359" s="42" t="str">
        <f>IF(Table1[[#This Row],[DATE]]=0,"",YEAR(E359))</f>
        <v/>
      </c>
      <c r="W359" s="40" t="str">
        <f t="shared" si="12"/>
        <v/>
      </c>
      <c r="X359" s="40" t="str">
        <f t="shared" si="13"/>
        <v/>
      </c>
      <c r="Y359" s="40" t="str">
        <f>TEXT(Table1[[#This Row],[YEAR]],"0000")&amp;"-"&amp;Table1[[#This Row],[MONTH]]</f>
        <v>-</v>
      </c>
    </row>
    <row r="360" spans="1:25" ht="18" x14ac:dyDescent="0.35">
      <c r="A360" s="24"/>
      <c r="B360" s="38"/>
      <c r="C360" s="38"/>
      <c r="D360" s="38"/>
      <c r="E360" s="37"/>
      <c r="F360" s="38"/>
      <c r="G360" s="198"/>
      <c r="H360" s="198"/>
      <c r="I360" s="39"/>
      <c r="J360" s="38"/>
      <c r="K360" s="198"/>
      <c r="L360" s="38"/>
      <c r="M360" s="38"/>
      <c r="N360" s="38"/>
      <c r="O360" s="38"/>
      <c r="P360" s="40" t="str" cm="1">
        <f t="array" ref="P360">IF(N360="","",IFERROR(_xlfn.XLOOKUP(F360&amp;"|"&amp;J360&amp;"|"&amp;O360,PRICES!$C$2:$C$659&amp;"|"&amp;PRICES!$B$2:$B$659&amp;"|"&amp;PRICES!$D$2:$D$659,PRICES!$E$2:$E$659),"Not Found"))</f>
        <v/>
      </c>
      <c r="Q360" s="100" t="str">
        <f>IF(N360=0,"",SUMIFS(PRICES!$G$2:$G$658,PRICES!$B$2:$B$658,'MAIN TABLE-1 AUTOMATED'!J360,PRICES!$C$2:$C$658,'MAIN TABLE-1 AUTOMATED'!F360,PRICES!$D$2:$D$658,'MAIN TABLE-1 AUTOMATED'!O360))</f>
        <v/>
      </c>
      <c r="R360" s="41" t="str">
        <f>IF(Table1[[#This Row],[QUANTITY]]=0,"",Table1[[#This Row],[UNIT PRICE]]*Table1[[#This Row],[QUANTITY]])</f>
        <v/>
      </c>
      <c r="S360" s="89"/>
      <c r="T360" s="38"/>
      <c r="U360" s="43"/>
      <c r="V360" s="42" t="str">
        <f>IF(Table1[[#This Row],[DATE]]=0,"",YEAR(E360))</f>
        <v/>
      </c>
      <c r="W360" s="40" t="str">
        <f t="shared" si="12"/>
        <v/>
      </c>
      <c r="X360" s="40" t="str">
        <f t="shared" si="13"/>
        <v/>
      </c>
      <c r="Y360" s="40" t="str">
        <f>TEXT(Table1[[#This Row],[YEAR]],"0000")&amp;"-"&amp;Table1[[#This Row],[MONTH]]</f>
        <v>-</v>
      </c>
    </row>
    <row r="361" spans="1:25" ht="18" x14ac:dyDescent="0.35">
      <c r="A361" s="24"/>
      <c r="B361" s="38"/>
      <c r="C361" s="38"/>
      <c r="D361" s="38"/>
      <c r="E361" s="37"/>
      <c r="F361" s="38"/>
      <c r="G361" s="198"/>
      <c r="H361" s="198"/>
      <c r="I361" s="39"/>
      <c r="J361" s="38"/>
      <c r="K361" s="198"/>
      <c r="L361" s="38"/>
      <c r="M361" s="38"/>
      <c r="N361" s="38"/>
      <c r="O361" s="38"/>
      <c r="P361" s="40" t="str" cm="1">
        <f t="array" ref="P361">IF(N361="","",IFERROR(_xlfn.XLOOKUP(F361&amp;"|"&amp;J361&amp;"|"&amp;O361,PRICES!$C$2:$C$659&amp;"|"&amp;PRICES!$B$2:$B$659&amp;"|"&amp;PRICES!$D$2:$D$659,PRICES!$E$2:$E$659),"Not Found"))</f>
        <v/>
      </c>
      <c r="Q361" s="100" t="str">
        <f>IF(N361=0,"",SUMIFS(PRICES!$G$2:$G$658,PRICES!$B$2:$B$658,'MAIN TABLE-1 AUTOMATED'!J361,PRICES!$C$2:$C$658,'MAIN TABLE-1 AUTOMATED'!F361,PRICES!$D$2:$D$658,'MAIN TABLE-1 AUTOMATED'!O361))</f>
        <v/>
      </c>
      <c r="R361" s="41" t="str">
        <f>IF(Table1[[#This Row],[QUANTITY]]=0,"",Table1[[#This Row],[UNIT PRICE]]*Table1[[#This Row],[QUANTITY]])</f>
        <v/>
      </c>
      <c r="S361" s="89"/>
      <c r="T361" s="38"/>
      <c r="U361" s="43"/>
      <c r="V361" s="42" t="str">
        <f>IF(Table1[[#This Row],[DATE]]=0,"",YEAR(E361))</f>
        <v/>
      </c>
      <c r="W361" s="40" t="str">
        <f t="shared" si="12"/>
        <v/>
      </c>
      <c r="X361" s="40" t="str">
        <f t="shared" si="13"/>
        <v/>
      </c>
      <c r="Y361" s="40" t="str">
        <f>TEXT(Table1[[#This Row],[YEAR]],"0000")&amp;"-"&amp;Table1[[#This Row],[MONTH]]</f>
        <v>-</v>
      </c>
    </row>
    <row r="362" spans="1:25" ht="18" x14ac:dyDescent="0.35">
      <c r="A362" s="24"/>
      <c r="B362" s="38"/>
      <c r="C362" s="38"/>
      <c r="D362" s="38"/>
      <c r="E362" s="37"/>
      <c r="F362" s="38"/>
      <c r="G362" s="198"/>
      <c r="H362" s="198"/>
      <c r="I362" s="39"/>
      <c r="J362" s="38"/>
      <c r="K362" s="198"/>
      <c r="L362" s="38"/>
      <c r="M362" s="38"/>
      <c r="N362" s="38"/>
      <c r="O362" s="38"/>
      <c r="P362" s="40" t="str" cm="1">
        <f t="array" ref="P362">IF(N362="","",IFERROR(_xlfn.XLOOKUP(F362&amp;"|"&amp;J362&amp;"|"&amp;O362,PRICES!$C$2:$C$659&amp;"|"&amp;PRICES!$B$2:$B$659&amp;"|"&amp;PRICES!$D$2:$D$659,PRICES!$E$2:$E$659),"Not Found"))</f>
        <v/>
      </c>
      <c r="Q362" s="100" t="str">
        <f>IF(N362=0,"",SUMIFS(PRICES!$G$2:$G$658,PRICES!$B$2:$B$658,'MAIN TABLE-1 AUTOMATED'!J362,PRICES!$C$2:$C$658,'MAIN TABLE-1 AUTOMATED'!F362,PRICES!$D$2:$D$658,'MAIN TABLE-1 AUTOMATED'!O362))</f>
        <v/>
      </c>
      <c r="R362" s="41" t="str">
        <f>IF(Table1[[#This Row],[QUANTITY]]=0,"",Table1[[#This Row],[UNIT PRICE]]*Table1[[#This Row],[QUANTITY]])</f>
        <v/>
      </c>
      <c r="S362" s="89"/>
      <c r="T362" s="38"/>
      <c r="U362" s="43"/>
      <c r="V362" s="42" t="str">
        <f>IF(Table1[[#This Row],[DATE]]=0,"",YEAR(E362))</f>
        <v/>
      </c>
      <c r="W362" s="40" t="str">
        <f t="shared" si="12"/>
        <v/>
      </c>
      <c r="X362" s="40" t="str">
        <f t="shared" si="13"/>
        <v/>
      </c>
      <c r="Y362" s="40" t="str">
        <f>TEXT(Table1[[#This Row],[YEAR]],"0000")&amp;"-"&amp;Table1[[#This Row],[MONTH]]</f>
        <v>-</v>
      </c>
    </row>
    <row r="363" spans="1:25" ht="18" x14ac:dyDescent="0.35">
      <c r="A363" s="24"/>
      <c r="B363" s="38"/>
      <c r="C363" s="38"/>
      <c r="D363" s="38"/>
      <c r="E363" s="37"/>
      <c r="F363" s="38"/>
      <c r="G363" s="198"/>
      <c r="H363" s="198"/>
      <c r="I363" s="39"/>
      <c r="J363" s="38"/>
      <c r="K363" s="198"/>
      <c r="L363" s="38"/>
      <c r="M363" s="38"/>
      <c r="N363" s="38"/>
      <c r="O363" s="38"/>
      <c r="P363" s="40" t="str" cm="1">
        <f t="array" ref="P363">IF(N363="","",IFERROR(_xlfn.XLOOKUP(F363&amp;"|"&amp;J363&amp;"|"&amp;O363,PRICES!$C$2:$C$659&amp;"|"&amp;PRICES!$B$2:$B$659&amp;"|"&amp;PRICES!$D$2:$D$659,PRICES!$E$2:$E$659),"Not Found"))</f>
        <v/>
      </c>
      <c r="Q363" s="100" t="str">
        <f>IF(N363=0,"",SUMIFS(PRICES!$G$2:$G$658,PRICES!$B$2:$B$658,'MAIN TABLE-1 AUTOMATED'!J363,PRICES!$C$2:$C$658,'MAIN TABLE-1 AUTOMATED'!F363,PRICES!$D$2:$D$658,'MAIN TABLE-1 AUTOMATED'!O363))</f>
        <v/>
      </c>
      <c r="R363" s="41" t="str">
        <f>IF(Table1[[#This Row],[QUANTITY]]=0,"",Table1[[#This Row],[UNIT PRICE]]*Table1[[#This Row],[QUANTITY]])</f>
        <v/>
      </c>
      <c r="S363" s="89"/>
      <c r="T363" s="38"/>
      <c r="U363" s="43"/>
      <c r="V363" s="42" t="str">
        <f>IF(Table1[[#This Row],[DATE]]=0,"",YEAR(E363))</f>
        <v/>
      </c>
      <c r="W363" s="40" t="str">
        <f t="shared" si="12"/>
        <v/>
      </c>
      <c r="X363" s="40" t="str">
        <f t="shared" si="13"/>
        <v/>
      </c>
      <c r="Y363" s="40" t="str">
        <f>TEXT(Table1[[#This Row],[YEAR]],"0000")&amp;"-"&amp;Table1[[#This Row],[MONTH]]</f>
        <v>-</v>
      </c>
    </row>
    <row r="364" spans="1:25" ht="18" x14ac:dyDescent="0.35">
      <c r="A364" s="24"/>
      <c r="B364" s="38"/>
      <c r="C364" s="38"/>
      <c r="D364" s="38"/>
      <c r="E364" s="37"/>
      <c r="F364" s="38"/>
      <c r="G364" s="198"/>
      <c r="H364" s="198"/>
      <c r="I364" s="39"/>
      <c r="J364" s="38"/>
      <c r="K364" s="198"/>
      <c r="L364" s="38"/>
      <c r="M364" s="38"/>
      <c r="N364" s="38"/>
      <c r="O364" s="38"/>
      <c r="P364" s="40" t="str" cm="1">
        <f t="array" ref="P364">IF(N364="","",IFERROR(_xlfn.XLOOKUP(F364&amp;"|"&amp;J364&amp;"|"&amp;O364,PRICES!$C$2:$C$659&amp;"|"&amp;PRICES!$B$2:$B$659&amp;"|"&amp;PRICES!$D$2:$D$659,PRICES!$E$2:$E$659),"Not Found"))</f>
        <v/>
      </c>
      <c r="Q364" s="100" t="str">
        <f>IF(N364=0,"",SUMIFS(PRICES!$G$2:$G$658,PRICES!$B$2:$B$658,'MAIN TABLE-1 AUTOMATED'!J364,PRICES!$C$2:$C$658,'MAIN TABLE-1 AUTOMATED'!F364,PRICES!$D$2:$D$658,'MAIN TABLE-1 AUTOMATED'!O364))</f>
        <v/>
      </c>
      <c r="R364" s="41" t="str">
        <f>IF(Table1[[#This Row],[QUANTITY]]=0,"",Table1[[#This Row],[UNIT PRICE]]*Table1[[#This Row],[QUANTITY]])</f>
        <v/>
      </c>
      <c r="S364" s="89"/>
      <c r="T364" s="38"/>
      <c r="U364" s="43"/>
      <c r="V364" s="42" t="str">
        <f>IF(Table1[[#This Row],[DATE]]=0,"",YEAR(E364))</f>
        <v/>
      </c>
      <c r="W364" s="40" t="str">
        <f t="shared" si="12"/>
        <v/>
      </c>
      <c r="X364" s="40" t="str">
        <f t="shared" si="13"/>
        <v/>
      </c>
      <c r="Y364" s="40" t="str">
        <f>TEXT(Table1[[#This Row],[YEAR]],"0000")&amp;"-"&amp;Table1[[#This Row],[MONTH]]</f>
        <v>-</v>
      </c>
    </row>
    <row r="365" spans="1:25" ht="18" x14ac:dyDescent="0.35">
      <c r="A365" s="24"/>
      <c r="B365" s="38"/>
      <c r="C365" s="38"/>
      <c r="D365" s="38"/>
      <c r="E365" s="37"/>
      <c r="F365" s="38"/>
      <c r="G365" s="198"/>
      <c r="H365" s="198"/>
      <c r="I365" s="39"/>
      <c r="J365" s="38"/>
      <c r="K365" s="198"/>
      <c r="L365" s="38"/>
      <c r="M365" s="38"/>
      <c r="N365" s="38"/>
      <c r="O365" s="38"/>
      <c r="P365" s="40" t="str" cm="1">
        <f t="array" ref="P365">IF(N365="","",IFERROR(_xlfn.XLOOKUP(F365&amp;"|"&amp;J365&amp;"|"&amp;O365,PRICES!$C$2:$C$659&amp;"|"&amp;PRICES!$B$2:$B$659&amp;"|"&amp;PRICES!$D$2:$D$659,PRICES!$E$2:$E$659),"Not Found"))</f>
        <v/>
      </c>
      <c r="Q365" s="100" t="str">
        <f>IF(N365=0,"",SUMIFS(PRICES!$G$2:$G$658,PRICES!$B$2:$B$658,'MAIN TABLE-1 AUTOMATED'!J365,PRICES!$C$2:$C$658,'MAIN TABLE-1 AUTOMATED'!F365,PRICES!$D$2:$D$658,'MAIN TABLE-1 AUTOMATED'!O365))</f>
        <v/>
      </c>
      <c r="R365" s="41" t="str">
        <f>IF(Table1[[#This Row],[QUANTITY]]=0,"",Table1[[#This Row],[UNIT PRICE]]*Table1[[#This Row],[QUANTITY]])</f>
        <v/>
      </c>
      <c r="S365" s="89"/>
      <c r="T365" s="38"/>
      <c r="U365" s="43"/>
      <c r="V365" s="42" t="str">
        <f>IF(Table1[[#This Row],[DATE]]=0,"",YEAR(E365))</f>
        <v/>
      </c>
      <c r="W365" s="40" t="str">
        <f t="shared" si="12"/>
        <v/>
      </c>
      <c r="X365" s="40" t="str">
        <f t="shared" si="13"/>
        <v/>
      </c>
      <c r="Y365" s="40" t="str">
        <f>TEXT(Table1[[#This Row],[YEAR]],"0000")&amp;"-"&amp;Table1[[#This Row],[MONTH]]</f>
        <v>-</v>
      </c>
    </row>
    <row r="366" spans="1:25" ht="18" x14ac:dyDescent="0.35">
      <c r="A366" s="24"/>
      <c r="B366" s="38"/>
      <c r="C366" s="38"/>
      <c r="D366" s="38"/>
      <c r="E366" s="37"/>
      <c r="F366" s="38"/>
      <c r="G366" s="198"/>
      <c r="H366" s="198"/>
      <c r="I366" s="39"/>
      <c r="J366" s="38"/>
      <c r="K366" s="198"/>
      <c r="L366" s="38"/>
      <c r="M366" s="38"/>
      <c r="N366" s="38"/>
      <c r="O366" s="38"/>
      <c r="P366" s="40" t="str" cm="1">
        <f t="array" ref="P366">IF(N366="","",IFERROR(_xlfn.XLOOKUP(F366&amp;"|"&amp;J366&amp;"|"&amp;O366,PRICES!$C$2:$C$659&amp;"|"&amp;PRICES!$B$2:$B$659&amp;"|"&amp;PRICES!$D$2:$D$659,PRICES!$E$2:$E$659),"Not Found"))</f>
        <v/>
      </c>
      <c r="Q366" s="100" t="str">
        <f>IF(N366=0,"",SUMIFS(PRICES!$G$2:$G$658,PRICES!$B$2:$B$658,'MAIN TABLE-1 AUTOMATED'!J366,PRICES!$C$2:$C$658,'MAIN TABLE-1 AUTOMATED'!F366,PRICES!$D$2:$D$658,'MAIN TABLE-1 AUTOMATED'!O366))</f>
        <v/>
      </c>
      <c r="R366" s="41" t="str">
        <f>IF(Table1[[#This Row],[QUANTITY]]=0,"",Table1[[#This Row],[UNIT PRICE]]*Table1[[#This Row],[QUANTITY]])</f>
        <v/>
      </c>
      <c r="S366" s="89"/>
      <c r="T366" s="38"/>
      <c r="U366" s="43"/>
      <c r="V366" s="42" t="str">
        <f>IF(Table1[[#This Row],[DATE]]=0,"",YEAR(E366))</f>
        <v/>
      </c>
      <c r="W366" s="40" t="str">
        <f t="shared" si="12"/>
        <v/>
      </c>
      <c r="X366" s="40" t="str">
        <f t="shared" si="13"/>
        <v/>
      </c>
      <c r="Y366" s="40" t="str">
        <f>TEXT(Table1[[#This Row],[YEAR]],"0000")&amp;"-"&amp;Table1[[#This Row],[MONTH]]</f>
        <v>-</v>
      </c>
    </row>
    <row r="367" spans="1:25" ht="18" x14ac:dyDescent="0.35">
      <c r="A367" s="24"/>
      <c r="B367" s="38"/>
      <c r="C367" s="38"/>
      <c r="D367" s="38"/>
      <c r="E367" s="37"/>
      <c r="F367" s="38"/>
      <c r="G367" s="198"/>
      <c r="H367" s="198"/>
      <c r="I367" s="39"/>
      <c r="J367" s="38"/>
      <c r="K367" s="198"/>
      <c r="L367" s="38"/>
      <c r="M367" s="38"/>
      <c r="N367" s="38"/>
      <c r="O367" s="38"/>
      <c r="P367" s="40" t="str" cm="1">
        <f t="array" ref="P367">IF(N367="","",IFERROR(_xlfn.XLOOKUP(F367&amp;"|"&amp;J367&amp;"|"&amp;O367,PRICES!$C$2:$C$659&amp;"|"&amp;PRICES!$B$2:$B$659&amp;"|"&amp;PRICES!$D$2:$D$659,PRICES!$E$2:$E$659),"Not Found"))</f>
        <v/>
      </c>
      <c r="Q367" s="100" t="str">
        <f>IF(N367=0,"",SUMIFS(PRICES!$G$2:$G$658,PRICES!$B$2:$B$658,'MAIN TABLE-1 AUTOMATED'!J367,PRICES!$C$2:$C$658,'MAIN TABLE-1 AUTOMATED'!F367,PRICES!$D$2:$D$658,'MAIN TABLE-1 AUTOMATED'!O367))</f>
        <v/>
      </c>
      <c r="R367" s="41" t="str">
        <f>IF(Table1[[#This Row],[QUANTITY]]=0,"",Table1[[#This Row],[UNIT PRICE]]*Table1[[#This Row],[QUANTITY]])</f>
        <v/>
      </c>
      <c r="S367" s="89"/>
      <c r="T367" s="38"/>
      <c r="U367" s="43"/>
      <c r="V367" s="42" t="str">
        <f>IF(Table1[[#This Row],[DATE]]=0,"",YEAR(E367))</f>
        <v/>
      </c>
      <c r="W367" s="40" t="str">
        <f t="shared" si="12"/>
        <v/>
      </c>
      <c r="X367" s="40" t="str">
        <f t="shared" si="13"/>
        <v/>
      </c>
      <c r="Y367" s="40" t="str">
        <f>TEXT(Table1[[#This Row],[YEAR]],"0000")&amp;"-"&amp;Table1[[#This Row],[MONTH]]</f>
        <v>-</v>
      </c>
    </row>
    <row r="368" spans="1:25" ht="18" x14ac:dyDescent="0.35">
      <c r="A368" s="24"/>
      <c r="B368" s="38"/>
      <c r="C368" s="38"/>
      <c r="D368" s="38"/>
      <c r="E368" s="37"/>
      <c r="F368" s="38"/>
      <c r="G368" s="198"/>
      <c r="H368" s="198"/>
      <c r="I368" s="39"/>
      <c r="J368" s="38"/>
      <c r="K368" s="198"/>
      <c r="L368" s="38"/>
      <c r="M368" s="38"/>
      <c r="N368" s="38"/>
      <c r="O368" s="38"/>
      <c r="P368" s="40" t="str" cm="1">
        <f t="array" ref="P368">IF(N368="","",IFERROR(_xlfn.XLOOKUP(F368&amp;"|"&amp;J368&amp;"|"&amp;O368,PRICES!$C$2:$C$659&amp;"|"&amp;PRICES!$B$2:$B$659&amp;"|"&amp;PRICES!$D$2:$D$659,PRICES!$E$2:$E$659),"Not Found"))</f>
        <v/>
      </c>
      <c r="Q368" s="100" t="str">
        <f>IF(N368=0,"",SUMIFS(PRICES!$G$2:$G$658,PRICES!$B$2:$B$658,'MAIN TABLE-1 AUTOMATED'!J368,PRICES!$C$2:$C$658,'MAIN TABLE-1 AUTOMATED'!F368,PRICES!$D$2:$D$658,'MAIN TABLE-1 AUTOMATED'!O368))</f>
        <v/>
      </c>
      <c r="R368" s="41" t="str">
        <f>IF(Table1[[#This Row],[QUANTITY]]=0,"",Table1[[#This Row],[UNIT PRICE]]*Table1[[#This Row],[QUANTITY]])</f>
        <v/>
      </c>
      <c r="S368" s="89"/>
      <c r="T368" s="38"/>
      <c r="U368" s="43"/>
      <c r="V368" s="42" t="str">
        <f>IF(Table1[[#This Row],[DATE]]=0,"",YEAR(E368))</f>
        <v/>
      </c>
      <c r="W368" s="40" t="str">
        <f t="shared" si="12"/>
        <v/>
      </c>
      <c r="X368" s="40" t="str">
        <f t="shared" si="13"/>
        <v/>
      </c>
      <c r="Y368" s="40" t="str">
        <f>TEXT(Table1[[#This Row],[YEAR]],"0000")&amp;"-"&amp;Table1[[#This Row],[MONTH]]</f>
        <v>-</v>
      </c>
    </row>
    <row r="369" spans="1:25" ht="18" x14ac:dyDescent="0.35">
      <c r="A369" s="24"/>
      <c r="B369" s="36"/>
      <c r="C369" s="38"/>
      <c r="D369" s="38"/>
      <c r="E369" s="37"/>
      <c r="F369" s="38"/>
      <c r="G369" s="198"/>
      <c r="H369" s="198"/>
      <c r="I369" s="39"/>
      <c r="J369" s="38"/>
      <c r="K369" s="198"/>
      <c r="L369" s="38"/>
      <c r="M369" s="38"/>
      <c r="N369" s="38"/>
      <c r="O369" s="38"/>
      <c r="P369" s="40" t="str" cm="1">
        <f t="array" ref="P369">IF(N369="","",IFERROR(_xlfn.XLOOKUP(F369&amp;"|"&amp;J369&amp;"|"&amp;O369,PRICES!$C$2:$C$659&amp;"|"&amp;PRICES!$B$2:$B$659&amp;"|"&amp;PRICES!$D$2:$D$659,PRICES!$E$2:$E$659),"Not Found"))</f>
        <v/>
      </c>
      <c r="Q369" s="100" t="str">
        <f>IF(N369=0,"",SUMIFS(PRICES!$G$2:$G$658,PRICES!$B$2:$B$658,'MAIN TABLE-1 AUTOMATED'!J369,PRICES!$C$2:$C$658,'MAIN TABLE-1 AUTOMATED'!F369,PRICES!$D$2:$D$658,'MAIN TABLE-1 AUTOMATED'!O369))</f>
        <v/>
      </c>
      <c r="R369" s="41" t="str">
        <f>IF(Table1[[#This Row],[QUANTITY]]=0,"",Table1[[#This Row],[UNIT PRICE]]*Table1[[#This Row],[QUANTITY]])</f>
        <v/>
      </c>
      <c r="S369" s="89"/>
      <c r="T369" s="38"/>
      <c r="U369" s="43"/>
      <c r="V369" s="42" t="str">
        <f>IF(Table1[[#This Row],[DATE]]=0,"",YEAR(E369))</f>
        <v/>
      </c>
      <c r="W369" s="40" t="str">
        <f t="shared" si="12"/>
        <v/>
      </c>
      <c r="X369" s="40" t="str">
        <f t="shared" si="13"/>
        <v/>
      </c>
      <c r="Y369" s="40" t="str">
        <f>TEXT(Table1[[#This Row],[YEAR]],"0000")&amp;"-"&amp;Table1[[#This Row],[MONTH]]</f>
        <v>-</v>
      </c>
    </row>
    <row r="370" spans="1:25" ht="18" x14ac:dyDescent="0.35">
      <c r="A370" s="24"/>
      <c r="B370" s="38"/>
      <c r="C370" s="38"/>
      <c r="D370" s="38"/>
      <c r="E370" s="37"/>
      <c r="F370" s="38"/>
      <c r="G370" s="198"/>
      <c r="H370" s="198"/>
      <c r="I370" s="39"/>
      <c r="J370" s="38"/>
      <c r="K370" s="198"/>
      <c r="L370" s="38"/>
      <c r="M370" s="38"/>
      <c r="N370" s="38"/>
      <c r="O370" s="38"/>
      <c r="P370" s="40" t="str" cm="1">
        <f t="array" ref="P370">IF(N370="","",IFERROR(_xlfn.XLOOKUP(F370&amp;"|"&amp;J370&amp;"|"&amp;O370,PRICES!$C$2:$C$659&amp;"|"&amp;PRICES!$B$2:$B$659&amp;"|"&amp;PRICES!$D$2:$D$659,PRICES!$E$2:$E$659),"Not Found"))</f>
        <v/>
      </c>
      <c r="Q370" s="100" t="str">
        <f>IF(N370=0,"",SUMIFS(PRICES!$G$2:$G$658,PRICES!$B$2:$B$658,'MAIN TABLE-1 AUTOMATED'!J370,PRICES!$C$2:$C$658,'MAIN TABLE-1 AUTOMATED'!F370,PRICES!$D$2:$D$658,'MAIN TABLE-1 AUTOMATED'!O370))</f>
        <v/>
      </c>
      <c r="R370" s="41" t="str">
        <f>IF(Table1[[#This Row],[QUANTITY]]=0,"",Table1[[#This Row],[UNIT PRICE]]*Table1[[#This Row],[QUANTITY]])</f>
        <v/>
      </c>
      <c r="S370" s="89"/>
      <c r="T370" s="38"/>
      <c r="U370" s="43"/>
      <c r="V370" s="42" t="str">
        <f>IF(Table1[[#This Row],[DATE]]=0,"",YEAR(E370))</f>
        <v/>
      </c>
      <c r="W370" s="40" t="str">
        <f t="shared" si="12"/>
        <v/>
      </c>
      <c r="X370" s="40" t="str">
        <f t="shared" si="13"/>
        <v/>
      </c>
      <c r="Y370" s="40" t="str">
        <f>TEXT(Table1[[#This Row],[YEAR]],"0000")&amp;"-"&amp;Table1[[#This Row],[MONTH]]</f>
        <v>-</v>
      </c>
    </row>
    <row r="371" spans="1:25" ht="18" x14ac:dyDescent="0.35">
      <c r="A371" s="24"/>
      <c r="B371" s="38"/>
      <c r="C371" s="38"/>
      <c r="D371" s="38"/>
      <c r="E371" s="37"/>
      <c r="F371" s="38"/>
      <c r="G371" s="198"/>
      <c r="H371" s="198"/>
      <c r="I371" s="39"/>
      <c r="J371" s="38"/>
      <c r="K371" s="198"/>
      <c r="L371" s="38"/>
      <c r="M371" s="38"/>
      <c r="N371" s="38"/>
      <c r="O371" s="38"/>
      <c r="P371" s="40" t="str" cm="1">
        <f t="array" ref="P371">IF(N371="","",IFERROR(_xlfn.XLOOKUP(F371&amp;"|"&amp;J371&amp;"|"&amp;O371,PRICES!$C$2:$C$659&amp;"|"&amp;PRICES!$B$2:$B$659&amp;"|"&amp;PRICES!$D$2:$D$659,PRICES!$E$2:$E$659),"Not Found"))</f>
        <v/>
      </c>
      <c r="Q371" s="100" t="str">
        <f>IF(N371=0,"",SUMIFS(PRICES!$G$2:$G$658,PRICES!$B$2:$B$658,'MAIN TABLE-1 AUTOMATED'!J371,PRICES!$C$2:$C$658,'MAIN TABLE-1 AUTOMATED'!F371,PRICES!$D$2:$D$658,'MAIN TABLE-1 AUTOMATED'!O371))</f>
        <v/>
      </c>
      <c r="R371" s="41" t="str">
        <f>IF(Table1[[#This Row],[QUANTITY]]=0,"",Table1[[#This Row],[UNIT PRICE]]*Table1[[#This Row],[QUANTITY]])</f>
        <v/>
      </c>
      <c r="S371" s="89"/>
      <c r="T371" s="38"/>
      <c r="U371" s="43"/>
      <c r="V371" s="42" t="str">
        <f>IF(Table1[[#This Row],[DATE]]=0,"",YEAR(E371))</f>
        <v/>
      </c>
      <c r="W371" s="40" t="str">
        <f t="shared" si="12"/>
        <v/>
      </c>
      <c r="X371" s="40" t="str">
        <f t="shared" si="13"/>
        <v/>
      </c>
      <c r="Y371" s="40" t="str">
        <f>TEXT(Table1[[#This Row],[YEAR]],"0000")&amp;"-"&amp;Table1[[#This Row],[MONTH]]</f>
        <v>-</v>
      </c>
    </row>
    <row r="372" spans="1:25" ht="18" x14ac:dyDescent="0.35">
      <c r="A372" s="24"/>
      <c r="B372" s="38"/>
      <c r="C372" s="38"/>
      <c r="D372" s="38"/>
      <c r="E372" s="37"/>
      <c r="F372" s="38"/>
      <c r="G372" s="198"/>
      <c r="H372" s="198"/>
      <c r="I372" s="39"/>
      <c r="J372" s="38"/>
      <c r="K372" s="198"/>
      <c r="L372" s="38"/>
      <c r="M372" s="38"/>
      <c r="N372" s="38"/>
      <c r="O372" s="38"/>
      <c r="P372" s="40" t="str" cm="1">
        <f t="array" ref="P372">IF(N372="","",IFERROR(_xlfn.XLOOKUP(F372&amp;"|"&amp;J372&amp;"|"&amp;O372,PRICES!$C$2:$C$659&amp;"|"&amp;PRICES!$B$2:$B$659&amp;"|"&amp;PRICES!$D$2:$D$659,PRICES!$E$2:$E$659),"Not Found"))</f>
        <v/>
      </c>
      <c r="Q372" s="100" t="str">
        <f>IF(N372=0,"",SUMIFS(PRICES!$G$2:$G$658,PRICES!$B$2:$B$658,'MAIN TABLE-1 AUTOMATED'!J372,PRICES!$C$2:$C$658,'MAIN TABLE-1 AUTOMATED'!F372,PRICES!$D$2:$D$658,'MAIN TABLE-1 AUTOMATED'!O372))</f>
        <v/>
      </c>
      <c r="R372" s="41" t="str">
        <f>IF(Table1[[#This Row],[QUANTITY]]=0,"",Table1[[#This Row],[UNIT PRICE]]*Table1[[#This Row],[QUANTITY]])</f>
        <v/>
      </c>
      <c r="S372" s="89"/>
      <c r="T372" s="38"/>
      <c r="U372" s="43"/>
      <c r="V372" s="42" t="str">
        <f>IF(Table1[[#This Row],[DATE]]=0,"",YEAR(E372))</f>
        <v/>
      </c>
      <c r="W372" s="40" t="str">
        <f t="shared" si="12"/>
        <v/>
      </c>
      <c r="X372" s="40" t="str">
        <f t="shared" si="13"/>
        <v/>
      </c>
      <c r="Y372" s="40" t="str">
        <f>TEXT(Table1[[#This Row],[YEAR]],"0000")&amp;"-"&amp;Table1[[#This Row],[MONTH]]</f>
        <v>-</v>
      </c>
    </row>
    <row r="373" spans="1:25" ht="18" x14ac:dyDescent="0.35">
      <c r="A373" s="24"/>
      <c r="B373" s="38"/>
      <c r="C373" s="38"/>
      <c r="D373" s="38"/>
      <c r="E373" s="37"/>
      <c r="F373" s="38"/>
      <c r="G373" s="198"/>
      <c r="H373" s="198"/>
      <c r="I373" s="39"/>
      <c r="J373" s="38"/>
      <c r="K373" s="198"/>
      <c r="L373" s="38"/>
      <c r="M373" s="38"/>
      <c r="N373" s="38"/>
      <c r="O373" s="38"/>
      <c r="P373" s="40" t="str" cm="1">
        <f t="array" ref="P373">IF(N373="","",IFERROR(_xlfn.XLOOKUP(F373&amp;"|"&amp;J373&amp;"|"&amp;O373,PRICES!$C$2:$C$659&amp;"|"&amp;PRICES!$B$2:$B$659&amp;"|"&amp;PRICES!$D$2:$D$659,PRICES!$E$2:$E$659),"Not Found"))</f>
        <v/>
      </c>
      <c r="Q373" s="100" t="str">
        <f>IF(N373=0,"",SUMIFS(PRICES!$G$2:$G$658,PRICES!$B$2:$B$658,'MAIN TABLE-1 AUTOMATED'!J373,PRICES!$C$2:$C$658,'MAIN TABLE-1 AUTOMATED'!F373,PRICES!$D$2:$D$658,'MAIN TABLE-1 AUTOMATED'!O373))</f>
        <v/>
      </c>
      <c r="R373" s="41" t="str">
        <f>IF(Table1[[#This Row],[QUANTITY]]=0,"",Table1[[#This Row],[UNIT PRICE]]*Table1[[#This Row],[QUANTITY]])</f>
        <v/>
      </c>
      <c r="S373" s="89"/>
      <c r="T373" s="38"/>
      <c r="U373" s="43"/>
      <c r="V373" s="42" t="str">
        <f>IF(Table1[[#This Row],[DATE]]=0,"",YEAR(E373))</f>
        <v/>
      </c>
      <c r="W373" s="40" t="str">
        <f t="shared" si="12"/>
        <v/>
      </c>
      <c r="X373" s="40" t="str">
        <f t="shared" si="13"/>
        <v/>
      </c>
      <c r="Y373" s="40" t="str">
        <f>TEXT(Table1[[#This Row],[YEAR]],"0000")&amp;"-"&amp;Table1[[#This Row],[MONTH]]</f>
        <v>-</v>
      </c>
    </row>
    <row r="374" spans="1:25" ht="18" x14ac:dyDescent="0.35">
      <c r="A374" s="24"/>
      <c r="B374" s="38"/>
      <c r="C374" s="38"/>
      <c r="D374" s="38"/>
      <c r="E374" s="37"/>
      <c r="F374" s="38"/>
      <c r="G374" s="198"/>
      <c r="H374" s="198"/>
      <c r="I374" s="39"/>
      <c r="J374" s="38"/>
      <c r="K374" s="198"/>
      <c r="L374" s="38"/>
      <c r="M374" s="38"/>
      <c r="N374" s="38"/>
      <c r="O374" s="38"/>
      <c r="P374" s="40" t="str" cm="1">
        <f t="array" ref="P374">IF(N374="","",IFERROR(_xlfn.XLOOKUP(F374&amp;"|"&amp;J374&amp;"|"&amp;O374,PRICES!$C$2:$C$659&amp;"|"&amp;PRICES!$B$2:$B$659&amp;"|"&amp;PRICES!$D$2:$D$659,PRICES!$E$2:$E$659),"Not Found"))</f>
        <v/>
      </c>
      <c r="Q374" s="100" t="str">
        <f>IF(N374=0,"",SUMIFS(PRICES!$G$2:$G$658,PRICES!$B$2:$B$658,'MAIN TABLE-1 AUTOMATED'!J374,PRICES!$C$2:$C$658,'MAIN TABLE-1 AUTOMATED'!F374,PRICES!$D$2:$D$658,'MAIN TABLE-1 AUTOMATED'!O374))</f>
        <v/>
      </c>
      <c r="R374" s="41" t="str">
        <f>IF(Table1[[#This Row],[QUANTITY]]=0,"",Table1[[#This Row],[UNIT PRICE]]*Table1[[#This Row],[QUANTITY]])</f>
        <v/>
      </c>
      <c r="S374" s="89"/>
      <c r="T374" s="38"/>
      <c r="U374" s="43"/>
      <c r="V374" s="42" t="str">
        <f>IF(Table1[[#This Row],[DATE]]=0,"",YEAR(E374))</f>
        <v/>
      </c>
      <c r="W374" s="40" t="str">
        <f t="shared" si="12"/>
        <v/>
      </c>
      <c r="X374" s="40" t="str">
        <f t="shared" si="13"/>
        <v/>
      </c>
      <c r="Y374" s="40" t="str">
        <f>TEXT(Table1[[#This Row],[YEAR]],"0000")&amp;"-"&amp;Table1[[#This Row],[MONTH]]</f>
        <v>-</v>
      </c>
    </row>
    <row r="375" spans="1:25" ht="18" x14ac:dyDescent="0.35">
      <c r="A375" s="24"/>
      <c r="B375" s="38"/>
      <c r="C375" s="38"/>
      <c r="D375" s="38"/>
      <c r="E375" s="37"/>
      <c r="F375" s="38"/>
      <c r="G375" s="198"/>
      <c r="H375" s="198"/>
      <c r="I375" s="39"/>
      <c r="J375" s="38"/>
      <c r="K375" s="198"/>
      <c r="L375" s="38"/>
      <c r="M375" s="38"/>
      <c r="N375" s="38"/>
      <c r="O375" s="38"/>
      <c r="P375" s="40" t="str" cm="1">
        <f t="array" ref="P375">IF(N375="","",IFERROR(_xlfn.XLOOKUP(F375&amp;"|"&amp;J375&amp;"|"&amp;O375,PRICES!$C$2:$C$659&amp;"|"&amp;PRICES!$B$2:$B$659&amp;"|"&amp;PRICES!$D$2:$D$659,PRICES!$E$2:$E$659),"Not Found"))</f>
        <v/>
      </c>
      <c r="Q375" s="100" t="str">
        <f>IF(N375=0,"",SUMIFS(PRICES!$G$2:$G$658,PRICES!$B$2:$B$658,'MAIN TABLE-1 AUTOMATED'!J375,PRICES!$C$2:$C$658,'MAIN TABLE-1 AUTOMATED'!F375,PRICES!$D$2:$D$658,'MAIN TABLE-1 AUTOMATED'!O375))</f>
        <v/>
      </c>
      <c r="R375" s="41" t="str">
        <f>IF(Table1[[#This Row],[QUANTITY]]=0,"",Table1[[#This Row],[UNIT PRICE]]*Table1[[#This Row],[QUANTITY]])</f>
        <v/>
      </c>
      <c r="S375" s="89"/>
      <c r="T375" s="38"/>
      <c r="U375" s="43"/>
      <c r="V375" s="42" t="str">
        <f>IF(Table1[[#This Row],[DATE]]=0,"",YEAR(E375))</f>
        <v/>
      </c>
      <c r="W375" s="40" t="str">
        <f t="shared" si="12"/>
        <v/>
      </c>
      <c r="X375" s="40" t="str">
        <f t="shared" si="13"/>
        <v/>
      </c>
      <c r="Y375" s="40" t="str">
        <f>TEXT(Table1[[#This Row],[YEAR]],"0000")&amp;"-"&amp;Table1[[#This Row],[MONTH]]</f>
        <v>-</v>
      </c>
    </row>
    <row r="376" spans="1:25" ht="18" x14ac:dyDescent="0.35">
      <c r="A376" s="24"/>
      <c r="B376" s="38"/>
      <c r="C376" s="38"/>
      <c r="D376" s="38"/>
      <c r="E376" s="37"/>
      <c r="F376" s="38"/>
      <c r="G376" s="198"/>
      <c r="H376" s="198"/>
      <c r="I376" s="39"/>
      <c r="J376" s="38"/>
      <c r="K376" s="198"/>
      <c r="L376" s="38"/>
      <c r="M376" s="38"/>
      <c r="N376" s="38"/>
      <c r="O376" s="38"/>
      <c r="P376" s="40" t="str" cm="1">
        <f t="array" ref="P376">IF(N376="","",IFERROR(_xlfn.XLOOKUP(F376&amp;"|"&amp;J376&amp;"|"&amp;O376,PRICES!$C$2:$C$659&amp;"|"&amp;PRICES!$B$2:$B$659&amp;"|"&amp;PRICES!$D$2:$D$659,PRICES!$E$2:$E$659),"Not Found"))</f>
        <v/>
      </c>
      <c r="Q376" s="100" t="str">
        <f>IF(N376=0,"",SUMIFS(PRICES!$G$2:$G$658,PRICES!$B$2:$B$658,'MAIN TABLE-1 AUTOMATED'!J376,PRICES!$C$2:$C$658,'MAIN TABLE-1 AUTOMATED'!F376,PRICES!$D$2:$D$658,'MAIN TABLE-1 AUTOMATED'!O376))</f>
        <v/>
      </c>
      <c r="R376" s="41" t="str">
        <f>IF(Table1[[#This Row],[QUANTITY]]=0,"",Table1[[#This Row],[UNIT PRICE]]*Table1[[#This Row],[QUANTITY]])</f>
        <v/>
      </c>
      <c r="S376" s="89"/>
      <c r="T376" s="38"/>
      <c r="U376" s="43"/>
      <c r="V376" s="42" t="str">
        <f>IF(Table1[[#This Row],[DATE]]=0,"",YEAR(E376))</f>
        <v/>
      </c>
      <c r="W376" s="40" t="str">
        <f t="shared" si="12"/>
        <v/>
      </c>
      <c r="X376" s="40" t="str">
        <f t="shared" si="13"/>
        <v/>
      </c>
      <c r="Y376" s="40" t="str">
        <f>TEXT(Table1[[#This Row],[YEAR]],"0000")&amp;"-"&amp;Table1[[#This Row],[MONTH]]</f>
        <v>-</v>
      </c>
    </row>
    <row r="377" spans="1:25" ht="18" x14ac:dyDescent="0.35">
      <c r="A377" s="24"/>
      <c r="B377" s="38"/>
      <c r="C377" s="38"/>
      <c r="D377" s="38"/>
      <c r="E377" s="37"/>
      <c r="F377" s="38"/>
      <c r="G377" s="198"/>
      <c r="H377" s="198"/>
      <c r="I377" s="39"/>
      <c r="J377" s="38"/>
      <c r="K377" s="198"/>
      <c r="L377" s="38"/>
      <c r="M377" s="38"/>
      <c r="N377" s="38"/>
      <c r="O377" s="38"/>
      <c r="P377" s="40" t="str" cm="1">
        <f t="array" ref="P377">IF(N377="","",IFERROR(_xlfn.XLOOKUP(F377&amp;"|"&amp;J377&amp;"|"&amp;O377,PRICES!$C$2:$C$659&amp;"|"&amp;PRICES!$B$2:$B$659&amp;"|"&amp;PRICES!$D$2:$D$659,PRICES!$E$2:$E$659),"Not Found"))</f>
        <v/>
      </c>
      <c r="Q377" s="100" t="str">
        <f>IF(N377=0,"",SUMIFS(PRICES!$G$2:$G$658,PRICES!$B$2:$B$658,'MAIN TABLE-1 AUTOMATED'!J377,PRICES!$C$2:$C$658,'MAIN TABLE-1 AUTOMATED'!F377,PRICES!$D$2:$D$658,'MAIN TABLE-1 AUTOMATED'!O377))</f>
        <v/>
      </c>
      <c r="R377" s="41" t="str">
        <f>IF(Table1[[#This Row],[QUANTITY]]=0,"",Table1[[#This Row],[UNIT PRICE]]*Table1[[#This Row],[QUANTITY]])</f>
        <v/>
      </c>
      <c r="S377" s="89"/>
      <c r="T377" s="38"/>
      <c r="U377" s="43"/>
      <c r="V377" s="42" t="str">
        <f>IF(Table1[[#This Row],[DATE]]=0,"",YEAR(E377))</f>
        <v/>
      </c>
      <c r="W377" s="40" t="str">
        <f t="shared" si="12"/>
        <v/>
      </c>
      <c r="X377" s="40" t="str">
        <f t="shared" si="13"/>
        <v/>
      </c>
      <c r="Y377" s="40" t="str">
        <f>TEXT(Table1[[#This Row],[YEAR]],"0000")&amp;"-"&amp;Table1[[#This Row],[MONTH]]</f>
        <v>-</v>
      </c>
    </row>
    <row r="378" spans="1:25" ht="18" x14ac:dyDescent="0.35">
      <c r="A378" s="24"/>
      <c r="B378" s="38"/>
      <c r="C378" s="38"/>
      <c r="D378" s="38"/>
      <c r="E378" s="37"/>
      <c r="F378" s="38"/>
      <c r="G378" s="198"/>
      <c r="H378" s="198"/>
      <c r="I378" s="39"/>
      <c r="J378" s="38"/>
      <c r="K378" s="198"/>
      <c r="L378" s="38"/>
      <c r="M378" s="38"/>
      <c r="N378" s="38"/>
      <c r="O378" s="38"/>
      <c r="P378" s="40" t="str" cm="1">
        <f t="array" ref="P378">IF(N378="","",IFERROR(_xlfn.XLOOKUP(F378&amp;"|"&amp;J378&amp;"|"&amp;O378,PRICES!$C$2:$C$659&amp;"|"&amp;PRICES!$B$2:$B$659&amp;"|"&amp;PRICES!$D$2:$D$659,PRICES!$E$2:$E$659),"Not Found"))</f>
        <v/>
      </c>
      <c r="Q378" s="100" t="str">
        <f>IF(N378=0,"",SUMIFS(PRICES!$G$2:$G$658,PRICES!$B$2:$B$658,'MAIN TABLE-1 AUTOMATED'!J378,PRICES!$C$2:$C$658,'MAIN TABLE-1 AUTOMATED'!F378,PRICES!$D$2:$D$658,'MAIN TABLE-1 AUTOMATED'!O378))</f>
        <v/>
      </c>
      <c r="R378" s="41" t="str">
        <f>IF(Table1[[#This Row],[QUANTITY]]=0,"",Table1[[#This Row],[UNIT PRICE]]*Table1[[#This Row],[QUANTITY]])</f>
        <v/>
      </c>
      <c r="S378" s="89"/>
      <c r="T378" s="38"/>
      <c r="U378" s="43"/>
      <c r="V378" s="42" t="str">
        <f>IF(Table1[[#This Row],[DATE]]=0,"",YEAR(E378))</f>
        <v/>
      </c>
      <c r="W378" s="40" t="str">
        <f t="shared" si="12"/>
        <v/>
      </c>
      <c r="X378" s="40" t="str">
        <f t="shared" si="13"/>
        <v/>
      </c>
      <c r="Y378" s="40" t="str">
        <f>TEXT(Table1[[#This Row],[YEAR]],"0000")&amp;"-"&amp;Table1[[#This Row],[MONTH]]</f>
        <v>-</v>
      </c>
    </row>
    <row r="379" spans="1:25" ht="18" x14ac:dyDescent="0.35">
      <c r="A379" s="24"/>
      <c r="B379" s="38"/>
      <c r="C379" s="38"/>
      <c r="D379" s="38"/>
      <c r="E379" s="37"/>
      <c r="F379" s="38"/>
      <c r="G379" s="198"/>
      <c r="H379" s="198"/>
      <c r="I379" s="39"/>
      <c r="J379" s="38"/>
      <c r="K379" s="198"/>
      <c r="L379" s="38"/>
      <c r="M379" s="38"/>
      <c r="N379" s="38"/>
      <c r="O379" s="38"/>
      <c r="P379" s="40" t="str" cm="1">
        <f t="array" ref="P379">IF(N379="","",IFERROR(_xlfn.XLOOKUP(F379&amp;"|"&amp;J379&amp;"|"&amp;O379,PRICES!$C$2:$C$659&amp;"|"&amp;PRICES!$B$2:$B$659&amp;"|"&amp;PRICES!$D$2:$D$659,PRICES!$E$2:$E$659),"Not Found"))</f>
        <v/>
      </c>
      <c r="Q379" s="100" t="str">
        <f>IF(N379=0,"",SUMIFS(PRICES!$G$2:$G$658,PRICES!$B$2:$B$658,'MAIN TABLE-1 AUTOMATED'!J379,PRICES!$C$2:$C$658,'MAIN TABLE-1 AUTOMATED'!F379,PRICES!$D$2:$D$658,'MAIN TABLE-1 AUTOMATED'!O379))</f>
        <v/>
      </c>
      <c r="R379" s="41" t="str">
        <f>IF(Table1[[#This Row],[QUANTITY]]=0,"",Table1[[#This Row],[UNIT PRICE]]*Table1[[#This Row],[QUANTITY]])</f>
        <v/>
      </c>
      <c r="S379" s="89"/>
      <c r="T379" s="38"/>
      <c r="U379" s="43"/>
      <c r="V379" s="42" t="str">
        <f>IF(Table1[[#This Row],[DATE]]=0,"",YEAR(E379))</f>
        <v/>
      </c>
      <c r="W379" s="40" t="str">
        <f t="shared" si="12"/>
        <v/>
      </c>
      <c r="X379" s="40" t="str">
        <f t="shared" si="13"/>
        <v/>
      </c>
      <c r="Y379" s="40" t="str">
        <f>TEXT(Table1[[#This Row],[YEAR]],"0000")&amp;"-"&amp;Table1[[#This Row],[MONTH]]</f>
        <v>-</v>
      </c>
    </row>
    <row r="380" spans="1:25" ht="18" x14ac:dyDescent="0.35">
      <c r="A380" s="24"/>
      <c r="B380" s="38"/>
      <c r="C380" s="38"/>
      <c r="D380" s="38"/>
      <c r="E380" s="37"/>
      <c r="F380" s="38"/>
      <c r="G380" s="198"/>
      <c r="H380" s="198"/>
      <c r="I380" s="39"/>
      <c r="J380" s="38"/>
      <c r="K380" s="198"/>
      <c r="L380" s="38"/>
      <c r="M380" s="38"/>
      <c r="N380" s="38"/>
      <c r="O380" s="38"/>
      <c r="P380" s="40" t="str" cm="1">
        <f t="array" ref="P380">IF(N380="","",IFERROR(_xlfn.XLOOKUP(F380&amp;"|"&amp;J380&amp;"|"&amp;O380,PRICES!$C$2:$C$659&amp;"|"&amp;PRICES!$B$2:$B$659&amp;"|"&amp;PRICES!$D$2:$D$659,PRICES!$E$2:$E$659),"Not Found"))</f>
        <v/>
      </c>
      <c r="Q380" s="100" t="str">
        <f>IF(N380=0,"",SUMIFS(PRICES!$G$2:$G$658,PRICES!$B$2:$B$658,'MAIN TABLE-1 AUTOMATED'!J380,PRICES!$C$2:$C$658,'MAIN TABLE-1 AUTOMATED'!F380,PRICES!$D$2:$D$658,'MAIN TABLE-1 AUTOMATED'!O380))</f>
        <v/>
      </c>
      <c r="R380" s="41" t="str">
        <f>IF(Table1[[#This Row],[QUANTITY]]=0,"",Table1[[#This Row],[UNIT PRICE]]*Table1[[#This Row],[QUANTITY]])</f>
        <v/>
      </c>
      <c r="S380" s="89"/>
      <c r="T380" s="38"/>
      <c r="U380" s="43"/>
      <c r="V380" s="42" t="str">
        <f>IF(Table1[[#This Row],[DATE]]=0,"",YEAR(E380))</f>
        <v/>
      </c>
      <c r="W380" s="40" t="str">
        <f t="shared" si="12"/>
        <v/>
      </c>
      <c r="X380" s="40" t="str">
        <f t="shared" si="13"/>
        <v/>
      </c>
      <c r="Y380" s="40" t="str">
        <f>TEXT(Table1[[#This Row],[YEAR]],"0000")&amp;"-"&amp;Table1[[#This Row],[MONTH]]</f>
        <v>-</v>
      </c>
    </row>
    <row r="381" spans="1:25" ht="18" x14ac:dyDescent="0.35">
      <c r="A381" s="24"/>
      <c r="B381" s="38"/>
      <c r="C381" s="38"/>
      <c r="D381" s="38"/>
      <c r="E381" s="37"/>
      <c r="F381" s="38"/>
      <c r="G381" s="198"/>
      <c r="H381" s="198"/>
      <c r="I381" s="39"/>
      <c r="J381" s="38"/>
      <c r="K381" s="198"/>
      <c r="L381" s="38"/>
      <c r="M381" s="38"/>
      <c r="N381" s="38"/>
      <c r="O381" s="38"/>
      <c r="P381" s="40" t="str" cm="1">
        <f t="array" ref="P381">IF(N381="","",IFERROR(_xlfn.XLOOKUP(F381&amp;"|"&amp;J381&amp;"|"&amp;O381,PRICES!$C$2:$C$659&amp;"|"&amp;PRICES!$B$2:$B$659&amp;"|"&amp;PRICES!$D$2:$D$659,PRICES!$E$2:$E$659),"Not Found"))</f>
        <v/>
      </c>
      <c r="Q381" s="100" t="str">
        <f>IF(N381=0,"",SUMIFS(PRICES!$G$2:$G$658,PRICES!$B$2:$B$658,'MAIN TABLE-1 AUTOMATED'!J381,PRICES!$C$2:$C$658,'MAIN TABLE-1 AUTOMATED'!F381,PRICES!$D$2:$D$658,'MAIN TABLE-1 AUTOMATED'!O381))</f>
        <v/>
      </c>
      <c r="R381" s="41" t="str">
        <f>IF(Table1[[#This Row],[QUANTITY]]=0,"",Table1[[#This Row],[UNIT PRICE]]*Table1[[#This Row],[QUANTITY]])</f>
        <v/>
      </c>
      <c r="S381" s="89"/>
      <c r="T381" s="38"/>
      <c r="U381" s="43"/>
      <c r="V381" s="42" t="str">
        <f>IF(Table1[[#This Row],[DATE]]=0,"",YEAR(E381))</f>
        <v/>
      </c>
      <c r="W381" s="40" t="str">
        <f t="shared" si="12"/>
        <v/>
      </c>
      <c r="X381" s="40" t="str">
        <f t="shared" si="13"/>
        <v/>
      </c>
      <c r="Y381" s="40" t="str">
        <f>TEXT(Table1[[#This Row],[YEAR]],"0000")&amp;"-"&amp;Table1[[#This Row],[MONTH]]</f>
        <v>-</v>
      </c>
    </row>
    <row r="382" spans="1:25" ht="15" customHeight="1" x14ac:dyDescent="0.35">
      <c r="A382" s="24"/>
      <c r="B382" s="38"/>
      <c r="C382" s="38"/>
      <c r="D382" s="38"/>
      <c r="E382" s="37"/>
      <c r="F382" s="38"/>
      <c r="G382" s="198"/>
      <c r="H382" s="198"/>
      <c r="I382" s="39"/>
      <c r="J382" s="38"/>
      <c r="K382" s="198"/>
      <c r="L382" s="38"/>
      <c r="M382" s="38"/>
      <c r="N382" s="38"/>
      <c r="O382" s="38"/>
      <c r="P382" s="40" t="str" cm="1">
        <f t="array" ref="P382">IF(N382="","",IFERROR(_xlfn.XLOOKUP(F382&amp;"|"&amp;J382&amp;"|"&amp;O382,PRICES!$C$2:$C$659&amp;"|"&amp;PRICES!$B$2:$B$659&amp;"|"&amp;PRICES!$D$2:$D$659,PRICES!$E$2:$E$659),"Not Found"))</f>
        <v/>
      </c>
      <c r="Q382" s="100" t="str">
        <f>IF(N382=0,"",SUMIFS(PRICES!$G$2:$G$658,PRICES!$B$2:$B$658,'MAIN TABLE-1 AUTOMATED'!J382,PRICES!$C$2:$C$658,'MAIN TABLE-1 AUTOMATED'!F382,PRICES!$D$2:$D$658,'MAIN TABLE-1 AUTOMATED'!O382))</f>
        <v/>
      </c>
      <c r="R382" s="41" t="str">
        <f>IF(Table1[[#This Row],[QUANTITY]]=0,"",Table1[[#This Row],[UNIT PRICE]]*Table1[[#This Row],[QUANTITY]])</f>
        <v/>
      </c>
      <c r="S382" s="89"/>
      <c r="T382" s="38"/>
      <c r="U382" s="43"/>
      <c r="V382" s="42" t="str">
        <f>IF(Table1[[#This Row],[DATE]]=0,"",YEAR(E382))</f>
        <v/>
      </c>
      <c r="W382" s="40" t="str">
        <f t="shared" si="12"/>
        <v/>
      </c>
      <c r="X382" s="40" t="str">
        <f t="shared" si="13"/>
        <v/>
      </c>
      <c r="Y382" s="40" t="str">
        <f>TEXT(Table1[[#This Row],[YEAR]],"0000")&amp;"-"&amp;Table1[[#This Row],[MONTH]]</f>
        <v>-</v>
      </c>
    </row>
    <row r="383" spans="1:25" ht="15" customHeight="1" x14ac:dyDescent="0.35">
      <c r="A383" s="24"/>
      <c r="B383" s="38"/>
      <c r="C383" s="38"/>
      <c r="D383" s="38"/>
      <c r="E383" s="37"/>
      <c r="F383" s="38"/>
      <c r="G383" s="198"/>
      <c r="H383" s="198"/>
      <c r="I383" s="39"/>
      <c r="J383" s="38"/>
      <c r="K383" s="198"/>
      <c r="L383" s="38"/>
      <c r="M383" s="38"/>
      <c r="N383" s="38"/>
      <c r="O383" s="38"/>
      <c r="P383" s="40" t="str" cm="1">
        <f t="array" ref="P383">IF(N383="","",IFERROR(_xlfn.XLOOKUP(F383&amp;"|"&amp;J383&amp;"|"&amp;O383,PRICES!$C$2:$C$659&amp;"|"&amp;PRICES!$B$2:$B$659&amp;"|"&amp;PRICES!$D$2:$D$659,PRICES!$E$2:$E$659),"Not Found"))</f>
        <v/>
      </c>
      <c r="Q383" s="100" t="str">
        <f>IF(N383=0,"",SUMIFS(PRICES!$G$2:$G$658,PRICES!$B$2:$B$658,'MAIN TABLE-1 AUTOMATED'!J383,PRICES!$C$2:$C$658,'MAIN TABLE-1 AUTOMATED'!F383,PRICES!$D$2:$D$658,'MAIN TABLE-1 AUTOMATED'!O383))</f>
        <v/>
      </c>
      <c r="R383" s="41" t="str">
        <f>IF(Table1[[#This Row],[QUANTITY]]=0,"",Table1[[#This Row],[UNIT PRICE]]*Table1[[#This Row],[QUANTITY]])</f>
        <v/>
      </c>
      <c r="S383" s="89"/>
      <c r="T383" s="38"/>
      <c r="U383" s="43"/>
      <c r="V383" s="42" t="str">
        <f>IF(Table1[[#This Row],[DATE]]=0,"",YEAR(E383))</f>
        <v/>
      </c>
      <c r="W383" s="40" t="str">
        <f t="shared" si="12"/>
        <v/>
      </c>
      <c r="X383" s="40" t="str">
        <f t="shared" si="13"/>
        <v/>
      </c>
      <c r="Y383" s="40" t="str">
        <f>TEXT(Table1[[#This Row],[YEAR]],"0000")&amp;"-"&amp;Table1[[#This Row],[MONTH]]</f>
        <v>-</v>
      </c>
    </row>
    <row r="384" spans="1:25" ht="15" customHeight="1" x14ac:dyDescent="0.35">
      <c r="A384" s="24"/>
      <c r="B384" s="38"/>
      <c r="C384" s="38"/>
      <c r="D384" s="38"/>
      <c r="E384" s="37"/>
      <c r="F384" s="38"/>
      <c r="G384" s="198"/>
      <c r="H384" s="198"/>
      <c r="I384" s="39"/>
      <c r="J384" s="38"/>
      <c r="K384" s="198"/>
      <c r="L384" s="38"/>
      <c r="M384" s="38"/>
      <c r="N384" s="38"/>
      <c r="O384" s="38"/>
      <c r="P384" s="40" t="str" cm="1">
        <f t="array" ref="P384">IF(N384="","",IFERROR(_xlfn.XLOOKUP(F384&amp;"|"&amp;J384&amp;"|"&amp;O384,PRICES!$C$2:$C$659&amp;"|"&amp;PRICES!$B$2:$B$659&amp;"|"&amp;PRICES!$D$2:$D$659,PRICES!$E$2:$E$659),"Not Found"))</f>
        <v/>
      </c>
      <c r="Q384" s="100" t="str">
        <f>IF(N384=0,"",SUMIFS(PRICES!$G$2:$G$658,PRICES!$B$2:$B$658,'MAIN TABLE-1 AUTOMATED'!J384,PRICES!$C$2:$C$658,'MAIN TABLE-1 AUTOMATED'!F384,PRICES!$D$2:$D$658,'MAIN TABLE-1 AUTOMATED'!O384))</f>
        <v/>
      </c>
      <c r="R384" s="41" t="str">
        <f>IF(Table1[[#This Row],[QUANTITY]]=0,"",Table1[[#This Row],[UNIT PRICE]]*Table1[[#This Row],[QUANTITY]])</f>
        <v/>
      </c>
      <c r="S384" s="89"/>
      <c r="T384" s="38"/>
      <c r="U384" s="43"/>
      <c r="V384" s="42" t="str">
        <f>IF(Table1[[#This Row],[DATE]]=0,"",YEAR(E384))</f>
        <v/>
      </c>
      <c r="W384" s="40" t="str">
        <f t="shared" si="12"/>
        <v/>
      </c>
      <c r="X384" s="40" t="str">
        <f t="shared" si="13"/>
        <v/>
      </c>
      <c r="Y384" s="40" t="str">
        <f>TEXT(Table1[[#This Row],[YEAR]],"0000")&amp;"-"&amp;Table1[[#This Row],[MONTH]]</f>
        <v>-</v>
      </c>
    </row>
    <row r="385" spans="1:25" ht="15" customHeight="1" x14ac:dyDescent="0.35">
      <c r="A385" s="24"/>
      <c r="B385" s="38"/>
      <c r="C385" s="38"/>
      <c r="D385" s="38"/>
      <c r="E385" s="37"/>
      <c r="F385" s="38"/>
      <c r="G385" s="198"/>
      <c r="H385" s="198"/>
      <c r="I385" s="39"/>
      <c r="J385" s="38"/>
      <c r="K385" s="198"/>
      <c r="L385" s="38"/>
      <c r="M385" s="38"/>
      <c r="N385" s="38"/>
      <c r="O385" s="38"/>
      <c r="P385" s="40" t="str" cm="1">
        <f t="array" ref="P385">IF(N385="","",IFERROR(_xlfn.XLOOKUP(F385&amp;"|"&amp;J385&amp;"|"&amp;O385,PRICES!$C$2:$C$659&amp;"|"&amp;PRICES!$B$2:$B$659&amp;"|"&amp;PRICES!$D$2:$D$659,PRICES!$E$2:$E$659),"Not Found"))</f>
        <v/>
      </c>
      <c r="Q385" s="100" t="str">
        <f>IF(N385=0,"",SUMIFS(PRICES!$G$2:$G$658,PRICES!$B$2:$B$658,'MAIN TABLE-1 AUTOMATED'!J385,PRICES!$C$2:$C$658,'MAIN TABLE-1 AUTOMATED'!F385,PRICES!$D$2:$D$658,'MAIN TABLE-1 AUTOMATED'!O385))</f>
        <v/>
      </c>
      <c r="R385" s="41" t="str">
        <f>IF(Table1[[#This Row],[QUANTITY]]=0,"",Table1[[#This Row],[UNIT PRICE]]*Table1[[#This Row],[QUANTITY]])</f>
        <v/>
      </c>
      <c r="S385" s="89"/>
      <c r="T385" s="38"/>
      <c r="U385" s="43"/>
      <c r="V385" s="42" t="str">
        <f>IF(Table1[[#This Row],[DATE]]=0,"",YEAR(E385))</f>
        <v/>
      </c>
      <c r="W385" s="40" t="str">
        <f t="shared" si="12"/>
        <v/>
      </c>
      <c r="X385" s="40" t="str">
        <f t="shared" si="13"/>
        <v/>
      </c>
      <c r="Y385" s="40" t="str">
        <f>TEXT(Table1[[#This Row],[YEAR]],"0000")&amp;"-"&amp;Table1[[#This Row],[MONTH]]</f>
        <v>-</v>
      </c>
    </row>
    <row r="386" spans="1:25" ht="15" customHeight="1" x14ac:dyDescent="0.35">
      <c r="A386" s="24"/>
      <c r="B386" s="38"/>
      <c r="C386" s="38"/>
      <c r="D386" s="38"/>
      <c r="E386" s="37"/>
      <c r="F386" s="38"/>
      <c r="G386" s="198"/>
      <c r="H386" s="198"/>
      <c r="I386" s="39"/>
      <c r="J386" s="38"/>
      <c r="K386" s="198"/>
      <c r="L386" s="38"/>
      <c r="M386" s="38"/>
      <c r="N386" s="38"/>
      <c r="O386" s="38"/>
      <c r="P386" s="40" t="str" cm="1">
        <f t="array" ref="P386">IF(N386="","",IFERROR(_xlfn.XLOOKUP(F386&amp;"|"&amp;J386&amp;"|"&amp;O386,PRICES!$C$2:$C$659&amp;"|"&amp;PRICES!$B$2:$B$659&amp;"|"&amp;PRICES!$D$2:$D$659,PRICES!$E$2:$E$659),"Not Found"))</f>
        <v/>
      </c>
      <c r="Q386" s="100" t="str">
        <f>IF(N386=0,"",SUMIFS(PRICES!$G$2:$G$658,PRICES!$B$2:$B$658,'MAIN TABLE-1 AUTOMATED'!J386,PRICES!$C$2:$C$658,'MAIN TABLE-1 AUTOMATED'!F386,PRICES!$D$2:$D$658,'MAIN TABLE-1 AUTOMATED'!O386))</f>
        <v/>
      </c>
      <c r="R386" s="41" t="str">
        <f>IF(Table1[[#This Row],[QUANTITY]]=0,"",Table1[[#This Row],[UNIT PRICE]]*Table1[[#This Row],[QUANTITY]])</f>
        <v/>
      </c>
      <c r="S386" s="89"/>
      <c r="T386" s="38"/>
      <c r="U386" s="43"/>
      <c r="V386" s="42" t="str">
        <f>IF(Table1[[#This Row],[DATE]]=0,"",YEAR(E386))</f>
        <v/>
      </c>
      <c r="W386" s="40" t="str">
        <f t="shared" si="12"/>
        <v/>
      </c>
      <c r="X386" s="40" t="str">
        <f t="shared" si="13"/>
        <v/>
      </c>
      <c r="Y386" s="40" t="str">
        <f>TEXT(Table1[[#This Row],[YEAR]],"0000")&amp;"-"&amp;Table1[[#This Row],[MONTH]]</f>
        <v>-</v>
      </c>
    </row>
    <row r="387" spans="1:25" ht="15" customHeight="1" x14ac:dyDescent="0.35">
      <c r="A387" s="24"/>
      <c r="B387" s="38"/>
      <c r="C387" s="38"/>
      <c r="D387" s="38"/>
      <c r="E387" s="37"/>
      <c r="F387" s="38"/>
      <c r="G387" s="198"/>
      <c r="H387" s="198"/>
      <c r="I387" s="39"/>
      <c r="J387" s="38"/>
      <c r="K387" s="198"/>
      <c r="L387" s="38"/>
      <c r="M387" s="38"/>
      <c r="N387" s="38"/>
      <c r="O387" s="38"/>
      <c r="P387" s="40" t="str" cm="1">
        <f t="array" ref="P387">IF(N387="","",IFERROR(_xlfn.XLOOKUP(F387&amp;"|"&amp;J387&amp;"|"&amp;O387,PRICES!$C$2:$C$659&amp;"|"&amp;PRICES!$B$2:$B$659&amp;"|"&amp;PRICES!$D$2:$D$659,PRICES!$E$2:$E$659),"Not Found"))</f>
        <v/>
      </c>
      <c r="Q387" s="100" t="str">
        <f>IF(N387=0,"",SUMIFS(PRICES!$G$2:$G$658,PRICES!$B$2:$B$658,'MAIN TABLE-1 AUTOMATED'!J387,PRICES!$C$2:$C$658,'MAIN TABLE-1 AUTOMATED'!F387,PRICES!$D$2:$D$658,'MAIN TABLE-1 AUTOMATED'!O387))</f>
        <v/>
      </c>
      <c r="R387" s="41" t="str">
        <f>IF(Table1[[#This Row],[QUANTITY]]=0,"",Table1[[#This Row],[UNIT PRICE]]*Table1[[#This Row],[QUANTITY]])</f>
        <v/>
      </c>
      <c r="S387" s="89"/>
      <c r="T387" s="38"/>
      <c r="U387" s="43"/>
      <c r="V387" s="42" t="str">
        <f>IF(Table1[[#This Row],[DATE]]=0,"",YEAR(E387))</f>
        <v/>
      </c>
      <c r="W387" s="40" t="str">
        <f t="shared" si="12"/>
        <v/>
      </c>
      <c r="X387" s="40" t="str">
        <f t="shared" si="13"/>
        <v/>
      </c>
      <c r="Y387" s="40" t="str">
        <f>TEXT(Table1[[#This Row],[YEAR]],"0000")&amp;"-"&amp;Table1[[#This Row],[MONTH]]</f>
        <v>-</v>
      </c>
    </row>
    <row r="388" spans="1:25" ht="15" customHeight="1" x14ac:dyDescent="0.35">
      <c r="A388" s="24"/>
      <c r="B388" s="38"/>
      <c r="C388" s="38"/>
      <c r="D388" s="38"/>
      <c r="E388" s="37"/>
      <c r="F388" s="38"/>
      <c r="G388" s="198"/>
      <c r="H388" s="198"/>
      <c r="I388" s="39"/>
      <c r="J388" s="38"/>
      <c r="K388" s="198"/>
      <c r="L388" s="38"/>
      <c r="M388" s="38"/>
      <c r="N388" s="38"/>
      <c r="O388" s="38"/>
      <c r="P388" s="40" t="str" cm="1">
        <f t="array" ref="P388">IF(N388="","",IFERROR(_xlfn.XLOOKUP(F388&amp;"|"&amp;J388&amp;"|"&amp;O388,PRICES!$C$2:$C$659&amp;"|"&amp;PRICES!$B$2:$B$659&amp;"|"&amp;PRICES!$D$2:$D$659,PRICES!$E$2:$E$659),"Not Found"))</f>
        <v/>
      </c>
      <c r="Q388" s="100" t="str">
        <f>IF(N388=0,"",SUMIFS(PRICES!$G$2:$G$658,PRICES!$B$2:$B$658,'MAIN TABLE-1 AUTOMATED'!J388,PRICES!$C$2:$C$658,'MAIN TABLE-1 AUTOMATED'!F388,PRICES!$D$2:$D$658,'MAIN TABLE-1 AUTOMATED'!O388))</f>
        <v/>
      </c>
      <c r="R388" s="41" t="str">
        <f>IF(Table1[[#This Row],[QUANTITY]]=0,"",Table1[[#This Row],[UNIT PRICE]]*Table1[[#This Row],[QUANTITY]])</f>
        <v/>
      </c>
      <c r="S388" s="89"/>
      <c r="T388" s="38"/>
      <c r="U388" s="43"/>
      <c r="V388" s="42" t="str">
        <f>IF(Table1[[#This Row],[DATE]]=0,"",YEAR(E388))</f>
        <v/>
      </c>
      <c r="W388" s="40" t="str">
        <f t="shared" si="12"/>
        <v/>
      </c>
      <c r="X388" s="40" t="str">
        <f t="shared" si="13"/>
        <v/>
      </c>
      <c r="Y388" s="40" t="str">
        <f>TEXT(Table1[[#This Row],[YEAR]],"0000")&amp;"-"&amp;Table1[[#This Row],[MONTH]]</f>
        <v>-</v>
      </c>
    </row>
    <row r="389" spans="1:25" ht="15" customHeight="1" x14ac:dyDescent="0.35">
      <c r="A389" s="24"/>
      <c r="B389" s="38"/>
      <c r="C389" s="38"/>
      <c r="D389" s="38"/>
      <c r="E389" s="37"/>
      <c r="F389" s="38"/>
      <c r="G389" s="198"/>
      <c r="H389" s="198"/>
      <c r="I389" s="39"/>
      <c r="J389" s="38"/>
      <c r="K389" s="198"/>
      <c r="L389" s="38"/>
      <c r="M389" s="38"/>
      <c r="N389" s="38"/>
      <c r="O389" s="38"/>
      <c r="P389" s="40" t="str" cm="1">
        <f t="array" ref="P389">IF(N389="","",IFERROR(_xlfn.XLOOKUP(F389&amp;"|"&amp;J389&amp;"|"&amp;O389,PRICES!$C$2:$C$659&amp;"|"&amp;PRICES!$B$2:$B$659&amp;"|"&amp;PRICES!$D$2:$D$659,PRICES!$E$2:$E$659),"Not Found"))</f>
        <v/>
      </c>
      <c r="Q389" s="100" t="str">
        <f>IF(N389=0,"",SUMIFS(PRICES!$G$2:$G$658,PRICES!$B$2:$B$658,'MAIN TABLE-1 AUTOMATED'!J389,PRICES!$C$2:$C$658,'MAIN TABLE-1 AUTOMATED'!F389,PRICES!$D$2:$D$658,'MAIN TABLE-1 AUTOMATED'!O389))</f>
        <v/>
      </c>
      <c r="R389" s="41" t="str">
        <f>IF(Table1[[#This Row],[QUANTITY]]=0,"",Table1[[#This Row],[UNIT PRICE]]*Table1[[#This Row],[QUANTITY]])</f>
        <v/>
      </c>
      <c r="S389" s="89"/>
      <c r="T389" s="38"/>
      <c r="U389" s="43"/>
      <c r="V389" s="42" t="str">
        <f>IF(Table1[[#This Row],[DATE]]=0,"",YEAR(E389))</f>
        <v/>
      </c>
      <c r="W389" s="40" t="str">
        <f t="shared" si="12"/>
        <v/>
      </c>
      <c r="X389" s="40" t="str">
        <f t="shared" si="13"/>
        <v/>
      </c>
      <c r="Y389" s="40" t="str">
        <f>TEXT(Table1[[#This Row],[YEAR]],"0000")&amp;"-"&amp;Table1[[#This Row],[MONTH]]</f>
        <v>-</v>
      </c>
    </row>
    <row r="390" spans="1:25" ht="15" customHeight="1" x14ac:dyDescent="0.35">
      <c r="A390" s="24"/>
      <c r="B390" s="38"/>
      <c r="C390" s="38"/>
      <c r="D390" s="38"/>
      <c r="E390" s="37"/>
      <c r="F390" s="38"/>
      <c r="G390" s="198"/>
      <c r="H390" s="198"/>
      <c r="I390" s="39"/>
      <c r="J390" s="38"/>
      <c r="K390" s="198"/>
      <c r="L390" s="38"/>
      <c r="M390" s="38"/>
      <c r="N390" s="38"/>
      <c r="O390" s="38"/>
      <c r="P390" s="40" t="str" cm="1">
        <f t="array" ref="P390">IF(N390="","",IFERROR(_xlfn.XLOOKUP(F390&amp;"|"&amp;J390&amp;"|"&amp;O390,PRICES!$C$2:$C$659&amp;"|"&amp;PRICES!$B$2:$B$659&amp;"|"&amp;PRICES!$D$2:$D$659,PRICES!$E$2:$E$659),"Not Found"))</f>
        <v/>
      </c>
      <c r="Q390" s="100" t="str">
        <f>IF(N390=0,"",SUMIFS(PRICES!$G$2:$G$658,PRICES!$B$2:$B$658,'MAIN TABLE-1 AUTOMATED'!J390,PRICES!$C$2:$C$658,'MAIN TABLE-1 AUTOMATED'!F390,PRICES!$D$2:$D$658,'MAIN TABLE-1 AUTOMATED'!O390))</f>
        <v/>
      </c>
      <c r="R390" s="41" t="str">
        <f>IF(Table1[[#This Row],[QUANTITY]]=0,"",Table1[[#This Row],[UNIT PRICE]]*Table1[[#This Row],[QUANTITY]])</f>
        <v/>
      </c>
      <c r="S390" s="89"/>
      <c r="T390" s="38"/>
      <c r="U390" s="43"/>
      <c r="V390" s="42" t="str">
        <f>IF(Table1[[#This Row],[DATE]]=0,"",YEAR(E390))</f>
        <v/>
      </c>
      <c r="W390" s="40" t="str">
        <f t="shared" si="12"/>
        <v/>
      </c>
      <c r="X390" s="40" t="str">
        <f t="shared" si="13"/>
        <v/>
      </c>
      <c r="Y390" s="40" t="str">
        <f>TEXT(Table1[[#This Row],[YEAR]],"0000")&amp;"-"&amp;Table1[[#This Row],[MONTH]]</f>
        <v>-</v>
      </c>
    </row>
    <row r="391" spans="1:25" ht="15" customHeight="1" x14ac:dyDescent="0.35">
      <c r="A391" s="24"/>
      <c r="B391" s="38"/>
      <c r="C391" s="38"/>
      <c r="D391" s="38"/>
      <c r="E391" s="37"/>
      <c r="F391" s="38"/>
      <c r="G391" s="198"/>
      <c r="H391" s="198"/>
      <c r="I391" s="39"/>
      <c r="J391" s="38"/>
      <c r="K391" s="198"/>
      <c r="L391" s="38"/>
      <c r="M391" s="38"/>
      <c r="N391" s="38"/>
      <c r="O391" s="38"/>
      <c r="P391" s="40" t="str" cm="1">
        <f t="array" ref="P391">IF(N391="","",IFERROR(_xlfn.XLOOKUP(F391&amp;"|"&amp;J391&amp;"|"&amp;O391,PRICES!$C$2:$C$659&amp;"|"&amp;PRICES!$B$2:$B$659&amp;"|"&amp;PRICES!$D$2:$D$659,PRICES!$E$2:$E$659),"Not Found"))</f>
        <v/>
      </c>
      <c r="Q391" s="100" t="str">
        <f>IF(N391=0,"",SUMIFS(PRICES!$G$2:$G$658,PRICES!$B$2:$B$658,'MAIN TABLE-1 AUTOMATED'!J391,PRICES!$C$2:$C$658,'MAIN TABLE-1 AUTOMATED'!F391,PRICES!$D$2:$D$658,'MAIN TABLE-1 AUTOMATED'!O391))</f>
        <v/>
      </c>
      <c r="R391" s="41" t="str">
        <f>IF(Table1[[#This Row],[QUANTITY]]=0,"",Table1[[#This Row],[UNIT PRICE]]*Table1[[#This Row],[QUANTITY]])</f>
        <v/>
      </c>
      <c r="S391" s="89"/>
      <c r="T391" s="38"/>
      <c r="U391" s="43"/>
      <c r="V391" s="42" t="str">
        <f>IF(Table1[[#This Row],[DATE]]=0,"",YEAR(E391))</f>
        <v/>
      </c>
      <c r="W391" s="40" t="str">
        <f t="shared" si="12"/>
        <v/>
      </c>
      <c r="X391" s="40" t="str">
        <f t="shared" si="13"/>
        <v/>
      </c>
      <c r="Y391" s="40" t="str">
        <f>TEXT(Table1[[#This Row],[YEAR]],"0000")&amp;"-"&amp;Table1[[#This Row],[MONTH]]</f>
        <v>-</v>
      </c>
    </row>
    <row r="392" spans="1:25" ht="15" customHeight="1" x14ac:dyDescent="0.35">
      <c r="A392" s="24"/>
      <c r="B392" s="38"/>
      <c r="C392" s="38"/>
      <c r="D392" s="38"/>
      <c r="E392" s="37"/>
      <c r="F392" s="38"/>
      <c r="G392" s="198"/>
      <c r="H392" s="198"/>
      <c r="I392" s="39"/>
      <c r="J392" s="38"/>
      <c r="K392" s="198"/>
      <c r="L392" s="38"/>
      <c r="M392" s="38"/>
      <c r="N392" s="38"/>
      <c r="O392" s="38"/>
      <c r="P392" s="40" t="str" cm="1">
        <f t="array" ref="P392">IF(N392="","",IFERROR(_xlfn.XLOOKUP(F392&amp;"|"&amp;J392&amp;"|"&amp;O392,PRICES!$C$2:$C$659&amp;"|"&amp;PRICES!$B$2:$B$659&amp;"|"&amp;PRICES!$D$2:$D$659,PRICES!$E$2:$E$659),"Not Found"))</f>
        <v/>
      </c>
      <c r="Q392" s="100" t="str">
        <f>IF(N392=0,"",SUMIFS(PRICES!$G$2:$G$658,PRICES!$B$2:$B$658,'MAIN TABLE-1 AUTOMATED'!J392,PRICES!$C$2:$C$658,'MAIN TABLE-1 AUTOMATED'!F392,PRICES!$D$2:$D$658,'MAIN TABLE-1 AUTOMATED'!O392))</f>
        <v/>
      </c>
      <c r="R392" s="41" t="str">
        <f>IF(Table1[[#This Row],[QUANTITY]]=0,"",Table1[[#This Row],[UNIT PRICE]]*Table1[[#This Row],[QUANTITY]])</f>
        <v/>
      </c>
      <c r="S392" s="89"/>
      <c r="T392" s="38"/>
      <c r="U392" s="43"/>
      <c r="V392" s="42" t="str">
        <f>IF(Table1[[#This Row],[DATE]]=0,"",YEAR(E392))</f>
        <v/>
      </c>
      <c r="W392" s="40" t="str">
        <f t="shared" si="12"/>
        <v/>
      </c>
      <c r="X392" s="40" t="str">
        <f t="shared" si="13"/>
        <v/>
      </c>
      <c r="Y392" s="40" t="str">
        <f>TEXT(Table1[[#This Row],[YEAR]],"0000")&amp;"-"&amp;Table1[[#This Row],[MONTH]]</f>
        <v>-</v>
      </c>
    </row>
    <row r="393" spans="1:25" ht="15" customHeight="1" x14ac:dyDescent="0.35">
      <c r="A393" s="24"/>
      <c r="B393" s="38"/>
      <c r="C393" s="38"/>
      <c r="D393" s="38"/>
      <c r="E393" s="37"/>
      <c r="F393" s="38"/>
      <c r="G393" s="198"/>
      <c r="H393" s="198"/>
      <c r="I393" s="39"/>
      <c r="J393" s="38"/>
      <c r="K393" s="198"/>
      <c r="L393" s="38"/>
      <c r="M393" s="38"/>
      <c r="N393" s="38"/>
      <c r="O393" s="38"/>
      <c r="P393" s="40" t="str" cm="1">
        <f t="array" ref="P393">IF(N393="","",IFERROR(_xlfn.XLOOKUP(F393&amp;"|"&amp;J393&amp;"|"&amp;O393,PRICES!$C$2:$C$659&amp;"|"&amp;PRICES!$B$2:$B$659&amp;"|"&amp;PRICES!$D$2:$D$659,PRICES!$E$2:$E$659),"Not Found"))</f>
        <v/>
      </c>
      <c r="Q393" s="100" t="str">
        <f>IF(N393=0,"",SUMIFS(PRICES!$G$2:$G$658,PRICES!$B$2:$B$658,'MAIN TABLE-1 AUTOMATED'!J393,PRICES!$C$2:$C$658,'MAIN TABLE-1 AUTOMATED'!F393,PRICES!$D$2:$D$658,'MAIN TABLE-1 AUTOMATED'!O393))</f>
        <v/>
      </c>
      <c r="R393" s="41" t="str">
        <f>IF(Table1[[#This Row],[QUANTITY]]=0,"",Table1[[#This Row],[UNIT PRICE]]*Table1[[#This Row],[QUANTITY]])</f>
        <v/>
      </c>
      <c r="S393" s="89"/>
      <c r="T393" s="38"/>
      <c r="U393" s="43"/>
      <c r="V393" s="42" t="str">
        <f>IF(Table1[[#This Row],[DATE]]=0,"",YEAR(E393))</f>
        <v/>
      </c>
      <c r="W393" s="40" t="str">
        <f t="shared" si="12"/>
        <v/>
      </c>
      <c r="X393" s="40" t="str">
        <f t="shared" si="13"/>
        <v/>
      </c>
      <c r="Y393" s="40" t="str">
        <f>TEXT(Table1[[#This Row],[YEAR]],"0000")&amp;"-"&amp;Table1[[#This Row],[MONTH]]</f>
        <v>-</v>
      </c>
    </row>
    <row r="394" spans="1:25" ht="15" customHeight="1" x14ac:dyDescent="0.35">
      <c r="A394" s="24"/>
      <c r="B394" s="38"/>
      <c r="C394" s="38"/>
      <c r="D394" s="38"/>
      <c r="E394" s="37"/>
      <c r="F394" s="38"/>
      <c r="G394" s="198"/>
      <c r="H394" s="198"/>
      <c r="I394" s="39"/>
      <c r="J394" s="38"/>
      <c r="K394" s="198"/>
      <c r="L394" s="38"/>
      <c r="M394" s="38"/>
      <c r="N394" s="38"/>
      <c r="O394" s="38"/>
      <c r="P394" s="40" t="str" cm="1">
        <f t="array" ref="P394">IF(N394="","",IFERROR(_xlfn.XLOOKUP(F394&amp;"|"&amp;J394&amp;"|"&amp;O394,PRICES!$C$2:$C$659&amp;"|"&amp;PRICES!$B$2:$B$659&amp;"|"&amp;PRICES!$D$2:$D$659,PRICES!$E$2:$E$659),"Not Found"))</f>
        <v/>
      </c>
      <c r="Q394" s="100" t="str">
        <f>IF(N394=0,"",SUMIFS(PRICES!$G$2:$G$658,PRICES!$B$2:$B$658,'MAIN TABLE-1 AUTOMATED'!J394,PRICES!$C$2:$C$658,'MAIN TABLE-1 AUTOMATED'!F394,PRICES!$D$2:$D$658,'MAIN TABLE-1 AUTOMATED'!O394))</f>
        <v/>
      </c>
      <c r="R394" s="41" t="str">
        <f>IF(Table1[[#This Row],[QUANTITY]]=0,"",Table1[[#This Row],[UNIT PRICE]]*Table1[[#This Row],[QUANTITY]])</f>
        <v/>
      </c>
      <c r="S394" s="89"/>
      <c r="T394" s="38"/>
      <c r="U394" s="43"/>
      <c r="V394" s="42" t="str">
        <f>IF(Table1[[#This Row],[DATE]]=0,"",YEAR(E394))</f>
        <v/>
      </c>
      <c r="W394" s="40" t="str">
        <f t="shared" si="12"/>
        <v/>
      </c>
      <c r="X394" s="40" t="str">
        <f t="shared" si="13"/>
        <v/>
      </c>
      <c r="Y394" s="40" t="str">
        <f>TEXT(Table1[[#This Row],[YEAR]],"0000")&amp;"-"&amp;Table1[[#This Row],[MONTH]]</f>
        <v>-</v>
      </c>
    </row>
    <row r="395" spans="1:25" ht="15" customHeight="1" x14ac:dyDescent="0.35">
      <c r="A395" s="24"/>
      <c r="B395" s="38"/>
      <c r="C395" s="38"/>
      <c r="D395" s="38"/>
      <c r="E395" s="37"/>
      <c r="F395" s="38"/>
      <c r="G395" s="198"/>
      <c r="H395" s="198"/>
      <c r="I395" s="39"/>
      <c r="J395" s="38"/>
      <c r="K395" s="198"/>
      <c r="L395" s="38"/>
      <c r="M395" s="38"/>
      <c r="N395" s="38"/>
      <c r="O395" s="38"/>
      <c r="P395" s="40" t="str" cm="1">
        <f t="array" ref="P395">IF(N395="","",IFERROR(_xlfn.XLOOKUP(F395&amp;"|"&amp;J395&amp;"|"&amp;O395,PRICES!$C$2:$C$659&amp;"|"&amp;PRICES!$B$2:$B$659&amp;"|"&amp;PRICES!$D$2:$D$659,PRICES!$E$2:$E$659),"Not Found"))</f>
        <v/>
      </c>
      <c r="Q395" s="100" t="str">
        <f>IF(N395=0,"",SUMIFS(PRICES!$G$2:$G$658,PRICES!$B$2:$B$658,'MAIN TABLE-1 AUTOMATED'!J395,PRICES!$C$2:$C$658,'MAIN TABLE-1 AUTOMATED'!F395,PRICES!$D$2:$D$658,'MAIN TABLE-1 AUTOMATED'!O395))</f>
        <v/>
      </c>
      <c r="R395" s="41" t="str">
        <f>IF(Table1[[#This Row],[QUANTITY]]=0,"",Table1[[#This Row],[UNIT PRICE]]*Table1[[#This Row],[QUANTITY]])</f>
        <v/>
      </c>
      <c r="S395" s="89"/>
      <c r="T395" s="38"/>
      <c r="U395" s="43"/>
      <c r="V395" s="42" t="str">
        <f>IF(Table1[[#This Row],[DATE]]=0,"",YEAR(E395))</f>
        <v/>
      </c>
      <c r="W395" s="40" t="str">
        <f t="shared" si="12"/>
        <v/>
      </c>
      <c r="X395" s="40" t="str">
        <f t="shared" si="13"/>
        <v/>
      </c>
      <c r="Y395" s="40" t="str">
        <f>TEXT(Table1[[#This Row],[YEAR]],"0000")&amp;"-"&amp;Table1[[#This Row],[MONTH]]</f>
        <v>-</v>
      </c>
    </row>
    <row r="396" spans="1:25" ht="15" customHeight="1" x14ac:dyDescent="0.35">
      <c r="A396" s="24"/>
      <c r="B396" s="38"/>
      <c r="C396" s="38"/>
      <c r="D396" s="38"/>
      <c r="E396" s="37"/>
      <c r="F396" s="38"/>
      <c r="G396" s="198"/>
      <c r="H396" s="198"/>
      <c r="I396" s="39"/>
      <c r="J396" s="38"/>
      <c r="K396" s="198"/>
      <c r="L396" s="38"/>
      <c r="M396" s="38"/>
      <c r="N396" s="38"/>
      <c r="O396" s="38"/>
      <c r="P396" s="40" t="str" cm="1">
        <f t="array" ref="P396">IF(N396="","",IFERROR(_xlfn.XLOOKUP(F396&amp;"|"&amp;J396&amp;"|"&amp;O396,PRICES!$C$2:$C$659&amp;"|"&amp;PRICES!$B$2:$B$659&amp;"|"&amp;PRICES!$D$2:$D$659,PRICES!$E$2:$E$659),"Not Found"))</f>
        <v/>
      </c>
      <c r="Q396" s="100" t="str">
        <f>IF(N396=0,"",SUMIFS(PRICES!$G$2:$G$658,PRICES!$B$2:$B$658,'MAIN TABLE-1 AUTOMATED'!J396,PRICES!$C$2:$C$658,'MAIN TABLE-1 AUTOMATED'!F396,PRICES!$D$2:$D$658,'MAIN TABLE-1 AUTOMATED'!O396))</f>
        <v/>
      </c>
      <c r="R396" s="41" t="str">
        <f>IF(Table1[[#This Row],[QUANTITY]]=0,"",Table1[[#This Row],[UNIT PRICE]]*Table1[[#This Row],[QUANTITY]])</f>
        <v/>
      </c>
      <c r="S396" s="89"/>
      <c r="T396" s="38"/>
      <c r="U396" s="43"/>
      <c r="V396" s="42" t="str">
        <f>IF(Table1[[#This Row],[DATE]]=0,"",YEAR(E396))</f>
        <v/>
      </c>
      <c r="W396" s="40" t="str">
        <f t="shared" si="12"/>
        <v/>
      </c>
      <c r="X396" s="40" t="str">
        <f t="shared" si="13"/>
        <v/>
      </c>
      <c r="Y396" s="40" t="str">
        <f>TEXT(Table1[[#This Row],[YEAR]],"0000")&amp;"-"&amp;Table1[[#This Row],[MONTH]]</f>
        <v>-</v>
      </c>
    </row>
    <row r="397" spans="1:25" ht="15" customHeight="1" x14ac:dyDescent="0.35">
      <c r="A397" s="24"/>
      <c r="B397" s="38"/>
      <c r="C397" s="38"/>
      <c r="D397" s="38"/>
      <c r="E397" s="37"/>
      <c r="F397" s="38"/>
      <c r="G397" s="198"/>
      <c r="H397" s="198"/>
      <c r="I397" s="39"/>
      <c r="J397" s="38"/>
      <c r="K397" s="198"/>
      <c r="L397" s="38"/>
      <c r="M397" s="38"/>
      <c r="N397" s="38"/>
      <c r="O397" s="38"/>
      <c r="P397" s="40" t="str" cm="1">
        <f t="array" ref="P397">IF(N397="","",IFERROR(_xlfn.XLOOKUP(F397&amp;"|"&amp;J397&amp;"|"&amp;O397,PRICES!$C$2:$C$659&amp;"|"&amp;PRICES!$B$2:$B$659&amp;"|"&amp;PRICES!$D$2:$D$659,PRICES!$E$2:$E$659),"Not Found"))</f>
        <v/>
      </c>
      <c r="Q397" s="100" t="str">
        <f>IF(N397=0,"",SUMIFS(PRICES!$G$2:$G$658,PRICES!$B$2:$B$658,'MAIN TABLE-1 AUTOMATED'!J397,PRICES!$C$2:$C$658,'MAIN TABLE-1 AUTOMATED'!F397,PRICES!$D$2:$D$658,'MAIN TABLE-1 AUTOMATED'!O397))</f>
        <v/>
      </c>
      <c r="R397" s="41" t="str">
        <f>IF(Table1[[#This Row],[QUANTITY]]=0,"",Table1[[#This Row],[UNIT PRICE]]*Table1[[#This Row],[QUANTITY]])</f>
        <v/>
      </c>
      <c r="S397" s="89"/>
      <c r="T397" s="38"/>
      <c r="U397" s="43"/>
      <c r="V397" s="42" t="str">
        <f>IF(Table1[[#This Row],[DATE]]=0,"",YEAR(E397))</f>
        <v/>
      </c>
      <c r="W397" s="40" t="str">
        <f t="shared" si="12"/>
        <v/>
      </c>
      <c r="X397" s="40" t="str">
        <f t="shared" si="13"/>
        <v/>
      </c>
      <c r="Y397" s="40" t="str">
        <f>TEXT(Table1[[#This Row],[YEAR]],"0000")&amp;"-"&amp;Table1[[#This Row],[MONTH]]</f>
        <v>-</v>
      </c>
    </row>
    <row r="398" spans="1:25" ht="15" customHeight="1" x14ac:dyDescent="0.35">
      <c r="A398" s="24"/>
      <c r="B398" s="38"/>
      <c r="C398" s="38"/>
      <c r="D398" s="38"/>
      <c r="E398" s="37"/>
      <c r="F398" s="38"/>
      <c r="G398" s="198"/>
      <c r="H398" s="198"/>
      <c r="I398" s="39"/>
      <c r="J398" s="38"/>
      <c r="K398" s="198"/>
      <c r="L398" s="38"/>
      <c r="M398" s="38"/>
      <c r="N398" s="38"/>
      <c r="O398" s="38"/>
      <c r="P398" s="40" t="str" cm="1">
        <f t="array" ref="P398">IF(N398="","",IFERROR(_xlfn.XLOOKUP(F398&amp;"|"&amp;J398&amp;"|"&amp;O398,PRICES!$C$2:$C$659&amp;"|"&amp;PRICES!$B$2:$B$659&amp;"|"&amp;PRICES!$D$2:$D$659,PRICES!$E$2:$E$659),"Not Found"))</f>
        <v/>
      </c>
      <c r="Q398" s="100" t="str">
        <f>IF(N398=0,"",SUMIFS(PRICES!$G$2:$G$658,PRICES!$B$2:$B$658,'MAIN TABLE-1 AUTOMATED'!J398,PRICES!$C$2:$C$658,'MAIN TABLE-1 AUTOMATED'!F398,PRICES!$D$2:$D$658,'MAIN TABLE-1 AUTOMATED'!O398))</f>
        <v/>
      </c>
      <c r="R398" s="41" t="str">
        <f>IF(Table1[[#This Row],[QUANTITY]]=0,"",Table1[[#This Row],[UNIT PRICE]]*Table1[[#This Row],[QUANTITY]])</f>
        <v/>
      </c>
      <c r="S398" s="89"/>
      <c r="T398" s="38"/>
      <c r="U398" s="43"/>
      <c r="V398" s="42" t="str">
        <f>IF(Table1[[#This Row],[DATE]]=0,"",YEAR(E398))</f>
        <v/>
      </c>
      <c r="W398" s="40" t="str">
        <f t="shared" si="12"/>
        <v/>
      </c>
      <c r="X398" s="40" t="str">
        <f t="shared" si="13"/>
        <v/>
      </c>
      <c r="Y398" s="40" t="str">
        <f>TEXT(Table1[[#This Row],[YEAR]],"0000")&amp;"-"&amp;Table1[[#This Row],[MONTH]]</f>
        <v>-</v>
      </c>
    </row>
    <row r="399" spans="1:25" ht="15" customHeight="1" x14ac:dyDescent="0.35">
      <c r="A399" s="24"/>
      <c r="B399" s="38"/>
      <c r="C399" s="38"/>
      <c r="D399" s="38"/>
      <c r="E399" s="37"/>
      <c r="F399" s="38"/>
      <c r="G399" s="198"/>
      <c r="H399" s="198"/>
      <c r="I399" s="39"/>
      <c r="J399" s="38"/>
      <c r="K399" s="198"/>
      <c r="L399" s="38"/>
      <c r="M399" s="38"/>
      <c r="N399" s="38"/>
      <c r="O399" s="38"/>
      <c r="P399" s="40" t="str" cm="1">
        <f t="array" ref="P399">IF(N399="","",IFERROR(_xlfn.XLOOKUP(F399&amp;"|"&amp;J399&amp;"|"&amp;O399,PRICES!$C$2:$C$659&amp;"|"&amp;PRICES!$B$2:$B$659&amp;"|"&amp;PRICES!$D$2:$D$659,PRICES!$E$2:$E$659),"Not Found"))</f>
        <v/>
      </c>
      <c r="Q399" s="100" t="str">
        <f>IF(N399=0,"",SUMIFS(PRICES!$G$2:$G$658,PRICES!$B$2:$B$658,'MAIN TABLE-1 AUTOMATED'!J399,PRICES!$C$2:$C$658,'MAIN TABLE-1 AUTOMATED'!F399,PRICES!$D$2:$D$658,'MAIN TABLE-1 AUTOMATED'!O399))</f>
        <v/>
      </c>
      <c r="R399" s="41" t="str">
        <f>IF(Table1[[#This Row],[QUANTITY]]=0,"",Table1[[#This Row],[UNIT PRICE]]*Table1[[#This Row],[QUANTITY]])</f>
        <v/>
      </c>
      <c r="S399" s="89"/>
      <c r="T399" s="38"/>
      <c r="U399" s="43"/>
      <c r="V399" s="42" t="str">
        <f>IF(Table1[[#This Row],[DATE]]=0,"",YEAR(E399))</f>
        <v/>
      </c>
      <c r="W399" s="40" t="str">
        <f t="shared" si="12"/>
        <v/>
      </c>
      <c r="X399" s="40" t="str">
        <f t="shared" si="13"/>
        <v/>
      </c>
      <c r="Y399" s="40" t="str">
        <f>TEXT(Table1[[#This Row],[YEAR]],"0000")&amp;"-"&amp;Table1[[#This Row],[MONTH]]</f>
        <v>-</v>
      </c>
    </row>
    <row r="400" spans="1:25" ht="15" customHeight="1" x14ac:dyDescent="0.35">
      <c r="A400" s="24"/>
      <c r="B400" s="38"/>
      <c r="C400" s="38"/>
      <c r="D400" s="38"/>
      <c r="E400" s="37"/>
      <c r="F400" s="38"/>
      <c r="G400" s="198"/>
      <c r="H400" s="198"/>
      <c r="I400" s="39"/>
      <c r="J400" s="38"/>
      <c r="K400" s="198"/>
      <c r="L400" s="38"/>
      <c r="M400" s="38"/>
      <c r="N400" s="38"/>
      <c r="O400" s="38"/>
      <c r="P400" s="40" t="str" cm="1">
        <f t="array" ref="P400">IF(N400="","",IFERROR(_xlfn.XLOOKUP(F400&amp;"|"&amp;J400&amp;"|"&amp;O400,PRICES!$C$2:$C$659&amp;"|"&amp;PRICES!$B$2:$B$659&amp;"|"&amp;PRICES!$D$2:$D$659,PRICES!$E$2:$E$659),"Not Found"))</f>
        <v/>
      </c>
      <c r="Q400" s="100" t="str">
        <f>IF(N400=0,"",SUMIFS(PRICES!$G$2:$G$658,PRICES!$B$2:$B$658,'MAIN TABLE-1 AUTOMATED'!J400,PRICES!$C$2:$C$658,'MAIN TABLE-1 AUTOMATED'!F400,PRICES!$D$2:$D$658,'MAIN TABLE-1 AUTOMATED'!O400))</f>
        <v/>
      </c>
      <c r="R400" s="41" t="str">
        <f>IF(Table1[[#This Row],[QUANTITY]]=0,"",Table1[[#This Row],[UNIT PRICE]]*Table1[[#This Row],[QUANTITY]])</f>
        <v/>
      </c>
      <c r="S400" s="89"/>
      <c r="T400" s="38"/>
      <c r="U400" s="43"/>
      <c r="V400" s="42" t="str">
        <f>IF(Table1[[#This Row],[DATE]]=0,"",YEAR(E400))</f>
        <v/>
      </c>
      <c r="W400" s="40" t="str">
        <f t="shared" si="12"/>
        <v/>
      </c>
      <c r="X400" s="40" t="str">
        <f t="shared" si="13"/>
        <v/>
      </c>
      <c r="Y400" s="40" t="str">
        <f>TEXT(Table1[[#This Row],[YEAR]],"0000")&amp;"-"&amp;Table1[[#This Row],[MONTH]]</f>
        <v>-</v>
      </c>
    </row>
    <row r="401" spans="1:25" ht="15" customHeight="1" x14ac:dyDescent="0.35">
      <c r="A401" s="24"/>
      <c r="B401" s="38"/>
      <c r="C401" s="38"/>
      <c r="D401" s="38"/>
      <c r="E401" s="37"/>
      <c r="F401" s="38"/>
      <c r="G401" s="198"/>
      <c r="H401" s="198"/>
      <c r="I401" s="39"/>
      <c r="J401" s="38"/>
      <c r="K401" s="198"/>
      <c r="L401" s="38"/>
      <c r="M401" s="38"/>
      <c r="N401" s="38"/>
      <c r="O401" s="38"/>
      <c r="P401" s="40" t="str" cm="1">
        <f t="array" ref="P401">IF(N401="","",IFERROR(_xlfn.XLOOKUP(F401&amp;"|"&amp;J401&amp;"|"&amp;O401,PRICES!$C$2:$C$659&amp;"|"&amp;PRICES!$B$2:$B$659&amp;"|"&amp;PRICES!$D$2:$D$659,PRICES!$E$2:$E$659),"Not Found"))</f>
        <v/>
      </c>
      <c r="Q401" s="100" t="str">
        <f>IF(N401=0,"",SUMIFS(PRICES!$G$2:$G$658,PRICES!$B$2:$B$658,'MAIN TABLE-1 AUTOMATED'!J401,PRICES!$C$2:$C$658,'MAIN TABLE-1 AUTOMATED'!F401,PRICES!$D$2:$D$658,'MAIN TABLE-1 AUTOMATED'!O401))</f>
        <v/>
      </c>
      <c r="R401" s="41" t="str">
        <f>IF(Table1[[#This Row],[QUANTITY]]=0,"",Table1[[#This Row],[UNIT PRICE]]*Table1[[#This Row],[QUANTITY]])</f>
        <v/>
      </c>
      <c r="S401" s="89"/>
      <c r="T401" s="38"/>
      <c r="U401" s="43"/>
      <c r="V401" s="42" t="str">
        <f>IF(Table1[[#This Row],[DATE]]=0,"",YEAR(E401))</f>
        <v/>
      </c>
      <c r="W401" s="40" t="str">
        <f t="shared" si="12"/>
        <v/>
      </c>
      <c r="X401" s="40" t="str">
        <f t="shared" si="13"/>
        <v/>
      </c>
      <c r="Y401" s="40" t="str">
        <f>TEXT(Table1[[#This Row],[YEAR]],"0000")&amp;"-"&amp;Table1[[#This Row],[MONTH]]</f>
        <v>-</v>
      </c>
    </row>
    <row r="402" spans="1:25" ht="15" customHeight="1" x14ac:dyDescent="0.35">
      <c r="A402" s="24"/>
      <c r="B402" s="38"/>
      <c r="C402" s="38"/>
      <c r="D402" s="38"/>
      <c r="E402" s="37"/>
      <c r="F402" s="38"/>
      <c r="G402" s="198"/>
      <c r="H402" s="198"/>
      <c r="I402" s="39"/>
      <c r="J402" s="38"/>
      <c r="K402" s="198"/>
      <c r="L402" s="38"/>
      <c r="M402" s="38"/>
      <c r="N402" s="38"/>
      <c r="O402" s="38"/>
      <c r="P402" s="40" t="str" cm="1">
        <f t="array" ref="P402">IF(N402="","",IFERROR(_xlfn.XLOOKUP(F402&amp;"|"&amp;J402&amp;"|"&amp;O402,PRICES!$C$2:$C$659&amp;"|"&amp;PRICES!$B$2:$B$659&amp;"|"&amp;PRICES!$D$2:$D$659,PRICES!$E$2:$E$659),"Not Found"))</f>
        <v/>
      </c>
      <c r="Q402" s="100" t="str">
        <f>IF(N402=0,"",SUMIFS(PRICES!$G$2:$G$658,PRICES!$B$2:$B$658,'MAIN TABLE-1 AUTOMATED'!J402,PRICES!$C$2:$C$658,'MAIN TABLE-1 AUTOMATED'!F402,PRICES!$D$2:$D$658,'MAIN TABLE-1 AUTOMATED'!O402))</f>
        <v/>
      </c>
      <c r="R402" s="41" t="str">
        <f>IF(Table1[[#This Row],[QUANTITY]]=0,"",Table1[[#This Row],[UNIT PRICE]]*Table1[[#This Row],[QUANTITY]])</f>
        <v/>
      </c>
      <c r="S402" s="89"/>
      <c r="T402" s="38"/>
      <c r="U402" s="43"/>
      <c r="V402" s="42" t="str">
        <f>IF(Table1[[#This Row],[DATE]]=0,"",YEAR(E402))</f>
        <v/>
      </c>
      <c r="W402" s="40" t="str">
        <f t="shared" si="12"/>
        <v/>
      </c>
      <c r="X402" s="40" t="str">
        <f t="shared" si="13"/>
        <v/>
      </c>
      <c r="Y402" s="40" t="str">
        <f>TEXT(Table1[[#This Row],[YEAR]],"0000")&amp;"-"&amp;Table1[[#This Row],[MONTH]]</f>
        <v>-</v>
      </c>
    </row>
    <row r="403" spans="1:25" ht="15" customHeight="1" x14ac:dyDescent="0.35">
      <c r="A403" s="24"/>
      <c r="B403" s="38"/>
      <c r="C403" s="38"/>
      <c r="D403" s="38"/>
      <c r="E403" s="37"/>
      <c r="F403" s="38"/>
      <c r="G403" s="198"/>
      <c r="H403" s="198"/>
      <c r="I403" s="39"/>
      <c r="J403" s="38"/>
      <c r="K403" s="198"/>
      <c r="L403" s="38"/>
      <c r="M403" s="38"/>
      <c r="N403" s="38"/>
      <c r="O403" s="38"/>
      <c r="P403" s="40" t="str" cm="1">
        <f t="array" ref="P403">IF(N403="","",IFERROR(_xlfn.XLOOKUP(F403&amp;"|"&amp;J403&amp;"|"&amp;O403,PRICES!$C$2:$C$659&amp;"|"&amp;PRICES!$B$2:$B$659&amp;"|"&amp;PRICES!$D$2:$D$659,PRICES!$E$2:$E$659),"Not Found"))</f>
        <v/>
      </c>
      <c r="Q403" s="100" t="str">
        <f>IF(N403=0,"",SUMIFS(PRICES!$G$2:$G$658,PRICES!$B$2:$B$658,'MAIN TABLE-1 AUTOMATED'!J403,PRICES!$C$2:$C$658,'MAIN TABLE-1 AUTOMATED'!F403,PRICES!$D$2:$D$658,'MAIN TABLE-1 AUTOMATED'!O403))</f>
        <v/>
      </c>
      <c r="R403" s="41" t="str">
        <f>IF(Table1[[#This Row],[QUANTITY]]=0,"",Table1[[#This Row],[UNIT PRICE]]*Table1[[#This Row],[QUANTITY]])</f>
        <v/>
      </c>
      <c r="S403" s="89"/>
      <c r="T403" s="38"/>
      <c r="U403" s="43"/>
      <c r="V403" s="42" t="str">
        <f>IF(Table1[[#This Row],[DATE]]=0,"",YEAR(E403))</f>
        <v/>
      </c>
      <c r="W403" s="40" t="str">
        <f t="shared" si="12"/>
        <v/>
      </c>
      <c r="X403" s="40" t="str">
        <f t="shared" si="13"/>
        <v/>
      </c>
      <c r="Y403" s="40" t="str">
        <f>TEXT(Table1[[#This Row],[YEAR]],"0000")&amp;"-"&amp;Table1[[#This Row],[MONTH]]</f>
        <v>-</v>
      </c>
    </row>
    <row r="404" spans="1:25" ht="15" customHeight="1" x14ac:dyDescent="0.35">
      <c r="A404" s="24"/>
      <c r="B404" s="38"/>
      <c r="C404" s="38"/>
      <c r="D404" s="38"/>
      <c r="E404" s="37"/>
      <c r="F404" s="38"/>
      <c r="G404" s="198"/>
      <c r="H404" s="198"/>
      <c r="I404" s="39"/>
      <c r="J404" s="38"/>
      <c r="K404" s="198"/>
      <c r="L404" s="38"/>
      <c r="M404" s="38"/>
      <c r="N404" s="38"/>
      <c r="O404" s="38"/>
      <c r="P404" s="40" t="str" cm="1">
        <f t="array" ref="P404">IF(N404="","",IFERROR(_xlfn.XLOOKUP(F404&amp;"|"&amp;J404&amp;"|"&amp;O404,PRICES!$C$2:$C$659&amp;"|"&amp;PRICES!$B$2:$B$659&amp;"|"&amp;PRICES!$D$2:$D$659,PRICES!$E$2:$E$659),"Not Found"))</f>
        <v/>
      </c>
      <c r="Q404" s="100" t="str">
        <f>IF(N404=0,"",SUMIFS(PRICES!$G$2:$G$658,PRICES!$B$2:$B$658,'MAIN TABLE-1 AUTOMATED'!J404,PRICES!$C$2:$C$658,'MAIN TABLE-1 AUTOMATED'!F404,PRICES!$D$2:$D$658,'MAIN TABLE-1 AUTOMATED'!O404))</f>
        <v/>
      </c>
      <c r="R404" s="41" t="str">
        <f>IF(Table1[[#This Row],[QUANTITY]]=0,"",Table1[[#This Row],[UNIT PRICE]]*Table1[[#This Row],[QUANTITY]])</f>
        <v/>
      </c>
      <c r="S404" s="89"/>
      <c r="T404" s="38"/>
      <c r="U404" s="43"/>
      <c r="V404" s="42" t="str">
        <f>IF(Table1[[#This Row],[DATE]]=0,"",YEAR(E404))</f>
        <v/>
      </c>
      <c r="W404" s="40" t="str">
        <f t="shared" si="12"/>
        <v/>
      </c>
      <c r="X404" s="40" t="str">
        <f t="shared" si="13"/>
        <v/>
      </c>
      <c r="Y404" s="40" t="str">
        <f>TEXT(Table1[[#This Row],[YEAR]],"0000")&amp;"-"&amp;Table1[[#This Row],[MONTH]]</f>
        <v>-</v>
      </c>
    </row>
    <row r="405" spans="1:25" ht="15" customHeight="1" x14ac:dyDescent="0.35">
      <c r="A405" s="24"/>
      <c r="B405" s="38"/>
      <c r="C405" s="38"/>
      <c r="D405" s="38"/>
      <c r="E405" s="37"/>
      <c r="F405" s="38"/>
      <c r="G405" s="198"/>
      <c r="H405" s="198"/>
      <c r="I405" s="39"/>
      <c r="J405" s="38"/>
      <c r="K405" s="198"/>
      <c r="L405" s="38"/>
      <c r="M405" s="38"/>
      <c r="N405" s="38"/>
      <c r="O405" s="38"/>
      <c r="P405" s="40" t="str" cm="1">
        <f t="array" ref="P405">IF(N405="","",IFERROR(_xlfn.XLOOKUP(F405&amp;"|"&amp;J405&amp;"|"&amp;O405,PRICES!$C$2:$C$659&amp;"|"&amp;PRICES!$B$2:$B$659&amp;"|"&amp;PRICES!$D$2:$D$659,PRICES!$E$2:$E$659),"Not Found"))</f>
        <v/>
      </c>
      <c r="Q405" s="100" t="str">
        <f>IF(N405=0,"",SUMIFS(PRICES!$G$2:$G$658,PRICES!$B$2:$B$658,'MAIN TABLE-1 AUTOMATED'!J405,PRICES!$C$2:$C$658,'MAIN TABLE-1 AUTOMATED'!F405,PRICES!$D$2:$D$658,'MAIN TABLE-1 AUTOMATED'!O405))</f>
        <v/>
      </c>
      <c r="R405" s="41" t="str">
        <f>IF(Table1[[#This Row],[QUANTITY]]=0,"",Table1[[#This Row],[UNIT PRICE]]*Table1[[#This Row],[QUANTITY]])</f>
        <v/>
      </c>
      <c r="S405" s="89"/>
      <c r="T405" s="38"/>
      <c r="U405" s="43"/>
      <c r="V405" s="42" t="str">
        <f>IF(Table1[[#This Row],[DATE]]=0,"",YEAR(E405))</f>
        <v/>
      </c>
      <c r="W405" s="40" t="str">
        <f t="shared" si="12"/>
        <v/>
      </c>
      <c r="X405" s="40" t="str">
        <f t="shared" si="13"/>
        <v/>
      </c>
      <c r="Y405" s="40" t="str">
        <f>TEXT(Table1[[#This Row],[YEAR]],"0000")&amp;"-"&amp;Table1[[#This Row],[MONTH]]</f>
        <v>-</v>
      </c>
    </row>
    <row r="406" spans="1:25" ht="15" customHeight="1" x14ac:dyDescent="0.35">
      <c r="A406" s="24"/>
      <c r="B406" s="38"/>
      <c r="C406" s="38"/>
      <c r="D406" s="38"/>
      <c r="E406" s="37"/>
      <c r="F406" s="38"/>
      <c r="G406" s="198"/>
      <c r="H406" s="198"/>
      <c r="I406" s="39"/>
      <c r="J406" s="38"/>
      <c r="K406" s="198"/>
      <c r="L406" s="38"/>
      <c r="M406" s="38"/>
      <c r="N406" s="38"/>
      <c r="O406" s="38"/>
      <c r="P406" s="40" t="str" cm="1">
        <f t="array" ref="P406">IF(N406="","",IFERROR(_xlfn.XLOOKUP(F406&amp;"|"&amp;J406&amp;"|"&amp;O406,PRICES!$C$2:$C$659&amp;"|"&amp;PRICES!$B$2:$B$659&amp;"|"&amp;PRICES!$D$2:$D$659,PRICES!$E$2:$E$659),"Not Found"))</f>
        <v/>
      </c>
      <c r="Q406" s="100" t="str">
        <f>IF(N406=0,"",SUMIFS(PRICES!$G$2:$G$658,PRICES!$B$2:$B$658,'MAIN TABLE-1 AUTOMATED'!J406,PRICES!$C$2:$C$658,'MAIN TABLE-1 AUTOMATED'!F406,PRICES!$D$2:$D$658,'MAIN TABLE-1 AUTOMATED'!O406))</f>
        <v/>
      </c>
      <c r="R406" s="41" t="str">
        <f>IF(Table1[[#This Row],[QUANTITY]]=0,"",Table1[[#This Row],[UNIT PRICE]]*Table1[[#This Row],[QUANTITY]])</f>
        <v/>
      </c>
      <c r="S406" s="89"/>
      <c r="T406" s="38"/>
      <c r="U406" s="43"/>
      <c r="V406" s="42" t="str">
        <f>IF(Table1[[#This Row],[DATE]]=0,"",YEAR(E406))</f>
        <v/>
      </c>
      <c r="W406" s="40" t="str">
        <f t="shared" si="12"/>
        <v/>
      </c>
      <c r="X406" s="40" t="str">
        <f t="shared" si="13"/>
        <v/>
      </c>
      <c r="Y406" s="40" t="str">
        <f>TEXT(Table1[[#This Row],[YEAR]],"0000")&amp;"-"&amp;Table1[[#This Row],[MONTH]]</f>
        <v>-</v>
      </c>
    </row>
    <row r="407" spans="1:25" ht="15" customHeight="1" x14ac:dyDescent="0.35">
      <c r="A407" s="24"/>
      <c r="B407" s="38"/>
      <c r="C407" s="38"/>
      <c r="D407" s="38"/>
      <c r="E407" s="37"/>
      <c r="F407" s="38"/>
      <c r="G407" s="198"/>
      <c r="H407" s="198"/>
      <c r="I407" s="39"/>
      <c r="J407" s="38"/>
      <c r="K407" s="198"/>
      <c r="L407" s="38"/>
      <c r="M407" s="38"/>
      <c r="N407" s="38"/>
      <c r="O407" s="38"/>
      <c r="P407" s="40" t="str" cm="1">
        <f t="array" ref="P407">IF(N407="","",IFERROR(_xlfn.XLOOKUP(F407&amp;"|"&amp;J407&amp;"|"&amp;O407,PRICES!$C$2:$C$659&amp;"|"&amp;PRICES!$B$2:$B$659&amp;"|"&amp;PRICES!$D$2:$D$659,PRICES!$E$2:$E$659),"Not Found"))</f>
        <v/>
      </c>
      <c r="Q407" s="100" t="str">
        <f>IF(N407=0,"",SUMIFS(PRICES!$G$2:$G$658,PRICES!$B$2:$B$658,'MAIN TABLE-1 AUTOMATED'!J407,PRICES!$C$2:$C$658,'MAIN TABLE-1 AUTOMATED'!F407,PRICES!$D$2:$D$658,'MAIN TABLE-1 AUTOMATED'!O407))</f>
        <v/>
      </c>
      <c r="R407" s="41" t="str">
        <f>IF(Table1[[#This Row],[QUANTITY]]=0,"",Table1[[#This Row],[UNIT PRICE]]*Table1[[#This Row],[QUANTITY]])</f>
        <v/>
      </c>
      <c r="S407" s="89"/>
      <c r="T407" s="38"/>
      <c r="U407" s="43"/>
      <c r="V407" s="42" t="str">
        <f>IF(Table1[[#This Row],[DATE]]=0,"",YEAR(E407))</f>
        <v/>
      </c>
      <c r="W407" s="40" t="str">
        <f t="shared" si="12"/>
        <v/>
      </c>
      <c r="X407" s="40" t="str">
        <f t="shared" si="13"/>
        <v/>
      </c>
      <c r="Y407" s="40" t="str">
        <f>TEXT(Table1[[#This Row],[YEAR]],"0000")&amp;"-"&amp;Table1[[#This Row],[MONTH]]</f>
        <v>-</v>
      </c>
    </row>
    <row r="408" spans="1:25" ht="15" customHeight="1" x14ac:dyDescent="0.35">
      <c r="A408" s="24"/>
      <c r="B408" s="38"/>
      <c r="C408" s="38"/>
      <c r="D408" s="38"/>
      <c r="E408" s="37"/>
      <c r="F408" s="38"/>
      <c r="G408" s="198"/>
      <c r="H408" s="198"/>
      <c r="I408" s="39"/>
      <c r="J408" s="38"/>
      <c r="K408" s="198"/>
      <c r="L408" s="38"/>
      <c r="M408" s="38"/>
      <c r="N408" s="38"/>
      <c r="O408" s="38"/>
      <c r="P408" s="40" t="str" cm="1">
        <f t="array" ref="P408">IF(N408="","",IFERROR(_xlfn.XLOOKUP(F408&amp;"|"&amp;J408&amp;"|"&amp;O408,PRICES!$C$2:$C$659&amp;"|"&amp;PRICES!$B$2:$B$659&amp;"|"&amp;PRICES!$D$2:$D$659,PRICES!$E$2:$E$659),"Not Found"))</f>
        <v/>
      </c>
      <c r="Q408" s="100" t="str">
        <f>IF(N408=0,"",SUMIFS(PRICES!$G$2:$G$658,PRICES!$B$2:$B$658,'MAIN TABLE-1 AUTOMATED'!J408,PRICES!$C$2:$C$658,'MAIN TABLE-1 AUTOMATED'!F408,PRICES!$D$2:$D$658,'MAIN TABLE-1 AUTOMATED'!O408))</f>
        <v/>
      </c>
      <c r="R408" s="41" t="str">
        <f>IF(Table1[[#This Row],[QUANTITY]]=0,"",Table1[[#This Row],[UNIT PRICE]]*Table1[[#This Row],[QUANTITY]])</f>
        <v/>
      </c>
      <c r="S408" s="89"/>
      <c r="T408" s="38"/>
      <c r="U408" s="43"/>
      <c r="V408" s="42" t="str">
        <f>IF(Table1[[#This Row],[DATE]]=0,"",YEAR(E408))</f>
        <v/>
      </c>
      <c r="W408" s="40" t="str">
        <f t="shared" si="12"/>
        <v/>
      </c>
      <c r="X408" s="40" t="str">
        <f t="shared" si="13"/>
        <v/>
      </c>
      <c r="Y408" s="40" t="str">
        <f>TEXT(Table1[[#This Row],[YEAR]],"0000")&amp;"-"&amp;Table1[[#This Row],[MONTH]]</f>
        <v>-</v>
      </c>
    </row>
    <row r="409" spans="1:25" ht="15" customHeight="1" x14ac:dyDescent="0.35">
      <c r="A409" s="24"/>
      <c r="B409" s="38"/>
      <c r="C409" s="38"/>
      <c r="D409" s="38"/>
      <c r="E409" s="37"/>
      <c r="F409" s="38"/>
      <c r="G409" s="198"/>
      <c r="H409" s="198"/>
      <c r="I409" s="39"/>
      <c r="J409" s="38"/>
      <c r="K409" s="198"/>
      <c r="L409" s="38"/>
      <c r="M409" s="38"/>
      <c r="N409" s="38"/>
      <c r="O409" s="38"/>
      <c r="P409" s="40" t="str" cm="1">
        <f t="array" ref="P409">IF(N409="","",IFERROR(_xlfn.XLOOKUP(F409&amp;"|"&amp;J409&amp;"|"&amp;O409,PRICES!$C$2:$C$659&amp;"|"&amp;PRICES!$B$2:$B$659&amp;"|"&amp;PRICES!$D$2:$D$659,PRICES!$E$2:$E$659),"Not Found"))</f>
        <v/>
      </c>
      <c r="Q409" s="100" t="str">
        <f>IF(N409=0,"",SUMIFS(PRICES!$G$2:$G$658,PRICES!$B$2:$B$658,'MAIN TABLE-1 AUTOMATED'!J409,PRICES!$C$2:$C$658,'MAIN TABLE-1 AUTOMATED'!F409,PRICES!$D$2:$D$658,'MAIN TABLE-1 AUTOMATED'!O409))</f>
        <v/>
      </c>
      <c r="R409" s="41" t="str">
        <f>IF(Table1[[#This Row],[QUANTITY]]=0,"",Table1[[#This Row],[UNIT PRICE]]*Table1[[#This Row],[QUANTITY]])</f>
        <v/>
      </c>
      <c r="S409" s="89"/>
      <c r="T409" s="38"/>
      <c r="U409" s="43"/>
      <c r="V409" s="42" t="str">
        <f>IF(Table1[[#This Row],[DATE]]=0,"",YEAR(E409))</f>
        <v/>
      </c>
      <c r="W409" s="40" t="str">
        <f t="shared" si="12"/>
        <v/>
      </c>
      <c r="X409" s="40" t="str">
        <f t="shared" si="13"/>
        <v/>
      </c>
      <c r="Y409" s="40" t="str">
        <f>TEXT(Table1[[#This Row],[YEAR]],"0000")&amp;"-"&amp;Table1[[#This Row],[MONTH]]</f>
        <v>-</v>
      </c>
    </row>
    <row r="410" spans="1:25" ht="15" customHeight="1" x14ac:dyDescent="0.35">
      <c r="A410" s="24"/>
      <c r="B410" s="38"/>
      <c r="C410" s="38"/>
      <c r="D410" s="38"/>
      <c r="E410" s="37"/>
      <c r="F410" s="38"/>
      <c r="G410" s="198"/>
      <c r="H410" s="198"/>
      <c r="I410" s="39"/>
      <c r="J410" s="38"/>
      <c r="K410" s="198"/>
      <c r="L410" s="38"/>
      <c r="M410" s="38"/>
      <c r="N410" s="38"/>
      <c r="O410" s="38"/>
      <c r="P410" s="40" t="str" cm="1">
        <f t="array" ref="P410">IF(N410="","",IFERROR(_xlfn.XLOOKUP(F410&amp;"|"&amp;J410&amp;"|"&amp;O410,PRICES!$C$2:$C$659&amp;"|"&amp;PRICES!$B$2:$B$659&amp;"|"&amp;PRICES!$D$2:$D$659,PRICES!$E$2:$E$659),"Not Found"))</f>
        <v/>
      </c>
      <c r="Q410" s="100" t="str">
        <f>IF(N410=0,"",SUMIFS(PRICES!$G$2:$G$658,PRICES!$B$2:$B$658,'MAIN TABLE-1 AUTOMATED'!J410,PRICES!$C$2:$C$658,'MAIN TABLE-1 AUTOMATED'!F410,PRICES!$D$2:$D$658,'MAIN TABLE-1 AUTOMATED'!O410))</f>
        <v/>
      </c>
      <c r="R410" s="41" t="str">
        <f>IF(Table1[[#This Row],[QUANTITY]]=0,"",Table1[[#This Row],[UNIT PRICE]]*Table1[[#This Row],[QUANTITY]])</f>
        <v/>
      </c>
      <c r="S410" s="89"/>
      <c r="T410" s="38"/>
      <c r="U410" s="43"/>
      <c r="V410" s="42" t="str">
        <f>IF(Table1[[#This Row],[DATE]]=0,"",YEAR(E410))</f>
        <v/>
      </c>
      <c r="W410" s="40" t="str">
        <f t="shared" si="12"/>
        <v/>
      </c>
      <c r="X410" s="40" t="str">
        <f t="shared" si="13"/>
        <v/>
      </c>
      <c r="Y410" s="40" t="str">
        <f>TEXT(Table1[[#This Row],[YEAR]],"0000")&amp;"-"&amp;Table1[[#This Row],[MONTH]]</f>
        <v>-</v>
      </c>
    </row>
    <row r="411" spans="1:25" ht="15" customHeight="1" x14ac:dyDescent="0.35">
      <c r="A411" s="24"/>
      <c r="B411" s="38"/>
      <c r="C411" s="38"/>
      <c r="D411" s="38"/>
      <c r="E411" s="37"/>
      <c r="F411" s="38"/>
      <c r="G411" s="198"/>
      <c r="H411" s="198"/>
      <c r="I411" s="39"/>
      <c r="J411" s="38"/>
      <c r="K411" s="198"/>
      <c r="L411" s="38"/>
      <c r="M411" s="38"/>
      <c r="N411" s="38"/>
      <c r="O411" s="38"/>
      <c r="P411" s="40" t="str" cm="1">
        <f t="array" ref="P411">IF(N411="","",IFERROR(_xlfn.XLOOKUP(F411&amp;"|"&amp;J411&amp;"|"&amp;O411,PRICES!$C$2:$C$659&amp;"|"&amp;PRICES!$B$2:$B$659&amp;"|"&amp;PRICES!$D$2:$D$659,PRICES!$E$2:$E$659),"Not Found"))</f>
        <v/>
      </c>
      <c r="Q411" s="100" t="str">
        <f>IF(N411=0,"",SUMIFS(PRICES!$G$2:$G$658,PRICES!$B$2:$B$658,'MAIN TABLE-1 AUTOMATED'!J411,PRICES!$C$2:$C$658,'MAIN TABLE-1 AUTOMATED'!F411,PRICES!$D$2:$D$658,'MAIN TABLE-1 AUTOMATED'!O411))</f>
        <v/>
      </c>
      <c r="R411" s="41" t="str">
        <f>IF(Table1[[#This Row],[QUANTITY]]=0,"",Table1[[#This Row],[UNIT PRICE]]*Table1[[#This Row],[QUANTITY]])</f>
        <v/>
      </c>
      <c r="S411" s="89"/>
      <c r="T411" s="38"/>
      <c r="U411" s="43"/>
      <c r="V411" s="42" t="str">
        <f>IF(Table1[[#This Row],[DATE]]=0,"",YEAR(E411))</f>
        <v/>
      </c>
      <c r="W411" s="40" t="str">
        <f t="shared" si="12"/>
        <v/>
      </c>
      <c r="X411" s="40" t="str">
        <f t="shared" si="13"/>
        <v/>
      </c>
      <c r="Y411" s="40" t="str">
        <f>TEXT(Table1[[#This Row],[YEAR]],"0000")&amp;"-"&amp;Table1[[#This Row],[MONTH]]</f>
        <v>-</v>
      </c>
    </row>
    <row r="412" spans="1:25" ht="15" customHeight="1" x14ac:dyDescent="0.35">
      <c r="A412" s="24"/>
      <c r="B412" s="38"/>
      <c r="C412" s="38"/>
      <c r="D412" s="38"/>
      <c r="E412" s="37"/>
      <c r="F412" s="38"/>
      <c r="G412" s="198"/>
      <c r="H412" s="198"/>
      <c r="I412" s="39"/>
      <c r="J412" s="38"/>
      <c r="K412" s="198"/>
      <c r="L412" s="38"/>
      <c r="M412" s="38"/>
      <c r="N412" s="38"/>
      <c r="O412" s="38"/>
      <c r="P412" s="40" t="str" cm="1">
        <f t="array" ref="P412">IF(N412="","",IFERROR(_xlfn.XLOOKUP(F412&amp;"|"&amp;J412&amp;"|"&amp;O412,PRICES!$C$2:$C$659&amp;"|"&amp;PRICES!$B$2:$B$659&amp;"|"&amp;PRICES!$D$2:$D$659,PRICES!$E$2:$E$659),"Not Found"))</f>
        <v/>
      </c>
      <c r="Q412" s="100" t="str">
        <f>IF(N412=0,"",SUMIFS(PRICES!$G$2:$G$658,PRICES!$B$2:$B$658,'MAIN TABLE-1 AUTOMATED'!J412,PRICES!$C$2:$C$658,'MAIN TABLE-1 AUTOMATED'!F412,PRICES!$D$2:$D$658,'MAIN TABLE-1 AUTOMATED'!O412))</f>
        <v/>
      </c>
      <c r="R412" s="41" t="str">
        <f>IF(Table1[[#This Row],[QUANTITY]]=0,"",Table1[[#This Row],[UNIT PRICE]]*Table1[[#This Row],[QUANTITY]])</f>
        <v/>
      </c>
      <c r="S412" s="89"/>
      <c r="T412" s="38"/>
      <c r="U412" s="43"/>
      <c r="V412" s="42" t="str">
        <f>IF(Table1[[#This Row],[DATE]]=0,"",YEAR(E412))</f>
        <v/>
      </c>
      <c r="W412" s="40" t="str">
        <f t="shared" si="12"/>
        <v/>
      </c>
      <c r="X412" s="40" t="str">
        <f t="shared" si="13"/>
        <v/>
      </c>
      <c r="Y412" s="40" t="str">
        <f>TEXT(Table1[[#This Row],[YEAR]],"0000")&amp;"-"&amp;Table1[[#This Row],[MONTH]]</f>
        <v>-</v>
      </c>
    </row>
    <row r="413" spans="1:25" ht="15" customHeight="1" x14ac:dyDescent="0.35">
      <c r="A413" s="24"/>
      <c r="B413" s="38"/>
      <c r="C413" s="38"/>
      <c r="D413" s="38"/>
      <c r="E413" s="37"/>
      <c r="F413" s="38"/>
      <c r="G413" s="198"/>
      <c r="H413" s="198"/>
      <c r="I413" s="39"/>
      <c r="J413" s="38"/>
      <c r="K413" s="198"/>
      <c r="L413" s="38"/>
      <c r="M413" s="38"/>
      <c r="N413" s="38"/>
      <c r="O413" s="38"/>
      <c r="P413" s="40" t="str" cm="1">
        <f t="array" ref="P413">IF(N413="","",IFERROR(_xlfn.XLOOKUP(F413&amp;"|"&amp;J413&amp;"|"&amp;O413,PRICES!$C$2:$C$659&amp;"|"&amp;PRICES!$B$2:$B$659&amp;"|"&amp;PRICES!$D$2:$D$659,PRICES!$E$2:$E$659),"Not Found"))</f>
        <v/>
      </c>
      <c r="Q413" s="100" t="str">
        <f>IF(N413=0,"",SUMIFS(PRICES!$G$2:$G$658,PRICES!$B$2:$B$658,'MAIN TABLE-1 AUTOMATED'!J413,PRICES!$C$2:$C$658,'MAIN TABLE-1 AUTOMATED'!F413,PRICES!$D$2:$D$658,'MAIN TABLE-1 AUTOMATED'!O413))</f>
        <v/>
      </c>
      <c r="R413" s="41" t="str">
        <f>IF(Table1[[#This Row],[QUANTITY]]=0,"",Table1[[#This Row],[UNIT PRICE]]*Table1[[#This Row],[QUANTITY]])</f>
        <v/>
      </c>
      <c r="S413" s="89"/>
      <c r="T413" s="38"/>
      <c r="U413" s="43"/>
      <c r="V413" s="42" t="str">
        <f>IF(Table1[[#This Row],[DATE]]=0,"",YEAR(E413))</f>
        <v/>
      </c>
      <c r="W413" s="40" t="str">
        <f t="shared" si="12"/>
        <v/>
      </c>
      <c r="X413" s="40" t="str">
        <f t="shared" si="13"/>
        <v/>
      </c>
      <c r="Y413" s="40" t="str">
        <f>TEXT(Table1[[#This Row],[YEAR]],"0000")&amp;"-"&amp;Table1[[#This Row],[MONTH]]</f>
        <v>-</v>
      </c>
    </row>
    <row r="414" spans="1:25" ht="15" customHeight="1" x14ac:dyDescent="0.35">
      <c r="A414" s="24"/>
      <c r="B414" s="38"/>
      <c r="C414" s="38"/>
      <c r="D414" s="38"/>
      <c r="E414" s="37"/>
      <c r="F414" s="38"/>
      <c r="G414" s="198"/>
      <c r="H414" s="198"/>
      <c r="I414" s="39"/>
      <c r="J414" s="38"/>
      <c r="K414" s="198"/>
      <c r="L414" s="38"/>
      <c r="M414" s="38"/>
      <c r="N414" s="38"/>
      <c r="O414" s="38"/>
      <c r="P414" s="40" t="str" cm="1">
        <f t="array" ref="P414">IF(N414="","",IFERROR(_xlfn.XLOOKUP(F414&amp;"|"&amp;J414&amp;"|"&amp;O414,PRICES!$C$2:$C$659&amp;"|"&amp;PRICES!$B$2:$B$659&amp;"|"&amp;PRICES!$D$2:$D$659,PRICES!$E$2:$E$659),"Not Found"))</f>
        <v/>
      </c>
      <c r="Q414" s="100" t="str">
        <f>IF(N414=0,"",SUMIFS(PRICES!$G$2:$G$658,PRICES!$B$2:$B$658,'MAIN TABLE-1 AUTOMATED'!J414,PRICES!$C$2:$C$658,'MAIN TABLE-1 AUTOMATED'!F414,PRICES!$D$2:$D$658,'MAIN TABLE-1 AUTOMATED'!O414))</f>
        <v/>
      </c>
      <c r="R414" s="41" t="str">
        <f>IF(Table1[[#This Row],[QUANTITY]]=0,"",Table1[[#This Row],[UNIT PRICE]]*Table1[[#This Row],[QUANTITY]])</f>
        <v/>
      </c>
      <c r="S414" s="89"/>
      <c r="T414" s="38"/>
      <c r="U414" s="43"/>
      <c r="V414" s="42" t="str">
        <f>IF(Table1[[#This Row],[DATE]]=0,"",YEAR(E414))</f>
        <v/>
      </c>
      <c r="W414" s="40" t="str">
        <f t="shared" si="12"/>
        <v/>
      </c>
      <c r="X414" s="40" t="str">
        <f t="shared" si="13"/>
        <v/>
      </c>
      <c r="Y414" s="40" t="str">
        <f>TEXT(Table1[[#This Row],[YEAR]],"0000")&amp;"-"&amp;Table1[[#This Row],[MONTH]]</f>
        <v>-</v>
      </c>
    </row>
    <row r="415" spans="1:25" ht="15" customHeight="1" x14ac:dyDescent="0.35">
      <c r="A415" s="24"/>
      <c r="B415" s="38"/>
      <c r="C415" s="38"/>
      <c r="D415" s="38"/>
      <c r="E415" s="37"/>
      <c r="F415" s="38"/>
      <c r="G415" s="198"/>
      <c r="H415" s="198"/>
      <c r="I415" s="39"/>
      <c r="J415" s="38"/>
      <c r="K415" s="198"/>
      <c r="L415" s="38"/>
      <c r="M415" s="38"/>
      <c r="N415" s="38"/>
      <c r="O415" s="38"/>
      <c r="P415" s="40" t="str" cm="1">
        <f t="array" ref="P415">IF(N415="","",IFERROR(_xlfn.XLOOKUP(F415&amp;"|"&amp;J415&amp;"|"&amp;O415,PRICES!$C$2:$C$659&amp;"|"&amp;PRICES!$B$2:$B$659&amp;"|"&amp;PRICES!$D$2:$D$659,PRICES!$E$2:$E$659),"Not Found"))</f>
        <v/>
      </c>
      <c r="Q415" s="100" t="str">
        <f>IF(N415=0,"",SUMIFS(PRICES!$G$2:$G$658,PRICES!$B$2:$B$658,'MAIN TABLE-1 AUTOMATED'!J415,PRICES!$C$2:$C$658,'MAIN TABLE-1 AUTOMATED'!F415,PRICES!$D$2:$D$658,'MAIN TABLE-1 AUTOMATED'!O415))</f>
        <v/>
      </c>
      <c r="R415" s="41" t="str">
        <f>IF(Table1[[#This Row],[QUANTITY]]=0,"",Table1[[#This Row],[UNIT PRICE]]*Table1[[#This Row],[QUANTITY]])</f>
        <v/>
      </c>
      <c r="S415" s="89"/>
      <c r="T415" s="38"/>
      <c r="U415" s="43"/>
      <c r="V415" s="42" t="str">
        <f>IF(Table1[[#This Row],[DATE]]=0,"",YEAR(E415))</f>
        <v/>
      </c>
      <c r="W415" s="40" t="str">
        <f t="shared" ref="W415:W478" si="14">IF(E415=0,"",MONTH(E415))</f>
        <v/>
      </c>
      <c r="X415" s="40" t="str">
        <f t="shared" ref="X415:X478" si="15">IF(E415=0,"",WEEKNUM(E415))</f>
        <v/>
      </c>
      <c r="Y415" s="40" t="str">
        <f>TEXT(Table1[[#This Row],[YEAR]],"0000")&amp;"-"&amp;Table1[[#This Row],[MONTH]]</f>
        <v>-</v>
      </c>
    </row>
    <row r="416" spans="1:25" ht="15" customHeight="1" x14ac:dyDescent="0.35">
      <c r="A416" s="24"/>
      <c r="B416" s="38"/>
      <c r="C416" s="38"/>
      <c r="D416" s="38"/>
      <c r="E416" s="37"/>
      <c r="F416" s="38"/>
      <c r="G416" s="198"/>
      <c r="H416" s="198"/>
      <c r="I416" s="39"/>
      <c r="J416" s="38"/>
      <c r="K416" s="198"/>
      <c r="L416" s="38"/>
      <c r="M416" s="38"/>
      <c r="N416" s="38"/>
      <c r="O416" s="38"/>
      <c r="P416" s="40" t="str" cm="1">
        <f t="array" ref="P416">IF(N416="","",IFERROR(_xlfn.XLOOKUP(F416&amp;"|"&amp;J416&amp;"|"&amp;O416,PRICES!$C$2:$C$659&amp;"|"&amp;PRICES!$B$2:$B$659&amp;"|"&amp;PRICES!$D$2:$D$659,PRICES!$E$2:$E$659),"Not Found"))</f>
        <v/>
      </c>
      <c r="Q416" s="100" t="str">
        <f>IF(N416=0,"",SUMIFS(PRICES!$G$2:$G$658,PRICES!$B$2:$B$658,'MAIN TABLE-1 AUTOMATED'!J416,PRICES!$C$2:$C$658,'MAIN TABLE-1 AUTOMATED'!F416,PRICES!$D$2:$D$658,'MAIN TABLE-1 AUTOMATED'!O416))</f>
        <v/>
      </c>
      <c r="R416" s="41" t="str">
        <f>IF(Table1[[#This Row],[QUANTITY]]=0,"",Table1[[#This Row],[UNIT PRICE]]*Table1[[#This Row],[QUANTITY]])</f>
        <v/>
      </c>
      <c r="S416" s="89"/>
      <c r="T416" s="38"/>
      <c r="U416" s="43"/>
      <c r="V416" s="42" t="str">
        <f>IF(Table1[[#This Row],[DATE]]=0,"",YEAR(E416))</f>
        <v/>
      </c>
      <c r="W416" s="40" t="str">
        <f t="shared" si="14"/>
        <v/>
      </c>
      <c r="X416" s="40" t="str">
        <f t="shared" si="15"/>
        <v/>
      </c>
      <c r="Y416" s="40" t="str">
        <f>TEXT(Table1[[#This Row],[YEAR]],"0000")&amp;"-"&amp;Table1[[#This Row],[MONTH]]</f>
        <v>-</v>
      </c>
    </row>
    <row r="417" spans="1:25" ht="15" customHeight="1" x14ac:dyDescent="0.35">
      <c r="A417" s="24"/>
      <c r="B417" s="38"/>
      <c r="C417" s="38"/>
      <c r="D417" s="38"/>
      <c r="E417" s="37"/>
      <c r="F417" s="38"/>
      <c r="G417" s="198"/>
      <c r="H417" s="198"/>
      <c r="I417" s="39"/>
      <c r="J417" s="38"/>
      <c r="K417" s="198"/>
      <c r="L417" s="38"/>
      <c r="M417" s="38"/>
      <c r="N417" s="38"/>
      <c r="O417" s="38"/>
      <c r="P417" s="40" t="str" cm="1">
        <f t="array" ref="P417">IF(N417="","",IFERROR(_xlfn.XLOOKUP(F417&amp;"|"&amp;J417&amp;"|"&amp;O417,PRICES!$C$2:$C$659&amp;"|"&amp;PRICES!$B$2:$B$659&amp;"|"&amp;PRICES!$D$2:$D$659,PRICES!$E$2:$E$659),"Not Found"))</f>
        <v/>
      </c>
      <c r="Q417" s="100" t="str">
        <f>IF(N417=0,"",SUMIFS(PRICES!$G$2:$G$658,PRICES!$B$2:$B$658,'MAIN TABLE-1 AUTOMATED'!J417,PRICES!$C$2:$C$658,'MAIN TABLE-1 AUTOMATED'!F417,PRICES!$D$2:$D$658,'MAIN TABLE-1 AUTOMATED'!O417))</f>
        <v/>
      </c>
      <c r="R417" s="41" t="str">
        <f>IF(Table1[[#This Row],[QUANTITY]]=0,"",Table1[[#This Row],[UNIT PRICE]]*Table1[[#This Row],[QUANTITY]])</f>
        <v/>
      </c>
      <c r="S417" s="89"/>
      <c r="T417" s="38"/>
      <c r="U417" s="43"/>
      <c r="V417" s="42" t="str">
        <f>IF(Table1[[#This Row],[DATE]]=0,"",YEAR(E417))</f>
        <v/>
      </c>
      <c r="W417" s="40" t="str">
        <f t="shared" si="14"/>
        <v/>
      </c>
      <c r="X417" s="40" t="str">
        <f t="shared" si="15"/>
        <v/>
      </c>
      <c r="Y417" s="40" t="str">
        <f>TEXT(Table1[[#This Row],[YEAR]],"0000")&amp;"-"&amp;Table1[[#This Row],[MONTH]]</f>
        <v>-</v>
      </c>
    </row>
    <row r="418" spans="1:25" ht="15" customHeight="1" x14ac:dyDescent="0.35">
      <c r="A418" s="24"/>
      <c r="B418" s="38"/>
      <c r="C418" s="38"/>
      <c r="D418" s="38"/>
      <c r="E418" s="37"/>
      <c r="F418" s="38"/>
      <c r="G418" s="198"/>
      <c r="H418" s="198"/>
      <c r="I418" s="39"/>
      <c r="J418" s="38"/>
      <c r="K418" s="198"/>
      <c r="L418" s="38"/>
      <c r="M418" s="38"/>
      <c r="N418" s="38"/>
      <c r="O418" s="38"/>
      <c r="P418" s="40" t="str" cm="1">
        <f t="array" ref="P418">IF(N418="","",IFERROR(_xlfn.XLOOKUP(F418&amp;"|"&amp;J418&amp;"|"&amp;O418,PRICES!$C$2:$C$659&amp;"|"&amp;PRICES!$B$2:$B$659&amp;"|"&amp;PRICES!$D$2:$D$659,PRICES!$E$2:$E$659),"Not Found"))</f>
        <v/>
      </c>
      <c r="Q418" s="100" t="str">
        <f>IF(N418=0,"",SUMIFS(PRICES!$G$2:$G$658,PRICES!$B$2:$B$658,'MAIN TABLE-1 AUTOMATED'!J418,PRICES!$C$2:$C$658,'MAIN TABLE-1 AUTOMATED'!F418,PRICES!$D$2:$D$658,'MAIN TABLE-1 AUTOMATED'!O418))</f>
        <v/>
      </c>
      <c r="R418" s="41" t="str">
        <f>IF(Table1[[#This Row],[QUANTITY]]=0,"",Table1[[#This Row],[UNIT PRICE]]*Table1[[#This Row],[QUANTITY]])</f>
        <v/>
      </c>
      <c r="S418" s="89"/>
      <c r="T418" s="38"/>
      <c r="U418" s="43"/>
      <c r="V418" s="42" t="str">
        <f>IF(Table1[[#This Row],[DATE]]=0,"",YEAR(E418))</f>
        <v/>
      </c>
      <c r="W418" s="40" t="str">
        <f t="shared" si="14"/>
        <v/>
      </c>
      <c r="X418" s="40" t="str">
        <f t="shared" si="15"/>
        <v/>
      </c>
      <c r="Y418" s="40" t="str">
        <f>TEXT(Table1[[#This Row],[YEAR]],"0000")&amp;"-"&amp;Table1[[#This Row],[MONTH]]</f>
        <v>-</v>
      </c>
    </row>
    <row r="419" spans="1:25" ht="15" customHeight="1" x14ac:dyDescent="0.35">
      <c r="A419" s="24"/>
      <c r="B419" s="38"/>
      <c r="C419" s="38"/>
      <c r="D419" s="38"/>
      <c r="E419" s="37"/>
      <c r="F419" s="38"/>
      <c r="G419" s="198"/>
      <c r="H419" s="198"/>
      <c r="I419" s="39"/>
      <c r="J419" s="38"/>
      <c r="K419" s="198"/>
      <c r="L419" s="38"/>
      <c r="M419" s="38"/>
      <c r="N419" s="38"/>
      <c r="O419" s="38"/>
      <c r="P419" s="40" t="str" cm="1">
        <f t="array" ref="P419">IF(N419="","",IFERROR(_xlfn.XLOOKUP(F419&amp;"|"&amp;J419&amp;"|"&amp;O419,PRICES!$C$2:$C$659&amp;"|"&amp;PRICES!$B$2:$B$659&amp;"|"&amp;PRICES!$D$2:$D$659,PRICES!$E$2:$E$659),"Not Found"))</f>
        <v/>
      </c>
      <c r="Q419" s="100" t="str">
        <f>IF(N419=0,"",SUMIFS(PRICES!$G$2:$G$658,PRICES!$B$2:$B$658,'MAIN TABLE-1 AUTOMATED'!J419,PRICES!$C$2:$C$658,'MAIN TABLE-1 AUTOMATED'!F419,PRICES!$D$2:$D$658,'MAIN TABLE-1 AUTOMATED'!O419))</f>
        <v/>
      </c>
      <c r="R419" s="41" t="str">
        <f>IF(Table1[[#This Row],[QUANTITY]]=0,"",Table1[[#This Row],[UNIT PRICE]]*Table1[[#This Row],[QUANTITY]])</f>
        <v/>
      </c>
      <c r="S419" s="89"/>
      <c r="T419" s="38"/>
      <c r="U419" s="43"/>
      <c r="V419" s="42" t="str">
        <f>IF(Table1[[#This Row],[DATE]]=0,"",YEAR(E419))</f>
        <v/>
      </c>
      <c r="W419" s="40" t="str">
        <f t="shared" si="14"/>
        <v/>
      </c>
      <c r="X419" s="40" t="str">
        <f t="shared" si="15"/>
        <v/>
      </c>
      <c r="Y419" s="40" t="str">
        <f>TEXT(Table1[[#This Row],[YEAR]],"0000")&amp;"-"&amp;Table1[[#This Row],[MONTH]]</f>
        <v>-</v>
      </c>
    </row>
    <row r="420" spans="1:25" ht="15" customHeight="1" x14ac:dyDescent="0.35">
      <c r="A420" s="24"/>
      <c r="B420" s="38"/>
      <c r="C420" s="38"/>
      <c r="D420" s="38"/>
      <c r="E420" s="37"/>
      <c r="F420" s="38"/>
      <c r="G420" s="198"/>
      <c r="H420" s="198"/>
      <c r="I420" s="39"/>
      <c r="J420" s="38"/>
      <c r="K420" s="198"/>
      <c r="L420" s="38"/>
      <c r="M420" s="38"/>
      <c r="N420" s="38"/>
      <c r="O420" s="38"/>
      <c r="P420" s="40" t="str" cm="1">
        <f t="array" ref="P420">IF(N420="","",IFERROR(_xlfn.XLOOKUP(F420&amp;"|"&amp;J420&amp;"|"&amp;O420,PRICES!$C$2:$C$659&amp;"|"&amp;PRICES!$B$2:$B$659&amp;"|"&amp;PRICES!$D$2:$D$659,PRICES!$E$2:$E$659),"Not Found"))</f>
        <v/>
      </c>
      <c r="Q420" s="100" t="str">
        <f>IF(N420=0,"",SUMIFS(PRICES!$G$2:$G$658,PRICES!$B$2:$B$658,'MAIN TABLE-1 AUTOMATED'!J420,PRICES!$C$2:$C$658,'MAIN TABLE-1 AUTOMATED'!F420,PRICES!$D$2:$D$658,'MAIN TABLE-1 AUTOMATED'!O420))</f>
        <v/>
      </c>
      <c r="R420" s="41" t="str">
        <f>IF(Table1[[#This Row],[QUANTITY]]=0,"",Table1[[#This Row],[UNIT PRICE]]*Table1[[#This Row],[QUANTITY]])</f>
        <v/>
      </c>
      <c r="S420" s="89"/>
      <c r="T420" s="38"/>
      <c r="U420" s="43"/>
      <c r="V420" s="42" t="str">
        <f>IF(Table1[[#This Row],[DATE]]=0,"",YEAR(E420))</f>
        <v/>
      </c>
      <c r="W420" s="40" t="str">
        <f t="shared" si="14"/>
        <v/>
      </c>
      <c r="X420" s="40" t="str">
        <f t="shared" si="15"/>
        <v/>
      </c>
      <c r="Y420" s="40" t="str">
        <f>TEXT(Table1[[#This Row],[YEAR]],"0000")&amp;"-"&amp;Table1[[#This Row],[MONTH]]</f>
        <v>-</v>
      </c>
    </row>
    <row r="421" spans="1:25" ht="15" customHeight="1" x14ac:dyDescent="0.35">
      <c r="A421" s="24"/>
      <c r="B421" s="38"/>
      <c r="C421" s="38"/>
      <c r="D421" s="38"/>
      <c r="E421" s="37"/>
      <c r="F421" s="38"/>
      <c r="G421" s="198"/>
      <c r="H421" s="198"/>
      <c r="I421" s="39"/>
      <c r="J421" s="38"/>
      <c r="K421" s="198"/>
      <c r="L421" s="38"/>
      <c r="M421" s="38"/>
      <c r="N421" s="38"/>
      <c r="O421" s="38"/>
      <c r="P421" s="40" t="str" cm="1">
        <f t="array" ref="P421">IF(N421="","",IFERROR(_xlfn.XLOOKUP(F421&amp;"|"&amp;J421&amp;"|"&amp;O421,PRICES!$C$2:$C$659&amp;"|"&amp;PRICES!$B$2:$B$659&amp;"|"&amp;PRICES!$D$2:$D$659,PRICES!$E$2:$E$659),"Not Found"))</f>
        <v/>
      </c>
      <c r="Q421" s="100" t="str">
        <f>IF(N421=0,"",SUMIFS(PRICES!$G$2:$G$658,PRICES!$B$2:$B$658,'MAIN TABLE-1 AUTOMATED'!J421,PRICES!$C$2:$C$658,'MAIN TABLE-1 AUTOMATED'!F421,PRICES!$D$2:$D$658,'MAIN TABLE-1 AUTOMATED'!O421))</f>
        <v/>
      </c>
      <c r="R421" s="41" t="str">
        <f>IF(Table1[[#This Row],[QUANTITY]]=0,"",Table1[[#This Row],[UNIT PRICE]]*Table1[[#This Row],[QUANTITY]])</f>
        <v/>
      </c>
      <c r="S421" s="89"/>
      <c r="T421" s="38"/>
      <c r="U421" s="43"/>
      <c r="V421" s="42" t="str">
        <f>IF(Table1[[#This Row],[DATE]]=0,"",YEAR(E421))</f>
        <v/>
      </c>
      <c r="W421" s="40" t="str">
        <f t="shared" si="14"/>
        <v/>
      </c>
      <c r="X421" s="40" t="str">
        <f t="shared" si="15"/>
        <v/>
      </c>
      <c r="Y421" s="40" t="str">
        <f>TEXT(Table1[[#This Row],[YEAR]],"0000")&amp;"-"&amp;Table1[[#This Row],[MONTH]]</f>
        <v>-</v>
      </c>
    </row>
    <row r="422" spans="1:25" ht="15" customHeight="1" x14ac:dyDescent="0.35">
      <c r="A422" s="24"/>
      <c r="B422" s="38"/>
      <c r="C422" s="38"/>
      <c r="D422" s="38"/>
      <c r="E422" s="37"/>
      <c r="F422" s="38"/>
      <c r="G422" s="198"/>
      <c r="H422" s="198"/>
      <c r="I422" s="39"/>
      <c r="J422" s="38"/>
      <c r="K422" s="198"/>
      <c r="L422" s="38"/>
      <c r="M422" s="38"/>
      <c r="N422" s="38"/>
      <c r="O422" s="38"/>
      <c r="P422" s="40" t="str" cm="1">
        <f t="array" ref="P422">IF(N422="","",IFERROR(_xlfn.XLOOKUP(F422&amp;"|"&amp;J422&amp;"|"&amp;O422,PRICES!$C$2:$C$659&amp;"|"&amp;PRICES!$B$2:$B$659&amp;"|"&amp;PRICES!$D$2:$D$659,PRICES!$E$2:$E$659),"Not Found"))</f>
        <v/>
      </c>
      <c r="Q422" s="100" t="str">
        <f>IF(N422=0,"",SUMIFS(PRICES!$G$2:$G$658,PRICES!$B$2:$B$658,'MAIN TABLE-1 AUTOMATED'!J422,PRICES!$C$2:$C$658,'MAIN TABLE-1 AUTOMATED'!F422,PRICES!$D$2:$D$658,'MAIN TABLE-1 AUTOMATED'!O422))</f>
        <v/>
      </c>
      <c r="R422" s="41" t="str">
        <f>IF(Table1[[#This Row],[QUANTITY]]=0,"",Table1[[#This Row],[UNIT PRICE]]*Table1[[#This Row],[QUANTITY]])</f>
        <v/>
      </c>
      <c r="S422" s="89"/>
      <c r="T422" s="38"/>
      <c r="U422" s="43"/>
      <c r="V422" s="42" t="str">
        <f>IF(Table1[[#This Row],[DATE]]=0,"",YEAR(E422))</f>
        <v/>
      </c>
      <c r="W422" s="40" t="str">
        <f t="shared" si="14"/>
        <v/>
      </c>
      <c r="X422" s="40" t="str">
        <f t="shared" si="15"/>
        <v/>
      </c>
      <c r="Y422" s="40" t="str">
        <f>TEXT(Table1[[#This Row],[YEAR]],"0000")&amp;"-"&amp;Table1[[#This Row],[MONTH]]</f>
        <v>-</v>
      </c>
    </row>
    <row r="423" spans="1:25" ht="15" customHeight="1" x14ac:dyDescent="0.35">
      <c r="A423" s="24"/>
      <c r="B423" s="38"/>
      <c r="C423" s="38"/>
      <c r="D423" s="38"/>
      <c r="E423" s="37"/>
      <c r="F423" s="38"/>
      <c r="G423" s="198"/>
      <c r="H423" s="198"/>
      <c r="I423" s="39"/>
      <c r="J423" s="38"/>
      <c r="K423" s="198"/>
      <c r="L423" s="38"/>
      <c r="M423" s="38"/>
      <c r="N423" s="38"/>
      <c r="O423" s="38"/>
      <c r="P423" s="40" t="str" cm="1">
        <f t="array" ref="P423">IF(N423="","",IFERROR(_xlfn.XLOOKUP(F423&amp;"|"&amp;J423&amp;"|"&amp;O423,PRICES!$C$2:$C$659&amp;"|"&amp;PRICES!$B$2:$B$659&amp;"|"&amp;PRICES!$D$2:$D$659,PRICES!$E$2:$E$659),"Not Found"))</f>
        <v/>
      </c>
      <c r="Q423" s="100" t="str">
        <f>IF(N423=0,"",SUMIFS(PRICES!$G$2:$G$658,PRICES!$B$2:$B$658,'MAIN TABLE-1 AUTOMATED'!J423,PRICES!$C$2:$C$658,'MAIN TABLE-1 AUTOMATED'!F423,PRICES!$D$2:$D$658,'MAIN TABLE-1 AUTOMATED'!O423))</f>
        <v/>
      </c>
      <c r="R423" s="41" t="str">
        <f>IF(Table1[[#This Row],[QUANTITY]]=0,"",Table1[[#This Row],[UNIT PRICE]]*Table1[[#This Row],[QUANTITY]])</f>
        <v/>
      </c>
      <c r="S423" s="89"/>
      <c r="T423" s="38"/>
      <c r="U423" s="43"/>
      <c r="V423" s="42" t="str">
        <f>IF(Table1[[#This Row],[DATE]]=0,"",YEAR(E423))</f>
        <v/>
      </c>
      <c r="W423" s="40" t="str">
        <f t="shared" si="14"/>
        <v/>
      </c>
      <c r="X423" s="40" t="str">
        <f t="shared" si="15"/>
        <v/>
      </c>
      <c r="Y423" s="40" t="str">
        <f>TEXT(Table1[[#This Row],[YEAR]],"0000")&amp;"-"&amp;Table1[[#This Row],[MONTH]]</f>
        <v>-</v>
      </c>
    </row>
    <row r="424" spans="1:25" ht="15" customHeight="1" x14ac:dyDescent="0.35">
      <c r="A424" s="24"/>
      <c r="B424" s="38"/>
      <c r="C424" s="38"/>
      <c r="D424" s="38"/>
      <c r="E424" s="37"/>
      <c r="F424" s="38"/>
      <c r="G424" s="198"/>
      <c r="H424" s="198"/>
      <c r="I424" s="39"/>
      <c r="J424" s="38"/>
      <c r="K424" s="198"/>
      <c r="L424" s="38"/>
      <c r="M424" s="38"/>
      <c r="N424" s="38"/>
      <c r="O424" s="38"/>
      <c r="P424" s="40" t="str" cm="1">
        <f t="array" ref="P424">IF(N424="","",IFERROR(_xlfn.XLOOKUP(F424&amp;"|"&amp;J424&amp;"|"&amp;O424,PRICES!$C$2:$C$659&amp;"|"&amp;PRICES!$B$2:$B$659&amp;"|"&amp;PRICES!$D$2:$D$659,PRICES!$E$2:$E$659),"Not Found"))</f>
        <v/>
      </c>
      <c r="Q424" s="100" t="str">
        <f>IF(N424=0,"",SUMIFS(PRICES!$G$2:$G$658,PRICES!$B$2:$B$658,'MAIN TABLE-1 AUTOMATED'!J424,PRICES!$C$2:$C$658,'MAIN TABLE-1 AUTOMATED'!F424,PRICES!$D$2:$D$658,'MAIN TABLE-1 AUTOMATED'!O424))</f>
        <v/>
      </c>
      <c r="R424" s="41" t="str">
        <f>IF(Table1[[#This Row],[QUANTITY]]=0,"",Table1[[#This Row],[UNIT PRICE]]*Table1[[#This Row],[QUANTITY]])</f>
        <v/>
      </c>
      <c r="S424" s="89"/>
      <c r="T424" s="38"/>
      <c r="U424" s="43"/>
      <c r="V424" s="42" t="str">
        <f>IF(Table1[[#This Row],[DATE]]=0,"",YEAR(E424))</f>
        <v/>
      </c>
      <c r="W424" s="40" t="str">
        <f t="shared" si="14"/>
        <v/>
      </c>
      <c r="X424" s="40" t="str">
        <f t="shared" si="15"/>
        <v/>
      </c>
      <c r="Y424" s="40" t="str">
        <f>TEXT(Table1[[#This Row],[YEAR]],"0000")&amp;"-"&amp;Table1[[#This Row],[MONTH]]</f>
        <v>-</v>
      </c>
    </row>
    <row r="425" spans="1:25" ht="15" customHeight="1" x14ac:dyDescent="0.35">
      <c r="A425" s="24"/>
      <c r="B425" s="38"/>
      <c r="C425" s="38"/>
      <c r="D425" s="38"/>
      <c r="E425" s="37"/>
      <c r="F425" s="38"/>
      <c r="G425" s="198"/>
      <c r="H425" s="198"/>
      <c r="I425" s="39"/>
      <c r="J425" s="38"/>
      <c r="K425" s="198"/>
      <c r="L425" s="38"/>
      <c r="M425" s="38"/>
      <c r="N425" s="38"/>
      <c r="O425" s="38"/>
      <c r="P425" s="40" t="str" cm="1">
        <f t="array" ref="P425">IF(N425="","",IFERROR(_xlfn.XLOOKUP(F425&amp;"|"&amp;J425&amp;"|"&amp;O425,PRICES!$C$2:$C$659&amp;"|"&amp;PRICES!$B$2:$B$659&amp;"|"&amp;PRICES!$D$2:$D$659,PRICES!$E$2:$E$659),"Not Found"))</f>
        <v/>
      </c>
      <c r="Q425" s="100" t="str">
        <f>IF(N425=0,"",SUMIFS(PRICES!$G$2:$G$658,PRICES!$B$2:$B$658,'MAIN TABLE-1 AUTOMATED'!J425,PRICES!$C$2:$C$658,'MAIN TABLE-1 AUTOMATED'!F425,PRICES!$D$2:$D$658,'MAIN TABLE-1 AUTOMATED'!O425))</f>
        <v/>
      </c>
      <c r="R425" s="41" t="str">
        <f>IF(Table1[[#This Row],[QUANTITY]]=0,"",Table1[[#This Row],[UNIT PRICE]]*Table1[[#This Row],[QUANTITY]])</f>
        <v/>
      </c>
      <c r="S425" s="89"/>
      <c r="T425" s="38"/>
      <c r="U425" s="43"/>
      <c r="V425" s="42" t="str">
        <f>IF(Table1[[#This Row],[DATE]]=0,"",YEAR(E425))</f>
        <v/>
      </c>
      <c r="W425" s="40" t="str">
        <f t="shared" si="14"/>
        <v/>
      </c>
      <c r="X425" s="40" t="str">
        <f t="shared" si="15"/>
        <v/>
      </c>
      <c r="Y425" s="40" t="str">
        <f>TEXT(Table1[[#This Row],[YEAR]],"0000")&amp;"-"&amp;Table1[[#This Row],[MONTH]]</f>
        <v>-</v>
      </c>
    </row>
    <row r="426" spans="1:25" ht="15" customHeight="1" x14ac:dyDescent="0.35">
      <c r="A426" s="24"/>
      <c r="B426" s="38"/>
      <c r="C426" s="38"/>
      <c r="D426" s="38"/>
      <c r="E426" s="37"/>
      <c r="F426" s="38"/>
      <c r="G426" s="198"/>
      <c r="H426" s="198"/>
      <c r="I426" s="39"/>
      <c r="J426" s="38"/>
      <c r="K426" s="198"/>
      <c r="L426" s="38"/>
      <c r="M426" s="38"/>
      <c r="N426" s="38"/>
      <c r="O426" s="38"/>
      <c r="P426" s="40" t="str" cm="1">
        <f t="array" ref="P426">IF(N426="","",IFERROR(_xlfn.XLOOKUP(F426&amp;"|"&amp;J426&amp;"|"&amp;O426,PRICES!$C$2:$C$659&amp;"|"&amp;PRICES!$B$2:$B$659&amp;"|"&amp;PRICES!$D$2:$D$659,PRICES!$E$2:$E$659),"Not Found"))</f>
        <v/>
      </c>
      <c r="Q426" s="100" t="str">
        <f>IF(N426=0,"",SUMIFS(PRICES!$G$2:$G$658,PRICES!$B$2:$B$658,'MAIN TABLE-1 AUTOMATED'!J426,PRICES!$C$2:$C$658,'MAIN TABLE-1 AUTOMATED'!F426,PRICES!$D$2:$D$658,'MAIN TABLE-1 AUTOMATED'!O426))</f>
        <v/>
      </c>
      <c r="R426" s="41" t="str">
        <f>IF(Table1[[#This Row],[QUANTITY]]=0,"",Table1[[#This Row],[UNIT PRICE]]*Table1[[#This Row],[QUANTITY]])</f>
        <v/>
      </c>
      <c r="S426" s="89"/>
      <c r="T426" s="38"/>
      <c r="U426" s="43"/>
      <c r="V426" s="42" t="str">
        <f>IF(Table1[[#This Row],[DATE]]=0,"",YEAR(E426))</f>
        <v/>
      </c>
      <c r="W426" s="40" t="str">
        <f t="shared" si="14"/>
        <v/>
      </c>
      <c r="X426" s="40" t="str">
        <f t="shared" si="15"/>
        <v/>
      </c>
      <c r="Y426" s="40" t="str">
        <f>TEXT(Table1[[#This Row],[YEAR]],"0000")&amp;"-"&amp;Table1[[#This Row],[MONTH]]</f>
        <v>-</v>
      </c>
    </row>
    <row r="427" spans="1:25" ht="15" customHeight="1" x14ac:dyDescent="0.35">
      <c r="A427" s="24"/>
      <c r="B427" s="38"/>
      <c r="C427" s="38"/>
      <c r="D427" s="38"/>
      <c r="E427" s="37"/>
      <c r="F427" s="38"/>
      <c r="G427" s="198"/>
      <c r="H427" s="198"/>
      <c r="I427" s="39"/>
      <c r="J427" s="38"/>
      <c r="K427" s="198"/>
      <c r="L427" s="38"/>
      <c r="M427" s="38"/>
      <c r="N427" s="38"/>
      <c r="O427" s="38"/>
      <c r="P427" s="40" t="str" cm="1">
        <f t="array" ref="P427">IF(N427="","",IFERROR(_xlfn.XLOOKUP(F427&amp;"|"&amp;J427&amp;"|"&amp;O427,PRICES!$C$2:$C$659&amp;"|"&amp;PRICES!$B$2:$B$659&amp;"|"&amp;PRICES!$D$2:$D$659,PRICES!$E$2:$E$659),"Not Found"))</f>
        <v/>
      </c>
      <c r="Q427" s="100" t="str">
        <f>IF(N427=0,"",SUMIFS(PRICES!$G$2:$G$658,PRICES!$B$2:$B$658,'MAIN TABLE-1 AUTOMATED'!J427,PRICES!$C$2:$C$658,'MAIN TABLE-1 AUTOMATED'!F427,PRICES!$D$2:$D$658,'MAIN TABLE-1 AUTOMATED'!O427))</f>
        <v/>
      </c>
      <c r="R427" s="41" t="str">
        <f>IF(Table1[[#This Row],[QUANTITY]]=0,"",Table1[[#This Row],[UNIT PRICE]]*Table1[[#This Row],[QUANTITY]])</f>
        <v/>
      </c>
      <c r="S427" s="89"/>
      <c r="T427" s="38"/>
      <c r="U427" s="43"/>
      <c r="V427" s="42" t="str">
        <f>IF(Table1[[#This Row],[DATE]]=0,"",YEAR(E427))</f>
        <v/>
      </c>
      <c r="W427" s="40" t="str">
        <f t="shared" si="14"/>
        <v/>
      </c>
      <c r="X427" s="40" t="str">
        <f t="shared" si="15"/>
        <v/>
      </c>
      <c r="Y427" s="40" t="str">
        <f>TEXT(Table1[[#This Row],[YEAR]],"0000")&amp;"-"&amp;Table1[[#This Row],[MONTH]]</f>
        <v>-</v>
      </c>
    </row>
    <row r="428" spans="1:25" ht="15" customHeight="1" x14ac:dyDescent="0.35">
      <c r="A428" s="24"/>
      <c r="B428" s="38"/>
      <c r="C428" s="38"/>
      <c r="D428" s="38"/>
      <c r="E428" s="37"/>
      <c r="F428" s="38"/>
      <c r="G428" s="198"/>
      <c r="H428" s="198"/>
      <c r="I428" s="39"/>
      <c r="J428" s="38"/>
      <c r="K428" s="198"/>
      <c r="L428" s="38"/>
      <c r="M428" s="38"/>
      <c r="N428" s="38"/>
      <c r="O428" s="38"/>
      <c r="P428" s="40" t="str" cm="1">
        <f t="array" ref="P428">IF(N428="","",IFERROR(_xlfn.XLOOKUP(F428&amp;"|"&amp;J428&amp;"|"&amp;O428,PRICES!$C$2:$C$659&amp;"|"&amp;PRICES!$B$2:$B$659&amp;"|"&amp;PRICES!$D$2:$D$659,PRICES!$E$2:$E$659),"Not Found"))</f>
        <v/>
      </c>
      <c r="Q428" s="100" t="str">
        <f>IF(N428=0,"",SUMIFS(PRICES!$G$2:$G$658,PRICES!$B$2:$B$658,'MAIN TABLE-1 AUTOMATED'!J428,PRICES!$C$2:$C$658,'MAIN TABLE-1 AUTOMATED'!F428,PRICES!$D$2:$D$658,'MAIN TABLE-1 AUTOMATED'!O428))</f>
        <v/>
      </c>
      <c r="R428" s="41" t="str">
        <f>IF(Table1[[#This Row],[QUANTITY]]=0,"",Table1[[#This Row],[UNIT PRICE]]*Table1[[#This Row],[QUANTITY]])</f>
        <v/>
      </c>
      <c r="S428" s="89"/>
      <c r="T428" s="38"/>
      <c r="U428" s="43"/>
      <c r="V428" s="42" t="str">
        <f>IF(Table1[[#This Row],[DATE]]=0,"",YEAR(E428))</f>
        <v/>
      </c>
      <c r="W428" s="40" t="str">
        <f t="shared" si="14"/>
        <v/>
      </c>
      <c r="X428" s="40" t="str">
        <f t="shared" si="15"/>
        <v/>
      </c>
      <c r="Y428" s="40" t="str">
        <f>TEXT(Table1[[#This Row],[YEAR]],"0000")&amp;"-"&amp;Table1[[#This Row],[MONTH]]</f>
        <v>-</v>
      </c>
    </row>
    <row r="429" spans="1:25" ht="15" customHeight="1" x14ac:dyDescent="0.35">
      <c r="A429" s="24"/>
      <c r="B429" s="38"/>
      <c r="C429" s="38"/>
      <c r="D429" s="38"/>
      <c r="E429" s="37"/>
      <c r="F429" s="38"/>
      <c r="G429" s="198"/>
      <c r="H429" s="198"/>
      <c r="I429" s="39"/>
      <c r="J429" s="38"/>
      <c r="K429" s="198"/>
      <c r="L429" s="38"/>
      <c r="M429" s="38"/>
      <c r="N429" s="38"/>
      <c r="O429" s="38"/>
      <c r="P429" s="40" t="str" cm="1">
        <f t="array" ref="P429">IF(N429="","",IFERROR(_xlfn.XLOOKUP(F429&amp;"|"&amp;J429&amp;"|"&amp;O429,PRICES!$C$2:$C$659&amp;"|"&amp;PRICES!$B$2:$B$659&amp;"|"&amp;PRICES!$D$2:$D$659,PRICES!$E$2:$E$659),"Not Found"))</f>
        <v/>
      </c>
      <c r="Q429" s="100" t="str">
        <f>IF(N429=0,"",SUMIFS(PRICES!$G$2:$G$658,PRICES!$B$2:$B$658,'MAIN TABLE-1 AUTOMATED'!J429,PRICES!$C$2:$C$658,'MAIN TABLE-1 AUTOMATED'!F429,PRICES!$D$2:$D$658,'MAIN TABLE-1 AUTOMATED'!O429))</f>
        <v/>
      </c>
      <c r="R429" s="41" t="str">
        <f>IF(Table1[[#This Row],[QUANTITY]]=0,"",Table1[[#This Row],[UNIT PRICE]]*Table1[[#This Row],[QUANTITY]])</f>
        <v/>
      </c>
      <c r="S429" s="89"/>
      <c r="T429" s="38"/>
      <c r="U429" s="43"/>
      <c r="V429" s="42" t="str">
        <f>IF(Table1[[#This Row],[DATE]]=0,"",YEAR(E429))</f>
        <v/>
      </c>
      <c r="W429" s="40" t="str">
        <f t="shared" si="14"/>
        <v/>
      </c>
      <c r="X429" s="40" t="str">
        <f t="shared" si="15"/>
        <v/>
      </c>
      <c r="Y429" s="40" t="str">
        <f>TEXT(Table1[[#This Row],[YEAR]],"0000")&amp;"-"&amp;Table1[[#This Row],[MONTH]]</f>
        <v>-</v>
      </c>
    </row>
    <row r="430" spans="1:25" ht="15" customHeight="1" x14ac:dyDescent="0.35">
      <c r="A430" s="24"/>
      <c r="B430" s="38"/>
      <c r="C430" s="38"/>
      <c r="D430" s="38"/>
      <c r="E430" s="37"/>
      <c r="F430" s="38"/>
      <c r="G430" s="198"/>
      <c r="H430" s="198"/>
      <c r="I430" s="39"/>
      <c r="J430" s="38"/>
      <c r="K430" s="198"/>
      <c r="L430" s="38"/>
      <c r="M430" s="38"/>
      <c r="N430" s="38"/>
      <c r="O430" s="38"/>
      <c r="P430" s="40" t="str" cm="1">
        <f t="array" ref="P430">IF(N430="","",IFERROR(_xlfn.XLOOKUP(F430&amp;"|"&amp;J430&amp;"|"&amp;O430,PRICES!$C$2:$C$659&amp;"|"&amp;PRICES!$B$2:$B$659&amp;"|"&amp;PRICES!$D$2:$D$659,PRICES!$E$2:$E$659),"Not Found"))</f>
        <v/>
      </c>
      <c r="Q430" s="100" t="str">
        <f>IF(N430=0,"",SUMIFS(PRICES!$G$2:$G$658,PRICES!$B$2:$B$658,'MAIN TABLE-1 AUTOMATED'!J430,PRICES!$C$2:$C$658,'MAIN TABLE-1 AUTOMATED'!F430,PRICES!$D$2:$D$658,'MAIN TABLE-1 AUTOMATED'!O430))</f>
        <v/>
      </c>
      <c r="R430" s="41" t="str">
        <f>IF(Table1[[#This Row],[QUANTITY]]=0,"",Table1[[#This Row],[UNIT PRICE]]*Table1[[#This Row],[QUANTITY]])</f>
        <v/>
      </c>
      <c r="S430" s="89"/>
      <c r="T430" s="38"/>
      <c r="U430" s="43"/>
      <c r="V430" s="42" t="str">
        <f>IF(Table1[[#This Row],[DATE]]=0,"",YEAR(E430))</f>
        <v/>
      </c>
      <c r="W430" s="40" t="str">
        <f t="shared" si="14"/>
        <v/>
      </c>
      <c r="X430" s="40" t="str">
        <f t="shared" si="15"/>
        <v/>
      </c>
      <c r="Y430" s="40" t="str">
        <f>TEXT(Table1[[#This Row],[YEAR]],"0000")&amp;"-"&amp;Table1[[#This Row],[MONTH]]</f>
        <v>-</v>
      </c>
    </row>
    <row r="431" spans="1:25" ht="15" customHeight="1" x14ac:dyDescent="0.35">
      <c r="A431" s="24"/>
      <c r="B431" s="38"/>
      <c r="C431" s="38"/>
      <c r="D431" s="38"/>
      <c r="E431" s="37"/>
      <c r="F431" s="38"/>
      <c r="G431" s="198"/>
      <c r="H431" s="198"/>
      <c r="I431" s="39"/>
      <c r="J431" s="38"/>
      <c r="K431" s="198"/>
      <c r="L431" s="38"/>
      <c r="M431" s="38"/>
      <c r="N431" s="38"/>
      <c r="O431" s="38"/>
      <c r="P431" s="40" t="str" cm="1">
        <f t="array" ref="P431">IF(N431="","",IFERROR(_xlfn.XLOOKUP(F431&amp;"|"&amp;J431&amp;"|"&amp;O431,PRICES!$C$2:$C$659&amp;"|"&amp;PRICES!$B$2:$B$659&amp;"|"&amp;PRICES!$D$2:$D$659,PRICES!$E$2:$E$659),"Not Found"))</f>
        <v/>
      </c>
      <c r="Q431" s="100" t="str">
        <f>IF(N431=0,"",SUMIFS(PRICES!$G$2:$G$658,PRICES!$B$2:$B$658,'MAIN TABLE-1 AUTOMATED'!J431,PRICES!$C$2:$C$658,'MAIN TABLE-1 AUTOMATED'!F431,PRICES!$D$2:$D$658,'MAIN TABLE-1 AUTOMATED'!O431))</f>
        <v/>
      </c>
      <c r="R431" s="41" t="str">
        <f>IF(Table1[[#This Row],[QUANTITY]]=0,"",Table1[[#This Row],[UNIT PRICE]]*Table1[[#This Row],[QUANTITY]])</f>
        <v/>
      </c>
      <c r="S431" s="89"/>
      <c r="T431" s="38"/>
      <c r="U431" s="43"/>
      <c r="V431" s="42" t="str">
        <f>IF(Table1[[#This Row],[DATE]]=0,"",YEAR(E431))</f>
        <v/>
      </c>
      <c r="W431" s="40" t="str">
        <f t="shared" si="14"/>
        <v/>
      </c>
      <c r="X431" s="40" t="str">
        <f t="shared" si="15"/>
        <v/>
      </c>
      <c r="Y431" s="40" t="str">
        <f>TEXT(Table1[[#This Row],[YEAR]],"0000")&amp;"-"&amp;Table1[[#This Row],[MONTH]]</f>
        <v>-</v>
      </c>
    </row>
    <row r="432" spans="1:25" ht="15" customHeight="1" x14ac:dyDescent="0.35">
      <c r="A432" s="24"/>
      <c r="B432" s="38"/>
      <c r="C432" s="38"/>
      <c r="D432" s="38"/>
      <c r="E432" s="37"/>
      <c r="F432" s="38"/>
      <c r="G432" s="198"/>
      <c r="H432" s="198"/>
      <c r="I432" s="39"/>
      <c r="J432" s="38"/>
      <c r="K432" s="198"/>
      <c r="L432" s="38"/>
      <c r="M432" s="38"/>
      <c r="N432" s="38"/>
      <c r="O432" s="38"/>
      <c r="P432" s="40" t="str" cm="1">
        <f t="array" ref="P432">IF(N432="","",IFERROR(_xlfn.XLOOKUP(F432&amp;"|"&amp;J432&amp;"|"&amp;O432,PRICES!$C$2:$C$659&amp;"|"&amp;PRICES!$B$2:$B$659&amp;"|"&amp;PRICES!$D$2:$D$659,PRICES!$E$2:$E$659),"Not Found"))</f>
        <v/>
      </c>
      <c r="Q432" s="100" t="str">
        <f>IF(N432=0,"",SUMIFS(PRICES!$G$2:$G$658,PRICES!$B$2:$B$658,'MAIN TABLE-1 AUTOMATED'!J432,PRICES!$C$2:$C$658,'MAIN TABLE-1 AUTOMATED'!F432,PRICES!$D$2:$D$658,'MAIN TABLE-1 AUTOMATED'!O432))</f>
        <v/>
      </c>
      <c r="R432" s="41" t="str">
        <f>IF(Table1[[#This Row],[QUANTITY]]=0,"",Table1[[#This Row],[UNIT PRICE]]*Table1[[#This Row],[QUANTITY]])</f>
        <v/>
      </c>
      <c r="S432" s="89"/>
      <c r="T432" s="38"/>
      <c r="U432" s="43"/>
      <c r="V432" s="42" t="str">
        <f>IF(Table1[[#This Row],[DATE]]=0,"",YEAR(E432))</f>
        <v/>
      </c>
      <c r="W432" s="40" t="str">
        <f t="shared" si="14"/>
        <v/>
      </c>
      <c r="X432" s="40" t="str">
        <f t="shared" si="15"/>
        <v/>
      </c>
      <c r="Y432" s="40" t="str">
        <f>TEXT(Table1[[#This Row],[YEAR]],"0000")&amp;"-"&amp;Table1[[#This Row],[MONTH]]</f>
        <v>-</v>
      </c>
    </row>
    <row r="433" spans="1:25" ht="15" customHeight="1" x14ac:dyDescent="0.35">
      <c r="A433" s="24"/>
      <c r="B433" s="38"/>
      <c r="C433" s="38"/>
      <c r="D433" s="38"/>
      <c r="E433" s="37"/>
      <c r="F433" s="38"/>
      <c r="G433" s="198"/>
      <c r="H433" s="198"/>
      <c r="I433" s="39"/>
      <c r="J433" s="38"/>
      <c r="K433" s="198"/>
      <c r="L433" s="38"/>
      <c r="M433" s="38"/>
      <c r="N433" s="38"/>
      <c r="O433" s="38"/>
      <c r="P433" s="40" t="str" cm="1">
        <f t="array" ref="P433">IF(N433="","",IFERROR(_xlfn.XLOOKUP(F433&amp;"|"&amp;J433&amp;"|"&amp;O433,PRICES!$C$2:$C$659&amp;"|"&amp;PRICES!$B$2:$B$659&amp;"|"&amp;PRICES!$D$2:$D$659,PRICES!$E$2:$E$659),"Not Found"))</f>
        <v/>
      </c>
      <c r="Q433" s="100" t="str">
        <f>IF(N433=0,"",SUMIFS(PRICES!$G$2:$G$658,PRICES!$B$2:$B$658,'MAIN TABLE-1 AUTOMATED'!J433,PRICES!$C$2:$C$658,'MAIN TABLE-1 AUTOMATED'!F433,PRICES!$D$2:$D$658,'MAIN TABLE-1 AUTOMATED'!O433))</f>
        <v/>
      </c>
      <c r="R433" s="41" t="str">
        <f>IF(Table1[[#This Row],[QUANTITY]]=0,"",Table1[[#This Row],[UNIT PRICE]]*Table1[[#This Row],[QUANTITY]])</f>
        <v/>
      </c>
      <c r="S433" s="89"/>
      <c r="T433" s="38"/>
      <c r="U433" s="43"/>
      <c r="V433" s="42" t="str">
        <f>IF(Table1[[#This Row],[DATE]]=0,"",YEAR(E433))</f>
        <v/>
      </c>
      <c r="W433" s="40" t="str">
        <f t="shared" si="14"/>
        <v/>
      </c>
      <c r="X433" s="40" t="str">
        <f t="shared" si="15"/>
        <v/>
      </c>
      <c r="Y433" s="40" t="str">
        <f>TEXT(Table1[[#This Row],[YEAR]],"0000")&amp;"-"&amp;Table1[[#This Row],[MONTH]]</f>
        <v>-</v>
      </c>
    </row>
    <row r="434" spans="1:25" ht="15" customHeight="1" x14ac:dyDescent="0.35">
      <c r="A434" s="24"/>
      <c r="B434" s="38"/>
      <c r="C434" s="38"/>
      <c r="D434" s="38"/>
      <c r="E434" s="37"/>
      <c r="F434" s="38"/>
      <c r="G434" s="198"/>
      <c r="H434" s="198"/>
      <c r="I434" s="39"/>
      <c r="J434" s="38"/>
      <c r="K434" s="198"/>
      <c r="L434" s="38"/>
      <c r="M434" s="38"/>
      <c r="N434" s="38"/>
      <c r="O434" s="38"/>
      <c r="P434" s="40" t="str" cm="1">
        <f t="array" ref="P434">IF(N434="","",IFERROR(_xlfn.XLOOKUP(F434&amp;"|"&amp;J434&amp;"|"&amp;O434,PRICES!$C$2:$C$659&amp;"|"&amp;PRICES!$B$2:$B$659&amp;"|"&amp;PRICES!$D$2:$D$659,PRICES!$E$2:$E$659),"Not Found"))</f>
        <v/>
      </c>
      <c r="Q434" s="100" t="str">
        <f>IF(N434=0,"",SUMIFS(PRICES!$G$2:$G$658,PRICES!$B$2:$B$658,'MAIN TABLE-1 AUTOMATED'!J434,PRICES!$C$2:$C$658,'MAIN TABLE-1 AUTOMATED'!F434,PRICES!$D$2:$D$658,'MAIN TABLE-1 AUTOMATED'!O434))</f>
        <v/>
      </c>
      <c r="R434" s="41" t="str">
        <f>IF(Table1[[#This Row],[QUANTITY]]=0,"",Table1[[#This Row],[UNIT PRICE]]*Table1[[#This Row],[QUANTITY]])</f>
        <v/>
      </c>
      <c r="S434" s="89"/>
      <c r="T434" s="38"/>
      <c r="U434" s="43"/>
      <c r="V434" s="42" t="str">
        <f>IF(Table1[[#This Row],[DATE]]=0,"",YEAR(E434))</f>
        <v/>
      </c>
      <c r="W434" s="40" t="str">
        <f t="shared" si="14"/>
        <v/>
      </c>
      <c r="X434" s="40" t="str">
        <f t="shared" si="15"/>
        <v/>
      </c>
      <c r="Y434" s="40" t="str">
        <f>TEXT(Table1[[#This Row],[YEAR]],"0000")&amp;"-"&amp;Table1[[#This Row],[MONTH]]</f>
        <v>-</v>
      </c>
    </row>
    <row r="435" spans="1:25" ht="15" customHeight="1" x14ac:dyDescent="0.35">
      <c r="A435" s="24"/>
      <c r="B435" s="38"/>
      <c r="C435" s="38"/>
      <c r="D435" s="38"/>
      <c r="E435" s="37"/>
      <c r="F435" s="38"/>
      <c r="G435" s="198"/>
      <c r="H435" s="198"/>
      <c r="I435" s="39"/>
      <c r="J435" s="38"/>
      <c r="K435" s="198"/>
      <c r="L435" s="38"/>
      <c r="M435" s="38"/>
      <c r="N435" s="38"/>
      <c r="O435" s="38"/>
      <c r="P435" s="40" t="str" cm="1">
        <f t="array" ref="P435">IF(N435="","",IFERROR(_xlfn.XLOOKUP(F435&amp;"|"&amp;J435&amp;"|"&amp;O435,PRICES!$C$2:$C$659&amp;"|"&amp;PRICES!$B$2:$B$659&amp;"|"&amp;PRICES!$D$2:$D$659,PRICES!$E$2:$E$659),"Not Found"))</f>
        <v/>
      </c>
      <c r="Q435" s="100" t="str">
        <f>IF(N435=0,"",SUMIFS(PRICES!$G$2:$G$658,PRICES!$B$2:$B$658,'MAIN TABLE-1 AUTOMATED'!J435,PRICES!$C$2:$C$658,'MAIN TABLE-1 AUTOMATED'!F435,PRICES!$D$2:$D$658,'MAIN TABLE-1 AUTOMATED'!O435))</f>
        <v/>
      </c>
      <c r="R435" s="41" t="str">
        <f>IF(Table1[[#This Row],[QUANTITY]]=0,"",Table1[[#This Row],[UNIT PRICE]]*Table1[[#This Row],[QUANTITY]])</f>
        <v/>
      </c>
      <c r="S435" s="89"/>
      <c r="T435" s="38"/>
      <c r="U435" s="43"/>
      <c r="V435" s="42" t="str">
        <f>IF(Table1[[#This Row],[DATE]]=0,"",YEAR(E435))</f>
        <v/>
      </c>
      <c r="W435" s="40" t="str">
        <f t="shared" si="14"/>
        <v/>
      </c>
      <c r="X435" s="40" t="str">
        <f t="shared" si="15"/>
        <v/>
      </c>
      <c r="Y435" s="40" t="str">
        <f>TEXT(Table1[[#This Row],[YEAR]],"0000")&amp;"-"&amp;Table1[[#This Row],[MONTH]]</f>
        <v>-</v>
      </c>
    </row>
    <row r="436" spans="1:25" ht="15" customHeight="1" x14ac:dyDescent="0.35">
      <c r="A436" s="24"/>
      <c r="B436" s="38"/>
      <c r="C436" s="38"/>
      <c r="D436" s="38"/>
      <c r="E436" s="37"/>
      <c r="F436" s="38"/>
      <c r="G436" s="198"/>
      <c r="H436" s="198"/>
      <c r="I436" s="39"/>
      <c r="J436" s="38"/>
      <c r="K436" s="198"/>
      <c r="L436" s="38"/>
      <c r="M436" s="38"/>
      <c r="N436" s="38"/>
      <c r="O436" s="38"/>
      <c r="P436" s="40" t="str" cm="1">
        <f t="array" ref="P436">IF(N436="","",IFERROR(_xlfn.XLOOKUP(F436&amp;"|"&amp;J436&amp;"|"&amp;O436,PRICES!$C$2:$C$659&amp;"|"&amp;PRICES!$B$2:$B$659&amp;"|"&amp;PRICES!$D$2:$D$659,PRICES!$E$2:$E$659),"Not Found"))</f>
        <v/>
      </c>
      <c r="Q436" s="100" t="str">
        <f>IF(N436=0,"",SUMIFS(PRICES!$G$2:$G$658,PRICES!$B$2:$B$658,'MAIN TABLE-1 AUTOMATED'!J436,PRICES!$C$2:$C$658,'MAIN TABLE-1 AUTOMATED'!F436,PRICES!$D$2:$D$658,'MAIN TABLE-1 AUTOMATED'!O436))</f>
        <v/>
      </c>
      <c r="R436" s="41" t="str">
        <f>IF(Table1[[#This Row],[QUANTITY]]=0,"",Table1[[#This Row],[UNIT PRICE]]*Table1[[#This Row],[QUANTITY]])</f>
        <v/>
      </c>
      <c r="S436" s="89"/>
      <c r="T436" s="38"/>
      <c r="U436" s="43"/>
      <c r="V436" s="42" t="str">
        <f>IF(Table1[[#This Row],[DATE]]=0,"",YEAR(E436))</f>
        <v/>
      </c>
      <c r="W436" s="40" t="str">
        <f t="shared" si="14"/>
        <v/>
      </c>
      <c r="X436" s="40" t="str">
        <f t="shared" si="15"/>
        <v/>
      </c>
      <c r="Y436" s="40" t="str">
        <f>TEXT(Table1[[#This Row],[YEAR]],"0000")&amp;"-"&amp;Table1[[#This Row],[MONTH]]</f>
        <v>-</v>
      </c>
    </row>
    <row r="437" spans="1:25" ht="15" customHeight="1" x14ac:dyDescent="0.35">
      <c r="A437" s="24"/>
      <c r="B437" s="38"/>
      <c r="C437" s="38"/>
      <c r="D437" s="38"/>
      <c r="E437" s="37"/>
      <c r="F437" s="38"/>
      <c r="G437" s="198"/>
      <c r="H437" s="198"/>
      <c r="I437" s="39"/>
      <c r="J437" s="38"/>
      <c r="K437" s="198"/>
      <c r="L437" s="38"/>
      <c r="M437" s="38"/>
      <c r="N437" s="38"/>
      <c r="O437" s="38"/>
      <c r="P437" s="40" t="str" cm="1">
        <f t="array" ref="P437">IF(N437="","",IFERROR(_xlfn.XLOOKUP(F437&amp;"|"&amp;J437&amp;"|"&amp;O437,PRICES!$C$2:$C$659&amp;"|"&amp;PRICES!$B$2:$B$659&amp;"|"&amp;PRICES!$D$2:$D$659,PRICES!$E$2:$E$659),"Not Found"))</f>
        <v/>
      </c>
      <c r="Q437" s="100" t="str">
        <f>IF(N437=0,"",SUMIFS(PRICES!$G$2:$G$658,PRICES!$B$2:$B$658,'MAIN TABLE-1 AUTOMATED'!J437,PRICES!$C$2:$C$658,'MAIN TABLE-1 AUTOMATED'!F437,PRICES!$D$2:$D$658,'MAIN TABLE-1 AUTOMATED'!O437))</f>
        <v/>
      </c>
      <c r="R437" s="41" t="str">
        <f>IF(Table1[[#This Row],[QUANTITY]]=0,"",Table1[[#This Row],[UNIT PRICE]]*Table1[[#This Row],[QUANTITY]])</f>
        <v/>
      </c>
      <c r="S437" s="89"/>
      <c r="T437" s="38"/>
      <c r="U437" s="43"/>
      <c r="V437" s="42" t="str">
        <f>IF(Table1[[#This Row],[DATE]]=0,"",YEAR(E437))</f>
        <v/>
      </c>
      <c r="W437" s="40" t="str">
        <f t="shared" si="14"/>
        <v/>
      </c>
      <c r="X437" s="40" t="str">
        <f t="shared" si="15"/>
        <v/>
      </c>
      <c r="Y437" s="40" t="str">
        <f>TEXT(Table1[[#This Row],[YEAR]],"0000")&amp;"-"&amp;Table1[[#This Row],[MONTH]]</f>
        <v>-</v>
      </c>
    </row>
    <row r="438" spans="1:25" ht="15" customHeight="1" x14ac:dyDescent="0.35">
      <c r="A438" s="24"/>
      <c r="B438" s="38"/>
      <c r="C438" s="38"/>
      <c r="D438" s="38"/>
      <c r="E438" s="37"/>
      <c r="F438" s="38"/>
      <c r="G438" s="198"/>
      <c r="H438" s="198"/>
      <c r="I438" s="39"/>
      <c r="J438" s="38"/>
      <c r="K438" s="198"/>
      <c r="L438" s="38"/>
      <c r="M438" s="38"/>
      <c r="N438" s="38"/>
      <c r="O438" s="38"/>
      <c r="P438" s="40" t="str" cm="1">
        <f t="array" ref="P438">IF(N438="","",IFERROR(_xlfn.XLOOKUP(F438&amp;"|"&amp;J438&amp;"|"&amp;O438,PRICES!$C$2:$C$659&amp;"|"&amp;PRICES!$B$2:$B$659&amp;"|"&amp;PRICES!$D$2:$D$659,PRICES!$E$2:$E$659),"Not Found"))</f>
        <v/>
      </c>
      <c r="Q438" s="100" t="str">
        <f>IF(N438=0,"",SUMIFS(PRICES!$G$2:$G$658,PRICES!$B$2:$B$658,'MAIN TABLE-1 AUTOMATED'!J438,PRICES!$C$2:$C$658,'MAIN TABLE-1 AUTOMATED'!F438,PRICES!$D$2:$D$658,'MAIN TABLE-1 AUTOMATED'!O438))</f>
        <v/>
      </c>
      <c r="R438" s="41" t="str">
        <f>IF(Table1[[#This Row],[QUANTITY]]=0,"",Table1[[#This Row],[UNIT PRICE]]*Table1[[#This Row],[QUANTITY]])</f>
        <v/>
      </c>
      <c r="S438" s="89"/>
      <c r="T438" s="38"/>
      <c r="U438" s="43"/>
      <c r="V438" s="42" t="str">
        <f>IF(Table1[[#This Row],[DATE]]=0,"",YEAR(E438))</f>
        <v/>
      </c>
      <c r="W438" s="40" t="str">
        <f t="shared" si="14"/>
        <v/>
      </c>
      <c r="X438" s="40" t="str">
        <f t="shared" si="15"/>
        <v/>
      </c>
      <c r="Y438" s="40" t="str">
        <f>TEXT(Table1[[#This Row],[YEAR]],"0000")&amp;"-"&amp;Table1[[#This Row],[MONTH]]</f>
        <v>-</v>
      </c>
    </row>
    <row r="439" spans="1:25" ht="15" customHeight="1" x14ac:dyDescent="0.35">
      <c r="A439" s="24"/>
      <c r="B439" s="38"/>
      <c r="C439" s="38"/>
      <c r="D439" s="38"/>
      <c r="E439" s="37"/>
      <c r="F439" s="38"/>
      <c r="G439" s="198"/>
      <c r="H439" s="198"/>
      <c r="I439" s="39"/>
      <c r="J439" s="38"/>
      <c r="K439" s="198"/>
      <c r="L439" s="38"/>
      <c r="M439" s="38"/>
      <c r="N439" s="38"/>
      <c r="O439" s="38"/>
      <c r="P439" s="40" t="str" cm="1">
        <f t="array" ref="P439">IF(N439="","",IFERROR(_xlfn.XLOOKUP(F439&amp;"|"&amp;J439&amp;"|"&amp;O439,PRICES!$C$2:$C$659&amp;"|"&amp;PRICES!$B$2:$B$659&amp;"|"&amp;PRICES!$D$2:$D$659,PRICES!$E$2:$E$659),"Not Found"))</f>
        <v/>
      </c>
      <c r="Q439" s="100" t="str">
        <f>IF(N439=0,"",SUMIFS(PRICES!$G$2:$G$658,PRICES!$B$2:$B$658,'MAIN TABLE-1 AUTOMATED'!J439,PRICES!$C$2:$C$658,'MAIN TABLE-1 AUTOMATED'!F439,PRICES!$D$2:$D$658,'MAIN TABLE-1 AUTOMATED'!O439))</f>
        <v/>
      </c>
      <c r="R439" s="41" t="str">
        <f>IF(Table1[[#This Row],[QUANTITY]]=0,"",Table1[[#This Row],[UNIT PRICE]]*Table1[[#This Row],[QUANTITY]])</f>
        <v/>
      </c>
      <c r="S439" s="89"/>
      <c r="T439" s="38"/>
      <c r="U439" s="43"/>
      <c r="V439" s="42" t="str">
        <f>IF(Table1[[#This Row],[DATE]]=0,"",YEAR(E439))</f>
        <v/>
      </c>
      <c r="W439" s="40" t="str">
        <f t="shared" si="14"/>
        <v/>
      </c>
      <c r="X439" s="40" t="str">
        <f t="shared" si="15"/>
        <v/>
      </c>
      <c r="Y439" s="40" t="str">
        <f>TEXT(Table1[[#This Row],[YEAR]],"0000")&amp;"-"&amp;Table1[[#This Row],[MONTH]]</f>
        <v>-</v>
      </c>
    </row>
    <row r="440" spans="1:25" ht="15" customHeight="1" x14ac:dyDescent="0.35">
      <c r="A440" s="24"/>
      <c r="B440" s="38"/>
      <c r="C440" s="38"/>
      <c r="D440" s="38"/>
      <c r="E440" s="37"/>
      <c r="F440" s="38"/>
      <c r="G440" s="198"/>
      <c r="H440" s="198"/>
      <c r="I440" s="39"/>
      <c r="J440" s="38"/>
      <c r="K440" s="198"/>
      <c r="L440" s="38"/>
      <c r="M440" s="38"/>
      <c r="N440" s="38"/>
      <c r="O440" s="38"/>
      <c r="P440" s="40" t="str" cm="1">
        <f t="array" ref="P440">IF(N440="","",IFERROR(_xlfn.XLOOKUP(F440&amp;"|"&amp;J440&amp;"|"&amp;O440,PRICES!$C$2:$C$659&amp;"|"&amp;PRICES!$B$2:$B$659&amp;"|"&amp;PRICES!$D$2:$D$659,PRICES!$E$2:$E$659),"Not Found"))</f>
        <v/>
      </c>
      <c r="Q440" s="100" t="str">
        <f>IF(N440=0,"",SUMIFS(PRICES!$G$2:$G$658,PRICES!$B$2:$B$658,'MAIN TABLE-1 AUTOMATED'!J440,PRICES!$C$2:$C$658,'MAIN TABLE-1 AUTOMATED'!F440,PRICES!$D$2:$D$658,'MAIN TABLE-1 AUTOMATED'!O440))</f>
        <v/>
      </c>
      <c r="R440" s="41" t="str">
        <f>IF(Table1[[#This Row],[QUANTITY]]=0,"",Table1[[#This Row],[UNIT PRICE]]*Table1[[#This Row],[QUANTITY]])</f>
        <v/>
      </c>
      <c r="S440" s="89"/>
      <c r="T440" s="38"/>
      <c r="U440" s="43"/>
      <c r="V440" s="42" t="str">
        <f>IF(Table1[[#This Row],[DATE]]=0,"",YEAR(E440))</f>
        <v/>
      </c>
      <c r="W440" s="40" t="str">
        <f t="shared" si="14"/>
        <v/>
      </c>
      <c r="X440" s="40" t="str">
        <f t="shared" si="15"/>
        <v/>
      </c>
      <c r="Y440" s="40" t="str">
        <f>TEXT(Table1[[#This Row],[YEAR]],"0000")&amp;"-"&amp;Table1[[#This Row],[MONTH]]</f>
        <v>-</v>
      </c>
    </row>
    <row r="441" spans="1:25" ht="15" customHeight="1" x14ac:dyDescent="0.35">
      <c r="A441" s="24"/>
      <c r="B441" s="38"/>
      <c r="C441" s="38"/>
      <c r="D441" s="38"/>
      <c r="E441" s="37"/>
      <c r="F441" s="38"/>
      <c r="G441" s="198"/>
      <c r="H441" s="198"/>
      <c r="I441" s="39"/>
      <c r="J441" s="38"/>
      <c r="K441" s="198"/>
      <c r="L441" s="38"/>
      <c r="M441" s="38"/>
      <c r="N441" s="38"/>
      <c r="O441" s="38"/>
      <c r="P441" s="40" t="str" cm="1">
        <f t="array" ref="P441">IF(N441="","",IFERROR(_xlfn.XLOOKUP(F441&amp;"|"&amp;J441&amp;"|"&amp;O441,PRICES!$C$2:$C$659&amp;"|"&amp;PRICES!$B$2:$B$659&amp;"|"&amp;PRICES!$D$2:$D$659,PRICES!$E$2:$E$659),"Not Found"))</f>
        <v/>
      </c>
      <c r="Q441" s="100" t="str">
        <f>IF(N441=0,"",SUMIFS(PRICES!$G$2:$G$658,PRICES!$B$2:$B$658,'MAIN TABLE-1 AUTOMATED'!J441,PRICES!$C$2:$C$658,'MAIN TABLE-1 AUTOMATED'!F441,PRICES!$D$2:$D$658,'MAIN TABLE-1 AUTOMATED'!O441))</f>
        <v/>
      </c>
      <c r="R441" s="41" t="str">
        <f>IF(Table1[[#This Row],[QUANTITY]]=0,"",Table1[[#This Row],[UNIT PRICE]]*Table1[[#This Row],[QUANTITY]])</f>
        <v/>
      </c>
      <c r="S441" s="89"/>
      <c r="T441" s="38"/>
      <c r="U441" s="43"/>
      <c r="V441" s="42" t="str">
        <f>IF(Table1[[#This Row],[DATE]]=0,"",YEAR(E441))</f>
        <v/>
      </c>
      <c r="W441" s="40" t="str">
        <f t="shared" si="14"/>
        <v/>
      </c>
      <c r="X441" s="40" t="str">
        <f t="shared" si="15"/>
        <v/>
      </c>
      <c r="Y441" s="40" t="str">
        <f>TEXT(Table1[[#This Row],[YEAR]],"0000")&amp;"-"&amp;Table1[[#This Row],[MONTH]]</f>
        <v>-</v>
      </c>
    </row>
    <row r="442" spans="1:25" ht="15" customHeight="1" x14ac:dyDescent="0.35">
      <c r="A442" s="24"/>
      <c r="B442" s="38"/>
      <c r="C442" s="38"/>
      <c r="D442" s="38"/>
      <c r="E442" s="37"/>
      <c r="F442" s="38"/>
      <c r="G442" s="198"/>
      <c r="H442" s="198"/>
      <c r="I442" s="39"/>
      <c r="J442" s="38"/>
      <c r="K442" s="198"/>
      <c r="L442" s="38"/>
      <c r="M442" s="38"/>
      <c r="N442" s="38"/>
      <c r="O442" s="38"/>
      <c r="P442" s="40" t="str" cm="1">
        <f t="array" ref="P442">IF(N442="","",IFERROR(_xlfn.XLOOKUP(F442&amp;"|"&amp;J442&amp;"|"&amp;O442,PRICES!$C$2:$C$659&amp;"|"&amp;PRICES!$B$2:$B$659&amp;"|"&amp;PRICES!$D$2:$D$659,PRICES!$E$2:$E$659),"Not Found"))</f>
        <v/>
      </c>
      <c r="Q442" s="100" t="str">
        <f>IF(N442=0,"",SUMIFS(PRICES!$G$2:$G$658,PRICES!$B$2:$B$658,'MAIN TABLE-1 AUTOMATED'!J442,PRICES!$C$2:$C$658,'MAIN TABLE-1 AUTOMATED'!F442,PRICES!$D$2:$D$658,'MAIN TABLE-1 AUTOMATED'!O442))</f>
        <v/>
      </c>
      <c r="R442" s="41" t="str">
        <f>IF(Table1[[#This Row],[QUANTITY]]=0,"",Table1[[#This Row],[UNIT PRICE]]*Table1[[#This Row],[QUANTITY]])</f>
        <v/>
      </c>
      <c r="S442" s="89"/>
      <c r="T442" s="38"/>
      <c r="U442" s="43"/>
      <c r="V442" s="42" t="str">
        <f>IF(Table1[[#This Row],[DATE]]=0,"",YEAR(E442))</f>
        <v/>
      </c>
      <c r="W442" s="40" t="str">
        <f t="shared" si="14"/>
        <v/>
      </c>
      <c r="X442" s="40" t="str">
        <f t="shared" si="15"/>
        <v/>
      </c>
      <c r="Y442" s="40" t="str">
        <f>TEXT(Table1[[#This Row],[YEAR]],"0000")&amp;"-"&amp;Table1[[#This Row],[MONTH]]</f>
        <v>-</v>
      </c>
    </row>
    <row r="443" spans="1:25" ht="15" customHeight="1" x14ac:dyDescent="0.35">
      <c r="A443" s="24"/>
      <c r="B443" s="38"/>
      <c r="C443" s="38"/>
      <c r="D443" s="38"/>
      <c r="E443" s="37"/>
      <c r="F443" s="38"/>
      <c r="G443" s="198"/>
      <c r="H443" s="198"/>
      <c r="I443" s="39"/>
      <c r="J443" s="38"/>
      <c r="K443" s="198"/>
      <c r="L443" s="38"/>
      <c r="M443" s="38"/>
      <c r="N443" s="38"/>
      <c r="O443" s="38"/>
      <c r="P443" s="40" t="str" cm="1">
        <f t="array" ref="P443">IF(N443="","",IFERROR(_xlfn.XLOOKUP(F443&amp;"|"&amp;J443&amp;"|"&amp;O443,PRICES!$C$2:$C$659&amp;"|"&amp;PRICES!$B$2:$B$659&amp;"|"&amp;PRICES!$D$2:$D$659,PRICES!$E$2:$E$659),"Not Found"))</f>
        <v/>
      </c>
      <c r="Q443" s="100" t="str">
        <f>IF(N443=0,"",SUMIFS(PRICES!$G$2:$G$658,PRICES!$B$2:$B$658,'MAIN TABLE-1 AUTOMATED'!J443,PRICES!$C$2:$C$658,'MAIN TABLE-1 AUTOMATED'!F443,PRICES!$D$2:$D$658,'MAIN TABLE-1 AUTOMATED'!O443))</f>
        <v/>
      </c>
      <c r="R443" s="41" t="str">
        <f>IF(Table1[[#This Row],[QUANTITY]]=0,"",Table1[[#This Row],[UNIT PRICE]]*Table1[[#This Row],[QUANTITY]])</f>
        <v/>
      </c>
      <c r="S443" s="89"/>
      <c r="T443" s="38"/>
      <c r="U443" s="43"/>
      <c r="V443" s="42" t="str">
        <f>IF(Table1[[#This Row],[DATE]]=0,"",YEAR(E443))</f>
        <v/>
      </c>
      <c r="W443" s="40" t="str">
        <f t="shared" si="14"/>
        <v/>
      </c>
      <c r="X443" s="40" t="str">
        <f t="shared" si="15"/>
        <v/>
      </c>
      <c r="Y443" s="40" t="str">
        <f>TEXT(Table1[[#This Row],[YEAR]],"0000")&amp;"-"&amp;Table1[[#This Row],[MONTH]]</f>
        <v>-</v>
      </c>
    </row>
    <row r="444" spans="1:25" ht="15" customHeight="1" x14ac:dyDescent="0.35">
      <c r="A444" s="24"/>
      <c r="B444" s="38"/>
      <c r="C444" s="38"/>
      <c r="D444" s="38"/>
      <c r="E444" s="37"/>
      <c r="F444" s="38"/>
      <c r="G444" s="198"/>
      <c r="H444" s="198"/>
      <c r="I444" s="39"/>
      <c r="J444" s="38"/>
      <c r="K444" s="198"/>
      <c r="L444" s="38"/>
      <c r="M444" s="38"/>
      <c r="N444" s="38"/>
      <c r="O444" s="38"/>
      <c r="P444" s="40" t="str" cm="1">
        <f t="array" ref="P444">IF(N444="","",IFERROR(_xlfn.XLOOKUP(F444&amp;"|"&amp;J444&amp;"|"&amp;O444,PRICES!$C$2:$C$659&amp;"|"&amp;PRICES!$B$2:$B$659&amp;"|"&amp;PRICES!$D$2:$D$659,PRICES!$E$2:$E$659),"Not Found"))</f>
        <v/>
      </c>
      <c r="Q444" s="100" t="str">
        <f>IF(N444=0,"",SUMIFS(PRICES!$G$2:$G$658,PRICES!$B$2:$B$658,'MAIN TABLE-1 AUTOMATED'!J444,PRICES!$C$2:$C$658,'MAIN TABLE-1 AUTOMATED'!F444,PRICES!$D$2:$D$658,'MAIN TABLE-1 AUTOMATED'!O444))</f>
        <v/>
      </c>
      <c r="R444" s="41" t="str">
        <f>IF(Table1[[#This Row],[QUANTITY]]=0,"",Table1[[#This Row],[UNIT PRICE]]*Table1[[#This Row],[QUANTITY]])</f>
        <v/>
      </c>
      <c r="S444" s="89"/>
      <c r="T444" s="38"/>
      <c r="U444" s="43"/>
      <c r="V444" s="42" t="str">
        <f>IF(Table1[[#This Row],[DATE]]=0,"",YEAR(E444))</f>
        <v/>
      </c>
      <c r="W444" s="40" t="str">
        <f t="shared" si="14"/>
        <v/>
      </c>
      <c r="X444" s="40" t="str">
        <f t="shared" si="15"/>
        <v/>
      </c>
      <c r="Y444" s="40" t="str">
        <f>TEXT(Table1[[#This Row],[YEAR]],"0000")&amp;"-"&amp;Table1[[#This Row],[MONTH]]</f>
        <v>-</v>
      </c>
    </row>
    <row r="445" spans="1:25" ht="15" customHeight="1" x14ac:dyDescent="0.35">
      <c r="A445" s="24"/>
      <c r="B445" s="38"/>
      <c r="C445" s="38"/>
      <c r="D445" s="38"/>
      <c r="E445" s="37"/>
      <c r="F445" s="38"/>
      <c r="G445" s="198"/>
      <c r="H445" s="198"/>
      <c r="I445" s="39"/>
      <c r="J445" s="38"/>
      <c r="K445" s="198"/>
      <c r="L445" s="38"/>
      <c r="M445" s="38"/>
      <c r="N445" s="38"/>
      <c r="O445" s="38"/>
      <c r="P445" s="40" t="str" cm="1">
        <f t="array" ref="P445">IF(N445="","",IFERROR(_xlfn.XLOOKUP(F445&amp;"|"&amp;J445&amp;"|"&amp;O445,PRICES!$C$2:$C$659&amp;"|"&amp;PRICES!$B$2:$B$659&amp;"|"&amp;PRICES!$D$2:$D$659,PRICES!$E$2:$E$659),"Not Found"))</f>
        <v/>
      </c>
      <c r="Q445" s="100" t="str">
        <f>IF(N445=0,"",SUMIFS(PRICES!$G$2:$G$658,PRICES!$B$2:$B$658,'MAIN TABLE-1 AUTOMATED'!J445,PRICES!$C$2:$C$658,'MAIN TABLE-1 AUTOMATED'!F445,PRICES!$D$2:$D$658,'MAIN TABLE-1 AUTOMATED'!O445))</f>
        <v/>
      </c>
      <c r="R445" s="41" t="str">
        <f>IF(Table1[[#This Row],[QUANTITY]]=0,"",Table1[[#This Row],[UNIT PRICE]]*Table1[[#This Row],[QUANTITY]])</f>
        <v/>
      </c>
      <c r="S445" s="89"/>
      <c r="T445" s="38"/>
      <c r="U445" s="43"/>
      <c r="V445" s="42" t="str">
        <f>IF(Table1[[#This Row],[DATE]]=0,"",YEAR(E445))</f>
        <v/>
      </c>
      <c r="W445" s="40" t="str">
        <f t="shared" si="14"/>
        <v/>
      </c>
      <c r="X445" s="40" t="str">
        <f t="shared" si="15"/>
        <v/>
      </c>
      <c r="Y445" s="40" t="str">
        <f>TEXT(Table1[[#This Row],[YEAR]],"0000")&amp;"-"&amp;Table1[[#This Row],[MONTH]]</f>
        <v>-</v>
      </c>
    </row>
    <row r="446" spans="1:25" ht="15" customHeight="1" x14ac:dyDescent="0.35">
      <c r="A446" s="24"/>
      <c r="B446" s="38"/>
      <c r="C446" s="38"/>
      <c r="D446" s="38"/>
      <c r="E446" s="37"/>
      <c r="F446" s="38"/>
      <c r="G446" s="198"/>
      <c r="H446" s="198"/>
      <c r="I446" s="39"/>
      <c r="J446" s="38"/>
      <c r="K446" s="198"/>
      <c r="L446" s="38"/>
      <c r="M446" s="38"/>
      <c r="N446" s="38"/>
      <c r="O446" s="38"/>
      <c r="P446" s="40" t="str" cm="1">
        <f t="array" ref="P446">IF(N446="","",IFERROR(_xlfn.XLOOKUP(F446&amp;"|"&amp;J446&amp;"|"&amp;O446,PRICES!$C$2:$C$659&amp;"|"&amp;PRICES!$B$2:$B$659&amp;"|"&amp;PRICES!$D$2:$D$659,PRICES!$E$2:$E$659),"Not Found"))</f>
        <v/>
      </c>
      <c r="Q446" s="100" t="str">
        <f>IF(N446=0,"",SUMIFS(PRICES!$G$2:$G$658,PRICES!$B$2:$B$658,'MAIN TABLE-1 AUTOMATED'!J446,PRICES!$C$2:$C$658,'MAIN TABLE-1 AUTOMATED'!F446,PRICES!$D$2:$D$658,'MAIN TABLE-1 AUTOMATED'!O446))</f>
        <v/>
      </c>
      <c r="R446" s="41" t="str">
        <f>IF(Table1[[#This Row],[QUANTITY]]=0,"",Table1[[#This Row],[UNIT PRICE]]*Table1[[#This Row],[QUANTITY]])</f>
        <v/>
      </c>
      <c r="S446" s="89"/>
      <c r="T446" s="38"/>
      <c r="U446" s="43"/>
      <c r="V446" s="42" t="str">
        <f>IF(Table1[[#This Row],[DATE]]=0,"",YEAR(E446))</f>
        <v/>
      </c>
      <c r="W446" s="40" t="str">
        <f t="shared" si="14"/>
        <v/>
      </c>
      <c r="X446" s="40" t="str">
        <f t="shared" si="15"/>
        <v/>
      </c>
      <c r="Y446" s="40" t="str">
        <f>TEXT(Table1[[#This Row],[YEAR]],"0000")&amp;"-"&amp;Table1[[#This Row],[MONTH]]</f>
        <v>-</v>
      </c>
    </row>
    <row r="447" spans="1:25" ht="15" customHeight="1" x14ac:dyDescent="0.35">
      <c r="A447" s="24"/>
      <c r="B447" s="38"/>
      <c r="C447" s="38"/>
      <c r="D447" s="38"/>
      <c r="E447" s="37"/>
      <c r="F447" s="38"/>
      <c r="G447" s="198"/>
      <c r="H447" s="198"/>
      <c r="I447" s="39"/>
      <c r="J447" s="38"/>
      <c r="K447" s="198"/>
      <c r="L447" s="38"/>
      <c r="M447" s="38"/>
      <c r="N447" s="38"/>
      <c r="O447" s="38"/>
      <c r="P447" s="40" t="str" cm="1">
        <f t="array" ref="P447">IF(N447="","",IFERROR(_xlfn.XLOOKUP(F447&amp;"|"&amp;J447&amp;"|"&amp;O447,PRICES!$C$2:$C$659&amp;"|"&amp;PRICES!$B$2:$B$659&amp;"|"&amp;PRICES!$D$2:$D$659,PRICES!$E$2:$E$659),"Not Found"))</f>
        <v/>
      </c>
      <c r="Q447" s="100" t="str">
        <f>IF(N447=0,"",SUMIFS(PRICES!$G$2:$G$658,PRICES!$B$2:$B$658,'MAIN TABLE-1 AUTOMATED'!J447,PRICES!$C$2:$C$658,'MAIN TABLE-1 AUTOMATED'!F447,PRICES!$D$2:$D$658,'MAIN TABLE-1 AUTOMATED'!O447))</f>
        <v/>
      </c>
      <c r="R447" s="41" t="str">
        <f>IF(Table1[[#This Row],[QUANTITY]]=0,"",Table1[[#This Row],[UNIT PRICE]]*Table1[[#This Row],[QUANTITY]])</f>
        <v/>
      </c>
      <c r="S447" s="89"/>
      <c r="T447" s="38"/>
      <c r="U447" s="43"/>
      <c r="V447" s="42" t="str">
        <f>IF(Table1[[#This Row],[DATE]]=0,"",YEAR(E447))</f>
        <v/>
      </c>
      <c r="W447" s="40" t="str">
        <f t="shared" si="14"/>
        <v/>
      </c>
      <c r="X447" s="40" t="str">
        <f t="shared" si="15"/>
        <v/>
      </c>
      <c r="Y447" s="40" t="str">
        <f>TEXT(Table1[[#This Row],[YEAR]],"0000")&amp;"-"&amp;Table1[[#This Row],[MONTH]]</f>
        <v>-</v>
      </c>
    </row>
    <row r="448" spans="1:25" ht="15" customHeight="1" x14ac:dyDescent="0.35">
      <c r="A448" s="24"/>
      <c r="B448" s="38"/>
      <c r="C448" s="38"/>
      <c r="D448" s="38"/>
      <c r="E448" s="37"/>
      <c r="F448" s="38"/>
      <c r="G448" s="198"/>
      <c r="H448" s="198"/>
      <c r="I448" s="39"/>
      <c r="J448" s="38"/>
      <c r="K448" s="198"/>
      <c r="L448" s="38"/>
      <c r="M448" s="38"/>
      <c r="N448" s="38"/>
      <c r="O448" s="38"/>
      <c r="P448" s="40" t="str" cm="1">
        <f t="array" ref="P448">IF(N448="","",IFERROR(_xlfn.XLOOKUP(F448&amp;"|"&amp;J448&amp;"|"&amp;O448,PRICES!$C$2:$C$659&amp;"|"&amp;PRICES!$B$2:$B$659&amp;"|"&amp;PRICES!$D$2:$D$659,PRICES!$E$2:$E$659),"Not Found"))</f>
        <v/>
      </c>
      <c r="Q448" s="100" t="str">
        <f>IF(N448=0,"",SUMIFS(PRICES!$G$2:$G$658,PRICES!$B$2:$B$658,'MAIN TABLE-1 AUTOMATED'!J448,PRICES!$C$2:$C$658,'MAIN TABLE-1 AUTOMATED'!F448,PRICES!$D$2:$D$658,'MAIN TABLE-1 AUTOMATED'!O448))</f>
        <v/>
      </c>
      <c r="R448" s="41" t="str">
        <f>IF(Table1[[#This Row],[QUANTITY]]=0,"",Table1[[#This Row],[UNIT PRICE]]*Table1[[#This Row],[QUANTITY]])</f>
        <v/>
      </c>
      <c r="S448" s="89"/>
      <c r="T448" s="38"/>
      <c r="U448" s="43"/>
      <c r="V448" s="42" t="str">
        <f>IF(Table1[[#This Row],[DATE]]=0,"",YEAR(E448))</f>
        <v/>
      </c>
      <c r="W448" s="40" t="str">
        <f t="shared" si="14"/>
        <v/>
      </c>
      <c r="X448" s="40" t="str">
        <f t="shared" si="15"/>
        <v/>
      </c>
      <c r="Y448" s="40" t="str">
        <f>TEXT(Table1[[#This Row],[YEAR]],"0000")&amp;"-"&amp;Table1[[#This Row],[MONTH]]</f>
        <v>-</v>
      </c>
    </row>
    <row r="449" spans="1:25" ht="15" customHeight="1" x14ac:dyDescent="0.35">
      <c r="A449" s="24"/>
      <c r="B449" s="38"/>
      <c r="C449" s="38"/>
      <c r="D449" s="38"/>
      <c r="E449" s="37"/>
      <c r="F449" s="38"/>
      <c r="G449" s="198"/>
      <c r="H449" s="198"/>
      <c r="I449" s="39"/>
      <c r="J449" s="38"/>
      <c r="K449" s="198"/>
      <c r="L449" s="38"/>
      <c r="M449" s="38"/>
      <c r="N449" s="38"/>
      <c r="O449" s="38"/>
      <c r="P449" s="40" t="str" cm="1">
        <f t="array" ref="P449">IF(N449="","",IFERROR(_xlfn.XLOOKUP(F449&amp;"|"&amp;J449&amp;"|"&amp;O449,PRICES!$C$2:$C$659&amp;"|"&amp;PRICES!$B$2:$B$659&amp;"|"&amp;PRICES!$D$2:$D$659,PRICES!$E$2:$E$659),"Not Found"))</f>
        <v/>
      </c>
      <c r="Q449" s="100" t="str">
        <f>IF(N449=0,"",SUMIFS(PRICES!$G$2:$G$658,PRICES!$B$2:$B$658,'MAIN TABLE-1 AUTOMATED'!J449,PRICES!$C$2:$C$658,'MAIN TABLE-1 AUTOMATED'!F449,PRICES!$D$2:$D$658,'MAIN TABLE-1 AUTOMATED'!O449))</f>
        <v/>
      </c>
      <c r="R449" s="41" t="str">
        <f>IF(Table1[[#This Row],[QUANTITY]]=0,"",Table1[[#This Row],[UNIT PRICE]]*Table1[[#This Row],[QUANTITY]])</f>
        <v/>
      </c>
      <c r="S449" s="89"/>
      <c r="T449" s="38"/>
      <c r="U449" s="43"/>
      <c r="V449" s="42" t="str">
        <f>IF(Table1[[#This Row],[DATE]]=0,"",YEAR(E449))</f>
        <v/>
      </c>
      <c r="W449" s="40" t="str">
        <f t="shared" si="14"/>
        <v/>
      </c>
      <c r="X449" s="40" t="str">
        <f t="shared" si="15"/>
        <v/>
      </c>
      <c r="Y449" s="40" t="str">
        <f>TEXT(Table1[[#This Row],[YEAR]],"0000")&amp;"-"&amp;Table1[[#This Row],[MONTH]]</f>
        <v>-</v>
      </c>
    </row>
    <row r="450" spans="1:25" ht="15" customHeight="1" x14ac:dyDescent="0.35">
      <c r="A450" s="24"/>
      <c r="B450" s="38"/>
      <c r="C450" s="38"/>
      <c r="D450" s="38"/>
      <c r="E450" s="37"/>
      <c r="F450" s="38"/>
      <c r="G450" s="198"/>
      <c r="H450" s="198"/>
      <c r="I450" s="39"/>
      <c r="J450" s="38"/>
      <c r="K450" s="198"/>
      <c r="L450" s="38"/>
      <c r="M450" s="38"/>
      <c r="N450" s="38"/>
      <c r="O450" s="38"/>
      <c r="P450" s="40" t="str" cm="1">
        <f t="array" ref="P450">IF(N450="","",IFERROR(_xlfn.XLOOKUP(F450&amp;"|"&amp;J450&amp;"|"&amp;O450,PRICES!$C$2:$C$659&amp;"|"&amp;PRICES!$B$2:$B$659&amp;"|"&amp;PRICES!$D$2:$D$659,PRICES!$E$2:$E$659),"Not Found"))</f>
        <v/>
      </c>
      <c r="Q450" s="100" t="str">
        <f>IF(N450=0,"",SUMIFS(PRICES!$G$2:$G$658,PRICES!$B$2:$B$658,'MAIN TABLE-1 AUTOMATED'!J450,PRICES!$C$2:$C$658,'MAIN TABLE-1 AUTOMATED'!F450,PRICES!$D$2:$D$658,'MAIN TABLE-1 AUTOMATED'!O450))</f>
        <v/>
      </c>
      <c r="R450" s="41" t="str">
        <f>IF(Table1[[#This Row],[QUANTITY]]=0,"",Table1[[#This Row],[UNIT PRICE]]*Table1[[#This Row],[QUANTITY]])</f>
        <v/>
      </c>
      <c r="S450" s="89"/>
      <c r="T450" s="38"/>
      <c r="U450" s="43"/>
      <c r="V450" s="42" t="str">
        <f>IF(Table1[[#This Row],[DATE]]=0,"",YEAR(E450))</f>
        <v/>
      </c>
      <c r="W450" s="40" t="str">
        <f t="shared" si="14"/>
        <v/>
      </c>
      <c r="X450" s="40" t="str">
        <f t="shared" si="15"/>
        <v/>
      </c>
      <c r="Y450" s="40" t="str">
        <f>TEXT(Table1[[#This Row],[YEAR]],"0000")&amp;"-"&amp;Table1[[#This Row],[MONTH]]</f>
        <v>-</v>
      </c>
    </row>
    <row r="451" spans="1:25" ht="15" customHeight="1" x14ac:dyDescent="0.35">
      <c r="A451" s="24"/>
      <c r="B451" s="38"/>
      <c r="C451" s="38"/>
      <c r="D451" s="38"/>
      <c r="E451" s="37"/>
      <c r="F451" s="38"/>
      <c r="G451" s="198"/>
      <c r="H451" s="198"/>
      <c r="I451" s="39"/>
      <c r="J451" s="38"/>
      <c r="K451" s="198"/>
      <c r="L451" s="38"/>
      <c r="M451" s="38"/>
      <c r="N451" s="38"/>
      <c r="O451" s="38"/>
      <c r="P451" s="40" t="str" cm="1">
        <f t="array" ref="P451">IF(N451="","",IFERROR(_xlfn.XLOOKUP(F451&amp;"|"&amp;J451&amp;"|"&amp;O451,PRICES!$C$2:$C$659&amp;"|"&amp;PRICES!$B$2:$B$659&amp;"|"&amp;PRICES!$D$2:$D$659,PRICES!$E$2:$E$659),"Not Found"))</f>
        <v/>
      </c>
      <c r="Q451" s="100" t="str">
        <f>IF(N451=0,"",SUMIFS(PRICES!$G$2:$G$658,PRICES!$B$2:$B$658,'MAIN TABLE-1 AUTOMATED'!J451,PRICES!$C$2:$C$658,'MAIN TABLE-1 AUTOMATED'!F451,PRICES!$D$2:$D$658,'MAIN TABLE-1 AUTOMATED'!O451))</f>
        <v/>
      </c>
      <c r="R451" s="41" t="str">
        <f>IF(Table1[[#This Row],[QUANTITY]]=0,"",Table1[[#This Row],[UNIT PRICE]]*Table1[[#This Row],[QUANTITY]])</f>
        <v/>
      </c>
      <c r="S451" s="89"/>
      <c r="T451" s="38"/>
      <c r="U451" s="43"/>
      <c r="V451" s="42" t="str">
        <f>IF(Table1[[#This Row],[DATE]]=0,"",YEAR(E451))</f>
        <v/>
      </c>
      <c r="W451" s="40" t="str">
        <f t="shared" si="14"/>
        <v/>
      </c>
      <c r="X451" s="40" t="str">
        <f t="shared" si="15"/>
        <v/>
      </c>
      <c r="Y451" s="40" t="str">
        <f>TEXT(Table1[[#This Row],[YEAR]],"0000")&amp;"-"&amp;Table1[[#This Row],[MONTH]]</f>
        <v>-</v>
      </c>
    </row>
    <row r="452" spans="1:25" ht="15" customHeight="1" x14ac:dyDescent="0.35">
      <c r="A452" s="24"/>
      <c r="B452" s="38"/>
      <c r="C452" s="38"/>
      <c r="D452" s="38"/>
      <c r="E452" s="37"/>
      <c r="F452" s="38"/>
      <c r="G452" s="198"/>
      <c r="H452" s="198"/>
      <c r="I452" s="39"/>
      <c r="J452" s="38"/>
      <c r="K452" s="198"/>
      <c r="L452" s="38"/>
      <c r="M452" s="38"/>
      <c r="N452" s="38"/>
      <c r="O452" s="38"/>
      <c r="P452" s="40" t="str" cm="1">
        <f t="array" ref="P452">IF(N452="","",IFERROR(_xlfn.XLOOKUP(F452&amp;"|"&amp;J452&amp;"|"&amp;O452,PRICES!$C$2:$C$659&amp;"|"&amp;PRICES!$B$2:$B$659&amp;"|"&amp;PRICES!$D$2:$D$659,PRICES!$E$2:$E$659),"Not Found"))</f>
        <v/>
      </c>
      <c r="Q452" s="100" t="str">
        <f>IF(N452=0,"",SUMIFS(PRICES!$G$2:$G$658,PRICES!$B$2:$B$658,'MAIN TABLE-1 AUTOMATED'!J452,PRICES!$C$2:$C$658,'MAIN TABLE-1 AUTOMATED'!F452,PRICES!$D$2:$D$658,'MAIN TABLE-1 AUTOMATED'!O452))</f>
        <v/>
      </c>
      <c r="R452" s="41" t="str">
        <f>IF(Table1[[#This Row],[QUANTITY]]=0,"",Table1[[#This Row],[UNIT PRICE]]*Table1[[#This Row],[QUANTITY]])</f>
        <v/>
      </c>
      <c r="S452" s="89"/>
      <c r="T452" s="38"/>
      <c r="U452" s="43"/>
      <c r="V452" s="42" t="str">
        <f>IF(Table1[[#This Row],[DATE]]=0,"",YEAR(E452))</f>
        <v/>
      </c>
      <c r="W452" s="40" t="str">
        <f t="shared" si="14"/>
        <v/>
      </c>
      <c r="X452" s="40" t="str">
        <f t="shared" si="15"/>
        <v/>
      </c>
      <c r="Y452" s="40" t="str">
        <f>TEXT(Table1[[#This Row],[YEAR]],"0000")&amp;"-"&amp;Table1[[#This Row],[MONTH]]</f>
        <v>-</v>
      </c>
    </row>
    <row r="453" spans="1:25" ht="15" customHeight="1" x14ac:dyDescent="0.35">
      <c r="A453" s="24"/>
      <c r="B453" s="38"/>
      <c r="C453" s="38"/>
      <c r="D453" s="38"/>
      <c r="E453" s="37"/>
      <c r="F453" s="38"/>
      <c r="G453" s="198"/>
      <c r="H453" s="198"/>
      <c r="I453" s="39"/>
      <c r="J453" s="38"/>
      <c r="K453" s="198"/>
      <c r="L453" s="38"/>
      <c r="M453" s="38"/>
      <c r="N453" s="38"/>
      <c r="O453" s="38"/>
      <c r="P453" s="40" t="str" cm="1">
        <f t="array" ref="P453">IF(N453="","",IFERROR(_xlfn.XLOOKUP(F453&amp;"|"&amp;J453&amp;"|"&amp;O453,PRICES!$C$2:$C$659&amp;"|"&amp;PRICES!$B$2:$B$659&amp;"|"&amp;PRICES!$D$2:$D$659,PRICES!$E$2:$E$659),"Not Found"))</f>
        <v/>
      </c>
      <c r="Q453" s="100" t="str">
        <f>IF(N453=0,"",SUMIFS(PRICES!$G$2:$G$658,PRICES!$B$2:$B$658,'MAIN TABLE-1 AUTOMATED'!J453,PRICES!$C$2:$C$658,'MAIN TABLE-1 AUTOMATED'!F453,PRICES!$D$2:$D$658,'MAIN TABLE-1 AUTOMATED'!O453))</f>
        <v/>
      </c>
      <c r="R453" s="41" t="str">
        <f>IF(Table1[[#This Row],[QUANTITY]]=0,"",Table1[[#This Row],[UNIT PRICE]]*Table1[[#This Row],[QUANTITY]])</f>
        <v/>
      </c>
      <c r="S453" s="89"/>
      <c r="T453" s="38"/>
      <c r="U453" s="43"/>
      <c r="V453" s="42" t="str">
        <f>IF(Table1[[#This Row],[DATE]]=0,"",YEAR(E453))</f>
        <v/>
      </c>
      <c r="W453" s="40" t="str">
        <f t="shared" si="14"/>
        <v/>
      </c>
      <c r="X453" s="40" t="str">
        <f t="shared" si="15"/>
        <v/>
      </c>
      <c r="Y453" s="40" t="str">
        <f>TEXT(Table1[[#This Row],[YEAR]],"0000")&amp;"-"&amp;Table1[[#This Row],[MONTH]]</f>
        <v>-</v>
      </c>
    </row>
    <row r="454" spans="1:25" ht="15" customHeight="1" x14ac:dyDescent="0.35">
      <c r="A454" s="24"/>
      <c r="B454" s="38"/>
      <c r="C454" s="38"/>
      <c r="D454" s="38"/>
      <c r="E454" s="37"/>
      <c r="F454" s="38"/>
      <c r="G454" s="198"/>
      <c r="H454" s="198"/>
      <c r="I454" s="39"/>
      <c r="J454" s="38"/>
      <c r="K454" s="198"/>
      <c r="L454" s="38"/>
      <c r="M454" s="38"/>
      <c r="N454" s="38"/>
      <c r="O454" s="38"/>
      <c r="P454" s="40" t="str" cm="1">
        <f t="array" ref="P454">IF(N454="","",IFERROR(_xlfn.XLOOKUP(F454&amp;"|"&amp;J454&amp;"|"&amp;O454,PRICES!$C$2:$C$659&amp;"|"&amp;PRICES!$B$2:$B$659&amp;"|"&amp;PRICES!$D$2:$D$659,PRICES!$E$2:$E$659),"Not Found"))</f>
        <v/>
      </c>
      <c r="Q454" s="100" t="str">
        <f>IF(N454=0,"",SUMIFS(PRICES!$G$2:$G$658,PRICES!$B$2:$B$658,'MAIN TABLE-1 AUTOMATED'!J454,PRICES!$C$2:$C$658,'MAIN TABLE-1 AUTOMATED'!F454,PRICES!$D$2:$D$658,'MAIN TABLE-1 AUTOMATED'!O454))</f>
        <v/>
      </c>
      <c r="R454" s="41" t="str">
        <f>IF(Table1[[#This Row],[QUANTITY]]=0,"",Table1[[#This Row],[UNIT PRICE]]*Table1[[#This Row],[QUANTITY]])</f>
        <v/>
      </c>
      <c r="S454" s="89"/>
      <c r="T454" s="38"/>
      <c r="U454" s="43"/>
      <c r="V454" s="42" t="str">
        <f>IF(Table1[[#This Row],[DATE]]=0,"",YEAR(E454))</f>
        <v/>
      </c>
      <c r="W454" s="40" t="str">
        <f t="shared" si="14"/>
        <v/>
      </c>
      <c r="X454" s="40" t="str">
        <f t="shared" si="15"/>
        <v/>
      </c>
      <c r="Y454" s="40" t="str">
        <f>TEXT(Table1[[#This Row],[YEAR]],"0000")&amp;"-"&amp;Table1[[#This Row],[MONTH]]</f>
        <v>-</v>
      </c>
    </row>
    <row r="455" spans="1:25" ht="15" customHeight="1" x14ac:dyDescent="0.35">
      <c r="A455" s="24"/>
      <c r="B455" s="38"/>
      <c r="C455" s="38"/>
      <c r="D455" s="38"/>
      <c r="E455" s="37"/>
      <c r="F455" s="38"/>
      <c r="G455" s="198"/>
      <c r="H455" s="198"/>
      <c r="I455" s="39"/>
      <c r="J455" s="38"/>
      <c r="K455" s="198"/>
      <c r="L455" s="38"/>
      <c r="M455" s="38"/>
      <c r="N455" s="38"/>
      <c r="O455" s="38"/>
      <c r="P455" s="40" t="str" cm="1">
        <f t="array" ref="P455">IF(N455="","",IFERROR(_xlfn.XLOOKUP(F455&amp;"|"&amp;J455&amp;"|"&amp;O455,PRICES!$C$2:$C$659&amp;"|"&amp;PRICES!$B$2:$B$659&amp;"|"&amp;PRICES!$D$2:$D$659,PRICES!$E$2:$E$659),"Not Found"))</f>
        <v/>
      </c>
      <c r="Q455" s="100" t="str">
        <f>IF(N455=0,"",SUMIFS(PRICES!$G$2:$G$658,PRICES!$B$2:$B$658,'MAIN TABLE-1 AUTOMATED'!J455,PRICES!$C$2:$C$658,'MAIN TABLE-1 AUTOMATED'!F455,PRICES!$D$2:$D$658,'MAIN TABLE-1 AUTOMATED'!O455))</f>
        <v/>
      </c>
      <c r="R455" s="41" t="str">
        <f>IF(Table1[[#This Row],[QUANTITY]]=0,"",Table1[[#This Row],[UNIT PRICE]]*Table1[[#This Row],[QUANTITY]])</f>
        <v/>
      </c>
      <c r="S455" s="89"/>
      <c r="T455" s="38"/>
      <c r="U455" s="43"/>
      <c r="V455" s="42" t="str">
        <f>IF(Table1[[#This Row],[DATE]]=0,"",YEAR(E455))</f>
        <v/>
      </c>
      <c r="W455" s="40" t="str">
        <f t="shared" si="14"/>
        <v/>
      </c>
      <c r="X455" s="40" t="str">
        <f t="shared" si="15"/>
        <v/>
      </c>
      <c r="Y455" s="40" t="str">
        <f>TEXT(Table1[[#This Row],[YEAR]],"0000")&amp;"-"&amp;Table1[[#This Row],[MONTH]]</f>
        <v>-</v>
      </c>
    </row>
    <row r="456" spans="1:25" ht="15" customHeight="1" x14ac:dyDescent="0.35">
      <c r="A456" s="24"/>
      <c r="B456" s="38"/>
      <c r="C456" s="38"/>
      <c r="D456" s="38"/>
      <c r="E456" s="37"/>
      <c r="F456" s="38"/>
      <c r="G456" s="198"/>
      <c r="H456" s="198"/>
      <c r="I456" s="39"/>
      <c r="J456" s="38"/>
      <c r="K456" s="198"/>
      <c r="L456" s="38"/>
      <c r="M456" s="38"/>
      <c r="N456" s="38"/>
      <c r="O456" s="38"/>
      <c r="P456" s="40" t="str" cm="1">
        <f t="array" ref="P456">IF(N456="","",IFERROR(_xlfn.XLOOKUP(F456&amp;"|"&amp;J456&amp;"|"&amp;O456,PRICES!$C$2:$C$659&amp;"|"&amp;PRICES!$B$2:$B$659&amp;"|"&amp;PRICES!$D$2:$D$659,PRICES!$E$2:$E$659),"Not Found"))</f>
        <v/>
      </c>
      <c r="Q456" s="100" t="str">
        <f>IF(N456=0,"",SUMIFS(PRICES!$G$2:$G$658,PRICES!$B$2:$B$658,'MAIN TABLE-1 AUTOMATED'!J456,PRICES!$C$2:$C$658,'MAIN TABLE-1 AUTOMATED'!F456,PRICES!$D$2:$D$658,'MAIN TABLE-1 AUTOMATED'!O456))</f>
        <v/>
      </c>
      <c r="R456" s="41" t="str">
        <f>IF(Table1[[#This Row],[QUANTITY]]=0,"",Table1[[#This Row],[UNIT PRICE]]*Table1[[#This Row],[QUANTITY]])</f>
        <v/>
      </c>
      <c r="S456" s="89"/>
      <c r="T456" s="38"/>
      <c r="U456" s="43"/>
      <c r="V456" s="42" t="str">
        <f>IF(Table1[[#This Row],[DATE]]=0,"",YEAR(E456))</f>
        <v/>
      </c>
      <c r="W456" s="40" t="str">
        <f t="shared" si="14"/>
        <v/>
      </c>
      <c r="X456" s="40" t="str">
        <f t="shared" si="15"/>
        <v/>
      </c>
      <c r="Y456" s="40" t="str">
        <f>TEXT(Table1[[#This Row],[YEAR]],"0000")&amp;"-"&amp;Table1[[#This Row],[MONTH]]</f>
        <v>-</v>
      </c>
    </row>
    <row r="457" spans="1:25" ht="15" customHeight="1" x14ac:dyDescent="0.35">
      <c r="A457" s="24"/>
      <c r="B457" s="38"/>
      <c r="C457" s="38"/>
      <c r="D457" s="38"/>
      <c r="E457" s="37"/>
      <c r="F457" s="38"/>
      <c r="G457" s="198"/>
      <c r="H457" s="198"/>
      <c r="I457" s="39"/>
      <c r="J457" s="38"/>
      <c r="K457" s="198"/>
      <c r="L457" s="38"/>
      <c r="M457" s="38"/>
      <c r="N457" s="38"/>
      <c r="O457" s="38"/>
      <c r="P457" s="40" t="str" cm="1">
        <f t="array" ref="P457">IF(N457="","",IFERROR(_xlfn.XLOOKUP(F457&amp;"|"&amp;J457&amp;"|"&amp;O457,PRICES!$C$2:$C$659&amp;"|"&amp;PRICES!$B$2:$B$659&amp;"|"&amp;PRICES!$D$2:$D$659,PRICES!$E$2:$E$659),"Not Found"))</f>
        <v/>
      </c>
      <c r="Q457" s="100" t="str">
        <f>IF(N457=0,"",SUMIFS(PRICES!$G$2:$G$658,PRICES!$B$2:$B$658,'MAIN TABLE-1 AUTOMATED'!J457,PRICES!$C$2:$C$658,'MAIN TABLE-1 AUTOMATED'!F457,PRICES!$D$2:$D$658,'MAIN TABLE-1 AUTOMATED'!O457))</f>
        <v/>
      </c>
      <c r="R457" s="41" t="str">
        <f>IF(Table1[[#This Row],[QUANTITY]]=0,"",Table1[[#This Row],[UNIT PRICE]]*Table1[[#This Row],[QUANTITY]])</f>
        <v/>
      </c>
      <c r="S457" s="89"/>
      <c r="T457" s="38"/>
      <c r="U457" s="43"/>
      <c r="V457" s="42" t="str">
        <f>IF(Table1[[#This Row],[DATE]]=0,"",YEAR(E457))</f>
        <v/>
      </c>
      <c r="W457" s="40" t="str">
        <f t="shared" si="14"/>
        <v/>
      </c>
      <c r="X457" s="40" t="str">
        <f t="shared" si="15"/>
        <v/>
      </c>
      <c r="Y457" s="40" t="str">
        <f>TEXT(Table1[[#This Row],[YEAR]],"0000")&amp;"-"&amp;Table1[[#This Row],[MONTH]]</f>
        <v>-</v>
      </c>
    </row>
    <row r="458" spans="1:25" ht="15" customHeight="1" x14ac:dyDescent="0.35">
      <c r="A458" s="24"/>
      <c r="B458" s="38"/>
      <c r="C458" s="38"/>
      <c r="D458" s="38"/>
      <c r="E458" s="37"/>
      <c r="F458" s="38"/>
      <c r="G458" s="198"/>
      <c r="H458" s="198"/>
      <c r="I458" s="39"/>
      <c r="J458" s="38"/>
      <c r="K458" s="198"/>
      <c r="L458" s="38"/>
      <c r="M458" s="38"/>
      <c r="N458" s="38"/>
      <c r="O458" s="38"/>
      <c r="P458" s="40" t="str" cm="1">
        <f t="array" ref="P458">IF(N458="","",IFERROR(_xlfn.XLOOKUP(F458&amp;"|"&amp;J458&amp;"|"&amp;O458,PRICES!$C$2:$C$659&amp;"|"&amp;PRICES!$B$2:$B$659&amp;"|"&amp;PRICES!$D$2:$D$659,PRICES!$E$2:$E$659),"Not Found"))</f>
        <v/>
      </c>
      <c r="Q458" s="100" t="str">
        <f>IF(N458=0,"",SUMIFS(PRICES!$G$2:$G$658,PRICES!$B$2:$B$658,'MAIN TABLE-1 AUTOMATED'!J458,PRICES!$C$2:$C$658,'MAIN TABLE-1 AUTOMATED'!F458,PRICES!$D$2:$D$658,'MAIN TABLE-1 AUTOMATED'!O458))</f>
        <v/>
      </c>
      <c r="R458" s="41" t="str">
        <f>IF(Table1[[#This Row],[QUANTITY]]=0,"",Table1[[#This Row],[UNIT PRICE]]*Table1[[#This Row],[QUANTITY]])</f>
        <v/>
      </c>
      <c r="S458" s="89"/>
      <c r="T458" s="38"/>
      <c r="U458" s="43"/>
      <c r="V458" s="42" t="str">
        <f>IF(Table1[[#This Row],[DATE]]=0,"",YEAR(E458))</f>
        <v/>
      </c>
      <c r="W458" s="40" t="str">
        <f t="shared" si="14"/>
        <v/>
      </c>
      <c r="X458" s="40" t="str">
        <f t="shared" si="15"/>
        <v/>
      </c>
      <c r="Y458" s="40" t="str">
        <f>TEXT(Table1[[#This Row],[YEAR]],"0000")&amp;"-"&amp;Table1[[#This Row],[MONTH]]</f>
        <v>-</v>
      </c>
    </row>
    <row r="459" spans="1:25" ht="15" customHeight="1" x14ac:dyDescent="0.35">
      <c r="A459" s="24"/>
      <c r="B459" s="38"/>
      <c r="C459" s="38"/>
      <c r="D459" s="38"/>
      <c r="E459" s="37"/>
      <c r="F459" s="38"/>
      <c r="G459" s="198"/>
      <c r="H459" s="198"/>
      <c r="I459" s="39"/>
      <c r="J459" s="38"/>
      <c r="K459" s="198"/>
      <c r="L459" s="38"/>
      <c r="M459" s="38"/>
      <c r="N459" s="38"/>
      <c r="O459" s="38"/>
      <c r="P459" s="40" t="str" cm="1">
        <f t="array" ref="P459">IF(N459="","",IFERROR(_xlfn.XLOOKUP(F459&amp;"|"&amp;J459&amp;"|"&amp;O459,PRICES!$C$2:$C$659&amp;"|"&amp;PRICES!$B$2:$B$659&amp;"|"&amp;PRICES!$D$2:$D$659,PRICES!$E$2:$E$659),"Not Found"))</f>
        <v/>
      </c>
      <c r="Q459" s="100" t="str">
        <f>IF(N459=0,"",SUMIFS(PRICES!$G$2:$G$658,PRICES!$B$2:$B$658,'MAIN TABLE-1 AUTOMATED'!J459,PRICES!$C$2:$C$658,'MAIN TABLE-1 AUTOMATED'!F459,PRICES!$D$2:$D$658,'MAIN TABLE-1 AUTOMATED'!O459))</f>
        <v/>
      </c>
      <c r="R459" s="41" t="str">
        <f>IF(Table1[[#This Row],[QUANTITY]]=0,"",Table1[[#This Row],[UNIT PRICE]]*Table1[[#This Row],[QUANTITY]])</f>
        <v/>
      </c>
      <c r="S459" s="89"/>
      <c r="T459" s="38"/>
      <c r="U459" s="43"/>
      <c r="V459" s="42" t="str">
        <f>IF(Table1[[#This Row],[DATE]]=0,"",YEAR(E459))</f>
        <v/>
      </c>
      <c r="W459" s="40" t="str">
        <f t="shared" si="14"/>
        <v/>
      </c>
      <c r="X459" s="40" t="str">
        <f t="shared" si="15"/>
        <v/>
      </c>
      <c r="Y459" s="40" t="str">
        <f>TEXT(Table1[[#This Row],[YEAR]],"0000")&amp;"-"&amp;Table1[[#This Row],[MONTH]]</f>
        <v>-</v>
      </c>
    </row>
    <row r="460" spans="1:25" ht="15" customHeight="1" x14ac:dyDescent="0.35">
      <c r="A460" s="24"/>
      <c r="B460" s="38"/>
      <c r="C460" s="38"/>
      <c r="D460" s="38"/>
      <c r="E460" s="37"/>
      <c r="F460" s="38"/>
      <c r="G460" s="198"/>
      <c r="H460" s="198"/>
      <c r="I460" s="39"/>
      <c r="J460" s="38"/>
      <c r="K460" s="198"/>
      <c r="L460" s="38"/>
      <c r="M460" s="38"/>
      <c r="N460" s="38"/>
      <c r="O460" s="38"/>
      <c r="P460" s="40" t="str" cm="1">
        <f t="array" ref="P460">IF(N460="","",IFERROR(_xlfn.XLOOKUP(F460&amp;"|"&amp;J460&amp;"|"&amp;O460,PRICES!$C$2:$C$659&amp;"|"&amp;PRICES!$B$2:$B$659&amp;"|"&amp;PRICES!$D$2:$D$659,PRICES!$E$2:$E$659),"Not Found"))</f>
        <v/>
      </c>
      <c r="Q460" s="100" t="str">
        <f>IF(N460=0,"",SUMIFS(PRICES!$G$2:$G$658,PRICES!$B$2:$B$658,'MAIN TABLE-1 AUTOMATED'!J460,PRICES!$C$2:$C$658,'MAIN TABLE-1 AUTOMATED'!F460,PRICES!$D$2:$D$658,'MAIN TABLE-1 AUTOMATED'!O460))</f>
        <v/>
      </c>
      <c r="R460" s="41" t="str">
        <f>IF(Table1[[#This Row],[QUANTITY]]=0,"",Table1[[#This Row],[UNIT PRICE]]*Table1[[#This Row],[QUANTITY]])</f>
        <v/>
      </c>
      <c r="S460" s="89"/>
      <c r="T460" s="38"/>
      <c r="U460" s="43"/>
      <c r="V460" s="42" t="str">
        <f>IF(Table1[[#This Row],[DATE]]=0,"",YEAR(E460))</f>
        <v/>
      </c>
      <c r="W460" s="40" t="str">
        <f t="shared" si="14"/>
        <v/>
      </c>
      <c r="X460" s="40" t="str">
        <f t="shared" si="15"/>
        <v/>
      </c>
      <c r="Y460" s="40" t="str">
        <f>TEXT(Table1[[#This Row],[YEAR]],"0000")&amp;"-"&amp;Table1[[#This Row],[MONTH]]</f>
        <v>-</v>
      </c>
    </row>
    <row r="461" spans="1:25" ht="15" customHeight="1" x14ac:dyDescent="0.35">
      <c r="A461" s="24"/>
      <c r="B461" s="38"/>
      <c r="C461" s="38"/>
      <c r="D461" s="38"/>
      <c r="E461" s="37"/>
      <c r="F461" s="38"/>
      <c r="G461" s="198"/>
      <c r="H461" s="198"/>
      <c r="I461" s="39"/>
      <c r="J461" s="38"/>
      <c r="K461" s="198"/>
      <c r="L461" s="38"/>
      <c r="M461" s="38"/>
      <c r="N461" s="38"/>
      <c r="O461" s="38"/>
      <c r="P461" s="40" t="str" cm="1">
        <f t="array" ref="P461">IF(N461="","",IFERROR(_xlfn.XLOOKUP(F461&amp;"|"&amp;J461&amp;"|"&amp;O461,PRICES!$C$2:$C$659&amp;"|"&amp;PRICES!$B$2:$B$659&amp;"|"&amp;PRICES!$D$2:$D$659,PRICES!$E$2:$E$659),"Not Found"))</f>
        <v/>
      </c>
      <c r="Q461" s="100" t="str">
        <f>IF(N461=0,"",SUMIFS(PRICES!$G$2:$G$658,PRICES!$B$2:$B$658,'MAIN TABLE-1 AUTOMATED'!J461,PRICES!$C$2:$C$658,'MAIN TABLE-1 AUTOMATED'!F461,PRICES!$D$2:$D$658,'MAIN TABLE-1 AUTOMATED'!O461))</f>
        <v/>
      </c>
      <c r="R461" s="41" t="str">
        <f>IF(Table1[[#This Row],[QUANTITY]]=0,"",Table1[[#This Row],[UNIT PRICE]]*Table1[[#This Row],[QUANTITY]])</f>
        <v/>
      </c>
      <c r="S461" s="89"/>
      <c r="T461" s="38"/>
      <c r="U461" s="43"/>
      <c r="V461" s="42" t="str">
        <f>IF(Table1[[#This Row],[DATE]]=0,"",YEAR(E461))</f>
        <v/>
      </c>
      <c r="W461" s="40" t="str">
        <f t="shared" si="14"/>
        <v/>
      </c>
      <c r="X461" s="40" t="str">
        <f t="shared" si="15"/>
        <v/>
      </c>
      <c r="Y461" s="40" t="str">
        <f>TEXT(Table1[[#This Row],[YEAR]],"0000")&amp;"-"&amp;Table1[[#This Row],[MONTH]]</f>
        <v>-</v>
      </c>
    </row>
    <row r="462" spans="1:25" ht="15" customHeight="1" x14ac:dyDescent="0.35">
      <c r="A462" s="24"/>
      <c r="B462" s="38"/>
      <c r="C462" s="38"/>
      <c r="D462" s="38"/>
      <c r="E462" s="37"/>
      <c r="F462" s="38"/>
      <c r="G462" s="198"/>
      <c r="H462" s="198"/>
      <c r="I462" s="39"/>
      <c r="J462" s="38"/>
      <c r="K462" s="198"/>
      <c r="L462" s="38"/>
      <c r="M462" s="38"/>
      <c r="N462" s="38"/>
      <c r="O462" s="38"/>
      <c r="P462" s="40" t="str" cm="1">
        <f t="array" ref="P462">IF(N462="","",IFERROR(_xlfn.XLOOKUP(F462&amp;"|"&amp;J462&amp;"|"&amp;O462,PRICES!$C$2:$C$659&amp;"|"&amp;PRICES!$B$2:$B$659&amp;"|"&amp;PRICES!$D$2:$D$659,PRICES!$E$2:$E$659),"Not Found"))</f>
        <v/>
      </c>
      <c r="Q462" s="100" t="str">
        <f>IF(N462=0,"",SUMIFS(PRICES!$G$2:$G$658,PRICES!$B$2:$B$658,'MAIN TABLE-1 AUTOMATED'!J462,PRICES!$C$2:$C$658,'MAIN TABLE-1 AUTOMATED'!F462,PRICES!$D$2:$D$658,'MAIN TABLE-1 AUTOMATED'!O462))</f>
        <v/>
      </c>
      <c r="R462" s="41" t="str">
        <f>IF(Table1[[#This Row],[QUANTITY]]=0,"",Table1[[#This Row],[UNIT PRICE]]*Table1[[#This Row],[QUANTITY]])</f>
        <v/>
      </c>
      <c r="S462" s="89"/>
      <c r="T462" s="38"/>
      <c r="U462" s="43"/>
      <c r="V462" s="42" t="str">
        <f>IF(Table1[[#This Row],[DATE]]=0,"",YEAR(E462))</f>
        <v/>
      </c>
      <c r="W462" s="40" t="str">
        <f t="shared" si="14"/>
        <v/>
      </c>
      <c r="X462" s="40" t="str">
        <f t="shared" si="15"/>
        <v/>
      </c>
      <c r="Y462" s="40" t="str">
        <f>TEXT(Table1[[#This Row],[YEAR]],"0000")&amp;"-"&amp;Table1[[#This Row],[MONTH]]</f>
        <v>-</v>
      </c>
    </row>
    <row r="463" spans="1:25" ht="15" customHeight="1" x14ac:dyDescent="0.35">
      <c r="A463" s="24"/>
      <c r="B463" s="38"/>
      <c r="C463" s="38"/>
      <c r="D463" s="38"/>
      <c r="E463" s="37"/>
      <c r="F463" s="38"/>
      <c r="G463" s="198"/>
      <c r="H463" s="198"/>
      <c r="I463" s="39"/>
      <c r="J463" s="38"/>
      <c r="K463" s="198"/>
      <c r="L463" s="38"/>
      <c r="M463" s="38"/>
      <c r="N463" s="38"/>
      <c r="O463" s="38"/>
      <c r="P463" s="40" t="str" cm="1">
        <f t="array" ref="P463">IF(N463="","",IFERROR(_xlfn.XLOOKUP(F463&amp;"|"&amp;J463&amp;"|"&amp;O463,PRICES!$C$2:$C$659&amp;"|"&amp;PRICES!$B$2:$B$659&amp;"|"&amp;PRICES!$D$2:$D$659,PRICES!$E$2:$E$659),"Not Found"))</f>
        <v/>
      </c>
      <c r="Q463" s="100" t="str">
        <f>IF(N463=0,"",SUMIFS(PRICES!$G$2:$G$658,PRICES!$B$2:$B$658,'MAIN TABLE-1 AUTOMATED'!J463,PRICES!$C$2:$C$658,'MAIN TABLE-1 AUTOMATED'!F463,PRICES!$D$2:$D$658,'MAIN TABLE-1 AUTOMATED'!O463))</f>
        <v/>
      </c>
      <c r="R463" s="41" t="str">
        <f>IF(Table1[[#This Row],[QUANTITY]]=0,"",Table1[[#This Row],[UNIT PRICE]]*Table1[[#This Row],[QUANTITY]])</f>
        <v/>
      </c>
      <c r="S463" s="89"/>
      <c r="T463" s="38"/>
      <c r="U463" s="43"/>
      <c r="V463" s="42" t="str">
        <f>IF(Table1[[#This Row],[DATE]]=0,"",YEAR(E463))</f>
        <v/>
      </c>
      <c r="W463" s="40" t="str">
        <f t="shared" si="14"/>
        <v/>
      </c>
      <c r="X463" s="40" t="str">
        <f t="shared" si="15"/>
        <v/>
      </c>
      <c r="Y463" s="40" t="str">
        <f>TEXT(Table1[[#This Row],[YEAR]],"0000")&amp;"-"&amp;Table1[[#This Row],[MONTH]]</f>
        <v>-</v>
      </c>
    </row>
    <row r="464" spans="1:25" ht="15" customHeight="1" x14ac:dyDescent="0.35">
      <c r="A464" s="24"/>
      <c r="B464" s="38"/>
      <c r="C464" s="38"/>
      <c r="D464" s="38"/>
      <c r="E464" s="37"/>
      <c r="F464" s="38"/>
      <c r="G464" s="198"/>
      <c r="H464" s="198"/>
      <c r="I464" s="39"/>
      <c r="J464" s="38"/>
      <c r="K464" s="198"/>
      <c r="L464" s="38"/>
      <c r="M464" s="38"/>
      <c r="N464" s="38"/>
      <c r="O464" s="38"/>
      <c r="P464" s="40" t="str" cm="1">
        <f t="array" ref="P464">IF(N464="","",IFERROR(_xlfn.XLOOKUP(F464&amp;"|"&amp;J464&amp;"|"&amp;O464,PRICES!$C$2:$C$659&amp;"|"&amp;PRICES!$B$2:$B$659&amp;"|"&amp;PRICES!$D$2:$D$659,PRICES!$E$2:$E$659),"Not Found"))</f>
        <v/>
      </c>
      <c r="Q464" s="100" t="str">
        <f>IF(N464=0,"",SUMIFS(PRICES!$G$2:$G$658,PRICES!$B$2:$B$658,'MAIN TABLE-1 AUTOMATED'!J464,PRICES!$C$2:$C$658,'MAIN TABLE-1 AUTOMATED'!F464,PRICES!$D$2:$D$658,'MAIN TABLE-1 AUTOMATED'!O464))</f>
        <v/>
      </c>
      <c r="R464" s="41" t="str">
        <f>IF(Table1[[#This Row],[QUANTITY]]=0,"",Table1[[#This Row],[UNIT PRICE]]*Table1[[#This Row],[QUANTITY]])</f>
        <v/>
      </c>
      <c r="S464" s="89"/>
      <c r="T464" s="38"/>
      <c r="U464" s="43"/>
      <c r="V464" s="42" t="str">
        <f>IF(Table1[[#This Row],[DATE]]=0,"",YEAR(E464))</f>
        <v/>
      </c>
      <c r="W464" s="40" t="str">
        <f t="shared" si="14"/>
        <v/>
      </c>
      <c r="X464" s="40" t="str">
        <f t="shared" si="15"/>
        <v/>
      </c>
      <c r="Y464" s="40" t="str">
        <f>TEXT(Table1[[#This Row],[YEAR]],"0000")&amp;"-"&amp;Table1[[#This Row],[MONTH]]</f>
        <v>-</v>
      </c>
    </row>
    <row r="465" spans="1:25" ht="15" customHeight="1" x14ac:dyDescent="0.35">
      <c r="A465" s="24"/>
      <c r="B465" s="38"/>
      <c r="C465" s="38"/>
      <c r="D465" s="38"/>
      <c r="E465" s="37"/>
      <c r="F465" s="38"/>
      <c r="G465" s="198"/>
      <c r="H465" s="198"/>
      <c r="I465" s="39"/>
      <c r="J465" s="38"/>
      <c r="K465" s="198"/>
      <c r="L465" s="38"/>
      <c r="M465" s="38"/>
      <c r="N465" s="38"/>
      <c r="O465" s="38"/>
      <c r="P465" s="40" t="str" cm="1">
        <f t="array" ref="P465">IF(N465="","",IFERROR(_xlfn.XLOOKUP(F465&amp;"|"&amp;J465&amp;"|"&amp;O465,PRICES!$C$2:$C$659&amp;"|"&amp;PRICES!$B$2:$B$659&amp;"|"&amp;PRICES!$D$2:$D$659,PRICES!$E$2:$E$659),"Not Found"))</f>
        <v/>
      </c>
      <c r="Q465" s="100" t="str">
        <f>IF(N465=0,"",SUMIFS(PRICES!$G$2:$G$658,PRICES!$B$2:$B$658,'MAIN TABLE-1 AUTOMATED'!J465,PRICES!$C$2:$C$658,'MAIN TABLE-1 AUTOMATED'!F465,PRICES!$D$2:$D$658,'MAIN TABLE-1 AUTOMATED'!O465))</f>
        <v/>
      </c>
      <c r="R465" s="41" t="str">
        <f>IF(Table1[[#This Row],[QUANTITY]]=0,"",Table1[[#This Row],[UNIT PRICE]]*Table1[[#This Row],[QUANTITY]])</f>
        <v/>
      </c>
      <c r="S465" s="89"/>
      <c r="T465" s="38"/>
      <c r="U465" s="43"/>
      <c r="V465" s="42" t="str">
        <f>IF(Table1[[#This Row],[DATE]]=0,"",YEAR(E465))</f>
        <v/>
      </c>
      <c r="W465" s="40" t="str">
        <f t="shared" si="14"/>
        <v/>
      </c>
      <c r="X465" s="40" t="str">
        <f t="shared" si="15"/>
        <v/>
      </c>
      <c r="Y465" s="40" t="str">
        <f>TEXT(Table1[[#This Row],[YEAR]],"0000")&amp;"-"&amp;Table1[[#This Row],[MONTH]]</f>
        <v>-</v>
      </c>
    </row>
    <row r="466" spans="1:25" ht="15" customHeight="1" x14ac:dyDescent="0.35">
      <c r="A466" s="24"/>
      <c r="B466" s="38"/>
      <c r="C466" s="38"/>
      <c r="D466" s="38"/>
      <c r="E466" s="37"/>
      <c r="F466" s="38"/>
      <c r="G466" s="198"/>
      <c r="H466" s="198"/>
      <c r="I466" s="39"/>
      <c r="J466" s="38"/>
      <c r="K466" s="198"/>
      <c r="L466" s="38"/>
      <c r="M466" s="38"/>
      <c r="N466" s="38"/>
      <c r="O466" s="38"/>
      <c r="P466" s="40" t="str" cm="1">
        <f t="array" ref="P466">IF(N466="","",IFERROR(_xlfn.XLOOKUP(F466&amp;"|"&amp;J466&amp;"|"&amp;O466,PRICES!$C$2:$C$659&amp;"|"&amp;PRICES!$B$2:$B$659&amp;"|"&amp;PRICES!$D$2:$D$659,PRICES!$E$2:$E$659),"Not Found"))</f>
        <v/>
      </c>
      <c r="Q466" s="100" t="str">
        <f>IF(N466=0,"",SUMIFS(PRICES!$G$2:$G$658,PRICES!$B$2:$B$658,'MAIN TABLE-1 AUTOMATED'!J466,PRICES!$C$2:$C$658,'MAIN TABLE-1 AUTOMATED'!F466,PRICES!$D$2:$D$658,'MAIN TABLE-1 AUTOMATED'!O466))</f>
        <v/>
      </c>
      <c r="R466" s="41" t="str">
        <f>IF(Table1[[#This Row],[QUANTITY]]=0,"",Table1[[#This Row],[UNIT PRICE]]*Table1[[#This Row],[QUANTITY]])</f>
        <v/>
      </c>
      <c r="S466" s="89"/>
      <c r="T466" s="38"/>
      <c r="U466" s="43"/>
      <c r="V466" s="42" t="str">
        <f>IF(Table1[[#This Row],[DATE]]=0,"",YEAR(E466))</f>
        <v/>
      </c>
      <c r="W466" s="40" t="str">
        <f t="shared" si="14"/>
        <v/>
      </c>
      <c r="X466" s="40" t="str">
        <f t="shared" si="15"/>
        <v/>
      </c>
      <c r="Y466" s="40" t="str">
        <f>TEXT(Table1[[#This Row],[YEAR]],"0000")&amp;"-"&amp;Table1[[#This Row],[MONTH]]</f>
        <v>-</v>
      </c>
    </row>
    <row r="467" spans="1:25" ht="15" customHeight="1" x14ac:dyDescent="0.35">
      <c r="A467" s="24"/>
      <c r="B467" s="38"/>
      <c r="C467" s="38"/>
      <c r="D467" s="38"/>
      <c r="E467" s="37"/>
      <c r="F467" s="38"/>
      <c r="G467" s="198"/>
      <c r="H467" s="198"/>
      <c r="I467" s="39"/>
      <c r="J467" s="38"/>
      <c r="K467" s="198"/>
      <c r="L467" s="38"/>
      <c r="M467" s="38"/>
      <c r="N467" s="38"/>
      <c r="O467" s="38"/>
      <c r="P467" s="40" t="str" cm="1">
        <f t="array" ref="P467">IF(N467="","",IFERROR(_xlfn.XLOOKUP(F467&amp;"|"&amp;J467&amp;"|"&amp;O467,PRICES!$C$2:$C$659&amp;"|"&amp;PRICES!$B$2:$B$659&amp;"|"&amp;PRICES!$D$2:$D$659,PRICES!$E$2:$E$659),"Not Found"))</f>
        <v/>
      </c>
      <c r="Q467" s="100" t="str">
        <f>IF(N467=0,"",SUMIFS(PRICES!$G$2:$G$658,PRICES!$B$2:$B$658,'MAIN TABLE-1 AUTOMATED'!J467,PRICES!$C$2:$C$658,'MAIN TABLE-1 AUTOMATED'!F467,PRICES!$D$2:$D$658,'MAIN TABLE-1 AUTOMATED'!O467))</f>
        <v/>
      </c>
      <c r="R467" s="41" t="str">
        <f>IF(Table1[[#This Row],[QUANTITY]]=0,"",Table1[[#This Row],[UNIT PRICE]]*Table1[[#This Row],[QUANTITY]])</f>
        <v/>
      </c>
      <c r="S467" s="89"/>
      <c r="T467" s="38"/>
      <c r="U467" s="43"/>
      <c r="V467" s="42" t="str">
        <f>IF(Table1[[#This Row],[DATE]]=0,"",YEAR(E467))</f>
        <v/>
      </c>
      <c r="W467" s="40" t="str">
        <f t="shared" si="14"/>
        <v/>
      </c>
      <c r="X467" s="40" t="str">
        <f t="shared" si="15"/>
        <v/>
      </c>
      <c r="Y467" s="40" t="str">
        <f>TEXT(Table1[[#This Row],[YEAR]],"0000")&amp;"-"&amp;Table1[[#This Row],[MONTH]]</f>
        <v>-</v>
      </c>
    </row>
    <row r="468" spans="1:25" ht="15" customHeight="1" x14ac:dyDescent="0.35">
      <c r="A468" s="24"/>
      <c r="B468" s="38"/>
      <c r="C468" s="38"/>
      <c r="D468" s="38"/>
      <c r="E468" s="37"/>
      <c r="F468" s="38"/>
      <c r="G468" s="198"/>
      <c r="H468" s="198"/>
      <c r="I468" s="39"/>
      <c r="J468" s="38"/>
      <c r="K468" s="198"/>
      <c r="L468" s="38"/>
      <c r="M468" s="38"/>
      <c r="N468" s="38"/>
      <c r="O468" s="38"/>
      <c r="P468" s="40" t="str" cm="1">
        <f t="array" ref="P468">IF(N468="","",IFERROR(_xlfn.XLOOKUP(F468&amp;"|"&amp;J468&amp;"|"&amp;O468,PRICES!$C$2:$C$659&amp;"|"&amp;PRICES!$B$2:$B$659&amp;"|"&amp;PRICES!$D$2:$D$659,PRICES!$E$2:$E$659),"Not Found"))</f>
        <v/>
      </c>
      <c r="Q468" s="100" t="str">
        <f>IF(N468=0,"",SUMIFS(PRICES!$G$2:$G$658,PRICES!$B$2:$B$658,'MAIN TABLE-1 AUTOMATED'!J468,PRICES!$C$2:$C$658,'MAIN TABLE-1 AUTOMATED'!F468,PRICES!$D$2:$D$658,'MAIN TABLE-1 AUTOMATED'!O468))</f>
        <v/>
      </c>
      <c r="R468" s="41" t="str">
        <f>IF(Table1[[#This Row],[QUANTITY]]=0,"",Table1[[#This Row],[UNIT PRICE]]*Table1[[#This Row],[QUANTITY]])</f>
        <v/>
      </c>
      <c r="S468" s="89"/>
      <c r="T468" s="38"/>
      <c r="U468" s="43"/>
      <c r="V468" s="42" t="str">
        <f>IF(Table1[[#This Row],[DATE]]=0,"",YEAR(E468))</f>
        <v/>
      </c>
      <c r="W468" s="40" t="str">
        <f t="shared" si="14"/>
        <v/>
      </c>
      <c r="X468" s="40" t="str">
        <f t="shared" si="15"/>
        <v/>
      </c>
      <c r="Y468" s="40" t="str">
        <f>TEXT(Table1[[#This Row],[YEAR]],"0000")&amp;"-"&amp;Table1[[#This Row],[MONTH]]</f>
        <v>-</v>
      </c>
    </row>
    <row r="469" spans="1:25" ht="15" customHeight="1" x14ac:dyDescent="0.35">
      <c r="A469" s="24"/>
      <c r="B469" s="38"/>
      <c r="C469" s="38"/>
      <c r="D469" s="38"/>
      <c r="E469" s="37"/>
      <c r="F469" s="38"/>
      <c r="G469" s="198"/>
      <c r="H469" s="198"/>
      <c r="I469" s="39"/>
      <c r="J469" s="38"/>
      <c r="K469" s="198"/>
      <c r="L469" s="38"/>
      <c r="M469" s="38"/>
      <c r="N469" s="38"/>
      <c r="O469" s="38"/>
      <c r="P469" s="40" t="str" cm="1">
        <f t="array" ref="P469">IF(N469="","",IFERROR(_xlfn.XLOOKUP(F469&amp;"|"&amp;J469&amp;"|"&amp;O469,PRICES!$C$2:$C$659&amp;"|"&amp;PRICES!$B$2:$B$659&amp;"|"&amp;PRICES!$D$2:$D$659,PRICES!$E$2:$E$659),"Not Found"))</f>
        <v/>
      </c>
      <c r="Q469" s="100" t="str">
        <f>IF(N469=0,"",SUMIFS(PRICES!$G$2:$G$658,PRICES!$B$2:$B$658,'MAIN TABLE-1 AUTOMATED'!J469,PRICES!$C$2:$C$658,'MAIN TABLE-1 AUTOMATED'!F469,PRICES!$D$2:$D$658,'MAIN TABLE-1 AUTOMATED'!O469))</f>
        <v/>
      </c>
      <c r="R469" s="41" t="str">
        <f>IF(Table1[[#This Row],[QUANTITY]]=0,"",Table1[[#This Row],[UNIT PRICE]]*Table1[[#This Row],[QUANTITY]])</f>
        <v/>
      </c>
      <c r="S469" s="89"/>
      <c r="T469" s="38"/>
      <c r="U469" s="43"/>
      <c r="V469" s="42" t="str">
        <f>IF(Table1[[#This Row],[DATE]]=0,"",YEAR(E469))</f>
        <v/>
      </c>
      <c r="W469" s="40" t="str">
        <f t="shared" si="14"/>
        <v/>
      </c>
      <c r="X469" s="40" t="str">
        <f t="shared" si="15"/>
        <v/>
      </c>
      <c r="Y469" s="40" t="str">
        <f>TEXT(Table1[[#This Row],[YEAR]],"0000")&amp;"-"&amp;Table1[[#This Row],[MONTH]]</f>
        <v>-</v>
      </c>
    </row>
    <row r="470" spans="1:25" ht="15" customHeight="1" x14ac:dyDescent="0.35">
      <c r="A470" s="24"/>
      <c r="B470" s="38"/>
      <c r="C470" s="38"/>
      <c r="D470" s="38"/>
      <c r="E470" s="37"/>
      <c r="F470" s="38"/>
      <c r="G470" s="198"/>
      <c r="H470" s="198"/>
      <c r="I470" s="39"/>
      <c r="J470" s="38"/>
      <c r="K470" s="198"/>
      <c r="L470" s="38"/>
      <c r="M470" s="38"/>
      <c r="N470" s="38"/>
      <c r="O470" s="38"/>
      <c r="P470" s="40" t="str" cm="1">
        <f t="array" ref="P470">IF(N470="","",IFERROR(_xlfn.XLOOKUP(F470&amp;"|"&amp;J470&amp;"|"&amp;O470,PRICES!$C$2:$C$659&amp;"|"&amp;PRICES!$B$2:$B$659&amp;"|"&amp;PRICES!$D$2:$D$659,PRICES!$E$2:$E$659),"Not Found"))</f>
        <v/>
      </c>
      <c r="Q470" s="100" t="str">
        <f>IF(N470=0,"",SUMIFS(PRICES!$G$2:$G$658,PRICES!$B$2:$B$658,'MAIN TABLE-1 AUTOMATED'!J470,PRICES!$C$2:$C$658,'MAIN TABLE-1 AUTOMATED'!F470,PRICES!$D$2:$D$658,'MAIN TABLE-1 AUTOMATED'!O470))</f>
        <v/>
      </c>
      <c r="R470" s="41" t="str">
        <f>IF(Table1[[#This Row],[QUANTITY]]=0,"",Table1[[#This Row],[UNIT PRICE]]*Table1[[#This Row],[QUANTITY]])</f>
        <v/>
      </c>
      <c r="S470" s="89"/>
      <c r="T470" s="38"/>
      <c r="U470" s="43"/>
      <c r="V470" s="42" t="str">
        <f>IF(Table1[[#This Row],[DATE]]=0,"",YEAR(E470))</f>
        <v/>
      </c>
      <c r="W470" s="40" t="str">
        <f t="shared" si="14"/>
        <v/>
      </c>
      <c r="X470" s="40" t="str">
        <f t="shared" si="15"/>
        <v/>
      </c>
      <c r="Y470" s="40" t="str">
        <f>TEXT(Table1[[#This Row],[YEAR]],"0000")&amp;"-"&amp;Table1[[#This Row],[MONTH]]</f>
        <v>-</v>
      </c>
    </row>
    <row r="471" spans="1:25" ht="15" customHeight="1" x14ac:dyDescent="0.35">
      <c r="A471" s="24"/>
      <c r="B471" s="38"/>
      <c r="C471" s="38"/>
      <c r="D471" s="38"/>
      <c r="E471" s="37"/>
      <c r="F471" s="38"/>
      <c r="G471" s="198"/>
      <c r="H471" s="198"/>
      <c r="I471" s="39"/>
      <c r="J471" s="38"/>
      <c r="K471" s="198"/>
      <c r="L471" s="38"/>
      <c r="M471" s="38"/>
      <c r="N471" s="38"/>
      <c r="O471" s="38"/>
      <c r="P471" s="40" t="str" cm="1">
        <f t="array" ref="P471">IF(N471="","",IFERROR(_xlfn.XLOOKUP(F471&amp;"|"&amp;J471&amp;"|"&amp;O471,PRICES!$C$2:$C$659&amp;"|"&amp;PRICES!$B$2:$B$659&amp;"|"&amp;PRICES!$D$2:$D$659,PRICES!$E$2:$E$659),"Not Found"))</f>
        <v/>
      </c>
      <c r="Q471" s="100" t="str">
        <f>IF(N471=0,"",SUMIFS(PRICES!$G$2:$G$658,PRICES!$B$2:$B$658,'MAIN TABLE-1 AUTOMATED'!J471,PRICES!$C$2:$C$658,'MAIN TABLE-1 AUTOMATED'!F471,PRICES!$D$2:$D$658,'MAIN TABLE-1 AUTOMATED'!O471))</f>
        <v/>
      </c>
      <c r="R471" s="41" t="str">
        <f>IF(Table1[[#This Row],[QUANTITY]]=0,"",Table1[[#This Row],[UNIT PRICE]]*Table1[[#This Row],[QUANTITY]])</f>
        <v/>
      </c>
      <c r="S471" s="89"/>
      <c r="T471" s="38"/>
      <c r="U471" s="43"/>
      <c r="V471" s="42" t="str">
        <f>IF(Table1[[#This Row],[DATE]]=0,"",YEAR(E471))</f>
        <v/>
      </c>
      <c r="W471" s="40" t="str">
        <f t="shared" si="14"/>
        <v/>
      </c>
      <c r="X471" s="40" t="str">
        <f t="shared" si="15"/>
        <v/>
      </c>
      <c r="Y471" s="40" t="str">
        <f>TEXT(Table1[[#This Row],[YEAR]],"0000")&amp;"-"&amp;Table1[[#This Row],[MONTH]]</f>
        <v>-</v>
      </c>
    </row>
    <row r="472" spans="1:25" ht="15" customHeight="1" x14ac:dyDescent="0.35">
      <c r="A472" s="24"/>
      <c r="B472" s="38"/>
      <c r="C472" s="38"/>
      <c r="D472" s="38"/>
      <c r="E472" s="37"/>
      <c r="F472" s="38"/>
      <c r="G472" s="198"/>
      <c r="H472" s="198"/>
      <c r="I472" s="39"/>
      <c r="J472" s="38"/>
      <c r="K472" s="198"/>
      <c r="L472" s="38"/>
      <c r="M472" s="38"/>
      <c r="N472" s="38"/>
      <c r="O472" s="38"/>
      <c r="P472" s="40" t="str" cm="1">
        <f t="array" ref="P472">IF(N472="","",IFERROR(_xlfn.XLOOKUP(F472&amp;"|"&amp;J472&amp;"|"&amp;O472,PRICES!$C$2:$C$659&amp;"|"&amp;PRICES!$B$2:$B$659&amp;"|"&amp;PRICES!$D$2:$D$659,PRICES!$E$2:$E$659),"Not Found"))</f>
        <v/>
      </c>
      <c r="Q472" s="100" t="str">
        <f>IF(N472=0,"",SUMIFS(PRICES!$G$2:$G$658,PRICES!$B$2:$B$658,'MAIN TABLE-1 AUTOMATED'!J472,PRICES!$C$2:$C$658,'MAIN TABLE-1 AUTOMATED'!F472,PRICES!$D$2:$D$658,'MAIN TABLE-1 AUTOMATED'!O472))</f>
        <v/>
      </c>
      <c r="R472" s="41" t="str">
        <f>IF(Table1[[#This Row],[QUANTITY]]=0,"",Table1[[#This Row],[UNIT PRICE]]*Table1[[#This Row],[QUANTITY]])</f>
        <v/>
      </c>
      <c r="S472" s="89"/>
      <c r="T472" s="38"/>
      <c r="U472" s="43"/>
      <c r="V472" s="42" t="str">
        <f>IF(Table1[[#This Row],[DATE]]=0,"",YEAR(E472))</f>
        <v/>
      </c>
      <c r="W472" s="40" t="str">
        <f t="shared" si="14"/>
        <v/>
      </c>
      <c r="X472" s="40" t="str">
        <f t="shared" si="15"/>
        <v/>
      </c>
      <c r="Y472" s="40" t="str">
        <f>TEXT(Table1[[#This Row],[YEAR]],"0000")&amp;"-"&amp;Table1[[#This Row],[MONTH]]</f>
        <v>-</v>
      </c>
    </row>
    <row r="473" spans="1:25" ht="15" customHeight="1" x14ac:dyDescent="0.35">
      <c r="A473" s="24"/>
      <c r="B473" s="38"/>
      <c r="C473" s="38"/>
      <c r="D473" s="38"/>
      <c r="E473" s="37"/>
      <c r="F473" s="38"/>
      <c r="G473" s="198"/>
      <c r="H473" s="198"/>
      <c r="I473" s="39"/>
      <c r="J473" s="38"/>
      <c r="K473" s="198"/>
      <c r="L473" s="38"/>
      <c r="M473" s="38"/>
      <c r="N473" s="38"/>
      <c r="O473" s="38"/>
      <c r="P473" s="40" t="str" cm="1">
        <f t="array" ref="P473">IF(N473="","",IFERROR(_xlfn.XLOOKUP(F473&amp;"|"&amp;J473&amp;"|"&amp;O473,PRICES!$C$2:$C$659&amp;"|"&amp;PRICES!$B$2:$B$659&amp;"|"&amp;PRICES!$D$2:$D$659,PRICES!$E$2:$E$659),"Not Found"))</f>
        <v/>
      </c>
      <c r="Q473" s="100" t="str">
        <f>IF(N473=0,"",SUMIFS(PRICES!$G$2:$G$658,PRICES!$B$2:$B$658,'MAIN TABLE-1 AUTOMATED'!J473,PRICES!$C$2:$C$658,'MAIN TABLE-1 AUTOMATED'!F473,PRICES!$D$2:$D$658,'MAIN TABLE-1 AUTOMATED'!O473))</f>
        <v/>
      </c>
      <c r="R473" s="41" t="str">
        <f>IF(Table1[[#This Row],[QUANTITY]]=0,"",Table1[[#This Row],[UNIT PRICE]]*Table1[[#This Row],[QUANTITY]])</f>
        <v/>
      </c>
      <c r="S473" s="89"/>
      <c r="T473" s="38"/>
      <c r="U473" s="43"/>
      <c r="V473" s="42" t="str">
        <f>IF(Table1[[#This Row],[DATE]]=0,"",YEAR(E473))</f>
        <v/>
      </c>
      <c r="W473" s="40" t="str">
        <f t="shared" si="14"/>
        <v/>
      </c>
      <c r="X473" s="40" t="str">
        <f t="shared" si="15"/>
        <v/>
      </c>
      <c r="Y473" s="40" t="str">
        <f>TEXT(Table1[[#This Row],[YEAR]],"0000")&amp;"-"&amp;Table1[[#This Row],[MONTH]]</f>
        <v>-</v>
      </c>
    </row>
    <row r="474" spans="1:25" ht="15" customHeight="1" x14ac:dyDescent="0.35">
      <c r="A474" s="24"/>
      <c r="B474" s="38"/>
      <c r="C474" s="38"/>
      <c r="D474" s="38"/>
      <c r="E474" s="37"/>
      <c r="F474" s="38"/>
      <c r="G474" s="198"/>
      <c r="H474" s="198"/>
      <c r="I474" s="39"/>
      <c r="J474" s="38"/>
      <c r="K474" s="198"/>
      <c r="L474" s="38"/>
      <c r="M474" s="38"/>
      <c r="N474" s="38"/>
      <c r="O474" s="38"/>
      <c r="P474" s="40" t="str" cm="1">
        <f t="array" ref="P474">IF(N474="","",IFERROR(_xlfn.XLOOKUP(F474&amp;"|"&amp;J474&amp;"|"&amp;O474,PRICES!$C$2:$C$659&amp;"|"&amp;PRICES!$B$2:$B$659&amp;"|"&amp;PRICES!$D$2:$D$659,PRICES!$E$2:$E$659),"Not Found"))</f>
        <v/>
      </c>
      <c r="Q474" s="100" t="str">
        <f>IF(N474=0,"",SUMIFS(PRICES!$G$2:$G$658,PRICES!$B$2:$B$658,'MAIN TABLE-1 AUTOMATED'!J474,PRICES!$C$2:$C$658,'MAIN TABLE-1 AUTOMATED'!F474,PRICES!$D$2:$D$658,'MAIN TABLE-1 AUTOMATED'!O474))</f>
        <v/>
      </c>
      <c r="R474" s="41" t="str">
        <f>IF(Table1[[#This Row],[QUANTITY]]=0,"",Table1[[#This Row],[UNIT PRICE]]*Table1[[#This Row],[QUANTITY]])</f>
        <v/>
      </c>
      <c r="S474" s="89"/>
      <c r="T474" s="38"/>
      <c r="U474" s="43"/>
      <c r="V474" s="42" t="str">
        <f>IF(Table1[[#This Row],[DATE]]=0,"",YEAR(E474))</f>
        <v/>
      </c>
      <c r="W474" s="40" t="str">
        <f t="shared" si="14"/>
        <v/>
      </c>
      <c r="X474" s="40" t="str">
        <f t="shared" si="15"/>
        <v/>
      </c>
      <c r="Y474" s="40" t="str">
        <f>TEXT(Table1[[#This Row],[YEAR]],"0000")&amp;"-"&amp;Table1[[#This Row],[MONTH]]</f>
        <v>-</v>
      </c>
    </row>
    <row r="475" spans="1:25" ht="15" customHeight="1" x14ac:dyDescent="0.35">
      <c r="A475" s="24"/>
      <c r="B475" s="38"/>
      <c r="C475" s="38"/>
      <c r="D475" s="38"/>
      <c r="E475" s="37"/>
      <c r="F475" s="38"/>
      <c r="G475" s="198"/>
      <c r="H475" s="198"/>
      <c r="I475" s="39"/>
      <c r="J475" s="38"/>
      <c r="K475" s="198"/>
      <c r="L475" s="38"/>
      <c r="M475" s="38"/>
      <c r="N475" s="38"/>
      <c r="O475" s="38"/>
      <c r="P475" s="40" t="str" cm="1">
        <f t="array" ref="P475">IF(N475="","",IFERROR(_xlfn.XLOOKUP(F475&amp;"|"&amp;J475&amp;"|"&amp;O475,PRICES!$C$2:$C$659&amp;"|"&amp;PRICES!$B$2:$B$659&amp;"|"&amp;PRICES!$D$2:$D$659,PRICES!$E$2:$E$659),"Not Found"))</f>
        <v/>
      </c>
      <c r="Q475" s="100" t="str">
        <f>IF(N475=0,"",SUMIFS(PRICES!$G$2:$G$658,PRICES!$B$2:$B$658,'MAIN TABLE-1 AUTOMATED'!J475,PRICES!$C$2:$C$658,'MAIN TABLE-1 AUTOMATED'!F475,PRICES!$D$2:$D$658,'MAIN TABLE-1 AUTOMATED'!O475))</f>
        <v/>
      </c>
      <c r="R475" s="41" t="str">
        <f>IF(Table1[[#This Row],[QUANTITY]]=0,"",Table1[[#This Row],[UNIT PRICE]]*Table1[[#This Row],[QUANTITY]])</f>
        <v/>
      </c>
      <c r="S475" s="89"/>
      <c r="T475" s="38"/>
      <c r="U475" s="43"/>
      <c r="V475" s="42" t="str">
        <f>IF(Table1[[#This Row],[DATE]]=0,"",YEAR(E475))</f>
        <v/>
      </c>
      <c r="W475" s="40" t="str">
        <f t="shared" si="14"/>
        <v/>
      </c>
      <c r="X475" s="40" t="str">
        <f t="shared" si="15"/>
        <v/>
      </c>
      <c r="Y475" s="40" t="str">
        <f>TEXT(Table1[[#This Row],[YEAR]],"0000")&amp;"-"&amp;Table1[[#This Row],[MONTH]]</f>
        <v>-</v>
      </c>
    </row>
    <row r="476" spans="1:25" ht="15" customHeight="1" x14ac:dyDescent="0.35">
      <c r="A476" s="24"/>
      <c r="B476" s="38"/>
      <c r="C476" s="38"/>
      <c r="D476" s="38"/>
      <c r="E476" s="37"/>
      <c r="F476" s="38"/>
      <c r="G476" s="198"/>
      <c r="H476" s="198"/>
      <c r="I476" s="39"/>
      <c r="J476" s="38"/>
      <c r="K476" s="198"/>
      <c r="L476" s="38"/>
      <c r="M476" s="38"/>
      <c r="N476" s="38"/>
      <c r="O476" s="38"/>
      <c r="P476" s="40" t="str" cm="1">
        <f t="array" ref="P476">IF(N476="","",IFERROR(_xlfn.XLOOKUP(F476&amp;"|"&amp;J476&amp;"|"&amp;O476,PRICES!$C$2:$C$659&amp;"|"&amp;PRICES!$B$2:$B$659&amp;"|"&amp;PRICES!$D$2:$D$659,PRICES!$E$2:$E$659),"Not Found"))</f>
        <v/>
      </c>
      <c r="Q476" s="100" t="str">
        <f>IF(N476=0,"",SUMIFS(PRICES!$G$2:$G$658,PRICES!$B$2:$B$658,'MAIN TABLE-1 AUTOMATED'!J476,PRICES!$C$2:$C$658,'MAIN TABLE-1 AUTOMATED'!F476,PRICES!$D$2:$D$658,'MAIN TABLE-1 AUTOMATED'!O476))</f>
        <v/>
      </c>
      <c r="R476" s="41" t="str">
        <f>IF(Table1[[#This Row],[QUANTITY]]=0,"",Table1[[#This Row],[UNIT PRICE]]*Table1[[#This Row],[QUANTITY]])</f>
        <v/>
      </c>
      <c r="S476" s="89"/>
      <c r="T476" s="38"/>
      <c r="U476" s="43"/>
      <c r="V476" s="42" t="str">
        <f>IF(Table1[[#This Row],[DATE]]=0,"",YEAR(E476))</f>
        <v/>
      </c>
      <c r="W476" s="40" t="str">
        <f t="shared" si="14"/>
        <v/>
      </c>
      <c r="X476" s="40" t="str">
        <f t="shared" si="15"/>
        <v/>
      </c>
      <c r="Y476" s="40" t="str">
        <f>TEXT(Table1[[#This Row],[YEAR]],"0000")&amp;"-"&amp;Table1[[#This Row],[MONTH]]</f>
        <v>-</v>
      </c>
    </row>
    <row r="477" spans="1:25" ht="15" customHeight="1" x14ac:dyDescent="0.35">
      <c r="A477" s="24"/>
      <c r="B477" s="38"/>
      <c r="C477" s="38"/>
      <c r="D477" s="38"/>
      <c r="E477" s="37"/>
      <c r="F477" s="38"/>
      <c r="G477" s="198"/>
      <c r="H477" s="198"/>
      <c r="I477" s="39"/>
      <c r="J477" s="38"/>
      <c r="K477" s="198"/>
      <c r="L477" s="38"/>
      <c r="M477" s="38"/>
      <c r="N477" s="38"/>
      <c r="O477" s="38"/>
      <c r="P477" s="40" t="str" cm="1">
        <f t="array" ref="P477">IF(N477="","",IFERROR(_xlfn.XLOOKUP(F477&amp;"|"&amp;J477&amp;"|"&amp;O477,PRICES!$C$2:$C$659&amp;"|"&amp;PRICES!$B$2:$B$659&amp;"|"&amp;PRICES!$D$2:$D$659,PRICES!$E$2:$E$659),"Not Found"))</f>
        <v/>
      </c>
      <c r="Q477" s="100" t="str">
        <f>IF(N477=0,"",SUMIFS(PRICES!$G$2:$G$658,PRICES!$B$2:$B$658,'MAIN TABLE-1 AUTOMATED'!J477,PRICES!$C$2:$C$658,'MAIN TABLE-1 AUTOMATED'!F477,PRICES!$D$2:$D$658,'MAIN TABLE-1 AUTOMATED'!O477))</f>
        <v/>
      </c>
      <c r="R477" s="41" t="str">
        <f>IF(Table1[[#This Row],[QUANTITY]]=0,"",Table1[[#This Row],[UNIT PRICE]]*Table1[[#This Row],[QUANTITY]])</f>
        <v/>
      </c>
      <c r="S477" s="89"/>
      <c r="T477" s="38"/>
      <c r="U477" s="43"/>
      <c r="V477" s="42" t="str">
        <f>IF(Table1[[#This Row],[DATE]]=0,"",YEAR(E477))</f>
        <v/>
      </c>
      <c r="W477" s="40" t="str">
        <f t="shared" si="14"/>
        <v/>
      </c>
      <c r="X477" s="40" t="str">
        <f t="shared" si="15"/>
        <v/>
      </c>
      <c r="Y477" s="40" t="str">
        <f>TEXT(Table1[[#This Row],[YEAR]],"0000")&amp;"-"&amp;Table1[[#This Row],[MONTH]]</f>
        <v>-</v>
      </c>
    </row>
    <row r="478" spans="1:25" ht="15" customHeight="1" x14ac:dyDescent="0.35">
      <c r="A478" s="24"/>
      <c r="B478" s="38"/>
      <c r="C478" s="38"/>
      <c r="D478" s="38"/>
      <c r="E478" s="37"/>
      <c r="F478" s="38"/>
      <c r="G478" s="198"/>
      <c r="H478" s="198"/>
      <c r="I478" s="39"/>
      <c r="J478" s="38"/>
      <c r="K478" s="198"/>
      <c r="L478" s="38"/>
      <c r="M478" s="38"/>
      <c r="N478" s="38"/>
      <c r="O478" s="38"/>
      <c r="P478" s="40" t="str" cm="1">
        <f t="array" ref="P478">IF(N478="","",IFERROR(_xlfn.XLOOKUP(F478&amp;"|"&amp;J478&amp;"|"&amp;O478,PRICES!$C$2:$C$659&amp;"|"&amp;PRICES!$B$2:$B$659&amp;"|"&amp;PRICES!$D$2:$D$659,PRICES!$E$2:$E$659),"Not Found"))</f>
        <v/>
      </c>
      <c r="Q478" s="100" t="str">
        <f>IF(N478=0,"",SUMIFS(PRICES!$G$2:$G$658,PRICES!$B$2:$B$658,'MAIN TABLE-1 AUTOMATED'!J478,PRICES!$C$2:$C$658,'MAIN TABLE-1 AUTOMATED'!F478,PRICES!$D$2:$D$658,'MAIN TABLE-1 AUTOMATED'!O478))</f>
        <v/>
      </c>
      <c r="R478" s="41" t="str">
        <f>IF(Table1[[#This Row],[QUANTITY]]=0,"",Table1[[#This Row],[UNIT PRICE]]*Table1[[#This Row],[QUANTITY]])</f>
        <v/>
      </c>
      <c r="S478" s="89"/>
      <c r="T478" s="38"/>
      <c r="U478" s="43"/>
      <c r="V478" s="42" t="str">
        <f>IF(Table1[[#This Row],[DATE]]=0,"",YEAR(E478))</f>
        <v/>
      </c>
      <c r="W478" s="40" t="str">
        <f t="shared" si="14"/>
        <v/>
      </c>
      <c r="X478" s="40" t="str">
        <f t="shared" si="15"/>
        <v/>
      </c>
      <c r="Y478" s="40" t="str">
        <f>TEXT(Table1[[#This Row],[YEAR]],"0000")&amp;"-"&amp;Table1[[#This Row],[MONTH]]</f>
        <v>-</v>
      </c>
    </row>
    <row r="479" spans="1:25" ht="15" customHeight="1" x14ac:dyDescent="0.35">
      <c r="A479" s="24"/>
      <c r="B479" s="38"/>
      <c r="C479" s="38"/>
      <c r="D479" s="38"/>
      <c r="E479" s="37"/>
      <c r="F479" s="38"/>
      <c r="G479" s="198"/>
      <c r="H479" s="198"/>
      <c r="I479" s="39"/>
      <c r="J479" s="38"/>
      <c r="K479" s="198"/>
      <c r="L479" s="38"/>
      <c r="M479" s="38"/>
      <c r="N479" s="38"/>
      <c r="O479" s="38"/>
      <c r="P479" s="40" t="str" cm="1">
        <f t="array" ref="P479">IF(N479="","",IFERROR(_xlfn.XLOOKUP(F479&amp;"|"&amp;J479&amp;"|"&amp;O479,PRICES!$C$2:$C$659&amp;"|"&amp;PRICES!$B$2:$B$659&amp;"|"&amp;PRICES!$D$2:$D$659,PRICES!$E$2:$E$659),"Not Found"))</f>
        <v/>
      </c>
      <c r="Q479" s="100" t="str">
        <f>IF(N479=0,"",SUMIFS(PRICES!$G$2:$G$658,PRICES!$B$2:$B$658,'MAIN TABLE-1 AUTOMATED'!J479,PRICES!$C$2:$C$658,'MAIN TABLE-1 AUTOMATED'!F479,PRICES!$D$2:$D$658,'MAIN TABLE-1 AUTOMATED'!O479))</f>
        <v/>
      </c>
      <c r="R479" s="41" t="str">
        <f>IF(Table1[[#This Row],[QUANTITY]]=0,"",Table1[[#This Row],[UNIT PRICE]]*Table1[[#This Row],[QUANTITY]])</f>
        <v/>
      </c>
      <c r="S479" s="89"/>
      <c r="T479" s="38"/>
      <c r="U479" s="43"/>
      <c r="V479" s="42" t="str">
        <f>IF(Table1[[#This Row],[DATE]]=0,"",YEAR(E479))</f>
        <v/>
      </c>
      <c r="W479" s="40" t="str">
        <f t="shared" ref="W479:W542" si="16">IF(E479=0,"",MONTH(E479))</f>
        <v/>
      </c>
      <c r="X479" s="40" t="str">
        <f t="shared" ref="X479:X542" si="17">IF(E479=0,"",WEEKNUM(E479))</f>
        <v/>
      </c>
      <c r="Y479" s="40" t="str">
        <f>TEXT(Table1[[#This Row],[YEAR]],"0000")&amp;"-"&amp;Table1[[#This Row],[MONTH]]</f>
        <v>-</v>
      </c>
    </row>
    <row r="480" spans="1:25" ht="15" customHeight="1" x14ac:dyDescent="0.35">
      <c r="A480" s="24"/>
      <c r="B480" s="38"/>
      <c r="C480" s="38"/>
      <c r="D480" s="38"/>
      <c r="E480" s="37"/>
      <c r="F480" s="38"/>
      <c r="G480" s="198"/>
      <c r="H480" s="198"/>
      <c r="I480" s="39"/>
      <c r="J480" s="38"/>
      <c r="K480" s="198"/>
      <c r="L480" s="38"/>
      <c r="M480" s="38"/>
      <c r="N480" s="38"/>
      <c r="O480" s="38"/>
      <c r="P480" s="40" t="str" cm="1">
        <f t="array" ref="P480">IF(N480="","",IFERROR(_xlfn.XLOOKUP(F480&amp;"|"&amp;J480&amp;"|"&amp;O480,PRICES!$C$2:$C$659&amp;"|"&amp;PRICES!$B$2:$B$659&amp;"|"&amp;PRICES!$D$2:$D$659,PRICES!$E$2:$E$659),"Not Found"))</f>
        <v/>
      </c>
      <c r="Q480" s="100" t="str">
        <f>IF(N480=0,"",SUMIFS(PRICES!$G$2:$G$658,PRICES!$B$2:$B$658,'MAIN TABLE-1 AUTOMATED'!J480,PRICES!$C$2:$C$658,'MAIN TABLE-1 AUTOMATED'!F480,PRICES!$D$2:$D$658,'MAIN TABLE-1 AUTOMATED'!O480))</f>
        <v/>
      </c>
      <c r="R480" s="41" t="str">
        <f>IF(Table1[[#This Row],[QUANTITY]]=0,"",Table1[[#This Row],[UNIT PRICE]]*Table1[[#This Row],[QUANTITY]])</f>
        <v/>
      </c>
      <c r="S480" s="89"/>
      <c r="T480" s="38"/>
      <c r="U480" s="43"/>
      <c r="V480" s="42" t="str">
        <f>IF(Table1[[#This Row],[DATE]]=0,"",YEAR(E480))</f>
        <v/>
      </c>
      <c r="W480" s="40" t="str">
        <f t="shared" si="16"/>
        <v/>
      </c>
      <c r="X480" s="40" t="str">
        <f t="shared" si="17"/>
        <v/>
      </c>
      <c r="Y480" s="40" t="str">
        <f>TEXT(Table1[[#This Row],[YEAR]],"0000")&amp;"-"&amp;Table1[[#This Row],[MONTH]]</f>
        <v>-</v>
      </c>
    </row>
    <row r="481" spans="1:30" ht="15" customHeight="1" x14ac:dyDescent="0.35">
      <c r="A481" s="24"/>
      <c r="B481" s="38"/>
      <c r="C481" s="38"/>
      <c r="D481" s="38"/>
      <c r="E481" s="37"/>
      <c r="F481" s="38"/>
      <c r="G481" s="198"/>
      <c r="H481" s="198"/>
      <c r="I481" s="39"/>
      <c r="J481" s="38"/>
      <c r="K481" s="198"/>
      <c r="L481" s="38"/>
      <c r="M481" s="38"/>
      <c r="N481" s="38"/>
      <c r="O481" s="38"/>
      <c r="P481" s="40" t="str" cm="1">
        <f t="array" ref="P481">IF(N481="","",IFERROR(_xlfn.XLOOKUP(F481&amp;"|"&amp;J481&amp;"|"&amp;O481,PRICES!$C$2:$C$659&amp;"|"&amp;PRICES!$B$2:$B$659&amp;"|"&amp;PRICES!$D$2:$D$659,PRICES!$E$2:$E$659),"Not Found"))</f>
        <v/>
      </c>
      <c r="Q481" s="100" t="str">
        <f>IF(N481=0,"",SUMIFS(PRICES!$G$2:$G$658,PRICES!$B$2:$B$658,'MAIN TABLE-1 AUTOMATED'!J481,PRICES!$C$2:$C$658,'MAIN TABLE-1 AUTOMATED'!F481,PRICES!$D$2:$D$658,'MAIN TABLE-1 AUTOMATED'!O481))</f>
        <v/>
      </c>
      <c r="R481" s="41" t="str">
        <f>IF(Table1[[#This Row],[QUANTITY]]=0,"",Table1[[#This Row],[UNIT PRICE]]*Table1[[#This Row],[QUANTITY]])</f>
        <v/>
      </c>
      <c r="S481" s="89"/>
      <c r="T481" s="38"/>
      <c r="U481" s="43"/>
      <c r="V481" s="42" t="str">
        <f>IF(Table1[[#This Row],[DATE]]=0,"",YEAR(E481))</f>
        <v/>
      </c>
      <c r="W481" s="40" t="str">
        <f t="shared" si="16"/>
        <v/>
      </c>
      <c r="X481" s="40" t="str">
        <f t="shared" si="17"/>
        <v/>
      </c>
      <c r="Y481" s="40" t="str">
        <f>TEXT(Table1[[#This Row],[YEAR]],"0000")&amp;"-"&amp;Table1[[#This Row],[MONTH]]</f>
        <v>-</v>
      </c>
    </row>
    <row r="482" spans="1:30" ht="15" customHeight="1" x14ac:dyDescent="0.35">
      <c r="A482" s="24"/>
      <c r="B482" s="38"/>
      <c r="C482" s="38"/>
      <c r="D482" s="38"/>
      <c r="E482" s="37"/>
      <c r="F482" s="38"/>
      <c r="G482" s="198"/>
      <c r="H482" s="198"/>
      <c r="I482" s="39"/>
      <c r="J482" s="38"/>
      <c r="K482" s="198"/>
      <c r="L482" s="38"/>
      <c r="M482" s="38"/>
      <c r="N482" s="38"/>
      <c r="O482" s="38"/>
      <c r="P482" s="40" t="str" cm="1">
        <f t="array" ref="P482">IF(N482="","",IFERROR(_xlfn.XLOOKUP(F482&amp;"|"&amp;J482&amp;"|"&amp;O482,PRICES!$C$2:$C$659&amp;"|"&amp;PRICES!$B$2:$B$659&amp;"|"&amp;PRICES!$D$2:$D$659,PRICES!$E$2:$E$659),"Not Found"))</f>
        <v/>
      </c>
      <c r="Q482" s="100" t="str">
        <f>IF(N482=0,"",SUMIFS(PRICES!$G$2:$G$658,PRICES!$B$2:$B$658,'MAIN TABLE-1 AUTOMATED'!J482,PRICES!$C$2:$C$658,'MAIN TABLE-1 AUTOMATED'!F482,PRICES!$D$2:$D$658,'MAIN TABLE-1 AUTOMATED'!O482))</f>
        <v/>
      </c>
      <c r="R482" s="41" t="str">
        <f>IF(Table1[[#This Row],[QUANTITY]]=0,"",Table1[[#This Row],[UNIT PRICE]]*Table1[[#This Row],[QUANTITY]])</f>
        <v/>
      </c>
      <c r="S482" s="89"/>
      <c r="T482" s="38"/>
      <c r="U482" s="43"/>
      <c r="V482" s="42" t="str">
        <f>IF(Table1[[#This Row],[DATE]]=0,"",YEAR(E482))</f>
        <v/>
      </c>
      <c r="W482" s="40" t="str">
        <f t="shared" si="16"/>
        <v/>
      </c>
      <c r="X482" s="40" t="str">
        <f t="shared" si="17"/>
        <v/>
      </c>
      <c r="Y482" s="40" t="str">
        <f>TEXT(Table1[[#This Row],[YEAR]],"0000")&amp;"-"&amp;Table1[[#This Row],[MONTH]]</f>
        <v>-</v>
      </c>
    </row>
    <row r="483" spans="1:30" ht="15" customHeight="1" x14ac:dyDescent="0.35">
      <c r="A483" s="24"/>
      <c r="B483" s="38"/>
      <c r="C483" s="38"/>
      <c r="D483" s="38"/>
      <c r="E483" s="37"/>
      <c r="F483" s="38"/>
      <c r="G483" s="198"/>
      <c r="H483" s="198"/>
      <c r="I483" s="39"/>
      <c r="J483" s="38"/>
      <c r="K483" s="198"/>
      <c r="L483" s="38"/>
      <c r="M483" s="38"/>
      <c r="N483" s="38"/>
      <c r="O483" s="38"/>
      <c r="P483" s="40" t="str" cm="1">
        <f t="array" ref="P483">IF(N483="","",IFERROR(_xlfn.XLOOKUP(F483&amp;"|"&amp;J483&amp;"|"&amp;O483,PRICES!$C$2:$C$659&amp;"|"&amp;PRICES!$B$2:$B$659&amp;"|"&amp;PRICES!$D$2:$D$659,PRICES!$E$2:$E$659),"Not Found"))</f>
        <v/>
      </c>
      <c r="Q483" s="100" t="str">
        <f>IF(N483=0,"",SUMIFS(PRICES!$G$2:$G$658,PRICES!$B$2:$B$658,'MAIN TABLE-1 AUTOMATED'!J483,PRICES!$C$2:$C$658,'MAIN TABLE-1 AUTOMATED'!F483,PRICES!$D$2:$D$658,'MAIN TABLE-1 AUTOMATED'!O483))</f>
        <v/>
      </c>
      <c r="R483" s="41" t="str">
        <f>IF(Table1[[#This Row],[QUANTITY]]=0,"",Table1[[#This Row],[UNIT PRICE]]*Table1[[#This Row],[QUANTITY]])</f>
        <v/>
      </c>
      <c r="S483" s="89"/>
      <c r="T483" s="38"/>
      <c r="U483" s="43"/>
      <c r="V483" s="42" t="str">
        <f>IF(Table1[[#This Row],[DATE]]=0,"",YEAR(E483))</f>
        <v/>
      </c>
      <c r="W483" s="40" t="str">
        <f t="shared" si="16"/>
        <v/>
      </c>
      <c r="X483" s="40" t="str">
        <f t="shared" si="17"/>
        <v/>
      </c>
      <c r="Y483" s="40" t="str">
        <f>TEXT(Table1[[#This Row],[YEAR]],"0000")&amp;"-"&amp;Table1[[#This Row],[MONTH]]</f>
        <v>-</v>
      </c>
    </row>
    <row r="484" spans="1:30" ht="15" customHeight="1" x14ac:dyDescent="0.35">
      <c r="A484" s="24"/>
      <c r="B484" s="38"/>
      <c r="C484" s="38"/>
      <c r="D484" s="38"/>
      <c r="E484" s="37"/>
      <c r="F484" s="38"/>
      <c r="G484" s="198"/>
      <c r="H484" s="198"/>
      <c r="I484" s="39"/>
      <c r="J484" s="38"/>
      <c r="K484" s="198"/>
      <c r="L484" s="38"/>
      <c r="M484" s="38"/>
      <c r="N484" s="38"/>
      <c r="O484" s="38"/>
      <c r="P484" s="40" t="str" cm="1">
        <f t="array" ref="P484">IF(N484="","",IFERROR(_xlfn.XLOOKUP(F484&amp;"|"&amp;J484&amp;"|"&amp;O484,PRICES!$C$2:$C$659&amp;"|"&amp;PRICES!$B$2:$B$659&amp;"|"&amp;PRICES!$D$2:$D$659,PRICES!$E$2:$E$659),"Not Found"))</f>
        <v/>
      </c>
      <c r="Q484" s="100" t="str">
        <f>IF(N484=0,"",SUMIFS(PRICES!$G$2:$G$658,PRICES!$B$2:$B$658,'MAIN TABLE-1 AUTOMATED'!J484,PRICES!$C$2:$C$658,'MAIN TABLE-1 AUTOMATED'!F484,PRICES!$D$2:$D$658,'MAIN TABLE-1 AUTOMATED'!O484))</f>
        <v/>
      </c>
      <c r="R484" s="41" t="str">
        <f>IF(Table1[[#This Row],[QUANTITY]]=0,"",Table1[[#This Row],[UNIT PRICE]]*Table1[[#This Row],[QUANTITY]])</f>
        <v/>
      </c>
      <c r="S484" s="89"/>
      <c r="T484" s="38"/>
      <c r="U484" s="43"/>
      <c r="V484" s="42" t="str">
        <f>IF(Table1[[#This Row],[DATE]]=0,"",YEAR(E484))</f>
        <v/>
      </c>
      <c r="W484" s="40" t="str">
        <f t="shared" si="16"/>
        <v/>
      </c>
      <c r="X484" s="40" t="str">
        <f t="shared" si="17"/>
        <v/>
      </c>
      <c r="Y484" s="40" t="str">
        <f>TEXT(Table1[[#This Row],[YEAR]],"0000")&amp;"-"&amp;Table1[[#This Row],[MONTH]]</f>
        <v>-</v>
      </c>
    </row>
    <row r="485" spans="1:30" ht="15" customHeight="1" x14ac:dyDescent="0.35">
      <c r="A485" s="24"/>
      <c r="B485" s="38"/>
      <c r="C485" s="38"/>
      <c r="D485" s="38"/>
      <c r="E485" s="37"/>
      <c r="F485" s="38"/>
      <c r="G485" s="198"/>
      <c r="H485" s="198"/>
      <c r="I485" s="39"/>
      <c r="J485" s="38"/>
      <c r="K485" s="198"/>
      <c r="L485" s="38"/>
      <c r="M485" s="38"/>
      <c r="N485" s="38"/>
      <c r="O485" s="38"/>
      <c r="P485" s="40" t="str" cm="1">
        <f t="array" ref="P485">IF(N485="","",IFERROR(_xlfn.XLOOKUP(F485&amp;"|"&amp;J485&amp;"|"&amp;O485,PRICES!$C$2:$C$659&amp;"|"&amp;PRICES!$B$2:$B$659&amp;"|"&amp;PRICES!$D$2:$D$659,PRICES!$E$2:$E$659),"Not Found"))</f>
        <v/>
      </c>
      <c r="Q485" s="100" t="str">
        <f>IF(N485=0,"",SUMIFS(PRICES!$G$2:$G$658,PRICES!$B$2:$B$658,'MAIN TABLE-1 AUTOMATED'!J485,PRICES!$C$2:$C$658,'MAIN TABLE-1 AUTOMATED'!F485,PRICES!$D$2:$D$658,'MAIN TABLE-1 AUTOMATED'!O485))</f>
        <v/>
      </c>
      <c r="R485" s="41" t="str">
        <f>IF(Table1[[#This Row],[QUANTITY]]=0,"",Table1[[#This Row],[UNIT PRICE]]*Table1[[#This Row],[QUANTITY]])</f>
        <v/>
      </c>
      <c r="S485" s="89"/>
      <c r="T485" s="38"/>
      <c r="U485" s="43"/>
      <c r="V485" s="42" t="str">
        <f>IF(Table1[[#This Row],[DATE]]=0,"",YEAR(E485))</f>
        <v/>
      </c>
      <c r="W485" s="40" t="str">
        <f t="shared" si="16"/>
        <v/>
      </c>
      <c r="X485" s="40" t="str">
        <f t="shared" si="17"/>
        <v/>
      </c>
      <c r="Y485" s="40" t="str">
        <f>TEXT(Table1[[#This Row],[YEAR]],"0000")&amp;"-"&amp;Table1[[#This Row],[MONTH]]</f>
        <v>-</v>
      </c>
    </row>
    <row r="486" spans="1:30" ht="15" customHeight="1" x14ac:dyDescent="0.35">
      <c r="A486" s="24"/>
      <c r="B486" s="38"/>
      <c r="C486" s="38"/>
      <c r="D486" s="38"/>
      <c r="E486" s="37"/>
      <c r="F486" s="38"/>
      <c r="G486" s="198"/>
      <c r="H486" s="198"/>
      <c r="I486" s="39"/>
      <c r="J486" s="38"/>
      <c r="K486" s="198"/>
      <c r="L486" s="38"/>
      <c r="M486" s="38"/>
      <c r="N486" s="38"/>
      <c r="O486" s="38"/>
      <c r="P486" s="40" t="str" cm="1">
        <f t="array" ref="P486">IF(N486="","",IFERROR(_xlfn.XLOOKUP(F486&amp;"|"&amp;J486&amp;"|"&amp;O486,PRICES!$C$2:$C$659&amp;"|"&amp;PRICES!$B$2:$B$659&amp;"|"&amp;PRICES!$D$2:$D$659,PRICES!$E$2:$E$659),"Not Found"))</f>
        <v/>
      </c>
      <c r="Q486" s="100" t="str">
        <f>IF(N486=0,"",SUMIFS(PRICES!$G$2:$G$658,PRICES!$B$2:$B$658,'MAIN TABLE-1 AUTOMATED'!J486,PRICES!$C$2:$C$658,'MAIN TABLE-1 AUTOMATED'!F486,PRICES!$D$2:$D$658,'MAIN TABLE-1 AUTOMATED'!O486))</f>
        <v/>
      </c>
      <c r="R486" s="41" t="str">
        <f>IF(Table1[[#This Row],[QUANTITY]]=0,"",Table1[[#This Row],[UNIT PRICE]]*Table1[[#This Row],[QUANTITY]])</f>
        <v/>
      </c>
      <c r="S486" s="89"/>
      <c r="T486" s="38"/>
      <c r="U486" s="43"/>
      <c r="V486" s="42" t="str">
        <f>IF(Table1[[#This Row],[DATE]]=0,"",YEAR(E486))</f>
        <v/>
      </c>
      <c r="W486" s="40" t="str">
        <f t="shared" si="16"/>
        <v/>
      </c>
      <c r="X486" s="40" t="str">
        <f t="shared" si="17"/>
        <v/>
      </c>
      <c r="Y486" s="40" t="str">
        <f>TEXT(Table1[[#This Row],[YEAR]],"0000")&amp;"-"&amp;Table1[[#This Row],[MONTH]]</f>
        <v>-</v>
      </c>
    </row>
    <row r="487" spans="1:30" ht="15" customHeight="1" x14ac:dyDescent="0.35">
      <c r="A487" s="24"/>
      <c r="B487" s="38"/>
      <c r="C487" s="38"/>
      <c r="D487" s="38"/>
      <c r="E487" s="37"/>
      <c r="F487" s="38"/>
      <c r="G487" s="198"/>
      <c r="H487" s="198"/>
      <c r="I487" s="39"/>
      <c r="J487" s="38"/>
      <c r="K487" s="198"/>
      <c r="L487" s="38"/>
      <c r="M487" s="38"/>
      <c r="N487" s="38"/>
      <c r="O487" s="38"/>
      <c r="P487" s="40" t="str" cm="1">
        <f t="array" ref="P487">IF(N487="","",IFERROR(_xlfn.XLOOKUP(F487&amp;"|"&amp;J487&amp;"|"&amp;O487,PRICES!$C$2:$C$659&amp;"|"&amp;PRICES!$B$2:$B$659&amp;"|"&amp;PRICES!$D$2:$D$659,PRICES!$E$2:$E$659),"Not Found"))</f>
        <v/>
      </c>
      <c r="Q487" s="100" t="str">
        <f>IF(N487=0,"",SUMIFS(PRICES!$G$2:$G$658,PRICES!$B$2:$B$658,'MAIN TABLE-1 AUTOMATED'!J487,PRICES!$C$2:$C$658,'MAIN TABLE-1 AUTOMATED'!F487,PRICES!$D$2:$D$658,'MAIN TABLE-1 AUTOMATED'!O487))</f>
        <v/>
      </c>
      <c r="R487" s="41" t="str">
        <f>IF(Table1[[#This Row],[QUANTITY]]=0,"",Table1[[#This Row],[UNIT PRICE]]*Table1[[#This Row],[QUANTITY]])</f>
        <v/>
      </c>
      <c r="S487" s="89"/>
      <c r="T487" s="38"/>
      <c r="U487" s="43"/>
      <c r="V487" s="42" t="str">
        <f>IF(Table1[[#This Row],[DATE]]=0,"",YEAR(E487))</f>
        <v/>
      </c>
      <c r="W487" s="40" t="str">
        <f t="shared" si="16"/>
        <v/>
      </c>
      <c r="X487" s="40" t="str">
        <f t="shared" si="17"/>
        <v/>
      </c>
      <c r="Y487" s="40" t="str">
        <f>TEXT(Table1[[#This Row],[YEAR]],"0000")&amp;"-"&amp;Table1[[#This Row],[MONTH]]</f>
        <v>-</v>
      </c>
    </row>
    <row r="488" spans="1:30" ht="15" customHeight="1" x14ac:dyDescent="0.35">
      <c r="A488" s="24"/>
      <c r="B488" s="38"/>
      <c r="C488" s="38"/>
      <c r="D488" s="38"/>
      <c r="E488" s="37"/>
      <c r="F488" s="38"/>
      <c r="G488" s="198"/>
      <c r="H488" s="198"/>
      <c r="I488" s="39"/>
      <c r="J488" s="38"/>
      <c r="K488" s="198"/>
      <c r="L488" s="38"/>
      <c r="M488" s="38"/>
      <c r="N488" s="38"/>
      <c r="O488" s="38"/>
      <c r="P488" s="40" t="str" cm="1">
        <f t="array" ref="P488">IF(N488="","",IFERROR(_xlfn.XLOOKUP(F488&amp;"|"&amp;J488&amp;"|"&amp;O488,PRICES!$C$2:$C$659&amp;"|"&amp;PRICES!$B$2:$B$659&amp;"|"&amp;PRICES!$D$2:$D$659,PRICES!$E$2:$E$659),"Not Found"))</f>
        <v/>
      </c>
      <c r="Q488" s="100" t="str">
        <f>IF(N488=0,"",SUMIFS(PRICES!$G$2:$G$658,PRICES!$B$2:$B$658,'MAIN TABLE-1 AUTOMATED'!J488,PRICES!$C$2:$C$658,'MAIN TABLE-1 AUTOMATED'!F488,PRICES!$D$2:$D$658,'MAIN TABLE-1 AUTOMATED'!O488))</f>
        <v/>
      </c>
      <c r="R488" s="41" t="str">
        <f>IF(Table1[[#This Row],[QUANTITY]]=0,"",Table1[[#This Row],[UNIT PRICE]]*Table1[[#This Row],[QUANTITY]])</f>
        <v/>
      </c>
      <c r="S488" s="89"/>
      <c r="T488" s="38"/>
      <c r="U488" s="43"/>
      <c r="V488" s="42" t="str">
        <f>IF(Table1[[#This Row],[DATE]]=0,"",YEAR(E488))</f>
        <v/>
      </c>
      <c r="W488" s="40" t="str">
        <f t="shared" si="16"/>
        <v/>
      </c>
      <c r="X488" s="40" t="str">
        <f t="shared" si="17"/>
        <v/>
      </c>
      <c r="Y488" s="40" t="str">
        <f>TEXT(Table1[[#This Row],[YEAR]],"0000")&amp;"-"&amp;Table1[[#This Row],[MONTH]]</f>
        <v>-</v>
      </c>
    </row>
    <row r="489" spans="1:30" ht="15" customHeight="1" x14ac:dyDescent="0.35">
      <c r="A489" s="24"/>
      <c r="B489" s="38"/>
      <c r="C489" s="38"/>
      <c r="D489" s="38"/>
      <c r="E489" s="37"/>
      <c r="F489" s="38"/>
      <c r="G489" s="198"/>
      <c r="H489" s="198"/>
      <c r="I489" s="39"/>
      <c r="J489" s="38"/>
      <c r="K489" s="198"/>
      <c r="L489" s="38"/>
      <c r="M489" s="38"/>
      <c r="N489" s="38"/>
      <c r="O489" s="38"/>
      <c r="P489" s="40" t="str" cm="1">
        <f t="array" ref="P489">IF(N489="","",IFERROR(_xlfn.XLOOKUP(F489&amp;"|"&amp;J489&amp;"|"&amp;O489,PRICES!$C$2:$C$659&amp;"|"&amp;PRICES!$B$2:$B$659&amp;"|"&amp;PRICES!$D$2:$D$659,PRICES!$E$2:$E$659),"Not Found"))</f>
        <v/>
      </c>
      <c r="Q489" s="100" t="str">
        <f>IF(N489=0,"",SUMIFS(PRICES!$G$2:$G$658,PRICES!$B$2:$B$658,'MAIN TABLE-1 AUTOMATED'!J489,PRICES!$C$2:$C$658,'MAIN TABLE-1 AUTOMATED'!F489,PRICES!$D$2:$D$658,'MAIN TABLE-1 AUTOMATED'!O489))</f>
        <v/>
      </c>
      <c r="R489" s="41" t="str">
        <f>IF(Table1[[#This Row],[QUANTITY]]=0,"",Table1[[#This Row],[UNIT PRICE]]*Table1[[#This Row],[QUANTITY]])</f>
        <v/>
      </c>
      <c r="S489" s="89"/>
      <c r="T489" s="38"/>
      <c r="U489" s="43"/>
      <c r="V489" s="42" t="str">
        <f>IF(Table1[[#This Row],[DATE]]=0,"",YEAR(E489))</f>
        <v/>
      </c>
      <c r="W489" s="40" t="str">
        <f t="shared" si="16"/>
        <v/>
      </c>
      <c r="X489" s="40" t="str">
        <f t="shared" si="17"/>
        <v/>
      </c>
      <c r="Y489" s="40" t="str">
        <f>TEXT(Table1[[#This Row],[YEAR]],"0000")&amp;"-"&amp;Table1[[#This Row],[MONTH]]</f>
        <v>-</v>
      </c>
    </row>
    <row r="490" spans="1:30" ht="15" customHeight="1" x14ac:dyDescent="0.35">
      <c r="A490" s="24"/>
      <c r="B490" s="38"/>
      <c r="C490" s="38"/>
      <c r="D490" s="38"/>
      <c r="E490" s="37"/>
      <c r="F490" s="38"/>
      <c r="G490" s="198"/>
      <c r="H490" s="198"/>
      <c r="I490" s="39"/>
      <c r="J490" s="38"/>
      <c r="K490" s="198"/>
      <c r="L490" s="38"/>
      <c r="M490" s="38"/>
      <c r="N490" s="38"/>
      <c r="O490" s="38"/>
      <c r="P490" s="40" t="str" cm="1">
        <f t="array" ref="P490">IF(N490="","",IFERROR(_xlfn.XLOOKUP(F490&amp;"|"&amp;J490&amp;"|"&amp;O490,PRICES!$C$2:$C$659&amp;"|"&amp;PRICES!$B$2:$B$659&amp;"|"&amp;PRICES!$D$2:$D$659,PRICES!$E$2:$E$659),"Not Found"))</f>
        <v/>
      </c>
      <c r="Q490" s="100" t="str">
        <f>IF(N490=0,"",SUMIFS(PRICES!$G$2:$G$658,PRICES!$B$2:$B$658,'MAIN TABLE-1 AUTOMATED'!J490,PRICES!$C$2:$C$658,'MAIN TABLE-1 AUTOMATED'!F490,PRICES!$D$2:$D$658,'MAIN TABLE-1 AUTOMATED'!O490))</f>
        <v/>
      </c>
      <c r="R490" s="41" t="str">
        <f>IF(Table1[[#This Row],[QUANTITY]]=0,"",Table1[[#This Row],[UNIT PRICE]]*Table1[[#This Row],[QUANTITY]])</f>
        <v/>
      </c>
      <c r="S490" s="89"/>
      <c r="T490" s="38"/>
      <c r="U490" s="43"/>
      <c r="V490" s="42" t="str">
        <f>IF(Table1[[#This Row],[DATE]]=0,"",YEAR(E490))</f>
        <v/>
      </c>
      <c r="W490" s="40" t="str">
        <f t="shared" si="16"/>
        <v/>
      </c>
      <c r="X490" s="40" t="str">
        <f t="shared" si="17"/>
        <v/>
      </c>
      <c r="Y490" s="40" t="str">
        <f>TEXT(Table1[[#This Row],[YEAR]],"0000")&amp;"-"&amp;Table1[[#This Row],[MONTH]]</f>
        <v>-</v>
      </c>
    </row>
    <row r="491" spans="1:30" ht="15" customHeight="1" x14ac:dyDescent="0.35">
      <c r="A491" s="24"/>
      <c r="B491" s="38"/>
      <c r="C491" s="38"/>
      <c r="D491" s="38"/>
      <c r="E491" s="37"/>
      <c r="F491" s="38"/>
      <c r="G491" s="198"/>
      <c r="H491" s="198"/>
      <c r="I491" s="39"/>
      <c r="J491" s="38"/>
      <c r="K491" s="198"/>
      <c r="L491" s="38"/>
      <c r="M491" s="38"/>
      <c r="N491" s="38"/>
      <c r="O491" s="38"/>
      <c r="P491" s="40" t="str" cm="1">
        <f t="array" ref="P491">IF(N491="","",IFERROR(_xlfn.XLOOKUP(F491&amp;"|"&amp;J491&amp;"|"&amp;O491,PRICES!$C$2:$C$659&amp;"|"&amp;PRICES!$B$2:$B$659&amp;"|"&amp;PRICES!$D$2:$D$659,PRICES!$E$2:$E$659),"Not Found"))</f>
        <v/>
      </c>
      <c r="Q491" s="100" t="str">
        <f>IF(N491=0,"",SUMIFS(PRICES!$G$2:$G$658,PRICES!$B$2:$B$658,'MAIN TABLE-1 AUTOMATED'!J491,PRICES!$C$2:$C$658,'MAIN TABLE-1 AUTOMATED'!F491,PRICES!$D$2:$D$658,'MAIN TABLE-1 AUTOMATED'!O491))</f>
        <v/>
      </c>
      <c r="R491" s="41" t="str">
        <f>IF(Table1[[#This Row],[QUANTITY]]=0,"",Table1[[#This Row],[UNIT PRICE]]*Table1[[#This Row],[QUANTITY]])</f>
        <v/>
      </c>
      <c r="S491" s="89"/>
      <c r="T491" s="38"/>
      <c r="U491" s="43"/>
      <c r="V491" s="42" t="str">
        <f>IF(Table1[[#This Row],[DATE]]=0,"",YEAR(E491))</f>
        <v/>
      </c>
      <c r="W491" s="40" t="str">
        <f t="shared" si="16"/>
        <v/>
      </c>
      <c r="X491" s="40" t="str">
        <f t="shared" si="17"/>
        <v/>
      </c>
      <c r="Y491" s="40" t="str">
        <f>TEXT(Table1[[#This Row],[YEAR]],"0000")&amp;"-"&amp;Table1[[#This Row],[MONTH]]</f>
        <v>-</v>
      </c>
    </row>
    <row r="492" spans="1:30" ht="15" customHeight="1" x14ac:dyDescent="0.35">
      <c r="A492" s="24"/>
      <c r="B492" s="38"/>
      <c r="C492" s="38"/>
      <c r="D492" s="38"/>
      <c r="E492" s="37"/>
      <c r="F492" s="38"/>
      <c r="G492" s="198"/>
      <c r="H492" s="198"/>
      <c r="I492" s="39"/>
      <c r="J492" s="38"/>
      <c r="K492" s="198"/>
      <c r="L492" s="38"/>
      <c r="M492" s="38"/>
      <c r="N492" s="38"/>
      <c r="O492" s="38"/>
      <c r="P492" s="40" t="str" cm="1">
        <f t="array" ref="P492">IF(N492="","",IFERROR(_xlfn.XLOOKUP(F492&amp;"|"&amp;J492&amp;"|"&amp;O492,PRICES!$C$2:$C$659&amp;"|"&amp;PRICES!$B$2:$B$659&amp;"|"&amp;PRICES!$D$2:$D$659,PRICES!$E$2:$E$659),"Not Found"))</f>
        <v/>
      </c>
      <c r="Q492" s="100" t="str">
        <f>IF(N492=0,"",SUMIFS(PRICES!$G$2:$G$658,PRICES!$B$2:$B$658,'MAIN TABLE-1 AUTOMATED'!J492,PRICES!$C$2:$C$658,'MAIN TABLE-1 AUTOMATED'!F492,PRICES!$D$2:$D$658,'MAIN TABLE-1 AUTOMATED'!O492))</f>
        <v/>
      </c>
      <c r="R492" s="41" t="str">
        <f>IF(Table1[[#This Row],[QUANTITY]]=0,"",Table1[[#This Row],[UNIT PRICE]]*Table1[[#This Row],[QUANTITY]])</f>
        <v/>
      </c>
      <c r="S492" s="89"/>
      <c r="T492" s="38"/>
      <c r="U492" s="43"/>
      <c r="V492" s="42" t="str">
        <f>IF(Table1[[#This Row],[DATE]]=0,"",YEAR(E492))</f>
        <v/>
      </c>
      <c r="W492" s="40" t="str">
        <f t="shared" si="16"/>
        <v/>
      </c>
      <c r="X492" s="40" t="str">
        <f t="shared" si="17"/>
        <v/>
      </c>
      <c r="Y492" s="40" t="str">
        <f>TEXT(Table1[[#This Row],[YEAR]],"0000")&amp;"-"&amp;Table1[[#This Row],[MONTH]]</f>
        <v>-</v>
      </c>
    </row>
    <row r="493" spans="1:30" ht="15" customHeight="1" x14ac:dyDescent="0.35">
      <c r="A493" s="24"/>
      <c r="B493" s="38"/>
      <c r="C493" s="38"/>
      <c r="D493" s="38"/>
      <c r="E493" s="37"/>
      <c r="F493" s="38"/>
      <c r="G493" s="198"/>
      <c r="H493" s="198"/>
      <c r="I493" s="39"/>
      <c r="J493" s="38"/>
      <c r="K493" s="198"/>
      <c r="L493" s="38"/>
      <c r="M493" s="38"/>
      <c r="N493" s="38"/>
      <c r="O493" s="38"/>
      <c r="P493" s="40" t="str" cm="1">
        <f t="array" ref="P493">IF(N493="","",IFERROR(_xlfn.XLOOKUP(F493&amp;"|"&amp;J493&amp;"|"&amp;O493,PRICES!$C$2:$C$659&amp;"|"&amp;PRICES!$B$2:$B$659&amp;"|"&amp;PRICES!$D$2:$D$659,PRICES!$E$2:$E$659),"Not Found"))</f>
        <v/>
      </c>
      <c r="Q493" s="100" t="str">
        <f>IF(N493=0,"",SUMIFS(PRICES!$G$2:$G$658,PRICES!$B$2:$B$658,'MAIN TABLE-1 AUTOMATED'!J493,PRICES!$C$2:$C$658,'MAIN TABLE-1 AUTOMATED'!F493,PRICES!$D$2:$D$658,'MAIN TABLE-1 AUTOMATED'!O493))</f>
        <v/>
      </c>
      <c r="R493" s="41" t="str">
        <f>IF(Table1[[#This Row],[QUANTITY]]=0,"",Table1[[#This Row],[UNIT PRICE]]*Table1[[#This Row],[QUANTITY]])</f>
        <v/>
      </c>
      <c r="S493" s="89"/>
      <c r="T493" s="38"/>
      <c r="U493" s="43"/>
      <c r="V493" s="42" t="str">
        <f>IF(Table1[[#This Row],[DATE]]=0,"",YEAR(E493))</f>
        <v/>
      </c>
      <c r="W493" s="40" t="str">
        <f t="shared" si="16"/>
        <v/>
      </c>
      <c r="X493" s="40" t="str">
        <f t="shared" si="17"/>
        <v/>
      </c>
      <c r="Y493" s="40" t="str">
        <f>TEXT(Table1[[#This Row],[YEAR]],"0000")&amp;"-"&amp;Table1[[#This Row],[MONTH]]</f>
        <v>-</v>
      </c>
      <c r="AD493" s="23"/>
    </row>
    <row r="494" spans="1:30" ht="15" customHeight="1" x14ac:dyDescent="0.35">
      <c r="A494" s="24"/>
      <c r="B494" s="38"/>
      <c r="C494" s="38"/>
      <c r="D494" s="38"/>
      <c r="E494" s="37"/>
      <c r="F494" s="38"/>
      <c r="G494" s="198"/>
      <c r="H494" s="198"/>
      <c r="I494" s="39"/>
      <c r="J494" s="38"/>
      <c r="K494" s="198"/>
      <c r="L494" s="38"/>
      <c r="M494" s="38"/>
      <c r="N494" s="38"/>
      <c r="O494" s="38"/>
      <c r="P494" s="40" t="str" cm="1">
        <f t="array" ref="P494">IF(N494="","",IFERROR(_xlfn.XLOOKUP(F494&amp;"|"&amp;J494&amp;"|"&amp;O494,PRICES!$C$2:$C$659&amp;"|"&amp;PRICES!$B$2:$B$659&amp;"|"&amp;PRICES!$D$2:$D$659,PRICES!$E$2:$E$659),"Not Found"))</f>
        <v/>
      </c>
      <c r="Q494" s="100" t="str">
        <f>IF(N494=0,"",SUMIFS(PRICES!$G$2:$G$658,PRICES!$B$2:$B$658,'MAIN TABLE-1 AUTOMATED'!J494,PRICES!$C$2:$C$658,'MAIN TABLE-1 AUTOMATED'!F494,PRICES!$D$2:$D$658,'MAIN TABLE-1 AUTOMATED'!O494))</f>
        <v/>
      </c>
      <c r="R494" s="41" t="str">
        <f>IF(Table1[[#This Row],[QUANTITY]]=0,"",Table1[[#This Row],[UNIT PRICE]]*Table1[[#This Row],[QUANTITY]])</f>
        <v/>
      </c>
      <c r="S494" s="89"/>
      <c r="T494" s="38"/>
      <c r="U494" s="43"/>
      <c r="V494" s="42" t="str">
        <f>IF(Table1[[#This Row],[DATE]]=0,"",YEAR(E494))</f>
        <v/>
      </c>
      <c r="W494" s="40" t="str">
        <f t="shared" si="16"/>
        <v/>
      </c>
      <c r="X494" s="40" t="str">
        <f t="shared" si="17"/>
        <v/>
      </c>
      <c r="Y494" s="40" t="str">
        <f>TEXT(Table1[[#This Row],[YEAR]],"0000")&amp;"-"&amp;Table1[[#This Row],[MONTH]]</f>
        <v>-</v>
      </c>
      <c r="AD494" s="23"/>
    </row>
    <row r="495" spans="1:30" ht="15" customHeight="1" x14ac:dyDescent="0.35">
      <c r="A495" s="24"/>
      <c r="B495" s="38"/>
      <c r="C495" s="38"/>
      <c r="D495" s="38"/>
      <c r="E495" s="37"/>
      <c r="F495" s="38"/>
      <c r="G495" s="198"/>
      <c r="H495" s="198"/>
      <c r="I495" s="39"/>
      <c r="J495" s="38"/>
      <c r="K495" s="198"/>
      <c r="L495" s="38"/>
      <c r="M495" s="38"/>
      <c r="N495" s="38"/>
      <c r="O495" s="38"/>
      <c r="P495" s="40" t="str" cm="1">
        <f t="array" ref="P495">IF(N495="","",IFERROR(_xlfn.XLOOKUP(F495&amp;"|"&amp;J495&amp;"|"&amp;O495,PRICES!$C$2:$C$659&amp;"|"&amp;PRICES!$B$2:$B$659&amp;"|"&amp;PRICES!$D$2:$D$659,PRICES!$E$2:$E$659),"Not Found"))</f>
        <v/>
      </c>
      <c r="Q495" s="100" t="str">
        <f>IF(N495=0,"",SUMIFS(PRICES!$G$2:$G$658,PRICES!$B$2:$B$658,'MAIN TABLE-1 AUTOMATED'!J495,PRICES!$C$2:$C$658,'MAIN TABLE-1 AUTOMATED'!F495,PRICES!$D$2:$D$658,'MAIN TABLE-1 AUTOMATED'!O495))</f>
        <v/>
      </c>
      <c r="R495" s="41" t="str">
        <f>IF(Table1[[#This Row],[QUANTITY]]=0,"",Table1[[#This Row],[UNIT PRICE]]*Table1[[#This Row],[QUANTITY]])</f>
        <v/>
      </c>
      <c r="S495" s="89"/>
      <c r="T495" s="38"/>
      <c r="U495" s="43"/>
      <c r="V495" s="42" t="str">
        <f>IF(Table1[[#This Row],[DATE]]=0,"",YEAR(E495))</f>
        <v/>
      </c>
      <c r="W495" s="40" t="str">
        <f t="shared" si="16"/>
        <v/>
      </c>
      <c r="X495" s="40" t="str">
        <f t="shared" si="17"/>
        <v/>
      </c>
      <c r="Y495" s="40" t="str">
        <f>TEXT(Table1[[#This Row],[YEAR]],"0000")&amp;"-"&amp;Table1[[#This Row],[MONTH]]</f>
        <v>-</v>
      </c>
      <c r="AD495" s="23"/>
    </row>
    <row r="496" spans="1:30" ht="15" customHeight="1" x14ac:dyDescent="0.35">
      <c r="A496" s="24"/>
      <c r="B496" s="38"/>
      <c r="C496" s="38"/>
      <c r="D496" s="38"/>
      <c r="E496" s="37"/>
      <c r="F496" s="38"/>
      <c r="G496" s="198"/>
      <c r="H496" s="198"/>
      <c r="I496" s="39"/>
      <c r="J496" s="38"/>
      <c r="K496" s="198"/>
      <c r="L496" s="38"/>
      <c r="M496" s="38"/>
      <c r="N496" s="38"/>
      <c r="O496" s="38"/>
      <c r="P496" s="40" t="str" cm="1">
        <f t="array" ref="P496">IF(N496="","",IFERROR(_xlfn.XLOOKUP(F496&amp;"|"&amp;J496&amp;"|"&amp;O496,PRICES!$C$2:$C$659&amp;"|"&amp;PRICES!$B$2:$B$659&amp;"|"&amp;PRICES!$D$2:$D$659,PRICES!$E$2:$E$659),"Not Found"))</f>
        <v/>
      </c>
      <c r="Q496" s="100" t="str">
        <f>IF(N496=0,"",SUMIFS(PRICES!$G$2:$G$658,PRICES!$B$2:$B$658,'MAIN TABLE-1 AUTOMATED'!J496,PRICES!$C$2:$C$658,'MAIN TABLE-1 AUTOMATED'!F496,PRICES!$D$2:$D$658,'MAIN TABLE-1 AUTOMATED'!O496))</f>
        <v/>
      </c>
      <c r="R496" s="41" t="str">
        <f>IF(Table1[[#This Row],[QUANTITY]]=0,"",Table1[[#This Row],[UNIT PRICE]]*Table1[[#This Row],[QUANTITY]])</f>
        <v/>
      </c>
      <c r="S496" s="89"/>
      <c r="T496" s="38"/>
      <c r="U496" s="43"/>
      <c r="V496" s="42" t="str">
        <f>IF(Table1[[#This Row],[DATE]]=0,"",YEAR(E496))</f>
        <v/>
      </c>
      <c r="W496" s="40" t="str">
        <f t="shared" si="16"/>
        <v/>
      </c>
      <c r="X496" s="40" t="str">
        <f t="shared" si="17"/>
        <v/>
      </c>
      <c r="Y496" s="40" t="str">
        <f>TEXT(Table1[[#This Row],[YEAR]],"0000")&amp;"-"&amp;Table1[[#This Row],[MONTH]]</f>
        <v>-</v>
      </c>
      <c r="AD496" s="23"/>
    </row>
    <row r="497" spans="1:30" ht="15" customHeight="1" x14ac:dyDescent="0.35">
      <c r="A497" s="24"/>
      <c r="B497" s="38"/>
      <c r="C497" s="38"/>
      <c r="D497" s="38"/>
      <c r="E497" s="37"/>
      <c r="F497" s="38"/>
      <c r="G497" s="198"/>
      <c r="H497" s="198"/>
      <c r="I497" s="39"/>
      <c r="J497" s="38"/>
      <c r="K497" s="198"/>
      <c r="L497" s="38"/>
      <c r="M497" s="38"/>
      <c r="N497" s="38"/>
      <c r="O497" s="38"/>
      <c r="P497" s="40" t="str" cm="1">
        <f t="array" ref="P497">IF(N497="","",IFERROR(_xlfn.XLOOKUP(F497&amp;"|"&amp;J497&amp;"|"&amp;O497,PRICES!$C$2:$C$659&amp;"|"&amp;PRICES!$B$2:$B$659&amp;"|"&amp;PRICES!$D$2:$D$659,PRICES!$E$2:$E$659),"Not Found"))</f>
        <v/>
      </c>
      <c r="Q497" s="100" t="str">
        <f>IF(N497=0,"",SUMIFS(PRICES!$G$2:$G$658,PRICES!$B$2:$B$658,'MAIN TABLE-1 AUTOMATED'!J497,PRICES!$C$2:$C$658,'MAIN TABLE-1 AUTOMATED'!F497,PRICES!$D$2:$D$658,'MAIN TABLE-1 AUTOMATED'!O497))</f>
        <v/>
      </c>
      <c r="R497" s="41" t="str">
        <f>IF(Table1[[#This Row],[QUANTITY]]=0,"",Table1[[#This Row],[UNIT PRICE]]*Table1[[#This Row],[QUANTITY]])</f>
        <v/>
      </c>
      <c r="S497" s="89"/>
      <c r="T497" s="38"/>
      <c r="U497" s="43"/>
      <c r="V497" s="42" t="str">
        <f>IF(Table1[[#This Row],[DATE]]=0,"",YEAR(E497))</f>
        <v/>
      </c>
      <c r="W497" s="40" t="str">
        <f t="shared" si="16"/>
        <v/>
      </c>
      <c r="X497" s="40" t="str">
        <f t="shared" si="17"/>
        <v/>
      </c>
      <c r="Y497" s="40" t="str">
        <f>TEXT(Table1[[#This Row],[YEAR]],"0000")&amp;"-"&amp;Table1[[#This Row],[MONTH]]</f>
        <v>-</v>
      </c>
      <c r="AD497" s="23"/>
    </row>
    <row r="498" spans="1:30" ht="15" customHeight="1" x14ac:dyDescent="0.35">
      <c r="A498" s="24"/>
      <c r="B498" s="38"/>
      <c r="C498" s="38"/>
      <c r="D498" s="38"/>
      <c r="E498" s="37"/>
      <c r="F498" s="38"/>
      <c r="G498" s="198"/>
      <c r="H498" s="198"/>
      <c r="I498" s="39"/>
      <c r="J498" s="38"/>
      <c r="K498" s="198"/>
      <c r="L498" s="38"/>
      <c r="M498" s="38"/>
      <c r="N498" s="38"/>
      <c r="O498" s="38"/>
      <c r="P498" s="40" t="str" cm="1">
        <f t="array" ref="P498">IF(N498="","",IFERROR(_xlfn.XLOOKUP(F498&amp;"|"&amp;J498&amp;"|"&amp;O498,PRICES!$C$2:$C$659&amp;"|"&amp;PRICES!$B$2:$B$659&amp;"|"&amp;PRICES!$D$2:$D$659,PRICES!$E$2:$E$659),"Not Found"))</f>
        <v/>
      </c>
      <c r="Q498" s="100" t="str">
        <f>IF(N498=0,"",SUMIFS(PRICES!$G$2:$G$658,PRICES!$B$2:$B$658,'MAIN TABLE-1 AUTOMATED'!J498,PRICES!$C$2:$C$658,'MAIN TABLE-1 AUTOMATED'!F498,PRICES!$D$2:$D$658,'MAIN TABLE-1 AUTOMATED'!O498))</f>
        <v/>
      </c>
      <c r="R498" s="41" t="str">
        <f>IF(Table1[[#This Row],[QUANTITY]]=0,"",Table1[[#This Row],[UNIT PRICE]]*Table1[[#This Row],[QUANTITY]])</f>
        <v/>
      </c>
      <c r="S498" s="89"/>
      <c r="T498" s="38"/>
      <c r="U498" s="43"/>
      <c r="V498" s="42" t="str">
        <f>IF(Table1[[#This Row],[DATE]]=0,"",YEAR(E498))</f>
        <v/>
      </c>
      <c r="W498" s="40" t="str">
        <f t="shared" si="16"/>
        <v/>
      </c>
      <c r="X498" s="40" t="str">
        <f t="shared" si="17"/>
        <v/>
      </c>
      <c r="Y498" s="40" t="str">
        <f>TEXT(Table1[[#This Row],[YEAR]],"0000")&amp;"-"&amp;Table1[[#This Row],[MONTH]]</f>
        <v>-</v>
      </c>
      <c r="AD498" s="23"/>
    </row>
    <row r="499" spans="1:30" ht="15" customHeight="1" x14ac:dyDescent="0.35">
      <c r="A499" s="24"/>
      <c r="B499" s="38"/>
      <c r="C499" s="38"/>
      <c r="D499" s="38"/>
      <c r="E499" s="37"/>
      <c r="F499" s="38"/>
      <c r="G499" s="198"/>
      <c r="H499" s="198"/>
      <c r="I499" s="39"/>
      <c r="J499" s="38"/>
      <c r="K499" s="198"/>
      <c r="L499" s="38"/>
      <c r="M499" s="38"/>
      <c r="N499" s="38"/>
      <c r="O499" s="38"/>
      <c r="P499" s="40" t="str" cm="1">
        <f t="array" ref="P499">IF(N499="","",IFERROR(_xlfn.XLOOKUP(F499&amp;"|"&amp;J499&amp;"|"&amp;O499,PRICES!$C$2:$C$659&amp;"|"&amp;PRICES!$B$2:$B$659&amp;"|"&amp;PRICES!$D$2:$D$659,PRICES!$E$2:$E$659),"Not Found"))</f>
        <v/>
      </c>
      <c r="Q499" s="100" t="str">
        <f>IF(N499=0,"",SUMIFS(PRICES!$G$2:$G$658,PRICES!$B$2:$B$658,'MAIN TABLE-1 AUTOMATED'!J499,PRICES!$C$2:$C$658,'MAIN TABLE-1 AUTOMATED'!F499,PRICES!$D$2:$D$658,'MAIN TABLE-1 AUTOMATED'!O499))</f>
        <v/>
      </c>
      <c r="R499" s="41" t="str">
        <f>IF(Table1[[#This Row],[QUANTITY]]=0,"",Table1[[#This Row],[UNIT PRICE]]*Table1[[#This Row],[QUANTITY]])</f>
        <v/>
      </c>
      <c r="S499" s="89"/>
      <c r="T499" s="38"/>
      <c r="U499" s="43"/>
      <c r="V499" s="42" t="str">
        <f>IF(Table1[[#This Row],[DATE]]=0,"",YEAR(E499))</f>
        <v/>
      </c>
      <c r="W499" s="40" t="str">
        <f t="shared" si="16"/>
        <v/>
      </c>
      <c r="X499" s="40" t="str">
        <f t="shared" si="17"/>
        <v/>
      </c>
      <c r="Y499" s="40" t="str">
        <f>TEXT(Table1[[#This Row],[YEAR]],"0000")&amp;"-"&amp;Table1[[#This Row],[MONTH]]</f>
        <v>-</v>
      </c>
      <c r="AD499" s="23"/>
    </row>
    <row r="500" spans="1:30" ht="15" customHeight="1" x14ac:dyDescent="0.35">
      <c r="A500" s="24"/>
      <c r="B500" s="38"/>
      <c r="C500" s="38"/>
      <c r="D500" s="38"/>
      <c r="E500" s="37"/>
      <c r="F500" s="38"/>
      <c r="G500" s="198"/>
      <c r="H500" s="198"/>
      <c r="I500" s="39"/>
      <c r="J500" s="38"/>
      <c r="K500" s="198"/>
      <c r="L500" s="38"/>
      <c r="M500" s="38"/>
      <c r="N500" s="38"/>
      <c r="O500" s="38"/>
      <c r="P500" s="40" t="str" cm="1">
        <f t="array" ref="P500">IF(N500="","",IFERROR(_xlfn.XLOOKUP(F500&amp;"|"&amp;J500&amp;"|"&amp;O500,PRICES!$C$2:$C$659&amp;"|"&amp;PRICES!$B$2:$B$659&amp;"|"&amp;PRICES!$D$2:$D$659,PRICES!$E$2:$E$659),"Not Found"))</f>
        <v/>
      </c>
      <c r="Q500" s="100" t="str">
        <f>IF(N500=0,"",SUMIFS(PRICES!$G$2:$G$658,PRICES!$B$2:$B$658,'MAIN TABLE-1 AUTOMATED'!J500,PRICES!$C$2:$C$658,'MAIN TABLE-1 AUTOMATED'!F500,PRICES!$D$2:$D$658,'MAIN TABLE-1 AUTOMATED'!O500))</f>
        <v/>
      </c>
      <c r="R500" s="41" t="str">
        <f>IF(Table1[[#This Row],[QUANTITY]]=0,"",Table1[[#This Row],[UNIT PRICE]]*Table1[[#This Row],[QUANTITY]])</f>
        <v/>
      </c>
      <c r="S500" s="89"/>
      <c r="T500" s="38"/>
      <c r="U500" s="43"/>
      <c r="V500" s="42" t="str">
        <f>IF(Table1[[#This Row],[DATE]]=0,"",YEAR(E500))</f>
        <v/>
      </c>
      <c r="W500" s="40" t="str">
        <f t="shared" si="16"/>
        <v/>
      </c>
      <c r="X500" s="40" t="str">
        <f t="shared" si="17"/>
        <v/>
      </c>
      <c r="Y500" s="40" t="str">
        <f>TEXT(Table1[[#This Row],[YEAR]],"0000")&amp;"-"&amp;Table1[[#This Row],[MONTH]]</f>
        <v>-</v>
      </c>
      <c r="AD500" s="23"/>
    </row>
    <row r="501" spans="1:30" ht="15" customHeight="1" x14ac:dyDescent="0.35">
      <c r="A501" s="24"/>
      <c r="B501" s="38"/>
      <c r="C501" s="38"/>
      <c r="D501" s="38"/>
      <c r="E501" s="37"/>
      <c r="F501" s="38"/>
      <c r="G501" s="198"/>
      <c r="H501" s="198"/>
      <c r="I501" s="39"/>
      <c r="J501" s="38"/>
      <c r="K501" s="198"/>
      <c r="L501" s="38"/>
      <c r="M501" s="38"/>
      <c r="N501" s="38"/>
      <c r="O501" s="38"/>
      <c r="P501" s="40" t="str" cm="1">
        <f t="array" ref="P501">IF(N501="","",IFERROR(_xlfn.XLOOKUP(F501&amp;"|"&amp;J501&amp;"|"&amp;O501,PRICES!$C$2:$C$659&amp;"|"&amp;PRICES!$B$2:$B$659&amp;"|"&amp;PRICES!$D$2:$D$659,PRICES!$E$2:$E$659),"Not Found"))</f>
        <v/>
      </c>
      <c r="Q501" s="100" t="str">
        <f>IF(N501=0,"",SUMIFS(PRICES!$G$2:$G$658,PRICES!$B$2:$B$658,'MAIN TABLE-1 AUTOMATED'!J501,PRICES!$C$2:$C$658,'MAIN TABLE-1 AUTOMATED'!F501,PRICES!$D$2:$D$658,'MAIN TABLE-1 AUTOMATED'!O501))</f>
        <v/>
      </c>
      <c r="R501" s="41" t="str">
        <f>IF(Table1[[#This Row],[QUANTITY]]=0,"",Table1[[#This Row],[UNIT PRICE]]*Table1[[#This Row],[QUANTITY]])</f>
        <v/>
      </c>
      <c r="S501" s="89"/>
      <c r="T501" s="38"/>
      <c r="U501" s="43"/>
      <c r="V501" s="42" t="str">
        <f>IF(Table1[[#This Row],[DATE]]=0,"",YEAR(E501))</f>
        <v/>
      </c>
      <c r="W501" s="40" t="str">
        <f t="shared" si="16"/>
        <v/>
      </c>
      <c r="X501" s="40" t="str">
        <f t="shared" si="17"/>
        <v/>
      </c>
      <c r="Y501" s="40" t="str">
        <f>TEXT(Table1[[#This Row],[YEAR]],"0000")&amp;"-"&amp;Table1[[#This Row],[MONTH]]</f>
        <v>-</v>
      </c>
      <c r="AD501" s="23"/>
    </row>
    <row r="502" spans="1:30" ht="15" customHeight="1" x14ac:dyDescent="0.35">
      <c r="A502" s="24"/>
      <c r="B502" s="38"/>
      <c r="C502" s="38"/>
      <c r="D502" s="38"/>
      <c r="E502" s="37"/>
      <c r="F502" s="38"/>
      <c r="G502" s="198"/>
      <c r="H502" s="198"/>
      <c r="I502" s="39"/>
      <c r="J502" s="38"/>
      <c r="K502" s="198"/>
      <c r="L502" s="38"/>
      <c r="M502" s="38"/>
      <c r="N502" s="38"/>
      <c r="O502" s="38"/>
      <c r="P502" s="40" t="str" cm="1">
        <f t="array" ref="P502">IF(N502="","",IFERROR(_xlfn.XLOOKUP(F502&amp;"|"&amp;J502&amp;"|"&amp;O502,PRICES!$C$2:$C$659&amp;"|"&amp;PRICES!$B$2:$B$659&amp;"|"&amp;PRICES!$D$2:$D$659,PRICES!$E$2:$E$659),"Not Found"))</f>
        <v/>
      </c>
      <c r="Q502" s="100" t="str">
        <f>IF(N502=0,"",SUMIFS(PRICES!$G$2:$G$658,PRICES!$B$2:$B$658,'MAIN TABLE-1 AUTOMATED'!J502,PRICES!$C$2:$C$658,'MAIN TABLE-1 AUTOMATED'!F502,PRICES!$D$2:$D$658,'MAIN TABLE-1 AUTOMATED'!O502))</f>
        <v/>
      </c>
      <c r="R502" s="41" t="str">
        <f>IF(Table1[[#This Row],[QUANTITY]]=0,"",Table1[[#This Row],[UNIT PRICE]]*Table1[[#This Row],[QUANTITY]])</f>
        <v/>
      </c>
      <c r="S502" s="89"/>
      <c r="T502" s="38"/>
      <c r="U502" s="43"/>
      <c r="V502" s="42" t="str">
        <f>IF(Table1[[#This Row],[DATE]]=0,"",YEAR(E502))</f>
        <v/>
      </c>
      <c r="W502" s="40" t="str">
        <f t="shared" si="16"/>
        <v/>
      </c>
      <c r="X502" s="40" t="str">
        <f t="shared" si="17"/>
        <v/>
      </c>
      <c r="Y502" s="40" t="str">
        <f>TEXT(Table1[[#This Row],[YEAR]],"0000")&amp;"-"&amp;Table1[[#This Row],[MONTH]]</f>
        <v>-</v>
      </c>
      <c r="AD502" s="23"/>
    </row>
    <row r="503" spans="1:30" ht="15" customHeight="1" x14ac:dyDescent="0.35">
      <c r="A503" s="24"/>
      <c r="B503" s="38"/>
      <c r="C503" s="38"/>
      <c r="D503" s="38"/>
      <c r="E503" s="37"/>
      <c r="F503" s="38"/>
      <c r="G503" s="198"/>
      <c r="H503" s="198"/>
      <c r="I503" s="39"/>
      <c r="J503" s="38"/>
      <c r="K503" s="198"/>
      <c r="L503" s="38"/>
      <c r="M503" s="38"/>
      <c r="N503" s="38"/>
      <c r="O503" s="38"/>
      <c r="P503" s="40" t="str" cm="1">
        <f t="array" ref="P503">IF(N503="","",IFERROR(_xlfn.XLOOKUP(F503&amp;"|"&amp;J503&amp;"|"&amp;O503,PRICES!$C$2:$C$659&amp;"|"&amp;PRICES!$B$2:$B$659&amp;"|"&amp;PRICES!$D$2:$D$659,PRICES!$E$2:$E$659),"Not Found"))</f>
        <v/>
      </c>
      <c r="Q503" s="100" t="str">
        <f>IF(N503=0,"",SUMIFS(PRICES!$G$2:$G$658,PRICES!$B$2:$B$658,'MAIN TABLE-1 AUTOMATED'!J503,PRICES!$C$2:$C$658,'MAIN TABLE-1 AUTOMATED'!F503,PRICES!$D$2:$D$658,'MAIN TABLE-1 AUTOMATED'!O503))</f>
        <v/>
      </c>
      <c r="R503" s="41" t="str">
        <f>IF(Table1[[#This Row],[QUANTITY]]=0,"",Table1[[#This Row],[UNIT PRICE]]*Table1[[#This Row],[QUANTITY]])</f>
        <v/>
      </c>
      <c r="S503" s="89"/>
      <c r="T503" s="38"/>
      <c r="U503" s="43"/>
      <c r="V503" s="42" t="str">
        <f>IF(Table1[[#This Row],[DATE]]=0,"",YEAR(E503))</f>
        <v/>
      </c>
      <c r="W503" s="40" t="str">
        <f t="shared" si="16"/>
        <v/>
      </c>
      <c r="X503" s="40" t="str">
        <f t="shared" si="17"/>
        <v/>
      </c>
      <c r="Y503" s="40" t="str">
        <f>TEXT(Table1[[#This Row],[YEAR]],"0000")&amp;"-"&amp;Table1[[#This Row],[MONTH]]</f>
        <v>-</v>
      </c>
      <c r="AD503" s="23"/>
    </row>
    <row r="504" spans="1:30" ht="15" customHeight="1" x14ac:dyDescent="0.35">
      <c r="A504" s="24"/>
      <c r="B504" s="38"/>
      <c r="C504" s="38"/>
      <c r="D504" s="38"/>
      <c r="E504" s="37"/>
      <c r="F504" s="38"/>
      <c r="G504" s="198"/>
      <c r="H504" s="198"/>
      <c r="I504" s="39"/>
      <c r="J504" s="38"/>
      <c r="K504" s="198"/>
      <c r="L504" s="38"/>
      <c r="M504" s="38"/>
      <c r="N504" s="38"/>
      <c r="O504" s="38"/>
      <c r="P504" s="40" t="str" cm="1">
        <f t="array" ref="P504">IF(N504="","",IFERROR(_xlfn.XLOOKUP(F504&amp;"|"&amp;J504&amp;"|"&amp;O504,PRICES!$C$2:$C$659&amp;"|"&amp;PRICES!$B$2:$B$659&amp;"|"&amp;PRICES!$D$2:$D$659,PRICES!$E$2:$E$659),"Not Found"))</f>
        <v/>
      </c>
      <c r="Q504" s="100" t="str">
        <f>IF(N504=0,"",SUMIFS(PRICES!$G$2:$G$658,PRICES!$B$2:$B$658,'MAIN TABLE-1 AUTOMATED'!J504,PRICES!$C$2:$C$658,'MAIN TABLE-1 AUTOMATED'!F504,PRICES!$D$2:$D$658,'MAIN TABLE-1 AUTOMATED'!O504))</f>
        <v/>
      </c>
      <c r="R504" s="41" t="str">
        <f>IF(Table1[[#This Row],[QUANTITY]]=0,"",Table1[[#This Row],[UNIT PRICE]]*Table1[[#This Row],[QUANTITY]])</f>
        <v/>
      </c>
      <c r="S504" s="89"/>
      <c r="T504" s="38"/>
      <c r="U504" s="43"/>
      <c r="V504" s="42" t="str">
        <f>IF(Table1[[#This Row],[DATE]]=0,"",YEAR(E504))</f>
        <v/>
      </c>
      <c r="W504" s="40" t="str">
        <f t="shared" si="16"/>
        <v/>
      </c>
      <c r="X504" s="40" t="str">
        <f t="shared" si="17"/>
        <v/>
      </c>
      <c r="Y504" s="40" t="str">
        <f>TEXT(Table1[[#This Row],[YEAR]],"0000")&amp;"-"&amp;Table1[[#This Row],[MONTH]]</f>
        <v>-</v>
      </c>
      <c r="AD504" s="23"/>
    </row>
    <row r="505" spans="1:30" ht="15" customHeight="1" x14ac:dyDescent="0.35">
      <c r="A505" s="24"/>
      <c r="B505" s="38"/>
      <c r="C505" s="38"/>
      <c r="D505" s="38"/>
      <c r="E505" s="37"/>
      <c r="F505" s="38"/>
      <c r="G505" s="198"/>
      <c r="H505" s="198"/>
      <c r="I505" s="39"/>
      <c r="J505" s="38"/>
      <c r="K505" s="198"/>
      <c r="L505" s="38"/>
      <c r="M505" s="38"/>
      <c r="N505" s="38"/>
      <c r="O505" s="38"/>
      <c r="P505" s="40" t="str" cm="1">
        <f t="array" ref="P505">IF(N505="","",IFERROR(_xlfn.XLOOKUP(F505&amp;"|"&amp;J505&amp;"|"&amp;O505,PRICES!$C$2:$C$659&amp;"|"&amp;PRICES!$B$2:$B$659&amp;"|"&amp;PRICES!$D$2:$D$659,PRICES!$E$2:$E$659),"Not Found"))</f>
        <v/>
      </c>
      <c r="Q505" s="100" t="str">
        <f>IF(N505=0,"",SUMIFS(PRICES!$G$2:$G$658,PRICES!$B$2:$B$658,'MAIN TABLE-1 AUTOMATED'!J505,PRICES!$C$2:$C$658,'MAIN TABLE-1 AUTOMATED'!F505,PRICES!$D$2:$D$658,'MAIN TABLE-1 AUTOMATED'!O505))</f>
        <v/>
      </c>
      <c r="R505" s="41" t="str">
        <f>IF(Table1[[#This Row],[QUANTITY]]=0,"",Table1[[#This Row],[UNIT PRICE]]*Table1[[#This Row],[QUANTITY]])</f>
        <v/>
      </c>
      <c r="S505" s="89"/>
      <c r="T505" s="38"/>
      <c r="U505" s="43"/>
      <c r="V505" s="42" t="str">
        <f>IF(Table1[[#This Row],[DATE]]=0,"",YEAR(E505))</f>
        <v/>
      </c>
      <c r="W505" s="40" t="str">
        <f t="shared" si="16"/>
        <v/>
      </c>
      <c r="X505" s="40" t="str">
        <f t="shared" si="17"/>
        <v/>
      </c>
      <c r="Y505" s="40" t="str">
        <f>TEXT(Table1[[#This Row],[YEAR]],"0000")&amp;"-"&amp;Table1[[#This Row],[MONTH]]</f>
        <v>-</v>
      </c>
      <c r="AD505" s="23"/>
    </row>
    <row r="506" spans="1:30" ht="15" customHeight="1" x14ac:dyDescent="0.35">
      <c r="A506" s="24"/>
      <c r="B506" s="38"/>
      <c r="C506" s="38"/>
      <c r="D506" s="38"/>
      <c r="E506" s="37"/>
      <c r="F506" s="38"/>
      <c r="G506" s="198"/>
      <c r="H506" s="198"/>
      <c r="I506" s="39"/>
      <c r="J506" s="38"/>
      <c r="K506" s="198"/>
      <c r="L506" s="38"/>
      <c r="M506" s="38"/>
      <c r="N506" s="38"/>
      <c r="O506" s="38"/>
      <c r="P506" s="40" t="str" cm="1">
        <f t="array" ref="P506">IF(N506="","",IFERROR(_xlfn.XLOOKUP(F506&amp;"|"&amp;J506&amp;"|"&amp;O506,PRICES!$C$2:$C$659&amp;"|"&amp;PRICES!$B$2:$B$659&amp;"|"&amp;PRICES!$D$2:$D$659,PRICES!$E$2:$E$659),"Not Found"))</f>
        <v/>
      </c>
      <c r="Q506" s="100" t="str">
        <f>IF(N506=0,"",SUMIFS(PRICES!$G$2:$G$658,PRICES!$B$2:$B$658,'MAIN TABLE-1 AUTOMATED'!J506,PRICES!$C$2:$C$658,'MAIN TABLE-1 AUTOMATED'!F506,PRICES!$D$2:$D$658,'MAIN TABLE-1 AUTOMATED'!O506))</f>
        <v/>
      </c>
      <c r="R506" s="41" t="str">
        <f>IF(Table1[[#This Row],[QUANTITY]]=0,"",Table1[[#This Row],[UNIT PRICE]]*Table1[[#This Row],[QUANTITY]])</f>
        <v/>
      </c>
      <c r="S506" s="89"/>
      <c r="T506" s="38"/>
      <c r="U506" s="43"/>
      <c r="V506" s="42" t="str">
        <f>IF(Table1[[#This Row],[DATE]]=0,"",YEAR(E506))</f>
        <v/>
      </c>
      <c r="W506" s="40" t="str">
        <f t="shared" si="16"/>
        <v/>
      </c>
      <c r="X506" s="40" t="str">
        <f t="shared" si="17"/>
        <v/>
      </c>
      <c r="Y506" s="40" t="str">
        <f>TEXT(Table1[[#This Row],[YEAR]],"0000")&amp;"-"&amp;Table1[[#This Row],[MONTH]]</f>
        <v>-</v>
      </c>
      <c r="AD506" s="23"/>
    </row>
    <row r="507" spans="1:30" ht="15" customHeight="1" x14ac:dyDescent="0.35">
      <c r="A507" s="24"/>
      <c r="B507" s="38"/>
      <c r="C507" s="38"/>
      <c r="D507" s="38"/>
      <c r="E507" s="37"/>
      <c r="F507" s="38"/>
      <c r="G507" s="198"/>
      <c r="H507" s="198"/>
      <c r="I507" s="39"/>
      <c r="J507" s="38"/>
      <c r="K507" s="198"/>
      <c r="L507" s="38"/>
      <c r="M507" s="38"/>
      <c r="N507" s="38"/>
      <c r="O507" s="38"/>
      <c r="P507" s="40" t="str" cm="1">
        <f t="array" ref="P507">IF(N507="","",IFERROR(_xlfn.XLOOKUP(F507&amp;"|"&amp;J507&amp;"|"&amp;O507,PRICES!$C$2:$C$659&amp;"|"&amp;PRICES!$B$2:$B$659&amp;"|"&amp;PRICES!$D$2:$D$659,PRICES!$E$2:$E$659),"Not Found"))</f>
        <v/>
      </c>
      <c r="Q507" s="100" t="str">
        <f>IF(N507=0,"",SUMIFS(PRICES!$G$2:$G$658,PRICES!$B$2:$B$658,'MAIN TABLE-1 AUTOMATED'!J507,PRICES!$C$2:$C$658,'MAIN TABLE-1 AUTOMATED'!F507,PRICES!$D$2:$D$658,'MAIN TABLE-1 AUTOMATED'!O507))</f>
        <v/>
      </c>
      <c r="R507" s="41" t="str">
        <f>IF(Table1[[#This Row],[QUANTITY]]=0,"",Table1[[#This Row],[UNIT PRICE]]*Table1[[#This Row],[QUANTITY]])</f>
        <v/>
      </c>
      <c r="S507" s="89"/>
      <c r="T507" s="38"/>
      <c r="U507" s="43"/>
      <c r="V507" s="42" t="str">
        <f>IF(Table1[[#This Row],[DATE]]=0,"",YEAR(E507))</f>
        <v/>
      </c>
      <c r="W507" s="40" t="str">
        <f t="shared" si="16"/>
        <v/>
      </c>
      <c r="X507" s="40" t="str">
        <f t="shared" si="17"/>
        <v/>
      </c>
      <c r="Y507" s="40" t="str">
        <f>TEXT(Table1[[#This Row],[YEAR]],"0000")&amp;"-"&amp;Table1[[#This Row],[MONTH]]</f>
        <v>-</v>
      </c>
      <c r="AD507" s="23"/>
    </row>
    <row r="508" spans="1:30" ht="15" customHeight="1" x14ac:dyDescent="0.35">
      <c r="A508" s="24"/>
      <c r="B508" s="38"/>
      <c r="C508" s="38"/>
      <c r="D508" s="38"/>
      <c r="E508" s="37"/>
      <c r="F508" s="38"/>
      <c r="G508" s="198"/>
      <c r="H508" s="198"/>
      <c r="I508" s="39"/>
      <c r="J508" s="38"/>
      <c r="K508" s="198"/>
      <c r="L508" s="38"/>
      <c r="M508" s="38"/>
      <c r="N508" s="38"/>
      <c r="O508" s="38"/>
      <c r="P508" s="40" t="str" cm="1">
        <f t="array" ref="P508">IF(N508="","",IFERROR(_xlfn.XLOOKUP(F508&amp;"|"&amp;J508&amp;"|"&amp;O508,PRICES!$C$2:$C$659&amp;"|"&amp;PRICES!$B$2:$B$659&amp;"|"&amp;PRICES!$D$2:$D$659,PRICES!$E$2:$E$659),"Not Found"))</f>
        <v/>
      </c>
      <c r="Q508" s="100" t="str">
        <f>IF(N508=0,"",SUMIFS(PRICES!$G$2:$G$658,PRICES!$B$2:$B$658,'MAIN TABLE-1 AUTOMATED'!J508,PRICES!$C$2:$C$658,'MAIN TABLE-1 AUTOMATED'!F508,PRICES!$D$2:$D$658,'MAIN TABLE-1 AUTOMATED'!O508))</f>
        <v/>
      </c>
      <c r="R508" s="41" t="str">
        <f>IF(Table1[[#This Row],[QUANTITY]]=0,"",Table1[[#This Row],[UNIT PRICE]]*Table1[[#This Row],[QUANTITY]])</f>
        <v/>
      </c>
      <c r="S508" s="89"/>
      <c r="T508" s="38"/>
      <c r="U508" s="43"/>
      <c r="V508" s="42" t="str">
        <f>IF(Table1[[#This Row],[DATE]]=0,"",YEAR(E508))</f>
        <v/>
      </c>
      <c r="W508" s="40" t="str">
        <f t="shared" si="16"/>
        <v/>
      </c>
      <c r="X508" s="40" t="str">
        <f t="shared" si="17"/>
        <v/>
      </c>
      <c r="Y508" s="40" t="str">
        <f>TEXT(Table1[[#This Row],[YEAR]],"0000")&amp;"-"&amp;Table1[[#This Row],[MONTH]]</f>
        <v>-</v>
      </c>
      <c r="AD508" s="23"/>
    </row>
    <row r="509" spans="1:30" ht="15" customHeight="1" x14ac:dyDescent="0.35">
      <c r="A509" s="24"/>
      <c r="B509" s="38"/>
      <c r="C509" s="38"/>
      <c r="D509" s="38"/>
      <c r="E509" s="37"/>
      <c r="F509" s="38"/>
      <c r="G509" s="198"/>
      <c r="H509" s="198"/>
      <c r="I509" s="39"/>
      <c r="J509" s="38"/>
      <c r="K509" s="198"/>
      <c r="L509" s="38"/>
      <c r="M509" s="38"/>
      <c r="N509" s="38"/>
      <c r="O509" s="38"/>
      <c r="P509" s="40" t="str" cm="1">
        <f t="array" ref="P509">IF(N509="","",IFERROR(_xlfn.XLOOKUP(F509&amp;"|"&amp;J509&amp;"|"&amp;O509,PRICES!$C$2:$C$659&amp;"|"&amp;PRICES!$B$2:$B$659&amp;"|"&amp;PRICES!$D$2:$D$659,PRICES!$E$2:$E$659),"Not Found"))</f>
        <v/>
      </c>
      <c r="Q509" s="100" t="str">
        <f>IF(N509=0,"",SUMIFS(PRICES!$G$2:$G$658,PRICES!$B$2:$B$658,'MAIN TABLE-1 AUTOMATED'!J509,PRICES!$C$2:$C$658,'MAIN TABLE-1 AUTOMATED'!F509,PRICES!$D$2:$D$658,'MAIN TABLE-1 AUTOMATED'!O509))</f>
        <v/>
      </c>
      <c r="R509" s="41" t="str">
        <f>IF(Table1[[#This Row],[QUANTITY]]=0,"",Table1[[#This Row],[UNIT PRICE]]*Table1[[#This Row],[QUANTITY]])</f>
        <v/>
      </c>
      <c r="S509" s="89"/>
      <c r="T509" s="38"/>
      <c r="U509" s="43"/>
      <c r="V509" s="42" t="str">
        <f>IF(Table1[[#This Row],[DATE]]=0,"",YEAR(E509))</f>
        <v/>
      </c>
      <c r="W509" s="40" t="str">
        <f t="shared" si="16"/>
        <v/>
      </c>
      <c r="X509" s="40" t="str">
        <f t="shared" si="17"/>
        <v/>
      </c>
      <c r="Y509" s="40" t="str">
        <f>TEXT(Table1[[#This Row],[YEAR]],"0000")&amp;"-"&amp;Table1[[#This Row],[MONTH]]</f>
        <v>-</v>
      </c>
      <c r="AD509" s="23"/>
    </row>
    <row r="510" spans="1:30" ht="15" customHeight="1" x14ac:dyDescent="0.35">
      <c r="A510" s="24"/>
      <c r="B510" s="38"/>
      <c r="C510" s="38"/>
      <c r="D510" s="38"/>
      <c r="E510" s="37"/>
      <c r="F510" s="38"/>
      <c r="G510" s="198"/>
      <c r="H510" s="198"/>
      <c r="I510" s="39"/>
      <c r="J510" s="38"/>
      <c r="K510" s="198"/>
      <c r="L510" s="38"/>
      <c r="M510" s="38"/>
      <c r="N510" s="38"/>
      <c r="O510" s="38"/>
      <c r="P510" s="40" t="str" cm="1">
        <f t="array" ref="P510">IF(N510="","",IFERROR(_xlfn.XLOOKUP(F510&amp;"|"&amp;J510&amp;"|"&amp;O510,PRICES!$C$2:$C$659&amp;"|"&amp;PRICES!$B$2:$B$659&amp;"|"&amp;PRICES!$D$2:$D$659,PRICES!$E$2:$E$659),"Not Found"))</f>
        <v/>
      </c>
      <c r="Q510" s="100" t="str">
        <f>IF(N510=0,"",SUMIFS(PRICES!$G$2:$G$658,PRICES!$B$2:$B$658,'MAIN TABLE-1 AUTOMATED'!J510,PRICES!$C$2:$C$658,'MAIN TABLE-1 AUTOMATED'!F510,PRICES!$D$2:$D$658,'MAIN TABLE-1 AUTOMATED'!O510))</f>
        <v/>
      </c>
      <c r="R510" s="41" t="str">
        <f>IF(Table1[[#This Row],[QUANTITY]]=0,"",Table1[[#This Row],[UNIT PRICE]]*Table1[[#This Row],[QUANTITY]])</f>
        <v/>
      </c>
      <c r="S510" s="89"/>
      <c r="T510" s="38"/>
      <c r="U510" s="43"/>
      <c r="V510" s="42" t="str">
        <f>IF(Table1[[#This Row],[DATE]]=0,"",YEAR(E510))</f>
        <v/>
      </c>
      <c r="W510" s="40" t="str">
        <f t="shared" si="16"/>
        <v/>
      </c>
      <c r="X510" s="40" t="str">
        <f t="shared" si="17"/>
        <v/>
      </c>
      <c r="Y510" s="40" t="str">
        <f>TEXT(Table1[[#This Row],[YEAR]],"0000")&amp;"-"&amp;Table1[[#This Row],[MONTH]]</f>
        <v>-</v>
      </c>
      <c r="AD510" s="23"/>
    </row>
    <row r="511" spans="1:30" ht="15" customHeight="1" x14ac:dyDescent="0.35">
      <c r="A511" s="24"/>
      <c r="B511" s="38"/>
      <c r="C511" s="38"/>
      <c r="D511" s="38"/>
      <c r="E511" s="37"/>
      <c r="F511" s="38"/>
      <c r="G511" s="198"/>
      <c r="H511" s="198"/>
      <c r="I511" s="39"/>
      <c r="J511" s="38"/>
      <c r="K511" s="198"/>
      <c r="L511" s="38"/>
      <c r="M511" s="38"/>
      <c r="N511" s="38"/>
      <c r="O511" s="38"/>
      <c r="P511" s="40" t="str" cm="1">
        <f t="array" ref="P511">IF(N511="","",IFERROR(_xlfn.XLOOKUP(F511&amp;"|"&amp;J511&amp;"|"&amp;O511,PRICES!$C$2:$C$659&amp;"|"&amp;PRICES!$B$2:$B$659&amp;"|"&amp;PRICES!$D$2:$D$659,PRICES!$E$2:$E$659),"Not Found"))</f>
        <v/>
      </c>
      <c r="Q511" s="100" t="str">
        <f>IF(N511=0,"",SUMIFS(PRICES!$G$2:$G$658,PRICES!$B$2:$B$658,'MAIN TABLE-1 AUTOMATED'!J511,PRICES!$C$2:$C$658,'MAIN TABLE-1 AUTOMATED'!F511,PRICES!$D$2:$D$658,'MAIN TABLE-1 AUTOMATED'!O511))</f>
        <v/>
      </c>
      <c r="R511" s="41" t="str">
        <f>IF(Table1[[#This Row],[QUANTITY]]=0,"",Table1[[#This Row],[UNIT PRICE]]*Table1[[#This Row],[QUANTITY]])</f>
        <v/>
      </c>
      <c r="S511" s="89"/>
      <c r="T511" s="38"/>
      <c r="U511" s="43"/>
      <c r="V511" s="42" t="str">
        <f>IF(Table1[[#This Row],[DATE]]=0,"",YEAR(E511))</f>
        <v/>
      </c>
      <c r="W511" s="40" t="str">
        <f t="shared" si="16"/>
        <v/>
      </c>
      <c r="X511" s="40" t="str">
        <f t="shared" si="17"/>
        <v/>
      </c>
      <c r="Y511" s="40" t="str">
        <f>TEXT(Table1[[#This Row],[YEAR]],"0000")&amp;"-"&amp;Table1[[#This Row],[MONTH]]</f>
        <v>-</v>
      </c>
      <c r="AD511" s="23"/>
    </row>
    <row r="512" spans="1:30" ht="15" customHeight="1" x14ac:dyDescent="0.35">
      <c r="A512" s="24"/>
      <c r="B512" s="38"/>
      <c r="C512" s="38"/>
      <c r="D512" s="38"/>
      <c r="E512" s="37"/>
      <c r="F512" s="38"/>
      <c r="G512" s="198"/>
      <c r="H512" s="198"/>
      <c r="I512" s="39"/>
      <c r="J512" s="38"/>
      <c r="K512" s="198"/>
      <c r="L512" s="38"/>
      <c r="M512" s="38"/>
      <c r="N512" s="38"/>
      <c r="O512" s="38"/>
      <c r="P512" s="40" t="str" cm="1">
        <f t="array" ref="P512">IF(N512="","",IFERROR(_xlfn.XLOOKUP(F512&amp;"|"&amp;J512&amp;"|"&amp;O512,PRICES!$C$2:$C$659&amp;"|"&amp;PRICES!$B$2:$B$659&amp;"|"&amp;PRICES!$D$2:$D$659,PRICES!$E$2:$E$659),"Not Found"))</f>
        <v/>
      </c>
      <c r="Q512" s="100" t="str">
        <f>IF(N512=0,"",SUMIFS(PRICES!$G$2:$G$658,PRICES!$B$2:$B$658,'MAIN TABLE-1 AUTOMATED'!J512,PRICES!$C$2:$C$658,'MAIN TABLE-1 AUTOMATED'!F512,PRICES!$D$2:$D$658,'MAIN TABLE-1 AUTOMATED'!O512))</f>
        <v/>
      </c>
      <c r="R512" s="41" t="str">
        <f>IF(Table1[[#This Row],[QUANTITY]]=0,"",Table1[[#This Row],[UNIT PRICE]]*Table1[[#This Row],[QUANTITY]])</f>
        <v/>
      </c>
      <c r="S512" s="89"/>
      <c r="T512" s="38"/>
      <c r="U512" s="43"/>
      <c r="V512" s="42" t="str">
        <f>IF(Table1[[#This Row],[DATE]]=0,"",YEAR(E512))</f>
        <v/>
      </c>
      <c r="W512" s="40" t="str">
        <f t="shared" si="16"/>
        <v/>
      </c>
      <c r="X512" s="40" t="str">
        <f t="shared" si="17"/>
        <v/>
      </c>
      <c r="Y512" s="40" t="str">
        <f>TEXT(Table1[[#This Row],[YEAR]],"0000")&amp;"-"&amp;Table1[[#This Row],[MONTH]]</f>
        <v>-</v>
      </c>
      <c r="AD512" s="23"/>
    </row>
    <row r="513" spans="1:30" ht="15" customHeight="1" x14ac:dyDescent="0.35">
      <c r="A513" s="24"/>
      <c r="B513" s="38"/>
      <c r="C513" s="38"/>
      <c r="D513" s="38"/>
      <c r="E513" s="37"/>
      <c r="F513" s="38"/>
      <c r="G513" s="198"/>
      <c r="H513" s="198"/>
      <c r="I513" s="39"/>
      <c r="J513" s="38"/>
      <c r="K513" s="198"/>
      <c r="L513" s="38"/>
      <c r="M513" s="38"/>
      <c r="N513" s="38"/>
      <c r="O513" s="38"/>
      <c r="P513" s="40" t="str" cm="1">
        <f t="array" ref="P513">IF(N513="","",IFERROR(_xlfn.XLOOKUP(F513&amp;"|"&amp;J513&amp;"|"&amp;O513,PRICES!$C$2:$C$659&amp;"|"&amp;PRICES!$B$2:$B$659&amp;"|"&amp;PRICES!$D$2:$D$659,PRICES!$E$2:$E$659),"Not Found"))</f>
        <v/>
      </c>
      <c r="Q513" s="100" t="str">
        <f>IF(N513=0,"",SUMIFS(PRICES!$G$2:$G$658,PRICES!$B$2:$B$658,'MAIN TABLE-1 AUTOMATED'!J513,PRICES!$C$2:$C$658,'MAIN TABLE-1 AUTOMATED'!F513,PRICES!$D$2:$D$658,'MAIN TABLE-1 AUTOMATED'!O513))</f>
        <v/>
      </c>
      <c r="R513" s="41" t="str">
        <f>IF(Table1[[#This Row],[QUANTITY]]=0,"",Table1[[#This Row],[UNIT PRICE]]*Table1[[#This Row],[QUANTITY]])</f>
        <v/>
      </c>
      <c r="S513" s="89"/>
      <c r="T513" s="38"/>
      <c r="U513" s="43"/>
      <c r="V513" s="42" t="str">
        <f>IF(Table1[[#This Row],[DATE]]=0,"",YEAR(E513))</f>
        <v/>
      </c>
      <c r="W513" s="40" t="str">
        <f t="shared" si="16"/>
        <v/>
      </c>
      <c r="X513" s="40" t="str">
        <f t="shared" si="17"/>
        <v/>
      </c>
      <c r="Y513" s="40" t="str">
        <f>TEXT(Table1[[#This Row],[YEAR]],"0000")&amp;"-"&amp;Table1[[#This Row],[MONTH]]</f>
        <v>-</v>
      </c>
      <c r="AD513" s="23"/>
    </row>
    <row r="514" spans="1:30" ht="15" customHeight="1" x14ac:dyDescent="0.35">
      <c r="A514" s="24"/>
      <c r="B514" s="38"/>
      <c r="C514" s="38"/>
      <c r="D514" s="38"/>
      <c r="E514" s="37"/>
      <c r="F514" s="38"/>
      <c r="G514" s="198"/>
      <c r="H514" s="198"/>
      <c r="I514" s="39"/>
      <c r="J514" s="38"/>
      <c r="K514" s="198"/>
      <c r="L514" s="38"/>
      <c r="M514" s="38"/>
      <c r="N514" s="38"/>
      <c r="O514" s="38"/>
      <c r="P514" s="40" t="str" cm="1">
        <f t="array" ref="P514">IF(N514="","",IFERROR(_xlfn.XLOOKUP(F514&amp;"|"&amp;J514&amp;"|"&amp;O514,PRICES!$C$2:$C$659&amp;"|"&amp;PRICES!$B$2:$B$659&amp;"|"&amp;PRICES!$D$2:$D$659,PRICES!$E$2:$E$659),"Not Found"))</f>
        <v/>
      </c>
      <c r="Q514" s="100" t="str">
        <f>IF(N514=0,"",SUMIFS(PRICES!$G$2:$G$658,PRICES!$B$2:$B$658,'MAIN TABLE-1 AUTOMATED'!J514,PRICES!$C$2:$C$658,'MAIN TABLE-1 AUTOMATED'!F514,PRICES!$D$2:$D$658,'MAIN TABLE-1 AUTOMATED'!O514))</f>
        <v/>
      </c>
      <c r="R514" s="41" t="str">
        <f>IF(Table1[[#This Row],[QUANTITY]]=0,"",Table1[[#This Row],[UNIT PRICE]]*Table1[[#This Row],[QUANTITY]])</f>
        <v/>
      </c>
      <c r="S514" s="89"/>
      <c r="T514" s="38"/>
      <c r="U514" s="43"/>
      <c r="V514" s="42" t="str">
        <f>IF(Table1[[#This Row],[DATE]]=0,"",YEAR(E514))</f>
        <v/>
      </c>
      <c r="W514" s="40" t="str">
        <f t="shared" si="16"/>
        <v/>
      </c>
      <c r="X514" s="40" t="str">
        <f t="shared" si="17"/>
        <v/>
      </c>
      <c r="Y514" s="40" t="str">
        <f>TEXT(Table1[[#This Row],[YEAR]],"0000")&amp;"-"&amp;Table1[[#This Row],[MONTH]]</f>
        <v>-</v>
      </c>
      <c r="AD514" s="23"/>
    </row>
    <row r="515" spans="1:30" ht="15" customHeight="1" x14ac:dyDescent="0.35">
      <c r="A515" s="24"/>
      <c r="B515" s="38"/>
      <c r="C515" s="38"/>
      <c r="D515" s="38"/>
      <c r="E515" s="37"/>
      <c r="F515" s="38"/>
      <c r="G515" s="198"/>
      <c r="H515" s="198"/>
      <c r="I515" s="39"/>
      <c r="J515" s="38"/>
      <c r="K515" s="198"/>
      <c r="L515" s="38"/>
      <c r="M515" s="38"/>
      <c r="N515" s="38"/>
      <c r="O515" s="38"/>
      <c r="P515" s="40" t="str" cm="1">
        <f t="array" ref="P515">IF(N515="","",IFERROR(_xlfn.XLOOKUP(F515&amp;"|"&amp;J515&amp;"|"&amp;O515,PRICES!$C$2:$C$659&amp;"|"&amp;PRICES!$B$2:$B$659&amp;"|"&amp;PRICES!$D$2:$D$659,PRICES!$E$2:$E$659),"Not Found"))</f>
        <v/>
      </c>
      <c r="Q515" s="100" t="str">
        <f>IF(N515=0,"",SUMIFS(PRICES!$G$2:$G$658,PRICES!$B$2:$B$658,'MAIN TABLE-1 AUTOMATED'!J515,PRICES!$C$2:$C$658,'MAIN TABLE-1 AUTOMATED'!F515,PRICES!$D$2:$D$658,'MAIN TABLE-1 AUTOMATED'!O515))</f>
        <v/>
      </c>
      <c r="R515" s="41" t="str">
        <f>IF(Table1[[#This Row],[QUANTITY]]=0,"",Table1[[#This Row],[UNIT PRICE]]*Table1[[#This Row],[QUANTITY]])</f>
        <v/>
      </c>
      <c r="S515" s="89"/>
      <c r="T515" s="38"/>
      <c r="U515" s="43"/>
      <c r="V515" s="42" t="str">
        <f>IF(Table1[[#This Row],[DATE]]=0,"",YEAR(E515))</f>
        <v/>
      </c>
      <c r="W515" s="40" t="str">
        <f t="shared" si="16"/>
        <v/>
      </c>
      <c r="X515" s="40" t="str">
        <f t="shared" si="17"/>
        <v/>
      </c>
      <c r="Y515" s="40" t="str">
        <f>TEXT(Table1[[#This Row],[YEAR]],"0000")&amp;"-"&amp;Table1[[#This Row],[MONTH]]</f>
        <v>-</v>
      </c>
      <c r="AD515" s="23"/>
    </row>
    <row r="516" spans="1:30" ht="15" customHeight="1" x14ac:dyDescent="0.35">
      <c r="A516" s="24"/>
      <c r="B516" s="38"/>
      <c r="C516" s="38"/>
      <c r="D516" s="38"/>
      <c r="E516" s="37"/>
      <c r="F516" s="38"/>
      <c r="G516" s="198"/>
      <c r="H516" s="198"/>
      <c r="I516" s="39"/>
      <c r="J516" s="38"/>
      <c r="K516" s="198"/>
      <c r="L516" s="38"/>
      <c r="M516" s="38"/>
      <c r="N516" s="38"/>
      <c r="O516" s="38"/>
      <c r="P516" s="40" t="str" cm="1">
        <f t="array" ref="P516">IF(N516="","",IFERROR(_xlfn.XLOOKUP(F516&amp;"|"&amp;J516&amp;"|"&amp;O516,PRICES!$C$2:$C$659&amp;"|"&amp;PRICES!$B$2:$B$659&amp;"|"&amp;PRICES!$D$2:$D$659,PRICES!$E$2:$E$659),"Not Found"))</f>
        <v/>
      </c>
      <c r="Q516" s="100" t="str">
        <f>IF(N516=0,"",SUMIFS(PRICES!$G$2:$G$658,PRICES!$B$2:$B$658,'MAIN TABLE-1 AUTOMATED'!J516,PRICES!$C$2:$C$658,'MAIN TABLE-1 AUTOMATED'!F516,PRICES!$D$2:$D$658,'MAIN TABLE-1 AUTOMATED'!O516))</f>
        <v/>
      </c>
      <c r="R516" s="41" t="str">
        <f>IF(Table1[[#This Row],[QUANTITY]]=0,"",Table1[[#This Row],[UNIT PRICE]]*Table1[[#This Row],[QUANTITY]])</f>
        <v/>
      </c>
      <c r="S516" s="89"/>
      <c r="T516" s="38"/>
      <c r="U516" s="43"/>
      <c r="V516" s="42" t="str">
        <f>IF(Table1[[#This Row],[DATE]]=0,"",YEAR(E516))</f>
        <v/>
      </c>
      <c r="W516" s="40" t="str">
        <f t="shared" si="16"/>
        <v/>
      </c>
      <c r="X516" s="40" t="str">
        <f t="shared" si="17"/>
        <v/>
      </c>
      <c r="Y516" s="40" t="str">
        <f>TEXT(Table1[[#This Row],[YEAR]],"0000")&amp;"-"&amp;Table1[[#This Row],[MONTH]]</f>
        <v>-</v>
      </c>
      <c r="AD516" s="23"/>
    </row>
    <row r="517" spans="1:30" ht="15" customHeight="1" x14ac:dyDescent="0.35">
      <c r="A517" s="24"/>
      <c r="B517" s="38"/>
      <c r="C517" s="38"/>
      <c r="D517" s="38"/>
      <c r="E517" s="37"/>
      <c r="F517" s="38"/>
      <c r="G517" s="198"/>
      <c r="H517" s="198"/>
      <c r="I517" s="39"/>
      <c r="J517" s="38"/>
      <c r="K517" s="198"/>
      <c r="L517" s="38"/>
      <c r="M517" s="38"/>
      <c r="N517" s="38"/>
      <c r="O517" s="38"/>
      <c r="P517" s="40" t="str" cm="1">
        <f t="array" ref="P517">IF(N517="","",IFERROR(_xlfn.XLOOKUP(F517&amp;"|"&amp;J517&amp;"|"&amp;O517,PRICES!$C$2:$C$659&amp;"|"&amp;PRICES!$B$2:$B$659&amp;"|"&amp;PRICES!$D$2:$D$659,PRICES!$E$2:$E$659),"Not Found"))</f>
        <v/>
      </c>
      <c r="Q517" s="100" t="str">
        <f>IF(N517=0,"",SUMIFS(PRICES!$G$2:$G$658,PRICES!$B$2:$B$658,'MAIN TABLE-1 AUTOMATED'!J517,PRICES!$C$2:$C$658,'MAIN TABLE-1 AUTOMATED'!F517,PRICES!$D$2:$D$658,'MAIN TABLE-1 AUTOMATED'!O517))</f>
        <v/>
      </c>
      <c r="R517" s="41" t="str">
        <f>IF(Table1[[#This Row],[QUANTITY]]=0,"",Table1[[#This Row],[UNIT PRICE]]*Table1[[#This Row],[QUANTITY]])</f>
        <v/>
      </c>
      <c r="S517" s="89"/>
      <c r="T517" s="38"/>
      <c r="U517" s="43"/>
      <c r="V517" s="42" t="str">
        <f>IF(Table1[[#This Row],[DATE]]=0,"",YEAR(E517))</f>
        <v/>
      </c>
      <c r="W517" s="40" t="str">
        <f t="shared" si="16"/>
        <v/>
      </c>
      <c r="X517" s="40" t="str">
        <f t="shared" si="17"/>
        <v/>
      </c>
      <c r="Y517" s="40" t="str">
        <f>TEXT(Table1[[#This Row],[YEAR]],"0000")&amp;"-"&amp;Table1[[#This Row],[MONTH]]</f>
        <v>-</v>
      </c>
      <c r="AD517" s="23"/>
    </row>
    <row r="518" spans="1:30" ht="15" customHeight="1" x14ac:dyDescent="0.35">
      <c r="A518" s="24"/>
      <c r="B518" s="38"/>
      <c r="C518" s="38"/>
      <c r="D518" s="38"/>
      <c r="E518" s="37"/>
      <c r="F518" s="38"/>
      <c r="G518" s="198"/>
      <c r="H518" s="198"/>
      <c r="I518" s="39"/>
      <c r="J518" s="38"/>
      <c r="K518" s="198"/>
      <c r="L518" s="38"/>
      <c r="M518" s="38"/>
      <c r="N518" s="38"/>
      <c r="O518" s="38"/>
      <c r="P518" s="40" t="str" cm="1">
        <f t="array" ref="P518">IF(N518="","",IFERROR(_xlfn.XLOOKUP(F518&amp;"|"&amp;J518&amp;"|"&amp;O518,PRICES!$C$2:$C$659&amp;"|"&amp;PRICES!$B$2:$B$659&amp;"|"&amp;PRICES!$D$2:$D$659,PRICES!$E$2:$E$659),"Not Found"))</f>
        <v/>
      </c>
      <c r="Q518" s="100" t="str">
        <f>IF(N518=0,"",SUMIFS(PRICES!$G$2:$G$658,PRICES!$B$2:$B$658,'MAIN TABLE-1 AUTOMATED'!J518,PRICES!$C$2:$C$658,'MAIN TABLE-1 AUTOMATED'!F518,PRICES!$D$2:$D$658,'MAIN TABLE-1 AUTOMATED'!O518))</f>
        <v/>
      </c>
      <c r="R518" s="41" t="str">
        <f>IF(Table1[[#This Row],[QUANTITY]]=0,"",Table1[[#This Row],[UNIT PRICE]]*Table1[[#This Row],[QUANTITY]])</f>
        <v/>
      </c>
      <c r="S518" s="89"/>
      <c r="T518" s="38"/>
      <c r="U518" s="43"/>
      <c r="V518" s="42" t="str">
        <f>IF(Table1[[#This Row],[DATE]]=0,"",YEAR(E518))</f>
        <v/>
      </c>
      <c r="W518" s="40" t="str">
        <f t="shared" si="16"/>
        <v/>
      </c>
      <c r="X518" s="40" t="str">
        <f t="shared" si="17"/>
        <v/>
      </c>
      <c r="Y518" s="40" t="str">
        <f>TEXT(Table1[[#This Row],[YEAR]],"0000")&amp;"-"&amp;Table1[[#This Row],[MONTH]]</f>
        <v>-</v>
      </c>
      <c r="AD518" s="23"/>
    </row>
    <row r="519" spans="1:30" ht="15" customHeight="1" x14ac:dyDescent="0.35">
      <c r="A519" s="24"/>
      <c r="B519" s="38"/>
      <c r="C519" s="38"/>
      <c r="D519" s="38"/>
      <c r="E519" s="37"/>
      <c r="F519" s="38"/>
      <c r="G519" s="198"/>
      <c r="H519" s="198"/>
      <c r="I519" s="39"/>
      <c r="J519" s="38"/>
      <c r="K519" s="198"/>
      <c r="L519" s="38"/>
      <c r="M519" s="38"/>
      <c r="N519" s="38"/>
      <c r="O519" s="38"/>
      <c r="P519" s="40" t="str" cm="1">
        <f t="array" ref="P519">IF(N519="","",IFERROR(_xlfn.XLOOKUP(F519&amp;"|"&amp;J519&amp;"|"&amp;O519,PRICES!$C$2:$C$659&amp;"|"&amp;PRICES!$B$2:$B$659&amp;"|"&amp;PRICES!$D$2:$D$659,PRICES!$E$2:$E$659),"Not Found"))</f>
        <v/>
      </c>
      <c r="Q519" s="100" t="str">
        <f>IF(N519=0,"",SUMIFS(PRICES!$G$2:$G$658,PRICES!$B$2:$B$658,'MAIN TABLE-1 AUTOMATED'!J519,PRICES!$C$2:$C$658,'MAIN TABLE-1 AUTOMATED'!F519,PRICES!$D$2:$D$658,'MAIN TABLE-1 AUTOMATED'!O519))</f>
        <v/>
      </c>
      <c r="R519" s="41" t="str">
        <f>IF(Table1[[#This Row],[QUANTITY]]=0,"",Table1[[#This Row],[UNIT PRICE]]*Table1[[#This Row],[QUANTITY]])</f>
        <v/>
      </c>
      <c r="S519" s="89"/>
      <c r="T519" s="38"/>
      <c r="U519" s="43"/>
      <c r="V519" s="42" t="str">
        <f>IF(Table1[[#This Row],[DATE]]=0,"",YEAR(E519))</f>
        <v/>
      </c>
      <c r="W519" s="40" t="str">
        <f t="shared" si="16"/>
        <v/>
      </c>
      <c r="X519" s="40" t="str">
        <f t="shared" si="17"/>
        <v/>
      </c>
      <c r="Y519" s="40" t="str">
        <f>TEXT(Table1[[#This Row],[YEAR]],"0000")&amp;"-"&amp;Table1[[#This Row],[MONTH]]</f>
        <v>-</v>
      </c>
      <c r="AD519" s="23"/>
    </row>
    <row r="520" spans="1:30" ht="15" customHeight="1" x14ac:dyDescent="0.35">
      <c r="A520" s="24"/>
      <c r="B520" s="38"/>
      <c r="C520" s="38"/>
      <c r="D520" s="38"/>
      <c r="E520" s="37"/>
      <c r="F520" s="38"/>
      <c r="G520" s="198"/>
      <c r="H520" s="198"/>
      <c r="I520" s="39"/>
      <c r="J520" s="38"/>
      <c r="K520" s="198"/>
      <c r="L520" s="38"/>
      <c r="M520" s="38"/>
      <c r="N520" s="38"/>
      <c r="O520" s="38"/>
      <c r="P520" s="40" t="str" cm="1">
        <f t="array" ref="P520">IF(N520="","",IFERROR(_xlfn.XLOOKUP(F520&amp;"|"&amp;J520&amp;"|"&amp;O520,PRICES!$C$2:$C$659&amp;"|"&amp;PRICES!$B$2:$B$659&amp;"|"&amp;PRICES!$D$2:$D$659,PRICES!$E$2:$E$659),"Not Found"))</f>
        <v/>
      </c>
      <c r="Q520" s="100" t="str">
        <f>IF(N520=0,"",SUMIFS(PRICES!$G$2:$G$658,PRICES!$B$2:$B$658,'MAIN TABLE-1 AUTOMATED'!J520,PRICES!$C$2:$C$658,'MAIN TABLE-1 AUTOMATED'!F520,PRICES!$D$2:$D$658,'MAIN TABLE-1 AUTOMATED'!O520))</f>
        <v/>
      </c>
      <c r="R520" s="41" t="str">
        <f>IF(Table1[[#This Row],[QUANTITY]]=0,"",Table1[[#This Row],[UNIT PRICE]]*Table1[[#This Row],[QUANTITY]])</f>
        <v/>
      </c>
      <c r="S520" s="89"/>
      <c r="T520" s="38"/>
      <c r="U520" s="43"/>
      <c r="V520" s="42" t="str">
        <f>IF(Table1[[#This Row],[DATE]]=0,"",YEAR(E520))</f>
        <v/>
      </c>
      <c r="W520" s="40" t="str">
        <f t="shared" si="16"/>
        <v/>
      </c>
      <c r="X520" s="40" t="str">
        <f t="shared" si="17"/>
        <v/>
      </c>
      <c r="Y520" s="40" t="str">
        <f>TEXT(Table1[[#This Row],[YEAR]],"0000")&amp;"-"&amp;Table1[[#This Row],[MONTH]]</f>
        <v>-</v>
      </c>
      <c r="AD520" s="23"/>
    </row>
    <row r="521" spans="1:30" ht="15" customHeight="1" x14ac:dyDescent="0.35">
      <c r="A521" s="24"/>
      <c r="B521" s="38"/>
      <c r="C521" s="38"/>
      <c r="D521" s="38"/>
      <c r="E521" s="37"/>
      <c r="F521" s="38"/>
      <c r="G521" s="198"/>
      <c r="H521" s="198"/>
      <c r="I521" s="39"/>
      <c r="J521" s="38"/>
      <c r="K521" s="198"/>
      <c r="L521" s="38"/>
      <c r="M521" s="38"/>
      <c r="N521" s="38"/>
      <c r="O521" s="38"/>
      <c r="P521" s="40" t="str" cm="1">
        <f t="array" ref="P521">IF(N521="","",IFERROR(_xlfn.XLOOKUP(F521&amp;"|"&amp;J521&amp;"|"&amp;O521,PRICES!$C$2:$C$659&amp;"|"&amp;PRICES!$B$2:$B$659&amp;"|"&amp;PRICES!$D$2:$D$659,PRICES!$E$2:$E$659),"Not Found"))</f>
        <v/>
      </c>
      <c r="Q521" s="100" t="str">
        <f>IF(N521=0,"",SUMIFS(PRICES!$G$2:$G$658,PRICES!$B$2:$B$658,'MAIN TABLE-1 AUTOMATED'!J521,PRICES!$C$2:$C$658,'MAIN TABLE-1 AUTOMATED'!F521,PRICES!$D$2:$D$658,'MAIN TABLE-1 AUTOMATED'!O521))</f>
        <v/>
      </c>
      <c r="R521" s="41" t="str">
        <f>IF(Table1[[#This Row],[QUANTITY]]=0,"",Table1[[#This Row],[UNIT PRICE]]*Table1[[#This Row],[QUANTITY]])</f>
        <v/>
      </c>
      <c r="S521" s="89"/>
      <c r="T521" s="38"/>
      <c r="U521" s="43"/>
      <c r="V521" s="42" t="str">
        <f>IF(Table1[[#This Row],[DATE]]=0,"",YEAR(E521))</f>
        <v/>
      </c>
      <c r="W521" s="40" t="str">
        <f t="shared" si="16"/>
        <v/>
      </c>
      <c r="X521" s="40" t="str">
        <f t="shared" si="17"/>
        <v/>
      </c>
      <c r="Y521" s="40" t="str">
        <f>TEXT(Table1[[#This Row],[YEAR]],"0000")&amp;"-"&amp;Table1[[#This Row],[MONTH]]</f>
        <v>-</v>
      </c>
      <c r="AD521" s="23"/>
    </row>
    <row r="522" spans="1:30" ht="15" customHeight="1" x14ac:dyDescent="0.35">
      <c r="A522" s="24"/>
      <c r="B522" s="38"/>
      <c r="C522" s="38"/>
      <c r="D522" s="38"/>
      <c r="E522" s="37"/>
      <c r="F522" s="38"/>
      <c r="G522" s="198"/>
      <c r="H522" s="198"/>
      <c r="I522" s="39"/>
      <c r="J522" s="38"/>
      <c r="K522" s="198"/>
      <c r="L522" s="38"/>
      <c r="M522" s="38"/>
      <c r="N522" s="38"/>
      <c r="O522" s="38"/>
      <c r="P522" s="40" t="str" cm="1">
        <f t="array" ref="P522">IF(N522="","",IFERROR(_xlfn.XLOOKUP(F522&amp;"|"&amp;J522&amp;"|"&amp;O522,PRICES!$C$2:$C$659&amp;"|"&amp;PRICES!$B$2:$B$659&amp;"|"&amp;PRICES!$D$2:$D$659,PRICES!$E$2:$E$659),"Not Found"))</f>
        <v/>
      </c>
      <c r="Q522" s="100" t="str">
        <f>IF(N522=0,"",SUMIFS(PRICES!$G$2:$G$658,PRICES!$B$2:$B$658,'MAIN TABLE-1 AUTOMATED'!J522,PRICES!$C$2:$C$658,'MAIN TABLE-1 AUTOMATED'!F522,PRICES!$D$2:$D$658,'MAIN TABLE-1 AUTOMATED'!O522))</f>
        <v/>
      </c>
      <c r="R522" s="41" t="str">
        <f>IF(Table1[[#This Row],[QUANTITY]]=0,"",Table1[[#This Row],[UNIT PRICE]]*Table1[[#This Row],[QUANTITY]])</f>
        <v/>
      </c>
      <c r="S522" s="89"/>
      <c r="T522" s="38"/>
      <c r="U522" s="43"/>
      <c r="V522" s="42" t="str">
        <f>IF(Table1[[#This Row],[DATE]]=0,"",YEAR(E522))</f>
        <v/>
      </c>
      <c r="W522" s="40" t="str">
        <f t="shared" si="16"/>
        <v/>
      </c>
      <c r="X522" s="40" t="str">
        <f t="shared" si="17"/>
        <v/>
      </c>
      <c r="Y522" s="40" t="str">
        <f>TEXT(Table1[[#This Row],[YEAR]],"0000")&amp;"-"&amp;Table1[[#This Row],[MONTH]]</f>
        <v>-</v>
      </c>
      <c r="AD522" s="23"/>
    </row>
    <row r="523" spans="1:30" ht="15" customHeight="1" x14ac:dyDescent="0.35">
      <c r="A523" s="24"/>
      <c r="B523" s="38"/>
      <c r="C523" s="38"/>
      <c r="D523" s="38"/>
      <c r="E523" s="37"/>
      <c r="F523" s="38"/>
      <c r="G523" s="198"/>
      <c r="H523" s="198"/>
      <c r="I523" s="39"/>
      <c r="J523" s="38"/>
      <c r="K523" s="198"/>
      <c r="L523" s="38"/>
      <c r="M523" s="38"/>
      <c r="N523" s="38"/>
      <c r="O523" s="38"/>
      <c r="P523" s="40" t="str" cm="1">
        <f t="array" ref="P523">IF(N523="","",IFERROR(_xlfn.XLOOKUP(F523&amp;"|"&amp;J523&amp;"|"&amp;O523,PRICES!$C$2:$C$659&amp;"|"&amp;PRICES!$B$2:$B$659&amp;"|"&amp;PRICES!$D$2:$D$659,PRICES!$E$2:$E$659),"Not Found"))</f>
        <v/>
      </c>
      <c r="Q523" s="100" t="str">
        <f>IF(N523=0,"",SUMIFS(PRICES!$G$2:$G$658,PRICES!$B$2:$B$658,'MAIN TABLE-1 AUTOMATED'!J523,PRICES!$C$2:$C$658,'MAIN TABLE-1 AUTOMATED'!F523,PRICES!$D$2:$D$658,'MAIN TABLE-1 AUTOMATED'!O523))</f>
        <v/>
      </c>
      <c r="R523" s="41" t="str">
        <f>IF(Table1[[#This Row],[QUANTITY]]=0,"",Table1[[#This Row],[UNIT PRICE]]*Table1[[#This Row],[QUANTITY]])</f>
        <v/>
      </c>
      <c r="S523" s="89"/>
      <c r="T523" s="38"/>
      <c r="U523" s="43"/>
      <c r="V523" s="42" t="str">
        <f>IF(Table1[[#This Row],[DATE]]=0,"",YEAR(E523))</f>
        <v/>
      </c>
      <c r="W523" s="40" t="str">
        <f t="shared" si="16"/>
        <v/>
      </c>
      <c r="X523" s="40" t="str">
        <f t="shared" si="17"/>
        <v/>
      </c>
      <c r="Y523" s="40" t="str">
        <f>TEXT(Table1[[#This Row],[YEAR]],"0000")&amp;"-"&amp;Table1[[#This Row],[MONTH]]</f>
        <v>-</v>
      </c>
      <c r="AD523" s="23"/>
    </row>
    <row r="524" spans="1:30" ht="15" customHeight="1" x14ac:dyDescent="0.35">
      <c r="A524" s="24"/>
      <c r="B524" s="38"/>
      <c r="C524" s="38"/>
      <c r="D524" s="38"/>
      <c r="E524" s="37"/>
      <c r="F524" s="38"/>
      <c r="G524" s="198"/>
      <c r="H524" s="198"/>
      <c r="I524" s="39"/>
      <c r="J524" s="38"/>
      <c r="K524" s="198"/>
      <c r="L524" s="38"/>
      <c r="M524" s="38"/>
      <c r="N524" s="38"/>
      <c r="O524" s="38"/>
      <c r="P524" s="40" t="str" cm="1">
        <f t="array" ref="P524">IF(N524="","",IFERROR(_xlfn.XLOOKUP(F524&amp;"|"&amp;J524&amp;"|"&amp;O524,PRICES!$C$2:$C$659&amp;"|"&amp;PRICES!$B$2:$B$659&amp;"|"&amp;PRICES!$D$2:$D$659,PRICES!$E$2:$E$659),"Not Found"))</f>
        <v/>
      </c>
      <c r="Q524" s="100" t="str">
        <f>IF(N524=0,"",SUMIFS(PRICES!$G$2:$G$658,PRICES!$B$2:$B$658,'MAIN TABLE-1 AUTOMATED'!J524,PRICES!$C$2:$C$658,'MAIN TABLE-1 AUTOMATED'!F524,PRICES!$D$2:$D$658,'MAIN TABLE-1 AUTOMATED'!O524))</f>
        <v/>
      </c>
      <c r="R524" s="41" t="str">
        <f>IF(Table1[[#This Row],[QUANTITY]]=0,"",Table1[[#This Row],[UNIT PRICE]]*Table1[[#This Row],[QUANTITY]])</f>
        <v/>
      </c>
      <c r="S524" s="89"/>
      <c r="T524" s="38"/>
      <c r="U524" s="43"/>
      <c r="V524" s="42" t="str">
        <f>IF(Table1[[#This Row],[DATE]]=0,"",YEAR(E524))</f>
        <v/>
      </c>
      <c r="W524" s="40" t="str">
        <f t="shared" si="16"/>
        <v/>
      </c>
      <c r="X524" s="40" t="str">
        <f t="shared" si="17"/>
        <v/>
      </c>
      <c r="Y524" s="40" t="str">
        <f>TEXT(Table1[[#This Row],[YEAR]],"0000")&amp;"-"&amp;Table1[[#This Row],[MONTH]]</f>
        <v>-</v>
      </c>
      <c r="AD524" s="23"/>
    </row>
    <row r="525" spans="1:30" ht="15" customHeight="1" x14ac:dyDescent="0.35">
      <c r="A525" s="24"/>
      <c r="B525" s="38"/>
      <c r="C525" s="38"/>
      <c r="D525" s="38"/>
      <c r="E525" s="37"/>
      <c r="F525" s="38"/>
      <c r="G525" s="198"/>
      <c r="H525" s="198"/>
      <c r="I525" s="39"/>
      <c r="J525" s="38"/>
      <c r="K525" s="198"/>
      <c r="L525" s="38"/>
      <c r="M525" s="38"/>
      <c r="N525" s="38"/>
      <c r="O525" s="38"/>
      <c r="P525" s="40" t="str" cm="1">
        <f t="array" ref="P525">IF(N525="","",IFERROR(_xlfn.XLOOKUP(F525&amp;"|"&amp;J525&amp;"|"&amp;O525,PRICES!$C$2:$C$659&amp;"|"&amp;PRICES!$B$2:$B$659&amp;"|"&amp;PRICES!$D$2:$D$659,PRICES!$E$2:$E$659),"Not Found"))</f>
        <v/>
      </c>
      <c r="Q525" s="100" t="str">
        <f>IF(N525=0,"",SUMIFS(PRICES!$G$2:$G$658,PRICES!$B$2:$B$658,'MAIN TABLE-1 AUTOMATED'!J525,PRICES!$C$2:$C$658,'MAIN TABLE-1 AUTOMATED'!F525,PRICES!$D$2:$D$658,'MAIN TABLE-1 AUTOMATED'!O525))</f>
        <v/>
      </c>
      <c r="R525" s="41" t="str">
        <f>IF(Table1[[#This Row],[QUANTITY]]=0,"",Table1[[#This Row],[UNIT PRICE]]*Table1[[#This Row],[QUANTITY]])</f>
        <v/>
      </c>
      <c r="S525" s="89"/>
      <c r="T525" s="38"/>
      <c r="U525" s="43"/>
      <c r="V525" s="42" t="str">
        <f>IF(Table1[[#This Row],[DATE]]=0,"",YEAR(E525))</f>
        <v/>
      </c>
      <c r="W525" s="40" t="str">
        <f t="shared" si="16"/>
        <v/>
      </c>
      <c r="X525" s="40" t="str">
        <f t="shared" si="17"/>
        <v/>
      </c>
      <c r="Y525" s="40" t="str">
        <f>TEXT(Table1[[#This Row],[YEAR]],"0000")&amp;"-"&amp;Table1[[#This Row],[MONTH]]</f>
        <v>-</v>
      </c>
      <c r="AD525" s="23"/>
    </row>
    <row r="526" spans="1:30" ht="15" customHeight="1" x14ac:dyDescent="0.35">
      <c r="A526" s="24"/>
      <c r="B526" s="38"/>
      <c r="C526" s="38"/>
      <c r="D526" s="38"/>
      <c r="E526" s="37"/>
      <c r="F526" s="38"/>
      <c r="G526" s="198"/>
      <c r="H526" s="198"/>
      <c r="I526" s="39"/>
      <c r="J526" s="38"/>
      <c r="K526" s="198"/>
      <c r="L526" s="38"/>
      <c r="M526" s="38"/>
      <c r="N526" s="38"/>
      <c r="O526" s="38"/>
      <c r="P526" s="40" t="str" cm="1">
        <f t="array" ref="P526">IF(N526="","",IFERROR(_xlfn.XLOOKUP(F526&amp;"|"&amp;J526&amp;"|"&amp;O526,PRICES!$C$2:$C$659&amp;"|"&amp;PRICES!$B$2:$B$659&amp;"|"&amp;PRICES!$D$2:$D$659,PRICES!$E$2:$E$659),"Not Found"))</f>
        <v/>
      </c>
      <c r="Q526" s="100" t="str">
        <f>IF(N526=0,"",SUMIFS(PRICES!$G$2:$G$658,PRICES!$B$2:$B$658,'MAIN TABLE-1 AUTOMATED'!J526,PRICES!$C$2:$C$658,'MAIN TABLE-1 AUTOMATED'!F526,PRICES!$D$2:$D$658,'MAIN TABLE-1 AUTOMATED'!O526))</f>
        <v/>
      </c>
      <c r="R526" s="41" t="str">
        <f>IF(Table1[[#This Row],[QUANTITY]]=0,"",Table1[[#This Row],[UNIT PRICE]]*Table1[[#This Row],[QUANTITY]])</f>
        <v/>
      </c>
      <c r="S526" s="89"/>
      <c r="T526" s="38"/>
      <c r="U526" s="43"/>
      <c r="V526" s="42" t="str">
        <f>IF(Table1[[#This Row],[DATE]]=0,"",YEAR(E526))</f>
        <v/>
      </c>
      <c r="W526" s="40" t="str">
        <f t="shared" si="16"/>
        <v/>
      </c>
      <c r="X526" s="40" t="str">
        <f t="shared" si="17"/>
        <v/>
      </c>
      <c r="Y526" s="40" t="str">
        <f>TEXT(Table1[[#This Row],[YEAR]],"0000")&amp;"-"&amp;Table1[[#This Row],[MONTH]]</f>
        <v>-</v>
      </c>
      <c r="AD526" s="23"/>
    </row>
    <row r="527" spans="1:30" ht="15" customHeight="1" x14ac:dyDescent="0.35">
      <c r="A527" s="24"/>
      <c r="B527" s="38"/>
      <c r="C527" s="38"/>
      <c r="D527" s="38"/>
      <c r="E527" s="37"/>
      <c r="F527" s="38"/>
      <c r="G527" s="198"/>
      <c r="H527" s="198"/>
      <c r="I527" s="39"/>
      <c r="J527" s="38"/>
      <c r="K527" s="198"/>
      <c r="L527" s="38"/>
      <c r="M527" s="38"/>
      <c r="N527" s="38"/>
      <c r="O527" s="38"/>
      <c r="P527" s="40" t="str" cm="1">
        <f t="array" ref="P527">IF(N527="","",IFERROR(_xlfn.XLOOKUP(F527&amp;"|"&amp;J527&amp;"|"&amp;O527,PRICES!$C$2:$C$659&amp;"|"&amp;PRICES!$B$2:$B$659&amp;"|"&amp;PRICES!$D$2:$D$659,PRICES!$E$2:$E$659),"Not Found"))</f>
        <v/>
      </c>
      <c r="Q527" s="100" t="str">
        <f>IF(N527=0,"",SUMIFS(PRICES!$G$2:$G$658,PRICES!$B$2:$B$658,'MAIN TABLE-1 AUTOMATED'!J527,PRICES!$C$2:$C$658,'MAIN TABLE-1 AUTOMATED'!F527,PRICES!$D$2:$D$658,'MAIN TABLE-1 AUTOMATED'!O527))</f>
        <v/>
      </c>
      <c r="R527" s="41" t="str">
        <f>IF(Table1[[#This Row],[QUANTITY]]=0,"",Table1[[#This Row],[UNIT PRICE]]*Table1[[#This Row],[QUANTITY]])</f>
        <v/>
      </c>
      <c r="S527" s="89"/>
      <c r="T527" s="38"/>
      <c r="U527" s="43"/>
      <c r="V527" s="42" t="str">
        <f>IF(Table1[[#This Row],[DATE]]=0,"",YEAR(E527))</f>
        <v/>
      </c>
      <c r="W527" s="40" t="str">
        <f t="shared" si="16"/>
        <v/>
      </c>
      <c r="X527" s="40" t="str">
        <f t="shared" si="17"/>
        <v/>
      </c>
      <c r="Y527" s="40" t="str">
        <f>TEXT(Table1[[#This Row],[YEAR]],"0000")&amp;"-"&amp;Table1[[#This Row],[MONTH]]</f>
        <v>-</v>
      </c>
      <c r="AD527" s="23"/>
    </row>
    <row r="528" spans="1:30" ht="15" customHeight="1" x14ac:dyDescent="0.35">
      <c r="A528" s="24"/>
      <c r="B528" s="38"/>
      <c r="C528" s="38"/>
      <c r="D528" s="38"/>
      <c r="E528" s="37"/>
      <c r="F528" s="38"/>
      <c r="G528" s="198"/>
      <c r="H528" s="198"/>
      <c r="I528" s="39"/>
      <c r="J528" s="38"/>
      <c r="K528" s="198"/>
      <c r="L528" s="38"/>
      <c r="M528" s="38"/>
      <c r="N528" s="38"/>
      <c r="O528" s="38"/>
      <c r="P528" s="40" t="str" cm="1">
        <f t="array" ref="P528">IF(N528="","",IFERROR(_xlfn.XLOOKUP(F528&amp;"|"&amp;J528&amp;"|"&amp;O528,PRICES!$C$2:$C$659&amp;"|"&amp;PRICES!$B$2:$B$659&amp;"|"&amp;PRICES!$D$2:$D$659,PRICES!$E$2:$E$659),"Not Found"))</f>
        <v/>
      </c>
      <c r="Q528" s="100" t="str">
        <f>IF(N528=0,"",SUMIFS(PRICES!$G$2:$G$658,PRICES!$B$2:$B$658,'MAIN TABLE-1 AUTOMATED'!J528,PRICES!$C$2:$C$658,'MAIN TABLE-1 AUTOMATED'!F528,PRICES!$D$2:$D$658,'MAIN TABLE-1 AUTOMATED'!O528))</f>
        <v/>
      </c>
      <c r="R528" s="41" t="str">
        <f>IF(Table1[[#This Row],[QUANTITY]]=0,"",Table1[[#This Row],[UNIT PRICE]]*Table1[[#This Row],[QUANTITY]])</f>
        <v/>
      </c>
      <c r="S528" s="89"/>
      <c r="T528" s="38"/>
      <c r="U528" s="43"/>
      <c r="V528" s="42" t="str">
        <f>IF(Table1[[#This Row],[DATE]]=0,"",YEAR(E528))</f>
        <v/>
      </c>
      <c r="W528" s="40" t="str">
        <f t="shared" si="16"/>
        <v/>
      </c>
      <c r="X528" s="40" t="str">
        <f t="shared" si="17"/>
        <v/>
      </c>
      <c r="Y528" s="40" t="str">
        <f>TEXT(Table1[[#This Row],[YEAR]],"0000")&amp;"-"&amp;Table1[[#This Row],[MONTH]]</f>
        <v>-</v>
      </c>
      <c r="AD528" s="23"/>
    </row>
    <row r="529" spans="1:30" ht="15" customHeight="1" x14ac:dyDescent="0.35">
      <c r="A529" s="24"/>
      <c r="B529" s="38"/>
      <c r="C529" s="38"/>
      <c r="D529" s="38"/>
      <c r="E529" s="37"/>
      <c r="F529" s="38"/>
      <c r="G529" s="198"/>
      <c r="H529" s="198"/>
      <c r="I529" s="39"/>
      <c r="J529" s="38"/>
      <c r="K529" s="198"/>
      <c r="L529" s="38"/>
      <c r="M529" s="38"/>
      <c r="N529" s="38"/>
      <c r="O529" s="38"/>
      <c r="P529" s="40" t="str" cm="1">
        <f t="array" ref="P529">IF(N529="","",IFERROR(_xlfn.XLOOKUP(F529&amp;"|"&amp;J529&amp;"|"&amp;O529,PRICES!$C$2:$C$659&amp;"|"&amp;PRICES!$B$2:$B$659&amp;"|"&amp;PRICES!$D$2:$D$659,PRICES!$E$2:$E$659),"Not Found"))</f>
        <v/>
      </c>
      <c r="Q529" s="100" t="str">
        <f>IF(N529=0,"",SUMIFS(PRICES!$G$2:$G$658,PRICES!$B$2:$B$658,'MAIN TABLE-1 AUTOMATED'!J529,PRICES!$C$2:$C$658,'MAIN TABLE-1 AUTOMATED'!F529,PRICES!$D$2:$D$658,'MAIN TABLE-1 AUTOMATED'!O529))</f>
        <v/>
      </c>
      <c r="R529" s="41" t="str">
        <f>IF(Table1[[#This Row],[QUANTITY]]=0,"",Table1[[#This Row],[UNIT PRICE]]*Table1[[#This Row],[QUANTITY]])</f>
        <v/>
      </c>
      <c r="S529" s="89"/>
      <c r="T529" s="38"/>
      <c r="U529" s="43"/>
      <c r="V529" s="42" t="str">
        <f>IF(Table1[[#This Row],[DATE]]=0,"",YEAR(E529))</f>
        <v/>
      </c>
      <c r="W529" s="40" t="str">
        <f t="shared" si="16"/>
        <v/>
      </c>
      <c r="X529" s="40" t="str">
        <f t="shared" si="17"/>
        <v/>
      </c>
      <c r="Y529" s="40" t="str">
        <f>TEXT(Table1[[#This Row],[YEAR]],"0000")&amp;"-"&amp;Table1[[#This Row],[MONTH]]</f>
        <v>-</v>
      </c>
      <c r="AD529" s="23"/>
    </row>
    <row r="530" spans="1:30" ht="15" customHeight="1" x14ac:dyDescent="0.35">
      <c r="A530" s="24"/>
      <c r="B530" s="38"/>
      <c r="C530" s="38"/>
      <c r="D530" s="38"/>
      <c r="E530" s="37"/>
      <c r="F530" s="38"/>
      <c r="G530" s="198"/>
      <c r="H530" s="198"/>
      <c r="I530" s="39"/>
      <c r="J530" s="38"/>
      <c r="K530" s="198"/>
      <c r="L530" s="38"/>
      <c r="M530" s="38"/>
      <c r="N530" s="38"/>
      <c r="O530" s="38"/>
      <c r="P530" s="40" t="str" cm="1">
        <f t="array" ref="P530">IF(N530="","",IFERROR(_xlfn.XLOOKUP(F530&amp;"|"&amp;J530&amp;"|"&amp;O530,PRICES!$C$2:$C$659&amp;"|"&amp;PRICES!$B$2:$B$659&amp;"|"&amp;PRICES!$D$2:$D$659,PRICES!$E$2:$E$659),"Not Found"))</f>
        <v/>
      </c>
      <c r="Q530" s="100" t="str">
        <f>IF(N530=0,"",SUMIFS(PRICES!$G$2:$G$658,PRICES!$B$2:$B$658,'MAIN TABLE-1 AUTOMATED'!J530,PRICES!$C$2:$C$658,'MAIN TABLE-1 AUTOMATED'!F530,PRICES!$D$2:$D$658,'MAIN TABLE-1 AUTOMATED'!O530))</f>
        <v/>
      </c>
      <c r="R530" s="41" t="str">
        <f>IF(Table1[[#This Row],[QUANTITY]]=0,"",Table1[[#This Row],[UNIT PRICE]]*Table1[[#This Row],[QUANTITY]])</f>
        <v/>
      </c>
      <c r="S530" s="89"/>
      <c r="T530" s="38"/>
      <c r="U530" s="43"/>
      <c r="V530" s="42" t="str">
        <f>IF(Table1[[#This Row],[DATE]]=0,"",YEAR(E530))</f>
        <v/>
      </c>
      <c r="W530" s="40" t="str">
        <f t="shared" si="16"/>
        <v/>
      </c>
      <c r="X530" s="40" t="str">
        <f t="shared" si="17"/>
        <v/>
      </c>
      <c r="Y530" s="40" t="str">
        <f>TEXT(Table1[[#This Row],[YEAR]],"0000")&amp;"-"&amp;Table1[[#This Row],[MONTH]]</f>
        <v>-</v>
      </c>
      <c r="AD530" s="23"/>
    </row>
    <row r="531" spans="1:30" ht="15" customHeight="1" x14ac:dyDescent="0.35">
      <c r="A531" s="24"/>
      <c r="B531" s="36"/>
      <c r="C531" s="38"/>
      <c r="D531" s="38"/>
      <c r="E531" s="37"/>
      <c r="F531" s="38"/>
      <c r="G531" s="198"/>
      <c r="H531" s="198"/>
      <c r="I531" s="39"/>
      <c r="J531" s="38"/>
      <c r="K531" s="198"/>
      <c r="L531" s="38"/>
      <c r="M531" s="38"/>
      <c r="N531" s="38"/>
      <c r="O531" s="38"/>
      <c r="P531" s="40" t="str" cm="1">
        <f t="array" ref="P531">IF(N531="","",IFERROR(_xlfn.XLOOKUP(F531&amp;"|"&amp;J531&amp;"|"&amp;O531,PRICES!$C$2:$C$659&amp;"|"&amp;PRICES!$B$2:$B$659&amp;"|"&amp;PRICES!$D$2:$D$659,PRICES!$E$2:$E$659),"Not Found"))</f>
        <v/>
      </c>
      <c r="Q531" s="100" t="str">
        <f>IF(N531=0,"",SUMIFS(PRICES!$G$2:$G$658,PRICES!$B$2:$B$658,'MAIN TABLE-1 AUTOMATED'!J531,PRICES!$C$2:$C$658,'MAIN TABLE-1 AUTOMATED'!F531,PRICES!$D$2:$D$658,'MAIN TABLE-1 AUTOMATED'!O531))</f>
        <v/>
      </c>
      <c r="R531" s="41" t="str">
        <f>IF(Table1[[#This Row],[QUANTITY]]=0,"",Table1[[#This Row],[UNIT PRICE]]*Table1[[#This Row],[QUANTITY]])</f>
        <v/>
      </c>
      <c r="S531" s="89"/>
      <c r="T531" s="38"/>
      <c r="U531" s="43"/>
      <c r="V531" s="42" t="str">
        <f>IF(Table1[[#This Row],[DATE]]=0,"",YEAR(E531))</f>
        <v/>
      </c>
      <c r="W531" s="40" t="str">
        <f t="shared" si="16"/>
        <v/>
      </c>
      <c r="X531" s="40" t="str">
        <f t="shared" si="17"/>
        <v/>
      </c>
      <c r="Y531" s="40" t="str">
        <f>TEXT(Table1[[#This Row],[YEAR]],"0000")&amp;"-"&amp;Table1[[#This Row],[MONTH]]</f>
        <v>-</v>
      </c>
      <c r="AD531" s="23"/>
    </row>
    <row r="532" spans="1:30" ht="15" customHeight="1" x14ac:dyDescent="0.35">
      <c r="A532" s="24"/>
      <c r="B532" s="36"/>
      <c r="C532" s="38"/>
      <c r="D532" s="38"/>
      <c r="E532" s="37"/>
      <c r="F532" s="38"/>
      <c r="G532" s="198"/>
      <c r="H532" s="198"/>
      <c r="I532" s="39"/>
      <c r="J532" s="38"/>
      <c r="K532" s="198"/>
      <c r="L532" s="38"/>
      <c r="M532" s="38"/>
      <c r="N532" s="38"/>
      <c r="O532" s="38"/>
      <c r="P532" s="40" t="str" cm="1">
        <f t="array" ref="P532">IF(N532="","",IFERROR(_xlfn.XLOOKUP(F532&amp;"|"&amp;J532&amp;"|"&amp;O532,PRICES!$C$2:$C$659&amp;"|"&amp;PRICES!$B$2:$B$659&amp;"|"&amp;PRICES!$D$2:$D$659,PRICES!$E$2:$E$659),"Not Found"))</f>
        <v/>
      </c>
      <c r="Q532" s="100" t="str">
        <f>IF(N532=0,"",SUMIFS(PRICES!$G$2:$G$658,PRICES!$B$2:$B$658,'MAIN TABLE-1 AUTOMATED'!J532,PRICES!$C$2:$C$658,'MAIN TABLE-1 AUTOMATED'!F532,PRICES!$D$2:$D$658,'MAIN TABLE-1 AUTOMATED'!O532))</f>
        <v/>
      </c>
      <c r="R532" s="41" t="str">
        <f>IF(Table1[[#This Row],[QUANTITY]]=0,"",Table1[[#This Row],[UNIT PRICE]]*Table1[[#This Row],[QUANTITY]])</f>
        <v/>
      </c>
      <c r="S532" s="89"/>
      <c r="T532" s="38"/>
      <c r="U532" s="43"/>
      <c r="V532" s="42" t="str">
        <f>IF(Table1[[#This Row],[DATE]]=0,"",YEAR(E532))</f>
        <v/>
      </c>
      <c r="W532" s="40" t="str">
        <f t="shared" si="16"/>
        <v/>
      </c>
      <c r="X532" s="40" t="str">
        <f t="shared" si="17"/>
        <v/>
      </c>
      <c r="Y532" s="40" t="str">
        <f>TEXT(Table1[[#This Row],[YEAR]],"0000")&amp;"-"&amp;Table1[[#This Row],[MONTH]]</f>
        <v>-</v>
      </c>
      <c r="AD532" s="23"/>
    </row>
    <row r="533" spans="1:30" ht="15" customHeight="1" x14ac:dyDescent="0.35">
      <c r="A533" s="24"/>
      <c r="B533" s="36"/>
      <c r="C533" s="38"/>
      <c r="D533" s="38"/>
      <c r="E533" s="37"/>
      <c r="F533" s="38"/>
      <c r="G533" s="198"/>
      <c r="H533" s="198"/>
      <c r="I533" s="39"/>
      <c r="J533" s="38"/>
      <c r="K533" s="198"/>
      <c r="L533" s="38"/>
      <c r="M533" s="38"/>
      <c r="N533" s="38"/>
      <c r="O533" s="38"/>
      <c r="P533" s="40" t="str" cm="1">
        <f t="array" ref="P533">IF(N533="","",IFERROR(_xlfn.XLOOKUP(F533&amp;"|"&amp;J533&amp;"|"&amp;O533,PRICES!$C$2:$C$659&amp;"|"&amp;PRICES!$B$2:$B$659&amp;"|"&amp;PRICES!$D$2:$D$659,PRICES!$E$2:$E$659),"Not Found"))</f>
        <v/>
      </c>
      <c r="Q533" s="100" t="str">
        <f>IF(N533=0,"",SUMIFS(PRICES!$G$2:$G$658,PRICES!$B$2:$B$658,'MAIN TABLE-1 AUTOMATED'!J533,PRICES!$C$2:$C$658,'MAIN TABLE-1 AUTOMATED'!F533,PRICES!$D$2:$D$658,'MAIN TABLE-1 AUTOMATED'!O533))</f>
        <v/>
      </c>
      <c r="R533" s="41" t="str">
        <f>IF(Table1[[#This Row],[QUANTITY]]=0,"",Table1[[#This Row],[UNIT PRICE]]*Table1[[#This Row],[QUANTITY]])</f>
        <v/>
      </c>
      <c r="S533" s="89"/>
      <c r="T533" s="38"/>
      <c r="U533" s="43"/>
      <c r="V533" s="42" t="str">
        <f>IF(Table1[[#This Row],[DATE]]=0,"",YEAR(E533))</f>
        <v/>
      </c>
      <c r="W533" s="40" t="str">
        <f t="shared" si="16"/>
        <v/>
      </c>
      <c r="X533" s="40" t="str">
        <f t="shared" si="17"/>
        <v/>
      </c>
      <c r="Y533" s="40" t="str">
        <f>TEXT(Table1[[#This Row],[YEAR]],"0000")&amp;"-"&amp;Table1[[#This Row],[MONTH]]</f>
        <v>-</v>
      </c>
      <c r="AD533" s="23"/>
    </row>
    <row r="534" spans="1:30" ht="15" customHeight="1" x14ac:dyDescent="0.35">
      <c r="A534" s="24"/>
      <c r="B534" s="36"/>
      <c r="C534" s="38"/>
      <c r="D534" s="38"/>
      <c r="E534" s="37"/>
      <c r="F534" s="38"/>
      <c r="G534" s="198"/>
      <c r="H534" s="198"/>
      <c r="I534" s="39"/>
      <c r="J534" s="38"/>
      <c r="K534" s="198"/>
      <c r="L534" s="38"/>
      <c r="M534" s="38"/>
      <c r="N534" s="38"/>
      <c r="O534" s="38"/>
      <c r="P534" s="40" t="str" cm="1">
        <f t="array" ref="P534">IF(N534="","",IFERROR(_xlfn.XLOOKUP(F534&amp;"|"&amp;J534&amp;"|"&amp;O534,PRICES!$C$2:$C$659&amp;"|"&amp;PRICES!$B$2:$B$659&amp;"|"&amp;PRICES!$D$2:$D$659,PRICES!$E$2:$E$659),"Not Found"))</f>
        <v/>
      </c>
      <c r="Q534" s="100" t="str">
        <f>IF(N534=0,"",SUMIFS(PRICES!$G$2:$G$658,PRICES!$B$2:$B$658,'MAIN TABLE-1 AUTOMATED'!J534,PRICES!$C$2:$C$658,'MAIN TABLE-1 AUTOMATED'!F534,PRICES!$D$2:$D$658,'MAIN TABLE-1 AUTOMATED'!O534))</f>
        <v/>
      </c>
      <c r="R534" s="41" t="str">
        <f>IF(Table1[[#This Row],[QUANTITY]]=0,"",Table1[[#This Row],[UNIT PRICE]]*Table1[[#This Row],[QUANTITY]])</f>
        <v/>
      </c>
      <c r="S534" s="89"/>
      <c r="T534" s="38"/>
      <c r="U534" s="43"/>
      <c r="V534" s="42" t="str">
        <f>IF(Table1[[#This Row],[DATE]]=0,"",YEAR(E534))</f>
        <v/>
      </c>
      <c r="W534" s="40" t="str">
        <f t="shared" si="16"/>
        <v/>
      </c>
      <c r="X534" s="40" t="str">
        <f t="shared" si="17"/>
        <v/>
      </c>
      <c r="Y534" s="40" t="str">
        <f>TEXT(Table1[[#This Row],[YEAR]],"0000")&amp;"-"&amp;Table1[[#This Row],[MONTH]]</f>
        <v>-</v>
      </c>
      <c r="AD534" s="23"/>
    </row>
    <row r="535" spans="1:30" ht="15" customHeight="1" x14ac:dyDescent="0.35">
      <c r="A535" s="24"/>
      <c r="B535" s="36"/>
      <c r="C535" s="38"/>
      <c r="D535" s="38"/>
      <c r="E535" s="37"/>
      <c r="F535" s="38"/>
      <c r="G535" s="198"/>
      <c r="H535" s="198"/>
      <c r="I535" s="39"/>
      <c r="J535" s="38"/>
      <c r="K535" s="198"/>
      <c r="L535" s="38"/>
      <c r="M535" s="38"/>
      <c r="N535" s="38"/>
      <c r="O535" s="38"/>
      <c r="P535" s="40" t="str" cm="1">
        <f t="array" ref="P535">IF(N535="","",IFERROR(_xlfn.XLOOKUP(F535&amp;"|"&amp;J535&amp;"|"&amp;O535,PRICES!$C$2:$C$659&amp;"|"&amp;PRICES!$B$2:$B$659&amp;"|"&amp;PRICES!$D$2:$D$659,PRICES!$E$2:$E$659),"Not Found"))</f>
        <v/>
      </c>
      <c r="Q535" s="100" t="str">
        <f>IF(N535=0,"",SUMIFS(PRICES!$G$2:$G$658,PRICES!$B$2:$B$658,'MAIN TABLE-1 AUTOMATED'!J535,PRICES!$C$2:$C$658,'MAIN TABLE-1 AUTOMATED'!F535,PRICES!$D$2:$D$658,'MAIN TABLE-1 AUTOMATED'!O535))</f>
        <v/>
      </c>
      <c r="R535" s="41" t="str">
        <f>IF(Table1[[#This Row],[QUANTITY]]=0,"",Table1[[#This Row],[UNIT PRICE]]*Table1[[#This Row],[QUANTITY]])</f>
        <v/>
      </c>
      <c r="S535" s="89"/>
      <c r="T535" s="38"/>
      <c r="U535" s="43"/>
      <c r="V535" s="42" t="str">
        <f>IF(Table1[[#This Row],[DATE]]=0,"",YEAR(E535))</f>
        <v/>
      </c>
      <c r="W535" s="40" t="str">
        <f t="shared" si="16"/>
        <v/>
      </c>
      <c r="X535" s="40" t="str">
        <f t="shared" si="17"/>
        <v/>
      </c>
      <c r="Y535" s="40" t="str">
        <f>TEXT(Table1[[#This Row],[YEAR]],"0000")&amp;"-"&amp;Table1[[#This Row],[MONTH]]</f>
        <v>-</v>
      </c>
      <c r="AD535" s="23"/>
    </row>
    <row r="536" spans="1:30" ht="15" customHeight="1" x14ac:dyDescent="0.35">
      <c r="A536" s="24"/>
      <c r="B536" s="38"/>
      <c r="C536" s="38"/>
      <c r="D536" s="38"/>
      <c r="E536" s="37"/>
      <c r="F536" s="38"/>
      <c r="G536" s="198"/>
      <c r="H536" s="198"/>
      <c r="I536" s="39"/>
      <c r="J536" s="38"/>
      <c r="K536" s="198"/>
      <c r="L536" s="38"/>
      <c r="M536" s="38"/>
      <c r="N536" s="38"/>
      <c r="O536" s="38"/>
      <c r="P536" s="40" t="str" cm="1">
        <f t="array" ref="P536">IF(N536="","",IFERROR(_xlfn.XLOOKUP(F536&amp;"|"&amp;J536&amp;"|"&amp;O536,PRICES!$C$2:$C$659&amp;"|"&amp;PRICES!$B$2:$B$659&amp;"|"&amp;PRICES!$D$2:$D$659,PRICES!$E$2:$E$659),"Not Found"))</f>
        <v/>
      </c>
      <c r="Q536" s="100" t="str">
        <f>IF(N536=0,"",SUMIFS(PRICES!$G$2:$G$658,PRICES!$B$2:$B$658,'MAIN TABLE-1 AUTOMATED'!J536,PRICES!$C$2:$C$658,'MAIN TABLE-1 AUTOMATED'!F536,PRICES!$D$2:$D$658,'MAIN TABLE-1 AUTOMATED'!O536))</f>
        <v/>
      </c>
      <c r="R536" s="41" t="str">
        <f>IF(Table1[[#This Row],[QUANTITY]]=0,"",Table1[[#This Row],[UNIT PRICE]]*Table1[[#This Row],[QUANTITY]])</f>
        <v/>
      </c>
      <c r="S536" s="89"/>
      <c r="T536" s="38"/>
      <c r="U536" s="43"/>
      <c r="V536" s="42" t="str">
        <f>IF(Table1[[#This Row],[DATE]]=0,"",YEAR(E536))</f>
        <v/>
      </c>
      <c r="W536" s="40" t="str">
        <f t="shared" si="16"/>
        <v/>
      </c>
      <c r="X536" s="40" t="str">
        <f t="shared" si="17"/>
        <v/>
      </c>
      <c r="Y536" s="40" t="str">
        <f>TEXT(Table1[[#This Row],[YEAR]],"0000")&amp;"-"&amp;Table1[[#This Row],[MONTH]]</f>
        <v>-</v>
      </c>
      <c r="AD536" s="23"/>
    </row>
    <row r="537" spans="1:30" ht="15" customHeight="1" x14ac:dyDescent="0.35">
      <c r="A537" s="24"/>
      <c r="B537" s="38"/>
      <c r="C537" s="38"/>
      <c r="D537" s="38"/>
      <c r="E537" s="37"/>
      <c r="F537" s="38"/>
      <c r="G537" s="198"/>
      <c r="H537" s="198"/>
      <c r="I537" s="39"/>
      <c r="J537" s="38"/>
      <c r="K537" s="198"/>
      <c r="L537" s="38"/>
      <c r="M537" s="38"/>
      <c r="N537" s="38"/>
      <c r="O537" s="38"/>
      <c r="P537" s="40" t="str" cm="1">
        <f t="array" ref="P537">IF(N537="","",IFERROR(_xlfn.XLOOKUP(F537&amp;"|"&amp;J537&amp;"|"&amp;O537,PRICES!$C$2:$C$659&amp;"|"&amp;PRICES!$B$2:$B$659&amp;"|"&amp;PRICES!$D$2:$D$659,PRICES!$E$2:$E$659),"Not Found"))</f>
        <v/>
      </c>
      <c r="Q537" s="100" t="str">
        <f>IF(N537=0,"",SUMIFS(PRICES!$G$2:$G$658,PRICES!$B$2:$B$658,'MAIN TABLE-1 AUTOMATED'!J537,PRICES!$C$2:$C$658,'MAIN TABLE-1 AUTOMATED'!F537,PRICES!$D$2:$D$658,'MAIN TABLE-1 AUTOMATED'!O537))</f>
        <v/>
      </c>
      <c r="R537" s="41" t="str">
        <f>IF(Table1[[#This Row],[QUANTITY]]=0,"",Table1[[#This Row],[UNIT PRICE]]*Table1[[#This Row],[QUANTITY]])</f>
        <v/>
      </c>
      <c r="S537" s="89"/>
      <c r="T537" s="38"/>
      <c r="U537" s="43"/>
      <c r="V537" s="42" t="str">
        <f>IF(Table1[[#This Row],[DATE]]=0,"",YEAR(E537))</f>
        <v/>
      </c>
      <c r="W537" s="40" t="str">
        <f t="shared" si="16"/>
        <v/>
      </c>
      <c r="X537" s="40" t="str">
        <f t="shared" si="17"/>
        <v/>
      </c>
      <c r="Y537" s="40" t="str">
        <f>TEXT(Table1[[#This Row],[YEAR]],"0000")&amp;"-"&amp;Table1[[#This Row],[MONTH]]</f>
        <v>-</v>
      </c>
      <c r="AD537" s="23"/>
    </row>
    <row r="538" spans="1:30" ht="15" customHeight="1" x14ac:dyDescent="0.35">
      <c r="A538" s="24"/>
      <c r="B538" s="38"/>
      <c r="C538" s="38"/>
      <c r="D538" s="38"/>
      <c r="E538" s="37"/>
      <c r="F538" s="38"/>
      <c r="G538" s="198"/>
      <c r="H538" s="198"/>
      <c r="I538" s="39"/>
      <c r="J538" s="38"/>
      <c r="K538" s="198"/>
      <c r="L538" s="38"/>
      <c r="M538" s="38"/>
      <c r="N538" s="38"/>
      <c r="O538" s="38"/>
      <c r="P538" s="40" t="str" cm="1">
        <f t="array" ref="P538">IF(N538="","",IFERROR(_xlfn.XLOOKUP(F538&amp;"|"&amp;J538&amp;"|"&amp;O538,PRICES!$C$2:$C$659&amp;"|"&amp;PRICES!$B$2:$B$659&amp;"|"&amp;PRICES!$D$2:$D$659,PRICES!$E$2:$E$659),"Not Found"))</f>
        <v/>
      </c>
      <c r="Q538" s="100" t="str">
        <f>IF(N538=0,"",SUMIFS(PRICES!$G$2:$G$658,PRICES!$B$2:$B$658,'MAIN TABLE-1 AUTOMATED'!J538,PRICES!$C$2:$C$658,'MAIN TABLE-1 AUTOMATED'!F538,PRICES!$D$2:$D$658,'MAIN TABLE-1 AUTOMATED'!O538))</f>
        <v/>
      </c>
      <c r="R538" s="41" t="str">
        <f>IF(Table1[[#This Row],[QUANTITY]]=0,"",Table1[[#This Row],[UNIT PRICE]]*Table1[[#This Row],[QUANTITY]])</f>
        <v/>
      </c>
      <c r="S538" s="89"/>
      <c r="T538" s="38"/>
      <c r="U538" s="43"/>
      <c r="V538" s="42" t="str">
        <f>IF(Table1[[#This Row],[DATE]]=0,"",YEAR(E538))</f>
        <v/>
      </c>
      <c r="W538" s="40" t="str">
        <f t="shared" si="16"/>
        <v/>
      </c>
      <c r="X538" s="40" t="str">
        <f t="shared" si="17"/>
        <v/>
      </c>
      <c r="Y538" s="40" t="str">
        <f>TEXT(Table1[[#This Row],[YEAR]],"0000")&amp;"-"&amp;Table1[[#This Row],[MONTH]]</f>
        <v>-</v>
      </c>
      <c r="AD538" s="23"/>
    </row>
    <row r="539" spans="1:30" ht="15" customHeight="1" x14ac:dyDescent="0.35">
      <c r="A539" s="24"/>
      <c r="B539" s="36"/>
      <c r="C539" s="38"/>
      <c r="D539" s="38"/>
      <c r="E539" s="37"/>
      <c r="F539" s="38"/>
      <c r="G539" s="198"/>
      <c r="H539" s="198"/>
      <c r="I539" s="39"/>
      <c r="J539" s="38"/>
      <c r="K539" s="198"/>
      <c r="L539" s="38"/>
      <c r="M539" s="38"/>
      <c r="N539" s="38"/>
      <c r="O539" s="38"/>
      <c r="P539" s="40" t="str" cm="1">
        <f t="array" ref="P539">IF(N539="","",IFERROR(_xlfn.XLOOKUP(F539&amp;"|"&amp;J539&amp;"|"&amp;O539,PRICES!$C$2:$C$659&amp;"|"&amp;PRICES!$B$2:$B$659&amp;"|"&amp;PRICES!$D$2:$D$659,PRICES!$E$2:$E$659),"Not Found"))</f>
        <v/>
      </c>
      <c r="Q539" s="100" t="str">
        <f>IF(N539=0,"",SUMIFS(PRICES!$G$2:$G$658,PRICES!$B$2:$B$658,'MAIN TABLE-1 AUTOMATED'!J539,PRICES!$C$2:$C$658,'MAIN TABLE-1 AUTOMATED'!F539,PRICES!$D$2:$D$658,'MAIN TABLE-1 AUTOMATED'!O539))</f>
        <v/>
      </c>
      <c r="R539" s="41" t="str">
        <f>IF(Table1[[#This Row],[QUANTITY]]=0,"",Table1[[#This Row],[UNIT PRICE]]*Table1[[#This Row],[QUANTITY]])</f>
        <v/>
      </c>
      <c r="S539" s="89"/>
      <c r="T539" s="38"/>
      <c r="U539" s="43"/>
      <c r="V539" s="42" t="str">
        <f>IF(Table1[[#This Row],[DATE]]=0,"",YEAR(E539))</f>
        <v/>
      </c>
      <c r="W539" s="40" t="str">
        <f t="shared" si="16"/>
        <v/>
      </c>
      <c r="X539" s="40" t="str">
        <f t="shared" si="17"/>
        <v/>
      </c>
      <c r="Y539" s="40" t="str">
        <f>TEXT(Table1[[#This Row],[YEAR]],"0000")&amp;"-"&amp;Table1[[#This Row],[MONTH]]</f>
        <v>-</v>
      </c>
      <c r="AD539" s="23"/>
    </row>
    <row r="540" spans="1:30" ht="15" customHeight="1" x14ac:dyDescent="0.35">
      <c r="A540" s="24"/>
      <c r="B540" s="36"/>
      <c r="C540" s="38"/>
      <c r="D540" s="38"/>
      <c r="E540" s="37"/>
      <c r="F540" s="38"/>
      <c r="G540" s="198"/>
      <c r="H540" s="198"/>
      <c r="I540" s="39"/>
      <c r="J540" s="38"/>
      <c r="K540" s="198"/>
      <c r="L540" s="38"/>
      <c r="M540" s="38"/>
      <c r="N540" s="38"/>
      <c r="O540" s="38"/>
      <c r="P540" s="40" t="str" cm="1">
        <f t="array" ref="P540">IF(N540="","",IFERROR(_xlfn.XLOOKUP(F540&amp;"|"&amp;J540&amp;"|"&amp;O540,PRICES!$C$2:$C$659&amp;"|"&amp;PRICES!$B$2:$B$659&amp;"|"&amp;PRICES!$D$2:$D$659,PRICES!$E$2:$E$659),"Not Found"))</f>
        <v/>
      </c>
      <c r="Q540" s="100" t="str">
        <f>IF(N540=0,"",SUMIFS(PRICES!$G$2:$G$658,PRICES!$B$2:$B$658,'MAIN TABLE-1 AUTOMATED'!J540,PRICES!$C$2:$C$658,'MAIN TABLE-1 AUTOMATED'!F540,PRICES!$D$2:$D$658,'MAIN TABLE-1 AUTOMATED'!O540))</f>
        <v/>
      </c>
      <c r="R540" s="41" t="str">
        <f>IF(Table1[[#This Row],[QUANTITY]]=0,"",Table1[[#This Row],[UNIT PRICE]]*Table1[[#This Row],[QUANTITY]])</f>
        <v/>
      </c>
      <c r="S540" s="89"/>
      <c r="T540" s="38"/>
      <c r="U540" s="43"/>
      <c r="V540" s="42" t="str">
        <f>IF(Table1[[#This Row],[DATE]]=0,"",YEAR(E540))</f>
        <v/>
      </c>
      <c r="W540" s="40" t="str">
        <f t="shared" si="16"/>
        <v/>
      </c>
      <c r="X540" s="40" t="str">
        <f t="shared" si="17"/>
        <v/>
      </c>
      <c r="Y540" s="40" t="str">
        <f>TEXT(Table1[[#This Row],[YEAR]],"0000")&amp;"-"&amp;Table1[[#This Row],[MONTH]]</f>
        <v>-</v>
      </c>
      <c r="AD540" s="23"/>
    </row>
    <row r="541" spans="1:30" ht="15" customHeight="1" x14ac:dyDescent="0.35">
      <c r="A541" s="24"/>
      <c r="B541" s="36"/>
      <c r="C541" s="38"/>
      <c r="D541" s="38"/>
      <c r="E541" s="37"/>
      <c r="F541" s="38"/>
      <c r="G541" s="198"/>
      <c r="H541" s="198"/>
      <c r="I541" s="39"/>
      <c r="J541" s="38"/>
      <c r="K541" s="198"/>
      <c r="L541" s="38"/>
      <c r="M541" s="38"/>
      <c r="N541" s="38"/>
      <c r="O541" s="38"/>
      <c r="P541" s="40" t="str" cm="1">
        <f t="array" ref="P541">IF(N541="","",IFERROR(_xlfn.XLOOKUP(F541&amp;"|"&amp;J541&amp;"|"&amp;O541,PRICES!$C$2:$C$659&amp;"|"&amp;PRICES!$B$2:$B$659&amp;"|"&amp;PRICES!$D$2:$D$659,PRICES!$E$2:$E$659),"Not Found"))</f>
        <v/>
      </c>
      <c r="Q541" s="100" t="str">
        <f>IF(N541=0,"",SUMIFS(PRICES!$G$2:$G$658,PRICES!$B$2:$B$658,'MAIN TABLE-1 AUTOMATED'!J541,PRICES!$C$2:$C$658,'MAIN TABLE-1 AUTOMATED'!F541,PRICES!$D$2:$D$658,'MAIN TABLE-1 AUTOMATED'!O541))</f>
        <v/>
      </c>
      <c r="R541" s="41" t="str">
        <f>IF(Table1[[#This Row],[QUANTITY]]=0,"",Table1[[#This Row],[UNIT PRICE]]*Table1[[#This Row],[QUANTITY]])</f>
        <v/>
      </c>
      <c r="S541" s="89"/>
      <c r="T541" s="38"/>
      <c r="U541" s="43"/>
      <c r="V541" s="42" t="str">
        <f>IF(Table1[[#This Row],[DATE]]=0,"",YEAR(E541))</f>
        <v/>
      </c>
      <c r="W541" s="40" t="str">
        <f t="shared" si="16"/>
        <v/>
      </c>
      <c r="X541" s="40" t="str">
        <f t="shared" si="17"/>
        <v/>
      </c>
      <c r="Y541" s="40" t="str">
        <f>TEXT(Table1[[#This Row],[YEAR]],"0000")&amp;"-"&amp;Table1[[#This Row],[MONTH]]</f>
        <v>-</v>
      </c>
      <c r="AD541" s="23"/>
    </row>
    <row r="542" spans="1:30" ht="15" customHeight="1" x14ac:dyDescent="0.35">
      <c r="A542" s="24"/>
      <c r="B542" s="36"/>
      <c r="C542" s="38"/>
      <c r="D542" s="38"/>
      <c r="E542" s="37"/>
      <c r="F542" s="38"/>
      <c r="G542" s="198"/>
      <c r="H542" s="198"/>
      <c r="I542" s="39"/>
      <c r="J542" s="38"/>
      <c r="K542" s="198"/>
      <c r="L542" s="38"/>
      <c r="M542" s="38"/>
      <c r="N542" s="38"/>
      <c r="O542" s="38"/>
      <c r="P542" s="40" t="str" cm="1">
        <f t="array" ref="P542">IF(N542="","",IFERROR(_xlfn.XLOOKUP(F542&amp;"|"&amp;J542&amp;"|"&amp;O542,PRICES!$C$2:$C$659&amp;"|"&amp;PRICES!$B$2:$B$659&amp;"|"&amp;PRICES!$D$2:$D$659,PRICES!$E$2:$E$659),"Not Found"))</f>
        <v/>
      </c>
      <c r="Q542" s="100" t="str">
        <f>IF(N542=0,"",SUMIFS(PRICES!$G$2:$G$658,PRICES!$B$2:$B$658,'MAIN TABLE-1 AUTOMATED'!J542,PRICES!$C$2:$C$658,'MAIN TABLE-1 AUTOMATED'!F542,PRICES!$D$2:$D$658,'MAIN TABLE-1 AUTOMATED'!O542))</f>
        <v/>
      </c>
      <c r="R542" s="41" t="str">
        <f>IF(Table1[[#This Row],[QUANTITY]]=0,"",Table1[[#This Row],[UNIT PRICE]]*Table1[[#This Row],[QUANTITY]])</f>
        <v/>
      </c>
      <c r="S542" s="89"/>
      <c r="T542" s="38"/>
      <c r="U542" s="43"/>
      <c r="V542" s="42" t="str">
        <f>IF(Table1[[#This Row],[DATE]]=0,"",YEAR(E542))</f>
        <v/>
      </c>
      <c r="W542" s="40" t="str">
        <f t="shared" si="16"/>
        <v/>
      </c>
      <c r="X542" s="40" t="str">
        <f t="shared" si="17"/>
        <v/>
      </c>
      <c r="Y542" s="40" t="str">
        <f>TEXT(Table1[[#This Row],[YEAR]],"0000")&amp;"-"&amp;Table1[[#This Row],[MONTH]]</f>
        <v>-</v>
      </c>
      <c r="AD542" s="23"/>
    </row>
    <row r="543" spans="1:30" ht="15" customHeight="1" x14ac:dyDescent="0.35">
      <c r="A543" s="24"/>
      <c r="B543" s="36"/>
      <c r="C543" s="38"/>
      <c r="D543" s="38"/>
      <c r="E543" s="37"/>
      <c r="F543" s="38"/>
      <c r="G543" s="198"/>
      <c r="H543" s="198"/>
      <c r="I543" s="39"/>
      <c r="J543" s="38"/>
      <c r="K543" s="198"/>
      <c r="L543" s="38"/>
      <c r="M543" s="38"/>
      <c r="N543" s="38"/>
      <c r="O543" s="38"/>
      <c r="P543" s="40" t="str" cm="1">
        <f t="array" ref="P543">IF(N543="","",IFERROR(_xlfn.XLOOKUP(F543&amp;"|"&amp;J543&amp;"|"&amp;O543,PRICES!$C$2:$C$659&amp;"|"&amp;PRICES!$B$2:$B$659&amp;"|"&amp;PRICES!$D$2:$D$659,PRICES!$E$2:$E$659),"Not Found"))</f>
        <v/>
      </c>
      <c r="Q543" s="100" t="str">
        <f>IF(N543=0,"",SUMIFS(PRICES!$G$2:$G$658,PRICES!$B$2:$B$658,'MAIN TABLE-1 AUTOMATED'!J543,PRICES!$C$2:$C$658,'MAIN TABLE-1 AUTOMATED'!F543,PRICES!$D$2:$D$658,'MAIN TABLE-1 AUTOMATED'!O543))</f>
        <v/>
      </c>
      <c r="R543" s="41" t="str">
        <f>IF(Table1[[#This Row],[QUANTITY]]=0,"",Table1[[#This Row],[UNIT PRICE]]*Table1[[#This Row],[QUANTITY]])</f>
        <v/>
      </c>
      <c r="S543" s="89"/>
      <c r="T543" s="38"/>
      <c r="U543" s="43"/>
      <c r="V543" s="42" t="str">
        <f>IF(Table1[[#This Row],[DATE]]=0,"",YEAR(E543))</f>
        <v/>
      </c>
      <c r="W543" s="40" t="str">
        <f t="shared" ref="W543:W606" si="18">IF(E543=0,"",MONTH(E543))</f>
        <v/>
      </c>
      <c r="X543" s="40" t="str">
        <f t="shared" ref="X543:X606" si="19">IF(E543=0,"",WEEKNUM(E543))</f>
        <v/>
      </c>
      <c r="Y543" s="40" t="str">
        <f>TEXT(Table1[[#This Row],[YEAR]],"0000")&amp;"-"&amp;Table1[[#This Row],[MONTH]]</f>
        <v>-</v>
      </c>
      <c r="AD543" s="23"/>
    </row>
    <row r="544" spans="1:30" ht="15" customHeight="1" x14ac:dyDescent="0.35">
      <c r="A544" s="24"/>
      <c r="B544" s="38"/>
      <c r="C544" s="38"/>
      <c r="D544" s="38"/>
      <c r="E544" s="37"/>
      <c r="F544" s="38"/>
      <c r="G544" s="198"/>
      <c r="H544" s="198"/>
      <c r="I544" s="39"/>
      <c r="J544" s="38"/>
      <c r="K544" s="198"/>
      <c r="L544" s="38"/>
      <c r="M544" s="38"/>
      <c r="N544" s="38"/>
      <c r="O544" s="38"/>
      <c r="P544" s="40" t="str" cm="1">
        <f t="array" ref="P544">IF(N544="","",IFERROR(_xlfn.XLOOKUP(F544&amp;"|"&amp;J544&amp;"|"&amp;O544,PRICES!$C$2:$C$659&amp;"|"&amp;PRICES!$B$2:$B$659&amp;"|"&amp;PRICES!$D$2:$D$659,PRICES!$E$2:$E$659),"Not Found"))</f>
        <v/>
      </c>
      <c r="Q544" s="100" t="str">
        <f>IF(N544=0,"",SUMIFS(PRICES!$G$2:$G$658,PRICES!$B$2:$B$658,'MAIN TABLE-1 AUTOMATED'!J544,PRICES!$C$2:$C$658,'MAIN TABLE-1 AUTOMATED'!F544,PRICES!$D$2:$D$658,'MAIN TABLE-1 AUTOMATED'!O544))</f>
        <v/>
      </c>
      <c r="R544" s="41" t="str">
        <f>IF(Table1[[#This Row],[QUANTITY]]=0,"",Table1[[#This Row],[UNIT PRICE]]*Table1[[#This Row],[QUANTITY]])</f>
        <v/>
      </c>
      <c r="S544" s="89"/>
      <c r="T544" s="38"/>
      <c r="U544" s="43"/>
      <c r="V544" s="42" t="str">
        <f>IF(Table1[[#This Row],[DATE]]=0,"",YEAR(E544))</f>
        <v/>
      </c>
      <c r="W544" s="40" t="str">
        <f t="shared" si="18"/>
        <v/>
      </c>
      <c r="X544" s="40" t="str">
        <f t="shared" si="19"/>
        <v/>
      </c>
      <c r="Y544" s="40" t="str">
        <f>TEXT(Table1[[#This Row],[YEAR]],"0000")&amp;"-"&amp;Table1[[#This Row],[MONTH]]</f>
        <v>-</v>
      </c>
      <c r="AD544" s="23"/>
    </row>
    <row r="545" spans="1:30" ht="15" customHeight="1" x14ac:dyDescent="0.35">
      <c r="A545" s="24"/>
      <c r="B545" s="38"/>
      <c r="C545" s="38"/>
      <c r="D545" s="38"/>
      <c r="E545" s="37"/>
      <c r="F545" s="38"/>
      <c r="G545" s="198"/>
      <c r="H545" s="198"/>
      <c r="I545" s="39"/>
      <c r="J545" s="38"/>
      <c r="K545" s="198"/>
      <c r="L545" s="38"/>
      <c r="M545" s="38"/>
      <c r="N545" s="38"/>
      <c r="O545" s="38"/>
      <c r="P545" s="40" t="str" cm="1">
        <f t="array" ref="P545">IF(N545="","",IFERROR(_xlfn.XLOOKUP(F545&amp;"|"&amp;J545&amp;"|"&amp;O545,PRICES!$C$2:$C$659&amp;"|"&amp;PRICES!$B$2:$B$659&amp;"|"&amp;PRICES!$D$2:$D$659,PRICES!$E$2:$E$659),"Not Found"))</f>
        <v/>
      </c>
      <c r="Q545" s="100" t="str">
        <f>IF(N545=0,"",SUMIFS(PRICES!$G$2:$G$658,PRICES!$B$2:$B$658,'MAIN TABLE-1 AUTOMATED'!J545,PRICES!$C$2:$C$658,'MAIN TABLE-1 AUTOMATED'!F545,PRICES!$D$2:$D$658,'MAIN TABLE-1 AUTOMATED'!O545))</f>
        <v/>
      </c>
      <c r="R545" s="41" t="str">
        <f>IF(Table1[[#This Row],[QUANTITY]]=0,"",Table1[[#This Row],[UNIT PRICE]]*Table1[[#This Row],[QUANTITY]])</f>
        <v/>
      </c>
      <c r="S545" s="89"/>
      <c r="T545" s="38"/>
      <c r="U545" s="43"/>
      <c r="V545" s="42" t="str">
        <f>IF(Table1[[#This Row],[DATE]]=0,"",YEAR(E545))</f>
        <v/>
      </c>
      <c r="W545" s="40" t="str">
        <f t="shared" si="18"/>
        <v/>
      </c>
      <c r="X545" s="40" t="str">
        <f t="shared" si="19"/>
        <v/>
      </c>
      <c r="Y545" s="40" t="str">
        <f>TEXT(Table1[[#This Row],[YEAR]],"0000")&amp;"-"&amp;Table1[[#This Row],[MONTH]]</f>
        <v>-</v>
      </c>
      <c r="AD545" s="23"/>
    </row>
    <row r="546" spans="1:30" ht="15" customHeight="1" x14ac:dyDescent="0.35">
      <c r="A546" s="24"/>
      <c r="B546" s="38"/>
      <c r="C546" s="38"/>
      <c r="D546" s="38"/>
      <c r="E546" s="37"/>
      <c r="F546" s="38"/>
      <c r="G546" s="198"/>
      <c r="H546" s="198"/>
      <c r="I546" s="39"/>
      <c r="J546" s="38"/>
      <c r="K546" s="198"/>
      <c r="L546" s="38"/>
      <c r="M546" s="38"/>
      <c r="N546" s="38"/>
      <c r="O546" s="38"/>
      <c r="P546" s="40" t="str" cm="1">
        <f t="array" ref="P546">IF(N546="","",IFERROR(_xlfn.XLOOKUP(F546&amp;"|"&amp;J546&amp;"|"&amp;O546,PRICES!$C$2:$C$659&amp;"|"&amp;PRICES!$B$2:$B$659&amp;"|"&amp;PRICES!$D$2:$D$659,PRICES!$E$2:$E$659),"Not Found"))</f>
        <v/>
      </c>
      <c r="Q546" s="100" t="str">
        <f>IF(N546=0,"",SUMIFS(PRICES!$G$2:$G$658,PRICES!$B$2:$B$658,'MAIN TABLE-1 AUTOMATED'!J546,PRICES!$C$2:$C$658,'MAIN TABLE-1 AUTOMATED'!F546,PRICES!$D$2:$D$658,'MAIN TABLE-1 AUTOMATED'!O546))</f>
        <v/>
      </c>
      <c r="R546" s="41" t="str">
        <f>IF(Table1[[#This Row],[QUANTITY]]=0,"",Table1[[#This Row],[UNIT PRICE]]*Table1[[#This Row],[QUANTITY]])</f>
        <v/>
      </c>
      <c r="S546" s="89"/>
      <c r="T546" s="38"/>
      <c r="U546" s="43"/>
      <c r="V546" s="42" t="str">
        <f>IF(Table1[[#This Row],[DATE]]=0,"",YEAR(E546))</f>
        <v/>
      </c>
      <c r="W546" s="40" t="str">
        <f t="shared" si="18"/>
        <v/>
      </c>
      <c r="X546" s="40" t="str">
        <f t="shared" si="19"/>
        <v/>
      </c>
      <c r="Y546" s="40" t="str">
        <f>TEXT(Table1[[#This Row],[YEAR]],"0000")&amp;"-"&amp;Table1[[#This Row],[MONTH]]</f>
        <v>-</v>
      </c>
      <c r="AD546" s="23"/>
    </row>
    <row r="547" spans="1:30" ht="15" customHeight="1" x14ac:dyDescent="0.35">
      <c r="A547" s="24"/>
      <c r="B547" s="38"/>
      <c r="C547" s="38"/>
      <c r="D547" s="38"/>
      <c r="E547" s="37"/>
      <c r="F547" s="38"/>
      <c r="G547" s="198"/>
      <c r="H547" s="198"/>
      <c r="I547" s="39"/>
      <c r="J547" s="38"/>
      <c r="K547" s="198"/>
      <c r="L547" s="38"/>
      <c r="M547" s="38"/>
      <c r="N547" s="38"/>
      <c r="O547" s="38"/>
      <c r="P547" s="40" t="str" cm="1">
        <f t="array" ref="P547">IF(N547="","",IFERROR(_xlfn.XLOOKUP(F547&amp;"|"&amp;J547&amp;"|"&amp;O547,PRICES!$C$2:$C$659&amp;"|"&amp;PRICES!$B$2:$B$659&amp;"|"&amp;PRICES!$D$2:$D$659,PRICES!$E$2:$E$659),"Not Found"))</f>
        <v/>
      </c>
      <c r="Q547" s="100" t="str">
        <f>IF(N547=0,"",SUMIFS(PRICES!$G$2:$G$658,PRICES!$B$2:$B$658,'MAIN TABLE-1 AUTOMATED'!J547,PRICES!$C$2:$C$658,'MAIN TABLE-1 AUTOMATED'!F547,PRICES!$D$2:$D$658,'MAIN TABLE-1 AUTOMATED'!O547))</f>
        <v/>
      </c>
      <c r="R547" s="41" t="str">
        <f>IF(Table1[[#This Row],[QUANTITY]]=0,"",Table1[[#This Row],[UNIT PRICE]]*Table1[[#This Row],[QUANTITY]])</f>
        <v/>
      </c>
      <c r="S547" s="89"/>
      <c r="T547" s="38"/>
      <c r="U547" s="43"/>
      <c r="V547" s="42" t="str">
        <f>IF(Table1[[#This Row],[DATE]]=0,"",YEAR(E547))</f>
        <v/>
      </c>
      <c r="W547" s="40" t="str">
        <f t="shared" si="18"/>
        <v/>
      </c>
      <c r="X547" s="40" t="str">
        <f t="shared" si="19"/>
        <v/>
      </c>
      <c r="Y547" s="40" t="str">
        <f>TEXT(Table1[[#This Row],[YEAR]],"0000")&amp;"-"&amp;Table1[[#This Row],[MONTH]]</f>
        <v>-</v>
      </c>
      <c r="AD547" s="23"/>
    </row>
    <row r="548" spans="1:30" ht="15" customHeight="1" x14ac:dyDescent="0.35">
      <c r="A548" s="24"/>
      <c r="B548" s="38"/>
      <c r="C548" s="38"/>
      <c r="D548" s="38"/>
      <c r="E548" s="37"/>
      <c r="F548" s="38"/>
      <c r="G548" s="198"/>
      <c r="H548" s="198"/>
      <c r="I548" s="39"/>
      <c r="J548" s="38"/>
      <c r="K548" s="198"/>
      <c r="L548" s="38"/>
      <c r="M548" s="38"/>
      <c r="N548" s="38"/>
      <c r="O548" s="38"/>
      <c r="P548" s="40" t="str" cm="1">
        <f t="array" ref="P548">IF(N548="","",IFERROR(_xlfn.XLOOKUP(F548&amp;"|"&amp;J548&amp;"|"&amp;O548,PRICES!$C$2:$C$659&amp;"|"&amp;PRICES!$B$2:$B$659&amp;"|"&amp;PRICES!$D$2:$D$659,PRICES!$E$2:$E$659),"Not Found"))</f>
        <v/>
      </c>
      <c r="Q548" s="100" t="str">
        <f>IF(N548=0,"",SUMIFS(PRICES!$G$2:$G$658,PRICES!$B$2:$B$658,'MAIN TABLE-1 AUTOMATED'!J548,PRICES!$C$2:$C$658,'MAIN TABLE-1 AUTOMATED'!F548,PRICES!$D$2:$D$658,'MAIN TABLE-1 AUTOMATED'!O548))</f>
        <v/>
      </c>
      <c r="R548" s="41" t="str">
        <f>IF(Table1[[#This Row],[QUANTITY]]=0,"",Table1[[#This Row],[UNIT PRICE]]*Table1[[#This Row],[QUANTITY]])</f>
        <v/>
      </c>
      <c r="S548" s="89"/>
      <c r="T548" s="38"/>
      <c r="U548" s="43"/>
      <c r="V548" s="42" t="str">
        <f>IF(Table1[[#This Row],[DATE]]=0,"",YEAR(E548))</f>
        <v/>
      </c>
      <c r="W548" s="40" t="str">
        <f t="shared" si="18"/>
        <v/>
      </c>
      <c r="X548" s="40" t="str">
        <f t="shared" si="19"/>
        <v/>
      </c>
      <c r="Y548" s="40" t="str">
        <f>TEXT(Table1[[#This Row],[YEAR]],"0000")&amp;"-"&amp;Table1[[#This Row],[MONTH]]</f>
        <v>-</v>
      </c>
      <c r="AD548" s="23"/>
    </row>
    <row r="549" spans="1:30" ht="15" customHeight="1" x14ac:dyDescent="0.35">
      <c r="A549" s="24"/>
      <c r="B549" s="38"/>
      <c r="C549" s="38"/>
      <c r="D549" s="38"/>
      <c r="E549" s="37"/>
      <c r="F549" s="38"/>
      <c r="G549" s="198"/>
      <c r="H549" s="198"/>
      <c r="I549" s="39"/>
      <c r="J549" s="38"/>
      <c r="K549" s="198"/>
      <c r="L549" s="38"/>
      <c r="M549" s="38"/>
      <c r="N549" s="38"/>
      <c r="O549" s="38"/>
      <c r="P549" s="40" t="str" cm="1">
        <f t="array" ref="P549">IF(N549="","",IFERROR(_xlfn.XLOOKUP(F549&amp;"|"&amp;J549&amp;"|"&amp;O549,PRICES!$C$2:$C$659&amp;"|"&amp;PRICES!$B$2:$B$659&amp;"|"&amp;PRICES!$D$2:$D$659,PRICES!$E$2:$E$659),"Not Found"))</f>
        <v/>
      </c>
      <c r="Q549" s="100" t="str">
        <f>IF(N549=0,"",SUMIFS(PRICES!$G$2:$G$658,PRICES!$B$2:$B$658,'MAIN TABLE-1 AUTOMATED'!J549,PRICES!$C$2:$C$658,'MAIN TABLE-1 AUTOMATED'!F549,PRICES!$D$2:$D$658,'MAIN TABLE-1 AUTOMATED'!O549))</f>
        <v/>
      </c>
      <c r="R549" s="41" t="str">
        <f>IF(Table1[[#This Row],[QUANTITY]]=0,"",Table1[[#This Row],[UNIT PRICE]]*Table1[[#This Row],[QUANTITY]])</f>
        <v/>
      </c>
      <c r="S549" s="89"/>
      <c r="T549" s="38"/>
      <c r="U549" s="43"/>
      <c r="V549" s="42" t="str">
        <f>IF(Table1[[#This Row],[DATE]]=0,"",YEAR(E549))</f>
        <v/>
      </c>
      <c r="W549" s="40" t="str">
        <f t="shared" si="18"/>
        <v/>
      </c>
      <c r="X549" s="40" t="str">
        <f t="shared" si="19"/>
        <v/>
      </c>
      <c r="Y549" s="40" t="str">
        <f>TEXT(Table1[[#This Row],[YEAR]],"0000")&amp;"-"&amp;Table1[[#This Row],[MONTH]]</f>
        <v>-</v>
      </c>
      <c r="AD549" s="23"/>
    </row>
    <row r="550" spans="1:30" ht="15" customHeight="1" x14ac:dyDescent="0.35">
      <c r="A550" s="24"/>
      <c r="B550" s="36"/>
      <c r="C550" s="38"/>
      <c r="D550" s="38"/>
      <c r="E550" s="37"/>
      <c r="F550" s="38"/>
      <c r="G550" s="198"/>
      <c r="H550" s="198"/>
      <c r="I550" s="39"/>
      <c r="J550" s="38"/>
      <c r="K550" s="198"/>
      <c r="L550" s="38"/>
      <c r="M550" s="38"/>
      <c r="N550" s="38"/>
      <c r="O550" s="38"/>
      <c r="P550" s="40" t="str" cm="1">
        <f t="array" ref="P550">IF(N550="","",IFERROR(_xlfn.XLOOKUP(F550&amp;"|"&amp;J550&amp;"|"&amp;O550,PRICES!$C$2:$C$659&amp;"|"&amp;PRICES!$B$2:$B$659&amp;"|"&amp;PRICES!$D$2:$D$659,PRICES!$E$2:$E$659),"Not Found"))</f>
        <v/>
      </c>
      <c r="Q550" s="100" t="str">
        <f>IF(N550=0,"",SUMIFS(PRICES!$G$2:$G$658,PRICES!$B$2:$B$658,'MAIN TABLE-1 AUTOMATED'!J550,PRICES!$C$2:$C$658,'MAIN TABLE-1 AUTOMATED'!F550,PRICES!$D$2:$D$658,'MAIN TABLE-1 AUTOMATED'!O550))</f>
        <v/>
      </c>
      <c r="R550" s="41" t="str">
        <f>IF(Table1[[#This Row],[QUANTITY]]=0,"",Table1[[#This Row],[UNIT PRICE]]*Table1[[#This Row],[QUANTITY]])</f>
        <v/>
      </c>
      <c r="S550" s="89"/>
      <c r="T550" s="38"/>
      <c r="U550" s="43"/>
      <c r="V550" s="42" t="str">
        <f>IF(Table1[[#This Row],[DATE]]=0,"",YEAR(E550))</f>
        <v/>
      </c>
      <c r="W550" s="40" t="str">
        <f t="shared" si="18"/>
        <v/>
      </c>
      <c r="X550" s="40" t="str">
        <f t="shared" si="19"/>
        <v/>
      </c>
      <c r="Y550" s="40" t="str">
        <f>TEXT(Table1[[#This Row],[YEAR]],"0000")&amp;"-"&amp;Table1[[#This Row],[MONTH]]</f>
        <v>-</v>
      </c>
      <c r="AD550" s="23"/>
    </row>
    <row r="551" spans="1:30" ht="15" customHeight="1" x14ac:dyDescent="0.35">
      <c r="A551" s="24"/>
      <c r="B551" s="36"/>
      <c r="C551" s="38"/>
      <c r="D551" s="38"/>
      <c r="E551" s="37"/>
      <c r="F551" s="38"/>
      <c r="G551" s="198"/>
      <c r="H551" s="198"/>
      <c r="I551" s="39"/>
      <c r="J551" s="38"/>
      <c r="K551" s="198"/>
      <c r="L551" s="38"/>
      <c r="M551" s="38"/>
      <c r="N551" s="38"/>
      <c r="O551" s="38"/>
      <c r="P551" s="40" t="str" cm="1">
        <f t="array" ref="P551">IF(N551="","",IFERROR(_xlfn.XLOOKUP(F551&amp;"|"&amp;J551&amp;"|"&amp;O551,PRICES!$C$2:$C$659&amp;"|"&amp;PRICES!$B$2:$B$659&amp;"|"&amp;PRICES!$D$2:$D$659,PRICES!$E$2:$E$659),"Not Found"))</f>
        <v/>
      </c>
      <c r="Q551" s="100" t="str">
        <f>IF(N551=0,"",SUMIFS(PRICES!$G$2:$G$658,PRICES!$B$2:$B$658,'MAIN TABLE-1 AUTOMATED'!J551,PRICES!$C$2:$C$658,'MAIN TABLE-1 AUTOMATED'!F551,PRICES!$D$2:$D$658,'MAIN TABLE-1 AUTOMATED'!O551))</f>
        <v/>
      </c>
      <c r="R551" s="41" t="str">
        <f>IF(Table1[[#This Row],[QUANTITY]]=0,"",Table1[[#This Row],[UNIT PRICE]]*Table1[[#This Row],[QUANTITY]])</f>
        <v/>
      </c>
      <c r="S551" s="89"/>
      <c r="T551" s="38"/>
      <c r="U551" s="43"/>
      <c r="V551" s="42" t="str">
        <f>IF(Table1[[#This Row],[DATE]]=0,"",YEAR(E551))</f>
        <v/>
      </c>
      <c r="W551" s="40" t="str">
        <f t="shared" si="18"/>
        <v/>
      </c>
      <c r="X551" s="40" t="str">
        <f t="shared" si="19"/>
        <v/>
      </c>
      <c r="Y551" s="40" t="str">
        <f>TEXT(Table1[[#This Row],[YEAR]],"0000")&amp;"-"&amp;Table1[[#This Row],[MONTH]]</f>
        <v>-</v>
      </c>
      <c r="AD551" s="23"/>
    </row>
    <row r="552" spans="1:30" ht="15" customHeight="1" x14ac:dyDescent="0.35">
      <c r="A552" s="24"/>
      <c r="B552" s="36"/>
      <c r="C552" s="38"/>
      <c r="D552" s="38"/>
      <c r="E552" s="37"/>
      <c r="F552" s="38"/>
      <c r="G552" s="198"/>
      <c r="H552" s="198"/>
      <c r="I552" s="39"/>
      <c r="J552" s="38"/>
      <c r="K552" s="198"/>
      <c r="L552" s="38"/>
      <c r="M552" s="38"/>
      <c r="N552" s="38"/>
      <c r="O552" s="38"/>
      <c r="P552" s="40" t="str" cm="1">
        <f t="array" ref="P552">IF(N552="","",IFERROR(_xlfn.XLOOKUP(F552&amp;"|"&amp;J552&amp;"|"&amp;O552,PRICES!$C$2:$C$659&amp;"|"&amp;PRICES!$B$2:$B$659&amp;"|"&amp;PRICES!$D$2:$D$659,PRICES!$E$2:$E$659),"Not Found"))</f>
        <v/>
      </c>
      <c r="Q552" s="100" t="str">
        <f>IF(N552=0,"",SUMIFS(PRICES!$G$2:$G$658,PRICES!$B$2:$B$658,'MAIN TABLE-1 AUTOMATED'!J552,PRICES!$C$2:$C$658,'MAIN TABLE-1 AUTOMATED'!F552,PRICES!$D$2:$D$658,'MAIN TABLE-1 AUTOMATED'!O552))</f>
        <v/>
      </c>
      <c r="R552" s="41" t="str">
        <f>IF(Table1[[#This Row],[QUANTITY]]=0,"",Table1[[#This Row],[UNIT PRICE]]*Table1[[#This Row],[QUANTITY]])</f>
        <v/>
      </c>
      <c r="S552" s="89"/>
      <c r="T552" s="38"/>
      <c r="U552" s="43"/>
      <c r="V552" s="42" t="str">
        <f>IF(Table1[[#This Row],[DATE]]=0,"",YEAR(E552))</f>
        <v/>
      </c>
      <c r="W552" s="40" t="str">
        <f t="shared" si="18"/>
        <v/>
      </c>
      <c r="X552" s="40" t="str">
        <f t="shared" si="19"/>
        <v/>
      </c>
      <c r="Y552" s="40" t="str">
        <f>TEXT(Table1[[#This Row],[YEAR]],"0000")&amp;"-"&amp;Table1[[#This Row],[MONTH]]</f>
        <v>-</v>
      </c>
      <c r="AD552" s="23"/>
    </row>
    <row r="553" spans="1:30" ht="15" customHeight="1" x14ac:dyDescent="0.35">
      <c r="A553" s="24"/>
      <c r="B553" s="38"/>
      <c r="C553" s="38"/>
      <c r="D553" s="38"/>
      <c r="E553" s="37"/>
      <c r="F553" s="38"/>
      <c r="G553" s="198"/>
      <c r="H553" s="198"/>
      <c r="I553" s="39"/>
      <c r="J553" s="38"/>
      <c r="K553" s="198"/>
      <c r="L553" s="38"/>
      <c r="M553" s="38"/>
      <c r="N553" s="38"/>
      <c r="O553" s="38"/>
      <c r="P553" s="40" t="str" cm="1">
        <f t="array" ref="P553">IF(N553="","",IFERROR(_xlfn.XLOOKUP(F553&amp;"|"&amp;J553&amp;"|"&amp;O553,PRICES!$C$2:$C$659&amp;"|"&amp;PRICES!$B$2:$B$659&amp;"|"&amp;PRICES!$D$2:$D$659,PRICES!$E$2:$E$659),"Not Found"))</f>
        <v/>
      </c>
      <c r="Q553" s="100" t="str">
        <f>IF(N553=0,"",SUMIFS(PRICES!$G$2:$G$658,PRICES!$B$2:$B$658,'MAIN TABLE-1 AUTOMATED'!J553,PRICES!$C$2:$C$658,'MAIN TABLE-1 AUTOMATED'!F553,PRICES!$D$2:$D$658,'MAIN TABLE-1 AUTOMATED'!O553))</f>
        <v/>
      </c>
      <c r="R553" s="41" t="str">
        <f>IF(Table1[[#This Row],[QUANTITY]]=0,"",Table1[[#This Row],[UNIT PRICE]]*Table1[[#This Row],[QUANTITY]])</f>
        <v/>
      </c>
      <c r="S553" s="89"/>
      <c r="T553" s="38"/>
      <c r="U553" s="43"/>
      <c r="V553" s="42" t="str">
        <f>IF(Table1[[#This Row],[DATE]]=0,"",YEAR(E553))</f>
        <v/>
      </c>
      <c r="W553" s="40" t="str">
        <f t="shared" si="18"/>
        <v/>
      </c>
      <c r="X553" s="40" t="str">
        <f t="shared" si="19"/>
        <v/>
      </c>
      <c r="Y553" s="40" t="str">
        <f>TEXT(Table1[[#This Row],[YEAR]],"0000")&amp;"-"&amp;Table1[[#This Row],[MONTH]]</f>
        <v>-</v>
      </c>
      <c r="AD553" s="23"/>
    </row>
    <row r="554" spans="1:30" ht="15" customHeight="1" x14ac:dyDescent="0.35">
      <c r="A554" s="24"/>
      <c r="B554" s="38"/>
      <c r="C554" s="38"/>
      <c r="D554" s="38"/>
      <c r="E554" s="37"/>
      <c r="F554" s="38"/>
      <c r="G554" s="198"/>
      <c r="H554" s="198"/>
      <c r="I554" s="39"/>
      <c r="J554" s="38"/>
      <c r="K554" s="198"/>
      <c r="L554" s="38"/>
      <c r="M554" s="38"/>
      <c r="N554" s="38"/>
      <c r="O554" s="38"/>
      <c r="P554" s="40" t="str" cm="1">
        <f t="array" ref="P554">IF(N554="","",IFERROR(_xlfn.XLOOKUP(F554&amp;"|"&amp;J554&amp;"|"&amp;O554,PRICES!$C$2:$C$659&amp;"|"&amp;PRICES!$B$2:$B$659&amp;"|"&amp;PRICES!$D$2:$D$659,PRICES!$E$2:$E$659),"Not Found"))</f>
        <v/>
      </c>
      <c r="Q554" s="100" t="str">
        <f>IF(N554=0,"",SUMIFS(PRICES!$G$2:$G$658,PRICES!$B$2:$B$658,'MAIN TABLE-1 AUTOMATED'!J554,PRICES!$C$2:$C$658,'MAIN TABLE-1 AUTOMATED'!F554,PRICES!$D$2:$D$658,'MAIN TABLE-1 AUTOMATED'!O554))</f>
        <v/>
      </c>
      <c r="R554" s="41" t="str">
        <f>IF(Table1[[#This Row],[QUANTITY]]=0,"",Table1[[#This Row],[UNIT PRICE]]*Table1[[#This Row],[QUANTITY]])</f>
        <v/>
      </c>
      <c r="S554" s="89"/>
      <c r="T554" s="38"/>
      <c r="U554" s="43"/>
      <c r="V554" s="42" t="str">
        <f>IF(Table1[[#This Row],[DATE]]=0,"",YEAR(E554))</f>
        <v/>
      </c>
      <c r="W554" s="40" t="str">
        <f t="shared" si="18"/>
        <v/>
      </c>
      <c r="X554" s="40" t="str">
        <f t="shared" si="19"/>
        <v/>
      </c>
      <c r="Y554" s="40" t="str">
        <f>TEXT(Table1[[#This Row],[YEAR]],"0000")&amp;"-"&amp;Table1[[#This Row],[MONTH]]</f>
        <v>-</v>
      </c>
      <c r="AD554" s="23"/>
    </row>
    <row r="555" spans="1:30" ht="15" customHeight="1" x14ac:dyDescent="0.35">
      <c r="A555" s="24"/>
      <c r="B555" s="38"/>
      <c r="C555" s="38"/>
      <c r="D555" s="38"/>
      <c r="E555" s="37"/>
      <c r="F555" s="38"/>
      <c r="G555" s="198"/>
      <c r="H555" s="198"/>
      <c r="I555" s="39"/>
      <c r="J555" s="38"/>
      <c r="K555" s="198"/>
      <c r="L555" s="38"/>
      <c r="M555" s="38"/>
      <c r="N555" s="38"/>
      <c r="O555" s="38"/>
      <c r="P555" s="40" t="str" cm="1">
        <f t="array" ref="P555">IF(N555="","",IFERROR(_xlfn.XLOOKUP(F555&amp;"|"&amp;J555&amp;"|"&amp;O555,PRICES!$C$2:$C$659&amp;"|"&amp;PRICES!$B$2:$B$659&amp;"|"&amp;PRICES!$D$2:$D$659,PRICES!$E$2:$E$659),"Not Found"))</f>
        <v/>
      </c>
      <c r="Q555" s="100" t="str">
        <f>IF(N555=0,"",SUMIFS(PRICES!$G$2:$G$658,PRICES!$B$2:$B$658,'MAIN TABLE-1 AUTOMATED'!J555,PRICES!$C$2:$C$658,'MAIN TABLE-1 AUTOMATED'!F555,PRICES!$D$2:$D$658,'MAIN TABLE-1 AUTOMATED'!O555))</f>
        <v/>
      </c>
      <c r="R555" s="41" t="str">
        <f>IF(Table1[[#This Row],[QUANTITY]]=0,"",Table1[[#This Row],[UNIT PRICE]]*Table1[[#This Row],[QUANTITY]])</f>
        <v/>
      </c>
      <c r="S555" s="89"/>
      <c r="T555" s="38"/>
      <c r="U555" s="43"/>
      <c r="V555" s="42" t="str">
        <f>IF(Table1[[#This Row],[DATE]]=0,"",YEAR(E555))</f>
        <v/>
      </c>
      <c r="W555" s="40" t="str">
        <f t="shared" si="18"/>
        <v/>
      </c>
      <c r="X555" s="40" t="str">
        <f t="shared" si="19"/>
        <v/>
      </c>
      <c r="Y555" s="40" t="str">
        <f>TEXT(Table1[[#This Row],[YEAR]],"0000")&amp;"-"&amp;Table1[[#This Row],[MONTH]]</f>
        <v>-</v>
      </c>
      <c r="AD555" s="23"/>
    </row>
    <row r="556" spans="1:30" ht="15" customHeight="1" x14ac:dyDescent="0.35">
      <c r="A556" s="24"/>
      <c r="B556" s="38"/>
      <c r="C556" s="38"/>
      <c r="D556" s="38"/>
      <c r="E556" s="37"/>
      <c r="F556" s="38"/>
      <c r="G556" s="198"/>
      <c r="H556" s="198"/>
      <c r="I556" s="39"/>
      <c r="J556" s="38"/>
      <c r="K556" s="198"/>
      <c r="L556" s="38"/>
      <c r="M556" s="38"/>
      <c r="N556" s="38"/>
      <c r="O556" s="38"/>
      <c r="P556" s="40" t="str" cm="1">
        <f t="array" ref="P556">IF(N556="","",IFERROR(_xlfn.XLOOKUP(F556&amp;"|"&amp;J556&amp;"|"&amp;O556,PRICES!$C$2:$C$659&amp;"|"&amp;PRICES!$B$2:$B$659&amp;"|"&amp;PRICES!$D$2:$D$659,PRICES!$E$2:$E$659),"Not Found"))</f>
        <v/>
      </c>
      <c r="Q556" s="100" t="str">
        <f>IF(N556=0,"",SUMIFS(PRICES!$G$2:$G$658,PRICES!$B$2:$B$658,'MAIN TABLE-1 AUTOMATED'!J556,PRICES!$C$2:$C$658,'MAIN TABLE-1 AUTOMATED'!F556,PRICES!$D$2:$D$658,'MAIN TABLE-1 AUTOMATED'!O556))</f>
        <v/>
      </c>
      <c r="R556" s="41" t="str">
        <f>IF(Table1[[#This Row],[QUANTITY]]=0,"",Table1[[#This Row],[UNIT PRICE]]*Table1[[#This Row],[QUANTITY]])</f>
        <v/>
      </c>
      <c r="S556" s="89"/>
      <c r="T556" s="38"/>
      <c r="U556" s="43"/>
      <c r="V556" s="42" t="str">
        <f>IF(Table1[[#This Row],[DATE]]=0,"",YEAR(E556))</f>
        <v/>
      </c>
      <c r="W556" s="40" t="str">
        <f t="shared" si="18"/>
        <v/>
      </c>
      <c r="X556" s="40" t="str">
        <f t="shared" si="19"/>
        <v/>
      </c>
      <c r="Y556" s="40" t="str">
        <f>TEXT(Table1[[#This Row],[YEAR]],"0000")&amp;"-"&amp;Table1[[#This Row],[MONTH]]</f>
        <v>-</v>
      </c>
      <c r="AD556" s="23"/>
    </row>
    <row r="557" spans="1:30" ht="15" customHeight="1" x14ac:dyDescent="0.35">
      <c r="A557" s="24"/>
      <c r="B557" s="38"/>
      <c r="C557" s="38"/>
      <c r="D557" s="38"/>
      <c r="E557" s="37"/>
      <c r="F557" s="38"/>
      <c r="G557" s="198"/>
      <c r="H557" s="198"/>
      <c r="I557" s="39"/>
      <c r="J557" s="38"/>
      <c r="K557" s="198"/>
      <c r="L557" s="38"/>
      <c r="M557" s="38"/>
      <c r="N557" s="38"/>
      <c r="O557" s="38"/>
      <c r="P557" s="40" t="str" cm="1">
        <f t="array" ref="P557">IF(N557="","",IFERROR(_xlfn.XLOOKUP(F557&amp;"|"&amp;J557&amp;"|"&amp;O557,PRICES!$C$2:$C$659&amp;"|"&amp;PRICES!$B$2:$B$659&amp;"|"&amp;PRICES!$D$2:$D$659,PRICES!$E$2:$E$659),"Not Found"))</f>
        <v/>
      </c>
      <c r="Q557" s="100" t="str">
        <f>IF(N557=0,"",SUMIFS(PRICES!$G$2:$G$658,PRICES!$B$2:$B$658,'MAIN TABLE-1 AUTOMATED'!J557,PRICES!$C$2:$C$658,'MAIN TABLE-1 AUTOMATED'!F557,PRICES!$D$2:$D$658,'MAIN TABLE-1 AUTOMATED'!O557))</f>
        <v/>
      </c>
      <c r="R557" s="41" t="str">
        <f>IF(Table1[[#This Row],[QUANTITY]]=0,"",Table1[[#This Row],[UNIT PRICE]]*Table1[[#This Row],[QUANTITY]])</f>
        <v/>
      </c>
      <c r="S557" s="89"/>
      <c r="T557" s="38"/>
      <c r="U557" s="43"/>
      <c r="V557" s="42" t="str">
        <f>IF(Table1[[#This Row],[DATE]]=0,"",YEAR(E557))</f>
        <v/>
      </c>
      <c r="W557" s="40" t="str">
        <f t="shared" si="18"/>
        <v/>
      </c>
      <c r="X557" s="40" t="str">
        <f t="shared" si="19"/>
        <v/>
      </c>
      <c r="Y557" s="40" t="str">
        <f>TEXT(Table1[[#This Row],[YEAR]],"0000")&amp;"-"&amp;Table1[[#This Row],[MONTH]]</f>
        <v>-</v>
      </c>
      <c r="AD557" s="23"/>
    </row>
    <row r="558" spans="1:30" ht="15" customHeight="1" x14ac:dyDescent="0.35">
      <c r="A558" s="24"/>
      <c r="B558" s="38"/>
      <c r="C558" s="38"/>
      <c r="D558" s="38"/>
      <c r="E558" s="37"/>
      <c r="F558" s="38"/>
      <c r="G558" s="198"/>
      <c r="H558" s="198"/>
      <c r="I558" s="39"/>
      <c r="J558" s="38"/>
      <c r="K558" s="198"/>
      <c r="L558" s="38"/>
      <c r="M558" s="38"/>
      <c r="N558" s="38"/>
      <c r="O558" s="38"/>
      <c r="P558" s="40" t="str" cm="1">
        <f t="array" ref="P558">IF(N558="","",IFERROR(_xlfn.XLOOKUP(F558&amp;"|"&amp;J558&amp;"|"&amp;O558,PRICES!$C$2:$C$659&amp;"|"&amp;PRICES!$B$2:$B$659&amp;"|"&amp;PRICES!$D$2:$D$659,PRICES!$E$2:$E$659),"Not Found"))</f>
        <v/>
      </c>
      <c r="Q558" s="100" t="str">
        <f>IF(N558=0,"",SUMIFS(PRICES!$G$2:$G$658,PRICES!$B$2:$B$658,'MAIN TABLE-1 AUTOMATED'!J558,PRICES!$C$2:$C$658,'MAIN TABLE-1 AUTOMATED'!F558,PRICES!$D$2:$D$658,'MAIN TABLE-1 AUTOMATED'!O558))</f>
        <v/>
      </c>
      <c r="R558" s="41" t="str">
        <f>IF(Table1[[#This Row],[QUANTITY]]=0,"",Table1[[#This Row],[UNIT PRICE]]*Table1[[#This Row],[QUANTITY]])</f>
        <v/>
      </c>
      <c r="S558" s="89"/>
      <c r="T558" s="38"/>
      <c r="U558" s="43"/>
      <c r="V558" s="42" t="str">
        <f>IF(Table1[[#This Row],[DATE]]=0,"",YEAR(E558))</f>
        <v/>
      </c>
      <c r="W558" s="40" t="str">
        <f t="shared" si="18"/>
        <v/>
      </c>
      <c r="X558" s="40" t="str">
        <f t="shared" si="19"/>
        <v/>
      </c>
      <c r="Y558" s="40" t="str">
        <f>TEXT(Table1[[#This Row],[YEAR]],"0000")&amp;"-"&amp;Table1[[#This Row],[MONTH]]</f>
        <v>-</v>
      </c>
      <c r="AD558" s="23"/>
    </row>
    <row r="559" spans="1:30" ht="15" customHeight="1" x14ac:dyDescent="0.35">
      <c r="A559" s="24"/>
      <c r="B559" s="38"/>
      <c r="C559" s="38"/>
      <c r="D559" s="38"/>
      <c r="E559" s="37"/>
      <c r="F559" s="38"/>
      <c r="G559" s="198"/>
      <c r="H559" s="198"/>
      <c r="I559" s="39"/>
      <c r="J559" s="38"/>
      <c r="K559" s="198"/>
      <c r="L559" s="38"/>
      <c r="M559" s="38"/>
      <c r="N559" s="38"/>
      <c r="O559" s="38"/>
      <c r="P559" s="40" t="str" cm="1">
        <f t="array" ref="P559">IF(N559="","",IFERROR(_xlfn.XLOOKUP(F559&amp;"|"&amp;J559&amp;"|"&amp;O559,PRICES!$C$2:$C$659&amp;"|"&amp;PRICES!$B$2:$B$659&amp;"|"&amp;PRICES!$D$2:$D$659,PRICES!$E$2:$E$659),"Not Found"))</f>
        <v/>
      </c>
      <c r="Q559" s="100" t="str">
        <f>IF(N559=0,"",SUMIFS(PRICES!$G$2:$G$658,PRICES!$B$2:$B$658,'MAIN TABLE-1 AUTOMATED'!J559,PRICES!$C$2:$C$658,'MAIN TABLE-1 AUTOMATED'!F559,PRICES!$D$2:$D$658,'MAIN TABLE-1 AUTOMATED'!O559))</f>
        <v/>
      </c>
      <c r="R559" s="41" t="str">
        <f>IF(Table1[[#This Row],[QUANTITY]]=0,"",Table1[[#This Row],[UNIT PRICE]]*Table1[[#This Row],[QUANTITY]])</f>
        <v/>
      </c>
      <c r="S559" s="89"/>
      <c r="T559" s="38"/>
      <c r="U559" s="43"/>
      <c r="V559" s="42" t="str">
        <f>IF(Table1[[#This Row],[DATE]]=0,"",YEAR(E559))</f>
        <v/>
      </c>
      <c r="W559" s="40" t="str">
        <f t="shared" si="18"/>
        <v/>
      </c>
      <c r="X559" s="40" t="str">
        <f t="shared" si="19"/>
        <v/>
      </c>
      <c r="Y559" s="40" t="str">
        <f>TEXT(Table1[[#This Row],[YEAR]],"0000")&amp;"-"&amp;Table1[[#This Row],[MONTH]]</f>
        <v>-</v>
      </c>
      <c r="AD559" s="23"/>
    </row>
    <row r="560" spans="1:30" ht="15" customHeight="1" x14ac:dyDescent="0.35">
      <c r="A560" s="24"/>
      <c r="B560" s="38"/>
      <c r="C560" s="38"/>
      <c r="D560" s="38"/>
      <c r="E560" s="37"/>
      <c r="F560" s="38"/>
      <c r="G560" s="198"/>
      <c r="H560" s="198"/>
      <c r="I560" s="39"/>
      <c r="J560" s="38"/>
      <c r="K560" s="198"/>
      <c r="L560" s="38"/>
      <c r="M560" s="38"/>
      <c r="N560" s="38"/>
      <c r="O560" s="38"/>
      <c r="P560" s="40" t="str" cm="1">
        <f t="array" ref="P560">IF(N560="","",IFERROR(_xlfn.XLOOKUP(F560&amp;"|"&amp;J560&amp;"|"&amp;O560,PRICES!$C$2:$C$659&amp;"|"&amp;PRICES!$B$2:$B$659&amp;"|"&amp;PRICES!$D$2:$D$659,PRICES!$E$2:$E$659),"Not Found"))</f>
        <v/>
      </c>
      <c r="Q560" s="100" t="str">
        <f>IF(N560=0,"",SUMIFS(PRICES!$G$2:$G$658,PRICES!$B$2:$B$658,'MAIN TABLE-1 AUTOMATED'!J560,PRICES!$C$2:$C$658,'MAIN TABLE-1 AUTOMATED'!F560,PRICES!$D$2:$D$658,'MAIN TABLE-1 AUTOMATED'!O560))</f>
        <v/>
      </c>
      <c r="R560" s="41" t="str">
        <f>IF(Table1[[#This Row],[QUANTITY]]=0,"",Table1[[#This Row],[UNIT PRICE]]*Table1[[#This Row],[QUANTITY]])</f>
        <v/>
      </c>
      <c r="S560" s="89"/>
      <c r="T560" s="38"/>
      <c r="U560" s="43"/>
      <c r="V560" s="42" t="str">
        <f>IF(Table1[[#This Row],[DATE]]=0,"",YEAR(E560))</f>
        <v/>
      </c>
      <c r="W560" s="40" t="str">
        <f t="shared" si="18"/>
        <v/>
      </c>
      <c r="X560" s="40" t="str">
        <f t="shared" si="19"/>
        <v/>
      </c>
      <c r="Y560" s="40" t="str">
        <f>TEXT(Table1[[#This Row],[YEAR]],"0000")&amp;"-"&amp;Table1[[#This Row],[MONTH]]</f>
        <v>-</v>
      </c>
      <c r="AD560" s="23"/>
    </row>
    <row r="561" spans="1:30" ht="15" customHeight="1" x14ac:dyDescent="0.35">
      <c r="A561" s="24"/>
      <c r="B561" s="38"/>
      <c r="C561" s="38"/>
      <c r="D561" s="38"/>
      <c r="E561" s="37"/>
      <c r="F561" s="38"/>
      <c r="G561" s="198"/>
      <c r="H561" s="198"/>
      <c r="I561" s="39"/>
      <c r="J561" s="38"/>
      <c r="K561" s="198"/>
      <c r="L561" s="38"/>
      <c r="M561" s="38"/>
      <c r="N561" s="38"/>
      <c r="O561" s="38"/>
      <c r="P561" s="40" t="str" cm="1">
        <f t="array" ref="P561">IF(N561="","",IFERROR(_xlfn.XLOOKUP(F561&amp;"|"&amp;J561&amp;"|"&amp;O561,PRICES!$C$2:$C$659&amp;"|"&amp;PRICES!$B$2:$B$659&amp;"|"&amp;PRICES!$D$2:$D$659,PRICES!$E$2:$E$659),"Not Found"))</f>
        <v/>
      </c>
      <c r="Q561" s="100" t="str">
        <f>IF(N561=0,"",SUMIFS(PRICES!$G$2:$G$658,PRICES!$B$2:$B$658,'MAIN TABLE-1 AUTOMATED'!J561,PRICES!$C$2:$C$658,'MAIN TABLE-1 AUTOMATED'!F561,PRICES!$D$2:$D$658,'MAIN TABLE-1 AUTOMATED'!O561))</f>
        <v/>
      </c>
      <c r="R561" s="41" t="str">
        <f>IF(Table1[[#This Row],[QUANTITY]]=0,"",Table1[[#This Row],[UNIT PRICE]]*Table1[[#This Row],[QUANTITY]])</f>
        <v/>
      </c>
      <c r="S561" s="89"/>
      <c r="T561" s="38"/>
      <c r="U561" s="43"/>
      <c r="V561" s="42" t="str">
        <f>IF(Table1[[#This Row],[DATE]]=0,"",YEAR(E561))</f>
        <v/>
      </c>
      <c r="W561" s="40" t="str">
        <f t="shared" si="18"/>
        <v/>
      </c>
      <c r="X561" s="40" t="str">
        <f t="shared" si="19"/>
        <v/>
      </c>
      <c r="Y561" s="40" t="str">
        <f>TEXT(Table1[[#This Row],[YEAR]],"0000")&amp;"-"&amp;Table1[[#This Row],[MONTH]]</f>
        <v>-</v>
      </c>
      <c r="AD561" s="23"/>
    </row>
    <row r="562" spans="1:30" ht="15" customHeight="1" x14ac:dyDescent="0.35">
      <c r="A562" s="24"/>
      <c r="B562" s="38"/>
      <c r="C562" s="38"/>
      <c r="D562" s="38"/>
      <c r="E562" s="37"/>
      <c r="F562" s="38"/>
      <c r="G562" s="198"/>
      <c r="H562" s="198"/>
      <c r="I562" s="38"/>
      <c r="J562" s="38"/>
      <c r="K562" s="198"/>
      <c r="L562" s="38"/>
      <c r="M562" s="38"/>
      <c r="N562" s="38"/>
      <c r="O562" s="38"/>
      <c r="P562" s="40" t="str" cm="1">
        <f t="array" ref="P562">IF(N562="","",IFERROR(_xlfn.XLOOKUP(F562&amp;"|"&amp;J562&amp;"|"&amp;O562,PRICES!$C$2:$C$659&amp;"|"&amp;PRICES!$B$2:$B$659&amp;"|"&amp;PRICES!$D$2:$D$659,PRICES!$E$2:$E$659),"Not Found"))</f>
        <v/>
      </c>
      <c r="Q562" s="100" t="str">
        <f>IF(N562=0,"",SUMIFS(PRICES!$G$2:$G$658,PRICES!$B$2:$B$658,'MAIN TABLE-1 AUTOMATED'!J562,PRICES!$C$2:$C$658,'MAIN TABLE-1 AUTOMATED'!F562,PRICES!$D$2:$D$658,'MAIN TABLE-1 AUTOMATED'!O562))</f>
        <v/>
      </c>
      <c r="R562" s="41" t="str">
        <f>IF(Table1[[#This Row],[QUANTITY]]=0,"",Table1[[#This Row],[UNIT PRICE]]*Table1[[#This Row],[QUANTITY]])</f>
        <v/>
      </c>
      <c r="S562" s="89"/>
      <c r="T562" s="38"/>
      <c r="U562" s="43"/>
      <c r="V562" s="42" t="str">
        <f>IF(Table1[[#This Row],[DATE]]=0,"",YEAR(E562))</f>
        <v/>
      </c>
      <c r="W562" s="40" t="str">
        <f t="shared" si="18"/>
        <v/>
      </c>
      <c r="X562" s="40" t="str">
        <f t="shared" si="19"/>
        <v/>
      </c>
      <c r="Y562" s="40" t="str">
        <f>TEXT(Table1[[#This Row],[YEAR]],"0000")&amp;"-"&amp;Table1[[#This Row],[MONTH]]</f>
        <v>-</v>
      </c>
      <c r="AD562" s="23"/>
    </row>
    <row r="563" spans="1:30" ht="15" customHeight="1" x14ac:dyDescent="0.35">
      <c r="A563" s="24"/>
      <c r="B563" s="38"/>
      <c r="C563" s="38"/>
      <c r="D563" s="38"/>
      <c r="E563" s="37"/>
      <c r="F563" s="38"/>
      <c r="G563" s="198"/>
      <c r="H563" s="198"/>
      <c r="I563" s="39"/>
      <c r="J563" s="38"/>
      <c r="K563" s="198"/>
      <c r="L563" s="38"/>
      <c r="M563" s="38"/>
      <c r="N563" s="38"/>
      <c r="O563" s="38"/>
      <c r="P563" s="40" t="str" cm="1">
        <f t="array" ref="P563">IF(N563="","",IFERROR(_xlfn.XLOOKUP(F563&amp;"|"&amp;J563&amp;"|"&amp;O563,PRICES!$C$2:$C$659&amp;"|"&amp;PRICES!$B$2:$B$659&amp;"|"&amp;PRICES!$D$2:$D$659,PRICES!$E$2:$E$659),"Not Found"))</f>
        <v/>
      </c>
      <c r="Q563" s="100" t="str">
        <f>IF(N563=0,"",SUMIFS(PRICES!$G$2:$G$658,PRICES!$B$2:$B$658,'MAIN TABLE-1 AUTOMATED'!J563,PRICES!$C$2:$C$658,'MAIN TABLE-1 AUTOMATED'!F563,PRICES!$D$2:$D$658,'MAIN TABLE-1 AUTOMATED'!O563))</f>
        <v/>
      </c>
      <c r="R563" s="41" t="str">
        <f>IF(Table1[[#This Row],[QUANTITY]]=0,"",Table1[[#This Row],[UNIT PRICE]]*Table1[[#This Row],[QUANTITY]])</f>
        <v/>
      </c>
      <c r="S563" s="89"/>
      <c r="T563" s="38"/>
      <c r="U563" s="43"/>
      <c r="V563" s="42" t="str">
        <f>IF(Table1[[#This Row],[DATE]]=0,"",YEAR(E563))</f>
        <v/>
      </c>
      <c r="W563" s="40" t="str">
        <f t="shared" si="18"/>
        <v/>
      </c>
      <c r="X563" s="40" t="str">
        <f t="shared" si="19"/>
        <v/>
      </c>
      <c r="Y563" s="40" t="str">
        <f>TEXT(Table1[[#This Row],[YEAR]],"0000")&amp;"-"&amp;Table1[[#This Row],[MONTH]]</f>
        <v>-</v>
      </c>
      <c r="AD563" s="23"/>
    </row>
    <row r="564" spans="1:30" ht="15" customHeight="1" x14ac:dyDescent="0.35">
      <c r="A564" s="24"/>
      <c r="B564" s="38"/>
      <c r="C564" s="38"/>
      <c r="D564" s="38"/>
      <c r="E564" s="37"/>
      <c r="F564" s="38"/>
      <c r="G564" s="198"/>
      <c r="H564" s="198"/>
      <c r="I564" s="39"/>
      <c r="J564" s="38"/>
      <c r="K564" s="198"/>
      <c r="L564" s="38"/>
      <c r="M564" s="38"/>
      <c r="N564" s="38"/>
      <c r="O564" s="38"/>
      <c r="P564" s="40" t="str" cm="1">
        <f t="array" ref="P564">IF(N564="","",IFERROR(_xlfn.XLOOKUP(F564&amp;"|"&amp;J564&amp;"|"&amp;O564,PRICES!$C$2:$C$659&amp;"|"&amp;PRICES!$B$2:$B$659&amp;"|"&amp;PRICES!$D$2:$D$659,PRICES!$E$2:$E$659),"Not Found"))</f>
        <v/>
      </c>
      <c r="Q564" s="100" t="str">
        <f>IF(N564=0,"",SUMIFS(PRICES!$G$2:$G$658,PRICES!$B$2:$B$658,'MAIN TABLE-1 AUTOMATED'!J564,PRICES!$C$2:$C$658,'MAIN TABLE-1 AUTOMATED'!F564,PRICES!$D$2:$D$658,'MAIN TABLE-1 AUTOMATED'!O564))</f>
        <v/>
      </c>
      <c r="R564" s="41" t="str">
        <f>IF(Table1[[#This Row],[QUANTITY]]=0,"",Table1[[#This Row],[UNIT PRICE]]*Table1[[#This Row],[QUANTITY]])</f>
        <v/>
      </c>
      <c r="S564" s="89"/>
      <c r="T564" s="38"/>
      <c r="U564" s="43"/>
      <c r="V564" s="42" t="str">
        <f>IF(Table1[[#This Row],[DATE]]=0,"",YEAR(E564))</f>
        <v/>
      </c>
      <c r="W564" s="40" t="str">
        <f t="shared" si="18"/>
        <v/>
      </c>
      <c r="X564" s="40" t="str">
        <f t="shared" si="19"/>
        <v/>
      </c>
      <c r="Y564" s="40" t="str">
        <f>TEXT(Table1[[#This Row],[YEAR]],"0000")&amp;"-"&amp;Table1[[#This Row],[MONTH]]</f>
        <v>-</v>
      </c>
      <c r="AD564" s="23"/>
    </row>
    <row r="565" spans="1:30" ht="15" customHeight="1" x14ac:dyDescent="0.35">
      <c r="A565" s="24"/>
      <c r="B565" s="38"/>
      <c r="C565" s="38"/>
      <c r="D565" s="38"/>
      <c r="E565" s="37"/>
      <c r="F565" s="38"/>
      <c r="G565" s="198"/>
      <c r="H565" s="198"/>
      <c r="I565" s="39"/>
      <c r="J565" s="38"/>
      <c r="K565" s="198"/>
      <c r="L565" s="38"/>
      <c r="M565" s="38"/>
      <c r="N565" s="38"/>
      <c r="O565" s="38"/>
      <c r="P565" s="40" t="str" cm="1">
        <f t="array" ref="P565">IF(N565="","",IFERROR(_xlfn.XLOOKUP(F565&amp;"|"&amp;J565&amp;"|"&amp;O565,PRICES!$C$2:$C$659&amp;"|"&amp;PRICES!$B$2:$B$659&amp;"|"&amp;PRICES!$D$2:$D$659,PRICES!$E$2:$E$659),"Not Found"))</f>
        <v/>
      </c>
      <c r="Q565" s="100" t="str">
        <f>IF(N565=0,"",SUMIFS(PRICES!$G$2:$G$658,PRICES!$B$2:$B$658,'MAIN TABLE-1 AUTOMATED'!J565,PRICES!$C$2:$C$658,'MAIN TABLE-1 AUTOMATED'!F565,PRICES!$D$2:$D$658,'MAIN TABLE-1 AUTOMATED'!O565))</f>
        <v/>
      </c>
      <c r="R565" s="41" t="str">
        <f>IF(Table1[[#This Row],[QUANTITY]]=0,"",Table1[[#This Row],[UNIT PRICE]]*Table1[[#This Row],[QUANTITY]])</f>
        <v/>
      </c>
      <c r="S565" s="89"/>
      <c r="T565" s="38"/>
      <c r="U565" s="43"/>
      <c r="V565" s="42" t="str">
        <f>IF(Table1[[#This Row],[DATE]]=0,"",YEAR(E565))</f>
        <v/>
      </c>
      <c r="W565" s="40" t="str">
        <f t="shared" si="18"/>
        <v/>
      </c>
      <c r="X565" s="40" t="str">
        <f t="shared" si="19"/>
        <v/>
      </c>
      <c r="Y565" s="40" t="str">
        <f>TEXT(Table1[[#This Row],[YEAR]],"0000")&amp;"-"&amp;Table1[[#This Row],[MONTH]]</f>
        <v>-</v>
      </c>
      <c r="AD565" s="23"/>
    </row>
    <row r="566" spans="1:30" ht="15" customHeight="1" x14ac:dyDescent="0.35">
      <c r="A566" s="24"/>
      <c r="B566" s="38"/>
      <c r="C566" s="38"/>
      <c r="D566" s="38"/>
      <c r="E566" s="37"/>
      <c r="F566" s="38"/>
      <c r="G566" s="198"/>
      <c r="H566" s="198"/>
      <c r="I566" s="39"/>
      <c r="J566" s="38"/>
      <c r="K566" s="198"/>
      <c r="L566" s="38"/>
      <c r="M566" s="38"/>
      <c r="N566" s="38"/>
      <c r="O566" s="38"/>
      <c r="P566" s="40" t="str" cm="1">
        <f t="array" ref="P566">IF(N566="","",IFERROR(_xlfn.XLOOKUP(F566&amp;"|"&amp;J566&amp;"|"&amp;O566,PRICES!$C$2:$C$659&amp;"|"&amp;PRICES!$B$2:$B$659&amp;"|"&amp;PRICES!$D$2:$D$659,PRICES!$E$2:$E$659),"Not Found"))</f>
        <v/>
      </c>
      <c r="Q566" s="100" t="str">
        <f>IF(N566=0,"",SUMIFS(PRICES!$G$2:$G$658,PRICES!$B$2:$B$658,'MAIN TABLE-1 AUTOMATED'!J566,PRICES!$C$2:$C$658,'MAIN TABLE-1 AUTOMATED'!F566,PRICES!$D$2:$D$658,'MAIN TABLE-1 AUTOMATED'!O566))</f>
        <v/>
      </c>
      <c r="R566" s="41" t="str">
        <f>IF(Table1[[#This Row],[QUANTITY]]=0,"",Table1[[#This Row],[UNIT PRICE]]*Table1[[#This Row],[QUANTITY]])</f>
        <v/>
      </c>
      <c r="S566" s="89"/>
      <c r="T566" s="38"/>
      <c r="U566" s="43"/>
      <c r="V566" s="42" t="str">
        <f>IF(Table1[[#This Row],[DATE]]=0,"",YEAR(E566))</f>
        <v/>
      </c>
      <c r="W566" s="40" t="str">
        <f t="shared" si="18"/>
        <v/>
      </c>
      <c r="X566" s="40" t="str">
        <f t="shared" si="19"/>
        <v/>
      </c>
      <c r="Y566" s="40" t="str">
        <f>TEXT(Table1[[#This Row],[YEAR]],"0000")&amp;"-"&amp;Table1[[#This Row],[MONTH]]</f>
        <v>-</v>
      </c>
      <c r="AD566" s="23"/>
    </row>
    <row r="567" spans="1:30" ht="15" customHeight="1" x14ac:dyDescent="0.35">
      <c r="A567" s="24"/>
      <c r="B567" s="38"/>
      <c r="C567" s="38"/>
      <c r="D567" s="38"/>
      <c r="E567" s="37"/>
      <c r="F567" s="38"/>
      <c r="G567" s="198"/>
      <c r="H567" s="198"/>
      <c r="I567" s="39"/>
      <c r="J567" s="38"/>
      <c r="K567" s="198"/>
      <c r="L567" s="38"/>
      <c r="M567" s="38"/>
      <c r="N567" s="38"/>
      <c r="O567" s="38"/>
      <c r="P567" s="40" t="str" cm="1">
        <f t="array" ref="P567">IF(N567="","",IFERROR(_xlfn.XLOOKUP(F567&amp;"|"&amp;J567&amp;"|"&amp;O567,PRICES!$C$2:$C$659&amp;"|"&amp;PRICES!$B$2:$B$659&amp;"|"&amp;PRICES!$D$2:$D$659,PRICES!$E$2:$E$659),"Not Found"))</f>
        <v/>
      </c>
      <c r="Q567" s="100" t="str">
        <f>IF(N567=0,"",SUMIFS(PRICES!$G$2:$G$658,PRICES!$B$2:$B$658,'MAIN TABLE-1 AUTOMATED'!J567,PRICES!$C$2:$C$658,'MAIN TABLE-1 AUTOMATED'!F567,PRICES!$D$2:$D$658,'MAIN TABLE-1 AUTOMATED'!O567))</f>
        <v/>
      </c>
      <c r="R567" s="41" t="str">
        <f>IF(Table1[[#This Row],[QUANTITY]]=0,"",Table1[[#This Row],[UNIT PRICE]]*Table1[[#This Row],[QUANTITY]])</f>
        <v/>
      </c>
      <c r="S567" s="89"/>
      <c r="T567" s="38"/>
      <c r="U567" s="43"/>
      <c r="V567" s="42" t="str">
        <f>IF(Table1[[#This Row],[DATE]]=0,"",YEAR(E567))</f>
        <v/>
      </c>
      <c r="W567" s="40" t="str">
        <f t="shared" si="18"/>
        <v/>
      </c>
      <c r="X567" s="40" t="str">
        <f t="shared" si="19"/>
        <v/>
      </c>
      <c r="Y567" s="40" t="str">
        <f>TEXT(Table1[[#This Row],[YEAR]],"0000")&amp;"-"&amp;Table1[[#This Row],[MONTH]]</f>
        <v>-</v>
      </c>
      <c r="AD567" s="23"/>
    </row>
    <row r="568" spans="1:30" ht="15" customHeight="1" x14ac:dyDescent="0.35">
      <c r="A568" s="24"/>
      <c r="B568" s="38"/>
      <c r="C568" s="38"/>
      <c r="D568" s="38"/>
      <c r="E568" s="37"/>
      <c r="F568" s="38"/>
      <c r="G568" s="198"/>
      <c r="H568" s="198"/>
      <c r="I568" s="39"/>
      <c r="J568" s="38"/>
      <c r="K568" s="198"/>
      <c r="L568" s="38"/>
      <c r="M568" s="38"/>
      <c r="N568" s="38"/>
      <c r="O568" s="38"/>
      <c r="P568" s="40" t="str" cm="1">
        <f t="array" ref="P568">IF(N568="","",IFERROR(_xlfn.XLOOKUP(F568&amp;"|"&amp;J568&amp;"|"&amp;O568,PRICES!$C$2:$C$659&amp;"|"&amp;PRICES!$B$2:$B$659&amp;"|"&amp;PRICES!$D$2:$D$659,PRICES!$E$2:$E$659),"Not Found"))</f>
        <v/>
      </c>
      <c r="Q568" s="100" t="str">
        <f>IF(N568=0,"",SUMIFS(PRICES!$G$2:$G$658,PRICES!$B$2:$B$658,'MAIN TABLE-1 AUTOMATED'!J568,PRICES!$C$2:$C$658,'MAIN TABLE-1 AUTOMATED'!F568,PRICES!$D$2:$D$658,'MAIN TABLE-1 AUTOMATED'!O568))</f>
        <v/>
      </c>
      <c r="R568" s="41" t="str">
        <f>IF(Table1[[#This Row],[QUANTITY]]=0,"",Table1[[#This Row],[UNIT PRICE]]*Table1[[#This Row],[QUANTITY]])</f>
        <v/>
      </c>
      <c r="S568" s="89"/>
      <c r="T568" s="38"/>
      <c r="U568" s="43"/>
      <c r="V568" s="42" t="str">
        <f>IF(Table1[[#This Row],[DATE]]=0,"",YEAR(E568))</f>
        <v/>
      </c>
      <c r="W568" s="40" t="str">
        <f t="shared" si="18"/>
        <v/>
      </c>
      <c r="X568" s="40" t="str">
        <f t="shared" si="19"/>
        <v/>
      </c>
      <c r="Y568" s="40" t="str">
        <f>TEXT(Table1[[#This Row],[YEAR]],"0000")&amp;"-"&amp;Table1[[#This Row],[MONTH]]</f>
        <v>-</v>
      </c>
      <c r="AD568" s="23"/>
    </row>
    <row r="569" spans="1:30" ht="15" customHeight="1" x14ac:dyDescent="0.35">
      <c r="A569" s="24"/>
      <c r="B569" s="38"/>
      <c r="C569" s="38"/>
      <c r="D569" s="38"/>
      <c r="E569" s="37"/>
      <c r="F569" s="38"/>
      <c r="G569" s="198"/>
      <c r="H569" s="198"/>
      <c r="I569" s="39"/>
      <c r="J569" s="38"/>
      <c r="K569" s="198"/>
      <c r="L569" s="38"/>
      <c r="M569" s="38"/>
      <c r="N569" s="38"/>
      <c r="O569" s="38"/>
      <c r="P569" s="40" t="str" cm="1">
        <f t="array" ref="P569">IF(N569="","",IFERROR(_xlfn.XLOOKUP(F569&amp;"|"&amp;J569&amp;"|"&amp;O569,PRICES!$C$2:$C$659&amp;"|"&amp;PRICES!$B$2:$B$659&amp;"|"&amp;PRICES!$D$2:$D$659,PRICES!$E$2:$E$659),"Not Found"))</f>
        <v/>
      </c>
      <c r="Q569" s="100" t="str">
        <f>IF(N569=0,"",SUMIFS(PRICES!$G$2:$G$658,PRICES!$B$2:$B$658,'MAIN TABLE-1 AUTOMATED'!J569,PRICES!$C$2:$C$658,'MAIN TABLE-1 AUTOMATED'!F569,PRICES!$D$2:$D$658,'MAIN TABLE-1 AUTOMATED'!O569))</f>
        <v/>
      </c>
      <c r="R569" s="41" t="str">
        <f>IF(Table1[[#This Row],[QUANTITY]]=0,"",Table1[[#This Row],[UNIT PRICE]]*Table1[[#This Row],[QUANTITY]])</f>
        <v/>
      </c>
      <c r="S569" s="89"/>
      <c r="T569" s="38"/>
      <c r="U569" s="43"/>
      <c r="V569" s="42" t="str">
        <f>IF(Table1[[#This Row],[DATE]]=0,"",YEAR(E569))</f>
        <v/>
      </c>
      <c r="W569" s="40" t="str">
        <f t="shared" si="18"/>
        <v/>
      </c>
      <c r="X569" s="40" t="str">
        <f t="shared" si="19"/>
        <v/>
      </c>
      <c r="Y569" s="40" t="str">
        <f>TEXT(Table1[[#This Row],[YEAR]],"0000")&amp;"-"&amp;Table1[[#This Row],[MONTH]]</f>
        <v>-</v>
      </c>
      <c r="AD569" s="23"/>
    </row>
    <row r="570" spans="1:30" ht="15" customHeight="1" x14ac:dyDescent="0.35">
      <c r="A570" s="24"/>
      <c r="B570" s="38"/>
      <c r="C570" s="38"/>
      <c r="D570" s="38"/>
      <c r="E570" s="37"/>
      <c r="F570" s="38"/>
      <c r="G570" s="198"/>
      <c r="H570" s="198"/>
      <c r="I570" s="39"/>
      <c r="J570" s="38"/>
      <c r="K570" s="198"/>
      <c r="L570" s="38"/>
      <c r="M570" s="38"/>
      <c r="N570" s="38"/>
      <c r="O570" s="38"/>
      <c r="P570" s="40" t="str" cm="1">
        <f t="array" ref="P570">IF(N570="","",IFERROR(_xlfn.XLOOKUP(F570&amp;"|"&amp;J570&amp;"|"&amp;O570,PRICES!$C$2:$C$659&amp;"|"&amp;PRICES!$B$2:$B$659&amp;"|"&amp;PRICES!$D$2:$D$659,PRICES!$E$2:$E$659),"Not Found"))</f>
        <v/>
      </c>
      <c r="Q570" s="100" t="str">
        <f>IF(N570=0,"",SUMIFS(PRICES!$G$2:$G$658,PRICES!$B$2:$B$658,'MAIN TABLE-1 AUTOMATED'!J570,PRICES!$C$2:$C$658,'MAIN TABLE-1 AUTOMATED'!F570,PRICES!$D$2:$D$658,'MAIN TABLE-1 AUTOMATED'!O570))</f>
        <v/>
      </c>
      <c r="R570" s="41" t="str">
        <f>IF(Table1[[#This Row],[QUANTITY]]=0,"",Table1[[#This Row],[UNIT PRICE]]*Table1[[#This Row],[QUANTITY]])</f>
        <v/>
      </c>
      <c r="S570" s="89"/>
      <c r="T570" s="38"/>
      <c r="U570" s="43"/>
      <c r="V570" s="42" t="str">
        <f>IF(Table1[[#This Row],[DATE]]=0,"",YEAR(E570))</f>
        <v/>
      </c>
      <c r="W570" s="40" t="str">
        <f t="shared" si="18"/>
        <v/>
      </c>
      <c r="X570" s="40" t="str">
        <f t="shared" si="19"/>
        <v/>
      </c>
      <c r="Y570" s="40" t="str">
        <f>TEXT(Table1[[#This Row],[YEAR]],"0000")&amp;"-"&amp;Table1[[#This Row],[MONTH]]</f>
        <v>-</v>
      </c>
      <c r="AD570" s="23"/>
    </row>
    <row r="571" spans="1:30" ht="15" customHeight="1" x14ac:dyDescent="0.35">
      <c r="A571" s="24"/>
      <c r="B571" s="38"/>
      <c r="C571" s="38"/>
      <c r="D571" s="38"/>
      <c r="E571" s="37"/>
      <c r="F571" s="38"/>
      <c r="G571" s="198"/>
      <c r="H571" s="198"/>
      <c r="I571" s="39"/>
      <c r="J571" s="38"/>
      <c r="K571" s="198"/>
      <c r="L571" s="38"/>
      <c r="M571" s="38"/>
      <c r="N571" s="38"/>
      <c r="O571" s="38"/>
      <c r="P571" s="40" t="str" cm="1">
        <f t="array" ref="P571">IF(N571="","",IFERROR(_xlfn.XLOOKUP(F571&amp;"|"&amp;J571&amp;"|"&amp;O571,PRICES!$C$2:$C$659&amp;"|"&amp;PRICES!$B$2:$B$659&amp;"|"&amp;PRICES!$D$2:$D$659,PRICES!$E$2:$E$659),"Not Found"))</f>
        <v/>
      </c>
      <c r="Q571" s="100" t="str">
        <f>IF(N571=0,"",SUMIFS(PRICES!$G$2:$G$658,PRICES!$B$2:$B$658,'MAIN TABLE-1 AUTOMATED'!J571,PRICES!$C$2:$C$658,'MAIN TABLE-1 AUTOMATED'!F571,PRICES!$D$2:$D$658,'MAIN TABLE-1 AUTOMATED'!O571))</f>
        <v/>
      </c>
      <c r="R571" s="41" t="str">
        <f>IF(Table1[[#This Row],[QUANTITY]]=0,"",Table1[[#This Row],[UNIT PRICE]]*Table1[[#This Row],[QUANTITY]])</f>
        <v/>
      </c>
      <c r="S571" s="89"/>
      <c r="T571" s="38"/>
      <c r="U571" s="43"/>
      <c r="V571" s="42" t="str">
        <f>IF(Table1[[#This Row],[DATE]]=0,"",YEAR(E571))</f>
        <v/>
      </c>
      <c r="W571" s="40" t="str">
        <f t="shared" si="18"/>
        <v/>
      </c>
      <c r="X571" s="40" t="str">
        <f t="shared" si="19"/>
        <v/>
      </c>
      <c r="Y571" s="40" t="str">
        <f>TEXT(Table1[[#This Row],[YEAR]],"0000")&amp;"-"&amp;Table1[[#This Row],[MONTH]]</f>
        <v>-</v>
      </c>
      <c r="AD571" s="23"/>
    </row>
    <row r="572" spans="1:30" ht="15" customHeight="1" x14ac:dyDescent="0.35">
      <c r="A572" s="24"/>
      <c r="B572" s="38"/>
      <c r="C572" s="38"/>
      <c r="D572" s="38"/>
      <c r="E572" s="37"/>
      <c r="F572" s="38"/>
      <c r="G572" s="198"/>
      <c r="H572" s="198"/>
      <c r="I572" s="39"/>
      <c r="J572" s="38"/>
      <c r="K572" s="198"/>
      <c r="L572" s="38"/>
      <c r="M572" s="38"/>
      <c r="N572" s="38"/>
      <c r="O572" s="38"/>
      <c r="P572" s="40" t="str" cm="1">
        <f t="array" ref="P572">IF(N572="","",IFERROR(_xlfn.XLOOKUP(F572&amp;"|"&amp;J572&amp;"|"&amp;O572,PRICES!$C$2:$C$659&amp;"|"&amp;PRICES!$B$2:$B$659&amp;"|"&amp;PRICES!$D$2:$D$659,PRICES!$E$2:$E$659),"Not Found"))</f>
        <v/>
      </c>
      <c r="Q572" s="100" t="str">
        <f>IF(N572=0,"",SUMIFS(PRICES!$G$2:$G$658,PRICES!$B$2:$B$658,'MAIN TABLE-1 AUTOMATED'!J572,PRICES!$C$2:$C$658,'MAIN TABLE-1 AUTOMATED'!F572,PRICES!$D$2:$D$658,'MAIN TABLE-1 AUTOMATED'!O572))</f>
        <v/>
      </c>
      <c r="R572" s="41" t="str">
        <f>IF(Table1[[#This Row],[QUANTITY]]=0,"",Table1[[#This Row],[UNIT PRICE]]*Table1[[#This Row],[QUANTITY]])</f>
        <v/>
      </c>
      <c r="S572" s="89"/>
      <c r="T572" s="38"/>
      <c r="U572" s="43"/>
      <c r="V572" s="42" t="str">
        <f>IF(Table1[[#This Row],[DATE]]=0,"",YEAR(E572))</f>
        <v/>
      </c>
      <c r="W572" s="40" t="str">
        <f t="shared" si="18"/>
        <v/>
      </c>
      <c r="X572" s="40" t="str">
        <f t="shared" si="19"/>
        <v/>
      </c>
      <c r="Y572" s="40" t="str">
        <f>TEXT(Table1[[#This Row],[YEAR]],"0000")&amp;"-"&amp;Table1[[#This Row],[MONTH]]</f>
        <v>-</v>
      </c>
      <c r="AD572" s="23"/>
    </row>
    <row r="573" spans="1:30" ht="15" customHeight="1" x14ac:dyDescent="0.35">
      <c r="A573" s="24"/>
      <c r="B573" s="38"/>
      <c r="C573" s="38"/>
      <c r="D573" s="38"/>
      <c r="E573" s="37"/>
      <c r="F573" s="38"/>
      <c r="G573" s="198"/>
      <c r="H573" s="198"/>
      <c r="I573" s="39"/>
      <c r="J573" s="38"/>
      <c r="K573" s="198"/>
      <c r="L573" s="38"/>
      <c r="M573" s="38"/>
      <c r="N573" s="38"/>
      <c r="O573" s="38"/>
      <c r="P573" s="40" t="str" cm="1">
        <f t="array" ref="P573">IF(N573="","",IFERROR(_xlfn.XLOOKUP(F573&amp;"|"&amp;J573&amp;"|"&amp;O573,PRICES!$C$2:$C$659&amp;"|"&amp;PRICES!$B$2:$B$659&amp;"|"&amp;PRICES!$D$2:$D$659,PRICES!$E$2:$E$659),"Not Found"))</f>
        <v/>
      </c>
      <c r="Q573" s="100" t="str">
        <f>IF(N573=0,"",SUMIFS(PRICES!$G$2:$G$658,PRICES!$B$2:$B$658,'MAIN TABLE-1 AUTOMATED'!J573,PRICES!$C$2:$C$658,'MAIN TABLE-1 AUTOMATED'!F573,PRICES!$D$2:$D$658,'MAIN TABLE-1 AUTOMATED'!O573))</f>
        <v/>
      </c>
      <c r="R573" s="41" t="str">
        <f>IF(Table1[[#This Row],[QUANTITY]]=0,"",Table1[[#This Row],[UNIT PRICE]]*Table1[[#This Row],[QUANTITY]])</f>
        <v/>
      </c>
      <c r="S573" s="89"/>
      <c r="T573" s="38"/>
      <c r="U573" s="43"/>
      <c r="V573" s="42" t="str">
        <f>IF(Table1[[#This Row],[DATE]]=0,"",YEAR(E573))</f>
        <v/>
      </c>
      <c r="W573" s="40" t="str">
        <f t="shared" si="18"/>
        <v/>
      </c>
      <c r="X573" s="40" t="str">
        <f t="shared" si="19"/>
        <v/>
      </c>
      <c r="Y573" s="40" t="str">
        <f>TEXT(Table1[[#This Row],[YEAR]],"0000")&amp;"-"&amp;Table1[[#This Row],[MONTH]]</f>
        <v>-</v>
      </c>
      <c r="AD573" s="23"/>
    </row>
    <row r="574" spans="1:30" ht="15" customHeight="1" x14ac:dyDescent="0.35">
      <c r="A574" s="24"/>
      <c r="B574" s="38"/>
      <c r="C574" s="38"/>
      <c r="D574" s="38"/>
      <c r="E574" s="37"/>
      <c r="F574" s="38"/>
      <c r="G574" s="198"/>
      <c r="H574" s="198"/>
      <c r="I574" s="39"/>
      <c r="J574" s="38"/>
      <c r="K574" s="198"/>
      <c r="L574" s="38"/>
      <c r="M574" s="38"/>
      <c r="N574" s="38"/>
      <c r="O574" s="38"/>
      <c r="P574" s="40" t="str" cm="1">
        <f t="array" ref="P574">IF(N574="","",IFERROR(_xlfn.XLOOKUP(F574&amp;"|"&amp;J574&amp;"|"&amp;O574,PRICES!$C$2:$C$659&amp;"|"&amp;PRICES!$B$2:$B$659&amp;"|"&amp;PRICES!$D$2:$D$659,PRICES!$E$2:$E$659),"Not Found"))</f>
        <v/>
      </c>
      <c r="Q574" s="100" t="str">
        <f>IF(N574=0,"",SUMIFS(PRICES!$G$2:$G$658,PRICES!$B$2:$B$658,'MAIN TABLE-1 AUTOMATED'!J574,PRICES!$C$2:$C$658,'MAIN TABLE-1 AUTOMATED'!F574,PRICES!$D$2:$D$658,'MAIN TABLE-1 AUTOMATED'!O574))</f>
        <v/>
      </c>
      <c r="R574" s="41" t="str">
        <f>IF(Table1[[#This Row],[QUANTITY]]=0,"",Table1[[#This Row],[UNIT PRICE]]*Table1[[#This Row],[QUANTITY]])</f>
        <v/>
      </c>
      <c r="S574" s="89"/>
      <c r="T574" s="38"/>
      <c r="U574" s="43"/>
      <c r="V574" s="42" t="str">
        <f>IF(Table1[[#This Row],[DATE]]=0,"",YEAR(E574))</f>
        <v/>
      </c>
      <c r="W574" s="40" t="str">
        <f t="shared" si="18"/>
        <v/>
      </c>
      <c r="X574" s="40" t="str">
        <f t="shared" si="19"/>
        <v/>
      </c>
      <c r="Y574" s="40" t="str">
        <f>TEXT(Table1[[#This Row],[YEAR]],"0000")&amp;"-"&amp;Table1[[#This Row],[MONTH]]</f>
        <v>-</v>
      </c>
      <c r="AD574" s="23"/>
    </row>
    <row r="575" spans="1:30" ht="15" customHeight="1" x14ac:dyDescent="0.35">
      <c r="A575" s="24"/>
      <c r="B575" s="38"/>
      <c r="C575" s="38"/>
      <c r="D575" s="38"/>
      <c r="E575" s="37"/>
      <c r="F575" s="38"/>
      <c r="G575" s="198"/>
      <c r="H575" s="198"/>
      <c r="I575" s="39"/>
      <c r="J575" s="38"/>
      <c r="K575" s="198"/>
      <c r="L575" s="38"/>
      <c r="M575" s="38"/>
      <c r="N575" s="38"/>
      <c r="O575" s="38"/>
      <c r="P575" s="40" t="str" cm="1">
        <f t="array" ref="P575">IF(N575="","",IFERROR(_xlfn.XLOOKUP(F575&amp;"|"&amp;J575&amp;"|"&amp;O575,PRICES!$C$2:$C$659&amp;"|"&amp;PRICES!$B$2:$B$659&amp;"|"&amp;PRICES!$D$2:$D$659,PRICES!$E$2:$E$659),"Not Found"))</f>
        <v/>
      </c>
      <c r="Q575" s="100" t="str">
        <f>IF(N575=0,"",SUMIFS(PRICES!$G$2:$G$658,PRICES!$B$2:$B$658,'MAIN TABLE-1 AUTOMATED'!J575,PRICES!$C$2:$C$658,'MAIN TABLE-1 AUTOMATED'!F575,PRICES!$D$2:$D$658,'MAIN TABLE-1 AUTOMATED'!O575))</f>
        <v/>
      </c>
      <c r="R575" s="41" t="str">
        <f>IF(Table1[[#This Row],[QUANTITY]]=0,"",Table1[[#This Row],[UNIT PRICE]]*Table1[[#This Row],[QUANTITY]])</f>
        <v/>
      </c>
      <c r="S575" s="89"/>
      <c r="T575" s="38"/>
      <c r="U575" s="43"/>
      <c r="V575" s="42" t="str">
        <f>IF(Table1[[#This Row],[DATE]]=0,"",YEAR(E575))</f>
        <v/>
      </c>
      <c r="W575" s="40" t="str">
        <f t="shared" si="18"/>
        <v/>
      </c>
      <c r="X575" s="40" t="str">
        <f t="shared" si="19"/>
        <v/>
      </c>
      <c r="Y575" s="40" t="str">
        <f>TEXT(Table1[[#This Row],[YEAR]],"0000")&amp;"-"&amp;Table1[[#This Row],[MONTH]]</f>
        <v>-</v>
      </c>
      <c r="AD575" s="23"/>
    </row>
    <row r="576" spans="1:30" ht="15" customHeight="1" x14ac:dyDescent="0.35">
      <c r="A576" s="24"/>
      <c r="B576" s="38"/>
      <c r="C576" s="38"/>
      <c r="D576" s="38"/>
      <c r="E576" s="37"/>
      <c r="F576" s="38"/>
      <c r="G576" s="198"/>
      <c r="H576" s="198"/>
      <c r="I576" s="39"/>
      <c r="J576" s="38"/>
      <c r="K576" s="198"/>
      <c r="L576" s="38"/>
      <c r="M576" s="38"/>
      <c r="N576" s="38"/>
      <c r="O576" s="38"/>
      <c r="P576" s="40" t="str" cm="1">
        <f t="array" ref="P576">IF(N576="","",IFERROR(_xlfn.XLOOKUP(F576&amp;"|"&amp;J576&amp;"|"&amp;O576,PRICES!$C$2:$C$659&amp;"|"&amp;PRICES!$B$2:$B$659&amp;"|"&amp;PRICES!$D$2:$D$659,PRICES!$E$2:$E$659),"Not Found"))</f>
        <v/>
      </c>
      <c r="Q576" s="100" t="str">
        <f>IF(N576=0,"",SUMIFS(PRICES!$G$2:$G$658,PRICES!$B$2:$B$658,'MAIN TABLE-1 AUTOMATED'!J576,PRICES!$C$2:$C$658,'MAIN TABLE-1 AUTOMATED'!F576,PRICES!$D$2:$D$658,'MAIN TABLE-1 AUTOMATED'!O576))</f>
        <v/>
      </c>
      <c r="R576" s="41" t="str">
        <f>IF(Table1[[#This Row],[QUANTITY]]=0,"",Table1[[#This Row],[UNIT PRICE]]*Table1[[#This Row],[QUANTITY]])</f>
        <v/>
      </c>
      <c r="S576" s="89"/>
      <c r="T576" s="38"/>
      <c r="U576" s="43"/>
      <c r="V576" s="42" t="str">
        <f>IF(Table1[[#This Row],[DATE]]=0,"",YEAR(E576))</f>
        <v/>
      </c>
      <c r="W576" s="40" t="str">
        <f t="shared" si="18"/>
        <v/>
      </c>
      <c r="X576" s="40" t="str">
        <f t="shared" si="19"/>
        <v/>
      </c>
      <c r="Y576" s="40" t="str">
        <f>TEXT(Table1[[#This Row],[YEAR]],"0000")&amp;"-"&amp;Table1[[#This Row],[MONTH]]</f>
        <v>-</v>
      </c>
      <c r="AD576" s="23"/>
    </row>
    <row r="577" spans="1:30" ht="15" customHeight="1" x14ac:dyDescent="0.35">
      <c r="A577" s="24"/>
      <c r="B577" s="38"/>
      <c r="C577" s="38"/>
      <c r="D577" s="38"/>
      <c r="E577" s="37"/>
      <c r="F577" s="38"/>
      <c r="G577" s="198"/>
      <c r="H577" s="198"/>
      <c r="I577" s="39"/>
      <c r="J577" s="38"/>
      <c r="K577" s="198"/>
      <c r="L577" s="38"/>
      <c r="M577" s="38"/>
      <c r="N577" s="38"/>
      <c r="O577" s="38"/>
      <c r="P577" s="40" t="str" cm="1">
        <f t="array" ref="P577">IF(N577="","",IFERROR(_xlfn.XLOOKUP(F577&amp;"|"&amp;J577&amp;"|"&amp;O577,PRICES!$C$2:$C$659&amp;"|"&amp;PRICES!$B$2:$B$659&amp;"|"&amp;PRICES!$D$2:$D$659,PRICES!$E$2:$E$659),"Not Found"))</f>
        <v/>
      </c>
      <c r="Q577" s="100" t="str">
        <f>IF(N577=0,"",SUMIFS(PRICES!$G$2:$G$658,PRICES!$B$2:$B$658,'MAIN TABLE-1 AUTOMATED'!J577,PRICES!$C$2:$C$658,'MAIN TABLE-1 AUTOMATED'!F577,PRICES!$D$2:$D$658,'MAIN TABLE-1 AUTOMATED'!O577))</f>
        <v/>
      </c>
      <c r="R577" s="41" t="str">
        <f>IF(Table1[[#This Row],[QUANTITY]]=0,"",Table1[[#This Row],[UNIT PRICE]]*Table1[[#This Row],[QUANTITY]])</f>
        <v/>
      </c>
      <c r="S577" s="89"/>
      <c r="T577" s="38"/>
      <c r="U577" s="43"/>
      <c r="V577" s="42" t="str">
        <f>IF(Table1[[#This Row],[DATE]]=0,"",YEAR(E577))</f>
        <v/>
      </c>
      <c r="W577" s="40" t="str">
        <f t="shared" si="18"/>
        <v/>
      </c>
      <c r="X577" s="40" t="str">
        <f t="shared" si="19"/>
        <v/>
      </c>
      <c r="Y577" s="40" t="str">
        <f>TEXT(Table1[[#This Row],[YEAR]],"0000")&amp;"-"&amp;Table1[[#This Row],[MONTH]]</f>
        <v>-</v>
      </c>
      <c r="AD577" s="23"/>
    </row>
    <row r="578" spans="1:30" ht="15" customHeight="1" x14ac:dyDescent="0.35">
      <c r="A578" s="24"/>
      <c r="B578" s="38"/>
      <c r="C578" s="38"/>
      <c r="D578" s="38"/>
      <c r="E578" s="37"/>
      <c r="F578" s="38"/>
      <c r="G578" s="198"/>
      <c r="H578" s="198"/>
      <c r="I578" s="39"/>
      <c r="J578" s="38"/>
      <c r="K578" s="198"/>
      <c r="L578" s="38"/>
      <c r="M578" s="38"/>
      <c r="N578" s="38"/>
      <c r="O578" s="38"/>
      <c r="P578" s="40" t="str" cm="1">
        <f t="array" ref="P578">IF(N578="","",IFERROR(_xlfn.XLOOKUP(F578&amp;"|"&amp;J578&amp;"|"&amp;O578,PRICES!$C$2:$C$659&amp;"|"&amp;PRICES!$B$2:$B$659&amp;"|"&amp;PRICES!$D$2:$D$659,PRICES!$E$2:$E$659),"Not Found"))</f>
        <v/>
      </c>
      <c r="Q578" s="100" t="str">
        <f>IF(N578=0,"",SUMIFS(PRICES!$G$2:$G$658,PRICES!$B$2:$B$658,'MAIN TABLE-1 AUTOMATED'!J578,PRICES!$C$2:$C$658,'MAIN TABLE-1 AUTOMATED'!F578,PRICES!$D$2:$D$658,'MAIN TABLE-1 AUTOMATED'!O578))</f>
        <v/>
      </c>
      <c r="R578" s="41" t="str">
        <f>IF(Table1[[#This Row],[QUANTITY]]=0,"",Table1[[#This Row],[UNIT PRICE]]*Table1[[#This Row],[QUANTITY]])</f>
        <v/>
      </c>
      <c r="S578" s="89"/>
      <c r="T578" s="38"/>
      <c r="U578" s="43"/>
      <c r="V578" s="42" t="str">
        <f>IF(Table1[[#This Row],[DATE]]=0,"",YEAR(E578))</f>
        <v/>
      </c>
      <c r="W578" s="40" t="str">
        <f t="shared" si="18"/>
        <v/>
      </c>
      <c r="X578" s="40" t="str">
        <f t="shared" si="19"/>
        <v/>
      </c>
      <c r="Y578" s="40" t="str">
        <f>TEXT(Table1[[#This Row],[YEAR]],"0000")&amp;"-"&amp;Table1[[#This Row],[MONTH]]</f>
        <v>-</v>
      </c>
      <c r="AD578" s="23"/>
    </row>
    <row r="579" spans="1:30" ht="15" customHeight="1" x14ac:dyDescent="0.35">
      <c r="A579" s="24"/>
      <c r="B579" s="38"/>
      <c r="C579" s="38"/>
      <c r="D579" s="38"/>
      <c r="E579" s="37"/>
      <c r="F579" s="38"/>
      <c r="G579" s="198"/>
      <c r="H579" s="198"/>
      <c r="I579" s="39"/>
      <c r="J579" s="38"/>
      <c r="K579" s="198"/>
      <c r="L579" s="38"/>
      <c r="M579" s="38"/>
      <c r="N579" s="38"/>
      <c r="O579" s="38"/>
      <c r="P579" s="40" t="str" cm="1">
        <f t="array" ref="P579">IF(N579="","",IFERROR(_xlfn.XLOOKUP(F579&amp;"|"&amp;J579&amp;"|"&amp;O579,PRICES!$C$2:$C$659&amp;"|"&amp;PRICES!$B$2:$B$659&amp;"|"&amp;PRICES!$D$2:$D$659,PRICES!$E$2:$E$659),"Not Found"))</f>
        <v/>
      </c>
      <c r="Q579" s="100" t="str">
        <f>IF(N579=0,"",SUMIFS(PRICES!$G$2:$G$658,PRICES!$B$2:$B$658,'MAIN TABLE-1 AUTOMATED'!J579,PRICES!$C$2:$C$658,'MAIN TABLE-1 AUTOMATED'!F579,PRICES!$D$2:$D$658,'MAIN TABLE-1 AUTOMATED'!O579))</f>
        <v/>
      </c>
      <c r="R579" s="41" t="str">
        <f>IF(Table1[[#This Row],[QUANTITY]]=0,"",Table1[[#This Row],[UNIT PRICE]]*Table1[[#This Row],[QUANTITY]])</f>
        <v/>
      </c>
      <c r="S579" s="89"/>
      <c r="T579" s="38"/>
      <c r="U579" s="43"/>
      <c r="V579" s="42" t="str">
        <f>IF(Table1[[#This Row],[DATE]]=0,"",YEAR(E579))</f>
        <v/>
      </c>
      <c r="W579" s="40" t="str">
        <f t="shared" si="18"/>
        <v/>
      </c>
      <c r="X579" s="40" t="str">
        <f t="shared" si="19"/>
        <v/>
      </c>
      <c r="Y579" s="40" t="str">
        <f>TEXT(Table1[[#This Row],[YEAR]],"0000")&amp;"-"&amp;Table1[[#This Row],[MONTH]]</f>
        <v>-</v>
      </c>
      <c r="AD579" s="23"/>
    </row>
    <row r="580" spans="1:30" ht="15" customHeight="1" x14ac:dyDescent="0.35">
      <c r="A580" s="24"/>
      <c r="B580" s="38"/>
      <c r="C580" s="38"/>
      <c r="D580" s="38"/>
      <c r="E580" s="37"/>
      <c r="F580" s="38"/>
      <c r="G580" s="198"/>
      <c r="H580" s="198"/>
      <c r="I580" s="39"/>
      <c r="J580" s="38"/>
      <c r="K580" s="198"/>
      <c r="L580" s="38"/>
      <c r="M580" s="38"/>
      <c r="N580" s="38"/>
      <c r="O580" s="38"/>
      <c r="P580" s="40" t="str" cm="1">
        <f t="array" ref="P580">IF(N580="","",IFERROR(_xlfn.XLOOKUP(F580&amp;"|"&amp;J580&amp;"|"&amp;O580,PRICES!$C$2:$C$659&amp;"|"&amp;PRICES!$B$2:$B$659&amp;"|"&amp;PRICES!$D$2:$D$659,PRICES!$E$2:$E$659),"Not Found"))</f>
        <v/>
      </c>
      <c r="Q580" s="100" t="str">
        <f>IF(N580=0,"",SUMIFS(PRICES!$G$2:$G$658,PRICES!$B$2:$B$658,'MAIN TABLE-1 AUTOMATED'!J580,PRICES!$C$2:$C$658,'MAIN TABLE-1 AUTOMATED'!F580,PRICES!$D$2:$D$658,'MAIN TABLE-1 AUTOMATED'!O580))</f>
        <v/>
      </c>
      <c r="R580" s="41" t="str">
        <f>IF(Table1[[#This Row],[QUANTITY]]=0,"",Table1[[#This Row],[UNIT PRICE]]*Table1[[#This Row],[QUANTITY]])</f>
        <v/>
      </c>
      <c r="S580" s="89"/>
      <c r="T580" s="38"/>
      <c r="U580" s="43"/>
      <c r="V580" s="42" t="str">
        <f>IF(Table1[[#This Row],[DATE]]=0,"",YEAR(E580))</f>
        <v/>
      </c>
      <c r="W580" s="40" t="str">
        <f t="shared" si="18"/>
        <v/>
      </c>
      <c r="X580" s="40" t="str">
        <f t="shared" si="19"/>
        <v/>
      </c>
      <c r="Y580" s="40" t="str">
        <f>TEXT(Table1[[#This Row],[YEAR]],"0000")&amp;"-"&amp;Table1[[#This Row],[MONTH]]</f>
        <v>-</v>
      </c>
      <c r="AD580" s="23"/>
    </row>
    <row r="581" spans="1:30" ht="15" customHeight="1" x14ac:dyDescent="0.35">
      <c r="A581" s="24"/>
      <c r="B581" s="38"/>
      <c r="C581" s="38"/>
      <c r="D581" s="38"/>
      <c r="E581" s="37"/>
      <c r="F581" s="38"/>
      <c r="G581" s="198"/>
      <c r="H581" s="198"/>
      <c r="I581" s="39"/>
      <c r="J581" s="38"/>
      <c r="K581" s="198"/>
      <c r="L581" s="38"/>
      <c r="M581" s="38"/>
      <c r="N581" s="38"/>
      <c r="O581" s="38"/>
      <c r="P581" s="40" t="str" cm="1">
        <f t="array" ref="P581">IF(N581="","",IFERROR(_xlfn.XLOOKUP(F581&amp;"|"&amp;J581&amp;"|"&amp;O581,PRICES!$C$2:$C$659&amp;"|"&amp;PRICES!$B$2:$B$659&amp;"|"&amp;PRICES!$D$2:$D$659,PRICES!$E$2:$E$659),"Not Found"))</f>
        <v/>
      </c>
      <c r="Q581" s="100" t="str">
        <f>IF(N581=0,"",SUMIFS(PRICES!$G$2:$G$658,PRICES!$B$2:$B$658,'MAIN TABLE-1 AUTOMATED'!J581,PRICES!$C$2:$C$658,'MAIN TABLE-1 AUTOMATED'!F581,PRICES!$D$2:$D$658,'MAIN TABLE-1 AUTOMATED'!O581))</f>
        <v/>
      </c>
      <c r="R581" s="41" t="str">
        <f>IF(Table1[[#This Row],[QUANTITY]]=0,"",Table1[[#This Row],[UNIT PRICE]]*Table1[[#This Row],[QUANTITY]])</f>
        <v/>
      </c>
      <c r="S581" s="89"/>
      <c r="T581" s="38"/>
      <c r="U581" s="43"/>
      <c r="V581" s="42" t="str">
        <f>IF(Table1[[#This Row],[DATE]]=0,"",YEAR(E581))</f>
        <v/>
      </c>
      <c r="W581" s="40" t="str">
        <f t="shared" si="18"/>
        <v/>
      </c>
      <c r="X581" s="40" t="str">
        <f t="shared" si="19"/>
        <v/>
      </c>
      <c r="Y581" s="40" t="str">
        <f>TEXT(Table1[[#This Row],[YEAR]],"0000")&amp;"-"&amp;Table1[[#This Row],[MONTH]]</f>
        <v>-</v>
      </c>
      <c r="AD581" s="23"/>
    </row>
    <row r="582" spans="1:30" ht="15" customHeight="1" x14ac:dyDescent="0.35">
      <c r="A582" s="24"/>
      <c r="B582" s="38"/>
      <c r="C582" s="38"/>
      <c r="D582" s="38"/>
      <c r="E582" s="37"/>
      <c r="F582" s="38"/>
      <c r="G582" s="198"/>
      <c r="H582" s="198"/>
      <c r="I582" s="39"/>
      <c r="J582" s="38"/>
      <c r="K582" s="198"/>
      <c r="L582" s="38"/>
      <c r="M582" s="38"/>
      <c r="N582" s="38"/>
      <c r="O582" s="38"/>
      <c r="P582" s="40" t="str" cm="1">
        <f t="array" ref="P582">IF(N582="","",IFERROR(_xlfn.XLOOKUP(F582&amp;"|"&amp;J582&amp;"|"&amp;O582,PRICES!$C$2:$C$659&amp;"|"&amp;PRICES!$B$2:$B$659&amp;"|"&amp;PRICES!$D$2:$D$659,PRICES!$E$2:$E$659),"Not Found"))</f>
        <v/>
      </c>
      <c r="Q582" s="100" t="str">
        <f>IF(N582=0,"",SUMIFS(PRICES!$G$2:$G$658,PRICES!$B$2:$B$658,'MAIN TABLE-1 AUTOMATED'!J582,PRICES!$C$2:$C$658,'MAIN TABLE-1 AUTOMATED'!F582,PRICES!$D$2:$D$658,'MAIN TABLE-1 AUTOMATED'!O582))</f>
        <v/>
      </c>
      <c r="R582" s="41" t="str">
        <f>IF(Table1[[#This Row],[QUANTITY]]=0,"",Table1[[#This Row],[UNIT PRICE]]*Table1[[#This Row],[QUANTITY]])</f>
        <v/>
      </c>
      <c r="S582" s="89"/>
      <c r="T582" s="38"/>
      <c r="U582" s="43"/>
      <c r="V582" s="42" t="str">
        <f>IF(Table1[[#This Row],[DATE]]=0,"",YEAR(E582))</f>
        <v/>
      </c>
      <c r="W582" s="40" t="str">
        <f t="shared" si="18"/>
        <v/>
      </c>
      <c r="X582" s="40" t="str">
        <f t="shared" si="19"/>
        <v/>
      </c>
      <c r="Y582" s="40" t="str">
        <f>TEXT(Table1[[#This Row],[YEAR]],"0000")&amp;"-"&amp;Table1[[#This Row],[MONTH]]</f>
        <v>-</v>
      </c>
      <c r="AD582" s="23"/>
    </row>
    <row r="583" spans="1:30" ht="15" customHeight="1" x14ac:dyDescent="0.35">
      <c r="A583" s="24"/>
      <c r="B583" s="38"/>
      <c r="C583" s="38"/>
      <c r="D583" s="38"/>
      <c r="E583" s="37"/>
      <c r="F583" s="38"/>
      <c r="G583" s="198"/>
      <c r="H583" s="198"/>
      <c r="I583" s="39"/>
      <c r="J583" s="38"/>
      <c r="K583" s="198"/>
      <c r="L583" s="38"/>
      <c r="M583" s="38"/>
      <c r="N583" s="38"/>
      <c r="O583" s="38"/>
      <c r="P583" s="40" t="str" cm="1">
        <f t="array" ref="P583">IF(N583="","",IFERROR(_xlfn.XLOOKUP(F583&amp;"|"&amp;J583&amp;"|"&amp;O583,PRICES!$C$2:$C$659&amp;"|"&amp;PRICES!$B$2:$B$659&amp;"|"&amp;PRICES!$D$2:$D$659,PRICES!$E$2:$E$659),"Not Found"))</f>
        <v/>
      </c>
      <c r="Q583" s="100" t="str">
        <f>IF(N583=0,"",SUMIFS(PRICES!$G$2:$G$658,PRICES!$B$2:$B$658,'MAIN TABLE-1 AUTOMATED'!J583,PRICES!$C$2:$C$658,'MAIN TABLE-1 AUTOMATED'!F583,PRICES!$D$2:$D$658,'MAIN TABLE-1 AUTOMATED'!O583))</f>
        <v/>
      </c>
      <c r="R583" s="41" t="str">
        <f>IF(Table1[[#This Row],[QUANTITY]]=0,"",Table1[[#This Row],[UNIT PRICE]]*Table1[[#This Row],[QUANTITY]])</f>
        <v/>
      </c>
      <c r="S583" s="89"/>
      <c r="T583" s="38"/>
      <c r="U583" s="43"/>
      <c r="V583" s="42" t="str">
        <f>IF(Table1[[#This Row],[DATE]]=0,"",YEAR(E583))</f>
        <v/>
      </c>
      <c r="W583" s="40" t="str">
        <f t="shared" si="18"/>
        <v/>
      </c>
      <c r="X583" s="40" t="str">
        <f t="shared" si="19"/>
        <v/>
      </c>
      <c r="Y583" s="40" t="str">
        <f>TEXT(Table1[[#This Row],[YEAR]],"0000")&amp;"-"&amp;Table1[[#This Row],[MONTH]]</f>
        <v>-</v>
      </c>
      <c r="AD583" s="23"/>
    </row>
    <row r="584" spans="1:30" ht="15" customHeight="1" x14ac:dyDescent="0.35">
      <c r="A584" s="24"/>
      <c r="B584" s="38"/>
      <c r="C584" s="38"/>
      <c r="D584" s="38"/>
      <c r="E584" s="37"/>
      <c r="F584" s="38"/>
      <c r="G584" s="198"/>
      <c r="H584" s="198"/>
      <c r="I584" s="39"/>
      <c r="J584" s="38"/>
      <c r="K584" s="198"/>
      <c r="L584" s="38"/>
      <c r="M584" s="38"/>
      <c r="N584" s="38"/>
      <c r="O584" s="38"/>
      <c r="P584" s="40" t="str" cm="1">
        <f t="array" ref="P584">IF(N584="","",IFERROR(_xlfn.XLOOKUP(F584&amp;"|"&amp;J584&amp;"|"&amp;O584,PRICES!$C$2:$C$659&amp;"|"&amp;PRICES!$B$2:$B$659&amp;"|"&amp;PRICES!$D$2:$D$659,PRICES!$E$2:$E$659),"Not Found"))</f>
        <v/>
      </c>
      <c r="Q584" s="100" t="str">
        <f>IF(N584=0,"",SUMIFS(PRICES!$G$2:$G$658,PRICES!$B$2:$B$658,'MAIN TABLE-1 AUTOMATED'!J584,PRICES!$C$2:$C$658,'MAIN TABLE-1 AUTOMATED'!F584,PRICES!$D$2:$D$658,'MAIN TABLE-1 AUTOMATED'!O584))</f>
        <v/>
      </c>
      <c r="R584" s="41" t="str">
        <f>IF(Table1[[#This Row],[QUANTITY]]=0,"",Table1[[#This Row],[UNIT PRICE]]*Table1[[#This Row],[QUANTITY]])</f>
        <v/>
      </c>
      <c r="S584" s="89"/>
      <c r="T584" s="38"/>
      <c r="U584" s="43"/>
      <c r="V584" s="42" t="str">
        <f>IF(Table1[[#This Row],[DATE]]=0,"",YEAR(E584))</f>
        <v/>
      </c>
      <c r="W584" s="40" t="str">
        <f t="shared" si="18"/>
        <v/>
      </c>
      <c r="X584" s="40" t="str">
        <f t="shared" si="19"/>
        <v/>
      </c>
      <c r="Y584" s="40" t="str">
        <f>TEXT(Table1[[#This Row],[YEAR]],"0000")&amp;"-"&amp;Table1[[#This Row],[MONTH]]</f>
        <v>-</v>
      </c>
      <c r="AD584" s="23"/>
    </row>
    <row r="585" spans="1:30" ht="15" customHeight="1" x14ac:dyDescent="0.35">
      <c r="A585" s="24"/>
      <c r="B585" s="38"/>
      <c r="C585" s="38"/>
      <c r="D585" s="38"/>
      <c r="E585" s="37"/>
      <c r="F585" s="38"/>
      <c r="G585" s="198"/>
      <c r="H585" s="198"/>
      <c r="I585" s="39"/>
      <c r="J585" s="38"/>
      <c r="K585" s="198"/>
      <c r="L585" s="38"/>
      <c r="M585" s="38"/>
      <c r="N585" s="38"/>
      <c r="O585" s="38"/>
      <c r="P585" s="40" t="str" cm="1">
        <f t="array" ref="P585">IF(N585="","",IFERROR(_xlfn.XLOOKUP(F585&amp;"|"&amp;J585&amp;"|"&amp;O585,PRICES!$C$2:$C$659&amp;"|"&amp;PRICES!$B$2:$B$659&amp;"|"&amp;PRICES!$D$2:$D$659,PRICES!$E$2:$E$659),"Not Found"))</f>
        <v/>
      </c>
      <c r="Q585" s="100" t="str">
        <f>IF(N585=0,"",SUMIFS(PRICES!$G$2:$G$658,PRICES!$B$2:$B$658,'MAIN TABLE-1 AUTOMATED'!J585,PRICES!$C$2:$C$658,'MAIN TABLE-1 AUTOMATED'!F585,PRICES!$D$2:$D$658,'MAIN TABLE-1 AUTOMATED'!O585))</f>
        <v/>
      </c>
      <c r="R585" s="41" t="str">
        <f>IF(Table1[[#This Row],[QUANTITY]]=0,"",Table1[[#This Row],[UNIT PRICE]]*Table1[[#This Row],[QUANTITY]])</f>
        <v/>
      </c>
      <c r="S585" s="89"/>
      <c r="T585" s="38"/>
      <c r="U585" s="43"/>
      <c r="V585" s="42" t="str">
        <f>IF(Table1[[#This Row],[DATE]]=0,"",YEAR(E585))</f>
        <v/>
      </c>
      <c r="W585" s="40" t="str">
        <f t="shared" si="18"/>
        <v/>
      </c>
      <c r="X585" s="40" t="str">
        <f t="shared" si="19"/>
        <v/>
      </c>
      <c r="Y585" s="40" t="str">
        <f>TEXT(Table1[[#This Row],[YEAR]],"0000")&amp;"-"&amp;Table1[[#This Row],[MONTH]]</f>
        <v>-</v>
      </c>
      <c r="AD585" s="23"/>
    </row>
    <row r="586" spans="1:30" ht="15" customHeight="1" x14ac:dyDescent="0.35">
      <c r="A586" s="24"/>
      <c r="B586" s="38"/>
      <c r="C586" s="38"/>
      <c r="D586" s="38"/>
      <c r="E586" s="37"/>
      <c r="F586" s="38"/>
      <c r="G586" s="198"/>
      <c r="H586" s="198"/>
      <c r="I586" s="39"/>
      <c r="J586" s="38"/>
      <c r="K586" s="198"/>
      <c r="L586" s="38"/>
      <c r="M586" s="38"/>
      <c r="N586" s="38"/>
      <c r="O586" s="38"/>
      <c r="P586" s="40" t="str" cm="1">
        <f t="array" ref="P586">IF(N586="","",IFERROR(_xlfn.XLOOKUP(F586&amp;"|"&amp;J586&amp;"|"&amp;O586,PRICES!$C$2:$C$659&amp;"|"&amp;PRICES!$B$2:$B$659&amp;"|"&amp;PRICES!$D$2:$D$659,PRICES!$E$2:$E$659),"Not Found"))</f>
        <v/>
      </c>
      <c r="Q586" s="100" t="str">
        <f>IF(N586=0,"",SUMIFS(PRICES!$G$2:$G$658,PRICES!$B$2:$B$658,'MAIN TABLE-1 AUTOMATED'!J586,PRICES!$C$2:$C$658,'MAIN TABLE-1 AUTOMATED'!F586,PRICES!$D$2:$D$658,'MAIN TABLE-1 AUTOMATED'!O586))</f>
        <v/>
      </c>
      <c r="R586" s="41" t="str">
        <f>IF(Table1[[#This Row],[QUANTITY]]=0,"",Table1[[#This Row],[UNIT PRICE]]*Table1[[#This Row],[QUANTITY]])</f>
        <v/>
      </c>
      <c r="S586" s="89"/>
      <c r="T586" s="38"/>
      <c r="U586" s="43"/>
      <c r="V586" s="42" t="str">
        <f>IF(Table1[[#This Row],[DATE]]=0,"",YEAR(E586))</f>
        <v/>
      </c>
      <c r="W586" s="40" t="str">
        <f t="shared" si="18"/>
        <v/>
      </c>
      <c r="X586" s="40" t="str">
        <f t="shared" si="19"/>
        <v/>
      </c>
      <c r="Y586" s="40" t="str">
        <f>TEXT(Table1[[#This Row],[YEAR]],"0000")&amp;"-"&amp;Table1[[#This Row],[MONTH]]</f>
        <v>-</v>
      </c>
      <c r="AD586" s="23"/>
    </row>
    <row r="587" spans="1:30" ht="15" customHeight="1" x14ac:dyDescent="0.35">
      <c r="A587" s="24"/>
      <c r="B587" s="38"/>
      <c r="C587" s="38"/>
      <c r="D587" s="38"/>
      <c r="E587" s="37"/>
      <c r="F587" s="38"/>
      <c r="G587" s="198"/>
      <c r="H587" s="198"/>
      <c r="I587" s="39"/>
      <c r="J587" s="38"/>
      <c r="K587" s="198"/>
      <c r="L587" s="38"/>
      <c r="M587" s="38"/>
      <c r="N587" s="38"/>
      <c r="O587" s="38"/>
      <c r="P587" s="40" t="str" cm="1">
        <f t="array" ref="P587">IF(N587="","",IFERROR(_xlfn.XLOOKUP(F587&amp;"|"&amp;J587&amp;"|"&amp;O587,PRICES!$C$2:$C$659&amp;"|"&amp;PRICES!$B$2:$B$659&amp;"|"&amp;PRICES!$D$2:$D$659,PRICES!$E$2:$E$659),"Not Found"))</f>
        <v/>
      </c>
      <c r="Q587" s="100" t="str">
        <f>IF(N587=0,"",SUMIFS(PRICES!$G$2:$G$658,PRICES!$B$2:$B$658,'MAIN TABLE-1 AUTOMATED'!J587,PRICES!$C$2:$C$658,'MAIN TABLE-1 AUTOMATED'!F587,PRICES!$D$2:$D$658,'MAIN TABLE-1 AUTOMATED'!O587))</f>
        <v/>
      </c>
      <c r="R587" s="41" t="str">
        <f>IF(Table1[[#This Row],[QUANTITY]]=0,"",Table1[[#This Row],[UNIT PRICE]]*Table1[[#This Row],[QUANTITY]])</f>
        <v/>
      </c>
      <c r="S587" s="89"/>
      <c r="T587" s="38"/>
      <c r="U587" s="43"/>
      <c r="V587" s="42" t="str">
        <f>IF(Table1[[#This Row],[DATE]]=0,"",YEAR(E587))</f>
        <v/>
      </c>
      <c r="W587" s="40" t="str">
        <f t="shared" si="18"/>
        <v/>
      </c>
      <c r="X587" s="40" t="str">
        <f t="shared" si="19"/>
        <v/>
      </c>
      <c r="Y587" s="40" t="str">
        <f>TEXT(Table1[[#This Row],[YEAR]],"0000")&amp;"-"&amp;Table1[[#This Row],[MONTH]]</f>
        <v>-</v>
      </c>
      <c r="AD587" s="23"/>
    </row>
    <row r="588" spans="1:30" ht="15" customHeight="1" x14ac:dyDescent="0.35">
      <c r="A588" s="24"/>
      <c r="B588" s="36"/>
      <c r="C588" s="36"/>
      <c r="D588" s="36"/>
      <c r="E588" s="37"/>
      <c r="F588" s="38"/>
      <c r="G588" s="198"/>
      <c r="H588" s="198"/>
      <c r="I588" s="39"/>
      <c r="J588" s="38"/>
      <c r="K588" s="198"/>
      <c r="L588" s="38"/>
      <c r="M588" s="38"/>
      <c r="N588" s="38"/>
      <c r="O588" s="38"/>
      <c r="P588" s="40" t="str" cm="1">
        <f t="array" ref="P588">IF(N588="","",IFERROR(_xlfn.XLOOKUP(F588&amp;"|"&amp;J588&amp;"|"&amp;O588,PRICES!$C$2:$C$659&amp;"|"&amp;PRICES!$B$2:$B$659&amp;"|"&amp;PRICES!$D$2:$D$659,PRICES!$E$2:$E$659),"Not Found"))</f>
        <v/>
      </c>
      <c r="Q588" s="100" t="str">
        <f>IF(N588=0,"",SUMIFS(PRICES!$G$2:$G$658,PRICES!$B$2:$B$658,'MAIN TABLE-1 AUTOMATED'!J588,PRICES!$C$2:$C$658,'MAIN TABLE-1 AUTOMATED'!F588,PRICES!$D$2:$D$658,'MAIN TABLE-1 AUTOMATED'!O588))</f>
        <v/>
      </c>
      <c r="R588" s="41" t="str">
        <f>IF(Table1[[#This Row],[QUANTITY]]=0,"",Table1[[#This Row],[UNIT PRICE]]*Table1[[#This Row],[QUANTITY]])</f>
        <v/>
      </c>
      <c r="S588" s="89"/>
      <c r="T588" s="38"/>
      <c r="U588" s="43"/>
      <c r="V588" s="42" t="str">
        <f>IF(Table1[[#This Row],[DATE]]=0,"",YEAR(E588))</f>
        <v/>
      </c>
      <c r="W588" s="40" t="str">
        <f t="shared" si="18"/>
        <v/>
      </c>
      <c r="X588" s="40" t="str">
        <f t="shared" si="19"/>
        <v/>
      </c>
      <c r="Y588" s="40" t="str">
        <f>TEXT(Table1[[#This Row],[YEAR]],"0000")&amp;"-"&amp;Table1[[#This Row],[MONTH]]</f>
        <v>-</v>
      </c>
      <c r="AD588" s="23"/>
    </row>
    <row r="589" spans="1:30" ht="15" customHeight="1" x14ac:dyDescent="0.35">
      <c r="A589" s="24"/>
      <c r="B589" s="36"/>
      <c r="C589" s="36"/>
      <c r="D589" s="36"/>
      <c r="E589" s="37"/>
      <c r="F589" s="38"/>
      <c r="G589" s="198"/>
      <c r="H589" s="198"/>
      <c r="I589" s="39"/>
      <c r="J589" s="38"/>
      <c r="K589" s="198"/>
      <c r="L589" s="38"/>
      <c r="M589" s="38"/>
      <c r="N589" s="38"/>
      <c r="O589" s="38"/>
      <c r="P589" s="40" t="str" cm="1">
        <f t="array" ref="P589">IF(N589="","",IFERROR(_xlfn.XLOOKUP(F589&amp;"|"&amp;J589&amp;"|"&amp;O589,PRICES!$C$2:$C$659&amp;"|"&amp;PRICES!$B$2:$B$659&amp;"|"&amp;PRICES!$D$2:$D$659,PRICES!$E$2:$E$659),"Not Found"))</f>
        <v/>
      </c>
      <c r="Q589" s="100" t="str">
        <f>IF(N589=0,"",SUMIFS(PRICES!$G$2:$G$658,PRICES!$B$2:$B$658,'MAIN TABLE-1 AUTOMATED'!J589,PRICES!$C$2:$C$658,'MAIN TABLE-1 AUTOMATED'!F589,PRICES!$D$2:$D$658,'MAIN TABLE-1 AUTOMATED'!O589))</f>
        <v/>
      </c>
      <c r="R589" s="41" t="str">
        <f>IF(Table1[[#This Row],[QUANTITY]]=0,"",Table1[[#This Row],[UNIT PRICE]]*Table1[[#This Row],[QUANTITY]])</f>
        <v/>
      </c>
      <c r="S589" s="89"/>
      <c r="T589" s="38"/>
      <c r="U589" s="43"/>
      <c r="V589" s="42" t="str">
        <f>IF(Table1[[#This Row],[DATE]]=0,"",YEAR(E589))</f>
        <v/>
      </c>
      <c r="W589" s="40" t="str">
        <f t="shared" si="18"/>
        <v/>
      </c>
      <c r="X589" s="40" t="str">
        <f t="shared" si="19"/>
        <v/>
      </c>
      <c r="Y589" s="40" t="str">
        <f>TEXT(Table1[[#This Row],[YEAR]],"0000")&amp;"-"&amp;Table1[[#This Row],[MONTH]]</f>
        <v>-</v>
      </c>
      <c r="AD589" s="23"/>
    </row>
    <row r="590" spans="1:30" ht="15" customHeight="1" x14ac:dyDescent="0.35">
      <c r="A590" s="24"/>
      <c r="B590" s="36"/>
      <c r="C590" s="36"/>
      <c r="D590" s="36"/>
      <c r="E590" s="37"/>
      <c r="F590" s="38"/>
      <c r="G590" s="198"/>
      <c r="H590" s="198"/>
      <c r="I590" s="39"/>
      <c r="J590" s="38"/>
      <c r="K590" s="198"/>
      <c r="L590" s="38"/>
      <c r="M590" s="38"/>
      <c r="N590" s="38"/>
      <c r="O590" s="38"/>
      <c r="P590" s="40" t="str" cm="1">
        <f t="array" ref="P590">IF(N590="","",IFERROR(_xlfn.XLOOKUP(F590&amp;"|"&amp;J590&amp;"|"&amp;O590,PRICES!$C$2:$C$659&amp;"|"&amp;PRICES!$B$2:$B$659&amp;"|"&amp;PRICES!$D$2:$D$659,PRICES!$E$2:$E$659),"Not Found"))</f>
        <v/>
      </c>
      <c r="Q590" s="100" t="str">
        <f>IF(N590=0,"",SUMIFS(PRICES!$G$2:$G$658,PRICES!$B$2:$B$658,'MAIN TABLE-1 AUTOMATED'!J590,PRICES!$C$2:$C$658,'MAIN TABLE-1 AUTOMATED'!F590,PRICES!$D$2:$D$658,'MAIN TABLE-1 AUTOMATED'!O590))</f>
        <v/>
      </c>
      <c r="R590" s="41" t="str">
        <f>IF(Table1[[#This Row],[QUANTITY]]=0,"",Table1[[#This Row],[UNIT PRICE]]*Table1[[#This Row],[QUANTITY]])</f>
        <v/>
      </c>
      <c r="S590" s="89"/>
      <c r="T590" s="38"/>
      <c r="U590" s="43"/>
      <c r="V590" s="42" t="str">
        <f>IF(Table1[[#This Row],[DATE]]=0,"",YEAR(E590))</f>
        <v/>
      </c>
      <c r="W590" s="40" t="str">
        <f t="shared" si="18"/>
        <v/>
      </c>
      <c r="X590" s="40" t="str">
        <f t="shared" si="19"/>
        <v/>
      </c>
      <c r="Y590" s="40" t="str">
        <f>TEXT(Table1[[#This Row],[YEAR]],"0000")&amp;"-"&amp;Table1[[#This Row],[MONTH]]</f>
        <v>-</v>
      </c>
      <c r="AD590" s="23"/>
    </row>
    <row r="591" spans="1:30" ht="15" customHeight="1" x14ac:dyDescent="0.35">
      <c r="A591" s="24"/>
      <c r="B591" s="36"/>
      <c r="C591" s="36"/>
      <c r="D591" s="36"/>
      <c r="E591" s="37"/>
      <c r="F591" s="38"/>
      <c r="G591" s="198"/>
      <c r="H591" s="198"/>
      <c r="I591" s="39"/>
      <c r="J591" s="38"/>
      <c r="K591" s="198"/>
      <c r="L591" s="38"/>
      <c r="M591" s="38"/>
      <c r="N591" s="38"/>
      <c r="O591" s="38"/>
      <c r="P591" s="40" t="str" cm="1">
        <f t="array" ref="P591">IF(N591="","",IFERROR(_xlfn.XLOOKUP(F591&amp;"|"&amp;J591&amp;"|"&amp;O591,PRICES!$C$2:$C$659&amp;"|"&amp;PRICES!$B$2:$B$659&amp;"|"&amp;PRICES!$D$2:$D$659,PRICES!$E$2:$E$659),"Not Found"))</f>
        <v/>
      </c>
      <c r="Q591" s="100" t="str">
        <f>IF(N591=0,"",SUMIFS(PRICES!$G$2:$G$658,PRICES!$B$2:$B$658,'MAIN TABLE-1 AUTOMATED'!J591,PRICES!$C$2:$C$658,'MAIN TABLE-1 AUTOMATED'!F591,PRICES!$D$2:$D$658,'MAIN TABLE-1 AUTOMATED'!O591))</f>
        <v/>
      </c>
      <c r="R591" s="41" t="str">
        <f>IF(Table1[[#This Row],[QUANTITY]]=0,"",Table1[[#This Row],[UNIT PRICE]]*Table1[[#This Row],[QUANTITY]])</f>
        <v/>
      </c>
      <c r="S591" s="89"/>
      <c r="T591" s="38"/>
      <c r="U591" s="43"/>
      <c r="V591" s="42" t="str">
        <f>IF(Table1[[#This Row],[DATE]]=0,"",YEAR(E591))</f>
        <v/>
      </c>
      <c r="W591" s="40" t="str">
        <f t="shared" si="18"/>
        <v/>
      </c>
      <c r="X591" s="40" t="str">
        <f t="shared" si="19"/>
        <v/>
      </c>
      <c r="Y591" s="40" t="str">
        <f>TEXT(Table1[[#This Row],[YEAR]],"0000")&amp;"-"&amp;Table1[[#This Row],[MONTH]]</f>
        <v>-</v>
      </c>
      <c r="AD591" s="23"/>
    </row>
    <row r="592" spans="1:30" ht="15" customHeight="1" x14ac:dyDescent="0.35">
      <c r="A592" s="24"/>
      <c r="B592" s="38"/>
      <c r="C592" s="38"/>
      <c r="D592" s="38"/>
      <c r="E592" s="37"/>
      <c r="F592" s="38"/>
      <c r="G592" s="198"/>
      <c r="H592" s="198"/>
      <c r="I592" s="39"/>
      <c r="J592" s="38"/>
      <c r="K592" s="198"/>
      <c r="L592" s="38"/>
      <c r="M592" s="38"/>
      <c r="N592" s="38"/>
      <c r="O592" s="38"/>
      <c r="P592" s="40" t="str" cm="1">
        <f t="array" ref="P592">IF(N592="","",IFERROR(_xlfn.XLOOKUP(F592&amp;"|"&amp;J592&amp;"|"&amp;O592,PRICES!$C$2:$C$659&amp;"|"&amp;PRICES!$B$2:$B$659&amp;"|"&amp;PRICES!$D$2:$D$659,PRICES!$E$2:$E$659),"Not Found"))</f>
        <v/>
      </c>
      <c r="Q592" s="100" t="str">
        <f>IF(N592=0,"",SUMIFS(PRICES!$G$2:$G$658,PRICES!$B$2:$B$658,'MAIN TABLE-1 AUTOMATED'!J592,PRICES!$C$2:$C$658,'MAIN TABLE-1 AUTOMATED'!F592,PRICES!$D$2:$D$658,'MAIN TABLE-1 AUTOMATED'!O592))</f>
        <v/>
      </c>
      <c r="R592" s="41" t="str">
        <f>IF(Table1[[#This Row],[QUANTITY]]=0,"",Table1[[#This Row],[UNIT PRICE]]*Table1[[#This Row],[QUANTITY]])</f>
        <v/>
      </c>
      <c r="S592" s="89"/>
      <c r="T592" s="38"/>
      <c r="U592" s="43"/>
      <c r="V592" s="42" t="str">
        <f>IF(Table1[[#This Row],[DATE]]=0,"",YEAR(E592))</f>
        <v/>
      </c>
      <c r="W592" s="40" t="str">
        <f t="shared" si="18"/>
        <v/>
      </c>
      <c r="X592" s="40" t="str">
        <f t="shared" si="19"/>
        <v/>
      </c>
      <c r="Y592" s="40" t="str">
        <f>TEXT(Table1[[#This Row],[YEAR]],"0000")&amp;"-"&amp;Table1[[#This Row],[MONTH]]</f>
        <v>-</v>
      </c>
      <c r="AD592" s="23"/>
    </row>
    <row r="593" spans="1:30" ht="15" customHeight="1" x14ac:dyDescent="0.35">
      <c r="A593" s="24"/>
      <c r="B593" s="36"/>
      <c r="C593" s="36"/>
      <c r="D593" s="36"/>
      <c r="E593" s="37"/>
      <c r="F593" s="38"/>
      <c r="G593" s="198"/>
      <c r="H593" s="198"/>
      <c r="I593" s="39"/>
      <c r="J593" s="38"/>
      <c r="K593" s="198"/>
      <c r="L593" s="38"/>
      <c r="M593" s="38"/>
      <c r="N593" s="38"/>
      <c r="O593" s="38"/>
      <c r="P593" s="40" t="str" cm="1">
        <f t="array" ref="P593">IF(N593="","",IFERROR(_xlfn.XLOOKUP(F593&amp;"|"&amp;J593&amp;"|"&amp;O593,PRICES!$C$2:$C$659&amp;"|"&amp;PRICES!$B$2:$B$659&amp;"|"&amp;PRICES!$D$2:$D$659,PRICES!$E$2:$E$659),"Not Found"))</f>
        <v/>
      </c>
      <c r="Q593" s="100" t="str">
        <f>IF(N593=0,"",SUMIFS(PRICES!$G$2:$G$658,PRICES!$B$2:$B$658,'MAIN TABLE-1 AUTOMATED'!J593,PRICES!$C$2:$C$658,'MAIN TABLE-1 AUTOMATED'!F593,PRICES!$D$2:$D$658,'MAIN TABLE-1 AUTOMATED'!O593))</f>
        <v/>
      </c>
      <c r="R593" s="41" t="str">
        <f>IF(Table1[[#This Row],[QUANTITY]]=0,"",Table1[[#This Row],[UNIT PRICE]]*Table1[[#This Row],[QUANTITY]])</f>
        <v/>
      </c>
      <c r="S593" s="89"/>
      <c r="T593" s="38"/>
      <c r="U593" s="43"/>
      <c r="V593" s="42" t="str">
        <f>IF(Table1[[#This Row],[DATE]]=0,"",YEAR(E593))</f>
        <v/>
      </c>
      <c r="W593" s="40" t="str">
        <f t="shared" si="18"/>
        <v/>
      </c>
      <c r="X593" s="40" t="str">
        <f t="shared" si="19"/>
        <v/>
      </c>
      <c r="Y593" s="40" t="str">
        <f>TEXT(Table1[[#This Row],[YEAR]],"0000")&amp;"-"&amp;Table1[[#This Row],[MONTH]]</f>
        <v>-</v>
      </c>
      <c r="AD593" s="23"/>
    </row>
    <row r="594" spans="1:30" ht="15" customHeight="1" x14ac:dyDescent="0.35">
      <c r="A594" s="24"/>
      <c r="B594" s="36"/>
      <c r="C594" s="36"/>
      <c r="D594" s="36"/>
      <c r="E594" s="37"/>
      <c r="F594" s="38"/>
      <c r="G594" s="198"/>
      <c r="H594" s="198"/>
      <c r="I594" s="39"/>
      <c r="J594" s="38"/>
      <c r="K594" s="198"/>
      <c r="L594" s="38"/>
      <c r="M594" s="38"/>
      <c r="N594" s="38"/>
      <c r="O594" s="38"/>
      <c r="P594" s="40" t="str" cm="1">
        <f t="array" ref="P594">IF(N594="","",IFERROR(_xlfn.XLOOKUP(F594&amp;"|"&amp;J594&amp;"|"&amp;O594,PRICES!$C$2:$C$659&amp;"|"&amp;PRICES!$B$2:$B$659&amp;"|"&amp;PRICES!$D$2:$D$659,PRICES!$E$2:$E$659),"Not Found"))</f>
        <v/>
      </c>
      <c r="Q594" s="100" t="str">
        <f>IF(N594=0,"",SUMIFS(PRICES!$G$2:$G$658,PRICES!$B$2:$B$658,'MAIN TABLE-1 AUTOMATED'!J594,PRICES!$C$2:$C$658,'MAIN TABLE-1 AUTOMATED'!F594,PRICES!$D$2:$D$658,'MAIN TABLE-1 AUTOMATED'!O594))</f>
        <v/>
      </c>
      <c r="R594" s="41" t="str">
        <f>IF(Table1[[#This Row],[QUANTITY]]=0,"",Table1[[#This Row],[UNIT PRICE]]*Table1[[#This Row],[QUANTITY]])</f>
        <v/>
      </c>
      <c r="S594" s="89"/>
      <c r="T594" s="38"/>
      <c r="U594" s="43"/>
      <c r="V594" s="42" t="str">
        <f>IF(Table1[[#This Row],[DATE]]=0,"",YEAR(E594))</f>
        <v/>
      </c>
      <c r="W594" s="40" t="str">
        <f t="shared" si="18"/>
        <v/>
      </c>
      <c r="X594" s="40" t="str">
        <f t="shared" si="19"/>
        <v/>
      </c>
      <c r="Y594" s="40" t="str">
        <f>TEXT(Table1[[#This Row],[YEAR]],"0000")&amp;"-"&amp;Table1[[#This Row],[MONTH]]</f>
        <v>-</v>
      </c>
      <c r="AD594" s="23"/>
    </row>
    <row r="595" spans="1:30" ht="15" customHeight="1" x14ac:dyDescent="0.35">
      <c r="A595" s="24"/>
      <c r="B595" s="36"/>
      <c r="C595" s="36"/>
      <c r="D595" s="36"/>
      <c r="E595" s="37"/>
      <c r="F595" s="38"/>
      <c r="G595" s="198"/>
      <c r="H595" s="198"/>
      <c r="I595" s="39"/>
      <c r="J595" s="38"/>
      <c r="K595" s="198"/>
      <c r="L595" s="38"/>
      <c r="M595" s="38"/>
      <c r="N595" s="38"/>
      <c r="O595" s="38"/>
      <c r="P595" s="40" t="str" cm="1">
        <f t="array" ref="P595">IF(N595="","",IFERROR(_xlfn.XLOOKUP(F595&amp;"|"&amp;J595&amp;"|"&amp;O595,PRICES!$C$2:$C$659&amp;"|"&amp;PRICES!$B$2:$B$659&amp;"|"&amp;PRICES!$D$2:$D$659,PRICES!$E$2:$E$659),"Not Found"))</f>
        <v/>
      </c>
      <c r="Q595" s="100" t="str">
        <f>IF(N595=0,"",SUMIFS(PRICES!$G$2:$G$658,PRICES!$B$2:$B$658,'MAIN TABLE-1 AUTOMATED'!J595,PRICES!$C$2:$C$658,'MAIN TABLE-1 AUTOMATED'!F595,PRICES!$D$2:$D$658,'MAIN TABLE-1 AUTOMATED'!O595))</f>
        <v/>
      </c>
      <c r="R595" s="41" t="str">
        <f>IF(Table1[[#This Row],[QUANTITY]]=0,"",Table1[[#This Row],[UNIT PRICE]]*Table1[[#This Row],[QUANTITY]])</f>
        <v/>
      </c>
      <c r="S595" s="89"/>
      <c r="T595" s="38"/>
      <c r="U595" s="43"/>
      <c r="V595" s="42" t="str">
        <f>IF(Table1[[#This Row],[DATE]]=0,"",YEAR(E595))</f>
        <v/>
      </c>
      <c r="W595" s="40" t="str">
        <f t="shared" si="18"/>
        <v/>
      </c>
      <c r="X595" s="40" t="str">
        <f t="shared" si="19"/>
        <v/>
      </c>
      <c r="Y595" s="40" t="str">
        <f>TEXT(Table1[[#This Row],[YEAR]],"0000")&amp;"-"&amp;Table1[[#This Row],[MONTH]]</f>
        <v>-</v>
      </c>
      <c r="AD595" s="23"/>
    </row>
    <row r="596" spans="1:30" ht="15" customHeight="1" x14ac:dyDescent="0.35">
      <c r="A596" s="24"/>
      <c r="B596" s="36"/>
      <c r="C596" s="36"/>
      <c r="D596" s="36"/>
      <c r="E596" s="37"/>
      <c r="F596" s="38"/>
      <c r="G596" s="198"/>
      <c r="H596" s="198"/>
      <c r="I596" s="39"/>
      <c r="J596" s="38"/>
      <c r="K596" s="198"/>
      <c r="L596" s="38"/>
      <c r="M596" s="38"/>
      <c r="N596" s="38"/>
      <c r="O596" s="38"/>
      <c r="P596" s="40" t="str" cm="1">
        <f t="array" ref="P596">IF(N596="","",IFERROR(_xlfn.XLOOKUP(F596&amp;"|"&amp;J596&amp;"|"&amp;O596,PRICES!$C$2:$C$659&amp;"|"&amp;PRICES!$B$2:$B$659&amp;"|"&amp;PRICES!$D$2:$D$659,PRICES!$E$2:$E$659),"Not Found"))</f>
        <v/>
      </c>
      <c r="Q596" s="100" t="str">
        <f>IF(N596=0,"",SUMIFS(PRICES!$G$2:$G$658,PRICES!$B$2:$B$658,'MAIN TABLE-1 AUTOMATED'!J596,PRICES!$C$2:$C$658,'MAIN TABLE-1 AUTOMATED'!F596,PRICES!$D$2:$D$658,'MAIN TABLE-1 AUTOMATED'!O596))</f>
        <v/>
      </c>
      <c r="R596" s="41" t="str">
        <f>IF(Table1[[#This Row],[QUANTITY]]=0,"",Table1[[#This Row],[UNIT PRICE]]*Table1[[#This Row],[QUANTITY]])</f>
        <v/>
      </c>
      <c r="S596" s="89"/>
      <c r="T596" s="38"/>
      <c r="U596" s="43"/>
      <c r="V596" s="42" t="str">
        <f>IF(Table1[[#This Row],[DATE]]=0,"",YEAR(E596))</f>
        <v/>
      </c>
      <c r="W596" s="40" t="str">
        <f t="shared" si="18"/>
        <v/>
      </c>
      <c r="X596" s="40" t="str">
        <f t="shared" si="19"/>
        <v/>
      </c>
      <c r="Y596" s="40" t="str">
        <f>TEXT(Table1[[#This Row],[YEAR]],"0000")&amp;"-"&amp;Table1[[#This Row],[MONTH]]</f>
        <v>-</v>
      </c>
      <c r="AD596" s="23"/>
    </row>
    <row r="597" spans="1:30" ht="15" customHeight="1" x14ac:dyDescent="0.35">
      <c r="A597" s="24"/>
      <c r="B597" s="36"/>
      <c r="C597" s="36"/>
      <c r="D597" s="36"/>
      <c r="E597" s="37"/>
      <c r="F597" s="38"/>
      <c r="G597" s="198"/>
      <c r="H597" s="198"/>
      <c r="I597" s="39"/>
      <c r="J597" s="38"/>
      <c r="K597" s="198"/>
      <c r="L597" s="38"/>
      <c r="M597" s="38"/>
      <c r="N597" s="38"/>
      <c r="O597" s="38"/>
      <c r="P597" s="40" t="str" cm="1">
        <f t="array" ref="P597">IF(N597="","",IFERROR(_xlfn.XLOOKUP(F597&amp;"|"&amp;J597&amp;"|"&amp;O597,PRICES!$C$2:$C$659&amp;"|"&amp;PRICES!$B$2:$B$659&amp;"|"&amp;PRICES!$D$2:$D$659,PRICES!$E$2:$E$659),"Not Found"))</f>
        <v/>
      </c>
      <c r="Q597" s="100" t="str">
        <f>IF(N597=0,"",SUMIFS(PRICES!$G$2:$G$658,PRICES!$B$2:$B$658,'MAIN TABLE-1 AUTOMATED'!J597,PRICES!$C$2:$C$658,'MAIN TABLE-1 AUTOMATED'!F597,PRICES!$D$2:$D$658,'MAIN TABLE-1 AUTOMATED'!O597))</f>
        <v/>
      </c>
      <c r="R597" s="41" t="str">
        <f>IF(Table1[[#This Row],[QUANTITY]]=0,"",Table1[[#This Row],[UNIT PRICE]]*Table1[[#This Row],[QUANTITY]])</f>
        <v/>
      </c>
      <c r="S597" s="89"/>
      <c r="T597" s="38"/>
      <c r="U597" s="43"/>
      <c r="V597" s="42" t="str">
        <f>IF(Table1[[#This Row],[DATE]]=0,"",YEAR(E597))</f>
        <v/>
      </c>
      <c r="W597" s="40" t="str">
        <f t="shared" si="18"/>
        <v/>
      </c>
      <c r="X597" s="40" t="str">
        <f t="shared" si="19"/>
        <v/>
      </c>
      <c r="Y597" s="40" t="str">
        <f>TEXT(Table1[[#This Row],[YEAR]],"0000")&amp;"-"&amp;Table1[[#This Row],[MONTH]]</f>
        <v>-</v>
      </c>
      <c r="AD597" s="23"/>
    </row>
    <row r="598" spans="1:30" ht="15" customHeight="1" x14ac:dyDescent="0.35">
      <c r="A598" s="24"/>
      <c r="B598" s="36"/>
      <c r="C598" s="36"/>
      <c r="D598" s="36"/>
      <c r="E598" s="37"/>
      <c r="F598" s="38"/>
      <c r="G598" s="198"/>
      <c r="H598" s="198"/>
      <c r="I598" s="39"/>
      <c r="J598" s="38"/>
      <c r="K598" s="198"/>
      <c r="L598" s="38"/>
      <c r="M598" s="38"/>
      <c r="N598" s="38"/>
      <c r="O598" s="38"/>
      <c r="P598" s="40" t="str" cm="1">
        <f t="array" ref="P598">IF(N598="","",IFERROR(_xlfn.XLOOKUP(F598&amp;"|"&amp;J598&amp;"|"&amp;O598,PRICES!$C$2:$C$659&amp;"|"&amp;PRICES!$B$2:$B$659&amp;"|"&amp;PRICES!$D$2:$D$659,PRICES!$E$2:$E$659),"Not Found"))</f>
        <v/>
      </c>
      <c r="Q598" s="100" t="str">
        <f>IF(N598=0,"",SUMIFS(PRICES!$G$2:$G$658,PRICES!$B$2:$B$658,'MAIN TABLE-1 AUTOMATED'!J598,PRICES!$C$2:$C$658,'MAIN TABLE-1 AUTOMATED'!F598,PRICES!$D$2:$D$658,'MAIN TABLE-1 AUTOMATED'!O598))</f>
        <v/>
      </c>
      <c r="R598" s="41" t="str">
        <f>IF(Table1[[#This Row],[QUANTITY]]=0,"",Table1[[#This Row],[UNIT PRICE]]*Table1[[#This Row],[QUANTITY]])</f>
        <v/>
      </c>
      <c r="S598" s="89"/>
      <c r="T598" s="38"/>
      <c r="U598" s="43"/>
      <c r="V598" s="42" t="str">
        <f>IF(Table1[[#This Row],[DATE]]=0,"",YEAR(E598))</f>
        <v/>
      </c>
      <c r="W598" s="40" t="str">
        <f t="shared" si="18"/>
        <v/>
      </c>
      <c r="X598" s="40" t="str">
        <f t="shared" si="19"/>
        <v/>
      </c>
      <c r="Y598" s="40" t="str">
        <f>TEXT(Table1[[#This Row],[YEAR]],"0000")&amp;"-"&amp;Table1[[#This Row],[MONTH]]</f>
        <v>-</v>
      </c>
      <c r="AD598" s="23"/>
    </row>
    <row r="599" spans="1:30" ht="15" customHeight="1" x14ac:dyDescent="0.35">
      <c r="A599" s="24"/>
      <c r="B599" s="36"/>
      <c r="C599" s="36"/>
      <c r="D599" s="36"/>
      <c r="E599" s="37"/>
      <c r="F599" s="38"/>
      <c r="G599" s="198"/>
      <c r="H599" s="198"/>
      <c r="I599" s="39"/>
      <c r="J599" s="38"/>
      <c r="K599" s="198"/>
      <c r="L599" s="38"/>
      <c r="M599" s="38"/>
      <c r="N599" s="38"/>
      <c r="O599" s="38"/>
      <c r="P599" s="40" t="str" cm="1">
        <f t="array" ref="P599">IF(N599="","",IFERROR(_xlfn.XLOOKUP(F599&amp;"|"&amp;J599&amp;"|"&amp;O599,PRICES!$C$2:$C$659&amp;"|"&amp;PRICES!$B$2:$B$659&amp;"|"&amp;PRICES!$D$2:$D$659,PRICES!$E$2:$E$659),"Not Found"))</f>
        <v/>
      </c>
      <c r="Q599" s="100" t="str">
        <f>IF(N599=0,"",SUMIFS(PRICES!$G$2:$G$658,PRICES!$B$2:$B$658,'MAIN TABLE-1 AUTOMATED'!J599,PRICES!$C$2:$C$658,'MAIN TABLE-1 AUTOMATED'!F599,PRICES!$D$2:$D$658,'MAIN TABLE-1 AUTOMATED'!O599))</f>
        <v/>
      </c>
      <c r="R599" s="41" t="str">
        <f>IF(Table1[[#This Row],[QUANTITY]]=0,"",Table1[[#This Row],[UNIT PRICE]]*Table1[[#This Row],[QUANTITY]])</f>
        <v/>
      </c>
      <c r="S599" s="89"/>
      <c r="T599" s="38"/>
      <c r="U599" s="43"/>
      <c r="V599" s="42" t="str">
        <f>IF(Table1[[#This Row],[DATE]]=0,"",YEAR(E599))</f>
        <v/>
      </c>
      <c r="W599" s="40" t="str">
        <f t="shared" si="18"/>
        <v/>
      </c>
      <c r="X599" s="40" t="str">
        <f t="shared" si="19"/>
        <v/>
      </c>
      <c r="Y599" s="40" t="str">
        <f>TEXT(Table1[[#This Row],[YEAR]],"0000")&amp;"-"&amp;Table1[[#This Row],[MONTH]]</f>
        <v>-</v>
      </c>
      <c r="AD599" s="23"/>
    </row>
    <row r="600" spans="1:30" ht="15" customHeight="1" x14ac:dyDescent="0.35">
      <c r="A600" s="24"/>
      <c r="B600" s="38"/>
      <c r="C600" s="38"/>
      <c r="D600" s="38"/>
      <c r="E600" s="37"/>
      <c r="F600" s="38"/>
      <c r="G600" s="198"/>
      <c r="H600" s="198"/>
      <c r="I600" s="39"/>
      <c r="J600" s="38"/>
      <c r="K600" s="198"/>
      <c r="L600" s="38"/>
      <c r="M600" s="38"/>
      <c r="N600" s="38"/>
      <c r="O600" s="38"/>
      <c r="P600" s="40" t="str" cm="1">
        <f t="array" ref="P600">IF(N600="","",IFERROR(_xlfn.XLOOKUP(F600&amp;"|"&amp;J600&amp;"|"&amp;O600,PRICES!$C$2:$C$659&amp;"|"&amp;PRICES!$B$2:$B$659&amp;"|"&amp;PRICES!$D$2:$D$659,PRICES!$E$2:$E$659),"Not Found"))</f>
        <v/>
      </c>
      <c r="Q600" s="100" t="str">
        <f>IF(N600=0,"",SUMIFS(PRICES!$G$2:$G$658,PRICES!$B$2:$B$658,'MAIN TABLE-1 AUTOMATED'!J600,PRICES!$C$2:$C$658,'MAIN TABLE-1 AUTOMATED'!F600,PRICES!$D$2:$D$658,'MAIN TABLE-1 AUTOMATED'!O600))</f>
        <v/>
      </c>
      <c r="R600" s="41" t="str">
        <f>IF(Table1[[#This Row],[QUANTITY]]=0,"",Table1[[#This Row],[UNIT PRICE]]*Table1[[#This Row],[QUANTITY]])</f>
        <v/>
      </c>
      <c r="S600" s="89"/>
      <c r="T600" s="38"/>
      <c r="U600" s="43"/>
      <c r="V600" s="42" t="str">
        <f>IF(Table1[[#This Row],[DATE]]=0,"",YEAR(E600))</f>
        <v/>
      </c>
      <c r="W600" s="40" t="str">
        <f t="shared" si="18"/>
        <v/>
      </c>
      <c r="X600" s="40" t="str">
        <f t="shared" si="19"/>
        <v/>
      </c>
      <c r="Y600" s="40" t="str">
        <f>TEXT(Table1[[#This Row],[YEAR]],"0000")&amp;"-"&amp;Table1[[#This Row],[MONTH]]</f>
        <v>-</v>
      </c>
      <c r="AD600" s="23"/>
    </row>
    <row r="601" spans="1:30" ht="15" customHeight="1" x14ac:dyDescent="0.35">
      <c r="A601" s="24"/>
      <c r="B601" s="36"/>
      <c r="C601" s="38"/>
      <c r="D601" s="38"/>
      <c r="E601" s="37"/>
      <c r="F601" s="38"/>
      <c r="G601" s="198"/>
      <c r="H601" s="198"/>
      <c r="I601" s="39"/>
      <c r="J601" s="38"/>
      <c r="K601" s="198"/>
      <c r="L601" s="38"/>
      <c r="M601" s="38"/>
      <c r="N601" s="38"/>
      <c r="O601" s="38"/>
      <c r="P601" s="40" t="str" cm="1">
        <f t="array" ref="P601">IF(N601="","",IFERROR(_xlfn.XLOOKUP(F601&amp;"|"&amp;J601&amp;"|"&amp;O601,PRICES!$C$2:$C$659&amp;"|"&amp;PRICES!$B$2:$B$659&amp;"|"&amp;PRICES!$D$2:$D$659,PRICES!$E$2:$E$659),"Not Found"))</f>
        <v/>
      </c>
      <c r="Q601" s="100" t="str">
        <f>IF(N601=0,"",SUMIFS(PRICES!$G$2:$G$658,PRICES!$B$2:$B$658,'MAIN TABLE-1 AUTOMATED'!J601,PRICES!$C$2:$C$658,'MAIN TABLE-1 AUTOMATED'!F601,PRICES!$D$2:$D$658,'MAIN TABLE-1 AUTOMATED'!O601))</f>
        <v/>
      </c>
      <c r="R601" s="41" t="str">
        <f>IF(Table1[[#This Row],[QUANTITY]]=0,"",Table1[[#This Row],[UNIT PRICE]]*Table1[[#This Row],[QUANTITY]])</f>
        <v/>
      </c>
      <c r="S601" s="89"/>
      <c r="T601" s="38"/>
      <c r="U601" s="43"/>
      <c r="V601" s="42" t="str">
        <f>IF(Table1[[#This Row],[DATE]]=0,"",YEAR(E601))</f>
        <v/>
      </c>
      <c r="W601" s="40" t="str">
        <f t="shared" si="18"/>
        <v/>
      </c>
      <c r="X601" s="40" t="str">
        <f t="shared" si="19"/>
        <v/>
      </c>
      <c r="Y601" s="40" t="str">
        <f>TEXT(Table1[[#This Row],[YEAR]],"0000")&amp;"-"&amp;Table1[[#This Row],[MONTH]]</f>
        <v>-</v>
      </c>
      <c r="AD601" s="23"/>
    </row>
    <row r="602" spans="1:30" ht="15" customHeight="1" x14ac:dyDescent="0.35">
      <c r="A602" s="24"/>
      <c r="B602" s="36"/>
      <c r="C602" s="38"/>
      <c r="D602" s="38"/>
      <c r="E602" s="37"/>
      <c r="F602" s="38"/>
      <c r="G602" s="198"/>
      <c r="H602" s="198"/>
      <c r="I602" s="39"/>
      <c r="J602" s="38"/>
      <c r="K602" s="198"/>
      <c r="L602" s="38"/>
      <c r="M602" s="38"/>
      <c r="N602" s="38"/>
      <c r="O602" s="38"/>
      <c r="P602" s="40" t="str" cm="1">
        <f t="array" ref="P602">IF(N602="","",IFERROR(_xlfn.XLOOKUP(F602&amp;"|"&amp;J602&amp;"|"&amp;O602,PRICES!$C$2:$C$659&amp;"|"&amp;PRICES!$B$2:$B$659&amp;"|"&amp;PRICES!$D$2:$D$659,PRICES!$E$2:$E$659),"Not Found"))</f>
        <v/>
      </c>
      <c r="Q602" s="100" t="str">
        <f>IF(N602=0,"",SUMIFS(PRICES!$G$2:$G$658,PRICES!$B$2:$B$658,'MAIN TABLE-1 AUTOMATED'!J602,PRICES!$C$2:$C$658,'MAIN TABLE-1 AUTOMATED'!F602,PRICES!$D$2:$D$658,'MAIN TABLE-1 AUTOMATED'!O602))</f>
        <v/>
      </c>
      <c r="R602" s="41" t="str">
        <f>IF(Table1[[#This Row],[QUANTITY]]=0,"",Table1[[#This Row],[UNIT PRICE]]*Table1[[#This Row],[QUANTITY]])</f>
        <v/>
      </c>
      <c r="S602" s="89"/>
      <c r="T602" s="38"/>
      <c r="U602" s="43"/>
      <c r="V602" s="42" t="str">
        <f>IF(Table1[[#This Row],[DATE]]=0,"",YEAR(E602))</f>
        <v/>
      </c>
      <c r="W602" s="40" t="str">
        <f t="shared" si="18"/>
        <v/>
      </c>
      <c r="X602" s="40" t="str">
        <f t="shared" si="19"/>
        <v/>
      </c>
      <c r="Y602" s="40" t="str">
        <f>TEXT(Table1[[#This Row],[YEAR]],"0000")&amp;"-"&amp;Table1[[#This Row],[MONTH]]</f>
        <v>-</v>
      </c>
      <c r="AD602" s="23"/>
    </row>
    <row r="603" spans="1:30" ht="15" customHeight="1" x14ac:dyDescent="0.35">
      <c r="A603" s="24"/>
      <c r="B603" s="36"/>
      <c r="C603" s="38"/>
      <c r="D603" s="38"/>
      <c r="E603" s="37"/>
      <c r="F603" s="38"/>
      <c r="G603" s="198"/>
      <c r="H603" s="198"/>
      <c r="I603" s="39"/>
      <c r="J603" s="38"/>
      <c r="K603" s="198"/>
      <c r="L603" s="38"/>
      <c r="M603" s="38"/>
      <c r="N603" s="38"/>
      <c r="O603" s="38"/>
      <c r="P603" s="40" t="str" cm="1">
        <f t="array" ref="P603">IF(N603="","",IFERROR(_xlfn.XLOOKUP(F603&amp;"|"&amp;J603&amp;"|"&amp;O603,PRICES!$C$2:$C$659&amp;"|"&amp;PRICES!$B$2:$B$659&amp;"|"&amp;PRICES!$D$2:$D$659,PRICES!$E$2:$E$659),"Not Found"))</f>
        <v/>
      </c>
      <c r="Q603" s="100" t="str">
        <f>IF(N603=0,"",SUMIFS(PRICES!$G$2:$G$658,PRICES!$B$2:$B$658,'MAIN TABLE-1 AUTOMATED'!J603,PRICES!$C$2:$C$658,'MAIN TABLE-1 AUTOMATED'!F603,PRICES!$D$2:$D$658,'MAIN TABLE-1 AUTOMATED'!O603))</f>
        <v/>
      </c>
      <c r="R603" s="41" t="str">
        <f>IF(Table1[[#This Row],[QUANTITY]]=0,"",Table1[[#This Row],[UNIT PRICE]]*Table1[[#This Row],[QUANTITY]])</f>
        <v/>
      </c>
      <c r="S603" s="89"/>
      <c r="T603" s="38"/>
      <c r="U603" s="43"/>
      <c r="V603" s="42" t="str">
        <f>IF(Table1[[#This Row],[DATE]]=0,"",YEAR(E603))</f>
        <v/>
      </c>
      <c r="W603" s="40" t="str">
        <f t="shared" si="18"/>
        <v/>
      </c>
      <c r="X603" s="40" t="str">
        <f t="shared" si="19"/>
        <v/>
      </c>
      <c r="Y603" s="40" t="str">
        <f>TEXT(Table1[[#This Row],[YEAR]],"0000")&amp;"-"&amp;Table1[[#This Row],[MONTH]]</f>
        <v>-</v>
      </c>
      <c r="AD603" s="23"/>
    </row>
    <row r="604" spans="1:30" ht="15" customHeight="1" x14ac:dyDescent="0.35">
      <c r="A604" s="24"/>
      <c r="B604" s="38"/>
      <c r="C604" s="38"/>
      <c r="D604" s="38"/>
      <c r="E604" s="37"/>
      <c r="F604" s="38"/>
      <c r="G604" s="198"/>
      <c r="H604" s="198"/>
      <c r="I604" s="39"/>
      <c r="J604" s="38"/>
      <c r="K604" s="198"/>
      <c r="L604" s="38"/>
      <c r="M604" s="38"/>
      <c r="N604" s="38"/>
      <c r="O604" s="38"/>
      <c r="P604" s="40" t="str" cm="1">
        <f t="array" ref="P604">IF(N604="","",IFERROR(_xlfn.XLOOKUP(F604&amp;"|"&amp;J604&amp;"|"&amp;O604,PRICES!$C$2:$C$659&amp;"|"&amp;PRICES!$B$2:$B$659&amp;"|"&amp;PRICES!$D$2:$D$659,PRICES!$E$2:$E$659),"Not Found"))</f>
        <v/>
      </c>
      <c r="Q604" s="100" t="str">
        <f>IF(N604=0,"",SUMIFS(PRICES!$G$2:$G$658,PRICES!$B$2:$B$658,'MAIN TABLE-1 AUTOMATED'!J604,PRICES!$C$2:$C$658,'MAIN TABLE-1 AUTOMATED'!F604,PRICES!$D$2:$D$658,'MAIN TABLE-1 AUTOMATED'!O604))</f>
        <v/>
      </c>
      <c r="R604" s="41" t="str">
        <f>IF(Table1[[#This Row],[QUANTITY]]=0,"",Table1[[#This Row],[UNIT PRICE]]*Table1[[#This Row],[QUANTITY]])</f>
        <v/>
      </c>
      <c r="S604" s="89"/>
      <c r="T604" s="38"/>
      <c r="U604" s="43"/>
      <c r="V604" s="42" t="str">
        <f>IF(Table1[[#This Row],[DATE]]=0,"",YEAR(E604))</f>
        <v/>
      </c>
      <c r="W604" s="40" t="str">
        <f t="shared" si="18"/>
        <v/>
      </c>
      <c r="X604" s="40" t="str">
        <f t="shared" si="19"/>
        <v/>
      </c>
      <c r="Y604" s="40" t="str">
        <f>TEXT(Table1[[#This Row],[YEAR]],"0000")&amp;"-"&amp;Table1[[#This Row],[MONTH]]</f>
        <v>-</v>
      </c>
      <c r="AD604" s="23"/>
    </row>
    <row r="605" spans="1:30" ht="15" customHeight="1" x14ac:dyDescent="0.35">
      <c r="A605" s="24"/>
      <c r="B605" s="38"/>
      <c r="C605" s="38"/>
      <c r="D605" s="38"/>
      <c r="E605" s="37"/>
      <c r="F605" s="38"/>
      <c r="G605" s="198"/>
      <c r="H605" s="198"/>
      <c r="I605" s="39"/>
      <c r="J605" s="38"/>
      <c r="K605" s="198"/>
      <c r="L605" s="38"/>
      <c r="M605" s="38"/>
      <c r="N605" s="38"/>
      <c r="O605" s="38"/>
      <c r="P605" s="40" t="str" cm="1">
        <f t="array" ref="P605">IF(N605="","",IFERROR(_xlfn.XLOOKUP(F605&amp;"|"&amp;J605&amp;"|"&amp;O605,PRICES!$C$2:$C$659&amp;"|"&amp;PRICES!$B$2:$B$659&amp;"|"&amp;PRICES!$D$2:$D$659,PRICES!$E$2:$E$659),"Not Found"))</f>
        <v/>
      </c>
      <c r="Q605" s="100" t="str">
        <f>IF(N605=0,"",SUMIFS(PRICES!$G$2:$G$658,PRICES!$B$2:$B$658,'MAIN TABLE-1 AUTOMATED'!J605,PRICES!$C$2:$C$658,'MAIN TABLE-1 AUTOMATED'!F605,PRICES!$D$2:$D$658,'MAIN TABLE-1 AUTOMATED'!O605))</f>
        <v/>
      </c>
      <c r="R605" s="41" t="str">
        <f>IF(Table1[[#This Row],[QUANTITY]]=0,"",Table1[[#This Row],[UNIT PRICE]]*Table1[[#This Row],[QUANTITY]])</f>
        <v/>
      </c>
      <c r="S605" s="89"/>
      <c r="T605" s="38"/>
      <c r="U605" s="43"/>
      <c r="V605" s="42" t="str">
        <f>IF(Table1[[#This Row],[DATE]]=0,"",YEAR(E605))</f>
        <v/>
      </c>
      <c r="W605" s="40" t="str">
        <f t="shared" si="18"/>
        <v/>
      </c>
      <c r="X605" s="40" t="str">
        <f t="shared" si="19"/>
        <v/>
      </c>
      <c r="Y605" s="40" t="str">
        <f>TEXT(Table1[[#This Row],[YEAR]],"0000")&amp;"-"&amp;Table1[[#This Row],[MONTH]]</f>
        <v>-</v>
      </c>
      <c r="AD605" s="23"/>
    </row>
    <row r="606" spans="1:30" ht="15" customHeight="1" x14ac:dyDescent="0.35">
      <c r="A606" s="24"/>
      <c r="B606" s="38"/>
      <c r="C606" s="38"/>
      <c r="D606" s="38"/>
      <c r="E606" s="37"/>
      <c r="F606" s="38"/>
      <c r="G606" s="198"/>
      <c r="H606" s="198"/>
      <c r="I606" s="39"/>
      <c r="J606" s="38"/>
      <c r="K606" s="198"/>
      <c r="L606" s="38"/>
      <c r="M606" s="38"/>
      <c r="N606" s="38"/>
      <c r="O606" s="38"/>
      <c r="P606" s="40" t="str" cm="1">
        <f t="array" ref="P606">IF(N606="","",IFERROR(_xlfn.XLOOKUP(F606&amp;"|"&amp;J606&amp;"|"&amp;O606,PRICES!$C$2:$C$659&amp;"|"&amp;PRICES!$B$2:$B$659&amp;"|"&amp;PRICES!$D$2:$D$659,PRICES!$E$2:$E$659),"Not Found"))</f>
        <v/>
      </c>
      <c r="Q606" s="100" t="str">
        <f>IF(N606=0,"",SUMIFS(PRICES!$G$2:$G$658,PRICES!$B$2:$B$658,'MAIN TABLE-1 AUTOMATED'!J606,PRICES!$C$2:$C$658,'MAIN TABLE-1 AUTOMATED'!F606,PRICES!$D$2:$D$658,'MAIN TABLE-1 AUTOMATED'!O606))</f>
        <v/>
      </c>
      <c r="R606" s="41" t="str">
        <f>IF(Table1[[#This Row],[QUANTITY]]=0,"",Table1[[#This Row],[UNIT PRICE]]*Table1[[#This Row],[QUANTITY]])</f>
        <v/>
      </c>
      <c r="S606" s="89"/>
      <c r="T606" s="38"/>
      <c r="U606" s="43"/>
      <c r="V606" s="42" t="str">
        <f>IF(Table1[[#This Row],[DATE]]=0,"",YEAR(E606))</f>
        <v/>
      </c>
      <c r="W606" s="40" t="str">
        <f t="shared" si="18"/>
        <v/>
      </c>
      <c r="X606" s="40" t="str">
        <f t="shared" si="19"/>
        <v/>
      </c>
      <c r="Y606" s="40" t="str">
        <f>TEXT(Table1[[#This Row],[YEAR]],"0000")&amp;"-"&amp;Table1[[#This Row],[MONTH]]</f>
        <v>-</v>
      </c>
      <c r="AD606" s="23"/>
    </row>
    <row r="607" spans="1:30" ht="15" customHeight="1" x14ac:dyDescent="0.35">
      <c r="A607" s="24"/>
      <c r="B607" s="36"/>
      <c r="C607" s="38"/>
      <c r="D607" s="38"/>
      <c r="E607" s="37"/>
      <c r="F607" s="38"/>
      <c r="G607" s="198"/>
      <c r="H607" s="198"/>
      <c r="I607" s="39"/>
      <c r="J607" s="38"/>
      <c r="K607" s="198"/>
      <c r="L607" s="38"/>
      <c r="M607" s="38"/>
      <c r="N607" s="38"/>
      <c r="O607" s="38"/>
      <c r="P607" s="40" t="str" cm="1">
        <f t="array" ref="P607">IF(N607="","",IFERROR(_xlfn.XLOOKUP(F607&amp;"|"&amp;J607&amp;"|"&amp;O607,PRICES!$C$2:$C$659&amp;"|"&amp;PRICES!$B$2:$B$659&amp;"|"&amp;PRICES!$D$2:$D$659,PRICES!$E$2:$E$659),"Not Found"))</f>
        <v/>
      </c>
      <c r="Q607" s="100" t="str">
        <f>IF(N607=0,"",SUMIFS(PRICES!$G$2:$G$658,PRICES!$B$2:$B$658,'MAIN TABLE-1 AUTOMATED'!J607,PRICES!$C$2:$C$658,'MAIN TABLE-1 AUTOMATED'!F607,PRICES!$D$2:$D$658,'MAIN TABLE-1 AUTOMATED'!O607))</f>
        <v/>
      </c>
      <c r="R607" s="41" t="str">
        <f>IF(Table1[[#This Row],[QUANTITY]]=0,"",Table1[[#This Row],[UNIT PRICE]]*Table1[[#This Row],[QUANTITY]])</f>
        <v/>
      </c>
      <c r="S607" s="89"/>
      <c r="T607" s="38"/>
      <c r="U607" s="43"/>
      <c r="V607" s="42" t="str">
        <f>IF(Table1[[#This Row],[DATE]]=0,"",YEAR(E607))</f>
        <v/>
      </c>
      <c r="W607" s="40" t="str">
        <f t="shared" ref="W607:W670" si="20">IF(E607=0,"",MONTH(E607))</f>
        <v/>
      </c>
      <c r="X607" s="40" t="str">
        <f t="shared" ref="X607:X670" si="21">IF(E607=0,"",WEEKNUM(E607))</f>
        <v/>
      </c>
      <c r="Y607" s="40" t="str">
        <f>TEXT(Table1[[#This Row],[YEAR]],"0000")&amp;"-"&amp;Table1[[#This Row],[MONTH]]</f>
        <v>-</v>
      </c>
      <c r="AD607" s="23"/>
    </row>
    <row r="608" spans="1:30" ht="15" customHeight="1" x14ac:dyDescent="0.35">
      <c r="A608" s="24"/>
      <c r="B608" s="36"/>
      <c r="C608" s="38"/>
      <c r="D608" s="38"/>
      <c r="E608" s="37"/>
      <c r="F608" s="38"/>
      <c r="G608" s="198"/>
      <c r="H608" s="198"/>
      <c r="I608" s="39"/>
      <c r="J608" s="38"/>
      <c r="K608" s="198"/>
      <c r="L608" s="38"/>
      <c r="M608" s="38"/>
      <c r="N608" s="38"/>
      <c r="O608" s="38"/>
      <c r="P608" s="40" t="str" cm="1">
        <f t="array" ref="P608">IF(N608="","",IFERROR(_xlfn.XLOOKUP(F608&amp;"|"&amp;J608&amp;"|"&amp;O608,PRICES!$C$2:$C$659&amp;"|"&amp;PRICES!$B$2:$B$659&amp;"|"&amp;PRICES!$D$2:$D$659,PRICES!$E$2:$E$659),"Not Found"))</f>
        <v/>
      </c>
      <c r="Q608" s="100" t="str">
        <f>IF(N608=0,"",SUMIFS(PRICES!$G$2:$G$658,PRICES!$B$2:$B$658,'MAIN TABLE-1 AUTOMATED'!J608,PRICES!$C$2:$C$658,'MAIN TABLE-1 AUTOMATED'!F608,PRICES!$D$2:$D$658,'MAIN TABLE-1 AUTOMATED'!O608))</f>
        <v/>
      </c>
      <c r="R608" s="41" t="str">
        <f>IF(Table1[[#This Row],[QUANTITY]]=0,"",Table1[[#This Row],[UNIT PRICE]]*Table1[[#This Row],[QUANTITY]])</f>
        <v/>
      </c>
      <c r="S608" s="89"/>
      <c r="T608" s="38"/>
      <c r="U608" s="43"/>
      <c r="V608" s="42" t="str">
        <f>IF(Table1[[#This Row],[DATE]]=0,"",YEAR(E608))</f>
        <v/>
      </c>
      <c r="W608" s="40" t="str">
        <f t="shared" si="20"/>
        <v/>
      </c>
      <c r="X608" s="40" t="str">
        <f t="shared" si="21"/>
        <v/>
      </c>
      <c r="Y608" s="40" t="str">
        <f>TEXT(Table1[[#This Row],[YEAR]],"0000")&amp;"-"&amp;Table1[[#This Row],[MONTH]]</f>
        <v>-</v>
      </c>
      <c r="AD608" s="23"/>
    </row>
    <row r="609" spans="1:30" ht="15" customHeight="1" x14ac:dyDescent="0.35">
      <c r="A609" s="24"/>
      <c r="B609" s="36"/>
      <c r="C609" s="38"/>
      <c r="D609" s="38"/>
      <c r="E609" s="37"/>
      <c r="F609" s="38"/>
      <c r="G609" s="198"/>
      <c r="H609" s="198"/>
      <c r="I609" s="39"/>
      <c r="J609" s="38"/>
      <c r="K609" s="198"/>
      <c r="L609" s="38"/>
      <c r="M609" s="38"/>
      <c r="N609" s="38"/>
      <c r="O609" s="38"/>
      <c r="P609" s="40" t="str" cm="1">
        <f t="array" ref="P609">IF(N609="","",IFERROR(_xlfn.XLOOKUP(F609&amp;"|"&amp;J609&amp;"|"&amp;O609,PRICES!$C$2:$C$659&amp;"|"&amp;PRICES!$B$2:$B$659&amp;"|"&amp;PRICES!$D$2:$D$659,PRICES!$E$2:$E$659),"Not Found"))</f>
        <v/>
      </c>
      <c r="Q609" s="100" t="str">
        <f>IF(N609=0,"",SUMIFS(PRICES!$G$2:$G$658,PRICES!$B$2:$B$658,'MAIN TABLE-1 AUTOMATED'!J609,PRICES!$C$2:$C$658,'MAIN TABLE-1 AUTOMATED'!F609,PRICES!$D$2:$D$658,'MAIN TABLE-1 AUTOMATED'!O609))</f>
        <v/>
      </c>
      <c r="R609" s="41" t="str">
        <f>IF(Table1[[#This Row],[QUANTITY]]=0,"",Table1[[#This Row],[UNIT PRICE]]*Table1[[#This Row],[QUANTITY]])</f>
        <v/>
      </c>
      <c r="S609" s="89"/>
      <c r="T609" s="38"/>
      <c r="U609" s="43"/>
      <c r="V609" s="42" t="str">
        <f>IF(Table1[[#This Row],[DATE]]=0,"",YEAR(E609))</f>
        <v/>
      </c>
      <c r="W609" s="40" t="str">
        <f t="shared" si="20"/>
        <v/>
      </c>
      <c r="X609" s="40" t="str">
        <f t="shared" si="21"/>
        <v/>
      </c>
      <c r="Y609" s="40" t="str">
        <f>TEXT(Table1[[#This Row],[YEAR]],"0000")&amp;"-"&amp;Table1[[#This Row],[MONTH]]</f>
        <v>-</v>
      </c>
      <c r="AD609" s="23"/>
    </row>
    <row r="610" spans="1:30" ht="15" customHeight="1" x14ac:dyDescent="0.35">
      <c r="A610" s="24"/>
      <c r="B610" s="36"/>
      <c r="C610" s="38"/>
      <c r="D610" s="38"/>
      <c r="E610" s="37"/>
      <c r="F610" s="38"/>
      <c r="G610" s="198"/>
      <c r="H610" s="198"/>
      <c r="I610" s="39"/>
      <c r="J610" s="38"/>
      <c r="K610" s="198"/>
      <c r="L610" s="38"/>
      <c r="M610" s="38"/>
      <c r="N610" s="38"/>
      <c r="O610" s="38"/>
      <c r="P610" s="40" t="str" cm="1">
        <f t="array" ref="P610">IF(N610="","",IFERROR(_xlfn.XLOOKUP(F610&amp;"|"&amp;J610&amp;"|"&amp;O610,PRICES!$C$2:$C$659&amp;"|"&amp;PRICES!$B$2:$B$659&amp;"|"&amp;PRICES!$D$2:$D$659,PRICES!$E$2:$E$659),"Not Found"))</f>
        <v/>
      </c>
      <c r="Q610" s="100" t="str">
        <f>IF(N610=0,"",SUMIFS(PRICES!$G$2:$G$658,PRICES!$B$2:$B$658,'MAIN TABLE-1 AUTOMATED'!J610,PRICES!$C$2:$C$658,'MAIN TABLE-1 AUTOMATED'!F610,PRICES!$D$2:$D$658,'MAIN TABLE-1 AUTOMATED'!O610))</f>
        <v/>
      </c>
      <c r="R610" s="41" t="str">
        <f>IF(Table1[[#This Row],[QUANTITY]]=0,"",Table1[[#This Row],[UNIT PRICE]]*Table1[[#This Row],[QUANTITY]])</f>
        <v/>
      </c>
      <c r="S610" s="89"/>
      <c r="T610" s="38"/>
      <c r="U610" s="43"/>
      <c r="V610" s="42" t="str">
        <f>IF(Table1[[#This Row],[DATE]]=0,"",YEAR(E610))</f>
        <v/>
      </c>
      <c r="W610" s="40" t="str">
        <f t="shared" si="20"/>
        <v/>
      </c>
      <c r="X610" s="40" t="str">
        <f t="shared" si="21"/>
        <v/>
      </c>
      <c r="Y610" s="40" t="str">
        <f>TEXT(Table1[[#This Row],[YEAR]],"0000")&amp;"-"&amp;Table1[[#This Row],[MONTH]]</f>
        <v>-</v>
      </c>
      <c r="AD610" s="23"/>
    </row>
    <row r="611" spans="1:30" ht="15" customHeight="1" x14ac:dyDescent="0.35">
      <c r="A611" s="24"/>
      <c r="B611" s="36"/>
      <c r="C611" s="38"/>
      <c r="D611" s="38"/>
      <c r="E611" s="37"/>
      <c r="F611" s="38"/>
      <c r="G611" s="198"/>
      <c r="H611" s="198"/>
      <c r="I611" s="39"/>
      <c r="J611" s="38"/>
      <c r="K611" s="198"/>
      <c r="L611" s="38"/>
      <c r="M611" s="38"/>
      <c r="N611" s="38"/>
      <c r="O611" s="38"/>
      <c r="P611" s="40" t="str" cm="1">
        <f t="array" ref="P611">IF(N611="","",IFERROR(_xlfn.XLOOKUP(F611&amp;"|"&amp;J611&amp;"|"&amp;O611,PRICES!$C$2:$C$659&amp;"|"&amp;PRICES!$B$2:$B$659&amp;"|"&amp;PRICES!$D$2:$D$659,PRICES!$E$2:$E$659),"Not Found"))</f>
        <v/>
      </c>
      <c r="Q611" s="100" t="str">
        <f>IF(N611=0,"",SUMIFS(PRICES!$G$2:$G$658,PRICES!$B$2:$B$658,'MAIN TABLE-1 AUTOMATED'!J611,PRICES!$C$2:$C$658,'MAIN TABLE-1 AUTOMATED'!F611,PRICES!$D$2:$D$658,'MAIN TABLE-1 AUTOMATED'!O611))</f>
        <v/>
      </c>
      <c r="R611" s="41" t="str">
        <f>IF(Table1[[#This Row],[QUANTITY]]=0,"",Table1[[#This Row],[UNIT PRICE]]*Table1[[#This Row],[QUANTITY]])</f>
        <v/>
      </c>
      <c r="S611" s="89"/>
      <c r="T611" s="38"/>
      <c r="U611" s="43"/>
      <c r="V611" s="42" t="str">
        <f>IF(Table1[[#This Row],[DATE]]=0,"",YEAR(E611))</f>
        <v/>
      </c>
      <c r="W611" s="40" t="str">
        <f t="shared" si="20"/>
        <v/>
      </c>
      <c r="X611" s="40" t="str">
        <f t="shared" si="21"/>
        <v/>
      </c>
      <c r="Y611" s="40" t="str">
        <f>TEXT(Table1[[#This Row],[YEAR]],"0000")&amp;"-"&amp;Table1[[#This Row],[MONTH]]</f>
        <v>-</v>
      </c>
      <c r="AD611" s="23"/>
    </row>
    <row r="612" spans="1:30" ht="15" customHeight="1" x14ac:dyDescent="0.35">
      <c r="A612" s="24"/>
      <c r="B612" s="38"/>
      <c r="C612" s="38"/>
      <c r="D612" s="38"/>
      <c r="E612" s="37"/>
      <c r="F612" s="38"/>
      <c r="G612" s="198"/>
      <c r="H612" s="198"/>
      <c r="I612" s="39"/>
      <c r="J612" s="38"/>
      <c r="K612" s="198"/>
      <c r="L612" s="38"/>
      <c r="M612" s="38"/>
      <c r="N612" s="38"/>
      <c r="O612" s="38"/>
      <c r="P612" s="40" t="str" cm="1">
        <f t="array" ref="P612">IF(N612="","",IFERROR(_xlfn.XLOOKUP(F612&amp;"|"&amp;J612&amp;"|"&amp;O612,PRICES!$C$2:$C$659&amp;"|"&amp;PRICES!$B$2:$B$659&amp;"|"&amp;PRICES!$D$2:$D$659,PRICES!$E$2:$E$659),"Not Found"))</f>
        <v/>
      </c>
      <c r="Q612" s="100" t="str">
        <f>IF(N612=0,"",SUMIFS(PRICES!$G$2:$G$658,PRICES!$B$2:$B$658,'MAIN TABLE-1 AUTOMATED'!J612,PRICES!$C$2:$C$658,'MAIN TABLE-1 AUTOMATED'!F612,PRICES!$D$2:$D$658,'MAIN TABLE-1 AUTOMATED'!O612))</f>
        <v/>
      </c>
      <c r="R612" s="41" t="str">
        <f>IF(Table1[[#This Row],[QUANTITY]]=0,"",Table1[[#This Row],[UNIT PRICE]]*Table1[[#This Row],[QUANTITY]])</f>
        <v/>
      </c>
      <c r="S612" s="89"/>
      <c r="T612" s="38"/>
      <c r="U612" s="43"/>
      <c r="V612" s="42" t="str">
        <f>IF(Table1[[#This Row],[DATE]]=0,"",YEAR(E612))</f>
        <v/>
      </c>
      <c r="W612" s="40" t="str">
        <f t="shared" si="20"/>
        <v/>
      </c>
      <c r="X612" s="40" t="str">
        <f t="shared" si="21"/>
        <v/>
      </c>
      <c r="Y612" s="40" t="str">
        <f>TEXT(Table1[[#This Row],[YEAR]],"0000")&amp;"-"&amp;Table1[[#This Row],[MONTH]]</f>
        <v>-</v>
      </c>
      <c r="AD612" s="23"/>
    </row>
    <row r="613" spans="1:30" ht="15" customHeight="1" x14ac:dyDescent="0.35">
      <c r="A613" s="24"/>
      <c r="B613" s="38"/>
      <c r="C613" s="38"/>
      <c r="D613" s="38"/>
      <c r="E613" s="37"/>
      <c r="F613" s="38"/>
      <c r="G613" s="198"/>
      <c r="H613" s="198"/>
      <c r="I613" s="39"/>
      <c r="J613" s="38"/>
      <c r="K613" s="198"/>
      <c r="L613" s="38"/>
      <c r="M613" s="38"/>
      <c r="N613" s="38"/>
      <c r="O613" s="38"/>
      <c r="P613" s="40" t="str" cm="1">
        <f t="array" ref="P613">IF(N613="","",IFERROR(_xlfn.XLOOKUP(F613&amp;"|"&amp;J613&amp;"|"&amp;O613,PRICES!$C$2:$C$659&amp;"|"&amp;PRICES!$B$2:$B$659&amp;"|"&amp;PRICES!$D$2:$D$659,PRICES!$E$2:$E$659),"Not Found"))</f>
        <v/>
      </c>
      <c r="Q613" s="100" t="str">
        <f>IF(N613=0,"",SUMIFS(PRICES!$G$2:$G$658,PRICES!$B$2:$B$658,'MAIN TABLE-1 AUTOMATED'!J613,PRICES!$C$2:$C$658,'MAIN TABLE-1 AUTOMATED'!F613,PRICES!$D$2:$D$658,'MAIN TABLE-1 AUTOMATED'!O613))</f>
        <v/>
      </c>
      <c r="R613" s="41" t="str">
        <f>IF(Table1[[#This Row],[QUANTITY]]=0,"",Table1[[#This Row],[UNIT PRICE]]*Table1[[#This Row],[QUANTITY]])</f>
        <v/>
      </c>
      <c r="S613" s="89"/>
      <c r="T613" s="38"/>
      <c r="U613" s="43"/>
      <c r="V613" s="42" t="str">
        <f>IF(Table1[[#This Row],[DATE]]=0,"",YEAR(E613))</f>
        <v/>
      </c>
      <c r="W613" s="40" t="str">
        <f t="shared" si="20"/>
        <v/>
      </c>
      <c r="X613" s="40" t="str">
        <f t="shared" si="21"/>
        <v/>
      </c>
      <c r="Y613" s="40" t="str">
        <f>TEXT(Table1[[#This Row],[YEAR]],"0000")&amp;"-"&amp;Table1[[#This Row],[MONTH]]</f>
        <v>-</v>
      </c>
      <c r="AD613" s="23"/>
    </row>
    <row r="614" spans="1:30" ht="15" customHeight="1" x14ac:dyDescent="0.35">
      <c r="A614" s="24"/>
      <c r="B614" s="36"/>
      <c r="C614" s="36"/>
      <c r="D614" s="36"/>
      <c r="E614" s="37"/>
      <c r="F614" s="38"/>
      <c r="G614" s="198"/>
      <c r="H614" s="198"/>
      <c r="I614" s="39"/>
      <c r="J614" s="38"/>
      <c r="K614" s="198"/>
      <c r="L614" s="38"/>
      <c r="M614" s="38"/>
      <c r="N614" s="38"/>
      <c r="O614" s="38"/>
      <c r="P614" s="40" t="str" cm="1">
        <f t="array" ref="P614">IF(N614="","",IFERROR(_xlfn.XLOOKUP(F614&amp;"|"&amp;J614&amp;"|"&amp;O614,PRICES!$C$2:$C$659&amp;"|"&amp;PRICES!$B$2:$B$659&amp;"|"&amp;PRICES!$D$2:$D$659,PRICES!$E$2:$E$659),"Not Found"))</f>
        <v/>
      </c>
      <c r="Q614" s="100" t="str">
        <f>IF(N614=0,"",SUMIFS(PRICES!$G$2:$G$658,PRICES!$B$2:$B$658,'MAIN TABLE-1 AUTOMATED'!J614,PRICES!$C$2:$C$658,'MAIN TABLE-1 AUTOMATED'!F614,PRICES!$D$2:$D$658,'MAIN TABLE-1 AUTOMATED'!O614))</f>
        <v/>
      </c>
      <c r="R614" s="41" t="str">
        <f>IF(Table1[[#This Row],[QUANTITY]]=0,"",Table1[[#This Row],[UNIT PRICE]]*Table1[[#This Row],[QUANTITY]])</f>
        <v/>
      </c>
      <c r="S614" s="89"/>
      <c r="T614" s="38"/>
      <c r="U614" s="43"/>
      <c r="V614" s="42" t="str">
        <f>IF(Table1[[#This Row],[DATE]]=0,"",YEAR(E614))</f>
        <v/>
      </c>
      <c r="W614" s="40" t="str">
        <f t="shared" si="20"/>
        <v/>
      </c>
      <c r="X614" s="40" t="str">
        <f t="shared" si="21"/>
        <v/>
      </c>
      <c r="Y614" s="40" t="str">
        <f>TEXT(Table1[[#This Row],[YEAR]],"0000")&amp;"-"&amp;Table1[[#This Row],[MONTH]]</f>
        <v>-</v>
      </c>
      <c r="AD614" s="23"/>
    </row>
    <row r="615" spans="1:30" ht="15" customHeight="1" x14ac:dyDescent="0.35">
      <c r="A615" s="24"/>
      <c r="B615" s="38"/>
      <c r="C615" s="38"/>
      <c r="D615" s="38"/>
      <c r="E615" s="37"/>
      <c r="F615" s="38"/>
      <c r="G615" s="198"/>
      <c r="H615" s="198"/>
      <c r="I615" s="39"/>
      <c r="J615" s="38"/>
      <c r="K615" s="198"/>
      <c r="L615" s="38"/>
      <c r="M615" s="38"/>
      <c r="N615" s="38"/>
      <c r="O615" s="38"/>
      <c r="P615" s="40" t="str" cm="1">
        <f t="array" ref="P615">IF(N615="","",IFERROR(_xlfn.XLOOKUP(F615&amp;"|"&amp;J615&amp;"|"&amp;O615,PRICES!$C$2:$C$659&amp;"|"&amp;PRICES!$B$2:$B$659&amp;"|"&amp;PRICES!$D$2:$D$659,PRICES!$E$2:$E$659),"Not Found"))</f>
        <v/>
      </c>
      <c r="Q615" s="100" t="str">
        <f>IF(N615=0,"",SUMIFS(PRICES!$G$2:$G$658,PRICES!$B$2:$B$658,'MAIN TABLE-1 AUTOMATED'!J615,PRICES!$C$2:$C$658,'MAIN TABLE-1 AUTOMATED'!F615,PRICES!$D$2:$D$658,'MAIN TABLE-1 AUTOMATED'!O615))</f>
        <v/>
      </c>
      <c r="R615" s="41" t="str">
        <f>IF(Table1[[#This Row],[QUANTITY]]=0,"",Table1[[#This Row],[UNIT PRICE]]*Table1[[#This Row],[QUANTITY]])</f>
        <v/>
      </c>
      <c r="S615" s="89"/>
      <c r="T615" s="38"/>
      <c r="U615" s="43"/>
      <c r="V615" s="42" t="str">
        <f>IF(Table1[[#This Row],[DATE]]=0,"",YEAR(E615))</f>
        <v/>
      </c>
      <c r="W615" s="40" t="str">
        <f t="shared" si="20"/>
        <v/>
      </c>
      <c r="X615" s="40" t="str">
        <f t="shared" si="21"/>
        <v/>
      </c>
      <c r="Y615" s="40" t="str">
        <f>TEXT(Table1[[#This Row],[YEAR]],"0000")&amp;"-"&amp;Table1[[#This Row],[MONTH]]</f>
        <v>-</v>
      </c>
      <c r="AD615" s="23"/>
    </row>
    <row r="616" spans="1:30" ht="15" customHeight="1" x14ac:dyDescent="0.35">
      <c r="A616" s="24"/>
      <c r="B616" s="38"/>
      <c r="C616" s="38"/>
      <c r="D616" s="38"/>
      <c r="E616" s="37"/>
      <c r="F616" s="38"/>
      <c r="G616" s="198"/>
      <c r="H616" s="198"/>
      <c r="I616" s="39"/>
      <c r="J616" s="38"/>
      <c r="K616" s="198"/>
      <c r="L616" s="38"/>
      <c r="M616" s="38"/>
      <c r="N616" s="38"/>
      <c r="O616" s="38"/>
      <c r="P616" s="40" t="str" cm="1">
        <f t="array" ref="P616">IF(N616="","",IFERROR(_xlfn.XLOOKUP(F616&amp;"|"&amp;J616&amp;"|"&amp;O616,PRICES!$C$2:$C$659&amp;"|"&amp;PRICES!$B$2:$B$659&amp;"|"&amp;PRICES!$D$2:$D$659,PRICES!$E$2:$E$659),"Not Found"))</f>
        <v/>
      </c>
      <c r="Q616" s="100" t="str">
        <f>IF(N616=0,"",SUMIFS(PRICES!$G$2:$G$658,PRICES!$B$2:$B$658,'MAIN TABLE-1 AUTOMATED'!J616,PRICES!$C$2:$C$658,'MAIN TABLE-1 AUTOMATED'!F616,PRICES!$D$2:$D$658,'MAIN TABLE-1 AUTOMATED'!O616))</f>
        <v/>
      </c>
      <c r="R616" s="41" t="str">
        <f>IF(Table1[[#This Row],[QUANTITY]]=0,"",Table1[[#This Row],[UNIT PRICE]]*Table1[[#This Row],[QUANTITY]])</f>
        <v/>
      </c>
      <c r="S616" s="89"/>
      <c r="T616" s="38"/>
      <c r="U616" s="43"/>
      <c r="V616" s="42" t="str">
        <f>IF(Table1[[#This Row],[DATE]]=0,"",YEAR(E616))</f>
        <v/>
      </c>
      <c r="W616" s="40" t="str">
        <f t="shared" si="20"/>
        <v/>
      </c>
      <c r="X616" s="40" t="str">
        <f t="shared" si="21"/>
        <v/>
      </c>
      <c r="Y616" s="40" t="str">
        <f>TEXT(Table1[[#This Row],[YEAR]],"0000")&amp;"-"&amp;Table1[[#This Row],[MONTH]]</f>
        <v>-</v>
      </c>
      <c r="AD616" s="23"/>
    </row>
    <row r="617" spans="1:30" ht="15" customHeight="1" x14ac:dyDescent="0.35">
      <c r="A617" s="24"/>
      <c r="B617" s="38"/>
      <c r="C617" s="38"/>
      <c r="D617" s="38"/>
      <c r="E617" s="37"/>
      <c r="F617" s="38"/>
      <c r="G617" s="198"/>
      <c r="H617" s="198"/>
      <c r="I617" s="39"/>
      <c r="J617" s="38"/>
      <c r="K617" s="198"/>
      <c r="L617" s="38"/>
      <c r="M617" s="38"/>
      <c r="N617" s="38"/>
      <c r="O617" s="38"/>
      <c r="P617" s="40" t="str" cm="1">
        <f t="array" ref="P617">IF(N617="","",IFERROR(_xlfn.XLOOKUP(F617&amp;"|"&amp;J617&amp;"|"&amp;O617,PRICES!$C$2:$C$659&amp;"|"&amp;PRICES!$B$2:$B$659&amp;"|"&amp;PRICES!$D$2:$D$659,PRICES!$E$2:$E$659),"Not Found"))</f>
        <v/>
      </c>
      <c r="Q617" s="100" t="str">
        <f>IF(N617=0,"",SUMIFS(PRICES!$G$2:$G$658,PRICES!$B$2:$B$658,'MAIN TABLE-1 AUTOMATED'!J617,PRICES!$C$2:$C$658,'MAIN TABLE-1 AUTOMATED'!F617,PRICES!$D$2:$D$658,'MAIN TABLE-1 AUTOMATED'!O617))</f>
        <v/>
      </c>
      <c r="R617" s="41" t="str">
        <f>IF(Table1[[#This Row],[QUANTITY]]=0,"",Table1[[#This Row],[UNIT PRICE]]*Table1[[#This Row],[QUANTITY]])</f>
        <v/>
      </c>
      <c r="S617" s="89"/>
      <c r="T617" s="38"/>
      <c r="U617" s="43"/>
      <c r="V617" s="42" t="str">
        <f>IF(Table1[[#This Row],[DATE]]=0,"",YEAR(E617))</f>
        <v/>
      </c>
      <c r="W617" s="40" t="str">
        <f t="shared" si="20"/>
        <v/>
      </c>
      <c r="X617" s="40" t="str">
        <f t="shared" si="21"/>
        <v/>
      </c>
      <c r="Y617" s="40" t="str">
        <f>TEXT(Table1[[#This Row],[YEAR]],"0000")&amp;"-"&amp;Table1[[#This Row],[MONTH]]</f>
        <v>-</v>
      </c>
      <c r="AD617" s="23"/>
    </row>
    <row r="618" spans="1:30" ht="15" customHeight="1" x14ac:dyDescent="0.35">
      <c r="A618" s="24"/>
      <c r="B618" s="38"/>
      <c r="C618" s="38"/>
      <c r="D618" s="38"/>
      <c r="E618" s="37"/>
      <c r="F618" s="38"/>
      <c r="G618" s="198"/>
      <c r="H618" s="198"/>
      <c r="I618" s="39"/>
      <c r="J618" s="38"/>
      <c r="K618" s="198"/>
      <c r="L618" s="38"/>
      <c r="M618" s="38"/>
      <c r="N618" s="38"/>
      <c r="O618" s="38"/>
      <c r="P618" s="40" t="str" cm="1">
        <f t="array" ref="P618">IF(N618="","",IFERROR(_xlfn.XLOOKUP(F618&amp;"|"&amp;J618&amp;"|"&amp;O618,PRICES!$C$2:$C$659&amp;"|"&amp;PRICES!$B$2:$B$659&amp;"|"&amp;PRICES!$D$2:$D$659,PRICES!$E$2:$E$659),"Not Found"))</f>
        <v/>
      </c>
      <c r="Q618" s="100" t="str">
        <f>IF(N618=0,"",SUMIFS(PRICES!$G$2:$G$658,PRICES!$B$2:$B$658,'MAIN TABLE-1 AUTOMATED'!J618,PRICES!$C$2:$C$658,'MAIN TABLE-1 AUTOMATED'!F618,PRICES!$D$2:$D$658,'MAIN TABLE-1 AUTOMATED'!O618))</f>
        <v/>
      </c>
      <c r="R618" s="41" t="str">
        <f>IF(Table1[[#This Row],[QUANTITY]]=0,"",Table1[[#This Row],[UNIT PRICE]]*Table1[[#This Row],[QUANTITY]])</f>
        <v/>
      </c>
      <c r="S618" s="89"/>
      <c r="T618" s="38"/>
      <c r="U618" s="43"/>
      <c r="V618" s="42" t="str">
        <f>IF(Table1[[#This Row],[DATE]]=0,"",YEAR(E618))</f>
        <v/>
      </c>
      <c r="W618" s="40" t="str">
        <f t="shared" si="20"/>
        <v/>
      </c>
      <c r="X618" s="40" t="str">
        <f t="shared" si="21"/>
        <v/>
      </c>
      <c r="Y618" s="40" t="str">
        <f>TEXT(Table1[[#This Row],[YEAR]],"0000")&amp;"-"&amp;Table1[[#This Row],[MONTH]]</f>
        <v>-</v>
      </c>
      <c r="AD618" s="23"/>
    </row>
    <row r="619" spans="1:30" ht="15" customHeight="1" x14ac:dyDescent="0.35">
      <c r="A619" s="24"/>
      <c r="B619" s="38"/>
      <c r="C619" s="38"/>
      <c r="D619" s="38"/>
      <c r="E619" s="37"/>
      <c r="F619" s="38"/>
      <c r="G619" s="198"/>
      <c r="H619" s="198"/>
      <c r="I619" s="39"/>
      <c r="J619" s="38"/>
      <c r="K619" s="198"/>
      <c r="L619" s="38"/>
      <c r="M619" s="38"/>
      <c r="N619" s="38"/>
      <c r="O619" s="38"/>
      <c r="P619" s="40" t="str" cm="1">
        <f t="array" ref="P619">IF(N619="","",IFERROR(_xlfn.XLOOKUP(F619&amp;"|"&amp;J619&amp;"|"&amp;O619,PRICES!$C$2:$C$659&amp;"|"&amp;PRICES!$B$2:$B$659&amp;"|"&amp;PRICES!$D$2:$D$659,PRICES!$E$2:$E$659),"Not Found"))</f>
        <v/>
      </c>
      <c r="Q619" s="100" t="str">
        <f>IF(N619=0,"",SUMIFS(PRICES!$G$2:$G$658,PRICES!$B$2:$B$658,'MAIN TABLE-1 AUTOMATED'!J619,PRICES!$C$2:$C$658,'MAIN TABLE-1 AUTOMATED'!F619,PRICES!$D$2:$D$658,'MAIN TABLE-1 AUTOMATED'!O619))</f>
        <v/>
      </c>
      <c r="R619" s="41" t="str">
        <f>IF(Table1[[#This Row],[QUANTITY]]=0,"",Table1[[#This Row],[UNIT PRICE]]*Table1[[#This Row],[QUANTITY]])</f>
        <v/>
      </c>
      <c r="S619" s="89"/>
      <c r="T619" s="38"/>
      <c r="U619" s="43"/>
      <c r="V619" s="42" t="str">
        <f>IF(Table1[[#This Row],[DATE]]=0,"",YEAR(E619))</f>
        <v/>
      </c>
      <c r="W619" s="40" t="str">
        <f t="shared" si="20"/>
        <v/>
      </c>
      <c r="X619" s="40" t="str">
        <f t="shared" si="21"/>
        <v/>
      </c>
      <c r="Y619" s="40" t="str">
        <f>TEXT(Table1[[#This Row],[YEAR]],"0000")&amp;"-"&amp;Table1[[#This Row],[MONTH]]</f>
        <v>-</v>
      </c>
      <c r="AD619" s="23"/>
    </row>
    <row r="620" spans="1:30" ht="15" customHeight="1" x14ac:dyDescent="0.35">
      <c r="A620" s="24"/>
      <c r="B620" s="38"/>
      <c r="C620" s="38"/>
      <c r="D620" s="38"/>
      <c r="E620" s="37"/>
      <c r="F620" s="38"/>
      <c r="G620" s="198"/>
      <c r="H620" s="198"/>
      <c r="I620" s="39"/>
      <c r="J620" s="38"/>
      <c r="K620" s="198"/>
      <c r="L620" s="38"/>
      <c r="M620" s="38"/>
      <c r="N620" s="38"/>
      <c r="O620" s="38"/>
      <c r="P620" s="40" t="str" cm="1">
        <f t="array" ref="P620">IF(N620="","",IFERROR(_xlfn.XLOOKUP(F620&amp;"|"&amp;J620&amp;"|"&amp;O620,PRICES!$C$2:$C$659&amp;"|"&amp;PRICES!$B$2:$B$659&amp;"|"&amp;PRICES!$D$2:$D$659,PRICES!$E$2:$E$659),"Not Found"))</f>
        <v/>
      </c>
      <c r="Q620" s="100" t="str">
        <f>IF(N620=0,"",SUMIFS(PRICES!$G$2:$G$658,PRICES!$B$2:$B$658,'MAIN TABLE-1 AUTOMATED'!J620,PRICES!$C$2:$C$658,'MAIN TABLE-1 AUTOMATED'!F620,PRICES!$D$2:$D$658,'MAIN TABLE-1 AUTOMATED'!O620))</f>
        <v/>
      </c>
      <c r="R620" s="41" t="str">
        <f>IF(Table1[[#This Row],[QUANTITY]]=0,"",Table1[[#This Row],[UNIT PRICE]]*Table1[[#This Row],[QUANTITY]])</f>
        <v/>
      </c>
      <c r="S620" s="89"/>
      <c r="T620" s="38"/>
      <c r="U620" s="43"/>
      <c r="V620" s="42" t="str">
        <f>IF(Table1[[#This Row],[DATE]]=0,"",YEAR(E620))</f>
        <v/>
      </c>
      <c r="W620" s="40" t="str">
        <f t="shared" si="20"/>
        <v/>
      </c>
      <c r="X620" s="40" t="str">
        <f t="shared" si="21"/>
        <v/>
      </c>
      <c r="Y620" s="40" t="str">
        <f>TEXT(Table1[[#This Row],[YEAR]],"0000")&amp;"-"&amp;Table1[[#This Row],[MONTH]]</f>
        <v>-</v>
      </c>
      <c r="AD620" s="23"/>
    </row>
    <row r="621" spans="1:30" ht="15" customHeight="1" x14ac:dyDescent="0.35">
      <c r="A621" s="24"/>
      <c r="B621" s="38"/>
      <c r="C621" s="38"/>
      <c r="D621" s="38"/>
      <c r="E621" s="37"/>
      <c r="F621" s="38"/>
      <c r="G621" s="198"/>
      <c r="H621" s="198"/>
      <c r="I621" s="39"/>
      <c r="J621" s="38"/>
      <c r="K621" s="198"/>
      <c r="L621" s="38"/>
      <c r="M621" s="38"/>
      <c r="N621" s="38"/>
      <c r="O621" s="38"/>
      <c r="P621" s="40" t="str" cm="1">
        <f t="array" ref="P621">IF(N621="","",IFERROR(_xlfn.XLOOKUP(F621&amp;"|"&amp;J621&amp;"|"&amp;O621,PRICES!$C$2:$C$659&amp;"|"&amp;PRICES!$B$2:$B$659&amp;"|"&amp;PRICES!$D$2:$D$659,PRICES!$E$2:$E$659),"Not Found"))</f>
        <v/>
      </c>
      <c r="Q621" s="100" t="str">
        <f>IF(N621=0,"",SUMIFS(PRICES!$G$2:$G$658,PRICES!$B$2:$B$658,'MAIN TABLE-1 AUTOMATED'!J621,PRICES!$C$2:$C$658,'MAIN TABLE-1 AUTOMATED'!F621,PRICES!$D$2:$D$658,'MAIN TABLE-1 AUTOMATED'!O621))</f>
        <v/>
      </c>
      <c r="R621" s="41" t="str">
        <f>IF(Table1[[#This Row],[QUANTITY]]=0,"",Table1[[#This Row],[UNIT PRICE]]*Table1[[#This Row],[QUANTITY]])</f>
        <v/>
      </c>
      <c r="S621" s="89"/>
      <c r="T621" s="38"/>
      <c r="U621" s="43"/>
      <c r="V621" s="42" t="str">
        <f>IF(Table1[[#This Row],[DATE]]=0,"",YEAR(E621))</f>
        <v/>
      </c>
      <c r="W621" s="40" t="str">
        <f t="shared" si="20"/>
        <v/>
      </c>
      <c r="X621" s="40" t="str">
        <f t="shared" si="21"/>
        <v/>
      </c>
      <c r="Y621" s="40" t="str">
        <f>TEXT(Table1[[#This Row],[YEAR]],"0000")&amp;"-"&amp;Table1[[#This Row],[MONTH]]</f>
        <v>-</v>
      </c>
      <c r="AD621" s="23"/>
    </row>
    <row r="622" spans="1:30" ht="15" customHeight="1" x14ac:dyDescent="0.35">
      <c r="A622" s="24"/>
      <c r="B622" s="38"/>
      <c r="C622" s="38"/>
      <c r="D622" s="38"/>
      <c r="E622" s="37"/>
      <c r="F622" s="38"/>
      <c r="G622" s="198"/>
      <c r="H622" s="198"/>
      <c r="I622" s="39"/>
      <c r="J622" s="38"/>
      <c r="K622" s="198"/>
      <c r="L622" s="38"/>
      <c r="M622" s="38"/>
      <c r="N622" s="38"/>
      <c r="O622" s="38"/>
      <c r="P622" s="40" t="str" cm="1">
        <f t="array" ref="P622">IF(N622="","",IFERROR(_xlfn.XLOOKUP(F622&amp;"|"&amp;J622&amp;"|"&amp;O622,PRICES!$C$2:$C$659&amp;"|"&amp;PRICES!$B$2:$B$659&amp;"|"&amp;PRICES!$D$2:$D$659,PRICES!$E$2:$E$659),"Not Found"))</f>
        <v/>
      </c>
      <c r="Q622" s="100" t="str">
        <f>IF(N622=0,"",SUMIFS(PRICES!$G$2:$G$658,PRICES!$B$2:$B$658,'MAIN TABLE-1 AUTOMATED'!J622,PRICES!$C$2:$C$658,'MAIN TABLE-1 AUTOMATED'!F622,PRICES!$D$2:$D$658,'MAIN TABLE-1 AUTOMATED'!O622))</f>
        <v/>
      </c>
      <c r="R622" s="41" t="str">
        <f>IF(Table1[[#This Row],[QUANTITY]]=0,"",Table1[[#This Row],[UNIT PRICE]]*Table1[[#This Row],[QUANTITY]])</f>
        <v/>
      </c>
      <c r="S622" s="89"/>
      <c r="T622" s="38"/>
      <c r="U622" s="43"/>
      <c r="V622" s="42" t="str">
        <f>IF(Table1[[#This Row],[DATE]]=0,"",YEAR(E622))</f>
        <v/>
      </c>
      <c r="W622" s="40" t="str">
        <f t="shared" si="20"/>
        <v/>
      </c>
      <c r="X622" s="40" t="str">
        <f t="shared" si="21"/>
        <v/>
      </c>
      <c r="Y622" s="40" t="str">
        <f>TEXT(Table1[[#This Row],[YEAR]],"0000")&amp;"-"&amp;Table1[[#This Row],[MONTH]]</f>
        <v>-</v>
      </c>
      <c r="AD622" s="23"/>
    </row>
    <row r="623" spans="1:30" ht="15" customHeight="1" x14ac:dyDescent="0.35">
      <c r="A623" s="24"/>
      <c r="B623" s="38"/>
      <c r="C623" s="36"/>
      <c r="D623" s="36"/>
      <c r="E623" s="37"/>
      <c r="F623" s="38"/>
      <c r="G623" s="198"/>
      <c r="H623" s="198"/>
      <c r="I623" s="39"/>
      <c r="J623" s="38"/>
      <c r="K623" s="198"/>
      <c r="L623" s="38"/>
      <c r="M623" s="38"/>
      <c r="N623" s="38"/>
      <c r="O623" s="38"/>
      <c r="P623" s="40" t="str" cm="1">
        <f t="array" ref="P623">IF(N623="","",IFERROR(_xlfn.XLOOKUP(F623&amp;"|"&amp;J623&amp;"|"&amp;O623,PRICES!$C$2:$C$659&amp;"|"&amp;PRICES!$B$2:$B$659&amp;"|"&amp;PRICES!$D$2:$D$659,PRICES!$E$2:$E$659),"Not Found"))</f>
        <v/>
      </c>
      <c r="Q623" s="100" t="str">
        <f>IF(N623=0,"",SUMIFS(PRICES!$G$2:$G$658,PRICES!$B$2:$B$658,'MAIN TABLE-1 AUTOMATED'!J623,PRICES!$C$2:$C$658,'MAIN TABLE-1 AUTOMATED'!F623,PRICES!$D$2:$D$658,'MAIN TABLE-1 AUTOMATED'!O623))</f>
        <v/>
      </c>
      <c r="R623" s="41" t="str">
        <f>IF(Table1[[#This Row],[QUANTITY]]=0,"",Table1[[#This Row],[UNIT PRICE]]*Table1[[#This Row],[QUANTITY]])</f>
        <v/>
      </c>
      <c r="S623" s="89"/>
      <c r="T623" s="38"/>
      <c r="U623" s="43"/>
      <c r="V623" s="42" t="str">
        <f>IF(Table1[[#This Row],[DATE]]=0,"",YEAR(E623))</f>
        <v/>
      </c>
      <c r="W623" s="40" t="str">
        <f t="shared" si="20"/>
        <v/>
      </c>
      <c r="X623" s="40" t="str">
        <f t="shared" si="21"/>
        <v/>
      </c>
      <c r="Y623" s="40" t="str">
        <f>TEXT(Table1[[#This Row],[YEAR]],"0000")&amp;"-"&amp;Table1[[#This Row],[MONTH]]</f>
        <v>-</v>
      </c>
      <c r="AD623" s="23"/>
    </row>
    <row r="624" spans="1:30" ht="15" customHeight="1" x14ac:dyDescent="0.35">
      <c r="A624" s="24"/>
      <c r="B624" s="38"/>
      <c r="C624" s="38"/>
      <c r="D624" s="38"/>
      <c r="E624" s="37"/>
      <c r="F624" s="38"/>
      <c r="G624" s="198"/>
      <c r="H624" s="198"/>
      <c r="I624" s="39"/>
      <c r="J624" s="38"/>
      <c r="K624" s="198"/>
      <c r="L624" s="38"/>
      <c r="M624" s="38"/>
      <c r="N624" s="38"/>
      <c r="O624" s="38"/>
      <c r="P624" s="40" t="str" cm="1">
        <f t="array" ref="P624">IF(N624="","",IFERROR(_xlfn.XLOOKUP(F624&amp;"|"&amp;J624&amp;"|"&amp;O624,PRICES!$C$2:$C$659&amp;"|"&amp;PRICES!$B$2:$B$659&amp;"|"&amp;PRICES!$D$2:$D$659,PRICES!$E$2:$E$659),"Not Found"))</f>
        <v/>
      </c>
      <c r="Q624" s="100" t="str">
        <f>IF(N624=0,"",SUMIFS(PRICES!$G$2:$G$658,PRICES!$B$2:$B$658,'MAIN TABLE-1 AUTOMATED'!J624,PRICES!$C$2:$C$658,'MAIN TABLE-1 AUTOMATED'!F624,PRICES!$D$2:$D$658,'MAIN TABLE-1 AUTOMATED'!O624))</f>
        <v/>
      </c>
      <c r="R624" s="41" t="str">
        <f>IF(Table1[[#This Row],[QUANTITY]]=0,"",Table1[[#This Row],[UNIT PRICE]]*Table1[[#This Row],[QUANTITY]])</f>
        <v/>
      </c>
      <c r="S624" s="89"/>
      <c r="T624" s="38"/>
      <c r="U624" s="43"/>
      <c r="V624" s="42" t="str">
        <f>IF(Table1[[#This Row],[DATE]]=0,"",YEAR(E624))</f>
        <v/>
      </c>
      <c r="W624" s="40" t="str">
        <f t="shared" si="20"/>
        <v/>
      </c>
      <c r="X624" s="40" t="str">
        <f t="shared" si="21"/>
        <v/>
      </c>
      <c r="Y624" s="40" t="str">
        <f>TEXT(Table1[[#This Row],[YEAR]],"0000")&amp;"-"&amp;Table1[[#This Row],[MONTH]]</f>
        <v>-</v>
      </c>
      <c r="AD624" s="23"/>
    </row>
    <row r="625" spans="1:30" ht="15" customHeight="1" x14ac:dyDescent="0.35">
      <c r="A625" s="24"/>
      <c r="B625" s="38"/>
      <c r="C625" s="38"/>
      <c r="D625" s="38"/>
      <c r="E625" s="37"/>
      <c r="F625" s="38"/>
      <c r="G625" s="198"/>
      <c r="H625" s="198"/>
      <c r="I625" s="39"/>
      <c r="J625" s="38"/>
      <c r="K625" s="198"/>
      <c r="L625" s="38"/>
      <c r="M625" s="38"/>
      <c r="N625" s="38"/>
      <c r="O625" s="38"/>
      <c r="P625" s="40" t="str" cm="1">
        <f t="array" ref="P625">IF(N625="","",IFERROR(_xlfn.XLOOKUP(F625&amp;"|"&amp;J625&amp;"|"&amp;O625,PRICES!$C$2:$C$659&amp;"|"&amp;PRICES!$B$2:$B$659&amp;"|"&amp;PRICES!$D$2:$D$659,PRICES!$E$2:$E$659),"Not Found"))</f>
        <v/>
      </c>
      <c r="Q625" s="100" t="str">
        <f>IF(N625=0,"",SUMIFS(PRICES!$G$2:$G$658,PRICES!$B$2:$B$658,'MAIN TABLE-1 AUTOMATED'!J625,PRICES!$C$2:$C$658,'MAIN TABLE-1 AUTOMATED'!F625,PRICES!$D$2:$D$658,'MAIN TABLE-1 AUTOMATED'!O625))</f>
        <v/>
      </c>
      <c r="R625" s="41" t="str">
        <f>IF(Table1[[#This Row],[QUANTITY]]=0,"",Table1[[#This Row],[UNIT PRICE]]*Table1[[#This Row],[QUANTITY]])</f>
        <v/>
      </c>
      <c r="S625" s="89"/>
      <c r="T625" s="38"/>
      <c r="U625" s="43"/>
      <c r="V625" s="42" t="str">
        <f>IF(Table1[[#This Row],[DATE]]=0,"",YEAR(E625))</f>
        <v/>
      </c>
      <c r="W625" s="40" t="str">
        <f t="shared" si="20"/>
        <v/>
      </c>
      <c r="X625" s="40" t="str">
        <f t="shared" si="21"/>
        <v/>
      </c>
      <c r="Y625" s="40" t="str">
        <f>TEXT(Table1[[#This Row],[YEAR]],"0000")&amp;"-"&amp;Table1[[#This Row],[MONTH]]</f>
        <v>-</v>
      </c>
      <c r="AD625" s="23"/>
    </row>
    <row r="626" spans="1:30" ht="15" customHeight="1" x14ac:dyDescent="0.35">
      <c r="A626" s="24"/>
      <c r="B626" s="38"/>
      <c r="C626" s="38"/>
      <c r="D626" s="38"/>
      <c r="E626" s="37"/>
      <c r="F626" s="38"/>
      <c r="G626" s="198"/>
      <c r="H626" s="198"/>
      <c r="I626" s="39"/>
      <c r="J626" s="38"/>
      <c r="K626" s="198"/>
      <c r="L626" s="38"/>
      <c r="M626" s="38"/>
      <c r="N626" s="38"/>
      <c r="O626" s="38"/>
      <c r="P626" s="40" t="str" cm="1">
        <f t="array" ref="P626">IF(N626="","",IFERROR(_xlfn.XLOOKUP(F626&amp;"|"&amp;J626&amp;"|"&amp;O626,PRICES!$C$2:$C$659&amp;"|"&amp;PRICES!$B$2:$B$659&amp;"|"&amp;PRICES!$D$2:$D$659,PRICES!$E$2:$E$659),"Not Found"))</f>
        <v/>
      </c>
      <c r="Q626" s="100" t="str">
        <f>IF(N626=0,"",SUMIFS(PRICES!$G$2:$G$658,PRICES!$B$2:$B$658,'MAIN TABLE-1 AUTOMATED'!J626,PRICES!$C$2:$C$658,'MAIN TABLE-1 AUTOMATED'!F626,PRICES!$D$2:$D$658,'MAIN TABLE-1 AUTOMATED'!O626))</f>
        <v/>
      </c>
      <c r="R626" s="41" t="str">
        <f>IF(Table1[[#This Row],[QUANTITY]]=0,"",Table1[[#This Row],[UNIT PRICE]]*Table1[[#This Row],[QUANTITY]])</f>
        <v/>
      </c>
      <c r="S626" s="89"/>
      <c r="T626" s="38"/>
      <c r="U626" s="43"/>
      <c r="V626" s="42" t="str">
        <f>IF(Table1[[#This Row],[DATE]]=0,"",YEAR(E626))</f>
        <v/>
      </c>
      <c r="W626" s="40" t="str">
        <f t="shared" si="20"/>
        <v/>
      </c>
      <c r="X626" s="40" t="str">
        <f t="shared" si="21"/>
        <v/>
      </c>
      <c r="Y626" s="40" t="str">
        <f>TEXT(Table1[[#This Row],[YEAR]],"0000")&amp;"-"&amp;Table1[[#This Row],[MONTH]]</f>
        <v>-</v>
      </c>
      <c r="AD626" s="23"/>
    </row>
    <row r="627" spans="1:30" ht="15" customHeight="1" x14ac:dyDescent="0.35">
      <c r="A627" s="24"/>
      <c r="B627" s="38"/>
      <c r="C627" s="38"/>
      <c r="D627" s="38"/>
      <c r="E627" s="37"/>
      <c r="F627" s="38"/>
      <c r="G627" s="198"/>
      <c r="H627" s="198"/>
      <c r="I627" s="39"/>
      <c r="J627" s="38"/>
      <c r="K627" s="198"/>
      <c r="L627" s="38"/>
      <c r="M627" s="38"/>
      <c r="N627" s="38"/>
      <c r="O627" s="38"/>
      <c r="P627" s="40" t="str" cm="1">
        <f t="array" ref="P627">IF(N627="","",IFERROR(_xlfn.XLOOKUP(F627&amp;"|"&amp;J627&amp;"|"&amp;O627,PRICES!$C$2:$C$659&amp;"|"&amp;PRICES!$B$2:$B$659&amp;"|"&amp;PRICES!$D$2:$D$659,PRICES!$E$2:$E$659),"Not Found"))</f>
        <v/>
      </c>
      <c r="Q627" s="100" t="str">
        <f>IF(N627=0,"",SUMIFS(PRICES!$G$2:$G$658,PRICES!$B$2:$B$658,'MAIN TABLE-1 AUTOMATED'!J627,PRICES!$C$2:$C$658,'MAIN TABLE-1 AUTOMATED'!F627,PRICES!$D$2:$D$658,'MAIN TABLE-1 AUTOMATED'!O627))</f>
        <v/>
      </c>
      <c r="R627" s="41" t="str">
        <f>IF(Table1[[#This Row],[QUANTITY]]=0,"",Table1[[#This Row],[UNIT PRICE]]*Table1[[#This Row],[QUANTITY]])</f>
        <v/>
      </c>
      <c r="S627" s="89"/>
      <c r="T627" s="38"/>
      <c r="U627" s="43"/>
      <c r="V627" s="42" t="str">
        <f>IF(Table1[[#This Row],[DATE]]=0,"",YEAR(E627))</f>
        <v/>
      </c>
      <c r="W627" s="40" t="str">
        <f t="shared" si="20"/>
        <v/>
      </c>
      <c r="X627" s="40" t="str">
        <f t="shared" si="21"/>
        <v/>
      </c>
      <c r="Y627" s="40" t="str">
        <f>TEXT(Table1[[#This Row],[YEAR]],"0000")&amp;"-"&amp;Table1[[#This Row],[MONTH]]</f>
        <v>-</v>
      </c>
      <c r="AD627" s="23"/>
    </row>
    <row r="628" spans="1:30" ht="15" customHeight="1" x14ac:dyDescent="0.35">
      <c r="A628" s="24"/>
      <c r="B628" s="38"/>
      <c r="C628" s="38"/>
      <c r="D628" s="38"/>
      <c r="E628" s="37"/>
      <c r="F628" s="38"/>
      <c r="G628" s="198"/>
      <c r="H628" s="198"/>
      <c r="I628" s="39"/>
      <c r="J628" s="38"/>
      <c r="K628" s="198"/>
      <c r="L628" s="38"/>
      <c r="M628" s="38"/>
      <c r="N628" s="38"/>
      <c r="O628" s="38"/>
      <c r="P628" s="40" t="str" cm="1">
        <f t="array" ref="P628">IF(N628="","",IFERROR(_xlfn.XLOOKUP(F628&amp;"|"&amp;J628&amp;"|"&amp;O628,PRICES!$C$2:$C$659&amp;"|"&amp;PRICES!$B$2:$B$659&amp;"|"&amp;PRICES!$D$2:$D$659,PRICES!$E$2:$E$659),"Not Found"))</f>
        <v/>
      </c>
      <c r="Q628" s="100" t="str">
        <f>IF(N628=0,"",SUMIFS(PRICES!$G$2:$G$658,PRICES!$B$2:$B$658,'MAIN TABLE-1 AUTOMATED'!J628,PRICES!$C$2:$C$658,'MAIN TABLE-1 AUTOMATED'!F628,PRICES!$D$2:$D$658,'MAIN TABLE-1 AUTOMATED'!O628))</f>
        <v/>
      </c>
      <c r="R628" s="41" t="str">
        <f>IF(Table1[[#This Row],[QUANTITY]]=0,"",Table1[[#This Row],[UNIT PRICE]]*Table1[[#This Row],[QUANTITY]])</f>
        <v/>
      </c>
      <c r="S628" s="89"/>
      <c r="T628" s="38"/>
      <c r="U628" s="43"/>
      <c r="V628" s="42" t="str">
        <f>IF(Table1[[#This Row],[DATE]]=0,"",YEAR(E628))</f>
        <v/>
      </c>
      <c r="W628" s="40" t="str">
        <f t="shared" si="20"/>
        <v/>
      </c>
      <c r="X628" s="40" t="str">
        <f t="shared" si="21"/>
        <v/>
      </c>
      <c r="Y628" s="40" t="str">
        <f>TEXT(Table1[[#This Row],[YEAR]],"0000")&amp;"-"&amp;Table1[[#This Row],[MONTH]]</f>
        <v>-</v>
      </c>
      <c r="AD628" s="23"/>
    </row>
    <row r="629" spans="1:30" ht="15" customHeight="1" x14ac:dyDescent="0.35">
      <c r="A629" s="24"/>
      <c r="B629" s="38"/>
      <c r="C629" s="38"/>
      <c r="D629" s="38"/>
      <c r="E629" s="37"/>
      <c r="F629" s="38"/>
      <c r="G629" s="198"/>
      <c r="H629" s="198"/>
      <c r="I629" s="39"/>
      <c r="J629" s="38"/>
      <c r="K629" s="198"/>
      <c r="L629" s="38"/>
      <c r="M629" s="38"/>
      <c r="N629" s="38"/>
      <c r="O629" s="38"/>
      <c r="P629" s="40" t="str" cm="1">
        <f t="array" ref="P629">IF(N629="","",IFERROR(_xlfn.XLOOKUP(F629&amp;"|"&amp;J629&amp;"|"&amp;O629,PRICES!$C$2:$C$659&amp;"|"&amp;PRICES!$B$2:$B$659&amp;"|"&amp;PRICES!$D$2:$D$659,PRICES!$E$2:$E$659),"Not Found"))</f>
        <v/>
      </c>
      <c r="Q629" s="100" t="str">
        <f>IF(N629=0,"",SUMIFS(PRICES!$G$2:$G$658,PRICES!$B$2:$B$658,'MAIN TABLE-1 AUTOMATED'!J629,PRICES!$C$2:$C$658,'MAIN TABLE-1 AUTOMATED'!F629,PRICES!$D$2:$D$658,'MAIN TABLE-1 AUTOMATED'!O629))</f>
        <v/>
      </c>
      <c r="R629" s="41" t="str">
        <f>IF(Table1[[#This Row],[QUANTITY]]=0,"",Table1[[#This Row],[UNIT PRICE]]*Table1[[#This Row],[QUANTITY]])</f>
        <v/>
      </c>
      <c r="S629" s="89"/>
      <c r="T629" s="38"/>
      <c r="U629" s="43"/>
      <c r="V629" s="42" t="str">
        <f>IF(Table1[[#This Row],[DATE]]=0,"",YEAR(E629))</f>
        <v/>
      </c>
      <c r="W629" s="40" t="str">
        <f t="shared" si="20"/>
        <v/>
      </c>
      <c r="X629" s="40" t="str">
        <f t="shared" si="21"/>
        <v/>
      </c>
      <c r="Y629" s="40" t="str">
        <f>TEXT(Table1[[#This Row],[YEAR]],"0000")&amp;"-"&amp;Table1[[#This Row],[MONTH]]</f>
        <v>-</v>
      </c>
      <c r="AD629" s="23"/>
    </row>
    <row r="630" spans="1:30" ht="15" customHeight="1" x14ac:dyDescent="0.35">
      <c r="A630" s="24"/>
      <c r="B630" s="38"/>
      <c r="C630" s="38"/>
      <c r="D630" s="38"/>
      <c r="E630" s="37"/>
      <c r="F630" s="38"/>
      <c r="G630" s="198"/>
      <c r="H630" s="198"/>
      <c r="I630" s="39"/>
      <c r="J630" s="38"/>
      <c r="K630" s="198"/>
      <c r="L630" s="38"/>
      <c r="M630" s="38"/>
      <c r="N630" s="38"/>
      <c r="O630" s="38"/>
      <c r="P630" s="40" t="str" cm="1">
        <f t="array" ref="P630">IF(N630="","",IFERROR(_xlfn.XLOOKUP(F630&amp;"|"&amp;J630&amp;"|"&amp;O630,PRICES!$C$2:$C$659&amp;"|"&amp;PRICES!$B$2:$B$659&amp;"|"&amp;PRICES!$D$2:$D$659,PRICES!$E$2:$E$659),"Not Found"))</f>
        <v/>
      </c>
      <c r="Q630" s="100" t="str">
        <f>IF(N630=0,"",SUMIFS(PRICES!$G$2:$G$658,PRICES!$B$2:$B$658,'MAIN TABLE-1 AUTOMATED'!J630,PRICES!$C$2:$C$658,'MAIN TABLE-1 AUTOMATED'!F630,PRICES!$D$2:$D$658,'MAIN TABLE-1 AUTOMATED'!O630))</f>
        <v/>
      </c>
      <c r="R630" s="41" t="str">
        <f>IF(Table1[[#This Row],[QUANTITY]]=0,"",Table1[[#This Row],[UNIT PRICE]]*Table1[[#This Row],[QUANTITY]])</f>
        <v/>
      </c>
      <c r="S630" s="89"/>
      <c r="T630" s="38"/>
      <c r="U630" s="43"/>
      <c r="V630" s="42" t="str">
        <f>IF(Table1[[#This Row],[DATE]]=0,"",YEAR(E630))</f>
        <v/>
      </c>
      <c r="W630" s="40" t="str">
        <f t="shared" si="20"/>
        <v/>
      </c>
      <c r="X630" s="40" t="str">
        <f t="shared" si="21"/>
        <v/>
      </c>
      <c r="Y630" s="40" t="str">
        <f>TEXT(Table1[[#This Row],[YEAR]],"0000")&amp;"-"&amp;Table1[[#This Row],[MONTH]]</f>
        <v>-</v>
      </c>
      <c r="AD630" s="23"/>
    </row>
    <row r="631" spans="1:30" ht="15" customHeight="1" x14ac:dyDescent="0.35">
      <c r="A631" s="24"/>
      <c r="B631" s="38"/>
      <c r="C631" s="38"/>
      <c r="D631" s="38"/>
      <c r="E631" s="37"/>
      <c r="F631" s="38"/>
      <c r="G631" s="198"/>
      <c r="H631" s="198"/>
      <c r="I631" s="39"/>
      <c r="J631" s="38"/>
      <c r="K631" s="198"/>
      <c r="L631" s="38"/>
      <c r="M631" s="38"/>
      <c r="N631" s="38"/>
      <c r="O631" s="38"/>
      <c r="P631" s="40" t="str" cm="1">
        <f t="array" ref="P631">IF(N631="","",IFERROR(_xlfn.XLOOKUP(F631&amp;"|"&amp;J631&amp;"|"&amp;O631,PRICES!$C$2:$C$659&amp;"|"&amp;PRICES!$B$2:$B$659&amp;"|"&amp;PRICES!$D$2:$D$659,PRICES!$E$2:$E$659),"Not Found"))</f>
        <v/>
      </c>
      <c r="Q631" s="100" t="str">
        <f>IF(N631=0,"",SUMIFS(PRICES!$G$2:$G$658,PRICES!$B$2:$B$658,'MAIN TABLE-1 AUTOMATED'!J631,PRICES!$C$2:$C$658,'MAIN TABLE-1 AUTOMATED'!F631,PRICES!$D$2:$D$658,'MAIN TABLE-1 AUTOMATED'!O631))</f>
        <v/>
      </c>
      <c r="R631" s="41" t="str">
        <f>IF(Table1[[#This Row],[QUANTITY]]=0,"",Table1[[#This Row],[UNIT PRICE]]*Table1[[#This Row],[QUANTITY]])</f>
        <v/>
      </c>
      <c r="S631" s="89"/>
      <c r="T631" s="38"/>
      <c r="U631" s="43"/>
      <c r="V631" s="42" t="str">
        <f>IF(Table1[[#This Row],[DATE]]=0,"",YEAR(E631))</f>
        <v/>
      </c>
      <c r="W631" s="40" t="str">
        <f t="shared" si="20"/>
        <v/>
      </c>
      <c r="X631" s="40" t="str">
        <f t="shared" si="21"/>
        <v/>
      </c>
      <c r="Y631" s="40" t="str">
        <f>TEXT(Table1[[#This Row],[YEAR]],"0000")&amp;"-"&amp;Table1[[#This Row],[MONTH]]</f>
        <v>-</v>
      </c>
      <c r="AD631" s="23"/>
    </row>
    <row r="632" spans="1:30" ht="15" customHeight="1" x14ac:dyDescent="0.35">
      <c r="A632" s="24"/>
      <c r="B632" s="38"/>
      <c r="C632" s="38"/>
      <c r="D632" s="38"/>
      <c r="E632" s="37"/>
      <c r="F632" s="38"/>
      <c r="G632" s="198"/>
      <c r="H632" s="198"/>
      <c r="I632" s="39"/>
      <c r="J632" s="38"/>
      <c r="K632" s="198"/>
      <c r="L632" s="38"/>
      <c r="M632" s="38"/>
      <c r="N632" s="38"/>
      <c r="O632" s="38"/>
      <c r="P632" s="40" t="str" cm="1">
        <f t="array" ref="P632">IF(N632="","",IFERROR(_xlfn.XLOOKUP(F632&amp;"|"&amp;J632&amp;"|"&amp;O632,PRICES!$C$2:$C$659&amp;"|"&amp;PRICES!$B$2:$B$659&amp;"|"&amp;PRICES!$D$2:$D$659,PRICES!$E$2:$E$659),"Not Found"))</f>
        <v/>
      </c>
      <c r="Q632" s="100" t="str">
        <f>IF(N632=0,"",SUMIFS(PRICES!$G$2:$G$658,PRICES!$B$2:$B$658,'MAIN TABLE-1 AUTOMATED'!J632,PRICES!$C$2:$C$658,'MAIN TABLE-1 AUTOMATED'!F632,PRICES!$D$2:$D$658,'MAIN TABLE-1 AUTOMATED'!O632))</f>
        <v/>
      </c>
      <c r="R632" s="41" t="str">
        <f>IF(Table1[[#This Row],[QUANTITY]]=0,"",Table1[[#This Row],[UNIT PRICE]]*Table1[[#This Row],[QUANTITY]])</f>
        <v/>
      </c>
      <c r="S632" s="89"/>
      <c r="T632" s="38"/>
      <c r="U632" s="43"/>
      <c r="V632" s="42" t="str">
        <f>IF(Table1[[#This Row],[DATE]]=0,"",YEAR(E632))</f>
        <v/>
      </c>
      <c r="W632" s="40" t="str">
        <f t="shared" si="20"/>
        <v/>
      </c>
      <c r="X632" s="40" t="str">
        <f t="shared" si="21"/>
        <v/>
      </c>
      <c r="Y632" s="40" t="str">
        <f>TEXT(Table1[[#This Row],[YEAR]],"0000")&amp;"-"&amp;Table1[[#This Row],[MONTH]]</f>
        <v>-</v>
      </c>
      <c r="AD632" s="23"/>
    </row>
    <row r="633" spans="1:30" ht="15" customHeight="1" x14ac:dyDescent="0.35">
      <c r="A633" s="24"/>
      <c r="B633" s="38"/>
      <c r="C633" s="38"/>
      <c r="D633" s="38"/>
      <c r="E633" s="37"/>
      <c r="F633" s="38"/>
      <c r="G633" s="198"/>
      <c r="H633" s="198"/>
      <c r="I633" s="39"/>
      <c r="J633" s="38"/>
      <c r="K633" s="198"/>
      <c r="L633" s="38"/>
      <c r="M633" s="38"/>
      <c r="N633" s="38"/>
      <c r="O633" s="38"/>
      <c r="P633" s="40" t="str" cm="1">
        <f t="array" ref="P633">IF(N633="","",IFERROR(_xlfn.XLOOKUP(F633&amp;"|"&amp;J633&amp;"|"&amp;O633,PRICES!$C$2:$C$659&amp;"|"&amp;PRICES!$B$2:$B$659&amp;"|"&amp;PRICES!$D$2:$D$659,PRICES!$E$2:$E$659),"Not Found"))</f>
        <v/>
      </c>
      <c r="Q633" s="100" t="str">
        <f>IF(N633=0,"",SUMIFS(PRICES!$G$2:$G$658,PRICES!$B$2:$B$658,'MAIN TABLE-1 AUTOMATED'!J633,PRICES!$C$2:$C$658,'MAIN TABLE-1 AUTOMATED'!F633,PRICES!$D$2:$D$658,'MAIN TABLE-1 AUTOMATED'!O633))</f>
        <v/>
      </c>
      <c r="R633" s="41" t="str">
        <f>IF(Table1[[#This Row],[QUANTITY]]=0,"",Table1[[#This Row],[UNIT PRICE]]*Table1[[#This Row],[QUANTITY]])</f>
        <v/>
      </c>
      <c r="S633" s="89"/>
      <c r="T633" s="38"/>
      <c r="U633" s="43"/>
      <c r="V633" s="42" t="str">
        <f>IF(Table1[[#This Row],[DATE]]=0,"",YEAR(E633))</f>
        <v/>
      </c>
      <c r="W633" s="40" t="str">
        <f t="shared" si="20"/>
        <v/>
      </c>
      <c r="X633" s="40" t="str">
        <f t="shared" si="21"/>
        <v/>
      </c>
      <c r="Y633" s="40" t="str">
        <f>TEXT(Table1[[#This Row],[YEAR]],"0000")&amp;"-"&amp;Table1[[#This Row],[MONTH]]</f>
        <v>-</v>
      </c>
      <c r="AD633" s="23"/>
    </row>
    <row r="634" spans="1:30" ht="15" customHeight="1" x14ac:dyDescent="0.35">
      <c r="A634" s="24"/>
      <c r="B634" s="38"/>
      <c r="C634" s="38"/>
      <c r="D634" s="38"/>
      <c r="E634" s="37"/>
      <c r="F634" s="38"/>
      <c r="G634" s="198"/>
      <c r="H634" s="198"/>
      <c r="I634" s="39"/>
      <c r="J634" s="38"/>
      <c r="K634" s="198"/>
      <c r="L634" s="38"/>
      <c r="M634" s="38"/>
      <c r="N634" s="38"/>
      <c r="O634" s="38"/>
      <c r="P634" s="40" t="str" cm="1">
        <f t="array" ref="P634">IF(N634="","",IFERROR(_xlfn.XLOOKUP(F634&amp;"|"&amp;J634&amp;"|"&amp;O634,PRICES!$C$2:$C$659&amp;"|"&amp;PRICES!$B$2:$B$659&amp;"|"&amp;PRICES!$D$2:$D$659,PRICES!$E$2:$E$659),"Not Found"))</f>
        <v/>
      </c>
      <c r="Q634" s="100" t="str">
        <f>IF(N634=0,"",SUMIFS(PRICES!$G$2:$G$658,PRICES!$B$2:$B$658,'MAIN TABLE-1 AUTOMATED'!J634,PRICES!$C$2:$C$658,'MAIN TABLE-1 AUTOMATED'!F634,PRICES!$D$2:$D$658,'MAIN TABLE-1 AUTOMATED'!O634))</f>
        <v/>
      </c>
      <c r="R634" s="41" t="str">
        <f>IF(Table1[[#This Row],[QUANTITY]]=0,"",Table1[[#This Row],[UNIT PRICE]]*Table1[[#This Row],[QUANTITY]])</f>
        <v/>
      </c>
      <c r="S634" s="89"/>
      <c r="T634" s="38"/>
      <c r="U634" s="43"/>
      <c r="V634" s="42" t="str">
        <f>IF(Table1[[#This Row],[DATE]]=0,"",YEAR(E634))</f>
        <v/>
      </c>
      <c r="W634" s="40" t="str">
        <f t="shared" si="20"/>
        <v/>
      </c>
      <c r="X634" s="40" t="str">
        <f t="shared" si="21"/>
        <v/>
      </c>
      <c r="Y634" s="40" t="str">
        <f>TEXT(Table1[[#This Row],[YEAR]],"0000")&amp;"-"&amp;Table1[[#This Row],[MONTH]]</f>
        <v>-</v>
      </c>
      <c r="AD634" s="23"/>
    </row>
    <row r="635" spans="1:30" ht="15" customHeight="1" x14ac:dyDescent="0.35">
      <c r="A635" s="24"/>
      <c r="B635" s="38"/>
      <c r="C635" s="38"/>
      <c r="D635" s="38"/>
      <c r="E635" s="37"/>
      <c r="F635" s="38"/>
      <c r="G635" s="198"/>
      <c r="H635" s="198"/>
      <c r="I635" s="39"/>
      <c r="J635" s="38"/>
      <c r="K635" s="198"/>
      <c r="L635" s="38"/>
      <c r="M635" s="38"/>
      <c r="N635" s="38"/>
      <c r="O635" s="38"/>
      <c r="P635" s="40" t="str" cm="1">
        <f t="array" ref="P635">IF(N635="","",IFERROR(_xlfn.XLOOKUP(F635&amp;"|"&amp;J635&amp;"|"&amp;O635,PRICES!$C$2:$C$659&amp;"|"&amp;PRICES!$B$2:$B$659&amp;"|"&amp;PRICES!$D$2:$D$659,PRICES!$E$2:$E$659),"Not Found"))</f>
        <v/>
      </c>
      <c r="Q635" s="100" t="str">
        <f>IF(N635=0,"",SUMIFS(PRICES!$G$2:$G$658,PRICES!$B$2:$B$658,'MAIN TABLE-1 AUTOMATED'!J635,PRICES!$C$2:$C$658,'MAIN TABLE-1 AUTOMATED'!F635,PRICES!$D$2:$D$658,'MAIN TABLE-1 AUTOMATED'!O635))</f>
        <v/>
      </c>
      <c r="R635" s="41" t="str">
        <f>IF(Table1[[#This Row],[QUANTITY]]=0,"",Table1[[#This Row],[UNIT PRICE]]*Table1[[#This Row],[QUANTITY]])</f>
        <v/>
      </c>
      <c r="S635" s="89"/>
      <c r="T635" s="38"/>
      <c r="U635" s="43"/>
      <c r="V635" s="42" t="str">
        <f>IF(Table1[[#This Row],[DATE]]=0,"",YEAR(E635))</f>
        <v/>
      </c>
      <c r="W635" s="40" t="str">
        <f t="shared" si="20"/>
        <v/>
      </c>
      <c r="X635" s="40" t="str">
        <f t="shared" si="21"/>
        <v/>
      </c>
      <c r="Y635" s="40" t="str">
        <f>TEXT(Table1[[#This Row],[YEAR]],"0000")&amp;"-"&amp;Table1[[#This Row],[MONTH]]</f>
        <v>-</v>
      </c>
      <c r="AD635" s="23"/>
    </row>
    <row r="636" spans="1:30" ht="15" customHeight="1" x14ac:dyDescent="0.35">
      <c r="A636" s="24"/>
      <c r="B636" s="38"/>
      <c r="C636" s="38"/>
      <c r="D636" s="38"/>
      <c r="E636" s="37"/>
      <c r="F636" s="38"/>
      <c r="G636" s="198"/>
      <c r="H636" s="198"/>
      <c r="I636" s="39"/>
      <c r="J636" s="38"/>
      <c r="K636" s="198"/>
      <c r="L636" s="38"/>
      <c r="M636" s="38"/>
      <c r="N636" s="38"/>
      <c r="O636" s="38"/>
      <c r="P636" s="40" t="str" cm="1">
        <f t="array" ref="P636">IF(N636="","",IFERROR(_xlfn.XLOOKUP(F636&amp;"|"&amp;J636&amp;"|"&amp;O636,PRICES!$C$2:$C$659&amp;"|"&amp;PRICES!$B$2:$B$659&amp;"|"&amp;PRICES!$D$2:$D$659,PRICES!$E$2:$E$659),"Not Found"))</f>
        <v/>
      </c>
      <c r="Q636" s="100" t="str">
        <f>IF(N636=0,"",SUMIFS(PRICES!$G$2:$G$658,PRICES!$B$2:$B$658,'MAIN TABLE-1 AUTOMATED'!J636,PRICES!$C$2:$C$658,'MAIN TABLE-1 AUTOMATED'!F636,PRICES!$D$2:$D$658,'MAIN TABLE-1 AUTOMATED'!O636))</f>
        <v/>
      </c>
      <c r="R636" s="41" t="str">
        <f>IF(Table1[[#This Row],[QUANTITY]]=0,"",Table1[[#This Row],[UNIT PRICE]]*Table1[[#This Row],[QUANTITY]])</f>
        <v/>
      </c>
      <c r="S636" s="89"/>
      <c r="T636" s="38"/>
      <c r="U636" s="43"/>
      <c r="V636" s="42" t="str">
        <f>IF(Table1[[#This Row],[DATE]]=0,"",YEAR(E636))</f>
        <v/>
      </c>
      <c r="W636" s="40" t="str">
        <f t="shared" si="20"/>
        <v/>
      </c>
      <c r="X636" s="40" t="str">
        <f t="shared" si="21"/>
        <v/>
      </c>
      <c r="Y636" s="40" t="str">
        <f>TEXT(Table1[[#This Row],[YEAR]],"0000")&amp;"-"&amp;Table1[[#This Row],[MONTH]]</f>
        <v>-</v>
      </c>
      <c r="AD636" s="23"/>
    </row>
    <row r="637" spans="1:30" ht="15" customHeight="1" x14ac:dyDescent="0.35">
      <c r="A637" s="24"/>
      <c r="B637" s="38"/>
      <c r="C637" s="38"/>
      <c r="D637" s="38"/>
      <c r="E637" s="37"/>
      <c r="F637" s="38"/>
      <c r="G637" s="198"/>
      <c r="H637" s="198"/>
      <c r="I637" s="39"/>
      <c r="J637" s="38"/>
      <c r="K637" s="198"/>
      <c r="L637" s="38"/>
      <c r="M637" s="38"/>
      <c r="N637" s="38"/>
      <c r="O637" s="38"/>
      <c r="P637" s="40" t="str" cm="1">
        <f t="array" ref="P637">IF(N637="","",IFERROR(_xlfn.XLOOKUP(F637&amp;"|"&amp;J637&amp;"|"&amp;O637,PRICES!$C$2:$C$659&amp;"|"&amp;PRICES!$B$2:$B$659&amp;"|"&amp;PRICES!$D$2:$D$659,PRICES!$E$2:$E$659),"Not Found"))</f>
        <v/>
      </c>
      <c r="Q637" s="100" t="str">
        <f>IF(N637=0,"",SUMIFS(PRICES!$G$2:$G$658,PRICES!$B$2:$B$658,'MAIN TABLE-1 AUTOMATED'!J637,PRICES!$C$2:$C$658,'MAIN TABLE-1 AUTOMATED'!F637,PRICES!$D$2:$D$658,'MAIN TABLE-1 AUTOMATED'!O637))</f>
        <v/>
      </c>
      <c r="R637" s="41" t="str">
        <f>IF(Table1[[#This Row],[QUANTITY]]=0,"",Table1[[#This Row],[UNIT PRICE]]*Table1[[#This Row],[QUANTITY]])</f>
        <v/>
      </c>
      <c r="S637" s="89"/>
      <c r="T637" s="38"/>
      <c r="U637" s="43"/>
      <c r="V637" s="42" t="str">
        <f>IF(Table1[[#This Row],[DATE]]=0,"",YEAR(E637))</f>
        <v/>
      </c>
      <c r="W637" s="40" t="str">
        <f t="shared" si="20"/>
        <v/>
      </c>
      <c r="X637" s="40" t="str">
        <f t="shared" si="21"/>
        <v/>
      </c>
      <c r="Y637" s="40" t="str">
        <f>TEXT(Table1[[#This Row],[YEAR]],"0000")&amp;"-"&amp;Table1[[#This Row],[MONTH]]</f>
        <v>-</v>
      </c>
      <c r="AD637" s="23"/>
    </row>
    <row r="638" spans="1:30" ht="15" customHeight="1" x14ac:dyDescent="0.35">
      <c r="A638" s="24"/>
      <c r="B638" s="38"/>
      <c r="C638" s="38"/>
      <c r="D638" s="38"/>
      <c r="E638" s="37"/>
      <c r="F638" s="38"/>
      <c r="G638" s="198"/>
      <c r="H638" s="198"/>
      <c r="I638" s="39"/>
      <c r="J638" s="38"/>
      <c r="K638" s="198"/>
      <c r="L638" s="38"/>
      <c r="M638" s="38"/>
      <c r="N638" s="38"/>
      <c r="O638" s="38"/>
      <c r="P638" s="40" t="str" cm="1">
        <f t="array" ref="P638">IF(N638="","",IFERROR(_xlfn.XLOOKUP(F638&amp;"|"&amp;J638&amp;"|"&amp;O638,PRICES!$C$2:$C$659&amp;"|"&amp;PRICES!$B$2:$B$659&amp;"|"&amp;PRICES!$D$2:$D$659,PRICES!$E$2:$E$659),"Not Found"))</f>
        <v/>
      </c>
      <c r="Q638" s="100" t="str">
        <f>IF(N638=0,"",SUMIFS(PRICES!$G$2:$G$658,PRICES!$B$2:$B$658,'MAIN TABLE-1 AUTOMATED'!J638,PRICES!$C$2:$C$658,'MAIN TABLE-1 AUTOMATED'!F638,PRICES!$D$2:$D$658,'MAIN TABLE-1 AUTOMATED'!O638))</f>
        <v/>
      </c>
      <c r="R638" s="41" t="str">
        <f>IF(Table1[[#This Row],[QUANTITY]]=0,"",Table1[[#This Row],[UNIT PRICE]]*Table1[[#This Row],[QUANTITY]])</f>
        <v/>
      </c>
      <c r="S638" s="89"/>
      <c r="T638" s="38"/>
      <c r="U638" s="43"/>
      <c r="V638" s="42" t="str">
        <f>IF(Table1[[#This Row],[DATE]]=0,"",YEAR(E638))</f>
        <v/>
      </c>
      <c r="W638" s="40" t="str">
        <f t="shared" si="20"/>
        <v/>
      </c>
      <c r="X638" s="40" t="str">
        <f t="shared" si="21"/>
        <v/>
      </c>
      <c r="Y638" s="40" t="str">
        <f>TEXT(Table1[[#This Row],[YEAR]],"0000")&amp;"-"&amp;Table1[[#This Row],[MONTH]]</f>
        <v>-</v>
      </c>
      <c r="AD638" s="23"/>
    </row>
    <row r="639" spans="1:30" ht="15" customHeight="1" x14ac:dyDescent="0.35">
      <c r="A639" s="24"/>
      <c r="B639" s="38"/>
      <c r="C639" s="38"/>
      <c r="D639" s="38"/>
      <c r="E639" s="37"/>
      <c r="F639" s="38"/>
      <c r="G639" s="198"/>
      <c r="H639" s="198"/>
      <c r="I639" s="39"/>
      <c r="J639" s="38"/>
      <c r="K639" s="198"/>
      <c r="L639" s="38"/>
      <c r="M639" s="38"/>
      <c r="N639" s="38"/>
      <c r="O639" s="38"/>
      <c r="P639" s="40" t="str" cm="1">
        <f t="array" ref="P639">IF(N639="","",IFERROR(_xlfn.XLOOKUP(F639&amp;"|"&amp;J639&amp;"|"&amp;O639,PRICES!$C$2:$C$659&amp;"|"&amp;PRICES!$B$2:$B$659&amp;"|"&amp;PRICES!$D$2:$D$659,PRICES!$E$2:$E$659),"Not Found"))</f>
        <v/>
      </c>
      <c r="Q639" s="100" t="str">
        <f>IF(N639=0,"",SUMIFS(PRICES!$G$2:$G$658,PRICES!$B$2:$B$658,'MAIN TABLE-1 AUTOMATED'!J639,PRICES!$C$2:$C$658,'MAIN TABLE-1 AUTOMATED'!F639,PRICES!$D$2:$D$658,'MAIN TABLE-1 AUTOMATED'!O639))</f>
        <v/>
      </c>
      <c r="R639" s="41" t="str">
        <f>IF(Table1[[#This Row],[QUANTITY]]=0,"",Table1[[#This Row],[UNIT PRICE]]*Table1[[#This Row],[QUANTITY]])</f>
        <v/>
      </c>
      <c r="S639" s="89"/>
      <c r="T639" s="38"/>
      <c r="U639" s="43"/>
      <c r="V639" s="42" t="str">
        <f>IF(Table1[[#This Row],[DATE]]=0,"",YEAR(E639))</f>
        <v/>
      </c>
      <c r="W639" s="40" t="str">
        <f t="shared" si="20"/>
        <v/>
      </c>
      <c r="X639" s="40" t="str">
        <f t="shared" si="21"/>
        <v/>
      </c>
      <c r="Y639" s="40" t="str">
        <f>TEXT(Table1[[#This Row],[YEAR]],"0000")&amp;"-"&amp;Table1[[#This Row],[MONTH]]</f>
        <v>-</v>
      </c>
      <c r="AD639" s="23"/>
    </row>
    <row r="640" spans="1:30" ht="15" customHeight="1" x14ac:dyDescent="0.35">
      <c r="A640" s="24"/>
      <c r="B640" s="38"/>
      <c r="C640" s="38"/>
      <c r="D640" s="38"/>
      <c r="E640" s="37"/>
      <c r="F640" s="38"/>
      <c r="G640" s="198"/>
      <c r="H640" s="198"/>
      <c r="I640" s="39"/>
      <c r="J640" s="38"/>
      <c r="K640" s="198"/>
      <c r="L640" s="38"/>
      <c r="M640" s="38"/>
      <c r="N640" s="38"/>
      <c r="O640" s="38"/>
      <c r="P640" s="40" t="str" cm="1">
        <f t="array" ref="P640">IF(N640="","",IFERROR(_xlfn.XLOOKUP(F640&amp;"|"&amp;J640&amp;"|"&amp;O640,PRICES!$C$2:$C$659&amp;"|"&amp;PRICES!$B$2:$B$659&amp;"|"&amp;PRICES!$D$2:$D$659,PRICES!$E$2:$E$659),"Not Found"))</f>
        <v/>
      </c>
      <c r="Q640" s="100" t="str">
        <f>IF(N640=0,"",SUMIFS(PRICES!$G$2:$G$658,PRICES!$B$2:$B$658,'MAIN TABLE-1 AUTOMATED'!J640,PRICES!$C$2:$C$658,'MAIN TABLE-1 AUTOMATED'!F640,PRICES!$D$2:$D$658,'MAIN TABLE-1 AUTOMATED'!O640))</f>
        <v/>
      </c>
      <c r="R640" s="41" t="str">
        <f>IF(Table1[[#This Row],[QUANTITY]]=0,"",Table1[[#This Row],[UNIT PRICE]]*Table1[[#This Row],[QUANTITY]])</f>
        <v/>
      </c>
      <c r="S640" s="89"/>
      <c r="T640" s="38"/>
      <c r="U640" s="43"/>
      <c r="V640" s="42" t="str">
        <f>IF(Table1[[#This Row],[DATE]]=0,"",YEAR(E640))</f>
        <v/>
      </c>
      <c r="W640" s="40" t="str">
        <f t="shared" si="20"/>
        <v/>
      </c>
      <c r="X640" s="40" t="str">
        <f t="shared" si="21"/>
        <v/>
      </c>
      <c r="Y640" s="40" t="str">
        <f>TEXT(Table1[[#This Row],[YEAR]],"0000")&amp;"-"&amp;Table1[[#This Row],[MONTH]]</f>
        <v>-</v>
      </c>
      <c r="AD640" s="23"/>
    </row>
    <row r="641" spans="1:30" ht="15" customHeight="1" x14ac:dyDescent="0.35">
      <c r="A641" s="24"/>
      <c r="B641" s="38"/>
      <c r="C641" s="38"/>
      <c r="D641" s="38"/>
      <c r="E641" s="37"/>
      <c r="F641" s="38"/>
      <c r="G641" s="198"/>
      <c r="H641" s="198"/>
      <c r="I641" s="39"/>
      <c r="J641" s="38"/>
      <c r="K641" s="198"/>
      <c r="L641" s="38"/>
      <c r="M641" s="38"/>
      <c r="N641" s="38"/>
      <c r="O641" s="38"/>
      <c r="P641" s="40" t="str" cm="1">
        <f t="array" ref="P641">IF(N641="","",IFERROR(_xlfn.XLOOKUP(F641&amp;"|"&amp;J641&amp;"|"&amp;O641,PRICES!$C$2:$C$659&amp;"|"&amp;PRICES!$B$2:$B$659&amp;"|"&amp;PRICES!$D$2:$D$659,PRICES!$E$2:$E$659),"Not Found"))</f>
        <v/>
      </c>
      <c r="Q641" s="100" t="str">
        <f>IF(N641=0,"",SUMIFS(PRICES!$G$2:$G$658,PRICES!$B$2:$B$658,'MAIN TABLE-1 AUTOMATED'!J641,PRICES!$C$2:$C$658,'MAIN TABLE-1 AUTOMATED'!F641,PRICES!$D$2:$D$658,'MAIN TABLE-1 AUTOMATED'!O641))</f>
        <v/>
      </c>
      <c r="R641" s="41" t="str">
        <f>IF(Table1[[#This Row],[QUANTITY]]=0,"",Table1[[#This Row],[UNIT PRICE]]*Table1[[#This Row],[QUANTITY]])</f>
        <v/>
      </c>
      <c r="S641" s="89"/>
      <c r="T641" s="38"/>
      <c r="U641" s="43"/>
      <c r="V641" s="42" t="str">
        <f>IF(Table1[[#This Row],[DATE]]=0,"",YEAR(E641))</f>
        <v/>
      </c>
      <c r="W641" s="40" t="str">
        <f t="shared" si="20"/>
        <v/>
      </c>
      <c r="X641" s="40" t="str">
        <f t="shared" si="21"/>
        <v/>
      </c>
      <c r="Y641" s="40" t="str">
        <f>TEXT(Table1[[#This Row],[YEAR]],"0000")&amp;"-"&amp;Table1[[#This Row],[MONTH]]</f>
        <v>-</v>
      </c>
      <c r="AD641" s="23"/>
    </row>
    <row r="642" spans="1:30" ht="15" customHeight="1" x14ac:dyDescent="0.35">
      <c r="A642" s="24"/>
      <c r="B642" s="38"/>
      <c r="C642" s="38"/>
      <c r="D642" s="38"/>
      <c r="E642" s="37"/>
      <c r="F642" s="38"/>
      <c r="G642" s="198"/>
      <c r="H642" s="198"/>
      <c r="I642" s="39"/>
      <c r="J642" s="38"/>
      <c r="K642" s="198"/>
      <c r="L642" s="38"/>
      <c r="M642" s="38"/>
      <c r="N642" s="38"/>
      <c r="O642" s="38"/>
      <c r="P642" s="40" t="str" cm="1">
        <f t="array" ref="P642">IF(N642="","",IFERROR(_xlfn.XLOOKUP(F642&amp;"|"&amp;J642&amp;"|"&amp;O642,PRICES!$C$2:$C$659&amp;"|"&amp;PRICES!$B$2:$B$659&amp;"|"&amp;PRICES!$D$2:$D$659,PRICES!$E$2:$E$659),"Not Found"))</f>
        <v/>
      </c>
      <c r="Q642" s="100" t="str">
        <f>IF(N642=0,"",SUMIFS(PRICES!$G$2:$G$658,PRICES!$B$2:$B$658,'MAIN TABLE-1 AUTOMATED'!J642,PRICES!$C$2:$C$658,'MAIN TABLE-1 AUTOMATED'!F642,PRICES!$D$2:$D$658,'MAIN TABLE-1 AUTOMATED'!O642))</f>
        <v/>
      </c>
      <c r="R642" s="41" t="str">
        <f>IF(Table1[[#This Row],[QUANTITY]]=0,"",Table1[[#This Row],[UNIT PRICE]]*Table1[[#This Row],[QUANTITY]])</f>
        <v/>
      </c>
      <c r="S642" s="89"/>
      <c r="T642" s="38"/>
      <c r="U642" s="43"/>
      <c r="V642" s="42" t="str">
        <f>IF(Table1[[#This Row],[DATE]]=0,"",YEAR(E642))</f>
        <v/>
      </c>
      <c r="W642" s="40" t="str">
        <f t="shared" si="20"/>
        <v/>
      </c>
      <c r="X642" s="40" t="str">
        <f t="shared" si="21"/>
        <v/>
      </c>
      <c r="Y642" s="40" t="str">
        <f>TEXT(Table1[[#This Row],[YEAR]],"0000")&amp;"-"&amp;Table1[[#This Row],[MONTH]]</f>
        <v>-</v>
      </c>
    </row>
    <row r="643" spans="1:30" ht="15" customHeight="1" x14ac:dyDescent="0.35">
      <c r="A643" s="24"/>
      <c r="B643" s="38"/>
      <c r="C643" s="38"/>
      <c r="D643" s="38"/>
      <c r="E643" s="37"/>
      <c r="F643" s="38"/>
      <c r="G643" s="198"/>
      <c r="H643" s="198"/>
      <c r="I643" s="39"/>
      <c r="J643" s="38"/>
      <c r="K643" s="198"/>
      <c r="L643" s="38"/>
      <c r="M643" s="38"/>
      <c r="N643" s="38"/>
      <c r="O643" s="38"/>
      <c r="P643" s="40" t="str" cm="1">
        <f t="array" ref="P643">IF(N643="","",IFERROR(_xlfn.XLOOKUP(F643&amp;"|"&amp;J643&amp;"|"&amp;O643,PRICES!$C$2:$C$659&amp;"|"&amp;PRICES!$B$2:$B$659&amp;"|"&amp;PRICES!$D$2:$D$659,PRICES!$E$2:$E$659),"Not Found"))</f>
        <v/>
      </c>
      <c r="Q643" s="100" t="str">
        <f>IF(N643=0,"",SUMIFS(PRICES!$G$2:$G$658,PRICES!$B$2:$B$658,'MAIN TABLE-1 AUTOMATED'!J643,PRICES!$C$2:$C$658,'MAIN TABLE-1 AUTOMATED'!F643,PRICES!$D$2:$D$658,'MAIN TABLE-1 AUTOMATED'!O643))</f>
        <v/>
      </c>
      <c r="R643" s="41" t="str">
        <f>IF(Table1[[#This Row],[QUANTITY]]=0,"",Table1[[#This Row],[UNIT PRICE]]*Table1[[#This Row],[QUANTITY]])</f>
        <v/>
      </c>
      <c r="S643" s="89"/>
      <c r="T643" s="38"/>
      <c r="U643" s="43"/>
      <c r="V643" s="42" t="str">
        <f>IF(Table1[[#This Row],[DATE]]=0,"",YEAR(E643))</f>
        <v/>
      </c>
      <c r="W643" s="40" t="str">
        <f t="shared" si="20"/>
        <v/>
      </c>
      <c r="X643" s="40" t="str">
        <f t="shared" si="21"/>
        <v/>
      </c>
      <c r="Y643" s="40" t="str">
        <f>TEXT(Table1[[#This Row],[YEAR]],"0000")&amp;"-"&amp;Table1[[#This Row],[MONTH]]</f>
        <v>-</v>
      </c>
    </row>
    <row r="644" spans="1:30" ht="15" customHeight="1" x14ac:dyDescent="0.35">
      <c r="A644" s="24"/>
      <c r="B644" s="38"/>
      <c r="C644" s="38"/>
      <c r="D644" s="38"/>
      <c r="E644" s="37"/>
      <c r="F644" s="38"/>
      <c r="G644" s="198"/>
      <c r="H644" s="198"/>
      <c r="I644" s="39"/>
      <c r="J644" s="38"/>
      <c r="K644" s="198"/>
      <c r="L644" s="38"/>
      <c r="M644" s="38"/>
      <c r="N644" s="38"/>
      <c r="O644" s="38"/>
      <c r="P644" s="40" t="str" cm="1">
        <f t="array" ref="P644">IF(N644="","",IFERROR(_xlfn.XLOOKUP(F644&amp;"|"&amp;J644&amp;"|"&amp;O644,PRICES!$C$2:$C$659&amp;"|"&amp;PRICES!$B$2:$B$659&amp;"|"&amp;PRICES!$D$2:$D$659,PRICES!$E$2:$E$659),"Not Found"))</f>
        <v/>
      </c>
      <c r="Q644" s="100" t="str">
        <f>IF(N644=0,"",SUMIFS(PRICES!$G$2:$G$658,PRICES!$B$2:$B$658,'MAIN TABLE-1 AUTOMATED'!J644,PRICES!$C$2:$C$658,'MAIN TABLE-1 AUTOMATED'!F644,PRICES!$D$2:$D$658,'MAIN TABLE-1 AUTOMATED'!O644))</f>
        <v/>
      </c>
      <c r="R644" s="41" t="str">
        <f>IF(Table1[[#This Row],[QUANTITY]]=0,"",Table1[[#This Row],[UNIT PRICE]]*Table1[[#This Row],[QUANTITY]])</f>
        <v/>
      </c>
      <c r="S644" s="89"/>
      <c r="T644" s="38"/>
      <c r="U644" s="43"/>
      <c r="V644" s="42" t="str">
        <f>IF(Table1[[#This Row],[DATE]]=0,"",YEAR(E644))</f>
        <v/>
      </c>
      <c r="W644" s="40" t="str">
        <f t="shared" si="20"/>
        <v/>
      </c>
      <c r="X644" s="40" t="str">
        <f t="shared" si="21"/>
        <v/>
      </c>
      <c r="Y644" s="40" t="str">
        <f>TEXT(Table1[[#This Row],[YEAR]],"0000")&amp;"-"&amp;Table1[[#This Row],[MONTH]]</f>
        <v>-</v>
      </c>
    </row>
    <row r="645" spans="1:30" ht="15" customHeight="1" x14ac:dyDescent="0.35">
      <c r="A645" s="24"/>
      <c r="B645" s="38"/>
      <c r="C645" s="38"/>
      <c r="D645" s="38"/>
      <c r="E645" s="37"/>
      <c r="F645" s="38"/>
      <c r="G645" s="198"/>
      <c r="H645" s="198"/>
      <c r="I645" s="39"/>
      <c r="J645" s="38"/>
      <c r="K645" s="198"/>
      <c r="L645" s="38"/>
      <c r="M645" s="38"/>
      <c r="N645" s="38"/>
      <c r="O645" s="38"/>
      <c r="P645" s="40" t="str" cm="1">
        <f t="array" ref="P645">IF(N645="","",IFERROR(_xlfn.XLOOKUP(F645&amp;"|"&amp;J645&amp;"|"&amp;O645,PRICES!$C$2:$C$659&amp;"|"&amp;PRICES!$B$2:$B$659&amp;"|"&amp;PRICES!$D$2:$D$659,PRICES!$E$2:$E$659),"Not Found"))</f>
        <v/>
      </c>
      <c r="Q645" s="100" t="str">
        <f>IF(N645=0,"",SUMIFS(PRICES!$G$2:$G$658,PRICES!$B$2:$B$658,'MAIN TABLE-1 AUTOMATED'!J645,PRICES!$C$2:$C$658,'MAIN TABLE-1 AUTOMATED'!F645,PRICES!$D$2:$D$658,'MAIN TABLE-1 AUTOMATED'!O645))</f>
        <v/>
      </c>
      <c r="R645" s="41" t="str">
        <f>IF(Table1[[#This Row],[QUANTITY]]=0,"",Table1[[#This Row],[UNIT PRICE]]*Table1[[#This Row],[QUANTITY]])</f>
        <v/>
      </c>
      <c r="S645" s="89"/>
      <c r="T645" s="38"/>
      <c r="U645" s="43"/>
      <c r="V645" s="42" t="str">
        <f>IF(Table1[[#This Row],[DATE]]=0,"",YEAR(E645))</f>
        <v/>
      </c>
      <c r="W645" s="40" t="str">
        <f t="shared" si="20"/>
        <v/>
      </c>
      <c r="X645" s="40" t="str">
        <f t="shared" si="21"/>
        <v/>
      </c>
      <c r="Y645" s="40" t="str">
        <f>TEXT(Table1[[#This Row],[YEAR]],"0000")&amp;"-"&amp;Table1[[#This Row],[MONTH]]</f>
        <v>-</v>
      </c>
    </row>
    <row r="646" spans="1:30" ht="15" customHeight="1" x14ac:dyDescent="0.35">
      <c r="A646" s="24"/>
      <c r="B646" s="36"/>
      <c r="C646" s="38"/>
      <c r="D646" s="38"/>
      <c r="E646" s="37"/>
      <c r="F646" s="38"/>
      <c r="G646" s="198"/>
      <c r="H646" s="198"/>
      <c r="I646" s="39"/>
      <c r="J646" s="38"/>
      <c r="K646" s="198"/>
      <c r="L646" s="38"/>
      <c r="M646" s="38"/>
      <c r="N646" s="38"/>
      <c r="O646" s="38"/>
      <c r="P646" s="40" t="str" cm="1">
        <f t="array" ref="P646">IF(N646="","",IFERROR(_xlfn.XLOOKUP(F646&amp;"|"&amp;J646&amp;"|"&amp;O646,PRICES!$C$2:$C$659&amp;"|"&amp;PRICES!$B$2:$B$659&amp;"|"&amp;PRICES!$D$2:$D$659,PRICES!$E$2:$E$659),"Not Found"))</f>
        <v/>
      </c>
      <c r="Q646" s="100" t="str">
        <f>IF(N646=0,"",SUMIFS(PRICES!$G$2:$G$658,PRICES!$B$2:$B$658,'MAIN TABLE-1 AUTOMATED'!J646,PRICES!$C$2:$C$658,'MAIN TABLE-1 AUTOMATED'!F646,PRICES!$D$2:$D$658,'MAIN TABLE-1 AUTOMATED'!O646))</f>
        <v/>
      </c>
      <c r="R646" s="41" t="str">
        <f>IF(Table1[[#This Row],[QUANTITY]]=0,"",Table1[[#This Row],[UNIT PRICE]]*Table1[[#This Row],[QUANTITY]])</f>
        <v/>
      </c>
      <c r="S646" s="89"/>
      <c r="T646" s="38"/>
      <c r="U646" s="43"/>
      <c r="V646" s="42" t="str">
        <f>IF(Table1[[#This Row],[DATE]]=0,"",YEAR(E646))</f>
        <v/>
      </c>
      <c r="W646" s="40" t="str">
        <f t="shared" si="20"/>
        <v/>
      </c>
      <c r="X646" s="40" t="str">
        <f t="shared" si="21"/>
        <v/>
      </c>
      <c r="Y646" s="40" t="str">
        <f>TEXT(Table1[[#This Row],[YEAR]],"0000")&amp;"-"&amp;Table1[[#This Row],[MONTH]]</f>
        <v>-</v>
      </c>
    </row>
    <row r="647" spans="1:30" ht="15" customHeight="1" x14ac:dyDescent="0.35">
      <c r="A647" s="24"/>
      <c r="B647" s="36"/>
      <c r="C647" s="38"/>
      <c r="D647" s="38"/>
      <c r="E647" s="37"/>
      <c r="F647" s="38"/>
      <c r="G647" s="198"/>
      <c r="H647" s="198"/>
      <c r="I647" s="39"/>
      <c r="J647" s="38"/>
      <c r="K647" s="198"/>
      <c r="L647" s="38"/>
      <c r="M647" s="38"/>
      <c r="N647" s="38"/>
      <c r="O647" s="38"/>
      <c r="P647" s="40" t="str" cm="1">
        <f t="array" ref="P647">IF(N647="","",IFERROR(_xlfn.XLOOKUP(F647&amp;"|"&amp;J647&amp;"|"&amp;O647,PRICES!$C$2:$C$659&amp;"|"&amp;PRICES!$B$2:$B$659&amp;"|"&amp;PRICES!$D$2:$D$659,PRICES!$E$2:$E$659),"Not Found"))</f>
        <v/>
      </c>
      <c r="Q647" s="100" t="str">
        <f>IF(N647=0,"",SUMIFS(PRICES!$G$2:$G$658,PRICES!$B$2:$B$658,'MAIN TABLE-1 AUTOMATED'!J647,PRICES!$C$2:$C$658,'MAIN TABLE-1 AUTOMATED'!F647,PRICES!$D$2:$D$658,'MAIN TABLE-1 AUTOMATED'!O647))</f>
        <v/>
      </c>
      <c r="R647" s="41" t="str">
        <f>IF(Table1[[#This Row],[QUANTITY]]=0,"",Table1[[#This Row],[UNIT PRICE]]*Table1[[#This Row],[QUANTITY]])</f>
        <v/>
      </c>
      <c r="S647" s="89"/>
      <c r="T647" s="38"/>
      <c r="U647" s="43"/>
      <c r="V647" s="42" t="str">
        <f>IF(Table1[[#This Row],[DATE]]=0,"",YEAR(E647))</f>
        <v/>
      </c>
      <c r="W647" s="40" t="str">
        <f t="shared" si="20"/>
        <v/>
      </c>
      <c r="X647" s="40" t="str">
        <f t="shared" si="21"/>
        <v/>
      </c>
      <c r="Y647" s="40" t="str">
        <f>TEXT(Table1[[#This Row],[YEAR]],"0000")&amp;"-"&amp;Table1[[#This Row],[MONTH]]</f>
        <v>-</v>
      </c>
    </row>
    <row r="648" spans="1:30" ht="15" customHeight="1" x14ac:dyDescent="0.35">
      <c r="A648" s="24"/>
      <c r="B648" s="36"/>
      <c r="C648" s="38"/>
      <c r="D648" s="38"/>
      <c r="E648" s="37"/>
      <c r="F648" s="38"/>
      <c r="G648" s="198"/>
      <c r="H648" s="198"/>
      <c r="I648" s="39"/>
      <c r="J648" s="38"/>
      <c r="K648" s="198"/>
      <c r="L648" s="38"/>
      <c r="M648" s="38"/>
      <c r="N648" s="38"/>
      <c r="O648" s="38"/>
      <c r="P648" s="40" t="str" cm="1">
        <f t="array" ref="P648">IF(N648="","",IFERROR(_xlfn.XLOOKUP(F648&amp;"|"&amp;J648&amp;"|"&amp;O648,PRICES!$C$2:$C$659&amp;"|"&amp;PRICES!$B$2:$B$659&amp;"|"&amp;PRICES!$D$2:$D$659,PRICES!$E$2:$E$659),"Not Found"))</f>
        <v/>
      </c>
      <c r="Q648" s="100" t="str">
        <f>IF(N648=0,"",SUMIFS(PRICES!$G$2:$G$658,PRICES!$B$2:$B$658,'MAIN TABLE-1 AUTOMATED'!J648,PRICES!$C$2:$C$658,'MAIN TABLE-1 AUTOMATED'!F648,PRICES!$D$2:$D$658,'MAIN TABLE-1 AUTOMATED'!O648))</f>
        <v/>
      </c>
      <c r="R648" s="41" t="str">
        <f>IF(Table1[[#This Row],[QUANTITY]]=0,"",Table1[[#This Row],[UNIT PRICE]]*Table1[[#This Row],[QUANTITY]])</f>
        <v/>
      </c>
      <c r="S648" s="89"/>
      <c r="T648" s="38"/>
      <c r="U648" s="43"/>
      <c r="V648" s="42" t="str">
        <f>IF(Table1[[#This Row],[DATE]]=0,"",YEAR(E648))</f>
        <v/>
      </c>
      <c r="W648" s="40" t="str">
        <f t="shared" si="20"/>
        <v/>
      </c>
      <c r="X648" s="40" t="str">
        <f t="shared" si="21"/>
        <v/>
      </c>
      <c r="Y648" s="40" t="str">
        <f>TEXT(Table1[[#This Row],[YEAR]],"0000")&amp;"-"&amp;Table1[[#This Row],[MONTH]]</f>
        <v>-</v>
      </c>
    </row>
    <row r="649" spans="1:30" ht="15" customHeight="1" x14ac:dyDescent="0.35">
      <c r="A649" s="24"/>
      <c r="B649" s="38"/>
      <c r="C649" s="38"/>
      <c r="D649" s="38"/>
      <c r="E649" s="37"/>
      <c r="F649" s="38"/>
      <c r="G649" s="198"/>
      <c r="H649" s="198"/>
      <c r="I649" s="39"/>
      <c r="J649" s="38"/>
      <c r="K649" s="198"/>
      <c r="L649" s="38"/>
      <c r="M649" s="38"/>
      <c r="N649" s="38"/>
      <c r="O649" s="38"/>
      <c r="P649" s="40" t="str" cm="1">
        <f t="array" ref="P649">IF(N649="","",IFERROR(_xlfn.XLOOKUP(F649&amp;"|"&amp;J649&amp;"|"&amp;O649,PRICES!$C$2:$C$659&amp;"|"&amp;PRICES!$B$2:$B$659&amp;"|"&amp;PRICES!$D$2:$D$659,PRICES!$E$2:$E$659),"Not Found"))</f>
        <v/>
      </c>
      <c r="Q649" s="100" t="str">
        <f>IF(N649=0,"",SUMIFS(PRICES!$G$2:$G$658,PRICES!$B$2:$B$658,'MAIN TABLE-1 AUTOMATED'!J649,PRICES!$C$2:$C$658,'MAIN TABLE-1 AUTOMATED'!F649,PRICES!$D$2:$D$658,'MAIN TABLE-1 AUTOMATED'!O649))</f>
        <v/>
      </c>
      <c r="R649" s="41" t="str">
        <f>IF(Table1[[#This Row],[QUANTITY]]=0,"",Table1[[#This Row],[UNIT PRICE]]*Table1[[#This Row],[QUANTITY]])</f>
        <v/>
      </c>
      <c r="S649" s="89"/>
      <c r="T649" s="38"/>
      <c r="U649" s="43"/>
      <c r="V649" s="42" t="str">
        <f>IF(Table1[[#This Row],[DATE]]=0,"",YEAR(E649))</f>
        <v/>
      </c>
      <c r="W649" s="40" t="str">
        <f t="shared" si="20"/>
        <v/>
      </c>
      <c r="X649" s="40" t="str">
        <f t="shared" si="21"/>
        <v/>
      </c>
      <c r="Y649" s="40" t="str">
        <f>TEXT(Table1[[#This Row],[YEAR]],"0000")&amp;"-"&amp;Table1[[#This Row],[MONTH]]</f>
        <v>-</v>
      </c>
    </row>
    <row r="650" spans="1:30" ht="15" customHeight="1" x14ac:dyDescent="0.35">
      <c r="A650" s="24"/>
      <c r="B650" s="38"/>
      <c r="C650" s="38"/>
      <c r="D650" s="38"/>
      <c r="E650" s="37"/>
      <c r="F650" s="38"/>
      <c r="G650" s="198"/>
      <c r="H650" s="198"/>
      <c r="I650" s="39"/>
      <c r="J650" s="38"/>
      <c r="K650" s="198"/>
      <c r="L650" s="38"/>
      <c r="M650" s="38"/>
      <c r="N650" s="38"/>
      <c r="O650" s="38"/>
      <c r="P650" s="40" t="str" cm="1">
        <f t="array" ref="P650">IF(N650="","",IFERROR(_xlfn.XLOOKUP(F650&amp;"|"&amp;J650&amp;"|"&amp;O650,PRICES!$C$2:$C$659&amp;"|"&amp;PRICES!$B$2:$B$659&amp;"|"&amp;PRICES!$D$2:$D$659,PRICES!$E$2:$E$659),"Not Found"))</f>
        <v/>
      </c>
      <c r="Q650" s="100" t="str">
        <f>IF(N650=0,"",SUMIFS(PRICES!$G$2:$G$658,PRICES!$B$2:$B$658,'MAIN TABLE-1 AUTOMATED'!J650,PRICES!$C$2:$C$658,'MAIN TABLE-1 AUTOMATED'!F650,PRICES!$D$2:$D$658,'MAIN TABLE-1 AUTOMATED'!O650))</f>
        <v/>
      </c>
      <c r="R650" s="41" t="str">
        <f>IF(Table1[[#This Row],[QUANTITY]]=0,"",Table1[[#This Row],[UNIT PRICE]]*Table1[[#This Row],[QUANTITY]])</f>
        <v/>
      </c>
      <c r="S650" s="89"/>
      <c r="T650" s="38"/>
      <c r="U650" s="43"/>
      <c r="V650" s="42" t="str">
        <f>IF(Table1[[#This Row],[DATE]]=0,"",YEAR(E650))</f>
        <v/>
      </c>
      <c r="W650" s="40" t="str">
        <f t="shared" si="20"/>
        <v/>
      </c>
      <c r="X650" s="40" t="str">
        <f t="shared" si="21"/>
        <v/>
      </c>
      <c r="Y650" s="40" t="str">
        <f>TEXT(Table1[[#This Row],[YEAR]],"0000")&amp;"-"&amp;Table1[[#This Row],[MONTH]]</f>
        <v>-</v>
      </c>
    </row>
    <row r="651" spans="1:30" ht="15" customHeight="1" x14ac:dyDescent="0.35">
      <c r="A651" s="24"/>
      <c r="B651" s="38"/>
      <c r="C651" s="38"/>
      <c r="D651" s="38"/>
      <c r="E651" s="37"/>
      <c r="F651" s="38"/>
      <c r="G651" s="198"/>
      <c r="H651" s="198"/>
      <c r="I651" s="39"/>
      <c r="J651" s="38"/>
      <c r="K651" s="198"/>
      <c r="L651" s="38"/>
      <c r="M651" s="38"/>
      <c r="N651" s="38"/>
      <c r="O651" s="38"/>
      <c r="P651" s="40" t="str" cm="1">
        <f t="array" ref="P651">IF(N651="","",IFERROR(_xlfn.XLOOKUP(F651&amp;"|"&amp;J651&amp;"|"&amp;O651,PRICES!$C$2:$C$659&amp;"|"&amp;PRICES!$B$2:$B$659&amp;"|"&amp;PRICES!$D$2:$D$659,PRICES!$E$2:$E$659),"Not Found"))</f>
        <v/>
      </c>
      <c r="Q651" s="100" t="str">
        <f>IF(N651=0,"",SUMIFS(PRICES!$G$2:$G$658,PRICES!$B$2:$B$658,'MAIN TABLE-1 AUTOMATED'!J651,PRICES!$C$2:$C$658,'MAIN TABLE-1 AUTOMATED'!F651,PRICES!$D$2:$D$658,'MAIN TABLE-1 AUTOMATED'!O651))</f>
        <v/>
      </c>
      <c r="R651" s="41" t="str">
        <f>IF(Table1[[#This Row],[QUANTITY]]=0,"",Table1[[#This Row],[UNIT PRICE]]*Table1[[#This Row],[QUANTITY]])</f>
        <v/>
      </c>
      <c r="S651" s="89"/>
      <c r="T651" s="38"/>
      <c r="U651" s="43"/>
      <c r="V651" s="42" t="str">
        <f>IF(Table1[[#This Row],[DATE]]=0,"",YEAR(E651))</f>
        <v/>
      </c>
      <c r="W651" s="40" t="str">
        <f t="shared" si="20"/>
        <v/>
      </c>
      <c r="X651" s="40" t="str">
        <f t="shared" si="21"/>
        <v/>
      </c>
      <c r="Y651" s="40" t="str">
        <f>TEXT(Table1[[#This Row],[YEAR]],"0000")&amp;"-"&amp;Table1[[#This Row],[MONTH]]</f>
        <v>-</v>
      </c>
    </row>
    <row r="652" spans="1:30" ht="15" customHeight="1" x14ac:dyDescent="0.35">
      <c r="A652" s="24"/>
      <c r="B652" s="38"/>
      <c r="C652" s="38"/>
      <c r="D652" s="38"/>
      <c r="E652" s="37"/>
      <c r="F652" s="38"/>
      <c r="G652" s="198"/>
      <c r="H652" s="198"/>
      <c r="I652" s="39"/>
      <c r="J652" s="38"/>
      <c r="K652" s="198"/>
      <c r="L652" s="38"/>
      <c r="M652" s="38"/>
      <c r="N652" s="38"/>
      <c r="O652" s="38"/>
      <c r="P652" s="40" t="str" cm="1">
        <f t="array" ref="P652">IF(N652="","",IFERROR(_xlfn.XLOOKUP(F652&amp;"|"&amp;J652&amp;"|"&amp;O652,PRICES!$C$2:$C$659&amp;"|"&amp;PRICES!$B$2:$B$659&amp;"|"&amp;PRICES!$D$2:$D$659,PRICES!$E$2:$E$659),"Not Found"))</f>
        <v/>
      </c>
      <c r="Q652" s="100" t="str">
        <f>IF(N652=0,"",SUMIFS(PRICES!$G$2:$G$658,PRICES!$B$2:$B$658,'MAIN TABLE-1 AUTOMATED'!J652,PRICES!$C$2:$C$658,'MAIN TABLE-1 AUTOMATED'!F652,PRICES!$D$2:$D$658,'MAIN TABLE-1 AUTOMATED'!O652))</f>
        <v/>
      </c>
      <c r="R652" s="41" t="str">
        <f>IF(Table1[[#This Row],[QUANTITY]]=0,"",Table1[[#This Row],[UNIT PRICE]]*Table1[[#This Row],[QUANTITY]])</f>
        <v/>
      </c>
      <c r="S652" s="89"/>
      <c r="T652" s="38"/>
      <c r="U652" s="43"/>
      <c r="V652" s="42" t="str">
        <f>IF(Table1[[#This Row],[DATE]]=0,"",YEAR(E652))</f>
        <v/>
      </c>
      <c r="W652" s="40" t="str">
        <f t="shared" si="20"/>
        <v/>
      </c>
      <c r="X652" s="40" t="str">
        <f t="shared" si="21"/>
        <v/>
      </c>
      <c r="Y652" s="40" t="str">
        <f>TEXT(Table1[[#This Row],[YEAR]],"0000")&amp;"-"&amp;Table1[[#This Row],[MONTH]]</f>
        <v>-</v>
      </c>
    </row>
    <row r="653" spans="1:30" ht="15" customHeight="1" x14ac:dyDescent="0.35">
      <c r="A653" s="24"/>
      <c r="B653" s="38"/>
      <c r="C653" s="38"/>
      <c r="D653" s="38"/>
      <c r="E653" s="37"/>
      <c r="F653" s="38"/>
      <c r="G653" s="198"/>
      <c r="H653" s="198"/>
      <c r="I653" s="39"/>
      <c r="J653" s="38"/>
      <c r="K653" s="198"/>
      <c r="L653" s="38"/>
      <c r="M653" s="38"/>
      <c r="N653" s="38"/>
      <c r="O653" s="38"/>
      <c r="P653" s="40" t="str" cm="1">
        <f t="array" ref="P653">IF(N653="","",IFERROR(_xlfn.XLOOKUP(F653&amp;"|"&amp;J653&amp;"|"&amp;O653,PRICES!$C$2:$C$659&amp;"|"&amp;PRICES!$B$2:$B$659&amp;"|"&amp;PRICES!$D$2:$D$659,PRICES!$E$2:$E$659),"Not Found"))</f>
        <v/>
      </c>
      <c r="Q653" s="100" t="str">
        <f>IF(N653=0,"",SUMIFS(PRICES!$G$2:$G$658,PRICES!$B$2:$B$658,'MAIN TABLE-1 AUTOMATED'!J653,PRICES!$C$2:$C$658,'MAIN TABLE-1 AUTOMATED'!F653,PRICES!$D$2:$D$658,'MAIN TABLE-1 AUTOMATED'!O653))</f>
        <v/>
      </c>
      <c r="R653" s="41" t="str">
        <f>IF(Table1[[#This Row],[QUANTITY]]=0,"",Table1[[#This Row],[UNIT PRICE]]*Table1[[#This Row],[QUANTITY]])</f>
        <v/>
      </c>
      <c r="S653" s="89"/>
      <c r="T653" s="38"/>
      <c r="U653" s="43"/>
      <c r="V653" s="42" t="str">
        <f>IF(Table1[[#This Row],[DATE]]=0,"",YEAR(E653))</f>
        <v/>
      </c>
      <c r="W653" s="40" t="str">
        <f t="shared" si="20"/>
        <v/>
      </c>
      <c r="X653" s="40" t="str">
        <f t="shared" si="21"/>
        <v/>
      </c>
      <c r="Y653" s="40" t="str">
        <f>TEXT(Table1[[#This Row],[YEAR]],"0000")&amp;"-"&amp;Table1[[#This Row],[MONTH]]</f>
        <v>-</v>
      </c>
    </row>
    <row r="654" spans="1:30" ht="15" customHeight="1" x14ac:dyDescent="0.35">
      <c r="A654" s="24"/>
      <c r="B654" s="38"/>
      <c r="C654" s="38"/>
      <c r="D654" s="38"/>
      <c r="E654" s="37"/>
      <c r="F654" s="38"/>
      <c r="G654" s="198"/>
      <c r="H654" s="198"/>
      <c r="I654" s="39"/>
      <c r="J654" s="38"/>
      <c r="K654" s="198"/>
      <c r="L654" s="38"/>
      <c r="M654" s="38"/>
      <c r="N654" s="38"/>
      <c r="O654" s="38"/>
      <c r="P654" s="40" t="str" cm="1">
        <f t="array" ref="P654">IF(N654="","",IFERROR(_xlfn.XLOOKUP(F654&amp;"|"&amp;J654&amp;"|"&amp;O654,PRICES!$C$2:$C$659&amp;"|"&amp;PRICES!$B$2:$B$659&amp;"|"&amp;PRICES!$D$2:$D$659,PRICES!$E$2:$E$659),"Not Found"))</f>
        <v/>
      </c>
      <c r="Q654" s="100" t="str">
        <f>IF(N654=0,"",SUMIFS(PRICES!$G$2:$G$658,PRICES!$B$2:$B$658,'MAIN TABLE-1 AUTOMATED'!J654,PRICES!$C$2:$C$658,'MAIN TABLE-1 AUTOMATED'!F654,PRICES!$D$2:$D$658,'MAIN TABLE-1 AUTOMATED'!O654))</f>
        <v/>
      </c>
      <c r="R654" s="41" t="str">
        <f>IF(Table1[[#This Row],[QUANTITY]]=0,"",Table1[[#This Row],[UNIT PRICE]]*Table1[[#This Row],[QUANTITY]])</f>
        <v/>
      </c>
      <c r="S654" s="89"/>
      <c r="T654" s="38"/>
      <c r="U654" s="43"/>
      <c r="V654" s="42" t="str">
        <f>IF(Table1[[#This Row],[DATE]]=0,"",YEAR(E654))</f>
        <v/>
      </c>
      <c r="W654" s="40" t="str">
        <f t="shared" si="20"/>
        <v/>
      </c>
      <c r="X654" s="40" t="str">
        <f t="shared" si="21"/>
        <v/>
      </c>
      <c r="Y654" s="40" t="str">
        <f>TEXT(Table1[[#This Row],[YEAR]],"0000")&amp;"-"&amp;Table1[[#This Row],[MONTH]]</f>
        <v>-</v>
      </c>
    </row>
    <row r="655" spans="1:30" ht="15" customHeight="1" x14ac:dyDescent="0.35">
      <c r="A655" s="24"/>
      <c r="B655" s="38"/>
      <c r="C655" s="38"/>
      <c r="D655" s="38"/>
      <c r="E655" s="37"/>
      <c r="F655" s="38"/>
      <c r="G655" s="198"/>
      <c r="H655" s="198"/>
      <c r="I655" s="39"/>
      <c r="J655" s="38"/>
      <c r="K655" s="198"/>
      <c r="L655" s="38"/>
      <c r="M655" s="38"/>
      <c r="N655" s="38"/>
      <c r="O655" s="38"/>
      <c r="P655" s="40" t="str" cm="1">
        <f t="array" ref="P655">IF(N655="","",IFERROR(_xlfn.XLOOKUP(F655&amp;"|"&amp;J655&amp;"|"&amp;O655,PRICES!$C$2:$C$659&amp;"|"&amp;PRICES!$B$2:$B$659&amp;"|"&amp;PRICES!$D$2:$D$659,PRICES!$E$2:$E$659),"Not Found"))</f>
        <v/>
      </c>
      <c r="Q655" s="100" t="str">
        <f>IF(N655=0,"",SUMIFS(PRICES!$G$2:$G$658,PRICES!$B$2:$B$658,'MAIN TABLE-1 AUTOMATED'!J655,PRICES!$C$2:$C$658,'MAIN TABLE-1 AUTOMATED'!F655,PRICES!$D$2:$D$658,'MAIN TABLE-1 AUTOMATED'!O655))</f>
        <v/>
      </c>
      <c r="R655" s="41" t="str">
        <f>IF(Table1[[#This Row],[QUANTITY]]=0,"",Table1[[#This Row],[UNIT PRICE]]*Table1[[#This Row],[QUANTITY]])</f>
        <v/>
      </c>
      <c r="S655" s="89"/>
      <c r="T655" s="38"/>
      <c r="U655" s="43"/>
      <c r="V655" s="42" t="str">
        <f>IF(Table1[[#This Row],[DATE]]=0,"",YEAR(E655))</f>
        <v/>
      </c>
      <c r="W655" s="40" t="str">
        <f t="shared" si="20"/>
        <v/>
      </c>
      <c r="X655" s="40" t="str">
        <f t="shared" si="21"/>
        <v/>
      </c>
      <c r="Y655" s="40" t="str">
        <f>TEXT(Table1[[#This Row],[YEAR]],"0000")&amp;"-"&amp;Table1[[#This Row],[MONTH]]</f>
        <v>-</v>
      </c>
    </row>
    <row r="656" spans="1:30" ht="15" customHeight="1" x14ac:dyDescent="0.35">
      <c r="A656" s="24"/>
      <c r="B656" s="38"/>
      <c r="C656" s="38"/>
      <c r="D656" s="38"/>
      <c r="E656" s="37"/>
      <c r="F656" s="38"/>
      <c r="G656" s="198"/>
      <c r="H656" s="198"/>
      <c r="I656" s="39"/>
      <c r="J656" s="38"/>
      <c r="K656" s="198"/>
      <c r="L656" s="38"/>
      <c r="M656" s="38"/>
      <c r="N656" s="38"/>
      <c r="O656" s="38"/>
      <c r="P656" s="40" t="str" cm="1">
        <f t="array" ref="P656">IF(N656="","",IFERROR(_xlfn.XLOOKUP(F656&amp;"|"&amp;J656&amp;"|"&amp;O656,PRICES!$C$2:$C$659&amp;"|"&amp;PRICES!$B$2:$B$659&amp;"|"&amp;PRICES!$D$2:$D$659,PRICES!$E$2:$E$659),"Not Found"))</f>
        <v/>
      </c>
      <c r="Q656" s="100" t="str">
        <f>IF(N656=0,"",SUMIFS(PRICES!$G$2:$G$658,PRICES!$B$2:$B$658,'MAIN TABLE-1 AUTOMATED'!J656,PRICES!$C$2:$C$658,'MAIN TABLE-1 AUTOMATED'!F656,PRICES!$D$2:$D$658,'MAIN TABLE-1 AUTOMATED'!O656))</f>
        <v/>
      </c>
      <c r="R656" s="41" t="str">
        <f>IF(Table1[[#This Row],[QUANTITY]]=0,"",Table1[[#This Row],[UNIT PRICE]]*Table1[[#This Row],[QUANTITY]])</f>
        <v/>
      </c>
      <c r="S656" s="89"/>
      <c r="T656" s="38"/>
      <c r="U656" s="43"/>
      <c r="V656" s="42" t="str">
        <f>IF(Table1[[#This Row],[DATE]]=0,"",YEAR(E656))</f>
        <v/>
      </c>
      <c r="W656" s="40" t="str">
        <f t="shared" si="20"/>
        <v/>
      </c>
      <c r="X656" s="40" t="str">
        <f t="shared" si="21"/>
        <v/>
      </c>
      <c r="Y656" s="40" t="str">
        <f>TEXT(Table1[[#This Row],[YEAR]],"0000")&amp;"-"&amp;Table1[[#This Row],[MONTH]]</f>
        <v>-</v>
      </c>
    </row>
    <row r="657" spans="1:25" ht="15" customHeight="1" x14ac:dyDescent="0.35">
      <c r="A657" s="24"/>
      <c r="B657" s="38"/>
      <c r="C657" s="38"/>
      <c r="D657" s="38"/>
      <c r="E657" s="37"/>
      <c r="F657" s="38"/>
      <c r="G657" s="198"/>
      <c r="H657" s="198"/>
      <c r="I657" s="39"/>
      <c r="J657" s="38"/>
      <c r="K657" s="198"/>
      <c r="L657" s="38"/>
      <c r="M657" s="38"/>
      <c r="N657" s="38"/>
      <c r="O657" s="38"/>
      <c r="P657" s="40" t="str" cm="1">
        <f t="array" ref="P657">IF(N657="","",IFERROR(_xlfn.XLOOKUP(F657&amp;"|"&amp;J657&amp;"|"&amp;O657,PRICES!$C$2:$C$659&amp;"|"&amp;PRICES!$B$2:$B$659&amp;"|"&amp;PRICES!$D$2:$D$659,PRICES!$E$2:$E$659),"Not Found"))</f>
        <v/>
      </c>
      <c r="Q657" s="100" t="str">
        <f>IF(N657=0,"",SUMIFS(PRICES!$G$2:$G$658,PRICES!$B$2:$B$658,'MAIN TABLE-1 AUTOMATED'!J657,PRICES!$C$2:$C$658,'MAIN TABLE-1 AUTOMATED'!F657,PRICES!$D$2:$D$658,'MAIN TABLE-1 AUTOMATED'!O657))</f>
        <v/>
      </c>
      <c r="R657" s="41" t="str">
        <f>IF(Table1[[#This Row],[QUANTITY]]=0,"",Table1[[#This Row],[UNIT PRICE]]*Table1[[#This Row],[QUANTITY]])</f>
        <v/>
      </c>
      <c r="S657" s="89"/>
      <c r="T657" s="38"/>
      <c r="U657" s="43"/>
      <c r="V657" s="42" t="str">
        <f>IF(Table1[[#This Row],[DATE]]=0,"",YEAR(E657))</f>
        <v/>
      </c>
      <c r="W657" s="40" t="str">
        <f t="shared" si="20"/>
        <v/>
      </c>
      <c r="X657" s="40" t="str">
        <f t="shared" si="21"/>
        <v/>
      </c>
      <c r="Y657" s="40" t="str">
        <f>TEXT(Table1[[#This Row],[YEAR]],"0000")&amp;"-"&amp;Table1[[#This Row],[MONTH]]</f>
        <v>-</v>
      </c>
    </row>
    <row r="658" spans="1:25" ht="15" customHeight="1" x14ac:dyDescent="0.35">
      <c r="A658" s="24"/>
      <c r="B658" s="38"/>
      <c r="C658" s="38"/>
      <c r="D658" s="38"/>
      <c r="E658" s="37"/>
      <c r="F658" s="38"/>
      <c r="G658" s="198"/>
      <c r="H658" s="198"/>
      <c r="I658" s="39"/>
      <c r="J658" s="38"/>
      <c r="K658" s="198"/>
      <c r="L658" s="38"/>
      <c r="M658" s="38"/>
      <c r="N658" s="38"/>
      <c r="O658" s="38"/>
      <c r="P658" s="40" t="str" cm="1">
        <f t="array" ref="P658">IF(N658="","",IFERROR(_xlfn.XLOOKUP(F658&amp;"|"&amp;J658&amp;"|"&amp;O658,PRICES!$C$2:$C$659&amp;"|"&amp;PRICES!$B$2:$B$659&amp;"|"&amp;PRICES!$D$2:$D$659,PRICES!$E$2:$E$659),"Not Found"))</f>
        <v/>
      </c>
      <c r="Q658" s="100" t="str">
        <f>IF(N658=0,"",SUMIFS(PRICES!$G$2:$G$658,PRICES!$B$2:$B$658,'MAIN TABLE-1 AUTOMATED'!J658,PRICES!$C$2:$C$658,'MAIN TABLE-1 AUTOMATED'!F658,PRICES!$D$2:$D$658,'MAIN TABLE-1 AUTOMATED'!O658))</f>
        <v/>
      </c>
      <c r="R658" s="41" t="str">
        <f>IF(Table1[[#This Row],[QUANTITY]]=0,"",Table1[[#This Row],[UNIT PRICE]]*Table1[[#This Row],[QUANTITY]])</f>
        <v/>
      </c>
      <c r="S658" s="89"/>
      <c r="T658" s="38"/>
      <c r="U658" s="43"/>
      <c r="V658" s="42" t="str">
        <f>IF(Table1[[#This Row],[DATE]]=0,"",YEAR(E658))</f>
        <v/>
      </c>
      <c r="W658" s="40" t="str">
        <f t="shared" si="20"/>
        <v/>
      </c>
      <c r="X658" s="40" t="str">
        <f t="shared" si="21"/>
        <v/>
      </c>
      <c r="Y658" s="40" t="str">
        <f>TEXT(Table1[[#This Row],[YEAR]],"0000")&amp;"-"&amp;Table1[[#This Row],[MONTH]]</f>
        <v>-</v>
      </c>
    </row>
    <row r="659" spans="1:25" ht="15" customHeight="1" x14ac:dyDescent="0.35">
      <c r="A659" s="24"/>
      <c r="B659" s="38"/>
      <c r="C659" s="38"/>
      <c r="D659" s="38"/>
      <c r="E659" s="37"/>
      <c r="F659" s="38"/>
      <c r="G659" s="198"/>
      <c r="H659" s="198"/>
      <c r="I659" s="39"/>
      <c r="J659" s="38"/>
      <c r="K659" s="198"/>
      <c r="L659" s="38"/>
      <c r="M659" s="38"/>
      <c r="N659" s="38"/>
      <c r="O659" s="38"/>
      <c r="P659" s="40" t="str" cm="1">
        <f t="array" ref="P659">IF(N659="","",IFERROR(_xlfn.XLOOKUP(F659&amp;"|"&amp;J659&amp;"|"&amp;O659,PRICES!$C$2:$C$659&amp;"|"&amp;PRICES!$B$2:$B$659&amp;"|"&amp;PRICES!$D$2:$D$659,PRICES!$E$2:$E$659),"Not Found"))</f>
        <v/>
      </c>
      <c r="Q659" s="100" t="str">
        <f>IF(N659=0,"",SUMIFS(PRICES!$G$2:$G$658,PRICES!$B$2:$B$658,'MAIN TABLE-1 AUTOMATED'!J659,PRICES!$C$2:$C$658,'MAIN TABLE-1 AUTOMATED'!F659,PRICES!$D$2:$D$658,'MAIN TABLE-1 AUTOMATED'!O659))</f>
        <v/>
      </c>
      <c r="R659" s="41" t="str">
        <f>IF(Table1[[#This Row],[QUANTITY]]=0,"",Table1[[#This Row],[UNIT PRICE]]*Table1[[#This Row],[QUANTITY]])</f>
        <v/>
      </c>
      <c r="S659" s="89"/>
      <c r="T659" s="38"/>
      <c r="U659" s="43"/>
      <c r="V659" s="42" t="str">
        <f>IF(Table1[[#This Row],[DATE]]=0,"",YEAR(E659))</f>
        <v/>
      </c>
      <c r="W659" s="40" t="str">
        <f t="shared" si="20"/>
        <v/>
      </c>
      <c r="X659" s="40" t="str">
        <f t="shared" si="21"/>
        <v/>
      </c>
      <c r="Y659" s="40" t="str">
        <f>TEXT(Table1[[#This Row],[YEAR]],"0000")&amp;"-"&amp;Table1[[#This Row],[MONTH]]</f>
        <v>-</v>
      </c>
    </row>
    <row r="660" spans="1:25" ht="15" customHeight="1" x14ac:dyDescent="0.35">
      <c r="A660" s="24"/>
      <c r="B660" s="38"/>
      <c r="C660" s="38"/>
      <c r="D660" s="38"/>
      <c r="E660" s="37"/>
      <c r="F660" s="38"/>
      <c r="G660" s="198"/>
      <c r="H660" s="198"/>
      <c r="I660" s="39"/>
      <c r="J660" s="38"/>
      <c r="K660" s="198"/>
      <c r="L660" s="38"/>
      <c r="M660" s="38"/>
      <c r="N660" s="38"/>
      <c r="O660" s="38"/>
      <c r="P660" s="40" t="str" cm="1">
        <f t="array" ref="P660">IF(N660="","",IFERROR(_xlfn.XLOOKUP(F660&amp;"|"&amp;J660&amp;"|"&amp;O660,PRICES!$C$2:$C$659&amp;"|"&amp;PRICES!$B$2:$B$659&amp;"|"&amp;PRICES!$D$2:$D$659,PRICES!$E$2:$E$659),"Not Found"))</f>
        <v/>
      </c>
      <c r="Q660" s="100" t="str">
        <f>IF(N660=0,"",SUMIFS(PRICES!$G$2:$G$658,PRICES!$B$2:$B$658,'MAIN TABLE-1 AUTOMATED'!J660,PRICES!$C$2:$C$658,'MAIN TABLE-1 AUTOMATED'!F660,PRICES!$D$2:$D$658,'MAIN TABLE-1 AUTOMATED'!O660))</f>
        <v/>
      </c>
      <c r="R660" s="41" t="str">
        <f>IF(Table1[[#This Row],[QUANTITY]]=0,"",Table1[[#This Row],[UNIT PRICE]]*Table1[[#This Row],[QUANTITY]])</f>
        <v/>
      </c>
      <c r="S660" s="89"/>
      <c r="T660" s="38"/>
      <c r="U660" s="43"/>
      <c r="V660" s="42" t="str">
        <f>IF(Table1[[#This Row],[DATE]]=0,"",YEAR(E660))</f>
        <v/>
      </c>
      <c r="W660" s="40" t="str">
        <f t="shared" si="20"/>
        <v/>
      </c>
      <c r="X660" s="40" t="str">
        <f t="shared" si="21"/>
        <v/>
      </c>
      <c r="Y660" s="40" t="str">
        <f>TEXT(Table1[[#This Row],[YEAR]],"0000")&amp;"-"&amp;Table1[[#This Row],[MONTH]]</f>
        <v>-</v>
      </c>
    </row>
    <row r="661" spans="1:25" ht="15" customHeight="1" x14ac:dyDescent="0.35">
      <c r="A661" s="24"/>
      <c r="B661" s="38"/>
      <c r="C661" s="38"/>
      <c r="D661" s="38"/>
      <c r="E661" s="37"/>
      <c r="F661" s="38"/>
      <c r="G661" s="198"/>
      <c r="H661" s="198"/>
      <c r="I661" s="39"/>
      <c r="J661" s="38"/>
      <c r="K661" s="198"/>
      <c r="L661" s="38"/>
      <c r="M661" s="38"/>
      <c r="N661" s="38"/>
      <c r="O661" s="38"/>
      <c r="P661" s="40" t="str" cm="1">
        <f t="array" ref="P661">IF(N661="","",IFERROR(_xlfn.XLOOKUP(F661&amp;"|"&amp;J661&amp;"|"&amp;O661,PRICES!$C$2:$C$659&amp;"|"&amp;PRICES!$B$2:$B$659&amp;"|"&amp;PRICES!$D$2:$D$659,PRICES!$E$2:$E$659),"Not Found"))</f>
        <v/>
      </c>
      <c r="Q661" s="100" t="str">
        <f>IF(N661=0,"",SUMIFS(PRICES!$G$2:$G$658,PRICES!$B$2:$B$658,'MAIN TABLE-1 AUTOMATED'!J661,PRICES!$C$2:$C$658,'MAIN TABLE-1 AUTOMATED'!F661,PRICES!$D$2:$D$658,'MAIN TABLE-1 AUTOMATED'!O661))</f>
        <v/>
      </c>
      <c r="R661" s="41" t="str">
        <f>IF(Table1[[#This Row],[QUANTITY]]=0,"",Table1[[#This Row],[UNIT PRICE]]*Table1[[#This Row],[QUANTITY]])</f>
        <v/>
      </c>
      <c r="S661" s="89"/>
      <c r="T661" s="38"/>
      <c r="U661" s="43"/>
      <c r="V661" s="42" t="str">
        <f>IF(Table1[[#This Row],[DATE]]=0,"",YEAR(E661))</f>
        <v/>
      </c>
      <c r="W661" s="40" t="str">
        <f t="shared" si="20"/>
        <v/>
      </c>
      <c r="X661" s="40" t="str">
        <f t="shared" si="21"/>
        <v/>
      </c>
      <c r="Y661" s="40" t="str">
        <f>TEXT(Table1[[#This Row],[YEAR]],"0000")&amp;"-"&amp;Table1[[#This Row],[MONTH]]</f>
        <v>-</v>
      </c>
    </row>
    <row r="662" spans="1:25" ht="15" customHeight="1" x14ac:dyDescent="0.35">
      <c r="A662" s="24"/>
      <c r="B662" s="38"/>
      <c r="C662" s="38"/>
      <c r="D662" s="38"/>
      <c r="E662" s="37"/>
      <c r="F662" s="38"/>
      <c r="G662" s="198"/>
      <c r="H662" s="198"/>
      <c r="I662" s="39"/>
      <c r="J662" s="38"/>
      <c r="K662" s="198"/>
      <c r="L662" s="38"/>
      <c r="M662" s="38"/>
      <c r="N662" s="38"/>
      <c r="O662" s="38"/>
      <c r="P662" s="40" t="str" cm="1">
        <f t="array" ref="P662">IF(N662="","",IFERROR(_xlfn.XLOOKUP(F662&amp;"|"&amp;J662&amp;"|"&amp;O662,PRICES!$C$2:$C$659&amp;"|"&amp;PRICES!$B$2:$B$659&amp;"|"&amp;PRICES!$D$2:$D$659,PRICES!$E$2:$E$659),"Not Found"))</f>
        <v/>
      </c>
      <c r="Q662" s="100" t="str">
        <f>IF(N662=0,"",SUMIFS(PRICES!$G$2:$G$658,PRICES!$B$2:$B$658,'MAIN TABLE-1 AUTOMATED'!J662,PRICES!$C$2:$C$658,'MAIN TABLE-1 AUTOMATED'!F662,PRICES!$D$2:$D$658,'MAIN TABLE-1 AUTOMATED'!O662))</f>
        <v/>
      </c>
      <c r="R662" s="41" t="str">
        <f>IF(Table1[[#This Row],[QUANTITY]]=0,"",Table1[[#This Row],[UNIT PRICE]]*Table1[[#This Row],[QUANTITY]])</f>
        <v/>
      </c>
      <c r="S662" s="89"/>
      <c r="T662" s="38"/>
      <c r="U662" s="43"/>
      <c r="V662" s="42" t="str">
        <f>IF(Table1[[#This Row],[DATE]]=0,"",YEAR(E662))</f>
        <v/>
      </c>
      <c r="W662" s="40" t="str">
        <f t="shared" si="20"/>
        <v/>
      </c>
      <c r="X662" s="40" t="str">
        <f t="shared" si="21"/>
        <v/>
      </c>
      <c r="Y662" s="40" t="str">
        <f>TEXT(Table1[[#This Row],[YEAR]],"0000")&amp;"-"&amp;Table1[[#This Row],[MONTH]]</f>
        <v>-</v>
      </c>
    </row>
    <row r="663" spans="1:25" ht="15" customHeight="1" x14ac:dyDescent="0.35">
      <c r="A663" s="24"/>
      <c r="B663" s="38"/>
      <c r="C663" s="38"/>
      <c r="D663" s="38"/>
      <c r="E663" s="37"/>
      <c r="F663" s="38"/>
      <c r="G663" s="198"/>
      <c r="H663" s="198"/>
      <c r="I663" s="39"/>
      <c r="J663" s="38"/>
      <c r="K663" s="198"/>
      <c r="L663" s="38"/>
      <c r="M663" s="38"/>
      <c r="N663" s="38"/>
      <c r="O663" s="38"/>
      <c r="P663" s="40" t="str" cm="1">
        <f t="array" ref="P663">IF(N663="","",IFERROR(_xlfn.XLOOKUP(F663&amp;"|"&amp;J663&amp;"|"&amp;O663,PRICES!$C$2:$C$659&amp;"|"&amp;PRICES!$B$2:$B$659&amp;"|"&amp;PRICES!$D$2:$D$659,PRICES!$E$2:$E$659),"Not Found"))</f>
        <v/>
      </c>
      <c r="Q663" s="100" t="str">
        <f>IF(N663=0,"",SUMIFS(PRICES!$G$2:$G$658,PRICES!$B$2:$B$658,'MAIN TABLE-1 AUTOMATED'!J663,PRICES!$C$2:$C$658,'MAIN TABLE-1 AUTOMATED'!F663,PRICES!$D$2:$D$658,'MAIN TABLE-1 AUTOMATED'!O663))</f>
        <v/>
      </c>
      <c r="R663" s="41" t="str">
        <f>IF(Table1[[#This Row],[QUANTITY]]=0,"",Table1[[#This Row],[UNIT PRICE]]*Table1[[#This Row],[QUANTITY]])</f>
        <v/>
      </c>
      <c r="S663" s="89"/>
      <c r="T663" s="38"/>
      <c r="U663" s="43"/>
      <c r="V663" s="42" t="str">
        <f>IF(Table1[[#This Row],[DATE]]=0,"",YEAR(E663))</f>
        <v/>
      </c>
      <c r="W663" s="40" t="str">
        <f t="shared" si="20"/>
        <v/>
      </c>
      <c r="X663" s="40" t="str">
        <f t="shared" si="21"/>
        <v/>
      </c>
      <c r="Y663" s="40" t="str">
        <f>TEXT(Table1[[#This Row],[YEAR]],"0000")&amp;"-"&amp;Table1[[#This Row],[MONTH]]</f>
        <v>-</v>
      </c>
    </row>
    <row r="664" spans="1:25" ht="15" customHeight="1" x14ac:dyDescent="0.35">
      <c r="A664" s="24"/>
      <c r="B664" s="38"/>
      <c r="C664" s="38"/>
      <c r="D664" s="38"/>
      <c r="E664" s="37"/>
      <c r="F664" s="38"/>
      <c r="G664" s="198"/>
      <c r="H664" s="198"/>
      <c r="I664" s="39"/>
      <c r="J664" s="38"/>
      <c r="K664" s="198"/>
      <c r="L664" s="38"/>
      <c r="M664" s="38"/>
      <c r="N664" s="38"/>
      <c r="O664" s="38"/>
      <c r="P664" s="40" t="str" cm="1">
        <f t="array" ref="P664">IF(N664="","",IFERROR(_xlfn.XLOOKUP(F664&amp;"|"&amp;J664&amp;"|"&amp;O664,PRICES!$C$2:$C$659&amp;"|"&amp;PRICES!$B$2:$B$659&amp;"|"&amp;PRICES!$D$2:$D$659,PRICES!$E$2:$E$659),"Not Found"))</f>
        <v/>
      </c>
      <c r="Q664" s="100" t="str">
        <f>IF(N664=0,"",SUMIFS(PRICES!$G$2:$G$658,PRICES!$B$2:$B$658,'MAIN TABLE-1 AUTOMATED'!J664,PRICES!$C$2:$C$658,'MAIN TABLE-1 AUTOMATED'!F664,PRICES!$D$2:$D$658,'MAIN TABLE-1 AUTOMATED'!O664))</f>
        <v/>
      </c>
      <c r="R664" s="41" t="str">
        <f>IF(Table1[[#This Row],[QUANTITY]]=0,"",Table1[[#This Row],[UNIT PRICE]]*Table1[[#This Row],[QUANTITY]])</f>
        <v/>
      </c>
      <c r="S664" s="89"/>
      <c r="T664" s="38"/>
      <c r="U664" s="43"/>
      <c r="V664" s="42" t="str">
        <f>IF(Table1[[#This Row],[DATE]]=0,"",YEAR(E664))</f>
        <v/>
      </c>
      <c r="W664" s="40" t="str">
        <f t="shared" si="20"/>
        <v/>
      </c>
      <c r="X664" s="40" t="str">
        <f t="shared" si="21"/>
        <v/>
      </c>
      <c r="Y664" s="40" t="str">
        <f>TEXT(Table1[[#This Row],[YEAR]],"0000")&amp;"-"&amp;Table1[[#This Row],[MONTH]]</f>
        <v>-</v>
      </c>
    </row>
    <row r="665" spans="1:25" ht="15" customHeight="1" x14ac:dyDescent="0.35">
      <c r="A665" s="24"/>
      <c r="B665" s="38"/>
      <c r="C665" s="38"/>
      <c r="D665" s="38"/>
      <c r="E665" s="37"/>
      <c r="F665" s="38"/>
      <c r="G665" s="198"/>
      <c r="H665" s="198"/>
      <c r="I665" s="39"/>
      <c r="J665" s="38"/>
      <c r="K665" s="198"/>
      <c r="L665" s="38"/>
      <c r="M665" s="38"/>
      <c r="N665" s="38"/>
      <c r="O665" s="38"/>
      <c r="P665" s="40" t="str" cm="1">
        <f t="array" ref="P665">IF(N665="","",IFERROR(_xlfn.XLOOKUP(F665&amp;"|"&amp;J665&amp;"|"&amp;O665,PRICES!$C$2:$C$659&amp;"|"&amp;PRICES!$B$2:$B$659&amp;"|"&amp;PRICES!$D$2:$D$659,PRICES!$E$2:$E$659),"Not Found"))</f>
        <v/>
      </c>
      <c r="Q665" s="100" t="str">
        <f>IF(N665=0,"",SUMIFS(PRICES!$G$2:$G$658,PRICES!$B$2:$B$658,'MAIN TABLE-1 AUTOMATED'!J665,PRICES!$C$2:$C$658,'MAIN TABLE-1 AUTOMATED'!F665,PRICES!$D$2:$D$658,'MAIN TABLE-1 AUTOMATED'!O665))</f>
        <v/>
      </c>
      <c r="R665" s="41" t="str">
        <f>IF(Table1[[#This Row],[QUANTITY]]=0,"",Table1[[#This Row],[UNIT PRICE]]*Table1[[#This Row],[QUANTITY]])</f>
        <v/>
      </c>
      <c r="S665" s="89"/>
      <c r="T665" s="38"/>
      <c r="U665" s="43"/>
      <c r="V665" s="42" t="str">
        <f>IF(Table1[[#This Row],[DATE]]=0,"",YEAR(E665))</f>
        <v/>
      </c>
      <c r="W665" s="40" t="str">
        <f t="shared" si="20"/>
        <v/>
      </c>
      <c r="X665" s="40" t="str">
        <f t="shared" si="21"/>
        <v/>
      </c>
      <c r="Y665" s="40" t="str">
        <f>TEXT(Table1[[#This Row],[YEAR]],"0000")&amp;"-"&amp;Table1[[#This Row],[MONTH]]</f>
        <v>-</v>
      </c>
    </row>
    <row r="666" spans="1:25" ht="15" customHeight="1" x14ac:dyDescent="0.35">
      <c r="A666" s="24"/>
      <c r="B666" s="38"/>
      <c r="C666" s="38"/>
      <c r="D666" s="38"/>
      <c r="E666" s="37"/>
      <c r="F666" s="38"/>
      <c r="G666" s="198"/>
      <c r="H666" s="198"/>
      <c r="I666" s="39"/>
      <c r="J666" s="38"/>
      <c r="K666" s="198"/>
      <c r="L666" s="38"/>
      <c r="M666" s="38"/>
      <c r="N666" s="38"/>
      <c r="O666" s="38"/>
      <c r="P666" s="40" t="str" cm="1">
        <f t="array" ref="P666">IF(N666="","",IFERROR(_xlfn.XLOOKUP(F666&amp;"|"&amp;J666&amp;"|"&amp;O666,PRICES!$C$2:$C$659&amp;"|"&amp;PRICES!$B$2:$B$659&amp;"|"&amp;PRICES!$D$2:$D$659,PRICES!$E$2:$E$659),"Not Found"))</f>
        <v/>
      </c>
      <c r="Q666" s="100" t="str">
        <f>IF(N666=0,"",SUMIFS(PRICES!$G$2:$G$658,PRICES!$B$2:$B$658,'MAIN TABLE-1 AUTOMATED'!J666,PRICES!$C$2:$C$658,'MAIN TABLE-1 AUTOMATED'!F666,PRICES!$D$2:$D$658,'MAIN TABLE-1 AUTOMATED'!O666))</f>
        <v/>
      </c>
      <c r="R666" s="41" t="str">
        <f>IF(Table1[[#This Row],[QUANTITY]]=0,"",Table1[[#This Row],[UNIT PRICE]]*Table1[[#This Row],[QUANTITY]])</f>
        <v/>
      </c>
      <c r="S666" s="89"/>
      <c r="T666" s="38"/>
      <c r="U666" s="43"/>
      <c r="V666" s="42" t="str">
        <f>IF(Table1[[#This Row],[DATE]]=0,"",YEAR(E666))</f>
        <v/>
      </c>
      <c r="W666" s="40" t="str">
        <f t="shared" si="20"/>
        <v/>
      </c>
      <c r="X666" s="40" t="str">
        <f t="shared" si="21"/>
        <v/>
      </c>
      <c r="Y666" s="40" t="str">
        <f>TEXT(Table1[[#This Row],[YEAR]],"0000")&amp;"-"&amp;Table1[[#This Row],[MONTH]]</f>
        <v>-</v>
      </c>
    </row>
    <row r="667" spans="1:25" ht="15" customHeight="1" x14ac:dyDescent="0.35">
      <c r="A667" s="24"/>
      <c r="B667" s="38"/>
      <c r="C667" s="38"/>
      <c r="D667" s="38"/>
      <c r="E667" s="37"/>
      <c r="F667" s="38"/>
      <c r="G667" s="198"/>
      <c r="H667" s="198"/>
      <c r="I667" s="39"/>
      <c r="J667" s="38"/>
      <c r="K667" s="198"/>
      <c r="L667" s="38"/>
      <c r="M667" s="38"/>
      <c r="N667" s="38"/>
      <c r="O667" s="38"/>
      <c r="P667" s="40" t="str" cm="1">
        <f t="array" ref="P667">IF(N667="","",IFERROR(_xlfn.XLOOKUP(F667&amp;"|"&amp;J667&amp;"|"&amp;O667,PRICES!$C$2:$C$659&amp;"|"&amp;PRICES!$B$2:$B$659&amp;"|"&amp;PRICES!$D$2:$D$659,PRICES!$E$2:$E$659),"Not Found"))</f>
        <v/>
      </c>
      <c r="Q667" s="100" t="str">
        <f>IF(N667=0,"",SUMIFS(PRICES!$G$2:$G$658,PRICES!$B$2:$B$658,'MAIN TABLE-1 AUTOMATED'!J667,PRICES!$C$2:$C$658,'MAIN TABLE-1 AUTOMATED'!F667,PRICES!$D$2:$D$658,'MAIN TABLE-1 AUTOMATED'!O667))</f>
        <v/>
      </c>
      <c r="R667" s="41" t="str">
        <f>IF(Table1[[#This Row],[QUANTITY]]=0,"",Table1[[#This Row],[UNIT PRICE]]*Table1[[#This Row],[QUANTITY]])</f>
        <v/>
      </c>
      <c r="S667" s="89"/>
      <c r="T667" s="38"/>
      <c r="U667" s="43"/>
      <c r="V667" s="42" t="str">
        <f>IF(Table1[[#This Row],[DATE]]=0,"",YEAR(E667))</f>
        <v/>
      </c>
      <c r="W667" s="40" t="str">
        <f t="shared" si="20"/>
        <v/>
      </c>
      <c r="X667" s="40" t="str">
        <f t="shared" si="21"/>
        <v/>
      </c>
      <c r="Y667" s="40" t="str">
        <f>TEXT(Table1[[#This Row],[YEAR]],"0000")&amp;"-"&amp;Table1[[#This Row],[MONTH]]</f>
        <v>-</v>
      </c>
    </row>
    <row r="668" spans="1:25" ht="15" customHeight="1" x14ac:dyDescent="0.35">
      <c r="A668" s="24"/>
      <c r="B668" s="38"/>
      <c r="C668" s="38"/>
      <c r="D668" s="38"/>
      <c r="E668" s="37"/>
      <c r="F668" s="38"/>
      <c r="G668" s="198"/>
      <c r="H668" s="198"/>
      <c r="I668" s="39"/>
      <c r="J668" s="38"/>
      <c r="K668" s="198"/>
      <c r="L668" s="38"/>
      <c r="M668" s="38"/>
      <c r="N668" s="38"/>
      <c r="O668" s="38"/>
      <c r="P668" s="40" t="str" cm="1">
        <f t="array" ref="P668">IF(N668="","",IFERROR(_xlfn.XLOOKUP(F668&amp;"|"&amp;J668&amp;"|"&amp;O668,PRICES!$C$2:$C$659&amp;"|"&amp;PRICES!$B$2:$B$659&amp;"|"&amp;PRICES!$D$2:$D$659,PRICES!$E$2:$E$659),"Not Found"))</f>
        <v/>
      </c>
      <c r="Q668" s="100" t="str">
        <f>IF(N668=0,"",SUMIFS(PRICES!$G$2:$G$658,PRICES!$B$2:$B$658,'MAIN TABLE-1 AUTOMATED'!J668,PRICES!$C$2:$C$658,'MAIN TABLE-1 AUTOMATED'!F668,PRICES!$D$2:$D$658,'MAIN TABLE-1 AUTOMATED'!O668))</f>
        <v/>
      </c>
      <c r="R668" s="41" t="str">
        <f>IF(Table1[[#This Row],[QUANTITY]]=0,"",Table1[[#This Row],[UNIT PRICE]]*Table1[[#This Row],[QUANTITY]])</f>
        <v/>
      </c>
      <c r="S668" s="89"/>
      <c r="T668" s="38"/>
      <c r="U668" s="43"/>
      <c r="V668" s="42" t="str">
        <f>IF(Table1[[#This Row],[DATE]]=0,"",YEAR(E668))</f>
        <v/>
      </c>
      <c r="W668" s="40" t="str">
        <f t="shared" si="20"/>
        <v/>
      </c>
      <c r="X668" s="40" t="str">
        <f t="shared" si="21"/>
        <v/>
      </c>
      <c r="Y668" s="40" t="str">
        <f>TEXT(Table1[[#This Row],[YEAR]],"0000")&amp;"-"&amp;Table1[[#This Row],[MONTH]]</f>
        <v>-</v>
      </c>
    </row>
    <row r="669" spans="1:25" ht="15" customHeight="1" x14ac:dyDescent="0.35">
      <c r="A669" s="24"/>
      <c r="B669" s="38"/>
      <c r="C669" s="38"/>
      <c r="D669" s="38"/>
      <c r="E669" s="37"/>
      <c r="F669" s="38"/>
      <c r="G669" s="198"/>
      <c r="H669" s="198"/>
      <c r="I669" s="39"/>
      <c r="J669" s="38"/>
      <c r="K669" s="198"/>
      <c r="L669" s="38"/>
      <c r="M669" s="38"/>
      <c r="N669" s="38"/>
      <c r="O669" s="38"/>
      <c r="P669" s="40" t="str" cm="1">
        <f t="array" ref="P669">IF(N669="","",IFERROR(_xlfn.XLOOKUP(F669&amp;"|"&amp;J669&amp;"|"&amp;O669,PRICES!$C$2:$C$659&amp;"|"&amp;PRICES!$B$2:$B$659&amp;"|"&amp;PRICES!$D$2:$D$659,PRICES!$E$2:$E$659),"Not Found"))</f>
        <v/>
      </c>
      <c r="Q669" s="100" t="str">
        <f>IF(N669=0,"",SUMIFS(PRICES!$G$2:$G$658,PRICES!$B$2:$B$658,'MAIN TABLE-1 AUTOMATED'!J669,PRICES!$C$2:$C$658,'MAIN TABLE-1 AUTOMATED'!F669,PRICES!$D$2:$D$658,'MAIN TABLE-1 AUTOMATED'!O669))</f>
        <v/>
      </c>
      <c r="R669" s="41" t="str">
        <f>IF(Table1[[#This Row],[QUANTITY]]=0,"",Table1[[#This Row],[UNIT PRICE]]*Table1[[#This Row],[QUANTITY]])</f>
        <v/>
      </c>
      <c r="S669" s="89"/>
      <c r="T669" s="38"/>
      <c r="U669" s="43"/>
      <c r="V669" s="42" t="str">
        <f>IF(Table1[[#This Row],[DATE]]=0,"",YEAR(E669))</f>
        <v/>
      </c>
      <c r="W669" s="40" t="str">
        <f t="shared" si="20"/>
        <v/>
      </c>
      <c r="X669" s="40" t="str">
        <f t="shared" si="21"/>
        <v/>
      </c>
      <c r="Y669" s="40" t="str">
        <f>TEXT(Table1[[#This Row],[YEAR]],"0000")&amp;"-"&amp;Table1[[#This Row],[MONTH]]</f>
        <v>-</v>
      </c>
    </row>
    <row r="670" spans="1:25" ht="15" customHeight="1" x14ac:dyDescent="0.35">
      <c r="A670" s="24"/>
      <c r="B670" s="38"/>
      <c r="C670" s="38"/>
      <c r="D670" s="38"/>
      <c r="E670" s="37"/>
      <c r="F670" s="38"/>
      <c r="G670" s="198"/>
      <c r="H670" s="198"/>
      <c r="I670" s="39"/>
      <c r="J670" s="38"/>
      <c r="K670" s="198"/>
      <c r="L670" s="38"/>
      <c r="M670" s="38"/>
      <c r="N670" s="38"/>
      <c r="O670" s="38"/>
      <c r="P670" s="40" t="str" cm="1">
        <f t="array" ref="P670">IF(N670="","",IFERROR(_xlfn.XLOOKUP(F670&amp;"|"&amp;J670&amp;"|"&amp;O670,PRICES!$C$2:$C$659&amp;"|"&amp;PRICES!$B$2:$B$659&amp;"|"&amp;PRICES!$D$2:$D$659,PRICES!$E$2:$E$659),"Not Found"))</f>
        <v/>
      </c>
      <c r="Q670" s="100" t="str">
        <f>IF(N670=0,"",SUMIFS(PRICES!$G$2:$G$658,PRICES!$B$2:$B$658,'MAIN TABLE-1 AUTOMATED'!J670,PRICES!$C$2:$C$658,'MAIN TABLE-1 AUTOMATED'!F670,PRICES!$D$2:$D$658,'MAIN TABLE-1 AUTOMATED'!O670))</f>
        <v/>
      </c>
      <c r="R670" s="41" t="str">
        <f>IF(Table1[[#This Row],[QUANTITY]]=0,"",Table1[[#This Row],[UNIT PRICE]]*Table1[[#This Row],[QUANTITY]])</f>
        <v/>
      </c>
      <c r="S670" s="89"/>
      <c r="T670" s="38"/>
      <c r="U670" s="43"/>
      <c r="V670" s="42" t="str">
        <f>IF(Table1[[#This Row],[DATE]]=0,"",YEAR(E670))</f>
        <v/>
      </c>
      <c r="W670" s="40" t="str">
        <f t="shared" si="20"/>
        <v/>
      </c>
      <c r="X670" s="40" t="str">
        <f t="shared" si="21"/>
        <v/>
      </c>
      <c r="Y670" s="40" t="str">
        <f>TEXT(Table1[[#This Row],[YEAR]],"0000")&amp;"-"&amp;Table1[[#This Row],[MONTH]]</f>
        <v>-</v>
      </c>
    </row>
    <row r="671" spans="1:25" ht="15" customHeight="1" x14ac:dyDescent="0.35">
      <c r="A671" s="24"/>
      <c r="B671" s="38"/>
      <c r="C671" s="38"/>
      <c r="D671" s="38"/>
      <c r="E671" s="37"/>
      <c r="F671" s="38"/>
      <c r="G671" s="198"/>
      <c r="H671" s="198"/>
      <c r="I671" s="39"/>
      <c r="J671" s="38"/>
      <c r="K671" s="198"/>
      <c r="L671" s="38"/>
      <c r="M671" s="38"/>
      <c r="N671" s="38"/>
      <c r="O671" s="38"/>
      <c r="P671" s="40" t="str" cm="1">
        <f t="array" ref="P671">IF(N671="","",IFERROR(_xlfn.XLOOKUP(F671&amp;"|"&amp;J671&amp;"|"&amp;O671,PRICES!$C$2:$C$659&amp;"|"&amp;PRICES!$B$2:$B$659&amp;"|"&amp;PRICES!$D$2:$D$659,PRICES!$E$2:$E$659),"Not Found"))</f>
        <v/>
      </c>
      <c r="Q671" s="100" t="str">
        <f>IF(N671=0,"",SUMIFS(PRICES!$G$2:$G$658,PRICES!$B$2:$B$658,'MAIN TABLE-1 AUTOMATED'!J671,PRICES!$C$2:$C$658,'MAIN TABLE-1 AUTOMATED'!F671,PRICES!$D$2:$D$658,'MAIN TABLE-1 AUTOMATED'!O671))</f>
        <v/>
      </c>
      <c r="R671" s="41" t="str">
        <f>IF(Table1[[#This Row],[QUANTITY]]=0,"",Table1[[#This Row],[UNIT PRICE]]*Table1[[#This Row],[QUANTITY]])</f>
        <v/>
      </c>
      <c r="S671" s="89"/>
      <c r="T671" s="38"/>
      <c r="U671" s="43"/>
      <c r="V671" s="42" t="str">
        <f>IF(Table1[[#This Row],[DATE]]=0,"",YEAR(E671))</f>
        <v/>
      </c>
      <c r="W671" s="40" t="str">
        <f t="shared" ref="W671:W734" si="22">IF(E671=0,"",MONTH(E671))</f>
        <v/>
      </c>
      <c r="X671" s="40" t="str">
        <f t="shared" ref="X671:X734" si="23">IF(E671=0,"",WEEKNUM(E671))</f>
        <v/>
      </c>
      <c r="Y671" s="40" t="str">
        <f>TEXT(Table1[[#This Row],[YEAR]],"0000")&amp;"-"&amp;Table1[[#This Row],[MONTH]]</f>
        <v>-</v>
      </c>
    </row>
    <row r="672" spans="1:25" ht="15" customHeight="1" x14ac:dyDescent="0.35">
      <c r="A672" s="24"/>
      <c r="B672" s="38"/>
      <c r="C672" s="38"/>
      <c r="D672" s="38"/>
      <c r="E672" s="37"/>
      <c r="F672" s="38"/>
      <c r="G672" s="198"/>
      <c r="H672" s="198"/>
      <c r="I672" s="39"/>
      <c r="J672" s="38"/>
      <c r="K672" s="198"/>
      <c r="L672" s="38"/>
      <c r="M672" s="38"/>
      <c r="N672" s="38"/>
      <c r="O672" s="38"/>
      <c r="P672" s="40" t="str" cm="1">
        <f t="array" ref="P672">IF(N672="","",IFERROR(_xlfn.XLOOKUP(F672&amp;"|"&amp;J672&amp;"|"&amp;O672,PRICES!$C$2:$C$659&amp;"|"&amp;PRICES!$B$2:$B$659&amp;"|"&amp;PRICES!$D$2:$D$659,PRICES!$E$2:$E$659),"Not Found"))</f>
        <v/>
      </c>
      <c r="Q672" s="100" t="str">
        <f>IF(N672=0,"",SUMIFS(PRICES!$G$2:$G$658,PRICES!$B$2:$B$658,'MAIN TABLE-1 AUTOMATED'!J672,PRICES!$C$2:$C$658,'MAIN TABLE-1 AUTOMATED'!F672,PRICES!$D$2:$D$658,'MAIN TABLE-1 AUTOMATED'!O672))</f>
        <v/>
      </c>
      <c r="R672" s="41" t="str">
        <f>IF(Table1[[#This Row],[QUANTITY]]=0,"",Table1[[#This Row],[UNIT PRICE]]*Table1[[#This Row],[QUANTITY]])</f>
        <v/>
      </c>
      <c r="S672" s="89"/>
      <c r="T672" s="38"/>
      <c r="U672" s="43"/>
      <c r="V672" s="42" t="str">
        <f>IF(Table1[[#This Row],[DATE]]=0,"",YEAR(E672))</f>
        <v/>
      </c>
      <c r="W672" s="40" t="str">
        <f t="shared" si="22"/>
        <v/>
      </c>
      <c r="X672" s="40" t="str">
        <f t="shared" si="23"/>
        <v/>
      </c>
      <c r="Y672" s="40" t="str">
        <f>TEXT(Table1[[#This Row],[YEAR]],"0000")&amp;"-"&amp;Table1[[#This Row],[MONTH]]</f>
        <v>-</v>
      </c>
    </row>
    <row r="673" spans="1:25" ht="15" customHeight="1" x14ac:dyDescent="0.35">
      <c r="A673" s="24"/>
      <c r="B673" s="38"/>
      <c r="C673" s="38"/>
      <c r="D673" s="38"/>
      <c r="E673" s="37"/>
      <c r="F673" s="38"/>
      <c r="G673" s="198"/>
      <c r="H673" s="198"/>
      <c r="I673" s="39"/>
      <c r="J673" s="38"/>
      <c r="K673" s="198"/>
      <c r="L673" s="38"/>
      <c r="M673" s="38"/>
      <c r="N673" s="38"/>
      <c r="O673" s="38"/>
      <c r="P673" s="40" t="str" cm="1">
        <f t="array" ref="P673">IF(N673="","",IFERROR(_xlfn.XLOOKUP(F673&amp;"|"&amp;J673&amp;"|"&amp;O673,PRICES!$C$2:$C$659&amp;"|"&amp;PRICES!$B$2:$B$659&amp;"|"&amp;PRICES!$D$2:$D$659,PRICES!$E$2:$E$659),"Not Found"))</f>
        <v/>
      </c>
      <c r="Q673" s="100" t="str">
        <f>IF(N673=0,"",SUMIFS(PRICES!$G$2:$G$658,PRICES!$B$2:$B$658,'MAIN TABLE-1 AUTOMATED'!J673,PRICES!$C$2:$C$658,'MAIN TABLE-1 AUTOMATED'!F673,PRICES!$D$2:$D$658,'MAIN TABLE-1 AUTOMATED'!O673))</f>
        <v/>
      </c>
      <c r="R673" s="41" t="str">
        <f>IF(Table1[[#This Row],[QUANTITY]]=0,"",Table1[[#This Row],[UNIT PRICE]]*Table1[[#This Row],[QUANTITY]])</f>
        <v/>
      </c>
      <c r="S673" s="89"/>
      <c r="T673" s="38"/>
      <c r="U673" s="43"/>
      <c r="V673" s="42" t="str">
        <f>IF(Table1[[#This Row],[DATE]]=0,"",YEAR(E673))</f>
        <v/>
      </c>
      <c r="W673" s="40" t="str">
        <f t="shared" si="22"/>
        <v/>
      </c>
      <c r="X673" s="40" t="str">
        <f t="shared" si="23"/>
        <v/>
      </c>
      <c r="Y673" s="40" t="str">
        <f>TEXT(Table1[[#This Row],[YEAR]],"0000")&amp;"-"&amp;Table1[[#This Row],[MONTH]]</f>
        <v>-</v>
      </c>
    </row>
    <row r="674" spans="1:25" ht="15" customHeight="1" x14ac:dyDescent="0.35">
      <c r="A674" s="24"/>
      <c r="B674" s="38"/>
      <c r="C674" s="38"/>
      <c r="D674" s="38"/>
      <c r="E674" s="37"/>
      <c r="F674" s="38"/>
      <c r="G674" s="198"/>
      <c r="H674" s="198"/>
      <c r="I674" s="39"/>
      <c r="J674" s="38"/>
      <c r="K674" s="198"/>
      <c r="L674" s="38"/>
      <c r="M674" s="38"/>
      <c r="N674" s="38"/>
      <c r="O674" s="38"/>
      <c r="P674" s="40" t="str" cm="1">
        <f t="array" ref="P674">IF(N674="","",IFERROR(_xlfn.XLOOKUP(F674&amp;"|"&amp;J674&amp;"|"&amp;O674,PRICES!$C$2:$C$659&amp;"|"&amp;PRICES!$B$2:$B$659&amp;"|"&amp;PRICES!$D$2:$D$659,PRICES!$E$2:$E$659),"Not Found"))</f>
        <v/>
      </c>
      <c r="Q674" s="100" t="str">
        <f>IF(N674=0,"",SUMIFS(PRICES!$G$2:$G$658,PRICES!$B$2:$B$658,'MAIN TABLE-1 AUTOMATED'!J674,PRICES!$C$2:$C$658,'MAIN TABLE-1 AUTOMATED'!F674,PRICES!$D$2:$D$658,'MAIN TABLE-1 AUTOMATED'!O674))</f>
        <v/>
      </c>
      <c r="R674" s="41" t="str">
        <f>IF(Table1[[#This Row],[QUANTITY]]=0,"",Table1[[#This Row],[UNIT PRICE]]*Table1[[#This Row],[QUANTITY]])</f>
        <v/>
      </c>
      <c r="S674" s="89"/>
      <c r="T674" s="38"/>
      <c r="U674" s="43"/>
      <c r="V674" s="42" t="str">
        <f>IF(Table1[[#This Row],[DATE]]=0,"",YEAR(E674))</f>
        <v/>
      </c>
      <c r="W674" s="40" t="str">
        <f t="shared" si="22"/>
        <v/>
      </c>
      <c r="X674" s="40" t="str">
        <f t="shared" si="23"/>
        <v/>
      </c>
      <c r="Y674" s="40" t="str">
        <f>TEXT(Table1[[#This Row],[YEAR]],"0000")&amp;"-"&amp;Table1[[#This Row],[MONTH]]</f>
        <v>-</v>
      </c>
    </row>
    <row r="675" spans="1:25" ht="15" customHeight="1" x14ac:dyDescent="0.35">
      <c r="A675" s="24"/>
      <c r="B675" s="38"/>
      <c r="C675" s="38"/>
      <c r="D675" s="38"/>
      <c r="E675" s="37"/>
      <c r="F675" s="38"/>
      <c r="G675" s="198"/>
      <c r="H675" s="198"/>
      <c r="I675" s="39"/>
      <c r="J675" s="38"/>
      <c r="K675" s="198"/>
      <c r="L675" s="38"/>
      <c r="M675" s="38"/>
      <c r="N675" s="38"/>
      <c r="O675" s="38"/>
      <c r="P675" s="40" t="str" cm="1">
        <f t="array" ref="P675">IF(N675="","",IFERROR(_xlfn.XLOOKUP(F675&amp;"|"&amp;J675&amp;"|"&amp;O675,PRICES!$C$2:$C$659&amp;"|"&amp;PRICES!$B$2:$B$659&amp;"|"&amp;PRICES!$D$2:$D$659,PRICES!$E$2:$E$659),"Not Found"))</f>
        <v/>
      </c>
      <c r="Q675" s="100" t="str">
        <f>IF(N675=0,"",SUMIFS(PRICES!$G$2:$G$658,PRICES!$B$2:$B$658,'MAIN TABLE-1 AUTOMATED'!J675,PRICES!$C$2:$C$658,'MAIN TABLE-1 AUTOMATED'!F675,PRICES!$D$2:$D$658,'MAIN TABLE-1 AUTOMATED'!O675))</f>
        <v/>
      </c>
      <c r="R675" s="41" t="str">
        <f>IF(Table1[[#This Row],[QUANTITY]]=0,"",Table1[[#This Row],[UNIT PRICE]]*Table1[[#This Row],[QUANTITY]])</f>
        <v/>
      </c>
      <c r="S675" s="89"/>
      <c r="T675" s="38"/>
      <c r="U675" s="43"/>
      <c r="V675" s="42" t="str">
        <f>IF(Table1[[#This Row],[DATE]]=0,"",YEAR(E675))</f>
        <v/>
      </c>
      <c r="W675" s="40" t="str">
        <f t="shared" si="22"/>
        <v/>
      </c>
      <c r="X675" s="40" t="str">
        <f t="shared" si="23"/>
        <v/>
      </c>
      <c r="Y675" s="40" t="str">
        <f>TEXT(Table1[[#This Row],[YEAR]],"0000")&amp;"-"&amp;Table1[[#This Row],[MONTH]]</f>
        <v>-</v>
      </c>
    </row>
    <row r="676" spans="1:25" ht="15" customHeight="1" x14ac:dyDescent="0.35">
      <c r="A676" s="24"/>
      <c r="B676" s="38"/>
      <c r="C676" s="38"/>
      <c r="D676" s="38"/>
      <c r="E676" s="37"/>
      <c r="F676" s="38"/>
      <c r="G676" s="198"/>
      <c r="H676" s="198"/>
      <c r="I676" s="39"/>
      <c r="J676" s="38"/>
      <c r="K676" s="198"/>
      <c r="L676" s="38"/>
      <c r="M676" s="38"/>
      <c r="N676" s="38"/>
      <c r="O676" s="38"/>
      <c r="P676" s="40" t="str" cm="1">
        <f t="array" ref="P676">IF(N676="","",IFERROR(_xlfn.XLOOKUP(F676&amp;"|"&amp;J676&amp;"|"&amp;O676,PRICES!$C$2:$C$659&amp;"|"&amp;PRICES!$B$2:$B$659&amp;"|"&amp;PRICES!$D$2:$D$659,PRICES!$E$2:$E$659),"Not Found"))</f>
        <v/>
      </c>
      <c r="Q676" s="100" t="str">
        <f>IF(N676=0,"",SUMIFS(PRICES!$G$2:$G$658,PRICES!$B$2:$B$658,'MAIN TABLE-1 AUTOMATED'!J676,PRICES!$C$2:$C$658,'MAIN TABLE-1 AUTOMATED'!F676,PRICES!$D$2:$D$658,'MAIN TABLE-1 AUTOMATED'!O676))</f>
        <v/>
      </c>
      <c r="R676" s="41" t="str">
        <f>IF(Table1[[#This Row],[QUANTITY]]=0,"",Table1[[#This Row],[UNIT PRICE]]*Table1[[#This Row],[QUANTITY]])</f>
        <v/>
      </c>
      <c r="S676" s="89"/>
      <c r="T676" s="38"/>
      <c r="U676" s="43"/>
      <c r="V676" s="42" t="str">
        <f>IF(Table1[[#This Row],[DATE]]=0,"",YEAR(E676))</f>
        <v/>
      </c>
      <c r="W676" s="40" t="str">
        <f t="shared" si="22"/>
        <v/>
      </c>
      <c r="X676" s="40" t="str">
        <f t="shared" si="23"/>
        <v/>
      </c>
      <c r="Y676" s="40" t="str">
        <f>TEXT(Table1[[#This Row],[YEAR]],"0000")&amp;"-"&amp;Table1[[#This Row],[MONTH]]</f>
        <v>-</v>
      </c>
    </row>
    <row r="677" spans="1:25" ht="15" customHeight="1" x14ac:dyDescent="0.35">
      <c r="A677" s="24"/>
      <c r="B677" s="38"/>
      <c r="C677" s="38"/>
      <c r="D677" s="38"/>
      <c r="E677" s="37"/>
      <c r="F677" s="38"/>
      <c r="G677" s="198"/>
      <c r="H677" s="198"/>
      <c r="I677" s="39"/>
      <c r="J677" s="38"/>
      <c r="K677" s="198"/>
      <c r="L677" s="38"/>
      <c r="M677" s="38"/>
      <c r="N677" s="38"/>
      <c r="O677" s="38"/>
      <c r="P677" s="40" t="str" cm="1">
        <f t="array" ref="P677">IF(N677="","",IFERROR(_xlfn.XLOOKUP(F677&amp;"|"&amp;J677&amp;"|"&amp;O677,PRICES!$C$2:$C$659&amp;"|"&amp;PRICES!$B$2:$B$659&amp;"|"&amp;PRICES!$D$2:$D$659,PRICES!$E$2:$E$659),"Not Found"))</f>
        <v/>
      </c>
      <c r="Q677" s="100" t="str">
        <f>IF(N677=0,"",SUMIFS(PRICES!$G$2:$G$658,PRICES!$B$2:$B$658,'MAIN TABLE-1 AUTOMATED'!J677,PRICES!$C$2:$C$658,'MAIN TABLE-1 AUTOMATED'!F677,PRICES!$D$2:$D$658,'MAIN TABLE-1 AUTOMATED'!O677))</f>
        <v/>
      </c>
      <c r="R677" s="41" t="str">
        <f>IF(Table1[[#This Row],[QUANTITY]]=0,"",Table1[[#This Row],[UNIT PRICE]]*Table1[[#This Row],[QUANTITY]])</f>
        <v/>
      </c>
      <c r="S677" s="89"/>
      <c r="T677" s="38"/>
      <c r="U677" s="43"/>
      <c r="V677" s="42" t="str">
        <f>IF(Table1[[#This Row],[DATE]]=0,"",YEAR(E677))</f>
        <v/>
      </c>
      <c r="W677" s="40" t="str">
        <f t="shared" si="22"/>
        <v/>
      </c>
      <c r="X677" s="40" t="str">
        <f t="shared" si="23"/>
        <v/>
      </c>
      <c r="Y677" s="40" t="str">
        <f>TEXT(Table1[[#This Row],[YEAR]],"0000")&amp;"-"&amp;Table1[[#This Row],[MONTH]]</f>
        <v>-</v>
      </c>
    </row>
    <row r="678" spans="1:25" ht="15" customHeight="1" x14ac:dyDescent="0.35">
      <c r="A678" s="24"/>
      <c r="B678" s="38"/>
      <c r="C678" s="38"/>
      <c r="D678" s="38"/>
      <c r="E678" s="37"/>
      <c r="F678" s="38"/>
      <c r="G678" s="198"/>
      <c r="H678" s="198"/>
      <c r="I678" s="39"/>
      <c r="J678" s="38"/>
      <c r="K678" s="198"/>
      <c r="L678" s="38"/>
      <c r="M678" s="38"/>
      <c r="N678" s="38"/>
      <c r="O678" s="38"/>
      <c r="P678" s="40" t="str" cm="1">
        <f t="array" ref="P678">IF(N678="","",IFERROR(_xlfn.XLOOKUP(F678&amp;"|"&amp;J678&amp;"|"&amp;O678,PRICES!$C$2:$C$659&amp;"|"&amp;PRICES!$B$2:$B$659&amp;"|"&amp;PRICES!$D$2:$D$659,PRICES!$E$2:$E$659),"Not Found"))</f>
        <v/>
      </c>
      <c r="Q678" s="100" t="str">
        <f>IF(N678=0,"",SUMIFS(PRICES!$G$2:$G$658,PRICES!$B$2:$B$658,'MAIN TABLE-1 AUTOMATED'!J678,PRICES!$C$2:$C$658,'MAIN TABLE-1 AUTOMATED'!F678,PRICES!$D$2:$D$658,'MAIN TABLE-1 AUTOMATED'!O678))</f>
        <v/>
      </c>
      <c r="R678" s="41" t="str">
        <f>IF(Table1[[#This Row],[QUANTITY]]=0,"",Table1[[#This Row],[UNIT PRICE]]*Table1[[#This Row],[QUANTITY]])</f>
        <v/>
      </c>
      <c r="S678" s="89"/>
      <c r="T678" s="38"/>
      <c r="U678" s="43"/>
      <c r="V678" s="42" t="str">
        <f>IF(Table1[[#This Row],[DATE]]=0,"",YEAR(E678))</f>
        <v/>
      </c>
      <c r="W678" s="40" t="str">
        <f t="shared" si="22"/>
        <v/>
      </c>
      <c r="X678" s="40" t="str">
        <f t="shared" si="23"/>
        <v/>
      </c>
      <c r="Y678" s="40" t="str">
        <f>TEXT(Table1[[#This Row],[YEAR]],"0000")&amp;"-"&amp;Table1[[#This Row],[MONTH]]</f>
        <v>-</v>
      </c>
    </row>
    <row r="679" spans="1:25" ht="15" customHeight="1" x14ac:dyDescent="0.35">
      <c r="A679" s="24"/>
      <c r="B679" s="38"/>
      <c r="C679" s="38"/>
      <c r="D679" s="38"/>
      <c r="E679" s="37"/>
      <c r="F679" s="38"/>
      <c r="G679" s="198"/>
      <c r="H679" s="198"/>
      <c r="I679" s="39"/>
      <c r="J679" s="38"/>
      <c r="K679" s="198"/>
      <c r="L679" s="38"/>
      <c r="M679" s="38"/>
      <c r="N679" s="38"/>
      <c r="O679" s="38"/>
      <c r="P679" s="40" t="str" cm="1">
        <f t="array" ref="P679">IF(N679="","",IFERROR(_xlfn.XLOOKUP(F679&amp;"|"&amp;J679&amp;"|"&amp;O679,PRICES!$C$2:$C$659&amp;"|"&amp;PRICES!$B$2:$B$659&amp;"|"&amp;PRICES!$D$2:$D$659,PRICES!$E$2:$E$659),"Not Found"))</f>
        <v/>
      </c>
      <c r="Q679" s="100" t="str">
        <f>IF(N679=0,"",SUMIFS(PRICES!$G$2:$G$658,PRICES!$B$2:$B$658,'MAIN TABLE-1 AUTOMATED'!J679,PRICES!$C$2:$C$658,'MAIN TABLE-1 AUTOMATED'!F679,PRICES!$D$2:$D$658,'MAIN TABLE-1 AUTOMATED'!O679))</f>
        <v/>
      </c>
      <c r="R679" s="41" t="str">
        <f>IF(Table1[[#This Row],[QUANTITY]]=0,"",Table1[[#This Row],[UNIT PRICE]]*Table1[[#This Row],[QUANTITY]])</f>
        <v/>
      </c>
      <c r="S679" s="89"/>
      <c r="T679" s="38"/>
      <c r="U679" s="43"/>
      <c r="V679" s="42" t="str">
        <f>IF(Table1[[#This Row],[DATE]]=0,"",YEAR(E679))</f>
        <v/>
      </c>
      <c r="W679" s="40" t="str">
        <f t="shared" si="22"/>
        <v/>
      </c>
      <c r="X679" s="40" t="str">
        <f t="shared" si="23"/>
        <v/>
      </c>
      <c r="Y679" s="40" t="str">
        <f>TEXT(Table1[[#This Row],[YEAR]],"0000")&amp;"-"&amp;Table1[[#This Row],[MONTH]]</f>
        <v>-</v>
      </c>
    </row>
    <row r="680" spans="1:25" ht="15" customHeight="1" x14ac:dyDescent="0.35">
      <c r="A680" s="24"/>
      <c r="B680" s="38"/>
      <c r="C680" s="38"/>
      <c r="D680" s="38"/>
      <c r="E680" s="37"/>
      <c r="F680" s="38"/>
      <c r="G680" s="198"/>
      <c r="H680" s="198"/>
      <c r="I680" s="39"/>
      <c r="J680" s="38"/>
      <c r="K680" s="198"/>
      <c r="L680" s="38"/>
      <c r="M680" s="38"/>
      <c r="N680" s="38"/>
      <c r="O680" s="38"/>
      <c r="P680" s="40" t="str" cm="1">
        <f t="array" ref="P680">IF(N680="","",IFERROR(_xlfn.XLOOKUP(F680&amp;"|"&amp;J680&amp;"|"&amp;O680,PRICES!$C$2:$C$659&amp;"|"&amp;PRICES!$B$2:$B$659&amp;"|"&amp;PRICES!$D$2:$D$659,PRICES!$E$2:$E$659),"Not Found"))</f>
        <v/>
      </c>
      <c r="Q680" s="100" t="str">
        <f>IF(N680=0,"",SUMIFS(PRICES!$G$2:$G$658,PRICES!$B$2:$B$658,'MAIN TABLE-1 AUTOMATED'!J680,PRICES!$C$2:$C$658,'MAIN TABLE-1 AUTOMATED'!F680,PRICES!$D$2:$D$658,'MAIN TABLE-1 AUTOMATED'!O680))</f>
        <v/>
      </c>
      <c r="R680" s="41" t="str">
        <f>IF(Table1[[#This Row],[QUANTITY]]=0,"",Table1[[#This Row],[UNIT PRICE]]*Table1[[#This Row],[QUANTITY]])</f>
        <v/>
      </c>
      <c r="S680" s="89"/>
      <c r="T680" s="38"/>
      <c r="U680" s="43"/>
      <c r="V680" s="42" t="str">
        <f>IF(Table1[[#This Row],[DATE]]=0,"",YEAR(E680))</f>
        <v/>
      </c>
      <c r="W680" s="40" t="str">
        <f t="shared" si="22"/>
        <v/>
      </c>
      <c r="X680" s="40" t="str">
        <f t="shared" si="23"/>
        <v/>
      </c>
      <c r="Y680" s="40" t="str">
        <f>TEXT(Table1[[#This Row],[YEAR]],"0000")&amp;"-"&amp;Table1[[#This Row],[MONTH]]</f>
        <v>-</v>
      </c>
    </row>
    <row r="681" spans="1:25" ht="15" customHeight="1" x14ac:dyDescent="0.35">
      <c r="A681" s="24"/>
      <c r="B681" s="38"/>
      <c r="C681" s="38"/>
      <c r="D681" s="38"/>
      <c r="E681" s="37"/>
      <c r="F681" s="38"/>
      <c r="G681" s="198"/>
      <c r="H681" s="198"/>
      <c r="I681" s="39"/>
      <c r="J681" s="38"/>
      <c r="K681" s="198"/>
      <c r="L681" s="38"/>
      <c r="M681" s="38"/>
      <c r="N681" s="38"/>
      <c r="O681" s="38"/>
      <c r="P681" s="40" t="str" cm="1">
        <f t="array" ref="P681">IF(N681="","",IFERROR(_xlfn.XLOOKUP(F681&amp;"|"&amp;J681&amp;"|"&amp;O681,PRICES!$C$2:$C$659&amp;"|"&amp;PRICES!$B$2:$B$659&amp;"|"&amp;PRICES!$D$2:$D$659,PRICES!$E$2:$E$659),"Not Found"))</f>
        <v/>
      </c>
      <c r="Q681" s="100" t="str">
        <f>IF(N681=0,"",SUMIFS(PRICES!$G$2:$G$658,PRICES!$B$2:$B$658,'MAIN TABLE-1 AUTOMATED'!J681,PRICES!$C$2:$C$658,'MAIN TABLE-1 AUTOMATED'!F681,PRICES!$D$2:$D$658,'MAIN TABLE-1 AUTOMATED'!O681))</f>
        <v/>
      </c>
      <c r="R681" s="41" t="str">
        <f>IF(Table1[[#This Row],[QUANTITY]]=0,"",Table1[[#This Row],[UNIT PRICE]]*Table1[[#This Row],[QUANTITY]])</f>
        <v/>
      </c>
      <c r="S681" s="89"/>
      <c r="T681" s="38"/>
      <c r="U681" s="43"/>
      <c r="V681" s="42" t="str">
        <f>IF(Table1[[#This Row],[DATE]]=0,"",YEAR(E681))</f>
        <v/>
      </c>
      <c r="W681" s="40" t="str">
        <f t="shared" si="22"/>
        <v/>
      </c>
      <c r="X681" s="40" t="str">
        <f t="shared" si="23"/>
        <v/>
      </c>
      <c r="Y681" s="40" t="str">
        <f>TEXT(Table1[[#This Row],[YEAR]],"0000")&amp;"-"&amp;Table1[[#This Row],[MONTH]]</f>
        <v>-</v>
      </c>
    </row>
    <row r="682" spans="1:25" ht="15" customHeight="1" x14ac:dyDescent="0.35">
      <c r="A682" s="24"/>
      <c r="B682" s="38"/>
      <c r="C682" s="38"/>
      <c r="D682" s="38"/>
      <c r="E682" s="37"/>
      <c r="F682" s="38"/>
      <c r="G682" s="198"/>
      <c r="H682" s="198"/>
      <c r="I682" s="39"/>
      <c r="J682" s="38"/>
      <c r="K682" s="198"/>
      <c r="L682" s="38"/>
      <c r="M682" s="38"/>
      <c r="N682" s="38"/>
      <c r="O682" s="38"/>
      <c r="P682" s="40" t="str" cm="1">
        <f t="array" ref="P682">IF(N682="","",IFERROR(_xlfn.XLOOKUP(F682&amp;"|"&amp;J682&amp;"|"&amp;O682,PRICES!$C$2:$C$659&amp;"|"&amp;PRICES!$B$2:$B$659&amp;"|"&amp;PRICES!$D$2:$D$659,PRICES!$E$2:$E$659),"Not Found"))</f>
        <v/>
      </c>
      <c r="Q682" s="100" t="str">
        <f>IF(N682=0,"",SUMIFS(PRICES!$G$2:$G$658,PRICES!$B$2:$B$658,'MAIN TABLE-1 AUTOMATED'!J682,PRICES!$C$2:$C$658,'MAIN TABLE-1 AUTOMATED'!F682,PRICES!$D$2:$D$658,'MAIN TABLE-1 AUTOMATED'!O682))</f>
        <v/>
      </c>
      <c r="R682" s="41" t="str">
        <f>IF(Table1[[#This Row],[QUANTITY]]=0,"",Table1[[#This Row],[UNIT PRICE]]*Table1[[#This Row],[QUANTITY]])</f>
        <v/>
      </c>
      <c r="S682" s="89"/>
      <c r="T682" s="38"/>
      <c r="U682" s="43"/>
      <c r="V682" s="42" t="str">
        <f>IF(Table1[[#This Row],[DATE]]=0,"",YEAR(E682))</f>
        <v/>
      </c>
      <c r="W682" s="40" t="str">
        <f t="shared" si="22"/>
        <v/>
      </c>
      <c r="X682" s="40" t="str">
        <f t="shared" si="23"/>
        <v/>
      </c>
      <c r="Y682" s="40" t="str">
        <f>TEXT(Table1[[#This Row],[YEAR]],"0000")&amp;"-"&amp;Table1[[#This Row],[MONTH]]</f>
        <v>-</v>
      </c>
    </row>
    <row r="683" spans="1:25" ht="15" customHeight="1" x14ac:dyDescent="0.35">
      <c r="A683" s="24"/>
      <c r="B683" s="38"/>
      <c r="C683" s="38"/>
      <c r="D683" s="38"/>
      <c r="E683" s="37"/>
      <c r="F683" s="38"/>
      <c r="G683" s="198"/>
      <c r="H683" s="198"/>
      <c r="I683" s="39"/>
      <c r="J683" s="38"/>
      <c r="K683" s="198"/>
      <c r="L683" s="38"/>
      <c r="M683" s="38"/>
      <c r="N683" s="38"/>
      <c r="O683" s="38"/>
      <c r="P683" s="40" t="str" cm="1">
        <f t="array" ref="P683">IF(N683="","",IFERROR(_xlfn.XLOOKUP(F683&amp;"|"&amp;J683&amp;"|"&amp;O683,PRICES!$C$2:$C$659&amp;"|"&amp;PRICES!$B$2:$B$659&amp;"|"&amp;PRICES!$D$2:$D$659,PRICES!$E$2:$E$659),"Not Found"))</f>
        <v/>
      </c>
      <c r="Q683" s="100" t="str">
        <f>IF(N683=0,"",SUMIFS(PRICES!$G$2:$G$658,PRICES!$B$2:$B$658,'MAIN TABLE-1 AUTOMATED'!J683,PRICES!$C$2:$C$658,'MAIN TABLE-1 AUTOMATED'!F683,PRICES!$D$2:$D$658,'MAIN TABLE-1 AUTOMATED'!O683))</f>
        <v/>
      </c>
      <c r="R683" s="41" t="str">
        <f>IF(Table1[[#This Row],[QUANTITY]]=0,"",Table1[[#This Row],[UNIT PRICE]]*Table1[[#This Row],[QUANTITY]])</f>
        <v/>
      </c>
      <c r="S683" s="89"/>
      <c r="T683" s="38"/>
      <c r="U683" s="43"/>
      <c r="V683" s="42" t="str">
        <f>IF(Table1[[#This Row],[DATE]]=0,"",YEAR(E683))</f>
        <v/>
      </c>
      <c r="W683" s="40" t="str">
        <f t="shared" si="22"/>
        <v/>
      </c>
      <c r="X683" s="40" t="str">
        <f t="shared" si="23"/>
        <v/>
      </c>
      <c r="Y683" s="40" t="str">
        <f>TEXT(Table1[[#This Row],[YEAR]],"0000")&amp;"-"&amp;Table1[[#This Row],[MONTH]]</f>
        <v>-</v>
      </c>
    </row>
    <row r="684" spans="1:25" ht="15" customHeight="1" x14ac:dyDescent="0.35">
      <c r="A684" s="24"/>
      <c r="B684" s="38"/>
      <c r="C684" s="38"/>
      <c r="D684" s="38"/>
      <c r="E684" s="37"/>
      <c r="F684" s="38"/>
      <c r="G684" s="198"/>
      <c r="H684" s="198"/>
      <c r="I684" s="39"/>
      <c r="J684" s="38"/>
      <c r="K684" s="198"/>
      <c r="L684" s="38"/>
      <c r="M684" s="38"/>
      <c r="N684" s="38"/>
      <c r="O684" s="38"/>
      <c r="P684" s="40" t="str" cm="1">
        <f t="array" ref="P684">IF(N684="","",IFERROR(_xlfn.XLOOKUP(F684&amp;"|"&amp;J684&amp;"|"&amp;O684,PRICES!$C$2:$C$659&amp;"|"&amp;PRICES!$B$2:$B$659&amp;"|"&amp;PRICES!$D$2:$D$659,PRICES!$E$2:$E$659),"Not Found"))</f>
        <v/>
      </c>
      <c r="Q684" s="100" t="str">
        <f>IF(N684=0,"",SUMIFS(PRICES!$G$2:$G$658,PRICES!$B$2:$B$658,'MAIN TABLE-1 AUTOMATED'!J684,PRICES!$C$2:$C$658,'MAIN TABLE-1 AUTOMATED'!F684,PRICES!$D$2:$D$658,'MAIN TABLE-1 AUTOMATED'!O684))</f>
        <v/>
      </c>
      <c r="R684" s="41" t="str">
        <f>IF(Table1[[#This Row],[QUANTITY]]=0,"",Table1[[#This Row],[UNIT PRICE]]*Table1[[#This Row],[QUANTITY]])</f>
        <v/>
      </c>
      <c r="S684" s="89"/>
      <c r="T684" s="38"/>
      <c r="U684" s="43"/>
      <c r="V684" s="42" t="str">
        <f>IF(Table1[[#This Row],[DATE]]=0,"",YEAR(E684))</f>
        <v/>
      </c>
      <c r="W684" s="40" t="str">
        <f t="shared" si="22"/>
        <v/>
      </c>
      <c r="X684" s="40" t="str">
        <f t="shared" si="23"/>
        <v/>
      </c>
      <c r="Y684" s="40" t="str">
        <f>TEXT(Table1[[#This Row],[YEAR]],"0000")&amp;"-"&amp;Table1[[#This Row],[MONTH]]</f>
        <v>-</v>
      </c>
    </row>
    <row r="685" spans="1:25" ht="15" customHeight="1" x14ac:dyDescent="0.35">
      <c r="A685" s="24"/>
      <c r="B685" s="38"/>
      <c r="C685" s="38"/>
      <c r="D685" s="38"/>
      <c r="E685" s="37"/>
      <c r="F685" s="38"/>
      <c r="G685" s="198"/>
      <c r="H685" s="198"/>
      <c r="I685" s="39"/>
      <c r="J685" s="38"/>
      <c r="K685" s="198"/>
      <c r="L685" s="38"/>
      <c r="M685" s="38"/>
      <c r="N685" s="38"/>
      <c r="O685" s="38"/>
      <c r="P685" s="40" t="str" cm="1">
        <f t="array" ref="P685">IF(N685="","",IFERROR(_xlfn.XLOOKUP(F685&amp;"|"&amp;J685&amp;"|"&amp;O685,PRICES!$C$2:$C$659&amp;"|"&amp;PRICES!$B$2:$B$659&amp;"|"&amp;PRICES!$D$2:$D$659,PRICES!$E$2:$E$659),"Not Found"))</f>
        <v/>
      </c>
      <c r="Q685" s="100" t="str">
        <f>IF(N685=0,"",SUMIFS(PRICES!$G$2:$G$658,PRICES!$B$2:$B$658,'MAIN TABLE-1 AUTOMATED'!J685,PRICES!$C$2:$C$658,'MAIN TABLE-1 AUTOMATED'!F685,PRICES!$D$2:$D$658,'MAIN TABLE-1 AUTOMATED'!O685))</f>
        <v/>
      </c>
      <c r="R685" s="41" t="str">
        <f>IF(Table1[[#This Row],[QUANTITY]]=0,"",Table1[[#This Row],[UNIT PRICE]]*Table1[[#This Row],[QUANTITY]])</f>
        <v/>
      </c>
      <c r="S685" s="89"/>
      <c r="T685" s="38"/>
      <c r="U685" s="43"/>
      <c r="V685" s="42" t="str">
        <f>IF(Table1[[#This Row],[DATE]]=0,"",YEAR(E685))</f>
        <v/>
      </c>
      <c r="W685" s="40" t="str">
        <f t="shared" si="22"/>
        <v/>
      </c>
      <c r="X685" s="40" t="str">
        <f t="shared" si="23"/>
        <v/>
      </c>
      <c r="Y685" s="40" t="str">
        <f>TEXT(Table1[[#This Row],[YEAR]],"0000")&amp;"-"&amp;Table1[[#This Row],[MONTH]]</f>
        <v>-</v>
      </c>
    </row>
    <row r="686" spans="1:25" ht="15" customHeight="1" x14ac:dyDescent="0.35">
      <c r="A686" s="24"/>
      <c r="B686" s="38"/>
      <c r="C686" s="38"/>
      <c r="D686" s="38"/>
      <c r="E686" s="37"/>
      <c r="F686" s="38"/>
      <c r="G686" s="198"/>
      <c r="H686" s="198"/>
      <c r="I686" s="39"/>
      <c r="J686" s="38"/>
      <c r="K686" s="198"/>
      <c r="L686" s="38"/>
      <c r="M686" s="38"/>
      <c r="N686" s="38"/>
      <c r="O686" s="38"/>
      <c r="P686" s="40" t="str" cm="1">
        <f t="array" ref="P686">IF(N686="","",IFERROR(_xlfn.XLOOKUP(F686&amp;"|"&amp;J686&amp;"|"&amp;O686,PRICES!$C$2:$C$659&amp;"|"&amp;PRICES!$B$2:$B$659&amp;"|"&amp;PRICES!$D$2:$D$659,PRICES!$E$2:$E$659),"Not Found"))</f>
        <v/>
      </c>
      <c r="Q686" s="100" t="str">
        <f>IF(N686=0,"",SUMIFS(PRICES!$G$2:$G$658,PRICES!$B$2:$B$658,'MAIN TABLE-1 AUTOMATED'!J686,PRICES!$C$2:$C$658,'MAIN TABLE-1 AUTOMATED'!F686,PRICES!$D$2:$D$658,'MAIN TABLE-1 AUTOMATED'!O686))</f>
        <v/>
      </c>
      <c r="R686" s="41" t="str">
        <f>IF(Table1[[#This Row],[QUANTITY]]=0,"",Table1[[#This Row],[UNIT PRICE]]*Table1[[#This Row],[QUANTITY]])</f>
        <v/>
      </c>
      <c r="S686" s="89"/>
      <c r="T686" s="38"/>
      <c r="U686" s="43"/>
      <c r="V686" s="42" t="str">
        <f>IF(Table1[[#This Row],[DATE]]=0,"",YEAR(E686))</f>
        <v/>
      </c>
      <c r="W686" s="40" t="str">
        <f t="shared" si="22"/>
        <v/>
      </c>
      <c r="X686" s="40" t="str">
        <f t="shared" si="23"/>
        <v/>
      </c>
      <c r="Y686" s="40" t="str">
        <f>TEXT(Table1[[#This Row],[YEAR]],"0000")&amp;"-"&amp;Table1[[#This Row],[MONTH]]</f>
        <v>-</v>
      </c>
    </row>
    <row r="687" spans="1:25" ht="15" customHeight="1" x14ac:dyDescent="0.35">
      <c r="A687" s="24"/>
      <c r="B687" s="38"/>
      <c r="C687" s="38"/>
      <c r="D687" s="38"/>
      <c r="E687" s="37"/>
      <c r="F687" s="38"/>
      <c r="G687" s="198"/>
      <c r="H687" s="198"/>
      <c r="I687" s="39"/>
      <c r="J687" s="38"/>
      <c r="K687" s="198"/>
      <c r="L687" s="38"/>
      <c r="M687" s="38"/>
      <c r="N687" s="38"/>
      <c r="O687" s="38"/>
      <c r="P687" s="40" t="str" cm="1">
        <f t="array" ref="P687">IF(N687="","",IFERROR(_xlfn.XLOOKUP(F687&amp;"|"&amp;J687&amp;"|"&amp;O687,PRICES!$C$2:$C$659&amp;"|"&amp;PRICES!$B$2:$B$659&amp;"|"&amp;PRICES!$D$2:$D$659,PRICES!$E$2:$E$659),"Not Found"))</f>
        <v/>
      </c>
      <c r="Q687" s="100" t="str">
        <f>IF(N687=0,"",SUMIFS(PRICES!$G$2:$G$658,PRICES!$B$2:$B$658,'MAIN TABLE-1 AUTOMATED'!J687,PRICES!$C$2:$C$658,'MAIN TABLE-1 AUTOMATED'!F687,PRICES!$D$2:$D$658,'MAIN TABLE-1 AUTOMATED'!O687))</f>
        <v/>
      </c>
      <c r="R687" s="41" t="str">
        <f>IF(Table1[[#This Row],[QUANTITY]]=0,"",Table1[[#This Row],[UNIT PRICE]]*Table1[[#This Row],[QUANTITY]])</f>
        <v/>
      </c>
      <c r="S687" s="89"/>
      <c r="T687" s="38"/>
      <c r="U687" s="43"/>
      <c r="V687" s="42" t="str">
        <f>IF(Table1[[#This Row],[DATE]]=0,"",YEAR(E687))</f>
        <v/>
      </c>
      <c r="W687" s="40" t="str">
        <f t="shared" si="22"/>
        <v/>
      </c>
      <c r="X687" s="40" t="str">
        <f t="shared" si="23"/>
        <v/>
      </c>
      <c r="Y687" s="40" t="str">
        <f>TEXT(Table1[[#This Row],[YEAR]],"0000")&amp;"-"&amp;Table1[[#This Row],[MONTH]]</f>
        <v>-</v>
      </c>
    </row>
    <row r="688" spans="1:25" ht="15" customHeight="1" x14ac:dyDescent="0.35">
      <c r="A688" s="24"/>
      <c r="B688" s="38"/>
      <c r="C688" s="38"/>
      <c r="D688" s="38"/>
      <c r="E688" s="37"/>
      <c r="F688" s="38"/>
      <c r="G688" s="198"/>
      <c r="H688" s="198"/>
      <c r="I688" s="39"/>
      <c r="J688" s="38"/>
      <c r="K688" s="198"/>
      <c r="L688" s="38"/>
      <c r="M688" s="38"/>
      <c r="N688" s="38"/>
      <c r="O688" s="38"/>
      <c r="P688" s="40" t="str" cm="1">
        <f t="array" ref="P688">IF(N688="","",IFERROR(_xlfn.XLOOKUP(F688&amp;"|"&amp;J688&amp;"|"&amp;O688,PRICES!$C$2:$C$659&amp;"|"&amp;PRICES!$B$2:$B$659&amp;"|"&amp;PRICES!$D$2:$D$659,PRICES!$E$2:$E$659),"Not Found"))</f>
        <v/>
      </c>
      <c r="Q688" s="100" t="str">
        <f>IF(N688=0,"",SUMIFS(PRICES!$G$2:$G$658,PRICES!$B$2:$B$658,'MAIN TABLE-1 AUTOMATED'!J688,PRICES!$C$2:$C$658,'MAIN TABLE-1 AUTOMATED'!F688,PRICES!$D$2:$D$658,'MAIN TABLE-1 AUTOMATED'!O688))</f>
        <v/>
      </c>
      <c r="R688" s="41" t="str">
        <f>IF(Table1[[#This Row],[QUANTITY]]=0,"",Table1[[#This Row],[UNIT PRICE]]*Table1[[#This Row],[QUANTITY]])</f>
        <v/>
      </c>
      <c r="S688" s="89"/>
      <c r="T688" s="38"/>
      <c r="U688" s="43"/>
      <c r="V688" s="42" t="str">
        <f>IF(Table1[[#This Row],[DATE]]=0,"",YEAR(E688))</f>
        <v/>
      </c>
      <c r="W688" s="40" t="str">
        <f t="shared" si="22"/>
        <v/>
      </c>
      <c r="X688" s="40" t="str">
        <f t="shared" si="23"/>
        <v/>
      </c>
      <c r="Y688" s="40" t="str">
        <f>TEXT(Table1[[#This Row],[YEAR]],"0000")&amp;"-"&amp;Table1[[#This Row],[MONTH]]</f>
        <v>-</v>
      </c>
    </row>
    <row r="689" spans="1:25" ht="15" customHeight="1" x14ac:dyDescent="0.35">
      <c r="A689" s="24"/>
      <c r="B689" s="38"/>
      <c r="C689" s="38"/>
      <c r="D689" s="38"/>
      <c r="E689" s="37"/>
      <c r="F689" s="38"/>
      <c r="G689" s="198"/>
      <c r="H689" s="198"/>
      <c r="I689" s="39"/>
      <c r="J689" s="38"/>
      <c r="K689" s="198"/>
      <c r="L689" s="38"/>
      <c r="M689" s="38"/>
      <c r="N689" s="38"/>
      <c r="O689" s="38"/>
      <c r="P689" s="40" t="str" cm="1">
        <f t="array" ref="P689">IF(N689="","",IFERROR(_xlfn.XLOOKUP(F689&amp;"|"&amp;J689&amp;"|"&amp;O689,PRICES!$C$2:$C$659&amp;"|"&amp;PRICES!$B$2:$B$659&amp;"|"&amp;PRICES!$D$2:$D$659,PRICES!$E$2:$E$659),"Not Found"))</f>
        <v/>
      </c>
      <c r="Q689" s="100" t="str">
        <f>IF(N689=0,"",SUMIFS(PRICES!$G$2:$G$658,PRICES!$B$2:$B$658,'MAIN TABLE-1 AUTOMATED'!J689,PRICES!$C$2:$C$658,'MAIN TABLE-1 AUTOMATED'!F689,PRICES!$D$2:$D$658,'MAIN TABLE-1 AUTOMATED'!O689))</f>
        <v/>
      </c>
      <c r="R689" s="41" t="str">
        <f>IF(Table1[[#This Row],[QUANTITY]]=0,"",Table1[[#This Row],[UNIT PRICE]]*Table1[[#This Row],[QUANTITY]])</f>
        <v/>
      </c>
      <c r="S689" s="89"/>
      <c r="T689" s="38"/>
      <c r="U689" s="43"/>
      <c r="V689" s="42" t="str">
        <f>IF(Table1[[#This Row],[DATE]]=0,"",YEAR(E689))</f>
        <v/>
      </c>
      <c r="W689" s="40" t="str">
        <f t="shared" si="22"/>
        <v/>
      </c>
      <c r="X689" s="40" t="str">
        <f t="shared" si="23"/>
        <v/>
      </c>
      <c r="Y689" s="40" t="str">
        <f>TEXT(Table1[[#This Row],[YEAR]],"0000")&amp;"-"&amp;Table1[[#This Row],[MONTH]]</f>
        <v>-</v>
      </c>
    </row>
    <row r="690" spans="1:25" ht="15" customHeight="1" x14ac:dyDescent="0.35">
      <c r="A690" s="24"/>
      <c r="B690" s="38"/>
      <c r="C690" s="38"/>
      <c r="D690" s="38"/>
      <c r="E690" s="37"/>
      <c r="F690" s="38"/>
      <c r="G690" s="198"/>
      <c r="H690" s="198"/>
      <c r="I690" s="39"/>
      <c r="J690" s="38"/>
      <c r="K690" s="198"/>
      <c r="L690" s="38"/>
      <c r="M690" s="38"/>
      <c r="N690" s="38"/>
      <c r="O690" s="38"/>
      <c r="P690" s="40" t="str" cm="1">
        <f t="array" ref="P690">IF(N690="","",IFERROR(_xlfn.XLOOKUP(F690&amp;"|"&amp;J690&amp;"|"&amp;O690,PRICES!$C$2:$C$659&amp;"|"&amp;PRICES!$B$2:$B$659&amp;"|"&amp;PRICES!$D$2:$D$659,PRICES!$E$2:$E$659),"Not Found"))</f>
        <v/>
      </c>
      <c r="Q690" s="100" t="str">
        <f>IF(N690=0,"",SUMIFS(PRICES!$G$2:$G$658,PRICES!$B$2:$B$658,'MAIN TABLE-1 AUTOMATED'!J690,PRICES!$C$2:$C$658,'MAIN TABLE-1 AUTOMATED'!F690,PRICES!$D$2:$D$658,'MAIN TABLE-1 AUTOMATED'!O690))</f>
        <v/>
      </c>
      <c r="R690" s="41" t="str">
        <f>IF(Table1[[#This Row],[QUANTITY]]=0,"",Table1[[#This Row],[UNIT PRICE]]*Table1[[#This Row],[QUANTITY]])</f>
        <v/>
      </c>
      <c r="S690" s="89"/>
      <c r="T690" s="38"/>
      <c r="U690" s="43"/>
      <c r="V690" s="42" t="str">
        <f>IF(Table1[[#This Row],[DATE]]=0,"",YEAR(E690))</f>
        <v/>
      </c>
      <c r="W690" s="40" t="str">
        <f t="shared" si="22"/>
        <v/>
      </c>
      <c r="X690" s="40" t="str">
        <f t="shared" si="23"/>
        <v/>
      </c>
      <c r="Y690" s="40" t="str">
        <f>TEXT(Table1[[#This Row],[YEAR]],"0000")&amp;"-"&amp;Table1[[#This Row],[MONTH]]</f>
        <v>-</v>
      </c>
    </row>
    <row r="691" spans="1:25" ht="15" customHeight="1" x14ac:dyDescent="0.35">
      <c r="A691" s="24"/>
      <c r="B691" s="38"/>
      <c r="C691" s="38"/>
      <c r="D691" s="38"/>
      <c r="E691" s="37"/>
      <c r="F691" s="38"/>
      <c r="G691" s="198"/>
      <c r="H691" s="198"/>
      <c r="I691" s="39"/>
      <c r="J691" s="38"/>
      <c r="K691" s="198"/>
      <c r="L691" s="38"/>
      <c r="M691" s="38"/>
      <c r="N691" s="38"/>
      <c r="O691" s="38"/>
      <c r="P691" s="40" t="str" cm="1">
        <f t="array" ref="P691">IF(N691="","",IFERROR(_xlfn.XLOOKUP(F691&amp;"|"&amp;J691&amp;"|"&amp;O691,PRICES!$C$2:$C$659&amp;"|"&amp;PRICES!$B$2:$B$659&amp;"|"&amp;PRICES!$D$2:$D$659,PRICES!$E$2:$E$659),"Not Found"))</f>
        <v/>
      </c>
      <c r="Q691" s="100" t="str">
        <f>IF(N691=0,"",SUMIFS(PRICES!$G$2:$G$658,PRICES!$B$2:$B$658,'MAIN TABLE-1 AUTOMATED'!J691,PRICES!$C$2:$C$658,'MAIN TABLE-1 AUTOMATED'!F691,PRICES!$D$2:$D$658,'MAIN TABLE-1 AUTOMATED'!O691))</f>
        <v/>
      </c>
      <c r="R691" s="41" t="str">
        <f>IF(Table1[[#This Row],[QUANTITY]]=0,"",Table1[[#This Row],[UNIT PRICE]]*Table1[[#This Row],[QUANTITY]])</f>
        <v/>
      </c>
      <c r="S691" s="89"/>
      <c r="T691" s="38"/>
      <c r="U691" s="43"/>
      <c r="V691" s="42" t="str">
        <f>IF(Table1[[#This Row],[DATE]]=0,"",YEAR(E691))</f>
        <v/>
      </c>
      <c r="W691" s="40" t="str">
        <f t="shared" si="22"/>
        <v/>
      </c>
      <c r="X691" s="40" t="str">
        <f t="shared" si="23"/>
        <v/>
      </c>
      <c r="Y691" s="40" t="str">
        <f>TEXT(Table1[[#This Row],[YEAR]],"0000")&amp;"-"&amp;Table1[[#This Row],[MONTH]]</f>
        <v>-</v>
      </c>
    </row>
    <row r="692" spans="1:25" ht="15" customHeight="1" x14ac:dyDescent="0.35">
      <c r="A692" s="24"/>
      <c r="B692" s="38"/>
      <c r="C692" s="38"/>
      <c r="D692" s="38"/>
      <c r="E692" s="37"/>
      <c r="F692" s="38"/>
      <c r="G692" s="198"/>
      <c r="H692" s="198"/>
      <c r="I692" s="39"/>
      <c r="J692" s="38"/>
      <c r="K692" s="198"/>
      <c r="L692" s="38"/>
      <c r="M692" s="38"/>
      <c r="N692" s="38"/>
      <c r="O692" s="38"/>
      <c r="P692" s="40" t="str" cm="1">
        <f t="array" ref="P692">IF(N692="","",IFERROR(_xlfn.XLOOKUP(F692&amp;"|"&amp;J692&amp;"|"&amp;O692,PRICES!$C$2:$C$659&amp;"|"&amp;PRICES!$B$2:$B$659&amp;"|"&amp;PRICES!$D$2:$D$659,PRICES!$E$2:$E$659),"Not Found"))</f>
        <v/>
      </c>
      <c r="Q692" s="100" t="str">
        <f>IF(N692=0,"",SUMIFS(PRICES!$G$2:$G$658,PRICES!$B$2:$B$658,'MAIN TABLE-1 AUTOMATED'!J692,PRICES!$C$2:$C$658,'MAIN TABLE-1 AUTOMATED'!F692,PRICES!$D$2:$D$658,'MAIN TABLE-1 AUTOMATED'!O692))</f>
        <v/>
      </c>
      <c r="R692" s="41" t="str">
        <f>IF(Table1[[#This Row],[QUANTITY]]=0,"",Table1[[#This Row],[UNIT PRICE]]*Table1[[#This Row],[QUANTITY]])</f>
        <v/>
      </c>
      <c r="S692" s="89"/>
      <c r="T692" s="38"/>
      <c r="U692" s="43"/>
      <c r="V692" s="42" t="str">
        <f>IF(Table1[[#This Row],[DATE]]=0,"",YEAR(E692))</f>
        <v/>
      </c>
      <c r="W692" s="40" t="str">
        <f t="shared" si="22"/>
        <v/>
      </c>
      <c r="X692" s="40" t="str">
        <f t="shared" si="23"/>
        <v/>
      </c>
      <c r="Y692" s="40" t="str">
        <f>TEXT(Table1[[#This Row],[YEAR]],"0000")&amp;"-"&amp;Table1[[#This Row],[MONTH]]</f>
        <v>-</v>
      </c>
    </row>
    <row r="693" spans="1:25" ht="15" customHeight="1" x14ac:dyDescent="0.35">
      <c r="A693" s="24"/>
      <c r="B693" s="38"/>
      <c r="C693" s="38"/>
      <c r="D693" s="38"/>
      <c r="E693" s="37"/>
      <c r="F693" s="38"/>
      <c r="G693" s="198"/>
      <c r="H693" s="198"/>
      <c r="I693" s="39"/>
      <c r="J693" s="38"/>
      <c r="K693" s="198"/>
      <c r="L693" s="38"/>
      <c r="M693" s="38"/>
      <c r="N693" s="38"/>
      <c r="O693" s="38"/>
      <c r="P693" s="40" t="str" cm="1">
        <f t="array" ref="P693">IF(N693="","",IFERROR(_xlfn.XLOOKUP(F693&amp;"|"&amp;J693&amp;"|"&amp;O693,PRICES!$C$2:$C$659&amp;"|"&amp;PRICES!$B$2:$B$659&amp;"|"&amp;PRICES!$D$2:$D$659,PRICES!$E$2:$E$659),"Not Found"))</f>
        <v/>
      </c>
      <c r="Q693" s="100" t="str">
        <f>IF(N693=0,"",SUMIFS(PRICES!$G$2:$G$658,PRICES!$B$2:$B$658,'MAIN TABLE-1 AUTOMATED'!J693,PRICES!$C$2:$C$658,'MAIN TABLE-1 AUTOMATED'!F693,PRICES!$D$2:$D$658,'MAIN TABLE-1 AUTOMATED'!O693))</f>
        <v/>
      </c>
      <c r="R693" s="41" t="str">
        <f>IF(Table1[[#This Row],[QUANTITY]]=0,"",Table1[[#This Row],[UNIT PRICE]]*Table1[[#This Row],[QUANTITY]])</f>
        <v/>
      </c>
      <c r="S693" s="89"/>
      <c r="T693" s="38"/>
      <c r="U693" s="43"/>
      <c r="V693" s="42" t="str">
        <f>IF(Table1[[#This Row],[DATE]]=0,"",YEAR(E693))</f>
        <v/>
      </c>
      <c r="W693" s="40" t="str">
        <f t="shared" si="22"/>
        <v/>
      </c>
      <c r="X693" s="40" t="str">
        <f t="shared" si="23"/>
        <v/>
      </c>
      <c r="Y693" s="40" t="str">
        <f>TEXT(Table1[[#This Row],[YEAR]],"0000")&amp;"-"&amp;Table1[[#This Row],[MONTH]]</f>
        <v>-</v>
      </c>
    </row>
    <row r="694" spans="1:25" ht="15" customHeight="1" x14ac:dyDescent="0.35">
      <c r="A694" s="24"/>
      <c r="B694" s="38"/>
      <c r="C694" s="38"/>
      <c r="D694" s="38"/>
      <c r="E694" s="37"/>
      <c r="F694" s="38"/>
      <c r="G694" s="198"/>
      <c r="H694" s="198"/>
      <c r="I694" s="39"/>
      <c r="J694" s="38"/>
      <c r="K694" s="198"/>
      <c r="L694" s="38"/>
      <c r="M694" s="38"/>
      <c r="N694" s="38"/>
      <c r="O694" s="38"/>
      <c r="P694" s="40" t="str" cm="1">
        <f t="array" ref="P694">IF(N694="","",IFERROR(_xlfn.XLOOKUP(F694&amp;"|"&amp;J694&amp;"|"&amp;O694,PRICES!$C$2:$C$659&amp;"|"&amp;PRICES!$B$2:$B$659&amp;"|"&amp;PRICES!$D$2:$D$659,PRICES!$E$2:$E$659),"Not Found"))</f>
        <v/>
      </c>
      <c r="Q694" s="100" t="str">
        <f>IF(N694=0,"",SUMIFS(PRICES!$G$2:$G$658,PRICES!$B$2:$B$658,'MAIN TABLE-1 AUTOMATED'!J694,PRICES!$C$2:$C$658,'MAIN TABLE-1 AUTOMATED'!F694,PRICES!$D$2:$D$658,'MAIN TABLE-1 AUTOMATED'!O694))</f>
        <v/>
      </c>
      <c r="R694" s="41" t="str">
        <f>IF(Table1[[#This Row],[QUANTITY]]=0,"",Table1[[#This Row],[UNIT PRICE]]*Table1[[#This Row],[QUANTITY]])</f>
        <v/>
      </c>
      <c r="S694" s="89"/>
      <c r="T694" s="38"/>
      <c r="U694" s="43"/>
      <c r="V694" s="42" t="str">
        <f>IF(Table1[[#This Row],[DATE]]=0,"",YEAR(E694))</f>
        <v/>
      </c>
      <c r="W694" s="40" t="str">
        <f t="shared" si="22"/>
        <v/>
      </c>
      <c r="X694" s="40" t="str">
        <f t="shared" si="23"/>
        <v/>
      </c>
      <c r="Y694" s="40" t="str">
        <f>TEXT(Table1[[#This Row],[YEAR]],"0000")&amp;"-"&amp;Table1[[#This Row],[MONTH]]</f>
        <v>-</v>
      </c>
    </row>
    <row r="695" spans="1:25" ht="15" customHeight="1" x14ac:dyDescent="0.35">
      <c r="A695" s="24"/>
      <c r="B695" s="38"/>
      <c r="C695" s="38"/>
      <c r="D695" s="38"/>
      <c r="E695" s="37"/>
      <c r="F695" s="38"/>
      <c r="G695" s="198"/>
      <c r="H695" s="198"/>
      <c r="I695" s="39"/>
      <c r="J695" s="38"/>
      <c r="K695" s="198"/>
      <c r="L695" s="38"/>
      <c r="M695" s="38"/>
      <c r="N695" s="38"/>
      <c r="O695" s="38"/>
      <c r="P695" s="40" t="str" cm="1">
        <f t="array" ref="P695">IF(N695="","",IFERROR(_xlfn.XLOOKUP(F695&amp;"|"&amp;J695&amp;"|"&amp;O695,PRICES!$C$2:$C$659&amp;"|"&amp;PRICES!$B$2:$B$659&amp;"|"&amp;PRICES!$D$2:$D$659,PRICES!$E$2:$E$659),"Not Found"))</f>
        <v/>
      </c>
      <c r="Q695" s="100" t="str">
        <f>IF(N695=0,"",SUMIFS(PRICES!$G$2:$G$658,PRICES!$B$2:$B$658,'MAIN TABLE-1 AUTOMATED'!J695,PRICES!$C$2:$C$658,'MAIN TABLE-1 AUTOMATED'!F695,PRICES!$D$2:$D$658,'MAIN TABLE-1 AUTOMATED'!O695))</f>
        <v/>
      </c>
      <c r="R695" s="41" t="str">
        <f>IF(Table1[[#This Row],[QUANTITY]]=0,"",Table1[[#This Row],[UNIT PRICE]]*Table1[[#This Row],[QUANTITY]])</f>
        <v/>
      </c>
      <c r="S695" s="89"/>
      <c r="T695" s="38"/>
      <c r="U695" s="43"/>
      <c r="V695" s="42" t="str">
        <f>IF(Table1[[#This Row],[DATE]]=0,"",YEAR(E695))</f>
        <v/>
      </c>
      <c r="W695" s="40" t="str">
        <f t="shared" si="22"/>
        <v/>
      </c>
      <c r="X695" s="40" t="str">
        <f t="shared" si="23"/>
        <v/>
      </c>
      <c r="Y695" s="40" t="str">
        <f>TEXT(Table1[[#This Row],[YEAR]],"0000")&amp;"-"&amp;Table1[[#This Row],[MONTH]]</f>
        <v>-</v>
      </c>
    </row>
    <row r="696" spans="1:25" ht="15" customHeight="1" x14ac:dyDescent="0.35">
      <c r="A696" s="24"/>
      <c r="B696" s="38"/>
      <c r="C696" s="38"/>
      <c r="D696" s="38"/>
      <c r="E696" s="37"/>
      <c r="F696" s="38"/>
      <c r="G696" s="198"/>
      <c r="H696" s="198"/>
      <c r="I696" s="39"/>
      <c r="J696" s="38"/>
      <c r="K696" s="198"/>
      <c r="L696" s="38"/>
      <c r="M696" s="38"/>
      <c r="N696" s="38"/>
      <c r="O696" s="38"/>
      <c r="P696" s="40" t="str" cm="1">
        <f t="array" ref="P696">IF(N696="","",IFERROR(_xlfn.XLOOKUP(F696&amp;"|"&amp;J696&amp;"|"&amp;O696,PRICES!$C$2:$C$659&amp;"|"&amp;PRICES!$B$2:$B$659&amp;"|"&amp;PRICES!$D$2:$D$659,PRICES!$E$2:$E$659),"Not Found"))</f>
        <v/>
      </c>
      <c r="Q696" s="100" t="str">
        <f>IF(N696=0,"",SUMIFS(PRICES!$G$2:$G$658,PRICES!$B$2:$B$658,'MAIN TABLE-1 AUTOMATED'!J696,PRICES!$C$2:$C$658,'MAIN TABLE-1 AUTOMATED'!F696,PRICES!$D$2:$D$658,'MAIN TABLE-1 AUTOMATED'!O696))</f>
        <v/>
      </c>
      <c r="R696" s="41" t="str">
        <f>IF(Table1[[#This Row],[QUANTITY]]=0,"",Table1[[#This Row],[UNIT PRICE]]*Table1[[#This Row],[QUANTITY]])</f>
        <v/>
      </c>
      <c r="S696" s="89"/>
      <c r="T696" s="38"/>
      <c r="U696" s="43"/>
      <c r="V696" s="42" t="str">
        <f>IF(Table1[[#This Row],[DATE]]=0,"",YEAR(E696))</f>
        <v/>
      </c>
      <c r="W696" s="40" t="str">
        <f t="shared" si="22"/>
        <v/>
      </c>
      <c r="X696" s="40" t="str">
        <f t="shared" si="23"/>
        <v/>
      </c>
      <c r="Y696" s="40" t="str">
        <f>TEXT(Table1[[#This Row],[YEAR]],"0000")&amp;"-"&amp;Table1[[#This Row],[MONTH]]</f>
        <v>-</v>
      </c>
    </row>
    <row r="697" spans="1:25" ht="15" customHeight="1" x14ac:dyDescent="0.35">
      <c r="A697" s="24"/>
      <c r="B697" s="38"/>
      <c r="C697" s="38"/>
      <c r="D697" s="38"/>
      <c r="E697" s="37"/>
      <c r="F697" s="38"/>
      <c r="G697" s="198"/>
      <c r="H697" s="198"/>
      <c r="I697" s="39"/>
      <c r="J697" s="38"/>
      <c r="K697" s="198"/>
      <c r="L697" s="38"/>
      <c r="M697" s="38"/>
      <c r="N697" s="38"/>
      <c r="O697" s="38"/>
      <c r="P697" s="40" t="str" cm="1">
        <f t="array" ref="P697">IF(N697="","",IFERROR(_xlfn.XLOOKUP(F697&amp;"|"&amp;J697&amp;"|"&amp;O697,PRICES!$C$2:$C$659&amp;"|"&amp;PRICES!$B$2:$B$659&amp;"|"&amp;PRICES!$D$2:$D$659,PRICES!$E$2:$E$659),"Not Found"))</f>
        <v/>
      </c>
      <c r="Q697" s="100" t="str">
        <f>IF(N697=0,"",SUMIFS(PRICES!$G$2:$G$658,PRICES!$B$2:$B$658,'MAIN TABLE-1 AUTOMATED'!J697,PRICES!$C$2:$C$658,'MAIN TABLE-1 AUTOMATED'!F697,PRICES!$D$2:$D$658,'MAIN TABLE-1 AUTOMATED'!O697))</f>
        <v/>
      </c>
      <c r="R697" s="41" t="str">
        <f>IF(Table1[[#This Row],[QUANTITY]]=0,"",Table1[[#This Row],[UNIT PRICE]]*Table1[[#This Row],[QUANTITY]])</f>
        <v/>
      </c>
      <c r="S697" s="89"/>
      <c r="T697" s="38"/>
      <c r="U697" s="43"/>
      <c r="V697" s="42" t="str">
        <f>IF(Table1[[#This Row],[DATE]]=0,"",YEAR(E697))</f>
        <v/>
      </c>
      <c r="W697" s="40" t="str">
        <f t="shared" si="22"/>
        <v/>
      </c>
      <c r="X697" s="40" t="str">
        <f t="shared" si="23"/>
        <v/>
      </c>
      <c r="Y697" s="40" t="str">
        <f>TEXT(Table1[[#This Row],[YEAR]],"0000")&amp;"-"&amp;Table1[[#This Row],[MONTH]]</f>
        <v>-</v>
      </c>
    </row>
    <row r="698" spans="1:25" ht="15" customHeight="1" x14ac:dyDescent="0.35">
      <c r="A698" s="24"/>
      <c r="B698" s="38"/>
      <c r="C698" s="38"/>
      <c r="D698" s="38"/>
      <c r="E698" s="37"/>
      <c r="F698" s="38"/>
      <c r="G698" s="198"/>
      <c r="H698" s="198"/>
      <c r="I698" s="39"/>
      <c r="J698" s="38"/>
      <c r="K698" s="198"/>
      <c r="L698" s="38"/>
      <c r="M698" s="38"/>
      <c r="N698" s="38"/>
      <c r="O698" s="38"/>
      <c r="P698" s="40" t="str" cm="1">
        <f t="array" ref="P698">IF(N698="","",IFERROR(_xlfn.XLOOKUP(F698&amp;"|"&amp;J698&amp;"|"&amp;O698,PRICES!$C$2:$C$659&amp;"|"&amp;PRICES!$B$2:$B$659&amp;"|"&amp;PRICES!$D$2:$D$659,PRICES!$E$2:$E$659),"Not Found"))</f>
        <v/>
      </c>
      <c r="Q698" s="100" t="str">
        <f>IF(N698=0,"",SUMIFS(PRICES!$G$2:$G$658,PRICES!$B$2:$B$658,'MAIN TABLE-1 AUTOMATED'!J698,PRICES!$C$2:$C$658,'MAIN TABLE-1 AUTOMATED'!F698,PRICES!$D$2:$D$658,'MAIN TABLE-1 AUTOMATED'!O698))</f>
        <v/>
      </c>
      <c r="R698" s="41" t="str">
        <f>IF(Table1[[#This Row],[QUANTITY]]=0,"",Table1[[#This Row],[UNIT PRICE]]*Table1[[#This Row],[QUANTITY]])</f>
        <v/>
      </c>
      <c r="S698" s="89"/>
      <c r="T698" s="38"/>
      <c r="U698" s="43"/>
      <c r="V698" s="42" t="str">
        <f>IF(Table1[[#This Row],[DATE]]=0,"",YEAR(E698))</f>
        <v/>
      </c>
      <c r="W698" s="40" t="str">
        <f t="shared" si="22"/>
        <v/>
      </c>
      <c r="X698" s="40" t="str">
        <f t="shared" si="23"/>
        <v/>
      </c>
      <c r="Y698" s="40" t="str">
        <f>TEXT(Table1[[#This Row],[YEAR]],"0000")&amp;"-"&amp;Table1[[#This Row],[MONTH]]</f>
        <v>-</v>
      </c>
    </row>
    <row r="699" spans="1:25" ht="15" customHeight="1" x14ac:dyDescent="0.35">
      <c r="A699" s="24"/>
      <c r="B699" s="38"/>
      <c r="C699" s="38"/>
      <c r="D699" s="38"/>
      <c r="E699" s="37"/>
      <c r="F699" s="38"/>
      <c r="G699" s="198"/>
      <c r="H699" s="198"/>
      <c r="I699" s="39"/>
      <c r="J699" s="38"/>
      <c r="K699" s="198"/>
      <c r="L699" s="38"/>
      <c r="M699" s="38"/>
      <c r="N699" s="38"/>
      <c r="O699" s="38"/>
      <c r="P699" s="40" t="str" cm="1">
        <f t="array" ref="P699">IF(N699="","",IFERROR(_xlfn.XLOOKUP(F699&amp;"|"&amp;J699&amp;"|"&amp;O699,PRICES!$C$2:$C$659&amp;"|"&amp;PRICES!$B$2:$B$659&amp;"|"&amp;PRICES!$D$2:$D$659,PRICES!$E$2:$E$659),"Not Found"))</f>
        <v/>
      </c>
      <c r="Q699" s="100" t="str">
        <f>IF(N699=0,"",SUMIFS(PRICES!$G$2:$G$658,PRICES!$B$2:$B$658,'MAIN TABLE-1 AUTOMATED'!J699,PRICES!$C$2:$C$658,'MAIN TABLE-1 AUTOMATED'!F699,PRICES!$D$2:$D$658,'MAIN TABLE-1 AUTOMATED'!O699))</f>
        <v/>
      </c>
      <c r="R699" s="41" t="str">
        <f>IF(Table1[[#This Row],[QUANTITY]]=0,"",Table1[[#This Row],[UNIT PRICE]]*Table1[[#This Row],[QUANTITY]])</f>
        <v/>
      </c>
      <c r="S699" s="89"/>
      <c r="T699" s="38"/>
      <c r="U699" s="43"/>
      <c r="V699" s="42" t="str">
        <f>IF(Table1[[#This Row],[DATE]]=0,"",YEAR(E699))</f>
        <v/>
      </c>
      <c r="W699" s="40" t="str">
        <f t="shared" si="22"/>
        <v/>
      </c>
      <c r="X699" s="40" t="str">
        <f t="shared" si="23"/>
        <v/>
      </c>
      <c r="Y699" s="40" t="str">
        <f>TEXT(Table1[[#This Row],[YEAR]],"0000")&amp;"-"&amp;Table1[[#This Row],[MONTH]]</f>
        <v>-</v>
      </c>
    </row>
    <row r="700" spans="1:25" ht="15" customHeight="1" x14ac:dyDescent="0.35">
      <c r="A700" s="24"/>
      <c r="B700" s="38"/>
      <c r="C700" s="38"/>
      <c r="D700" s="38"/>
      <c r="E700" s="37"/>
      <c r="F700" s="38"/>
      <c r="G700" s="198"/>
      <c r="H700" s="198"/>
      <c r="I700" s="39"/>
      <c r="J700" s="38"/>
      <c r="K700" s="198"/>
      <c r="L700" s="38"/>
      <c r="M700" s="38"/>
      <c r="N700" s="38"/>
      <c r="O700" s="38"/>
      <c r="P700" s="40" t="str" cm="1">
        <f t="array" ref="P700">IF(N700="","",IFERROR(_xlfn.XLOOKUP(F700&amp;"|"&amp;J700&amp;"|"&amp;O700,PRICES!$C$2:$C$659&amp;"|"&amp;PRICES!$B$2:$B$659&amp;"|"&amp;PRICES!$D$2:$D$659,PRICES!$E$2:$E$659),"Not Found"))</f>
        <v/>
      </c>
      <c r="Q700" s="100" t="str">
        <f>IF(N700=0,"",SUMIFS(PRICES!$G$2:$G$658,PRICES!$B$2:$B$658,'MAIN TABLE-1 AUTOMATED'!J700,PRICES!$C$2:$C$658,'MAIN TABLE-1 AUTOMATED'!F700,PRICES!$D$2:$D$658,'MAIN TABLE-1 AUTOMATED'!O700))</f>
        <v/>
      </c>
      <c r="R700" s="41" t="str">
        <f>IF(Table1[[#This Row],[QUANTITY]]=0,"",Table1[[#This Row],[UNIT PRICE]]*Table1[[#This Row],[QUANTITY]])</f>
        <v/>
      </c>
      <c r="S700" s="89"/>
      <c r="T700" s="38"/>
      <c r="U700" s="43"/>
      <c r="V700" s="42" t="str">
        <f>IF(Table1[[#This Row],[DATE]]=0,"",YEAR(E700))</f>
        <v/>
      </c>
      <c r="W700" s="40" t="str">
        <f t="shared" si="22"/>
        <v/>
      </c>
      <c r="X700" s="40" t="str">
        <f t="shared" si="23"/>
        <v/>
      </c>
      <c r="Y700" s="40" t="str">
        <f>TEXT(Table1[[#This Row],[YEAR]],"0000")&amp;"-"&amp;Table1[[#This Row],[MONTH]]</f>
        <v>-</v>
      </c>
    </row>
    <row r="701" spans="1:25" ht="15" customHeight="1" x14ac:dyDescent="0.35">
      <c r="A701" s="24"/>
      <c r="B701" s="38"/>
      <c r="C701" s="38"/>
      <c r="D701" s="38"/>
      <c r="E701" s="37"/>
      <c r="F701" s="38"/>
      <c r="G701" s="198"/>
      <c r="H701" s="198"/>
      <c r="I701" s="39"/>
      <c r="J701" s="38"/>
      <c r="K701" s="198"/>
      <c r="L701" s="38"/>
      <c r="M701" s="38"/>
      <c r="N701" s="38"/>
      <c r="O701" s="38"/>
      <c r="P701" s="40" t="str" cm="1">
        <f t="array" ref="P701">IF(N701="","",IFERROR(_xlfn.XLOOKUP(F701&amp;"|"&amp;J701&amp;"|"&amp;O701,PRICES!$C$2:$C$659&amp;"|"&amp;PRICES!$B$2:$B$659&amp;"|"&amp;PRICES!$D$2:$D$659,PRICES!$E$2:$E$659),"Not Found"))</f>
        <v/>
      </c>
      <c r="Q701" s="100" t="str">
        <f>IF(N701=0,"",SUMIFS(PRICES!$G$2:$G$658,PRICES!$B$2:$B$658,'MAIN TABLE-1 AUTOMATED'!J701,PRICES!$C$2:$C$658,'MAIN TABLE-1 AUTOMATED'!F701,PRICES!$D$2:$D$658,'MAIN TABLE-1 AUTOMATED'!O701))</f>
        <v/>
      </c>
      <c r="R701" s="41" t="str">
        <f>IF(Table1[[#This Row],[QUANTITY]]=0,"",Table1[[#This Row],[UNIT PRICE]]*Table1[[#This Row],[QUANTITY]])</f>
        <v/>
      </c>
      <c r="S701" s="89"/>
      <c r="T701" s="38"/>
      <c r="U701" s="43"/>
      <c r="V701" s="42" t="str">
        <f>IF(Table1[[#This Row],[DATE]]=0,"",YEAR(E701))</f>
        <v/>
      </c>
      <c r="W701" s="40" t="str">
        <f t="shared" si="22"/>
        <v/>
      </c>
      <c r="X701" s="40" t="str">
        <f t="shared" si="23"/>
        <v/>
      </c>
      <c r="Y701" s="40" t="str">
        <f>TEXT(Table1[[#This Row],[YEAR]],"0000")&amp;"-"&amp;Table1[[#This Row],[MONTH]]</f>
        <v>-</v>
      </c>
    </row>
    <row r="702" spans="1:25" ht="15" customHeight="1" x14ac:dyDescent="0.35">
      <c r="A702" s="24"/>
      <c r="B702" s="38"/>
      <c r="C702" s="38"/>
      <c r="D702" s="38"/>
      <c r="E702" s="37"/>
      <c r="F702" s="38"/>
      <c r="G702" s="198"/>
      <c r="H702" s="198"/>
      <c r="I702" s="39"/>
      <c r="J702" s="38"/>
      <c r="K702" s="198"/>
      <c r="L702" s="38"/>
      <c r="M702" s="38"/>
      <c r="N702" s="38"/>
      <c r="O702" s="38"/>
      <c r="P702" s="40" t="str" cm="1">
        <f t="array" ref="P702">IF(N702="","",IFERROR(_xlfn.XLOOKUP(F702&amp;"|"&amp;J702&amp;"|"&amp;O702,PRICES!$C$2:$C$659&amp;"|"&amp;PRICES!$B$2:$B$659&amp;"|"&amp;PRICES!$D$2:$D$659,PRICES!$E$2:$E$659),"Not Found"))</f>
        <v/>
      </c>
      <c r="Q702" s="100" t="str">
        <f>IF(N702=0,"",SUMIFS(PRICES!$G$2:$G$658,PRICES!$B$2:$B$658,'MAIN TABLE-1 AUTOMATED'!J702,PRICES!$C$2:$C$658,'MAIN TABLE-1 AUTOMATED'!F702,PRICES!$D$2:$D$658,'MAIN TABLE-1 AUTOMATED'!O702))</f>
        <v/>
      </c>
      <c r="R702" s="41" t="str">
        <f>IF(Table1[[#This Row],[QUANTITY]]=0,"",Table1[[#This Row],[UNIT PRICE]]*Table1[[#This Row],[QUANTITY]])</f>
        <v/>
      </c>
      <c r="S702" s="89"/>
      <c r="T702" s="38"/>
      <c r="U702" s="43"/>
      <c r="V702" s="42" t="str">
        <f>IF(Table1[[#This Row],[DATE]]=0,"",YEAR(E702))</f>
        <v/>
      </c>
      <c r="W702" s="40" t="str">
        <f t="shared" si="22"/>
        <v/>
      </c>
      <c r="X702" s="40" t="str">
        <f t="shared" si="23"/>
        <v/>
      </c>
      <c r="Y702" s="40" t="str">
        <f>TEXT(Table1[[#This Row],[YEAR]],"0000")&amp;"-"&amp;Table1[[#This Row],[MONTH]]</f>
        <v>-</v>
      </c>
    </row>
    <row r="703" spans="1:25" ht="15" customHeight="1" x14ac:dyDescent="0.35">
      <c r="A703" s="24"/>
      <c r="B703" s="38"/>
      <c r="C703" s="38"/>
      <c r="D703" s="38"/>
      <c r="E703" s="37"/>
      <c r="F703" s="38"/>
      <c r="G703" s="198"/>
      <c r="H703" s="198"/>
      <c r="I703" s="39"/>
      <c r="J703" s="38"/>
      <c r="K703" s="198"/>
      <c r="L703" s="38"/>
      <c r="M703" s="38"/>
      <c r="N703" s="38"/>
      <c r="O703" s="38"/>
      <c r="P703" s="40" t="str" cm="1">
        <f t="array" ref="P703">IF(N703="","",IFERROR(_xlfn.XLOOKUP(F703&amp;"|"&amp;J703&amp;"|"&amp;O703,PRICES!$C$2:$C$659&amp;"|"&amp;PRICES!$B$2:$B$659&amp;"|"&amp;PRICES!$D$2:$D$659,PRICES!$E$2:$E$659),"Not Found"))</f>
        <v/>
      </c>
      <c r="Q703" s="100" t="str">
        <f>IF(N703=0,"",SUMIFS(PRICES!$G$2:$G$658,PRICES!$B$2:$B$658,'MAIN TABLE-1 AUTOMATED'!J703,PRICES!$C$2:$C$658,'MAIN TABLE-1 AUTOMATED'!F703,PRICES!$D$2:$D$658,'MAIN TABLE-1 AUTOMATED'!O703))</f>
        <v/>
      </c>
      <c r="R703" s="41" t="str">
        <f>IF(Table1[[#This Row],[QUANTITY]]=0,"",Table1[[#This Row],[UNIT PRICE]]*Table1[[#This Row],[QUANTITY]])</f>
        <v/>
      </c>
      <c r="S703" s="89"/>
      <c r="T703" s="38"/>
      <c r="U703" s="43"/>
      <c r="V703" s="42" t="str">
        <f>IF(Table1[[#This Row],[DATE]]=0,"",YEAR(E703))</f>
        <v/>
      </c>
      <c r="W703" s="40" t="str">
        <f t="shared" si="22"/>
        <v/>
      </c>
      <c r="X703" s="40" t="str">
        <f t="shared" si="23"/>
        <v/>
      </c>
      <c r="Y703" s="40" t="str">
        <f>TEXT(Table1[[#This Row],[YEAR]],"0000")&amp;"-"&amp;Table1[[#This Row],[MONTH]]</f>
        <v>-</v>
      </c>
    </row>
    <row r="704" spans="1:25" ht="15" customHeight="1" x14ac:dyDescent="0.35">
      <c r="A704" s="24"/>
      <c r="B704" s="38"/>
      <c r="C704" s="38"/>
      <c r="D704" s="38"/>
      <c r="E704" s="37"/>
      <c r="F704" s="38"/>
      <c r="G704" s="198"/>
      <c r="H704" s="198"/>
      <c r="I704" s="39"/>
      <c r="J704" s="38"/>
      <c r="K704" s="198"/>
      <c r="L704" s="38"/>
      <c r="M704" s="38"/>
      <c r="N704" s="38"/>
      <c r="O704" s="38"/>
      <c r="P704" s="40" t="str" cm="1">
        <f t="array" ref="P704">IF(N704="","",IFERROR(_xlfn.XLOOKUP(F704&amp;"|"&amp;J704&amp;"|"&amp;O704,PRICES!$C$2:$C$659&amp;"|"&amp;PRICES!$B$2:$B$659&amp;"|"&amp;PRICES!$D$2:$D$659,PRICES!$E$2:$E$659),"Not Found"))</f>
        <v/>
      </c>
      <c r="Q704" s="100" t="str">
        <f>IF(N704=0,"",SUMIFS(PRICES!$G$2:$G$658,PRICES!$B$2:$B$658,'MAIN TABLE-1 AUTOMATED'!J704,PRICES!$C$2:$C$658,'MAIN TABLE-1 AUTOMATED'!F704,PRICES!$D$2:$D$658,'MAIN TABLE-1 AUTOMATED'!O704))</f>
        <v/>
      </c>
      <c r="R704" s="41" t="str">
        <f>IF(Table1[[#This Row],[QUANTITY]]=0,"",Table1[[#This Row],[UNIT PRICE]]*Table1[[#This Row],[QUANTITY]])</f>
        <v/>
      </c>
      <c r="S704" s="89"/>
      <c r="T704" s="38"/>
      <c r="U704" s="43"/>
      <c r="V704" s="42" t="str">
        <f>IF(Table1[[#This Row],[DATE]]=0,"",YEAR(E704))</f>
        <v/>
      </c>
      <c r="W704" s="40" t="str">
        <f t="shared" si="22"/>
        <v/>
      </c>
      <c r="X704" s="40" t="str">
        <f t="shared" si="23"/>
        <v/>
      </c>
      <c r="Y704" s="40" t="str">
        <f>TEXT(Table1[[#This Row],[YEAR]],"0000")&amp;"-"&amp;Table1[[#This Row],[MONTH]]</f>
        <v>-</v>
      </c>
    </row>
    <row r="705" spans="1:25" ht="15" customHeight="1" x14ac:dyDescent="0.35">
      <c r="A705" s="24"/>
      <c r="B705" s="38"/>
      <c r="C705" s="38"/>
      <c r="D705" s="38"/>
      <c r="E705" s="37"/>
      <c r="F705" s="38"/>
      <c r="G705" s="198"/>
      <c r="H705" s="198"/>
      <c r="I705" s="39"/>
      <c r="J705" s="38"/>
      <c r="K705" s="198"/>
      <c r="L705" s="38"/>
      <c r="M705" s="38"/>
      <c r="N705" s="38"/>
      <c r="O705" s="38"/>
      <c r="P705" s="40" t="str" cm="1">
        <f t="array" ref="P705">IF(N705="","",IFERROR(_xlfn.XLOOKUP(F705&amp;"|"&amp;J705&amp;"|"&amp;O705,PRICES!$C$2:$C$659&amp;"|"&amp;PRICES!$B$2:$B$659&amp;"|"&amp;PRICES!$D$2:$D$659,PRICES!$E$2:$E$659),"Not Found"))</f>
        <v/>
      </c>
      <c r="Q705" s="100" t="str">
        <f>IF(N705=0,"",SUMIFS(PRICES!$G$2:$G$658,PRICES!$B$2:$B$658,'MAIN TABLE-1 AUTOMATED'!J705,PRICES!$C$2:$C$658,'MAIN TABLE-1 AUTOMATED'!F705,PRICES!$D$2:$D$658,'MAIN TABLE-1 AUTOMATED'!O705))</f>
        <v/>
      </c>
      <c r="R705" s="41" t="str">
        <f>IF(Table1[[#This Row],[QUANTITY]]=0,"",Table1[[#This Row],[UNIT PRICE]]*Table1[[#This Row],[QUANTITY]])</f>
        <v/>
      </c>
      <c r="S705" s="89"/>
      <c r="T705" s="38"/>
      <c r="U705" s="43"/>
      <c r="V705" s="42" t="str">
        <f>IF(Table1[[#This Row],[DATE]]=0,"",YEAR(E705))</f>
        <v/>
      </c>
      <c r="W705" s="40" t="str">
        <f t="shared" si="22"/>
        <v/>
      </c>
      <c r="X705" s="40" t="str">
        <f t="shared" si="23"/>
        <v/>
      </c>
      <c r="Y705" s="40" t="str">
        <f>TEXT(Table1[[#This Row],[YEAR]],"0000")&amp;"-"&amp;Table1[[#This Row],[MONTH]]</f>
        <v>-</v>
      </c>
    </row>
    <row r="706" spans="1:25" ht="15" customHeight="1" x14ac:dyDescent="0.35">
      <c r="A706" s="24"/>
      <c r="B706" s="38"/>
      <c r="C706" s="38"/>
      <c r="D706" s="38"/>
      <c r="E706" s="37"/>
      <c r="F706" s="38"/>
      <c r="G706" s="198"/>
      <c r="H706" s="198"/>
      <c r="I706" s="39"/>
      <c r="J706" s="38"/>
      <c r="K706" s="198"/>
      <c r="L706" s="38"/>
      <c r="M706" s="38"/>
      <c r="N706" s="38"/>
      <c r="O706" s="38"/>
      <c r="P706" s="40" t="str" cm="1">
        <f t="array" ref="P706">IF(N706="","",IFERROR(_xlfn.XLOOKUP(F706&amp;"|"&amp;J706&amp;"|"&amp;O706,PRICES!$C$2:$C$659&amp;"|"&amp;PRICES!$B$2:$B$659&amp;"|"&amp;PRICES!$D$2:$D$659,PRICES!$E$2:$E$659),"Not Found"))</f>
        <v/>
      </c>
      <c r="Q706" s="100" t="str">
        <f>IF(N706=0,"",SUMIFS(PRICES!$G$2:$G$658,PRICES!$B$2:$B$658,'MAIN TABLE-1 AUTOMATED'!J706,PRICES!$C$2:$C$658,'MAIN TABLE-1 AUTOMATED'!F706,PRICES!$D$2:$D$658,'MAIN TABLE-1 AUTOMATED'!O706))</f>
        <v/>
      </c>
      <c r="R706" s="41" t="str">
        <f>IF(Table1[[#This Row],[QUANTITY]]=0,"",Table1[[#This Row],[UNIT PRICE]]*Table1[[#This Row],[QUANTITY]])</f>
        <v/>
      </c>
      <c r="S706" s="89"/>
      <c r="T706" s="38"/>
      <c r="U706" s="43"/>
      <c r="V706" s="42" t="str">
        <f>IF(Table1[[#This Row],[DATE]]=0,"",YEAR(E706))</f>
        <v/>
      </c>
      <c r="W706" s="40" t="str">
        <f t="shared" si="22"/>
        <v/>
      </c>
      <c r="X706" s="40" t="str">
        <f t="shared" si="23"/>
        <v/>
      </c>
      <c r="Y706" s="40" t="str">
        <f>TEXT(Table1[[#This Row],[YEAR]],"0000")&amp;"-"&amp;Table1[[#This Row],[MONTH]]</f>
        <v>-</v>
      </c>
    </row>
    <row r="707" spans="1:25" ht="15" customHeight="1" x14ac:dyDescent="0.35">
      <c r="A707" s="24"/>
      <c r="B707" s="38"/>
      <c r="C707" s="38"/>
      <c r="D707" s="38"/>
      <c r="E707" s="37"/>
      <c r="F707" s="38"/>
      <c r="G707" s="198"/>
      <c r="H707" s="198"/>
      <c r="I707" s="39"/>
      <c r="J707" s="38"/>
      <c r="K707" s="198"/>
      <c r="L707" s="38"/>
      <c r="M707" s="38"/>
      <c r="N707" s="38"/>
      <c r="O707" s="38"/>
      <c r="P707" s="40" t="str" cm="1">
        <f t="array" ref="P707">IF(N707="","",IFERROR(_xlfn.XLOOKUP(F707&amp;"|"&amp;J707&amp;"|"&amp;O707,PRICES!$C$2:$C$659&amp;"|"&amp;PRICES!$B$2:$B$659&amp;"|"&amp;PRICES!$D$2:$D$659,PRICES!$E$2:$E$659),"Not Found"))</f>
        <v/>
      </c>
      <c r="Q707" s="100" t="str">
        <f>IF(N707=0,"",SUMIFS(PRICES!$G$2:$G$658,PRICES!$B$2:$B$658,'MAIN TABLE-1 AUTOMATED'!J707,PRICES!$C$2:$C$658,'MAIN TABLE-1 AUTOMATED'!F707,PRICES!$D$2:$D$658,'MAIN TABLE-1 AUTOMATED'!O707))</f>
        <v/>
      </c>
      <c r="R707" s="41" t="str">
        <f>IF(Table1[[#This Row],[QUANTITY]]=0,"",Table1[[#This Row],[UNIT PRICE]]*Table1[[#This Row],[QUANTITY]])</f>
        <v/>
      </c>
      <c r="S707" s="89"/>
      <c r="T707" s="38"/>
      <c r="U707" s="43"/>
      <c r="V707" s="42" t="str">
        <f>IF(Table1[[#This Row],[DATE]]=0,"",YEAR(E707))</f>
        <v/>
      </c>
      <c r="W707" s="40" t="str">
        <f t="shared" si="22"/>
        <v/>
      </c>
      <c r="X707" s="40" t="str">
        <f t="shared" si="23"/>
        <v/>
      </c>
      <c r="Y707" s="40" t="str">
        <f>TEXT(Table1[[#This Row],[YEAR]],"0000")&amp;"-"&amp;Table1[[#This Row],[MONTH]]</f>
        <v>-</v>
      </c>
    </row>
    <row r="708" spans="1:25" ht="15" customHeight="1" x14ac:dyDescent="0.35">
      <c r="A708" s="24"/>
      <c r="B708" s="38"/>
      <c r="C708" s="38"/>
      <c r="D708" s="38"/>
      <c r="E708" s="37"/>
      <c r="F708" s="38"/>
      <c r="G708" s="198"/>
      <c r="H708" s="198"/>
      <c r="I708" s="39"/>
      <c r="J708" s="38"/>
      <c r="K708" s="198"/>
      <c r="L708" s="38"/>
      <c r="M708" s="38"/>
      <c r="N708" s="38"/>
      <c r="O708" s="38"/>
      <c r="P708" s="40" t="str" cm="1">
        <f t="array" ref="P708">IF(N708="","",IFERROR(_xlfn.XLOOKUP(F708&amp;"|"&amp;J708&amp;"|"&amp;O708,PRICES!$C$2:$C$659&amp;"|"&amp;PRICES!$B$2:$B$659&amp;"|"&amp;PRICES!$D$2:$D$659,PRICES!$E$2:$E$659),"Not Found"))</f>
        <v/>
      </c>
      <c r="Q708" s="100" t="str">
        <f>IF(N708=0,"",SUMIFS(PRICES!$G$2:$G$658,PRICES!$B$2:$B$658,'MAIN TABLE-1 AUTOMATED'!J708,PRICES!$C$2:$C$658,'MAIN TABLE-1 AUTOMATED'!F708,PRICES!$D$2:$D$658,'MAIN TABLE-1 AUTOMATED'!O708))</f>
        <v/>
      </c>
      <c r="R708" s="41" t="str">
        <f>IF(Table1[[#This Row],[QUANTITY]]=0,"",Table1[[#This Row],[UNIT PRICE]]*Table1[[#This Row],[QUANTITY]])</f>
        <v/>
      </c>
      <c r="S708" s="89"/>
      <c r="T708" s="38"/>
      <c r="U708" s="43"/>
      <c r="V708" s="42" t="str">
        <f>IF(Table1[[#This Row],[DATE]]=0,"",YEAR(E708))</f>
        <v/>
      </c>
      <c r="W708" s="40" t="str">
        <f t="shared" si="22"/>
        <v/>
      </c>
      <c r="X708" s="40" t="str">
        <f t="shared" si="23"/>
        <v/>
      </c>
      <c r="Y708" s="40" t="str">
        <f>TEXT(Table1[[#This Row],[YEAR]],"0000")&amp;"-"&amp;Table1[[#This Row],[MONTH]]</f>
        <v>-</v>
      </c>
    </row>
    <row r="709" spans="1:25" ht="15" customHeight="1" x14ac:dyDescent="0.35">
      <c r="A709" s="24"/>
      <c r="B709" s="38"/>
      <c r="C709" s="38"/>
      <c r="D709" s="38"/>
      <c r="E709" s="37"/>
      <c r="F709" s="38"/>
      <c r="G709" s="198"/>
      <c r="H709" s="198"/>
      <c r="I709" s="39"/>
      <c r="J709" s="38"/>
      <c r="K709" s="198"/>
      <c r="L709" s="38"/>
      <c r="M709" s="38"/>
      <c r="N709" s="38"/>
      <c r="O709" s="38"/>
      <c r="P709" s="40" t="str" cm="1">
        <f t="array" ref="P709">IF(N709="","",IFERROR(_xlfn.XLOOKUP(F709&amp;"|"&amp;J709&amp;"|"&amp;O709,PRICES!$C$2:$C$659&amp;"|"&amp;PRICES!$B$2:$B$659&amp;"|"&amp;PRICES!$D$2:$D$659,PRICES!$E$2:$E$659),"Not Found"))</f>
        <v/>
      </c>
      <c r="Q709" s="100" t="str">
        <f>IF(N709=0,"",SUMIFS(PRICES!$G$2:$G$658,PRICES!$B$2:$B$658,'MAIN TABLE-1 AUTOMATED'!J709,PRICES!$C$2:$C$658,'MAIN TABLE-1 AUTOMATED'!F709,PRICES!$D$2:$D$658,'MAIN TABLE-1 AUTOMATED'!O709))</f>
        <v/>
      </c>
      <c r="R709" s="41" t="str">
        <f>IF(Table1[[#This Row],[QUANTITY]]=0,"",Table1[[#This Row],[UNIT PRICE]]*Table1[[#This Row],[QUANTITY]])</f>
        <v/>
      </c>
      <c r="S709" s="89"/>
      <c r="T709" s="38"/>
      <c r="U709" s="43"/>
      <c r="V709" s="42" t="str">
        <f>IF(Table1[[#This Row],[DATE]]=0,"",YEAR(E709))</f>
        <v/>
      </c>
      <c r="W709" s="40" t="str">
        <f t="shared" si="22"/>
        <v/>
      </c>
      <c r="X709" s="40" t="str">
        <f t="shared" si="23"/>
        <v/>
      </c>
      <c r="Y709" s="40" t="str">
        <f>TEXT(Table1[[#This Row],[YEAR]],"0000")&amp;"-"&amp;Table1[[#This Row],[MONTH]]</f>
        <v>-</v>
      </c>
    </row>
    <row r="710" spans="1:25" ht="15" customHeight="1" x14ac:dyDescent="0.35">
      <c r="A710" s="24"/>
      <c r="B710" s="38"/>
      <c r="C710" s="38"/>
      <c r="D710" s="38"/>
      <c r="E710" s="37"/>
      <c r="F710" s="38"/>
      <c r="G710" s="198"/>
      <c r="H710" s="198"/>
      <c r="I710" s="39"/>
      <c r="J710" s="38"/>
      <c r="K710" s="198"/>
      <c r="L710" s="38"/>
      <c r="M710" s="38"/>
      <c r="N710" s="38"/>
      <c r="O710" s="38"/>
      <c r="P710" s="40" t="str" cm="1">
        <f t="array" ref="P710">IF(N710="","",IFERROR(_xlfn.XLOOKUP(F710&amp;"|"&amp;J710&amp;"|"&amp;O710,PRICES!$C$2:$C$659&amp;"|"&amp;PRICES!$B$2:$B$659&amp;"|"&amp;PRICES!$D$2:$D$659,PRICES!$E$2:$E$659),"Not Found"))</f>
        <v/>
      </c>
      <c r="Q710" s="100" t="str">
        <f>IF(N710=0,"",SUMIFS(PRICES!$G$2:$G$658,PRICES!$B$2:$B$658,'MAIN TABLE-1 AUTOMATED'!J710,PRICES!$C$2:$C$658,'MAIN TABLE-1 AUTOMATED'!F710,PRICES!$D$2:$D$658,'MAIN TABLE-1 AUTOMATED'!O710))</f>
        <v/>
      </c>
      <c r="R710" s="41" t="str">
        <f>IF(Table1[[#This Row],[QUANTITY]]=0,"",Table1[[#This Row],[UNIT PRICE]]*Table1[[#This Row],[QUANTITY]])</f>
        <v/>
      </c>
      <c r="S710" s="89"/>
      <c r="T710" s="38"/>
      <c r="U710" s="43"/>
      <c r="V710" s="42" t="str">
        <f>IF(Table1[[#This Row],[DATE]]=0,"",YEAR(E710))</f>
        <v/>
      </c>
      <c r="W710" s="40" t="str">
        <f t="shared" si="22"/>
        <v/>
      </c>
      <c r="X710" s="40" t="str">
        <f t="shared" si="23"/>
        <v/>
      </c>
      <c r="Y710" s="40" t="str">
        <f>TEXT(Table1[[#This Row],[YEAR]],"0000")&amp;"-"&amp;Table1[[#This Row],[MONTH]]</f>
        <v>-</v>
      </c>
    </row>
    <row r="711" spans="1:25" ht="15" customHeight="1" x14ac:dyDescent="0.35">
      <c r="A711" s="24"/>
      <c r="B711" s="38"/>
      <c r="C711" s="38"/>
      <c r="D711" s="38"/>
      <c r="E711" s="37"/>
      <c r="F711" s="38"/>
      <c r="G711" s="198"/>
      <c r="H711" s="198"/>
      <c r="I711" s="39"/>
      <c r="J711" s="38"/>
      <c r="K711" s="198"/>
      <c r="L711" s="38"/>
      <c r="M711" s="38"/>
      <c r="N711" s="38"/>
      <c r="O711" s="38"/>
      <c r="P711" s="40" t="str" cm="1">
        <f t="array" ref="P711">IF(N711="","",IFERROR(_xlfn.XLOOKUP(F711&amp;"|"&amp;J711&amp;"|"&amp;O711,PRICES!$C$2:$C$659&amp;"|"&amp;PRICES!$B$2:$B$659&amp;"|"&amp;PRICES!$D$2:$D$659,PRICES!$E$2:$E$659),"Not Found"))</f>
        <v/>
      </c>
      <c r="Q711" s="100" t="str">
        <f>IF(N711=0,"",SUMIFS(PRICES!$G$2:$G$658,PRICES!$B$2:$B$658,'MAIN TABLE-1 AUTOMATED'!J711,PRICES!$C$2:$C$658,'MAIN TABLE-1 AUTOMATED'!F711,PRICES!$D$2:$D$658,'MAIN TABLE-1 AUTOMATED'!O711))</f>
        <v/>
      </c>
      <c r="R711" s="41" t="str">
        <f>IF(Table1[[#This Row],[QUANTITY]]=0,"",Table1[[#This Row],[UNIT PRICE]]*Table1[[#This Row],[QUANTITY]])</f>
        <v/>
      </c>
      <c r="S711" s="89"/>
      <c r="T711" s="38"/>
      <c r="U711" s="43"/>
      <c r="V711" s="42" t="str">
        <f>IF(Table1[[#This Row],[DATE]]=0,"",YEAR(E711))</f>
        <v/>
      </c>
      <c r="W711" s="40" t="str">
        <f t="shared" si="22"/>
        <v/>
      </c>
      <c r="X711" s="40" t="str">
        <f t="shared" si="23"/>
        <v/>
      </c>
      <c r="Y711" s="40" t="str">
        <f>TEXT(Table1[[#This Row],[YEAR]],"0000")&amp;"-"&amp;Table1[[#This Row],[MONTH]]</f>
        <v>-</v>
      </c>
    </row>
    <row r="712" spans="1:25" ht="15" customHeight="1" x14ac:dyDescent="0.35">
      <c r="A712" s="24"/>
      <c r="B712" s="38"/>
      <c r="C712" s="38"/>
      <c r="D712" s="38"/>
      <c r="E712" s="37"/>
      <c r="F712" s="38"/>
      <c r="G712" s="198"/>
      <c r="H712" s="198"/>
      <c r="I712" s="39"/>
      <c r="J712" s="38"/>
      <c r="K712" s="198"/>
      <c r="L712" s="38"/>
      <c r="M712" s="38"/>
      <c r="N712" s="38"/>
      <c r="O712" s="38"/>
      <c r="P712" s="40" t="str" cm="1">
        <f t="array" ref="P712">IF(N712="","",IFERROR(_xlfn.XLOOKUP(F712&amp;"|"&amp;J712&amp;"|"&amp;O712,PRICES!$C$2:$C$659&amp;"|"&amp;PRICES!$B$2:$B$659&amp;"|"&amp;PRICES!$D$2:$D$659,PRICES!$E$2:$E$659),"Not Found"))</f>
        <v/>
      </c>
      <c r="Q712" s="100" t="str">
        <f>IF(N712=0,"",SUMIFS(PRICES!$G$2:$G$658,PRICES!$B$2:$B$658,'MAIN TABLE-1 AUTOMATED'!J712,PRICES!$C$2:$C$658,'MAIN TABLE-1 AUTOMATED'!F712,PRICES!$D$2:$D$658,'MAIN TABLE-1 AUTOMATED'!O712))</f>
        <v/>
      </c>
      <c r="R712" s="41" t="str">
        <f>IF(Table1[[#This Row],[QUANTITY]]=0,"",Table1[[#This Row],[UNIT PRICE]]*Table1[[#This Row],[QUANTITY]])</f>
        <v/>
      </c>
      <c r="S712" s="89"/>
      <c r="T712" s="38"/>
      <c r="U712" s="43"/>
      <c r="V712" s="42" t="str">
        <f>IF(Table1[[#This Row],[DATE]]=0,"",YEAR(E712))</f>
        <v/>
      </c>
      <c r="W712" s="40" t="str">
        <f t="shared" si="22"/>
        <v/>
      </c>
      <c r="X712" s="40" t="str">
        <f t="shared" si="23"/>
        <v/>
      </c>
      <c r="Y712" s="40" t="str">
        <f>TEXT(Table1[[#This Row],[YEAR]],"0000")&amp;"-"&amp;Table1[[#This Row],[MONTH]]</f>
        <v>-</v>
      </c>
    </row>
    <row r="713" spans="1:25" ht="15" customHeight="1" x14ac:dyDescent="0.35">
      <c r="A713" s="24"/>
      <c r="B713" s="38"/>
      <c r="C713" s="38"/>
      <c r="D713" s="38"/>
      <c r="E713" s="37"/>
      <c r="F713" s="38"/>
      <c r="G713" s="198"/>
      <c r="H713" s="198"/>
      <c r="I713" s="39"/>
      <c r="J713" s="38"/>
      <c r="K713" s="198"/>
      <c r="L713" s="38"/>
      <c r="M713" s="38"/>
      <c r="N713" s="38"/>
      <c r="O713" s="38"/>
      <c r="P713" s="40" t="str" cm="1">
        <f t="array" ref="P713">IF(N713="","",IFERROR(_xlfn.XLOOKUP(F713&amp;"|"&amp;J713&amp;"|"&amp;O713,PRICES!$C$2:$C$659&amp;"|"&amp;PRICES!$B$2:$B$659&amp;"|"&amp;PRICES!$D$2:$D$659,PRICES!$E$2:$E$659),"Not Found"))</f>
        <v/>
      </c>
      <c r="Q713" s="100" t="str">
        <f>IF(N713=0,"",SUMIFS(PRICES!$G$2:$G$658,PRICES!$B$2:$B$658,'MAIN TABLE-1 AUTOMATED'!J713,PRICES!$C$2:$C$658,'MAIN TABLE-1 AUTOMATED'!F713,PRICES!$D$2:$D$658,'MAIN TABLE-1 AUTOMATED'!O713))</f>
        <v/>
      </c>
      <c r="R713" s="41" t="str">
        <f>IF(Table1[[#This Row],[QUANTITY]]=0,"",Table1[[#This Row],[UNIT PRICE]]*Table1[[#This Row],[QUANTITY]])</f>
        <v/>
      </c>
      <c r="S713" s="89"/>
      <c r="T713" s="38"/>
      <c r="U713" s="43"/>
      <c r="V713" s="42" t="str">
        <f>IF(Table1[[#This Row],[DATE]]=0,"",YEAR(E713))</f>
        <v/>
      </c>
      <c r="W713" s="40" t="str">
        <f t="shared" si="22"/>
        <v/>
      </c>
      <c r="X713" s="40" t="str">
        <f t="shared" si="23"/>
        <v/>
      </c>
      <c r="Y713" s="40" t="str">
        <f>TEXT(Table1[[#This Row],[YEAR]],"0000")&amp;"-"&amp;Table1[[#This Row],[MONTH]]</f>
        <v>-</v>
      </c>
    </row>
    <row r="714" spans="1:25" ht="15" customHeight="1" x14ac:dyDescent="0.35">
      <c r="A714" s="24"/>
      <c r="B714" s="38"/>
      <c r="C714" s="38"/>
      <c r="D714" s="38"/>
      <c r="E714" s="37"/>
      <c r="F714" s="38"/>
      <c r="G714" s="198"/>
      <c r="H714" s="198"/>
      <c r="I714" s="39"/>
      <c r="J714" s="38"/>
      <c r="K714" s="198"/>
      <c r="L714" s="38"/>
      <c r="M714" s="38"/>
      <c r="N714" s="38"/>
      <c r="O714" s="38"/>
      <c r="P714" s="40" t="str" cm="1">
        <f t="array" ref="P714">IF(N714="","",IFERROR(_xlfn.XLOOKUP(F714&amp;"|"&amp;J714&amp;"|"&amp;O714,PRICES!$C$2:$C$659&amp;"|"&amp;PRICES!$B$2:$B$659&amp;"|"&amp;PRICES!$D$2:$D$659,PRICES!$E$2:$E$659),"Not Found"))</f>
        <v/>
      </c>
      <c r="Q714" s="100" t="str">
        <f>IF(N714=0,"",SUMIFS(PRICES!$G$2:$G$658,PRICES!$B$2:$B$658,'MAIN TABLE-1 AUTOMATED'!J714,PRICES!$C$2:$C$658,'MAIN TABLE-1 AUTOMATED'!F714,PRICES!$D$2:$D$658,'MAIN TABLE-1 AUTOMATED'!O714))</f>
        <v/>
      </c>
      <c r="R714" s="41" t="str">
        <f>IF(Table1[[#This Row],[QUANTITY]]=0,"",Table1[[#This Row],[UNIT PRICE]]*Table1[[#This Row],[QUANTITY]])</f>
        <v/>
      </c>
      <c r="S714" s="89"/>
      <c r="T714" s="38"/>
      <c r="U714" s="43"/>
      <c r="V714" s="42" t="str">
        <f>IF(Table1[[#This Row],[DATE]]=0,"",YEAR(E714))</f>
        <v/>
      </c>
      <c r="W714" s="40" t="str">
        <f t="shared" si="22"/>
        <v/>
      </c>
      <c r="X714" s="40" t="str">
        <f t="shared" si="23"/>
        <v/>
      </c>
      <c r="Y714" s="40" t="str">
        <f>TEXT(Table1[[#This Row],[YEAR]],"0000")&amp;"-"&amp;Table1[[#This Row],[MONTH]]</f>
        <v>-</v>
      </c>
    </row>
    <row r="715" spans="1:25" ht="15" customHeight="1" x14ac:dyDescent="0.35">
      <c r="A715" s="24"/>
      <c r="B715" s="38"/>
      <c r="C715" s="38"/>
      <c r="D715" s="38"/>
      <c r="E715" s="37"/>
      <c r="F715" s="38"/>
      <c r="G715" s="198"/>
      <c r="H715" s="198"/>
      <c r="I715" s="39"/>
      <c r="J715" s="38"/>
      <c r="K715" s="198"/>
      <c r="L715" s="38"/>
      <c r="M715" s="38"/>
      <c r="N715" s="38"/>
      <c r="O715" s="38"/>
      <c r="P715" s="40" t="str" cm="1">
        <f t="array" ref="P715">IF(N715="","",IFERROR(_xlfn.XLOOKUP(F715&amp;"|"&amp;J715&amp;"|"&amp;O715,PRICES!$C$2:$C$659&amp;"|"&amp;PRICES!$B$2:$B$659&amp;"|"&amp;PRICES!$D$2:$D$659,PRICES!$E$2:$E$659),"Not Found"))</f>
        <v/>
      </c>
      <c r="Q715" s="100" t="str">
        <f>IF(N715=0,"",SUMIFS(PRICES!$G$2:$G$658,PRICES!$B$2:$B$658,'MAIN TABLE-1 AUTOMATED'!J715,PRICES!$C$2:$C$658,'MAIN TABLE-1 AUTOMATED'!F715,PRICES!$D$2:$D$658,'MAIN TABLE-1 AUTOMATED'!O715))</f>
        <v/>
      </c>
      <c r="R715" s="41" t="str">
        <f>IF(Table1[[#This Row],[QUANTITY]]=0,"",Table1[[#This Row],[UNIT PRICE]]*Table1[[#This Row],[QUANTITY]])</f>
        <v/>
      </c>
      <c r="S715" s="89"/>
      <c r="T715" s="38"/>
      <c r="U715" s="43"/>
      <c r="V715" s="42" t="str">
        <f>IF(Table1[[#This Row],[DATE]]=0,"",YEAR(E715))</f>
        <v/>
      </c>
      <c r="W715" s="40" t="str">
        <f t="shared" si="22"/>
        <v/>
      </c>
      <c r="X715" s="40" t="str">
        <f t="shared" si="23"/>
        <v/>
      </c>
      <c r="Y715" s="40" t="str">
        <f>TEXT(Table1[[#This Row],[YEAR]],"0000")&amp;"-"&amp;Table1[[#This Row],[MONTH]]</f>
        <v>-</v>
      </c>
    </row>
    <row r="716" spans="1:25" ht="15" customHeight="1" x14ac:dyDescent="0.35">
      <c r="A716" s="24"/>
      <c r="B716" s="38"/>
      <c r="C716" s="38"/>
      <c r="D716" s="38"/>
      <c r="E716" s="37"/>
      <c r="F716" s="38"/>
      <c r="G716" s="198"/>
      <c r="H716" s="198"/>
      <c r="I716" s="39"/>
      <c r="J716" s="38"/>
      <c r="K716" s="198"/>
      <c r="L716" s="38"/>
      <c r="M716" s="38"/>
      <c r="N716" s="38"/>
      <c r="O716" s="38"/>
      <c r="P716" s="40" t="str" cm="1">
        <f t="array" ref="P716">IF(N716="","",IFERROR(_xlfn.XLOOKUP(F716&amp;"|"&amp;J716&amp;"|"&amp;O716,PRICES!$C$2:$C$659&amp;"|"&amp;PRICES!$B$2:$B$659&amp;"|"&amp;PRICES!$D$2:$D$659,PRICES!$E$2:$E$659),"Not Found"))</f>
        <v/>
      </c>
      <c r="Q716" s="100" t="str">
        <f>IF(N716=0,"",SUMIFS(PRICES!$G$2:$G$658,PRICES!$B$2:$B$658,'MAIN TABLE-1 AUTOMATED'!J716,PRICES!$C$2:$C$658,'MAIN TABLE-1 AUTOMATED'!F716,PRICES!$D$2:$D$658,'MAIN TABLE-1 AUTOMATED'!O716))</f>
        <v/>
      </c>
      <c r="R716" s="41" t="str">
        <f>IF(Table1[[#This Row],[QUANTITY]]=0,"",Table1[[#This Row],[UNIT PRICE]]*Table1[[#This Row],[QUANTITY]])</f>
        <v/>
      </c>
      <c r="S716" s="89"/>
      <c r="T716" s="38"/>
      <c r="U716" s="43"/>
      <c r="V716" s="42" t="str">
        <f>IF(Table1[[#This Row],[DATE]]=0,"",YEAR(E716))</f>
        <v/>
      </c>
      <c r="W716" s="40" t="str">
        <f t="shared" si="22"/>
        <v/>
      </c>
      <c r="X716" s="40" t="str">
        <f t="shared" si="23"/>
        <v/>
      </c>
      <c r="Y716" s="40" t="str">
        <f>TEXT(Table1[[#This Row],[YEAR]],"0000")&amp;"-"&amp;Table1[[#This Row],[MONTH]]</f>
        <v>-</v>
      </c>
    </row>
    <row r="717" spans="1:25" ht="15" customHeight="1" x14ac:dyDescent="0.35">
      <c r="A717" s="24"/>
      <c r="B717" s="38"/>
      <c r="C717" s="38"/>
      <c r="D717" s="38"/>
      <c r="E717" s="37"/>
      <c r="F717" s="38"/>
      <c r="G717" s="198"/>
      <c r="H717" s="198"/>
      <c r="I717" s="39"/>
      <c r="J717" s="38"/>
      <c r="K717" s="198"/>
      <c r="L717" s="38"/>
      <c r="M717" s="38"/>
      <c r="N717" s="38"/>
      <c r="O717" s="38"/>
      <c r="P717" s="40" t="str" cm="1">
        <f t="array" ref="P717">IF(N717="","",IFERROR(_xlfn.XLOOKUP(F717&amp;"|"&amp;J717&amp;"|"&amp;O717,PRICES!$C$2:$C$659&amp;"|"&amp;PRICES!$B$2:$B$659&amp;"|"&amp;PRICES!$D$2:$D$659,PRICES!$E$2:$E$659),"Not Found"))</f>
        <v/>
      </c>
      <c r="Q717" s="100" t="str">
        <f>IF(N717=0,"",SUMIFS(PRICES!$G$2:$G$658,PRICES!$B$2:$B$658,'MAIN TABLE-1 AUTOMATED'!J717,PRICES!$C$2:$C$658,'MAIN TABLE-1 AUTOMATED'!F717,PRICES!$D$2:$D$658,'MAIN TABLE-1 AUTOMATED'!O717))</f>
        <v/>
      </c>
      <c r="R717" s="41" t="str">
        <f>IF(Table1[[#This Row],[QUANTITY]]=0,"",Table1[[#This Row],[UNIT PRICE]]*Table1[[#This Row],[QUANTITY]])</f>
        <v/>
      </c>
      <c r="S717" s="89"/>
      <c r="T717" s="38"/>
      <c r="U717" s="43"/>
      <c r="V717" s="42" t="str">
        <f>IF(Table1[[#This Row],[DATE]]=0,"",YEAR(E717))</f>
        <v/>
      </c>
      <c r="W717" s="40" t="str">
        <f t="shared" si="22"/>
        <v/>
      </c>
      <c r="X717" s="40" t="str">
        <f t="shared" si="23"/>
        <v/>
      </c>
      <c r="Y717" s="40" t="str">
        <f>TEXT(Table1[[#This Row],[YEAR]],"0000")&amp;"-"&amp;Table1[[#This Row],[MONTH]]</f>
        <v>-</v>
      </c>
    </row>
    <row r="718" spans="1:25" ht="15" customHeight="1" x14ac:dyDescent="0.35">
      <c r="A718" s="24"/>
      <c r="B718" s="38"/>
      <c r="C718" s="38"/>
      <c r="D718" s="38"/>
      <c r="E718" s="37"/>
      <c r="F718" s="38"/>
      <c r="G718" s="198"/>
      <c r="H718" s="198"/>
      <c r="I718" s="39"/>
      <c r="J718" s="38"/>
      <c r="K718" s="198"/>
      <c r="L718" s="38"/>
      <c r="M718" s="38"/>
      <c r="N718" s="38"/>
      <c r="O718" s="38"/>
      <c r="P718" s="40" t="str" cm="1">
        <f t="array" ref="P718">IF(N718="","",IFERROR(_xlfn.XLOOKUP(F718&amp;"|"&amp;J718&amp;"|"&amp;O718,PRICES!$C$2:$C$659&amp;"|"&amp;PRICES!$B$2:$B$659&amp;"|"&amp;PRICES!$D$2:$D$659,PRICES!$E$2:$E$659),"Not Found"))</f>
        <v/>
      </c>
      <c r="Q718" s="100" t="str">
        <f>IF(N718=0,"",SUMIFS(PRICES!$G$2:$G$658,PRICES!$B$2:$B$658,'MAIN TABLE-1 AUTOMATED'!J718,PRICES!$C$2:$C$658,'MAIN TABLE-1 AUTOMATED'!F718,PRICES!$D$2:$D$658,'MAIN TABLE-1 AUTOMATED'!O718))</f>
        <v/>
      </c>
      <c r="R718" s="41" t="str">
        <f>IF(Table1[[#This Row],[QUANTITY]]=0,"",Table1[[#This Row],[UNIT PRICE]]*Table1[[#This Row],[QUANTITY]])</f>
        <v/>
      </c>
      <c r="S718" s="89"/>
      <c r="T718" s="38"/>
      <c r="U718" s="43"/>
      <c r="V718" s="42" t="str">
        <f>IF(Table1[[#This Row],[DATE]]=0,"",YEAR(E718))</f>
        <v/>
      </c>
      <c r="W718" s="40" t="str">
        <f t="shared" si="22"/>
        <v/>
      </c>
      <c r="X718" s="40" t="str">
        <f t="shared" si="23"/>
        <v/>
      </c>
      <c r="Y718" s="40" t="str">
        <f>TEXT(Table1[[#This Row],[YEAR]],"0000")&amp;"-"&amp;Table1[[#This Row],[MONTH]]</f>
        <v>-</v>
      </c>
    </row>
    <row r="719" spans="1:25" ht="15" customHeight="1" x14ac:dyDescent="0.35">
      <c r="A719" s="24"/>
      <c r="B719" s="38"/>
      <c r="C719" s="38"/>
      <c r="D719" s="38"/>
      <c r="E719" s="37"/>
      <c r="F719" s="38"/>
      <c r="G719" s="198"/>
      <c r="H719" s="198"/>
      <c r="I719" s="39"/>
      <c r="J719" s="38"/>
      <c r="K719" s="198"/>
      <c r="L719" s="38"/>
      <c r="M719" s="38"/>
      <c r="N719" s="38"/>
      <c r="O719" s="38"/>
      <c r="P719" s="40" t="str" cm="1">
        <f t="array" ref="P719">IF(N719="","",IFERROR(_xlfn.XLOOKUP(F719&amp;"|"&amp;J719&amp;"|"&amp;O719,PRICES!$C$2:$C$659&amp;"|"&amp;PRICES!$B$2:$B$659&amp;"|"&amp;PRICES!$D$2:$D$659,PRICES!$E$2:$E$659),"Not Found"))</f>
        <v/>
      </c>
      <c r="Q719" s="100" t="str">
        <f>IF(N719=0,"",SUMIFS(PRICES!$G$2:$G$658,PRICES!$B$2:$B$658,'MAIN TABLE-1 AUTOMATED'!J719,PRICES!$C$2:$C$658,'MAIN TABLE-1 AUTOMATED'!F719,PRICES!$D$2:$D$658,'MAIN TABLE-1 AUTOMATED'!O719))</f>
        <v/>
      </c>
      <c r="R719" s="41" t="str">
        <f>IF(Table1[[#This Row],[QUANTITY]]=0,"",Table1[[#This Row],[UNIT PRICE]]*Table1[[#This Row],[QUANTITY]])</f>
        <v/>
      </c>
      <c r="S719" s="89"/>
      <c r="T719" s="38"/>
      <c r="U719" s="43"/>
      <c r="V719" s="42" t="str">
        <f>IF(Table1[[#This Row],[DATE]]=0,"",YEAR(E719))</f>
        <v/>
      </c>
      <c r="W719" s="40" t="str">
        <f t="shared" si="22"/>
        <v/>
      </c>
      <c r="X719" s="40" t="str">
        <f t="shared" si="23"/>
        <v/>
      </c>
      <c r="Y719" s="40" t="str">
        <f>TEXT(Table1[[#This Row],[YEAR]],"0000")&amp;"-"&amp;Table1[[#This Row],[MONTH]]</f>
        <v>-</v>
      </c>
    </row>
    <row r="720" spans="1:25" ht="15" customHeight="1" x14ac:dyDescent="0.35">
      <c r="A720" s="24"/>
      <c r="B720" s="38"/>
      <c r="C720" s="38"/>
      <c r="D720" s="38"/>
      <c r="E720" s="37"/>
      <c r="F720" s="38"/>
      <c r="G720" s="198"/>
      <c r="H720" s="198"/>
      <c r="I720" s="39"/>
      <c r="J720" s="38"/>
      <c r="K720" s="198"/>
      <c r="L720" s="38"/>
      <c r="M720" s="38"/>
      <c r="N720" s="38"/>
      <c r="O720" s="38"/>
      <c r="P720" s="40" t="str" cm="1">
        <f t="array" ref="P720">IF(N720="","",IFERROR(_xlfn.XLOOKUP(F720&amp;"|"&amp;J720&amp;"|"&amp;O720,PRICES!$C$2:$C$659&amp;"|"&amp;PRICES!$B$2:$B$659&amp;"|"&amp;PRICES!$D$2:$D$659,PRICES!$E$2:$E$659),"Not Found"))</f>
        <v/>
      </c>
      <c r="Q720" s="100" t="str">
        <f>IF(N720=0,"",SUMIFS(PRICES!$G$2:$G$658,PRICES!$B$2:$B$658,'MAIN TABLE-1 AUTOMATED'!J720,PRICES!$C$2:$C$658,'MAIN TABLE-1 AUTOMATED'!F720,PRICES!$D$2:$D$658,'MAIN TABLE-1 AUTOMATED'!O720))</f>
        <v/>
      </c>
      <c r="R720" s="41" t="str">
        <f>IF(Table1[[#This Row],[QUANTITY]]=0,"",Table1[[#This Row],[UNIT PRICE]]*Table1[[#This Row],[QUANTITY]])</f>
        <v/>
      </c>
      <c r="S720" s="89"/>
      <c r="T720" s="38"/>
      <c r="U720" s="43"/>
      <c r="V720" s="42" t="str">
        <f>IF(Table1[[#This Row],[DATE]]=0,"",YEAR(E720))</f>
        <v/>
      </c>
      <c r="W720" s="40" t="str">
        <f t="shared" si="22"/>
        <v/>
      </c>
      <c r="X720" s="40" t="str">
        <f t="shared" si="23"/>
        <v/>
      </c>
      <c r="Y720" s="40" t="str">
        <f>TEXT(Table1[[#This Row],[YEAR]],"0000")&amp;"-"&amp;Table1[[#This Row],[MONTH]]</f>
        <v>-</v>
      </c>
    </row>
    <row r="721" spans="1:25" ht="15" customHeight="1" x14ac:dyDescent="0.35">
      <c r="A721" s="24"/>
      <c r="B721" s="38"/>
      <c r="C721" s="38"/>
      <c r="D721" s="38"/>
      <c r="E721" s="37"/>
      <c r="F721" s="38"/>
      <c r="G721" s="198"/>
      <c r="H721" s="198"/>
      <c r="I721" s="39"/>
      <c r="J721" s="38"/>
      <c r="K721" s="198"/>
      <c r="L721" s="38"/>
      <c r="M721" s="38"/>
      <c r="N721" s="38"/>
      <c r="O721" s="38"/>
      <c r="P721" s="40" t="str" cm="1">
        <f t="array" ref="P721">IF(N721="","",IFERROR(_xlfn.XLOOKUP(F721&amp;"|"&amp;J721&amp;"|"&amp;O721,PRICES!$C$2:$C$659&amp;"|"&amp;PRICES!$B$2:$B$659&amp;"|"&amp;PRICES!$D$2:$D$659,PRICES!$E$2:$E$659),"Not Found"))</f>
        <v/>
      </c>
      <c r="Q721" s="100" t="str">
        <f>IF(N721=0,"",SUMIFS(PRICES!$G$2:$G$658,PRICES!$B$2:$B$658,'MAIN TABLE-1 AUTOMATED'!J721,PRICES!$C$2:$C$658,'MAIN TABLE-1 AUTOMATED'!F721,PRICES!$D$2:$D$658,'MAIN TABLE-1 AUTOMATED'!O721))</f>
        <v/>
      </c>
      <c r="R721" s="41" t="str">
        <f>IF(Table1[[#This Row],[QUANTITY]]=0,"",Table1[[#This Row],[UNIT PRICE]]*Table1[[#This Row],[QUANTITY]])</f>
        <v/>
      </c>
      <c r="S721" s="89"/>
      <c r="T721" s="38"/>
      <c r="U721" s="43"/>
      <c r="V721" s="42" t="str">
        <f>IF(Table1[[#This Row],[DATE]]=0,"",YEAR(E721))</f>
        <v/>
      </c>
      <c r="W721" s="40" t="str">
        <f t="shared" si="22"/>
        <v/>
      </c>
      <c r="X721" s="40" t="str">
        <f t="shared" si="23"/>
        <v/>
      </c>
      <c r="Y721" s="40" t="str">
        <f>TEXT(Table1[[#This Row],[YEAR]],"0000")&amp;"-"&amp;Table1[[#This Row],[MONTH]]</f>
        <v>-</v>
      </c>
    </row>
    <row r="722" spans="1:25" ht="15" customHeight="1" x14ac:dyDescent="0.35">
      <c r="A722" s="24"/>
      <c r="B722" s="38"/>
      <c r="C722" s="38"/>
      <c r="D722" s="38"/>
      <c r="E722" s="37"/>
      <c r="F722" s="38"/>
      <c r="G722" s="198"/>
      <c r="H722" s="198"/>
      <c r="I722" s="39"/>
      <c r="J722" s="38"/>
      <c r="K722" s="198"/>
      <c r="L722" s="38"/>
      <c r="M722" s="38"/>
      <c r="N722" s="38"/>
      <c r="O722" s="38"/>
      <c r="P722" s="40" t="str" cm="1">
        <f t="array" ref="P722">IF(N722="","",IFERROR(_xlfn.XLOOKUP(F722&amp;"|"&amp;J722&amp;"|"&amp;O722,PRICES!$C$2:$C$659&amp;"|"&amp;PRICES!$B$2:$B$659&amp;"|"&amp;PRICES!$D$2:$D$659,PRICES!$E$2:$E$659),"Not Found"))</f>
        <v/>
      </c>
      <c r="Q722" s="100" t="str">
        <f>IF(N722=0,"",SUMIFS(PRICES!$G$2:$G$658,PRICES!$B$2:$B$658,'MAIN TABLE-1 AUTOMATED'!J722,PRICES!$C$2:$C$658,'MAIN TABLE-1 AUTOMATED'!F722,PRICES!$D$2:$D$658,'MAIN TABLE-1 AUTOMATED'!O722))</f>
        <v/>
      </c>
      <c r="R722" s="41" t="str">
        <f>IF(Table1[[#This Row],[QUANTITY]]=0,"",Table1[[#This Row],[UNIT PRICE]]*Table1[[#This Row],[QUANTITY]])</f>
        <v/>
      </c>
      <c r="S722" s="89"/>
      <c r="T722" s="38"/>
      <c r="U722" s="43"/>
      <c r="V722" s="42" t="str">
        <f>IF(Table1[[#This Row],[DATE]]=0,"",YEAR(E722))</f>
        <v/>
      </c>
      <c r="W722" s="40" t="str">
        <f t="shared" si="22"/>
        <v/>
      </c>
      <c r="X722" s="40" t="str">
        <f t="shared" si="23"/>
        <v/>
      </c>
      <c r="Y722" s="40" t="str">
        <f>TEXT(Table1[[#This Row],[YEAR]],"0000")&amp;"-"&amp;Table1[[#This Row],[MONTH]]</f>
        <v>-</v>
      </c>
    </row>
    <row r="723" spans="1:25" ht="15" customHeight="1" x14ac:dyDescent="0.35">
      <c r="A723" s="24"/>
      <c r="B723" s="38"/>
      <c r="C723" s="38"/>
      <c r="D723" s="38"/>
      <c r="E723" s="37"/>
      <c r="F723" s="38"/>
      <c r="G723" s="198"/>
      <c r="H723" s="198"/>
      <c r="I723" s="39"/>
      <c r="J723" s="38"/>
      <c r="K723" s="198"/>
      <c r="L723" s="38"/>
      <c r="M723" s="38"/>
      <c r="N723" s="38"/>
      <c r="O723" s="38"/>
      <c r="P723" s="40" t="str" cm="1">
        <f t="array" ref="P723">IF(N723="","",IFERROR(_xlfn.XLOOKUP(F723&amp;"|"&amp;J723&amp;"|"&amp;O723,PRICES!$C$2:$C$659&amp;"|"&amp;PRICES!$B$2:$B$659&amp;"|"&amp;PRICES!$D$2:$D$659,PRICES!$E$2:$E$659),"Not Found"))</f>
        <v/>
      </c>
      <c r="Q723" s="100" t="str">
        <f>IF(N723=0,"",SUMIFS(PRICES!$G$2:$G$658,PRICES!$B$2:$B$658,'MAIN TABLE-1 AUTOMATED'!J723,PRICES!$C$2:$C$658,'MAIN TABLE-1 AUTOMATED'!F723,PRICES!$D$2:$D$658,'MAIN TABLE-1 AUTOMATED'!O723))</f>
        <v/>
      </c>
      <c r="R723" s="41" t="str">
        <f>IF(Table1[[#This Row],[QUANTITY]]=0,"",Table1[[#This Row],[UNIT PRICE]]*Table1[[#This Row],[QUANTITY]])</f>
        <v/>
      </c>
      <c r="S723" s="89"/>
      <c r="T723" s="38"/>
      <c r="U723" s="43"/>
      <c r="V723" s="42" t="str">
        <f>IF(Table1[[#This Row],[DATE]]=0,"",YEAR(E723))</f>
        <v/>
      </c>
      <c r="W723" s="40" t="str">
        <f t="shared" si="22"/>
        <v/>
      </c>
      <c r="X723" s="40" t="str">
        <f t="shared" si="23"/>
        <v/>
      </c>
      <c r="Y723" s="40" t="str">
        <f>TEXT(Table1[[#This Row],[YEAR]],"0000")&amp;"-"&amp;Table1[[#This Row],[MONTH]]</f>
        <v>-</v>
      </c>
    </row>
    <row r="724" spans="1:25" ht="15" customHeight="1" x14ac:dyDescent="0.35">
      <c r="A724" s="24"/>
      <c r="B724" s="38"/>
      <c r="C724" s="38"/>
      <c r="D724" s="38"/>
      <c r="E724" s="37"/>
      <c r="F724" s="38"/>
      <c r="G724" s="198"/>
      <c r="H724" s="198"/>
      <c r="I724" s="39"/>
      <c r="J724" s="38"/>
      <c r="K724" s="198"/>
      <c r="L724" s="38"/>
      <c r="M724" s="38"/>
      <c r="N724" s="38"/>
      <c r="O724" s="38"/>
      <c r="P724" s="40" t="str" cm="1">
        <f t="array" ref="P724">IF(N724="","",IFERROR(_xlfn.XLOOKUP(F724&amp;"|"&amp;J724&amp;"|"&amp;O724,PRICES!$C$2:$C$659&amp;"|"&amp;PRICES!$B$2:$B$659&amp;"|"&amp;PRICES!$D$2:$D$659,PRICES!$E$2:$E$659),"Not Found"))</f>
        <v/>
      </c>
      <c r="Q724" s="100" t="str">
        <f>IF(N724=0,"",SUMIFS(PRICES!$G$2:$G$658,PRICES!$B$2:$B$658,'MAIN TABLE-1 AUTOMATED'!J724,PRICES!$C$2:$C$658,'MAIN TABLE-1 AUTOMATED'!F724,PRICES!$D$2:$D$658,'MAIN TABLE-1 AUTOMATED'!O724))</f>
        <v/>
      </c>
      <c r="R724" s="41" t="str">
        <f>IF(Table1[[#This Row],[QUANTITY]]=0,"",Table1[[#This Row],[UNIT PRICE]]*Table1[[#This Row],[QUANTITY]])</f>
        <v/>
      </c>
      <c r="S724" s="89"/>
      <c r="T724" s="38"/>
      <c r="U724" s="43"/>
      <c r="V724" s="42" t="str">
        <f>IF(Table1[[#This Row],[DATE]]=0,"",YEAR(E724))</f>
        <v/>
      </c>
      <c r="W724" s="40" t="str">
        <f t="shared" si="22"/>
        <v/>
      </c>
      <c r="X724" s="40" t="str">
        <f t="shared" si="23"/>
        <v/>
      </c>
      <c r="Y724" s="40" t="str">
        <f>TEXT(Table1[[#This Row],[YEAR]],"0000")&amp;"-"&amp;Table1[[#This Row],[MONTH]]</f>
        <v>-</v>
      </c>
    </row>
    <row r="725" spans="1:25" ht="15" customHeight="1" x14ac:dyDescent="0.35">
      <c r="A725" s="24"/>
      <c r="B725" s="38"/>
      <c r="C725" s="38"/>
      <c r="D725" s="38"/>
      <c r="E725" s="37"/>
      <c r="F725" s="38"/>
      <c r="G725" s="198"/>
      <c r="H725" s="198"/>
      <c r="I725" s="39"/>
      <c r="J725" s="38"/>
      <c r="K725" s="198"/>
      <c r="L725" s="38"/>
      <c r="M725" s="38"/>
      <c r="N725" s="38"/>
      <c r="O725" s="38"/>
      <c r="P725" s="40" t="str" cm="1">
        <f t="array" ref="P725">IF(N725="","",IFERROR(_xlfn.XLOOKUP(F725&amp;"|"&amp;J725&amp;"|"&amp;O725,PRICES!$C$2:$C$659&amp;"|"&amp;PRICES!$B$2:$B$659&amp;"|"&amp;PRICES!$D$2:$D$659,PRICES!$E$2:$E$659),"Not Found"))</f>
        <v/>
      </c>
      <c r="Q725" s="100" t="str">
        <f>IF(N725=0,"",SUMIFS(PRICES!$G$2:$G$658,PRICES!$B$2:$B$658,'MAIN TABLE-1 AUTOMATED'!J725,PRICES!$C$2:$C$658,'MAIN TABLE-1 AUTOMATED'!F725,PRICES!$D$2:$D$658,'MAIN TABLE-1 AUTOMATED'!O725))</f>
        <v/>
      </c>
      <c r="R725" s="41" t="str">
        <f>IF(Table1[[#This Row],[QUANTITY]]=0,"",Table1[[#This Row],[UNIT PRICE]]*Table1[[#This Row],[QUANTITY]])</f>
        <v/>
      </c>
      <c r="S725" s="89"/>
      <c r="T725" s="38"/>
      <c r="U725" s="43"/>
      <c r="V725" s="42" t="str">
        <f>IF(Table1[[#This Row],[DATE]]=0,"",YEAR(E725))</f>
        <v/>
      </c>
      <c r="W725" s="40" t="str">
        <f t="shared" si="22"/>
        <v/>
      </c>
      <c r="X725" s="40" t="str">
        <f t="shared" si="23"/>
        <v/>
      </c>
      <c r="Y725" s="40" t="str">
        <f>TEXT(Table1[[#This Row],[YEAR]],"0000")&amp;"-"&amp;Table1[[#This Row],[MONTH]]</f>
        <v>-</v>
      </c>
    </row>
    <row r="726" spans="1:25" ht="15" customHeight="1" x14ac:dyDescent="0.35">
      <c r="A726" s="24"/>
      <c r="B726" s="38"/>
      <c r="C726" s="38"/>
      <c r="D726" s="38"/>
      <c r="E726" s="37"/>
      <c r="F726" s="38"/>
      <c r="G726" s="198"/>
      <c r="H726" s="198"/>
      <c r="I726" s="39"/>
      <c r="J726" s="38"/>
      <c r="K726" s="198"/>
      <c r="L726" s="38"/>
      <c r="M726" s="38"/>
      <c r="N726" s="38"/>
      <c r="O726" s="38"/>
      <c r="P726" s="40" t="str" cm="1">
        <f t="array" ref="P726">IF(N726="","",IFERROR(_xlfn.XLOOKUP(F726&amp;"|"&amp;J726&amp;"|"&amp;O726,PRICES!$C$2:$C$659&amp;"|"&amp;PRICES!$B$2:$B$659&amp;"|"&amp;PRICES!$D$2:$D$659,PRICES!$E$2:$E$659),"Not Found"))</f>
        <v/>
      </c>
      <c r="Q726" s="100" t="str">
        <f>IF(N726=0,"",SUMIFS(PRICES!$G$2:$G$658,PRICES!$B$2:$B$658,'MAIN TABLE-1 AUTOMATED'!J726,PRICES!$C$2:$C$658,'MAIN TABLE-1 AUTOMATED'!F726,PRICES!$D$2:$D$658,'MAIN TABLE-1 AUTOMATED'!O726))</f>
        <v/>
      </c>
      <c r="R726" s="41" t="str">
        <f>IF(Table1[[#This Row],[QUANTITY]]=0,"",Table1[[#This Row],[UNIT PRICE]]*Table1[[#This Row],[QUANTITY]])</f>
        <v/>
      </c>
      <c r="S726" s="89"/>
      <c r="T726" s="38"/>
      <c r="U726" s="43"/>
      <c r="V726" s="42" t="str">
        <f>IF(Table1[[#This Row],[DATE]]=0,"",YEAR(E726))</f>
        <v/>
      </c>
      <c r="W726" s="40" t="str">
        <f t="shared" si="22"/>
        <v/>
      </c>
      <c r="X726" s="40" t="str">
        <f t="shared" si="23"/>
        <v/>
      </c>
      <c r="Y726" s="40" t="str">
        <f>TEXT(Table1[[#This Row],[YEAR]],"0000")&amp;"-"&amp;Table1[[#This Row],[MONTH]]</f>
        <v>-</v>
      </c>
    </row>
    <row r="727" spans="1:25" ht="15" customHeight="1" x14ac:dyDescent="0.35">
      <c r="A727" s="24"/>
      <c r="B727" s="38"/>
      <c r="C727" s="38"/>
      <c r="D727" s="38"/>
      <c r="E727" s="37"/>
      <c r="F727" s="38"/>
      <c r="G727" s="198"/>
      <c r="H727" s="198"/>
      <c r="I727" s="39"/>
      <c r="J727" s="38"/>
      <c r="K727" s="198"/>
      <c r="L727" s="38"/>
      <c r="M727" s="38"/>
      <c r="N727" s="38"/>
      <c r="O727" s="38"/>
      <c r="P727" s="40" t="str" cm="1">
        <f t="array" ref="P727">IF(N727="","",IFERROR(_xlfn.XLOOKUP(F727&amp;"|"&amp;J727&amp;"|"&amp;O727,PRICES!$C$2:$C$659&amp;"|"&amp;PRICES!$B$2:$B$659&amp;"|"&amp;PRICES!$D$2:$D$659,PRICES!$E$2:$E$659),"Not Found"))</f>
        <v/>
      </c>
      <c r="Q727" s="100" t="str">
        <f>IF(N727=0,"",SUMIFS(PRICES!$G$2:$G$658,PRICES!$B$2:$B$658,'MAIN TABLE-1 AUTOMATED'!J727,PRICES!$C$2:$C$658,'MAIN TABLE-1 AUTOMATED'!F727,PRICES!$D$2:$D$658,'MAIN TABLE-1 AUTOMATED'!O727))</f>
        <v/>
      </c>
      <c r="R727" s="41" t="str">
        <f>IF(Table1[[#This Row],[QUANTITY]]=0,"",Table1[[#This Row],[UNIT PRICE]]*Table1[[#This Row],[QUANTITY]])</f>
        <v/>
      </c>
      <c r="S727" s="89"/>
      <c r="T727" s="38"/>
      <c r="U727" s="43"/>
      <c r="V727" s="42" t="str">
        <f>IF(Table1[[#This Row],[DATE]]=0,"",YEAR(E727))</f>
        <v/>
      </c>
      <c r="W727" s="40" t="str">
        <f t="shared" si="22"/>
        <v/>
      </c>
      <c r="X727" s="40" t="str">
        <f t="shared" si="23"/>
        <v/>
      </c>
      <c r="Y727" s="40" t="str">
        <f>TEXT(Table1[[#This Row],[YEAR]],"0000")&amp;"-"&amp;Table1[[#This Row],[MONTH]]</f>
        <v>-</v>
      </c>
    </row>
    <row r="728" spans="1:25" ht="15" customHeight="1" x14ac:dyDescent="0.35">
      <c r="A728" s="24"/>
      <c r="B728" s="38"/>
      <c r="C728" s="38"/>
      <c r="D728" s="38"/>
      <c r="E728" s="37"/>
      <c r="F728" s="38"/>
      <c r="G728" s="198"/>
      <c r="H728" s="198"/>
      <c r="I728" s="39"/>
      <c r="J728" s="38"/>
      <c r="K728" s="198"/>
      <c r="L728" s="38"/>
      <c r="M728" s="38"/>
      <c r="N728" s="38"/>
      <c r="O728" s="38"/>
      <c r="P728" s="40" t="str" cm="1">
        <f t="array" ref="P728">IF(N728="","",IFERROR(_xlfn.XLOOKUP(F728&amp;"|"&amp;J728&amp;"|"&amp;O728,PRICES!$C$2:$C$659&amp;"|"&amp;PRICES!$B$2:$B$659&amp;"|"&amp;PRICES!$D$2:$D$659,PRICES!$E$2:$E$659),"Not Found"))</f>
        <v/>
      </c>
      <c r="Q728" s="100" t="str">
        <f>IF(N728=0,"",SUMIFS(PRICES!$G$2:$G$658,PRICES!$B$2:$B$658,'MAIN TABLE-1 AUTOMATED'!J728,PRICES!$C$2:$C$658,'MAIN TABLE-1 AUTOMATED'!F728,PRICES!$D$2:$D$658,'MAIN TABLE-1 AUTOMATED'!O728))</f>
        <v/>
      </c>
      <c r="R728" s="41" t="str">
        <f>IF(Table1[[#This Row],[QUANTITY]]=0,"",Table1[[#This Row],[UNIT PRICE]]*Table1[[#This Row],[QUANTITY]])</f>
        <v/>
      </c>
      <c r="S728" s="89"/>
      <c r="T728" s="38"/>
      <c r="U728" s="43"/>
      <c r="V728" s="42" t="str">
        <f>IF(Table1[[#This Row],[DATE]]=0,"",YEAR(E728))</f>
        <v/>
      </c>
      <c r="W728" s="40" t="str">
        <f t="shared" si="22"/>
        <v/>
      </c>
      <c r="X728" s="40" t="str">
        <f t="shared" si="23"/>
        <v/>
      </c>
      <c r="Y728" s="40" t="str">
        <f>TEXT(Table1[[#This Row],[YEAR]],"0000")&amp;"-"&amp;Table1[[#This Row],[MONTH]]</f>
        <v>-</v>
      </c>
    </row>
    <row r="729" spans="1:25" ht="15" customHeight="1" x14ac:dyDescent="0.35">
      <c r="A729" s="24"/>
      <c r="B729" s="38"/>
      <c r="C729" s="38"/>
      <c r="D729" s="38"/>
      <c r="E729" s="37"/>
      <c r="F729" s="38"/>
      <c r="G729" s="198"/>
      <c r="H729" s="198"/>
      <c r="I729" s="39"/>
      <c r="J729" s="38"/>
      <c r="K729" s="198"/>
      <c r="L729" s="38"/>
      <c r="M729" s="38"/>
      <c r="N729" s="38"/>
      <c r="O729" s="38"/>
      <c r="P729" s="40" t="str" cm="1">
        <f t="array" ref="P729">IF(N729="","",IFERROR(_xlfn.XLOOKUP(F729&amp;"|"&amp;J729&amp;"|"&amp;O729,PRICES!$C$2:$C$659&amp;"|"&amp;PRICES!$B$2:$B$659&amp;"|"&amp;PRICES!$D$2:$D$659,PRICES!$E$2:$E$659),"Not Found"))</f>
        <v/>
      </c>
      <c r="Q729" s="100" t="str">
        <f>IF(N729=0,"",SUMIFS(PRICES!$G$2:$G$658,PRICES!$B$2:$B$658,'MAIN TABLE-1 AUTOMATED'!J729,PRICES!$C$2:$C$658,'MAIN TABLE-1 AUTOMATED'!F729,PRICES!$D$2:$D$658,'MAIN TABLE-1 AUTOMATED'!O729))</f>
        <v/>
      </c>
      <c r="R729" s="41" t="str">
        <f>IF(Table1[[#This Row],[QUANTITY]]=0,"",Table1[[#This Row],[UNIT PRICE]]*Table1[[#This Row],[QUANTITY]])</f>
        <v/>
      </c>
      <c r="S729" s="89"/>
      <c r="T729" s="38"/>
      <c r="U729" s="43"/>
      <c r="V729" s="42" t="str">
        <f>IF(Table1[[#This Row],[DATE]]=0,"",YEAR(E729))</f>
        <v/>
      </c>
      <c r="W729" s="40" t="str">
        <f t="shared" si="22"/>
        <v/>
      </c>
      <c r="X729" s="40" t="str">
        <f t="shared" si="23"/>
        <v/>
      </c>
      <c r="Y729" s="40" t="str">
        <f>TEXT(Table1[[#This Row],[YEAR]],"0000")&amp;"-"&amp;Table1[[#This Row],[MONTH]]</f>
        <v>-</v>
      </c>
    </row>
    <row r="730" spans="1:25" ht="15" customHeight="1" x14ac:dyDescent="0.35">
      <c r="A730" s="24"/>
      <c r="B730" s="38"/>
      <c r="C730" s="38"/>
      <c r="D730" s="38"/>
      <c r="E730" s="37"/>
      <c r="F730" s="38"/>
      <c r="G730" s="198"/>
      <c r="H730" s="198"/>
      <c r="I730" s="39"/>
      <c r="J730" s="38"/>
      <c r="K730" s="198"/>
      <c r="L730" s="38"/>
      <c r="M730" s="38"/>
      <c r="N730" s="38"/>
      <c r="O730" s="38"/>
      <c r="P730" s="40" t="str" cm="1">
        <f t="array" ref="P730">IF(N730="","",IFERROR(_xlfn.XLOOKUP(F730&amp;"|"&amp;J730&amp;"|"&amp;O730,PRICES!$C$2:$C$659&amp;"|"&amp;PRICES!$B$2:$B$659&amp;"|"&amp;PRICES!$D$2:$D$659,PRICES!$E$2:$E$659),"Not Found"))</f>
        <v/>
      </c>
      <c r="Q730" s="100" t="str">
        <f>IF(N730=0,"",SUMIFS(PRICES!$G$2:$G$658,PRICES!$B$2:$B$658,'MAIN TABLE-1 AUTOMATED'!J730,PRICES!$C$2:$C$658,'MAIN TABLE-1 AUTOMATED'!F730,PRICES!$D$2:$D$658,'MAIN TABLE-1 AUTOMATED'!O730))</f>
        <v/>
      </c>
      <c r="R730" s="41" t="str">
        <f>IF(Table1[[#This Row],[QUANTITY]]=0,"",Table1[[#This Row],[UNIT PRICE]]*Table1[[#This Row],[QUANTITY]])</f>
        <v/>
      </c>
      <c r="S730" s="89"/>
      <c r="T730" s="38"/>
      <c r="U730" s="43"/>
      <c r="V730" s="42" t="str">
        <f>IF(Table1[[#This Row],[DATE]]=0,"",YEAR(E730))</f>
        <v/>
      </c>
      <c r="W730" s="40" t="str">
        <f t="shared" si="22"/>
        <v/>
      </c>
      <c r="X730" s="40" t="str">
        <f t="shared" si="23"/>
        <v/>
      </c>
      <c r="Y730" s="40" t="str">
        <f>TEXT(Table1[[#This Row],[YEAR]],"0000")&amp;"-"&amp;Table1[[#This Row],[MONTH]]</f>
        <v>-</v>
      </c>
    </row>
    <row r="731" spans="1:25" ht="15" customHeight="1" x14ac:dyDescent="0.35">
      <c r="A731" s="24"/>
      <c r="B731" s="38"/>
      <c r="C731" s="38"/>
      <c r="D731" s="38"/>
      <c r="E731" s="37"/>
      <c r="F731" s="38"/>
      <c r="G731" s="198"/>
      <c r="H731" s="198"/>
      <c r="I731" s="39"/>
      <c r="J731" s="38"/>
      <c r="K731" s="198"/>
      <c r="L731" s="38"/>
      <c r="M731" s="38"/>
      <c r="N731" s="38"/>
      <c r="O731" s="38"/>
      <c r="P731" s="40" t="str" cm="1">
        <f t="array" ref="P731">IF(N731="","",IFERROR(_xlfn.XLOOKUP(F731&amp;"|"&amp;J731&amp;"|"&amp;O731,PRICES!$C$2:$C$659&amp;"|"&amp;PRICES!$B$2:$B$659&amp;"|"&amp;PRICES!$D$2:$D$659,PRICES!$E$2:$E$659),"Not Found"))</f>
        <v/>
      </c>
      <c r="Q731" s="100" t="str">
        <f>IF(N731=0,"",SUMIFS(PRICES!$G$2:$G$658,PRICES!$B$2:$B$658,'MAIN TABLE-1 AUTOMATED'!J731,PRICES!$C$2:$C$658,'MAIN TABLE-1 AUTOMATED'!F731,PRICES!$D$2:$D$658,'MAIN TABLE-1 AUTOMATED'!O731))</f>
        <v/>
      </c>
      <c r="R731" s="41" t="str">
        <f>IF(Table1[[#This Row],[QUANTITY]]=0,"",Table1[[#This Row],[UNIT PRICE]]*Table1[[#This Row],[QUANTITY]])</f>
        <v/>
      </c>
      <c r="S731" s="89"/>
      <c r="T731" s="38"/>
      <c r="U731" s="43"/>
      <c r="V731" s="42" t="str">
        <f>IF(Table1[[#This Row],[DATE]]=0,"",YEAR(E731))</f>
        <v/>
      </c>
      <c r="W731" s="40" t="str">
        <f t="shared" si="22"/>
        <v/>
      </c>
      <c r="X731" s="40" t="str">
        <f t="shared" si="23"/>
        <v/>
      </c>
      <c r="Y731" s="40" t="str">
        <f>TEXT(Table1[[#This Row],[YEAR]],"0000")&amp;"-"&amp;Table1[[#This Row],[MONTH]]</f>
        <v>-</v>
      </c>
    </row>
    <row r="732" spans="1:25" ht="15" customHeight="1" x14ac:dyDescent="0.35">
      <c r="A732" s="24"/>
      <c r="B732" s="38"/>
      <c r="C732" s="38"/>
      <c r="D732" s="38"/>
      <c r="E732" s="37"/>
      <c r="F732" s="38"/>
      <c r="G732" s="198"/>
      <c r="H732" s="198"/>
      <c r="I732" s="39"/>
      <c r="J732" s="38"/>
      <c r="K732" s="198"/>
      <c r="L732" s="38"/>
      <c r="M732" s="38"/>
      <c r="N732" s="38"/>
      <c r="O732" s="38"/>
      <c r="P732" s="40" t="str" cm="1">
        <f t="array" ref="P732">IF(N732="","",IFERROR(_xlfn.XLOOKUP(F732&amp;"|"&amp;J732&amp;"|"&amp;O732,PRICES!$C$2:$C$659&amp;"|"&amp;PRICES!$B$2:$B$659&amp;"|"&amp;PRICES!$D$2:$D$659,PRICES!$E$2:$E$659),"Not Found"))</f>
        <v/>
      </c>
      <c r="Q732" s="100" t="str">
        <f>IF(N732=0,"",SUMIFS(PRICES!$G$2:$G$658,PRICES!$B$2:$B$658,'MAIN TABLE-1 AUTOMATED'!J732,PRICES!$C$2:$C$658,'MAIN TABLE-1 AUTOMATED'!F732,PRICES!$D$2:$D$658,'MAIN TABLE-1 AUTOMATED'!O732))</f>
        <v/>
      </c>
      <c r="R732" s="41" t="str">
        <f>IF(Table1[[#This Row],[QUANTITY]]=0,"",Table1[[#This Row],[UNIT PRICE]]*Table1[[#This Row],[QUANTITY]])</f>
        <v/>
      </c>
      <c r="S732" s="89"/>
      <c r="T732" s="38"/>
      <c r="U732" s="43"/>
      <c r="V732" s="42" t="str">
        <f>IF(Table1[[#This Row],[DATE]]=0,"",YEAR(E732))</f>
        <v/>
      </c>
      <c r="W732" s="40" t="str">
        <f t="shared" si="22"/>
        <v/>
      </c>
      <c r="X732" s="40" t="str">
        <f t="shared" si="23"/>
        <v/>
      </c>
      <c r="Y732" s="40" t="str">
        <f>TEXT(Table1[[#This Row],[YEAR]],"0000")&amp;"-"&amp;Table1[[#This Row],[MONTH]]</f>
        <v>-</v>
      </c>
    </row>
    <row r="733" spans="1:25" ht="15" customHeight="1" x14ac:dyDescent="0.35">
      <c r="A733" s="24"/>
      <c r="B733" s="38"/>
      <c r="C733" s="38"/>
      <c r="D733" s="38"/>
      <c r="E733" s="37"/>
      <c r="F733" s="38"/>
      <c r="G733" s="198"/>
      <c r="H733" s="198"/>
      <c r="I733" s="39"/>
      <c r="J733" s="38"/>
      <c r="K733" s="198"/>
      <c r="L733" s="38"/>
      <c r="M733" s="38"/>
      <c r="N733" s="38"/>
      <c r="O733" s="38"/>
      <c r="P733" s="40" t="str" cm="1">
        <f t="array" ref="P733">IF(N733="","",IFERROR(_xlfn.XLOOKUP(F733&amp;"|"&amp;J733&amp;"|"&amp;O733,PRICES!$C$2:$C$659&amp;"|"&amp;PRICES!$B$2:$B$659&amp;"|"&amp;PRICES!$D$2:$D$659,PRICES!$E$2:$E$659),"Not Found"))</f>
        <v/>
      </c>
      <c r="Q733" s="100" t="str">
        <f>IF(N733=0,"",SUMIFS(PRICES!$G$2:$G$658,PRICES!$B$2:$B$658,'MAIN TABLE-1 AUTOMATED'!J733,PRICES!$C$2:$C$658,'MAIN TABLE-1 AUTOMATED'!F733,PRICES!$D$2:$D$658,'MAIN TABLE-1 AUTOMATED'!O733))</f>
        <v/>
      </c>
      <c r="R733" s="41" t="str">
        <f>IF(Table1[[#This Row],[QUANTITY]]=0,"",Table1[[#This Row],[UNIT PRICE]]*Table1[[#This Row],[QUANTITY]])</f>
        <v/>
      </c>
      <c r="S733" s="89"/>
      <c r="T733" s="38"/>
      <c r="U733" s="43"/>
      <c r="V733" s="42" t="str">
        <f>IF(Table1[[#This Row],[DATE]]=0,"",YEAR(E733))</f>
        <v/>
      </c>
      <c r="W733" s="40" t="str">
        <f t="shared" si="22"/>
        <v/>
      </c>
      <c r="X733" s="40" t="str">
        <f t="shared" si="23"/>
        <v/>
      </c>
      <c r="Y733" s="40" t="str">
        <f>TEXT(Table1[[#This Row],[YEAR]],"0000")&amp;"-"&amp;Table1[[#This Row],[MONTH]]</f>
        <v>-</v>
      </c>
    </row>
    <row r="734" spans="1:25" ht="15" customHeight="1" x14ac:dyDescent="0.35">
      <c r="A734" s="24"/>
      <c r="B734" s="38"/>
      <c r="C734" s="38"/>
      <c r="D734" s="38"/>
      <c r="E734" s="37"/>
      <c r="F734" s="38"/>
      <c r="G734" s="198"/>
      <c r="H734" s="198"/>
      <c r="I734" s="39"/>
      <c r="J734" s="38"/>
      <c r="K734" s="198"/>
      <c r="L734" s="38"/>
      <c r="M734" s="38"/>
      <c r="N734" s="38"/>
      <c r="O734" s="38"/>
      <c r="P734" s="40" t="str" cm="1">
        <f t="array" ref="P734">IF(N734="","",IFERROR(_xlfn.XLOOKUP(F734&amp;"|"&amp;J734&amp;"|"&amp;O734,PRICES!$C$2:$C$659&amp;"|"&amp;PRICES!$B$2:$B$659&amp;"|"&amp;PRICES!$D$2:$D$659,PRICES!$E$2:$E$659),"Not Found"))</f>
        <v/>
      </c>
      <c r="Q734" s="100" t="str">
        <f>IF(N734=0,"",SUMIFS(PRICES!$G$2:$G$658,PRICES!$B$2:$B$658,'MAIN TABLE-1 AUTOMATED'!J734,PRICES!$C$2:$C$658,'MAIN TABLE-1 AUTOMATED'!F734,PRICES!$D$2:$D$658,'MAIN TABLE-1 AUTOMATED'!O734))</f>
        <v/>
      </c>
      <c r="R734" s="41" t="str">
        <f>IF(Table1[[#This Row],[QUANTITY]]=0,"",Table1[[#This Row],[UNIT PRICE]]*Table1[[#This Row],[QUANTITY]])</f>
        <v/>
      </c>
      <c r="S734" s="89"/>
      <c r="T734" s="38"/>
      <c r="U734" s="43"/>
      <c r="V734" s="42" t="str">
        <f>IF(Table1[[#This Row],[DATE]]=0,"",YEAR(E734))</f>
        <v/>
      </c>
      <c r="W734" s="40" t="str">
        <f t="shared" si="22"/>
        <v/>
      </c>
      <c r="X734" s="40" t="str">
        <f t="shared" si="23"/>
        <v/>
      </c>
      <c r="Y734" s="40" t="str">
        <f>TEXT(Table1[[#This Row],[YEAR]],"0000")&amp;"-"&amp;Table1[[#This Row],[MONTH]]</f>
        <v>-</v>
      </c>
    </row>
    <row r="735" spans="1:25" ht="15" customHeight="1" x14ac:dyDescent="0.35">
      <c r="A735" s="24"/>
      <c r="B735" s="38"/>
      <c r="C735" s="38"/>
      <c r="D735" s="38"/>
      <c r="E735" s="37"/>
      <c r="F735" s="38"/>
      <c r="G735" s="198"/>
      <c r="H735" s="198"/>
      <c r="I735" s="39"/>
      <c r="J735" s="38"/>
      <c r="K735" s="198"/>
      <c r="L735" s="38"/>
      <c r="M735" s="38"/>
      <c r="N735" s="38"/>
      <c r="O735" s="38"/>
      <c r="P735" s="40" t="str" cm="1">
        <f t="array" ref="P735">IF(N735="","",IFERROR(_xlfn.XLOOKUP(F735&amp;"|"&amp;J735&amp;"|"&amp;O735,PRICES!$C$2:$C$659&amp;"|"&amp;PRICES!$B$2:$B$659&amp;"|"&amp;PRICES!$D$2:$D$659,PRICES!$E$2:$E$659),"Not Found"))</f>
        <v/>
      </c>
      <c r="Q735" s="100" t="str">
        <f>IF(N735=0,"",SUMIFS(PRICES!$G$2:$G$658,PRICES!$B$2:$B$658,'MAIN TABLE-1 AUTOMATED'!J735,PRICES!$C$2:$C$658,'MAIN TABLE-1 AUTOMATED'!F735,PRICES!$D$2:$D$658,'MAIN TABLE-1 AUTOMATED'!O735))</f>
        <v/>
      </c>
      <c r="R735" s="41" t="str">
        <f>IF(Table1[[#This Row],[QUANTITY]]=0,"",Table1[[#This Row],[UNIT PRICE]]*Table1[[#This Row],[QUANTITY]])</f>
        <v/>
      </c>
      <c r="S735" s="89"/>
      <c r="T735" s="38"/>
      <c r="U735" s="43"/>
      <c r="V735" s="42" t="str">
        <f>IF(Table1[[#This Row],[DATE]]=0,"",YEAR(E735))</f>
        <v/>
      </c>
      <c r="W735" s="40" t="str">
        <f t="shared" ref="W735:W798" si="24">IF(E735=0,"",MONTH(E735))</f>
        <v/>
      </c>
      <c r="X735" s="40" t="str">
        <f t="shared" ref="X735:X798" si="25">IF(E735=0,"",WEEKNUM(E735))</f>
        <v/>
      </c>
      <c r="Y735" s="40" t="str">
        <f>TEXT(Table1[[#This Row],[YEAR]],"0000")&amp;"-"&amp;Table1[[#This Row],[MONTH]]</f>
        <v>-</v>
      </c>
    </row>
    <row r="736" spans="1:25" ht="15" customHeight="1" x14ac:dyDescent="0.35">
      <c r="A736" s="24"/>
      <c r="B736" s="38"/>
      <c r="C736" s="38"/>
      <c r="D736" s="38"/>
      <c r="E736" s="37"/>
      <c r="F736" s="38"/>
      <c r="G736" s="198"/>
      <c r="H736" s="198"/>
      <c r="I736" s="39"/>
      <c r="J736" s="38"/>
      <c r="K736" s="198"/>
      <c r="L736" s="38"/>
      <c r="M736" s="38"/>
      <c r="N736" s="38"/>
      <c r="O736" s="38"/>
      <c r="P736" s="40" t="str" cm="1">
        <f t="array" ref="P736">IF(N736="","",IFERROR(_xlfn.XLOOKUP(F736&amp;"|"&amp;J736&amp;"|"&amp;O736,PRICES!$C$2:$C$659&amp;"|"&amp;PRICES!$B$2:$B$659&amp;"|"&amp;PRICES!$D$2:$D$659,PRICES!$E$2:$E$659),"Not Found"))</f>
        <v/>
      </c>
      <c r="Q736" s="100" t="str">
        <f>IF(N736=0,"",SUMIFS(PRICES!$G$2:$G$658,PRICES!$B$2:$B$658,'MAIN TABLE-1 AUTOMATED'!J736,PRICES!$C$2:$C$658,'MAIN TABLE-1 AUTOMATED'!F736,PRICES!$D$2:$D$658,'MAIN TABLE-1 AUTOMATED'!O736))</f>
        <v/>
      </c>
      <c r="R736" s="41" t="str">
        <f>IF(Table1[[#This Row],[QUANTITY]]=0,"",Table1[[#This Row],[UNIT PRICE]]*Table1[[#This Row],[QUANTITY]])</f>
        <v/>
      </c>
      <c r="S736" s="89"/>
      <c r="T736" s="38"/>
      <c r="U736" s="43"/>
      <c r="V736" s="42" t="str">
        <f>IF(Table1[[#This Row],[DATE]]=0,"",YEAR(E736))</f>
        <v/>
      </c>
      <c r="W736" s="40" t="str">
        <f t="shared" si="24"/>
        <v/>
      </c>
      <c r="X736" s="40" t="str">
        <f t="shared" si="25"/>
        <v/>
      </c>
      <c r="Y736" s="40" t="str">
        <f>TEXT(Table1[[#This Row],[YEAR]],"0000")&amp;"-"&amp;Table1[[#This Row],[MONTH]]</f>
        <v>-</v>
      </c>
    </row>
    <row r="737" spans="1:25" ht="15" customHeight="1" x14ac:dyDescent="0.35">
      <c r="A737" s="24"/>
      <c r="B737" s="38"/>
      <c r="C737" s="38"/>
      <c r="D737" s="38"/>
      <c r="E737" s="37"/>
      <c r="F737" s="38"/>
      <c r="G737" s="198"/>
      <c r="H737" s="198"/>
      <c r="I737" s="39"/>
      <c r="J737" s="38"/>
      <c r="K737" s="198"/>
      <c r="L737" s="38"/>
      <c r="M737" s="38"/>
      <c r="N737" s="38"/>
      <c r="O737" s="38"/>
      <c r="P737" s="40" t="str" cm="1">
        <f t="array" ref="P737">IF(N737="","",IFERROR(_xlfn.XLOOKUP(F737&amp;"|"&amp;J737&amp;"|"&amp;O737,PRICES!$C$2:$C$659&amp;"|"&amp;PRICES!$B$2:$B$659&amp;"|"&amp;PRICES!$D$2:$D$659,PRICES!$E$2:$E$659),"Not Found"))</f>
        <v/>
      </c>
      <c r="Q737" s="100" t="str">
        <f>IF(N737=0,"",SUMIFS(PRICES!$G$2:$G$658,PRICES!$B$2:$B$658,'MAIN TABLE-1 AUTOMATED'!J737,PRICES!$C$2:$C$658,'MAIN TABLE-1 AUTOMATED'!F737,PRICES!$D$2:$D$658,'MAIN TABLE-1 AUTOMATED'!O737))</f>
        <v/>
      </c>
      <c r="R737" s="41" t="str">
        <f>IF(Table1[[#This Row],[QUANTITY]]=0,"",Table1[[#This Row],[UNIT PRICE]]*Table1[[#This Row],[QUANTITY]])</f>
        <v/>
      </c>
      <c r="S737" s="89"/>
      <c r="T737" s="38"/>
      <c r="U737" s="43"/>
      <c r="V737" s="42" t="str">
        <f>IF(Table1[[#This Row],[DATE]]=0,"",YEAR(E737))</f>
        <v/>
      </c>
      <c r="W737" s="40" t="str">
        <f t="shared" si="24"/>
        <v/>
      </c>
      <c r="X737" s="40" t="str">
        <f t="shared" si="25"/>
        <v/>
      </c>
      <c r="Y737" s="40" t="str">
        <f>TEXT(Table1[[#This Row],[YEAR]],"0000")&amp;"-"&amp;Table1[[#This Row],[MONTH]]</f>
        <v>-</v>
      </c>
    </row>
    <row r="738" spans="1:25" ht="15" customHeight="1" x14ac:dyDescent="0.35">
      <c r="A738" s="24"/>
      <c r="B738" s="38"/>
      <c r="C738" s="38"/>
      <c r="D738" s="38"/>
      <c r="E738" s="37"/>
      <c r="F738" s="38"/>
      <c r="G738" s="198"/>
      <c r="H738" s="198"/>
      <c r="I738" s="39"/>
      <c r="J738" s="38"/>
      <c r="K738" s="198"/>
      <c r="L738" s="38"/>
      <c r="M738" s="38"/>
      <c r="N738" s="38"/>
      <c r="O738" s="38"/>
      <c r="P738" s="40" t="str" cm="1">
        <f t="array" ref="P738">IF(N738="","",IFERROR(_xlfn.XLOOKUP(F738&amp;"|"&amp;J738&amp;"|"&amp;O738,PRICES!$C$2:$C$659&amp;"|"&amp;PRICES!$B$2:$B$659&amp;"|"&amp;PRICES!$D$2:$D$659,PRICES!$E$2:$E$659),"Not Found"))</f>
        <v/>
      </c>
      <c r="Q738" s="100" t="str">
        <f>IF(N738=0,"",SUMIFS(PRICES!$G$2:$G$658,PRICES!$B$2:$B$658,'MAIN TABLE-1 AUTOMATED'!J738,PRICES!$C$2:$C$658,'MAIN TABLE-1 AUTOMATED'!F738,PRICES!$D$2:$D$658,'MAIN TABLE-1 AUTOMATED'!O738))</f>
        <v/>
      </c>
      <c r="R738" s="41" t="str">
        <f>IF(Table1[[#This Row],[QUANTITY]]=0,"",Table1[[#This Row],[UNIT PRICE]]*Table1[[#This Row],[QUANTITY]])</f>
        <v/>
      </c>
      <c r="S738" s="89"/>
      <c r="T738" s="38"/>
      <c r="U738" s="43"/>
      <c r="V738" s="42" t="str">
        <f>IF(Table1[[#This Row],[DATE]]=0,"",YEAR(E738))</f>
        <v/>
      </c>
      <c r="W738" s="40" t="str">
        <f t="shared" si="24"/>
        <v/>
      </c>
      <c r="X738" s="40" t="str">
        <f t="shared" si="25"/>
        <v/>
      </c>
      <c r="Y738" s="40" t="str">
        <f>TEXT(Table1[[#This Row],[YEAR]],"0000")&amp;"-"&amp;Table1[[#This Row],[MONTH]]</f>
        <v>-</v>
      </c>
    </row>
    <row r="739" spans="1:25" ht="15" customHeight="1" x14ac:dyDescent="0.35">
      <c r="A739" s="24"/>
      <c r="B739" s="38"/>
      <c r="C739" s="38"/>
      <c r="D739" s="38"/>
      <c r="E739" s="37"/>
      <c r="F739" s="38"/>
      <c r="G739" s="198"/>
      <c r="H739" s="198"/>
      <c r="I739" s="39"/>
      <c r="J739" s="38"/>
      <c r="K739" s="198"/>
      <c r="L739" s="38"/>
      <c r="M739" s="38"/>
      <c r="N739" s="38"/>
      <c r="O739" s="38"/>
      <c r="P739" s="40" t="str" cm="1">
        <f t="array" ref="P739">IF(N739="","",IFERROR(_xlfn.XLOOKUP(F739&amp;"|"&amp;J739&amp;"|"&amp;O739,PRICES!$C$2:$C$659&amp;"|"&amp;PRICES!$B$2:$B$659&amp;"|"&amp;PRICES!$D$2:$D$659,PRICES!$E$2:$E$659),"Not Found"))</f>
        <v/>
      </c>
      <c r="Q739" s="100" t="str">
        <f>IF(N739=0,"",SUMIFS(PRICES!$G$2:$G$658,PRICES!$B$2:$B$658,'MAIN TABLE-1 AUTOMATED'!J739,PRICES!$C$2:$C$658,'MAIN TABLE-1 AUTOMATED'!F739,PRICES!$D$2:$D$658,'MAIN TABLE-1 AUTOMATED'!O739))</f>
        <v/>
      </c>
      <c r="R739" s="41" t="str">
        <f>IF(Table1[[#This Row],[QUANTITY]]=0,"",Table1[[#This Row],[UNIT PRICE]]*Table1[[#This Row],[QUANTITY]])</f>
        <v/>
      </c>
      <c r="S739" s="89"/>
      <c r="T739" s="38"/>
      <c r="U739" s="43"/>
      <c r="V739" s="42" t="str">
        <f>IF(Table1[[#This Row],[DATE]]=0,"",YEAR(E739))</f>
        <v/>
      </c>
      <c r="W739" s="40" t="str">
        <f t="shared" si="24"/>
        <v/>
      </c>
      <c r="X739" s="40" t="str">
        <f t="shared" si="25"/>
        <v/>
      </c>
      <c r="Y739" s="40" t="str">
        <f>TEXT(Table1[[#This Row],[YEAR]],"0000")&amp;"-"&amp;Table1[[#This Row],[MONTH]]</f>
        <v>-</v>
      </c>
    </row>
    <row r="740" spans="1:25" ht="15" customHeight="1" x14ac:dyDescent="0.35">
      <c r="A740" s="24"/>
      <c r="B740" s="38"/>
      <c r="C740" s="38"/>
      <c r="D740" s="38"/>
      <c r="E740" s="37"/>
      <c r="F740" s="38"/>
      <c r="G740" s="198"/>
      <c r="H740" s="198"/>
      <c r="I740" s="39"/>
      <c r="J740" s="38"/>
      <c r="K740" s="198"/>
      <c r="L740" s="38"/>
      <c r="M740" s="38"/>
      <c r="N740" s="38"/>
      <c r="O740" s="38"/>
      <c r="P740" s="40" t="str" cm="1">
        <f t="array" ref="P740">IF(N740="","",IFERROR(_xlfn.XLOOKUP(F740&amp;"|"&amp;J740&amp;"|"&amp;O740,PRICES!$C$2:$C$659&amp;"|"&amp;PRICES!$B$2:$B$659&amp;"|"&amp;PRICES!$D$2:$D$659,PRICES!$E$2:$E$659),"Not Found"))</f>
        <v/>
      </c>
      <c r="Q740" s="100" t="str">
        <f>IF(N740=0,"",SUMIFS(PRICES!$G$2:$G$658,PRICES!$B$2:$B$658,'MAIN TABLE-1 AUTOMATED'!J740,PRICES!$C$2:$C$658,'MAIN TABLE-1 AUTOMATED'!F740,PRICES!$D$2:$D$658,'MAIN TABLE-1 AUTOMATED'!O740))</f>
        <v/>
      </c>
      <c r="R740" s="41" t="str">
        <f>IF(Table1[[#This Row],[QUANTITY]]=0,"",Table1[[#This Row],[UNIT PRICE]]*Table1[[#This Row],[QUANTITY]])</f>
        <v/>
      </c>
      <c r="S740" s="89"/>
      <c r="T740" s="38"/>
      <c r="U740" s="43"/>
      <c r="V740" s="42" t="str">
        <f>IF(Table1[[#This Row],[DATE]]=0,"",YEAR(E740))</f>
        <v/>
      </c>
      <c r="W740" s="40" t="str">
        <f t="shared" si="24"/>
        <v/>
      </c>
      <c r="X740" s="40" t="str">
        <f t="shared" si="25"/>
        <v/>
      </c>
      <c r="Y740" s="40" t="str">
        <f>TEXT(Table1[[#This Row],[YEAR]],"0000")&amp;"-"&amp;Table1[[#This Row],[MONTH]]</f>
        <v>-</v>
      </c>
    </row>
    <row r="741" spans="1:25" ht="15" customHeight="1" x14ac:dyDescent="0.35">
      <c r="A741" s="24"/>
      <c r="B741" s="38"/>
      <c r="C741" s="38"/>
      <c r="D741" s="38"/>
      <c r="E741" s="37"/>
      <c r="F741" s="38"/>
      <c r="G741" s="198"/>
      <c r="H741" s="198"/>
      <c r="I741" s="39"/>
      <c r="J741" s="38"/>
      <c r="K741" s="198"/>
      <c r="L741" s="38"/>
      <c r="M741" s="38"/>
      <c r="N741" s="38"/>
      <c r="O741" s="38"/>
      <c r="P741" s="40" t="str" cm="1">
        <f t="array" ref="P741">IF(N741="","",IFERROR(_xlfn.XLOOKUP(F741&amp;"|"&amp;J741&amp;"|"&amp;O741,PRICES!$C$2:$C$659&amp;"|"&amp;PRICES!$B$2:$B$659&amp;"|"&amp;PRICES!$D$2:$D$659,PRICES!$E$2:$E$659),"Not Found"))</f>
        <v/>
      </c>
      <c r="Q741" s="100" t="str">
        <f>IF(N741=0,"",SUMIFS(PRICES!$G$2:$G$658,PRICES!$B$2:$B$658,'MAIN TABLE-1 AUTOMATED'!J741,PRICES!$C$2:$C$658,'MAIN TABLE-1 AUTOMATED'!F741,PRICES!$D$2:$D$658,'MAIN TABLE-1 AUTOMATED'!O741))</f>
        <v/>
      </c>
      <c r="R741" s="41" t="str">
        <f>IF(Table1[[#This Row],[QUANTITY]]=0,"",Table1[[#This Row],[UNIT PRICE]]*Table1[[#This Row],[QUANTITY]])</f>
        <v/>
      </c>
      <c r="S741" s="89"/>
      <c r="T741" s="38"/>
      <c r="U741" s="43"/>
      <c r="V741" s="42" t="str">
        <f>IF(Table1[[#This Row],[DATE]]=0,"",YEAR(E741))</f>
        <v/>
      </c>
      <c r="W741" s="40" t="str">
        <f t="shared" si="24"/>
        <v/>
      </c>
      <c r="X741" s="40" t="str">
        <f t="shared" si="25"/>
        <v/>
      </c>
      <c r="Y741" s="40" t="str">
        <f>TEXT(Table1[[#This Row],[YEAR]],"0000")&amp;"-"&amp;Table1[[#This Row],[MONTH]]</f>
        <v>-</v>
      </c>
    </row>
    <row r="742" spans="1:25" ht="15" customHeight="1" x14ac:dyDescent="0.35">
      <c r="A742" s="24"/>
      <c r="B742" s="38"/>
      <c r="C742" s="38"/>
      <c r="D742" s="38"/>
      <c r="E742" s="37"/>
      <c r="F742" s="38"/>
      <c r="G742" s="198"/>
      <c r="H742" s="198"/>
      <c r="I742" s="39"/>
      <c r="J742" s="38"/>
      <c r="K742" s="198"/>
      <c r="L742" s="38"/>
      <c r="M742" s="38"/>
      <c r="N742" s="38"/>
      <c r="O742" s="38"/>
      <c r="P742" s="40" t="str" cm="1">
        <f t="array" ref="P742">IF(N742="","",IFERROR(_xlfn.XLOOKUP(F742&amp;"|"&amp;J742&amp;"|"&amp;O742,PRICES!$C$2:$C$659&amp;"|"&amp;PRICES!$B$2:$B$659&amp;"|"&amp;PRICES!$D$2:$D$659,PRICES!$E$2:$E$659),"Not Found"))</f>
        <v/>
      </c>
      <c r="Q742" s="100" t="str">
        <f>IF(N742=0,"",SUMIFS(PRICES!$G$2:$G$658,PRICES!$B$2:$B$658,'MAIN TABLE-1 AUTOMATED'!J742,PRICES!$C$2:$C$658,'MAIN TABLE-1 AUTOMATED'!F742,PRICES!$D$2:$D$658,'MAIN TABLE-1 AUTOMATED'!O742))</f>
        <v/>
      </c>
      <c r="R742" s="41" t="str">
        <f>IF(Table1[[#This Row],[QUANTITY]]=0,"",Table1[[#This Row],[UNIT PRICE]]*Table1[[#This Row],[QUANTITY]])</f>
        <v/>
      </c>
      <c r="S742" s="89"/>
      <c r="T742" s="38"/>
      <c r="U742" s="43"/>
      <c r="V742" s="42" t="str">
        <f>IF(Table1[[#This Row],[DATE]]=0,"",YEAR(E742))</f>
        <v/>
      </c>
      <c r="W742" s="40" t="str">
        <f t="shared" si="24"/>
        <v/>
      </c>
      <c r="X742" s="40" t="str">
        <f t="shared" si="25"/>
        <v/>
      </c>
      <c r="Y742" s="40" t="str">
        <f>TEXT(Table1[[#This Row],[YEAR]],"0000")&amp;"-"&amp;Table1[[#This Row],[MONTH]]</f>
        <v>-</v>
      </c>
    </row>
    <row r="743" spans="1:25" ht="15" customHeight="1" x14ac:dyDescent="0.35">
      <c r="A743" s="24"/>
      <c r="B743" s="38"/>
      <c r="C743" s="38"/>
      <c r="D743" s="38"/>
      <c r="E743" s="37"/>
      <c r="F743" s="38"/>
      <c r="G743" s="198"/>
      <c r="H743" s="198"/>
      <c r="I743" s="39"/>
      <c r="J743" s="38"/>
      <c r="K743" s="198"/>
      <c r="L743" s="38"/>
      <c r="M743" s="38"/>
      <c r="N743" s="38"/>
      <c r="O743" s="38"/>
      <c r="P743" s="40" t="str" cm="1">
        <f t="array" ref="P743">IF(N743="","",IFERROR(_xlfn.XLOOKUP(F743&amp;"|"&amp;J743&amp;"|"&amp;O743,PRICES!$C$2:$C$659&amp;"|"&amp;PRICES!$B$2:$B$659&amp;"|"&amp;PRICES!$D$2:$D$659,PRICES!$E$2:$E$659),"Not Found"))</f>
        <v/>
      </c>
      <c r="Q743" s="100" t="str">
        <f>IF(N743=0,"",SUMIFS(PRICES!$G$2:$G$658,PRICES!$B$2:$B$658,'MAIN TABLE-1 AUTOMATED'!J743,PRICES!$C$2:$C$658,'MAIN TABLE-1 AUTOMATED'!F743,PRICES!$D$2:$D$658,'MAIN TABLE-1 AUTOMATED'!O743))</f>
        <v/>
      </c>
      <c r="R743" s="41" t="str">
        <f>IF(Table1[[#This Row],[QUANTITY]]=0,"",Table1[[#This Row],[UNIT PRICE]]*Table1[[#This Row],[QUANTITY]])</f>
        <v/>
      </c>
      <c r="S743" s="89"/>
      <c r="T743" s="38"/>
      <c r="U743" s="43"/>
      <c r="V743" s="42" t="str">
        <f>IF(Table1[[#This Row],[DATE]]=0,"",YEAR(E743))</f>
        <v/>
      </c>
      <c r="W743" s="40" t="str">
        <f t="shared" si="24"/>
        <v/>
      </c>
      <c r="X743" s="40" t="str">
        <f t="shared" si="25"/>
        <v/>
      </c>
      <c r="Y743" s="40" t="str">
        <f>TEXT(Table1[[#This Row],[YEAR]],"0000")&amp;"-"&amp;Table1[[#This Row],[MONTH]]</f>
        <v>-</v>
      </c>
    </row>
    <row r="744" spans="1:25" ht="15" customHeight="1" x14ac:dyDescent="0.35">
      <c r="A744" s="24"/>
      <c r="B744" s="38"/>
      <c r="C744" s="38"/>
      <c r="D744" s="38"/>
      <c r="E744" s="37"/>
      <c r="F744" s="38"/>
      <c r="G744" s="198"/>
      <c r="H744" s="198"/>
      <c r="I744" s="39"/>
      <c r="J744" s="38"/>
      <c r="K744" s="198"/>
      <c r="L744" s="38"/>
      <c r="M744" s="38"/>
      <c r="N744" s="38"/>
      <c r="O744" s="38"/>
      <c r="P744" s="40" t="str" cm="1">
        <f t="array" ref="P744">IF(N744="","",IFERROR(_xlfn.XLOOKUP(F744&amp;"|"&amp;J744&amp;"|"&amp;O744,PRICES!$C$2:$C$659&amp;"|"&amp;PRICES!$B$2:$B$659&amp;"|"&amp;PRICES!$D$2:$D$659,PRICES!$E$2:$E$659),"Not Found"))</f>
        <v/>
      </c>
      <c r="Q744" s="100" t="str">
        <f>IF(N744=0,"",SUMIFS(PRICES!$G$2:$G$658,PRICES!$B$2:$B$658,'MAIN TABLE-1 AUTOMATED'!J744,PRICES!$C$2:$C$658,'MAIN TABLE-1 AUTOMATED'!F744,PRICES!$D$2:$D$658,'MAIN TABLE-1 AUTOMATED'!O744))</f>
        <v/>
      </c>
      <c r="R744" s="41" t="str">
        <f>IF(Table1[[#This Row],[QUANTITY]]=0,"",Table1[[#This Row],[UNIT PRICE]]*Table1[[#This Row],[QUANTITY]])</f>
        <v/>
      </c>
      <c r="S744" s="89"/>
      <c r="T744" s="38"/>
      <c r="U744" s="43"/>
      <c r="V744" s="42" t="str">
        <f>IF(Table1[[#This Row],[DATE]]=0,"",YEAR(E744))</f>
        <v/>
      </c>
      <c r="W744" s="40" t="str">
        <f t="shared" si="24"/>
        <v/>
      </c>
      <c r="X744" s="40" t="str">
        <f t="shared" si="25"/>
        <v/>
      </c>
      <c r="Y744" s="40" t="str">
        <f>TEXT(Table1[[#This Row],[YEAR]],"0000")&amp;"-"&amp;Table1[[#This Row],[MONTH]]</f>
        <v>-</v>
      </c>
    </row>
    <row r="745" spans="1:25" ht="15" customHeight="1" x14ac:dyDescent="0.35">
      <c r="A745" s="24"/>
      <c r="B745" s="38"/>
      <c r="C745" s="38"/>
      <c r="D745" s="38"/>
      <c r="E745" s="37"/>
      <c r="F745" s="38"/>
      <c r="G745" s="198"/>
      <c r="H745" s="198"/>
      <c r="I745" s="39"/>
      <c r="J745" s="38"/>
      <c r="K745" s="198"/>
      <c r="L745" s="38"/>
      <c r="M745" s="38"/>
      <c r="N745" s="38"/>
      <c r="O745" s="38"/>
      <c r="P745" s="40" t="str" cm="1">
        <f t="array" ref="P745">IF(N745="","",IFERROR(_xlfn.XLOOKUP(F745&amp;"|"&amp;J745&amp;"|"&amp;O745,PRICES!$C$2:$C$659&amp;"|"&amp;PRICES!$B$2:$B$659&amp;"|"&amp;PRICES!$D$2:$D$659,PRICES!$E$2:$E$659),"Not Found"))</f>
        <v/>
      </c>
      <c r="Q745" s="100" t="str">
        <f>IF(N745=0,"",SUMIFS(PRICES!$G$2:$G$658,PRICES!$B$2:$B$658,'MAIN TABLE-1 AUTOMATED'!J745,PRICES!$C$2:$C$658,'MAIN TABLE-1 AUTOMATED'!F745,PRICES!$D$2:$D$658,'MAIN TABLE-1 AUTOMATED'!O745))</f>
        <v/>
      </c>
      <c r="R745" s="41" t="str">
        <f>IF(Table1[[#This Row],[QUANTITY]]=0,"",Table1[[#This Row],[UNIT PRICE]]*Table1[[#This Row],[QUANTITY]])</f>
        <v/>
      </c>
      <c r="S745" s="89"/>
      <c r="T745" s="38"/>
      <c r="U745" s="43"/>
      <c r="V745" s="42" t="str">
        <f>IF(Table1[[#This Row],[DATE]]=0,"",YEAR(E745))</f>
        <v/>
      </c>
      <c r="W745" s="40" t="str">
        <f t="shared" si="24"/>
        <v/>
      </c>
      <c r="X745" s="40" t="str">
        <f t="shared" si="25"/>
        <v/>
      </c>
      <c r="Y745" s="40" t="str">
        <f>TEXT(Table1[[#This Row],[YEAR]],"0000")&amp;"-"&amp;Table1[[#This Row],[MONTH]]</f>
        <v>-</v>
      </c>
    </row>
    <row r="746" spans="1:25" ht="15" customHeight="1" x14ac:dyDescent="0.35">
      <c r="A746" s="24"/>
      <c r="B746" s="36"/>
      <c r="C746" s="38"/>
      <c r="D746" s="38"/>
      <c r="E746" s="37"/>
      <c r="F746" s="38"/>
      <c r="G746" s="198"/>
      <c r="H746" s="198"/>
      <c r="I746" s="39"/>
      <c r="J746" s="38"/>
      <c r="K746" s="198"/>
      <c r="L746" s="38"/>
      <c r="M746" s="38"/>
      <c r="N746" s="38"/>
      <c r="O746" s="38"/>
      <c r="P746" s="40" t="str" cm="1">
        <f t="array" ref="P746">IF(N746="","",IFERROR(_xlfn.XLOOKUP(F746&amp;"|"&amp;J746&amp;"|"&amp;O746,PRICES!$C$2:$C$659&amp;"|"&amp;PRICES!$B$2:$B$659&amp;"|"&amp;PRICES!$D$2:$D$659,PRICES!$E$2:$E$659),"Not Found"))</f>
        <v/>
      </c>
      <c r="Q746" s="100" t="str">
        <f>IF(N746=0,"",SUMIFS(PRICES!$G$2:$G$658,PRICES!$B$2:$B$658,'MAIN TABLE-1 AUTOMATED'!J746,PRICES!$C$2:$C$658,'MAIN TABLE-1 AUTOMATED'!F746,PRICES!$D$2:$D$658,'MAIN TABLE-1 AUTOMATED'!O746))</f>
        <v/>
      </c>
      <c r="R746" s="41" t="str">
        <f>IF(Table1[[#This Row],[QUANTITY]]=0,"",Table1[[#This Row],[UNIT PRICE]]*Table1[[#This Row],[QUANTITY]])</f>
        <v/>
      </c>
      <c r="S746" s="89"/>
      <c r="T746" s="38"/>
      <c r="U746" s="43"/>
      <c r="V746" s="42" t="str">
        <f>IF(Table1[[#This Row],[DATE]]=0,"",YEAR(E746))</f>
        <v/>
      </c>
      <c r="W746" s="40" t="str">
        <f t="shared" si="24"/>
        <v/>
      </c>
      <c r="X746" s="40" t="str">
        <f t="shared" si="25"/>
        <v/>
      </c>
      <c r="Y746" s="40" t="str">
        <f>TEXT(Table1[[#This Row],[YEAR]],"0000")&amp;"-"&amp;Table1[[#This Row],[MONTH]]</f>
        <v>-</v>
      </c>
    </row>
    <row r="747" spans="1:25" ht="15" customHeight="1" x14ac:dyDescent="0.35">
      <c r="A747" s="24"/>
      <c r="B747" s="36"/>
      <c r="C747" s="38"/>
      <c r="D747" s="38"/>
      <c r="E747" s="37"/>
      <c r="F747" s="38"/>
      <c r="G747" s="198"/>
      <c r="H747" s="198"/>
      <c r="I747" s="39"/>
      <c r="J747" s="38"/>
      <c r="K747" s="198"/>
      <c r="L747" s="38"/>
      <c r="M747" s="38"/>
      <c r="N747" s="38"/>
      <c r="O747" s="38"/>
      <c r="P747" s="40" t="str" cm="1">
        <f t="array" ref="P747">IF(N747="","",IFERROR(_xlfn.XLOOKUP(F747&amp;"|"&amp;J747&amp;"|"&amp;O747,PRICES!$C$2:$C$659&amp;"|"&amp;PRICES!$B$2:$B$659&amp;"|"&amp;PRICES!$D$2:$D$659,PRICES!$E$2:$E$659),"Not Found"))</f>
        <v/>
      </c>
      <c r="Q747" s="100" t="str">
        <f>IF(N747=0,"",SUMIFS(PRICES!$G$2:$G$658,PRICES!$B$2:$B$658,'MAIN TABLE-1 AUTOMATED'!J747,PRICES!$C$2:$C$658,'MAIN TABLE-1 AUTOMATED'!F747,PRICES!$D$2:$D$658,'MAIN TABLE-1 AUTOMATED'!O747))</f>
        <v/>
      </c>
      <c r="R747" s="41" t="str">
        <f>IF(Table1[[#This Row],[QUANTITY]]=0,"",Table1[[#This Row],[UNIT PRICE]]*Table1[[#This Row],[QUANTITY]])</f>
        <v/>
      </c>
      <c r="S747" s="89"/>
      <c r="T747" s="38"/>
      <c r="U747" s="43"/>
      <c r="V747" s="42" t="str">
        <f>IF(Table1[[#This Row],[DATE]]=0,"",YEAR(E747))</f>
        <v/>
      </c>
      <c r="W747" s="40" t="str">
        <f t="shared" si="24"/>
        <v/>
      </c>
      <c r="X747" s="40" t="str">
        <f t="shared" si="25"/>
        <v/>
      </c>
      <c r="Y747" s="40" t="str">
        <f>TEXT(Table1[[#This Row],[YEAR]],"0000")&amp;"-"&amp;Table1[[#This Row],[MONTH]]</f>
        <v>-</v>
      </c>
    </row>
    <row r="748" spans="1:25" ht="15" customHeight="1" x14ac:dyDescent="0.35">
      <c r="A748" s="24"/>
      <c r="B748" s="36"/>
      <c r="C748" s="38"/>
      <c r="D748" s="38"/>
      <c r="E748" s="37"/>
      <c r="F748" s="38"/>
      <c r="G748" s="198"/>
      <c r="H748" s="198"/>
      <c r="I748" s="39"/>
      <c r="J748" s="38"/>
      <c r="K748" s="198"/>
      <c r="L748" s="38"/>
      <c r="M748" s="38"/>
      <c r="N748" s="38"/>
      <c r="O748" s="38"/>
      <c r="P748" s="40" t="str" cm="1">
        <f t="array" ref="P748">IF(N748="","",IFERROR(_xlfn.XLOOKUP(F748&amp;"|"&amp;J748&amp;"|"&amp;O748,PRICES!$C$2:$C$659&amp;"|"&amp;PRICES!$B$2:$B$659&amp;"|"&amp;PRICES!$D$2:$D$659,PRICES!$E$2:$E$659),"Not Found"))</f>
        <v/>
      </c>
      <c r="Q748" s="100" t="str">
        <f>IF(N748=0,"",SUMIFS(PRICES!$G$2:$G$658,PRICES!$B$2:$B$658,'MAIN TABLE-1 AUTOMATED'!J748,PRICES!$C$2:$C$658,'MAIN TABLE-1 AUTOMATED'!F748,PRICES!$D$2:$D$658,'MAIN TABLE-1 AUTOMATED'!O748))</f>
        <v/>
      </c>
      <c r="R748" s="41" t="str">
        <f>IF(Table1[[#This Row],[QUANTITY]]=0,"",Table1[[#This Row],[UNIT PRICE]]*Table1[[#This Row],[QUANTITY]])</f>
        <v/>
      </c>
      <c r="S748" s="89"/>
      <c r="T748" s="38"/>
      <c r="U748" s="43"/>
      <c r="V748" s="42" t="str">
        <f>IF(Table1[[#This Row],[DATE]]=0,"",YEAR(E748))</f>
        <v/>
      </c>
      <c r="W748" s="40" t="str">
        <f t="shared" si="24"/>
        <v/>
      </c>
      <c r="X748" s="40" t="str">
        <f t="shared" si="25"/>
        <v/>
      </c>
      <c r="Y748" s="40" t="str">
        <f>TEXT(Table1[[#This Row],[YEAR]],"0000")&amp;"-"&amp;Table1[[#This Row],[MONTH]]</f>
        <v>-</v>
      </c>
    </row>
    <row r="749" spans="1:25" ht="15" customHeight="1" x14ac:dyDescent="0.35">
      <c r="A749" s="24"/>
      <c r="B749" s="36"/>
      <c r="C749" s="38"/>
      <c r="D749" s="38"/>
      <c r="E749" s="37"/>
      <c r="F749" s="38"/>
      <c r="G749" s="198"/>
      <c r="H749" s="198"/>
      <c r="I749" s="39"/>
      <c r="J749" s="38"/>
      <c r="K749" s="198"/>
      <c r="L749" s="38"/>
      <c r="M749" s="38"/>
      <c r="N749" s="38"/>
      <c r="O749" s="38"/>
      <c r="P749" s="40" t="str" cm="1">
        <f t="array" ref="P749">IF(N749="","",IFERROR(_xlfn.XLOOKUP(F749&amp;"|"&amp;J749&amp;"|"&amp;O749,PRICES!$C$2:$C$659&amp;"|"&amp;PRICES!$B$2:$B$659&amp;"|"&amp;PRICES!$D$2:$D$659,PRICES!$E$2:$E$659),"Not Found"))</f>
        <v/>
      </c>
      <c r="Q749" s="100" t="str">
        <f>IF(N749=0,"",SUMIFS(PRICES!$G$2:$G$658,PRICES!$B$2:$B$658,'MAIN TABLE-1 AUTOMATED'!J749,PRICES!$C$2:$C$658,'MAIN TABLE-1 AUTOMATED'!F749,PRICES!$D$2:$D$658,'MAIN TABLE-1 AUTOMATED'!O749))</f>
        <v/>
      </c>
      <c r="R749" s="41" t="str">
        <f>IF(Table1[[#This Row],[QUANTITY]]=0,"",Table1[[#This Row],[UNIT PRICE]]*Table1[[#This Row],[QUANTITY]])</f>
        <v/>
      </c>
      <c r="S749" s="89"/>
      <c r="T749" s="38"/>
      <c r="U749" s="43"/>
      <c r="V749" s="42" t="str">
        <f>IF(Table1[[#This Row],[DATE]]=0,"",YEAR(E749))</f>
        <v/>
      </c>
      <c r="W749" s="40" t="str">
        <f t="shared" si="24"/>
        <v/>
      </c>
      <c r="X749" s="40" t="str">
        <f t="shared" si="25"/>
        <v/>
      </c>
      <c r="Y749" s="40" t="str">
        <f>TEXT(Table1[[#This Row],[YEAR]],"0000")&amp;"-"&amp;Table1[[#This Row],[MONTH]]</f>
        <v>-</v>
      </c>
    </row>
    <row r="750" spans="1:25" ht="15" customHeight="1" x14ac:dyDescent="0.35">
      <c r="A750" s="24"/>
      <c r="B750" s="36"/>
      <c r="C750" s="38"/>
      <c r="D750" s="38"/>
      <c r="E750" s="37"/>
      <c r="F750" s="38"/>
      <c r="G750" s="198"/>
      <c r="H750" s="198"/>
      <c r="I750" s="39"/>
      <c r="J750" s="38"/>
      <c r="K750" s="198"/>
      <c r="L750" s="38"/>
      <c r="M750" s="38"/>
      <c r="N750" s="38"/>
      <c r="O750" s="38"/>
      <c r="P750" s="40" t="str" cm="1">
        <f t="array" ref="P750">IF(N750="","",IFERROR(_xlfn.XLOOKUP(F750&amp;"|"&amp;J750&amp;"|"&amp;O750,PRICES!$C$2:$C$659&amp;"|"&amp;PRICES!$B$2:$B$659&amp;"|"&amp;PRICES!$D$2:$D$659,PRICES!$E$2:$E$659),"Not Found"))</f>
        <v/>
      </c>
      <c r="Q750" s="100" t="str">
        <f>IF(N750=0,"",SUMIFS(PRICES!$G$2:$G$658,PRICES!$B$2:$B$658,'MAIN TABLE-1 AUTOMATED'!J750,PRICES!$C$2:$C$658,'MAIN TABLE-1 AUTOMATED'!F750,PRICES!$D$2:$D$658,'MAIN TABLE-1 AUTOMATED'!O750))</f>
        <v/>
      </c>
      <c r="R750" s="41" t="str">
        <f>IF(Table1[[#This Row],[QUANTITY]]=0,"",Table1[[#This Row],[UNIT PRICE]]*Table1[[#This Row],[QUANTITY]])</f>
        <v/>
      </c>
      <c r="S750" s="89"/>
      <c r="T750" s="38"/>
      <c r="U750" s="43"/>
      <c r="V750" s="42" t="str">
        <f>IF(Table1[[#This Row],[DATE]]=0,"",YEAR(E750))</f>
        <v/>
      </c>
      <c r="W750" s="40" t="str">
        <f t="shared" si="24"/>
        <v/>
      </c>
      <c r="X750" s="40" t="str">
        <f t="shared" si="25"/>
        <v/>
      </c>
      <c r="Y750" s="40" t="str">
        <f>TEXT(Table1[[#This Row],[YEAR]],"0000")&amp;"-"&amp;Table1[[#This Row],[MONTH]]</f>
        <v>-</v>
      </c>
    </row>
    <row r="751" spans="1:25" ht="15" customHeight="1" x14ac:dyDescent="0.35">
      <c r="A751" s="24"/>
      <c r="B751" s="36"/>
      <c r="C751" s="38"/>
      <c r="D751" s="38"/>
      <c r="E751" s="37"/>
      <c r="F751" s="38"/>
      <c r="G751" s="198"/>
      <c r="H751" s="198"/>
      <c r="I751" s="39"/>
      <c r="J751" s="38"/>
      <c r="K751" s="198"/>
      <c r="L751" s="38"/>
      <c r="M751" s="38"/>
      <c r="N751" s="38"/>
      <c r="O751" s="38"/>
      <c r="P751" s="40" t="str" cm="1">
        <f t="array" ref="P751">IF(N751="","",IFERROR(_xlfn.XLOOKUP(F751&amp;"|"&amp;J751&amp;"|"&amp;O751,PRICES!$C$2:$C$659&amp;"|"&amp;PRICES!$B$2:$B$659&amp;"|"&amp;PRICES!$D$2:$D$659,PRICES!$E$2:$E$659),"Not Found"))</f>
        <v/>
      </c>
      <c r="Q751" s="100" t="str">
        <f>IF(N751=0,"",SUMIFS(PRICES!$G$2:$G$658,PRICES!$B$2:$B$658,'MAIN TABLE-1 AUTOMATED'!J751,PRICES!$C$2:$C$658,'MAIN TABLE-1 AUTOMATED'!F751,PRICES!$D$2:$D$658,'MAIN TABLE-1 AUTOMATED'!O751))</f>
        <v/>
      </c>
      <c r="R751" s="41" t="str">
        <f>IF(Table1[[#This Row],[QUANTITY]]=0,"",Table1[[#This Row],[UNIT PRICE]]*Table1[[#This Row],[QUANTITY]])</f>
        <v/>
      </c>
      <c r="S751" s="89"/>
      <c r="T751" s="38"/>
      <c r="U751" s="43"/>
      <c r="V751" s="42" t="str">
        <f>IF(Table1[[#This Row],[DATE]]=0,"",YEAR(E751))</f>
        <v/>
      </c>
      <c r="W751" s="40" t="str">
        <f t="shared" si="24"/>
        <v/>
      </c>
      <c r="X751" s="40" t="str">
        <f t="shared" si="25"/>
        <v/>
      </c>
      <c r="Y751" s="40" t="str">
        <f>TEXT(Table1[[#This Row],[YEAR]],"0000")&amp;"-"&amp;Table1[[#This Row],[MONTH]]</f>
        <v>-</v>
      </c>
    </row>
    <row r="752" spans="1:25" ht="15" customHeight="1" x14ac:dyDescent="0.35">
      <c r="A752" s="24"/>
      <c r="B752" s="38"/>
      <c r="C752" s="38"/>
      <c r="D752" s="38"/>
      <c r="E752" s="37"/>
      <c r="F752" s="38"/>
      <c r="G752" s="198"/>
      <c r="H752" s="198"/>
      <c r="I752" s="39"/>
      <c r="J752" s="38"/>
      <c r="K752" s="198"/>
      <c r="L752" s="38"/>
      <c r="M752" s="38"/>
      <c r="N752" s="38"/>
      <c r="O752" s="38"/>
      <c r="P752" s="40" t="str" cm="1">
        <f t="array" ref="P752">IF(N752="","",IFERROR(_xlfn.XLOOKUP(F752&amp;"|"&amp;J752&amp;"|"&amp;O752,PRICES!$C$2:$C$659&amp;"|"&amp;PRICES!$B$2:$B$659&amp;"|"&amp;PRICES!$D$2:$D$659,PRICES!$E$2:$E$659),"Not Found"))</f>
        <v/>
      </c>
      <c r="Q752" s="100" t="str">
        <f>IF(N752=0,"",SUMIFS(PRICES!$G$2:$G$658,PRICES!$B$2:$B$658,'MAIN TABLE-1 AUTOMATED'!J752,PRICES!$C$2:$C$658,'MAIN TABLE-1 AUTOMATED'!F752,PRICES!$D$2:$D$658,'MAIN TABLE-1 AUTOMATED'!O752))</f>
        <v/>
      </c>
      <c r="R752" s="41" t="str">
        <f>IF(Table1[[#This Row],[QUANTITY]]=0,"",Table1[[#This Row],[UNIT PRICE]]*Table1[[#This Row],[QUANTITY]])</f>
        <v/>
      </c>
      <c r="S752" s="89"/>
      <c r="T752" s="38"/>
      <c r="U752" s="43"/>
      <c r="V752" s="42" t="str">
        <f>IF(Table1[[#This Row],[DATE]]=0,"",YEAR(E752))</f>
        <v/>
      </c>
      <c r="W752" s="40" t="str">
        <f t="shared" si="24"/>
        <v/>
      </c>
      <c r="X752" s="40" t="str">
        <f t="shared" si="25"/>
        <v/>
      </c>
      <c r="Y752" s="40" t="str">
        <f>TEXT(Table1[[#This Row],[YEAR]],"0000")&amp;"-"&amp;Table1[[#This Row],[MONTH]]</f>
        <v>-</v>
      </c>
    </row>
    <row r="753" spans="1:25" ht="15" customHeight="1" x14ac:dyDescent="0.35">
      <c r="A753" s="24"/>
      <c r="B753" s="38"/>
      <c r="C753" s="38"/>
      <c r="D753" s="38"/>
      <c r="E753" s="37"/>
      <c r="F753" s="38"/>
      <c r="G753" s="198"/>
      <c r="H753" s="198"/>
      <c r="I753" s="39"/>
      <c r="J753" s="38"/>
      <c r="K753" s="198"/>
      <c r="L753" s="38"/>
      <c r="M753" s="38"/>
      <c r="N753" s="38"/>
      <c r="O753" s="38"/>
      <c r="P753" s="40" t="str" cm="1">
        <f t="array" ref="P753">IF(N753="","",IFERROR(_xlfn.XLOOKUP(F753&amp;"|"&amp;J753&amp;"|"&amp;O753,PRICES!$C$2:$C$659&amp;"|"&amp;PRICES!$B$2:$B$659&amp;"|"&amp;PRICES!$D$2:$D$659,PRICES!$E$2:$E$659),"Not Found"))</f>
        <v/>
      </c>
      <c r="Q753" s="100" t="str">
        <f>IF(N753=0,"",SUMIFS(PRICES!$G$2:$G$658,PRICES!$B$2:$B$658,'MAIN TABLE-1 AUTOMATED'!J753,PRICES!$C$2:$C$658,'MAIN TABLE-1 AUTOMATED'!F753,PRICES!$D$2:$D$658,'MAIN TABLE-1 AUTOMATED'!O753))</f>
        <v/>
      </c>
      <c r="R753" s="41" t="str">
        <f>IF(Table1[[#This Row],[QUANTITY]]=0,"",Table1[[#This Row],[UNIT PRICE]]*Table1[[#This Row],[QUANTITY]])</f>
        <v/>
      </c>
      <c r="S753" s="89"/>
      <c r="T753" s="38"/>
      <c r="U753" s="43"/>
      <c r="V753" s="42" t="str">
        <f>IF(Table1[[#This Row],[DATE]]=0,"",YEAR(E753))</f>
        <v/>
      </c>
      <c r="W753" s="40" t="str">
        <f t="shared" si="24"/>
        <v/>
      </c>
      <c r="X753" s="40" t="str">
        <f t="shared" si="25"/>
        <v/>
      </c>
      <c r="Y753" s="40" t="str">
        <f>TEXT(Table1[[#This Row],[YEAR]],"0000")&amp;"-"&amp;Table1[[#This Row],[MONTH]]</f>
        <v>-</v>
      </c>
    </row>
    <row r="754" spans="1:25" ht="15" customHeight="1" x14ac:dyDescent="0.35">
      <c r="A754" s="24"/>
      <c r="B754" s="36"/>
      <c r="C754" s="38"/>
      <c r="D754" s="38"/>
      <c r="E754" s="37"/>
      <c r="F754" s="38"/>
      <c r="G754" s="198"/>
      <c r="H754" s="198"/>
      <c r="I754" s="39"/>
      <c r="J754" s="38"/>
      <c r="K754" s="198"/>
      <c r="L754" s="38"/>
      <c r="M754" s="38"/>
      <c r="N754" s="38"/>
      <c r="O754" s="38"/>
      <c r="P754" s="40" t="str" cm="1">
        <f t="array" ref="P754">IF(N754="","",IFERROR(_xlfn.XLOOKUP(F754&amp;"|"&amp;J754&amp;"|"&amp;O754,PRICES!$C$2:$C$659&amp;"|"&amp;PRICES!$B$2:$B$659&amp;"|"&amp;PRICES!$D$2:$D$659,PRICES!$E$2:$E$659),"Not Found"))</f>
        <v/>
      </c>
      <c r="Q754" s="100" t="str">
        <f>IF(N754=0,"",SUMIFS(PRICES!$G$2:$G$658,PRICES!$B$2:$B$658,'MAIN TABLE-1 AUTOMATED'!J754,PRICES!$C$2:$C$658,'MAIN TABLE-1 AUTOMATED'!F754,PRICES!$D$2:$D$658,'MAIN TABLE-1 AUTOMATED'!O754))</f>
        <v/>
      </c>
      <c r="R754" s="41" t="str">
        <f>IF(Table1[[#This Row],[QUANTITY]]=0,"",Table1[[#This Row],[UNIT PRICE]]*Table1[[#This Row],[QUANTITY]])</f>
        <v/>
      </c>
      <c r="S754" s="89"/>
      <c r="T754" s="38"/>
      <c r="U754" s="43"/>
      <c r="V754" s="42" t="str">
        <f>IF(Table1[[#This Row],[DATE]]=0,"",YEAR(E754))</f>
        <v/>
      </c>
      <c r="W754" s="40" t="str">
        <f t="shared" si="24"/>
        <v/>
      </c>
      <c r="X754" s="40" t="str">
        <f t="shared" si="25"/>
        <v/>
      </c>
      <c r="Y754" s="40" t="str">
        <f>TEXT(Table1[[#This Row],[YEAR]],"0000")&amp;"-"&amp;Table1[[#This Row],[MONTH]]</f>
        <v>-</v>
      </c>
    </row>
    <row r="755" spans="1:25" ht="15" customHeight="1" x14ac:dyDescent="0.35">
      <c r="A755" s="24"/>
      <c r="B755" s="36"/>
      <c r="C755" s="38"/>
      <c r="D755" s="38"/>
      <c r="E755" s="37"/>
      <c r="F755" s="38"/>
      <c r="G755" s="198"/>
      <c r="H755" s="198"/>
      <c r="I755" s="39"/>
      <c r="J755" s="38"/>
      <c r="K755" s="198"/>
      <c r="L755" s="38"/>
      <c r="M755" s="38"/>
      <c r="N755" s="38"/>
      <c r="O755" s="38"/>
      <c r="P755" s="40" t="str" cm="1">
        <f t="array" ref="P755">IF(N755="","",IFERROR(_xlfn.XLOOKUP(F755&amp;"|"&amp;J755&amp;"|"&amp;O755,PRICES!$C$2:$C$659&amp;"|"&amp;PRICES!$B$2:$B$659&amp;"|"&amp;PRICES!$D$2:$D$659,PRICES!$E$2:$E$659),"Not Found"))</f>
        <v/>
      </c>
      <c r="Q755" s="100" t="str">
        <f>IF(N755=0,"",SUMIFS(PRICES!$G$2:$G$658,PRICES!$B$2:$B$658,'MAIN TABLE-1 AUTOMATED'!J755,PRICES!$C$2:$C$658,'MAIN TABLE-1 AUTOMATED'!F755,PRICES!$D$2:$D$658,'MAIN TABLE-1 AUTOMATED'!O755))</f>
        <v/>
      </c>
      <c r="R755" s="41" t="str">
        <f>IF(Table1[[#This Row],[QUANTITY]]=0,"",Table1[[#This Row],[UNIT PRICE]]*Table1[[#This Row],[QUANTITY]])</f>
        <v/>
      </c>
      <c r="S755" s="89"/>
      <c r="T755" s="38"/>
      <c r="U755" s="43"/>
      <c r="V755" s="42" t="str">
        <f>IF(Table1[[#This Row],[DATE]]=0,"",YEAR(E755))</f>
        <v/>
      </c>
      <c r="W755" s="40" t="str">
        <f t="shared" si="24"/>
        <v/>
      </c>
      <c r="X755" s="40" t="str">
        <f t="shared" si="25"/>
        <v/>
      </c>
      <c r="Y755" s="40" t="str">
        <f>TEXT(Table1[[#This Row],[YEAR]],"0000")&amp;"-"&amp;Table1[[#This Row],[MONTH]]</f>
        <v>-</v>
      </c>
    </row>
    <row r="756" spans="1:25" ht="15" customHeight="1" x14ac:dyDescent="0.35">
      <c r="A756" s="24"/>
      <c r="B756" s="36"/>
      <c r="C756" s="38"/>
      <c r="D756" s="38"/>
      <c r="E756" s="37"/>
      <c r="F756" s="38"/>
      <c r="G756" s="198"/>
      <c r="H756" s="198"/>
      <c r="I756" s="39"/>
      <c r="J756" s="38"/>
      <c r="K756" s="198"/>
      <c r="L756" s="38"/>
      <c r="M756" s="38"/>
      <c r="N756" s="38"/>
      <c r="O756" s="38"/>
      <c r="P756" s="40" t="str" cm="1">
        <f t="array" ref="P756">IF(N756="","",IFERROR(_xlfn.XLOOKUP(F756&amp;"|"&amp;J756&amp;"|"&amp;O756,PRICES!$C$2:$C$659&amp;"|"&amp;PRICES!$B$2:$B$659&amp;"|"&amp;PRICES!$D$2:$D$659,PRICES!$E$2:$E$659),"Not Found"))</f>
        <v/>
      </c>
      <c r="Q756" s="100" t="str">
        <f>IF(N756=0,"",SUMIFS(PRICES!$G$2:$G$658,PRICES!$B$2:$B$658,'MAIN TABLE-1 AUTOMATED'!J756,PRICES!$C$2:$C$658,'MAIN TABLE-1 AUTOMATED'!F756,PRICES!$D$2:$D$658,'MAIN TABLE-1 AUTOMATED'!O756))</f>
        <v/>
      </c>
      <c r="R756" s="41" t="str">
        <f>IF(Table1[[#This Row],[QUANTITY]]=0,"",Table1[[#This Row],[UNIT PRICE]]*Table1[[#This Row],[QUANTITY]])</f>
        <v/>
      </c>
      <c r="S756" s="89"/>
      <c r="T756" s="38"/>
      <c r="U756" s="43"/>
      <c r="V756" s="42" t="str">
        <f>IF(Table1[[#This Row],[DATE]]=0,"",YEAR(E756))</f>
        <v/>
      </c>
      <c r="W756" s="40" t="str">
        <f t="shared" si="24"/>
        <v/>
      </c>
      <c r="X756" s="40" t="str">
        <f t="shared" si="25"/>
        <v/>
      </c>
      <c r="Y756" s="40" t="str">
        <f>TEXT(Table1[[#This Row],[YEAR]],"0000")&amp;"-"&amp;Table1[[#This Row],[MONTH]]</f>
        <v>-</v>
      </c>
    </row>
    <row r="757" spans="1:25" ht="15" customHeight="1" x14ac:dyDescent="0.35">
      <c r="A757" s="24"/>
      <c r="B757" s="36"/>
      <c r="C757" s="38"/>
      <c r="D757" s="38"/>
      <c r="E757" s="37"/>
      <c r="F757" s="38"/>
      <c r="G757" s="198"/>
      <c r="H757" s="198"/>
      <c r="I757" s="39"/>
      <c r="J757" s="38"/>
      <c r="K757" s="198"/>
      <c r="L757" s="38"/>
      <c r="M757" s="38"/>
      <c r="N757" s="38"/>
      <c r="O757" s="38"/>
      <c r="P757" s="40" t="str" cm="1">
        <f t="array" ref="P757">IF(N757="","",IFERROR(_xlfn.XLOOKUP(F757&amp;"|"&amp;J757&amp;"|"&amp;O757,PRICES!$C$2:$C$659&amp;"|"&amp;PRICES!$B$2:$B$659&amp;"|"&amp;PRICES!$D$2:$D$659,PRICES!$E$2:$E$659),"Not Found"))</f>
        <v/>
      </c>
      <c r="Q757" s="100" t="str">
        <f>IF(N757=0,"",SUMIFS(PRICES!$G$2:$G$658,PRICES!$B$2:$B$658,'MAIN TABLE-1 AUTOMATED'!J757,PRICES!$C$2:$C$658,'MAIN TABLE-1 AUTOMATED'!F757,PRICES!$D$2:$D$658,'MAIN TABLE-1 AUTOMATED'!O757))</f>
        <v/>
      </c>
      <c r="R757" s="41" t="str">
        <f>IF(Table1[[#This Row],[QUANTITY]]=0,"",Table1[[#This Row],[UNIT PRICE]]*Table1[[#This Row],[QUANTITY]])</f>
        <v/>
      </c>
      <c r="S757" s="89"/>
      <c r="T757" s="38"/>
      <c r="U757" s="43"/>
      <c r="V757" s="42" t="str">
        <f>IF(Table1[[#This Row],[DATE]]=0,"",YEAR(E757))</f>
        <v/>
      </c>
      <c r="W757" s="40" t="str">
        <f t="shared" si="24"/>
        <v/>
      </c>
      <c r="X757" s="40" t="str">
        <f t="shared" si="25"/>
        <v/>
      </c>
      <c r="Y757" s="40" t="str">
        <f>TEXT(Table1[[#This Row],[YEAR]],"0000")&amp;"-"&amp;Table1[[#This Row],[MONTH]]</f>
        <v>-</v>
      </c>
    </row>
    <row r="758" spans="1:25" ht="15" customHeight="1" x14ac:dyDescent="0.35">
      <c r="A758" s="24"/>
      <c r="B758" s="36"/>
      <c r="C758" s="38"/>
      <c r="D758" s="38"/>
      <c r="E758" s="37"/>
      <c r="F758" s="38"/>
      <c r="G758" s="198"/>
      <c r="H758" s="198"/>
      <c r="I758" s="39"/>
      <c r="J758" s="38"/>
      <c r="K758" s="198"/>
      <c r="L758" s="38"/>
      <c r="M758" s="38"/>
      <c r="N758" s="38"/>
      <c r="O758" s="38"/>
      <c r="P758" s="40" t="str" cm="1">
        <f t="array" ref="P758">IF(N758="","",IFERROR(_xlfn.XLOOKUP(F758&amp;"|"&amp;J758&amp;"|"&amp;O758,PRICES!$C$2:$C$659&amp;"|"&amp;PRICES!$B$2:$B$659&amp;"|"&amp;PRICES!$D$2:$D$659,PRICES!$E$2:$E$659),"Not Found"))</f>
        <v/>
      </c>
      <c r="Q758" s="100" t="str">
        <f>IF(N758=0,"",SUMIFS(PRICES!$G$2:$G$658,PRICES!$B$2:$B$658,'MAIN TABLE-1 AUTOMATED'!J758,PRICES!$C$2:$C$658,'MAIN TABLE-1 AUTOMATED'!F758,PRICES!$D$2:$D$658,'MAIN TABLE-1 AUTOMATED'!O758))</f>
        <v/>
      </c>
      <c r="R758" s="41" t="str">
        <f>IF(Table1[[#This Row],[QUANTITY]]=0,"",Table1[[#This Row],[UNIT PRICE]]*Table1[[#This Row],[QUANTITY]])</f>
        <v/>
      </c>
      <c r="S758" s="89"/>
      <c r="T758" s="38"/>
      <c r="U758" s="43"/>
      <c r="V758" s="42" t="str">
        <f>IF(Table1[[#This Row],[DATE]]=0,"",YEAR(E758))</f>
        <v/>
      </c>
      <c r="W758" s="40" t="str">
        <f t="shared" si="24"/>
        <v/>
      </c>
      <c r="X758" s="40" t="str">
        <f t="shared" si="25"/>
        <v/>
      </c>
      <c r="Y758" s="40" t="str">
        <f>TEXT(Table1[[#This Row],[YEAR]],"0000")&amp;"-"&amp;Table1[[#This Row],[MONTH]]</f>
        <v>-</v>
      </c>
    </row>
    <row r="759" spans="1:25" ht="15" customHeight="1" x14ac:dyDescent="0.35">
      <c r="A759" s="24"/>
      <c r="B759" s="38"/>
      <c r="C759" s="38"/>
      <c r="D759" s="38"/>
      <c r="E759" s="37"/>
      <c r="F759" s="38"/>
      <c r="G759" s="198"/>
      <c r="H759" s="198"/>
      <c r="I759" s="39"/>
      <c r="J759" s="38"/>
      <c r="K759" s="198"/>
      <c r="L759" s="38"/>
      <c r="M759" s="38"/>
      <c r="N759" s="38"/>
      <c r="O759" s="38"/>
      <c r="P759" s="40" t="str" cm="1">
        <f t="array" ref="P759">IF(N759="","",IFERROR(_xlfn.XLOOKUP(F759&amp;"|"&amp;J759&amp;"|"&amp;O759,PRICES!$C$2:$C$659&amp;"|"&amp;PRICES!$B$2:$B$659&amp;"|"&amp;PRICES!$D$2:$D$659,PRICES!$E$2:$E$659),"Not Found"))</f>
        <v/>
      </c>
      <c r="Q759" s="100" t="str">
        <f>IF(N759=0,"",SUMIFS(PRICES!$G$2:$G$658,PRICES!$B$2:$B$658,'MAIN TABLE-1 AUTOMATED'!J759,PRICES!$C$2:$C$658,'MAIN TABLE-1 AUTOMATED'!F759,PRICES!$D$2:$D$658,'MAIN TABLE-1 AUTOMATED'!O759))</f>
        <v/>
      </c>
      <c r="R759" s="41" t="str">
        <f>IF(Table1[[#This Row],[QUANTITY]]=0,"",Table1[[#This Row],[UNIT PRICE]]*Table1[[#This Row],[QUANTITY]])</f>
        <v/>
      </c>
      <c r="S759" s="89"/>
      <c r="T759" s="38"/>
      <c r="U759" s="43"/>
      <c r="V759" s="42" t="str">
        <f>IF(Table1[[#This Row],[DATE]]=0,"",YEAR(E759))</f>
        <v/>
      </c>
      <c r="W759" s="40" t="str">
        <f t="shared" si="24"/>
        <v/>
      </c>
      <c r="X759" s="40" t="str">
        <f t="shared" si="25"/>
        <v/>
      </c>
      <c r="Y759" s="40" t="str">
        <f>TEXT(Table1[[#This Row],[YEAR]],"0000")&amp;"-"&amp;Table1[[#This Row],[MONTH]]</f>
        <v>-</v>
      </c>
    </row>
    <row r="760" spans="1:25" ht="15" customHeight="1" x14ac:dyDescent="0.35">
      <c r="A760" s="24"/>
      <c r="B760" s="38"/>
      <c r="C760" s="38"/>
      <c r="D760" s="38"/>
      <c r="E760" s="37"/>
      <c r="F760" s="38"/>
      <c r="G760" s="198"/>
      <c r="H760" s="198"/>
      <c r="I760" s="39"/>
      <c r="J760" s="38"/>
      <c r="K760" s="198"/>
      <c r="L760" s="38"/>
      <c r="M760" s="38"/>
      <c r="N760" s="38"/>
      <c r="O760" s="38"/>
      <c r="P760" s="40" t="str" cm="1">
        <f t="array" ref="P760">IF(N760="","",IFERROR(_xlfn.XLOOKUP(F760&amp;"|"&amp;J760&amp;"|"&amp;O760,PRICES!$C$2:$C$659&amp;"|"&amp;PRICES!$B$2:$B$659&amp;"|"&amp;PRICES!$D$2:$D$659,PRICES!$E$2:$E$659),"Not Found"))</f>
        <v/>
      </c>
      <c r="Q760" s="100" t="str">
        <f>IF(N760=0,"",SUMIFS(PRICES!$G$2:$G$658,PRICES!$B$2:$B$658,'MAIN TABLE-1 AUTOMATED'!J760,PRICES!$C$2:$C$658,'MAIN TABLE-1 AUTOMATED'!F760,PRICES!$D$2:$D$658,'MAIN TABLE-1 AUTOMATED'!O760))</f>
        <v/>
      </c>
      <c r="R760" s="41" t="str">
        <f>IF(Table1[[#This Row],[QUANTITY]]=0,"",Table1[[#This Row],[UNIT PRICE]]*Table1[[#This Row],[QUANTITY]])</f>
        <v/>
      </c>
      <c r="S760" s="89"/>
      <c r="T760" s="38"/>
      <c r="U760" s="43"/>
      <c r="V760" s="42" t="str">
        <f>IF(Table1[[#This Row],[DATE]]=0,"",YEAR(E760))</f>
        <v/>
      </c>
      <c r="W760" s="40" t="str">
        <f t="shared" si="24"/>
        <v/>
      </c>
      <c r="X760" s="40" t="str">
        <f t="shared" si="25"/>
        <v/>
      </c>
      <c r="Y760" s="40" t="str">
        <f>TEXT(Table1[[#This Row],[YEAR]],"0000")&amp;"-"&amp;Table1[[#This Row],[MONTH]]</f>
        <v>-</v>
      </c>
    </row>
    <row r="761" spans="1:25" ht="15" customHeight="1" x14ac:dyDescent="0.35">
      <c r="A761" s="24"/>
      <c r="B761" s="38"/>
      <c r="C761" s="38"/>
      <c r="D761" s="38"/>
      <c r="E761" s="37"/>
      <c r="F761" s="38"/>
      <c r="G761" s="198"/>
      <c r="H761" s="198"/>
      <c r="I761" s="39"/>
      <c r="J761" s="38"/>
      <c r="K761" s="198"/>
      <c r="L761" s="38"/>
      <c r="M761" s="38"/>
      <c r="N761" s="38"/>
      <c r="O761" s="38"/>
      <c r="P761" s="40" t="str" cm="1">
        <f t="array" ref="P761">IF(N761="","",IFERROR(_xlfn.XLOOKUP(F761&amp;"|"&amp;J761&amp;"|"&amp;O761,PRICES!$C$2:$C$659&amp;"|"&amp;PRICES!$B$2:$B$659&amp;"|"&amp;PRICES!$D$2:$D$659,PRICES!$E$2:$E$659),"Not Found"))</f>
        <v/>
      </c>
      <c r="Q761" s="100" t="str">
        <f>IF(N761=0,"",SUMIFS(PRICES!$G$2:$G$658,PRICES!$B$2:$B$658,'MAIN TABLE-1 AUTOMATED'!J761,PRICES!$C$2:$C$658,'MAIN TABLE-1 AUTOMATED'!F761,PRICES!$D$2:$D$658,'MAIN TABLE-1 AUTOMATED'!O761))</f>
        <v/>
      </c>
      <c r="R761" s="41" t="str">
        <f>IF(Table1[[#This Row],[QUANTITY]]=0,"",Table1[[#This Row],[UNIT PRICE]]*Table1[[#This Row],[QUANTITY]])</f>
        <v/>
      </c>
      <c r="S761" s="89"/>
      <c r="T761" s="38"/>
      <c r="U761" s="43"/>
      <c r="V761" s="42" t="str">
        <f>IF(Table1[[#This Row],[DATE]]=0,"",YEAR(E761))</f>
        <v/>
      </c>
      <c r="W761" s="40" t="str">
        <f t="shared" si="24"/>
        <v/>
      </c>
      <c r="X761" s="40" t="str">
        <f t="shared" si="25"/>
        <v/>
      </c>
      <c r="Y761" s="40" t="str">
        <f>TEXT(Table1[[#This Row],[YEAR]],"0000")&amp;"-"&amp;Table1[[#This Row],[MONTH]]</f>
        <v>-</v>
      </c>
    </row>
    <row r="762" spans="1:25" ht="15" customHeight="1" x14ac:dyDescent="0.35">
      <c r="A762" s="24"/>
      <c r="B762" s="38"/>
      <c r="C762" s="38"/>
      <c r="D762" s="38"/>
      <c r="E762" s="37"/>
      <c r="F762" s="38"/>
      <c r="G762" s="198"/>
      <c r="H762" s="198"/>
      <c r="I762" s="39"/>
      <c r="J762" s="38"/>
      <c r="K762" s="198"/>
      <c r="L762" s="38"/>
      <c r="M762" s="38"/>
      <c r="N762" s="38"/>
      <c r="O762" s="38"/>
      <c r="P762" s="40" t="str" cm="1">
        <f t="array" ref="P762">IF(N762="","",IFERROR(_xlfn.XLOOKUP(F762&amp;"|"&amp;J762&amp;"|"&amp;O762,PRICES!$C$2:$C$659&amp;"|"&amp;PRICES!$B$2:$B$659&amp;"|"&amp;PRICES!$D$2:$D$659,PRICES!$E$2:$E$659),"Not Found"))</f>
        <v/>
      </c>
      <c r="Q762" s="100" t="str">
        <f>IF(N762=0,"",SUMIFS(PRICES!$G$2:$G$658,PRICES!$B$2:$B$658,'MAIN TABLE-1 AUTOMATED'!J762,PRICES!$C$2:$C$658,'MAIN TABLE-1 AUTOMATED'!F762,PRICES!$D$2:$D$658,'MAIN TABLE-1 AUTOMATED'!O762))</f>
        <v/>
      </c>
      <c r="R762" s="41" t="str">
        <f>IF(Table1[[#This Row],[QUANTITY]]=0,"",Table1[[#This Row],[UNIT PRICE]]*Table1[[#This Row],[QUANTITY]])</f>
        <v/>
      </c>
      <c r="S762" s="89"/>
      <c r="T762" s="38"/>
      <c r="U762" s="43"/>
      <c r="V762" s="42" t="str">
        <f>IF(Table1[[#This Row],[DATE]]=0,"",YEAR(E762))</f>
        <v/>
      </c>
      <c r="W762" s="40" t="str">
        <f t="shared" si="24"/>
        <v/>
      </c>
      <c r="X762" s="40" t="str">
        <f t="shared" si="25"/>
        <v/>
      </c>
      <c r="Y762" s="40" t="str">
        <f>TEXT(Table1[[#This Row],[YEAR]],"0000")&amp;"-"&amp;Table1[[#This Row],[MONTH]]</f>
        <v>-</v>
      </c>
    </row>
    <row r="763" spans="1:25" ht="15" customHeight="1" x14ac:dyDescent="0.35">
      <c r="A763" s="24"/>
      <c r="B763" s="38"/>
      <c r="C763" s="38"/>
      <c r="D763" s="38"/>
      <c r="E763" s="37"/>
      <c r="F763" s="38"/>
      <c r="G763" s="198"/>
      <c r="H763" s="198"/>
      <c r="I763" s="39"/>
      <c r="J763" s="38"/>
      <c r="K763" s="198"/>
      <c r="L763" s="38"/>
      <c r="M763" s="38"/>
      <c r="N763" s="38"/>
      <c r="O763" s="38"/>
      <c r="P763" s="40" t="str" cm="1">
        <f t="array" ref="P763">IF(N763="","",IFERROR(_xlfn.XLOOKUP(F763&amp;"|"&amp;J763&amp;"|"&amp;O763,PRICES!$C$2:$C$659&amp;"|"&amp;PRICES!$B$2:$B$659&amp;"|"&amp;PRICES!$D$2:$D$659,PRICES!$E$2:$E$659),"Not Found"))</f>
        <v/>
      </c>
      <c r="Q763" s="100" t="str">
        <f>IF(N763=0,"",SUMIFS(PRICES!$G$2:$G$658,PRICES!$B$2:$B$658,'MAIN TABLE-1 AUTOMATED'!J763,PRICES!$C$2:$C$658,'MAIN TABLE-1 AUTOMATED'!F763,PRICES!$D$2:$D$658,'MAIN TABLE-1 AUTOMATED'!O763))</f>
        <v/>
      </c>
      <c r="R763" s="41" t="str">
        <f>IF(Table1[[#This Row],[QUANTITY]]=0,"",Table1[[#This Row],[UNIT PRICE]]*Table1[[#This Row],[QUANTITY]])</f>
        <v/>
      </c>
      <c r="S763" s="89"/>
      <c r="T763" s="38"/>
      <c r="U763" s="43"/>
      <c r="V763" s="42" t="str">
        <f>IF(Table1[[#This Row],[DATE]]=0,"",YEAR(E763))</f>
        <v/>
      </c>
      <c r="W763" s="40" t="str">
        <f t="shared" si="24"/>
        <v/>
      </c>
      <c r="X763" s="40" t="str">
        <f t="shared" si="25"/>
        <v/>
      </c>
      <c r="Y763" s="40" t="str">
        <f>TEXT(Table1[[#This Row],[YEAR]],"0000")&amp;"-"&amp;Table1[[#This Row],[MONTH]]</f>
        <v>-</v>
      </c>
    </row>
    <row r="764" spans="1:25" ht="15" customHeight="1" x14ac:dyDescent="0.35">
      <c r="A764" s="24"/>
      <c r="B764" s="38"/>
      <c r="C764" s="38"/>
      <c r="D764" s="38"/>
      <c r="E764" s="37"/>
      <c r="F764" s="38"/>
      <c r="G764" s="198"/>
      <c r="H764" s="198"/>
      <c r="I764" s="39"/>
      <c r="J764" s="38"/>
      <c r="K764" s="198"/>
      <c r="L764" s="38"/>
      <c r="M764" s="38"/>
      <c r="N764" s="38"/>
      <c r="O764" s="38"/>
      <c r="P764" s="40" t="str" cm="1">
        <f t="array" ref="P764">IF(N764="","",IFERROR(_xlfn.XLOOKUP(F764&amp;"|"&amp;J764&amp;"|"&amp;O764,PRICES!$C$2:$C$659&amp;"|"&amp;PRICES!$B$2:$B$659&amp;"|"&amp;PRICES!$D$2:$D$659,PRICES!$E$2:$E$659),"Not Found"))</f>
        <v/>
      </c>
      <c r="Q764" s="100" t="str">
        <f>IF(N764=0,"",SUMIFS(PRICES!$G$2:$G$658,PRICES!$B$2:$B$658,'MAIN TABLE-1 AUTOMATED'!J764,PRICES!$C$2:$C$658,'MAIN TABLE-1 AUTOMATED'!F764,PRICES!$D$2:$D$658,'MAIN TABLE-1 AUTOMATED'!O764))</f>
        <v/>
      </c>
      <c r="R764" s="41" t="str">
        <f>IF(Table1[[#This Row],[QUANTITY]]=0,"",Table1[[#This Row],[UNIT PRICE]]*Table1[[#This Row],[QUANTITY]])</f>
        <v/>
      </c>
      <c r="S764" s="89"/>
      <c r="T764" s="38"/>
      <c r="U764" s="43"/>
      <c r="V764" s="42" t="str">
        <f>IF(Table1[[#This Row],[DATE]]=0,"",YEAR(E764))</f>
        <v/>
      </c>
      <c r="W764" s="40" t="str">
        <f t="shared" si="24"/>
        <v/>
      </c>
      <c r="X764" s="40" t="str">
        <f t="shared" si="25"/>
        <v/>
      </c>
      <c r="Y764" s="40" t="str">
        <f>TEXT(Table1[[#This Row],[YEAR]],"0000")&amp;"-"&amp;Table1[[#This Row],[MONTH]]</f>
        <v>-</v>
      </c>
    </row>
    <row r="765" spans="1:25" ht="15" customHeight="1" x14ac:dyDescent="0.35">
      <c r="A765" s="24"/>
      <c r="B765" s="38"/>
      <c r="C765" s="38"/>
      <c r="D765" s="38"/>
      <c r="E765" s="37"/>
      <c r="F765" s="38"/>
      <c r="G765" s="198"/>
      <c r="H765" s="198"/>
      <c r="I765" s="39"/>
      <c r="J765" s="38"/>
      <c r="K765" s="198"/>
      <c r="L765" s="38"/>
      <c r="M765" s="38"/>
      <c r="N765" s="38"/>
      <c r="O765" s="38"/>
      <c r="P765" s="40" t="str" cm="1">
        <f t="array" ref="P765">IF(N765="","",IFERROR(_xlfn.XLOOKUP(F765&amp;"|"&amp;J765&amp;"|"&amp;O765,PRICES!$C$2:$C$659&amp;"|"&amp;PRICES!$B$2:$B$659&amp;"|"&amp;PRICES!$D$2:$D$659,PRICES!$E$2:$E$659),"Not Found"))</f>
        <v/>
      </c>
      <c r="Q765" s="100" t="str">
        <f>IF(N765=0,"",SUMIFS(PRICES!$G$2:$G$658,PRICES!$B$2:$B$658,'MAIN TABLE-1 AUTOMATED'!J765,PRICES!$C$2:$C$658,'MAIN TABLE-1 AUTOMATED'!F765,PRICES!$D$2:$D$658,'MAIN TABLE-1 AUTOMATED'!O765))</f>
        <v/>
      </c>
      <c r="R765" s="41" t="str">
        <f>IF(Table1[[#This Row],[QUANTITY]]=0,"",Table1[[#This Row],[UNIT PRICE]]*Table1[[#This Row],[QUANTITY]])</f>
        <v/>
      </c>
      <c r="S765" s="89"/>
      <c r="T765" s="38"/>
      <c r="U765" s="43"/>
      <c r="V765" s="42" t="str">
        <f>IF(Table1[[#This Row],[DATE]]=0,"",YEAR(E765))</f>
        <v/>
      </c>
      <c r="W765" s="40" t="str">
        <f t="shared" si="24"/>
        <v/>
      </c>
      <c r="X765" s="40" t="str">
        <f t="shared" si="25"/>
        <v/>
      </c>
      <c r="Y765" s="40" t="str">
        <f>TEXT(Table1[[#This Row],[YEAR]],"0000")&amp;"-"&amp;Table1[[#This Row],[MONTH]]</f>
        <v>-</v>
      </c>
    </row>
    <row r="766" spans="1:25" ht="15" customHeight="1" x14ac:dyDescent="0.35">
      <c r="A766" s="24"/>
      <c r="B766" s="38"/>
      <c r="C766" s="38"/>
      <c r="D766" s="38"/>
      <c r="E766" s="37"/>
      <c r="F766" s="38"/>
      <c r="G766" s="198"/>
      <c r="H766" s="198"/>
      <c r="I766" s="39"/>
      <c r="J766" s="38"/>
      <c r="K766" s="198"/>
      <c r="L766" s="38"/>
      <c r="M766" s="38"/>
      <c r="N766" s="38"/>
      <c r="O766" s="38"/>
      <c r="P766" s="40" t="str" cm="1">
        <f t="array" ref="P766">IF(N766="","",IFERROR(_xlfn.XLOOKUP(F766&amp;"|"&amp;J766&amp;"|"&amp;O766,PRICES!$C$2:$C$659&amp;"|"&amp;PRICES!$B$2:$B$659&amp;"|"&amp;PRICES!$D$2:$D$659,PRICES!$E$2:$E$659),"Not Found"))</f>
        <v/>
      </c>
      <c r="Q766" s="100" t="str">
        <f>IF(N766=0,"",SUMIFS(PRICES!$G$2:$G$658,PRICES!$B$2:$B$658,'MAIN TABLE-1 AUTOMATED'!J766,PRICES!$C$2:$C$658,'MAIN TABLE-1 AUTOMATED'!F766,PRICES!$D$2:$D$658,'MAIN TABLE-1 AUTOMATED'!O766))</f>
        <v/>
      </c>
      <c r="R766" s="41" t="str">
        <f>IF(Table1[[#This Row],[QUANTITY]]=0,"",Table1[[#This Row],[UNIT PRICE]]*Table1[[#This Row],[QUANTITY]])</f>
        <v/>
      </c>
      <c r="S766" s="89"/>
      <c r="T766" s="38"/>
      <c r="U766" s="43"/>
      <c r="V766" s="42" t="str">
        <f>IF(Table1[[#This Row],[DATE]]=0,"",YEAR(E766))</f>
        <v/>
      </c>
      <c r="W766" s="40" t="str">
        <f t="shared" si="24"/>
        <v/>
      </c>
      <c r="X766" s="40" t="str">
        <f t="shared" si="25"/>
        <v/>
      </c>
      <c r="Y766" s="40" t="str">
        <f>TEXT(Table1[[#This Row],[YEAR]],"0000")&amp;"-"&amp;Table1[[#This Row],[MONTH]]</f>
        <v>-</v>
      </c>
    </row>
    <row r="767" spans="1:25" ht="15" customHeight="1" x14ac:dyDescent="0.35">
      <c r="A767" s="24"/>
      <c r="B767" s="38"/>
      <c r="C767" s="38"/>
      <c r="D767" s="38"/>
      <c r="E767" s="37"/>
      <c r="F767" s="38"/>
      <c r="G767" s="198"/>
      <c r="H767" s="198"/>
      <c r="I767" s="39"/>
      <c r="J767" s="38"/>
      <c r="K767" s="198"/>
      <c r="L767" s="38"/>
      <c r="M767" s="38"/>
      <c r="N767" s="38"/>
      <c r="O767" s="38"/>
      <c r="P767" s="40" t="str" cm="1">
        <f t="array" ref="P767">IF(N767="","",IFERROR(_xlfn.XLOOKUP(F767&amp;"|"&amp;J767&amp;"|"&amp;O767,PRICES!$C$2:$C$659&amp;"|"&amp;PRICES!$B$2:$B$659&amp;"|"&amp;PRICES!$D$2:$D$659,PRICES!$E$2:$E$659),"Not Found"))</f>
        <v/>
      </c>
      <c r="Q767" s="100" t="str">
        <f>IF(N767=0,"",SUMIFS(PRICES!$G$2:$G$658,PRICES!$B$2:$B$658,'MAIN TABLE-1 AUTOMATED'!J767,PRICES!$C$2:$C$658,'MAIN TABLE-1 AUTOMATED'!F767,PRICES!$D$2:$D$658,'MAIN TABLE-1 AUTOMATED'!O767))</f>
        <v/>
      </c>
      <c r="R767" s="41" t="str">
        <f>IF(Table1[[#This Row],[QUANTITY]]=0,"",Table1[[#This Row],[UNIT PRICE]]*Table1[[#This Row],[QUANTITY]])</f>
        <v/>
      </c>
      <c r="S767" s="89"/>
      <c r="T767" s="38"/>
      <c r="U767" s="43"/>
      <c r="V767" s="42" t="str">
        <f>IF(Table1[[#This Row],[DATE]]=0,"",YEAR(E767))</f>
        <v/>
      </c>
      <c r="W767" s="40" t="str">
        <f t="shared" si="24"/>
        <v/>
      </c>
      <c r="X767" s="40" t="str">
        <f t="shared" si="25"/>
        <v/>
      </c>
      <c r="Y767" s="40" t="str">
        <f>TEXT(Table1[[#This Row],[YEAR]],"0000")&amp;"-"&amp;Table1[[#This Row],[MONTH]]</f>
        <v>-</v>
      </c>
    </row>
    <row r="768" spans="1:25" ht="15" customHeight="1" x14ac:dyDescent="0.35">
      <c r="A768" s="24"/>
      <c r="B768" s="38"/>
      <c r="C768" s="38"/>
      <c r="D768" s="38"/>
      <c r="E768" s="37"/>
      <c r="F768" s="38"/>
      <c r="G768" s="198"/>
      <c r="H768" s="198"/>
      <c r="I768" s="39"/>
      <c r="J768" s="38"/>
      <c r="K768" s="198"/>
      <c r="L768" s="38"/>
      <c r="M768" s="38"/>
      <c r="N768" s="38"/>
      <c r="O768" s="38"/>
      <c r="P768" s="40" t="str" cm="1">
        <f t="array" ref="P768">IF(N768="","",IFERROR(_xlfn.XLOOKUP(F768&amp;"|"&amp;J768&amp;"|"&amp;O768,PRICES!$C$2:$C$659&amp;"|"&amp;PRICES!$B$2:$B$659&amp;"|"&amp;PRICES!$D$2:$D$659,PRICES!$E$2:$E$659),"Not Found"))</f>
        <v/>
      </c>
      <c r="Q768" s="100" t="str">
        <f>IF(N768=0,"",SUMIFS(PRICES!$G$2:$G$658,PRICES!$B$2:$B$658,'MAIN TABLE-1 AUTOMATED'!J768,PRICES!$C$2:$C$658,'MAIN TABLE-1 AUTOMATED'!F768,PRICES!$D$2:$D$658,'MAIN TABLE-1 AUTOMATED'!O768))</f>
        <v/>
      </c>
      <c r="R768" s="41" t="str">
        <f>IF(Table1[[#This Row],[QUANTITY]]=0,"",Table1[[#This Row],[UNIT PRICE]]*Table1[[#This Row],[QUANTITY]])</f>
        <v/>
      </c>
      <c r="S768" s="89"/>
      <c r="T768" s="38"/>
      <c r="U768" s="43"/>
      <c r="V768" s="42" t="str">
        <f>IF(Table1[[#This Row],[DATE]]=0,"",YEAR(E768))</f>
        <v/>
      </c>
      <c r="W768" s="40" t="str">
        <f t="shared" si="24"/>
        <v/>
      </c>
      <c r="X768" s="40" t="str">
        <f t="shared" si="25"/>
        <v/>
      </c>
      <c r="Y768" s="40" t="str">
        <f>TEXT(Table1[[#This Row],[YEAR]],"0000")&amp;"-"&amp;Table1[[#This Row],[MONTH]]</f>
        <v>-</v>
      </c>
    </row>
    <row r="769" spans="1:25" ht="15" customHeight="1" x14ac:dyDescent="0.35">
      <c r="A769" s="24"/>
      <c r="B769" s="38"/>
      <c r="C769" s="38"/>
      <c r="D769" s="38"/>
      <c r="E769" s="37"/>
      <c r="F769" s="38"/>
      <c r="G769" s="198"/>
      <c r="H769" s="198"/>
      <c r="I769" s="39"/>
      <c r="J769" s="38"/>
      <c r="K769" s="198"/>
      <c r="L769" s="38"/>
      <c r="M769" s="38"/>
      <c r="N769" s="38"/>
      <c r="O769" s="38"/>
      <c r="P769" s="40" t="str" cm="1">
        <f t="array" ref="P769">IF(N769="","",IFERROR(_xlfn.XLOOKUP(F769&amp;"|"&amp;J769&amp;"|"&amp;O769,PRICES!$C$2:$C$659&amp;"|"&amp;PRICES!$B$2:$B$659&amp;"|"&amp;PRICES!$D$2:$D$659,PRICES!$E$2:$E$659),"Not Found"))</f>
        <v/>
      </c>
      <c r="Q769" s="100" t="str">
        <f>IF(N769=0,"",SUMIFS(PRICES!$G$2:$G$658,PRICES!$B$2:$B$658,'MAIN TABLE-1 AUTOMATED'!J769,PRICES!$C$2:$C$658,'MAIN TABLE-1 AUTOMATED'!F769,PRICES!$D$2:$D$658,'MAIN TABLE-1 AUTOMATED'!O769))</f>
        <v/>
      </c>
      <c r="R769" s="41" t="str">
        <f>IF(Table1[[#This Row],[QUANTITY]]=0,"",Table1[[#This Row],[UNIT PRICE]]*Table1[[#This Row],[QUANTITY]])</f>
        <v/>
      </c>
      <c r="S769" s="89"/>
      <c r="T769" s="38"/>
      <c r="U769" s="43"/>
      <c r="V769" s="42" t="str">
        <f>IF(Table1[[#This Row],[DATE]]=0,"",YEAR(E769))</f>
        <v/>
      </c>
      <c r="W769" s="40" t="str">
        <f t="shared" si="24"/>
        <v/>
      </c>
      <c r="X769" s="40" t="str">
        <f t="shared" si="25"/>
        <v/>
      </c>
      <c r="Y769" s="40" t="str">
        <f>TEXT(Table1[[#This Row],[YEAR]],"0000")&amp;"-"&amp;Table1[[#This Row],[MONTH]]</f>
        <v>-</v>
      </c>
    </row>
    <row r="770" spans="1:25" ht="15" customHeight="1" x14ac:dyDescent="0.35">
      <c r="A770" s="24"/>
      <c r="B770" s="38"/>
      <c r="C770" s="38"/>
      <c r="D770" s="38"/>
      <c r="E770" s="37"/>
      <c r="F770" s="38"/>
      <c r="G770" s="198"/>
      <c r="H770" s="198"/>
      <c r="I770" s="39"/>
      <c r="J770" s="38"/>
      <c r="K770" s="198"/>
      <c r="L770" s="38"/>
      <c r="M770" s="38"/>
      <c r="N770" s="38"/>
      <c r="O770" s="38"/>
      <c r="P770" s="40" t="str" cm="1">
        <f t="array" ref="P770">IF(N770="","",IFERROR(_xlfn.XLOOKUP(F770&amp;"|"&amp;J770&amp;"|"&amp;O770,PRICES!$C$2:$C$659&amp;"|"&amp;PRICES!$B$2:$B$659&amp;"|"&amp;PRICES!$D$2:$D$659,PRICES!$E$2:$E$659),"Not Found"))</f>
        <v/>
      </c>
      <c r="Q770" s="100" t="str">
        <f>IF(N770=0,"",SUMIFS(PRICES!$G$2:$G$658,PRICES!$B$2:$B$658,'MAIN TABLE-1 AUTOMATED'!J770,PRICES!$C$2:$C$658,'MAIN TABLE-1 AUTOMATED'!F770,PRICES!$D$2:$D$658,'MAIN TABLE-1 AUTOMATED'!O770))</f>
        <v/>
      </c>
      <c r="R770" s="41" t="str">
        <f>IF(Table1[[#This Row],[QUANTITY]]=0,"",Table1[[#This Row],[UNIT PRICE]]*Table1[[#This Row],[QUANTITY]])</f>
        <v/>
      </c>
      <c r="S770" s="89"/>
      <c r="T770" s="38"/>
      <c r="U770" s="43"/>
      <c r="V770" s="42" t="str">
        <f>IF(Table1[[#This Row],[DATE]]=0,"",YEAR(E770))</f>
        <v/>
      </c>
      <c r="W770" s="40" t="str">
        <f t="shared" si="24"/>
        <v/>
      </c>
      <c r="X770" s="40" t="str">
        <f t="shared" si="25"/>
        <v/>
      </c>
      <c r="Y770" s="40" t="str">
        <f>TEXT(Table1[[#This Row],[YEAR]],"0000")&amp;"-"&amp;Table1[[#This Row],[MONTH]]</f>
        <v>-</v>
      </c>
    </row>
    <row r="771" spans="1:25" ht="15" customHeight="1" x14ac:dyDescent="0.35">
      <c r="A771" s="24"/>
      <c r="B771" s="38"/>
      <c r="C771" s="38"/>
      <c r="D771" s="38"/>
      <c r="E771" s="37"/>
      <c r="F771" s="38"/>
      <c r="G771" s="198"/>
      <c r="H771" s="198"/>
      <c r="I771" s="39"/>
      <c r="J771" s="38"/>
      <c r="K771" s="198"/>
      <c r="L771" s="38"/>
      <c r="M771" s="38"/>
      <c r="N771" s="38"/>
      <c r="O771" s="38"/>
      <c r="P771" s="40" t="str" cm="1">
        <f t="array" ref="P771">IF(N771="","",IFERROR(_xlfn.XLOOKUP(F771&amp;"|"&amp;J771&amp;"|"&amp;O771,PRICES!$C$2:$C$659&amp;"|"&amp;PRICES!$B$2:$B$659&amp;"|"&amp;PRICES!$D$2:$D$659,PRICES!$E$2:$E$659),"Not Found"))</f>
        <v/>
      </c>
      <c r="Q771" s="100" t="str">
        <f>IF(N771=0,"",SUMIFS(PRICES!$G$2:$G$658,PRICES!$B$2:$B$658,'MAIN TABLE-1 AUTOMATED'!J771,PRICES!$C$2:$C$658,'MAIN TABLE-1 AUTOMATED'!F771,PRICES!$D$2:$D$658,'MAIN TABLE-1 AUTOMATED'!O771))</f>
        <v/>
      </c>
      <c r="R771" s="41" t="str">
        <f>IF(Table1[[#This Row],[QUANTITY]]=0,"",Table1[[#This Row],[UNIT PRICE]]*Table1[[#This Row],[QUANTITY]])</f>
        <v/>
      </c>
      <c r="S771" s="89"/>
      <c r="T771" s="38"/>
      <c r="U771" s="43"/>
      <c r="V771" s="42" t="str">
        <f>IF(Table1[[#This Row],[DATE]]=0,"",YEAR(E771))</f>
        <v/>
      </c>
      <c r="W771" s="40" t="str">
        <f t="shared" si="24"/>
        <v/>
      </c>
      <c r="X771" s="40" t="str">
        <f t="shared" si="25"/>
        <v/>
      </c>
      <c r="Y771" s="40" t="str">
        <f>TEXT(Table1[[#This Row],[YEAR]],"0000")&amp;"-"&amp;Table1[[#This Row],[MONTH]]</f>
        <v>-</v>
      </c>
    </row>
    <row r="772" spans="1:25" ht="15" customHeight="1" x14ac:dyDescent="0.35">
      <c r="A772" s="24"/>
      <c r="B772" s="38"/>
      <c r="C772" s="38"/>
      <c r="D772" s="38"/>
      <c r="E772" s="37"/>
      <c r="F772" s="38"/>
      <c r="G772" s="198"/>
      <c r="H772" s="198"/>
      <c r="I772" s="39"/>
      <c r="J772" s="38"/>
      <c r="K772" s="198"/>
      <c r="L772" s="38"/>
      <c r="M772" s="38"/>
      <c r="N772" s="38"/>
      <c r="O772" s="38"/>
      <c r="P772" s="40" t="str" cm="1">
        <f t="array" ref="P772">IF(N772="","",IFERROR(_xlfn.XLOOKUP(F772&amp;"|"&amp;J772&amp;"|"&amp;O772,PRICES!$C$2:$C$659&amp;"|"&amp;PRICES!$B$2:$B$659&amp;"|"&amp;PRICES!$D$2:$D$659,PRICES!$E$2:$E$659),"Not Found"))</f>
        <v/>
      </c>
      <c r="Q772" s="100" t="str">
        <f>IF(N772=0,"",SUMIFS(PRICES!$G$2:$G$658,PRICES!$B$2:$B$658,'MAIN TABLE-1 AUTOMATED'!J772,PRICES!$C$2:$C$658,'MAIN TABLE-1 AUTOMATED'!F772,PRICES!$D$2:$D$658,'MAIN TABLE-1 AUTOMATED'!O772))</f>
        <v/>
      </c>
      <c r="R772" s="41" t="str">
        <f>IF(Table1[[#This Row],[QUANTITY]]=0,"",Table1[[#This Row],[UNIT PRICE]]*Table1[[#This Row],[QUANTITY]])</f>
        <v/>
      </c>
      <c r="S772" s="89"/>
      <c r="T772" s="38"/>
      <c r="U772" s="43"/>
      <c r="V772" s="42" t="str">
        <f>IF(Table1[[#This Row],[DATE]]=0,"",YEAR(E772))</f>
        <v/>
      </c>
      <c r="W772" s="40" t="str">
        <f t="shared" si="24"/>
        <v/>
      </c>
      <c r="X772" s="40" t="str">
        <f t="shared" si="25"/>
        <v/>
      </c>
      <c r="Y772" s="40" t="str">
        <f>TEXT(Table1[[#This Row],[YEAR]],"0000")&amp;"-"&amp;Table1[[#This Row],[MONTH]]</f>
        <v>-</v>
      </c>
    </row>
    <row r="773" spans="1:25" ht="15" customHeight="1" x14ac:dyDescent="0.35">
      <c r="A773" s="24"/>
      <c r="B773" s="38"/>
      <c r="C773" s="38"/>
      <c r="D773" s="38"/>
      <c r="E773" s="37"/>
      <c r="F773" s="38"/>
      <c r="G773" s="198"/>
      <c r="H773" s="198"/>
      <c r="I773" s="39"/>
      <c r="J773" s="38"/>
      <c r="K773" s="198"/>
      <c r="L773" s="38"/>
      <c r="M773" s="38"/>
      <c r="N773" s="38"/>
      <c r="O773" s="38"/>
      <c r="P773" s="40" t="str" cm="1">
        <f t="array" ref="P773">IF(N773="","",IFERROR(_xlfn.XLOOKUP(F773&amp;"|"&amp;J773&amp;"|"&amp;O773,PRICES!$C$2:$C$659&amp;"|"&amp;PRICES!$B$2:$B$659&amp;"|"&amp;PRICES!$D$2:$D$659,PRICES!$E$2:$E$659),"Not Found"))</f>
        <v/>
      </c>
      <c r="Q773" s="100" t="str">
        <f>IF(N773=0,"",SUMIFS(PRICES!$G$2:$G$658,PRICES!$B$2:$B$658,'MAIN TABLE-1 AUTOMATED'!J773,PRICES!$C$2:$C$658,'MAIN TABLE-1 AUTOMATED'!F773,PRICES!$D$2:$D$658,'MAIN TABLE-1 AUTOMATED'!O773))</f>
        <v/>
      </c>
      <c r="R773" s="41" t="str">
        <f>IF(Table1[[#This Row],[QUANTITY]]=0,"",Table1[[#This Row],[UNIT PRICE]]*Table1[[#This Row],[QUANTITY]])</f>
        <v/>
      </c>
      <c r="S773" s="89"/>
      <c r="T773" s="38"/>
      <c r="U773" s="43"/>
      <c r="V773" s="42" t="str">
        <f>IF(Table1[[#This Row],[DATE]]=0,"",YEAR(E773))</f>
        <v/>
      </c>
      <c r="W773" s="40" t="str">
        <f t="shared" si="24"/>
        <v/>
      </c>
      <c r="X773" s="40" t="str">
        <f t="shared" si="25"/>
        <v/>
      </c>
      <c r="Y773" s="40" t="str">
        <f>TEXT(Table1[[#This Row],[YEAR]],"0000")&amp;"-"&amp;Table1[[#This Row],[MONTH]]</f>
        <v>-</v>
      </c>
    </row>
    <row r="774" spans="1:25" ht="15" customHeight="1" x14ac:dyDescent="0.35">
      <c r="A774" s="24"/>
      <c r="B774" s="38"/>
      <c r="C774" s="38"/>
      <c r="D774" s="38"/>
      <c r="E774" s="37"/>
      <c r="F774" s="38"/>
      <c r="G774" s="198"/>
      <c r="H774" s="198"/>
      <c r="I774" s="39"/>
      <c r="J774" s="38"/>
      <c r="K774" s="198"/>
      <c r="L774" s="38"/>
      <c r="M774" s="38"/>
      <c r="N774" s="38"/>
      <c r="O774" s="38"/>
      <c r="P774" s="40" t="str" cm="1">
        <f t="array" ref="P774">IF(N774="","",IFERROR(_xlfn.XLOOKUP(F774&amp;"|"&amp;J774&amp;"|"&amp;O774,PRICES!$C$2:$C$659&amp;"|"&amp;PRICES!$B$2:$B$659&amp;"|"&amp;PRICES!$D$2:$D$659,PRICES!$E$2:$E$659),"Not Found"))</f>
        <v/>
      </c>
      <c r="Q774" s="100" t="str">
        <f>IF(N774=0,"",SUMIFS(PRICES!$G$2:$G$658,PRICES!$B$2:$B$658,'MAIN TABLE-1 AUTOMATED'!J774,PRICES!$C$2:$C$658,'MAIN TABLE-1 AUTOMATED'!F774,PRICES!$D$2:$D$658,'MAIN TABLE-1 AUTOMATED'!O774))</f>
        <v/>
      </c>
      <c r="R774" s="41" t="str">
        <f>IF(Table1[[#This Row],[QUANTITY]]=0,"",Table1[[#This Row],[UNIT PRICE]]*Table1[[#This Row],[QUANTITY]])</f>
        <v/>
      </c>
      <c r="S774" s="89"/>
      <c r="T774" s="38"/>
      <c r="U774" s="43"/>
      <c r="V774" s="42" t="str">
        <f>IF(Table1[[#This Row],[DATE]]=0,"",YEAR(E774))</f>
        <v/>
      </c>
      <c r="W774" s="40" t="str">
        <f t="shared" si="24"/>
        <v/>
      </c>
      <c r="X774" s="40" t="str">
        <f t="shared" si="25"/>
        <v/>
      </c>
      <c r="Y774" s="40" t="str">
        <f>TEXT(Table1[[#This Row],[YEAR]],"0000")&amp;"-"&amp;Table1[[#This Row],[MONTH]]</f>
        <v>-</v>
      </c>
    </row>
    <row r="775" spans="1:25" ht="15" customHeight="1" x14ac:dyDescent="0.35">
      <c r="A775" s="24"/>
      <c r="B775" s="38"/>
      <c r="C775" s="38"/>
      <c r="D775" s="38"/>
      <c r="E775" s="37"/>
      <c r="F775" s="38"/>
      <c r="G775" s="198"/>
      <c r="H775" s="198"/>
      <c r="I775" s="39"/>
      <c r="J775" s="38"/>
      <c r="K775" s="198"/>
      <c r="L775" s="38"/>
      <c r="M775" s="38"/>
      <c r="N775" s="38"/>
      <c r="O775" s="38"/>
      <c r="P775" s="40" t="str" cm="1">
        <f t="array" ref="P775">IF(N775="","",IFERROR(_xlfn.XLOOKUP(F775&amp;"|"&amp;J775&amp;"|"&amp;O775,PRICES!$C$2:$C$659&amp;"|"&amp;PRICES!$B$2:$B$659&amp;"|"&amp;PRICES!$D$2:$D$659,PRICES!$E$2:$E$659),"Not Found"))</f>
        <v/>
      </c>
      <c r="Q775" s="100" t="str">
        <f>IF(N775=0,"",SUMIFS(PRICES!$G$2:$G$658,PRICES!$B$2:$B$658,'MAIN TABLE-1 AUTOMATED'!J775,PRICES!$C$2:$C$658,'MAIN TABLE-1 AUTOMATED'!F775,PRICES!$D$2:$D$658,'MAIN TABLE-1 AUTOMATED'!O775))</f>
        <v/>
      </c>
      <c r="R775" s="41" t="str">
        <f>IF(Table1[[#This Row],[QUANTITY]]=0,"",Table1[[#This Row],[UNIT PRICE]]*Table1[[#This Row],[QUANTITY]])</f>
        <v/>
      </c>
      <c r="S775" s="89"/>
      <c r="T775" s="38"/>
      <c r="U775" s="43"/>
      <c r="V775" s="42" t="str">
        <f>IF(Table1[[#This Row],[DATE]]=0,"",YEAR(E775))</f>
        <v/>
      </c>
      <c r="W775" s="40" t="str">
        <f t="shared" si="24"/>
        <v/>
      </c>
      <c r="X775" s="40" t="str">
        <f t="shared" si="25"/>
        <v/>
      </c>
      <c r="Y775" s="40" t="str">
        <f>TEXT(Table1[[#This Row],[YEAR]],"0000")&amp;"-"&amp;Table1[[#This Row],[MONTH]]</f>
        <v>-</v>
      </c>
    </row>
    <row r="776" spans="1:25" ht="15" customHeight="1" x14ac:dyDescent="0.35">
      <c r="A776" s="24"/>
      <c r="B776" s="36"/>
      <c r="C776" s="38"/>
      <c r="D776" s="38"/>
      <c r="E776" s="37"/>
      <c r="F776" s="38"/>
      <c r="G776" s="198"/>
      <c r="H776" s="198"/>
      <c r="I776" s="39"/>
      <c r="J776" s="38"/>
      <c r="K776" s="198"/>
      <c r="L776" s="38"/>
      <c r="M776" s="38"/>
      <c r="N776" s="38"/>
      <c r="O776" s="38"/>
      <c r="P776" s="40" t="str" cm="1">
        <f t="array" ref="P776">IF(N776="","",IFERROR(_xlfn.XLOOKUP(F776&amp;"|"&amp;J776&amp;"|"&amp;O776,PRICES!$C$2:$C$659&amp;"|"&amp;PRICES!$B$2:$B$659&amp;"|"&amp;PRICES!$D$2:$D$659,PRICES!$E$2:$E$659),"Not Found"))</f>
        <v/>
      </c>
      <c r="Q776" s="100" t="str">
        <f>IF(N776=0,"",SUMIFS(PRICES!$G$2:$G$658,PRICES!$B$2:$B$658,'MAIN TABLE-1 AUTOMATED'!J776,PRICES!$C$2:$C$658,'MAIN TABLE-1 AUTOMATED'!F776,PRICES!$D$2:$D$658,'MAIN TABLE-1 AUTOMATED'!O776))</f>
        <v/>
      </c>
      <c r="R776" s="41" t="str">
        <f>IF(Table1[[#This Row],[QUANTITY]]=0,"",Table1[[#This Row],[UNIT PRICE]]*Table1[[#This Row],[QUANTITY]])</f>
        <v/>
      </c>
      <c r="S776" s="89"/>
      <c r="T776" s="38"/>
      <c r="U776" s="43"/>
      <c r="V776" s="42" t="str">
        <f>IF(Table1[[#This Row],[DATE]]=0,"",YEAR(E776))</f>
        <v/>
      </c>
      <c r="W776" s="40" t="str">
        <f t="shared" si="24"/>
        <v/>
      </c>
      <c r="X776" s="40" t="str">
        <f t="shared" si="25"/>
        <v/>
      </c>
      <c r="Y776" s="40" t="str">
        <f>TEXT(Table1[[#This Row],[YEAR]],"0000")&amp;"-"&amp;Table1[[#This Row],[MONTH]]</f>
        <v>-</v>
      </c>
    </row>
    <row r="777" spans="1:25" ht="15" customHeight="1" x14ac:dyDescent="0.35">
      <c r="A777" s="24"/>
      <c r="B777" s="38"/>
      <c r="C777" s="38"/>
      <c r="D777" s="38"/>
      <c r="E777" s="37"/>
      <c r="F777" s="38"/>
      <c r="G777" s="198"/>
      <c r="H777" s="198"/>
      <c r="I777" s="39"/>
      <c r="J777" s="38"/>
      <c r="K777" s="198"/>
      <c r="L777" s="38"/>
      <c r="M777" s="38"/>
      <c r="N777" s="38"/>
      <c r="O777" s="38"/>
      <c r="P777" s="40" t="str" cm="1">
        <f t="array" ref="P777">IF(N777="","",IFERROR(_xlfn.XLOOKUP(F777&amp;"|"&amp;J777&amp;"|"&amp;O777,PRICES!$C$2:$C$659&amp;"|"&amp;PRICES!$B$2:$B$659&amp;"|"&amp;PRICES!$D$2:$D$659,PRICES!$E$2:$E$659),"Not Found"))</f>
        <v/>
      </c>
      <c r="Q777" s="100" t="str">
        <f>IF(N777=0,"",SUMIFS(PRICES!$G$2:$G$658,PRICES!$B$2:$B$658,'MAIN TABLE-1 AUTOMATED'!J777,PRICES!$C$2:$C$658,'MAIN TABLE-1 AUTOMATED'!F777,PRICES!$D$2:$D$658,'MAIN TABLE-1 AUTOMATED'!O777))</f>
        <v/>
      </c>
      <c r="R777" s="41" t="str">
        <f>IF(Table1[[#This Row],[QUANTITY]]=0,"",Table1[[#This Row],[UNIT PRICE]]*Table1[[#This Row],[QUANTITY]])</f>
        <v/>
      </c>
      <c r="S777" s="89"/>
      <c r="T777" s="38"/>
      <c r="U777" s="43"/>
      <c r="V777" s="42" t="str">
        <f>IF(Table1[[#This Row],[DATE]]=0,"",YEAR(E777))</f>
        <v/>
      </c>
      <c r="W777" s="40" t="str">
        <f t="shared" si="24"/>
        <v/>
      </c>
      <c r="X777" s="40" t="str">
        <f t="shared" si="25"/>
        <v/>
      </c>
      <c r="Y777" s="40" t="str">
        <f>TEXT(Table1[[#This Row],[YEAR]],"0000")&amp;"-"&amp;Table1[[#This Row],[MONTH]]</f>
        <v>-</v>
      </c>
    </row>
    <row r="778" spans="1:25" ht="15" customHeight="1" x14ac:dyDescent="0.35">
      <c r="A778" s="24"/>
      <c r="B778" s="38"/>
      <c r="C778" s="38"/>
      <c r="D778" s="38"/>
      <c r="E778" s="37"/>
      <c r="F778" s="38"/>
      <c r="G778" s="198"/>
      <c r="H778" s="198"/>
      <c r="I778" s="39"/>
      <c r="J778" s="38"/>
      <c r="K778" s="198"/>
      <c r="L778" s="38"/>
      <c r="M778" s="38"/>
      <c r="N778" s="38"/>
      <c r="O778" s="38"/>
      <c r="P778" s="40" t="str" cm="1">
        <f t="array" ref="P778">IF(N778="","",IFERROR(_xlfn.XLOOKUP(F778&amp;"|"&amp;J778&amp;"|"&amp;O778,PRICES!$C$2:$C$659&amp;"|"&amp;PRICES!$B$2:$B$659&amp;"|"&amp;PRICES!$D$2:$D$659,PRICES!$E$2:$E$659),"Not Found"))</f>
        <v/>
      </c>
      <c r="Q778" s="100" t="str">
        <f>IF(N778=0,"",SUMIFS(PRICES!$G$2:$G$658,PRICES!$B$2:$B$658,'MAIN TABLE-1 AUTOMATED'!J778,PRICES!$C$2:$C$658,'MAIN TABLE-1 AUTOMATED'!F778,PRICES!$D$2:$D$658,'MAIN TABLE-1 AUTOMATED'!O778))</f>
        <v/>
      </c>
      <c r="R778" s="41" t="str">
        <f>IF(Table1[[#This Row],[QUANTITY]]=0,"",Table1[[#This Row],[UNIT PRICE]]*Table1[[#This Row],[QUANTITY]])</f>
        <v/>
      </c>
      <c r="S778" s="89"/>
      <c r="T778" s="38"/>
      <c r="U778" s="43"/>
      <c r="V778" s="42" t="str">
        <f>IF(Table1[[#This Row],[DATE]]=0,"",YEAR(E778))</f>
        <v/>
      </c>
      <c r="W778" s="40" t="str">
        <f t="shared" si="24"/>
        <v/>
      </c>
      <c r="X778" s="40" t="str">
        <f t="shared" si="25"/>
        <v/>
      </c>
      <c r="Y778" s="40" t="str">
        <f>TEXT(Table1[[#This Row],[YEAR]],"0000")&amp;"-"&amp;Table1[[#This Row],[MONTH]]</f>
        <v>-</v>
      </c>
    </row>
    <row r="779" spans="1:25" ht="15" customHeight="1" x14ac:dyDescent="0.35">
      <c r="A779" s="24"/>
      <c r="B779" s="38"/>
      <c r="C779" s="38"/>
      <c r="D779" s="38"/>
      <c r="E779" s="37"/>
      <c r="F779" s="38"/>
      <c r="G779" s="198"/>
      <c r="H779" s="198"/>
      <c r="I779" s="39"/>
      <c r="J779" s="38"/>
      <c r="K779" s="198"/>
      <c r="L779" s="38"/>
      <c r="M779" s="38"/>
      <c r="N779" s="38"/>
      <c r="O779" s="38"/>
      <c r="P779" s="40" t="str" cm="1">
        <f t="array" ref="P779">IF(N779="","",IFERROR(_xlfn.XLOOKUP(F779&amp;"|"&amp;J779&amp;"|"&amp;O779,PRICES!$C$2:$C$659&amp;"|"&amp;PRICES!$B$2:$B$659&amp;"|"&amp;PRICES!$D$2:$D$659,PRICES!$E$2:$E$659),"Not Found"))</f>
        <v/>
      </c>
      <c r="Q779" s="100" t="str">
        <f>IF(N779=0,"",SUMIFS(PRICES!$G$2:$G$658,PRICES!$B$2:$B$658,'MAIN TABLE-1 AUTOMATED'!J779,PRICES!$C$2:$C$658,'MAIN TABLE-1 AUTOMATED'!F779,PRICES!$D$2:$D$658,'MAIN TABLE-1 AUTOMATED'!O779))</f>
        <v/>
      </c>
      <c r="R779" s="41" t="str">
        <f>IF(Table1[[#This Row],[QUANTITY]]=0,"",Table1[[#This Row],[UNIT PRICE]]*Table1[[#This Row],[QUANTITY]])</f>
        <v/>
      </c>
      <c r="S779" s="89"/>
      <c r="T779" s="38"/>
      <c r="U779" s="43"/>
      <c r="V779" s="42" t="str">
        <f>IF(Table1[[#This Row],[DATE]]=0,"",YEAR(E779))</f>
        <v/>
      </c>
      <c r="W779" s="40" t="str">
        <f t="shared" si="24"/>
        <v/>
      </c>
      <c r="X779" s="40" t="str">
        <f t="shared" si="25"/>
        <v/>
      </c>
      <c r="Y779" s="40" t="str">
        <f>TEXT(Table1[[#This Row],[YEAR]],"0000")&amp;"-"&amp;Table1[[#This Row],[MONTH]]</f>
        <v>-</v>
      </c>
    </row>
    <row r="780" spans="1:25" ht="15" customHeight="1" x14ac:dyDescent="0.35">
      <c r="A780" s="24"/>
      <c r="B780" s="36"/>
      <c r="C780" s="38"/>
      <c r="D780" s="38"/>
      <c r="E780" s="37"/>
      <c r="F780" s="38"/>
      <c r="G780" s="198"/>
      <c r="H780" s="198"/>
      <c r="I780" s="39"/>
      <c r="J780" s="38"/>
      <c r="K780" s="198"/>
      <c r="L780" s="38"/>
      <c r="M780" s="38"/>
      <c r="N780" s="38"/>
      <c r="O780" s="38"/>
      <c r="P780" s="40" t="str" cm="1">
        <f t="array" ref="P780">IF(N780="","",IFERROR(_xlfn.XLOOKUP(F780&amp;"|"&amp;J780&amp;"|"&amp;O780,PRICES!$C$2:$C$659&amp;"|"&amp;PRICES!$B$2:$B$659&amp;"|"&amp;PRICES!$D$2:$D$659,PRICES!$E$2:$E$659),"Not Found"))</f>
        <v/>
      </c>
      <c r="Q780" s="100" t="str">
        <f>IF(N780=0,"",SUMIFS(PRICES!$G$2:$G$658,PRICES!$B$2:$B$658,'MAIN TABLE-1 AUTOMATED'!J780,PRICES!$C$2:$C$658,'MAIN TABLE-1 AUTOMATED'!F780,PRICES!$D$2:$D$658,'MAIN TABLE-1 AUTOMATED'!O780))</f>
        <v/>
      </c>
      <c r="R780" s="41" t="str">
        <f>IF(Table1[[#This Row],[QUANTITY]]=0,"",Table1[[#This Row],[UNIT PRICE]]*Table1[[#This Row],[QUANTITY]])</f>
        <v/>
      </c>
      <c r="S780" s="89"/>
      <c r="T780" s="38"/>
      <c r="U780" s="43"/>
      <c r="V780" s="42" t="str">
        <f>IF(Table1[[#This Row],[DATE]]=0,"",YEAR(E780))</f>
        <v/>
      </c>
      <c r="W780" s="40" t="str">
        <f t="shared" si="24"/>
        <v/>
      </c>
      <c r="X780" s="40" t="str">
        <f t="shared" si="25"/>
        <v/>
      </c>
      <c r="Y780" s="40" t="str">
        <f>TEXT(Table1[[#This Row],[YEAR]],"0000")&amp;"-"&amp;Table1[[#This Row],[MONTH]]</f>
        <v>-</v>
      </c>
    </row>
    <row r="781" spans="1:25" ht="15" customHeight="1" x14ac:dyDescent="0.35">
      <c r="A781" s="24"/>
      <c r="B781" s="36"/>
      <c r="C781" s="38"/>
      <c r="D781" s="38"/>
      <c r="E781" s="37"/>
      <c r="F781" s="38"/>
      <c r="G781" s="198"/>
      <c r="H781" s="198"/>
      <c r="I781" s="39"/>
      <c r="J781" s="38"/>
      <c r="K781" s="198"/>
      <c r="L781" s="38"/>
      <c r="M781" s="38"/>
      <c r="N781" s="38"/>
      <c r="O781" s="38"/>
      <c r="P781" s="40" t="str" cm="1">
        <f t="array" ref="P781">IF(N781="","",IFERROR(_xlfn.XLOOKUP(F781&amp;"|"&amp;J781&amp;"|"&amp;O781,PRICES!$C$2:$C$659&amp;"|"&amp;PRICES!$B$2:$B$659&amp;"|"&amp;PRICES!$D$2:$D$659,PRICES!$E$2:$E$659),"Not Found"))</f>
        <v/>
      </c>
      <c r="Q781" s="100" t="str">
        <f>IF(N781=0,"",SUMIFS(PRICES!$G$2:$G$658,PRICES!$B$2:$B$658,'MAIN TABLE-1 AUTOMATED'!J781,PRICES!$C$2:$C$658,'MAIN TABLE-1 AUTOMATED'!F781,PRICES!$D$2:$D$658,'MAIN TABLE-1 AUTOMATED'!O781))</f>
        <v/>
      </c>
      <c r="R781" s="41" t="str">
        <f>IF(Table1[[#This Row],[QUANTITY]]=0,"",Table1[[#This Row],[UNIT PRICE]]*Table1[[#This Row],[QUANTITY]])</f>
        <v/>
      </c>
      <c r="S781" s="89"/>
      <c r="T781" s="38"/>
      <c r="U781" s="43"/>
      <c r="V781" s="42" t="str">
        <f>IF(Table1[[#This Row],[DATE]]=0,"",YEAR(E781))</f>
        <v/>
      </c>
      <c r="W781" s="40" t="str">
        <f t="shared" si="24"/>
        <v/>
      </c>
      <c r="X781" s="40" t="str">
        <f t="shared" si="25"/>
        <v/>
      </c>
      <c r="Y781" s="40" t="str">
        <f>TEXT(Table1[[#This Row],[YEAR]],"0000")&amp;"-"&amp;Table1[[#This Row],[MONTH]]</f>
        <v>-</v>
      </c>
    </row>
    <row r="782" spans="1:25" ht="15" customHeight="1" x14ac:dyDescent="0.35">
      <c r="A782" s="24"/>
      <c r="B782" s="36"/>
      <c r="C782" s="38"/>
      <c r="D782" s="38"/>
      <c r="E782" s="37"/>
      <c r="F782" s="38"/>
      <c r="G782" s="198"/>
      <c r="H782" s="198"/>
      <c r="I782" s="39"/>
      <c r="J782" s="38"/>
      <c r="K782" s="198"/>
      <c r="L782" s="38"/>
      <c r="M782" s="38"/>
      <c r="N782" s="38"/>
      <c r="O782" s="38"/>
      <c r="P782" s="40" t="str" cm="1">
        <f t="array" ref="P782">IF(N782="","",IFERROR(_xlfn.XLOOKUP(F782&amp;"|"&amp;J782&amp;"|"&amp;O782,PRICES!$C$2:$C$659&amp;"|"&amp;PRICES!$B$2:$B$659&amp;"|"&amp;PRICES!$D$2:$D$659,PRICES!$E$2:$E$659),"Not Found"))</f>
        <v/>
      </c>
      <c r="Q782" s="100" t="str">
        <f>IF(N782=0,"",SUMIFS(PRICES!$G$2:$G$658,PRICES!$B$2:$B$658,'MAIN TABLE-1 AUTOMATED'!J782,PRICES!$C$2:$C$658,'MAIN TABLE-1 AUTOMATED'!F782,PRICES!$D$2:$D$658,'MAIN TABLE-1 AUTOMATED'!O782))</f>
        <v/>
      </c>
      <c r="R782" s="41" t="str">
        <f>IF(Table1[[#This Row],[QUANTITY]]=0,"",Table1[[#This Row],[UNIT PRICE]]*Table1[[#This Row],[QUANTITY]])</f>
        <v/>
      </c>
      <c r="S782" s="89"/>
      <c r="T782" s="38"/>
      <c r="U782" s="43"/>
      <c r="V782" s="42" t="str">
        <f>IF(Table1[[#This Row],[DATE]]=0,"",YEAR(E782))</f>
        <v/>
      </c>
      <c r="W782" s="40" t="str">
        <f t="shared" si="24"/>
        <v/>
      </c>
      <c r="X782" s="40" t="str">
        <f t="shared" si="25"/>
        <v/>
      </c>
      <c r="Y782" s="40" t="str">
        <f>TEXT(Table1[[#This Row],[YEAR]],"0000")&amp;"-"&amp;Table1[[#This Row],[MONTH]]</f>
        <v>-</v>
      </c>
    </row>
    <row r="783" spans="1:25" ht="15" customHeight="1" x14ac:dyDescent="0.35">
      <c r="A783" s="24"/>
      <c r="B783" s="38"/>
      <c r="C783" s="38"/>
      <c r="D783" s="38"/>
      <c r="E783" s="37"/>
      <c r="F783" s="38"/>
      <c r="G783" s="198"/>
      <c r="H783" s="198"/>
      <c r="I783" s="39"/>
      <c r="J783" s="38"/>
      <c r="K783" s="198"/>
      <c r="L783" s="38"/>
      <c r="M783" s="38"/>
      <c r="N783" s="38"/>
      <c r="O783" s="38"/>
      <c r="P783" s="40" t="str" cm="1">
        <f t="array" ref="P783">IF(N783="","",IFERROR(_xlfn.XLOOKUP(F783&amp;"|"&amp;J783&amp;"|"&amp;O783,PRICES!$C$2:$C$659&amp;"|"&amp;PRICES!$B$2:$B$659&amp;"|"&amp;PRICES!$D$2:$D$659,PRICES!$E$2:$E$659),"Not Found"))</f>
        <v/>
      </c>
      <c r="Q783" s="100" t="str">
        <f>IF(N783=0,"",SUMIFS(PRICES!$G$2:$G$658,PRICES!$B$2:$B$658,'MAIN TABLE-1 AUTOMATED'!J783,PRICES!$C$2:$C$658,'MAIN TABLE-1 AUTOMATED'!F783,PRICES!$D$2:$D$658,'MAIN TABLE-1 AUTOMATED'!O783))</f>
        <v/>
      </c>
      <c r="R783" s="41" t="str">
        <f>IF(Table1[[#This Row],[QUANTITY]]=0,"",Table1[[#This Row],[UNIT PRICE]]*Table1[[#This Row],[QUANTITY]])</f>
        <v/>
      </c>
      <c r="S783" s="89"/>
      <c r="T783" s="38"/>
      <c r="U783" s="43"/>
      <c r="V783" s="42" t="str">
        <f>IF(Table1[[#This Row],[DATE]]=0,"",YEAR(E783))</f>
        <v/>
      </c>
      <c r="W783" s="40" t="str">
        <f t="shared" si="24"/>
        <v/>
      </c>
      <c r="X783" s="40" t="str">
        <f t="shared" si="25"/>
        <v/>
      </c>
      <c r="Y783" s="40" t="str">
        <f>TEXT(Table1[[#This Row],[YEAR]],"0000")&amp;"-"&amp;Table1[[#This Row],[MONTH]]</f>
        <v>-</v>
      </c>
    </row>
    <row r="784" spans="1:25" ht="15" customHeight="1" x14ac:dyDescent="0.35">
      <c r="A784" s="24"/>
      <c r="B784" s="38"/>
      <c r="C784" s="38"/>
      <c r="D784" s="38"/>
      <c r="E784" s="37"/>
      <c r="F784" s="38"/>
      <c r="G784" s="198"/>
      <c r="H784" s="198"/>
      <c r="I784" s="39"/>
      <c r="J784" s="38"/>
      <c r="K784" s="198"/>
      <c r="L784" s="38"/>
      <c r="M784" s="38"/>
      <c r="N784" s="38"/>
      <c r="O784" s="38"/>
      <c r="P784" s="40" t="str" cm="1">
        <f t="array" ref="P784">IF(N784="","",IFERROR(_xlfn.XLOOKUP(F784&amp;"|"&amp;J784&amp;"|"&amp;O784,PRICES!$C$2:$C$659&amp;"|"&amp;PRICES!$B$2:$B$659&amp;"|"&amp;PRICES!$D$2:$D$659,PRICES!$E$2:$E$659),"Not Found"))</f>
        <v/>
      </c>
      <c r="Q784" s="100" t="str">
        <f>IF(N784=0,"",SUMIFS(PRICES!$G$2:$G$658,PRICES!$B$2:$B$658,'MAIN TABLE-1 AUTOMATED'!J784,PRICES!$C$2:$C$658,'MAIN TABLE-1 AUTOMATED'!F784,PRICES!$D$2:$D$658,'MAIN TABLE-1 AUTOMATED'!O784))</f>
        <v/>
      </c>
      <c r="R784" s="41" t="str">
        <f>IF(Table1[[#This Row],[QUANTITY]]=0,"",Table1[[#This Row],[UNIT PRICE]]*Table1[[#This Row],[QUANTITY]])</f>
        <v/>
      </c>
      <c r="S784" s="89"/>
      <c r="T784" s="38"/>
      <c r="U784" s="43"/>
      <c r="V784" s="42" t="str">
        <f>IF(Table1[[#This Row],[DATE]]=0,"",YEAR(E784))</f>
        <v/>
      </c>
      <c r="W784" s="40" t="str">
        <f t="shared" si="24"/>
        <v/>
      </c>
      <c r="X784" s="40" t="str">
        <f t="shared" si="25"/>
        <v/>
      </c>
      <c r="Y784" s="40" t="str">
        <f>TEXT(Table1[[#This Row],[YEAR]],"0000")&amp;"-"&amp;Table1[[#This Row],[MONTH]]</f>
        <v>-</v>
      </c>
    </row>
    <row r="785" spans="1:25" ht="15" customHeight="1" x14ac:dyDescent="0.35">
      <c r="A785" s="24"/>
      <c r="B785" s="38"/>
      <c r="C785" s="38"/>
      <c r="D785" s="38"/>
      <c r="E785" s="37"/>
      <c r="F785" s="38"/>
      <c r="G785" s="198"/>
      <c r="H785" s="198"/>
      <c r="I785" s="39"/>
      <c r="J785" s="38"/>
      <c r="K785" s="198"/>
      <c r="L785" s="38"/>
      <c r="M785" s="38"/>
      <c r="N785" s="38"/>
      <c r="O785" s="38"/>
      <c r="P785" s="40" t="str" cm="1">
        <f t="array" ref="P785">IF(N785="","",IFERROR(_xlfn.XLOOKUP(F785&amp;"|"&amp;J785&amp;"|"&amp;O785,PRICES!$C$2:$C$659&amp;"|"&amp;PRICES!$B$2:$B$659&amp;"|"&amp;PRICES!$D$2:$D$659,PRICES!$E$2:$E$659),"Not Found"))</f>
        <v/>
      </c>
      <c r="Q785" s="100" t="str">
        <f>IF(N785=0,"",SUMIFS(PRICES!$G$2:$G$658,PRICES!$B$2:$B$658,'MAIN TABLE-1 AUTOMATED'!J785,PRICES!$C$2:$C$658,'MAIN TABLE-1 AUTOMATED'!F785,PRICES!$D$2:$D$658,'MAIN TABLE-1 AUTOMATED'!O785))</f>
        <v/>
      </c>
      <c r="R785" s="41" t="str">
        <f>IF(Table1[[#This Row],[QUANTITY]]=0,"",Table1[[#This Row],[UNIT PRICE]]*Table1[[#This Row],[QUANTITY]])</f>
        <v/>
      </c>
      <c r="S785" s="89"/>
      <c r="T785" s="38"/>
      <c r="U785" s="43"/>
      <c r="V785" s="42" t="str">
        <f>IF(Table1[[#This Row],[DATE]]=0,"",YEAR(E785))</f>
        <v/>
      </c>
      <c r="W785" s="40" t="str">
        <f t="shared" si="24"/>
        <v/>
      </c>
      <c r="X785" s="40" t="str">
        <f t="shared" si="25"/>
        <v/>
      </c>
      <c r="Y785" s="40" t="str">
        <f>TEXT(Table1[[#This Row],[YEAR]],"0000")&amp;"-"&amp;Table1[[#This Row],[MONTH]]</f>
        <v>-</v>
      </c>
    </row>
    <row r="786" spans="1:25" ht="15" customHeight="1" x14ac:dyDescent="0.35">
      <c r="A786" s="24"/>
      <c r="B786" s="38"/>
      <c r="C786" s="38"/>
      <c r="D786" s="38"/>
      <c r="E786" s="37"/>
      <c r="F786" s="38"/>
      <c r="G786" s="198"/>
      <c r="H786" s="198"/>
      <c r="I786" s="39"/>
      <c r="J786" s="38"/>
      <c r="K786" s="198"/>
      <c r="L786" s="38"/>
      <c r="M786" s="38"/>
      <c r="N786" s="38"/>
      <c r="O786" s="38"/>
      <c r="P786" s="40" t="str" cm="1">
        <f t="array" ref="P786">IF(N786="","",IFERROR(_xlfn.XLOOKUP(F786&amp;"|"&amp;J786&amp;"|"&amp;O786,PRICES!$C$2:$C$659&amp;"|"&amp;PRICES!$B$2:$B$659&amp;"|"&amp;PRICES!$D$2:$D$659,PRICES!$E$2:$E$659),"Not Found"))</f>
        <v/>
      </c>
      <c r="Q786" s="100" t="str">
        <f>IF(N786=0,"",SUMIFS(PRICES!$G$2:$G$658,PRICES!$B$2:$B$658,'MAIN TABLE-1 AUTOMATED'!J786,PRICES!$C$2:$C$658,'MAIN TABLE-1 AUTOMATED'!F786,PRICES!$D$2:$D$658,'MAIN TABLE-1 AUTOMATED'!O786))</f>
        <v/>
      </c>
      <c r="R786" s="41" t="str">
        <f>IF(Table1[[#This Row],[QUANTITY]]=0,"",Table1[[#This Row],[UNIT PRICE]]*Table1[[#This Row],[QUANTITY]])</f>
        <v/>
      </c>
      <c r="S786" s="89"/>
      <c r="T786" s="38"/>
      <c r="U786" s="43"/>
      <c r="V786" s="42" t="str">
        <f>IF(Table1[[#This Row],[DATE]]=0,"",YEAR(E786))</f>
        <v/>
      </c>
      <c r="W786" s="40" t="str">
        <f t="shared" si="24"/>
        <v/>
      </c>
      <c r="X786" s="40" t="str">
        <f t="shared" si="25"/>
        <v/>
      </c>
      <c r="Y786" s="40" t="str">
        <f>TEXT(Table1[[#This Row],[YEAR]],"0000")&amp;"-"&amp;Table1[[#This Row],[MONTH]]</f>
        <v>-</v>
      </c>
    </row>
    <row r="787" spans="1:25" ht="15" customHeight="1" x14ac:dyDescent="0.35">
      <c r="A787" s="24"/>
      <c r="B787" s="38"/>
      <c r="C787" s="38"/>
      <c r="D787" s="38"/>
      <c r="E787" s="37"/>
      <c r="F787" s="38"/>
      <c r="G787" s="198"/>
      <c r="H787" s="198"/>
      <c r="I787" s="39"/>
      <c r="J787" s="38"/>
      <c r="K787" s="198"/>
      <c r="L787" s="38"/>
      <c r="M787" s="38"/>
      <c r="N787" s="38"/>
      <c r="O787" s="38"/>
      <c r="P787" s="40" t="str" cm="1">
        <f t="array" ref="P787">IF(N787="","",IFERROR(_xlfn.XLOOKUP(F787&amp;"|"&amp;J787&amp;"|"&amp;O787,PRICES!$C$2:$C$659&amp;"|"&amp;PRICES!$B$2:$B$659&amp;"|"&amp;PRICES!$D$2:$D$659,PRICES!$E$2:$E$659),"Not Found"))</f>
        <v/>
      </c>
      <c r="Q787" s="100" t="str">
        <f>IF(N787=0,"",SUMIFS(PRICES!$G$2:$G$658,PRICES!$B$2:$B$658,'MAIN TABLE-1 AUTOMATED'!J787,PRICES!$C$2:$C$658,'MAIN TABLE-1 AUTOMATED'!F787,PRICES!$D$2:$D$658,'MAIN TABLE-1 AUTOMATED'!O787))</f>
        <v/>
      </c>
      <c r="R787" s="41" t="str">
        <f>IF(Table1[[#This Row],[QUANTITY]]=0,"",Table1[[#This Row],[UNIT PRICE]]*Table1[[#This Row],[QUANTITY]])</f>
        <v/>
      </c>
      <c r="S787" s="89"/>
      <c r="T787" s="38"/>
      <c r="U787" s="43"/>
      <c r="V787" s="42" t="str">
        <f>IF(Table1[[#This Row],[DATE]]=0,"",YEAR(E787))</f>
        <v/>
      </c>
      <c r="W787" s="40" t="str">
        <f t="shared" si="24"/>
        <v/>
      </c>
      <c r="X787" s="40" t="str">
        <f t="shared" si="25"/>
        <v/>
      </c>
      <c r="Y787" s="40" t="str">
        <f>TEXT(Table1[[#This Row],[YEAR]],"0000")&amp;"-"&amp;Table1[[#This Row],[MONTH]]</f>
        <v>-</v>
      </c>
    </row>
    <row r="788" spans="1:25" ht="15" customHeight="1" x14ac:dyDescent="0.35">
      <c r="A788" s="24"/>
      <c r="B788" s="38"/>
      <c r="C788" s="38"/>
      <c r="D788" s="38"/>
      <c r="E788" s="37"/>
      <c r="F788" s="38"/>
      <c r="G788" s="198"/>
      <c r="H788" s="198"/>
      <c r="I788" s="39"/>
      <c r="J788" s="38"/>
      <c r="K788" s="198"/>
      <c r="L788" s="38"/>
      <c r="M788" s="38"/>
      <c r="N788" s="38"/>
      <c r="O788" s="38"/>
      <c r="P788" s="40" t="str" cm="1">
        <f t="array" ref="P788">IF(N788="","",IFERROR(_xlfn.XLOOKUP(F788&amp;"|"&amp;J788&amp;"|"&amp;O788,PRICES!$C$2:$C$659&amp;"|"&amp;PRICES!$B$2:$B$659&amp;"|"&amp;PRICES!$D$2:$D$659,PRICES!$E$2:$E$659),"Not Found"))</f>
        <v/>
      </c>
      <c r="Q788" s="100" t="str">
        <f>IF(N788=0,"",SUMIFS(PRICES!$G$2:$G$658,PRICES!$B$2:$B$658,'MAIN TABLE-1 AUTOMATED'!J788,PRICES!$C$2:$C$658,'MAIN TABLE-1 AUTOMATED'!F788,PRICES!$D$2:$D$658,'MAIN TABLE-1 AUTOMATED'!O788))</f>
        <v/>
      </c>
      <c r="R788" s="41" t="str">
        <f>IF(Table1[[#This Row],[QUANTITY]]=0,"",Table1[[#This Row],[UNIT PRICE]]*Table1[[#This Row],[QUANTITY]])</f>
        <v/>
      </c>
      <c r="S788" s="89"/>
      <c r="T788" s="38"/>
      <c r="U788" s="43"/>
      <c r="V788" s="42" t="str">
        <f>IF(Table1[[#This Row],[DATE]]=0,"",YEAR(E788))</f>
        <v/>
      </c>
      <c r="W788" s="40" t="str">
        <f t="shared" si="24"/>
        <v/>
      </c>
      <c r="X788" s="40" t="str">
        <f t="shared" si="25"/>
        <v/>
      </c>
      <c r="Y788" s="40" t="str">
        <f>TEXT(Table1[[#This Row],[YEAR]],"0000")&amp;"-"&amp;Table1[[#This Row],[MONTH]]</f>
        <v>-</v>
      </c>
    </row>
    <row r="789" spans="1:25" ht="15" customHeight="1" x14ac:dyDescent="0.35">
      <c r="A789" s="24"/>
      <c r="B789" s="38"/>
      <c r="C789" s="38"/>
      <c r="D789" s="38"/>
      <c r="E789" s="37"/>
      <c r="F789" s="38"/>
      <c r="G789" s="198"/>
      <c r="H789" s="198"/>
      <c r="I789" s="39"/>
      <c r="J789" s="38"/>
      <c r="K789" s="198"/>
      <c r="L789" s="38"/>
      <c r="M789" s="38"/>
      <c r="N789" s="38"/>
      <c r="O789" s="38"/>
      <c r="P789" s="40" t="str" cm="1">
        <f t="array" ref="P789">IF(N789="","",IFERROR(_xlfn.XLOOKUP(F789&amp;"|"&amp;J789&amp;"|"&amp;O789,PRICES!$C$2:$C$659&amp;"|"&amp;PRICES!$B$2:$B$659&amp;"|"&amp;PRICES!$D$2:$D$659,PRICES!$E$2:$E$659),"Not Found"))</f>
        <v/>
      </c>
      <c r="Q789" s="100" t="str">
        <f>IF(N789=0,"",SUMIFS(PRICES!$G$2:$G$658,PRICES!$B$2:$B$658,'MAIN TABLE-1 AUTOMATED'!J789,PRICES!$C$2:$C$658,'MAIN TABLE-1 AUTOMATED'!F789,PRICES!$D$2:$D$658,'MAIN TABLE-1 AUTOMATED'!O789))</f>
        <v/>
      </c>
      <c r="R789" s="41" t="str">
        <f>IF(Table1[[#This Row],[QUANTITY]]=0,"",Table1[[#This Row],[UNIT PRICE]]*Table1[[#This Row],[QUANTITY]])</f>
        <v/>
      </c>
      <c r="S789" s="89"/>
      <c r="T789" s="38"/>
      <c r="U789" s="43"/>
      <c r="V789" s="42" t="str">
        <f>IF(Table1[[#This Row],[DATE]]=0,"",YEAR(E789))</f>
        <v/>
      </c>
      <c r="W789" s="40" t="str">
        <f t="shared" si="24"/>
        <v/>
      </c>
      <c r="X789" s="40" t="str">
        <f t="shared" si="25"/>
        <v/>
      </c>
      <c r="Y789" s="40" t="str">
        <f>TEXT(Table1[[#This Row],[YEAR]],"0000")&amp;"-"&amp;Table1[[#This Row],[MONTH]]</f>
        <v>-</v>
      </c>
    </row>
    <row r="790" spans="1:25" ht="15" customHeight="1" x14ac:dyDescent="0.35">
      <c r="A790" s="24"/>
      <c r="B790" s="36"/>
      <c r="C790" s="38"/>
      <c r="D790" s="38"/>
      <c r="E790" s="37"/>
      <c r="F790" s="38"/>
      <c r="G790" s="198"/>
      <c r="H790" s="198"/>
      <c r="I790" s="39"/>
      <c r="J790" s="38"/>
      <c r="K790" s="198"/>
      <c r="L790" s="38"/>
      <c r="M790" s="38"/>
      <c r="N790" s="38"/>
      <c r="O790" s="38"/>
      <c r="P790" s="40" t="str" cm="1">
        <f t="array" ref="P790">IF(N790="","",IFERROR(_xlfn.XLOOKUP(F790&amp;"|"&amp;J790&amp;"|"&amp;O790,PRICES!$C$2:$C$659&amp;"|"&amp;PRICES!$B$2:$B$659&amp;"|"&amp;PRICES!$D$2:$D$659,PRICES!$E$2:$E$659),"Not Found"))</f>
        <v/>
      </c>
      <c r="Q790" s="100" t="str">
        <f>IF(N790=0,"",SUMIFS(PRICES!$G$2:$G$658,PRICES!$B$2:$B$658,'MAIN TABLE-1 AUTOMATED'!J790,PRICES!$C$2:$C$658,'MAIN TABLE-1 AUTOMATED'!F790,PRICES!$D$2:$D$658,'MAIN TABLE-1 AUTOMATED'!O790))</f>
        <v/>
      </c>
      <c r="R790" s="41" t="str">
        <f>IF(Table1[[#This Row],[QUANTITY]]=0,"",Table1[[#This Row],[UNIT PRICE]]*Table1[[#This Row],[QUANTITY]])</f>
        <v/>
      </c>
      <c r="S790" s="89"/>
      <c r="T790" s="38"/>
      <c r="U790" s="43"/>
      <c r="V790" s="42" t="str">
        <f>IF(Table1[[#This Row],[DATE]]=0,"",YEAR(E790))</f>
        <v/>
      </c>
      <c r="W790" s="40" t="str">
        <f t="shared" si="24"/>
        <v/>
      </c>
      <c r="X790" s="40" t="str">
        <f t="shared" si="25"/>
        <v/>
      </c>
      <c r="Y790" s="40" t="str">
        <f>TEXT(Table1[[#This Row],[YEAR]],"0000")&amp;"-"&amp;Table1[[#This Row],[MONTH]]</f>
        <v>-</v>
      </c>
    </row>
    <row r="791" spans="1:25" ht="15" customHeight="1" x14ac:dyDescent="0.35">
      <c r="A791" s="24"/>
      <c r="B791" s="36"/>
      <c r="C791" s="38"/>
      <c r="D791" s="38"/>
      <c r="E791" s="37"/>
      <c r="F791" s="38"/>
      <c r="G791" s="198"/>
      <c r="H791" s="198"/>
      <c r="I791" s="39"/>
      <c r="J791" s="38"/>
      <c r="K791" s="198"/>
      <c r="L791" s="38"/>
      <c r="M791" s="38"/>
      <c r="N791" s="38"/>
      <c r="O791" s="38"/>
      <c r="P791" s="40" t="str" cm="1">
        <f t="array" ref="P791">IF(N791="","",IFERROR(_xlfn.XLOOKUP(F791&amp;"|"&amp;J791&amp;"|"&amp;O791,PRICES!$C$2:$C$659&amp;"|"&amp;PRICES!$B$2:$B$659&amp;"|"&amp;PRICES!$D$2:$D$659,PRICES!$E$2:$E$659),"Not Found"))</f>
        <v/>
      </c>
      <c r="Q791" s="100" t="str">
        <f>IF(N791=0,"",SUMIFS(PRICES!$G$2:$G$658,PRICES!$B$2:$B$658,'MAIN TABLE-1 AUTOMATED'!J791,PRICES!$C$2:$C$658,'MAIN TABLE-1 AUTOMATED'!F791,PRICES!$D$2:$D$658,'MAIN TABLE-1 AUTOMATED'!O791))</f>
        <v/>
      </c>
      <c r="R791" s="41" t="str">
        <f>IF(Table1[[#This Row],[QUANTITY]]=0,"",Table1[[#This Row],[UNIT PRICE]]*Table1[[#This Row],[QUANTITY]])</f>
        <v/>
      </c>
      <c r="S791" s="89"/>
      <c r="T791" s="38"/>
      <c r="U791" s="43"/>
      <c r="V791" s="42" t="str">
        <f>IF(Table1[[#This Row],[DATE]]=0,"",YEAR(E791))</f>
        <v/>
      </c>
      <c r="W791" s="40" t="str">
        <f t="shared" si="24"/>
        <v/>
      </c>
      <c r="X791" s="40" t="str">
        <f t="shared" si="25"/>
        <v/>
      </c>
      <c r="Y791" s="40" t="str">
        <f>TEXT(Table1[[#This Row],[YEAR]],"0000")&amp;"-"&amp;Table1[[#This Row],[MONTH]]</f>
        <v>-</v>
      </c>
    </row>
    <row r="792" spans="1:25" ht="15" customHeight="1" x14ac:dyDescent="0.35">
      <c r="A792" s="24"/>
      <c r="B792" s="36"/>
      <c r="C792" s="38"/>
      <c r="D792" s="38"/>
      <c r="E792" s="37"/>
      <c r="F792" s="38"/>
      <c r="G792" s="198"/>
      <c r="H792" s="198"/>
      <c r="I792" s="39"/>
      <c r="J792" s="38"/>
      <c r="K792" s="198"/>
      <c r="L792" s="38"/>
      <c r="M792" s="38"/>
      <c r="N792" s="38"/>
      <c r="O792" s="38"/>
      <c r="P792" s="40" t="str" cm="1">
        <f t="array" ref="P792">IF(N792="","",IFERROR(_xlfn.XLOOKUP(F792&amp;"|"&amp;J792&amp;"|"&amp;O792,PRICES!$C$2:$C$659&amp;"|"&amp;PRICES!$B$2:$B$659&amp;"|"&amp;PRICES!$D$2:$D$659,PRICES!$E$2:$E$659),"Not Found"))</f>
        <v/>
      </c>
      <c r="Q792" s="100" t="str">
        <f>IF(N792=0,"",SUMIFS(PRICES!$G$2:$G$658,PRICES!$B$2:$B$658,'MAIN TABLE-1 AUTOMATED'!J792,PRICES!$C$2:$C$658,'MAIN TABLE-1 AUTOMATED'!F792,PRICES!$D$2:$D$658,'MAIN TABLE-1 AUTOMATED'!O792))</f>
        <v/>
      </c>
      <c r="R792" s="41" t="str">
        <f>IF(Table1[[#This Row],[QUANTITY]]=0,"",Table1[[#This Row],[UNIT PRICE]]*Table1[[#This Row],[QUANTITY]])</f>
        <v/>
      </c>
      <c r="S792" s="89"/>
      <c r="T792" s="38"/>
      <c r="U792" s="43"/>
      <c r="V792" s="42" t="str">
        <f>IF(Table1[[#This Row],[DATE]]=0,"",YEAR(E792))</f>
        <v/>
      </c>
      <c r="W792" s="40" t="str">
        <f t="shared" si="24"/>
        <v/>
      </c>
      <c r="X792" s="40" t="str">
        <f t="shared" si="25"/>
        <v/>
      </c>
      <c r="Y792" s="40" t="str">
        <f>TEXT(Table1[[#This Row],[YEAR]],"0000")&amp;"-"&amp;Table1[[#This Row],[MONTH]]</f>
        <v>-</v>
      </c>
    </row>
    <row r="793" spans="1:25" ht="15" customHeight="1" x14ac:dyDescent="0.35">
      <c r="A793" s="24"/>
      <c r="B793" s="36"/>
      <c r="C793" s="38"/>
      <c r="D793" s="38"/>
      <c r="E793" s="37"/>
      <c r="F793" s="38"/>
      <c r="G793" s="198"/>
      <c r="H793" s="198"/>
      <c r="I793" s="39"/>
      <c r="J793" s="38"/>
      <c r="K793" s="198"/>
      <c r="L793" s="38"/>
      <c r="M793" s="38"/>
      <c r="N793" s="38"/>
      <c r="O793" s="38"/>
      <c r="P793" s="40" t="str" cm="1">
        <f t="array" ref="P793">IF(N793="","",IFERROR(_xlfn.XLOOKUP(F793&amp;"|"&amp;J793&amp;"|"&amp;O793,PRICES!$C$2:$C$659&amp;"|"&amp;PRICES!$B$2:$B$659&amp;"|"&amp;PRICES!$D$2:$D$659,PRICES!$E$2:$E$659),"Not Found"))</f>
        <v/>
      </c>
      <c r="Q793" s="100" t="str">
        <f>IF(N793=0,"",SUMIFS(PRICES!$G$2:$G$658,PRICES!$B$2:$B$658,'MAIN TABLE-1 AUTOMATED'!J793,PRICES!$C$2:$C$658,'MAIN TABLE-1 AUTOMATED'!F793,PRICES!$D$2:$D$658,'MAIN TABLE-1 AUTOMATED'!O793))</f>
        <v/>
      </c>
      <c r="R793" s="41" t="str">
        <f>IF(Table1[[#This Row],[QUANTITY]]=0,"",Table1[[#This Row],[UNIT PRICE]]*Table1[[#This Row],[QUANTITY]])</f>
        <v/>
      </c>
      <c r="S793" s="89"/>
      <c r="T793" s="38"/>
      <c r="U793" s="43"/>
      <c r="V793" s="42" t="str">
        <f>IF(Table1[[#This Row],[DATE]]=0,"",YEAR(E793))</f>
        <v/>
      </c>
      <c r="W793" s="40" t="str">
        <f t="shared" si="24"/>
        <v/>
      </c>
      <c r="X793" s="40" t="str">
        <f t="shared" si="25"/>
        <v/>
      </c>
      <c r="Y793" s="40" t="str">
        <f>TEXT(Table1[[#This Row],[YEAR]],"0000")&amp;"-"&amp;Table1[[#This Row],[MONTH]]</f>
        <v>-</v>
      </c>
    </row>
    <row r="794" spans="1:25" ht="15" customHeight="1" x14ac:dyDescent="0.35">
      <c r="A794" s="24"/>
      <c r="B794" s="36"/>
      <c r="C794" s="38"/>
      <c r="D794" s="38"/>
      <c r="E794" s="37"/>
      <c r="F794" s="38"/>
      <c r="G794" s="198"/>
      <c r="H794" s="198"/>
      <c r="I794" s="39"/>
      <c r="J794" s="38"/>
      <c r="K794" s="198"/>
      <c r="L794" s="38"/>
      <c r="M794" s="38"/>
      <c r="N794" s="38"/>
      <c r="O794" s="38"/>
      <c r="P794" s="40" t="str" cm="1">
        <f t="array" ref="P794">IF(N794="","",IFERROR(_xlfn.XLOOKUP(F794&amp;"|"&amp;J794&amp;"|"&amp;O794,PRICES!$C$2:$C$659&amp;"|"&amp;PRICES!$B$2:$B$659&amp;"|"&amp;PRICES!$D$2:$D$659,PRICES!$E$2:$E$659),"Not Found"))</f>
        <v/>
      </c>
      <c r="Q794" s="100" t="str">
        <f>IF(N794=0,"",SUMIFS(PRICES!$G$2:$G$658,PRICES!$B$2:$B$658,'MAIN TABLE-1 AUTOMATED'!J794,PRICES!$C$2:$C$658,'MAIN TABLE-1 AUTOMATED'!F794,PRICES!$D$2:$D$658,'MAIN TABLE-1 AUTOMATED'!O794))</f>
        <v/>
      </c>
      <c r="R794" s="41" t="str">
        <f>IF(Table1[[#This Row],[QUANTITY]]=0,"",Table1[[#This Row],[UNIT PRICE]]*Table1[[#This Row],[QUANTITY]])</f>
        <v/>
      </c>
      <c r="S794" s="89"/>
      <c r="T794" s="38"/>
      <c r="U794" s="43"/>
      <c r="V794" s="42" t="str">
        <f>IF(Table1[[#This Row],[DATE]]=0,"",YEAR(E794))</f>
        <v/>
      </c>
      <c r="W794" s="40" t="str">
        <f t="shared" si="24"/>
        <v/>
      </c>
      <c r="X794" s="40" t="str">
        <f t="shared" si="25"/>
        <v/>
      </c>
      <c r="Y794" s="40" t="str">
        <f>TEXT(Table1[[#This Row],[YEAR]],"0000")&amp;"-"&amp;Table1[[#This Row],[MONTH]]</f>
        <v>-</v>
      </c>
    </row>
    <row r="795" spans="1:25" ht="15" customHeight="1" x14ac:dyDescent="0.35">
      <c r="A795" s="24"/>
      <c r="B795" s="38"/>
      <c r="C795" s="38"/>
      <c r="D795" s="38"/>
      <c r="E795" s="37"/>
      <c r="F795" s="38"/>
      <c r="G795" s="198"/>
      <c r="H795" s="198"/>
      <c r="I795" s="39"/>
      <c r="J795" s="38"/>
      <c r="K795" s="198"/>
      <c r="L795" s="38"/>
      <c r="M795" s="38"/>
      <c r="N795" s="38"/>
      <c r="O795" s="38"/>
      <c r="P795" s="40" t="str" cm="1">
        <f t="array" ref="P795">IF(N795="","",IFERROR(_xlfn.XLOOKUP(F795&amp;"|"&amp;J795&amp;"|"&amp;O795,PRICES!$C$2:$C$659&amp;"|"&amp;PRICES!$B$2:$B$659&amp;"|"&amp;PRICES!$D$2:$D$659,PRICES!$E$2:$E$659),"Not Found"))</f>
        <v/>
      </c>
      <c r="Q795" s="100" t="str">
        <f>IF(N795=0,"",SUMIFS(PRICES!$G$2:$G$658,PRICES!$B$2:$B$658,'MAIN TABLE-1 AUTOMATED'!J795,PRICES!$C$2:$C$658,'MAIN TABLE-1 AUTOMATED'!F795,PRICES!$D$2:$D$658,'MAIN TABLE-1 AUTOMATED'!O795))</f>
        <v/>
      </c>
      <c r="R795" s="41" t="str">
        <f>IF(Table1[[#This Row],[QUANTITY]]=0,"",Table1[[#This Row],[UNIT PRICE]]*Table1[[#This Row],[QUANTITY]])</f>
        <v/>
      </c>
      <c r="S795" s="89"/>
      <c r="T795" s="38"/>
      <c r="U795" s="43"/>
      <c r="V795" s="42" t="str">
        <f>IF(Table1[[#This Row],[DATE]]=0,"",YEAR(E795))</f>
        <v/>
      </c>
      <c r="W795" s="40" t="str">
        <f t="shared" si="24"/>
        <v/>
      </c>
      <c r="X795" s="40" t="str">
        <f t="shared" si="25"/>
        <v/>
      </c>
      <c r="Y795" s="40" t="str">
        <f>TEXT(Table1[[#This Row],[YEAR]],"0000")&amp;"-"&amp;Table1[[#This Row],[MONTH]]</f>
        <v>-</v>
      </c>
    </row>
    <row r="796" spans="1:25" ht="15" customHeight="1" x14ac:dyDescent="0.35">
      <c r="A796" s="24"/>
      <c r="B796" s="38"/>
      <c r="C796" s="38"/>
      <c r="D796" s="38"/>
      <c r="E796" s="37"/>
      <c r="F796" s="38"/>
      <c r="G796" s="198"/>
      <c r="H796" s="198"/>
      <c r="I796" s="39"/>
      <c r="J796" s="38"/>
      <c r="K796" s="198"/>
      <c r="L796" s="38"/>
      <c r="M796" s="38"/>
      <c r="N796" s="38"/>
      <c r="O796" s="38"/>
      <c r="P796" s="40" t="str" cm="1">
        <f t="array" ref="P796">IF(N796="","",IFERROR(_xlfn.XLOOKUP(F796&amp;"|"&amp;J796&amp;"|"&amp;O796,PRICES!$C$2:$C$659&amp;"|"&amp;PRICES!$B$2:$B$659&amp;"|"&amp;PRICES!$D$2:$D$659,PRICES!$E$2:$E$659),"Not Found"))</f>
        <v/>
      </c>
      <c r="Q796" s="100" t="str">
        <f>IF(N796=0,"",SUMIFS(PRICES!$G$2:$G$658,PRICES!$B$2:$B$658,'MAIN TABLE-1 AUTOMATED'!J796,PRICES!$C$2:$C$658,'MAIN TABLE-1 AUTOMATED'!F796,PRICES!$D$2:$D$658,'MAIN TABLE-1 AUTOMATED'!O796))</f>
        <v/>
      </c>
      <c r="R796" s="41" t="str">
        <f>IF(Table1[[#This Row],[QUANTITY]]=0,"",Table1[[#This Row],[UNIT PRICE]]*Table1[[#This Row],[QUANTITY]])</f>
        <v/>
      </c>
      <c r="S796" s="89"/>
      <c r="T796" s="38"/>
      <c r="U796" s="43"/>
      <c r="V796" s="42" t="str">
        <f>IF(Table1[[#This Row],[DATE]]=0,"",YEAR(E796))</f>
        <v/>
      </c>
      <c r="W796" s="40" t="str">
        <f t="shared" si="24"/>
        <v/>
      </c>
      <c r="X796" s="40" t="str">
        <f t="shared" si="25"/>
        <v/>
      </c>
      <c r="Y796" s="40" t="str">
        <f>TEXT(Table1[[#This Row],[YEAR]],"0000")&amp;"-"&amp;Table1[[#This Row],[MONTH]]</f>
        <v>-</v>
      </c>
    </row>
    <row r="797" spans="1:25" ht="15" customHeight="1" x14ac:dyDescent="0.35">
      <c r="A797" s="24"/>
      <c r="B797" s="38"/>
      <c r="C797" s="38"/>
      <c r="D797" s="38"/>
      <c r="E797" s="37"/>
      <c r="F797" s="38"/>
      <c r="G797" s="198"/>
      <c r="H797" s="198"/>
      <c r="I797" s="39"/>
      <c r="J797" s="38"/>
      <c r="K797" s="198"/>
      <c r="L797" s="38"/>
      <c r="M797" s="38"/>
      <c r="N797" s="38"/>
      <c r="O797" s="38"/>
      <c r="P797" s="40" t="str" cm="1">
        <f t="array" ref="P797">IF(N797="","",IFERROR(_xlfn.XLOOKUP(F797&amp;"|"&amp;J797&amp;"|"&amp;O797,PRICES!$C$2:$C$659&amp;"|"&amp;PRICES!$B$2:$B$659&amp;"|"&amp;PRICES!$D$2:$D$659,PRICES!$E$2:$E$659),"Not Found"))</f>
        <v/>
      </c>
      <c r="Q797" s="100" t="str">
        <f>IF(N797=0,"",SUMIFS(PRICES!$G$2:$G$658,PRICES!$B$2:$B$658,'MAIN TABLE-1 AUTOMATED'!J797,PRICES!$C$2:$C$658,'MAIN TABLE-1 AUTOMATED'!F797,PRICES!$D$2:$D$658,'MAIN TABLE-1 AUTOMATED'!O797))</f>
        <v/>
      </c>
      <c r="R797" s="41" t="str">
        <f>IF(Table1[[#This Row],[QUANTITY]]=0,"",Table1[[#This Row],[UNIT PRICE]]*Table1[[#This Row],[QUANTITY]])</f>
        <v/>
      </c>
      <c r="S797" s="89"/>
      <c r="T797" s="38"/>
      <c r="U797" s="43"/>
      <c r="V797" s="42" t="str">
        <f>IF(Table1[[#This Row],[DATE]]=0,"",YEAR(E797))</f>
        <v/>
      </c>
      <c r="W797" s="40" t="str">
        <f t="shared" si="24"/>
        <v/>
      </c>
      <c r="X797" s="40" t="str">
        <f t="shared" si="25"/>
        <v/>
      </c>
      <c r="Y797" s="40" t="str">
        <f>TEXT(Table1[[#This Row],[YEAR]],"0000")&amp;"-"&amp;Table1[[#This Row],[MONTH]]</f>
        <v>-</v>
      </c>
    </row>
    <row r="798" spans="1:25" ht="15" customHeight="1" x14ac:dyDescent="0.35">
      <c r="A798" s="24"/>
      <c r="B798" s="38"/>
      <c r="C798" s="38"/>
      <c r="D798" s="38"/>
      <c r="E798" s="37"/>
      <c r="F798" s="38"/>
      <c r="G798" s="198"/>
      <c r="H798" s="198"/>
      <c r="I798" s="39"/>
      <c r="J798" s="38"/>
      <c r="K798" s="198"/>
      <c r="L798" s="38"/>
      <c r="M798" s="38"/>
      <c r="N798" s="38"/>
      <c r="O798" s="38"/>
      <c r="P798" s="40" t="str" cm="1">
        <f t="array" ref="P798">IF(N798="","",IFERROR(_xlfn.XLOOKUP(F798&amp;"|"&amp;J798&amp;"|"&amp;O798,PRICES!$C$2:$C$659&amp;"|"&amp;PRICES!$B$2:$B$659&amp;"|"&amp;PRICES!$D$2:$D$659,PRICES!$E$2:$E$659),"Not Found"))</f>
        <v/>
      </c>
      <c r="Q798" s="100" t="str">
        <f>IF(N798=0,"",SUMIFS(PRICES!$G$2:$G$658,PRICES!$B$2:$B$658,'MAIN TABLE-1 AUTOMATED'!J798,PRICES!$C$2:$C$658,'MAIN TABLE-1 AUTOMATED'!F798,PRICES!$D$2:$D$658,'MAIN TABLE-1 AUTOMATED'!O798))</f>
        <v/>
      </c>
      <c r="R798" s="41" t="str">
        <f>IF(Table1[[#This Row],[QUANTITY]]=0,"",Table1[[#This Row],[UNIT PRICE]]*Table1[[#This Row],[QUANTITY]])</f>
        <v/>
      </c>
      <c r="S798" s="89"/>
      <c r="T798" s="38"/>
      <c r="U798" s="43"/>
      <c r="V798" s="42" t="str">
        <f>IF(Table1[[#This Row],[DATE]]=0,"",YEAR(E798))</f>
        <v/>
      </c>
      <c r="W798" s="40" t="str">
        <f t="shared" si="24"/>
        <v/>
      </c>
      <c r="X798" s="40" t="str">
        <f t="shared" si="25"/>
        <v/>
      </c>
      <c r="Y798" s="40" t="str">
        <f>TEXT(Table1[[#This Row],[YEAR]],"0000")&amp;"-"&amp;Table1[[#This Row],[MONTH]]</f>
        <v>-</v>
      </c>
    </row>
    <row r="799" spans="1:25" ht="15" customHeight="1" x14ac:dyDescent="0.35">
      <c r="A799" s="24"/>
      <c r="B799" s="38"/>
      <c r="C799" s="38"/>
      <c r="D799" s="38"/>
      <c r="E799" s="37"/>
      <c r="F799" s="38"/>
      <c r="G799" s="198"/>
      <c r="H799" s="198"/>
      <c r="I799" s="39"/>
      <c r="J799" s="38"/>
      <c r="K799" s="198"/>
      <c r="L799" s="38"/>
      <c r="M799" s="38"/>
      <c r="N799" s="38"/>
      <c r="O799" s="38"/>
      <c r="P799" s="40" t="str" cm="1">
        <f t="array" ref="P799">IF(N799="","",IFERROR(_xlfn.XLOOKUP(F799&amp;"|"&amp;J799&amp;"|"&amp;O799,PRICES!$C$2:$C$659&amp;"|"&amp;PRICES!$B$2:$B$659&amp;"|"&amp;PRICES!$D$2:$D$659,PRICES!$E$2:$E$659),"Not Found"))</f>
        <v/>
      </c>
      <c r="Q799" s="100" t="str">
        <f>IF(N799=0,"",SUMIFS(PRICES!$G$2:$G$658,PRICES!$B$2:$B$658,'MAIN TABLE-1 AUTOMATED'!J799,PRICES!$C$2:$C$658,'MAIN TABLE-1 AUTOMATED'!F799,PRICES!$D$2:$D$658,'MAIN TABLE-1 AUTOMATED'!O799))</f>
        <v/>
      </c>
      <c r="R799" s="41" t="str">
        <f>IF(Table1[[#This Row],[QUANTITY]]=0,"",Table1[[#This Row],[UNIT PRICE]]*Table1[[#This Row],[QUANTITY]])</f>
        <v/>
      </c>
      <c r="S799" s="89"/>
      <c r="T799" s="38"/>
      <c r="U799" s="43"/>
      <c r="V799" s="42" t="str">
        <f>IF(Table1[[#This Row],[DATE]]=0,"",YEAR(E799))</f>
        <v/>
      </c>
      <c r="W799" s="40" t="str">
        <f t="shared" ref="W799:W862" si="26">IF(E799=0,"",MONTH(E799))</f>
        <v/>
      </c>
      <c r="X799" s="40" t="str">
        <f t="shared" ref="X799:X862" si="27">IF(E799=0,"",WEEKNUM(E799))</f>
        <v/>
      </c>
      <c r="Y799" s="40" t="str">
        <f>TEXT(Table1[[#This Row],[YEAR]],"0000")&amp;"-"&amp;Table1[[#This Row],[MONTH]]</f>
        <v>-</v>
      </c>
    </row>
    <row r="800" spans="1:25" ht="15" customHeight="1" x14ac:dyDescent="0.35">
      <c r="A800" s="24"/>
      <c r="B800" s="38"/>
      <c r="C800" s="38"/>
      <c r="D800" s="38"/>
      <c r="E800" s="37"/>
      <c r="F800" s="38"/>
      <c r="G800" s="198"/>
      <c r="H800" s="198"/>
      <c r="I800" s="39"/>
      <c r="J800" s="38"/>
      <c r="K800" s="198"/>
      <c r="L800" s="38"/>
      <c r="M800" s="38"/>
      <c r="N800" s="38"/>
      <c r="O800" s="38"/>
      <c r="P800" s="40" t="str" cm="1">
        <f t="array" ref="P800">IF(N800="","",IFERROR(_xlfn.XLOOKUP(F800&amp;"|"&amp;J800&amp;"|"&amp;O800,PRICES!$C$2:$C$659&amp;"|"&amp;PRICES!$B$2:$B$659&amp;"|"&amp;PRICES!$D$2:$D$659,PRICES!$E$2:$E$659),"Not Found"))</f>
        <v/>
      </c>
      <c r="Q800" s="100" t="str">
        <f>IF(N800=0,"",SUMIFS(PRICES!$G$2:$G$658,PRICES!$B$2:$B$658,'MAIN TABLE-1 AUTOMATED'!J800,PRICES!$C$2:$C$658,'MAIN TABLE-1 AUTOMATED'!F800,PRICES!$D$2:$D$658,'MAIN TABLE-1 AUTOMATED'!O800))</f>
        <v/>
      </c>
      <c r="R800" s="41" t="str">
        <f>IF(Table1[[#This Row],[QUANTITY]]=0,"",Table1[[#This Row],[UNIT PRICE]]*Table1[[#This Row],[QUANTITY]])</f>
        <v/>
      </c>
      <c r="S800" s="89"/>
      <c r="T800" s="38"/>
      <c r="U800" s="43"/>
      <c r="V800" s="42" t="str">
        <f>IF(Table1[[#This Row],[DATE]]=0,"",YEAR(E800))</f>
        <v/>
      </c>
      <c r="W800" s="40" t="str">
        <f t="shared" si="26"/>
        <v/>
      </c>
      <c r="X800" s="40" t="str">
        <f t="shared" si="27"/>
        <v/>
      </c>
      <c r="Y800" s="40" t="str">
        <f>TEXT(Table1[[#This Row],[YEAR]],"0000")&amp;"-"&amp;Table1[[#This Row],[MONTH]]</f>
        <v>-</v>
      </c>
    </row>
    <row r="801" spans="1:25" ht="15" customHeight="1" x14ac:dyDescent="0.35">
      <c r="A801" s="24"/>
      <c r="B801" s="38"/>
      <c r="C801" s="38"/>
      <c r="D801" s="38"/>
      <c r="E801" s="37"/>
      <c r="F801" s="38"/>
      <c r="G801" s="198"/>
      <c r="H801" s="198"/>
      <c r="I801" s="39"/>
      <c r="J801" s="38"/>
      <c r="K801" s="198"/>
      <c r="L801" s="38"/>
      <c r="M801" s="38"/>
      <c r="N801" s="38"/>
      <c r="O801" s="38"/>
      <c r="P801" s="40" t="str" cm="1">
        <f t="array" ref="P801">IF(N801="","",IFERROR(_xlfn.XLOOKUP(F801&amp;"|"&amp;J801&amp;"|"&amp;O801,PRICES!$C$2:$C$659&amp;"|"&amp;PRICES!$B$2:$B$659&amp;"|"&amp;PRICES!$D$2:$D$659,PRICES!$E$2:$E$659),"Not Found"))</f>
        <v/>
      </c>
      <c r="Q801" s="100" t="str">
        <f>IF(N801=0,"",SUMIFS(PRICES!$G$2:$G$658,PRICES!$B$2:$B$658,'MAIN TABLE-1 AUTOMATED'!J801,PRICES!$C$2:$C$658,'MAIN TABLE-1 AUTOMATED'!F801,PRICES!$D$2:$D$658,'MAIN TABLE-1 AUTOMATED'!O801))</f>
        <v/>
      </c>
      <c r="R801" s="41" t="str">
        <f>IF(Table1[[#This Row],[QUANTITY]]=0,"",Table1[[#This Row],[UNIT PRICE]]*Table1[[#This Row],[QUANTITY]])</f>
        <v/>
      </c>
      <c r="S801" s="89"/>
      <c r="T801" s="38"/>
      <c r="U801" s="43"/>
      <c r="V801" s="42" t="str">
        <f>IF(Table1[[#This Row],[DATE]]=0,"",YEAR(E801))</f>
        <v/>
      </c>
      <c r="W801" s="40" t="str">
        <f t="shared" si="26"/>
        <v/>
      </c>
      <c r="X801" s="40" t="str">
        <f t="shared" si="27"/>
        <v/>
      </c>
      <c r="Y801" s="40" t="str">
        <f>TEXT(Table1[[#This Row],[YEAR]],"0000")&amp;"-"&amp;Table1[[#This Row],[MONTH]]</f>
        <v>-</v>
      </c>
    </row>
    <row r="802" spans="1:25" ht="15" customHeight="1" x14ac:dyDescent="0.35">
      <c r="A802" s="24"/>
      <c r="B802" s="36"/>
      <c r="C802" s="38"/>
      <c r="D802" s="38"/>
      <c r="E802" s="37"/>
      <c r="F802" s="38"/>
      <c r="G802" s="198"/>
      <c r="H802" s="198"/>
      <c r="I802" s="39"/>
      <c r="J802" s="38"/>
      <c r="K802" s="198"/>
      <c r="L802" s="38"/>
      <c r="M802" s="38"/>
      <c r="N802" s="38"/>
      <c r="O802" s="38"/>
      <c r="P802" s="40" t="str" cm="1">
        <f t="array" ref="P802">IF(N802="","",IFERROR(_xlfn.XLOOKUP(F802&amp;"|"&amp;J802&amp;"|"&amp;O802,PRICES!$C$2:$C$659&amp;"|"&amp;PRICES!$B$2:$B$659&amp;"|"&amp;PRICES!$D$2:$D$659,PRICES!$E$2:$E$659),"Not Found"))</f>
        <v/>
      </c>
      <c r="Q802" s="100" t="str">
        <f>IF(N802=0,"",SUMIFS(PRICES!$G$2:$G$658,PRICES!$B$2:$B$658,'MAIN TABLE-1 AUTOMATED'!J802,PRICES!$C$2:$C$658,'MAIN TABLE-1 AUTOMATED'!F802,PRICES!$D$2:$D$658,'MAIN TABLE-1 AUTOMATED'!O802))</f>
        <v/>
      </c>
      <c r="R802" s="41" t="str">
        <f>IF(Table1[[#This Row],[QUANTITY]]=0,"",Table1[[#This Row],[UNIT PRICE]]*Table1[[#This Row],[QUANTITY]])</f>
        <v/>
      </c>
      <c r="S802" s="89"/>
      <c r="T802" s="38"/>
      <c r="U802" s="43"/>
      <c r="V802" s="42" t="str">
        <f>IF(Table1[[#This Row],[DATE]]=0,"",YEAR(E802))</f>
        <v/>
      </c>
      <c r="W802" s="40" t="str">
        <f t="shared" si="26"/>
        <v/>
      </c>
      <c r="X802" s="40" t="str">
        <f t="shared" si="27"/>
        <v/>
      </c>
      <c r="Y802" s="40" t="str">
        <f>TEXT(Table1[[#This Row],[YEAR]],"0000")&amp;"-"&amp;Table1[[#This Row],[MONTH]]</f>
        <v>-</v>
      </c>
    </row>
    <row r="803" spans="1:25" ht="15" customHeight="1" x14ac:dyDescent="0.35">
      <c r="A803" s="24"/>
      <c r="B803" s="36"/>
      <c r="C803" s="38"/>
      <c r="D803" s="38"/>
      <c r="E803" s="37"/>
      <c r="F803" s="38"/>
      <c r="G803" s="198"/>
      <c r="H803" s="198"/>
      <c r="I803" s="39"/>
      <c r="J803" s="38"/>
      <c r="K803" s="198"/>
      <c r="L803" s="38"/>
      <c r="M803" s="38"/>
      <c r="N803" s="38"/>
      <c r="O803" s="38"/>
      <c r="P803" s="40" t="str" cm="1">
        <f t="array" ref="P803">IF(N803="","",IFERROR(_xlfn.XLOOKUP(F803&amp;"|"&amp;J803&amp;"|"&amp;O803,PRICES!$C$2:$C$659&amp;"|"&amp;PRICES!$B$2:$B$659&amp;"|"&amp;PRICES!$D$2:$D$659,PRICES!$E$2:$E$659),"Not Found"))</f>
        <v/>
      </c>
      <c r="Q803" s="100" t="str">
        <f>IF(N803=0,"",SUMIFS(PRICES!$G$2:$G$658,PRICES!$B$2:$B$658,'MAIN TABLE-1 AUTOMATED'!J803,PRICES!$C$2:$C$658,'MAIN TABLE-1 AUTOMATED'!F803,PRICES!$D$2:$D$658,'MAIN TABLE-1 AUTOMATED'!O803))</f>
        <v/>
      </c>
      <c r="R803" s="41" t="str">
        <f>IF(Table1[[#This Row],[QUANTITY]]=0,"",Table1[[#This Row],[UNIT PRICE]]*Table1[[#This Row],[QUANTITY]])</f>
        <v/>
      </c>
      <c r="S803" s="89"/>
      <c r="T803" s="38"/>
      <c r="U803" s="43"/>
      <c r="V803" s="42" t="str">
        <f>IF(Table1[[#This Row],[DATE]]=0,"",YEAR(E803))</f>
        <v/>
      </c>
      <c r="W803" s="40" t="str">
        <f t="shared" si="26"/>
        <v/>
      </c>
      <c r="X803" s="40" t="str">
        <f t="shared" si="27"/>
        <v/>
      </c>
      <c r="Y803" s="40" t="str">
        <f>TEXT(Table1[[#This Row],[YEAR]],"0000")&amp;"-"&amp;Table1[[#This Row],[MONTH]]</f>
        <v>-</v>
      </c>
    </row>
    <row r="804" spans="1:25" ht="15" customHeight="1" x14ac:dyDescent="0.35">
      <c r="A804" s="24"/>
      <c r="B804" s="36"/>
      <c r="C804" s="38"/>
      <c r="D804" s="38"/>
      <c r="E804" s="37"/>
      <c r="F804" s="38"/>
      <c r="G804" s="198"/>
      <c r="H804" s="198"/>
      <c r="I804" s="39"/>
      <c r="J804" s="38"/>
      <c r="K804" s="198"/>
      <c r="L804" s="38"/>
      <c r="M804" s="38"/>
      <c r="N804" s="38"/>
      <c r="O804" s="38"/>
      <c r="P804" s="40" t="str" cm="1">
        <f t="array" ref="P804">IF(N804="","",IFERROR(_xlfn.XLOOKUP(F804&amp;"|"&amp;J804&amp;"|"&amp;O804,PRICES!$C$2:$C$659&amp;"|"&amp;PRICES!$B$2:$B$659&amp;"|"&amp;PRICES!$D$2:$D$659,PRICES!$E$2:$E$659),"Not Found"))</f>
        <v/>
      </c>
      <c r="Q804" s="100" t="str">
        <f>IF(N804=0,"",SUMIFS(PRICES!$G$2:$G$658,PRICES!$B$2:$B$658,'MAIN TABLE-1 AUTOMATED'!J804,PRICES!$C$2:$C$658,'MAIN TABLE-1 AUTOMATED'!F804,PRICES!$D$2:$D$658,'MAIN TABLE-1 AUTOMATED'!O804))</f>
        <v/>
      </c>
      <c r="R804" s="41" t="str">
        <f>IF(Table1[[#This Row],[QUANTITY]]=0,"",Table1[[#This Row],[UNIT PRICE]]*Table1[[#This Row],[QUANTITY]])</f>
        <v/>
      </c>
      <c r="S804" s="89"/>
      <c r="T804" s="38"/>
      <c r="U804" s="43"/>
      <c r="V804" s="42" t="str">
        <f>IF(Table1[[#This Row],[DATE]]=0,"",YEAR(E804))</f>
        <v/>
      </c>
      <c r="W804" s="40" t="str">
        <f t="shared" si="26"/>
        <v/>
      </c>
      <c r="X804" s="40" t="str">
        <f t="shared" si="27"/>
        <v/>
      </c>
      <c r="Y804" s="40" t="str">
        <f>TEXT(Table1[[#This Row],[YEAR]],"0000")&amp;"-"&amp;Table1[[#This Row],[MONTH]]</f>
        <v>-</v>
      </c>
    </row>
    <row r="805" spans="1:25" ht="15" customHeight="1" x14ac:dyDescent="0.35">
      <c r="A805" s="24"/>
      <c r="B805" s="36"/>
      <c r="C805" s="38"/>
      <c r="D805" s="38"/>
      <c r="E805" s="37"/>
      <c r="F805" s="38"/>
      <c r="G805" s="198"/>
      <c r="H805" s="198"/>
      <c r="I805" s="39"/>
      <c r="J805" s="38"/>
      <c r="K805" s="198"/>
      <c r="L805" s="38"/>
      <c r="M805" s="38"/>
      <c r="N805" s="38"/>
      <c r="O805" s="38"/>
      <c r="P805" s="40" t="str" cm="1">
        <f t="array" ref="P805">IF(N805="","",IFERROR(_xlfn.XLOOKUP(F805&amp;"|"&amp;J805&amp;"|"&amp;O805,PRICES!$C$2:$C$659&amp;"|"&amp;PRICES!$B$2:$B$659&amp;"|"&amp;PRICES!$D$2:$D$659,PRICES!$E$2:$E$659),"Not Found"))</f>
        <v/>
      </c>
      <c r="Q805" s="100" t="str">
        <f>IF(N805=0,"",SUMIFS(PRICES!$G$2:$G$658,PRICES!$B$2:$B$658,'MAIN TABLE-1 AUTOMATED'!J805,PRICES!$C$2:$C$658,'MAIN TABLE-1 AUTOMATED'!F805,PRICES!$D$2:$D$658,'MAIN TABLE-1 AUTOMATED'!O805))</f>
        <v/>
      </c>
      <c r="R805" s="41" t="str">
        <f>IF(Table1[[#This Row],[QUANTITY]]=0,"",Table1[[#This Row],[UNIT PRICE]]*Table1[[#This Row],[QUANTITY]])</f>
        <v/>
      </c>
      <c r="S805" s="89"/>
      <c r="T805" s="38"/>
      <c r="U805" s="43"/>
      <c r="V805" s="42" t="str">
        <f>IF(Table1[[#This Row],[DATE]]=0,"",YEAR(E805))</f>
        <v/>
      </c>
      <c r="W805" s="40" t="str">
        <f t="shared" si="26"/>
        <v/>
      </c>
      <c r="X805" s="40" t="str">
        <f t="shared" si="27"/>
        <v/>
      </c>
      <c r="Y805" s="40" t="str">
        <f>TEXT(Table1[[#This Row],[YEAR]],"0000")&amp;"-"&amp;Table1[[#This Row],[MONTH]]</f>
        <v>-</v>
      </c>
    </row>
    <row r="806" spans="1:25" ht="15" customHeight="1" x14ac:dyDescent="0.35">
      <c r="A806" s="24"/>
      <c r="B806" s="36"/>
      <c r="C806" s="38"/>
      <c r="D806" s="38"/>
      <c r="E806" s="37"/>
      <c r="F806" s="38"/>
      <c r="G806" s="198"/>
      <c r="H806" s="198"/>
      <c r="I806" s="39"/>
      <c r="J806" s="38"/>
      <c r="K806" s="198"/>
      <c r="L806" s="38"/>
      <c r="M806" s="38"/>
      <c r="N806" s="38"/>
      <c r="O806" s="38"/>
      <c r="P806" s="40" t="str" cm="1">
        <f t="array" ref="P806">IF(N806="","",IFERROR(_xlfn.XLOOKUP(F806&amp;"|"&amp;J806&amp;"|"&amp;O806,PRICES!$C$2:$C$659&amp;"|"&amp;PRICES!$B$2:$B$659&amp;"|"&amp;PRICES!$D$2:$D$659,PRICES!$E$2:$E$659),"Not Found"))</f>
        <v/>
      </c>
      <c r="Q806" s="100" t="str">
        <f>IF(N806=0,"",SUMIFS(PRICES!$G$2:$G$658,PRICES!$B$2:$B$658,'MAIN TABLE-1 AUTOMATED'!J806,PRICES!$C$2:$C$658,'MAIN TABLE-1 AUTOMATED'!F806,PRICES!$D$2:$D$658,'MAIN TABLE-1 AUTOMATED'!O806))</f>
        <v/>
      </c>
      <c r="R806" s="41" t="str">
        <f>IF(Table1[[#This Row],[QUANTITY]]=0,"",Table1[[#This Row],[UNIT PRICE]]*Table1[[#This Row],[QUANTITY]])</f>
        <v/>
      </c>
      <c r="S806" s="89"/>
      <c r="T806" s="38"/>
      <c r="U806" s="43"/>
      <c r="V806" s="42" t="str">
        <f>IF(Table1[[#This Row],[DATE]]=0,"",YEAR(E806))</f>
        <v/>
      </c>
      <c r="W806" s="40" t="str">
        <f t="shared" si="26"/>
        <v/>
      </c>
      <c r="X806" s="40" t="str">
        <f t="shared" si="27"/>
        <v/>
      </c>
      <c r="Y806" s="40" t="str">
        <f>TEXT(Table1[[#This Row],[YEAR]],"0000")&amp;"-"&amp;Table1[[#This Row],[MONTH]]</f>
        <v>-</v>
      </c>
    </row>
    <row r="807" spans="1:25" ht="15" customHeight="1" x14ac:dyDescent="0.35">
      <c r="A807" s="24"/>
      <c r="B807" s="36"/>
      <c r="C807" s="38"/>
      <c r="D807" s="38"/>
      <c r="E807" s="37"/>
      <c r="F807" s="38"/>
      <c r="G807" s="198"/>
      <c r="H807" s="198"/>
      <c r="I807" s="39"/>
      <c r="J807" s="38"/>
      <c r="K807" s="198"/>
      <c r="L807" s="38"/>
      <c r="M807" s="38"/>
      <c r="N807" s="38"/>
      <c r="O807" s="38"/>
      <c r="P807" s="40" t="str" cm="1">
        <f t="array" ref="P807">IF(N807="","",IFERROR(_xlfn.XLOOKUP(F807&amp;"|"&amp;J807&amp;"|"&amp;O807,PRICES!$C$2:$C$659&amp;"|"&amp;PRICES!$B$2:$B$659&amp;"|"&amp;PRICES!$D$2:$D$659,PRICES!$E$2:$E$659),"Not Found"))</f>
        <v/>
      </c>
      <c r="Q807" s="100" t="str">
        <f>IF(N807=0,"",SUMIFS(PRICES!$G$2:$G$658,PRICES!$B$2:$B$658,'MAIN TABLE-1 AUTOMATED'!J807,PRICES!$C$2:$C$658,'MAIN TABLE-1 AUTOMATED'!F807,PRICES!$D$2:$D$658,'MAIN TABLE-1 AUTOMATED'!O807))</f>
        <v/>
      </c>
      <c r="R807" s="41" t="str">
        <f>IF(Table1[[#This Row],[QUANTITY]]=0,"",Table1[[#This Row],[UNIT PRICE]]*Table1[[#This Row],[QUANTITY]])</f>
        <v/>
      </c>
      <c r="S807" s="89"/>
      <c r="T807" s="38"/>
      <c r="U807" s="43"/>
      <c r="V807" s="42" t="str">
        <f>IF(Table1[[#This Row],[DATE]]=0,"",YEAR(E807))</f>
        <v/>
      </c>
      <c r="W807" s="40" t="str">
        <f t="shared" si="26"/>
        <v/>
      </c>
      <c r="X807" s="40" t="str">
        <f t="shared" si="27"/>
        <v/>
      </c>
      <c r="Y807" s="40" t="str">
        <f>TEXT(Table1[[#This Row],[YEAR]],"0000")&amp;"-"&amp;Table1[[#This Row],[MONTH]]</f>
        <v>-</v>
      </c>
    </row>
    <row r="808" spans="1:25" ht="15" customHeight="1" x14ac:dyDescent="0.35">
      <c r="A808" s="24"/>
      <c r="B808" s="38"/>
      <c r="C808" s="38"/>
      <c r="D808" s="38"/>
      <c r="E808" s="37"/>
      <c r="F808" s="38"/>
      <c r="G808" s="198"/>
      <c r="H808" s="198"/>
      <c r="I808" s="39"/>
      <c r="J808" s="38"/>
      <c r="K808" s="198"/>
      <c r="L808" s="38"/>
      <c r="M808" s="38"/>
      <c r="N808" s="38"/>
      <c r="O808" s="38"/>
      <c r="P808" s="40" t="str" cm="1">
        <f t="array" ref="P808">IF(N808="","",IFERROR(_xlfn.XLOOKUP(F808&amp;"|"&amp;J808&amp;"|"&amp;O808,PRICES!$C$2:$C$659&amp;"|"&amp;PRICES!$B$2:$B$659&amp;"|"&amp;PRICES!$D$2:$D$659,PRICES!$E$2:$E$659),"Not Found"))</f>
        <v/>
      </c>
      <c r="Q808" s="100" t="str">
        <f>IF(N808=0,"",SUMIFS(PRICES!$G$2:$G$658,PRICES!$B$2:$B$658,'MAIN TABLE-1 AUTOMATED'!J808,PRICES!$C$2:$C$658,'MAIN TABLE-1 AUTOMATED'!F808,PRICES!$D$2:$D$658,'MAIN TABLE-1 AUTOMATED'!O808))</f>
        <v/>
      </c>
      <c r="R808" s="41" t="str">
        <f>IF(Table1[[#This Row],[QUANTITY]]=0,"",Table1[[#This Row],[UNIT PRICE]]*Table1[[#This Row],[QUANTITY]])</f>
        <v/>
      </c>
      <c r="S808" s="89"/>
      <c r="T808" s="38"/>
      <c r="U808" s="43"/>
      <c r="V808" s="42" t="str">
        <f>IF(Table1[[#This Row],[DATE]]=0,"",YEAR(E808))</f>
        <v/>
      </c>
      <c r="W808" s="40" t="str">
        <f t="shared" si="26"/>
        <v/>
      </c>
      <c r="X808" s="40" t="str">
        <f t="shared" si="27"/>
        <v/>
      </c>
      <c r="Y808" s="40" t="str">
        <f>TEXT(Table1[[#This Row],[YEAR]],"0000")&amp;"-"&amp;Table1[[#This Row],[MONTH]]</f>
        <v>-</v>
      </c>
    </row>
    <row r="809" spans="1:25" ht="15" customHeight="1" x14ac:dyDescent="0.35">
      <c r="A809" s="24"/>
      <c r="B809" s="38"/>
      <c r="C809" s="38"/>
      <c r="D809" s="38"/>
      <c r="E809" s="37"/>
      <c r="F809" s="38"/>
      <c r="G809" s="198"/>
      <c r="H809" s="198"/>
      <c r="I809" s="39"/>
      <c r="J809" s="38"/>
      <c r="K809" s="198"/>
      <c r="L809" s="38"/>
      <c r="M809" s="38"/>
      <c r="N809" s="38"/>
      <c r="O809" s="38"/>
      <c r="P809" s="40" t="str" cm="1">
        <f t="array" ref="P809">IF(N809="","",IFERROR(_xlfn.XLOOKUP(F809&amp;"|"&amp;J809&amp;"|"&amp;O809,PRICES!$C$2:$C$659&amp;"|"&amp;PRICES!$B$2:$B$659&amp;"|"&amp;PRICES!$D$2:$D$659,PRICES!$E$2:$E$659),"Not Found"))</f>
        <v/>
      </c>
      <c r="Q809" s="100" t="str">
        <f>IF(N809=0,"",SUMIFS(PRICES!$G$2:$G$658,PRICES!$B$2:$B$658,'MAIN TABLE-1 AUTOMATED'!J809,PRICES!$C$2:$C$658,'MAIN TABLE-1 AUTOMATED'!F809,PRICES!$D$2:$D$658,'MAIN TABLE-1 AUTOMATED'!O809))</f>
        <v/>
      </c>
      <c r="R809" s="41" t="str">
        <f>IF(Table1[[#This Row],[QUANTITY]]=0,"",Table1[[#This Row],[UNIT PRICE]]*Table1[[#This Row],[QUANTITY]])</f>
        <v/>
      </c>
      <c r="S809" s="89"/>
      <c r="T809" s="38"/>
      <c r="U809" s="43"/>
      <c r="V809" s="42" t="str">
        <f>IF(Table1[[#This Row],[DATE]]=0,"",YEAR(E809))</f>
        <v/>
      </c>
      <c r="W809" s="40" t="str">
        <f t="shared" si="26"/>
        <v/>
      </c>
      <c r="X809" s="40" t="str">
        <f t="shared" si="27"/>
        <v/>
      </c>
      <c r="Y809" s="40" t="str">
        <f>TEXT(Table1[[#This Row],[YEAR]],"0000")&amp;"-"&amp;Table1[[#This Row],[MONTH]]</f>
        <v>-</v>
      </c>
    </row>
    <row r="810" spans="1:25" ht="15" customHeight="1" x14ac:dyDescent="0.35">
      <c r="A810" s="24"/>
      <c r="B810" s="38"/>
      <c r="C810" s="38"/>
      <c r="D810" s="38"/>
      <c r="E810" s="37"/>
      <c r="F810" s="38"/>
      <c r="G810" s="198"/>
      <c r="H810" s="198"/>
      <c r="I810" s="39"/>
      <c r="J810" s="38"/>
      <c r="K810" s="198"/>
      <c r="L810" s="38"/>
      <c r="M810" s="38"/>
      <c r="N810" s="38"/>
      <c r="O810" s="38"/>
      <c r="P810" s="40" t="str" cm="1">
        <f t="array" ref="P810">IF(N810="","",IFERROR(_xlfn.XLOOKUP(F810&amp;"|"&amp;J810&amp;"|"&amp;O810,PRICES!$C$2:$C$659&amp;"|"&amp;PRICES!$B$2:$B$659&amp;"|"&amp;PRICES!$D$2:$D$659,PRICES!$E$2:$E$659),"Not Found"))</f>
        <v/>
      </c>
      <c r="Q810" s="100" t="str">
        <f>IF(N810=0,"",SUMIFS(PRICES!$G$2:$G$658,PRICES!$B$2:$B$658,'MAIN TABLE-1 AUTOMATED'!J810,PRICES!$C$2:$C$658,'MAIN TABLE-1 AUTOMATED'!F810,PRICES!$D$2:$D$658,'MAIN TABLE-1 AUTOMATED'!O810))</f>
        <v/>
      </c>
      <c r="R810" s="41" t="str">
        <f>IF(Table1[[#This Row],[QUANTITY]]=0,"",Table1[[#This Row],[UNIT PRICE]]*Table1[[#This Row],[QUANTITY]])</f>
        <v/>
      </c>
      <c r="S810" s="89"/>
      <c r="T810" s="38"/>
      <c r="U810" s="43"/>
      <c r="V810" s="42" t="str">
        <f>IF(Table1[[#This Row],[DATE]]=0,"",YEAR(E810))</f>
        <v/>
      </c>
      <c r="W810" s="40" t="str">
        <f t="shared" si="26"/>
        <v/>
      </c>
      <c r="X810" s="40" t="str">
        <f t="shared" si="27"/>
        <v/>
      </c>
      <c r="Y810" s="40" t="str">
        <f>TEXT(Table1[[#This Row],[YEAR]],"0000")&amp;"-"&amp;Table1[[#This Row],[MONTH]]</f>
        <v>-</v>
      </c>
    </row>
    <row r="811" spans="1:25" ht="15" customHeight="1" x14ac:dyDescent="0.35">
      <c r="A811" s="24"/>
      <c r="B811" s="38"/>
      <c r="C811" s="38"/>
      <c r="D811" s="38"/>
      <c r="E811" s="37"/>
      <c r="F811" s="38"/>
      <c r="G811" s="198"/>
      <c r="H811" s="198"/>
      <c r="I811" s="39"/>
      <c r="J811" s="38"/>
      <c r="K811" s="198"/>
      <c r="L811" s="38"/>
      <c r="M811" s="38"/>
      <c r="N811" s="38"/>
      <c r="O811" s="38"/>
      <c r="P811" s="40" t="str" cm="1">
        <f t="array" ref="P811">IF(N811="","",IFERROR(_xlfn.XLOOKUP(F811&amp;"|"&amp;J811&amp;"|"&amp;O811,PRICES!$C$2:$C$659&amp;"|"&amp;PRICES!$B$2:$B$659&amp;"|"&amp;PRICES!$D$2:$D$659,PRICES!$E$2:$E$659),"Not Found"))</f>
        <v/>
      </c>
      <c r="Q811" s="100" t="str">
        <f>IF(N811=0,"",SUMIFS(PRICES!$G$2:$G$658,PRICES!$B$2:$B$658,'MAIN TABLE-1 AUTOMATED'!J811,PRICES!$C$2:$C$658,'MAIN TABLE-1 AUTOMATED'!F811,PRICES!$D$2:$D$658,'MAIN TABLE-1 AUTOMATED'!O811))</f>
        <v/>
      </c>
      <c r="R811" s="41" t="str">
        <f>IF(Table1[[#This Row],[QUANTITY]]=0,"",Table1[[#This Row],[UNIT PRICE]]*Table1[[#This Row],[QUANTITY]])</f>
        <v/>
      </c>
      <c r="S811" s="89"/>
      <c r="T811" s="38"/>
      <c r="U811" s="43"/>
      <c r="V811" s="42" t="str">
        <f>IF(Table1[[#This Row],[DATE]]=0,"",YEAR(E811))</f>
        <v/>
      </c>
      <c r="W811" s="40" t="str">
        <f t="shared" si="26"/>
        <v/>
      </c>
      <c r="X811" s="40" t="str">
        <f t="shared" si="27"/>
        <v/>
      </c>
      <c r="Y811" s="40" t="str">
        <f>TEXT(Table1[[#This Row],[YEAR]],"0000")&amp;"-"&amp;Table1[[#This Row],[MONTH]]</f>
        <v>-</v>
      </c>
    </row>
    <row r="812" spans="1:25" ht="15" customHeight="1" x14ac:dyDescent="0.35">
      <c r="A812" s="24"/>
      <c r="B812" s="38"/>
      <c r="C812" s="38"/>
      <c r="D812" s="38"/>
      <c r="E812" s="37"/>
      <c r="F812" s="38"/>
      <c r="G812" s="198"/>
      <c r="H812" s="198"/>
      <c r="I812" s="39"/>
      <c r="J812" s="38"/>
      <c r="K812" s="198"/>
      <c r="L812" s="38"/>
      <c r="M812" s="38"/>
      <c r="N812" s="38"/>
      <c r="O812" s="38"/>
      <c r="P812" s="40" t="str" cm="1">
        <f t="array" ref="P812">IF(N812="","",IFERROR(_xlfn.XLOOKUP(F812&amp;"|"&amp;J812&amp;"|"&amp;O812,PRICES!$C$2:$C$659&amp;"|"&amp;PRICES!$B$2:$B$659&amp;"|"&amp;PRICES!$D$2:$D$659,PRICES!$E$2:$E$659),"Not Found"))</f>
        <v/>
      </c>
      <c r="Q812" s="100" t="str">
        <f>IF(N812=0,"",SUMIFS(PRICES!$G$2:$G$658,PRICES!$B$2:$B$658,'MAIN TABLE-1 AUTOMATED'!J812,PRICES!$C$2:$C$658,'MAIN TABLE-1 AUTOMATED'!F812,PRICES!$D$2:$D$658,'MAIN TABLE-1 AUTOMATED'!O812))</f>
        <v/>
      </c>
      <c r="R812" s="41" t="str">
        <f>IF(Table1[[#This Row],[QUANTITY]]=0,"",Table1[[#This Row],[UNIT PRICE]]*Table1[[#This Row],[QUANTITY]])</f>
        <v/>
      </c>
      <c r="S812" s="89"/>
      <c r="T812" s="38"/>
      <c r="U812" s="43"/>
      <c r="V812" s="42" t="str">
        <f>IF(Table1[[#This Row],[DATE]]=0,"",YEAR(E812))</f>
        <v/>
      </c>
      <c r="W812" s="40" t="str">
        <f t="shared" si="26"/>
        <v/>
      </c>
      <c r="X812" s="40" t="str">
        <f t="shared" si="27"/>
        <v/>
      </c>
      <c r="Y812" s="40" t="str">
        <f>TEXT(Table1[[#This Row],[YEAR]],"0000")&amp;"-"&amp;Table1[[#This Row],[MONTH]]</f>
        <v>-</v>
      </c>
    </row>
    <row r="813" spans="1:25" ht="15" customHeight="1" x14ac:dyDescent="0.35">
      <c r="A813" s="24"/>
      <c r="B813" s="38"/>
      <c r="C813" s="38"/>
      <c r="D813" s="38"/>
      <c r="E813" s="37"/>
      <c r="F813" s="38"/>
      <c r="G813" s="198"/>
      <c r="H813" s="198"/>
      <c r="I813" s="39"/>
      <c r="J813" s="38"/>
      <c r="K813" s="198"/>
      <c r="L813" s="38"/>
      <c r="M813" s="38"/>
      <c r="N813" s="38"/>
      <c r="O813" s="38"/>
      <c r="P813" s="40" t="str" cm="1">
        <f t="array" ref="P813">IF(N813="","",IFERROR(_xlfn.XLOOKUP(F813&amp;"|"&amp;J813&amp;"|"&amp;O813,PRICES!$C$2:$C$659&amp;"|"&amp;PRICES!$B$2:$B$659&amp;"|"&amp;PRICES!$D$2:$D$659,PRICES!$E$2:$E$659),"Not Found"))</f>
        <v/>
      </c>
      <c r="Q813" s="100" t="str">
        <f>IF(N813=0,"",SUMIFS(PRICES!$G$2:$G$658,PRICES!$B$2:$B$658,'MAIN TABLE-1 AUTOMATED'!J813,PRICES!$C$2:$C$658,'MAIN TABLE-1 AUTOMATED'!F813,PRICES!$D$2:$D$658,'MAIN TABLE-1 AUTOMATED'!O813))</f>
        <v/>
      </c>
      <c r="R813" s="41" t="str">
        <f>IF(Table1[[#This Row],[QUANTITY]]=0,"",Table1[[#This Row],[UNIT PRICE]]*Table1[[#This Row],[QUANTITY]])</f>
        <v/>
      </c>
      <c r="S813" s="89"/>
      <c r="T813" s="38"/>
      <c r="U813" s="43"/>
      <c r="V813" s="42" t="str">
        <f>IF(Table1[[#This Row],[DATE]]=0,"",YEAR(E813))</f>
        <v/>
      </c>
      <c r="W813" s="40" t="str">
        <f t="shared" si="26"/>
        <v/>
      </c>
      <c r="X813" s="40" t="str">
        <f t="shared" si="27"/>
        <v/>
      </c>
      <c r="Y813" s="40" t="str">
        <f>TEXT(Table1[[#This Row],[YEAR]],"0000")&amp;"-"&amp;Table1[[#This Row],[MONTH]]</f>
        <v>-</v>
      </c>
    </row>
    <row r="814" spans="1:25" ht="15" customHeight="1" x14ac:dyDescent="0.35">
      <c r="A814" s="24"/>
      <c r="B814" s="38"/>
      <c r="C814" s="38"/>
      <c r="D814" s="38"/>
      <c r="E814" s="37"/>
      <c r="F814" s="38"/>
      <c r="G814" s="198"/>
      <c r="H814" s="198"/>
      <c r="I814" s="39"/>
      <c r="J814" s="38"/>
      <c r="K814" s="198"/>
      <c r="L814" s="38"/>
      <c r="M814" s="38"/>
      <c r="N814" s="38"/>
      <c r="O814" s="38"/>
      <c r="P814" s="40" t="str" cm="1">
        <f t="array" ref="P814">IF(N814="","",IFERROR(_xlfn.XLOOKUP(F814&amp;"|"&amp;J814&amp;"|"&amp;O814,PRICES!$C$2:$C$659&amp;"|"&amp;PRICES!$B$2:$B$659&amp;"|"&amp;PRICES!$D$2:$D$659,PRICES!$E$2:$E$659),"Not Found"))</f>
        <v/>
      </c>
      <c r="Q814" s="100" t="str">
        <f>IF(N814=0,"",SUMIFS(PRICES!$G$2:$G$658,PRICES!$B$2:$B$658,'MAIN TABLE-1 AUTOMATED'!J814,PRICES!$C$2:$C$658,'MAIN TABLE-1 AUTOMATED'!F814,PRICES!$D$2:$D$658,'MAIN TABLE-1 AUTOMATED'!O814))</f>
        <v/>
      </c>
      <c r="R814" s="41" t="str">
        <f>IF(Table1[[#This Row],[QUANTITY]]=0,"",Table1[[#This Row],[UNIT PRICE]]*Table1[[#This Row],[QUANTITY]])</f>
        <v/>
      </c>
      <c r="S814" s="89"/>
      <c r="T814" s="38"/>
      <c r="U814" s="43"/>
      <c r="V814" s="42" t="str">
        <f>IF(Table1[[#This Row],[DATE]]=0,"",YEAR(E814))</f>
        <v/>
      </c>
      <c r="W814" s="40" t="str">
        <f t="shared" si="26"/>
        <v/>
      </c>
      <c r="X814" s="40" t="str">
        <f t="shared" si="27"/>
        <v/>
      </c>
      <c r="Y814" s="40" t="str">
        <f>TEXT(Table1[[#This Row],[YEAR]],"0000")&amp;"-"&amp;Table1[[#This Row],[MONTH]]</f>
        <v>-</v>
      </c>
    </row>
    <row r="815" spans="1:25" ht="15" customHeight="1" x14ac:dyDescent="0.35">
      <c r="A815" s="24"/>
      <c r="B815" s="38"/>
      <c r="C815" s="38"/>
      <c r="D815" s="38"/>
      <c r="E815" s="37"/>
      <c r="F815" s="38"/>
      <c r="G815" s="198"/>
      <c r="H815" s="198"/>
      <c r="I815" s="39"/>
      <c r="J815" s="38"/>
      <c r="K815" s="198"/>
      <c r="L815" s="38"/>
      <c r="M815" s="38"/>
      <c r="N815" s="38"/>
      <c r="O815" s="38"/>
      <c r="P815" s="40" t="str" cm="1">
        <f t="array" ref="P815">IF(N815="","",IFERROR(_xlfn.XLOOKUP(F815&amp;"|"&amp;J815&amp;"|"&amp;O815,PRICES!$C$2:$C$659&amp;"|"&amp;PRICES!$B$2:$B$659&amp;"|"&amp;PRICES!$D$2:$D$659,PRICES!$E$2:$E$659),"Not Found"))</f>
        <v/>
      </c>
      <c r="Q815" s="100" t="str">
        <f>IF(N815=0,"",SUMIFS(PRICES!$G$2:$G$658,PRICES!$B$2:$B$658,'MAIN TABLE-1 AUTOMATED'!J815,PRICES!$C$2:$C$658,'MAIN TABLE-1 AUTOMATED'!F815,PRICES!$D$2:$D$658,'MAIN TABLE-1 AUTOMATED'!O815))</f>
        <v/>
      </c>
      <c r="R815" s="41" t="str">
        <f>IF(Table1[[#This Row],[QUANTITY]]=0,"",Table1[[#This Row],[UNIT PRICE]]*Table1[[#This Row],[QUANTITY]])</f>
        <v/>
      </c>
      <c r="S815" s="89"/>
      <c r="T815" s="38"/>
      <c r="U815" s="43"/>
      <c r="V815" s="42" t="str">
        <f>IF(Table1[[#This Row],[DATE]]=0,"",YEAR(E815))</f>
        <v/>
      </c>
      <c r="W815" s="40" t="str">
        <f t="shared" si="26"/>
        <v/>
      </c>
      <c r="X815" s="40" t="str">
        <f t="shared" si="27"/>
        <v/>
      </c>
      <c r="Y815" s="40" t="str">
        <f>TEXT(Table1[[#This Row],[YEAR]],"0000")&amp;"-"&amp;Table1[[#This Row],[MONTH]]</f>
        <v>-</v>
      </c>
    </row>
    <row r="816" spans="1:25" ht="15" customHeight="1" x14ac:dyDescent="0.35">
      <c r="A816" s="24"/>
      <c r="B816" s="38"/>
      <c r="C816" s="38"/>
      <c r="D816" s="38"/>
      <c r="E816" s="37"/>
      <c r="F816" s="38"/>
      <c r="G816" s="198"/>
      <c r="H816" s="198"/>
      <c r="I816" s="39"/>
      <c r="J816" s="38"/>
      <c r="K816" s="198"/>
      <c r="L816" s="38"/>
      <c r="M816" s="38"/>
      <c r="N816" s="38"/>
      <c r="O816" s="38"/>
      <c r="P816" s="40" t="str" cm="1">
        <f t="array" ref="P816">IF(N816="","",IFERROR(_xlfn.XLOOKUP(F816&amp;"|"&amp;J816&amp;"|"&amp;O816,PRICES!$C$2:$C$659&amp;"|"&amp;PRICES!$B$2:$B$659&amp;"|"&amp;PRICES!$D$2:$D$659,PRICES!$E$2:$E$659),"Not Found"))</f>
        <v/>
      </c>
      <c r="Q816" s="100" t="str">
        <f>IF(N816=0,"",SUMIFS(PRICES!$G$2:$G$658,PRICES!$B$2:$B$658,'MAIN TABLE-1 AUTOMATED'!J816,PRICES!$C$2:$C$658,'MAIN TABLE-1 AUTOMATED'!F816,PRICES!$D$2:$D$658,'MAIN TABLE-1 AUTOMATED'!O816))</f>
        <v/>
      </c>
      <c r="R816" s="41" t="str">
        <f>IF(Table1[[#This Row],[QUANTITY]]=0,"",Table1[[#This Row],[UNIT PRICE]]*Table1[[#This Row],[QUANTITY]])</f>
        <v/>
      </c>
      <c r="S816" s="89"/>
      <c r="T816" s="38"/>
      <c r="U816" s="43"/>
      <c r="V816" s="42" t="str">
        <f>IF(Table1[[#This Row],[DATE]]=0,"",YEAR(E816))</f>
        <v/>
      </c>
      <c r="W816" s="40" t="str">
        <f t="shared" si="26"/>
        <v/>
      </c>
      <c r="X816" s="40" t="str">
        <f t="shared" si="27"/>
        <v/>
      </c>
      <c r="Y816" s="40" t="str">
        <f>TEXT(Table1[[#This Row],[YEAR]],"0000")&amp;"-"&amp;Table1[[#This Row],[MONTH]]</f>
        <v>-</v>
      </c>
    </row>
    <row r="817" spans="1:25" ht="15" customHeight="1" x14ac:dyDescent="0.35">
      <c r="A817" s="24"/>
      <c r="B817" s="38"/>
      <c r="C817" s="38"/>
      <c r="D817" s="38"/>
      <c r="E817" s="37"/>
      <c r="F817" s="38"/>
      <c r="G817" s="198"/>
      <c r="H817" s="198"/>
      <c r="I817" s="39"/>
      <c r="J817" s="38"/>
      <c r="K817" s="198"/>
      <c r="L817" s="38"/>
      <c r="M817" s="38"/>
      <c r="N817" s="38"/>
      <c r="O817" s="38"/>
      <c r="P817" s="40" t="str" cm="1">
        <f t="array" ref="P817">IF(N817="","",IFERROR(_xlfn.XLOOKUP(F817&amp;"|"&amp;J817&amp;"|"&amp;O817,PRICES!$C$2:$C$659&amp;"|"&amp;PRICES!$B$2:$B$659&amp;"|"&amp;PRICES!$D$2:$D$659,PRICES!$E$2:$E$659),"Not Found"))</f>
        <v/>
      </c>
      <c r="Q817" s="100" t="str">
        <f>IF(N817=0,"",SUMIFS(PRICES!$G$2:$G$658,PRICES!$B$2:$B$658,'MAIN TABLE-1 AUTOMATED'!J817,PRICES!$C$2:$C$658,'MAIN TABLE-1 AUTOMATED'!F817,PRICES!$D$2:$D$658,'MAIN TABLE-1 AUTOMATED'!O817))</f>
        <v/>
      </c>
      <c r="R817" s="41" t="str">
        <f>IF(Table1[[#This Row],[QUANTITY]]=0,"",Table1[[#This Row],[UNIT PRICE]]*Table1[[#This Row],[QUANTITY]])</f>
        <v/>
      </c>
      <c r="S817" s="89"/>
      <c r="T817" s="38"/>
      <c r="U817" s="43"/>
      <c r="V817" s="42" t="str">
        <f>IF(Table1[[#This Row],[DATE]]=0,"",YEAR(E817))</f>
        <v/>
      </c>
      <c r="W817" s="40" t="str">
        <f t="shared" si="26"/>
        <v/>
      </c>
      <c r="X817" s="40" t="str">
        <f t="shared" si="27"/>
        <v/>
      </c>
      <c r="Y817" s="40" t="str">
        <f>TEXT(Table1[[#This Row],[YEAR]],"0000")&amp;"-"&amp;Table1[[#This Row],[MONTH]]</f>
        <v>-</v>
      </c>
    </row>
    <row r="818" spans="1:25" ht="15" customHeight="1" x14ac:dyDescent="0.35">
      <c r="A818" s="24"/>
      <c r="B818" s="38"/>
      <c r="C818" s="38"/>
      <c r="D818" s="38"/>
      <c r="E818" s="37"/>
      <c r="F818" s="38"/>
      <c r="G818" s="198"/>
      <c r="H818" s="198"/>
      <c r="I818" s="39"/>
      <c r="J818" s="38"/>
      <c r="K818" s="198"/>
      <c r="L818" s="38"/>
      <c r="M818" s="38"/>
      <c r="N818" s="38"/>
      <c r="O818" s="38"/>
      <c r="P818" s="40" t="str" cm="1">
        <f t="array" ref="P818">IF(N818="","",IFERROR(_xlfn.XLOOKUP(F818&amp;"|"&amp;J818&amp;"|"&amp;O818,PRICES!$C$2:$C$659&amp;"|"&amp;PRICES!$B$2:$B$659&amp;"|"&amp;PRICES!$D$2:$D$659,PRICES!$E$2:$E$659),"Not Found"))</f>
        <v/>
      </c>
      <c r="Q818" s="100" t="str">
        <f>IF(N818=0,"",SUMIFS(PRICES!$G$2:$G$658,PRICES!$B$2:$B$658,'MAIN TABLE-1 AUTOMATED'!J818,PRICES!$C$2:$C$658,'MAIN TABLE-1 AUTOMATED'!F818,PRICES!$D$2:$D$658,'MAIN TABLE-1 AUTOMATED'!O818))</f>
        <v/>
      </c>
      <c r="R818" s="41" t="str">
        <f>IF(Table1[[#This Row],[QUANTITY]]=0,"",Table1[[#This Row],[UNIT PRICE]]*Table1[[#This Row],[QUANTITY]])</f>
        <v/>
      </c>
      <c r="S818" s="89"/>
      <c r="T818" s="38"/>
      <c r="U818" s="43"/>
      <c r="V818" s="42" t="str">
        <f>IF(Table1[[#This Row],[DATE]]=0,"",YEAR(E818))</f>
        <v/>
      </c>
      <c r="W818" s="40" t="str">
        <f t="shared" si="26"/>
        <v/>
      </c>
      <c r="X818" s="40" t="str">
        <f t="shared" si="27"/>
        <v/>
      </c>
      <c r="Y818" s="40" t="str">
        <f>TEXT(Table1[[#This Row],[YEAR]],"0000")&amp;"-"&amp;Table1[[#This Row],[MONTH]]</f>
        <v>-</v>
      </c>
    </row>
    <row r="819" spans="1:25" ht="15" customHeight="1" x14ac:dyDescent="0.35">
      <c r="A819" s="24"/>
      <c r="B819" s="38"/>
      <c r="C819" s="38"/>
      <c r="D819" s="38"/>
      <c r="E819" s="37"/>
      <c r="F819" s="38"/>
      <c r="G819" s="198"/>
      <c r="H819" s="198"/>
      <c r="I819" s="39"/>
      <c r="J819" s="38"/>
      <c r="K819" s="198"/>
      <c r="L819" s="38"/>
      <c r="M819" s="38"/>
      <c r="N819" s="38"/>
      <c r="O819" s="38"/>
      <c r="P819" s="40" t="str" cm="1">
        <f t="array" ref="P819">IF(N819="","",IFERROR(_xlfn.XLOOKUP(F819&amp;"|"&amp;J819&amp;"|"&amp;O819,PRICES!$C$2:$C$659&amp;"|"&amp;PRICES!$B$2:$B$659&amp;"|"&amp;PRICES!$D$2:$D$659,PRICES!$E$2:$E$659),"Not Found"))</f>
        <v/>
      </c>
      <c r="Q819" s="100" t="str">
        <f>IF(N819=0,"",SUMIFS(PRICES!$G$2:$G$658,PRICES!$B$2:$B$658,'MAIN TABLE-1 AUTOMATED'!J819,PRICES!$C$2:$C$658,'MAIN TABLE-1 AUTOMATED'!F819,PRICES!$D$2:$D$658,'MAIN TABLE-1 AUTOMATED'!O819))</f>
        <v/>
      </c>
      <c r="R819" s="41" t="str">
        <f>IF(Table1[[#This Row],[QUANTITY]]=0,"",Table1[[#This Row],[UNIT PRICE]]*Table1[[#This Row],[QUANTITY]])</f>
        <v/>
      </c>
      <c r="S819" s="89"/>
      <c r="T819" s="38"/>
      <c r="U819" s="43"/>
      <c r="V819" s="42" t="str">
        <f>IF(Table1[[#This Row],[DATE]]=0,"",YEAR(E819))</f>
        <v/>
      </c>
      <c r="W819" s="40" t="str">
        <f t="shared" si="26"/>
        <v/>
      </c>
      <c r="X819" s="40" t="str">
        <f t="shared" si="27"/>
        <v/>
      </c>
      <c r="Y819" s="40" t="str">
        <f>TEXT(Table1[[#This Row],[YEAR]],"0000")&amp;"-"&amp;Table1[[#This Row],[MONTH]]</f>
        <v>-</v>
      </c>
    </row>
    <row r="820" spans="1:25" ht="15" customHeight="1" x14ac:dyDescent="0.35">
      <c r="A820" s="24"/>
      <c r="B820" s="38"/>
      <c r="C820" s="38"/>
      <c r="D820" s="38"/>
      <c r="E820" s="37"/>
      <c r="F820" s="38"/>
      <c r="G820" s="198"/>
      <c r="H820" s="198"/>
      <c r="I820" s="39"/>
      <c r="J820" s="38"/>
      <c r="K820" s="198"/>
      <c r="L820" s="38"/>
      <c r="M820" s="38"/>
      <c r="N820" s="38"/>
      <c r="O820" s="38"/>
      <c r="P820" s="40" t="str" cm="1">
        <f t="array" ref="P820">IF(N820="","",IFERROR(_xlfn.XLOOKUP(F820&amp;"|"&amp;J820&amp;"|"&amp;O820,PRICES!$C$2:$C$659&amp;"|"&amp;PRICES!$B$2:$B$659&amp;"|"&amp;PRICES!$D$2:$D$659,PRICES!$E$2:$E$659),"Not Found"))</f>
        <v/>
      </c>
      <c r="Q820" s="100" t="str">
        <f>IF(N820=0,"",SUMIFS(PRICES!$G$2:$G$658,PRICES!$B$2:$B$658,'MAIN TABLE-1 AUTOMATED'!J820,PRICES!$C$2:$C$658,'MAIN TABLE-1 AUTOMATED'!F820,PRICES!$D$2:$D$658,'MAIN TABLE-1 AUTOMATED'!O820))</f>
        <v/>
      </c>
      <c r="R820" s="41" t="str">
        <f>IF(Table1[[#This Row],[QUANTITY]]=0,"",Table1[[#This Row],[UNIT PRICE]]*Table1[[#This Row],[QUANTITY]])</f>
        <v/>
      </c>
      <c r="S820" s="89"/>
      <c r="T820" s="38"/>
      <c r="U820" s="43"/>
      <c r="V820" s="42" t="str">
        <f>IF(Table1[[#This Row],[DATE]]=0,"",YEAR(E820))</f>
        <v/>
      </c>
      <c r="W820" s="40" t="str">
        <f t="shared" si="26"/>
        <v/>
      </c>
      <c r="X820" s="40" t="str">
        <f t="shared" si="27"/>
        <v/>
      </c>
      <c r="Y820" s="40" t="str">
        <f>TEXT(Table1[[#This Row],[YEAR]],"0000")&amp;"-"&amp;Table1[[#This Row],[MONTH]]</f>
        <v>-</v>
      </c>
    </row>
    <row r="821" spans="1:25" ht="15" customHeight="1" x14ac:dyDescent="0.35">
      <c r="A821" s="24"/>
      <c r="B821" s="38"/>
      <c r="C821" s="38"/>
      <c r="D821" s="38"/>
      <c r="E821" s="37"/>
      <c r="F821" s="38"/>
      <c r="G821" s="198"/>
      <c r="H821" s="198"/>
      <c r="I821" s="39"/>
      <c r="J821" s="38"/>
      <c r="K821" s="198"/>
      <c r="L821" s="38"/>
      <c r="M821" s="38"/>
      <c r="N821" s="38"/>
      <c r="O821" s="38"/>
      <c r="P821" s="40" t="str" cm="1">
        <f t="array" ref="P821">IF(N821="","",IFERROR(_xlfn.XLOOKUP(F821&amp;"|"&amp;J821&amp;"|"&amp;O821,PRICES!$C$2:$C$659&amp;"|"&amp;PRICES!$B$2:$B$659&amp;"|"&amp;PRICES!$D$2:$D$659,PRICES!$E$2:$E$659),"Not Found"))</f>
        <v/>
      </c>
      <c r="Q821" s="100" t="str">
        <f>IF(N821=0,"",SUMIFS(PRICES!$G$2:$G$658,PRICES!$B$2:$B$658,'MAIN TABLE-1 AUTOMATED'!J821,PRICES!$C$2:$C$658,'MAIN TABLE-1 AUTOMATED'!F821,PRICES!$D$2:$D$658,'MAIN TABLE-1 AUTOMATED'!O821))</f>
        <v/>
      </c>
      <c r="R821" s="41" t="str">
        <f>IF(Table1[[#This Row],[QUANTITY]]=0,"",Table1[[#This Row],[UNIT PRICE]]*Table1[[#This Row],[QUANTITY]])</f>
        <v/>
      </c>
      <c r="S821" s="89"/>
      <c r="T821" s="38"/>
      <c r="U821" s="43"/>
      <c r="V821" s="42" t="str">
        <f>IF(Table1[[#This Row],[DATE]]=0,"",YEAR(E821))</f>
        <v/>
      </c>
      <c r="W821" s="40" t="str">
        <f t="shared" si="26"/>
        <v/>
      </c>
      <c r="X821" s="40" t="str">
        <f t="shared" si="27"/>
        <v/>
      </c>
      <c r="Y821" s="40" t="str">
        <f>TEXT(Table1[[#This Row],[YEAR]],"0000")&amp;"-"&amp;Table1[[#This Row],[MONTH]]</f>
        <v>-</v>
      </c>
    </row>
    <row r="822" spans="1:25" ht="15" customHeight="1" x14ac:dyDescent="0.35">
      <c r="A822" s="24"/>
      <c r="B822" s="38"/>
      <c r="C822" s="38"/>
      <c r="D822" s="38"/>
      <c r="E822" s="37"/>
      <c r="F822" s="38"/>
      <c r="G822" s="198"/>
      <c r="H822" s="198"/>
      <c r="I822" s="39"/>
      <c r="J822" s="38"/>
      <c r="K822" s="198"/>
      <c r="L822" s="38"/>
      <c r="M822" s="38"/>
      <c r="N822" s="38"/>
      <c r="O822" s="38"/>
      <c r="P822" s="40" t="str" cm="1">
        <f t="array" ref="P822">IF(N822="","",IFERROR(_xlfn.XLOOKUP(F822&amp;"|"&amp;J822&amp;"|"&amp;O822,PRICES!$C$2:$C$659&amp;"|"&amp;PRICES!$B$2:$B$659&amp;"|"&amp;PRICES!$D$2:$D$659,PRICES!$E$2:$E$659),"Not Found"))</f>
        <v/>
      </c>
      <c r="Q822" s="100" t="str">
        <f>IF(N822=0,"",SUMIFS(PRICES!$G$2:$G$658,PRICES!$B$2:$B$658,'MAIN TABLE-1 AUTOMATED'!J822,PRICES!$C$2:$C$658,'MAIN TABLE-1 AUTOMATED'!F822,PRICES!$D$2:$D$658,'MAIN TABLE-1 AUTOMATED'!O822))</f>
        <v/>
      </c>
      <c r="R822" s="41" t="str">
        <f>IF(Table1[[#This Row],[QUANTITY]]=0,"",Table1[[#This Row],[UNIT PRICE]]*Table1[[#This Row],[QUANTITY]])</f>
        <v/>
      </c>
      <c r="S822" s="89"/>
      <c r="T822" s="38"/>
      <c r="U822" s="43"/>
      <c r="V822" s="42" t="str">
        <f>IF(Table1[[#This Row],[DATE]]=0,"",YEAR(E822))</f>
        <v/>
      </c>
      <c r="W822" s="40" t="str">
        <f t="shared" si="26"/>
        <v/>
      </c>
      <c r="X822" s="40" t="str">
        <f t="shared" si="27"/>
        <v/>
      </c>
      <c r="Y822" s="40" t="str">
        <f>TEXT(Table1[[#This Row],[YEAR]],"0000")&amp;"-"&amp;Table1[[#This Row],[MONTH]]</f>
        <v>-</v>
      </c>
    </row>
    <row r="823" spans="1:25" ht="15" customHeight="1" x14ac:dyDescent="0.35">
      <c r="A823" s="24"/>
      <c r="B823" s="38"/>
      <c r="C823" s="38"/>
      <c r="D823" s="38"/>
      <c r="E823" s="37"/>
      <c r="F823" s="38"/>
      <c r="G823" s="198"/>
      <c r="H823" s="198"/>
      <c r="I823" s="39"/>
      <c r="J823" s="38"/>
      <c r="K823" s="198"/>
      <c r="L823" s="38"/>
      <c r="M823" s="38"/>
      <c r="N823" s="38"/>
      <c r="O823" s="38"/>
      <c r="P823" s="40" t="str" cm="1">
        <f t="array" ref="P823">IF(N823="","",IFERROR(_xlfn.XLOOKUP(F823&amp;"|"&amp;J823&amp;"|"&amp;O823,PRICES!$C$2:$C$659&amp;"|"&amp;PRICES!$B$2:$B$659&amp;"|"&amp;PRICES!$D$2:$D$659,PRICES!$E$2:$E$659),"Not Found"))</f>
        <v/>
      </c>
      <c r="Q823" s="100" t="str">
        <f>IF(N823=0,"",SUMIFS(PRICES!$G$2:$G$658,PRICES!$B$2:$B$658,'MAIN TABLE-1 AUTOMATED'!J823,PRICES!$C$2:$C$658,'MAIN TABLE-1 AUTOMATED'!F823,PRICES!$D$2:$D$658,'MAIN TABLE-1 AUTOMATED'!O823))</f>
        <v/>
      </c>
      <c r="R823" s="41" t="str">
        <f>IF(Table1[[#This Row],[QUANTITY]]=0,"",Table1[[#This Row],[UNIT PRICE]]*Table1[[#This Row],[QUANTITY]])</f>
        <v/>
      </c>
      <c r="S823" s="89"/>
      <c r="T823" s="38"/>
      <c r="U823" s="43"/>
      <c r="V823" s="42" t="str">
        <f>IF(Table1[[#This Row],[DATE]]=0,"",YEAR(E823))</f>
        <v/>
      </c>
      <c r="W823" s="40" t="str">
        <f t="shared" si="26"/>
        <v/>
      </c>
      <c r="X823" s="40" t="str">
        <f t="shared" si="27"/>
        <v/>
      </c>
      <c r="Y823" s="40" t="str">
        <f>TEXT(Table1[[#This Row],[YEAR]],"0000")&amp;"-"&amp;Table1[[#This Row],[MONTH]]</f>
        <v>-</v>
      </c>
    </row>
    <row r="824" spans="1:25" ht="15" customHeight="1" x14ac:dyDescent="0.35">
      <c r="A824" s="24"/>
      <c r="B824" s="38"/>
      <c r="C824" s="38"/>
      <c r="D824" s="38"/>
      <c r="E824" s="37"/>
      <c r="F824" s="38"/>
      <c r="G824" s="198"/>
      <c r="H824" s="198"/>
      <c r="I824" s="39"/>
      <c r="J824" s="38"/>
      <c r="K824" s="198"/>
      <c r="L824" s="38"/>
      <c r="M824" s="38"/>
      <c r="N824" s="38"/>
      <c r="O824" s="38"/>
      <c r="P824" s="40" t="str" cm="1">
        <f t="array" ref="P824">IF(N824="","",IFERROR(_xlfn.XLOOKUP(F824&amp;"|"&amp;J824&amp;"|"&amp;O824,PRICES!$C$2:$C$659&amp;"|"&amp;PRICES!$B$2:$B$659&amp;"|"&amp;PRICES!$D$2:$D$659,PRICES!$E$2:$E$659),"Not Found"))</f>
        <v/>
      </c>
      <c r="Q824" s="100" t="str">
        <f>IF(N824=0,"",SUMIFS(PRICES!$G$2:$G$658,PRICES!$B$2:$B$658,'MAIN TABLE-1 AUTOMATED'!J824,PRICES!$C$2:$C$658,'MAIN TABLE-1 AUTOMATED'!F824,PRICES!$D$2:$D$658,'MAIN TABLE-1 AUTOMATED'!O824))</f>
        <v/>
      </c>
      <c r="R824" s="41" t="str">
        <f>IF(Table1[[#This Row],[QUANTITY]]=0,"",Table1[[#This Row],[UNIT PRICE]]*Table1[[#This Row],[QUANTITY]])</f>
        <v/>
      </c>
      <c r="S824" s="89"/>
      <c r="T824" s="38"/>
      <c r="U824" s="43"/>
      <c r="V824" s="42" t="str">
        <f>IF(Table1[[#This Row],[DATE]]=0,"",YEAR(E824))</f>
        <v/>
      </c>
      <c r="W824" s="40" t="str">
        <f t="shared" si="26"/>
        <v/>
      </c>
      <c r="X824" s="40" t="str">
        <f t="shared" si="27"/>
        <v/>
      </c>
      <c r="Y824" s="40" t="str">
        <f>TEXT(Table1[[#This Row],[YEAR]],"0000")&amp;"-"&amp;Table1[[#This Row],[MONTH]]</f>
        <v>-</v>
      </c>
    </row>
    <row r="825" spans="1:25" ht="15" customHeight="1" x14ac:dyDescent="0.35">
      <c r="A825" s="24"/>
      <c r="B825" s="38"/>
      <c r="C825" s="38"/>
      <c r="D825" s="38"/>
      <c r="E825" s="37"/>
      <c r="F825" s="38"/>
      <c r="G825" s="198"/>
      <c r="H825" s="198"/>
      <c r="I825" s="39"/>
      <c r="J825" s="38"/>
      <c r="K825" s="198"/>
      <c r="L825" s="38"/>
      <c r="M825" s="38"/>
      <c r="N825" s="38"/>
      <c r="O825" s="38"/>
      <c r="P825" s="40" t="str" cm="1">
        <f t="array" ref="P825">IF(N825="","",IFERROR(_xlfn.XLOOKUP(F825&amp;"|"&amp;J825&amp;"|"&amp;O825,PRICES!$C$2:$C$659&amp;"|"&amp;PRICES!$B$2:$B$659&amp;"|"&amp;PRICES!$D$2:$D$659,PRICES!$E$2:$E$659),"Not Found"))</f>
        <v/>
      </c>
      <c r="Q825" s="100" t="str">
        <f>IF(N825=0,"",SUMIFS(PRICES!$G$2:$G$658,PRICES!$B$2:$B$658,'MAIN TABLE-1 AUTOMATED'!J825,PRICES!$C$2:$C$658,'MAIN TABLE-1 AUTOMATED'!F825,PRICES!$D$2:$D$658,'MAIN TABLE-1 AUTOMATED'!O825))</f>
        <v/>
      </c>
      <c r="R825" s="41" t="str">
        <f>IF(Table1[[#This Row],[QUANTITY]]=0,"",Table1[[#This Row],[UNIT PRICE]]*Table1[[#This Row],[QUANTITY]])</f>
        <v/>
      </c>
      <c r="S825" s="89"/>
      <c r="T825" s="38"/>
      <c r="U825" s="43"/>
      <c r="V825" s="42" t="str">
        <f>IF(Table1[[#This Row],[DATE]]=0,"",YEAR(E825))</f>
        <v/>
      </c>
      <c r="W825" s="40" t="str">
        <f t="shared" si="26"/>
        <v/>
      </c>
      <c r="X825" s="40" t="str">
        <f t="shared" si="27"/>
        <v/>
      </c>
      <c r="Y825" s="40" t="str">
        <f>TEXT(Table1[[#This Row],[YEAR]],"0000")&amp;"-"&amp;Table1[[#This Row],[MONTH]]</f>
        <v>-</v>
      </c>
    </row>
    <row r="826" spans="1:25" ht="15" customHeight="1" x14ac:dyDescent="0.35">
      <c r="A826" s="24"/>
      <c r="B826" s="38"/>
      <c r="C826" s="38"/>
      <c r="D826" s="38"/>
      <c r="E826" s="37"/>
      <c r="F826" s="38"/>
      <c r="G826" s="198"/>
      <c r="H826" s="198"/>
      <c r="I826" s="39"/>
      <c r="J826" s="38"/>
      <c r="K826" s="198"/>
      <c r="L826" s="38"/>
      <c r="M826" s="38"/>
      <c r="N826" s="38"/>
      <c r="O826" s="38"/>
      <c r="P826" s="40" t="str" cm="1">
        <f t="array" ref="P826">IF(N826="","",IFERROR(_xlfn.XLOOKUP(F826&amp;"|"&amp;J826&amp;"|"&amp;O826,PRICES!$C$2:$C$659&amp;"|"&amp;PRICES!$B$2:$B$659&amp;"|"&amp;PRICES!$D$2:$D$659,PRICES!$E$2:$E$659),"Not Found"))</f>
        <v/>
      </c>
      <c r="Q826" s="100" t="str">
        <f>IF(N826=0,"",SUMIFS(PRICES!$G$2:$G$658,PRICES!$B$2:$B$658,'MAIN TABLE-1 AUTOMATED'!J826,PRICES!$C$2:$C$658,'MAIN TABLE-1 AUTOMATED'!F826,PRICES!$D$2:$D$658,'MAIN TABLE-1 AUTOMATED'!O826))</f>
        <v/>
      </c>
      <c r="R826" s="41" t="str">
        <f>IF(Table1[[#This Row],[QUANTITY]]=0,"",Table1[[#This Row],[UNIT PRICE]]*Table1[[#This Row],[QUANTITY]])</f>
        <v/>
      </c>
      <c r="S826" s="89"/>
      <c r="T826" s="38"/>
      <c r="U826" s="43"/>
      <c r="V826" s="42" t="str">
        <f>IF(Table1[[#This Row],[DATE]]=0,"",YEAR(E826))</f>
        <v/>
      </c>
      <c r="W826" s="40" t="str">
        <f t="shared" si="26"/>
        <v/>
      </c>
      <c r="X826" s="40" t="str">
        <f t="shared" si="27"/>
        <v/>
      </c>
      <c r="Y826" s="40" t="str">
        <f>TEXT(Table1[[#This Row],[YEAR]],"0000")&amp;"-"&amp;Table1[[#This Row],[MONTH]]</f>
        <v>-</v>
      </c>
    </row>
    <row r="827" spans="1:25" ht="15" customHeight="1" x14ac:dyDescent="0.35">
      <c r="A827" s="24"/>
      <c r="B827" s="38"/>
      <c r="C827" s="38"/>
      <c r="D827" s="38"/>
      <c r="E827" s="37"/>
      <c r="F827" s="38"/>
      <c r="G827" s="198"/>
      <c r="H827" s="198"/>
      <c r="I827" s="39"/>
      <c r="J827" s="38"/>
      <c r="K827" s="198"/>
      <c r="L827" s="38"/>
      <c r="M827" s="38"/>
      <c r="N827" s="38"/>
      <c r="O827" s="38"/>
      <c r="P827" s="40" t="str" cm="1">
        <f t="array" ref="P827">IF(N827="","",IFERROR(_xlfn.XLOOKUP(F827&amp;"|"&amp;J827&amp;"|"&amp;O827,PRICES!$C$2:$C$659&amp;"|"&amp;PRICES!$B$2:$B$659&amp;"|"&amp;PRICES!$D$2:$D$659,PRICES!$E$2:$E$659),"Not Found"))</f>
        <v/>
      </c>
      <c r="Q827" s="100" t="str">
        <f>IF(N827=0,"",SUMIFS(PRICES!$G$2:$G$658,PRICES!$B$2:$B$658,'MAIN TABLE-1 AUTOMATED'!J827,PRICES!$C$2:$C$658,'MAIN TABLE-1 AUTOMATED'!F827,PRICES!$D$2:$D$658,'MAIN TABLE-1 AUTOMATED'!O827))</f>
        <v/>
      </c>
      <c r="R827" s="41" t="str">
        <f>IF(Table1[[#This Row],[QUANTITY]]=0,"",Table1[[#This Row],[UNIT PRICE]]*Table1[[#This Row],[QUANTITY]])</f>
        <v/>
      </c>
      <c r="S827" s="89"/>
      <c r="T827" s="38"/>
      <c r="U827" s="43"/>
      <c r="V827" s="42" t="str">
        <f>IF(Table1[[#This Row],[DATE]]=0,"",YEAR(E827))</f>
        <v/>
      </c>
      <c r="W827" s="40" t="str">
        <f t="shared" si="26"/>
        <v/>
      </c>
      <c r="X827" s="40" t="str">
        <f t="shared" si="27"/>
        <v/>
      </c>
      <c r="Y827" s="40" t="str">
        <f>TEXT(Table1[[#This Row],[YEAR]],"0000")&amp;"-"&amp;Table1[[#This Row],[MONTH]]</f>
        <v>-</v>
      </c>
    </row>
    <row r="828" spans="1:25" ht="15" customHeight="1" x14ac:dyDescent="0.35">
      <c r="A828" s="24"/>
      <c r="B828" s="38"/>
      <c r="C828" s="38"/>
      <c r="D828" s="38"/>
      <c r="E828" s="37"/>
      <c r="F828" s="38"/>
      <c r="G828" s="198"/>
      <c r="H828" s="198"/>
      <c r="I828" s="39"/>
      <c r="J828" s="38"/>
      <c r="K828" s="198"/>
      <c r="L828" s="38"/>
      <c r="M828" s="38"/>
      <c r="N828" s="38"/>
      <c r="O828" s="38"/>
      <c r="P828" s="40" t="str" cm="1">
        <f t="array" ref="P828">IF(N828="","",IFERROR(_xlfn.XLOOKUP(F828&amp;"|"&amp;J828&amp;"|"&amp;O828,PRICES!$C$2:$C$659&amp;"|"&amp;PRICES!$B$2:$B$659&amp;"|"&amp;PRICES!$D$2:$D$659,PRICES!$E$2:$E$659),"Not Found"))</f>
        <v/>
      </c>
      <c r="Q828" s="100" t="str">
        <f>IF(N828=0,"",SUMIFS(PRICES!$G$2:$G$658,PRICES!$B$2:$B$658,'MAIN TABLE-1 AUTOMATED'!J828,PRICES!$C$2:$C$658,'MAIN TABLE-1 AUTOMATED'!F828,PRICES!$D$2:$D$658,'MAIN TABLE-1 AUTOMATED'!O828))</f>
        <v/>
      </c>
      <c r="R828" s="41" t="str">
        <f>IF(Table1[[#This Row],[QUANTITY]]=0,"",Table1[[#This Row],[UNIT PRICE]]*Table1[[#This Row],[QUANTITY]])</f>
        <v/>
      </c>
      <c r="S828" s="89"/>
      <c r="T828" s="38"/>
      <c r="U828" s="43"/>
      <c r="V828" s="42" t="str">
        <f>IF(Table1[[#This Row],[DATE]]=0,"",YEAR(E828))</f>
        <v/>
      </c>
      <c r="W828" s="40" t="str">
        <f t="shared" si="26"/>
        <v/>
      </c>
      <c r="X828" s="40" t="str">
        <f t="shared" si="27"/>
        <v/>
      </c>
      <c r="Y828" s="40" t="str">
        <f>TEXT(Table1[[#This Row],[YEAR]],"0000")&amp;"-"&amp;Table1[[#This Row],[MONTH]]</f>
        <v>-</v>
      </c>
    </row>
    <row r="829" spans="1:25" ht="15" customHeight="1" x14ac:dyDescent="0.35">
      <c r="A829" s="24"/>
      <c r="B829" s="38"/>
      <c r="C829" s="38"/>
      <c r="D829" s="38"/>
      <c r="E829" s="37"/>
      <c r="F829" s="38"/>
      <c r="G829" s="198"/>
      <c r="H829" s="198"/>
      <c r="I829" s="39"/>
      <c r="J829" s="38"/>
      <c r="K829" s="198"/>
      <c r="L829" s="38"/>
      <c r="M829" s="38"/>
      <c r="N829" s="38"/>
      <c r="O829" s="38"/>
      <c r="P829" s="40" t="str" cm="1">
        <f t="array" ref="P829">IF(N829="","",IFERROR(_xlfn.XLOOKUP(F829&amp;"|"&amp;J829&amp;"|"&amp;O829,PRICES!$C$2:$C$659&amp;"|"&amp;PRICES!$B$2:$B$659&amp;"|"&amp;PRICES!$D$2:$D$659,PRICES!$E$2:$E$659),"Not Found"))</f>
        <v/>
      </c>
      <c r="Q829" s="100" t="str">
        <f>IF(N829=0,"",SUMIFS(PRICES!$G$2:$G$658,PRICES!$B$2:$B$658,'MAIN TABLE-1 AUTOMATED'!J829,PRICES!$C$2:$C$658,'MAIN TABLE-1 AUTOMATED'!F829,PRICES!$D$2:$D$658,'MAIN TABLE-1 AUTOMATED'!O829))</f>
        <v/>
      </c>
      <c r="R829" s="41" t="str">
        <f>IF(Table1[[#This Row],[QUANTITY]]=0,"",Table1[[#This Row],[UNIT PRICE]]*Table1[[#This Row],[QUANTITY]])</f>
        <v/>
      </c>
      <c r="S829" s="89"/>
      <c r="T829" s="38"/>
      <c r="U829" s="43"/>
      <c r="V829" s="42" t="str">
        <f>IF(Table1[[#This Row],[DATE]]=0,"",YEAR(E829))</f>
        <v/>
      </c>
      <c r="W829" s="40" t="str">
        <f t="shared" si="26"/>
        <v/>
      </c>
      <c r="X829" s="40" t="str">
        <f t="shared" si="27"/>
        <v/>
      </c>
      <c r="Y829" s="40" t="str">
        <f>TEXT(Table1[[#This Row],[YEAR]],"0000")&amp;"-"&amp;Table1[[#This Row],[MONTH]]</f>
        <v>-</v>
      </c>
    </row>
    <row r="830" spans="1:25" ht="15" customHeight="1" x14ac:dyDescent="0.35">
      <c r="A830" s="24"/>
      <c r="B830" s="38"/>
      <c r="C830" s="38"/>
      <c r="D830" s="38"/>
      <c r="E830" s="37"/>
      <c r="F830" s="38"/>
      <c r="G830" s="198"/>
      <c r="H830" s="198"/>
      <c r="I830" s="39"/>
      <c r="J830" s="38"/>
      <c r="K830" s="198"/>
      <c r="L830" s="38"/>
      <c r="M830" s="38"/>
      <c r="N830" s="38"/>
      <c r="O830" s="38"/>
      <c r="P830" s="40" t="str" cm="1">
        <f t="array" ref="P830">IF(N830="","",IFERROR(_xlfn.XLOOKUP(F830&amp;"|"&amp;J830&amp;"|"&amp;O830,PRICES!$C$2:$C$659&amp;"|"&amp;PRICES!$B$2:$B$659&amp;"|"&amp;PRICES!$D$2:$D$659,PRICES!$E$2:$E$659),"Not Found"))</f>
        <v/>
      </c>
      <c r="Q830" s="100" t="str">
        <f>IF(N830=0,"",SUMIFS(PRICES!$G$2:$G$658,PRICES!$B$2:$B$658,'MAIN TABLE-1 AUTOMATED'!J830,PRICES!$C$2:$C$658,'MAIN TABLE-1 AUTOMATED'!F830,PRICES!$D$2:$D$658,'MAIN TABLE-1 AUTOMATED'!O830))</f>
        <v/>
      </c>
      <c r="R830" s="41" t="str">
        <f>IF(Table1[[#This Row],[QUANTITY]]=0,"",Table1[[#This Row],[UNIT PRICE]]*Table1[[#This Row],[QUANTITY]])</f>
        <v/>
      </c>
      <c r="S830" s="89"/>
      <c r="T830" s="38"/>
      <c r="U830" s="43"/>
      <c r="V830" s="42" t="str">
        <f>IF(Table1[[#This Row],[DATE]]=0,"",YEAR(E830))</f>
        <v/>
      </c>
      <c r="W830" s="40" t="str">
        <f t="shared" si="26"/>
        <v/>
      </c>
      <c r="X830" s="40" t="str">
        <f t="shared" si="27"/>
        <v/>
      </c>
      <c r="Y830" s="40" t="str">
        <f>TEXT(Table1[[#This Row],[YEAR]],"0000")&amp;"-"&amp;Table1[[#This Row],[MONTH]]</f>
        <v>-</v>
      </c>
    </row>
    <row r="831" spans="1:25" ht="15" customHeight="1" x14ac:dyDescent="0.35">
      <c r="A831" s="24"/>
      <c r="B831" s="38"/>
      <c r="C831" s="38"/>
      <c r="D831" s="38"/>
      <c r="E831" s="37"/>
      <c r="F831" s="38"/>
      <c r="G831" s="198"/>
      <c r="H831" s="198"/>
      <c r="I831" s="39"/>
      <c r="J831" s="38"/>
      <c r="K831" s="198"/>
      <c r="L831" s="38"/>
      <c r="M831" s="38"/>
      <c r="N831" s="38"/>
      <c r="O831" s="38"/>
      <c r="P831" s="40" t="str" cm="1">
        <f t="array" ref="P831">IF(N831="","",IFERROR(_xlfn.XLOOKUP(F831&amp;"|"&amp;J831&amp;"|"&amp;O831,PRICES!$C$2:$C$659&amp;"|"&amp;PRICES!$B$2:$B$659&amp;"|"&amp;PRICES!$D$2:$D$659,PRICES!$E$2:$E$659),"Not Found"))</f>
        <v/>
      </c>
      <c r="Q831" s="100" t="str">
        <f>IF(N831=0,"",SUMIFS(PRICES!$G$2:$G$658,PRICES!$B$2:$B$658,'MAIN TABLE-1 AUTOMATED'!J831,PRICES!$C$2:$C$658,'MAIN TABLE-1 AUTOMATED'!F831,PRICES!$D$2:$D$658,'MAIN TABLE-1 AUTOMATED'!O831))</f>
        <v/>
      </c>
      <c r="R831" s="41" t="str">
        <f>IF(Table1[[#This Row],[QUANTITY]]=0,"",Table1[[#This Row],[UNIT PRICE]]*Table1[[#This Row],[QUANTITY]])</f>
        <v/>
      </c>
      <c r="S831" s="89"/>
      <c r="T831" s="38"/>
      <c r="U831" s="43"/>
      <c r="V831" s="42" t="str">
        <f>IF(Table1[[#This Row],[DATE]]=0,"",YEAR(E831))</f>
        <v/>
      </c>
      <c r="W831" s="40" t="str">
        <f t="shared" si="26"/>
        <v/>
      </c>
      <c r="X831" s="40" t="str">
        <f t="shared" si="27"/>
        <v/>
      </c>
      <c r="Y831" s="40" t="str">
        <f>TEXT(Table1[[#This Row],[YEAR]],"0000")&amp;"-"&amp;Table1[[#This Row],[MONTH]]</f>
        <v>-</v>
      </c>
    </row>
    <row r="832" spans="1:25" ht="15" customHeight="1" x14ac:dyDescent="0.35">
      <c r="A832" s="24"/>
      <c r="B832" s="38"/>
      <c r="C832" s="38"/>
      <c r="D832" s="38"/>
      <c r="E832" s="37"/>
      <c r="F832" s="38"/>
      <c r="G832" s="198"/>
      <c r="H832" s="198"/>
      <c r="I832" s="39"/>
      <c r="J832" s="38"/>
      <c r="K832" s="198"/>
      <c r="L832" s="38"/>
      <c r="M832" s="38"/>
      <c r="N832" s="38"/>
      <c r="O832" s="38"/>
      <c r="P832" s="40" t="str" cm="1">
        <f t="array" ref="P832">IF(N832="","",IFERROR(_xlfn.XLOOKUP(F832&amp;"|"&amp;J832&amp;"|"&amp;O832,PRICES!$C$2:$C$659&amp;"|"&amp;PRICES!$B$2:$B$659&amp;"|"&amp;PRICES!$D$2:$D$659,PRICES!$E$2:$E$659),"Not Found"))</f>
        <v/>
      </c>
      <c r="Q832" s="100" t="str">
        <f>IF(N832=0,"",SUMIFS(PRICES!$G$2:$G$658,PRICES!$B$2:$B$658,'MAIN TABLE-1 AUTOMATED'!J832,PRICES!$C$2:$C$658,'MAIN TABLE-1 AUTOMATED'!F832,PRICES!$D$2:$D$658,'MAIN TABLE-1 AUTOMATED'!O832))</f>
        <v/>
      </c>
      <c r="R832" s="41" t="str">
        <f>IF(Table1[[#This Row],[QUANTITY]]=0,"",Table1[[#This Row],[UNIT PRICE]]*Table1[[#This Row],[QUANTITY]])</f>
        <v/>
      </c>
      <c r="S832" s="89"/>
      <c r="T832" s="38"/>
      <c r="U832" s="43"/>
      <c r="V832" s="42" t="str">
        <f>IF(Table1[[#This Row],[DATE]]=0,"",YEAR(E832))</f>
        <v/>
      </c>
      <c r="W832" s="40" t="str">
        <f t="shared" si="26"/>
        <v/>
      </c>
      <c r="X832" s="40" t="str">
        <f t="shared" si="27"/>
        <v/>
      </c>
      <c r="Y832" s="40" t="str">
        <f>TEXT(Table1[[#This Row],[YEAR]],"0000")&amp;"-"&amp;Table1[[#This Row],[MONTH]]</f>
        <v>-</v>
      </c>
    </row>
    <row r="833" spans="1:25" ht="15" customHeight="1" x14ac:dyDescent="0.35">
      <c r="A833" s="24"/>
      <c r="B833" s="38"/>
      <c r="C833" s="38"/>
      <c r="D833" s="38"/>
      <c r="E833" s="37"/>
      <c r="F833" s="38"/>
      <c r="G833" s="198"/>
      <c r="H833" s="198"/>
      <c r="I833" s="39"/>
      <c r="J833" s="38"/>
      <c r="K833" s="198"/>
      <c r="L833" s="38"/>
      <c r="M833" s="38"/>
      <c r="N833" s="38"/>
      <c r="O833" s="38"/>
      <c r="P833" s="40" t="str" cm="1">
        <f t="array" ref="P833">IF(N833="","",IFERROR(_xlfn.XLOOKUP(F833&amp;"|"&amp;J833&amp;"|"&amp;O833,PRICES!$C$2:$C$659&amp;"|"&amp;PRICES!$B$2:$B$659&amp;"|"&amp;PRICES!$D$2:$D$659,PRICES!$E$2:$E$659),"Not Found"))</f>
        <v/>
      </c>
      <c r="Q833" s="100" t="str">
        <f>IF(N833=0,"",SUMIFS(PRICES!$G$2:$G$658,PRICES!$B$2:$B$658,'MAIN TABLE-1 AUTOMATED'!J833,PRICES!$C$2:$C$658,'MAIN TABLE-1 AUTOMATED'!F833,PRICES!$D$2:$D$658,'MAIN TABLE-1 AUTOMATED'!O833))</f>
        <v/>
      </c>
      <c r="R833" s="41" t="str">
        <f>IF(Table1[[#This Row],[QUANTITY]]=0,"",Table1[[#This Row],[UNIT PRICE]]*Table1[[#This Row],[QUANTITY]])</f>
        <v/>
      </c>
      <c r="S833" s="89"/>
      <c r="T833" s="38"/>
      <c r="U833" s="43"/>
      <c r="V833" s="42" t="str">
        <f>IF(Table1[[#This Row],[DATE]]=0,"",YEAR(E833))</f>
        <v/>
      </c>
      <c r="W833" s="40" t="str">
        <f t="shared" si="26"/>
        <v/>
      </c>
      <c r="X833" s="40" t="str">
        <f t="shared" si="27"/>
        <v/>
      </c>
      <c r="Y833" s="40" t="str">
        <f>TEXT(Table1[[#This Row],[YEAR]],"0000")&amp;"-"&amp;Table1[[#This Row],[MONTH]]</f>
        <v>-</v>
      </c>
    </row>
    <row r="834" spans="1:25" ht="15" customHeight="1" x14ac:dyDescent="0.35">
      <c r="A834" s="24"/>
      <c r="B834" s="38"/>
      <c r="C834" s="38"/>
      <c r="D834" s="38"/>
      <c r="E834" s="37"/>
      <c r="F834" s="38"/>
      <c r="G834" s="198"/>
      <c r="H834" s="198"/>
      <c r="I834" s="39"/>
      <c r="J834" s="38"/>
      <c r="K834" s="198"/>
      <c r="L834" s="38"/>
      <c r="M834" s="38"/>
      <c r="N834" s="38"/>
      <c r="O834" s="38"/>
      <c r="P834" s="40" t="str" cm="1">
        <f t="array" ref="P834">IF(N834="","",IFERROR(_xlfn.XLOOKUP(F834&amp;"|"&amp;J834&amp;"|"&amp;O834,PRICES!$C$2:$C$659&amp;"|"&amp;PRICES!$B$2:$B$659&amp;"|"&amp;PRICES!$D$2:$D$659,PRICES!$E$2:$E$659),"Not Found"))</f>
        <v/>
      </c>
      <c r="Q834" s="100" t="str">
        <f>IF(N834=0,"",SUMIFS(PRICES!$G$2:$G$658,PRICES!$B$2:$B$658,'MAIN TABLE-1 AUTOMATED'!J834,PRICES!$C$2:$C$658,'MAIN TABLE-1 AUTOMATED'!F834,PRICES!$D$2:$D$658,'MAIN TABLE-1 AUTOMATED'!O834))</f>
        <v/>
      </c>
      <c r="R834" s="41" t="str">
        <f>IF(Table1[[#This Row],[QUANTITY]]=0,"",Table1[[#This Row],[UNIT PRICE]]*Table1[[#This Row],[QUANTITY]])</f>
        <v/>
      </c>
      <c r="S834" s="89"/>
      <c r="T834" s="38"/>
      <c r="U834" s="43"/>
      <c r="V834" s="42" t="str">
        <f>IF(Table1[[#This Row],[DATE]]=0,"",YEAR(E834))</f>
        <v/>
      </c>
      <c r="W834" s="40" t="str">
        <f t="shared" si="26"/>
        <v/>
      </c>
      <c r="X834" s="40" t="str">
        <f t="shared" si="27"/>
        <v/>
      </c>
      <c r="Y834" s="40" t="str">
        <f>TEXT(Table1[[#This Row],[YEAR]],"0000")&amp;"-"&amp;Table1[[#This Row],[MONTH]]</f>
        <v>-</v>
      </c>
    </row>
    <row r="835" spans="1:25" ht="15" customHeight="1" x14ac:dyDescent="0.35">
      <c r="A835" s="24"/>
      <c r="B835" s="38"/>
      <c r="C835" s="38"/>
      <c r="D835" s="38"/>
      <c r="E835" s="37"/>
      <c r="F835" s="38"/>
      <c r="G835" s="198"/>
      <c r="H835" s="198"/>
      <c r="I835" s="39"/>
      <c r="J835" s="38"/>
      <c r="K835" s="198"/>
      <c r="L835" s="38"/>
      <c r="M835" s="38"/>
      <c r="N835" s="38"/>
      <c r="O835" s="38"/>
      <c r="P835" s="40" t="str" cm="1">
        <f t="array" ref="P835">IF(N835="","",IFERROR(_xlfn.XLOOKUP(F835&amp;"|"&amp;J835&amp;"|"&amp;O835,PRICES!$C$2:$C$659&amp;"|"&amp;PRICES!$B$2:$B$659&amp;"|"&amp;PRICES!$D$2:$D$659,PRICES!$E$2:$E$659),"Not Found"))</f>
        <v/>
      </c>
      <c r="Q835" s="100" t="str">
        <f>IF(N835=0,"",SUMIFS(PRICES!$G$2:$G$658,PRICES!$B$2:$B$658,'MAIN TABLE-1 AUTOMATED'!J835,PRICES!$C$2:$C$658,'MAIN TABLE-1 AUTOMATED'!F835,PRICES!$D$2:$D$658,'MAIN TABLE-1 AUTOMATED'!O835))</f>
        <v/>
      </c>
      <c r="R835" s="41" t="str">
        <f>IF(Table1[[#This Row],[QUANTITY]]=0,"",Table1[[#This Row],[UNIT PRICE]]*Table1[[#This Row],[QUANTITY]])</f>
        <v/>
      </c>
      <c r="S835" s="89"/>
      <c r="T835" s="38"/>
      <c r="U835" s="43"/>
      <c r="V835" s="42" t="str">
        <f>IF(Table1[[#This Row],[DATE]]=0,"",YEAR(E835))</f>
        <v/>
      </c>
      <c r="W835" s="40" t="str">
        <f t="shared" si="26"/>
        <v/>
      </c>
      <c r="X835" s="40" t="str">
        <f t="shared" si="27"/>
        <v/>
      </c>
      <c r="Y835" s="40" t="str">
        <f>TEXT(Table1[[#This Row],[YEAR]],"0000")&amp;"-"&amp;Table1[[#This Row],[MONTH]]</f>
        <v>-</v>
      </c>
    </row>
    <row r="836" spans="1:25" ht="15" customHeight="1" x14ac:dyDescent="0.35">
      <c r="A836" s="24"/>
      <c r="B836" s="38"/>
      <c r="C836" s="38"/>
      <c r="D836" s="38"/>
      <c r="E836" s="37"/>
      <c r="F836" s="38"/>
      <c r="G836" s="198"/>
      <c r="H836" s="198"/>
      <c r="I836" s="39"/>
      <c r="J836" s="38"/>
      <c r="K836" s="198"/>
      <c r="L836" s="38"/>
      <c r="M836" s="38"/>
      <c r="N836" s="38"/>
      <c r="O836" s="38"/>
      <c r="P836" s="40" t="str" cm="1">
        <f t="array" ref="P836">IF(N836="","",IFERROR(_xlfn.XLOOKUP(F836&amp;"|"&amp;J836&amp;"|"&amp;O836,PRICES!$C$2:$C$659&amp;"|"&amp;PRICES!$B$2:$B$659&amp;"|"&amp;PRICES!$D$2:$D$659,PRICES!$E$2:$E$659),"Not Found"))</f>
        <v/>
      </c>
      <c r="Q836" s="100" t="str">
        <f>IF(N836=0,"",SUMIFS(PRICES!$G$2:$G$658,PRICES!$B$2:$B$658,'MAIN TABLE-1 AUTOMATED'!J836,PRICES!$C$2:$C$658,'MAIN TABLE-1 AUTOMATED'!F836,PRICES!$D$2:$D$658,'MAIN TABLE-1 AUTOMATED'!O836))</f>
        <v/>
      </c>
      <c r="R836" s="41" t="str">
        <f>IF(Table1[[#This Row],[QUANTITY]]=0,"",Table1[[#This Row],[UNIT PRICE]]*Table1[[#This Row],[QUANTITY]])</f>
        <v/>
      </c>
      <c r="S836" s="89"/>
      <c r="T836" s="38"/>
      <c r="U836" s="43"/>
      <c r="V836" s="42" t="str">
        <f>IF(Table1[[#This Row],[DATE]]=0,"",YEAR(E836))</f>
        <v/>
      </c>
      <c r="W836" s="40" t="str">
        <f t="shared" si="26"/>
        <v/>
      </c>
      <c r="X836" s="40" t="str">
        <f t="shared" si="27"/>
        <v/>
      </c>
      <c r="Y836" s="40" t="str">
        <f>TEXT(Table1[[#This Row],[YEAR]],"0000")&amp;"-"&amp;Table1[[#This Row],[MONTH]]</f>
        <v>-</v>
      </c>
    </row>
    <row r="837" spans="1:25" ht="15" customHeight="1" x14ac:dyDescent="0.35">
      <c r="A837" s="24"/>
      <c r="B837" s="38"/>
      <c r="C837" s="38"/>
      <c r="D837" s="38"/>
      <c r="E837" s="37"/>
      <c r="F837" s="38"/>
      <c r="G837" s="198"/>
      <c r="H837" s="198"/>
      <c r="I837" s="39"/>
      <c r="J837" s="38"/>
      <c r="K837" s="198"/>
      <c r="L837" s="38"/>
      <c r="M837" s="38"/>
      <c r="N837" s="38"/>
      <c r="O837" s="38"/>
      <c r="P837" s="40" t="str" cm="1">
        <f t="array" ref="P837">IF(N837="","",IFERROR(_xlfn.XLOOKUP(F837&amp;"|"&amp;J837&amp;"|"&amp;O837,PRICES!$C$2:$C$659&amp;"|"&amp;PRICES!$B$2:$B$659&amp;"|"&amp;PRICES!$D$2:$D$659,PRICES!$E$2:$E$659),"Not Found"))</f>
        <v/>
      </c>
      <c r="Q837" s="100" t="str">
        <f>IF(N837=0,"",SUMIFS(PRICES!$G$2:$G$658,PRICES!$B$2:$B$658,'MAIN TABLE-1 AUTOMATED'!J837,PRICES!$C$2:$C$658,'MAIN TABLE-1 AUTOMATED'!F837,PRICES!$D$2:$D$658,'MAIN TABLE-1 AUTOMATED'!O837))</f>
        <v/>
      </c>
      <c r="R837" s="41" t="str">
        <f>IF(Table1[[#This Row],[QUANTITY]]=0,"",Table1[[#This Row],[UNIT PRICE]]*Table1[[#This Row],[QUANTITY]])</f>
        <v/>
      </c>
      <c r="S837" s="89"/>
      <c r="T837" s="38"/>
      <c r="U837" s="43"/>
      <c r="V837" s="42" t="str">
        <f>IF(Table1[[#This Row],[DATE]]=0,"",YEAR(E837))</f>
        <v/>
      </c>
      <c r="W837" s="40" t="str">
        <f t="shared" si="26"/>
        <v/>
      </c>
      <c r="X837" s="40" t="str">
        <f t="shared" si="27"/>
        <v/>
      </c>
      <c r="Y837" s="40" t="str">
        <f>TEXT(Table1[[#This Row],[YEAR]],"0000")&amp;"-"&amp;Table1[[#This Row],[MONTH]]</f>
        <v>-</v>
      </c>
    </row>
    <row r="838" spans="1:25" ht="15" customHeight="1" x14ac:dyDescent="0.35">
      <c r="A838" s="24"/>
      <c r="B838" s="38"/>
      <c r="C838" s="38"/>
      <c r="D838" s="38"/>
      <c r="E838" s="37"/>
      <c r="F838" s="38"/>
      <c r="G838" s="198"/>
      <c r="H838" s="198"/>
      <c r="I838" s="39"/>
      <c r="J838" s="38"/>
      <c r="K838" s="198"/>
      <c r="L838" s="38"/>
      <c r="M838" s="38"/>
      <c r="N838" s="38"/>
      <c r="O838" s="38"/>
      <c r="P838" s="40" t="str" cm="1">
        <f t="array" ref="P838">IF(N838="","",IFERROR(_xlfn.XLOOKUP(F838&amp;"|"&amp;J838&amp;"|"&amp;O838,PRICES!$C$2:$C$659&amp;"|"&amp;PRICES!$B$2:$B$659&amp;"|"&amp;PRICES!$D$2:$D$659,PRICES!$E$2:$E$659),"Not Found"))</f>
        <v/>
      </c>
      <c r="Q838" s="100" t="str">
        <f>IF(N838=0,"",SUMIFS(PRICES!$G$2:$G$658,PRICES!$B$2:$B$658,'MAIN TABLE-1 AUTOMATED'!J838,PRICES!$C$2:$C$658,'MAIN TABLE-1 AUTOMATED'!F838,PRICES!$D$2:$D$658,'MAIN TABLE-1 AUTOMATED'!O838))</f>
        <v/>
      </c>
      <c r="R838" s="41" t="str">
        <f>IF(Table1[[#This Row],[QUANTITY]]=0,"",Table1[[#This Row],[UNIT PRICE]]*Table1[[#This Row],[QUANTITY]])</f>
        <v/>
      </c>
      <c r="S838" s="89"/>
      <c r="T838" s="38"/>
      <c r="U838" s="43"/>
      <c r="V838" s="42" t="str">
        <f>IF(Table1[[#This Row],[DATE]]=0,"",YEAR(E838))</f>
        <v/>
      </c>
      <c r="W838" s="40" t="str">
        <f t="shared" si="26"/>
        <v/>
      </c>
      <c r="X838" s="40" t="str">
        <f t="shared" si="27"/>
        <v/>
      </c>
      <c r="Y838" s="40" t="str">
        <f>TEXT(Table1[[#This Row],[YEAR]],"0000")&amp;"-"&amp;Table1[[#This Row],[MONTH]]</f>
        <v>-</v>
      </c>
    </row>
    <row r="839" spans="1:25" ht="15" customHeight="1" x14ac:dyDescent="0.35">
      <c r="A839" s="24"/>
      <c r="B839" s="38"/>
      <c r="C839" s="38"/>
      <c r="D839" s="38"/>
      <c r="E839" s="37"/>
      <c r="F839" s="38"/>
      <c r="G839" s="198"/>
      <c r="H839" s="198"/>
      <c r="I839" s="39"/>
      <c r="J839" s="38"/>
      <c r="K839" s="198"/>
      <c r="L839" s="38"/>
      <c r="M839" s="38"/>
      <c r="N839" s="38"/>
      <c r="O839" s="38"/>
      <c r="P839" s="40" t="str" cm="1">
        <f t="array" ref="P839">IF(N839="","",IFERROR(_xlfn.XLOOKUP(F839&amp;"|"&amp;J839&amp;"|"&amp;O839,PRICES!$C$2:$C$659&amp;"|"&amp;PRICES!$B$2:$B$659&amp;"|"&amp;PRICES!$D$2:$D$659,PRICES!$E$2:$E$659),"Not Found"))</f>
        <v/>
      </c>
      <c r="Q839" s="100" t="str">
        <f>IF(N839=0,"",SUMIFS(PRICES!$G$2:$G$658,PRICES!$B$2:$B$658,'MAIN TABLE-1 AUTOMATED'!J839,PRICES!$C$2:$C$658,'MAIN TABLE-1 AUTOMATED'!F839,PRICES!$D$2:$D$658,'MAIN TABLE-1 AUTOMATED'!O839))</f>
        <v/>
      </c>
      <c r="R839" s="41" t="str">
        <f>IF(Table1[[#This Row],[QUANTITY]]=0,"",Table1[[#This Row],[UNIT PRICE]]*Table1[[#This Row],[QUANTITY]])</f>
        <v/>
      </c>
      <c r="S839" s="89"/>
      <c r="T839" s="38"/>
      <c r="U839" s="43"/>
      <c r="V839" s="42" t="str">
        <f>IF(Table1[[#This Row],[DATE]]=0,"",YEAR(E839))</f>
        <v/>
      </c>
      <c r="W839" s="40" t="str">
        <f t="shared" si="26"/>
        <v/>
      </c>
      <c r="X839" s="40" t="str">
        <f t="shared" si="27"/>
        <v/>
      </c>
      <c r="Y839" s="40" t="str">
        <f>TEXT(Table1[[#This Row],[YEAR]],"0000")&amp;"-"&amp;Table1[[#This Row],[MONTH]]</f>
        <v>-</v>
      </c>
    </row>
    <row r="840" spans="1:25" ht="15" customHeight="1" x14ac:dyDescent="0.35">
      <c r="A840" s="24"/>
      <c r="B840" s="38"/>
      <c r="C840" s="38"/>
      <c r="D840" s="38"/>
      <c r="E840" s="37"/>
      <c r="F840" s="38"/>
      <c r="G840" s="198"/>
      <c r="H840" s="198"/>
      <c r="I840" s="39"/>
      <c r="J840" s="38"/>
      <c r="K840" s="198"/>
      <c r="L840" s="38"/>
      <c r="M840" s="38"/>
      <c r="N840" s="38"/>
      <c r="O840" s="38"/>
      <c r="P840" s="40" t="str" cm="1">
        <f t="array" ref="P840">IF(N840="","",IFERROR(_xlfn.XLOOKUP(F840&amp;"|"&amp;J840&amp;"|"&amp;O840,PRICES!$C$2:$C$659&amp;"|"&amp;PRICES!$B$2:$B$659&amp;"|"&amp;PRICES!$D$2:$D$659,PRICES!$E$2:$E$659),"Not Found"))</f>
        <v/>
      </c>
      <c r="Q840" s="100" t="str">
        <f>IF(N840=0,"",SUMIFS(PRICES!$G$2:$G$658,PRICES!$B$2:$B$658,'MAIN TABLE-1 AUTOMATED'!J840,PRICES!$C$2:$C$658,'MAIN TABLE-1 AUTOMATED'!F840,PRICES!$D$2:$D$658,'MAIN TABLE-1 AUTOMATED'!O840))</f>
        <v/>
      </c>
      <c r="R840" s="41" t="str">
        <f>IF(Table1[[#This Row],[QUANTITY]]=0,"",Table1[[#This Row],[UNIT PRICE]]*Table1[[#This Row],[QUANTITY]])</f>
        <v/>
      </c>
      <c r="S840" s="89"/>
      <c r="T840" s="38"/>
      <c r="U840" s="43"/>
      <c r="V840" s="42" t="str">
        <f>IF(Table1[[#This Row],[DATE]]=0,"",YEAR(E840))</f>
        <v/>
      </c>
      <c r="W840" s="40" t="str">
        <f t="shared" si="26"/>
        <v/>
      </c>
      <c r="X840" s="40" t="str">
        <f t="shared" si="27"/>
        <v/>
      </c>
      <c r="Y840" s="40" t="str">
        <f>TEXT(Table1[[#This Row],[YEAR]],"0000")&amp;"-"&amp;Table1[[#This Row],[MONTH]]</f>
        <v>-</v>
      </c>
    </row>
    <row r="841" spans="1:25" ht="15" customHeight="1" x14ac:dyDescent="0.35">
      <c r="A841" s="24"/>
      <c r="B841" s="38"/>
      <c r="C841" s="38"/>
      <c r="D841" s="38"/>
      <c r="E841" s="37"/>
      <c r="F841" s="38"/>
      <c r="G841" s="198"/>
      <c r="H841" s="198"/>
      <c r="I841" s="39"/>
      <c r="J841" s="38"/>
      <c r="K841" s="198"/>
      <c r="L841" s="38"/>
      <c r="M841" s="38"/>
      <c r="N841" s="38"/>
      <c r="O841" s="38"/>
      <c r="P841" s="40" t="str" cm="1">
        <f t="array" ref="P841">IF(N841="","",IFERROR(_xlfn.XLOOKUP(F841&amp;"|"&amp;J841&amp;"|"&amp;O841,PRICES!$C$2:$C$659&amp;"|"&amp;PRICES!$B$2:$B$659&amp;"|"&amp;PRICES!$D$2:$D$659,PRICES!$E$2:$E$659),"Not Found"))</f>
        <v/>
      </c>
      <c r="Q841" s="100" t="str">
        <f>IF(N841=0,"",SUMIFS(PRICES!$G$2:$G$658,PRICES!$B$2:$B$658,'MAIN TABLE-1 AUTOMATED'!J841,PRICES!$C$2:$C$658,'MAIN TABLE-1 AUTOMATED'!F841,PRICES!$D$2:$D$658,'MAIN TABLE-1 AUTOMATED'!O841))</f>
        <v/>
      </c>
      <c r="R841" s="41" t="str">
        <f>IF(Table1[[#This Row],[QUANTITY]]=0,"",Table1[[#This Row],[UNIT PRICE]]*Table1[[#This Row],[QUANTITY]])</f>
        <v/>
      </c>
      <c r="S841" s="89"/>
      <c r="T841" s="38"/>
      <c r="U841" s="43"/>
      <c r="V841" s="42" t="str">
        <f>IF(Table1[[#This Row],[DATE]]=0,"",YEAR(E841))</f>
        <v/>
      </c>
      <c r="W841" s="40" t="str">
        <f t="shared" si="26"/>
        <v/>
      </c>
      <c r="X841" s="40" t="str">
        <f t="shared" si="27"/>
        <v/>
      </c>
      <c r="Y841" s="40" t="str">
        <f>TEXT(Table1[[#This Row],[YEAR]],"0000")&amp;"-"&amp;Table1[[#This Row],[MONTH]]</f>
        <v>-</v>
      </c>
    </row>
    <row r="842" spans="1:25" ht="15" customHeight="1" x14ac:dyDescent="0.35">
      <c r="A842" s="24"/>
      <c r="B842" s="38"/>
      <c r="C842" s="38"/>
      <c r="D842" s="38"/>
      <c r="E842" s="37"/>
      <c r="F842" s="38"/>
      <c r="G842" s="198"/>
      <c r="H842" s="198"/>
      <c r="I842" s="39"/>
      <c r="J842" s="38"/>
      <c r="K842" s="198"/>
      <c r="L842" s="38"/>
      <c r="M842" s="38"/>
      <c r="N842" s="38"/>
      <c r="O842" s="38"/>
      <c r="P842" s="40" t="str" cm="1">
        <f t="array" ref="P842">IF(N842="","",IFERROR(_xlfn.XLOOKUP(F842&amp;"|"&amp;J842&amp;"|"&amp;O842,PRICES!$C$2:$C$659&amp;"|"&amp;PRICES!$B$2:$B$659&amp;"|"&amp;PRICES!$D$2:$D$659,PRICES!$E$2:$E$659),"Not Found"))</f>
        <v/>
      </c>
      <c r="Q842" s="100" t="str">
        <f>IF(N842=0,"",SUMIFS(PRICES!$G$2:$G$658,PRICES!$B$2:$B$658,'MAIN TABLE-1 AUTOMATED'!J842,PRICES!$C$2:$C$658,'MAIN TABLE-1 AUTOMATED'!F842,PRICES!$D$2:$D$658,'MAIN TABLE-1 AUTOMATED'!O842))</f>
        <v/>
      </c>
      <c r="R842" s="41" t="str">
        <f>IF(Table1[[#This Row],[QUANTITY]]=0,"",Table1[[#This Row],[UNIT PRICE]]*Table1[[#This Row],[QUANTITY]])</f>
        <v/>
      </c>
      <c r="S842" s="89"/>
      <c r="T842" s="38"/>
      <c r="U842" s="43"/>
      <c r="V842" s="42" t="str">
        <f>IF(Table1[[#This Row],[DATE]]=0,"",YEAR(E842))</f>
        <v/>
      </c>
      <c r="W842" s="40" t="str">
        <f t="shared" si="26"/>
        <v/>
      </c>
      <c r="X842" s="40" t="str">
        <f t="shared" si="27"/>
        <v/>
      </c>
      <c r="Y842" s="40" t="str">
        <f>TEXT(Table1[[#This Row],[YEAR]],"0000")&amp;"-"&amp;Table1[[#This Row],[MONTH]]</f>
        <v>-</v>
      </c>
    </row>
    <row r="843" spans="1:25" ht="15" customHeight="1" x14ac:dyDescent="0.35">
      <c r="A843" s="24"/>
      <c r="B843" s="38"/>
      <c r="C843" s="38"/>
      <c r="D843" s="38"/>
      <c r="E843" s="37"/>
      <c r="F843" s="38"/>
      <c r="G843" s="198"/>
      <c r="H843" s="198"/>
      <c r="I843" s="39"/>
      <c r="J843" s="38"/>
      <c r="K843" s="198"/>
      <c r="L843" s="38"/>
      <c r="M843" s="38"/>
      <c r="N843" s="38"/>
      <c r="O843" s="38"/>
      <c r="P843" s="40" t="str" cm="1">
        <f t="array" ref="P843">IF(N843="","",IFERROR(_xlfn.XLOOKUP(F843&amp;"|"&amp;J843&amp;"|"&amp;O843,PRICES!$C$2:$C$659&amp;"|"&amp;PRICES!$B$2:$B$659&amp;"|"&amp;PRICES!$D$2:$D$659,PRICES!$E$2:$E$659),"Not Found"))</f>
        <v/>
      </c>
      <c r="Q843" s="100" t="str">
        <f>IF(N843=0,"",SUMIFS(PRICES!$G$2:$G$658,PRICES!$B$2:$B$658,'MAIN TABLE-1 AUTOMATED'!J843,PRICES!$C$2:$C$658,'MAIN TABLE-1 AUTOMATED'!F843,PRICES!$D$2:$D$658,'MAIN TABLE-1 AUTOMATED'!O843))</f>
        <v/>
      </c>
      <c r="R843" s="41" t="str">
        <f>IF(Table1[[#This Row],[QUANTITY]]=0,"",Table1[[#This Row],[UNIT PRICE]]*Table1[[#This Row],[QUANTITY]])</f>
        <v/>
      </c>
      <c r="S843" s="89"/>
      <c r="T843" s="38"/>
      <c r="U843" s="43"/>
      <c r="V843" s="42" t="str">
        <f>IF(Table1[[#This Row],[DATE]]=0,"",YEAR(E843))</f>
        <v/>
      </c>
      <c r="W843" s="40" t="str">
        <f t="shared" si="26"/>
        <v/>
      </c>
      <c r="X843" s="40" t="str">
        <f t="shared" si="27"/>
        <v/>
      </c>
      <c r="Y843" s="40" t="str">
        <f>TEXT(Table1[[#This Row],[YEAR]],"0000")&amp;"-"&amp;Table1[[#This Row],[MONTH]]</f>
        <v>-</v>
      </c>
    </row>
    <row r="844" spans="1:25" ht="15" customHeight="1" x14ac:dyDescent="0.35">
      <c r="A844" s="24"/>
      <c r="B844" s="38"/>
      <c r="C844" s="38"/>
      <c r="D844" s="38"/>
      <c r="E844" s="37"/>
      <c r="F844" s="38"/>
      <c r="G844" s="198"/>
      <c r="H844" s="198"/>
      <c r="I844" s="39"/>
      <c r="J844" s="38"/>
      <c r="K844" s="198"/>
      <c r="L844" s="38"/>
      <c r="M844" s="38"/>
      <c r="N844" s="38"/>
      <c r="O844" s="38"/>
      <c r="P844" s="40" t="str" cm="1">
        <f t="array" ref="P844">IF(N844="","",IFERROR(_xlfn.XLOOKUP(F844&amp;"|"&amp;J844&amp;"|"&amp;O844,PRICES!$C$2:$C$659&amp;"|"&amp;PRICES!$B$2:$B$659&amp;"|"&amp;PRICES!$D$2:$D$659,PRICES!$E$2:$E$659),"Not Found"))</f>
        <v/>
      </c>
      <c r="Q844" s="100" t="str">
        <f>IF(N844=0,"",SUMIFS(PRICES!$G$2:$G$658,PRICES!$B$2:$B$658,'MAIN TABLE-1 AUTOMATED'!J844,PRICES!$C$2:$C$658,'MAIN TABLE-1 AUTOMATED'!F844,PRICES!$D$2:$D$658,'MAIN TABLE-1 AUTOMATED'!O844))</f>
        <v/>
      </c>
      <c r="R844" s="41" t="str">
        <f>IF(Table1[[#This Row],[QUANTITY]]=0,"",Table1[[#This Row],[UNIT PRICE]]*Table1[[#This Row],[QUANTITY]])</f>
        <v/>
      </c>
      <c r="S844" s="89"/>
      <c r="T844" s="38"/>
      <c r="U844" s="43"/>
      <c r="V844" s="42" t="str">
        <f>IF(Table1[[#This Row],[DATE]]=0,"",YEAR(E844))</f>
        <v/>
      </c>
      <c r="W844" s="40" t="str">
        <f t="shared" si="26"/>
        <v/>
      </c>
      <c r="X844" s="40" t="str">
        <f t="shared" si="27"/>
        <v/>
      </c>
      <c r="Y844" s="40" t="str">
        <f>TEXT(Table1[[#This Row],[YEAR]],"0000")&amp;"-"&amp;Table1[[#This Row],[MONTH]]</f>
        <v>-</v>
      </c>
    </row>
    <row r="845" spans="1:25" ht="15" customHeight="1" x14ac:dyDescent="0.35">
      <c r="A845" s="24"/>
      <c r="B845" s="36"/>
      <c r="C845" s="38"/>
      <c r="D845" s="38"/>
      <c r="E845" s="37"/>
      <c r="F845" s="38"/>
      <c r="G845" s="198"/>
      <c r="H845" s="198"/>
      <c r="I845" s="39"/>
      <c r="J845" s="38"/>
      <c r="K845" s="198"/>
      <c r="L845" s="38"/>
      <c r="M845" s="38"/>
      <c r="N845" s="38"/>
      <c r="O845" s="38"/>
      <c r="P845" s="40" t="str" cm="1">
        <f t="array" ref="P845">IF(N845="","",IFERROR(_xlfn.XLOOKUP(F845&amp;"|"&amp;J845&amp;"|"&amp;O845,PRICES!$C$2:$C$659&amp;"|"&amp;PRICES!$B$2:$B$659&amp;"|"&amp;PRICES!$D$2:$D$659,PRICES!$E$2:$E$659),"Not Found"))</f>
        <v/>
      </c>
      <c r="Q845" s="100" t="str">
        <f>IF(N845=0,"",SUMIFS(PRICES!$G$2:$G$658,PRICES!$B$2:$B$658,'MAIN TABLE-1 AUTOMATED'!J845,PRICES!$C$2:$C$658,'MAIN TABLE-1 AUTOMATED'!F845,PRICES!$D$2:$D$658,'MAIN TABLE-1 AUTOMATED'!O845))</f>
        <v/>
      </c>
      <c r="R845" s="41" t="str">
        <f>IF(Table1[[#This Row],[QUANTITY]]=0,"",Table1[[#This Row],[UNIT PRICE]]*Table1[[#This Row],[QUANTITY]])</f>
        <v/>
      </c>
      <c r="S845" s="89"/>
      <c r="T845" s="38"/>
      <c r="U845" s="43"/>
      <c r="V845" s="42" t="str">
        <f>IF(Table1[[#This Row],[DATE]]=0,"",YEAR(E845))</f>
        <v/>
      </c>
      <c r="W845" s="40" t="str">
        <f t="shared" si="26"/>
        <v/>
      </c>
      <c r="X845" s="40" t="str">
        <f t="shared" si="27"/>
        <v/>
      </c>
      <c r="Y845" s="40" t="str">
        <f>TEXT(Table1[[#This Row],[YEAR]],"0000")&amp;"-"&amp;Table1[[#This Row],[MONTH]]</f>
        <v>-</v>
      </c>
    </row>
    <row r="846" spans="1:25" ht="15" customHeight="1" x14ac:dyDescent="0.35">
      <c r="A846" s="24"/>
      <c r="B846" s="36"/>
      <c r="C846" s="38"/>
      <c r="D846" s="38"/>
      <c r="E846" s="37"/>
      <c r="F846" s="38"/>
      <c r="G846" s="198"/>
      <c r="H846" s="198"/>
      <c r="I846" s="39"/>
      <c r="J846" s="38"/>
      <c r="K846" s="198"/>
      <c r="L846" s="38"/>
      <c r="M846" s="38"/>
      <c r="N846" s="38"/>
      <c r="O846" s="38"/>
      <c r="P846" s="40" t="str" cm="1">
        <f t="array" ref="P846">IF(N846="","",IFERROR(_xlfn.XLOOKUP(F846&amp;"|"&amp;J846&amp;"|"&amp;O846,PRICES!$C$2:$C$659&amp;"|"&amp;PRICES!$B$2:$B$659&amp;"|"&amp;PRICES!$D$2:$D$659,PRICES!$E$2:$E$659),"Not Found"))</f>
        <v/>
      </c>
      <c r="Q846" s="100" t="str">
        <f>IF(N846=0,"",SUMIFS(PRICES!$G$2:$G$658,PRICES!$B$2:$B$658,'MAIN TABLE-1 AUTOMATED'!J846,PRICES!$C$2:$C$658,'MAIN TABLE-1 AUTOMATED'!F846,PRICES!$D$2:$D$658,'MAIN TABLE-1 AUTOMATED'!O846))</f>
        <v/>
      </c>
      <c r="R846" s="41" t="str">
        <f>IF(Table1[[#This Row],[QUANTITY]]=0,"",Table1[[#This Row],[UNIT PRICE]]*Table1[[#This Row],[QUANTITY]])</f>
        <v/>
      </c>
      <c r="S846" s="89"/>
      <c r="T846" s="38"/>
      <c r="U846" s="43"/>
      <c r="V846" s="42" t="str">
        <f>IF(Table1[[#This Row],[DATE]]=0,"",YEAR(E846))</f>
        <v/>
      </c>
      <c r="W846" s="40" t="str">
        <f t="shared" si="26"/>
        <v/>
      </c>
      <c r="X846" s="40" t="str">
        <f t="shared" si="27"/>
        <v/>
      </c>
      <c r="Y846" s="40" t="str">
        <f>TEXT(Table1[[#This Row],[YEAR]],"0000")&amp;"-"&amp;Table1[[#This Row],[MONTH]]</f>
        <v>-</v>
      </c>
    </row>
    <row r="847" spans="1:25" ht="15" customHeight="1" x14ac:dyDescent="0.35">
      <c r="A847" s="24"/>
      <c r="B847" s="36"/>
      <c r="C847" s="38"/>
      <c r="D847" s="38"/>
      <c r="E847" s="37"/>
      <c r="F847" s="38"/>
      <c r="G847" s="198"/>
      <c r="H847" s="198"/>
      <c r="I847" s="39"/>
      <c r="J847" s="38"/>
      <c r="K847" s="198"/>
      <c r="L847" s="38"/>
      <c r="M847" s="38"/>
      <c r="N847" s="38"/>
      <c r="O847" s="38"/>
      <c r="P847" s="40" t="str" cm="1">
        <f t="array" ref="P847">IF(N847="","",IFERROR(_xlfn.XLOOKUP(F847&amp;"|"&amp;J847&amp;"|"&amp;O847,PRICES!$C$2:$C$659&amp;"|"&amp;PRICES!$B$2:$B$659&amp;"|"&amp;PRICES!$D$2:$D$659,PRICES!$E$2:$E$659),"Not Found"))</f>
        <v/>
      </c>
      <c r="Q847" s="100" t="str">
        <f>IF(N847=0,"",SUMIFS(PRICES!$G$2:$G$658,PRICES!$B$2:$B$658,'MAIN TABLE-1 AUTOMATED'!J847,PRICES!$C$2:$C$658,'MAIN TABLE-1 AUTOMATED'!F847,PRICES!$D$2:$D$658,'MAIN TABLE-1 AUTOMATED'!O847))</f>
        <v/>
      </c>
      <c r="R847" s="41" t="str">
        <f>IF(Table1[[#This Row],[QUANTITY]]=0,"",Table1[[#This Row],[UNIT PRICE]]*Table1[[#This Row],[QUANTITY]])</f>
        <v/>
      </c>
      <c r="S847" s="89"/>
      <c r="T847" s="38"/>
      <c r="U847" s="43"/>
      <c r="V847" s="42" t="str">
        <f>IF(Table1[[#This Row],[DATE]]=0,"",YEAR(E847))</f>
        <v/>
      </c>
      <c r="W847" s="40" t="str">
        <f t="shared" si="26"/>
        <v/>
      </c>
      <c r="X847" s="40" t="str">
        <f t="shared" si="27"/>
        <v/>
      </c>
      <c r="Y847" s="40" t="str">
        <f>TEXT(Table1[[#This Row],[YEAR]],"0000")&amp;"-"&amp;Table1[[#This Row],[MONTH]]</f>
        <v>-</v>
      </c>
    </row>
    <row r="848" spans="1:25" ht="15" customHeight="1" x14ac:dyDescent="0.35">
      <c r="A848" s="24"/>
      <c r="B848" s="36"/>
      <c r="C848" s="38"/>
      <c r="D848" s="38"/>
      <c r="E848" s="37"/>
      <c r="F848" s="38"/>
      <c r="G848" s="198"/>
      <c r="H848" s="198"/>
      <c r="I848" s="39"/>
      <c r="J848" s="38"/>
      <c r="K848" s="198"/>
      <c r="L848" s="38"/>
      <c r="M848" s="38"/>
      <c r="N848" s="38"/>
      <c r="O848" s="38"/>
      <c r="P848" s="40" t="str" cm="1">
        <f t="array" ref="P848">IF(N848="","",IFERROR(_xlfn.XLOOKUP(F848&amp;"|"&amp;J848&amp;"|"&amp;O848,PRICES!$C$2:$C$659&amp;"|"&amp;PRICES!$B$2:$B$659&amp;"|"&amp;PRICES!$D$2:$D$659,PRICES!$E$2:$E$659),"Not Found"))</f>
        <v/>
      </c>
      <c r="Q848" s="100" t="str">
        <f>IF(N848=0,"",SUMIFS(PRICES!$G$2:$G$658,PRICES!$B$2:$B$658,'MAIN TABLE-1 AUTOMATED'!J848,PRICES!$C$2:$C$658,'MAIN TABLE-1 AUTOMATED'!F848,PRICES!$D$2:$D$658,'MAIN TABLE-1 AUTOMATED'!O848))</f>
        <v/>
      </c>
      <c r="R848" s="41" t="str">
        <f>IF(Table1[[#This Row],[QUANTITY]]=0,"",Table1[[#This Row],[UNIT PRICE]]*Table1[[#This Row],[QUANTITY]])</f>
        <v/>
      </c>
      <c r="S848" s="89"/>
      <c r="T848" s="38"/>
      <c r="U848" s="43"/>
      <c r="V848" s="42" t="str">
        <f>IF(Table1[[#This Row],[DATE]]=0,"",YEAR(E848))</f>
        <v/>
      </c>
      <c r="W848" s="40" t="str">
        <f t="shared" si="26"/>
        <v/>
      </c>
      <c r="X848" s="40" t="str">
        <f t="shared" si="27"/>
        <v/>
      </c>
      <c r="Y848" s="40" t="str">
        <f>TEXT(Table1[[#This Row],[YEAR]],"0000")&amp;"-"&amp;Table1[[#This Row],[MONTH]]</f>
        <v>-</v>
      </c>
    </row>
    <row r="849" spans="1:25" ht="15" customHeight="1" x14ac:dyDescent="0.35">
      <c r="A849" s="24"/>
      <c r="B849" s="36"/>
      <c r="C849" s="38"/>
      <c r="D849" s="38"/>
      <c r="E849" s="37"/>
      <c r="F849" s="38"/>
      <c r="G849" s="198"/>
      <c r="H849" s="198"/>
      <c r="I849" s="39"/>
      <c r="J849" s="38"/>
      <c r="K849" s="198"/>
      <c r="L849" s="38"/>
      <c r="M849" s="38"/>
      <c r="N849" s="38"/>
      <c r="O849" s="38"/>
      <c r="P849" s="40" t="str" cm="1">
        <f t="array" ref="P849">IF(N849="","",IFERROR(_xlfn.XLOOKUP(F849&amp;"|"&amp;J849&amp;"|"&amp;O849,PRICES!$C$2:$C$659&amp;"|"&amp;PRICES!$B$2:$B$659&amp;"|"&amp;PRICES!$D$2:$D$659,PRICES!$E$2:$E$659),"Not Found"))</f>
        <v/>
      </c>
      <c r="Q849" s="100" t="str">
        <f>IF(N849=0,"",SUMIFS(PRICES!$G$2:$G$658,PRICES!$B$2:$B$658,'MAIN TABLE-1 AUTOMATED'!J849,PRICES!$C$2:$C$658,'MAIN TABLE-1 AUTOMATED'!F849,PRICES!$D$2:$D$658,'MAIN TABLE-1 AUTOMATED'!O849))</f>
        <v/>
      </c>
      <c r="R849" s="41" t="str">
        <f>IF(Table1[[#This Row],[QUANTITY]]=0,"",Table1[[#This Row],[UNIT PRICE]]*Table1[[#This Row],[QUANTITY]])</f>
        <v/>
      </c>
      <c r="S849" s="89"/>
      <c r="T849" s="38"/>
      <c r="U849" s="43"/>
      <c r="V849" s="42" t="str">
        <f>IF(Table1[[#This Row],[DATE]]=0,"",YEAR(E849))</f>
        <v/>
      </c>
      <c r="W849" s="40" t="str">
        <f t="shared" si="26"/>
        <v/>
      </c>
      <c r="X849" s="40" t="str">
        <f t="shared" si="27"/>
        <v/>
      </c>
      <c r="Y849" s="40" t="str">
        <f>TEXT(Table1[[#This Row],[YEAR]],"0000")&amp;"-"&amp;Table1[[#This Row],[MONTH]]</f>
        <v>-</v>
      </c>
    </row>
    <row r="850" spans="1:25" ht="15" customHeight="1" x14ac:dyDescent="0.35">
      <c r="A850" s="24"/>
      <c r="B850" s="36"/>
      <c r="C850" s="38"/>
      <c r="D850" s="38"/>
      <c r="E850" s="37"/>
      <c r="F850" s="38"/>
      <c r="G850" s="198"/>
      <c r="H850" s="198"/>
      <c r="I850" s="39"/>
      <c r="J850" s="38"/>
      <c r="K850" s="198"/>
      <c r="L850" s="38"/>
      <c r="M850" s="38"/>
      <c r="N850" s="38"/>
      <c r="O850" s="38"/>
      <c r="P850" s="40" t="str" cm="1">
        <f t="array" ref="P850">IF(N850="","",IFERROR(_xlfn.XLOOKUP(F850&amp;"|"&amp;J850&amp;"|"&amp;O850,PRICES!$C$2:$C$659&amp;"|"&amp;PRICES!$B$2:$B$659&amp;"|"&amp;PRICES!$D$2:$D$659,PRICES!$E$2:$E$659),"Not Found"))</f>
        <v/>
      </c>
      <c r="Q850" s="100" t="str">
        <f>IF(N850=0,"",SUMIFS(PRICES!$G$2:$G$658,PRICES!$B$2:$B$658,'MAIN TABLE-1 AUTOMATED'!J850,PRICES!$C$2:$C$658,'MAIN TABLE-1 AUTOMATED'!F850,PRICES!$D$2:$D$658,'MAIN TABLE-1 AUTOMATED'!O850))</f>
        <v/>
      </c>
      <c r="R850" s="41" t="str">
        <f>IF(Table1[[#This Row],[QUANTITY]]=0,"",Table1[[#This Row],[UNIT PRICE]]*Table1[[#This Row],[QUANTITY]])</f>
        <v/>
      </c>
      <c r="S850" s="89"/>
      <c r="T850" s="38"/>
      <c r="U850" s="43"/>
      <c r="V850" s="42" t="str">
        <f>IF(Table1[[#This Row],[DATE]]=0,"",YEAR(E850))</f>
        <v/>
      </c>
      <c r="W850" s="40" t="str">
        <f t="shared" si="26"/>
        <v/>
      </c>
      <c r="X850" s="40" t="str">
        <f t="shared" si="27"/>
        <v/>
      </c>
      <c r="Y850" s="40" t="str">
        <f>TEXT(Table1[[#This Row],[YEAR]],"0000")&amp;"-"&amp;Table1[[#This Row],[MONTH]]</f>
        <v>-</v>
      </c>
    </row>
    <row r="851" spans="1:25" ht="15" customHeight="1" x14ac:dyDescent="0.35">
      <c r="A851" s="24"/>
      <c r="B851" s="36"/>
      <c r="C851" s="38"/>
      <c r="D851" s="38"/>
      <c r="E851" s="37"/>
      <c r="F851" s="38"/>
      <c r="G851" s="198"/>
      <c r="H851" s="198"/>
      <c r="I851" s="39"/>
      <c r="J851" s="38"/>
      <c r="K851" s="198"/>
      <c r="L851" s="38"/>
      <c r="M851" s="38"/>
      <c r="N851" s="38"/>
      <c r="O851" s="38"/>
      <c r="P851" s="40" t="str" cm="1">
        <f t="array" ref="P851">IF(N851="","",IFERROR(_xlfn.XLOOKUP(F851&amp;"|"&amp;J851&amp;"|"&amp;O851,PRICES!$C$2:$C$659&amp;"|"&amp;PRICES!$B$2:$B$659&amp;"|"&amp;PRICES!$D$2:$D$659,PRICES!$E$2:$E$659),"Not Found"))</f>
        <v/>
      </c>
      <c r="Q851" s="100" t="str">
        <f>IF(N851=0,"",SUMIFS(PRICES!$G$2:$G$658,PRICES!$B$2:$B$658,'MAIN TABLE-1 AUTOMATED'!J851,PRICES!$C$2:$C$658,'MAIN TABLE-1 AUTOMATED'!F851,PRICES!$D$2:$D$658,'MAIN TABLE-1 AUTOMATED'!O851))</f>
        <v/>
      </c>
      <c r="R851" s="41" t="str">
        <f>IF(Table1[[#This Row],[QUANTITY]]=0,"",Table1[[#This Row],[UNIT PRICE]]*Table1[[#This Row],[QUANTITY]])</f>
        <v/>
      </c>
      <c r="S851" s="89"/>
      <c r="T851" s="38"/>
      <c r="U851" s="43"/>
      <c r="V851" s="42" t="str">
        <f>IF(Table1[[#This Row],[DATE]]=0,"",YEAR(E851))</f>
        <v/>
      </c>
      <c r="W851" s="40" t="str">
        <f t="shared" si="26"/>
        <v/>
      </c>
      <c r="X851" s="40" t="str">
        <f t="shared" si="27"/>
        <v/>
      </c>
      <c r="Y851" s="40" t="str">
        <f>TEXT(Table1[[#This Row],[YEAR]],"0000")&amp;"-"&amp;Table1[[#This Row],[MONTH]]</f>
        <v>-</v>
      </c>
    </row>
    <row r="852" spans="1:25" ht="15" customHeight="1" x14ac:dyDescent="0.35">
      <c r="A852" s="24"/>
      <c r="B852" s="38"/>
      <c r="C852" s="38"/>
      <c r="D852" s="38"/>
      <c r="E852" s="37"/>
      <c r="F852" s="38"/>
      <c r="G852" s="198"/>
      <c r="H852" s="198"/>
      <c r="I852" s="39"/>
      <c r="J852" s="38"/>
      <c r="K852" s="198"/>
      <c r="L852" s="38"/>
      <c r="M852" s="38"/>
      <c r="N852" s="38"/>
      <c r="O852" s="38"/>
      <c r="P852" s="40" t="str" cm="1">
        <f t="array" ref="P852">IF(N852="","",IFERROR(_xlfn.XLOOKUP(F852&amp;"|"&amp;J852&amp;"|"&amp;O852,PRICES!$C$2:$C$659&amp;"|"&amp;PRICES!$B$2:$B$659&amp;"|"&amp;PRICES!$D$2:$D$659,PRICES!$E$2:$E$659),"Not Found"))</f>
        <v/>
      </c>
      <c r="Q852" s="100" t="str">
        <f>IF(N852=0,"",SUMIFS(PRICES!$G$2:$G$658,PRICES!$B$2:$B$658,'MAIN TABLE-1 AUTOMATED'!J852,PRICES!$C$2:$C$658,'MAIN TABLE-1 AUTOMATED'!F852,PRICES!$D$2:$D$658,'MAIN TABLE-1 AUTOMATED'!O852))</f>
        <v/>
      </c>
      <c r="R852" s="41" t="str">
        <f>IF(Table1[[#This Row],[QUANTITY]]=0,"",Table1[[#This Row],[UNIT PRICE]]*Table1[[#This Row],[QUANTITY]])</f>
        <v/>
      </c>
      <c r="S852" s="89"/>
      <c r="T852" s="38"/>
      <c r="U852" s="43"/>
      <c r="V852" s="42" t="str">
        <f>IF(Table1[[#This Row],[DATE]]=0,"",YEAR(E852))</f>
        <v/>
      </c>
      <c r="W852" s="40" t="str">
        <f t="shared" si="26"/>
        <v/>
      </c>
      <c r="X852" s="40" t="str">
        <f t="shared" si="27"/>
        <v/>
      </c>
      <c r="Y852" s="40" t="str">
        <f>TEXT(Table1[[#This Row],[YEAR]],"0000")&amp;"-"&amp;Table1[[#This Row],[MONTH]]</f>
        <v>-</v>
      </c>
    </row>
    <row r="853" spans="1:25" ht="15" customHeight="1" x14ac:dyDescent="0.35">
      <c r="A853" s="24"/>
      <c r="B853" s="36"/>
      <c r="C853" s="38"/>
      <c r="D853" s="38"/>
      <c r="E853" s="37"/>
      <c r="F853" s="38"/>
      <c r="G853" s="198"/>
      <c r="H853" s="198"/>
      <c r="I853" s="39"/>
      <c r="J853" s="38"/>
      <c r="K853" s="198"/>
      <c r="L853" s="38"/>
      <c r="M853" s="38"/>
      <c r="N853" s="38"/>
      <c r="O853" s="38"/>
      <c r="P853" s="40" t="str" cm="1">
        <f t="array" ref="P853">IF(N853="","",IFERROR(_xlfn.XLOOKUP(F853&amp;"|"&amp;J853&amp;"|"&amp;O853,PRICES!$C$2:$C$659&amp;"|"&amp;PRICES!$B$2:$B$659&amp;"|"&amp;PRICES!$D$2:$D$659,PRICES!$E$2:$E$659),"Not Found"))</f>
        <v/>
      </c>
      <c r="Q853" s="100" t="str">
        <f>IF(N853=0,"",SUMIFS(PRICES!$G$2:$G$658,PRICES!$B$2:$B$658,'MAIN TABLE-1 AUTOMATED'!J853,PRICES!$C$2:$C$658,'MAIN TABLE-1 AUTOMATED'!F853,PRICES!$D$2:$D$658,'MAIN TABLE-1 AUTOMATED'!O853))</f>
        <v/>
      </c>
      <c r="R853" s="41" t="str">
        <f>IF(Table1[[#This Row],[QUANTITY]]=0,"",Table1[[#This Row],[UNIT PRICE]]*Table1[[#This Row],[QUANTITY]])</f>
        <v/>
      </c>
      <c r="S853" s="89"/>
      <c r="T853" s="38"/>
      <c r="U853" s="43"/>
      <c r="V853" s="42" t="str">
        <f>IF(Table1[[#This Row],[DATE]]=0,"",YEAR(E853))</f>
        <v/>
      </c>
      <c r="W853" s="40" t="str">
        <f t="shared" si="26"/>
        <v/>
      </c>
      <c r="X853" s="40" t="str">
        <f t="shared" si="27"/>
        <v/>
      </c>
      <c r="Y853" s="40" t="str">
        <f>TEXT(Table1[[#This Row],[YEAR]],"0000")&amp;"-"&amp;Table1[[#This Row],[MONTH]]</f>
        <v>-</v>
      </c>
    </row>
    <row r="854" spans="1:25" ht="15" customHeight="1" x14ac:dyDescent="0.35">
      <c r="A854" s="24"/>
      <c r="B854" s="36"/>
      <c r="C854" s="38"/>
      <c r="D854" s="38"/>
      <c r="E854" s="37"/>
      <c r="F854" s="38"/>
      <c r="G854" s="198"/>
      <c r="H854" s="198"/>
      <c r="I854" s="39"/>
      <c r="J854" s="38"/>
      <c r="K854" s="198"/>
      <c r="L854" s="38"/>
      <c r="M854" s="38"/>
      <c r="N854" s="38"/>
      <c r="O854" s="38"/>
      <c r="P854" s="40" t="str" cm="1">
        <f t="array" ref="P854">IF(N854="","",IFERROR(_xlfn.XLOOKUP(F854&amp;"|"&amp;J854&amp;"|"&amp;O854,PRICES!$C$2:$C$659&amp;"|"&amp;PRICES!$B$2:$B$659&amp;"|"&amp;PRICES!$D$2:$D$659,PRICES!$E$2:$E$659),"Not Found"))</f>
        <v/>
      </c>
      <c r="Q854" s="100" t="str">
        <f>IF(N854=0,"",SUMIFS(PRICES!$G$2:$G$658,PRICES!$B$2:$B$658,'MAIN TABLE-1 AUTOMATED'!J854,PRICES!$C$2:$C$658,'MAIN TABLE-1 AUTOMATED'!F854,PRICES!$D$2:$D$658,'MAIN TABLE-1 AUTOMATED'!O854))</f>
        <v/>
      </c>
      <c r="R854" s="41" t="str">
        <f>IF(Table1[[#This Row],[QUANTITY]]=0,"",Table1[[#This Row],[UNIT PRICE]]*Table1[[#This Row],[QUANTITY]])</f>
        <v/>
      </c>
      <c r="S854" s="89"/>
      <c r="T854" s="38"/>
      <c r="U854" s="43"/>
      <c r="V854" s="42" t="str">
        <f>IF(Table1[[#This Row],[DATE]]=0,"",YEAR(E854))</f>
        <v/>
      </c>
      <c r="W854" s="40" t="str">
        <f t="shared" si="26"/>
        <v/>
      </c>
      <c r="X854" s="40" t="str">
        <f t="shared" si="27"/>
        <v/>
      </c>
      <c r="Y854" s="40" t="str">
        <f>TEXT(Table1[[#This Row],[YEAR]],"0000")&amp;"-"&amp;Table1[[#This Row],[MONTH]]</f>
        <v>-</v>
      </c>
    </row>
    <row r="855" spans="1:25" ht="15" customHeight="1" x14ac:dyDescent="0.35">
      <c r="A855" s="24"/>
      <c r="B855" s="36"/>
      <c r="C855" s="38"/>
      <c r="D855" s="38"/>
      <c r="E855" s="37"/>
      <c r="F855" s="38"/>
      <c r="G855" s="198"/>
      <c r="H855" s="198"/>
      <c r="I855" s="39"/>
      <c r="J855" s="38"/>
      <c r="K855" s="198"/>
      <c r="L855" s="38"/>
      <c r="M855" s="38"/>
      <c r="N855" s="38"/>
      <c r="O855" s="38"/>
      <c r="P855" s="40" t="str" cm="1">
        <f t="array" ref="P855">IF(N855="","",IFERROR(_xlfn.XLOOKUP(F855&amp;"|"&amp;J855&amp;"|"&amp;O855,PRICES!$C$2:$C$659&amp;"|"&amp;PRICES!$B$2:$B$659&amp;"|"&amp;PRICES!$D$2:$D$659,PRICES!$E$2:$E$659),"Not Found"))</f>
        <v/>
      </c>
      <c r="Q855" s="100" t="str">
        <f>IF(N855=0,"",SUMIFS(PRICES!$G$2:$G$658,PRICES!$B$2:$B$658,'MAIN TABLE-1 AUTOMATED'!J855,PRICES!$C$2:$C$658,'MAIN TABLE-1 AUTOMATED'!F855,PRICES!$D$2:$D$658,'MAIN TABLE-1 AUTOMATED'!O855))</f>
        <v/>
      </c>
      <c r="R855" s="41" t="str">
        <f>IF(Table1[[#This Row],[QUANTITY]]=0,"",Table1[[#This Row],[UNIT PRICE]]*Table1[[#This Row],[QUANTITY]])</f>
        <v/>
      </c>
      <c r="S855" s="89"/>
      <c r="T855" s="38"/>
      <c r="U855" s="43"/>
      <c r="V855" s="42" t="str">
        <f>IF(Table1[[#This Row],[DATE]]=0,"",YEAR(E855))</f>
        <v/>
      </c>
      <c r="W855" s="40" t="str">
        <f t="shared" si="26"/>
        <v/>
      </c>
      <c r="X855" s="40" t="str">
        <f t="shared" si="27"/>
        <v/>
      </c>
      <c r="Y855" s="40" t="str">
        <f>TEXT(Table1[[#This Row],[YEAR]],"0000")&amp;"-"&amp;Table1[[#This Row],[MONTH]]</f>
        <v>-</v>
      </c>
    </row>
    <row r="856" spans="1:25" ht="15" customHeight="1" x14ac:dyDescent="0.35">
      <c r="A856" s="24"/>
      <c r="B856" s="36"/>
      <c r="C856" s="38"/>
      <c r="D856" s="38"/>
      <c r="E856" s="37"/>
      <c r="F856" s="38"/>
      <c r="G856" s="198"/>
      <c r="H856" s="198"/>
      <c r="I856" s="39"/>
      <c r="J856" s="38"/>
      <c r="K856" s="198"/>
      <c r="L856" s="38"/>
      <c r="M856" s="38"/>
      <c r="N856" s="38"/>
      <c r="O856" s="38"/>
      <c r="P856" s="40" t="str" cm="1">
        <f t="array" ref="P856">IF(N856="","",IFERROR(_xlfn.XLOOKUP(F856&amp;"|"&amp;J856&amp;"|"&amp;O856,PRICES!$C$2:$C$659&amp;"|"&amp;PRICES!$B$2:$B$659&amp;"|"&amp;PRICES!$D$2:$D$659,PRICES!$E$2:$E$659),"Not Found"))</f>
        <v/>
      </c>
      <c r="Q856" s="100" t="str">
        <f>IF(N856=0,"",SUMIFS(PRICES!$G$2:$G$658,PRICES!$B$2:$B$658,'MAIN TABLE-1 AUTOMATED'!J856,PRICES!$C$2:$C$658,'MAIN TABLE-1 AUTOMATED'!F856,PRICES!$D$2:$D$658,'MAIN TABLE-1 AUTOMATED'!O856))</f>
        <v/>
      </c>
      <c r="R856" s="41" t="str">
        <f>IF(Table1[[#This Row],[QUANTITY]]=0,"",Table1[[#This Row],[UNIT PRICE]]*Table1[[#This Row],[QUANTITY]])</f>
        <v/>
      </c>
      <c r="S856" s="89"/>
      <c r="T856" s="38"/>
      <c r="U856" s="43"/>
      <c r="V856" s="42" t="str">
        <f>IF(Table1[[#This Row],[DATE]]=0,"",YEAR(E856))</f>
        <v/>
      </c>
      <c r="W856" s="40" t="str">
        <f t="shared" si="26"/>
        <v/>
      </c>
      <c r="X856" s="40" t="str">
        <f t="shared" si="27"/>
        <v/>
      </c>
      <c r="Y856" s="40" t="str">
        <f>TEXT(Table1[[#This Row],[YEAR]],"0000")&amp;"-"&amp;Table1[[#This Row],[MONTH]]</f>
        <v>-</v>
      </c>
    </row>
    <row r="857" spans="1:25" ht="15" customHeight="1" x14ac:dyDescent="0.35">
      <c r="A857" s="24"/>
      <c r="B857" s="36"/>
      <c r="C857" s="38"/>
      <c r="D857" s="38"/>
      <c r="E857" s="37"/>
      <c r="F857" s="38"/>
      <c r="G857" s="198"/>
      <c r="H857" s="198"/>
      <c r="I857" s="39"/>
      <c r="J857" s="38"/>
      <c r="K857" s="198"/>
      <c r="L857" s="38"/>
      <c r="M857" s="38"/>
      <c r="N857" s="38"/>
      <c r="O857" s="38"/>
      <c r="P857" s="40" t="str" cm="1">
        <f t="array" ref="P857">IF(N857="","",IFERROR(_xlfn.XLOOKUP(F857&amp;"|"&amp;J857&amp;"|"&amp;O857,PRICES!$C$2:$C$659&amp;"|"&amp;PRICES!$B$2:$B$659&amp;"|"&amp;PRICES!$D$2:$D$659,PRICES!$E$2:$E$659),"Not Found"))</f>
        <v/>
      </c>
      <c r="Q857" s="100" t="str">
        <f>IF(N857=0,"",SUMIFS(PRICES!$G$2:$G$658,PRICES!$B$2:$B$658,'MAIN TABLE-1 AUTOMATED'!J857,PRICES!$C$2:$C$658,'MAIN TABLE-1 AUTOMATED'!F857,PRICES!$D$2:$D$658,'MAIN TABLE-1 AUTOMATED'!O857))</f>
        <v/>
      </c>
      <c r="R857" s="41" t="str">
        <f>IF(Table1[[#This Row],[QUANTITY]]=0,"",Table1[[#This Row],[UNIT PRICE]]*Table1[[#This Row],[QUANTITY]])</f>
        <v/>
      </c>
      <c r="S857" s="89"/>
      <c r="T857" s="38"/>
      <c r="U857" s="43"/>
      <c r="V857" s="42" t="str">
        <f>IF(Table1[[#This Row],[DATE]]=0,"",YEAR(E857))</f>
        <v/>
      </c>
      <c r="W857" s="40" t="str">
        <f t="shared" si="26"/>
        <v/>
      </c>
      <c r="X857" s="40" t="str">
        <f t="shared" si="27"/>
        <v/>
      </c>
      <c r="Y857" s="40" t="str">
        <f>TEXT(Table1[[#This Row],[YEAR]],"0000")&amp;"-"&amp;Table1[[#This Row],[MONTH]]</f>
        <v>-</v>
      </c>
    </row>
    <row r="858" spans="1:25" ht="15" customHeight="1" x14ac:dyDescent="0.35">
      <c r="A858" s="24"/>
      <c r="B858" s="38"/>
      <c r="C858" s="38"/>
      <c r="D858" s="38"/>
      <c r="E858" s="37"/>
      <c r="F858" s="38"/>
      <c r="G858" s="198"/>
      <c r="H858" s="198"/>
      <c r="I858" s="39"/>
      <c r="J858" s="38"/>
      <c r="K858" s="198"/>
      <c r="L858" s="38"/>
      <c r="M858" s="38"/>
      <c r="N858" s="38"/>
      <c r="O858" s="38"/>
      <c r="P858" s="40" t="str" cm="1">
        <f t="array" ref="P858">IF(N858="","",IFERROR(_xlfn.XLOOKUP(F858&amp;"|"&amp;J858&amp;"|"&amp;O858,PRICES!$C$2:$C$659&amp;"|"&amp;PRICES!$B$2:$B$659&amp;"|"&amp;PRICES!$D$2:$D$659,PRICES!$E$2:$E$659),"Not Found"))</f>
        <v/>
      </c>
      <c r="Q858" s="100" t="str">
        <f>IF(N858=0,"",SUMIFS(PRICES!$G$2:$G$658,PRICES!$B$2:$B$658,'MAIN TABLE-1 AUTOMATED'!J858,PRICES!$C$2:$C$658,'MAIN TABLE-1 AUTOMATED'!F858,PRICES!$D$2:$D$658,'MAIN TABLE-1 AUTOMATED'!O858))</f>
        <v/>
      </c>
      <c r="R858" s="41" t="str">
        <f>IF(Table1[[#This Row],[QUANTITY]]=0,"",Table1[[#This Row],[UNIT PRICE]]*Table1[[#This Row],[QUANTITY]])</f>
        <v/>
      </c>
      <c r="S858" s="89"/>
      <c r="T858" s="38"/>
      <c r="U858" s="43"/>
      <c r="V858" s="42" t="str">
        <f>IF(Table1[[#This Row],[DATE]]=0,"",YEAR(E858))</f>
        <v/>
      </c>
      <c r="W858" s="40" t="str">
        <f t="shared" si="26"/>
        <v/>
      </c>
      <c r="X858" s="40" t="str">
        <f t="shared" si="27"/>
        <v/>
      </c>
      <c r="Y858" s="40" t="str">
        <f>TEXT(Table1[[#This Row],[YEAR]],"0000")&amp;"-"&amp;Table1[[#This Row],[MONTH]]</f>
        <v>-</v>
      </c>
    </row>
    <row r="859" spans="1:25" ht="15" customHeight="1" x14ac:dyDescent="0.35">
      <c r="A859" s="24"/>
      <c r="B859" s="38"/>
      <c r="C859" s="38"/>
      <c r="D859" s="38"/>
      <c r="E859" s="37"/>
      <c r="F859" s="38"/>
      <c r="G859" s="198"/>
      <c r="H859" s="198"/>
      <c r="I859" s="39"/>
      <c r="J859" s="38"/>
      <c r="K859" s="198"/>
      <c r="L859" s="38"/>
      <c r="M859" s="38"/>
      <c r="N859" s="38"/>
      <c r="O859" s="38"/>
      <c r="P859" s="40" t="str" cm="1">
        <f t="array" ref="P859">IF(N859="","",IFERROR(_xlfn.XLOOKUP(F859&amp;"|"&amp;J859&amp;"|"&amp;O859,PRICES!$C$2:$C$659&amp;"|"&amp;PRICES!$B$2:$B$659&amp;"|"&amp;PRICES!$D$2:$D$659,PRICES!$E$2:$E$659),"Not Found"))</f>
        <v/>
      </c>
      <c r="Q859" s="100" t="str">
        <f>IF(N859=0,"",SUMIFS(PRICES!$G$2:$G$658,PRICES!$B$2:$B$658,'MAIN TABLE-1 AUTOMATED'!J859,PRICES!$C$2:$C$658,'MAIN TABLE-1 AUTOMATED'!F859,PRICES!$D$2:$D$658,'MAIN TABLE-1 AUTOMATED'!O859))</f>
        <v/>
      </c>
      <c r="R859" s="41" t="str">
        <f>IF(Table1[[#This Row],[QUANTITY]]=0,"",Table1[[#This Row],[UNIT PRICE]]*Table1[[#This Row],[QUANTITY]])</f>
        <v/>
      </c>
      <c r="S859" s="89"/>
      <c r="T859" s="38"/>
      <c r="U859" s="43"/>
      <c r="V859" s="42" t="str">
        <f>IF(Table1[[#This Row],[DATE]]=0,"",YEAR(E859))</f>
        <v/>
      </c>
      <c r="W859" s="40" t="str">
        <f t="shared" si="26"/>
        <v/>
      </c>
      <c r="X859" s="40" t="str">
        <f t="shared" si="27"/>
        <v/>
      </c>
      <c r="Y859" s="40" t="str">
        <f>TEXT(Table1[[#This Row],[YEAR]],"0000")&amp;"-"&amp;Table1[[#This Row],[MONTH]]</f>
        <v>-</v>
      </c>
    </row>
    <row r="860" spans="1:25" ht="15" customHeight="1" x14ac:dyDescent="0.35">
      <c r="A860" s="24"/>
      <c r="B860" s="38"/>
      <c r="C860" s="38"/>
      <c r="D860" s="38"/>
      <c r="E860" s="37"/>
      <c r="F860" s="38"/>
      <c r="G860" s="198"/>
      <c r="H860" s="198"/>
      <c r="I860" s="39"/>
      <c r="J860" s="38"/>
      <c r="K860" s="198"/>
      <c r="L860" s="38"/>
      <c r="M860" s="38"/>
      <c r="N860" s="38"/>
      <c r="O860" s="38"/>
      <c r="P860" s="40" t="str" cm="1">
        <f t="array" ref="P860">IF(N860="","",IFERROR(_xlfn.XLOOKUP(F860&amp;"|"&amp;J860&amp;"|"&amp;O860,PRICES!$C$2:$C$659&amp;"|"&amp;PRICES!$B$2:$B$659&amp;"|"&amp;PRICES!$D$2:$D$659,PRICES!$E$2:$E$659),"Not Found"))</f>
        <v/>
      </c>
      <c r="Q860" s="100" t="str">
        <f>IF(N860=0,"",SUMIFS(PRICES!$G$2:$G$658,PRICES!$B$2:$B$658,'MAIN TABLE-1 AUTOMATED'!J860,PRICES!$C$2:$C$658,'MAIN TABLE-1 AUTOMATED'!F860,PRICES!$D$2:$D$658,'MAIN TABLE-1 AUTOMATED'!O860))</f>
        <v/>
      </c>
      <c r="R860" s="41" t="str">
        <f>IF(Table1[[#This Row],[QUANTITY]]=0,"",Table1[[#This Row],[UNIT PRICE]]*Table1[[#This Row],[QUANTITY]])</f>
        <v/>
      </c>
      <c r="S860" s="89"/>
      <c r="T860" s="38"/>
      <c r="U860" s="43"/>
      <c r="V860" s="42" t="str">
        <f>IF(Table1[[#This Row],[DATE]]=0,"",YEAR(E860))</f>
        <v/>
      </c>
      <c r="W860" s="40" t="str">
        <f t="shared" si="26"/>
        <v/>
      </c>
      <c r="X860" s="40" t="str">
        <f t="shared" si="27"/>
        <v/>
      </c>
      <c r="Y860" s="40" t="str">
        <f>TEXT(Table1[[#This Row],[YEAR]],"0000")&amp;"-"&amp;Table1[[#This Row],[MONTH]]</f>
        <v>-</v>
      </c>
    </row>
    <row r="861" spans="1:25" ht="15" customHeight="1" x14ac:dyDescent="0.35">
      <c r="A861" s="24"/>
      <c r="B861" s="38"/>
      <c r="C861" s="38"/>
      <c r="D861" s="38"/>
      <c r="E861" s="37"/>
      <c r="F861" s="38"/>
      <c r="G861" s="198"/>
      <c r="H861" s="198"/>
      <c r="I861" s="39"/>
      <c r="J861" s="38"/>
      <c r="K861" s="198"/>
      <c r="L861" s="38"/>
      <c r="M861" s="38"/>
      <c r="N861" s="38"/>
      <c r="O861" s="38"/>
      <c r="P861" s="40" t="str" cm="1">
        <f t="array" ref="P861">IF(N861="","",IFERROR(_xlfn.XLOOKUP(F861&amp;"|"&amp;J861&amp;"|"&amp;O861,PRICES!$C$2:$C$659&amp;"|"&amp;PRICES!$B$2:$B$659&amp;"|"&amp;PRICES!$D$2:$D$659,PRICES!$E$2:$E$659),"Not Found"))</f>
        <v/>
      </c>
      <c r="Q861" s="100" t="str">
        <f>IF(N861=0,"",SUMIFS(PRICES!$G$2:$G$658,PRICES!$B$2:$B$658,'MAIN TABLE-1 AUTOMATED'!J861,PRICES!$C$2:$C$658,'MAIN TABLE-1 AUTOMATED'!F861,PRICES!$D$2:$D$658,'MAIN TABLE-1 AUTOMATED'!O861))</f>
        <v/>
      </c>
      <c r="R861" s="41" t="str">
        <f>IF(Table1[[#This Row],[QUANTITY]]=0,"",Table1[[#This Row],[UNIT PRICE]]*Table1[[#This Row],[QUANTITY]])</f>
        <v/>
      </c>
      <c r="S861" s="89"/>
      <c r="T861" s="38"/>
      <c r="U861" s="43"/>
      <c r="V861" s="42" t="str">
        <f>IF(Table1[[#This Row],[DATE]]=0,"",YEAR(E861))</f>
        <v/>
      </c>
      <c r="W861" s="40" t="str">
        <f t="shared" si="26"/>
        <v/>
      </c>
      <c r="X861" s="40" t="str">
        <f t="shared" si="27"/>
        <v/>
      </c>
      <c r="Y861" s="40" t="str">
        <f>TEXT(Table1[[#This Row],[YEAR]],"0000")&amp;"-"&amp;Table1[[#This Row],[MONTH]]</f>
        <v>-</v>
      </c>
    </row>
    <row r="862" spans="1:25" ht="15" customHeight="1" x14ac:dyDescent="0.35">
      <c r="A862" s="24"/>
      <c r="B862" s="38"/>
      <c r="C862" s="38"/>
      <c r="D862" s="38"/>
      <c r="E862" s="37"/>
      <c r="F862" s="38"/>
      <c r="G862" s="198"/>
      <c r="H862" s="198"/>
      <c r="I862" s="39"/>
      <c r="J862" s="38"/>
      <c r="K862" s="198"/>
      <c r="L862" s="38"/>
      <c r="M862" s="38"/>
      <c r="N862" s="38"/>
      <c r="O862" s="38"/>
      <c r="P862" s="40" t="str" cm="1">
        <f t="array" ref="P862">IF(N862="","",IFERROR(_xlfn.XLOOKUP(F862&amp;"|"&amp;J862&amp;"|"&amp;O862,PRICES!$C$2:$C$659&amp;"|"&amp;PRICES!$B$2:$B$659&amp;"|"&amp;PRICES!$D$2:$D$659,PRICES!$E$2:$E$659),"Not Found"))</f>
        <v/>
      </c>
      <c r="Q862" s="100" t="str">
        <f>IF(N862=0,"",SUMIFS(PRICES!$G$2:$G$658,PRICES!$B$2:$B$658,'MAIN TABLE-1 AUTOMATED'!J862,PRICES!$C$2:$C$658,'MAIN TABLE-1 AUTOMATED'!F862,PRICES!$D$2:$D$658,'MAIN TABLE-1 AUTOMATED'!O862))</f>
        <v/>
      </c>
      <c r="R862" s="41" t="str">
        <f>IF(Table1[[#This Row],[QUANTITY]]=0,"",Table1[[#This Row],[UNIT PRICE]]*Table1[[#This Row],[QUANTITY]])</f>
        <v/>
      </c>
      <c r="S862" s="89"/>
      <c r="T862" s="38"/>
      <c r="U862" s="43"/>
      <c r="V862" s="42" t="str">
        <f>IF(Table1[[#This Row],[DATE]]=0,"",YEAR(E862))</f>
        <v/>
      </c>
      <c r="W862" s="40" t="str">
        <f t="shared" si="26"/>
        <v/>
      </c>
      <c r="X862" s="40" t="str">
        <f t="shared" si="27"/>
        <v/>
      </c>
      <c r="Y862" s="40" t="str">
        <f>TEXT(Table1[[#This Row],[YEAR]],"0000")&amp;"-"&amp;Table1[[#This Row],[MONTH]]</f>
        <v>-</v>
      </c>
    </row>
    <row r="863" spans="1:25" ht="15" customHeight="1" x14ac:dyDescent="0.35">
      <c r="A863" s="24"/>
      <c r="B863" s="38"/>
      <c r="C863" s="38"/>
      <c r="D863" s="38"/>
      <c r="E863" s="37"/>
      <c r="F863" s="38"/>
      <c r="G863" s="198"/>
      <c r="H863" s="198"/>
      <c r="I863" s="39"/>
      <c r="J863" s="38"/>
      <c r="K863" s="198"/>
      <c r="L863" s="38"/>
      <c r="M863" s="38"/>
      <c r="N863" s="38"/>
      <c r="O863" s="38"/>
      <c r="P863" s="40" t="str" cm="1">
        <f t="array" ref="P863">IF(N863="","",IFERROR(_xlfn.XLOOKUP(F863&amp;"|"&amp;J863&amp;"|"&amp;O863,PRICES!$C$2:$C$659&amp;"|"&amp;PRICES!$B$2:$B$659&amp;"|"&amp;PRICES!$D$2:$D$659,PRICES!$E$2:$E$659),"Not Found"))</f>
        <v/>
      </c>
      <c r="Q863" s="100" t="str">
        <f>IF(N863=0,"",SUMIFS(PRICES!$G$2:$G$658,PRICES!$B$2:$B$658,'MAIN TABLE-1 AUTOMATED'!J863,PRICES!$C$2:$C$658,'MAIN TABLE-1 AUTOMATED'!F863,PRICES!$D$2:$D$658,'MAIN TABLE-1 AUTOMATED'!O863))</f>
        <v/>
      </c>
      <c r="R863" s="41" t="str">
        <f>IF(Table1[[#This Row],[QUANTITY]]=0,"",Table1[[#This Row],[UNIT PRICE]]*Table1[[#This Row],[QUANTITY]])</f>
        <v/>
      </c>
      <c r="S863" s="89"/>
      <c r="T863" s="38"/>
      <c r="U863" s="43"/>
      <c r="V863" s="42" t="str">
        <f>IF(Table1[[#This Row],[DATE]]=0,"",YEAR(E863))</f>
        <v/>
      </c>
      <c r="W863" s="40" t="str">
        <f t="shared" ref="W863:W926" si="28">IF(E863=0,"",MONTH(E863))</f>
        <v/>
      </c>
      <c r="X863" s="40" t="str">
        <f t="shared" ref="X863:X926" si="29">IF(E863=0,"",WEEKNUM(E863))</f>
        <v/>
      </c>
      <c r="Y863" s="40" t="str">
        <f>TEXT(Table1[[#This Row],[YEAR]],"0000")&amp;"-"&amp;Table1[[#This Row],[MONTH]]</f>
        <v>-</v>
      </c>
    </row>
    <row r="864" spans="1:25" ht="15" customHeight="1" x14ac:dyDescent="0.35">
      <c r="A864" s="24"/>
      <c r="B864" s="38"/>
      <c r="C864" s="38"/>
      <c r="D864" s="38"/>
      <c r="E864" s="37"/>
      <c r="F864" s="38"/>
      <c r="G864" s="198"/>
      <c r="H864" s="198"/>
      <c r="I864" s="39"/>
      <c r="J864" s="38"/>
      <c r="K864" s="198"/>
      <c r="L864" s="38"/>
      <c r="M864" s="38"/>
      <c r="N864" s="38"/>
      <c r="O864" s="38"/>
      <c r="P864" s="40" t="str" cm="1">
        <f t="array" ref="P864">IF(N864="","",IFERROR(_xlfn.XLOOKUP(F864&amp;"|"&amp;J864&amp;"|"&amp;O864,PRICES!$C$2:$C$659&amp;"|"&amp;PRICES!$B$2:$B$659&amp;"|"&amp;PRICES!$D$2:$D$659,PRICES!$E$2:$E$659),"Not Found"))</f>
        <v/>
      </c>
      <c r="Q864" s="100" t="str">
        <f>IF(N864=0,"",SUMIFS(PRICES!$G$2:$G$658,PRICES!$B$2:$B$658,'MAIN TABLE-1 AUTOMATED'!J864,PRICES!$C$2:$C$658,'MAIN TABLE-1 AUTOMATED'!F864,PRICES!$D$2:$D$658,'MAIN TABLE-1 AUTOMATED'!O864))</f>
        <v/>
      </c>
      <c r="R864" s="41" t="str">
        <f>IF(Table1[[#This Row],[QUANTITY]]=0,"",Table1[[#This Row],[UNIT PRICE]]*Table1[[#This Row],[QUANTITY]])</f>
        <v/>
      </c>
      <c r="S864" s="89"/>
      <c r="T864" s="38"/>
      <c r="U864" s="43"/>
      <c r="V864" s="42" t="str">
        <f>IF(Table1[[#This Row],[DATE]]=0,"",YEAR(E864))</f>
        <v/>
      </c>
      <c r="W864" s="40" t="str">
        <f t="shared" si="28"/>
        <v/>
      </c>
      <c r="X864" s="40" t="str">
        <f t="shared" si="29"/>
        <v/>
      </c>
      <c r="Y864" s="40" t="str">
        <f>TEXT(Table1[[#This Row],[YEAR]],"0000")&amp;"-"&amp;Table1[[#This Row],[MONTH]]</f>
        <v>-</v>
      </c>
    </row>
    <row r="865" spans="1:25" ht="15" customHeight="1" x14ac:dyDescent="0.35">
      <c r="A865" s="24"/>
      <c r="B865" s="36"/>
      <c r="C865" s="38"/>
      <c r="D865" s="38"/>
      <c r="E865" s="37"/>
      <c r="F865" s="38"/>
      <c r="G865" s="198"/>
      <c r="H865" s="198"/>
      <c r="I865" s="39"/>
      <c r="J865" s="38"/>
      <c r="K865" s="198"/>
      <c r="L865" s="38"/>
      <c r="M865" s="38"/>
      <c r="N865" s="38"/>
      <c r="O865" s="38"/>
      <c r="P865" s="40" t="str" cm="1">
        <f t="array" ref="P865">IF(N865="","",IFERROR(_xlfn.XLOOKUP(F865&amp;"|"&amp;J865&amp;"|"&amp;O865,PRICES!$C$2:$C$659&amp;"|"&amp;PRICES!$B$2:$B$659&amp;"|"&amp;PRICES!$D$2:$D$659,PRICES!$E$2:$E$659),"Not Found"))</f>
        <v/>
      </c>
      <c r="Q865" s="100" t="str">
        <f>IF(N865=0,"",SUMIFS(PRICES!$G$2:$G$658,PRICES!$B$2:$B$658,'MAIN TABLE-1 AUTOMATED'!J865,PRICES!$C$2:$C$658,'MAIN TABLE-1 AUTOMATED'!F865,PRICES!$D$2:$D$658,'MAIN TABLE-1 AUTOMATED'!O865))</f>
        <v/>
      </c>
      <c r="R865" s="41" t="str">
        <f>IF(Table1[[#This Row],[QUANTITY]]=0,"",Table1[[#This Row],[UNIT PRICE]]*Table1[[#This Row],[QUANTITY]])</f>
        <v/>
      </c>
      <c r="S865" s="89"/>
      <c r="T865" s="38"/>
      <c r="U865" s="43"/>
      <c r="V865" s="42" t="str">
        <f>IF(Table1[[#This Row],[DATE]]=0,"",YEAR(E865))</f>
        <v/>
      </c>
      <c r="W865" s="40" t="str">
        <f t="shared" si="28"/>
        <v/>
      </c>
      <c r="X865" s="40" t="str">
        <f t="shared" si="29"/>
        <v/>
      </c>
      <c r="Y865" s="40" t="str">
        <f>TEXT(Table1[[#This Row],[YEAR]],"0000")&amp;"-"&amp;Table1[[#This Row],[MONTH]]</f>
        <v>-</v>
      </c>
    </row>
    <row r="866" spans="1:25" ht="15" customHeight="1" x14ac:dyDescent="0.35">
      <c r="A866" s="24"/>
      <c r="B866" s="36"/>
      <c r="C866" s="38"/>
      <c r="D866" s="38"/>
      <c r="E866" s="37"/>
      <c r="F866" s="38"/>
      <c r="G866" s="198"/>
      <c r="H866" s="198"/>
      <c r="I866" s="39"/>
      <c r="J866" s="38"/>
      <c r="K866" s="198"/>
      <c r="L866" s="38"/>
      <c r="M866" s="38"/>
      <c r="N866" s="38"/>
      <c r="O866" s="38"/>
      <c r="P866" s="40" t="str" cm="1">
        <f t="array" ref="P866">IF(N866="","",IFERROR(_xlfn.XLOOKUP(F866&amp;"|"&amp;J866&amp;"|"&amp;O866,PRICES!$C$2:$C$659&amp;"|"&amp;PRICES!$B$2:$B$659&amp;"|"&amp;PRICES!$D$2:$D$659,PRICES!$E$2:$E$659),"Not Found"))</f>
        <v/>
      </c>
      <c r="Q866" s="100" t="str">
        <f>IF(N866=0,"",SUMIFS(PRICES!$G$2:$G$658,PRICES!$B$2:$B$658,'MAIN TABLE-1 AUTOMATED'!J866,PRICES!$C$2:$C$658,'MAIN TABLE-1 AUTOMATED'!F866,PRICES!$D$2:$D$658,'MAIN TABLE-1 AUTOMATED'!O866))</f>
        <v/>
      </c>
      <c r="R866" s="41" t="str">
        <f>IF(Table1[[#This Row],[QUANTITY]]=0,"",Table1[[#This Row],[UNIT PRICE]]*Table1[[#This Row],[QUANTITY]])</f>
        <v/>
      </c>
      <c r="S866" s="89"/>
      <c r="T866" s="38"/>
      <c r="U866" s="43"/>
      <c r="V866" s="42" t="str">
        <f>IF(Table1[[#This Row],[DATE]]=0,"",YEAR(E866))</f>
        <v/>
      </c>
      <c r="W866" s="40" t="str">
        <f t="shared" si="28"/>
        <v/>
      </c>
      <c r="X866" s="40" t="str">
        <f t="shared" si="29"/>
        <v/>
      </c>
      <c r="Y866" s="40" t="str">
        <f>TEXT(Table1[[#This Row],[YEAR]],"0000")&amp;"-"&amp;Table1[[#This Row],[MONTH]]</f>
        <v>-</v>
      </c>
    </row>
    <row r="867" spans="1:25" ht="15" customHeight="1" x14ac:dyDescent="0.35">
      <c r="A867" s="24"/>
      <c r="B867" s="36"/>
      <c r="C867" s="38"/>
      <c r="D867" s="38"/>
      <c r="E867" s="37"/>
      <c r="F867" s="38"/>
      <c r="G867" s="198"/>
      <c r="H867" s="198"/>
      <c r="I867" s="39"/>
      <c r="J867" s="38"/>
      <c r="K867" s="198"/>
      <c r="L867" s="38"/>
      <c r="M867" s="38"/>
      <c r="N867" s="38"/>
      <c r="O867" s="38"/>
      <c r="P867" s="40" t="str" cm="1">
        <f t="array" ref="P867">IF(N867="","",IFERROR(_xlfn.XLOOKUP(F867&amp;"|"&amp;J867&amp;"|"&amp;O867,PRICES!$C$2:$C$659&amp;"|"&amp;PRICES!$B$2:$B$659&amp;"|"&amp;PRICES!$D$2:$D$659,PRICES!$E$2:$E$659),"Not Found"))</f>
        <v/>
      </c>
      <c r="Q867" s="100" t="str">
        <f>IF(N867=0,"",SUMIFS(PRICES!$G$2:$G$658,PRICES!$B$2:$B$658,'MAIN TABLE-1 AUTOMATED'!J867,PRICES!$C$2:$C$658,'MAIN TABLE-1 AUTOMATED'!F867,PRICES!$D$2:$D$658,'MAIN TABLE-1 AUTOMATED'!O867))</f>
        <v/>
      </c>
      <c r="R867" s="41" t="str">
        <f>IF(Table1[[#This Row],[QUANTITY]]=0,"",Table1[[#This Row],[UNIT PRICE]]*Table1[[#This Row],[QUANTITY]])</f>
        <v/>
      </c>
      <c r="S867" s="89"/>
      <c r="T867" s="38"/>
      <c r="U867" s="43"/>
      <c r="V867" s="42" t="str">
        <f>IF(Table1[[#This Row],[DATE]]=0,"",YEAR(E867))</f>
        <v/>
      </c>
      <c r="W867" s="40" t="str">
        <f t="shared" si="28"/>
        <v/>
      </c>
      <c r="X867" s="40" t="str">
        <f t="shared" si="29"/>
        <v/>
      </c>
      <c r="Y867" s="40" t="str">
        <f>TEXT(Table1[[#This Row],[YEAR]],"0000")&amp;"-"&amp;Table1[[#This Row],[MONTH]]</f>
        <v>-</v>
      </c>
    </row>
    <row r="868" spans="1:25" ht="15" customHeight="1" x14ac:dyDescent="0.35">
      <c r="A868" s="24"/>
      <c r="B868" s="38"/>
      <c r="C868" s="38"/>
      <c r="D868" s="38"/>
      <c r="E868" s="37"/>
      <c r="F868" s="38"/>
      <c r="G868" s="198"/>
      <c r="H868" s="198"/>
      <c r="I868" s="39"/>
      <c r="J868" s="38"/>
      <c r="K868" s="198"/>
      <c r="L868" s="38"/>
      <c r="M868" s="38"/>
      <c r="N868" s="38"/>
      <c r="O868" s="38"/>
      <c r="P868" s="40" t="str" cm="1">
        <f t="array" ref="P868">IF(N868="","",IFERROR(_xlfn.XLOOKUP(F868&amp;"|"&amp;J868&amp;"|"&amp;O868,PRICES!$C$2:$C$659&amp;"|"&amp;PRICES!$B$2:$B$659&amp;"|"&amp;PRICES!$D$2:$D$659,PRICES!$E$2:$E$659),"Not Found"))</f>
        <v/>
      </c>
      <c r="Q868" s="100" t="str">
        <f>IF(N868=0,"",SUMIFS(PRICES!$G$2:$G$658,PRICES!$B$2:$B$658,'MAIN TABLE-1 AUTOMATED'!J868,PRICES!$C$2:$C$658,'MAIN TABLE-1 AUTOMATED'!F868,PRICES!$D$2:$D$658,'MAIN TABLE-1 AUTOMATED'!O868))</f>
        <v/>
      </c>
      <c r="R868" s="41" t="str">
        <f>IF(Table1[[#This Row],[QUANTITY]]=0,"",Table1[[#This Row],[UNIT PRICE]]*Table1[[#This Row],[QUANTITY]])</f>
        <v/>
      </c>
      <c r="S868" s="89"/>
      <c r="T868" s="38"/>
      <c r="U868" s="43"/>
      <c r="V868" s="42" t="str">
        <f>IF(Table1[[#This Row],[DATE]]=0,"",YEAR(E868))</f>
        <v/>
      </c>
      <c r="W868" s="40" t="str">
        <f t="shared" si="28"/>
        <v/>
      </c>
      <c r="X868" s="40" t="str">
        <f t="shared" si="29"/>
        <v/>
      </c>
      <c r="Y868" s="40" t="str">
        <f>TEXT(Table1[[#This Row],[YEAR]],"0000")&amp;"-"&amp;Table1[[#This Row],[MONTH]]</f>
        <v>-</v>
      </c>
    </row>
    <row r="869" spans="1:25" ht="15" customHeight="1" x14ac:dyDescent="0.35">
      <c r="A869" s="24"/>
      <c r="B869" s="38"/>
      <c r="C869" s="38"/>
      <c r="D869" s="38"/>
      <c r="E869" s="37"/>
      <c r="F869" s="38"/>
      <c r="G869" s="198"/>
      <c r="H869" s="198"/>
      <c r="I869" s="39"/>
      <c r="J869" s="38"/>
      <c r="K869" s="198"/>
      <c r="L869" s="38"/>
      <c r="M869" s="38"/>
      <c r="N869" s="38"/>
      <c r="O869" s="38"/>
      <c r="P869" s="40" t="str" cm="1">
        <f t="array" ref="P869">IF(N869="","",IFERROR(_xlfn.XLOOKUP(F869&amp;"|"&amp;J869&amp;"|"&amp;O869,PRICES!$C$2:$C$659&amp;"|"&amp;PRICES!$B$2:$B$659&amp;"|"&amp;PRICES!$D$2:$D$659,PRICES!$E$2:$E$659),"Not Found"))</f>
        <v/>
      </c>
      <c r="Q869" s="100" t="str">
        <f>IF(N869=0,"",SUMIFS(PRICES!$G$2:$G$658,PRICES!$B$2:$B$658,'MAIN TABLE-1 AUTOMATED'!J869,PRICES!$C$2:$C$658,'MAIN TABLE-1 AUTOMATED'!F869,PRICES!$D$2:$D$658,'MAIN TABLE-1 AUTOMATED'!O869))</f>
        <v/>
      </c>
      <c r="R869" s="41" t="str">
        <f>IF(Table1[[#This Row],[QUANTITY]]=0,"",Table1[[#This Row],[UNIT PRICE]]*Table1[[#This Row],[QUANTITY]])</f>
        <v/>
      </c>
      <c r="S869" s="89"/>
      <c r="T869" s="38"/>
      <c r="U869" s="43"/>
      <c r="V869" s="42" t="str">
        <f>IF(Table1[[#This Row],[DATE]]=0,"",YEAR(E869))</f>
        <v/>
      </c>
      <c r="W869" s="40" t="str">
        <f t="shared" si="28"/>
        <v/>
      </c>
      <c r="X869" s="40" t="str">
        <f t="shared" si="29"/>
        <v/>
      </c>
      <c r="Y869" s="40" t="str">
        <f>TEXT(Table1[[#This Row],[YEAR]],"0000")&amp;"-"&amp;Table1[[#This Row],[MONTH]]</f>
        <v>-</v>
      </c>
    </row>
    <row r="870" spans="1:25" ht="15" customHeight="1" x14ac:dyDescent="0.35">
      <c r="A870" s="24"/>
      <c r="B870" s="38"/>
      <c r="C870" s="38"/>
      <c r="D870" s="38"/>
      <c r="E870" s="37"/>
      <c r="F870" s="38"/>
      <c r="G870" s="198"/>
      <c r="H870" s="198"/>
      <c r="I870" s="39"/>
      <c r="J870" s="38"/>
      <c r="K870" s="198"/>
      <c r="L870" s="38"/>
      <c r="M870" s="38"/>
      <c r="N870" s="38"/>
      <c r="O870" s="38"/>
      <c r="P870" s="40" t="str" cm="1">
        <f t="array" ref="P870">IF(N870="","",IFERROR(_xlfn.XLOOKUP(F870&amp;"|"&amp;J870&amp;"|"&amp;O870,PRICES!$C$2:$C$659&amp;"|"&amp;PRICES!$B$2:$B$659&amp;"|"&amp;PRICES!$D$2:$D$659,PRICES!$E$2:$E$659),"Not Found"))</f>
        <v/>
      </c>
      <c r="Q870" s="100" t="str">
        <f>IF(N870=0,"",SUMIFS(PRICES!$G$2:$G$658,PRICES!$B$2:$B$658,'MAIN TABLE-1 AUTOMATED'!J870,PRICES!$C$2:$C$658,'MAIN TABLE-1 AUTOMATED'!F870,PRICES!$D$2:$D$658,'MAIN TABLE-1 AUTOMATED'!O870))</f>
        <v/>
      </c>
      <c r="R870" s="41" t="str">
        <f>IF(Table1[[#This Row],[QUANTITY]]=0,"",Table1[[#This Row],[UNIT PRICE]]*Table1[[#This Row],[QUANTITY]])</f>
        <v/>
      </c>
      <c r="S870" s="89"/>
      <c r="T870" s="38"/>
      <c r="U870" s="43"/>
      <c r="V870" s="42" t="str">
        <f>IF(Table1[[#This Row],[DATE]]=0,"",YEAR(E870))</f>
        <v/>
      </c>
      <c r="W870" s="40" t="str">
        <f t="shared" si="28"/>
        <v/>
      </c>
      <c r="X870" s="40" t="str">
        <f t="shared" si="29"/>
        <v/>
      </c>
      <c r="Y870" s="40" t="str">
        <f>TEXT(Table1[[#This Row],[YEAR]],"0000")&amp;"-"&amp;Table1[[#This Row],[MONTH]]</f>
        <v>-</v>
      </c>
    </row>
    <row r="871" spans="1:25" ht="15" customHeight="1" x14ac:dyDescent="0.35">
      <c r="A871" s="24"/>
      <c r="B871" s="38"/>
      <c r="C871" s="38"/>
      <c r="D871" s="38"/>
      <c r="E871" s="37"/>
      <c r="F871" s="38"/>
      <c r="G871" s="198"/>
      <c r="H871" s="198"/>
      <c r="I871" s="39"/>
      <c r="J871" s="38"/>
      <c r="K871" s="198"/>
      <c r="L871" s="38"/>
      <c r="M871" s="38"/>
      <c r="N871" s="38"/>
      <c r="O871" s="38"/>
      <c r="P871" s="40" t="str" cm="1">
        <f t="array" ref="P871">IF(N871="","",IFERROR(_xlfn.XLOOKUP(F871&amp;"|"&amp;J871&amp;"|"&amp;O871,PRICES!$C$2:$C$659&amp;"|"&amp;PRICES!$B$2:$B$659&amp;"|"&amp;PRICES!$D$2:$D$659,PRICES!$E$2:$E$659),"Not Found"))</f>
        <v/>
      </c>
      <c r="Q871" s="100" t="str">
        <f>IF(N871=0,"",SUMIFS(PRICES!$G$2:$G$658,PRICES!$B$2:$B$658,'MAIN TABLE-1 AUTOMATED'!J871,PRICES!$C$2:$C$658,'MAIN TABLE-1 AUTOMATED'!F871,PRICES!$D$2:$D$658,'MAIN TABLE-1 AUTOMATED'!O871))</f>
        <v/>
      </c>
      <c r="R871" s="41" t="str">
        <f>IF(Table1[[#This Row],[QUANTITY]]=0,"",Table1[[#This Row],[UNIT PRICE]]*Table1[[#This Row],[QUANTITY]])</f>
        <v/>
      </c>
      <c r="S871" s="89"/>
      <c r="T871" s="38"/>
      <c r="U871" s="43"/>
      <c r="V871" s="42" t="str">
        <f>IF(Table1[[#This Row],[DATE]]=0,"",YEAR(E871))</f>
        <v/>
      </c>
      <c r="W871" s="40" t="str">
        <f t="shared" si="28"/>
        <v/>
      </c>
      <c r="X871" s="40" t="str">
        <f t="shared" si="29"/>
        <v/>
      </c>
      <c r="Y871" s="40" t="str">
        <f>TEXT(Table1[[#This Row],[YEAR]],"0000")&amp;"-"&amp;Table1[[#This Row],[MONTH]]</f>
        <v>-</v>
      </c>
    </row>
    <row r="872" spans="1:25" ht="15" customHeight="1" x14ac:dyDescent="0.35">
      <c r="A872" s="24"/>
      <c r="B872" s="38"/>
      <c r="C872" s="38"/>
      <c r="D872" s="38"/>
      <c r="E872" s="37"/>
      <c r="F872" s="38"/>
      <c r="G872" s="198"/>
      <c r="H872" s="198"/>
      <c r="I872" s="39"/>
      <c r="J872" s="38"/>
      <c r="K872" s="198"/>
      <c r="L872" s="38"/>
      <c r="M872" s="38"/>
      <c r="N872" s="38"/>
      <c r="O872" s="38"/>
      <c r="P872" s="40" t="str" cm="1">
        <f t="array" ref="P872">IF(N872="","",IFERROR(_xlfn.XLOOKUP(F872&amp;"|"&amp;J872&amp;"|"&amp;O872,PRICES!$C$2:$C$659&amp;"|"&amp;PRICES!$B$2:$B$659&amp;"|"&amp;PRICES!$D$2:$D$659,PRICES!$E$2:$E$659),"Not Found"))</f>
        <v/>
      </c>
      <c r="Q872" s="100" t="str">
        <f>IF(N872=0,"",SUMIFS(PRICES!$G$2:$G$658,PRICES!$B$2:$B$658,'MAIN TABLE-1 AUTOMATED'!J872,PRICES!$C$2:$C$658,'MAIN TABLE-1 AUTOMATED'!F872,PRICES!$D$2:$D$658,'MAIN TABLE-1 AUTOMATED'!O872))</f>
        <v/>
      </c>
      <c r="R872" s="41" t="str">
        <f>IF(Table1[[#This Row],[QUANTITY]]=0,"",Table1[[#This Row],[UNIT PRICE]]*Table1[[#This Row],[QUANTITY]])</f>
        <v/>
      </c>
      <c r="S872" s="89"/>
      <c r="T872" s="38"/>
      <c r="U872" s="43"/>
      <c r="V872" s="42" t="str">
        <f>IF(Table1[[#This Row],[DATE]]=0,"",YEAR(E872))</f>
        <v/>
      </c>
      <c r="W872" s="40" t="str">
        <f t="shared" si="28"/>
        <v/>
      </c>
      <c r="X872" s="40" t="str">
        <f t="shared" si="29"/>
        <v/>
      </c>
      <c r="Y872" s="40" t="str">
        <f>TEXT(Table1[[#This Row],[YEAR]],"0000")&amp;"-"&amp;Table1[[#This Row],[MONTH]]</f>
        <v>-</v>
      </c>
    </row>
    <row r="873" spans="1:25" ht="15" customHeight="1" x14ac:dyDescent="0.35">
      <c r="A873" s="24"/>
      <c r="B873" s="38"/>
      <c r="C873" s="38"/>
      <c r="D873" s="38"/>
      <c r="E873" s="37"/>
      <c r="F873" s="38"/>
      <c r="G873" s="198"/>
      <c r="H873" s="198"/>
      <c r="I873" s="39"/>
      <c r="J873" s="38"/>
      <c r="K873" s="198"/>
      <c r="L873" s="38"/>
      <c r="M873" s="38"/>
      <c r="N873" s="38"/>
      <c r="O873" s="38"/>
      <c r="P873" s="40" t="str" cm="1">
        <f t="array" ref="P873">IF(N873="","",IFERROR(_xlfn.XLOOKUP(F873&amp;"|"&amp;J873&amp;"|"&amp;O873,PRICES!$C$2:$C$659&amp;"|"&amp;PRICES!$B$2:$B$659&amp;"|"&amp;PRICES!$D$2:$D$659,PRICES!$E$2:$E$659),"Not Found"))</f>
        <v/>
      </c>
      <c r="Q873" s="100" t="str">
        <f>IF(N873=0,"",SUMIFS(PRICES!$G$2:$G$658,PRICES!$B$2:$B$658,'MAIN TABLE-1 AUTOMATED'!J873,PRICES!$C$2:$C$658,'MAIN TABLE-1 AUTOMATED'!F873,PRICES!$D$2:$D$658,'MAIN TABLE-1 AUTOMATED'!O873))</f>
        <v/>
      </c>
      <c r="R873" s="41" t="str">
        <f>IF(Table1[[#This Row],[QUANTITY]]=0,"",Table1[[#This Row],[UNIT PRICE]]*Table1[[#This Row],[QUANTITY]])</f>
        <v/>
      </c>
      <c r="S873" s="89"/>
      <c r="T873" s="38"/>
      <c r="U873" s="43"/>
      <c r="V873" s="42" t="str">
        <f>IF(Table1[[#This Row],[DATE]]=0,"",YEAR(E873))</f>
        <v/>
      </c>
      <c r="W873" s="40" t="str">
        <f t="shared" si="28"/>
        <v/>
      </c>
      <c r="X873" s="40" t="str">
        <f t="shared" si="29"/>
        <v/>
      </c>
      <c r="Y873" s="40" t="str">
        <f>TEXT(Table1[[#This Row],[YEAR]],"0000")&amp;"-"&amp;Table1[[#This Row],[MONTH]]</f>
        <v>-</v>
      </c>
    </row>
    <row r="874" spans="1:25" ht="15" customHeight="1" x14ac:dyDescent="0.35">
      <c r="A874" s="24"/>
      <c r="B874" s="38"/>
      <c r="C874" s="38"/>
      <c r="D874" s="38"/>
      <c r="E874" s="37"/>
      <c r="F874" s="38"/>
      <c r="G874" s="198"/>
      <c r="H874" s="198"/>
      <c r="I874" s="39"/>
      <c r="J874" s="38"/>
      <c r="K874" s="198"/>
      <c r="L874" s="38"/>
      <c r="M874" s="38"/>
      <c r="N874" s="38"/>
      <c r="O874" s="38"/>
      <c r="P874" s="40" t="str" cm="1">
        <f t="array" ref="P874">IF(N874="","",IFERROR(_xlfn.XLOOKUP(F874&amp;"|"&amp;J874&amp;"|"&amp;O874,PRICES!$C$2:$C$659&amp;"|"&amp;PRICES!$B$2:$B$659&amp;"|"&amp;PRICES!$D$2:$D$659,PRICES!$E$2:$E$659),"Not Found"))</f>
        <v/>
      </c>
      <c r="Q874" s="100" t="str">
        <f>IF(N874=0,"",SUMIFS(PRICES!$G$2:$G$658,PRICES!$B$2:$B$658,'MAIN TABLE-1 AUTOMATED'!J874,PRICES!$C$2:$C$658,'MAIN TABLE-1 AUTOMATED'!F874,PRICES!$D$2:$D$658,'MAIN TABLE-1 AUTOMATED'!O874))</f>
        <v/>
      </c>
      <c r="R874" s="41" t="str">
        <f>IF(Table1[[#This Row],[QUANTITY]]=0,"",Table1[[#This Row],[UNIT PRICE]]*Table1[[#This Row],[QUANTITY]])</f>
        <v/>
      </c>
      <c r="S874" s="89"/>
      <c r="T874" s="38"/>
      <c r="U874" s="43"/>
      <c r="V874" s="42" t="str">
        <f>IF(Table1[[#This Row],[DATE]]=0,"",YEAR(E874))</f>
        <v/>
      </c>
      <c r="W874" s="40" t="str">
        <f t="shared" si="28"/>
        <v/>
      </c>
      <c r="X874" s="40" t="str">
        <f t="shared" si="29"/>
        <v/>
      </c>
      <c r="Y874" s="40" t="str">
        <f>TEXT(Table1[[#This Row],[YEAR]],"0000")&amp;"-"&amp;Table1[[#This Row],[MONTH]]</f>
        <v>-</v>
      </c>
    </row>
    <row r="875" spans="1:25" ht="15" customHeight="1" x14ac:dyDescent="0.35">
      <c r="A875" s="24"/>
      <c r="B875" s="38"/>
      <c r="C875" s="38"/>
      <c r="D875" s="38"/>
      <c r="E875" s="37"/>
      <c r="F875" s="38"/>
      <c r="G875" s="198"/>
      <c r="H875" s="198"/>
      <c r="I875" s="39"/>
      <c r="J875" s="38"/>
      <c r="K875" s="198"/>
      <c r="L875" s="38"/>
      <c r="M875" s="38"/>
      <c r="N875" s="38"/>
      <c r="O875" s="38"/>
      <c r="P875" s="40" t="str" cm="1">
        <f t="array" ref="P875">IF(N875="","",IFERROR(_xlfn.XLOOKUP(F875&amp;"|"&amp;J875&amp;"|"&amp;O875,PRICES!$C$2:$C$659&amp;"|"&amp;PRICES!$B$2:$B$659&amp;"|"&amp;PRICES!$D$2:$D$659,PRICES!$E$2:$E$659),"Not Found"))</f>
        <v/>
      </c>
      <c r="Q875" s="100" t="str">
        <f>IF(N875=0,"",SUMIFS(PRICES!$G$2:$G$658,PRICES!$B$2:$B$658,'MAIN TABLE-1 AUTOMATED'!J875,PRICES!$C$2:$C$658,'MAIN TABLE-1 AUTOMATED'!F875,PRICES!$D$2:$D$658,'MAIN TABLE-1 AUTOMATED'!O875))</f>
        <v/>
      </c>
      <c r="R875" s="41" t="str">
        <f>IF(Table1[[#This Row],[QUANTITY]]=0,"",Table1[[#This Row],[UNIT PRICE]]*Table1[[#This Row],[QUANTITY]])</f>
        <v/>
      </c>
      <c r="S875" s="89"/>
      <c r="T875" s="38"/>
      <c r="U875" s="43"/>
      <c r="V875" s="42" t="str">
        <f>IF(Table1[[#This Row],[DATE]]=0,"",YEAR(E875))</f>
        <v/>
      </c>
      <c r="W875" s="40" t="str">
        <f t="shared" si="28"/>
        <v/>
      </c>
      <c r="X875" s="40" t="str">
        <f t="shared" si="29"/>
        <v/>
      </c>
      <c r="Y875" s="40" t="str">
        <f>TEXT(Table1[[#This Row],[YEAR]],"0000")&amp;"-"&amp;Table1[[#This Row],[MONTH]]</f>
        <v>-</v>
      </c>
    </row>
    <row r="876" spans="1:25" ht="15" customHeight="1" x14ac:dyDescent="0.35">
      <c r="A876" s="24"/>
      <c r="B876" s="38"/>
      <c r="C876" s="38"/>
      <c r="D876" s="38"/>
      <c r="E876" s="37"/>
      <c r="F876" s="38"/>
      <c r="G876" s="198"/>
      <c r="H876" s="198"/>
      <c r="I876" s="39"/>
      <c r="J876" s="38"/>
      <c r="K876" s="198"/>
      <c r="L876" s="38"/>
      <c r="M876" s="38"/>
      <c r="N876" s="38"/>
      <c r="O876" s="38"/>
      <c r="P876" s="40" t="str" cm="1">
        <f t="array" ref="P876">IF(N876="","",IFERROR(_xlfn.XLOOKUP(F876&amp;"|"&amp;J876&amp;"|"&amp;O876,PRICES!$C$2:$C$659&amp;"|"&amp;PRICES!$B$2:$B$659&amp;"|"&amp;PRICES!$D$2:$D$659,PRICES!$E$2:$E$659),"Not Found"))</f>
        <v/>
      </c>
      <c r="Q876" s="100" t="str">
        <f>IF(N876=0,"",SUMIFS(PRICES!$G$2:$G$658,PRICES!$B$2:$B$658,'MAIN TABLE-1 AUTOMATED'!J876,PRICES!$C$2:$C$658,'MAIN TABLE-1 AUTOMATED'!F876,PRICES!$D$2:$D$658,'MAIN TABLE-1 AUTOMATED'!O876))</f>
        <v/>
      </c>
      <c r="R876" s="41" t="str">
        <f>IF(Table1[[#This Row],[QUANTITY]]=0,"",Table1[[#This Row],[UNIT PRICE]]*Table1[[#This Row],[QUANTITY]])</f>
        <v/>
      </c>
      <c r="S876" s="89"/>
      <c r="T876" s="38"/>
      <c r="U876" s="43"/>
      <c r="V876" s="42" t="str">
        <f>IF(Table1[[#This Row],[DATE]]=0,"",YEAR(E876))</f>
        <v/>
      </c>
      <c r="W876" s="40" t="str">
        <f t="shared" si="28"/>
        <v/>
      </c>
      <c r="X876" s="40" t="str">
        <f t="shared" si="29"/>
        <v/>
      </c>
      <c r="Y876" s="40" t="str">
        <f>TEXT(Table1[[#This Row],[YEAR]],"0000")&amp;"-"&amp;Table1[[#This Row],[MONTH]]</f>
        <v>-</v>
      </c>
    </row>
    <row r="877" spans="1:25" ht="15" customHeight="1" x14ac:dyDescent="0.35">
      <c r="A877" s="24"/>
      <c r="B877" s="36"/>
      <c r="C877" s="38"/>
      <c r="D877" s="38"/>
      <c r="E877" s="37"/>
      <c r="F877" s="38"/>
      <c r="G877" s="198"/>
      <c r="H877" s="198"/>
      <c r="I877" s="39"/>
      <c r="J877" s="38"/>
      <c r="K877" s="198"/>
      <c r="L877" s="38"/>
      <c r="M877" s="38"/>
      <c r="N877" s="38"/>
      <c r="O877" s="38"/>
      <c r="P877" s="40" t="str" cm="1">
        <f t="array" ref="P877">IF(N877="","",IFERROR(_xlfn.XLOOKUP(F877&amp;"|"&amp;J877&amp;"|"&amp;O877,PRICES!$C$2:$C$659&amp;"|"&amp;PRICES!$B$2:$B$659&amp;"|"&amp;PRICES!$D$2:$D$659,PRICES!$E$2:$E$659),"Not Found"))</f>
        <v/>
      </c>
      <c r="Q877" s="100" t="str">
        <f>IF(N877=0,"",SUMIFS(PRICES!$G$2:$G$658,PRICES!$B$2:$B$658,'MAIN TABLE-1 AUTOMATED'!J877,PRICES!$C$2:$C$658,'MAIN TABLE-1 AUTOMATED'!F877,PRICES!$D$2:$D$658,'MAIN TABLE-1 AUTOMATED'!O877))</f>
        <v/>
      </c>
      <c r="R877" s="41" t="str">
        <f>IF(Table1[[#This Row],[QUANTITY]]=0,"",Table1[[#This Row],[UNIT PRICE]]*Table1[[#This Row],[QUANTITY]])</f>
        <v/>
      </c>
      <c r="S877" s="89"/>
      <c r="T877" s="38"/>
      <c r="U877" s="43"/>
      <c r="V877" s="42" t="str">
        <f>IF(Table1[[#This Row],[DATE]]=0,"",YEAR(E877))</f>
        <v/>
      </c>
      <c r="W877" s="40" t="str">
        <f t="shared" si="28"/>
        <v/>
      </c>
      <c r="X877" s="40" t="str">
        <f t="shared" si="29"/>
        <v/>
      </c>
      <c r="Y877" s="40" t="str">
        <f>TEXT(Table1[[#This Row],[YEAR]],"0000")&amp;"-"&amp;Table1[[#This Row],[MONTH]]</f>
        <v>-</v>
      </c>
    </row>
    <row r="878" spans="1:25" ht="15" customHeight="1" x14ac:dyDescent="0.35">
      <c r="A878" s="24"/>
      <c r="B878" s="36"/>
      <c r="C878" s="38"/>
      <c r="D878" s="38"/>
      <c r="E878" s="37"/>
      <c r="F878" s="38"/>
      <c r="G878" s="198"/>
      <c r="H878" s="198"/>
      <c r="I878" s="39"/>
      <c r="J878" s="38"/>
      <c r="K878" s="198"/>
      <c r="L878" s="38"/>
      <c r="M878" s="38"/>
      <c r="N878" s="38"/>
      <c r="O878" s="38"/>
      <c r="P878" s="40" t="str" cm="1">
        <f t="array" ref="P878">IF(N878="","",IFERROR(_xlfn.XLOOKUP(F878&amp;"|"&amp;J878&amp;"|"&amp;O878,PRICES!$C$2:$C$659&amp;"|"&amp;PRICES!$B$2:$B$659&amp;"|"&amp;PRICES!$D$2:$D$659,PRICES!$E$2:$E$659),"Not Found"))</f>
        <v/>
      </c>
      <c r="Q878" s="100" t="str">
        <f>IF(N878=0,"",SUMIFS(PRICES!$G$2:$G$658,PRICES!$B$2:$B$658,'MAIN TABLE-1 AUTOMATED'!J878,PRICES!$C$2:$C$658,'MAIN TABLE-1 AUTOMATED'!F878,PRICES!$D$2:$D$658,'MAIN TABLE-1 AUTOMATED'!O878))</f>
        <v/>
      </c>
      <c r="R878" s="41" t="str">
        <f>IF(Table1[[#This Row],[QUANTITY]]=0,"",Table1[[#This Row],[UNIT PRICE]]*Table1[[#This Row],[QUANTITY]])</f>
        <v/>
      </c>
      <c r="S878" s="89"/>
      <c r="T878" s="38"/>
      <c r="U878" s="43"/>
      <c r="V878" s="42" t="str">
        <f>IF(Table1[[#This Row],[DATE]]=0,"",YEAR(E878))</f>
        <v/>
      </c>
      <c r="W878" s="40" t="str">
        <f t="shared" si="28"/>
        <v/>
      </c>
      <c r="X878" s="40" t="str">
        <f t="shared" si="29"/>
        <v/>
      </c>
      <c r="Y878" s="40" t="str">
        <f>TEXT(Table1[[#This Row],[YEAR]],"0000")&amp;"-"&amp;Table1[[#This Row],[MONTH]]</f>
        <v>-</v>
      </c>
    </row>
    <row r="879" spans="1:25" ht="15" customHeight="1" x14ac:dyDescent="0.35">
      <c r="A879" s="24"/>
      <c r="B879" s="36"/>
      <c r="C879" s="38"/>
      <c r="D879" s="38"/>
      <c r="E879" s="37"/>
      <c r="F879" s="38"/>
      <c r="G879" s="198"/>
      <c r="H879" s="198"/>
      <c r="I879" s="39"/>
      <c r="J879" s="38"/>
      <c r="K879" s="198"/>
      <c r="L879" s="38"/>
      <c r="M879" s="38"/>
      <c r="N879" s="38"/>
      <c r="O879" s="38"/>
      <c r="P879" s="40" t="str" cm="1">
        <f t="array" ref="P879">IF(N879="","",IFERROR(_xlfn.XLOOKUP(F879&amp;"|"&amp;J879&amp;"|"&amp;O879,PRICES!$C$2:$C$659&amp;"|"&amp;PRICES!$B$2:$B$659&amp;"|"&amp;PRICES!$D$2:$D$659,PRICES!$E$2:$E$659),"Not Found"))</f>
        <v/>
      </c>
      <c r="Q879" s="100" t="str">
        <f>IF(N879=0,"",SUMIFS(PRICES!$G$2:$G$658,PRICES!$B$2:$B$658,'MAIN TABLE-1 AUTOMATED'!J879,PRICES!$C$2:$C$658,'MAIN TABLE-1 AUTOMATED'!F879,PRICES!$D$2:$D$658,'MAIN TABLE-1 AUTOMATED'!O879))</f>
        <v/>
      </c>
      <c r="R879" s="41" t="str">
        <f>IF(Table1[[#This Row],[QUANTITY]]=0,"",Table1[[#This Row],[UNIT PRICE]]*Table1[[#This Row],[QUANTITY]])</f>
        <v/>
      </c>
      <c r="S879" s="89"/>
      <c r="T879" s="38"/>
      <c r="U879" s="43"/>
      <c r="V879" s="42" t="str">
        <f>IF(Table1[[#This Row],[DATE]]=0,"",YEAR(E879))</f>
        <v/>
      </c>
      <c r="W879" s="40" t="str">
        <f t="shared" si="28"/>
        <v/>
      </c>
      <c r="X879" s="40" t="str">
        <f t="shared" si="29"/>
        <v/>
      </c>
      <c r="Y879" s="40" t="str">
        <f>TEXT(Table1[[#This Row],[YEAR]],"0000")&amp;"-"&amp;Table1[[#This Row],[MONTH]]</f>
        <v>-</v>
      </c>
    </row>
    <row r="880" spans="1:25" ht="15" customHeight="1" x14ac:dyDescent="0.35">
      <c r="A880" s="24"/>
      <c r="B880" s="36"/>
      <c r="C880" s="38"/>
      <c r="D880" s="38"/>
      <c r="E880" s="37"/>
      <c r="F880" s="38"/>
      <c r="G880" s="198"/>
      <c r="H880" s="198"/>
      <c r="I880" s="39"/>
      <c r="J880" s="38"/>
      <c r="K880" s="198"/>
      <c r="L880" s="38"/>
      <c r="M880" s="38"/>
      <c r="N880" s="38"/>
      <c r="O880" s="38"/>
      <c r="P880" s="40" t="str" cm="1">
        <f t="array" ref="P880">IF(N880="","",IFERROR(_xlfn.XLOOKUP(F880&amp;"|"&amp;J880&amp;"|"&amp;O880,PRICES!$C$2:$C$659&amp;"|"&amp;PRICES!$B$2:$B$659&amp;"|"&amp;PRICES!$D$2:$D$659,PRICES!$E$2:$E$659),"Not Found"))</f>
        <v/>
      </c>
      <c r="Q880" s="100" t="str">
        <f>IF(N880=0,"",SUMIFS(PRICES!$G$2:$G$658,PRICES!$B$2:$B$658,'MAIN TABLE-1 AUTOMATED'!J880,PRICES!$C$2:$C$658,'MAIN TABLE-1 AUTOMATED'!F880,PRICES!$D$2:$D$658,'MAIN TABLE-1 AUTOMATED'!O880))</f>
        <v/>
      </c>
      <c r="R880" s="41" t="str">
        <f>IF(Table1[[#This Row],[QUANTITY]]=0,"",Table1[[#This Row],[UNIT PRICE]]*Table1[[#This Row],[QUANTITY]])</f>
        <v/>
      </c>
      <c r="S880" s="89"/>
      <c r="T880" s="38"/>
      <c r="U880" s="43"/>
      <c r="V880" s="42" t="str">
        <f>IF(Table1[[#This Row],[DATE]]=0,"",YEAR(E880))</f>
        <v/>
      </c>
      <c r="W880" s="40" t="str">
        <f t="shared" si="28"/>
        <v/>
      </c>
      <c r="X880" s="40" t="str">
        <f t="shared" si="29"/>
        <v/>
      </c>
      <c r="Y880" s="40" t="str">
        <f>TEXT(Table1[[#This Row],[YEAR]],"0000")&amp;"-"&amp;Table1[[#This Row],[MONTH]]</f>
        <v>-</v>
      </c>
    </row>
    <row r="881" spans="1:25" ht="15" customHeight="1" x14ac:dyDescent="0.35">
      <c r="A881" s="24"/>
      <c r="B881" s="36"/>
      <c r="C881" s="38"/>
      <c r="D881" s="38"/>
      <c r="E881" s="37"/>
      <c r="F881" s="38"/>
      <c r="G881" s="198"/>
      <c r="H881" s="198"/>
      <c r="I881" s="39"/>
      <c r="J881" s="38"/>
      <c r="K881" s="198"/>
      <c r="L881" s="38"/>
      <c r="M881" s="38"/>
      <c r="N881" s="38"/>
      <c r="O881" s="38"/>
      <c r="P881" s="40" t="str" cm="1">
        <f t="array" ref="P881">IF(N881="","",IFERROR(_xlfn.XLOOKUP(F881&amp;"|"&amp;J881&amp;"|"&amp;O881,PRICES!$C$2:$C$659&amp;"|"&amp;PRICES!$B$2:$B$659&amp;"|"&amp;PRICES!$D$2:$D$659,PRICES!$E$2:$E$659),"Not Found"))</f>
        <v/>
      </c>
      <c r="Q881" s="100" t="str">
        <f>IF(N881=0,"",SUMIFS(PRICES!$G$2:$G$658,PRICES!$B$2:$B$658,'MAIN TABLE-1 AUTOMATED'!J881,PRICES!$C$2:$C$658,'MAIN TABLE-1 AUTOMATED'!F881,PRICES!$D$2:$D$658,'MAIN TABLE-1 AUTOMATED'!O881))</f>
        <v/>
      </c>
      <c r="R881" s="41" t="str">
        <f>IF(Table1[[#This Row],[QUANTITY]]=0,"",Table1[[#This Row],[UNIT PRICE]]*Table1[[#This Row],[QUANTITY]])</f>
        <v/>
      </c>
      <c r="S881" s="89"/>
      <c r="T881" s="38"/>
      <c r="U881" s="43"/>
      <c r="V881" s="42" t="str">
        <f>IF(Table1[[#This Row],[DATE]]=0,"",YEAR(E881))</f>
        <v/>
      </c>
      <c r="W881" s="40" t="str">
        <f t="shared" si="28"/>
        <v/>
      </c>
      <c r="X881" s="40" t="str">
        <f t="shared" si="29"/>
        <v/>
      </c>
      <c r="Y881" s="40" t="str">
        <f>TEXT(Table1[[#This Row],[YEAR]],"0000")&amp;"-"&amp;Table1[[#This Row],[MONTH]]</f>
        <v>-</v>
      </c>
    </row>
    <row r="882" spans="1:25" ht="15" customHeight="1" x14ac:dyDescent="0.35">
      <c r="A882" s="24"/>
      <c r="B882" s="36"/>
      <c r="C882" s="38"/>
      <c r="D882" s="38"/>
      <c r="E882" s="37"/>
      <c r="F882" s="38"/>
      <c r="G882" s="198"/>
      <c r="H882" s="198"/>
      <c r="I882" s="39"/>
      <c r="J882" s="38"/>
      <c r="K882" s="198"/>
      <c r="L882" s="38"/>
      <c r="M882" s="38"/>
      <c r="N882" s="38"/>
      <c r="O882" s="38"/>
      <c r="P882" s="40" t="str" cm="1">
        <f t="array" ref="P882">IF(N882="","",IFERROR(_xlfn.XLOOKUP(F882&amp;"|"&amp;J882&amp;"|"&amp;O882,PRICES!$C$2:$C$659&amp;"|"&amp;PRICES!$B$2:$B$659&amp;"|"&amp;PRICES!$D$2:$D$659,PRICES!$E$2:$E$659),"Not Found"))</f>
        <v/>
      </c>
      <c r="Q882" s="100" t="str">
        <f>IF(N882=0,"",SUMIFS(PRICES!$G$2:$G$658,PRICES!$B$2:$B$658,'MAIN TABLE-1 AUTOMATED'!J882,PRICES!$C$2:$C$658,'MAIN TABLE-1 AUTOMATED'!F882,PRICES!$D$2:$D$658,'MAIN TABLE-1 AUTOMATED'!O882))</f>
        <v/>
      </c>
      <c r="R882" s="41" t="str">
        <f>IF(Table1[[#This Row],[QUANTITY]]=0,"",Table1[[#This Row],[UNIT PRICE]]*Table1[[#This Row],[QUANTITY]])</f>
        <v/>
      </c>
      <c r="S882" s="89"/>
      <c r="T882" s="38"/>
      <c r="U882" s="43"/>
      <c r="V882" s="42" t="str">
        <f>IF(Table1[[#This Row],[DATE]]=0,"",YEAR(E882))</f>
        <v/>
      </c>
      <c r="W882" s="40" t="str">
        <f t="shared" si="28"/>
        <v/>
      </c>
      <c r="X882" s="40" t="str">
        <f t="shared" si="29"/>
        <v/>
      </c>
      <c r="Y882" s="40" t="str">
        <f>TEXT(Table1[[#This Row],[YEAR]],"0000")&amp;"-"&amp;Table1[[#This Row],[MONTH]]</f>
        <v>-</v>
      </c>
    </row>
    <row r="883" spans="1:25" ht="15" customHeight="1" x14ac:dyDescent="0.35">
      <c r="A883" s="24"/>
      <c r="B883" s="36"/>
      <c r="C883" s="38"/>
      <c r="D883" s="38"/>
      <c r="E883" s="37"/>
      <c r="F883" s="38"/>
      <c r="G883" s="198"/>
      <c r="H883" s="198"/>
      <c r="I883" s="39"/>
      <c r="J883" s="38"/>
      <c r="K883" s="198"/>
      <c r="L883" s="38"/>
      <c r="M883" s="38"/>
      <c r="N883" s="38"/>
      <c r="O883" s="38"/>
      <c r="P883" s="40" t="str" cm="1">
        <f t="array" ref="P883">IF(N883="","",IFERROR(_xlfn.XLOOKUP(F883&amp;"|"&amp;J883&amp;"|"&amp;O883,PRICES!$C$2:$C$659&amp;"|"&amp;PRICES!$B$2:$B$659&amp;"|"&amp;PRICES!$D$2:$D$659,PRICES!$E$2:$E$659),"Not Found"))</f>
        <v/>
      </c>
      <c r="Q883" s="100" t="str">
        <f>IF(N883=0,"",SUMIFS(PRICES!$G$2:$G$658,PRICES!$B$2:$B$658,'MAIN TABLE-1 AUTOMATED'!J883,PRICES!$C$2:$C$658,'MAIN TABLE-1 AUTOMATED'!F883,PRICES!$D$2:$D$658,'MAIN TABLE-1 AUTOMATED'!O883))</f>
        <v/>
      </c>
      <c r="R883" s="41" t="str">
        <f>IF(Table1[[#This Row],[QUANTITY]]=0,"",Table1[[#This Row],[UNIT PRICE]]*Table1[[#This Row],[QUANTITY]])</f>
        <v/>
      </c>
      <c r="S883" s="89"/>
      <c r="T883" s="38"/>
      <c r="U883" s="43"/>
      <c r="V883" s="42" t="str">
        <f>IF(Table1[[#This Row],[DATE]]=0,"",YEAR(E883))</f>
        <v/>
      </c>
      <c r="W883" s="40" t="str">
        <f t="shared" si="28"/>
        <v/>
      </c>
      <c r="X883" s="40" t="str">
        <f t="shared" si="29"/>
        <v/>
      </c>
      <c r="Y883" s="40" t="str">
        <f>TEXT(Table1[[#This Row],[YEAR]],"0000")&amp;"-"&amp;Table1[[#This Row],[MONTH]]</f>
        <v>-</v>
      </c>
    </row>
    <row r="884" spans="1:25" ht="15" customHeight="1" x14ac:dyDescent="0.35">
      <c r="A884" s="24"/>
      <c r="B884" s="36"/>
      <c r="C884" s="38"/>
      <c r="D884" s="38"/>
      <c r="E884" s="37"/>
      <c r="F884" s="38"/>
      <c r="G884" s="198"/>
      <c r="H884" s="198"/>
      <c r="I884" s="39"/>
      <c r="J884" s="38"/>
      <c r="K884" s="198"/>
      <c r="L884" s="38"/>
      <c r="M884" s="38"/>
      <c r="N884" s="38"/>
      <c r="O884" s="38"/>
      <c r="P884" s="40" t="str" cm="1">
        <f t="array" ref="P884">IF(N884="","",IFERROR(_xlfn.XLOOKUP(F884&amp;"|"&amp;J884&amp;"|"&amp;O884,PRICES!$C$2:$C$659&amp;"|"&amp;PRICES!$B$2:$B$659&amp;"|"&amp;PRICES!$D$2:$D$659,PRICES!$E$2:$E$659),"Not Found"))</f>
        <v/>
      </c>
      <c r="Q884" s="100" t="str">
        <f>IF(N884=0,"",SUMIFS(PRICES!$G$2:$G$658,PRICES!$B$2:$B$658,'MAIN TABLE-1 AUTOMATED'!J884,PRICES!$C$2:$C$658,'MAIN TABLE-1 AUTOMATED'!F884,PRICES!$D$2:$D$658,'MAIN TABLE-1 AUTOMATED'!O884))</f>
        <v/>
      </c>
      <c r="R884" s="41" t="str">
        <f>IF(Table1[[#This Row],[QUANTITY]]=0,"",Table1[[#This Row],[UNIT PRICE]]*Table1[[#This Row],[QUANTITY]])</f>
        <v/>
      </c>
      <c r="S884" s="89"/>
      <c r="T884" s="38"/>
      <c r="U884" s="43"/>
      <c r="V884" s="42" t="str">
        <f>IF(Table1[[#This Row],[DATE]]=0,"",YEAR(E884))</f>
        <v/>
      </c>
      <c r="W884" s="40" t="str">
        <f t="shared" si="28"/>
        <v/>
      </c>
      <c r="X884" s="40" t="str">
        <f t="shared" si="29"/>
        <v/>
      </c>
      <c r="Y884" s="40" t="str">
        <f>TEXT(Table1[[#This Row],[YEAR]],"0000")&amp;"-"&amp;Table1[[#This Row],[MONTH]]</f>
        <v>-</v>
      </c>
    </row>
    <row r="885" spans="1:25" ht="15" customHeight="1" x14ac:dyDescent="0.35">
      <c r="A885" s="24"/>
      <c r="B885" s="36"/>
      <c r="C885" s="38"/>
      <c r="D885" s="38"/>
      <c r="E885" s="37"/>
      <c r="F885" s="38"/>
      <c r="G885" s="198"/>
      <c r="H885" s="198"/>
      <c r="I885" s="39"/>
      <c r="J885" s="38"/>
      <c r="K885" s="198"/>
      <c r="L885" s="38"/>
      <c r="M885" s="38"/>
      <c r="N885" s="38"/>
      <c r="O885" s="38"/>
      <c r="P885" s="40" t="str" cm="1">
        <f t="array" ref="P885">IF(N885="","",IFERROR(_xlfn.XLOOKUP(F885&amp;"|"&amp;J885&amp;"|"&amp;O885,PRICES!$C$2:$C$659&amp;"|"&amp;PRICES!$B$2:$B$659&amp;"|"&amp;PRICES!$D$2:$D$659,PRICES!$E$2:$E$659),"Not Found"))</f>
        <v/>
      </c>
      <c r="Q885" s="100" t="str">
        <f>IF(N885=0,"",SUMIFS(PRICES!$G$2:$G$658,PRICES!$B$2:$B$658,'MAIN TABLE-1 AUTOMATED'!J885,PRICES!$C$2:$C$658,'MAIN TABLE-1 AUTOMATED'!F885,PRICES!$D$2:$D$658,'MAIN TABLE-1 AUTOMATED'!O885))</f>
        <v/>
      </c>
      <c r="R885" s="41" t="str">
        <f>IF(Table1[[#This Row],[QUANTITY]]=0,"",Table1[[#This Row],[UNIT PRICE]]*Table1[[#This Row],[QUANTITY]])</f>
        <v/>
      </c>
      <c r="S885" s="89"/>
      <c r="T885" s="38"/>
      <c r="U885" s="43"/>
      <c r="V885" s="42" t="str">
        <f>IF(Table1[[#This Row],[DATE]]=0,"",YEAR(E885))</f>
        <v/>
      </c>
      <c r="W885" s="40" t="str">
        <f t="shared" si="28"/>
        <v/>
      </c>
      <c r="X885" s="40" t="str">
        <f t="shared" si="29"/>
        <v/>
      </c>
      <c r="Y885" s="40" t="str">
        <f>TEXT(Table1[[#This Row],[YEAR]],"0000")&amp;"-"&amp;Table1[[#This Row],[MONTH]]</f>
        <v>-</v>
      </c>
    </row>
    <row r="886" spans="1:25" ht="15" customHeight="1" x14ac:dyDescent="0.35">
      <c r="A886" s="24"/>
      <c r="B886" s="36"/>
      <c r="C886" s="38"/>
      <c r="D886" s="38"/>
      <c r="E886" s="37"/>
      <c r="F886" s="38"/>
      <c r="G886" s="198"/>
      <c r="H886" s="198"/>
      <c r="I886" s="39"/>
      <c r="J886" s="38"/>
      <c r="K886" s="198"/>
      <c r="L886" s="38"/>
      <c r="M886" s="38"/>
      <c r="N886" s="38"/>
      <c r="O886" s="38"/>
      <c r="P886" s="40" t="str" cm="1">
        <f t="array" ref="P886">IF(N886="","",IFERROR(_xlfn.XLOOKUP(F886&amp;"|"&amp;J886&amp;"|"&amp;O886,PRICES!$C$2:$C$659&amp;"|"&amp;PRICES!$B$2:$B$659&amp;"|"&amp;PRICES!$D$2:$D$659,PRICES!$E$2:$E$659),"Not Found"))</f>
        <v/>
      </c>
      <c r="Q886" s="100" t="str">
        <f>IF(N886=0,"",SUMIFS(PRICES!$G$2:$G$658,PRICES!$B$2:$B$658,'MAIN TABLE-1 AUTOMATED'!J886,PRICES!$C$2:$C$658,'MAIN TABLE-1 AUTOMATED'!F886,PRICES!$D$2:$D$658,'MAIN TABLE-1 AUTOMATED'!O886))</f>
        <v/>
      </c>
      <c r="R886" s="41" t="str">
        <f>IF(Table1[[#This Row],[QUANTITY]]=0,"",Table1[[#This Row],[UNIT PRICE]]*Table1[[#This Row],[QUANTITY]])</f>
        <v/>
      </c>
      <c r="S886" s="89"/>
      <c r="T886" s="38"/>
      <c r="U886" s="43"/>
      <c r="V886" s="42" t="str">
        <f>IF(Table1[[#This Row],[DATE]]=0,"",YEAR(E886))</f>
        <v/>
      </c>
      <c r="W886" s="40" t="str">
        <f t="shared" si="28"/>
        <v/>
      </c>
      <c r="X886" s="40" t="str">
        <f t="shared" si="29"/>
        <v/>
      </c>
      <c r="Y886" s="40" t="str">
        <f>TEXT(Table1[[#This Row],[YEAR]],"0000")&amp;"-"&amp;Table1[[#This Row],[MONTH]]</f>
        <v>-</v>
      </c>
    </row>
    <row r="887" spans="1:25" ht="15" customHeight="1" x14ac:dyDescent="0.35">
      <c r="A887" s="24"/>
      <c r="B887" s="38"/>
      <c r="C887" s="38"/>
      <c r="D887" s="38"/>
      <c r="E887" s="37"/>
      <c r="F887" s="38"/>
      <c r="G887" s="198"/>
      <c r="H887" s="198"/>
      <c r="I887" s="39"/>
      <c r="J887" s="38"/>
      <c r="K887" s="198"/>
      <c r="L887" s="38"/>
      <c r="M887" s="38"/>
      <c r="N887" s="38"/>
      <c r="O887" s="38"/>
      <c r="P887" s="40" t="str" cm="1">
        <f t="array" ref="P887">IF(N887="","",IFERROR(_xlfn.XLOOKUP(F887&amp;"|"&amp;J887&amp;"|"&amp;O887,PRICES!$C$2:$C$659&amp;"|"&amp;PRICES!$B$2:$B$659&amp;"|"&amp;PRICES!$D$2:$D$659,PRICES!$E$2:$E$659),"Not Found"))</f>
        <v/>
      </c>
      <c r="Q887" s="100" t="str">
        <f>IF(N887=0,"",SUMIFS(PRICES!$G$2:$G$658,PRICES!$B$2:$B$658,'MAIN TABLE-1 AUTOMATED'!J887,PRICES!$C$2:$C$658,'MAIN TABLE-1 AUTOMATED'!F887,PRICES!$D$2:$D$658,'MAIN TABLE-1 AUTOMATED'!O887))</f>
        <v/>
      </c>
      <c r="R887" s="41" t="str">
        <f>IF(Table1[[#This Row],[QUANTITY]]=0,"",Table1[[#This Row],[UNIT PRICE]]*Table1[[#This Row],[QUANTITY]])</f>
        <v/>
      </c>
      <c r="S887" s="89"/>
      <c r="T887" s="38"/>
      <c r="U887" s="43"/>
      <c r="V887" s="42" t="str">
        <f>IF(Table1[[#This Row],[DATE]]=0,"",YEAR(E887))</f>
        <v/>
      </c>
      <c r="W887" s="40" t="str">
        <f t="shared" si="28"/>
        <v/>
      </c>
      <c r="X887" s="40" t="str">
        <f t="shared" si="29"/>
        <v/>
      </c>
      <c r="Y887" s="40" t="str">
        <f>TEXT(Table1[[#This Row],[YEAR]],"0000")&amp;"-"&amp;Table1[[#This Row],[MONTH]]</f>
        <v>-</v>
      </c>
    </row>
    <row r="888" spans="1:25" ht="15" customHeight="1" x14ac:dyDescent="0.35">
      <c r="A888" s="24"/>
      <c r="B888" s="38"/>
      <c r="C888" s="38"/>
      <c r="D888" s="38"/>
      <c r="E888" s="37"/>
      <c r="F888" s="38"/>
      <c r="G888" s="198"/>
      <c r="H888" s="198"/>
      <c r="I888" s="39"/>
      <c r="J888" s="38"/>
      <c r="K888" s="198"/>
      <c r="L888" s="38"/>
      <c r="M888" s="38"/>
      <c r="N888" s="38"/>
      <c r="O888" s="38"/>
      <c r="P888" s="40" t="str" cm="1">
        <f t="array" ref="P888">IF(N888="","",IFERROR(_xlfn.XLOOKUP(F888&amp;"|"&amp;J888&amp;"|"&amp;O888,PRICES!$C$2:$C$659&amp;"|"&amp;PRICES!$B$2:$B$659&amp;"|"&amp;PRICES!$D$2:$D$659,PRICES!$E$2:$E$659),"Not Found"))</f>
        <v/>
      </c>
      <c r="Q888" s="100" t="str">
        <f>IF(N888=0,"",SUMIFS(PRICES!$G$2:$G$658,PRICES!$B$2:$B$658,'MAIN TABLE-1 AUTOMATED'!J888,PRICES!$C$2:$C$658,'MAIN TABLE-1 AUTOMATED'!F888,PRICES!$D$2:$D$658,'MAIN TABLE-1 AUTOMATED'!O888))</f>
        <v/>
      </c>
      <c r="R888" s="41" t="str">
        <f>IF(Table1[[#This Row],[QUANTITY]]=0,"",Table1[[#This Row],[UNIT PRICE]]*Table1[[#This Row],[QUANTITY]])</f>
        <v/>
      </c>
      <c r="S888" s="89"/>
      <c r="T888" s="38"/>
      <c r="U888" s="43"/>
      <c r="V888" s="42" t="str">
        <f>IF(Table1[[#This Row],[DATE]]=0,"",YEAR(E888))</f>
        <v/>
      </c>
      <c r="W888" s="40" t="str">
        <f t="shared" si="28"/>
        <v/>
      </c>
      <c r="X888" s="40" t="str">
        <f t="shared" si="29"/>
        <v/>
      </c>
      <c r="Y888" s="40" t="str">
        <f>TEXT(Table1[[#This Row],[YEAR]],"0000")&amp;"-"&amp;Table1[[#This Row],[MONTH]]</f>
        <v>-</v>
      </c>
    </row>
    <row r="889" spans="1:25" ht="15" customHeight="1" x14ac:dyDescent="0.35">
      <c r="A889" s="24"/>
      <c r="B889" s="38"/>
      <c r="C889" s="38"/>
      <c r="D889" s="38"/>
      <c r="E889" s="37"/>
      <c r="F889" s="38"/>
      <c r="G889" s="198"/>
      <c r="H889" s="198"/>
      <c r="I889" s="39"/>
      <c r="J889" s="38"/>
      <c r="K889" s="198"/>
      <c r="L889" s="38"/>
      <c r="M889" s="38"/>
      <c r="N889" s="38"/>
      <c r="O889" s="38"/>
      <c r="P889" s="40" t="str" cm="1">
        <f t="array" ref="P889">IF(N889="","",IFERROR(_xlfn.XLOOKUP(F889&amp;"|"&amp;J889&amp;"|"&amp;O889,PRICES!$C$2:$C$659&amp;"|"&amp;PRICES!$B$2:$B$659&amp;"|"&amp;PRICES!$D$2:$D$659,PRICES!$E$2:$E$659),"Not Found"))</f>
        <v/>
      </c>
      <c r="Q889" s="100" t="str">
        <f>IF(N889=0,"",SUMIFS(PRICES!$G$2:$G$658,PRICES!$B$2:$B$658,'MAIN TABLE-1 AUTOMATED'!J889,PRICES!$C$2:$C$658,'MAIN TABLE-1 AUTOMATED'!F889,PRICES!$D$2:$D$658,'MAIN TABLE-1 AUTOMATED'!O889))</f>
        <v/>
      </c>
      <c r="R889" s="41" t="str">
        <f>IF(Table1[[#This Row],[QUANTITY]]=0,"",Table1[[#This Row],[UNIT PRICE]]*Table1[[#This Row],[QUANTITY]])</f>
        <v/>
      </c>
      <c r="S889" s="89"/>
      <c r="T889" s="38"/>
      <c r="U889" s="43"/>
      <c r="V889" s="42" t="str">
        <f>IF(Table1[[#This Row],[DATE]]=0,"",YEAR(E889))</f>
        <v/>
      </c>
      <c r="W889" s="40" t="str">
        <f t="shared" si="28"/>
        <v/>
      </c>
      <c r="X889" s="40" t="str">
        <f t="shared" si="29"/>
        <v/>
      </c>
      <c r="Y889" s="40" t="str">
        <f>TEXT(Table1[[#This Row],[YEAR]],"0000")&amp;"-"&amp;Table1[[#This Row],[MONTH]]</f>
        <v>-</v>
      </c>
    </row>
    <row r="890" spans="1:25" ht="15" customHeight="1" x14ac:dyDescent="0.35">
      <c r="A890" s="24"/>
      <c r="B890" s="38"/>
      <c r="C890" s="38"/>
      <c r="D890" s="38"/>
      <c r="E890" s="37"/>
      <c r="F890" s="38"/>
      <c r="G890" s="198"/>
      <c r="H890" s="198"/>
      <c r="I890" s="39"/>
      <c r="J890" s="38"/>
      <c r="K890" s="198"/>
      <c r="L890" s="38"/>
      <c r="M890" s="38"/>
      <c r="N890" s="38"/>
      <c r="O890" s="38"/>
      <c r="P890" s="40" t="str" cm="1">
        <f t="array" ref="P890">IF(N890="","",IFERROR(_xlfn.XLOOKUP(F890&amp;"|"&amp;J890&amp;"|"&amp;O890,PRICES!$C$2:$C$659&amp;"|"&amp;PRICES!$B$2:$B$659&amp;"|"&amp;PRICES!$D$2:$D$659,PRICES!$E$2:$E$659),"Not Found"))</f>
        <v/>
      </c>
      <c r="Q890" s="100" t="str">
        <f>IF(N890=0,"",SUMIFS(PRICES!$G$2:$G$658,PRICES!$B$2:$B$658,'MAIN TABLE-1 AUTOMATED'!J890,PRICES!$C$2:$C$658,'MAIN TABLE-1 AUTOMATED'!F890,PRICES!$D$2:$D$658,'MAIN TABLE-1 AUTOMATED'!O890))</f>
        <v/>
      </c>
      <c r="R890" s="41" t="str">
        <f>IF(Table1[[#This Row],[QUANTITY]]=0,"",Table1[[#This Row],[UNIT PRICE]]*Table1[[#This Row],[QUANTITY]])</f>
        <v/>
      </c>
      <c r="S890" s="89"/>
      <c r="T890" s="38"/>
      <c r="U890" s="43"/>
      <c r="V890" s="42" t="str">
        <f>IF(Table1[[#This Row],[DATE]]=0,"",YEAR(E890))</f>
        <v/>
      </c>
      <c r="W890" s="40" t="str">
        <f t="shared" si="28"/>
        <v/>
      </c>
      <c r="X890" s="40" t="str">
        <f t="shared" si="29"/>
        <v/>
      </c>
      <c r="Y890" s="40" t="str">
        <f>TEXT(Table1[[#This Row],[YEAR]],"0000")&amp;"-"&amp;Table1[[#This Row],[MONTH]]</f>
        <v>-</v>
      </c>
    </row>
    <row r="891" spans="1:25" ht="15" customHeight="1" x14ac:dyDescent="0.35">
      <c r="A891" s="24"/>
      <c r="B891" s="38"/>
      <c r="C891" s="38"/>
      <c r="D891" s="38"/>
      <c r="E891" s="37"/>
      <c r="F891" s="38"/>
      <c r="G891" s="198"/>
      <c r="H891" s="198"/>
      <c r="I891" s="39"/>
      <c r="J891" s="38"/>
      <c r="K891" s="198"/>
      <c r="L891" s="38"/>
      <c r="M891" s="38"/>
      <c r="N891" s="38"/>
      <c r="O891" s="38"/>
      <c r="P891" s="40" t="str" cm="1">
        <f t="array" ref="P891">IF(N891="","",IFERROR(_xlfn.XLOOKUP(F891&amp;"|"&amp;J891&amp;"|"&amp;O891,PRICES!$C$2:$C$659&amp;"|"&amp;PRICES!$B$2:$B$659&amp;"|"&amp;PRICES!$D$2:$D$659,PRICES!$E$2:$E$659),"Not Found"))</f>
        <v/>
      </c>
      <c r="Q891" s="100" t="str">
        <f>IF(N891=0,"",SUMIFS(PRICES!$G$2:$G$658,PRICES!$B$2:$B$658,'MAIN TABLE-1 AUTOMATED'!J891,PRICES!$C$2:$C$658,'MAIN TABLE-1 AUTOMATED'!F891,PRICES!$D$2:$D$658,'MAIN TABLE-1 AUTOMATED'!O891))</f>
        <v/>
      </c>
      <c r="R891" s="41" t="str">
        <f>IF(Table1[[#This Row],[QUANTITY]]=0,"",Table1[[#This Row],[UNIT PRICE]]*Table1[[#This Row],[QUANTITY]])</f>
        <v/>
      </c>
      <c r="S891" s="89"/>
      <c r="T891" s="38"/>
      <c r="U891" s="43"/>
      <c r="V891" s="42" t="str">
        <f>IF(Table1[[#This Row],[DATE]]=0,"",YEAR(E891))</f>
        <v/>
      </c>
      <c r="W891" s="40" t="str">
        <f t="shared" si="28"/>
        <v/>
      </c>
      <c r="X891" s="40" t="str">
        <f t="shared" si="29"/>
        <v/>
      </c>
      <c r="Y891" s="40" t="str">
        <f>TEXT(Table1[[#This Row],[YEAR]],"0000")&amp;"-"&amp;Table1[[#This Row],[MONTH]]</f>
        <v>-</v>
      </c>
    </row>
    <row r="892" spans="1:25" ht="15" customHeight="1" x14ac:dyDescent="0.35">
      <c r="A892" s="24"/>
      <c r="B892" s="38"/>
      <c r="C892" s="38"/>
      <c r="D892" s="38"/>
      <c r="E892" s="37"/>
      <c r="F892" s="38"/>
      <c r="G892" s="198"/>
      <c r="H892" s="198"/>
      <c r="I892" s="39"/>
      <c r="J892" s="38"/>
      <c r="K892" s="198"/>
      <c r="L892" s="38"/>
      <c r="M892" s="38"/>
      <c r="N892" s="38"/>
      <c r="O892" s="38"/>
      <c r="P892" s="40" t="str" cm="1">
        <f t="array" ref="P892">IF(N892="","",IFERROR(_xlfn.XLOOKUP(F892&amp;"|"&amp;J892&amp;"|"&amp;O892,PRICES!$C$2:$C$659&amp;"|"&amp;PRICES!$B$2:$B$659&amp;"|"&amp;PRICES!$D$2:$D$659,PRICES!$E$2:$E$659),"Not Found"))</f>
        <v/>
      </c>
      <c r="Q892" s="100" t="str">
        <f>IF(N892=0,"",SUMIFS(PRICES!$G$2:$G$658,PRICES!$B$2:$B$658,'MAIN TABLE-1 AUTOMATED'!J892,PRICES!$C$2:$C$658,'MAIN TABLE-1 AUTOMATED'!F892,PRICES!$D$2:$D$658,'MAIN TABLE-1 AUTOMATED'!O892))</f>
        <v/>
      </c>
      <c r="R892" s="41" t="str">
        <f>IF(Table1[[#This Row],[QUANTITY]]=0,"",Table1[[#This Row],[UNIT PRICE]]*Table1[[#This Row],[QUANTITY]])</f>
        <v/>
      </c>
      <c r="S892" s="89"/>
      <c r="T892" s="38"/>
      <c r="U892" s="43"/>
      <c r="V892" s="42" t="str">
        <f>IF(Table1[[#This Row],[DATE]]=0,"",YEAR(E892))</f>
        <v/>
      </c>
      <c r="W892" s="40" t="str">
        <f t="shared" si="28"/>
        <v/>
      </c>
      <c r="X892" s="40" t="str">
        <f t="shared" si="29"/>
        <v/>
      </c>
      <c r="Y892" s="40" t="str">
        <f>TEXT(Table1[[#This Row],[YEAR]],"0000")&amp;"-"&amp;Table1[[#This Row],[MONTH]]</f>
        <v>-</v>
      </c>
    </row>
    <row r="893" spans="1:25" ht="15" customHeight="1" x14ac:dyDescent="0.35">
      <c r="A893" s="24"/>
      <c r="B893" s="38"/>
      <c r="C893" s="38"/>
      <c r="D893" s="38"/>
      <c r="E893" s="37"/>
      <c r="F893" s="38"/>
      <c r="G893" s="198"/>
      <c r="H893" s="198"/>
      <c r="I893" s="39"/>
      <c r="J893" s="38"/>
      <c r="K893" s="198"/>
      <c r="L893" s="38"/>
      <c r="M893" s="38"/>
      <c r="N893" s="38"/>
      <c r="O893" s="38"/>
      <c r="P893" s="40" t="str" cm="1">
        <f t="array" ref="P893">IF(N893="","",IFERROR(_xlfn.XLOOKUP(F893&amp;"|"&amp;J893&amp;"|"&amp;O893,PRICES!$C$2:$C$659&amp;"|"&amp;PRICES!$B$2:$B$659&amp;"|"&amp;PRICES!$D$2:$D$659,PRICES!$E$2:$E$659),"Not Found"))</f>
        <v/>
      </c>
      <c r="Q893" s="100" t="str">
        <f>IF(N893=0,"",SUMIFS(PRICES!$G$2:$G$658,PRICES!$B$2:$B$658,'MAIN TABLE-1 AUTOMATED'!J893,PRICES!$C$2:$C$658,'MAIN TABLE-1 AUTOMATED'!F893,PRICES!$D$2:$D$658,'MAIN TABLE-1 AUTOMATED'!O893))</f>
        <v/>
      </c>
      <c r="R893" s="41" t="str">
        <f>IF(Table1[[#This Row],[QUANTITY]]=0,"",Table1[[#This Row],[UNIT PRICE]]*Table1[[#This Row],[QUANTITY]])</f>
        <v/>
      </c>
      <c r="S893" s="89"/>
      <c r="T893" s="38"/>
      <c r="U893" s="43"/>
      <c r="V893" s="42" t="str">
        <f>IF(Table1[[#This Row],[DATE]]=0,"",YEAR(E893))</f>
        <v/>
      </c>
      <c r="W893" s="40" t="str">
        <f t="shared" si="28"/>
        <v/>
      </c>
      <c r="X893" s="40" t="str">
        <f t="shared" si="29"/>
        <v/>
      </c>
      <c r="Y893" s="40" t="str">
        <f>TEXT(Table1[[#This Row],[YEAR]],"0000")&amp;"-"&amp;Table1[[#This Row],[MONTH]]</f>
        <v>-</v>
      </c>
    </row>
    <row r="894" spans="1:25" ht="15" customHeight="1" x14ac:dyDescent="0.35">
      <c r="A894" s="24"/>
      <c r="B894" s="38"/>
      <c r="C894" s="38"/>
      <c r="D894" s="38"/>
      <c r="E894" s="37"/>
      <c r="F894" s="38"/>
      <c r="G894" s="198"/>
      <c r="H894" s="198"/>
      <c r="I894" s="39"/>
      <c r="J894" s="38"/>
      <c r="K894" s="198"/>
      <c r="L894" s="38"/>
      <c r="M894" s="38"/>
      <c r="N894" s="38"/>
      <c r="O894" s="38"/>
      <c r="P894" s="40" t="str" cm="1">
        <f t="array" ref="P894">IF(N894="","",IFERROR(_xlfn.XLOOKUP(F894&amp;"|"&amp;J894&amp;"|"&amp;O894,PRICES!$C$2:$C$659&amp;"|"&amp;PRICES!$B$2:$B$659&amp;"|"&amp;PRICES!$D$2:$D$659,PRICES!$E$2:$E$659),"Not Found"))</f>
        <v/>
      </c>
      <c r="Q894" s="100" t="str">
        <f>IF(N894=0,"",SUMIFS(PRICES!$G$2:$G$658,PRICES!$B$2:$B$658,'MAIN TABLE-1 AUTOMATED'!J894,PRICES!$C$2:$C$658,'MAIN TABLE-1 AUTOMATED'!F894,PRICES!$D$2:$D$658,'MAIN TABLE-1 AUTOMATED'!O894))</f>
        <v/>
      </c>
      <c r="R894" s="41" t="str">
        <f>IF(Table1[[#This Row],[QUANTITY]]=0,"",Table1[[#This Row],[UNIT PRICE]]*Table1[[#This Row],[QUANTITY]])</f>
        <v/>
      </c>
      <c r="S894" s="89"/>
      <c r="T894" s="38"/>
      <c r="U894" s="43"/>
      <c r="V894" s="42" t="str">
        <f>IF(Table1[[#This Row],[DATE]]=0,"",YEAR(E894))</f>
        <v/>
      </c>
      <c r="W894" s="40" t="str">
        <f t="shared" si="28"/>
        <v/>
      </c>
      <c r="X894" s="40" t="str">
        <f t="shared" si="29"/>
        <v/>
      </c>
      <c r="Y894" s="40" t="str">
        <f>TEXT(Table1[[#This Row],[YEAR]],"0000")&amp;"-"&amp;Table1[[#This Row],[MONTH]]</f>
        <v>-</v>
      </c>
    </row>
    <row r="895" spans="1:25" ht="15" customHeight="1" x14ac:dyDescent="0.35">
      <c r="A895" s="24"/>
      <c r="B895" s="38"/>
      <c r="C895" s="38"/>
      <c r="D895" s="38"/>
      <c r="E895" s="37"/>
      <c r="F895" s="38"/>
      <c r="G895" s="198"/>
      <c r="H895" s="198"/>
      <c r="I895" s="39"/>
      <c r="J895" s="38"/>
      <c r="K895" s="198"/>
      <c r="L895" s="38"/>
      <c r="M895" s="38"/>
      <c r="N895" s="38"/>
      <c r="O895" s="38"/>
      <c r="P895" s="40" t="str" cm="1">
        <f t="array" ref="P895">IF(N895="","",IFERROR(_xlfn.XLOOKUP(F895&amp;"|"&amp;J895&amp;"|"&amp;O895,PRICES!$C$2:$C$659&amp;"|"&amp;PRICES!$B$2:$B$659&amp;"|"&amp;PRICES!$D$2:$D$659,PRICES!$E$2:$E$659),"Not Found"))</f>
        <v/>
      </c>
      <c r="Q895" s="100" t="str">
        <f>IF(N895=0,"",SUMIFS(PRICES!$G$2:$G$658,PRICES!$B$2:$B$658,'MAIN TABLE-1 AUTOMATED'!J895,PRICES!$C$2:$C$658,'MAIN TABLE-1 AUTOMATED'!F895,PRICES!$D$2:$D$658,'MAIN TABLE-1 AUTOMATED'!O895))</f>
        <v/>
      </c>
      <c r="R895" s="41" t="str">
        <f>IF(Table1[[#This Row],[QUANTITY]]=0,"",Table1[[#This Row],[UNIT PRICE]]*Table1[[#This Row],[QUANTITY]])</f>
        <v/>
      </c>
      <c r="S895" s="89"/>
      <c r="T895" s="38"/>
      <c r="U895" s="43"/>
      <c r="V895" s="42" t="str">
        <f>IF(Table1[[#This Row],[DATE]]=0,"",YEAR(E895))</f>
        <v/>
      </c>
      <c r="W895" s="40" t="str">
        <f t="shared" si="28"/>
        <v/>
      </c>
      <c r="X895" s="40" t="str">
        <f t="shared" si="29"/>
        <v/>
      </c>
      <c r="Y895" s="40" t="str">
        <f>TEXT(Table1[[#This Row],[YEAR]],"0000")&amp;"-"&amp;Table1[[#This Row],[MONTH]]</f>
        <v>-</v>
      </c>
    </row>
    <row r="896" spans="1:25" ht="15" customHeight="1" x14ac:dyDescent="0.35">
      <c r="A896" s="24"/>
      <c r="B896" s="38"/>
      <c r="C896" s="38"/>
      <c r="D896" s="38"/>
      <c r="E896" s="37"/>
      <c r="F896" s="38"/>
      <c r="G896" s="198"/>
      <c r="H896" s="198"/>
      <c r="I896" s="39"/>
      <c r="J896" s="38"/>
      <c r="K896" s="198"/>
      <c r="L896" s="38"/>
      <c r="M896" s="38"/>
      <c r="N896" s="38"/>
      <c r="O896" s="38"/>
      <c r="P896" s="40" t="str" cm="1">
        <f t="array" ref="P896">IF(N896="","",IFERROR(_xlfn.XLOOKUP(F896&amp;"|"&amp;J896&amp;"|"&amp;O896,PRICES!$C$2:$C$659&amp;"|"&amp;PRICES!$B$2:$B$659&amp;"|"&amp;PRICES!$D$2:$D$659,PRICES!$E$2:$E$659),"Not Found"))</f>
        <v/>
      </c>
      <c r="Q896" s="100" t="str">
        <f>IF(N896=0,"",SUMIFS(PRICES!$G$2:$G$658,PRICES!$B$2:$B$658,'MAIN TABLE-1 AUTOMATED'!J896,PRICES!$C$2:$C$658,'MAIN TABLE-1 AUTOMATED'!F896,PRICES!$D$2:$D$658,'MAIN TABLE-1 AUTOMATED'!O896))</f>
        <v/>
      </c>
      <c r="R896" s="41" t="str">
        <f>IF(Table1[[#This Row],[QUANTITY]]=0,"",Table1[[#This Row],[UNIT PRICE]]*Table1[[#This Row],[QUANTITY]])</f>
        <v/>
      </c>
      <c r="S896" s="89"/>
      <c r="T896" s="38"/>
      <c r="U896" s="43"/>
      <c r="V896" s="42" t="str">
        <f>IF(Table1[[#This Row],[DATE]]=0,"",YEAR(E896))</f>
        <v/>
      </c>
      <c r="W896" s="40" t="str">
        <f t="shared" si="28"/>
        <v/>
      </c>
      <c r="X896" s="40" t="str">
        <f t="shared" si="29"/>
        <v/>
      </c>
      <c r="Y896" s="40" t="str">
        <f>TEXT(Table1[[#This Row],[YEAR]],"0000")&amp;"-"&amp;Table1[[#This Row],[MONTH]]</f>
        <v>-</v>
      </c>
    </row>
    <row r="897" spans="1:25" ht="15" customHeight="1" x14ac:dyDescent="0.35">
      <c r="A897" s="24"/>
      <c r="B897" s="36"/>
      <c r="C897" s="38"/>
      <c r="D897" s="38"/>
      <c r="E897" s="37"/>
      <c r="F897" s="38"/>
      <c r="G897" s="198"/>
      <c r="H897" s="198"/>
      <c r="I897" s="39"/>
      <c r="J897" s="38"/>
      <c r="K897" s="198"/>
      <c r="L897" s="38"/>
      <c r="M897" s="38"/>
      <c r="N897" s="38"/>
      <c r="O897" s="38"/>
      <c r="P897" s="40" t="str" cm="1">
        <f t="array" ref="P897">IF(N897="","",IFERROR(_xlfn.XLOOKUP(F897&amp;"|"&amp;J897&amp;"|"&amp;O897,PRICES!$C$2:$C$659&amp;"|"&amp;PRICES!$B$2:$B$659&amp;"|"&amp;PRICES!$D$2:$D$659,PRICES!$E$2:$E$659),"Not Found"))</f>
        <v/>
      </c>
      <c r="Q897" s="100" t="str">
        <f>IF(N897=0,"",SUMIFS(PRICES!$G$2:$G$658,PRICES!$B$2:$B$658,'MAIN TABLE-1 AUTOMATED'!J897,PRICES!$C$2:$C$658,'MAIN TABLE-1 AUTOMATED'!F897,PRICES!$D$2:$D$658,'MAIN TABLE-1 AUTOMATED'!O897))</f>
        <v/>
      </c>
      <c r="R897" s="41" t="str">
        <f>IF(Table1[[#This Row],[QUANTITY]]=0,"",Table1[[#This Row],[UNIT PRICE]]*Table1[[#This Row],[QUANTITY]])</f>
        <v/>
      </c>
      <c r="S897" s="89"/>
      <c r="T897" s="38"/>
      <c r="U897" s="43"/>
      <c r="V897" s="42" t="str">
        <f>IF(Table1[[#This Row],[DATE]]=0,"",YEAR(E897))</f>
        <v/>
      </c>
      <c r="W897" s="40" t="str">
        <f t="shared" si="28"/>
        <v/>
      </c>
      <c r="X897" s="40" t="str">
        <f t="shared" si="29"/>
        <v/>
      </c>
      <c r="Y897" s="40" t="str">
        <f>TEXT(Table1[[#This Row],[YEAR]],"0000")&amp;"-"&amp;Table1[[#This Row],[MONTH]]</f>
        <v>-</v>
      </c>
    </row>
    <row r="898" spans="1:25" ht="15" customHeight="1" x14ac:dyDescent="0.35">
      <c r="A898" s="24"/>
      <c r="B898" s="36"/>
      <c r="C898" s="38"/>
      <c r="D898" s="38"/>
      <c r="E898" s="37"/>
      <c r="F898" s="38"/>
      <c r="G898" s="198"/>
      <c r="H898" s="198"/>
      <c r="I898" s="39"/>
      <c r="J898" s="38"/>
      <c r="K898" s="198"/>
      <c r="L898" s="38"/>
      <c r="M898" s="38"/>
      <c r="N898" s="38"/>
      <c r="O898" s="38"/>
      <c r="P898" s="40" t="str" cm="1">
        <f t="array" ref="P898">IF(N898="","",IFERROR(_xlfn.XLOOKUP(F898&amp;"|"&amp;J898&amp;"|"&amp;O898,PRICES!$C$2:$C$659&amp;"|"&amp;PRICES!$B$2:$B$659&amp;"|"&amp;PRICES!$D$2:$D$659,PRICES!$E$2:$E$659),"Not Found"))</f>
        <v/>
      </c>
      <c r="Q898" s="100" t="str">
        <f>IF(N898=0,"",SUMIFS(PRICES!$G$2:$G$658,PRICES!$B$2:$B$658,'MAIN TABLE-1 AUTOMATED'!J898,PRICES!$C$2:$C$658,'MAIN TABLE-1 AUTOMATED'!F898,PRICES!$D$2:$D$658,'MAIN TABLE-1 AUTOMATED'!O898))</f>
        <v/>
      </c>
      <c r="R898" s="41" t="str">
        <f>IF(Table1[[#This Row],[QUANTITY]]=0,"",Table1[[#This Row],[UNIT PRICE]]*Table1[[#This Row],[QUANTITY]])</f>
        <v/>
      </c>
      <c r="S898" s="89"/>
      <c r="T898" s="38"/>
      <c r="U898" s="43"/>
      <c r="V898" s="42" t="str">
        <f>IF(Table1[[#This Row],[DATE]]=0,"",YEAR(E898))</f>
        <v/>
      </c>
      <c r="W898" s="40" t="str">
        <f t="shared" si="28"/>
        <v/>
      </c>
      <c r="X898" s="40" t="str">
        <f t="shared" si="29"/>
        <v/>
      </c>
      <c r="Y898" s="40" t="str">
        <f>TEXT(Table1[[#This Row],[YEAR]],"0000")&amp;"-"&amp;Table1[[#This Row],[MONTH]]</f>
        <v>-</v>
      </c>
    </row>
    <row r="899" spans="1:25" ht="15" customHeight="1" x14ac:dyDescent="0.35">
      <c r="A899" s="24"/>
      <c r="B899" s="36"/>
      <c r="C899" s="38"/>
      <c r="D899" s="38"/>
      <c r="E899" s="37"/>
      <c r="F899" s="38"/>
      <c r="G899" s="198"/>
      <c r="H899" s="198"/>
      <c r="I899" s="39"/>
      <c r="J899" s="38"/>
      <c r="K899" s="198"/>
      <c r="L899" s="38"/>
      <c r="M899" s="38"/>
      <c r="N899" s="38"/>
      <c r="O899" s="38"/>
      <c r="P899" s="40" t="str" cm="1">
        <f t="array" ref="P899">IF(N899="","",IFERROR(_xlfn.XLOOKUP(F899&amp;"|"&amp;J899&amp;"|"&amp;O899,PRICES!$C$2:$C$659&amp;"|"&amp;PRICES!$B$2:$B$659&amp;"|"&amp;PRICES!$D$2:$D$659,PRICES!$E$2:$E$659),"Not Found"))</f>
        <v/>
      </c>
      <c r="Q899" s="100" t="str">
        <f>IF(N899=0,"",SUMIFS(PRICES!$G$2:$G$658,PRICES!$B$2:$B$658,'MAIN TABLE-1 AUTOMATED'!J899,PRICES!$C$2:$C$658,'MAIN TABLE-1 AUTOMATED'!F899,PRICES!$D$2:$D$658,'MAIN TABLE-1 AUTOMATED'!O899))</f>
        <v/>
      </c>
      <c r="R899" s="41" t="str">
        <f>IF(Table1[[#This Row],[QUANTITY]]=0,"",Table1[[#This Row],[UNIT PRICE]]*Table1[[#This Row],[QUANTITY]])</f>
        <v/>
      </c>
      <c r="S899" s="89"/>
      <c r="T899" s="38"/>
      <c r="U899" s="43"/>
      <c r="V899" s="42" t="str">
        <f>IF(Table1[[#This Row],[DATE]]=0,"",YEAR(E899))</f>
        <v/>
      </c>
      <c r="W899" s="40" t="str">
        <f t="shared" si="28"/>
        <v/>
      </c>
      <c r="X899" s="40" t="str">
        <f t="shared" si="29"/>
        <v/>
      </c>
      <c r="Y899" s="40" t="str">
        <f>TEXT(Table1[[#This Row],[YEAR]],"0000")&amp;"-"&amp;Table1[[#This Row],[MONTH]]</f>
        <v>-</v>
      </c>
    </row>
    <row r="900" spans="1:25" ht="15" customHeight="1" x14ac:dyDescent="0.35">
      <c r="A900" s="24"/>
      <c r="B900" s="36"/>
      <c r="C900" s="38"/>
      <c r="D900" s="38"/>
      <c r="E900" s="37"/>
      <c r="F900" s="38"/>
      <c r="G900" s="198"/>
      <c r="H900" s="198"/>
      <c r="I900" s="39"/>
      <c r="J900" s="38"/>
      <c r="K900" s="198"/>
      <c r="L900" s="38"/>
      <c r="M900" s="38"/>
      <c r="N900" s="38"/>
      <c r="O900" s="38"/>
      <c r="P900" s="40" t="str" cm="1">
        <f t="array" ref="P900">IF(N900="","",IFERROR(_xlfn.XLOOKUP(F900&amp;"|"&amp;J900&amp;"|"&amp;O900,PRICES!$C$2:$C$659&amp;"|"&amp;PRICES!$B$2:$B$659&amp;"|"&amp;PRICES!$D$2:$D$659,PRICES!$E$2:$E$659),"Not Found"))</f>
        <v/>
      </c>
      <c r="Q900" s="100" t="str">
        <f>IF(N900=0,"",SUMIFS(PRICES!$G$2:$G$658,PRICES!$B$2:$B$658,'MAIN TABLE-1 AUTOMATED'!J900,PRICES!$C$2:$C$658,'MAIN TABLE-1 AUTOMATED'!F900,PRICES!$D$2:$D$658,'MAIN TABLE-1 AUTOMATED'!O900))</f>
        <v/>
      </c>
      <c r="R900" s="41" t="str">
        <f>IF(Table1[[#This Row],[QUANTITY]]=0,"",Table1[[#This Row],[UNIT PRICE]]*Table1[[#This Row],[QUANTITY]])</f>
        <v/>
      </c>
      <c r="S900" s="89"/>
      <c r="T900" s="38"/>
      <c r="U900" s="43"/>
      <c r="V900" s="42" t="str">
        <f>IF(Table1[[#This Row],[DATE]]=0,"",YEAR(E900))</f>
        <v/>
      </c>
      <c r="W900" s="40" t="str">
        <f t="shared" si="28"/>
        <v/>
      </c>
      <c r="X900" s="40" t="str">
        <f t="shared" si="29"/>
        <v/>
      </c>
      <c r="Y900" s="40" t="str">
        <f>TEXT(Table1[[#This Row],[YEAR]],"0000")&amp;"-"&amp;Table1[[#This Row],[MONTH]]</f>
        <v>-</v>
      </c>
    </row>
    <row r="901" spans="1:25" ht="15" customHeight="1" x14ac:dyDescent="0.35">
      <c r="A901" s="24"/>
      <c r="B901" s="36"/>
      <c r="C901" s="38"/>
      <c r="D901" s="38"/>
      <c r="E901" s="37"/>
      <c r="F901" s="38"/>
      <c r="G901" s="198"/>
      <c r="H901" s="198"/>
      <c r="I901" s="39"/>
      <c r="J901" s="38"/>
      <c r="K901" s="198"/>
      <c r="L901" s="38"/>
      <c r="M901" s="38"/>
      <c r="N901" s="38"/>
      <c r="O901" s="38"/>
      <c r="P901" s="40" t="str" cm="1">
        <f t="array" ref="P901">IF(N901="","",IFERROR(_xlfn.XLOOKUP(F901&amp;"|"&amp;J901&amp;"|"&amp;O901,PRICES!$C$2:$C$659&amp;"|"&amp;PRICES!$B$2:$B$659&amp;"|"&amp;PRICES!$D$2:$D$659,PRICES!$E$2:$E$659),"Not Found"))</f>
        <v/>
      </c>
      <c r="Q901" s="100" t="str">
        <f>IF(N901=0,"",SUMIFS(PRICES!$G$2:$G$658,PRICES!$B$2:$B$658,'MAIN TABLE-1 AUTOMATED'!J901,PRICES!$C$2:$C$658,'MAIN TABLE-1 AUTOMATED'!F901,PRICES!$D$2:$D$658,'MAIN TABLE-1 AUTOMATED'!O901))</f>
        <v/>
      </c>
      <c r="R901" s="41" t="str">
        <f>IF(Table1[[#This Row],[QUANTITY]]=0,"",Table1[[#This Row],[UNIT PRICE]]*Table1[[#This Row],[QUANTITY]])</f>
        <v/>
      </c>
      <c r="S901" s="89"/>
      <c r="T901" s="38"/>
      <c r="U901" s="43"/>
      <c r="V901" s="42" t="str">
        <f>IF(Table1[[#This Row],[DATE]]=0,"",YEAR(E901))</f>
        <v/>
      </c>
      <c r="W901" s="40" t="str">
        <f t="shared" si="28"/>
        <v/>
      </c>
      <c r="X901" s="40" t="str">
        <f t="shared" si="29"/>
        <v/>
      </c>
      <c r="Y901" s="40" t="str">
        <f>TEXT(Table1[[#This Row],[YEAR]],"0000")&amp;"-"&amp;Table1[[#This Row],[MONTH]]</f>
        <v>-</v>
      </c>
    </row>
    <row r="902" spans="1:25" ht="15" customHeight="1" x14ac:dyDescent="0.35">
      <c r="A902" s="24"/>
      <c r="B902" s="36"/>
      <c r="C902" s="38"/>
      <c r="D902" s="38"/>
      <c r="E902" s="37"/>
      <c r="F902" s="38"/>
      <c r="G902" s="198"/>
      <c r="H902" s="198"/>
      <c r="I902" s="39"/>
      <c r="J902" s="38"/>
      <c r="K902" s="198"/>
      <c r="L902" s="38"/>
      <c r="M902" s="38"/>
      <c r="N902" s="38"/>
      <c r="O902" s="38"/>
      <c r="P902" s="40" t="str" cm="1">
        <f t="array" ref="P902">IF(N902="","",IFERROR(_xlfn.XLOOKUP(F902&amp;"|"&amp;J902&amp;"|"&amp;O902,PRICES!$C$2:$C$659&amp;"|"&amp;PRICES!$B$2:$B$659&amp;"|"&amp;PRICES!$D$2:$D$659,PRICES!$E$2:$E$659),"Not Found"))</f>
        <v/>
      </c>
      <c r="Q902" s="100" t="str">
        <f>IF(N902=0,"",SUMIFS(PRICES!$G$2:$G$658,PRICES!$B$2:$B$658,'MAIN TABLE-1 AUTOMATED'!J902,PRICES!$C$2:$C$658,'MAIN TABLE-1 AUTOMATED'!F902,PRICES!$D$2:$D$658,'MAIN TABLE-1 AUTOMATED'!O902))</f>
        <v/>
      </c>
      <c r="R902" s="41" t="str">
        <f>IF(Table1[[#This Row],[QUANTITY]]=0,"",Table1[[#This Row],[UNIT PRICE]]*Table1[[#This Row],[QUANTITY]])</f>
        <v/>
      </c>
      <c r="S902" s="89"/>
      <c r="T902" s="38"/>
      <c r="U902" s="43"/>
      <c r="V902" s="42" t="str">
        <f>IF(Table1[[#This Row],[DATE]]=0,"",YEAR(E902))</f>
        <v/>
      </c>
      <c r="W902" s="40" t="str">
        <f t="shared" si="28"/>
        <v/>
      </c>
      <c r="X902" s="40" t="str">
        <f t="shared" si="29"/>
        <v/>
      </c>
      <c r="Y902" s="40" t="str">
        <f>TEXT(Table1[[#This Row],[YEAR]],"0000")&amp;"-"&amp;Table1[[#This Row],[MONTH]]</f>
        <v>-</v>
      </c>
    </row>
    <row r="903" spans="1:25" ht="15" customHeight="1" x14ac:dyDescent="0.35">
      <c r="A903" s="24"/>
      <c r="B903" s="36"/>
      <c r="C903" s="38"/>
      <c r="D903" s="38"/>
      <c r="E903" s="37"/>
      <c r="F903" s="38"/>
      <c r="G903" s="198"/>
      <c r="H903" s="198"/>
      <c r="I903" s="39"/>
      <c r="J903" s="38"/>
      <c r="K903" s="198"/>
      <c r="L903" s="38"/>
      <c r="M903" s="38"/>
      <c r="N903" s="38"/>
      <c r="O903" s="38"/>
      <c r="P903" s="40" t="str" cm="1">
        <f t="array" ref="P903">IF(N903="","",IFERROR(_xlfn.XLOOKUP(F903&amp;"|"&amp;J903&amp;"|"&amp;O903,PRICES!$C$2:$C$659&amp;"|"&amp;PRICES!$B$2:$B$659&amp;"|"&amp;PRICES!$D$2:$D$659,PRICES!$E$2:$E$659),"Not Found"))</f>
        <v/>
      </c>
      <c r="Q903" s="100" t="str">
        <f>IF(N903=0,"",SUMIFS(PRICES!$G$2:$G$658,PRICES!$B$2:$B$658,'MAIN TABLE-1 AUTOMATED'!J903,PRICES!$C$2:$C$658,'MAIN TABLE-1 AUTOMATED'!F903,PRICES!$D$2:$D$658,'MAIN TABLE-1 AUTOMATED'!O903))</f>
        <v/>
      </c>
      <c r="R903" s="41" t="str">
        <f>IF(Table1[[#This Row],[QUANTITY]]=0,"",Table1[[#This Row],[UNIT PRICE]]*Table1[[#This Row],[QUANTITY]])</f>
        <v/>
      </c>
      <c r="S903" s="89"/>
      <c r="T903" s="38"/>
      <c r="U903" s="43"/>
      <c r="V903" s="42" t="str">
        <f>IF(Table1[[#This Row],[DATE]]=0,"",YEAR(E903))</f>
        <v/>
      </c>
      <c r="W903" s="40" t="str">
        <f t="shared" si="28"/>
        <v/>
      </c>
      <c r="X903" s="40" t="str">
        <f t="shared" si="29"/>
        <v/>
      </c>
      <c r="Y903" s="40" t="str">
        <f>TEXT(Table1[[#This Row],[YEAR]],"0000")&amp;"-"&amp;Table1[[#This Row],[MONTH]]</f>
        <v>-</v>
      </c>
    </row>
    <row r="904" spans="1:25" ht="15" customHeight="1" x14ac:dyDescent="0.35">
      <c r="A904" s="24"/>
      <c r="B904" s="38"/>
      <c r="C904" s="38"/>
      <c r="D904" s="38"/>
      <c r="E904" s="37"/>
      <c r="F904" s="38"/>
      <c r="G904" s="198"/>
      <c r="H904" s="198"/>
      <c r="I904" s="39"/>
      <c r="J904" s="38"/>
      <c r="K904" s="198"/>
      <c r="L904" s="38"/>
      <c r="M904" s="38"/>
      <c r="N904" s="38"/>
      <c r="O904" s="38"/>
      <c r="P904" s="40" t="str" cm="1">
        <f t="array" ref="P904">IF(N904="","",IFERROR(_xlfn.XLOOKUP(F904&amp;"|"&amp;J904&amp;"|"&amp;O904,PRICES!$C$2:$C$659&amp;"|"&amp;PRICES!$B$2:$B$659&amp;"|"&amp;PRICES!$D$2:$D$659,PRICES!$E$2:$E$659),"Not Found"))</f>
        <v/>
      </c>
      <c r="Q904" s="100" t="str">
        <f>IF(N904=0,"",SUMIFS(PRICES!$G$2:$G$658,PRICES!$B$2:$B$658,'MAIN TABLE-1 AUTOMATED'!J904,PRICES!$C$2:$C$658,'MAIN TABLE-1 AUTOMATED'!F904,PRICES!$D$2:$D$658,'MAIN TABLE-1 AUTOMATED'!O904))</f>
        <v/>
      </c>
      <c r="R904" s="41" t="str">
        <f>IF(Table1[[#This Row],[QUANTITY]]=0,"",Table1[[#This Row],[UNIT PRICE]]*Table1[[#This Row],[QUANTITY]])</f>
        <v/>
      </c>
      <c r="S904" s="89"/>
      <c r="T904" s="38"/>
      <c r="U904" s="43"/>
      <c r="V904" s="42" t="str">
        <f>IF(Table1[[#This Row],[DATE]]=0,"",YEAR(E904))</f>
        <v/>
      </c>
      <c r="W904" s="40" t="str">
        <f t="shared" si="28"/>
        <v/>
      </c>
      <c r="X904" s="40" t="str">
        <f t="shared" si="29"/>
        <v/>
      </c>
      <c r="Y904" s="40" t="str">
        <f>TEXT(Table1[[#This Row],[YEAR]],"0000")&amp;"-"&amp;Table1[[#This Row],[MONTH]]</f>
        <v>-</v>
      </c>
    </row>
    <row r="905" spans="1:25" ht="15" customHeight="1" x14ac:dyDescent="0.35">
      <c r="A905" s="24"/>
      <c r="B905" s="38"/>
      <c r="C905" s="38"/>
      <c r="D905" s="38"/>
      <c r="E905" s="37"/>
      <c r="F905" s="38"/>
      <c r="G905" s="198"/>
      <c r="H905" s="198"/>
      <c r="I905" s="39"/>
      <c r="J905" s="38"/>
      <c r="K905" s="198"/>
      <c r="L905" s="38"/>
      <c r="M905" s="38"/>
      <c r="N905" s="38"/>
      <c r="O905" s="38"/>
      <c r="P905" s="40" t="str" cm="1">
        <f t="array" ref="P905">IF(N905="","",IFERROR(_xlfn.XLOOKUP(F905&amp;"|"&amp;J905&amp;"|"&amp;O905,PRICES!$C$2:$C$659&amp;"|"&amp;PRICES!$B$2:$B$659&amp;"|"&amp;PRICES!$D$2:$D$659,PRICES!$E$2:$E$659),"Not Found"))</f>
        <v/>
      </c>
      <c r="Q905" s="100" t="str">
        <f>IF(N905=0,"",SUMIFS(PRICES!$G$2:$G$658,PRICES!$B$2:$B$658,'MAIN TABLE-1 AUTOMATED'!J905,PRICES!$C$2:$C$658,'MAIN TABLE-1 AUTOMATED'!F905,PRICES!$D$2:$D$658,'MAIN TABLE-1 AUTOMATED'!O905))</f>
        <v/>
      </c>
      <c r="R905" s="41" t="str">
        <f>IF(Table1[[#This Row],[QUANTITY]]=0,"",Table1[[#This Row],[UNIT PRICE]]*Table1[[#This Row],[QUANTITY]])</f>
        <v/>
      </c>
      <c r="S905" s="89"/>
      <c r="T905" s="38"/>
      <c r="U905" s="43"/>
      <c r="V905" s="42" t="str">
        <f>IF(Table1[[#This Row],[DATE]]=0,"",YEAR(E905))</f>
        <v/>
      </c>
      <c r="W905" s="40" t="str">
        <f t="shared" si="28"/>
        <v/>
      </c>
      <c r="X905" s="40" t="str">
        <f t="shared" si="29"/>
        <v/>
      </c>
      <c r="Y905" s="40" t="str">
        <f>TEXT(Table1[[#This Row],[YEAR]],"0000")&amp;"-"&amp;Table1[[#This Row],[MONTH]]</f>
        <v>-</v>
      </c>
    </row>
    <row r="906" spans="1:25" ht="15" customHeight="1" x14ac:dyDescent="0.35">
      <c r="A906" s="24"/>
      <c r="B906" s="38"/>
      <c r="C906" s="38"/>
      <c r="D906" s="38"/>
      <c r="E906" s="37"/>
      <c r="F906" s="38"/>
      <c r="G906" s="198"/>
      <c r="H906" s="198"/>
      <c r="I906" s="39"/>
      <c r="J906" s="38"/>
      <c r="K906" s="198"/>
      <c r="L906" s="38"/>
      <c r="M906" s="38"/>
      <c r="N906" s="38"/>
      <c r="O906" s="38"/>
      <c r="P906" s="40" t="str" cm="1">
        <f t="array" ref="P906">IF(N906="","",IFERROR(_xlfn.XLOOKUP(F906&amp;"|"&amp;J906&amp;"|"&amp;O906,PRICES!$C$2:$C$659&amp;"|"&amp;PRICES!$B$2:$B$659&amp;"|"&amp;PRICES!$D$2:$D$659,PRICES!$E$2:$E$659),"Not Found"))</f>
        <v/>
      </c>
      <c r="Q906" s="100" t="str">
        <f>IF(N906=0,"",SUMIFS(PRICES!$G$2:$G$658,PRICES!$B$2:$B$658,'MAIN TABLE-1 AUTOMATED'!J906,PRICES!$C$2:$C$658,'MAIN TABLE-1 AUTOMATED'!F906,PRICES!$D$2:$D$658,'MAIN TABLE-1 AUTOMATED'!O906))</f>
        <v/>
      </c>
      <c r="R906" s="41" t="str">
        <f>IF(Table1[[#This Row],[QUANTITY]]=0,"",Table1[[#This Row],[UNIT PRICE]]*Table1[[#This Row],[QUANTITY]])</f>
        <v/>
      </c>
      <c r="S906" s="89"/>
      <c r="T906" s="38"/>
      <c r="U906" s="43"/>
      <c r="V906" s="42" t="str">
        <f>IF(Table1[[#This Row],[DATE]]=0,"",YEAR(E906))</f>
        <v/>
      </c>
      <c r="W906" s="40" t="str">
        <f t="shared" si="28"/>
        <v/>
      </c>
      <c r="X906" s="40" t="str">
        <f t="shared" si="29"/>
        <v/>
      </c>
      <c r="Y906" s="40" t="str">
        <f>TEXT(Table1[[#This Row],[YEAR]],"0000")&amp;"-"&amp;Table1[[#This Row],[MONTH]]</f>
        <v>-</v>
      </c>
    </row>
    <row r="907" spans="1:25" ht="15" customHeight="1" x14ac:dyDescent="0.35">
      <c r="A907" s="24"/>
      <c r="B907" s="38"/>
      <c r="C907" s="38"/>
      <c r="D907" s="38"/>
      <c r="E907" s="37"/>
      <c r="F907" s="38"/>
      <c r="G907" s="198"/>
      <c r="H907" s="198"/>
      <c r="I907" s="39"/>
      <c r="J907" s="38"/>
      <c r="K907" s="198"/>
      <c r="L907" s="38"/>
      <c r="M907" s="38"/>
      <c r="N907" s="38"/>
      <c r="O907" s="38"/>
      <c r="P907" s="40" t="str" cm="1">
        <f t="array" ref="P907">IF(N907="","",IFERROR(_xlfn.XLOOKUP(F907&amp;"|"&amp;J907&amp;"|"&amp;O907,PRICES!$C$2:$C$659&amp;"|"&amp;PRICES!$B$2:$B$659&amp;"|"&amp;PRICES!$D$2:$D$659,PRICES!$E$2:$E$659),"Not Found"))</f>
        <v/>
      </c>
      <c r="Q907" s="100" t="str">
        <f>IF(N907=0,"",SUMIFS(PRICES!$G$2:$G$658,PRICES!$B$2:$B$658,'MAIN TABLE-1 AUTOMATED'!J907,PRICES!$C$2:$C$658,'MAIN TABLE-1 AUTOMATED'!F907,PRICES!$D$2:$D$658,'MAIN TABLE-1 AUTOMATED'!O907))</f>
        <v/>
      </c>
      <c r="R907" s="41" t="str">
        <f>IF(Table1[[#This Row],[QUANTITY]]=0,"",Table1[[#This Row],[UNIT PRICE]]*Table1[[#This Row],[QUANTITY]])</f>
        <v/>
      </c>
      <c r="S907" s="89"/>
      <c r="T907" s="38"/>
      <c r="U907" s="43"/>
      <c r="V907" s="42" t="str">
        <f>IF(Table1[[#This Row],[DATE]]=0,"",YEAR(E907))</f>
        <v/>
      </c>
      <c r="W907" s="40" t="str">
        <f t="shared" si="28"/>
        <v/>
      </c>
      <c r="X907" s="40" t="str">
        <f t="shared" si="29"/>
        <v/>
      </c>
      <c r="Y907" s="40" t="str">
        <f>TEXT(Table1[[#This Row],[YEAR]],"0000")&amp;"-"&amp;Table1[[#This Row],[MONTH]]</f>
        <v>-</v>
      </c>
    </row>
    <row r="908" spans="1:25" ht="15" customHeight="1" x14ac:dyDescent="0.35">
      <c r="A908" s="24"/>
      <c r="B908" s="38"/>
      <c r="C908" s="38"/>
      <c r="D908" s="38"/>
      <c r="E908" s="37"/>
      <c r="F908" s="38"/>
      <c r="G908" s="198"/>
      <c r="H908" s="198"/>
      <c r="I908" s="39"/>
      <c r="J908" s="38"/>
      <c r="K908" s="198"/>
      <c r="L908" s="38"/>
      <c r="M908" s="38"/>
      <c r="N908" s="38"/>
      <c r="O908" s="38"/>
      <c r="P908" s="40" t="str" cm="1">
        <f t="array" ref="P908">IF(N908="","",IFERROR(_xlfn.XLOOKUP(F908&amp;"|"&amp;J908&amp;"|"&amp;O908,PRICES!$C$2:$C$659&amp;"|"&amp;PRICES!$B$2:$B$659&amp;"|"&amp;PRICES!$D$2:$D$659,PRICES!$E$2:$E$659),"Not Found"))</f>
        <v/>
      </c>
      <c r="Q908" s="100" t="str">
        <f>IF(N908=0,"",SUMIFS(PRICES!$G$2:$G$658,PRICES!$B$2:$B$658,'MAIN TABLE-1 AUTOMATED'!J908,PRICES!$C$2:$C$658,'MAIN TABLE-1 AUTOMATED'!F908,PRICES!$D$2:$D$658,'MAIN TABLE-1 AUTOMATED'!O908))</f>
        <v/>
      </c>
      <c r="R908" s="41" t="str">
        <f>IF(Table1[[#This Row],[QUANTITY]]=0,"",Table1[[#This Row],[UNIT PRICE]]*Table1[[#This Row],[QUANTITY]])</f>
        <v/>
      </c>
      <c r="S908" s="89"/>
      <c r="T908" s="38"/>
      <c r="U908" s="43"/>
      <c r="V908" s="42" t="str">
        <f>IF(Table1[[#This Row],[DATE]]=0,"",YEAR(E908))</f>
        <v/>
      </c>
      <c r="W908" s="40" t="str">
        <f t="shared" si="28"/>
        <v/>
      </c>
      <c r="X908" s="40" t="str">
        <f t="shared" si="29"/>
        <v/>
      </c>
      <c r="Y908" s="40" t="str">
        <f>TEXT(Table1[[#This Row],[YEAR]],"0000")&amp;"-"&amp;Table1[[#This Row],[MONTH]]</f>
        <v>-</v>
      </c>
    </row>
    <row r="909" spans="1:25" ht="15" customHeight="1" x14ac:dyDescent="0.35">
      <c r="A909" s="24"/>
      <c r="B909" s="38"/>
      <c r="C909" s="38"/>
      <c r="D909" s="38"/>
      <c r="E909" s="37"/>
      <c r="F909" s="38"/>
      <c r="G909" s="198"/>
      <c r="H909" s="198"/>
      <c r="I909" s="39"/>
      <c r="J909" s="38"/>
      <c r="K909" s="198"/>
      <c r="L909" s="38"/>
      <c r="M909" s="38"/>
      <c r="N909" s="38"/>
      <c r="O909" s="38"/>
      <c r="P909" s="40" t="str" cm="1">
        <f t="array" ref="P909">IF(N909="","",IFERROR(_xlfn.XLOOKUP(F909&amp;"|"&amp;J909&amp;"|"&amp;O909,PRICES!$C$2:$C$659&amp;"|"&amp;PRICES!$B$2:$B$659&amp;"|"&amp;PRICES!$D$2:$D$659,PRICES!$E$2:$E$659),"Not Found"))</f>
        <v/>
      </c>
      <c r="Q909" s="100" t="str">
        <f>IF(N909=0,"",SUMIFS(PRICES!$G$2:$G$658,PRICES!$B$2:$B$658,'MAIN TABLE-1 AUTOMATED'!J909,PRICES!$C$2:$C$658,'MAIN TABLE-1 AUTOMATED'!F909,PRICES!$D$2:$D$658,'MAIN TABLE-1 AUTOMATED'!O909))</f>
        <v/>
      </c>
      <c r="R909" s="41" t="str">
        <f>IF(Table1[[#This Row],[QUANTITY]]=0,"",Table1[[#This Row],[UNIT PRICE]]*Table1[[#This Row],[QUANTITY]])</f>
        <v/>
      </c>
      <c r="S909" s="89"/>
      <c r="T909" s="38"/>
      <c r="U909" s="43"/>
      <c r="V909" s="42" t="str">
        <f>IF(Table1[[#This Row],[DATE]]=0,"",YEAR(E909))</f>
        <v/>
      </c>
      <c r="W909" s="40" t="str">
        <f t="shared" si="28"/>
        <v/>
      </c>
      <c r="X909" s="40" t="str">
        <f t="shared" si="29"/>
        <v/>
      </c>
      <c r="Y909" s="40" t="str">
        <f>TEXT(Table1[[#This Row],[YEAR]],"0000")&amp;"-"&amp;Table1[[#This Row],[MONTH]]</f>
        <v>-</v>
      </c>
    </row>
    <row r="910" spans="1:25" ht="15" customHeight="1" x14ac:dyDescent="0.35">
      <c r="A910" s="24"/>
      <c r="B910" s="38"/>
      <c r="C910" s="38"/>
      <c r="D910" s="38"/>
      <c r="E910" s="37"/>
      <c r="F910" s="38"/>
      <c r="G910" s="198"/>
      <c r="H910" s="198"/>
      <c r="I910" s="39"/>
      <c r="J910" s="38"/>
      <c r="K910" s="198"/>
      <c r="L910" s="38"/>
      <c r="M910" s="38"/>
      <c r="N910" s="38"/>
      <c r="O910" s="38"/>
      <c r="P910" s="40" t="str" cm="1">
        <f t="array" ref="P910">IF(N910="","",IFERROR(_xlfn.XLOOKUP(F910&amp;"|"&amp;J910&amp;"|"&amp;O910,PRICES!$C$2:$C$659&amp;"|"&amp;PRICES!$B$2:$B$659&amp;"|"&amp;PRICES!$D$2:$D$659,PRICES!$E$2:$E$659),"Not Found"))</f>
        <v/>
      </c>
      <c r="Q910" s="100" t="str">
        <f>IF(N910=0,"",SUMIFS(PRICES!$G$2:$G$658,PRICES!$B$2:$B$658,'MAIN TABLE-1 AUTOMATED'!J910,PRICES!$C$2:$C$658,'MAIN TABLE-1 AUTOMATED'!F910,PRICES!$D$2:$D$658,'MAIN TABLE-1 AUTOMATED'!O910))</f>
        <v/>
      </c>
      <c r="R910" s="41" t="str">
        <f>IF(Table1[[#This Row],[QUANTITY]]=0,"",Table1[[#This Row],[UNIT PRICE]]*Table1[[#This Row],[QUANTITY]])</f>
        <v/>
      </c>
      <c r="S910" s="89"/>
      <c r="T910" s="38"/>
      <c r="U910" s="43"/>
      <c r="V910" s="42" t="str">
        <f>IF(Table1[[#This Row],[DATE]]=0,"",YEAR(E910))</f>
        <v/>
      </c>
      <c r="W910" s="40" t="str">
        <f t="shared" si="28"/>
        <v/>
      </c>
      <c r="X910" s="40" t="str">
        <f t="shared" si="29"/>
        <v/>
      </c>
      <c r="Y910" s="40" t="str">
        <f>TEXT(Table1[[#This Row],[YEAR]],"0000")&amp;"-"&amp;Table1[[#This Row],[MONTH]]</f>
        <v>-</v>
      </c>
    </row>
    <row r="911" spans="1:25" ht="15" customHeight="1" x14ac:dyDescent="0.35">
      <c r="A911" s="24"/>
      <c r="B911" s="38"/>
      <c r="C911" s="38"/>
      <c r="D911" s="38"/>
      <c r="E911" s="37"/>
      <c r="F911" s="38"/>
      <c r="G911" s="198"/>
      <c r="H911" s="198"/>
      <c r="I911" s="39"/>
      <c r="J911" s="38"/>
      <c r="K911" s="198"/>
      <c r="L911" s="38"/>
      <c r="M911" s="38"/>
      <c r="N911" s="38"/>
      <c r="O911" s="38"/>
      <c r="P911" s="40" t="str" cm="1">
        <f t="array" ref="P911">IF(N911="","",IFERROR(_xlfn.XLOOKUP(F911&amp;"|"&amp;J911&amp;"|"&amp;O911,PRICES!$C$2:$C$659&amp;"|"&amp;PRICES!$B$2:$B$659&amp;"|"&amp;PRICES!$D$2:$D$659,PRICES!$E$2:$E$659),"Not Found"))</f>
        <v/>
      </c>
      <c r="Q911" s="100" t="str">
        <f>IF(N911=0,"",SUMIFS(PRICES!$G$2:$G$658,PRICES!$B$2:$B$658,'MAIN TABLE-1 AUTOMATED'!J911,PRICES!$C$2:$C$658,'MAIN TABLE-1 AUTOMATED'!F911,PRICES!$D$2:$D$658,'MAIN TABLE-1 AUTOMATED'!O911))</f>
        <v/>
      </c>
      <c r="R911" s="41" t="str">
        <f>IF(Table1[[#This Row],[QUANTITY]]=0,"",Table1[[#This Row],[UNIT PRICE]]*Table1[[#This Row],[QUANTITY]])</f>
        <v/>
      </c>
      <c r="S911" s="89"/>
      <c r="T911" s="38"/>
      <c r="U911" s="43"/>
      <c r="V911" s="42" t="str">
        <f>IF(Table1[[#This Row],[DATE]]=0,"",YEAR(E911))</f>
        <v/>
      </c>
      <c r="W911" s="40" t="str">
        <f t="shared" si="28"/>
        <v/>
      </c>
      <c r="X911" s="40" t="str">
        <f t="shared" si="29"/>
        <v/>
      </c>
      <c r="Y911" s="40" t="str">
        <f>TEXT(Table1[[#This Row],[YEAR]],"0000")&amp;"-"&amp;Table1[[#This Row],[MONTH]]</f>
        <v>-</v>
      </c>
    </row>
    <row r="912" spans="1:25" ht="15" customHeight="1" x14ac:dyDescent="0.35">
      <c r="A912" s="24"/>
      <c r="B912" s="38"/>
      <c r="C912" s="38"/>
      <c r="D912" s="38"/>
      <c r="E912" s="37"/>
      <c r="F912" s="38"/>
      <c r="G912" s="198"/>
      <c r="H912" s="198"/>
      <c r="I912" s="39"/>
      <c r="J912" s="38"/>
      <c r="K912" s="198"/>
      <c r="L912" s="38"/>
      <c r="M912" s="38"/>
      <c r="N912" s="38"/>
      <c r="O912" s="38"/>
      <c r="P912" s="40" t="str" cm="1">
        <f t="array" ref="P912">IF(N912="","",IFERROR(_xlfn.XLOOKUP(F912&amp;"|"&amp;J912&amp;"|"&amp;O912,PRICES!$C$2:$C$659&amp;"|"&amp;PRICES!$B$2:$B$659&amp;"|"&amp;PRICES!$D$2:$D$659,PRICES!$E$2:$E$659),"Not Found"))</f>
        <v/>
      </c>
      <c r="Q912" s="100" t="str">
        <f>IF(N912=0,"",SUMIFS(PRICES!$G$2:$G$658,PRICES!$B$2:$B$658,'MAIN TABLE-1 AUTOMATED'!J912,PRICES!$C$2:$C$658,'MAIN TABLE-1 AUTOMATED'!F912,PRICES!$D$2:$D$658,'MAIN TABLE-1 AUTOMATED'!O912))</f>
        <v/>
      </c>
      <c r="R912" s="41" t="str">
        <f>IF(Table1[[#This Row],[QUANTITY]]=0,"",Table1[[#This Row],[UNIT PRICE]]*Table1[[#This Row],[QUANTITY]])</f>
        <v/>
      </c>
      <c r="S912" s="89"/>
      <c r="T912" s="38"/>
      <c r="U912" s="43"/>
      <c r="V912" s="42" t="str">
        <f>IF(Table1[[#This Row],[DATE]]=0,"",YEAR(E912))</f>
        <v/>
      </c>
      <c r="W912" s="40" t="str">
        <f t="shared" si="28"/>
        <v/>
      </c>
      <c r="X912" s="40" t="str">
        <f t="shared" si="29"/>
        <v/>
      </c>
      <c r="Y912" s="40" t="str">
        <f>TEXT(Table1[[#This Row],[YEAR]],"0000")&amp;"-"&amp;Table1[[#This Row],[MONTH]]</f>
        <v>-</v>
      </c>
    </row>
    <row r="913" spans="1:25" ht="15" customHeight="1" x14ac:dyDescent="0.35">
      <c r="A913" s="24"/>
      <c r="B913" s="38"/>
      <c r="C913" s="38"/>
      <c r="D913" s="38"/>
      <c r="E913" s="37"/>
      <c r="F913" s="38"/>
      <c r="G913" s="198"/>
      <c r="H913" s="198"/>
      <c r="I913" s="39"/>
      <c r="J913" s="38"/>
      <c r="K913" s="198"/>
      <c r="L913" s="38"/>
      <c r="M913" s="38"/>
      <c r="N913" s="38"/>
      <c r="O913" s="38"/>
      <c r="P913" s="40" t="str" cm="1">
        <f t="array" ref="P913">IF(N913="","",IFERROR(_xlfn.XLOOKUP(F913&amp;"|"&amp;J913&amp;"|"&amp;O913,PRICES!$C$2:$C$659&amp;"|"&amp;PRICES!$B$2:$B$659&amp;"|"&amp;PRICES!$D$2:$D$659,PRICES!$E$2:$E$659),"Not Found"))</f>
        <v/>
      </c>
      <c r="Q913" s="100" t="str">
        <f>IF(N913=0,"",SUMIFS(PRICES!$G$2:$G$658,PRICES!$B$2:$B$658,'MAIN TABLE-1 AUTOMATED'!J913,PRICES!$C$2:$C$658,'MAIN TABLE-1 AUTOMATED'!F913,PRICES!$D$2:$D$658,'MAIN TABLE-1 AUTOMATED'!O913))</f>
        <v/>
      </c>
      <c r="R913" s="41" t="str">
        <f>IF(Table1[[#This Row],[QUANTITY]]=0,"",Table1[[#This Row],[UNIT PRICE]]*Table1[[#This Row],[QUANTITY]])</f>
        <v/>
      </c>
      <c r="S913" s="89"/>
      <c r="T913" s="38"/>
      <c r="U913" s="43"/>
      <c r="V913" s="42" t="str">
        <f>IF(Table1[[#This Row],[DATE]]=0,"",YEAR(E913))</f>
        <v/>
      </c>
      <c r="W913" s="40" t="str">
        <f t="shared" si="28"/>
        <v/>
      </c>
      <c r="X913" s="40" t="str">
        <f t="shared" si="29"/>
        <v/>
      </c>
      <c r="Y913" s="40" t="str">
        <f>TEXT(Table1[[#This Row],[YEAR]],"0000")&amp;"-"&amp;Table1[[#This Row],[MONTH]]</f>
        <v>-</v>
      </c>
    </row>
    <row r="914" spans="1:25" ht="15" customHeight="1" x14ac:dyDescent="0.35">
      <c r="A914" s="24"/>
      <c r="B914" s="38"/>
      <c r="C914" s="38"/>
      <c r="D914" s="38"/>
      <c r="E914" s="37"/>
      <c r="F914" s="38"/>
      <c r="G914" s="198"/>
      <c r="H914" s="198"/>
      <c r="I914" s="39"/>
      <c r="J914" s="38"/>
      <c r="K914" s="198"/>
      <c r="L914" s="38"/>
      <c r="M914" s="38"/>
      <c r="N914" s="38"/>
      <c r="O914" s="38"/>
      <c r="P914" s="40" t="str" cm="1">
        <f t="array" ref="P914">IF(N914="","",IFERROR(_xlfn.XLOOKUP(F914&amp;"|"&amp;J914&amp;"|"&amp;O914,PRICES!$C$2:$C$659&amp;"|"&amp;PRICES!$B$2:$B$659&amp;"|"&amp;PRICES!$D$2:$D$659,PRICES!$E$2:$E$659),"Not Found"))</f>
        <v/>
      </c>
      <c r="Q914" s="100" t="str">
        <f>IF(N914=0,"",SUMIFS(PRICES!$G$2:$G$658,PRICES!$B$2:$B$658,'MAIN TABLE-1 AUTOMATED'!J914,PRICES!$C$2:$C$658,'MAIN TABLE-1 AUTOMATED'!F914,PRICES!$D$2:$D$658,'MAIN TABLE-1 AUTOMATED'!O914))</f>
        <v/>
      </c>
      <c r="R914" s="41" t="str">
        <f>IF(Table1[[#This Row],[QUANTITY]]=0,"",Table1[[#This Row],[UNIT PRICE]]*Table1[[#This Row],[QUANTITY]])</f>
        <v/>
      </c>
      <c r="S914" s="89"/>
      <c r="T914" s="38"/>
      <c r="U914" s="43"/>
      <c r="V914" s="42" t="str">
        <f>IF(Table1[[#This Row],[DATE]]=0,"",YEAR(E914))</f>
        <v/>
      </c>
      <c r="W914" s="40" t="str">
        <f t="shared" si="28"/>
        <v/>
      </c>
      <c r="X914" s="40" t="str">
        <f t="shared" si="29"/>
        <v/>
      </c>
      <c r="Y914" s="40" t="str">
        <f>TEXT(Table1[[#This Row],[YEAR]],"0000")&amp;"-"&amp;Table1[[#This Row],[MONTH]]</f>
        <v>-</v>
      </c>
    </row>
    <row r="915" spans="1:25" ht="15" customHeight="1" x14ac:dyDescent="0.35">
      <c r="A915" s="24"/>
      <c r="B915" s="38"/>
      <c r="C915" s="38"/>
      <c r="D915" s="38"/>
      <c r="E915" s="37"/>
      <c r="F915" s="38"/>
      <c r="G915" s="198"/>
      <c r="H915" s="198"/>
      <c r="I915" s="39"/>
      <c r="J915" s="38"/>
      <c r="K915" s="198"/>
      <c r="L915" s="38"/>
      <c r="M915" s="38"/>
      <c r="N915" s="38"/>
      <c r="O915" s="38"/>
      <c r="P915" s="40" t="str" cm="1">
        <f t="array" ref="P915">IF(N915="","",IFERROR(_xlfn.XLOOKUP(F915&amp;"|"&amp;J915&amp;"|"&amp;O915,PRICES!$C$2:$C$659&amp;"|"&amp;PRICES!$B$2:$B$659&amp;"|"&amp;PRICES!$D$2:$D$659,PRICES!$E$2:$E$659),"Not Found"))</f>
        <v/>
      </c>
      <c r="Q915" s="100" t="str">
        <f>IF(N915=0,"",SUMIFS(PRICES!$G$2:$G$658,PRICES!$B$2:$B$658,'MAIN TABLE-1 AUTOMATED'!J915,PRICES!$C$2:$C$658,'MAIN TABLE-1 AUTOMATED'!F915,PRICES!$D$2:$D$658,'MAIN TABLE-1 AUTOMATED'!O915))</f>
        <v/>
      </c>
      <c r="R915" s="41" t="str">
        <f>IF(Table1[[#This Row],[QUANTITY]]=0,"",Table1[[#This Row],[UNIT PRICE]]*Table1[[#This Row],[QUANTITY]])</f>
        <v/>
      </c>
      <c r="S915" s="89"/>
      <c r="T915" s="38"/>
      <c r="U915" s="43"/>
      <c r="V915" s="42" t="str">
        <f>IF(Table1[[#This Row],[DATE]]=0,"",YEAR(E915))</f>
        <v/>
      </c>
      <c r="W915" s="40" t="str">
        <f t="shared" si="28"/>
        <v/>
      </c>
      <c r="X915" s="40" t="str">
        <f t="shared" si="29"/>
        <v/>
      </c>
      <c r="Y915" s="40" t="str">
        <f>TEXT(Table1[[#This Row],[YEAR]],"0000")&amp;"-"&amp;Table1[[#This Row],[MONTH]]</f>
        <v>-</v>
      </c>
    </row>
    <row r="916" spans="1:25" ht="15" customHeight="1" x14ac:dyDescent="0.35">
      <c r="A916" s="24"/>
      <c r="B916" s="38"/>
      <c r="C916" s="38"/>
      <c r="D916" s="38"/>
      <c r="E916" s="37"/>
      <c r="F916" s="38"/>
      <c r="G916" s="198"/>
      <c r="H916" s="198"/>
      <c r="I916" s="39"/>
      <c r="J916" s="38"/>
      <c r="K916" s="198"/>
      <c r="L916" s="38"/>
      <c r="M916" s="38"/>
      <c r="N916" s="38"/>
      <c r="O916" s="38"/>
      <c r="P916" s="40" t="str" cm="1">
        <f t="array" ref="P916">IF(N916="","",IFERROR(_xlfn.XLOOKUP(F916&amp;"|"&amp;J916&amp;"|"&amp;O916,PRICES!$C$2:$C$659&amp;"|"&amp;PRICES!$B$2:$B$659&amp;"|"&amp;PRICES!$D$2:$D$659,PRICES!$E$2:$E$659),"Not Found"))</f>
        <v/>
      </c>
      <c r="Q916" s="100" t="str">
        <f>IF(N916=0,"",SUMIFS(PRICES!$G$2:$G$658,PRICES!$B$2:$B$658,'MAIN TABLE-1 AUTOMATED'!J916,PRICES!$C$2:$C$658,'MAIN TABLE-1 AUTOMATED'!F916,PRICES!$D$2:$D$658,'MAIN TABLE-1 AUTOMATED'!O916))</f>
        <v/>
      </c>
      <c r="R916" s="41" t="str">
        <f>IF(Table1[[#This Row],[QUANTITY]]=0,"",Table1[[#This Row],[UNIT PRICE]]*Table1[[#This Row],[QUANTITY]])</f>
        <v/>
      </c>
      <c r="S916" s="89"/>
      <c r="T916" s="38"/>
      <c r="U916" s="43"/>
      <c r="V916" s="42" t="str">
        <f>IF(Table1[[#This Row],[DATE]]=0,"",YEAR(E916))</f>
        <v/>
      </c>
      <c r="W916" s="40" t="str">
        <f t="shared" si="28"/>
        <v/>
      </c>
      <c r="X916" s="40" t="str">
        <f t="shared" si="29"/>
        <v/>
      </c>
      <c r="Y916" s="40" t="str">
        <f>TEXT(Table1[[#This Row],[YEAR]],"0000")&amp;"-"&amp;Table1[[#This Row],[MONTH]]</f>
        <v>-</v>
      </c>
    </row>
    <row r="917" spans="1:25" ht="15" customHeight="1" x14ac:dyDescent="0.35">
      <c r="A917" s="24"/>
      <c r="B917" s="36"/>
      <c r="C917" s="38"/>
      <c r="D917" s="38"/>
      <c r="E917" s="37"/>
      <c r="F917" s="38"/>
      <c r="G917" s="198"/>
      <c r="H917" s="198"/>
      <c r="I917" s="39"/>
      <c r="J917" s="38"/>
      <c r="K917" s="198"/>
      <c r="L917" s="38"/>
      <c r="M917" s="38"/>
      <c r="N917" s="38"/>
      <c r="O917" s="38"/>
      <c r="P917" s="40" t="str" cm="1">
        <f t="array" ref="P917">IF(N917="","",IFERROR(_xlfn.XLOOKUP(F917&amp;"|"&amp;J917&amp;"|"&amp;O917,PRICES!$C$2:$C$659&amp;"|"&amp;PRICES!$B$2:$B$659&amp;"|"&amp;PRICES!$D$2:$D$659,PRICES!$E$2:$E$659),"Not Found"))</f>
        <v/>
      </c>
      <c r="Q917" s="100" t="str">
        <f>IF(N917=0,"",SUMIFS(PRICES!$G$2:$G$658,PRICES!$B$2:$B$658,'MAIN TABLE-1 AUTOMATED'!J917,PRICES!$C$2:$C$658,'MAIN TABLE-1 AUTOMATED'!F917,PRICES!$D$2:$D$658,'MAIN TABLE-1 AUTOMATED'!O917))</f>
        <v/>
      </c>
      <c r="R917" s="41" t="str">
        <f>IF(Table1[[#This Row],[QUANTITY]]=0,"",Table1[[#This Row],[UNIT PRICE]]*Table1[[#This Row],[QUANTITY]])</f>
        <v/>
      </c>
      <c r="S917" s="89"/>
      <c r="T917" s="38"/>
      <c r="U917" s="43"/>
      <c r="V917" s="42" t="str">
        <f>IF(Table1[[#This Row],[DATE]]=0,"",YEAR(E917))</f>
        <v/>
      </c>
      <c r="W917" s="40" t="str">
        <f t="shared" si="28"/>
        <v/>
      </c>
      <c r="X917" s="40" t="str">
        <f t="shared" si="29"/>
        <v/>
      </c>
      <c r="Y917" s="40" t="str">
        <f>TEXT(Table1[[#This Row],[YEAR]],"0000")&amp;"-"&amp;Table1[[#This Row],[MONTH]]</f>
        <v>-</v>
      </c>
    </row>
    <row r="918" spans="1:25" ht="15" customHeight="1" x14ac:dyDescent="0.35">
      <c r="A918" s="24"/>
      <c r="B918" s="36"/>
      <c r="C918" s="38"/>
      <c r="D918" s="38"/>
      <c r="E918" s="37"/>
      <c r="F918" s="38"/>
      <c r="G918" s="198"/>
      <c r="H918" s="198"/>
      <c r="I918" s="39"/>
      <c r="J918" s="38"/>
      <c r="K918" s="198"/>
      <c r="L918" s="38"/>
      <c r="M918" s="38"/>
      <c r="N918" s="38"/>
      <c r="O918" s="38"/>
      <c r="P918" s="40" t="str" cm="1">
        <f t="array" ref="P918">IF(N918="","",IFERROR(_xlfn.XLOOKUP(F918&amp;"|"&amp;J918&amp;"|"&amp;O918,PRICES!$C$2:$C$659&amp;"|"&amp;PRICES!$B$2:$B$659&amp;"|"&amp;PRICES!$D$2:$D$659,PRICES!$E$2:$E$659),"Not Found"))</f>
        <v/>
      </c>
      <c r="Q918" s="100" t="str">
        <f>IF(N918=0,"",SUMIFS(PRICES!$G$2:$G$658,PRICES!$B$2:$B$658,'MAIN TABLE-1 AUTOMATED'!J918,PRICES!$C$2:$C$658,'MAIN TABLE-1 AUTOMATED'!F918,PRICES!$D$2:$D$658,'MAIN TABLE-1 AUTOMATED'!O918))</f>
        <v/>
      </c>
      <c r="R918" s="41" t="str">
        <f>IF(Table1[[#This Row],[QUANTITY]]=0,"",Table1[[#This Row],[UNIT PRICE]]*Table1[[#This Row],[QUANTITY]])</f>
        <v/>
      </c>
      <c r="S918" s="89"/>
      <c r="T918" s="38"/>
      <c r="U918" s="43"/>
      <c r="V918" s="42" t="str">
        <f>IF(Table1[[#This Row],[DATE]]=0,"",YEAR(E918))</f>
        <v/>
      </c>
      <c r="W918" s="40" t="str">
        <f t="shared" si="28"/>
        <v/>
      </c>
      <c r="X918" s="40" t="str">
        <f t="shared" si="29"/>
        <v/>
      </c>
      <c r="Y918" s="40" t="str">
        <f>TEXT(Table1[[#This Row],[YEAR]],"0000")&amp;"-"&amp;Table1[[#This Row],[MONTH]]</f>
        <v>-</v>
      </c>
    </row>
    <row r="919" spans="1:25" ht="15" customHeight="1" x14ac:dyDescent="0.35">
      <c r="A919" s="24"/>
      <c r="B919" s="36"/>
      <c r="C919" s="38"/>
      <c r="D919" s="38"/>
      <c r="E919" s="37"/>
      <c r="F919" s="38"/>
      <c r="G919" s="198"/>
      <c r="H919" s="198"/>
      <c r="I919" s="39"/>
      <c r="J919" s="38"/>
      <c r="K919" s="198"/>
      <c r="L919" s="38"/>
      <c r="M919" s="38"/>
      <c r="N919" s="38"/>
      <c r="O919" s="38"/>
      <c r="P919" s="40" t="str" cm="1">
        <f t="array" ref="P919">IF(N919="","",IFERROR(_xlfn.XLOOKUP(F919&amp;"|"&amp;J919&amp;"|"&amp;O919,PRICES!$C$2:$C$659&amp;"|"&amp;PRICES!$B$2:$B$659&amp;"|"&amp;PRICES!$D$2:$D$659,PRICES!$E$2:$E$659),"Not Found"))</f>
        <v/>
      </c>
      <c r="Q919" s="100" t="str">
        <f>IF(N919=0,"",SUMIFS(PRICES!$G$2:$G$658,PRICES!$B$2:$B$658,'MAIN TABLE-1 AUTOMATED'!J919,PRICES!$C$2:$C$658,'MAIN TABLE-1 AUTOMATED'!F919,PRICES!$D$2:$D$658,'MAIN TABLE-1 AUTOMATED'!O919))</f>
        <v/>
      </c>
      <c r="R919" s="41" t="str">
        <f>IF(Table1[[#This Row],[QUANTITY]]=0,"",Table1[[#This Row],[UNIT PRICE]]*Table1[[#This Row],[QUANTITY]])</f>
        <v/>
      </c>
      <c r="S919" s="89"/>
      <c r="T919" s="38"/>
      <c r="U919" s="43"/>
      <c r="V919" s="42" t="str">
        <f>IF(Table1[[#This Row],[DATE]]=0,"",YEAR(E919))</f>
        <v/>
      </c>
      <c r="W919" s="40" t="str">
        <f t="shared" si="28"/>
        <v/>
      </c>
      <c r="X919" s="40" t="str">
        <f t="shared" si="29"/>
        <v/>
      </c>
      <c r="Y919" s="40" t="str">
        <f>TEXT(Table1[[#This Row],[YEAR]],"0000")&amp;"-"&amp;Table1[[#This Row],[MONTH]]</f>
        <v>-</v>
      </c>
    </row>
    <row r="920" spans="1:25" ht="15" customHeight="1" x14ac:dyDescent="0.35">
      <c r="A920" s="24"/>
      <c r="B920" s="36"/>
      <c r="C920" s="38"/>
      <c r="D920" s="38"/>
      <c r="E920" s="37"/>
      <c r="F920" s="38"/>
      <c r="G920" s="198"/>
      <c r="H920" s="198"/>
      <c r="I920" s="39"/>
      <c r="J920" s="38"/>
      <c r="K920" s="198"/>
      <c r="L920" s="38"/>
      <c r="M920" s="38"/>
      <c r="N920" s="38"/>
      <c r="O920" s="38"/>
      <c r="P920" s="40" t="str" cm="1">
        <f t="array" ref="P920">IF(N920="","",IFERROR(_xlfn.XLOOKUP(F920&amp;"|"&amp;J920&amp;"|"&amp;O920,PRICES!$C$2:$C$659&amp;"|"&amp;PRICES!$B$2:$B$659&amp;"|"&amp;PRICES!$D$2:$D$659,PRICES!$E$2:$E$659),"Not Found"))</f>
        <v/>
      </c>
      <c r="Q920" s="100" t="str">
        <f>IF(N920=0,"",SUMIFS(PRICES!$G$2:$G$658,PRICES!$B$2:$B$658,'MAIN TABLE-1 AUTOMATED'!J920,PRICES!$C$2:$C$658,'MAIN TABLE-1 AUTOMATED'!F920,PRICES!$D$2:$D$658,'MAIN TABLE-1 AUTOMATED'!O920))</f>
        <v/>
      </c>
      <c r="R920" s="41" t="str">
        <f>IF(Table1[[#This Row],[QUANTITY]]=0,"",Table1[[#This Row],[UNIT PRICE]]*Table1[[#This Row],[QUANTITY]])</f>
        <v/>
      </c>
      <c r="S920" s="89"/>
      <c r="T920" s="38"/>
      <c r="U920" s="43"/>
      <c r="V920" s="42" t="str">
        <f>IF(Table1[[#This Row],[DATE]]=0,"",YEAR(E920))</f>
        <v/>
      </c>
      <c r="W920" s="40" t="str">
        <f t="shared" si="28"/>
        <v/>
      </c>
      <c r="X920" s="40" t="str">
        <f t="shared" si="29"/>
        <v/>
      </c>
      <c r="Y920" s="40" t="str">
        <f>TEXT(Table1[[#This Row],[YEAR]],"0000")&amp;"-"&amp;Table1[[#This Row],[MONTH]]</f>
        <v>-</v>
      </c>
    </row>
    <row r="921" spans="1:25" ht="15" customHeight="1" x14ac:dyDescent="0.35">
      <c r="A921" s="24"/>
      <c r="B921" s="36"/>
      <c r="C921" s="38"/>
      <c r="D921" s="38"/>
      <c r="E921" s="37"/>
      <c r="F921" s="38"/>
      <c r="G921" s="198"/>
      <c r="H921" s="198"/>
      <c r="I921" s="39"/>
      <c r="J921" s="38"/>
      <c r="K921" s="198"/>
      <c r="L921" s="38"/>
      <c r="M921" s="38"/>
      <c r="N921" s="38"/>
      <c r="O921" s="38"/>
      <c r="P921" s="40" t="str" cm="1">
        <f t="array" ref="P921">IF(N921="","",IFERROR(_xlfn.XLOOKUP(F921&amp;"|"&amp;J921&amp;"|"&amp;O921,PRICES!$C$2:$C$659&amp;"|"&amp;PRICES!$B$2:$B$659&amp;"|"&amp;PRICES!$D$2:$D$659,PRICES!$E$2:$E$659),"Not Found"))</f>
        <v/>
      </c>
      <c r="Q921" s="100" t="str">
        <f>IF(N921=0,"",SUMIFS(PRICES!$G$2:$G$658,PRICES!$B$2:$B$658,'MAIN TABLE-1 AUTOMATED'!J921,PRICES!$C$2:$C$658,'MAIN TABLE-1 AUTOMATED'!F921,PRICES!$D$2:$D$658,'MAIN TABLE-1 AUTOMATED'!O921))</f>
        <v/>
      </c>
      <c r="R921" s="41" t="str">
        <f>IF(Table1[[#This Row],[QUANTITY]]=0,"",Table1[[#This Row],[UNIT PRICE]]*Table1[[#This Row],[QUANTITY]])</f>
        <v/>
      </c>
      <c r="S921" s="89"/>
      <c r="T921" s="38"/>
      <c r="U921" s="43"/>
      <c r="V921" s="42" t="str">
        <f>IF(Table1[[#This Row],[DATE]]=0,"",YEAR(E921))</f>
        <v/>
      </c>
      <c r="W921" s="40" t="str">
        <f t="shared" si="28"/>
        <v/>
      </c>
      <c r="X921" s="40" t="str">
        <f t="shared" si="29"/>
        <v/>
      </c>
      <c r="Y921" s="40" t="str">
        <f>TEXT(Table1[[#This Row],[YEAR]],"0000")&amp;"-"&amp;Table1[[#This Row],[MONTH]]</f>
        <v>-</v>
      </c>
    </row>
    <row r="922" spans="1:25" ht="15" customHeight="1" x14ac:dyDescent="0.35">
      <c r="A922" s="24"/>
      <c r="B922" s="36"/>
      <c r="C922" s="38"/>
      <c r="D922" s="38"/>
      <c r="E922" s="37"/>
      <c r="F922" s="38"/>
      <c r="G922" s="198"/>
      <c r="H922" s="198"/>
      <c r="I922" s="39"/>
      <c r="J922" s="38"/>
      <c r="K922" s="198"/>
      <c r="L922" s="38"/>
      <c r="M922" s="38"/>
      <c r="N922" s="38"/>
      <c r="O922" s="38"/>
      <c r="P922" s="40" t="str" cm="1">
        <f t="array" ref="P922">IF(N922="","",IFERROR(_xlfn.XLOOKUP(F922&amp;"|"&amp;J922&amp;"|"&amp;O922,PRICES!$C$2:$C$659&amp;"|"&amp;PRICES!$B$2:$B$659&amp;"|"&amp;PRICES!$D$2:$D$659,PRICES!$E$2:$E$659),"Not Found"))</f>
        <v/>
      </c>
      <c r="Q922" s="100" t="str">
        <f>IF(N922=0,"",SUMIFS(PRICES!$G$2:$G$658,PRICES!$B$2:$B$658,'MAIN TABLE-1 AUTOMATED'!J922,PRICES!$C$2:$C$658,'MAIN TABLE-1 AUTOMATED'!F922,PRICES!$D$2:$D$658,'MAIN TABLE-1 AUTOMATED'!O922))</f>
        <v/>
      </c>
      <c r="R922" s="41" t="str">
        <f>IF(Table1[[#This Row],[QUANTITY]]=0,"",Table1[[#This Row],[UNIT PRICE]]*Table1[[#This Row],[QUANTITY]])</f>
        <v/>
      </c>
      <c r="S922" s="89"/>
      <c r="T922" s="38"/>
      <c r="U922" s="43"/>
      <c r="V922" s="42" t="str">
        <f>IF(Table1[[#This Row],[DATE]]=0,"",YEAR(E922))</f>
        <v/>
      </c>
      <c r="W922" s="40" t="str">
        <f t="shared" si="28"/>
        <v/>
      </c>
      <c r="X922" s="40" t="str">
        <f t="shared" si="29"/>
        <v/>
      </c>
      <c r="Y922" s="40" t="str">
        <f>TEXT(Table1[[#This Row],[YEAR]],"0000")&amp;"-"&amp;Table1[[#This Row],[MONTH]]</f>
        <v>-</v>
      </c>
    </row>
    <row r="923" spans="1:25" ht="15" customHeight="1" x14ac:dyDescent="0.35">
      <c r="A923" s="24"/>
      <c r="B923" s="36"/>
      <c r="C923" s="38"/>
      <c r="D923" s="38"/>
      <c r="E923" s="37"/>
      <c r="F923" s="38"/>
      <c r="G923" s="198"/>
      <c r="H923" s="198"/>
      <c r="I923" s="39"/>
      <c r="J923" s="38"/>
      <c r="K923" s="198"/>
      <c r="L923" s="38"/>
      <c r="M923" s="38"/>
      <c r="N923" s="38"/>
      <c r="O923" s="38"/>
      <c r="P923" s="40" t="str" cm="1">
        <f t="array" ref="P923">IF(N923="","",IFERROR(_xlfn.XLOOKUP(F923&amp;"|"&amp;J923&amp;"|"&amp;O923,PRICES!$C$2:$C$659&amp;"|"&amp;PRICES!$B$2:$B$659&amp;"|"&amp;PRICES!$D$2:$D$659,PRICES!$E$2:$E$659),"Not Found"))</f>
        <v/>
      </c>
      <c r="Q923" s="100" t="str">
        <f>IF(N923=0,"",SUMIFS(PRICES!$G$2:$G$658,PRICES!$B$2:$B$658,'MAIN TABLE-1 AUTOMATED'!J923,PRICES!$C$2:$C$658,'MAIN TABLE-1 AUTOMATED'!F923,PRICES!$D$2:$D$658,'MAIN TABLE-1 AUTOMATED'!O923))</f>
        <v/>
      </c>
      <c r="R923" s="41" t="str">
        <f>IF(Table1[[#This Row],[QUANTITY]]=0,"",Table1[[#This Row],[UNIT PRICE]]*Table1[[#This Row],[QUANTITY]])</f>
        <v/>
      </c>
      <c r="S923" s="89"/>
      <c r="T923" s="38"/>
      <c r="U923" s="43"/>
      <c r="V923" s="42" t="str">
        <f>IF(Table1[[#This Row],[DATE]]=0,"",YEAR(E923))</f>
        <v/>
      </c>
      <c r="W923" s="40" t="str">
        <f t="shared" si="28"/>
        <v/>
      </c>
      <c r="X923" s="40" t="str">
        <f t="shared" si="29"/>
        <v/>
      </c>
      <c r="Y923" s="40" t="str">
        <f>TEXT(Table1[[#This Row],[YEAR]],"0000")&amp;"-"&amp;Table1[[#This Row],[MONTH]]</f>
        <v>-</v>
      </c>
    </row>
    <row r="924" spans="1:25" ht="15" customHeight="1" x14ac:dyDescent="0.35">
      <c r="A924" s="24"/>
      <c r="B924" s="36"/>
      <c r="C924" s="38"/>
      <c r="D924" s="38"/>
      <c r="E924" s="37"/>
      <c r="F924" s="38"/>
      <c r="G924" s="198"/>
      <c r="H924" s="198"/>
      <c r="I924" s="39"/>
      <c r="J924" s="38"/>
      <c r="K924" s="198"/>
      <c r="L924" s="38"/>
      <c r="M924" s="38"/>
      <c r="N924" s="38"/>
      <c r="O924" s="38"/>
      <c r="P924" s="40" t="str" cm="1">
        <f t="array" ref="P924">IF(N924="","",IFERROR(_xlfn.XLOOKUP(F924&amp;"|"&amp;J924&amp;"|"&amp;O924,PRICES!$C$2:$C$659&amp;"|"&amp;PRICES!$B$2:$B$659&amp;"|"&amp;PRICES!$D$2:$D$659,PRICES!$E$2:$E$659),"Not Found"))</f>
        <v/>
      </c>
      <c r="Q924" s="100" t="str">
        <f>IF(N924=0,"",SUMIFS(PRICES!$G$2:$G$658,PRICES!$B$2:$B$658,'MAIN TABLE-1 AUTOMATED'!J924,PRICES!$C$2:$C$658,'MAIN TABLE-1 AUTOMATED'!F924,PRICES!$D$2:$D$658,'MAIN TABLE-1 AUTOMATED'!O924))</f>
        <v/>
      </c>
      <c r="R924" s="41" t="str">
        <f>IF(Table1[[#This Row],[QUANTITY]]=0,"",Table1[[#This Row],[UNIT PRICE]]*Table1[[#This Row],[QUANTITY]])</f>
        <v/>
      </c>
      <c r="S924" s="89"/>
      <c r="T924" s="38"/>
      <c r="U924" s="43"/>
      <c r="V924" s="42" t="str">
        <f>IF(Table1[[#This Row],[DATE]]=0,"",YEAR(E924))</f>
        <v/>
      </c>
      <c r="W924" s="40" t="str">
        <f t="shared" si="28"/>
        <v/>
      </c>
      <c r="X924" s="40" t="str">
        <f t="shared" si="29"/>
        <v/>
      </c>
      <c r="Y924" s="40" t="str">
        <f>TEXT(Table1[[#This Row],[YEAR]],"0000")&amp;"-"&amp;Table1[[#This Row],[MONTH]]</f>
        <v>-</v>
      </c>
    </row>
    <row r="925" spans="1:25" ht="15" customHeight="1" x14ac:dyDescent="0.35">
      <c r="A925" s="24"/>
      <c r="B925" s="36"/>
      <c r="C925" s="38"/>
      <c r="D925" s="38"/>
      <c r="E925" s="37"/>
      <c r="F925" s="38"/>
      <c r="G925" s="198"/>
      <c r="H925" s="198"/>
      <c r="I925" s="39"/>
      <c r="J925" s="38"/>
      <c r="K925" s="198"/>
      <c r="L925" s="38"/>
      <c r="M925" s="38"/>
      <c r="N925" s="38"/>
      <c r="O925" s="38"/>
      <c r="P925" s="40" t="str" cm="1">
        <f t="array" ref="P925">IF(N925="","",IFERROR(_xlfn.XLOOKUP(F925&amp;"|"&amp;J925&amp;"|"&amp;O925,PRICES!$C$2:$C$659&amp;"|"&amp;PRICES!$B$2:$B$659&amp;"|"&amp;PRICES!$D$2:$D$659,PRICES!$E$2:$E$659),"Not Found"))</f>
        <v/>
      </c>
      <c r="Q925" s="100" t="str">
        <f>IF(N925=0,"",SUMIFS(PRICES!$G$2:$G$658,PRICES!$B$2:$B$658,'MAIN TABLE-1 AUTOMATED'!J925,PRICES!$C$2:$C$658,'MAIN TABLE-1 AUTOMATED'!F925,PRICES!$D$2:$D$658,'MAIN TABLE-1 AUTOMATED'!O925))</f>
        <v/>
      </c>
      <c r="R925" s="41" t="str">
        <f>IF(Table1[[#This Row],[QUANTITY]]=0,"",Table1[[#This Row],[UNIT PRICE]]*Table1[[#This Row],[QUANTITY]])</f>
        <v/>
      </c>
      <c r="S925" s="89"/>
      <c r="T925" s="38"/>
      <c r="U925" s="43"/>
      <c r="V925" s="42" t="str">
        <f>IF(Table1[[#This Row],[DATE]]=0,"",YEAR(E925))</f>
        <v/>
      </c>
      <c r="W925" s="40" t="str">
        <f t="shared" si="28"/>
        <v/>
      </c>
      <c r="X925" s="40" t="str">
        <f t="shared" si="29"/>
        <v/>
      </c>
      <c r="Y925" s="40" t="str">
        <f>TEXT(Table1[[#This Row],[YEAR]],"0000")&amp;"-"&amp;Table1[[#This Row],[MONTH]]</f>
        <v>-</v>
      </c>
    </row>
    <row r="926" spans="1:25" ht="15" customHeight="1" x14ac:dyDescent="0.35">
      <c r="A926" s="24"/>
      <c r="B926" s="36"/>
      <c r="C926" s="38"/>
      <c r="D926" s="38"/>
      <c r="E926" s="37"/>
      <c r="F926" s="38"/>
      <c r="G926" s="198"/>
      <c r="H926" s="198"/>
      <c r="I926" s="39"/>
      <c r="J926" s="38"/>
      <c r="K926" s="198"/>
      <c r="L926" s="38"/>
      <c r="M926" s="38"/>
      <c r="N926" s="38"/>
      <c r="O926" s="38"/>
      <c r="P926" s="40" t="str" cm="1">
        <f t="array" ref="P926">IF(N926="","",IFERROR(_xlfn.XLOOKUP(F926&amp;"|"&amp;J926&amp;"|"&amp;O926,PRICES!$C$2:$C$659&amp;"|"&amp;PRICES!$B$2:$B$659&amp;"|"&amp;PRICES!$D$2:$D$659,PRICES!$E$2:$E$659),"Not Found"))</f>
        <v/>
      </c>
      <c r="Q926" s="100" t="str">
        <f>IF(N926=0,"",SUMIFS(PRICES!$G$2:$G$658,PRICES!$B$2:$B$658,'MAIN TABLE-1 AUTOMATED'!J926,PRICES!$C$2:$C$658,'MAIN TABLE-1 AUTOMATED'!F926,PRICES!$D$2:$D$658,'MAIN TABLE-1 AUTOMATED'!O926))</f>
        <v/>
      </c>
      <c r="R926" s="41" t="str">
        <f>IF(Table1[[#This Row],[QUANTITY]]=0,"",Table1[[#This Row],[UNIT PRICE]]*Table1[[#This Row],[QUANTITY]])</f>
        <v/>
      </c>
      <c r="S926" s="89"/>
      <c r="T926" s="38"/>
      <c r="U926" s="43"/>
      <c r="V926" s="42" t="str">
        <f>IF(Table1[[#This Row],[DATE]]=0,"",YEAR(E926))</f>
        <v/>
      </c>
      <c r="W926" s="40" t="str">
        <f t="shared" si="28"/>
        <v/>
      </c>
      <c r="X926" s="40" t="str">
        <f t="shared" si="29"/>
        <v/>
      </c>
      <c r="Y926" s="40" t="str">
        <f>TEXT(Table1[[#This Row],[YEAR]],"0000")&amp;"-"&amp;Table1[[#This Row],[MONTH]]</f>
        <v>-</v>
      </c>
    </row>
    <row r="927" spans="1:25" ht="15" customHeight="1" x14ac:dyDescent="0.35">
      <c r="A927" s="24"/>
      <c r="B927" s="36"/>
      <c r="C927" s="38"/>
      <c r="D927" s="38"/>
      <c r="E927" s="37"/>
      <c r="F927" s="38"/>
      <c r="G927" s="198"/>
      <c r="H927" s="198"/>
      <c r="I927" s="39"/>
      <c r="J927" s="38"/>
      <c r="K927" s="198"/>
      <c r="L927" s="38"/>
      <c r="M927" s="38"/>
      <c r="N927" s="38"/>
      <c r="O927" s="38"/>
      <c r="P927" s="40" t="str" cm="1">
        <f t="array" ref="P927">IF(N927="","",IFERROR(_xlfn.XLOOKUP(F927&amp;"|"&amp;J927&amp;"|"&amp;O927,PRICES!$C$2:$C$659&amp;"|"&amp;PRICES!$B$2:$B$659&amp;"|"&amp;PRICES!$D$2:$D$659,PRICES!$E$2:$E$659),"Not Found"))</f>
        <v/>
      </c>
      <c r="Q927" s="100" t="str">
        <f>IF(N927=0,"",SUMIFS(PRICES!$G$2:$G$658,PRICES!$B$2:$B$658,'MAIN TABLE-1 AUTOMATED'!J927,PRICES!$C$2:$C$658,'MAIN TABLE-1 AUTOMATED'!F927,PRICES!$D$2:$D$658,'MAIN TABLE-1 AUTOMATED'!O927))</f>
        <v/>
      </c>
      <c r="R927" s="41" t="str">
        <f>IF(Table1[[#This Row],[QUANTITY]]=0,"",Table1[[#This Row],[UNIT PRICE]]*Table1[[#This Row],[QUANTITY]])</f>
        <v/>
      </c>
      <c r="S927" s="89"/>
      <c r="T927" s="38"/>
      <c r="U927" s="43"/>
      <c r="V927" s="42" t="str">
        <f>IF(Table1[[#This Row],[DATE]]=0,"",YEAR(E927))</f>
        <v/>
      </c>
      <c r="W927" s="40" t="str">
        <f t="shared" ref="W927:W990" si="30">IF(E927=0,"",MONTH(E927))</f>
        <v/>
      </c>
      <c r="X927" s="40" t="str">
        <f t="shared" ref="X927:X990" si="31">IF(E927=0,"",WEEKNUM(E927))</f>
        <v/>
      </c>
      <c r="Y927" s="40" t="str">
        <f>TEXT(Table1[[#This Row],[YEAR]],"0000")&amp;"-"&amp;Table1[[#This Row],[MONTH]]</f>
        <v>-</v>
      </c>
    </row>
    <row r="928" spans="1:25" ht="15" customHeight="1" x14ac:dyDescent="0.35">
      <c r="A928" s="24"/>
      <c r="B928" s="38"/>
      <c r="C928" s="38"/>
      <c r="D928" s="38"/>
      <c r="E928" s="37"/>
      <c r="F928" s="38"/>
      <c r="G928" s="198"/>
      <c r="H928" s="198"/>
      <c r="I928" s="39"/>
      <c r="J928" s="38"/>
      <c r="K928" s="198"/>
      <c r="L928" s="38"/>
      <c r="M928" s="38"/>
      <c r="N928" s="38"/>
      <c r="O928" s="38"/>
      <c r="P928" s="40" t="str" cm="1">
        <f t="array" ref="P928">IF(N928="","",IFERROR(_xlfn.XLOOKUP(F928&amp;"|"&amp;J928&amp;"|"&amp;O928,PRICES!$C$2:$C$659&amp;"|"&amp;PRICES!$B$2:$B$659&amp;"|"&amp;PRICES!$D$2:$D$659,PRICES!$E$2:$E$659),"Not Found"))</f>
        <v/>
      </c>
      <c r="Q928" s="100" t="str">
        <f>IF(N928=0,"",SUMIFS(PRICES!$G$2:$G$658,PRICES!$B$2:$B$658,'MAIN TABLE-1 AUTOMATED'!J928,PRICES!$C$2:$C$658,'MAIN TABLE-1 AUTOMATED'!F928,PRICES!$D$2:$D$658,'MAIN TABLE-1 AUTOMATED'!O928))</f>
        <v/>
      </c>
      <c r="R928" s="41" t="str">
        <f>IF(Table1[[#This Row],[QUANTITY]]=0,"",Table1[[#This Row],[UNIT PRICE]]*Table1[[#This Row],[QUANTITY]])</f>
        <v/>
      </c>
      <c r="S928" s="89"/>
      <c r="T928" s="38"/>
      <c r="U928" s="43"/>
      <c r="V928" s="42" t="str">
        <f>IF(Table1[[#This Row],[DATE]]=0,"",YEAR(E928))</f>
        <v/>
      </c>
      <c r="W928" s="40" t="str">
        <f t="shared" si="30"/>
        <v/>
      </c>
      <c r="X928" s="40" t="str">
        <f t="shared" si="31"/>
        <v/>
      </c>
      <c r="Y928" s="40" t="str">
        <f>TEXT(Table1[[#This Row],[YEAR]],"0000")&amp;"-"&amp;Table1[[#This Row],[MONTH]]</f>
        <v>-</v>
      </c>
    </row>
    <row r="929" spans="1:25" ht="15" customHeight="1" x14ac:dyDescent="0.35">
      <c r="A929" s="24"/>
      <c r="B929" s="38"/>
      <c r="C929" s="38"/>
      <c r="D929" s="38"/>
      <c r="E929" s="37"/>
      <c r="F929" s="38"/>
      <c r="G929" s="198"/>
      <c r="H929" s="198"/>
      <c r="I929" s="39"/>
      <c r="J929" s="38"/>
      <c r="K929" s="198"/>
      <c r="L929" s="38"/>
      <c r="M929" s="38"/>
      <c r="N929" s="38"/>
      <c r="O929" s="38"/>
      <c r="P929" s="40" t="str" cm="1">
        <f t="array" ref="P929">IF(N929="","",IFERROR(_xlfn.XLOOKUP(F929&amp;"|"&amp;J929&amp;"|"&amp;O929,PRICES!$C$2:$C$659&amp;"|"&amp;PRICES!$B$2:$B$659&amp;"|"&amp;PRICES!$D$2:$D$659,PRICES!$E$2:$E$659),"Not Found"))</f>
        <v/>
      </c>
      <c r="Q929" s="100" t="str">
        <f>IF(N929=0,"",SUMIFS(PRICES!$G$2:$G$658,PRICES!$B$2:$B$658,'MAIN TABLE-1 AUTOMATED'!J929,PRICES!$C$2:$C$658,'MAIN TABLE-1 AUTOMATED'!F929,PRICES!$D$2:$D$658,'MAIN TABLE-1 AUTOMATED'!O929))</f>
        <v/>
      </c>
      <c r="R929" s="41" t="str">
        <f>IF(Table1[[#This Row],[QUANTITY]]=0,"",Table1[[#This Row],[UNIT PRICE]]*Table1[[#This Row],[QUANTITY]])</f>
        <v/>
      </c>
      <c r="S929" s="89"/>
      <c r="T929" s="38"/>
      <c r="U929" s="43"/>
      <c r="V929" s="42" t="str">
        <f>IF(Table1[[#This Row],[DATE]]=0,"",YEAR(E929))</f>
        <v/>
      </c>
      <c r="W929" s="40" t="str">
        <f t="shared" si="30"/>
        <v/>
      </c>
      <c r="X929" s="40" t="str">
        <f t="shared" si="31"/>
        <v/>
      </c>
      <c r="Y929" s="40" t="str">
        <f>TEXT(Table1[[#This Row],[YEAR]],"0000")&amp;"-"&amp;Table1[[#This Row],[MONTH]]</f>
        <v>-</v>
      </c>
    </row>
    <row r="930" spans="1:25" ht="15" customHeight="1" x14ac:dyDescent="0.35">
      <c r="A930" s="24"/>
      <c r="B930" s="38"/>
      <c r="C930" s="38"/>
      <c r="D930" s="38"/>
      <c r="E930" s="37"/>
      <c r="F930" s="38"/>
      <c r="G930" s="198"/>
      <c r="H930" s="198"/>
      <c r="I930" s="39"/>
      <c r="J930" s="38"/>
      <c r="K930" s="198"/>
      <c r="L930" s="38"/>
      <c r="M930" s="38"/>
      <c r="N930" s="38"/>
      <c r="O930" s="38"/>
      <c r="P930" s="40" t="str" cm="1">
        <f t="array" ref="P930">IF(N930="","",IFERROR(_xlfn.XLOOKUP(F930&amp;"|"&amp;J930&amp;"|"&amp;O930,PRICES!$C$2:$C$659&amp;"|"&amp;PRICES!$B$2:$B$659&amp;"|"&amp;PRICES!$D$2:$D$659,PRICES!$E$2:$E$659),"Not Found"))</f>
        <v/>
      </c>
      <c r="Q930" s="100" t="str">
        <f>IF(N930=0,"",SUMIFS(PRICES!$G$2:$G$658,PRICES!$B$2:$B$658,'MAIN TABLE-1 AUTOMATED'!J930,PRICES!$C$2:$C$658,'MAIN TABLE-1 AUTOMATED'!F930,PRICES!$D$2:$D$658,'MAIN TABLE-1 AUTOMATED'!O930))</f>
        <v/>
      </c>
      <c r="R930" s="41" t="str">
        <f>IF(Table1[[#This Row],[QUANTITY]]=0,"",Table1[[#This Row],[UNIT PRICE]]*Table1[[#This Row],[QUANTITY]])</f>
        <v/>
      </c>
      <c r="S930" s="89"/>
      <c r="T930" s="38"/>
      <c r="U930" s="43"/>
      <c r="V930" s="42" t="str">
        <f>IF(Table1[[#This Row],[DATE]]=0,"",YEAR(E930))</f>
        <v/>
      </c>
      <c r="W930" s="40" t="str">
        <f t="shared" si="30"/>
        <v/>
      </c>
      <c r="X930" s="40" t="str">
        <f t="shared" si="31"/>
        <v/>
      </c>
      <c r="Y930" s="40" t="str">
        <f>TEXT(Table1[[#This Row],[YEAR]],"0000")&amp;"-"&amp;Table1[[#This Row],[MONTH]]</f>
        <v>-</v>
      </c>
    </row>
    <row r="931" spans="1:25" ht="15" customHeight="1" x14ac:dyDescent="0.35">
      <c r="A931" s="24"/>
      <c r="B931" s="38"/>
      <c r="C931" s="38"/>
      <c r="D931" s="38"/>
      <c r="E931" s="37"/>
      <c r="F931" s="38"/>
      <c r="G931" s="198"/>
      <c r="H931" s="198"/>
      <c r="I931" s="39"/>
      <c r="J931" s="38"/>
      <c r="K931" s="198"/>
      <c r="L931" s="38"/>
      <c r="M931" s="38"/>
      <c r="N931" s="38"/>
      <c r="O931" s="38"/>
      <c r="P931" s="40" t="str" cm="1">
        <f t="array" ref="P931">IF(N931="","",IFERROR(_xlfn.XLOOKUP(F931&amp;"|"&amp;J931&amp;"|"&amp;O931,PRICES!$C$2:$C$659&amp;"|"&amp;PRICES!$B$2:$B$659&amp;"|"&amp;PRICES!$D$2:$D$659,PRICES!$E$2:$E$659),"Not Found"))</f>
        <v/>
      </c>
      <c r="Q931" s="100" t="str">
        <f>IF(N931=0,"",SUMIFS(PRICES!$G$2:$G$658,PRICES!$B$2:$B$658,'MAIN TABLE-1 AUTOMATED'!J931,PRICES!$C$2:$C$658,'MAIN TABLE-1 AUTOMATED'!F931,PRICES!$D$2:$D$658,'MAIN TABLE-1 AUTOMATED'!O931))</f>
        <v/>
      </c>
      <c r="R931" s="41" t="str">
        <f>IF(Table1[[#This Row],[QUANTITY]]=0,"",Table1[[#This Row],[UNIT PRICE]]*Table1[[#This Row],[QUANTITY]])</f>
        <v/>
      </c>
      <c r="S931" s="89"/>
      <c r="T931" s="38"/>
      <c r="U931" s="43"/>
      <c r="V931" s="42" t="str">
        <f>IF(Table1[[#This Row],[DATE]]=0,"",YEAR(E931))</f>
        <v/>
      </c>
      <c r="W931" s="40" t="str">
        <f t="shared" si="30"/>
        <v/>
      </c>
      <c r="X931" s="40" t="str">
        <f t="shared" si="31"/>
        <v/>
      </c>
      <c r="Y931" s="40" t="str">
        <f>TEXT(Table1[[#This Row],[YEAR]],"0000")&amp;"-"&amp;Table1[[#This Row],[MONTH]]</f>
        <v>-</v>
      </c>
    </row>
    <row r="932" spans="1:25" ht="15" customHeight="1" x14ac:dyDescent="0.35">
      <c r="A932" s="24"/>
      <c r="B932" s="38"/>
      <c r="C932" s="38"/>
      <c r="D932" s="38"/>
      <c r="E932" s="37"/>
      <c r="F932" s="38"/>
      <c r="G932" s="198"/>
      <c r="H932" s="198"/>
      <c r="I932" s="39"/>
      <c r="J932" s="38"/>
      <c r="K932" s="198"/>
      <c r="L932" s="38"/>
      <c r="M932" s="38"/>
      <c r="N932" s="38"/>
      <c r="O932" s="38"/>
      <c r="P932" s="40" t="str" cm="1">
        <f t="array" ref="P932">IF(N932="","",IFERROR(_xlfn.XLOOKUP(F932&amp;"|"&amp;J932&amp;"|"&amp;O932,PRICES!$C$2:$C$659&amp;"|"&amp;PRICES!$B$2:$B$659&amp;"|"&amp;PRICES!$D$2:$D$659,PRICES!$E$2:$E$659),"Not Found"))</f>
        <v/>
      </c>
      <c r="Q932" s="100" t="str">
        <f>IF(N932=0,"",SUMIFS(PRICES!$G$2:$G$658,PRICES!$B$2:$B$658,'MAIN TABLE-1 AUTOMATED'!J932,PRICES!$C$2:$C$658,'MAIN TABLE-1 AUTOMATED'!F932,PRICES!$D$2:$D$658,'MAIN TABLE-1 AUTOMATED'!O932))</f>
        <v/>
      </c>
      <c r="R932" s="41" t="str">
        <f>IF(Table1[[#This Row],[QUANTITY]]=0,"",Table1[[#This Row],[UNIT PRICE]]*Table1[[#This Row],[QUANTITY]])</f>
        <v/>
      </c>
      <c r="S932" s="89"/>
      <c r="T932" s="38"/>
      <c r="U932" s="43"/>
      <c r="V932" s="42" t="str">
        <f>IF(Table1[[#This Row],[DATE]]=0,"",YEAR(E932))</f>
        <v/>
      </c>
      <c r="W932" s="40" t="str">
        <f t="shared" si="30"/>
        <v/>
      </c>
      <c r="X932" s="40" t="str">
        <f t="shared" si="31"/>
        <v/>
      </c>
      <c r="Y932" s="40" t="str">
        <f>TEXT(Table1[[#This Row],[YEAR]],"0000")&amp;"-"&amp;Table1[[#This Row],[MONTH]]</f>
        <v>-</v>
      </c>
    </row>
    <row r="933" spans="1:25" ht="15" customHeight="1" x14ac:dyDescent="0.35">
      <c r="A933" s="24"/>
      <c r="B933" s="38"/>
      <c r="C933" s="38"/>
      <c r="D933" s="38"/>
      <c r="E933" s="37"/>
      <c r="F933" s="38"/>
      <c r="G933" s="198"/>
      <c r="H933" s="198"/>
      <c r="I933" s="39"/>
      <c r="J933" s="38"/>
      <c r="K933" s="198"/>
      <c r="L933" s="38"/>
      <c r="M933" s="38"/>
      <c r="N933" s="38"/>
      <c r="O933" s="38"/>
      <c r="P933" s="40" t="str" cm="1">
        <f t="array" ref="P933">IF(N933="","",IFERROR(_xlfn.XLOOKUP(F933&amp;"|"&amp;J933&amp;"|"&amp;O933,PRICES!$C$2:$C$659&amp;"|"&amp;PRICES!$B$2:$B$659&amp;"|"&amp;PRICES!$D$2:$D$659,PRICES!$E$2:$E$659),"Not Found"))</f>
        <v/>
      </c>
      <c r="Q933" s="100" t="str">
        <f>IF(N933=0,"",SUMIFS(PRICES!$G$2:$G$658,PRICES!$B$2:$B$658,'MAIN TABLE-1 AUTOMATED'!J933,PRICES!$C$2:$C$658,'MAIN TABLE-1 AUTOMATED'!F933,PRICES!$D$2:$D$658,'MAIN TABLE-1 AUTOMATED'!O933))</f>
        <v/>
      </c>
      <c r="R933" s="41" t="str">
        <f>IF(Table1[[#This Row],[QUANTITY]]=0,"",Table1[[#This Row],[UNIT PRICE]]*Table1[[#This Row],[QUANTITY]])</f>
        <v/>
      </c>
      <c r="S933" s="89"/>
      <c r="T933" s="38"/>
      <c r="U933" s="43"/>
      <c r="V933" s="42" t="str">
        <f>IF(Table1[[#This Row],[DATE]]=0,"",YEAR(E933))</f>
        <v/>
      </c>
      <c r="W933" s="40" t="str">
        <f t="shared" si="30"/>
        <v/>
      </c>
      <c r="X933" s="40" t="str">
        <f t="shared" si="31"/>
        <v/>
      </c>
      <c r="Y933" s="40" t="str">
        <f>TEXT(Table1[[#This Row],[YEAR]],"0000")&amp;"-"&amp;Table1[[#This Row],[MONTH]]</f>
        <v>-</v>
      </c>
    </row>
    <row r="934" spans="1:25" ht="15" customHeight="1" x14ac:dyDescent="0.35">
      <c r="A934" s="24"/>
      <c r="B934" s="38"/>
      <c r="C934" s="38"/>
      <c r="D934" s="38"/>
      <c r="E934" s="37"/>
      <c r="F934" s="38"/>
      <c r="G934" s="198"/>
      <c r="H934" s="198"/>
      <c r="I934" s="39"/>
      <c r="J934" s="38"/>
      <c r="K934" s="198"/>
      <c r="L934" s="38"/>
      <c r="M934" s="38"/>
      <c r="N934" s="38"/>
      <c r="O934" s="38"/>
      <c r="P934" s="40" t="str" cm="1">
        <f t="array" ref="P934">IF(N934="","",IFERROR(_xlfn.XLOOKUP(F934&amp;"|"&amp;J934&amp;"|"&amp;O934,PRICES!$C$2:$C$659&amp;"|"&amp;PRICES!$B$2:$B$659&amp;"|"&amp;PRICES!$D$2:$D$659,PRICES!$E$2:$E$659),"Not Found"))</f>
        <v/>
      </c>
      <c r="Q934" s="100" t="str">
        <f>IF(N934=0,"",SUMIFS(PRICES!$G$2:$G$658,PRICES!$B$2:$B$658,'MAIN TABLE-1 AUTOMATED'!J934,PRICES!$C$2:$C$658,'MAIN TABLE-1 AUTOMATED'!F934,PRICES!$D$2:$D$658,'MAIN TABLE-1 AUTOMATED'!O934))</f>
        <v/>
      </c>
      <c r="R934" s="41" t="str">
        <f>IF(Table1[[#This Row],[QUANTITY]]=0,"",Table1[[#This Row],[UNIT PRICE]]*Table1[[#This Row],[QUANTITY]])</f>
        <v/>
      </c>
      <c r="S934" s="89"/>
      <c r="T934" s="38"/>
      <c r="U934" s="43"/>
      <c r="V934" s="42" t="str">
        <f>IF(Table1[[#This Row],[DATE]]=0,"",YEAR(E934))</f>
        <v/>
      </c>
      <c r="W934" s="40" t="str">
        <f t="shared" si="30"/>
        <v/>
      </c>
      <c r="X934" s="40" t="str">
        <f t="shared" si="31"/>
        <v/>
      </c>
      <c r="Y934" s="40" t="str">
        <f>TEXT(Table1[[#This Row],[YEAR]],"0000")&amp;"-"&amp;Table1[[#This Row],[MONTH]]</f>
        <v>-</v>
      </c>
    </row>
    <row r="935" spans="1:25" ht="15" customHeight="1" x14ac:dyDescent="0.35">
      <c r="A935" s="24"/>
      <c r="B935" s="38"/>
      <c r="C935" s="38"/>
      <c r="D935" s="38"/>
      <c r="E935" s="37"/>
      <c r="F935" s="38"/>
      <c r="G935" s="198"/>
      <c r="H935" s="198"/>
      <c r="I935" s="39"/>
      <c r="J935" s="38"/>
      <c r="K935" s="198"/>
      <c r="L935" s="38"/>
      <c r="M935" s="38"/>
      <c r="N935" s="38"/>
      <c r="O935" s="38"/>
      <c r="P935" s="40" t="str" cm="1">
        <f t="array" ref="P935">IF(N935="","",IFERROR(_xlfn.XLOOKUP(F935&amp;"|"&amp;J935&amp;"|"&amp;O935,PRICES!$C$2:$C$659&amp;"|"&amp;PRICES!$B$2:$B$659&amp;"|"&amp;PRICES!$D$2:$D$659,PRICES!$E$2:$E$659),"Not Found"))</f>
        <v/>
      </c>
      <c r="Q935" s="100" t="str">
        <f>IF(N935=0,"",SUMIFS(PRICES!$G$2:$G$658,PRICES!$B$2:$B$658,'MAIN TABLE-1 AUTOMATED'!J935,PRICES!$C$2:$C$658,'MAIN TABLE-1 AUTOMATED'!F935,PRICES!$D$2:$D$658,'MAIN TABLE-1 AUTOMATED'!O935))</f>
        <v/>
      </c>
      <c r="R935" s="41" t="str">
        <f>IF(Table1[[#This Row],[QUANTITY]]=0,"",Table1[[#This Row],[UNIT PRICE]]*Table1[[#This Row],[QUANTITY]])</f>
        <v/>
      </c>
      <c r="S935" s="89"/>
      <c r="T935" s="38"/>
      <c r="U935" s="43"/>
      <c r="V935" s="42" t="str">
        <f>IF(Table1[[#This Row],[DATE]]=0,"",YEAR(E935))</f>
        <v/>
      </c>
      <c r="W935" s="40" t="str">
        <f t="shared" si="30"/>
        <v/>
      </c>
      <c r="X935" s="40" t="str">
        <f t="shared" si="31"/>
        <v/>
      </c>
      <c r="Y935" s="40" t="str">
        <f>TEXT(Table1[[#This Row],[YEAR]],"0000")&amp;"-"&amp;Table1[[#This Row],[MONTH]]</f>
        <v>-</v>
      </c>
    </row>
    <row r="936" spans="1:25" ht="15" customHeight="1" x14ac:dyDescent="0.35">
      <c r="A936" s="24"/>
      <c r="B936" s="38"/>
      <c r="C936" s="38"/>
      <c r="D936" s="38"/>
      <c r="E936" s="37"/>
      <c r="F936" s="38"/>
      <c r="G936" s="198"/>
      <c r="H936" s="198"/>
      <c r="I936" s="39"/>
      <c r="J936" s="38"/>
      <c r="K936" s="198"/>
      <c r="L936" s="38"/>
      <c r="M936" s="38"/>
      <c r="N936" s="38"/>
      <c r="O936" s="38"/>
      <c r="P936" s="40" t="str" cm="1">
        <f t="array" ref="P936">IF(N936="","",IFERROR(_xlfn.XLOOKUP(F936&amp;"|"&amp;J936&amp;"|"&amp;O936,PRICES!$C$2:$C$659&amp;"|"&amp;PRICES!$B$2:$B$659&amp;"|"&amp;PRICES!$D$2:$D$659,PRICES!$E$2:$E$659),"Not Found"))</f>
        <v/>
      </c>
      <c r="Q936" s="100" t="str">
        <f>IF(N936=0,"",SUMIFS(PRICES!$G$2:$G$658,PRICES!$B$2:$B$658,'MAIN TABLE-1 AUTOMATED'!J936,PRICES!$C$2:$C$658,'MAIN TABLE-1 AUTOMATED'!F936,PRICES!$D$2:$D$658,'MAIN TABLE-1 AUTOMATED'!O936))</f>
        <v/>
      </c>
      <c r="R936" s="41" t="str">
        <f>IF(Table1[[#This Row],[QUANTITY]]=0,"",Table1[[#This Row],[UNIT PRICE]]*Table1[[#This Row],[QUANTITY]])</f>
        <v/>
      </c>
      <c r="S936" s="89"/>
      <c r="T936" s="38"/>
      <c r="U936" s="43"/>
      <c r="V936" s="42" t="str">
        <f>IF(Table1[[#This Row],[DATE]]=0,"",YEAR(E936))</f>
        <v/>
      </c>
      <c r="W936" s="40" t="str">
        <f t="shared" si="30"/>
        <v/>
      </c>
      <c r="X936" s="40" t="str">
        <f t="shared" si="31"/>
        <v/>
      </c>
      <c r="Y936" s="40" t="str">
        <f>TEXT(Table1[[#This Row],[YEAR]],"0000")&amp;"-"&amp;Table1[[#This Row],[MONTH]]</f>
        <v>-</v>
      </c>
    </row>
    <row r="937" spans="1:25" ht="15" customHeight="1" x14ac:dyDescent="0.35">
      <c r="A937" s="24"/>
      <c r="B937" s="38"/>
      <c r="C937" s="38"/>
      <c r="D937" s="38"/>
      <c r="E937" s="37"/>
      <c r="F937" s="38"/>
      <c r="G937" s="198"/>
      <c r="H937" s="198"/>
      <c r="I937" s="39"/>
      <c r="J937" s="38"/>
      <c r="K937" s="198"/>
      <c r="L937" s="38"/>
      <c r="M937" s="38"/>
      <c r="N937" s="38"/>
      <c r="O937" s="38"/>
      <c r="P937" s="40" t="str" cm="1">
        <f t="array" ref="P937">IF(N937="","",IFERROR(_xlfn.XLOOKUP(F937&amp;"|"&amp;J937&amp;"|"&amp;O937,PRICES!$C$2:$C$659&amp;"|"&amp;PRICES!$B$2:$B$659&amp;"|"&amp;PRICES!$D$2:$D$659,PRICES!$E$2:$E$659),"Not Found"))</f>
        <v/>
      </c>
      <c r="Q937" s="100" t="str">
        <f>IF(N937=0,"",SUMIFS(PRICES!$G$2:$G$658,PRICES!$B$2:$B$658,'MAIN TABLE-1 AUTOMATED'!J937,PRICES!$C$2:$C$658,'MAIN TABLE-1 AUTOMATED'!F937,PRICES!$D$2:$D$658,'MAIN TABLE-1 AUTOMATED'!O937))</f>
        <v/>
      </c>
      <c r="R937" s="41" t="str">
        <f>IF(Table1[[#This Row],[QUANTITY]]=0,"",Table1[[#This Row],[UNIT PRICE]]*Table1[[#This Row],[QUANTITY]])</f>
        <v/>
      </c>
      <c r="S937" s="89"/>
      <c r="T937" s="38"/>
      <c r="U937" s="43"/>
      <c r="V937" s="42" t="str">
        <f>IF(Table1[[#This Row],[DATE]]=0,"",YEAR(E937))</f>
        <v/>
      </c>
      <c r="W937" s="40" t="str">
        <f t="shared" si="30"/>
        <v/>
      </c>
      <c r="X937" s="40" t="str">
        <f t="shared" si="31"/>
        <v/>
      </c>
      <c r="Y937" s="40" t="str">
        <f>TEXT(Table1[[#This Row],[YEAR]],"0000")&amp;"-"&amp;Table1[[#This Row],[MONTH]]</f>
        <v>-</v>
      </c>
    </row>
    <row r="938" spans="1:25" ht="15" customHeight="1" x14ac:dyDescent="0.35">
      <c r="A938" s="24"/>
      <c r="B938" s="38"/>
      <c r="C938" s="38"/>
      <c r="D938" s="38"/>
      <c r="E938" s="37"/>
      <c r="F938" s="38"/>
      <c r="G938" s="198"/>
      <c r="H938" s="198"/>
      <c r="I938" s="39"/>
      <c r="J938" s="38"/>
      <c r="K938" s="198"/>
      <c r="L938" s="38"/>
      <c r="M938" s="38"/>
      <c r="N938" s="38"/>
      <c r="O938" s="38"/>
      <c r="P938" s="40" t="str" cm="1">
        <f t="array" ref="P938">IF(N938="","",IFERROR(_xlfn.XLOOKUP(F938&amp;"|"&amp;J938&amp;"|"&amp;O938,PRICES!$C$2:$C$659&amp;"|"&amp;PRICES!$B$2:$B$659&amp;"|"&amp;PRICES!$D$2:$D$659,PRICES!$E$2:$E$659),"Not Found"))</f>
        <v/>
      </c>
      <c r="Q938" s="100" t="str">
        <f>IF(N938=0,"",SUMIFS(PRICES!$G$2:$G$658,PRICES!$B$2:$B$658,'MAIN TABLE-1 AUTOMATED'!J938,PRICES!$C$2:$C$658,'MAIN TABLE-1 AUTOMATED'!F938,PRICES!$D$2:$D$658,'MAIN TABLE-1 AUTOMATED'!O938))</f>
        <v/>
      </c>
      <c r="R938" s="41" t="str">
        <f>IF(Table1[[#This Row],[QUANTITY]]=0,"",Table1[[#This Row],[UNIT PRICE]]*Table1[[#This Row],[QUANTITY]])</f>
        <v/>
      </c>
      <c r="S938" s="89"/>
      <c r="T938" s="38"/>
      <c r="U938" s="43"/>
      <c r="V938" s="42" t="str">
        <f>IF(Table1[[#This Row],[DATE]]=0,"",YEAR(E938))</f>
        <v/>
      </c>
      <c r="W938" s="40" t="str">
        <f t="shared" si="30"/>
        <v/>
      </c>
      <c r="X938" s="40" t="str">
        <f t="shared" si="31"/>
        <v/>
      </c>
      <c r="Y938" s="40" t="str">
        <f>TEXT(Table1[[#This Row],[YEAR]],"0000")&amp;"-"&amp;Table1[[#This Row],[MONTH]]</f>
        <v>-</v>
      </c>
    </row>
    <row r="939" spans="1:25" ht="15" customHeight="1" x14ac:dyDescent="0.35">
      <c r="A939" s="24"/>
      <c r="B939" s="38"/>
      <c r="C939" s="38"/>
      <c r="D939" s="38"/>
      <c r="E939" s="37"/>
      <c r="F939" s="38"/>
      <c r="G939" s="198"/>
      <c r="H939" s="198"/>
      <c r="I939" s="39"/>
      <c r="J939" s="38"/>
      <c r="K939" s="198"/>
      <c r="L939" s="38"/>
      <c r="M939" s="38"/>
      <c r="N939" s="38"/>
      <c r="O939" s="38"/>
      <c r="P939" s="40" t="str" cm="1">
        <f t="array" ref="P939">IF(N939="","",IFERROR(_xlfn.XLOOKUP(F939&amp;"|"&amp;J939&amp;"|"&amp;O939,PRICES!$C$2:$C$659&amp;"|"&amp;PRICES!$B$2:$B$659&amp;"|"&amp;PRICES!$D$2:$D$659,PRICES!$E$2:$E$659),"Not Found"))</f>
        <v/>
      </c>
      <c r="Q939" s="100" t="str">
        <f>IF(N939=0,"",SUMIFS(PRICES!$G$2:$G$658,PRICES!$B$2:$B$658,'MAIN TABLE-1 AUTOMATED'!J939,PRICES!$C$2:$C$658,'MAIN TABLE-1 AUTOMATED'!F939,PRICES!$D$2:$D$658,'MAIN TABLE-1 AUTOMATED'!O939))</f>
        <v/>
      </c>
      <c r="R939" s="41" t="str">
        <f>IF(Table1[[#This Row],[QUANTITY]]=0,"",Table1[[#This Row],[UNIT PRICE]]*Table1[[#This Row],[QUANTITY]])</f>
        <v/>
      </c>
      <c r="S939" s="89"/>
      <c r="T939" s="38"/>
      <c r="U939" s="43"/>
      <c r="V939" s="42" t="str">
        <f>IF(Table1[[#This Row],[DATE]]=0,"",YEAR(E939))</f>
        <v/>
      </c>
      <c r="W939" s="40" t="str">
        <f t="shared" si="30"/>
        <v/>
      </c>
      <c r="X939" s="40" t="str">
        <f t="shared" si="31"/>
        <v/>
      </c>
      <c r="Y939" s="40" t="str">
        <f>TEXT(Table1[[#This Row],[YEAR]],"0000")&amp;"-"&amp;Table1[[#This Row],[MONTH]]</f>
        <v>-</v>
      </c>
    </row>
    <row r="940" spans="1:25" ht="15" customHeight="1" x14ac:dyDescent="0.35">
      <c r="A940" s="24"/>
      <c r="B940" s="38"/>
      <c r="C940" s="38"/>
      <c r="D940" s="38"/>
      <c r="E940" s="37"/>
      <c r="F940" s="38"/>
      <c r="G940" s="198"/>
      <c r="H940" s="198"/>
      <c r="I940" s="39"/>
      <c r="J940" s="38"/>
      <c r="K940" s="198"/>
      <c r="L940" s="38"/>
      <c r="M940" s="38"/>
      <c r="N940" s="38"/>
      <c r="O940" s="38"/>
      <c r="P940" s="40" t="str" cm="1">
        <f t="array" ref="P940">IF(N940="","",IFERROR(_xlfn.XLOOKUP(F940&amp;"|"&amp;J940&amp;"|"&amp;O940,PRICES!$C$2:$C$659&amp;"|"&amp;PRICES!$B$2:$B$659&amp;"|"&amp;PRICES!$D$2:$D$659,PRICES!$E$2:$E$659),"Not Found"))</f>
        <v/>
      </c>
      <c r="Q940" s="100" t="str">
        <f>IF(N940=0,"",SUMIFS(PRICES!$G$2:$G$658,PRICES!$B$2:$B$658,'MAIN TABLE-1 AUTOMATED'!J940,PRICES!$C$2:$C$658,'MAIN TABLE-1 AUTOMATED'!F940,PRICES!$D$2:$D$658,'MAIN TABLE-1 AUTOMATED'!O940))</f>
        <v/>
      </c>
      <c r="R940" s="41" t="str">
        <f>IF(Table1[[#This Row],[QUANTITY]]=0,"",Table1[[#This Row],[UNIT PRICE]]*Table1[[#This Row],[QUANTITY]])</f>
        <v/>
      </c>
      <c r="S940" s="89"/>
      <c r="T940" s="38"/>
      <c r="U940" s="43"/>
      <c r="V940" s="42" t="str">
        <f>IF(Table1[[#This Row],[DATE]]=0,"",YEAR(E940))</f>
        <v/>
      </c>
      <c r="W940" s="40" t="str">
        <f t="shared" si="30"/>
        <v/>
      </c>
      <c r="X940" s="40" t="str">
        <f t="shared" si="31"/>
        <v/>
      </c>
      <c r="Y940" s="40" t="str">
        <f>TEXT(Table1[[#This Row],[YEAR]],"0000")&amp;"-"&amp;Table1[[#This Row],[MONTH]]</f>
        <v>-</v>
      </c>
    </row>
    <row r="941" spans="1:25" ht="15" customHeight="1" x14ac:dyDescent="0.35">
      <c r="A941" s="24"/>
      <c r="B941" s="38"/>
      <c r="C941" s="38"/>
      <c r="D941" s="38"/>
      <c r="E941" s="37"/>
      <c r="F941" s="38"/>
      <c r="G941" s="198"/>
      <c r="H941" s="198"/>
      <c r="I941" s="39"/>
      <c r="J941" s="38"/>
      <c r="K941" s="198"/>
      <c r="L941" s="38"/>
      <c r="M941" s="38"/>
      <c r="N941" s="38"/>
      <c r="O941" s="38"/>
      <c r="P941" s="40" t="str" cm="1">
        <f t="array" ref="P941">IF(N941="","",IFERROR(_xlfn.XLOOKUP(F941&amp;"|"&amp;J941&amp;"|"&amp;O941,PRICES!$C$2:$C$659&amp;"|"&amp;PRICES!$B$2:$B$659&amp;"|"&amp;PRICES!$D$2:$D$659,PRICES!$E$2:$E$659),"Not Found"))</f>
        <v/>
      </c>
      <c r="Q941" s="100" t="str">
        <f>IF(N941=0,"",SUMIFS(PRICES!$G$2:$G$658,PRICES!$B$2:$B$658,'MAIN TABLE-1 AUTOMATED'!J941,PRICES!$C$2:$C$658,'MAIN TABLE-1 AUTOMATED'!F941,PRICES!$D$2:$D$658,'MAIN TABLE-1 AUTOMATED'!O941))</f>
        <v/>
      </c>
      <c r="R941" s="41" t="str">
        <f>IF(Table1[[#This Row],[QUANTITY]]=0,"",Table1[[#This Row],[UNIT PRICE]]*Table1[[#This Row],[QUANTITY]])</f>
        <v/>
      </c>
      <c r="S941" s="89"/>
      <c r="T941" s="38"/>
      <c r="U941" s="43"/>
      <c r="V941" s="42" t="str">
        <f>IF(Table1[[#This Row],[DATE]]=0,"",YEAR(E941))</f>
        <v/>
      </c>
      <c r="W941" s="40" t="str">
        <f t="shared" si="30"/>
        <v/>
      </c>
      <c r="X941" s="40" t="str">
        <f t="shared" si="31"/>
        <v/>
      </c>
      <c r="Y941" s="40" t="str">
        <f>TEXT(Table1[[#This Row],[YEAR]],"0000")&amp;"-"&amp;Table1[[#This Row],[MONTH]]</f>
        <v>-</v>
      </c>
    </row>
    <row r="942" spans="1:25" ht="15" customHeight="1" x14ac:dyDescent="0.35">
      <c r="A942" s="24"/>
      <c r="B942" s="38"/>
      <c r="C942" s="38"/>
      <c r="D942" s="38"/>
      <c r="E942" s="37"/>
      <c r="F942" s="38"/>
      <c r="G942" s="198"/>
      <c r="H942" s="198"/>
      <c r="I942" s="39"/>
      <c r="J942" s="38"/>
      <c r="K942" s="198"/>
      <c r="L942" s="38"/>
      <c r="M942" s="38"/>
      <c r="N942" s="38"/>
      <c r="O942" s="38"/>
      <c r="P942" s="40" t="str" cm="1">
        <f t="array" ref="P942">IF(N942="","",IFERROR(_xlfn.XLOOKUP(F942&amp;"|"&amp;J942&amp;"|"&amp;O942,PRICES!$C$2:$C$659&amp;"|"&amp;PRICES!$B$2:$B$659&amp;"|"&amp;PRICES!$D$2:$D$659,PRICES!$E$2:$E$659),"Not Found"))</f>
        <v/>
      </c>
      <c r="Q942" s="100" t="str">
        <f>IF(N942=0,"",SUMIFS(PRICES!$G$2:$G$658,PRICES!$B$2:$B$658,'MAIN TABLE-1 AUTOMATED'!J942,PRICES!$C$2:$C$658,'MAIN TABLE-1 AUTOMATED'!F942,PRICES!$D$2:$D$658,'MAIN TABLE-1 AUTOMATED'!O942))</f>
        <v/>
      </c>
      <c r="R942" s="41" t="str">
        <f>IF(Table1[[#This Row],[QUANTITY]]=0,"",Table1[[#This Row],[UNIT PRICE]]*Table1[[#This Row],[QUANTITY]])</f>
        <v/>
      </c>
      <c r="S942" s="89"/>
      <c r="T942" s="38"/>
      <c r="U942" s="43"/>
      <c r="V942" s="42" t="str">
        <f>IF(Table1[[#This Row],[DATE]]=0,"",YEAR(E942))</f>
        <v/>
      </c>
      <c r="W942" s="40" t="str">
        <f t="shared" si="30"/>
        <v/>
      </c>
      <c r="X942" s="40" t="str">
        <f t="shared" si="31"/>
        <v/>
      </c>
      <c r="Y942" s="40" t="str">
        <f>TEXT(Table1[[#This Row],[YEAR]],"0000")&amp;"-"&amp;Table1[[#This Row],[MONTH]]</f>
        <v>-</v>
      </c>
    </row>
    <row r="943" spans="1:25" ht="15" customHeight="1" x14ac:dyDescent="0.35">
      <c r="A943" s="24"/>
      <c r="B943" s="38"/>
      <c r="C943" s="38"/>
      <c r="D943" s="38"/>
      <c r="E943" s="37"/>
      <c r="F943" s="38"/>
      <c r="G943" s="198"/>
      <c r="H943" s="198"/>
      <c r="I943" s="39"/>
      <c r="J943" s="38"/>
      <c r="K943" s="198"/>
      <c r="L943" s="38"/>
      <c r="M943" s="38"/>
      <c r="N943" s="38"/>
      <c r="O943" s="38"/>
      <c r="P943" s="40" t="str" cm="1">
        <f t="array" ref="P943">IF(N943="","",IFERROR(_xlfn.XLOOKUP(F943&amp;"|"&amp;J943&amp;"|"&amp;O943,PRICES!$C$2:$C$659&amp;"|"&amp;PRICES!$B$2:$B$659&amp;"|"&amp;PRICES!$D$2:$D$659,PRICES!$E$2:$E$659),"Not Found"))</f>
        <v/>
      </c>
      <c r="Q943" s="100" t="str">
        <f>IF(N943=0,"",SUMIFS(PRICES!$G$2:$G$658,PRICES!$B$2:$B$658,'MAIN TABLE-1 AUTOMATED'!J943,PRICES!$C$2:$C$658,'MAIN TABLE-1 AUTOMATED'!F943,PRICES!$D$2:$D$658,'MAIN TABLE-1 AUTOMATED'!O943))</f>
        <v/>
      </c>
      <c r="R943" s="41" t="str">
        <f>IF(Table1[[#This Row],[QUANTITY]]=0,"",Table1[[#This Row],[UNIT PRICE]]*Table1[[#This Row],[QUANTITY]])</f>
        <v/>
      </c>
      <c r="S943" s="89"/>
      <c r="T943" s="38"/>
      <c r="U943" s="43"/>
      <c r="V943" s="42" t="str">
        <f>IF(Table1[[#This Row],[DATE]]=0,"",YEAR(E943))</f>
        <v/>
      </c>
      <c r="W943" s="40" t="str">
        <f t="shared" si="30"/>
        <v/>
      </c>
      <c r="X943" s="40" t="str">
        <f t="shared" si="31"/>
        <v/>
      </c>
      <c r="Y943" s="40" t="str">
        <f>TEXT(Table1[[#This Row],[YEAR]],"0000")&amp;"-"&amp;Table1[[#This Row],[MONTH]]</f>
        <v>-</v>
      </c>
    </row>
    <row r="944" spans="1:25" ht="15" customHeight="1" x14ac:dyDescent="0.35">
      <c r="A944" s="24"/>
      <c r="B944" s="38"/>
      <c r="C944" s="38"/>
      <c r="D944" s="38"/>
      <c r="E944" s="37"/>
      <c r="F944" s="38"/>
      <c r="G944" s="198"/>
      <c r="H944" s="198"/>
      <c r="I944" s="39"/>
      <c r="J944" s="38"/>
      <c r="K944" s="198"/>
      <c r="L944" s="38"/>
      <c r="M944" s="38"/>
      <c r="N944" s="38"/>
      <c r="O944" s="38"/>
      <c r="P944" s="40" t="str" cm="1">
        <f t="array" ref="P944">IF(N944="","",IFERROR(_xlfn.XLOOKUP(F944&amp;"|"&amp;J944&amp;"|"&amp;O944,PRICES!$C$2:$C$659&amp;"|"&amp;PRICES!$B$2:$B$659&amp;"|"&amp;PRICES!$D$2:$D$659,PRICES!$E$2:$E$659),"Not Found"))</f>
        <v/>
      </c>
      <c r="Q944" s="100" t="str">
        <f>IF(N944=0,"",SUMIFS(PRICES!$G$2:$G$658,PRICES!$B$2:$B$658,'MAIN TABLE-1 AUTOMATED'!J944,PRICES!$C$2:$C$658,'MAIN TABLE-1 AUTOMATED'!F944,PRICES!$D$2:$D$658,'MAIN TABLE-1 AUTOMATED'!O944))</f>
        <v/>
      </c>
      <c r="R944" s="41" t="str">
        <f>IF(Table1[[#This Row],[QUANTITY]]=0,"",Table1[[#This Row],[UNIT PRICE]]*Table1[[#This Row],[QUANTITY]])</f>
        <v/>
      </c>
      <c r="S944" s="89"/>
      <c r="T944" s="38"/>
      <c r="U944" s="43"/>
      <c r="V944" s="42" t="str">
        <f>IF(Table1[[#This Row],[DATE]]=0,"",YEAR(E944))</f>
        <v/>
      </c>
      <c r="W944" s="40" t="str">
        <f t="shared" si="30"/>
        <v/>
      </c>
      <c r="X944" s="40" t="str">
        <f t="shared" si="31"/>
        <v/>
      </c>
      <c r="Y944" s="40" t="str">
        <f>TEXT(Table1[[#This Row],[YEAR]],"0000")&amp;"-"&amp;Table1[[#This Row],[MONTH]]</f>
        <v>-</v>
      </c>
    </row>
    <row r="945" spans="1:25" ht="15" customHeight="1" x14ac:dyDescent="0.35">
      <c r="A945" s="24"/>
      <c r="B945" s="38"/>
      <c r="C945" s="38"/>
      <c r="D945" s="38"/>
      <c r="E945" s="37"/>
      <c r="F945" s="38"/>
      <c r="G945" s="198"/>
      <c r="H945" s="198"/>
      <c r="I945" s="39"/>
      <c r="J945" s="38"/>
      <c r="K945" s="198"/>
      <c r="L945" s="38"/>
      <c r="M945" s="38"/>
      <c r="N945" s="38"/>
      <c r="O945" s="38"/>
      <c r="P945" s="40" t="str" cm="1">
        <f t="array" ref="P945">IF(N945="","",IFERROR(_xlfn.XLOOKUP(F945&amp;"|"&amp;J945&amp;"|"&amp;O945,PRICES!$C$2:$C$659&amp;"|"&amp;PRICES!$B$2:$B$659&amp;"|"&amp;PRICES!$D$2:$D$659,PRICES!$E$2:$E$659),"Not Found"))</f>
        <v/>
      </c>
      <c r="Q945" s="100" t="str">
        <f>IF(N945=0,"",SUMIFS(PRICES!$G$2:$G$658,PRICES!$B$2:$B$658,'MAIN TABLE-1 AUTOMATED'!J945,PRICES!$C$2:$C$658,'MAIN TABLE-1 AUTOMATED'!F945,PRICES!$D$2:$D$658,'MAIN TABLE-1 AUTOMATED'!O945))</f>
        <v/>
      </c>
      <c r="R945" s="41" t="str">
        <f>IF(Table1[[#This Row],[QUANTITY]]=0,"",Table1[[#This Row],[UNIT PRICE]]*Table1[[#This Row],[QUANTITY]])</f>
        <v/>
      </c>
      <c r="S945" s="89"/>
      <c r="T945" s="38"/>
      <c r="U945" s="43"/>
      <c r="V945" s="42" t="str">
        <f>IF(Table1[[#This Row],[DATE]]=0,"",YEAR(E945))</f>
        <v/>
      </c>
      <c r="W945" s="40" t="str">
        <f t="shared" si="30"/>
        <v/>
      </c>
      <c r="X945" s="40" t="str">
        <f t="shared" si="31"/>
        <v/>
      </c>
      <c r="Y945" s="40" t="str">
        <f>TEXT(Table1[[#This Row],[YEAR]],"0000")&amp;"-"&amp;Table1[[#This Row],[MONTH]]</f>
        <v>-</v>
      </c>
    </row>
    <row r="946" spans="1:25" ht="15" customHeight="1" x14ac:dyDescent="0.35">
      <c r="A946" s="24"/>
      <c r="B946" s="38"/>
      <c r="C946" s="38"/>
      <c r="D946" s="38"/>
      <c r="E946" s="37"/>
      <c r="F946" s="38"/>
      <c r="G946" s="198"/>
      <c r="H946" s="198"/>
      <c r="I946" s="39"/>
      <c r="J946" s="38"/>
      <c r="K946" s="198"/>
      <c r="L946" s="38"/>
      <c r="M946" s="38"/>
      <c r="N946" s="38"/>
      <c r="O946" s="38"/>
      <c r="P946" s="40" t="str" cm="1">
        <f t="array" ref="P946">IF(N946="","",IFERROR(_xlfn.XLOOKUP(F946&amp;"|"&amp;J946&amp;"|"&amp;O946,PRICES!$C$2:$C$659&amp;"|"&amp;PRICES!$B$2:$B$659&amp;"|"&amp;PRICES!$D$2:$D$659,PRICES!$E$2:$E$659),"Not Found"))</f>
        <v/>
      </c>
      <c r="Q946" s="100" t="str">
        <f>IF(N946=0,"",SUMIFS(PRICES!$G$2:$G$658,PRICES!$B$2:$B$658,'MAIN TABLE-1 AUTOMATED'!J946,PRICES!$C$2:$C$658,'MAIN TABLE-1 AUTOMATED'!F946,PRICES!$D$2:$D$658,'MAIN TABLE-1 AUTOMATED'!O946))</f>
        <v/>
      </c>
      <c r="R946" s="41" t="str">
        <f>IF(Table1[[#This Row],[QUANTITY]]=0,"",Table1[[#This Row],[UNIT PRICE]]*Table1[[#This Row],[QUANTITY]])</f>
        <v/>
      </c>
      <c r="S946" s="89"/>
      <c r="T946" s="38"/>
      <c r="U946" s="43"/>
      <c r="V946" s="42" t="str">
        <f>IF(Table1[[#This Row],[DATE]]=0,"",YEAR(E946))</f>
        <v/>
      </c>
      <c r="W946" s="40" t="str">
        <f t="shared" si="30"/>
        <v/>
      </c>
      <c r="X946" s="40" t="str">
        <f t="shared" si="31"/>
        <v/>
      </c>
      <c r="Y946" s="40" t="str">
        <f>TEXT(Table1[[#This Row],[YEAR]],"0000")&amp;"-"&amp;Table1[[#This Row],[MONTH]]</f>
        <v>-</v>
      </c>
    </row>
    <row r="947" spans="1:25" ht="15" customHeight="1" x14ac:dyDescent="0.35">
      <c r="A947" s="24"/>
      <c r="B947" s="38"/>
      <c r="C947" s="38"/>
      <c r="D947" s="38"/>
      <c r="E947" s="37"/>
      <c r="F947" s="38"/>
      <c r="G947" s="198"/>
      <c r="H947" s="198"/>
      <c r="I947" s="39"/>
      <c r="J947" s="38"/>
      <c r="K947" s="198"/>
      <c r="L947" s="38"/>
      <c r="M947" s="38"/>
      <c r="N947" s="38"/>
      <c r="O947" s="38"/>
      <c r="P947" s="40" t="str" cm="1">
        <f t="array" ref="P947">IF(N947="","",IFERROR(_xlfn.XLOOKUP(F947&amp;"|"&amp;J947&amp;"|"&amp;O947,PRICES!$C$2:$C$659&amp;"|"&amp;PRICES!$B$2:$B$659&amp;"|"&amp;PRICES!$D$2:$D$659,PRICES!$E$2:$E$659),"Not Found"))</f>
        <v/>
      </c>
      <c r="Q947" s="100" t="str">
        <f>IF(N947=0,"",SUMIFS(PRICES!$G$2:$G$658,PRICES!$B$2:$B$658,'MAIN TABLE-1 AUTOMATED'!J947,PRICES!$C$2:$C$658,'MAIN TABLE-1 AUTOMATED'!F947,PRICES!$D$2:$D$658,'MAIN TABLE-1 AUTOMATED'!O947))</f>
        <v/>
      </c>
      <c r="R947" s="41" t="str">
        <f>IF(Table1[[#This Row],[QUANTITY]]=0,"",Table1[[#This Row],[UNIT PRICE]]*Table1[[#This Row],[QUANTITY]])</f>
        <v/>
      </c>
      <c r="S947" s="89"/>
      <c r="T947" s="38"/>
      <c r="U947" s="43"/>
      <c r="V947" s="42" t="str">
        <f>IF(Table1[[#This Row],[DATE]]=0,"",YEAR(E947))</f>
        <v/>
      </c>
      <c r="W947" s="40" t="str">
        <f t="shared" si="30"/>
        <v/>
      </c>
      <c r="X947" s="40" t="str">
        <f t="shared" si="31"/>
        <v/>
      </c>
      <c r="Y947" s="40" t="str">
        <f>TEXT(Table1[[#This Row],[YEAR]],"0000")&amp;"-"&amp;Table1[[#This Row],[MONTH]]</f>
        <v>-</v>
      </c>
    </row>
    <row r="948" spans="1:25" ht="15" customHeight="1" x14ac:dyDescent="0.35">
      <c r="A948" s="24"/>
      <c r="B948" s="38"/>
      <c r="C948" s="38"/>
      <c r="D948" s="38"/>
      <c r="E948" s="37"/>
      <c r="F948" s="38"/>
      <c r="G948" s="198"/>
      <c r="H948" s="198"/>
      <c r="I948" s="39"/>
      <c r="J948" s="38"/>
      <c r="K948" s="198"/>
      <c r="L948" s="38"/>
      <c r="M948" s="38"/>
      <c r="N948" s="38"/>
      <c r="O948" s="38"/>
      <c r="P948" s="40" t="str" cm="1">
        <f t="array" ref="P948">IF(N948="","",IFERROR(_xlfn.XLOOKUP(F948&amp;"|"&amp;J948&amp;"|"&amp;O948,PRICES!$C$2:$C$659&amp;"|"&amp;PRICES!$B$2:$B$659&amp;"|"&amp;PRICES!$D$2:$D$659,PRICES!$E$2:$E$659),"Not Found"))</f>
        <v/>
      </c>
      <c r="Q948" s="100" t="str">
        <f>IF(N948=0,"",SUMIFS(PRICES!$G$2:$G$658,PRICES!$B$2:$B$658,'MAIN TABLE-1 AUTOMATED'!J948,PRICES!$C$2:$C$658,'MAIN TABLE-1 AUTOMATED'!F948,PRICES!$D$2:$D$658,'MAIN TABLE-1 AUTOMATED'!O948))</f>
        <v/>
      </c>
      <c r="R948" s="41" t="str">
        <f>IF(Table1[[#This Row],[QUANTITY]]=0,"",Table1[[#This Row],[UNIT PRICE]]*Table1[[#This Row],[QUANTITY]])</f>
        <v/>
      </c>
      <c r="S948" s="89"/>
      <c r="T948" s="38"/>
      <c r="U948" s="43"/>
      <c r="V948" s="42" t="str">
        <f>IF(Table1[[#This Row],[DATE]]=0,"",YEAR(E948))</f>
        <v/>
      </c>
      <c r="W948" s="40" t="str">
        <f t="shared" si="30"/>
        <v/>
      </c>
      <c r="X948" s="40" t="str">
        <f t="shared" si="31"/>
        <v/>
      </c>
      <c r="Y948" s="40" t="str">
        <f>TEXT(Table1[[#This Row],[YEAR]],"0000")&amp;"-"&amp;Table1[[#This Row],[MONTH]]</f>
        <v>-</v>
      </c>
    </row>
    <row r="949" spans="1:25" ht="15" customHeight="1" x14ac:dyDescent="0.35">
      <c r="A949" s="24"/>
      <c r="B949" s="38"/>
      <c r="C949" s="38"/>
      <c r="D949" s="38"/>
      <c r="E949" s="37"/>
      <c r="F949" s="38"/>
      <c r="G949" s="198"/>
      <c r="H949" s="198"/>
      <c r="I949" s="39"/>
      <c r="J949" s="38"/>
      <c r="K949" s="198"/>
      <c r="L949" s="38"/>
      <c r="M949" s="38"/>
      <c r="N949" s="38"/>
      <c r="O949" s="38"/>
      <c r="P949" s="40" t="str" cm="1">
        <f t="array" ref="P949">IF(N949="","",IFERROR(_xlfn.XLOOKUP(F949&amp;"|"&amp;J949&amp;"|"&amp;O949,PRICES!$C$2:$C$659&amp;"|"&amp;PRICES!$B$2:$B$659&amp;"|"&amp;PRICES!$D$2:$D$659,PRICES!$E$2:$E$659),"Not Found"))</f>
        <v/>
      </c>
      <c r="Q949" s="100" t="str">
        <f>IF(N949=0,"",SUMIFS(PRICES!$G$2:$G$658,PRICES!$B$2:$B$658,'MAIN TABLE-1 AUTOMATED'!J949,PRICES!$C$2:$C$658,'MAIN TABLE-1 AUTOMATED'!F949,PRICES!$D$2:$D$658,'MAIN TABLE-1 AUTOMATED'!O949))</f>
        <v/>
      </c>
      <c r="R949" s="41" t="str">
        <f>IF(Table1[[#This Row],[QUANTITY]]=0,"",Table1[[#This Row],[UNIT PRICE]]*Table1[[#This Row],[QUANTITY]])</f>
        <v/>
      </c>
      <c r="S949" s="89"/>
      <c r="T949" s="38"/>
      <c r="U949" s="43"/>
      <c r="V949" s="42" t="str">
        <f>IF(Table1[[#This Row],[DATE]]=0,"",YEAR(E949))</f>
        <v/>
      </c>
      <c r="W949" s="40" t="str">
        <f t="shared" si="30"/>
        <v/>
      </c>
      <c r="X949" s="40" t="str">
        <f t="shared" si="31"/>
        <v/>
      </c>
      <c r="Y949" s="40" t="str">
        <f>TEXT(Table1[[#This Row],[YEAR]],"0000")&amp;"-"&amp;Table1[[#This Row],[MONTH]]</f>
        <v>-</v>
      </c>
    </row>
    <row r="950" spans="1:25" ht="15" customHeight="1" x14ac:dyDescent="0.35">
      <c r="A950" s="24"/>
      <c r="B950" s="38"/>
      <c r="C950" s="38"/>
      <c r="D950" s="38"/>
      <c r="E950" s="37"/>
      <c r="F950" s="38"/>
      <c r="G950" s="198"/>
      <c r="H950" s="198"/>
      <c r="I950" s="39"/>
      <c r="J950" s="38"/>
      <c r="K950" s="198"/>
      <c r="L950" s="38"/>
      <c r="M950" s="38"/>
      <c r="N950" s="38"/>
      <c r="O950" s="38"/>
      <c r="P950" s="40" t="str" cm="1">
        <f t="array" ref="P950">IF(N950="","",IFERROR(_xlfn.XLOOKUP(F950&amp;"|"&amp;J950&amp;"|"&amp;O950,PRICES!$C$2:$C$659&amp;"|"&amp;PRICES!$B$2:$B$659&amp;"|"&amp;PRICES!$D$2:$D$659,PRICES!$E$2:$E$659),"Not Found"))</f>
        <v/>
      </c>
      <c r="Q950" s="100" t="str">
        <f>IF(N950=0,"",SUMIFS(PRICES!$G$2:$G$658,PRICES!$B$2:$B$658,'MAIN TABLE-1 AUTOMATED'!J950,PRICES!$C$2:$C$658,'MAIN TABLE-1 AUTOMATED'!F950,PRICES!$D$2:$D$658,'MAIN TABLE-1 AUTOMATED'!O950))</f>
        <v/>
      </c>
      <c r="R950" s="41" t="str">
        <f>IF(Table1[[#This Row],[QUANTITY]]=0,"",Table1[[#This Row],[UNIT PRICE]]*Table1[[#This Row],[QUANTITY]])</f>
        <v/>
      </c>
      <c r="S950" s="89"/>
      <c r="T950" s="38"/>
      <c r="U950" s="43"/>
      <c r="V950" s="42" t="str">
        <f>IF(Table1[[#This Row],[DATE]]=0,"",YEAR(E950))</f>
        <v/>
      </c>
      <c r="W950" s="40" t="str">
        <f t="shared" si="30"/>
        <v/>
      </c>
      <c r="X950" s="40" t="str">
        <f t="shared" si="31"/>
        <v/>
      </c>
      <c r="Y950" s="40" t="str">
        <f>TEXT(Table1[[#This Row],[YEAR]],"0000")&amp;"-"&amp;Table1[[#This Row],[MONTH]]</f>
        <v>-</v>
      </c>
    </row>
    <row r="951" spans="1:25" ht="15" customHeight="1" x14ac:dyDescent="0.35">
      <c r="A951" s="24"/>
      <c r="B951" s="38"/>
      <c r="C951" s="38"/>
      <c r="D951" s="38"/>
      <c r="E951" s="37"/>
      <c r="F951" s="38"/>
      <c r="G951" s="198"/>
      <c r="H951" s="198"/>
      <c r="I951" s="39"/>
      <c r="J951" s="38"/>
      <c r="K951" s="198"/>
      <c r="L951" s="38"/>
      <c r="M951" s="38"/>
      <c r="N951" s="38"/>
      <c r="O951" s="38"/>
      <c r="P951" s="40" t="str" cm="1">
        <f t="array" ref="P951">IF(N951="","",IFERROR(_xlfn.XLOOKUP(F951&amp;"|"&amp;J951&amp;"|"&amp;O951,PRICES!$C$2:$C$659&amp;"|"&amp;PRICES!$B$2:$B$659&amp;"|"&amp;PRICES!$D$2:$D$659,PRICES!$E$2:$E$659),"Not Found"))</f>
        <v/>
      </c>
      <c r="Q951" s="100" t="str">
        <f>IF(N951=0,"",SUMIFS(PRICES!$G$2:$G$658,PRICES!$B$2:$B$658,'MAIN TABLE-1 AUTOMATED'!J951,PRICES!$C$2:$C$658,'MAIN TABLE-1 AUTOMATED'!F951,PRICES!$D$2:$D$658,'MAIN TABLE-1 AUTOMATED'!O951))</f>
        <v/>
      </c>
      <c r="R951" s="41" t="str">
        <f>IF(Table1[[#This Row],[QUANTITY]]=0,"",Table1[[#This Row],[UNIT PRICE]]*Table1[[#This Row],[QUANTITY]])</f>
        <v/>
      </c>
      <c r="S951" s="89"/>
      <c r="T951" s="38"/>
      <c r="U951" s="43"/>
      <c r="V951" s="42" t="str">
        <f>IF(Table1[[#This Row],[DATE]]=0,"",YEAR(E951))</f>
        <v/>
      </c>
      <c r="W951" s="40" t="str">
        <f t="shared" si="30"/>
        <v/>
      </c>
      <c r="X951" s="40" t="str">
        <f t="shared" si="31"/>
        <v/>
      </c>
      <c r="Y951" s="40" t="str">
        <f>TEXT(Table1[[#This Row],[YEAR]],"0000")&amp;"-"&amp;Table1[[#This Row],[MONTH]]</f>
        <v>-</v>
      </c>
    </row>
    <row r="952" spans="1:25" ht="15" customHeight="1" x14ac:dyDescent="0.35">
      <c r="A952" s="24"/>
      <c r="B952" s="38"/>
      <c r="C952" s="38"/>
      <c r="D952" s="38"/>
      <c r="E952" s="37"/>
      <c r="F952" s="38"/>
      <c r="G952" s="198"/>
      <c r="H952" s="198"/>
      <c r="I952" s="39"/>
      <c r="J952" s="38"/>
      <c r="K952" s="198"/>
      <c r="L952" s="38"/>
      <c r="M952" s="38"/>
      <c r="N952" s="38"/>
      <c r="O952" s="38"/>
      <c r="P952" s="40" t="str" cm="1">
        <f t="array" ref="P952">IF(N952="","",IFERROR(_xlfn.XLOOKUP(F952&amp;"|"&amp;J952&amp;"|"&amp;O952,PRICES!$C$2:$C$659&amp;"|"&amp;PRICES!$B$2:$B$659&amp;"|"&amp;PRICES!$D$2:$D$659,PRICES!$E$2:$E$659),"Not Found"))</f>
        <v/>
      </c>
      <c r="Q952" s="100" t="str">
        <f>IF(N952=0,"",SUMIFS(PRICES!$G$2:$G$658,PRICES!$B$2:$B$658,'MAIN TABLE-1 AUTOMATED'!J952,PRICES!$C$2:$C$658,'MAIN TABLE-1 AUTOMATED'!F952,PRICES!$D$2:$D$658,'MAIN TABLE-1 AUTOMATED'!O952))</f>
        <v/>
      </c>
      <c r="R952" s="41" t="str">
        <f>IF(Table1[[#This Row],[QUANTITY]]=0,"",Table1[[#This Row],[UNIT PRICE]]*Table1[[#This Row],[QUANTITY]])</f>
        <v/>
      </c>
      <c r="S952" s="89"/>
      <c r="T952" s="38"/>
      <c r="U952" s="43"/>
      <c r="V952" s="42" t="str">
        <f>IF(Table1[[#This Row],[DATE]]=0,"",YEAR(E952))</f>
        <v/>
      </c>
      <c r="W952" s="40" t="str">
        <f t="shared" si="30"/>
        <v/>
      </c>
      <c r="X952" s="40" t="str">
        <f t="shared" si="31"/>
        <v/>
      </c>
      <c r="Y952" s="40" t="str">
        <f>TEXT(Table1[[#This Row],[YEAR]],"0000")&amp;"-"&amp;Table1[[#This Row],[MONTH]]</f>
        <v>-</v>
      </c>
    </row>
    <row r="953" spans="1:25" ht="15" customHeight="1" x14ac:dyDescent="0.35">
      <c r="A953" s="24"/>
      <c r="B953" s="36"/>
      <c r="C953" s="38"/>
      <c r="D953" s="38"/>
      <c r="E953" s="37"/>
      <c r="F953" s="38"/>
      <c r="G953" s="198"/>
      <c r="H953" s="198"/>
      <c r="I953" s="39"/>
      <c r="J953" s="38"/>
      <c r="K953" s="198"/>
      <c r="L953" s="38"/>
      <c r="M953" s="38"/>
      <c r="N953" s="38"/>
      <c r="O953" s="38"/>
      <c r="P953" s="40" t="str" cm="1">
        <f t="array" ref="P953">IF(N953="","",IFERROR(_xlfn.XLOOKUP(F953&amp;"|"&amp;J953&amp;"|"&amp;O953,PRICES!$C$2:$C$659&amp;"|"&amp;PRICES!$B$2:$B$659&amp;"|"&amp;PRICES!$D$2:$D$659,PRICES!$E$2:$E$659),"Not Found"))</f>
        <v/>
      </c>
      <c r="Q953" s="100" t="str">
        <f>IF(N953=0,"",SUMIFS(PRICES!$G$2:$G$658,PRICES!$B$2:$B$658,'MAIN TABLE-1 AUTOMATED'!J953,PRICES!$C$2:$C$658,'MAIN TABLE-1 AUTOMATED'!F953,PRICES!$D$2:$D$658,'MAIN TABLE-1 AUTOMATED'!O953))</f>
        <v/>
      </c>
      <c r="R953" s="41" t="str">
        <f>IF(Table1[[#This Row],[QUANTITY]]=0,"",Table1[[#This Row],[UNIT PRICE]]*Table1[[#This Row],[QUANTITY]])</f>
        <v/>
      </c>
      <c r="S953" s="89"/>
      <c r="T953" s="38"/>
      <c r="U953" s="43"/>
      <c r="V953" s="42" t="str">
        <f>IF(Table1[[#This Row],[DATE]]=0,"",YEAR(E953))</f>
        <v/>
      </c>
      <c r="W953" s="40" t="str">
        <f t="shared" si="30"/>
        <v/>
      </c>
      <c r="X953" s="40" t="str">
        <f t="shared" si="31"/>
        <v/>
      </c>
      <c r="Y953" s="40" t="str">
        <f>TEXT(Table1[[#This Row],[YEAR]],"0000")&amp;"-"&amp;Table1[[#This Row],[MONTH]]</f>
        <v>-</v>
      </c>
    </row>
    <row r="954" spans="1:25" ht="15" customHeight="1" x14ac:dyDescent="0.35">
      <c r="A954" s="24"/>
      <c r="B954" s="36"/>
      <c r="C954" s="38"/>
      <c r="D954" s="38"/>
      <c r="E954" s="37"/>
      <c r="F954" s="38"/>
      <c r="G954" s="198"/>
      <c r="H954" s="198"/>
      <c r="I954" s="39"/>
      <c r="J954" s="38"/>
      <c r="K954" s="198"/>
      <c r="L954" s="38"/>
      <c r="M954" s="38"/>
      <c r="N954" s="38"/>
      <c r="O954" s="38"/>
      <c r="P954" s="40" t="str" cm="1">
        <f t="array" ref="P954">IF(N954="","",IFERROR(_xlfn.XLOOKUP(F954&amp;"|"&amp;J954&amp;"|"&amp;O954,PRICES!$C$2:$C$659&amp;"|"&amp;PRICES!$B$2:$B$659&amp;"|"&amp;PRICES!$D$2:$D$659,PRICES!$E$2:$E$659),"Not Found"))</f>
        <v/>
      </c>
      <c r="Q954" s="100" t="str">
        <f>IF(N954=0,"",SUMIFS(PRICES!$G$2:$G$658,PRICES!$B$2:$B$658,'MAIN TABLE-1 AUTOMATED'!J954,PRICES!$C$2:$C$658,'MAIN TABLE-1 AUTOMATED'!F954,PRICES!$D$2:$D$658,'MAIN TABLE-1 AUTOMATED'!O954))</f>
        <v/>
      </c>
      <c r="R954" s="41" t="str">
        <f>IF(Table1[[#This Row],[QUANTITY]]=0,"",Table1[[#This Row],[UNIT PRICE]]*Table1[[#This Row],[QUANTITY]])</f>
        <v/>
      </c>
      <c r="S954" s="89"/>
      <c r="T954" s="38"/>
      <c r="U954" s="43"/>
      <c r="V954" s="42" t="str">
        <f>IF(Table1[[#This Row],[DATE]]=0,"",YEAR(E954))</f>
        <v/>
      </c>
      <c r="W954" s="40" t="str">
        <f t="shared" si="30"/>
        <v/>
      </c>
      <c r="X954" s="40" t="str">
        <f t="shared" si="31"/>
        <v/>
      </c>
      <c r="Y954" s="40" t="str">
        <f>TEXT(Table1[[#This Row],[YEAR]],"0000")&amp;"-"&amp;Table1[[#This Row],[MONTH]]</f>
        <v>-</v>
      </c>
    </row>
    <row r="955" spans="1:25" ht="15" customHeight="1" x14ac:dyDescent="0.35">
      <c r="A955" s="24"/>
      <c r="B955" s="36"/>
      <c r="C955" s="38"/>
      <c r="D955" s="38"/>
      <c r="E955" s="37"/>
      <c r="F955" s="38"/>
      <c r="G955" s="198"/>
      <c r="H955" s="198"/>
      <c r="I955" s="39"/>
      <c r="J955" s="38"/>
      <c r="K955" s="198"/>
      <c r="L955" s="38"/>
      <c r="M955" s="38"/>
      <c r="N955" s="38"/>
      <c r="O955" s="38"/>
      <c r="P955" s="40" t="str" cm="1">
        <f t="array" ref="P955">IF(N955="","",IFERROR(_xlfn.XLOOKUP(F955&amp;"|"&amp;J955&amp;"|"&amp;O955,PRICES!$C$2:$C$659&amp;"|"&amp;PRICES!$B$2:$B$659&amp;"|"&amp;PRICES!$D$2:$D$659,PRICES!$E$2:$E$659),"Not Found"))</f>
        <v/>
      </c>
      <c r="Q955" s="100" t="str">
        <f>IF(N955=0,"",SUMIFS(PRICES!$G$2:$G$658,PRICES!$B$2:$B$658,'MAIN TABLE-1 AUTOMATED'!J955,PRICES!$C$2:$C$658,'MAIN TABLE-1 AUTOMATED'!F955,PRICES!$D$2:$D$658,'MAIN TABLE-1 AUTOMATED'!O955))</f>
        <v/>
      </c>
      <c r="R955" s="41" t="str">
        <f>IF(Table1[[#This Row],[QUANTITY]]=0,"",Table1[[#This Row],[UNIT PRICE]]*Table1[[#This Row],[QUANTITY]])</f>
        <v/>
      </c>
      <c r="S955" s="89"/>
      <c r="T955" s="38"/>
      <c r="U955" s="43"/>
      <c r="V955" s="42" t="str">
        <f>IF(Table1[[#This Row],[DATE]]=0,"",YEAR(E955))</f>
        <v/>
      </c>
      <c r="W955" s="40" t="str">
        <f t="shared" si="30"/>
        <v/>
      </c>
      <c r="X955" s="40" t="str">
        <f t="shared" si="31"/>
        <v/>
      </c>
      <c r="Y955" s="40" t="str">
        <f>TEXT(Table1[[#This Row],[YEAR]],"0000")&amp;"-"&amp;Table1[[#This Row],[MONTH]]</f>
        <v>-</v>
      </c>
    </row>
    <row r="956" spans="1:25" ht="15" customHeight="1" x14ac:dyDescent="0.35">
      <c r="A956" s="24"/>
      <c r="B956" s="36"/>
      <c r="C956" s="38"/>
      <c r="D956" s="38"/>
      <c r="E956" s="37"/>
      <c r="F956" s="38"/>
      <c r="G956" s="198"/>
      <c r="H956" s="198"/>
      <c r="I956" s="39"/>
      <c r="J956" s="38"/>
      <c r="K956" s="198"/>
      <c r="L956" s="38"/>
      <c r="M956" s="38"/>
      <c r="N956" s="38"/>
      <c r="O956" s="38"/>
      <c r="P956" s="40" t="str" cm="1">
        <f t="array" ref="P956">IF(N956="","",IFERROR(_xlfn.XLOOKUP(F956&amp;"|"&amp;J956&amp;"|"&amp;O956,PRICES!$C$2:$C$659&amp;"|"&amp;PRICES!$B$2:$B$659&amp;"|"&amp;PRICES!$D$2:$D$659,PRICES!$E$2:$E$659),"Not Found"))</f>
        <v/>
      </c>
      <c r="Q956" s="100" t="str">
        <f>IF(N956=0,"",SUMIFS(PRICES!$G$2:$G$658,PRICES!$B$2:$B$658,'MAIN TABLE-1 AUTOMATED'!J956,PRICES!$C$2:$C$658,'MAIN TABLE-1 AUTOMATED'!F956,PRICES!$D$2:$D$658,'MAIN TABLE-1 AUTOMATED'!O956))</f>
        <v/>
      </c>
      <c r="R956" s="41" t="str">
        <f>IF(Table1[[#This Row],[QUANTITY]]=0,"",Table1[[#This Row],[UNIT PRICE]]*Table1[[#This Row],[QUANTITY]])</f>
        <v/>
      </c>
      <c r="S956" s="89"/>
      <c r="T956" s="38"/>
      <c r="U956" s="43"/>
      <c r="V956" s="42" t="str">
        <f>IF(Table1[[#This Row],[DATE]]=0,"",YEAR(E956))</f>
        <v/>
      </c>
      <c r="W956" s="40" t="str">
        <f t="shared" si="30"/>
        <v/>
      </c>
      <c r="X956" s="40" t="str">
        <f t="shared" si="31"/>
        <v/>
      </c>
      <c r="Y956" s="40" t="str">
        <f>TEXT(Table1[[#This Row],[YEAR]],"0000")&amp;"-"&amp;Table1[[#This Row],[MONTH]]</f>
        <v>-</v>
      </c>
    </row>
    <row r="957" spans="1:25" ht="15" customHeight="1" x14ac:dyDescent="0.35">
      <c r="A957" s="24"/>
      <c r="B957" s="36"/>
      <c r="C957" s="38"/>
      <c r="D957" s="38"/>
      <c r="E957" s="37"/>
      <c r="F957" s="38"/>
      <c r="G957" s="198"/>
      <c r="H957" s="198"/>
      <c r="I957" s="39"/>
      <c r="J957" s="38"/>
      <c r="K957" s="198"/>
      <c r="L957" s="38"/>
      <c r="M957" s="38"/>
      <c r="N957" s="38"/>
      <c r="O957" s="38"/>
      <c r="P957" s="40" t="str" cm="1">
        <f t="array" ref="P957">IF(N957="","",IFERROR(_xlfn.XLOOKUP(F957&amp;"|"&amp;J957&amp;"|"&amp;O957,PRICES!$C$2:$C$659&amp;"|"&amp;PRICES!$B$2:$B$659&amp;"|"&amp;PRICES!$D$2:$D$659,PRICES!$E$2:$E$659),"Not Found"))</f>
        <v/>
      </c>
      <c r="Q957" s="100" t="str">
        <f>IF(N957=0,"",SUMIFS(PRICES!$G$2:$G$658,PRICES!$B$2:$B$658,'MAIN TABLE-1 AUTOMATED'!J957,PRICES!$C$2:$C$658,'MAIN TABLE-1 AUTOMATED'!F957,PRICES!$D$2:$D$658,'MAIN TABLE-1 AUTOMATED'!O957))</f>
        <v/>
      </c>
      <c r="R957" s="41" t="str">
        <f>IF(Table1[[#This Row],[QUANTITY]]=0,"",Table1[[#This Row],[UNIT PRICE]]*Table1[[#This Row],[QUANTITY]])</f>
        <v/>
      </c>
      <c r="S957" s="89"/>
      <c r="T957" s="38"/>
      <c r="U957" s="43"/>
      <c r="V957" s="42" t="str">
        <f>IF(Table1[[#This Row],[DATE]]=0,"",YEAR(E957))</f>
        <v/>
      </c>
      <c r="W957" s="40" t="str">
        <f t="shared" si="30"/>
        <v/>
      </c>
      <c r="X957" s="40" t="str">
        <f t="shared" si="31"/>
        <v/>
      </c>
      <c r="Y957" s="40" t="str">
        <f>TEXT(Table1[[#This Row],[YEAR]],"0000")&amp;"-"&amp;Table1[[#This Row],[MONTH]]</f>
        <v>-</v>
      </c>
    </row>
    <row r="958" spans="1:25" ht="15" customHeight="1" x14ac:dyDescent="0.35">
      <c r="A958" s="24"/>
      <c r="B958" s="36"/>
      <c r="C958" s="38"/>
      <c r="D958" s="38"/>
      <c r="E958" s="37"/>
      <c r="F958" s="38"/>
      <c r="G958" s="198"/>
      <c r="H958" s="198"/>
      <c r="I958" s="39"/>
      <c r="J958" s="38"/>
      <c r="K958" s="198"/>
      <c r="L958" s="38"/>
      <c r="M958" s="38"/>
      <c r="N958" s="38"/>
      <c r="O958" s="38"/>
      <c r="P958" s="40" t="str" cm="1">
        <f t="array" ref="P958">IF(N958="","",IFERROR(_xlfn.XLOOKUP(F958&amp;"|"&amp;J958&amp;"|"&amp;O958,PRICES!$C$2:$C$659&amp;"|"&amp;PRICES!$B$2:$B$659&amp;"|"&amp;PRICES!$D$2:$D$659,PRICES!$E$2:$E$659),"Not Found"))</f>
        <v/>
      </c>
      <c r="Q958" s="100" t="str">
        <f>IF(N958=0,"",SUMIFS(PRICES!$G$2:$G$658,PRICES!$B$2:$B$658,'MAIN TABLE-1 AUTOMATED'!J958,PRICES!$C$2:$C$658,'MAIN TABLE-1 AUTOMATED'!F958,PRICES!$D$2:$D$658,'MAIN TABLE-1 AUTOMATED'!O958))</f>
        <v/>
      </c>
      <c r="R958" s="41" t="str">
        <f>IF(Table1[[#This Row],[QUANTITY]]=0,"",Table1[[#This Row],[UNIT PRICE]]*Table1[[#This Row],[QUANTITY]])</f>
        <v/>
      </c>
      <c r="S958" s="89"/>
      <c r="T958" s="38"/>
      <c r="U958" s="43"/>
      <c r="V958" s="42" t="str">
        <f>IF(Table1[[#This Row],[DATE]]=0,"",YEAR(E958))</f>
        <v/>
      </c>
      <c r="W958" s="40" t="str">
        <f t="shared" si="30"/>
        <v/>
      </c>
      <c r="X958" s="40" t="str">
        <f t="shared" si="31"/>
        <v/>
      </c>
      <c r="Y958" s="40" t="str">
        <f>TEXT(Table1[[#This Row],[YEAR]],"0000")&amp;"-"&amp;Table1[[#This Row],[MONTH]]</f>
        <v>-</v>
      </c>
    </row>
    <row r="959" spans="1:25" ht="15" customHeight="1" x14ac:dyDescent="0.35">
      <c r="A959" s="24"/>
      <c r="B959" s="36"/>
      <c r="C959" s="38"/>
      <c r="D959" s="38"/>
      <c r="E959" s="37"/>
      <c r="F959" s="38"/>
      <c r="G959" s="198"/>
      <c r="H959" s="198"/>
      <c r="I959" s="39"/>
      <c r="J959" s="38"/>
      <c r="K959" s="198"/>
      <c r="L959" s="38"/>
      <c r="M959" s="38"/>
      <c r="N959" s="38"/>
      <c r="O959" s="38"/>
      <c r="P959" s="40" t="str" cm="1">
        <f t="array" ref="P959">IF(N959="","",IFERROR(_xlfn.XLOOKUP(F959&amp;"|"&amp;J959&amp;"|"&amp;O959,PRICES!$C$2:$C$659&amp;"|"&amp;PRICES!$B$2:$B$659&amp;"|"&amp;PRICES!$D$2:$D$659,PRICES!$E$2:$E$659),"Not Found"))</f>
        <v/>
      </c>
      <c r="Q959" s="100" t="str">
        <f>IF(N959=0,"",SUMIFS(PRICES!$G$2:$G$658,PRICES!$B$2:$B$658,'MAIN TABLE-1 AUTOMATED'!J959,PRICES!$C$2:$C$658,'MAIN TABLE-1 AUTOMATED'!F959,PRICES!$D$2:$D$658,'MAIN TABLE-1 AUTOMATED'!O959))</f>
        <v/>
      </c>
      <c r="R959" s="41" t="str">
        <f>IF(Table1[[#This Row],[QUANTITY]]=0,"",Table1[[#This Row],[UNIT PRICE]]*Table1[[#This Row],[QUANTITY]])</f>
        <v/>
      </c>
      <c r="S959" s="89"/>
      <c r="T959" s="38"/>
      <c r="U959" s="43"/>
      <c r="V959" s="42" t="str">
        <f>IF(Table1[[#This Row],[DATE]]=0,"",YEAR(E959))</f>
        <v/>
      </c>
      <c r="W959" s="40" t="str">
        <f t="shared" si="30"/>
        <v/>
      </c>
      <c r="X959" s="40" t="str">
        <f t="shared" si="31"/>
        <v/>
      </c>
      <c r="Y959" s="40" t="str">
        <f>TEXT(Table1[[#This Row],[YEAR]],"0000")&amp;"-"&amp;Table1[[#This Row],[MONTH]]</f>
        <v>-</v>
      </c>
    </row>
    <row r="960" spans="1:25" ht="15" customHeight="1" x14ac:dyDescent="0.35">
      <c r="A960" s="24"/>
      <c r="B960" s="36"/>
      <c r="C960" s="38"/>
      <c r="D960" s="38"/>
      <c r="E960" s="37"/>
      <c r="F960" s="38"/>
      <c r="G960" s="198"/>
      <c r="H960" s="198"/>
      <c r="I960" s="39"/>
      <c r="J960" s="38"/>
      <c r="K960" s="198"/>
      <c r="L960" s="38"/>
      <c r="M960" s="38"/>
      <c r="N960" s="38"/>
      <c r="O960" s="38"/>
      <c r="P960" s="40" t="str" cm="1">
        <f t="array" ref="P960">IF(N960="","",IFERROR(_xlfn.XLOOKUP(F960&amp;"|"&amp;J960&amp;"|"&amp;O960,PRICES!$C$2:$C$659&amp;"|"&amp;PRICES!$B$2:$B$659&amp;"|"&amp;PRICES!$D$2:$D$659,PRICES!$E$2:$E$659),"Not Found"))</f>
        <v/>
      </c>
      <c r="Q960" s="100" t="str">
        <f>IF(N960=0,"",SUMIFS(PRICES!$G$2:$G$658,PRICES!$B$2:$B$658,'MAIN TABLE-1 AUTOMATED'!J960,PRICES!$C$2:$C$658,'MAIN TABLE-1 AUTOMATED'!F960,PRICES!$D$2:$D$658,'MAIN TABLE-1 AUTOMATED'!O960))</f>
        <v/>
      </c>
      <c r="R960" s="41" t="str">
        <f>IF(Table1[[#This Row],[QUANTITY]]=0,"",Table1[[#This Row],[UNIT PRICE]]*Table1[[#This Row],[QUANTITY]])</f>
        <v/>
      </c>
      <c r="S960" s="89"/>
      <c r="T960" s="38"/>
      <c r="U960" s="43"/>
      <c r="V960" s="42" t="str">
        <f>IF(Table1[[#This Row],[DATE]]=0,"",YEAR(E960))</f>
        <v/>
      </c>
      <c r="W960" s="40" t="str">
        <f t="shared" si="30"/>
        <v/>
      </c>
      <c r="X960" s="40" t="str">
        <f t="shared" si="31"/>
        <v/>
      </c>
      <c r="Y960" s="40" t="str">
        <f>TEXT(Table1[[#This Row],[YEAR]],"0000")&amp;"-"&amp;Table1[[#This Row],[MONTH]]</f>
        <v>-</v>
      </c>
    </row>
    <row r="961" spans="1:25" ht="15" customHeight="1" x14ac:dyDescent="0.35">
      <c r="A961" s="24"/>
      <c r="B961" s="36"/>
      <c r="C961" s="38"/>
      <c r="D961" s="38"/>
      <c r="E961" s="37"/>
      <c r="F961" s="38"/>
      <c r="G961" s="198"/>
      <c r="H961" s="198"/>
      <c r="I961" s="39"/>
      <c r="J961" s="38"/>
      <c r="K961" s="198"/>
      <c r="L961" s="38"/>
      <c r="M961" s="38"/>
      <c r="N961" s="38"/>
      <c r="O961" s="38"/>
      <c r="P961" s="40" t="str" cm="1">
        <f t="array" ref="P961">IF(N961="","",IFERROR(_xlfn.XLOOKUP(F961&amp;"|"&amp;J961&amp;"|"&amp;O961,PRICES!$C$2:$C$659&amp;"|"&amp;PRICES!$B$2:$B$659&amp;"|"&amp;PRICES!$D$2:$D$659,PRICES!$E$2:$E$659),"Not Found"))</f>
        <v/>
      </c>
      <c r="Q961" s="100" t="str">
        <f>IF(N961=0,"",SUMIFS(PRICES!$G$2:$G$658,PRICES!$B$2:$B$658,'MAIN TABLE-1 AUTOMATED'!J961,PRICES!$C$2:$C$658,'MAIN TABLE-1 AUTOMATED'!F961,PRICES!$D$2:$D$658,'MAIN TABLE-1 AUTOMATED'!O961))</f>
        <v/>
      </c>
      <c r="R961" s="41" t="str">
        <f>IF(Table1[[#This Row],[QUANTITY]]=0,"",Table1[[#This Row],[UNIT PRICE]]*Table1[[#This Row],[QUANTITY]])</f>
        <v/>
      </c>
      <c r="S961" s="89"/>
      <c r="T961" s="38"/>
      <c r="U961" s="43"/>
      <c r="V961" s="42" t="str">
        <f>IF(Table1[[#This Row],[DATE]]=0,"",YEAR(E961))</f>
        <v/>
      </c>
      <c r="W961" s="40" t="str">
        <f t="shared" si="30"/>
        <v/>
      </c>
      <c r="X961" s="40" t="str">
        <f t="shared" si="31"/>
        <v/>
      </c>
      <c r="Y961" s="40" t="str">
        <f>TEXT(Table1[[#This Row],[YEAR]],"0000")&amp;"-"&amp;Table1[[#This Row],[MONTH]]</f>
        <v>-</v>
      </c>
    </row>
    <row r="962" spans="1:25" ht="15" customHeight="1" x14ac:dyDescent="0.35">
      <c r="A962" s="24"/>
      <c r="B962" s="36"/>
      <c r="C962" s="38"/>
      <c r="D962" s="38"/>
      <c r="E962" s="37"/>
      <c r="F962" s="38"/>
      <c r="G962" s="198"/>
      <c r="H962" s="198"/>
      <c r="I962" s="39"/>
      <c r="J962" s="38"/>
      <c r="K962" s="198"/>
      <c r="L962" s="38"/>
      <c r="M962" s="38"/>
      <c r="N962" s="38"/>
      <c r="O962" s="38"/>
      <c r="P962" s="40" t="str" cm="1">
        <f t="array" ref="P962">IF(N962="","",IFERROR(_xlfn.XLOOKUP(F962&amp;"|"&amp;J962&amp;"|"&amp;O962,PRICES!$C$2:$C$659&amp;"|"&amp;PRICES!$B$2:$B$659&amp;"|"&amp;PRICES!$D$2:$D$659,PRICES!$E$2:$E$659),"Not Found"))</f>
        <v/>
      </c>
      <c r="Q962" s="100" t="str">
        <f>IF(N962=0,"",SUMIFS(PRICES!$G$2:$G$658,PRICES!$B$2:$B$658,'MAIN TABLE-1 AUTOMATED'!J962,PRICES!$C$2:$C$658,'MAIN TABLE-1 AUTOMATED'!F962,PRICES!$D$2:$D$658,'MAIN TABLE-1 AUTOMATED'!O962))</f>
        <v/>
      </c>
      <c r="R962" s="41" t="str">
        <f>IF(Table1[[#This Row],[QUANTITY]]=0,"",Table1[[#This Row],[UNIT PRICE]]*Table1[[#This Row],[QUANTITY]])</f>
        <v/>
      </c>
      <c r="S962" s="89"/>
      <c r="T962" s="38"/>
      <c r="U962" s="43"/>
      <c r="V962" s="42" t="str">
        <f>IF(Table1[[#This Row],[DATE]]=0,"",YEAR(E962))</f>
        <v/>
      </c>
      <c r="W962" s="40" t="str">
        <f t="shared" si="30"/>
        <v/>
      </c>
      <c r="X962" s="40" t="str">
        <f t="shared" si="31"/>
        <v/>
      </c>
      <c r="Y962" s="40" t="str">
        <f>TEXT(Table1[[#This Row],[YEAR]],"0000")&amp;"-"&amp;Table1[[#This Row],[MONTH]]</f>
        <v>-</v>
      </c>
    </row>
    <row r="963" spans="1:25" ht="15" customHeight="1" x14ac:dyDescent="0.35">
      <c r="A963" s="24"/>
      <c r="B963" s="36"/>
      <c r="C963" s="38"/>
      <c r="D963" s="38"/>
      <c r="E963" s="37"/>
      <c r="F963" s="38"/>
      <c r="G963" s="198"/>
      <c r="H963" s="198"/>
      <c r="I963" s="39"/>
      <c r="J963" s="38"/>
      <c r="K963" s="198"/>
      <c r="L963" s="38"/>
      <c r="M963" s="38"/>
      <c r="N963" s="38"/>
      <c r="O963" s="38"/>
      <c r="P963" s="40" t="str" cm="1">
        <f t="array" ref="P963">IF(N963="","",IFERROR(_xlfn.XLOOKUP(F963&amp;"|"&amp;J963&amp;"|"&amp;O963,PRICES!$C$2:$C$659&amp;"|"&amp;PRICES!$B$2:$B$659&amp;"|"&amp;PRICES!$D$2:$D$659,PRICES!$E$2:$E$659),"Not Found"))</f>
        <v/>
      </c>
      <c r="Q963" s="100" t="str">
        <f>IF(N963=0,"",SUMIFS(PRICES!$G$2:$G$658,PRICES!$B$2:$B$658,'MAIN TABLE-1 AUTOMATED'!J963,PRICES!$C$2:$C$658,'MAIN TABLE-1 AUTOMATED'!F963,PRICES!$D$2:$D$658,'MAIN TABLE-1 AUTOMATED'!O963))</f>
        <v/>
      </c>
      <c r="R963" s="41" t="str">
        <f>IF(Table1[[#This Row],[QUANTITY]]=0,"",Table1[[#This Row],[UNIT PRICE]]*Table1[[#This Row],[QUANTITY]])</f>
        <v/>
      </c>
      <c r="S963" s="89"/>
      <c r="T963" s="38"/>
      <c r="U963" s="43"/>
      <c r="V963" s="42" t="str">
        <f>IF(Table1[[#This Row],[DATE]]=0,"",YEAR(E963))</f>
        <v/>
      </c>
      <c r="W963" s="40" t="str">
        <f t="shared" si="30"/>
        <v/>
      </c>
      <c r="X963" s="40" t="str">
        <f t="shared" si="31"/>
        <v/>
      </c>
      <c r="Y963" s="40" t="str">
        <f>TEXT(Table1[[#This Row],[YEAR]],"0000")&amp;"-"&amp;Table1[[#This Row],[MONTH]]</f>
        <v>-</v>
      </c>
    </row>
    <row r="964" spans="1:25" ht="15" customHeight="1" x14ac:dyDescent="0.35">
      <c r="A964" s="24"/>
      <c r="B964" s="36"/>
      <c r="C964" s="38"/>
      <c r="D964" s="38"/>
      <c r="E964" s="37"/>
      <c r="F964" s="38"/>
      <c r="G964" s="198"/>
      <c r="H964" s="198"/>
      <c r="I964" s="39"/>
      <c r="J964" s="38"/>
      <c r="K964" s="198"/>
      <c r="L964" s="38"/>
      <c r="M964" s="38"/>
      <c r="N964" s="38"/>
      <c r="O964" s="38"/>
      <c r="P964" s="40" t="str" cm="1">
        <f t="array" ref="P964">IF(N964="","",IFERROR(_xlfn.XLOOKUP(F964&amp;"|"&amp;J964&amp;"|"&amp;O964,PRICES!$C$2:$C$659&amp;"|"&amp;PRICES!$B$2:$B$659&amp;"|"&amp;PRICES!$D$2:$D$659,PRICES!$E$2:$E$659),"Not Found"))</f>
        <v/>
      </c>
      <c r="Q964" s="100" t="str">
        <f>IF(N964=0,"",SUMIFS(PRICES!$G$2:$G$658,PRICES!$B$2:$B$658,'MAIN TABLE-1 AUTOMATED'!J964,PRICES!$C$2:$C$658,'MAIN TABLE-1 AUTOMATED'!F964,PRICES!$D$2:$D$658,'MAIN TABLE-1 AUTOMATED'!O964))</f>
        <v/>
      </c>
      <c r="R964" s="41" t="str">
        <f>IF(Table1[[#This Row],[QUANTITY]]=0,"",Table1[[#This Row],[UNIT PRICE]]*Table1[[#This Row],[QUANTITY]])</f>
        <v/>
      </c>
      <c r="S964" s="89"/>
      <c r="T964" s="38"/>
      <c r="U964" s="43"/>
      <c r="V964" s="42" t="str">
        <f>IF(Table1[[#This Row],[DATE]]=0,"",YEAR(E964))</f>
        <v/>
      </c>
      <c r="W964" s="40" t="str">
        <f t="shared" si="30"/>
        <v/>
      </c>
      <c r="X964" s="40" t="str">
        <f t="shared" si="31"/>
        <v/>
      </c>
      <c r="Y964" s="40" t="str">
        <f>TEXT(Table1[[#This Row],[YEAR]],"0000")&amp;"-"&amp;Table1[[#This Row],[MONTH]]</f>
        <v>-</v>
      </c>
    </row>
    <row r="965" spans="1:25" ht="15" customHeight="1" x14ac:dyDescent="0.35">
      <c r="A965" s="24"/>
      <c r="B965" s="38"/>
      <c r="C965" s="38"/>
      <c r="D965" s="38"/>
      <c r="E965" s="37"/>
      <c r="F965" s="38"/>
      <c r="G965" s="198"/>
      <c r="H965" s="198"/>
      <c r="I965" s="39"/>
      <c r="J965" s="38"/>
      <c r="K965" s="198"/>
      <c r="L965" s="38"/>
      <c r="M965" s="38"/>
      <c r="N965" s="38"/>
      <c r="O965" s="38"/>
      <c r="P965" s="40" t="str" cm="1">
        <f t="array" ref="P965">IF(N965="","",IFERROR(_xlfn.XLOOKUP(F965&amp;"|"&amp;J965&amp;"|"&amp;O965,PRICES!$C$2:$C$659&amp;"|"&amp;PRICES!$B$2:$B$659&amp;"|"&amp;PRICES!$D$2:$D$659,PRICES!$E$2:$E$659),"Not Found"))</f>
        <v/>
      </c>
      <c r="Q965" s="100" t="str">
        <f>IF(N965=0,"",SUMIFS(PRICES!$G$2:$G$658,PRICES!$B$2:$B$658,'MAIN TABLE-1 AUTOMATED'!J965,PRICES!$C$2:$C$658,'MAIN TABLE-1 AUTOMATED'!F965,PRICES!$D$2:$D$658,'MAIN TABLE-1 AUTOMATED'!O965))</f>
        <v/>
      </c>
      <c r="R965" s="41" t="str">
        <f>IF(Table1[[#This Row],[QUANTITY]]=0,"",Table1[[#This Row],[UNIT PRICE]]*Table1[[#This Row],[QUANTITY]])</f>
        <v/>
      </c>
      <c r="S965" s="89"/>
      <c r="T965" s="38"/>
      <c r="U965" s="43"/>
      <c r="V965" s="42" t="str">
        <f>IF(Table1[[#This Row],[DATE]]=0,"",YEAR(E965))</f>
        <v/>
      </c>
      <c r="W965" s="40" t="str">
        <f t="shared" si="30"/>
        <v/>
      </c>
      <c r="X965" s="40" t="str">
        <f t="shared" si="31"/>
        <v/>
      </c>
      <c r="Y965" s="40" t="str">
        <f>TEXT(Table1[[#This Row],[YEAR]],"0000")&amp;"-"&amp;Table1[[#This Row],[MONTH]]</f>
        <v>-</v>
      </c>
    </row>
    <row r="966" spans="1:25" ht="15" customHeight="1" x14ac:dyDescent="0.35">
      <c r="A966" s="24"/>
      <c r="B966" s="38"/>
      <c r="C966" s="38"/>
      <c r="D966" s="38"/>
      <c r="E966" s="37"/>
      <c r="F966" s="38"/>
      <c r="G966" s="198"/>
      <c r="H966" s="198"/>
      <c r="I966" s="39"/>
      <c r="J966" s="38"/>
      <c r="K966" s="198"/>
      <c r="L966" s="38"/>
      <c r="M966" s="38"/>
      <c r="N966" s="38"/>
      <c r="O966" s="38"/>
      <c r="P966" s="40" t="str" cm="1">
        <f t="array" ref="P966">IF(N966="","",IFERROR(_xlfn.XLOOKUP(F966&amp;"|"&amp;J966&amp;"|"&amp;O966,PRICES!$C$2:$C$659&amp;"|"&amp;PRICES!$B$2:$B$659&amp;"|"&amp;PRICES!$D$2:$D$659,PRICES!$E$2:$E$659),"Not Found"))</f>
        <v/>
      </c>
      <c r="Q966" s="100" t="str">
        <f>IF(N966=0,"",SUMIFS(PRICES!$G$2:$G$658,PRICES!$B$2:$B$658,'MAIN TABLE-1 AUTOMATED'!J966,PRICES!$C$2:$C$658,'MAIN TABLE-1 AUTOMATED'!F966,PRICES!$D$2:$D$658,'MAIN TABLE-1 AUTOMATED'!O966))</f>
        <v/>
      </c>
      <c r="R966" s="41" t="str">
        <f>IF(Table1[[#This Row],[QUANTITY]]=0,"",Table1[[#This Row],[UNIT PRICE]]*Table1[[#This Row],[QUANTITY]])</f>
        <v/>
      </c>
      <c r="S966" s="89"/>
      <c r="T966" s="38"/>
      <c r="U966" s="43"/>
      <c r="V966" s="42" t="str">
        <f>IF(Table1[[#This Row],[DATE]]=0,"",YEAR(E966))</f>
        <v/>
      </c>
      <c r="W966" s="40" t="str">
        <f t="shared" si="30"/>
        <v/>
      </c>
      <c r="X966" s="40" t="str">
        <f t="shared" si="31"/>
        <v/>
      </c>
      <c r="Y966" s="40" t="str">
        <f>TEXT(Table1[[#This Row],[YEAR]],"0000")&amp;"-"&amp;Table1[[#This Row],[MONTH]]</f>
        <v>-</v>
      </c>
    </row>
    <row r="967" spans="1:25" ht="15" customHeight="1" x14ac:dyDescent="0.35">
      <c r="A967" s="24"/>
      <c r="B967" s="38"/>
      <c r="C967" s="38"/>
      <c r="D967" s="38"/>
      <c r="E967" s="37"/>
      <c r="F967" s="38"/>
      <c r="G967" s="198"/>
      <c r="H967" s="198"/>
      <c r="I967" s="39"/>
      <c r="J967" s="38"/>
      <c r="K967" s="198"/>
      <c r="L967" s="38"/>
      <c r="M967" s="38"/>
      <c r="N967" s="38"/>
      <c r="O967" s="38"/>
      <c r="P967" s="40" t="str" cm="1">
        <f t="array" ref="P967">IF(N967="","",IFERROR(_xlfn.XLOOKUP(F967&amp;"|"&amp;J967&amp;"|"&amp;O967,PRICES!$C$2:$C$659&amp;"|"&amp;PRICES!$B$2:$B$659&amp;"|"&amp;PRICES!$D$2:$D$659,PRICES!$E$2:$E$659),"Not Found"))</f>
        <v/>
      </c>
      <c r="Q967" s="100" t="str">
        <f>IF(N967=0,"",SUMIFS(PRICES!$G$2:$G$658,PRICES!$B$2:$B$658,'MAIN TABLE-1 AUTOMATED'!J967,PRICES!$C$2:$C$658,'MAIN TABLE-1 AUTOMATED'!F967,PRICES!$D$2:$D$658,'MAIN TABLE-1 AUTOMATED'!O967))</f>
        <v/>
      </c>
      <c r="R967" s="41" t="str">
        <f>IF(Table1[[#This Row],[QUANTITY]]=0,"",Table1[[#This Row],[UNIT PRICE]]*Table1[[#This Row],[QUANTITY]])</f>
        <v/>
      </c>
      <c r="S967" s="89"/>
      <c r="T967" s="38"/>
      <c r="U967" s="43"/>
      <c r="V967" s="42" t="str">
        <f>IF(Table1[[#This Row],[DATE]]=0,"",YEAR(E967))</f>
        <v/>
      </c>
      <c r="W967" s="40" t="str">
        <f t="shared" si="30"/>
        <v/>
      </c>
      <c r="X967" s="40" t="str">
        <f t="shared" si="31"/>
        <v/>
      </c>
      <c r="Y967" s="40" t="str">
        <f>TEXT(Table1[[#This Row],[YEAR]],"0000")&amp;"-"&amp;Table1[[#This Row],[MONTH]]</f>
        <v>-</v>
      </c>
    </row>
    <row r="968" spans="1:25" ht="15" customHeight="1" x14ac:dyDescent="0.35">
      <c r="A968" s="24"/>
      <c r="B968" s="38"/>
      <c r="C968" s="38"/>
      <c r="D968" s="38"/>
      <c r="E968" s="37"/>
      <c r="F968" s="38"/>
      <c r="G968" s="198"/>
      <c r="H968" s="198"/>
      <c r="I968" s="39"/>
      <c r="J968" s="38"/>
      <c r="K968" s="198"/>
      <c r="L968" s="38"/>
      <c r="M968" s="38"/>
      <c r="N968" s="38"/>
      <c r="O968" s="38"/>
      <c r="P968" s="40" t="str" cm="1">
        <f t="array" ref="P968">IF(N968="","",IFERROR(_xlfn.XLOOKUP(F968&amp;"|"&amp;J968&amp;"|"&amp;O968,PRICES!$C$2:$C$659&amp;"|"&amp;PRICES!$B$2:$B$659&amp;"|"&amp;PRICES!$D$2:$D$659,PRICES!$E$2:$E$659),"Not Found"))</f>
        <v/>
      </c>
      <c r="Q968" s="100" t="str">
        <f>IF(N968=0,"",SUMIFS(PRICES!$G$2:$G$658,PRICES!$B$2:$B$658,'MAIN TABLE-1 AUTOMATED'!J968,PRICES!$C$2:$C$658,'MAIN TABLE-1 AUTOMATED'!F968,PRICES!$D$2:$D$658,'MAIN TABLE-1 AUTOMATED'!O968))</f>
        <v/>
      </c>
      <c r="R968" s="41" t="str">
        <f>IF(Table1[[#This Row],[QUANTITY]]=0,"",Table1[[#This Row],[UNIT PRICE]]*Table1[[#This Row],[QUANTITY]])</f>
        <v/>
      </c>
      <c r="S968" s="89"/>
      <c r="T968" s="38"/>
      <c r="U968" s="43"/>
      <c r="V968" s="42" t="str">
        <f>IF(Table1[[#This Row],[DATE]]=0,"",YEAR(E968))</f>
        <v/>
      </c>
      <c r="W968" s="40" t="str">
        <f t="shared" si="30"/>
        <v/>
      </c>
      <c r="X968" s="40" t="str">
        <f t="shared" si="31"/>
        <v/>
      </c>
      <c r="Y968" s="40" t="str">
        <f>TEXT(Table1[[#This Row],[YEAR]],"0000")&amp;"-"&amp;Table1[[#This Row],[MONTH]]</f>
        <v>-</v>
      </c>
    </row>
    <row r="969" spans="1:25" ht="15" customHeight="1" x14ac:dyDescent="0.35">
      <c r="A969" s="24"/>
      <c r="B969" s="38"/>
      <c r="C969" s="38"/>
      <c r="D969" s="38"/>
      <c r="E969" s="37"/>
      <c r="F969" s="38"/>
      <c r="G969" s="198"/>
      <c r="H969" s="198"/>
      <c r="I969" s="39"/>
      <c r="J969" s="38"/>
      <c r="K969" s="198"/>
      <c r="L969" s="38"/>
      <c r="M969" s="38"/>
      <c r="N969" s="38"/>
      <c r="O969" s="38"/>
      <c r="P969" s="40" t="str" cm="1">
        <f t="array" ref="P969">IF(N969="","",IFERROR(_xlfn.XLOOKUP(F969&amp;"|"&amp;J969&amp;"|"&amp;O969,PRICES!$C$2:$C$659&amp;"|"&amp;PRICES!$B$2:$B$659&amp;"|"&amp;PRICES!$D$2:$D$659,PRICES!$E$2:$E$659),"Not Found"))</f>
        <v/>
      </c>
      <c r="Q969" s="100" t="str">
        <f>IF(N969=0,"",SUMIFS(PRICES!$G$2:$G$658,PRICES!$B$2:$B$658,'MAIN TABLE-1 AUTOMATED'!J969,PRICES!$C$2:$C$658,'MAIN TABLE-1 AUTOMATED'!F969,PRICES!$D$2:$D$658,'MAIN TABLE-1 AUTOMATED'!O969))</f>
        <v/>
      </c>
      <c r="R969" s="41" t="str">
        <f>IF(Table1[[#This Row],[QUANTITY]]=0,"",Table1[[#This Row],[UNIT PRICE]]*Table1[[#This Row],[QUANTITY]])</f>
        <v/>
      </c>
      <c r="S969" s="89"/>
      <c r="T969" s="38"/>
      <c r="U969" s="43"/>
      <c r="V969" s="42" t="str">
        <f>IF(Table1[[#This Row],[DATE]]=0,"",YEAR(E969))</f>
        <v/>
      </c>
      <c r="W969" s="40" t="str">
        <f t="shared" si="30"/>
        <v/>
      </c>
      <c r="X969" s="40" t="str">
        <f t="shared" si="31"/>
        <v/>
      </c>
      <c r="Y969" s="40" t="str">
        <f>TEXT(Table1[[#This Row],[YEAR]],"0000")&amp;"-"&amp;Table1[[#This Row],[MONTH]]</f>
        <v>-</v>
      </c>
    </row>
    <row r="970" spans="1:25" ht="15" customHeight="1" x14ac:dyDescent="0.35">
      <c r="A970" s="24"/>
      <c r="B970" s="38"/>
      <c r="C970" s="38"/>
      <c r="D970" s="38"/>
      <c r="E970" s="37"/>
      <c r="F970" s="38"/>
      <c r="G970" s="198"/>
      <c r="H970" s="198"/>
      <c r="I970" s="39"/>
      <c r="J970" s="38"/>
      <c r="K970" s="198"/>
      <c r="L970" s="38"/>
      <c r="M970" s="38"/>
      <c r="N970" s="38"/>
      <c r="O970" s="38"/>
      <c r="P970" s="40" t="str" cm="1">
        <f t="array" ref="P970">IF(N970="","",IFERROR(_xlfn.XLOOKUP(F970&amp;"|"&amp;J970&amp;"|"&amp;O970,PRICES!$C$2:$C$659&amp;"|"&amp;PRICES!$B$2:$B$659&amp;"|"&amp;PRICES!$D$2:$D$659,PRICES!$E$2:$E$659),"Not Found"))</f>
        <v/>
      </c>
      <c r="Q970" s="100" t="str">
        <f>IF(N970=0,"",SUMIFS(PRICES!$G$2:$G$658,PRICES!$B$2:$B$658,'MAIN TABLE-1 AUTOMATED'!J970,PRICES!$C$2:$C$658,'MAIN TABLE-1 AUTOMATED'!F970,PRICES!$D$2:$D$658,'MAIN TABLE-1 AUTOMATED'!O970))</f>
        <v/>
      </c>
      <c r="R970" s="41" t="str">
        <f>IF(Table1[[#This Row],[QUANTITY]]=0,"",Table1[[#This Row],[UNIT PRICE]]*Table1[[#This Row],[QUANTITY]])</f>
        <v/>
      </c>
      <c r="S970" s="89"/>
      <c r="T970" s="38"/>
      <c r="U970" s="43"/>
      <c r="V970" s="42" t="str">
        <f>IF(Table1[[#This Row],[DATE]]=0,"",YEAR(E970))</f>
        <v/>
      </c>
      <c r="W970" s="40" t="str">
        <f t="shared" si="30"/>
        <v/>
      </c>
      <c r="X970" s="40" t="str">
        <f t="shared" si="31"/>
        <v/>
      </c>
      <c r="Y970" s="40" t="str">
        <f>TEXT(Table1[[#This Row],[YEAR]],"0000")&amp;"-"&amp;Table1[[#This Row],[MONTH]]</f>
        <v>-</v>
      </c>
    </row>
    <row r="971" spans="1:25" ht="15" customHeight="1" x14ac:dyDescent="0.35">
      <c r="A971" s="24"/>
      <c r="B971" s="38"/>
      <c r="C971" s="38"/>
      <c r="D971" s="38"/>
      <c r="E971" s="37"/>
      <c r="F971" s="38"/>
      <c r="G971" s="198"/>
      <c r="H971" s="198"/>
      <c r="I971" s="39"/>
      <c r="J971" s="38"/>
      <c r="K971" s="198"/>
      <c r="L971" s="38"/>
      <c r="M971" s="38"/>
      <c r="N971" s="38"/>
      <c r="O971" s="38"/>
      <c r="P971" s="40" t="str" cm="1">
        <f t="array" ref="P971">IF(N971="","",IFERROR(_xlfn.XLOOKUP(F971&amp;"|"&amp;J971&amp;"|"&amp;O971,PRICES!$C$2:$C$659&amp;"|"&amp;PRICES!$B$2:$B$659&amp;"|"&amp;PRICES!$D$2:$D$659,PRICES!$E$2:$E$659),"Not Found"))</f>
        <v/>
      </c>
      <c r="Q971" s="100" t="str">
        <f>IF(N971=0,"",SUMIFS(PRICES!$G$2:$G$658,PRICES!$B$2:$B$658,'MAIN TABLE-1 AUTOMATED'!J971,PRICES!$C$2:$C$658,'MAIN TABLE-1 AUTOMATED'!F971,PRICES!$D$2:$D$658,'MAIN TABLE-1 AUTOMATED'!O971))</f>
        <v/>
      </c>
      <c r="R971" s="41" t="str">
        <f>IF(Table1[[#This Row],[QUANTITY]]=0,"",Table1[[#This Row],[UNIT PRICE]]*Table1[[#This Row],[QUANTITY]])</f>
        <v/>
      </c>
      <c r="S971" s="89"/>
      <c r="T971" s="38"/>
      <c r="U971" s="43"/>
      <c r="V971" s="42" t="str">
        <f>IF(Table1[[#This Row],[DATE]]=0,"",YEAR(E971))</f>
        <v/>
      </c>
      <c r="W971" s="40" t="str">
        <f t="shared" si="30"/>
        <v/>
      </c>
      <c r="X971" s="40" t="str">
        <f t="shared" si="31"/>
        <v/>
      </c>
      <c r="Y971" s="40" t="str">
        <f>TEXT(Table1[[#This Row],[YEAR]],"0000")&amp;"-"&amp;Table1[[#This Row],[MONTH]]</f>
        <v>-</v>
      </c>
    </row>
    <row r="972" spans="1:25" ht="15" customHeight="1" x14ac:dyDescent="0.35">
      <c r="A972" s="24"/>
      <c r="B972" s="38"/>
      <c r="C972" s="38"/>
      <c r="D972" s="38"/>
      <c r="E972" s="37"/>
      <c r="F972" s="38"/>
      <c r="G972" s="198"/>
      <c r="H972" s="198"/>
      <c r="I972" s="39"/>
      <c r="J972" s="38"/>
      <c r="K972" s="198"/>
      <c r="L972" s="38"/>
      <c r="M972" s="38"/>
      <c r="N972" s="38"/>
      <c r="O972" s="38"/>
      <c r="P972" s="40" t="str" cm="1">
        <f t="array" ref="P972">IF(N972="","",IFERROR(_xlfn.XLOOKUP(F972&amp;"|"&amp;J972&amp;"|"&amp;O972,PRICES!$C$2:$C$659&amp;"|"&amp;PRICES!$B$2:$B$659&amp;"|"&amp;PRICES!$D$2:$D$659,PRICES!$E$2:$E$659),"Not Found"))</f>
        <v/>
      </c>
      <c r="Q972" s="100" t="str">
        <f>IF(N972=0,"",SUMIFS(PRICES!$G$2:$G$658,PRICES!$B$2:$B$658,'MAIN TABLE-1 AUTOMATED'!J972,PRICES!$C$2:$C$658,'MAIN TABLE-1 AUTOMATED'!F972,PRICES!$D$2:$D$658,'MAIN TABLE-1 AUTOMATED'!O972))</f>
        <v/>
      </c>
      <c r="R972" s="41" t="str">
        <f>IF(Table1[[#This Row],[QUANTITY]]=0,"",Table1[[#This Row],[UNIT PRICE]]*Table1[[#This Row],[QUANTITY]])</f>
        <v/>
      </c>
      <c r="S972" s="89"/>
      <c r="T972" s="38"/>
      <c r="U972" s="43"/>
      <c r="V972" s="42" t="str">
        <f>IF(Table1[[#This Row],[DATE]]=0,"",YEAR(E972))</f>
        <v/>
      </c>
      <c r="W972" s="40" t="str">
        <f t="shared" si="30"/>
        <v/>
      </c>
      <c r="X972" s="40" t="str">
        <f t="shared" si="31"/>
        <v/>
      </c>
      <c r="Y972" s="40" t="str">
        <f>TEXT(Table1[[#This Row],[YEAR]],"0000")&amp;"-"&amp;Table1[[#This Row],[MONTH]]</f>
        <v>-</v>
      </c>
    </row>
    <row r="973" spans="1:25" ht="15" customHeight="1" x14ac:dyDescent="0.35">
      <c r="A973" s="24"/>
      <c r="B973" s="38"/>
      <c r="C973" s="38"/>
      <c r="D973" s="38"/>
      <c r="E973" s="37"/>
      <c r="F973" s="38"/>
      <c r="G973" s="198"/>
      <c r="H973" s="198"/>
      <c r="I973" s="39"/>
      <c r="J973" s="38"/>
      <c r="K973" s="198"/>
      <c r="L973" s="38"/>
      <c r="M973" s="38"/>
      <c r="N973" s="38"/>
      <c r="O973" s="38"/>
      <c r="P973" s="40" t="str" cm="1">
        <f t="array" ref="P973">IF(N973="","",IFERROR(_xlfn.XLOOKUP(F973&amp;"|"&amp;J973&amp;"|"&amp;O973,PRICES!$C$2:$C$659&amp;"|"&amp;PRICES!$B$2:$B$659&amp;"|"&amp;PRICES!$D$2:$D$659,PRICES!$E$2:$E$659),"Not Found"))</f>
        <v/>
      </c>
      <c r="Q973" s="100" t="str">
        <f>IF(N973=0,"",SUMIFS(PRICES!$G$2:$G$658,PRICES!$B$2:$B$658,'MAIN TABLE-1 AUTOMATED'!J973,PRICES!$C$2:$C$658,'MAIN TABLE-1 AUTOMATED'!F973,PRICES!$D$2:$D$658,'MAIN TABLE-1 AUTOMATED'!O973))</f>
        <v/>
      </c>
      <c r="R973" s="41" t="str">
        <f>IF(Table1[[#This Row],[QUANTITY]]=0,"",Table1[[#This Row],[UNIT PRICE]]*Table1[[#This Row],[QUANTITY]])</f>
        <v/>
      </c>
      <c r="S973" s="89"/>
      <c r="T973" s="38"/>
      <c r="U973" s="43"/>
      <c r="V973" s="42" t="str">
        <f>IF(Table1[[#This Row],[DATE]]=0,"",YEAR(E973))</f>
        <v/>
      </c>
      <c r="W973" s="40" t="str">
        <f t="shared" si="30"/>
        <v/>
      </c>
      <c r="X973" s="40" t="str">
        <f t="shared" si="31"/>
        <v/>
      </c>
      <c r="Y973" s="40" t="str">
        <f>TEXT(Table1[[#This Row],[YEAR]],"0000")&amp;"-"&amp;Table1[[#This Row],[MONTH]]</f>
        <v>-</v>
      </c>
    </row>
    <row r="974" spans="1:25" ht="15" customHeight="1" x14ac:dyDescent="0.35">
      <c r="A974" s="24"/>
      <c r="B974" s="38"/>
      <c r="C974" s="38"/>
      <c r="D974" s="38"/>
      <c r="E974" s="37"/>
      <c r="F974" s="38"/>
      <c r="G974" s="198"/>
      <c r="H974" s="198"/>
      <c r="I974" s="39"/>
      <c r="J974" s="38"/>
      <c r="K974" s="198"/>
      <c r="L974" s="38"/>
      <c r="M974" s="38"/>
      <c r="N974" s="38"/>
      <c r="O974" s="38"/>
      <c r="P974" s="40" t="str" cm="1">
        <f t="array" ref="P974">IF(N974="","",IFERROR(_xlfn.XLOOKUP(F974&amp;"|"&amp;J974&amp;"|"&amp;O974,PRICES!$C$2:$C$659&amp;"|"&amp;PRICES!$B$2:$B$659&amp;"|"&amp;PRICES!$D$2:$D$659,PRICES!$E$2:$E$659),"Not Found"))</f>
        <v/>
      </c>
      <c r="Q974" s="100" t="str">
        <f>IF(N974=0,"",SUMIFS(PRICES!$G$2:$G$658,PRICES!$B$2:$B$658,'MAIN TABLE-1 AUTOMATED'!J974,PRICES!$C$2:$C$658,'MAIN TABLE-1 AUTOMATED'!F974,PRICES!$D$2:$D$658,'MAIN TABLE-1 AUTOMATED'!O974))</f>
        <v/>
      </c>
      <c r="R974" s="41" t="str">
        <f>IF(Table1[[#This Row],[QUANTITY]]=0,"",Table1[[#This Row],[UNIT PRICE]]*Table1[[#This Row],[QUANTITY]])</f>
        <v/>
      </c>
      <c r="S974" s="89"/>
      <c r="T974" s="38"/>
      <c r="U974" s="43"/>
      <c r="V974" s="42" t="str">
        <f>IF(Table1[[#This Row],[DATE]]=0,"",YEAR(E974))</f>
        <v/>
      </c>
      <c r="W974" s="40" t="str">
        <f t="shared" si="30"/>
        <v/>
      </c>
      <c r="X974" s="40" t="str">
        <f t="shared" si="31"/>
        <v/>
      </c>
      <c r="Y974" s="40" t="str">
        <f>TEXT(Table1[[#This Row],[YEAR]],"0000")&amp;"-"&amp;Table1[[#This Row],[MONTH]]</f>
        <v>-</v>
      </c>
    </row>
    <row r="975" spans="1:25" ht="15" customHeight="1" x14ac:dyDescent="0.35">
      <c r="A975" s="24"/>
      <c r="B975" s="38"/>
      <c r="C975" s="38"/>
      <c r="D975" s="38"/>
      <c r="E975" s="37"/>
      <c r="F975" s="38"/>
      <c r="G975" s="198"/>
      <c r="H975" s="198"/>
      <c r="I975" s="39"/>
      <c r="J975" s="38"/>
      <c r="K975" s="198"/>
      <c r="L975" s="38"/>
      <c r="M975" s="38"/>
      <c r="N975" s="38"/>
      <c r="O975" s="38"/>
      <c r="P975" s="40" t="str" cm="1">
        <f t="array" ref="P975">IF(N975="","",IFERROR(_xlfn.XLOOKUP(F975&amp;"|"&amp;J975&amp;"|"&amp;O975,PRICES!$C$2:$C$659&amp;"|"&amp;PRICES!$B$2:$B$659&amp;"|"&amp;PRICES!$D$2:$D$659,PRICES!$E$2:$E$659),"Not Found"))</f>
        <v/>
      </c>
      <c r="Q975" s="100" t="str">
        <f>IF(N975=0,"",SUMIFS(PRICES!$G$2:$G$658,PRICES!$B$2:$B$658,'MAIN TABLE-1 AUTOMATED'!J975,PRICES!$C$2:$C$658,'MAIN TABLE-1 AUTOMATED'!F975,PRICES!$D$2:$D$658,'MAIN TABLE-1 AUTOMATED'!O975))</f>
        <v/>
      </c>
      <c r="R975" s="41" t="str">
        <f>IF(Table1[[#This Row],[QUANTITY]]=0,"",Table1[[#This Row],[UNIT PRICE]]*Table1[[#This Row],[QUANTITY]])</f>
        <v/>
      </c>
      <c r="S975" s="89"/>
      <c r="T975" s="38"/>
      <c r="U975" s="43"/>
      <c r="V975" s="42" t="str">
        <f>IF(Table1[[#This Row],[DATE]]=0,"",YEAR(E975))</f>
        <v/>
      </c>
      <c r="W975" s="40" t="str">
        <f t="shared" si="30"/>
        <v/>
      </c>
      <c r="X975" s="40" t="str">
        <f t="shared" si="31"/>
        <v/>
      </c>
      <c r="Y975" s="40" t="str">
        <f>TEXT(Table1[[#This Row],[YEAR]],"0000")&amp;"-"&amp;Table1[[#This Row],[MONTH]]</f>
        <v>-</v>
      </c>
    </row>
    <row r="976" spans="1:25" ht="15" customHeight="1" x14ac:dyDescent="0.35">
      <c r="A976" s="24"/>
      <c r="B976" s="38"/>
      <c r="C976" s="38"/>
      <c r="D976" s="38"/>
      <c r="E976" s="37"/>
      <c r="F976" s="38"/>
      <c r="G976" s="198"/>
      <c r="H976" s="198"/>
      <c r="I976" s="39"/>
      <c r="J976" s="38"/>
      <c r="K976" s="198"/>
      <c r="L976" s="38"/>
      <c r="M976" s="38"/>
      <c r="N976" s="38"/>
      <c r="O976" s="38"/>
      <c r="P976" s="40" t="str" cm="1">
        <f t="array" ref="P976">IF(N976="","",IFERROR(_xlfn.XLOOKUP(F976&amp;"|"&amp;J976&amp;"|"&amp;O976,PRICES!$C$2:$C$659&amp;"|"&amp;PRICES!$B$2:$B$659&amp;"|"&amp;PRICES!$D$2:$D$659,PRICES!$E$2:$E$659),"Not Found"))</f>
        <v/>
      </c>
      <c r="Q976" s="100" t="str">
        <f>IF(N976=0,"",SUMIFS(PRICES!$G$2:$G$658,PRICES!$B$2:$B$658,'MAIN TABLE-1 AUTOMATED'!J976,PRICES!$C$2:$C$658,'MAIN TABLE-1 AUTOMATED'!F976,PRICES!$D$2:$D$658,'MAIN TABLE-1 AUTOMATED'!O976))</f>
        <v/>
      </c>
      <c r="R976" s="41" t="str">
        <f>IF(Table1[[#This Row],[QUANTITY]]=0,"",Table1[[#This Row],[UNIT PRICE]]*Table1[[#This Row],[QUANTITY]])</f>
        <v/>
      </c>
      <c r="S976" s="89"/>
      <c r="T976" s="38"/>
      <c r="U976" s="43"/>
      <c r="V976" s="42" t="str">
        <f>IF(Table1[[#This Row],[DATE]]=0,"",YEAR(E976))</f>
        <v/>
      </c>
      <c r="W976" s="40" t="str">
        <f t="shared" si="30"/>
        <v/>
      </c>
      <c r="X976" s="40" t="str">
        <f t="shared" si="31"/>
        <v/>
      </c>
      <c r="Y976" s="40" t="str">
        <f>TEXT(Table1[[#This Row],[YEAR]],"0000")&amp;"-"&amp;Table1[[#This Row],[MONTH]]</f>
        <v>-</v>
      </c>
    </row>
    <row r="977" spans="1:25" ht="15" customHeight="1" x14ac:dyDescent="0.35">
      <c r="A977" s="24"/>
      <c r="B977" s="38"/>
      <c r="C977" s="38"/>
      <c r="D977" s="38"/>
      <c r="E977" s="37"/>
      <c r="F977" s="38"/>
      <c r="G977" s="198"/>
      <c r="H977" s="198"/>
      <c r="I977" s="39"/>
      <c r="J977" s="38"/>
      <c r="K977" s="198"/>
      <c r="L977" s="38"/>
      <c r="M977" s="38"/>
      <c r="N977" s="38"/>
      <c r="O977" s="38"/>
      <c r="P977" s="40" t="str" cm="1">
        <f t="array" ref="P977">IF(N977="","",IFERROR(_xlfn.XLOOKUP(F977&amp;"|"&amp;J977&amp;"|"&amp;O977,PRICES!$C$2:$C$659&amp;"|"&amp;PRICES!$B$2:$B$659&amp;"|"&amp;PRICES!$D$2:$D$659,PRICES!$E$2:$E$659),"Not Found"))</f>
        <v/>
      </c>
      <c r="Q977" s="100" t="str">
        <f>IF(N977=0,"",SUMIFS(PRICES!$G$2:$G$658,PRICES!$B$2:$B$658,'MAIN TABLE-1 AUTOMATED'!J977,PRICES!$C$2:$C$658,'MAIN TABLE-1 AUTOMATED'!F977,PRICES!$D$2:$D$658,'MAIN TABLE-1 AUTOMATED'!O977))</f>
        <v/>
      </c>
      <c r="R977" s="41" t="str">
        <f>IF(Table1[[#This Row],[QUANTITY]]=0,"",Table1[[#This Row],[UNIT PRICE]]*Table1[[#This Row],[QUANTITY]])</f>
        <v/>
      </c>
      <c r="S977" s="89"/>
      <c r="T977" s="38"/>
      <c r="U977" s="43"/>
      <c r="V977" s="42" t="str">
        <f>IF(Table1[[#This Row],[DATE]]=0,"",YEAR(E977))</f>
        <v/>
      </c>
      <c r="W977" s="40" t="str">
        <f t="shared" si="30"/>
        <v/>
      </c>
      <c r="X977" s="40" t="str">
        <f t="shared" si="31"/>
        <v/>
      </c>
      <c r="Y977" s="40" t="str">
        <f>TEXT(Table1[[#This Row],[YEAR]],"0000")&amp;"-"&amp;Table1[[#This Row],[MONTH]]</f>
        <v>-</v>
      </c>
    </row>
    <row r="978" spans="1:25" ht="15" customHeight="1" x14ac:dyDescent="0.35">
      <c r="A978" s="24"/>
      <c r="B978" s="36"/>
      <c r="C978" s="38"/>
      <c r="D978" s="38"/>
      <c r="E978" s="37"/>
      <c r="F978" s="38"/>
      <c r="G978" s="198"/>
      <c r="H978" s="198"/>
      <c r="I978" s="39"/>
      <c r="J978" s="38"/>
      <c r="K978" s="198"/>
      <c r="L978" s="38"/>
      <c r="M978" s="38"/>
      <c r="N978" s="38"/>
      <c r="O978" s="38"/>
      <c r="P978" s="40" t="str" cm="1">
        <f t="array" ref="P978">IF(N978="","",IFERROR(_xlfn.XLOOKUP(F978&amp;"|"&amp;J978&amp;"|"&amp;O978,PRICES!$C$2:$C$659&amp;"|"&amp;PRICES!$B$2:$B$659&amp;"|"&amp;PRICES!$D$2:$D$659,PRICES!$E$2:$E$659),"Not Found"))</f>
        <v/>
      </c>
      <c r="Q978" s="100" t="str">
        <f>IF(N978=0,"",SUMIFS(PRICES!$G$2:$G$658,PRICES!$B$2:$B$658,'MAIN TABLE-1 AUTOMATED'!J978,PRICES!$C$2:$C$658,'MAIN TABLE-1 AUTOMATED'!F978,PRICES!$D$2:$D$658,'MAIN TABLE-1 AUTOMATED'!O978))</f>
        <v/>
      </c>
      <c r="R978" s="41" t="str">
        <f>IF(Table1[[#This Row],[QUANTITY]]=0,"",Table1[[#This Row],[UNIT PRICE]]*Table1[[#This Row],[QUANTITY]])</f>
        <v/>
      </c>
      <c r="S978" s="89"/>
      <c r="T978" s="38"/>
      <c r="U978" s="43"/>
      <c r="V978" s="42" t="str">
        <f>IF(Table1[[#This Row],[DATE]]=0,"",YEAR(E978))</f>
        <v/>
      </c>
      <c r="W978" s="40" t="str">
        <f t="shared" si="30"/>
        <v/>
      </c>
      <c r="X978" s="40" t="str">
        <f t="shared" si="31"/>
        <v/>
      </c>
      <c r="Y978" s="40" t="str">
        <f>TEXT(Table1[[#This Row],[YEAR]],"0000")&amp;"-"&amp;Table1[[#This Row],[MONTH]]</f>
        <v>-</v>
      </c>
    </row>
    <row r="979" spans="1:25" ht="15" customHeight="1" x14ac:dyDescent="0.35">
      <c r="A979" s="24"/>
      <c r="B979" s="36"/>
      <c r="C979" s="38"/>
      <c r="D979" s="38"/>
      <c r="E979" s="37"/>
      <c r="F979" s="38"/>
      <c r="G979" s="198"/>
      <c r="H979" s="198"/>
      <c r="I979" s="39"/>
      <c r="J979" s="38"/>
      <c r="K979" s="198"/>
      <c r="L979" s="38"/>
      <c r="M979" s="38"/>
      <c r="N979" s="38"/>
      <c r="O979" s="38"/>
      <c r="P979" s="40" t="str" cm="1">
        <f t="array" ref="P979">IF(N979="","",IFERROR(_xlfn.XLOOKUP(F979&amp;"|"&amp;J979&amp;"|"&amp;O979,PRICES!$C$2:$C$659&amp;"|"&amp;PRICES!$B$2:$B$659&amp;"|"&amp;PRICES!$D$2:$D$659,PRICES!$E$2:$E$659),"Not Found"))</f>
        <v/>
      </c>
      <c r="Q979" s="100" t="str">
        <f>IF(N979=0,"",SUMIFS(PRICES!$G$2:$G$658,PRICES!$B$2:$B$658,'MAIN TABLE-1 AUTOMATED'!J979,PRICES!$C$2:$C$658,'MAIN TABLE-1 AUTOMATED'!F979,PRICES!$D$2:$D$658,'MAIN TABLE-1 AUTOMATED'!O979))</f>
        <v/>
      </c>
      <c r="R979" s="41" t="str">
        <f>IF(Table1[[#This Row],[QUANTITY]]=0,"",Table1[[#This Row],[UNIT PRICE]]*Table1[[#This Row],[QUANTITY]])</f>
        <v/>
      </c>
      <c r="S979" s="89"/>
      <c r="T979" s="38"/>
      <c r="U979" s="43"/>
      <c r="V979" s="42" t="str">
        <f>IF(Table1[[#This Row],[DATE]]=0,"",YEAR(E979))</f>
        <v/>
      </c>
      <c r="W979" s="40" t="str">
        <f t="shared" si="30"/>
        <v/>
      </c>
      <c r="X979" s="40" t="str">
        <f t="shared" si="31"/>
        <v/>
      </c>
      <c r="Y979" s="40" t="str">
        <f>TEXT(Table1[[#This Row],[YEAR]],"0000")&amp;"-"&amp;Table1[[#This Row],[MONTH]]</f>
        <v>-</v>
      </c>
    </row>
    <row r="980" spans="1:25" ht="15" customHeight="1" x14ac:dyDescent="0.35">
      <c r="A980" s="24"/>
      <c r="B980" s="36"/>
      <c r="C980" s="38"/>
      <c r="D980" s="38"/>
      <c r="E980" s="37"/>
      <c r="F980" s="38"/>
      <c r="G980" s="198"/>
      <c r="H980" s="198"/>
      <c r="I980" s="39"/>
      <c r="J980" s="38"/>
      <c r="K980" s="198"/>
      <c r="L980" s="38"/>
      <c r="M980" s="38"/>
      <c r="N980" s="38"/>
      <c r="O980" s="38"/>
      <c r="P980" s="40" t="str" cm="1">
        <f t="array" ref="P980">IF(N980="","",IFERROR(_xlfn.XLOOKUP(F980&amp;"|"&amp;J980&amp;"|"&amp;O980,PRICES!$C$2:$C$659&amp;"|"&amp;PRICES!$B$2:$B$659&amp;"|"&amp;PRICES!$D$2:$D$659,PRICES!$E$2:$E$659),"Not Found"))</f>
        <v/>
      </c>
      <c r="Q980" s="100" t="str">
        <f>IF(N980=0,"",SUMIFS(PRICES!$G$2:$G$658,PRICES!$B$2:$B$658,'MAIN TABLE-1 AUTOMATED'!J980,PRICES!$C$2:$C$658,'MAIN TABLE-1 AUTOMATED'!F980,PRICES!$D$2:$D$658,'MAIN TABLE-1 AUTOMATED'!O980))</f>
        <v/>
      </c>
      <c r="R980" s="41" t="str">
        <f>IF(Table1[[#This Row],[QUANTITY]]=0,"",Table1[[#This Row],[UNIT PRICE]]*Table1[[#This Row],[QUANTITY]])</f>
        <v/>
      </c>
      <c r="S980" s="89"/>
      <c r="T980" s="38"/>
      <c r="U980" s="43"/>
      <c r="V980" s="42" t="str">
        <f>IF(Table1[[#This Row],[DATE]]=0,"",YEAR(E980))</f>
        <v/>
      </c>
      <c r="W980" s="40" t="str">
        <f t="shared" si="30"/>
        <v/>
      </c>
      <c r="X980" s="40" t="str">
        <f t="shared" si="31"/>
        <v/>
      </c>
      <c r="Y980" s="40" t="str">
        <f>TEXT(Table1[[#This Row],[YEAR]],"0000")&amp;"-"&amp;Table1[[#This Row],[MONTH]]</f>
        <v>-</v>
      </c>
    </row>
    <row r="981" spans="1:25" ht="15" customHeight="1" x14ac:dyDescent="0.35">
      <c r="A981" s="24"/>
      <c r="B981" s="36"/>
      <c r="C981" s="38"/>
      <c r="D981" s="38"/>
      <c r="E981" s="37"/>
      <c r="F981" s="38"/>
      <c r="G981" s="198"/>
      <c r="H981" s="198"/>
      <c r="I981" s="39"/>
      <c r="J981" s="38"/>
      <c r="K981" s="198"/>
      <c r="L981" s="38"/>
      <c r="M981" s="38"/>
      <c r="N981" s="38"/>
      <c r="O981" s="38"/>
      <c r="P981" s="40" t="str" cm="1">
        <f t="array" ref="P981">IF(N981="","",IFERROR(_xlfn.XLOOKUP(F981&amp;"|"&amp;J981&amp;"|"&amp;O981,PRICES!$C$2:$C$659&amp;"|"&amp;PRICES!$B$2:$B$659&amp;"|"&amp;PRICES!$D$2:$D$659,PRICES!$E$2:$E$659),"Not Found"))</f>
        <v/>
      </c>
      <c r="Q981" s="100" t="str">
        <f>IF(N981=0,"",SUMIFS(PRICES!$G$2:$G$658,PRICES!$B$2:$B$658,'MAIN TABLE-1 AUTOMATED'!J981,PRICES!$C$2:$C$658,'MAIN TABLE-1 AUTOMATED'!F981,PRICES!$D$2:$D$658,'MAIN TABLE-1 AUTOMATED'!O981))</f>
        <v/>
      </c>
      <c r="R981" s="41" t="str">
        <f>IF(Table1[[#This Row],[QUANTITY]]=0,"",Table1[[#This Row],[UNIT PRICE]]*Table1[[#This Row],[QUANTITY]])</f>
        <v/>
      </c>
      <c r="S981" s="89"/>
      <c r="T981" s="38"/>
      <c r="U981" s="43"/>
      <c r="V981" s="42" t="str">
        <f>IF(Table1[[#This Row],[DATE]]=0,"",YEAR(E981))</f>
        <v/>
      </c>
      <c r="W981" s="40" t="str">
        <f t="shared" si="30"/>
        <v/>
      </c>
      <c r="X981" s="40" t="str">
        <f t="shared" si="31"/>
        <v/>
      </c>
      <c r="Y981" s="40" t="str">
        <f>TEXT(Table1[[#This Row],[YEAR]],"0000")&amp;"-"&amp;Table1[[#This Row],[MONTH]]</f>
        <v>-</v>
      </c>
    </row>
    <row r="982" spans="1:25" ht="15" customHeight="1" x14ac:dyDescent="0.35">
      <c r="A982" s="24"/>
      <c r="B982" s="38"/>
      <c r="C982" s="38"/>
      <c r="D982" s="38"/>
      <c r="E982" s="37"/>
      <c r="F982" s="38"/>
      <c r="G982" s="198"/>
      <c r="H982" s="198"/>
      <c r="I982" s="39"/>
      <c r="J982" s="38"/>
      <c r="K982" s="198"/>
      <c r="L982" s="38"/>
      <c r="M982" s="38"/>
      <c r="N982" s="38"/>
      <c r="O982" s="38"/>
      <c r="P982" s="40" t="str" cm="1">
        <f t="array" ref="P982">IF(N982="","",IFERROR(_xlfn.XLOOKUP(F982&amp;"|"&amp;J982&amp;"|"&amp;O982,PRICES!$C$2:$C$659&amp;"|"&amp;PRICES!$B$2:$B$659&amp;"|"&amp;PRICES!$D$2:$D$659,PRICES!$E$2:$E$659),"Not Found"))</f>
        <v/>
      </c>
      <c r="Q982" s="100" t="str">
        <f>IF(N982=0,"",SUMIFS(PRICES!$G$2:$G$658,PRICES!$B$2:$B$658,'MAIN TABLE-1 AUTOMATED'!J982,PRICES!$C$2:$C$658,'MAIN TABLE-1 AUTOMATED'!F982,PRICES!$D$2:$D$658,'MAIN TABLE-1 AUTOMATED'!O982))</f>
        <v/>
      </c>
      <c r="R982" s="41" t="str">
        <f>IF(Table1[[#This Row],[QUANTITY]]=0,"",Table1[[#This Row],[UNIT PRICE]]*Table1[[#This Row],[QUANTITY]])</f>
        <v/>
      </c>
      <c r="S982" s="89"/>
      <c r="T982" s="38"/>
      <c r="U982" s="43"/>
      <c r="V982" s="42" t="str">
        <f>IF(Table1[[#This Row],[DATE]]=0,"",YEAR(E982))</f>
        <v/>
      </c>
      <c r="W982" s="40" t="str">
        <f t="shared" si="30"/>
        <v/>
      </c>
      <c r="X982" s="40" t="str">
        <f t="shared" si="31"/>
        <v/>
      </c>
      <c r="Y982" s="40" t="str">
        <f>TEXT(Table1[[#This Row],[YEAR]],"0000")&amp;"-"&amp;Table1[[#This Row],[MONTH]]</f>
        <v>-</v>
      </c>
    </row>
    <row r="983" spans="1:25" ht="15" customHeight="1" x14ac:dyDescent="0.35">
      <c r="A983" s="24"/>
      <c r="B983" s="38"/>
      <c r="C983" s="38"/>
      <c r="D983" s="38"/>
      <c r="E983" s="37"/>
      <c r="F983" s="38"/>
      <c r="G983" s="198"/>
      <c r="H983" s="198"/>
      <c r="I983" s="39"/>
      <c r="J983" s="38"/>
      <c r="K983" s="198"/>
      <c r="L983" s="38"/>
      <c r="M983" s="38"/>
      <c r="N983" s="38"/>
      <c r="O983" s="38"/>
      <c r="P983" s="40" t="str" cm="1">
        <f t="array" ref="P983">IF(N983="","",IFERROR(_xlfn.XLOOKUP(F983&amp;"|"&amp;J983&amp;"|"&amp;O983,PRICES!$C$2:$C$659&amp;"|"&amp;PRICES!$B$2:$B$659&amp;"|"&amp;PRICES!$D$2:$D$659,PRICES!$E$2:$E$659),"Not Found"))</f>
        <v/>
      </c>
      <c r="Q983" s="100" t="str">
        <f>IF(N983=0,"",SUMIFS(PRICES!$G$2:$G$658,PRICES!$B$2:$B$658,'MAIN TABLE-1 AUTOMATED'!J983,PRICES!$C$2:$C$658,'MAIN TABLE-1 AUTOMATED'!F983,PRICES!$D$2:$D$658,'MAIN TABLE-1 AUTOMATED'!O983))</f>
        <v/>
      </c>
      <c r="R983" s="41" t="str">
        <f>IF(Table1[[#This Row],[QUANTITY]]=0,"",Table1[[#This Row],[UNIT PRICE]]*Table1[[#This Row],[QUANTITY]])</f>
        <v/>
      </c>
      <c r="S983" s="89"/>
      <c r="T983" s="38"/>
      <c r="U983" s="43"/>
      <c r="V983" s="42" t="str">
        <f>IF(Table1[[#This Row],[DATE]]=0,"",YEAR(E983))</f>
        <v/>
      </c>
      <c r="W983" s="40" t="str">
        <f t="shared" si="30"/>
        <v/>
      </c>
      <c r="X983" s="40" t="str">
        <f t="shared" si="31"/>
        <v/>
      </c>
      <c r="Y983" s="40" t="str">
        <f>TEXT(Table1[[#This Row],[YEAR]],"0000")&amp;"-"&amp;Table1[[#This Row],[MONTH]]</f>
        <v>-</v>
      </c>
    </row>
    <row r="984" spans="1:25" ht="15" customHeight="1" x14ac:dyDescent="0.35">
      <c r="A984" s="24"/>
      <c r="B984" s="38"/>
      <c r="C984" s="38"/>
      <c r="D984" s="38"/>
      <c r="E984" s="37"/>
      <c r="F984" s="38"/>
      <c r="G984" s="198"/>
      <c r="H984" s="198"/>
      <c r="I984" s="39"/>
      <c r="J984" s="38"/>
      <c r="K984" s="198"/>
      <c r="L984" s="38"/>
      <c r="M984" s="38"/>
      <c r="N984" s="38"/>
      <c r="O984" s="38"/>
      <c r="P984" s="40" t="str" cm="1">
        <f t="array" ref="P984">IF(N984="","",IFERROR(_xlfn.XLOOKUP(F984&amp;"|"&amp;J984&amp;"|"&amp;O984,PRICES!$C$2:$C$659&amp;"|"&amp;PRICES!$B$2:$B$659&amp;"|"&amp;PRICES!$D$2:$D$659,PRICES!$E$2:$E$659),"Not Found"))</f>
        <v/>
      </c>
      <c r="Q984" s="100" t="str">
        <f>IF(N984=0,"",SUMIFS(PRICES!$G$2:$G$658,PRICES!$B$2:$B$658,'MAIN TABLE-1 AUTOMATED'!J984,PRICES!$C$2:$C$658,'MAIN TABLE-1 AUTOMATED'!F984,PRICES!$D$2:$D$658,'MAIN TABLE-1 AUTOMATED'!O984))</f>
        <v/>
      </c>
      <c r="R984" s="41" t="str">
        <f>IF(Table1[[#This Row],[QUANTITY]]=0,"",Table1[[#This Row],[UNIT PRICE]]*Table1[[#This Row],[QUANTITY]])</f>
        <v/>
      </c>
      <c r="S984" s="89"/>
      <c r="T984" s="38"/>
      <c r="U984" s="43"/>
      <c r="V984" s="42" t="str">
        <f>IF(Table1[[#This Row],[DATE]]=0,"",YEAR(E984))</f>
        <v/>
      </c>
      <c r="W984" s="40" t="str">
        <f t="shared" si="30"/>
        <v/>
      </c>
      <c r="X984" s="40" t="str">
        <f t="shared" si="31"/>
        <v/>
      </c>
      <c r="Y984" s="40" t="str">
        <f>TEXT(Table1[[#This Row],[YEAR]],"0000")&amp;"-"&amp;Table1[[#This Row],[MONTH]]</f>
        <v>-</v>
      </c>
    </row>
    <row r="985" spans="1:25" ht="15" customHeight="1" x14ac:dyDescent="0.35">
      <c r="A985" s="24"/>
      <c r="B985" s="38"/>
      <c r="C985" s="38"/>
      <c r="D985" s="38"/>
      <c r="E985" s="37"/>
      <c r="F985" s="38"/>
      <c r="G985" s="198"/>
      <c r="H985" s="198"/>
      <c r="I985" s="39"/>
      <c r="J985" s="38"/>
      <c r="K985" s="198"/>
      <c r="L985" s="38"/>
      <c r="M985" s="38"/>
      <c r="N985" s="38"/>
      <c r="O985" s="38"/>
      <c r="P985" s="40" t="str" cm="1">
        <f t="array" ref="P985">IF(N985="","",IFERROR(_xlfn.XLOOKUP(F985&amp;"|"&amp;J985&amp;"|"&amp;O985,PRICES!$C$2:$C$659&amp;"|"&amp;PRICES!$B$2:$B$659&amp;"|"&amp;PRICES!$D$2:$D$659,PRICES!$E$2:$E$659),"Not Found"))</f>
        <v/>
      </c>
      <c r="Q985" s="100" t="str">
        <f>IF(N985=0,"",SUMIFS(PRICES!$G$2:$G$658,PRICES!$B$2:$B$658,'MAIN TABLE-1 AUTOMATED'!J985,PRICES!$C$2:$C$658,'MAIN TABLE-1 AUTOMATED'!F985,PRICES!$D$2:$D$658,'MAIN TABLE-1 AUTOMATED'!O985))</f>
        <v/>
      </c>
      <c r="R985" s="41" t="str">
        <f>IF(Table1[[#This Row],[QUANTITY]]=0,"",Table1[[#This Row],[UNIT PRICE]]*Table1[[#This Row],[QUANTITY]])</f>
        <v/>
      </c>
      <c r="S985" s="89"/>
      <c r="T985" s="38"/>
      <c r="U985" s="43"/>
      <c r="V985" s="42" t="str">
        <f>IF(Table1[[#This Row],[DATE]]=0,"",YEAR(E985))</f>
        <v/>
      </c>
      <c r="W985" s="40" t="str">
        <f t="shared" si="30"/>
        <v/>
      </c>
      <c r="X985" s="40" t="str">
        <f t="shared" si="31"/>
        <v/>
      </c>
      <c r="Y985" s="40" t="str">
        <f>TEXT(Table1[[#This Row],[YEAR]],"0000")&amp;"-"&amp;Table1[[#This Row],[MONTH]]</f>
        <v>-</v>
      </c>
    </row>
    <row r="986" spans="1:25" ht="15" customHeight="1" x14ac:dyDescent="0.35">
      <c r="A986" s="24"/>
      <c r="B986" s="38"/>
      <c r="C986" s="38"/>
      <c r="D986" s="38"/>
      <c r="E986" s="37"/>
      <c r="F986" s="38"/>
      <c r="G986" s="198"/>
      <c r="H986" s="198"/>
      <c r="I986" s="39"/>
      <c r="J986" s="38"/>
      <c r="K986" s="198"/>
      <c r="L986" s="38"/>
      <c r="M986" s="38"/>
      <c r="N986" s="38"/>
      <c r="O986" s="38"/>
      <c r="P986" s="40" t="str" cm="1">
        <f t="array" ref="P986">IF(N986="","",IFERROR(_xlfn.XLOOKUP(F986&amp;"|"&amp;J986&amp;"|"&amp;O986,PRICES!$C$2:$C$659&amp;"|"&amp;PRICES!$B$2:$B$659&amp;"|"&amp;PRICES!$D$2:$D$659,PRICES!$E$2:$E$659),"Not Found"))</f>
        <v/>
      </c>
      <c r="Q986" s="100" t="str">
        <f>IF(N986=0,"",SUMIFS(PRICES!$G$2:$G$658,PRICES!$B$2:$B$658,'MAIN TABLE-1 AUTOMATED'!J986,PRICES!$C$2:$C$658,'MAIN TABLE-1 AUTOMATED'!F986,PRICES!$D$2:$D$658,'MAIN TABLE-1 AUTOMATED'!O986))</f>
        <v/>
      </c>
      <c r="R986" s="41" t="str">
        <f>IF(Table1[[#This Row],[QUANTITY]]=0,"",Table1[[#This Row],[UNIT PRICE]]*Table1[[#This Row],[QUANTITY]])</f>
        <v/>
      </c>
      <c r="S986" s="89"/>
      <c r="T986" s="38"/>
      <c r="U986" s="43"/>
      <c r="V986" s="42" t="str">
        <f>IF(Table1[[#This Row],[DATE]]=0,"",YEAR(E986))</f>
        <v/>
      </c>
      <c r="W986" s="40" t="str">
        <f t="shared" si="30"/>
        <v/>
      </c>
      <c r="X986" s="40" t="str">
        <f t="shared" si="31"/>
        <v/>
      </c>
      <c r="Y986" s="40" t="str">
        <f>TEXT(Table1[[#This Row],[YEAR]],"0000")&amp;"-"&amp;Table1[[#This Row],[MONTH]]</f>
        <v>-</v>
      </c>
    </row>
    <row r="987" spans="1:25" ht="15" customHeight="1" x14ac:dyDescent="0.35">
      <c r="A987" s="24"/>
      <c r="B987" s="38"/>
      <c r="C987" s="38"/>
      <c r="D987" s="38"/>
      <c r="E987" s="37"/>
      <c r="F987" s="38"/>
      <c r="G987" s="198"/>
      <c r="H987" s="198"/>
      <c r="I987" s="39"/>
      <c r="J987" s="38"/>
      <c r="K987" s="198"/>
      <c r="L987" s="38"/>
      <c r="M987" s="38"/>
      <c r="N987" s="38"/>
      <c r="O987" s="38"/>
      <c r="P987" s="40" t="str" cm="1">
        <f t="array" ref="P987">IF(N987="","",IFERROR(_xlfn.XLOOKUP(F987&amp;"|"&amp;J987&amp;"|"&amp;O987,PRICES!$C$2:$C$659&amp;"|"&amp;PRICES!$B$2:$B$659&amp;"|"&amp;PRICES!$D$2:$D$659,PRICES!$E$2:$E$659),"Not Found"))</f>
        <v/>
      </c>
      <c r="Q987" s="100" t="str">
        <f>IF(N987=0,"",SUMIFS(PRICES!$G$2:$G$658,PRICES!$B$2:$B$658,'MAIN TABLE-1 AUTOMATED'!J987,PRICES!$C$2:$C$658,'MAIN TABLE-1 AUTOMATED'!F987,PRICES!$D$2:$D$658,'MAIN TABLE-1 AUTOMATED'!O987))</f>
        <v/>
      </c>
      <c r="R987" s="41" t="str">
        <f>IF(Table1[[#This Row],[QUANTITY]]=0,"",Table1[[#This Row],[UNIT PRICE]]*Table1[[#This Row],[QUANTITY]])</f>
        <v/>
      </c>
      <c r="S987" s="89"/>
      <c r="T987" s="38"/>
      <c r="U987" s="43"/>
      <c r="V987" s="42" t="str">
        <f>IF(Table1[[#This Row],[DATE]]=0,"",YEAR(E987))</f>
        <v/>
      </c>
      <c r="W987" s="40" t="str">
        <f t="shared" si="30"/>
        <v/>
      </c>
      <c r="X987" s="40" t="str">
        <f t="shared" si="31"/>
        <v/>
      </c>
      <c r="Y987" s="40" t="str">
        <f>TEXT(Table1[[#This Row],[YEAR]],"0000")&amp;"-"&amp;Table1[[#This Row],[MONTH]]</f>
        <v>-</v>
      </c>
    </row>
    <row r="988" spans="1:25" ht="15" customHeight="1" x14ac:dyDescent="0.35">
      <c r="A988" s="24"/>
      <c r="B988" s="38"/>
      <c r="C988" s="38"/>
      <c r="D988" s="38"/>
      <c r="E988" s="37"/>
      <c r="F988" s="38"/>
      <c r="G988" s="198"/>
      <c r="H988" s="198"/>
      <c r="I988" s="39"/>
      <c r="J988" s="38"/>
      <c r="K988" s="198"/>
      <c r="L988" s="38"/>
      <c r="M988" s="38"/>
      <c r="N988" s="38"/>
      <c r="O988" s="38"/>
      <c r="P988" s="40" t="str" cm="1">
        <f t="array" ref="P988">IF(N988="","",IFERROR(_xlfn.XLOOKUP(F988&amp;"|"&amp;J988&amp;"|"&amp;O988,PRICES!$C$2:$C$659&amp;"|"&amp;PRICES!$B$2:$B$659&amp;"|"&amp;PRICES!$D$2:$D$659,PRICES!$E$2:$E$659),"Not Found"))</f>
        <v/>
      </c>
      <c r="Q988" s="100" t="str">
        <f>IF(N988=0,"",SUMIFS(PRICES!$G$2:$G$658,PRICES!$B$2:$B$658,'MAIN TABLE-1 AUTOMATED'!J988,PRICES!$C$2:$C$658,'MAIN TABLE-1 AUTOMATED'!F988,PRICES!$D$2:$D$658,'MAIN TABLE-1 AUTOMATED'!O988))</f>
        <v/>
      </c>
      <c r="R988" s="41" t="str">
        <f>IF(Table1[[#This Row],[QUANTITY]]=0,"",Table1[[#This Row],[UNIT PRICE]]*Table1[[#This Row],[QUANTITY]])</f>
        <v/>
      </c>
      <c r="S988" s="89"/>
      <c r="T988" s="38"/>
      <c r="U988" s="43"/>
      <c r="V988" s="42" t="str">
        <f>IF(Table1[[#This Row],[DATE]]=0,"",YEAR(E988))</f>
        <v/>
      </c>
      <c r="W988" s="40" t="str">
        <f t="shared" si="30"/>
        <v/>
      </c>
      <c r="X988" s="40" t="str">
        <f t="shared" si="31"/>
        <v/>
      </c>
      <c r="Y988" s="40" t="str">
        <f>TEXT(Table1[[#This Row],[YEAR]],"0000")&amp;"-"&amp;Table1[[#This Row],[MONTH]]</f>
        <v>-</v>
      </c>
    </row>
    <row r="989" spans="1:25" ht="15" customHeight="1" x14ac:dyDescent="0.35">
      <c r="A989" s="24"/>
      <c r="B989" s="38"/>
      <c r="C989" s="38"/>
      <c r="D989" s="38"/>
      <c r="E989" s="37"/>
      <c r="F989" s="38"/>
      <c r="G989" s="198"/>
      <c r="H989" s="198"/>
      <c r="I989" s="39"/>
      <c r="J989" s="38"/>
      <c r="K989" s="198"/>
      <c r="L989" s="38"/>
      <c r="M989" s="38"/>
      <c r="N989" s="38"/>
      <c r="O989" s="38"/>
      <c r="P989" s="40" t="str" cm="1">
        <f t="array" ref="P989">IF(N989="","",IFERROR(_xlfn.XLOOKUP(F989&amp;"|"&amp;J989&amp;"|"&amp;O989,PRICES!$C$2:$C$659&amp;"|"&amp;PRICES!$B$2:$B$659&amp;"|"&amp;PRICES!$D$2:$D$659,PRICES!$E$2:$E$659),"Not Found"))</f>
        <v/>
      </c>
      <c r="Q989" s="100" t="str">
        <f>IF(N989=0,"",SUMIFS(PRICES!$G$2:$G$658,PRICES!$B$2:$B$658,'MAIN TABLE-1 AUTOMATED'!J989,PRICES!$C$2:$C$658,'MAIN TABLE-1 AUTOMATED'!F989,PRICES!$D$2:$D$658,'MAIN TABLE-1 AUTOMATED'!O989))</f>
        <v/>
      </c>
      <c r="R989" s="41" t="str">
        <f>IF(Table1[[#This Row],[QUANTITY]]=0,"",Table1[[#This Row],[UNIT PRICE]]*Table1[[#This Row],[QUANTITY]])</f>
        <v/>
      </c>
      <c r="S989" s="89"/>
      <c r="T989" s="38"/>
      <c r="U989" s="43"/>
      <c r="V989" s="42" t="str">
        <f>IF(Table1[[#This Row],[DATE]]=0,"",YEAR(E989))</f>
        <v/>
      </c>
      <c r="W989" s="40" t="str">
        <f t="shared" si="30"/>
        <v/>
      </c>
      <c r="X989" s="40" t="str">
        <f t="shared" si="31"/>
        <v/>
      </c>
      <c r="Y989" s="40" t="str">
        <f>TEXT(Table1[[#This Row],[YEAR]],"0000")&amp;"-"&amp;Table1[[#This Row],[MONTH]]</f>
        <v>-</v>
      </c>
    </row>
    <row r="990" spans="1:25" ht="15" customHeight="1" x14ac:dyDescent="0.35">
      <c r="A990" s="24"/>
      <c r="B990" s="38"/>
      <c r="C990" s="38"/>
      <c r="D990" s="38"/>
      <c r="E990" s="37"/>
      <c r="F990" s="38"/>
      <c r="G990" s="198"/>
      <c r="H990" s="198"/>
      <c r="I990" s="39"/>
      <c r="J990" s="38"/>
      <c r="K990" s="198"/>
      <c r="L990" s="38"/>
      <c r="M990" s="38"/>
      <c r="N990" s="38"/>
      <c r="O990" s="38"/>
      <c r="P990" s="40" t="str" cm="1">
        <f t="array" ref="P990">IF(N990="","",IFERROR(_xlfn.XLOOKUP(F990&amp;"|"&amp;J990&amp;"|"&amp;O990,PRICES!$C$2:$C$659&amp;"|"&amp;PRICES!$B$2:$B$659&amp;"|"&amp;PRICES!$D$2:$D$659,PRICES!$E$2:$E$659),"Not Found"))</f>
        <v/>
      </c>
      <c r="Q990" s="100" t="str">
        <f>IF(N990=0,"",SUMIFS(PRICES!$G$2:$G$658,PRICES!$B$2:$B$658,'MAIN TABLE-1 AUTOMATED'!J990,PRICES!$C$2:$C$658,'MAIN TABLE-1 AUTOMATED'!F990,PRICES!$D$2:$D$658,'MAIN TABLE-1 AUTOMATED'!O990))</f>
        <v/>
      </c>
      <c r="R990" s="41" t="str">
        <f>IF(Table1[[#This Row],[QUANTITY]]=0,"",Table1[[#This Row],[UNIT PRICE]]*Table1[[#This Row],[QUANTITY]])</f>
        <v/>
      </c>
      <c r="S990" s="89"/>
      <c r="T990" s="38"/>
      <c r="U990" s="43"/>
      <c r="V990" s="42" t="str">
        <f>IF(Table1[[#This Row],[DATE]]=0,"",YEAR(E990))</f>
        <v/>
      </c>
      <c r="W990" s="40" t="str">
        <f t="shared" si="30"/>
        <v/>
      </c>
      <c r="X990" s="40" t="str">
        <f t="shared" si="31"/>
        <v/>
      </c>
      <c r="Y990" s="40" t="str">
        <f>TEXT(Table1[[#This Row],[YEAR]],"0000")&amp;"-"&amp;Table1[[#This Row],[MONTH]]</f>
        <v>-</v>
      </c>
    </row>
    <row r="991" spans="1:25" ht="15" customHeight="1" x14ac:dyDescent="0.35">
      <c r="A991" s="24"/>
      <c r="B991" s="38"/>
      <c r="C991" s="38"/>
      <c r="D991" s="38"/>
      <c r="E991" s="37"/>
      <c r="F991" s="38"/>
      <c r="G991" s="198"/>
      <c r="H991" s="198"/>
      <c r="I991" s="39"/>
      <c r="J991" s="38"/>
      <c r="K991" s="198"/>
      <c r="L991" s="38"/>
      <c r="M991" s="38"/>
      <c r="N991" s="38"/>
      <c r="O991" s="38"/>
      <c r="P991" s="40" t="str" cm="1">
        <f t="array" ref="P991">IF(N991="","",IFERROR(_xlfn.XLOOKUP(F991&amp;"|"&amp;J991&amp;"|"&amp;O991,PRICES!$C$2:$C$659&amp;"|"&amp;PRICES!$B$2:$B$659&amp;"|"&amp;PRICES!$D$2:$D$659,PRICES!$E$2:$E$659),"Not Found"))</f>
        <v/>
      </c>
      <c r="Q991" s="100" t="str">
        <f>IF(N991=0,"",SUMIFS(PRICES!$G$2:$G$658,PRICES!$B$2:$B$658,'MAIN TABLE-1 AUTOMATED'!J991,PRICES!$C$2:$C$658,'MAIN TABLE-1 AUTOMATED'!F991,PRICES!$D$2:$D$658,'MAIN TABLE-1 AUTOMATED'!O991))</f>
        <v/>
      </c>
      <c r="R991" s="41" t="str">
        <f>IF(Table1[[#This Row],[QUANTITY]]=0,"",Table1[[#This Row],[UNIT PRICE]]*Table1[[#This Row],[QUANTITY]])</f>
        <v/>
      </c>
      <c r="S991" s="89"/>
      <c r="T991" s="38"/>
      <c r="U991" s="43"/>
      <c r="V991" s="42" t="str">
        <f>IF(Table1[[#This Row],[DATE]]=0,"",YEAR(E991))</f>
        <v/>
      </c>
      <c r="W991" s="40" t="str">
        <f t="shared" ref="W991:W1054" si="32">IF(E991=0,"",MONTH(E991))</f>
        <v/>
      </c>
      <c r="X991" s="40" t="str">
        <f t="shared" ref="X991:X1054" si="33">IF(E991=0,"",WEEKNUM(E991))</f>
        <v/>
      </c>
      <c r="Y991" s="40" t="str">
        <f>TEXT(Table1[[#This Row],[YEAR]],"0000")&amp;"-"&amp;Table1[[#This Row],[MONTH]]</f>
        <v>-</v>
      </c>
    </row>
    <row r="992" spans="1:25" ht="15" customHeight="1" x14ac:dyDescent="0.35">
      <c r="A992" s="24"/>
      <c r="B992" s="38"/>
      <c r="C992" s="38"/>
      <c r="D992" s="38"/>
      <c r="E992" s="37"/>
      <c r="F992" s="38"/>
      <c r="G992" s="198"/>
      <c r="H992" s="198"/>
      <c r="I992" s="39"/>
      <c r="J992" s="38"/>
      <c r="K992" s="198"/>
      <c r="L992" s="38"/>
      <c r="M992" s="38"/>
      <c r="N992" s="38"/>
      <c r="O992" s="38"/>
      <c r="P992" s="40" t="str" cm="1">
        <f t="array" ref="P992">IF(N992="","",IFERROR(_xlfn.XLOOKUP(F992&amp;"|"&amp;J992&amp;"|"&amp;O992,PRICES!$C$2:$C$659&amp;"|"&amp;PRICES!$B$2:$B$659&amp;"|"&amp;PRICES!$D$2:$D$659,PRICES!$E$2:$E$659),"Not Found"))</f>
        <v/>
      </c>
      <c r="Q992" s="100" t="str">
        <f>IF(N992=0,"",SUMIFS(PRICES!$G$2:$G$658,PRICES!$B$2:$B$658,'MAIN TABLE-1 AUTOMATED'!J992,PRICES!$C$2:$C$658,'MAIN TABLE-1 AUTOMATED'!F992,PRICES!$D$2:$D$658,'MAIN TABLE-1 AUTOMATED'!O992))</f>
        <v/>
      </c>
      <c r="R992" s="41" t="str">
        <f>IF(Table1[[#This Row],[QUANTITY]]=0,"",Table1[[#This Row],[UNIT PRICE]]*Table1[[#This Row],[QUANTITY]])</f>
        <v/>
      </c>
      <c r="S992" s="89"/>
      <c r="T992" s="38"/>
      <c r="U992" s="43"/>
      <c r="V992" s="42" t="str">
        <f>IF(Table1[[#This Row],[DATE]]=0,"",YEAR(E992))</f>
        <v/>
      </c>
      <c r="W992" s="40" t="str">
        <f t="shared" si="32"/>
        <v/>
      </c>
      <c r="X992" s="40" t="str">
        <f t="shared" si="33"/>
        <v/>
      </c>
      <c r="Y992" s="40" t="str">
        <f>TEXT(Table1[[#This Row],[YEAR]],"0000")&amp;"-"&amp;Table1[[#This Row],[MONTH]]</f>
        <v>-</v>
      </c>
    </row>
    <row r="993" spans="1:25" ht="15" customHeight="1" x14ac:dyDescent="0.35">
      <c r="A993" s="24"/>
      <c r="B993" s="38"/>
      <c r="C993" s="38"/>
      <c r="D993" s="38"/>
      <c r="E993" s="37"/>
      <c r="F993" s="38"/>
      <c r="G993" s="198"/>
      <c r="H993" s="198"/>
      <c r="I993" s="39"/>
      <c r="J993" s="38"/>
      <c r="K993" s="198"/>
      <c r="L993" s="38"/>
      <c r="M993" s="38"/>
      <c r="N993" s="38"/>
      <c r="O993" s="38"/>
      <c r="P993" s="40" t="str" cm="1">
        <f t="array" ref="P993">IF(N993="","",IFERROR(_xlfn.XLOOKUP(F993&amp;"|"&amp;J993&amp;"|"&amp;O993,PRICES!$C$2:$C$659&amp;"|"&amp;PRICES!$B$2:$B$659&amp;"|"&amp;PRICES!$D$2:$D$659,PRICES!$E$2:$E$659),"Not Found"))</f>
        <v/>
      </c>
      <c r="Q993" s="100" t="str">
        <f>IF(N993=0,"",SUMIFS(PRICES!$G$2:$G$658,PRICES!$B$2:$B$658,'MAIN TABLE-1 AUTOMATED'!J993,PRICES!$C$2:$C$658,'MAIN TABLE-1 AUTOMATED'!F993,PRICES!$D$2:$D$658,'MAIN TABLE-1 AUTOMATED'!O993))</f>
        <v/>
      </c>
      <c r="R993" s="41" t="str">
        <f>IF(Table1[[#This Row],[QUANTITY]]=0,"",Table1[[#This Row],[UNIT PRICE]]*Table1[[#This Row],[QUANTITY]])</f>
        <v/>
      </c>
      <c r="S993" s="89"/>
      <c r="T993" s="38"/>
      <c r="U993" s="43"/>
      <c r="V993" s="42" t="str">
        <f>IF(Table1[[#This Row],[DATE]]=0,"",YEAR(E993))</f>
        <v/>
      </c>
      <c r="W993" s="40" t="str">
        <f t="shared" si="32"/>
        <v/>
      </c>
      <c r="X993" s="40" t="str">
        <f t="shared" si="33"/>
        <v/>
      </c>
      <c r="Y993" s="40" t="str">
        <f>TEXT(Table1[[#This Row],[YEAR]],"0000")&amp;"-"&amp;Table1[[#This Row],[MONTH]]</f>
        <v>-</v>
      </c>
    </row>
    <row r="994" spans="1:25" ht="15" customHeight="1" x14ac:dyDescent="0.35">
      <c r="A994" s="24"/>
      <c r="B994" s="38"/>
      <c r="C994" s="38"/>
      <c r="D994" s="38"/>
      <c r="E994" s="37"/>
      <c r="F994" s="38"/>
      <c r="G994" s="198"/>
      <c r="H994" s="198"/>
      <c r="I994" s="39"/>
      <c r="J994" s="38"/>
      <c r="K994" s="198"/>
      <c r="L994" s="38"/>
      <c r="M994" s="38"/>
      <c r="N994" s="38"/>
      <c r="O994" s="38"/>
      <c r="P994" s="40" t="str" cm="1">
        <f t="array" ref="P994">IF(N994="","",IFERROR(_xlfn.XLOOKUP(F994&amp;"|"&amp;J994&amp;"|"&amp;O994,PRICES!$C$2:$C$659&amp;"|"&amp;PRICES!$B$2:$B$659&amp;"|"&amp;PRICES!$D$2:$D$659,PRICES!$E$2:$E$659),"Not Found"))</f>
        <v/>
      </c>
      <c r="Q994" s="100" t="str">
        <f>IF(N994=0,"",SUMIFS(PRICES!$G$2:$G$658,PRICES!$B$2:$B$658,'MAIN TABLE-1 AUTOMATED'!J994,PRICES!$C$2:$C$658,'MAIN TABLE-1 AUTOMATED'!F994,PRICES!$D$2:$D$658,'MAIN TABLE-1 AUTOMATED'!O994))</f>
        <v/>
      </c>
      <c r="R994" s="41" t="str">
        <f>IF(Table1[[#This Row],[QUANTITY]]=0,"",Table1[[#This Row],[UNIT PRICE]]*Table1[[#This Row],[QUANTITY]])</f>
        <v/>
      </c>
      <c r="S994" s="89"/>
      <c r="T994" s="38"/>
      <c r="U994" s="43"/>
      <c r="V994" s="42" t="str">
        <f>IF(Table1[[#This Row],[DATE]]=0,"",YEAR(E994))</f>
        <v/>
      </c>
      <c r="W994" s="40" t="str">
        <f t="shared" si="32"/>
        <v/>
      </c>
      <c r="X994" s="40" t="str">
        <f t="shared" si="33"/>
        <v/>
      </c>
      <c r="Y994" s="40" t="str">
        <f>TEXT(Table1[[#This Row],[YEAR]],"0000")&amp;"-"&amp;Table1[[#This Row],[MONTH]]</f>
        <v>-</v>
      </c>
    </row>
    <row r="995" spans="1:25" ht="15" customHeight="1" x14ac:dyDescent="0.35">
      <c r="A995" s="24"/>
      <c r="B995" s="38"/>
      <c r="C995" s="38"/>
      <c r="D995" s="38"/>
      <c r="E995" s="37"/>
      <c r="F995" s="38"/>
      <c r="G995" s="198"/>
      <c r="H995" s="198"/>
      <c r="I995" s="39"/>
      <c r="J995" s="38"/>
      <c r="K995" s="198"/>
      <c r="L995" s="38"/>
      <c r="M995" s="38"/>
      <c r="N995" s="38"/>
      <c r="O995" s="38"/>
      <c r="P995" s="40" t="str" cm="1">
        <f t="array" ref="P995">IF(N995="","",IFERROR(_xlfn.XLOOKUP(F995&amp;"|"&amp;J995&amp;"|"&amp;O995,PRICES!$C$2:$C$659&amp;"|"&amp;PRICES!$B$2:$B$659&amp;"|"&amp;PRICES!$D$2:$D$659,PRICES!$E$2:$E$659),"Not Found"))</f>
        <v/>
      </c>
      <c r="Q995" s="100" t="str">
        <f>IF(N995=0,"",SUMIFS(PRICES!$G$2:$G$658,PRICES!$B$2:$B$658,'MAIN TABLE-1 AUTOMATED'!J995,PRICES!$C$2:$C$658,'MAIN TABLE-1 AUTOMATED'!F995,PRICES!$D$2:$D$658,'MAIN TABLE-1 AUTOMATED'!O995))</f>
        <v/>
      </c>
      <c r="R995" s="41" t="str">
        <f>IF(Table1[[#This Row],[QUANTITY]]=0,"",Table1[[#This Row],[UNIT PRICE]]*Table1[[#This Row],[QUANTITY]])</f>
        <v/>
      </c>
      <c r="S995" s="89"/>
      <c r="T995" s="38"/>
      <c r="U995" s="43"/>
      <c r="V995" s="42" t="str">
        <f>IF(Table1[[#This Row],[DATE]]=0,"",YEAR(E995))</f>
        <v/>
      </c>
      <c r="W995" s="40" t="str">
        <f t="shared" si="32"/>
        <v/>
      </c>
      <c r="X995" s="40" t="str">
        <f t="shared" si="33"/>
        <v/>
      </c>
      <c r="Y995" s="40" t="str">
        <f>TEXT(Table1[[#This Row],[YEAR]],"0000")&amp;"-"&amp;Table1[[#This Row],[MONTH]]</f>
        <v>-</v>
      </c>
    </row>
    <row r="996" spans="1:25" ht="15" customHeight="1" x14ac:dyDescent="0.35">
      <c r="A996" s="24"/>
      <c r="B996" s="38"/>
      <c r="C996" s="38"/>
      <c r="D996" s="38"/>
      <c r="E996" s="37"/>
      <c r="F996" s="38"/>
      <c r="G996" s="198"/>
      <c r="H996" s="198"/>
      <c r="I996" s="39"/>
      <c r="J996" s="38"/>
      <c r="K996" s="198"/>
      <c r="L996" s="38"/>
      <c r="M996" s="38"/>
      <c r="N996" s="38"/>
      <c r="O996" s="38"/>
      <c r="P996" s="40" t="str" cm="1">
        <f t="array" ref="P996">IF(N996="","",IFERROR(_xlfn.XLOOKUP(F996&amp;"|"&amp;J996&amp;"|"&amp;O996,PRICES!$C$2:$C$659&amp;"|"&amp;PRICES!$B$2:$B$659&amp;"|"&amp;PRICES!$D$2:$D$659,PRICES!$E$2:$E$659),"Not Found"))</f>
        <v/>
      </c>
      <c r="Q996" s="100" t="str">
        <f>IF(N996=0,"",SUMIFS(PRICES!$G$2:$G$658,PRICES!$B$2:$B$658,'MAIN TABLE-1 AUTOMATED'!J996,PRICES!$C$2:$C$658,'MAIN TABLE-1 AUTOMATED'!F996,PRICES!$D$2:$D$658,'MAIN TABLE-1 AUTOMATED'!O996))</f>
        <v/>
      </c>
      <c r="R996" s="41" t="str">
        <f>IF(Table1[[#This Row],[QUANTITY]]=0,"",Table1[[#This Row],[UNIT PRICE]]*Table1[[#This Row],[QUANTITY]])</f>
        <v/>
      </c>
      <c r="S996" s="89"/>
      <c r="T996" s="38"/>
      <c r="U996" s="43"/>
      <c r="V996" s="42" t="str">
        <f>IF(Table1[[#This Row],[DATE]]=0,"",YEAR(E996))</f>
        <v/>
      </c>
      <c r="W996" s="40" t="str">
        <f t="shared" si="32"/>
        <v/>
      </c>
      <c r="X996" s="40" t="str">
        <f t="shared" si="33"/>
        <v/>
      </c>
      <c r="Y996" s="40" t="str">
        <f>TEXT(Table1[[#This Row],[YEAR]],"0000")&amp;"-"&amp;Table1[[#This Row],[MONTH]]</f>
        <v>-</v>
      </c>
    </row>
    <row r="997" spans="1:25" ht="15" customHeight="1" x14ac:dyDescent="0.35">
      <c r="A997" s="24"/>
      <c r="B997" s="38"/>
      <c r="C997" s="38"/>
      <c r="D997" s="38"/>
      <c r="E997" s="37"/>
      <c r="F997" s="38"/>
      <c r="G997" s="198"/>
      <c r="H997" s="198"/>
      <c r="I997" s="39"/>
      <c r="J997" s="38"/>
      <c r="K997" s="198"/>
      <c r="L997" s="38"/>
      <c r="M997" s="38"/>
      <c r="N997" s="38"/>
      <c r="O997" s="38"/>
      <c r="P997" s="40" t="str" cm="1">
        <f t="array" ref="P997">IF(N997="","",IFERROR(_xlfn.XLOOKUP(F997&amp;"|"&amp;J997&amp;"|"&amp;O997,PRICES!$C$2:$C$659&amp;"|"&amp;PRICES!$B$2:$B$659&amp;"|"&amp;PRICES!$D$2:$D$659,PRICES!$E$2:$E$659),"Not Found"))</f>
        <v/>
      </c>
      <c r="Q997" s="100" t="str">
        <f>IF(N997=0,"",SUMIFS(PRICES!$G$2:$G$658,PRICES!$B$2:$B$658,'MAIN TABLE-1 AUTOMATED'!J997,PRICES!$C$2:$C$658,'MAIN TABLE-1 AUTOMATED'!F997,PRICES!$D$2:$D$658,'MAIN TABLE-1 AUTOMATED'!O997))</f>
        <v/>
      </c>
      <c r="R997" s="41" t="str">
        <f>IF(Table1[[#This Row],[QUANTITY]]=0,"",Table1[[#This Row],[UNIT PRICE]]*Table1[[#This Row],[QUANTITY]])</f>
        <v/>
      </c>
      <c r="S997" s="89"/>
      <c r="T997" s="38"/>
      <c r="U997" s="43"/>
      <c r="V997" s="42" t="str">
        <f>IF(Table1[[#This Row],[DATE]]=0,"",YEAR(E997))</f>
        <v/>
      </c>
      <c r="W997" s="40" t="str">
        <f t="shared" si="32"/>
        <v/>
      </c>
      <c r="X997" s="40" t="str">
        <f t="shared" si="33"/>
        <v/>
      </c>
      <c r="Y997" s="40" t="str">
        <f>TEXT(Table1[[#This Row],[YEAR]],"0000")&amp;"-"&amp;Table1[[#This Row],[MONTH]]</f>
        <v>-</v>
      </c>
    </row>
    <row r="998" spans="1:25" ht="15" customHeight="1" x14ac:dyDescent="0.35">
      <c r="A998" s="24"/>
      <c r="B998" s="38"/>
      <c r="C998" s="38"/>
      <c r="D998" s="38"/>
      <c r="E998" s="37"/>
      <c r="F998" s="38"/>
      <c r="G998" s="198"/>
      <c r="H998" s="198"/>
      <c r="I998" s="39"/>
      <c r="J998" s="38"/>
      <c r="K998" s="198"/>
      <c r="L998" s="38"/>
      <c r="M998" s="38"/>
      <c r="N998" s="38"/>
      <c r="O998" s="38"/>
      <c r="P998" s="40" t="str" cm="1">
        <f t="array" ref="P998">IF(N998="","",IFERROR(_xlfn.XLOOKUP(F998&amp;"|"&amp;J998&amp;"|"&amp;O998,PRICES!$C$2:$C$659&amp;"|"&amp;PRICES!$B$2:$B$659&amp;"|"&amp;PRICES!$D$2:$D$659,PRICES!$E$2:$E$659),"Not Found"))</f>
        <v/>
      </c>
      <c r="Q998" s="100" t="str">
        <f>IF(N998=0,"",SUMIFS(PRICES!$G$2:$G$658,PRICES!$B$2:$B$658,'MAIN TABLE-1 AUTOMATED'!J998,PRICES!$C$2:$C$658,'MAIN TABLE-1 AUTOMATED'!F998,PRICES!$D$2:$D$658,'MAIN TABLE-1 AUTOMATED'!O998))</f>
        <v/>
      </c>
      <c r="R998" s="41" t="str">
        <f>IF(Table1[[#This Row],[QUANTITY]]=0,"",Table1[[#This Row],[UNIT PRICE]]*Table1[[#This Row],[QUANTITY]])</f>
        <v/>
      </c>
      <c r="S998" s="89"/>
      <c r="T998" s="38"/>
      <c r="U998" s="43"/>
      <c r="V998" s="42" t="str">
        <f>IF(Table1[[#This Row],[DATE]]=0,"",YEAR(E998))</f>
        <v/>
      </c>
      <c r="W998" s="40" t="str">
        <f t="shared" si="32"/>
        <v/>
      </c>
      <c r="X998" s="40" t="str">
        <f t="shared" si="33"/>
        <v/>
      </c>
      <c r="Y998" s="40" t="str">
        <f>TEXT(Table1[[#This Row],[YEAR]],"0000")&amp;"-"&amp;Table1[[#This Row],[MONTH]]</f>
        <v>-</v>
      </c>
    </row>
    <row r="999" spans="1:25" ht="15" customHeight="1" x14ac:dyDescent="0.35">
      <c r="A999" s="24"/>
      <c r="B999" s="38"/>
      <c r="C999" s="38"/>
      <c r="D999" s="38"/>
      <c r="E999" s="37"/>
      <c r="F999" s="38"/>
      <c r="G999" s="198"/>
      <c r="H999" s="198"/>
      <c r="I999" s="39"/>
      <c r="J999" s="38"/>
      <c r="K999" s="198"/>
      <c r="L999" s="38"/>
      <c r="M999" s="38"/>
      <c r="N999" s="38"/>
      <c r="O999" s="38"/>
      <c r="P999" s="40" t="str" cm="1">
        <f t="array" ref="P999">IF(N999="","",IFERROR(_xlfn.XLOOKUP(F999&amp;"|"&amp;J999&amp;"|"&amp;O999,PRICES!$C$2:$C$659&amp;"|"&amp;PRICES!$B$2:$B$659&amp;"|"&amp;PRICES!$D$2:$D$659,PRICES!$E$2:$E$659),"Not Found"))</f>
        <v/>
      </c>
      <c r="Q999" s="100" t="str">
        <f>IF(N999=0,"",SUMIFS(PRICES!$G$2:$G$658,PRICES!$B$2:$B$658,'MAIN TABLE-1 AUTOMATED'!J999,PRICES!$C$2:$C$658,'MAIN TABLE-1 AUTOMATED'!F999,PRICES!$D$2:$D$658,'MAIN TABLE-1 AUTOMATED'!O999))</f>
        <v/>
      </c>
      <c r="R999" s="41" t="str">
        <f>IF(Table1[[#This Row],[QUANTITY]]=0,"",Table1[[#This Row],[UNIT PRICE]]*Table1[[#This Row],[QUANTITY]])</f>
        <v/>
      </c>
      <c r="S999" s="89"/>
      <c r="T999" s="38"/>
      <c r="U999" s="43"/>
      <c r="V999" s="42" t="str">
        <f>IF(Table1[[#This Row],[DATE]]=0,"",YEAR(E999))</f>
        <v/>
      </c>
      <c r="W999" s="40" t="str">
        <f t="shared" si="32"/>
        <v/>
      </c>
      <c r="X999" s="40" t="str">
        <f t="shared" si="33"/>
        <v/>
      </c>
      <c r="Y999" s="40" t="str">
        <f>TEXT(Table1[[#This Row],[YEAR]],"0000")&amp;"-"&amp;Table1[[#This Row],[MONTH]]</f>
        <v>-</v>
      </c>
    </row>
    <row r="1000" spans="1:25" ht="15" customHeight="1" x14ac:dyDescent="0.35">
      <c r="A1000" s="24"/>
      <c r="B1000" s="36"/>
      <c r="C1000" s="38"/>
      <c r="D1000" s="38"/>
      <c r="E1000" s="37"/>
      <c r="F1000" s="38"/>
      <c r="G1000" s="198"/>
      <c r="H1000" s="198"/>
      <c r="I1000" s="39"/>
      <c r="J1000" s="38"/>
      <c r="K1000" s="198"/>
      <c r="L1000" s="38"/>
      <c r="M1000" s="38"/>
      <c r="N1000" s="38"/>
      <c r="O1000" s="38"/>
      <c r="P1000" s="40" t="str" cm="1">
        <f t="array" ref="P1000">IF(N1000="","",IFERROR(_xlfn.XLOOKUP(F1000&amp;"|"&amp;J1000&amp;"|"&amp;O1000,PRICES!$C$2:$C$659&amp;"|"&amp;PRICES!$B$2:$B$659&amp;"|"&amp;PRICES!$D$2:$D$659,PRICES!$E$2:$E$659),"Not Found"))</f>
        <v/>
      </c>
      <c r="Q1000" s="100" t="str">
        <f>IF(N1000=0,"",SUMIFS(PRICES!$G$2:$G$658,PRICES!$B$2:$B$658,'MAIN TABLE-1 AUTOMATED'!J1000,PRICES!$C$2:$C$658,'MAIN TABLE-1 AUTOMATED'!F1000,PRICES!$D$2:$D$658,'MAIN TABLE-1 AUTOMATED'!O1000))</f>
        <v/>
      </c>
      <c r="R1000" s="41" t="str">
        <f>IF(Table1[[#This Row],[QUANTITY]]=0,"",Table1[[#This Row],[UNIT PRICE]]*Table1[[#This Row],[QUANTITY]])</f>
        <v/>
      </c>
      <c r="S1000" s="89"/>
      <c r="T1000" s="38"/>
      <c r="U1000" s="43"/>
      <c r="V1000" s="42" t="str">
        <f>IF(Table1[[#This Row],[DATE]]=0,"",YEAR(E1000))</f>
        <v/>
      </c>
      <c r="W1000" s="40" t="str">
        <f t="shared" si="32"/>
        <v/>
      </c>
      <c r="X1000" s="40" t="str">
        <f t="shared" si="33"/>
        <v/>
      </c>
      <c r="Y1000" s="40" t="str">
        <f>TEXT(Table1[[#This Row],[YEAR]],"0000")&amp;"-"&amp;Table1[[#This Row],[MONTH]]</f>
        <v>-</v>
      </c>
    </row>
    <row r="1001" spans="1:25" ht="15" customHeight="1" x14ac:dyDescent="0.35">
      <c r="A1001" s="24"/>
      <c r="B1001" s="36"/>
      <c r="C1001" s="38"/>
      <c r="D1001" s="38"/>
      <c r="E1001" s="37"/>
      <c r="F1001" s="38"/>
      <c r="G1001" s="198"/>
      <c r="H1001" s="198"/>
      <c r="I1001" s="39"/>
      <c r="J1001" s="38"/>
      <c r="K1001" s="198"/>
      <c r="L1001" s="38"/>
      <c r="M1001" s="38"/>
      <c r="N1001" s="38"/>
      <c r="O1001" s="38"/>
      <c r="P1001" s="40" t="str" cm="1">
        <f t="array" ref="P1001">IF(N1001="","",IFERROR(_xlfn.XLOOKUP(F1001&amp;"|"&amp;J1001&amp;"|"&amp;O1001,PRICES!$C$2:$C$659&amp;"|"&amp;PRICES!$B$2:$B$659&amp;"|"&amp;PRICES!$D$2:$D$659,PRICES!$E$2:$E$659),"Not Found"))</f>
        <v/>
      </c>
      <c r="Q1001" s="100" t="str">
        <f>IF(N1001=0,"",SUMIFS(PRICES!$G$2:$G$658,PRICES!$B$2:$B$658,'MAIN TABLE-1 AUTOMATED'!J1001,PRICES!$C$2:$C$658,'MAIN TABLE-1 AUTOMATED'!F1001,PRICES!$D$2:$D$658,'MAIN TABLE-1 AUTOMATED'!O1001))</f>
        <v/>
      </c>
      <c r="R1001" s="41" t="str">
        <f>IF(Table1[[#This Row],[QUANTITY]]=0,"",Table1[[#This Row],[UNIT PRICE]]*Table1[[#This Row],[QUANTITY]])</f>
        <v/>
      </c>
      <c r="S1001" s="89"/>
      <c r="T1001" s="38"/>
      <c r="U1001" s="43"/>
      <c r="V1001" s="42" t="str">
        <f>IF(Table1[[#This Row],[DATE]]=0,"",YEAR(E1001))</f>
        <v/>
      </c>
      <c r="W1001" s="40" t="str">
        <f t="shared" si="32"/>
        <v/>
      </c>
      <c r="X1001" s="40" t="str">
        <f t="shared" si="33"/>
        <v/>
      </c>
      <c r="Y1001" s="40" t="str">
        <f>TEXT(Table1[[#This Row],[YEAR]],"0000")&amp;"-"&amp;Table1[[#This Row],[MONTH]]</f>
        <v>-</v>
      </c>
    </row>
    <row r="1002" spans="1:25" ht="15" customHeight="1" x14ac:dyDescent="0.35">
      <c r="A1002" s="24"/>
      <c r="B1002" s="38"/>
      <c r="C1002" s="38"/>
      <c r="D1002" s="38"/>
      <c r="E1002" s="37"/>
      <c r="F1002" s="38"/>
      <c r="G1002" s="198"/>
      <c r="H1002" s="198"/>
      <c r="I1002" s="39"/>
      <c r="J1002" s="38"/>
      <c r="K1002" s="198"/>
      <c r="L1002" s="38"/>
      <c r="M1002" s="38"/>
      <c r="N1002" s="38"/>
      <c r="O1002" s="38"/>
      <c r="P1002" s="40" t="str" cm="1">
        <f t="array" ref="P1002">IF(N1002="","",IFERROR(_xlfn.XLOOKUP(F1002&amp;"|"&amp;J1002&amp;"|"&amp;O1002,PRICES!$C$2:$C$659&amp;"|"&amp;PRICES!$B$2:$B$659&amp;"|"&amp;PRICES!$D$2:$D$659,PRICES!$E$2:$E$659),"Not Found"))</f>
        <v/>
      </c>
      <c r="Q1002" s="100" t="str">
        <f>IF(N1002=0,"",SUMIFS(PRICES!$G$2:$G$658,PRICES!$B$2:$B$658,'MAIN TABLE-1 AUTOMATED'!J1002,PRICES!$C$2:$C$658,'MAIN TABLE-1 AUTOMATED'!F1002,PRICES!$D$2:$D$658,'MAIN TABLE-1 AUTOMATED'!O1002))</f>
        <v/>
      </c>
      <c r="R1002" s="41" t="str">
        <f>IF(Table1[[#This Row],[QUANTITY]]=0,"",Table1[[#This Row],[UNIT PRICE]]*Table1[[#This Row],[QUANTITY]])</f>
        <v/>
      </c>
      <c r="S1002" s="89"/>
      <c r="T1002" s="38"/>
      <c r="U1002" s="43"/>
      <c r="V1002" s="42" t="str">
        <f>IF(Table1[[#This Row],[DATE]]=0,"",YEAR(E1002))</f>
        <v/>
      </c>
      <c r="W1002" s="40" t="str">
        <f t="shared" si="32"/>
        <v/>
      </c>
      <c r="X1002" s="40" t="str">
        <f t="shared" si="33"/>
        <v/>
      </c>
      <c r="Y1002" s="40" t="str">
        <f>TEXT(Table1[[#This Row],[YEAR]],"0000")&amp;"-"&amp;Table1[[#This Row],[MONTH]]</f>
        <v>-</v>
      </c>
    </row>
    <row r="1003" spans="1:25" ht="15" customHeight="1" x14ac:dyDescent="0.35">
      <c r="A1003" s="24"/>
      <c r="B1003" s="38"/>
      <c r="C1003" s="38"/>
      <c r="D1003" s="38"/>
      <c r="E1003" s="37"/>
      <c r="F1003" s="38"/>
      <c r="G1003" s="198"/>
      <c r="H1003" s="198"/>
      <c r="I1003" s="39"/>
      <c r="J1003" s="38"/>
      <c r="K1003" s="198"/>
      <c r="L1003" s="38"/>
      <c r="M1003" s="38"/>
      <c r="N1003" s="38"/>
      <c r="O1003" s="38"/>
      <c r="P1003" s="40" t="str" cm="1">
        <f t="array" ref="P1003">IF(N1003="","",IFERROR(_xlfn.XLOOKUP(F1003&amp;"|"&amp;J1003&amp;"|"&amp;O1003,PRICES!$C$2:$C$659&amp;"|"&amp;PRICES!$B$2:$B$659&amp;"|"&amp;PRICES!$D$2:$D$659,PRICES!$E$2:$E$659),"Not Found"))</f>
        <v/>
      </c>
      <c r="Q1003" s="100" t="str">
        <f>IF(N1003=0,"",SUMIFS(PRICES!$G$2:$G$658,PRICES!$B$2:$B$658,'MAIN TABLE-1 AUTOMATED'!J1003,PRICES!$C$2:$C$658,'MAIN TABLE-1 AUTOMATED'!F1003,PRICES!$D$2:$D$658,'MAIN TABLE-1 AUTOMATED'!O1003))</f>
        <v/>
      </c>
      <c r="R1003" s="41" t="str">
        <f>IF(Table1[[#This Row],[QUANTITY]]=0,"",Table1[[#This Row],[UNIT PRICE]]*Table1[[#This Row],[QUANTITY]])</f>
        <v/>
      </c>
      <c r="S1003" s="89"/>
      <c r="T1003" s="38"/>
      <c r="U1003" s="43"/>
      <c r="V1003" s="42" t="str">
        <f>IF(Table1[[#This Row],[DATE]]=0,"",YEAR(E1003))</f>
        <v/>
      </c>
      <c r="W1003" s="40" t="str">
        <f t="shared" si="32"/>
        <v/>
      </c>
      <c r="X1003" s="40" t="str">
        <f t="shared" si="33"/>
        <v/>
      </c>
      <c r="Y1003" s="40" t="str">
        <f>TEXT(Table1[[#This Row],[YEAR]],"0000")&amp;"-"&amp;Table1[[#This Row],[MONTH]]</f>
        <v>-</v>
      </c>
    </row>
    <row r="1004" spans="1:25" ht="15" customHeight="1" x14ac:dyDescent="0.35">
      <c r="A1004" s="24"/>
      <c r="B1004" s="38"/>
      <c r="C1004" s="38"/>
      <c r="D1004" s="38"/>
      <c r="E1004" s="37"/>
      <c r="F1004" s="38"/>
      <c r="G1004" s="198"/>
      <c r="H1004" s="198"/>
      <c r="I1004" s="39"/>
      <c r="J1004" s="38"/>
      <c r="K1004" s="198"/>
      <c r="L1004" s="38"/>
      <c r="M1004" s="38"/>
      <c r="N1004" s="38"/>
      <c r="O1004" s="38"/>
      <c r="P1004" s="40" t="str" cm="1">
        <f t="array" ref="P1004">IF(N1004="","",IFERROR(_xlfn.XLOOKUP(F1004&amp;"|"&amp;J1004&amp;"|"&amp;O1004,PRICES!$C$2:$C$659&amp;"|"&amp;PRICES!$B$2:$B$659&amp;"|"&amp;PRICES!$D$2:$D$659,PRICES!$E$2:$E$659),"Not Found"))</f>
        <v/>
      </c>
      <c r="Q1004" s="100" t="str">
        <f>IF(N1004=0,"",SUMIFS(PRICES!$G$2:$G$658,PRICES!$B$2:$B$658,'MAIN TABLE-1 AUTOMATED'!J1004,PRICES!$C$2:$C$658,'MAIN TABLE-1 AUTOMATED'!F1004,PRICES!$D$2:$D$658,'MAIN TABLE-1 AUTOMATED'!O1004))</f>
        <v/>
      </c>
      <c r="R1004" s="41" t="str">
        <f>IF(Table1[[#This Row],[QUANTITY]]=0,"",Table1[[#This Row],[UNIT PRICE]]*Table1[[#This Row],[QUANTITY]])</f>
        <v/>
      </c>
      <c r="S1004" s="89"/>
      <c r="T1004" s="38"/>
      <c r="U1004" s="43"/>
      <c r="V1004" s="42" t="str">
        <f>IF(Table1[[#This Row],[DATE]]=0,"",YEAR(E1004))</f>
        <v/>
      </c>
      <c r="W1004" s="40" t="str">
        <f t="shared" si="32"/>
        <v/>
      </c>
      <c r="X1004" s="40" t="str">
        <f t="shared" si="33"/>
        <v/>
      </c>
      <c r="Y1004" s="40" t="str">
        <f>TEXT(Table1[[#This Row],[YEAR]],"0000")&amp;"-"&amp;Table1[[#This Row],[MONTH]]</f>
        <v>-</v>
      </c>
    </row>
    <row r="1005" spans="1:25" ht="15" customHeight="1" x14ac:dyDescent="0.35">
      <c r="A1005" s="24"/>
      <c r="B1005" s="38"/>
      <c r="C1005" s="38"/>
      <c r="D1005" s="38"/>
      <c r="E1005" s="37"/>
      <c r="F1005" s="38"/>
      <c r="G1005" s="198"/>
      <c r="H1005" s="198"/>
      <c r="I1005" s="39"/>
      <c r="J1005" s="38"/>
      <c r="K1005" s="198"/>
      <c r="L1005" s="38"/>
      <c r="M1005" s="38"/>
      <c r="N1005" s="38"/>
      <c r="O1005" s="38"/>
      <c r="P1005" s="40" t="str" cm="1">
        <f t="array" ref="P1005">IF(N1005="","",IFERROR(_xlfn.XLOOKUP(F1005&amp;"|"&amp;J1005&amp;"|"&amp;O1005,PRICES!$C$2:$C$659&amp;"|"&amp;PRICES!$B$2:$B$659&amp;"|"&amp;PRICES!$D$2:$D$659,PRICES!$E$2:$E$659),"Not Found"))</f>
        <v/>
      </c>
      <c r="Q1005" s="100" t="str">
        <f>IF(N1005=0,"",SUMIFS(PRICES!$G$2:$G$658,PRICES!$B$2:$B$658,'MAIN TABLE-1 AUTOMATED'!J1005,PRICES!$C$2:$C$658,'MAIN TABLE-1 AUTOMATED'!F1005,PRICES!$D$2:$D$658,'MAIN TABLE-1 AUTOMATED'!O1005))</f>
        <v/>
      </c>
      <c r="R1005" s="41" t="str">
        <f>IF(Table1[[#This Row],[QUANTITY]]=0,"",Table1[[#This Row],[UNIT PRICE]]*Table1[[#This Row],[QUANTITY]])</f>
        <v/>
      </c>
      <c r="S1005" s="89"/>
      <c r="T1005" s="38"/>
      <c r="U1005" s="43"/>
      <c r="V1005" s="42" t="str">
        <f>IF(Table1[[#This Row],[DATE]]=0,"",YEAR(E1005))</f>
        <v/>
      </c>
      <c r="W1005" s="40" t="str">
        <f t="shared" si="32"/>
        <v/>
      </c>
      <c r="X1005" s="40" t="str">
        <f t="shared" si="33"/>
        <v/>
      </c>
      <c r="Y1005" s="40" t="str">
        <f>TEXT(Table1[[#This Row],[YEAR]],"0000")&amp;"-"&amp;Table1[[#This Row],[MONTH]]</f>
        <v>-</v>
      </c>
    </row>
    <row r="1006" spans="1:25" ht="15" customHeight="1" x14ac:dyDescent="0.35">
      <c r="A1006" s="24"/>
      <c r="B1006" s="38"/>
      <c r="C1006" s="38"/>
      <c r="D1006" s="38"/>
      <c r="E1006" s="37"/>
      <c r="F1006" s="38"/>
      <c r="G1006" s="198"/>
      <c r="H1006" s="198"/>
      <c r="I1006" s="39"/>
      <c r="J1006" s="38"/>
      <c r="K1006" s="198"/>
      <c r="L1006" s="38"/>
      <c r="M1006" s="38"/>
      <c r="N1006" s="38"/>
      <c r="O1006" s="38"/>
      <c r="P1006" s="40" t="str" cm="1">
        <f t="array" ref="P1006">IF(N1006="","",IFERROR(_xlfn.XLOOKUP(F1006&amp;"|"&amp;J1006&amp;"|"&amp;O1006,PRICES!$C$2:$C$659&amp;"|"&amp;PRICES!$B$2:$B$659&amp;"|"&amp;PRICES!$D$2:$D$659,PRICES!$E$2:$E$659),"Not Found"))</f>
        <v/>
      </c>
      <c r="Q1006" s="100" t="str">
        <f>IF(N1006=0,"",SUMIFS(PRICES!$G$2:$G$658,PRICES!$B$2:$B$658,'MAIN TABLE-1 AUTOMATED'!J1006,PRICES!$C$2:$C$658,'MAIN TABLE-1 AUTOMATED'!F1006,PRICES!$D$2:$D$658,'MAIN TABLE-1 AUTOMATED'!O1006))</f>
        <v/>
      </c>
      <c r="R1006" s="41" t="str">
        <f>IF(Table1[[#This Row],[QUANTITY]]=0,"",Table1[[#This Row],[UNIT PRICE]]*Table1[[#This Row],[QUANTITY]])</f>
        <v/>
      </c>
      <c r="S1006" s="89"/>
      <c r="T1006" s="38"/>
      <c r="U1006" s="43"/>
      <c r="V1006" s="42" t="str">
        <f>IF(Table1[[#This Row],[DATE]]=0,"",YEAR(E1006))</f>
        <v/>
      </c>
      <c r="W1006" s="40" t="str">
        <f t="shared" si="32"/>
        <v/>
      </c>
      <c r="X1006" s="40" t="str">
        <f t="shared" si="33"/>
        <v/>
      </c>
      <c r="Y1006" s="40" t="str">
        <f>TEXT(Table1[[#This Row],[YEAR]],"0000")&amp;"-"&amp;Table1[[#This Row],[MONTH]]</f>
        <v>-</v>
      </c>
    </row>
    <row r="1007" spans="1:25" ht="15" customHeight="1" x14ac:dyDescent="0.35">
      <c r="A1007" s="24"/>
      <c r="B1007" s="38"/>
      <c r="C1007" s="38"/>
      <c r="D1007" s="38"/>
      <c r="E1007" s="37"/>
      <c r="F1007" s="38"/>
      <c r="G1007" s="198"/>
      <c r="H1007" s="198"/>
      <c r="I1007" s="39"/>
      <c r="J1007" s="38"/>
      <c r="K1007" s="198"/>
      <c r="L1007" s="38"/>
      <c r="M1007" s="38"/>
      <c r="N1007" s="38"/>
      <c r="O1007" s="38"/>
      <c r="P1007" s="40" t="str" cm="1">
        <f t="array" ref="P1007">IF(N1007="","",IFERROR(_xlfn.XLOOKUP(F1007&amp;"|"&amp;J1007&amp;"|"&amp;O1007,PRICES!$C$2:$C$659&amp;"|"&amp;PRICES!$B$2:$B$659&amp;"|"&amp;PRICES!$D$2:$D$659,PRICES!$E$2:$E$659),"Not Found"))</f>
        <v/>
      </c>
      <c r="Q1007" s="100" t="str">
        <f>IF(N1007=0,"",SUMIFS(PRICES!$G$2:$G$658,PRICES!$B$2:$B$658,'MAIN TABLE-1 AUTOMATED'!J1007,PRICES!$C$2:$C$658,'MAIN TABLE-1 AUTOMATED'!F1007,PRICES!$D$2:$D$658,'MAIN TABLE-1 AUTOMATED'!O1007))</f>
        <v/>
      </c>
      <c r="R1007" s="41" t="str">
        <f>IF(Table1[[#This Row],[QUANTITY]]=0,"",Table1[[#This Row],[UNIT PRICE]]*Table1[[#This Row],[QUANTITY]])</f>
        <v/>
      </c>
      <c r="S1007" s="89"/>
      <c r="T1007" s="38"/>
      <c r="U1007" s="43"/>
      <c r="V1007" s="42" t="str">
        <f>IF(Table1[[#This Row],[DATE]]=0,"",YEAR(E1007))</f>
        <v/>
      </c>
      <c r="W1007" s="40" t="str">
        <f t="shared" si="32"/>
        <v/>
      </c>
      <c r="X1007" s="40" t="str">
        <f t="shared" si="33"/>
        <v/>
      </c>
      <c r="Y1007" s="40" t="str">
        <f>TEXT(Table1[[#This Row],[YEAR]],"0000")&amp;"-"&amp;Table1[[#This Row],[MONTH]]</f>
        <v>-</v>
      </c>
    </row>
    <row r="1008" spans="1:25" ht="15" customHeight="1" x14ac:dyDescent="0.35">
      <c r="A1008" s="24"/>
      <c r="B1008" s="38"/>
      <c r="C1008" s="38"/>
      <c r="D1008" s="38"/>
      <c r="E1008" s="37"/>
      <c r="F1008" s="38"/>
      <c r="G1008" s="198"/>
      <c r="H1008" s="198"/>
      <c r="I1008" s="39"/>
      <c r="J1008" s="38"/>
      <c r="K1008" s="198"/>
      <c r="L1008" s="38"/>
      <c r="M1008" s="38"/>
      <c r="N1008" s="38"/>
      <c r="O1008" s="38"/>
      <c r="P1008" s="40" t="str" cm="1">
        <f t="array" ref="P1008">IF(N1008="","",IFERROR(_xlfn.XLOOKUP(F1008&amp;"|"&amp;J1008&amp;"|"&amp;O1008,PRICES!$C$2:$C$659&amp;"|"&amp;PRICES!$B$2:$B$659&amp;"|"&amp;PRICES!$D$2:$D$659,PRICES!$E$2:$E$659),"Not Found"))</f>
        <v/>
      </c>
      <c r="Q1008" s="100" t="str">
        <f>IF(N1008=0,"",SUMIFS(PRICES!$G$2:$G$658,PRICES!$B$2:$B$658,'MAIN TABLE-1 AUTOMATED'!J1008,PRICES!$C$2:$C$658,'MAIN TABLE-1 AUTOMATED'!F1008,PRICES!$D$2:$D$658,'MAIN TABLE-1 AUTOMATED'!O1008))</f>
        <v/>
      </c>
      <c r="R1008" s="41" t="str">
        <f>IF(Table1[[#This Row],[QUANTITY]]=0,"",Table1[[#This Row],[UNIT PRICE]]*Table1[[#This Row],[QUANTITY]])</f>
        <v/>
      </c>
      <c r="S1008" s="89"/>
      <c r="T1008" s="38"/>
      <c r="U1008" s="43"/>
      <c r="V1008" s="42" t="str">
        <f>IF(Table1[[#This Row],[DATE]]=0,"",YEAR(E1008))</f>
        <v/>
      </c>
      <c r="W1008" s="40" t="str">
        <f t="shared" si="32"/>
        <v/>
      </c>
      <c r="X1008" s="40" t="str">
        <f t="shared" si="33"/>
        <v/>
      </c>
      <c r="Y1008" s="40" t="str">
        <f>TEXT(Table1[[#This Row],[YEAR]],"0000")&amp;"-"&amp;Table1[[#This Row],[MONTH]]</f>
        <v>-</v>
      </c>
    </row>
    <row r="1009" spans="1:25" ht="15" customHeight="1" x14ac:dyDescent="0.35">
      <c r="A1009" s="24"/>
      <c r="B1009" s="38"/>
      <c r="C1009" s="38"/>
      <c r="D1009" s="38"/>
      <c r="E1009" s="37"/>
      <c r="F1009" s="38"/>
      <c r="G1009" s="198"/>
      <c r="H1009" s="198"/>
      <c r="I1009" s="39"/>
      <c r="J1009" s="38"/>
      <c r="K1009" s="198"/>
      <c r="L1009" s="38"/>
      <c r="M1009" s="38"/>
      <c r="N1009" s="38"/>
      <c r="O1009" s="38"/>
      <c r="P1009" s="40" t="str" cm="1">
        <f t="array" ref="P1009">IF(N1009="","",IFERROR(_xlfn.XLOOKUP(F1009&amp;"|"&amp;J1009&amp;"|"&amp;O1009,PRICES!$C$2:$C$659&amp;"|"&amp;PRICES!$B$2:$B$659&amp;"|"&amp;PRICES!$D$2:$D$659,PRICES!$E$2:$E$659),"Not Found"))</f>
        <v/>
      </c>
      <c r="Q1009" s="100" t="str">
        <f>IF(N1009=0,"",SUMIFS(PRICES!$G$2:$G$658,PRICES!$B$2:$B$658,'MAIN TABLE-1 AUTOMATED'!J1009,PRICES!$C$2:$C$658,'MAIN TABLE-1 AUTOMATED'!F1009,PRICES!$D$2:$D$658,'MAIN TABLE-1 AUTOMATED'!O1009))</f>
        <v/>
      </c>
      <c r="R1009" s="41" t="str">
        <f>IF(Table1[[#This Row],[QUANTITY]]=0,"",Table1[[#This Row],[UNIT PRICE]]*Table1[[#This Row],[QUANTITY]])</f>
        <v/>
      </c>
      <c r="S1009" s="89"/>
      <c r="T1009" s="38"/>
      <c r="U1009" s="43"/>
      <c r="V1009" s="42" t="str">
        <f>IF(Table1[[#This Row],[DATE]]=0,"",YEAR(E1009))</f>
        <v/>
      </c>
      <c r="W1009" s="40" t="str">
        <f t="shared" si="32"/>
        <v/>
      </c>
      <c r="X1009" s="40" t="str">
        <f t="shared" si="33"/>
        <v/>
      </c>
      <c r="Y1009" s="40" t="str">
        <f>TEXT(Table1[[#This Row],[YEAR]],"0000")&amp;"-"&amp;Table1[[#This Row],[MONTH]]</f>
        <v>-</v>
      </c>
    </row>
    <row r="1010" spans="1:25" ht="15" customHeight="1" x14ac:dyDescent="0.35">
      <c r="A1010" s="24"/>
      <c r="B1010" s="36"/>
      <c r="C1010" s="38"/>
      <c r="D1010" s="38"/>
      <c r="E1010" s="37"/>
      <c r="F1010" s="38"/>
      <c r="G1010" s="198"/>
      <c r="H1010" s="198"/>
      <c r="I1010" s="39"/>
      <c r="J1010" s="38"/>
      <c r="K1010" s="198"/>
      <c r="L1010" s="38"/>
      <c r="M1010" s="38"/>
      <c r="N1010" s="38"/>
      <c r="O1010" s="38"/>
      <c r="P1010" s="40" t="str" cm="1">
        <f t="array" ref="P1010">IF(N1010="","",IFERROR(_xlfn.XLOOKUP(F1010&amp;"|"&amp;J1010&amp;"|"&amp;O1010,PRICES!$C$2:$C$659&amp;"|"&amp;PRICES!$B$2:$B$659&amp;"|"&amp;PRICES!$D$2:$D$659,PRICES!$E$2:$E$659),"Not Found"))</f>
        <v/>
      </c>
      <c r="Q1010" s="100" t="str">
        <f>IF(N1010=0,"",SUMIFS(PRICES!$G$2:$G$658,PRICES!$B$2:$B$658,'MAIN TABLE-1 AUTOMATED'!J1010,PRICES!$C$2:$C$658,'MAIN TABLE-1 AUTOMATED'!F1010,PRICES!$D$2:$D$658,'MAIN TABLE-1 AUTOMATED'!O1010))</f>
        <v/>
      </c>
      <c r="R1010" s="41" t="str">
        <f>IF(Table1[[#This Row],[QUANTITY]]=0,"",Table1[[#This Row],[UNIT PRICE]]*Table1[[#This Row],[QUANTITY]])</f>
        <v/>
      </c>
      <c r="S1010" s="89"/>
      <c r="T1010" s="38"/>
      <c r="U1010" s="43"/>
      <c r="V1010" s="42" t="str">
        <f>IF(Table1[[#This Row],[DATE]]=0,"",YEAR(E1010))</f>
        <v/>
      </c>
      <c r="W1010" s="40" t="str">
        <f t="shared" si="32"/>
        <v/>
      </c>
      <c r="X1010" s="40" t="str">
        <f t="shared" si="33"/>
        <v/>
      </c>
      <c r="Y1010" s="40" t="str">
        <f>TEXT(Table1[[#This Row],[YEAR]],"0000")&amp;"-"&amp;Table1[[#This Row],[MONTH]]</f>
        <v>-</v>
      </c>
    </row>
    <row r="1011" spans="1:25" ht="15" customHeight="1" x14ac:dyDescent="0.35">
      <c r="A1011" s="24"/>
      <c r="B1011" s="36"/>
      <c r="C1011" s="38"/>
      <c r="D1011" s="38"/>
      <c r="E1011" s="37"/>
      <c r="F1011" s="38"/>
      <c r="G1011" s="198"/>
      <c r="H1011" s="198"/>
      <c r="I1011" s="39"/>
      <c r="J1011" s="38"/>
      <c r="K1011" s="198"/>
      <c r="L1011" s="38"/>
      <c r="M1011" s="38"/>
      <c r="N1011" s="38"/>
      <c r="O1011" s="38"/>
      <c r="P1011" s="40" t="str" cm="1">
        <f t="array" ref="P1011">IF(N1011="","",IFERROR(_xlfn.XLOOKUP(F1011&amp;"|"&amp;J1011&amp;"|"&amp;O1011,PRICES!$C$2:$C$659&amp;"|"&amp;PRICES!$B$2:$B$659&amp;"|"&amp;PRICES!$D$2:$D$659,PRICES!$E$2:$E$659),"Not Found"))</f>
        <v/>
      </c>
      <c r="Q1011" s="100" t="str">
        <f>IF(N1011=0,"",SUMIFS(PRICES!$G$2:$G$658,PRICES!$B$2:$B$658,'MAIN TABLE-1 AUTOMATED'!J1011,PRICES!$C$2:$C$658,'MAIN TABLE-1 AUTOMATED'!F1011,PRICES!$D$2:$D$658,'MAIN TABLE-1 AUTOMATED'!O1011))</f>
        <v/>
      </c>
      <c r="R1011" s="41" t="str">
        <f>IF(Table1[[#This Row],[QUANTITY]]=0,"",Table1[[#This Row],[UNIT PRICE]]*Table1[[#This Row],[QUANTITY]])</f>
        <v/>
      </c>
      <c r="S1011" s="89"/>
      <c r="T1011" s="38"/>
      <c r="U1011" s="43"/>
      <c r="V1011" s="42" t="str">
        <f>IF(Table1[[#This Row],[DATE]]=0,"",YEAR(E1011))</f>
        <v/>
      </c>
      <c r="W1011" s="40" t="str">
        <f t="shared" si="32"/>
        <v/>
      </c>
      <c r="X1011" s="40" t="str">
        <f t="shared" si="33"/>
        <v/>
      </c>
      <c r="Y1011" s="40" t="str">
        <f>TEXT(Table1[[#This Row],[YEAR]],"0000")&amp;"-"&amp;Table1[[#This Row],[MONTH]]</f>
        <v>-</v>
      </c>
    </row>
    <row r="1012" spans="1:25" ht="15" customHeight="1" x14ac:dyDescent="0.35">
      <c r="A1012" s="24"/>
      <c r="B1012" s="36"/>
      <c r="C1012" s="38"/>
      <c r="D1012" s="38"/>
      <c r="E1012" s="37"/>
      <c r="F1012" s="38"/>
      <c r="G1012" s="198"/>
      <c r="H1012" s="198"/>
      <c r="I1012" s="39"/>
      <c r="J1012" s="38"/>
      <c r="K1012" s="198"/>
      <c r="L1012" s="38"/>
      <c r="M1012" s="38"/>
      <c r="N1012" s="38"/>
      <c r="O1012" s="38"/>
      <c r="P1012" s="40" t="str" cm="1">
        <f t="array" ref="P1012">IF(N1012="","",IFERROR(_xlfn.XLOOKUP(F1012&amp;"|"&amp;J1012&amp;"|"&amp;O1012,PRICES!$C$2:$C$659&amp;"|"&amp;PRICES!$B$2:$B$659&amp;"|"&amp;PRICES!$D$2:$D$659,PRICES!$E$2:$E$659),"Not Found"))</f>
        <v/>
      </c>
      <c r="Q1012" s="100" t="str">
        <f>IF(N1012=0,"",SUMIFS(PRICES!$G$2:$G$658,PRICES!$B$2:$B$658,'MAIN TABLE-1 AUTOMATED'!J1012,PRICES!$C$2:$C$658,'MAIN TABLE-1 AUTOMATED'!F1012,PRICES!$D$2:$D$658,'MAIN TABLE-1 AUTOMATED'!O1012))</f>
        <v/>
      </c>
      <c r="R1012" s="41" t="str">
        <f>IF(Table1[[#This Row],[QUANTITY]]=0,"",Table1[[#This Row],[UNIT PRICE]]*Table1[[#This Row],[QUANTITY]])</f>
        <v/>
      </c>
      <c r="S1012" s="89"/>
      <c r="T1012" s="38"/>
      <c r="U1012" s="43"/>
      <c r="V1012" s="42" t="str">
        <f>IF(Table1[[#This Row],[DATE]]=0,"",YEAR(E1012))</f>
        <v/>
      </c>
      <c r="W1012" s="40" t="str">
        <f t="shared" si="32"/>
        <v/>
      </c>
      <c r="X1012" s="40" t="str">
        <f t="shared" si="33"/>
        <v/>
      </c>
      <c r="Y1012" s="40" t="str">
        <f>TEXT(Table1[[#This Row],[YEAR]],"0000")&amp;"-"&amp;Table1[[#This Row],[MONTH]]</f>
        <v>-</v>
      </c>
    </row>
    <row r="1013" spans="1:25" ht="15" customHeight="1" x14ac:dyDescent="0.35">
      <c r="A1013" s="24"/>
      <c r="B1013" s="36"/>
      <c r="C1013" s="38"/>
      <c r="D1013" s="38"/>
      <c r="E1013" s="37"/>
      <c r="F1013" s="38"/>
      <c r="G1013" s="198"/>
      <c r="H1013" s="198"/>
      <c r="I1013" s="39"/>
      <c r="J1013" s="38"/>
      <c r="K1013" s="198"/>
      <c r="L1013" s="38"/>
      <c r="M1013" s="38"/>
      <c r="N1013" s="38"/>
      <c r="O1013" s="38"/>
      <c r="P1013" s="40" t="str" cm="1">
        <f t="array" ref="P1013">IF(N1013="","",IFERROR(_xlfn.XLOOKUP(F1013&amp;"|"&amp;J1013&amp;"|"&amp;O1013,PRICES!$C$2:$C$659&amp;"|"&amp;PRICES!$B$2:$B$659&amp;"|"&amp;PRICES!$D$2:$D$659,PRICES!$E$2:$E$659),"Not Found"))</f>
        <v/>
      </c>
      <c r="Q1013" s="100" t="str">
        <f>IF(N1013=0,"",SUMIFS(PRICES!$G$2:$G$658,PRICES!$B$2:$B$658,'MAIN TABLE-1 AUTOMATED'!J1013,PRICES!$C$2:$C$658,'MAIN TABLE-1 AUTOMATED'!F1013,PRICES!$D$2:$D$658,'MAIN TABLE-1 AUTOMATED'!O1013))</f>
        <v/>
      </c>
      <c r="R1013" s="41" t="str">
        <f>IF(Table1[[#This Row],[QUANTITY]]=0,"",Table1[[#This Row],[UNIT PRICE]]*Table1[[#This Row],[QUANTITY]])</f>
        <v/>
      </c>
      <c r="S1013" s="89"/>
      <c r="T1013" s="38"/>
      <c r="U1013" s="43"/>
      <c r="V1013" s="42" t="str">
        <f>IF(Table1[[#This Row],[DATE]]=0,"",YEAR(E1013))</f>
        <v/>
      </c>
      <c r="W1013" s="40" t="str">
        <f t="shared" si="32"/>
        <v/>
      </c>
      <c r="X1013" s="40" t="str">
        <f t="shared" si="33"/>
        <v/>
      </c>
      <c r="Y1013" s="40" t="str">
        <f>TEXT(Table1[[#This Row],[YEAR]],"0000")&amp;"-"&amp;Table1[[#This Row],[MONTH]]</f>
        <v>-</v>
      </c>
    </row>
    <row r="1014" spans="1:25" ht="15" customHeight="1" x14ac:dyDescent="0.35">
      <c r="A1014" s="24"/>
      <c r="B1014" s="36"/>
      <c r="C1014" s="38"/>
      <c r="D1014" s="38"/>
      <c r="E1014" s="37"/>
      <c r="F1014" s="38"/>
      <c r="G1014" s="198"/>
      <c r="H1014" s="198"/>
      <c r="I1014" s="39"/>
      <c r="J1014" s="38"/>
      <c r="K1014" s="198"/>
      <c r="L1014" s="38"/>
      <c r="M1014" s="38"/>
      <c r="N1014" s="38"/>
      <c r="O1014" s="38"/>
      <c r="P1014" s="40" t="str" cm="1">
        <f t="array" ref="P1014">IF(N1014="","",IFERROR(_xlfn.XLOOKUP(F1014&amp;"|"&amp;J1014&amp;"|"&amp;O1014,PRICES!$C$2:$C$659&amp;"|"&amp;PRICES!$B$2:$B$659&amp;"|"&amp;PRICES!$D$2:$D$659,PRICES!$E$2:$E$659),"Not Found"))</f>
        <v/>
      </c>
      <c r="Q1014" s="100" t="str">
        <f>IF(N1014=0,"",SUMIFS(PRICES!$G$2:$G$658,PRICES!$B$2:$B$658,'MAIN TABLE-1 AUTOMATED'!J1014,PRICES!$C$2:$C$658,'MAIN TABLE-1 AUTOMATED'!F1014,PRICES!$D$2:$D$658,'MAIN TABLE-1 AUTOMATED'!O1014))</f>
        <v/>
      </c>
      <c r="R1014" s="41" t="str">
        <f>IF(Table1[[#This Row],[QUANTITY]]=0,"",Table1[[#This Row],[UNIT PRICE]]*Table1[[#This Row],[QUANTITY]])</f>
        <v/>
      </c>
      <c r="S1014" s="89"/>
      <c r="T1014" s="38"/>
      <c r="U1014" s="43"/>
      <c r="V1014" s="42" t="str">
        <f>IF(Table1[[#This Row],[DATE]]=0,"",YEAR(E1014))</f>
        <v/>
      </c>
      <c r="W1014" s="40" t="str">
        <f t="shared" si="32"/>
        <v/>
      </c>
      <c r="X1014" s="40" t="str">
        <f t="shared" si="33"/>
        <v/>
      </c>
      <c r="Y1014" s="40" t="str">
        <f>TEXT(Table1[[#This Row],[YEAR]],"0000")&amp;"-"&amp;Table1[[#This Row],[MONTH]]</f>
        <v>-</v>
      </c>
    </row>
    <row r="1015" spans="1:25" ht="15" customHeight="1" x14ac:dyDescent="0.35">
      <c r="A1015" s="24"/>
      <c r="B1015" s="36"/>
      <c r="C1015" s="38"/>
      <c r="D1015" s="38"/>
      <c r="E1015" s="37"/>
      <c r="F1015" s="38"/>
      <c r="G1015" s="198"/>
      <c r="H1015" s="198"/>
      <c r="I1015" s="39"/>
      <c r="J1015" s="38"/>
      <c r="K1015" s="198"/>
      <c r="L1015" s="38"/>
      <c r="M1015" s="38"/>
      <c r="N1015" s="38"/>
      <c r="O1015" s="38"/>
      <c r="P1015" s="40" t="str" cm="1">
        <f t="array" ref="P1015">IF(N1015="","",IFERROR(_xlfn.XLOOKUP(F1015&amp;"|"&amp;J1015&amp;"|"&amp;O1015,PRICES!$C$2:$C$659&amp;"|"&amp;PRICES!$B$2:$B$659&amp;"|"&amp;PRICES!$D$2:$D$659,PRICES!$E$2:$E$659),"Not Found"))</f>
        <v/>
      </c>
      <c r="Q1015" s="100" t="str">
        <f>IF(N1015=0,"",SUMIFS(PRICES!$G$2:$G$658,PRICES!$B$2:$B$658,'MAIN TABLE-1 AUTOMATED'!J1015,PRICES!$C$2:$C$658,'MAIN TABLE-1 AUTOMATED'!F1015,PRICES!$D$2:$D$658,'MAIN TABLE-1 AUTOMATED'!O1015))</f>
        <v/>
      </c>
      <c r="R1015" s="41" t="str">
        <f>IF(Table1[[#This Row],[QUANTITY]]=0,"",Table1[[#This Row],[UNIT PRICE]]*Table1[[#This Row],[QUANTITY]])</f>
        <v/>
      </c>
      <c r="S1015" s="89"/>
      <c r="T1015" s="38"/>
      <c r="U1015" s="43"/>
      <c r="V1015" s="42" t="str">
        <f>IF(Table1[[#This Row],[DATE]]=0,"",YEAR(E1015))</f>
        <v/>
      </c>
      <c r="W1015" s="40" t="str">
        <f t="shared" si="32"/>
        <v/>
      </c>
      <c r="X1015" s="40" t="str">
        <f t="shared" si="33"/>
        <v/>
      </c>
      <c r="Y1015" s="40" t="str">
        <f>TEXT(Table1[[#This Row],[YEAR]],"0000")&amp;"-"&amp;Table1[[#This Row],[MONTH]]</f>
        <v>-</v>
      </c>
    </row>
    <row r="1016" spans="1:25" ht="15" customHeight="1" x14ac:dyDescent="0.35">
      <c r="A1016" s="24"/>
      <c r="B1016" s="36"/>
      <c r="C1016" s="38"/>
      <c r="D1016" s="38"/>
      <c r="E1016" s="37"/>
      <c r="F1016" s="38"/>
      <c r="G1016" s="198"/>
      <c r="H1016" s="198"/>
      <c r="I1016" s="39"/>
      <c r="J1016" s="38"/>
      <c r="K1016" s="198"/>
      <c r="L1016" s="38"/>
      <c r="M1016" s="38"/>
      <c r="N1016" s="38"/>
      <c r="O1016" s="38"/>
      <c r="P1016" s="40" t="str" cm="1">
        <f t="array" ref="P1016">IF(N1016="","",IFERROR(_xlfn.XLOOKUP(F1016&amp;"|"&amp;J1016&amp;"|"&amp;O1016,PRICES!$C$2:$C$659&amp;"|"&amp;PRICES!$B$2:$B$659&amp;"|"&amp;PRICES!$D$2:$D$659,PRICES!$E$2:$E$659),"Not Found"))</f>
        <v/>
      </c>
      <c r="Q1016" s="100" t="str">
        <f>IF(N1016=0,"",SUMIFS(PRICES!$G$2:$G$658,PRICES!$B$2:$B$658,'MAIN TABLE-1 AUTOMATED'!J1016,PRICES!$C$2:$C$658,'MAIN TABLE-1 AUTOMATED'!F1016,PRICES!$D$2:$D$658,'MAIN TABLE-1 AUTOMATED'!O1016))</f>
        <v/>
      </c>
      <c r="R1016" s="41" t="str">
        <f>IF(Table1[[#This Row],[QUANTITY]]=0,"",Table1[[#This Row],[UNIT PRICE]]*Table1[[#This Row],[QUANTITY]])</f>
        <v/>
      </c>
      <c r="S1016" s="89"/>
      <c r="T1016" s="38"/>
      <c r="U1016" s="43"/>
      <c r="V1016" s="42" t="str">
        <f>IF(Table1[[#This Row],[DATE]]=0,"",YEAR(E1016))</f>
        <v/>
      </c>
      <c r="W1016" s="40" t="str">
        <f t="shared" si="32"/>
        <v/>
      </c>
      <c r="X1016" s="40" t="str">
        <f t="shared" si="33"/>
        <v/>
      </c>
      <c r="Y1016" s="40" t="str">
        <f>TEXT(Table1[[#This Row],[YEAR]],"0000")&amp;"-"&amp;Table1[[#This Row],[MONTH]]</f>
        <v>-</v>
      </c>
    </row>
    <row r="1017" spans="1:25" ht="15" customHeight="1" x14ac:dyDescent="0.35">
      <c r="A1017" s="24"/>
      <c r="B1017" s="36"/>
      <c r="C1017" s="38"/>
      <c r="D1017" s="38"/>
      <c r="E1017" s="37"/>
      <c r="F1017" s="38"/>
      <c r="G1017" s="198"/>
      <c r="H1017" s="198"/>
      <c r="I1017" s="39"/>
      <c r="J1017" s="38"/>
      <c r="K1017" s="198"/>
      <c r="L1017" s="38"/>
      <c r="M1017" s="38"/>
      <c r="N1017" s="38"/>
      <c r="O1017" s="38"/>
      <c r="P1017" s="40" t="str" cm="1">
        <f t="array" ref="P1017">IF(N1017="","",IFERROR(_xlfn.XLOOKUP(F1017&amp;"|"&amp;J1017&amp;"|"&amp;O1017,PRICES!$C$2:$C$659&amp;"|"&amp;PRICES!$B$2:$B$659&amp;"|"&amp;PRICES!$D$2:$D$659,PRICES!$E$2:$E$659),"Not Found"))</f>
        <v/>
      </c>
      <c r="Q1017" s="100" t="str">
        <f>IF(N1017=0,"",SUMIFS(PRICES!$G$2:$G$658,PRICES!$B$2:$B$658,'MAIN TABLE-1 AUTOMATED'!J1017,PRICES!$C$2:$C$658,'MAIN TABLE-1 AUTOMATED'!F1017,PRICES!$D$2:$D$658,'MAIN TABLE-1 AUTOMATED'!O1017))</f>
        <v/>
      </c>
      <c r="R1017" s="41" t="str">
        <f>IF(Table1[[#This Row],[QUANTITY]]=0,"",Table1[[#This Row],[UNIT PRICE]]*Table1[[#This Row],[QUANTITY]])</f>
        <v/>
      </c>
      <c r="S1017" s="89"/>
      <c r="T1017" s="38"/>
      <c r="U1017" s="43"/>
      <c r="V1017" s="42" t="str">
        <f>IF(Table1[[#This Row],[DATE]]=0,"",YEAR(E1017))</f>
        <v/>
      </c>
      <c r="W1017" s="40" t="str">
        <f t="shared" si="32"/>
        <v/>
      </c>
      <c r="X1017" s="40" t="str">
        <f t="shared" si="33"/>
        <v/>
      </c>
      <c r="Y1017" s="40" t="str">
        <f>TEXT(Table1[[#This Row],[YEAR]],"0000")&amp;"-"&amp;Table1[[#This Row],[MONTH]]</f>
        <v>-</v>
      </c>
    </row>
    <row r="1018" spans="1:25" ht="15" customHeight="1" x14ac:dyDescent="0.35">
      <c r="A1018" s="24"/>
      <c r="B1018" s="36"/>
      <c r="C1018" s="38"/>
      <c r="D1018" s="38"/>
      <c r="E1018" s="37"/>
      <c r="F1018" s="38"/>
      <c r="G1018" s="198"/>
      <c r="H1018" s="198"/>
      <c r="I1018" s="39"/>
      <c r="J1018" s="38"/>
      <c r="K1018" s="198"/>
      <c r="L1018" s="38"/>
      <c r="M1018" s="38"/>
      <c r="N1018" s="38"/>
      <c r="O1018" s="38"/>
      <c r="P1018" s="40" t="str" cm="1">
        <f t="array" ref="P1018">IF(N1018="","",IFERROR(_xlfn.XLOOKUP(F1018&amp;"|"&amp;J1018&amp;"|"&amp;O1018,PRICES!$C$2:$C$659&amp;"|"&amp;PRICES!$B$2:$B$659&amp;"|"&amp;PRICES!$D$2:$D$659,PRICES!$E$2:$E$659),"Not Found"))</f>
        <v/>
      </c>
      <c r="Q1018" s="100" t="str">
        <f>IF(N1018=0,"",SUMIFS(PRICES!$G$2:$G$658,PRICES!$B$2:$B$658,'MAIN TABLE-1 AUTOMATED'!J1018,PRICES!$C$2:$C$658,'MAIN TABLE-1 AUTOMATED'!F1018,PRICES!$D$2:$D$658,'MAIN TABLE-1 AUTOMATED'!O1018))</f>
        <v/>
      </c>
      <c r="R1018" s="41" t="str">
        <f>IF(Table1[[#This Row],[QUANTITY]]=0,"",Table1[[#This Row],[UNIT PRICE]]*Table1[[#This Row],[QUANTITY]])</f>
        <v/>
      </c>
      <c r="S1018" s="89"/>
      <c r="T1018" s="38"/>
      <c r="U1018" s="43"/>
      <c r="V1018" s="42" t="str">
        <f>IF(Table1[[#This Row],[DATE]]=0,"",YEAR(E1018))</f>
        <v/>
      </c>
      <c r="W1018" s="40" t="str">
        <f t="shared" si="32"/>
        <v/>
      </c>
      <c r="X1018" s="40" t="str">
        <f t="shared" si="33"/>
        <v/>
      </c>
      <c r="Y1018" s="40" t="str">
        <f>TEXT(Table1[[#This Row],[YEAR]],"0000")&amp;"-"&amp;Table1[[#This Row],[MONTH]]</f>
        <v>-</v>
      </c>
    </row>
    <row r="1019" spans="1:25" ht="15" customHeight="1" x14ac:dyDescent="0.35">
      <c r="A1019" s="24"/>
      <c r="B1019" s="36"/>
      <c r="C1019" s="38"/>
      <c r="D1019" s="38"/>
      <c r="E1019" s="37"/>
      <c r="F1019" s="38"/>
      <c r="G1019" s="198"/>
      <c r="H1019" s="198"/>
      <c r="I1019" s="39"/>
      <c r="J1019" s="38"/>
      <c r="K1019" s="198"/>
      <c r="L1019" s="38"/>
      <c r="M1019" s="38"/>
      <c r="N1019" s="38"/>
      <c r="O1019" s="38"/>
      <c r="P1019" s="40" t="str" cm="1">
        <f t="array" ref="P1019">IF(N1019="","",IFERROR(_xlfn.XLOOKUP(F1019&amp;"|"&amp;J1019&amp;"|"&amp;O1019,PRICES!$C$2:$C$659&amp;"|"&amp;PRICES!$B$2:$B$659&amp;"|"&amp;PRICES!$D$2:$D$659,PRICES!$E$2:$E$659),"Not Found"))</f>
        <v/>
      </c>
      <c r="Q1019" s="100" t="str">
        <f>IF(N1019=0,"",SUMIFS(PRICES!$G$2:$G$658,PRICES!$B$2:$B$658,'MAIN TABLE-1 AUTOMATED'!J1019,PRICES!$C$2:$C$658,'MAIN TABLE-1 AUTOMATED'!F1019,PRICES!$D$2:$D$658,'MAIN TABLE-1 AUTOMATED'!O1019))</f>
        <v/>
      </c>
      <c r="R1019" s="41" t="str">
        <f>IF(Table1[[#This Row],[QUANTITY]]=0,"",Table1[[#This Row],[UNIT PRICE]]*Table1[[#This Row],[QUANTITY]])</f>
        <v/>
      </c>
      <c r="S1019" s="89"/>
      <c r="T1019" s="38"/>
      <c r="U1019" s="43"/>
      <c r="V1019" s="42" t="str">
        <f>IF(Table1[[#This Row],[DATE]]=0,"",YEAR(E1019))</f>
        <v/>
      </c>
      <c r="W1019" s="40" t="str">
        <f t="shared" si="32"/>
        <v/>
      </c>
      <c r="X1019" s="40" t="str">
        <f t="shared" si="33"/>
        <v/>
      </c>
      <c r="Y1019" s="40" t="str">
        <f>TEXT(Table1[[#This Row],[YEAR]],"0000")&amp;"-"&amp;Table1[[#This Row],[MONTH]]</f>
        <v>-</v>
      </c>
    </row>
    <row r="1020" spans="1:25" ht="15" customHeight="1" x14ac:dyDescent="0.35">
      <c r="A1020" s="24"/>
      <c r="B1020" s="36"/>
      <c r="C1020" s="38"/>
      <c r="D1020" s="38"/>
      <c r="E1020" s="37"/>
      <c r="F1020" s="38"/>
      <c r="G1020" s="198"/>
      <c r="H1020" s="198"/>
      <c r="I1020" s="39"/>
      <c r="J1020" s="38"/>
      <c r="K1020" s="198"/>
      <c r="L1020" s="38"/>
      <c r="M1020" s="38"/>
      <c r="N1020" s="38"/>
      <c r="O1020" s="38"/>
      <c r="P1020" s="40" t="str" cm="1">
        <f t="array" ref="P1020">IF(N1020="","",IFERROR(_xlfn.XLOOKUP(F1020&amp;"|"&amp;J1020&amp;"|"&amp;O1020,PRICES!$C$2:$C$659&amp;"|"&amp;PRICES!$B$2:$B$659&amp;"|"&amp;PRICES!$D$2:$D$659,PRICES!$E$2:$E$659),"Not Found"))</f>
        <v/>
      </c>
      <c r="Q1020" s="100" t="str">
        <f>IF(N1020=0,"",SUMIFS(PRICES!$G$2:$G$658,PRICES!$B$2:$B$658,'MAIN TABLE-1 AUTOMATED'!J1020,PRICES!$C$2:$C$658,'MAIN TABLE-1 AUTOMATED'!F1020,PRICES!$D$2:$D$658,'MAIN TABLE-1 AUTOMATED'!O1020))</f>
        <v/>
      </c>
      <c r="R1020" s="41" t="str">
        <f>IF(Table1[[#This Row],[QUANTITY]]=0,"",Table1[[#This Row],[UNIT PRICE]]*Table1[[#This Row],[QUANTITY]])</f>
        <v/>
      </c>
      <c r="S1020" s="89"/>
      <c r="T1020" s="38"/>
      <c r="U1020" s="43"/>
      <c r="V1020" s="42" t="str">
        <f>IF(Table1[[#This Row],[DATE]]=0,"",YEAR(E1020))</f>
        <v/>
      </c>
      <c r="W1020" s="40" t="str">
        <f t="shared" si="32"/>
        <v/>
      </c>
      <c r="X1020" s="40" t="str">
        <f t="shared" si="33"/>
        <v/>
      </c>
      <c r="Y1020" s="40" t="str">
        <f>TEXT(Table1[[#This Row],[YEAR]],"0000")&amp;"-"&amp;Table1[[#This Row],[MONTH]]</f>
        <v>-</v>
      </c>
    </row>
    <row r="1021" spans="1:25" ht="15" customHeight="1" x14ac:dyDescent="0.35">
      <c r="A1021" s="24"/>
      <c r="B1021" s="36"/>
      <c r="C1021" s="38"/>
      <c r="D1021" s="38"/>
      <c r="E1021" s="37"/>
      <c r="F1021" s="38"/>
      <c r="G1021" s="198"/>
      <c r="H1021" s="198"/>
      <c r="I1021" s="39"/>
      <c r="J1021" s="38"/>
      <c r="K1021" s="198"/>
      <c r="L1021" s="38"/>
      <c r="M1021" s="38"/>
      <c r="N1021" s="38"/>
      <c r="O1021" s="38"/>
      <c r="P1021" s="40" t="str" cm="1">
        <f t="array" ref="P1021">IF(N1021="","",IFERROR(_xlfn.XLOOKUP(F1021&amp;"|"&amp;J1021&amp;"|"&amp;O1021,PRICES!$C$2:$C$659&amp;"|"&amp;PRICES!$B$2:$B$659&amp;"|"&amp;PRICES!$D$2:$D$659,PRICES!$E$2:$E$659),"Not Found"))</f>
        <v/>
      </c>
      <c r="Q1021" s="100" t="str">
        <f>IF(N1021=0,"",SUMIFS(PRICES!$G$2:$G$658,PRICES!$B$2:$B$658,'MAIN TABLE-1 AUTOMATED'!J1021,PRICES!$C$2:$C$658,'MAIN TABLE-1 AUTOMATED'!F1021,PRICES!$D$2:$D$658,'MAIN TABLE-1 AUTOMATED'!O1021))</f>
        <v/>
      </c>
      <c r="R1021" s="41" t="str">
        <f>IF(Table1[[#This Row],[QUANTITY]]=0,"",Table1[[#This Row],[UNIT PRICE]]*Table1[[#This Row],[QUANTITY]])</f>
        <v/>
      </c>
      <c r="S1021" s="89"/>
      <c r="T1021" s="38"/>
      <c r="U1021" s="43"/>
      <c r="V1021" s="42" t="str">
        <f>IF(Table1[[#This Row],[DATE]]=0,"",YEAR(E1021))</f>
        <v/>
      </c>
      <c r="W1021" s="40" t="str">
        <f t="shared" si="32"/>
        <v/>
      </c>
      <c r="X1021" s="40" t="str">
        <f t="shared" si="33"/>
        <v/>
      </c>
      <c r="Y1021" s="40" t="str">
        <f>TEXT(Table1[[#This Row],[YEAR]],"0000")&amp;"-"&amp;Table1[[#This Row],[MONTH]]</f>
        <v>-</v>
      </c>
    </row>
    <row r="1022" spans="1:25" ht="15" customHeight="1" x14ac:dyDescent="0.35">
      <c r="A1022" s="24"/>
      <c r="B1022" s="36"/>
      <c r="C1022" s="38"/>
      <c r="D1022" s="38"/>
      <c r="E1022" s="37"/>
      <c r="F1022" s="38"/>
      <c r="G1022" s="198"/>
      <c r="H1022" s="198"/>
      <c r="I1022" s="39"/>
      <c r="J1022" s="38"/>
      <c r="K1022" s="198"/>
      <c r="L1022" s="38"/>
      <c r="M1022" s="38"/>
      <c r="N1022" s="38"/>
      <c r="O1022" s="38"/>
      <c r="P1022" s="40" t="str" cm="1">
        <f t="array" ref="P1022">IF(N1022="","",IFERROR(_xlfn.XLOOKUP(F1022&amp;"|"&amp;J1022&amp;"|"&amp;O1022,PRICES!$C$2:$C$659&amp;"|"&amp;PRICES!$B$2:$B$659&amp;"|"&amp;PRICES!$D$2:$D$659,PRICES!$E$2:$E$659),"Not Found"))</f>
        <v/>
      </c>
      <c r="Q1022" s="100" t="str">
        <f>IF(N1022=0,"",SUMIFS(PRICES!$G$2:$G$658,PRICES!$B$2:$B$658,'MAIN TABLE-1 AUTOMATED'!J1022,PRICES!$C$2:$C$658,'MAIN TABLE-1 AUTOMATED'!F1022,PRICES!$D$2:$D$658,'MAIN TABLE-1 AUTOMATED'!O1022))</f>
        <v/>
      </c>
      <c r="R1022" s="41" t="str">
        <f>IF(Table1[[#This Row],[QUANTITY]]=0,"",Table1[[#This Row],[UNIT PRICE]]*Table1[[#This Row],[QUANTITY]])</f>
        <v/>
      </c>
      <c r="S1022" s="89"/>
      <c r="T1022" s="38"/>
      <c r="U1022" s="43"/>
      <c r="V1022" s="42" t="str">
        <f>IF(Table1[[#This Row],[DATE]]=0,"",YEAR(E1022))</f>
        <v/>
      </c>
      <c r="W1022" s="40" t="str">
        <f t="shared" si="32"/>
        <v/>
      </c>
      <c r="X1022" s="40" t="str">
        <f t="shared" si="33"/>
        <v/>
      </c>
      <c r="Y1022" s="40" t="str">
        <f>TEXT(Table1[[#This Row],[YEAR]],"0000")&amp;"-"&amp;Table1[[#This Row],[MONTH]]</f>
        <v>-</v>
      </c>
    </row>
    <row r="1023" spans="1:25" ht="15" customHeight="1" x14ac:dyDescent="0.35">
      <c r="A1023" s="24"/>
      <c r="B1023" s="36"/>
      <c r="C1023" s="38"/>
      <c r="D1023" s="38"/>
      <c r="E1023" s="37"/>
      <c r="F1023" s="38"/>
      <c r="G1023" s="198"/>
      <c r="H1023" s="198"/>
      <c r="I1023" s="39"/>
      <c r="J1023" s="38"/>
      <c r="K1023" s="198"/>
      <c r="L1023" s="38"/>
      <c r="M1023" s="38"/>
      <c r="N1023" s="38"/>
      <c r="O1023" s="38"/>
      <c r="P1023" s="40" t="str" cm="1">
        <f t="array" ref="P1023">IF(N1023="","",IFERROR(_xlfn.XLOOKUP(F1023&amp;"|"&amp;J1023&amp;"|"&amp;O1023,PRICES!$C$2:$C$659&amp;"|"&amp;PRICES!$B$2:$B$659&amp;"|"&amp;PRICES!$D$2:$D$659,PRICES!$E$2:$E$659),"Not Found"))</f>
        <v/>
      </c>
      <c r="Q1023" s="100" t="str">
        <f>IF(N1023=0,"",SUMIFS(PRICES!$G$2:$G$658,PRICES!$B$2:$B$658,'MAIN TABLE-1 AUTOMATED'!J1023,PRICES!$C$2:$C$658,'MAIN TABLE-1 AUTOMATED'!F1023,PRICES!$D$2:$D$658,'MAIN TABLE-1 AUTOMATED'!O1023))</f>
        <v/>
      </c>
      <c r="R1023" s="41" t="str">
        <f>IF(Table1[[#This Row],[QUANTITY]]=0,"",Table1[[#This Row],[UNIT PRICE]]*Table1[[#This Row],[QUANTITY]])</f>
        <v/>
      </c>
      <c r="S1023" s="89"/>
      <c r="T1023" s="38"/>
      <c r="U1023" s="43"/>
      <c r="V1023" s="42" t="str">
        <f>IF(Table1[[#This Row],[DATE]]=0,"",YEAR(E1023))</f>
        <v/>
      </c>
      <c r="W1023" s="40" t="str">
        <f t="shared" si="32"/>
        <v/>
      </c>
      <c r="X1023" s="40" t="str">
        <f t="shared" si="33"/>
        <v/>
      </c>
      <c r="Y1023" s="40" t="str">
        <f>TEXT(Table1[[#This Row],[YEAR]],"0000")&amp;"-"&amp;Table1[[#This Row],[MONTH]]</f>
        <v>-</v>
      </c>
    </row>
    <row r="1024" spans="1:25" ht="15" customHeight="1" x14ac:dyDescent="0.35">
      <c r="A1024" s="24"/>
      <c r="B1024" s="36"/>
      <c r="C1024" s="38"/>
      <c r="D1024" s="38"/>
      <c r="E1024" s="37"/>
      <c r="F1024" s="38"/>
      <c r="G1024" s="198"/>
      <c r="H1024" s="198"/>
      <c r="I1024" s="39"/>
      <c r="J1024" s="38"/>
      <c r="K1024" s="199"/>
      <c r="L1024" s="38"/>
      <c r="M1024" s="38"/>
      <c r="N1024" s="38"/>
      <c r="O1024" s="38"/>
      <c r="P1024" s="40" t="str" cm="1">
        <f t="array" ref="P1024">IF(N1024="","",IFERROR(_xlfn.XLOOKUP(F1024&amp;"|"&amp;J1024&amp;"|"&amp;O1024,PRICES!$C$2:$C$659&amp;"|"&amp;PRICES!$B$2:$B$659&amp;"|"&amp;PRICES!$D$2:$D$659,PRICES!$E$2:$E$659),"Not Found"))</f>
        <v/>
      </c>
      <c r="Q1024" s="100" t="str">
        <f>IF(N1024=0,"",SUMIFS(PRICES!$G$2:$G$658,PRICES!$B$2:$B$658,'MAIN TABLE-1 AUTOMATED'!J1024,PRICES!$C$2:$C$658,'MAIN TABLE-1 AUTOMATED'!F1024,PRICES!$D$2:$D$658,'MAIN TABLE-1 AUTOMATED'!O1024))</f>
        <v/>
      </c>
      <c r="R1024" s="41" t="str">
        <f>IF(Table1[[#This Row],[QUANTITY]]=0,"",Table1[[#This Row],[UNIT PRICE]]*Table1[[#This Row],[QUANTITY]])</f>
        <v/>
      </c>
      <c r="S1024" s="89"/>
      <c r="T1024" s="38"/>
      <c r="U1024" s="43"/>
      <c r="V1024" s="42" t="str">
        <f>IF(Table1[[#This Row],[DATE]]=0,"",YEAR(E1024))</f>
        <v/>
      </c>
      <c r="W1024" s="40" t="str">
        <f t="shared" si="32"/>
        <v/>
      </c>
      <c r="X1024" s="40" t="str">
        <f t="shared" si="33"/>
        <v/>
      </c>
      <c r="Y1024" s="40" t="str">
        <f>TEXT(Table1[[#This Row],[YEAR]],"0000")&amp;"-"&amp;Table1[[#This Row],[MONTH]]</f>
        <v>-</v>
      </c>
    </row>
    <row r="1025" spans="1:25" ht="15" customHeight="1" x14ac:dyDescent="0.35">
      <c r="A1025" s="24"/>
      <c r="B1025" s="38"/>
      <c r="C1025" s="38"/>
      <c r="D1025" s="38"/>
      <c r="E1025" s="37"/>
      <c r="F1025" s="38"/>
      <c r="G1025" s="198"/>
      <c r="H1025" s="198"/>
      <c r="I1025" s="39"/>
      <c r="J1025" s="38"/>
      <c r="K1025" s="198"/>
      <c r="L1025" s="38"/>
      <c r="M1025" s="38"/>
      <c r="N1025" s="38"/>
      <c r="O1025" s="38"/>
      <c r="P1025" s="40" t="str" cm="1">
        <f t="array" ref="P1025">IF(N1025="","",IFERROR(_xlfn.XLOOKUP(F1025&amp;"|"&amp;J1025&amp;"|"&amp;O1025,PRICES!$C$2:$C$659&amp;"|"&amp;PRICES!$B$2:$B$659&amp;"|"&amp;PRICES!$D$2:$D$659,PRICES!$E$2:$E$659),"Not Found"))</f>
        <v/>
      </c>
      <c r="Q1025" s="100" t="str">
        <f>IF(N1025=0,"",SUMIFS(PRICES!$G$2:$G$658,PRICES!$B$2:$B$658,'MAIN TABLE-1 AUTOMATED'!J1025,PRICES!$C$2:$C$658,'MAIN TABLE-1 AUTOMATED'!F1025,PRICES!$D$2:$D$658,'MAIN TABLE-1 AUTOMATED'!O1025))</f>
        <v/>
      </c>
      <c r="R1025" s="41" t="str">
        <f>IF(Table1[[#This Row],[QUANTITY]]=0,"",Table1[[#This Row],[UNIT PRICE]]*Table1[[#This Row],[QUANTITY]])</f>
        <v/>
      </c>
      <c r="S1025" s="89"/>
      <c r="T1025" s="38"/>
      <c r="U1025" s="43"/>
      <c r="V1025" s="42" t="str">
        <f>IF(Table1[[#This Row],[DATE]]=0,"",YEAR(E1025))</f>
        <v/>
      </c>
      <c r="W1025" s="40" t="str">
        <f t="shared" si="32"/>
        <v/>
      </c>
      <c r="X1025" s="40" t="str">
        <f t="shared" si="33"/>
        <v/>
      </c>
      <c r="Y1025" s="40" t="str">
        <f>TEXT(Table1[[#This Row],[YEAR]],"0000")&amp;"-"&amp;Table1[[#This Row],[MONTH]]</f>
        <v>-</v>
      </c>
    </row>
    <row r="1026" spans="1:25" ht="15" customHeight="1" x14ac:dyDescent="0.35">
      <c r="A1026" s="24"/>
      <c r="B1026" s="38"/>
      <c r="C1026" s="38"/>
      <c r="D1026" s="38"/>
      <c r="E1026" s="37"/>
      <c r="F1026" s="38"/>
      <c r="G1026" s="198"/>
      <c r="H1026" s="198"/>
      <c r="I1026" s="39"/>
      <c r="J1026" s="38"/>
      <c r="K1026" s="198"/>
      <c r="L1026" s="38"/>
      <c r="M1026" s="38"/>
      <c r="N1026" s="38"/>
      <c r="O1026" s="38"/>
      <c r="P1026" s="40" t="str" cm="1">
        <f t="array" ref="P1026">IF(N1026="","",IFERROR(_xlfn.XLOOKUP(F1026&amp;"|"&amp;J1026&amp;"|"&amp;O1026,PRICES!$C$2:$C$659&amp;"|"&amp;PRICES!$B$2:$B$659&amp;"|"&amp;PRICES!$D$2:$D$659,PRICES!$E$2:$E$659),"Not Found"))</f>
        <v/>
      </c>
      <c r="Q1026" s="100" t="str">
        <f>IF(N1026=0,"",SUMIFS(PRICES!$G$2:$G$658,PRICES!$B$2:$B$658,'MAIN TABLE-1 AUTOMATED'!J1026,PRICES!$C$2:$C$658,'MAIN TABLE-1 AUTOMATED'!F1026,PRICES!$D$2:$D$658,'MAIN TABLE-1 AUTOMATED'!O1026))</f>
        <v/>
      </c>
      <c r="R1026" s="41" t="str">
        <f>IF(Table1[[#This Row],[QUANTITY]]=0,"",Table1[[#This Row],[UNIT PRICE]]*Table1[[#This Row],[QUANTITY]])</f>
        <v/>
      </c>
      <c r="S1026" s="89"/>
      <c r="T1026" s="38"/>
      <c r="U1026" s="43"/>
      <c r="V1026" s="42" t="str">
        <f>IF(Table1[[#This Row],[DATE]]=0,"",YEAR(E1026))</f>
        <v/>
      </c>
      <c r="W1026" s="40" t="str">
        <f t="shared" si="32"/>
        <v/>
      </c>
      <c r="X1026" s="40" t="str">
        <f t="shared" si="33"/>
        <v/>
      </c>
      <c r="Y1026" s="40" t="str">
        <f>TEXT(Table1[[#This Row],[YEAR]],"0000")&amp;"-"&amp;Table1[[#This Row],[MONTH]]</f>
        <v>-</v>
      </c>
    </row>
    <row r="1027" spans="1:25" ht="15" customHeight="1" x14ac:dyDescent="0.35">
      <c r="A1027" s="24"/>
      <c r="B1027" s="38"/>
      <c r="C1027" s="38"/>
      <c r="D1027" s="38"/>
      <c r="E1027" s="37"/>
      <c r="F1027" s="38"/>
      <c r="G1027" s="198"/>
      <c r="H1027" s="198"/>
      <c r="I1027" s="39"/>
      <c r="J1027" s="38"/>
      <c r="K1027" s="198"/>
      <c r="L1027" s="38"/>
      <c r="M1027" s="38"/>
      <c r="N1027" s="38"/>
      <c r="O1027" s="38"/>
      <c r="P1027" s="40" t="str" cm="1">
        <f t="array" ref="P1027">IF(N1027="","",IFERROR(_xlfn.XLOOKUP(F1027&amp;"|"&amp;J1027&amp;"|"&amp;O1027,PRICES!$C$2:$C$659&amp;"|"&amp;PRICES!$B$2:$B$659&amp;"|"&amp;PRICES!$D$2:$D$659,PRICES!$E$2:$E$659),"Not Found"))</f>
        <v/>
      </c>
      <c r="Q1027" s="100" t="str">
        <f>IF(N1027=0,"",SUMIFS(PRICES!$G$2:$G$658,PRICES!$B$2:$B$658,'MAIN TABLE-1 AUTOMATED'!J1027,PRICES!$C$2:$C$658,'MAIN TABLE-1 AUTOMATED'!F1027,PRICES!$D$2:$D$658,'MAIN TABLE-1 AUTOMATED'!O1027))</f>
        <v/>
      </c>
      <c r="R1027" s="41" t="str">
        <f>IF(Table1[[#This Row],[QUANTITY]]=0,"",Table1[[#This Row],[UNIT PRICE]]*Table1[[#This Row],[QUANTITY]])</f>
        <v/>
      </c>
      <c r="S1027" s="89"/>
      <c r="T1027" s="38"/>
      <c r="U1027" s="43"/>
      <c r="V1027" s="42" t="str">
        <f>IF(Table1[[#This Row],[DATE]]=0,"",YEAR(E1027))</f>
        <v/>
      </c>
      <c r="W1027" s="40" t="str">
        <f t="shared" si="32"/>
        <v/>
      </c>
      <c r="X1027" s="40" t="str">
        <f t="shared" si="33"/>
        <v/>
      </c>
      <c r="Y1027" s="40" t="str">
        <f>TEXT(Table1[[#This Row],[YEAR]],"0000")&amp;"-"&amp;Table1[[#This Row],[MONTH]]</f>
        <v>-</v>
      </c>
    </row>
    <row r="1028" spans="1:25" ht="15" customHeight="1" x14ac:dyDescent="0.35">
      <c r="A1028" s="24"/>
      <c r="B1028" s="38"/>
      <c r="C1028" s="38"/>
      <c r="D1028" s="38"/>
      <c r="E1028" s="37"/>
      <c r="F1028" s="38"/>
      <c r="G1028" s="198"/>
      <c r="H1028" s="198"/>
      <c r="I1028" s="39"/>
      <c r="J1028" s="38"/>
      <c r="K1028" s="198"/>
      <c r="L1028" s="38"/>
      <c r="M1028" s="38"/>
      <c r="N1028" s="38"/>
      <c r="O1028" s="38"/>
      <c r="P1028" s="40" t="str" cm="1">
        <f t="array" ref="P1028">IF(N1028="","",IFERROR(_xlfn.XLOOKUP(F1028&amp;"|"&amp;J1028&amp;"|"&amp;O1028,PRICES!$C$2:$C$659&amp;"|"&amp;PRICES!$B$2:$B$659&amp;"|"&amp;PRICES!$D$2:$D$659,PRICES!$E$2:$E$659),"Not Found"))</f>
        <v/>
      </c>
      <c r="Q1028" s="100" t="str">
        <f>IF(N1028=0,"",SUMIFS(PRICES!$G$2:$G$658,PRICES!$B$2:$B$658,'MAIN TABLE-1 AUTOMATED'!J1028,PRICES!$C$2:$C$658,'MAIN TABLE-1 AUTOMATED'!F1028,PRICES!$D$2:$D$658,'MAIN TABLE-1 AUTOMATED'!O1028))</f>
        <v/>
      </c>
      <c r="R1028" s="41" t="str">
        <f>IF(Table1[[#This Row],[QUANTITY]]=0,"",Table1[[#This Row],[UNIT PRICE]]*Table1[[#This Row],[QUANTITY]])</f>
        <v/>
      </c>
      <c r="S1028" s="89"/>
      <c r="T1028" s="38"/>
      <c r="U1028" s="43"/>
      <c r="V1028" s="42" t="str">
        <f>IF(Table1[[#This Row],[DATE]]=0,"",YEAR(E1028))</f>
        <v/>
      </c>
      <c r="W1028" s="40" t="str">
        <f t="shared" si="32"/>
        <v/>
      </c>
      <c r="X1028" s="40" t="str">
        <f t="shared" si="33"/>
        <v/>
      </c>
      <c r="Y1028" s="40" t="str">
        <f>TEXT(Table1[[#This Row],[YEAR]],"0000")&amp;"-"&amp;Table1[[#This Row],[MONTH]]</f>
        <v>-</v>
      </c>
    </row>
    <row r="1029" spans="1:25" ht="15" customHeight="1" x14ac:dyDescent="0.35">
      <c r="A1029" s="24"/>
      <c r="B1029" s="38"/>
      <c r="C1029" s="38"/>
      <c r="D1029" s="38"/>
      <c r="E1029" s="37"/>
      <c r="F1029" s="38"/>
      <c r="G1029" s="198"/>
      <c r="H1029" s="198"/>
      <c r="I1029" s="39"/>
      <c r="J1029" s="38"/>
      <c r="K1029" s="198"/>
      <c r="L1029" s="38"/>
      <c r="M1029" s="38"/>
      <c r="N1029" s="38"/>
      <c r="O1029" s="38"/>
      <c r="P1029" s="40" t="str" cm="1">
        <f t="array" ref="P1029">IF(N1029="","",IFERROR(_xlfn.XLOOKUP(F1029&amp;"|"&amp;J1029&amp;"|"&amp;O1029,PRICES!$C$2:$C$659&amp;"|"&amp;PRICES!$B$2:$B$659&amp;"|"&amp;PRICES!$D$2:$D$659,PRICES!$E$2:$E$659),"Not Found"))</f>
        <v/>
      </c>
      <c r="Q1029" s="100" t="str">
        <f>IF(N1029=0,"",SUMIFS(PRICES!$G$2:$G$658,PRICES!$B$2:$B$658,'MAIN TABLE-1 AUTOMATED'!J1029,PRICES!$C$2:$C$658,'MAIN TABLE-1 AUTOMATED'!F1029,PRICES!$D$2:$D$658,'MAIN TABLE-1 AUTOMATED'!O1029))</f>
        <v/>
      </c>
      <c r="R1029" s="41" t="str">
        <f>IF(Table1[[#This Row],[QUANTITY]]=0,"",Table1[[#This Row],[UNIT PRICE]]*Table1[[#This Row],[QUANTITY]])</f>
        <v/>
      </c>
      <c r="S1029" s="89"/>
      <c r="T1029" s="38"/>
      <c r="U1029" s="43"/>
      <c r="V1029" s="42" t="str">
        <f>IF(Table1[[#This Row],[DATE]]=0,"",YEAR(E1029))</f>
        <v/>
      </c>
      <c r="W1029" s="40" t="str">
        <f t="shared" si="32"/>
        <v/>
      </c>
      <c r="X1029" s="40" t="str">
        <f t="shared" si="33"/>
        <v/>
      </c>
      <c r="Y1029" s="40" t="str">
        <f>TEXT(Table1[[#This Row],[YEAR]],"0000")&amp;"-"&amp;Table1[[#This Row],[MONTH]]</f>
        <v>-</v>
      </c>
    </row>
    <row r="1030" spans="1:25" ht="15" customHeight="1" x14ac:dyDescent="0.35">
      <c r="A1030" s="24"/>
      <c r="B1030" s="38"/>
      <c r="C1030" s="38"/>
      <c r="D1030" s="38"/>
      <c r="E1030" s="37"/>
      <c r="F1030" s="38"/>
      <c r="G1030" s="198"/>
      <c r="H1030" s="198"/>
      <c r="I1030" s="39"/>
      <c r="J1030" s="38"/>
      <c r="K1030" s="198"/>
      <c r="L1030" s="38"/>
      <c r="M1030" s="38"/>
      <c r="N1030" s="38"/>
      <c r="O1030" s="38"/>
      <c r="P1030" s="40" t="str" cm="1">
        <f t="array" ref="P1030">IF(N1030="","",IFERROR(_xlfn.XLOOKUP(F1030&amp;"|"&amp;J1030&amp;"|"&amp;O1030,PRICES!$C$2:$C$659&amp;"|"&amp;PRICES!$B$2:$B$659&amp;"|"&amp;PRICES!$D$2:$D$659,PRICES!$E$2:$E$659),"Not Found"))</f>
        <v/>
      </c>
      <c r="Q1030" s="100" t="str">
        <f>IF(N1030=0,"",SUMIFS(PRICES!$G$2:$G$658,PRICES!$B$2:$B$658,'MAIN TABLE-1 AUTOMATED'!J1030,PRICES!$C$2:$C$658,'MAIN TABLE-1 AUTOMATED'!F1030,PRICES!$D$2:$D$658,'MAIN TABLE-1 AUTOMATED'!O1030))</f>
        <v/>
      </c>
      <c r="R1030" s="41" t="str">
        <f>IF(Table1[[#This Row],[QUANTITY]]=0,"",Table1[[#This Row],[UNIT PRICE]]*Table1[[#This Row],[QUANTITY]])</f>
        <v/>
      </c>
      <c r="S1030" s="89"/>
      <c r="T1030" s="38"/>
      <c r="U1030" s="43"/>
      <c r="V1030" s="42" t="str">
        <f>IF(Table1[[#This Row],[DATE]]=0,"",YEAR(E1030))</f>
        <v/>
      </c>
      <c r="W1030" s="40" t="str">
        <f t="shared" si="32"/>
        <v/>
      </c>
      <c r="X1030" s="40" t="str">
        <f t="shared" si="33"/>
        <v/>
      </c>
      <c r="Y1030" s="40" t="str">
        <f>TEXT(Table1[[#This Row],[YEAR]],"0000")&amp;"-"&amp;Table1[[#This Row],[MONTH]]</f>
        <v>-</v>
      </c>
    </row>
    <row r="1031" spans="1:25" ht="15" customHeight="1" x14ac:dyDescent="0.35">
      <c r="A1031" s="24"/>
      <c r="B1031" s="38"/>
      <c r="C1031" s="38"/>
      <c r="D1031" s="38"/>
      <c r="E1031" s="37"/>
      <c r="F1031" s="38"/>
      <c r="G1031" s="198"/>
      <c r="H1031" s="198"/>
      <c r="I1031" s="39"/>
      <c r="J1031" s="38"/>
      <c r="K1031" s="198"/>
      <c r="L1031" s="38"/>
      <c r="M1031" s="38"/>
      <c r="N1031" s="38"/>
      <c r="O1031" s="38"/>
      <c r="P1031" s="40" t="str" cm="1">
        <f t="array" ref="P1031">IF(N1031="","",IFERROR(_xlfn.XLOOKUP(F1031&amp;"|"&amp;J1031&amp;"|"&amp;O1031,PRICES!$C$2:$C$659&amp;"|"&amp;PRICES!$B$2:$B$659&amp;"|"&amp;PRICES!$D$2:$D$659,PRICES!$E$2:$E$659),"Not Found"))</f>
        <v/>
      </c>
      <c r="Q1031" s="100" t="str">
        <f>IF(N1031=0,"",SUMIFS(PRICES!$G$2:$G$658,PRICES!$B$2:$B$658,'MAIN TABLE-1 AUTOMATED'!J1031,PRICES!$C$2:$C$658,'MAIN TABLE-1 AUTOMATED'!F1031,PRICES!$D$2:$D$658,'MAIN TABLE-1 AUTOMATED'!O1031))</f>
        <v/>
      </c>
      <c r="R1031" s="41" t="str">
        <f>IF(Table1[[#This Row],[QUANTITY]]=0,"",Table1[[#This Row],[UNIT PRICE]]*Table1[[#This Row],[QUANTITY]])</f>
        <v/>
      </c>
      <c r="S1031" s="89"/>
      <c r="T1031" s="38"/>
      <c r="U1031" s="43"/>
      <c r="V1031" s="42" t="str">
        <f>IF(Table1[[#This Row],[DATE]]=0,"",YEAR(E1031))</f>
        <v/>
      </c>
      <c r="W1031" s="40" t="str">
        <f t="shared" si="32"/>
        <v/>
      </c>
      <c r="X1031" s="40" t="str">
        <f t="shared" si="33"/>
        <v/>
      </c>
      <c r="Y1031" s="40" t="str">
        <f>TEXT(Table1[[#This Row],[YEAR]],"0000")&amp;"-"&amp;Table1[[#This Row],[MONTH]]</f>
        <v>-</v>
      </c>
    </row>
    <row r="1032" spans="1:25" ht="15" customHeight="1" x14ac:dyDescent="0.35">
      <c r="A1032" s="24"/>
      <c r="B1032" s="36"/>
      <c r="C1032" s="38"/>
      <c r="D1032" s="38"/>
      <c r="E1032" s="37"/>
      <c r="F1032" s="38"/>
      <c r="G1032" s="198"/>
      <c r="H1032" s="198"/>
      <c r="I1032" s="39"/>
      <c r="J1032" s="38"/>
      <c r="K1032" s="198"/>
      <c r="L1032" s="38"/>
      <c r="M1032" s="38"/>
      <c r="N1032" s="38"/>
      <c r="O1032" s="38"/>
      <c r="P1032" s="40" t="str" cm="1">
        <f t="array" ref="P1032">IF(N1032="","",IFERROR(_xlfn.XLOOKUP(F1032&amp;"|"&amp;J1032&amp;"|"&amp;O1032,PRICES!$C$2:$C$659&amp;"|"&amp;PRICES!$B$2:$B$659&amp;"|"&amp;PRICES!$D$2:$D$659,PRICES!$E$2:$E$659),"Not Found"))</f>
        <v/>
      </c>
      <c r="Q1032" s="100" t="str">
        <f>IF(N1032=0,"",SUMIFS(PRICES!$G$2:$G$658,PRICES!$B$2:$B$658,'MAIN TABLE-1 AUTOMATED'!J1032,PRICES!$C$2:$C$658,'MAIN TABLE-1 AUTOMATED'!F1032,PRICES!$D$2:$D$658,'MAIN TABLE-1 AUTOMATED'!O1032))</f>
        <v/>
      </c>
      <c r="R1032" s="41" t="str">
        <f>IF(Table1[[#This Row],[QUANTITY]]=0,"",Table1[[#This Row],[UNIT PRICE]]*Table1[[#This Row],[QUANTITY]])</f>
        <v/>
      </c>
      <c r="S1032" s="89"/>
      <c r="T1032" s="38"/>
      <c r="U1032" s="43"/>
      <c r="V1032" s="42" t="str">
        <f>IF(Table1[[#This Row],[DATE]]=0,"",YEAR(E1032))</f>
        <v/>
      </c>
      <c r="W1032" s="40" t="str">
        <f t="shared" si="32"/>
        <v/>
      </c>
      <c r="X1032" s="40" t="str">
        <f t="shared" si="33"/>
        <v/>
      </c>
      <c r="Y1032" s="40" t="str">
        <f>TEXT(Table1[[#This Row],[YEAR]],"0000")&amp;"-"&amp;Table1[[#This Row],[MONTH]]</f>
        <v>-</v>
      </c>
    </row>
    <row r="1033" spans="1:25" ht="15" customHeight="1" x14ac:dyDescent="0.35">
      <c r="A1033" s="24"/>
      <c r="B1033" s="36"/>
      <c r="C1033" s="38"/>
      <c r="D1033" s="38"/>
      <c r="E1033" s="37"/>
      <c r="F1033" s="38"/>
      <c r="G1033" s="198"/>
      <c r="H1033" s="198"/>
      <c r="I1033" s="39"/>
      <c r="J1033" s="38"/>
      <c r="K1033" s="198"/>
      <c r="L1033" s="38"/>
      <c r="M1033" s="38"/>
      <c r="N1033" s="38"/>
      <c r="O1033" s="38"/>
      <c r="P1033" s="40" t="str" cm="1">
        <f t="array" ref="P1033">IF(N1033="","",IFERROR(_xlfn.XLOOKUP(F1033&amp;"|"&amp;J1033&amp;"|"&amp;O1033,PRICES!$C$2:$C$659&amp;"|"&amp;PRICES!$B$2:$B$659&amp;"|"&amp;PRICES!$D$2:$D$659,PRICES!$E$2:$E$659),"Not Found"))</f>
        <v/>
      </c>
      <c r="Q1033" s="100" t="str">
        <f>IF(N1033=0,"",SUMIFS(PRICES!$G$2:$G$658,PRICES!$B$2:$B$658,'MAIN TABLE-1 AUTOMATED'!J1033,PRICES!$C$2:$C$658,'MAIN TABLE-1 AUTOMATED'!F1033,PRICES!$D$2:$D$658,'MAIN TABLE-1 AUTOMATED'!O1033))</f>
        <v/>
      </c>
      <c r="R1033" s="41" t="str">
        <f>IF(Table1[[#This Row],[QUANTITY]]=0,"",Table1[[#This Row],[UNIT PRICE]]*Table1[[#This Row],[QUANTITY]])</f>
        <v/>
      </c>
      <c r="S1033" s="89"/>
      <c r="T1033" s="38"/>
      <c r="U1033" s="43"/>
      <c r="V1033" s="42" t="str">
        <f>IF(Table1[[#This Row],[DATE]]=0,"",YEAR(E1033))</f>
        <v/>
      </c>
      <c r="W1033" s="40" t="str">
        <f t="shared" si="32"/>
        <v/>
      </c>
      <c r="X1033" s="40" t="str">
        <f t="shared" si="33"/>
        <v/>
      </c>
      <c r="Y1033" s="40" t="str">
        <f>TEXT(Table1[[#This Row],[YEAR]],"0000")&amp;"-"&amp;Table1[[#This Row],[MONTH]]</f>
        <v>-</v>
      </c>
    </row>
    <row r="1034" spans="1:25" ht="15" customHeight="1" x14ac:dyDescent="0.35">
      <c r="A1034" s="24"/>
      <c r="B1034" s="36"/>
      <c r="C1034" s="38"/>
      <c r="D1034" s="38"/>
      <c r="E1034" s="37"/>
      <c r="F1034" s="38"/>
      <c r="G1034" s="198"/>
      <c r="H1034" s="198"/>
      <c r="I1034" s="39"/>
      <c r="J1034" s="38"/>
      <c r="K1034" s="198"/>
      <c r="L1034" s="38"/>
      <c r="M1034" s="38"/>
      <c r="N1034" s="38"/>
      <c r="O1034" s="38"/>
      <c r="P1034" s="40" t="str" cm="1">
        <f t="array" ref="P1034">IF(N1034="","",IFERROR(_xlfn.XLOOKUP(F1034&amp;"|"&amp;J1034&amp;"|"&amp;O1034,PRICES!$C$2:$C$659&amp;"|"&amp;PRICES!$B$2:$B$659&amp;"|"&amp;PRICES!$D$2:$D$659,PRICES!$E$2:$E$659),"Not Found"))</f>
        <v/>
      </c>
      <c r="Q1034" s="100" t="str">
        <f>IF(N1034=0,"",SUMIFS(PRICES!$G$2:$G$658,PRICES!$B$2:$B$658,'MAIN TABLE-1 AUTOMATED'!J1034,PRICES!$C$2:$C$658,'MAIN TABLE-1 AUTOMATED'!F1034,PRICES!$D$2:$D$658,'MAIN TABLE-1 AUTOMATED'!O1034))</f>
        <v/>
      </c>
      <c r="R1034" s="41" t="str">
        <f>IF(Table1[[#This Row],[QUANTITY]]=0,"",Table1[[#This Row],[UNIT PRICE]]*Table1[[#This Row],[QUANTITY]])</f>
        <v/>
      </c>
      <c r="S1034" s="89"/>
      <c r="T1034" s="38"/>
      <c r="U1034" s="43"/>
      <c r="V1034" s="42" t="str">
        <f>IF(Table1[[#This Row],[DATE]]=0,"",YEAR(E1034))</f>
        <v/>
      </c>
      <c r="W1034" s="40" t="str">
        <f t="shared" si="32"/>
        <v/>
      </c>
      <c r="X1034" s="40" t="str">
        <f t="shared" si="33"/>
        <v/>
      </c>
      <c r="Y1034" s="40" t="str">
        <f>TEXT(Table1[[#This Row],[YEAR]],"0000")&amp;"-"&amp;Table1[[#This Row],[MONTH]]</f>
        <v>-</v>
      </c>
    </row>
    <row r="1035" spans="1:25" ht="15" customHeight="1" x14ac:dyDescent="0.35">
      <c r="A1035" s="24"/>
      <c r="B1035" s="38"/>
      <c r="C1035" s="38"/>
      <c r="D1035" s="38"/>
      <c r="E1035" s="37"/>
      <c r="F1035" s="38"/>
      <c r="G1035" s="198"/>
      <c r="H1035" s="198"/>
      <c r="I1035" s="39"/>
      <c r="J1035" s="38"/>
      <c r="K1035" s="198"/>
      <c r="L1035" s="38"/>
      <c r="M1035" s="38"/>
      <c r="N1035" s="38"/>
      <c r="O1035" s="38"/>
      <c r="P1035" s="40" t="str" cm="1">
        <f t="array" ref="P1035">IF(N1035="","",IFERROR(_xlfn.XLOOKUP(F1035&amp;"|"&amp;J1035&amp;"|"&amp;O1035,PRICES!$C$2:$C$659&amp;"|"&amp;PRICES!$B$2:$B$659&amp;"|"&amp;PRICES!$D$2:$D$659,PRICES!$E$2:$E$659),"Not Found"))</f>
        <v/>
      </c>
      <c r="Q1035" s="100" t="str">
        <f>IF(N1035=0,"",SUMIFS(PRICES!$G$2:$G$658,PRICES!$B$2:$B$658,'MAIN TABLE-1 AUTOMATED'!J1035,PRICES!$C$2:$C$658,'MAIN TABLE-1 AUTOMATED'!F1035,PRICES!$D$2:$D$658,'MAIN TABLE-1 AUTOMATED'!O1035))</f>
        <v/>
      </c>
      <c r="R1035" s="41" t="str">
        <f>IF(Table1[[#This Row],[QUANTITY]]=0,"",Table1[[#This Row],[UNIT PRICE]]*Table1[[#This Row],[QUANTITY]])</f>
        <v/>
      </c>
      <c r="S1035" s="89"/>
      <c r="T1035" s="38"/>
      <c r="U1035" s="43"/>
      <c r="V1035" s="42" t="str">
        <f>IF(Table1[[#This Row],[DATE]]=0,"",YEAR(E1035))</f>
        <v/>
      </c>
      <c r="W1035" s="40" t="str">
        <f t="shared" si="32"/>
        <v/>
      </c>
      <c r="X1035" s="40" t="str">
        <f t="shared" si="33"/>
        <v/>
      </c>
      <c r="Y1035" s="40" t="str">
        <f>TEXT(Table1[[#This Row],[YEAR]],"0000")&amp;"-"&amp;Table1[[#This Row],[MONTH]]</f>
        <v>-</v>
      </c>
    </row>
    <row r="1036" spans="1:25" ht="15" customHeight="1" x14ac:dyDescent="0.35">
      <c r="A1036" s="24"/>
      <c r="B1036" s="38"/>
      <c r="C1036" s="38"/>
      <c r="D1036" s="38"/>
      <c r="E1036" s="37"/>
      <c r="F1036" s="38"/>
      <c r="G1036" s="198"/>
      <c r="H1036" s="198"/>
      <c r="I1036" s="39"/>
      <c r="J1036" s="38"/>
      <c r="K1036" s="198"/>
      <c r="L1036" s="38"/>
      <c r="M1036" s="38"/>
      <c r="N1036" s="38"/>
      <c r="O1036" s="38"/>
      <c r="P1036" s="40" t="str" cm="1">
        <f t="array" ref="P1036">IF(N1036="","",IFERROR(_xlfn.XLOOKUP(F1036&amp;"|"&amp;J1036&amp;"|"&amp;O1036,PRICES!$C$2:$C$659&amp;"|"&amp;PRICES!$B$2:$B$659&amp;"|"&amp;PRICES!$D$2:$D$659,PRICES!$E$2:$E$659),"Not Found"))</f>
        <v/>
      </c>
      <c r="Q1036" s="100" t="str">
        <f>IF(N1036=0,"",SUMIFS(PRICES!$G$2:$G$658,PRICES!$B$2:$B$658,'MAIN TABLE-1 AUTOMATED'!J1036,PRICES!$C$2:$C$658,'MAIN TABLE-1 AUTOMATED'!F1036,PRICES!$D$2:$D$658,'MAIN TABLE-1 AUTOMATED'!O1036))</f>
        <v/>
      </c>
      <c r="R1036" s="41" t="str">
        <f>IF(Table1[[#This Row],[QUANTITY]]=0,"",Table1[[#This Row],[UNIT PRICE]]*Table1[[#This Row],[QUANTITY]])</f>
        <v/>
      </c>
      <c r="S1036" s="89"/>
      <c r="T1036" s="38"/>
      <c r="U1036" s="43"/>
      <c r="V1036" s="42" t="str">
        <f>IF(Table1[[#This Row],[DATE]]=0,"",YEAR(E1036))</f>
        <v/>
      </c>
      <c r="W1036" s="40" t="str">
        <f t="shared" si="32"/>
        <v/>
      </c>
      <c r="X1036" s="40" t="str">
        <f t="shared" si="33"/>
        <v/>
      </c>
      <c r="Y1036" s="40" t="str">
        <f>TEXT(Table1[[#This Row],[YEAR]],"0000")&amp;"-"&amp;Table1[[#This Row],[MONTH]]</f>
        <v>-</v>
      </c>
    </row>
    <row r="1037" spans="1:25" ht="15" customHeight="1" x14ac:dyDescent="0.35">
      <c r="A1037" s="24"/>
      <c r="B1037" s="38"/>
      <c r="C1037" s="38"/>
      <c r="D1037" s="38"/>
      <c r="E1037" s="37"/>
      <c r="F1037" s="38"/>
      <c r="G1037" s="198"/>
      <c r="H1037" s="198"/>
      <c r="I1037" s="39"/>
      <c r="J1037" s="38"/>
      <c r="K1037" s="198"/>
      <c r="L1037" s="38"/>
      <c r="M1037" s="38"/>
      <c r="N1037" s="38"/>
      <c r="O1037" s="38"/>
      <c r="P1037" s="40" t="str" cm="1">
        <f t="array" ref="P1037">IF(N1037="","",IFERROR(_xlfn.XLOOKUP(F1037&amp;"|"&amp;J1037&amp;"|"&amp;O1037,PRICES!$C$2:$C$659&amp;"|"&amp;PRICES!$B$2:$B$659&amp;"|"&amp;PRICES!$D$2:$D$659,PRICES!$E$2:$E$659),"Not Found"))</f>
        <v/>
      </c>
      <c r="Q1037" s="100" t="str">
        <f>IF(N1037=0,"",SUMIFS(PRICES!$G$2:$G$658,PRICES!$B$2:$B$658,'MAIN TABLE-1 AUTOMATED'!J1037,PRICES!$C$2:$C$658,'MAIN TABLE-1 AUTOMATED'!F1037,PRICES!$D$2:$D$658,'MAIN TABLE-1 AUTOMATED'!O1037))</f>
        <v/>
      </c>
      <c r="R1037" s="41" t="str">
        <f>IF(Table1[[#This Row],[QUANTITY]]=0,"",Table1[[#This Row],[UNIT PRICE]]*Table1[[#This Row],[QUANTITY]])</f>
        <v/>
      </c>
      <c r="S1037" s="89"/>
      <c r="T1037" s="38"/>
      <c r="U1037" s="43"/>
      <c r="V1037" s="42" t="str">
        <f>IF(Table1[[#This Row],[DATE]]=0,"",YEAR(E1037))</f>
        <v/>
      </c>
      <c r="W1037" s="40" t="str">
        <f t="shared" si="32"/>
        <v/>
      </c>
      <c r="X1037" s="40" t="str">
        <f t="shared" si="33"/>
        <v/>
      </c>
      <c r="Y1037" s="40" t="str">
        <f>TEXT(Table1[[#This Row],[YEAR]],"0000")&amp;"-"&amp;Table1[[#This Row],[MONTH]]</f>
        <v>-</v>
      </c>
    </row>
    <row r="1038" spans="1:25" ht="15" customHeight="1" x14ac:dyDescent="0.35">
      <c r="A1038" s="24"/>
      <c r="B1038" s="38"/>
      <c r="C1038" s="38"/>
      <c r="D1038" s="38"/>
      <c r="E1038" s="37"/>
      <c r="F1038" s="38"/>
      <c r="G1038" s="198"/>
      <c r="H1038" s="198"/>
      <c r="I1038" s="39"/>
      <c r="J1038" s="38"/>
      <c r="K1038" s="198"/>
      <c r="L1038" s="38"/>
      <c r="M1038" s="38"/>
      <c r="N1038" s="38"/>
      <c r="O1038" s="38"/>
      <c r="P1038" s="40" t="str" cm="1">
        <f t="array" ref="P1038">IF(N1038="","",IFERROR(_xlfn.XLOOKUP(F1038&amp;"|"&amp;J1038&amp;"|"&amp;O1038,PRICES!$C$2:$C$659&amp;"|"&amp;PRICES!$B$2:$B$659&amp;"|"&amp;PRICES!$D$2:$D$659,PRICES!$E$2:$E$659),"Not Found"))</f>
        <v/>
      </c>
      <c r="Q1038" s="100" t="str">
        <f>IF(N1038=0,"",SUMIFS(PRICES!$G$2:$G$658,PRICES!$B$2:$B$658,'MAIN TABLE-1 AUTOMATED'!J1038,PRICES!$C$2:$C$658,'MAIN TABLE-1 AUTOMATED'!F1038,PRICES!$D$2:$D$658,'MAIN TABLE-1 AUTOMATED'!O1038))</f>
        <v/>
      </c>
      <c r="R1038" s="41" t="str">
        <f>IF(Table1[[#This Row],[QUANTITY]]=0,"",Table1[[#This Row],[UNIT PRICE]]*Table1[[#This Row],[QUANTITY]])</f>
        <v/>
      </c>
      <c r="S1038" s="89"/>
      <c r="T1038" s="38"/>
      <c r="U1038" s="43"/>
      <c r="V1038" s="42" t="str">
        <f>IF(Table1[[#This Row],[DATE]]=0,"",YEAR(E1038))</f>
        <v/>
      </c>
      <c r="W1038" s="40" t="str">
        <f t="shared" si="32"/>
        <v/>
      </c>
      <c r="X1038" s="40" t="str">
        <f t="shared" si="33"/>
        <v/>
      </c>
      <c r="Y1038" s="40" t="str">
        <f>TEXT(Table1[[#This Row],[YEAR]],"0000")&amp;"-"&amp;Table1[[#This Row],[MONTH]]</f>
        <v>-</v>
      </c>
    </row>
    <row r="1039" spans="1:25" ht="15" customHeight="1" x14ac:dyDescent="0.35">
      <c r="A1039" s="24"/>
      <c r="B1039" s="36"/>
      <c r="C1039" s="38"/>
      <c r="D1039" s="38"/>
      <c r="E1039" s="37"/>
      <c r="F1039" s="38"/>
      <c r="G1039" s="198"/>
      <c r="H1039" s="198"/>
      <c r="I1039" s="39"/>
      <c r="J1039" s="38"/>
      <c r="K1039" s="198"/>
      <c r="L1039" s="38"/>
      <c r="M1039" s="38"/>
      <c r="N1039" s="38"/>
      <c r="O1039" s="38"/>
      <c r="P1039" s="40" t="str" cm="1">
        <f t="array" ref="P1039">IF(N1039="","",IFERROR(_xlfn.XLOOKUP(F1039&amp;"|"&amp;J1039&amp;"|"&amp;O1039,PRICES!$C$2:$C$659&amp;"|"&amp;PRICES!$B$2:$B$659&amp;"|"&amp;PRICES!$D$2:$D$659,PRICES!$E$2:$E$659),"Not Found"))</f>
        <v/>
      </c>
      <c r="Q1039" s="100" t="str">
        <f>IF(N1039=0,"",SUMIFS(PRICES!$G$2:$G$658,PRICES!$B$2:$B$658,'MAIN TABLE-1 AUTOMATED'!J1039,PRICES!$C$2:$C$658,'MAIN TABLE-1 AUTOMATED'!F1039,PRICES!$D$2:$D$658,'MAIN TABLE-1 AUTOMATED'!O1039))</f>
        <v/>
      </c>
      <c r="R1039" s="41" t="str">
        <f>IF(Table1[[#This Row],[QUANTITY]]=0,"",Table1[[#This Row],[UNIT PRICE]]*Table1[[#This Row],[QUANTITY]])</f>
        <v/>
      </c>
      <c r="S1039" s="89"/>
      <c r="T1039" s="38"/>
      <c r="U1039" s="43"/>
      <c r="V1039" s="42" t="str">
        <f>IF(Table1[[#This Row],[DATE]]=0,"",YEAR(E1039))</f>
        <v/>
      </c>
      <c r="W1039" s="40" t="str">
        <f t="shared" si="32"/>
        <v/>
      </c>
      <c r="X1039" s="40" t="str">
        <f t="shared" si="33"/>
        <v/>
      </c>
      <c r="Y1039" s="40" t="str">
        <f>TEXT(Table1[[#This Row],[YEAR]],"0000")&amp;"-"&amp;Table1[[#This Row],[MONTH]]</f>
        <v>-</v>
      </c>
    </row>
    <row r="1040" spans="1:25" ht="15" customHeight="1" x14ac:dyDescent="0.35">
      <c r="A1040" s="24"/>
      <c r="B1040" s="36"/>
      <c r="C1040" s="38"/>
      <c r="D1040" s="38"/>
      <c r="E1040" s="37"/>
      <c r="F1040" s="38"/>
      <c r="G1040" s="198"/>
      <c r="H1040" s="198"/>
      <c r="I1040" s="39"/>
      <c r="J1040" s="38"/>
      <c r="K1040" s="198"/>
      <c r="L1040" s="38"/>
      <c r="M1040" s="38"/>
      <c r="N1040" s="38"/>
      <c r="O1040" s="38"/>
      <c r="P1040" s="40" t="str" cm="1">
        <f t="array" ref="P1040">IF(N1040="","",IFERROR(_xlfn.XLOOKUP(F1040&amp;"|"&amp;J1040&amp;"|"&amp;O1040,PRICES!$C$2:$C$659&amp;"|"&amp;PRICES!$B$2:$B$659&amp;"|"&amp;PRICES!$D$2:$D$659,PRICES!$E$2:$E$659),"Not Found"))</f>
        <v/>
      </c>
      <c r="Q1040" s="100" t="str">
        <f>IF(N1040=0,"",SUMIFS(PRICES!$G$2:$G$658,PRICES!$B$2:$B$658,'MAIN TABLE-1 AUTOMATED'!J1040,PRICES!$C$2:$C$658,'MAIN TABLE-1 AUTOMATED'!F1040,PRICES!$D$2:$D$658,'MAIN TABLE-1 AUTOMATED'!O1040))</f>
        <v/>
      </c>
      <c r="R1040" s="41" t="str">
        <f>IF(Table1[[#This Row],[QUANTITY]]=0,"",Table1[[#This Row],[UNIT PRICE]]*Table1[[#This Row],[QUANTITY]])</f>
        <v/>
      </c>
      <c r="S1040" s="89"/>
      <c r="T1040" s="38"/>
      <c r="U1040" s="43"/>
      <c r="V1040" s="42" t="str">
        <f>IF(Table1[[#This Row],[DATE]]=0,"",YEAR(E1040))</f>
        <v/>
      </c>
      <c r="W1040" s="40" t="str">
        <f t="shared" si="32"/>
        <v/>
      </c>
      <c r="X1040" s="40" t="str">
        <f t="shared" si="33"/>
        <v/>
      </c>
      <c r="Y1040" s="40" t="str">
        <f>TEXT(Table1[[#This Row],[YEAR]],"0000")&amp;"-"&amp;Table1[[#This Row],[MONTH]]</f>
        <v>-</v>
      </c>
    </row>
    <row r="1041" spans="1:25" ht="15" customHeight="1" x14ac:dyDescent="0.35">
      <c r="A1041" s="24"/>
      <c r="B1041" s="36"/>
      <c r="C1041" s="38"/>
      <c r="D1041" s="38"/>
      <c r="E1041" s="37"/>
      <c r="F1041" s="38"/>
      <c r="G1041" s="198"/>
      <c r="H1041" s="198"/>
      <c r="I1041" s="39"/>
      <c r="J1041" s="38"/>
      <c r="K1041" s="199"/>
      <c r="L1041" s="38"/>
      <c r="M1041" s="38"/>
      <c r="N1041" s="38"/>
      <c r="O1041" s="38"/>
      <c r="P1041" s="40" t="str" cm="1">
        <f t="array" ref="P1041">IF(N1041="","",IFERROR(_xlfn.XLOOKUP(F1041&amp;"|"&amp;J1041&amp;"|"&amp;O1041,PRICES!$C$2:$C$659&amp;"|"&amp;PRICES!$B$2:$B$659&amp;"|"&amp;PRICES!$D$2:$D$659,PRICES!$E$2:$E$659),"Not Found"))</f>
        <v/>
      </c>
      <c r="Q1041" s="100" t="str">
        <f>IF(N1041=0,"",SUMIFS(PRICES!$G$2:$G$658,PRICES!$B$2:$B$658,'MAIN TABLE-1 AUTOMATED'!J1041,PRICES!$C$2:$C$658,'MAIN TABLE-1 AUTOMATED'!F1041,PRICES!$D$2:$D$658,'MAIN TABLE-1 AUTOMATED'!O1041))</f>
        <v/>
      </c>
      <c r="R1041" s="41" t="str">
        <f>IF(Table1[[#This Row],[QUANTITY]]=0,"",Table1[[#This Row],[UNIT PRICE]]*Table1[[#This Row],[QUANTITY]])</f>
        <v/>
      </c>
      <c r="S1041" s="89"/>
      <c r="T1041" s="38"/>
      <c r="U1041" s="43"/>
      <c r="V1041" s="42" t="str">
        <f>IF(Table1[[#This Row],[DATE]]=0,"",YEAR(E1041))</f>
        <v/>
      </c>
      <c r="W1041" s="40" t="str">
        <f t="shared" si="32"/>
        <v/>
      </c>
      <c r="X1041" s="40" t="str">
        <f t="shared" si="33"/>
        <v/>
      </c>
      <c r="Y1041" s="40" t="str">
        <f>TEXT(Table1[[#This Row],[YEAR]],"0000")&amp;"-"&amp;Table1[[#This Row],[MONTH]]</f>
        <v>-</v>
      </c>
    </row>
    <row r="1042" spans="1:25" ht="15" customHeight="1" x14ac:dyDescent="0.35">
      <c r="A1042" s="24"/>
      <c r="B1042" s="36"/>
      <c r="C1042" s="38"/>
      <c r="D1042" s="38"/>
      <c r="E1042" s="37"/>
      <c r="F1042" s="38"/>
      <c r="G1042" s="198"/>
      <c r="H1042" s="198"/>
      <c r="I1042" s="39"/>
      <c r="J1042" s="38"/>
      <c r="K1042" s="198"/>
      <c r="L1042" s="38"/>
      <c r="M1042" s="38"/>
      <c r="N1042" s="38"/>
      <c r="O1042" s="38"/>
      <c r="P1042" s="40" t="str" cm="1">
        <f t="array" ref="P1042">IF(N1042="","",IFERROR(_xlfn.XLOOKUP(F1042&amp;"|"&amp;J1042&amp;"|"&amp;O1042,PRICES!$C$2:$C$659&amp;"|"&amp;PRICES!$B$2:$B$659&amp;"|"&amp;PRICES!$D$2:$D$659,PRICES!$E$2:$E$659),"Not Found"))</f>
        <v/>
      </c>
      <c r="Q1042" s="100" t="str">
        <f>IF(N1042=0,"",SUMIFS(PRICES!$G$2:$G$658,PRICES!$B$2:$B$658,'MAIN TABLE-1 AUTOMATED'!J1042,PRICES!$C$2:$C$658,'MAIN TABLE-1 AUTOMATED'!F1042,PRICES!$D$2:$D$658,'MAIN TABLE-1 AUTOMATED'!O1042))</f>
        <v/>
      </c>
      <c r="R1042" s="41" t="str">
        <f>IF(Table1[[#This Row],[QUANTITY]]=0,"",Table1[[#This Row],[UNIT PRICE]]*Table1[[#This Row],[QUANTITY]])</f>
        <v/>
      </c>
      <c r="S1042" s="89"/>
      <c r="T1042" s="38"/>
      <c r="U1042" s="43"/>
      <c r="V1042" s="42" t="str">
        <f>IF(Table1[[#This Row],[DATE]]=0,"",YEAR(E1042))</f>
        <v/>
      </c>
      <c r="W1042" s="40" t="str">
        <f t="shared" si="32"/>
        <v/>
      </c>
      <c r="X1042" s="40" t="str">
        <f t="shared" si="33"/>
        <v/>
      </c>
      <c r="Y1042" s="40" t="str">
        <f>TEXT(Table1[[#This Row],[YEAR]],"0000")&amp;"-"&amp;Table1[[#This Row],[MONTH]]</f>
        <v>-</v>
      </c>
    </row>
    <row r="1043" spans="1:25" ht="15" customHeight="1" x14ac:dyDescent="0.35">
      <c r="A1043" s="24"/>
      <c r="B1043" s="36"/>
      <c r="C1043" s="38"/>
      <c r="D1043" s="38"/>
      <c r="E1043" s="37"/>
      <c r="F1043" s="38"/>
      <c r="G1043" s="198"/>
      <c r="H1043" s="198"/>
      <c r="I1043" s="39"/>
      <c r="J1043" s="38"/>
      <c r="K1043" s="199"/>
      <c r="L1043" s="38"/>
      <c r="M1043" s="38"/>
      <c r="N1043" s="38"/>
      <c r="O1043" s="38"/>
      <c r="P1043" s="40" t="str" cm="1">
        <f t="array" ref="P1043">IF(N1043="","",IFERROR(_xlfn.XLOOKUP(F1043&amp;"|"&amp;J1043&amp;"|"&amp;O1043,PRICES!$C$2:$C$659&amp;"|"&amp;PRICES!$B$2:$B$659&amp;"|"&amp;PRICES!$D$2:$D$659,PRICES!$E$2:$E$659),"Not Found"))</f>
        <v/>
      </c>
      <c r="Q1043" s="100" t="str">
        <f>IF(N1043=0,"",SUMIFS(PRICES!$G$2:$G$658,PRICES!$B$2:$B$658,'MAIN TABLE-1 AUTOMATED'!J1043,PRICES!$C$2:$C$658,'MAIN TABLE-1 AUTOMATED'!F1043,PRICES!$D$2:$D$658,'MAIN TABLE-1 AUTOMATED'!O1043))</f>
        <v/>
      </c>
      <c r="R1043" s="41" t="str">
        <f>IF(Table1[[#This Row],[QUANTITY]]=0,"",Table1[[#This Row],[UNIT PRICE]]*Table1[[#This Row],[QUANTITY]])</f>
        <v/>
      </c>
      <c r="S1043" s="89"/>
      <c r="T1043" s="38"/>
      <c r="U1043" s="43"/>
      <c r="V1043" s="42" t="str">
        <f>IF(Table1[[#This Row],[DATE]]=0,"",YEAR(E1043))</f>
        <v/>
      </c>
      <c r="W1043" s="40" t="str">
        <f t="shared" si="32"/>
        <v/>
      </c>
      <c r="X1043" s="40" t="str">
        <f t="shared" si="33"/>
        <v/>
      </c>
      <c r="Y1043" s="40" t="str">
        <f>TEXT(Table1[[#This Row],[YEAR]],"0000")&amp;"-"&amp;Table1[[#This Row],[MONTH]]</f>
        <v>-</v>
      </c>
    </row>
    <row r="1044" spans="1:25" ht="15" customHeight="1" x14ac:dyDescent="0.35">
      <c r="A1044" s="24"/>
      <c r="B1044" s="38"/>
      <c r="C1044" s="38"/>
      <c r="D1044" s="38"/>
      <c r="E1044" s="37"/>
      <c r="F1044" s="38"/>
      <c r="G1044" s="198"/>
      <c r="H1044" s="198"/>
      <c r="I1044" s="39"/>
      <c r="J1044" s="38"/>
      <c r="K1044" s="198"/>
      <c r="L1044" s="38"/>
      <c r="M1044" s="38"/>
      <c r="N1044" s="38"/>
      <c r="O1044" s="38"/>
      <c r="P1044" s="40" t="str" cm="1">
        <f t="array" ref="P1044">IF(N1044="","",IFERROR(_xlfn.XLOOKUP(F1044&amp;"|"&amp;J1044&amp;"|"&amp;O1044,PRICES!$C$2:$C$659&amp;"|"&amp;PRICES!$B$2:$B$659&amp;"|"&amp;PRICES!$D$2:$D$659,PRICES!$E$2:$E$659),"Not Found"))</f>
        <v/>
      </c>
      <c r="Q1044" s="100" t="str">
        <f>IF(N1044=0,"",SUMIFS(PRICES!$G$2:$G$658,PRICES!$B$2:$B$658,'MAIN TABLE-1 AUTOMATED'!J1044,PRICES!$C$2:$C$658,'MAIN TABLE-1 AUTOMATED'!F1044,PRICES!$D$2:$D$658,'MAIN TABLE-1 AUTOMATED'!O1044))</f>
        <v/>
      </c>
      <c r="R1044" s="41" t="str">
        <f>IF(Table1[[#This Row],[QUANTITY]]=0,"",Table1[[#This Row],[UNIT PRICE]]*Table1[[#This Row],[QUANTITY]])</f>
        <v/>
      </c>
      <c r="S1044" s="89"/>
      <c r="T1044" s="38"/>
      <c r="U1044" s="43"/>
      <c r="V1044" s="42" t="str">
        <f>IF(Table1[[#This Row],[DATE]]=0,"",YEAR(E1044))</f>
        <v/>
      </c>
      <c r="W1044" s="40" t="str">
        <f t="shared" si="32"/>
        <v/>
      </c>
      <c r="X1044" s="40" t="str">
        <f t="shared" si="33"/>
        <v/>
      </c>
      <c r="Y1044" s="40" t="str">
        <f>TEXT(Table1[[#This Row],[YEAR]],"0000")&amp;"-"&amp;Table1[[#This Row],[MONTH]]</f>
        <v>-</v>
      </c>
    </row>
    <row r="1045" spans="1:25" ht="15" customHeight="1" x14ac:dyDescent="0.35">
      <c r="A1045" s="24"/>
      <c r="B1045" s="38"/>
      <c r="C1045" s="38"/>
      <c r="D1045" s="38"/>
      <c r="E1045" s="37"/>
      <c r="F1045" s="38"/>
      <c r="G1045" s="198"/>
      <c r="H1045" s="198"/>
      <c r="I1045" s="39"/>
      <c r="J1045" s="38"/>
      <c r="K1045" s="198"/>
      <c r="L1045" s="38"/>
      <c r="M1045" s="38"/>
      <c r="N1045" s="38"/>
      <c r="O1045" s="38"/>
      <c r="P1045" s="40" t="str" cm="1">
        <f t="array" ref="P1045">IF(N1045="","",IFERROR(_xlfn.XLOOKUP(F1045&amp;"|"&amp;J1045&amp;"|"&amp;O1045,PRICES!$C$2:$C$659&amp;"|"&amp;PRICES!$B$2:$B$659&amp;"|"&amp;PRICES!$D$2:$D$659,PRICES!$E$2:$E$659),"Not Found"))</f>
        <v/>
      </c>
      <c r="Q1045" s="100" t="str">
        <f>IF(N1045=0,"",SUMIFS(PRICES!$G$2:$G$658,PRICES!$B$2:$B$658,'MAIN TABLE-1 AUTOMATED'!J1045,PRICES!$C$2:$C$658,'MAIN TABLE-1 AUTOMATED'!F1045,PRICES!$D$2:$D$658,'MAIN TABLE-1 AUTOMATED'!O1045))</f>
        <v/>
      </c>
      <c r="R1045" s="41" t="str">
        <f>IF(Table1[[#This Row],[QUANTITY]]=0,"",Table1[[#This Row],[UNIT PRICE]]*Table1[[#This Row],[QUANTITY]])</f>
        <v/>
      </c>
      <c r="S1045" s="89"/>
      <c r="T1045" s="38"/>
      <c r="U1045" s="43"/>
      <c r="V1045" s="42" t="str">
        <f>IF(Table1[[#This Row],[DATE]]=0,"",YEAR(E1045))</f>
        <v/>
      </c>
      <c r="W1045" s="40" t="str">
        <f t="shared" si="32"/>
        <v/>
      </c>
      <c r="X1045" s="40" t="str">
        <f t="shared" si="33"/>
        <v/>
      </c>
      <c r="Y1045" s="40" t="str">
        <f>TEXT(Table1[[#This Row],[YEAR]],"0000")&amp;"-"&amp;Table1[[#This Row],[MONTH]]</f>
        <v>-</v>
      </c>
    </row>
    <row r="1046" spans="1:25" ht="15" customHeight="1" x14ac:dyDescent="0.35">
      <c r="A1046" s="24"/>
      <c r="B1046" s="38"/>
      <c r="C1046" s="38"/>
      <c r="D1046" s="38"/>
      <c r="E1046" s="37"/>
      <c r="F1046" s="38"/>
      <c r="G1046" s="198"/>
      <c r="H1046" s="198"/>
      <c r="I1046" s="39"/>
      <c r="J1046" s="38"/>
      <c r="K1046" s="198"/>
      <c r="L1046" s="38"/>
      <c r="M1046" s="38"/>
      <c r="N1046" s="38"/>
      <c r="O1046" s="38"/>
      <c r="P1046" s="40" t="str" cm="1">
        <f t="array" ref="P1046">IF(N1046="","",IFERROR(_xlfn.XLOOKUP(F1046&amp;"|"&amp;J1046&amp;"|"&amp;O1046,PRICES!$C$2:$C$659&amp;"|"&amp;PRICES!$B$2:$B$659&amp;"|"&amp;PRICES!$D$2:$D$659,PRICES!$E$2:$E$659),"Not Found"))</f>
        <v/>
      </c>
      <c r="Q1046" s="100" t="str">
        <f>IF(N1046=0,"",SUMIFS(PRICES!$G$2:$G$658,PRICES!$B$2:$B$658,'MAIN TABLE-1 AUTOMATED'!J1046,PRICES!$C$2:$C$658,'MAIN TABLE-1 AUTOMATED'!F1046,PRICES!$D$2:$D$658,'MAIN TABLE-1 AUTOMATED'!O1046))</f>
        <v/>
      </c>
      <c r="R1046" s="41" t="str">
        <f>IF(Table1[[#This Row],[QUANTITY]]=0,"",Table1[[#This Row],[UNIT PRICE]]*Table1[[#This Row],[QUANTITY]])</f>
        <v/>
      </c>
      <c r="S1046" s="89"/>
      <c r="T1046" s="38"/>
      <c r="U1046" s="43"/>
      <c r="V1046" s="42" t="str">
        <f>IF(Table1[[#This Row],[DATE]]=0,"",YEAR(E1046))</f>
        <v/>
      </c>
      <c r="W1046" s="40" t="str">
        <f t="shared" si="32"/>
        <v/>
      </c>
      <c r="X1046" s="40" t="str">
        <f t="shared" si="33"/>
        <v/>
      </c>
      <c r="Y1046" s="40" t="str">
        <f>TEXT(Table1[[#This Row],[YEAR]],"0000")&amp;"-"&amp;Table1[[#This Row],[MONTH]]</f>
        <v>-</v>
      </c>
    </row>
    <row r="1047" spans="1:25" ht="15" customHeight="1" x14ac:dyDescent="0.35">
      <c r="A1047" s="24"/>
      <c r="B1047" s="38"/>
      <c r="C1047" s="38"/>
      <c r="D1047" s="38"/>
      <c r="E1047" s="37"/>
      <c r="F1047" s="38"/>
      <c r="G1047" s="198"/>
      <c r="H1047" s="198"/>
      <c r="I1047" s="39"/>
      <c r="J1047" s="38"/>
      <c r="K1047" s="198"/>
      <c r="L1047" s="38"/>
      <c r="M1047" s="38"/>
      <c r="N1047" s="38"/>
      <c r="O1047" s="38"/>
      <c r="P1047" s="40" t="str" cm="1">
        <f t="array" ref="P1047">IF(N1047="","",IFERROR(_xlfn.XLOOKUP(F1047&amp;"|"&amp;J1047&amp;"|"&amp;O1047,PRICES!$C$2:$C$659&amp;"|"&amp;PRICES!$B$2:$B$659&amp;"|"&amp;PRICES!$D$2:$D$659,PRICES!$E$2:$E$659),"Not Found"))</f>
        <v/>
      </c>
      <c r="Q1047" s="100" t="str">
        <f>IF(N1047=0,"",SUMIFS(PRICES!$G$2:$G$658,PRICES!$B$2:$B$658,'MAIN TABLE-1 AUTOMATED'!J1047,PRICES!$C$2:$C$658,'MAIN TABLE-1 AUTOMATED'!F1047,PRICES!$D$2:$D$658,'MAIN TABLE-1 AUTOMATED'!O1047))</f>
        <v/>
      </c>
      <c r="R1047" s="41" t="str">
        <f>IF(Table1[[#This Row],[QUANTITY]]=0,"",Table1[[#This Row],[UNIT PRICE]]*Table1[[#This Row],[QUANTITY]])</f>
        <v/>
      </c>
      <c r="S1047" s="89"/>
      <c r="T1047" s="38"/>
      <c r="U1047" s="43"/>
      <c r="V1047" s="42" t="str">
        <f>IF(Table1[[#This Row],[DATE]]=0,"",YEAR(E1047))</f>
        <v/>
      </c>
      <c r="W1047" s="40" t="str">
        <f t="shared" si="32"/>
        <v/>
      </c>
      <c r="X1047" s="40" t="str">
        <f t="shared" si="33"/>
        <v/>
      </c>
      <c r="Y1047" s="40" t="str">
        <f>TEXT(Table1[[#This Row],[YEAR]],"0000")&amp;"-"&amp;Table1[[#This Row],[MONTH]]</f>
        <v>-</v>
      </c>
    </row>
    <row r="1048" spans="1:25" ht="15" customHeight="1" x14ac:dyDescent="0.35">
      <c r="A1048" s="24"/>
      <c r="B1048" s="38"/>
      <c r="C1048" s="38"/>
      <c r="D1048" s="38"/>
      <c r="E1048" s="37"/>
      <c r="F1048" s="38"/>
      <c r="G1048" s="198"/>
      <c r="H1048" s="198"/>
      <c r="I1048" s="39"/>
      <c r="J1048" s="38"/>
      <c r="K1048" s="198"/>
      <c r="L1048" s="38"/>
      <c r="M1048" s="38"/>
      <c r="N1048" s="38"/>
      <c r="O1048" s="38"/>
      <c r="P1048" s="40" t="str" cm="1">
        <f t="array" ref="P1048">IF(N1048="","",IFERROR(_xlfn.XLOOKUP(F1048&amp;"|"&amp;J1048&amp;"|"&amp;O1048,PRICES!$C$2:$C$659&amp;"|"&amp;PRICES!$B$2:$B$659&amp;"|"&amp;PRICES!$D$2:$D$659,PRICES!$E$2:$E$659),"Not Found"))</f>
        <v/>
      </c>
      <c r="Q1048" s="100" t="str">
        <f>IF(N1048=0,"",SUMIFS(PRICES!$G$2:$G$658,PRICES!$B$2:$B$658,'MAIN TABLE-1 AUTOMATED'!J1048,PRICES!$C$2:$C$658,'MAIN TABLE-1 AUTOMATED'!F1048,PRICES!$D$2:$D$658,'MAIN TABLE-1 AUTOMATED'!O1048))</f>
        <v/>
      </c>
      <c r="R1048" s="41" t="str">
        <f>IF(Table1[[#This Row],[QUANTITY]]=0,"",Table1[[#This Row],[UNIT PRICE]]*Table1[[#This Row],[QUANTITY]])</f>
        <v/>
      </c>
      <c r="S1048" s="89"/>
      <c r="T1048" s="38"/>
      <c r="U1048" s="43"/>
      <c r="V1048" s="42" t="str">
        <f>IF(Table1[[#This Row],[DATE]]=0,"",YEAR(E1048))</f>
        <v/>
      </c>
      <c r="W1048" s="40" t="str">
        <f t="shared" si="32"/>
        <v/>
      </c>
      <c r="X1048" s="40" t="str">
        <f t="shared" si="33"/>
        <v/>
      </c>
      <c r="Y1048" s="40" t="str">
        <f>TEXT(Table1[[#This Row],[YEAR]],"0000")&amp;"-"&amp;Table1[[#This Row],[MONTH]]</f>
        <v>-</v>
      </c>
    </row>
    <row r="1049" spans="1:25" ht="15" customHeight="1" x14ac:dyDescent="0.35">
      <c r="A1049" s="24"/>
      <c r="B1049" s="38"/>
      <c r="C1049" s="38"/>
      <c r="D1049" s="38"/>
      <c r="E1049" s="37"/>
      <c r="F1049" s="38"/>
      <c r="G1049" s="198"/>
      <c r="H1049" s="198"/>
      <c r="I1049" s="39"/>
      <c r="J1049" s="38"/>
      <c r="K1049" s="198"/>
      <c r="L1049" s="38"/>
      <c r="M1049" s="38"/>
      <c r="N1049" s="38"/>
      <c r="O1049" s="38"/>
      <c r="P1049" s="40" t="str" cm="1">
        <f t="array" ref="P1049">IF(N1049="","",IFERROR(_xlfn.XLOOKUP(F1049&amp;"|"&amp;J1049&amp;"|"&amp;O1049,PRICES!$C$2:$C$659&amp;"|"&amp;PRICES!$B$2:$B$659&amp;"|"&amp;PRICES!$D$2:$D$659,PRICES!$E$2:$E$659),"Not Found"))</f>
        <v/>
      </c>
      <c r="Q1049" s="100" t="str">
        <f>IF(N1049=0,"",SUMIFS(PRICES!$G$2:$G$658,PRICES!$B$2:$B$658,'MAIN TABLE-1 AUTOMATED'!J1049,PRICES!$C$2:$C$658,'MAIN TABLE-1 AUTOMATED'!F1049,PRICES!$D$2:$D$658,'MAIN TABLE-1 AUTOMATED'!O1049))</f>
        <v/>
      </c>
      <c r="R1049" s="41" t="str">
        <f>IF(Table1[[#This Row],[QUANTITY]]=0,"",Table1[[#This Row],[UNIT PRICE]]*Table1[[#This Row],[QUANTITY]])</f>
        <v/>
      </c>
      <c r="S1049" s="89"/>
      <c r="T1049" s="38"/>
      <c r="U1049" s="43"/>
      <c r="V1049" s="42" t="str">
        <f>IF(Table1[[#This Row],[DATE]]=0,"",YEAR(E1049))</f>
        <v/>
      </c>
      <c r="W1049" s="40" t="str">
        <f t="shared" si="32"/>
        <v/>
      </c>
      <c r="X1049" s="40" t="str">
        <f t="shared" si="33"/>
        <v/>
      </c>
      <c r="Y1049" s="40" t="str">
        <f>TEXT(Table1[[#This Row],[YEAR]],"0000")&amp;"-"&amp;Table1[[#This Row],[MONTH]]</f>
        <v>-</v>
      </c>
    </row>
    <row r="1050" spans="1:25" ht="15" customHeight="1" x14ac:dyDescent="0.35">
      <c r="A1050" s="24"/>
      <c r="B1050" s="38"/>
      <c r="C1050" s="38"/>
      <c r="D1050" s="38"/>
      <c r="E1050" s="37"/>
      <c r="F1050" s="38"/>
      <c r="G1050" s="198"/>
      <c r="H1050" s="198"/>
      <c r="I1050" s="39"/>
      <c r="J1050" s="38"/>
      <c r="K1050" s="198"/>
      <c r="L1050" s="38"/>
      <c r="M1050" s="38"/>
      <c r="N1050" s="38"/>
      <c r="O1050" s="38"/>
      <c r="P1050" s="40" t="str" cm="1">
        <f t="array" ref="P1050">IF(N1050="","",IFERROR(_xlfn.XLOOKUP(F1050&amp;"|"&amp;J1050&amp;"|"&amp;O1050,PRICES!$C$2:$C$659&amp;"|"&amp;PRICES!$B$2:$B$659&amp;"|"&amp;PRICES!$D$2:$D$659,PRICES!$E$2:$E$659),"Not Found"))</f>
        <v/>
      </c>
      <c r="Q1050" s="100" t="str">
        <f>IF(N1050=0,"",SUMIFS(PRICES!$G$2:$G$658,PRICES!$B$2:$B$658,'MAIN TABLE-1 AUTOMATED'!J1050,PRICES!$C$2:$C$658,'MAIN TABLE-1 AUTOMATED'!F1050,PRICES!$D$2:$D$658,'MAIN TABLE-1 AUTOMATED'!O1050))</f>
        <v/>
      </c>
      <c r="R1050" s="41" t="str">
        <f>IF(Table1[[#This Row],[QUANTITY]]=0,"",Table1[[#This Row],[UNIT PRICE]]*Table1[[#This Row],[QUANTITY]])</f>
        <v/>
      </c>
      <c r="S1050" s="89"/>
      <c r="T1050" s="38"/>
      <c r="U1050" s="43"/>
      <c r="V1050" s="42" t="str">
        <f>IF(Table1[[#This Row],[DATE]]=0,"",YEAR(E1050))</f>
        <v/>
      </c>
      <c r="W1050" s="40" t="str">
        <f t="shared" si="32"/>
        <v/>
      </c>
      <c r="X1050" s="40" t="str">
        <f t="shared" si="33"/>
        <v/>
      </c>
      <c r="Y1050" s="40" t="str">
        <f>TEXT(Table1[[#This Row],[YEAR]],"0000")&amp;"-"&amp;Table1[[#This Row],[MONTH]]</f>
        <v>-</v>
      </c>
    </row>
    <row r="1051" spans="1:25" ht="15" customHeight="1" x14ac:dyDescent="0.35">
      <c r="A1051" s="24"/>
      <c r="B1051" s="38"/>
      <c r="C1051" s="38"/>
      <c r="D1051" s="38"/>
      <c r="E1051" s="37"/>
      <c r="F1051" s="38"/>
      <c r="G1051" s="198"/>
      <c r="H1051" s="198"/>
      <c r="I1051" s="39"/>
      <c r="J1051" s="38"/>
      <c r="K1051" s="198"/>
      <c r="L1051" s="38"/>
      <c r="M1051" s="38"/>
      <c r="N1051" s="38"/>
      <c r="O1051" s="38"/>
      <c r="P1051" s="40" t="str" cm="1">
        <f t="array" ref="P1051">IF(N1051="","",IFERROR(_xlfn.XLOOKUP(F1051&amp;"|"&amp;J1051&amp;"|"&amp;O1051,PRICES!$C$2:$C$659&amp;"|"&amp;PRICES!$B$2:$B$659&amp;"|"&amp;PRICES!$D$2:$D$659,PRICES!$E$2:$E$659),"Not Found"))</f>
        <v/>
      </c>
      <c r="Q1051" s="100" t="str">
        <f>IF(N1051=0,"",SUMIFS(PRICES!$G$2:$G$658,PRICES!$B$2:$B$658,'MAIN TABLE-1 AUTOMATED'!J1051,PRICES!$C$2:$C$658,'MAIN TABLE-1 AUTOMATED'!F1051,PRICES!$D$2:$D$658,'MAIN TABLE-1 AUTOMATED'!O1051))</f>
        <v/>
      </c>
      <c r="R1051" s="41" t="str">
        <f>IF(Table1[[#This Row],[QUANTITY]]=0,"",Table1[[#This Row],[UNIT PRICE]]*Table1[[#This Row],[QUANTITY]])</f>
        <v/>
      </c>
      <c r="S1051" s="89"/>
      <c r="T1051" s="38"/>
      <c r="U1051" s="43"/>
      <c r="V1051" s="42" t="str">
        <f>IF(Table1[[#This Row],[DATE]]=0,"",YEAR(E1051))</f>
        <v/>
      </c>
      <c r="W1051" s="40" t="str">
        <f t="shared" si="32"/>
        <v/>
      </c>
      <c r="X1051" s="40" t="str">
        <f t="shared" si="33"/>
        <v/>
      </c>
      <c r="Y1051" s="40" t="str">
        <f>TEXT(Table1[[#This Row],[YEAR]],"0000")&amp;"-"&amp;Table1[[#This Row],[MONTH]]</f>
        <v>-</v>
      </c>
    </row>
    <row r="1052" spans="1:25" ht="15" customHeight="1" x14ac:dyDescent="0.35">
      <c r="A1052" s="24"/>
      <c r="B1052" s="36"/>
      <c r="C1052" s="38"/>
      <c r="D1052" s="38"/>
      <c r="E1052" s="37"/>
      <c r="F1052" s="38"/>
      <c r="G1052" s="198"/>
      <c r="H1052" s="198"/>
      <c r="I1052" s="39"/>
      <c r="J1052" s="38"/>
      <c r="K1052" s="198"/>
      <c r="L1052" s="38"/>
      <c r="M1052" s="38"/>
      <c r="N1052" s="38"/>
      <c r="O1052" s="38"/>
      <c r="P1052" s="40" t="str" cm="1">
        <f t="array" ref="P1052">IF(N1052="","",IFERROR(_xlfn.XLOOKUP(F1052&amp;"|"&amp;J1052&amp;"|"&amp;O1052,PRICES!$C$2:$C$659&amp;"|"&amp;PRICES!$B$2:$B$659&amp;"|"&amp;PRICES!$D$2:$D$659,PRICES!$E$2:$E$659),"Not Found"))</f>
        <v/>
      </c>
      <c r="Q1052" s="100" t="str">
        <f>IF(N1052=0,"",SUMIFS(PRICES!$G$2:$G$658,PRICES!$B$2:$B$658,'MAIN TABLE-1 AUTOMATED'!J1052,PRICES!$C$2:$C$658,'MAIN TABLE-1 AUTOMATED'!F1052,PRICES!$D$2:$D$658,'MAIN TABLE-1 AUTOMATED'!O1052))</f>
        <v/>
      </c>
      <c r="R1052" s="41" t="str">
        <f>IF(Table1[[#This Row],[QUANTITY]]=0,"",Table1[[#This Row],[UNIT PRICE]]*Table1[[#This Row],[QUANTITY]])</f>
        <v/>
      </c>
      <c r="S1052" s="89"/>
      <c r="T1052" s="38"/>
      <c r="U1052" s="43"/>
      <c r="V1052" s="42" t="str">
        <f>IF(Table1[[#This Row],[DATE]]=0,"",YEAR(E1052))</f>
        <v/>
      </c>
      <c r="W1052" s="40" t="str">
        <f t="shared" si="32"/>
        <v/>
      </c>
      <c r="X1052" s="40" t="str">
        <f t="shared" si="33"/>
        <v/>
      </c>
      <c r="Y1052" s="40" t="str">
        <f>TEXT(Table1[[#This Row],[YEAR]],"0000")&amp;"-"&amp;Table1[[#This Row],[MONTH]]</f>
        <v>-</v>
      </c>
    </row>
    <row r="1053" spans="1:25" ht="15" customHeight="1" x14ac:dyDescent="0.35">
      <c r="A1053" s="24"/>
      <c r="B1053" s="36"/>
      <c r="C1053" s="38"/>
      <c r="D1053" s="38"/>
      <c r="E1053" s="37"/>
      <c r="F1053" s="38"/>
      <c r="G1053" s="198"/>
      <c r="H1053" s="198"/>
      <c r="I1053" s="39"/>
      <c r="J1053" s="38"/>
      <c r="K1053" s="198"/>
      <c r="L1053" s="38"/>
      <c r="M1053" s="38"/>
      <c r="N1053" s="38"/>
      <c r="O1053" s="38"/>
      <c r="P1053" s="40" t="str" cm="1">
        <f t="array" ref="P1053">IF(N1053="","",IFERROR(_xlfn.XLOOKUP(F1053&amp;"|"&amp;J1053&amp;"|"&amp;O1053,PRICES!$C$2:$C$659&amp;"|"&amp;PRICES!$B$2:$B$659&amp;"|"&amp;PRICES!$D$2:$D$659,PRICES!$E$2:$E$659),"Not Found"))</f>
        <v/>
      </c>
      <c r="Q1053" s="100" t="str">
        <f>IF(N1053=0,"",SUMIFS(PRICES!$G$2:$G$658,PRICES!$B$2:$B$658,'MAIN TABLE-1 AUTOMATED'!J1053,PRICES!$C$2:$C$658,'MAIN TABLE-1 AUTOMATED'!F1053,PRICES!$D$2:$D$658,'MAIN TABLE-1 AUTOMATED'!O1053))</f>
        <v/>
      </c>
      <c r="R1053" s="41" t="str">
        <f>IF(Table1[[#This Row],[QUANTITY]]=0,"",Table1[[#This Row],[UNIT PRICE]]*Table1[[#This Row],[QUANTITY]])</f>
        <v/>
      </c>
      <c r="S1053" s="89"/>
      <c r="T1053" s="38"/>
      <c r="U1053" s="43"/>
      <c r="V1053" s="42" t="str">
        <f>IF(Table1[[#This Row],[DATE]]=0,"",YEAR(E1053))</f>
        <v/>
      </c>
      <c r="W1053" s="40" t="str">
        <f t="shared" si="32"/>
        <v/>
      </c>
      <c r="X1053" s="40" t="str">
        <f t="shared" si="33"/>
        <v/>
      </c>
      <c r="Y1053" s="40" t="str">
        <f>TEXT(Table1[[#This Row],[YEAR]],"0000")&amp;"-"&amp;Table1[[#This Row],[MONTH]]</f>
        <v>-</v>
      </c>
    </row>
    <row r="1054" spans="1:25" ht="15" customHeight="1" x14ac:dyDescent="0.35">
      <c r="A1054" s="24"/>
      <c r="B1054" s="36"/>
      <c r="C1054" s="38"/>
      <c r="D1054" s="38"/>
      <c r="E1054" s="37"/>
      <c r="F1054" s="38"/>
      <c r="G1054" s="198"/>
      <c r="H1054" s="198"/>
      <c r="I1054" s="39"/>
      <c r="J1054" s="38"/>
      <c r="K1054" s="199"/>
      <c r="L1054" s="38"/>
      <c r="M1054" s="38"/>
      <c r="N1054" s="38"/>
      <c r="O1054" s="38"/>
      <c r="P1054" s="40" t="str" cm="1">
        <f t="array" ref="P1054">IF(N1054="","",IFERROR(_xlfn.XLOOKUP(F1054&amp;"|"&amp;J1054&amp;"|"&amp;O1054,PRICES!$C$2:$C$659&amp;"|"&amp;PRICES!$B$2:$B$659&amp;"|"&amp;PRICES!$D$2:$D$659,PRICES!$E$2:$E$659),"Not Found"))</f>
        <v/>
      </c>
      <c r="Q1054" s="100" t="str">
        <f>IF(N1054=0,"",SUMIFS(PRICES!$G$2:$G$658,PRICES!$B$2:$B$658,'MAIN TABLE-1 AUTOMATED'!J1054,PRICES!$C$2:$C$658,'MAIN TABLE-1 AUTOMATED'!F1054,PRICES!$D$2:$D$658,'MAIN TABLE-1 AUTOMATED'!O1054))</f>
        <v/>
      </c>
      <c r="R1054" s="41" t="str">
        <f>IF(Table1[[#This Row],[QUANTITY]]=0,"",Table1[[#This Row],[UNIT PRICE]]*Table1[[#This Row],[QUANTITY]])</f>
        <v/>
      </c>
      <c r="S1054" s="89"/>
      <c r="T1054" s="38"/>
      <c r="U1054" s="43"/>
      <c r="V1054" s="42" t="str">
        <f>IF(Table1[[#This Row],[DATE]]=0,"",YEAR(E1054))</f>
        <v/>
      </c>
      <c r="W1054" s="40" t="str">
        <f t="shared" si="32"/>
        <v/>
      </c>
      <c r="X1054" s="40" t="str">
        <f t="shared" si="33"/>
        <v/>
      </c>
      <c r="Y1054" s="40" t="str">
        <f>TEXT(Table1[[#This Row],[YEAR]],"0000")&amp;"-"&amp;Table1[[#This Row],[MONTH]]</f>
        <v>-</v>
      </c>
    </row>
    <row r="1055" spans="1:25" ht="15" customHeight="1" x14ac:dyDescent="0.35">
      <c r="A1055" s="24"/>
      <c r="B1055" s="38"/>
      <c r="C1055" s="38"/>
      <c r="D1055" s="38"/>
      <c r="E1055" s="37"/>
      <c r="F1055" s="38"/>
      <c r="G1055" s="198"/>
      <c r="H1055" s="198"/>
      <c r="I1055" s="39"/>
      <c r="J1055" s="38"/>
      <c r="K1055" s="198"/>
      <c r="L1055" s="38"/>
      <c r="M1055" s="38"/>
      <c r="N1055" s="38"/>
      <c r="O1055" s="38"/>
      <c r="P1055" s="40" t="str" cm="1">
        <f t="array" ref="P1055">IF(N1055="","",IFERROR(_xlfn.XLOOKUP(F1055&amp;"|"&amp;J1055&amp;"|"&amp;O1055,PRICES!$C$2:$C$659&amp;"|"&amp;PRICES!$B$2:$B$659&amp;"|"&amp;PRICES!$D$2:$D$659,PRICES!$E$2:$E$659),"Not Found"))</f>
        <v/>
      </c>
      <c r="Q1055" s="100" t="str">
        <f>IF(N1055=0,"",SUMIFS(PRICES!$G$2:$G$658,PRICES!$B$2:$B$658,'MAIN TABLE-1 AUTOMATED'!J1055,PRICES!$C$2:$C$658,'MAIN TABLE-1 AUTOMATED'!F1055,PRICES!$D$2:$D$658,'MAIN TABLE-1 AUTOMATED'!O1055))</f>
        <v/>
      </c>
      <c r="R1055" s="41" t="str">
        <f>IF(Table1[[#This Row],[QUANTITY]]=0,"",Table1[[#This Row],[UNIT PRICE]]*Table1[[#This Row],[QUANTITY]])</f>
        <v/>
      </c>
      <c r="S1055" s="89"/>
      <c r="T1055" s="38"/>
      <c r="U1055" s="43"/>
      <c r="V1055" s="42" t="str">
        <f>IF(Table1[[#This Row],[DATE]]=0,"",YEAR(E1055))</f>
        <v/>
      </c>
      <c r="W1055" s="40" t="str">
        <f t="shared" ref="W1055:W1118" si="34">IF(E1055=0,"",MONTH(E1055))</f>
        <v/>
      </c>
      <c r="X1055" s="40" t="str">
        <f t="shared" ref="X1055:X1118" si="35">IF(E1055=0,"",WEEKNUM(E1055))</f>
        <v/>
      </c>
      <c r="Y1055" s="40" t="str">
        <f>TEXT(Table1[[#This Row],[YEAR]],"0000")&amp;"-"&amp;Table1[[#This Row],[MONTH]]</f>
        <v>-</v>
      </c>
    </row>
    <row r="1056" spans="1:25" ht="15" customHeight="1" x14ac:dyDescent="0.35">
      <c r="A1056" s="24"/>
      <c r="B1056" s="38"/>
      <c r="C1056" s="38"/>
      <c r="D1056" s="38"/>
      <c r="E1056" s="37"/>
      <c r="F1056" s="38"/>
      <c r="G1056" s="198"/>
      <c r="H1056" s="198"/>
      <c r="I1056" s="39"/>
      <c r="J1056" s="38"/>
      <c r="K1056" s="198"/>
      <c r="L1056" s="38"/>
      <c r="M1056" s="38"/>
      <c r="N1056" s="38"/>
      <c r="O1056" s="38"/>
      <c r="P1056" s="40" t="str" cm="1">
        <f t="array" ref="P1056">IF(N1056="","",IFERROR(_xlfn.XLOOKUP(F1056&amp;"|"&amp;J1056&amp;"|"&amp;O1056,PRICES!$C$2:$C$659&amp;"|"&amp;PRICES!$B$2:$B$659&amp;"|"&amp;PRICES!$D$2:$D$659,PRICES!$E$2:$E$659),"Not Found"))</f>
        <v/>
      </c>
      <c r="Q1056" s="100" t="str">
        <f>IF(N1056=0,"",SUMIFS(PRICES!$G$2:$G$658,PRICES!$B$2:$B$658,'MAIN TABLE-1 AUTOMATED'!J1056,PRICES!$C$2:$C$658,'MAIN TABLE-1 AUTOMATED'!F1056,PRICES!$D$2:$D$658,'MAIN TABLE-1 AUTOMATED'!O1056))</f>
        <v/>
      </c>
      <c r="R1056" s="41" t="str">
        <f>IF(Table1[[#This Row],[QUANTITY]]=0,"",Table1[[#This Row],[UNIT PRICE]]*Table1[[#This Row],[QUANTITY]])</f>
        <v/>
      </c>
      <c r="S1056" s="89"/>
      <c r="T1056" s="38"/>
      <c r="U1056" s="43"/>
      <c r="V1056" s="42" t="str">
        <f>IF(Table1[[#This Row],[DATE]]=0,"",YEAR(E1056))</f>
        <v/>
      </c>
      <c r="W1056" s="40" t="str">
        <f t="shared" si="34"/>
        <v/>
      </c>
      <c r="X1056" s="40" t="str">
        <f t="shared" si="35"/>
        <v/>
      </c>
      <c r="Y1056" s="40" t="str">
        <f>TEXT(Table1[[#This Row],[YEAR]],"0000")&amp;"-"&amp;Table1[[#This Row],[MONTH]]</f>
        <v>-</v>
      </c>
    </row>
    <row r="1057" spans="1:25" ht="15" customHeight="1" x14ac:dyDescent="0.35">
      <c r="A1057" s="24"/>
      <c r="B1057" s="38"/>
      <c r="C1057" s="38"/>
      <c r="D1057" s="38"/>
      <c r="E1057" s="37"/>
      <c r="F1057" s="38"/>
      <c r="G1057" s="198"/>
      <c r="H1057" s="198"/>
      <c r="I1057" s="39"/>
      <c r="J1057" s="38"/>
      <c r="K1057" s="198"/>
      <c r="L1057" s="38"/>
      <c r="M1057" s="38"/>
      <c r="N1057" s="38"/>
      <c r="O1057" s="38"/>
      <c r="P1057" s="40" t="str" cm="1">
        <f t="array" ref="P1057">IF(N1057="","",IFERROR(_xlfn.XLOOKUP(F1057&amp;"|"&amp;J1057&amp;"|"&amp;O1057,PRICES!$C$2:$C$659&amp;"|"&amp;PRICES!$B$2:$B$659&amp;"|"&amp;PRICES!$D$2:$D$659,PRICES!$E$2:$E$659),"Not Found"))</f>
        <v/>
      </c>
      <c r="Q1057" s="100" t="str">
        <f>IF(N1057=0,"",SUMIFS(PRICES!$G$2:$G$658,PRICES!$B$2:$B$658,'MAIN TABLE-1 AUTOMATED'!J1057,PRICES!$C$2:$C$658,'MAIN TABLE-1 AUTOMATED'!F1057,PRICES!$D$2:$D$658,'MAIN TABLE-1 AUTOMATED'!O1057))</f>
        <v/>
      </c>
      <c r="R1057" s="41" t="str">
        <f>IF(Table1[[#This Row],[QUANTITY]]=0,"",Table1[[#This Row],[UNIT PRICE]]*Table1[[#This Row],[QUANTITY]])</f>
        <v/>
      </c>
      <c r="S1057" s="89"/>
      <c r="T1057" s="38"/>
      <c r="U1057" s="43"/>
      <c r="V1057" s="42" t="str">
        <f>IF(Table1[[#This Row],[DATE]]=0,"",YEAR(E1057))</f>
        <v/>
      </c>
      <c r="W1057" s="40" t="str">
        <f t="shared" si="34"/>
        <v/>
      </c>
      <c r="X1057" s="40" t="str">
        <f t="shared" si="35"/>
        <v/>
      </c>
      <c r="Y1057" s="40" t="str">
        <f>TEXT(Table1[[#This Row],[YEAR]],"0000")&amp;"-"&amp;Table1[[#This Row],[MONTH]]</f>
        <v>-</v>
      </c>
    </row>
    <row r="1058" spans="1:25" ht="15" customHeight="1" x14ac:dyDescent="0.35">
      <c r="A1058" s="24"/>
      <c r="B1058" s="38"/>
      <c r="C1058" s="38"/>
      <c r="D1058" s="38"/>
      <c r="E1058" s="37"/>
      <c r="F1058" s="38"/>
      <c r="G1058" s="198"/>
      <c r="H1058" s="198"/>
      <c r="I1058" s="39"/>
      <c r="J1058" s="38"/>
      <c r="K1058" s="198"/>
      <c r="L1058" s="38"/>
      <c r="M1058" s="38"/>
      <c r="N1058" s="38"/>
      <c r="O1058" s="38"/>
      <c r="P1058" s="40" t="str" cm="1">
        <f t="array" ref="P1058">IF(N1058="","",IFERROR(_xlfn.XLOOKUP(F1058&amp;"|"&amp;J1058&amp;"|"&amp;O1058,PRICES!$C$2:$C$659&amp;"|"&amp;PRICES!$B$2:$B$659&amp;"|"&amp;PRICES!$D$2:$D$659,PRICES!$E$2:$E$659),"Not Found"))</f>
        <v/>
      </c>
      <c r="Q1058" s="100" t="str">
        <f>IF(N1058=0,"",SUMIFS(PRICES!$G$2:$G$658,PRICES!$B$2:$B$658,'MAIN TABLE-1 AUTOMATED'!J1058,PRICES!$C$2:$C$658,'MAIN TABLE-1 AUTOMATED'!F1058,PRICES!$D$2:$D$658,'MAIN TABLE-1 AUTOMATED'!O1058))</f>
        <v/>
      </c>
      <c r="R1058" s="41" t="str">
        <f>IF(Table1[[#This Row],[QUANTITY]]=0,"",Table1[[#This Row],[UNIT PRICE]]*Table1[[#This Row],[QUANTITY]])</f>
        <v/>
      </c>
      <c r="S1058" s="89"/>
      <c r="T1058" s="38"/>
      <c r="U1058" s="43"/>
      <c r="V1058" s="42" t="str">
        <f>IF(Table1[[#This Row],[DATE]]=0,"",YEAR(E1058))</f>
        <v/>
      </c>
      <c r="W1058" s="40" t="str">
        <f t="shared" si="34"/>
        <v/>
      </c>
      <c r="X1058" s="40" t="str">
        <f t="shared" si="35"/>
        <v/>
      </c>
      <c r="Y1058" s="40" t="str">
        <f>TEXT(Table1[[#This Row],[YEAR]],"0000")&amp;"-"&amp;Table1[[#This Row],[MONTH]]</f>
        <v>-</v>
      </c>
    </row>
    <row r="1059" spans="1:25" ht="15" customHeight="1" x14ac:dyDescent="0.35">
      <c r="A1059" s="24"/>
      <c r="B1059" s="38"/>
      <c r="C1059" s="38"/>
      <c r="D1059" s="38"/>
      <c r="E1059" s="37"/>
      <c r="F1059" s="38"/>
      <c r="G1059" s="198"/>
      <c r="H1059" s="198"/>
      <c r="I1059" s="39"/>
      <c r="J1059" s="38"/>
      <c r="K1059" s="198"/>
      <c r="L1059" s="38"/>
      <c r="M1059" s="38"/>
      <c r="N1059" s="38"/>
      <c r="O1059" s="38"/>
      <c r="P1059" s="40" t="str" cm="1">
        <f t="array" ref="P1059">IF(N1059="","",IFERROR(_xlfn.XLOOKUP(F1059&amp;"|"&amp;J1059&amp;"|"&amp;O1059,PRICES!$C$2:$C$659&amp;"|"&amp;PRICES!$B$2:$B$659&amp;"|"&amp;PRICES!$D$2:$D$659,PRICES!$E$2:$E$659),"Not Found"))</f>
        <v/>
      </c>
      <c r="Q1059" s="100" t="str">
        <f>IF(N1059=0,"",SUMIFS(PRICES!$G$2:$G$658,PRICES!$B$2:$B$658,'MAIN TABLE-1 AUTOMATED'!J1059,PRICES!$C$2:$C$658,'MAIN TABLE-1 AUTOMATED'!F1059,PRICES!$D$2:$D$658,'MAIN TABLE-1 AUTOMATED'!O1059))</f>
        <v/>
      </c>
      <c r="R1059" s="41" t="str">
        <f>IF(Table1[[#This Row],[QUANTITY]]=0,"",Table1[[#This Row],[UNIT PRICE]]*Table1[[#This Row],[QUANTITY]])</f>
        <v/>
      </c>
      <c r="S1059" s="89"/>
      <c r="T1059" s="38"/>
      <c r="U1059" s="43"/>
      <c r="V1059" s="42" t="str">
        <f>IF(Table1[[#This Row],[DATE]]=0,"",YEAR(E1059))</f>
        <v/>
      </c>
      <c r="W1059" s="40" t="str">
        <f t="shared" si="34"/>
        <v/>
      </c>
      <c r="X1059" s="40" t="str">
        <f t="shared" si="35"/>
        <v/>
      </c>
      <c r="Y1059" s="40" t="str">
        <f>TEXT(Table1[[#This Row],[YEAR]],"0000")&amp;"-"&amp;Table1[[#This Row],[MONTH]]</f>
        <v>-</v>
      </c>
    </row>
    <row r="1060" spans="1:25" ht="15" customHeight="1" x14ac:dyDescent="0.35">
      <c r="A1060" s="24"/>
      <c r="B1060" s="38"/>
      <c r="C1060" s="38"/>
      <c r="D1060" s="38"/>
      <c r="E1060" s="37"/>
      <c r="F1060" s="38"/>
      <c r="G1060" s="198"/>
      <c r="H1060" s="198"/>
      <c r="I1060" s="39"/>
      <c r="J1060" s="38"/>
      <c r="K1060" s="198"/>
      <c r="L1060" s="38"/>
      <c r="M1060" s="38"/>
      <c r="N1060" s="38"/>
      <c r="O1060" s="38"/>
      <c r="P1060" s="40" t="str" cm="1">
        <f t="array" ref="P1060">IF(N1060="","",IFERROR(_xlfn.XLOOKUP(F1060&amp;"|"&amp;J1060&amp;"|"&amp;O1060,PRICES!$C$2:$C$659&amp;"|"&amp;PRICES!$B$2:$B$659&amp;"|"&amp;PRICES!$D$2:$D$659,PRICES!$E$2:$E$659),"Not Found"))</f>
        <v/>
      </c>
      <c r="Q1060" s="100" t="str">
        <f>IF(N1060=0,"",SUMIFS(PRICES!$G$2:$G$658,PRICES!$B$2:$B$658,'MAIN TABLE-1 AUTOMATED'!J1060,PRICES!$C$2:$C$658,'MAIN TABLE-1 AUTOMATED'!F1060,PRICES!$D$2:$D$658,'MAIN TABLE-1 AUTOMATED'!O1060))</f>
        <v/>
      </c>
      <c r="R1060" s="41" t="str">
        <f>IF(Table1[[#This Row],[QUANTITY]]=0,"",Table1[[#This Row],[UNIT PRICE]]*Table1[[#This Row],[QUANTITY]])</f>
        <v/>
      </c>
      <c r="S1060" s="89"/>
      <c r="T1060" s="38"/>
      <c r="U1060" s="43"/>
      <c r="V1060" s="42" t="str">
        <f>IF(Table1[[#This Row],[DATE]]=0,"",YEAR(E1060))</f>
        <v/>
      </c>
      <c r="W1060" s="40" t="str">
        <f t="shared" si="34"/>
        <v/>
      </c>
      <c r="X1060" s="40" t="str">
        <f t="shared" si="35"/>
        <v/>
      </c>
      <c r="Y1060" s="40" t="str">
        <f>TEXT(Table1[[#This Row],[YEAR]],"0000")&amp;"-"&amp;Table1[[#This Row],[MONTH]]</f>
        <v>-</v>
      </c>
    </row>
    <row r="1061" spans="1:25" ht="15" customHeight="1" x14ac:dyDescent="0.35">
      <c r="A1061" s="24"/>
      <c r="B1061" s="38"/>
      <c r="C1061" s="38"/>
      <c r="D1061" s="38"/>
      <c r="E1061" s="37"/>
      <c r="F1061" s="38"/>
      <c r="G1061" s="198"/>
      <c r="H1061" s="198"/>
      <c r="I1061" s="39"/>
      <c r="J1061" s="38"/>
      <c r="K1061" s="198"/>
      <c r="L1061" s="38"/>
      <c r="M1061" s="38"/>
      <c r="N1061" s="38"/>
      <c r="O1061" s="38"/>
      <c r="P1061" s="40" t="str" cm="1">
        <f t="array" ref="P1061">IF(N1061="","",IFERROR(_xlfn.XLOOKUP(F1061&amp;"|"&amp;J1061&amp;"|"&amp;O1061,PRICES!$C$2:$C$659&amp;"|"&amp;PRICES!$B$2:$B$659&amp;"|"&amp;PRICES!$D$2:$D$659,PRICES!$E$2:$E$659),"Not Found"))</f>
        <v/>
      </c>
      <c r="Q1061" s="100" t="str">
        <f>IF(N1061=0,"",SUMIFS(PRICES!$G$2:$G$658,PRICES!$B$2:$B$658,'MAIN TABLE-1 AUTOMATED'!J1061,PRICES!$C$2:$C$658,'MAIN TABLE-1 AUTOMATED'!F1061,PRICES!$D$2:$D$658,'MAIN TABLE-1 AUTOMATED'!O1061))</f>
        <v/>
      </c>
      <c r="R1061" s="41" t="str">
        <f>IF(Table1[[#This Row],[QUANTITY]]=0,"",Table1[[#This Row],[UNIT PRICE]]*Table1[[#This Row],[QUANTITY]])</f>
        <v/>
      </c>
      <c r="S1061" s="89"/>
      <c r="T1061" s="38"/>
      <c r="U1061" s="43"/>
      <c r="V1061" s="42" t="str">
        <f>IF(Table1[[#This Row],[DATE]]=0,"",YEAR(E1061))</f>
        <v/>
      </c>
      <c r="W1061" s="40" t="str">
        <f t="shared" si="34"/>
        <v/>
      </c>
      <c r="X1061" s="40" t="str">
        <f t="shared" si="35"/>
        <v/>
      </c>
      <c r="Y1061" s="40" t="str">
        <f>TEXT(Table1[[#This Row],[YEAR]],"0000")&amp;"-"&amp;Table1[[#This Row],[MONTH]]</f>
        <v>-</v>
      </c>
    </row>
    <row r="1062" spans="1:25" ht="15" customHeight="1" x14ac:dyDescent="0.35">
      <c r="A1062" s="24"/>
      <c r="B1062" s="38"/>
      <c r="C1062" s="38"/>
      <c r="D1062" s="38"/>
      <c r="E1062" s="37"/>
      <c r="F1062" s="38"/>
      <c r="G1062" s="198"/>
      <c r="H1062" s="198"/>
      <c r="I1062" s="39"/>
      <c r="J1062" s="38"/>
      <c r="K1062" s="198"/>
      <c r="L1062" s="38"/>
      <c r="M1062" s="38"/>
      <c r="N1062" s="38"/>
      <c r="O1062" s="38"/>
      <c r="P1062" s="40" t="str" cm="1">
        <f t="array" ref="P1062">IF(N1062="","",IFERROR(_xlfn.XLOOKUP(F1062&amp;"|"&amp;J1062&amp;"|"&amp;O1062,PRICES!$C$2:$C$659&amp;"|"&amp;PRICES!$B$2:$B$659&amp;"|"&amp;PRICES!$D$2:$D$659,PRICES!$E$2:$E$659),"Not Found"))</f>
        <v/>
      </c>
      <c r="Q1062" s="100" t="str">
        <f>IF(N1062=0,"",SUMIFS(PRICES!$G$2:$G$658,PRICES!$B$2:$B$658,'MAIN TABLE-1 AUTOMATED'!J1062,PRICES!$C$2:$C$658,'MAIN TABLE-1 AUTOMATED'!F1062,PRICES!$D$2:$D$658,'MAIN TABLE-1 AUTOMATED'!O1062))</f>
        <v/>
      </c>
      <c r="R1062" s="41" t="str">
        <f>IF(Table1[[#This Row],[QUANTITY]]=0,"",Table1[[#This Row],[UNIT PRICE]]*Table1[[#This Row],[QUANTITY]])</f>
        <v/>
      </c>
      <c r="S1062" s="89"/>
      <c r="T1062" s="38"/>
      <c r="U1062" s="43"/>
      <c r="V1062" s="42" t="str">
        <f>IF(Table1[[#This Row],[DATE]]=0,"",YEAR(E1062))</f>
        <v/>
      </c>
      <c r="W1062" s="40" t="str">
        <f t="shared" si="34"/>
        <v/>
      </c>
      <c r="X1062" s="40" t="str">
        <f t="shared" si="35"/>
        <v/>
      </c>
      <c r="Y1062" s="40" t="str">
        <f>TEXT(Table1[[#This Row],[YEAR]],"0000")&amp;"-"&amp;Table1[[#This Row],[MONTH]]</f>
        <v>-</v>
      </c>
    </row>
    <row r="1063" spans="1:25" ht="15" customHeight="1" x14ac:dyDescent="0.35">
      <c r="A1063" s="24"/>
      <c r="B1063" s="36"/>
      <c r="C1063" s="38"/>
      <c r="D1063" s="38"/>
      <c r="E1063" s="37"/>
      <c r="F1063" s="38"/>
      <c r="G1063" s="198"/>
      <c r="H1063" s="198"/>
      <c r="I1063" s="39"/>
      <c r="J1063" s="38"/>
      <c r="K1063" s="199"/>
      <c r="L1063" s="38"/>
      <c r="M1063" s="38"/>
      <c r="N1063" s="38"/>
      <c r="O1063" s="38"/>
      <c r="P1063" s="40" t="str" cm="1">
        <f t="array" ref="P1063">IF(N1063="","",IFERROR(_xlfn.XLOOKUP(F1063&amp;"|"&amp;J1063&amp;"|"&amp;O1063,PRICES!$C$2:$C$659&amp;"|"&amp;PRICES!$B$2:$B$659&amp;"|"&amp;PRICES!$D$2:$D$659,PRICES!$E$2:$E$659),"Not Found"))</f>
        <v/>
      </c>
      <c r="Q1063" s="100" t="str">
        <f>IF(N1063=0,"",SUMIFS(PRICES!$G$2:$G$658,PRICES!$B$2:$B$658,'MAIN TABLE-1 AUTOMATED'!J1063,PRICES!$C$2:$C$658,'MAIN TABLE-1 AUTOMATED'!F1063,PRICES!$D$2:$D$658,'MAIN TABLE-1 AUTOMATED'!O1063))</f>
        <v/>
      </c>
      <c r="R1063" s="41" t="str">
        <f>IF(Table1[[#This Row],[QUANTITY]]=0,"",Table1[[#This Row],[UNIT PRICE]]*Table1[[#This Row],[QUANTITY]])</f>
        <v/>
      </c>
      <c r="S1063" s="89"/>
      <c r="T1063" s="38"/>
      <c r="U1063" s="43"/>
      <c r="V1063" s="42" t="str">
        <f>IF(Table1[[#This Row],[DATE]]=0,"",YEAR(E1063))</f>
        <v/>
      </c>
      <c r="W1063" s="40" t="str">
        <f t="shared" si="34"/>
        <v/>
      </c>
      <c r="X1063" s="40" t="str">
        <f t="shared" si="35"/>
        <v/>
      </c>
      <c r="Y1063" s="40" t="str">
        <f>TEXT(Table1[[#This Row],[YEAR]],"0000")&amp;"-"&amp;Table1[[#This Row],[MONTH]]</f>
        <v>-</v>
      </c>
    </row>
    <row r="1064" spans="1:25" ht="15" customHeight="1" x14ac:dyDescent="0.35">
      <c r="A1064" s="24"/>
      <c r="B1064" s="36"/>
      <c r="C1064" s="38"/>
      <c r="D1064" s="38"/>
      <c r="E1064" s="37"/>
      <c r="F1064" s="38"/>
      <c r="G1064" s="198"/>
      <c r="H1064" s="198"/>
      <c r="I1064" s="39"/>
      <c r="J1064" s="38"/>
      <c r="K1064" s="199"/>
      <c r="L1064" s="38"/>
      <c r="M1064" s="38"/>
      <c r="N1064" s="38"/>
      <c r="O1064" s="38"/>
      <c r="P1064" s="40" t="str" cm="1">
        <f t="array" ref="P1064">IF(N1064="","",IFERROR(_xlfn.XLOOKUP(F1064&amp;"|"&amp;J1064&amp;"|"&amp;O1064,PRICES!$C$2:$C$659&amp;"|"&amp;PRICES!$B$2:$B$659&amp;"|"&amp;PRICES!$D$2:$D$659,PRICES!$E$2:$E$659),"Not Found"))</f>
        <v/>
      </c>
      <c r="Q1064" s="100" t="str">
        <f>IF(N1064=0,"",SUMIFS(PRICES!$G$2:$G$658,PRICES!$B$2:$B$658,'MAIN TABLE-1 AUTOMATED'!J1064,PRICES!$C$2:$C$658,'MAIN TABLE-1 AUTOMATED'!F1064,PRICES!$D$2:$D$658,'MAIN TABLE-1 AUTOMATED'!O1064))</f>
        <v/>
      </c>
      <c r="R1064" s="41" t="str">
        <f>IF(Table1[[#This Row],[QUANTITY]]=0,"",Table1[[#This Row],[UNIT PRICE]]*Table1[[#This Row],[QUANTITY]])</f>
        <v/>
      </c>
      <c r="S1064" s="89"/>
      <c r="T1064" s="38"/>
      <c r="U1064" s="43"/>
      <c r="V1064" s="42" t="str">
        <f>IF(Table1[[#This Row],[DATE]]=0,"",YEAR(E1064))</f>
        <v/>
      </c>
      <c r="W1064" s="40" t="str">
        <f t="shared" si="34"/>
        <v/>
      </c>
      <c r="X1064" s="40" t="str">
        <f t="shared" si="35"/>
        <v/>
      </c>
      <c r="Y1064" s="40" t="str">
        <f>TEXT(Table1[[#This Row],[YEAR]],"0000")&amp;"-"&amp;Table1[[#This Row],[MONTH]]</f>
        <v>-</v>
      </c>
    </row>
    <row r="1065" spans="1:25" ht="15" customHeight="1" x14ac:dyDescent="0.35">
      <c r="A1065" s="24"/>
      <c r="B1065" s="36"/>
      <c r="C1065" s="38"/>
      <c r="D1065" s="38"/>
      <c r="E1065" s="37"/>
      <c r="F1065" s="38"/>
      <c r="G1065" s="198"/>
      <c r="H1065" s="198"/>
      <c r="I1065" s="39"/>
      <c r="J1065" s="38"/>
      <c r="K1065" s="199"/>
      <c r="L1065" s="38"/>
      <c r="M1065" s="38"/>
      <c r="N1065" s="38"/>
      <c r="O1065" s="38"/>
      <c r="P1065" s="40" t="str" cm="1">
        <f t="array" ref="P1065">IF(N1065="","",IFERROR(_xlfn.XLOOKUP(F1065&amp;"|"&amp;J1065&amp;"|"&amp;O1065,PRICES!$C$2:$C$659&amp;"|"&amp;PRICES!$B$2:$B$659&amp;"|"&amp;PRICES!$D$2:$D$659,PRICES!$E$2:$E$659),"Not Found"))</f>
        <v/>
      </c>
      <c r="Q1065" s="100" t="str">
        <f>IF(N1065=0,"",SUMIFS(PRICES!$G$2:$G$658,PRICES!$B$2:$B$658,'MAIN TABLE-1 AUTOMATED'!J1065,PRICES!$C$2:$C$658,'MAIN TABLE-1 AUTOMATED'!F1065,PRICES!$D$2:$D$658,'MAIN TABLE-1 AUTOMATED'!O1065))</f>
        <v/>
      </c>
      <c r="R1065" s="41" t="str">
        <f>IF(Table1[[#This Row],[QUANTITY]]=0,"",Table1[[#This Row],[UNIT PRICE]]*Table1[[#This Row],[QUANTITY]])</f>
        <v/>
      </c>
      <c r="S1065" s="89"/>
      <c r="T1065" s="38"/>
      <c r="U1065" s="43"/>
      <c r="V1065" s="42" t="str">
        <f>IF(Table1[[#This Row],[DATE]]=0,"",YEAR(E1065))</f>
        <v/>
      </c>
      <c r="W1065" s="40" t="str">
        <f t="shared" si="34"/>
        <v/>
      </c>
      <c r="X1065" s="40" t="str">
        <f t="shared" si="35"/>
        <v/>
      </c>
      <c r="Y1065" s="40" t="str">
        <f>TEXT(Table1[[#This Row],[YEAR]],"0000")&amp;"-"&amp;Table1[[#This Row],[MONTH]]</f>
        <v>-</v>
      </c>
    </row>
    <row r="1066" spans="1:25" ht="15" customHeight="1" x14ac:dyDescent="0.35">
      <c r="A1066" s="24"/>
      <c r="B1066" s="36"/>
      <c r="C1066" s="38"/>
      <c r="D1066" s="38"/>
      <c r="E1066" s="37"/>
      <c r="F1066" s="38"/>
      <c r="G1066" s="198"/>
      <c r="H1066" s="198"/>
      <c r="I1066" s="39"/>
      <c r="J1066" s="38"/>
      <c r="K1066" s="199"/>
      <c r="L1066" s="38"/>
      <c r="M1066" s="38"/>
      <c r="N1066" s="38"/>
      <c r="O1066" s="38"/>
      <c r="P1066" s="40" t="str" cm="1">
        <f t="array" ref="P1066">IF(N1066="","",IFERROR(_xlfn.XLOOKUP(F1066&amp;"|"&amp;J1066&amp;"|"&amp;O1066,PRICES!$C$2:$C$659&amp;"|"&amp;PRICES!$B$2:$B$659&amp;"|"&amp;PRICES!$D$2:$D$659,PRICES!$E$2:$E$659),"Not Found"))</f>
        <v/>
      </c>
      <c r="Q1066" s="100" t="str">
        <f>IF(N1066=0,"",SUMIFS(PRICES!$G$2:$G$658,PRICES!$B$2:$B$658,'MAIN TABLE-1 AUTOMATED'!J1066,PRICES!$C$2:$C$658,'MAIN TABLE-1 AUTOMATED'!F1066,PRICES!$D$2:$D$658,'MAIN TABLE-1 AUTOMATED'!O1066))</f>
        <v/>
      </c>
      <c r="R1066" s="41" t="str">
        <f>IF(Table1[[#This Row],[QUANTITY]]=0,"",Table1[[#This Row],[UNIT PRICE]]*Table1[[#This Row],[QUANTITY]])</f>
        <v/>
      </c>
      <c r="S1066" s="89"/>
      <c r="T1066" s="38"/>
      <c r="U1066" s="43"/>
      <c r="V1066" s="42" t="str">
        <f>IF(Table1[[#This Row],[DATE]]=0,"",YEAR(E1066))</f>
        <v/>
      </c>
      <c r="W1066" s="40" t="str">
        <f t="shared" si="34"/>
        <v/>
      </c>
      <c r="X1066" s="40" t="str">
        <f t="shared" si="35"/>
        <v/>
      </c>
      <c r="Y1066" s="40" t="str">
        <f>TEXT(Table1[[#This Row],[YEAR]],"0000")&amp;"-"&amp;Table1[[#This Row],[MONTH]]</f>
        <v>-</v>
      </c>
    </row>
    <row r="1067" spans="1:25" ht="15" customHeight="1" x14ac:dyDescent="0.35">
      <c r="A1067" s="24"/>
      <c r="B1067" s="36"/>
      <c r="C1067" s="38"/>
      <c r="D1067" s="38"/>
      <c r="E1067" s="37"/>
      <c r="F1067" s="38"/>
      <c r="G1067" s="198"/>
      <c r="H1067" s="198"/>
      <c r="I1067" s="39"/>
      <c r="J1067" s="38"/>
      <c r="K1067" s="199"/>
      <c r="L1067" s="38"/>
      <c r="M1067" s="38"/>
      <c r="N1067" s="38"/>
      <c r="O1067" s="38"/>
      <c r="P1067" s="40" t="str" cm="1">
        <f t="array" ref="P1067">IF(N1067="","",IFERROR(_xlfn.XLOOKUP(F1067&amp;"|"&amp;J1067&amp;"|"&amp;O1067,PRICES!$C$2:$C$659&amp;"|"&amp;PRICES!$B$2:$B$659&amp;"|"&amp;PRICES!$D$2:$D$659,PRICES!$E$2:$E$659),"Not Found"))</f>
        <v/>
      </c>
      <c r="Q1067" s="100" t="str">
        <f>IF(N1067=0,"",SUMIFS(PRICES!$G$2:$G$658,PRICES!$B$2:$B$658,'MAIN TABLE-1 AUTOMATED'!J1067,PRICES!$C$2:$C$658,'MAIN TABLE-1 AUTOMATED'!F1067,PRICES!$D$2:$D$658,'MAIN TABLE-1 AUTOMATED'!O1067))</f>
        <v/>
      </c>
      <c r="R1067" s="41" t="str">
        <f>IF(Table1[[#This Row],[QUANTITY]]=0,"",Table1[[#This Row],[UNIT PRICE]]*Table1[[#This Row],[QUANTITY]])</f>
        <v/>
      </c>
      <c r="S1067" s="89"/>
      <c r="T1067" s="38"/>
      <c r="U1067" s="43"/>
      <c r="V1067" s="42" t="str">
        <f>IF(Table1[[#This Row],[DATE]]=0,"",YEAR(E1067))</f>
        <v/>
      </c>
      <c r="W1067" s="40" t="str">
        <f t="shared" si="34"/>
        <v/>
      </c>
      <c r="X1067" s="40" t="str">
        <f t="shared" si="35"/>
        <v/>
      </c>
      <c r="Y1067" s="40" t="str">
        <f>TEXT(Table1[[#This Row],[YEAR]],"0000")&amp;"-"&amp;Table1[[#This Row],[MONTH]]</f>
        <v>-</v>
      </c>
    </row>
    <row r="1068" spans="1:25" ht="15" customHeight="1" x14ac:dyDescent="0.35">
      <c r="A1068" s="24"/>
      <c r="B1068" s="38"/>
      <c r="C1068" s="38"/>
      <c r="D1068" s="38"/>
      <c r="E1068" s="37"/>
      <c r="F1068" s="38"/>
      <c r="G1068" s="198"/>
      <c r="H1068" s="198"/>
      <c r="I1068" s="39"/>
      <c r="J1068" s="38"/>
      <c r="K1068" s="198"/>
      <c r="L1068" s="38"/>
      <c r="M1068" s="38"/>
      <c r="N1068" s="38"/>
      <c r="O1068" s="38"/>
      <c r="P1068" s="40" t="str" cm="1">
        <f t="array" ref="P1068">IF(N1068="","",IFERROR(_xlfn.XLOOKUP(F1068&amp;"|"&amp;J1068&amp;"|"&amp;O1068,PRICES!$C$2:$C$659&amp;"|"&amp;PRICES!$B$2:$B$659&amp;"|"&amp;PRICES!$D$2:$D$659,PRICES!$E$2:$E$659),"Not Found"))</f>
        <v/>
      </c>
      <c r="Q1068" s="100" t="str">
        <f>IF(N1068=0,"",SUMIFS(PRICES!$G$2:$G$658,PRICES!$B$2:$B$658,'MAIN TABLE-1 AUTOMATED'!J1068,PRICES!$C$2:$C$658,'MAIN TABLE-1 AUTOMATED'!F1068,PRICES!$D$2:$D$658,'MAIN TABLE-1 AUTOMATED'!O1068))</f>
        <v/>
      </c>
      <c r="R1068" s="41" t="str">
        <f>IF(Table1[[#This Row],[QUANTITY]]=0,"",Table1[[#This Row],[UNIT PRICE]]*Table1[[#This Row],[QUANTITY]])</f>
        <v/>
      </c>
      <c r="S1068" s="89"/>
      <c r="T1068" s="38"/>
      <c r="U1068" s="43"/>
      <c r="V1068" s="42" t="str">
        <f>IF(Table1[[#This Row],[DATE]]=0,"",YEAR(E1068))</f>
        <v/>
      </c>
      <c r="W1068" s="40" t="str">
        <f t="shared" si="34"/>
        <v/>
      </c>
      <c r="X1068" s="40" t="str">
        <f t="shared" si="35"/>
        <v/>
      </c>
      <c r="Y1068" s="40" t="str">
        <f>TEXT(Table1[[#This Row],[YEAR]],"0000")&amp;"-"&amp;Table1[[#This Row],[MONTH]]</f>
        <v>-</v>
      </c>
    </row>
    <row r="1069" spans="1:25" ht="15" customHeight="1" x14ac:dyDescent="0.35">
      <c r="A1069" s="24"/>
      <c r="B1069" s="38"/>
      <c r="C1069" s="38"/>
      <c r="D1069" s="38"/>
      <c r="E1069" s="37"/>
      <c r="F1069" s="38"/>
      <c r="G1069" s="198"/>
      <c r="H1069" s="198"/>
      <c r="I1069" s="39"/>
      <c r="J1069" s="38"/>
      <c r="K1069" s="198"/>
      <c r="L1069" s="38"/>
      <c r="M1069" s="38"/>
      <c r="N1069" s="38"/>
      <c r="O1069" s="38"/>
      <c r="P1069" s="40" t="str" cm="1">
        <f t="array" ref="P1069">IF(N1069="","",IFERROR(_xlfn.XLOOKUP(F1069&amp;"|"&amp;J1069&amp;"|"&amp;O1069,PRICES!$C$2:$C$659&amp;"|"&amp;PRICES!$B$2:$B$659&amp;"|"&amp;PRICES!$D$2:$D$659,PRICES!$E$2:$E$659),"Not Found"))</f>
        <v/>
      </c>
      <c r="Q1069" s="100" t="str">
        <f>IF(N1069=0,"",SUMIFS(PRICES!$G$2:$G$658,PRICES!$B$2:$B$658,'MAIN TABLE-1 AUTOMATED'!J1069,PRICES!$C$2:$C$658,'MAIN TABLE-1 AUTOMATED'!F1069,PRICES!$D$2:$D$658,'MAIN TABLE-1 AUTOMATED'!O1069))</f>
        <v/>
      </c>
      <c r="R1069" s="41" t="str">
        <f>IF(Table1[[#This Row],[QUANTITY]]=0,"",Table1[[#This Row],[UNIT PRICE]]*Table1[[#This Row],[QUANTITY]])</f>
        <v/>
      </c>
      <c r="S1069" s="89"/>
      <c r="T1069" s="38"/>
      <c r="U1069" s="43"/>
      <c r="V1069" s="42" t="str">
        <f>IF(Table1[[#This Row],[DATE]]=0,"",YEAR(E1069))</f>
        <v/>
      </c>
      <c r="W1069" s="40" t="str">
        <f t="shared" si="34"/>
        <v/>
      </c>
      <c r="X1069" s="40" t="str">
        <f t="shared" si="35"/>
        <v/>
      </c>
      <c r="Y1069" s="40" t="str">
        <f>TEXT(Table1[[#This Row],[YEAR]],"0000")&amp;"-"&amp;Table1[[#This Row],[MONTH]]</f>
        <v>-</v>
      </c>
    </row>
    <row r="1070" spans="1:25" ht="15" customHeight="1" x14ac:dyDescent="0.35">
      <c r="A1070" s="24"/>
      <c r="B1070" s="38"/>
      <c r="C1070" s="38"/>
      <c r="D1070" s="38"/>
      <c r="E1070" s="37"/>
      <c r="F1070" s="38"/>
      <c r="G1070" s="198"/>
      <c r="H1070" s="198"/>
      <c r="I1070" s="39"/>
      <c r="J1070" s="38"/>
      <c r="K1070" s="198"/>
      <c r="L1070" s="38"/>
      <c r="M1070" s="38"/>
      <c r="N1070" s="38"/>
      <c r="O1070" s="38"/>
      <c r="P1070" s="40" t="str" cm="1">
        <f t="array" ref="P1070">IF(N1070="","",IFERROR(_xlfn.XLOOKUP(F1070&amp;"|"&amp;J1070&amp;"|"&amp;O1070,PRICES!$C$2:$C$659&amp;"|"&amp;PRICES!$B$2:$B$659&amp;"|"&amp;PRICES!$D$2:$D$659,PRICES!$E$2:$E$659),"Not Found"))</f>
        <v/>
      </c>
      <c r="Q1070" s="100" t="str">
        <f>IF(N1070=0,"",SUMIFS(PRICES!$G$2:$G$658,PRICES!$B$2:$B$658,'MAIN TABLE-1 AUTOMATED'!J1070,PRICES!$C$2:$C$658,'MAIN TABLE-1 AUTOMATED'!F1070,PRICES!$D$2:$D$658,'MAIN TABLE-1 AUTOMATED'!O1070))</f>
        <v/>
      </c>
      <c r="R1070" s="41" t="str">
        <f>IF(Table1[[#This Row],[QUANTITY]]=0,"",Table1[[#This Row],[UNIT PRICE]]*Table1[[#This Row],[QUANTITY]])</f>
        <v/>
      </c>
      <c r="S1070" s="89"/>
      <c r="T1070" s="38"/>
      <c r="U1070" s="43"/>
      <c r="V1070" s="42" t="str">
        <f>IF(Table1[[#This Row],[DATE]]=0,"",YEAR(E1070))</f>
        <v/>
      </c>
      <c r="W1070" s="40" t="str">
        <f t="shared" si="34"/>
        <v/>
      </c>
      <c r="X1070" s="40" t="str">
        <f t="shared" si="35"/>
        <v/>
      </c>
      <c r="Y1070" s="40" t="str">
        <f>TEXT(Table1[[#This Row],[YEAR]],"0000")&amp;"-"&amp;Table1[[#This Row],[MONTH]]</f>
        <v>-</v>
      </c>
    </row>
    <row r="1071" spans="1:25" ht="15" customHeight="1" x14ac:dyDescent="0.35">
      <c r="A1071" s="24"/>
      <c r="B1071" s="36"/>
      <c r="C1071" s="38"/>
      <c r="D1071" s="38"/>
      <c r="E1071" s="37"/>
      <c r="F1071" s="38"/>
      <c r="G1071" s="198"/>
      <c r="H1071" s="198"/>
      <c r="I1071" s="39"/>
      <c r="J1071" s="38"/>
      <c r="K1071" s="198"/>
      <c r="L1071" s="38"/>
      <c r="M1071" s="38"/>
      <c r="N1071" s="38"/>
      <c r="O1071" s="38"/>
      <c r="P1071" s="40" t="str" cm="1">
        <f t="array" ref="P1071">IF(N1071="","",IFERROR(_xlfn.XLOOKUP(F1071&amp;"|"&amp;J1071&amp;"|"&amp;O1071,PRICES!$C$2:$C$659&amp;"|"&amp;PRICES!$B$2:$B$659&amp;"|"&amp;PRICES!$D$2:$D$659,PRICES!$E$2:$E$659),"Not Found"))</f>
        <v/>
      </c>
      <c r="Q1071" s="100" t="str">
        <f>IF(N1071=0,"",SUMIFS(PRICES!$G$2:$G$658,PRICES!$B$2:$B$658,'MAIN TABLE-1 AUTOMATED'!J1071,PRICES!$C$2:$C$658,'MAIN TABLE-1 AUTOMATED'!F1071,PRICES!$D$2:$D$658,'MAIN TABLE-1 AUTOMATED'!O1071))</f>
        <v/>
      </c>
      <c r="R1071" s="41" t="str">
        <f>IF(Table1[[#This Row],[QUANTITY]]=0,"",Table1[[#This Row],[UNIT PRICE]]*Table1[[#This Row],[QUANTITY]])</f>
        <v/>
      </c>
      <c r="S1071" s="89"/>
      <c r="T1071" s="38"/>
      <c r="U1071" s="43"/>
      <c r="V1071" s="42" t="str">
        <f>IF(Table1[[#This Row],[DATE]]=0,"",YEAR(E1071))</f>
        <v/>
      </c>
      <c r="W1071" s="40" t="str">
        <f t="shared" si="34"/>
        <v/>
      </c>
      <c r="X1071" s="40" t="str">
        <f t="shared" si="35"/>
        <v/>
      </c>
      <c r="Y1071" s="40" t="str">
        <f>TEXT(Table1[[#This Row],[YEAR]],"0000")&amp;"-"&amp;Table1[[#This Row],[MONTH]]</f>
        <v>-</v>
      </c>
    </row>
    <row r="1072" spans="1:25" ht="15" customHeight="1" x14ac:dyDescent="0.35">
      <c r="A1072" s="24"/>
      <c r="B1072" s="36"/>
      <c r="C1072" s="38"/>
      <c r="D1072" s="38"/>
      <c r="E1072" s="37"/>
      <c r="F1072" s="38"/>
      <c r="G1072" s="198"/>
      <c r="H1072" s="198"/>
      <c r="I1072" s="39"/>
      <c r="J1072" s="38"/>
      <c r="K1072" s="198"/>
      <c r="L1072" s="38"/>
      <c r="M1072" s="38"/>
      <c r="N1072" s="38"/>
      <c r="O1072" s="38"/>
      <c r="P1072" s="40" t="str" cm="1">
        <f t="array" ref="P1072">IF(N1072="","",IFERROR(_xlfn.XLOOKUP(F1072&amp;"|"&amp;J1072&amp;"|"&amp;O1072,PRICES!$C$2:$C$659&amp;"|"&amp;PRICES!$B$2:$B$659&amp;"|"&amp;PRICES!$D$2:$D$659,PRICES!$E$2:$E$659),"Not Found"))</f>
        <v/>
      </c>
      <c r="Q1072" s="100" t="str">
        <f>IF(N1072=0,"",SUMIFS(PRICES!$G$2:$G$658,PRICES!$B$2:$B$658,'MAIN TABLE-1 AUTOMATED'!J1072,PRICES!$C$2:$C$658,'MAIN TABLE-1 AUTOMATED'!F1072,PRICES!$D$2:$D$658,'MAIN TABLE-1 AUTOMATED'!O1072))</f>
        <v/>
      </c>
      <c r="R1072" s="41" t="str">
        <f>IF(Table1[[#This Row],[QUANTITY]]=0,"",Table1[[#This Row],[UNIT PRICE]]*Table1[[#This Row],[QUANTITY]])</f>
        <v/>
      </c>
      <c r="S1072" s="89"/>
      <c r="T1072" s="38"/>
      <c r="U1072" s="43"/>
      <c r="V1072" s="42" t="str">
        <f>IF(Table1[[#This Row],[DATE]]=0,"",YEAR(E1072))</f>
        <v/>
      </c>
      <c r="W1072" s="40" t="str">
        <f t="shared" si="34"/>
        <v/>
      </c>
      <c r="X1072" s="40" t="str">
        <f t="shared" si="35"/>
        <v/>
      </c>
      <c r="Y1072" s="40" t="str">
        <f>TEXT(Table1[[#This Row],[YEAR]],"0000")&amp;"-"&amp;Table1[[#This Row],[MONTH]]</f>
        <v>-</v>
      </c>
    </row>
    <row r="1073" spans="1:25" ht="15" customHeight="1" x14ac:dyDescent="0.35">
      <c r="A1073" s="24"/>
      <c r="B1073" s="36"/>
      <c r="C1073" s="38"/>
      <c r="D1073" s="38"/>
      <c r="E1073" s="37"/>
      <c r="F1073" s="38"/>
      <c r="G1073" s="198"/>
      <c r="H1073" s="198"/>
      <c r="I1073" s="39"/>
      <c r="J1073" s="38"/>
      <c r="K1073" s="198"/>
      <c r="L1073" s="38"/>
      <c r="M1073" s="38"/>
      <c r="N1073" s="38"/>
      <c r="O1073" s="38"/>
      <c r="P1073" s="40" t="str" cm="1">
        <f t="array" ref="P1073">IF(N1073="","",IFERROR(_xlfn.XLOOKUP(F1073&amp;"|"&amp;J1073&amp;"|"&amp;O1073,PRICES!$C$2:$C$659&amp;"|"&amp;PRICES!$B$2:$B$659&amp;"|"&amp;PRICES!$D$2:$D$659,PRICES!$E$2:$E$659),"Not Found"))</f>
        <v/>
      </c>
      <c r="Q1073" s="100" t="str">
        <f>IF(N1073=0,"",SUMIFS(PRICES!$G$2:$G$658,PRICES!$B$2:$B$658,'MAIN TABLE-1 AUTOMATED'!J1073,PRICES!$C$2:$C$658,'MAIN TABLE-1 AUTOMATED'!F1073,PRICES!$D$2:$D$658,'MAIN TABLE-1 AUTOMATED'!O1073))</f>
        <v/>
      </c>
      <c r="R1073" s="41" t="str">
        <f>IF(Table1[[#This Row],[QUANTITY]]=0,"",Table1[[#This Row],[UNIT PRICE]]*Table1[[#This Row],[QUANTITY]])</f>
        <v/>
      </c>
      <c r="S1073" s="89"/>
      <c r="T1073" s="38"/>
      <c r="U1073" s="43"/>
      <c r="V1073" s="42" t="str">
        <f>IF(Table1[[#This Row],[DATE]]=0,"",YEAR(E1073))</f>
        <v/>
      </c>
      <c r="W1073" s="40" t="str">
        <f t="shared" si="34"/>
        <v/>
      </c>
      <c r="X1073" s="40" t="str">
        <f t="shared" si="35"/>
        <v/>
      </c>
      <c r="Y1073" s="40" t="str">
        <f>TEXT(Table1[[#This Row],[YEAR]],"0000")&amp;"-"&amp;Table1[[#This Row],[MONTH]]</f>
        <v>-</v>
      </c>
    </row>
    <row r="1074" spans="1:25" ht="15" customHeight="1" x14ac:dyDescent="0.35">
      <c r="A1074" s="24"/>
      <c r="B1074" s="36"/>
      <c r="C1074" s="38"/>
      <c r="D1074" s="38"/>
      <c r="E1074" s="37"/>
      <c r="F1074" s="38"/>
      <c r="G1074" s="198"/>
      <c r="H1074" s="198"/>
      <c r="I1074" s="39"/>
      <c r="J1074" s="38"/>
      <c r="K1074" s="198"/>
      <c r="L1074" s="38"/>
      <c r="M1074" s="38"/>
      <c r="N1074" s="38"/>
      <c r="O1074" s="38"/>
      <c r="P1074" s="40" t="str" cm="1">
        <f t="array" ref="P1074">IF(N1074="","",IFERROR(_xlfn.XLOOKUP(F1074&amp;"|"&amp;J1074&amp;"|"&amp;O1074,PRICES!$C$2:$C$659&amp;"|"&amp;PRICES!$B$2:$B$659&amp;"|"&amp;PRICES!$D$2:$D$659,PRICES!$E$2:$E$659),"Not Found"))</f>
        <v/>
      </c>
      <c r="Q1074" s="100" t="str">
        <f>IF(N1074=0,"",SUMIFS(PRICES!$G$2:$G$658,PRICES!$B$2:$B$658,'MAIN TABLE-1 AUTOMATED'!J1074,PRICES!$C$2:$C$658,'MAIN TABLE-1 AUTOMATED'!F1074,PRICES!$D$2:$D$658,'MAIN TABLE-1 AUTOMATED'!O1074))</f>
        <v/>
      </c>
      <c r="R1074" s="41" t="str">
        <f>IF(Table1[[#This Row],[QUANTITY]]=0,"",Table1[[#This Row],[UNIT PRICE]]*Table1[[#This Row],[QUANTITY]])</f>
        <v/>
      </c>
      <c r="S1074" s="89"/>
      <c r="T1074" s="38"/>
      <c r="U1074" s="43"/>
      <c r="V1074" s="42" t="str">
        <f>IF(Table1[[#This Row],[DATE]]=0,"",YEAR(E1074))</f>
        <v/>
      </c>
      <c r="W1074" s="40" t="str">
        <f t="shared" si="34"/>
        <v/>
      </c>
      <c r="X1074" s="40" t="str">
        <f t="shared" si="35"/>
        <v/>
      </c>
      <c r="Y1074" s="40" t="str">
        <f>TEXT(Table1[[#This Row],[YEAR]],"0000")&amp;"-"&amp;Table1[[#This Row],[MONTH]]</f>
        <v>-</v>
      </c>
    </row>
    <row r="1075" spans="1:25" ht="15" customHeight="1" x14ac:dyDescent="0.35">
      <c r="A1075" s="24"/>
      <c r="B1075" s="36"/>
      <c r="C1075" s="38"/>
      <c r="D1075" s="38"/>
      <c r="E1075" s="37"/>
      <c r="F1075" s="38"/>
      <c r="G1075" s="198"/>
      <c r="H1075" s="198"/>
      <c r="I1075" s="39"/>
      <c r="J1075" s="38"/>
      <c r="K1075" s="198"/>
      <c r="L1075" s="38"/>
      <c r="M1075" s="38"/>
      <c r="N1075" s="38"/>
      <c r="O1075" s="38"/>
      <c r="P1075" s="40" t="str" cm="1">
        <f t="array" ref="P1075">IF(N1075="","",IFERROR(_xlfn.XLOOKUP(F1075&amp;"|"&amp;J1075&amp;"|"&amp;O1075,PRICES!$C$2:$C$659&amp;"|"&amp;PRICES!$B$2:$B$659&amp;"|"&amp;PRICES!$D$2:$D$659,PRICES!$E$2:$E$659),"Not Found"))</f>
        <v/>
      </c>
      <c r="Q1075" s="100" t="str">
        <f>IF(N1075=0,"",SUMIFS(PRICES!$G$2:$G$658,PRICES!$B$2:$B$658,'MAIN TABLE-1 AUTOMATED'!J1075,PRICES!$C$2:$C$658,'MAIN TABLE-1 AUTOMATED'!F1075,PRICES!$D$2:$D$658,'MAIN TABLE-1 AUTOMATED'!O1075))</f>
        <v/>
      </c>
      <c r="R1075" s="41" t="str">
        <f>IF(Table1[[#This Row],[QUANTITY]]=0,"",Table1[[#This Row],[UNIT PRICE]]*Table1[[#This Row],[QUANTITY]])</f>
        <v/>
      </c>
      <c r="S1075" s="89"/>
      <c r="T1075" s="38"/>
      <c r="U1075" s="43"/>
      <c r="V1075" s="42" t="str">
        <f>IF(Table1[[#This Row],[DATE]]=0,"",YEAR(E1075))</f>
        <v/>
      </c>
      <c r="W1075" s="40" t="str">
        <f t="shared" si="34"/>
        <v/>
      </c>
      <c r="X1075" s="40" t="str">
        <f t="shared" si="35"/>
        <v/>
      </c>
      <c r="Y1075" s="40" t="str">
        <f>TEXT(Table1[[#This Row],[YEAR]],"0000")&amp;"-"&amp;Table1[[#This Row],[MONTH]]</f>
        <v>-</v>
      </c>
    </row>
    <row r="1076" spans="1:25" ht="15" customHeight="1" x14ac:dyDescent="0.35">
      <c r="A1076" s="24"/>
      <c r="B1076" s="36"/>
      <c r="C1076" s="38"/>
      <c r="D1076" s="38"/>
      <c r="E1076" s="37"/>
      <c r="F1076" s="38"/>
      <c r="G1076" s="198"/>
      <c r="H1076" s="198"/>
      <c r="I1076" s="39"/>
      <c r="J1076" s="38"/>
      <c r="K1076" s="198"/>
      <c r="L1076" s="38"/>
      <c r="M1076" s="38"/>
      <c r="N1076" s="38"/>
      <c r="O1076" s="38"/>
      <c r="P1076" s="40" t="str" cm="1">
        <f t="array" ref="P1076">IF(N1076="","",IFERROR(_xlfn.XLOOKUP(F1076&amp;"|"&amp;J1076&amp;"|"&amp;O1076,PRICES!$C$2:$C$659&amp;"|"&amp;PRICES!$B$2:$B$659&amp;"|"&amp;PRICES!$D$2:$D$659,PRICES!$E$2:$E$659),"Not Found"))</f>
        <v/>
      </c>
      <c r="Q1076" s="100" t="str">
        <f>IF(N1076=0,"",SUMIFS(PRICES!$G$2:$G$658,PRICES!$B$2:$B$658,'MAIN TABLE-1 AUTOMATED'!J1076,PRICES!$C$2:$C$658,'MAIN TABLE-1 AUTOMATED'!F1076,PRICES!$D$2:$D$658,'MAIN TABLE-1 AUTOMATED'!O1076))</f>
        <v/>
      </c>
      <c r="R1076" s="41" t="str">
        <f>IF(Table1[[#This Row],[QUANTITY]]=0,"",Table1[[#This Row],[UNIT PRICE]]*Table1[[#This Row],[QUANTITY]])</f>
        <v/>
      </c>
      <c r="S1076" s="89"/>
      <c r="T1076" s="38"/>
      <c r="U1076" s="43"/>
      <c r="V1076" s="42" t="str">
        <f>IF(Table1[[#This Row],[DATE]]=0,"",YEAR(E1076))</f>
        <v/>
      </c>
      <c r="W1076" s="40" t="str">
        <f t="shared" si="34"/>
        <v/>
      </c>
      <c r="X1076" s="40" t="str">
        <f t="shared" si="35"/>
        <v/>
      </c>
      <c r="Y1076" s="40" t="str">
        <f>TEXT(Table1[[#This Row],[YEAR]],"0000")&amp;"-"&amp;Table1[[#This Row],[MONTH]]</f>
        <v>-</v>
      </c>
    </row>
    <row r="1077" spans="1:25" ht="15" customHeight="1" x14ac:dyDescent="0.35">
      <c r="A1077" s="24"/>
      <c r="B1077" s="36"/>
      <c r="C1077" s="38"/>
      <c r="D1077" s="38"/>
      <c r="E1077" s="37"/>
      <c r="F1077" s="38"/>
      <c r="G1077" s="198"/>
      <c r="H1077" s="198"/>
      <c r="I1077" s="39"/>
      <c r="J1077" s="38"/>
      <c r="K1077" s="199"/>
      <c r="L1077" s="38"/>
      <c r="M1077" s="38"/>
      <c r="N1077" s="38"/>
      <c r="O1077" s="38"/>
      <c r="P1077" s="40" t="str" cm="1">
        <f t="array" ref="P1077">IF(N1077="","",IFERROR(_xlfn.XLOOKUP(F1077&amp;"|"&amp;J1077&amp;"|"&amp;O1077,PRICES!$C$2:$C$659&amp;"|"&amp;PRICES!$B$2:$B$659&amp;"|"&amp;PRICES!$D$2:$D$659,PRICES!$E$2:$E$659),"Not Found"))</f>
        <v/>
      </c>
      <c r="Q1077" s="100" t="str">
        <f>IF(N1077=0,"",SUMIFS(PRICES!$G$2:$G$658,PRICES!$B$2:$B$658,'MAIN TABLE-1 AUTOMATED'!J1077,PRICES!$C$2:$C$658,'MAIN TABLE-1 AUTOMATED'!F1077,PRICES!$D$2:$D$658,'MAIN TABLE-1 AUTOMATED'!O1077))</f>
        <v/>
      </c>
      <c r="R1077" s="41" t="str">
        <f>IF(Table1[[#This Row],[QUANTITY]]=0,"",Table1[[#This Row],[UNIT PRICE]]*Table1[[#This Row],[QUANTITY]])</f>
        <v/>
      </c>
      <c r="S1077" s="89"/>
      <c r="T1077" s="38"/>
      <c r="U1077" s="43"/>
      <c r="V1077" s="42" t="str">
        <f>IF(Table1[[#This Row],[DATE]]=0,"",YEAR(E1077))</f>
        <v/>
      </c>
      <c r="W1077" s="40" t="str">
        <f t="shared" si="34"/>
        <v/>
      </c>
      <c r="X1077" s="40" t="str">
        <f t="shared" si="35"/>
        <v/>
      </c>
      <c r="Y1077" s="40" t="str">
        <f>TEXT(Table1[[#This Row],[YEAR]],"0000")&amp;"-"&amp;Table1[[#This Row],[MONTH]]</f>
        <v>-</v>
      </c>
    </row>
    <row r="1078" spans="1:25" ht="15" customHeight="1" x14ac:dyDescent="0.35">
      <c r="A1078" s="24"/>
      <c r="B1078" s="36"/>
      <c r="C1078" s="38"/>
      <c r="D1078" s="38"/>
      <c r="E1078" s="37"/>
      <c r="F1078" s="38"/>
      <c r="G1078" s="198"/>
      <c r="H1078" s="198"/>
      <c r="I1078" s="39"/>
      <c r="J1078" s="38"/>
      <c r="K1078" s="198"/>
      <c r="L1078" s="38"/>
      <c r="M1078" s="38"/>
      <c r="N1078" s="38"/>
      <c r="O1078" s="38"/>
      <c r="P1078" s="40" t="str" cm="1">
        <f t="array" ref="P1078">IF(N1078="","",IFERROR(_xlfn.XLOOKUP(F1078&amp;"|"&amp;J1078&amp;"|"&amp;O1078,PRICES!$C$2:$C$659&amp;"|"&amp;PRICES!$B$2:$B$659&amp;"|"&amp;PRICES!$D$2:$D$659,PRICES!$E$2:$E$659),"Not Found"))</f>
        <v/>
      </c>
      <c r="Q1078" s="100" t="str">
        <f>IF(N1078=0,"",SUMIFS(PRICES!$G$2:$G$658,PRICES!$B$2:$B$658,'MAIN TABLE-1 AUTOMATED'!J1078,PRICES!$C$2:$C$658,'MAIN TABLE-1 AUTOMATED'!F1078,PRICES!$D$2:$D$658,'MAIN TABLE-1 AUTOMATED'!O1078))</f>
        <v/>
      </c>
      <c r="R1078" s="41" t="str">
        <f>IF(Table1[[#This Row],[QUANTITY]]=0,"",Table1[[#This Row],[UNIT PRICE]]*Table1[[#This Row],[QUANTITY]])</f>
        <v/>
      </c>
      <c r="S1078" s="89"/>
      <c r="T1078" s="38"/>
      <c r="U1078" s="43"/>
      <c r="V1078" s="42" t="str">
        <f>IF(Table1[[#This Row],[DATE]]=0,"",YEAR(E1078))</f>
        <v/>
      </c>
      <c r="W1078" s="40" t="str">
        <f t="shared" si="34"/>
        <v/>
      </c>
      <c r="X1078" s="40" t="str">
        <f t="shared" si="35"/>
        <v/>
      </c>
      <c r="Y1078" s="40" t="str">
        <f>TEXT(Table1[[#This Row],[YEAR]],"0000")&amp;"-"&amp;Table1[[#This Row],[MONTH]]</f>
        <v>-</v>
      </c>
    </row>
    <row r="1079" spans="1:25" ht="15" customHeight="1" x14ac:dyDescent="0.35">
      <c r="A1079" s="24"/>
      <c r="B1079" s="36"/>
      <c r="C1079" s="38"/>
      <c r="D1079" s="38"/>
      <c r="E1079" s="37"/>
      <c r="F1079" s="38"/>
      <c r="G1079" s="198"/>
      <c r="H1079" s="198"/>
      <c r="I1079" s="39"/>
      <c r="J1079" s="38"/>
      <c r="K1079" s="198"/>
      <c r="L1079" s="38"/>
      <c r="M1079" s="38"/>
      <c r="N1079" s="38"/>
      <c r="O1079" s="38"/>
      <c r="P1079" s="40" t="str" cm="1">
        <f t="array" ref="P1079">IF(N1079="","",IFERROR(_xlfn.XLOOKUP(F1079&amp;"|"&amp;J1079&amp;"|"&amp;O1079,PRICES!$C$2:$C$659&amp;"|"&amp;PRICES!$B$2:$B$659&amp;"|"&amp;PRICES!$D$2:$D$659,PRICES!$E$2:$E$659),"Not Found"))</f>
        <v/>
      </c>
      <c r="Q1079" s="100" t="str">
        <f>IF(N1079=0,"",SUMIFS(PRICES!$G$2:$G$658,PRICES!$B$2:$B$658,'MAIN TABLE-1 AUTOMATED'!J1079,PRICES!$C$2:$C$658,'MAIN TABLE-1 AUTOMATED'!F1079,PRICES!$D$2:$D$658,'MAIN TABLE-1 AUTOMATED'!O1079))</f>
        <v/>
      </c>
      <c r="R1079" s="41" t="str">
        <f>IF(Table1[[#This Row],[QUANTITY]]=0,"",Table1[[#This Row],[UNIT PRICE]]*Table1[[#This Row],[QUANTITY]])</f>
        <v/>
      </c>
      <c r="S1079" s="89"/>
      <c r="T1079" s="38"/>
      <c r="U1079" s="43"/>
      <c r="V1079" s="42" t="str">
        <f>IF(Table1[[#This Row],[DATE]]=0,"",YEAR(E1079))</f>
        <v/>
      </c>
      <c r="W1079" s="40" t="str">
        <f t="shared" si="34"/>
        <v/>
      </c>
      <c r="X1079" s="40" t="str">
        <f t="shared" si="35"/>
        <v/>
      </c>
      <c r="Y1079" s="40" t="str">
        <f>TEXT(Table1[[#This Row],[YEAR]],"0000")&amp;"-"&amp;Table1[[#This Row],[MONTH]]</f>
        <v>-</v>
      </c>
    </row>
    <row r="1080" spans="1:25" ht="15" customHeight="1" x14ac:dyDescent="0.35">
      <c r="A1080" s="24"/>
      <c r="B1080" s="36"/>
      <c r="C1080" s="38"/>
      <c r="D1080" s="38"/>
      <c r="E1080" s="37"/>
      <c r="F1080" s="38"/>
      <c r="G1080" s="198"/>
      <c r="H1080" s="198"/>
      <c r="I1080" s="39"/>
      <c r="J1080" s="38"/>
      <c r="K1080" s="198"/>
      <c r="L1080" s="38"/>
      <c r="M1080" s="38"/>
      <c r="N1080" s="38"/>
      <c r="O1080" s="38"/>
      <c r="P1080" s="40" t="str" cm="1">
        <f t="array" ref="P1080">IF(N1080="","",IFERROR(_xlfn.XLOOKUP(F1080&amp;"|"&amp;J1080&amp;"|"&amp;O1080,PRICES!$C$2:$C$659&amp;"|"&amp;PRICES!$B$2:$B$659&amp;"|"&amp;PRICES!$D$2:$D$659,PRICES!$E$2:$E$659),"Not Found"))</f>
        <v/>
      </c>
      <c r="Q1080" s="100" t="str">
        <f>IF(N1080=0,"",SUMIFS(PRICES!$G$2:$G$658,PRICES!$B$2:$B$658,'MAIN TABLE-1 AUTOMATED'!J1080,PRICES!$C$2:$C$658,'MAIN TABLE-1 AUTOMATED'!F1080,PRICES!$D$2:$D$658,'MAIN TABLE-1 AUTOMATED'!O1080))</f>
        <v/>
      </c>
      <c r="R1080" s="41" t="str">
        <f>IF(Table1[[#This Row],[QUANTITY]]=0,"",Table1[[#This Row],[UNIT PRICE]]*Table1[[#This Row],[QUANTITY]])</f>
        <v/>
      </c>
      <c r="S1080" s="89"/>
      <c r="T1080" s="38"/>
      <c r="U1080" s="43"/>
      <c r="V1080" s="42" t="str">
        <f>IF(Table1[[#This Row],[DATE]]=0,"",YEAR(E1080))</f>
        <v/>
      </c>
      <c r="W1080" s="40" t="str">
        <f t="shared" si="34"/>
        <v/>
      </c>
      <c r="X1080" s="40" t="str">
        <f t="shared" si="35"/>
        <v/>
      </c>
      <c r="Y1080" s="40" t="str">
        <f>TEXT(Table1[[#This Row],[YEAR]],"0000")&amp;"-"&amp;Table1[[#This Row],[MONTH]]</f>
        <v>-</v>
      </c>
    </row>
    <row r="1081" spans="1:25" ht="15" customHeight="1" x14ac:dyDescent="0.35">
      <c r="A1081" s="24"/>
      <c r="B1081" s="36"/>
      <c r="C1081" s="38"/>
      <c r="D1081" s="38"/>
      <c r="E1081" s="37"/>
      <c r="F1081" s="38"/>
      <c r="G1081" s="198"/>
      <c r="H1081" s="198"/>
      <c r="I1081" s="39"/>
      <c r="J1081" s="38"/>
      <c r="K1081" s="198"/>
      <c r="L1081" s="38"/>
      <c r="M1081" s="38"/>
      <c r="N1081" s="38"/>
      <c r="O1081" s="38"/>
      <c r="P1081" s="40" t="str" cm="1">
        <f t="array" ref="P1081">IF(N1081="","",IFERROR(_xlfn.XLOOKUP(F1081&amp;"|"&amp;J1081&amp;"|"&amp;O1081,PRICES!$C$2:$C$659&amp;"|"&amp;PRICES!$B$2:$B$659&amp;"|"&amp;PRICES!$D$2:$D$659,PRICES!$E$2:$E$659),"Not Found"))</f>
        <v/>
      </c>
      <c r="Q1081" s="100" t="str">
        <f>IF(N1081=0,"",SUMIFS(PRICES!$G$2:$G$658,PRICES!$B$2:$B$658,'MAIN TABLE-1 AUTOMATED'!J1081,PRICES!$C$2:$C$658,'MAIN TABLE-1 AUTOMATED'!F1081,PRICES!$D$2:$D$658,'MAIN TABLE-1 AUTOMATED'!O1081))</f>
        <v/>
      </c>
      <c r="R1081" s="41" t="str">
        <f>IF(Table1[[#This Row],[QUANTITY]]=0,"",Table1[[#This Row],[UNIT PRICE]]*Table1[[#This Row],[QUANTITY]])</f>
        <v/>
      </c>
      <c r="S1081" s="89"/>
      <c r="T1081" s="38"/>
      <c r="U1081" s="43"/>
      <c r="V1081" s="42" t="str">
        <f>IF(Table1[[#This Row],[DATE]]=0,"",YEAR(E1081))</f>
        <v/>
      </c>
      <c r="W1081" s="40" t="str">
        <f t="shared" si="34"/>
        <v/>
      </c>
      <c r="X1081" s="40" t="str">
        <f t="shared" si="35"/>
        <v/>
      </c>
      <c r="Y1081" s="40" t="str">
        <f>TEXT(Table1[[#This Row],[YEAR]],"0000")&amp;"-"&amp;Table1[[#This Row],[MONTH]]</f>
        <v>-</v>
      </c>
    </row>
    <row r="1082" spans="1:25" ht="15" customHeight="1" x14ac:dyDescent="0.35">
      <c r="A1082" s="24"/>
      <c r="B1082" s="36"/>
      <c r="C1082" s="38"/>
      <c r="D1082" s="38"/>
      <c r="E1082" s="37"/>
      <c r="F1082" s="38"/>
      <c r="G1082" s="198"/>
      <c r="H1082" s="198"/>
      <c r="I1082" s="39"/>
      <c r="J1082" s="38"/>
      <c r="K1082" s="199"/>
      <c r="L1082" s="38"/>
      <c r="M1082" s="38"/>
      <c r="N1082" s="38"/>
      <c r="O1082" s="38"/>
      <c r="P1082" s="40" t="str" cm="1">
        <f t="array" ref="P1082">IF(N1082="","",IFERROR(_xlfn.XLOOKUP(F1082&amp;"|"&amp;J1082&amp;"|"&amp;O1082,PRICES!$C$2:$C$659&amp;"|"&amp;PRICES!$B$2:$B$659&amp;"|"&amp;PRICES!$D$2:$D$659,PRICES!$E$2:$E$659),"Not Found"))</f>
        <v/>
      </c>
      <c r="Q1082" s="100" t="str">
        <f>IF(N1082=0,"",SUMIFS(PRICES!$G$2:$G$658,PRICES!$B$2:$B$658,'MAIN TABLE-1 AUTOMATED'!J1082,PRICES!$C$2:$C$658,'MAIN TABLE-1 AUTOMATED'!F1082,PRICES!$D$2:$D$658,'MAIN TABLE-1 AUTOMATED'!O1082))</f>
        <v/>
      </c>
      <c r="R1082" s="41" t="str">
        <f>IF(Table1[[#This Row],[QUANTITY]]=0,"",Table1[[#This Row],[UNIT PRICE]]*Table1[[#This Row],[QUANTITY]])</f>
        <v/>
      </c>
      <c r="S1082" s="89"/>
      <c r="T1082" s="38"/>
      <c r="U1082" s="43"/>
      <c r="V1082" s="42" t="str">
        <f>IF(Table1[[#This Row],[DATE]]=0,"",YEAR(E1082))</f>
        <v/>
      </c>
      <c r="W1082" s="40" t="str">
        <f t="shared" si="34"/>
        <v/>
      </c>
      <c r="X1082" s="40" t="str">
        <f t="shared" si="35"/>
        <v/>
      </c>
      <c r="Y1082" s="40" t="str">
        <f>TEXT(Table1[[#This Row],[YEAR]],"0000")&amp;"-"&amp;Table1[[#This Row],[MONTH]]</f>
        <v>-</v>
      </c>
    </row>
    <row r="1083" spans="1:25" ht="15" customHeight="1" x14ac:dyDescent="0.35">
      <c r="A1083" s="24"/>
      <c r="B1083" s="36"/>
      <c r="C1083" s="38"/>
      <c r="D1083" s="38"/>
      <c r="E1083" s="37"/>
      <c r="F1083" s="38"/>
      <c r="G1083" s="198"/>
      <c r="H1083" s="198"/>
      <c r="I1083" s="39"/>
      <c r="J1083" s="38"/>
      <c r="K1083" s="198"/>
      <c r="L1083" s="38"/>
      <c r="M1083" s="38"/>
      <c r="N1083" s="38"/>
      <c r="O1083" s="38"/>
      <c r="P1083" s="40" t="str" cm="1">
        <f t="array" ref="P1083">IF(N1083="","",IFERROR(_xlfn.XLOOKUP(F1083&amp;"|"&amp;J1083&amp;"|"&amp;O1083,PRICES!$C$2:$C$659&amp;"|"&amp;PRICES!$B$2:$B$659&amp;"|"&amp;PRICES!$D$2:$D$659,PRICES!$E$2:$E$659),"Not Found"))</f>
        <v/>
      </c>
      <c r="Q1083" s="100" t="str">
        <f>IF(N1083=0,"",SUMIFS(PRICES!$G$2:$G$658,PRICES!$B$2:$B$658,'MAIN TABLE-1 AUTOMATED'!J1083,PRICES!$C$2:$C$658,'MAIN TABLE-1 AUTOMATED'!F1083,PRICES!$D$2:$D$658,'MAIN TABLE-1 AUTOMATED'!O1083))</f>
        <v/>
      </c>
      <c r="R1083" s="41" t="str">
        <f>IF(Table1[[#This Row],[QUANTITY]]=0,"",Table1[[#This Row],[UNIT PRICE]]*Table1[[#This Row],[QUANTITY]])</f>
        <v/>
      </c>
      <c r="S1083" s="89"/>
      <c r="T1083" s="38"/>
      <c r="U1083" s="43"/>
      <c r="V1083" s="42" t="str">
        <f>IF(Table1[[#This Row],[DATE]]=0,"",YEAR(E1083))</f>
        <v/>
      </c>
      <c r="W1083" s="40" t="str">
        <f t="shared" si="34"/>
        <v/>
      </c>
      <c r="X1083" s="40" t="str">
        <f t="shared" si="35"/>
        <v/>
      </c>
      <c r="Y1083" s="40" t="str">
        <f>TEXT(Table1[[#This Row],[YEAR]],"0000")&amp;"-"&amp;Table1[[#This Row],[MONTH]]</f>
        <v>-</v>
      </c>
    </row>
    <row r="1084" spans="1:25" ht="15" customHeight="1" x14ac:dyDescent="0.35">
      <c r="A1084" s="24"/>
      <c r="B1084" s="38"/>
      <c r="C1084" s="38"/>
      <c r="D1084" s="38"/>
      <c r="E1084" s="37"/>
      <c r="F1084" s="38"/>
      <c r="G1084" s="198"/>
      <c r="H1084" s="198"/>
      <c r="I1084" s="39"/>
      <c r="J1084" s="38"/>
      <c r="K1084" s="198"/>
      <c r="L1084" s="38"/>
      <c r="M1084" s="38"/>
      <c r="N1084" s="38"/>
      <c r="O1084" s="38"/>
      <c r="P1084" s="40" t="str" cm="1">
        <f t="array" ref="P1084">IF(N1084="","",IFERROR(_xlfn.XLOOKUP(F1084&amp;"|"&amp;J1084&amp;"|"&amp;O1084,PRICES!$C$2:$C$659&amp;"|"&amp;PRICES!$B$2:$B$659&amp;"|"&amp;PRICES!$D$2:$D$659,PRICES!$E$2:$E$659),"Not Found"))</f>
        <v/>
      </c>
      <c r="Q1084" s="100" t="str">
        <f>IF(N1084=0,"",SUMIFS(PRICES!$G$2:$G$658,PRICES!$B$2:$B$658,'MAIN TABLE-1 AUTOMATED'!J1084,PRICES!$C$2:$C$658,'MAIN TABLE-1 AUTOMATED'!F1084,PRICES!$D$2:$D$658,'MAIN TABLE-1 AUTOMATED'!O1084))</f>
        <v/>
      </c>
      <c r="R1084" s="41" t="str">
        <f>IF(Table1[[#This Row],[QUANTITY]]=0,"",Table1[[#This Row],[UNIT PRICE]]*Table1[[#This Row],[QUANTITY]])</f>
        <v/>
      </c>
      <c r="S1084" s="89"/>
      <c r="T1084" s="38"/>
      <c r="U1084" s="43"/>
      <c r="V1084" s="42" t="str">
        <f>IF(Table1[[#This Row],[DATE]]=0,"",YEAR(E1084))</f>
        <v/>
      </c>
      <c r="W1084" s="40" t="str">
        <f t="shared" si="34"/>
        <v/>
      </c>
      <c r="X1084" s="40" t="str">
        <f t="shared" si="35"/>
        <v/>
      </c>
      <c r="Y1084" s="40" t="str">
        <f>TEXT(Table1[[#This Row],[YEAR]],"0000")&amp;"-"&amp;Table1[[#This Row],[MONTH]]</f>
        <v>-</v>
      </c>
    </row>
    <row r="1085" spans="1:25" ht="15" customHeight="1" x14ac:dyDescent="0.35">
      <c r="A1085" s="24"/>
      <c r="B1085" s="36"/>
      <c r="C1085" s="38"/>
      <c r="D1085" s="38"/>
      <c r="E1085" s="37"/>
      <c r="F1085" s="38"/>
      <c r="G1085" s="198"/>
      <c r="H1085" s="198"/>
      <c r="I1085" s="39"/>
      <c r="J1085" s="38"/>
      <c r="K1085" s="198"/>
      <c r="L1085" s="38"/>
      <c r="M1085" s="38"/>
      <c r="N1085" s="38"/>
      <c r="O1085" s="38"/>
      <c r="P1085" s="40" t="str" cm="1">
        <f t="array" ref="P1085">IF(N1085="","",IFERROR(_xlfn.XLOOKUP(F1085&amp;"|"&amp;J1085&amp;"|"&amp;O1085,PRICES!$C$2:$C$659&amp;"|"&amp;PRICES!$B$2:$B$659&amp;"|"&amp;PRICES!$D$2:$D$659,PRICES!$E$2:$E$659),"Not Found"))</f>
        <v/>
      </c>
      <c r="Q1085" s="100" t="str">
        <f>IF(N1085=0,"",SUMIFS(PRICES!$G$2:$G$658,PRICES!$B$2:$B$658,'MAIN TABLE-1 AUTOMATED'!J1085,PRICES!$C$2:$C$658,'MAIN TABLE-1 AUTOMATED'!F1085,PRICES!$D$2:$D$658,'MAIN TABLE-1 AUTOMATED'!O1085))</f>
        <v/>
      </c>
      <c r="R1085" s="41" t="str">
        <f>IF(Table1[[#This Row],[QUANTITY]]=0,"",Table1[[#This Row],[UNIT PRICE]]*Table1[[#This Row],[QUANTITY]])</f>
        <v/>
      </c>
      <c r="S1085" s="89"/>
      <c r="T1085" s="38"/>
      <c r="U1085" s="43"/>
      <c r="V1085" s="42" t="str">
        <f>IF(Table1[[#This Row],[DATE]]=0,"",YEAR(E1085))</f>
        <v/>
      </c>
      <c r="W1085" s="40" t="str">
        <f t="shared" si="34"/>
        <v/>
      </c>
      <c r="X1085" s="40" t="str">
        <f t="shared" si="35"/>
        <v/>
      </c>
      <c r="Y1085" s="40" t="str">
        <f>TEXT(Table1[[#This Row],[YEAR]],"0000")&amp;"-"&amp;Table1[[#This Row],[MONTH]]</f>
        <v>-</v>
      </c>
    </row>
    <row r="1086" spans="1:25" ht="15" customHeight="1" x14ac:dyDescent="0.35">
      <c r="A1086" s="24"/>
      <c r="B1086" s="36"/>
      <c r="C1086" s="38"/>
      <c r="D1086" s="38"/>
      <c r="E1086" s="37"/>
      <c r="F1086" s="38"/>
      <c r="G1086" s="198"/>
      <c r="H1086" s="198"/>
      <c r="I1086" s="39"/>
      <c r="J1086" s="38"/>
      <c r="K1086" s="198"/>
      <c r="L1086" s="38"/>
      <c r="M1086" s="38"/>
      <c r="N1086" s="38"/>
      <c r="O1086" s="38"/>
      <c r="P1086" s="40" t="str" cm="1">
        <f t="array" ref="P1086">IF(N1086="","",IFERROR(_xlfn.XLOOKUP(F1086&amp;"|"&amp;J1086&amp;"|"&amp;O1086,PRICES!$C$2:$C$659&amp;"|"&amp;PRICES!$B$2:$B$659&amp;"|"&amp;PRICES!$D$2:$D$659,PRICES!$E$2:$E$659),"Not Found"))</f>
        <v/>
      </c>
      <c r="Q1086" s="100" t="str">
        <f>IF(N1086=0,"",SUMIFS(PRICES!$G$2:$G$658,PRICES!$B$2:$B$658,'MAIN TABLE-1 AUTOMATED'!J1086,PRICES!$C$2:$C$658,'MAIN TABLE-1 AUTOMATED'!F1086,PRICES!$D$2:$D$658,'MAIN TABLE-1 AUTOMATED'!O1086))</f>
        <v/>
      </c>
      <c r="R1086" s="41" t="str">
        <f>IF(Table1[[#This Row],[QUANTITY]]=0,"",Table1[[#This Row],[UNIT PRICE]]*Table1[[#This Row],[QUANTITY]])</f>
        <v/>
      </c>
      <c r="S1086" s="89"/>
      <c r="T1086" s="38"/>
      <c r="U1086" s="43"/>
      <c r="V1086" s="42" t="str">
        <f>IF(Table1[[#This Row],[DATE]]=0,"",YEAR(E1086))</f>
        <v/>
      </c>
      <c r="W1086" s="40" t="str">
        <f t="shared" si="34"/>
        <v/>
      </c>
      <c r="X1086" s="40" t="str">
        <f t="shared" si="35"/>
        <v/>
      </c>
      <c r="Y1086" s="40" t="str">
        <f>TEXT(Table1[[#This Row],[YEAR]],"0000")&amp;"-"&amp;Table1[[#This Row],[MONTH]]</f>
        <v>-</v>
      </c>
    </row>
    <row r="1087" spans="1:25" ht="15" customHeight="1" x14ac:dyDescent="0.35">
      <c r="A1087" s="24"/>
      <c r="B1087" s="36"/>
      <c r="C1087" s="38"/>
      <c r="D1087" s="38"/>
      <c r="E1087" s="37"/>
      <c r="F1087" s="38"/>
      <c r="G1087" s="198"/>
      <c r="H1087" s="198"/>
      <c r="I1087" s="39"/>
      <c r="J1087" s="38"/>
      <c r="K1087" s="198"/>
      <c r="L1087" s="38"/>
      <c r="M1087" s="38"/>
      <c r="N1087" s="38"/>
      <c r="O1087" s="38"/>
      <c r="P1087" s="40" t="str" cm="1">
        <f t="array" ref="P1087">IF(N1087="","",IFERROR(_xlfn.XLOOKUP(F1087&amp;"|"&amp;J1087&amp;"|"&amp;O1087,PRICES!$C$2:$C$659&amp;"|"&amp;PRICES!$B$2:$B$659&amp;"|"&amp;PRICES!$D$2:$D$659,PRICES!$E$2:$E$659),"Not Found"))</f>
        <v/>
      </c>
      <c r="Q1087" s="100" t="str">
        <f>IF(N1087=0,"",SUMIFS(PRICES!$G$2:$G$658,PRICES!$B$2:$B$658,'MAIN TABLE-1 AUTOMATED'!J1087,PRICES!$C$2:$C$658,'MAIN TABLE-1 AUTOMATED'!F1087,PRICES!$D$2:$D$658,'MAIN TABLE-1 AUTOMATED'!O1087))</f>
        <v/>
      </c>
      <c r="R1087" s="41" t="str">
        <f>IF(Table1[[#This Row],[QUANTITY]]=0,"",Table1[[#This Row],[UNIT PRICE]]*Table1[[#This Row],[QUANTITY]])</f>
        <v/>
      </c>
      <c r="S1087" s="89"/>
      <c r="T1087" s="38"/>
      <c r="U1087" s="43"/>
      <c r="V1087" s="42" t="str">
        <f>IF(Table1[[#This Row],[DATE]]=0,"",YEAR(E1087))</f>
        <v/>
      </c>
      <c r="W1087" s="40" t="str">
        <f t="shared" si="34"/>
        <v/>
      </c>
      <c r="X1087" s="40" t="str">
        <f t="shared" si="35"/>
        <v/>
      </c>
      <c r="Y1087" s="40" t="str">
        <f>TEXT(Table1[[#This Row],[YEAR]],"0000")&amp;"-"&amp;Table1[[#This Row],[MONTH]]</f>
        <v>-</v>
      </c>
    </row>
    <row r="1088" spans="1:25" ht="15" customHeight="1" x14ac:dyDescent="0.35">
      <c r="A1088" s="24"/>
      <c r="B1088" s="38"/>
      <c r="C1088" s="38"/>
      <c r="D1088" s="38"/>
      <c r="E1088" s="37"/>
      <c r="F1088" s="38"/>
      <c r="G1088" s="198"/>
      <c r="H1088" s="198"/>
      <c r="I1088" s="39"/>
      <c r="J1088" s="38"/>
      <c r="K1088" s="198"/>
      <c r="L1088" s="38"/>
      <c r="M1088" s="38"/>
      <c r="N1088" s="38"/>
      <c r="O1088" s="38"/>
      <c r="P1088" s="40" t="str" cm="1">
        <f t="array" ref="P1088">IF(N1088="","",IFERROR(_xlfn.XLOOKUP(F1088&amp;"|"&amp;J1088&amp;"|"&amp;O1088,PRICES!$C$2:$C$659&amp;"|"&amp;PRICES!$B$2:$B$659&amp;"|"&amp;PRICES!$D$2:$D$659,PRICES!$E$2:$E$659),"Not Found"))</f>
        <v/>
      </c>
      <c r="Q1088" s="100" t="str">
        <f>IF(N1088=0,"",SUMIFS(PRICES!$G$2:$G$658,PRICES!$B$2:$B$658,'MAIN TABLE-1 AUTOMATED'!J1088,PRICES!$C$2:$C$658,'MAIN TABLE-1 AUTOMATED'!F1088,PRICES!$D$2:$D$658,'MAIN TABLE-1 AUTOMATED'!O1088))</f>
        <v/>
      </c>
      <c r="R1088" s="41" t="str">
        <f>IF(Table1[[#This Row],[QUANTITY]]=0,"",Table1[[#This Row],[UNIT PRICE]]*Table1[[#This Row],[QUANTITY]])</f>
        <v/>
      </c>
      <c r="S1088" s="89"/>
      <c r="T1088" s="38"/>
      <c r="U1088" s="43"/>
      <c r="V1088" s="42" t="str">
        <f>IF(Table1[[#This Row],[DATE]]=0,"",YEAR(E1088))</f>
        <v/>
      </c>
      <c r="W1088" s="40" t="str">
        <f t="shared" si="34"/>
        <v/>
      </c>
      <c r="X1088" s="40" t="str">
        <f t="shared" si="35"/>
        <v/>
      </c>
      <c r="Y1088" s="40" t="str">
        <f>TEXT(Table1[[#This Row],[YEAR]],"0000")&amp;"-"&amp;Table1[[#This Row],[MONTH]]</f>
        <v>-</v>
      </c>
    </row>
    <row r="1089" spans="1:25" ht="15" customHeight="1" x14ac:dyDescent="0.35">
      <c r="A1089" s="24"/>
      <c r="B1089" s="38"/>
      <c r="C1089" s="38"/>
      <c r="D1089" s="38"/>
      <c r="E1089" s="37"/>
      <c r="F1089" s="38"/>
      <c r="G1089" s="198"/>
      <c r="H1089" s="198"/>
      <c r="I1089" s="39"/>
      <c r="J1089" s="38"/>
      <c r="K1089" s="198"/>
      <c r="L1089" s="38"/>
      <c r="M1089" s="38"/>
      <c r="N1089" s="38"/>
      <c r="O1089" s="38"/>
      <c r="P1089" s="40" t="str" cm="1">
        <f t="array" ref="P1089">IF(N1089="","",IFERROR(_xlfn.XLOOKUP(F1089&amp;"|"&amp;J1089&amp;"|"&amp;O1089,PRICES!$C$2:$C$659&amp;"|"&amp;PRICES!$B$2:$B$659&amp;"|"&amp;PRICES!$D$2:$D$659,PRICES!$E$2:$E$659),"Not Found"))</f>
        <v/>
      </c>
      <c r="Q1089" s="100" t="str">
        <f>IF(N1089=0,"",SUMIFS(PRICES!$G$2:$G$658,PRICES!$B$2:$B$658,'MAIN TABLE-1 AUTOMATED'!J1089,PRICES!$C$2:$C$658,'MAIN TABLE-1 AUTOMATED'!F1089,PRICES!$D$2:$D$658,'MAIN TABLE-1 AUTOMATED'!O1089))</f>
        <v/>
      </c>
      <c r="R1089" s="41" t="str">
        <f>IF(Table1[[#This Row],[QUANTITY]]=0,"",Table1[[#This Row],[UNIT PRICE]]*Table1[[#This Row],[QUANTITY]])</f>
        <v/>
      </c>
      <c r="S1089" s="89"/>
      <c r="T1089" s="38"/>
      <c r="U1089" s="43"/>
      <c r="V1089" s="42" t="str">
        <f>IF(Table1[[#This Row],[DATE]]=0,"",YEAR(E1089))</f>
        <v/>
      </c>
      <c r="W1089" s="40" t="str">
        <f t="shared" si="34"/>
        <v/>
      </c>
      <c r="X1089" s="40" t="str">
        <f t="shared" si="35"/>
        <v/>
      </c>
      <c r="Y1089" s="40" t="str">
        <f>TEXT(Table1[[#This Row],[YEAR]],"0000")&amp;"-"&amp;Table1[[#This Row],[MONTH]]</f>
        <v>-</v>
      </c>
    </row>
    <row r="1090" spans="1:25" ht="15" customHeight="1" x14ac:dyDescent="0.35">
      <c r="A1090" s="24"/>
      <c r="B1090" s="38"/>
      <c r="C1090" s="38"/>
      <c r="D1090" s="38"/>
      <c r="E1090" s="37"/>
      <c r="F1090" s="38"/>
      <c r="G1090" s="198"/>
      <c r="H1090" s="198"/>
      <c r="I1090" s="39"/>
      <c r="J1090" s="38"/>
      <c r="K1090" s="198"/>
      <c r="L1090" s="38"/>
      <c r="M1090" s="38"/>
      <c r="N1090" s="38"/>
      <c r="O1090" s="38"/>
      <c r="P1090" s="40" t="str" cm="1">
        <f t="array" ref="P1090">IF(N1090="","",IFERROR(_xlfn.XLOOKUP(F1090&amp;"|"&amp;J1090&amp;"|"&amp;O1090,PRICES!$C$2:$C$659&amp;"|"&amp;PRICES!$B$2:$B$659&amp;"|"&amp;PRICES!$D$2:$D$659,PRICES!$E$2:$E$659),"Not Found"))</f>
        <v/>
      </c>
      <c r="Q1090" s="100" t="str">
        <f>IF(N1090=0,"",SUMIFS(PRICES!$G$2:$G$658,PRICES!$B$2:$B$658,'MAIN TABLE-1 AUTOMATED'!J1090,PRICES!$C$2:$C$658,'MAIN TABLE-1 AUTOMATED'!F1090,PRICES!$D$2:$D$658,'MAIN TABLE-1 AUTOMATED'!O1090))</f>
        <v/>
      </c>
      <c r="R1090" s="41" t="str">
        <f>IF(Table1[[#This Row],[QUANTITY]]=0,"",Table1[[#This Row],[UNIT PRICE]]*Table1[[#This Row],[QUANTITY]])</f>
        <v/>
      </c>
      <c r="S1090" s="89"/>
      <c r="T1090" s="38"/>
      <c r="U1090" s="43"/>
      <c r="V1090" s="42" t="str">
        <f>IF(Table1[[#This Row],[DATE]]=0,"",YEAR(E1090))</f>
        <v/>
      </c>
      <c r="W1090" s="40" t="str">
        <f t="shared" si="34"/>
        <v/>
      </c>
      <c r="X1090" s="40" t="str">
        <f t="shared" si="35"/>
        <v/>
      </c>
      <c r="Y1090" s="40" t="str">
        <f>TEXT(Table1[[#This Row],[YEAR]],"0000")&amp;"-"&amp;Table1[[#This Row],[MONTH]]</f>
        <v>-</v>
      </c>
    </row>
    <row r="1091" spans="1:25" ht="15" customHeight="1" x14ac:dyDescent="0.35">
      <c r="A1091" s="24"/>
      <c r="B1091" s="36"/>
      <c r="C1091" s="38"/>
      <c r="D1091" s="38"/>
      <c r="E1091" s="37"/>
      <c r="F1091" s="38"/>
      <c r="G1091" s="198"/>
      <c r="H1091" s="198"/>
      <c r="I1091" s="39"/>
      <c r="J1091" s="38"/>
      <c r="K1091" s="198"/>
      <c r="L1091" s="38"/>
      <c r="M1091" s="38"/>
      <c r="N1091" s="38"/>
      <c r="O1091" s="38"/>
      <c r="P1091" s="40" t="str" cm="1">
        <f t="array" ref="P1091">IF(N1091="","",IFERROR(_xlfn.XLOOKUP(F1091&amp;"|"&amp;J1091&amp;"|"&amp;O1091,PRICES!$C$2:$C$659&amp;"|"&amp;PRICES!$B$2:$B$659&amp;"|"&amp;PRICES!$D$2:$D$659,PRICES!$E$2:$E$659),"Not Found"))</f>
        <v/>
      </c>
      <c r="Q1091" s="100" t="str">
        <f>IF(N1091=0,"",SUMIFS(PRICES!$G$2:$G$658,PRICES!$B$2:$B$658,'MAIN TABLE-1 AUTOMATED'!J1091,PRICES!$C$2:$C$658,'MAIN TABLE-1 AUTOMATED'!F1091,PRICES!$D$2:$D$658,'MAIN TABLE-1 AUTOMATED'!O1091))</f>
        <v/>
      </c>
      <c r="R1091" s="41" t="str">
        <f>IF(Table1[[#This Row],[QUANTITY]]=0,"",Table1[[#This Row],[UNIT PRICE]]*Table1[[#This Row],[QUANTITY]])</f>
        <v/>
      </c>
      <c r="S1091" s="89"/>
      <c r="T1091" s="38"/>
      <c r="U1091" s="43"/>
      <c r="V1091" s="42" t="str">
        <f>IF(Table1[[#This Row],[DATE]]=0,"",YEAR(E1091))</f>
        <v/>
      </c>
      <c r="W1091" s="40" t="str">
        <f t="shared" si="34"/>
        <v/>
      </c>
      <c r="X1091" s="40" t="str">
        <f t="shared" si="35"/>
        <v/>
      </c>
      <c r="Y1091" s="40" t="str">
        <f>TEXT(Table1[[#This Row],[YEAR]],"0000")&amp;"-"&amp;Table1[[#This Row],[MONTH]]</f>
        <v>-</v>
      </c>
    </row>
    <row r="1092" spans="1:25" ht="15" customHeight="1" x14ac:dyDescent="0.35">
      <c r="A1092" s="24"/>
      <c r="B1092" s="36"/>
      <c r="C1092" s="38"/>
      <c r="D1092" s="38"/>
      <c r="E1092" s="37"/>
      <c r="F1092" s="38"/>
      <c r="G1092" s="198"/>
      <c r="H1092" s="198"/>
      <c r="I1092" s="39"/>
      <c r="J1092" s="38"/>
      <c r="K1092" s="198"/>
      <c r="L1092" s="38"/>
      <c r="M1092" s="38"/>
      <c r="N1092" s="38"/>
      <c r="O1092" s="38"/>
      <c r="P1092" s="40" t="str" cm="1">
        <f t="array" ref="P1092">IF(N1092="","",IFERROR(_xlfn.XLOOKUP(F1092&amp;"|"&amp;J1092&amp;"|"&amp;O1092,PRICES!$C$2:$C$659&amp;"|"&amp;PRICES!$B$2:$B$659&amp;"|"&amp;PRICES!$D$2:$D$659,PRICES!$E$2:$E$659),"Not Found"))</f>
        <v/>
      </c>
      <c r="Q1092" s="100" t="str">
        <f>IF(N1092=0,"",SUMIFS(PRICES!$G$2:$G$658,PRICES!$B$2:$B$658,'MAIN TABLE-1 AUTOMATED'!J1092,PRICES!$C$2:$C$658,'MAIN TABLE-1 AUTOMATED'!F1092,PRICES!$D$2:$D$658,'MAIN TABLE-1 AUTOMATED'!O1092))</f>
        <v/>
      </c>
      <c r="R1092" s="41" t="str">
        <f>IF(Table1[[#This Row],[QUANTITY]]=0,"",Table1[[#This Row],[UNIT PRICE]]*Table1[[#This Row],[QUANTITY]])</f>
        <v/>
      </c>
      <c r="S1092" s="89"/>
      <c r="T1092" s="38"/>
      <c r="U1092" s="43"/>
      <c r="V1092" s="42" t="str">
        <f>IF(Table1[[#This Row],[DATE]]=0,"",YEAR(E1092))</f>
        <v/>
      </c>
      <c r="W1092" s="40" t="str">
        <f t="shared" si="34"/>
        <v/>
      </c>
      <c r="X1092" s="40" t="str">
        <f t="shared" si="35"/>
        <v/>
      </c>
      <c r="Y1092" s="40" t="str">
        <f>TEXT(Table1[[#This Row],[YEAR]],"0000")&amp;"-"&amp;Table1[[#This Row],[MONTH]]</f>
        <v>-</v>
      </c>
    </row>
    <row r="1093" spans="1:25" ht="15" customHeight="1" x14ac:dyDescent="0.35">
      <c r="A1093" s="24"/>
      <c r="B1093" s="36"/>
      <c r="C1093" s="38"/>
      <c r="D1093" s="38"/>
      <c r="E1093" s="37"/>
      <c r="F1093" s="38"/>
      <c r="G1093" s="198"/>
      <c r="H1093" s="198"/>
      <c r="I1093" s="39"/>
      <c r="J1093" s="38"/>
      <c r="K1093" s="198"/>
      <c r="L1093" s="38"/>
      <c r="M1093" s="38"/>
      <c r="N1093" s="38"/>
      <c r="O1093" s="38"/>
      <c r="P1093" s="40" t="str" cm="1">
        <f t="array" ref="P1093">IF(N1093="","",IFERROR(_xlfn.XLOOKUP(F1093&amp;"|"&amp;J1093&amp;"|"&amp;O1093,PRICES!$C$2:$C$659&amp;"|"&amp;PRICES!$B$2:$B$659&amp;"|"&amp;PRICES!$D$2:$D$659,PRICES!$E$2:$E$659),"Not Found"))</f>
        <v/>
      </c>
      <c r="Q1093" s="100" t="str">
        <f>IF(N1093=0,"",SUMIFS(PRICES!$G$2:$G$658,PRICES!$B$2:$B$658,'MAIN TABLE-1 AUTOMATED'!J1093,PRICES!$C$2:$C$658,'MAIN TABLE-1 AUTOMATED'!F1093,PRICES!$D$2:$D$658,'MAIN TABLE-1 AUTOMATED'!O1093))</f>
        <v/>
      </c>
      <c r="R1093" s="41" t="str">
        <f>IF(Table1[[#This Row],[QUANTITY]]=0,"",Table1[[#This Row],[UNIT PRICE]]*Table1[[#This Row],[QUANTITY]])</f>
        <v/>
      </c>
      <c r="S1093" s="89"/>
      <c r="T1093" s="38"/>
      <c r="U1093" s="43"/>
      <c r="V1093" s="42" t="str">
        <f>IF(Table1[[#This Row],[DATE]]=0,"",YEAR(E1093))</f>
        <v/>
      </c>
      <c r="W1093" s="40" t="str">
        <f t="shared" si="34"/>
        <v/>
      </c>
      <c r="X1093" s="40" t="str">
        <f t="shared" si="35"/>
        <v/>
      </c>
      <c r="Y1093" s="40" t="str">
        <f>TEXT(Table1[[#This Row],[YEAR]],"0000")&amp;"-"&amp;Table1[[#This Row],[MONTH]]</f>
        <v>-</v>
      </c>
    </row>
    <row r="1094" spans="1:25" ht="15" customHeight="1" x14ac:dyDescent="0.35">
      <c r="A1094" s="24"/>
      <c r="B1094" s="38"/>
      <c r="C1094" s="38"/>
      <c r="D1094" s="38"/>
      <c r="E1094" s="37"/>
      <c r="F1094" s="38"/>
      <c r="G1094" s="198"/>
      <c r="H1094" s="198"/>
      <c r="I1094" s="39"/>
      <c r="J1094" s="38"/>
      <c r="K1094" s="198"/>
      <c r="L1094" s="38"/>
      <c r="M1094" s="38"/>
      <c r="N1094" s="38"/>
      <c r="O1094" s="38"/>
      <c r="P1094" s="40" t="str" cm="1">
        <f t="array" ref="P1094">IF(N1094="","",IFERROR(_xlfn.XLOOKUP(F1094&amp;"|"&amp;J1094&amp;"|"&amp;O1094,PRICES!$C$2:$C$659&amp;"|"&amp;PRICES!$B$2:$B$659&amp;"|"&amp;PRICES!$D$2:$D$659,PRICES!$E$2:$E$659),"Not Found"))</f>
        <v/>
      </c>
      <c r="Q1094" s="100" t="str">
        <f>IF(N1094=0,"",SUMIFS(PRICES!$G$2:$G$658,PRICES!$B$2:$B$658,'MAIN TABLE-1 AUTOMATED'!J1094,PRICES!$C$2:$C$658,'MAIN TABLE-1 AUTOMATED'!F1094,PRICES!$D$2:$D$658,'MAIN TABLE-1 AUTOMATED'!O1094))</f>
        <v/>
      </c>
      <c r="R1094" s="41" t="str">
        <f>IF(Table1[[#This Row],[QUANTITY]]=0,"",Table1[[#This Row],[UNIT PRICE]]*Table1[[#This Row],[QUANTITY]])</f>
        <v/>
      </c>
      <c r="S1094" s="89"/>
      <c r="T1094" s="38"/>
      <c r="U1094" s="43"/>
      <c r="V1094" s="42" t="str">
        <f>IF(Table1[[#This Row],[DATE]]=0,"",YEAR(E1094))</f>
        <v/>
      </c>
      <c r="W1094" s="40" t="str">
        <f t="shared" si="34"/>
        <v/>
      </c>
      <c r="X1094" s="40" t="str">
        <f t="shared" si="35"/>
        <v/>
      </c>
      <c r="Y1094" s="40" t="str">
        <f>TEXT(Table1[[#This Row],[YEAR]],"0000")&amp;"-"&amp;Table1[[#This Row],[MONTH]]</f>
        <v>-</v>
      </c>
    </row>
    <row r="1095" spans="1:25" ht="15" customHeight="1" x14ac:dyDescent="0.35">
      <c r="A1095" s="24"/>
      <c r="B1095" s="38"/>
      <c r="C1095" s="38"/>
      <c r="D1095" s="38"/>
      <c r="E1095" s="37"/>
      <c r="F1095" s="38"/>
      <c r="G1095" s="198"/>
      <c r="H1095" s="198"/>
      <c r="I1095" s="39"/>
      <c r="J1095" s="38"/>
      <c r="K1095" s="198"/>
      <c r="L1095" s="38"/>
      <c r="M1095" s="38"/>
      <c r="N1095" s="38"/>
      <c r="O1095" s="38"/>
      <c r="P1095" s="40" t="str" cm="1">
        <f t="array" ref="P1095">IF(N1095="","",IFERROR(_xlfn.XLOOKUP(F1095&amp;"|"&amp;J1095&amp;"|"&amp;O1095,PRICES!$C$2:$C$659&amp;"|"&amp;PRICES!$B$2:$B$659&amp;"|"&amp;PRICES!$D$2:$D$659,PRICES!$E$2:$E$659),"Not Found"))</f>
        <v/>
      </c>
      <c r="Q1095" s="100" t="str">
        <f>IF(N1095=0,"",SUMIFS(PRICES!$G$2:$G$658,PRICES!$B$2:$B$658,'MAIN TABLE-1 AUTOMATED'!J1095,PRICES!$C$2:$C$658,'MAIN TABLE-1 AUTOMATED'!F1095,PRICES!$D$2:$D$658,'MAIN TABLE-1 AUTOMATED'!O1095))</f>
        <v/>
      </c>
      <c r="R1095" s="41" t="str">
        <f>IF(Table1[[#This Row],[QUANTITY]]=0,"",Table1[[#This Row],[UNIT PRICE]]*Table1[[#This Row],[QUANTITY]])</f>
        <v/>
      </c>
      <c r="S1095" s="89"/>
      <c r="T1095" s="38"/>
      <c r="U1095" s="43"/>
      <c r="V1095" s="42" t="str">
        <f>IF(Table1[[#This Row],[DATE]]=0,"",YEAR(E1095))</f>
        <v/>
      </c>
      <c r="W1095" s="40" t="str">
        <f t="shared" si="34"/>
        <v/>
      </c>
      <c r="X1095" s="40" t="str">
        <f t="shared" si="35"/>
        <v/>
      </c>
      <c r="Y1095" s="40" t="str">
        <f>TEXT(Table1[[#This Row],[YEAR]],"0000")&amp;"-"&amp;Table1[[#This Row],[MONTH]]</f>
        <v>-</v>
      </c>
    </row>
    <row r="1096" spans="1:25" ht="15" customHeight="1" x14ac:dyDescent="0.35">
      <c r="A1096" s="24"/>
      <c r="B1096" s="38"/>
      <c r="C1096" s="38"/>
      <c r="D1096" s="38"/>
      <c r="E1096" s="37"/>
      <c r="F1096" s="38"/>
      <c r="G1096" s="198"/>
      <c r="H1096" s="198"/>
      <c r="I1096" s="39"/>
      <c r="J1096" s="38"/>
      <c r="K1096" s="198"/>
      <c r="L1096" s="38"/>
      <c r="M1096" s="38"/>
      <c r="N1096" s="38"/>
      <c r="O1096" s="38"/>
      <c r="P1096" s="40" t="str" cm="1">
        <f t="array" ref="P1096">IF(N1096="","",IFERROR(_xlfn.XLOOKUP(F1096&amp;"|"&amp;J1096&amp;"|"&amp;O1096,PRICES!$C$2:$C$659&amp;"|"&amp;PRICES!$B$2:$B$659&amp;"|"&amp;PRICES!$D$2:$D$659,PRICES!$E$2:$E$659),"Not Found"))</f>
        <v/>
      </c>
      <c r="Q1096" s="100" t="str">
        <f>IF(N1096=0,"",SUMIFS(PRICES!$G$2:$G$658,PRICES!$B$2:$B$658,'MAIN TABLE-1 AUTOMATED'!J1096,PRICES!$C$2:$C$658,'MAIN TABLE-1 AUTOMATED'!F1096,PRICES!$D$2:$D$658,'MAIN TABLE-1 AUTOMATED'!O1096))</f>
        <v/>
      </c>
      <c r="R1096" s="41" t="str">
        <f>IF(Table1[[#This Row],[QUANTITY]]=0,"",Table1[[#This Row],[UNIT PRICE]]*Table1[[#This Row],[QUANTITY]])</f>
        <v/>
      </c>
      <c r="S1096" s="89"/>
      <c r="T1096" s="38"/>
      <c r="U1096" s="43"/>
      <c r="V1096" s="42" t="str">
        <f>IF(Table1[[#This Row],[DATE]]=0,"",YEAR(E1096))</f>
        <v/>
      </c>
      <c r="W1096" s="40" t="str">
        <f t="shared" si="34"/>
        <v/>
      </c>
      <c r="X1096" s="40" t="str">
        <f t="shared" si="35"/>
        <v/>
      </c>
      <c r="Y1096" s="40" t="str">
        <f>TEXT(Table1[[#This Row],[YEAR]],"0000")&amp;"-"&amp;Table1[[#This Row],[MONTH]]</f>
        <v>-</v>
      </c>
    </row>
    <row r="1097" spans="1:25" ht="15" customHeight="1" x14ac:dyDescent="0.35">
      <c r="A1097" s="24"/>
      <c r="B1097" s="38"/>
      <c r="C1097" s="38"/>
      <c r="D1097" s="38"/>
      <c r="E1097" s="37"/>
      <c r="F1097" s="38"/>
      <c r="G1097" s="198"/>
      <c r="H1097" s="198"/>
      <c r="I1097" s="39"/>
      <c r="J1097" s="38"/>
      <c r="K1097" s="198"/>
      <c r="L1097" s="38"/>
      <c r="M1097" s="38"/>
      <c r="N1097" s="38"/>
      <c r="O1097" s="38"/>
      <c r="P1097" s="40" t="str" cm="1">
        <f t="array" ref="P1097">IF(N1097="","",IFERROR(_xlfn.XLOOKUP(F1097&amp;"|"&amp;J1097&amp;"|"&amp;O1097,PRICES!$C$2:$C$659&amp;"|"&amp;PRICES!$B$2:$B$659&amp;"|"&amp;PRICES!$D$2:$D$659,PRICES!$E$2:$E$659),"Not Found"))</f>
        <v/>
      </c>
      <c r="Q1097" s="100" t="str">
        <f>IF(N1097=0,"",SUMIFS(PRICES!$G$2:$G$658,PRICES!$B$2:$B$658,'MAIN TABLE-1 AUTOMATED'!J1097,PRICES!$C$2:$C$658,'MAIN TABLE-1 AUTOMATED'!F1097,PRICES!$D$2:$D$658,'MAIN TABLE-1 AUTOMATED'!O1097))</f>
        <v/>
      </c>
      <c r="R1097" s="41" t="str">
        <f>IF(Table1[[#This Row],[QUANTITY]]=0,"",Table1[[#This Row],[UNIT PRICE]]*Table1[[#This Row],[QUANTITY]])</f>
        <v/>
      </c>
      <c r="S1097" s="89"/>
      <c r="T1097" s="38"/>
      <c r="U1097" s="43"/>
      <c r="V1097" s="42" t="str">
        <f>IF(Table1[[#This Row],[DATE]]=0,"",YEAR(E1097))</f>
        <v/>
      </c>
      <c r="W1097" s="40" t="str">
        <f t="shared" si="34"/>
        <v/>
      </c>
      <c r="X1097" s="40" t="str">
        <f t="shared" si="35"/>
        <v/>
      </c>
      <c r="Y1097" s="40" t="str">
        <f>TEXT(Table1[[#This Row],[YEAR]],"0000")&amp;"-"&amp;Table1[[#This Row],[MONTH]]</f>
        <v>-</v>
      </c>
    </row>
    <row r="1098" spans="1:25" ht="15" customHeight="1" x14ac:dyDescent="0.35">
      <c r="A1098" s="24"/>
      <c r="B1098" s="38"/>
      <c r="C1098" s="38"/>
      <c r="D1098" s="38"/>
      <c r="E1098" s="37"/>
      <c r="F1098" s="38"/>
      <c r="G1098" s="198"/>
      <c r="H1098" s="198"/>
      <c r="I1098" s="39"/>
      <c r="J1098" s="38"/>
      <c r="K1098" s="198"/>
      <c r="L1098" s="38"/>
      <c r="M1098" s="38"/>
      <c r="N1098" s="38"/>
      <c r="O1098" s="38"/>
      <c r="P1098" s="40" t="str" cm="1">
        <f t="array" ref="P1098">IF(N1098="","",IFERROR(_xlfn.XLOOKUP(F1098&amp;"|"&amp;J1098&amp;"|"&amp;O1098,PRICES!$C$2:$C$659&amp;"|"&amp;PRICES!$B$2:$B$659&amp;"|"&amp;PRICES!$D$2:$D$659,PRICES!$E$2:$E$659),"Not Found"))</f>
        <v/>
      </c>
      <c r="Q1098" s="100" t="str">
        <f>IF(N1098=0,"",SUMIFS(PRICES!$G$2:$G$658,PRICES!$B$2:$B$658,'MAIN TABLE-1 AUTOMATED'!J1098,PRICES!$C$2:$C$658,'MAIN TABLE-1 AUTOMATED'!F1098,PRICES!$D$2:$D$658,'MAIN TABLE-1 AUTOMATED'!O1098))</f>
        <v/>
      </c>
      <c r="R1098" s="41" t="str">
        <f>IF(Table1[[#This Row],[QUANTITY]]=0,"",Table1[[#This Row],[UNIT PRICE]]*Table1[[#This Row],[QUANTITY]])</f>
        <v/>
      </c>
      <c r="S1098" s="89"/>
      <c r="T1098" s="38"/>
      <c r="U1098" s="43"/>
      <c r="V1098" s="42" t="str">
        <f>IF(Table1[[#This Row],[DATE]]=0,"",YEAR(E1098))</f>
        <v/>
      </c>
      <c r="W1098" s="40" t="str">
        <f t="shared" si="34"/>
        <v/>
      </c>
      <c r="X1098" s="40" t="str">
        <f t="shared" si="35"/>
        <v/>
      </c>
      <c r="Y1098" s="40" t="str">
        <f>TEXT(Table1[[#This Row],[YEAR]],"0000")&amp;"-"&amp;Table1[[#This Row],[MONTH]]</f>
        <v>-</v>
      </c>
    </row>
    <row r="1099" spans="1:25" ht="15" customHeight="1" x14ac:dyDescent="0.35">
      <c r="A1099" s="24"/>
      <c r="B1099" s="38"/>
      <c r="C1099" s="38"/>
      <c r="D1099" s="38"/>
      <c r="E1099" s="37"/>
      <c r="F1099" s="38"/>
      <c r="G1099" s="198"/>
      <c r="H1099" s="198"/>
      <c r="I1099" s="39"/>
      <c r="J1099" s="38"/>
      <c r="K1099" s="198"/>
      <c r="L1099" s="38"/>
      <c r="M1099" s="38"/>
      <c r="N1099" s="38"/>
      <c r="O1099" s="38"/>
      <c r="P1099" s="40" t="str" cm="1">
        <f t="array" ref="P1099">IF(N1099="","",IFERROR(_xlfn.XLOOKUP(F1099&amp;"|"&amp;J1099&amp;"|"&amp;O1099,PRICES!$C$2:$C$659&amp;"|"&amp;PRICES!$B$2:$B$659&amp;"|"&amp;PRICES!$D$2:$D$659,PRICES!$E$2:$E$659),"Not Found"))</f>
        <v/>
      </c>
      <c r="Q1099" s="100" t="str">
        <f>IF(N1099=0,"",SUMIFS(PRICES!$G$2:$G$658,PRICES!$B$2:$B$658,'MAIN TABLE-1 AUTOMATED'!J1099,PRICES!$C$2:$C$658,'MAIN TABLE-1 AUTOMATED'!F1099,PRICES!$D$2:$D$658,'MAIN TABLE-1 AUTOMATED'!O1099))</f>
        <v/>
      </c>
      <c r="R1099" s="41" t="str">
        <f>IF(Table1[[#This Row],[QUANTITY]]=0,"",Table1[[#This Row],[UNIT PRICE]]*Table1[[#This Row],[QUANTITY]])</f>
        <v/>
      </c>
      <c r="S1099" s="89"/>
      <c r="T1099" s="38"/>
      <c r="U1099" s="43"/>
      <c r="V1099" s="42" t="str">
        <f>IF(Table1[[#This Row],[DATE]]=0,"",YEAR(E1099))</f>
        <v/>
      </c>
      <c r="W1099" s="40" t="str">
        <f t="shared" si="34"/>
        <v/>
      </c>
      <c r="X1099" s="40" t="str">
        <f t="shared" si="35"/>
        <v/>
      </c>
      <c r="Y1099" s="40" t="str">
        <f>TEXT(Table1[[#This Row],[YEAR]],"0000")&amp;"-"&amp;Table1[[#This Row],[MONTH]]</f>
        <v>-</v>
      </c>
    </row>
    <row r="1100" spans="1:25" ht="15" customHeight="1" x14ac:dyDescent="0.35">
      <c r="A1100" s="24"/>
      <c r="B1100" s="38"/>
      <c r="C1100" s="38"/>
      <c r="D1100" s="38"/>
      <c r="E1100" s="37"/>
      <c r="F1100" s="38"/>
      <c r="G1100" s="198"/>
      <c r="H1100" s="198"/>
      <c r="I1100" s="39"/>
      <c r="J1100" s="38"/>
      <c r="K1100" s="198"/>
      <c r="L1100" s="38"/>
      <c r="M1100" s="38"/>
      <c r="N1100" s="38"/>
      <c r="O1100" s="38"/>
      <c r="P1100" s="40" t="str" cm="1">
        <f t="array" ref="P1100">IF(N1100="","",IFERROR(_xlfn.XLOOKUP(F1100&amp;"|"&amp;J1100&amp;"|"&amp;O1100,PRICES!$C$2:$C$659&amp;"|"&amp;PRICES!$B$2:$B$659&amp;"|"&amp;PRICES!$D$2:$D$659,PRICES!$E$2:$E$659),"Not Found"))</f>
        <v/>
      </c>
      <c r="Q1100" s="100" t="str">
        <f>IF(N1100=0,"",SUMIFS(PRICES!$G$2:$G$658,PRICES!$B$2:$B$658,'MAIN TABLE-1 AUTOMATED'!J1100,PRICES!$C$2:$C$658,'MAIN TABLE-1 AUTOMATED'!F1100,PRICES!$D$2:$D$658,'MAIN TABLE-1 AUTOMATED'!O1100))</f>
        <v/>
      </c>
      <c r="R1100" s="41" t="str">
        <f>IF(Table1[[#This Row],[QUANTITY]]=0,"",Table1[[#This Row],[UNIT PRICE]]*Table1[[#This Row],[QUANTITY]])</f>
        <v/>
      </c>
      <c r="S1100" s="89"/>
      <c r="T1100" s="38"/>
      <c r="U1100" s="43"/>
      <c r="V1100" s="42" t="str">
        <f>IF(Table1[[#This Row],[DATE]]=0,"",YEAR(E1100))</f>
        <v/>
      </c>
      <c r="W1100" s="40" t="str">
        <f t="shared" si="34"/>
        <v/>
      </c>
      <c r="X1100" s="40" t="str">
        <f t="shared" si="35"/>
        <v/>
      </c>
      <c r="Y1100" s="40" t="str">
        <f>TEXT(Table1[[#This Row],[YEAR]],"0000")&amp;"-"&amp;Table1[[#This Row],[MONTH]]</f>
        <v>-</v>
      </c>
    </row>
    <row r="1101" spans="1:25" ht="15" customHeight="1" x14ac:dyDescent="0.35">
      <c r="A1101" s="24"/>
      <c r="B1101" s="38"/>
      <c r="C1101" s="38"/>
      <c r="D1101" s="38"/>
      <c r="E1101" s="37"/>
      <c r="F1101" s="38"/>
      <c r="G1101" s="198"/>
      <c r="H1101" s="198"/>
      <c r="I1101" s="39"/>
      <c r="J1101" s="38"/>
      <c r="K1101" s="198"/>
      <c r="L1101" s="38"/>
      <c r="M1101" s="38"/>
      <c r="N1101" s="38"/>
      <c r="O1101" s="38"/>
      <c r="P1101" s="40" t="str" cm="1">
        <f t="array" ref="P1101">IF(N1101="","",IFERROR(_xlfn.XLOOKUP(F1101&amp;"|"&amp;J1101&amp;"|"&amp;O1101,PRICES!$C$2:$C$659&amp;"|"&amp;PRICES!$B$2:$B$659&amp;"|"&amp;PRICES!$D$2:$D$659,PRICES!$E$2:$E$659),"Not Found"))</f>
        <v/>
      </c>
      <c r="Q1101" s="100" t="str">
        <f>IF(N1101=0,"",SUMIFS(PRICES!$G$2:$G$658,PRICES!$B$2:$B$658,'MAIN TABLE-1 AUTOMATED'!J1101,PRICES!$C$2:$C$658,'MAIN TABLE-1 AUTOMATED'!F1101,PRICES!$D$2:$D$658,'MAIN TABLE-1 AUTOMATED'!O1101))</f>
        <v/>
      </c>
      <c r="R1101" s="41" t="str">
        <f>IF(Table1[[#This Row],[QUANTITY]]=0,"",Table1[[#This Row],[UNIT PRICE]]*Table1[[#This Row],[QUANTITY]])</f>
        <v/>
      </c>
      <c r="S1101" s="89"/>
      <c r="T1101" s="38"/>
      <c r="U1101" s="43"/>
      <c r="V1101" s="42" t="str">
        <f>IF(Table1[[#This Row],[DATE]]=0,"",YEAR(E1101))</f>
        <v/>
      </c>
      <c r="W1101" s="40" t="str">
        <f t="shared" si="34"/>
        <v/>
      </c>
      <c r="X1101" s="40" t="str">
        <f t="shared" si="35"/>
        <v/>
      </c>
      <c r="Y1101" s="40" t="str">
        <f>TEXT(Table1[[#This Row],[YEAR]],"0000")&amp;"-"&amp;Table1[[#This Row],[MONTH]]</f>
        <v>-</v>
      </c>
    </row>
    <row r="1102" spans="1:25" ht="15" customHeight="1" x14ac:dyDescent="0.35">
      <c r="A1102" s="24"/>
      <c r="B1102" s="38"/>
      <c r="C1102" s="38"/>
      <c r="D1102" s="38"/>
      <c r="E1102" s="37"/>
      <c r="F1102" s="38"/>
      <c r="G1102" s="198"/>
      <c r="H1102" s="198"/>
      <c r="I1102" s="39"/>
      <c r="J1102" s="38"/>
      <c r="K1102" s="198"/>
      <c r="L1102" s="38"/>
      <c r="M1102" s="38"/>
      <c r="N1102" s="38"/>
      <c r="O1102" s="38"/>
      <c r="P1102" s="40" t="str" cm="1">
        <f t="array" ref="P1102">IF(N1102="","",IFERROR(_xlfn.XLOOKUP(F1102&amp;"|"&amp;J1102&amp;"|"&amp;O1102,PRICES!$C$2:$C$659&amp;"|"&amp;PRICES!$B$2:$B$659&amp;"|"&amp;PRICES!$D$2:$D$659,PRICES!$E$2:$E$659),"Not Found"))</f>
        <v/>
      </c>
      <c r="Q1102" s="100" t="str">
        <f>IF(N1102=0,"",SUMIFS(PRICES!$G$2:$G$658,PRICES!$B$2:$B$658,'MAIN TABLE-1 AUTOMATED'!J1102,PRICES!$C$2:$C$658,'MAIN TABLE-1 AUTOMATED'!F1102,PRICES!$D$2:$D$658,'MAIN TABLE-1 AUTOMATED'!O1102))</f>
        <v/>
      </c>
      <c r="R1102" s="41" t="str">
        <f>IF(Table1[[#This Row],[QUANTITY]]=0,"",Table1[[#This Row],[UNIT PRICE]]*Table1[[#This Row],[QUANTITY]])</f>
        <v/>
      </c>
      <c r="S1102" s="89"/>
      <c r="T1102" s="38"/>
      <c r="U1102" s="43"/>
      <c r="V1102" s="42" t="str">
        <f>IF(Table1[[#This Row],[DATE]]=0,"",YEAR(E1102))</f>
        <v/>
      </c>
      <c r="W1102" s="40" t="str">
        <f t="shared" si="34"/>
        <v/>
      </c>
      <c r="X1102" s="40" t="str">
        <f t="shared" si="35"/>
        <v/>
      </c>
      <c r="Y1102" s="40" t="str">
        <f>TEXT(Table1[[#This Row],[YEAR]],"0000")&amp;"-"&amp;Table1[[#This Row],[MONTH]]</f>
        <v>-</v>
      </c>
    </row>
    <row r="1103" spans="1:25" ht="15" customHeight="1" x14ac:dyDescent="0.35">
      <c r="A1103" s="24"/>
      <c r="B1103" s="38"/>
      <c r="C1103" s="38"/>
      <c r="D1103" s="38"/>
      <c r="E1103" s="37"/>
      <c r="F1103" s="38"/>
      <c r="G1103" s="198"/>
      <c r="H1103" s="198"/>
      <c r="I1103" s="39"/>
      <c r="J1103" s="38"/>
      <c r="K1103" s="198"/>
      <c r="L1103" s="38"/>
      <c r="M1103" s="38"/>
      <c r="N1103" s="38"/>
      <c r="O1103" s="38"/>
      <c r="P1103" s="40" t="str" cm="1">
        <f t="array" ref="P1103">IF(N1103="","",IFERROR(_xlfn.XLOOKUP(F1103&amp;"|"&amp;J1103&amp;"|"&amp;O1103,PRICES!$C$2:$C$659&amp;"|"&amp;PRICES!$B$2:$B$659&amp;"|"&amp;PRICES!$D$2:$D$659,PRICES!$E$2:$E$659),"Not Found"))</f>
        <v/>
      </c>
      <c r="Q1103" s="100" t="str">
        <f>IF(N1103=0,"",SUMIFS(PRICES!$G$2:$G$658,PRICES!$B$2:$B$658,'MAIN TABLE-1 AUTOMATED'!J1103,PRICES!$C$2:$C$658,'MAIN TABLE-1 AUTOMATED'!F1103,PRICES!$D$2:$D$658,'MAIN TABLE-1 AUTOMATED'!O1103))</f>
        <v/>
      </c>
      <c r="R1103" s="41" t="str">
        <f>IF(Table1[[#This Row],[QUANTITY]]=0,"",Table1[[#This Row],[UNIT PRICE]]*Table1[[#This Row],[QUANTITY]])</f>
        <v/>
      </c>
      <c r="S1103" s="89"/>
      <c r="T1103" s="38"/>
      <c r="U1103" s="43"/>
      <c r="V1103" s="42" t="str">
        <f>IF(Table1[[#This Row],[DATE]]=0,"",YEAR(E1103))</f>
        <v/>
      </c>
      <c r="W1103" s="40" t="str">
        <f t="shared" si="34"/>
        <v/>
      </c>
      <c r="X1103" s="40" t="str">
        <f t="shared" si="35"/>
        <v/>
      </c>
      <c r="Y1103" s="40" t="str">
        <f>TEXT(Table1[[#This Row],[YEAR]],"0000")&amp;"-"&amp;Table1[[#This Row],[MONTH]]</f>
        <v>-</v>
      </c>
    </row>
    <row r="1104" spans="1:25" ht="15" customHeight="1" x14ac:dyDescent="0.35">
      <c r="A1104" s="24"/>
      <c r="B1104" s="38"/>
      <c r="C1104" s="38"/>
      <c r="D1104" s="38"/>
      <c r="E1104" s="37"/>
      <c r="F1104" s="38"/>
      <c r="G1104" s="198"/>
      <c r="H1104" s="198"/>
      <c r="I1104" s="39"/>
      <c r="J1104" s="38"/>
      <c r="K1104" s="198"/>
      <c r="L1104" s="38"/>
      <c r="M1104" s="38"/>
      <c r="N1104" s="38"/>
      <c r="O1104" s="38"/>
      <c r="P1104" s="40" t="str" cm="1">
        <f t="array" ref="P1104">IF(N1104="","",IFERROR(_xlfn.XLOOKUP(F1104&amp;"|"&amp;J1104&amp;"|"&amp;O1104,PRICES!$C$2:$C$659&amp;"|"&amp;PRICES!$B$2:$B$659&amp;"|"&amp;PRICES!$D$2:$D$659,PRICES!$E$2:$E$659),"Not Found"))</f>
        <v/>
      </c>
      <c r="Q1104" s="100" t="str">
        <f>IF(N1104=0,"",SUMIFS(PRICES!$G$2:$G$658,PRICES!$B$2:$B$658,'MAIN TABLE-1 AUTOMATED'!J1104,PRICES!$C$2:$C$658,'MAIN TABLE-1 AUTOMATED'!F1104,PRICES!$D$2:$D$658,'MAIN TABLE-1 AUTOMATED'!O1104))</f>
        <v/>
      </c>
      <c r="R1104" s="41" t="str">
        <f>IF(Table1[[#This Row],[QUANTITY]]=0,"",Table1[[#This Row],[UNIT PRICE]]*Table1[[#This Row],[QUANTITY]])</f>
        <v/>
      </c>
      <c r="S1104" s="89"/>
      <c r="T1104" s="38"/>
      <c r="U1104" s="43"/>
      <c r="V1104" s="42" t="str">
        <f>IF(Table1[[#This Row],[DATE]]=0,"",YEAR(E1104))</f>
        <v/>
      </c>
      <c r="W1104" s="40" t="str">
        <f t="shared" si="34"/>
        <v/>
      </c>
      <c r="X1104" s="40" t="str">
        <f t="shared" si="35"/>
        <v/>
      </c>
      <c r="Y1104" s="40" t="str">
        <f>TEXT(Table1[[#This Row],[YEAR]],"0000")&amp;"-"&amp;Table1[[#This Row],[MONTH]]</f>
        <v>-</v>
      </c>
    </row>
    <row r="1105" spans="1:25" ht="15" customHeight="1" x14ac:dyDescent="0.35">
      <c r="A1105" s="24"/>
      <c r="B1105" s="38"/>
      <c r="C1105" s="38"/>
      <c r="D1105" s="38"/>
      <c r="E1105" s="37"/>
      <c r="F1105" s="38"/>
      <c r="G1105" s="198"/>
      <c r="H1105" s="198"/>
      <c r="I1105" s="39"/>
      <c r="J1105" s="38"/>
      <c r="K1105" s="198"/>
      <c r="L1105" s="38"/>
      <c r="M1105" s="38"/>
      <c r="N1105" s="38"/>
      <c r="O1105" s="38"/>
      <c r="P1105" s="40" t="str" cm="1">
        <f t="array" ref="P1105">IF(N1105="","",IFERROR(_xlfn.XLOOKUP(F1105&amp;"|"&amp;J1105&amp;"|"&amp;O1105,PRICES!$C$2:$C$659&amp;"|"&amp;PRICES!$B$2:$B$659&amp;"|"&amp;PRICES!$D$2:$D$659,PRICES!$E$2:$E$659),"Not Found"))</f>
        <v/>
      </c>
      <c r="Q1105" s="100" t="str">
        <f>IF(N1105=0,"",SUMIFS(PRICES!$G$2:$G$658,PRICES!$B$2:$B$658,'MAIN TABLE-1 AUTOMATED'!J1105,PRICES!$C$2:$C$658,'MAIN TABLE-1 AUTOMATED'!F1105,PRICES!$D$2:$D$658,'MAIN TABLE-1 AUTOMATED'!O1105))</f>
        <v/>
      </c>
      <c r="R1105" s="41" t="str">
        <f>IF(Table1[[#This Row],[QUANTITY]]=0,"",Table1[[#This Row],[UNIT PRICE]]*Table1[[#This Row],[QUANTITY]])</f>
        <v/>
      </c>
      <c r="S1105" s="89"/>
      <c r="T1105" s="38"/>
      <c r="U1105" s="43"/>
      <c r="V1105" s="42" t="str">
        <f>IF(Table1[[#This Row],[DATE]]=0,"",YEAR(E1105))</f>
        <v/>
      </c>
      <c r="W1105" s="40" t="str">
        <f t="shared" si="34"/>
        <v/>
      </c>
      <c r="X1105" s="40" t="str">
        <f t="shared" si="35"/>
        <v/>
      </c>
      <c r="Y1105" s="40" t="str">
        <f>TEXT(Table1[[#This Row],[YEAR]],"0000")&amp;"-"&amp;Table1[[#This Row],[MONTH]]</f>
        <v>-</v>
      </c>
    </row>
    <row r="1106" spans="1:25" ht="15" customHeight="1" x14ac:dyDescent="0.35">
      <c r="A1106" s="24"/>
      <c r="B1106" s="38"/>
      <c r="C1106" s="38"/>
      <c r="D1106" s="38"/>
      <c r="E1106" s="37"/>
      <c r="F1106" s="38"/>
      <c r="G1106" s="198"/>
      <c r="H1106" s="198"/>
      <c r="I1106" s="39"/>
      <c r="J1106" s="38"/>
      <c r="K1106" s="198"/>
      <c r="L1106" s="38"/>
      <c r="M1106" s="38"/>
      <c r="N1106" s="38"/>
      <c r="O1106" s="38"/>
      <c r="P1106" s="40" t="str" cm="1">
        <f t="array" ref="P1106">IF(N1106="","",IFERROR(_xlfn.XLOOKUP(F1106&amp;"|"&amp;J1106&amp;"|"&amp;O1106,PRICES!$C$2:$C$659&amp;"|"&amp;PRICES!$B$2:$B$659&amp;"|"&amp;PRICES!$D$2:$D$659,PRICES!$E$2:$E$659),"Not Found"))</f>
        <v/>
      </c>
      <c r="Q1106" s="100" t="str">
        <f>IF(N1106=0,"",SUMIFS(PRICES!$G$2:$G$658,PRICES!$B$2:$B$658,'MAIN TABLE-1 AUTOMATED'!J1106,PRICES!$C$2:$C$658,'MAIN TABLE-1 AUTOMATED'!F1106,PRICES!$D$2:$D$658,'MAIN TABLE-1 AUTOMATED'!O1106))</f>
        <v/>
      </c>
      <c r="R1106" s="41" t="str">
        <f>IF(Table1[[#This Row],[QUANTITY]]=0,"",Table1[[#This Row],[UNIT PRICE]]*Table1[[#This Row],[QUANTITY]])</f>
        <v/>
      </c>
      <c r="S1106" s="89"/>
      <c r="T1106" s="38"/>
      <c r="U1106" s="43"/>
      <c r="V1106" s="42" t="str">
        <f>IF(Table1[[#This Row],[DATE]]=0,"",YEAR(E1106))</f>
        <v/>
      </c>
      <c r="W1106" s="40" t="str">
        <f t="shared" si="34"/>
        <v/>
      </c>
      <c r="X1106" s="40" t="str">
        <f t="shared" si="35"/>
        <v/>
      </c>
      <c r="Y1106" s="40" t="str">
        <f>TEXT(Table1[[#This Row],[YEAR]],"0000")&amp;"-"&amp;Table1[[#This Row],[MONTH]]</f>
        <v>-</v>
      </c>
    </row>
    <row r="1107" spans="1:25" ht="15" customHeight="1" x14ac:dyDescent="0.35">
      <c r="A1107" s="24"/>
      <c r="B1107" s="38"/>
      <c r="C1107" s="38"/>
      <c r="D1107" s="38"/>
      <c r="E1107" s="37"/>
      <c r="F1107" s="38"/>
      <c r="G1107" s="198"/>
      <c r="H1107" s="198"/>
      <c r="I1107" s="39"/>
      <c r="J1107" s="38"/>
      <c r="K1107" s="198"/>
      <c r="L1107" s="38"/>
      <c r="M1107" s="38"/>
      <c r="N1107" s="38"/>
      <c r="O1107" s="38"/>
      <c r="P1107" s="40" t="str" cm="1">
        <f t="array" ref="P1107">IF(N1107="","",IFERROR(_xlfn.XLOOKUP(F1107&amp;"|"&amp;J1107&amp;"|"&amp;O1107,PRICES!$C$2:$C$659&amp;"|"&amp;PRICES!$B$2:$B$659&amp;"|"&amp;PRICES!$D$2:$D$659,PRICES!$E$2:$E$659),"Not Found"))</f>
        <v/>
      </c>
      <c r="Q1107" s="100" t="str">
        <f>IF(N1107=0,"",SUMIFS(PRICES!$G$2:$G$658,PRICES!$B$2:$B$658,'MAIN TABLE-1 AUTOMATED'!J1107,PRICES!$C$2:$C$658,'MAIN TABLE-1 AUTOMATED'!F1107,PRICES!$D$2:$D$658,'MAIN TABLE-1 AUTOMATED'!O1107))</f>
        <v/>
      </c>
      <c r="R1107" s="41" t="str">
        <f>IF(Table1[[#This Row],[QUANTITY]]=0,"",Table1[[#This Row],[UNIT PRICE]]*Table1[[#This Row],[QUANTITY]])</f>
        <v/>
      </c>
      <c r="S1107" s="89"/>
      <c r="T1107" s="38"/>
      <c r="U1107" s="43"/>
      <c r="V1107" s="42" t="str">
        <f>IF(Table1[[#This Row],[DATE]]=0,"",YEAR(E1107))</f>
        <v/>
      </c>
      <c r="W1107" s="40" t="str">
        <f t="shared" si="34"/>
        <v/>
      </c>
      <c r="X1107" s="40" t="str">
        <f t="shared" si="35"/>
        <v/>
      </c>
      <c r="Y1107" s="40" t="str">
        <f>TEXT(Table1[[#This Row],[YEAR]],"0000")&amp;"-"&amp;Table1[[#This Row],[MONTH]]</f>
        <v>-</v>
      </c>
    </row>
    <row r="1108" spans="1:25" ht="15" customHeight="1" x14ac:dyDescent="0.35">
      <c r="A1108" s="24"/>
      <c r="B1108" s="38"/>
      <c r="C1108" s="38"/>
      <c r="D1108" s="38"/>
      <c r="E1108" s="37"/>
      <c r="F1108" s="38"/>
      <c r="G1108" s="198"/>
      <c r="H1108" s="198"/>
      <c r="I1108" s="39"/>
      <c r="J1108" s="38"/>
      <c r="K1108" s="198"/>
      <c r="L1108" s="38"/>
      <c r="M1108" s="38"/>
      <c r="N1108" s="38"/>
      <c r="O1108" s="38"/>
      <c r="P1108" s="40" t="str" cm="1">
        <f t="array" ref="P1108">IF(N1108="","",IFERROR(_xlfn.XLOOKUP(F1108&amp;"|"&amp;J1108&amp;"|"&amp;O1108,PRICES!$C$2:$C$659&amp;"|"&amp;PRICES!$B$2:$B$659&amp;"|"&amp;PRICES!$D$2:$D$659,PRICES!$E$2:$E$659),"Not Found"))</f>
        <v/>
      </c>
      <c r="Q1108" s="100" t="str">
        <f>IF(N1108=0,"",SUMIFS(PRICES!$G$2:$G$658,PRICES!$B$2:$B$658,'MAIN TABLE-1 AUTOMATED'!J1108,PRICES!$C$2:$C$658,'MAIN TABLE-1 AUTOMATED'!F1108,PRICES!$D$2:$D$658,'MAIN TABLE-1 AUTOMATED'!O1108))</f>
        <v/>
      </c>
      <c r="R1108" s="41" t="str">
        <f>IF(Table1[[#This Row],[QUANTITY]]=0,"",Table1[[#This Row],[UNIT PRICE]]*Table1[[#This Row],[QUANTITY]])</f>
        <v/>
      </c>
      <c r="S1108" s="89"/>
      <c r="T1108" s="38"/>
      <c r="U1108" s="43"/>
      <c r="V1108" s="42" t="str">
        <f>IF(Table1[[#This Row],[DATE]]=0,"",YEAR(E1108))</f>
        <v/>
      </c>
      <c r="W1108" s="40" t="str">
        <f t="shared" si="34"/>
        <v/>
      </c>
      <c r="X1108" s="40" t="str">
        <f t="shared" si="35"/>
        <v/>
      </c>
      <c r="Y1108" s="40" t="str">
        <f>TEXT(Table1[[#This Row],[YEAR]],"0000")&amp;"-"&amp;Table1[[#This Row],[MONTH]]</f>
        <v>-</v>
      </c>
    </row>
    <row r="1109" spans="1:25" ht="15" customHeight="1" x14ac:dyDescent="0.35">
      <c r="A1109" s="24"/>
      <c r="B1109" s="38"/>
      <c r="C1109" s="38"/>
      <c r="D1109" s="38"/>
      <c r="E1109" s="37"/>
      <c r="F1109" s="38"/>
      <c r="G1109" s="198"/>
      <c r="H1109" s="198"/>
      <c r="I1109" s="39"/>
      <c r="J1109" s="38"/>
      <c r="K1109" s="198"/>
      <c r="L1109" s="38"/>
      <c r="M1109" s="38"/>
      <c r="N1109" s="38"/>
      <c r="O1109" s="38"/>
      <c r="P1109" s="40" t="str" cm="1">
        <f t="array" ref="P1109">IF(N1109="","",IFERROR(_xlfn.XLOOKUP(F1109&amp;"|"&amp;J1109&amp;"|"&amp;O1109,PRICES!$C$2:$C$659&amp;"|"&amp;PRICES!$B$2:$B$659&amp;"|"&amp;PRICES!$D$2:$D$659,PRICES!$E$2:$E$659),"Not Found"))</f>
        <v/>
      </c>
      <c r="Q1109" s="100" t="str">
        <f>IF(N1109=0,"",SUMIFS(PRICES!$G$2:$G$658,PRICES!$B$2:$B$658,'MAIN TABLE-1 AUTOMATED'!J1109,PRICES!$C$2:$C$658,'MAIN TABLE-1 AUTOMATED'!F1109,PRICES!$D$2:$D$658,'MAIN TABLE-1 AUTOMATED'!O1109))</f>
        <v/>
      </c>
      <c r="R1109" s="41" t="str">
        <f>IF(Table1[[#This Row],[QUANTITY]]=0,"",Table1[[#This Row],[UNIT PRICE]]*Table1[[#This Row],[QUANTITY]])</f>
        <v/>
      </c>
      <c r="S1109" s="89"/>
      <c r="T1109" s="38"/>
      <c r="U1109" s="43"/>
      <c r="V1109" s="42" t="str">
        <f>IF(Table1[[#This Row],[DATE]]=0,"",YEAR(E1109))</f>
        <v/>
      </c>
      <c r="W1109" s="40" t="str">
        <f t="shared" si="34"/>
        <v/>
      </c>
      <c r="X1109" s="40" t="str">
        <f t="shared" si="35"/>
        <v/>
      </c>
      <c r="Y1109" s="40" t="str">
        <f>TEXT(Table1[[#This Row],[YEAR]],"0000")&amp;"-"&amp;Table1[[#This Row],[MONTH]]</f>
        <v>-</v>
      </c>
    </row>
    <row r="1110" spans="1:25" ht="15" customHeight="1" x14ac:dyDescent="0.35">
      <c r="A1110" s="24"/>
      <c r="B1110" s="38"/>
      <c r="C1110" s="38"/>
      <c r="D1110" s="38"/>
      <c r="E1110" s="37"/>
      <c r="F1110" s="38"/>
      <c r="G1110" s="198"/>
      <c r="H1110" s="198"/>
      <c r="I1110" s="39"/>
      <c r="J1110" s="38"/>
      <c r="K1110" s="198"/>
      <c r="L1110" s="38"/>
      <c r="M1110" s="38"/>
      <c r="N1110" s="38"/>
      <c r="O1110" s="38"/>
      <c r="P1110" s="40" t="str" cm="1">
        <f t="array" ref="P1110">IF(N1110="","",IFERROR(_xlfn.XLOOKUP(F1110&amp;"|"&amp;J1110&amp;"|"&amp;O1110,PRICES!$C$2:$C$659&amp;"|"&amp;PRICES!$B$2:$B$659&amp;"|"&amp;PRICES!$D$2:$D$659,PRICES!$E$2:$E$659),"Not Found"))</f>
        <v/>
      </c>
      <c r="Q1110" s="100" t="str">
        <f>IF(N1110=0,"",SUMIFS(PRICES!$G$2:$G$658,PRICES!$B$2:$B$658,'MAIN TABLE-1 AUTOMATED'!J1110,PRICES!$C$2:$C$658,'MAIN TABLE-1 AUTOMATED'!F1110,PRICES!$D$2:$D$658,'MAIN TABLE-1 AUTOMATED'!O1110))</f>
        <v/>
      </c>
      <c r="R1110" s="41" t="str">
        <f>IF(Table1[[#This Row],[QUANTITY]]=0,"",Table1[[#This Row],[UNIT PRICE]]*Table1[[#This Row],[QUANTITY]])</f>
        <v/>
      </c>
      <c r="S1110" s="89"/>
      <c r="T1110" s="38"/>
      <c r="U1110" s="43"/>
      <c r="V1110" s="42" t="str">
        <f>IF(Table1[[#This Row],[DATE]]=0,"",YEAR(E1110))</f>
        <v/>
      </c>
      <c r="W1110" s="40" t="str">
        <f t="shared" si="34"/>
        <v/>
      </c>
      <c r="X1110" s="40" t="str">
        <f t="shared" si="35"/>
        <v/>
      </c>
      <c r="Y1110" s="40" t="str">
        <f>TEXT(Table1[[#This Row],[YEAR]],"0000")&amp;"-"&amp;Table1[[#This Row],[MONTH]]</f>
        <v>-</v>
      </c>
    </row>
    <row r="1111" spans="1:25" ht="15" customHeight="1" x14ac:dyDescent="0.35">
      <c r="A1111" s="24"/>
      <c r="B1111" s="36"/>
      <c r="C1111" s="38"/>
      <c r="D1111" s="38"/>
      <c r="E1111" s="37"/>
      <c r="F1111" s="38"/>
      <c r="G1111" s="198"/>
      <c r="H1111" s="198"/>
      <c r="I1111" s="39"/>
      <c r="J1111" s="38"/>
      <c r="K1111" s="198"/>
      <c r="L1111" s="38"/>
      <c r="M1111" s="38"/>
      <c r="N1111" s="38"/>
      <c r="O1111" s="38"/>
      <c r="P1111" s="40" t="str" cm="1">
        <f t="array" ref="P1111">IF(N1111="","",IFERROR(_xlfn.XLOOKUP(F1111&amp;"|"&amp;J1111&amp;"|"&amp;O1111,PRICES!$C$2:$C$659&amp;"|"&amp;PRICES!$B$2:$B$659&amp;"|"&amp;PRICES!$D$2:$D$659,PRICES!$E$2:$E$659),"Not Found"))</f>
        <v/>
      </c>
      <c r="Q1111" s="100" t="str">
        <f>IF(N1111=0,"",SUMIFS(PRICES!$G$2:$G$658,PRICES!$B$2:$B$658,'MAIN TABLE-1 AUTOMATED'!J1111,PRICES!$C$2:$C$658,'MAIN TABLE-1 AUTOMATED'!F1111,PRICES!$D$2:$D$658,'MAIN TABLE-1 AUTOMATED'!O1111))</f>
        <v/>
      </c>
      <c r="R1111" s="41" t="str">
        <f>IF(Table1[[#This Row],[QUANTITY]]=0,"",Table1[[#This Row],[UNIT PRICE]]*Table1[[#This Row],[QUANTITY]])</f>
        <v/>
      </c>
      <c r="S1111" s="89"/>
      <c r="T1111" s="38"/>
      <c r="U1111" s="43"/>
      <c r="V1111" s="42" t="str">
        <f>IF(Table1[[#This Row],[DATE]]=0,"",YEAR(E1111))</f>
        <v/>
      </c>
      <c r="W1111" s="40" t="str">
        <f t="shared" si="34"/>
        <v/>
      </c>
      <c r="X1111" s="40" t="str">
        <f t="shared" si="35"/>
        <v/>
      </c>
      <c r="Y1111" s="40" t="str">
        <f>TEXT(Table1[[#This Row],[YEAR]],"0000")&amp;"-"&amp;Table1[[#This Row],[MONTH]]</f>
        <v>-</v>
      </c>
    </row>
    <row r="1112" spans="1:25" ht="15" customHeight="1" x14ac:dyDescent="0.35">
      <c r="A1112" s="24"/>
      <c r="B1112" s="36"/>
      <c r="C1112" s="38"/>
      <c r="D1112" s="38"/>
      <c r="E1112" s="37"/>
      <c r="F1112" s="38"/>
      <c r="G1112" s="198"/>
      <c r="H1112" s="198"/>
      <c r="I1112" s="39"/>
      <c r="J1112" s="38"/>
      <c r="K1112" s="198"/>
      <c r="L1112" s="38"/>
      <c r="M1112" s="38"/>
      <c r="N1112" s="38"/>
      <c r="O1112" s="38"/>
      <c r="P1112" s="40" t="str" cm="1">
        <f t="array" ref="P1112">IF(N1112="","",IFERROR(_xlfn.XLOOKUP(F1112&amp;"|"&amp;J1112&amp;"|"&amp;O1112,PRICES!$C$2:$C$659&amp;"|"&amp;PRICES!$B$2:$B$659&amp;"|"&amp;PRICES!$D$2:$D$659,PRICES!$E$2:$E$659),"Not Found"))</f>
        <v/>
      </c>
      <c r="Q1112" s="100" t="str">
        <f>IF(N1112=0,"",SUMIFS(PRICES!$G$2:$G$658,PRICES!$B$2:$B$658,'MAIN TABLE-1 AUTOMATED'!J1112,PRICES!$C$2:$C$658,'MAIN TABLE-1 AUTOMATED'!F1112,PRICES!$D$2:$D$658,'MAIN TABLE-1 AUTOMATED'!O1112))</f>
        <v/>
      </c>
      <c r="R1112" s="41" t="str">
        <f>IF(Table1[[#This Row],[QUANTITY]]=0,"",Table1[[#This Row],[UNIT PRICE]]*Table1[[#This Row],[QUANTITY]])</f>
        <v/>
      </c>
      <c r="S1112" s="89"/>
      <c r="T1112" s="38"/>
      <c r="U1112" s="43"/>
      <c r="V1112" s="42" t="str">
        <f>IF(Table1[[#This Row],[DATE]]=0,"",YEAR(E1112))</f>
        <v/>
      </c>
      <c r="W1112" s="40" t="str">
        <f t="shared" si="34"/>
        <v/>
      </c>
      <c r="X1112" s="40" t="str">
        <f t="shared" si="35"/>
        <v/>
      </c>
      <c r="Y1112" s="40" t="str">
        <f>TEXT(Table1[[#This Row],[YEAR]],"0000")&amp;"-"&amp;Table1[[#This Row],[MONTH]]</f>
        <v>-</v>
      </c>
    </row>
    <row r="1113" spans="1:25" ht="15" customHeight="1" x14ac:dyDescent="0.35">
      <c r="A1113" s="24"/>
      <c r="B1113" s="36"/>
      <c r="C1113" s="38"/>
      <c r="D1113" s="38"/>
      <c r="E1113" s="37"/>
      <c r="F1113" s="38"/>
      <c r="G1113" s="198"/>
      <c r="H1113" s="198"/>
      <c r="I1113" s="39"/>
      <c r="J1113" s="38"/>
      <c r="K1113" s="198"/>
      <c r="L1113" s="38"/>
      <c r="M1113" s="38"/>
      <c r="N1113" s="38"/>
      <c r="O1113" s="38"/>
      <c r="P1113" s="40" t="str" cm="1">
        <f t="array" ref="P1113">IF(N1113="","",IFERROR(_xlfn.XLOOKUP(F1113&amp;"|"&amp;J1113&amp;"|"&amp;O1113,PRICES!$C$2:$C$659&amp;"|"&amp;PRICES!$B$2:$B$659&amp;"|"&amp;PRICES!$D$2:$D$659,PRICES!$E$2:$E$659),"Not Found"))</f>
        <v/>
      </c>
      <c r="Q1113" s="100" t="str">
        <f>IF(N1113=0,"",SUMIFS(PRICES!$G$2:$G$658,PRICES!$B$2:$B$658,'MAIN TABLE-1 AUTOMATED'!J1113,PRICES!$C$2:$C$658,'MAIN TABLE-1 AUTOMATED'!F1113,PRICES!$D$2:$D$658,'MAIN TABLE-1 AUTOMATED'!O1113))</f>
        <v/>
      </c>
      <c r="R1113" s="41" t="str">
        <f>IF(Table1[[#This Row],[QUANTITY]]=0,"",Table1[[#This Row],[UNIT PRICE]]*Table1[[#This Row],[QUANTITY]])</f>
        <v/>
      </c>
      <c r="S1113" s="89"/>
      <c r="T1113" s="38"/>
      <c r="U1113" s="43"/>
      <c r="V1113" s="42" t="str">
        <f>IF(Table1[[#This Row],[DATE]]=0,"",YEAR(E1113))</f>
        <v/>
      </c>
      <c r="W1113" s="40" t="str">
        <f t="shared" si="34"/>
        <v/>
      </c>
      <c r="X1113" s="40" t="str">
        <f t="shared" si="35"/>
        <v/>
      </c>
      <c r="Y1113" s="40" t="str">
        <f>TEXT(Table1[[#This Row],[YEAR]],"0000")&amp;"-"&amp;Table1[[#This Row],[MONTH]]</f>
        <v>-</v>
      </c>
    </row>
    <row r="1114" spans="1:25" ht="15" customHeight="1" x14ac:dyDescent="0.35">
      <c r="A1114" s="24"/>
      <c r="B1114" s="36"/>
      <c r="C1114" s="38"/>
      <c r="D1114" s="38"/>
      <c r="E1114" s="37"/>
      <c r="F1114" s="38"/>
      <c r="G1114" s="198"/>
      <c r="H1114" s="198"/>
      <c r="I1114" s="39"/>
      <c r="J1114" s="38"/>
      <c r="K1114" s="198"/>
      <c r="L1114" s="38"/>
      <c r="M1114" s="38"/>
      <c r="N1114" s="38"/>
      <c r="O1114" s="38"/>
      <c r="P1114" s="40" t="str" cm="1">
        <f t="array" ref="P1114">IF(N1114="","",IFERROR(_xlfn.XLOOKUP(F1114&amp;"|"&amp;J1114&amp;"|"&amp;O1114,PRICES!$C$2:$C$659&amp;"|"&amp;PRICES!$B$2:$B$659&amp;"|"&amp;PRICES!$D$2:$D$659,PRICES!$E$2:$E$659),"Not Found"))</f>
        <v/>
      </c>
      <c r="Q1114" s="100" t="str">
        <f>IF(N1114=0,"",SUMIFS(PRICES!$G$2:$G$658,PRICES!$B$2:$B$658,'MAIN TABLE-1 AUTOMATED'!J1114,PRICES!$C$2:$C$658,'MAIN TABLE-1 AUTOMATED'!F1114,PRICES!$D$2:$D$658,'MAIN TABLE-1 AUTOMATED'!O1114))</f>
        <v/>
      </c>
      <c r="R1114" s="41" t="str">
        <f>IF(Table1[[#This Row],[QUANTITY]]=0,"",Table1[[#This Row],[UNIT PRICE]]*Table1[[#This Row],[QUANTITY]])</f>
        <v/>
      </c>
      <c r="S1114" s="89"/>
      <c r="T1114" s="38"/>
      <c r="U1114" s="43"/>
      <c r="V1114" s="42" t="str">
        <f>IF(Table1[[#This Row],[DATE]]=0,"",YEAR(E1114))</f>
        <v/>
      </c>
      <c r="W1114" s="40" t="str">
        <f t="shared" si="34"/>
        <v/>
      </c>
      <c r="X1114" s="40" t="str">
        <f t="shared" si="35"/>
        <v/>
      </c>
      <c r="Y1114" s="40" t="str">
        <f>TEXT(Table1[[#This Row],[YEAR]],"0000")&amp;"-"&amp;Table1[[#This Row],[MONTH]]</f>
        <v>-</v>
      </c>
    </row>
    <row r="1115" spans="1:25" ht="15" customHeight="1" x14ac:dyDescent="0.35">
      <c r="A1115" s="24"/>
      <c r="B1115" s="38"/>
      <c r="C1115" s="38"/>
      <c r="D1115" s="38"/>
      <c r="E1115" s="37"/>
      <c r="F1115" s="38"/>
      <c r="G1115" s="198"/>
      <c r="H1115" s="198"/>
      <c r="I1115" s="39"/>
      <c r="J1115" s="38"/>
      <c r="K1115" s="198"/>
      <c r="L1115" s="38"/>
      <c r="M1115" s="38"/>
      <c r="N1115" s="38"/>
      <c r="O1115" s="38"/>
      <c r="P1115" s="40" t="str" cm="1">
        <f t="array" ref="P1115">IF(N1115="","",IFERROR(_xlfn.XLOOKUP(F1115&amp;"|"&amp;J1115&amp;"|"&amp;O1115,PRICES!$C$2:$C$659&amp;"|"&amp;PRICES!$B$2:$B$659&amp;"|"&amp;PRICES!$D$2:$D$659,PRICES!$E$2:$E$659),"Not Found"))</f>
        <v/>
      </c>
      <c r="Q1115" s="100" t="str">
        <f>IF(N1115=0,"",SUMIFS(PRICES!$G$2:$G$658,PRICES!$B$2:$B$658,'MAIN TABLE-1 AUTOMATED'!J1115,PRICES!$C$2:$C$658,'MAIN TABLE-1 AUTOMATED'!F1115,PRICES!$D$2:$D$658,'MAIN TABLE-1 AUTOMATED'!O1115))</f>
        <v/>
      </c>
      <c r="R1115" s="41" t="str">
        <f>IF(Table1[[#This Row],[QUANTITY]]=0,"",Table1[[#This Row],[UNIT PRICE]]*Table1[[#This Row],[QUANTITY]])</f>
        <v/>
      </c>
      <c r="S1115" s="89"/>
      <c r="T1115" s="38"/>
      <c r="U1115" s="43"/>
      <c r="V1115" s="42" t="str">
        <f>IF(Table1[[#This Row],[DATE]]=0,"",YEAR(E1115))</f>
        <v/>
      </c>
      <c r="W1115" s="40" t="str">
        <f t="shared" si="34"/>
        <v/>
      </c>
      <c r="X1115" s="40" t="str">
        <f t="shared" si="35"/>
        <v/>
      </c>
      <c r="Y1115" s="40" t="str">
        <f>TEXT(Table1[[#This Row],[YEAR]],"0000")&amp;"-"&amp;Table1[[#This Row],[MONTH]]</f>
        <v>-</v>
      </c>
    </row>
    <row r="1116" spans="1:25" ht="15" customHeight="1" x14ac:dyDescent="0.35">
      <c r="A1116" s="24"/>
      <c r="B1116" s="38"/>
      <c r="C1116" s="38"/>
      <c r="D1116" s="38"/>
      <c r="E1116" s="37"/>
      <c r="F1116" s="38"/>
      <c r="G1116" s="198"/>
      <c r="H1116" s="198"/>
      <c r="I1116" s="39"/>
      <c r="J1116" s="38"/>
      <c r="K1116" s="198"/>
      <c r="L1116" s="38"/>
      <c r="M1116" s="38"/>
      <c r="N1116" s="38"/>
      <c r="O1116" s="38"/>
      <c r="P1116" s="40" t="str" cm="1">
        <f t="array" ref="P1116">IF(N1116="","",IFERROR(_xlfn.XLOOKUP(F1116&amp;"|"&amp;J1116&amp;"|"&amp;O1116,PRICES!$C$2:$C$659&amp;"|"&amp;PRICES!$B$2:$B$659&amp;"|"&amp;PRICES!$D$2:$D$659,PRICES!$E$2:$E$659),"Not Found"))</f>
        <v/>
      </c>
      <c r="Q1116" s="100" t="str">
        <f>IF(N1116=0,"",SUMIFS(PRICES!$G$2:$G$658,PRICES!$B$2:$B$658,'MAIN TABLE-1 AUTOMATED'!J1116,PRICES!$C$2:$C$658,'MAIN TABLE-1 AUTOMATED'!F1116,PRICES!$D$2:$D$658,'MAIN TABLE-1 AUTOMATED'!O1116))</f>
        <v/>
      </c>
      <c r="R1116" s="41" t="str">
        <f>IF(Table1[[#This Row],[QUANTITY]]=0,"",Table1[[#This Row],[UNIT PRICE]]*Table1[[#This Row],[QUANTITY]])</f>
        <v/>
      </c>
      <c r="S1116" s="89"/>
      <c r="T1116" s="38"/>
      <c r="U1116" s="43"/>
      <c r="V1116" s="42" t="str">
        <f>IF(Table1[[#This Row],[DATE]]=0,"",YEAR(E1116))</f>
        <v/>
      </c>
      <c r="W1116" s="40" t="str">
        <f t="shared" si="34"/>
        <v/>
      </c>
      <c r="X1116" s="40" t="str">
        <f t="shared" si="35"/>
        <v/>
      </c>
      <c r="Y1116" s="40" t="str">
        <f>TEXT(Table1[[#This Row],[YEAR]],"0000")&amp;"-"&amp;Table1[[#This Row],[MONTH]]</f>
        <v>-</v>
      </c>
    </row>
    <row r="1117" spans="1:25" ht="15" customHeight="1" x14ac:dyDescent="0.35">
      <c r="A1117" s="24"/>
      <c r="B1117" s="38"/>
      <c r="C1117" s="38"/>
      <c r="D1117" s="38"/>
      <c r="E1117" s="37"/>
      <c r="F1117" s="38"/>
      <c r="G1117" s="198"/>
      <c r="H1117" s="198"/>
      <c r="I1117" s="39"/>
      <c r="J1117" s="38"/>
      <c r="K1117" s="198"/>
      <c r="L1117" s="38"/>
      <c r="M1117" s="38"/>
      <c r="N1117" s="38"/>
      <c r="O1117" s="38"/>
      <c r="P1117" s="40" t="str" cm="1">
        <f t="array" ref="P1117">IF(N1117="","",IFERROR(_xlfn.XLOOKUP(F1117&amp;"|"&amp;J1117&amp;"|"&amp;O1117,PRICES!$C$2:$C$659&amp;"|"&amp;PRICES!$B$2:$B$659&amp;"|"&amp;PRICES!$D$2:$D$659,PRICES!$E$2:$E$659),"Not Found"))</f>
        <v/>
      </c>
      <c r="Q1117" s="100" t="str">
        <f>IF(N1117=0,"",SUMIFS(PRICES!$G$2:$G$658,PRICES!$B$2:$B$658,'MAIN TABLE-1 AUTOMATED'!J1117,PRICES!$C$2:$C$658,'MAIN TABLE-1 AUTOMATED'!F1117,PRICES!$D$2:$D$658,'MAIN TABLE-1 AUTOMATED'!O1117))</f>
        <v/>
      </c>
      <c r="R1117" s="41" t="str">
        <f>IF(Table1[[#This Row],[QUANTITY]]=0,"",Table1[[#This Row],[UNIT PRICE]]*Table1[[#This Row],[QUANTITY]])</f>
        <v/>
      </c>
      <c r="S1117" s="89"/>
      <c r="T1117" s="38"/>
      <c r="U1117" s="43"/>
      <c r="V1117" s="42" t="str">
        <f>IF(Table1[[#This Row],[DATE]]=0,"",YEAR(E1117))</f>
        <v/>
      </c>
      <c r="W1117" s="40" t="str">
        <f t="shared" si="34"/>
        <v/>
      </c>
      <c r="X1117" s="40" t="str">
        <f t="shared" si="35"/>
        <v/>
      </c>
      <c r="Y1117" s="40" t="str">
        <f>TEXT(Table1[[#This Row],[YEAR]],"0000")&amp;"-"&amp;Table1[[#This Row],[MONTH]]</f>
        <v>-</v>
      </c>
    </row>
    <row r="1118" spans="1:25" ht="15" customHeight="1" x14ac:dyDescent="0.35">
      <c r="A1118" s="24"/>
      <c r="B1118" s="38"/>
      <c r="C1118" s="38"/>
      <c r="D1118" s="38"/>
      <c r="E1118" s="37"/>
      <c r="F1118" s="38"/>
      <c r="G1118" s="198"/>
      <c r="H1118" s="198"/>
      <c r="I1118" s="39"/>
      <c r="J1118" s="38"/>
      <c r="K1118" s="198"/>
      <c r="L1118" s="38"/>
      <c r="M1118" s="38"/>
      <c r="N1118" s="38"/>
      <c r="O1118" s="38"/>
      <c r="P1118" s="40" t="str" cm="1">
        <f t="array" ref="P1118">IF(N1118="","",IFERROR(_xlfn.XLOOKUP(F1118&amp;"|"&amp;J1118&amp;"|"&amp;O1118,PRICES!$C$2:$C$659&amp;"|"&amp;PRICES!$B$2:$B$659&amp;"|"&amp;PRICES!$D$2:$D$659,PRICES!$E$2:$E$659),"Not Found"))</f>
        <v/>
      </c>
      <c r="Q1118" s="100" t="str">
        <f>IF(N1118=0,"",SUMIFS(PRICES!$G$2:$G$658,PRICES!$B$2:$B$658,'MAIN TABLE-1 AUTOMATED'!J1118,PRICES!$C$2:$C$658,'MAIN TABLE-1 AUTOMATED'!F1118,PRICES!$D$2:$D$658,'MAIN TABLE-1 AUTOMATED'!O1118))</f>
        <v/>
      </c>
      <c r="R1118" s="41" t="str">
        <f>IF(Table1[[#This Row],[QUANTITY]]=0,"",Table1[[#This Row],[UNIT PRICE]]*Table1[[#This Row],[QUANTITY]])</f>
        <v/>
      </c>
      <c r="S1118" s="89"/>
      <c r="T1118" s="38"/>
      <c r="U1118" s="43"/>
      <c r="V1118" s="42" t="str">
        <f>IF(Table1[[#This Row],[DATE]]=0,"",YEAR(E1118))</f>
        <v/>
      </c>
      <c r="W1118" s="40" t="str">
        <f t="shared" si="34"/>
        <v/>
      </c>
      <c r="X1118" s="40" t="str">
        <f t="shared" si="35"/>
        <v/>
      </c>
      <c r="Y1118" s="40" t="str">
        <f>TEXT(Table1[[#This Row],[YEAR]],"0000")&amp;"-"&amp;Table1[[#This Row],[MONTH]]</f>
        <v>-</v>
      </c>
    </row>
    <row r="1119" spans="1:25" ht="15" customHeight="1" x14ac:dyDescent="0.35">
      <c r="A1119" s="24"/>
      <c r="B1119" s="38"/>
      <c r="C1119" s="38"/>
      <c r="D1119" s="38"/>
      <c r="E1119" s="37"/>
      <c r="F1119" s="38"/>
      <c r="G1119" s="198"/>
      <c r="H1119" s="198"/>
      <c r="I1119" s="39"/>
      <c r="J1119" s="38"/>
      <c r="K1119" s="198"/>
      <c r="L1119" s="38"/>
      <c r="M1119" s="38"/>
      <c r="N1119" s="38"/>
      <c r="O1119" s="38"/>
      <c r="P1119" s="40" t="str" cm="1">
        <f t="array" ref="P1119">IF(N1119="","",IFERROR(_xlfn.XLOOKUP(F1119&amp;"|"&amp;J1119&amp;"|"&amp;O1119,PRICES!$C$2:$C$659&amp;"|"&amp;PRICES!$B$2:$B$659&amp;"|"&amp;PRICES!$D$2:$D$659,PRICES!$E$2:$E$659),"Not Found"))</f>
        <v/>
      </c>
      <c r="Q1119" s="100" t="str">
        <f>IF(N1119=0,"",SUMIFS(PRICES!$G$2:$G$658,PRICES!$B$2:$B$658,'MAIN TABLE-1 AUTOMATED'!J1119,PRICES!$C$2:$C$658,'MAIN TABLE-1 AUTOMATED'!F1119,PRICES!$D$2:$D$658,'MAIN TABLE-1 AUTOMATED'!O1119))</f>
        <v/>
      </c>
      <c r="R1119" s="41" t="str">
        <f>IF(Table1[[#This Row],[QUANTITY]]=0,"",Table1[[#This Row],[UNIT PRICE]]*Table1[[#This Row],[QUANTITY]])</f>
        <v/>
      </c>
      <c r="S1119" s="89"/>
      <c r="T1119" s="38"/>
      <c r="U1119" s="43"/>
      <c r="V1119" s="42" t="str">
        <f>IF(Table1[[#This Row],[DATE]]=0,"",YEAR(E1119))</f>
        <v/>
      </c>
      <c r="W1119" s="40" t="str">
        <f t="shared" ref="W1119:W1182" si="36">IF(E1119=0,"",MONTH(E1119))</f>
        <v/>
      </c>
      <c r="X1119" s="40" t="str">
        <f t="shared" ref="X1119:X1182" si="37">IF(E1119=0,"",WEEKNUM(E1119))</f>
        <v/>
      </c>
      <c r="Y1119" s="40" t="str">
        <f>TEXT(Table1[[#This Row],[YEAR]],"0000")&amp;"-"&amp;Table1[[#This Row],[MONTH]]</f>
        <v>-</v>
      </c>
    </row>
    <row r="1120" spans="1:25" ht="15" customHeight="1" x14ac:dyDescent="0.35">
      <c r="A1120" s="24"/>
      <c r="B1120" s="38"/>
      <c r="C1120" s="38"/>
      <c r="D1120" s="38"/>
      <c r="E1120" s="37"/>
      <c r="F1120" s="38"/>
      <c r="G1120" s="198"/>
      <c r="H1120" s="198"/>
      <c r="I1120" s="39"/>
      <c r="J1120" s="38"/>
      <c r="K1120" s="198"/>
      <c r="L1120" s="38"/>
      <c r="M1120" s="38"/>
      <c r="N1120" s="38"/>
      <c r="O1120" s="38"/>
      <c r="P1120" s="40" t="str" cm="1">
        <f t="array" ref="P1120">IF(N1120="","",IFERROR(_xlfn.XLOOKUP(F1120&amp;"|"&amp;J1120&amp;"|"&amp;O1120,PRICES!$C$2:$C$659&amp;"|"&amp;PRICES!$B$2:$B$659&amp;"|"&amp;PRICES!$D$2:$D$659,PRICES!$E$2:$E$659),"Not Found"))</f>
        <v/>
      </c>
      <c r="Q1120" s="100" t="str">
        <f>IF(N1120=0,"",SUMIFS(PRICES!$G$2:$G$658,PRICES!$B$2:$B$658,'MAIN TABLE-1 AUTOMATED'!J1120,PRICES!$C$2:$C$658,'MAIN TABLE-1 AUTOMATED'!F1120,PRICES!$D$2:$D$658,'MAIN TABLE-1 AUTOMATED'!O1120))</f>
        <v/>
      </c>
      <c r="R1120" s="41" t="str">
        <f>IF(Table1[[#This Row],[QUANTITY]]=0,"",Table1[[#This Row],[UNIT PRICE]]*Table1[[#This Row],[QUANTITY]])</f>
        <v/>
      </c>
      <c r="S1120" s="89"/>
      <c r="T1120" s="38"/>
      <c r="U1120" s="43"/>
      <c r="V1120" s="42" t="str">
        <f>IF(Table1[[#This Row],[DATE]]=0,"",YEAR(E1120))</f>
        <v/>
      </c>
      <c r="W1120" s="40" t="str">
        <f t="shared" si="36"/>
        <v/>
      </c>
      <c r="X1120" s="40" t="str">
        <f t="shared" si="37"/>
        <v/>
      </c>
      <c r="Y1120" s="40" t="str">
        <f>TEXT(Table1[[#This Row],[YEAR]],"0000")&amp;"-"&amp;Table1[[#This Row],[MONTH]]</f>
        <v>-</v>
      </c>
    </row>
    <row r="1121" spans="1:25" ht="15" customHeight="1" x14ac:dyDescent="0.35">
      <c r="A1121" s="24"/>
      <c r="B1121" s="36"/>
      <c r="C1121" s="38"/>
      <c r="D1121" s="38"/>
      <c r="E1121" s="37"/>
      <c r="F1121" s="38"/>
      <c r="G1121" s="198"/>
      <c r="H1121" s="198"/>
      <c r="I1121" s="39"/>
      <c r="J1121" s="38"/>
      <c r="K1121" s="198"/>
      <c r="L1121" s="38"/>
      <c r="M1121" s="38"/>
      <c r="N1121" s="38"/>
      <c r="O1121" s="38"/>
      <c r="P1121" s="40" t="str" cm="1">
        <f t="array" ref="P1121">IF(N1121="","",IFERROR(_xlfn.XLOOKUP(F1121&amp;"|"&amp;J1121&amp;"|"&amp;O1121,PRICES!$C$2:$C$659&amp;"|"&amp;PRICES!$B$2:$B$659&amp;"|"&amp;PRICES!$D$2:$D$659,PRICES!$E$2:$E$659),"Not Found"))</f>
        <v/>
      </c>
      <c r="Q1121" s="100" t="str">
        <f>IF(N1121=0,"",SUMIFS(PRICES!$G$2:$G$658,PRICES!$B$2:$B$658,'MAIN TABLE-1 AUTOMATED'!J1121,PRICES!$C$2:$C$658,'MAIN TABLE-1 AUTOMATED'!F1121,PRICES!$D$2:$D$658,'MAIN TABLE-1 AUTOMATED'!O1121))</f>
        <v/>
      </c>
      <c r="R1121" s="41" t="str">
        <f>IF(Table1[[#This Row],[QUANTITY]]=0,"",Table1[[#This Row],[UNIT PRICE]]*Table1[[#This Row],[QUANTITY]])</f>
        <v/>
      </c>
      <c r="S1121" s="89"/>
      <c r="T1121" s="38"/>
      <c r="U1121" s="43"/>
      <c r="V1121" s="42" t="str">
        <f>IF(Table1[[#This Row],[DATE]]=0,"",YEAR(E1121))</f>
        <v/>
      </c>
      <c r="W1121" s="40" t="str">
        <f t="shared" si="36"/>
        <v/>
      </c>
      <c r="X1121" s="40" t="str">
        <f t="shared" si="37"/>
        <v/>
      </c>
      <c r="Y1121" s="40" t="str">
        <f>TEXT(Table1[[#This Row],[YEAR]],"0000")&amp;"-"&amp;Table1[[#This Row],[MONTH]]</f>
        <v>-</v>
      </c>
    </row>
    <row r="1122" spans="1:25" ht="15" customHeight="1" x14ac:dyDescent="0.35">
      <c r="A1122" s="24"/>
      <c r="B1122" s="36"/>
      <c r="C1122" s="38"/>
      <c r="D1122" s="38"/>
      <c r="E1122" s="37"/>
      <c r="F1122" s="38"/>
      <c r="G1122" s="198"/>
      <c r="H1122" s="198"/>
      <c r="I1122" s="39"/>
      <c r="J1122" s="38"/>
      <c r="K1122" s="198"/>
      <c r="L1122" s="38"/>
      <c r="M1122" s="38"/>
      <c r="N1122" s="38"/>
      <c r="O1122" s="38"/>
      <c r="P1122" s="40" t="str" cm="1">
        <f t="array" ref="P1122">IF(N1122="","",IFERROR(_xlfn.XLOOKUP(F1122&amp;"|"&amp;J1122&amp;"|"&amp;O1122,PRICES!$C$2:$C$659&amp;"|"&amp;PRICES!$B$2:$B$659&amp;"|"&amp;PRICES!$D$2:$D$659,PRICES!$E$2:$E$659),"Not Found"))</f>
        <v/>
      </c>
      <c r="Q1122" s="100" t="str">
        <f>IF(N1122=0,"",SUMIFS(PRICES!$G$2:$G$658,PRICES!$B$2:$B$658,'MAIN TABLE-1 AUTOMATED'!J1122,PRICES!$C$2:$C$658,'MAIN TABLE-1 AUTOMATED'!F1122,PRICES!$D$2:$D$658,'MAIN TABLE-1 AUTOMATED'!O1122))</f>
        <v/>
      </c>
      <c r="R1122" s="41" t="str">
        <f>IF(Table1[[#This Row],[QUANTITY]]=0,"",Table1[[#This Row],[UNIT PRICE]]*Table1[[#This Row],[QUANTITY]])</f>
        <v/>
      </c>
      <c r="S1122" s="89"/>
      <c r="T1122" s="38"/>
      <c r="U1122" s="43"/>
      <c r="V1122" s="42" t="str">
        <f>IF(Table1[[#This Row],[DATE]]=0,"",YEAR(E1122))</f>
        <v/>
      </c>
      <c r="W1122" s="40" t="str">
        <f t="shared" si="36"/>
        <v/>
      </c>
      <c r="X1122" s="40" t="str">
        <f t="shared" si="37"/>
        <v/>
      </c>
      <c r="Y1122" s="40" t="str">
        <f>TEXT(Table1[[#This Row],[YEAR]],"0000")&amp;"-"&amp;Table1[[#This Row],[MONTH]]</f>
        <v>-</v>
      </c>
    </row>
    <row r="1123" spans="1:25" ht="15" customHeight="1" x14ac:dyDescent="0.35">
      <c r="A1123" s="24"/>
      <c r="B1123" s="36"/>
      <c r="C1123" s="38"/>
      <c r="D1123" s="38"/>
      <c r="E1123" s="37"/>
      <c r="F1123" s="38"/>
      <c r="G1123" s="198"/>
      <c r="H1123" s="198"/>
      <c r="I1123" s="39"/>
      <c r="J1123" s="38"/>
      <c r="K1123" s="198"/>
      <c r="L1123" s="38"/>
      <c r="M1123" s="38"/>
      <c r="N1123" s="38"/>
      <c r="O1123" s="38"/>
      <c r="P1123" s="40" t="str" cm="1">
        <f t="array" ref="P1123">IF(N1123="","",IFERROR(_xlfn.XLOOKUP(F1123&amp;"|"&amp;J1123&amp;"|"&amp;O1123,PRICES!$C$2:$C$659&amp;"|"&amp;PRICES!$B$2:$B$659&amp;"|"&amp;PRICES!$D$2:$D$659,PRICES!$E$2:$E$659),"Not Found"))</f>
        <v/>
      </c>
      <c r="Q1123" s="100" t="str">
        <f>IF(N1123=0,"",SUMIFS(PRICES!$G$2:$G$658,PRICES!$B$2:$B$658,'MAIN TABLE-1 AUTOMATED'!J1123,PRICES!$C$2:$C$658,'MAIN TABLE-1 AUTOMATED'!F1123,PRICES!$D$2:$D$658,'MAIN TABLE-1 AUTOMATED'!O1123))</f>
        <v/>
      </c>
      <c r="R1123" s="41" t="str">
        <f>IF(Table1[[#This Row],[QUANTITY]]=0,"",Table1[[#This Row],[UNIT PRICE]]*Table1[[#This Row],[QUANTITY]])</f>
        <v/>
      </c>
      <c r="S1123" s="89"/>
      <c r="T1123" s="38"/>
      <c r="U1123" s="43"/>
      <c r="V1123" s="42" t="str">
        <f>IF(Table1[[#This Row],[DATE]]=0,"",YEAR(E1123))</f>
        <v/>
      </c>
      <c r="W1123" s="40" t="str">
        <f t="shared" si="36"/>
        <v/>
      </c>
      <c r="X1123" s="40" t="str">
        <f t="shared" si="37"/>
        <v/>
      </c>
      <c r="Y1123" s="40" t="str">
        <f>TEXT(Table1[[#This Row],[YEAR]],"0000")&amp;"-"&amp;Table1[[#This Row],[MONTH]]</f>
        <v>-</v>
      </c>
    </row>
    <row r="1124" spans="1:25" ht="15" customHeight="1" x14ac:dyDescent="0.35">
      <c r="A1124" s="24"/>
      <c r="B1124" s="38"/>
      <c r="C1124" s="38"/>
      <c r="D1124" s="38"/>
      <c r="E1124" s="37"/>
      <c r="F1124" s="38"/>
      <c r="G1124" s="198"/>
      <c r="H1124" s="198"/>
      <c r="I1124" s="39"/>
      <c r="J1124" s="38"/>
      <c r="K1124" s="198"/>
      <c r="L1124" s="38"/>
      <c r="M1124" s="38"/>
      <c r="N1124" s="38"/>
      <c r="O1124" s="38"/>
      <c r="P1124" s="40" t="str" cm="1">
        <f t="array" ref="P1124">IF(N1124="","",IFERROR(_xlfn.XLOOKUP(F1124&amp;"|"&amp;J1124&amp;"|"&amp;O1124,PRICES!$C$2:$C$659&amp;"|"&amp;PRICES!$B$2:$B$659&amp;"|"&amp;PRICES!$D$2:$D$659,PRICES!$E$2:$E$659),"Not Found"))</f>
        <v/>
      </c>
      <c r="Q1124" s="100" t="str">
        <f>IF(N1124=0,"",SUMIFS(PRICES!$G$2:$G$658,PRICES!$B$2:$B$658,'MAIN TABLE-1 AUTOMATED'!J1124,PRICES!$C$2:$C$658,'MAIN TABLE-1 AUTOMATED'!F1124,PRICES!$D$2:$D$658,'MAIN TABLE-1 AUTOMATED'!O1124))</f>
        <v/>
      </c>
      <c r="R1124" s="41" t="str">
        <f>IF(Table1[[#This Row],[QUANTITY]]=0,"",Table1[[#This Row],[UNIT PRICE]]*Table1[[#This Row],[QUANTITY]])</f>
        <v/>
      </c>
      <c r="S1124" s="89"/>
      <c r="T1124" s="38"/>
      <c r="U1124" s="43"/>
      <c r="V1124" s="42" t="str">
        <f>IF(Table1[[#This Row],[DATE]]=0,"",YEAR(E1124))</f>
        <v/>
      </c>
      <c r="W1124" s="40" t="str">
        <f t="shared" si="36"/>
        <v/>
      </c>
      <c r="X1124" s="40" t="str">
        <f t="shared" si="37"/>
        <v/>
      </c>
      <c r="Y1124" s="40" t="str">
        <f>TEXT(Table1[[#This Row],[YEAR]],"0000")&amp;"-"&amp;Table1[[#This Row],[MONTH]]</f>
        <v>-</v>
      </c>
    </row>
    <row r="1125" spans="1:25" ht="15" customHeight="1" x14ac:dyDescent="0.35">
      <c r="A1125" s="24"/>
      <c r="B1125" s="38"/>
      <c r="C1125" s="38"/>
      <c r="D1125" s="38"/>
      <c r="E1125" s="37"/>
      <c r="F1125" s="38"/>
      <c r="G1125" s="198"/>
      <c r="H1125" s="198"/>
      <c r="I1125" s="39"/>
      <c r="J1125" s="38"/>
      <c r="K1125" s="198"/>
      <c r="L1125" s="38"/>
      <c r="M1125" s="38"/>
      <c r="N1125" s="38"/>
      <c r="O1125" s="38"/>
      <c r="P1125" s="40" t="str" cm="1">
        <f t="array" ref="P1125">IF(N1125="","",IFERROR(_xlfn.XLOOKUP(F1125&amp;"|"&amp;J1125&amp;"|"&amp;O1125,PRICES!$C$2:$C$659&amp;"|"&amp;PRICES!$B$2:$B$659&amp;"|"&amp;PRICES!$D$2:$D$659,PRICES!$E$2:$E$659),"Not Found"))</f>
        <v/>
      </c>
      <c r="Q1125" s="100" t="str">
        <f>IF(N1125=0,"",SUMIFS(PRICES!$G$2:$G$658,PRICES!$B$2:$B$658,'MAIN TABLE-1 AUTOMATED'!J1125,PRICES!$C$2:$C$658,'MAIN TABLE-1 AUTOMATED'!F1125,PRICES!$D$2:$D$658,'MAIN TABLE-1 AUTOMATED'!O1125))</f>
        <v/>
      </c>
      <c r="R1125" s="41" t="str">
        <f>IF(Table1[[#This Row],[QUANTITY]]=0,"",Table1[[#This Row],[UNIT PRICE]]*Table1[[#This Row],[QUANTITY]])</f>
        <v/>
      </c>
      <c r="S1125" s="89"/>
      <c r="T1125" s="38"/>
      <c r="U1125" s="43"/>
      <c r="V1125" s="42" t="str">
        <f>IF(Table1[[#This Row],[DATE]]=0,"",YEAR(E1125))</f>
        <v/>
      </c>
      <c r="W1125" s="40" t="str">
        <f t="shared" si="36"/>
        <v/>
      </c>
      <c r="X1125" s="40" t="str">
        <f t="shared" si="37"/>
        <v/>
      </c>
      <c r="Y1125" s="40" t="str">
        <f>TEXT(Table1[[#This Row],[YEAR]],"0000")&amp;"-"&amp;Table1[[#This Row],[MONTH]]</f>
        <v>-</v>
      </c>
    </row>
    <row r="1126" spans="1:25" ht="15" customHeight="1" x14ac:dyDescent="0.35">
      <c r="A1126" s="24"/>
      <c r="B1126" s="38"/>
      <c r="C1126" s="38"/>
      <c r="D1126" s="38"/>
      <c r="E1126" s="37"/>
      <c r="F1126" s="38"/>
      <c r="G1126" s="198"/>
      <c r="H1126" s="198"/>
      <c r="I1126" s="39"/>
      <c r="J1126" s="38"/>
      <c r="K1126" s="198"/>
      <c r="L1126" s="38"/>
      <c r="M1126" s="38"/>
      <c r="N1126" s="38"/>
      <c r="O1126" s="38"/>
      <c r="P1126" s="40" t="str" cm="1">
        <f t="array" ref="P1126">IF(N1126="","",IFERROR(_xlfn.XLOOKUP(F1126&amp;"|"&amp;J1126&amp;"|"&amp;O1126,PRICES!$C$2:$C$659&amp;"|"&amp;PRICES!$B$2:$B$659&amp;"|"&amp;PRICES!$D$2:$D$659,PRICES!$E$2:$E$659),"Not Found"))</f>
        <v/>
      </c>
      <c r="Q1126" s="100" t="str">
        <f>IF(N1126=0,"",SUMIFS(PRICES!$G$2:$G$658,PRICES!$B$2:$B$658,'MAIN TABLE-1 AUTOMATED'!J1126,PRICES!$C$2:$C$658,'MAIN TABLE-1 AUTOMATED'!F1126,PRICES!$D$2:$D$658,'MAIN TABLE-1 AUTOMATED'!O1126))</f>
        <v/>
      </c>
      <c r="R1126" s="41" t="str">
        <f>IF(Table1[[#This Row],[QUANTITY]]=0,"",Table1[[#This Row],[UNIT PRICE]]*Table1[[#This Row],[QUANTITY]])</f>
        <v/>
      </c>
      <c r="S1126" s="89"/>
      <c r="T1126" s="38"/>
      <c r="U1126" s="43"/>
      <c r="V1126" s="42" t="str">
        <f>IF(Table1[[#This Row],[DATE]]=0,"",YEAR(E1126))</f>
        <v/>
      </c>
      <c r="W1126" s="40" t="str">
        <f t="shared" si="36"/>
        <v/>
      </c>
      <c r="X1126" s="40" t="str">
        <f t="shared" si="37"/>
        <v/>
      </c>
      <c r="Y1126" s="40" t="str">
        <f>TEXT(Table1[[#This Row],[YEAR]],"0000")&amp;"-"&amp;Table1[[#This Row],[MONTH]]</f>
        <v>-</v>
      </c>
    </row>
    <row r="1127" spans="1:25" ht="15" customHeight="1" x14ac:dyDescent="0.35">
      <c r="A1127" s="24"/>
      <c r="B1127" s="38"/>
      <c r="C1127" s="38"/>
      <c r="D1127" s="38"/>
      <c r="E1127" s="37"/>
      <c r="F1127" s="38"/>
      <c r="G1127" s="198"/>
      <c r="H1127" s="198"/>
      <c r="I1127" s="39"/>
      <c r="J1127" s="38"/>
      <c r="K1127" s="198"/>
      <c r="L1127" s="38"/>
      <c r="M1127" s="38"/>
      <c r="N1127" s="38"/>
      <c r="O1127" s="38"/>
      <c r="P1127" s="40" t="str" cm="1">
        <f t="array" ref="P1127">IF(N1127="","",IFERROR(_xlfn.XLOOKUP(F1127&amp;"|"&amp;J1127&amp;"|"&amp;O1127,PRICES!$C$2:$C$659&amp;"|"&amp;PRICES!$B$2:$B$659&amp;"|"&amp;PRICES!$D$2:$D$659,PRICES!$E$2:$E$659),"Not Found"))</f>
        <v/>
      </c>
      <c r="Q1127" s="100" t="str">
        <f>IF(N1127=0,"",SUMIFS(PRICES!$G$2:$G$658,PRICES!$B$2:$B$658,'MAIN TABLE-1 AUTOMATED'!J1127,PRICES!$C$2:$C$658,'MAIN TABLE-1 AUTOMATED'!F1127,PRICES!$D$2:$D$658,'MAIN TABLE-1 AUTOMATED'!O1127))</f>
        <v/>
      </c>
      <c r="R1127" s="41" t="str">
        <f>IF(Table1[[#This Row],[QUANTITY]]=0,"",Table1[[#This Row],[UNIT PRICE]]*Table1[[#This Row],[QUANTITY]])</f>
        <v/>
      </c>
      <c r="S1127" s="89"/>
      <c r="T1127" s="38"/>
      <c r="U1127" s="43"/>
      <c r="V1127" s="42" t="str">
        <f>IF(Table1[[#This Row],[DATE]]=0,"",YEAR(E1127))</f>
        <v/>
      </c>
      <c r="W1127" s="40" t="str">
        <f t="shared" si="36"/>
        <v/>
      </c>
      <c r="X1127" s="40" t="str">
        <f t="shared" si="37"/>
        <v/>
      </c>
      <c r="Y1127" s="40" t="str">
        <f>TEXT(Table1[[#This Row],[YEAR]],"0000")&amp;"-"&amp;Table1[[#This Row],[MONTH]]</f>
        <v>-</v>
      </c>
    </row>
    <row r="1128" spans="1:25" ht="15" customHeight="1" x14ac:dyDescent="0.35">
      <c r="A1128" s="24"/>
      <c r="B1128" s="38"/>
      <c r="C1128" s="38"/>
      <c r="D1128" s="38"/>
      <c r="E1128" s="37"/>
      <c r="F1128" s="38"/>
      <c r="G1128" s="198"/>
      <c r="H1128" s="198"/>
      <c r="I1128" s="39"/>
      <c r="J1128" s="38"/>
      <c r="K1128" s="198"/>
      <c r="L1128" s="38"/>
      <c r="M1128" s="38"/>
      <c r="N1128" s="38"/>
      <c r="O1128" s="38"/>
      <c r="P1128" s="40" t="str" cm="1">
        <f t="array" ref="P1128">IF(N1128="","",IFERROR(_xlfn.XLOOKUP(F1128&amp;"|"&amp;J1128&amp;"|"&amp;O1128,PRICES!$C$2:$C$659&amp;"|"&amp;PRICES!$B$2:$B$659&amp;"|"&amp;PRICES!$D$2:$D$659,PRICES!$E$2:$E$659),"Not Found"))</f>
        <v/>
      </c>
      <c r="Q1128" s="100" t="str">
        <f>IF(N1128=0,"",SUMIFS(PRICES!$G$2:$G$658,PRICES!$B$2:$B$658,'MAIN TABLE-1 AUTOMATED'!J1128,PRICES!$C$2:$C$658,'MAIN TABLE-1 AUTOMATED'!F1128,PRICES!$D$2:$D$658,'MAIN TABLE-1 AUTOMATED'!O1128))</f>
        <v/>
      </c>
      <c r="R1128" s="41" t="str">
        <f>IF(Table1[[#This Row],[QUANTITY]]=0,"",Table1[[#This Row],[UNIT PRICE]]*Table1[[#This Row],[QUANTITY]])</f>
        <v/>
      </c>
      <c r="S1128" s="89"/>
      <c r="T1128" s="38"/>
      <c r="U1128" s="43"/>
      <c r="V1128" s="42" t="str">
        <f>IF(Table1[[#This Row],[DATE]]=0,"",YEAR(E1128))</f>
        <v/>
      </c>
      <c r="W1128" s="40" t="str">
        <f t="shared" si="36"/>
        <v/>
      </c>
      <c r="X1128" s="40" t="str">
        <f t="shared" si="37"/>
        <v/>
      </c>
      <c r="Y1128" s="40" t="str">
        <f>TEXT(Table1[[#This Row],[YEAR]],"0000")&amp;"-"&amp;Table1[[#This Row],[MONTH]]</f>
        <v>-</v>
      </c>
    </row>
    <row r="1129" spans="1:25" ht="15" customHeight="1" x14ac:dyDescent="0.35">
      <c r="A1129" s="24"/>
      <c r="B1129" s="38"/>
      <c r="C1129" s="38"/>
      <c r="D1129" s="38"/>
      <c r="E1129" s="37"/>
      <c r="F1129" s="38"/>
      <c r="G1129" s="198"/>
      <c r="H1129" s="198"/>
      <c r="I1129" s="39"/>
      <c r="J1129" s="38"/>
      <c r="K1129" s="198"/>
      <c r="L1129" s="38"/>
      <c r="M1129" s="38"/>
      <c r="N1129" s="38"/>
      <c r="O1129" s="38"/>
      <c r="P1129" s="40" t="str" cm="1">
        <f t="array" ref="P1129">IF(N1129="","",IFERROR(_xlfn.XLOOKUP(F1129&amp;"|"&amp;J1129&amp;"|"&amp;O1129,PRICES!$C$2:$C$659&amp;"|"&amp;PRICES!$B$2:$B$659&amp;"|"&amp;PRICES!$D$2:$D$659,PRICES!$E$2:$E$659),"Not Found"))</f>
        <v/>
      </c>
      <c r="Q1129" s="100" t="str">
        <f>IF(N1129=0,"",SUMIFS(PRICES!$G$2:$G$658,PRICES!$B$2:$B$658,'MAIN TABLE-1 AUTOMATED'!J1129,PRICES!$C$2:$C$658,'MAIN TABLE-1 AUTOMATED'!F1129,PRICES!$D$2:$D$658,'MAIN TABLE-1 AUTOMATED'!O1129))</f>
        <v/>
      </c>
      <c r="R1129" s="41" t="str">
        <f>IF(Table1[[#This Row],[QUANTITY]]=0,"",Table1[[#This Row],[UNIT PRICE]]*Table1[[#This Row],[QUANTITY]])</f>
        <v/>
      </c>
      <c r="S1129" s="89"/>
      <c r="T1129" s="38"/>
      <c r="U1129" s="43"/>
      <c r="V1129" s="42" t="str">
        <f>IF(Table1[[#This Row],[DATE]]=0,"",YEAR(E1129))</f>
        <v/>
      </c>
      <c r="W1129" s="40" t="str">
        <f t="shared" si="36"/>
        <v/>
      </c>
      <c r="X1129" s="40" t="str">
        <f t="shared" si="37"/>
        <v/>
      </c>
      <c r="Y1129" s="40" t="str">
        <f>TEXT(Table1[[#This Row],[YEAR]],"0000")&amp;"-"&amp;Table1[[#This Row],[MONTH]]</f>
        <v>-</v>
      </c>
    </row>
    <row r="1130" spans="1:25" ht="15" customHeight="1" x14ac:dyDescent="0.35">
      <c r="A1130" s="24"/>
      <c r="B1130" s="36"/>
      <c r="C1130" s="38"/>
      <c r="D1130" s="38"/>
      <c r="E1130" s="37"/>
      <c r="F1130" s="38"/>
      <c r="G1130" s="198"/>
      <c r="H1130" s="198"/>
      <c r="I1130" s="39"/>
      <c r="J1130" s="38"/>
      <c r="K1130" s="198"/>
      <c r="L1130" s="38"/>
      <c r="M1130" s="38"/>
      <c r="N1130" s="38"/>
      <c r="O1130" s="38"/>
      <c r="P1130" s="40" t="str" cm="1">
        <f t="array" ref="P1130">IF(N1130="","",IFERROR(_xlfn.XLOOKUP(F1130&amp;"|"&amp;J1130&amp;"|"&amp;O1130,PRICES!$C$2:$C$659&amp;"|"&amp;PRICES!$B$2:$B$659&amp;"|"&amp;PRICES!$D$2:$D$659,PRICES!$E$2:$E$659),"Not Found"))</f>
        <v/>
      </c>
      <c r="Q1130" s="100" t="str">
        <f>IF(N1130=0,"",SUMIFS(PRICES!$G$2:$G$658,PRICES!$B$2:$B$658,'MAIN TABLE-1 AUTOMATED'!J1130,PRICES!$C$2:$C$658,'MAIN TABLE-1 AUTOMATED'!F1130,PRICES!$D$2:$D$658,'MAIN TABLE-1 AUTOMATED'!O1130))</f>
        <v/>
      </c>
      <c r="R1130" s="41" t="str">
        <f>IF(Table1[[#This Row],[QUANTITY]]=0,"",Table1[[#This Row],[UNIT PRICE]]*Table1[[#This Row],[QUANTITY]])</f>
        <v/>
      </c>
      <c r="S1130" s="89"/>
      <c r="T1130" s="38"/>
      <c r="U1130" s="43"/>
      <c r="V1130" s="42" t="str">
        <f>IF(Table1[[#This Row],[DATE]]=0,"",YEAR(E1130))</f>
        <v/>
      </c>
      <c r="W1130" s="40" t="str">
        <f t="shared" si="36"/>
        <v/>
      </c>
      <c r="X1130" s="40" t="str">
        <f t="shared" si="37"/>
        <v/>
      </c>
      <c r="Y1130" s="40" t="str">
        <f>TEXT(Table1[[#This Row],[YEAR]],"0000")&amp;"-"&amp;Table1[[#This Row],[MONTH]]</f>
        <v>-</v>
      </c>
    </row>
    <row r="1131" spans="1:25" ht="15" customHeight="1" x14ac:dyDescent="0.35">
      <c r="A1131" s="24"/>
      <c r="B1131" s="38"/>
      <c r="C1131" s="38"/>
      <c r="D1131" s="38"/>
      <c r="E1131" s="37"/>
      <c r="F1131" s="38"/>
      <c r="G1131" s="198"/>
      <c r="H1131" s="198"/>
      <c r="I1131" s="39"/>
      <c r="J1131" s="38"/>
      <c r="K1131" s="198"/>
      <c r="L1131" s="38"/>
      <c r="M1131" s="38"/>
      <c r="N1131" s="38"/>
      <c r="O1131" s="38"/>
      <c r="P1131" s="40" t="str" cm="1">
        <f t="array" ref="P1131">IF(N1131="","",IFERROR(_xlfn.XLOOKUP(F1131&amp;"|"&amp;J1131&amp;"|"&amp;O1131,PRICES!$C$2:$C$659&amp;"|"&amp;PRICES!$B$2:$B$659&amp;"|"&amp;PRICES!$D$2:$D$659,PRICES!$E$2:$E$659),"Not Found"))</f>
        <v/>
      </c>
      <c r="Q1131" s="100" t="str">
        <f>IF(N1131=0,"",SUMIFS(PRICES!$G$2:$G$658,PRICES!$B$2:$B$658,'MAIN TABLE-1 AUTOMATED'!J1131,PRICES!$C$2:$C$658,'MAIN TABLE-1 AUTOMATED'!F1131,PRICES!$D$2:$D$658,'MAIN TABLE-1 AUTOMATED'!O1131))</f>
        <v/>
      </c>
      <c r="R1131" s="41" t="str">
        <f>IF(Table1[[#This Row],[QUANTITY]]=0,"",Table1[[#This Row],[UNIT PRICE]]*Table1[[#This Row],[QUANTITY]])</f>
        <v/>
      </c>
      <c r="S1131" s="89"/>
      <c r="T1131" s="38"/>
      <c r="U1131" s="43"/>
      <c r="V1131" s="42" t="str">
        <f>IF(Table1[[#This Row],[DATE]]=0,"",YEAR(E1131))</f>
        <v/>
      </c>
      <c r="W1131" s="40" t="str">
        <f t="shared" si="36"/>
        <v/>
      </c>
      <c r="X1131" s="40" t="str">
        <f t="shared" si="37"/>
        <v/>
      </c>
      <c r="Y1131" s="40" t="str">
        <f>TEXT(Table1[[#This Row],[YEAR]],"0000")&amp;"-"&amp;Table1[[#This Row],[MONTH]]</f>
        <v>-</v>
      </c>
    </row>
    <row r="1132" spans="1:25" ht="15" customHeight="1" x14ac:dyDescent="0.35">
      <c r="A1132" s="24"/>
      <c r="B1132" s="38"/>
      <c r="C1132" s="38"/>
      <c r="D1132" s="38"/>
      <c r="E1132" s="37"/>
      <c r="F1132" s="38"/>
      <c r="G1132" s="198"/>
      <c r="H1132" s="198"/>
      <c r="I1132" s="39"/>
      <c r="J1132" s="38"/>
      <c r="K1132" s="198"/>
      <c r="L1132" s="38"/>
      <c r="M1132" s="38"/>
      <c r="N1132" s="38"/>
      <c r="O1132" s="38"/>
      <c r="P1132" s="40" t="str" cm="1">
        <f t="array" ref="P1132">IF(N1132="","",IFERROR(_xlfn.XLOOKUP(F1132&amp;"|"&amp;J1132&amp;"|"&amp;O1132,PRICES!$C$2:$C$659&amp;"|"&amp;PRICES!$B$2:$B$659&amp;"|"&amp;PRICES!$D$2:$D$659,PRICES!$E$2:$E$659),"Not Found"))</f>
        <v/>
      </c>
      <c r="Q1132" s="100" t="str">
        <f>IF(N1132=0,"",SUMIFS(PRICES!$G$2:$G$658,PRICES!$B$2:$B$658,'MAIN TABLE-1 AUTOMATED'!J1132,PRICES!$C$2:$C$658,'MAIN TABLE-1 AUTOMATED'!F1132,PRICES!$D$2:$D$658,'MAIN TABLE-1 AUTOMATED'!O1132))</f>
        <v/>
      </c>
      <c r="R1132" s="41" t="str">
        <f>IF(Table1[[#This Row],[QUANTITY]]=0,"",Table1[[#This Row],[UNIT PRICE]]*Table1[[#This Row],[QUANTITY]])</f>
        <v/>
      </c>
      <c r="S1132" s="89"/>
      <c r="T1132" s="38"/>
      <c r="U1132" s="43"/>
      <c r="V1132" s="42" t="str">
        <f>IF(Table1[[#This Row],[DATE]]=0,"",YEAR(E1132))</f>
        <v/>
      </c>
      <c r="W1132" s="40" t="str">
        <f t="shared" si="36"/>
        <v/>
      </c>
      <c r="X1132" s="40" t="str">
        <f t="shared" si="37"/>
        <v/>
      </c>
      <c r="Y1132" s="40" t="str">
        <f>TEXT(Table1[[#This Row],[YEAR]],"0000")&amp;"-"&amp;Table1[[#This Row],[MONTH]]</f>
        <v>-</v>
      </c>
    </row>
    <row r="1133" spans="1:25" ht="15" customHeight="1" x14ac:dyDescent="0.35">
      <c r="A1133" s="24"/>
      <c r="B1133" s="38"/>
      <c r="C1133" s="38"/>
      <c r="D1133" s="38"/>
      <c r="E1133" s="37"/>
      <c r="F1133" s="38"/>
      <c r="G1133" s="198"/>
      <c r="H1133" s="198"/>
      <c r="I1133" s="39"/>
      <c r="J1133" s="38"/>
      <c r="K1133" s="198"/>
      <c r="L1133" s="38"/>
      <c r="M1133" s="38"/>
      <c r="N1133" s="38"/>
      <c r="O1133" s="38"/>
      <c r="P1133" s="40" t="str" cm="1">
        <f t="array" ref="P1133">IF(N1133="","",IFERROR(_xlfn.XLOOKUP(F1133&amp;"|"&amp;J1133&amp;"|"&amp;O1133,PRICES!$C$2:$C$659&amp;"|"&amp;PRICES!$B$2:$B$659&amp;"|"&amp;PRICES!$D$2:$D$659,PRICES!$E$2:$E$659),"Not Found"))</f>
        <v/>
      </c>
      <c r="Q1133" s="100" t="str">
        <f>IF(N1133=0,"",SUMIFS(PRICES!$G$2:$G$658,PRICES!$B$2:$B$658,'MAIN TABLE-1 AUTOMATED'!J1133,PRICES!$C$2:$C$658,'MAIN TABLE-1 AUTOMATED'!F1133,PRICES!$D$2:$D$658,'MAIN TABLE-1 AUTOMATED'!O1133))</f>
        <v/>
      </c>
      <c r="R1133" s="41" t="str">
        <f>IF(Table1[[#This Row],[QUANTITY]]=0,"",Table1[[#This Row],[UNIT PRICE]]*Table1[[#This Row],[QUANTITY]])</f>
        <v/>
      </c>
      <c r="S1133" s="89"/>
      <c r="T1133" s="38"/>
      <c r="U1133" s="43"/>
      <c r="V1133" s="42" t="str">
        <f>IF(Table1[[#This Row],[DATE]]=0,"",YEAR(E1133))</f>
        <v/>
      </c>
      <c r="W1133" s="40" t="str">
        <f t="shared" si="36"/>
        <v/>
      </c>
      <c r="X1133" s="40" t="str">
        <f t="shared" si="37"/>
        <v/>
      </c>
      <c r="Y1133" s="40" t="str">
        <f>TEXT(Table1[[#This Row],[YEAR]],"0000")&amp;"-"&amp;Table1[[#This Row],[MONTH]]</f>
        <v>-</v>
      </c>
    </row>
    <row r="1134" spans="1:25" ht="15" customHeight="1" x14ac:dyDescent="0.35">
      <c r="A1134" s="24"/>
      <c r="B1134" s="38"/>
      <c r="C1134" s="38"/>
      <c r="D1134" s="38"/>
      <c r="E1134" s="37"/>
      <c r="F1134" s="38"/>
      <c r="G1134" s="198"/>
      <c r="H1134" s="198"/>
      <c r="I1134" s="39"/>
      <c r="J1134" s="38"/>
      <c r="K1134" s="198"/>
      <c r="L1134" s="38"/>
      <c r="M1134" s="38"/>
      <c r="N1134" s="38"/>
      <c r="O1134" s="38"/>
      <c r="P1134" s="40" t="str" cm="1">
        <f t="array" ref="P1134">IF(N1134="","",IFERROR(_xlfn.XLOOKUP(F1134&amp;"|"&amp;J1134&amp;"|"&amp;O1134,PRICES!$C$2:$C$659&amp;"|"&amp;PRICES!$B$2:$B$659&amp;"|"&amp;PRICES!$D$2:$D$659,PRICES!$E$2:$E$659),"Not Found"))</f>
        <v/>
      </c>
      <c r="Q1134" s="100" t="str">
        <f>IF(N1134=0,"",SUMIFS(PRICES!$G$2:$G$658,PRICES!$B$2:$B$658,'MAIN TABLE-1 AUTOMATED'!J1134,PRICES!$C$2:$C$658,'MAIN TABLE-1 AUTOMATED'!F1134,PRICES!$D$2:$D$658,'MAIN TABLE-1 AUTOMATED'!O1134))</f>
        <v/>
      </c>
      <c r="R1134" s="41" t="str">
        <f>IF(Table1[[#This Row],[QUANTITY]]=0,"",Table1[[#This Row],[UNIT PRICE]]*Table1[[#This Row],[QUANTITY]])</f>
        <v/>
      </c>
      <c r="S1134" s="89"/>
      <c r="T1134" s="38"/>
      <c r="U1134" s="43"/>
      <c r="V1134" s="42" t="str">
        <f>IF(Table1[[#This Row],[DATE]]=0,"",YEAR(E1134))</f>
        <v/>
      </c>
      <c r="W1134" s="40" t="str">
        <f t="shared" si="36"/>
        <v/>
      </c>
      <c r="X1134" s="40" t="str">
        <f t="shared" si="37"/>
        <v/>
      </c>
      <c r="Y1134" s="40" t="str">
        <f>TEXT(Table1[[#This Row],[YEAR]],"0000")&amp;"-"&amp;Table1[[#This Row],[MONTH]]</f>
        <v>-</v>
      </c>
    </row>
    <row r="1135" spans="1:25" ht="15" customHeight="1" x14ac:dyDescent="0.35">
      <c r="A1135" s="24"/>
      <c r="B1135" s="38"/>
      <c r="C1135" s="38"/>
      <c r="D1135" s="38"/>
      <c r="E1135" s="37"/>
      <c r="F1135" s="38"/>
      <c r="G1135" s="198"/>
      <c r="H1135" s="198"/>
      <c r="I1135" s="39"/>
      <c r="J1135" s="38"/>
      <c r="K1135" s="198"/>
      <c r="L1135" s="38"/>
      <c r="M1135" s="38"/>
      <c r="N1135" s="38"/>
      <c r="O1135" s="38"/>
      <c r="P1135" s="40" t="str" cm="1">
        <f t="array" ref="P1135">IF(N1135="","",IFERROR(_xlfn.XLOOKUP(F1135&amp;"|"&amp;J1135&amp;"|"&amp;O1135,PRICES!$C$2:$C$659&amp;"|"&amp;PRICES!$B$2:$B$659&amp;"|"&amp;PRICES!$D$2:$D$659,PRICES!$E$2:$E$659),"Not Found"))</f>
        <v/>
      </c>
      <c r="Q1135" s="100" t="str">
        <f>IF(N1135=0,"",SUMIFS(PRICES!$G$2:$G$658,PRICES!$B$2:$B$658,'MAIN TABLE-1 AUTOMATED'!J1135,PRICES!$C$2:$C$658,'MAIN TABLE-1 AUTOMATED'!F1135,PRICES!$D$2:$D$658,'MAIN TABLE-1 AUTOMATED'!O1135))</f>
        <v/>
      </c>
      <c r="R1135" s="41" t="str">
        <f>IF(Table1[[#This Row],[QUANTITY]]=0,"",Table1[[#This Row],[UNIT PRICE]]*Table1[[#This Row],[QUANTITY]])</f>
        <v/>
      </c>
      <c r="S1135" s="89"/>
      <c r="T1135" s="38"/>
      <c r="U1135" s="43"/>
      <c r="V1135" s="42" t="str">
        <f>IF(Table1[[#This Row],[DATE]]=0,"",YEAR(E1135))</f>
        <v/>
      </c>
      <c r="W1135" s="40" t="str">
        <f t="shared" si="36"/>
        <v/>
      </c>
      <c r="X1135" s="40" t="str">
        <f t="shared" si="37"/>
        <v/>
      </c>
      <c r="Y1135" s="40" t="str">
        <f>TEXT(Table1[[#This Row],[YEAR]],"0000")&amp;"-"&amp;Table1[[#This Row],[MONTH]]</f>
        <v>-</v>
      </c>
    </row>
    <row r="1136" spans="1:25" ht="15" customHeight="1" x14ac:dyDescent="0.35">
      <c r="A1136" s="24"/>
      <c r="B1136" s="36"/>
      <c r="C1136" s="38"/>
      <c r="D1136" s="38"/>
      <c r="E1136" s="37"/>
      <c r="F1136" s="38"/>
      <c r="G1136" s="198"/>
      <c r="H1136" s="198"/>
      <c r="I1136" s="39"/>
      <c r="J1136" s="38"/>
      <c r="K1136" s="198"/>
      <c r="L1136" s="38"/>
      <c r="M1136" s="38"/>
      <c r="N1136" s="38"/>
      <c r="O1136" s="38"/>
      <c r="P1136" s="40" t="str" cm="1">
        <f t="array" ref="P1136">IF(N1136="","",IFERROR(_xlfn.XLOOKUP(F1136&amp;"|"&amp;J1136&amp;"|"&amp;O1136,PRICES!$C$2:$C$659&amp;"|"&amp;PRICES!$B$2:$B$659&amp;"|"&amp;PRICES!$D$2:$D$659,PRICES!$E$2:$E$659),"Not Found"))</f>
        <v/>
      </c>
      <c r="Q1136" s="100" t="str">
        <f>IF(N1136=0,"",SUMIFS(PRICES!$G$2:$G$658,PRICES!$B$2:$B$658,'MAIN TABLE-1 AUTOMATED'!J1136,PRICES!$C$2:$C$658,'MAIN TABLE-1 AUTOMATED'!F1136,PRICES!$D$2:$D$658,'MAIN TABLE-1 AUTOMATED'!O1136))</f>
        <v/>
      </c>
      <c r="R1136" s="41" t="str">
        <f>IF(Table1[[#This Row],[QUANTITY]]=0,"",Table1[[#This Row],[UNIT PRICE]]*Table1[[#This Row],[QUANTITY]])</f>
        <v/>
      </c>
      <c r="S1136" s="89"/>
      <c r="T1136" s="38"/>
      <c r="U1136" s="43"/>
      <c r="V1136" s="42" t="str">
        <f>IF(Table1[[#This Row],[DATE]]=0,"",YEAR(E1136))</f>
        <v/>
      </c>
      <c r="W1136" s="40" t="str">
        <f t="shared" si="36"/>
        <v/>
      </c>
      <c r="X1136" s="40" t="str">
        <f t="shared" si="37"/>
        <v/>
      </c>
      <c r="Y1136" s="40" t="str">
        <f>TEXT(Table1[[#This Row],[YEAR]],"0000")&amp;"-"&amp;Table1[[#This Row],[MONTH]]</f>
        <v>-</v>
      </c>
    </row>
    <row r="1137" spans="1:25" ht="15" customHeight="1" x14ac:dyDescent="0.35">
      <c r="A1137" s="24"/>
      <c r="B1137" s="36"/>
      <c r="C1137" s="38"/>
      <c r="D1137" s="38"/>
      <c r="E1137" s="37"/>
      <c r="F1137" s="38"/>
      <c r="G1137" s="198"/>
      <c r="H1137" s="198"/>
      <c r="I1137" s="39"/>
      <c r="J1137" s="38"/>
      <c r="K1137" s="198"/>
      <c r="L1137" s="38"/>
      <c r="M1137" s="38"/>
      <c r="N1137" s="38"/>
      <c r="O1137" s="38"/>
      <c r="P1137" s="40" t="str" cm="1">
        <f t="array" ref="P1137">IF(N1137="","",IFERROR(_xlfn.XLOOKUP(F1137&amp;"|"&amp;J1137&amp;"|"&amp;O1137,PRICES!$C$2:$C$659&amp;"|"&amp;PRICES!$B$2:$B$659&amp;"|"&amp;PRICES!$D$2:$D$659,PRICES!$E$2:$E$659),"Not Found"))</f>
        <v/>
      </c>
      <c r="Q1137" s="100" t="str">
        <f>IF(N1137=0,"",SUMIFS(PRICES!$G$2:$G$658,PRICES!$B$2:$B$658,'MAIN TABLE-1 AUTOMATED'!J1137,PRICES!$C$2:$C$658,'MAIN TABLE-1 AUTOMATED'!F1137,PRICES!$D$2:$D$658,'MAIN TABLE-1 AUTOMATED'!O1137))</f>
        <v/>
      </c>
      <c r="R1137" s="41" t="str">
        <f>IF(Table1[[#This Row],[QUANTITY]]=0,"",Table1[[#This Row],[UNIT PRICE]]*Table1[[#This Row],[QUANTITY]])</f>
        <v/>
      </c>
      <c r="S1137" s="89"/>
      <c r="T1137" s="38"/>
      <c r="U1137" s="43"/>
      <c r="V1137" s="42" t="str">
        <f>IF(Table1[[#This Row],[DATE]]=0,"",YEAR(E1137))</f>
        <v/>
      </c>
      <c r="W1137" s="40" t="str">
        <f t="shared" si="36"/>
        <v/>
      </c>
      <c r="X1137" s="40" t="str">
        <f t="shared" si="37"/>
        <v/>
      </c>
      <c r="Y1137" s="40" t="str">
        <f>TEXT(Table1[[#This Row],[YEAR]],"0000")&amp;"-"&amp;Table1[[#This Row],[MONTH]]</f>
        <v>-</v>
      </c>
    </row>
    <row r="1138" spans="1:25" ht="15" customHeight="1" x14ac:dyDescent="0.35">
      <c r="A1138" s="24"/>
      <c r="B1138" s="36"/>
      <c r="C1138" s="38"/>
      <c r="D1138" s="38"/>
      <c r="E1138" s="37"/>
      <c r="F1138" s="38"/>
      <c r="G1138" s="198"/>
      <c r="H1138" s="198"/>
      <c r="I1138" s="39"/>
      <c r="J1138" s="38"/>
      <c r="K1138" s="198"/>
      <c r="L1138" s="38"/>
      <c r="M1138" s="38"/>
      <c r="N1138" s="38"/>
      <c r="O1138" s="38"/>
      <c r="P1138" s="40" t="str" cm="1">
        <f t="array" ref="P1138">IF(N1138="","",IFERROR(_xlfn.XLOOKUP(F1138&amp;"|"&amp;J1138&amp;"|"&amp;O1138,PRICES!$C$2:$C$659&amp;"|"&amp;PRICES!$B$2:$B$659&amp;"|"&amp;PRICES!$D$2:$D$659,PRICES!$E$2:$E$659),"Not Found"))</f>
        <v/>
      </c>
      <c r="Q1138" s="100" t="str">
        <f>IF(N1138=0,"",SUMIFS(PRICES!$G$2:$G$658,PRICES!$B$2:$B$658,'MAIN TABLE-1 AUTOMATED'!J1138,PRICES!$C$2:$C$658,'MAIN TABLE-1 AUTOMATED'!F1138,PRICES!$D$2:$D$658,'MAIN TABLE-1 AUTOMATED'!O1138))</f>
        <v/>
      </c>
      <c r="R1138" s="41" t="str">
        <f>IF(Table1[[#This Row],[QUANTITY]]=0,"",Table1[[#This Row],[UNIT PRICE]]*Table1[[#This Row],[QUANTITY]])</f>
        <v/>
      </c>
      <c r="S1138" s="89"/>
      <c r="T1138" s="38"/>
      <c r="U1138" s="43"/>
      <c r="V1138" s="42" t="str">
        <f>IF(Table1[[#This Row],[DATE]]=0,"",YEAR(E1138))</f>
        <v/>
      </c>
      <c r="W1138" s="40" t="str">
        <f t="shared" si="36"/>
        <v/>
      </c>
      <c r="X1138" s="40" t="str">
        <f t="shared" si="37"/>
        <v/>
      </c>
      <c r="Y1138" s="40" t="str">
        <f>TEXT(Table1[[#This Row],[YEAR]],"0000")&amp;"-"&amp;Table1[[#This Row],[MONTH]]</f>
        <v>-</v>
      </c>
    </row>
    <row r="1139" spans="1:25" ht="15" customHeight="1" x14ac:dyDescent="0.35">
      <c r="A1139" s="24"/>
      <c r="B1139" s="36"/>
      <c r="C1139" s="38"/>
      <c r="D1139" s="38"/>
      <c r="E1139" s="37"/>
      <c r="F1139" s="38"/>
      <c r="G1139" s="198"/>
      <c r="H1139" s="198"/>
      <c r="I1139" s="39"/>
      <c r="J1139" s="38"/>
      <c r="K1139" s="198"/>
      <c r="L1139" s="38"/>
      <c r="M1139" s="38"/>
      <c r="N1139" s="38"/>
      <c r="O1139" s="38"/>
      <c r="P1139" s="40" t="str" cm="1">
        <f t="array" ref="P1139">IF(N1139="","",IFERROR(_xlfn.XLOOKUP(F1139&amp;"|"&amp;J1139&amp;"|"&amp;O1139,PRICES!$C$2:$C$659&amp;"|"&amp;PRICES!$B$2:$B$659&amp;"|"&amp;PRICES!$D$2:$D$659,PRICES!$E$2:$E$659),"Not Found"))</f>
        <v/>
      </c>
      <c r="Q1139" s="100" t="str">
        <f>IF(N1139=0,"",SUMIFS(PRICES!$G$2:$G$658,PRICES!$B$2:$B$658,'MAIN TABLE-1 AUTOMATED'!J1139,PRICES!$C$2:$C$658,'MAIN TABLE-1 AUTOMATED'!F1139,PRICES!$D$2:$D$658,'MAIN TABLE-1 AUTOMATED'!O1139))</f>
        <v/>
      </c>
      <c r="R1139" s="41" t="str">
        <f>IF(Table1[[#This Row],[QUANTITY]]=0,"",Table1[[#This Row],[UNIT PRICE]]*Table1[[#This Row],[QUANTITY]])</f>
        <v/>
      </c>
      <c r="S1139" s="89"/>
      <c r="T1139" s="38"/>
      <c r="U1139" s="43"/>
      <c r="V1139" s="42" t="str">
        <f>IF(Table1[[#This Row],[DATE]]=0,"",YEAR(E1139))</f>
        <v/>
      </c>
      <c r="W1139" s="40" t="str">
        <f t="shared" si="36"/>
        <v/>
      </c>
      <c r="X1139" s="40" t="str">
        <f t="shared" si="37"/>
        <v/>
      </c>
      <c r="Y1139" s="40" t="str">
        <f>TEXT(Table1[[#This Row],[YEAR]],"0000")&amp;"-"&amp;Table1[[#This Row],[MONTH]]</f>
        <v>-</v>
      </c>
    </row>
    <row r="1140" spans="1:25" ht="15" customHeight="1" x14ac:dyDescent="0.35">
      <c r="A1140" s="24"/>
      <c r="B1140" s="36"/>
      <c r="C1140" s="38"/>
      <c r="D1140" s="38"/>
      <c r="E1140" s="37"/>
      <c r="F1140" s="38"/>
      <c r="G1140" s="198"/>
      <c r="H1140" s="198"/>
      <c r="I1140" s="39"/>
      <c r="J1140" s="38"/>
      <c r="K1140" s="198"/>
      <c r="L1140" s="38"/>
      <c r="M1140" s="38"/>
      <c r="N1140" s="38"/>
      <c r="O1140" s="38"/>
      <c r="P1140" s="40" t="str" cm="1">
        <f t="array" ref="P1140">IF(N1140="","",IFERROR(_xlfn.XLOOKUP(F1140&amp;"|"&amp;J1140&amp;"|"&amp;O1140,PRICES!$C$2:$C$659&amp;"|"&amp;PRICES!$B$2:$B$659&amp;"|"&amp;PRICES!$D$2:$D$659,PRICES!$E$2:$E$659),"Not Found"))</f>
        <v/>
      </c>
      <c r="Q1140" s="100" t="str">
        <f>IF(N1140=0,"",SUMIFS(PRICES!$G$2:$G$658,PRICES!$B$2:$B$658,'MAIN TABLE-1 AUTOMATED'!J1140,PRICES!$C$2:$C$658,'MAIN TABLE-1 AUTOMATED'!F1140,PRICES!$D$2:$D$658,'MAIN TABLE-1 AUTOMATED'!O1140))</f>
        <v/>
      </c>
      <c r="R1140" s="41" t="str">
        <f>IF(Table1[[#This Row],[QUANTITY]]=0,"",Table1[[#This Row],[UNIT PRICE]]*Table1[[#This Row],[QUANTITY]])</f>
        <v/>
      </c>
      <c r="S1140" s="89"/>
      <c r="T1140" s="38"/>
      <c r="U1140" s="43"/>
      <c r="V1140" s="42" t="str">
        <f>IF(Table1[[#This Row],[DATE]]=0,"",YEAR(E1140))</f>
        <v/>
      </c>
      <c r="W1140" s="40" t="str">
        <f t="shared" si="36"/>
        <v/>
      </c>
      <c r="X1140" s="40" t="str">
        <f t="shared" si="37"/>
        <v/>
      </c>
      <c r="Y1140" s="40" t="str">
        <f>TEXT(Table1[[#This Row],[YEAR]],"0000")&amp;"-"&amp;Table1[[#This Row],[MONTH]]</f>
        <v>-</v>
      </c>
    </row>
    <row r="1141" spans="1:25" ht="15" customHeight="1" x14ac:dyDescent="0.35">
      <c r="A1141" s="24"/>
      <c r="B1141" s="36"/>
      <c r="C1141" s="38"/>
      <c r="D1141" s="38"/>
      <c r="E1141" s="37"/>
      <c r="F1141" s="38"/>
      <c r="G1141" s="198"/>
      <c r="H1141" s="198"/>
      <c r="I1141" s="39"/>
      <c r="J1141" s="38"/>
      <c r="K1141" s="198"/>
      <c r="L1141" s="38"/>
      <c r="M1141" s="38"/>
      <c r="N1141" s="38"/>
      <c r="O1141" s="38"/>
      <c r="P1141" s="40" t="str" cm="1">
        <f t="array" ref="P1141">IF(N1141="","",IFERROR(_xlfn.XLOOKUP(F1141&amp;"|"&amp;J1141&amp;"|"&amp;O1141,PRICES!$C$2:$C$659&amp;"|"&amp;PRICES!$B$2:$B$659&amp;"|"&amp;PRICES!$D$2:$D$659,PRICES!$E$2:$E$659),"Not Found"))</f>
        <v/>
      </c>
      <c r="Q1141" s="100" t="str">
        <f>IF(N1141=0,"",SUMIFS(PRICES!$G$2:$G$658,PRICES!$B$2:$B$658,'MAIN TABLE-1 AUTOMATED'!J1141,PRICES!$C$2:$C$658,'MAIN TABLE-1 AUTOMATED'!F1141,PRICES!$D$2:$D$658,'MAIN TABLE-1 AUTOMATED'!O1141))</f>
        <v/>
      </c>
      <c r="R1141" s="41" t="str">
        <f>IF(Table1[[#This Row],[QUANTITY]]=0,"",Table1[[#This Row],[UNIT PRICE]]*Table1[[#This Row],[QUANTITY]])</f>
        <v/>
      </c>
      <c r="S1141" s="89"/>
      <c r="T1141" s="38"/>
      <c r="U1141" s="43"/>
      <c r="V1141" s="42" t="str">
        <f>IF(Table1[[#This Row],[DATE]]=0,"",YEAR(E1141))</f>
        <v/>
      </c>
      <c r="W1141" s="40" t="str">
        <f t="shared" si="36"/>
        <v/>
      </c>
      <c r="X1141" s="40" t="str">
        <f t="shared" si="37"/>
        <v/>
      </c>
      <c r="Y1141" s="40" t="str">
        <f>TEXT(Table1[[#This Row],[YEAR]],"0000")&amp;"-"&amp;Table1[[#This Row],[MONTH]]</f>
        <v>-</v>
      </c>
    </row>
    <row r="1142" spans="1:25" ht="15" customHeight="1" x14ac:dyDescent="0.35">
      <c r="A1142" s="24"/>
      <c r="B1142" s="38"/>
      <c r="C1142" s="38"/>
      <c r="D1142" s="38"/>
      <c r="E1142" s="37"/>
      <c r="F1142" s="38"/>
      <c r="G1142" s="198"/>
      <c r="H1142" s="198"/>
      <c r="I1142" s="39"/>
      <c r="J1142" s="38"/>
      <c r="K1142" s="198"/>
      <c r="L1142" s="38"/>
      <c r="M1142" s="38"/>
      <c r="N1142" s="38"/>
      <c r="O1142" s="38"/>
      <c r="P1142" s="40" t="str" cm="1">
        <f t="array" ref="P1142">IF(N1142="","",IFERROR(_xlfn.XLOOKUP(F1142&amp;"|"&amp;J1142&amp;"|"&amp;O1142,PRICES!$C$2:$C$659&amp;"|"&amp;PRICES!$B$2:$B$659&amp;"|"&amp;PRICES!$D$2:$D$659,PRICES!$E$2:$E$659),"Not Found"))</f>
        <v/>
      </c>
      <c r="Q1142" s="100" t="str">
        <f>IF(N1142=0,"",SUMIFS(PRICES!$G$2:$G$658,PRICES!$B$2:$B$658,'MAIN TABLE-1 AUTOMATED'!J1142,PRICES!$C$2:$C$658,'MAIN TABLE-1 AUTOMATED'!F1142,PRICES!$D$2:$D$658,'MAIN TABLE-1 AUTOMATED'!O1142))</f>
        <v/>
      </c>
      <c r="R1142" s="41" t="str">
        <f>IF(Table1[[#This Row],[QUANTITY]]=0,"",Table1[[#This Row],[UNIT PRICE]]*Table1[[#This Row],[QUANTITY]])</f>
        <v/>
      </c>
      <c r="S1142" s="89"/>
      <c r="T1142" s="38"/>
      <c r="U1142" s="43"/>
      <c r="V1142" s="42" t="str">
        <f>IF(Table1[[#This Row],[DATE]]=0,"",YEAR(E1142))</f>
        <v/>
      </c>
      <c r="W1142" s="40" t="str">
        <f t="shared" si="36"/>
        <v/>
      </c>
      <c r="X1142" s="40" t="str">
        <f t="shared" si="37"/>
        <v/>
      </c>
      <c r="Y1142" s="40" t="str">
        <f>TEXT(Table1[[#This Row],[YEAR]],"0000")&amp;"-"&amp;Table1[[#This Row],[MONTH]]</f>
        <v>-</v>
      </c>
    </row>
    <row r="1143" spans="1:25" ht="15" customHeight="1" x14ac:dyDescent="0.35">
      <c r="A1143" s="24"/>
      <c r="B1143" s="38"/>
      <c r="C1143" s="38"/>
      <c r="D1143" s="38"/>
      <c r="E1143" s="37"/>
      <c r="F1143" s="38"/>
      <c r="G1143" s="198"/>
      <c r="H1143" s="198"/>
      <c r="I1143" s="39"/>
      <c r="J1143" s="38"/>
      <c r="K1143" s="198"/>
      <c r="L1143" s="38"/>
      <c r="M1143" s="38"/>
      <c r="N1143" s="38"/>
      <c r="O1143" s="38"/>
      <c r="P1143" s="40" t="str" cm="1">
        <f t="array" ref="P1143">IF(N1143="","",IFERROR(_xlfn.XLOOKUP(F1143&amp;"|"&amp;J1143&amp;"|"&amp;O1143,PRICES!$C$2:$C$659&amp;"|"&amp;PRICES!$B$2:$B$659&amp;"|"&amp;PRICES!$D$2:$D$659,PRICES!$E$2:$E$659),"Not Found"))</f>
        <v/>
      </c>
      <c r="Q1143" s="100" t="str">
        <f>IF(N1143=0,"",SUMIFS(PRICES!$G$2:$G$658,PRICES!$B$2:$B$658,'MAIN TABLE-1 AUTOMATED'!J1143,PRICES!$C$2:$C$658,'MAIN TABLE-1 AUTOMATED'!F1143,PRICES!$D$2:$D$658,'MAIN TABLE-1 AUTOMATED'!O1143))</f>
        <v/>
      </c>
      <c r="R1143" s="41" t="str">
        <f>IF(Table1[[#This Row],[QUANTITY]]=0,"",Table1[[#This Row],[UNIT PRICE]]*Table1[[#This Row],[QUANTITY]])</f>
        <v/>
      </c>
      <c r="S1143" s="89"/>
      <c r="T1143" s="38"/>
      <c r="U1143" s="43"/>
      <c r="V1143" s="42" t="str">
        <f>IF(Table1[[#This Row],[DATE]]=0,"",YEAR(E1143))</f>
        <v/>
      </c>
      <c r="W1143" s="40" t="str">
        <f t="shared" si="36"/>
        <v/>
      </c>
      <c r="X1143" s="40" t="str">
        <f t="shared" si="37"/>
        <v/>
      </c>
      <c r="Y1143" s="40" t="str">
        <f>TEXT(Table1[[#This Row],[YEAR]],"0000")&amp;"-"&amp;Table1[[#This Row],[MONTH]]</f>
        <v>-</v>
      </c>
    </row>
    <row r="1144" spans="1:25" ht="15" customHeight="1" x14ac:dyDescent="0.35">
      <c r="A1144" s="24"/>
      <c r="B1144" s="38"/>
      <c r="C1144" s="38"/>
      <c r="D1144" s="38"/>
      <c r="E1144" s="37"/>
      <c r="F1144" s="38"/>
      <c r="G1144" s="198"/>
      <c r="H1144" s="198"/>
      <c r="I1144" s="39"/>
      <c r="J1144" s="38"/>
      <c r="K1144" s="198"/>
      <c r="L1144" s="38"/>
      <c r="M1144" s="38"/>
      <c r="N1144" s="38"/>
      <c r="O1144" s="38"/>
      <c r="P1144" s="40" t="str" cm="1">
        <f t="array" ref="P1144">IF(N1144="","",IFERROR(_xlfn.XLOOKUP(F1144&amp;"|"&amp;J1144&amp;"|"&amp;O1144,PRICES!$C$2:$C$659&amp;"|"&amp;PRICES!$B$2:$B$659&amp;"|"&amp;PRICES!$D$2:$D$659,PRICES!$E$2:$E$659),"Not Found"))</f>
        <v/>
      </c>
      <c r="Q1144" s="100" t="str">
        <f>IF(N1144=0,"",SUMIFS(PRICES!$G$2:$G$658,PRICES!$B$2:$B$658,'MAIN TABLE-1 AUTOMATED'!J1144,PRICES!$C$2:$C$658,'MAIN TABLE-1 AUTOMATED'!F1144,PRICES!$D$2:$D$658,'MAIN TABLE-1 AUTOMATED'!O1144))</f>
        <v/>
      </c>
      <c r="R1144" s="41" t="str">
        <f>IF(Table1[[#This Row],[QUANTITY]]=0,"",Table1[[#This Row],[UNIT PRICE]]*Table1[[#This Row],[QUANTITY]])</f>
        <v/>
      </c>
      <c r="S1144" s="89"/>
      <c r="T1144" s="38"/>
      <c r="U1144" s="43"/>
      <c r="V1144" s="42" t="str">
        <f>IF(Table1[[#This Row],[DATE]]=0,"",YEAR(E1144))</f>
        <v/>
      </c>
      <c r="W1144" s="40" t="str">
        <f t="shared" si="36"/>
        <v/>
      </c>
      <c r="X1144" s="40" t="str">
        <f t="shared" si="37"/>
        <v/>
      </c>
      <c r="Y1144" s="40" t="str">
        <f>TEXT(Table1[[#This Row],[YEAR]],"0000")&amp;"-"&amp;Table1[[#This Row],[MONTH]]</f>
        <v>-</v>
      </c>
    </row>
    <row r="1145" spans="1:25" ht="15" customHeight="1" x14ac:dyDescent="0.35">
      <c r="A1145" s="24"/>
      <c r="B1145" s="38"/>
      <c r="C1145" s="38"/>
      <c r="D1145" s="38"/>
      <c r="E1145" s="37"/>
      <c r="F1145" s="38"/>
      <c r="G1145" s="198"/>
      <c r="H1145" s="198"/>
      <c r="I1145" s="39"/>
      <c r="J1145" s="38"/>
      <c r="K1145" s="198"/>
      <c r="L1145" s="38"/>
      <c r="M1145" s="38"/>
      <c r="N1145" s="38"/>
      <c r="O1145" s="38"/>
      <c r="P1145" s="40" t="str" cm="1">
        <f t="array" ref="P1145">IF(N1145="","",IFERROR(_xlfn.XLOOKUP(F1145&amp;"|"&amp;J1145&amp;"|"&amp;O1145,PRICES!$C$2:$C$659&amp;"|"&amp;PRICES!$B$2:$B$659&amp;"|"&amp;PRICES!$D$2:$D$659,PRICES!$E$2:$E$659),"Not Found"))</f>
        <v/>
      </c>
      <c r="Q1145" s="100" t="str">
        <f>IF(N1145=0,"",SUMIFS(PRICES!$G$2:$G$658,PRICES!$B$2:$B$658,'MAIN TABLE-1 AUTOMATED'!J1145,PRICES!$C$2:$C$658,'MAIN TABLE-1 AUTOMATED'!F1145,PRICES!$D$2:$D$658,'MAIN TABLE-1 AUTOMATED'!O1145))</f>
        <v/>
      </c>
      <c r="R1145" s="41" t="str">
        <f>IF(Table1[[#This Row],[QUANTITY]]=0,"",Table1[[#This Row],[UNIT PRICE]]*Table1[[#This Row],[QUANTITY]])</f>
        <v/>
      </c>
      <c r="S1145" s="89"/>
      <c r="T1145" s="38"/>
      <c r="U1145" s="43"/>
      <c r="V1145" s="42" t="str">
        <f>IF(Table1[[#This Row],[DATE]]=0,"",YEAR(E1145))</f>
        <v/>
      </c>
      <c r="W1145" s="40" t="str">
        <f t="shared" si="36"/>
        <v/>
      </c>
      <c r="X1145" s="40" t="str">
        <f t="shared" si="37"/>
        <v/>
      </c>
      <c r="Y1145" s="40" t="str">
        <f>TEXT(Table1[[#This Row],[YEAR]],"0000")&amp;"-"&amp;Table1[[#This Row],[MONTH]]</f>
        <v>-</v>
      </c>
    </row>
    <row r="1146" spans="1:25" ht="15" customHeight="1" x14ac:dyDescent="0.35">
      <c r="A1146" s="24"/>
      <c r="B1146" s="38"/>
      <c r="C1146" s="38"/>
      <c r="D1146" s="38"/>
      <c r="E1146" s="37"/>
      <c r="F1146" s="38"/>
      <c r="G1146" s="198"/>
      <c r="H1146" s="198"/>
      <c r="I1146" s="39"/>
      <c r="J1146" s="38"/>
      <c r="K1146" s="198"/>
      <c r="L1146" s="38"/>
      <c r="M1146" s="38"/>
      <c r="N1146" s="38"/>
      <c r="O1146" s="38"/>
      <c r="P1146" s="40" t="str" cm="1">
        <f t="array" ref="P1146">IF(N1146="","",IFERROR(_xlfn.XLOOKUP(F1146&amp;"|"&amp;J1146&amp;"|"&amp;O1146,PRICES!$C$2:$C$659&amp;"|"&amp;PRICES!$B$2:$B$659&amp;"|"&amp;PRICES!$D$2:$D$659,PRICES!$E$2:$E$659),"Not Found"))</f>
        <v/>
      </c>
      <c r="Q1146" s="100" t="str">
        <f>IF(N1146=0,"",SUMIFS(PRICES!$G$2:$G$658,PRICES!$B$2:$B$658,'MAIN TABLE-1 AUTOMATED'!J1146,PRICES!$C$2:$C$658,'MAIN TABLE-1 AUTOMATED'!F1146,PRICES!$D$2:$D$658,'MAIN TABLE-1 AUTOMATED'!O1146))</f>
        <v/>
      </c>
      <c r="R1146" s="41" t="str">
        <f>IF(Table1[[#This Row],[QUANTITY]]=0,"",Table1[[#This Row],[UNIT PRICE]]*Table1[[#This Row],[QUANTITY]])</f>
        <v/>
      </c>
      <c r="S1146" s="89"/>
      <c r="T1146" s="38"/>
      <c r="U1146" s="43"/>
      <c r="V1146" s="42" t="str">
        <f>IF(Table1[[#This Row],[DATE]]=0,"",YEAR(E1146))</f>
        <v/>
      </c>
      <c r="W1146" s="40" t="str">
        <f t="shared" si="36"/>
        <v/>
      </c>
      <c r="X1146" s="40" t="str">
        <f t="shared" si="37"/>
        <v/>
      </c>
      <c r="Y1146" s="40" t="str">
        <f>TEXT(Table1[[#This Row],[YEAR]],"0000")&amp;"-"&amp;Table1[[#This Row],[MONTH]]</f>
        <v>-</v>
      </c>
    </row>
    <row r="1147" spans="1:25" ht="15" customHeight="1" x14ac:dyDescent="0.35">
      <c r="A1147" s="24"/>
      <c r="B1147" s="38"/>
      <c r="C1147" s="38"/>
      <c r="D1147" s="38"/>
      <c r="E1147" s="37"/>
      <c r="F1147" s="38"/>
      <c r="G1147" s="198"/>
      <c r="H1147" s="198"/>
      <c r="I1147" s="39"/>
      <c r="J1147" s="38"/>
      <c r="K1147" s="198"/>
      <c r="L1147" s="38"/>
      <c r="M1147" s="38"/>
      <c r="N1147" s="38"/>
      <c r="O1147" s="38"/>
      <c r="P1147" s="40" t="str" cm="1">
        <f t="array" ref="P1147">IF(N1147="","",IFERROR(_xlfn.XLOOKUP(F1147&amp;"|"&amp;J1147&amp;"|"&amp;O1147,PRICES!$C$2:$C$659&amp;"|"&amp;PRICES!$B$2:$B$659&amp;"|"&amp;PRICES!$D$2:$D$659,PRICES!$E$2:$E$659),"Not Found"))</f>
        <v/>
      </c>
      <c r="Q1147" s="100" t="str">
        <f>IF(N1147=0,"",SUMIFS(PRICES!$G$2:$G$658,PRICES!$B$2:$B$658,'MAIN TABLE-1 AUTOMATED'!J1147,PRICES!$C$2:$C$658,'MAIN TABLE-1 AUTOMATED'!F1147,PRICES!$D$2:$D$658,'MAIN TABLE-1 AUTOMATED'!O1147))</f>
        <v/>
      </c>
      <c r="R1147" s="41" t="str">
        <f>IF(Table1[[#This Row],[QUANTITY]]=0,"",Table1[[#This Row],[UNIT PRICE]]*Table1[[#This Row],[QUANTITY]])</f>
        <v/>
      </c>
      <c r="S1147" s="89"/>
      <c r="T1147" s="38"/>
      <c r="U1147" s="43"/>
      <c r="V1147" s="42" t="str">
        <f>IF(Table1[[#This Row],[DATE]]=0,"",YEAR(E1147))</f>
        <v/>
      </c>
      <c r="W1147" s="40" t="str">
        <f t="shared" si="36"/>
        <v/>
      </c>
      <c r="X1147" s="40" t="str">
        <f t="shared" si="37"/>
        <v/>
      </c>
      <c r="Y1147" s="40" t="str">
        <f>TEXT(Table1[[#This Row],[YEAR]],"0000")&amp;"-"&amp;Table1[[#This Row],[MONTH]]</f>
        <v>-</v>
      </c>
    </row>
    <row r="1148" spans="1:25" ht="15" customHeight="1" x14ac:dyDescent="0.35">
      <c r="A1148" s="24"/>
      <c r="B1148" s="38"/>
      <c r="C1148" s="38"/>
      <c r="D1148" s="38"/>
      <c r="E1148" s="37"/>
      <c r="F1148" s="38"/>
      <c r="G1148" s="198"/>
      <c r="H1148" s="198"/>
      <c r="I1148" s="39"/>
      <c r="J1148" s="38"/>
      <c r="K1148" s="198"/>
      <c r="L1148" s="38"/>
      <c r="M1148" s="38"/>
      <c r="N1148" s="38"/>
      <c r="O1148" s="38"/>
      <c r="P1148" s="40" t="str" cm="1">
        <f t="array" ref="P1148">IF(N1148="","",IFERROR(_xlfn.XLOOKUP(F1148&amp;"|"&amp;J1148&amp;"|"&amp;O1148,PRICES!$C$2:$C$659&amp;"|"&amp;PRICES!$B$2:$B$659&amp;"|"&amp;PRICES!$D$2:$D$659,PRICES!$E$2:$E$659),"Not Found"))</f>
        <v/>
      </c>
      <c r="Q1148" s="100" t="str">
        <f>IF(N1148=0,"",SUMIFS(PRICES!$G$2:$G$658,PRICES!$B$2:$B$658,'MAIN TABLE-1 AUTOMATED'!J1148,PRICES!$C$2:$C$658,'MAIN TABLE-1 AUTOMATED'!F1148,PRICES!$D$2:$D$658,'MAIN TABLE-1 AUTOMATED'!O1148))</f>
        <v/>
      </c>
      <c r="R1148" s="41" t="str">
        <f>IF(Table1[[#This Row],[QUANTITY]]=0,"",Table1[[#This Row],[UNIT PRICE]]*Table1[[#This Row],[QUANTITY]])</f>
        <v/>
      </c>
      <c r="S1148" s="89"/>
      <c r="T1148" s="38"/>
      <c r="U1148" s="43"/>
      <c r="V1148" s="42" t="str">
        <f>IF(Table1[[#This Row],[DATE]]=0,"",YEAR(E1148))</f>
        <v/>
      </c>
      <c r="W1148" s="40" t="str">
        <f t="shared" si="36"/>
        <v/>
      </c>
      <c r="X1148" s="40" t="str">
        <f t="shared" si="37"/>
        <v/>
      </c>
      <c r="Y1148" s="40" t="str">
        <f>TEXT(Table1[[#This Row],[YEAR]],"0000")&amp;"-"&amp;Table1[[#This Row],[MONTH]]</f>
        <v>-</v>
      </c>
    </row>
    <row r="1149" spans="1:25" ht="15" customHeight="1" x14ac:dyDescent="0.35">
      <c r="A1149" s="24"/>
      <c r="B1149" s="38"/>
      <c r="C1149" s="38"/>
      <c r="D1149" s="38"/>
      <c r="E1149" s="37"/>
      <c r="F1149" s="38"/>
      <c r="G1149" s="198"/>
      <c r="H1149" s="198"/>
      <c r="I1149" s="39"/>
      <c r="J1149" s="38"/>
      <c r="K1149" s="198"/>
      <c r="L1149" s="38"/>
      <c r="M1149" s="38"/>
      <c r="N1149" s="38"/>
      <c r="O1149" s="38"/>
      <c r="P1149" s="40" t="str" cm="1">
        <f t="array" ref="P1149">IF(N1149="","",IFERROR(_xlfn.XLOOKUP(F1149&amp;"|"&amp;J1149&amp;"|"&amp;O1149,PRICES!$C$2:$C$659&amp;"|"&amp;PRICES!$B$2:$B$659&amp;"|"&amp;PRICES!$D$2:$D$659,PRICES!$E$2:$E$659),"Not Found"))</f>
        <v/>
      </c>
      <c r="Q1149" s="100" t="str">
        <f>IF(N1149=0,"",SUMIFS(PRICES!$G$2:$G$658,PRICES!$B$2:$B$658,'MAIN TABLE-1 AUTOMATED'!J1149,PRICES!$C$2:$C$658,'MAIN TABLE-1 AUTOMATED'!F1149,PRICES!$D$2:$D$658,'MAIN TABLE-1 AUTOMATED'!O1149))</f>
        <v/>
      </c>
      <c r="R1149" s="41" t="str">
        <f>IF(Table1[[#This Row],[QUANTITY]]=0,"",Table1[[#This Row],[UNIT PRICE]]*Table1[[#This Row],[QUANTITY]])</f>
        <v/>
      </c>
      <c r="S1149" s="89"/>
      <c r="T1149" s="38"/>
      <c r="U1149" s="43"/>
      <c r="V1149" s="42" t="str">
        <f>IF(Table1[[#This Row],[DATE]]=0,"",YEAR(E1149))</f>
        <v/>
      </c>
      <c r="W1149" s="40" t="str">
        <f t="shared" si="36"/>
        <v/>
      </c>
      <c r="X1149" s="40" t="str">
        <f t="shared" si="37"/>
        <v/>
      </c>
      <c r="Y1149" s="40" t="str">
        <f>TEXT(Table1[[#This Row],[YEAR]],"0000")&amp;"-"&amp;Table1[[#This Row],[MONTH]]</f>
        <v>-</v>
      </c>
    </row>
    <row r="1150" spans="1:25" ht="15" customHeight="1" x14ac:dyDescent="0.35">
      <c r="A1150" s="24"/>
      <c r="B1150" s="38"/>
      <c r="C1150" s="38"/>
      <c r="D1150" s="38"/>
      <c r="E1150" s="37"/>
      <c r="F1150" s="38"/>
      <c r="G1150" s="198"/>
      <c r="H1150" s="198"/>
      <c r="I1150" s="39"/>
      <c r="J1150" s="38"/>
      <c r="K1150" s="198"/>
      <c r="L1150" s="38"/>
      <c r="M1150" s="38"/>
      <c r="N1150" s="38"/>
      <c r="O1150" s="38"/>
      <c r="P1150" s="40" t="str" cm="1">
        <f t="array" ref="P1150">IF(N1150="","",IFERROR(_xlfn.XLOOKUP(F1150&amp;"|"&amp;J1150&amp;"|"&amp;O1150,PRICES!$C$2:$C$659&amp;"|"&amp;PRICES!$B$2:$B$659&amp;"|"&amp;PRICES!$D$2:$D$659,PRICES!$E$2:$E$659),"Not Found"))</f>
        <v/>
      </c>
      <c r="Q1150" s="100" t="str">
        <f>IF(N1150=0,"",SUMIFS(PRICES!$G$2:$G$658,PRICES!$B$2:$B$658,'MAIN TABLE-1 AUTOMATED'!J1150,PRICES!$C$2:$C$658,'MAIN TABLE-1 AUTOMATED'!F1150,PRICES!$D$2:$D$658,'MAIN TABLE-1 AUTOMATED'!O1150))</f>
        <v/>
      </c>
      <c r="R1150" s="41" t="str">
        <f>IF(Table1[[#This Row],[QUANTITY]]=0,"",Table1[[#This Row],[UNIT PRICE]]*Table1[[#This Row],[QUANTITY]])</f>
        <v/>
      </c>
      <c r="S1150" s="89"/>
      <c r="T1150" s="38"/>
      <c r="U1150" s="43"/>
      <c r="V1150" s="42" t="str">
        <f>IF(Table1[[#This Row],[DATE]]=0,"",YEAR(E1150))</f>
        <v/>
      </c>
      <c r="W1150" s="40" t="str">
        <f t="shared" si="36"/>
        <v/>
      </c>
      <c r="X1150" s="40" t="str">
        <f t="shared" si="37"/>
        <v/>
      </c>
      <c r="Y1150" s="40" t="str">
        <f>TEXT(Table1[[#This Row],[YEAR]],"0000")&amp;"-"&amp;Table1[[#This Row],[MONTH]]</f>
        <v>-</v>
      </c>
    </row>
    <row r="1151" spans="1:25" ht="15" customHeight="1" x14ac:dyDescent="0.35">
      <c r="A1151" s="24"/>
      <c r="B1151" s="38"/>
      <c r="C1151" s="38"/>
      <c r="D1151" s="38"/>
      <c r="E1151" s="37"/>
      <c r="F1151" s="38"/>
      <c r="G1151" s="198"/>
      <c r="H1151" s="198"/>
      <c r="I1151" s="39"/>
      <c r="J1151" s="38"/>
      <c r="K1151" s="198"/>
      <c r="L1151" s="38"/>
      <c r="M1151" s="38"/>
      <c r="N1151" s="38"/>
      <c r="O1151" s="38"/>
      <c r="P1151" s="40" t="str" cm="1">
        <f t="array" ref="P1151">IF(N1151="","",IFERROR(_xlfn.XLOOKUP(F1151&amp;"|"&amp;J1151&amp;"|"&amp;O1151,PRICES!$C$2:$C$659&amp;"|"&amp;PRICES!$B$2:$B$659&amp;"|"&amp;PRICES!$D$2:$D$659,PRICES!$E$2:$E$659),"Not Found"))</f>
        <v/>
      </c>
      <c r="Q1151" s="100" t="str">
        <f>IF(N1151=0,"",SUMIFS(PRICES!$G$2:$G$658,PRICES!$B$2:$B$658,'MAIN TABLE-1 AUTOMATED'!J1151,PRICES!$C$2:$C$658,'MAIN TABLE-1 AUTOMATED'!F1151,PRICES!$D$2:$D$658,'MAIN TABLE-1 AUTOMATED'!O1151))</f>
        <v/>
      </c>
      <c r="R1151" s="41" t="str">
        <f>IF(Table1[[#This Row],[QUANTITY]]=0,"",Table1[[#This Row],[UNIT PRICE]]*Table1[[#This Row],[QUANTITY]])</f>
        <v/>
      </c>
      <c r="S1151" s="89"/>
      <c r="T1151" s="38"/>
      <c r="U1151" s="43"/>
      <c r="V1151" s="42" t="str">
        <f>IF(Table1[[#This Row],[DATE]]=0,"",YEAR(E1151))</f>
        <v/>
      </c>
      <c r="W1151" s="40" t="str">
        <f t="shared" si="36"/>
        <v/>
      </c>
      <c r="X1151" s="40" t="str">
        <f t="shared" si="37"/>
        <v/>
      </c>
      <c r="Y1151" s="40" t="str">
        <f>TEXT(Table1[[#This Row],[YEAR]],"0000")&amp;"-"&amp;Table1[[#This Row],[MONTH]]</f>
        <v>-</v>
      </c>
    </row>
    <row r="1152" spans="1:25" ht="15" customHeight="1" x14ac:dyDescent="0.35">
      <c r="A1152" s="24"/>
      <c r="B1152" s="38"/>
      <c r="C1152" s="38"/>
      <c r="D1152" s="38"/>
      <c r="E1152" s="37"/>
      <c r="F1152" s="38"/>
      <c r="G1152" s="198"/>
      <c r="H1152" s="198"/>
      <c r="I1152" s="39"/>
      <c r="J1152" s="38"/>
      <c r="K1152" s="198"/>
      <c r="L1152" s="38"/>
      <c r="M1152" s="38"/>
      <c r="N1152" s="38"/>
      <c r="O1152" s="38"/>
      <c r="P1152" s="40" t="str" cm="1">
        <f t="array" ref="P1152">IF(N1152="","",IFERROR(_xlfn.XLOOKUP(F1152&amp;"|"&amp;J1152&amp;"|"&amp;O1152,PRICES!$C$2:$C$659&amp;"|"&amp;PRICES!$B$2:$B$659&amp;"|"&amp;PRICES!$D$2:$D$659,PRICES!$E$2:$E$659),"Not Found"))</f>
        <v/>
      </c>
      <c r="Q1152" s="100" t="str">
        <f>IF(N1152=0,"",SUMIFS(PRICES!$G$2:$G$658,PRICES!$B$2:$B$658,'MAIN TABLE-1 AUTOMATED'!J1152,PRICES!$C$2:$C$658,'MAIN TABLE-1 AUTOMATED'!F1152,PRICES!$D$2:$D$658,'MAIN TABLE-1 AUTOMATED'!O1152))</f>
        <v/>
      </c>
      <c r="R1152" s="41" t="str">
        <f>IF(Table1[[#This Row],[QUANTITY]]=0,"",Table1[[#This Row],[UNIT PRICE]]*Table1[[#This Row],[QUANTITY]])</f>
        <v/>
      </c>
      <c r="S1152" s="89"/>
      <c r="T1152" s="38"/>
      <c r="U1152" s="43"/>
      <c r="V1152" s="42" t="str">
        <f>IF(Table1[[#This Row],[DATE]]=0,"",YEAR(E1152))</f>
        <v/>
      </c>
      <c r="W1152" s="40" t="str">
        <f t="shared" si="36"/>
        <v/>
      </c>
      <c r="X1152" s="40" t="str">
        <f t="shared" si="37"/>
        <v/>
      </c>
      <c r="Y1152" s="40" t="str">
        <f>TEXT(Table1[[#This Row],[YEAR]],"0000")&amp;"-"&amp;Table1[[#This Row],[MONTH]]</f>
        <v>-</v>
      </c>
    </row>
    <row r="1153" spans="1:25" ht="15" customHeight="1" x14ac:dyDescent="0.35">
      <c r="A1153" s="24"/>
      <c r="B1153" s="38"/>
      <c r="C1153" s="38"/>
      <c r="D1153" s="38"/>
      <c r="E1153" s="37"/>
      <c r="F1153" s="38"/>
      <c r="G1153" s="198"/>
      <c r="H1153" s="198"/>
      <c r="I1153" s="39"/>
      <c r="J1153" s="38"/>
      <c r="K1153" s="198"/>
      <c r="L1153" s="38"/>
      <c r="M1153" s="38"/>
      <c r="N1153" s="38"/>
      <c r="O1153" s="38"/>
      <c r="P1153" s="40" t="str" cm="1">
        <f t="array" ref="P1153">IF(N1153="","",IFERROR(_xlfn.XLOOKUP(F1153&amp;"|"&amp;J1153&amp;"|"&amp;O1153,PRICES!$C$2:$C$659&amp;"|"&amp;PRICES!$B$2:$B$659&amp;"|"&amp;PRICES!$D$2:$D$659,PRICES!$E$2:$E$659),"Not Found"))</f>
        <v/>
      </c>
      <c r="Q1153" s="100" t="str">
        <f>IF(N1153=0,"",SUMIFS(PRICES!$G$2:$G$658,PRICES!$B$2:$B$658,'MAIN TABLE-1 AUTOMATED'!J1153,PRICES!$C$2:$C$658,'MAIN TABLE-1 AUTOMATED'!F1153,PRICES!$D$2:$D$658,'MAIN TABLE-1 AUTOMATED'!O1153))</f>
        <v/>
      </c>
      <c r="R1153" s="41" t="str">
        <f>IF(Table1[[#This Row],[QUANTITY]]=0,"",Table1[[#This Row],[UNIT PRICE]]*Table1[[#This Row],[QUANTITY]])</f>
        <v/>
      </c>
      <c r="S1153" s="89"/>
      <c r="T1153" s="38"/>
      <c r="U1153" s="43"/>
      <c r="V1153" s="42" t="str">
        <f>IF(Table1[[#This Row],[DATE]]=0,"",YEAR(E1153))</f>
        <v/>
      </c>
      <c r="W1153" s="40" t="str">
        <f t="shared" si="36"/>
        <v/>
      </c>
      <c r="X1153" s="40" t="str">
        <f t="shared" si="37"/>
        <v/>
      </c>
      <c r="Y1153" s="40" t="str">
        <f>TEXT(Table1[[#This Row],[YEAR]],"0000")&amp;"-"&amp;Table1[[#This Row],[MONTH]]</f>
        <v>-</v>
      </c>
    </row>
    <row r="1154" spans="1:25" ht="15" customHeight="1" x14ac:dyDescent="0.35">
      <c r="A1154" s="24"/>
      <c r="B1154" s="38"/>
      <c r="C1154" s="38"/>
      <c r="D1154" s="38"/>
      <c r="E1154" s="37"/>
      <c r="F1154" s="38"/>
      <c r="G1154" s="198"/>
      <c r="H1154" s="198"/>
      <c r="I1154" s="39"/>
      <c r="J1154" s="38"/>
      <c r="K1154" s="198"/>
      <c r="L1154" s="38"/>
      <c r="M1154" s="38"/>
      <c r="N1154" s="38"/>
      <c r="O1154" s="38"/>
      <c r="P1154" s="40" t="str" cm="1">
        <f t="array" ref="P1154">IF(N1154="","",IFERROR(_xlfn.XLOOKUP(F1154&amp;"|"&amp;J1154&amp;"|"&amp;O1154,PRICES!$C$2:$C$659&amp;"|"&amp;PRICES!$B$2:$B$659&amp;"|"&amp;PRICES!$D$2:$D$659,PRICES!$E$2:$E$659),"Not Found"))</f>
        <v/>
      </c>
      <c r="Q1154" s="100" t="str">
        <f>IF(N1154=0,"",SUMIFS(PRICES!$G$2:$G$658,PRICES!$B$2:$B$658,'MAIN TABLE-1 AUTOMATED'!J1154,PRICES!$C$2:$C$658,'MAIN TABLE-1 AUTOMATED'!F1154,PRICES!$D$2:$D$658,'MAIN TABLE-1 AUTOMATED'!O1154))</f>
        <v/>
      </c>
      <c r="R1154" s="41" t="str">
        <f>IF(Table1[[#This Row],[QUANTITY]]=0,"",Table1[[#This Row],[UNIT PRICE]]*Table1[[#This Row],[QUANTITY]])</f>
        <v/>
      </c>
      <c r="S1154" s="89"/>
      <c r="T1154" s="38"/>
      <c r="U1154" s="43"/>
      <c r="V1154" s="42" t="str">
        <f>IF(Table1[[#This Row],[DATE]]=0,"",YEAR(E1154))</f>
        <v/>
      </c>
      <c r="W1154" s="40" t="str">
        <f t="shared" si="36"/>
        <v/>
      </c>
      <c r="X1154" s="40" t="str">
        <f t="shared" si="37"/>
        <v/>
      </c>
      <c r="Y1154" s="40" t="str">
        <f>TEXT(Table1[[#This Row],[YEAR]],"0000")&amp;"-"&amp;Table1[[#This Row],[MONTH]]</f>
        <v>-</v>
      </c>
    </row>
    <row r="1155" spans="1:25" ht="15" customHeight="1" x14ac:dyDescent="0.35">
      <c r="A1155" s="24"/>
      <c r="B1155" s="38"/>
      <c r="C1155" s="38"/>
      <c r="D1155" s="38"/>
      <c r="E1155" s="37"/>
      <c r="F1155" s="38"/>
      <c r="G1155" s="198"/>
      <c r="H1155" s="198"/>
      <c r="I1155" s="39"/>
      <c r="J1155" s="38"/>
      <c r="K1155" s="198"/>
      <c r="L1155" s="38"/>
      <c r="M1155" s="38"/>
      <c r="N1155" s="38"/>
      <c r="O1155" s="38"/>
      <c r="P1155" s="40" t="str" cm="1">
        <f t="array" ref="P1155">IF(N1155="","",IFERROR(_xlfn.XLOOKUP(F1155&amp;"|"&amp;J1155&amp;"|"&amp;O1155,PRICES!$C$2:$C$659&amp;"|"&amp;PRICES!$B$2:$B$659&amp;"|"&amp;PRICES!$D$2:$D$659,PRICES!$E$2:$E$659),"Not Found"))</f>
        <v/>
      </c>
      <c r="Q1155" s="100" t="str">
        <f>IF(N1155=0,"",SUMIFS(PRICES!$G$2:$G$658,PRICES!$B$2:$B$658,'MAIN TABLE-1 AUTOMATED'!J1155,PRICES!$C$2:$C$658,'MAIN TABLE-1 AUTOMATED'!F1155,PRICES!$D$2:$D$658,'MAIN TABLE-1 AUTOMATED'!O1155))</f>
        <v/>
      </c>
      <c r="R1155" s="41" t="str">
        <f>IF(Table1[[#This Row],[QUANTITY]]=0,"",Table1[[#This Row],[UNIT PRICE]]*Table1[[#This Row],[QUANTITY]])</f>
        <v/>
      </c>
      <c r="S1155" s="89"/>
      <c r="T1155" s="38"/>
      <c r="U1155" s="43"/>
      <c r="V1155" s="42" t="str">
        <f>IF(Table1[[#This Row],[DATE]]=0,"",YEAR(E1155))</f>
        <v/>
      </c>
      <c r="W1155" s="40" t="str">
        <f t="shared" si="36"/>
        <v/>
      </c>
      <c r="X1155" s="40" t="str">
        <f t="shared" si="37"/>
        <v/>
      </c>
      <c r="Y1155" s="40" t="str">
        <f>TEXT(Table1[[#This Row],[YEAR]],"0000")&amp;"-"&amp;Table1[[#This Row],[MONTH]]</f>
        <v>-</v>
      </c>
    </row>
    <row r="1156" spans="1:25" ht="15" customHeight="1" x14ac:dyDescent="0.35">
      <c r="A1156" s="24"/>
      <c r="B1156" s="38"/>
      <c r="C1156" s="38"/>
      <c r="D1156" s="38"/>
      <c r="E1156" s="37"/>
      <c r="F1156" s="38"/>
      <c r="G1156" s="198"/>
      <c r="H1156" s="198"/>
      <c r="I1156" s="39"/>
      <c r="J1156" s="38"/>
      <c r="K1156" s="198"/>
      <c r="L1156" s="38"/>
      <c r="M1156" s="38"/>
      <c r="N1156" s="38"/>
      <c r="O1156" s="38"/>
      <c r="P1156" s="40" t="str" cm="1">
        <f t="array" ref="P1156">IF(N1156="","",IFERROR(_xlfn.XLOOKUP(F1156&amp;"|"&amp;J1156&amp;"|"&amp;O1156,PRICES!$C$2:$C$659&amp;"|"&amp;PRICES!$B$2:$B$659&amp;"|"&amp;PRICES!$D$2:$D$659,PRICES!$E$2:$E$659),"Not Found"))</f>
        <v/>
      </c>
      <c r="Q1156" s="100" t="str">
        <f>IF(N1156=0,"",SUMIFS(PRICES!$G$2:$G$658,PRICES!$B$2:$B$658,'MAIN TABLE-1 AUTOMATED'!J1156,PRICES!$C$2:$C$658,'MAIN TABLE-1 AUTOMATED'!F1156,PRICES!$D$2:$D$658,'MAIN TABLE-1 AUTOMATED'!O1156))</f>
        <v/>
      </c>
      <c r="R1156" s="41" t="str">
        <f>IF(Table1[[#This Row],[QUANTITY]]=0,"",Table1[[#This Row],[UNIT PRICE]]*Table1[[#This Row],[QUANTITY]])</f>
        <v/>
      </c>
      <c r="S1156" s="89"/>
      <c r="T1156" s="38"/>
      <c r="U1156" s="43"/>
      <c r="V1156" s="42" t="str">
        <f>IF(Table1[[#This Row],[DATE]]=0,"",YEAR(E1156))</f>
        <v/>
      </c>
      <c r="W1156" s="40" t="str">
        <f t="shared" si="36"/>
        <v/>
      </c>
      <c r="X1156" s="40" t="str">
        <f t="shared" si="37"/>
        <v/>
      </c>
      <c r="Y1156" s="40" t="str">
        <f>TEXT(Table1[[#This Row],[YEAR]],"0000")&amp;"-"&amp;Table1[[#This Row],[MONTH]]</f>
        <v>-</v>
      </c>
    </row>
    <row r="1157" spans="1:25" ht="15" customHeight="1" x14ac:dyDescent="0.35">
      <c r="A1157" s="24"/>
      <c r="B1157" s="38"/>
      <c r="C1157" s="38"/>
      <c r="D1157" s="38"/>
      <c r="E1157" s="37"/>
      <c r="F1157" s="38"/>
      <c r="G1157" s="198"/>
      <c r="H1157" s="198"/>
      <c r="I1157" s="39"/>
      <c r="J1157" s="38"/>
      <c r="K1157" s="198"/>
      <c r="L1157" s="38"/>
      <c r="M1157" s="38"/>
      <c r="N1157" s="38"/>
      <c r="O1157" s="38"/>
      <c r="P1157" s="40" t="str" cm="1">
        <f t="array" ref="P1157">IF(N1157="","",IFERROR(_xlfn.XLOOKUP(F1157&amp;"|"&amp;J1157&amp;"|"&amp;O1157,PRICES!$C$2:$C$659&amp;"|"&amp;PRICES!$B$2:$B$659&amp;"|"&amp;PRICES!$D$2:$D$659,PRICES!$E$2:$E$659),"Not Found"))</f>
        <v/>
      </c>
      <c r="Q1157" s="100" t="str">
        <f>IF(N1157=0,"",SUMIFS(PRICES!$G$2:$G$658,PRICES!$B$2:$B$658,'MAIN TABLE-1 AUTOMATED'!J1157,PRICES!$C$2:$C$658,'MAIN TABLE-1 AUTOMATED'!F1157,PRICES!$D$2:$D$658,'MAIN TABLE-1 AUTOMATED'!O1157))</f>
        <v/>
      </c>
      <c r="R1157" s="41" t="str">
        <f>IF(Table1[[#This Row],[QUANTITY]]=0,"",Table1[[#This Row],[UNIT PRICE]]*Table1[[#This Row],[QUANTITY]])</f>
        <v/>
      </c>
      <c r="S1157" s="89"/>
      <c r="T1157" s="38"/>
      <c r="U1157" s="43"/>
      <c r="V1157" s="42" t="str">
        <f>IF(Table1[[#This Row],[DATE]]=0,"",YEAR(E1157))</f>
        <v/>
      </c>
      <c r="W1157" s="40" t="str">
        <f t="shared" si="36"/>
        <v/>
      </c>
      <c r="X1157" s="40" t="str">
        <f t="shared" si="37"/>
        <v/>
      </c>
      <c r="Y1157" s="40" t="str">
        <f>TEXT(Table1[[#This Row],[YEAR]],"0000")&amp;"-"&amp;Table1[[#This Row],[MONTH]]</f>
        <v>-</v>
      </c>
    </row>
    <row r="1158" spans="1:25" ht="15" customHeight="1" x14ac:dyDescent="0.35">
      <c r="A1158" s="24"/>
      <c r="B1158" s="38"/>
      <c r="C1158" s="38"/>
      <c r="D1158" s="38"/>
      <c r="E1158" s="37"/>
      <c r="F1158" s="38"/>
      <c r="G1158" s="198"/>
      <c r="H1158" s="198"/>
      <c r="I1158" s="39"/>
      <c r="J1158" s="38"/>
      <c r="K1158" s="198"/>
      <c r="L1158" s="38"/>
      <c r="M1158" s="38"/>
      <c r="N1158" s="38"/>
      <c r="O1158" s="38"/>
      <c r="P1158" s="40" t="str" cm="1">
        <f t="array" ref="P1158">IF(N1158="","",IFERROR(_xlfn.XLOOKUP(F1158&amp;"|"&amp;J1158&amp;"|"&amp;O1158,PRICES!$C$2:$C$659&amp;"|"&amp;PRICES!$B$2:$B$659&amp;"|"&amp;PRICES!$D$2:$D$659,PRICES!$E$2:$E$659),"Not Found"))</f>
        <v/>
      </c>
      <c r="Q1158" s="100" t="str">
        <f>IF(N1158=0,"",SUMIFS(PRICES!$G$2:$G$658,PRICES!$B$2:$B$658,'MAIN TABLE-1 AUTOMATED'!J1158,PRICES!$C$2:$C$658,'MAIN TABLE-1 AUTOMATED'!F1158,PRICES!$D$2:$D$658,'MAIN TABLE-1 AUTOMATED'!O1158))</f>
        <v/>
      </c>
      <c r="R1158" s="41" t="str">
        <f>IF(Table1[[#This Row],[QUANTITY]]=0,"",Table1[[#This Row],[UNIT PRICE]]*Table1[[#This Row],[QUANTITY]])</f>
        <v/>
      </c>
      <c r="S1158" s="89"/>
      <c r="T1158" s="38"/>
      <c r="U1158" s="43"/>
      <c r="V1158" s="42" t="str">
        <f>IF(Table1[[#This Row],[DATE]]=0,"",YEAR(E1158))</f>
        <v/>
      </c>
      <c r="W1158" s="40" t="str">
        <f t="shared" si="36"/>
        <v/>
      </c>
      <c r="X1158" s="40" t="str">
        <f t="shared" si="37"/>
        <v/>
      </c>
      <c r="Y1158" s="40" t="str">
        <f>TEXT(Table1[[#This Row],[YEAR]],"0000")&amp;"-"&amp;Table1[[#This Row],[MONTH]]</f>
        <v>-</v>
      </c>
    </row>
    <row r="1159" spans="1:25" ht="15" customHeight="1" x14ac:dyDescent="0.35">
      <c r="A1159" s="24"/>
      <c r="B1159" s="38"/>
      <c r="C1159" s="38"/>
      <c r="D1159" s="38"/>
      <c r="E1159" s="37"/>
      <c r="F1159" s="38"/>
      <c r="G1159" s="198"/>
      <c r="H1159" s="198"/>
      <c r="I1159" s="39"/>
      <c r="J1159" s="38"/>
      <c r="K1159" s="198"/>
      <c r="L1159" s="38"/>
      <c r="M1159" s="38"/>
      <c r="N1159" s="38"/>
      <c r="O1159" s="38"/>
      <c r="P1159" s="40" t="str" cm="1">
        <f t="array" ref="P1159">IF(N1159="","",IFERROR(_xlfn.XLOOKUP(F1159&amp;"|"&amp;J1159&amp;"|"&amp;O1159,PRICES!$C$2:$C$659&amp;"|"&amp;PRICES!$B$2:$B$659&amp;"|"&amp;PRICES!$D$2:$D$659,PRICES!$E$2:$E$659),"Not Found"))</f>
        <v/>
      </c>
      <c r="Q1159" s="100" t="str">
        <f>IF(N1159=0,"",SUMIFS(PRICES!$G$2:$G$658,PRICES!$B$2:$B$658,'MAIN TABLE-1 AUTOMATED'!J1159,PRICES!$C$2:$C$658,'MAIN TABLE-1 AUTOMATED'!F1159,PRICES!$D$2:$D$658,'MAIN TABLE-1 AUTOMATED'!O1159))</f>
        <v/>
      </c>
      <c r="R1159" s="41" t="str">
        <f>IF(Table1[[#This Row],[QUANTITY]]=0,"",Table1[[#This Row],[UNIT PRICE]]*Table1[[#This Row],[QUANTITY]])</f>
        <v/>
      </c>
      <c r="S1159" s="89"/>
      <c r="T1159" s="38"/>
      <c r="U1159" s="43"/>
      <c r="V1159" s="42" t="str">
        <f>IF(Table1[[#This Row],[DATE]]=0,"",YEAR(E1159))</f>
        <v/>
      </c>
      <c r="W1159" s="40" t="str">
        <f t="shared" si="36"/>
        <v/>
      </c>
      <c r="X1159" s="40" t="str">
        <f t="shared" si="37"/>
        <v/>
      </c>
      <c r="Y1159" s="40" t="str">
        <f>TEXT(Table1[[#This Row],[YEAR]],"0000")&amp;"-"&amp;Table1[[#This Row],[MONTH]]</f>
        <v>-</v>
      </c>
    </row>
    <row r="1160" spans="1:25" ht="15" customHeight="1" x14ac:dyDescent="0.35">
      <c r="A1160" s="24"/>
      <c r="B1160" s="38"/>
      <c r="C1160" s="38"/>
      <c r="D1160" s="38"/>
      <c r="E1160" s="37"/>
      <c r="F1160" s="38"/>
      <c r="G1160" s="198"/>
      <c r="H1160" s="198"/>
      <c r="I1160" s="39"/>
      <c r="J1160" s="38"/>
      <c r="K1160" s="198"/>
      <c r="L1160" s="38"/>
      <c r="M1160" s="38"/>
      <c r="N1160" s="38"/>
      <c r="O1160" s="38"/>
      <c r="P1160" s="40" t="str" cm="1">
        <f t="array" ref="P1160">IF(N1160="","",IFERROR(_xlfn.XLOOKUP(F1160&amp;"|"&amp;J1160&amp;"|"&amp;O1160,PRICES!$C$2:$C$659&amp;"|"&amp;PRICES!$B$2:$B$659&amp;"|"&amp;PRICES!$D$2:$D$659,PRICES!$E$2:$E$659),"Not Found"))</f>
        <v/>
      </c>
      <c r="Q1160" s="100" t="str">
        <f>IF(N1160=0,"",SUMIFS(PRICES!$G$2:$G$658,PRICES!$B$2:$B$658,'MAIN TABLE-1 AUTOMATED'!J1160,PRICES!$C$2:$C$658,'MAIN TABLE-1 AUTOMATED'!F1160,PRICES!$D$2:$D$658,'MAIN TABLE-1 AUTOMATED'!O1160))</f>
        <v/>
      </c>
      <c r="R1160" s="41" t="str">
        <f>IF(Table1[[#This Row],[QUANTITY]]=0,"",Table1[[#This Row],[UNIT PRICE]]*Table1[[#This Row],[QUANTITY]])</f>
        <v/>
      </c>
      <c r="S1160" s="89"/>
      <c r="T1160" s="38"/>
      <c r="U1160" s="43"/>
      <c r="V1160" s="42" t="str">
        <f>IF(Table1[[#This Row],[DATE]]=0,"",YEAR(E1160))</f>
        <v/>
      </c>
      <c r="W1160" s="40" t="str">
        <f t="shared" si="36"/>
        <v/>
      </c>
      <c r="X1160" s="40" t="str">
        <f t="shared" si="37"/>
        <v/>
      </c>
      <c r="Y1160" s="40" t="str">
        <f>TEXT(Table1[[#This Row],[YEAR]],"0000")&amp;"-"&amp;Table1[[#This Row],[MONTH]]</f>
        <v>-</v>
      </c>
    </row>
    <row r="1161" spans="1:25" ht="15" customHeight="1" x14ac:dyDescent="0.35">
      <c r="A1161" s="24"/>
      <c r="B1161" s="38"/>
      <c r="C1161" s="38"/>
      <c r="D1161" s="38"/>
      <c r="E1161" s="37"/>
      <c r="F1161" s="38"/>
      <c r="G1161" s="198"/>
      <c r="H1161" s="198"/>
      <c r="I1161" s="39"/>
      <c r="J1161" s="38"/>
      <c r="K1161" s="198"/>
      <c r="L1161" s="38"/>
      <c r="M1161" s="38"/>
      <c r="N1161" s="38"/>
      <c r="O1161" s="38"/>
      <c r="P1161" s="40" t="str" cm="1">
        <f t="array" ref="P1161">IF(N1161="","",IFERROR(_xlfn.XLOOKUP(F1161&amp;"|"&amp;J1161&amp;"|"&amp;O1161,PRICES!$C$2:$C$659&amp;"|"&amp;PRICES!$B$2:$B$659&amp;"|"&amp;PRICES!$D$2:$D$659,PRICES!$E$2:$E$659),"Not Found"))</f>
        <v/>
      </c>
      <c r="Q1161" s="100" t="str">
        <f>IF(N1161=0,"",SUMIFS(PRICES!$G$2:$G$658,PRICES!$B$2:$B$658,'MAIN TABLE-1 AUTOMATED'!J1161,PRICES!$C$2:$C$658,'MAIN TABLE-1 AUTOMATED'!F1161,PRICES!$D$2:$D$658,'MAIN TABLE-1 AUTOMATED'!O1161))</f>
        <v/>
      </c>
      <c r="R1161" s="41" t="str">
        <f>IF(Table1[[#This Row],[QUANTITY]]=0,"",Table1[[#This Row],[UNIT PRICE]]*Table1[[#This Row],[QUANTITY]])</f>
        <v/>
      </c>
      <c r="S1161" s="89"/>
      <c r="T1161" s="38"/>
      <c r="U1161" s="43"/>
      <c r="V1161" s="42" t="str">
        <f>IF(Table1[[#This Row],[DATE]]=0,"",YEAR(E1161))</f>
        <v/>
      </c>
      <c r="W1161" s="40" t="str">
        <f t="shared" si="36"/>
        <v/>
      </c>
      <c r="X1161" s="40" t="str">
        <f t="shared" si="37"/>
        <v/>
      </c>
      <c r="Y1161" s="40" t="str">
        <f>TEXT(Table1[[#This Row],[YEAR]],"0000")&amp;"-"&amp;Table1[[#This Row],[MONTH]]</f>
        <v>-</v>
      </c>
    </row>
    <row r="1162" spans="1:25" ht="15" customHeight="1" x14ac:dyDescent="0.35">
      <c r="A1162" s="24"/>
      <c r="B1162" s="38"/>
      <c r="C1162" s="38"/>
      <c r="D1162" s="38"/>
      <c r="E1162" s="37"/>
      <c r="F1162" s="38"/>
      <c r="G1162" s="198"/>
      <c r="H1162" s="198"/>
      <c r="I1162" s="39"/>
      <c r="J1162" s="38"/>
      <c r="K1162" s="198"/>
      <c r="L1162" s="38"/>
      <c r="M1162" s="38"/>
      <c r="N1162" s="38"/>
      <c r="O1162" s="38"/>
      <c r="P1162" s="40" t="str" cm="1">
        <f t="array" ref="P1162">IF(N1162="","",IFERROR(_xlfn.XLOOKUP(F1162&amp;"|"&amp;J1162&amp;"|"&amp;O1162,PRICES!$C$2:$C$659&amp;"|"&amp;PRICES!$B$2:$B$659&amp;"|"&amp;PRICES!$D$2:$D$659,PRICES!$E$2:$E$659),"Not Found"))</f>
        <v/>
      </c>
      <c r="Q1162" s="100" t="str">
        <f>IF(N1162=0,"",SUMIFS(PRICES!$G$2:$G$658,PRICES!$B$2:$B$658,'MAIN TABLE-1 AUTOMATED'!J1162,PRICES!$C$2:$C$658,'MAIN TABLE-1 AUTOMATED'!F1162,PRICES!$D$2:$D$658,'MAIN TABLE-1 AUTOMATED'!O1162))</f>
        <v/>
      </c>
      <c r="R1162" s="41" t="str">
        <f>IF(Table1[[#This Row],[QUANTITY]]=0,"",Table1[[#This Row],[UNIT PRICE]]*Table1[[#This Row],[QUANTITY]])</f>
        <v/>
      </c>
      <c r="S1162" s="89"/>
      <c r="T1162" s="38"/>
      <c r="U1162" s="43"/>
      <c r="V1162" s="42" t="str">
        <f>IF(Table1[[#This Row],[DATE]]=0,"",YEAR(E1162))</f>
        <v/>
      </c>
      <c r="W1162" s="40" t="str">
        <f t="shared" si="36"/>
        <v/>
      </c>
      <c r="X1162" s="40" t="str">
        <f t="shared" si="37"/>
        <v/>
      </c>
      <c r="Y1162" s="40" t="str">
        <f>TEXT(Table1[[#This Row],[YEAR]],"0000")&amp;"-"&amp;Table1[[#This Row],[MONTH]]</f>
        <v>-</v>
      </c>
    </row>
    <row r="1163" spans="1:25" ht="15" customHeight="1" x14ac:dyDescent="0.35">
      <c r="A1163" s="24"/>
      <c r="B1163" s="38"/>
      <c r="C1163" s="38"/>
      <c r="D1163" s="38"/>
      <c r="E1163" s="37"/>
      <c r="F1163" s="38"/>
      <c r="G1163" s="198"/>
      <c r="H1163" s="198"/>
      <c r="I1163" s="39"/>
      <c r="J1163" s="38"/>
      <c r="K1163" s="198"/>
      <c r="L1163" s="38"/>
      <c r="M1163" s="38"/>
      <c r="N1163" s="38"/>
      <c r="O1163" s="38"/>
      <c r="P1163" s="40" t="str" cm="1">
        <f t="array" ref="P1163">IF(N1163="","",IFERROR(_xlfn.XLOOKUP(F1163&amp;"|"&amp;J1163&amp;"|"&amp;O1163,PRICES!$C$2:$C$659&amp;"|"&amp;PRICES!$B$2:$B$659&amp;"|"&amp;PRICES!$D$2:$D$659,PRICES!$E$2:$E$659),"Not Found"))</f>
        <v/>
      </c>
      <c r="Q1163" s="100" t="str">
        <f>IF(N1163=0,"",SUMIFS(PRICES!$G$2:$G$658,PRICES!$B$2:$B$658,'MAIN TABLE-1 AUTOMATED'!J1163,PRICES!$C$2:$C$658,'MAIN TABLE-1 AUTOMATED'!F1163,PRICES!$D$2:$D$658,'MAIN TABLE-1 AUTOMATED'!O1163))</f>
        <v/>
      </c>
      <c r="R1163" s="41" t="str">
        <f>IF(Table1[[#This Row],[QUANTITY]]=0,"",Table1[[#This Row],[UNIT PRICE]]*Table1[[#This Row],[QUANTITY]])</f>
        <v/>
      </c>
      <c r="S1163" s="89"/>
      <c r="T1163" s="38"/>
      <c r="U1163" s="43"/>
      <c r="V1163" s="42" t="str">
        <f>IF(Table1[[#This Row],[DATE]]=0,"",YEAR(E1163))</f>
        <v/>
      </c>
      <c r="W1163" s="40" t="str">
        <f t="shared" si="36"/>
        <v/>
      </c>
      <c r="X1163" s="40" t="str">
        <f t="shared" si="37"/>
        <v/>
      </c>
      <c r="Y1163" s="40" t="str">
        <f>TEXT(Table1[[#This Row],[YEAR]],"0000")&amp;"-"&amp;Table1[[#This Row],[MONTH]]</f>
        <v>-</v>
      </c>
    </row>
    <row r="1164" spans="1:25" ht="15" customHeight="1" x14ac:dyDescent="0.35">
      <c r="A1164" s="24"/>
      <c r="B1164" s="38"/>
      <c r="C1164" s="38"/>
      <c r="D1164" s="38"/>
      <c r="E1164" s="37"/>
      <c r="F1164" s="38"/>
      <c r="G1164" s="198"/>
      <c r="H1164" s="198"/>
      <c r="I1164" s="39"/>
      <c r="J1164" s="38"/>
      <c r="K1164" s="198"/>
      <c r="L1164" s="38"/>
      <c r="M1164" s="38"/>
      <c r="N1164" s="38"/>
      <c r="O1164" s="38"/>
      <c r="P1164" s="40" t="str" cm="1">
        <f t="array" ref="P1164">IF(N1164="","",IFERROR(_xlfn.XLOOKUP(F1164&amp;"|"&amp;J1164&amp;"|"&amp;O1164,PRICES!$C$2:$C$659&amp;"|"&amp;PRICES!$B$2:$B$659&amp;"|"&amp;PRICES!$D$2:$D$659,PRICES!$E$2:$E$659),"Not Found"))</f>
        <v/>
      </c>
      <c r="Q1164" s="100" t="str">
        <f>IF(N1164=0,"",SUMIFS(PRICES!$G$2:$G$658,PRICES!$B$2:$B$658,'MAIN TABLE-1 AUTOMATED'!J1164,PRICES!$C$2:$C$658,'MAIN TABLE-1 AUTOMATED'!F1164,PRICES!$D$2:$D$658,'MAIN TABLE-1 AUTOMATED'!O1164))</f>
        <v/>
      </c>
      <c r="R1164" s="41" t="str">
        <f>IF(Table1[[#This Row],[QUANTITY]]=0,"",Table1[[#This Row],[UNIT PRICE]]*Table1[[#This Row],[QUANTITY]])</f>
        <v/>
      </c>
      <c r="S1164" s="89"/>
      <c r="T1164" s="38"/>
      <c r="U1164" s="43"/>
      <c r="V1164" s="42" t="str">
        <f>IF(Table1[[#This Row],[DATE]]=0,"",YEAR(E1164))</f>
        <v/>
      </c>
      <c r="W1164" s="40" t="str">
        <f t="shared" si="36"/>
        <v/>
      </c>
      <c r="X1164" s="40" t="str">
        <f t="shared" si="37"/>
        <v/>
      </c>
      <c r="Y1164" s="40" t="str">
        <f>TEXT(Table1[[#This Row],[YEAR]],"0000")&amp;"-"&amp;Table1[[#This Row],[MONTH]]</f>
        <v>-</v>
      </c>
    </row>
    <row r="1165" spans="1:25" ht="15" customHeight="1" x14ac:dyDescent="0.35">
      <c r="A1165" s="24"/>
      <c r="B1165" s="38"/>
      <c r="C1165" s="38"/>
      <c r="D1165" s="38"/>
      <c r="E1165" s="37"/>
      <c r="F1165" s="38"/>
      <c r="G1165" s="198"/>
      <c r="H1165" s="198"/>
      <c r="I1165" s="39"/>
      <c r="J1165" s="38"/>
      <c r="K1165" s="198"/>
      <c r="L1165" s="38"/>
      <c r="M1165" s="38"/>
      <c r="N1165" s="38"/>
      <c r="O1165" s="38"/>
      <c r="P1165" s="40" t="str" cm="1">
        <f t="array" ref="P1165">IF(N1165="","",IFERROR(_xlfn.XLOOKUP(F1165&amp;"|"&amp;J1165&amp;"|"&amp;O1165,PRICES!$C$2:$C$659&amp;"|"&amp;PRICES!$B$2:$B$659&amp;"|"&amp;PRICES!$D$2:$D$659,PRICES!$E$2:$E$659),"Not Found"))</f>
        <v/>
      </c>
      <c r="Q1165" s="100" t="str">
        <f>IF(N1165=0,"",SUMIFS(PRICES!$G$2:$G$658,PRICES!$B$2:$B$658,'MAIN TABLE-1 AUTOMATED'!J1165,PRICES!$C$2:$C$658,'MAIN TABLE-1 AUTOMATED'!F1165,PRICES!$D$2:$D$658,'MAIN TABLE-1 AUTOMATED'!O1165))</f>
        <v/>
      </c>
      <c r="R1165" s="41" t="str">
        <f>IF(Table1[[#This Row],[QUANTITY]]=0,"",Table1[[#This Row],[UNIT PRICE]]*Table1[[#This Row],[QUANTITY]])</f>
        <v/>
      </c>
      <c r="S1165" s="89"/>
      <c r="T1165" s="38"/>
      <c r="U1165" s="43"/>
      <c r="V1165" s="42" t="str">
        <f>IF(Table1[[#This Row],[DATE]]=0,"",YEAR(E1165))</f>
        <v/>
      </c>
      <c r="W1165" s="40" t="str">
        <f t="shared" si="36"/>
        <v/>
      </c>
      <c r="X1165" s="40" t="str">
        <f t="shared" si="37"/>
        <v/>
      </c>
      <c r="Y1165" s="40" t="str">
        <f>TEXT(Table1[[#This Row],[YEAR]],"0000")&amp;"-"&amp;Table1[[#This Row],[MONTH]]</f>
        <v>-</v>
      </c>
    </row>
    <row r="1166" spans="1:25" ht="15" customHeight="1" x14ac:dyDescent="0.35">
      <c r="A1166" s="24"/>
      <c r="B1166" s="38"/>
      <c r="C1166" s="38"/>
      <c r="D1166" s="38"/>
      <c r="E1166" s="37"/>
      <c r="F1166" s="38"/>
      <c r="G1166" s="198"/>
      <c r="H1166" s="198"/>
      <c r="I1166" s="39"/>
      <c r="J1166" s="38"/>
      <c r="K1166" s="198"/>
      <c r="L1166" s="38"/>
      <c r="M1166" s="38"/>
      <c r="N1166" s="38"/>
      <c r="O1166" s="38"/>
      <c r="P1166" s="40" t="str" cm="1">
        <f t="array" ref="P1166">IF(N1166="","",IFERROR(_xlfn.XLOOKUP(F1166&amp;"|"&amp;J1166&amp;"|"&amp;O1166,PRICES!$C$2:$C$659&amp;"|"&amp;PRICES!$B$2:$B$659&amp;"|"&amp;PRICES!$D$2:$D$659,PRICES!$E$2:$E$659),"Not Found"))</f>
        <v/>
      </c>
      <c r="Q1166" s="100" t="str">
        <f>IF(N1166=0,"",SUMIFS(PRICES!$G$2:$G$658,PRICES!$B$2:$B$658,'MAIN TABLE-1 AUTOMATED'!J1166,PRICES!$C$2:$C$658,'MAIN TABLE-1 AUTOMATED'!F1166,PRICES!$D$2:$D$658,'MAIN TABLE-1 AUTOMATED'!O1166))</f>
        <v/>
      </c>
      <c r="R1166" s="41" t="str">
        <f>IF(Table1[[#This Row],[QUANTITY]]=0,"",Table1[[#This Row],[UNIT PRICE]]*Table1[[#This Row],[QUANTITY]])</f>
        <v/>
      </c>
      <c r="S1166" s="89"/>
      <c r="T1166" s="38"/>
      <c r="U1166" s="43"/>
      <c r="V1166" s="42" t="str">
        <f>IF(Table1[[#This Row],[DATE]]=0,"",YEAR(E1166))</f>
        <v/>
      </c>
      <c r="W1166" s="40" t="str">
        <f t="shared" si="36"/>
        <v/>
      </c>
      <c r="X1166" s="40" t="str">
        <f t="shared" si="37"/>
        <v/>
      </c>
      <c r="Y1166" s="40" t="str">
        <f>TEXT(Table1[[#This Row],[YEAR]],"0000")&amp;"-"&amp;Table1[[#This Row],[MONTH]]</f>
        <v>-</v>
      </c>
    </row>
    <row r="1167" spans="1:25" ht="15" customHeight="1" x14ac:dyDescent="0.35">
      <c r="A1167" s="24"/>
      <c r="B1167" s="38"/>
      <c r="C1167" s="38"/>
      <c r="D1167" s="38"/>
      <c r="E1167" s="37"/>
      <c r="F1167" s="38"/>
      <c r="G1167" s="198"/>
      <c r="H1167" s="198"/>
      <c r="I1167" s="39"/>
      <c r="J1167" s="38"/>
      <c r="K1167" s="198"/>
      <c r="L1167" s="38"/>
      <c r="M1167" s="38"/>
      <c r="N1167" s="38"/>
      <c r="O1167" s="38"/>
      <c r="P1167" s="40" t="str" cm="1">
        <f t="array" ref="P1167">IF(N1167="","",IFERROR(_xlfn.XLOOKUP(F1167&amp;"|"&amp;J1167&amp;"|"&amp;O1167,PRICES!$C$2:$C$659&amp;"|"&amp;PRICES!$B$2:$B$659&amp;"|"&amp;PRICES!$D$2:$D$659,PRICES!$E$2:$E$659),"Not Found"))</f>
        <v/>
      </c>
      <c r="Q1167" s="100" t="str">
        <f>IF(N1167=0,"",SUMIFS(PRICES!$G$2:$G$658,PRICES!$B$2:$B$658,'MAIN TABLE-1 AUTOMATED'!J1167,PRICES!$C$2:$C$658,'MAIN TABLE-1 AUTOMATED'!F1167,PRICES!$D$2:$D$658,'MAIN TABLE-1 AUTOMATED'!O1167))</f>
        <v/>
      </c>
      <c r="R1167" s="41" t="str">
        <f>IF(Table1[[#This Row],[QUANTITY]]=0,"",Table1[[#This Row],[UNIT PRICE]]*Table1[[#This Row],[QUANTITY]])</f>
        <v/>
      </c>
      <c r="S1167" s="89"/>
      <c r="T1167" s="38"/>
      <c r="U1167" s="43"/>
      <c r="V1167" s="42" t="str">
        <f>IF(Table1[[#This Row],[DATE]]=0,"",YEAR(E1167))</f>
        <v/>
      </c>
      <c r="W1167" s="40" t="str">
        <f t="shared" si="36"/>
        <v/>
      </c>
      <c r="X1167" s="40" t="str">
        <f t="shared" si="37"/>
        <v/>
      </c>
      <c r="Y1167" s="40" t="str">
        <f>TEXT(Table1[[#This Row],[YEAR]],"0000")&amp;"-"&amp;Table1[[#This Row],[MONTH]]</f>
        <v>-</v>
      </c>
    </row>
    <row r="1168" spans="1:25" ht="15" customHeight="1" x14ac:dyDescent="0.35">
      <c r="A1168" s="24"/>
      <c r="B1168" s="38"/>
      <c r="C1168" s="38"/>
      <c r="D1168" s="38"/>
      <c r="E1168" s="37"/>
      <c r="F1168" s="38"/>
      <c r="G1168" s="198"/>
      <c r="H1168" s="198"/>
      <c r="I1168" s="39"/>
      <c r="J1168" s="38"/>
      <c r="K1168" s="198"/>
      <c r="L1168" s="38"/>
      <c r="M1168" s="38"/>
      <c r="N1168" s="38"/>
      <c r="O1168" s="38"/>
      <c r="P1168" s="40" t="str" cm="1">
        <f t="array" ref="P1168">IF(N1168="","",IFERROR(_xlfn.XLOOKUP(F1168&amp;"|"&amp;J1168&amp;"|"&amp;O1168,PRICES!$C$2:$C$659&amp;"|"&amp;PRICES!$B$2:$B$659&amp;"|"&amp;PRICES!$D$2:$D$659,PRICES!$E$2:$E$659),"Not Found"))</f>
        <v/>
      </c>
      <c r="Q1168" s="100" t="str">
        <f>IF(N1168=0,"",SUMIFS(PRICES!$G$2:$G$658,PRICES!$B$2:$B$658,'MAIN TABLE-1 AUTOMATED'!J1168,PRICES!$C$2:$C$658,'MAIN TABLE-1 AUTOMATED'!F1168,PRICES!$D$2:$D$658,'MAIN TABLE-1 AUTOMATED'!O1168))</f>
        <v/>
      </c>
      <c r="R1168" s="41" t="str">
        <f>IF(Table1[[#This Row],[QUANTITY]]=0,"",Table1[[#This Row],[UNIT PRICE]]*Table1[[#This Row],[QUANTITY]])</f>
        <v/>
      </c>
      <c r="S1168" s="89"/>
      <c r="T1168" s="38"/>
      <c r="U1168" s="43"/>
      <c r="V1168" s="42" t="str">
        <f>IF(Table1[[#This Row],[DATE]]=0,"",YEAR(E1168))</f>
        <v/>
      </c>
      <c r="W1168" s="40" t="str">
        <f t="shared" si="36"/>
        <v/>
      </c>
      <c r="X1168" s="40" t="str">
        <f t="shared" si="37"/>
        <v/>
      </c>
      <c r="Y1168" s="40" t="str">
        <f>TEXT(Table1[[#This Row],[YEAR]],"0000")&amp;"-"&amp;Table1[[#This Row],[MONTH]]</f>
        <v>-</v>
      </c>
    </row>
    <row r="1169" spans="1:25" ht="15" customHeight="1" x14ac:dyDescent="0.35">
      <c r="A1169" s="24"/>
      <c r="B1169" s="38"/>
      <c r="C1169" s="38"/>
      <c r="D1169" s="38"/>
      <c r="E1169" s="37"/>
      <c r="F1169" s="38"/>
      <c r="G1169" s="198"/>
      <c r="H1169" s="198"/>
      <c r="I1169" s="39"/>
      <c r="J1169" s="38"/>
      <c r="K1169" s="198"/>
      <c r="L1169" s="38"/>
      <c r="M1169" s="38"/>
      <c r="N1169" s="38"/>
      <c r="O1169" s="38"/>
      <c r="P1169" s="40" t="str" cm="1">
        <f t="array" ref="P1169">IF(N1169="","",IFERROR(_xlfn.XLOOKUP(F1169&amp;"|"&amp;J1169&amp;"|"&amp;O1169,PRICES!$C$2:$C$659&amp;"|"&amp;PRICES!$B$2:$B$659&amp;"|"&amp;PRICES!$D$2:$D$659,PRICES!$E$2:$E$659),"Not Found"))</f>
        <v/>
      </c>
      <c r="Q1169" s="100" t="str">
        <f>IF(N1169=0,"",SUMIFS(PRICES!$G$2:$G$658,PRICES!$B$2:$B$658,'MAIN TABLE-1 AUTOMATED'!J1169,PRICES!$C$2:$C$658,'MAIN TABLE-1 AUTOMATED'!F1169,PRICES!$D$2:$D$658,'MAIN TABLE-1 AUTOMATED'!O1169))</f>
        <v/>
      </c>
      <c r="R1169" s="41" t="str">
        <f>IF(Table1[[#This Row],[QUANTITY]]=0,"",Table1[[#This Row],[UNIT PRICE]]*Table1[[#This Row],[QUANTITY]])</f>
        <v/>
      </c>
      <c r="S1169" s="89"/>
      <c r="T1169" s="38"/>
      <c r="U1169" s="43"/>
      <c r="V1169" s="42" t="str">
        <f>IF(Table1[[#This Row],[DATE]]=0,"",YEAR(E1169))</f>
        <v/>
      </c>
      <c r="W1169" s="40" t="str">
        <f t="shared" si="36"/>
        <v/>
      </c>
      <c r="X1169" s="40" t="str">
        <f t="shared" si="37"/>
        <v/>
      </c>
      <c r="Y1169" s="40" t="str">
        <f>TEXT(Table1[[#This Row],[YEAR]],"0000")&amp;"-"&amp;Table1[[#This Row],[MONTH]]</f>
        <v>-</v>
      </c>
    </row>
    <row r="1170" spans="1:25" ht="15" customHeight="1" x14ac:dyDescent="0.35">
      <c r="A1170" s="24"/>
      <c r="B1170" s="36"/>
      <c r="C1170" s="38"/>
      <c r="D1170" s="38"/>
      <c r="E1170" s="37"/>
      <c r="F1170" s="38"/>
      <c r="G1170" s="198"/>
      <c r="H1170" s="198"/>
      <c r="I1170" s="39"/>
      <c r="J1170" s="38"/>
      <c r="K1170" s="198"/>
      <c r="L1170" s="38"/>
      <c r="M1170" s="38"/>
      <c r="N1170" s="38"/>
      <c r="O1170" s="38"/>
      <c r="P1170" s="40" t="str" cm="1">
        <f t="array" ref="P1170">IF(N1170="","",IFERROR(_xlfn.XLOOKUP(F1170&amp;"|"&amp;J1170&amp;"|"&amp;O1170,PRICES!$C$2:$C$659&amp;"|"&amp;PRICES!$B$2:$B$659&amp;"|"&amp;PRICES!$D$2:$D$659,PRICES!$E$2:$E$659),"Not Found"))</f>
        <v/>
      </c>
      <c r="Q1170" s="100" t="str">
        <f>IF(N1170=0,"",SUMIFS(PRICES!$G$2:$G$658,PRICES!$B$2:$B$658,'MAIN TABLE-1 AUTOMATED'!J1170,PRICES!$C$2:$C$658,'MAIN TABLE-1 AUTOMATED'!F1170,PRICES!$D$2:$D$658,'MAIN TABLE-1 AUTOMATED'!O1170))</f>
        <v/>
      </c>
      <c r="R1170" s="41" t="str">
        <f>IF(Table1[[#This Row],[QUANTITY]]=0,"",Table1[[#This Row],[UNIT PRICE]]*Table1[[#This Row],[QUANTITY]])</f>
        <v/>
      </c>
      <c r="S1170" s="89"/>
      <c r="T1170" s="38"/>
      <c r="U1170" s="43"/>
      <c r="V1170" s="42" t="str">
        <f>IF(Table1[[#This Row],[DATE]]=0,"",YEAR(E1170))</f>
        <v/>
      </c>
      <c r="W1170" s="40" t="str">
        <f t="shared" si="36"/>
        <v/>
      </c>
      <c r="X1170" s="40" t="str">
        <f t="shared" si="37"/>
        <v/>
      </c>
      <c r="Y1170" s="40" t="str">
        <f>TEXT(Table1[[#This Row],[YEAR]],"0000")&amp;"-"&amp;Table1[[#This Row],[MONTH]]</f>
        <v>-</v>
      </c>
    </row>
    <row r="1171" spans="1:25" ht="15" customHeight="1" x14ac:dyDescent="0.35">
      <c r="A1171" s="24"/>
      <c r="B1171" s="36"/>
      <c r="C1171" s="38"/>
      <c r="D1171" s="38"/>
      <c r="E1171" s="37"/>
      <c r="F1171" s="38"/>
      <c r="G1171" s="198"/>
      <c r="H1171" s="198"/>
      <c r="I1171" s="39"/>
      <c r="J1171" s="38"/>
      <c r="K1171" s="198"/>
      <c r="L1171" s="38"/>
      <c r="M1171" s="38"/>
      <c r="N1171" s="38"/>
      <c r="O1171" s="38"/>
      <c r="P1171" s="40" t="str" cm="1">
        <f t="array" ref="P1171">IF(N1171="","",IFERROR(_xlfn.XLOOKUP(F1171&amp;"|"&amp;J1171&amp;"|"&amp;O1171,PRICES!$C$2:$C$659&amp;"|"&amp;PRICES!$B$2:$B$659&amp;"|"&amp;PRICES!$D$2:$D$659,PRICES!$E$2:$E$659),"Not Found"))</f>
        <v/>
      </c>
      <c r="Q1171" s="100" t="str">
        <f>IF(N1171=0,"",SUMIFS(PRICES!$G$2:$G$658,PRICES!$B$2:$B$658,'MAIN TABLE-1 AUTOMATED'!J1171,PRICES!$C$2:$C$658,'MAIN TABLE-1 AUTOMATED'!F1171,PRICES!$D$2:$D$658,'MAIN TABLE-1 AUTOMATED'!O1171))</f>
        <v/>
      </c>
      <c r="R1171" s="41" t="str">
        <f>IF(Table1[[#This Row],[QUANTITY]]=0,"",Table1[[#This Row],[UNIT PRICE]]*Table1[[#This Row],[QUANTITY]])</f>
        <v/>
      </c>
      <c r="S1171" s="89"/>
      <c r="T1171" s="38"/>
      <c r="U1171" s="43"/>
      <c r="V1171" s="42" t="str">
        <f>IF(Table1[[#This Row],[DATE]]=0,"",YEAR(E1171))</f>
        <v/>
      </c>
      <c r="W1171" s="40" t="str">
        <f t="shared" si="36"/>
        <v/>
      </c>
      <c r="X1171" s="40" t="str">
        <f t="shared" si="37"/>
        <v/>
      </c>
      <c r="Y1171" s="40" t="str">
        <f>TEXT(Table1[[#This Row],[YEAR]],"0000")&amp;"-"&amp;Table1[[#This Row],[MONTH]]</f>
        <v>-</v>
      </c>
    </row>
    <row r="1172" spans="1:25" ht="15" customHeight="1" x14ac:dyDescent="0.35">
      <c r="A1172" s="24"/>
      <c r="B1172" s="38"/>
      <c r="C1172" s="38"/>
      <c r="D1172" s="38"/>
      <c r="E1172" s="37"/>
      <c r="F1172" s="38"/>
      <c r="G1172" s="198"/>
      <c r="H1172" s="198"/>
      <c r="I1172" s="39"/>
      <c r="J1172" s="38"/>
      <c r="K1172" s="198"/>
      <c r="L1172" s="38"/>
      <c r="M1172" s="38"/>
      <c r="N1172" s="38"/>
      <c r="O1172" s="38"/>
      <c r="P1172" s="40" t="str" cm="1">
        <f t="array" ref="P1172">IF(N1172="","",IFERROR(_xlfn.XLOOKUP(F1172&amp;"|"&amp;J1172&amp;"|"&amp;O1172,PRICES!$C$2:$C$659&amp;"|"&amp;PRICES!$B$2:$B$659&amp;"|"&amp;PRICES!$D$2:$D$659,PRICES!$E$2:$E$659),"Not Found"))</f>
        <v/>
      </c>
      <c r="Q1172" s="100" t="str">
        <f>IF(N1172=0,"",SUMIFS(PRICES!$G$2:$G$658,PRICES!$B$2:$B$658,'MAIN TABLE-1 AUTOMATED'!J1172,PRICES!$C$2:$C$658,'MAIN TABLE-1 AUTOMATED'!F1172,PRICES!$D$2:$D$658,'MAIN TABLE-1 AUTOMATED'!O1172))</f>
        <v/>
      </c>
      <c r="R1172" s="41" t="str">
        <f>IF(Table1[[#This Row],[QUANTITY]]=0,"",Table1[[#This Row],[UNIT PRICE]]*Table1[[#This Row],[QUANTITY]])</f>
        <v/>
      </c>
      <c r="S1172" s="89"/>
      <c r="T1172" s="38"/>
      <c r="U1172" s="43"/>
      <c r="V1172" s="42" t="str">
        <f>IF(Table1[[#This Row],[DATE]]=0,"",YEAR(E1172))</f>
        <v/>
      </c>
      <c r="W1172" s="40" t="str">
        <f t="shared" si="36"/>
        <v/>
      </c>
      <c r="X1172" s="40" t="str">
        <f t="shared" si="37"/>
        <v/>
      </c>
      <c r="Y1172" s="40" t="str">
        <f>TEXT(Table1[[#This Row],[YEAR]],"0000")&amp;"-"&amp;Table1[[#This Row],[MONTH]]</f>
        <v>-</v>
      </c>
    </row>
    <row r="1173" spans="1:25" ht="15" customHeight="1" x14ac:dyDescent="0.35">
      <c r="A1173" s="24"/>
      <c r="B1173" s="38"/>
      <c r="C1173" s="38"/>
      <c r="D1173" s="38"/>
      <c r="E1173" s="37"/>
      <c r="F1173" s="38"/>
      <c r="G1173" s="198"/>
      <c r="H1173" s="198"/>
      <c r="I1173" s="39"/>
      <c r="J1173" s="38"/>
      <c r="K1173" s="198"/>
      <c r="L1173" s="38"/>
      <c r="M1173" s="38"/>
      <c r="N1173" s="38"/>
      <c r="O1173" s="38"/>
      <c r="P1173" s="40" t="str" cm="1">
        <f t="array" ref="P1173">IF(N1173="","",IFERROR(_xlfn.XLOOKUP(F1173&amp;"|"&amp;J1173&amp;"|"&amp;O1173,PRICES!$C$2:$C$659&amp;"|"&amp;PRICES!$B$2:$B$659&amp;"|"&amp;PRICES!$D$2:$D$659,PRICES!$E$2:$E$659),"Not Found"))</f>
        <v/>
      </c>
      <c r="Q1173" s="100" t="str">
        <f>IF(N1173=0,"",SUMIFS(PRICES!$G$2:$G$658,PRICES!$B$2:$B$658,'MAIN TABLE-1 AUTOMATED'!J1173,PRICES!$C$2:$C$658,'MAIN TABLE-1 AUTOMATED'!F1173,PRICES!$D$2:$D$658,'MAIN TABLE-1 AUTOMATED'!O1173))</f>
        <v/>
      </c>
      <c r="R1173" s="41" t="str">
        <f>IF(Table1[[#This Row],[QUANTITY]]=0,"",Table1[[#This Row],[UNIT PRICE]]*Table1[[#This Row],[QUANTITY]])</f>
        <v/>
      </c>
      <c r="S1173" s="89"/>
      <c r="T1173" s="38"/>
      <c r="U1173" s="43"/>
      <c r="V1173" s="42" t="str">
        <f>IF(Table1[[#This Row],[DATE]]=0,"",YEAR(E1173))</f>
        <v/>
      </c>
      <c r="W1173" s="40" t="str">
        <f t="shared" si="36"/>
        <v/>
      </c>
      <c r="X1173" s="40" t="str">
        <f t="shared" si="37"/>
        <v/>
      </c>
      <c r="Y1173" s="40" t="str">
        <f>TEXT(Table1[[#This Row],[YEAR]],"0000")&amp;"-"&amp;Table1[[#This Row],[MONTH]]</f>
        <v>-</v>
      </c>
    </row>
    <row r="1174" spans="1:25" ht="15" customHeight="1" x14ac:dyDescent="0.35">
      <c r="A1174" s="24"/>
      <c r="B1174" s="38"/>
      <c r="C1174" s="38"/>
      <c r="D1174" s="38"/>
      <c r="E1174" s="37"/>
      <c r="F1174" s="38"/>
      <c r="G1174" s="198"/>
      <c r="H1174" s="198"/>
      <c r="I1174" s="39"/>
      <c r="J1174" s="38"/>
      <c r="K1174" s="198"/>
      <c r="L1174" s="38"/>
      <c r="M1174" s="38"/>
      <c r="N1174" s="38"/>
      <c r="O1174" s="38"/>
      <c r="P1174" s="40" t="str" cm="1">
        <f t="array" ref="P1174">IF(N1174="","",IFERROR(_xlfn.XLOOKUP(F1174&amp;"|"&amp;J1174&amp;"|"&amp;O1174,PRICES!$C$2:$C$659&amp;"|"&amp;PRICES!$B$2:$B$659&amp;"|"&amp;PRICES!$D$2:$D$659,PRICES!$E$2:$E$659),"Not Found"))</f>
        <v/>
      </c>
      <c r="Q1174" s="100" t="str">
        <f>IF(N1174=0,"",SUMIFS(PRICES!$G$2:$G$658,PRICES!$B$2:$B$658,'MAIN TABLE-1 AUTOMATED'!J1174,PRICES!$C$2:$C$658,'MAIN TABLE-1 AUTOMATED'!F1174,PRICES!$D$2:$D$658,'MAIN TABLE-1 AUTOMATED'!O1174))</f>
        <v/>
      </c>
      <c r="R1174" s="41" t="str">
        <f>IF(Table1[[#This Row],[QUANTITY]]=0,"",Table1[[#This Row],[UNIT PRICE]]*Table1[[#This Row],[QUANTITY]])</f>
        <v/>
      </c>
      <c r="S1174" s="89"/>
      <c r="T1174" s="38"/>
      <c r="U1174" s="43"/>
      <c r="V1174" s="42" t="str">
        <f>IF(Table1[[#This Row],[DATE]]=0,"",YEAR(E1174))</f>
        <v/>
      </c>
      <c r="W1174" s="40" t="str">
        <f t="shared" si="36"/>
        <v/>
      </c>
      <c r="X1174" s="40" t="str">
        <f t="shared" si="37"/>
        <v/>
      </c>
      <c r="Y1174" s="40" t="str">
        <f>TEXT(Table1[[#This Row],[YEAR]],"0000")&amp;"-"&amp;Table1[[#This Row],[MONTH]]</f>
        <v>-</v>
      </c>
    </row>
    <row r="1175" spans="1:25" ht="15" customHeight="1" x14ac:dyDescent="0.35">
      <c r="A1175" s="24"/>
      <c r="B1175" s="38"/>
      <c r="C1175" s="38"/>
      <c r="D1175" s="38"/>
      <c r="E1175" s="37"/>
      <c r="F1175" s="38"/>
      <c r="G1175" s="198"/>
      <c r="H1175" s="198"/>
      <c r="I1175" s="39"/>
      <c r="J1175" s="38"/>
      <c r="K1175" s="198"/>
      <c r="L1175" s="38"/>
      <c r="M1175" s="38"/>
      <c r="N1175" s="38"/>
      <c r="O1175" s="38"/>
      <c r="P1175" s="40" t="str" cm="1">
        <f t="array" ref="P1175">IF(N1175="","",IFERROR(_xlfn.XLOOKUP(F1175&amp;"|"&amp;J1175&amp;"|"&amp;O1175,PRICES!$C$2:$C$659&amp;"|"&amp;PRICES!$B$2:$B$659&amp;"|"&amp;PRICES!$D$2:$D$659,PRICES!$E$2:$E$659),"Not Found"))</f>
        <v/>
      </c>
      <c r="Q1175" s="100" t="str">
        <f>IF(N1175=0,"",SUMIFS(PRICES!$G$2:$G$658,PRICES!$B$2:$B$658,'MAIN TABLE-1 AUTOMATED'!J1175,PRICES!$C$2:$C$658,'MAIN TABLE-1 AUTOMATED'!F1175,PRICES!$D$2:$D$658,'MAIN TABLE-1 AUTOMATED'!O1175))</f>
        <v/>
      </c>
      <c r="R1175" s="41" t="str">
        <f>IF(Table1[[#This Row],[QUANTITY]]=0,"",Table1[[#This Row],[UNIT PRICE]]*Table1[[#This Row],[QUANTITY]])</f>
        <v/>
      </c>
      <c r="S1175" s="89"/>
      <c r="T1175" s="38"/>
      <c r="U1175" s="43"/>
      <c r="V1175" s="42" t="str">
        <f>IF(Table1[[#This Row],[DATE]]=0,"",YEAR(E1175))</f>
        <v/>
      </c>
      <c r="W1175" s="40" t="str">
        <f t="shared" si="36"/>
        <v/>
      </c>
      <c r="X1175" s="40" t="str">
        <f t="shared" si="37"/>
        <v/>
      </c>
      <c r="Y1175" s="40" t="str">
        <f>TEXT(Table1[[#This Row],[YEAR]],"0000")&amp;"-"&amp;Table1[[#This Row],[MONTH]]</f>
        <v>-</v>
      </c>
    </row>
    <row r="1176" spans="1:25" ht="15" customHeight="1" x14ac:dyDescent="0.35">
      <c r="A1176" s="24"/>
      <c r="B1176" s="38"/>
      <c r="C1176" s="38"/>
      <c r="D1176" s="38"/>
      <c r="E1176" s="37"/>
      <c r="F1176" s="38"/>
      <c r="G1176" s="198"/>
      <c r="H1176" s="198"/>
      <c r="I1176" s="39"/>
      <c r="J1176" s="38"/>
      <c r="K1176" s="198"/>
      <c r="L1176" s="38"/>
      <c r="M1176" s="38"/>
      <c r="N1176" s="38"/>
      <c r="O1176" s="38"/>
      <c r="P1176" s="40" t="str" cm="1">
        <f t="array" ref="P1176">IF(N1176="","",IFERROR(_xlfn.XLOOKUP(F1176&amp;"|"&amp;J1176&amp;"|"&amp;O1176,PRICES!$C$2:$C$659&amp;"|"&amp;PRICES!$B$2:$B$659&amp;"|"&amp;PRICES!$D$2:$D$659,PRICES!$E$2:$E$659),"Not Found"))</f>
        <v/>
      </c>
      <c r="Q1176" s="100" t="str">
        <f>IF(N1176=0,"",SUMIFS(PRICES!$G$2:$G$658,PRICES!$B$2:$B$658,'MAIN TABLE-1 AUTOMATED'!J1176,PRICES!$C$2:$C$658,'MAIN TABLE-1 AUTOMATED'!F1176,PRICES!$D$2:$D$658,'MAIN TABLE-1 AUTOMATED'!O1176))</f>
        <v/>
      </c>
      <c r="R1176" s="41" t="str">
        <f>IF(Table1[[#This Row],[QUANTITY]]=0,"",Table1[[#This Row],[UNIT PRICE]]*Table1[[#This Row],[QUANTITY]])</f>
        <v/>
      </c>
      <c r="S1176" s="89"/>
      <c r="T1176" s="38"/>
      <c r="U1176" s="43"/>
      <c r="V1176" s="42" t="str">
        <f>IF(Table1[[#This Row],[DATE]]=0,"",YEAR(E1176))</f>
        <v/>
      </c>
      <c r="W1176" s="40" t="str">
        <f t="shared" si="36"/>
        <v/>
      </c>
      <c r="X1176" s="40" t="str">
        <f t="shared" si="37"/>
        <v/>
      </c>
      <c r="Y1176" s="40" t="str">
        <f>TEXT(Table1[[#This Row],[YEAR]],"0000")&amp;"-"&amp;Table1[[#This Row],[MONTH]]</f>
        <v>-</v>
      </c>
    </row>
    <row r="1177" spans="1:25" ht="15" customHeight="1" x14ac:dyDescent="0.35">
      <c r="A1177" s="24"/>
      <c r="B1177" s="38"/>
      <c r="C1177" s="38"/>
      <c r="D1177" s="38"/>
      <c r="E1177" s="37"/>
      <c r="F1177" s="38"/>
      <c r="G1177" s="198"/>
      <c r="H1177" s="198"/>
      <c r="I1177" s="39"/>
      <c r="J1177" s="38"/>
      <c r="K1177" s="198"/>
      <c r="L1177" s="38"/>
      <c r="M1177" s="38"/>
      <c r="N1177" s="38"/>
      <c r="O1177" s="38"/>
      <c r="P1177" s="40" t="str" cm="1">
        <f t="array" ref="P1177">IF(N1177="","",IFERROR(_xlfn.XLOOKUP(F1177&amp;"|"&amp;J1177&amp;"|"&amp;O1177,PRICES!$C$2:$C$659&amp;"|"&amp;PRICES!$B$2:$B$659&amp;"|"&amp;PRICES!$D$2:$D$659,PRICES!$E$2:$E$659),"Not Found"))</f>
        <v/>
      </c>
      <c r="Q1177" s="100" t="str">
        <f>IF(N1177=0,"",SUMIFS(PRICES!$G$2:$G$658,PRICES!$B$2:$B$658,'MAIN TABLE-1 AUTOMATED'!J1177,PRICES!$C$2:$C$658,'MAIN TABLE-1 AUTOMATED'!F1177,PRICES!$D$2:$D$658,'MAIN TABLE-1 AUTOMATED'!O1177))</f>
        <v/>
      </c>
      <c r="R1177" s="41" t="str">
        <f>IF(Table1[[#This Row],[QUANTITY]]=0,"",Table1[[#This Row],[UNIT PRICE]]*Table1[[#This Row],[QUANTITY]])</f>
        <v/>
      </c>
      <c r="S1177" s="89"/>
      <c r="T1177" s="38"/>
      <c r="U1177" s="43"/>
      <c r="V1177" s="42" t="str">
        <f>IF(Table1[[#This Row],[DATE]]=0,"",YEAR(E1177))</f>
        <v/>
      </c>
      <c r="W1177" s="40" t="str">
        <f t="shared" si="36"/>
        <v/>
      </c>
      <c r="X1177" s="40" t="str">
        <f t="shared" si="37"/>
        <v/>
      </c>
      <c r="Y1177" s="40" t="str">
        <f>TEXT(Table1[[#This Row],[YEAR]],"0000")&amp;"-"&amp;Table1[[#This Row],[MONTH]]</f>
        <v>-</v>
      </c>
    </row>
    <row r="1178" spans="1:25" ht="15" customHeight="1" x14ac:dyDescent="0.35">
      <c r="A1178" s="24"/>
      <c r="B1178" s="38"/>
      <c r="C1178" s="38"/>
      <c r="D1178" s="38"/>
      <c r="E1178" s="37"/>
      <c r="F1178" s="38"/>
      <c r="G1178" s="198"/>
      <c r="H1178" s="198"/>
      <c r="I1178" s="39"/>
      <c r="J1178" s="38"/>
      <c r="K1178" s="198"/>
      <c r="L1178" s="38"/>
      <c r="M1178" s="38"/>
      <c r="N1178" s="38"/>
      <c r="O1178" s="38"/>
      <c r="P1178" s="40" t="str" cm="1">
        <f t="array" ref="P1178">IF(N1178="","",IFERROR(_xlfn.XLOOKUP(F1178&amp;"|"&amp;J1178&amp;"|"&amp;O1178,PRICES!$C$2:$C$659&amp;"|"&amp;PRICES!$B$2:$B$659&amp;"|"&amp;PRICES!$D$2:$D$659,PRICES!$E$2:$E$659),"Not Found"))</f>
        <v/>
      </c>
      <c r="Q1178" s="100" t="str">
        <f>IF(N1178=0,"",SUMIFS(PRICES!$G$2:$G$658,PRICES!$B$2:$B$658,'MAIN TABLE-1 AUTOMATED'!J1178,PRICES!$C$2:$C$658,'MAIN TABLE-1 AUTOMATED'!F1178,PRICES!$D$2:$D$658,'MAIN TABLE-1 AUTOMATED'!O1178))</f>
        <v/>
      </c>
      <c r="R1178" s="41" t="str">
        <f>IF(Table1[[#This Row],[QUANTITY]]=0,"",Table1[[#This Row],[UNIT PRICE]]*Table1[[#This Row],[QUANTITY]])</f>
        <v/>
      </c>
      <c r="S1178" s="89"/>
      <c r="T1178" s="38"/>
      <c r="U1178" s="43"/>
      <c r="V1178" s="42" t="str">
        <f>IF(Table1[[#This Row],[DATE]]=0,"",YEAR(E1178))</f>
        <v/>
      </c>
      <c r="W1178" s="40" t="str">
        <f t="shared" si="36"/>
        <v/>
      </c>
      <c r="X1178" s="40" t="str">
        <f t="shared" si="37"/>
        <v/>
      </c>
      <c r="Y1178" s="40" t="str">
        <f>TEXT(Table1[[#This Row],[YEAR]],"0000")&amp;"-"&amp;Table1[[#This Row],[MONTH]]</f>
        <v>-</v>
      </c>
    </row>
    <row r="1179" spans="1:25" ht="15" customHeight="1" x14ac:dyDescent="0.35">
      <c r="A1179" s="24"/>
      <c r="B1179" s="38"/>
      <c r="C1179" s="38"/>
      <c r="D1179" s="38"/>
      <c r="E1179" s="37"/>
      <c r="F1179" s="38"/>
      <c r="G1179" s="198"/>
      <c r="H1179" s="198"/>
      <c r="I1179" s="39"/>
      <c r="J1179" s="38"/>
      <c r="K1179" s="198"/>
      <c r="L1179" s="38"/>
      <c r="M1179" s="38"/>
      <c r="N1179" s="38"/>
      <c r="O1179" s="38"/>
      <c r="P1179" s="40" t="str" cm="1">
        <f t="array" ref="P1179">IF(N1179="","",IFERROR(_xlfn.XLOOKUP(F1179&amp;"|"&amp;J1179&amp;"|"&amp;O1179,PRICES!$C$2:$C$659&amp;"|"&amp;PRICES!$B$2:$B$659&amp;"|"&amp;PRICES!$D$2:$D$659,PRICES!$E$2:$E$659),"Not Found"))</f>
        <v/>
      </c>
      <c r="Q1179" s="100" t="str">
        <f>IF(N1179=0,"",SUMIFS(PRICES!$G$2:$G$658,PRICES!$B$2:$B$658,'MAIN TABLE-1 AUTOMATED'!J1179,PRICES!$C$2:$C$658,'MAIN TABLE-1 AUTOMATED'!F1179,PRICES!$D$2:$D$658,'MAIN TABLE-1 AUTOMATED'!O1179))</f>
        <v/>
      </c>
      <c r="R1179" s="41" t="str">
        <f>IF(Table1[[#This Row],[QUANTITY]]=0,"",Table1[[#This Row],[UNIT PRICE]]*Table1[[#This Row],[QUANTITY]])</f>
        <v/>
      </c>
      <c r="S1179" s="89"/>
      <c r="T1179" s="38"/>
      <c r="U1179" s="43"/>
      <c r="V1179" s="42" t="str">
        <f>IF(Table1[[#This Row],[DATE]]=0,"",YEAR(E1179))</f>
        <v/>
      </c>
      <c r="W1179" s="40" t="str">
        <f t="shared" si="36"/>
        <v/>
      </c>
      <c r="X1179" s="40" t="str">
        <f t="shared" si="37"/>
        <v/>
      </c>
      <c r="Y1179" s="40" t="str">
        <f>TEXT(Table1[[#This Row],[YEAR]],"0000")&amp;"-"&amp;Table1[[#This Row],[MONTH]]</f>
        <v>-</v>
      </c>
    </row>
    <row r="1180" spans="1:25" ht="15" customHeight="1" x14ac:dyDescent="0.35">
      <c r="A1180" s="24"/>
      <c r="B1180" s="38"/>
      <c r="C1180" s="38"/>
      <c r="D1180" s="38"/>
      <c r="E1180" s="37"/>
      <c r="F1180" s="38"/>
      <c r="G1180" s="198"/>
      <c r="H1180" s="198"/>
      <c r="I1180" s="39"/>
      <c r="J1180" s="38"/>
      <c r="K1180" s="198"/>
      <c r="L1180" s="38"/>
      <c r="M1180" s="38"/>
      <c r="N1180" s="38"/>
      <c r="O1180" s="38"/>
      <c r="P1180" s="40" t="str" cm="1">
        <f t="array" ref="P1180">IF(N1180="","",IFERROR(_xlfn.XLOOKUP(F1180&amp;"|"&amp;J1180&amp;"|"&amp;O1180,PRICES!$C$2:$C$659&amp;"|"&amp;PRICES!$B$2:$B$659&amp;"|"&amp;PRICES!$D$2:$D$659,PRICES!$E$2:$E$659),"Not Found"))</f>
        <v/>
      </c>
      <c r="Q1180" s="100" t="str">
        <f>IF(N1180=0,"",SUMIFS(PRICES!$G$2:$G$658,PRICES!$B$2:$B$658,'MAIN TABLE-1 AUTOMATED'!J1180,PRICES!$C$2:$C$658,'MAIN TABLE-1 AUTOMATED'!F1180,PRICES!$D$2:$D$658,'MAIN TABLE-1 AUTOMATED'!O1180))</f>
        <v/>
      </c>
      <c r="R1180" s="41" t="str">
        <f>IF(Table1[[#This Row],[QUANTITY]]=0,"",Table1[[#This Row],[UNIT PRICE]]*Table1[[#This Row],[QUANTITY]])</f>
        <v/>
      </c>
      <c r="S1180" s="89"/>
      <c r="T1180" s="38"/>
      <c r="U1180" s="43"/>
      <c r="V1180" s="42" t="str">
        <f>IF(Table1[[#This Row],[DATE]]=0,"",YEAR(E1180))</f>
        <v/>
      </c>
      <c r="W1180" s="40" t="str">
        <f t="shared" si="36"/>
        <v/>
      </c>
      <c r="X1180" s="40" t="str">
        <f t="shared" si="37"/>
        <v/>
      </c>
      <c r="Y1180" s="40" t="str">
        <f>TEXT(Table1[[#This Row],[YEAR]],"0000")&amp;"-"&amp;Table1[[#This Row],[MONTH]]</f>
        <v>-</v>
      </c>
    </row>
    <row r="1181" spans="1:25" ht="15" customHeight="1" x14ac:dyDescent="0.35">
      <c r="A1181" s="24"/>
      <c r="B1181" s="38"/>
      <c r="C1181" s="38"/>
      <c r="D1181" s="38"/>
      <c r="E1181" s="37"/>
      <c r="F1181" s="38"/>
      <c r="G1181" s="198"/>
      <c r="H1181" s="198"/>
      <c r="I1181" s="39"/>
      <c r="J1181" s="38"/>
      <c r="K1181" s="198"/>
      <c r="L1181" s="38"/>
      <c r="M1181" s="38"/>
      <c r="N1181" s="38"/>
      <c r="O1181" s="38"/>
      <c r="P1181" s="40" t="str" cm="1">
        <f t="array" ref="P1181">IF(N1181="","",IFERROR(_xlfn.XLOOKUP(F1181&amp;"|"&amp;J1181&amp;"|"&amp;O1181,PRICES!$C$2:$C$659&amp;"|"&amp;PRICES!$B$2:$B$659&amp;"|"&amp;PRICES!$D$2:$D$659,PRICES!$E$2:$E$659),"Not Found"))</f>
        <v/>
      </c>
      <c r="Q1181" s="100" t="str">
        <f>IF(N1181=0,"",SUMIFS(PRICES!$G$2:$G$658,PRICES!$B$2:$B$658,'MAIN TABLE-1 AUTOMATED'!J1181,PRICES!$C$2:$C$658,'MAIN TABLE-1 AUTOMATED'!F1181,PRICES!$D$2:$D$658,'MAIN TABLE-1 AUTOMATED'!O1181))</f>
        <v/>
      </c>
      <c r="R1181" s="41" t="str">
        <f>IF(Table1[[#This Row],[QUANTITY]]=0,"",Table1[[#This Row],[UNIT PRICE]]*Table1[[#This Row],[QUANTITY]])</f>
        <v/>
      </c>
      <c r="S1181" s="89"/>
      <c r="T1181" s="38"/>
      <c r="U1181" s="43"/>
      <c r="V1181" s="42" t="str">
        <f>IF(Table1[[#This Row],[DATE]]=0,"",YEAR(E1181))</f>
        <v/>
      </c>
      <c r="W1181" s="40" t="str">
        <f t="shared" si="36"/>
        <v/>
      </c>
      <c r="X1181" s="40" t="str">
        <f t="shared" si="37"/>
        <v/>
      </c>
      <c r="Y1181" s="40" t="str">
        <f>TEXT(Table1[[#This Row],[YEAR]],"0000")&amp;"-"&amp;Table1[[#This Row],[MONTH]]</f>
        <v>-</v>
      </c>
    </row>
    <row r="1182" spans="1:25" ht="15" customHeight="1" x14ac:dyDescent="0.35">
      <c r="A1182" s="24"/>
      <c r="B1182" s="38"/>
      <c r="C1182" s="38"/>
      <c r="D1182" s="38"/>
      <c r="E1182" s="37"/>
      <c r="F1182" s="38"/>
      <c r="G1182" s="198"/>
      <c r="H1182" s="198"/>
      <c r="I1182" s="39"/>
      <c r="J1182" s="38"/>
      <c r="K1182" s="198"/>
      <c r="L1182" s="38"/>
      <c r="M1182" s="38"/>
      <c r="N1182" s="38"/>
      <c r="O1182" s="38"/>
      <c r="P1182" s="40" t="str" cm="1">
        <f t="array" ref="P1182">IF(N1182="","",IFERROR(_xlfn.XLOOKUP(F1182&amp;"|"&amp;J1182&amp;"|"&amp;O1182,PRICES!$C$2:$C$659&amp;"|"&amp;PRICES!$B$2:$B$659&amp;"|"&amp;PRICES!$D$2:$D$659,PRICES!$E$2:$E$659),"Not Found"))</f>
        <v/>
      </c>
      <c r="Q1182" s="100" t="str">
        <f>IF(N1182=0,"",SUMIFS(PRICES!$G$2:$G$658,PRICES!$B$2:$B$658,'MAIN TABLE-1 AUTOMATED'!J1182,PRICES!$C$2:$C$658,'MAIN TABLE-1 AUTOMATED'!F1182,PRICES!$D$2:$D$658,'MAIN TABLE-1 AUTOMATED'!O1182))</f>
        <v/>
      </c>
      <c r="R1182" s="41" t="str">
        <f>IF(Table1[[#This Row],[QUANTITY]]=0,"",Table1[[#This Row],[UNIT PRICE]]*Table1[[#This Row],[QUANTITY]])</f>
        <v/>
      </c>
      <c r="S1182" s="89"/>
      <c r="T1182" s="38"/>
      <c r="U1182" s="43"/>
      <c r="V1182" s="42" t="str">
        <f>IF(Table1[[#This Row],[DATE]]=0,"",YEAR(E1182))</f>
        <v/>
      </c>
      <c r="W1182" s="40" t="str">
        <f t="shared" si="36"/>
        <v/>
      </c>
      <c r="X1182" s="40" t="str">
        <f t="shared" si="37"/>
        <v/>
      </c>
      <c r="Y1182" s="40" t="str">
        <f>TEXT(Table1[[#This Row],[YEAR]],"0000")&amp;"-"&amp;Table1[[#This Row],[MONTH]]</f>
        <v>-</v>
      </c>
    </row>
    <row r="1183" spans="1:25" ht="15" customHeight="1" x14ac:dyDescent="0.35">
      <c r="A1183" s="24"/>
      <c r="B1183" s="38"/>
      <c r="C1183" s="38"/>
      <c r="D1183" s="38"/>
      <c r="E1183" s="37"/>
      <c r="F1183" s="38"/>
      <c r="G1183" s="198"/>
      <c r="H1183" s="198"/>
      <c r="I1183" s="39"/>
      <c r="J1183" s="38"/>
      <c r="K1183" s="198"/>
      <c r="L1183" s="38"/>
      <c r="M1183" s="38"/>
      <c r="N1183" s="38"/>
      <c r="O1183" s="38"/>
      <c r="P1183" s="40" t="str" cm="1">
        <f t="array" ref="P1183">IF(N1183="","",IFERROR(_xlfn.XLOOKUP(F1183&amp;"|"&amp;J1183&amp;"|"&amp;O1183,PRICES!$C$2:$C$659&amp;"|"&amp;PRICES!$B$2:$B$659&amp;"|"&amp;PRICES!$D$2:$D$659,PRICES!$E$2:$E$659),"Not Found"))</f>
        <v/>
      </c>
      <c r="Q1183" s="100" t="str">
        <f>IF(N1183=0,"",SUMIFS(PRICES!$G$2:$G$658,PRICES!$B$2:$B$658,'MAIN TABLE-1 AUTOMATED'!J1183,PRICES!$C$2:$C$658,'MAIN TABLE-1 AUTOMATED'!F1183,PRICES!$D$2:$D$658,'MAIN TABLE-1 AUTOMATED'!O1183))</f>
        <v/>
      </c>
      <c r="R1183" s="41" t="str">
        <f>IF(Table1[[#This Row],[QUANTITY]]=0,"",Table1[[#This Row],[UNIT PRICE]]*Table1[[#This Row],[QUANTITY]])</f>
        <v/>
      </c>
      <c r="S1183" s="89"/>
      <c r="T1183" s="38"/>
      <c r="U1183" s="43"/>
      <c r="V1183" s="42" t="str">
        <f>IF(Table1[[#This Row],[DATE]]=0,"",YEAR(E1183))</f>
        <v/>
      </c>
      <c r="W1183" s="40" t="str">
        <f t="shared" ref="W1183:W1246" si="38">IF(E1183=0,"",MONTH(E1183))</f>
        <v/>
      </c>
      <c r="X1183" s="40" t="str">
        <f t="shared" ref="X1183:X1246" si="39">IF(E1183=0,"",WEEKNUM(E1183))</f>
        <v/>
      </c>
      <c r="Y1183" s="40" t="str">
        <f>TEXT(Table1[[#This Row],[YEAR]],"0000")&amp;"-"&amp;Table1[[#This Row],[MONTH]]</f>
        <v>-</v>
      </c>
    </row>
    <row r="1184" spans="1:25" ht="15" customHeight="1" x14ac:dyDescent="0.35">
      <c r="A1184" s="24"/>
      <c r="B1184" s="38"/>
      <c r="C1184" s="38"/>
      <c r="D1184" s="38"/>
      <c r="E1184" s="37"/>
      <c r="F1184" s="38"/>
      <c r="G1184" s="198"/>
      <c r="H1184" s="198"/>
      <c r="I1184" s="39"/>
      <c r="J1184" s="38"/>
      <c r="K1184" s="198"/>
      <c r="L1184" s="38"/>
      <c r="M1184" s="38"/>
      <c r="N1184" s="38"/>
      <c r="O1184" s="38"/>
      <c r="P1184" s="40" t="str" cm="1">
        <f t="array" ref="P1184">IF(N1184="","",IFERROR(_xlfn.XLOOKUP(F1184&amp;"|"&amp;J1184&amp;"|"&amp;O1184,PRICES!$C$2:$C$659&amp;"|"&amp;PRICES!$B$2:$B$659&amp;"|"&amp;PRICES!$D$2:$D$659,PRICES!$E$2:$E$659),"Not Found"))</f>
        <v/>
      </c>
      <c r="Q1184" s="100" t="str">
        <f>IF(N1184=0,"",SUMIFS(PRICES!$G$2:$G$658,PRICES!$B$2:$B$658,'MAIN TABLE-1 AUTOMATED'!J1184,PRICES!$C$2:$C$658,'MAIN TABLE-1 AUTOMATED'!F1184,PRICES!$D$2:$D$658,'MAIN TABLE-1 AUTOMATED'!O1184))</f>
        <v/>
      </c>
      <c r="R1184" s="41" t="str">
        <f>IF(Table1[[#This Row],[QUANTITY]]=0,"",Table1[[#This Row],[UNIT PRICE]]*Table1[[#This Row],[QUANTITY]])</f>
        <v/>
      </c>
      <c r="S1184" s="89"/>
      <c r="T1184" s="38"/>
      <c r="U1184" s="43"/>
      <c r="V1184" s="42" t="str">
        <f>IF(Table1[[#This Row],[DATE]]=0,"",YEAR(E1184))</f>
        <v/>
      </c>
      <c r="W1184" s="40" t="str">
        <f t="shared" si="38"/>
        <v/>
      </c>
      <c r="X1184" s="40" t="str">
        <f t="shared" si="39"/>
        <v/>
      </c>
      <c r="Y1184" s="40" t="str">
        <f>TEXT(Table1[[#This Row],[YEAR]],"0000")&amp;"-"&amp;Table1[[#This Row],[MONTH]]</f>
        <v>-</v>
      </c>
    </row>
    <row r="1185" spans="1:25" ht="15" customHeight="1" x14ac:dyDescent="0.35">
      <c r="A1185" s="24"/>
      <c r="B1185" s="38"/>
      <c r="C1185" s="38"/>
      <c r="D1185" s="38"/>
      <c r="E1185" s="37"/>
      <c r="F1185" s="38"/>
      <c r="G1185" s="198"/>
      <c r="H1185" s="198"/>
      <c r="I1185" s="39"/>
      <c r="J1185" s="38"/>
      <c r="K1185" s="198"/>
      <c r="L1185" s="38"/>
      <c r="M1185" s="38"/>
      <c r="N1185" s="38"/>
      <c r="O1185" s="38"/>
      <c r="P1185" s="40" t="str" cm="1">
        <f t="array" ref="P1185">IF(N1185="","",IFERROR(_xlfn.XLOOKUP(F1185&amp;"|"&amp;J1185&amp;"|"&amp;O1185,PRICES!$C$2:$C$659&amp;"|"&amp;PRICES!$B$2:$B$659&amp;"|"&amp;PRICES!$D$2:$D$659,PRICES!$E$2:$E$659),"Not Found"))</f>
        <v/>
      </c>
      <c r="Q1185" s="100" t="str">
        <f>IF(N1185=0,"",SUMIFS(PRICES!$G$2:$G$658,PRICES!$B$2:$B$658,'MAIN TABLE-1 AUTOMATED'!J1185,PRICES!$C$2:$C$658,'MAIN TABLE-1 AUTOMATED'!F1185,PRICES!$D$2:$D$658,'MAIN TABLE-1 AUTOMATED'!O1185))</f>
        <v/>
      </c>
      <c r="R1185" s="41" t="str">
        <f>IF(Table1[[#This Row],[QUANTITY]]=0,"",Table1[[#This Row],[UNIT PRICE]]*Table1[[#This Row],[QUANTITY]])</f>
        <v/>
      </c>
      <c r="S1185" s="89"/>
      <c r="T1185" s="38"/>
      <c r="U1185" s="43"/>
      <c r="V1185" s="42" t="str">
        <f>IF(Table1[[#This Row],[DATE]]=0,"",YEAR(E1185))</f>
        <v/>
      </c>
      <c r="W1185" s="40" t="str">
        <f t="shared" si="38"/>
        <v/>
      </c>
      <c r="X1185" s="40" t="str">
        <f t="shared" si="39"/>
        <v/>
      </c>
      <c r="Y1185" s="40" t="str">
        <f>TEXT(Table1[[#This Row],[YEAR]],"0000")&amp;"-"&amp;Table1[[#This Row],[MONTH]]</f>
        <v>-</v>
      </c>
    </row>
    <row r="1186" spans="1:25" ht="15" customHeight="1" x14ac:dyDescent="0.35">
      <c r="A1186" s="24"/>
      <c r="B1186" s="36"/>
      <c r="C1186" s="38"/>
      <c r="D1186" s="38"/>
      <c r="E1186" s="37"/>
      <c r="F1186" s="38"/>
      <c r="G1186" s="198"/>
      <c r="H1186" s="198"/>
      <c r="I1186" s="39"/>
      <c r="J1186" s="38"/>
      <c r="K1186" s="198"/>
      <c r="L1186" s="38"/>
      <c r="M1186" s="38"/>
      <c r="N1186" s="38"/>
      <c r="O1186" s="38"/>
      <c r="P1186" s="40" t="str" cm="1">
        <f t="array" ref="P1186">IF(N1186="","",IFERROR(_xlfn.XLOOKUP(F1186&amp;"|"&amp;J1186&amp;"|"&amp;O1186,PRICES!$C$2:$C$659&amp;"|"&amp;PRICES!$B$2:$B$659&amp;"|"&amp;PRICES!$D$2:$D$659,PRICES!$E$2:$E$659),"Not Found"))</f>
        <v/>
      </c>
      <c r="Q1186" s="100" t="str">
        <f>IF(N1186=0,"",SUMIFS(PRICES!$G$2:$G$658,PRICES!$B$2:$B$658,'MAIN TABLE-1 AUTOMATED'!J1186,PRICES!$C$2:$C$658,'MAIN TABLE-1 AUTOMATED'!F1186,PRICES!$D$2:$D$658,'MAIN TABLE-1 AUTOMATED'!O1186))</f>
        <v/>
      </c>
      <c r="R1186" s="41" t="str">
        <f>IF(Table1[[#This Row],[QUANTITY]]=0,"",Table1[[#This Row],[UNIT PRICE]]*Table1[[#This Row],[QUANTITY]])</f>
        <v/>
      </c>
      <c r="S1186" s="89"/>
      <c r="T1186" s="38"/>
      <c r="U1186" s="43"/>
      <c r="V1186" s="42" t="str">
        <f>IF(Table1[[#This Row],[DATE]]=0,"",YEAR(E1186))</f>
        <v/>
      </c>
      <c r="W1186" s="40" t="str">
        <f t="shared" si="38"/>
        <v/>
      </c>
      <c r="X1186" s="40" t="str">
        <f t="shared" si="39"/>
        <v/>
      </c>
      <c r="Y1186" s="40" t="str">
        <f>TEXT(Table1[[#This Row],[YEAR]],"0000")&amp;"-"&amp;Table1[[#This Row],[MONTH]]</f>
        <v>-</v>
      </c>
    </row>
    <row r="1187" spans="1:25" ht="15" customHeight="1" x14ac:dyDescent="0.35">
      <c r="A1187" s="24"/>
      <c r="B1187" s="36"/>
      <c r="C1187" s="38"/>
      <c r="D1187" s="38"/>
      <c r="E1187" s="37"/>
      <c r="F1187" s="38"/>
      <c r="G1187" s="198"/>
      <c r="H1187" s="198"/>
      <c r="I1187" s="39"/>
      <c r="J1187" s="38"/>
      <c r="K1187" s="198"/>
      <c r="L1187" s="38"/>
      <c r="M1187" s="38"/>
      <c r="N1187" s="38"/>
      <c r="O1187" s="38"/>
      <c r="P1187" s="40" t="str" cm="1">
        <f t="array" ref="P1187">IF(N1187="","",IFERROR(_xlfn.XLOOKUP(F1187&amp;"|"&amp;J1187&amp;"|"&amp;O1187,PRICES!$C$2:$C$659&amp;"|"&amp;PRICES!$B$2:$B$659&amp;"|"&amp;PRICES!$D$2:$D$659,PRICES!$E$2:$E$659),"Not Found"))</f>
        <v/>
      </c>
      <c r="Q1187" s="100" t="str">
        <f>IF(N1187=0,"",SUMIFS(PRICES!$G$2:$G$658,PRICES!$B$2:$B$658,'MAIN TABLE-1 AUTOMATED'!J1187,PRICES!$C$2:$C$658,'MAIN TABLE-1 AUTOMATED'!F1187,PRICES!$D$2:$D$658,'MAIN TABLE-1 AUTOMATED'!O1187))</f>
        <v/>
      </c>
      <c r="R1187" s="41" t="str">
        <f>IF(Table1[[#This Row],[QUANTITY]]=0,"",Table1[[#This Row],[UNIT PRICE]]*Table1[[#This Row],[QUANTITY]])</f>
        <v/>
      </c>
      <c r="S1187" s="89"/>
      <c r="T1187" s="38"/>
      <c r="U1187" s="43"/>
      <c r="V1187" s="42" t="str">
        <f>IF(Table1[[#This Row],[DATE]]=0,"",YEAR(E1187))</f>
        <v/>
      </c>
      <c r="W1187" s="40" t="str">
        <f t="shared" si="38"/>
        <v/>
      </c>
      <c r="X1187" s="40" t="str">
        <f t="shared" si="39"/>
        <v/>
      </c>
      <c r="Y1187" s="40" t="str">
        <f>TEXT(Table1[[#This Row],[YEAR]],"0000")&amp;"-"&amp;Table1[[#This Row],[MONTH]]</f>
        <v>-</v>
      </c>
    </row>
    <row r="1188" spans="1:25" ht="15" customHeight="1" x14ac:dyDescent="0.35">
      <c r="A1188" s="24"/>
      <c r="B1188" s="36"/>
      <c r="C1188" s="38"/>
      <c r="D1188" s="38"/>
      <c r="E1188" s="37"/>
      <c r="F1188" s="38"/>
      <c r="G1188" s="198"/>
      <c r="H1188" s="198"/>
      <c r="I1188" s="39"/>
      <c r="J1188" s="38"/>
      <c r="K1188" s="198"/>
      <c r="L1188" s="38"/>
      <c r="M1188" s="38"/>
      <c r="N1188" s="38"/>
      <c r="O1188" s="38"/>
      <c r="P1188" s="40" t="str" cm="1">
        <f t="array" ref="P1188">IF(N1188="","",IFERROR(_xlfn.XLOOKUP(F1188&amp;"|"&amp;J1188&amp;"|"&amp;O1188,PRICES!$C$2:$C$659&amp;"|"&amp;PRICES!$B$2:$B$659&amp;"|"&amp;PRICES!$D$2:$D$659,PRICES!$E$2:$E$659),"Not Found"))</f>
        <v/>
      </c>
      <c r="Q1188" s="100" t="str">
        <f>IF(N1188=0,"",SUMIFS(PRICES!$G$2:$G$658,PRICES!$B$2:$B$658,'MAIN TABLE-1 AUTOMATED'!J1188,PRICES!$C$2:$C$658,'MAIN TABLE-1 AUTOMATED'!F1188,PRICES!$D$2:$D$658,'MAIN TABLE-1 AUTOMATED'!O1188))</f>
        <v/>
      </c>
      <c r="R1188" s="41" t="str">
        <f>IF(Table1[[#This Row],[QUANTITY]]=0,"",Table1[[#This Row],[UNIT PRICE]]*Table1[[#This Row],[QUANTITY]])</f>
        <v/>
      </c>
      <c r="S1188" s="89"/>
      <c r="T1188" s="38"/>
      <c r="U1188" s="43"/>
      <c r="V1188" s="42" t="str">
        <f>IF(Table1[[#This Row],[DATE]]=0,"",YEAR(E1188))</f>
        <v/>
      </c>
      <c r="W1188" s="40" t="str">
        <f t="shared" si="38"/>
        <v/>
      </c>
      <c r="X1188" s="40" t="str">
        <f t="shared" si="39"/>
        <v/>
      </c>
      <c r="Y1188" s="40" t="str">
        <f>TEXT(Table1[[#This Row],[YEAR]],"0000")&amp;"-"&amp;Table1[[#This Row],[MONTH]]</f>
        <v>-</v>
      </c>
    </row>
    <row r="1189" spans="1:25" ht="15" customHeight="1" x14ac:dyDescent="0.35">
      <c r="A1189" s="24"/>
      <c r="B1189" s="36"/>
      <c r="C1189" s="38"/>
      <c r="D1189" s="38"/>
      <c r="E1189" s="37"/>
      <c r="F1189" s="38"/>
      <c r="G1189" s="198"/>
      <c r="H1189" s="198"/>
      <c r="I1189" s="39"/>
      <c r="J1189" s="38"/>
      <c r="K1189" s="198"/>
      <c r="L1189" s="38"/>
      <c r="M1189" s="38"/>
      <c r="N1189" s="38"/>
      <c r="O1189" s="38"/>
      <c r="P1189" s="40" t="str" cm="1">
        <f t="array" ref="P1189">IF(N1189="","",IFERROR(_xlfn.XLOOKUP(F1189&amp;"|"&amp;J1189&amp;"|"&amp;O1189,PRICES!$C$2:$C$659&amp;"|"&amp;PRICES!$B$2:$B$659&amp;"|"&amp;PRICES!$D$2:$D$659,PRICES!$E$2:$E$659),"Not Found"))</f>
        <v/>
      </c>
      <c r="Q1189" s="100" t="str">
        <f>IF(N1189=0,"",SUMIFS(PRICES!$G$2:$G$658,PRICES!$B$2:$B$658,'MAIN TABLE-1 AUTOMATED'!J1189,PRICES!$C$2:$C$658,'MAIN TABLE-1 AUTOMATED'!F1189,PRICES!$D$2:$D$658,'MAIN TABLE-1 AUTOMATED'!O1189))</f>
        <v/>
      </c>
      <c r="R1189" s="41" t="str">
        <f>IF(Table1[[#This Row],[QUANTITY]]=0,"",Table1[[#This Row],[UNIT PRICE]]*Table1[[#This Row],[QUANTITY]])</f>
        <v/>
      </c>
      <c r="S1189" s="89"/>
      <c r="T1189" s="38"/>
      <c r="U1189" s="43"/>
      <c r="V1189" s="42" t="str">
        <f>IF(Table1[[#This Row],[DATE]]=0,"",YEAR(E1189))</f>
        <v/>
      </c>
      <c r="W1189" s="40" t="str">
        <f t="shared" si="38"/>
        <v/>
      </c>
      <c r="X1189" s="40" t="str">
        <f t="shared" si="39"/>
        <v/>
      </c>
      <c r="Y1189" s="40" t="str">
        <f>TEXT(Table1[[#This Row],[YEAR]],"0000")&amp;"-"&amp;Table1[[#This Row],[MONTH]]</f>
        <v>-</v>
      </c>
    </row>
    <row r="1190" spans="1:25" ht="15" customHeight="1" x14ac:dyDescent="0.35">
      <c r="A1190" s="24"/>
      <c r="B1190" s="36"/>
      <c r="C1190" s="38"/>
      <c r="D1190" s="38"/>
      <c r="E1190" s="37"/>
      <c r="F1190" s="38"/>
      <c r="G1190" s="198"/>
      <c r="H1190" s="198"/>
      <c r="I1190" s="39"/>
      <c r="J1190" s="38"/>
      <c r="K1190" s="198"/>
      <c r="L1190" s="38"/>
      <c r="M1190" s="38"/>
      <c r="N1190" s="38"/>
      <c r="O1190" s="38"/>
      <c r="P1190" s="40" t="str" cm="1">
        <f t="array" ref="P1190">IF(N1190="","",IFERROR(_xlfn.XLOOKUP(F1190&amp;"|"&amp;J1190&amp;"|"&amp;O1190,PRICES!$C$2:$C$659&amp;"|"&amp;PRICES!$B$2:$B$659&amp;"|"&amp;PRICES!$D$2:$D$659,PRICES!$E$2:$E$659),"Not Found"))</f>
        <v/>
      </c>
      <c r="Q1190" s="100" t="str">
        <f>IF(N1190=0,"",SUMIFS(PRICES!$G$2:$G$658,PRICES!$B$2:$B$658,'MAIN TABLE-1 AUTOMATED'!J1190,PRICES!$C$2:$C$658,'MAIN TABLE-1 AUTOMATED'!F1190,PRICES!$D$2:$D$658,'MAIN TABLE-1 AUTOMATED'!O1190))</f>
        <v/>
      </c>
      <c r="R1190" s="41" t="str">
        <f>IF(Table1[[#This Row],[QUANTITY]]=0,"",Table1[[#This Row],[UNIT PRICE]]*Table1[[#This Row],[QUANTITY]])</f>
        <v/>
      </c>
      <c r="S1190" s="89"/>
      <c r="T1190" s="38"/>
      <c r="U1190" s="43"/>
      <c r="V1190" s="42" t="str">
        <f>IF(Table1[[#This Row],[DATE]]=0,"",YEAR(E1190))</f>
        <v/>
      </c>
      <c r="W1190" s="40" t="str">
        <f t="shared" si="38"/>
        <v/>
      </c>
      <c r="X1190" s="40" t="str">
        <f t="shared" si="39"/>
        <v/>
      </c>
      <c r="Y1190" s="40" t="str">
        <f>TEXT(Table1[[#This Row],[YEAR]],"0000")&amp;"-"&amp;Table1[[#This Row],[MONTH]]</f>
        <v>-</v>
      </c>
    </row>
    <row r="1191" spans="1:25" ht="15" customHeight="1" x14ac:dyDescent="0.35">
      <c r="A1191" s="24"/>
      <c r="B1191" s="36"/>
      <c r="C1191" s="38"/>
      <c r="D1191" s="38"/>
      <c r="E1191" s="37"/>
      <c r="F1191" s="38"/>
      <c r="G1191" s="198"/>
      <c r="H1191" s="198"/>
      <c r="I1191" s="39"/>
      <c r="J1191" s="38"/>
      <c r="K1191" s="198"/>
      <c r="L1191" s="38"/>
      <c r="M1191" s="38"/>
      <c r="N1191" s="38"/>
      <c r="O1191" s="38"/>
      <c r="P1191" s="40" t="str" cm="1">
        <f t="array" ref="P1191">IF(N1191="","",IFERROR(_xlfn.XLOOKUP(F1191&amp;"|"&amp;J1191&amp;"|"&amp;O1191,PRICES!$C$2:$C$659&amp;"|"&amp;PRICES!$B$2:$B$659&amp;"|"&amp;PRICES!$D$2:$D$659,PRICES!$E$2:$E$659),"Not Found"))</f>
        <v/>
      </c>
      <c r="Q1191" s="100" t="str">
        <f>IF(N1191=0,"",SUMIFS(PRICES!$G$2:$G$658,PRICES!$B$2:$B$658,'MAIN TABLE-1 AUTOMATED'!J1191,PRICES!$C$2:$C$658,'MAIN TABLE-1 AUTOMATED'!F1191,PRICES!$D$2:$D$658,'MAIN TABLE-1 AUTOMATED'!O1191))</f>
        <v/>
      </c>
      <c r="R1191" s="41" t="str">
        <f>IF(Table1[[#This Row],[QUANTITY]]=0,"",Table1[[#This Row],[UNIT PRICE]]*Table1[[#This Row],[QUANTITY]])</f>
        <v/>
      </c>
      <c r="S1191" s="89"/>
      <c r="T1191" s="38"/>
      <c r="U1191" s="43"/>
      <c r="V1191" s="42" t="str">
        <f>IF(Table1[[#This Row],[DATE]]=0,"",YEAR(E1191))</f>
        <v/>
      </c>
      <c r="W1191" s="40" t="str">
        <f t="shared" si="38"/>
        <v/>
      </c>
      <c r="X1191" s="40" t="str">
        <f t="shared" si="39"/>
        <v/>
      </c>
      <c r="Y1191" s="40" t="str">
        <f>TEXT(Table1[[#This Row],[YEAR]],"0000")&amp;"-"&amp;Table1[[#This Row],[MONTH]]</f>
        <v>-</v>
      </c>
    </row>
    <row r="1192" spans="1:25" ht="15" customHeight="1" x14ac:dyDescent="0.35">
      <c r="A1192" s="24"/>
      <c r="B1192" s="36"/>
      <c r="C1192" s="38"/>
      <c r="D1192" s="38"/>
      <c r="E1192" s="37"/>
      <c r="F1192" s="38"/>
      <c r="G1192" s="198"/>
      <c r="H1192" s="198"/>
      <c r="I1192" s="39"/>
      <c r="J1192" s="38"/>
      <c r="K1192" s="198"/>
      <c r="L1192" s="38"/>
      <c r="M1192" s="38"/>
      <c r="N1192" s="38"/>
      <c r="O1192" s="38"/>
      <c r="P1192" s="40" t="str" cm="1">
        <f t="array" ref="P1192">IF(N1192="","",IFERROR(_xlfn.XLOOKUP(F1192&amp;"|"&amp;J1192&amp;"|"&amp;O1192,PRICES!$C$2:$C$659&amp;"|"&amp;PRICES!$B$2:$B$659&amp;"|"&amp;PRICES!$D$2:$D$659,PRICES!$E$2:$E$659),"Not Found"))</f>
        <v/>
      </c>
      <c r="Q1192" s="100" t="str">
        <f>IF(N1192=0,"",SUMIFS(PRICES!$G$2:$G$658,PRICES!$B$2:$B$658,'MAIN TABLE-1 AUTOMATED'!J1192,PRICES!$C$2:$C$658,'MAIN TABLE-1 AUTOMATED'!F1192,PRICES!$D$2:$D$658,'MAIN TABLE-1 AUTOMATED'!O1192))</f>
        <v/>
      </c>
      <c r="R1192" s="41" t="str">
        <f>IF(Table1[[#This Row],[QUANTITY]]=0,"",Table1[[#This Row],[UNIT PRICE]]*Table1[[#This Row],[QUANTITY]])</f>
        <v/>
      </c>
      <c r="S1192" s="89"/>
      <c r="T1192" s="38"/>
      <c r="U1192" s="43"/>
      <c r="V1192" s="42" t="str">
        <f>IF(Table1[[#This Row],[DATE]]=0,"",YEAR(E1192))</f>
        <v/>
      </c>
      <c r="W1192" s="40" t="str">
        <f t="shared" si="38"/>
        <v/>
      </c>
      <c r="X1192" s="40" t="str">
        <f t="shared" si="39"/>
        <v/>
      </c>
      <c r="Y1192" s="40" t="str">
        <f>TEXT(Table1[[#This Row],[YEAR]],"0000")&amp;"-"&amp;Table1[[#This Row],[MONTH]]</f>
        <v>-</v>
      </c>
    </row>
    <row r="1193" spans="1:25" ht="15" customHeight="1" x14ac:dyDescent="0.35">
      <c r="A1193" s="24"/>
      <c r="B1193" s="38"/>
      <c r="C1193" s="38"/>
      <c r="D1193" s="38"/>
      <c r="E1193" s="37"/>
      <c r="F1193" s="38"/>
      <c r="G1193" s="198"/>
      <c r="H1193" s="198"/>
      <c r="I1193" s="39"/>
      <c r="J1193" s="38"/>
      <c r="K1193" s="198"/>
      <c r="L1193" s="38"/>
      <c r="M1193" s="38"/>
      <c r="N1193" s="38"/>
      <c r="O1193" s="38"/>
      <c r="P1193" s="40" t="str" cm="1">
        <f t="array" ref="P1193">IF(N1193="","",IFERROR(_xlfn.XLOOKUP(F1193&amp;"|"&amp;J1193&amp;"|"&amp;O1193,PRICES!$C$2:$C$659&amp;"|"&amp;PRICES!$B$2:$B$659&amp;"|"&amp;PRICES!$D$2:$D$659,PRICES!$E$2:$E$659),"Not Found"))</f>
        <v/>
      </c>
      <c r="Q1193" s="100" t="str">
        <f>IF(N1193=0,"",SUMIFS(PRICES!$G$2:$G$658,PRICES!$B$2:$B$658,'MAIN TABLE-1 AUTOMATED'!J1193,PRICES!$C$2:$C$658,'MAIN TABLE-1 AUTOMATED'!F1193,PRICES!$D$2:$D$658,'MAIN TABLE-1 AUTOMATED'!O1193))</f>
        <v/>
      </c>
      <c r="R1193" s="41" t="str">
        <f>IF(Table1[[#This Row],[QUANTITY]]=0,"",Table1[[#This Row],[UNIT PRICE]]*Table1[[#This Row],[QUANTITY]])</f>
        <v/>
      </c>
      <c r="S1193" s="89"/>
      <c r="T1193" s="38"/>
      <c r="U1193" s="43"/>
      <c r="V1193" s="42" t="str">
        <f>IF(Table1[[#This Row],[DATE]]=0,"",YEAR(E1193))</f>
        <v/>
      </c>
      <c r="W1193" s="40" t="str">
        <f t="shared" si="38"/>
        <v/>
      </c>
      <c r="X1193" s="40" t="str">
        <f t="shared" si="39"/>
        <v/>
      </c>
      <c r="Y1193" s="40" t="str">
        <f>TEXT(Table1[[#This Row],[YEAR]],"0000")&amp;"-"&amp;Table1[[#This Row],[MONTH]]</f>
        <v>-</v>
      </c>
    </row>
    <row r="1194" spans="1:25" ht="15" customHeight="1" x14ac:dyDescent="0.35">
      <c r="A1194" s="24"/>
      <c r="B1194" s="38"/>
      <c r="C1194" s="38"/>
      <c r="D1194" s="38"/>
      <c r="E1194" s="37"/>
      <c r="F1194" s="38"/>
      <c r="G1194" s="198"/>
      <c r="H1194" s="198"/>
      <c r="I1194" s="39"/>
      <c r="J1194" s="38"/>
      <c r="K1194" s="198"/>
      <c r="L1194" s="38"/>
      <c r="M1194" s="38"/>
      <c r="N1194" s="38"/>
      <c r="O1194" s="38"/>
      <c r="P1194" s="40" t="str" cm="1">
        <f t="array" ref="P1194">IF(N1194="","",IFERROR(_xlfn.XLOOKUP(F1194&amp;"|"&amp;J1194&amp;"|"&amp;O1194,PRICES!$C$2:$C$659&amp;"|"&amp;PRICES!$B$2:$B$659&amp;"|"&amp;PRICES!$D$2:$D$659,PRICES!$E$2:$E$659),"Not Found"))</f>
        <v/>
      </c>
      <c r="Q1194" s="100" t="str">
        <f>IF(N1194=0,"",SUMIFS(PRICES!$G$2:$G$658,PRICES!$B$2:$B$658,'MAIN TABLE-1 AUTOMATED'!J1194,PRICES!$C$2:$C$658,'MAIN TABLE-1 AUTOMATED'!F1194,PRICES!$D$2:$D$658,'MAIN TABLE-1 AUTOMATED'!O1194))</f>
        <v/>
      </c>
      <c r="R1194" s="41" t="str">
        <f>IF(Table1[[#This Row],[QUANTITY]]=0,"",Table1[[#This Row],[UNIT PRICE]]*Table1[[#This Row],[QUANTITY]])</f>
        <v/>
      </c>
      <c r="S1194" s="89"/>
      <c r="T1194" s="38"/>
      <c r="U1194" s="43"/>
      <c r="V1194" s="42" t="str">
        <f>IF(Table1[[#This Row],[DATE]]=0,"",YEAR(E1194))</f>
        <v/>
      </c>
      <c r="W1194" s="40" t="str">
        <f t="shared" si="38"/>
        <v/>
      </c>
      <c r="X1194" s="40" t="str">
        <f t="shared" si="39"/>
        <v/>
      </c>
      <c r="Y1194" s="40" t="str">
        <f>TEXT(Table1[[#This Row],[YEAR]],"0000")&amp;"-"&amp;Table1[[#This Row],[MONTH]]</f>
        <v>-</v>
      </c>
    </row>
    <row r="1195" spans="1:25" ht="15" customHeight="1" x14ac:dyDescent="0.35">
      <c r="A1195" s="24"/>
      <c r="B1195" s="38"/>
      <c r="C1195" s="38"/>
      <c r="D1195" s="38"/>
      <c r="E1195" s="37"/>
      <c r="F1195" s="38"/>
      <c r="G1195" s="198"/>
      <c r="H1195" s="198"/>
      <c r="I1195" s="39"/>
      <c r="J1195" s="38"/>
      <c r="K1195" s="198"/>
      <c r="L1195" s="38"/>
      <c r="M1195" s="38"/>
      <c r="N1195" s="38"/>
      <c r="O1195" s="38"/>
      <c r="P1195" s="40" t="str" cm="1">
        <f t="array" ref="P1195">IF(N1195="","",IFERROR(_xlfn.XLOOKUP(F1195&amp;"|"&amp;J1195&amp;"|"&amp;O1195,PRICES!$C$2:$C$659&amp;"|"&amp;PRICES!$B$2:$B$659&amp;"|"&amp;PRICES!$D$2:$D$659,PRICES!$E$2:$E$659),"Not Found"))</f>
        <v/>
      </c>
      <c r="Q1195" s="100" t="str">
        <f>IF(N1195=0,"",SUMIFS(PRICES!$G$2:$G$658,PRICES!$B$2:$B$658,'MAIN TABLE-1 AUTOMATED'!J1195,PRICES!$C$2:$C$658,'MAIN TABLE-1 AUTOMATED'!F1195,PRICES!$D$2:$D$658,'MAIN TABLE-1 AUTOMATED'!O1195))</f>
        <v/>
      </c>
      <c r="R1195" s="41" t="str">
        <f>IF(Table1[[#This Row],[QUANTITY]]=0,"",Table1[[#This Row],[UNIT PRICE]]*Table1[[#This Row],[QUANTITY]])</f>
        <v/>
      </c>
      <c r="S1195" s="89"/>
      <c r="T1195" s="38"/>
      <c r="U1195" s="43"/>
      <c r="V1195" s="42" t="str">
        <f>IF(Table1[[#This Row],[DATE]]=0,"",YEAR(E1195))</f>
        <v/>
      </c>
      <c r="W1195" s="40" t="str">
        <f t="shared" si="38"/>
        <v/>
      </c>
      <c r="X1195" s="40" t="str">
        <f t="shared" si="39"/>
        <v/>
      </c>
      <c r="Y1195" s="40" t="str">
        <f>TEXT(Table1[[#This Row],[YEAR]],"0000")&amp;"-"&amp;Table1[[#This Row],[MONTH]]</f>
        <v>-</v>
      </c>
    </row>
    <row r="1196" spans="1:25" ht="15" customHeight="1" x14ac:dyDescent="0.35">
      <c r="A1196" s="24"/>
      <c r="B1196" s="38"/>
      <c r="C1196" s="38"/>
      <c r="D1196" s="38"/>
      <c r="E1196" s="37"/>
      <c r="F1196" s="38"/>
      <c r="G1196" s="198"/>
      <c r="H1196" s="198"/>
      <c r="I1196" s="39"/>
      <c r="J1196" s="38"/>
      <c r="K1196" s="198"/>
      <c r="L1196" s="38"/>
      <c r="M1196" s="38"/>
      <c r="N1196" s="38"/>
      <c r="O1196" s="38"/>
      <c r="P1196" s="40" t="str" cm="1">
        <f t="array" ref="P1196">IF(N1196="","",IFERROR(_xlfn.XLOOKUP(F1196&amp;"|"&amp;J1196&amp;"|"&amp;O1196,PRICES!$C$2:$C$659&amp;"|"&amp;PRICES!$B$2:$B$659&amp;"|"&amp;PRICES!$D$2:$D$659,PRICES!$E$2:$E$659),"Not Found"))</f>
        <v/>
      </c>
      <c r="Q1196" s="100" t="str">
        <f>IF(N1196=0,"",SUMIFS(PRICES!$G$2:$G$658,PRICES!$B$2:$B$658,'MAIN TABLE-1 AUTOMATED'!J1196,PRICES!$C$2:$C$658,'MAIN TABLE-1 AUTOMATED'!F1196,PRICES!$D$2:$D$658,'MAIN TABLE-1 AUTOMATED'!O1196))</f>
        <v/>
      </c>
      <c r="R1196" s="41" t="str">
        <f>IF(Table1[[#This Row],[QUANTITY]]=0,"",Table1[[#This Row],[UNIT PRICE]]*Table1[[#This Row],[QUANTITY]])</f>
        <v/>
      </c>
      <c r="S1196" s="89"/>
      <c r="T1196" s="38"/>
      <c r="U1196" s="43"/>
      <c r="V1196" s="42" t="str">
        <f>IF(Table1[[#This Row],[DATE]]=0,"",YEAR(E1196))</f>
        <v/>
      </c>
      <c r="W1196" s="40" t="str">
        <f t="shared" si="38"/>
        <v/>
      </c>
      <c r="X1196" s="40" t="str">
        <f t="shared" si="39"/>
        <v/>
      </c>
      <c r="Y1196" s="40" t="str">
        <f>TEXT(Table1[[#This Row],[YEAR]],"0000")&amp;"-"&amp;Table1[[#This Row],[MONTH]]</f>
        <v>-</v>
      </c>
    </row>
    <row r="1197" spans="1:25" ht="15" customHeight="1" x14ac:dyDescent="0.35">
      <c r="A1197" s="24"/>
      <c r="B1197" s="38"/>
      <c r="C1197" s="38"/>
      <c r="D1197" s="38"/>
      <c r="E1197" s="37"/>
      <c r="F1197" s="38"/>
      <c r="G1197" s="198"/>
      <c r="H1197" s="198"/>
      <c r="I1197" s="39"/>
      <c r="J1197" s="38"/>
      <c r="K1197" s="198"/>
      <c r="L1197" s="38"/>
      <c r="M1197" s="38"/>
      <c r="N1197" s="38"/>
      <c r="O1197" s="38"/>
      <c r="P1197" s="40" t="str" cm="1">
        <f t="array" ref="P1197">IF(N1197="","",IFERROR(_xlfn.XLOOKUP(F1197&amp;"|"&amp;J1197&amp;"|"&amp;O1197,PRICES!$C$2:$C$659&amp;"|"&amp;PRICES!$B$2:$B$659&amp;"|"&amp;PRICES!$D$2:$D$659,PRICES!$E$2:$E$659),"Not Found"))</f>
        <v/>
      </c>
      <c r="Q1197" s="100" t="str">
        <f>IF(N1197=0,"",SUMIFS(PRICES!$G$2:$G$658,PRICES!$B$2:$B$658,'MAIN TABLE-1 AUTOMATED'!J1197,PRICES!$C$2:$C$658,'MAIN TABLE-1 AUTOMATED'!F1197,PRICES!$D$2:$D$658,'MAIN TABLE-1 AUTOMATED'!O1197))</f>
        <v/>
      </c>
      <c r="R1197" s="41" t="str">
        <f>IF(Table1[[#This Row],[QUANTITY]]=0,"",Table1[[#This Row],[UNIT PRICE]]*Table1[[#This Row],[QUANTITY]])</f>
        <v/>
      </c>
      <c r="S1197" s="89"/>
      <c r="T1197" s="38"/>
      <c r="U1197" s="43"/>
      <c r="V1197" s="42" t="str">
        <f>IF(Table1[[#This Row],[DATE]]=0,"",YEAR(E1197))</f>
        <v/>
      </c>
      <c r="W1197" s="40" t="str">
        <f t="shared" si="38"/>
        <v/>
      </c>
      <c r="X1197" s="40" t="str">
        <f t="shared" si="39"/>
        <v/>
      </c>
      <c r="Y1197" s="40" t="str">
        <f>TEXT(Table1[[#This Row],[YEAR]],"0000")&amp;"-"&amp;Table1[[#This Row],[MONTH]]</f>
        <v>-</v>
      </c>
    </row>
    <row r="1198" spans="1:25" ht="15" customHeight="1" x14ac:dyDescent="0.35">
      <c r="A1198" s="24"/>
      <c r="B1198" s="38"/>
      <c r="C1198" s="38"/>
      <c r="D1198" s="38"/>
      <c r="E1198" s="37"/>
      <c r="F1198" s="38"/>
      <c r="G1198" s="198"/>
      <c r="H1198" s="198"/>
      <c r="I1198" s="39"/>
      <c r="J1198" s="38"/>
      <c r="K1198" s="198"/>
      <c r="L1198" s="38"/>
      <c r="M1198" s="38"/>
      <c r="N1198" s="38"/>
      <c r="O1198" s="38"/>
      <c r="P1198" s="40" t="str" cm="1">
        <f t="array" ref="P1198">IF(N1198="","",IFERROR(_xlfn.XLOOKUP(F1198&amp;"|"&amp;J1198&amp;"|"&amp;O1198,PRICES!$C$2:$C$659&amp;"|"&amp;PRICES!$B$2:$B$659&amp;"|"&amp;PRICES!$D$2:$D$659,PRICES!$E$2:$E$659),"Not Found"))</f>
        <v/>
      </c>
      <c r="Q1198" s="100" t="str">
        <f>IF(N1198=0,"",SUMIFS(PRICES!$G$2:$G$658,PRICES!$B$2:$B$658,'MAIN TABLE-1 AUTOMATED'!J1198,PRICES!$C$2:$C$658,'MAIN TABLE-1 AUTOMATED'!F1198,PRICES!$D$2:$D$658,'MAIN TABLE-1 AUTOMATED'!O1198))</f>
        <v/>
      </c>
      <c r="R1198" s="41" t="str">
        <f>IF(Table1[[#This Row],[QUANTITY]]=0,"",Table1[[#This Row],[UNIT PRICE]]*Table1[[#This Row],[QUANTITY]])</f>
        <v/>
      </c>
      <c r="S1198" s="89"/>
      <c r="T1198" s="38"/>
      <c r="U1198" s="43"/>
      <c r="V1198" s="42" t="str">
        <f>IF(Table1[[#This Row],[DATE]]=0,"",YEAR(E1198))</f>
        <v/>
      </c>
      <c r="W1198" s="40" t="str">
        <f t="shared" si="38"/>
        <v/>
      </c>
      <c r="X1198" s="40" t="str">
        <f t="shared" si="39"/>
        <v/>
      </c>
      <c r="Y1198" s="40" t="str">
        <f>TEXT(Table1[[#This Row],[YEAR]],"0000")&amp;"-"&amp;Table1[[#This Row],[MONTH]]</f>
        <v>-</v>
      </c>
    </row>
    <row r="1199" spans="1:25" ht="15" customHeight="1" x14ac:dyDescent="0.35">
      <c r="A1199" s="24"/>
      <c r="B1199" s="36"/>
      <c r="C1199" s="38"/>
      <c r="D1199" s="38"/>
      <c r="E1199" s="37"/>
      <c r="F1199" s="38"/>
      <c r="G1199" s="198"/>
      <c r="H1199" s="198"/>
      <c r="I1199" s="39"/>
      <c r="J1199" s="38"/>
      <c r="K1199" s="198"/>
      <c r="L1199" s="38"/>
      <c r="M1199" s="38"/>
      <c r="N1199" s="38"/>
      <c r="O1199" s="38"/>
      <c r="P1199" s="40" t="str" cm="1">
        <f t="array" ref="P1199">IF(N1199="","",IFERROR(_xlfn.XLOOKUP(F1199&amp;"|"&amp;J1199&amp;"|"&amp;O1199,PRICES!$C$2:$C$659&amp;"|"&amp;PRICES!$B$2:$B$659&amp;"|"&amp;PRICES!$D$2:$D$659,PRICES!$E$2:$E$659),"Not Found"))</f>
        <v/>
      </c>
      <c r="Q1199" s="100" t="str">
        <f>IF(N1199=0,"",SUMIFS(PRICES!$G$2:$G$658,PRICES!$B$2:$B$658,'MAIN TABLE-1 AUTOMATED'!J1199,PRICES!$C$2:$C$658,'MAIN TABLE-1 AUTOMATED'!F1199,PRICES!$D$2:$D$658,'MAIN TABLE-1 AUTOMATED'!O1199))</f>
        <v/>
      </c>
      <c r="R1199" s="41" t="str">
        <f>IF(Table1[[#This Row],[QUANTITY]]=0,"",Table1[[#This Row],[UNIT PRICE]]*Table1[[#This Row],[QUANTITY]])</f>
        <v/>
      </c>
      <c r="S1199" s="89"/>
      <c r="T1199" s="38"/>
      <c r="U1199" s="43"/>
      <c r="V1199" s="42" t="str">
        <f>IF(Table1[[#This Row],[DATE]]=0,"",YEAR(E1199))</f>
        <v/>
      </c>
      <c r="W1199" s="40" t="str">
        <f t="shared" si="38"/>
        <v/>
      </c>
      <c r="X1199" s="40" t="str">
        <f t="shared" si="39"/>
        <v/>
      </c>
      <c r="Y1199" s="40" t="str">
        <f>TEXT(Table1[[#This Row],[YEAR]],"0000")&amp;"-"&amp;Table1[[#This Row],[MONTH]]</f>
        <v>-</v>
      </c>
    </row>
    <row r="1200" spans="1:25" ht="15" customHeight="1" x14ac:dyDescent="0.35">
      <c r="A1200" s="24"/>
      <c r="B1200" s="38"/>
      <c r="C1200" s="38"/>
      <c r="D1200" s="38"/>
      <c r="E1200" s="37"/>
      <c r="F1200" s="38"/>
      <c r="G1200" s="198"/>
      <c r="H1200" s="198"/>
      <c r="I1200" s="39"/>
      <c r="J1200" s="38"/>
      <c r="K1200" s="198"/>
      <c r="L1200" s="38"/>
      <c r="M1200" s="38"/>
      <c r="N1200" s="38"/>
      <c r="O1200" s="38"/>
      <c r="P1200" s="40" t="str" cm="1">
        <f t="array" ref="P1200">IF(N1200="","",IFERROR(_xlfn.XLOOKUP(F1200&amp;"|"&amp;J1200&amp;"|"&amp;O1200,PRICES!$C$2:$C$659&amp;"|"&amp;PRICES!$B$2:$B$659&amp;"|"&amp;PRICES!$D$2:$D$659,PRICES!$E$2:$E$659),"Not Found"))</f>
        <v/>
      </c>
      <c r="Q1200" s="100" t="str">
        <f>IF(N1200=0,"",SUMIFS(PRICES!$G$2:$G$658,PRICES!$B$2:$B$658,'MAIN TABLE-1 AUTOMATED'!J1200,PRICES!$C$2:$C$658,'MAIN TABLE-1 AUTOMATED'!F1200,PRICES!$D$2:$D$658,'MAIN TABLE-1 AUTOMATED'!O1200))</f>
        <v/>
      </c>
      <c r="R1200" s="41" t="str">
        <f>IF(Table1[[#This Row],[QUANTITY]]=0,"",Table1[[#This Row],[UNIT PRICE]]*Table1[[#This Row],[QUANTITY]])</f>
        <v/>
      </c>
      <c r="S1200" s="89"/>
      <c r="T1200" s="38"/>
      <c r="U1200" s="43"/>
      <c r="V1200" s="42" t="str">
        <f>IF(Table1[[#This Row],[DATE]]=0,"",YEAR(E1200))</f>
        <v/>
      </c>
      <c r="W1200" s="40" t="str">
        <f t="shared" si="38"/>
        <v/>
      </c>
      <c r="X1200" s="40" t="str">
        <f t="shared" si="39"/>
        <v/>
      </c>
      <c r="Y1200" s="40" t="str">
        <f>TEXT(Table1[[#This Row],[YEAR]],"0000")&amp;"-"&amp;Table1[[#This Row],[MONTH]]</f>
        <v>-</v>
      </c>
    </row>
    <row r="1201" spans="1:25" ht="15" customHeight="1" x14ac:dyDescent="0.35">
      <c r="A1201" s="24"/>
      <c r="B1201" s="38"/>
      <c r="C1201" s="38"/>
      <c r="D1201" s="38"/>
      <c r="E1201" s="37"/>
      <c r="F1201" s="38"/>
      <c r="G1201" s="198"/>
      <c r="H1201" s="198"/>
      <c r="I1201" s="39"/>
      <c r="J1201" s="38"/>
      <c r="K1201" s="198"/>
      <c r="L1201" s="38"/>
      <c r="M1201" s="38"/>
      <c r="N1201" s="38"/>
      <c r="O1201" s="38"/>
      <c r="P1201" s="40" t="str" cm="1">
        <f t="array" ref="P1201">IF(N1201="","",IFERROR(_xlfn.XLOOKUP(F1201&amp;"|"&amp;J1201&amp;"|"&amp;O1201,PRICES!$C$2:$C$659&amp;"|"&amp;PRICES!$B$2:$B$659&amp;"|"&amp;PRICES!$D$2:$D$659,PRICES!$E$2:$E$659),"Not Found"))</f>
        <v/>
      </c>
      <c r="Q1201" s="100" t="str">
        <f>IF(N1201=0,"",SUMIFS(PRICES!$G$2:$G$658,PRICES!$B$2:$B$658,'MAIN TABLE-1 AUTOMATED'!J1201,PRICES!$C$2:$C$658,'MAIN TABLE-1 AUTOMATED'!F1201,PRICES!$D$2:$D$658,'MAIN TABLE-1 AUTOMATED'!O1201))</f>
        <v/>
      </c>
      <c r="R1201" s="41" t="str">
        <f>IF(Table1[[#This Row],[QUANTITY]]=0,"",Table1[[#This Row],[UNIT PRICE]]*Table1[[#This Row],[QUANTITY]])</f>
        <v/>
      </c>
      <c r="S1201" s="89"/>
      <c r="T1201" s="38"/>
      <c r="U1201" s="43"/>
      <c r="V1201" s="42" t="str">
        <f>IF(Table1[[#This Row],[DATE]]=0,"",YEAR(E1201))</f>
        <v/>
      </c>
      <c r="W1201" s="40" t="str">
        <f t="shared" si="38"/>
        <v/>
      </c>
      <c r="X1201" s="40" t="str">
        <f t="shared" si="39"/>
        <v/>
      </c>
      <c r="Y1201" s="40" t="str">
        <f>TEXT(Table1[[#This Row],[YEAR]],"0000")&amp;"-"&amp;Table1[[#This Row],[MONTH]]</f>
        <v>-</v>
      </c>
    </row>
    <row r="1202" spans="1:25" ht="15" customHeight="1" x14ac:dyDescent="0.35">
      <c r="A1202" s="24"/>
      <c r="B1202" s="38"/>
      <c r="C1202" s="38"/>
      <c r="D1202" s="38"/>
      <c r="E1202" s="37"/>
      <c r="F1202" s="38"/>
      <c r="G1202" s="198"/>
      <c r="H1202" s="198"/>
      <c r="I1202" s="39"/>
      <c r="J1202" s="38"/>
      <c r="K1202" s="198"/>
      <c r="L1202" s="38"/>
      <c r="M1202" s="38"/>
      <c r="N1202" s="38"/>
      <c r="O1202" s="38"/>
      <c r="P1202" s="40" t="str" cm="1">
        <f t="array" ref="P1202">IF(N1202="","",IFERROR(_xlfn.XLOOKUP(F1202&amp;"|"&amp;J1202&amp;"|"&amp;O1202,PRICES!$C$2:$C$659&amp;"|"&amp;PRICES!$B$2:$B$659&amp;"|"&amp;PRICES!$D$2:$D$659,PRICES!$E$2:$E$659),"Not Found"))</f>
        <v/>
      </c>
      <c r="Q1202" s="100" t="str">
        <f>IF(N1202=0,"",SUMIFS(PRICES!$G$2:$G$658,PRICES!$B$2:$B$658,'MAIN TABLE-1 AUTOMATED'!J1202,PRICES!$C$2:$C$658,'MAIN TABLE-1 AUTOMATED'!F1202,PRICES!$D$2:$D$658,'MAIN TABLE-1 AUTOMATED'!O1202))</f>
        <v/>
      </c>
      <c r="R1202" s="41" t="str">
        <f>IF(Table1[[#This Row],[QUANTITY]]=0,"",Table1[[#This Row],[UNIT PRICE]]*Table1[[#This Row],[QUANTITY]])</f>
        <v/>
      </c>
      <c r="S1202" s="89"/>
      <c r="T1202" s="38"/>
      <c r="U1202" s="43"/>
      <c r="V1202" s="42" t="str">
        <f>IF(Table1[[#This Row],[DATE]]=0,"",YEAR(E1202))</f>
        <v/>
      </c>
      <c r="W1202" s="40" t="str">
        <f t="shared" si="38"/>
        <v/>
      </c>
      <c r="X1202" s="40" t="str">
        <f t="shared" si="39"/>
        <v/>
      </c>
      <c r="Y1202" s="40" t="str">
        <f>TEXT(Table1[[#This Row],[YEAR]],"0000")&amp;"-"&amp;Table1[[#This Row],[MONTH]]</f>
        <v>-</v>
      </c>
    </row>
    <row r="1203" spans="1:25" ht="15" customHeight="1" x14ac:dyDescent="0.35">
      <c r="A1203" s="24"/>
      <c r="B1203" s="38"/>
      <c r="C1203" s="38"/>
      <c r="D1203" s="38"/>
      <c r="E1203" s="37"/>
      <c r="F1203" s="38"/>
      <c r="G1203" s="198"/>
      <c r="H1203" s="198"/>
      <c r="I1203" s="39"/>
      <c r="J1203" s="38"/>
      <c r="K1203" s="198"/>
      <c r="L1203" s="38"/>
      <c r="M1203" s="38"/>
      <c r="N1203" s="38"/>
      <c r="O1203" s="38"/>
      <c r="P1203" s="40" t="str" cm="1">
        <f t="array" ref="P1203">IF(N1203="","",IFERROR(_xlfn.XLOOKUP(F1203&amp;"|"&amp;J1203&amp;"|"&amp;O1203,PRICES!$C$2:$C$659&amp;"|"&amp;PRICES!$B$2:$B$659&amp;"|"&amp;PRICES!$D$2:$D$659,PRICES!$E$2:$E$659),"Not Found"))</f>
        <v/>
      </c>
      <c r="Q1203" s="100" t="str">
        <f>IF(N1203=0,"",SUMIFS(PRICES!$G$2:$G$658,PRICES!$B$2:$B$658,'MAIN TABLE-1 AUTOMATED'!J1203,PRICES!$C$2:$C$658,'MAIN TABLE-1 AUTOMATED'!F1203,PRICES!$D$2:$D$658,'MAIN TABLE-1 AUTOMATED'!O1203))</f>
        <v/>
      </c>
      <c r="R1203" s="41" t="str">
        <f>IF(Table1[[#This Row],[QUANTITY]]=0,"",Table1[[#This Row],[UNIT PRICE]]*Table1[[#This Row],[QUANTITY]])</f>
        <v/>
      </c>
      <c r="S1203" s="89"/>
      <c r="T1203" s="38"/>
      <c r="U1203" s="43"/>
      <c r="V1203" s="42" t="str">
        <f>IF(Table1[[#This Row],[DATE]]=0,"",YEAR(E1203))</f>
        <v/>
      </c>
      <c r="W1203" s="40" t="str">
        <f t="shared" si="38"/>
        <v/>
      </c>
      <c r="X1203" s="40" t="str">
        <f t="shared" si="39"/>
        <v/>
      </c>
      <c r="Y1203" s="40" t="str">
        <f>TEXT(Table1[[#This Row],[YEAR]],"0000")&amp;"-"&amp;Table1[[#This Row],[MONTH]]</f>
        <v>-</v>
      </c>
    </row>
    <row r="1204" spans="1:25" ht="15" customHeight="1" x14ac:dyDescent="0.35">
      <c r="A1204" s="24"/>
      <c r="B1204" s="38"/>
      <c r="C1204" s="38"/>
      <c r="D1204" s="38"/>
      <c r="E1204" s="37"/>
      <c r="F1204" s="38"/>
      <c r="G1204" s="198"/>
      <c r="H1204" s="198"/>
      <c r="I1204" s="39"/>
      <c r="J1204" s="38"/>
      <c r="K1204" s="198"/>
      <c r="L1204" s="38"/>
      <c r="M1204" s="38"/>
      <c r="N1204" s="38"/>
      <c r="O1204" s="38"/>
      <c r="P1204" s="40" t="str" cm="1">
        <f t="array" ref="P1204">IF(N1204="","",IFERROR(_xlfn.XLOOKUP(F1204&amp;"|"&amp;J1204&amp;"|"&amp;O1204,PRICES!$C$2:$C$659&amp;"|"&amp;PRICES!$B$2:$B$659&amp;"|"&amp;PRICES!$D$2:$D$659,PRICES!$E$2:$E$659),"Not Found"))</f>
        <v/>
      </c>
      <c r="Q1204" s="100" t="str">
        <f>IF(N1204=0,"",SUMIFS(PRICES!$G$2:$G$658,PRICES!$B$2:$B$658,'MAIN TABLE-1 AUTOMATED'!J1204,PRICES!$C$2:$C$658,'MAIN TABLE-1 AUTOMATED'!F1204,PRICES!$D$2:$D$658,'MAIN TABLE-1 AUTOMATED'!O1204))</f>
        <v/>
      </c>
      <c r="R1204" s="41" t="str">
        <f>IF(Table1[[#This Row],[QUANTITY]]=0,"",Table1[[#This Row],[UNIT PRICE]]*Table1[[#This Row],[QUANTITY]])</f>
        <v/>
      </c>
      <c r="S1204" s="89"/>
      <c r="T1204" s="38"/>
      <c r="U1204" s="43"/>
      <c r="V1204" s="42" t="str">
        <f>IF(Table1[[#This Row],[DATE]]=0,"",YEAR(E1204))</f>
        <v/>
      </c>
      <c r="W1204" s="40" t="str">
        <f t="shared" si="38"/>
        <v/>
      </c>
      <c r="X1204" s="40" t="str">
        <f t="shared" si="39"/>
        <v/>
      </c>
      <c r="Y1204" s="40" t="str">
        <f>TEXT(Table1[[#This Row],[YEAR]],"0000")&amp;"-"&amp;Table1[[#This Row],[MONTH]]</f>
        <v>-</v>
      </c>
    </row>
    <row r="1205" spans="1:25" ht="15" customHeight="1" x14ac:dyDescent="0.35">
      <c r="A1205" s="24"/>
      <c r="B1205" s="38"/>
      <c r="C1205" s="38"/>
      <c r="D1205" s="38"/>
      <c r="E1205" s="37"/>
      <c r="F1205" s="38"/>
      <c r="G1205" s="198"/>
      <c r="H1205" s="198"/>
      <c r="I1205" s="39"/>
      <c r="J1205" s="38"/>
      <c r="K1205" s="198"/>
      <c r="L1205" s="38"/>
      <c r="M1205" s="38"/>
      <c r="N1205" s="38"/>
      <c r="O1205" s="38"/>
      <c r="P1205" s="40" t="str" cm="1">
        <f t="array" ref="P1205">IF(N1205="","",IFERROR(_xlfn.XLOOKUP(F1205&amp;"|"&amp;J1205&amp;"|"&amp;O1205,PRICES!$C$2:$C$659&amp;"|"&amp;PRICES!$B$2:$B$659&amp;"|"&amp;PRICES!$D$2:$D$659,PRICES!$E$2:$E$659),"Not Found"))</f>
        <v/>
      </c>
      <c r="Q1205" s="100" t="str">
        <f>IF(N1205=0,"",SUMIFS(PRICES!$G$2:$G$658,PRICES!$B$2:$B$658,'MAIN TABLE-1 AUTOMATED'!J1205,PRICES!$C$2:$C$658,'MAIN TABLE-1 AUTOMATED'!F1205,PRICES!$D$2:$D$658,'MAIN TABLE-1 AUTOMATED'!O1205))</f>
        <v/>
      </c>
      <c r="R1205" s="41" t="str">
        <f>IF(Table1[[#This Row],[QUANTITY]]=0,"",Table1[[#This Row],[UNIT PRICE]]*Table1[[#This Row],[QUANTITY]])</f>
        <v/>
      </c>
      <c r="S1205" s="89"/>
      <c r="T1205" s="38"/>
      <c r="U1205" s="43"/>
      <c r="V1205" s="42" t="str">
        <f>IF(Table1[[#This Row],[DATE]]=0,"",YEAR(E1205))</f>
        <v/>
      </c>
      <c r="W1205" s="40" t="str">
        <f t="shared" si="38"/>
        <v/>
      </c>
      <c r="X1205" s="40" t="str">
        <f t="shared" si="39"/>
        <v/>
      </c>
      <c r="Y1205" s="40" t="str">
        <f>TEXT(Table1[[#This Row],[YEAR]],"0000")&amp;"-"&amp;Table1[[#This Row],[MONTH]]</f>
        <v>-</v>
      </c>
    </row>
    <row r="1206" spans="1:25" ht="15" customHeight="1" x14ac:dyDescent="0.35">
      <c r="A1206" s="24"/>
      <c r="B1206" s="38"/>
      <c r="C1206" s="38"/>
      <c r="D1206" s="38"/>
      <c r="E1206" s="37"/>
      <c r="F1206" s="38"/>
      <c r="G1206" s="198"/>
      <c r="H1206" s="198"/>
      <c r="I1206" s="39"/>
      <c r="J1206" s="38"/>
      <c r="K1206" s="198"/>
      <c r="L1206" s="38"/>
      <c r="M1206" s="38"/>
      <c r="N1206" s="38"/>
      <c r="O1206" s="38"/>
      <c r="P1206" s="40" t="str" cm="1">
        <f t="array" ref="P1206">IF(N1206="","",IFERROR(_xlfn.XLOOKUP(F1206&amp;"|"&amp;J1206&amp;"|"&amp;O1206,PRICES!$C$2:$C$659&amp;"|"&amp;PRICES!$B$2:$B$659&amp;"|"&amp;PRICES!$D$2:$D$659,PRICES!$E$2:$E$659),"Not Found"))</f>
        <v/>
      </c>
      <c r="Q1206" s="100" t="str">
        <f>IF(N1206=0,"",SUMIFS(PRICES!$G$2:$G$658,PRICES!$B$2:$B$658,'MAIN TABLE-1 AUTOMATED'!J1206,PRICES!$C$2:$C$658,'MAIN TABLE-1 AUTOMATED'!F1206,PRICES!$D$2:$D$658,'MAIN TABLE-1 AUTOMATED'!O1206))</f>
        <v/>
      </c>
      <c r="R1206" s="41" t="str">
        <f>IF(Table1[[#This Row],[QUANTITY]]=0,"",Table1[[#This Row],[UNIT PRICE]]*Table1[[#This Row],[QUANTITY]])</f>
        <v/>
      </c>
      <c r="S1206" s="89"/>
      <c r="T1206" s="38"/>
      <c r="U1206" s="43"/>
      <c r="V1206" s="42" t="str">
        <f>IF(Table1[[#This Row],[DATE]]=0,"",YEAR(E1206))</f>
        <v/>
      </c>
      <c r="W1206" s="40" t="str">
        <f t="shared" si="38"/>
        <v/>
      </c>
      <c r="X1206" s="40" t="str">
        <f t="shared" si="39"/>
        <v/>
      </c>
      <c r="Y1206" s="40" t="str">
        <f>TEXT(Table1[[#This Row],[YEAR]],"0000")&amp;"-"&amp;Table1[[#This Row],[MONTH]]</f>
        <v>-</v>
      </c>
    </row>
    <row r="1207" spans="1:25" ht="15" customHeight="1" x14ac:dyDescent="0.35">
      <c r="A1207" s="24"/>
      <c r="B1207" s="38"/>
      <c r="C1207" s="38"/>
      <c r="D1207" s="38"/>
      <c r="E1207" s="37"/>
      <c r="F1207" s="38"/>
      <c r="G1207" s="198"/>
      <c r="H1207" s="198"/>
      <c r="I1207" s="39"/>
      <c r="J1207" s="38"/>
      <c r="K1207" s="198"/>
      <c r="L1207" s="38"/>
      <c r="M1207" s="38"/>
      <c r="N1207" s="38"/>
      <c r="O1207" s="38"/>
      <c r="P1207" s="40" t="str" cm="1">
        <f t="array" ref="P1207">IF(N1207="","",IFERROR(_xlfn.XLOOKUP(F1207&amp;"|"&amp;J1207&amp;"|"&amp;O1207,PRICES!$C$2:$C$659&amp;"|"&amp;PRICES!$B$2:$B$659&amp;"|"&amp;PRICES!$D$2:$D$659,PRICES!$E$2:$E$659),"Not Found"))</f>
        <v/>
      </c>
      <c r="Q1207" s="100" t="str">
        <f>IF(N1207=0,"",SUMIFS(PRICES!$G$2:$G$658,PRICES!$B$2:$B$658,'MAIN TABLE-1 AUTOMATED'!J1207,PRICES!$C$2:$C$658,'MAIN TABLE-1 AUTOMATED'!F1207,PRICES!$D$2:$D$658,'MAIN TABLE-1 AUTOMATED'!O1207))</f>
        <v/>
      </c>
      <c r="R1207" s="41" t="str">
        <f>IF(Table1[[#This Row],[QUANTITY]]=0,"",Table1[[#This Row],[UNIT PRICE]]*Table1[[#This Row],[QUANTITY]])</f>
        <v/>
      </c>
      <c r="S1207" s="89"/>
      <c r="T1207" s="38"/>
      <c r="U1207" s="43"/>
      <c r="V1207" s="42" t="str">
        <f>IF(Table1[[#This Row],[DATE]]=0,"",YEAR(E1207))</f>
        <v/>
      </c>
      <c r="W1207" s="40" t="str">
        <f t="shared" si="38"/>
        <v/>
      </c>
      <c r="X1207" s="40" t="str">
        <f t="shared" si="39"/>
        <v/>
      </c>
      <c r="Y1207" s="40" t="str">
        <f>TEXT(Table1[[#This Row],[YEAR]],"0000")&amp;"-"&amp;Table1[[#This Row],[MONTH]]</f>
        <v>-</v>
      </c>
    </row>
    <row r="1208" spans="1:25" ht="15" customHeight="1" x14ac:dyDescent="0.35">
      <c r="A1208" s="24"/>
      <c r="B1208" s="38"/>
      <c r="C1208" s="38"/>
      <c r="D1208" s="38"/>
      <c r="E1208" s="37"/>
      <c r="F1208" s="38"/>
      <c r="G1208" s="198"/>
      <c r="H1208" s="198"/>
      <c r="I1208" s="39"/>
      <c r="J1208" s="38"/>
      <c r="K1208" s="198"/>
      <c r="L1208" s="38"/>
      <c r="M1208" s="38"/>
      <c r="N1208" s="38"/>
      <c r="O1208" s="38"/>
      <c r="P1208" s="40" t="str" cm="1">
        <f t="array" ref="P1208">IF(N1208="","",IFERROR(_xlfn.XLOOKUP(F1208&amp;"|"&amp;J1208&amp;"|"&amp;O1208,PRICES!$C$2:$C$659&amp;"|"&amp;PRICES!$B$2:$B$659&amp;"|"&amp;PRICES!$D$2:$D$659,PRICES!$E$2:$E$659),"Not Found"))</f>
        <v/>
      </c>
      <c r="Q1208" s="100" t="str">
        <f>IF(N1208=0,"",SUMIFS(PRICES!$G$2:$G$658,PRICES!$B$2:$B$658,'MAIN TABLE-1 AUTOMATED'!J1208,PRICES!$C$2:$C$658,'MAIN TABLE-1 AUTOMATED'!F1208,PRICES!$D$2:$D$658,'MAIN TABLE-1 AUTOMATED'!O1208))</f>
        <v/>
      </c>
      <c r="R1208" s="41" t="str">
        <f>IF(Table1[[#This Row],[QUANTITY]]=0,"",Table1[[#This Row],[UNIT PRICE]]*Table1[[#This Row],[QUANTITY]])</f>
        <v/>
      </c>
      <c r="S1208" s="89"/>
      <c r="T1208" s="38"/>
      <c r="U1208" s="43"/>
      <c r="V1208" s="42" t="str">
        <f>IF(Table1[[#This Row],[DATE]]=0,"",YEAR(E1208))</f>
        <v/>
      </c>
      <c r="W1208" s="40" t="str">
        <f t="shared" si="38"/>
        <v/>
      </c>
      <c r="X1208" s="40" t="str">
        <f t="shared" si="39"/>
        <v/>
      </c>
      <c r="Y1208" s="40" t="str">
        <f>TEXT(Table1[[#This Row],[YEAR]],"0000")&amp;"-"&amp;Table1[[#This Row],[MONTH]]</f>
        <v>-</v>
      </c>
    </row>
    <row r="1209" spans="1:25" ht="15" customHeight="1" x14ac:dyDescent="0.35">
      <c r="A1209" s="24"/>
      <c r="B1209" s="36"/>
      <c r="C1209" s="38"/>
      <c r="D1209" s="38"/>
      <c r="E1209" s="37"/>
      <c r="F1209" s="38"/>
      <c r="G1209" s="198"/>
      <c r="H1209" s="198"/>
      <c r="I1209" s="39"/>
      <c r="J1209" s="38"/>
      <c r="K1209" s="198"/>
      <c r="L1209" s="38"/>
      <c r="M1209" s="38"/>
      <c r="N1209" s="38"/>
      <c r="O1209" s="38"/>
      <c r="P1209" s="40" t="str" cm="1">
        <f t="array" ref="P1209">IF(N1209="","",IFERROR(_xlfn.XLOOKUP(F1209&amp;"|"&amp;J1209&amp;"|"&amp;O1209,PRICES!$C$2:$C$659&amp;"|"&amp;PRICES!$B$2:$B$659&amp;"|"&amp;PRICES!$D$2:$D$659,PRICES!$E$2:$E$659),"Not Found"))</f>
        <v/>
      </c>
      <c r="Q1209" s="100" t="str">
        <f>IF(N1209=0,"",SUMIFS(PRICES!$G$2:$G$658,PRICES!$B$2:$B$658,'MAIN TABLE-1 AUTOMATED'!J1209,PRICES!$C$2:$C$658,'MAIN TABLE-1 AUTOMATED'!F1209,PRICES!$D$2:$D$658,'MAIN TABLE-1 AUTOMATED'!O1209))</f>
        <v/>
      </c>
      <c r="R1209" s="41" t="str">
        <f>IF(Table1[[#This Row],[QUANTITY]]=0,"",Table1[[#This Row],[UNIT PRICE]]*Table1[[#This Row],[QUANTITY]])</f>
        <v/>
      </c>
      <c r="S1209" s="89"/>
      <c r="T1209" s="38"/>
      <c r="U1209" s="43"/>
      <c r="V1209" s="42" t="str">
        <f>IF(Table1[[#This Row],[DATE]]=0,"",YEAR(E1209))</f>
        <v/>
      </c>
      <c r="W1209" s="40" t="str">
        <f t="shared" si="38"/>
        <v/>
      </c>
      <c r="X1209" s="40" t="str">
        <f t="shared" si="39"/>
        <v/>
      </c>
      <c r="Y1209" s="40" t="str">
        <f>TEXT(Table1[[#This Row],[YEAR]],"0000")&amp;"-"&amp;Table1[[#This Row],[MONTH]]</f>
        <v>-</v>
      </c>
    </row>
    <row r="1210" spans="1:25" ht="15" customHeight="1" x14ac:dyDescent="0.35">
      <c r="A1210" s="24"/>
      <c r="B1210" s="36"/>
      <c r="C1210" s="38"/>
      <c r="D1210" s="38"/>
      <c r="E1210" s="37"/>
      <c r="F1210" s="38"/>
      <c r="G1210" s="198"/>
      <c r="H1210" s="198"/>
      <c r="I1210" s="39"/>
      <c r="J1210" s="38"/>
      <c r="K1210" s="198"/>
      <c r="L1210" s="38"/>
      <c r="M1210" s="38"/>
      <c r="N1210" s="38"/>
      <c r="O1210" s="38"/>
      <c r="P1210" s="40" t="str" cm="1">
        <f t="array" ref="P1210">IF(N1210="","",IFERROR(_xlfn.XLOOKUP(F1210&amp;"|"&amp;J1210&amp;"|"&amp;O1210,PRICES!$C$2:$C$659&amp;"|"&amp;PRICES!$B$2:$B$659&amp;"|"&amp;PRICES!$D$2:$D$659,PRICES!$E$2:$E$659),"Not Found"))</f>
        <v/>
      </c>
      <c r="Q1210" s="100" t="str">
        <f>IF(N1210=0,"",SUMIFS(PRICES!$G$2:$G$658,PRICES!$B$2:$B$658,'MAIN TABLE-1 AUTOMATED'!J1210,PRICES!$C$2:$C$658,'MAIN TABLE-1 AUTOMATED'!F1210,PRICES!$D$2:$D$658,'MAIN TABLE-1 AUTOMATED'!O1210))</f>
        <v/>
      </c>
      <c r="R1210" s="41" t="str">
        <f>IF(Table1[[#This Row],[QUANTITY]]=0,"",Table1[[#This Row],[UNIT PRICE]]*Table1[[#This Row],[QUANTITY]])</f>
        <v/>
      </c>
      <c r="S1210" s="89"/>
      <c r="T1210" s="38"/>
      <c r="U1210" s="43"/>
      <c r="V1210" s="42" t="str">
        <f>IF(Table1[[#This Row],[DATE]]=0,"",YEAR(E1210))</f>
        <v/>
      </c>
      <c r="W1210" s="40" t="str">
        <f t="shared" si="38"/>
        <v/>
      </c>
      <c r="X1210" s="40" t="str">
        <f t="shared" si="39"/>
        <v/>
      </c>
      <c r="Y1210" s="40" t="str">
        <f>TEXT(Table1[[#This Row],[YEAR]],"0000")&amp;"-"&amp;Table1[[#This Row],[MONTH]]</f>
        <v>-</v>
      </c>
    </row>
    <row r="1211" spans="1:25" ht="15" customHeight="1" x14ac:dyDescent="0.35">
      <c r="A1211" s="24"/>
      <c r="B1211" s="36"/>
      <c r="C1211" s="38"/>
      <c r="D1211" s="38"/>
      <c r="E1211" s="37"/>
      <c r="F1211" s="38"/>
      <c r="G1211" s="198"/>
      <c r="H1211" s="198"/>
      <c r="I1211" s="39"/>
      <c r="J1211" s="38"/>
      <c r="K1211" s="198"/>
      <c r="L1211" s="38"/>
      <c r="M1211" s="38"/>
      <c r="N1211" s="38"/>
      <c r="O1211" s="38"/>
      <c r="P1211" s="40" t="str" cm="1">
        <f t="array" ref="P1211">IF(N1211="","",IFERROR(_xlfn.XLOOKUP(F1211&amp;"|"&amp;J1211&amp;"|"&amp;O1211,PRICES!$C$2:$C$659&amp;"|"&amp;PRICES!$B$2:$B$659&amp;"|"&amp;PRICES!$D$2:$D$659,PRICES!$E$2:$E$659),"Not Found"))</f>
        <v/>
      </c>
      <c r="Q1211" s="100" t="str">
        <f>IF(N1211=0,"",SUMIFS(PRICES!$G$2:$G$658,PRICES!$B$2:$B$658,'MAIN TABLE-1 AUTOMATED'!J1211,PRICES!$C$2:$C$658,'MAIN TABLE-1 AUTOMATED'!F1211,PRICES!$D$2:$D$658,'MAIN TABLE-1 AUTOMATED'!O1211))</f>
        <v/>
      </c>
      <c r="R1211" s="41" t="str">
        <f>IF(Table1[[#This Row],[QUANTITY]]=0,"",Table1[[#This Row],[UNIT PRICE]]*Table1[[#This Row],[QUANTITY]])</f>
        <v/>
      </c>
      <c r="S1211" s="89"/>
      <c r="T1211" s="38"/>
      <c r="U1211" s="43"/>
      <c r="V1211" s="42" t="str">
        <f>IF(Table1[[#This Row],[DATE]]=0,"",YEAR(E1211))</f>
        <v/>
      </c>
      <c r="W1211" s="40" t="str">
        <f t="shared" si="38"/>
        <v/>
      </c>
      <c r="X1211" s="40" t="str">
        <f t="shared" si="39"/>
        <v/>
      </c>
      <c r="Y1211" s="40" t="str">
        <f>TEXT(Table1[[#This Row],[YEAR]],"0000")&amp;"-"&amp;Table1[[#This Row],[MONTH]]</f>
        <v>-</v>
      </c>
    </row>
    <row r="1212" spans="1:25" ht="15" customHeight="1" x14ac:dyDescent="0.35">
      <c r="A1212" s="24"/>
      <c r="B1212" s="36"/>
      <c r="C1212" s="38"/>
      <c r="D1212" s="38"/>
      <c r="E1212" s="37"/>
      <c r="F1212" s="38"/>
      <c r="G1212" s="198"/>
      <c r="H1212" s="198"/>
      <c r="I1212" s="39"/>
      <c r="J1212" s="38"/>
      <c r="K1212" s="198"/>
      <c r="L1212" s="38"/>
      <c r="M1212" s="38"/>
      <c r="N1212" s="38"/>
      <c r="O1212" s="38"/>
      <c r="P1212" s="40" t="str" cm="1">
        <f t="array" ref="P1212">IF(N1212="","",IFERROR(_xlfn.XLOOKUP(F1212&amp;"|"&amp;J1212&amp;"|"&amp;O1212,PRICES!$C$2:$C$659&amp;"|"&amp;PRICES!$B$2:$B$659&amp;"|"&amp;PRICES!$D$2:$D$659,PRICES!$E$2:$E$659),"Not Found"))</f>
        <v/>
      </c>
      <c r="Q1212" s="100" t="str">
        <f>IF(N1212=0,"",SUMIFS(PRICES!$G$2:$G$658,PRICES!$B$2:$B$658,'MAIN TABLE-1 AUTOMATED'!J1212,PRICES!$C$2:$C$658,'MAIN TABLE-1 AUTOMATED'!F1212,PRICES!$D$2:$D$658,'MAIN TABLE-1 AUTOMATED'!O1212))</f>
        <v/>
      </c>
      <c r="R1212" s="41" t="str">
        <f>IF(Table1[[#This Row],[QUANTITY]]=0,"",Table1[[#This Row],[UNIT PRICE]]*Table1[[#This Row],[QUANTITY]])</f>
        <v/>
      </c>
      <c r="S1212" s="89"/>
      <c r="T1212" s="38"/>
      <c r="U1212" s="43"/>
      <c r="V1212" s="42" t="str">
        <f>IF(Table1[[#This Row],[DATE]]=0,"",YEAR(E1212))</f>
        <v/>
      </c>
      <c r="W1212" s="40" t="str">
        <f t="shared" si="38"/>
        <v/>
      </c>
      <c r="X1212" s="40" t="str">
        <f t="shared" si="39"/>
        <v/>
      </c>
      <c r="Y1212" s="40" t="str">
        <f>TEXT(Table1[[#This Row],[YEAR]],"0000")&amp;"-"&amp;Table1[[#This Row],[MONTH]]</f>
        <v>-</v>
      </c>
    </row>
    <row r="1213" spans="1:25" ht="15" customHeight="1" x14ac:dyDescent="0.35">
      <c r="A1213" s="24"/>
      <c r="B1213" s="38"/>
      <c r="C1213" s="38"/>
      <c r="D1213" s="38"/>
      <c r="E1213" s="37"/>
      <c r="F1213" s="38"/>
      <c r="G1213" s="198"/>
      <c r="H1213" s="198"/>
      <c r="I1213" s="39"/>
      <c r="J1213" s="38"/>
      <c r="K1213" s="198"/>
      <c r="L1213" s="38"/>
      <c r="M1213" s="38"/>
      <c r="N1213" s="38"/>
      <c r="O1213" s="38"/>
      <c r="P1213" s="40" t="str" cm="1">
        <f t="array" ref="P1213">IF(N1213="","",IFERROR(_xlfn.XLOOKUP(F1213&amp;"|"&amp;J1213&amp;"|"&amp;O1213,PRICES!$C$2:$C$659&amp;"|"&amp;PRICES!$B$2:$B$659&amp;"|"&amp;PRICES!$D$2:$D$659,PRICES!$E$2:$E$659),"Not Found"))</f>
        <v/>
      </c>
      <c r="Q1213" s="100" t="str">
        <f>IF(N1213=0,"",SUMIFS(PRICES!$G$2:$G$658,PRICES!$B$2:$B$658,'MAIN TABLE-1 AUTOMATED'!J1213,PRICES!$C$2:$C$658,'MAIN TABLE-1 AUTOMATED'!F1213,PRICES!$D$2:$D$658,'MAIN TABLE-1 AUTOMATED'!O1213))</f>
        <v/>
      </c>
      <c r="R1213" s="41" t="str">
        <f>IF(Table1[[#This Row],[QUANTITY]]=0,"",Table1[[#This Row],[UNIT PRICE]]*Table1[[#This Row],[QUANTITY]])</f>
        <v/>
      </c>
      <c r="S1213" s="89"/>
      <c r="T1213" s="38"/>
      <c r="U1213" s="43"/>
      <c r="V1213" s="42" t="str">
        <f>IF(Table1[[#This Row],[DATE]]=0,"",YEAR(E1213))</f>
        <v/>
      </c>
      <c r="W1213" s="40" t="str">
        <f t="shared" si="38"/>
        <v/>
      </c>
      <c r="X1213" s="40" t="str">
        <f t="shared" si="39"/>
        <v/>
      </c>
      <c r="Y1213" s="40" t="str">
        <f>TEXT(Table1[[#This Row],[YEAR]],"0000")&amp;"-"&amp;Table1[[#This Row],[MONTH]]</f>
        <v>-</v>
      </c>
    </row>
    <row r="1214" spans="1:25" ht="15" customHeight="1" x14ac:dyDescent="0.35">
      <c r="A1214" s="24"/>
      <c r="B1214" s="38"/>
      <c r="C1214" s="38"/>
      <c r="D1214" s="38"/>
      <c r="E1214" s="37"/>
      <c r="F1214" s="38"/>
      <c r="G1214" s="198"/>
      <c r="H1214" s="198"/>
      <c r="I1214" s="39"/>
      <c r="J1214" s="38"/>
      <c r="K1214" s="198"/>
      <c r="L1214" s="38"/>
      <c r="M1214" s="38"/>
      <c r="N1214" s="38"/>
      <c r="O1214" s="38"/>
      <c r="P1214" s="40" t="str" cm="1">
        <f t="array" ref="P1214">IF(N1214="","",IFERROR(_xlfn.XLOOKUP(F1214&amp;"|"&amp;J1214&amp;"|"&amp;O1214,PRICES!$C$2:$C$659&amp;"|"&amp;PRICES!$B$2:$B$659&amp;"|"&amp;PRICES!$D$2:$D$659,PRICES!$E$2:$E$659),"Not Found"))</f>
        <v/>
      </c>
      <c r="Q1214" s="100" t="str">
        <f>IF(N1214=0,"",SUMIFS(PRICES!$G$2:$G$658,PRICES!$B$2:$B$658,'MAIN TABLE-1 AUTOMATED'!J1214,PRICES!$C$2:$C$658,'MAIN TABLE-1 AUTOMATED'!F1214,PRICES!$D$2:$D$658,'MAIN TABLE-1 AUTOMATED'!O1214))</f>
        <v/>
      </c>
      <c r="R1214" s="41" t="str">
        <f>IF(Table1[[#This Row],[QUANTITY]]=0,"",Table1[[#This Row],[UNIT PRICE]]*Table1[[#This Row],[QUANTITY]])</f>
        <v/>
      </c>
      <c r="S1214" s="89"/>
      <c r="T1214" s="38"/>
      <c r="U1214" s="43"/>
      <c r="V1214" s="42" t="str">
        <f>IF(Table1[[#This Row],[DATE]]=0,"",YEAR(E1214))</f>
        <v/>
      </c>
      <c r="W1214" s="40" t="str">
        <f t="shared" si="38"/>
        <v/>
      </c>
      <c r="X1214" s="40" t="str">
        <f t="shared" si="39"/>
        <v/>
      </c>
      <c r="Y1214" s="40" t="str">
        <f>TEXT(Table1[[#This Row],[YEAR]],"0000")&amp;"-"&amp;Table1[[#This Row],[MONTH]]</f>
        <v>-</v>
      </c>
    </row>
    <row r="1215" spans="1:25" ht="15" customHeight="1" x14ac:dyDescent="0.35">
      <c r="A1215" s="24"/>
      <c r="B1215" s="38"/>
      <c r="C1215" s="38"/>
      <c r="D1215" s="38"/>
      <c r="E1215" s="37"/>
      <c r="F1215" s="38"/>
      <c r="G1215" s="198"/>
      <c r="H1215" s="198"/>
      <c r="I1215" s="39"/>
      <c r="J1215" s="38"/>
      <c r="K1215" s="198"/>
      <c r="L1215" s="38"/>
      <c r="M1215" s="38"/>
      <c r="N1215" s="38"/>
      <c r="O1215" s="38"/>
      <c r="P1215" s="40" t="str" cm="1">
        <f t="array" ref="P1215">IF(N1215="","",IFERROR(_xlfn.XLOOKUP(F1215&amp;"|"&amp;J1215&amp;"|"&amp;O1215,PRICES!$C$2:$C$659&amp;"|"&amp;PRICES!$B$2:$B$659&amp;"|"&amp;PRICES!$D$2:$D$659,PRICES!$E$2:$E$659),"Not Found"))</f>
        <v/>
      </c>
      <c r="Q1215" s="100" t="str">
        <f>IF(N1215=0,"",SUMIFS(PRICES!$G$2:$G$658,PRICES!$B$2:$B$658,'MAIN TABLE-1 AUTOMATED'!J1215,PRICES!$C$2:$C$658,'MAIN TABLE-1 AUTOMATED'!F1215,PRICES!$D$2:$D$658,'MAIN TABLE-1 AUTOMATED'!O1215))</f>
        <v/>
      </c>
      <c r="R1215" s="41" t="str">
        <f>IF(Table1[[#This Row],[QUANTITY]]=0,"",Table1[[#This Row],[UNIT PRICE]]*Table1[[#This Row],[QUANTITY]])</f>
        <v/>
      </c>
      <c r="S1215" s="89"/>
      <c r="T1215" s="38"/>
      <c r="U1215" s="43"/>
      <c r="V1215" s="42" t="str">
        <f>IF(Table1[[#This Row],[DATE]]=0,"",YEAR(E1215))</f>
        <v/>
      </c>
      <c r="W1215" s="40" t="str">
        <f t="shared" si="38"/>
        <v/>
      </c>
      <c r="X1215" s="40" t="str">
        <f t="shared" si="39"/>
        <v/>
      </c>
      <c r="Y1215" s="40" t="str">
        <f>TEXT(Table1[[#This Row],[YEAR]],"0000")&amp;"-"&amp;Table1[[#This Row],[MONTH]]</f>
        <v>-</v>
      </c>
    </row>
    <row r="1216" spans="1:25" ht="15" customHeight="1" x14ac:dyDescent="0.35">
      <c r="A1216" s="24"/>
      <c r="B1216" s="38"/>
      <c r="C1216" s="38"/>
      <c r="D1216" s="38"/>
      <c r="E1216" s="37"/>
      <c r="F1216" s="38"/>
      <c r="G1216" s="198"/>
      <c r="H1216" s="198"/>
      <c r="I1216" s="39"/>
      <c r="J1216" s="38"/>
      <c r="K1216" s="198"/>
      <c r="L1216" s="38"/>
      <c r="M1216" s="38"/>
      <c r="N1216" s="38"/>
      <c r="O1216" s="38"/>
      <c r="P1216" s="40" t="str" cm="1">
        <f t="array" ref="P1216">IF(N1216="","",IFERROR(_xlfn.XLOOKUP(F1216&amp;"|"&amp;J1216&amp;"|"&amp;O1216,PRICES!$C$2:$C$659&amp;"|"&amp;PRICES!$B$2:$B$659&amp;"|"&amp;PRICES!$D$2:$D$659,PRICES!$E$2:$E$659),"Not Found"))</f>
        <v/>
      </c>
      <c r="Q1216" s="100" t="str">
        <f>IF(N1216=0,"",SUMIFS(PRICES!$G$2:$G$658,PRICES!$B$2:$B$658,'MAIN TABLE-1 AUTOMATED'!J1216,PRICES!$C$2:$C$658,'MAIN TABLE-1 AUTOMATED'!F1216,PRICES!$D$2:$D$658,'MAIN TABLE-1 AUTOMATED'!O1216))</f>
        <v/>
      </c>
      <c r="R1216" s="41" t="str">
        <f>IF(Table1[[#This Row],[QUANTITY]]=0,"",Table1[[#This Row],[UNIT PRICE]]*Table1[[#This Row],[QUANTITY]])</f>
        <v/>
      </c>
      <c r="S1216" s="89"/>
      <c r="T1216" s="38"/>
      <c r="U1216" s="43"/>
      <c r="V1216" s="42" t="str">
        <f>IF(Table1[[#This Row],[DATE]]=0,"",YEAR(E1216))</f>
        <v/>
      </c>
      <c r="W1216" s="40" t="str">
        <f t="shared" si="38"/>
        <v/>
      </c>
      <c r="X1216" s="40" t="str">
        <f t="shared" si="39"/>
        <v/>
      </c>
      <c r="Y1216" s="40" t="str">
        <f>TEXT(Table1[[#This Row],[YEAR]],"0000")&amp;"-"&amp;Table1[[#This Row],[MONTH]]</f>
        <v>-</v>
      </c>
    </row>
    <row r="1217" spans="1:28" ht="15" customHeight="1" x14ac:dyDescent="0.35">
      <c r="A1217" s="24"/>
      <c r="B1217" s="38"/>
      <c r="C1217" s="38"/>
      <c r="D1217" s="38"/>
      <c r="E1217" s="37"/>
      <c r="F1217" s="38"/>
      <c r="G1217" s="198"/>
      <c r="H1217" s="198"/>
      <c r="I1217" s="39"/>
      <c r="J1217" s="38"/>
      <c r="K1217" s="198"/>
      <c r="L1217" s="38"/>
      <c r="M1217" s="38"/>
      <c r="N1217" s="38"/>
      <c r="O1217" s="38"/>
      <c r="P1217" s="40" t="str" cm="1">
        <f t="array" ref="P1217">IF(N1217="","",IFERROR(_xlfn.XLOOKUP(F1217&amp;"|"&amp;J1217&amp;"|"&amp;O1217,PRICES!$C$2:$C$659&amp;"|"&amp;PRICES!$B$2:$B$659&amp;"|"&amp;PRICES!$D$2:$D$659,PRICES!$E$2:$E$659),"Not Found"))</f>
        <v/>
      </c>
      <c r="Q1217" s="100" t="str">
        <f>IF(N1217=0,"",SUMIFS(PRICES!$G$2:$G$658,PRICES!$B$2:$B$658,'MAIN TABLE-1 AUTOMATED'!J1217,PRICES!$C$2:$C$658,'MAIN TABLE-1 AUTOMATED'!F1217,PRICES!$D$2:$D$658,'MAIN TABLE-1 AUTOMATED'!O1217))</f>
        <v/>
      </c>
      <c r="R1217" s="41" t="str">
        <f>IF(Table1[[#This Row],[QUANTITY]]=0,"",Table1[[#This Row],[UNIT PRICE]]*Table1[[#This Row],[QUANTITY]])</f>
        <v/>
      </c>
      <c r="S1217" s="89"/>
      <c r="T1217" s="38"/>
      <c r="U1217" s="43"/>
      <c r="V1217" s="42" t="str">
        <f>IF(Table1[[#This Row],[DATE]]=0,"",YEAR(E1217))</f>
        <v/>
      </c>
      <c r="W1217" s="40" t="str">
        <f t="shared" si="38"/>
        <v/>
      </c>
      <c r="X1217" s="40" t="str">
        <f t="shared" si="39"/>
        <v/>
      </c>
      <c r="Y1217" s="40" t="str">
        <f>TEXT(Table1[[#This Row],[YEAR]],"0000")&amp;"-"&amp;Table1[[#This Row],[MONTH]]</f>
        <v>-</v>
      </c>
    </row>
    <row r="1218" spans="1:28" ht="15" customHeight="1" x14ac:dyDescent="0.35">
      <c r="A1218" s="24"/>
      <c r="B1218" s="38"/>
      <c r="C1218" s="38"/>
      <c r="D1218" s="38"/>
      <c r="E1218" s="37"/>
      <c r="F1218" s="38"/>
      <c r="G1218" s="198"/>
      <c r="H1218" s="198"/>
      <c r="I1218" s="39"/>
      <c r="J1218" s="38"/>
      <c r="K1218" s="198"/>
      <c r="L1218" s="38"/>
      <c r="M1218" s="38"/>
      <c r="N1218" s="38"/>
      <c r="O1218" s="38"/>
      <c r="P1218" s="40" t="str" cm="1">
        <f t="array" ref="P1218">IF(N1218="","",IFERROR(_xlfn.XLOOKUP(F1218&amp;"|"&amp;J1218&amp;"|"&amp;O1218,PRICES!$C$2:$C$659&amp;"|"&amp;PRICES!$B$2:$B$659&amp;"|"&amp;PRICES!$D$2:$D$659,PRICES!$E$2:$E$659),"Not Found"))</f>
        <v/>
      </c>
      <c r="Q1218" s="100" t="str">
        <f>IF(N1218=0,"",SUMIFS(PRICES!$G$2:$G$658,PRICES!$B$2:$B$658,'MAIN TABLE-1 AUTOMATED'!J1218,PRICES!$C$2:$C$658,'MAIN TABLE-1 AUTOMATED'!F1218,PRICES!$D$2:$D$658,'MAIN TABLE-1 AUTOMATED'!O1218))</f>
        <v/>
      </c>
      <c r="R1218" s="41" t="str">
        <f>IF(Table1[[#This Row],[QUANTITY]]=0,"",Table1[[#This Row],[UNIT PRICE]]*Table1[[#This Row],[QUANTITY]])</f>
        <v/>
      </c>
      <c r="S1218" s="89"/>
      <c r="T1218" s="38"/>
      <c r="U1218" s="43"/>
      <c r="V1218" s="42" t="str">
        <f>IF(Table1[[#This Row],[DATE]]=0,"",YEAR(E1218))</f>
        <v/>
      </c>
      <c r="W1218" s="40" t="str">
        <f t="shared" si="38"/>
        <v/>
      </c>
      <c r="X1218" s="40" t="str">
        <f t="shared" si="39"/>
        <v/>
      </c>
      <c r="Y1218" s="40" t="str">
        <f>TEXT(Table1[[#This Row],[YEAR]],"0000")&amp;"-"&amp;Table1[[#This Row],[MONTH]]</f>
        <v>-</v>
      </c>
    </row>
    <row r="1219" spans="1:28" ht="15" customHeight="1" x14ac:dyDescent="0.35">
      <c r="A1219" s="24"/>
      <c r="B1219" s="38"/>
      <c r="C1219" s="38"/>
      <c r="D1219" s="38"/>
      <c r="E1219" s="37"/>
      <c r="F1219" s="38"/>
      <c r="G1219" s="198"/>
      <c r="H1219" s="198"/>
      <c r="I1219" s="39"/>
      <c r="J1219" s="38"/>
      <c r="K1219" s="198"/>
      <c r="L1219" s="38"/>
      <c r="M1219" s="38"/>
      <c r="N1219" s="38"/>
      <c r="O1219" s="38"/>
      <c r="P1219" s="40" t="str" cm="1">
        <f t="array" ref="P1219">IF(N1219="","",IFERROR(_xlfn.XLOOKUP(F1219&amp;"|"&amp;J1219&amp;"|"&amp;O1219,PRICES!$C$2:$C$659&amp;"|"&amp;PRICES!$B$2:$B$659&amp;"|"&amp;PRICES!$D$2:$D$659,PRICES!$E$2:$E$659),"Not Found"))</f>
        <v/>
      </c>
      <c r="Q1219" s="100" t="str">
        <f>IF(N1219=0,"",SUMIFS(PRICES!$G$2:$G$658,PRICES!$B$2:$B$658,'MAIN TABLE-1 AUTOMATED'!J1219,PRICES!$C$2:$C$658,'MAIN TABLE-1 AUTOMATED'!F1219,PRICES!$D$2:$D$658,'MAIN TABLE-1 AUTOMATED'!O1219))</f>
        <v/>
      </c>
      <c r="R1219" s="41" t="str">
        <f>IF(Table1[[#This Row],[QUANTITY]]=0,"",Table1[[#This Row],[UNIT PRICE]]*Table1[[#This Row],[QUANTITY]])</f>
        <v/>
      </c>
      <c r="S1219" s="89"/>
      <c r="T1219" s="38"/>
      <c r="U1219" s="43"/>
      <c r="V1219" s="42" t="str">
        <f>IF(Table1[[#This Row],[DATE]]=0,"",YEAR(E1219))</f>
        <v/>
      </c>
      <c r="W1219" s="40" t="str">
        <f t="shared" si="38"/>
        <v/>
      </c>
      <c r="X1219" s="40" t="str">
        <f t="shared" si="39"/>
        <v/>
      </c>
      <c r="Y1219" s="40" t="str">
        <f>TEXT(Table1[[#This Row],[YEAR]],"0000")&amp;"-"&amp;Table1[[#This Row],[MONTH]]</f>
        <v>-</v>
      </c>
    </row>
    <row r="1220" spans="1:28" ht="15" customHeight="1" x14ac:dyDescent="0.35">
      <c r="A1220" s="24"/>
      <c r="B1220" s="38"/>
      <c r="C1220" s="38"/>
      <c r="D1220" s="38"/>
      <c r="E1220" s="37"/>
      <c r="F1220" s="38"/>
      <c r="G1220" s="198"/>
      <c r="H1220" s="198"/>
      <c r="I1220" s="39"/>
      <c r="J1220" s="38"/>
      <c r="K1220" s="198"/>
      <c r="L1220" s="38"/>
      <c r="M1220" s="38"/>
      <c r="N1220" s="38"/>
      <c r="O1220" s="38"/>
      <c r="P1220" s="40" t="str" cm="1">
        <f t="array" ref="P1220">IF(N1220="","",IFERROR(_xlfn.XLOOKUP(F1220&amp;"|"&amp;J1220&amp;"|"&amp;O1220,PRICES!$C$2:$C$659&amp;"|"&amp;PRICES!$B$2:$B$659&amp;"|"&amp;PRICES!$D$2:$D$659,PRICES!$E$2:$E$659),"Not Found"))</f>
        <v/>
      </c>
      <c r="Q1220" s="100" t="str">
        <f>IF(N1220=0,"",SUMIFS(PRICES!$G$2:$G$658,PRICES!$B$2:$B$658,'MAIN TABLE-1 AUTOMATED'!J1220,PRICES!$C$2:$C$658,'MAIN TABLE-1 AUTOMATED'!F1220,PRICES!$D$2:$D$658,'MAIN TABLE-1 AUTOMATED'!O1220))</f>
        <v/>
      </c>
      <c r="R1220" s="41" t="str">
        <f>IF(Table1[[#This Row],[QUANTITY]]=0,"",Table1[[#This Row],[UNIT PRICE]]*Table1[[#This Row],[QUANTITY]])</f>
        <v/>
      </c>
      <c r="S1220" s="89"/>
      <c r="T1220" s="38"/>
      <c r="U1220" s="43"/>
      <c r="V1220" s="42" t="str">
        <f>IF(Table1[[#This Row],[DATE]]=0,"",YEAR(E1220))</f>
        <v/>
      </c>
      <c r="W1220" s="40" t="str">
        <f t="shared" si="38"/>
        <v/>
      </c>
      <c r="X1220" s="40" t="str">
        <f t="shared" si="39"/>
        <v/>
      </c>
      <c r="Y1220" s="40" t="str">
        <f>TEXT(Table1[[#This Row],[YEAR]],"0000")&amp;"-"&amp;Table1[[#This Row],[MONTH]]</f>
        <v>-</v>
      </c>
    </row>
    <row r="1221" spans="1:28" ht="15" customHeight="1" x14ac:dyDescent="0.35">
      <c r="A1221" s="24"/>
      <c r="B1221" s="38"/>
      <c r="C1221" s="38"/>
      <c r="D1221" s="38"/>
      <c r="E1221" s="37"/>
      <c r="F1221" s="38"/>
      <c r="G1221" s="198"/>
      <c r="H1221" s="198"/>
      <c r="I1221" s="39"/>
      <c r="J1221" s="38"/>
      <c r="K1221" s="198"/>
      <c r="L1221" s="38"/>
      <c r="M1221" s="38"/>
      <c r="N1221" s="38"/>
      <c r="O1221" s="38"/>
      <c r="P1221" s="40" t="str" cm="1">
        <f t="array" ref="P1221">IF(N1221="","",IFERROR(_xlfn.XLOOKUP(F1221&amp;"|"&amp;J1221&amp;"|"&amp;O1221,PRICES!$C$2:$C$659&amp;"|"&amp;PRICES!$B$2:$B$659&amp;"|"&amp;PRICES!$D$2:$D$659,PRICES!$E$2:$E$659),"Not Found"))</f>
        <v/>
      </c>
      <c r="Q1221" s="100" t="str">
        <f>IF(N1221=0,"",SUMIFS(PRICES!$G$2:$G$658,PRICES!$B$2:$B$658,'MAIN TABLE-1 AUTOMATED'!J1221,PRICES!$C$2:$C$658,'MAIN TABLE-1 AUTOMATED'!F1221,PRICES!$D$2:$D$658,'MAIN TABLE-1 AUTOMATED'!O1221))</f>
        <v/>
      </c>
      <c r="R1221" s="41" t="str">
        <f>IF(Table1[[#This Row],[QUANTITY]]=0,"",Table1[[#This Row],[UNIT PRICE]]*Table1[[#This Row],[QUANTITY]])</f>
        <v/>
      </c>
      <c r="S1221" s="89"/>
      <c r="T1221" s="38"/>
      <c r="U1221" s="43"/>
      <c r="V1221" s="42" t="str">
        <f>IF(Table1[[#This Row],[DATE]]=0,"",YEAR(E1221))</f>
        <v/>
      </c>
      <c r="W1221" s="40" t="str">
        <f t="shared" si="38"/>
        <v/>
      </c>
      <c r="X1221" s="40" t="str">
        <f t="shared" si="39"/>
        <v/>
      </c>
      <c r="Y1221" s="40" t="str">
        <f>TEXT(Table1[[#This Row],[YEAR]],"0000")&amp;"-"&amp;Table1[[#This Row],[MONTH]]</f>
        <v>-</v>
      </c>
    </row>
    <row r="1222" spans="1:28" ht="15" customHeight="1" x14ac:dyDescent="0.35">
      <c r="A1222" s="24"/>
      <c r="B1222" s="38"/>
      <c r="C1222" s="38"/>
      <c r="D1222" s="38"/>
      <c r="E1222" s="37"/>
      <c r="F1222" s="38"/>
      <c r="G1222" s="198"/>
      <c r="H1222" s="198"/>
      <c r="I1222" s="39"/>
      <c r="J1222" s="38"/>
      <c r="K1222" s="198"/>
      <c r="L1222" s="38"/>
      <c r="M1222" s="38"/>
      <c r="N1222" s="38"/>
      <c r="O1222" s="38"/>
      <c r="P1222" s="40" t="str" cm="1">
        <f t="array" ref="P1222">IF(N1222="","",IFERROR(_xlfn.XLOOKUP(F1222&amp;"|"&amp;J1222&amp;"|"&amp;O1222,PRICES!$C$2:$C$659&amp;"|"&amp;PRICES!$B$2:$B$659&amp;"|"&amp;PRICES!$D$2:$D$659,PRICES!$E$2:$E$659),"Not Found"))</f>
        <v/>
      </c>
      <c r="Q1222" s="100" t="str">
        <f>IF(N1222=0,"",SUMIFS(PRICES!$G$2:$G$658,PRICES!$B$2:$B$658,'MAIN TABLE-1 AUTOMATED'!J1222,PRICES!$C$2:$C$658,'MAIN TABLE-1 AUTOMATED'!F1222,PRICES!$D$2:$D$658,'MAIN TABLE-1 AUTOMATED'!O1222))</f>
        <v/>
      </c>
      <c r="R1222" s="41" t="str">
        <f>IF(Table1[[#This Row],[QUANTITY]]=0,"",Table1[[#This Row],[UNIT PRICE]]*Table1[[#This Row],[QUANTITY]])</f>
        <v/>
      </c>
      <c r="S1222" s="89"/>
      <c r="T1222" s="38"/>
      <c r="U1222" s="43"/>
      <c r="V1222" s="42" t="str">
        <f>IF(Table1[[#This Row],[DATE]]=0,"",YEAR(E1222))</f>
        <v/>
      </c>
      <c r="W1222" s="40" t="str">
        <f t="shared" si="38"/>
        <v/>
      </c>
      <c r="X1222" s="40" t="str">
        <f t="shared" si="39"/>
        <v/>
      </c>
      <c r="Y1222" s="40" t="str">
        <f>TEXT(Table1[[#This Row],[YEAR]],"0000")&amp;"-"&amp;Table1[[#This Row],[MONTH]]</f>
        <v>-</v>
      </c>
      <c r="AB1222" s="3"/>
    </row>
    <row r="1223" spans="1:28" ht="15" customHeight="1" x14ac:dyDescent="0.35">
      <c r="A1223" s="24"/>
      <c r="B1223" s="38"/>
      <c r="C1223" s="38"/>
      <c r="D1223" s="38"/>
      <c r="E1223" s="37"/>
      <c r="F1223" s="38"/>
      <c r="G1223" s="198"/>
      <c r="H1223" s="198"/>
      <c r="I1223" s="39"/>
      <c r="J1223" s="38"/>
      <c r="K1223" s="198"/>
      <c r="L1223" s="38"/>
      <c r="M1223" s="38"/>
      <c r="N1223" s="38"/>
      <c r="O1223" s="38"/>
      <c r="P1223" s="40" t="str" cm="1">
        <f t="array" ref="P1223">IF(N1223="","",IFERROR(_xlfn.XLOOKUP(F1223&amp;"|"&amp;J1223&amp;"|"&amp;O1223,PRICES!$C$2:$C$659&amp;"|"&amp;PRICES!$B$2:$B$659&amp;"|"&amp;PRICES!$D$2:$D$659,PRICES!$E$2:$E$659),"Not Found"))</f>
        <v/>
      </c>
      <c r="Q1223" s="100" t="str">
        <f>IF(N1223=0,"",SUMIFS(PRICES!$G$2:$G$658,PRICES!$B$2:$B$658,'MAIN TABLE-1 AUTOMATED'!J1223,PRICES!$C$2:$C$658,'MAIN TABLE-1 AUTOMATED'!F1223,PRICES!$D$2:$D$658,'MAIN TABLE-1 AUTOMATED'!O1223))</f>
        <v/>
      </c>
      <c r="R1223" s="41" t="str">
        <f>IF(Table1[[#This Row],[QUANTITY]]=0,"",Table1[[#This Row],[UNIT PRICE]]*Table1[[#This Row],[QUANTITY]])</f>
        <v/>
      </c>
      <c r="S1223" s="89"/>
      <c r="T1223" s="38"/>
      <c r="U1223" s="43"/>
      <c r="V1223" s="42" t="str">
        <f>IF(Table1[[#This Row],[DATE]]=0,"",YEAR(E1223))</f>
        <v/>
      </c>
      <c r="W1223" s="40" t="str">
        <f t="shared" si="38"/>
        <v/>
      </c>
      <c r="X1223" s="40" t="str">
        <f t="shared" si="39"/>
        <v/>
      </c>
      <c r="Y1223" s="40" t="str">
        <f>TEXT(Table1[[#This Row],[YEAR]],"0000")&amp;"-"&amp;Table1[[#This Row],[MONTH]]</f>
        <v>-</v>
      </c>
      <c r="AB1223" s="3"/>
    </row>
    <row r="1224" spans="1:28" ht="15" customHeight="1" x14ac:dyDescent="0.35">
      <c r="A1224" s="24"/>
      <c r="B1224" s="38"/>
      <c r="C1224" s="38"/>
      <c r="D1224" s="38"/>
      <c r="E1224" s="37"/>
      <c r="F1224" s="38"/>
      <c r="G1224" s="198"/>
      <c r="H1224" s="198"/>
      <c r="I1224" s="39"/>
      <c r="J1224" s="38"/>
      <c r="K1224" s="198"/>
      <c r="L1224" s="38"/>
      <c r="M1224" s="38"/>
      <c r="N1224" s="38"/>
      <c r="O1224" s="38"/>
      <c r="P1224" s="40" t="str" cm="1">
        <f t="array" ref="P1224">IF(N1224="","",IFERROR(_xlfn.XLOOKUP(F1224&amp;"|"&amp;J1224&amp;"|"&amp;O1224,PRICES!$C$2:$C$659&amp;"|"&amp;PRICES!$B$2:$B$659&amp;"|"&amp;PRICES!$D$2:$D$659,PRICES!$E$2:$E$659),"Not Found"))</f>
        <v/>
      </c>
      <c r="Q1224" s="100" t="str">
        <f>IF(N1224=0,"",SUMIFS(PRICES!$G$2:$G$658,PRICES!$B$2:$B$658,'MAIN TABLE-1 AUTOMATED'!J1224,PRICES!$C$2:$C$658,'MAIN TABLE-1 AUTOMATED'!F1224,PRICES!$D$2:$D$658,'MAIN TABLE-1 AUTOMATED'!O1224))</f>
        <v/>
      </c>
      <c r="R1224" s="41" t="str">
        <f>IF(Table1[[#This Row],[QUANTITY]]=0,"",Table1[[#This Row],[UNIT PRICE]]*Table1[[#This Row],[QUANTITY]])</f>
        <v/>
      </c>
      <c r="S1224" s="89"/>
      <c r="T1224" s="38"/>
      <c r="U1224" s="43"/>
      <c r="V1224" s="42" t="str">
        <f>IF(Table1[[#This Row],[DATE]]=0,"",YEAR(E1224))</f>
        <v/>
      </c>
      <c r="W1224" s="40" t="str">
        <f t="shared" si="38"/>
        <v/>
      </c>
      <c r="X1224" s="40" t="str">
        <f t="shared" si="39"/>
        <v/>
      </c>
      <c r="Y1224" s="40" t="str">
        <f>TEXT(Table1[[#This Row],[YEAR]],"0000")&amp;"-"&amp;Table1[[#This Row],[MONTH]]</f>
        <v>-</v>
      </c>
      <c r="AB1224" s="3"/>
    </row>
    <row r="1225" spans="1:28" ht="15" customHeight="1" x14ac:dyDescent="0.35">
      <c r="A1225" s="24"/>
      <c r="B1225" s="38"/>
      <c r="C1225" s="38"/>
      <c r="D1225" s="38"/>
      <c r="E1225" s="37"/>
      <c r="F1225" s="38"/>
      <c r="G1225" s="198"/>
      <c r="H1225" s="198"/>
      <c r="I1225" s="39"/>
      <c r="J1225" s="38"/>
      <c r="K1225" s="198"/>
      <c r="L1225" s="38"/>
      <c r="M1225" s="38"/>
      <c r="N1225" s="38"/>
      <c r="O1225" s="38"/>
      <c r="P1225" s="40" t="str" cm="1">
        <f t="array" ref="P1225">IF(N1225="","",IFERROR(_xlfn.XLOOKUP(F1225&amp;"|"&amp;J1225&amp;"|"&amp;O1225,PRICES!$C$2:$C$659&amp;"|"&amp;PRICES!$B$2:$B$659&amp;"|"&amp;PRICES!$D$2:$D$659,PRICES!$E$2:$E$659),"Not Found"))</f>
        <v/>
      </c>
      <c r="Q1225" s="100" t="str">
        <f>IF(N1225=0,"",SUMIFS(PRICES!$G$2:$G$658,PRICES!$B$2:$B$658,'MAIN TABLE-1 AUTOMATED'!J1225,PRICES!$C$2:$C$658,'MAIN TABLE-1 AUTOMATED'!F1225,PRICES!$D$2:$D$658,'MAIN TABLE-1 AUTOMATED'!O1225))</f>
        <v/>
      </c>
      <c r="R1225" s="41" t="str">
        <f>IF(Table1[[#This Row],[QUANTITY]]=0,"",Table1[[#This Row],[UNIT PRICE]]*Table1[[#This Row],[QUANTITY]])</f>
        <v/>
      </c>
      <c r="S1225" s="89"/>
      <c r="T1225" s="38"/>
      <c r="U1225" s="43"/>
      <c r="V1225" s="42" t="str">
        <f>IF(Table1[[#This Row],[DATE]]=0,"",YEAR(E1225))</f>
        <v/>
      </c>
      <c r="W1225" s="40" t="str">
        <f t="shared" si="38"/>
        <v/>
      </c>
      <c r="X1225" s="40" t="str">
        <f t="shared" si="39"/>
        <v/>
      </c>
      <c r="Y1225" s="40" t="str">
        <f>TEXT(Table1[[#This Row],[YEAR]],"0000")&amp;"-"&amp;Table1[[#This Row],[MONTH]]</f>
        <v>-</v>
      </c>
      <c r="AB1225" s="3"/>
    </row>
    <row r="1226" spans="1:28" ht="15" customHeight="1" x14ac:dyDescent="0.35">
      <c r="A1226" s="24"/>
      <c r="B1226" s="38"/>
      <c r="C1226" s="38"/>
      <c r="D1226" s="38"/>
      <c r="E1226" s="37"/>
      <c r="F1226" s="38"/>
      <c r="G1226" s="198"/>
      <c r="H1226" s="198"/>
      <c r="I1226" s="39"/>
      <c r="J1226" s="38"/>
      <c r="K1226" s="198"/>
      <c r="L1226" s="38"/>
      <c r="M1226" s="38"/>
      <c r="N1226" s="38"/>
      <c r="O1226" s="38"/>
      <c r="P1226" s="40" t="str" cm="1">
        <f t="array" ref="P1226">IF(N1226="","",IFERROR(_xlfn.XLOOKUP(F1226&amp;"|"&amp;J1226&amp;"|"&amp;O1226,PRICES!$C$2:$C$659&amp;"|"&amp;PRICES!$B$2:$B$659&amp;"|"&amp;PRICES!$D$2:$D$659,PRICES!$E$2:$E$659),"Not Found"))</f>
        <v/>
      </c>
      <c r="Q1226" s="100" t="str">
        <f>IF(N1226=0,"",SUMIFS(PRICES!$G$2:$G$658,PRICES!$B$2:$B$658,'MAIN TABLE-1 AUTOMATED'!J1226,PRICES!$C$2:$C$658,'MAIN TABLE-1 AUTOMATED'!F1226,PRICES!$D$2:$D$658,'MAIN TABLE-1 AUTOMATED'!O1226))</f>
        <v/>
      </c>
      <c r="R1226" s="41" t="str">
        <f>IF(Table1[[#This Row],[QUANTITY]]=0,"",Table1[[#This Row],[UNIT PRICE]]*Table1[[#This Row],[QUANTITY]])</f>
        <v/>
      </c>
      <c r="S1226" s="89"/>
      <c r="T1226" s="38"/>
      <c r="U1226" s="43"/>
      <c r="V1226" s="42" t="str">
        <f>IF(Table1[[#This Row],[DATE]]=0,"",YEAR(E1226))</f>
        <v/>
      </c>
      <c r="W1226" s="40" t="str">
        <f t="shared" si="38"/>
        <v/>
      </c>
      <c r="X1226" s="40" t="str">
        <f t="shared" si="39"/>
        <v/>
      </c>
      <c r="Y1226" s="40" t="str">
        <f>TEXT(Table1[[#This Row],[YEAR]],"0000")&amp;"-"&amp;Table1[[#This Row],[MONTH]]</f>
        <v>-</v>
      </c>
      <c r="AB1226" s="3"/>
    </row>
    <row r="1227" spans="1:28" ht="15" customHeight="1" x14ac:dyDescent="0.35">
      <c r="A1227" s="24"/>
      <c r="B1227" s="38"/>
      <c r="C1227" s="38"/>
      <c r="D1227" s="38"/>
      <c r="E1227" s="37"/>
      <c r="F1227" s="38"/>
      <c r="G1227" s="198"/>
      <c r="H1227" s="198"/>
      <c r="I1227" s="39"/>
      <c r="J1227" s="38"/>
      <c r="K1227" s="198"/>
      <c r="L1227" s="38"/>
      <c r="M1227" s="38"/>
      <c r="N1227" s="38"/>
      <c r="O1227" s="38"/>
      <c r="P1227" s="40" t="str" cm="1">
        <f t="array" ref="P1227">IF(N1227="","",IFERROR(_xlfn.XLOOKUP(F1227&amp;"|"&amp;J1227&amp;"|"&amp;O1227,PRICES!$C$2:$C$659&amp;"|"&amp;PRICES!$B$2:$B$659&amp;"|"&amp;PRICES!$D$2:$D$659,PRICES!$E$2:$E$659),"Not Found"))</f>
        <v/>
      </c>
      <c r="Q1227" s="100" t="str">
        <f>IF(N1227=0,"",SUMIFS(PRICES!$G$2:$G$658,PRICES!$B$2:$B$658,'MAIN TABLE-1 AUTOMATED'!J1227,PRICES!$C$2:$C$658,'MAIN TABLE-1 AUTOMATED'!F1227,PRICES!$D$2:$D$658,'MAIN TABLE-1 AUTOMATED'!O1227))</f>
        <v/>
      </c>
      <c r="R1227" s="41" t="str">
        <f>IF(Table1[[#This Row],[QUANTITY]]=0,"",Table1[[#This Row],[UNIT PRICE]]*Table1[[#This Row],[QUANTITY]])</f>
        <v/>
      </c>
      <c r="S1227" s="89"/>
      <c r="T1227" s="38"/>
      <c r="U1227" s="43"/>
      <c r="V1227" s="42" t="str">
        <f>IF(Table1[[#This Row],[DATE]]=0,"",YEAR(E1227))</f>
        <v/>
      </c>
      <c r="W1227" s="40" t="str">
        <f t="shared" si="38"/>
        <v/>
      </c>
      <c r="X1227" s="40" t="str">
        <f t="shared" si="39"/>
        <v/>
      </c>
      <c r="Y1227" s="40" t="str">
        <f>TEXT(Table1[[#This Row],[YEAR]],"0000")&amp;"-"&amp;Table1[[#This Row],[MONTH]]</f>
        <v>-</v>
      </c>
      <c r="AB1227" s="3"/>
    </row>
    <row r="1228" spans="1:28" ht="15" customHeight="1" x14ac:dyDescent="0.35">
      <c r="A1228" s="24"/>
      <c r="B1228" s="38"/>
      <c r="C1228" s="38"/>
      <c r="D1228" s="38"/>
      <c r="E1228" s="37"/>
      <c r="F1228" s="38"/>
      <c r="G1228" s="198"/>
      <c r="H1228" s="198"/>
      <c r="I1228" s="39"/>
      <c r="J1228" s="38"/>
      <c r="K1228" s="198"/>
      <c r="L1228" s="38"/>
      <c r="M1228" s="38"/>
      <c r="N1228" s="38"/>
      <c r="O1228" s="38"/>
      <c r="P1228" s="40" t="str" cm="1">
        <f t="array" ref="P1228">IF(N1228="","",IFERROR(_xlfn.XLOOKUP(F1228&amp;"|"&amp;J1228&amp;"|"&amp;O1228,PRICES!$C$2:$C$659&amp;"|"&amp;PRICES!$B$2:$B$659&amp;"|"&amp;PRICES!$D$2:$D$659,PRICES!$E$2:$E$659),"Not Found"))</f>
        <v/>
      </c>
      <c r="Q1228" s="100" t="str">
        <f>IF(N1228=0,"",SUMIFS(PRICES!$G$2:$G$658,PRICES!$B$2:$B$658,'MAIN TABLE-1 AUTOMATED'!J1228,PRICES!$C$2:$C$658,'MAIN TABLE-1 AUTOMATED'!F1228,PRICES!$D$2:$D$658,'MAIN TABLE-1 AUTOMATED'!O1228))</f>
        <v/>
      </c>
      <c r="R1228" s="41" t="str">
        <f>IF(Table1[[#This Row],[QUANTITY]]=0,"",Table1[[#This Row],[UNIT PRICE]]*Table1[[#This Row],[QUANTITY]])</f>
        <v/>
      </c>
      <c r="S1228" s="89"/>
      <c r="T1228" s="38"/>
      <c r="U1228" s="43"/>
      <c r="V1228" s="42" t="str">
        <f>IF(Table1[[#This Row],[DATE]]=0,"",YEAR(E1228))</f>
        <v/>
      </c>
      <c r="W1228" s="40" t="str">
        <f t="shared" si="38"/>
        <v/>
      </c>
      <c r="X1228" s="40" t="str">
        <f t="shared" si="39"/>
        <v/>
      </c>
      <c r="Y1228" s="40" t="str">
        <f>TEXT(Table1[[#This Row],[YEAR]],"0000")&amp;"-"&amp;Table1[[#This Row],[MONTH]]</f>
        <v>-</v>
      </c>
      <c r="AB1228" s="3"/>
    </row>
    <row r="1229" spans="1:28" ht="15" customHeight="1" x14ac:dyDescent="0.35">
      <c r="A1229" s="24"/>
      <c r="B1229" s="38"/>
      <c r="C1229" s="38"/>
      <c r="D1229" s="38"/>
      <c r="E1229" s="37"/>
      <c r="F1229" s="38"/>
      <c r="G1229" s="198"/>
      <c r="H1229" s="198"/>
      <c r="I1229" s="39"/>
      <c r="J1229" s="38"/>
      <c r="K1229" s="198"/>
      <c r="L1229" s="38"/>
      <c r="M1229" s="38"/>
      <c r="N1229" s="38"/>
      <c r="O1229" s="38"/>
      <c r="P1229" s="40" t="str" cm="1">
        <f t="array" ref="P1229">IF(N1229="","",IFERROR(_xlfn.XLOOKUP(F1229&amp;"|"&amp;J1229&amp;"|"&amp;O1229,PRICES!$C$2:$C$659&amp;"|"&amp;PRICES!$B$2:$B$659&amp;"|"&amp;PRICES!$D$2:$D$659,PRICES!$E$2:$E$659),"Not Found"))</f>
        <v/>
      </c>
      <c r="Q1229" s="100" t="str">
        <f>IF(N1229=0,"",SUMIFS(PRICES!$G$2:$G$658,PRICES!$B$2:$B$658,'MAIN TABLE-1 AUTOMATED'!J1229,PRICES!$C$2:$C$658,'MAIN TABLE-1 AUTOMATED'!F1229,PRICES!$D$2:$D$658,'MAIN TABLE-1 AUTOMATED'!O1229))</f>
        <v/>
      </c>
      <c r="R1229" s="41" t="str">
        <f>IF(Table1[[#This Row],[QUANTITY]]=0,"",Table1[[#This Row],[UNIT PRICE]]*Table1[[#This Row],[QUANTITY]])</f>
        <v/>
      </c>
      <c r="S1229" s="89"/>
      <c r="T1229" s="38"/>
      <c r="U1229" s="43"/>
      <c r="V1229" s="42" t="str">
        <f>IF(Table1[[#This Row],[DATE]]=0,"",YEAR(E1229))</f>
        <v/>
      </c>
      <c r="W1229" s="40" t="str">
        <f t="shared" si="38"/>
        <v/>
      </c>
      <c r="X1229" s="40" t="str">
        <f t="shared" si="39"/>
        <v/>
      </c>
      <c r="Y1229" s="40" t="str">
        <f>TEXT(Table1[[#This Row],[YEAR]],"0000")&amp;"-"&amp;Table1[[#This Row],[MONTH]]</f>
        <v>-</v>
      </c>
      <c r="AB1229" s="3"/>
    </row>
    <row r="1230" spans="1:28" ht="15" customHeight="1" x14ac:dyDescent="0.35">
      <c r="A1230" s="24"/>
      <c r="B1230" s="36"/>
      <c r="C1230" s="38"/>
      <c r="D1230" s="38"/>
      <c r="E1230" s="37"/>
      <c r="F1230" s="38"/>
      <c r="G1230" s="198"/>
      <c r="H1230" s="198"/>
      <c r="I1230" s="39"/>
      <c r="J1230" s="38"/>
      <c r="K1230" s="198"/>
      <c r="L1230" s="38"/>
      <c r="M1230" s="38"/>
      <c r="N1230" s="38"/>
      <c r="O1230" s="38"/>
      <c r="P1230" s="40" t="str" cm="1">
        <f t="array" ref="P1230">IF(N1230="","",IFERROR(_xlfn.XLOOKUP(F1230&amp;"|"&amp;J1230&amp;"|"&amp;O1230,PRICES!$C$2:$C$659&amp;"|"&amp;PRICES!$B$2:$B$659&amp;"|"&amp;PRICES!$D$2:$D$659,PRICES!$E$2:$E$659),"Not Found"))</f>
        <v/>
      </c>
      <c r="Q1230" s="100" t="str">
        <f>IF(N1230=0,"",SUMIFS(PRICES!$G$2:$G$658,PRICES!$B$2:$B$658,'MAIN TABLE-1 AUTOMATED'!J1230,PRICES!$C$2:$C$658,'MAIN TABLE-1 AUTOMATED'!F1230,PRICES!$D$2:$D$658,'MAIN TABLE-1 AUTOMATED'!O1230))</f>
        <v/>
      </c>
      <c r="R1230" s="41" t="str">
        <f>IF(Table1[[#This Row],[QUANTITY]]=0,"",Table1[[#This Row],[UNIT PRICE]]*Table1[[#This Row],[QUANTITY]])</f>
        <v/>
      </c>
      <c r="S1230" s="89"/>
      <c r="T1230" s="38"/>
      <c r="U1230" s="43"/>
      <c r="V1230" s="42" t="str">
        <f>IF(Table1[[#This Row],[DATE]]=0,"",YEAR(E1230))</f>
        <v/>
      </c>
      <c r="W1230" s="40" t="str">
        <f t="shared" si="38"/>
        <v/>
      </c>
      <c r="X1230" s="40" t="str">
        <f t="shared" si="39"/>
        <v/>
      </c>
      <c r="Y1230" s="40" t="str">
        <f>TEXT(Table1[[#This Row],[YEAR]],"0000")&amp;"-"&amp;Table1[[#This Row],[MONTH]]</f>
        <v>-</v>
      </c>
      <c r="AB1230" s="3"/>
    </row>
    <row r="1231" spans="1:28" ht="15" customHeight="1" x14ac:dyDescent="0.35">
      <c r="A1231" s="24"/>
      <c r="B1231" s="36"/>
      <c r="C1231" s="38"/>
      <c r="D1231" s="38"/>
      <c r="E1231" s="37"/>
      <c r="F1231" s="38"/>
      <c r="G1231" s="198"/>
      <c r="H1231" s="198"/>
      <c r="I1231" s="39"/>
      <c r="J1231" s="38"/>
      <c r="K1231" s="198"/>
      <c r="L1231" s="38"/>
      <c r="M1231" s="38"/>
      <c r="N1231" s="38"/>
      <c r="O1231" s="38"/>
      <c r="P1231" s="40" t="str" cm="1">
        <f t="array" ref="P1231">IF(N1231="","",IFERROR(_xlfn.XLOOKUP(F1231&amp;"|"&amp;J1231&amp;"|"&amp;O1231,PRICES!$C$2:$C$659&amp;"|"&amp;PRICES!$B$2:$B$659&amp;"|"&amp;PRICES!$D$2:$D$659,PRICES!$E$2:$E$659),"Not Found"))</f>
        <v/>
      </c>
      <c r="Q1231" s="100" t="str">
        <f>IF(N1231=0,"",SUMIFS(PRICES!$G$2:$G$658,PRICES!$B$2:$B$658,'MAIN TABLE-1 AUTOMATED'!J1231,PRICES!$C$2:$C$658,'MAIN TABLE-1 AUTOMATED'!F1231,PRICES!$D$2:$D$658,'MAIN TABLE-1 AUTOMATED'!O1231))</f>
        <v/>
      </c>
      <c r="R1231" s="41" t="str">
        <f>IF(Table1[[#This Row],[QUANTITY]]=0,"",Table1[[#This Row],[UNIT PRICE]]*Table1[[#This Row],[QUANTITY]])</f>
        <v/>
      </c>
      <c r="S1231" s="89"/>
      <c r="T1231" s="38"/>
      <c r="U1231" s="43"/>
      <c r="V1231" s="42" t="str">
        <f>IF(Table1[[#This Row],[DATE]]=0,"",YEAR(E1231))</f>
        <v/>
      </c>
      <c r="W1231" s="40" t="str">
        <f t="shared" si="38"/>
        <v/>
      </c>
      <c r="X1231" s="40" t="str">
        <f t="shared" si="39"/>
        <v/>
      </c>
      <c r="Y1231" s="40" t="str">
        <f>TEXT(Table1[[#This Row],[YEAR]],"0000")&amp;"-"&amp;Table1[[#This Row],[MONTH]]</f>
        <v>-</v>
      </c>
      <c r="AB1231" s="3"/>
    </row>
    <row r="1232" spans="1:28" ht="15" customHeight="1" x14ac:dyDescent="0.35">
      <c r="A1232" s="24"/>
      <c r="B1232" s="36"/>
      <c r="C1232" s="38"/>
      <c r="D1232" s="38"/>
      <c r="E1232" s="37"/>
      <c r="F1232" s="38"/>
      <c r="G1232" s="198"/>
      <c r="H1232" s="198"/>
      <c r="I1232" s="39"/>
      <c r="J1232" s="38"/>
      <c r="K1232" s="198"/>
      <c r="L1232" s="38"/>
      <c r="M1232" s="38"/>
      <c r="N1232" s="38"/>
      <c r="O1232" s="38"/>
      <c r="P1232" s="40" t="str" cm="1">
        <f t="array" ref="P1232">IF(N1232="","",IFERROR(_xlfn.XLOOKUP(F1232&amp;"|"&amp;J1232&amp;"|"&amp;O1232,PRICES!$C$2:$C$659&amp;"|"&amp;PRICES!$B$2:$B$659&amp;"|"&amp;PRICES!$D$2:$D$659,PRICES!$E$2:$E$659),"Not Found"))</f>
        <v/>
      </c>
      <c r="Q1232" s="100" t="str">
        <f>IF(N1232=0,"",SUMIFS(PRICES!$G$2:$G$658,PRICES!$B$2:$B$658,'MAIN TABLE-1 AUTOMATED'!J1232,PRICES!$C$2:$C$658,'MAIN TABLE-1 AUTOMATED'!F1232,PRICES!$D$2:$D$658,'MAIN TABLE-1 AUTOMATED'!O1232))</f>
        <v/>
      </c>
      <c r="R1232" s="41" t="str">
        <f>IF(Table1[[#This Row],[QUANTITY]]=0,"",Table1[[#This Row],[UNIT PRICE]]*Table1[[#This Row],[QUANTITY]])</f>
        <v/>
      </c>
      <c r="S1232" s="89"/>
      <c r="T1232" s="38"/>
      <c r="U1232" s="43"/>
      <c r="V1232" s="42" t="str">
        <f>IF(Table1[[#This Row],[DATE]]=0,"",YEAR(E1232))</f>
        <v/>
      </c>
      <c r="W1232" s="40" t="str">
        <f t="shared" si="38"/>
        <v/>
      </c>
      <c r="X1232" s="40" t="str">
        <f t="shared" si="39"/>
        <v/>
      </c>
      <c r="Y1232" s="40" t="str">
        <f>TEXT(Table1[[#This Row],[YEAR]],"0000")&amp;"-"&amp;Table1[[#This Row],[MONTH]]</f>
        <v>-</v>
      </c>
      <c r="AB1232" s="3"/>
    </row>
    <row r="1233" spans="1:28" ht="15" customHeight="1" x14ac:dyDescent="0.35">
      <c r="A1233" s="24"/>
      <c r="B1233" s="36"/>
      <c r="C1233" s="38"/>
      <c r="D1233" s="38"/>
      <c r="E1233" s="37"/>
      <c r="F1233" s="38"/>
      <c r="G1233" s="198"/>
      <c r="H1233" s="198"/>
      <c r="I1233" s="39"/>
      <c r="J1233" s="38"/>
      <c r="K1233" s="198"/>
      <c r="L1233" s="38"/>
      <c r="M1233" s="38"/>
      <c r="N1233" s="38"/>
      <c r="O1233" s="38"/>
      <c r="P1233" s="40" t="str" cm="1">
        <f t="array" ref="P1233">IF(N1233="","",IFERROR(_xlfn.XLOOKUP(F1233&amp;"|"&amp;J1233&amp;"|"&amp;O1233,PRICES!$C$2:$C$659&amp;"|"&amp;PRICES!$B$2:$B$659&amp;"|"&amp;PRICES!$D$2:$D$659,PRICES!$E$2:$E$659),"Not Found"))</f>
        <v/>
      </c>
      <c r="Q1233" s="100" t="str">
        <f>IF(N1233=0,"",SUMIFS(PRICES!$G$2:$G$658,PRICES!$B$2:$B$658,'MAIN TABLE-1 AUTOMATED'!J1233,PRICES!$C$2:$C$658,'MAIN TABLE-1 AUTOMATED'!F1233,PRICES!$D$2:$D$658,'MAIN TABLE-1 AUTOMATED'!O1233))</f>
        <v/>
      </c>
      <c r="R1233" s="41" t="str">
        <f>IF(Table1[[#This Row],[QUANTITY]]=0,"",Table1[[#This Row],[UNIT PRICE]]*Table1[[#This Row],[QUANTITY]])</f>
        <v/>
      </c>
      <c r="S1233" s="89"/>
      <c r="T1233" s="38"/>
      <c r="U1233" s="43"/>
      <c r="V1233" s="42" t="str">
        <f>IF(Table1[[#This Row],[DATE]]=0,"",YEAR(E1233))</f>
        <v/>
      </c>
      <c r="W1233" s="40" t="str">
        <f t="shared" si="38"/>
        <v/>
      </c>
      <c r="X1233" s="40" t="str">
        <f t="shared" si="39"/>
        <v/>
      </c>
      <c r="Y1233" s="40" t="str">
        <f>TEXT(Table1[[#This Row],[YEAR]],"0000")&amp;"-"&amp;Table1[[#This Row],[MONTH]]</f>
        <v>-</v>
      </c>
      <c r="AB1233" s="3"/>
    </row>
    <row r="1234" spans="1:28" ht="15" customHeight="1" x14ac:dyDescent="0.35">
      <c r="A1234" s="24"/>
      <c r="B1234" s="38"/>
      <c r="C1234" s="38"/>
      <c r="D1234" s="38"/>
      <c r="E1234" s="37"/>
      <c r="F1234" s="38"/>
      <c r="G1234" s="198"/>
      <c r="H1234" s="198"/>
      <c r="I1234" s="39"/>
      <c r="J1234" s="38"/>
      <c r="K1234" s="198"/>
      <c r="L1234" s="38"/>
      <c r="M1234" s="38"/>
      <c r="N1234" s="38"/>
      <c r="O1234" s="38"/>
      <c r="P1234" s="40" t="str" cm="1">
        <f t="array" ref="P1234">IF(N1234="","",IFERROR(_xlfn.XLOOKUP(F1234&amp;"|"&amp;J1234&amp;"|"&amp;O1234,PRICES!$C$2:$C$659&amp;"|"&amp;PRICES!$B$2:$B$659&amp;"|"&amp;PRICES!$D$2:$D$659,PRICES!$E$2:$E$659),"Not Found"))</f>
        <v/>
      </c>
      <c r="Q1234" s="100" t="str">
        <f>IF(N1234=0,"",SUMIFS(PRICES!$G$2:$G$658,PRICES!$B$2:$B$658,'MAIN TABLE-1 AUTOMATED'!J1234,PRICES!$C$2:$C$658,'MAIN TABLE-1 AUTOMATED'!F1234,PRICES!$D$2:$D$658,'MAIN TABLE-1 AUTOMATED'!O1234))</f>
        <v/>
      </c>
      <c r="R1234" s="41" t="str">
        <f>IF(Table1[[#This Row],[QUANTITY]]=0,"",Table1[[#This Row],[UNIT PRICE]]*Table1[[#This Row],[QUANTITY]])</f>
        <v/>
      </c>
      <c r="S1234" s="89"/>
      <c r="T1234" s="38"/>
      <c r="U1234" s="43"/>
      <c r="V1234" s="42" t="str">
        <f>IF(Table1[[#This Row],[DATE]]=0,"",YEAR(E1234))</f>
        <v/>
      </c>
      <c r="W1234" s="40" t="str">
        <f t="shared" si="38"/>
        <v/>
      </c>
      <c r="X1234" s="40" t="str">
        <f t="shared" si="39"/>
        <v/>
      </c>
      <c r="Y1234" s="40" t="str">
        <f>TEXT(Table1[[#This Row],[YEAR]],"0000")&amp;"-"&amp;Table1[[#This Row],[MONTH]]</f>
        <v>-</v>
      </c>
      <c r="AB1234" s="3"/>
    </row>
    <row r="1235" spans="1:28" ht="15" customHeight="1" x14ac:dyDescent="0.35">
      <c r="A1235" s="24"/>
      <c r="B1235" s="38"/>
      <c r="C1235" s="38"/>
      <c r="D1235" s="38"/>
      <c r="E1235" s="37"/>
      <c r="F1235" s="38"/>
      <c r="G1235" s="198"/>
      <c r="H1235" s="198"/>
      <c r="I1235" s="39"/>
      <c r="J1235" s="38"/>
      <c r="K1235" s="198"/>
      <c r="L1235" s="38"/>
      <c r="M1235" s="38"/>
      <c r="N1235" s="38"/>
      <c r="O1235" s="38"/>
      <c r="P1235" s="40" t="str" cm="1">
        <f t="array" ref="P1235">IF(N1235="","",IFERROR(_xlfn.XLOOKUP(F1235&amp;"|"&amp;J1235&amp;"|"&amp;O1235,PRICES!$C$2:$C$659&amp;"|"&amp;PRICES!$B$2:$B$659&amp;"|"&amp;PRICES!$D$2:$D$659,PRICES!$E$2:$E$659),"Not Found"))</f>
        <v/>
      </c>
      <c r="Q1235" s="100" t="str">
        <f>IF(N1235=0,"",SUMIFS(PRICES!$G$2:$G$658,PRICES!$B$2:$B$658,'MAIN TABLE-1 AUTOMATED'!J1235,PRICES!$C$2:$C$658,'MAIN TABLE-1 AUTOMATED'!F1235,PRICES!$D$2:$D$658,'MAIN TABLE-1 AUTOMATED'!O1235))</f>
        <v/>
      </c>
      <c r="R1235" s="41" t="str">
        <f>IF(Table1[[#This Row],[QUANTITY]]=0,"",Table1[[#This Row],[UNIT PRICE]]*Table1[[#This Row],[QUANTITY]])</f>
        <v/>
      </c>
      <c r="S1235" s="89"/>
      <c r="T1235" s="38"/>
      <c r="U1235" s="43"/>
      <c r="V1235" s="42" t="str">
        <f>IF(Table1[[#This Row],[DATE]]=0,"",YEAR(E1235))</f>
        <v/>
      </c>
      <c r="W1235" s="40" t="str">
        <f t="shared" si="38"/>
        <v/>
      </c>
      <c r="X1235" s="40" t="str">
        <f t="shared" si="39"/>
        <v/>
      </c>
      <c r="Y1235" s="40" t="str">
        <f>TEXT(Table1[[#This Row],[YEAR]],"0000")&amp;"-"&amp;Table1[[#This Row],[MONTH]]</f>
        <v>-</v>
      </c>
      <c r="AB1235" s="3"/>
    </row>
    <row r="1236" spans="1:28" ht="15" customHeight="1" x14ac:dyDescent="0.35">
      <c r="A1236" s="24"/>
      <c r="B1236" s="38"/>
      <c r="C1236" s="38"/>
      <c r="D1236" s="38"/>
      <c r="E1236" s="37"/>
      <c r="F1236" s="38"/>
      <c r="G1236" s="198"/>
      <c r="H1236" s="198"/>
      <c r="I1236" s="39"/>
      <c r="J1236" s="38"/>
      <c r="K1236" s="198"/>
      <c r="L1236" s="38"/>
      <c r="M1236" s="38"/>
      <c r="N1236" s="38"/>
      <c r="O1236" s="38"/>
      <c r="P1236" s="40" t="str" cm="1">
        <f t="array" ref="P1236">IF(N1236="","",IFERROR(_xlfn.XLOOKUP(F1236&amp;"|"&amp;J1236&amp;"|"&amp;O1236,PRICES!$C$2:$C$659&amp;"|"&amp;PRICES!$B$2:$B$659&amp;"|"&amp;PRICES!$D$2:$D$659,PRICES!$E$2:$E$659),"Not Found"))</f>
        <v/>
      </c>
      <c r="Q1236" s="100" t="str">
        <f>IF(N1236=0,"",SUMIFS(PRICES!$G$2:$G$658,PRICES!$B$2:$B$658,'MAIN TABLE-1 AUTOMATED'!J1236,PRICES!$C$2:$C$658,'MAIN TABLE-1 AUTOMATED'!F1236,PRICES!$D$2:$D$658,'MAIN TABLE-1 AUTOMATED'!O1236))</f>
        <v/>
      </c>
      <c r="R1236" s="41" t="str">
        <f>IF(Table1[[#This Row],[QUANTITY]]=0,"",Table1[[#This Row],[UNIT PRICE]]*Table1[[#This Row],[QUANTITY]])</f>
        <v/>
      </c>
      <c r="S1236" s="89"/>
      <c r="T1236" s="38"/>
      <c r="U1236" s="43"/>
      <c r="V1236" s="42" t="str">
        <f>IF(Table1[[#This Row],[DATE]]=0,"",YEAR(E1236))</f>
        <v/>
      </c>
      <c r="W1236" s="40" t="str">
        <f t="shared" si="38"/>
        <v/>
      </c>
      <c r="X1236" s="40" t="str">
        <f t="shared" si="39"/>
        <v/>
      </c>
      <c r="Y1236" s="40" t="str">
        <f>TEXT(Table1[[#This Row],[YEAR]],"0000")&amp;"-"&amp;Table1[[#This Row],[MONTH]]</f>
        <v>-</v>
      </c>
      <c r="AB1236" s="3"/>
    </row>
    <row r="1237" spans="1:28" ht="15" customHeight="1" x14ac:dyDescent="0.35">
      <c r="A1237" s="24"/>
      <c r="B1237" s="38"/>
      <c r="C1237" s="38"/>
      <c r="D1237" s="38"/>
      <c r="E1237" s="37"/>
      <c r="F1237" s="38"/>
      <c r="G1237" s="198"/>
      <c r="H1237" s="198"/>
      <c r="I1237" s="39"/>
      <c r="J1237" s="38"/>
      <c r="K1237" s="198"/>
      <c r="L1237" s="38"/>
      <c r="M1237" s="38"/>
      <c r="N1237" s="38"/>
      <c r="O1237" s="38"/>
      <c r="P1237" s="40" t="str" cm="1">
        <f t="array" ref="P1237">IF(N1237="","",IFERROR(_xlfn.XLOOKUP(F1237&amp;"|"&amp;J1237&amp;"|"&amp;O1237,PRICES!$C$2:$C$659&amp;"|"&amp;PRICES!$B$2:$B$659&amp;"|"&amp;PRICES!$D$2:$D$659,PRICES!$E$2:$E$659),"Not Found"))</f>
        <v/>
      </c>
      <c r="Q1237" s="100" t="str">
        <f>IF(N1237=0,"",SUMIFS(PRICES!$G$2:$G$658,PRICES!$B$2:$B$658,'MAIN TABLE-1 AUTOMATED'!J1237,PRICES!$C$2:$C$658,'MAIN TABLE-1 AUTOMATED'!F1237,PRICES!$D$2:$D$658,'MAIN TABLE-1 AUTOMATED'!O1237))</f>
        <v/>
      </c>
      <c r="R1237" s="41" t="str">
        <f>IF(Table1[[#This Row],[QUANTITY]]=0,"",Table1[[#This Row],[UNIT PRICE]]*Table1[[#This Row],[QUANTITY]])</f>
        <v/>
      </c>
      <c r="S1237" s="89"/>
      <c r="T1237" s="38"/>
      <c r="U1237" s="43"/>
      <c r="V1237" s="42" t="str">
        <f>IF(Table1[[#This Row],[DATE]]=0,"",YEAR(E1237))</f>
        <v/>
      </c>
      <c r="W1237" s="40" t="str">
        <f t="shared" si="38"/>
        <v/>
      </c>
      <c r="X1237" s="40" t="str">
        <f t="shared" si="39"/>
        <v/>
      </c>
      <c r="Y1237" s="40" t="str">
        <f>TEXT(Table1[[#This Row],[YEAR]],"0000")&amp;"-"&amp;Table1[[#This Row],[MONTH]]</f>
        <v>-</v>
      </c>
      <c r="AB1237" s="3"/>
    </row>
    <row r="1238" spans="1:28" ht="15" customHeight="1" x14ac:dyDescent="0.35">
      <c r="A1238" s="24"/>
      <c r="B1238" s="38"/>
      <c r="C1238" s="38"/>
      <c r="D1238" s="38"/>
      <c r="E1238" s="37"/>
      <c r="F1238" s="38"/>
      <c r="G1238" s="198"/>
      <c r="H1238" s="198"/>
      <c r="I1238" s="39"/>
      <c r="J1238" s="38"/>
      <c r="K1238" s="198"/>
      <c r="L1238" s="38"/>
      <c r="M1238" s="38"/>
      <c r="N1238" s="38"/>
      <c r="O1238" s="38"/>
      <c r="P1238" s="40" t="str" cm="1">
        <f t="array" ref="P1238">IF(N1238="","",IFERROR(_xlfn.XLOOKUP(F1238&amp;"|"&amp;J1238&amp;"|"&amp;O1238,PRICES!$C$2:$C$659&amp;"|"&amp;PRICES!$B$2:$B$659&amp;"|"&amp;PRICES!$D$2:$D$659,PRICES!$E$2:$E$659),"Not Found"))</f>
        <v/>
      </c>
      <c r="Q1238" s="100" t="str">
        <f>IF(N1238=0,"",SUMIFS(PRICES!$G$2:$G$658,PRICES!$B$2:$B$658,'MAIN TABLE-1 AUTOMATED'!J1238,PRICES!$C$2:$C$658,'MAIN TABLE-1 AUTOMATED'!F1238,PRICES!$D$2:$D$658,'MAIN TABLE-1 AUTOMATED'!O1238))</f>
        <v/>
      </c>
      <c r="R1238" s="41" t="str">
        <f>IF(Table1[[#This Row],[QUANTITY]]=0,"",Table1[[#This Row],[UNIT PRICE]]*Table1[[#This Row],[QUANTITY]])</f>
        <v/>
      </c>
      <c r="S1238" s="89"/>
      <c r="T1238" s="38"/>
      <c r="U1238" s="43"/>
      <c r="V1238" s="42" t="str">
        <f>IF(Table1[[#This Row],[DATE]]=0,"",YEAR(E1238))</f>
        <v/>
      </c>
      <c r="W1238" s="40" t="str">
        <f t="shared" si="38"/>
        <v/>
      </c>
      <c r="X1238" s="40" t="str">
        <f t="shared" si="39"/>
        <v/>
      </c>
      <c r="Y1238" s="40" t="str">
        <f>TEXT(Table1[[#This Row],[YEAR]],"0000")&amp;"-"&amp;Table1[[#This Row],[MONTH]]</f>
        <v>-</v>
      </c>
      <c r="AB1238" s="3"/>
    </row>
    <row r="1239" spans="1:28" ht="15" customHeight="1" x14ac:dyDescent="0.35">
      <c r="A1239" s="24"/>
      <c r="B1239" s="38"/>
      <c r="C1239" s="38"/>
      <c r="D1239" s="38"/>
      <c r="E1239" s="37"/>
      <c r="F1239" s="38"/>
      <c r="G1239" s="198"/>
      <c r="H1239" s="198"/>
      <c r="I1239" s="39"/>
      <c r="J1239" s="38"/>
      <c r="K1239" s="198"/>
      <c r="L1239" s="38"/>
      <c r="M1239" s="38"/>
      <c r="N1239" s="38"/>
      <c r="O1239" s="38"/>
      <c r="P1239" s="40" t="str" cm="1">
        <f t="array" ref="P1239">IF(N1239="","",IFERROR(_xlfn.XLOOKUP(F1239&amp;"|"&amp;J1239&amp;"|"&amp;O1239,PRICES!$C$2:$C$659&amp;"|"&amp;PRICES!$B$2:$B$659&amp;"|"&amp;PRICES!$D$2:$D$659,PRICES!$E$2:$E$659),"Not Found"))</f>
        <v/>
      </c>
      <c r="Q1239" s="100" t="str">
        <f>IF(N1239=0,"",SUMIFS(PRICES!$G$2:$G$658,PRICES!$B$2:$B$658,'MAIN TABLE-1 AUTOMATED'!J1239,PRICES!$C$2:$C$658,'MAIN TABLE-1 AUTOMATED'!F1239,PRICES!$D$2:$D$658,'MAIN TABLE-1 AUTOMATED'!O1239))</f>
        <v/>
      </c>
      <c r="R1239" s="41" t="str">
        <f>IF(Table1[[#This Row],[QUANTITY]]=0,"",Table1[[#This Row],[UNIT PRICE]]*Table1[[#This Row],[QUANTITY]])</f>
        <v/>
      </c>
      <c r="S1239" s="89"/>
      <c r="T1239" s="38"/>
      <c r="U1239" s="43"/>
      <c r="V1239" s="42" t="str">
        <f>IF(Table1[[#This Row],[DATE]]=0,"",YEAR(E1239))</f>
        <v/>
      </c>
      <c r="W1239" s="40" t="str">
        <f t="shared" si="38"/>
        <v/>
      </c>
      <c r="X1239" s="40" t="str">
        <f t="shared" si="39"/>
        <v/>
      </c>
      <c r="Y1239" s="40" t="str">
        <f>TEXT(Table1[[#This Row],[YEAR]],"0000")&amp;"-"&amp;Table1[[#This Row],[MONTH]]</f>
        <v>-</v>
      </c>
      <c r="AB1239" s="3"/>
    </row>
    <row r="1240" spans="1:28" ht="15" customHeight="1" x14ac:dyDescent="0.35">
      <c r="A1240" s="24"/>
      <c r="B1240" s="38"/>
      <c r="C1240" s="38"/>
      <c r="D1240" s="38"/>
      <c r="E1240" s="37"/>
      <c r="F1240" s="38"/>
      <c r="G1240" s="198"/>
      <c r="H1240" s="198"/>
      <c r="I1240" s="39"/>
      <c r="J1240" s="38"/>
      <c r="K1240" s="198"/>
      <c r="L1240" s="38"/>
      <c r="M1240" s="38"/>
      <c r="N1240" s="38"/>
      <c r="O1240" s="38"/>
      <c r="P1240" s="40" t="str" cm="1">
        <f t="array" ref="P1240">IF(N1240="","",IFERROR(_xlfn.XLOOKUP(F1240&amp;"|"&amp;J1240&amp;"|"&amp;O1240,PRICES!$C$2:$C$659&amp;"|"&amp;PRICES!$B$2:$B$659&amp;"|"&amp;PRICES!$D$2:$D$659,PRICES!$E$2:$E$659),"Not Found"))</f>
        <v/>
      </c>
      <c r="Q1240" s="100" t="str">
        <f>IF(N1240=0,"",SUMIFS(PRICES!$G$2:$G$658,PRICES!$B$2:$B$658,'MAIN TABLE-1 AUTOMATED'!J1240,PRICES!$C$2:$C$658,'MAIN TABLE-1 AUTOMATED'!F1240,PRICES!$D$2:$D$658,'MAIN TABLE-1 AUTOMATED'!O1240))</f>
        <v/>
      </c>
      <c r="R1240" s="41" t="str">
        <f>IF(Table1[[#This Row],[QUANTITY]]=0,"",Table1[[#This Row],[UNIT PRICE]]*Table1[[#This Row],[QUANTITY]])</f>
        <v/>
      </c>
      <c r="S1240" s="89"/>
      <c r="T1240" s="38"/>
      <c r="U1240" s="43"/>
      <c r="V1240" s="42" t="str">
        <f>IF(Table1[[#This Row],[DATE]]=0,"",YEAR(E1240))</f>
        <v/>
      </c>
      <c r="W1240" s="40" t="str">
        <f t="shared" si="38"/>
        <v/>
      </c>
      <c r="X1240" s="40" t="str">
        <f t="shared" si="39"/>
        <v/>
      </c>
      <c r="Y1240" s="40" t="str">
        <f>TEXT(Table1[[#This Row],[YEAR]],"0000")&amp;"-"&amp;Table1[[#This Row],[MONTH]]</f>
        <v>-</v>
      </c>
      <c r="AB1240" s="3"/>
    </row>
    <row r="1241" spans="1:28" ht="15" customHeight="1" x14ac:dyDescent="0.35">
      <c r="A1241" s="24"/>
      <c r="B1241" s="38"/>
      <c r="C1241" s="38"/>
      <c r="D1241" s="38"/>
      <c r="E1241" s="37"/>
      <c r="F1241" s="38"/>
      <c r="G1241" s="198"/>
      <c r="H1241" s="198"/>
      <c r="I1241" s="39"/>
      <c r="J1241" s="38"/>
      <c r="K1241" s="198"/>
      <c r="L1241" s="38"/>
      <c r="M1241" s="38"/>
      <c r="N1241" s="38"/>
      <c r="O1241" s="38"/>
      <c r="P1241" s="40" t="str" cm="1">
        <f t="array" ref="P1241">IF(N1241="","",IFERROR(_xlfn.XLOOKUP(F1241&amp;"|"&amp;J1241&amp;"|"&amp;O1241,PRICES!$C$2:$C$659&amp;"|"&amp;PRICES!$B$2:$B$659&amp;"|"&amp;PRICES!$D$2:$D$659,PRICES!$E$2:$E$659),"Not Found"))</f>
        <v/>
      </c>
      <c r="Q1241" s="100" t="str">
        <f>IF(N1241=0,"",SUMIFS(PRICES!$G$2:$G$658,PRICES!$B$2:$B$658,'MAIN TABLE-1 AUTOMATED'!J1241,PRICES!$C$2:$C$658,'MAIN TABLE-1 AUTOMATED'!F1241,PRICES!$D$2:$D$658,'MAIN TABLE-1 AUTOMATED'!O1241))</f>
        <v/>
      </c>
      <c r="R1241" s="41" t="str">
        <f>IF(Table1[[#This Row],[QUANTITY]]=0,"",Table1[[#This Row],[UNIT PRICE]]*Table1[[#This Row],[QUANTITY]])</f>
        <v/>
      </c>
      <c r="S1241" s="89"/>
      <c r="T1241" s="38"/>
      <c r="U1241" s="43"/>
      <c r="V1241" s="42" t="str">
        <f>IF(Table1[[#This Row],[DATE]]=0,"",YEAR(E1241))</f>
        <v/>
      </c>
      <c r="W1241" s="40" t="str">
        <f t="shared" si="38"/>
        <v/>
      </c>
      <c r="X1241" s="40" t="str">
        <f t="shared" si="39"/>
        <v/>
      </c>
      <c r="Y1241" s="40" t="str">
        <f>TEXT(Table1[[#This Row],[YEAR]],"0000")&amp;"-"&amp;Table1[[#This Row],[MONTH]]</f>
        <v>-</v>
      </c>
      <c r="AB1241" s="3"/>
    </row>
    <row r="1242" spans="1:28" ht="15" customHeight="1" x14ac:dyDescent="0.35">
      <c r="A1242" s="24"/>
      <c r="B1242" s="36"/>
      <c r="C1242" s="38"/>
      <c r="D1242" s="38"/>
      <c r="E1242" s="37"/>
      <c r="F1242" s="38"/>
      <c r="G1242" s="198"/>
      <c r="H1242" s="198"/>
      <c r="I1242" s="39"/>
      <c r="J1242" s="38"/>
      <c r="K1242" s="198"/>
      <c r="L1242" s="38"/>
      <c r="M1242" s="38"/>
      <c r="N1242" s="38"/>
      <c r="O1242" s="38"/>
      <c r="P1242" s="40" t="str" cm="1">
        <f t="array" ref="P1242">IF(N1242="","",IFERROR(_xlfn.XLOOKUP(F1242&amp;"|"&amp;J1242&amp;"|"&amp;O1242,PRICES!$C$2:$C$659&amp;"|"&amp;PRICES!$B$2:$B$659&amp;"|"&amp;PRICES!$D$2:$D$659,PRICES!$E$2:$E$659),"Not Found"))</f>
        <v/>
      </c>
      <c r="Q1242" s="100" t="str">
        <f>IF(N1242=0,"",SUMIFS(PRICES!$G$2:$G$658,PRICES!$B$2:$B$658,'MAIN TABLE-1 AUTOMATED'!J1242,PRICES!$C$2:$C$658,'MAIN TABLE-1 AUTOMATED'!F1242,PRICES!$D$2:$D$658,'MAIN TABLE-1 AUTOMATED'!O1242))</f>
        <v/>
      </c>
      <c r="R1242" s="41" t="str">
        <f>IF(Table1[[#This Row],[QUANTITY]]=0,"",Table1[[#This Row],[UNIT PRICE]]*Table1[[#This Row],[QUANTITY]])</f>
        <v/>
      </c>
      <c r="S1242" s="89"/>
      <c r="T1242" s="38"/>
      <c r="U1242" s="43"/>
      <c r="V1242" s="42" t="str">
        <f>IF(Table1[[#This Row],[DATE]]=0,"",YEAR(E1242))</f>
        <v/>
      </c>
      <c r="W1242" s="40" t="str">
        <f t="shared" si="38"/>
        <v/>
      </c>
      <c r="X1242" s="40" t="str">
        <f t="shared" si="39"/>
        <v/>
      </c>
      <c r="Y1242" s="40" t="str">
        <f>TEXT(Table1[[#This Row],[YEAR]],"0000")&amp;"-"&amp;Table1[[#This Row],[MONTH]]</f>
        <v>-</v>
      </c>
      <c r="AB1242" s="3"/>
    </row>
    <row r="1243" spans="1:28" ht="15" customHeight="1" x14ac:dyDescent="0.35">
      <c r="A1243" s="24"/>
      <c r="B1243" s="36"/>
      <c r="C1243" s="38"/>
      <c r="D1243" s="38"/>
      <c r="E1243" s="37"/>
      <c r="F1243" s="38"/>
      <c r="G1243" s="198"/>
      <c r="H1243" s="198"/>
      <c r="I1243" s="39"/>
      <c r="J1243" s="38"/>
      <c r="K1243" s="198"/>
      <c r="L1243" s="38"/>
      <c r="M1243" s="38"/>
      <c r="N1243" s="38"/>
      <c r="O1243" s="38"/>
      <c r="P1243" s="40" t="str" cm="1">
        <f t="array" ref="P1243">IF(N1243="","",IFERROR(_xlfn.XLOOKUP(F1243&amp;"|"&amp;J1243&amp;"|"&amp;O1243,PRICES!$C$2:$C$659&amp;"|"&amp;PRICES!$B$2:$B$659&amp;"|"&amp;PRICES!$D$2:$D$659,PRICES!$E$2:$E$659),"Not Found"))</f>
        <v/>
      </c>
      <c r="Q1243" s="100" t="str">
        <f>IF(N1243=0,"",SUMIFS(PRICES!$G$2:$G$658,PRICES!$B$2:$B$658,'MAIN TABLE-1 AUTOMATED'!J1243,PRICES!$C$2:$C$658,'MAIN TABLE-1 AUTOMATED'!F1243,PRICES!$D$2:$D$658,'MAIN TABLE-1 AUTOMATED'!O1243))</f>
        <v/>
      </c>
      <c r="R1243" s="41" t="str">
        <f>IF(Table1[[#This Row],[QUANTITY]]=0,"",Table1[[#This Row],[UNIT PRICE]]*Table1[[#This Row],[QUANTITY]])</f>
        <v/>
      </c>
      <c r="S1243" s="89"/>
      <c r="T1243" s="38"/>
      <c r="U1243" s="43"/>
      <c r="V1243" s="42" t="str">
        <f>IF(Table1[[#This Row],[DATE]]=0,"",YEAR(E1243))</f>
        <v/>
      </c>
      <c r="W1243" s="40" t="str">
        <f t="shared" si="38"/>
        <v/>
      </c>
      <c r="X1243" s="40" t="str">
        <f t="shared" si="39"/>
        <v/>
      </c>
      <c r="Y1243" s="40" t="str">
        <f>TEXT(Table1[[#This Row],[YEAR]],"0000")&amp;"-"&amp;Table1[[#This Row],[MONTH]]</f>
        <v>-</v>
      </c>
      <c r="AB1243" s="3"/>
    </row>
    <row r="1244" spans="1:28" ht="15" customHeight="1" x14ac:dyDescent="0.35">
      <c r="A1244" s="24"/>
      <c r="B1244" s="36"/>
      <c r="C1244" s="38"/>
      <c r="D1244" s="38"/>
      <c r="E1244" s="37"/>
      <c r="F1244" s="38"/>
      <c r="G1244" s="198"/>
      <c r="H1244" s="198"/>
      <c r="I1244" s="39"/>
      <c r="J1244" s="38"/>
      <c r="K1244" s="198"/>
      <c r="L1244" s="38"/>
      <c r="M1244" s="38"/>
      <c r="N1244" s="38"/>
      <c r="O1244" s="38"/>
      <c r="P1244" s="40" t="str" cm="1">
        <f t="array" ref="P1244">IF(N1244="","",IFERROR(_xlfn.XLOOKUP(F1244&amp;"|"&amp;J1244&amp;"|"&amp;O1244,PRICES!$C$2:$C$659&amp;"|"&amp;PRICES!$B$2:$B$659&amp;"|"&amp;PRICES!$D$2:$D$659,PRICES!$E$2:$E$659),"Not Found"))</f>
        <v/>
      </c>
      <c r="Q1244" s="100" t="str">
        <f>IF(N1244=0,"",SUMIFS(PRICES!$G$2:$G$658,PRICES!$B$2:$B$658,'MAIN TABLE-1 AUTOMATED'!J1244,PRICES!$C$2:$C$658,'MAIN TABLE-1 AUTOMATED'!F1244,PRICES!$D$2:$D$658,'MAIN TABLE-1 AUTOMATED'!O1244))</f>
        <v/>
      </c>
      <c r="R1244" s="41" t="str">
        <f>IF(Table1[[#This Row],[QUANTITY]]=0,"",Table1[[#This Row],[UNIT PRICE]]*Table1[[#This Row],[QUANTITY]])</f>
        <v/>
      </c>
      <c r="S1244" s="89"/>
      <c r="T1244" s="38"/>
      <c r="U1244" s="43"/>
      <c r="V1244" s="42" t="str">
        <f>IF(Table1[[#This Row],[DATE]]=0,"",YEAR(E1244))</f>
        <v/>
      </c>
      <c r="W1244" s="40" t="str">
        <f t="shared" si="38"/>
        <v/>
      </c>
      <c r="X1244" s="40" t="str">
        <f t="shared" si="39"/>
        <v/>
      </c>
      <c r="Y1244" s="40" t="str">
        <f>TEXT(Table1[[#This Row],[YEAR]],"0000")&amp;"-"&amp;Table1[[#This Row],[MONTH]]</f>
        <v>-</v>
      </c>
      <c r="AB1244" s="3"/>
    </row>
    <row r="1245" spans="1:28" ht="15" customHeight="1" x14ac:dyDescent="0.35">
      <c r="A1245" s="24"/>
      <c r="B1245" s="36"/>
      <c r="C1245" s="38"/>
      <c r="D1245" s="38"/>
      <c r="E1245" s="37"/>
      <c r="F1245" s="38"/>
      <c r="G1245" s="198"/>
      <c r="H1245" s="198"/>
      <c r="I1245" s="39"/>
      <c r="J1245" s="38"/>
      <c r="K1245" s="198"/>
      <c r="L1245" s="38"/>
      <c r="M1245" s="38"/>
      <c r="N1245" s="38"/>
      <c r="O1245" s="38"/>
      <c r="P1245" s="40" t="str" cm="1">
        <f t="array" ref="P1245">IF(N1245="","",IFERROR(_xlfn.XLOOKUP(F1245&amp;"|"&amp;J1245&amp;"|"&amp;O1245,PRICES!$C$2:$C$659&amp;"|"&amp;PRICES!$B$2:$B$659&amp;"|"&amp;PRICES!$D$2:$D$659,PRICES!$E$2:$E$659),"Not Found"))</f>
        <v/>
      </c>
      <c r="Q1245" s="100" t="str">
        <f>IF(N1245=0,"",SUMIFS(PRICES!$G$2:$G$658,PRICES!$B$2:$B$658,'MAIN TABLE-1 AUTOMATED'!J1245,PRICES!$C$2:$C$658,'MAIN TABLE-1 AUTOMATED'!F1245,PRICES!$D$2:$D$658,'MAIN TABLE-1 AUTOMATED'!O1245))</f>
        <v/>
      </c>
      <c r="R1245" s="41" t="str">
        <f>IF(Table1[[#This Row],[QUANTITY]]=0,"",Table1[[#This Row],[UNIT PRICE]]*Table1[[#This Row],[QUANTITY]])</f>
        <v/>
      </c>
      <c r="S1245" s="89"/>
      <c r="T1245" s="38"/>
      <c r="U1245" s="43"/>
      <c r="V1245" s="42" t="str">
        <f>IF(Table1[[#This Row],[DATE]]=0,"",YEAR(E1245))</f>
        <v/>
      </c>
      <c r="W1245" s="40" t="str">
        <f t="shared" si="38"/>
        <v/>
      </c>
      <c r="X1245" s="40" t="str">
        <f t="shared" si="39"/>
        <v/>
      </c>
      <c r="Y1245" s="40" t="str">
        <f>TEXT(Table1[[#This Row],[YEAR]],"0000")&amp;"-"&amp;Table1[[#This Row],[MONTH]]</f>
        <v>-</v>
      </c>
      <c r="AB1245" s="3"/>
    </row>
    <row r="1246" spans="1:28" ht="15" customHeight="1" x14ac:dyDescent="0.35">
      <c r="A1246" s="24"/>
      <c r="B1246" s="36"/>
      <c r="C1246" s="38"/>
      <c r="D1246" s="38"/>
      <c r="E1246" s="37"/>
      <c r="F1246" s="38"/>
      <c r="G1246" s="198"/>
      <c r="H1246" s="198"/>
      <c r="I1246" s="39"/>
      <c r="J1246" s="38"/>
      <c r="K1246" s="198"/>
      <c r="L1246" s="38"/>
      <c r="M1246" s="38"/>
      <c r="N1246" s="38"/>
      <c r="O1246" s="38"/>
      <c r="P1246" s="40" t="str" cm="1">
        <f t="array" ref="P1246">IF(N1246="","",IFERROR(_xlfn.XLOOKUP(F1246&amp;"|"&amp;J1246&amp;"|"&amp;O1246,PRICES!$C$2:$C$659&amp;"|"&amp;PRICES!$B$2:$B$659&amp;"|"&amp;PRICES!$D$2:$D$659,PRICES!$E$2:$E$659),"Not Found"))</f>
        <v/>
      </c>
      <c r="Q1246" s="100" t="str">
        <f>IF(N1246=0,"",SUMIFS(PRICES!$G$2:$G$658,PRICES!$B$2:$B$658,'MAIN TABLE-1 AUTOMATED'!J1246,PRICES!$C$2:$C$658,'MAIN TABLE-1 AUTOMATED'!F1246,PRICES!$D$2:$D$658,'MAIN TABLE-1 AUTOMATED'!O1246))</f>
        <v/>
      </c>
      <c r="R1246" s="41" t="str">
        <f>IF(Table1[[#This Row],[QUANTITY]]=0,"",Table1[[#This Row],[UNIT PRICE]]*Table1[[#This Row],[QUANTITY]])</f>
        <v/>
      </c>
      <c r="S1246" s="89"/>
      <c r="T1246" s="38"/>
      <c r="U1246" s="43"/>
      <c r="V1246" s="42" t="str">
        <f>IF(Table1[[#This Row],[DATE]]=0,"",YEAR(E1246))</f>
        <v/>
      </c>
      <c r="W1246" s="40" t="str">
        <f t="shared" si="38"/>
        <v/>
      </c>
      <c r="X1246" s="40" t="str">
        <f t="shared" si="39"/>
        <v/>
      </c>
      <c r="Y1246" s="40" t="str">
        <f>TEXT(Table1[[#This Row],[YEAR]],"0000")&amp;"-"&amp;Table1[[#This Row],[MONTH]]</f>
        <v>-</v>
      </c>
      <c r="AB1246" s="3"/>
    </row>
    <row r="1247" spans="1:28" ht="15" customHeight="1" x14ac:dyDescent="0.35">
      <c r="A1247" s="24"/>
      <c r="B1247" s="36"/>
      <c r="C1247" s="38"/>
      <c r="D1247" s="38"/>
      <c r="E1247" s="37"/>
      <c r="F1247" s="38"/>
      <c r="G1247" s="198"/>
      <c r="H1247" s="198"/>
      <c r="I1247" s="39"/>
      <c r="J1247" s="38"/>
      <c r="K1247" s="198"/>
      <c r="L1247" s="38"/>
      <c r="M1247" s="38"/>
      <c r="N1247" s="38"/>
      <c r="O1247" s="38"/>
      <c r="P1247" s="40" t="str" cm="1">
        <f t="array" ref="P1247">IF(N1247="","",IFERROR(_xlfn.XLOOKUP(F1247&amp;"|"&amp;J1247&amp;"|"&amp;O1247,PRICES!$C$2:$C$659&amp;"|"&amp;PRICES!$B$2:$B$659&amp;"|"&amp;PRICES!$D$2:$D$659,PRICES!$E$2:$E$659),"Not Found"))</f>
        <v/>
      </c>
      <c r="Q1247" s="100" t="str">
        <f>IF(N1247=0,"",SUMIFS(PRICES!$G$2:$G$658,PRICES!$B$2:$B$658,'MAIN TABLE-1 AUTOMATED'!J1247,PRICES!$C$2:$C$658,'MAIN TABLE-1 AUTOMATED'!F1247,PRICES!$D$2:$D$658,'MAIN TABLE-1 AUTOMATED'!O1247))</f>
        <v/>
      </c>
      <c r="R1247" s="41" t="str">
        <f>IF(Table1[[#This Row],[QUANTITY]]=0,"",Table1[[#This Row],[UNIT PRICE]]*Table1[[#This Row],[QUANTITY]])</f>
        <v/>
      </c>
      <c r="S1247" s="89"/>
      <c r="T1247" s="38"/>
      <c r="U1247" s="43"/>
      <c r="V1247" s="42" t="str">
        <f>IF(Table1[[#This Row],[DATE]]=0,"",YEAR(E1247))</f>
        <v/>
      </c>
      <c r="W1247" s="40" t="str">
        <f t="shared" ref="W1247:W1310" si="40">IF(E1247=0,"",MONTH(E1247))</f>
        <v/>
      </c>
      <c r="X1247" s="40" t="str">
        <f t="shared" ref="X1247:X1310" si="41">IF(E1247=0,"",WEEKNUM(E1247))</f>
        <v/>
      </c>
      <c r="Y1247" s="40" t="str">
        <f>TEXT(Table1[[#This Row],[YEAR]],"0000")&amp;"-"&amp;Table1[[#This Row],[MONTH]]</f>
        <v>-</v>
      </c>
      <c r="AB1247" s="3"/>
    </row>
    <row r="1248" spans="1:28" ht="15" customHeight="1" x14ac:dyDescent="0.35">
      <c r="A1248" s="24"/>
      <c r="B1248" s="36"/>
      <c r="C1248" s="38"/>
      <c r="D1248" s="38"/>
      <c r="E1248" s="37"/>
      <c r="F1248" s="38"/>
      <c r="G1248" s="198"/>
      <c r="H1248" s="198"/>
      <c r="I1248" s="39"/>
      <c r="J1248" s="38"/>
      <c r="K1248" s="198"/>
      <c r="L1248" s="38"/>
      <c r="M1248" s="38"/>
      <c r="N1248" s="38"/>
      <c r="O1248" s="38"/>
      <c r="P1248" s="40" t="str" cm="1">
        <f t="array" ref="P1248">IF(N1248="","",IFERROR(_xlfn.XLOOKUP(F1248&amp;"|"&amp;J1248&amp;"|"&amp;O1248,PRICES!$C$2:$C$659&amp;"|"&amp;PRICES!$B$2:$B$659&amp;"|"&amp;PRICES!$D$2:$D$659,PRICES!$E$2:$E$659),"Not Found"))</f>
        <v/>
      </c>
      <c r="Q1248" s="100" t="str">
        <f>IF(N1248=0,"",SUMIFS(PRICES!$G$2:$G$658,PRICES!$B$2:$B$658,'MAIN TABLE-1 AUTOMATED'!J1248,PRICES!$C$2:$C$658,'MAIN TABLE-1 AUTOMATED'!F1248,PRICES!$D$2:$D$658,'MAIN TABLE-1 AUTOMATED'!O1248))</f>
        <v/>
      </c>
      <c r="R1248" s="41" t="str">
        <f>IF(Table1[[#This Row],[QUANTITY]]=0,"",Table1[[#This Row],[UNIT PRICE]]*Table1[[#This Row],[QUANTITY]])</f>
        <v/>
      </c>
      <c r="S1248" s="89"/>
      <c r="T1248" s="38"/>
      <c r="U1248" s="43"/>
      <c r="V1248" s="42" t="str">
        <f>IF(Table1[[#This Row],[DATE]]=0,"",YEAR(E1248))</f>
        <v/>
      </c>
      <c r="W1248" s="40" t="str">
        <f t="shared" si="40"/>
        <v/>
      </c>
      <c r="X1248" s="40" t="str">
        <f t="shared" si="41"/>
        <v/>
      </c>
      <c r="Y1248" s="40" t="str">
        <f>TEXT(Table1[[#This Row],[YEAR]],"0000")&amp;"-"&amp;Table1[[#This Row],[MONTH]]</f>
        <v>-</v>
      </c>
      <c r="AB1248" s="3"/>
    </row>
    <row r="1249" spans="1:28" ht="15" customHeight="1" x14ac:dyDescent="0.35">
      <c r="A1249" s="24"/>
      <c r="B1249" s="38"/>
      <c r="C1249" s="38"/>
      <c r="D1249" s="38"/>
      <c r="E1249" s="37"/>
      <c r="F1249" s="38"/>
      <c r="G1249" s="198"/>
      <c r="H1249" s="198"/>
      <c r="I1249" s="39"/>
      <c r="J1249" s="38"/>
      <c r="K1249" s="198"/>
      <c r="L1249" s="38"/>
      <c r="M1249" s="38"/>
      <c r="N1249" s="38"/>
      <c r="O1249" s="38"/>
      <c r="P1249" s="40" t="str" cm="1">
        <f t="array" ref="P1249">IF(N1249="","",IFERROR(_xlfn.XLOOKUP(F1249&amp;"|"&amp;J1249&amp;"|"&amp;O1249,PRICES!$C$2:$C$659&amp;"|"&amp;PRICES!$B$2:$B$659&amp;"|"&amp;PRICES!$D$2:$D$659,PRICES!$E$2:$E$659),"Not Found"))</f>
        <v/>
      </c>
      <c r="Q1249" s="100" t="str">
        <f>IF(N1249=0,"",SUMIFS(PRICES!$G$2:$G$658,PRICES!$B$2:$B$658,'MAIN TABLE-1 AUTOMATED'!J1249,PRICES!$C$2:$C$658,'MAIN TABLE-1 AUTOMATED'!F1249,PRICES!$D$2:$D$658,'MAIN TABLE-1 AUTOMATED'!O1249))</f>
        <v/>
      </c>
      <c r="R1249" s="41" t="str">
        <f>IF(Table1[[#This Row],[QUANTITY]]=0,"",Table1[[#This Row],[UNIT PRICE]]*Table1[[#This Row],[QUANTITY]])</f>
        <v/>
      </c>
      <c r="S1249" s="89"/>
      <c r="T1249" s="38"/>
      <c r="U1249" s="43"/>
      <c r="V1249" s="42" t="str">
        <f>IF(Table1[[#This Row],[DATE]]=0,"",YEAR(E1249))</f>
        <v/>
      </c>
      <c r="W1249" s="40" t="str">
        <f t="shared" si="40"/>
        <v/>
      </c>
      <c r="X1249" s="40" t="str">
        <f t="shared" si="41"/>
        <v/>
      </c>
      <c r="Y1249" s="40" t="str">
        <f>TEXT(Table1[[#This Row],[YEAR]],"0000")&amp;"-"&amp;Table1[[#This Row],[MONTH]]</f>
        <v>-</v>
      </c>
      <c r="AB1249" s="3"/>
    </row>
    <row r="1250" spans="1:28" ht="15" customHeight="1" x14ac:dyDescent="0.35">
      <c r="A1250" s="24"/>
      <c r="B1250" s="38"/>
      <c r="C1250" s="38"/>
      <c r="D1250" s="38"/>
      <c r="E1250" s="37"/>
      <c r="F1250" s="38"/>
      <c r="G1250" s="198"/>
      <c r="H1250" s="198"/>
      <c r="I1250" s="39"/>
      <c r="J1250" s="38"/>
      <c r="K1250" s="198"/>
      <c r="L1250" s="38"/>
      <c r="M1250" s="38"/>
      <c r="N1250" s="38"/>
      <c r="O1250" s="38"/>
      <c r="P1250" s="40" t="str" cm="1">
        <f t="array" ref="P1250">IF(N1250="","",IFERROR(_xlfn.XLOOKUP(F1250&amp;"|"&amp;J1250&amp;"|"&amp;O1250,PRICES!$C$2:$C$659&amp;"|"&amp;PRICES!$B$2:$B$659&amp;"|"&amp;PRICES!$D$2:$D$659,PRICES!$E$2:$E$659),"Not Found"))</f>
        <v/>
      </c>
      <c r="Q1250" s="100" t="str">
        <f>IF(N1250=0,"",SUMIFS(PRICES!$G$2:$G$658,PRICES!$B$2:$B$658,'MAIN TABLE-1 AUTOMATED'!J1250,PRICES!$C$2:$C$658,'MAIN TABLE-1 AUTOMATED'!F1250,PRICES!$D$2:$D$658,'MAIN TABLE-1 AUTOMATED'!O1250))</f>
        <v/>
      </c>
      <c r="R1250" s="41" t="str">
        <f>IF(Table1[[#This Row],[QUANTITY]]=0,"",Table1[[#This Row],[UNIT PRICE]]*Table1[[#This Row],[QUANTITY]])</f>
        <v/>
      </c>
      <c r="S1250" s="89"/>
      <c r="T1250" s="38"/>
      <c r="U1250" s="43"/>
      <c r="V1250" s="42" t="str">
        <f>IF(Table1[[#This Row],[DATE]]=0,"",YEAR(E1250))</f>
        <v/>
      </c>
      <c r="W1250" s="40" t="str">
        <f t="shared" si="40"/>
        <v/>
      </c>
      <c r="X1250" s="40" t="str">
        <f t="shared" si="41"/>
        <v/>
      </c>
      <c r="Y1250" s="40" t="str">
        <f>TEXT(Table1[[#This Row],[YEAR]],"0000")&amp;"-"&amp;Table1[[#This Row],[MONTH]]</f>
        <v>-</v>
      </c>
      <c r="AB1250" s="3"/>
    </row>
    <row r="1251" spans="1:28" ht="15" customHeight="1" x14ac:dyDescent="0.35">
      <c r="A1251" s="24"/>
      <c r="B1251" s="38"/>
      <c r="C1251" s="38"/>
      <c r="D1251" s="38"/>
      <c r="E1251" s="37"/>
      <c r="F1251" s="38"/>
      <c r="G1251" s="198"/>
      <c r="H1251" s="198"/>
      <c r="I1251" s="39"/>
      <c r="J1251" s="38"/>
      <c r="K1251" s="198"/>
      <c r="L1251" s="38"/>
      <c r="M1251" s="38"/>
      <c r="N1251" s="38"/>
      <c r="O1251" s="38"/>
      <c r="P1251" s="40" t="str" cm="1">
        <f t="array" ref="P1251">IF(N1251="","",IFERROR(_xlfn.XLOOKUP(F1251&amp;"|"&amp;J1251&amp;"|"&amp;O1251,PRICES!$C$2:$C$659&amp;"|"&amp;PRICES!$B$2:$B$659&amp;"|"&amp;PRICES!$D$2:$D$659,PRICES!$E$2:$E$659),"Not Found"))</f>
        <v/>
      </c>
      <c r="Q1251" s="100" t="str">
        <f>IF(N1251=0,"",SUMIFS(PRICES!$G$2:$G$658,PRICES!$B$2:$B$658,'MAIN TABLE-1 AUTOMATED'!J1251,PRICES!$C$2:$C$658,'MAIN TABLE-1 AUTOMATED'!F1251,PRICES!$D$2:$D$658,'MAIN TABLE-1 AUTOMATED'!O1251))</f>
        <v/>
      </c>
      <c r="R1251" s="41" t="str">
        <f>IF(Table1[[#This Row],[QUANTITY]]=0,"",Table1[[#This Row],[UNIT PRICE]]*Table1[[#This Row],[QUANTITY]])</f>
        <v/>
      </c>
      <c r="S1251" s="89"/>
      <c r="T1251" s="38"/>
      <c r="U1251" s="43"/>
      <c r="V1251" s="42" t="str">
        <f>IF(Table1[[#This Row],[DATE]]=0,"",YEAR(E1251))</f>
        <v/>
      </c>
      <c r="W1251" s="40" t="str">
        <f t="shared" si="40"/>
        <v/>
      </c>
      <c r="X1251" s="40" t="str">
        <f t="shared" si="41"/>
        <v/>
      </c>
      <c r="Y1251" s="40" t="str">
        <f>TEXT(Table1[[#This Row],[YEAR]],"0000")&amp;"-"&amp;Table1[[#This Row],[MONTH]]</f>
        <v>-</v>
      </c>
      <c r="AB1251" s="3"/>
    </row>
    <row r="1252" spans="1:28" ht="15" customHeight="1" x14ac:dyDescent="0.35">
      <c r="A1252" s="24"/>
      <c r="B1252" s="38"/>
      <c r="C1252" s="38"/>
      <c r="D1252" s="38"/>
      <c r="E1252" s="37"/>
      <c r="F1252" s="38"/>
      <c r="G1252" s="198"/>
      <c r="H1252" s="198"/>
      <c r="I1252" s="39"/>
      <c r="J1252" s="38"/>
      <c r="K1252" s="198"/>
      <c r="L1252" s="38"/>
      <c r="M1252" s="38"/>
      <c r="N1252" s="38"/>
      <c r="O1252" s="38"/>
      <c r="P1252" s="40" t="str" cm="1">
        <f t="array" ref="P1252">IF(N1252="","",IFERROR(_xlfn.XLOOKUP(F1252&amp;"|"&amp;J1252&amp;"|"&amp;O1252,PRICES!$C$2:$C$659&amp;"|"&amp;PRICES!$B$2:$B$659&amp;"|"&amp;PRICES!$D$2:$D$659,PRICES!$E$2:$E$659),"Not Found"))</f>
        <v/>
      </c>
      <c r="Q1252" s="100" t="str">
        <f>IF(N1252=0,"",SUMIFS(PRICES!$G$2:$G$658,PRICES!$B$2:$B$658,'MAIN TABLE-1 AUTOMATED'!J1252,PRICES!$C$2:$C$658,'MAIN TABLE-1 AUTOMATED'!F1252,PRICES!$D$2:$D$658,'MAIN TABLE-1 AUTOMATED'!O1252))</f>
        <v/>
      </c>
      <c r="R1252" s="41" t="str">
        <f>IF(Table1[[#This Row],[QUANTITY]]=0,"",Table1[[#This Row],[UNIT PRICE]]*Table1[[#This Row],[QUANTITY]])</f>
        <v/>
      </c>
      <c r="S1252" s="89"/>
      <c r="T1252" s="38"/>
      <c r="U1252" s="43"/>
      <c r="V1252" s="42" t="str">
        <f>IF(Table1[[#This Row],[DATE]]=0,"",YEAR(E1252))</f>
        <v/>
      </c>
      <c r="W1252" s="40" t="str">
        <f t="shared" si="40"/>
        <v/>
      </c>
      <c r="X1252" s="40" t="str">
        <f t="shared" si="41"/>
        <v/>
      </c>
      <c r="Y1252" s="40" t="str">
        <f>TEXT(Table1[[#This Row],[YEAR]],"0000")&amp;"-"&amp;Table1[[#This Row],[MONTH]]</f>
        <v>-</v>
      </c>
      <c r="AB1252" s="3"/>
    </row>
    <row r="1253" spans="1:28" ht="15" customHeight="1" x14ac:dyDescent="0.35">
      <c r="A1253" s="24"/>
      <c r="B1253" s="38"/>
      <c r="C1253" s="38"/>
      <c r="D1253" s="38"/>
      <c r="E1253" s="37"/>
      <c r="F1253" s="38"/>
      <c r="G1253" s="198"/>
      <c r="H1253" s="198"/>
      <c r="I1253" s="39"/>
      <c r="J1253" s="38"/>
      <c r="K1253" s="198"/>
      <c r="L1253" s="38"/>
      <c r="M1253" s="38"/>
      <c r="N1253" s="38"/>
      <c r="O1253" s="38"/>
      <c r="P1253" s="40" t="str" cm="1">
        <f t="array" ref="P1253">IF(N1253="","",IFERROR(_xlfn.XLOOKUP(F1253&amp;"|"&amp;J1253&amp;"|"&amp;O1253,PRICES!$C$2:$C$659&amp;"|"&amp;PRICES!$B$2:$B$659&amp;"|"&amp;PRICES!$D$2:$D$659,PRICES!$E$2:$E$659),"Not Found"))</f>
        <v/>
      </c>
      <c r="Q1253" s="100" t="str">
        <f>IF(N1253=0,"",SUMIFS(PRICES!$G$2:$G$658,PRICES!$B$2:$B$658,'MAIN TABLE-1 AUTOMATED'!J1253,PRICES!$C$2:$C$658,'MAIN TABLE-1 AUTOMATED'!F1253,PRICES!$D$2:$D$658,'MAIN TABLE-1 AUTOMATED'!O1253))</f>
        <v/>
      </c>
      <c r="R1253" s="41" t="str">
        <f>IF(Table1[[#This Row],[QUANTITY]]=0,"",Table1[[#This Row],[UNIT PRICE]]*Table1[[#This Row],[QUANTITY]])</f>
        <v/>
      </c>
      <c r="S1253" s="89"/>
      <c r="T1253" s="38"/>
      <c r="U1253" s="43"/>
      <c r="V1253" s="42" t="str">
        <f>IF(Table1[[#This Row],[DATE]]=0,"",YEAR(E1253))</f>
        <v/>
      </c>
      <c r="W1253" s="40" t="str">
        <f t="shared" si="40"/>
        <v/>
      </c>
      <c r="X1253" s="40" t="str">
        <f t="shared" si="41"/>
        <v/>
      </c>
      <c r="Y1253" s="40" t="str">
        <f>TEXT(Table1[[#This Row],[YEAR]],"0000")&amp;"-"&amp;Table1[[#This Row],[MONTH]]</f>
        <v>-</v>
      </c>
      <c r="AB1253" s="3"/>
    </row>
    <row r="1254" spans="1:28" ht="15" customHeight="1" x14ac:dyDescent="0.35">
      <c r="A1254" s="24"/>
      <c r="B1254" s="38"/>
      <c r="C1254" s="38"/>
      <c r="D1254" s="38"/>
      <c r="E1254" s="37"/>
      <c r="F1254" s="38"/>
      <c r="G1254" s="198"/>
      <c r="H1254" s="198"/>
      <c r="I1254" s="39"/>
      <c r="J1254" s="38"/>
      <c r="K1254" s="198"/>
      <c r="L1254" s="38"/>
      <c r="M1254" s="38"/>
      <c r="N1254" s="38"/>
      <c r="O1254" s="38"/>
      <c r="P1254" s="40" t="str" cm="1">
        <f t="array" ref="P1254">IF(N1254="","",IFERROR(_xlfn.XLOOKUP(F1254&amp;"|"&amp;J1254&amp;"|"&amp;O1254,PRICES!$C$2:$C$659&amp;"|"&amp;PRICES!$B$2:$B$659&amp;"|"&amp;PRICES!$D$2:$D$659,PRICES!$E$2:$E$659),"Not Found"))</f>
        <v/>
      </c>
      <c r="Q1254" s="100" t="str">
        <f>IF(N1254=0,"",SUMIFS(PRICES!$G$2:$G$658,PRICES!$B$2:$B$658,'MAIN TABLE-1 AUTOMATED'!J1254,PRICES!$C$2:$C$658,'MAIN TABLE-1 AUTOMATED'!F1254,PRICES!$D$2:$D$658,'MAIN TABLE-1 AUTOMATED'!O1254))</f>
        <v/>
      </c>
      <c r="R1254" s="41" t="str">
        <f>IF(Table1[[#This Row],[QUANTITY]]=0,"",Table1[[#This Row],[UNIT PRICE]]*Table1[[#This Row],[QUANTITY]])</f>
        <v/>
      </c>
      <c r="S1254" s="89"/>
      <c r="T1254" s="38"/>
      <c r="U1254" s="43"/>
      <c r="V1254" s="42" t="str">
        <f>IF(Table1[[#This Row],[DATE]]=0,"",YEAR(E1254))</f>
        <v/>
      </c>
      <c r="W1254" s="40" t="str">
        <f t="shared" si="40"/>
        <v/>
      </c>
      <c r="X1254" s="40" t="str">
        <f t="shared" si="41"/>
        <v/>
      </c>
      <c r="Y1254" s="40" t="str">
        <f>TEXT(Table1[[#This Row],[YEAR]],"0000")&amp;"-"&amp;Table1[[#This Row],[MONTH]]</f>
        <v>-</v>
      </c>
      <c r="AB1254" s="3"/>
    </row>
    <row r="1255" spans="1:28" ht="15" customHeight="1" x14ac:dyDescent="0.35">
      <c r="A1255" s="24"/>
      <c r="B1255" s="38"/>
      <c r="C1255" s="38"/>
      <c r="D1255" s="38"/>
      <c r="E1255" s="37"/>
      <c r="F1255" s="38"/>
      <c r="G1255" s="198"/>
      <c r="H1255" s="198"/>
      <c r="I1255" s="39"/>
      <c r="J1255" s="38"/>
      <c r="K1255" s="198"/>
      <c r="L1255" s="38"/>
      <c r="M1255" s="38"/>
      <c r="N1255" s="38"/>
      <c r="O1255" s="38"/>
      <c r="P1255" s="40" t="str" cm="1">
        <f t="array" ref="P1255">IF(N1255="","",IFERROR(_xlfn.XLOOKUP(F1255&amp;"|"&amp;J1255&amp;"|"&amp;O1255,PRICES!$C$2:$C$659&amp;"|"&amp;PRICES!$B$2:$B$659&amp;"|"&amp;PRICES!$D$2:$D$659,PRICES!$E$2:$E$659),"Not Found"))</f>
        <v/>
      </c>
      <c r="Q1255" s="100" t="str">
        <f>IF(N1255=0,"",SUMIFS(PRICES!$G$2:$G$658,PRICES!$B$2:$B$658,'MAIN TABLE-1 AUTOMATED'!J1255,PRICES!$C$2:$C$658,'MAIN TABLE-1 AUTOMATED'!F1255,PRICES!$D$2:$D$658,'MAIN TABLE-1 AUTOMATED'!O1255))</f>
        <v/>
      </c>
      <c r="R1255" s="41" t="str">
        <f>IF(Table1[[#This Row],[QUANTITY]]=0,"",Table1[[#This Row],[UNIT PRICE]]*Table1[[#This Row],[QUANTITY]])</f>
        <v/>
      </c>
      <c r="S1255" s="89"/>
      <c r="T1255" s="38"/>
      <c r="U1255" s="43"/>
      <c r="V1255" s="42" t="str">
        <f>IF(Table1[[#This Row],[DATE]]=0,"",YEAR(E1255))</f>
        <v/>
      </c>
      <c r="W1255" s="40" t="str">
        <f t="shared" si="40"/>
        <v/>
      </c>
      <c r="X1255" s="40" t="str">
        <f t="shared" si="41"/>
        <v/>
      </c>
      <c r="Y1255" s="40" t="str">
        <f>TEXT(Table1[[#This Row],[YEAR]],"0000")&amp;"-"&amp;Table1[[#This Row],[MONTH]]</f>
        <v>-</v>
      </c>
    </row>
    <row r="1256" spans="1:28" ht="15" customHeight="1" x14ac:dyDescent="0.35">
      <c r="A1256" s="24"/>
      <c r="B1256" s="38"/>
      <c r="C1256" s="38"/>
      <c r="D1256" s="38"/>
      <c r="E1256" s="37"/>
      <c r="F1256" s="38"/>
      <c r="G1256" s="198"/>
      <c r="H1256" s="198"/>
      <c r="I1256" s="39"/>
      <c r="J1256" s="38"/>
      <c r="K1256" s="198"/>
      <c r="L1256" s="38"/>
      <c r="M1256" s="38"/>
      <c r="N1256" s="38"/>
      <c r="O1256" s="38"/>
      <c r="P1256" s="40" t="str" cm="1">
        <f t="array" ref="P1256">IF(N1256="","",IFERROR(_xlfn.XLOOKUP(F1256&amp;"|"&amp;J1256&amp;"|"&amp;O1256,PRICES!$C$2:$C$659&amp;"|"&amp;PRICES!$B$2:$B$659&amp;"|"&amp;PRICES!$D$2:$D$659,PRICES!$E$2:$E$659),"Not Found"))</f>
        <v/>
      </c>
      <c r="Q1256" s="100" t="str">
        <f>IF(N1256=0,"",SUMIFS(PRICES!$G$2:$G$658,PRICES!$B$2:$B$658,'MAIN TABLE-1 AUTOMATED'!J1256,PRICES!$C$2:$C$658,'MAIN TABLE-1 AUTOMATED'!F1256,PRICES!$D$2:$D$658,'MAIN TABLE-1 AUTOMATED'!O1256))</f>
        <v/>
      </c>
      <c r="R1256" s="41" t="str">
        <f>IF(Table1[[#This Row],[QUANTITY]]=0,"",Table1[[#This Row],[UNIT PRICE]]*Table1[[#This Row],[QUANTITY]])</f>
        <v/>
      </c>
      <c r="S1256" s="89"/>
      <c r="T1256" s="38"/>
      <c r="U1256" s="43"/>
      <c r="V1256" s="42" t="str">
        <f>IF(Table1[[#This Row],[DATE]]=0,"",YEAR(E1256))</f>
        <v/>
      </c>
      <c r="W1256" s="40" t="str">
        <f t="shared" si="40"/>
        <v/>
      </c>
      <c r="X1256" s="40" t="str">
        <f t="shared" si="41"/>
        <v/>
      </c>
      <c r="Y1256" s="40" t="str">
        <f>TEXT(Table1[[#This Row],[YEAR]],"0000")&amp;"-"&amp;Table1[[#This Row],[MONTH]]</f>
        <v>-</v>
      </c>
    </row>
    <row r="1257" spans="1:28" ht="15" customHeight="1" x14ac:dyDescent="0.35">
      <c r="A1257" s="24"/>
      <c r="B1257" s="38"/>
      <c r="C1257" s="38"/>
      <c r="D1257" s="38"/>
      <c r="E1257" s="37"/>
      <c r="F1257" s="38"/>
      <c r="G1257" s="198"/>
      <c r="H1257" s="198"/>
      <c r="I1257" s="39"/>
      <c r="J1257" s="38"/>
      <c r="K1257" s="198"/>
      <c r="L1257" s="38"/>
      <c r="M1257" s="38"/>
      <c r="N1257" s="38"/>
      <c r="O1257" s="38"/>
      <c r="P1257" s="40" t="str" cm="1">
        <f t="array" ref="P1257">IF(N1257="","",IFERROR(_xlfn.XLOOKUP(F1257&amp;"|"&amp;J1257&amp;"|"&amp;O1257,PRICES!$C$2:$C$659&amp;"|"&amp;PRICES!$B$2:$B$659&amp;"|"&amp;PRICES!$D$2:$D$659,PRICES!$E$2:$E$659),"Not Found"))</f>
        <v/>
      </c>
      <c r="Q1257" s="100" t="str">
        <f>IF(N1257=0,"",SUMIFS(PRICES!$G$2:$G$658,PRICES!$B$2:$B$658,'MAIN TABLE-1 AUTOMATED'!J1257,PRICES!$C$2:$C$658,'MAIN TABLE-1 AUTOMATED'!F1257,PRICES!$D$2:$D$658,'MAIN TABLE-1 AUTOMATED'!O1257))</f>
        <v/>
      </c>
      <c r="R1257" s="41" t="str">
        <f>IF(Table1[[#This Row],[QUANTITY]]=0,"",Table1[[#This Row],[UNIT PRICE]]*Table1[[#This Row],[QUANTITY]])</f>
        <v/>
      </c>
      <c r="S1257" s="89"/>
      <c r="T1257" s="38"/>
      <c r="U1257" s="43"/>
      <c r="V1257" s="42" t="str">
        <f>IF(Table1[[#This Row],[DATE]]=0,"",YEAR(E1257))</f>
        <v/>
      </c>
      <c r="W1257" s="40" t="str">
        <f t="shared" si="40"/>
        <v/>
      </c>
      <c r="X1257" s="40" t="str">
        <f t="shared" si="41"/>
        <v/>
      </c>
      <c r="Y1257" s="40" t="str">
        <f>TEXT(Table1[[#This Row],[YEAR]],"0000")&amp;"-"&amp;Table1[[#This Row],[MONTH]]</f>
        <v>-</v>
      </c>
    </row>
    <row r="1258" spans="1:28" ht="15" customHeight="1" x14ac:dyDescent="0.35">
      <c r="A1258" s="24"/>
      <c r="B1258" s="38"/>
      <c r="C1258" s="38"/>
      <c r="D1258" s="38"/>
      <c r="E1258" s="37"/>
      <c r="F1258" s="38"/>
      <c r="G1258" s="198"/>
      <c r="H1258" s="198"/>
      <c r="I1258" s="39"/>
      <c r="J1258" s="38"/>
      <c r="K1258" s="198"/>
      <c r="L1258" s="38"/>
      <c r="M1258" s="38"/>
      <c r="N1258" s="38"/>
      <c r="O1258" s="38"/>
      <c r="P1258" s="40" t="str" cm="1">
        <f t="array" ref="P1258">IF(N1258="","",IFERROR(_xlfn.XLOOKUP(F1258&amp;"|"&amp;J1258&amp;"|"&amp;O1258,PRICES!$C$2:$C$659&amp;"|"&amp;PRICES!$B$2:$B$659&amp;"|"&amp;PRICES!$D$2:$D$659,PRICES!$E$2:$E$659),"Not Found"))</f>
        <v/>
      </c>
      <c r="Q1258" s="100" t="str">
        <f>IF(N1258=0,"",SUMIFS(PRICES!$G$2:$G$658,PRICES!$B$2:$B$658,'MAIN TABLE-1 AUTOMATED'!J1258,PRICES!$C$2:$C$658,'MAIN TABLE-1 AUTOMATED'!F1258,PRICES!$D$2:$D$658,'MAIN TABLE-1 AUTOMATED'!O1258))</f>
        <v/>
      </c>
      <c r="R1258" s="41" t="str">
        <f>IF(Table1[[#This Row],[QUANTITY]]=0,"",Table1[[#This Row],[UNIT PRICE]]*Table1[[#This Row],[QUANTITY]])</f>
        <v/>
      </c>
      <c r="S1258" s="89"/>
      <c r="T1258" s="38"/>
      <c r="U1258" s="43"/>
      <c r="V1258" s="42" t="str">
        <f>IF(Table1[[#This Row],[DATE]]=0,"",YEAR(E1258))</f>
        <v/>
      </c>
      <c r="W1258" s="40" t="str">
        <f t="shared" si="40"/>
        <v/>
      </c>
      <c r="X1258" s="40" t="str">
        <f t="shared" si="41"/>
        <v/>
      </c>
      <c r="Y1258" s="40" t="str">
        <f>TEXT(Table1[[#This Row],[YEAR]],"0000")&amp;"-"&amp;Table1[[#This Row],[MONTH]]</f>
        <v>-</v>
      </c>
    </row>
    <row r="1259" spans="1:28" ht="15" customHeight="1" x14ac:dyDescent="0.35">
      <c r="A1259" s="24"/>
      <c r="B1259" s="38"/>
      <c r="C1259" s="38"/>
      <c r="D1259" s="38"/>
      <c r="E1259" s="37"/>
      <c r="F1259" s="38"/>
      <c r="G1259" s="198"/>
      <c r="H1259" s="198"/>
      <c r="I1259" s="39"/>
      <c r="J1259" s="38"/>
      <c r="K1259" s="198"/>
      <c r="L1259" s="38"/>
      <c r="M1259" s="38"/>
      <c r="N1259" s="38"/>
      <c r="O1259" s="38"/>
      <c r="P1259" s="40" t="str" cm="1">
        <f t="array" ref="P1259">IF(N1259="","",IFERROR(_xlfn.XLOOKUP(F1259&amp;"|"&amp;J1259&amp;"|"&amp;O1259,PRICES!$C$2:$C$659&amp;"|"&amp;PRICES!$B$2:$B$659&amp;"|"&amp;PRICES!$D$2:$D$659,PRICES!$E$2:$E$659),"Not Found"))</f>
        <v/>
      </c>
      <c r="Q1259" s="100" t="str">
        <f>IF(N1259=0,"",SUMIFS(PRICES!$G$2:$G$658,PRICES!$B$2:$B$658,'MAIN TABLE-1 AUTOMATED'!J1259,PRICES!$C$2:$C$658,'MAIN TABLE-1 AUTOMATED'!F1259,PRICES!$D$2:$D$658,'MAIN TABLE-1 AUTOMATED'!O1259))</f>
        <v/>
      </c>
      <c r="R1259" s="41" t="str">
        <f>IF(Table1[[#This Row],[QUANTITY]]=0,"",Table1[[#This Row],[UNIT PRICE]]*Table1[[#This Row],[QUANTITY]])</f>
        <v/>
      </c>
      <c r="S1259" s="89"/>
      <c r="T1259" s="38"/>
      <c r="U1259" s="43"/>
      <c r="V1259" s="42" t="str">
        <f>IF(Table1[[#This Row],[DATE]]=0,"",YEAR(E1259))</f>
        <v/>
      </c>
      <c r="W1259" s="40" t="str">
        <f t="shared" si="40"/>
        <v/>
      </c>
      <c r="X1259" s="40" t="str">
        <f t="shared" si="41"/>
        <v/>
      </c>
      <c r="Y1259" s="40" t="str">
        <f>TEXT(Table1[[#This Row],[YEAR]],"0000")&amp;"-"&amp;Table1[[#This Row],[MONTH]]</f>
        <v>-</v>
      </c>
    </row>
    <row r="1260" spans="1:28" ht="15" customHeight="1" x14ac:dyDescent="0.35">
      <c r="A1260" s="24"/>
      <c r="B1260" s="38"/>
      <c r="C1260" s="38"/>
      <c r="D1260" s="38"/>
      <c r="E1260" s="37"/>
      <c r="F1260" s="38"/>
      <c r="G1260" s="198"/>
      <c r="H1260" s="198"/>
      <c r="I1260" s="39"/>
      <c r="J1260" s="38"/>
      <c r="K1260" s="198"/>
      <c r="L1260" s="38"/>
      <c r="M1260" s="38"/>
      <c r="N1260" s="38"/>
      <c r="O1260" s="38"/>
      <c r="P1260" s="40" t="str" cm="1">
        <f t="array" ref="P1260">IF(N1260="","",IFERROR(_xlfn.XLOOKUP(F1260&amp;"|"&amp;J1260&amp;"|"&amp;O1260,PRICES!$C$2:$C$659&amp;"|"&amp;PRICES!$B$2:$B$659&amp;"|"&amp;PRICES!$D$2:$D$659,PRICES!$E$2:$E$659),"Not Found"))</f>
        <v/>
      </c>
      <c r="Q1260" s="100" t="str">
        <f>IF(N1260=0,"",SUMIFS(PRICES!$G$2:$G$658,PRICES!$B$2:$B$658,'MAIN TABLE-1 AUTOMATED'!J1260,PRICES!$C$2:$C$658,'MAIN TABLE-1 AUTOMATED'!F1260,PRICES!$D$2:$D$658,'MAIN TABLE-1 AUTOMATED'!O1260))</f>
        <v/>
      </c>
      <c r="R1260" s="41" t="str">
        <f>IF(Table1[[#This Row],[QUANTITY]]=0,"",Table1[[#This Row],[UNIT PRICE]]*Table1[[#This Row],[QUANTITY]])</f>
        <v/>
      </c>
      <c r="S1260" s="89"/>
      <c r="T1260" s="38"/>
      <c r="U1260" s="43"/>
      <c r="V1260" s="42" t="str">
        <f>IF(Table1[[#This Row],[DATE]]=0,"",YEAR(E1260))</f>
        <v/>
      </c>
      <c r="W1260" s="40" t="str">
        <f t="shared" si="40"/>
        <v/>
      </c>
      <c r="X1260" s="40" t="str">
        <f t="shared" si="41"/>
        <v/>
      </c>
      <c r="Y1260" s="40" t="str">
        <f>TEXT(Table1[[#This Row],[YEAR]],"0000")&amp;"-"&amp;Table1[[#This Row],[MONTH]]</f>
        <v>-</v>
      </c>
    </row>
    <row r="1261" spans="1:28" ht="15" customHeight="1" x14ac:dyDescent="0.35">
      <c r="A1261" s="24"/>
      <c r="B1261" s="36"/>
      <c r="C1261" s="38"/>
      <c r="D1261" s="38"/>
      <c r="E1261" s="37"/>
      <c r="F1261" s="38"/>
      <c r="G1261" s="198"/>
      <c r="H1261" s="198"/>
      <c r="I1261" s="39"/>
      <c r="J1261" s="38"/>
      <c r="K1261" s="198"/>
      <c r="L1261" s="38"/>
      <c r="M1261" s="38"/>
      <c r="N1261" s="38"/>
      <c r="O1261" s="38"/>
      <c r="P1261" s="40" t="str" cm="1">
        <f t="array" ref="P1261">IF(N1261="","",IFERROR(_xlfn.XLOOKUP(F1261&amp;"|"&amp;J1261&amp;"|"&amp;O1261,PRICES!$C$2:$C$659&amp;"|"&amp;PRICES!$B$2:$B$659&amp;"|"&amp;PRICES!$D$2:$D$659,PRICES!$E$2:$E$659),"Not Found"))</f>
        <v/>
      </c>
      <c r="Q1261" s="100" t="str">
        <f>IF(N1261=0,"",SUMIFS(PRICES!$G$2:$G$658,PRICES!$B$2:$B$658,'MAIN TABLE-1 AUTOMATED'!J1261,PRICES!$C$2:$C$658,'MAIN TABLE-1 AUTOMATED'!F1261,PRICES!$D$2:$D$658,'MAIN TABLE-1 AUTOMATED'!O1261))</f>
        <v/>
      </c>
      <c r="R1261" s="41" t="str">
        <f>IF(Table1[[#This Row],[QUANTITY]]=0,"",Table1[[#This Row],[UNIT PRICE]]*Table1[[#This Row],[QUANTITY]])</f>
        <v/>
      </c>
      <c r="S1261" s="89"/>
      <c r="T1261" s="38"/>
      <c r="U1261" s="43"/>
      <c r="V1261" s="42" t="str">
        <f>IF(Table1[[#This Row],[DATE]]=0,"",YEAR(E1261))</f>
        <v/>
      </c>
      <c r="W1261" s="40" t="str">
        <f t="shared" si="40"/>
        <v/>
      </c>
      <c r="X1261" s="40" t="str">
        <f t="shared" si="41"/>
        <v/>
      </c>
      <c r="Y1261" s="40" t="str">
        <f>TEXT(Table1[[#This Row],[YEAR]],"0000")&amp;"-"&amp;Table1[[#This Row],[MONTH]]</f>
        <v>-</v>
      </c>
    </row>
    <row r="1262" spans="1:28" ht="15" customHeight="1" x14ac:dyDescent="0.35">
      <c r="A1262" s="24"/>
      <c r="B1262" s="36"/>
      <c r="C1262" s="38"/>
      <c r="D1262" s="38"/>
      <c r="E1262" s="37"/>
      <c r="F1262" s="38"/>
      <c r="G1262" s="198"/>
      <c r="H1262" s="198"/>
      <c r="I1262" s="39"/>
      <c r="J1262" s="38"/>
      <c r="K1262" s="198"/>
      <c r="L1262" s="38"/>
      <c r="M1262" s="38"/>
      <c r="N1262" s="38"/>
      <c r="O1262" s="38"/>
      <c r="P1262" s="40" t="str" cm="1">
        <f t="array" ref="P1262">IF(N1262="","",IFERROR(_xlfn.XLOOKUP(F1262&amp;"|"&amp;J1262&amp;"|"&amp;O1262,PRICES!$C$2:$C$659&amp;"|"&amp;PRICES!$B$2:$B$659&amp;"|"&amp;PRICES!$D$2:$D$659,PRICES!$E$2:$E$659),"Not Found"))</f>
        <v/>
      </c>
      <c r="Q1262" s="100" t="str">
        <f>IF(N1262=0,"",SUMIFS(PRICES!$G$2:$G$658,PRICES!$B$2:$B$658,'MAIN TABLE-1 AUTOMATED'!J1262,PRICES!$C$2:$C$658,'MAIN TABLE-1 AUTOMATED'!F1262,PRICES!$D$2:$D$658,'MAIN TABLE-1 AUTOMATED'!O1262))</f>
        <v/>
      </c>
      <c r="R1262" s="41" t="str">
        <f>IF(Table1[[#This Row],[QUANTITY]]=0,"",Table1[[#This Row],[UNIT PRICE]]*Table1[[#This Row],[QUANTITY]])</f>
        <v/>
      </c>
      <c r="S1262" s="89"/>
      <c r="T1262" s="38"/>
      <c r="U1262" s="43"/>
      <c r="V1262" s="42" t="str">
        <f>IF(Table1[[#This Row],[DATE]]=0,"",YEAR(E1262))</f>
        <v/>
      </c>
      <c r="W1262" s="40" t="str">
        <f t="shared" si="40"/>
        <v/>
      </c>
      <c r="X1262" s="40" t="str">
        <f t="shared" si="41"/>
        <v/>
      </c>
      <c r="Y1262" s="40" t="str">
        <f>TEXT(Table1[[#This Row],[YEAR]],"0000")&amp;"-"&amp;Table1[[#This Row],[MONTH]]</f>
        <v>-</v>
      </c>
    </row>
    <row r="1263" spans="1:28" ht="15" customHeight="1" x14ac:dyDescent="0.35">
      <c r="A1263" s="24"/>
      <c r="B1263" s="38"/>
      <c r="C1263" s="38"/>
      <c r="D1263" s="38"/>
      <c r="E1263" s="37"/>
      <c r="F1263" s="38"/>
      <c r="G1263" s="198"/>
      <c r="H1263" s="198"/>
      <c r="I1263" s="39"/>
      <c r="J1263" s="38"/>
      <c r="K1263" s="198"/>
      <c r="L1263" s="38"/>
      <c r="M1263" s="38"/>
      <c r="N1263" s="38"/>
      <c r="O1263" s="38"/>
      <c r="P1263" s="40" t="str" cm="1">
        <f t="array" ref="P1263">IF(N1263="","",IFERROR(_xlfn.XLOOKUP(F1263&amp;"|"&amp;J1263&amp;"|"&amp;O1263,PRICES!$C$2:$C$659&amp;"|"&amp;PRICES!$B$2:$B$659&amp;"|"&amp;PRICES!$D$2:$D$659,PRICES!$E$2:$E$659),"Not Found"))</f>
        <v/>
      </c>
      <c r="Q1263" s="100" t="str">
        <f>IF(N1263=0,"",SUMIFS(PRICES!$G$2:$G$658,PRICES!$B$2:$B$658,'MAIN TABLE-1 AUTOMATED'!J1263,PRICES!$C$2:$C$658,'MAIN TABLE-1 AUTOMATED'!F1263,PRICES!$D$2:$D$658,'MAIN TABLE-1 AUTOMATED'!O1263))</f>
        <v/>
      </c>
      <c r="R1263" s="41" t="str">
        <f>IF(Table1[[#This Row],[QUANTITY]]=0,"",Table1[[#This Row],[UNIT PRICE]]*Table1[[#This Row],[QUANTITY]])</f>
        <v/>
      </c>
      <c r="S1263" s="89"/>
      <c r="T1263" s="38"/>
      <c r="U1263" s="43"/>
      <c r="V1263" s="42" t="str">
        <f>IF(Table1[[#This Row],[DATE]]=0,"",YEAR(E1263))</f>
        <v/>
      </c>
      <c r="W1263" s="40" t="str">
        <f t="shared" si="40"/>
        <v/>
      </c>
      <c r="X1263" s="40" t="str">
        <f t="shared" si="41"/>
        <v/>
      </c>
      <c r="Y1263" s="40" t="str">
        <f>TEXT(Table1[[#This Row],[YEAR]],"0000")&amp;"-"&amp;Table1[[#This Row],[MONTH]]</f>
        <v>-</v>
      </c>
    </row>
    <row r="1264" spans="1:28" ht="15" customHeight="1" x14ac:dyDescent="0.35">
      <c r="A1264" s="24"/>
      <c r="B1264" s="38"/>
      <c r="C1264" s="38"/>
      <c r="D1264" s="38"/>
      <c r="E1264" s="37"/>
      <c r="F1264" s="38"/>
      <c r="G1264" s="198"/>
      <c r="H1264" s="198"/>
      <c r="I1264" s="39"/>
      <c r="J1264" s="38"/>
      <c r="K1264" s="198"/>
      <c r="L1264" s="38"/>
      <c r="M1264" s="38"/>
      <c r="N1264" s="38"/>
      <c r="O1264" s="38"/>
      <c r="P1264" s="40" t="str" cm="1">
        <f t="array" ref="P1264">IF(N1264="","",IFERROR(_xlfn.XLOOKUP(F1264&amp;"|"&amp;J1264&amp;"|"&amp;O1264,PRICES!$C$2:$C$659&amp;"|"&amp;PRICES!$B$2:$B$659&amp;"|"&amp;PRICES!$D$2:$D$659,PRICES!$E$2:$E$659),"Not Found"))</f>
        <v/>
      </c>
      <c r="Q1264" s="100" t="str">
        <f>IF(N1264=0,"",SUMIFS(PRICES!$G$2:$G$658,PRICES!$B$2:$B$658,'MAIN TABLE-1 AUTOMATED'!J1264,PRICES!$C$2:$C$658,'MAIN TABLE-1 AUTOMATED'!F1264,PRICES!$D$2:$D$658,'MAIN TABLE-1 AUTOMATED'!O1264))</f>
        <v/>
      </c>
      <c r="R1264" s="41" t="str">
        <f>IF(Table1[[#This Row],[QUANTITY]]=0,"",Table1[[#This Row],[UNIT PRICE]]*Table1[[#This Row],[QUANTITY]])</f>
        <v/>
      </c>
      <c r="S1264" s="89"/>
      <c r="T1264" s="38"/>
      <c r="U1264" s="43"/>
      <c r="V1264" s="42" t="str">
        <f>IF(Table1[[#This Row],[DATE]]=0,"",YEAR(E1264))</f>
        <v/>
      </c>
      <c r="W1264" s="40" t="str">
        <f t="shared" si="40"/>
        <v/>
      </c>
      <c r="X1264" s="40" t="str">
        <f t="shared" si="41"/>
        <v/>
      </c>
      <c r="Y1264" s="40" t="str">
        <f>TEXT(Table1[[#This Row],[YEAR]],"0000")&amp;"-"&amp;Table1[[#This Row],[MONTH]]</f>
        <v>-</v>
      </c>
    </row>
    <row r="1265" spans="1:25" ht="15" customHeight="1" x14ac:dyDescent="0.35">
      <c r="A1265" s="24"/>
      <c r="B1265" s="38"/>
      <c r="C1265" s="38"/>
      <c r="D1265" s="38"/>
      <c r="E1265" s="37"/>
      <c r="F1265" s="38"/>
      <c r="G1265" s="198"/>
      <c r="H1265" s="198"/>
      <c r="I1265" s="39"/>
      <c r="J1265" s="38"/>
      <c r="K1265" s="198"/>
      <c r="L1265" s="38"/>
      <c r="M1265" s="38"/>
      <c r="N1265" s="38"/>
      <c r="O1265" s="38"/>
      <c r="P1265" s="40" t="str" cm="1">
        <f t="array" ref="P1265">IF(N1265="","",IFERROR(_xlfn.XLOOKUP(F1265&amp;"|"&amp;J1265&amp;"|"&amp;O1265,PRICES!$C$2:$C$659&amp;"|"&amp;PRICES!$B$2:$B$659&amp;"|"&amp;PRICES!$D$2:$D$659,PRICES!$E$2:$E$659),"Not Found"))</f>
        <v/>
      </c>
      <c r="Q1265" s="100" t="str">
        <f>IF(N1265=0,"",SUMIFS(PRICES!$G$2:$G$658,PRICES!$B$2:$B$658,'MAIN TABLE-1 AUTOMATED'!J1265,PRICES!$C$2:$C$658,'MAIN TABLE-1 AUTOMATED'!F1265,PRICES!$D$2:$D$658,'MAIN TABLE-1 AUTOMATED'!O1265))</f>
        <v/>
      </c>
      <c r="R1265" s="41" t="str">
        <f>IF(Table1[[#This Row],[QUANTITY]]=0,"",Table1[[#This Row],[UNIT PRICE]]*Table1[[#This Row],[QUANTITY]])</f>
        <v/>
      </c>
      <c r="S1265" s="89"/>
      <c r="T1265" s="38"/>
      <c r="U1265" s="43"/>
      <c r="V1265" s="42" t="str">
        <f>IF(Table1[[#This Row],[DATE]]=0,"",YEAR(E1265))</f>
        <v/>
      </c>
      <c r="W1265" s="40" t="str">
        <f t="shared" si="40"/>
        <v/>
      </c>
      <c r="X1265" s="40" t="str">
        <f t="shared" si="41"/>
        <v/>
      </c>
      <c r="Y1265" s="40" t="str">
        <f>TEXT(Table1[[#This Row],[YEAR]],"0000")&amp;"-"&amp;Table1[[#This Row],[MONTH]]</f>
        <v>-</v>
      </c>
    </row>
    <row r="1266" spans="1:25" ht="15" customHeight="1" x14ac:dyDescent="0.35">
      <c r="A1266" s="24"/>
      <c r="B1266" s="38"/>
      <c r="C1266" s="38"/>
      <c r="D1266" s="38"/>
      <c r="E1266" s="37"/>
      <c r="F1266" s="38"/>
      <c r="G1266" s="198"/>
      <c r="H1266" s="198"/>
      <c r="I1266" s="39"/>
      <c r="J1266" s="38"/>
      <c r="K1266" s="198"/>
      <c r="L1266" s="38"/>
      <c r="M1266" s="38"/>
      <c r="N1266" s="38"/>
      <c r="O1266" s="38"/>
      <c r="P1266" s="40" t="str" cm="1">
        <f t="array" ref="P1266">IF(N1266="","",IFERROR(_xlfn.XLOOKUP(F1266&amp;"|"&amp;J1266&amp;"|"&amp;O1266,PRICES!$C$2:$C$659&amp;"|"&amp;PRICES!$B$2:$B$659&amp;"|"&amp;PRICES!$D$2:$D$659,PRICES!$E$2:$E$659),"Not Found"))</f>
        <v/>
      </c>
      <c r="Q1266" s="100" t="str">
        <f>IF(N1266=0,"",SUMIFS(PRICES!$G$2:$G$658,PRICES!$B$2:$B$658,'MAIN TABLE-1 AUTOMATED'!J1266,PRICES!$C$2:$C$658,'MAIN TABLE-1 AUTOMATED'!F1266,PRICES!$D$2:$D$658,'MAIN TABLE-1 AUTOMATED'!O1266))</f>
        <v/>
      </c>
      <c r="R1266" s="41" t="str">
        <f>IF(Table1[[#This Row],[QUANTITY]]=0,"",Table1[[#This Row],[UNIT PRICE]]*Table1[[#This Row],[QUANTITY]])</f>
        <v/>
      </c>
      <c r="S1266" s="89"/>
      <c r="T1266" s="38"/>
      <c r="U1266" s="43"/>
      <c r="V1266" s="42" t="str">
        <f>IF(Table1[[#This Row],[DATE]]=0,"",YEAR(E1266))</f>
        <v/>
      </c>
      <c r="W1266" s="40" t="str">
        <f t="shared" si="40"/>
        <v/>
      </c>
      <c r="X1266" s="40" t="str">
        <f t="shared" si="41"/>
        <v/>
      </c>
      <c r="Y1266" s="40" t="str">
        <f>TEXT(Table1[[#This Row],[YEAR]],"0000")&amp;"-"&amp;Table1[[#This Row],[MONTH]]</f>
        <v>-</v>
      </c>
    </row>
    <row r="1267" spans="1:25" ht="15" customHeight="1" x14ac:dyDescent="0.35">
      <c r="A1267" s="24"/>
      <c r="B1267" s="38"/>
      <c r="C1267" s="38"/>
      <c r="D1267" s="38"/>
      <c r="E1267" s="37"/>
      <c r="F1267" s="38"/>
      <c r="G1267" s="198"/>
      <c r="H1267" s="198"/>
      <c r="I1267" s="39"/>
      <c r="J1267" s="38"/>
      <c r="K1267" s="198"/>
      <c r="L1267" s="38"/>
      <c r="M1267" s="38"/>
      <c r="N1267" s="38"/>
      <c r="O1267" s="38"/>
      <c r="P1267" s="40" t="str" cm="1">
        <f t="array" ref="P1267">IF(N1267="","",IFERROR(_xlfn.XLOOKUP(F1267&amp;"|"&amp;J1267&amp;"|"&amp;O1267,PRICES!$C$2:$C$659&amp;"|"&amp;PRICES!$B$2:$B$659&amp;"|"&amp;PRICES!$D$2:$D$659,PRICES!$E$2:$E$659),"Not Found"))</f>
        <v/>
      </c>
      <c r="Q1267" s="100" t="str">
        <f>IF(N1267=0,"",SUMIFS(PRICES!$G$2:$G$658,PRICES!$B$2:$B$658,'MAIN TABLE-1 AUTOMATED'!J1267,PRICES!$C$2:$C$658,'MAIN TABLE-1 AUTOMATED'!F1267,PRICES!$D$2:$D$658,'MAIN TABLE-1 AUTOMATED'!O1267))</f>
        <v/>
      </c>
      <c r="R1267" s="41" t="str">
        <f>IF(Table1[[#This Row],[QUANTITY]]=0,"",Table1[[#This Row],[UNIT PRICE]]*Table1[[#This Row],[QUANTITY]])</f>
        <v/>
      </c>
      <c r="S1267" s="89"/>
      <c r="T1267" s="38"/>
      <c r="U1267" s="43"/>
      <c r="V1267" s="42" t="str">
        <f>IF(Table1[[#This Row],[DATE]]=0,"",YEAR(E1267))</f>
        <v/>
      </c>
      <c r="W1267" s="40" t="str">
        <f t="shared" si="40"/>
        <v/>
      </c>
      <c r="X1267" s="40" t="str">
        <f t="shared" si="41"/>
        <v/>
      </c>
      <c r="Y1267" s="40" t="str">
        <f>TEXT(Table1[[#This Row],[YEAR]],"0000")&amp;"-"&amp;Table1[[#This Row],[MONTH]]</f>
        <v>-</v>
      </c>
    </row>
    <row r="1268" spans="1:25" ht="15" customHeight="1" x14ac:dyDescent="0.35">
      <c r="A1268" s="24"/>
      <c r="B1268" s="38"/>
      <c r="C1268" s="38"/>
      <c r="D1268" s="38"/>
      <c r="E1268" s="37"/>
      <c r="F1268" s="38"/>
      <c r="G1268" s="198"/>
      <c r="H1268" s="198"/>
      <c r="I1268" s="39"/>
      <c r="J1268" s="38"/>
      <c r="K1268" s="198"/>
      <c r="L1268" s="38"/>
      <c r="M1268" s="38"/>
      <c r="N1268" s="38"/>
      <c r="O1268" s="38"/>
      <c r="P1268" s="40" t="str" cm="1">
        <f t="array" ref="P1268">IF(N1268="","",IFERROR(_xlfn.XLOOKUP(F1268&amp;"|"&amp;J1268&amp;"|"&amp;O1268,PRICES!$C$2:$C$659&amp;"|"&amp;PRICES!$B$2:$B$659&amp;"|"&amp;PRICES!$D$2:$D$659,PRICES!$E$2:$E$659),"Not Found"))</f>
        <v/>
      </c>
      <c r="Q1268" s="100" t="str">
        <f>IF(N1268=0,"",SUMIFS(PRICES!$G$2:$G$658,PRICES!$B$2:$B$658,'MAIN TABLE-1 AUTOMATED'!J1268,PRICES!$C$2:$C$658,'MAIN TABLE-1 AUTOMATED'!F1268,PRICES!$D$2:$D$658,'MAIN TABLE-1 AUTOMATED'!O1268))</f>
        <v/>
      </c>
      <c r="R1268" s="41" t="str">
        <f>IF(Table1[[#This Row],[QUANTITY]]=0,"",Table1[[#This Row],[UNIT PRICE]]*Table1[[#This Row],[QUANTITY]])</f>
        <v/>
      </c>
      <c r="S1268" s="89"/>
      <c r="T1268" s="38"/>
      <c r="U1268" s="43"/>
      <c r="V1268" s="42" t="str">
        <f>IF(Table1[[#This Row],[DATE]]=0,"",YEAR(E1268))</f>
        <v/>
      </c>
      <c r="W1268" s="40" t="str">
        <f t="shared" si="40"/>
        <v/>
      </c>
      <c r="X1268" s="40" t="str">
        <f t="shared" si="41"/>
        <v/>
      </c>
      <c r="Y1268" s="40" t="str">
        <f>TEXT(Table1[[#This Row],[YEAR]],"0000")&amp;"-"&amp;Table1[[#This Row],[MONTH]]</f>
        <v>-</v>
      </c>
    </row>
    <row r="1269" spans="1:25" ht="15" customHeight="1" x14ac:dyDescent="0.35">
      <c r="A1269" s="24"/>
      <c r="B1269" s="38"/>
      <c r="C1269" s="38"/>
      <c r="D1269" s="38"/>
      <c r="E1269" s="37"/>
      <c r="F1269" s="38"/>
      <c r="G1269" s="198"/>
      <c r="H1269" s="198"/>
      <c r="I1269" s="39"/>
      <c r="J1269" s="38"/>
      <c r="K1269" s="198"/>
      <c r="L1269" s="38"/>
      <c r="M1269" s="38"/>
      <c r="N1269" s="38"/>
      <c r="O1269" s="38"/>
      <c r="P1269" s="40" t="str" cm="1">
        <f t="array" ref="P1269">IF(N1269="","",IFERROR(_xlfn.XLOOKUP(F1269&amp;"|"&amp;J1269&amp;"|"&amp;O1269,PRICES!$C$2:$C$659&amp;"|"&amp;PRICES!$B$2:$B$659&amp;"|"&amp;PRICES!$D$2:$D$659,PRICES!$E$2:$E$659),"Not Found"))</f>
        <v/>
      </c>
      <c r="Q1269" s="100" t="str">
        <f>IF(N1269=0,"",SUMIFS(PRICES!$G$2:$G$658,PRICES!$B$2:$B$658,'MAIN TABLE-1 AUTOMATED'!J1269,PRICES!$C$2:$C$658,'MAIN TABLE-1 AUTOMATED'!F1269,PRICES!$D$2:$D$658,'MAIN TABLE-1 AUTOMATED'!O1269))</f>
        <v/>
      </c>
      <c r="R1269" s="41" t="str">
        <f>IF(Table1[[#This Row],[QUANTITY]]=0,"",Table1[[#This Row],[UNIT PRICE]]*Table1[[#This Row],[QUANTITY]])</f>
        <v/>
      </c>
      <c r="S1269" s="89"/>
      <c r="T1269" s="38"/>
      <c r="U1269" s="43"/>
      <c r="V1269" s="42" t="str">
        <f>IF(Table1[[#This Row],[DATE]]=0,"",YEAR(E1269))</f>
        <v/>
      </c>
      <c r="W1269" s="40" t="str">
        <f t="shared" si="40"/>
        <v/>
      </c>
      <c r="X1269" s="40" t="str">
        <f t="shared" si="41"/>
        <v/>
      </c>
      <c r="Y1269" s="40" t="str">
        <f>TEXT(Table1[[#This Row],[YEAR]],"0000")&amp;"-"&amp;Table1[[#This Row],[MONTH]]</f>
        <v>-</v>
      </c>
    </row>
    <row r="1270" spans="1:25" ht="15" customHeight="1" x14ac:dyDescent="0.35">
      <c r="A1270" s="24"/>
      <c r="B1270" s="105"/>
      <c r="C1270" s="38"/>
      <c r="D1270" s="38"/>
      <c r="E1270" s="109"/>
      <c r="F1270" s="38"/>
      <c r="G1270" s="200"/>
      <c r="H1270" s="200"/>
      <c r="I1270" s="106"/>
      <c r="J1270" s="38"/>
      <c r="K1270" s="200"/>
      <c r="L1270" s="105"/>
      <c r="M1270" s="105"/>
      <c r="N1270" s="38"/>
      <c r="O1270" s="105"/>
      <c r="P1270" s="40" t="str" cm="1">
        <f t="array" ref="P1270">IF(N1270="","",IFERROR(_xlfn.XLOOKUP(F1270&amp;"|"&amp;J1270&amp;"|"&amp;O1270,PRICES!$C$2:$C$659&amp;"|"&amp;PRICES!$B$2:$B$659&amp;"|"&amp;PRICES!$D$2:$D$659,PRICES!$E$2:$E$659),"Not Found"))</f>
        <v/>
      </c>
      <c r="Q1270" s="100" t="str">
        <f>IF(N1270=0,"",SUMIFS(PRICES!$G$2:$G$658,PRICES!$B$2:$B$658,'MAIN TABLE-1 AUTOMATED'!J1270,PRICES!$C$2:$C$658,'MAIN TABLE-1 AUTOMATED'!F1270,PRICES!$D$2:$D$658,'MAIN TABLE-1 AUTOMATED'!O1270))</f>
        <v/>
      </c>
      <c r="R1270" s="41" t="str">
        <f>IF(Table1[[#This Row],[QUANTITY]]=0,"",Table1[[#This Row],[UNIT PRICE]]*Table1[[#This Row],[QUANTITY]])</f>
        <v/>
      </c>
      <c r="S1270" s="89"/>
      <c r="T1270" s="105"/>
      <c r="U1270" s="43"/>
      <c r="V1270" s="42" t="str">
        <f>IF(Table1[[#This Row],[DATE]]=0,"",YEAR(E1270))</f>
        <v/>
      </c>
      <c r="W1270" s="40" t="str">
        <f t="shared" si="40"/>
        <v/>
      </c>
      <c r="X1270" s="40" t="str">
        <f t="shared" si="41"/>
        <v/>
      </c>
      <c r="Y1270" s="40" t="str">
        <f>TEXT(Table1[[#This Row],[YEAR]],"0000")&amp;"-"&amp;Table1[[#This Row],[MONTH]]</f>
        <v>-</v>
      </c>
    </row>
    <row r="1271" spans="1:25" ht="15.6" customHeight="1" x14ac:dyDescent="0.35">
      <c r="A1271" s="24"/>
      <c r="B1271" s="38"/>
      <c r="C1271" s="38"/>
      <c r="D1271" s="38"/>
      <c r="E1271" s="109"/>
      <c r="F1271" s="38"/>
      <c r="G1271" s="198"/>
      <c r="H1271" s="198"/>
      <c r="I1271" s="39"/>
      <c r="J1271" s="38"/>
      <c r="K1271" s="200"/>
      <c r="L1271" s="105"/>
      <c r="M1271" s="38"/>
      <c r="N1271" s="38"/>
      <c r="O1271" s="38"/>
      <c r="P1271" s="40" t="str" cm="1">
        <f t="array" ref="P1271">IF(N1271="","",IFERROR(_xlfn.XLOOKUP(F1271&amp;"|"&amp;J1271&amp;"|"&amp;O1271,PRICES!$C$2:$C$659&amp;"|"&amp;PRICES!$B$2:$B$659&amp;"|"&amp;PRICES!$D$2:$D$659,PRICES!$E$2:$E$659),"Not Found"))</f>
        <v/>
      </c>
      <c r="Q1271" s="100" t="str">
        <f>IF(N1271=0,"",SUMIFS(PRICES!$G$2:$G$658,PRICES!$B$2:$B$658,'MAIN TABLE-1 AUTOMATED'!J1271,PRICES!$C$2:$C$658,'MAIN TABLE-1 AUTOMATED'!F1271,PRICES!$D$2:$D$658,'MAIN TABLE-1 AUTOMATED'!O1271))</f>
        <v/>
      </c>
      <c r="R1271" s="41" t="str">
        <f>IF(Table1[[#This Row],[QUANTITY]]=0,"",Table1[[#This Row],[UNIT PRICE]]*Table1[[#This Row],[QUANTITY]])</f>
        <v/>
      </c>
      <c r="S1271" s="89"/>
      <c r="T1271" s="105"/>
      <c r="U1271" s="43"/>
      <c r="V1271" s="42" t="str">
        <f>IF(Table1[[#This Row],[DATE]]=0,"",YEAR(E1271))</f>
        <v/>
      </c>
      <c r="W1271" s="40" t="str">
        <f t="shared" si="40"/>
        <v/>
      </c>
      <c r="X1271" s="40" t="str">
        <f t="shared" si="41"/>
        <v/>
      </c>
      <c r="Y1271" s="40" t="str">
        <f>TEXT(Table1[[#This Row],[YEAR]],"0000")&amp;"-"&amp;Table1[[#This Row],[MONTH]]</f>
        <v>-</v>
      </c>
    </row>
    <row r="1272" spans="1:25" ht="15.6" customHeight="1" x14ac:dyDescent="0.35">
      <c r="A1272" s="24"/>
      <c r="B1272" s="38"/>
      <c r="C1272" s="38"/>
      <c r="D1272" s="38"/>
      <c r="E1272" s="37"/>
      <c r="F1272" s="38"/>
      <c r="G1272" s="198"/>
      <c r="H1272" s="198"/>
      <c r="I1272" s="39"/>
      <c r="J1272" s="38"/>
      <c r="K1272" s="198"/>
      <c r="L1272" s="38"/>
      <c r="M1272" s="38"/>
      <c r="N1272" s="38"/>
      <c r="O1272" s="38"/>
      <c r="P1272" s="40" t="str" cm="1">
        <f t="array" ref="P1272">IF(N1272="","",IFERROR(_xlfn.XLOOKUP(F1272&amp;"|"&amp;J1272&amp;"|"&amp;O1272,PRICES!$C$2:$C$659&amp;"|"&amp;PRICES!$B$2:$B$659&amp;"|"&amp;PRICES!$D$2:$D$659,PRICES!$E$2:$E$659),"Not Found"))</f>
        <v/>
      </c>
      <c r="Q1272" s="100" t="str">
        <f>IF(N1272=0,"",SUMIFS(PRICES!$G$2:$G$658,PRICES!$B$2:$B$658,'MAIN TABLE-1 AUTOMATED'!J1272,PRICES!$C$2:$C$658,'MAIN TABLE-1 AUTOMATED'!F1272,PRICES!$D$2:$D$658,'MAIN TABLE-1 AUTOMATED'!O1272))</f>
        <v/>
      </c>
      <c r="R1272" s="41" t="str">
        <f>IF(Table1[[#This Row],[QUANTITY]]=0,"",Table1[[#This Row],[UNIT PRICE]]*Table1[[#This Row],[QUANTITY]])</f>
        <v/>
      </c>
      <c r="S1272" s="89"/>
      <c r="T1272" s="38"/>
      <c r="U1272" s="43"/>
      <c r="V1272" s="42" t="str">
        <f>IF(Table1[[#This Row],[DATE]]=0,"",YEAR(E1272))</f>
        <v/>
      </c>
      <c r="W1272" s="40" t="str">
        <f t="shared" si="40"/>
        <v/>
      </c>
      <c r="X1272" s="40" t="str">
        <f t="shared" si="41"/>
        <v/>
      </c>
      <c r="Y1272" s="40" t="str">
        <f>TEXT(Table1[[#This Row],[YEAR]],"0000")&amp;"-"&amp;Table1[[#This Row],[MONTH]]</f>
        <v>-</v>
      </c>
    </row>
    <row r="1273" spans="1:25" ht="15.6" customHeight="1" x14ac:dyDescent="0.35">
      <c r="A1273" s="24"/>
      <c r="B1273" s="38"/>
      <c r="C1273" s="38"/>
      <c r="D1273" s="38"/>
      <c r="E1273" s="37"/>
      <c r="F1273" s="38"/>
      <c r="G1273" s="198"/>
      <c r="H1273" s="198"/>
      <c r="I1273" s="39"/>
      <c r="J1273" s="38"/>
      <c r="K1273" s="198"/>
      <c r="L1273" s="38"/>
      <c r="M1273" s="38"/>
      <c r="N1273" s="38"/>
      <c r="O1273" s="38"/>
      <c r="P1273" s="40" t="str" cm="1">
        <f t="array" ref="P1273">IF(N1273="","",IFERROR(_xlfn.XLOOKUP(F1273&amp;"|"&amp;J1273&amp;"|"&amp;O1273,PRICES!$C$2:$C$659&amp;"|"&amp;PRICES!$B$2:$B$659&amp;"|"&amp;PRICES!$D$2:$D$659,PRICES!$E$2:$E$659),"Not Found"))</f>
        <v/>
      </c>
      <c r="Q1273" s="100" t="str">
        <f>IF(N1273=0,"",SUMIFS(PRICES!$G$2:$G$658,PRICES!$B$2:$B$658,'MAIN TABLE-1 AUTOMATED'!J1273,PRICES!$C$2:$C$658,'MAIN TABLE-1 AUTOMATED'!F1273,PRICES!$D$2:$D$658,'MAIN TABLE-1 AUTOMATED'!O1273))</f>
        <v/>
      </c>
      <c r="R1273" s="41" t="str">
        <f>IF(Table1[[#This Row],[QUANTITY]]=0,"",Table1[[#This Row],[UNIT PRICE]]*Table1[[#This Row],[QUANTITY]])</f>
        <v/>
      </c>
      <c r="S1273" s="89"/>
      <c r="T1273" s="38"/>
      <c r="U1273" s="43"/>
      <c r="V1273" s="42" t="str">
        <f>IF(Table1[[#This Row],[DATE]]=0,"",YEAR(E1273))</f>
        <v/>
      </c>
      <c r="W1273" s="40" t="str">
        <f t="shared" si="40"/>
        <v/>
      </c>
      <c r="X1273" s="40" t="str">
        <f t="shared" si="41"/>
        <v/>
      </c>
      <c r="Y1273" s="40" t="str">
        <f>TEXT(Table1[[#This Row],[YEAR]],"0000")&amp;"-"&amp;Table1[[#This Row],[MONTH]]</f>
        <v>-</v>
      </c>
    </row>
    <row r="1274" spans="1:25" ht="15" customHeight="1" x14ac:dyDescent="0.35">
      <c r="A1274" s="24"/>
      <c r="B1274" s="38"/>
      <c r="C1274" s="38"/>
      <c r="D1274" s="38"/>
      <c r="E1274" s="37"/>
      <c r="F1274" s="38"/>
      <c r="G1274" s="198"/>
      <c r="H1274" s="198"/>
      <c r="I1274" s="39"/>
      <c r="J1274" s="38"/>
      <c r="K1274" s="198"/>
      <c r="L1274" s="38"/>
      <c r="M1274" s="38"/>
      <c r="N1274" s="38"/>
      <c r="O1274" s="38"/>
      <c r="P1274" s="40" t="str" cm="1">
        <f t="array" ref="P1274">IF(N1274="","",IFERROR(_xlfn.XLOOKUP(F1274&amp;"|"&amp;J1274&amp;"|"&amp;O1274,PRICES!$C$2:$C$659&amp;"|"&amp;PRICES!$B$2:$B$659&amp;"|"&amp;PRICES!$D$2:$D$659,PRICES!$E$2:$E$659),"Not Found"))</f>
        <v/>
      </c>
      <c r="Q1274" s="100" t="str">
        <f>IF(N1274=0,"",SUMIFS(PRICES!$G$2:$G$658,PRICES!$B$2:$B$658,'MAIN TABLE-1 AUTOMATED'!J1274,PRICES!$C$2:$C$658,'MAIN TABLE-1 AUTOMATED'!F1274,PRICES!$D$2:$D$658,'MAIN TABLE-1 AUTOMATED'!O1274))</f>
        <v/>
      </c>
      <c r="R1274" s="41" t="str">
        <f>IF(Table1[[#This Row],[QUANTITY]]=0,"",Table1[[#This Row],[UNIT PRICE]]*Table1[[#This Row],[QUANTITY]])</f>
        <v/>
      </c>
      <c r="S1274" s="89"/>
      <c r="T1274" s="38"/>
      <c r="U1274" s="43"/>
      <c r="V1274" s="42" t="str">
        <f>IF(Table1[[#This Row],[DATE]]=0,"",YEAR(E1274))</f>
        <v/>
      </c>
      <c r="W1274" s="40" t="str">
        <f t="shared" si="40"/>
        <v/>
      </c>
      <c r="X1274" s="40" t="str">
        <f t="shared" si="41"/>
        <v/>
      </c>
      <c r="Y1274" s="40" t="str">
        <f>TEXT(Table1[[#This Row],[YEAR]],"0000")&amp;"-"&amp;Table1[[#This Row],[MONTH]]</f>
        <v>-</v>
      </c>
    </row>
    <row r="1275" spans="1:25" ht="15" customHeight="1" x14ac:dyDescent="0.35">
      <c r="A1275" s="24"/>
      <c r="B1275" s="38"/>
      <c r="C1275" s="38"/>
      <c r="D1275" s="38"/>
      <c r="E1275" s="37"/>
      <c r="F1275" s="38"/>
      <c r="G1275" s="198"/>
      <c r="H1275" s="198"/>
      <c r="I1275" s="39"/>
      <c r="J1275" s="38"/>
      <c r="K1275" s="198"/>
      <c r="L1275" s="38"/>
      <c r="M1275" s="38"/>
      <c r="N1275" s="38"/>
      <c r="O1275" s="38"/>
      <c r="P1275" s="40" t="str" cm="1">
        <f t="array" ref="P1275">IF(N1275="","",IFERROR(_xlfn.XLOOKUP(F1275&amp;"|"&amp;J1275&amp;"|"&amp;O1275,PRICES!$C$2:$C$659&amp;"|"&amp;PRICES!$B$2:$B$659&amp;"|"&amp;PRICES!$D$2:$D$659,PRICES!$E$2:$E$659),"Not Found"))</f>
        <v/>
      </c>
      <c r="Q1275" s="100" t="str">
        <f>IF(N1275=0,"",SUMIFS(PRICES!$G$2:$G$658,PRICES!$B$2:$B$658,'MAIN TABLE-1 AUTOMATED'!J1275,PRICES!$C$2:$C$658,'MAIN TABLE-1 AUTOMATED'!F1275,PRICES!$D$2:$D$658,'MAIN TABLE-1 AUTOMATED'!O1275))</f>
        <v/>
      </c>
      <c r="R1275" s="41" t="str">
        <f>IF(Table1[[#This Row],[QUANTITY]]=0,"",Table1[[#This Row],[UNIT PRICE]]*Table1[[#This Row],[QUANTITY]])</f>
        <v/>
      </c>
      <c r="S1275" s="89"/>
      <c r="T1275" s="38"/>
      <c r="U1275" s="43"/>
      <c r="V1275" s="42" t="str">
        <f>IF(Table1[[#This Row],[DATE]]=0,"",YEAR(E1275))</f>
        <v/>
      </c>
      <c r="W1275" s="40" t="str">
        <f t="shared" si="40"/>
        <v/>
      </c>
      <c r="X1275" s="40" t="str">
        <f t="shared" si="41"/>
        <v/>
      </c>
      <c r="Y1275" s="40" t="str">
        <f>TEXT(Table1[[#This Row],[YEAR]],"0000")&amp;"-"&amp;Table1[[#This Row],[MONTH]]</f>
        <v>-</v>
      </c>
    </row>
    <row r="1276" spans="1:25" ht="15" customHeight="1" x14ac:dyDescent="0.35">
      <c r="A1276" s="24"/>
      <c r="B1276" s="38"/>
      <c r="C1276" s="38"/>
      <c r="D1276" s="38"/>
      <c r="E1276" s="37"/>
      <c r="F1276" s="38"/>
      <c r="G1276" s="198"/>
      <c r="H1276" s="198"/>
      <c r="I1276" s="39"/>
      <c r="J1276" s="38"/>
      <c r="K1276" s="198"/>
      <c r="L1276" s="38"/>
      <c r="M1276" s="38"/>
      <c r="N1276" s="38"/>
      <c r="O1276" s="38"/>
      <c r="P1276" s="40" t="str" cm="1">
        <f t="array" ref="P1276">IF(N1276="","",IFERROR(_xlfn.XLOOKUP(F1276&amp;"|"&amp;J1276&amp;"|"&amp;O1276,PRICES!$C$2:$C$659&amp;"|"&amp;PRICES!$B$2:$B$659&amp;"|"&amp;PRICES!$D$2:$D$659,PRICES!$E$2:$E$659),"Not Found"))</f>
        <v/>
      </c>
      <c r="Q1276" s="100" t="str">
        <f>IF(N1276=0,"",SUMIFS(PRICES!$G$2:$G$658,PRICES!$B$2:$B$658,'MAIN TABLE-1 AUTOMATED'!J1276,PRICES!$C$2:$C$658,'MAIN TABLE-1 AUTOMATED'!F1276,PRICES!$D$2:$D$658,'MAIN TABLE-1 AUTOMATED'!O1276))</f>
        <v/>
      </c>
      <c r="R1276" s="41" t="str">
        <f>IF(Table1[[#This Row],[QUANTITY]]=0,"",Table1[[#This Row],[UNIT PRICE]]*Table1[[#This Row],[QUANTITY]])</f>
        <v/>
      </c>
      <c r="S1276" s="89"/>
      <c r="T1276" s="38"/>
      <c r="U1276" s="43"/>
      <c r="V1276" s="42" t="str">
        <f>IF(Table1[[#This Row],[DATE]]=0,"",YEAR(E1276))</f>
        <v/>
      </c>
      <c r="W1276" s="40" t="str">
        <f t="shared" si="40"/>
        <v/>
      </c>
      <c r="X1276" s="40" t="str">
        <f t="shared" si="41"/>
        <v/>
      </c>
      <c r="Y1276" s="40" t="str">
        <f>TEXT(Table1[[#This Row],[YEAR]],"0000")&amp;"-"&amp;Table1[[#This Row],[MONTH]]</f>
        <v>-</v>
      </c>
    </row>
    <row r="1277" spans="1:25" ht="15" customHeight="1" x14ac:dyDescent="0.35">
      <c r="A1277" s="24"/>
      <c r="B1277" s="38"/>
      <c r="C1277" s="38"/>
      <c r="D1277" s="38"/>
      <c r="E1277" s="37"/>
      <c r="F1277" s="38"/>
      <c r="G1277" s="198"/>
      <c r="H1277" s="198"/>
      <c r="I1277" s="39"/>
      <c r="J1277" s="38"/>
      <c r="K1277" s="198"/>
      <c r="L1277" s="38"/>
      <c r="M1277" s="38"/>
      <c r="N1277" s="38"/>
      <c r="O1277" s="38"/>
      <c r="P1277" s="40" t="str" cm="1">
        <f t="array" ref="P1277">IF(N1277="","",IFERROR(_xlfn.XLOOKUP(F1277&amp;"|"&amp;J1277&amp;"|"&amp;O1277,PRICES!$C$2:$C$659&amp;"|"&amp;PRICES!$B$2:$B$659&amp;"|"&amp;PRICES!$D$2:$D$659,PRICES!$E$2:$E$659),"Not Found"))</f>
        <v/>
      </c>
      <c r="Q1277" s="100" t="str">
        <f>IF(N1277=0,"",SUMIFS(PRICES!$G$2:$G$658,PRICES!$B$2:$B$658,'MAIN TABLE-1 AUTOMATED'!J1277,PRICES!$C$2:$C$658,'MAIN TABLE-1 AUTOMATED'!F1277,PRICES!$D$2:$D$658,'MAIN TABLE-1 AUTOMATED'!O1277))</f>
        <v/>
      </c>
      <c r="R1277" s="41" t="str">
        <f>IF(Table1[[#This Row],[QUANTITY]]=0,"",Table1[[#This Row],[UNIT PRICE]]*Table1[[#This Row],[QUANTITY]])</f>
        <v/>
      </c>
      <c r="S1277" s="89"/>
      <c r="T1277" s="38"/>
      <c r="U1277" s="43"/>
      <c r="V1277" s="42" t="str">
        <f>IF(Table1[[#This Row],[DATE]]=0,"",YEAR(E1277))</f>
        <v/>
      </c>
      <c r="W1277" s="40" t="str">
        <f t="shared" si="40"/>
        <v/>
      </c>
      <c r="X1277" s="40" t="str">
        <f t="shared" si="41"/>
        <v/>
      </c>
      <c r="Y1277" s="40" t="str">
        <f>TEXT(Table1[[#This Row],[YEAR]],"0000")&amp;"-"&amp;Table1[[#This Row],[MONTH]]</f>
        <v>-</v>
      </c>
    </row>
    <row r="1278" spans="1:25" ht="15" customHeight="1" x14ac:dyDescent="0.35">
      <c r="A1278" s="24"/>
      <c r="B1278" s="38"/>
      <c r="C1278" s="38"/>
      <c r="D1278" s="38"/>
      <c r="E1278" s="37"/>
      <c r="F1278" s="38"/>
      <c r="G1278" s="198"/>
      <c r="H1278" s="198"/>
      <c r="I1278" s="39"/>
      <c r="J1278" s="38"/>
      <c r="K1278" s="198"/>
      <c r="L1278" s="38"/>
      <c r="M1278" s="38"/>
      <c r="N1278" s="38"/>
      <c r="O1278" s="38"/>
      <c r="P1278" s="40" t="str" cm="1">
        <f t="array" ref="P1278">IF(N1278="","",IFERROR(_xlfn.XLOOKUP(F1278&amp;"|"&amp;J1278&amp;"|"&amp;O1278,PRICES!$C$2:$C$659&amp;"|"&amp;PRICES!$B$2:$B$659&amp;"|"&amp;PRICES!$D$2:$D$659,PRICES!$E$2:$E$659),"Not Found"))</f>
        <v/>
      </c>
      <c r="Q1278" s="100" t="str">
        <f>IF(N1278=0,"",SUMIFS(PRICES!$G$2:$G$658,PRICES!$B$2:$B$658,'MAIN TABLE-1 AUTOMATED'!J1278,PRICES!$C$2:$C$658,'MAIN TABLE-1 AUTOMATED'!F1278,PRICES!$D$2:$D$658,'MAIN TABLE-1 AUTOMATED'!O1278))</f>
        <v/>
      </c>
      <c r="R1278" s="41" t="str">
        <f>IF(Table1[[#This Row],[QUANTITY]]=0,"",Table1[[#This Row],[UNIT PRICE]]*Table1[[#This Row],[QUANTITY]])</f>
        <v/>
      </c>
      <c r="S1278" s="89"/>
      <c r="T1278" s="38"/>
      <c r="U1278" s="43"/>
      <c r="V1278" s="42" t="str">
        <f>IF(Table1[[#This Row],[DATE]]=0,"",YEAR(E1278))</f>
        <v/>
      </c>
      <c r="W1278" s="40" t="str">
        <f t="shared" si="40"/>
        <v/>
      </c>
      <c r="X1278" s="40" t="str">
        <f t="shared" si="41"/>
        <v/>
      </c>
      <c r="Y1278" s="40" t="str">
        <f>TEXT(Table1[[#This Row],[YEAR]],"0000")&amp;"-"&amp;Table1[[#This Row],[MONTH]]</f>
        <v>-</v>
      </c>
    </row>
    <row r="1279" spans="1:25" ht="15" customHeight="1" x14ac:dyDescent="0.35">
      <c r="A1279" s="24"/>
      <c r="B1279" s="38"/>
      <c r="C1279" s="38"/>
      <c r="D1279" s="38"/>
      <c r="E1279" s="37"/>
      <c r="F1279" s="38"/>
      <c r="G1279" s="198"/>
      <c r="H1279" s="198"/>
      <c r="I1279" s="39"/>
      <c r="J1279" s="38"/>
      <c r="K1279" s="198"/>
      <c r="L1279" s="38"/>
      <c r="M1279" s="38"/>
      <c r="N1279" s="38"/>
      <c r="O1279" s="38"/>
      <c r="P1279" s="40" t="str" cm="1">
        <f t="array" ref="P1279">IF(N1279="","",IFERROR(_xlfn.XLOOKUP(F1279&amp;"|"&amp;J1279&amp;"|"&amp;O1279,PRICES!$C$2:$C$659&amp;"|"&amp;PRICES!$B$2:$B$659&amp;"|"&amp;PRICES!$D$2:$D$659,PRICES!$E$2:$E$659),"Not Found"))</f>
        <v/>
      </c>
      <c r="Q1279" s="100" t="str">
        <f>IF(N1279=0,"",SUMIFS(PRICES!$G$2:$G$658,PRICES!$B$2:$B$658,'MAIN TABLE-1 AUTOMATED'!J1279,PRICES!$C$2:$C$658,'MAIN TABLE-1 AUTOMATED'!F1279,PRICES!$D$2:$D$658,'MAIN TABLE-1 AUTOMATED'!O1279))</f>
        <v/>
      </c>
      <c r="R1279" s="41" t="str">
        <f>IF(Table1[[#This Row],[QUANTITY]]=0,"",Table1[[#This Row],[UNIT PRICE]]*Table1[[#This Row],[QUANTITY]])</f>
        <v/>
      </c>
      <c r="S1279" s="89"/>
      <c r="T1279" s="38"/>
      <c r="U1279" s="43"/>
      <c r="V1279" s="42" t="str">
        <f>IF(Table1[[#This Row],[DATE]]=0,"",YEAR(E1279))</f>
        <v/>
      </c>
      <c r="W1279" s="40" t="str">
        <f t="shared" si="40"/>
        <v/>
      </c>
      <c r="X1279" s="40" t="str">
        <f t="shared" si="41"/>
        <v/>
      </c>
      <c r="Y1279" s="40" t="str">
        <f>TEXT(Table1[[#This Row],[YEAR]],"0000")&amp;"-"&amp;Table1[[#This Row],[MONTH]]</f>
        <v>-</v>
      </c>
    </row>
    <row r="1280" spans="1:25" ht="15" customHeight="1" x14ac:dyDescent="0.35">
      <c r="A1280" s="24"/>
      <c r="B1280" s="38"/>
      <c r="C1280" s="38"/>
      <c r="D1280" s="38"/>
      <c r="E1280" s="37"/>
      <c r="F1280" s="38"/>
      <c r="G1280" s="198"/>
      <c r="H1280" s="198"/>
      <c r="I1280" s="39"/>
      <c r="J1280" s="38"/>
      <c r="K1280" s="198"/>
      <c r="L1280" s="38"/>
      <c r="M1280" s="38"/>
      <c r="N1280" s="38"/>
      <c r="O1280" s="38"/>
      <c r="P1280" s="40" t="str" cm="1">
        <f t="array" ref="P1280">IF(N1280="","",IFERROR(_xlfn.XLOOKUP(F1280&amp;"|"&amp;J1280&amp;"|"&amp;O1280,PRICES!$C$2:$C$659&amp;"|"&amp;PRICES!$B$2:$B$659&amp;"|"&amp;PRICES!$D$2:$D$659,PRICES!$E$2:$E$659),"Not Found"))</f>
        <v/>
      </c>
      <c r="Q1280" s="100" t="str">
        <f>IF(N1280=0,"",SUMIFS(PRICES!$G$2:$G$658,PRICES!$B$2:$B$658,'MAIN TABLE-1 AUTOMATED'!J1280,PRICES!$C$2:$C$658,'MAIN TABLE-1 AUTOMATED'!F1280,PRICES!$D$2:$D$658,'MAIN TABLE-1 AUTOMATED'!O1280))</f>
        <v/>
      </c>
      <c r="R1280" s="41" t="str">
        <f>IF(Table1[[#This Row],[QUANTITY]]=0,"",Table1[[#This Row],[UNIT PRICE]]*Table1[[#This Row],[QUANTITY]])</f>
        <v/>
      </c>
      <c r="S1280" s="89"/>
      <c r="T1280" s="38"/>
      <c r="U1280" s="43"/>
      <c r="V1280" s="42" t="str">
        <f>IF(Table1[[#This Row],[DATE]]=0,"",YEAR(E1280))</f>
        <v/>
      </c>
      <c r="W1280" s="40" t="str">
        <f t="shared" si="40"/>
        <v/>
      </c>
      <c r="X1280" s="40" t="str">
        <f t="shared" si="41"/>
        <v/>
      </c>
      <c r="Y1280" s="40" t="str">
        <f>TEXT(Table1[[#This Row],[YEAR]],"0000")&amp;"-"&amp;Table1[[#This Row],[MONTH]]</f>
        <v>-</v>
      </c>
    </row>
    <row r="1281" spans="1:25" ht="15" customHeight="1" x14ac:dyDescent="0.35">
      <c r="A1281" s="24"/>
      <c r="B1281" s="38"/>
      <c r="C1281" s="38"/>
      <c r="D1281" s="38"/>
      <c r="E1281" s="37"/>
      <c r="F1281" s="38"/>
      <c r="G1281" s="198"/>
      <c r="H1281" s="198"/>
      <c r="I1281" s="39"/>
      <c r="J1281" s="38"/>
      <c r="K1281" s="198"/>
      <c r="L1281" s="38"/>
      <c r="M1281" s="38"/>
      <c r="N1281" s="38"/>
      <c r="O1281" s="38"/>
      <c r="P1281" s="40" t="str" cm="1">
        <f t="array" ref="P1281">IF(N1281="","",IFERROR(_xlfn.XLOOKUP(F1281&amp;"|"&amp;J1281&amp;"|"&amp;O1281,PRICES!$C$2:$C$659&amp;"|"&amp;PRICES!$B$2:$B$659&amp;"|"&amp;PRICES!$D$2:$D$659,PRICES!$E$2:$E$659),"Not Found"))</f>
        <v/>
      </c>
      <c r="Q1281" s="100" t="str">
        <f>IF(N1281=0,"",SUMIFS(PRICES!$G$2:$G$658,PRICES!$B$2:$B$658,'MAIN TABLE-1 AUTOMATED'!J1281,PRICES!$C$2:$C$658,'MAIN TABLE-1 AUTOMATED'!F1281,PRICES!$D$2:$D$658,'MAIN TABLE-1 AUTOMATED'!O1281))</f>
        <v/>
      </c>
      <c r="R1281" s="41" t="str">
        <f>IF(Table1[[#This Row],[QUANTITY]]=0,"",Table1[[#This Row],[UNIT PRICE]]*Table1[[#This Row],[QUANTITY]])</f>
        <v/>
      </c>
      <c r="S1281" s="89"/>
      <c r="T1281" s="38"/>
      <c r="U1281" s="43"/>
      <c r="V1281" s="42" t="str">
        <f>IF(Table1[[#This Row],[DATE]]=0,"",YEAR(E1281))</f>
        <v/>
      </c>
      <c r="W1281" s="40" t="str">
        <f t="shared" si="40"/>
        <v/>
      </c>
      <c r="X1281" s="40" t="str">
        <f t="shared" si="41"/>
        <v/>
      </c>
      <c r="Y1281" s="40" t="str">
        <f>TEXT(Table1[[#This Row],[YEAR]],"0000")&amp;"-"&amp;Table1[[#This Row],[MONTH]]</f>
        <v>-</v>
      </c>
    </row>
    <row r="1282" spans="1:25" ht="15" customHeight="1" x14ac:dyDescent="0.35">
      <c r="A1282" s="24"/>
      <c r="B1282" s="38"/>
      <c r="C1282" s="38"/>
      <c r="D1282" s="38"/>
      <c r="E1282" s="37"/>
      <c r="F1282" s="38"/>
      <c r="G1282" s="198"/>
      <c r="H1282" s="198"/>
      <c r="I1282" s="39"/>
      <c r="J1282" s="38"/>
      <c r="K1282" s="198"/>
      <c r="L1282" s="38"/>
      <c r="M1282" s="38"/>
      <c r="N1282" s="38"/>
      <c r="O1282" s="38"/>
      <c r="P1282" s="40" t="str" cm="1">
        <f t="array" ref="P1282">IF(N1282="","",IFERROR(_xlfn.XLOOKUP(F1282&amp;"|"&amp;J1282&amp;"|"&amp;O1282,PRICES!$C$2:$C$659&amp;"|"&amp;PRICES!$B$2:$B$659&amp;"|"&amp;PRICES!$D$2:$D$659,PRICES!$E$2:$E$659),"Not Found"))</f>
        <v/>
      </c>
      <c r="Q1282" s="100" t="str">
        <f>IF(N1282=0,"",SUMIFS(PRICES!$G$2:$G$658,PRICES!$B$2:$B$658,'MAIN TABLE-1 AUTOMATED'!J1282,PRICES!$C$2:$C$658,'MAIN TABLE-1 AUTOMATED'!F1282,PRICES!$D$2:$D$658,'MAIN TABLE-1 AUTOMATED'!O1282))</f>
        <v/>
      </c>
      <c r="R1282" s="41" t="str">
        <f>IF(Table1[[#This Row],[QUANTITY]]=0,"",Table1[[#This Row],[UNIT PRICE]]*Table1[[#This Row],[QUANTITY]])</f>
        <v/>
      </c>
      <c r="S1282" s="89"/>
      <c r="T1282" s="38"/>
      <c r="U1282" s="43"/>
      <c r="V1282" s="42" t="str">
        <f>IF(Table1[[#This Row],[DATE]]=0,"",YEAR(E1282))</f>
        <v/>
      </c>
      <c r="W1282" s="40" t="str">
        <f t="shared" si="40"/>
        <v/>
      </c>
      <c r="X1282" s="40" t="str">
        <f t="shared" si="41"/>
        <v/>
      </c>
      <c r="Y1282" s="40" t="str">
        <f>TEXT(Table1[[#This Row],[YEAR]],"0000")&amp;"-"&amp;Table1[[#This Row],[MONTH]]</f>
        <v>-</v>
      </c>
    </row>
    <row r="1283" spans="1:25" ht="15" customHeight="1" x14ac:dyDescent="0.35">
      <c r="A1283" s="24"/>
      <c r="B1283" s="38"/>
      <c r="C1283" s="38"/>
      <c r="D1283" s="38"/>
      <c r="E1283" s="37"/>
      <c r="F1283" s="38"/>
      <c r="G1283" s="198"/>
      <c r="H1283" s="198"/>
      <c r="I1283" s="39"/>
      <c r="J1283" s="38"/>
      <c r="K1283" s="198"/>
      <c r="L1283" s="38"/>
      <c r="M1283" s="38"/>
      <c r="N1283" s="38"/>
      <c r="O1283" s="38"/>
      <c r="P1283" s="40" t="str" cm="1">
        <f t="array" ref="P1283">IF(N1283="","",IFERROR(_xlfn.XLOOKUP(F1283&amp;"|"&amp;J1283&amp;"|"&amp;O1283,PRICES!$C$2:$C$659&amp;"|"&amp;PRICES!$B$2:$B$659&amp;"|"&amp;PRICES!$D$2:$D$659,PRICES!$E$2:$E$659),"Not Found"))</f>
        <v/>
      </c>
      <c r="Q1283" s="100" t="str">
        <f>IF(N1283=0,"",SUMIFS(PRICES!$G$2:$G$658,PRICES!$B$2:$B$658,'MAIN TABLE-1 AUTOMATED'!J1283,PRICES!$C$2:$C$658,'MAIN TABLE-1 AUTOMATED'!F1283,PRICES!$D$2:$D$658,'MAIN TABLE-1 AUTOMATED'!O1283))</f>
        <v/>
      </c>
      <c r="R1283" s="41" t="str">
        <f>IF(Table1[[#This Row],[QUANTITY]]=0,"",Table1[[#This Row],[UNIT PRICE]]*Table1[[#This Row],[QUANTITY]])</f>
        <v/>
      </c>
      <c r="S1283" s="89"/>
      <c r="T1283" s="38"/>
      <c r="U1283" s="43"/>
      <c r="V1283" s="42" t="str">
        <f>IF(Table1[[#This Row],[DATE]]=0,"",YEAR(E1283))</f>
        <v/>
      </c>
      <c r="W1283" s="40" t="str">
        <f t="shared" si="40"/>
        <v/>
      </c>
      <c r="X1283" s="40" t="str">
        <f t="shared" si="41"/>
        <v/>
      </c>
      <c r="Y1283" s="40" t="str">
        <f>TEXT(Table1[[#This Row],[YEAR]],"0000")&amp;"-"&amp;Table1[[#This Row],[MONTH]]</f>
        <v>-</v>
      </c>
    </row>
    <row r="1284" spans="1:25" ht="15" customHeight="1" x14ac:dyDescent="0.35">
      <c r="A1284" s="24"/>
      <c r="B1284" s="38"/>
      <c r="C1284" s="38"/>
      <c r="D1284" s="38"/>
      <c r="E1284" s="37"/>
      <c r="F1284" s="38"/>
      <c r="G1284" s="198"/>
      <c r="H1284" s="198"/>
      <c r="I1284" s="39"/>
      <c r="J1284" s="38"/>
      <c r="K1284" s="198"/>
      <c r="L1284" s="38"/>
      <c r="M1284" s="38"/>
      <c r="N1284" s="38"/>
      <c r="O1284" s="38"/>
      <c r="P1284" s="40" t="str" cm="1">
        <f t="array" ref="P1284">IF(N1284="","",IFERROR(_xlfn.XLOOKUP(F1284&amp;"|"&amp;J1284&amp;"|"&amp;O1284,PRICES!$C$2:$C$659&amp;"|"&amp;PRICES!$B$2:$B$659&amp;"|"&amp;PRICES!$D$2:$D$659,PRICES!$E$2:$E$659),"Not Found"))</f>
        <v/>
      </c>
      <c r="Q1284" s="100" t="str">
        <f>IF(N1284=0,"",SUMIFS(PRICES!$G$2:$G$658,PRICES!$B$2:$B$658,'MAIN TABLE-1 AUTOMATED'!J1284,PRICES!$C$2:$C$658,'MAIN TABLE-1 AUTOMATED'!F1284,PRICES!$D$2:$D$658,'MAIN TABLE-1 AUTOMATED'!O1284))</f>
        <v/>
      </c>
      <c r="R1284" s="41" t="str">
        <f>IF(Table1[[#This Row],[QUANTITY]]=0,"",Table1[[#This Row],[UNIT PRICE]]*Table1[[#This Row],[QUANTITY]])</f>
        <v/>
      </c>
      <c r="S1284" s="89"/>
      <c r="T1284" s="38"/>
      <c r="U1284" s="43"/>
      <c r="V1284" s="42" t="str">
        <f>IF(Table1[[#This Row],[DATE]]=0,"",YEAR(E1284))</f>
        <v/>
      </c>
      <c r="W1284" s="40" t="str">
        <f t="shared" si="40"/>
        <v/>
      </c>
      <c r="X1284" s="40" t="str">
        <f t="shared" si="41"/>
        <v/>
      </c>
      <c r="Y1284" s="40" t="str">
        <f>TEXT(Table1[[#This Row],[YEAR]],"0000")&amp;"-"&amp;Table1[[#This Row],[MONTH]]</f>
        <v>-</v>
      </c>
    </row>
    <row r="1285" spans="1:25" ht="15" customHeight="1" x14ac:dyDescent="0.35">
      <c r="A1285" s="24"/>
      <c r="B1285" s="38"/>
      <c r="C1285" s="38"/>
      <c r="D1285" s="38"/>
      <c r="E1285" s="37"/>
      <c r="F1285" s="38"/>
      <c r="G1285" s="198"/>
      <c r="H1285" s="198"/>
      <c r="I1285" s="39"/>
      <c r="J1285" s="38"/>
      <c r="K1285" s="198"/>
      <c r="L1285" s="38"/>
      <c r="M1285" s="38"/>
      <c r="N1285" s="38"/>
      <c r="O1285" s="38"/>
      <c r="P1285" s="40" t="str" cm="1">
        <f t="array" ref="P1285">IF(N1285="","",IFERROR(_xlfn.XLOOKUP(F1285&amp;"|"&amp;J1285&amp;"|"&amp;O1285,PRICES!$C$2:$C$659&amp;"|"&amp;PRICES!$B$2:$B$659&amp;"|"&amp;PRICES!$D$2:$D$659,PRICES!$E$2:$E$659),"Not Found"))</f>
        <v/>
      </c>
      <c r="Q1285" s="100" t="str">
        <f>IF(N1285=0,"",SUMIFS(PRICES!$G$2:$G$658,PRICES!$B$2:$B$658,'MAIN TABLE-1 AUTOMATED'!J1285,PRICES!$C$2:$C$658,'MAIN TABLE-1 AUTOMATED'!F1285,PRICES!$D$2:$D$658,'MAIN TABLE-1 AUTOMATED'!O1285))</f>
        <v/>
      </c>
      <c r="R1285" s="41" t="str">
        <f>IF(Table1[[#This Row],[QUANTITY]]=0,"",Table1[[#This Row],[UNIT PRICE]]*Table1[[#This Row],[QUANTITY]])</f>
        <v/>
      </c>
      <c r="S1285" s="89"/>
      <c r="T1285" s="38"/>
      <c r="U1285" s="43"/>
      <c r="V1285" s="42" t="str">
        <f>IF(Table1[[#This Row],[DATE]]=0,"",YEAR(E1285))</f>
        <v/>
      </c>
      <c r="W1285" s="40" t="str">
        <f t="shared" si="40"/>
        <v/>
      </c>
      <c r="X1285" s="40" t="str">
        <f t="shared" si="41"/>
        <v/>
      </c>
      <c r="Y1285" s="40" t="str">
        <f>TEXT(Table1[[#This Row],[YEAR]],"0000")&amp;"-"&amp;Table1[[#This Row],[MONTH]]</f>
        <v>-</v>
      </c>
    </row>
    <row r="1286" spans="1:25" ht="15" customHeight="1" x14ac:dyDescent="0.35">
      <c r="A1286" s="24"/>
      <c r="B1286" s="38"/>
      <c r="C1286" s="38"/>
      <c r="D1286" s="38"/>
      <c r="E1286" s="37"/>
      <c r="F1286" s="38"/>
      <c r="G1286" s="198"/>
      <c r="H1286" s="198"/>
      <c r="I1286" s="39"/>
      <c r="J1286" s="38"/>
      <c r="K1286" s="198"/>
      <c r="L1286" s="38"/>
      <c r="M1286" s="38"/>
      <c r="N1286" s="38"/>
      <c r="O1286" s="38"/>
      <c r="P1286" s="40" t="str" cm="1">
        <f t="array" ref="P1286">IF(N1286="","",IFERROR(_xlfn.XLOOKUP(F1286&amp;"|"&amp;J1286&amp;"|"&amp;O1286,PRICES!$C$2:$C$659&amp;"|"&amp;PRICES!$B$2:$B$659&amp;"|"&amp;PRICES!$D$2:$D$659,PRICES!$E$2:$E$659),"Not Found"))</f>
        <v/>
      </c>
      <c r="Q1286" s="100" t="str">
        <f>IF(N1286=0,"",SUMIFS(PRICES!$G$2:$G$658,PRICES!$B$2:$B$658,'MAIN TABLE-1 AUTOMATED'!J1286,PRICES!$C$2:$C$658,'MAIN TABLE-1 AUTOMATED'!F1286,PRICES!$D$2:$D$658,'MAIN TABLE-1 AUTOMATED'!O1286))</f>
        <v/>
      </c>
      <c r="R1286" s="41" t="str">
        <f>IF(Table1[[#This Row],[QUANTITY]]=0,"",Table1[[#This Row],[UNIT PRICE]]*Table1[[#This Row],[QUANTITY]])</f>
        <v/>
      </c>
      <c r="S1286" s="89"/>
      <c r="T1286" s="38"/>
      <c r="U1286" s="43"/>
      <c r="V1286" s="42" t="str">
        <f>IF(Table1[[#This Row],[DATE]]=0,"",YEAR(E1286))</f>
        <v/>
      </c>
      <c r="W1286" s="40" t="str">
        <f t="shared" si="40"/>
        <v/>
      </c>
      <c r="X1286" s="40" t="str">
        <f t="shared" si="41"/>
        <v/>
      </c>
      <c r="Y1286" s="40" t="str">
        <f>TEXT(Table1[[#This Row],[YEAR]],"0000")&amp;"-"&amp;Table1[[#This Row],[MONTH]]</f>
        <v>-</v>
      </c>
    </row>
    <row r="1287" spans="1:25" ht="15" customHeight="1" x14ac:dyDescent="0.35">
      <c r="A1287" s="24"/>
      <c r="B1287" s="38"/>
      <c r="C1287" s="38"/>
      <c r="D1287" s="38"/>
      <c r="E1287" s="37"/>
      <c r="F1287" s="38"/>
      <c r="G1287" s="198"/>
      <c r="H1287" s="198"/>
      <c r="I1287" s="39"/>
      <c r="J1287" s="38"/>
      <c r="K1287" s="198"/>
      <c r="L1287" s="38"/>
      <c r="M1287" s="38"/>
      <c r="N1287" s="38"/>
      <c r="O1287" s="38"/>
      <c r="P1287" s="40" t="str" cm="1">
        <f t="array" ref="P1287">IF(N1287="","",IFERROR(_xlfn.XLOOKUP(F1287&amp;"|"&amp;J1287&amp;"|"&amp;O1287,PRICES!$C$2:$C$659&amp;"|"&amp;PRICES!$B$2:$B$659&amp;"|"&amp;PRICES!$D$2:$D$659,PRICES!$E$2:$E$659),"Not Found"))</f>
        <v/>
      </c>
      <c r="Q1287" s="100" t="str">
        <f>IF(N1287=0,"",SUMIFS(PRICES!$G$2:$G$658,PRICES!$B$2:$B$658,'MAIN TABLE-1 AUTOMATED'!J1287,PRICES!$C$2:$C$658,'MAIN TABLE-1 AUTOMATED'!F1287,PRICES!$D$2:$D$658,'MAIN TABLE-1 AUTOMATED'!O1287))</f>
        <v/>
      </c>
      <c r="R1287" s="41" t="str">
        <f>IF(Table1[[#This Row],[QUANTITY]]=0,"",Table1[[#This Row],[UNIT PRICE]]*Table1[[#This Row],[QUANTITY]])</f>
        <v/>
      </c>
      <c r="S1287" s="89"/>
      <c r="T1287" s="38"/>
      <c r="U1287" s="43"/>
      <c r="V1287" s="42" t="str">
        <f>IF(Table1[[#This Row],[DATE]]=0,"",YEAR(E1287))</f>
        <v/>
      </c>
      <c r="W1287" s="40" t="str">
        <f t="shared" si="40"/>
        <v/>
      </c>
      <c r="X1287" s="40" t="str">
        <f t="shared" si="41"/>
        <v/>
      </c>
      <c r="Y1287" s="40" t="str">
        <f>TEXT(Table1[[#This Row],[YEAR]],"0000")&amp;"-"&amp;Table1[[#This Row],[MONTH]]</f>
        <v>-</v>
      </c>
    </row>
    <row r="1288" spans="1:25" ht="15" customHeight="1" x14ac:dyDescent="0.35">
      <c r="A1288" s="24"/>
      <c r="B1288" s="38"/>
      <c r="C1288" s="38"/>
      <c r="D1288" s="38"/>
      <c r="E1288" s="37"/>
      <c r="F1288" s="38"/>
      <c r="G1288" s="198"/>
      <c r="H1288" s="198"/>
      <c r="I1288" s="39"/>
      <c r="J1288" s="38"/>
      <c r="K1288" s="198"/>
      <c r="L1288" s="38"/>
      <c r="M1288" s="38"/>
      <c r="N1288" s="38"/>
      <c r="O1288" s="38"/>
      <c r="P1288" s="40" t="str" cm="1">
        <f t="array" ref="P1288">IF(N1288="","",IFERROR(_xlfn.XLOOKUP(F1288&amp;"|"&amp;J1288&amp;"|"&amp;O1288,PRICES!$C$2:$C$659&amp;"|"&amp;PRICES!$B$2:$B$659&amp;"|"&amp;PRICES!$D$2:$D$659,PRICES!$E$2:$E$659),"Not Found"))</f>
        <v/>
      </c>
      <c r="Q1288" s="100" t="str">
        <f>IF(N1288=0,"",SUMIFS(PRICES!$G$2:$G$658,PRICES!$B$2:$B$658,'MAIN TABLE-1 AUTOMATED'!J1288,PRICES!$C$2:$C$658,'MAIN TABLE-1 AUTOMATED'!F1288,PRICES!$D$2:$D$658,'MAIN TABLE-1 AUTOMATED'!O1288))</f>
        <v/>
      </c>
      <c r="R1288" s="41" t="str">
        <f>IF(Table1[[#This Row],[QUANTITY]]=0,"",Table1[[#This Row],[UNIT PRICE]]*Table1[[#This Row],[QUANTITY]])</f>
        <v/>
      </c>
      <c r="S1288" s="89"/>
      <c r="T1288" s="38"/>
      <c r="U1288" s="43"/>
      <c r="V1288" s="42" t="str">
        <f>IF(Table1[[#This Row],[DATE]]=0,"",YEAR(E1288))</f>
        <v/>
      </c>
      <c r="W1288" s="40" t="str">
        <f t="shared" si="40"/>
        <v/>
      </c>
      <c r="X1288" s="40" t="str">
        <f t="shared" si="41"/>
        <v/>
      </c>
      <c r="Y1288" s="40" t="str">
        <f>TEXT(Table1[[#This Row],[YEAR]],"0000")&amp;"-"&amp;Table1[[#This Row],[MONTH]]</f>
        <v>-</v>
      </c>
    </row>
    <row r="1289" spans="1:25" ht="15" customHeight="1" x14ac:dyDescent="0.35">
      <c r="A1289" s="24"/>
      <c r="B1289" s="38"/>
      <c r="C1289" s="38"/>
      <c r="D1289" s="38"/>
      <c r="E1289" s="37"/>
      <c r="F1289" s="38"/>
      <c r="G1289" s="198"/>
      <c r="H1289" s="198"/>
      <c r="I1289" s="39"/>
      <c r="J1289" s="38"/>
      <c r="K1289" s="198"/>
      <c r="L1289" s="38"/>
      <c r="M1289" s="38"/>
      <c r="N1289" s="38"/>
      <c r="O1289" s="38"/>
      <c r="P1289" s="40" t="str" cm="1">
        <f t="array" ref="P1289">IF(N1289="","",IFERROR(_xlfn.XLOOKUP(F1289&amp;"|"&amp;J1289&amp;"|"&amp;O1289,PRICES!$C$2:$C$659&amp;"|"&amp;PRICES!$B$2:$B$659&amp;"|"&amp;PRICES!$D$2:$D$659,PRICES!$E$2:$E$659),"Not Found"))</f>
        <v/>
      </c>
      <c r="Q1289" s="100" t="str">
        <f>IF(N1289=0,"",SUMIFS(PRICES!$G$2:$G$658,PRICES!$B$2:$B$658,'MAIN TABLE-1 AUTOMATED'!J1289,PRICES!$C$2:$C$658,'MAIN TABLE-1 AUTOMATED'!F1289,PRICES!$D$2:$D$658,'MAIN TABLE-1 AUTOMATED'!O1289))</f>
        <v/>
      </c>
      <c r="R1289" s="41" t="str">
        <f>IF(Table1[[#This Row],[QUANTITY]]=0,"",Table1[[#This Row],[UNIT PRICE]]*Table1[[#This Row],[QUANTITY]])</f>
        <v/>
      </c>
      <c r="S1289" s="89"/>
      <c r="T1289" s="38"/>
      <c r="U1289" s="43"/>
      <c r="V1289" s="42" t="str">
        <f>IF(Table1[[#This Row],[DATE]]=0,"",YEAR(E1289))</f>
        <v/>
      </c>
      <c r="W1289" s="40" t="str">
        <f t="shared" si="40"/>
        <v/>
      </c>
      <c r="X1289" s="40" t="str">
        <f t="shared" si="41"/>
        <v/>
      </c>
      <c r="Y1289" s="40" t="str">
        <f>TEXT(Table1[[#This Row],[YEAR]],"0000")&amp;"-"&amp;Table1[[#This Row],[MONTH]]</f>
        <v>-</v>
      </c>
    </row>
    <row r="1290" spans="1:25" ht="15" customHeight="1" x14ac:dyDescent="0.35">
      <c r="A1290" s="24"/>
      <c r="B1290" s="38"/>
      <c r="C1290" s="38"/>
      <c r="D1290" s="38"/>
      <c r="E1290" s="37"/>
      <c r="F1290" s="38"/>
      <c r="G1290" s="198"/>
      <c r="H1290" s="198"/>
      <c r="I1290" s="39"/>
      <c r="J1290" s="38"/>
      <c r="K1290" s="198"/>
      <c r="L1290" s="38"/>
      <c r="M1290" s="38"/>
      <c r="N1290" s="38"/>
      <c r="O1290" s="38"/>
      <c r="P1290" s="40" t="str" cm="1">
        <f t="array" ref="P1290">IF(N1290="","",IFERROR(_xlfn.XLOOKUP(F1290&amp;"|"&amp;J1290&amp;"|"&amp;O1290,PRICES!$C$2:$C$659&amp;"|"&amp;PRICES!$B$2:$B$659&amp;"|"&amp;PRICES!$D$2:$D$659,PRICES!$E$2:$E$659),"Not Found"))</f>
        <v/>
      </c>
      <c r="Q1290" s="100" t="str">
        <f>IF(N1290=0,"",SUMIFS(PRICES!$G$2:$G$658,PRICES!$B$2:$B$658,'MAIN TABLE-1 AUTOMATED'!J1290,PRICES!$C$2:$C$658,'MAIN TABLE-1 AUTOMATED'!F1290,PRICES!$D$2:$D$658,'MAIN TABLE-1 AUTOMATED'!O1290))</f>
        <v/>
      </c>
      <c r="R1290" s="41" t="str">
        <f>IF(Table1[[#This Row],[QUANTITY]]=0,"",Table1[[#This Row],[UNIT PRICE]]*Table1[[#This Row],[QUANTITY]])</f>
        <v/>
      </c>
      <c r="S1290" s="89"/>
      <c r="T1290" s="38"/>
      <c r="U1290" s="43"/>
      <c r="V1290" s="42" t="str">
        <f>IF(Table1[[#This Row],[DATE]]=0,"",YEAR(E1290))</f>
        <v/>
      </c>
      <c r="W1290" s="40" t="str">
        <f t="shared" si="40"/>
        <v/>
      </c>
      <c r="X1290" s="40" t="str">
        <f t="shared" si="41"/>
        <v/>
      </c>
      <c r="Y1290" s="40" t="str">
        <f>TEXT(Table1[[#This Row],[YEAR]],"0000")&amp;"-"&amp;Table1[[#This Row],[MONTH]]</f>
        <v>-</v>
      </c>
    </row>
    <row r="1291" spans="1:25" ht="15" customHeight="1" x14ac:dyDescent="0.35">
      <c r="A1291" s="24"/>
      <c r="B1291" s="38"/>
      <c r="C1291" s="38"/>
      <c r="D1291" s="38"/>
      <c r="E1291" s="37"/>
      <c r="F1291" s="38"/>
      <c r="G1291" s="198"/>
      <c r="H1291" s="198"/>
      <c r="I1291" s="39"/>
      <c r="J1291" s="38"/>
      <c r="K1291" s="198"/>
      <c r="L1291" s="38"/>
      <c r="M1291" s="38"/>
      <c r="N1291" s="38"/>
      <c r="O1291" s="38"/>
      <c r="P1291" s="40" t="str" cm="1">
        <f t="array" ref="P1291">IF(N1291="","",IFERROR(_xlfn.XLOOKUP(F1291&amp;"|"&amp;J1291&amp;"|"&amp;O1291,PRICES!$C$2:$C$659&amp;"|"&amp;PRICES!$B$2:$B$659&amp;"|"&amp;PRICES!$D$2:$D$659,PRICES!$E$2:$E$659),"Not Found"))</f>
        <v/>
      </c>
      <c r="Q1291" s="100" t="str">
        <f>IF(N1291=0,"",SUMIFS(PRICES!$G$2:$G$658,PRICES!$B$2:$B$658,'MAIN TABLE-1 AUTOMATED'!J1291,PRICES!$C$2:$C$658,'MAIN TABLE-1 AUTOMATED'!F1291,PRICES!$D$2:$D$658,'MAIN TABLE-1 AUTOMATED'!O1291))</f>
        <v/>
      </c>
      <c r="R1291" s="41" t="str">
        <f>IF(Table1[[#This Row],[QUANTITY]]=0,"",Table1[[#This Row],[UNIT PRICE]]*Table1[[#This Row],[QUANTITY]])</f>
        <v/>
      </c>
      <c r="S1291" s="89"/>
      <c r="T1291" s="38"/>
      <c r="U1291" s="43"/>
      <c r="V1291" s="42" t="str">
        <f>IF(Table1[[#This Row],[DATE]]=0,"",YEAR(E1291))</f>
        <v/>
      </c>
      <c r="W1291" s="40" t="str">
        <f t="shared" si="40"/>
        <v/>
      </c>
      <c r="X1291" s="40" t="str">
        <f t="shared" si="41"/>
        <v/>
      </c>
      <c r="Y1291" s="40" t="str">
        <f>TEXT(Table1[[#This Row],[YEAR]],"0000")&amp;"-"&amp;Table1[[#This Row],[MONTH]]</f>
        <v>-</v>
      </c>
    </row>
    <row r="1292" spans="1:25" ht="15" customHeight="1" x14ac:dyDescent="0.35">
      <c r="A1292" s="24"/>
      <c r="B1292" s="38"/>
      <c r="C1292" s="38"/>
      <c r="D1292" s="38"/>
      <c r="E1292" s="37"/>
      <c r="F1292" s="38"/>
      <c r="G1292" s="198"/>
      <c r="H1292" s="198"/>
      <c r="I1292" s="39"/>
      <c r="J1292" s="38"/>
      <c r="K1292" s="198"/>
      <c r="L1292" s="38"/>
      <c r="M1292" s="38"/>
      <c r="N1292" s="38"/>
      <c r="O1292" s="38"/>
      <c r="P1292" s="40" t="str" cm="1">
        <f t="array" ref="P1292">IF(N1292="","",IFERROR(_xlfn.XLOOKUP(F1292&amp;"|"&amp;J1292&amp;"|"&amp;O1292,PRICES!$C$2:$C$659&amp;"|"&amp;PRICES!$B$2:$B$659&amp;"|"&amp;PRICES!$D$2:$D$659,PRICES!$E$2:$E$659),"Not Found"))</f>
        <v/>
      </c>
      <c r="Q1292" s="100" t="str">
        <f>IF(N1292=0,"",SUMIFS(PRICES!$G$2:$G$658,PRICES!$B$2:$B$658,'MAIN TABLE-1 AUTOMATED'!J1292,PRICES!$C$2:$C$658,'MAIN TABLE-1 AUTOMATED'!F1292,PRICES!$D$2:$D$658,'MAIN TABLE-1 AUTOMATED'!O1292))</f>
        <v/>
      </c>
      <c r="R1292" s="41" t="str">
        <f>IF(Table1[[#This Row],[QUANTITY]]=0,"",Table1[[#This Row],[UNIT PRICE]]*Table1[[#This Row],[QUANTITY]])</f>
        <v/>
      </c>
      <c r="S1292" s="89"/>
      <c r="T1292" s="38"/>
      <c r="U1292" s="43"/>
      <c r="V1292" s="42" t="str">
        <f>IF(Table1[[#This Row],[DATE]]=0,"",YEAR(E1292))</f>
        <v/>
      </c>
      <c r="W1292" s="40" t="str">
        <f t="shared" si="40"/>
        <v/>
      </c>
      <c r="X1292" s="40" t="str">
        <f t="shared" si="41"/>
        <v/>
      </c>
      <c r="Y1292" s="40" t="str">
        <f>TEXT(Table1[[#This Row],[YEAR]],"0000")&amp;"-"&amp;Table1[[#This Row],[MONTH]]</f>
        <v>-</v>
      </c>
    </row>
    <row r="1293" spans="1:25" ht="15" customHeight="1" x14ac:dyDescent="0.35">
      <c r="A1293" s="24"/>
      <c r="B1293" s="38"/>
      <c r="C1293" s="38"/>
      <c r="D1293" s="38"/>
      <c r="E1293" s="37"/>
      <c r="F1293" s="38"/>
      <c r="G1293" s="198"/>
      <c r="H1293" s="198"/>
      <c r="I1293" s="39"/>
      <c r="J1293" s="38"/>
      <c r="K1293" s="198"/>
      <c r="L1293" s="38"/>
      <c r="M1293" s="38"/>
      <c r="N1293" s="38"/>
      <c r="O1293" s="38"/>
      <c r="P1293" s="40" t="str" cm="1">
        <f t="array" ref="P1293">IF(N1293="","",IFERROR(_xlfn.XLOOKUP(F1293&amp;"|"&amp;J1293&amp;"|"&amp;O1293,PRICES!$C$2:$C$659&amp;"|"&amp;PRICES!$B$2:$B$659&amp;"|"&amp;PRICES!$D$2:$D$659,PRICES!$E$2:$E$659),"Not Found"))</f>
        <v/>
      </c>
      <c r="Q1293" s="100" t="str">
        <f>IF(N1293=0,"",SUMIFS(PRICES!$G$2:$G$658,PRICES!$B$2:$B$658,'MAIN TABLE-1 AUTOMATED'!J1293,PRICES!$C$2:$C$658,'MAIN TABLE-1 AUTOMATED'!F1293,PRICES!$D$2:$D$658,'MAIN TABLE-1 AUTOMATED'!O1293))</f>
        <v/>
      </c>
      <c r="R1293" s="41" t="str">
        <f>IF(Table1[[#This Row],[QUANTITY]]=0,"",Table1[[#This Row],[UNIT PRICE]]*Table1[[#This Row],[QUANTITY]])</f>
        <v/>
      </c>
      <c r="S1293" s="89"/>
      <c r="T1293" s="38"/>
      <c r="U1293" s="43"/>
      <c r="V1293" s="42" t="str">
        <f>IF(Table1[[#This Row],[DATE]]=0,"",YEAR(E1293))</f>
        <v/>
      </c>
      <c r="W1293" s="40" t="str">
        <f t="shared" si="40"/>
        <v/>
      </c>
      <c r="X1293" s="40" t="str">
        <f t="shared" si="41"/>
        <v/>
      </c>
      <c r="Y1293" s="40" t="str">
        <f>TEXT(Table1[[#This Row],[YEAR]],"0000")&amp;"-"&amp;Table1[[#This Row],[MONTH]]</f>
        <v>-</v>
      </c>
    </row>
    <row r="1294" spans="1:25" ht="15" customHeight="1" x14ac:dyDescent="0.35">
      <c r="A1294" s="24"/>
      <c r="B1294" s="38"/>
      <c r="C1294" s="38"/>
      <c r="D1294" s="38"/>
      <c r="E1294" s="37"/>
      <c r="F1294" s="38"/>
      <c r="G1294" s="198"/>
      <c r="H1294" s="198"/>
      <c r="I1294" s="39"/>
      <c r="J1294" s="38"/>
      <c r="K1294" s="198"/>
      <c r="L1294" s="38"/>
      <c r="M1294" s="38"/>
      <c r="N1294" s="38"/>
      <c r="O1294" s="38"/>
      <c r="P1294" s="40" t="str" cm="1">
        <f t="array" ref="P1294">IF(N1294="","",IFERROR(_xlfn.XLOOKUP(F1294&amp;"|"&amp;J1294&amp;"|"&amp;O1294,PRICES!$C$2:$C$659&amp;"|"&amp;PRICES!$B$2:$B$659&amp;"|"&amp;PRICES!$D$2:$D$659,PRICES!$E$2:$E$659),"Not Found"))</f>
        <v/>
      </c>
      <c r="Q1294" s="100" t="str">
        <f>IF(N1294=0,"",SUMIFS(PRICES!$G$2:$G$658,PRICES!$B$2:$B$658,'MAIN TABLE-1 AUTOMATED'!J1294,PRICES!$C$2:$C$658,'MAIN TABLE-1 AUTOMATED'!F1294,PRICES!$D$2:$D$658,'MAIN TABLE-1 AUTOMATED'!O1294))</f>
        <v/>
      </c>
      <c r="R1294" s="41" t="str">
        <f>IF(Table1[[#This Row],[QUANTITY]]=0,"",Table1[[#This Row],[UNIT PRICE]]*Table1[[#This Row],[QUANTITY]])</f>
        <v/>
      </c>
      <c r="S1294" s="89"/>
      <c r="T1294" s="38"/>
      <c r="U1294" s="43"/>
      <c r="V1294" s="42" t="str">
        <f>IF(Table1[[#This Row],[DATE]]=0,"",YEAR(E1294))</f>
        <v/>
      </c>
      <c r="W1294" s="40" t="str">
        <f t="shared" si="40"/>
        <v/>
      </c>
      <c r="X1294" s="40" t="str">
        <f t="shared" si="41"/>
        <v/>
      </c>
      <c r="Y1294" s="40" t="str">
        <f>TEXT(Table1[[#This Row],[YEAR]],"0000")&amp;"-"&amp;Table1[[#This Row],[MONTH]]</f>
        <v>-</v>
      </c>
    </row>
    <row r="1295" spans="1:25" ht="15" customHeight="1" x14ac:dyDescent="0.35">
      <c r="A1295" s="24"/>
      <c r="B1295" s="38"/>
      <c r="C1295" s="38"/>
      <c r="D1295" s="38"/>
      <c r="E1295" s="37"/>
      <c r="F1295" s="38"/>
      <c r="G1295" s="198"/>
      <c r="H1295" s="198"/>
      <c r="I1295" s="39"/>
      <c r="J1295" s="38"/>
      <c r="K1295" s="198"/>
      <c r="L1295" s="38"/>
      <c r="M1295" s="38"/>
      <c r="N1295" s="38"/>
      <c r="O1295" s="38"/>
      <c r="P1295" s="40" t="str" cm="1">
        <f t="array" ref="P1295">IF(N1295="","",IFERROR(_xlfn.XLOOKUP(F1295&amp;"|"&amp;J1295&amp;"|"&amp;O1295,PRICES!$C$2:$C$659&amp;"|"&amp;PRICES!$B$2:$B$659&amp;"|"&amp;PRICES!$D$2:$D$659,PRICES!$E$2:$E$659),"Not Found"))</f>
        <v/>
      </c>
      <c r="Q1295" s="100" t="str">
        <f>IF(N1295=0,"",SUMIFS(PRICES!$G$2:$G$658,PRICES!$B$2:$B$658,'MAIN TABLE-1 AUTOMATED'!J1295,PRICES!$C$2:$C$658,'MAIN TABLE-1 AUTOMATED'!F1295,PRICES!$D$2:$D$658,'MAIN TABLE-1 AUTOMATED'!O1295))</f>
        <v/>
      </c>
      <c r="R1295" s="41" t="str">
        <f>IF(Table1[[#This Row],[QUANTITY]]=0,"",Table1[[#This Row],[UNIT PRICE]]*Table1[[#This Row],[QUANTITY]])</f>
        <v/>
      </c>
      <c r="S1295" s="89"/>
      <c r="T1295" s="38"/>
      <c r="U1295" s="43"/>
      <c r="V1295" s="42" t="str">
        <f>IF(Table1[[#This Row],[DATE]]=0,"",YEAR(E1295))</f>
        <v/>
      </c>
      <c r="W1295" s="40" t="str">
        <f t="shared" si="40"/>
        <v/>
      </c>
      <c r="X1295" s="40" t="str">
        <f t="shared" si="41"/>
        <v/>
      </c>
      <c r="Y1295" s="40" t="str">
        <f>TEXT(Table1[[#This Row],[YEAR]],"0000")&amp;"-"&amp;Table1[[#This Row],[MONTH]]</f>
        <v>-</v>
      </c>
    </row>
    <row r="1296" spans="1:25" ht="15" customHeight="1" x14ac:dyDescent="0.35">
      <c r="A1296" s="24"/>
      <c r="B1296" s="38"/>
      <c r="C1296" s="38"/>
      <c r="D1296" s="38"/>
      <c r="E1296" s="37"/>
      <c r="F1296" s="38"/>
      <c r="G1296" s="198"/>
      <c r="H1296" s="198"/>
      <c r="I1296" s="39"/>
      <c r="J1296" s="38"/>
      <c r="K1296" s="198"/>
      <c r="L1296" s="38"/>
      <c r="M1296" s="38"/>
      <c r="N1296" s="38"/>
      <c r="O1296" s="38"/>
      <c r="P1296" s="40" t="str" cm="1">
        <f t="array" ref="P1296">IF(N1296="","",IFERROR(_xlfn.XLOOKUP(F1296&amp;"|"&amp;J1296&amp;"|"&amp;O1296,PRICES!$C$2:$C$659&amp;"|"&amp;PRICES!$B$2:$B$659&amp;"|"&amp;PRICES!$D$2:$D$659,PRICES!$E$2:$E$659),"Not Found"))</f>
        <v/>
      </c>
      <c r="Q1296" s="100" t="str">
        <f>IF(N1296=0,"",SUMIFS(PRICES!$G$2:$G$658,PRICES!$B$2:$B$658,'MAIN TABLE-1 AUTOMATED'!J1296,PRICES!$C$2:$C$658,'MAIN TABLE-1 AUTOMATED'!F1296,PRICES!$D$2:$D$658,'MAIN TABLE-1 AUTOMATED'!O1296))</f>
        <v/>
      </c>
      <c r="R1296" s="41" t="str">
        <f>IF(Table1[[#This Row],[QUANTITY]]=0,"",Table1[[#This Row],[UNIT PRICE]]*Table1[[#This Row],[QUANTITY]])</f>
        <v/>
      </c>
      <c r="S1296" s="89"/>
      <c r="T1296" s="38"/>
      <c r="U1296" s="43"/>
      <c r="V1296" s="42" t="str">
        <f>IF(Table1[[#This Row],[DATE]]=0,"",YEAR(E1296))</f>
        <v/>
      </c>
      <c r="W1296" s="40" t="str">
        <f t="shared" si="40"/>
        <v/>
      </c>
      <c r="X1296" s="40" t="str">
        <f t="shared" si="41"/>
        <v/>
      </c>
      <c r="Y1296" s="40" t="str">
        <f>TEXT(Table1[[#This Row],[YEAR]],"0000")&amp;"-"&amp;Table1[[#This Row],[MONTH]]</f>
        <v>-</v>
      </c>
    </row>
    <row r="1297" spans="1:25" ht="15" customHeight="1" x14ac:dyDescent="0.35">
      <c r="A1297" s="24"/>
      <c r="B1297" s="38"/>
      <c r="C1297" s="38"/>
      <c r="D1297" s="38"/>
      <c r="E1297" s="37"/>
      <c r="F1297" s="38"/>
      <c r="G1297" s="198"/>
      <c r="H1297" s="198"/>
      <c r="I1297" s="39"/>
      <c r="J1297" s="38"/>
      <c r="K1297" s="198"/>
      <c r="L1297" s="38"/>
      <c r="M1297" s="38"/>
      <c r="N1297" s="38"/>
      <c r="O1297" s="38"/>
      <c r="P1297" s="40" t="str" cm="1">
        <f t="array" ref="P1297">IF(N1297="","",IFERROR(_xlfn.XLOOKUP(F1297&amp;"|"&amp;J1297&amp;"|"&amp;O1297,PRICES!$C$2:$C$659&amp;"|"&amp;PRICES!$B$2:$B$659&amp;"|"&amp;PRICES!$D$2:$D$659,PRICES!$E$2:$E$659),"Not Found"))</f>
        <v/>
      </c>
      <c r="Q1297" s="100" t="str">
        <f>IF(N1297=0,"",SUMIFS(PRICES!$G$2:$G$658,PRICES!$B$2:$B$658,'MAIN TABLE-1 AUTOMATED'!J1297,PRICES!$C$2:$C$658,'MAIN TABLE-1 AUTOMATED'!F1297,PRICES!$D$2:$D$658,'MAIN TABLE-1 AUTOMATED'!O1297))</f>
        <v/>
      </c>
      <c r="R1297" s="41" t="str">
        <f>IF(Table1[[#This Row],[QUANTITY]]=0,"",Table1[[#This Row],[UNIT PRICE]]*Table1[[#This Row],[QUANTITY]])</f>
        <v/>
      </c>
      <c r="S1297" s="89"/>
      <c r="T1297" s="38"/>
      <c r="U1297" s="43"/>
      <c r="V1297" s="42" t="str">
        <f>IF(Table1[[#This Row],[DATE]]=0,"",YEAR(E1297))</f>
        <v/>
      </c>
      <c r="W1297" s="40" t="str">
        <f t="shared" si="40"/>
        <v/>
      </c>
      <c r="X1297" s="40" t="str">
        <f t="shared" si="41"/>
        <v/>
      </c>
      <c r="Y1297" s="40" t="str">
        <f>TEXT(Table1[[#This Row],[YEAR]],"0000")&amp;"-"&amp;Table1[[#This Row],[MONTH]]</f>
        <v>-</v>
      </c>
    </row>
    <row r="1298" spans="1:25" ht="15" customHeight="1" x14ac:dyDescent="0.35">
      <c r="A1298" s="24"/>
      <c r="B1298" s="38"/>
      <c r="C1298" s="38"/>
      <c r="D1298" s="38"/>
      <c r="E1298" s="37"/>
      <c r="F1298" s="38"/>
      <c r="G1298" s="198"/>
      <c r="H1298" s="198"/>
      <c r="I1298" s="39"/>
      <c r="J1298" s="38"/>
      <c r="K1298" s="198"/>
      <c r="L1298" s="38"/>
      <c r="M1298" s="38"/>
      <c r="N1298" s="38"/>
      <c r="O1298" s="38"/>
      <c r="P1298" s="40" t="str" cm="1">
        <f t="array" ref="P1298">IF(N1298="","",IFERROR(_xlfn.XLOOKUP(F1298&amp;"|"&amp;J1298&amp;"|"&amp;O1298,PRICES!$C$2:$C$659&amp;"|"&amp;PRICES!$B$2:$B$659&amp;"|"&amp;PRICES!$D$2:$D$659,PRICES!$E$2:$E$659),"Not Found"))</f>
        <v/>
      </c>
      <c r="Q1298" s="100" t="str">
        <f>IF(N1298=0,"",SUMIFS(PRICES!$G$2:$G$658,PRICES!$B$2:$B$658,'MAIN TABLE-1 AUTOMATED'!J1298,PRICES!$C$2:$C$658,'MAIN TABLE-1 AUTOMATED'!F1298,PRICES!$D$2:$D$658,'MAIN TABLE-1 AUTOMATED'!O1298))</f>
        <v/>
      </c>
      <c r="R1298" s="41" t="str">
        <f>IF(Table1[[#This Row],[QUANTITY]]=0,"",Table1[[#This Row],[UNIT PRICE]]*Table1[[#This Row],[QUANTITY]])</f>
        <v/>
      </c>
      <c r="S1298" s="89"/>
      <c r="T1298" s="38"/>
      <c r="U1298" s="43"/>
      <c r="V1298" s="42" t="str">
        <f>IF(Table1[[#This Row],[DATE]]=0,"",YEAR(E1298))</f>
        <v/>
      </c>
      <c r="W1298" s="40" t="str">
        <f t="shared" si="40"/>
        <v/>
      </c>
      <c r="X1298" s="40" t="str">
        <f t="shared" si="41"/>
        <v/>
      </c>
      <c r="Y1298" s="40" t="str">
        <f>TEXT(Table1[[#This Row],[YEAR]],"0000")&amp;"-"&amp;Table1[[#This Row],[MONTH]]</f>
        <v>-</v>
      </c>
    </row>
    <row r="1299" spans="1:25" ht="15" customHeight="1" x14ac:dyDescent="0.35">
      <c r="A1299" s="24"/>
      <c r="B1299" s="38"/>
      <c r="C1299" s="38"/>
      <c r="D1299" s="38"/>
      <c r="E1299" s="37"/>
      <c r="F1299" s="38"/>
      <c r="G1299" s="198"/>
      <c r="H1299" s="198"/>
      <c r="I1299" s="39"/>
      <c r="J1299" s="38"/>
      <c r="K1299" s="198"/>
      <c r="L1299" s="38"/>
      <c r="M1299" s="38"/>
      <c r="N1299" s="38"/>
      <c r="O1299" s="38"/>
      <c r="P1299" s="40" t="str" cm="1">
        <f t="array" ref="P1299">IF(N1299="","",IFERROR(_xlfn.XLOOKUP(F1299&amp;"|"&amp;J1299&amp;"|"&amp;O1299,PRICES!$C$2:$C$659&amp;"|"&amp;PRICES!$B$2:$B$659&amp;"|"&amp;PRICES!$D$2:$D$659,PRICES!$E$2:$E$659),"Not Found"))</f>
        <v/>
      </c>
      <c r="Q1299" s="100" t="str">
        <f>IF(N1299=0,"",SUMIFS(PRICES!$G$2:$G$658,PRICES!$B$2:$B$658,'MAIN TABLE-1 AUTOMATED'!J1299,PRICES!$C$2:$C$658,'MAIN TABLE-1 AUTOMATED'!F1299,PRICES!$D$2:$D$658,'MAIN TABLE-1 AUTOMATED'!O1299))</f>
        <v/>
      </c>
      <c r="R1299" s="41" t="str">
        <f>IF(Table1[[#This Row],[QUANTITY]]=0,"",Table1[[#This Row],[UNIT PRICE]]*Table1[[#This Row],[QUANTITY]])</f>
        <v/>
      </c>
      <c r="S1299" s="89"/>
      <c r="T1299" s="38"/>
      <c r="U1299" s="43"/>
      <c r="V1299" s="42" t="str">
        <f>IF(Table1[[#This Row],[DATE]]=0,"",YEAR(E1299))</f>
        <v/>
      </c>
      <c r="W1299" s="40" t="str">
        <f t="shared" si="40"/>
        <v/>
      </c>
      <c r="X1299" s="40" t="str">
        <f t="shared" si="41"/>
        <v/>
      </c>
      <c r="Y1299" s="40" t="str">
        <f>TEXT(Table1[[#This Row],[YEAR]],"0000")&amp;"-"&amp;Table1[[#This Row],[MONTH]]</f>
        <v>-</v>
      </c>
    </row>
    <row r="1300" spans="1:25" ht="15" customHeight="1" x14ac:dyDescent="0.35">
      <c r="A1300" s="24"/>
      <c r="B1300" s="38"/>
      <c r="C1300" s="38"/>
      <c r="D1300" s="38"/>
      <c r="E1300" s="37"/>
      <c r="F1300" s="38"/>
      <c r="G1300" s="198"/>
      <c r="H1300" s="198"/>
      <c r="I1300" s="39"/>
      <c r="J1300" s="38"/>
      <c r="K1300" s="198"/>
      <c r="L1300" s="38"/>
      <c r="M1300" s="38"/>
      <c r="N1300" s="38"/>
      <c r="O1300" s="38"/>
      <c r="P1300" s="40" t="str" cm="1">
        <f t="array" ref="P1300">IF(N1300="","",IFERROR(_xlfn.XLOOKUP(F1300&amp;"|"&amp;J1300&amp;"|"&amp;O1300,PRICES!$C$2:$C$659&amp;"|"&amp;PRICES!$B$2:$B$659&amp;"|"&amp;PRICES!$D$2:$D$659,PRICES!$E$2:$E$659),"Not Found"))</f>
        <v/>
      </c>
      <c r="Q1300" s="100" t="str">
        <f>IF(N1300=0,"",SUMIFS(PRICES!$G$2:$G$658,PRICES!$B$2:$B$658,'MAIN TABLE-1 AUTOMATED'!J1300,PRICES!$C$2:$C$658,'MAIN TABLE-1 AUTOMATED'!F1300,PRICES!$D$2:$D$658,'MAIN TABLE-1 AUTOMATED'!O1300))</f>
        <v/>
      </c>
      <c r="R1300" s="41" t="str">
        <f>IF(Table1[[#This Row],[QUANTITY]]=0,"",Table1[[#This Row],[UNIT PRICE]]*Table1[[#This Row],[QUANTITY]])</f>
        <v/>
      </c>
      <c r="S1300" s="89"/>
      <c r="T1300" s="38"/>
      <c r="U1300" s="43"/>
      <c r="V1300" s="42" t="str">
        <f>IF(Table1[[#This Row],[DATE]]=0,"",YEAR(E1300))</f>
        <v/>
      </c>
      <c r="W1300" s="40" t="str">
        <f t="shared" si="40"/>
        <v/>
      </c>
      <c r="X1300" s="40" t="str">
        <f t="shared" si="41"/>
        <v/>
      </c>
      <c r="Y1300" s="40" t="str">
        <f>TEXT(Table1[[#This Row],[YEAR]],"0000")&amp;"-"&amp;Table1[[#This Row],[MONTH]]</f>
        <v>-</v>
      </c>
    </row>
    <row r="1301" spans="1:25" ht="15" customHeight="1" x14ac:dyDescent="0.35">
      <c r="A1301" s="24"/>
      <c r="B1301" s="38"/>
      <c r="C1301" s="38"/>
      <c r="D1301" s="38"/>
      <c r="E1301" s="37"/>
      <c r="F1301" s="38"/>
      <c r="G1301" s="198"/>
      <c r="H1301" s="198"/>
      <c r="I1301" s="39"/>
      <c r="J1301" s="38"/>
      <c r="K1301" s="198"/>
      <c r="L1301" s="38"/>
      <c r="M1301" s="38"/>
      <c r="N1301" s="38"/>
      <c r="O1301" s="38"/>
      <c r="P1301" s="40" t="str" cm="1">
        <f t="array" ref="P1301">IF(N1301="","",IFERROR(_xlfn.XLOOKUP(F1301&amp;"|"&amp;J1301&amp;"|"&amp;O1301,PRICES!$C$2:$C$659&amp;"|"&amp;PRICES!$B$2:$B$659&amp;"|"&amp;PRICES!$D$2:$D$659,PRICES!$E$2:$E$659),"Not Found"))</f>
        <v/>
      </c>
      <c r="Q1301" s="100" t="str">
        <f>IF(N1301=0,"",SUMIFS(PRICES!$G$2:$G$658,PRICES!$B$2:$B$658,'MAIN TABLE-1 AUTOMATED'!J1301,PRICES!$C$2:$C$658,'MAIN TABLE-1 AUTOMATED'!F1301,PRICES!$D$2:$D$658,'MAIN TABLE-1 AUTOMATED'!O1301))</f>
        <v/>
      </c>
      <c r="R1301" s="41" t="str">
        <f>IF(Table1[[#This Row],[QUANTITY]]=0,"",Table1[[#This Row],[UNIT PRICE]]*Table1[[#This Row],[QUANTITY]])</f>
        <v/>
      </c>
      <c r="S1301" s="89"/>
      <c r="T1301" s="38"/>
      <c r="U1301" s="43"/>
      <c r="V1301" s="42" t="str">
        <f>IF(Table1[[#This Row],[DATE]]=0,"",YEAR(E1301))</f>
        <v/>
      </c>
      <c r="W1301" s="40" t="str">
        <f t="shared" si="40"/>
        <v/>
      </c>
      <c r="X1301" s="40" t="str">
        <f t="shared" si="41"/>
        <v/>
      </c>
      <c r="Y1301" s="40" t="str">
        <f>TEXT(Table1[[#This Row],[YEAR]],"0000")&amp;"-"&amp;Table1[[#This Row],[MONTH]]</f>
        <v>-</v>
      </c>
    </row>
    <row r="1302" spans="1:25" ht="15" customHeight="1" x14ac:dyDescent="0.35">
      <c r="A1302" s="24"/>
      <c r="B1302" s="38"/>
      <c r="C1302" s="38"/>
      <c r="D1302" s="38"/>
      <c r="E1302" s="37"/>
      <c r="F1302" s="38"/>
      <c r="G1302" s="198"/>
      <c r="H1302" s="198"/>
      <c r="I1302" s="39"/>
      <c r="J1302" s="38"/>
      <c r="K1302" s="198"/>
      <c r="L1302" s="38"/>
      <c r="M1302" s="38"/>
      <c r="N1302" s="38"/>
      <c r="O1302" s="38"/>
      <c r="P1302" s="40" t="str" cm="1">
        <f t="array" ref="P1302">IF(N1302="","",IFERROR(_xlfn.XLOOKUP(F1302&amp;"|"&amp;J1302&amp;"|"&amp;O1302,PRICES!$C$2:$C$659&amp;"|"&amp;PRICES!$B$2:$B$659&amp;"|"&amp;PRICES!$D$2:$D$659,PRICES!$E$2:$E$659),"Not Found"))</f>
        <v/>
      </c>
      <c r="Q1302" s="100" t="str">
        <f>IF(N1302=0,"",SUMIFS(PRICES!$G$2:$G$658,PRICES!$B$2:$B$658,'MAIN TABLE-1 AUTOMATED'!J1302,PRICES!$C$2:$C$658,'MAIN TABLE-1 AUTOMATED'!F1302,PRICES!$D$2:$D$658,'MAIN TABLE-1 AUTOMATED'!O1302))</f>
        <v/>
      </c>
      <c r="R1302" s="41" t="str">
        <f>IF(Table1[[#This Row],[QUANTITY]]=0,"",Table1[[#This Row],[UNIT PRICE]]*Table1[[#This Row],[QUANTITY]])</f>
        <v/>
      </c>
      <c r="S1302" s="89"/>
      <c r="T1302" s="38"/>
      <c r="U1302" s="43"/>
      <c r="V1302" s="42" t="str">
        <f>IF(Table1[[#This Row],[DATE]]=0,"",YEAR(E1302))</f>
        <v/>
      </c>
      <c r="W1302" s="40" t="str">
        <f t="shared" si="40"/>
        <v/>
      </c>
      <c r="X1302" s="40" t="str">
        <f t="shared" si="41"/>
        <v/>
      </c>
      <c r="Y1302" s="40" t="str">
        <f>TEXT(Table1[[#This Row],[YEAR]],"0000")&amp;"-"&amp;Table1[[#This Row],[MONTH]]</f>
        <v>-</v>
      </c>
    </row>
    <row r="1303" spans="1:25" ht="15" customHeight="1" x14ac:dyDescent="0.35">
      <c r="A1303" s="24"/>
      <c r="B1303" s="38"/>
      <c r="C1303" s="38"/>
      <c r="D1303" s="38"/>
      <c r="E1303" s="37"/>
      <c r="F1303" s="38"/>
      <c r="G1303" s="198"/>
      <c r="H1303" s="198"/>
      <c r="I1303" s="39"/>
      <c r="J1303" s="38"/>
      <c r="K1303" s="198"/>
      <c r="L1303" s="38"/>
      <c r="M1303" s="38"/>
      <c r="N1303" s="38"/>
      <c r="O1303" s="38"/>
      <c r="P1303" s="40" t="str" cm="1">
        <f t="array" ref="P1303">IF(N1303="","",IFERROR(_xlfn.XLOOKUP(F1303&amp;"|"&amp;J1303&amp;"|"&amp;O1303,PRICES!$C$2:$C$659&amp;"|"&amp;PRICES!$B$2:$B$659&amp;"|"&amp;PRICES!$D$2:$D$659,PRICES!$E$2:$E$659),"Not Found"))</f>
        <v/>
      </c>
      <c r="Q1303" s="100" t="str">
        <f>IF(N1303=0,"",SUMIFS(PRICES!$G$2:$G$658,PRICES!$B$2:$B$658,'MAIN TABLE-1 AUTOMATED'!J1303,PRICES!$C$2:$C$658,'MAIN TABLE-1 AUTOMATED'!F1303,PRICES!$D$2:$D$658,'MAIN TABLE-1 AUTOMATED'!O1303))</f>
        <v/>
      </c>
      <c r="R1303" s="41" t="str">
        <f>IF(Table1[[#This Row],[QUANTITY]]=0,"",Table1[[#This Row],[UNIT PRICE]]*Table1[[#This Row],[QUANTITY]])</f>
        <v/>
      </c>
      <c r="S1303" s="89"/>
      <c r="T1303" s="38"/>
      <c r="U1303" s="43"/>
      <c r="V1303" s="42" t="str">
        <f>IF(Table1[[#This Row],[DATE]]=0,"",YEAR(E1303))</f>
        <v/>
      </c>
      <c r="W1303" s="40" t="str">
        <f t="shared" si="40"/>
        <v/>
      </c>
      <c r="X1303" s="40" t="str">
        <f t="shared" si="41"/>
        <v/>
      </c>
      <c r="Y1303" s="40" t="str">
        <f>TEXT(Table1[[#This Row],[YEAR]],"0000")&amp;"-"&amp;Table1[[#This Row],[MONTH]]</f>
        <v>-</v>
      </c>
    </row>
    <row r="1304" spans="1:25" ht="15" customHeight="1" x14ac:dyDescent="0.35">
      <c r="A1304" s="24"/>
      <c r="B1304" s="38"/>
      <c r="C1304" s="38"/>
      <c r="D1304" s="38"/>
      <c r="E1304" s="37"/>
      <c r="F1304" s="38"/>
      <c r="G1304" s="198"/>
      <c r="H1304" s="198"/>
      <c r="I1304" s="39"/>
      <c r="J1304" s="38"/>
      <c r="K1304" s="198"/>
      <c r="L1304" s="38"/>
      <c r="M1304" s="38"/>
      <c r="N1304" s="38"/>
      <c r="O1304" s="38"/>
      <c r="P1304" s="40" t="str" cm="1">
        <f t="array" ref="P1304">IF(N1304="","",IFERROR(_xlfn.XLOOKUP(F1304&amp;"|"&amp;J1304&amp;"|"&amp;O1304,PRICES!$C$2:$C$659&amp;"|"&amp;PRICES!$B$2:$B$659&amp;"|"&amp;PRICES!$D$2:$D$659,PRICES!$E$2:$E$659),"Not Found"))</f>
        <v/>
      </c>
      <c r="Q1304" s="100" t="str">
        <f>IF(N1304=0,"",SUMIFS(PRICES!$G$2:$G$658,PRICES!$B$2:$B$658,'MAIN TABLE-1 AUTOMATED'!J1304,PRICES!$C$2:$C$658,'MAIN TABLE-1 AUTOMATED'!F1304,PRICES!$D$2:$D$658,'MAIN TABLE-1 AUTOMATED'!O1304))</f>
        <v/>
      </c>
      <c r="R1304" s="41" t="str">
        <f>IF(Table1[[#This Row],[QUANTITY]]=0,"",Table1[[#This Row],[UNIT PRICE]]*Table1[[#This Row],[QUANTITY]])</f>
        <v/>
      </c>
      <c r="S1304" s="89"/>
      <c r="T1304" s="38"/>
      <c r="U1304" s="43"/>
      <c r="V1304" s="42" t="str">
        <f>IF(Table1[[#This Row],[DATE]]=0,"",YEAR(E1304))</f>
        <v/>
      </c>
      <c r="W1304" s="40" t="str">
        <f t="shared" si="40"/>
        <v/>
      </c>
      <c r="X1304" s="40" t="str">
        <f t="shared" si="41"/>
        <v/>
      </c>
      <c r="Y1304" s="40" t="str">
        <f>TEXT(Table1[[#This Row],[YEAR]],"0000")&amp;"-"&amp;Table1[[#This Row],[MONTH]]</f>
        <v>-</v>
      </c>
    </row>
    <row r="1305" spans="1:25" ht="15" customHeight="1" x14ac:dyDescent="0.35">
      <c r="A1305" s="24"/>
      <c r="B1305" s="38"/>
      <c r="C1305" s="38"/>
      <c r="D1305" s="38"/>
      <c r="E1305" s="37"/>
      <c r="F1305" s="38"/>
      <c r="G1305" s="198"/>
      <c r="H1305" s="198"/>
      <c r="I1305" s="39"/>
      <c r="J1305" s="38"/>
      <c r="K1305" s="198"/>
      <c r="L1305" s="38"/>
      <c r="M1305" s="38"/>
      <c r="N1305" s="38"/>
      <c r="O1305" s="38"/>
      <c r="P1305" s="40" t="str" cm="1">
        <f t="array" ref="P1305">IF(N1305="","",IFERROR(_xlfn.XLOOKUP(F1305&amp;"|"&amp;J1305&amp;"|"&amp;O1305,PRICES!$C$2:$C$659&amp;"|"&amp;PRICES!$B$2:$B$659&amp;"|"&amp;PRICES!$D$2:$D$659,PRICES!$E$2:$E$659),"Not Found"))</f>
        <v/>
      </c>
      <c r="Q1305" s="100" t="str">
        <f>IF(N1305=0,"",SUMIFS(PRICES!$G$2:$G$658,PRICES!$B$2:$B$658,'MAIN TABLE-1 AUTOMATED'!J1305,PRICES!$C$2:$C$658,'MAIN TABLE-1 AUTOMATED'!F1305,PRICES!$D$2:$D$658,'MAIN TABLE-1 AUTOMATED'!O1305))</f>
        <v/>
      </c>
      <c r="R1305" s="41" t="str">
        <f>IF(Table1[[#This Row],[QUANTITY]]=0,"",Table1[[#This Row],[UNIT PRICE]]*Table1[[#This Row],[QUANTITY]])</f>
        <v/>
      </c>
      <c r="S1305" s="89"/>
      <c r="T1305" s="38"/>
      <c r="U1305" s="43"/>
      <c r="V1305" s="42" t="str">
        <f>IF(Table1[[#This Row],[DATE]]=0,"",YEAR(E1305))</f>
        <v/>
      </c>
      <c r="W1305" s="40" t="str">
        <f t="shared" si="40"/>
        <v/>
      </c>
      <c r="X1305" s="40" t="str">
        <f t="shared" si="41"/>
        <v/>
      </c>
      <c r="Y1305" s="40" t="str">
        <f>TEXT(Table1[[#This Row],[YEAR]],"0000")&amp;"-"&amp;Table1[[#This Row],[MONTH]]</f>
        <v>-</v>
      </c>
    </row>
    <row r="1306" spans="1:25" ht="15" customHeight="1" x14ac:dyDescent="0.35">
      <c r="A1306" s="24"/>
      <c r="B1306" s="38"/>
      <c r="C1306" s="38"/>
      <c r="D1306" s="38"/>
      <c r="E1306" s="37"/>
      <c r="F1306" s="38"/>
      <c r="G1306" s="198"/>
      <c r="H1306" s="198"/>
      <c r="I1306" s="39"/>
      <c r="J1306" s="38"/>
      <c r="K1306" s="198"/>
      <c r="L1306" s="38"/>
      <c r="M1306" s="38"/>
      <c r="N1306" s="38"/>
      <c r="O1306" s="38"/>
      <c r="P1306" s="40" t="str" cm="1">
        <f t="array" ref="P1306">IF(N1306="","",IFERROR(_xlfn.XLOOKUP(F1306&amp;"|"&amp;J1306&amp;"|"&amp;O1306,PRICES!$C$2:$C$659&amp;"|"&amp;PRICES!$B$2:$B$659&amp;"|"&amp;PRICES!$D$2:$D$659,PRICES!$E$2:$E$659),"Not Found"))</f>
        <v/>
      </c>
      <c r="Q1306" s="100" t="str">
        <f>IF(N1306=0,"",SUMIFS(PRICES!$G$2:$G$658,PRICES!$B$2:$B$658,'MAIN TABLE-1 AUTOMATED'!J1306,PRICES!$C$2:$C$658,'MAIN TABLE-1 AUTOMATED'!F1306,PRICES!$D$2:$D$658,'MAIN TABLE-1 AUTOMATED'!O1306))</f>
        <v/>
      </c>
      <c r="R1306" s="41" t="str">
        <f>IF(Table1[[#This Row],[QUANTITY]]=0,"",Table1[[#This Row],[UNIT PRICE]]*Table1[[#This Row],[QUANTITY]])</f>
        <v/>
      </c>
      <c r="S1306" s="89"/>
      <c r="T1306" s="38"/>
      <c r="U1306" s="43"/>
      <c r="V1306" s="42" t="str">
        <f>IF(Table1[[#This Row],[DATE]]=0,"",YEAR(E1306))</f>
        <v/>
      </c>
      <c r="W1306" s="40" t="str">
        <f t="shared" si="40"/>
        <v/>
      </c>
      <c r="X1306" s="40" t="str">
        <f t="shared" si="41"/>
        <v/>
      </c>
      <c r="Y1306" s="40" t="str">
        <f>TEXT(Table1[[#This Row],[YEAR]],"0000")&amp;"-"&amp;Table1[[#This Row],[MONTH]]</f>
        <v>-</v>
      </c>
    </row>
    <row r="1307" spans="1:25" ht="15" customHeight="1" x14ac:dyDescent="0.35">
      <c r="A1307" s="24"/>
      <c r="B1307" s="38"/>
      <c r="C1307" s="38"/>
      <c r="D1307" s="38"/>
      <c r="E1307" s="37"/>
      <c r="F1307" s="38"/>
      <c r="G1307" s="198"/>
      <c r="H1307" s="198"/>
      <c r="I1307" s="39"/>
      <c r="J1307" s="38"/>
      <c r="K1307" s="198"/>
      <c r="L1307" s="38"/>
      <c r="M1307" s="38"/>
      <c r="N1307" s="38"/>
      <c r="O1307" s="38"/>
      <c r="P1307" s="40" t="str" cm="1">
        <f t="array" ref="P1307">IF(N1307="","",IFERROR(_xlfn.XLOOKUP(F1307&amp;"|"&amp;J1307&amp;"|"&amp;O1307,PRICES!$C$2:$C$659&amp;"|"&amp;PRICES!$B$2:$B$659&amp;"|"&amp;PRICES!$D$2:$D$659,PRICES!$E$2:$E$659),"Not Found"))</f>
        <v/>
      </c>
      <c r="Q1307" s="100" t="str">
        <f>IF(N1307=0,"",SUMIFS(PRICES!$G$2:$G$658,PRICES!$B$2:$B$658,'MAIN TABLE-1 AUTOMATED'!J1307,PRICES!$C$2:$C$658,'MAIN TABLE-1 AUTOMATED'!F1307,PRICES!$D$2:$D$658,'MAIN TABLE-1 AUTOMATED'!O1307))</f>
        <v/>
      </c>
      <c r="R1307" s="41" t="str">
        <f>IF(Table1[[#This Row],[QUANTITY]]=0,"",Table1[[#This Row],[UNIT PRICE]]*Table1[[#This Row],[QUANTITY]])</f>
        <v/>
      </c>
      <c r="S1307" s="89"/>
      <c r="T1307" s="38"/>
      <c r="U1307" s="43"/>
      <c r="V1307" s="42" t="str">
        <f>IF(Table1[[#This Row],[DATE]]=0,"",YEAR(E1307))</f>
        <v/>
      </c>
      <c r="W1307" s="40" t="str">
        <f t="shared" si="40"/>
        <v/>
      </c>
      <c r="X1307" s="40" t="str">
        <f t="shared" si="41"/>
        <v/>
      </c>
      <c r="Y1307" s="40" t="str">
        <f>TEXT(Table1[[#This Row],[YEAR]],"0000")&amp;"-"&amp;Table1[[#This Row],[MONTH]]</f>
        <v>-</v>
      </c>
    </row>
    <row r="1308" spans="1:25" ht="15" customHeight="1" x14ac:dyDescent="0.35">
      <c r="A1308" s="24"/>
      <c r="B1308" s="38"/>
      <c r="C1308" s="38"/>
      <c r="D1308" s="38"/>
      <c r="E1308" s="37"/>
      <c r="F1308" s="38"/>
      <c r="G1308" s="198"/>
      <c r="H1308" s="198"/>
      <c r="I1308" s="39"/>
      <c r="J1308" s="38"/>
      <c r="K1308" s="198"/>
      <c r="L1308" s="38"/>
      <c r="M1308" s="38"/>
      <c r="N1308" s="38"/>
      <c r="O1308" s="38"/>
      <c r="P1308" s="40" t="str" cm="1">
        <f t="array" ref="P1308">IF(N1308="","",IFERROR(_xlfn.XLOOKUP(F1308&amp;"|"&amp;J1308&amp;"|"&amp;O1308,PRICES!$C$2:$C$659&amp;"|"&amp;PRICES!$B$2:$B$659&amp;"|"&amp;PRICES!$D$2:$D$659,PRICES!$E$2:$E$659),"Not Found"))</f>
        <v/>
      </c>
      <c r="Q1308" s="100" t="str">
        <f>IF(N1308=0,"",SUMIFS(PRICES!$G$2:$G$658,PRICES!$B$2:$B$658,'MAIN TABLE-1 AUTOMATED'!J1308,PRICES!$C$2:$C$658,'MAIN TABLE-1 AUTOMATED'!F1308,PRICES!$D$2:$D$658,'MAIN TABLE-1 AUTOMATED'!O1308))</f>
        <v/>
      </c>
      <c r="R1308" s="41" t="str">
        <f>IF(Table1[[#This Row],[QUANTITY]]=0,"",Table1[[#This Row],[UNIT PRICE]]*Table1[[#This Row],[QUANTITY]])</f>
        <v/>
      </c>
      <c r="S1308" s="89"/>
      <c r="T1308" s="38"/>
      <c r="U1308" s="43"/>
      <c r="V1308" s="42" t="str">
        <f>IF(Table1[[#This Row],[DATE]]=0,"",YEAR(E1308))</f>
        <v/>
      </c>
      <c r="W1308" s="40" t="str">
        <f t="shared" si="40"/>
        <v/>
      </c>
      <c r="X1308" s="40" t="str">
        <f t="shared" si="41"/>
        <v/>
      </c>
      <c r="Y1308" s="40" t="str">
        <f>TEXT(Table1[[#This Row],[YEAR]],"0000")&amp;"-"&amp;Table1[[#This Row],[MONTH]]</f>
        <v>-</v>
      </c>
    </row>
    <row r="1309" spans="1:25" ht="15" customHeight="1" x14ac:dyDescent="0.35">
      <c r="A1309" s="24"/>
      <c r="B1309" s="38"/>
      <c r="C1309" s="38"/>
      <c r="D1309" s="38"/>
      <c r="E1309" s="37"/>
      <c r="F1309" s="38"/>
      <c r="G1309" s="198"/>
      <c r="H1309" s="198"/>
      <c r="I1309" s="39"/>
      <c r="J1309" s="38"/>
      <c r="K1309" s="198"/>
      <c r="L1309" s="38"/>
      <c r="M1309" s="38"/>
      <c r="N1309" s="38"/>
      <c r="O1309" s="38"/>
      <c r="P1309" s="40" t="str" cm="1">
        <f t="array" ref="P1309">IF(N1309="","",IFERROR(_xlfn.XLOOKUP(F1309&amp;"|"&amp;J1309&amp;"|"&amp;O1309,PRICES!$C$2:$C$659&amp;"|"&amp;PRICES!$B$2:$B$659&amp;"|"&amp;PRICES!$D$2:$D$659,PRICES!$E$2:$E$659),"Not Found"))</f>
        <v/>
      </c>
      <c r="Q1309" s="100" t="str">
        <f>IF(N1309=0,"",SUMIFS(PRICES!$G$2:$G$658,PRICES!$B$2:$B$658,'MAIN TABLE-1 AUTOMATED'!J1309,PRICES!$C$2:$C$658,'MAIN TABLE-1 AUTOMATED'!F1309,PRICES!$D$2:$D$658,'MAIN TABLE-1 AUTOMATED'!O1309))</f>
        <v/>
      </c>
      <c r="R1309" s="41" t="str">
        <f>IF(Table1[[#This Row],[QUANTITY]]=0,"",Table1[[#This Row],[UNIT PRICE]]*Table1[[#This Row],[QUANTITY]])</f>
        <v/>
      </c>
      <c r="S1309" s="89"/>
      <c r="T1309" s="38"/>
      <c r="U1309" s="43"/>
      <c r="V1309" s="42" t="str">
        <f>IF(Table1[[#This Row],[DATE]]=0,"",YEAR(E1309))</f>
        <v/>
      </c>
      <c r="W1309" s="40" t="str">
        <f t="shared" si="40"/>
        <v/>
      </c>
      <c r="X1309" s="40" t="str">
        <f t="shared" si="41"/>
        <v/>
      </c>
      <c r="Y1309" s="40" t="str">
        <f>TEXT(Table1[[#This Row],[YEAR]],"0000")&amp;"-"&amp;Table1[[#This Row],[MONTH]]</f>
        <v>-</v>
      </c>
    </row>
    <row r="1310" spans="1:25" ht="15" customHeight="1" x14ac:dyDescent="0.35">
      <c r="A1310" s="24"/>
      <c r="B1310" s="38"/>
      <c r="C1310" s="38"/>
      <c r="D1310" s="38"/>
      <c r="E1310" s="37"/>
      <c r="F1310" s="38"/>
      <c r="G1310" s="198"/>
      <c r="H1310" s="198"/>
      <c r="I1310" s="39"/>
      <c r="J1310" s="38"/>
      <c r="K1310" s="198"/>
      <c r="L1310" s="38"/>
      <c r="M1310" s="38"/>
      <c r="N1310" s="38"/>
      <c r="O1310" s="38"/>
      <c r="P1310" s="40" t="str" cm="1">
        <f t="array" ref="P1310">IF(N1310="","",IFERROR(_xlfn.XLOOKUP(F1310&amp;"|"&amp;J1310&amp;"|"&amp;O1310,PRICES!$C$2:$C$659&amp;"|"&amp;PRICES!$B$2:$B$659&amp;"|"&amp;PRICES!$D$2:$D$659,PRICES!$E$2:$E$659),"Not Found"))</f>
        <v/>
      </c>
      <c r="Q1310" s="100" t="str">
        <f>IF(N1310=0,"",SUMIFS(PRICES!$G$2:$G$658,PRICES!$B$2:$B$658,'MAIN TABLE-1 AUTOMATED'!J1310,PRICES!$C$2:$C$658,'MAIN TABLE-1 AUTOMATED'!F1310,PRICES!$D$2:$D$658,'MAIN TABLE-1 AUTOMATED'!O1310))</f>
        <v/>
      </c>
      <c r="R1310" s="41" t="str">
        <f>IF(Table1[[#This Row],[QUANTITY]]=0,"",Table1[[#This Row],[UNIT PRICE]]*Table1[[#This Row],[QUANTITY]])</f>
        <v/>
      </c>
      <c r="S1310" s="89"/>
      <c r="T1310" s="38"/>
      <c r="U1310" s="43"/>
      <c r="V1310" s="42" t="str">
        <f>IF(Table1[[#This Row],[DATE]]=0,"",YEAR(E1310))</f>
        <v/>
      </c>
      <c r="W1310" s="40" t="str">
        <f t="shared" si="40"/>
        <v/>
      </c>
      <c r="X1310" s="40" t="str">
        <f t="shared" si="41"/>
        <v/>
      </c>
      <c r="Y1310" s="40" t="str">
        <f>TEXT(Table1[[#This Row],[YEAR]],"0000")&amp;"-"&amp;Table1[[#This Row],[MONTH]]</f>
        <v>-</v>
      </c>
    </row>
    <row r="1311" spans="1:25" ht="15" customHeight="1" x14ac:dyDescent="0.35">
      <c r="A1311" s="24"/>
      <c r="B1311" s="38"/>
      <c r="C1311" s="38"/>
      <c r="D1311" s="38"/>
      <c r="E1311" s="37"/>
      <c r="F1311" s="38"/>
      <c r="G1311" s="198"/>
      <c r="H1311" s="198"/>
      <c r="I1311" s="39"/>
      <c r="J1311" s="38"/>
      <c r="K1311" s="198"/>
      <c r="L1311" s="38"/>
      <c r="M1311" s="38"/>
      <c r="N1311" s="38"/>
      <c r="O1311" s="38"/>
      <c r="P1311" s="40" t="str" cm="1">
        <f t="array" ref="P1311">IF(N1311="","",IFERROR(_xlfn.XLOOKUP(F1311&amp;"|"&amp;J1311&amp;"|"&amp;O1311,PRICES!$C$2:$C$659&amp;"|"&amp;PRICES!$B$2:$B$659&amp;"|"&amp;PRICES!$D$2:$D$659,PRICES!$E$2:$E$659),"Not Found"))</f>
        <v/>
      </c>
      <c r="Q1311" s="100" t="str">
        <f>IF(N1311=0,"",SUMIFS(PRICES!$G$2:$G$658,PRICES!$B$2:$B$658,'MAIN TABLE-1 AUTOMATED'!J1311,PRICES!$C$2:$C$658,'MAIN TABLE-1 AUTOMATED'!F1311,PRICES!$D$2:$D$658,'MAIN TABLE-1 AUTOMATED'!O1311))</f>
        <v/>
      </c>
      <c r="R1311" s="41" t="str">
        <f>IF(Table1[[#This Row],[QUANTITY]]=0,"",Table1[[#This Row],[UNIT PRICE]]*Table1[[#This Row],[QUANTITY]])</f>
        <v/>
      </c>
      <c r="S1311" s="89"/>
      <c r="T1311" s="38"/>
      <c r="U1311" s="43"/>
      <c r="V1311" s="42" t="str">
        <f>IF(Table1[[#This Row],[DATE]]=0,"",YEAR(E1311))</f>
        <v/>
      </c>
      <c r="W1311" s="40" t="str">
        <f t="shared" ref="W1311:W1374" si="42">IF(E1311=0,"",MONTH(E1311))</f>
        <v/>
      </c>
      <c r="X1311" s="40" t="str">
        <f t="shared" ref="X1311:X1374" si="43">IF(E1311=0,"",WEEKNUM(E1311))</f>
        <v/>
      </c>
      <c r="Y1311" s="40" t="str">
        <f>TEXT(Table1[[#This Row],[YEAR]],"0000")&amp;"-"&amp;Table1[[#This Row],[MONTH]]</f>
        <v>-</v>
      </c>
    </row>
    <row r="1312" spans="1:25" ht="15" customHeight="1" x14ac:dyDescent="0.35">
      <c r="A1312" s="24"/>
      <c r="B1312" s="38"/>
      <c r="C1312" s="38"/>
      <c r="D1312" s="38"/>
      <c r="E1312" s="37"/>
      <c r="F1312" s="38"/>
      <c r="G1312" s="198"/>
      <c r="H1312" s="198"/>
      <c r="I1312" s="39"/>
      <c r="J1312" s="38"/>
      <c r="K1312" s="198"/>
      <c r="L1312" s="38"/>
      <c r="M1312" s="38"/>
      <c r="N1312" s="38"/>
      <c r="O1312" s="38"/>
      <c r="P1312" s="40" t="str" cm="1">
        <f t="array" ref="P1312">IF(N1312="","",IFERROR(_xlfn.XLOOKUP(F1312&amp;"|"&amp;J1312&amp;"|"&amp;O1312,PRICES!$C$2:$C$659&amp;"|"&amp;PRICES!$B$2:$B$659&amp;"|"&amp;PRICES!$D$2:$D$659,PRICES!$E$2:$E$659),"Not Found"))</f>
        <v/>
      </c>
      <c r="Q1312" s="100" t="str">
        <f>IF(N1312=0,"",SUMIFS(PRICES!$G$2:$G$658,PRICES!$B$2:$B$658,'MAIN TABLE-1 AUTOMATED'!J1312,PRICES!$C$2:$C$658,'MAIN TABLE-1 AUTOMATED'!F1312,PRICES!$D$2:$D$658,'MAIN TABLE-1 AUTOMATED'!O1312))</f>
        <v/>
      </c>
      <c r="R1312" s="41" t="str">
        <f>IF(Table1[[#This Row],[QUANTITY]]=0,"",Table1[[#This Row],[UNIT PRICE]]*Table1[[#This Row],[QUANTITY]])</f>
        <v/>
      </c>
      <c r="S1312" s="89"/>
      <c r="T1312" s="38"/>
      <c r="U1312" s="43"/>
      <c r="V1312" s="42" t="str">
        <f>IF(Table1[[#This Row],[DATE]]=0,"",YEAR(E1312))</f>
        <v/>
      </c>
      <c r="W1312" s="40" t="str">
        <f t="shared" si="42"/>
        <v/>
      </c>
      <c r="X1312" s="40" t="str">
        <f t="shared" si="43"/>
        <v/>
      </c>
      <c r="Y1312" s="40" t="str">
        <f>TEXT(Table1[[#This Row],[YEAR]],"0000")&amp;"-"&amp;Table1[[#This Row],[MONTH]]</f>
        <v>-</v>
      </c>
    </row>
    <row r="1313" spans="1:25" ht="15" customHeight="1" x14ac:dyDescent="0.35">
      <c r="A1313" s="24"/>
      <c r="B1313" s="38"/>
      <c r="C1313" s="38"/>
      <c r="D1313" s="38"/>
      <c r="E1313" s="37"/>
      <c r="F1313" s="38"/>
      <c r="G1313" s="198"/>
      <c r="H1313" s="198"/>
      <c r="I1313" s="39"/>
      <c r="J1313" s="38"/>
      <c r="K1313" s="198"/>
      <c r="L1313" s="38"/>
      <c r="M1313" s="38"/>
      <c r="N1313" s="38"/>
      <c r="O1313" s="38"/>
      <c r="P1313" s="40" t="str" cm="1">
        <f t="array" ref="P1313">IF(N1313="","",IFERROR(_xlfn.XLOOKUP(F1313&amp;"|"&amp;J1313&amp;"|"&amp;O1313,PRICES!$C$2:$C$659&amp;"|"&amp;PRICES!$B$2:$B$659&amp;"|"&amp;PRICES!$D$2:$D$659,PRICES!$E$2:$E$659),"Not Found"))</f>
        <v/>
      </c>
      <c r="Q1313" s="100" t="str">
        <f>IF(N1313=0,"",SUMIFS(PRICES!$G$2:$G$658,PRICES!$B$2:$B$658,'MAIN TABLE-1 AUTOMATED'!J1313,PRICES!$C$2:$C$658,'MAIN TABLE-1 AUTOMATED'!F1313,PRICES!$D$2:$D$658,'MAIN TABLE-1 AUTOMATED'!O1313))</f>
        <v/>
      </c>
      <c r="R1313" s="41" t="str">
        <f>IF(Table1[[#This Row],[QUANTITY]]=0,"",Table1[[#This Row],[UNIT PRICE]]*Table1[[#This Row],[QUANTITY]])</f>
        <v/>
      </c>
      <c r="S1313" s="89"/>
      <c r="T1313" s="38"/>
      <c r="U1313" s="43"/>
      <c r="V1313" s="42" t="str">
        <f>IF(Table1[[#This Row],[DATE]]=0,"",YEAR(E1313))</f>
        <v/>
      </c>
      <c r="W1313" s="40" t="str">
        <f t="shared" si="42"/>
        <v/>
      </c>
      <c r="X1313" s="40" t="str">
        <f t="shared" si="43"/>
        <v/>
      </c>
      <c r="Y1313" s="40" t="str">
        <f>TEXT(Table1[[#This Row],[YEAR]],"0000")&amp;"-"&amp;Table1[[#This Row],[MONTH]]</f>
        <v>-</v>
      </c>
    </row>
    <row r="1314" spans="1:25" ht="15" customHeight="1" x14ac:dyDescent="0.35">
      <c r="A1314" s="24"/>
      <c r="B1314" s="38"/>
      <c r="C1314" s="38"/>
      <c r="D1314" s="38"/>
      <c r="E1314" s="37"/>
      <c r="F1314" s="38"/>
      <c r="G1314" s="198"/>
      <c r="H1314" s="198"/>
      <c r="I1314" s="39"/>
      <c r="J1314" s="38"/>
      <c r="K1314" s="198"/>
      <c r="L1314" s="38"/>
      <c r="M1314" s="38"/>
      <c r="N1314" s="38"/>
      <c r="O1314" s="38"/>
      <c r="P1314" s="40" t="str" cm="1">
        <f t="array" ref="P1314">IF(N1314="","",IFERROR(_xlfn.XLOOKUP(F1314&amp;"|"&amp;J1314&amp;"|"&amp;O1314,PRICES!$C$2:$C$659&amp;"|"&amp;PRICES!$B$2:$B$659&amp;"|"&amp;PRICES!$D$2:$D$659,PRICES!$E$2:$E$659),"Not Found"))</f>
        <v/>
      </c>
      <c r="Q1314" s="100" t="str">
        <f>IF(N1314=0,"",SUMIFS(PRICES!$G$2:$G$658,PRICES!$B$2:$B$658,'MAIN TABLE-1 AUTOMATED'!J1314,PRICES!$C$2:$C$658,'MAIN TABLE-1 AUTOMATED'!F1314,PRICES!$D$2:$D$658,'MAIN TABLE-1 AUTOMATED'!O1314))</f>
        <v/>
      </c>
      <c r="R1314" s="41" t="str">
        <f>IF(Table1[[#This Row],[QUANTITY]]=0,"",Table1[[#This Row],[UNIT PRICE]]*Table1[[#This Row],[QUANTITY]])</f>
        <v/>
      </c>
      <c r="S1314" s="89"/>
      <c r="T1314" s="38"/>
      <c r="U1314" s="43"/>
      <c r="V1314" s="42" t="str">
        <f>IF(Table1[[#This Row],[DATE]]=0,"",YEAR(E1314))</f>
        <v/>
      </c>
      <c r="W1314" s="40" t="str">
        <f t="shared" si="42"/>
        <v/>
      </c>
      <c r="X1314" s="40" t="str">
        <f t="shared" si="43"/>
        <v/>
      </c>
      <c r="Y1314" s="40" t="str">
        <f>TEXT(Table1[[#This Row],[YEAR]],"0000")&amp;"-"&amp;Table1[[#This Row],[MONTH]]</f>
        <v>-</v>
      </c>
    </row>
    <row r="1315" spans="1:25" ht="15" customHeight="1" x14ac:dyDescent="0.35">
      <c r="A1315" s="24"/>
      <c r="B1315" s="38"/>
      <c r="C1315" s="38"/>
      <c r="D1315" s="38"/>
      <c r="E1315" s="37"/>
      <c r="F1315" s="38"/>
      <c r="G1315" s="198"/>
      <c r="H1315" s="198"/>
      <c r="I1315" s="39"/>
      <c r="J1315" s="38"/>
      <c r="K1315" s="198"/>
      <c r="L1315" s="38"/>
      <c r="M1315" s="38"/>
      <c r="N1315" s="38"/>
      <c r="O1315" s="38"/>
      <c r="P1315" s="40" t="str" cm="1">
        <f t="array" ref="P1315">IF(N1315="","",IFERROR(_xlfn.XLOOKUP(F1315&amp;"|"&amp;J1315&amp;"|"&amp;O1315,PRICES!$C$2:$C$659&amp;"|"&amp;PRICES!$B$2:$B$659&amp;"|"&amp;PRICES!$D$2:$D$659,PRICES!$E$2:$E$659),"Not Found"))</f>
        <v/>
      </c>
      <c r="Q1315" s="100" t="str">
        <f>IF(N1315=0,"",SUMIFS(PRICES!$G$2:$G$658,PRICES!$B$2:$B$658,'MAIN TABLE-1 AUTOMATED'!J1315,PRICES!$C$2:$C$658,'MAIN TABLE-1 AUTOMATED'!F1315,PRICES!$D$2:$D$658,'MAIN TABLE-1 AUTOMATED'!O1315))</f>
        <v/>
      </c>
      <c r="R1315" s="41" t="str">
        <f>IF(Table1[[#This Row],[QUANTITY]]=0,"",Table1[[#This Row],[UNIT PRICE]]*Table1[[#This Row],[QUANTITY]])</f>
        <v/>
      </c>
      <c r="S1315" s="89"/>
      <c r="T1315" s="38"/>
      <c r="U1315" s="43"/>
      <c r="V1315" s="42" t="str">
        <f>IF(Table1[[#This Row],[DATE]]=0,"",YEAR(E1315))</f>
        <v/>
      </c>
      <c r="W1315" s="40" t="str">
        <f t="shared" si="42"/>
        <v/>
      </c>
      <c r="X1315" s="40" t="str">
        <f t="shared" si="43"/>
        <v/>
      </c>
      <c r="Y1315" s="40" t="str">
        <f>TEXT(Table1[[#This Row],[YEAR]],"0000")&amp;"-"&amp;Table1[[#This Row],[MONTH]]</f>
        <v>-</v>
      </c>
    </row>
    <row r="1316" spans="1:25" ht="15" customHeight="1" x14ac:dyDescent="0.35">
      <c r="A1316" s="24"/>
      <c r="B1316" s="38"/>
      <c r="C1316" s="38"/>
      <c r="D1316" s="38"/>
      <c r="E1316" s="37"/>
      <c r="F1316" s="38"/>
      <c r="G1316" s="198"/>
      <c r="H1316" s="198"/>
      <c r="I1316" s="39"/>
      <c r="J1316" s="38"/>
      <c r="K1316" s="198"/>
      <c r="L1316" s="38"/>
      <c r="M1316" s="38"/>
      <c r="N1316" s="38"/>
      <c r="O1316" s="38"/>
      <c r="P1316" s="40" t="str" cm="1">
        <f t="array" ref="P1316">IF(N1316="","",IFERROR(_xlfn.XLOOKUP(F1316&amp;"|"&amp;J1316&amp;"|"&amp;O1316,PRICES!$C$2:$C$659&amp;"|"&amp;PRICES!$B$2:$B$659&amp;"|"&amp;PRICES!$D$2:$D$659,PRICES!$E$2:$E$659),"Not Found"))</f>
        <v/>
      </c>
      <c r="Q1316" s="100" t="str">
        <f>IF(N1316=0,"",SUMIFS(PRICES!$G$2:$G$658,PRICES!$B$2:$B$658,'MAIN TABLE-1 AUTOMATED'!J1316,PRICES!$C$2:$C$658,'MAIN TABLE-1 AUTOMATED'!F1316,PRICES!$D$2:$D$658,'MAIN TABLE-1 AUTOMATED'!O1316))</f>
        <v/>
      </c>
      <c r="R1316" s="41" t="str">
        <f>IF(Table1[[#This Row],[QUANTITY]]=0,"",Table1[[#This Row],[UNIT PRICE]]*Table1[[#This Row],[QUANTITY]])</f>
        <v/>
      </c>
      <c r="S1316" s="89"/>
      <c r="T1316" s="38"/>
      <c r="U1316" s="43"/>
      <c r="V1316" s="42" t="str">
        <f>IF(Table1[[#This Row],[DATE]]=0,"",YEAR(E1316))</f>
        <v/>
      </c>
      <c r="W1316" s="40" t="str">
        <f t="shared" si="42"/>
        <v/>
      </c>
      <c r="X1316" s="40" t="str">
        <f t="shared" si="43"/>
        <v/>
      </c>
      <c r="Y1316" s="40" t="str">
        <f>TEXT(Table1[[#This Row],[YEAR]],"0000")&amp;"-"&amp;Table1[[#This Row],[MONTH]]</f>
        <v>-</v>
      </c>
    </row>
    <row r="1317" spans="1:25" ht="15" customHeight="1" x14ac:dyDescent="0.35">
      <c r="A1317" s="24"/>
      <c r="B1317" s="38"/>
      <c r="C1317" s="38"/>
      <c r="D1317" s="38"/>
      <c r="E1317" s="37"/>
      <c r="F1317" s="38"/>
      <c r="G1317" s="198"/>
      <c r="H1317" s="198"/>
      <c r="I1317" s="39"/>
      <c r="J1317" s="38"/>
      <c r="K1317" s="198"/>
      <c r="L1317" s="38"/>
      <c r="M1317" s="38"/>
      <c r="N1317" s="38"/>
      <c r="O1317" s="38"/>
      <c r="P1317" s="40" t="str" cm="1">
        <f t="array" ref="P1317">IF(N1317="","",IFERROR(_xlfn.XLOOKUP(F1317&amp;"|"&amp;J1317&amp;"|"&amp;O1317,PRICES!$C$2:$C$659&amp;"|"&amp;PRICES!$B$2:$B$659&amp;"|"&amp;PRICES!$D$2:$D$659,PRICES!$E$2:$E$659),"Not Found"))</f>
        <v/>
      </c>
      <c r="Q1317" s="100" t="str">
        <f>IF(N1317=0,"",SUMIFS(PRICES!$G$2:$G$658,PRICES!$B$2:$B$658,'MAIN TABLE-1 AUTOMATED'!J1317,PRICES!$C$2:$C$658,'MAIN TABLE-1 AUTOMATED'!F1317,PRICES!$D$2:$D$658,'MAIN TABLE-1 AUTOMATED'!O1317))</f>
        <v/>
      </c>
      <c r="R1317" s="41" t="str">
        <f>IF(Table1[[#This Row],[QUANTITY]]=0,"",Table1[[#This Row],[UNIT PRICE]]*Table1[[#This Row],[QUANTITY]])</f>
        <v/>
      </c>
      <c r="S1317" s="89"/>
      <c r="T1317" s="38"/>
      <c r="U1317" s="43"/>
      <c r="V1317" s="42" t="str">
        <f>IF(Table1[[#This Row],[DATE]]=0,"",YEAR(E1317))</f>
        <v/>
      </c>
      <c r="W1317" s="40" t="str">
        <f t="shared" si="42"/>
        <v/>
      </c>
      <c r="X1317" s="40" t="str">
        <f t="shared" si="43"/>
        <v/>
      </c>
      <c r="Y1317" s="40" t="str">
        <f>TEXT(Table1[[#This Row],[YEAR]],"0000")&amp;"-"&amp;Table1[[#This Row],[MONTH]]</f>
        <v>-</v>
      </c>
    </row>
    <row r="1318" spans="1:25" ht="15" customHeight="1" x14ac:dyDescent="0.35">
      <c r="A1318" s="24"/>
      <c r="B1318" s="38"/>
      <c r="C1318" s="38"/>
      <c r="D1318" s="38"/>
      <c r="E1318" s="37"/>
      <c r="F1318" s="38"/>
      <c r="G1318" s="198"/>
      <c r="H1318" s="198"/>
      <c r="I1318" s="39"/>
      <c r="J1318" s="38"/>
      <c r="K1318" s="198"/>
      <c r="L1318" s="38"/>
      <c r="M1318" s="38"/>
      <c r="N1318" s="38"/>
      <c r="O1318" s="38"/>
      <c r="P1318" s="40" t="str" cm="1">
        <f t="array" ref="P1318">IF(N1318="","",IFERROR(_xlfn.XLOOKUP(F1318&amp;"|"&amp;J1318&amp;"|"&amp;O1318,PRICES!$C$2:$C$659&amp;"|"&amp;PRICES!$B$2:$B$659&amp;"|"&amp;PRICES!$D$2:$D$659,PRICES!$E$2:$E$659),"Not Found"))</f>
        <v/>
      </c>
      <c r="Q1318" s="100" t="str">
        <f>IF(N1318=0,"",SUMIFS(PRICES!$G$2:$G$658,PRICES!$B$2:$B$658,'MAIN TABLE-1 AUTOMATED'!J1318,PRICES!$C$2:$C$658,'MAIN TABLE-1 AUTOMATED'!F1318,PRICES!$D$2:$D$658,'MAIN TABLE-1 AUTOMATED'!O1318))</f>
        <v/>
      </c>
      <c r="R1318" s="41" t="str">
        <f>IF(Table1[[#This Row],[QUANTITY]]=0,"",Table1[[#This Row],[UNIT PRICE]]*Table1[[#This Row],[QUANTITY]])</f>
        <v/>
      </c>
      <c r="S1318" s="89"/>
      <c r="T1318" s="38"/>
      <c r="U1318" s="43"/>
      <c r="V1318" s="42" t="str">
        <f>IF(Table1[[#This Row],[DATE]]=0,"",YEAR(E1318))</f>
        <v/>
      </c>
      <c r="W1318" s="40" t="str">
        <f t="shared" si="42"/>
        <v/>
      </c>
      <c r="X1318" s="40" t="str">
        <f t="shared" si="43"/>
        <v/>
      </c>
      <c r="Y1318" s="40" t="str">
        <f>TEXT(Table1[[#This Row],[YEAR]],"0000")&amp;"-"&amp;Table1[[#This Row],[MONTH]]</f>
        <v>-</v>
      </c>
    </row>
    <row r="1319" spans="1:25" ht="15" customHeight="1" x14ac:dyDescent="0.35">
      <c r="A1319" s="24"/>
      <c r="B1319" s="38"/>
      <c r="C1319" s="38"/>
      <c r="D1319" s="38"/>
      <c r="E1319" s="37"/>
      <c r="F1319" s="38"/>
      <c r="G1319" s="198"/>
      <c r="H1319" s="198"/>
      <c r="I1319" s="39"/>
      <c r="J1319" s="38"/>
      <c r="K1319" s="198"/>
      <c r="L1319" s="38"/>
      <c r="M1319" s="38"/>
      <c r="N1319" s="38"/>
      <c r="O1319" s="38"/>
      <c r="P1319" s="40" t="str" cm="1">
        <f t="array" ref="P1319">IF(N1319="","",IFERROR(_xlfn.XLOOKUP(F1319&amp;"|"&amp;J1319&amp;"|"&amp;O1319,PRICES!$C$2:$C$659&amp;"|"&amp;PRICES!$B$2:$B$659&amp;"|"&amp;PRICES!$D$2:$D$659,PRICES!$E$2:$E$659),"Not Found"))</f>
        <v/>
      </c>
      <c r="Q1319" s="100" t="str">
        <f>IF(N1319=0,"",SUMIFS(PRICES!$G$2:$G$658,PRICES!$B$2:$B$658,'MAIN TABLE-1 AUTOMATED'!J1319,PRICES!$C$2:$C$658,'MAIN TABLE-1 AUTOMATED'!F1319,PRICES!$D$2:$D$658,'MAIN TABLE-1 AUTOMATED'!O1319))</f>
        <v/>
      </c>
      <c r="R1319" s="41" t="str">
        <f>IF(Table1[[#This Row],[QUANTITY]]=0,"",Table1[[#This Row],[UNIT PRICE]]*Table1[[#This Row],[QUANTITY]])</f>
        <v/>
      </c>
      <c r="S1319" s="89"/>
      <c r="T1319" s="38"/>
      <c r="U1319" s="43"/>
      <c r="V1319" s="42" t="str">
        <f>IF(Table1[[#This Row],[DATE]]=0,"",YEAR(E1319))</f>
        <v/>
      </c>
      <c r="W1319" s="40" t="str">
        <f t="shared" si="42"/>
        <v/>
      </c>
      <c r="X1319" s="40" t="str">
        <f t="shared" si="43"/>
        <v/>
      </c>
      <c r="Y1319" s="40" t="str">
        <f>TEXT(Table1[[#This Row],[YEAR]],"0000")&amp;"-"&amp;Table1[[#This Row],[MONTH]]</f>
        <v>-</v>
      </c>
    </row>
    <row r="1320" spans="1:25" ht="15" customHeight="1" x14ac:dyDescent="0.35">
      <c r="A1320" s="24"/>
      <c r="B1320" s="38"/>
      <c r="C1320" s="38"/>
      <c r="D1320" s="38"/>
      <c r="E1320" s="37"/>
      <c r="F1320" s="38"/>
      <c r="G1320" s="198"/>
      <c r="H1320" s="198"/>
      <c r="I1320" s="39"/>
      <c r="J1320" s="38"/>
      <c r="K1320" s="198"/>
      <c r="L1320" s="38"/>
      <c r="M1320" s="38"/>
      <c r="N1320" s="38"/>
      <c r="O1320" s="38"/>
      <c r="P1320" s="40" t="str" cm="1">
        <f t="array" ref="P1320">IF(N1320="","",IFERROR(_xlfn.XLOOKUP(F1320&amp;"|"&amp;J1320&amp;"|"&amp;O1320,PRICES!$C$2:$C$659&amp;"|"&amp;PRICES!$B$2:$B$659&amp;"|"&amp;PRICES!$D$2:$D$659,PRICES!$E$2:$E$659),"Not Found"))</f>
        <v/>
      </c>
      <c r="Q1320" s="100" t="str">
        <f>IF(N1320=0,"",SUMIFS(PRICES!$G$2:$G$658,PRICES!$B$2:$B$658,'MAIN TABLE-1 AUTOMATED'!J1320,PRICES!$C$2:$C$658,'MAIN TABLE-1 AUTOMATED'!F1320,PRICES!$D$2:$D$658,'MAIN TABLE-1 AUTOMATED'!O1320))</f>
        <v/>
      </c>
      <c r="R1320" s="41" t="str">
        <f>IF(Table1[[#This Row],[QUANTITY]]=0,"",Table1[[#This Row],[UNIT PRICE]]*Table1[[#This Row],[QUANTITY]])</f>
        <v/>
      </c>
      <c r="S1320" s="89"/>
      <c r="T1320" s="38"/>
      <c r="U1320" s="43"/>
      <c r="V1320" s="42" t="str">
        <f>IF(Table1[[#This Row],[DATE]]=0,"",YEAR(E1320))</f>
        <v/>
      </c>
      <c r="W1320" s="40" t="str">
        <f t="shared" si="42"/>
        <v/>
      </c>
      <c r="X1320" s="40" t="str">
        <f t="shared" si="43"/>
        <v/>
      </c>
      <c r="Y1320" s="40" t="str">
        <f>TEXT(Table1[[#This Row],[YEAR]],"0000")&amp;"-"&amp;Table1[[#This Row],[MONTH]]</f>
        <v>-</v>
      </c>
    </row>
    <row r="1321" spans="1:25" ht="15" customHeight="1" x14ac:dyDescent="0.35">
      <c r="A1321" s="24"/>
      <c r="B1321" s="38"/>
      <c r="C1321" s="38"/>
      <c r="D1321" s="38"/>
      <c r="E1321" s="37"/>
      <c r="F1321" s="38"/>
      <c r="G1321" s="198"/>
      <c r="H1321" s="198"/>
      <c r="I1321" s="39"/>
      <c r="J1321" s="38"/>
      <c r="K1321" s="198"/>
      <c r="L1321" s="38"/>
      <c r="M1321" s="38"/>
      <c r="N1321" s="38"/>
      <c r="O1321" s="38"/>
      <c r="P1321" s="40" t="str" cm="1">
        <f t="array" ref="P1321">IF(N1321="","",IFERROR(_xlfn.XLOOKUP(F1321&amp;"|"&amp;J1321&amp;"|"&amp;O1321,PRICES!$C$2:$C$659&amp;"|"&amp;PRICES!$B$2:$B$659&amp;"|"&amp;PRICES!$D$2:$D$659,PRICES!$E$2:$E$659),"Not Found"))</f>
        <v/>
      </c>
      <c r="Q1321" s="100" t="str">
        <f>IF(N1321=0,"",SUMIFS(PRICES!$G$2:$G$658,PRICES!$B$2:$B$658,'MAIN TABLE-1 AUTOMATED'!J1321,PRICES!$C$2:$C$658,'MAIN TABLE-1 AUTOMATED'!F1321,PRICES!$D$2:$D$658,'MAIN TABLE-1 AUTOMATED'!O1321))</f>
        <v/>
      </c>
      <c r="R1321" s="41" t="str">
        <f>IF(Table1[[#This Row],[QUANTITY]]=0,"",Table1[[#This Row],[UNIT PRICE]]*Table1[[#This Row],[QUANTITY]])</f>
        <v/>
      </c>
      <c r="S1321" s="89"/>
      <c r="T1321" s="38"/>
      <c r="U1321" s="43"/>
      <c r="V1321" s="42" t="str">
        <f>IF(Table1[[#This Row],[DATE]]=0,"",YEAR(E1321))</f>
        <v/>
      </c>
      <c r="W1321" s="40" t="str">
        <f t="shared" si="42"/>
        <v/>
      </c>
      <c r="X1321" s="40" t="str">
        <f t="shared" si="43"/>
        <v/>
      </c>
      <c r="Y1321" s="40" t="str">
        <f>TEXT(Table1[[#This Row],[YEAR]],"0000")&amp;"-"&amp;Table1[[#This Row],[MONTH]]</f>
        <v>-</v>
      </c>
    </row>
    <row r="1322" spans="1:25" ht="15" customHeight="1" x14ac:dyDescent="0.35">
      <c r="A1322" s="24"/>
      <c r="B1322" s="38"/>
      <c r="C1322" s="38"/>
      <c r="D1322" s="38"/>
      <c r="E1322" s="37"/>
      <c r="F1322" s="38"/>
      <c r="G1322" s="198"/>
      <c r="H1322" s="198"/>
      <c r="I1322" s="39"/>
      <c r="J1322" s="38"/>
      <c r="K1322" s="198"/>
      <c r="L1322" s="38"/>
      <c r="M1322" s="38"/>
      <c r="N1322" s="38"/>
      <c r="O1322" s="38"/>
      <c r="P1322" s="40" t="str" cm="1">
        <f t="array" ref="P1322">IF(N1322="","",IFERROR(_xlfn.XLOOKUP(F1322&amp;"|"&amp;J1322&amp;"|"&amp;O1322,PRICES!$C$2:$C$659&amp;"|"&amp;PRICES!$B$2:$B$659&amp;"|"&amp;PRICES!$D$2:$D$659,PRICES!$E$2:$E$659),"Not Found"))</f>
        <v/>
      </c>
      <c r="Q1322" s="100" t="str">
        <f>IF(N1322=0,"",SUMIFS(PRICES!$G$2:$G$658,PRICES!$B$2:$B$658,'MAIN TABLE-1 AUTOMATED'!J1322,PRICES!$C$2:$C$658,'MAIN TABLE-1 AUTOMATED'!F1322,PRICES!$D$2:$D$658,'MAIN TABLE-1 AUTOMATED'!O1322))</f>
        <v/>
      </c>
      <c r="R1322" s="41" t="str">
        <f>IF(Table1[[#This Row],[QUANTITY]]=0,"",Table1[[#This Row],[UNIT PRICE]]*Table1[[#This Row],[QUANTITY]])</f>
        <v/>
      </c>
      <c r="S1322" s="89"/>
      <c r="T1322" s="38"/>
      <c r="U1322" s="43"/>
      <c r="V1322" s="42" t="str">
        <f>IF(Table1[[#This Row],[DATE]]=0,"",YEAR(E1322))</f>
        <v/>
      </c>
      <c r="W1322" s="40" t="str">
        <f t="shared" si="42"/>
        <v/>
      </c>
      <c r="X1322" s="40" t="str">
        <f t="shared" si="43"/>
        <v/>
      </c>
      <c r="Y1322" s="40" t="str">
        <f>TEXT(Table1[[#This Row],[YEAR]],"0000")&amp;"-"&amp;Table1[[#This Row],[MONTH]]</f>
        <v>-</v>
      </c>
    </row>
    <row r="1323" spans="1:25" ht="15" customHeight="1" x14ac:dyDescent="0.35">
      <c r="A1323" s="24"/>
      <c r="B1323" s="38"/>
      <c r="C1323" s="38"/>
      <c r="D1323" s="38"/>
      <c r="E1323" s="37"/>
      <c r="F1323" s="38"/>
      <c r="G1323" s="198"/>
      <c r="H1323" s="198"/>
      <c r="I1323" s="39"/>
      <c r="J1323" s="38"/>
      <c r="K1323" s="198"/>
      <c r="L1323" s="38"/>
      <c r="M1323" s="38"/>
      <c r="N1323" s="38"/>
      <c r="O1323" s="38"/>
      <c r="P1323" s="40" t="str" cm="1">
        <f t="array" ref="P1323">IF(N1323="","",IFERROR(_xlfn.XLOOKUP(F1323&amp;"|"&amp;J1323&amp;"|"&amp;O1323,PRICES!$C$2:$C$659&amp;"|"&amp;PRICES!$B$2:$B$659&amp;"|"&amp;PRICES!$D$2:$D$659,PRICES!$E$2:$E$659),"Not Found"))</f>
        <v/>
      </c>
      <c r="Q1323" s="100" t="str">
        <f>IF(N1323=0,"",SUMIFS(PRICES!$G$2:$G$658,PRICES!$B$2:$B$658,'MAIN TABLE-1 AUTOMATED'!J1323,PRICES!$C$2:$C$658,'MAIN TABLE-1 AUTOMATED'!F1323,PRICES!$D$2:$D$658,'MAIN TABLE-1 AUTOMATED'!O1323))</f>
        <v/>
      </c>
      <c r="R1323" s="41" t="str">
        <f>IF(Table1[[#This Row],[QUANTITY]]=0,"",Table1[[#This Row],[UNIT PRICE]]*Table1[[#This Row],[QUANTITY]])</f>
        <v/>
      </c>
      <c r="S1323" s="89"/>
      <c r="T1323" s="38"/>
      <c r="U1323" s="43"/>
      <c r="V1323" s="42" t="str">
        <f>IF(Table1[[#This Row],[DATE]]=0,"",YEAR(E1323))</f>
        <v/>
      </c>
      <c r="W1323" s="40" t="str">
        <f t="shared" si="42"/>
        <v/>
      </c>
      <c r="X1323" s="40" t="str">
        <f t="shared" si="43"/>
        <v/>
      </c>
      <c r="Y1323" s="40" t="str">
        <f>TEXT(Table1[[#This Row],[YEAR]],"0000")&amp;"-"&amp;Table1[[#This Row],[MONTH]]</f>
        <v>-</v>
      </c>
    </row>
    <row r="1324" spans="1:25" ht="15" customHeight="1" x14ac:dyDescent="0.35">
      <c r="A1324" s="24"/>
      <c r="B1324" s="38"/>
      <c r="C1324" s="38"/>
      <c r="D1324" s="38"/>
      <c r="E1324" s="37"/>
      <c r="F1324" s="38"/>
      <c r="G1324" s="198"/>
      <c r="H1324" s="198"/>
      <c r="I1324" s="39"/>
      <c r="J1324" s="38"/>
      <c r="K1324" s="198"/>
      <c r="L1324" s="38"/>
      <c r="M1324" s="38"/>
      <c r="N1324" s="38"/>
      <c r="O1324" s="38"/>
      <c r="P1324" s="40" t="str" cm="1">
        <f t="array" ref="P1324">IF(N1324="","",IFERROR(_xlfn.XLOOKUP(F1324&amp;"|"&amp;J1324&amp;"|"&amp;O1324,PRICES!$C$2:$C$659&amp;"|"&amp;PRICES!$B$2:$B$659&amp;"|"&amp;PRICES!$D$2:$D$659,PRICES!$E$2:$E$659),"Not Found"))</f>
        <v/>
      </c>
      <c r="Q1324" s="100" t="str">
        <f>IF(N1324=0,"",SUMIFS(PRICES!$G$2:$G$658,PRICES!$B$2:$B$658,'MAIN TABLE-1 AUTOMATED'!J1324,PRICES!$C$2:$C$658,'MAIN TABLE-1 AUTOMATED'!F1324,PRICES!$D$2:$D$658,'MAIN TABLE-1 AUTOMATED'!O1324))</f>
        <v/>
      </c>
      <c r="R1324" s="41" t="str">
        <f>IF(Table1[[#This Row],[QUANTITY]]=0,"",Table1[[#This Row],[UNIT PRICE]]*Table1[[#This Row],[QUANTITY]])</f>
        <v/>
      </c>
      <c r="S1324" s="89"/>
      <c r="T1324" s="38"/>
      <c r="U1324" s="43"/>
      <c r="V1324" s="42" t="str">
        <f>IF(Table1[[#This Row],[DATE]]=0,"",YEAR(E1324))</f>
        <v/>
      </c>
      <c r="W1324" s="40" t="str">
        <f t="shared" si="42"/>
        <v/>
      </c>
      <c r="X1324" s="40" t="str">
        <f t="shared" si="43"/>
        <v/>
      </c>
      <c r="Y1324" s="40" t="str">
        <f>TEXT(Table1[[#This Row],[YEAR]],"0000")&amp;"-"&amp;Table1[[#This Row],[MONTH]]</f>
        <v>-</v>
      </c>
    </row>
    <row r="1325" spans="1:25" ht="15" customHeight="1" x14ac:dyDescent="0.35">
      <c r="A1325" s="24"/>
      <c r="B1325" s="38"/>
      <c r="C1325" s="38"/>
      <c r="D1325" s="38"/>
      <c r="E1325" s="37"/>
      <c r="F1325" s="38"/>
      <c r="G1325" s="198"/>
      <c r="H1325" s="198"/>
      <c r="I1325" s="39"/>
      <c r="J1325" s="38"/>
      <c r="K1325" s="198"/>
      <c r="L1325" s="38"/>
      <c r="M1325" s="38"/>
      <c r="N1325" s="38"/>
      <c r="O1325" s="38"/>
      <c r="P1325" s="40" t="str" cm="1">
        <f t="array" ref="P1325">IF(N1325="","",IFERROR(_xlfn.XLOOKUP(F1325&amp;"|"&amp;J1325&amp;"|"&amp;O1325,PRICES!$C$2:$C$659&amp;"|"&amp;PRICES!$B$2:$B$659&amp;"|"&amp;PRICES!$D$2:$D$659,PRICES!$E$2:$E$659),"Not Found"))</f>
        <v/>
      </c>
      <c r="Q1325" s="100" t="str">
        <f>IF(N1325=0,"",SUMIFS(PRICES!$G$2:$G$658,PRICES!$B$2:$B$658,'MAIN TABLE-1 AUTOMATED'!J1325,PRICES!$C$2:$C$658,'MAIN TABLE-1 AUTOMATED'!F1325,PRICES!$D$2:$D$658,'MAIN TABLE-1 AUTOMATED'!O1325))</f>
        <v/>
      </c>
      <c r="R1325" s="41" t="str">
        <f>IF(Table1[[#This Row],[QUANTITY]]=0,"",Table1[[#This Row],[UNIT PRICE]]*Table1[[#This Row],[QUANTITY]])</f>
        <v/>
      </c>
      <c r="S1325" s="89"/>
      <c r="T1325" s="38"/>
      <c r="U1325" s="43"/>
      <c r="V1325" s="42" t="str">
        <f>IF(Table1[[#This Row],[DATE]]=0,"",YEAR(E1325))</f>
        <v/>
      </c>
      <c r="W1325" s="40" t="str">
        <f t="shared" si="42"/>
        <v/>
      </c>
      <c r="X1325" s="40" t="str">
        <f t="shared" si="43"/>
        <v/>
      </c>
      <c r="Y1325" s="40" t="str">
        <f>TEXT(Table1[[#This Row],[YEAR]],"0000")&amp;"-"&amp;Table1[[#This Row],[MONTH]]</f>
        <v>-</v>
      </c>
    </row>
    <row r="1326" spans="1:25" ht="15" customHeight="1" x14ac:dyDescent="0.35">
      <c r="A1326" s="24"/>
      <c r="B1326" s="38"/>
      <c r="C1326" s="38"/>
      <c r="D1326" s="38"/>
      <c r="E1326" s="37"/>
      <c r="F1326" s="38"/>
      <c r="G1326" s="198"/>
      <c r="H1326" s="198"/>
      <c r="I1326" s="39"/>
      <c r="J1326" s="38"/>
      <c r="K1326" s="198"/>
      <c r="L1326" s="38"/>
      <c r="M1326" s="38"/>
      <c r="N1326" s="38"/>
      <c r="O1326" s="38"/>
      <c r="P1326" s="40" t="str" cm="1">
        <f t="array" ref="P1326">IF(N1326="","",IFERROR(_xlfn.XLOOKUP(F1326&amp;"|"&amp;J1326&amp;"|"&amp;O1326,PRICES!$C$2:$C$659&amp;"|"&amp;PRICES!$B$2:$B$659&amp;"|"&amp;PRICES!$D$2:$D$659,PRICES!$E$2:$E$659),"Not Found"))</f>
        <v/>
      </c>
      <c r="Q1326" s="100" t="str">
        <f>IF(N1326=0,"",SUMIFS(PRICES!$G$2:$G$658,PRICES!$B$2:$B$658,'MAIN TABLE-1 AUTOMATED'!J1326,PRICES!$C$2:$C$658,'MAIN TABLE-1 AUTOMATED'!F1326,PRICES!$D$2:$D$658,'MAIN TABLE-1 AUTOMATED'!O1326))</f>
        <v/>
      </c>
      <c r="R1326" s="41" t="str">
        <f>IF(Table1[[#This Row],[QUANTITY]]=0,"",Table1[[#This Row],[UNIT PRICE]]*Table1[[#This Row],[QUANTITY]])</f>
        <v/>
      </c>
      <c r="S1326" s="89"/>
      <c r="T1326" s="38"/>
      <c r="U1326" s="43"/>
      <c r="V1326" s="42" t="str">
        <f>IF(Table1[[#This Row],[DATE]]=0,"",YEAR(E1326))</f>
        <v/>
      </c>
      <c r="W1326" s="40" t="str">
        <f t="shared" si="42"/>
        <v/>
      </c>
      <c r="X1326" s="40" t="str">
        <f t="shared" si="43"/>
        <v/>
      </c>
      <c r="Y1326" s="40" t="str">
        <f>TEXT(Table1[[#This Row],[YEAR]],"0000")&amp;"-"&amp;Table1[[#This Row],[MONTH]]</f>
        <v>-</v>
      </c>
    </row>
    <row r="1327" spans="1:25" ht="15" customHeight="1" x14ac:dyDescent="0.35">
      <c r="A1327" s="24"/>
      <c r="B1327" s="38"/>
      <c r="C1327" s="38"/>
      <c r="D1327" s="38"/>
      <c r="E1327" s="37"/>
      <c r="F1327" s="38"/>
      <c r="G1327" s="198"/>
      <c r="H1327" s="198"/>
      <c r="I1327" s="39"/>
      <c r="J1327" s="38"/>
      <c r="K1327" s="198"/>
      <c r="L1327" s="38"/>
      <c r="M1327" s="38"/>
      <c r="N1327" s="38"/>
      <c r="O1327" s="38"/>
      <c r="P1327" s="40" t="str" cm="1">
        <f t="array" ref="P1327">IF(N1327="","",IFERROR(_xlfn.XLOOKUP(F1327&amp;"|"&amp;J1327&amp;"|"&amp;O1327,PRICES!$C$2:$C$659&amp;"|"&amp;PRICES!$B$2:$B$659&amp;"|"&amp;PRICES!$D$2:$D$659,PRICES!$E$2:$E$659),"Not Found"))</f>
        <v/>
      </c>
      <c r="Q1327" s="100" t="str">
        <f>IF(N1327=0,"",SUMIFS(PRICES!$G$2:$G$658,PRICES!$B$2:$B$658,'MAIN TABLE-1 AUTOMATED'!J1327,PRICES!$C$2:$C$658,'MAIN TABLE-1 AUTOMATED'!F1327,PRICES!$D$2:$D$658,'MAIN TABLE-1 AUTOMATED'!O1327))</f>
        <v/>
      </c>
      <c r="R1327" s="41" t="str">
        <f>IF(Table1[[#This Row],[QUANTITY]]=0,"",Table1[[#This Row],[UNIT PRICE]]*Table1[[#This Row],[QUANTITY]])</f>
        <v/>
      </c>
      <c r="S1327" s="89"/>
      <c r="T1327" s="38"/>
      <c r="U1327" s="43"/>
      <c r="V1327" s="42" t="str">
        <f>IF(Table1[[#This Row],[DATE]]=0,"",YEAR(E1327))</f>
        <v/>
      </c>
      <c r="W1327" s="40" t="str">
        <f t="shared" si="42"/>
        <v/>
      </c>
      <c r="X1327" s="40" t="str">
        <f t="shared" si="43"/>
        <v/>
      </c>
      <c r="Y1327" s="40" t="str">
        <f>TEXT(Table1[[#This Row],[YEAR]],"0000")&amp;"-"&amp;Table1[[#This Row],[MONTH]]</f>
        <v>-</v>
      </c>
    </row>
    <row r="1328" spans="1:25" ht="15" customHeight="1" x14ac:dyDescent="0.35">
      <c r="A1328" s="24"/>
      <c r="B1328" s="38"/>
      <c r="C1328" s="38"/>
      <c r="D1328" s="38"/>
      <c r="E1328" s="37"/>
      <c r="F1328" s="38"/>
      <c r="G1328" s="198"/>
      <c r="H1328" s="198"/>
      <c r="I1328" s="39"/>
      <c r="J1328" s="38"/>
      <c r="K1328" s="198"/>
      <c r="L1328" s="38"/>
      <c r="M1328" s="38"/>
      <c r="N1328" s="38"/>
      <c r="O1328" s="38"/>
      <c r="P1328" s="40" t="str" cm="1">
        <f t="array" ref="P1328">IF(N1328="","",IFERROR(_xlfn.XLOOKUP(F1328&amp;"|"&amp;J1328&amp;"|"&amp;O1328,PRICES!$C$2:$C$659&amp;"|"&amp;PRICES!$B$2:$B$659&amp;"|"&amp;PRICES!$D$2:$D$659,PRICES!$E$2:$E$659),"Not Found"))</f>
        <v/>
      </c>
      <c r="Q1328" s="100" t="str">
        <f>IF(N1328=0,"",SUMIFS(PRICES!$G$2:$G$658,PRICES!$B$2:$B$658,'MAIN TABLE-1 AUTOMATED'!J1328,PRICES!$C$2:$C$658,'MAIN TABLE-1 AUTOMATED'!F1328,PRICES!$D$2:$D$658,'MAIN TABLE-1 AUTOMATED'!O1328))</f>
        <v/>
      </c>
      <c r="R1328" s="41" t="str">
        <f>IF(Table1[[#This Row],[QUANTITY]]=0,"",Table1[[#This Row],[UNIT PRICE]]*Table1[[#This Row],[QUANTITY]])</f>
        <v/>
      </c>
      <c r="S1328" s="89"/>
      <c r="T1328" s="38"/>
      <c r="U1328" s="43"/>
      <c r="V1328" s="42" t="str">
        <f>IF(Table1[[#This Row],[DATE]]=0,"",YEAR(E1328))</f>
        <v/>
      </c>
      <c r="W1328" s="40" t="str">
        <f t="shared" si="42"/>
        <v/>
      </c>
      <c r="X1328" s="40" t="str">
        <f t="shared" si="43"/>
        <v/>
      </c>
      <c r="Y1328" s="40" t="str">
        <f>TEXT(Table1[[#This Row],[YEAR]],"0000")&amp;"-"&amp;Table1[[#This Row],[MONTH]]</f>
        <v>-</v>
      </c>
    </row>
    <row r="1329" spans="1:25" ht="15" customHeight="1" x14ac:dyDescent="0.35">
      <c r="A1329" s="24"/>
      <c r="B1329" s="38"/>
      <c r="C1329" s="38"/>
      <c r="D1329" s="38"/>
      <c r="E1329" s="37"/>
      <c r="F1329" s="38"/>
      <c r="G1329" s="198"/>
      <c r="H1329" s="198"/>
      <c r="I1329" s="39"/>
      <c r="J1329" s="38"/>
      <c r="K1329" s="198"/>
      <c r="L1329" s="38"/>
      <c r="M1329" s="38"/>
      <c r="N1329" s="38"/>
      <c r="O1329" s="38"/>
      <c r="P1329" s="40" t="str" cm="1">
        <f t="array" ref="P1329">IF(N1329="","",IFERROR(_xlfn.XLOOKUP(F1329&amp;"|"&amp;J1329&amp;"|"&amp;O1329,PRICES!$C$2:$C$659&amp;"|"&amp;PRICES!$B$2:$B$659&amp;"|"&amp;PRICES!$D$2:$D$659,PRICES!$E$2:$E$659),"Not Found"))</f>
        <v/>
      </c>
      <c r="Q1329" s="100" t="str">
        <f>IF(N1329=0,"",SUMIFS(PRICES!$G$2:$G$658,PRICES!$B$2:$B$658,'MAIN TABLE-1 AUTOMATED'!J1329,PRICES!$C$2:$C$658,'MAIN TABLE-1 AUTOMATED'!F1329,PRICES!$D$2:$D$658,'MAIN TABLE-1 AUTOMATED'!O1329))</f>
        <v/>
      </c>
      <c r="R1329" s="41" t="str">
        <f>IF(Table1[[#This Row],[QUANTITY]]=0,"",Table1[[#This Row],[UNIT PRICE]]*Table1[[#This Row],[QUANTITY]])</f>
        <v/>
      </c>
      <c r="S1329" s="89"/>
      <c r="T1329" s="38"/>
      <c r="U1329" s="43"/>
      <c r="V1329" s="42" t="str">
        <f>IF(Table1[[#This Row],[DATE]]=0,"",YEAR(E1329))</f>
        <v/>
      </c>
      <c r="W1329" s="40" t="str">
        <f t="shared" si="42"/>
        <v/>
      </c>
      <c r="X1329" s="40" t="str">
        <f t="shared" si="43"/>
        <v/>
      </c>
      <c r="Y1329" s="40" t="str">
        <f>TEXT(Table1[[#This Row],[YEAR]],"0000")&amp;"-"&amp;Table1[[#This Row],[MONTH]]</f>
        <v>-</v>
      </c>
    </row>
    <row r="1330" spans="1:25" ht="15" customHeight="1" x14ac:dyDescent="0.35">
      <c r="A1330" s="24"/>
      <c r="B1330" s="38"/>
      <c r="C1330" s="38"/>
      <c r="D1330" s="38"/>
      <c r="E1330" s="37"/>
      <c r="F1330" s="38"/>
      <c r="G1330" s="198"/>
      <c r="H1330" s="198"/>
      <c r="I1330" s="39"/>
      <c r="J1330" s="38"/>
      <c r="K1330" s="198"/>
      <c r="L1330" s="38"/>
      <c r="M1330" s="38"/>
      <c r="N1330" s="38"/>
      <c r="O1330" s="38"/>
      <c r="P1330" s="40" t="str" cm="1">
        <f t="array" ref="P1330">IF(N1330="","",IFERROR(_xlfn.XLOOKUP(F1330&amp;"|"&amp;J1330&amp;"|"&amp;O1330,PRICES!$C$2:$C$659&amp;"|"&amp;PRICES!$B$2:$B$659&amp;"|"&amp;PRICES!$D$2:$D$659,PRICES!$E$2:$E$659),"Not Found"))</f>
        <v/>
      </c>
      <c r="Q1330" s="100" t="str">
        <f>IF(N1330=0,"",SUMIFS(PRICES!$G$2:$G$658,PRICES!$B$2:$B$658,'MAIN TABLE-1 AUTOMATED'!J1330,PRICES!$C$2:$C$658,'MAIN TABLE-1 AUTOMATED'!F1330,PRICES!$D$2:$D$658,'MAIN TABLE-1 AUTOMATED'!O1330))</f>
        <v/>
      </c>
      <c r="R1330" s="41" t="str">
        <f>IF(Table1[[#This Row],[QUANTITY]]=0,"",Table1[[#This Row],[UNIT PRICE]]*Table1[[#This Row],[QUANTITY]])</f>
        <v/>
      </c>
      <c r="S1330" s="89"/>
      <c r="T1330" s="38"/>
      <c r="U1330" s="43"/>
      <c r="V1330" s="42" t="str">
        <f>IF(Table1[[#This Row],[DATE]]=0,"",YEAR(E1330))</f>
        <v/>
      </c>
      <c r="W1330" s="40" t="str">
        <f t="shared" si="42"/>
        <v/>
      </c>
      <c r="X1330" s="40" t="str">
        <f t="shared" si="43"/>
        <v/>
      </c>
      <c r="Y1330" s="40" t="str">
        <f>TEXT(Table1[[#This Row],[YEAR]],"0000")&amp;"-"&amp;Table1[[#This Row],[MONTH]]</f>
        <v>-</v>
      </c>
    </row>
    <row r="1331" spans="1:25" ht="15" customHeight="1" x14ac:dyDescent="0.35">
      <c r="A1331" s="24"/>
      <c r="B1331" s="38"/>
      <c r="C1331" s="38"/>
      <c r="D1331" s="38"/>
      <c r="E1331" s="37"/>
      <c r="F1331" s="38"/>
      <c r="G1331" s="198"/>
      <c r="H1331" s="198"/>
      <c r="I1331" s="39"/>
      <c r="J1331" s="38"/>
      <c r="K1331" s="198"/>
      <c r="L1331" s="38"/>
      <c r="M1331" s="38"/>
      <c r="N1331" s="38"/>
      <c r="O1331" s="38"/>
      <c r="P1331" s="40" t="str" cm="1">
        <f t="array" ref="P1331">IF(N1331="","",IFERROR(_xlfn.XLOOKUP(F1331&amp;"|"&amp;J1331&amp;"|"&amp;O1331,PRICES!$C$2:$C$659&amp;"|"&amp;PRICES!$B$2:$B$659&amp;"|"&amp;PRICES!$D$2:$D$659,PRICES!$E$2:$E$659),"Not Found"))</f>
        <v/>
      </c>
      <c r="Q1331" s="100" t="str">
        <f>IF(N1331=0,"",SUMIFS(PRICES!$G$2:$G$658,PRICES!$B$2:$B$658,'MAIN TABLE-1 AUTOMATED'!J1331,PRICES!$C$2:$C$658,'MAIN TABLE-1 AUTOMATED'!F1331,PRICES!$D$2:$D$658,'MAIN TABLE-1 AUTOMATED'!O1331))</f>
        <v/>
      </c>
      <c r="R1331" s="41" t="str">
        <f>IF(Table1[[#This Row],[QUANTITY]]=0,"",Table1[[#This Row],[UNIT PRICE]]*Table1[[#This Row],[QUANTITY]])</f>
        <v/>
      </c>
      <c r="S1331" s="89"/>
      <c r="T1331" s="38"/>
      <c r="U1331" s="43"/>
      <c r="V1331" s="42" t="str">
        <f>IF(Table1[[#This Row],[DATE]]=0,"",YEAR(E1331))</f>
        <v/>
      </c>
      <c r="W1331" s="40" t="str">
        <f t="shared" si="42"/>
        <v/>
      </c>
      <c r="X1331" s="40" t="str">
        <f t="shared" si="43"/>
        <v/>
      </c>
      <c r="Y1331" s="40" t="str">
        <f>TEXT(Table1[[#This Row],[YEAR]],"0000")&amp;"-"&amp;Table1[[#This Row],[MONTH]]</f>
        <v>-</v>
      </c>
    </row>
    <row r="1332" spans="1:25" ht="15" customHeight="1" x14ac:dyDescent="0.35">
      <c r="A1332" s="24"/>
      <c r="B1332" s="38"/>
      <c r="C1332" s="38"/>
      <c r="D1332" s="38"/>
      <c r="E1332" s="37"/>
      <c r="F1332" s="38"/>
      <c r="G1332" s="198"/>
      <c r="H1332" s="198"/>
      <c r="I1332" s="39"/>
      <c r="J1332" s="38"/>
      <c r="K1332" s="198"/>
      <c r="L1332" s="38"/>
      <c r="M1332" s="38"/>
      <c r="N1332" s="38"/>
      <c r="O1332" s="38"/>
      <c r="P1332" s="40" t="str" cm="1">
        <f t="array" ref="P1332">IF(N1332="","",IFERROR(_xlfn.XLOOKUP(F1332&amp;"|"&amp;J1332&amp;"|"&amp;O1332,PRICES!$C$2:$C$659&amp;"|"&amp;PRICES!$B$2:$B$659&amp;"|"&amp;PRICES!$D$2:$D$659,PRICES!$E$2:$E$659),"Not Found"))</f>
        <v/>
      </c>
      <c r="Q1332" s="100" t="str">
        <f>IF(N1332=0,"",SUMIFS(PRICES!$G$2:$G$658,PRICES!$B$2:$B$658,'MAIN TABLE-1 AUTOMATED'!J1332,PRICES!$C$2:$C$658,'MAIN TABLE-1 AUTOMATED'!F1332,PRICES!$D$2:$D$658,'MAIN TABLE-1 AUTOMATED'!O1332))</f>
        <v/>
      </c>
      <c r="R1332" s="41" t="str">
        <f>IF(Table1[[#This Row],[QUANTITY]]=0,"",Table1[[#This Row],[UNIT PRICE]]*Table1[[#This Row],[QUANTITY]])</f>
        <v/>
      </c>
      <c r="S1332" s="89"/>
      <c r="T1332" s="38"/>
      <c r="U1332" s="43"/>
      <c r="V1332" s="42" t="str">
        <f>IF(Table1[[#This Row],[DATE]]=0,"",YEAR(E1332))</f>
        <v/>
      </c>
      <c r="W1332" s="40" t="str">
        <f t="shared" si="42"/>
        <v/>
      </c>
      <c r="X1332" s="40" t="str">
        <f t="shared" si="43"/>
        <v/>
      </c>
      <c r="Y1332" s="40" t="str">
        <f>TEXT(Table1[[#This Row],[YEAR]],"0000")&amp;"-"&amp;Table1[[#This Row],[MONTH]]</f>
        <v>-</v>
      </c>
    </row>
    <row r="1333" spans="1:25" ht="15" customHeight="1" x14ac:dyDescent="0.35">
      <c r="A1333" s="24"/>
      <c r="B1333" s="38"/>
      <c r="C1333" s="38"/>
      <c r="D1333" s="38"/>
      <c r="E1333" s="37"/>
      <c r="F1333" s="38"/>
      <c r="G1333" s="198"/>
      <c r="H1333" s="198"/>
      <c r="I1333" s="39"/>
      <c r="J1333" s="38"/>
      <c r="K1333" s="198"/>
      <c r="L1333" s="38"/>
      <c r="M1333" s="38"/>
      <c r="N1333" s="38"/>
      <c r="O1333" s="38"/>
      <c r="P1333" s="40" t="str" cm="1">
        <f t="array" ref="P1333">IF(N1333="","",IFERROR(_xlfn.XLOOKUP(F1333&amp;"|"&amp;J1333&amp;"|"&amp;O1333,PRICES!$C$2:$C$659&amp;"|"&amp;PRICES!$B$2:$B$659&amp;"|"&amp;PRICES!$D$2:$D$659,PRICES!$E$2:$E$659),"Not Found"))</f>
        <v/>
      </c>
      <c r="Q1333" s="100" t="str">
        <f>IF(N1333=0,"",SUMIFS(PRICES!$G$2:$G$658,PRICES!$B$2:$B$658,'MAIN TABLE-1 AUTOMATED'!J1333,PRICES!$C$2:$C$658,'MAIN TABLE-1 AUTOMATED'!F1333,PRICES!$D$2:$D$658,'MAIN TABLE-1 AUTOMATED'!O1333))</f>
        <v/>
      </c>
      <c r="R1333" s="41" t="str">
        <f>IF(Table1[[#This Row],[QUANTITY]]=0,"",Table1[[#This Row],[UNIT PRICE]]*Table1[[#This Row],[QUANTITY]])</f>
        <v/>
      </c>
      <c r="S1333" s="89"/>
      <c r="T1333" s="38"/>
      <c r="U1333" s="43"/>
      <c r="V1333" s="42" t="str">
        <f>IF(Table1[[#This Row],[DATE]]=0,"",YEAR(E1333))</f>
        <v/>
      </c>
      <c r="W1333" s="40" t="str">
        <f t="shared" si="42"/>
        <v/>
      </c>
      <c r="X1333" s="40" t="str">
        <f t="shared" si="43"/>
        <v/>
      </c>
      <c r="Y1333" s="40" t="str">
        <f>TEXT(Table1[[#This Row],[YEAR]],"0000")&amp;"-"&amp;Table1[[#This Row],[MONTH]]</f>
        <v>-</v>
      </c>
    </row>
    <row r="1334" spans="1:25" ht="15" customHeight="1" x14ac:dyDescent="0.35">
      <c r="A1334" s="24"/>
      <c r="B1334" s="38"/>
      <c r="C1334" s="38"/>
      <c r="D1334" s="38"/>
      <c r="E1334" s="37"/>
      <c r="F1334" s="38"/>
      <c r="G1334" s="198"/>
      <c r="H1334" s="198"/>
      <c r="I1334" s="39"/>
      <c r="J1334" s="38"/>
      <c r="K1334" s="198"/>
      <c r="L1334" s="38"/>
      <c r="M1334" s="38"/>
      <c r="N1334" s="38"/>
      <c r="O1334" s="38"/>
      <c r="P1334" s="40" t="str" cm="1">
        <f t="array" ref="P1334">IF(N1334="","",IFERROR(_xlfn.XLOOKUP(F1334&amp;"|"&amp;J1334&amp;"|"&amp;O1334,PRICES!$C$2:$C$659&amp;"|"&amp;PRICES!$B$2:$B$659&amp;"|"&amp;PRICES!$D$2:$D$659,PRICES!$E$2:$E$659),"Not Found"))</f>
        <v/>
      </c>
      <c r="Q1334" s="100" t="str">
        <f>IF(N1334=0,"",SUMIFS(PRICES!$G$2:$G$658,PRICES!$B$2:$B$658,'MAIN TABLE-1 AUTOMATED'!J1334,PRICES!$C$2:$C$658,'MAIN TABLE-1 AUTOMATED'!F1334,PRICES!$D$2:$D$658,'MAIN TABLE-1 AUTOMATED'!O1334))</f>
        <v/>
      </c>
      <c r="R1334" s="41" t="str">
        <f>IF(Table1[[#This Row],[QUANTITY]]=0,"",Table1[[#This Row],[UNIT PRICE]]*Table1[[#This Row],[QUANTITY]])</f>
        <v/>
      </c>
      <c r="S1334" s="89"/>
      <c r="T1334" s="38"/>
      <c r="U1334" s="43"/>
      <c r="V1334" s="42" t="str">
        <f>IF(Table1[[#This Row],[DATE]]=0,"",YEAR(E1334))</f>
        <v/>
      </c>
      <c r="W1334" s="40" t="str">
        <f t="shared" si="42"/>
        <v/>
      </c>
      <c r="X1334" s="40" t="str">
        <f t="shared" si="43"/>
        <v/>
      </c>
      <c r="Y1334" s="40" t="str">
        <f>TEXT(Table1[[#This Row],[YEAR]],"0000")&amp;"-"&amp;Table1[[#This Row],[MONTH]]</f>
        <v>-</v>
      </c>
    </row>
    <row r="1335" spans="1:25" ht="15" customHeight="1" x14ac:dyDescent="0.35">
      <c r="A1335" s="24"/>
      <c r="B1335" s="38"/>
      <c r="C1335" s="38"/>
      <c r="D1335" s="38"/>
      <c r="E1335" s="37"/>
      <c r="F1335" s="38"/>
      <c r="G1335" s="198"/>
      <c r="H1335" s="198"/>
      <c r="I1335" s="39"/>
      <c r="J1335" s="38"/>
      <c r="K1335" s="198"/>
      <c r="L1335" s="38"/>
      <c r="M1335" s="38"/>
      <c r="N1335" s="38"/>
      <c r="O1335" s="38"/>
      <c r="P1335" s="40" t="str" cm="1">
        <f t="array" ref="P1335">IF(N1335="","",IFERROR(_xlfn.XLOOKUP(F1335&amp;"|"&amp;J1335&amp;"|"&amp;O1335,PRICES!$C$2:$C$659&amp;"|"&amp;PRICES!$B$2:$B$659&amp;"|"&amp;PRICES!$D$2:$D$659,PRICES!$E$2:$E$659),"Not Found"))</f>
        <v/>
      </c>
      <c r="Q1335" s="100" t="str">
        <f>IF(N1335=0,"",SUMIFS(PRICES!$G$2:$G$658,PRICES!$B$2:$B$658,'MAIN TABLE-1 AUTOMATED'!J1335,PRICES!$C$2:$C$658,'MAIN TABLE-1 AUTOMATED'!F1335,PRICES!$D$2:$D$658,'MAIN TABLE-1 AUTOMATED'!O1335))</f>
        <v/>
      </c>
      <c r="R1335" s="41" t="str">
        <f>IF(Table1[[#This Row],[QUANTITY]]=0,"",Table1[[#This Row],[UNIT PRICE]]*Table1[[#This Row],[QUANTITY]])</f>
        <v/>
      </c>
      <c r="S1335" s="89"/>
      <c r="T1335" s="38"/>
      <c r="U1335" s="43"/>
      <c r="V1335" s="42" t="str">
        <f>IF(Table1[[#This Row],[DATE]]=0,"",YEAR(E1335))</f>
        <v/>
      </c>
      <c r="W1335" s="40" t="str">
        <f t="shared" si="42"/>
        <v/>
      </c>
      <c r="X1335" s="40" t="str">
        <f t="shared" si="43"/>
        <v/>
      </c>
      <c r="Y1335" s="40" t="str">
        <f>TEXT(Table1[[#This Row],[YEAR]],"0000")&amp;"-"&amp;Table1[[#This Row],[MONTH]]</f>
        <v>-</v>
      </c>
    </row>
    <row r="1336" spans="1:25" ht="15" customHeight="1" x14ac:dyDescent="0.35">
      <c r="A1336" s="24"/>
      <c r="B1336" s="38"/>
      <c r="C1336" s="38"/>
      <c r="D1336" s="38"/>
      <c r="E1336" s="37"/>
      <c r="F1336" s="38"/>
      <c r="G1336" s="198"/>
      <c r="H1336" s="198"/>
      <c r="I1336" s="39"/>
      <c r="J1336" s="38"/>
      <c r="K1336" s="198"/>
      <c r="L1336" s="38"/>
      <c r="M1336" s="38"/>
      <c r="N1336" s="38"/>
      <c r="O1336" s="38"/>
      <c r="P1336" s="40" t="str" cm="1">
        <f t="array" ref="P1336">IF(N1336="","",IFERROR(_xlfn.XLOOKUP(F1336&amp;"|"&amp;J1336&amp;"|"&amp;O1336,PRICES!$C$2:$C$659&amp;"|"&amp;PRICES!$B$2:$B$659&amp;"|"&amp;PRICES!$D$2:$D$659,PRICES!$E$2:$E$659),"Not Found"))</f>
        <v/>
      </c>
      <c r="Q1336" s="100" t="str">
        <f>IF(N1336=0,"",SUMIFS(PRICES!$G$2:$G$658,PRICES!$B$2:$B$658,'MAIN TABLE-1 AUTOMATED'!J1336,PRICES!$C$2:$C$658,'MAIN TABLE-1 AUTOMATED'!F1336,PRICES!$D$2:$D$658,'MAIN TABLE-1 AUTOMATED'!O1336))</f>
        <v/>
      </c>
      <c r="R1336" s="41" t="str">
        <f>IF(Table1[[#This Row],[QUANTITY]]=0,"",Table1[[#This Row],[UNIT PRICE]]*Table1[[#This Row],[QUANTITY]])</f>
        <v/>
      </c>
      <c r="S1336" s="89"/>
      <c r="T1336" s="38"/>
      <c r="U1336" s="43"/>
      <c r="V1336" s="42" t="str">
        <f>IF(Table1[[#This Row],[DATE]]=0,"",YEAR(E1336))</f>
        <v/>
      </c>
      <c r="W1336" s="40" t="str">
        <f t="shared" si="42"/>
        <v/>
      </c>
      <c r="X1336" s="40" t="str">
        <f t="shared" si="43"/>
        <v/>
      </c>
      <c r="Y1336" s="40" t="str">
        <f>TEXT(Table1[[#This Row],[YEAR]],"0000")&amp;"-"&amp;Table1[[#This Row],[MONTH]]</f>
        <v>-</v>
      </c>
    </row>
    <row r="1337" spans="1:25" ht="15" customHeight="1" x14ac:dyDescent="0.35">
      <c r="A1337" s="24"/>
      <c r="B1337" s="38"/>
      <c r="C1337" s="38"/>
      <c r="D1337" s="38"/>
      <c r="E1337" s="37"/>
      <c r="F1337" s="38"/>
      <c r="G1337" s="198"/>
      <c r="H1337" s="198"/>
      <c r="I1337" s="39"/>
      <c r="J1337" s="38"/>
      <c r="K1337" s="198"/>
      <c r="L1337" s="38"/>
      <c r="M1337" s="38"/>
      <c r="N1337" s="38"/>
      <c r="O1337" s="38"/>
      <c r="P1337" s="40" t="str" cm="1">
        <f t="array" ref="P1337">IF(N1337="","",IFERROR(_xlfn.XLOOKUP(F1337&amp;"|"&amp;J1337&amp;"|"&amp;O1337,PRICES!$C$2:$C$659&amp;"|"&amp;PRICES!$B$2:$B$659&amp;"|"&amp;PRICES!$D$2:$D$659,PRICES!$E$2:$E$659),"Not Found"))</f>
        <v/>
      </c>
      <c r="Q1337" s="100" t="str">
        <f>IF(N1337=0,"",SUMIFS(PRICES!$G$2:$G$658,PRICES!$B$2:$B$658,'MAIN TABLE-1 AUTOMATED'!J1337,PRICES!$C$2:$C$658,'MAIN TABLE-1 AUTOMATED'!F1337,PRICES!$D$2:$D$658,'MAIN TABLE-1 AUTOMATED'!O1337))</f>
        <v/>
      </c>
      <c r="R1337" s="41" t="str">
        <f>IF(Table1[[#This Row],[QUANTITY]]=0,"",Table1[[#This Row],[UNIT PRICE]]*Table1[[#This Row],[QUANTITY]])</f>
        <v/>
      </c>
      <c r="S1337" s="89"/>
      <c r="T1337" s="38"/>
      <c r="U1337" s="43"/>
      <c r="V1337" s="42" t="str">
        <f>IF(Table1[[#This Row],[DATE]]=0,"",YEAR(E1337))</f>
        <v/>
      </c>
      <c r="W1337" s="40" t="str">
        <f t="shared" si="42"/>
        <v/>
      </c>
      <c r="X1337" s="40" t="str">
        <f t="shared" si="43"/>
        <v/>
      </c>
      <c r="Y1337" s="40" t="str">
        <f>TEXT(Table1[[#This Row],[YEAR]],"0000")&amp;"-"&amp;Table1[[#This Row],[MONTH]]</f>
        <v>-</v>
      </c>
    </row>
    <row r="1338" spans="1:25" ht="15" customHeight="1" x14ac:dyDescent="0.35">
      <c r="A1338" s="24"/>
      <c r="B1338" s="38"/>
      <c r="C1338" s="38"/>
      <c r="D1338" s="38"/>
      <c r="E1338" s="37"/>
      <c r="F1338" s="38"/>
      <c r="G1338" s="198"/>
      <c r="H1338" s="198"/>
      <c r="I1338" s="39"/>
      <c r="J1338" s="38"/>
      <c r="K1338" s="198"/>
      <c r="L1338" s="38"/>
      <c r="M1338" s="38"/>
      <c r="N1338" s="38"/>
      <c r="O1338" s="38"/>
      <c r="P1338" s="40" t="str" cm="1">
        <f t="array" ref="P1338">IF(N1338="","",IFERROR(_xlfn.XLOOKUP(F1338&amp;"|"&amp;J1338&amp;"|"&amp;O1338,PRICES!$C$2:$C$659&amp;"|"&amp;PRICES!$B$2:$B$659&amp;"|"&amp;PRICES!$D$2:$D$659,PRICES!$E$2:$E$659),"Not Found"))</f>
        <v/>
      </c>
      <c r="Q1338" s="100" t="str">
        <f>IF(N1338=0,"",SUMIFS(PRICES!$G$2:$G$658,PRICES!$B$2:$B$658,'MAIN TABLE-1 AUTOMATED'!J1338,PRICES!$C$2:$C$658,'MAIN TABLE-1 AUTOMATED'!F1338,PRICES!$D$2:$D$658,'MAIN TABLE-1 AUTOMATED'!O1338))</f>
        <v/>
      </c>
      <c r="R1338" s="41" t="str">
        <f>IF(Table1[[#This Row],[QUANTITY]]=0,"",Table1[[#This Row],[UNIT PRICE]]*Table1[[#This Row],[QUANTITY]])</f>
        <v/>
      </c>
      <c r="S1338" s="89"/>
      <c r="T1338" s="38"/>
      <c r="U1338" s="43"/>
      <c r="V1338" s="42" t="str">
        <f>IF(Table1[[#This Row],[DATE]]=0,"",YEAR(E1338))</f>
        <v/>
      </c>
      <c r="W1338" s="40" t="str">
        <f t="shared" si="42"/>
        <v/>
      </c>
      <c r="X1338" s="40" t="str">
        <f t="shared" si="43"/>
        <v/>
      </c>
      <c r="Y1338" s="40" t="str">
        <f>TEXT(Table1[[#This Row],[YEAR]],"0000")&amp;"-"&amp;Table1[[#This Row],[MONTH]]</f>
        <v>-</v>
      </c>
    </row>
    <row r="1339" spans="1:25" ht="15" customHeight="1" x14ac:dyDescent="0.35">
      <c r="A1339" s="24"/>
      <c r="B1339" s="38"/>
      <c r="C1339" s="38"/>
      <c r="D1339" s="38"/>
      <c r="E1339" s="37"/>
      <c r="F1339" s="38"/>
      <c r="G1339" s="198"/>
      <c r="H1339" s="198"/>
      <c r="I1339" s="39"/>
      <c r="J1339" s="38"/>
      <c r="K1339" s="198"/>
      <c r="L1339" s="38"/>
      <c r="M1339" s="38"/>
      <c r="N1339" s="38"/>
      <c r="O1339" s="38"/>
      <c r="P1339" s="40" t="str" cm="1">
        <f t="array" ref="P1339">IF(N1339="","",IFERROR(_xlfn.XLOOKUP(F1339&amp;"|"&amp;J1339&amp;"|"&amp;O1339,PRICES!$C$2:$C$659&amp;"|"&amp;PRICES!$B$2:$B$659&amp;"|"&amp;PRICES!$D$2:$D$659,PRICES!$E$2:$E$659),"Not Found"))</f>
        <v/>
      </c>
      <c r="Q1339" s="100" t="str">
        <f>IF(N1339=0,"",SUMIFS(PRICES!$G$2:$G$658,PRICES!$B$2:$B$658,'MAIN TABLE-1 AUTOMATED'!J1339,PRICES!$C$2:$C$658,'MAIN TABLE-1 AUTOMATED'!F1339,PRICES!$D$2:$D$658,'MAIN TABLE-1 AUTOMATED'!O1339))</f>
        <v/>
      </c>
      <c r="R1339" s="41" t="str">
        <f>IF(Table1[[#This Row],[QUANTITY]]=0,"",Table1[[#This Row],[UNIT PRICE]]*Table1[[#This Row],[QUANTITY]])</f>
        <v/>
      </c>
      <c r="S1339" s="89"/>
      <c r="T1339" s="38"/>
      <c r="U1339" s="43"/>
      <c r="V1339" s="42" t="str">
        <f>IF(Table1[[#This Row],[DATE]]=0,"",YEAR(E1339))</f>
        <v/>
      </c>
      <c r="W1339" s="40" t="str">
        <f t="shared" si="42"/>
        <v/>
      </c>
      <c r="X1339" s="40" t="str">
        <f t="shared" si="43"/>
        <v/>
      </c>
      <c r="Y1339" s="40" t="str">
        <f>TEXT(Table1[[#This Row],[YEAR]],"0000")&amp;"-"&amp;Table1[[#This Row],[MONTH]]</f>
        <v>-</v>
      </c>
    </row>
    <row r="1340" spans="1:25" ht="15" customHeight="1" x14ac:dyDescent="0.35">
      <c r="A1340" s="24"/>
      <c r="B1340" s="38"/>
      <c r="C1340" s="38"/>
      <c r="D1340" s="38"/>
      <c r="E1340" s="37"/>
      <c r="F1340" s="38"/>
      <c r="G1340" s="198"/>
      <c r="H1340" s="198"/>
      <c r="I1340" s="39"/>
      <c r="J1340" s="38"/>
      <c r="K1340" s="198"/>
      <c r="L1340" s="38"/>
      <c r="M1340" s="38"/>
      <c r="N1340" s="38"/>
      <c r="O1340" s="38"/>
      <c r="P1340" s="40" t="str" cm="1">
        <f t="array" ref="P1340">IF(N1340="","",IFERROR(_xlfn.XLOOKUP(F1340&amp;"|"&amp;J1340&amp;"|"&amp;O1340,PRICES!$C$2:$C$659&amp;"|"&amp;PRICES!$B$2:$B$659&amp;"|"&amp;PRICES!$D$2:$D$659,PRICES!$E$2:$E$659),"Not Found"))</f>
        <v/>
      </c>
      <c r="Q1340" s="100" t="str">
        <f>IF(N1340=0,"",SUMIFS(PRICES!$G$2:$G$658,PRICES!$B$2:$B$658,'MAIN TABLE-1 AUTOMATED'!J1340,PRICES!$C$2:$C$658,'MAIN TABLE-1 AUTOMATED'!F1340,PRICES!$D$2:$D$658,'MAIN TABLE-1 AUTOMATED'!O1340))</f>
        <v/>
      </c>
      <c r="R1340" s="41" t="str">
        <f>IF(Table1[[#This Row],[QUANTITY]]=0,"",Table1[[#This Row],[UNIT PRICE]]*Table1[[#This Row],[QUANTITY]])</f>
        <v/>
      </c>
      <c r="S1340" s="89"/>
      <c r="T1340" s="38"/>
      <c r="U1340" s="43"/>
      <c r="V1340" s="42" t="str">
        <f>IF(Table1[[#This Row],[DATE]]=0,"",YEAR(E1340))</f>
        <v/>
      </c>
      <c r="W1340" s="40" t="str">
        <f t="shared" si="42"/>
        <v/>
      </c>
      <c r="X1340" s="40" t="str">
        <f t="shared" si="43"/>
        <v/>
      </c>
      <c r="Y1340" s="40" t="str">
        <f>TEXT(Table1[[#This Row],[YEAR]],"0000")&amp;"-"&amp;Table1[[#This Row],[MONTH]]</f>
        <v>-</v>
      </c>
    </row>
    <row r="1341" spans="1:25" ht="15" customHeight="1" x14ac:dyDescent="0.35">
      <c r="A1341" s="24"/>
      <c r="B1341" s="38"/>
      <c r="C1341" s="38"/>
      <c r="D1341" s="38"/>
      <c r="E1341" s="37"/>
      <c r="F1341" s="38"/>
      <c r="G1341" s="198"/>
      <c r="H1341" s="198"/>
      <c r="I1341" s="39"/>
      <c r="J1341" s="38"/>
      <c r="K1341" s="198"/>
      <c r="L1341" s="38"/>
      <c r="M1341" s="38"/>
      <c r="N1341" s="38"/>
      <c r="O1341" s="38"/>
      <c r="P1341" s="40" t="str" cm="1">
        <f t="array" ref="P1341">IF(N1341="","",IFERROR(_xlfn.XLOOKUP(F1341&amp;"|"&amp;J1341&amp;"|"&amp;O1341,PRICES!$C$2:$C$659&amp;"|"&amp;PRICES!$B$2:$B$659&amp;"|"&amp;PRICES!$D$2:$D$659,PRICES!$E$2:$E$659),"Not Found"))</f>
        <v/>
      </c>
      <c r="Q1341" s="100" t="str">
        <f>IF(N1341=0,"",SUMIFS(PRICES!$G$2:$G$658,PRICES!$B$2:$B$658,'MAIN TABLE-1 AUTOMATED'!J1341,PRICES!$C$2:$C$658,'MAIN TABLE-1 AUTOMATED'!F1341,PRICES!$D$2:$D$658,'MAIN TABLE-1 AUTOMATED'!O1341))</f>
        <v/>
      </c>
      <c r="R1341" s="41" t="str">
        <f>IF(Table1[[#This Row],[QUANTITY]]=0,"",Table1[[#This Row],[UNIT PRICE]]*Table1[[#This Row],[QUANTITY]])</f>
        <v/>
      </c>
      <c r="S1341" s="89"/>
      <c r="T1341" s="38"/>
      <c r="U1341" s="43"/>
      <c r="V1341" s="42" t="str">
        <f>IF(Table1[[#This Row],[DATE]]=0,"",YEAR(E1341))</f>
        <v/>
      </c>
      <c r="W1341" s="40" t="str">
        <f t="shared" si="42"/>
        <v/>
      </c>
      <c r="X1341" s="40" t="str">
        <f t="shared" si="43"/>
        <v/>
      </c>
      <c r="Y1341" s="40" t="str">
        <f>TEXT(Table1[[#This Row],[YEAR]],"0000")&amp;"-"&amp;Table1[[#This Row],[MONTH]]</f>
        <v>-</v>
      </c>
    </row>
    <row r="1342" spans="1:25" ht="15" customHeight="1" x14ac:dyDescent="0.35">
      <c r="A1342" s="24"/>
      <c r="B1342" s="38"/>
      <c r="C1342" s="38"/>
      <c r="D1342" s="38"/>
      <c r="E1342" s="37"/>
      <c r="F1342" s="38"/>
      <c r="G1342" s="198"/>
      <c r="H1342" s="198"/>
      <c r="I1342" s="39"/>
      <c r="J1342" s="38"/>
      <c r="K1342" s="198"/>
      <c r="L1342" s="38"/>
      <c r="M1342" s="38"/>
      <c r="N1342" s="38"/>
      <c r="O1342" s="38"/>
      <c r="P1342" s="40" t="str" cm="1">
        <f t="array" ref="P1342">IF(N1342="","",IFERROR(_xlfn.XLOOKUP(F1342&amp;"|"&amp;J1342&amp;"|"&amp;O1342,PRICES!$C$2:$C$659&amp;"|"&amp;PRICES!$B$2:$B$659&amp;"|"&amp;PRICES!$D$2:$D$659,PRICES!$E$2:$E$659),"Not Found"))</f>
        <v/>
      </c>
      <c r="Q1342" s="100" t="str">
        <f>IF(N1342=0,"",SUMIFS(PRICES!$G$2:$G$658,PRICES!$B$2:$B$658,'MAIN TABLE-1 AUTOMATED'!J1342,PRICES!$C$2:$C$658,'MAIN TABLE-1 AUTOMATED'!F1342,PRICES!$D$2:$D$658,'MAIN TABLE-1 AUTOMATED'!O1342))</f>
        <v/>
      </c>
      <c r="R1342" s="41" t="str">
        <f>IF(Table1[[#This Row],[QUANTITY]]=0,"",Table1[[#This Row],[UNIT PRICE]]*Table1[[#This Row],[QUANTITY]])</f>
        <v/>
      </c>
      <c r="S1342" s="89"/>
      <c r="T1342" s="38"/>
      <c r="U1342" s="43"/>
      <c r="V1342" s="42" t="str">
        <f>IF(Table1[[#This Row],[DATE]]=0,"",YEAR(E1342))</f>
        <v/>
      </c>
      <c r="W1342" s="40" t="str">
        <f t="shared" si="42"/>
        <v/>
      </c>
      <c r="X1342" s="40" t="str">
        <f t="shared" si="43"/>
        <v/>
      </c>
      <c r="Y1342" s="40" t="str">
        <f>TEXT(Table1[[#This Row],[YEAR]],"0000")&amp;"-"&amp;Table1[[#This Row],[MONTH]]</f>
        <v>-</v>
      </c>
    </row>
    <row r="1343" spans="1:25" ht="15" customHeight="1" x14ac:dyDescent="0.35">
      <c r="A1343" s="24"/>
      <c r="B1343" s="38"/>
      <c r="C1343" s="38"/>
      <c r="D1343" s="38"/>
      <c r="E1343" s="37"/>
      <c r="F1343" s="38"/>
      <c r="G1343" s="198"/>
      <c r="H1343" s="198"/>
      <c r="I1343" s="39"/>
      <c r="J1343" s="38"/>
      <c r="K1343" s="198"/>
      <c r="L1343" s="38"/>
      <c r="M1343" s="38"/>
      <c r="N1343" s="38"/>
      <c r="O1343" s="38"/>
      <c r="P1343" s="40" t="str" cm="1">
        <f t="array" ref="P1343">IF(N1343="","",IFERROR(_xlfn.XLOOKUP(F1343&amp;"|"&amp;J1343&amp;"|"&amp;O1343,PRICES!$C$2:$C$659&amp;"|"&amp;PRICES!$B$2:$B$659&amp;"|"&amp;PRICES!$D$2:$D$659,PRICES!$E$2:$E$659),"Not Found"))</f>
        <v/>
      </c>
      <c r="Q1343" s="100" t="str">
        <f>IF(N1343=0,"",SUMIFS(PRICES!$G$2:$G$658,PRICES!$B$2:$B$658,'MAIN TABLE-1 AUTOMATED'!J1343,PRICES!$C$2:$C$658,'MAIN TABLE-1 AUTOMATED'!F1343,PRICES!$D$2:$D$658,'MAIN TABLE-1 AUTOMATED'!O1343))</f>
        <v/>
      </c>
      <c r="R1343" s="41" t="str">
        <f>IF(Table1[[#This Row],[QUANTITY]]=0,"",Table1[[#This Row],[UNIT PRICE]]*Table1[[#This Row],[QUANTITY]])</f>
        <v/>
      </c>
      <c r="S1343" s="89"/>
      <c r="T1343" s="38"/>
      <c r="U1343" s="43"/>
      <c r="V1343" s="42" t="str">
        <f>IF(Table1[[#This Row],[DATE]]=0,"",YEAR(E1343))</f>
        <v/>
      </c>
      <c r="W1343" s="40" t="str">
        <f t="shared" si="42"/>
        <v/>
      </c>
      <c r="X1343" s="40" t="str">
        <f t="shared" si="43"/>
        <v/>
      </c>
      <c r="Y1343" s="40" t="str">
        <f>TEXT(Table1[[#This Row],[YEAR]],"0000")&amp;"-"&amp;Table1[[#This Row],[MONTH]]</f>
        <v>-</v>
      </c>
    </row>
    <row r="1344" spans="1:25" ht="15" customHeight="1" x14ac:dyDescent="0.35">
      <c r="A1344" s="24"/>
      <c r="B1344" s="38"/>
      <c r="C1344" s="38"/>
      <c r="D1344" s="38"/>
      <c r="E1344" s="37"/>
      <c r="F1344" s="38"/>
      <c r="G1344" s="198"/>
      <c r="H1344" s="198"/>
      <c r="I1344" s="39"/>
      <c r="J1344" s="38"/>
      <c r="K1344" s="198"/>
      <c r="L1344" s="38"/>
      <c r="M1344" s="38"/>
      <c r="N1344" s="38"/>
      <c r="O1344" s="38"/>
      <c r="P1344" s="40" t="str" cm="1">
        <f t="array" ref="P1344">IF(N1344="","",IFERROR(_xlfn.XLOOKUP(F1344&amp;"|"&amp;J1344&amp;"|"&amp;O1344,PRICES!$C$2:$C$659&amp;"|"&amp;PRICES!$B$2:$B$659&amp;"|"&amp;PRICES!$D$2:$D$659,PRICES!$E$2:$E$659),"Not Found"))</f>
        <v/>
      </c>
      <c r="Q1344" s="100" t="str">
        <f>IF(N1344=0,"",SUMIFS(PRICES!$G$2:$G$658,PRICES!$B$2:$B$658,'MAIN TABLE-1 AUTOMATED'!J1344,PRICES!$C$2:$C$658,'MAIN TABLE-1 AUTOMATED'!F1344,PRICES!$D$2:$D$658,'MAIN TABLE-1 AUTOMATED'!O1344))</f>
        <v/>
      </c>
      <c r="R1344" s="41" t="str">
        <f>IF(Table1[[#This Row],[QUANTITY]]=0,"",Table1[[#This Row],[UNIT PRICE]]*Table1[[#This Row],[QUANTITY]])</f>
        <v/>
      </c>
      <c r="S1344" s="89"/>
      <c r="T1344" s="38"/>
      <c r="U1344" s="43"/>
      <c r="V1344" s="42" t="str">
        <f>IF(Table1[[#This Row],[DATE]]=0,"",YEAR(E1344))</f>
        <v/>
      </c>
      <c r="W1344" s="40" t="str">
        <f t="shared" si="42"/>
        <v/>
      </c>
      <c r="X1344" s="40" t="str">
        <f t="shared" si="43"/>
        <v/>
      </c>
      <c r="Y1344" s="40" t="str">
        <f>TEXT(Table1[[#This Row],[YEAR]],"0000")&amp;"-"&amp;Table1[[#This Row],[MONTH]]</f>
        <v>-</v>
      </c>
    </row>
    <row r="1345" spans="1:25" ht="15" customHeight="1" x14ac:dyDescent="0.35">
      <c r="A1345" s="24"/>
      <c r="B1345" s="38"/>
      <c r="C1345" s="38"/>
      <c r="D1345" s="38"/>
      <c r="E1345" s="37"/>
      <c r="F1345" s="38"/>
      <c r="G1345" s="198"/>
      <c r="H1345" s="198"/>
      <c r="I1345" s="39"/>
      <c r="J1345" s="38"/>
      <c r="K1345" s="198"/>
      <c r="L1345" s="38"/>
      <c r="M1345" s="38"/>
      <c r="N1345" s="38"/>
      <c r="O1345" s="38"/>
      <c r="P1345" s="40" t="str" cm="1">
        <f t="array" ref="P1345">IF(N1345="","",IFERROR(_xlfn.XLOOKUP(F1345&amp;"|"&amp;J1345&amp;"|"&amp;O1345,PRICES!$C$2:$C$659&amp;"|"&amp;PRICES!$B$2:$B$659&amp;"|"&amp;PRICES!$D$2:$D$659,PRICES!$E$2:$E$659),"Not Found"))</f>
        <v/>
      </c>
      <c r="Q1345" s="100" t="str">
        <f>IF(N1345=0,"",SUMIFS(PRICES!$G$2:$G$658,PRICES!$B$2:$B$658,'MAIN TABLE-1 AUTOMATED'!J1345,PRICES!$C$2:$C$658,'MAIN TABLE-1 AUTOMATED'!F1345,PRICES!$D$2:$D$658,'MAIN TABLE-1 AUTOMATED'!O1345))</f>
        <v/>
      </c>
      <c r="R1345" s="41" t="str">
        <f>IF(Table1[[#This Row],[QUANTITY]]=0,"",Table1[[#This Row],[UNIT PRICE]]*Table1[[#This Row],[QUANTITY]])</f>
        <v/>
      </c>
      <c r="S1345" s="89"/>
      <c r="T1345" s="38"/>
      <c r="U1345" s="43"/>
      <c r="V1345" s="42" t="str">
        <f>IF(Table1[[#This Row],[DATE]]=0,"",YEAR(E1345))</f>
        <v/>
      </c>
      <c r="W1345" s="40" t="str">
        <f t="shared" si="42"/>
        <v/>
      </c>
      <c r="X1345" s="40" t="str">
        <f t="shared" si="43"/>
        <v/>
      </c>
      <c r="Y1345" s="40" t="str">
        <f>TEXT(Table1[[#This Row],[YEAR]],"0000")&amp;"-"&amp;Table1[[#This Row],[MONTH]]</f>
        <v>-</v>
      </c>
    </row>
    <row r="1346" spans="1:25" ht="15" customHeight="1" x14ac:dyDescent="0.35">
      <c r="A1346" s="24"/>
      <c r="B1346" s="38"/>
      <c r="C1346" s="38"/>
      <c r="D1346" s="38"/>
      <c r="E1346" s="37"/>
      <c r="F1346" s="38"/>
      <c r="G1346" s="198"/>
      <c r="H1346" s="198"/>
      <c r="I1346" s="39"/>
      <c r="J1346" s="38"/>
      <c r="K1346" s="198"/>
      <c r="L1346" s="38"/>
      <c r="M1346" s="38"/>
      <c r="N1346" s="38"/>
      <c r="O1346" s="38"/>
      <c r="P1346" s="40" t="str" cm="1">
        <f t="array" ref="P1346">IF(N1346="","",IFERROR(_xlfn.XLOOKUP(F1346&amp;"|"&amp;J1346&amp;"|"&amp;O1346,PRICES!$C$2:$C$659&amp;"|"&amp;PRICES!$B$2:$B$659&amp;"|"&amp;PRICES!$D$2:$D$659,PRICES!$E$2:$E$659),"Not Found"))</f>
        <v/>
      </c>
      <c r="Q1346" s="100" t="str">
        <f>IF(N1346=0,"",SUMIFS(PRICES!$G$2:$G$658,PRICES!$B$2:$B$658,'MAIN TABLE-1 AUTOMATED'!J1346,PRICES!$C$2:$C$658,'MAIN TABLE-1 AUTOMATED'!F1346,PRICES!$D$2:$D$658,'MAIN TABLE-1 AUTOMATED'!O1346))</f>
        <v/>
      </c>
      <c r="R1346" s="41" t="str">
        <f>IF(Table1[[#This Row],[QUANTITY]]=0,"",Table1[[#This Row],[UNIT PRICE]]*Table1[[#This Row],[QUANTITY]])</f>
        <v/>
      </c>
      <c r="S1346" s="89"/>
      <c r="T1346" s="38"/>
      <c r="U1346" s="43"/>
      <c r="V1346" s="42" t="str">
        <f>IF(Table1[[#This Row],[DATE]]=0,"",YEAR(E1346))</f>
        <v/>
      </c>
      <c r="W1346" s="40" t="str">
        <f t="shared" si="42"/>
        <v/>
      </c>
      <c r="X1346" s="40" t="str">
        <f t="shared" si="43"/>
        <v/>
      </c>
      <c r="Y1346" s="40" t="str">
        <f>TEXT(Table1[[#This Row],[YEAR]],"0000")&amp;"-"&amp;Table1[[#This Row],[MONTH]]</f>
        <v>-</v>
      </c>
    </row>
    <row r="1347" spans="1:25" ht="15" customHeight="1" x14ac:dyDescent="0.35">
      <c r="A1347" s="24"/>
      <c r="B1347" s="38"/>
      <c r="C1347" s="38"/>
      <c r="D1347" s="38"/>
      <c r="E1347" s="37"/>
      <c r="F1347" s="38"/>
      <c r="G1347" s="198"/>
      <c r="H1347" s="198"/>
      <c r="I1347" s="39"/>
      <c r="J1347" s="38"/>
      <c r="K1347" s="198"/>
      <c r="L1347" s="38"/>
      <c r="M1347" s="38"/>
      <c r="N1347" s="38"/>
      <c r="O1347" s="38"/>
      <c r="P1347" s="40" t="str" cm="1">
        <f t="array" ref="P1347">IF(N1347="","",IFERROR(_xlfn.XLOOKUP(F1347&amp;"|"&amp;J1347&amp;"|"&amp;O1347,PRICES!$C$2:$C$659&amp;"|"&amp;PRICES!$B$2:$B$659&amp;"|"&amp;PRICES!$D$2:$D$659,PRICES!$E$2:$E$659),"Not Found"))</f>
        <v/>
      </c>
      <c r="Q1347" s="100" t="str">
        <f>IF(N1347=0,"",SUMIFS(PRICES!$G$2:$G$658,PRICES!$B$2:$B$658,'MAIN TABLE-1 AUTOMATED'!J1347,PRICES!$C$2:$C$658,'MAIN TABLE-1 AUTOMATED'!F1347,PRICES!$D$2:$D$658,'MAIN TABLE-1 AUTOMATED'!O1347))</f>
        <v/>
      </c>
      <c r="R1347" s="41" t="str">
        <f>IF(Table1[[#This Row],[QUANTITY]]=0,"",Table1[[#This Row],[UNIT PRICE]]*Table1[[#This Row],[QUANTITY]])</f>
        <v/>
      </c>
      <c r="S1347" s="89"/>
      <c r="T1347" s="38"/>
      <c r="U1347" s="43"/>
      <c r="V1347" s="42" t="str">
        <f>IF(Table1[[#This Row],[DATE]]=0,"",YEAR(E1347))</f>
        <v/>
      </c>
      <c r="W1347" s="40" t="str">
        <f t="shared" si="42"/>
        <v/>
      </c>
      <c r="X1347" s="40" t="str">
        <f t="shared" si="43"/>
        <v/>
      </c>
      <c r="Y1347" s="40" t="str">
        <f>TEXT(Table1[[#This Row],[YEAR]],"0000")&amp;"-"&amp;Table1[[#This Row],[MONTH]]</f>
        <v>-</v>
      </c>
    </row>
    <row r="1348" spans="1:25" ht="15" customHeight="1" x14ac:dyDescent="0.35">
      <c r="A1348" s="24"/>
      <c r="B1348" s="38"/>
      <c r="C1348" s="38"/>
      <c r="D1348" s="38"/>
      <c r="E1348" s="37"/>
      <c r="F1348" s="38"/>
      <c r="G1348" s="198"/>
      <c r="H1348" s="198"/>
      <c r="I1348" s="39"/>
      <c r="J1348" s="38"/>
      <c r="K1348" s="198"/>
      <c r="L1348" s="38"/>
      <c r="M1348" s="38"/>
      <c r="N1348" s="38"/>
      <c r="O1348" s="38"/>
      <c r="P1348" s="40" t="str" cm="1">
        <f t="array" ref="P1348">IF(N1348="","",IFERROR(_xlfn.XLOOKUP(F1348&amp;"|"&amp;J1348&amp;"|"&amp;O1348,PRICES!$C$2:$C$659&amp;"|"&amp;PRICES!$B$2:$B$659&amp;"|"&amp;PRICES!$D$2:$D$659,PRICES!$E$2:$E$659),"Not Found"))</f>
        <v/>
      </c>
      <c r="Q1348" s="100" t="str">
        <f>IF(N1348=0,"",SUMIFS(PRICES!$G$2:$G$658,PRICES!$B$2:$B$658,'MAIN TABLE-1 AUTOMATED'!J1348,PRICES!$C$2:$C$658,'MAIN TABLE-1 AUTOMATED'!F1348,PRICES!$D$2:$D$658,'MAIN TABLE-1 AUTOMATED'!O1348))</f>
        <v/>
      </c>
      <c r="R1348" s="41" t="str">
        <f>IF(Table1[[#This Row],[QUANTITY]]=0,"",Table1[[#This Row],[UNIT PRICE]]*Table1[[#This Row],[QUANTITY]])</f>
        <v/>
      </c>
      <c r="S1348" s="89"/>
      <c r="T1348" s="38"/>
      <c r="U1348" s="43"/>
      <c r="V1348" s="42" t="str">
        <f>IF(Table1[[#This Row],[DATE]]=0,"",YEAR(E1348))</f>
        <v/>
      </c>
      <c r="W1348" s="40" t="str">
        <f t="shared" si="42"/>
        <v/>
      </c>
      <c r="X1348" s="40" t="str">
        <f t="shared" si="43"/>
        <v/>
      </c>
      <c r="Y1348" s="40" t="str">
        <f>TEXT(Table1[[#This Row],[YEAR]],"0000")&amp;"-"&amp;Table1[[#This Row],[MONTH]]</f>
        <v>-</v>
      </c>
    </row>
    <row r="1349" spans="1:25" ht="15" customHeight="1" x14ac:dyDescent="0.35">
      <c r="A1349" s="24"/>
      <c r="B1349" s="38"/>
      <c r="C1349" s="38"/>
      <c r="D1349" s="38"/>
      <c r="E1349" s="37"/>
      <c r="F1349" s="38"/>
      <c r="G1349" s="198"/>
      <c r="H1349" s="198"/>
      <c r="I1349" s="39"/>
      <c r="J1349" s="38"/>
      <c r="K1349" s="198"/>
      <c r="L1349" s="38"/>
      <c r="M1349" s="38"/>
      <c r="N1349" s="38"/>
      <c r="O1349" s="38"/>
      <c r="P1349" s="40" t="str" cm="1">
        <f t="array" ref="P1349">IF(N1349="","",IFERROR(_xlfn.XLOOKUP(F1349&amp;"|"&amp;J1349&amp;"|"&amp;O1349,PRICES!$C$2:$C$659&amp;"|"&amp;PRICES!$B$2:$B$659&amp;"|"&amp;PRICES!$D$2:$D$659,PRICES!$E$2:$E$659),"Not Found"))</f>
        <v/>
      </c>
      <c r="Q1349" s="100" t="str">
        <f>IF(N1349=0,"",SUMIFS(PRICES!$G$2:$G$658,PRICES!$B$2:$B$658,'MAIN TABLE-1 AUTOMATED'!J1349,PRICES!$C$2:$C$658,'MAIN TABLE-1 AUTOMATED'!F1349,PRICES!$D$2:$D$658,'MAIN TABLE-1 AUTOMATED'!O1349))</f>
        <v/>
      </c>
      <c r="R1349" s="41" t="str">
        <f>IF(Table1[[#This Row],[QUANTITY]]=0,"",Table1[[#This Row],[UNIT PRICE]]*Table1[[#This Row],[QUANTITY]])</f>
        <v/>
      </c>
      <c r="S1349" s="89"/>
      <c r="T1349" s="38"/>
      <c r="U1349" s="43"/>
      <c r="V1349" s="42" t="str">
        <f>IF(Table1[[#This Row],[DATE]]=0,"",YEAR(E1349))</f>
        <v/>
      </c>
      <c r="W1349" s="40" t="str">
        <f t="shared" si="42"/>
        <v/>
      </c>
      <c r="X1349" s="40" t="str">
        <f t="shared" si="43"/>
        <v/>
      </c>
      <c r="Y1349" s="40" t="str">
        <f>TEXT(Table1[[#This Row],[YEAR]],"0000")&amp;"-"&amp;Table1[[#This Row],[MONTH]]</f>
        <v>-</v>
      </c>
    </row>
    <row r="1350" spans="1:25" ht="15" customHeight="1" x14ac:dyDescent="0.35">
      <c r="A1350" s="24"/>
      <c r="B1350" s="38"/>
      <c r="C1350" s="38"/>
      <c r="D1350" s="38"/>
      <c r="E1350" s="37"/>
      <c r="F1350" s="38"/>
      <c r="G1350" s="198"/>
      <c r="H1350" s="198"/>
      <c r="I1350" s="39"/>
      <c r="J1350" s="38"/>
      <c r="K1350" s="198"/>
      <c r="L1350" s="38"/>
      <c r="M1350" s="38"/>
      <c r="N1350" s="38"/>
      <c r="O1350" s="38"/>
      <c r="P1350" s="40" t="str" cm="1">
        <f t="array" ref="P1350">IF(N1350="","",IFERROR(_xlfn.XLOOKUP(F1350&amp;"|"&amp;J1350&amp;"|"&amp;O1350,PRICES!$C$2:$C$659&amp;"|"&amp;PRICES!$B$2:$B$659&amp;"|"&amp;PRICES!$D$2:$D$659,PRICES!$E$2:$E$659),"Not Found"))</f>
        <v/>
      </c>
      <c r="Q1350" s="100" t="str">
        <f>IF(N1350=0,"",SUMIFS(PRICES!$G$2:$G$658,PRICES!$B$2:$B$658,'MAIN TABLE-1 AUTOMATED'!J1350,PRICES!$C$2:$C$658,'MAIN TABLE-1 AUTOMATED'!F1350,PRICES!$D$2:$D$658,'MAIN TABLE-1 AUTOMATED'!O1350))</f>
        <v/>
      </c>
      <c r="R1350" s="41" t="str">
        <f>IF(Table1[[#This Row],[QUANTITY]]=0,"",Table1[[#This Row],[UNIT PRICE]]*Table1[[#This Row],[QUANTITY]])</f>
        <v/>
      </c>
      <c r="S1350" s="89"/>
      <c r="T1350" s="38"/>
      <c r="U1350" s="43"/>
      <c r="V1350" s="42" t="str">
        <f>IF(Table1[[#This Row],[DATE]]=0,"",YEAR(E1350))</f>
        <v/>
      </c>
      <c r="W1350" s="40" t="str">
        <f t="shared" si="42"/>
        <v/>
      </c>
      <c r="X1350" s="40" t="str">
        <f t="shared" si="43"/>
        <v/>
      </c>
      <c r="Y1350" s="40" t="str">
        <f>TEXT(Table1[[#This Row],[YEAR]],"0000")&amp;"-"&amp;Table1[[#This Row],[MONTH]]</f>
        <v>-</v>
      </c>
    </row>
    <row r="1351" spans="1:25" ht="15" customHeight="1" x14ac:dyDescent="0.35">
      <c r="A1351" s="24"/>
      <c r="B1351" s="38"/>
      <c r="C1351" s="38"/>
      <c r="D1351" s="38"/>
      <c r="E1351" s="37"/>
      <c r="F1351" s="38"/>
      <c r="G1351" s="198"/>
      <c r="H1351" s="198"/>
      <c r="I1351" s="39"/>
      <c r="J1351" s="38"/>
      <c r="K1351" s="198"/>
      <c r="L1351" s="38"/>
      <c r="M1351" s="38"/>
      <c r="N1351" s="38"/>
      <c r="O1351" s="38"/>
      <c r="P1351" s="40" t="str" cm="1">
        <f t="array" ref="P1351">IF(N1351="","",IFERROR(_xlfn.XLOOKUP(F1351&amp;"|"&amp;J1351&amp;"|"&amp;O1351,PRICES!$C$2:$C$659&amp;"|"&amp;PRICES!$B$2:$B$659&amp;"|"&amp;PRICES!$D$2:$D$659,PRICES!$E$2:$E$659),"Not Found"))</f>
        <v/>
      </c>
      <c r="Q1351" s="100" t="str">
        <f>IF(N1351=0,"",SUMIFS(PRICES!$G$2:$G$658,PRICES!$B$2:$B$658,'MAIN TABLE-1 AUTOMATED'!J1351,PRICES!$C$2:$C$658,'MAIN TABLE-1 AUTOMATED'!F1351,PRICES!$D$2:$D$658,'MAIN TABLE-1 AUTOMATED'!O1351))</f>
        <v/>
      </c>
      <c r="R1351" s="41" t="str">
        <f>IF(Table1[[#This Row],[QUANTITY]]=0,"",Table1[[#This Row],[UNIT PRICE]]*Table1[[#This Row],[QUANTITY]])</f>
        <v/>
      </c>
      <c r="S1351" s="89"/>
      <c r="T1351" s="38"/>
      <c r="U1351" s="43"/>
      <c r="V1351" s="42" t="str">
        <f>IF(Table1[[#This Row],[DATE]]=0,"",YEAR(E1351))</f>
        <v/>
      </c>
      <c r="W1351" s="40" t="str">
        <f t="shared" si="42"/>
        <v/>
      </c>
      <c r="X1351" s="40" t="str">
        <f t="shared" si="43"/>
        <v/>
      </c>
      <c r="Y1351" s="40" t="str">
        <f>TEXT(Table1[[#This Row],[YEAR]],"0000")&amp;"-"&amp;Table1[[#This Row],[MONTH]]</f>
        <v>-</v>
      </c>
    </row>
    <row r="1352" spans="1:25" ht="15" customHeight="1" x14ac:dyDescent="0.35">
      <c r="A1352" s="24"/>
      <c r="B1352" s="38"/>
      <c r="C1352" s="38"/>
      <c r="D1352" s="38"/>
      <c r="E1352" s="37"/>
      <c r="F1352" s="38"/>
      <c r="G1352" s="198"/>
      <c r="H1352" s="198"/>
      <c r="I1352" s="39"/>
      <c r="J1352" s="38"/>
      <c r="K1352" s="198"/>
      <c r="L1352" s="38"/>
      <c r="M1352" s="38"/>
      <c r="N1352" s="38"/>
      <c r="O1352" s="38"/>
      <c r="P1352" s="40" t="str" cm="1">
        <f t="array" ref="P1352">IF(N1352="","",IFERROR(_xlfn.XLOOKUP(F1352&amp;"|"&amp;J1352&amp;"|"&amp;O1352,PRICES!$C$2:$C$659&amp;"|"&amp;PRICES!$B$2:$B$659&amp;"|"&amp;PRICES!$D$2:$D$659,PRICES!$E$2:$E$659),"Not Found"))</f>
        <v/>
      </c>
      <c r="Q1352" s="100" t="str">
        <f>IF(N1352=0,"",SUMIFS(PRICES!$G$2:$G$658,PRICES!$B$2:$B$658,'MAIN TABLE-1 AUTOMATED'!J1352,PRICES!$C$2:$C$658,'MAIN TABLE-1 AUTOMATED'!F1352,PRICES!$D$2:$D$658,'MAIN TABLE-1 AUTOMATED'!O1352))</f>
        <v/>
      </c>
      <c r="R1352" s="41" t="str">
        <f>IF(Table1[[#This Row],[QUANTITY]]=0,"",Table1[[#This Row],[UNIT PRICE]]*Table1[[#This Row],[QUANTITY]])</f>
        <v/>
      </c>
      <c r="S1352" s="89"/>
      <c r="T1352" s="38"/>
      <c r="U1352" s="43"/>
      <c r="V1352" s="42" t="str">
        <f>IF(Table1[[#This Row],[DATE]]=0,"",YEAR(E1352))</f>
        <v/>
      </c>
      <c r="W1352" s="40" t="str">
        <f t="shared" si="42"/>
        <v/>
      </c>
      <c r="X1352" s="40" t="str">
        <f t="shared" si="43"/>
        <v/>
      </c>
      <c r="Y1352" s="40" t="str">
        <f>TEXT(Table1[[#This Row],[YEAR]],"0000")&amp;"-"&amp;Table1[[#This Row],[MONTH]]</f>
        <v>-</v>
      </c>
    </row>
    <row r="1353" spans="1:25" ht="15" customHeight="1" x14ac:dyDescent="0.35">
      <c r="A1353" s="24"/>
      <c r="B1353" s="38"/>
      <c r="C1353" s="38"/>
      <c r="D1353" s="38"/>
      <c r="E1353" s="37"/>
      <c r="F1353" s="38"/>
      <c r="G1353" s="198"/>
      <c r="H1353" s="198"/>
      <c r="I1353" s="39"/>
      <c r="J1353" s="38"/>
      <c r="K1353" s="198"/>
      <c r="L1353" s="38"/>
      <c r="M1353" s="38"/>
      <c r="N1353" s="38"/>
      <c r="O1353" s="38"/>
      <c r="P1353" s="40" t="str" cm="1">
        <f t="array" ref="P1353">IF(N1353="","",IFERROR(_xlfn.XLOOKUP(F1353&amp;"|"&amp;J1353&amp;"|"&amp;O1353,PRICES!$C$2:$C$659&amp;"|"&amp;PRICES!$B$2:$B$659&amp;"|"&amp;PRICES!$D$2:$D$659,PRICES!$E$2:$E$659),"Not Found"))</f>
        <v/>
      </c>
      <c r="Q1353" s="100" t="str">
        <f>IF(N1353=0,"",SUMIFS(PRICES!$G$2:$G$658,PRICES!$B$2:$B$658,'MAIN TABLE-1 AUTOMATED'!J1353,PRICES!$C$2:$C$658,'MAIN TABLE-1 AUTOMATED'!F1353,PRICES!$D$2:$D$658,'MAIN TABLE-1 AUTOMATED'!O1353))</f>
        <v/>
      </c>
      <c r="R1353" s="41" t="str">
        <f>IF(Table1[[#This Row],[QUANTITY]]=0,"",Table1[[#This Row],[UNIT PRICE]]*Table1[[#This Row],[QUANTITY]])</f>
        <v/>
      </c>
      <c r="S1353" s="89"/>
      <c r="T1353" s="38"/>
      <c r="U1353" s="43"/>
      <c r="V1353" s="42" t="str">
        <f>IF(Table1[[#This Row],[DATE]]=0,"",YEAR(E1353))</f>
        <v/>
      </c>
      <c r="W1353" s="40" t="str">
        <f t="shared" si="42"/>
        <v/>
      </c>
      <c r="X1353" s="40" t="str">
        <f t="shared" si="43"/>
        <v/>
      </c>
      <c r="Y1353" s="40" t="str">
        <f>TEXT(Table1[[#This Row],[YEAR]],"0000")&amp;"-"&amp;Table1[[#This Row],[MONTH]]</f>
        <v>-</v>
      </c>
    </row>
    <row r="1354" spans="1:25" ht="15" customHeight="1" x14ac:dyDescent="0.35">
      <c r="A1354" s="24"/>
      <c r="B1354" s="38"/>
      <c r="C1354" s="38"/>
      <c r="D1354" s="38"/>
      <c r="E1354" s="37"/>
      <c r="F1354" s="38"/>
      <c r="G1354" s="198"/>
      <c r="H1354" s="198"/>
      <c r="I1354" s="39"/>
      <c r="J1354" s="38"/>
      <c r="K1354" s="198"/>
      <c r="L1354" s="38"/>
      <c r="M1354" s="38"/>
      <c r="N1354" s="38"/>
      <c r="O1354" s="38"/>
      <c r="P1354" s="40" t="str" cm="1">
        <f t="array" ref="P1354">IF(N1354="","",IFERROR(_xlfn.XLOOKUP(F1354&amp;"|"&amp;J1354&amp;"|"&amp;O1354,PRICES!$C$2:$C$659&amp;"|"&amp;PRICES!$B$2:$B$659&amp;"|"&amp;PRICES!$D$2:$D$659,PRICES!$E$2:$E$659),"Not Found"))</f>
        <v/>
      </c>
      <c r="Q1354" s="100" t="str">
        <f>IF(N1354=0,"",SUMIFS(PRICES!$G$2:$G$658,PRICES!$B$2:$B$658,'MAIN TABLE-1 AUTOMATED'!J1354,PRICES!$C$2:$C$658,'MAIN TABLE-1 AUTOMATED'!F1354,PRICES!$D$2:$D$658,'MAIN TABLE-1 AUTOMATED'!O1354))</f>
        <v/>
      </c>
      <c r="R1354" s="41" t="str">
        <f>IF(Table1[[#This Row],[QUANTITY]]=0,"",Table1[[#This Row],[UNIT PRICE]]*Table1[[#This Row],[QUANTITY]])</f>
        <v/>
      </c>
      <c r="S1354" s="89"/>
      <c r="T1354" s="38"/>
      <c r="U1354" s="43"/>
      <c r="V1354" s="42" t="str">
        <f>IF(Table1[[#This Row],[DATE]]=0,"",YEAR(E1354))</f>
        <v/>
      </c>
      <c r="W1354" s="40" t="str">
        <f t="shared" si="42"/>
        <v/>
      </c>
      <c r="X1354" s="40" t="str">
        <f t="shared" si="43"/>
        <v/>
      </c>
      <c r="Y1354" s="40" t="str">
        <f>TEXT(Table1[[#This Row],[YEAR]],"0000")&amp;"-"&amp;Table1[[#This Row],[MONTH]]</f>
        <v>-</v>
      </c>
    </row>
    <row r="1355" spans="1:25" ht="15" customHeight="1" x14ac:dyDescent="0.35">
      <c r="A1355" s="24"/>
      <c r="B1355" s="38"/>
      <c r="C1355" s="38"/>
      <c r="D1355" s="38"/>
      <c r="E1355" s="37"/>
      <c r="F1355" s="38"/>
      <c r="G1355" s="198"/>
      <c r="H1355" s="198"/>
      <c r="I1355" s="39"/>
      <c r="J1355" s="38"/>
      <c r="K1355" s="198"/>
      <c r="L1355" s="38"/>
      <c r="M1355" s="38"/>
      <c r="N1355" s="38"/>
      <c r="O1355" s="38"/>
      <c r="P1355" s="40" t="str" cm="1">
        <f t="array" ref="P1355">IF(N1355="","",IFERROR(_xlfn.XLOOKUP(F1355&amp;"|"&amp;J1355&amp;"|"&amp;O1355,PRICES!$C$2:$C$659&amp;"|"&amp;PRICES!$B$2:$B$659&amp;"|"&amp;PRICES!$D$2:$D$659,PRICES!$E$2:$E$659),"Not Found"))</f>
        <v/>
      </c>
      <c r="Q1355" s="100" t="str">
        <f>IF(N1355=0,"",SUMIFS(PRICES!$G$2:$G$658,PRICES!$B$2:$B$658,'MAIN TABLE-1 AUTOMATED'!J1355,PRICES!$C$2:$C$658,'MAIN TABLE-1 AUTOMATED'!F1355,PRICES!$D$2:$D$658,'MAIN TABLE-1 AUTOMATED'!O1355))</f>
        <v/>
      </c>
      <c r="R1355" s="41" t="str">
        <f>IF(Table1[[#This Row],[QUANTITY]]=0,"",Table1[[#This Row],[UNIT PRICE]]*Table1[[#This Row],[QUANTITY]])</f>
        <v/>
      </c>
      <c r="S1355" s="89"/>
      <c r="T1355" s="38"/>
      <c r="U1355" s="43"/>
      <c r="V1355" s="42" t="str">
        <f>IF(Table1[[#This Row],[DATE]]=0,"",YEAR(E1355))</f>
        <v/>
      </c>
      <c r="W1355" s="40" t="str">
        <f t="shared" si="42"/>
        <v/>
      </c>
      <c r="X1355" s="40" t="str">
        <f t="shared" si="43"/>
        <v/>
      </c>
      <c r="Y1355" s="40" t="str">
        <f>TEXT(Table1[[#This Row],[YEAR]],"0000")&amp;"-"&amp;Table1[[#This Row],[MONTH]]</f>
        <v>-</v>
      </c>
    </row>
    <row r="1356" spans="1:25" ht="15" customHeight="1" x14ac:dyDescent="0.35">
      <c r="A1356" s="24"/>
      <c r="B1356" s="38"/>
      <c r="C1356" s="38"/>
      <c r="D1356" s="38"/>
      <c r="E1356" s="37"/>
      <c r="F1356" s="38"/>
      <c r="G1356" s="198"/>
      <c r="H1356" s="198"/>
      <c r="I1356" s="39"/>
      <c r="J1356" s="38"/>
      <c r="K1356" s="198"/>
      <c r="L1356" s="38"/>
      <c r="M1356" s="38"/>
      <c r="N1356" s="38"/>
      <c r="O1356" s="38"/>
      <c r="P1356" s="40" t="str" cm="1">
        <f t="array" ref="P1356">IF(N1356="","",IFERROR(_xlfn.XLOOKUP(F1356&amp;"|"&amp;J1356&amp;"|"&amp;O1356,PRICES!$C$2:$C$659&amp;"|"&amp;PRICES!$B$2:$B$659&amp;"|"&amp;PRICES!$D$2:$D$659,PRICES!$E$2:$E$659),"Not Found"))</f>
        <v/>
      </c>
      <c r="Q1356" s="100" t="str">
        <f>IF(N1356=0,"",SUMIFS(PRICES!$G$2:$G$658,PRICES!$B$2:$B$658,'MAIN TABLE-1 AUTOMATED'!J1356,PRICES!$C$2:$C$658,'MAIN TABLE-1 AUTOMATED'!F1356,PRICES!$D$2:$D$658,'MAIN TABLE-1 AUTOMATED'!O1356))</f>
        <v/>
      </c>
      <c r="R1356" s="41" t="str">
        <f>IF(Table1[[#This Row],[QUANTITY]]=0,"",Table1[[#This Row],[UNIT PRICE]]*Table1[[#This Row],[QUANTITY]])</f>
        <v/>
      </c>
      <c r="S1356" s="89"/>
      <c r="T1356" s="38"/>
      <c r="U1356" s="43"/>
      <c r="V1356" s="42" t="str">
        <f>IF(Table1[[#This Row],[DATE]]=0,"",YEAR(E1356))</f>
        <v/>
      </c>
      <c r="W1356" s="40" t="str">
        <f t="shared" si="42"/>
        <v/>
      </c>
      <c r="X1356" s="40" t="str">
        <f t="shared" si="43"/>
        <v/>
      </c>
      <c r="Y1356" s="40" t="str">
        <f>TEXT(Table1[[#This Row],[YEAR]],"0000")&amp;"-"&amp;Table1[[#This Row],[MONTH]]</f>
        <v>-</v>
      </c>
    </row>
    <row r="1357" spans="1:25" ht="15" customHeight="1" x14ac:dyDescent="0.35">
      <c r="A1357" s="24"/>
      <c r="B1357" s="38"/>
      <c r="C1357" s="38"/>
      <c r="D1357" s="38"/>
      <c r="E1357" s="37"/>
      <c r="F1357" s="38"/>
      <c r="G1357" s="198"/>
      <c r="H1357" s="198"/>
      <c r="I1357" s="39"/>
      <c r="J1357" s="38"/>
      <c r="K1357" s="198"/>
      <c r="L1357" s="38"/>
      <c r="M1357" s="38"/>
      <c r="N1357" s="38"/>
      <c r="O1357" s="38"/>
      <c r="P1357" s="40" t="str" cm="1">
        <f t="array" ref="P1357">IF(N1357="","",IFERROR(_xlfn.XLOOKUP(F1357&amp;"|"&amp;J1357&amp;"|"&amp;O1357,PRICES!$C$2:$C$659&amp;"|"&amp;PRICES!$B$2:$B$659&amp;"|"&amp;PRICES!$D$2:$D$659,PRICES!$E$2:$E$659),"Not Found"))</f>
        <v/>
      </c>
      <c r="Q1357" s="100" t="str">
        <f>IF(N1357=0,"",SUMIFS(PRICES!$G$2:$G$658,PRICES!$B$2:$B$658,'MAIN TABLE-1 AUTOMATED'!J1357,PRICES!$C$2:$C$658,'MAIN TABLE-1 AUTOMATED'!F1357,PRICES!$D$2:$D$658,'MAIN TABLE-1 AUTOMATED'!O1357))</f>
        <v/>
      </c>
      <c r="R1357" s="41" t="str">
        <f>IF(Table1[[#This Row],[QUANTITY]]=0,"",Table1[[#This Row],[UNIT PRICE]]*Table1[[#This Row],[QUANTITY]])</f>
        <v/>
      </c>
      <c r="S1357" s="89"/>
      <c r="T1357" s="38"/>
      <c r="U1357" s="43"/>
      <c r="V1357" s="42" t="str">
        <f>IF(Table1[[#This Row],[DATE]]=0,"",YEAR(E1357))</f>
        <v/>
      </c>
      <c r="W1357" s="40" t="str">
        <f t="shared" si="42"/>
        <v/>
      </c>
      <c r="X1357" s="40" t="str">
        <f t="shared" si="43"/>
        <v/>
      </c>
      <c r="Y1357" s="40" t="str">
        <f>TEXT(Table1[[#This Row],[YEAR]],"0000")&amp;"-"&amp;Table1[[#This Row],[MONTH]]</f>
        <v>-</v>
      </c>
    </row>
    <row r="1358" spans="1:25" ht="15" customHeight="1" x14ac:dyDescent="0.35">
      <c r="A1358" s="24"/>
      <c r="B1358" s="38"/>
      <c r="C1358" s="38"/>
      <c r="D1358" s="38"/>
      <c r="E1358" s="37"/>
      <c r="F1358" s="38"/>
      <c r="G1358" s="198"/>
      <c r="H1358" s="198"/>
      <c r="I1358" s="39"/>
      <c r="J1358" s="38"/>
      <c r="K1358" s="198"/>
      <c r="L1358" s="38"/>
      <c r="M1358" s="38"/>
      <c r="N1358" s="38"/>
      <c r="O1358" s="38"/>
      <c r="P1358" s="40" t="str" cm="1">
        <f t="array" ref="P1358">IF(N1358="","",IFERROR(_xlfn.XLOOKUP(F1358&amp;"|"&amp;J1358&amp;"|"&amp;O1358,PRICES!$C$2:$C$659&amp;"|"&amp;PRICES!$B$2:$B$659&amp;"|"&amp;PRICES!$D$2:$D$659,PRICES!$E$2:$E$659),"Not Found"))</f>
        <v/>
      </c>
      <c r="Q1358" s="100" t="str">
        <f>IF(N1358=0,"",SUMIFS(PRICES!$G$2:$G$658,PRICES!$B$2:$B$658,'MAIN TABLE-1 AUTOMATED'!J1358,PRICES!$C$2:$C$658,'MAIN TABLE-1 AUTOMATED'!F1358,PRICES!$D$2:$D$658,'MAIN TABLE-1 AUTOMATED'!O1358))</f>
        <v/>
      </c>
      <c r="R1358" s="41" t="str">
        <f>IF(Table1[[#This Row],[QUANTITY]]=0,"",Table1[[#This Row],[UNIT PRICE]]*Table1[[#This Row],[QUANTITY]])</f>
        <v/>
      </c>
      <c r="S1358" s="89"/>
      <c r="T1358" s="38"/>
      <c r="U1358" s="43"/>
      <c r="V1358" s="42" t="str">
        <f>IF(Table1[[#This Row],[DATE]]=0,"",YEAR(E1358))</f>
        <v/>
      </c>
      <c r="W1358" s="40" t="str">
        <f t="shared" si="42"/>
        <v/>
      </c>
      <c r="X1358" s="40" t="str">
        <f t="shared" si="43"/>
        <v/>
      </c>
      <c r="Y1358" s="40" t="str">
        <f>TEXT(Table1[[#This Row],[YEAR]],"0000")&amp;"-"&amp;Table1[[#This Row],[MONTH]]</f>
        <v>-</v>
      </c>
    </row>
    <row r="1359" spans="1:25" ht="15" customHeight="1" x14ac:dyDescent="0.35">
      <c r="A1359" s="24"/>
      <c r="B1359" s="38"/>
      <c r="C1359" s="38"/>
      <c r="D1359" s="38"/>
      <c r="E1359" s="37"/>
      <c r="F1359" s="38"/>
      <c r="G1359" s="198"/>
      <c r="H1359" s="198"/>
      <c r="I1359" s="39"/>
      <c r="J1359" s="38"/>
      <c r="K1359" s="198"/>
      <c r="L1359" s="38"/>
      <c r="M1359" s="38"/>
      <c r="N1359" s="38"/>
      <c r="O1359" s="38"/>
      <c r="P1359" s="40" t="str" cm="1">
        <f t="array" ref="P1359">IF(N1359="","",IFERROR(_xlfn.XLOOKUP(F1359&amp;"|"&amp;J1359&amp;"|"&amp;O1359,PRICES!$C$2:$C$659&amp;"|"&amp;PRICES!$B$2:$B$659&amp;"|"&amp;PRICES!$D$2:$D$659,PRICES!$E$2:$E$659),"Not Found"))</f>
        <v/>
      </c>
      <c r="Q1359" s="100" t="str">
        <f>IF(N1359=0,"",SUMIFS(PRICES!$G$2:$G$658,PRICES!$B$2:$B$658,'MAIN TABLE-1 AUTOMATED'!J1359,PRICES!$C$2:$C$658,'MAIN TABLE-1 AUTOMATED'!F1359,PRICES!$D$2:$D$658,'MAIN TABLE-1 AUTOMATED'!O1359))</f>
        <v/>
      </c>
      <c r="R1359" s="41" t="str">
        <f>IF(Table1[[#This Row],[QUANTITY]]=0,"",Table1[[#This Row],[UNIT PRICE]]*Table1[[#This Row],[QUANTITY]])</f>
        <v/>
      </c>
      <c r="S1359" s="89"/>
      <c r="T1359" s="38"/>
      <c r="U1359" s="43"/>
      <c r="V1359" s="42" t="str">
        <f>IF(Table1[[#This Row],[DATE]]=0,"",YEAR(E1359))</f>
        <v/>
      </c>
      <c r="W1359" s="40" t="str">
        <f t="shared" si="42"/>
        <v/>
      </c>
      <c r="X1359" s="40" t="str">
        <f t="shared" si="43"/>
        <v/>
      </c>
      <c r="Y1359" s="40" t="str">
        <f>TEXT(Table1[[#This Row],[YEAR]],"0000")&amp;"-"&amp;Table1[[#This Row],[MONTH]]</f>
        <v>-</v>
      </c>
    </row>
    <row r="1360" spans="1:25" ht="15" customHeight="1" x14ac:dyDescent="0.35">
      <c r="A1360" s="24"/>
      <c r="B1360" s="38"/>
      <c r="C1360" s="38"/>
      <c r="D1360" s="38"/>
      <c r="E1360" s="37"/>
      <c r="F1360" s="38"/>
      <c r="G1360" s="198"/>
      <c r="H1360" s="198"/>
      <c r="I1360" s="39"/>
      <c r="J1360" s="38"/>
      <c r="K1360" s="198"/>
      <c r="L1360" s="38"/>
      <c r="M1360" s="38"/>
      <c r="N1360" s="38"/>
      <c r="O1360" s="38"/>
      <c r="P1360" s="40" t="str" cm="1">
        <f t="array" ref="P1360">IF(N1360="","",IFERROR(_xlfn.XLOOKUP(F1360&amp;"|"&amp;J1360&amp;"|"&amp;O1360,PRICES!$C$2:$C$659&amp;"|"&amp;PRICES!$B$2:$B$659&amp;"|"&amp;PRICES!$D$2:$D$659,PRICES!$E$2:$E$659),"Not Found"))</f>
        <v/>
      </c>
      <c r="Q1360" s="100" t="str">
        <f>IF(N1360=0,"",SUMIFS(PRICES!$G$2:$G$658,PRICES!$B$2:$B$658,'MAIN TABLE-1 AUTOMATED'!J1360,PRICES!$C$2:$C$658,'MAIN TABLE-1 AUTOMATED'!F1360,PRICES!$D$2:$D$658,'MAIN TABLE-1 AUTOMATED'!O1360))</f>
        <v/>
      </c>
      <c r="R1360" s="41" t="str">
        <f>IF(Table1[[#This Row],[QUANTITY]]=0,"",Table1[[#This Row],[UNIT PRICE]]*Table1[[#This Row],[QUANTITY]])</f>
        <v/>
      </c>
      <c r="S1360" s="89"/>
      <c r="T1360" s="38"/>
      <c r="U1360" s="43"/>
      <c r="V1360" s="42" t="str">
        <f>IF(Table1[[#This Row],[DATE]]=0,"",YEAR(E1360))</f>
        <v/>
      </c>
      <c r="W1360" s="40" t="str">
        <f t="shared" si="42"/>
        <v/>
      </c>
      <c r="X1360" s="40" t="str">
        <f t="shared" si="43"/>
        <v/>
      </c>
      <c r="Y1360" s="40" t="str">
        <f>TEXT(Table1[[#This Row],[YEAR]],"0000")&amp;"-"&amp;Table1[[#This Row],[MONTH]]</f>
        <v>-</v>
      </c>
    </row>
    <row r="1361" spans="1:25" ht="15" customHeight="1" x14ac:dyDescent="0.35">
      <c r="A1361" s="24"/>
      <c r="B1361" s="38"/>
      <c r="C1361" s="38"/>
      <c r="D1361" s="38"/>
      <c r="E1361" s="37"/>
      <c r="F1361" s="38"/>
      <c r="G1361" s="198"/>
      <c r="H1361" s="198"/>
      <c r="I1361" s="39"/>
      <c r="J1361" s="38"/>
      <c r="K1361" s="198"/>
      <c r="L1361" s="38"/>
      <c r="M1361" s="38"/>
      <c r="N1361" s="38"/>
      <c r="O1361" s="38"/>
      <c r="P1361" s="40" t="str" cm="1">
        <f t="array" ref="P1361">IF(N1361="","",IFERROR(_xlfn.XLOOKUP(F1361&amp;"|"&amp;J1361&amp;"|"&amp;O1361,PRICES!$C$2:$C$659&amp;"|"&amp;PRICES!$B$2:$B$659&amp;"|"&amp;PRICES!$D$2:$D$659,PRICES!$E$2:$E$659),"Not Found"))</f>
        <v/>
      </c>
      <c r="Q1361" s="100" t="str">
        <f>IF(N1361=0,"",SUMIFS(PRICES!$G$2:$G$658,PRICES!$B$2:$B$658,'MAIN TABLE-1 AUTOMATED'!J1361,PRICES!$C$2:$C$658,'MAIN TABLE-1 AUTOMATED'!F1361,PRICES!$D$2:$D$658,'MAIN TABLE-1 AUTOMATED'!O1361))</f>
        <v/>
      </c>
      <c r="R1361" s="41" t="str">
        <f>IF(Table1[[#This Row],[QUANTITY]]=0,"",Table1[[#This Row],[UNIT PRICE]]*Table1[[#This Row],[QUANTITY]])</f>
        <v/>
      </c>
      <c r="S1361" s="89"/>
      <c r="T1361" s="38"/>
      <c r="U1361" s="43"/>
      <c r="V1361" s="42" t="str">
        <f>IF(Table1[[#This Row],[DATE]]=0,"",YEAR(E1361))</f>
        <v/>
      </c>
      <c r="W1361" s="40" t="str">
        <f t="shared" si="42"/>
        <v/>
      </c>
      <c r="X1361" s="40" t="str">
        <f t="shared" si="43"/>
        <v/>
      </c>
      <c r="Y1361" s="40" t="str">
        <f>TEXT(Table1[[#This Row],[YEAR]],"0000")&amp;"-"&amp;Table1[[#This Row],[MONTH]]</f>
        <v>-</v>
      </c>
    </row>
    <row r="1362" spans="1:25" ht="15" customHeight="1" x14ac:dyDescent="0.35">
      <c r="A1362" s="24"/>
      <c r="B1362" s="38"/>
      <c r="C1362" s="38"/>
      <c r="D1362" s="38"/>
      <c r="E1362" s="37"/>
      <c r="F1362" s="38"/>
      <c r="G1362" s="198"/>
      <c r="H1362" s="198"/>
      <c r="I1362" s="39"/>
      <c r="J1362" s="38"/>
      <c r="K1362" s="198"/>
      <c r="L1362" s="38"/>
      <c r="M1362" s="38"/>
      <c r="N1362" s="38"/>
      <c r="O1362" s="38"/>
      <c r="P1362" s="40" t="str" cm="1">
        <f t="array" ref="P1362">IF(N1362="","",IFERROR(_xlfn.XLOOKUP(F1362&amp;"|"&amp;J1362&amp;"|"&amp;O1362,PRICES!$C$2:$C$659&amp;"|"&amp;PRICES!$B$2:$B$659&amp;"|"&amp;PRICES!$D$2:$D$659,PRICES!$E$2:$E$659),"Not Found"))</f>
        <v/>
      </c>
      <c r="Q1362" s="100" t="str">
        <f>IF(N1362=0,"",SUMIFS(PRICES!$G$2:$G$658,PRICES!$B$2:$B$658,'MAIN TABLE-1 AUTOMATED'!J1362,PRICES!$C$2:$C$658,'MAIN TABLE-1 AUTOMATED'!F1362,PRICES!$D$2:$D$658,'MAIN TABLE-1 AUTOMATED'!O1362))</f>
        <v/>
      </c>
      <c r="R1362" s="41" t="str">
        <f>IF(Table1[[#This Row],[QUANTITY]]=0,"",Table1[[#This Row],[UNIT PRICE]]*Table1[[#This Row],[QUANTITY]])</f>
        <v/>
      </c>
      <c r="S1362" s="89"/>
      <c r="T1362" s="38"/>
      <c r="U1362" s="43"/>
      <c r="V1362" s="42" t="str">
        <f>IF(Table1[[#This Row],[DATE]]=0,"",YEAR(E1362))</f>
        <v/>
      </c>
      <c r="W1362" s="40" t="str">
        <f t="shared" si="42"/>
        <v/>
      </c>
      <c r="X1362" s="40" t="str">
        <f t="shared" si="43"/>
        <v/>
      </c>
      <c r="Y1362" s="40" t="str">
        <f>TEXT(Table1[[#This Row],[YEAR]],"0000")&amp;"-"&amp;Table1[[#This Row],[MONTH]]</f>
        <v>-</v>
      </c>
    </row>
    <row r="1363" spans="1:25" ht="15" customHeight="1" x14ac:dyDescent="0.35">
      <c r="A1363" s="24"/>
      <c r="B1363" s="38"/>
      <c r="C1363" s="38"/>
      <c r="D1363" s="38"/>
      <c r="E1363" s="37"/>
      <c r="F1363" s="38"/>
      <c r="G1363" s="198"/>
      <c r="H1363" s="198"/>
      <c r="I1363" s="39"/>
      <c r="J1363" s="38"/>
      <c r="K1363" s="198"/>
      <c r="L1363" s="38"/>
      <c r="M1363" s="38"/>
      <c r="N1363" s="38"/>
      <c r="O1363" s="38"/>
      <c r="P1363" s="40" t="str" cm="1">
        <f t="array" ref="P1363">IF(N1363="","",IFERROR(_xlfn.XLOOKUP(F1363&amp;"|"&amp;J1363&amp;"|"&amp;O1363,PRICES!$C$2:$C$659&amp;"|"&amp;PRICES!$B$2:$B$659&amp;"|"&amp;PRICES!$D$2:$D$659,PRICES!$E$2:$E$659),"Not Found"))</f>
        <v/>
      </c>
      <c r="Q1363" s="100" t="str">
        <f>IF(N1363=0,"",SUMIFS(PRICES!$G$2:$G$658,PRICES!$B$2:$B$658,'MAIN TABLE-1 AUTOMATED'!J1363,PRICES!$C$2:$C$658,'MAIN TABLE-1 AUTOMATED'!F1363,PRICES!$D$2:$D$658,'MAIN TABLE-1 AUTOMATED'!O1363))</f>
        <v/>
      </c>
      <c r="R1363" s="41" t="str">
        <f>IF(Table1[[#This Row],[QUANTITY]]=0,"",Table1[[#This Row],[UNIT PRICE]]*Table1[[#This Row],[QUANTITY]])</f>
        <v/>
      </c>
      <c r="S1363" s="89"/>
      <c r="T1363" s="38"/>
      <c r="U1363" s="43"/>
      <c r="V1363" s="42" t="str">
        <f>IF(Table1[[#This Row],[DATE]]=0,"",YEAR(E1363))</f>
        <v/>
      </c>
      <c r="W1363" s="40" t="str">
        <f t="shared" si="42"/>
        <v/>
      </c>
      <c r="X1363" s="40" t="str">
        <f t="shared" si="43"/>
        <v/>
      </c>
      <c r="Y1363" s="40" t="str">
        <f>TEXT(Table1[[#This Row],[YEAR]],"0000")&amp;"-"&amp;Table1[[#This Row],[MONTH]]</f>
        <v>-</v>
      </c>
    </row>
    <row r="1364" spans="1:25" ht="15" customHeight="1" x14ac:dyDescent="0.35">
      <c r="A1364" s="24"/>
      <c r="B1364" s="38"/>
      <c r="C1364" s="38"/>
      <c r="D1364" s="38"/>
      <c r="E1364" s="37"/>
      <c r="F1364" s="38"/>
      <c r="G1364" s="198"/>
      <c r="H1364" s="198"/>
      <c r="I1364" s="39"/>
      <c r="J1364" s="38"/>
      <c r="K1364" s="198"/>
      <c r="L1364" s="38"/>
      <c r="M1364" s="38"/>
      <c r="N1364" s="38"/>
      <c r="O1364" s="38"/>
      <c r="P1364" s="40" t="str" cm="1">
        <f t="array" ref="P1364">IF(N1364="","",IFERROR(_xlfn.XLOOKUP(F1364&amp;"|"&amp;J1364&amp;"|"&amp;O1364,PRICES!$C$2:$C$659&amp;"|"&amp;PRICES!$B$2:$B$659&amp;"|"&amp;PRICES!$D$2:$D$659,PRICES!$E$2:$E$659),"Not Found"))</f>
        <v/>
      </c>
      <c r="Q1364" s="100" t="str">
        <f>IF(N1364=0,"",SUMIFS(PRICES!$G$2:$G$658,PRICES!$B$2:$B$658,'MAIN TABLE-1 AUTOMATED'!J1364,PRICES!$C$2:$C$658,'MAIN TABLE-1 AUTOMATED'!F1364,PRICES!$D$2:$D$658,'MAIN TABLE-1 AUTOMATED'!O1364))</f>
        <v/>
      </c>
      <c r="R1364" s="41" t="str">
        <f>IF(Table1[[#This Row],[QUANTITY]]=0,"",Table1[[#This Row],[UNIT PRICE]]*Table1[[#This Row],[QUANTITY]])</f>
        <v/>
      </c>
      <c r="S1364" s="89"/>
      <c r="T1364" s="38"/>
      <c r="U1364" s="43"/>
      <c r="V1364" s="42" t="str">
        <f>IF(Table1[[#This Row],[DATE]]=0,"",YEAR(E1364))</f>
        <v/>
      </c>
      <c r="W1364" s="40" t="str">
        <f t="shared" si="42"/>
        <v/>
      </c>
      <c r="X1364" s="40" t="str">
        <f t="shared" si="43"/>
        <v/>
      </c>
      <c r="Y1364" s="40" t="str">
        <f>TEXT(Table1[[#This Row],[YEAR]],"0000")&amp;"-"&amp;Table1[[#This Row],[MONTH]]</f>
        <v>-</v>
      </c>
    </row>
    <row r="1365" spans="1:25" ht="15" customHeight="1" x14ac:dyDescent="0.35">
      <c r="A1365" s="24"/>
      <c r="B1365" s="38"/>
      <c r="C1365" s="38"/>
      <c r="D1365" s="38"/>
      <c r="E1365" s="37"/>
      <c r="F1365" s="38"/>
      <c r="G1365" s="198"/>
      <c r="H1365" s="198"/>
      <c r="I1365" s="39"/>
      <c r="J1365" s="38"/>
      <c r="K1365" s="198"/>
      <c r="L1365" s="38"/>
      <c r="M1365" s="38"/>
      <c r="N1365" s="38"/>
      <c r="O1365" s="38"/>
      <c r="P1365" s="40" t="str" cm="1">
        <f t="array" ref="P1365">IF(N1365="","",IFERROR(_xlfn.XLOOKUP(F1365&amp;"|"&amp;J1365&amp;"|"&amp;O1365,PRICES!$C$2:$C$659&amp;"|"&amp;PRICES!$B$2:$B$659&amp;"|"&amp;PRICES!$D$2:$D$659,PRICES!$E$2:$E$659),"Not Found"))</f>
        <v/>
      </c>
      <c r="Q1365" s="100" t="str">
        <f>IF(N1365=0,"",SUMIFS(PRICES!$G$2:$G$658,PRICES!$B$2:$B$658,'MAIN TABLE-1 AUTOMATED'!J1365,PRICES!$C$2:$C$658,'MAIN TABLE-1 AUTOMATED'!F1365,PRICES!$D$2:$D$658,'MAIN TABLE-1 AUTOMATED'!O1365))</f>
        <v/>
      </c>
      <c r="R1365" s="41" t="str">
        <f>IF(Table1[[#This Row],[QUANTITY]]=0,"",Table1[[#This Row],[UNIT PRICE]]*Table1[[#This Row],[QUANTITY]])</f>
        <v/>
      </c>
      <c r="S1365" s="89"/>
      <c r="T1365" s="38"/>
      <c r="U1365" s="43"/>
      <c r="V1365" s="42" t="str">
        <f>IF(Table1[[#This Row],[DATE]]=0,"",YEAR(E1365))</f>
        <v/>
      </c>
      <c r="W1365" s="40" t="str">
        <f t="shared" si="42"/>
        <v/>
      </c>
      <c r="X1365" s="40" t="str">
        <f t="shared" si="43"/>
        <v/>
      </c>
      <c r="Y1365" s="40" t="str">
        <f>TEXT(Table1[[#This Row],[YEAR]],"0000")&amp;"-"&amp;Table1[[#This Row],[MONTH]]</f>
        <v>-</v>
      </c>
    </row>
    <row r="1366" spans="1:25" ht="15" customHeight="1" x14ac:dyDescent="0.35">
      <c r="A1366" s="24"/>
      <c r="B1366" s="38"/>
      <c r="C1366" s="38"/>
      <c r="D1366" s="38"/>
      <c r="E1366" s="37"/>
      <c r="F1366" s="38"/>
      <c r="G1366" s="198"/>
      <c r="H1366" s="198"/>
      <c r="I1366" s="39"/>
      <c r="J1366" s="38"/>
      <c r="K1366" s="198"/>
      <c r="L1366" s="38"/>
      <c r="M1366" s="38"/>
      <c r="N1366" s="38"/>
      <c r="O1366" s="38"/>
      <c r="P1366" s="40" t="str" cm="1">
        <f t="array" ref="P1366">IF(N1366="","",IFERROR(_xlfn.XLOOKUP(F1366&amp;"|"&amp;J1366&amp;"|"&amp;O1366,PRICES!$C$2:$C$659&amp;"|"&amp;PRICES!$B$2:$B$659&amp;"|"&amp;PRICES!$D$2:$D$659,PRICES!$E$2:$E$659),"Not Found"))</f>
        <v/>
      </c>
      <c r="Q1366" s="100" t="str">
        <f>IF(N1366=0,"",SUMIFS(PRICES!$G$2:$G$658,PRICES!$B$2:$B$658,'MAIN TABLE-1 AUTOMATED'!J1366,PRICES!$C$2:$C$658,'MAIN TABLE-1 AUTOMATED'!F1366,PRICES!$D$2:$D$658,'MAIN TABLE-1 AUTOMATED'!O1366))</f>
        <v/>
      </c>
      <c r="R1366" s="41" t="str">
        <f>IF(Table1[[#This Row],[QUANTITY]]=0,"",Table1[[#This Row],[UNIT PRICE]]*Table1[[#This Row],[QUANTITY]])</f>
        <v/>
      </c>
      <c r="S1366" s="89"/>
      <c r="T1366" s="38"/>
      <c r="U1366" s="43"/>
      <c r="V1366" s="42" t="str">
        <f>IF(Table1[[#This Row],[DATE]]=0,"",YEAR(E1366))</f>
        <v/>
      </c>
      <c r="W1366" s="40" t="str">
        <f t="shared" si="42"/>
        <v/>
      </c>
      <c r="X1366" s="40" t="str">
        <f t="shared" si="43"/>
        <v/>
      </c>
      <c r="Y1366" s="40" t="str">
        <f>TEXT(Table1[[#This Row],[YEAR]],"0000")&amp;"-"&amp;Table1[[#This Row],[MONTH]]</f>
        <v>-</v>
      </c>
    </row>
    <row r="1367" spans="1:25" ht="15" customHeight="1" x14ac:dyDescent="0.35">
      <c r="A1367" s="24"/>
      <c r="B1367" s="38"/>
      <c r="C1367" s="38"/>
      <c r="D1367" s="38"/>
      <c r="E1367" s="37"/>
      <c r="F1367" s="38"/>
      <c r="G1367" s="198"/>
      <c r="H1367" s="198"/>
      <c r="I1367" s="39"/>
      <c r="J1367" s="38"/>
      <c r="K1367" s="198"/>
      <c r="L1367" s="38"/>
      <c r="M1367" s="38"/>
      <c r="N1367" s="38"/>
      <c r="O1367" s="38"/>
      <c r="P1367" s="40" t="str" cm="1">
        <f t="array" ref="P1367">IF(N1367="","",IFERROR(_xlfn.XLOOKUP(F1367&amp;"|"&amp;J1367&amp;"|"&amp;O1367,PRICES!$C$2:$C$659&amp;"|"&amp;PRICES!$B$2:$B$659&amp;"|"&amp;PRICES!$D$2:$D$659,PRICES!$E$2:$E$659),"Not Found"))</f>
        <v/>
      </c>
      <c r="Q1367" s="100" t="str">
        <f>IF(N1367=0,"",SUMIFS(PRICES!$G$2:$G$658,PRICES!$B$2:$B$658,'MAIN TABLE-1 AUTOMATED'!J1367,PRICES!$C$2:$C$658,'MAIN TABLE-1 AUTOMATED'!F1367,PRICES!$D$2:$D$658,'MAIN TABLE-1 AUTOMATED'!O1367))</f>
        <v/>
      </c>
      <c r="R1367" s="41" t="str">
        <f>IF(Table1[[#This Row],[QUANTITY]]=0,"",Table1[[#This Row],[UNIT PRICE]]*Table1[[#This Row],[QUANTITY]])</f>
        <v/>
      </c>
      <c r="S1367" s="89"/>
      <c r="T1367" s="38"/>
      <c r="U1367" s="43"/>
      <c r="V1367" s="42" t="str">
        <f>IF(Table1[[#This Row],[DATE]]=0,"",YEAR(E1367))</f>
        <v/>
      </c>
      <c r="W1367" s="40" t="str">
        <f t="shared" si="42"/>
        <v/>
      </c>
      <c r="X1367" s="40" t="str">
        <f t="shared" si="43"/>
        <v/>
      </c>
      <c r="Y1367" s="40" t="str">
        <f>TEXT(Table1[[#This Row],[YEAR]],"0000")&amp;"-"&amp;Table1[[#This Row],[MONTH]]</f>
        <v>-</v>
      </c>
    </row>
    <row r="1368" spans="1:25" ht="15" customHeight="1" x14ac:dyDescent="0.35">
      <c r="A1368" s="24"/>
      <c r="B1368" s="38"/>
      <c r="C1368" s="38"/>
      <c r="D1368" s="38"/>
      <c r="E1368" s="37"/>
      <c r="F1368" s="38"/>
      <c r="G1368" s="198"/>
      <c r="H1368" s="198"/>
      <c r="I1368" s="39"/>
      <c r="J1368" s="38"/>
      <c r="K1368" s="198"/>
      <c r="L1368" s="38"/>
      <c r="M1368" s="38"/>
      <c r="N1368" s="38"/>
      <c r="O1368" s="38"/>
      <c r="P1368" s="40" t="str" cm="1">
        <f t="array" ref="P1368">IF(N1368="","",IFERROR(_xlfn.XLOOKUP(F1368&amp;"|"&amp;J1368&amp;"|"&amp;O1368,PRICES!$C$2:$C$659&amp;"|"&amp;PRICES!$B$2:$B$659&amp;"|"&amp;PRICES!$D$2:$D$659,PRICES!$E$2:$E$659),"Not Found"))</f>
        <v/>
      </c>
      <c r="Q1368" s="100" t="str">
        <f>IF(N1368=0,"",SUMIFS(PRICES!$G$2:$G$658,PRICES!$B$2:$B$658,'MAIN TABLE-1 AUTOMATED'!J1368,PRICES!$C$2:$C$658,'MAIN TABLE-1 AUTOMATED'!F1368,PRICES!$D$2:$D$658,'MAIN TABLE-1 AUTOMATED'!O1368))</f>
        <v/>
      </c>
      <c r="R1368" s="41" t="str">
        <f>IF(Table1[[#This Row],[QUANTITY]]=0,"",Table1[[#This Row],[UNIT PRICE]]*Table1[[#This Row],[QUANTITY]])</f>
        <v/>
      </c>
      <c r="S1368" s="89"/>
      <c r="T1368" s="38"/>
      <c r="U1368" s="43"/>
      <c r="V1368" s="42" t="str">
        <f>IF(Table1[[#This Row],[DATE]]=0,"",YEAR(E1368))</f>
        <v/>
      </c>
      <c r="W1368" s="40" t="str">
        <f t="shared" si="42"/>
        <v/>
      </c>
      <c r="X1368" s="40" t="str">
        <f t="shared" si="43"/>
        <v/>
      </c>
      <c r="Y1368" s="40" t="str">
        <f>TEXT(Table1[[#This Row],[YEAR]],"0000")&amp;"-"&amp;Table1[[#This Row],[MONTH]]</f>
        <v>-</v>
      </c>
    </row>
    <row r="1369" spans="1:25" ht="15" customHeight="1" x14ac:dyDescent="0.35">
      <c r="A1369" s="24"/>
      <c r="B1369" s="38"/>
      <c r="C1369" s="38"/>
      <c r="D1369" s="38"/>
      <c r="E1369" s="37"/>
      <c r="F1369" s="38"/>
      <c r="G1369" s="198"/>
      <c r="H1369" s="198"/>
      <c r="I1369" s="39"/>
      <c r="J1369" s="38"/>
      <c r="K1369" s="198"/>
      <c r="L1369" s="38"/>
      <c r="M1369" s="38"/>
      <c r="N1369" s="38"/>
      <c r="O1369" s="38"/>
      <c r="P1369" s="40" t="str" cm="1">
        <f t="array" ref="P1369">IF(N1369="","",IFERROR(_xlfn.XLOOKUP(F1369&amp;"|"&amp;J1369&amp;"|"&amp;O1369,PRICES!$C$2:$C$659&amp;"|"&amp;PRICES!$B$2:$B$659&amp;"|"&amp;PRICES!$D$2:$D$659,PRICES!$E$2:$E$659),"Not Found"))</f>
        <v/>
      </c>
      <c r="Q1369" s="100" t="str">
        <f>IF(N1369=0,"",SUMIFS(PRICES!$G$2:$G$658,PRICES!$B$2:$B$658,'MAIN TABLE-1 AUTOMATED'!J1369,PRICES!$C$2:$C$658,'MAIN TABLE-1 AUTOMATED'!F1369,PRICES!$D$2:$D$658,'MAIN TABLE-1 AUTOMATED'!O1369))</f>
        <v/>
      </c>
      <c r="R1369" s="41" t="str">
        <f>IF(Table1[[#This Row],[QUANTITY]]=0,"",Table1[[#This Row],[UNIT PRICE]]*Table1[[#This Row],[QUANTITY]])</f>
        <v/>
      </c>
      <c r="S1369" s="89"/>
      <c r="T1369" s="38"/>
      <c r="U1369" s="43"/>
      <c r="V1369" s="42" t="str">
        <f>IF(Table1[[#This Row],[DATE]]=0,"",YEAR(E1369))</f>
        <v/>
      </c>
      <c r="W1369" s="40" t="str">
        <f t="shared" si="42"/>
        <v/>
      </c>
      <c r="X1369" s="40" t="str">
        <f t="shared" si="43"/>
        <v/>
      </c>
      <c r="Y1369" s="40" t="str">
        <f>TEXT(Table1[[#This Row],[YEAR]],"0000")&amp;"-"&amp;Table1[[#This Row],[MONTH]]</f>
        <v>-</v>
      </c>
    </row>
    <row r="1370" spans="1:25" ht="15" customHeight="1" x14ac:dyDescent="0.35">
      <c r="A1370" s="24"/>
      <c r="B1370" s="38"/>
      <c r="C1370" s="38"/>
      <c r="D1370" s="38"/>
      <c r="E1370" s="37"/>
      <c r="F1370" s="38"/>
      <c r="G1370" s="198"/>
      <c r="H1370" s="198"/>
      <c r="I1370" s="39"/>
      <c r="J1370" s="38"/>
      <c r="K1370" s="198"/>
      <c r="L1370" s="38"/>
      <c r="M1370" s="38"/>
      <c r="N1370" s="38"/>
      <c r="O1370" s="38"/>
      <c r="P1370" s="40" t="str" cm="1">
        <f t="array" ref="P1370">IF(N1370="","",IFERROR(_xlfn.XLOOKUP(F1370&amp;"|"&amp;J1370&amp;"|"&amp;O1370,PRICES!$C$2:$C$659&amp;"|"&amp;PRICES!$B$2:$B$659&amp;"|"&amp;PRICES!$D$2:$D$659,PRICES!$E$2:$E$659),"Not Found"))</f>
        <v/>
      </c>
      <c r="Q1370" s="100" t="str">
        <f>IF(N1370=0,"",SUMIFS(PRICES!$G$2:$G$658,PRICES!$B$2:$B$658,'MAIN TABLE-1 AUTOMATED'!J1370,PRICES!$C$2:$C$658,'MAIN TABLE-1 AUTOMATED'!F1370,PRICES!$D$2:$D$658,'MAIN TABLE-1 AUTOMATED'!O1370))</f>
        <v/>
      </c>
      <c r="R1370" s="41" t="str">
        <f>IF(Table1[[#This Row],[QUANTITY]]=0,"",Table1[[#This Row],[UNIT PRICE]]*Table1[[#This Row],[QUANTITY]])</f>
        <v/>
      </c>
      <c r="S1370" s="89"/>
      <c r="T1370" s="38"/>
      <c r="U1370" s="43"/>
      <c r="V1370" s="42" t="str">
        <f>IF(Table1[[#This Row],[DATE]]=0,"",YEAR(E1370))</f>
        <v/>
      </c>
      <c r="W1370" s="40" t="str">
        <f t="shared" si="42"/>
        <v/>
      </c>
      <c r="X1370" s="40" t="str">
        <f t="shared" si="43"/>
        <v/>
      </c>
      <c r="Y1370" s="40" t="str">
        <f>TEXT(Table1[[#This Row],[YEAR]],"0000")&amp;"-"&amp;Table1[[#This Row],[MONTH]]</f>
        <v>-</v>
      </c>
    </row>
    <row r="1371" spans="1:25" ht="15" customHeight="1" x14ac:dyDescent="0.35">
      <c r="A1371" s="24"/>
      <c r="B1371" s="38"/>
      <c r="C1371" s="38"/>
      <c r="D1371" s="38"/>
      <c r="E1371" s="37"/>
      <c r="F1371" s="38"/>
      <c r="G1371" s="198"/>
      <c r="H1371" s="198"/>
      <c r="I1371" s="39"/>
      <c r="J1371" s="38"/>
      <c r="K1371" s="198"/>
      <c r="L1371" s="38"/>
      <c r="M1371" s="38"/>
      <c r="N1371" s="38"/>
      <c r="O1371" s="38"/>
      <c r="P1371" s="40" t="str" cm="1">
        <f t="array" ref="P1371">IF(N1371="","",IFERROR(_xlfn.XLOOKUP(F1371&amp;"|"&amp;J1371&amp;"|"&amp;O1371,PRICES!$C$2:$C$659&amp;"|"&amp;PRICES!$B$2:$B$659&amp;"|"&amp;PRICES!$D$2:$D$659,PRICES!$E$2:$E$659),"Not Found"))</f>
        <v/>
      </c>
      <c r="Q1371" s="100" t="str">
        <f>IF(N1371=0,"",SUMIFS(PRICES!$G$2:$G$658,PRICES!$B$2:$B$658,'MAIN TABLE-1 AUTOMATED'!J1371,PRICES!$C$2:$C$658,'MAIN TABLE-1 AUTOMATED'!F1371,PRICES!$D$2:$D$658,'MAIN TABLE-1 AUTOMATED'!O1371))</f>
        <v/>
      </c>
      <c r="R1371" s="41" t="str">
        <f>IF(Table1[[#This Row],[QUANTITY]]=0,"",Table1[[#This Row],[UNIT PRICE]]*Table1[[#This Row],[QUANTITY]])</f>
        <v/>
      </c>
      <c r="S1371" s="89"/>
      <c r="T1371" s="38"/>
      <c r="U1371" s="43"/>
      <c r="V1371" s="42" t="str">
        <f>IF(Table1[[#This Row],[DATE]]=0,"",YEAR(E1371))</f>
        <v/>
      </c>
      <c r="W1371" s="40" t="str">
        <f t="shared" si="42"/>
        <v/>
      </c>
      <c r="X1371" s="40" t="str">
        <f t="shared" si="43"/>
        <v/>
      </c>
      <c r="Y1371" s="40" t="str">
        <f>TEXT(Table1[[#This Row],[YEAR]],"0000")&amp;"-"&amp;Table1[[#This Row],[MONTH]]</f>
        <v>-</v>
      </c>
    </row>
    <row r="1372" spans="1:25" ht="15" customHeight="1" x14ac:dyDescent="0.35">
      <c r="A1372" s="24"/>
      <c r="B1372" s="38"/>
      <c r="C1372" s="38"/>
      <c r="D1372" s="38"/>
      <c r="E1372" s="37"/>
      <c r="F1372" s="38"/>
      <c r="G1372" s="198"/>
      <c r="H1372" s="198"/>
      <c r="I1372" s="39"/>
      <c r="J1372" s="38"/>
      <c r="K1372" s="198"/>
      <c r="L1372" s="38"/>
      <c r="M1372" s="38"/>
      <c r="N1372" s="38"/>
      <c r="O1372" s="38"/>
      <c r="P1372" s="40" t="str" cm="1">
        <f t="array" ref="P1372">IF(N1372="","",IFERROR(_xlfn.XLOOKUP(F1372&amp;"|"&amp;J1372&amp;"|"&amp;O1372,PRICES!$C$2:$C$659&amp;"|"&amp;PRICES!$B$2:$B$659&amp;"|"&amp;PRICES!$D$2:$D$659,PRICES!$E$2:$E$659),"Not Found"))</f>
        <v/>
      </c>
      <c r="Q1372" s="100" t="str">
        <f>IF(N1372=0,"",SUMIFS(PRICES!$G$2:$G$658,PRICES!$B$2:$B$658,'MAIN TABLE-1 AUTOMATED'!J1372,PRICES!$C$2:$C$658,'MAIN TABLE-1 AUTOMATED'!F1372,PRICES!$D$2:$D$658,'MAIN TABLE-1 AUTOMATED'!O1372))</f>
        <v/>
      </c>
      <c r="R1372" s="41" t="str">
        <f>IF(Table1[[#This Row],[QUANTITY]]=0,"",Table1[[#This Row],[UNIT PRICE]]*Table1[[#This Row],[QUANTITY]])</f>
        <v/>
      </c>
      <c r="S1372" s="89"/>
      <c r="T1372" s="38"/>
      <c r="U1372" s="43"/>
      <c r="V1372" s="42" t="str">
        <f>IF(Table1[[#This Row],[DATE]]=0,"",YEAR(E1372))</f>
        <v/>
      </c>
      <c r="W1372" s="40" t="str">
        <f t="shared" si="42"/>
        <v/>
      </c>
      <c r="X1372" s="40" t="str">
        <f t="shared" si="43"/>
        <v/>
      </c>
      <c r="Y1372" s="40" t="str">
        <f>TEXT(Table1[[#This Row],[YEAR]],"0000")&amp;"-"&amp;Table1[[#This Row],[MONTH]]</f>
        <v>-</v>
      </c>
    </row>
    <row r="1373" spans="1:25" ht="15" customHeight="1" x14ac:dyDescent="0.35">
      <c r="A1373" s="24"/>
      <c r="B1373" s="38"/>
      <c r="C1373" s="38"/>
      <c r="D1373" s="38"/>
      <c r="E1373" s="37"/>
      <c r="F1373" s="38"/>
      <c r="G1373" s="198"/>
      <c r="H1373" s="198"/>
      <c r="I1373" s="39"/>
      <c r="J1373" s="38"/>
      <c r="K1373" s="198"/>
      <c r="L1373" s="38"/>
      <c r="M1373" s="38"/>
      <c r="N1373" s="38"/>
      <c r="O1373" s="38"/>
      <c r="P1373" s="40" t="str" cm="1">
        <f t="array" ref="P1373">IF(N1373="","",IFERROR(_xlfn.XLOOKUP(F1373&amp;"|"&amp;J1373&amp;"|"&amp;O1373,PRICES!$C$2:$C$659&amp;"|"&amp;PRICES!$B$2:$B$659&amp;"|"&amp;PRICES!$D$2:$D$659,PRICES!$E$2:$E$659),"Not Found"))</f>
        <v/>
      </c>
      <c r="Q1373" s="100" t="str">
        <f>IF(N1373=0,"",SUMIFS(PRICES!$G$2:$G$658,PRICES!$B$2:$B$658,'MAIN TABLE-1 AUTOMATED'!J1373,PRICES!$C$2:$C$658,'MAIN TABLE-1 AUTOMATED'!F1373,PRICES!$D$2:$D$658,'MAIN TABLE-1 AUTOMATED'!O1373))</f>
        <v/>
      </c>
      <c r="R1373" s="41" t="str">
        <f>IF(Table1[[#This Row],[QUANTITY]]=0,"",Table1[[#This Row],[UNIT PRICE]]*Table1[[#This Row],[QUANTITY]])</f>
        <v/>
      </c>
      <c r="S1373" s="89"/>
      <c r="T1373" s="38"/>
      <c r="U1373" s="43"/>
      <c r="V1373" s="42" t="str">
        <f>IF(Table1[[#This Row],[DATE]]=0,"",YEAR(E1373))</f>
        <v/>
      </c>
      <c r="W1373" s="40" t="str">
        <f t="shared" si="42"/>
        <v/>
      </c>
      <c r="X1373" s="40" t="str">
        <f t="shared" si="43"/>
        <v/>
      </c>
      <c r="Y1373" s="40" t="str">
        <f>TEXT(Table1[[#This Row],[YEAR]],"0000")&amp;"-"&amp;Table1[[#This Row],[MONTH]]</f>
        <v>-</v>
      </c>
    </row>
    <row r="1374" spans="1:25" ht="15" customHeight="1" x14ac:dyDescent="0.35">
      <c r="A1374" s="24"/>
      <c r="B1374" s="38"/>
      <c r="C1374" s="38"/>
      <c r="D1374" s="38"/>
      <c r="E1374" s="37"/>
      <c r="F1374" s="38"/>
      <c r="G1374" s="198"/>
      <c r="H1374" s="198"/>
      <c r="I1374" s="39"/>
      <c r="J1374" s="38"/>
      <c r="K1374" s="198"/>
      <c r="L1374" s="38"/>
      <c r="M1374" s="38"/>
      <c r="N1374" s="38"/>
      <c r="O1374" s="38"/>
      <c r="P1374" s="40" t="str" cm="1">
        <f t="array" ref="P1374">IF(N1374="","",IFERROR(_xlfn.XLOOKUP(F1374&amp;"|"&amp;J1374&amp;"|"&amp;O1374,PRICES!$C$2:$C$659&amp;"|"&amp;PRICES!$B$2:$B$659&amp;"|"&amp;PRICES!$D$2:$D$659,PRICES!$E$2:$E$659),"Not Found"))</f>
        <v/>
      </c>
      <c r="Q1374" s="100" t="str">
        <f>IF(N1374=0,"",SUMIFS(PRICES!$G$2:$G$658,PRICES!$B$2:$B$658,'MAIN TABLE-1 AUTOMATED'!J1374,PRICES!$C$2:$C$658,'MAIN TABLE-1 AUTOMATED'!F1374,PRICES!$D$2:$D$658,'MAIN TABLE-1 AUTOMATED'!O1374))</f>
        <v/>
      </c>
      <c r="R1374" s="41" t="str">
        <f>IF(Table1[[#This Row],[QUANTITY]]=0,"",Table1[[#This Row],[UNIT PRICE]]*Table1[[#This Row],[QUANTITY]])</f>
        <v/>
      </c>
      <c r="S1374" s="89"/>
      <c r="T1374" s="38"/>
      <c r="U1374" s="43"/>
      <c r="V1374" s="42" t="str">
        <f>IF(Table1[[#This Row],[DATE]]=0,"",YEAR(E1374))</f>
        <v/>
      </c>
      <c r="W1374" s="40" t="str">
        <f t="shared" si="42"/>
        <v/>
      </c>
      <c r="X1374" s="40" t="str">
        <f t="shared" si="43"/>
        <v/>
      </c>
      <c r="Y1374" s="40" t="str">
        <f>TEXT(Table1[[#This Row],[YEAR]],"0000")&amp;"-"&amp;Table1[[#This Row],[MONTH]]</f>
        <v>-</v>
      </c>
    </row>
    <row r="1375" spans="1:25" ht="15" customHeight="1" x14ac:dyDescent="0.35">
      <c r="A1375" s="24"/>
      <c r="B1375" s="38"/>
      <c r="C1375" s="38"/>
      <c r="D1375" s="38"/>
      <c r="E1375" s="37"/>
      <c r="F1375" s="38"/>
      <c r="G1375" s="198"/>
      <c r="H1375" s="198"/>
      <c r="I1375" s="39"/>
      <c r="J1375" s="38"/>
      <c r="K1375" s="198"/>
      <c r="L1375" s="38"/>
      <c r="M1375" s="38"/>
      <c r="N1375" s="38"/>
      <c r="O1375" s="38"/>
      <c r="P1375" s="40" t="str" cm="1">
        <f t="array" ref="P1375">IF(N1375="","",IFERROR(_xlfn.XLOOKUP(F1375&amp;"|"&amp;J1375&amp;"|"&amp;O1375,PRICES!$C$2:$C$659&amp;"|"&amp;PRICES!$B$2:$B$659&amp;"|"&amp;PRICES!$D$2:$D$659,PRICES!$E$2:$E$659),"Not Found"))</f>
        <v/>
      </c>
      <c r="Q1375" s="100" t="str">
        <f>IF(N1375=0,"",SUMIFS(PRICES!$G$2:$G$658,PRICES!$B$2:$B$658,'MAIN TABLE-1 AUTOMATED'!J1375,PRICES!$C$2:$C$658,'MAIN TABLE-1 AUTOMATED'!F1375,PRICES!$D$2:$D$658,'MAIN TABLE-1 AUTOMATED'!O1375))</f>
        <v/>
      </c>
      <c r="R1375" s="41" t="str">
        <f>IF(Table1[[#This Row],[QUANTITY]]=0,"",Table1[[#This Row],[UNIT PRICE]]*Table1[[#This Row],[QUANTITY]])</f>
        <v/>
      </c>
      <c r="S1375" s="89"/>
      <c r="T1375" s="38"/>
      <c r="U1375" s="43"/>
      <c r="V1375" s="42" t="str">
        <f>IF(Table1[[#This Row],[DATE]]=0,"",YEAR(E1375))</f>
        <v/>
      </c>
      <c r="W1375" s="40" t="str">
        <f t="shared" ref="W1375:W1438" si="44">IF(E1375=0,"",MONTH(E1375))</f>
        <v/>
      </c>
      <c r="X1375" s="40" t="str">
        <f t="shared" ref="X1375:X1438" si="45">IF(E1375=0,"",WEEKNUM(E1375))</f>
        <v/>
      </c>
      <c r="Y1375" s="40" t="str">
        <f>TEXT(Table1[[#This Row],[YEAR]],"0000")&amp;"-"&amp;Table1[[#This Row],[MONTH]]</f>
        <v>-</v>
      </c>
    </row>
    <row r="1376" spans="1:25" ht="15" customHeight="1" x14ac:dyDescent="0.35">
      <c r="A1376" s="24"/>
      <c r="B1376" s="38"/>
      <c r="C1376" s="38"/>
      <c r="D1376" s="38"/>
      <c r="E1376" s="37"/>
      <c r="F1376" s="38"/>
      <c r="G1376" s="198"/>
      <c r="H1376" s="198"/>
      <c r="I1376" s="39"/>
      <c r="J1376" s="38"/>
      <c r="K1376" s="198"/>
      <c r="L1376" s="38"/>
      <c r="M1376" s="38"/>
      <c r="N1376" s="38"/>
      <c r="O1376" s="38"/>
      <c r="P1376" s="40" t="str" cm="1">
        <f t="array" ref="P1376">IF(N1376="","",IFERROR(_xlfn.XLOOKUP(F1376&amp;"|"&amp;J1376&amp;"|"&amp;O1376,PRICES!$C$2:$C$659&amp;"|"&amp;PRICES!$B$2:$B$659&amp;"|"&amp;PRICES!$D$2:$D$659,PRICES!$E$2:$E$659),"Not Found"))</f>
        <v/>
      </c>
      <c r="Q1376" s="100" t="str">
        <f>IF(N1376=0,"",SUMIFS(PRICES!$G$2:$G$658,PRICES!$B$2:$B$658,'MAIN TABLE-1 AUTOMATED'!J1376,PRICES!$C$2:$C$658,'MAIN TABLE-1 AUTOMATED'!F1376,PRICES!$D$2:$D$658,'MAIN TABLE-1 AUTOMATED'!O1376))</f>
        <v/>
      </c>
      <c r="R1376" s="41" t="str">
        <f>IF(Table1[[#This Row],[QUANTITY]]=0,"",Table1[[#This Row],[UNIT PRICE]]*Table1[[#This Row],[QUANTITY]])</f>
        <v/>
      </c>
      <c r="S1376" s="89"/>
      <c r="T1376" s="38"/>
      <c r="U1376" s="43"/>
      <c r="V1376" s="42" t="str">
        <f>IF(Table1[[#This Row],[DATE]]=0,"",YEAR(E1376))</f>
        <v/>
      </c>
      <c r="W1376" s="40" t="str">
        <f t="shared" si="44"/>
        <v/>
      </c>
      <c r="X1376" s="40" t="str">
        <f t="shared" si="45"/>
        <v/>
      </c>
      <c r="Y1376" s="40" t="str">
        <f>TEXT(Table1[[#This Row],[YEAR]],"0000")&amp;"-"&amp;Table1[[#This Row],[MONTH]]</f>
        <v>-</v>
      </c>
    </row>
    <row r="1377" spans="1:25" ht="15" customHeight="1" x14ac:dyDescent="0.35">
      <c r="A1377" s="24"/>
      <c r="B1377" s="38"/>
      <c r="C1377" s="38"/>
      <c r="D1377" s="38"/>
      <c r="E1377" s="37"/>
      <c r="F1377" s="38"/>
      <c r="G1377" s="198"/>
      <c r="H1377" s="198"/>
      <c r="I1377" s="39"/>
      <c r="J1377" s="38"/>
      <c r="K1377" s="198"/>
      <c r="L1377" s="38"/>
      <c r="M1377" s="38"/>
      <c r="N1377" s="38"/>
      <c r="O1377" s="38"/>
      <c r="P1377" s="40" t="str" cm="1">
        <f t="array" ref="P1377">IF(N1377="","",IFERROR(_xlfn.XLOOKUP(F1377&amp;"|"&amp;J1377&amp;"|"&amp;O1377,PRICES!$C$2:$C$659&amp;"|"&amp;PRICES!$B$2:$B$659&amp;"|"&amp;PRICES!$D$2:$D$659,PRICES!$E$2:$E$659),"Not Found"))</f>
        <v/>
      </c>
      <c r="Q1377" s="100" t="str">
        <f>IF(N1377=0,"",SUMIFS(PRICES!$G$2:$G$658,PRICES!$B$2:$B$658,'MAIN TABLE-1 AUTOMATED'!J1377,PRICES!$C$2:$C$658,'MAIN TABLE-1 AUTOMATED'!F1377,PRICES!$D$2:$D$658,'MAIN TABLE-1 AUTOMATED'!O1377))</f>
        <v/>
      </c>
      <c r="R1377" s="41" t="str">
        <f>IF(Table1[[#This Row],[QUANTITY]]=0,"",Table1[[#This Row],[UNIT PRICE]]*Table1[[#This Row],[QUANTITY]])</f>
        <v/>
      </c>
      <c r="S1377" s="89"/>
      <c r="T1377" s="38"/>
      <c r="U1377" s="43"/>
      <c r="V1377" s="42" t="str">
        <f>IF(Table1[[#This Row],[DATE]]=0,"",YEAR(E1377))</f>
        <v/>
      </c>
      <c r="W1377" s="40" t="str">
        <f t="shared" si="44"/>
        <v/>
      </c>
      <c r="X1377" s="40" t="str">
        <f t="shared" si="45"/>
        <v/>
      </c>
      <c r="Y1377" s="40" t="str">
        <f>TEXT(Table1[[#This Row],[YEAR]],"0000")&amp;"-"&amp;Table1[[#This Row],[MONTH]]</f>
        <v>-</v>
      </c>
    </row>
    <row r="1378" spans="1:25" ht="15" customHeight="1" x14ac:dyDescent="0.35">
      <c r="A1378" s="24"/>
      <c r="B1378" s="38"/>
      <c r="C1378" s="38"/>
      <c r="D1378" s="38"/>
      <c r="E1378" s="37"/>
      <c r="F1378" s="38"/>
      <c r="G1378" s="198"/>
      <c r="H1378" s="198"/>
      <c r="I1378" s="39"/>
      <c r="J1378" s="38"/>
      <c r="K1378" s="198"/>
      <c r="L1378" s="38"/>
      <c r="M1378" s="38"/>
      <c r="N1378" s="38"/>
      <c r="O1378" s="38"/>
      <c r="P1378" s="40" t="str" cm="1">
        <f t="array" ref="P1378">IF(N1378="","",IFERROR(_xlfn.XLOOKUP(F1378&amp;"|"&amp;J1378&amp;"|"&amp;O1378,PRICES!$C$2:$C$659&amp;"|"&amp;PRICES!$B$2:$B$659&amp;"|"&amp;PRICES!$D$2:$D$659,PRICES!$E$2:$E$659),"Not Found"))</f>
        <v/>
      </c>
      <c r="Q1378" s="100" t="str">
        <f>IF(N1378=0,"",SUMIFS(PRICES!$G$2:$G$658,PRICES!$B$2:$B$658,'MAIN TABLE-1 AUTOMATED'!J1378,PRICES!$C$2:$C$658,'MAIN TABLE-1 AUTOMATED'!F1378,PRICES!$D$2:$D$658,'MAIN TABLE-1 AUTOMATED'!O1378))</f>
        <v/>
      </c>
      <c r="R1378" s="41" t="str">
        <f>IF(Table1[[#This Row],[QUANTITY]]=0,"",Table1[[#This Row],[UNIT PRICE]]*Table1[[#This Row],[QUANTITY]])</f>
        <v/>
      </c>
      <c r="S1378" s="89"/>
      <c r="T1378" s="38"/>
      <c r="U1378" s="43"/>
      <c r="V1378" s="42" t="str">
        <f>IF(Table1[[#This Row],[DATE]]=0,"",YEAR(E1378))</f>
        <v/>
      </c>
      <c r="W1378" s="40" t="str">
        <f t="shared" si="44"/>
        <v/>
      </c>
      <c r="X1378" s="40" t="str">
        <f t="shared" si="45"/>
        <v/>
      </c>
      <c r="Y1378" s="40" t="str">
        <f>TEXT(Table1[[#This Row],[YEAR]],"0000")&amp;"-"&amp;Table1[[#This Row],[MONTH]]</f>
        <v>-</v>
      </c>
    </row>
    <row r="1379" spans="1:25" ht="15" customHeight="1" x14ac:dyDescent="0.35">
      <c r="A1379" s="24"/>
      <c r="B1379" s="38"/>
      <c r="C1379" s="38"/>
      <c r="D1379" s="38"/>
      <c r="E1379" s="37"/>
      <c r="F1379" s="38"/>
      <c r="G1379" s="198"/>
      <c r="H1379" s="198"/>
      <c r="I1379" s="39"/>
      <c r="J1379" s="38"/>
      <c r="K1379" s="198"/>
      <c r="L1379" s="38"/>
      <c r="M1379" s="38"/>
      <c r="N1379" s="38"/>
      <c r="O1379" s="38"/>
      <c r="P1379" s="40" t="str" cm="1">
        <f t="array" ref="P1379">IF(N1379="","",IFERROR(_xlfn.XLOOKUP(F1379&amp;"|"&amp;J1379&amp;"|"&amp;O1379,PRICES!$C$2:$C$659&amp;"|"&amp;PRICES!$B$2:$B$659&amp;"|"&amp;PRICES!$D$2:$D$659,PRICES!$E$2:$E$659),"Not Found"))</f>
        <v/>
      </c>
      <c r="Q1379" s="100" t="str">
        <f>IF(N1379=0,"",SUMIFS(PRICES!$G$2:$G$658,PRICES!$B$2:$B$658,'MAIN TABLE-1 AUTOMATED'!J1379,PRICES!$C$2:$C$658,'MAIN TABLE-1 AUTOMATED'!F1379,PRICES!$D$2:$D$658,'MAIN TABLE-1 AUTOMATED'!O1379))</f>
        <v/>
      </c>
      <c r="R1379" s="41" t="str">
        <f>IF(Table1[[#This Row],[QUANTITY]]=0,"",Table1[[#This Row],[UNIT PRICE]]*Table1[[#This Row],[QUANTITY]])</f>
        <v/>
      </c>
      <c r="S1379" s="89"/>
      <c r="T1379" s="38"/>
      <c r="U1379" s="43"/>
      <c r="V1379" s="42" t="str">
        <f>IF(Table1[[#This Row],[DATE]]=0,"",YEAR(E1379))</f>
        <v/>
      </c>
      <c r="W1379" s="40" t="str">
        <f t="shared" si="44"/>
        <v/>
      </c>
      <c r="X1379" s="40" t="str">
        <f t="shared" si="45"/>
        <v/>
      </c>
      <c r="Y1379" s="40" t="str">
        <f>TEXT(Table1[[#This Row],[YEAR]],"0000")&amp;"-"&amp;Table1[[#This Row],[MONTH]]</f>
        <v>-</v>
      </c>
    </row>
    <row r="1380" spans="1:25" ht="15" customHeight="1" x14ac:dyDescent="0.35">
      <c r="A1380" s="24"/>
      <c r="B1380" s="38"/>
      <c r="C1380" s="38"/>
      <c r="D1380" s="38"/>
      <c r="E1380" s="37"/>
      <c r="F1380" s="38"/>
      <c r="G1380" s="198"/>
      <c r="H1380" s="198"/>
      <c r="I1380" s="39"/>
      <c r="J1380" s="38"/>
      <c r="K1380" s="198"/>
      <c r="L1380" s="38"/>
      <c r="M1380" s="38"/>
      <c r="N1380" s="38"/>
      <c r="O1380" s="38"/>
      <c r="P1380" s="40" t="str" cm="1">
        <f t="array" ref="P1380">IF(N1380="","",IFERROR(_xlfn.XLOOKUP(F1380&amp;"|"&amp;J1380&amp;"|"&amp;O1380,PRICES!$C$2:$C$659&amp;"|"&amp;PRICES!$B$2:$B$659&amp;"|"&amp;PRICES!$D$2:$D$659,PRICES!$E$2:$E$659),"Not Found"))</f>
        <v/>
      </c>
      <c r="Q1380" s="100" t="str">
        <f>IF(N1380=0,"",SUMIFS(PRICES!$G$2:$G$658,PRICES!$B$2:$B$658,'MAIN TABLE-1 AUTOMATED'!J1380,PRICES!$C$2:$C$658,'MAIN TABLE-1 AUTOMATED'!F1380,PRICES!$D$2:$D$658,'MAIN TABLE-1 AUTOMATED'!O1380))</f>
        <v/>
      </c>
      <c r="R1380" s="41" t="str">
        <f>IF(Table1[[#This Row],[QUANTITY]]=0,"",Table1[[#This Row],[UNIT PRICE]]*Table1[[#This Row],[QUANTITY]])</f>
        <v/>
      </c>
      <c r="S1380" s="89"/>
      <c r="T1380" s="38"/>
      <c r="U1380" s="43"/>
      <c r="V1380" s="42" t="str">
        <f>IF(Table1[[#This Row],[DATE]]=0,"",YEAR(E1380))</f>
        <v/>
      </c>
      <c r="W1380" s="40" t="str">
        <f t="shared" si="44"/>
        <v/>
      </c>
      <c r="X1380" s="40" t="str">
        <f t="shared" si="45"/>
        <v/>
      </c>
      <c r="Y1380" s="40" t="str">
        <f>TEXT(Table1[[#This Row],[YEAR]],"0000")&amp;"-"&amp;Table1[[#This Row],[MONTH]]</f>
        <v>-</v>
      </c>
    </row>
    <row r="1381" spans="1:25" ht="15" customHeight="1" x14ac:dyDescent="0.35">
      <c r="A1381" s="24"/>
      <c r="B1381" s="38"/>
      <c r="C1381" s="38"/>
      <c r="D1381" s="38"/>
      <c r="E1381" s="37"/>
      <c r="F1381" s="38"/>
      <c r="G1381" s="198"/>
      <c r="H1381" s="198"/>
      <c r="I1381" s="39"/>
      <c r="J1381" s="38"/>
      <c r="K1381" s="198"/>
      <c r="L1381" s="38"/>
      <c r="M1381" s="38"/>
      <c r="N1381" s="38"/>
      <c r="O1381" s="38"/>
      <c r="P1381" s="40" t="str" cm="1">
        <f t="array" ref="P1381">IF(N1381="","",IFERROR(_xlfn.XLOOKUP(F1381&amp;"|"&amp;J1381&amp;"|"&amp;O1381,PRICES!$C$2:$C$659&amp;"|"&amp;PRICES!$B$2:$B$659&amp;"|"&amp;PRICES!$D$2:$D$659,PRICES!$E$2:$E$659),"Not Found"))</f>
        <v/>
      </c>
      <c r="Q1381" s="100" t="str">
        <f>IF(N1381=0,"",SUMIFS(PRICES!$G$2:$G$658,PRICES!$B$2:$B$658,'MAIN TABLE-1 AUTOMATED'!J1381,PRICES!$C$2:$C$658,'MAIN TABLE-1 AUTOMATED'!F1381,PRICES!$D$2:$D$658,'MAIN TABLE-1 AUTOMATED'!O1381))</f>
        <v/>
      </c>
      <c r="R1381" s="41" t="str">
        <f>IF(Table1[[#This Row],[QUANTITY]]=0,"",Table1[[#This Row],[UNIT PRICE]]*Table1[[#This Row],[QUANTITY]])</f>
        <v/>
      </c>
      <c r="S1381" s="89"/>
      <c r="T1381" s="38"/>
      <c r="U1381" s="43"/>
      <c r="V1381" s="42" t="str">
        <f>IF(Table1[[#This Row],[DATE]]=0,"",YEAR(E1381))</f>
        <v/>
      </c>
      <c r="W1381" s="40" t="str">
        <f t="shared" si="44"/>
        <v/>
      </c>
      <c r="X1381" s="40" t="str">
        <f t="shared" si="45"/>
        <v/>
      </c>
      <c r="Y1381" s="40" t="str">
        <f>TEXT(Table1[[#This Row],[YEAR]],"0000")&amp;"-"&amp;Table1[[#This Row],[MONTH]]</f>
        <v>-</v>
      </c>
    </row>
    <row r="1382" spans="1:25" ht="15" customHeight="1" x14ac:dyDescent="0.35">
      <c r="A1382" s="24"/>
      <c r="B1382" s="38"/>
      <c r="C1382" s="38"/>
      <c r="D1382" s="38"/>
      <c r="E1382" s="37"/>
      <c r="F1382" s="38"/>
      <c r="G1382" s="198"/>
      <c r="H1382" s="198"/>
      <c r="I1382" s="39"/>
      <c r="J1382" s="38"/>
      <c r="K1382" s="198"/>
      <c r="L1382" s="38"/>
      <c r="M1382" s="38"/>
      <c r="N1382" s="38"/>
      <c r="O1382" s="38"/>
      <c r="P1382" s="40" t="str" cm="1">
        <f t="array" ref="P1382">IF(N1382="","",IFERROR(_xlfn.XLOOKUP(F1382&amp;"|"&amp;J1382&amp;"|"&amp;O1382,PRICES!$C$2:$C$659&amp;"|"&amp;PRICES!$B$2:$B$659&amp;"|"&amp;PRICES!$D$2:$D$659,PRICES!$E$2:$E$659),"Not Found"))</f>
        <v/>
      </c>
      <c r="Q1382" s="100" t="str">
        <f>IF(N1382=0,"",SUMIFS(PRICES!$G$2:$G$658,PRICES!$B$2:$B$658,'MAIN TABLE-1 AUTOMATED'!J1382,PRICES!$C$2:$C$658,'MAIN TABLE-1 AUTOMATED'!F1382,PRICES!$D$2:$D$658,'MAIN TABLE-1 AUTOMATED'!O1382))</f>
        <v/>
      </c>
      <c r="R1382" s="41" t="str">
        <f>IF(Table1[[#This Row],[QUANTITY]]=0,"",Table1[[#This Row],[UNIT PRICE]]*Table1[[#This Row],[QUANTITY]])</f>
        <v/>
      </c>
      <c r="S1382" s="89"/>
      <c r="T1382" s="38"/>
      <c r="U1382" s="43"/>
      <c r="V1382" s="42" t="str">
        <f>IF(Table1[[#This Row],[DATE]]=0,"",YEAR(E1382))</f>
        <v/>
      </c>
      <c r="W1382" s="40" t="str">
        <f t="shared" si="44"/>
        <v/>
      </c>
      <c r="X1382" s="40" t="str">
        <f t="shared" si="45"/>
        <v/>
      </c>
      <c r="Y1382" s="40" t="str">
        <f>TEXT(Table1[[#This Row],[YEAR]],"0000")&amp;"-"&amp;Table1[[#This Row],[MONTH]]</f>
        <v>-</v>
      </c>
    </row>
    <row r="1383" spans="1:25" ht="15" customHeight="1" x14ac:dyDescent="0.35">
      <c r="A1383" s="24"/>
      <c r="B1383" s="38"/>
      <c r="C1383" s="38"/>
      <c r="D1383" s="38"/>
      <c r="E1383" s="37"/>
      <c r="F1383" s="38"/>
      <c r="G1383" s="198"/>
      <c r="H1383" s="198"/>
      <c r="I1383" s="39"/>
      <c r="J1383" s="38"/>
      <c r="K1383" s="198"/>
      <c r="L1383" s="38"/>
      <c r="M1383" s="38"/>
      <c r="N1383" s="38"/>
      <c r="O1383" s="38"/>
      <c r="P1383" s="40" t="str" cm="1">
        <f t="array" ref="P1383">IF(N1383="","",IFERROR(_xlfn.XLOOKUP(F1383&amp;"|"&amp;J1383&amp;"|"&amp;O1383,PRICES!$C$2:$C$659&amp;"|"&amp;PRICES!$B$2:$B$659&amp;"|"&amp;PRICES!$D$2:$D$659,PRICES!$E$2:$E$659),"Not Found"))</f>
        <v/>
      </c>
      <c r="Q1383" s="100" t="str">
        <f>IF(N1383=0,"",SUMIFS(PRICES!$G$2:$G$658,PRICES!$B$2:$B$658,'MAIN TABLE-1 AUTOMATED'!J1383,PRICES!$C$2:$C$658,'MAIN TABLE-1 AUTOMATED'!F1383,PRICES!$D$2:$D$658,'MAIN TABLE-1 AUTOMATED'!O1383))</f>
        <v/>
      </c>
      <c r="R1383" s="41" t="str">
        <f>IF(Table1[[#This Row],[QUANTITY]]=0,"",Table1[[#This Row],[UNIT PRICE]]*Table1[[#This Row],[QUANTITY]])</f>
        <v/>
      </c>
      <c r="S1383" s="89"/>
      <c r="T1383" s="38"/>
      <c r="U1383" s="43"/>
      <c r="V1383" s="42" t="str">
        <f>IF(Table1[[#This Row],[DATE]]=0,"",YEAR(E1383))</f>
        <v/>
      </c>
      <c r="W1383" s="40" t="str">
        <f t="shared" si="44"/>
        <v/>
      </c>
      <c r="X1383" s="40" t="str">
        <f t="shared" si="45"/>
        <v/>
      </c>
      <c r="Y1383" s="40" t="str">
        <f>TEXT(Table1[[#This Row],[YEAR]],"0000")&amp;"-"&amp;Table1[[#This Row],[MONTH]]</f>
        <v>-</v>
      </c>
    </row>
    <row r="1384" spans="1:25" ht="15" customHeight="1" x14ac:dyDescent="0.35">
      <c r="A1384" s="24"/>
      <c r="B1384" s="38"/>
      <c r="C1384" s="38"/>
      <c r="D1384" s="38"/>
      <c r="E1384" s="37"/>
      <c r="F1384" s="38"/>
      <c r="G1384" s="232"/>
      <c r="H1384" s="232"/>
      <c r="I1384" s="218"/>
      <c r="J1384" s="38"/>
      <c r="K1384" s="198"/>
      <c r="L1384" s="38"/>
      <c r="M1384" s="38"/>
      <c r="N1384" s="38"/>
      <c r="O1384" s="38"/>
      <c r="P1384" s="40" t="str" cm="1">
        <f t="array" ref="P1384">IF(N1384="","",IFERROR(_xlfn.XLOOKUP(F1384&amp;"|"&amp;J1384&amp;"|"&amp;O1384,PRICES!$C$2:$C$659&amp;"|"&amp;PRICES!$B$2:$B$659&amp;"|"&amp;PRICES!$D$2:$D$659,PRICES!$E$2:$E$659),"Not Found"))</f>
        <v/>
      </c>
      <c r="Q1384" s="100" t="str">
        <f>IF(N1384=0,"",SUMIFS(PRICES!$G$2:$G$658,PRICES!$B$2:$B$658,'MAIN TABLE-1 AUTOMATED'!J1384,PRICES!$C$2:$C$658,'MAIN TABLE-1 AUTOMATED'!F1384,PRICES!$D$2:$D$658,'MAIN TABLE-1 AUTOMATED'!O1384))</f>
        <v/>
      </c>
      <c r="R1384" s="41" t="str">
        <f>IF(Table1[[#This Row],[QUANTITY]]=0,"",Table1[[#This Row],[UNIT PRICE]]*Table1[[#This Row],[QUANTITY]])</f>
        <v/>
      </c>
      <c r="S1384" s="89"/>
      <c r="T1384" s="38"/>
      <c r="U1384" s="43"/>
      <c r="V1384" s="42" t="str">
        <f>IF(Table1[[#This Row],[DATE]]=0,"",YEAR(E1384))</f>
        <v/>
      </c>
      <c r="W1384" s="40" t="str">
        <f t="shared" si="44"/>
        <v/>
      </c>
      <c r="X1384" s="40" t="str">
        <f t="shared" si="45"/>
        <v/>
      </c>
      <c r="Y1384" s="40" t="str">
        <f>TEXT(Table1[[#This Row],[YEAR]],"0000")&amp;"-"&amp;Table1[[#This Row],[MONTH]]</f>
        <v>-</v>
      </c>
    </row>
    <row r="1385" spans="1:25" ht="15" customHeight="1" x14ac:dyDescent="0.35">
      <c r="A1385" s="24"/>
      <c r="B1385" s="38"/>
      <c r="C1385" s="38"/>
      <c r="D1385" s="38"/>
      <c r="E1385" s="37"/>
      <c r="F1385" s="38"/>
      <c r="G1385" s="232"/>
      <c r="H1385" s="232"/>
      <c r="I1385" s="218"/>
      <c r="J1385" s="38"/>
      <c r="K1385" s="198"/>
      <c r="L1385" s="38"/>
      <c r="M1385" s="38"/>
      <c r="N1385" s="38"/>
      <c r="O1385" s="38"/>
      <c r="P1385" s="40" t="str" cm="1">
        <f t="array" ref="P1385">IF(N1385="","",IFERROR(_xlfn.XLOOKUP(F1385&amp;"|"&amp;J1385&amp;"|"&amp;O1385,PRICES!$C$2:$C$659&amp;"|"&amp;PRICES!$B$2:$B$659&amp;"|"&amp;PRICES!$D$2:$D$659,PRICES!$E$2:$E$659),"Not Found"))</f>
        <v/>
      </c>
      <c r="Q1385" s="100" t="str">
        <f>IF(N1385=0,"",SUMIFS(PRICES!$G$2:$G$658,PRICES!$B$2:$B$658,'MAIN TABLE-1 AUTOMATED'!J1385,PRICES!$C$2:$C$658,'MAIN TABLE-1 AUTOMATED'!F1385,PRICES!$D$2:$D$658,'MAIN TABLE-1 AUTOMATED'!O1385))</f>
        <v/>
      </c>
      <c r="R1385" s="41" t="str">
        <f>IF(Table1[[#This Row],[QUANTITY]]=0,"",Table1[[#This Row],[UNIT PRICE]]*Table1[[#This Row],[QUANTITY]])</f>
        <v/>
      </c>
      <c r="S1385" s="89"/>
      <c r="T1385" s="38"/>
      <c r="U1385" s="43"/>
      <c r="V1385" s="42" t="str">
        <f>IF(Table1[[#This Row],[DATE]]=0,"",YEAR(E1385))</f>
        <v/>
      </c>
      <c r="W1385" s="40" t="str">
        <f t="shared" si="44"/>
        <v/>
      </c>
      <c r="X1385" s="40" t="str">
        <f t="shared" si="45"/>
        <v/>
      </c>
      <c r="Y1385" s="40" t="str">
        <f>TEXT(Table1[[#This Row],[YEAR]],"0000")&amp;"-"&amp;Table1[[#This Row],[MONTH]]</f>
        <v>-</v>
      </c>
    </row>
    <row r="1386" spans="1:25" ht="15.6" customHeight="1" x14ac:dyDescent="0.35">
      <c r="A1386" s="24"/>
      <c r="B1386" s="38"/>
      <c r="C1386" s="38"/>
      <c r="D1386" s="38"/>
      <c r="E1386" s="37"/>
      <c r="F1386" s="38"/>
      <c r="G1386" s="232"/>
      <c r="H1386" s="232"/>
      <c r="I1386" s="218"/>
      <c r="J1386" s="38"/>
      <c r="K1386" s="198"/>
      <c r="L1386" s="38"/>
      <c r="M1386" s="38"/>
      <c r="N1386" s="38"/>
      <c r="O1386" s="38"/>
      <c r="P1386" s="40" t="str" cm="1">
        <f t="array" ref="P1386">IF(N1386="","",IFERROR(_xlfn.XLOOKUP(F1386&amp;"|"&amp;J1386&amp;"|"&amp;O1386,PRICES!$C$2:$C$659&amp;"|"&amp;PRICES!$B$2:$B$659&amp;"|"&amp;PRICES!$D$2:$D$659,PRICES!$E$2:$E$659),"Not Found"))</f>
        <v/>
      </c>
      <c r="Q1386" s="100" t="str">
        <f>IF(N1386=0,"",SUMIFS(PRICES!$G$2:$G$658,PRICES!$B$2:$B$658,'MAIN TABLE-1 AUTOMATED'!J1386,PRICES!$C$2:$C$658,'MAIN TABLE-1 AUTOMATED'!F1386,PRICES!$D$2:$D$658,'MAIN TABLE-1 AUTOMATED'!O1386))</f>
        <v/>
      </c>
      <c r="R1386" s="41" t="str">
        <f>IF(Table1[[#This Row],[QUANTITY]]=0,"",Table1[[#This Row],[UNIT PRICE]]*Table1[[#This Row],[QUANTITY]])</f>
        <v/>
      </c>
      <c r="S1386" s="89"/>
      <c r="T1386" s="38"/>
      <c r="U1386" s="43"/>
      <c r="V1386" s="42" t="str">
        <f>IF(Table1[[#This Row],[DATE]]=0,"",YEAR(E1386))</f>
        <v/>
      </c>
      <c r="W1386" s="40" t="str">
        <f t="shared" si="44"/>
        <v/>
      </c>
      <c r="X1386" s="40" t="str">
        <f t="shared" si="45"/>
        <v/>
      </c>
      <c r="Y1386" s="40" t="str">
        <f>TEXT(Table1[[#This Row],[YEAR]],"0000")&amp;"-"&amp;Table1[[#This Row],[MONTH]]</f>
        <v>-</v>
      </c>
    </row>
    <row r="1387" spans="1:25" ht="15" customHeight="1" x14ac:dyDescent="0.35">
      <c r="A1387" s="24"/>
      <c r="B1387" s="38"/>
      <c r="C1387" s="38"/>
      <c r="D1387" s="38"/>
      <c r="E1387" s="37"/>
      <c r="F1387" s="38"/>
      <c r="G1387" s="232"/>
      <c r="H1387" s="232"/>
      <c r="I1387" s="218"/>
      <c r="J1387" s="38"/>
      <c r="K1387" s="198"/>
      <c r="L1387" s="38"/>
      <c r="M1387" s="38"/>
      <c r="N1387" s="38"/>
      <c r="O1387" s="38"/>
      <c r="P1387" s="40" t="str" cm="1">
        <f t="array" ref="P1387">IF(N1387="","",IFERROR(_xlfn.XLOOKUP(F1387&amp;"|"&amp;J1387&amp;"|"&amp;O1387,PRICES!$C$2:$C$659&amp;"|"&amp;PRICES!$B$2:$B$659&amp;"|"&amp;PRICES!$D$2:$D$659,PRICES!$E$2:$E$659),"Not Found"))</f>
        <v/>
      </c>
      <c r="Q1387" s="100" t="str">
        <f>IF(N1387=0,"",SUMIFS(PRICES!$G$2:$G$658,PRICES!$B$2:$B$658,'MAIN TABLE-1 AUTOMATED'!J1387,PRICES!$C$2:$C$658,'MAIN TABLE-1 AUTOMATED'!F1387,PRICES!$D$2:$D$658,'MAIN TABLE-1 AUTOMATED'!O1387))</f>
        <v/>
      </c>
      <c r="R1387" s="41" t="str">
        <f>IF(Table1[[#This Row],[QUANTITY]]=0,"",Table1[[#This Row],[UNIT PRICE]]*Table1[[#This Row],[QUANTITY]])</f>
        <v/>
      </c>
      <c r="S1387" s="89"/>
      <c r="T1387" s="38"/>
      <c r="U1387" s="43"/>
      <c r="V1387" s="42" t="str">
        <f>IF(Table1[[#This Row],[DATE]]=0,"",YEAR(E1387))</f>
        <v/>
      </c>
      <c r="W1387" s="40" t="str">
        <f t="shared" si="44"/>
        <v/>
      </c>
      <c r="X1387" s="40" t="str">
        <f t="shared" si="45"/>
        <v/>
      </c>
      <c r="Y1387" s="40" t="str">
        <f>TEXT(Table1[[#This Row],[YEAR]],"0000")&amp;"-"&amp;Table1[[#This Row],[MONTH]]</f>
        <v>-</v>
      </c>
    </row>
    <row r="1388" spans="1:25" ht="15" customHeight="1" x14ac:dyDescent="0.35">
      <c r="A1388" s="24"/>
      <c r="B1388" s="38"/>
      <c r="C1388" s="38"/>
      <c r="D1388" s="38"/>
      <c r="E1388" s="37"/>
      <c r="F1388" s="38"/>
      <c r="G1388" s="232"/>
      <c r="H1388" s="232"/>
      <c r="I1388" s="218"/>
      <c r="J1388" s="38"/>
      <c r="K1388" s="198"/>
      <c r="L1388" s="38"/>
      <c r="M1388" s="38"/>
      <c r="N1388" s="38"/>
      <c r="O1388" s="38"/>
      <c r="P1388" s="40" t="str" cm="1">
        <f t="array" ref="P1388">IF(N1388="","",IFERROR(_xlfn.XLOOKUP(F1388&amp;"|"&amp;J1388&amp;"|"&amp;O1388,PRICES!$C$2:$C$659&amp;"|"&amp;PRICES!$B$2:$B$659&amp;"|"&amp;PRICES!$D$2:$D$659,PRICES!$E$2:$E$659),"Not Found"))</f>
        <v/>
      </c>
      <c r="Q1388" s="100" t="str">
        <f>IF(N1388=0,"",SUMIFS(PRICES!$G$2:$G$658,PRICES!$B$2:$B$658,'MAIN TABLE-1 AUTOMATED'!J1388,PRICES!$C$2:$C$658,'MAIN TABLE-1 AUTOMATED'!F1388,PRICES!$D$2:$D$658,'MAIN TABLE-1 AUTOMATED'!O1388))</f>
        <v/>
      </c>
      <c r="R1388" s="41" t="str">
        <f>IF(Table1[[#This Row],[QUANTITY]]=0,"",Table1[[#This Row],[UNIT PRICE]]*Table1[[#This Row],[QUANTITY]])</f>
        <v/>
      </c>
      <c r="S1388" s="89"/>
      <c r="T1388" s="38"/>
      <c r="U1388" s="43"/>
      <c r="V1388" s="42" t="str">
        <f>IF(Table1[[#This Row],[DATE]]=0,"",YEAR(E1388))</f>
        <v/>
      </c>
      <c r="W1388" s="40" t="str">
        <f t="shared" si="44"/>
        <v/>
      </c>
      <c r="X1388" s="40" t="str">
        <f t="shared" si="45"/>
        <v/>
      </c>
      <c r="Y1388" s="40" t="str">
        <f>TEXT(Table1[[#This Row],[YEAR]],"0000")&amp;"-"&amp;Table1[[#This Row],[MONTH]]</f>
        <v>-</v>
      </c>
    </row>
    <row r="1389" spans="1:25" ht="15" customHeight="1" x14ac:dyDescent="0.35">
      <c r="A1389" s="24"/>
      <c r="B1389" s="38"/>
      <c r="C1389" s="38"/>
      <c r="D1389" s="38"/>
      <c r="E1389" s="37"/>
      <c r="F1389" s="38"/>
      <c r="G1389" s="232"/>
      <c r="H1389" s="232"/>
      <c r="I1389" s="218"/>
      <c r="J1389" s="38"/>
      <c r="K1389" s="198"/>
      <c r="L1389" s="38"/>
      <c r="M1389" s="38"/>
      <c r="N1389" s="38"/>
      <c r="O1389" s="38"/>
      <c r="P1389" s="40" t="str" cm="1">
        <f t="array" ref="P1389">IF(N1389="","",IFERROR(_xlfn.XLOOKUP(F1389&amp;"|"&amp;J1389&amp;"|"&amp;O1389,PRICES!$C$2:$C$659&amp;"|"&amp;PRICES!$B$2:$B$659&amp;"|"&amp;PRICES!$D$2:$D$659,PRICES!$E$2:$E$659),"Not Found"))</f>
        <v/>
      </c>
      <c r="Q1389" s="100" t="str">
        <f>IF(N1389=0,"",SUMIFS(PRICES!$G$2:$G$658,PRICES!$B$2:$B$658,'MAIN TABLE-1 AUTOMATED'!J1389,PRICES!$C$2:$C$658,'MAIN TABLE-1 AUTOMATED'!F1389,PRICES!$D$2:$D$658,'MAIN TABLE-1 AUTOMATED'!O1389))</f>
        <v/>
      </c>
      <c r="R1389" s="41" t="str">
        <f>IF(Table1[[#This Row],[QUANTITY]]=0,"",Table1[[#This Row],[UNIT PRICE]]*Table1[[#This Row],[QUANTITY]])</f>
        <v/>
      </c>
      <c r="S1389" s="89"/>
      <c r="T1389" s="38"/>
      <c r="U1389" s="43"/>
      <c r="V1389" s="42" t="str">
        <f>IF(Table1[[#This Row],[DATE]]=0,"",YEAR(E1389))</f>
        <v/>
      </c>
      <c r="W1389" s="40" t="str">
        <f t="shared" si="44"/>
        <v/>
      </c>
      <c r="X1389" s="40" t="str">
        <f t="shared" si="45"/>
        <v/>
      </c>
      <c r="Y1389" s="40" t="str">
        <f>TEXT(Table1[[#This Row],[YEAR]],"0000")&amp;"-"&amp;Table1[[#This Row],[MONTH]]</f>
        <v>-</v>
      </c>
    </row>
    <row r="1390" spans="1:25" ht="15" customHeight="1" x14ac:dyDescent="0.35">
      <c r="A1390" s="24"/>
      <c r="B1390" s="38"/>
      <c r="C1390" s="38"/>
      <c r="D1390" s="38"/>
      <c r="E1390" s="37"/>
      <c r="F1390" s="38"/>
      <c r="G1390" s="232"/>
      <c r="H1390" s="232"/>
      <c r="I1390" s="218"/>
      <c r="J1390" s="38"/>
      <c r="K1390" s="198"/>
      <c r="L1390" s="38"/>
      <c r="M1390" s="38"/>
      <c r="N1390" s="38"/>
      <c r="O1390" s="38"/>
      <c r="P1390" s="40" t="str" cm="1">
        <f t="array" ref="P1390">IF(N1390="","",IFERROR(_xlfn.XLOOKUP(F1390&amp;"|"&amp;J1390&amp;"|"&amp;O1390,PRICES!$C$2:$C$659&amp;"|"&amp;PRICES!$B$2:$B$659&amp;"|"&amp;PRICES!$D$2:$D$659,PRICES!$E$2:$E$659),"Not Found"))</f>
        <v/>
      </c>
      <c r="Q1390" s="100" t="str">
        <f>IF(N1390=0,"",SUMIFS(PRICES!$G$2:$G$658,PRICES!$B$2:$B$658,'MAIN TABLE-1 AUTOMATED'!J1390,PRICES!$C$2:$C$658,'MAIN TABLE-1 AUTOMATED'!F1390,PRICES!$D$2:$D$658,'MAIN TABLE-1 AUTOMATED'!O1390))</f>
        <v/>
      </c>
      <c r="R1390" s="41" t="str">
        <f>IF(Table1[[#This Row],[QUANTITY]]=0,"",Table1[[#This Row],[UNIT PRICE]]*Table1[[#This Row],[QUANTITY]])</f>
        <v/>
      </c>
      <c r="S1390" s="89"/>
      <c r="T1390" s="38"/>
      <c r="U1390" s="43"/>
      <c r="V1390" s="42" t="str">
        <f>IF(Table1[[#This Row],[DATE]]=0,"",YEAR(E1390))</f>
        <v/>
      </c>
      <c r="W1390" s="40" t="str">
        <f t="shared" si="44"/>
        <v/>
      </c>
      <c r="X1390" s="40" t="str">
        <f t="shared" si="45"/>
        <v/>
      </c>
      <c r="Y1390" s="40" t="str">
        <f>TEXT(Table1[[#This Row],[YEAR]],"0000")&amp;"-"&amp;Table1[[#This Row],[MONTH]]</f>
        <v>-</v>
      </c>
    </row>
    <row r="1391" spans="1:25" ht="15" customHeight="1" x14ac:dyDescent="0.35">
      <c r="A1391" s="24"/>
      <c r="B1391" s="38"/>
      <c r="C1391" s="38"/>
      <c r="D1391" s="38"/>
      <c r="E1391" s="37"/>
      <c r="F1391" s="38"/>
      <c r="G1391" s="198"/>
      <c r="H1391" s="198"/>
      <c r="I1391" s="39"/>
      <c r="J1391" s="38"/>
      <c r="K1391" s="198"/>
      <c r="L1391" s="38"/>
      <c r="M1391" s="38"/>
      <c r="N1391" s="38"/>
      <c r="O1391" s="38"/>
      <c r="P1391" s="40" t="str" cm="1">
        <f t="array" ref="P1391">IF(N1391="","",IFERROR(_xlfn.XLOOKUP(F1391&amp;"|"&amp;J1391&amp;"|"&amp;O1391,PRICES!$C$2:$C$659&amp;"|"&amp;PRICES!$B$2:$B$659&amp;"|"&amp;PRICES!$D$2:$D$659,PRICES!$E$2:$E$659),"Not Found"))</f>
        <v/>
      </c>
      <c r="Q1391" s="100" t="str">
        <f>IF(N1391=0,"",SUMIFS(PRICES!$G$2:$G$658,PRICES!$B$2:$B$658,'MAIN TABLE-1 AUTOMATED'!J1391,PRICES!$C$2:$C$658,'MAIN TABLE-1 AUTOMATED'!F1391,PRICES!$D$2:$D$658,'MAIN TABLE-1 AUTOMATED'!O1391))</f>
        <v/>
      </c>
      <c r="R1391" s="41" t="str">
        <f>IF(Table1[[#This Row],[QUANTITY]]=0,"",Table1[[#This Row],[UNIT PRICE]]*Table1[[#This Row],[QUANTITY]])</f>
        <v/>
      </c>
      <c r="S1391" s="89"/>
      <c r="T1391" s="38"/>
      <c r="U1391" s="43"/>
      <c r="V1391" s="42" t="str">
        <f>IF(Table1[[#This Row],[DATE]]=0,"",YEAR(E1391))</f>
        <v/>
      </c>
      <c r="W1391" s="40" t="str">
        <f t="shared" si="44"/>
        <v/>
      </c>
      <c r="X1391" s="40" t="str">
        <f t="shared" si="45"/>
        <v/>
      </c>
      <c r="Y1391" s="40" t="str">
        <f>TEXT(Table1[[#This Row],[YEAR]],"0000")&amp;"-"&amp;Table1[[#This Row],[MONTH]]</f>
        <v>-</v>
      </c>
    </row>
    <row r="1392" spans="1:25" ht="15" customHeight="1" x14ac:dyDescent="0.35">
      <c r="A1392" s="24"/>
      <c r="B1392" s="38"/>
      <c r="C1392" s="38"/>
      <c r="D1392" s="38"/>
      <c r="E1392" s="37"/>
      <c r="F1392" s="38"/>
      <c r="G1392" s="198"/>
      <c r="H1392" s="198"/>
      <c r="I1392" s="39"/>
      <c r="J1392" s="38"/>
      <c r="K1392" s="198"/>
      <c r="L1392" s="38"/>
      <c r="M1392" s="38"/>
      <c r="N1392" s="38"/>
      <c r="O1392" s="38"/>
      <c r="P1392" s="40" t="str" cm="1">
        <f t="array" ref="P1392">IF(N1392="","",IFERROR(_xlfn.XLOOKUP(F1392&amp;"|"&amp;J1392&amp;"|"&amp;O1392,PRICES!$C$2:$C$659&amp;"|"&amp;PRICES!$B$2:$B$659&amp;"|"&amp;PRICES!$D$2:$D$659,PRICES!$E$2:$E$659),"Not Found"))</f>
        <v/>
      </c>
      <c r="Q1392" s="100" t="str">
        <f>IF(N1392=0,"",SUMIFS(PRICES!$G$2:$G$658,PRICES!$B$2:$B$658,'MAIN TABLE-1 AUTOMATED'!J1392,PRICES!$C$2:$C$658,'MAIN TABLE-1 AUTOMATED'!F1392,PRICES!$D$2:$D$658,'MAIN TABLE-1 AUTOMATED'!O1392))</f>
        <v/>
      </c>
      <c r="R1392" s="41" t="str">
        <f>IF(Table1[[#This Row],[QUANTITY]]=0,"",Table1[[#This Row],[UNIT PRICE]]*Table1[[#This Row],[QUANTITY]])</f>
        <v/>
      </c>
      <c r="S1392" s="89"/>
      <c r="T1392" s="38"/>
      <c r="U1392" s="43"/>
      <c r="V1392" s="42" t="str">
        <f>IF(Table1[[#This Row],[DATE]]=0,"",YEAR(E1392))</f>
        <v/>
      </c>
      <c r="W1392" s="40" t="str">
        <f t="shared" si="44"/>
        <v/>
      </c>
      <c r="X1392" s="40" t="str">
        <f t="shared" si="45"/>
        <v/>
      </c>
      <c r="Y1392" s="40" t="str">
        <f>TEXT(Table1[[#This Row],[YEAR]],"0000")&amp;"-"&amp;Table1[[#This Row],[MONTH]]</f>
        <v>-</v>
      </c>
    </row>
    <row r="1393" spans="1:25" ht="15" customHeight="1" x14ac:dyDescent="0.35">
      <c r="A1393" s="24"/>
      <c r="B1393" s="38"/>
      <c r="C1393" s="38"/>
      <c r="D1393" s="38"/>
      <c r="E1393" s="37"/>
      <c r="F1393" s="38"/>
      <c r="G1393" s="198"/>
      <c r="H1393" s="198"/>
      <c r="I1393" s="39"/>
      <c r="J1393" s="38"/>
      <c r="K1393" s="198"/>
      <c r="L1393" s="38"/>
      <c r="M1393" s="38"/>
      <c r="N1393" s="38"/>
      <c r="O1393" s="38"/>
      <c r="P1393" s="40" t="str" cm="1">
        <f t="array" ref="P1393">IF(N1393="","",IFERROR(_xlfn.XLOOKUP(F1393&amp;"|"&amp;J1393&amp;"|"&amp;O1393,PRICES!$C$2:$C$659&amp;"|"&amp;PRICES!$B$2:$B$659&amp;"|"&amp;PRICES!$D$2:$D$659,PRICES!$E$2:$E$659),"Not Found"))</f>
        <v/>
      </c>
      <c r="Q1393" s="100" t="str">
        <f>IF(N1393=0,"",SUMIFS(PRICES!$G$2:$G$658,PRICES!$B$2:$B$658,'MAIN TABLE-1 AUTOMATED'!J1393,PRICES!$C$2:$C$658,'MAIN TABLE-1 AUTOMATED'!F1393,PRICES!$D$2:$D$658,'MAIN TABLE-1 AUTOMATED'!O1393))</f>
        <v/>
      </c>
      <c r="R1393" s="41" t="str">
        <f>IF(Table1[[#This Row],[QUANTITY]]=0,"",Table1[[#This Row],[UNIT PRICE]]*Table1[[#This Row],[QUANTITY]])</f>
        <v/>
      </c>
      <c r="S1393" s="89"/>
      <c r="T1393" s="38"/>
      <c r="U1393" s="43"/>
      <c r="V1393" s="42" t="str">
        <f>IF(Table1[[#This Row],[DATE]]=0,"",YEAR(E1393))</f>
        <v/>
      </c>
      <c r="W1393" s="40" t="str">
        <f t="shared" si="44"/>
        <v/>
      </c>
      <c r="X1393" s="40" t="str">
        <f t="shared" si="45"/>
        <v/>
      </c>
      <c r="Y1393" s="40" t="str">
        <f>TEXT(Table1[[#This Row],[YEAR]],"0000")&amp;"-"&amp;Table1[[#This Row],[MONTH]]</f>
        <v>-</v>
      </c>
    </row>
    <row r="1394" spans="1:25" ht="15" customHeight="1" x14ac:dyDescent="0.35">
      <c r="A1394" s="24"/>
      <c r="B1394" s="38"/>
      <c r="C1394" s="38"/>
      <c r="D1394" s="38"/>
      <c r="E1394" s="37"/>
      <c r="F1394" s="38"/>
      <c r="G1394" s="232"/>
      <c r="H1394" s="232"/>
      <c r="I1394" s="39"/>
      <c r="J1394" s="38"/>
      <c r="K1394" s="198"/>
      <c r="L1394" s="38"/>
      <c r="M1394" s="38"/>
      <c r="N1394" s="38"/>
      <c r="O1394" s="38"/>
      <c r="P1394" s="40" t="str" cm="1">
        <f t="array" ref="P1394">IF(N1394="","",IFERROR(_xlfn.XLOOKUP(F1394&amp;"|"&amp;J1394&amp;"|"&amp;O1394,PRICES!$C$2:$C$659&amp;"|"&amp;PRICES!$B$2:$B$659&amp;"|"&amp;PRICES!$D$2:$D$659,PRICES!$E$2:$E$659),"Not Found"))</f>
        <v/>
      </c>
      <c r="Q1394" s="100" t="str">
        <f>IF(N1394=0,"",SUMIFS(PRICES!$G$2:$G$658,PRICES!$B$2:$B$658,'MAIN TABLE-1 AUTOMATED'!J1394,PRICES!$C$2:$C$658,'MAIN TABLE-1 AUTOMATED'!F1394,PRICES!$D$2:$D$658,'MAIN TABLE-1 AUTOMATED'!O1394))</f>
        <v/>
      </c>
      <c r="R1394" s="41" t="str">
        <f>IF(Table1[[#This Row],[QUANTITY]]=0,"",Table1[[#This Row],[UNIT PRICE]]*Table1[[#This Row],[QUANTITY]])</f>
        <v/>
      </c>
      <c r="S1394" s="89"/>
      <c r="T1394" s="38"/>
      <c r="U1394" s="43"/>
      <c r="V1394" s="42" t="str">
        <f>IF(Table1[[#This Row],[DATE]]=0,"",YEAR(E1394))</f>
        <v/>
      </c>
      <c r="W1394" s="40" t="str">
        <f t="shared" si="44"/>
        <v/>
      </c>
      <c r="X1394" s="40" t="str">
        <f t="shared" si="45"/>
        <v/>
      </c>
      <c r="Y1394" s="40" t="str">
        <f>TEXT(Table1[[#This Row],[YEAR]],"0000")&amp;"-"&amp;Table1[[#This Row],[MONTH]]</f>
        <v>-</v>
      </c>
    </row>
    <row r="1395" spans="1:25" ht="15" customHeight="1" x14ac:dyDescent="0.35">
      <c r="A1395" s="24"/>
      <c r="B1395" s="38"/>
      <c r="C1395" s="38"/>
      <c r="D1395" s="38"/>
      <c r="E1395" s="37"/>
      <c r="F1395" s="38"/>
      <c r="G1395" s="198"/>
      <c r="H1395" s="198"/>
      <c r="I1395" s="39"/>
      <c r="J1395" s="38"/>
      <c r="K1395" s="198"/>
      <c r="L1395" s="38"/>
      <c r="M1395" s="38"/>
      <c r="N1395" s="38"/>
      <c r="O1395" s="38"/>
      <c r="P1395" s="40" t="str" cm="1">
        <f t="array" ref="P1395">IF(N1395="","",IFERROR(_xlfn.XLOOKUP(F1395&amp;"|"&amp;J1395&amp;"|"&amp;O1395,PRICES!$C$2:$C$659&amp;"|"&amp;PRICES!$B$2:$B$659&amp;"|"&amp;PRICES!$D$2:$D$659,PRICES!$E$2:$E$659),"Not Found"))</f>
        <v/>
      </c>
      <c r="Q1395" s="100" t="str">
        <f>IF(N1395=0,"",SUMIFS(PRICES!$G$2:$G$658,PRICES!$B$2:$B$658,'MAIN TABLE-1 AUTOMATED'!J1395,PRICES!$C$2:$C$658,'MAIN TABLE-1 AUTOMATED'!F1395,PRICES!$D$2:$D$658,'MAIN TABLE-1 AUTOMATED'!O1395))</f>
        <v/>
      </c>
      <c r="R1395" s="41" t="str">
        <f>IF(Table1[[#This Row],[QUANTITY]]=0,"",Table1[[#This Row],[UNIT PRICE]]*Table1[[#This Row],[QUANTITY]])</f>
        <v/>
      </c>
      <c r="S1395" s="89"/>
      <c r="T1395" s="38"/>
      <c r="U1395" s="43"/>
      <c r="V1395" s="42" t="str">
        <f>IF(Table1[[#This Row],[DATE]]=0,"",YEAR(E1395))</f>
        <v/>
      </c>
      <c r="W1395" s="40" t="str">
        <f t="shared" si="44"/>
        <v/>
      </c>
      <c r="X1395" s="40" t="str">
        <f t="shared" si="45"/>
        <v/>
      </c>
      <c r="Y1395" s="40" t="str">
        <f>TEXT(Table1[[#This Row],[YEAR]],"0000")&amp;"-"&amp;Table1[[#This Row],[MONTH]]</f>
        <v>-</v>
      </c>
    </row>
    <row r="1396" spans="1:25" ht="15" customHeight="1" x14ac:dyDescent="0.35">
      <c r="A1396" s="24"/>
      <c r="B1396" s="38"/>
      <c r="C1396" s="38"/>
      <c r="D1396" s="38"/>
      <c r="E1396" s="37"/>
      <c r="F1396" s="38"/>
      <c r="G1396" s="198"/>
      <c r="H1396" s="198"/>
      <c r="I1396" s="39"/>
      <c r="J1396" s="38"/>
      <c r="K1396" s="198"/>
      <c r="L1396" s="38"/>
      <c r="M1396" s="38"/>
      <c r="N1396" s="38"/>
      <c r="O1396" s="38"/>
      <c r="P1396" s="40" t="str" cm="1">
        <f t="array" ref="P1396">IF(N1396="","",IFERROR(_xlfn.XLOOKUP(F1396&amp;"|"&amp;J1396&amp;"|"&amp;O1396,PRICES!$C$2:$C$659&amp;"|"&amp;PRICES!$B$2:$B$659&amp;"|"&amp;PRICES!$D$2:$D$659,PRICES!$E$2:$E$659),"Not Found"))</f>
        <v/>
      </c>
      <c r="Q1396" s="100" t="str">
        <f>IF(N1396=0,"",SUMIFS(PRICES!$G$2:$G$658,PRICES!$B$2:$B$658,'MAIN TABLE-1 AUTOMATED'!J1396,PRICES!$C$2:$C$658,'MAIN TABLE-1 AUTOMATED'!F1396,PRICES!$D$2:$D$658,'MAIN TABLE-1 AUTOMATED'!O1396))</f>
        <v/>
      </c>
      <c r="R1396" s="41" t="str">
        <f>IF(Table1[[#This Row],[QUANTITY]]=0,"",Table1[[#This Row],[UNIT PRICE]]*Table1[[#This Row],[QUANTITY]])</f>
        <v/>
      </c>
      <c r="S1396" s="89"/>
      <c r="T1396" s="38"/>
      <c r="U1396" s="43"/>
      <c r="V1396" s="42" t="str">
        <f>IF(Table1[[#This Row],[DATE]]=0,"",YEAR(E1396))</f>
        <v/>
      </c>
      <c r="W1396" s="40" t="str">
        <f t="shared" si="44"/>
        <v/>
      </c>
      <c r="X1396" s="40" t="str">
        <f t="shared" si="45"/>
        <v/>
      </c>
      <c r="Y1396" s="40" t="str">
        <f>TEXT(Table1[[#This Row],[YEAR]],"0000")&amp;"-"&amp;Table1[[#This Row],[MONTH]]</f>
        <v>-</v>
      </c>
    </row>
    <row r="1397" spans="1:25" ht="15" customHeight="1" x14ac:dyDescent="0.35">
      <c r="A1397" s="24"/>
      <c r="B1397" s="38"/>
      <c r="C1397" s="38"/>
      <c r="D1397" s="38"/>
      <c r="E1397" s="37"/>
      <c r="F1397" s="38"/>
      <c r="G1397" s="198"/>
      <c r="H1397" s="198"/>
      <c r="I1397" s="39"/>
      <c r="J1397" s="38"/>
      <c r="K1397" s="198"/>
      <c r="L1397" s="38"/>
      <c r="M1397" s="38"/>
      <c r="N1397" s="38"/>
      <c r="O1397" s="38"/>
      <c r="P1397" s="40" t="str" cm="1">
        <f t="array" ref="P1397">IF(N1397="","",IFERROR(_xlfn.XLOOKUP(F1397&amp;"|"&amp;J1397&amp;"|"&amp;O1397,PRICES!$C$2:$C$659&amp;"|"&amp;PRICES!$B$2:$B$659&amp;"|"&amp;PRICES!$D$2:$D$659,PRICES!$E$2:$E$659),"Not Found"))</f>
        <v/>
      </c>
      <c r="Q1397" s="100" t="str">
        <f>IF(N1397=0,"",SUMIFS(PRICES!$G$2:$G$658,PRICES!$B$2:$B$658,'MAIN TABLE-1 AUTOMATED'!J1397,PRICES!$C$2:$C$658,'MAIN TABLE-1 AUTOMATED'!F1397,PRICES!$D$2:$D$658,'MAIN TABLE-1 AUTOMATED'!O1397))</f>
        <v/>
      </c>
      <c r="R1397" s="41" t="str">
        <f>IF(Table1[[#This Row],[QUANTITY]]=0,"",Table1[[#This Row],[UNIT PRICE]]*Table1[[#This Row],[QUANTITY]])</f>
        <v/>
      </c>
      <c r="S1397" s="89"/>
      <c r="T1397" s="38"/>
      <c r="U1397" s="43"/>
      <c r="V1397" s="42" t="str">
        <f>IF(Table1[[#This Row],[DATE]]=0,"",YEAR(E1397))</f>
        <v/>
      </c>
      <c r="W1397" s="40" t="str">
        <f t="shared" si="44"/>
        <v/>
      </c>
      <c r="X1397" s="40" t="str">
        <f t="shared" si="45"/>
        <v/>
      </c>
      <c r="Y1397" s="40" t="str">
        <f>TEXT(Table1[[#This Row],[YEAR]],"0000")&amp;"-"&amp;Table1[[#This Row],[MONTH]]</f>
        <v>-</v>
      </c>
    </row>
    <row r="1398" spans="1:25" ht="15" customHeight="1" x14ac:dyDescent="0.35">
      <c r="A1398" s="24"/>
      <c r="B1398" s="38"/>
      <c r="C1398" s="38"/>
      <c r="D1398" s="38"/>
      <c r="E1398" s="37"/>
      <c r="F1398" s="38"/>
      <c r="G1398" s="198"/>
      <c r="H1398" s="198"/>
      <c r="I1398" s="39"/>
      <c r="J1398" s="38"/>
      <c r="K1398" s="198"/>
      <c r="L1398" s="38"/>
      <c r="M1398" s="38"/>
      <c r="N1398" s="38"/>
      <c r="O1398" s="38"/>
      <c r="P1398" s="40" t="str" cm="1">
        <f t="array" ref="P1398">IF(N1398="","",IFERROR(_xlfn.XLOOKUP(F1398&amp;"|"&amp;J1398&amp;"|"&amp;O1398,PRICES!$C$2:$C$659&amp;"|"&amp;PRICES!$B$2:$B$659&amp;"|"&amp;PRICES!$D$2:$D$659,PRICES!$E$2:$E$659),"Not Found"))</f>
        <v/>
      </c>
      <c r="Q1398" s="100" t="str">
        <f>IF(N1398=0,"",SUMIFS(PRICES!$G$2:$G$658,PRICES!$B$2:$B$658,'MAIN TABLE-1 AUTOMATED'!J1398,PRICES!$C$2:$C$658,'MAIN TABLE-1 AUTOMATED'!F1398,PRICES!$D$2:$D$658,'MAIN TABLE-1 AUTOMATED'!O1398))</f>
        <v/>
      </c>
      <c r="R1398" s="41" t="str">
        <f>IF(Table1[[#This Row],[QUANTITY]]=0,"",Table1[[#This Row],[UNIT PRICE]]*Table1[[#This Row],[QUANTITY]])</f>
        <v/>
      </c>
      <c r="S1398" s="89"/>
      <c r="T1398" s="38"/>
      <c r="U1398" s="43"/>
      <c r="V1398" s="42" t="str">
        <f>IF(Table1[[#This Row],[DATE]]=0,"",YEAR(E1398))</f>
        <v/>
      </c>
      <c r="W1398" s="40" t="str">
        <f t="shared" si="44"/>
        <v/>
      </c>
      <c r="X1398" s="40" t="str">
        <f t="shared" si="45"/>
        <v/>
      </c>
      <c r="Y1398" s="40" t="str">
        <f>TEXT(Table1[[#This Row],[YEAR]],"0000")&amp;"-"&amp;Table1[[#This Row],[MONTH]]</f>
        <v>-</v>
      </c>
    </row>
    <row r="1399" spans="1:25" ht="15" customHeight="1" x14ac:dyDescent="0.35">
      <c r="A1399" s="24"/>
      <c r="B1399" s="38"/>
      <c r="C1399" s="38"/>
      <c r="D1399" s="38"/>
      <c r="E1399" s="37"/>
      <c r="F1399" s="38"/>
      <c r="G1399" s="232"/>
      <c r="H1399" s="232"/>
      <c r="I1399" s="39"/>
      <c r="J1399" s="38"/>
      <c r="K1399" s="198"/>
      <c r="L1399" s="38"/>
      <c r="M1399" s="38"/>
      <c r="N1399" s="38"/>
      <c r="O1399" s="38"/>
      <c r="P1399" s="40" t="str" cm="1">
        <f t="array" ref="P1399">IF(N1399="","",IFERROR(_xlfn.XLOOKUP(F1399&amp;"|"&amp;J1399&amp;"|"&amp;O1399,PRICES!$C$2:$C$659&amp;"|"&amp;PRICES!$B$2:$B$659&amp;"|"&amp;PRICES!$D$2:$D$659,PRICES!$E$2:$E$659),"Not Found"))</f>
        <v/>
      </c>
      <c r="Q1399" s="100" t="str">
        <f>IF(N1399=0,"",SUMIFS(PRICES!$G$2:$G$658,PRICES!$B$2:$B$658,'MAIN TABLE-1 AUTOMATED'!J1399,PRICES!$C$2:$C$658,'MAIN TABLE-1 AUTOMATED'!F1399,PRICES!$D$2:$D$658,'MAIN TABLE-1 AUTOMATED'!O1399))</f>
        <v/>
      </c>
      <c r="R1399" s="41" t="str">
        <f>IF(Table1[[#This Row],[QUANTITY]]=0,"",Table1[[#This Row],[UNIT PRICE]]*Table1[[#This Row],[QUANTITY]])</f>
        <v/>
      </c>
      <c r="S1399" s="89"/>
      <c r="T1399" s="38"/>
      <c r="U1399" s="43"/>
      <c r="V1399" s="42" t="str">
        <f>IF(Table1[[#This Row],[DATE]]=0,"",YEAR(E1399))</f>
        <v/>
      </c>
      <c r="W1399" s="40" t="str">
        <f t="shared" si="44"/>
        <v/>
      </c>
      <c r="X1399" s="40" t="str">
        <f t="shared" si="45"/>
        <v/>
      </c>
      <c r="Y1399" s="40" t="str">
        <f>TEXT(Table1[[#This Row],[YEAR]],"0000")&amp;"-"&amp;Table1[[#This Row],[MONTH]]</f>
        <v>-</v>
      </c>
    </row>
    <row r="1400" spans="1:25" ht="15" customHeight="1" x14ac:dyDescent="0.35">
      <c r="A1400" s="24"/>
      <c r="B1400" s="38"/>
      <c r="C1400" s="38"/>
      <c r="D1400" s="38"/>
      <c r="E1400" s="37"/>
      <c r="F1400" s="38"/>
      <c r="G1400" s="198"/>
      <c r="H1400" s="198"/>
      <c r="I1400" s="39"/>
      <c r="J1400" s="38"/>
      <c r="K1400" s="198"/>
      <c r="L1400" s="38"/>
      <c r="M1400" s="38"/>
      <c r="N1400" s="38"/>
      <c r="O1400" s="38"/>
      <c r="P1400" s="40" t="str" cm="1">
        <f t="array" ref="P1400">IF(N1400="","",IFERROR(_xlfn.XLOOKUP(F1400&amp;"|"&amp;J1400&amp;"|"&amp;O1400,PRICES!$C$2:$C$659&amp;"|"&amp;PRICES!$B$2:$B$659&amp;"|"&amp;PRICES!$D$2:$D$659,PRICES!$E$2:$E$659),"Not Found"))</f>
        <v/>
      </c>
      <c r="Q1400" s="100" t="str">
        <f>IF(N1400=0,"",SUMIFS(PRICES!$G$2:$G$658,PRICES!$B$2:$B$658,'MAIN TABLE-1 AUTOMATED'!J1400,PRICES!$C$2:$C$658,'MAIN TABLE-1 AUTOMATED'!F1400,PRICES!$D$2:$D$658,'MAIN TABLE-1 AUTOMATED'!O1400))</f>
        <v/>
      </c>
      <c r="R1400" s="41" t="str">
        <f>IF(Table1[[#This Row],[QUANTITY]]=0,"",Table1[[#This Row],[UNIT PRICE]]*Table1[[#This Row],[QUANTITY]])</f>
        <v/>
      </c>
      <c r="S1400" s="89"/>
      <c r="T1400" s="38"/>
      <c r="U1400" s="43"/>
      <c r="V1400" s="42" t="str">
        <f>IF(Table1[[#This Row],[DATE]]=0,"",YEAR(E1400))</f>
        <v/>
      </c>
      <c r="W1400" s="40" t="str">
        <f t="shared" si="44"/>
        <v/>
      </c>
      <c r="X1400" s="40" t="str">
        <f t="shared" si="45"/>
        <v/>
      </c>
      <c r="Y1400" s="40" t="str">
        <f>TEXT(Table1[[#This Row],[YEAR]],"0000")&amp;"-"&amp;Table1[[#This Row],[MONTH]]</f>
        <v>-</v>
      </c>
    </row>
    <row r="1401" spans="1:25" ht="15" customHeight="1" x14ac:dyDescent="0.35">
      <c r="A1401" s="24"/>
      <c r="B1401" s="38"/>
      <c r="C1401" s="38"/>
      <c r="D1401" s="38"/>
      <c r="E1401" s="37"/>
      <c r="F1401" s="38"/>
      <c r="G1401" s="198"/>
      <c r="H1401" s="198"/>
      <c r="I1401" s="39"/>
      <c r="J1401" s="38"/>
      <c r="K1401" s="198"/>
      <c r="L1401" s="38"/>
      <c r="M1401" s="38"/>
      <c r="N1401" s="38"/>
      <c r="O1401" s="38"/>
      <c r="P1401" s="40" t="str" cm="1">
        <f t="array" ref="P1401">IF(N1401="","",IFERROR(_xlfn.XLOOKUP(F1401&amp;"|"&amp;J1401&amp;"|"&amp;O1401,PRICES!$C$2:$C$659&amp;"|"&amp;PRICES!$B$2:$B$659&amp;"|"&amp;PRICES!$D$2:$D$659,PRICES!$E$2:$E$659),"Not Found"))</f>
        <v/>
      </c>
      <c r="Q1401" s="100" t="str">
        <f>IF(N1401=0,"",SUMIFS(PRICES!$G$2:$G$658,PRICES!$B$2:$B$658,'MAIN TABLE-1 AUTOMATED'!J1401,PRICES!$C$2:$C$658,'MAIN TABLE-1 AUTOMATED'!F1401,PRICES!$D$2:$D$658,'MAIN TABLE-1 AUTOMATED'!O1401))</f>
        <v/>
      </c>
      <c r="R1401" s="41" t="str">
        <f>IF(Table1[[#This Row],[QUANTITY]]=0,"",Table1[[#This Row],[UNIT PRICE]]*Table1[[#This Row],[QUANTITY]])</f>
        <v/>
      </c>
      <c r="S1401" s="89"/>
      <c r="T1401" s="38"/>
      <c r="U1401" s="43"/>
      <c r="V1401" s="42" t="str">
        <f>IF(Table1[[#This Row],[DATE]]=0,"",YEAR(E1401))</f>
        <v/>
      </c>
      <c r="W1401" s="40" t="str">
        <f t="shared" si="44"/>
        <v/>
      </c>
      <c r="X1401" s="40" t="str">
        <f t="shared" si="45"/>
        <v/>
      </c>
      <c r="Y1401" s="40" t="str">
        <f>TEXT(Table1[[#This Row],[YEAR]],"0000")&amp;"-"&amp;Table1[[#This Row],[MONTH]]</f>
        <v>-</v>
      </c>
    </row>
    <row r="1402" spans="1:25" ht="15" customHeight="1" x14ac:dyDescent="0.35">
      <c r="A1402" s="24"/>
      <c r="B1402" s="38"/>
      <c r="C1402" s="38"/>
      <c r="D1402" s="38"/>
      <c r="E1402" s="37"/>
      <c r="F1402" s="38"/>
      <c r="G1402" s="198"/>
      <c r="H1402" s="198"/>
      <c r="I1402" s="39"/>
      <c r="J1402" s="38"/>
      <c r="K1402" s="198"/>
      <c r="L1402" s="38"/>
      <c r="M1402" s="38"/>
      <c r="N1402" s="38"/>
      <c r="O1402" s="38"/>
      <c r="P1402" s="40" t="str" cm="1">
        <f t="array" ref="P1402">IF(N1402="","",IFERROR(_xlfn.XLOOKUP(F1402&amp;"|"&amp;J1402&amp;"|"&amp;O1402,PRICES!$C$2:$C$659&amp;"|"&amp;PRICES!$B$2:$B$659&amp;"|"&amp;PRICES!$D$2:$D$659,PRICES!$E$2:$E$659),"Not Found"))</f>
        <v/>
      </c>
      <c r="Q1402" s="100" t="str">
        <f>IF(N1402=0,"",SUMIFS(PRICES!$G$2:$G$658,PRICES!$B$2:$B$658,'MAIN TABLE-1 AUTOMATED'!J1402,PRICES!$C$2:$C$658,'MAIN TABLE-1 AUTOMATED'!F1402,PRICES!$D$2:$D$658,'MAIN TABLE-1 AUTOMATED'!O1402))</f>
        <v/>
      </c>
      <c r="R1402" s="41" t="str">
        <f>IF(Table1[[#This Row],[QUANTITY]]=0,"",Table1[[#This Row],[UNIT PRICE]]*Table1[[#This Row],[QUANTITY]])</f>
        <v/>
      </c>
      <c r="S1402" s="89"/>
      <c r="T1402" s="38"/>
      <c r="U1402" s="43"/>
      <c r="V1402" s="42" t="str">
        <f>IF(Table1[[#This Row],[DATE]]=0,"",YEAR(E1402))</f>
        <v/>
      </c>
      <c r="W1402" s="40" t="str">
        <f t="shared" si="44"/>
        <v/>
      </c>
      <c r="X1402" s="40" t="str">
        <f t="shared" si="45"/>
        <v/>
      </c>
      <c r="Y1402" s="40" t="str">
        <f>TEXT(Table1[[#This Row],[YEAR]],"0000")&amp;"-"&amp;Table1[[#This Row],[MONTH]]</f>
        <v>-</v>
      </c>
    </row>
    <row r="1403" spans="1:25" ht="15" customHeight="1" x14ac:dyDescent="0.35">
      <c r="A1403" s="24"/>
      <c r="B1403" s="38"/>
      <c r="C1403" s="38"/>
      <c r="D1403" s="38"/>
      <c r="E1403" s="37"/>
      <c r="F1403" s="38"/>
      <c r="G1403" s="198"/>
      <c r="H1403" s="198"/>
      <c r="I1403" s="39"/>
      <c r="J1403" s="38"/>
      <c r="K1403" s="198"/>
      <c r="L1403" s="38"/>
      <c r="M1403" s="38"/>
      <c r="N1403" s="38"/>
      <c r="O1403" s="38"/>
      <c r="P1403" s="40" t="str" cm="1">
        <f t="array" ref="P1403">IF(N1403="","",IFERROR(_xlfn.XLOOKUP(F1403&amp;"|"&amp;J1403&amp;"|"&amp;O1403,PRICES!$C$2:$C$659&amp;"|"&amp;PRICES!$B$2:$B$659&amp;"|"&amp;PRICES!$D$2:$D$659,PRICES!$E$2:$E$659),"Not Found"))</f>
        <v/>
      </c>
      <c r="Q1403" s="100" t="str">
        <f>IF(N1403=0,"",SUMIFS(PRICES!$G$2:$G$658,PRICES!$B$2:$B$658,'MAIN TABLE-1 AUTOMATED'!J1403,PRICES!$C$2:$C$658,'MAIN TABLE-1 AUTOMATED'!F1403,PRICES!$D$2:$D$658,'MAIN TABLE-1 AUTOMATED'!O1403))</f>
        <v/>
      </c>
      <c r="R1403" s="41" t="str">
        <f>IF(Table1[[#This Row],[QUANTITY]]=0,"",Table1[[#This Row],[UNIT PRICE]]*Table1[[#This Row],[QUANTITY]])</f>
        <v/>
      </c>
      <c r="S1403" s="89"/>
      <c r="T1403" s="38"/>
      <c r="U1403" s="43"/>
      <c r="V1403" s="42" t="str">
        <f>IF(Table1[[#This Row],[DATE]]=0,"",YEAR(E1403))</f>
        <v/>
      </c>
      <c r="W1403" s="40" t="str">
        <f t="shared" si="44"/>
        <v/>
      </c>
      <c r="X1403" s="40" t="str">
        <f t="shared" si="45"/>
        <v/>
      </c>
      <c r="Y1403" s="40" t="str">
        <f>TEXT(Table1[[#This Row],[YEAR]],"0000")&amp;"-"&amp;Table1[[#This Row],[MONTH]]</f>
        <v>-</v>
      </c>
    </row>
    <row r="1404" spans="1:25" ht="15" customHeight="1" x14ac:dyDescent="0.35">
      <c r="A1404" s="24"/>
      <c r="B1404" s="38"/>
      <c r="C1404" s="38"/>
      <c r="D1404" s="38"/>
      <c r="E1404" s="37"/>
      <c r="F1404" s="38"/>
      <c r="G1404" s="198"/>
      <c r="H1404" s="198"/>
      <c r="I1404" s="39"/>
      <c r="J1404" s="38"/>
      <c r="K1404" s="198"/>
      <c r="L1404" s="38"/>
      <c r="M1404" s="38"/>
      <c r="N1404" s="38"/>
      <c r="O1404" s="38"/>
      <c r="P1404" s="40" t="str" cm="1">
        <f t="array" ref="P1404">IF(N1404="","",IFERROR(_xlfn.XLOOKUP(F1404&amp;"|"&amp;J1404&amp;"|"&amp;O1404,PRICES!$C$2:$C$659&amp;"|"&amp;PRICES!$B$2:$B$659&amp;"|"&amp;PRICES!$D$2:$D$659,PRICES!$E$2:$E$659),"Not Found"))</f>
        <v/>
      </c>
      <c r="Q1404" s="100" t="str">
        <f>IF(N1404=0,"",SUMIFS(PRICES!$G$2:$G$658,PRICES!$B$2:$B$658,'MAIN TABLE-1 AUTOMATED'!J1404,PRICES!$C$2:$C$658,'MAIN TABLE-1 AUTOMATED'!F1404,PRICES!$D$2:$D$658,'MAIN TABLE-1 AUTOMATED'!O1404))</f>
        <v/>
      </c>
      <c r="R1404" s="41" t="str">
        <f>IF(Table1[[#This Row],[QUANTITY]]=0,"",Table1[[#This Row],[UNIT PRICE]]*Table1[[#This Row],[QUANTITY]])</f>
        <v/>
      </c>
      <c r="S1404" s="89"/>
      <c r="T1404" s="38"/>
      <c r="U1404" s="43"/>
      <c r="V1404" s="42" t="str">
        <f>IF(Table1[[#This Row],[DATE]]=0,"",YEAR(E1404))</f>
        <v/>
      </c>
      <c r="W1404" s="40" t="str">
        <f t="shared" si="44"/>
        <v/>
      </c>
      <c r="X1404" s="40" t="str">
        <f t="shared" si="45"/>
        <v/>
      </c>
      <c r="Y1404" s="40" t="str">
        <f>TEXT(Table1[[#This Row],[YEAR]],"0000")&amp;"-"&amp;Table1[[#This Row],[MONTH]]</f>
        <v>-</v>
      </c>
    </row>
    <row r="1405" spans="1:25" ht="15" customHeight="1" x14ac:dyDescent="0.35">
      <c r="A1405" s="24"/>
      <c r="B1405" s="38"/>
      <c r="C1405" s="38"/>
      <c r="D1405" s="38"/>
      <c r="E1405" s="37"/>
      <c r="F1405" s="38"/>
      <c r="G1405" s="198"/>
      <c r="H1405" s="198"/>
      <c r="I1405" s="39"/>
      <c r="J1405" s="38"/>
      <c r="K1405" s="198"/>
      <c r="L1405" s="38"/>
      <c r="M1405" s="38"/>
      <c r="N1405" s="38"/>
      <c r="O1405" s="38"/>
      <c r="P1405" s="40" t="str" cm="1">
        <f t="array" ref="P1405">IF(N1405="","",IFERROR(_xlfn.XLOOKUP(F1405&amp;"|"&amp;J1405&amp;"|"&amp;O1405,PRICES!$C$2:$C$659&amp;"|"&amp;PRICES!$B$2:$B$659&amp;"|"&amp;PRICES!$D$2:$D$659,PRICES!$E$2:$E$659),"Not Found"))</f>
        <v/>
      </c>
      <c r="Q1405" s="100" t="str">
        <f>IF(N1405=0,"",SUMIFS(PRICES!$G$2:$G$658,PRICES!$B$2:$B$658,'MAIN TABLE-1 AUTOMATED'!J1405,PRICES!$C$2:$C$658,'MAIN TABLE-1 AUTOMATED'!F1405,PRICES!$D$2:$D$658,'MAIN TABLE-1 AUTOMATED'!O1405))</f>
        <v/>
      </c>
      <c r="R1405" s="41" t="str">
        <f>IF(Table1[[#This Row],[QUANTITY]]=0,"",Table1[[#This Row],[UNIT PRICE]]*Table1[[#This Row],[QUANTITY]])</f>
        <v/>
      </c>
      <c r="S1405" s="89"/>
      <c r="T1405" s="38"/>
      <c r="U1405" s="43"/>
      <c r="V1405" s="42" t="str">
        <f>IF(Table1[[#This Row],[DATE]]=0,"",YEAR(E1405))</f>
        <v/>
      </c>
      <c r="W1405" s="40" t="str">
        <f t="shared" si="44"/>
        <v/>
      </c>
      <c r="X1405" s="40" t="str">
        <f t="shared" si="45"/>
        <v/>
      </c>
      <c r="Y1405" s="40" t="str">
        <f>TEXT(Table1[[#This Row],[YEAR]],"0000")&amp;"-"&amp;Table1[[#This Row],[MONTH]]</f>
        <v>-</v>
      </c>
    </row>
    <row r="1406" spans="1:25" ht="15" customHeight="1" x14ac:dyDescent="0.35">
      <c r="A1406" s="24"/>
      <c r="B1406" s="38"/>
      <c r="C1406" s="38"/>
      <c r="D1406" s="38"/>
      <c r="E1406" s="37"/>
      <c r="F1406" s="38"/>
      <c r="G1406" s="198"/>
      <c r="H1406" s="198"/>
      <c r="I1406" s="39"/>
      <c r="J1406" s="38"/>
      <c r="K1406" s="198"/>
      <c r="L1406" s="38"/>
      <c r="M1406" s="38"/>
      <c r="N1406" s="38"/>
      <c r="O1406" s="38"/>
      <c r="P1406" s="40" t="str" cm="1">
        <f t="array" ref="P1406">IF(N1406="","",IFERROR(_xlfn.XLOOKUP(F1406&amp;"|"&amp;J1406&amp;"|"&amp;O1406,PRICES!$C$2:$C$659&amp;"|"&amp;PRICES!$B$2:$B$659&amp;"|"&amp;PRICES!$D$2:$D$659,PRICES!$E$2:$E$659),"Not Found"))</f>
        <v/>
      </c>
      <c r="Q1406" s="100" t="str">
        <f>IF(N1406=0,"",SUMIFS(PRICES!$G$2:$G$658,PRICES!$B$2:$B$658,'MAIN TABLE-1 AUTOMATED'!J1406,PRICES!$C$2:$C$658,'MAIN TABLE-1 AUTOMATED'!F1406,PRICES!$D$2:$D$658,'MAIN TABLE-1 AUTOMATED'!O1406))</f>
        <v/>
      </c>
      <c r="R1406" s="41" t="str">
        <f>IF(Table1[[#This Row],[QUANTITY]]=0,"",Table1[[#This Row],[UNIT PRICE]]*Table1[[#This Row],[QUANTITY]])</f>
        <v/>
      </c>
      <c r="S1406" s="89"/>
      <c r="T1406" s="38"/>
      <c r="U1406" s="43"/>
      <c r="V1406" s="42" t="str">
        <f>IF(Table1[[#This Row],[DATE]]=0,"",YEAR(E1406))</f>
        <v/>
      </c>
      <c r="W1406" s="40" t="str">
        <f t="shared" si="44"/>
        <v/>
      </c>
      <c r="X1406" s="40" t="str">
        <f t="shared" si="45"/>
        <v/>
      </c>
      <c r="Y1406" s="40" t="str">
        <f>TEXT(Table1[[#This Row],[YEAR]],"0000")&amp;"-"&amp;Table1[[#This Row],[MONTH]]</f>
        <v>-</v>
      </c>
    </row>
    <row r="1407" spans="1:25" ht="15" customHeight="1" x14ac:dyDescent="0.35">
      <c r="A1407" s="24"/>
      <c r="B1407" s="38"/>
      <c r="C1407" s="38"/>
      <c r="D1407" s="38"/>
      <c r="E1407" s="37"/>
      <c r="F1407" s="38"/>
      <c r="G1407" s="198"/>
      <c r="H1407" s="198"/>
      <c r="I1407" s="39"/>
      <c r="J1407" s="38"/>
      <c r="K1407" s="198"/>
      <c r="L1407" s="38"/>
      <c r="M1407" s="38"/>
      <c r="N1407" s="38"/>
      <c r="O1407" s="38"/>
      <c r="P1407" s="40" t="str" cm="1">
        <f t="array" ref="P1407">IF(N1407="","",IFERROR(_xlfn.XLOOKUP(F1407&amp;"|"&amp;J1407&amp;"|"&amp;O1407,PRICES!$C$2:$C$659&amp;"|"&amp;PRICES!$B$2:$B$659&amp;"|"&amp;PRICES!$D$2:$D$659,PRICES!$E$2:$E$659),"Not Found"))</f>
        <v/>
      </c>
      <c r="Q1407" s="100" t="str">
        <f>IF(N1407=0,"",SUMIFS(PRICES!$G$2:$G$658,PRICES!$B$2:$B$658,'MAIN TABLE-1 AUTOMATED'!J1407,PRICES!$C$2:$C$658,'MAIN TABLE-1 AUTOMATED'!F1407,PRICES!$D$2:$D$658,'MAIN TABLE-1 AUTOMATED'!O1407))</f>
        <v/>
      </c>
      <c r="R1407" s="41" t="str">
        <f>IF(Table1[[#This Row],[QUANTITY]]=0,"",Table1[[#This Row],[UNIT PRICE]]*Table1[[#This Row],[QUANTITY]])</f>
        <v/>
      </c>
      <c r="S1407" s="89"/>
      <c r="T1407" s="38"/>
      <c r="U1407" s="43"/>
      <c r="V1407" s="42" t="str">
        <f>IF(Table1[[#This Row],[DATE]]=0,"",YEAR(E1407))</f>
        <v/>
      </c>
      <c r="W1407" s="40" t="str">
        <f t="shared" si="44"/>
        <v/>
      </c>
      <c r="X1407" s="40" t="str">
        <f t="shared" si="45"/>
        <v/>
      </c>
      <c r="Y1407" s="40" t="str">
        <f>TEXT(Table1[[#This Row],[YEAR]],"0000")&amp;"-"&amp;Table1[[#This Row],[MONTH]]</f>
        <v>-</v>
      </c>
    </row>
    <row r="1408" spans="1:25" ht="15" customHeight="1" x14ac:dyDescent="0.35">
      <c r="A1408" s="24"/>
      <c r="B1408" s="38"/>
      <c r="C1408" s="38"/>
      <c r="D1408" s="38"/>
      <c r="E1408" s="37"/>
      <c r="F1408" s="38"/>
      <c r="G1408" s="198"/>
      <c r="H1408" s="198"/>
      <c r="I1408" s="39"/>
      <c r="J1408" s="38"/>
      <c r="K1408" s="198"/>
      <c r="L1408" s="38"/>
      <c r="M1408" s="38"/>
      <c r="N1408" s="38"/>
      <c r="O1408" s="38"/>
      <c r="P1408" s="40" t="str" cm="1">
        <f t="array" ref="P1408">IF(N1408="","",IFERROR(_xlfn.XLOOKUP(F1408&amp;"|"&amp;J1408&amp;"|"&amp;O1408,PRICES!$C$2:$C$659&amp;"|"&amp;PRICES!$B$2:$B$659&amp;"|"&amp;PRICES!$D$2:$D$659,PRICES!$E$2:$E$659),"Not Found"))</f>
        <v/>
      </c>
      <c r="Q1408" s="100" t="str">
        <f>IF(N1408=0,"",SUMIFS(PRICES!$G$2:$G$658,PRICES!$B$2:$B$658,'MAIN TABLE-1 AUTOMATED'!J1408,PRICES!$C$2:$C$658,'MAIN TABLE-1 AUTOMATED'!F1408,PRICES!$D$2:$D$658,'MAIN TABLE-1 AUTOMATED'!O1408))</f>
        <v/>
      </c>
      <c r="R1408" s="41" t="str">
        <f>IF(Table1[[#This Row],[QUANTITY]]=0,"",Table1[[#This Row],[UNIT PRICE]]*Table1[[#This Row],[QUANTITY]])</f>
        <v/>
      </c>
      <c r="S1408" s="89"/>
      <c r="T1408" s="38"/>
      <c r="U1408" s="43"/>
      <c r="V1408" s="42" t="str">
        <f>IF(Table1[[#This Row],[DATE]]=0,"",YEAR(E1408))</f>
        <v/>
      </c>
      <c r="W1408" s="40" t="str">
        <f t="shared" si="44"/>
        <v/>
      </c>
      <c r="X1408" s="40" t="str">
        <f t="shared" si="45"/>
        <v/>
      </c>
      <c r="Y1408" s="40" t="str">
        <f>TEXT(Table1[[#This Row],[YEAR]],"0000")&amp;"-"&amp;Table1[[#This Row],[MONTH]]</f>
        <v>-</v>
      </c>
    </row>
    <row r="1409" spans="1:25" ht="15" customHeight="1" x14ac:dyDescent="0.35">
      <c r="A1409" s="24"/>
      <c r="B1409" s="38"/>
      <c r="C1409" s="38"/>
      <c r="D1409" s="38"/>
      <c r="E1409" s="37"/>
      <c r="F1409" s="38"/>
      <c r="G1409" s="198"/>
      <c r="H1409" s="198"/>
      <c r="I1409" s="39"/>
      <c r="J1409" s="38"/>
      <c r="K1409" s="198"/>
      <c r="L1409" s="38"/>
      <c r="M1409" s="38"/>
      <c r="N1409" s="38"/>
      <c r="O1409" s="38"/>
      <c r="P1409" s="40" t="str" cm="1">
        <f t="array" ref="P1409">IF(N1409="","",IFERROR(_xlfn.XLOOKUP(F1409&amp;"|"&amp;J1409&amp;"|"&amp;O1409,PRICES!$C$2:$C$659&amp;"|"&amp;PRICES!$B$2:$B$659&amp;"|"&amp;PRICES!$D$2:$D$659,PRICES!$E$2:$E$659),"Not Found"))</f>
        <v/>
      </c>
      <c r="Q1409" s="100" t="str">
        <f>IF(N1409=0,"",SUMIFS(PRICES!$G$2:$G$658,PRICES!$B$2:$B$658,'MAIN TABLE-1 AUTOMATED'!J1409,PRICES!$C$2:$C$658,'MAIN TABLE-1 AUTOMATED'!F1409,PRICES!$D$2:$D$658,'MAIN TABLE-1 AUTOMATED'!O1409))</f>
        <v/>
      </c>
      <c r="R1409" s="41" t="str">
        <f>IF(Table1[[#This Row],[QUANTITY]]=0,"",Table1[[#This Row],[UNIT PRICE]]*Table1[[#This Row],[QUANTITY]])</f>
        <v/>
      </c>
      <c r="S1409" s="89"/>
      <c r="T1409" s="38"/>
      <c r="U1409" s="43"/>
      <c r="V1409" s="42" t="str">
        <f>IF(Table1[[#This Row],[DATE]]=0,"",YEAR(E1409))</f>
        <v/>
      </c>
      <c r="W1409" s="40" t="str">
        <f t="shared" si="44"/>
        <v/>
      </c>
      <c r="X1409" s="40" t="str">
        <f t="shared" si="45"/>
        <v/>
      </c>
      <c r="Y1409" s="40" t="str">
        <f>TEXT(Table1[[#This Row],[YEAR]],"0000")&amp;"-"&amp;Table1[[#This Row],[MONTH]]</f>
        <v>-</v>
      </c>
    </row>
    <row r="1410" spans="1:25" ht="15" customHeight="1" x14ac:dyDescent="0.35">
      <c r="A1410" s="24"/>
      <c r="B1410" s="38"/>
      <c r="C1410" s="38"/>
      <c r="D1410" s="38"/>
      <c r="E1410" s="37"/>
      <c r="F1410" s="38"/>
      <c r="G1410" s="198"/>
      <c r="H1410" s="198"/>
      <c r="I1410" s="39"/>
      <c r="J1410" s="38"/>
      <c r="K1410" s="198"/>
      <c r="L1410" s="38"/>
      <c r="M1410" s="38"/>
      <c r="N1410" s="38"/>
      <c r="O1410" s="38"/>
      <c r="P1410" s="40" t="str" cm="1">
        <f t="array" ref="P1410">IF(N1410="","",IFERROR(_xlfn.XLOOKUP(F1410&amp;"|"&amp;J1410&amp;"|"&amp;O1410,PRICES!$C$2:$C$659&amp;"|"&amp;PRICES!$B$2:$B$659&amp;"|"&amp;PRICES!$D$2:$D$659,PRICES!$E$2:$E$659),"Not Found"))</f>
        <v/>
      </c>
      <c r="Q1410" s="100" t="str">
        <f>IF(N1410=0,"",SUMIFS(PRICES!$G$2:$G$658,PRICES!$B$2:$B$658,'MAIN TABLE-1 AUTOMATED'!J1410,PRICES!$C$2:$C$658,'MAIN TABLE-1 AUTOMATED'!F1410,PRICES!$D$2:$D$658,'MAIN TABLE-1 AUTOMATED'!O1410))</f>
        <v/>
      </c>
      <c r="R1410" s="41" t="str">
        <f>IF(Table1[[#This Row],[QUANTITY]]=0,"",Table1[[#This Row],[UNIT PRICE]]*Table1[[#This Row],[QUANTITY]])</f>
        <v/>
      </c>
      <c r="S1410" s="89"/>
      <c r="T1410" s="38"/>
      <c r="U1410" s="43"/>
      <c r="V1410" s="42" t="str">
        <f>IF(Table1[[#This Row],[DATE]]=0,"",YEAR(E1410))</f>
        <v/>
      </c>
      <c r="W1410" s="40" t="str">
        <f t="shared" si="44"/>
        <v/>
      </c>
      <c r="X1410" s="40" t="str">
        <f t="shared" si="45"/>
        <v/>
      </c>
      <c r="Y1410" s="40" t="str">
        <f>TEXT(Table1[[#This Row],[YEAR]],"0000")&amp;"-"&amp;Table1[[#This Row],[MONTH]]</f>
        <v>-</v>
      </c>
    </row>
    <row r="1411" spans="1:25" ht="15" customHeight="1" x14ac:dyDescent="0.35">
      <c r="A1411" s="24"/>
      <c r="B1411" s="38"/>
      <c r="C1411" s="38"/>
      <c r="D1411" s="38"/>
      <c r="E1411" s="37"/>
      <c r="F1411" s="38"/>
      <c r="G1411" s="198"/>
      <c r="H1411" s="198"/>
      <c r="I1411" s="39"/>
      <c r="J1411" s="38"/>
      <c r="K1411" s="198"/>
      <c r="L1411" s="38"/>
      <c r="M1411" s="38"/>
      <c r="N1411" s="38"/>
      <c r="O1411" s="38"/>
      <c r="P1411" s="40" t="str" cm="1">
        <f t="array" ref="P1411">IF(N1411="","",IFERROR(_xlfn.XLOOKUP(F1411&amp;"|"&amp;J1411&amp;"|"&amp;O1411,PRICES!$C$2:$C$659&amp;"|"&amp;PRICES!$B$2:$B$659&amp;"|"&amp;PRICES!$D$2:$D$659,PRICES!$E$2:$E$659),"Not Found"))</f>
        <v/>
      </c>
      <c r="Q1411" s="100" t="str">
        <f>IF(N1411=0,"",SUMIFS(PRICES!$G$2:$G$658,PRICES!$B$2:$B$658,'MAIN TABLE-1 AUTOMATED'!J1411,PRICES!$C$2:$C$658,'MAIN TABLE-1 AUTOMATED'!F1411,PRICES!$D$2:$D$658,'MAIN TABLE-1 AUTOMATED'!O1411))</f>
        <v/>
      </c>
      <c r="R1411" s="41" t="str">
        <f>IF(Table1[[#This Row],[QUANTITY]]=0,"",Table1[[#This Row],[UNIT PRICE]]*Table1[[#This Row],[QUANTITY]])</f>
        <v/>
      </c>
      <c r="S1411" s="89"/>
      <c r="T1411" s="38"/>
      <c r="U1411" s="43"/>
      <c r="V1411" s="42" t="str">
        <f>IF(Table1[[#This Row],[DATE]]=0,"",YEAR(E1411))</f>
        <v/>
      </c>
      <c r="W1411" s="40" t="str">
        <f t="shared" si="44"/>
        <v/>
      </c>
      <c r="X1411" s="40" t="str">
        <f t="shared" si="45"/>
        <v/>
      </c>
      <c r="Y1411" s="40" t="str">
        <f>TEXT(Table1[[#This Row],[YEAR]],"0000")&amp;"-"&amp;Table1[[#This Row],[MONTH]]</f>
        <v>-</v>
      </c>
    </row>
    <row r="1412" spans="1:25" ht="15" customHeight="1" x14ac:dyDescent="0.35">
      <c r="A1412" s="24"/>
      <c r="B1412" s="38"/>
      <c r="C1412" s="38"/>
      <c r="D1412" s="38"/>
      <c r="E1412" s="37"/>
      <c r="F1412" s="38"/>
      <c r="G1412" s="198"/>
      <c r="H1412" s="198"/>
      <c r="I1412" s="39"/>
      <c r="J1412" s="38"/>
      <c r="K1412" s="198"/>
      <c r="L1412" s="38"/>
      <c r="M1412" s="38"/>
      <c r="N1412" s="38"/>
      <c r="O1412" s="38"/>
      <c r="P1412" s="40" t="str" cm="1">
        <f t="array" ref="P1412">IF(N1412="","",IFERROR(_xlfn.XLOOKUP(F1412&amp;"|"&amp;J1412&amp;"|"&amp;O1412,PRICES!$C$2:$C$659&amp;"|"&amp;PRICES!$B$2:$B$659&amp;"|"&amp;PRICES!$D$2:$D$659,PRICES!$E$2:$E$659),"Not Found"))</f>
        <v/>
      </c>
      <c r="Q1412" s="100" t="str">
        <f>IF(N1412=0,"",SUMIFS(PRICES!$G$2:$G$658,PRICES!$B$2:$B$658,'MAIN TABLE-1 AUTOMATED'!J1412,PRICES!$C$2:$C$658,'MAIN TABLE-1 AUTOMATED'!F1412,PRICES!$D$2:$D$658,'MAIN TABLE-1 AUTOMATED'!O1412))</f>
        <v/>
      </c>
      <c r="R1412" s="41" t="str">
        <f>IF(Table1[[#This Row],[QUANTITY]]=0,"",Table1[[#This Row],[UNIT PRICE]]*Table1[[#This Row],[QUANTITY]])</f>
        <v/>
      </c>
      <c r="S1412" s="89"/>
      <c r="T1412" s="38"/>
      <c r="U1412" s="43"/>
      <c r="V1412" s="42" t="str">
        <f>IF(Table1[[#This Row],[DATE]]=0,"",YEAR(E1412))</f>
        <v/>
      </c>
      <c r="W1412" s="40" t="str">
        <f t="shared" si="44"/>
        <v/>
      </c>
      <c r="X1412" s="40" t="str">
        <f t="shared" si="45"/>
        <v/>
      </c>
      <c r="Y1412" s="40" t="str">
        <f>TEXT(Table1[[#This Row],[YEAR]],"0000")&amp;"-"&amp;Table1[[#This Row],[MONTH]]</f>
        <v>-</v>
      </c>
    </row>
    <row r="1413" spans="1:25" ht="15" customHeight="1" x14ac:dyDescent="0.35">
      <c r="A1413" s="24"/>
      <c r="B1413" s="38"/>
      <c r="C1413" s="38"/>
      <c r="D1413" s="38"/>
      <c r="E1413" s="37"/>
      <c r="F1413" s="38"/>
      <c r="G1413" s="198"/>
      <c r="H1413" s="198"/>
      <c r="I1413" s="39"/>
      <c r="J1413" s="38"/>
      <c r="K1413" s="198"/>
      <c r="L1413" s="38"/>
      <c r="M1413" s="38"/>
      <c r="N1413" s="38"/>
      <c r="O1413" s="38"/>
      <c r="P1413" s="40" t="str" cm="1">
        <f t="array" ref="P1413">IF(N1413="","",IFERROR(_xlfn.XLOOKUP(F1413&amp;"|"&amp;J1413&amp;"|"&amp;O1413,PRICES!$C$2:$C$659&amp;"|"&amp;PRICES!$B$2:$B$659&amp;"|"&amp;PRICES!$D$2:$D$659,PRICES!$E$2:$E$659),"Not Found"))</f>
        <v/>
      </c>
      <c r="Q1413" s="100" t="str">
        <f>IF(N1413=0,"",SUMIFS(PRICES!$G$2:$G$658,PRICES!$B$2:$B$658,'MAIN TABLE-1 AUTOMATED'!J1413,PRICES!$C$2:$C$658,'MAIN TABLE-1 AUTOMATED'!F1413,PRICES!$D$2:$D$658,'MAIN TABLE-1 AUTOMATED'!O1413))</f>
        <v/>
      </c>
      <c r="R1413" s="41" t="str">
        <f>IF(Table1[[#This Row],[QUANTITY]]=0,"",Table1[[#This Row],[UNIT PRICE]]*Table1[[#This Row],[QUANTITY]])</f>
        <v/>
      </c>
      <c r="S1413" s="89"/>
      <c r="T1413" s="38"/>
      <c r="U1413" s="43"/>
      <c r="V1413" s="42" t="str">
        <f>IF(Table1[[#This Row],[DATE]]=0,"",YEAR(E1413))</f>
        <v/>
      </c>
      <c r="W1413" s="40" t="str">
        <f t="shared" si="44"/>
        <v/>
      </c>
      <c r="X1413" s="40" t="str">
        <f t="shared" si="45"/>
        <v/>
      </c>
      <c r="Y1413" s="40" t="str">
        <f>TEXT(Table1[[#This Row],[YEAR]],"0000")&amp;"-"&amp;Table1[[#This Row],[MONTH]]</f>
        <v>-</v>
      </c>
    </row>
    <row r="1414" spans="1:25" ht="15" customHeight="1" x14ac:dyDescent="0.35">
      <c r="A1414" s="24"/>
      <c r="B1414" s="38"/>
      <c r="C1414" s="38"/>
      <c r="D1414" s="38"/>
      <c r="E1414" s="37"/>
      <c r="F1414" s="38"/>
      <c r="G1414" s="198"/>
      <c r="H1414" s="198"/>
      <c r="I1414" s="39"/>
      <c r="J1414" s="38"/>
      <c r="K1414" s="198"/>
      <c r="L1414" s="38"/>
      <c r="M1414" s="38"/>
      <c r="N1414" s="38"/>
      <c r="O1414" s="38"/>
      <c r="P1414" s="40" t="str" cm="1">
        <f t="array" ref="P1414">IF(N1414="","",IFERROR(_xlfn.XLOOKUP(F1414&amp;"|"&amp;J1414&amp;"|"&amp;O1414,PRICES!$C$2:$C$659&amp;"|"&amp;PRICES!$B$2:$B$659&amp;"|"&amp;PRICES!$D$2:$D$659,PRICES!$E$2:$E$659),"Not Found"))</f>
        <v/>
      </c>
      <c r="Q1414" s="100" t="str">
        <f>IF(N1414=0,"",SUMIFS(PRICES!$G$2:$G$658,PRICES!$B$2:$B$658,'MAIN TABLE-1 AUTOMATED'!J1414,PRICES!$C$2:$C$658,'MAIN TABLE-1 AUTOMATED'!F1414,PRICES!$D$2:$D$658,'MAIN TABLE-1 AUTOMATED'!O1414))</f>
        <v/>
      </c>
      <c r="R1414" s="41" t="str">
        <f>IF(Table1[[#This Row],[QUANTITY]]=0,"",Table1[[#This Row],[UNIT PRICE]]*Table1[[#This Row],[QUANTITY]])</f>
        <v/>
      </c>
      <c r="S1414" s="89"/>
      <c r="T1414" s="38"/>
      <c r="U1414" s="43"/>
      <c r="V1414" s="42" t="str">
        <f>IF(Table1[[#This Row],[DATE]]=0,"",YEAR(E1414))</f>
        <v/>
      </c>
      <c r="W1414" s="40" t="str">
        <f t="shared" si="44"/>
        <v/>
      </c>
      <c r="X1414" s="40" t="str">
        <f t="shared" si="45"/>
        <v/>
      </c>
      <c r="Y1414" s="40" t="str">
        <f>TEXT(Table1[[#This Row],[YEAR]],"0000")&amp;"-"&amp;Table1[[#This Row],[MONTH]]</f>
        <v>-</v>
      </c>
    </row>
    <row r="1415" spans="1:25" ht="15" customHeight="1" x14ac:dyDescent="0.35">
      <c r="A1415" s="24"/>
      <c r="B1415" s="38"/>
      <c r="C1415" s="38"/>
      <c r="D1415" s="38"/>
      <c r="E1415" s="37"/>
      <c r="F1415" s="38"/>
      <c r="G1415" s="198"/>
      <c r="H1415" s="198"/>
      <c r="I1415" s="39"/>
      <c r="J1415" s="38"/>
      <c r="K1415" s="198"/>
      <c r="L1415" s="38"/>
      <c r="M1415" s="38"/>
      <c r="N1415" s="38"/>
      <c r="O1415" s="38"/>
      <c r="P1415" s="40" t="str" cm="1">
        <f t="array" ref="P1415">IF(N1415="","",IFERROR(_xlfn.XLOOKUP(F1415&amp;"|"&amp;J1415&amp;"|"&amp;O1415,PRICES!$C$2:$C$659&amp;"|"&amp;PRICES!$B$2:$B$659&amp;"|"&amp;PRICES!$D$2:$D$659,PRICES!$E$2:$E$659),"Not Found"))</f>
        <v/>
      </c>
      <c r="Q1415" s="100" t="str">
        <f>IF(N1415=0,"",SUMIFS(PRICES!$G$2:$G$658,PRICES!$B$2:$B$658,'MAIN TABLE-1 AUTOMATED'!J1415,PRICES!$C$2:$C$658,'MAIN TABLE-1 AUTOMATED'!F1415,PRICES!$D$2:$D$658,'MAIN TABLE-1 AUTOMATED'!O1415))</f>
        <v/>
      </c>
      <c r="R1415" s="41" t="str">
        <f>IF(Table1[[#This Row],[QUANTITY]]=0,"",Table1[[#This Row],[UNIT PRICE]]*Table1[[#This Row],[QUANTITY]])</f>
        <v/>
      </c>
      <c r="S1415" s="89"/>
      <c r="T1415" s="38"/>
      <c r="U1415" s="43"/>
      <c r="V1415" s="42" t="str">
        <f>IF(Table1[[#This Row],[DATE]]=0,"",YEAR(E1415))</f>
        <v/>
      </c>
      <c r="W1415" s="40" t="str">
        <f t="shared" si="44"/>
        <v/>
      </c>
      <c r="X1415" s="40" t="str">
        <f t="shared" si="45"/>
        <v/>
      </c>
      <c r="Y1415" s="40" t="str">
        <f>TEXT(Table1[[#This Row],[YEAR]],"0000")&amp;"-"&amp;Table1[[#This Row],[MONTH]]</f>
        <v>-</v>
      </c>
    </row>
    <row r="1416" spans="1:25" ht="15" customHeight="1" x14ac:dyDescent="0.35">
      <c r="A1416" s="24"/>
      <c r="B1416" s="38"/>
      <c r="C1416" s="38"/>
      <c r="D1416" s="38"/>
      <c r="E1416" s="37"/>
      <c r="F1416" s="38"/>
      <c r="G1416" s="198"/>
      <c r="H1416" s="198"/>
      <c r="I1416" s="39"/>
      <c r="J1416" s="38"/>
      <c r="K1416" s="198"/>
      <c r="L1416" s="38"/>
      <c r="M1416" s="38"/>
      <c r="N1416" s="38"/>
      <c r="O1416" s="38"/>
      <c r="P1416" s="40" t="str" cm="1">
        <f t="array" ref="P1416">IF(N1416="","",IFERROR(_xlfn.XLOOKUP(F1416&amp;"|"&amp;J1416&amp;"|"&amp;O1416,PRICES!$C$2:$C$659&amp;"|"&amp;PRICES!$B$2:$B$659&amp;"|"&amp;PRICES!$D$2:$D$659,PRICES!$E$2:$E$659),"Not Found"))</f>
        <v/>
      </c>
      <c r="Q1416" s="100" t="str">
        <f>IF(N1416=0,"",SUMIFS(PRICES!$G$2:$G$658,PRICES!$B$2:$B$658,'MAIN TABLE-1 AUTOMATED'!J1416,PRICES!$C$2:$C$658,'MAIN TABLE-1 AUTOMATED'!F1416,PRICES!$D$2:$D$658,'MAIN TABLE-1 AUTOMATED'!O1416))</f>
        <v/>
      </c>
      <c r="R1416" s="41" t="str">
        <f>IF(Table1[[#This Row],[QUANTITY]]=0,"",Table1[[#This Row],[UNIT PRICE]]*Table1[[#This Row],[QUANTITY]])</f>
        <v/>
      </c>
      <c r="S1416" s="89"/>
      <c r="T1416" s="38"/>
      <c r="U1416" s="43"/>
      <c r="V1416" s="42" t="str">
        <f>IF(Table1[[#This Row],[DATE]]=0,"",YEAR(E1416))</f>
        <v/>
      </c>
      <c r="W1416" s="40" t="str">
        <f t="shared" si="44"/>
        <v/>
      </c>
      <c r="X1416" s="40" t="str">
        <f t="shared" si="45"/>
        <v/>
      </c>
      <c r="Y1416" s="40" t="str">
        <f>TEXT(Table1[[#This Row],[YEAR]],"0000")&amp;"-"&amp;Table1[[#This Row],[MONTH]]</f>
        <v>-</v>
      </c>
    </row>
    <row r="1417" spans="1:25" ht="15" customHeight="1" x14ac:dyDescent="0.35">
      <c r="A1417" s="24"/>
      <c r="B1417" s="38"/>
      <c r="C1417" s="38"/>
      <c r="D1417" s="38"/>
      <c r="E1417" s="37"/>
      <c r="F1417" s="38"/>
      <c r="G1417" s="198"/>
      <c r="H1417" s="198"/>
      <c r="I1417" s="39"/>
      <c r="J1417" s="38"/>
      <c r="K1417" s="198"/>
      <c r="L1417" s="38"/>
      <c r="M1417" s="38"/>
      <c r="N1417" s="38"/>
      <c r="O1417" s="38"/>
      <c r="P1417" s="40" t="str" cm="1">
        <f t="array" ref="P1417">IF(N1417="","",IFERROR(_xlfn.XLOOKUP(F1417&amp;"|"&amp;J1417&amp;"|"&amp;O1417,PRICES!$C$2:$C$659&amp;"|"&amp;PRICES!$B$2:$B$659&amp;"|"&amp;PRICES!$D$2:$D$659,PRICES!$E$2:$E$659),"Not Found"))</f>
        <v/>
      </c>
      <c r="Q1417" s="100" t="str">
        <f>IF(N1417=0,"",SUMIFS(PRICES!$G$2:$G$658,PRICES!$B$2:$B$658,'MAIN TABLE-1 AUTOMATED'!J1417,PRICES!$C$2:$C$658,'MAIN TABLE-1 AUTOMATED'!F1417,PRICES!$D$2:$D$658,'MAIN TABLE-1 AUTOMATED'!O1417))</f>
        <v/>
      </c>
      <c r="R1417" s="41" t="str">
        <f>IF(Table1[[#This Row],[QUANTITY]]=0,"",Table1[[#This Row],[UNIT PRICE]]*Table1[[#This Row],[QUANTITY]])</f>
        <v/>
      </c>
      <c r="S1417" s="89"/>
      <c r="T1417" s="38"/>
      <c r="U1417" s="43"/>
      <c r="V1417" s="42" t="str">
        <f>IF(Table1[[#This Row],[DATE]]=0,"",YEAR(E1417))</f>
        <v/>
      </c>
      <c r="W1417" s="40" t="str">
        <f t="shared" si="44"/>
        <v/>
      </c>
      <c r="X1417" s="40" t="str">
        <f t="shared" si="45"/>
        <v/>
      </c>
      <c r="Y1417" s="40" t="str">
        <f>TEXT(Table1[[#This Row],[YEAR]],"0000")&amp;"-"&amp;Table1[[#This Row],[MONTH]]</f>
        <v>-</v>
      </c>
    </row>
    <row r="1418" spans="1:25" ht="15" customHeight="1" x14ac:dyDescent="0.35">
      <c r="A1418" s="24"/>
      <c r="B1418" s="38"/>
      <c r="C1418" s="38"/>
      <c r="D1418" s="38"/>
      <c r="E1418" s="37"/>
      <c r="F1418" s="38"/>
      <c r="G1418" s="198"/>
      <c r="H1418" s="198"/>
      <c r="I1418" s="39"/>
      <c r="J1418" s="38"/>
      <c r="K1418" s="198"/>
      <c r="L1418" s="38"/>
      <c r="M1418" s="38"/>
      <c r="N1418" s="38"/>
      <c r="O1418" s="38"/>
      <c r="P1418" s="40" t="str" cm="1">
        <f t="array" ref="P1418">IF(N1418="","",IFERROR(_xlfn.XLOOKUP(F1418&amp;"|"&amp;J1418&amp;"|"&amp;O1418,PRICES!$C$2:$C$659&amp;"|"&amp;PRICES!$B$2:$B$659&amp;"|"&amp;PRICES!$D$2:$D$659,PRICES!$E$2:$E$659),"Not Found"))</f>
        <v/>
      </c>
      <c r="Q1418" s="100" t="str">
        <f>IF(N1418=0,"",SUMIFS(PRICES!$G$2:$G$658,PRICES!$B$2:$B$658,'MAIN TABLE-1 AUTOMATED'!J1418,PRICES!$C$2:$C$658,'MAIN TABLE-1 AUTOMATED'!F1418,PRICES!$D$2:$D$658,'MAIN TABLE-1 AUTOMATED'!O1418))</f>
        <v/>
      </c>
      <c r="R1418" s="41" t="str">
        <f>IF(Table1[[#This Row],[QUANTITY]]=0,"",Table1[[#This Row],[UNIT PRICE]]*Table1[[#This Row],[QUANTITY]])</f>
        <v/>
      </c>
      <c r="S1418" s="89"/>
      <c r="T1418" s="38"/>
      <c r="U1418" s="43"/>
      <c r="V1418" s="42" t="str">
        <f>IF(Table1[[#This Row],[DATE]]=0,"",YEAR(E1418))</f>
        <v/>
      </c>
      <c r="W1418" s="40" t="str">
        <f t="shared" si="44"/>
        <v/>
      </c>
      <c r="X1418" s="40" t="str">
        <f t="shared" si="45"/>
        <v/>
      </c>
      <c r="Y1418" s="40" t="str">
        <f>TEXT(Table1[[#This Row],[YEAR]],"0000")&amp;"-"&amp;Table1[[#This Row],[MONTH]]</f>
        <v>-</v>
      </c>
    </row>
    <row r="1419" spans="1:25" ht="15" customHeight="1" x14ac:dyDescent="0.35">
      <c r="A1419" s="24"/>
      <c r="B1419" s="38"/>
      <c r="C1419" s="38"/>
      <c r="D1419" s="38"/>
      <c r="E1419" s="37"/>
      <c r="F1419" s="38"/>
      <c r="G1419" s="198"/>
      <c r="H1419" s="198"/>
      <c r="I1419" s="39"/>
      <c r="J1419" s="38"/>
      <c r="K1419" s="198"/>
      <c r="L1419" s="38"/>
      <c r="M1419" s="38"/>
      <c r="N1419" s="38"/>
      <c r="O1419" s="38"/>
      <c r="P1419" s="40" t="str" cm="1">
        <f t="array" ref="P1419">IF(N1419="","",IFERROR(_xlfn.XLOOKUP(F1419&amp;"|"&amp;J1419&amp;"|"&amp;O1419,PRICES!$C$2:$C$659&amp;"|"&amp;PRICES!$B$2:$B$659&amp;"|"&amp;PRICES!$D$2:$D$659,PRICES!$E$2:$E$659),"Not Found"))</f>
        <v/>
      </c>
      <c r="Q1419" s="100" t="str">
        <f>IF(N1419=0,"",SUMIFS(PRICES!$G$2:$G$658,PRICES!$B$2:$B$658,'MAIN TABLE-1 AUTOMATED'!J1419,PRICES!$C$2:$C$658,'MAIN TABLE-1 AUTOMATED'!F1419,PRICES!$D$2:$D$658,'MAIN TABLE-1 AUTOMATED'!O1419))</f>
        <v/>
      </c>
      <c r="R1419" s="41" t="str">
        <f>IF(Table1[[#This Row],[QUANTITY]]=0,"",Table1[[#This Row],[UNIT PRICE]]*Table1[[#This Row],[QUANTITY]])</f>
        <v/>
      </c>
      <c r="S1419" s="89"/>
      <c r="T1419" s="38"/>
      <c r="U1419" s="43"/>
      <c r="V1419" s="42" t="str">
        <f>IF(Table1[[#This Row],[DATE]]=0,"",YEAR(E1419))</f>
        <v/>
      </c>
      <c r="W1419" s="40" t="str">
        <f t="shared" si="44"/>
        <v/>
      </c>
      <c r="X1419" s="40" t="str">
        <f t="shared" si="45"/>
        <v/>
      </c>
      <c r="Y1419" s="40" t="str">
        <f>TEXT(Table1[[#This Row],[YEAR]],"0000")&amp;"-"&amp;Table1[[#This Row],[MONTH]]</f>
        <v>-</v>
      </c>
    </row>
    <row r="1420" spans="1:25" ht="15" customHeight="1" x14ac:dyDescent="0.35">
      <c r="A1420" s="24"/>
      <c r="B1420" s="38"/>
      <c r="C1420" s="38"/>
      <c r="D1420" s="38"/>
      <c r="E1420" s="37"/>
      <c r="F1420" s="38"/>
      <c r="G1420" s="198"/>
      <c r="H1420" s="198"/>
      <c r="I1420" s="39"/>
      <c r="J1420" s="38"/>
      <c r="K1420" s="198"/>
      <c r="L1420" s="38"/>
      <c r="M1420" s="38"/>
      <c r="N1420" s="38"/>
      <c r="O1420" s="38"/>
      <c r="P1420" s="40" t="str" cm="1">
        <f t="array" ref="P1420">IF(N1420="","",IFERROR(_xlfn.XLOOKUP(F1420&amp;"|"&amp;J1420&amp;"|"&amp;O1420,PRICES!$C$2:$C$659&amp;"|"&amp;PRICES!$B$2:$B$659&amp;"|"&amp;PRICES!$D$2:$D$659,PRICES!$E$2:$E$659),"Not Found"))</f>
        <v/>
      </c>
      <c r="Q1420" s="100" t="str">
        <f>IF(N1420=0,"",SUMIFS(PRICES!$G$2:$G$658,PRICES!$B$2:$B$658,'MAIN TABLE-1 AUTOMATED'!J1420,PRICES!$C$2:$C$658,'MAIN TABLE-1 AUTOMATED'!F1420,PRICES!$D$2:$D$658,'MAIN TABLE-1 AUTOMATED'!O1420))</f>
        <v/>
      </c>
      <c r="R1420" s="41" t="str">
        <f>IF(Table1[[#This Row],[QUANTITY]]=0,"",Table1[[#This Row],[UNIT PRICE]]*Table1[[#This Row],[QUANTITY]])</f>
        <v/>
      </c>
      <c r="S1420" s="89"/>
      <c r="T1420" s="38"/>
      <c r="U1420" s="43"/>
      <c r="V1420" s="42" t="str">
        <f>IF(Table1[[#This Row],[DATE]]=0,"",YEAR(E1420))</f>
        <v/>
      </c>
      <c r="W1420" s="40" t="str">
        <f t="shared" si="44"/>
        <v/>
      </c>
      <c r="X1420" s="40" t="str">
        <f t="shared" si="45"/>
        <v/>
      </c>
      <c r="Y1420" s="40" t="str">
        <f>TEXT(Table1[[#This Row],[YEAR]],"0000")&amp;"-"&amp;Table1[[#This Row],[MONTH]]</f>
        <v>-</v>
      </c>
    </row>
    <row r="1421" spans="1:25" ht="15" customHeight="1" x14ac:dyDescent="0.35">
      <c r="A1421" s="24"/>
      <c r="B1421" s="38"/>
      <c r="C1421" s="38"/>
      <c r="D1421" s="38"/>
      <c r="E1421" s="37"/>
      <c r="F1421" s="38"/>
      <c r="G1421" s="198"/>
      <c r="H1421" s="198"/>
      <c r="I1421" s="39"/>
      <c r="J1421" s="38"/>
      <c r="K1421" s="198"/>
      <c r="L1421" s="38"/>
      <c r="M1421" s="38"/>
      <c r="N1421" s="38"/>
      <c r="O1421" s="38"/>
      <c r="P1421" s="40" t="str" cm="1">
        <f t="array" ref="P1421">IF(N1421="","",IFERROR(_xlfn.XLOOKUP(F1421&amp;"|"&amp;J1421&amp;"|"&amp;O1421,PRICES!$C$2:$C$659&amp;"|"&amp;PRICES!$B$2:$B$659&amp;"|"&amp;PRICES!$D$2:$D$659,PRICES!$E$2:$E$659),"Not Found"))</f>
        <v/>
      </c>
      <c r="Q1421" s="100" t="str">
        <f>IF(N1421=0,"",SUMIFS(PRICES!$G$2:$G$658,PRICES!$B$2:$B$658,'MAIN TABLE-1 AUTOMATED'!J1421,PRICES!$C$2:$C$658,'MAIN TABLE-1 AUTOMATED'!F1421,PRICES!$D$2:$D$658,'MAIN TABLE-1 AUTOMATED'!O1421))</f>
        <v/>
      </c>
      <c r="R1421" s="41" t="str">
        <f>IF(Table1[[#This Row],[QUANTITY]]=0,"",Table1[[#This Row],[UNIT PRICE]]*Table1[[#This Row],[QUANTITY]])</f>
        <v/>
      </c>
      <c r="S1421" s="89"/>
      <c r="T1421" s="38"/>
      <c r="U1421" s="43"/>
      <c r="V1421" s="42" t="str">
        <f>IF(Table1[[#This Row],[DATE]]=0,"",YEAR(E1421))</f>
        <v/>
      </c>
      <c r="W1421" s="40" t="str">
        <f t="shared" si="44"/>
        <v/>
      </c>
      <c r="X1421" s="40" t="str">
        <f t="shared" si="45"/>
        <v/>
      </c>
      <c r="Y1421" s="40" t="str">
        <f>TEXT(Table1[[#This Row],[YEAR]],"0000")&amp;"-"&amp;Table1[[#This Row],[MONTH]]</f>
        <v>-</v>
      </c>
    </row>
    <row r="1422" spans="1:25" ht="15" customHeight="1" x14ac:dyDescent="0.35">
      <c r="A1422" s="24"/>
      <c r="B1422" s="38"/>
      <c r="C1422" s="38"/>
      <c r="D1422" s="38"/>
      <c r="E1422" s="37"/>
      <c r="F1422" s="38"/>
      <c r="G1422" s="198"/>
      <c r="H1422" s="198"/>
      <c r="I1422" s="39"/>
      <c r="J1422" s="38"/>
      <c r="K1422" s="198"/>
      <c r="L1422" s="38"/>
      <c r="M1422" s="38"/>
      <c r="N1422" s="38"/>
      <c r="O1422" s="38"/>
      <c r="P1422" s="40" t="str" cm="1">
        <f t="array" ref="P1422">IF(N1422="","",IFERROR(_xlfn.XLOOKUP(F1422&amp;"|"&amp;J1422&amp;"|"&amp;O1422,PRICES!$C$2:$C$659&amp;"|"&amp;PRICES!$B$2:$B$659&amp;"|"&amp;PRICES!$D$2:$D$659,PRICES!$E$2:$E$659),"Not Found"))</f>
        <v/>
      </c>
      <c r="Q1422" s="100" t="str">
        <f>IF(N1422=0,"",SUMIFS(PRICES!$G$2:$G$658,PRICES!$B$2:$B$658,'MAIN TABLE-1 AUTOMATED'!J1422,PRICES!$C$2:$C$658,'MAIN TABLE-1 AUTOMATED'!F1422,PRICES!$D$2:$D$658,'MAIN TABLE-1 AUTOMATED'!O1422))</f>
        <v/>
      </c>
      <c r="R1422" s="41" t="str">
        <f>IF(Table1[[#This Row],[QUANTITY]]=0,"",Table1[[#This Row],[UNIT PRICE]]*Table1[[#This Row],[QUANTITY]])</f>
        <v/>
      </c>
      <c r="S1422" s="89"/>
      <c r="T1422" s="38"/>
      <c r="U1422" s="43"/>
      <c r="V1422" s="42" t="str">
        <f>IF(Table1[[#This Row],[DATE]]=0,"",YEAR(E1422))</f>
        <v/>
      </c>
      <c r="W1422" s="40" t="str">
        <f t="shared" si="44"/>
        <v/>
      </c>
      <c r="X1422" s="40" t="str">
        <f t="shared" si="45"/>
        <v/>
      </c>
      <c r="Y1422" s="40" t="str">
        <f>TEXT(Table1[[#This Row],[YEAR]],"0000")&amp;"-"&amp;Table1[[#This Row],[MONTH]]</f>
        <v>-</v>
      </c>
    </row>
    <row r="1423" spans="1:25" ht="15" customHeight="1" x14ac:dyDescent="0.35">
      <c r="A1423" s="24"/>
      <c r="B1423" s="38"/>
      <c r="C1423" s="38"/>
      <c r="D1423" s="38"/>
      <c r="E1423" s="37"/>
      <c r="F1423" s="38"/>
      <c r="G1423" s="198"/>
      <c r="H1423" s="198"/>
      <c r="I1423" s="39"/>
      <c r="J1423" s="38"/>
      <c r="K1423" s="198"/>
      <c r="L1423" s="38"/>
      <c r="M1423" s="38"/>
      <c r="N1423" s="38"/>
      <c r="O1423" s="38"/>
      <c r="P1423" s="40" t="str" cm="1">
        <f t="array" ref="P1423">IF(N1423="","",IFERROR(_xlfn.XLOOKUP(F1423&amp;"|"&amp;J1423&amp;"|"&amp;O1423,PRICES!$C$2:$C$659&amp;"|"&amp;PRICES!$B$2:$B$659&amp;"|"&amp;PRICES!$D$2:$D$659,PRICES!$E$2:$E$659),"Not Found"))</f>
        <v/>
      </c>
      <c r="Q1423" s="100" t="str">
        <f>IF(N1423=0,"",SUMIFS(PRICES!$G$2:$G$658,PRICES!$B$2:$B$658,'MAIN TABLE-1 AUTOMATED'!J1423,PRICES!$C$2:$C$658,'MAIN TABLE-1 AUTOMATED'!F1423,PRICES!$D$2:$D$658,'MAIN TABLE-1 AUTOMATED'!O1423))</f>
        <v/>
      </c>
      <c r="R1423" s="41" t="str">
        <f>IF(Table1[[#This Row],[QUANTITY]]=0,"",Table1[[#This Row],[UNIT PRICE]]*Table1[[#This Row],[QUANTITY]])</f>
        <v/>
      </c>
      <c r="S1423" s="89"/>
      <c r="T1423" s="38"/>
      <c r="U1423" s="43"/>
      <c r="V1423" s="42" t="str">
        <f>IF(Table1[[#This Row],[DATE]]=0,"",YEAR(E1423))</f>
        <v/>
      </c>
      <c r="W1423" s="40" t="str">
        <f t="shared" si="44"/>
        <v/>
      </c>
      <c r="X1423" s="40" t="str">
        <f t="shared" si="45"/>
        <v/>
      </c>
      <c r="Y1423" s="40" t="str">
        <f>TEXT(Table1[[#This Row],[YEAR]],"0000")&amp;"-"&amp;Table1[[#This Row],[MONTH]]</f>
        <v>-</v>
      </c>
    </row>
    <row r="1424" spans="1:25" ht="15" customHeight="1" x14ac:dyDescent="0.35">
      <c r="A1424" s="24"/>
      <c r="B1424" s="38"/>
      <c r="C1424" s="38"/>
      <c r="D1424" s="38"/>
      <c r="E1424" s="37"/>
      <c r="F1424" s="38"/>
      <c r="G1424" s="198"/>
      <c r="H1424" s="198"/>
      <c r="I1424" s="39"/>
      <c r="J1424" s="38"/>
      <c r="K1424" s="198"/>
      <c r="L1424" s="38"/>
      <c r="M1424" s="38"/>
      <c r="N1424" s="38"/>
      <c r="O1424" s="38"/>
      <c r="P1424" s="40" t="str" cm="1">
        <f t="array" ref="P1424">IF(N1424="","",IFERROR(_xlfn.XLOOKUP(F1424&amp;"|"&amp;J1424&amp;"|"&amp;O1424,PRICES!$C$2:$C$659&amp;"|"&amp;PRICES!$B$2:$B$659&amp;"|"&amp;PRICES!$D$2:$D$659,PRICES!$E$2:$E$659),"Not Found"))</f>
        <v/>
      </c>
      <c r="Q1424" s="100" t="str">
        <f>IF(N1424=0,"",SUMIFS(PRICES!$G$2:$G$658,PRICES!$B$2:$B$658,'MAIN TABLE-1 AUTOMATED'!J1424,PRICES!$C$2:$C$658,'MAIN TABLE-1 AUTOMATED'!F1424,PRICES!$D$2:$D$658,'MAIN TABLE-1 AUTOMATED'!O1424))</f>
        <v/>
      </c>
      <c r="R1424" s="41" t="str">
        <f>IF(Table1[[#This Row],[QUANTITY]]=0,"",Table1[[#This Row],[UNIT PRICE]]*Table1[[#This Row],[QUANTITY]])</f>
        <v/>
      </c>
      <c r="S1424" s="89"/>
      <c r="T1424" s="38"/>
      <c r="U1424" s="43"/>
      <c r="V1424" s="42" t="str">
        <f>IF(Table1[[#This Row],[DATE]]=0,"",YEAR(E1424))</f>
        <v/>
      </c>
      <c r="W1424" s="40" t="str">
        <f t="shared" si="44"/>
        <v/>
      </c>
      <c r="X1424" s="40" t="str">
        <f t="shared" si="45"/>
        <v/>
      </c>
      <c r="Y1424" s="40" t="str">
        <f>TEXT(Table1[[#This Row],[YEAR]],"0000")&amp;"-"&amp;Table1[[#This Row],[MONTH]]</f>
        <v>-</v>
      </c>
    </row>
    <row r="1425" spans="1:25" ht="15" customHeight="1" x14ac:dyDescent="0.35">
      <c r="A1425" s="24"/>
      <c r="B1425" s="38"/>
      <c r="C1425" s="38"/>
      <c r="D1425" s="38"/>
      <c r="E1425" s="37"/>
      <c r="F1425" s="38"/>
      <c r="G1425" s="198"/>
      <c r="H1425" s="198"/>
      <c r="I1425" s="39"/>
      <c r="J1425" s="38"/>
      <c r="K1425" s="198"/>
      <c r="L1425" s="38"/>
      <c r="M1425" s="38"/>
      <c r="N1425" s="38"/>
      <c r="O1425" s="38"/>
      <c r="P1425" s="40" t="str" cm="1">
        <f t="array" ref="P1425">IF(N1425="","",IFERROR(_xlfn.XLOOKUP(F1425&amp;"|"&amp;J1425&amp;"|"&amp;O1425,PRICES!$C$2:$C$659&amp;"|"&amp;PRICES!$B$2:$B$659&amp;"|"&amp;PRICES!$D$2:$D$659,PRICES!$E$2:$E$659),"Not Found"))</f>
        <v/>
      </c>
      <c r="Q1425" s="100" t="str">
        <f>IF(N1425=0,"",SUMIFS(PRICES!$G$2:$G$658,PRICES!$B$2:$B$658,'MAIN TABLE-1 AUTOMATED'!J1425,PRICES!$C$2:$C$658,'MAIN TABLE-1 AUTOMATED'!F1425,PRICES!$D$2:$D$658,'MAIN TABLE-1 AUTOMATED'!O1425))</f>
        <v/>
      </c>
      <c r="R1425" s="41" t="str">
        <f>IF(Table1[[#This Row],[QUANTITY]]=0,"",Table1[[#This Row],[UNIT PRICE]]*Table1[[#This Row],[QUANTITY]])</f>
        <v/>
      </c>
      <c r="S1425" s="89"/>
      <c r="T1425" s="38"/>
      <c r="U1425" s="43"/>
      <c r="V1425" s="42" t="str">
        <f>IF(Table1[[#This Row],[DATE]]=0,"",YEAR(E1425))</f>
        <v/>
      </c>
      <c r="W1425" s="40" t="str">
        <f t="shared" si="44"/>
        <v/>
      </c>
      <c r="X1425" s="40" t="str">
        <f t="shared" si="45"/>
        <v/>
      </c>
      <c r="Y1425" s="40" t="str">
        <f>TEXT(Table1[[#This Row],[YEAR]],"0000")&amp;"-"&amp;Table1[[#This Row],[MONTH]]</f>
        <v>-</v>
      </c>
    </row>
    <row r="1426" spans="1:25" ht="15" customHeight="1" x14ac:dyDescent="0.35">
      <c r="A1426" s="24"/>
      <c r="B1426" s="38"/>
      <c r="C1426" s="38"/>
      <c r="D1426" s="38"/>
      <c r="E1426" s="37"/>
      <c r="F1426" s="38"/>
      <c r="G1426" s="198"/>
      <c r="H1426" s="198"/>
      <c r="I1426" s="39"/>
      <c r="J1426" s="38"/>
      <c r="K1426" s="198"/>
      <c r="L1426" s="38"/>
      <c r="M1426" s="38"/>
      <c r="N1426" s="38"/>
      <c r="O1426" s="38"/>
      <c r="P1426" s="40" t="str" cm="1">
        <f t="array" ref="P1426">IF(N1426="","",IFERROR(_xlfn.XLOOKUP(F1426&amp;"|"&amp;J1426&amp;"|"&amp;O1426,PRICES!$C$2:$C$659&amp;"|"&amp;PRICES!$B$2:$B$659&amp;"|"&amp;PRICES!$D$2:$D$659,PRICES!$E$2:$E$659),"Not Found"))</f>
        <v/>
      </c>
      <c r="Q1426" s="100" t="str">
        <f>IF(N1426=0,"",SUMIFS(PRICES!$G$2:$G$658,PRICES!$B$2:$B$658,'MAIN TABLE-1 AUTOMATED'!J1426,PRICES!$C$2:$C$658,'MAIN TABLE-1 AUTOMATED'!F1426,PRICES!$D$2:$D$658,'MAIN TABLE-1 AUTOMATED'!O1426))</f>
        <v/>
      </c>
      <c r="R1426" s="41" t="str">
        <f>IF(Table1[[#This Row],[QUANTITY]]=0,"",Table1[[#This Row],[UNIT PRICE]]*Table1[[#This Row],[QUANTITY]])</f>
        <v/>
      </c>
      <c r="S1426" s="89"/>
      <c r="T1426" s="38"/>
      <c r="U1426" s="43"/>
      <c r="V1426" s="42" t="str">
        <f>IF(Table1[[#This Row],[DATE]]=0,"",YEAR(E1426))</f>
        <v/>
      </c>
      <c r="W1426" s="40" t="str">
        <f t="shared" si="44"/>
        <v/>
      </c>
      <c r="X1426" s="40" t="str">
        <f t="shared" si="45"/>
        <v/>
      </c>
      <c r="Y1426" s="40" t="str">
        <f>TEXT(Table1[[#This Row],[YEAR]],"0000")&amp;"-"&amp;Table1[[#This Row],[MONTH]]</f>
        <v>-</v>
      </c>
    </row>
    <row r="1427" spans="1:25" ht="15" customHeight="1" x14ac:dyDescent="0.35">
      <c r="A1427" s="24"/>
      <c r="B1427" s="38"/>
      <c r="C1427" s="38"/>
      <c r="D1427" s="38"/>
      <c r="E1427" s="37"/>
      <c r="F1427" s="38"/>
      <c r="G1427" s="198"/>
      <c r="H1427" s="198"/>
      <c r="I1427" s="39"/>
      <c r="J1427" s="38"/>
      <c r="K1427" s="198"/>
      <c r="L1427" s="38"/>
      <c r="M1427" s="38"/>
      <c r="N1427" s="38"/>
      <c r="O1427" s="38"/>
      <c r="P1427" s="40" t="str" cm="1">
        <f t="array" ref="P1427">IF(N1427="","",IFERROR(_xlfn.XLOOKUP(F1427&amp;"|"&amp;J1427&amp;"|"&amp;O1427,PRICES!$C$2:$C$659&amp;"|"&amp;PRICES!$B$2:$B$659&amp;"|"&amp;PRICES!$D$2:$D$659,PRICES!$E$2:$E$659),"Not Found"))</f>
        <v/>
      </c>
      <c r="Q1427" s="100" t="str">
        <f>IF(N1427=0,"",SUMIFS(PRICES!$G$2:$G$658,PRICES!$B$2:$B$658,'MAIN TABLE-1 AUTOMATED'!J1427,PRICES!$C$2:$C$658,'MAIN TABLE-1 AUTOMATED'!F1427,PRICES!$D$2:$D$658,'MAIN TABLE-1 AUTOMATED'!O1427))</f>
        <v/>
      </c>
      <c r="R1427" s="41" t="str">
        <f>IF(Table1[[#This Row],[QUANTITY]]=0,"",Table1[[#This Row],[UNIT PRICE]]*Table1[[#This Row],[QUANTITY]])</f>
        <v/>
      </c>
      <c r="S1427" s="89"/>
      <c r="T1427" s="38"/>
      <c r="U1427" s="43"/>
      <c r="V1427" s="42" t="str">
        <f>IF(Table1[[#This Row],[DATE]]=0,"",YEAR(E1427))</f>
        <v/>
      </c>
      <c r="W1427" s="40" t="str">
        <f t="shared" si="44"/>
        <v/>
      </c>
      <c r="X1427" s="40" t="str">
        <f t="shared" si="45"/>
        <v/>
      </c>
      <c r="Y1427" s="40" t="str">
        <f>TEXT(Table1[[#This Row],[YEAR]],"0000")&amp;"-"&amp;Table1[[#This Row],[MONTH]]</f>
        <v>-</v>
      </c>
    </row>
    <row r="1428" spans="1:25" ht="15" customHeight="1" x14ac:dyDescent="0.35">
      <c r="A1428" s="24"/>
      <c r="B1428" s="38"/>
      <c r="C1428" s="38"/>
      <c r="D1428" s="38"/>
      <c r="E1428" s="37"/>
      <c r="F1428" s="38"/>
      <c r="G1428" s="198"/>
      <c r="H1428" s="198"/>
      <c r="I1428" s="39"/>
      <c r="J1428" s="38"/>
      <c r="K1428" s="198"/>
      <c r="L1428" s="38"/>
      <c r="M1428" s="38"/>
      <c r="N1428" s="38"/>
      <c r="O1428" s="38"/>
      <c r="P1428" s="40" t="str" cm="1">
        <f t="array" ref="P1428">IF(N1428="","",IFERROR(_xlfn.XLOOKUP(F1428&amp;"|"&amp;J1428&amp;"|"&amp;O1428,PRICES!$C$2:$C$659&amp;"|"&amp;PRICES!$B$2:$B$659&amp;"|"&amp;PRICES!$D$2:$D$659,PRICES!$E$2:$E$659),"Not Found"))</f>
        <v/>
      </c>
      <c r="Q1428" s="100" t="str">
        <f>IF(N1428=0,"",SUMIFS(PRICES!$G$2:$G$658,PRICES!$B$2:$B$658,'MAIN TABLE-1 AUTOMATED'!J1428,PRICES!$C$2:$C$658,'MAIN TABLE-1 AUTOMATED'!F1428,PRICES!$D$2:$D$658,'MAIN TABLE-1 AUTOMATED'!O1428))</f>
        <v/>
      </c>
      <c r="R1428" s="41" t="str">
        <f>IF(Table1[[#This Row],[QUANTITY]]=0,"",Table1[[#This Row],[UNIT PRICE]]*Table1[[#This Row],[QUANTITY]])</f>
        <v/>
      </c>
      <c r="S1428" s="89"/>
      <c r="T1428" s="38"/>
      <c r="U1428" s="43"/>
      <c r="V1428" s="42" t="str">
        <f>IF(Table1[[#This Row],[DATE]]=0,"",YEAR(E1428))</f>
        <v/>
      </c>
      <c r="W1428" s="40" t="str">
        <f t="shared" si="44"/>
        <v/>
      </c>
      <c r="X1428" s="40" t="str">
        <f t="shared" si="45"/>
        <v/>
      </c>
      <c r="Y1428" s="40" t="str">
        <f>TEXT(Table1[[#This Row],[YEAR]],"0000")&amp;"-"&amp;Table1[[#This Row],[MONTH]]</f>
        <v>-</v>
      </c>
    </row>
    <row r="1429" spans="1:25" ht="15" customHeight="1" x14ac:dyDescent="0.35">
      <c r="A1429" s="24"/>
      <c r="B1429" s="38"/>
      <c r="C1429" s="38"/>
      <c r="D1429" s="38"/>
      <c r="E1429" s="37"/>
      <c r="F1429" s="38"/>
      <c r="G1429" s="198"/>
      <c r="H1429" s="198"/>
      <c r="I1429" s="39"/>
      <c r="J1429" s="38"/>
      <c r="K1429" s="198"/>
      <c r="L1429" s="38"/>
      <c r="M1429" s="38"/>
      <c r="N1429" s="38"/>
      <c r="O1429" s="38"/>
      <c r="P1429" s="40" t="str" cm="1">
        <f t="array" ref="P1429">IF(N1429="","",IFERROR(_xlfn.XLOOKUP(F1429&amp;"|"&amp;J1429&amp;"|"&amp;O1429,PRICES!$C$2:$C$659&amp;"|"&amp;PRICES!$B$2:$B$659&amp;"|"&amp;PRICES!$D$2:$D$659,PRICES!$E$2:$E$659),"Not Found"))</f>
        <v/>
      </c>
      <c r="Q1429" s="100" t="str">
        <f>IF(N1429=0,"",SUMIFS(PRICES!$G$2:$G$658,PRICES!$B$2:$B$658,'MAIN TABLE-1 AUTOMATED'!J1429,PRICES!$C$2:$C$658,'MAIN TABLE-1 AUTOMATED'!F1429,PRICES!$D$2:$D$658,'MAIN TABLE-1 AUTOMATED'!O1429))</f>
        <v/>
      </c>
      <c r="R1429" s="41" t="str">
        <f>IF(Table1[[#This Row],[QUANTITY]]=0,"",Table1[[#This Row],[UNIT PRICE]]*Table1[[#This Row],[QUANTITY]])</f>
        <v/>
      </c>
      <c r="S1429" s="89"/>
      <c r="T1429" s="38"/>
      <c r="U1429" s="43"/>
      <c r="V1429" s="42" t="str">
        <f>IF(Table1[[#This Row],[DATE]]=0,"",YEAR(E1429))</f>
        <v/>
      </c>
      <c r="W1429" s="40" t="str">
        <f t="shared" si="44"/>
        <v/>
      </c>
      <c r="X1429" s="40" t="str">
        <f t="shared" si="45"/>
        <v/>
      </c>
      <c r="Y1429" s="40" t="str">
        <f>TEXT(Table1[[#This Row],[YEAR]],"0000")&amp;"-"&amp;Table1[[#This Row],[MONTH]]</f>
        <v>-</v>
      </c>
    </row>
    <row r="1430" spans="1:25" ht="15" customHeight="1" x14ac:dyDescent="0.35">
      <c r="A1430" s="24"/>
      <c r="B1430" s="38"/>
      <c r="C1430" s="38"/>
      <c r="D1430" s="38"/>
      <c r="E1430" s="37"/>
      <c r="F1430" s="38"/>
      <c r="G1430" s="198"/>
      <c r="H1430" s="198"/>
      <c r="I1430" s="39"/>
      <c r="J1430" s="38"/>
      <c r="K1430" s="198"/>
      <c r="L1430" s="38"/>
      <c r="M1430" s="38"/>
      <c r="N1430" s="38"/>
      <c r="O1430" s="38"/>
      <c r="P1430" s="40" t="str" cm="1">
        <f t="array" ref="P1430">IF(N1430="","",IFERROR(_xlfn.XLOOKUP(F1430&amp;"|"&amp;J1430&amp;"|"&amp;O1430,PRICES!$C$2:$C$659&amp;"|"&amp;PRICES!$B$2:$B$659&amp;"|"&amp;PRICES!$D$2:$D$659,PRICES!$E$2:$E$659),"Not Found"))</f>
        <v/>
      </c>
      <c r="Q1430" s="100" t="str">
        <f>IF(N1430=0,"",SUMIFS(PRICES!$G$2:$G$658,PRICES!$B$2:$B$658,'MAIN TABLE-1 AUTOMATED'!J1430,PRICES!$C$2:$C$658,'MAIN TABLE-1 AUTOMATED'!F1430,PRICES!$D$2:$D$658,'MAIN TABLE-1 AUTOMATED'!O1430))</f>
        <v/>
      </c>
      <c r="R1430" s="41" t="str">
        <f>IF(Table1[[#This Row],[QUANTITY]]=0,"",Table1[[#This Row],[UNIT PRICE]]*Table1[[#This Row],[QUANTITY]])</f>
        <v/>
      </c>
      <c r="S1430" s="89"/>
      <c r="T1430" s="38"/>
      <c r="U1430" s="43"/>
      <c r="V1430" s="42" t="str">
        <f>IF(Table1[[#This Row],[DATE]]=0,"",YEAR(E1430))</f>
        <v/>
      </c>
      <c r="W1430" s="40" t="str">
        <f t="shared" si="44"/>
        <v/>
      </c>
      <c r="X1430" s="40" t="str">
        <f t="shared" si="45"/>
        <v/>
      </c>
      <c r="Y1430" s="40" t="str">
        <f>TEXT(Table1[[#This Row],[YEAR]],"0000")&amp;"-"&amp;Table1[[#This Row],[MONTH]]</f>
        <v>-</v>
      </c>
    </row>
    <row r="1431" spans="1:25" ht="15" customHeight="1" x14ac:dyDescent="0.35">
      <c r="A1431" s="24"/>
      <c r="B1431" s="38"/>
      <c r="C1431" s="38"/>
      <c r="D1431" s="38"/>
      <c r="E1431" s="37"/>
      <c r="F1431" s="38"/>
      <c r="G1431" s="198"/>
      <c r="H1431" s="198"/>
      <c r="I1431" s="39"/>
      <c r="J1431" s="38"/>
      <c r="K1431" s="198"/>
      <c r="L1431" s="38"/>
      <c r="M1431" s="38"/>
      <c r="N1431" s="38"/>
      <c r="O1431" s="38"/>
      <c r="P1431" s="40" t="str" cm="1">
        <f t="array" ref="P1431">IF(N1431="","",IFERROR(_xlfn.XLOOKUP(F1431&amp;"|"&amp;J1431&amp;"|"&amp;O1431,PRICES!$C$2:$C$659&amp;"|"&amp;PRICES!$B$2:$B$659&amp;"|"&amp;PRICES!$D$2:$D$659,PRICES!$E$2:$E$659),"Not Found"))</f>
        <v/>
      </c>
      <c r="Q1431" s="100" t="str">
        <f>IF(N1431=0,"",SUMIFS(PRICES!$G$2:$G$658,PRICES!$B$2:$B$658,'MAIN TABLE-1 AUTOMATED'!J1431,PRICES!$C$2:$C$658,'MAIN TABLE-1 AUTOMATED'!F1431,PRICES!$D$2:$D$658,'MAIN TABLE-1 AUTOMATED'!O1431))</f>
        <v/>
      </c>
      <c r="R1431" s="41" t="str">
        <f>IF(Table1[[#This Row],[QUANTITY]]=0,"",Table1[[#This Row],[UNIT PRICE]]*Table1[[#This Row],[QUANTITY]])</f>
        <v/>
      </c>
      <c r="S1431" s="89"/>
      <c r="T1431" s="38"/>
      <c r="U1431" s="43"/>
      <c r="V1431" s="42" t="str">
        <f>IF(Table1[[#This Row],[DATE]]=0,"",YEAR(E1431))</f>
        <v/>
      </c>
      <c r="W1431" s="40" t="str">
        <f t="shared" si="44"/>
        <v/>
      </c>
      <c r="X1431" s="40" t="str">
        <f t="shared" si="45"/>
        <v/>
      </c>
      <c r="Y1431" s="40" t="str">
        <f>TEXT(Table1[[#This Row],[YEAR]],"0000")&amp;"-"&amp;Table1[[#This Row],[MONTH]]</f>
        <v>-</v>
      </c>
    </row>
    <row r="1432" spans="1:25" ht="15" customHeight="1" x14ac:dyDescent="0.35">
      <c r="A1432" s="24"/>
      <c r="B1432" s="38"/>
      <c r="C1432" s="38"/>
      <c r="D1432" s="38"/>
      <c r="E1432" s="37"/>
      <c r="F1432" s="38"/>
      <c r="G1432" s="198"/>
      <c r="H1432" s="198"/>
      <c r="I1432" s="39"/>
      <c r="J1432" s="38"/>
      <c r="K1432" s="198"/>
      <c r="L1432" s="38"/>
      <c r="M1432" s="38"/>
      <c r="N1432" s="38"/>
      <c r="O1432" s="38"/>
      <c r="P1432" s="40" t="str" cm="1">
        <f t="array" ref="P1432">IF(N1432="","",IFERROR(_xlfn.XLOOKUP(F1432&amp;"|"&amp;J1432&amp;"|"&amp;O1432,PRICES!$C$2:$C$659&amp;"|"&amp;PRICES!$B$2:$B$659&amp;"|"&amp;PRICES!$D$2:$D$659,PRICES!$E$2:$E$659),"Not Found"))</f>
        <v/>
      </c>
      <c r="Q1432" s="100" t="str">
        <f>IF(N1432=0,"",SUMIFS(PRICES!$G$2:$G$658,PRICES!$B$2:$B$658,'MAIN TABLE-1 AUTOMATED'!J1432,PRICES!$C$2:$C$658,'MAIN TABLE-1 AUTOMATED'!F1432,PRICES!$D$2:$D$658,'MAIN TABLE-1 AUTOMATED'!O1432))</f>
        <v/>
      </c>
      <c r="R1432" s="41" t="str">
        <f>IF(Table1[[#This Row],[QUANTITY]]=0,"",Table1[[#This Row],[UNIT PRICE]]*Table1[[#This Row],[QUANTITY]])</f>
        <v/>
      </c>
      <c r="S1432" s="89"/>
      <c r="T1432" s="38"/>
      <c r="U1432" s="43"/>
      <c r="V1432" s="42" t="str">
        <f>IF(Table1[[#This Row],[DATE]]=0,"",YEAR(E1432))</f>
        <v/>
      </c>
      <c r="W1432" s="40" t="str">
        <f t="shared" si="44"/>
        <v/>
      </c>
      <c r="X1432" s="40" t="str">
        <f t="shared" si="45"/>
        <v/>
      </c>
      <c r="Y1432" s="40" t="str">
        <f>TEXT(Table1[[#This Row],[YEAR]],"0000")&amp;"-"&amp;Table1[[#This Row],[MONTH]]</f>
        <v>-</v>
      </c>
    </row>
    <row r="1433" spans="1:25" ht="15" customHeight="1" x14ac:dyDescent="0.35">
      <c r="A1433" s="24"/>
      <c r="B1433" s="38"/>
      <c r="C1433" s="38"/>
      <c r="D1433" s="38"/>
      <c r="E1433" s="37"/>
      <c r="F1433" s="38"/>
      <c r="G1433" s="198"/>
      <c r="H1433" s="198"/>
      <c r="I1433" s="39"/>
      <c r="J1433" s="38"/>
      <c r="K1433" s="198"/>
      <c r="L1433" s="38"/>
      <c r="M1433" s="38"/>
      <c r="N1433" s="38"/>
      <c r="O1433" s="38"/>
      <c r="P1433" s="40" t="str" cm="1">
        <f t="array" ref="P1433">IF(N1433="","",IFERROR(_xlfn.XLOOKUP(F1433&amp;"|"&amp;J1433&amp;"|"&amp;O1433,PRICES!$C$2:$C$659&amp;"|"&amp;PRICES!$B$2:$B$659&amp;"|"&amp;PRICES!$D$2:$D$659,PRICES!$E$2:$E$659),"Not Found"))</f>
        <v/>
      </c>
      <c r="Q1433" s="100" t="str">
        <f>IF(N1433=0,"",SUMIFS(PRICES!$G$2:$G$658,PRICES!$B$2:$B$658,'MAIN TABLE-1 AUTOMATED'!J1433,PRICES!$C$2:$C$658,'MAIN TABLE-1 AUTOMATED'!F1433,PRICES!$D$2:$D$658,'MAIN TABLE-1 AUTOMATED'!O1433))</f>
        <v/>
      </c>
      <c r="R1433" s="41" t="str">
        <f>IF(Table1[[#This Row],[QUANTITY]]=0,"",Table1[[#This Row],[UNIT PRICE]]*Table1[[#This Row],[QUANTITY]])</f>
        <v/>
      </c>
      <c r="S1433" s="89"/>
      <c r="T1433" s="38"/>
      <c r="U1433" s="43"/>
      <c r="V1433" s="42" t="str">
        <f>IF(Table1[[#This Row],[DATE]]=0,"",YEAR(E1433))</f>
        <v/>
      </c>
      <c r="W1433" s="40" t="str">
        <f t="shared" si="44"/>
        <v/>
      </c>
      <c r="X1433" s="40" t="str">
        <f t="shared" si="45"/>
        <v/>
      </c>
      <c r="Y1433" s="40" t="str">
        <f>TEXT(Table1[[#This Row],[YEAR]],"0000")&amp;"-"&amp;Table1[[#This Row],[MONTH]]</f>
        <v>-</v>
      </c>
    </row>
    <row r="1434" spans="1:25" ht="15" customHeight="1" x14ac:dyDescent="0.35">
      <c r="A1434" s="24"/>
      <c r="B1434" s="38"/>
      <c r="C1434" s="38"/>
      <c r="D1434" s="38"/>
      <c r="E1434" s="37"/>
      <c r="F1434" s="38"/>
      <c r="G1434" s="198"/>
      <c r="H1434" s="198"/>
      <c r="I1434" s="39"/>
      <c r="J1434" s="38"/>
      <c r="K1434" s="198"/>
      <c r="L1434" s="38"/>
      <c r="M1434" s="38"/>
      <c r="N1434" s="38"/>
      <c r="O1434" s="38"/>
      <c r="P1434" s="40" t="str" cm="1">
        <f t="array" ref="P1434">IF(N1434="","",IFERROR(_xlfn.XLOOKUP(F1434&amp;"|"&amp;J1434&amp;"|"&amp;O1434,PRICES!$C$2:$C$659&amp;"|"&amp;PRICES!$B$2:$B$659&amp;"|"&amp;PRICES!$D$2:$D$659,PRICES!$E$2:$E$659),"Not Found"))</f>
        <v/>
      </c>
      <c r="Q1434" s="100" t="str">
        <f>IF(N1434=0,"",SUMIFS(PRICES!$G$2:$G$658,PRICES!$B$2:$B$658,'MAIN TABLE-1 AUTOMATED'!J1434,PRICES!$C$2:$C$658,'MAIN TABLE-1 AUTOMATED'!F1434,PRICES!$D$2:$D$658,'MAIN TABLE-1 AUTOMATED'!O1434))</f>
        <v/>
      </c>
      <c r="R1434" s="41" t="str">
        <f>IF(Table1[[#This Row],[QUANTITY]]=0,"",Table1[[#This Row],[UNIT PRICE]]*Table1[[#This Row],[QUANTITY]])</f>
        <v/>
      </c>
      <c r="S1434" s="89"/>
      <c r="T1434" s="38"/>
      <c r="U1434" s="43"/>
      <c r="V1434" s="42" t="str">
        <f>IF(Table1[[#This Row],[DATE]]=0,"",YEAR(E1434))</f>
        <v/>
      </c>
      <c r="W1434" s="40" t="str">
        <f t="shared" si="44"/>
        <v/>
      </c>
      <c r="X1434" s="40" t="str">
        <f t="shared" si="45"/>
        <v/>
      </c>
      <c r="Y1434" s="40" t="str">
        <f>TEXT(Table1[[#This Row],[YEAR]],"0000")&amp;"-"&amp;Table1[[#This Row],[MONTH]]</f>
        <v>-</v>
      </c>
    </row>
    <row r="1435" spans="1:25" ht="15" customHeight="1" x14ac:dyDescent="0.35">
      <c r="A1435" s="24"/>
      <c r="B1435" s="38"/>
      <c r="C1435" s="38"/>
      <c r="D1435" s="38"/>
      <c r="E1435" s="37"/>
      <c r="F1435" s="38"/>
      <c r="G1435" s="198"/>
      <c r="H1435" s="198"/>
      <c r="I1435" s="39"/>
      <c r="J1435" s="38"/>
      <c r="K1435" s="198"/>
      <c r="L1435" s="38"/>
      <c r="M1435" s="38"/>
      <c r="N1435" s="38"/>
      <c r="O1435" s="38"/>
      <c r="P1435" s="40" t="str" cm="1">
        <f t="array" ref="P1435">IF(N1435="","",IFERROR(_xlfn.XLOOKUP(F1435&amp;"|"&amp;J1435&amp;"|"&amp;O1435,PRICES!$C$2:$C$659&amp;"|"&amp;PRICES!$B$2:$B$659&amp;"|"&amp;PRICES!$D$2:$D$659,PRICES!$E$2:$E$659),"Not Found"))</f>
        <v/>
      </c>
      <c r="Q1435" s="100" t="str">
        <f>IF(N1435=0,"",SUMIFS(PRICES!$G$2:$G$658,PRICES!$B$2:$B$658,'MAIN TABLE-1 AUTOMATED'!J1435,PRICES!$C$2:$C$658,'MAIN TABLE-1 AUTOMATED'!F1435,PRICES!$D$2:$D$658,'MAIN TABLE-1 AUTOMATED'!O1435))</f>
        <v/>
      </c>
      <c r="R1435" s="41" t="str">
        <f>IF(Table1[[#This Row],[QUANTITY]]=0,"",Table1[[#This Row],[UNIT PRICE]]*Table1[[#This Row],[QUANTITY]])</f>
        <v/>
      </c>
      <c r="S1435" s="89"/>
      <c r="T1435" s="38"/>
      <c r="U1435" s="43"/>
      <c r="V1435" s="42" t="str">
        <f>IF(Table1[[#This Row],[DATE]]=0,"",YEAR(E1435))</f>
        <v/>
      </c>
      <c r="W1435" s="40" t="str">
        <f t="shared" si="44"/>
        <v/>
      </c>
      <c r="X1435" s="40" t="str">
        <f t="shared" si="45"/>
        <v/>
      </c>
      <c r="Y1435" s="40" t="str">
        <f>TEXT(Table1[[#This Row],[YEAR]],"0000")&amp;"-"&amp;Table1[[#This Row],[MONTH]]</f>
        <v>-</v>
      </c>
    </row>
    <row r="1436" spans="1:25" ht="15" customHeight="1" x14ac:dyDescent="0.35">
      <c r="A1436" s="24"/>
      <c r="B1436" s="38"/>
      <c r="C1436" s="38"/>
      <c r="D1436" s="38"/>
      <c r="E1436" s="37"/>
      <c r="F1436" s="38"/>
      <c r="G1436" s="198"/>
      <c r="H1436" s="198"/>
      <c r="I1436" s="39"/>
      <c r="J1436" s="38"/>
      <c r="K1436" s="198"/>
      <c r="L1436" s="38"/>
      <c r="M1436" s="38"/>
      <c r="N1436" s="38"/>
      <c r="O1436" s="38"/>
      <c r="P1436" s="40" t="str" cm="1">
        <f t="array" ref="P1436">IF(N1436="","",IFERROR(_xlfn.XLOOKUP(F1436&amp;"|"&amp;J1436&amp;"|"&amp;O1436,PRICES!$C$2:$C$659&amp;"|"&amp;PRICES!$B$2:$B$659&amp;"|"&amp;PRICES!$D$2:$D$659,PRICES!$E$2:$E$659),"Not Found"))</f>
        <v/>
      </c>
      <c r="Q1436" s="100" t="str">
        <f>IF(N1436=0,"",SUMIFS(PRICES!$G$2:$G$658,PRICES!$B$2:$B$658,'MAIN TABLE-1 AUTOMATED'!J1436,PRICES!$C$2:$C$658,'MAIN TABLE-1 AUTOMATED'!F1436,PRICES!$D$2:$D$658,'MAIN TABLE-1 AUTOMATED'!O1436))</f>
        <v/>
      </c>
      <c r="R1436" s="41" t="str">
        <f>IF(Table1[[#This Row],[QUANTITY]]=0,"",Table1[[#This Row],[UNIT PRICE]]*Table1[[#This Row],[QUANTITY]])</f>
        <v/>
      </c>
      <c r="S1436" s="89"/>
      <c r="T1436" s="38"/>
      <c r="U1436" s="43"/>
      <c r="V1436" s="42" t="str">
        <f>IF(Table1[[#This Row],[DATE]]=0,"",YEAR(E1436))</f>
        <v/>
      </c>
      <c r="W1436" s="40" t="str">
        <f t="shared" si="44"/>
        <v/>
      </c>
      <c r="X1436" s="40" t="str">
        <f t="shared" si="45"/>
        <v/>
      </c>
      <c r="Y1436" s="40" t="str">
        <f>TEXT(Table1[[#This Row],[YEAR]],"0000")&amp;"-"&amp;Table1[[#This Row],[MONTH]]</f>
        <v>-</v>
      </c>
    </row>
    <row r="1437" spans="1:25" ht="15" customHeight="1" x14ac:dyDescent="0.35">
      <c r="A1437" s="24"/>
      <c r="B1437" s="38"/>
      <c r="C1437" s="38"/>
      <c r="D1437" s="38"/>
      <c r="E1437" s="37"/>
      <c r="F1437" s="38"/>
      <c r="G1437" s="198"/>
      <c r="H1437" s="198"/>
      <c r="I1437" s="39"/>
      <c r="J1437" s="38"/>
      <c r="K1437" s="198"/>
      <c r="L1437" s="38"/>
      <c r="M1437" s="38"/>
      <c r="N1437" s="38"/>
      <c r="O1437" s="38"/>
      <c r="P1437" s="40" t="str" cm="1">
        <f t="array" ref="P1437">IF(N1437="","",IFERROR(_xlfn.XLOOKUP(F1437&amp;"|"&amp;J1437&amp;"|"&amp;O1437,PRICES!$C$2:$C$659&amp;"|"&amp;PRICES!$B$2:$B$659&amp;"|"&amp;PRICES!$D$2:$D$659,PRICES!$E$2:$E$659),"Not Found"))</f>
        <v/>
      </c>
      <c r="Q1437" s="100" t="str">
        <f>IF(N1437=0,"",SUMIFS(PRICES!$G$2:$G$658,PRICES!$B$2:$B$658,'MAIN TABLE-1 AUTOMATED'!J1437,PRICES!$C$2:$C$658,'MAIN TABLE-1 AUTOMATED'!F1437,PRICES!$D$2:$D$658,'MAIN TABLE-1 AUTOMATED'!O1437))</f>
        <v/>
      </c>
      <c r="R1437" s="41" t="str">
        <f>IF(Table1[[#This Row],[QUANTITY]]=0,"",Table1[[#This Row],[UNIT PRICE]]*Table1[[#This Row],[QUANTITY]])</f>
        <v/>
      </c>
      <c r="S1437" s="89"/>
      <c r="T1437" s="38"/>
      <c r="U1437" s="43"/>
      <c r="V1437" s="42" t="str">
        <f>IF(Table1[[#This Row],[DATE]]=0,"",YEAR(E1437))</f>
        <v/>
      </c>
      <c r="W1437" s="40" t="str">
        <f t="shared" si="44"/>
        <v/>
      </c>
      <c r="X1437" s="40" t="str">
        <f t="shared" si="45"/>
        <v/>
      </c>
      <c r="Y1437" s="40" t="str">
        <f>TEXT(Table1[[#This Row],[YEAR]],"0000")&amp;"-"&amp;Table1[[#This Row],[MONTH]]</f>
        <v>-</v>
      </c>
    </row>
    <row r="1438" spans="1:25" ht="15" customHeight="1" x14ac:dyDescent="0.35">
      <c r="A1438" s="24"/>
      <c r="B1438" s="38"/>
      <c r="C1438" s="38"/>
      <c r="D1438" s="38"/>
      <c r="E1438" s="37"/>
      <c r="F1438" s="38"/>
      <c r="G1438" s="198"/>
      <c r="H1438" s="198"/>
      <c r="I1438" s="39"/>
      <c r="J1438" s="38"/>
      <c r="K1438" s="198"/>
      <c r="L1438" s="38"/>
      <c r="M1438" s="38"/>
      <c r="N1438" s="38"/>
      <c r="O1438" s="38"/>
      <c r="P1438" s="40" t="str" cm="1">
        <f t="array" ref="P1438">IF(N1438="","",IFERROR(_xlfn.XLOOKUP(F1438&amp;"|"&amp;J1438&amp;"|"&amp;O1438,PRICES!$C$2:$C$659&amp;"|"&amp;PRICES!$B$2:$B$659&amp;"|"&amp;PRICES!$D$2:$D$659,PRICES!$E$2:$E$659),"Not Found"))</f>
        <v/>
      </c>
      <c r="Q1438" s="100" t="str">
        <f>IF(N1438=0,"",SUMIFS(PRICES!$G$2:$G$658,PRICES!$B$2:$B$658,'MAIN TABLE-1 AUTOMATED'!J1438,PRICES!$C$2:$C$658,'MAIN TABLE-1 AUTOMATED'!F1438,PRICES!$D$2:$D$658,'MAIN TABLE-1 AUTOMATED'!O1438))</f>
        <v/>
      </c>
      <c r="R1438" s="41" t="str">
        <f>IF(Table1[[#This Row],[QUANTITY]]=0,"",Table1[[#This Row],[UNIT PRICE]]*Table1[[#This Row],[QUANTITY]])</f>
        <v/>
      </c>
      <c r="S1438" s="89"/>
      <c r="T1438" s="38"/>
      <c r="U1438" s="43"/>
      <c r="V1438" s="42" t="str">
        <f>IF(Table1[[#This Row],[DATE]]=0,"",YEAR(E1438))</f>
        <v/>
      </c>
      <c r="W1438" s="40" t="str">
        <f t="shared" si="44"/>
        <v/>
      </c>
      <c r="X1438" s="40" t="str">
        <f t="shared" si="45"/>
        <v/>
      </c>
      <c r="Y1438" s="40" t="str">
        <f>TEXT(Table1[[#This Row],[YEAR]],"0000")&amp;"-"&amp;Table1[[#This Row],[MONTH]]</f>
        <v>-</v>
      </c>
    </row>
    <row r="1439" spans="1:25" ht="15" customHeight="1" x14ac:dyDescent="0.35">
      <c r="A1439" s="24"/>
      <c r="B1439" s="38"/>
      <c r="C1439" s="38"/>
      <c r="D1439" s="38"/>
      <c r="E1439" s="37"/>
      <c r="F1439" s="38"/>
      <c r="G1439" s="198"/>
      <c r="H1439" s="198"/>
      <c r="I1439" s="39"/>
      <c r="J1439" s="38"/>
      <c r="K1439" s="198"/>
      <c r="L1439" s="38"/>
      <c r="M1439" s="38"/>
      <c r="N1439" s="38"/>
      <c r="O1439" s="38"/>
      <c r="P1439" s="40" t="str" cm="1">
        <f t="array" ref="P1439">IF(N1439="","",IFERROR(_xlfn.XLOOKUP(F1439&amp;"|"&amp;J1439&amp;"|"&amp;O1439,PRICES!$C$2:$C$659&amp;"|"&amp;PRICES!$B$2:$B$659&amp;"|"&amp;PRICES!$D$2:$D$659,PRICES!$E$2:$E$659),"Not Found"))</f>
        <v/>
      </c>
      <c r="Q1439" s="100" t="str">
        <f>IF(N1439=0,"",SUMIFS(PRICES!$G$2:$G$658,PRICES!$B$2:$B$658,'MAIN TABLE-1 AUTOMATED'!J1439,PRICES!$C$2:$C$658,'MAIN TABLE-1 AUTOMATED'!F1439,PRICES!$D$2:$D$658,'MAIN TABLE-1 AUTOMATED'!O1439))</f>
        <v/>
      </c>
      <c r="R1439" s="41" t="str">
        <f>IF(Table1[[#This Row],[QUANTITY]]=0,"",Table1[[#This Row],[UNIT PRICE]]*Table1[[#This Row],[QUANTITY]])</f>
        <v/>
      </c>
      <c r="S1439" s="89"/>
      <c r="T1439" s="38"/>
      <c r="U1439" s="43"/>
      <c r="V1439" s="42" t="str">
        <f>IF(Table1[[#This Row],[DATE]]=0,"",YEAR(E1439))</f>
        <v/>
      </c>
      <c r="W1439" s="40" t="str">
        <f t="shared" ref="W1439:W1502" si="46">IF(E1439=0,"",MONTH(E1439))</f>
        <v/>
      </c>
      <c r="X1439" s="40" t="str">
        <f t="shared" ref="X1439:X1502" si="47">IF(E1439=0,"",WEEKNUM(E1439))</f>
        <v/>
      </c>
      <c r="Y1439" s="40" t="str">
        <f>TEXT(Table1[[#This Row],[YEAR]],"0000")&amp;"-"&amp;Table1[[#This Row],[MONTH]]</f>
        <v>-</v>
      </c>
    </row>
    <row r="1440" spans="1:25" ht="15" customHeight="1" x14ac:dyDescent="0.35">
      <c r="A1440" s="24"/>
      <c r="B1440" s="38"/>
      <c r="C1440" s="38"/>
      <c r="D1440" s="38"/>
      <c r="E1440" s="37"/>
      <c r="F1440" s="38"/>
      <c r="G1440" s="198"/>
      <c r="H1440" s="198"/>
      <c r="I1440" s="39"/>
      <c r="J1440" s="38"/>
      <c r="K1440" s="198"/>
      <c r="L1440" s="38"/>
      <c r="M1440" s="38"/>
      <c r="N1440" s="38"/>
      <c r="O1440" s="38"/>
      <c r="P1440" s="40" t="str" cm="1">
        <f t="array" ref="P1440">IF(N1440="","",IFERROR(_xlfn.XLOOKUP(F1440&amp;"|"&amp;J1440&amp;"|"&amp;O1440,PRICES!$C$2:$C$659&amp;"|"&amp;PRICES!$B$2:$B$659&amp;"|"&amp;PRICES!$D$2:$D$659,PRICES!$E$2:$E$659),"Not Found"))</f>
        <v/>
      </c>
      <c r="Q1440" s="100" t="str">
        <f>IF(N1440=0,"",SUMIFS(PRICES!$G$2:$G$658,PRICES!$B$2:$B$658,'MAIN TABLE-1 AUTOMATED'!J1440,PRICES!$C$2:$C$658,'MAIN TABLE-1 AUTOMATED'!F1440,PRICES!$D$2:$D$658,'MAIN TABLE-1 AUTOMATED'!O1440))</f>
        <v/>
      </c>
      <c r="R1440" s="41" t="str">
        <f>IF(Table1[[#This Row],[QUANTITY]]=0,"",Table1[[#This Row],[UNIT PRICE]]*Table1[[#This Row],[QUANTITY]])</f>
        <v/>
      </c>
      <c r="S1440" s="89"/>
      <c r="T1440" s="38"/>
      <c r="U1440" s="43"/>
      <c r="V1440" s="42" t="str">
        <f>IF(Table1[[#This Row],[DATE]]=0,"",YEAR(E1440))</f>
        <v/>
      </c>
      <c r="W1440" s="40" t="str">
        <f t="shared" si="46"/>
        <v/>
      </c>
      <c r="X1440" s="40" t="str">
        <f t="shared" si="47"/>
        <v/>
      </c>
      <c r="Y1440" s="40" t="str">
        <f>TEXT(Table1[[#This Row],[YEAR]],"0000")&amp;"-"&amp;Table1[[#This Row],[MONTH]]</f>
        <v>-</v>
      </c>
    </row>
    <row r="1441" spans="1:25" ht="15" customHeight="1" x14ac:dyDescent="0.35">
      <c r="A1441" s="24"/>
      <c r="B1441" s="38"/>
      <c r="C1441" s="38"/>
      <c r="D1441" s="38"/>
      <c r="E1441" s="37"/>
      <c r="F1441" s="38"/>
      <c r="G1441" s="198"/>
      <c r="H1441" s="198"/>
      <c r="I1441" s="39"/>
      <c r="J1441" s="38"/>
      <c r="K1441" s="198"/>
      <c r="L1441" s="38"/>
      <c r="M1441" s="38"/>
      <c r="N1441" s="38"/>
      <c r="O1441" s="38"/>
      <c r="P1441" s="40" t="str" cm="1">
        <f t="array" ref="P1441">IF(N1441="","",IFERROR(_xlfn.XLOOKUP(F1441&amp;"|"&amp;J1441&amp;"|"&amp;O1441,PRICES!$C$2:$C$659&amp;"|"&amp;PRICES!$B$2:$B$659&amp;"|"&amp;PRICES!$D$2:$D$659,PRICES!$E$2:$E$659),"Not Found"))</f>
        <v/>
      </c>
      <c r="Q1441" s="100" t="str">
        <f>IF(N1441=0,"",SUMIFS(PRICES!$G$2:$G$658,PRICES!$B$2:$B$658,'MAIN TABLE-1 AUTOMATED'!J1441,PRICES!$C$2:$C$658,'MAIN TABLE-1 AUTOMATED'!F1441,PRICES!$D$2:$D$658,'MAIN TABLE-1 AUTOMATED'!O1441))</f>
        <v/>
      </c>
      <c r="R1441" s="41" t="str">
        <f>IF(Table1[[#This Row],[QUANTITY]]=0,"",Table1[[#This Row],[UNIT PRICE]]*Table1[[#This Row],[QUANTITY]])</f>
        <v/>
      </c>
      <c r="S1441" s="89"/>
      <c r="T1441" s="38"/>
      <c r="U1441" s="43"/>
      <c r="V1441" s="42" t="str">
        <f>IF(Table1[[#This Row],[DATE]]=0,"",YEAR(E1441))</f>
        <v/>
      </c>
      <c r="W1441" s="40" t="str">
        <f t="shared" si="46"/>
        <v/>
      </c>
      <c r="X1441" s="40" t="str">
        <f t="shared" si="47"/>
        <v/>
      </c>
      <c r="Y1441" s="40" t="str">
        <f>TEXT(Table1[[#This Row],[YEAR]],"0000")&amp;"-"&amp;Table1[[#This Row],[MONTH]]</f>
        <v>-</v>
      </c>
    </row>
    <row r="1442" spans="1:25" ht="15" customHeight="1" x14ac:dyDescent="0.35">
      <c r="A1442" s="24"/>
      <c r="B1442" s="38"/>
      <c r="C1442" s="38"/>
      <c r="D1442" s="38"/>
      <c r="E1442" s="37"/>
      <c r="F1442" s="38"/>
      <c r="G1442" s="198"/>
      <c r="H1442" s="198"/>
      <c r="I1442" s="39"/>
      <c r="J1442" s="38"/>
      <c r="K1442" s="198"/>
      <c r="L1442" s="38"/>
      <c r="M1442" s="38"/>
      <c r="N1442" s="38"/>
      <c r="O1442" s="38"/>
      <c r="P1442" s="40" t="str" cm="1">
        <f t="array" ref="P1442">IF(N1442="","",IFERROR(_xlfn.XLOOKUP(F1442&amp;"|"&amp;J1442&amp;"|"&amp;O1442,PRICES!$C$2:$C$659&amp;"|"&amp;PRICES!$B$2:$B$659&amp;"|"&amp;PRICES!$D$2:$D$659,PRICES!$E$2:$E$659),"Not Found"))</f>
        <v/>
      </c>
      <c r="Q1442" s="100" t="str">
        <f>IF(N1442=0,"",SUMIFS(PRICES!$G$2:$G$658,PRICES!$B$2:$B$658,'MAIN TABLE-1 AUTOMATED'!J1442,PRICES!$C$2:$C$658,'MAIN TABLE-1 AUTOMATED'!F1442,PRICES!$D$2:$D$658,'MAIN TABLE-1 AUTOMATED'!O1442))</f>
        <v/>
      </c>
      <c r="R1442" s="41" t="str">
        <f>IF(Table1[[#This Row],[QUANTITY]]=0,"",Table1[[#This Row],[UNIT PRICE]]*Table1[[#This Row],[QUANTITY]])</f>
        <v/>
      </c>
      <c r="S1442" s="89"/>
      <c r="T1442" s="38"/>
      <c r="U1442" s="43"/>
      <c r="V1442" s="42" t="str">
        <f>IF(Table1[[#This Row],[DATE]]=0,"",YEAR(E1442))</f>
        <v/>
      </c>
      <c r="W1442" s="40" t="str">
        <f t="shared" si="46"/>
        <v/>
      </c>
      <c r="X1442" s="40" t="str">
        <f t="shared" si="47"/>
        <v/>
      </c>
      <c r="Y1442" s="40" t="str">
        <f>TEXT(Table1[[#This Row],[YEAR]],"0000")&amp;"-"&amp;Table1[[#This Row],[MONTH]]</f>
        <v>-</v>
      </c>
    </row>
    <row r="1443" spans="1:25" ht="15" customHeight="1" x14ac:dyDescent="0.35">
      <c r="A1443" s="24"/>
      <c r="B1443" s="38"/>
      <c r="C1443" s="38"/>
      <c r="D1443" s="38"/>
      <c r="E1443" s="37"/>
      <c r="F1443" s="38"/>
      <c r="G1443" s="198"/>
      <c r="H1443" s="198"/>
      <c r="I1443" s="39"/>
      <c r="J1443" s="38"/>
      <c r="K1443" s="198"/>
      <c r="L1443" s="38"/>
      <c r="M1443" s="38"/>
      <c r="N1443" s="38"/>
      <c r="O1443" s="38"/>
      <c r="P1443" s="40" t="str" cm="1">
        <f t="array" ref="P1443">IF(N1443="","",IFERROR(_xlfn.XLOOKUP(F1443&amp;"|"&amp;J1443&amp;"|"&amp;O1443,PRICES!$C$2:$C$659&amp;"|"&amp;PRICES!$B$2:$B$659&amp;"|"&amp;PRICES!$D$2:$D$659,PRICES!$E$2:$E$659),"Not Found"))</f>
        <v/>
      </c>
      <c r="Q1443" s="100" t="str">
        <f>IF(N1443=0,"",SUMIFS(PRICES!$G$2:$G$658,PRICES!$B$2:$B$658,'MAIN TABLE-1 AUTOMATED'!J1443,PRICES!$C$2:$C$658,'MAIN TABLE-1 AUTOMATED'!F1443,PRICES!$D$2:$D$658,'MAIN TABLE-1 AUTOMATED'!O1443))</f>
        <v/>
      </c>
      <c r="R1443" s="41" t="str">
        <f>IF(Table1[[#This Row],[QUANTITY]]=0,"",Table1[[#This Row],[UNIT PRICE]]*Table1[[#This Row],[QUANTITY]])</f>
        <v/>
      </c>
      <c r="S1443" s="89"/>
      <c r="T1443" s="38"/>
      <c r="U1443" s="43"/>
      <c r="V1443" s="42" t="str">
        <f>IF(Table1[[#This Row],[DATE]]=0,"",YEAR(E1443))</f>
        <v/>
      </c>
      <c r="W1443" s="40" t="str">
        <f t="shared" si="46"/>
        <v/>
      </c>
      <c r="X1443" s="40" t="str">
        <f t="shared" si="47"/>
        <v/>
      </c>
      <c r="Y1443" s="40" t="str">
        <f>TEXT(Table1[[#This Row],[YEAR]],"0000")&amp;"-"&amp;Table1[[#This Row],[MONTH]]</f>
        <v>-</v>
      </c>
    </row>
    <row r="1444" spans="1:25" ht="15" customHeight="1" x14ac:dyDescent="0.35">
      <c r="A1444" s="24"/>
      <c r="B1444" s="38"/>
      <c r="C1444" s="38"/>
      <c r="D1444" s="38"/>
      <c r="E1444" s="37"/>
      <c r="F1444" s="38"/>
      <c r="G1444" s="198"/>
      <c r="H1444" s="198"/>
      <c r="I1444" s="39"/>
      <c r="J1444" s="38"/>
      <c r="K1444" s="198"/>
      <c r="L1444" s="38"/>
      <c r="M1444" s="38"/>
      <c r="N1444" s="38"/>
      <c r="O1444" s="38"/>
      <c r="P1444" s="40" t="str" cm="1">
        <f t="array" ref="P1444">IF(N1444="","",IFERROR(_xlfn.XLOOKUP(F1444&amp;"|"&amp;J1444&amp;"|"&amp;O1444,PRICES!$C$2:$C$659&amp;"|"&amp;PRICES!$B$2:$B$659&amp;"|"&amp;PRICES!$D$2:$D$659,PRICES!$E$2:$E$659),"Not Found"))</f>
        <v/>
      </c>
      <c r="Q1444" s="100" t="str">
        <f>IF(N1444=0,"",SUMIFS(PRICES!$G$2:$G$658,PRICES!$B$2:$B$658,'MAIN TABLE-1 AUTOMATED'!J1444,PRICES!$C$2:$C$658,'MAIN TABLE-1 AUTOMATED'!F1444,PRICES!$D$2:$D$658,'MAIN TABLE-1 AUTOMATED'!O1444))</f>
        <v/>
      </c>
      <c r="R1444" s="41" t="str">
        <f>IF(Table1[[#This Row],[QUANTITY]]=0,"",Table1[[#This Row],[UNIT PRICE]]*Table1[[#This Row],[QUANTITY]])</f>
        <v/>
      </c>
      <c r="S1444" s="89"/>
      <c r="T1444" s="38"/>
      <c r="U1444" s="43"/>
      <c r="V1444" s="42" t="str">
        <f>IF(Table1[[#This Row],[DATE]]=0,"",YEAR(E1444))</f>
        <v/>
      </c>
      <c r="W1444" s="40" t="str">
        <f t="shared" si="46"/>
        <v/>
      </c>
      <c r="X1444" s="40" t="str">
        <f t="shared" si="47"/>
        <v/>
      </c>
      <c r="Y1444" s="40" t="str">
        <f>TEXT(Table1[[#This Row],[YEAR]],"0000")&amp;"-"&amp;Table1[[#This Row],[MONTH]]</f>
        <v>-</v>
      </c>
    </row>
    <row r="1445" spans="1:25" ht="15" customHeight="1" x14ac:dyDescent="0.35">
      <c r="A1445" s="24"/>
      <c r="B1445" s="38"/>
      <c r="C1445" s="38"/>
      <c r="D1445" s="38"/>
      <c r="E1445" s="37"/>
      <c r="F1445" s="38"/>
      <c r="G1445" s="198"/>
      <c r="H1445" s="198"/>
      <c r="I1445" s="39"/>
      <c r="J1445" s="38"/>
      <c r="K1445" s="198"/>
      <c r="L1445" s="38"/>
      <c r="M1445" s="38"/>
      <c r="N1445" s="38"/>
      <c r="O1445" s="38"/>
      <c r="P1445" s="40" t="str" cm="1">
        <f t="array" ref="P1445">IF(N1445="","",IFERROR(_xlfn.XLOOKUP(F1445&amp;"|"&amp;J1445&amp;"|"&amp;O1445,PRICES!$C$2:$C$659&amp;"|"&amp;PRICES!$B$2:$B$659&amp;"|"&amp;PRICES!$D$2:$D$659,PRICES!$E$2:$E$659),"Not Found"))</f>
        <v/>
      </c>
      <c r="Q1445" s="100" t="str">
        <f>IF(N1445=0,"",SUMIFS(PRICES!$G$2:$G$658,PRICES!$B$2:$B$658,'MAIN TABLE-1 AUTOMATED'!J1445,PRICES!$C$2:$C$658,'MAIN TABLE-1 AUTOMATED'!F1445,PRICES!$D$2:$D$658,'MAIN TABLE-1 AUTOMATED'!O1445))</f>
        <v/>
      </c>
      <c r="R1445" s="41" t="str">
        <f>IF(Table1[[#This Row],[QUANTITY]]=0,"",Table1[[#This Row],[UNIT PRICE]]*Table1[[#This Row],[QUANTITY]])</f>
        <v/>
      </c>
      <c r="S1445" s="89"/>
      <c r="T1445" s="38"/>
      <c r="U1445" s="43"/>
      <c r="V1445" s="42" t="str">
        <f>IF(Table1[[#This Row],[DATE]]=0,"",YEAR(E1445))</f>
        <v/>
      </c>
      <c r="W1445" s="40" t="str">
        <f t="shared" si="46"/>
        <v/>
      </c>
      <c r="X1445" s="40" t="str">
        <f t="shared" si="47"/>
        <v/>
      </c>
      <c r="Y1445" s="40" t="str">
        <f>TEXT(Table1[[#This Row],[YEAR]],"0000")&amp;"-"&amp;Table1[[#This Row],[MONTH]]</f>
        <v>-</v>
      </c>
    </row>
    <row r="1446" spans="1:25" ht="15" customHeight="1" x14ac:dyDescent="0.35">
      <c r="A1446" s="24"/>
      <c r="B1446" s="38"/>
      <c r="C1446" s="38"/>
      <c r="D1446" s="38"/>
      <c r="E1446" s="37"/>
      <c r="F1446" s="38"/>
      <c r="G1446" s="198"/>
      <c r="H1446" s="198"/>
      <c r="I1446" s="39"/>
      <c r="J1446" s="38"/>
      <c r="K1446" s="198"/>
      <c r="L1446" s="38"/>
      <c r="M1446" s="38"/>
      <c r="N1446" s="38"/>
      <c r="O1446" s="38"/>
      <c r="P1446" s="40" t="str" cm="1">
        <f t="array" ref="P1446">IF(N1446="","",IFERROR(_xlfn.XLOOKUP(F1446&amp;"|"&amp;J1446&amp;"|"&amp;O1446,PRICES!$C$2:$C$659&amp;"|"&amp;PRICES!$B$2:$B$659&amp;"|"&amp;PRICES!$D$2:$D$659,PRICES!$E$2:$E$659),"Not Found"))</f>
        <v/>
      </c>
      <c r="Q1446" s="100" t="str">
        <f>IF(N1446=0,"",SUMIFS(PRICES!$G$2:$G$658,PRICES!$B$2:$B$658,'MAIN TABLE-1 AUTOMATED'!J1446,PRICES!$C$2:$C$658,'MAIN TABLE-1 AUTOMATED'!F1446,PRICES!$D$2:$D$658,'MAIN TABLE-1 AUTOMATED'!O1446))</f>
        <v/>
      </c>
      <c r="R1446" s="41" t="str">
        <f>IF(Table1[[#This Row],[QUANTITY]]=0,"",Table1[[#This Row],[UNIT PRICE]]*Table1[[#This Row],[QUANTITY]])</f>
        <v/>
      </c>
      <c r="S1446" s="89"/>
      <c r="T1446" s="38"/>
      <c r="U1446" s="43"/>
      <c r="V1446" s="42" t="str">
        <f>IF(Table1[[#This Row],[DATE]]=0,"",YEAR(E1446))</f>
        <v/>
      </c>
      <c r="W1446" s="40" t="str">
        <f t="shared" si="46"/>
        <v/>
      </c>
      <c r="X1446" s="40" t="str">
        <f t="shared" si="47"/>
        <v/>
      </c>
      <c r="Y1446" s="40" t="str">
        <f>TEXT(Table1[[#This Row],[YEAR]],"0000")&amp;"-"&amp;Table1[[#This Row],[MONTH]]</f>
        <v>-</v>
      </c>
    </row>
    <row r="1447" spans="1:25" ht="15" customHeight="1" x14ac:dyDescent="0.35">
      <c r="A1447" s="24"/>
      <c r="B1447" s="38"/>
      <c r="C1447" s="38"/>
      <c r="D1447" s="38"/>
      <c r="E1447" s="37"/>
      <c r="F1447" s="38"/>
      <c r="G1447" s="198"/>
      <c r="H1447" s="198"/>
      <c r="I1447" s="39"/>
      <c r="J1447" s="38"/>
      <c r="K1447" s="198"/>
      <c r="L1447" s="38"/>
      <c r="M1447" s="38"/>
      <c r="N1447" s="38"/>
      <c r="O1447" s="38"/>
      <c r="P1447" s="40" t="str" cm="1">
        <f t="array" ref="P1447">IF(N1447="","",IFERROR(_xlfn.XLOOKUP(F1447&amp;"|"&amp;J1447&amp;"|"&amp;O1447,PRICES!$C$2:$C$659&amp;"|"&amp;PRICES!$B$2:$B$659&amp;"|"&amp;PRICES!$D$2:$D$659,PRICES!$E$2:$E$659),"Not Found"))</f>
        <v/>
      </c>
      <c r="Q1447" s="100" t="str">
        <f>IF(N1447=0,"",SUMIFS(PRICES!$G$2:$G$658,PRICES!$B$2:$B$658,'MAIN TABLE-1 AUTOMATED'!J1447,PRICES!$C$2:$C$658,'MAIN TABLE-1 AUTOMATED'!F1447,PRICES!$D$2:$D$658,'MAIN TABLE-1 AUTOMATED'!O1447))</f>
        <v/>
      </c>
      <c r="R1447" s="41" t="str">
        <f>IF(Table1[[#This Row],[QUANTITY]]=0,"",Table1[[#This Row],[UNIT PRICE]]*Table1[[#This Row],[QUANTITY]])</f>
        <v/>
      </c>
      <c r="S1447" s="89"/>
      <c r="T1447" s="38"/>
      <c r="U1447" s="43"/>
      <c r="V1447" s="42" t="str">
        <f>IF(Table1[[#This Row],[DATE]]=0,"",YEAR(E1447))</f>
        <v/>
      </c>
      <c r="W1447" s="40" t="str">
        <f t="shared" si="46"/>
        <v/>
      </c>
      <c r="X1447" s="40" t="str">
        <f t="shared" si="47"/>
        <v/>
      </c>
      <c r="Y1447" s="40" t="str">
        <f>TEXT(Table1[[#This Row],[YEAR]],"0000")&amp;"-"&amp;Table1[[#This Row],[MONTH]]</f>
        <v>-</v>
      </c>
    </row>
    <row r="1448" spans="1:25" ht="15" customHeight="1" x14ac:dyDescent="0.35">
      <c r="A1448" s="24"/>
      <c r="B1448" s="38"/>
      <c r="C1448" s="38"/>
      <c r="D1448" s="38"/>
      <c r="E1448" s="37"/>
      <c r="F1448" s="38"/>
      <c r="G1448" s="198"/>
      <c r="H1448" s="198"/>
      <c r="I1448" s="39"/>
      <c r="J1448" s="38"/>
      <c r="K1448" s="198"/>
      <c r="L1448" s="38"/>
      <c r="M1448" s="38"/>
      <c r="N1448" s="38"/>
      <c r="O1448" s="38"/>
      <c r="P1448" s="40" t="str" cm="1">
        <f t="array" ref="P1448">IF(N1448="","",IFERROR(_xlfn.XLOOKUP(F1448&amp;"|"&amp;J1448&amp;"|"&amp;O1448,PRICES!$C$2:$C$659&amp;"|"&amp;PRICES!$B$2:$B$659&amp;"|"&amp;PRICES!$D$2:$D$659,PRICES!$E$2:$E$659),"Not Found"))</f>
        <v/>
      </c>
      <c r="Q1448" s="100" t="str">
        <f>IF(N1448=0,"",SUMIFS(PRICES!$G$2:$G$658,PRICES!$B$2:$B$658,'MAIN TABLE-1 AUTOMATED'!J1448,PRICES!$C$2:$C$658,'MAIN TABLE-1 AUTOMATED'!F1448,PRICES!$D$2:$D$658,'MAIN TABLE-1 AUTOMATED'!O1448))</f>
        <v/>
      </c>
      <c r="R1448" s="41" t="str">
        <f>IF(Table1[[#This Row],[QUANTITY]]=0,"",Table1[[#This Row],[UNIT PRICE]]*Table1[[#This Row],[QUANTITY]])</f>
        <v/>
      </c>
      <c r="S1448" s="89"/>
      <c r="T1448" s="38"/>
      <c r="U1448" s="43"/>
      <c r="V1448" s="42" t="str">
        <f>IF(Table1[[#This Row],[DATE]]=0,"",YEAR(E1448))</f>
        <v/>
      </c>
      <c r="W1448" s="40" t="str">
        <f t="shared" si="46"/>
        <v/>
      </c>
      <c r="X1448" s="40" t="str">
        <f t="shared" si="47"/>
        <v/>
      </c>
      <c r="Y1448" s="40" t="str">
        <f>TEXT(Table1[[#This Row],[YEAR]],"0000")&amp;"-"&amp;Table1[[#This Row],[MONTH]]</f>
        <v>-</v>
      </c>
    </row>
    <row r="1449" spans="1:25" ht="15" customHeight="1" x14ac:dyDescent="0.35">
      <c r="A1449" s="24"/>
      <c r="B1449" s="38"/>
      <c r="C1449" s="38"/>
      <c r="D1449" s="38"/>
      <c r="E1449" s="37"/>
      <c r="F1449" s="38"/>
      <c r="G1449" s="198"/>
      <c r="H1449" s="198"/>
      <c r="I1449" s="39"/>
      <c r="J1449" s="38"/>
      <c r="K1449" s="198"/>
      <c r="L1449" s="38"/>
      <c r="M1449" s="38"/>
      <c r="N1449" s="38"/>
      <c r="O1449" s="38"/>
      <c r="P1449" s="40" t="str" cm="1">
        <f t="array" ref="P1449">IF(N1449="","",IFERROR(_xlfn.XLOOKUP(F1449&amp;"|"&amp;J1449&amp;"|"&amp;O1449,PRICES!$C$2:$C$659&amp;"|"&amp;PRICES!$B$2:$B$659&amp;"|"&amp;PRICES!$D$2:$D$659,PRICES!$E$2:$E$659),"Not Found"))</f>
        <v/>
      </c>
      <c r="Q1449" s="100" t="str">
        <f>IF(N1449=0,"",SUMIFS(PRICES!$G$2:$G$658,PRICES!$B$2:$B$658,'MAIN TABLE-1 AUTOMATED'!J1449,PRICES!$C$2:$C$658,'MAIN TABLE-1 AUTOMATED'!F1449,PRICES!$D$2:$D$658,'MAIN TABLE-1 AUTOMATED'!O1449))</f>
        <v/>
      </c>
      <c r="R1449" s="41" t="str">
        <f>IF(Table1[[#This Row],[QUANTITY]]=0,"",Table1[[#This Row],[UNIT PRICE]]*Table1[[#This Row],[QUANTITY]])</f>
        <v/>
      </c>
      <c r="S1449" s="89"/>
      <c r="T1449" s="38"/>
      <c r="U1449" s="43"/>
      <c r="V1449" s="42" t="str">
        <f>IF(Table1[[#This Row],[DATE]]=0,"",YEAR(E1449))</f>
        <v/>
      </c>
      <c r="W1449" s="40" t="str">
        <f t="shared" si="46"/>
        <v/>
      </c>
      <c r="X1449" s="40" t="str">
        <f t="shared" si="47"/>
        <v/>
      </c>
      <c r="Y1449" s="40" t="str">
        <f>TEXT(Table1[[#This Row],[YEAR]],"0000")&amp;"-"&amp;Table1[[#This Row],[MONTH]]</f>
        <v>-</v>
      </c>
    </row>
    <row r="1450" spans="1:25" ht="15" customHeight="1" x14ac:dyDescent="0.35">
      <c r="A1450" s="24"/>
      <c r="B1450" s="38"/>
      <c r="C1450" s="38"/>
      <c r="D1450" s="38"/>
      <c r="E1450" s="37"/>
      <c r="F1450" s="38"/>
      <c r="G1450" s="198"/>
      <c r="H1450" s="198"/>
      <c r="I1450" s="39"/>
      <c r="J1450" s="38"/>
      <c r="K1450" s="198"/>
      <c r="L1450" s="38"/>
      <c r="M1450" s="38"/>
      <c r="N1450" s="38"/>
      <c r="O1450" s="38"/>
      <c r="P1450" s="40" t="str" cm="1">
        <f t="array" ref="P1450">IF(N1450="","",IFERROR(_xlfn.XLOOKUP(F1450&amp;"|"&amp;J1450&amp;"|"&amp;O1450,PRICES!$C$2:$C$659&amp;"|"&amp;PRICES!$B$2:$B$659&amp;"|"&amp;PRICES!$D$2:$D$659,PRICES!$E$2:$E$659),"Not Found"))</f>
        <v/>
      </c>
      <c r="Q1450" s="100" t="str">
        <f>IF(N1450=0,"",SUMIFS(PRICES!$G$2:$G$658,PRICES!$B$2:$B$658,'MAIN TABLE-1 AUTOMATED'!J1450,PRICES!$C$2:$C$658,'MAIN TABLE-1 AUTOMATED'!F1450,PRICES!$D$2:$D$658,'MAIN TABLE-1 AUTOMATED'!O1450))</f>
        <v/>
      </c>
      <c r="R1450" s="41" t="str">
        <f>IF(Table1[[#This Row],[QUANTITY]]=0,"",Table1[[#This Row],[UNIT PRICE]]*Table1[[#This Row],[QUANTITY]])</f>
        <v/>
      </c>
      <c r="S1450" s="89"/>
      <c r="T1450" s="38"/>
      <c r="U1450" s="43"/>
      <c r="V1450" s="42" t="str">
        <f>IF(Table1[[#This Row],[DATE]]=0,"",YEAR(E1450))</f>
        <v/>
      </c>
      <c r="W1450" s="40" t="str">
        <f t="shared" si="46"/>
        <v/>
      </c>
      <c r="X1450" s="40" t="str">
        <f t="shared" si="47"/>
        <v/>
      </c>
      <c r="Y1450" s="40" t="str">
        <f>TEXT(Table1[[#This Row],[YEAR]],"0000")&amp;"-"&amp;Table1[[#This Row],[MONTH]]</f>
        <v>-</v>
      </c>
    </row>
    <row r="1451" spans="1:25" ht="15" customHeight="1" x14ac:dyDescent="0.35">
      <c r="A1451" s="24"/>
      <c r="B1451" s="38"/>
      <c r="C1451" s="38"/>
      <c r="D1451" s="38"/>
      <c r="E1451" s="37"/>
      <c r="F1451" s="38"/>
      <c r="G1451" s="198"/>
      <c r="H1451" s="198"/>
      <c r="I1451" s="39"/>
      <c r="J1451" s="38"/>
      <c r="K1451" s="198"/>
      <c r="L1451" s="38"/>
      <c r="M1451" s="38"/>
      <c r="N1451" s="38"/>
      <c r="O1451" s="38"/>
      <c r="P1451" s="40" t="str" cm="1">
        <f t="array" ref="P1451">IF(N1451="","",IFERROR(_xlfn.XLOOKUP(F1451&amp;"|"&amp;J1451&amp;"|"&amp;O1451,PRICES!$C$2:$C$659&amp;"|"&amp;PRICES!$B$2:$B$659&amp;"|"&amp;PRICES!$D$2:$D$659,PRICES!$E$2:$E$659),"Not Found"))</f>
        <v/>
      </c>
      <c r="Q1451" s="100" t="str">
        <f>IF(N1451=0,"",SUMIFS(PRICES!$G$2:$G$658,PRICES!$B$2:$B$658,'MAIN TABLE-1 AUTOMATED'!J1451,PRICES!$C$2:$C$658,'MAIN TABLE-1 AUTOMATED'!F1451,PRICES!$D$2:$D$658,'MAIN TABLE-1 AUTOMATED'!O1451))</f>
        <v/>
      </c>
      <c r="R1451" s="41" t="str">
        <f>IF(Table1[[#This Row],[QUANTITY]]=0,"",Table1[[#This Row],[UNIT PRICE]]*Table1[[#This Row],[QUANTITY]])</f>
        <v/>
      </c>
      <c r="S1451" s="89"/>
      <c r="T1451" s="38"/>
      <c r="U1451" s="43"/>
      <c r="V1451" s="42" t="str">
        <f>IF(Table1[[#This Row],[DATE]]=0,"",YEAR(E1451))</f>
        <v/>
      </c>
      <c r="W1451" s="40" t="str">
        <f t="shared" si="46"/>
        <v/>
      </c>
      <c r="X1451" s="40" t="str">
        <f t="shared" si="47"/>
        <v/>
      </c>
      <c r="Y1451" s="40" t="str">
        <f>TEXT(Table1[[#This Row],[YEAR]],"0000")&amp;"-"&amp;Table1[[#This Row],[MONTH]]</f>
        <v>-</v>
      </c>
    </row>
    <row r="1452" spans="1:25" ht="15" customHeight="1" x14ac:dyDescent="0.35">
      <c r="A1452" s="24"/>
      <c r="B1452" s="38"/>
      <c r="C1452" s="38"/>
      <c r="D1452" s="38"/>
      <c r="E1452" s="37"/>
      <c r="F1452" s="38"/>
      <c r="G1452" s="198"/>
      <c r="H1452" s="198"/>
      <c r="I1452" s="39"/>
      <c r="J1452" s="38"/>
      <c r="K1452" s="198"/>
      <c r="L1452" s="38"/>
      <c r="M1452" s="38"/>
      <c r="N1452" s="38"/>
      <c r="O1452" s="38"/>
      <c r="P1452" s="40" t="str" cm="1">
        <f t="array" ref="P1452">IF(N1452="","",IFERROR(_xlfn.XLOOKUP(F1452&amp;"|"&amp;J1452&amp;"|"&amp;O1452,PRICES!$C$2:$C$659&amp;"|"&amp;PRICES!$B$2:$B$659&amp;"|"&amp;PRICES!$D$2:$D$659,PRICES!$E$2:$E$659),"Not Found"))</f>
        <v/>
      </c>
      <c r="Q1452" s="100" t="str">
        <f>IF(N1452=0,"",SUMIFS(PRICES!$G$2:$G$658,PRICES!$B$2:$B$658,'MAIN TABLE-1 AUTOMATED'!J1452,PRICES!$C$2:$C$658,'MAIN TABLE-1 AUTOMATED'!F1452,PRICES!$D$2:$D$658,'MAIN TABLE-1 AUTOMATED'!O1452))</f>
        <v/>
      </c>
      <c r="R1452" s="41" t="str">
        <f>IF(Table1[[#This Row],[QUANTITY]]=0,"",Table1[[#This Row],[UNIT PRICE]]*Table1[[#This Row],[QUANTITY]])</f>
        <v/>
      </c>
      <c r="S1452" s="89"/>
      <c r="T1452" s="38"/>
      <c r="U1452" s="43"/>
      <c r="V1452" s="42" t="str">
        <f>IF(Table1[[#This Row],[DATE]]=0,"",YEAR(E1452))</f>
        <v/>
      </c>
      <c r="W1452" s="40" t="str">
        <f t="shared" si="46"/>
        <v/>
      </c>
      <c r="X1452" s="40" t="str">
        <f t="shared" si="47"/>
        <v/>
      </c>
      <c r="Y1452" s="40" t="str">
        <f>TEXT(Table1[[#This Row],[YEAR]],"0000")&amp;"-"&amp;Table1[[#This Row],[MONTH]]</f>
        <v>-</v>
      </c>
    </row>
    <row r="1453" spans="1:25" ht="15" customHeight="1" x14ac:dyDescent="0.35">
      <c r="A1453" s="24"/>
      <c r="B1453" s="38"/>
      <c r="C1453" s="38"/>
      <c r="D1453" s="38"/>
      <c r="E1453" s="37"/>
      <c r="F1453" s="38"/>
      <c r="G1453" s="198"/>
      <c r="H1453" s="198"/>
      <c r="I1453" s="39"/>
      <c r="J1453" s="38"/>
      <c r="K1453" s="198"/>
      <c r="L1453" s="38"/>
      <c r="M1453" s="38"/>
      <c r="N1453" s="38"/>
      <c r="O1453" s="38"/>
      <c r="P1453" s="40" t="str" cm="1">
        <f t="array" ref="P1453">IF(N1453="","",IFERROR(_xlfn.XLOOKUP(F1453&amp;"|"&amp;J1453&amp;"|"&amp;O1453,PRICES!$C$2:$C$659&amp;"|"&amp;PRICES!$B$2:$B$659&amp;"|"&amp;PRICES!$D$2:$D$659,PRICES!$E$2:$E$659),"Not Found"))</f>
        <v/>
      </c>
      <c r="Q1453" s="100" t="str">
        <f>IF(N1453=0,"",SUMIFS(PRICES!$G$2:$G$658,PRICES!$B$2:$B$658,'MAIN TABLE-1 AUTOMATED'!J1453,PRICES!$C$2:$C$658,'MAIN TABLE-1 AUTOMATED'!F1453,PRICES!$D$2:$D$658,'MAIN TABLE-1 AUTOMATED'!O1453))</f>
        <v/>
      </c>
      <c r="R1453" s="41" t="str">
        <f>IF(Table1[[#This Row],[QUANTITY]]=0,"",Table1[[#This Row],[UNIT PRICE]]*Table1[[#This Row],[QUANTITY]])</f>
        <v/>
      </c>
      <c r="S1453" s="89"/>
      <c r="T1453" s="38"/>
      <c r="U1453" s="43"/>
      <c r="V1453" s="42" t="str">
        <f>IF(Table1[[#This Row],[DATE]]=0,"",YEAR(E1453))</f>
        <v/>
      </c>
      <c r="W1453" s="40" t="str">
        <f t="shared" si="46"/>
        <v/>
      </c>
      <c r="X1453" s="40" t="str">
        <f t="shared" si="47"/>
        <v/>
      </c>
      <c r="Y1453" s="40" t="str">
        <f>TEXT(Table1[[#This Row],[YEAR]],"0000")&amp;"-"&amp;Table1[[#This Row],[MONTH]]</f>
        <v>-</v>
      </c>
    </row>
    <row r="1454" spans="1:25" ht="15" customHeight="1" x14ac:dyDescent="0.35">
      <c r="A1454" s="24"/>
      <c r="B1454" s="38"/>
      <c r="C1454" s="38"/>
      <c r="D1454" s="38"/>
      <c r="E1454" s="37"/>
      <c r="F1454" s="38"/>
      <c r="G1454" s="198"/>
      <c r="H1454" s="198"/>
      <c r="I1454" s="39"/>
      <c r="J1454" s="38"/>
      <c r="K1454" s="198"/>
      <c r="L1454" s="38"/>
      <c r="M1454" s="38"/>
      <c r="N1454" s="38"/>
      <c r="O1454" s="38"/>
      <c r="P1454" s="40" t="str" cm="1">
        <f t="array" ref="P1454">IF(N1454="","",IFERROR(_xlfn.XLOOKUP(F1454&amp;"|"&amp;J1454&amp;"|"&amp;O1454,PRICES!$C$2:$C$659&amp;"|"&amp;PRICES!$B$2:$B$659&amp;"|"&amp;PRICES!$D$2:$D$659,PRICES!$E$2:$E$659),"Not Found"))</f>
        <v/>
      </c>
      <c r="Q1454" s="100" t="str">
        <f>IF(N1454=0,"",SUMIFS(PRICES!$G$2:$G$658,PRICES!$B$2:$B$658,'MAIN TABLE-1 AUTOMATED'!J1454,PRICES!$C$2:$C$658,'MAIN TABLE-1 AUTOMATED'!F1454,PRICES!$D$2:$D$658,'MAIN TABLE-1 AUTOMATED'!O1454))</f>
        <v/>
      </c>
      <c r="R1454" s="41" t="str">
        <f>IF(Table1[[#This Row],[QUANTITY]]=0,"",Table1[[#This Row],[UNIT PRICE]]*Table1[[#This Row],[QUANTITY]])</f>
        <v/>
      </c>
      <c r="S1454" s="89"/>
      <c r="T1454" s="38"/>
      <c r="U1454" s="43"/>
      <c r="V1454" s="42" t="str">
        <f>IF(Table1[[#This Row],[DATE]]=0,"",YEAR(E1454))</f>
        <v/>
      </c>
      <c r="W1454" s="40" t="str">
        <f t="shared" si="46"/>
        <v/>
      </c>
      <c r="X1454" s="40" t="str">
        <f t="shared" si="47"/>
        <v/>
      </c>
      <c r="Y1454" s="40" t="str">
        <f>TEXT(Table1[[#This Row],[YEAR]],"0000")&amp;"-"&amp;Table1[[#This Row],[MONTH]]</f>
        <v>-</v>
      </c>
    </row>
    <row r="1455" spans="1:25" ht="15" customHeight="1" x14ac:dyDescent="0.35">
      <c r="A1455" s="24"/>
      <c r="B1455" s="38"/>
      <c r="C1455" s="38"/>
      <c r="D1455" s="38"/>
      <c r="E1455" s="37"/>
      <c r="F1455" s="38"/>
      <c r="G1455" s="198"/>
      <c r="H1455" s="198"/>
      <c r="I1455" s="39"/>
      <c r="J1455" s="38"/>
      <c r="K1455" s="198"/>
      <c r="L1455" s="38"/>
      <c r="M1455" s="38"/>
      <c r="N1455" s="38"/>
      <c r="O1455" s="38"/>
      <c r="P1455" s="40" t="str" cm="1">
        <f t="array" ref="P1455">IF(N1455="","",IFERROR(_xlfn.XLOOKUP(F1455&amp;"|"&amp;J1455&amp;"|"&amp;O1455,PRICES!$C$2:$C$659&amp;"|"&amp;PRICES!$B$2:$B$659&amp;"|"&amp;PRICES!$D$2:$D$659,PRICES!$E$2:$E$659),"Not Found"))</f>
        <v/>
      </c>
      <c r="Q1455" s="100" t="str">
        <f>IF(N1455=0,"",SUMIFS(PRICES!$G$2:$G$658,PRICES!$B$2:$B$658,'MAIN TABLE-1 AUTOMATED'!J1455,PRICES!$C$2:$C$658,'MAIN TABLE-1 AUTOMATED'!F1455,PRICES!$D$2:$D$658,'MAIN TABLE-1 AUTOMATED'!O1455))</f>
        <v/>
      </c>
      <c r="R1455" s="41" t="str">
        <f>IF(Table1[[#This Row],[QUANTITY]]=0,"",Table1[[#This Row],[UNIT PRICE]]*Table1[[#This Row],[QUANTITY]])</f>
        <v/>
      </c>
      <c r="S1455" s="89"/>
      <c r="T1455" s="38"/>
      <c r="U1455" s="43"/>
      <c r="V1455" s="42" t="str">
        <f>IF(Table1[[#This Row],[DATE]]=0,"",YEAR(E1455))</f>
        <v/>
      </c>
      <c r="W1455" s="40" t="str">
        <f t="shared" si="46"/>
        <v/>
      </c>
      <c r="X1455" s="40" t="str">
        <f t="shared" si="47"/>
        <v/>
      </c>
      <c r="Y1455" s="40" t="str">
        <f>TEXT(Table1[[#This Row],[YEAR]],"0000")&amp;"-"&amp;Table1[[#This Row],[MONTH]]</f>
        <v>-</v>
      </c>
    </row>
    <row r="1456" spans="1:25" ht="15" customHeight="1" x14ac:dyDescent="0.35">
      <c r="A1456" s="24"/>
      <c r="B1456" s="38"/>
      <c r="C1456" s="38"/>
      <c r="D1456" s="38"/>
      <c r="E1456" s="37"/>
      <c r="F1456" s="38"/>
      <c r="G1456" s="198"/>
      <c r="H1456" s="198"/>
      <c r="I1456" s="39"/>
      <c r="J1456" s="38"/>
      <c r="K1456" s="198"/>
      <c r="L1456" s="38"/>
      <c r="M1456" s="38"/>
      <c r="N1456" s="38"/>
      <c r="O1456" s="38"/>
      <c r="P1456" s="40" t="str" cm="1">
        <f t="array" ref="P1456">IF(N1456="","",IFERROR(_xlfn.XLOOKUP(F1456&amp;"|"&amp;J1456&amp;"|"&amp;O1456,PRICES!$C$2:$C$659&amp;"|"&amp;PRICES!$B$2:$B$659&amp;"|"&amp;PRICES!$D$2:$D$659,PRICES!$E$2:$E$659),"Not Found"))</f>
        <v/>
      </c>
      <c r="Q1456" s="100" t="str">
        <f>IF(N1456=0,"",SUMIFS(PRICES!$G$2:$G$658,PRICES!$B$2:$B$658,'MAIN TABLE-1 AUTOMATED'!J1456,PRICES!$C$2:$C$658,'MAIN TABLE-1 AUTOMATED'!F1456,PRICES!$D$2:$D$658,'MAIN TABLE-1 AUTOMATED'!O1456))</f>
        <v/>
      </c>
      <c r="R1456" s="41" t="str">
        <f>IF(Table1[[#This Row],[QUANTITY]]=0,"",Table1[[#This Row],[UNIT PRICE]]*Table1[[#This Row],[QUANTITY]])</f>
        <v/>
      </c>
      <c r="S1456" s="89"/>
      <c r="T1456" s="38"/>
      <c r="U1456" s="43"/>
      <c r="V1456" s="42" t="str">
        <f>IF(Table1[[#This Row],[DATE]]=0,"",YEAR(E1456))</f>
        <v/>
      </c>
      <c r="W1456" s="40" t="str">
        <f t="shared" si="46"/>
        <v/>
      </c>
      <c r="X1456" s="40" t="str">
        <f t="shared" si="47"/>
        <v/>
      </c>
      <c r="Y1456" s="40" t="str">
        <f>TEXT(Table1[[#This Row],[YEAR]],"0000")&amp;"-"&amp;Table1[[#This Row],[MONTH]]</f>
        <v>-</v>
      </c>
    </row>
    <row r="1457" spans="1:25" ht="15" customHeight="1" x14ac:dyDescent="0.35">
      <c r="A1457" s="24"/>
      <c r="B1457" s="38"/>
      <c r="C1457" s="38"/>
      <c r="D1457" s="38"/>
      <c r="E1457" s="37"/>
      <c r="F1457" s="38"/>
      <c r="G1457" s="198"/>
      <c r="H1457" s="198"/>
      <c r="I1457" s="39"/>
      <c r="J1457" s="38"/>
      <c r="K1457" s="198"/>
      <c r="L1457" s="38"/>
      <c r="M1457" s="38"/>
      <c r="N1457" s="38"/>
      <c r="O1457" s="38"/>
      <c r="P1457" s="40" t="str" cm="1">
        <f t="array" ref="P1457">IF(N1457="","",IFERROR(_xlfn.XLOOKUP(F1457&amp;"|"&amp;J1457&amp;"|"&amp;O1457,PRICES!$C$2:$C$659&amp;"|"&amp;PRICES!$B$2:$B$659&amp;"|"&amp;PRICES!$D$2:$D$659,PRICES!$E$2:$E$659),"Not Found"))</f>
        <v/>
      </c>
      <c r="Q1457" s="100" t="str">
        <f>IF(N1457=0,"",SUMIFS(PRICES!$G$2:$G$658,PRICES!$B$2:$B$658,'MAIN TABLE-1 AUTOMATED'!J1457,PRICES!$C$2:$C$658,'MAIN TABLE-1 AUTOMATED'!F1457,PRICES!$D$2:$D$658,'MAIN TABLE-1 AUTOMATED'!O1457))</f>
        <v/>
      </c>
      <c r="R1457" s="41" t="str">
        <f>IF(Table1[[#This Row],[QUANTITY]]=0,"",Table1[[#This Row],[UNIT PRICE]]*Table1[[#This Row],[QUANTITY]])</f>
        <v/>
      </c>
      <c r="S1457" s="89"/>
      <c r="T1457" s="38"/>
      <c r="U1457" s="43"/>
      <c r="V1457" s="42" t="str">
        <f>IF(Table1[[#This Row],[DATE]]=0,"",YEAR(E1457))</f>
        <v/>
      </c>
      <c r="W1457" s="40" t="str">
        <f t="shared" si="46"/>
        <v/>
      </c>
      <c r="X1457" s="40" t="str">
        <f t="shared" si="47"/>
        <v/>
      </c>
      <c r="Y1457" s="40" t="str">
        <f>TEXT(Table1[[#This Row],[YEAR]],"0000")&amp;"-"&amp;Table1[[#This Row],[MONTH]]</f>
        <v>-</v>
      </c>
    </row>
    <row r="1458" spans="1:25" ht="15" customHeight="1" x14ac:dyDescent="0.35">
      <c r="A1458" s="24"/>
      <c r="B1458" s="38"/>
      <c r="C1458" s="38"/>
      <c r="D1458" s="38"/>
      <c r="E1458" s="37"/>
      <c r="F1458" s="38"/>
      <c r="G1458" s="198"/>
      <c r="H1458" s="198"/>
      <c r="I1458" s="39"/>
      <c r="J1458" s="38"/>
      <c r="K1458" s="198"/>
      <c r="L1458" s="38"/>
      <c r="M1458" s="38"/>
      <c r="N1458" s="38"/>
      <c r="O1458" s="38"/>
      <c r="P1458" s="40" t="str" cm="1">
        <f t="array" ref="P1458">IF(N1458="","",IFERROR(_xlfn.XLOOKUP(F1458&amp;"|"&amp;J1458&amp;"|"&amp;O1458,PRICES!$C$2:$C$659&amp;"|"&amp;PRICES!$B$2:$B$659&amp;"|"&amp;PRICES!$D$2:$D$659,PRICES!$E$2:$E$659),"Not Found"))</f>
        <v/>
      </c>
      <c r="Q1458" s="100" t="str">
        <f>IF(N1458=0,"",SUMIFS(PRICES!$G$2:$G$658,PRICES!$B$2:$B$658,'MAIN TABLE-1 AUTOMATED'!J1458,PRICES!$C$2:$C$658,'MAIN TABLE-1 AUTOMATED'!F1458,PRICES!$D$2:$D$658,'MAIN TABLE-1 AUTOMATED'!O1458))</f>
        <v/>
      </c>
      <c r="R1458" s="41" t="str">
        <f>IF(Table1[[#This Row],[QUANTITY]]=0,"",Table1[[#This Row],[UNIT PRICE]]*Table1[[#This Row],[QUANTITY]])</f>
        <v/>
      </c>
      <c r="S1458" s="89"/>
      <c r="T1458" s="38"/>
      <c r="U1458" s="43"/>
      <c r="V1458" s="42" t="str">
        <f>IF(Table1[[#This Row],[DATE]]=0,"",YEAR(E1458))</f>
        <v/>
      </c>
      <c r="W1458" s="40" t="str">
        <f t="shared" si="46"/>
        <v/>
      </c>
      <c r="X1458" s="40" t="str">
        <f t="shared" si="47"/>
        <v/>
      </c>
      <c r="Y1458" s="40" t="str">
        <f>TEXT(Table1[[#This Row],[YEAR]],"0000")&amp;"-"&amp;Table1[[#This Row],[MONTH]]</f>
        <v>-</v>
      </c>
    </row>
    <row r="1459" spans="1:25" ht="15" customHeight="1" x14ac:dyDescent="0.35">
      <c r="A1459" s="24"/>
      <c r="B1459" s="38"/>
      <c r="C1459" s="38"/>
      <c r="D1459" s="38"/>
      <c r="E1459" s="37"/>
      <c r="F1459" s="38"/>
      <c r="G1459" s="198"/>
      <c r="H1459" s="198"/>
      <c r="I1459" s="39"/>
      <c r="J1459" s="38"/>
      <c r="K1459" s="198"/>
      <c r="L1459" s="38"/>
      <c r="M1459" s="38"/>
      <c r="N1459" s="38"/>
      <c r="O1459" s="38"/>
      <c r="P1459" s="40" t="str" cm="1">
        <f t="array" ref="P1459">IF(N1459="","",IFERROR(_xlfn.XLOOKUP(F1459&amp;"|"&amp;J1459&amp;"|"&amp;O1459,PRICES!$C$2:$C$659&amp;"|"&amp;PRICES!$B$2:$B$659&amp;"|"&amp;PRICES!$D$2:$D$659,PRICES!$E$2:$E$659),"Not Found"))</f>
        <v/>
      </c>
      <c r="Q1459" s="100" t="str">
        <f>IF(N1459=0,"",SUMIFS(PRICES!$G$2:$G$658,PRICES!$B$2:$B$658,'MAIN TABLE-1 AUTOMATED'!J1459,PRICES!$C$2:$C$658,'MAIN TABLE-1 AUTOMATED'!F1459,PRICES!$D$2:$D$658,'MAIN TABLE-1 AUTOMATED'!O1459))</f>
        <v/>
      </c>
      <c r="R1459" s="41" t="str">
        <f>IF(Table1[[#This Row],[QUANTITY]]=0,"",Table1[[#This Row],[UNIT PRICE]]*Table1[[#This Row],[QUANTITY]])</f>
        <v/>
      </c>
      <c r="S1459" s="89"/>
      <c r="T1459" s="38"/>
      <c r="U1459" s="43"/>
      <c r="V1459" s="42" t="str">
        <f>IF(Table1[[#This Row],[DATE]]=0,"",YEAR(E1459))</f>
        <v/>
      </c>
      <c r="W1459" s="40" t="str">
        <f t="shared" si="46"/>
        <v/>
      </c>
      <c r="X1459" s="40" t="str">
        <f t="shared" si="47"/>
        <v/>
      </c>
      <c r="Y1459" s="40" t="str">
        <f>TEXT(Table1[[#This Row],[YEAR]],"0000")&amp;"-"&amp;Table1[[#This Row],[MONTH]]</f>
        <v>-</v>
      </c>
    </row>
    <row r="1460" spans="1:25" ht="15" customHeight="1" x14ac:dyDescent="0.35">
      <c r="A1460" s="24"/>
      <c r="B1460" s="38"/>
      <c r="C1460" s="38"/>
      <c r="D1460" s="38"/>
      <c r="E1460" s="37"/>
      <c r="F1460" s="38"/>
      <c r="G1460" s="198"/>
      <c r="H1460" s="198"/>
      <c r="I1460" s="39"/>
      <c r="J1460" s="38"/>
      <c r="K1460" s="198"/>
      <c r="L1460" s="38"/>
      <c r="M1460" s="38"/>
      <c r="N1460" s="38"/>
      <c r="O1460" s="38"/>
      <c r="P1460" s="40" t="str" cm="1">
        <f t="array" ref="P1460">IF(N1460="","",IFERROR(_xlfn.XLOOKUP(F1460&amp;"|"&amp;J1460&amp;"|"&amp;O1460,PRICES!$C$2:$C$659&amp;"|"&amp;PRICES!$B$2:$B$659&amp;"|"&amp;PRICES!$D$2:$D$659,PRICES!$E$2:$E$659),"Not Found"))</f>
        <v/>
      </c>
      <c r="Q1460" s="100" t="str">
        <f>IF(N1460=0,"",SUMIFS(PRICES!$G$2:$G$658,PRICES!$B$2:$B$658,'MAIN TABLE-1 AUTOMATED'!J1460,PRICES!$C$2:$C$658,'MAIN TABLE-1 AUTOMATED'!F1460,PRICES!$D$2:$D$658,'MAIN TABLE-1 AUTOMATED'!O1460))</f>
        <v/>
      </c>
      <c r="R1460" s="41" t="str">
        <f>IF(Table1[[#This Row],[QUANTITY]]=0,"",Table1[[#This Row],[UNIT PRICE]]*Table1[[#This Row],[QUANTITY]])</f>
        <v/>
      </c>
      <c r="S1460" s="89"/>
      <c r="T1460" s="38"/>
      <c r="U1460" s="43"/>
      <c r="V1460" s="42" t="str">
        <f>IF(Table1[[#This Row],[DATE]]=0,"",YEAR(E1460))</f>
        <v/>
      </c>
      <c r="W1460" s="40" t="str">
        <f t="shared" si="46"/>
        <v/>
      </c>
      <c r="X1460" s="40" t="str">
        <f t="shared" si="47"/>
        <v/>
      </c>
      <c r="Y1460" s="40" t="str">
        <f>TEXT(Table1[[#This Row],[YEAR]],"0000")&amp;"-"&amp;Table1[[#This Row],[MONTH]]</f>
        <v>-</v>
      </c>
    </row>
    <row r="1461" spans="1:25" ht="15" customHeight="1" x14ac:dyDescent="0.35">
      <c r="A1461" s="24"/>
      <c r="B1461" s="38"/>
      <c r="C1461" s="38"/>
      <c r="D1461" s="38"/>
      <c r="E1461" s="37"/>
      <c r="F1461" s="38"/>
      <c r="G1461" s="198"/>
      <c r="H1461" s="198"/>
      <c r="I1461" s="39"/>
      <c r="J1461" s="38"/>
      <c r="K1461" s="198"/>
      <c r="L1461" s="38"/>
      <c r="M1461" s="38"/>
      <c r="N1461" s="38"/>
      <c r="O1461" s="38"/>
      <c r="P1461" s="40" t="str" cm="1">
        <f t="array" ref="P1461">IF(N1461="","",IFERROR(_xlfn.XLOOKUP(F1461&amp;"|"&amp;J1461&amp;"|"&amp;O1461,PRICES!$C$2:$C$659&amp;"|"&amp;PRICES!$B$2:$B$659&amp;"|"&amp;PRICES!$D$2:$D$659,PRICES!$E$2:$E$659),"Not Found"))</f>
        <v/>
      </c>
      <c r="Q1461" s="100" t="str">
        <f>IF(N1461=0,"",SUMIFS(PRICES!$G$2:$G$658,PRICES!$B$2:$B$658,'MAIN TABLE-1 AUTOMATED'!J1461,PRICES!$C$2:$C$658,'MAIN TABLE-1 AUTOMATED'!F1461,PRICES!$D$2:$D$658,'MAIN TABLE-1 AUTOMATED'!O1461))</f>
        <v/>
      </c>
      <c r="R1461" s="41" t="str">
        <f>IF(Table1[[#This Row],[QUANTITY]]=0,"",Table1[[#This Row],[UNIT PRICE]]*Table1[[#This Row],[QUANTITY]])</f>
        <v/>
      </c>
      <c r="S1461" s="89"/>
      <c r="T1461" s="38"/>
      <c r="U1461" s="43"/>
      <c r="V1461" s="42" t="str">
        <f>IF(Table1[[#This Row],[DATE]]=0,"",YEAR(E1461))</f>
        <v/>
      </c>
      <c r="W1461" s="40" t="str">
        <f t="shared" si="46"/>
        <v/>
      </c>
      <c r="X1461" s="40" t="str">
        <f t="shared" si="47"/>
        <v/>
      </c>
      <c r="Y1461" s="40" t="str">
        <f>TEXT(Table1[[#This Row],[YEAR]],"0000")&amp;"-"&amp;Table1[[#This Row],[MONTH]]</f>
        <v>-</v>
      </c>
    </row>
    <row r="1462" spans="1:25" ht="15" customHeight="1" x14ac:dyDescent="0.35">
      <c r="A1462" s="24"/>
      <c r="B1462" s="38"/>
      <c r="C1462" s="38"/>
      <c r="D1462" s="38"/>
      <c r="E1462" s="37"/>
      <c r="F1462" s="38"/>
      <c r="G1462" s="198"/>
      <c r="H1462" s="198"/>
      <c r="I1462" s="39"/>
      <c r="J1462" s="38"/>
      <c r="K1462" s="198"/>
      <c r="L1462" s="38"/>
      <c r="M1462" s="38"/>
      <c r="N1462" s="38"/>
      <c r="O1462" s="38"/>
      <c r="P1462" s="40" t="str" cm="1">
        <f t="array" ref="P1462">IF(N1462="","",IFERROR(_xlfn.XLOOKUP(F1462&amp;"|"&amp;J1462&amp;"|"&amp;O1462,PRICES!$C$2:$C$659&amp;"|"&amp;PRICES!$B$2:$B$659&amp;"|"&amp;PRICES!$D$2:$D$659,PRICES!$E$2:$E$659),"Not Found"))</f>
        <v/>
      </c>
      <c r="Q1462" s="100" t="str">
        <f>IF(N1462=0,"",SUMIFS(PRICES!$G$2:$G$658,PRICES!$B$2:$B$658,'MAIN TABLE-1 AUTOMATED'!J1462,PRICES!$C$2:$C$658,'MAIN TABLE-1 AUTOMATED'!F1462,PRICES!$D$2:$D$658,'MAIN TABLE-1 AUTOMATED'!O1462))</f>
        <v/>
      </c>
      <c r="R1462" s="41" t="str">
        <f>IF(Table1[[#This Row],[QUANTITY]]=0,"",Table1[[#This Row],[UNIT PRICE]]*Table1[[#This Row],[QUANTITY]])</f>
        <v/>
      </c>
      <c r="S1462" s="89"/>
      <c r="T1462" s="38"/>
      <c r="U1462" s="43"/>
      <c r="V1462" s="42" t="str">
        <f>IF(Table1[[#This Row],[DATE]]=0,"",YEAR(E1462))</f>
        <v/>
      </c>
      <c r="W1462" s="40" t="str">
        <f t="shared" si="46"/>
        <v/>
      </c>
      <c r="X1462" s="40" t="str">
        <f t="shared" si="47"/>
        <v/>
      </c>
      <c r="Y1462" s="40" t="str">
        <f>TEXT(Table1[[#This Row],[YEAR]],"0000")&amp;"-"&amp;Table1[[#This Row],[MONTH]]</f>
        <v>-</v>
      </c>
    </row>
    <row r="1463" spans="1:25" ht="15" customHeight="1" x14ac:dyDescent="0.35">
      <c r="A1463" s="24"/>
      <c r="B1463" s="38"/>
      <c r="C1463" s="38"/>
      <c r="D1463" s="38"/>
      <c r="E1463" s="37"/>
      <c r="F1463" s="38"/>
      <c r="G1463" s="198"/>
      <c r="H1463" s="198"/>
      <c r="I1463" s="39"/>
      <c r="J1463" s="38"/>
      <c r="K1463" s="198"/>
      <c r="L1463" s="38"/>
      <c r="M1463" s="38"/>
      <c r="N1463" s="38"/>
      <c r="O1463" s="38"/>
      <c r="P1463" s="40" t="str" cm="1">
        <f t="array" ref="P1463">IF(N1463="","",IFERROR(_xlfn.XLOOKUP(F1463&amp;"|"&amp;J1463&amp;"|"&amp;O1463,PRICES!$C$2:$C$659&amp;"|"&amp;PRICES!$B$2:$B$659&amp;"|"&amp;PRICES!$D$2:$D$659,PRICES!$E$2:$E$659),"Not Found"))</f>
        <v/>
      </c>
      <c r="Q1463" s="100" t="str">
        <f>IF(N1463=0,"",SUMIFS(PRICES!$G$2:$G$658,PRICES!$B$2:$B$658,'MAIN TABLE-1 AUTOMATED'!J1463,PRICES!$C$2:$C$658,'MAIN TABLE-1 AUTOMATED'!F1463,PRICES!$D$2:$D$658,'MAIN TABLE-1 AUTOMATED'!O1463))</f>
        <v/>
      </c>
      <c r="R1463" s="41" t="str">
        <f>IF(Table1[[#This Row],[QUANTITY]]=0,"",Table1[[#This Row],[UNIT PRICE]]*Table1[[#This Row],[QUANTITY]])</f>
        <v/>
      </c>
      <c r="S1463" s="89"/>
      <c r="T1463" s="38"/>
      <c r="U1463" s="43"/>
      <c r="V1463" s="42" t="str">
        <f>IF(Table1[[#This Row],[DATE]]=0,"",YEAR(E1463))</f>
        <v/>
      </c>
      <c r="W1463" s="40" t="str">
        <f t="shared" si="46"/>
        <v/>
      </c>
      <c r="X1463" s="40" t="str">
        <f t="shared" si="47"/>
        <v/>
      </c>
      <c r="Y1463" s="40" t="str">
        <f>TEXT(Table1[[#This Row],[YEAR]],"0000")&amp;"-"&amp;Table1[[#This Row],[MONTH]]</f>
        <v>-</v>
      </c>
    </row>
    <row r="1464" spans="1:25" ht="15" customHeight="1" x14ac:dyDescent="0.35">
      <c r="A1464" s="24"/>
      <c r="B1464" s="38"/>
      <c r="C1464" s="38"/>
      <c r="D1464" s="38"/>
      <c r="E1464" s="37"/>
      <c r="F1464" s="38"/>
      <c r="G1464" s="198"/>
      <c r="H1464" s="198"/>
      <c r="I1464" s="39"/>
      <c r="J1464" s="38"/>
      <c r="K1464" s="198"/>
      <c r="L1464" s="38"/>
      <c r="M1464" s="38"/>
      <c r="N1464" s="38"/>
      <c r="O1464" s="38"/>
      <c r="P1464" s="40" t="str" cm="1">
        <f t="array" ref="P1464">IF(N1464="","",IFERROR(_xlfn.XLOOKUP(F1464&amp;"|"&amp;J1464&amp;"|"&amp;O1464,PRICES!$C$2:$C$659&amp;"|"&amp;PRICES!$B$2:$B$659&amp;"|"&amp;PRICES!$D$2:$D$659,PRICES!$E$2:$E$659),"Not Found"))</f>
        <v/>
      </c>
      <c r="Q1464" s="100" t="str">
        <f>IF(N1464=0,"",SUMIFS(PRICES!$G$2:$G$658,PRICES!$B$2:$B$658,'MAIN TABLE-1 AUTOMATED'!J1464,PRICES!$C$2:$C$658,'MAIN TABLE-1 AUTOMATED'!F1464,PRICES!$D$2:$D$658,'MAIN TABLE-1 AUTOMATED'!O1464))</f>
        <v/>
      </c>
      <c r="R1464" s="41" t="str">
        <f>IF(Table1[[#This Row],[QUANTITY]]=0,"",Table1[[#This Row],[UNIT PRICE]]*Table1[[#This Row],[QUANTITY]])</f>
        <v/>
      </c>
      <c r="S1464" s="89"/>
      <c r="T1464" s="38"/>
      <c r="U1464" s="43"/>
      <c r="V1464" s="42" t="str">
        <f>IF(Table1[[#This Row],[DATE]]=0,"",YEAR(E1464))</f>
        <v/>
      </c>
      <c r="W1464" s="40" t="str">
        <f t="shared" si="46"/>
        <v/>
      </c>
      <c r="X1464" s="40" t="str">
        <f t="shared" si="47"/>
        <v/>
      </c>
      <c r="Y1464" s="40" t="str">
        <f>TEXT(Table1[[#This Row],[YEAR]],"0000")&amp;"-"&amp;Table1[[#This Row],[MONTH]]</f>
        <v>-</v>
      </c>
    </row>
    <row r="1465" spans="1:25" ht="15" customHeight="1" x14ac:dyDescent="0.35">
      <c r="A1465" s="24"/>
      <c r="B1465" s="38"/>
      <c r="C1465" s="38"/>
      <c r="D1465" s="38"/>
      <c r="E1465" s="37"/>
      <c r="F1465" s="38"/>
      <c r="G1465" s="198"/>
      <c r="H1465" s="198"/>
      <c r="I1465" s="39"/>
      <c r="J1465" s="38"/>
      <c r="K1465" s="198"/>
      <c r="L1465" s="38"/>
      <c r="M1465" s="38"/>
      <c r="N1465" s="38"/>
      <c r="O1465" s="38"/>
      <c r="P1465" s="40" t="str" cm="1">
        <f t="array" ref="P1465">IF(N1465="","",IFERROR(_xlfn.XLOOKUP(F1465&amp;"|"&amp;J1465&amp;"|"&amp;O1465,PRICES!$C$2:$C$659&amp;"|"&amp;PRICES!$B$2:$B$659&amp;"|"&amp;PRICES!$D$2:$D$659,PRICES!$E$2:$E$659),"Not Found"))</f>
        <v/>
      </c>
      <c r="Q1465" s="100" t="str">
        <f>IF(N1465=0,"",SUMIFS(PRICES!$G$2:$G$658,PRICES!$B$2:$B$658,'MAIN TABLE-1 AUTOMATED'!J1465,PRICES!$C$2:$C$658,'MAIN TABLE-1 AUTOMATED'!F1465,PRICES!$D$2:$D$658,'MAIN TABLE-1 AUTOMATED'!O1465))</f>
        <v/>
      </c>
      <c r="R1465" s="41" t="str">
        <f>IF(Table1[[#This Row],[QUANTITY]]=0,"",Table1[[#This Row],[UNIT PRICE]]*Table1[[#This Row],[QUANTITY]])</f>
        <v/>
      </c>
      <c r="S1465" s="89"/>
      <c r="T1465" s="38"/>
      <c r="U1465" s="43"/>
      <c r="V1465" s="42" t="str">
        <f>IF(Table1[[#This Row],[DATE]]=0,"",YEAR(E1465))</f>
        <v/>
      </c>
      <c r="W1465" s="40" t="str">
        <f t="shared" si="46"/>
        <v/>
      </c>
      <c r="X1465" s="40" t="str">
        <f t="shared" si="47"/>
        <v/>
      </c>
      <c r="Y1465" s="40" t="str">
        <f>TEXT(Table1[[#This Row],[YEAR]],"0000")&amp;"-"&amp;Table1[[#This Row],[MONTH]]</f>
        <v>-</v>
      </c>
    </row>
    <row r="1466" spans="1:25" ht="15" customHeight="1" x14ac:dyDescent="0.35">
      <c r="A1466" s="24"/>
      <c r="B1466" s="38"/>
      <c r="C1466" s="38"/>
      <c r="D1466" s="38"/>
      <c r="E1466" s="37"/>
      <c r="F1466" s="38"/>
      <c r="G1466" s="198"/>
      <c r="H1466" s="198"/>
      <c r="I1466" s="39"/>
      <c r="J1466" s="38"/>
      <c r="K1466" s="198"/>
      <c r="L1466" s="38"/>
      <c r="M1466" s="38"/>
      <c r="N1466" s="38"/>
      <c r="O1466" s="38"/>
      <c r="P1466" s="40" t="str" cm="1">
        <f t="array" ref="P1466">IF(N1466="","",IFERROR(_xlfn.XLOOKUP(F1466&amp;"|"&amp;J1466&amp;"|"&amp;O1466,PRICES!$C$2:$C$659&amp;"|"&amp;PRICES!$B$2:$B$659&amp;"|"&amp;PRICES!$D$2:$D$659,PRICES!$E$2:$E$659),"Not Found"))</f>
        <v/>
      </c>
      <c r="Q1466" s="100" t="str">
        <f>IF(N1466=0,"",SUMIFS(PRICES!$G$2:$G$658,PRICES!$B$2:$B$658,'MAIN TABLE-1 AUTOMATED'!J1466,PRICES!$C$2:$C$658,'MAIN TABLE-1 AUTOMATED'!F1466,PRICES!$D$2:$D$658,'MAIN TABLE-1 AUTOMATED'!O1466))</f>
        <v/>
      </c>
      <c r="R1466" s="41" t="str">
        <f>IF(Table1[[#This Row],[QUANTITY]]=0,"",Table1[[#This Row],[UNIT PRICE]]*Table1[[#This Row],[QUANTITY]])</f>
        <v/>
      </c>
      <c r="S1466" s="89"/>
      <c r="T1466" s="38"/>
      <c r="U1466" s="43"/>
      <c r="V1466" s="42" t="str">
        <f>IF(Table1[[#This Row],[DATE]]=0,"",YEAR(E1466))</f>
        <v/>
      </c>
      <c r="W1466" s="40" t="str">
        <f t="shared" si="46"/>
        <v/>
      </c>
      <c r="X1466" s="40" t="str">
        <f t="shared" si="47"/>
        <v/>
      </c>
      <c r="Y1466" s="40" t="str">
        <f>TEXT(Table1[[#This Row],[YEAR]],"0000")&amp;"-"&amp;Table1[[#This Row],[MONTH]]</f>
        <v>-</v>
      </c>
    </row>
    <row r="1467" spans="1:25" ht="15" customHeight="1" x14ac:dyDescent="0.35">
      <c r="A1467" s="24"/>
      <c r="B1467" s="38"/>
      <c r="C1467" s="38"/>
      <c r="D1467" s="38"/>
      <c r="E1467" s="37"/>
      <c r="F1467" s="38"/>
      <c r="G1467" s="198"/>
      <c r="H1467" s="198"/>
      <c r="I1467" s="39"/>
      <c r="J1467" s="38"/>
      <c r="K1467" s="198"/>
      <c r="L1467" s="38"/>
      <c r="M1467" s="38"/>
      <c r="N1467" s="38"/>
      <c r="O1467" s="38"/>
      <c r="P1467" s="40" t="str" cm="1">
        <f t="array" ref="P1467">IF(N1467="","",IFERROR(_xlfn.XLOOKUP(F1467&amp;"|"&amp;J1467&amp;"|"&amp;O1467,PRICES!$C$2:$C$659&amp;"|"&amp;PRICES!$B$2:$B$659&amp;"|"&amp;PRICES!$D$2:$D$659,PRICES!$E$2:$E$659),"Not Found"))</f>
        <v/>
      </c>
      <c r="Q1467" s="100" t="str">
        <f>IF(N1467=0,"",SUMIFS(PRICES!$G$2:$G$658,PRICES!$B$2:$B$658,'MAIN TABLE-1 AUTOMATED'!J1467,PRICES!$C$2:$C$658,'MAIN TABLE-1 AUTOMATED'!F1467,PRICES!$D$2:$D$658,'MAIN TABLE-1 AUTOMATED'!O1467))</f>
        <v/>
      </c>
      <c r="R1467" s="41" t="str">
        <f>IF(Table1[[#This Row],[QUANTITY]]=0,"",Table1[[#This Row],[UNIT PRICE]]*Table1[[#This Row],[QUANTITY]])</f>
        <v/>
      </c>
      <c r="S1467" s="89"/>
      <c r="T1467" s="38"/>
      <c r="U1467" s="43"/>
      <c r="V1467" s="42" t="str">
        <f>IF(Table1[[#This Row],[DATE]]=0,"",YEAR(E1467))</f>
        <v/>
      </c>
      <c r="W1467" s="40" t="str">
        <f t="shared" si="46"/>
        <v/>
      </c>
      <c r="X1467" s="40" t="str">
        <f t="shared" si="47"/>
        <v/>
      </c>
      <c r="Y1467" s="40" t="str">
        <f>TEXT(Table1[[#This Row],[YEAR]],"0000")&amp;"-"&amp;Table1[[#This Row],[MONTH]]</f>
        <v>-</v>
      </c>
    </row>
    <row r="1468" spans="1:25" ht="15" customHeight="1" x14ac:dyDescent="0.35">
      <c r="A1468" s="24"/>
      <c r="B1468" s="38"/>
      <c r="C1468" s="38"/>
      <c r="D1468" s="38"/>
      <c r="E1468" s="37"/>
      <c r="F1468" s="38"/>
      <c r="G1468" s="198"/>
      <c r="H1468" s="198"/>
      <c r="I1468" s="39"/>
      <c r="J1468" s="38"/>
      <c r="K1468" s="198"/>
      <c r="L1468" s="38"/>
      <c r="M1468" s="38"/>
      <c r="N1468" s="38"/>
      <c r="O1468" s="38"/>
      <c r="P1468" s="40" t="str" cm="1">
        <f t="array" ref="P1468">IF(N1468="","",IFERROR(_xlfn.XLOOKUP(F1468&amp;"|"&amp;J1468&amp;"|"&amp;O1468,PRICES!$C$2:$C$659&amp;"|"&amp;PRICES!$B$2:$B$659&amp;"|"&amp;PRICES!$D$2:$D$659,PRICES!$E$2:$E$659),"Not Found"))</f>
        <v/>
      </c>
      <c r="Q1468" s="100" t="str">
        <f>IF(N1468=0,"",SUMIFS(PRICES!$G$2:$G$658,PRICES!$B$2:$B$658,'MAIN TABLE-1 AUTOMATED'!J1468,PRICES!$C$2:$C$658,'MAIN TABLE-1 AUTOMATED'!F1468,PRICES!$D$2:$D$658,'MAIN TABLE-1 AUTOMATED'!O1468))</f>
        <v/>
      </c>
      <c r="R1468" s="41" t="str">
        <f>IF(Table1[[#This Row],[QUANTITY]]=0,"",Table1[[#This Row],[UNIT PRICE]]*Table1[[#This Row],[QUANTITY]])</f>
        <v/>
      </c>
      <c r="S1468" s="89"/>
      <c r="T1468" s="38"/>
      <c r="U1468" s="43"/>
      <c r="V1468" s="42" t="str">
        <f>IF(Table1[[#This Row],[DATE]]=0,"",YEAR(E1468))</f>
        <v/>
      </c>
      <c r="W1468" s="40" t="str">
        <f t="shared" si="46"/>
        <v/>
      </c>
      <c r="X1468" s="40" t="str">
        <f t="shared" si="47"/>
        <v/>
      </c>
      <c r="Y1468" s="40" t="str">
        <f>TEXT(Table1[[#This Row],[YEAR]],"0000")&amp;"-"&amp;Table1[[#This Row],[MONTH]]</f>
        <v>-</v>
      </c>
    </row>
    <row r="1469" spans="1:25" ht="15" customHeight="1" x14ac:dyDescent="0.35">
      <c r="A1469" s="24"/>
      <c r="B1469" s="38"/>
      <c r="C1469" s="38"/>
      <c r="D1469" s="38"/>
      <c r="E1469" s="37"/>
      <c r="F1469" s="38"/>
      <c r="G1469" s="198"/>
      <c r="H1469" s="198"/>
      <c r="I1469" s="39"/>
      <c r="J1469" s="38"/>
      <c r="K1469" s="198"/>
      <c r="L1469" s="38"/>
      <c r="M1469" s="38"/>
      <c r="N1469" s="38"/>
      <c r="O1469" s="38"/>
      <c r="P1469" s="40" t="str" cm="1">
        <f t="array" ref="P1469">IF(N1469="","",IFERROR(_xlfn.XLOOKUP(F1469&amp;"|"&amp;J1469&amp;"|"&amp;O1469,PRICES!$C$2:$C$659&amp;"|"&amp;PRICES!$B$2:$B$659&amp;"|"&amp;PRICES!$D$2:$D$659,PRICES!$E$2:$E$659),"Not Found"))</f>
        <v/>
      </c>
      <c r="Q1469" s="100" t="str">
        <f>IF(N1469=0,"",SUMIFS(PRICES!$G$2:$G$658,PRICES!$B$2:$B$658,'MAIN TABLE-1 AUTOMATED'!J1469,PRICES!$C$2:$C$658,'MAIN TABLE-1 AUTOMATED'!F1469,PRICES!$D$2:$D$658,'MAIN TABLE-1 AUTOMATED'!O1469))</f>
        <v/>
      </c>
      <c r="R1469" s="41" t="str">
        <f>IF(Table1[[#This Row],[QUANTITY]]=0,"",Table1[[#This Row],[UNIT PRICE]]*Table1[[#This Row],[QUANTITY]])</f>
        <v/>
      </c>
      <c r="S1469" s="89"/>
      <c r="T1469" s="38"/>
      <c r="U1469" s="43"/>
      <c r="V1469" s="42" t="str">
        <f>IF(Table1[[#This Row],[DATE]]=0,"",YEAR(E1469))</f>
        <v/>
      </c>
      <c r="W1469" s="40" t="str">
        <f t="shared" si="46"/>
        <v/>
      </c>
      <c r="X1469" s="40" t="str">
        <f t="shared" si="47"/>
        <v/>
      </c>
      <c r="Y1469" s="40" t="str">
        <f>TEXT(Table1[[#This Row],[YEAR]],"0000")&amp;"-"&amp;Table1[[#This Row],[MONTH]]</f>
        <v>-</v>
      </c>
    </row>
    <row r="1470" spans="1:25" ht="15" customHeight="1" x14ac:dyDescent="0.35">
      <c r="A1470" s="24"/>
      <c r="B1470" s="38"/>
      <c r="C1470" s="38"/>
      <c r="D1470" s="38"/>
      <c r="E1470" s="37"/>
      <c r="F1470" s="38"/>
      <c r="G1470" s="198"/>
      <c r="H1470" s="198"/>
      <c r="I1470" s="39"/>
      <c r="J1470" s="38"/>
      <c r="K1470" s="198"/>
      <c r="L1470" s="38"/>
      <c r="M1470" s="38"/>
      <c r="N1470" s="38"/>
      <c r="O1470" s="38"/>
      <c r="P1470" s="40" t="str" cm="1">
        <f t="array" ref="P1470">IF(N1470="","",IFERROR(_xlfn.XLOOKUP(F1470&amp;"|"&amp;J1470&amp;"|"&amp;O1470,PRICES!$C$2:$C$659&amp;"|"&amp;PRICES!$B$2:$B$659&amp;"|"&amp;PRICES!$D$2:$D$659,PRICES!$E$2:$E$659),"Not Found"))</f>
        <v/>
      </c>
      <c r="Q1470" s="100" t="str">
        <f>IF(N1470=0,"",SUMIFS(PRICES!$G$2:$G$658,PRICES!$B$2:$B$658,'MAIN TABLE-1 AUTOMATED'!J1470,PRICES!$C$2:$C$658,'MAIN TABLE-1 AUTOMATED'!F1470,PRICES!$D$2:$D$658,'MAIN TABLE-1 AUTOMATED'!O1470))</f>
        <v/>
      </c>
      <c r="R1470" s="41" t="str">
        <f>IF(Table1[[#This Row],[QUANTITY]]=0,"",Table1[[#This Row],[UNIT PRICE]]*Table1[[#This Row],[QUANTITY]])</f>
        <v/>
      </c>
      <c r="S1470" s="89"/>
      <c r="T1470" s="38"/>
      <c r="U1470" s="43"/>
      <c r="V1470" s="42" t="str">
        <f>IF(Table1[[#This Row],[DATE]]=0,"",YEAR(E1470))</f>
        <v/>
      </c>
      <c r="W1470" s="40" t="str">
        <f t="shared" si="46"/>
        <v/>
      </c>
      <c r="X1470" s="40" t="str">
        <f t="shared" si="47"/>
        <v/>
      </c>
      <c r="Y1470" s="40" t="str">
        <f>TEXT(Table1[[#This Row],[YEAR]],"0000")&amp;"-"&amp;Table1[[#This Row],[MONTH]]</f>
        <v>-</v>
      </c>
    </row>
    <row r="1471" spans="1:25" ht="15" customHeight="1" x14ac:dyDescent="0.35">
      <c r="A1471" s="24"/>
      <c r="B1471" s="38"/>
      <c r="C1471" s="38"/>
      <c r="D1471" s="38"/>
      <c r="E1471" s="37"/>
      <c r="F1471" s="38"/>
      <c r="G1471" s="198"/>
      <c r="H1471" s="198"/>
      <c r="I1471" s="39"/>
      <c r="J1471" s="38"/>
      <c r="K1471" s="198"/>
      <c r="L1471" s="38"/>
      <c r="M1471" s="38"/>
      <c r="N1471" s="38"/>
      <c r="O1471" s="38"/>
      <c r="P1471" s="40" t="str" cm="1">
        <f t="array" ref="P1471">IF(N1471="","",IFERROR(_xlfn.XLOOKUP(F1471&amp;"|"&amp;J1471&amp;"|"&amp;O1471,PRICES!$C$2:$C$659&amp;"|"&amp;PRICES!$B$2:$B$659&amp;"|"&amp;PRICES!$D$2:$D$659,PRICES!$E$2:$E$659),"Not Found"))</f>
        <v/>
      </c>
      <c r="Q1471" s="100" t="str">
        <f>IF(N1471=0,"",SUMIFS(PRICES!$G$2:$G$658,PRICES!$B$2:$B$658,'MAIN TABLE-1 AUTOMATED'!J1471,PRICES!$C$2:$C$658,'MAIN TABLE-1 AUTOMATED'!F1471,PRICES!$D$2:$D$658,'MAIN TABLE-1 AUTOMATED'!O1471))</f>
        <v/>
      </c>
      <c r="R1471" s="41" t="str">
        <f>IF(Table1[[#This Row],[QUANTITY]]=0,"",Table1[[#This Row],[UNIT PRICE]]*Table1[[#This Row],[QUANTITY]])</f>
        <v/>
      </c>
      <c r="S1471" s="89"/>
      <c r="T1471" s="38"/>
      <c r="U1471" s="43"/>
      <c r="V1471" s="42" t="str">
        <f>IF(Table1[[#This Row],[DATE]]=0,"",YEAR(E1471))</f>
        <v/>
      </c>
      <c r="W1471" s="40" t="str">
        <f t="shared" si="46"/>
        <v/>
      </c>
      <c r="X1471" s="40" t="str">
        <f t="shared" si="47"/>
        <v/>
      </c>
      <c r="Y1471" s="40" t="str">
        <f>TEXT(Table1[[#This Row],[YEAR]],"0000")&amp;"-"&amp;Table1[[#This Row],[MONTH]]</f>
        <v>-</v>
      </c>
    </row>
    <row r="1472" spans="1:25" ht="15" customHeight="1" x14ac:dyDescent="0.35">
      <c r="A1472" s="24"/>
      <c r="B1472" s="38"/>
      <c r="C1472" s="38"/>
      <c r="D1472" s="38"/>
      <c r="E1472" s="37"/>
      <c r="F1472" s="38"/>
      <c r="G1472" s="198"/>
      <c r="H1472" s="198"/>
      <c r="I1472" s="39"/>
      <c r="J1472" s="38"/>
      <c r="K1472" s="198"/>
      <c r="L1472" s="38"/>
      <c r="M1472" s="38"/>
      <c r="N1472" s="38"/>
      <c r="O1472" s="38"/>
      <c r="P1472" s="40" t="str" cm="1">
        <f t="array" ref="P1472">IF(N1472="","",IFERROR(_xlfn.XLOOKUP(F1472&amp;"|"&amp;J1472&amp;"|"&amp;O1472,PRICES!$C$2:$C$659&amp;"|"&amp;PRICES!$B$2:$B$659&amp;"|"&amp;PRICES!$D$2:$D$659,PRICES!$E$2:$E$659),"Not Found"))</f>
        <v/>
      </c>
      <c r="Q1472" s="100" t="str">
        <f>IF(N1472=0,"",SUMIFS(PRICES!$G$2:$G$658,PRICES!$B$2:$B$658,'MAIN TABLE-1 AUTOMATED'!J1472,PRICES!$C$2:$C$658,'MAIN TABLE-1 AUTOMATED'!F1472,PRICES!$D$2:$D$658,'MAIN TABLE-1 AUTOMATED'!O1472))</f>
        <v/>
      </c>
      <c r="R1472" s="41" t="str">
        <f>IF(Table1[[#This Row],[QUANTITY]]=0,"",Table1[[#This Row],[UNIT PRICE]]*Table1[[#This Row],[QUANTITY]])</f>
        <v/>
      </c>
      <c r="S1472" s="89"/>
      <c r="T1472" s="38"/>
      <c r="U1472" s="43"/>
      <c r="V1472" s="42" t="str">
        <f>IF(Table1[[#This Row],[DATE]]=0,"",YEAR(E1472))</f>
        <v/>
      </c>
      <c r="W1472" s="40" t="str">
        <f t="shared" si="46"/>
        <v/>
      </c>
      <c r="X1472" s="40" t="str">
        <f t="shared" si="47"/>
        <v/>
      </c>
      <c r="Y1472" s="40" t="str">
        <f>TEXT(Table1[[#This Row],[YEAR]],"0000")&amp;"-"&amp;Table1[[#This Row],[MONTH]]</f>
        <v>-</v>
      </c>
    </row>
    <row r="1473" spans="1:25" ht="15" customHeight="1" x14ac:dyDescent="0.35">
      <c r="A1473" s="24"/>
      <c r="B1473" s="38"/>
      <c r="C1473" s="38"/>
      <c r="D1473" s="38"/>
      <c r="E1473" s="37"/>
      <c r="F1473" s="38"/>
      <c r="G1473" s="198"/>
      <c r="H1473" s="198"/>
      <c r="I1473" s="39"/>
      <c r="J1473" s="38"/>
      <c r="K1473" s="198"/>
      <c r="L1473" s="38"/>
      <c r="M1473" s="38"/>
      <c r="N1473" s="38"/>
      <c r="O1473" s="38"/>
      <c r="P1473" s="40" t="str" cm="1">
        <f t="array" ref="P1473">IF(N1473="","",IFERROR(_xlfn.XLOOKUP(F1473&amp;"|"&amp;J1473&amp;"|"&amp;O1473,PRICES!$C$2:$C$659&amp;"|"&amp;PRICES!$B$2:$B$659&amp;"|"&amp;PRICES!$D$2:$D$659,PRICES!$E$2:$E$659),"Not Found"))</f>
        <v/>
      </c>
      <c r="Q1473" s="100" t="str">
        <f>IF(N1473=0,"",SUMIFS(PRICES!$G$2:$G$658,PRICES!$B$2:$B$658,'MAIN TABLE-1 AUTOMATED'!J1473,PRICES!$C$2:$C$658,'MAIN TABLE-1 AUTOMATED'!F1473,PRICES!$D$2:$D$658,'MAIN TABLE-1 AUTOMATED'!O1473))</f>
        <v/>
      </c>
      <c r="R1473" s="41" t="str">
        <f>IF(Table1[[#This Row],[QUANTITY]]=0,"",Table1[[#This Row],[UNIT PRICE]]*Table1[[#This Row],[QUANTITY]])</f>
        <v/>
      </c>
      <c r="S1473" s="89"/>
      <c r="T1473" s="38"/>
      <c r="U1473" s="43"/>
      <c r="V1473" s="42" t="str">
        <f>IF(Table1[[#This Row],[DATE]]=0,"",YEAR(E1473))</f>
        <v/>
      </c>
      <c r="W1473" s="40" t="str">
        <f t="shared" si="46"/>
        <v/>
      </c>
      <c r="X1473" s="40" t="str">
        <f t="shared" si="47"/>
        <v/>
      </c>
      <c r="Y1473" s="40" t="str">
        <f>TEXT(Table1[[#This Row],[YEAR]],"0000")&amp;"-"&amp;Table1[[#This Row],[MONTH]]</f>
        <v>-</v>
      </c>
    </row>
    <row r="1474" spans="1:25" ht="15" customHeight="1" x14ac:dyDescent="0.35">
      <c r="A1474" s="24"/>
      <c r="B1474" s="38"/>
      <c r="C1474" s="38"/>
      <c r="D1474" s="38"/>
      <c r="E1474" s="37"/>
      <c r="F1474" s="38"/>
      <c r="G1474" s="198"/>
      <c r="H1474" s="198"/>
      <c r="I1474" s="39"/>
      <c r="J1474" s="38"/>
      <c r="K1474" s="198"/>
      <c r="L1474" s="38"/>
      <c r="M1474" s="38"/>
      <c r="N1474" s="38"/>
      <c r="O1474" s="38"/>
      <c r="P1474" s="40" t="str" cm="1">
        <f t="array" ref="P1474">IF(N1474="","",IFERROR(_xlfn.XLOOKUP(F1474&amp;"|"&amp;J1474&amp;"|"&amp;O1474,PRICES!$C$2:$C$659&amp;"|"&amp;PRICES!$B$2:$B$659&amp;"|"&amp;PRICES!$D$2:$D$659,PRICES!$E$2:$E$659),"Not Found"))</f>
        <v/>
      </c>
      <c r="Q1474" s="100" t="str">
        <f>IF(N1474=0,"",SUMIFS(PRICES!$G$2:$G$658,PRICES!$B$2:$B$658,'MAIN TABLE-1 AUTOMATED'!J1474,PRICES!$C$2:$C$658,'MAIN TABLE-1 AUTOMATED'!F1474,PRICES!$D$2:$D$658,'MAIN TABLE-1 AUTOMATED'!O1474))</f>
        <v/>
      </c>
      <c r="R1474" s="41" t="str">
        <f>IF(Table1[[#This Row],[QUANTITY]]=0,"",Table1[[#This Row],[UNIT PRICE]]*Table1[[#This Row],[QUANTITY]])</f>
        <v/>
      </c>
      <c r="S1474" s="89"/>
      <c r="T1474" s="38"/>
      <c r="U1474" s="43"/>
      <c r="V1474" s="42" t="str">
        <f>IF(Table1[[#This Row],[DATE]]=0,"",YEAR(E1474))</f>
        <v/>
      </c>
      <c r="W1474" s="40" t="str">
        <f t="shared" si="46"/>
        <v/>
      </c>
      <c r="X1474" s="40" t="str">
        <f t="shared" si="47"/>
        <v/>
      </c>
      <c r="Y1474" s="40" t="str">
        <f>TEXT(Table1[[#This Row],[YEAR]],"0000")&amp;"-"&amp;Table1[[#This Row],[MONTH]]</f>
        <v>-</v>
      </c>
    </row>
    <row r="1475" spans="1:25" ht="15" customHeight="1" x14ac:dyDescent="0.35">
      <c r="A1475" s="24"/>
      <c r="B1475" s="38"/>
      <c r="C1475" s="38"/>
      <c r="D1475" s="38"/>
      <c r="E1475" s="37"/>
      <c r="F1475" s="38"/>
      <c r="G1475" s="198"/>
      <c r="H1475" s="198"/>
      <c r="I1475" s="39"/>
      <c r="J1475" s="38"/>
      <c r="K1475" s="198"/>
      <c r="L1475" s="38"/>
      <c r="M1475" s="38"/>
      <c r="N1475" s="38"/>
      <c r="O1475" s="38"/>
      <c r="P1475" s="40" t="str" cm="1">
        <f t="array" ref="P1475">IF(N1475="","",IFERROR(_xlfn.XLOOKUP(F1475&amp;"|"&amp;J1475&amp;"|"&amp;O1475,PRICES!$C$2:$C$659&amp;"|"&amp;PRICES!$B$2:$B$659&amp;"|"&amp;PRICES!$D$2:$D$659,PRICES!$E$2:$E$659),"Not Found"))</f>
        <v/>
      </c>
      <c r="Q1475" s="100" t="str">
        <f>IF(N1475=0,"",SUMIFS(PRICES!$G$2:$G$658,PRICES!$B$2:$B$658,'MAIN TABLE-1 AUTOMATED'!J1475,PRICES!$C$2:$C$658,'MAIN TABLE-1 AUTOMATED'!F1475,PRICES!$D$2:$D$658,'MAIN TABLE-1 AUTOMATED'!O1475))</f>
        <v/>
      </c>
      <c r="R1475" s="41" t="str">
        <f>IF(Table1[[#This Row],[QUANTITY]]=0,"",Table1[[#This Row],[UNIT PRICE]]*Table1[[#This Row],[QUANTITY]])</f>
        <v/>
      </c>
      <c r="S1475" s="89"/>
      <c r="T1475" s="38"/>
      <c r="U1475" s="43"/>
      <c r="V1475" s="42" t="str">
        <f>IF(Table1[[#This Row],[DATE]]=0,"",YEAR(E1475))</f>
        <v/>
      </c>
      <c r="W1475" s="40" t="str">
        <f t="shared" si="46"/>
        <v/>
      </c>
      <c r="X1475" s="40" t="str">
        <f t="shared" si="47"/>
        <v/>
      </c>
      <c r="Y1475" s="40" t="str">
        <f>TEXT(Table1[[#This Row],[YEAR]],"0000")&amp;"-"&amp;Table1[[#This Row],[MONTH]]</f>
        <v>-</v>
      </c>
    </row>
    <row r="1476" spans="1:25" ht="15" customHeight="1" x14ac:dyDescent="0.35">
      <c r="A1476" s="24"/>
      <c r="B1476" s="38"/>
      <c r="C1476" s="38"/>
      <c r="D1476" s="38"/>
      <c r="E1476" s="37"/>
      <c r="F1476" s="38"/>
      <c r="G1476" s="198"/>
      <c r="H1476" s="198"/>
      <c r="I1476" s="39"/>
      <c r="J1476" s="38"/>
      <c r="K1476" s="198"/>
      <c r="L1476" s="38"/>
      <c r="M1476" s="38"/>
      <c r="N1476" s="38"/>
      <c r="O1476" s="38"/>
      <c r="P1476" s="40" t="str" cm="1">
        <f t="array" ref="P1476">IF(N1476="","",IFERROR(_xlfn.XLOOKUP(F1476&amp;"|"&amp;J1476&amp;"|"&amp;O1476,PRICES!$C$2:$C$659&amp;"|"&amp;PRICES!$B$2:$B$659&amp;"|"&amp;PRICES!$D$2:$D$659,PRICES!$E$2:$E$659),"Not Found"))</f>
        <v/>
      </c>
      <c r="Q1476" s="100" t="str">
        <f>IF(N1476=0,"",SUMIFS(PRICES!$G$2:$G$658,PRICES!$B$2:$B$658,'MAIN TABLE-1 AUTOMATED'!J1476,PRICES!$C$2:$C$658,'MAIN TABLE-1 AUTOMATED'!F1476,PRICES!$D$2:$D$658,'MAIN TABLE-1 AUTOMATED'!O1476))</f>
        <v/>
      </c>
      <c r="R1476" s="41" t="str">
        <f>IF(Table1[[#This Row],[QUANTITY]]=0,"",Table1[[#This Row],[UNIT PRICE]]*Table1[[#This Row],[QUANTITY]])</f>
        <v/>
      </c>
      <c r="S1476" s="89"/>
      <c r="T1476" s="38"/>
      <c r="U1476" s="43"/>
      <c r="V1476" s="42" t="str">
        <f>IF(Table1[[#This Row],[DATE]]=0,"",YEAR(E1476))</f>
        <v/>
      </c>
      <c r="W1476" s="40" t="str">
        <f t="shared" si="46"/>
        <v/>
      </c>
      <c r="X1476" s="40" t="str">
        <f t="shared" si="47"/>
        <v/>
      </c>
      <c r="Y1476" s="40" t="str">
        <f>TEXT(Table1[[#This Row],[YEAR]],"0000")&amp;"-"&amp;Table1[[#This Row],[MONTH]]</f>
        <v>-</v>
      </c>
    </row>
    <row r="1477" spans="1:25" ht="15" customHeight="1" x14ac:dyDescent="0.35">
      <c r="A1477" s="24"/>
      <c r="B1477" s="38"/>
      <c r="C1477" s="38"/>
      <c r="D1477" s="38"/>
      <c r="E1477" s="37"/>
      <c r="F1477" s="38"/>
      <c r="G1477" s="198"/>
      <c r="H1477" s="198"/>
      <c r="I1477" s="39"/>
      <c r="J1477" s="38"/>
      <c r="K1477" s="198"/>
      <c r="L1477" s="38"/>
      <c r="M1477" s="38"/>
      <c r="N1477" s="38"/>
      <c r="O1477" s="38"/>
      <c r="P1477" s="40" t="str" cm="1">
        <f t="array" ref="P1477">IF(N1477="","",IFERROR(_xlfn.XLOOKUP(F1477&amp;"|"&amp;J1477&amp;"|"&amp;O1477,PRICES!$C$2:$C$659&amp;"|"&amp;PRICES!$B$2:$B$659&amp;"|"&amp;PRICES!$D$2:$D$659,PRICES!$E$2:$E$659),"Not Found"))</f>
        <v/>
      </c>
      <c r="Q1477" s="100" t="str">
        <f>IF(N1477=0,"",SUMIFS(PRICES!$G$2:$G$658,PRICES!$B$2:$B$658,'MAIN TABLE-1 AUTOMATED'!J1477,PRICES!$C$2:$C$658,'MAIN TABLE-1 AUTOMATED'!F1477,PRICES!$D$2:$D$658,'MAIN TABLE-1 AUTOMATED'!O1477))</f>
        <v/>
      </c>
      <c r="R1477" s="41" t="str">
        <f>IF(Table1[[#This Row],[QUANTITY]]=0,"",Table1[[#This Row],[UNIT PRICE]]*Table1[[#This Row],[QUANTITY]])</f>
        <v/>
      </c>
      <c r="S1477" s="89"/>
      <c r="T1477" s="38"/>
      <c r="U1477" s="43"/>
      <c r="V1477" s="42" t="str">
        <f>IF(Table1[[#This Row],[DATE]]=0,"",YEAR(E1477))</f>
        <v/>
      </c>
      <c r="W1477" s="40" t="str">
        <f t="shared" si="46"/>
        <v/>
      </c>
      <c r="X1477" s="40" t="str">
        <f t="shared" si="47"/>
        <v/>
      </c>
      <c r="Y1477" s="40" t="str">
        <f>TEXT(Table1[[#This Row],[YEAR]],"0000")&amp;"-"&amp;Table1[[#This Row],[MONTH]]</f>
        <v>-</v>
      </c>
    </row>
    <row r="1478" spans="1:25" ht="15" customHeight="1" x14ac:dyDescent="0.35">
      <c r="A1478" s="24"/>
      <c r="B1478" s="38"/>
      <c r="C1478" s="38"/>
      <c r="D1478" s="38"/>
      <c r="E1478" s="37"/>
      <c r="F1478" s="38"/>
      <c r="G1478" s="198"/>
      <c r="H1478" s="198"/>
      <c r="I1478" s="39"/>
      <c r="J1478" s="38"/>
      <c r="K1478" s="198"/>
      <c r="L1478" s="38"/>
      <c r="M1478" s="38"/>
      <c r="N1478" s="38"/>
      <c r="O1478" s="38"/>
      <c r="P1478" s="40" t="str" cm="1">
        <f t="array" ref="P1478">IF(N1478="","",IFERROR(_xlfn.XLOOKUP(F1478&amp;"|"&amp;J1478&amp;"|"&amp;O1478,PRICES!$C$2:$C$659&amp;"|"&amp;PRICES!$B$2:$B$659&amp;"|"&amp;PRICES!$D$2:$D$659,PRICES!$E$2:$E$659),"Not Found"))</f>
        <v/>
      </c>
      <c r="Q1478" s="100" t="str">
        <f>IF(N1478=0,"",SUMIFS(PRICES!$G$2:$G$658,PRICES!$B$2:$B$658,'MAIN TABLE-1 AUTOMATED'!J1478,PRICES!$C$2:$C$658,'MAIN TABLE-1 AUTOMATED'!F1478,PRICES!$D$2:$D$658,'MAIN TABLE-1 AUTOMATED'!O1478))</f>
        <v/>
      </c>
      <c r="R1478" s="41" t="str">
        <f>IF(Table1[[#This Row],[QUANTITY]]=0,"",Table1[[#This Row],[UNIT PRICE]]*Table1[[#This Row],[QUANTITY]])</f>
        <v/>
      </c>
      <c r="S1478" s="89"/>
      <c r="T1478" s="38"/>
      <c r="U1478" s="43"/>
      <c r="V1478" s="42" t="str">
        <f>IF(Table1[[#This Row],[DATE]]=0,"",YEAR(E1478))</f>
        <v/>
      </c>
      <c r="W1478" s="40" t="str">
        <f t="shared" si="46"/>
        <v/>
      </c>
      <c r="X1478" s="40" t="str">
        <f t="shared" si="47"/>
        <v/>
      </c>
      <c r="Y1478" s="40" t="str">
        <f>TEXT(Table1[[#This Row],[YEAR]],"0000")&amp;"-"&amp;Table1[[#This Row],[MONTH]]</f>
        <v>-</v>
      </c>
    </row>
    <row r="1479" spans="1:25" ht="15" customHeight="1" x14ac:dyDescent="0.35">
      <c r="A1479" s="24"/>
      <c r="B1479" s="38"/>
      <c r="C1479" s="38"/>
      <c r="D1479" s="38"/>
      <c r="E1479" s="37"/>
      <c r="F1479" s="38"/>
      <c r="G1479" s="198"/>
      <c r="H1479" s="198"/>
      <c r="I1479" s="39"/>
      <c r="J1479" s="38"/>
      <c r="K1479" s="198"/>
      <c r="L1479" s="38"/>
      <c r="M1479" s="38"/>
      <c r="N1479" s="38"/>
      <c r="O1479" s="38"/>
      <c r="P1479" s="40" t="str" cm="1">
        <f t="array" ref="P1479">IF(N1479="","",IFERROR(_xlfn.XLOOKUP(F1479&amp;"|"&amp;J1479&amp;"|"&amp;O1479,PRICES!$C$2:$C$659&amp;"|"&amp;PRICES!$B$2:$B$659&amp;"|"&amp;PRICES!$D$2:$D$659,PRICES!$E$2:$E$659),"Not Found"))</f>
        <v/>
      </c>
      <c r="Q1479" s="100" t="str">
        <f>IF(N1479=0,"",SUMIFS(PRICES!$G$2:$G$658,PRICES!$B$2:$B$658,'MAIN TABLE-1 AUTOMATED'!J1479,PRICES!$C$2:$C$658,'MAIN TABLE-1 AUTOMATED'!F1479,PRICES!$D$2:$D$658,'MAIN TABLE-1 AUTOMATED'!O1479))</f>
        <v/>
      </c>
      <c r="R1479" s="41" t="str">
        <f>IF(Table1[[#This Row],[QUANTITY]]=0,"",Table1[[#This Row],[UNIT PRICE]]*Table1[[#This Row],[QUANTITY]])</f>
        <v/>
      </c>
      <c r="S1479" s="89"/>
      <c r="T1479" s="38"/>
      <c r="U1479" s="43"/>
      <c r="V1479" s="42" t="str">
        <f>IF(Table1[[#This Row],[DATE]]=0,"",YEAR(E1479))</f>
        <v/>
      </c>
      <c r="W1479" s="40" t="str">
        <f t="shared" si="46"/>
        <v/>
      </c>
      <c r="X1479" s="40" t="str">
        <f t="shared" si="47"/>
        <v/>
      </c>
      <c r="Y1479" s="40" t="str">
        <f>TEXT(Table1[[#This Row],[YEAR]],"0000")&amp;"-"&amp;Table1[[#This Row],[MONTH]]</f>
        <v>-</v>
      </c>
    </row>
    <row r="1480" spans="1:25" ht="15" customHeight="1" x14ac:dyDescent="0.35">
      <c r="A1480" s="24"/>
      <c r="B1480" s="38"/>
      <c r="C1480" s="38"/>
      <c r="D1480" s="38"/>
      <c r="E1480" s="37"/>
      <c r="F1480" s="38"/>
      <c r="G1480" s="198"/>
      <c r="H1480" s="198"/>
      <c r="I1480" s="39"/>
      <c r="J1480" s="38"/>
      <c r="K1480" s="198"/>
      <c r="L1480" s="38"/>
      <c r="M1480" s="38"/>
      <c r="N1480" s="38"/>
      <c r="O1480" s="38"/>
      <c r="P1480" s="40" t="str" cm="1">
        <f t="array" ref="P1480">IF(N1480="","",IFERROR(_xlfn.XLOOKUP(F1480&amp;"|"&amp;J1480&amp;"|"&amp;O1480,PRICES!$C$2:$C$659&amp;"|"&amp;PRICES!$B$2:$B$659&amp;"|"&amp;PRICES!$D$2:$D$659,PRICES!$E$2:$E$659),"Not Found"))</f>
        <v/>
      </c>
      <c r="Q1480" s="100" t="str">
        <f>IF(N1480=0,"",SUMIFS(PRICES!$G$2:$G$658,PRICES!$B$2:$B$658,'MAIN TABLE-1 AUTOMATED'!J1480,PRICES!$C$2:$C$658,'MAIN TABLE-1 AUTOMATED'!F1480,PRICES!$D$2:$D$658,'MAIN TABLE-1 AUTOMATED'!O1480))</f>
        <v/>
      </c>
      <c r="R1480" s="41" t="str">
        <f>IF(Table1[[#This Row],[QUANTITY]]=0,"",Table1[[#This Row],[UNIT PRICE]]*Table1[[#This Row],[QUANTITY]])</f>
        <v/>
      </c>
      <c r="S1480" s="89"/>
      <c r="T1480" s="38"/>
      <c r="U1480" s="43"/>
      <c r="V1480" s="42" t="str">
        <f>IF(Table1[[#This Row],[DATE]]=0,"",YEAR(E1480))</f>
        <v/>
      </c>
      <c r="W1480" s="40" t="str">
        <f t="shared" si="46"/>
        <v/>
      </c>
      <c r="X1480" s="40" t="str">
        <f t="shared" si="47"/>
        <v/>
      </c>
      <c r="Y1480" s="40" t="str">
        <f>TEXT(Table1[[#This Row],[YEAR]],"0000")&amp;"-"&amp;Table1[[#This Row],[MONTH]]</f>
        <v>-</v>
      </c>
    </row>
    <row r="1481" spans="1:25" ht="15" customHeight="1" x14ac:dyDescent="0.35">
      <c r="A1481" s="24"/>
      <c r="B1481" s="38"/>
      <c r="C1481" s="38"/>
      <c r="D1481" s="38"/>
      <c r="E1481" s="37"/>
      <c r="F1481" s="38"/>
      <c r="G1481" s="198"/>
      <c r="H1481" s="198"/>
      <c r="I1481" s="39"/>
      <c r="J1481" s="38"/>
      <c r="K1481" s="198"/>
      <c r="L1481" s="38"/>
      <c r="M1481" s="38"/>
      <c r="N1481" s="38"/>
      <c r="O1481" s="38"/>
      <c r="P1481" s="40" t="str" cm="1">
        <f t="array" ref="P1481">IF(N1481="","",IFERROR(_xlfn.XLOOKUP(F1481&amp;"|"&amp;J1481&amp;"|"&amp;O1481,PRICES!$C$2:$C$659&amp;"|"&amp;PRICES!$B$2:$B$659&amp;"|"&amp;PRICES!$D$2:$D$659,PRICES!$E$2:$E$659),"Not Found"))</f>
        <v/>
      </c>
      <c r="Q1481" s="100" t="str">
        <f>IF(N1481=0,"",SUMIFS(PRICES!$G$2:$G$658,PRICES!$B$2:$B$658,'MAIN TABLE-1 AUTOMATED'!J1481,PRICES!$C$2:$C$658,'MAIN TABLE-1 AUTOMATED'!F1481,PRICES!$D$2:$D$658,'MAIN TABLE-1 AUTOMATED'!O1481))</f>
        <v/>
      </c>
      <c r="R1481" s="41" t="str">
        <f>IF(Table1[[#This Row],[QUANTITY]]=0,"",Table1[[#This Row],[UNIT PRICE]]*Table1[[#This Row],[QUANTITY]])</f>
        <v/>
      </c>
      <c r="S1481" s="89"/>
      <c r="T1481" s="38"/>
      <c r="U1481" s="43"/>
      <c r="V1481" s="42" t="str">
        <f>IF(Table1[[#This Row],[DATE]]=0,"",YEAR(E1481))</f>
        <v/>
      </c>
      <c r="W1481" s="40" t="str">
        <f t="shared" si="46"/>
        <v/>
      </c>
      <c r="X1481" s="40" t="str">
        <f t="shared" si="47"/>
        <v/>
      </c>
      <c r="Y1481" s="40" t="str">
        <f>TEXT(Table1[[#This Row],[YEAR]],"0000")&amp;"-"&amp;Table1[[#This Row],[MONTH]]</f>
        <v>-</v>
      </c>
    </row>
    <row r="1482" spans="1:25" ht="15" customHeight="1" x14ac:dyDescent="0.35">
      <c r="A1482" s="24"/>
      <c r="B1482" s="38"/>
      <c r="C1482" s="38"/>
      <c r="D1482" s="38"/>
      <c r="E1482" s="37"/>
      <c r="F1482" s="38"/>
      <c r="G1482" s="198"/>
      <c r="H1482" s="198"/>
      <c r="I1482" s="39"/>
      <c r="J1482" s="38"/>
      <c r="K1482" s="198"/>
      <c r="L1482" s="38"/>
      <c r="M1482" s="38"/>
      <c r="N1482" s="38"/>
      <c r="O1482" s="38"/>
      <c r="P1482" s="40" t="str" cm="1">
        <f t="array" ref="P1482">IF(N1482="","",IFERROR(_xlfn.XLOOKUP(F1482&amp;"|"&amp;J1482&amp;"|"&amp;O1482,PRICES!$C$2:$C$659&amp;"|"&amp;PRICES!$B$2:$B$659&amp;"|"&amp;PRICES!$D$2:$D$659,PRICES!$E$2:$E$659),"Not Found"))</f>
        <v/>
      </c>
      <c r="Q1482" s="100" t="str">
        <f>IF(N1482=0,"",SUMIFS(PRICES!$G$2:$G$658,PRICES!$B$2:$B$658,'MAIN TABLE-1 AUTOMATED'!J1482,PRICES!$C$2:$C$658,'MAIN TABLE-1 AUTOMATED'!F1482,PRICES!$D$2:$D$658,'MAIN TABLE-1 AUTOMATED'!O1482))</f>
        <v/>
      </c>
      <c r="R1482" s="41" t="str">
        <f>IF(Table1[[#This Row],[QUANTITY]]=0,"",Table1[[#This Row],[UNIT PRICE]]*Table1[[#This Row],[QUANTITY]])</f>
        <v/>
      </c>
      <c r="S1482" s="89"/>
      <c r="T1482" s="38"/>
      <c r="U1482" s="43"/>
      <c r="V1482" s="42" t="str">
        <f>IF(Table1[[#This Row],[DATE]]=0,"",YEAR(E1482))</f>
        <v/>
      </c>
      <c r="W1482" s="40" t="str">
        <f t="shared" si="46"/>
        <v/>
      </c>
      <c r="X1482" s="40" t="str">
        <f t="shared" si="47"/>
        <v/>
      </c>
      <c r="Y1482" s="40" t="str">
        <f>TEXT(Table1[[#This Row],[YEAR]],"0000")&amp;"-"&amp;Table1[[#This Row],[MONTH]]</f>
        <v>-</v>
      </c>
    </row>
    <row r="1483" spans="1:25" ht="15" customHeight="1" x14ac:dyDescent="0.35">
      <c r="A1483" s="24"/>
      <c r="B1483" s="38"/>
      <c r="C1483" s="38"/>
      <c r="D1483" s="38"/>
      <c r="E1483" s="37"/>
      <c r="F1483" s="38"/>
      <c r="G1483" s="198"/>
      <c r="H1483" s="198"/>
      <c r="I1483" s="39"/>
      <c r="J1483" s="38"/>
      <c r="K1483" s="198"/>
      <c r="L1483" s="38"/>
      <c r="M1483" s="38"/>
      <c r="N1483" s="38"/>
      <c r="O1483" s="38"/>
      <c r="P1483" s="40" t="str" cm="1">
        <f t="array" ref="P1483">IF(N1483="","",IFERROR(_xlfn.XLOOKUP(F1483&amp;"|"&amp;J1483&amp;"|"&amp;O1483,PRICES!$C$2:$C$659&amp;"|"&amp;PRICES!$B$2:$B$659&amp;"|"&amp;PRICES!$D$2:$D$659,PRICES!$E$2:$E$659),"Not Found"))</f>
        <v/>
      </c>
      <c r="Q1483" s="100" t="str">
        <f>IF(N1483=0,"",SUMIFS(PRICES!$G$2:$G$658,PRICES!$B$2:$B$658,'MAIN TABLE-1 AUTOMATED'!J1483,PRICES!$C$2:$C$658,'MAIN TABLE-1 AUTOMATED'!F1483,PRICES!$D$2:$D$658,'MAIN TABLE-1 AUTOMATED'!O1483))</f>
        <v/>
      </c>
      <c r="R1483" s="41" t="str">
        <f>IF(Table1[[#This Row],[QUANTITY]]=0,"",Table1[[#This Row],[UNIT PRICE]]*Table1[[#This Row],[QUANTITY]])</f>
        <v/>
      </c>
      <c r="S1483" s="89"/>
      <c r="T1483" s="38"/>
      <c r="U1483" s="43"/>
      <c r="V1483" s="42" t="str">
        <f>IF(Table1[[#This Row],[DATE]]=0,"",YEAR(E1483))</f>
        <v/>
      </c>
      <c r="W1483" s="40" t="str">
        <f t="shared" si="46"/>
        <v/>
      </c>
      <c r="X1483" s="40" t="str">
        <f t="shared" si="47"/>
        <v/>
      </c>
      <c r="Y1483" s="40" t="str">
        <f>TEXT(Table1[[#This Row],[YEAR]],"0000")&amp;"-"&amp;Table1[[#This Row],[MONTH]]</f>
        <v>-</v>
      </c>
    </row>
    <row r="1484" spans="1:25" ht="15" customHeight="1" x14ac:dyDescent="0.35">
      <c r="A1484" s="24"/>
      <c r="B1484" s="38"/>
      <c r="C1484" s="38"/>
      <c r="D1484" s="38"/>
      <c r="E1484" s="37"/>
      <c r="F1484" s="38"/>
      <c r="G1484" s="198"/>
      <c r="H1484" s="198"/>
      <c r="I1484" s="39"/>
      <c r="J1484" s="38"/>
      <c r="K1484" s="198"/>
      <c r="L1484" s="38"/>
      <c r="M1484" s="38"/>
      <c r="N1484" s="38"/>
      <c r="O1484" s="38"/>
      <c r="P1484" s="40" t="str" cm="1">
        <f t="array" ref="P1484">IF(N1484="","",IFERROR(_xlfn.XLOOKUP(F1484&amp;"|"&amp;J1484&amp;"|"&amp;O1484,PRICES!$C$2:$C$659&amp;"|"&amp;PRICES!$B$2:$B$659&amp;"|"&amp;PRICES!$D$2:$D$659,PRICES!$E$2:$E$659),"Not Found"))</f>
        <v/>
      </c>
      <c r="Q1484" s="100" t="str">
        <f>IF(N1484=0,"",SUMIFS(PRICES!$G$2:$G$658,PRICES!$B$2:$B$658,'MAIN TABLE-1 AUTOMATED'!J1484,PRICES!$C$2:$C$658,'MAIN TABLE-1 AUTOMATED'!F1484,PRICES!$D$2:$D$658,'MAIN TABLE-1 AUTOMATED'!O1484))</f>
        <v/>
      </c>
      <c r="R1484" s="41" t="str">
        <f>IF(Table1[[#This Row],[QUANTITY]]=0,"",Table1[[#This Row],[UNIT PRICE]]*Table1[[#This Row],[QUANTITY]])</f>
        <v/>
      </c>
      <c r="S1484" s="89"/>
      <c r="T1484" s="38"/>
      <c r="U1484" s="43"/>
      <c r="V1484" s="42" t="str">
        <f>IF(Table1[[#This Row],[DATE]]=0,"",YEAR(E1484))</f>
        <v/>
      </c>
      <c r="W1484" s="40" t="str">
        <f t="shared" si="46"/>
        <v/>
      </c>
      <c r="X1484" s="40" t="str">
        <f t="shared" si="47"/>
        <v/>
      </c>
      <c r="Y1484" s="40" t="str">
        <f>TEXT(Table1[[#This Row],[YEAR]],"0000")&amp;"-"&amp;Table1[[#This Row],[MONTH]]</f>
        <v>-</v>
      </c>
    </row>
    <row r="1485" spans="1:25" ht="15" customHeight="1" x14ac:dyDescent="0.35">
      <c r="A1485" s="24"/>
      <c r="B1485" s="38"/>
      <c r="C1485" s="38"/>
      <c r="D1485" s="38"/>
      <c r="E1485" s="37"/>
      <c r="F1485" s="38"/>
      <c r="G1485" s="198"/>
      <c r="H1485" s="198"/>
      <c r="I1485" s="39"/>
      <c r="J1485" s="38"/>
      <c r="K1485" s="198"/>
      <c r="L1485" s="38"/>
      <c r="M1485" s="38"/>
      <c r="N1485" s="38"/>
      <c r="O1485" s="38"/>
      <c r="P1485" s="40" t="str" cm="1">
        <f t="array" ref="P1485">IF(N1485="","",IFERROR(_xlfn.XLOOKUP(F1485&amp;"|"&amp;J1485&amp;"|"&amp;O1485,PRICES!$C$2:$C$659&amp;"|"&amp;PRICES!$B$2:$B$659&amp;"|"&amp;PRICES!$D$2:$D$659,PRICES!$E$2:$E$659),"Not Found"))</f>
        <v/>
      </c>
      <c r="Q1485" s="100" t="str">
        <f>IF(N1485=0,"",SUMIFS(PRICES!$G$2:$G$658,PRICES!$B$2:$B$658,'MAIN TABLE-1 AUTOMATED'!J1485,PRICES!$C$2:$C$658,'MAIN TABLE-1 AUTOMATED'!F1485,PRICES!$D$2:$D$658,'MAIN TABLE-1 AUTOMATED'!O1485))</f>
        <v/>
      </c>
      <c r="R1485" s="41" t="str">
        <f>IF(Table1[[#This Row],[QUANTITY]]=0,"",Table1[[#This Row],[UNIT PRICE]]*Table1[[#This Row],[QUANTITY]])</f>
        <v/>
      </c>
      <c r="S1485" s="89"/>
      <c r="T1485" s="38"/>
      <c r="U1485" s="43"/>
      <c r="V1485" s="42" t="str">
        <f>IF(Table1[[#This Row],[DATE]]=0,"",YEAR(E1485))</f>
        <v/>
      </c>
      <c r="W1485" s="40" t="str">
        <f t="shared" si="46"/>
        <v/>
      </c>
      <c r="X1485" s="40" t="str">
        <f t="shared" si="47"/>
        <v/>
      </c>
      <c r="Y1485" s="40" t="str">
        <f>TEXT(Table1[[#This Row],[YEAR]],"0000")&amp;"-"&amp;Table1[[#This Row],[MONTH]]</f>
        <v>-</v>
      </c>
    </row>
    <row r="1486" spans="1:25" ht="15" customHeight="1" x14ac:dyDescent="0.35">
      <c r="A1486" s="24"/>
      <c r="B1486" s="38"/>
      <c r="C1486" s="38"/>
      <c r="D1486" s="38"/>
      <c r="E1486" s="37"/>
      <c r="F1486" s="38"/>
      <c r="G1486" s="198"/>
      <c r="H1486" s="198"/>
      <c r="I1486" s="39"/>
      <c r="J1486" s="38"/>
      <c r="K1486" s="198"/>
      <c r="L1486" s="38"/>
      <c r="M1486" s="38"/>
      <c r="N1486" s="38"/>
      <c r="O1486" s="38"/>
      <c r="P1486" s="40" t="str" cm="1">
        <f t="array" ref="P1486">IF(N1486="","",IFERROR(_xlfn.XLOOKUP(F1486&amp;"|"&amp;J1486&amp;"|"&amp;O1486,PRICES!$C$2:$C$659&amp;"|"&amp;PRICES!$B$2:$B$659&amp;"|"&amp;PRICES!$D$2:$D$659,PRICES!$E$2:$E$659),"Not Found"))</f>
        <v/>
      </c>
      <c r="Q1486" s="100" t="str">
        <f>IF(N1486=0,"",SUMIFS(PRICES!$G$2:$G$658,PRICES!$B$2:$B$658,'MAIN TABLE-1 AUTOMATED'!J1486,PRICES!$C$2:$C$658,'MAIN TABLE-1 AUTOMATED'!F1486,PRICES!$D$2:$D$658,'MAIN TABLE-1 AUTOMATED'!O1486))</f>
        <v/>
      </c>
      <c r="R1486" s="41" t="str">
        <f>IF(Table1[[#This Row],[QUANTITY]]=0,"",Table1[[#This Row],[UNIT PRICE]]*Table1[[#This Row],[QUANTITY]])</f>
        <v/>
      </c>
      <c r="S1486" s="89"/>
      <c r="T1486" s="38"/>
      <c r="U1486" s="43"/>
      <c r="V1486" s="42" t="str">
        <f>IF(Table1[[#This Row],[DATE]]=0,"",YEAR(E1486))</f>
        <v/>
      </c>
      <c r="W1486" s="40" t="str">
        <f t="shared" si="46"/>
        <v/>
      </c>
      <c r="X1486" s="40" t="str">
        <f t="shared" si="47"/>
        <v/>
      </c>
      <c r="Y1486" s="40" t="str">
        <f>TEXT(Table1[[#This Row],[YEAR]],"0000")&amp;"-"&amp;Table1[[#This Row],[MONTH]]</f>
        <v>-</v>
      </c>
    </row>
    <row r="1487" spans="1:25" ht="15" customHeight="1" x14ac:dyDescent="0.35">
      <c r="A1487" s="24"/>
      <c r="B1487" s="38"/>
      <c r="C1487" s="38"/>
      <c r="D1487" s="38"/>
      <c r="E1487" s="37"/>
      <c r="F1487" s="38"/>
      <c r="G1487" s="198"/>
      <c r="H1487" s="198"/>
      <c r="I1487" s="39"/>
      <c r="J1487" s="38"/>
      <c r="K1487" s="198"/>
      <c r="L1487" s="38"/>
      <c r="M1487" s="38"/>
      <c r="N1487" s="38"/>
      <c r="O1487" s="38"/>
      <c r="P1487" s="40" t="str" cm="1">
        <f t="array" ref="P1487">IF(N1487="","",IFERROR(_xlfn.XLOOKUP(F1487&amp;"|"&amp;J1487&amp;"|"&amp;O1487,PRICES!$C$2:$C$659&amp;"|"&amp;PRICES!$B$2:$B$659&amp;"|"&amp;PRICES!$D$2:$D$659,PRICES!$E$2:$E$659),"Not Found"))</f>
        <v/>
      </c>
      <c r="Q1487" s="100" t="str">
        <f>IF(N1487=0,"",SUMIFS(PRICES!$G$2:$G$658,PRICES!$B$2:$B$658,'MAIN TABLE-1 AUTOMATED'!J1487,PRICES!$C$2:$C$658,'MAIN TABLE-1 AUTOMATED'!F1487,PRICES!$D$2:$D$658,'MAIN TABLE-1 AUTOMATED'!O1487))</f>
        <v/>
      </c>
      <c r="R1487" s="41" t="str">
        <f>IF(Table1[[#This Row],[QUANTITY]]=0,"",Table1[[#This Row],[UNIT PRICE]]*Table1[[#This Row],[QUANTITY]])</f>
        <v/>
      </c>
      <c r="S1487" s="89"/>
      <c r="T1487" s="38"/>
      <c r="U1487" s="43"/>
      <c r="V1487" s="42" t="str">
        <f>IF(Table1[[#This Row],[DATE]]=0,"",YEAR(E1487))</f>
        <v/>
      </c>
      <c r="W1487" s="40" t="str">
        <f t="shared" si="46"/>
        <v/>
      </c>
      <c r="X1487" s="40" t="str">
        <f t="shared" si="47"/>
        <v/>
      </c>
      <c r="Y1487" s="40" t="str">
        <f>TEXT(Table1[[#This Row],[YEAR]],"0000")&amp;"-"&amp;Table1[[#This Row],[MONTH]]</f>
        <v>-</v>
      </c>
    </row>
    <row r="1488" spans="1:25" ht="15" customHeight="1" x14ac:dyDescent="0.35">
      <c r="A1488" s="24"/>
      <c r="B1488" s="38"/>
      <c r="C1488" s="38"/>
      <c r="D1488" s="38"/>
      <c r="E1488" s="37"/>
      <c r="F1488" s="38"/>
      <c r="G1488" s="198"/>
      <c r="H1488" s="198"/>
      <c r="I1488" s="39"/>
      <c r="J1488" s="38"/>
      <c r="K1488" s="198"/>
      <c r="L1488" s="38"/>
      <c r="M1488" s="38"/>
      <c r="N1488" s="38"/>
      <c r="O1488" s="38"/>
      <c r="P1488" s="40" t="str" cm="1">
        <f t="array" ref="P1488">IF(N1488="","",IFERROR(_xlfn.XLOOKUP(F1488&amp;"|"&amp;J1488&amp;"|"&amp;O1488,PRICES!$C$2:$C$659&amp;"|"&amp;PRICES!$B$2:$B$659&amp;"|"&amp;PRICES!$D$2:$D$659,PRICES!$E$2:$E$659),"Not Found"))</f>
        <v/>
      </c>
      <c r="Q1488" s="100" t="str">
        <f>IF(N1488=0,"",SUMIFS(PRICES!$G$2:$G$658,PRICES!$B$2:$B$658,'MAIN TABLE-1 AUTOMATED'!J1488,PRICES!$C$2:$C$658,'MAIN TABLE-1 AUTOMATED'!F1488,PRICES!$D$2:$D$658,'MAIN TABLE-1 AUTOMATED'!O1488))</f>
        <v/>
      </c>
      <c r="R1488" s="41" t="str">
        <f>IF(Table1[[#This Row],[QUANTITY]]=0,"",Table1[[#This Row],[UNIT PRICE]]*Table1[[#This Row],[QUANTITY]])</f>
        <v/>
      </c>
      <c r="S1488" s="89"/>
      <c r="T1488" s="38"/>
      <c r="U1488" s="43"/>
      <c r="V1488" s="42" t="str">
        <f>IF(Table1[[#This Row],[DATE]]=0,"",YEAR(E1488))</f>
        <v/>
      </c>
      <c r="W1488" s="40" t="str">
        <f t="shared" si="46"/>
        <v/>
      </c>
      <c r="X1488" s="40" t="str">
        <f t="shared" si="47"/>
        <v/>
      </c>
      <c r="Y1488" s="40" t="str">
        <f>TEXT(Table1[[#This Row],[YEAR]],"0000")&amp;"-"&amp;Table1[[#This Row],[MONTH]]</f>
        <v>-</v>
      </c>
    </row>
    <row r="1489" spans="1:25" ht="15" customHeight="1" x14ac:dyDescent="0.35">
      <c r="A1489" s="24"/>
      <c r="B1489" s="38"/>
      <c r="C1489" s="38"/>
      <c r="D1489" s="38"/>
      <c r="E1489" s="37"/>
      <c r="F1489" s="38"/>
      <c r="G1489" s="198"/>
      <c r="H1489" s="198"/>
      <c r="I1489" s="39"/>
      <c r="J1489" s="38"/>
      <c r="K1489" s="198"/>
      <c r="L1489" s="38"/>
      <c r="M1489" s="38"/>
      <c r="N1489" s="38"/>
      <c r="O1489" s="38"/>
      <c r="P1489" s="40" t="str" cm="1">
        <f t="array" ref="P1489">IF(N1489="","",IFERROR(_xlfn.XLOOKUP(F1489&amp;"|"&amp;J1489&amp;"|"&amp;O1489,PRICES!$C$2:$C$659&amp;"|"&amp;PRICES!$B$2:$B$659&amp;"|"&amp;PRICES!$D$2:$D$659,PRICES!$E$2:$E$659),"Not Found"))</f>
        <v/>
      </c>
      <c r="Q1489" s="100" t="str">
        <f>IF(N1489=0,"",SUMIFS(PRICES!$G$2:$G$658,PRICES!$B$2:$B$658,'MAIN TABLE-1 AUTOMATED'!J1489,PRICES!$C$2:$C$658,'MAIN TABLE-1 AUTOMATED'!F1489,PRICES!$D$2:$D$658,'MAIN TABLE-1 AUTOMATED'!O1489))</f>
        <v/>
      </c>
      <c r="R1489" s="41" t="str">
        <f>IF(Table1[[#This Row],[QUANTITY]]=0,"",Table1[[#This Row],[UNIT PRICE]]*Table1[[#This Row],[QUANTITY]])</f>
        <v/>
      </c>
      <c r="S1489" s="89"/>
      <c r="T1489" s="38"/>
      <c r="U1489" s="43"/>
      <c r="V1489" s="42" t="str">
        <f>IF(Table1[[#This Row],[DATE]]=0,"",YEAR(E1489))</f>
        <v/>
      </c>
      <c r="W1489" s="40" t="str">
        <f t="shared" si="46"/>
        <v/>
      </c>
      <c r="X1489" s="40" t="str">
        <f t="shared" si="47"/>
        <v/>
      </c>
      <c r="Y1489" s="40" t="str">
        <f>TEXT(Table1[[#This Row],[YEAR]],"0000")&amp;"-"&amp;Table1[[#This Row],[MONTH]]</f>
        <v>-</v>
      </c>
    </row>
    <row r="1490" spans="1:25" ht="15" customHeight="1" x14ac:dyDescent="0.35">
      <c r="A1490" s="24"/>
      <c r="B1490" s="38"/>
      <c r="C1490" s="38"/>
      <c r="D1490" s="38"/>
      <c r="E1490" s="37"/>
      <c r="F1490" s="38"/>
      <c r="G1490" s="198"/>
      <c r="H1490" s="198"/>
      <c r="I1490" s="39"/>
      <c r="J1490" s="38"/>
      <c r="K1490" s="198"/>
      <c r="L1490" s="38"/>
      <c r="M1490" s="38"/>
      <c r="N1490" s="38"/>
      <c r="O1490" s="38"/>
      <c r="P1490" s="40" t="str" cm="1">
        <f t="array" ref="P1490">IF(N1490="","",IFERROR(_xlfn.XLOOKUP(F1490&amp;"|"&amp;J1490&amp;"|"&amp;O1490,PRICES!$C$2:$C$659&amp;"|"&amp;PRICES!$B$2:$B$659&amp;"|"&amp;PRICES!$D$2:$D$659,PRICES!$E$2:$E$659),"Not Found"))</f>
        <v/>
      </c>
      <c r="Q1490" s="100" t="str">
        <f>IF(N1490=0,"",SUMIFS(PRICES!$G$2:$G$658,PRICES!$B$2:$B$658,'MAIN TABLE-1 AUTOMATED'!J1490,PRICES!$C$2:$C$658,'MAIN TABLE-1 AUTOMATED'!F1490,PRICES!$D$2:$D$658,'MAIN TABLE-1 AUTOMATED'!O1490))</f>
        <v/>
      </c>
      <c r="R1490" s="41" t="str">
        <f>IF(Table1[[#This Row],[QUANTITY]]=0,"",Table1[[#This Row],[UNIT PRICE]]*Table1[[#This Row],[QUANTITY]])</f>
        <v/>
      </c>
      <c r="S1490" s="89"/>
      <c r="T1490" s="38"/>
      <c r="U1490" s="43"/>
      <c r="V1490" s="42" t="str">
        <f>IF(Table1[[#This Row],[DATE]]=0,"",YEAR(E1490))</f>
        <v/>
      </c>
      <c r="W1490" s="40" t="str">
        <f t="shared" si="46"/>
        <v/>
      </c>
      <c r="X1490" s="40" t="str">
        <f t="shared" si="47"/>
        <v/>
      </c>
      <c r="Y1490" s="40" t="str">
        <f>TEXT(Table1[[#This Row],[YEAR]],"0000")&amp;"-"&amp;Table1[[#This Row],[MONTH]]</f>
        <v>-</v>
      </c>
    </row>
    <row r="1491" spans="1:25" ht="15" customHeight="1" x14ac:dyDescent="0.35">
      <c r="A1491" s="24"/>
      <c r="B1491" s="38"/>
      <c r="C1491" s="38"/>
      <c r="D1491" s="38"/>
      <c r="E1491" s="37"/>
      <c r="F1491" s="38"/>
      <c r="G1491" s="198"/>
      <c r="H1491" s="198"/>
      <c r="I1491" s="39"/>
      <c r="J1491" s="38"/>
      <c r="K1491" s="198"/>
      <c r="L1491" s="38"/>
      <c r="M1491" s="38"/>
      <c r="N1491" s="38"/>
      <c r="O1491" s="38"/>
      <c r="P1491" s="40" t="str" cm="1">
        <f t="array" ref="P1491">IF(N1491="","",IFERROR(_xlfn.XLOOKUP(F1491&amp;"|"&amp;J1491&amp;"|"&amp;O1491,PRICES!$C$2:$C$659&amp;"|"&amp;PRICES!$B$2:$B$659&amp;"|"&amp;PRICES!$D$2:$D$659,PRICES!$E$2:$E$659),"Not Found"))</f>
        <v/>
      </c>
      <c r="Q1491" s="100" t="str">
        <f>IF(N1491=0,"",SUMIFS(PRICES!$G$2:$G$658,PRICES!$B$2:$B$658,'MAIN TABLE-1 AUTOMATED'!J1491,PRICES!$C$2:$C$658,'MAIN TABLE-1 AUTOMATED'!F1491,PRICES!$D$2:$D$658,'MAIN TABLE-1 AUTOMATED'!O1491))</f>
        <v/>
      </c>
      <c r="R1491" s="41" t="str">
        <f>IF(Table1[[#This Row],[QUANTITY]]=0,"",Table1[[#This Row],[UNIT PRICE]]*Table1[[#This Row],[QUANTITY]])</f>
        <v/>
      </c>
      <c r="S1491" s="89"/>
      <c r="T1491" s="38"/>
      <c r="U1491" s="43"/>
      <c r="V1491" s="42" t="str">
        <f>IF(Table1[[#This Row],[DATE]]=0,"",YEAR(E1491))</f>
        <v/>
      </c>
      <c r="W1491" s="40" t="str">
        <f t="shared" si="46"/>
        <v/>
      </c>
      <c r="X1491" s="40" t="str">
        <f t="shared" si="47"/>
        <v/>
      </c>
      <c r="Y1491" s="40" t="str">
        <f>TEXT(Table1[[#This Row],[YEAR]],"0000")&amp;"-"&amp;Table1[[#This Row],[MONTH]]</f>
        <v>-</v>
      </c>
    </row>
    <row r="1492" spans="1:25" ht="15" customHeight="1" x14ac:dyDescent="0.35">
      <c r="A1492" s="24"/>
      <c r="B1492" s="38"/>
      <c r="C1492" s="38"/>
      <c r="D1492" s="38"/>
      <c r="E1492" s="37"/>
      <c r="F1492" s="38"/>
      <c r="G1492" s="198"/>
      <c r="H1492" s="198"/>
      <c r="I1492" s="39"/>
      <c r="J1492" s="38"/>
      <c r="K1492" s="198"/>
      <c r="L1492" s="38"/>
      <c r="M1492" s="38"/>
      <c r="N1492" s="38"/>
      <c r="O1492" s="38"/>
      <c r="P1492" s="40" t="str" cm="1">
        <f t="array" ref="P1492">IF(N1492="","",IFERROR(_xlfn.XLOOKUP(F1492&amp;"|"&amp;J1492&amp;"|"&amp;O1492,PRICES!$C$2:$C$659&amp;"|"&amp;PRICES!$B$2:$B$659&amp;"|"&amp;PRICES!$D$2:$D$659,PRICES!$E$2:$E$659),"Not Found"))</f>
        <v/>
      </c>
      <c r="Q1492" s="100" t="str">
        <f>IF(N1492=0,"",SUMIFS(PRICES!$G$2:$G$658,PRICES!$B$2:$B$658,'MAIN TABLE-1 AUTOMATED'!J1492,PRICES!$C$2:$C$658,'MAIN TABLE-1 AUTOMATED'!F1492,PRICES!$D$2:$D$658,'MAIN TABLE-1 AUTOMATED'!O1492))</f>
        <v/>
      </c>
      <c r="R1492" s="41" t="str">
        <f>IF(Table1[[#This Row],[QUANTITY]]=0,"",Table1[[#This Row],[UNIT PRICE]]*Table1[[#This Row],[QUANTITY]])</f>
        <v/>
      </c>
      <c r="S1492" s="89"/>
      <c r="T1492" s="38"/>
      <c r="U1492" s="43"/>
      <c r="V1492" s="42" t="str">
        <f>IF(Table1[[#This Row],[DATE]]=0,"",YEAR(E1492))</f>
        <v/>
      </c>
      <c r="W1492" s="40" t="str">
        <f t="shared" si="46"/>
        <v/>
      </c>
      <c r="X1492" s="40" t="str">
        <f t="shared" si="47"/>
        <v/>
      </c>
      <c r="Y1492" s="40" t="str">
        <f>TEXT(Table1[[#This Row],[YEAR]],"0000")&amp;"-"&amp;Table1[[#This Row],[MONTH]]</f>
        <v>-</v>
      </c>
    </row>
    <row r="1493" spans="1:25" ht="15" customHeight="1" x14ac:dyDescent="0.35">
      <c r="A1493" s="24"/>
      <c r="B1493" s="38"/>
      <c r="C1493" s="38"/>
      <c r="D1493" s="38"/>
      <c r="E1493" s="37"/>
      <c r="F1493" s="38"/>
      <c r="G1493" s="198"/>
      <c r="H1493" s="198"/>
      <c r="I1493" s="39"/>
      <c r="J1493" s="38"/>
      <c r="K1493" s="198"/>
      <c r="L1493" s="38"/>
      <c r="M1493" s="38"/>
      <c r="N1493" s="38"/>
      <c r="O1493" s="38"/>
      <c r="P1493" s="40" t="str" cm="1">
        <f t="array" ref="P1493">IF(N1493="","",IFERROR(_xlfn.XLOOKUP(F1493&amp;"|"&amp;J1493&amp;"|"&amp;O1493,PRICES!$C$2:$C$659&amp;"|"&amp;PRICES!$B$2:$B$659&amp;"|"&amp;PRICES!$D$2:$D$659,PRICES!$E$2:$E$659),"Not Found"))</f>
        <v/>
      </c>
      <c r="Q1493" s="100" t="str">
        <f>IF(N1493=0,"",SUMIFS(PRICES!$G$2:$G$658,PRICES!$B$2:$B$658,'MAIN TABLE-1 AUTOMATED'!J1493,PRICES!$C$2:$C$658,'MAIN TABLE-1 AUTOMATED'!F1493,PRICES!$D$2:$D$658,'MAIN TABLE-1 AUTOMATED'!O1493))</f>
        <v/>
      </c>
      <c r="R1493" s="41" t="str">
        <f>IF(Table1[[#This Row],[QUANTITY]]=0,"",Table1[[#This Row],[UNIT PRICE]]*Table1[[#This Row],[QUANTITY]])</f>
        <v/>
      </c>
      <c r="S1493" s="89"/>
      <c r="T1493" s="38"/>
      <c r="U1493" s="43"/>
      <c r="V1493" s="42" t="str">
        <f>IF(Table1[[#This Row],[DATE]]=0,"",YEAR(E1493))</f>
        <v/>
      </c>
      <c r="W1493" s="40" t="str">
        <f t="shared" si="46"/>
        <v/>
      </c>
      <c r="X1493" s="40" t="str">
        <f t="shared" si="47"/>
        <v/>
      </c>
      <c r="Y1493" s="40" t="str">
        <f>TEXT(Table1[[#This Row],[YEAR]],"0000")&amp;"-"&amp;Table1[[#This Row],[MONTH]]</f>
        <v>-</v>
      </c>
    </row>
    <row r="1494" spans="1:25" ht="15" customHeight="1" x14ac:dyDescent="0.35">
      <c r="A1494" s="24"/>
      <c r="B1494" s="38"/>
      <c r="C1494" s="38"/>
      <c r="D1494" s="38"/>
      <c r="E1494" s="37"/>
      <c r="F1494" s="38"/>
      <c r="G1494" s="198"/>
      <c r="H1494" s="198"/>
      <c r="I1494" s="39"/>
      <c r="J1494" s="38"/>
      <c r="K1494" s="198"/>
      <c r="L1494" s="38"/>
      <c r="M1494" s="38"/>
      <c r="N1494" s="38"/>
      <c r="O1494" s="38"/>
      <c r="P1494" s="40" t="str" cm="1">
        <f t="array" ref="P1494">IF(N1494="","",IFERROR(_xlfn.XLOOKUP(F1494&amp;"|"&amp;J1494&amp;"|"&amp;O1494,PRICES!$C$2:$C$659&amp;"|"&amp;PRICES!$B$2:$B$659&amp;"|"&amp;PRICES!$D$2:$D$659,PRICES!$E$2:$E$659),"Not Found"))</f>
        <v/>
      </c>
      <c r="Q1494" s="100" t="str">
        <f>IF(N1494=0,"",SUMIFS(PRICES!$G$2:$G$658,PRICES!$B$2:$B$658,'MAIN TABLE-1 AUTOMATED'!J1494,PRICES!$C$2:$C$658,'MAIN TABLE-1 AUTOMATED'!F1494,PRICES!$D$2:$D$658,'MAIN TABLE-1 AUTOMATED'!O1494))</f>
        <v/>
      </c>
      <c r="R1494" s="41" t="str">
        <f>IF(Table1[[#This Row],[QUANTITY]]=0,"",Table1[[#This Row],[UNIT PRICE]]*Table1[[#This Row],[QUANTITY]])</f>
        <v/>
      </c>
      <c r="S1494" s="89"/>
      <c r="T1494" s="38"/>
      <c r="U1494" s="43"/>
      <c r="V1494" s="42" t="str">
        <f>IF(Table1[[#This Row],[DATE]]=0,"",YEAR(E1494))</f>
        <v/>
      </c>
      <c r="W1494" s="40" t="str">
        <f t="shared" si="46"/>
        <v/>
      </c>
      <c r="X1494" s="40" t="str">
        <f t="shared" si="47"/>
        <v/>
      </c>
      <c r="Y1494" s="40" t="str">
        <f>TEXT(Table1[[#This Row],[YEAR]],"0000")&amp;"-"&amp;Table1[[#This Row],[MONTH]]</f>
        <v>-</v>
      </c>
    </row>
    <row r="1495" spans="1:25" ht="15" customHeight="1" x14ac:dyDescent="0.35">
      <c r="A1495" s="24"/>
      <c r="B1495" s="38"/>
      <c r="C1495" s="38"/>
      <c r="D1495" s="38"/>
      <c r="E1495" s="37"/>
      <c r="F1495" s="38"/>
      <c r="G1495" s="198"/>
      <c r="H1495" s="198"/>
      <c r="I1495" s="39"/>
      <c r="J1495" s="38"/>
      <c r="K1495" s="198"/>
      <c r="L1495" s="38"/>
      <c r="M1495" s="38"/>
      <c r="N1495" s="38"/>
      <c r="O1495" s="38"/>
      <c r="P1495" s="40" t="str" cm="1">
        <f t="array" ref="P1495">IF(N1495="","",IFERROR(_xlfn.XLOOKUP(F1495&amp;"|"&amp;J1495&amp;"|"&amp;O1495,PRICES!$C$2:$C$659&amp;"|"&amp;PRICES!$B$2:$B$659&amp;"|"&amp;PRICES!$D$2:$D$659,PRICES!$E$2:$E$659),"Not Found"))</f>
        <v/>
      </c>
      <c r="Q1495" s="100" t="str">
        <f>IF(N1495=0,"",SUMIFS(PRICES!$G$2:$G$658,PRICES!$B$2:$B$658,'MAIN TABLE-1 AUTOMATED'!J1495,PRICES!$C$2:$C$658,'MAIN TABLE-1 AUTOMATED'!F1495,PRICES!$D$2:$D$658,'MAIN TABLE-1 AUTOMATED'!O1495))</f>
        <v/>
      </c>
      <c r="R1495" s="41" t="str">
        <f>IF(Table1[[#This Row],[QUANTITY]]=0,"",Table1[[#This Row],[UNIT PRICE]]*Table1[[#This Row],[QUANTITY]])</f>
        <v/>
      </c>
      <c r="S1495" s="89"/>
      <c r="T1495" s="38"/>
      <c r="U1495" s="43"/>
      <c r="V1495" s="42" t="str">
        <f>IF(Table1[[#This Row],[DATE]]=0,"",YEAR(E1495))</f>
        <v/>
      </c>
      <c r="W1495" s="40" t="str">
        <f t="shared" si="46"/>
        <v/>
      </c>
      <c r="X1495" s="40" t="str">
        <f t="shared" si="47"/>
        <v/>
      </c>
      <c r="Y1495" s="40" t="str">
        <f>TEXT(Table1[[#This Row],[YEAR]],"0000")&amp;"-"&amp;Table1[[#This Row],[MONTH]]</f>
        <v>-</v>
      </c>
    </row>
    <row r="1496" spans="1:25" ht="15" customHeight="1" x14ac:dyDescent="0.35">
      <c r="A1496" s="24"/>
      <c r="B1496" s="38"/>
      <c r="C1496" s="38"/>
      <c r="D1496" s="38"/>
      <c r="E1496" s="37"/>
      <c r="F1496" s="38"/>
      <c r="G1496" s="198"/>
      <c r="H1496" s="198"/>
      <c r="I1496" s="39"/>
      <c r="J1496" s="38"/>
      <c r="K1496" s="198"/>
      <c r="L1496" s="38"/>
      <c r="M1496" s="38"/>
      <c r="N1496" s="38"/>
      <c r="O1496" s="38"/>
      <c r="P1496" s="40" t="str" cm="1">
        <f t="array" ref="P1496">IF(N1496="","",IFERROR(_xlfn.XLOOKUP(F1496&amp;"|"&amp;J1496&amp;"|"&amp;O1496,PRICES!$C$2:$C$659&amp;"|"&amp;PRICES!$B$2:$B$659&amp;"|"&amp;PRICES!$D$2:$D$659,PRICES!$E$2:$E$659),"Not Found"))</f>
        <v/>
      </c>
      <c r="Q1496" s="100" t="str">
        <f>IF(N1496=0,"",SUMIFS(PRICES!$G$2:$G$658,PRICES!$B$2:$B$658,'MAIN TABLE-1 AUTOMATED'!J1496,PRICES!$C$2:$C$658,'MAIN TABLE-1 AUTOMATED'!F1496,PRICES!$D$2:$D$658,'MAIN TABLE-1 AUTOMATED'!O1496))</f>
        <v/>
      </c>
      <c r="R1496" s="41" t="str">
        <f>IF(Table1[[#This Row],[QUANTITY]]=0,"",Table1[[#This Row],[UNIT PRICE]]*Table1[[#This Row],[QUANTITY]])</f>
        <v/>
      </c>
      <c r="S1496" s="89"/>
      <c r="T1496" s="38"/>
      <c r="U1496" s="43"/>
      <c r="V1496" s="42" t="str">
        <f>IF(Table1[[#This Row],[DATE]]=0,"",YEAR(E1496))</f>
        <v/>
      </c>
      <c r="W1496" s="40" t="str">
        <f t="shared" si="46"/>
        <v/>
      </c>
      <c r="X1496" s="40" t="str">
        <f t="shared" si="47"/>
        <v/>
      </c>
      <c r="Y1496" s="40" t="str">
        <f>TEXT(Table1[[#This Row],[YEAR]],"0000")&amp;"-"&amp;Table1[[#This Row],[MONTH]]</f>
        <v>-</v>
      </c>
    </row>
    <row r="1497" spans="1:25" ht="15" customHeight="1" x14ac:dyDescent="0.35">
      <c r="A1497" s="24"/>
      <c r="B1497" s="38"/>
      <c r="C1497" s="38"/>
      <c r="D1497" s="38"/>
      <c r="E1497" s="37"/>
      <c r="F1497" s="38"/>
      <c r="G1497" s="198"/>
      <c r="H1497" s="198"/>
      <c r="I1497" s="39"/>
      <c r="J1497" s="38"/>
      <c r="K1497" s="198"/>
      <c r="L1497" s="38"/>
      <c r="M1497" s="38"/>
      <c r="N1497" s="38"/>
      <c r="O1497" s="38"/>
      <c r="P1497" s="40" t="str" cm="1">
        <f t="array" ref="P1497">IF(N1497="","",IFERROR(_xlfn.XLOOKUP(F1497&amp;"|"&amp;J1497&amp;"|"&amp;O1497,PRICES!$C$2:$C$659&amp;"|"&amp;PRICES!$B$2:$B$659&amp;"|"&amp;PRICES!$D$2:$D$659,PRICES!$E$2:$E$659),"Not Found"))</f>
        <v/>
      </c>
      <c r="Q1497" s="100" t="str">
        <f>IF(N1497=0,"",SUMIFS(PRICES!$G$2:$G$658,PRICES!$B$2:$B$658,'MAIN TABLE-1 AUTOMATED'!J1497,PRICES!$C$2:$C$658,'MAIN TABLE-1 AUTOMATED'!F1497,PRICES!$D$2:$D$658,'MAIN TABLE-1 AUTOMATED'!O1497))</f>
        <v/>
      </c>
      <c r="R1497" s="41" t="str">
        <f>IF(Table1[[#This Row],[QUANTITY]]=0,"",Table1[[#This Row],[UNIT PRICE]]*Table1[[#This Row],[QUANTITY]])</f>
        <v/>
      </c>
      <c r="S1497" s="89"/>
      <c r="T1497" s="38"/>
      <c r="U1497" s="43"/>
      <c r="V1497" s="42" t="str">
        <f>IF(Table1[[#This Row],[DATE]]=0,"",YEAR(E1497))</f>
        <v/>
      </c>
      <c r="W1497" s="40" t="str">
        <f t="shared" si="46"/>
        <v/>
      </c>
      <c r="X1497" s="40" t="str">
        <f t="shared" si="47"/>
        <v/>
      </c>
      <c r="Y1497" s="40" t="str">
        <f>TEXT(Table1[[#This Row],[YEAR]],"0000")&amp;"-"&amp;Table1[[#This Row],[MONTH]]</f>
        <v>-</v>
      </c>
    </row>
    <row r="1498" spans="1:25" ht="15" customHeight="1" x14ac:dyDescent="0.35">
      <c r="A1498" s="24"/>
      <c r="B1498" s="38"/>
      <c r="C1498" s="38"/>
      <c r="D1498" s="38"/>
      <c r="E1498" s="37"/>
      <c r="F1498" s="38"/>
      <c r="G1498" s="198"/>
      <c r="H1498" s="198"/>
      <c r="I1498" s="39"/>
      <c r="J1498" s="38"/>
      <c r="K1498" s="198"/>
      <c r="L1498" s="38"/>
      <c r="M1498" s="38"/>
      <c r="N1498" s="38"/>
      <c r="O1498" s="38"/>
      <c r="P1498" s="40" t="str" cm="1">
        <f t="array" ref="P1498">IF(N1498="","",IFERROR(_xlfn.XLOOKUP(F1498&amp;"|"&amp;J1498&amp;"|"&amp;O1498,PRICES!$C$2:$C$659&amp;"|"&amp;PRICES!$B$2:$B$659&amp;"|"&amp;PRICES!$D$2:$D$659,PRICES!$E$2:$E$659),"Not Found"))</f>
        <v/>
      </c>
      <c r="Q1498" s="100" t="str">
        <f>IF(N1498=0,"",SUMIFS(PRICES!$G$2:$G$658,PRICES!$B$2:$B$658,'MAIN TABLE-1 AUTOMATED'!J1498,PRICES!$C$2:$C$658,'MAIN TABLE-1 AUTOMATED'!F1498,PRICES!$D$2:$D$658,'MAIN TABLE-1 AUTOMATED'!O1498))</f>
        <v/>
      </c>
      <c r="R1498" s="41" t="str">
        <f>IF(Table1[[#This Row],[QUANTITY]]=0,"",Table1[[#This Row],[UNIT PRICE]]*Table1[[#This Row],[QUANTITY]])</f>
        <v/>
      </c>
      <c r="S1498" s="89"/>
      <c r="T1498" s="38"/>
      <c r="U1498" s="43"/>
      <c r="V1498" s="42" t="str">
        <f>IF(Table1[[#This Row],[DATE]]=0,"",YEAR(E1498))</f>
        <v/>
      </c>
      <c r="W1498" s="40" t="str">
        <f t="shared" si="46"/>
        <v/>
      </c>
      <c r="X1498" s="40" t="str">
        <f t="shared" si="47"/>
        <v/>
      </c>
      <c r="Y1498" s="40" t="str">
        <f>TEXT(Table1[[#This Row],[YEAR]],"0000")&amp;"-"&amp;Table1[[#This Row],[MONTH]]</f>
        <v>-</v>
      </c>
    </row>
    <row r="1499" spans="1:25" ht="15" customHeight="1" x14ac:dyDescent="0.35">
      <c r="A1499" s="24"/>
      <c r="B1499" s="38"/>
      <c r="C1499" s="38"/>
      <c r="D1499" s="38"/>
      <c r="E1499" s="37"/>
      <c r="F1499" s="38"/>
      <c r="G1499" s="198"/>
      <c r="H1499" s="198"/>
      <c r="I1499" s="39"/>
      <c r="J1499" s="38"/>
      <c r="K1499" s="198"/>
      <c r="L1499" s="38"/>
      <c r="M1499" s="38"/>
      <c r="N1499" s="38"/>
      <c r="O1499" s="38"/>
      <c r="P1499" s="40" t="str" cm="1">
        <f t="array" ref="P1499">IF(N1499="","",IFERROR(_xlfn.XLOOKUP(F1499&amp;"|"&amp;J1499&amp;"|"&amp;O1499,PRICES!$C$2:$C$659&amp;"|"&amp;PRICES!$B$2:$B$659&amp;"|"&amp;PRICES!$D$2:$D$659,PRICES!$E$2:$E$659),"Not Found"))</f>
        <v/>
      </c>
      <c r="Q1499" s="100" t="str">
        <f>IF(N1499=0,"",SUMIFS(PRICES!$G$2:$G$658,PRICES!$B$2:$B$658,'MAIN TABLE-1 AUTOMATED'!J1499,PRICES!$C$2:$C$658,'MAIN TABLE-1 AUTOMATED'!F1499,PRICES!$D$2:$D$658,'MAIN TABLE-1 AUTOMATED'!O1499))</f>
        <v/>
      </c>
      <c r="R1499" s="41" t="str">
        <f>IF(Table1[[#This Row],[QUANTITY]]=0,"",Table1[[#This Row],[UNIT PRICE]]*Table1[[#This Row],[QUANTITY]])</f>
        <v/>
      </c>
      <c r="S1499" s="89"/>
      <c r="T1499" s="38"/>
      <c r="U1499" s="43"/>
      <c r="V1499" s="42" t="str">
        <f>IF(Table1[[#This Row],[DATE]]=0,"",YEAR(E1499))</f>
        <v/>
      </c>
      <c r="W1499" s="40" t="str">
        <f t="shared" si="46"/>
        <v/>
      </c>
      <c r="X1499" s="40" t="str">
        <f t="shared" si="47"/>
        <v/>
      </c>
      <c r="Y1499" s="40" t="str">
        <f>TEXT(Table1[[#This Row],[YEAR]],"0000")&amp;"-"&amp;Table1[[#This Row],[MONTH]]</f>
        <v>-</v>
      </c>
    </row>
    <row r="1500" spans="1:25" ht="15" customHeight="1" x14ac:dyDescent="0.35">
      <c r="A1500" s="24"/>
      <c r="B1500" s="38"/>
      <c r="C1500" s="38"/>
      <c r="D1500" s="38"/>
      <c r="E1500" s="37"/>
      <c r="F1500" s="38"/>
      <c r="G1500" s="198"/>
      <c r="H1500" s="198"/>
      <c r="I1500" s="39"/>
      <c r="J1500" s="38"/>
      <c r="K1500" s="198"/>
      <c r="L1500" s="38"/>
      <c r="M1500" s="38"/>
      <c r="N1500" s="38"/>
      <c r="O1500" s="38"/>
      <c r="P1500" s="40" t="str" cm="1">
        <f t="array" ref="P1500">IF(N1500="","",IFERROR(_xlfn.XLOOKUP(F1500&amp;"|"&amp;J1500&amp;"|"&amp;O1500,PRICES!$C$2:$C$659&amp;"|"&amp;PRICES!$B$2:$B$659&amp;"|"&amp;PRICES!$D$2:$D$659,PRICES!$E$2:$E$659),"Not Found"))</f>
        <v/>
      </c>
      <c r="Q1500" s="100" t="str">
        <f>IF(N1500=0,"",SUMIFS(PRICES!$G$2:$G$658,PRICES!$B$2:$B$658,'MAIN TABLE-1 AUTOMATED'!J1500,PRICES!$C$2:$C$658,'MAIN TABLE-1 AUTOMATED'!F1500,PRICES!$D$2:$D$658,'MAIN TABLE-1 AUTOMATED'!O1500))</f>
        <v/>
      </c>
      <c r="R1500" s="41" t="str">
        <f>IF(Table1[[#This Row],[QUANTITY]]=0,"",Table1[[#This Row],[UNIT PRICE]]*Table1[[#This Row],[QUANTITY]])</f>
        <v/>
      </c>
      <c r="S1500" s="89"/>
      <c r="T1500" s="38"/>
      <c r="U1500" s="43"/>
      <c r="V1500" s="42" t="str">
        <f>IF(Table1[[#This Row],[DATE]]=0,"",YEAR(E1500))</f>
        <v/>
      </c>
      <c r="W1500" s="40" t="str">
        <f t="shared" si="46"/>
        <v/>
      </c>
      <c r="X1500" s="40" t="str">
        <f t="shared" si="47"/>
        <v/>
      </c>
      <c r="Y1500" s="40" t="str">
        <f>TEXT(Table1[[#This Row],[YEAR]],"0000")&amp;"-"&amp;Table1[[#This Row],[MONTH]]</f>
        <v>-</v>
      </c>
    </row>
    <row r="1501" spans="1:25" ht="15" customHeight="1" x14ac:dyDescent="0.35">
      <c r="A1501" s="24"/>
      <c r="B1501" s="38"/>
      <c r="C1501" s="38"/>
      <c r="D1501" s="38"/>
      <c r="E1501" s="37"/>
      <c r="F1501" s="38"/>
      <c r="G1501" s="198"/>
      <c r="H1501" s="198"/>
      <c r="I1501" s="39"/>
      <c r="J1501" s="38"/>
      <c r="K1501" s="198"/>
      <c r="L1501" s="38"/>
      <c r="M1501" s="38"/>
      <c r="N1501" s="38"/>
      <c r="O1501" s="38"/>
      <c r="P1501" s="40" t="str" cm="1">
        <f t="array" ref="P1501">IF(N1501="","",IFERROR(_xlfn.XLOOKUP(F1501&amp;"|"&amp;J1501&amp;"|"&amp;O1501,PRICES!$C$2:$C$659&amp;"|"&amp;PRICES!$B$2:$B$659&amp;"|"&amp;PRICES!$D$2:$D$659,PRICES!$E$2:$E$659),"Not Found"))</f>
        <v/>
      </c>
      <c r="Q1501" s="100" t="str">
        <f>IF(N1501=0,"",SUMIFS(PRICES!$G$2:$G$658,PRICES!$B$2:$B$658,'MAIN TABLE-1 AUTOMATED'!J1501,PRICES!$C$2:$C$658,'MAIN TABLE-1 AUTOMATED'!F1501,PRICES!$D$2:$D$658,'MAIN TABLE-1 AUTOMATED'!O1501))</f>
        <v/>
      </c>
      <c r="R1501" s="41" t="str">
        <f>IF(Table1[[#This Row],[QUANTITY]]=0,"",Table1[[#This Row],[UNIT PRICE]]*Table1[[#This Row],[QUANTITY]])</f>
        <v/>
      </c>
      <c r="S1501" s="89"/>
      <c r="T1501" s="38"/>
      <c r="U1501" s="43"/>
      <c r="V1501" s="42" t="str">
        <f>IF(Table1[[#This Row],[DATE]]=0,"",YEAR(E1501))</f>
        <v/>
      </c>
      <c r="W1501" s="40" t="str">
        <f t="shared" si="46"/>
        <v/>
      </c>
      <c r="X1501" s="40" t="str">
        <f t="shared" si="47"/>
        <v/>
      </c>
      <c r="Y1501" s="40" t="str">
        <f>TEXT(Table1[[#This Row],[YEAR]],"0000")&amp;"-"&amp;Table1[[#This Row],[MONTH]]</f>
        <v>-</v>
      </c>
    </row>
    <row r="1502" spans="1:25" ht="15" customHeight="1" x14ac:dyDescent="0.35">
      <c r="A1502" s="24"/>
      <c r="B1502" s="38"/>
      <c r="C1502" s="38"/>
      <c r="D1502" s="38"/>
      <c r="E1502" s="37"/>
      <c r="F1502" s="38"/>
      <c r="G1502" s="198"/>
      <c r="H1502" s="198"/>
      <c r="I1502" s="39"/>
      <c r="J1502" s="38"/>
      <c r="K1502" s="198"/>
      <c r="L1502" s="38"/>
      <c r="M1502" s="38"/>
      <c r="N1502" s="38"/>
      <c r="O1502" s="38"/>
      <c r="P1502" s="40" t="str" cm="1">
        <f t="array" ref="P1502">IF(N1502="","",IFERROR(_xlfn.XLOOKUP(F1502&amp;"|"&amp;J1502&amp;"|"&amp;O1502,PRICES!$C$2:$C$659&amp;"|"&amp;PRICES!$B$2:$B$659&amp;"|"&amp;PRICES!$D$2:$D$659,PRICES!$E$2:$E$659),"Not Found"))</f>
        <v/>
      </c>
      <c r="Q1502" s="100" t="str">
        <f>IF(N1502=0,"",SUMIFS(PRICES!$G$2:$G$658,PRICES!$B$2:$B$658,'MAIN TABLE-1 AUTOMATED'!J1502,PRICES!$C$2:$C$658,'MAIN TABLE-1 AUTOMATED'!F1502,PRICES!$D$2:$D$658,'MAIN TABLE-1 AUTOMATED'!O1502))</f>
        <v/>
      </c>
      <c r="R1502" s="41" t="str">
        <f>IF(Table1[[#This Row],[QUANTITY]]=0,"",Table1[[#This Row],[UNIT PRICE]]*Table1[[#This Row],[QUANTITY]])</f>
        <v/>
      </c>
      <c r="S1502" s="89"/>
      <c r="T1502" s="38"/>
      <c r="U1502" s="43"/>
      <c r="V1502" s="42" t="str">
        <f>IF(Table1[[#This Row],[DATE]]=0,"",YEAR(E1502))</f>
        <v/>
      </c>
      <c r="W1502" s="40" t="str">
        <f t="shared" si="46"/>
        <v/>
      </c>
      <c r="X1502" s="40" t="str">
        <f t="shared" si="47"/>
        <v/>
      </c>
      <c r="Y1502" s="40" t="str">
        <f>TEXT(Table1[[#This Row],[YEAR]],"0000")&amp;"-"&amp;Table1[[#This Row],[MONTH]]</f>
        <v>-</v>
      </c>
    </row>
    <row r="1503" spans="1:25" ht="15" customHeight="1" x14ac:dyDescent="0.35">
      <c r="A1503" s="24"/>
      <c r="B1503" s="38"/>
      <c r="C1503" s="38"/>
      <c r="D1503" s="38"/>
      <c r="E1503" s="37"/>
      <c r="F1503" s="38"/>
      <c r="G1503" s="198"/>
      <c r="H1503" s="198"/>
      <c r="I1503" s="39"/>
      <c r="J1503" s="38"/>
      <c r="K1503" s="198"/>
      <c r="L1503" s="38"/>
      <c r="M1503" s="38"/>
      <c r="N1503" s="38"/>
      <c r="O1503" s="38"/>
      <c r="P1503" s="40" t="str" cm="1">
        <f t="array" ref="P1503">IF(N1503="","",IFERROR(_xlfn.XLOOKUP(F1503&amp;"|"&amp;J1503&amp;"|"&amp;O1503,PRICES!$C$2:$C$659&amp;"|"&amp;PRICES!$B$2:$B$659&amp;"|"&amp;PRICES!$D$2:$D$659,PRICES!$E$2:$E$659),"Not Found"))</f>
        <v/>
      </c>
      <c r="Q1503" s="100" t="str">
        <f>IF(N1503=0,"",SUMIFS(PRICES!$G$2:$G$658,PRICES!$B$2:$B$658,'MAIN TABLE-1 AUTOMATED'!J1503,PRICES!$C$2:$C$658,'MAIN TABLE-1 AUTOMATED'!F1503,PRICES!$D$2:$D$658,'MAIN TABLE-1 AUTOMATED'!O1503))</f>
        <v/>
      </c>
      <c r="R1503" s="41" t="str">
        <f>IF(Table1[[#This Row],[QUANTITY]]=0,"",Table1[[#This Row],[UNIT PRICE]]*Table1[[#This Row],[QUANTITY]])</f>
        <v/>
      </c>
      <c r="S1503" s="89"/>
      <c r="T1503" s="38"/>
      <c r="U1503" s="43"/>
      <c r="V1503" s="42" t="str">
        <f>IF(Table1[[#This Row],[DATE]]=0,"",YEAR(E1503))</f>
        <v/>
      </c>
      <c r="W1503" s="40" t="str">
        <f t="shared" ref="W1503:W1566" si="48">IF(E1503=0,"",MONTH(E1503))</f>
        <v/>
      </c>
      <c r="X1503" s="40" t="str">
        <f t="shared" ref="X1503:X1566" si="49">IF(E1503=0,"",WEEKNUM(E1503))</f>
        <v/>
      </c>
      <c r="Y1503" s="40" t="str">
        <f>TEXT(Table1[[#This Row],[YEAR]],"0000")&amp;"-"&amp;Table1[[#This Row],[MONTH]]</f>
        <v>-</v>
      </c>
    </row>
    <row r="1504" spans="1:25" ht="15" customHeight="1" x14ac:dyDescent="0.35">
      <c r="A1504" s="24"/>
      <c r="B1504" s="38"/>
      <c r="C1504" s="38"/>
      <c r="D1504" s="38"/>
      <c r="E1504" s="37"/>
      <c r="F1504" s="38"/>
      <c r="G1504" s="198"/>
      <c r="H1504" s="198"/>
      <c r="I1504" s="39"/>
      <c r="J1504" s="38"/>
      <c r="K1504" s="198"/>
      <c r="L1504" s="38"/>
      <c r="M1504" s="38"/>
      <c r="N1504" s="38"/>
      <c r="O1504" s="38"/>
      <c r="P1504" s="40" t="str" cm="1">
        <f t="array" ref="P1504">IF(N1504="","",IFERROR(_xlfn.XLOOKUP(F1504&amp;"|"&amp;J1504&amp;"|"&amp;O1504,PRICES!$C$2:$C$659&amp;"|"&amp;PRICES!$B$2:$B$659&amp;"|"&amp;PRICES!$D$2:$D$659,PRICES!$E$2:$E$659),"Not Found"))</f>
        <v/>
      </c>
      <c r="Q1504" s="100" t="str">
        <f>IF(N1504=0,"",SUMIFS(PRICES!$G$2:$G$658,PRICES!$B$2:$B$658,'MAIN TABLE-1 AUTOMATED'!J1504,PRICES!$C$2:$C$658,'MAIN TABLE-1 AUTOMATED'!F1504,PRICES!$D$2:$D$658,'MAIN TABLE-1 AUTOMATED'!O1504))</f>
        <v/>
      </c>
      <c r="R1504" s="41" t="str">
        <f>IF(Table1[[#This Row],[QUANTITY]]=0,"",Table1[[#This Row],[UNIT PRICE]]*Table1[[#This Row],[QUANTITY]])</f>
        <v/>
      </c>
      <c r="S1504" s="89"/>
      <c r="T1504" s="38"/>
      <c r="U1504" s="43"/>
      <c r="V1504" s="42" t="str">
        <f>IF(Table1[[#This Row],[DATE]]=0,"",YEAR(E1504))</f>
        <v/>
      </c>
      <c r="W1504" s="40" t="str">
        <f t="shared" si="48"/>
        <v/>
      </c>
      <c r="X1504" s="40" t="str">
        <f t="shared" si="49"/>
        <v/>
      </c>
      <c r="Y1504" s="40" t="str">
        <f>TEXT(Table1[[#This Row],[YEAR]],"0000")&amp;"-"&amp;Table1[[#This Row],[MONTH]]</f>
        <v>-</v>
      </c>
    </row>
    <row r="1505" spans="1:25" ht="15" customHeight="1" x14ac:dyDescent="0.35">
      <c r="A1505" s="24"/>
      <c r="B1505" s="38"/>
      <c r="C1505" s="38"/>
      <c r="D1505" s="38"/>
      <c r="E1505" s="37"/>
      <c r="F1505" s="38"/>
      <c r="G1505" s="198"/>
      <c r="H1505" s="198"/>
      <c r="I1505" s="39"/>
      <c r="J1505" s="38"/>
      <c r="K1505" s="198"/>
      <c r="L1505" s="38"/>
      <c r="M1505" s="38"/>
      <c r="N1505" s="38"/>
      <c r="O1505" s="38"/>
      <c r="P1505" s="40" t="str" cm="1">
        <f t="array" ref="P1505">IF(N1505="","",IFERROR(_xlfn.XLOOKUP(F1505&amp;"|"&amp;J1505&amp;"|"&amp;O1505,PRICES!$C$2:$C$659&amp;"|"&amp;PRICES!$B$2:$B$659&amp;"|"&amp;PRICES!$D$2:$D$659,PRICES!$E$2:$E$659),"Not Found"))</f>
        <v/>
      </c>
      <c r="Q1505" s="100" t="str">
        <f>IF(N1505=0,"",SUMIFS(PRICES!$G$2:$G$658,PRICES!$B$2:$B$658,'MAIN TABLE-1 AUTOMATED'!J1505,PRICES!$C$2:$C$658,'MAIN TABLE-1 AUTOMATED'!F1505,PRICES!$D$2:$D$658,'MAIN TABLE-1 AUTOMATED'!O1505))</f>
        <v/>
      </c>
      <c r="R1505" s="41" t="str">
        <f>IF(Table1[[#This Row],[QUANTITY]]=0,"",Table1[[#This Row],[UNIT PRICE]]*Table1[[#This Row],[QUANTITY]])</f>
        <v/>
      </c>
      <c r="S1505" s="89"/>
      <c r="T1505" s="38"/>
      <c r="U1505" s="43"/>
      <c r="V1505" s="42" t="str">
        <f>IF(Table1[[#This Row],[DATE]]=0,"",YEAR(E1505))</f>
        <v/>
      </c>
      <c r="W1505" s="40" t="str">
        <f t="shared" si="48"/>
        <v/>
      </c>
      <c r="X1505" s="40" t="str">
        <f t="shared" si="49"/>
        <v/>
      </c>
      <c r="Y1505" s="40" t="str">
        <f>TEXT(Table1[[#This Row],[YEAR]],"0000")&amp;"-"&amp;Table1[[#This Row],[MONTH]]</f>
        <v>-</v>
      </c>
    </row>
    <row r="1506" spans="1:25" ht="15" customHeight="1" x14ac:dyDescent="0.35">
      <c r="A1506" s="24"/>
      <c r="B1506" s="38"/>
      <c r="C1506" s="38"/>
      <c r="D1506" s="38"/>
      <c r="E1506" s="37"/>
      <c r="F1506" s="38"/>
      <c r="G1506" s="198"/>
      <c r="H1506" s="198"/>
      <c r="I1506" s="39"/>
      <c r="J1506" s="38"/>
      <c r="K1506" s="198"/>
      <c r="L1506" s="38"/>
      <c r="M1506" s="38"/>
      <c r="N1506" s="38"/>
      <c r="O1506" s="38"/>
      <c r="P1506" s="40" t="str" cm="1">
        <f t="array" ref="P1506">IF(N1506="","",IFERROR(_xlfn.XLOOKUP(F1506&amp;"|"&amp;J1506&amp;"|"&amp;O1506,PRICES!$C$2:$C$659&amp;"|"&amp;PRICES!$B$2:$B$659&amp;"|"&amp;PRICES!$D$2:$D$659,PRICES!$E$2:$E$659),"Not Found"))</f>
        <v/>
      </c>
      <c r="Q1506" s="100" t="str">
        <f>IF(N1506=0,"",SUMIFS(PRICES!$G$2:$G$658,PRICES!$B$2:$B$658,'MAIN TABLE-1 AUTOMATED'!J1506,PRICES!$C$2:$C$658,'MAIN TABLE-1 AUTOMATED'!F1506,PRICES!$D$2:$D$658,'MAIN TABLE-1 AUTOMATED'!O1506))</f>
        <v/>
      </c>
      <c r="R1506" s="41" t="str">
        <f>IF(Table1[[#This Row],[QUANTITY]]=0,"",Table1[[#This Row],[UNIT PRICE]]*Table1[[#This Row],[QUANTITY]])</f>
        <v/>
      </c>
      <c r="S1506" s="89"/>
      <c r="T1506" s="38"/>
      <c r="U1506" s="43"/>
      <c r="V1506" s="42" t="str">
        <f>IF(Table1[[#This Row],[DATE]]=0,"",YEAR(E1506))</f>
        <v/>
      </c>
      <c r="W1506" s="40" t="str">
        <f t="shared" si="48"/>
        <v/>
      </c>
      <c r="X1506" s="40" t="str">
        <f t="shared" si="49"/>
        <v/>
      </c>
      <c r="Y1506" s="40" t="str">
        <f>TEXT(Table1[[#This Row],[YEAR]],"0000")&amp;"-"&amp;Table1[[#This Row],[MONTH]]</f>
        <v>-</v>
      </c>
    </row>
    <row r="1507" spans="1:25" ht="15" customHeight="1" x14ac:dyDescent="0.35">
      <c r="A1507" s="24"/>
      <c r="B1507" s="38"/>
      <c r="C1507" s="38"/>
      <c r="D1507" s="38"/>
      <c r="E1507" s="37"/>
      <c r="F1507" s="38"/>
      <c r="G1507" s="198"/>
      <c r="H1507" s="198"/>
      <c r="I1507" s="39"/>
      <c r="J1507" s="38"/>
      <c r="K1507" s="198"/>
      <c r="L1507" s="38"/>
      <c r="M1507" s="38"/>
      <c r="N1507" s="38"/>
      <c r="O1507" s="38"/>
      <c r="P1507" s="40" t="str" cm="1">
        <f t="array" ref="P1507">IF(N1507="","",IFERROR(_xlfn.XLOOKUP(F1507&amp;"|"&amp;J1507&amp;"|"&amp;O1507,PRICES!$C$2:$C$659&amp;"|"&amp;PRICES!$B$2:$B$659&amp;"|"&amp;PRICES!$D$2:$D$659,PRICES!$E$2:$E$659),"Not Found"))</f>
        <v/>
      </c>
      <c r="Q1507" s="100" t="str">
        <f>IF(N1507=0,"",SUMIFS(PRICES!$G$2:$G$658,PRICES!$B$2:$B$658,'MAIN TABLE-1 AUTOMATED'!J1507,PRICES!$C$2:$C$658,'MAIN TABLE-1 AUTOMATED'!F1507,PRICES!$D$2:$D$658,'MAIN TABLE-1 AUTOMATED'!O1507))</f>
        <v/>
      </c>
      <c r="R1507" s="41" t="str">
        <f>IF(Table1[[#This Row],[QUANTITY]]=0,"",Table1[[#This Row],[UNIT PRICE]]*Table1[[#This Row],[QUANTITY]])</f>
        <v/>
      </c>
      <c r="S1507" s="89"/>
      <c r="T1507" s="38"/>
      <c r="U1507" s="43"/>
      <c r="V1507" s="42" t="str">
        <f>IF(Table1[[#This Row],[DATE]]=0,"",YEAR(E1507))</f>
        <v/>
      </c>
      <c r="W1507" s="40" t="str">
        <f t="shared" si="48"/>
        <v/>
      </c>
      <c r="X1507" s="40" t="str">
        <f t="shared" si="49"/>
        <v/>
      </c>
      <c r="Y1507" s="40" t="str">
        <f>TEXT(Table1[[#This Row],[YEAR]],"0000")&amp;"-"&amp;Table1[[#This Row],[MONTH]]</f>
        <v>-</v>
      </c>
    </row>
    <row r="1508" spans="1:25" ht="15" customHeight="1" x14ac:dyDescent="0.35">
      <c r="A1508" s="24"/>
      <c r="B1508" s="38"/>
      <c r="C1508" s="38"/>
      <c r="D1508" s="38"/>
      <c r="E1508" s="37"/>
      <c r="F1508" s="38"/>
      <c r="G1508" s="198"/>
      <c r="H1508" s="198"/>
      <c r="I1508" s="39"/>
      <c r="J1508" s="38"/>
      <c r="K1508" s="198"/>
      <c r="L1508" s="38"/>
      <c r="M1508" s="38"/>
      <c r="N1508" s="38"/>
      <c r="O1508" s="38"/>
      <c r="P1508" s="40" t="str" cm="1">
        <f t="array" ref="P1508">IF(N1508="","",IFERROR(_xlfn.XLOOKUP(F1508&amp;"|"&amp;J1508&amp;"|"&amp;O1508,PRICES!$C$2:$C$659&amp;"|"&amp;PRICES!$B$2:$B$659&amp;"|"&amp;PRICES!$D$2:$D$659,PRICES!$E$2:$E$659),"Not Found"))</f>
        <v/>
      </c>
      <c r="Q1508" s="100" t="str">
        <f>IF(N1508=0,"",SUMIFS(PRICES!$G$2:$G$658,PRICES!$B$2:$B$658,'MAIN TABLE-1 AUTOMATED'!J1508,PRICES!$C$2:$C$658,'MAIN TABLE-1 AUTOMATED'!F1508,PRICES!$D$2:$D$658,'MAIN TABLE-1 AUTOMATED'!O1508))</f>
        <v/>
      </c>
      <c r="R1508" s="41" t="str">
        <f>IF(Table1[[#This Row],[QUANTITY]]=0,"",Table1[[#This Row],[UNIT PRICE]]*Table1[[#This Row],[QUANTITY]])</f>
        <v/>
      </c>
      <c r="S1508" s="89"/>
      <c r="T1508" s="38"/>
      <c r="U1508" s="43"/>
      <c r="V1508" s="42" t="str">
        <f>IF(Table1[[#This Row],[DATE]]=0,"",YEAR(E1508))</f>
        <v/>
      </c>
      <c r="W1508" s="40" t="str">
        <f t="shared" si="48"/>
        <v/>
      </c>
      <c r="X1508" s="40" t="str">
        <f t="shared" si="49"/>
        <v/>
      </c>
      <c r="Y1508" s="40" t="str">
        <f>TEXT(Table1[[#This Row],[YEAR]],"0000")&amp;"-"&amp;Table1[[#This Row],[MONTH]]</f>
        <v>-</v>
      </c>
    </row>
    <row r="1509" spans="1:25" ht="15" customHeight="1" x14ac:dyDescent="0.35">
      <c r="A1509" s="24"/>
      <c r="B1509" s="38"/>
      <c r="C1509" s="38"/>
      <c r="D1509" s="38"/>
      <c r="E1509" s="37"/>
      <c r="F1509" s="38"/>
      <c r="G1509" s="198"/>
      <c r="H1509" s="198"/>
      <c r="I1509" s="39"/>
      <c r="J1509" s="38"/>
      <c r="K1509" s="198"/>
      <c r="L1509" s="38"/>
      <c r="M1509" s="38"/>
      <c r="N1509" s="38"/>
      <c r="O1509" s="38"/>
      <c r="P1509" s="40" t="str" cm="1">
        <f t="array" ref="P1509">IF(N1509="","",IFERROR(_xlfn.XLOOKUP(F1509&amp;"|"&amp;J1509&amp;"|"&amp;O1509,PRICES!$C$2:$C$659&amp;"|"&amp;PRICES!$B$2:$B$659&amp;"|"&amp;PRICES!$D$2:$D$659,PRICES!$E$2:$E$659),"Not Found"))</f>
        <v/>
      </c>
      <c r="Q1509" s="100" t="str">
        <f>IF(N1509=0,"",SUMIFS(PRICES!$G$2:$G$658,PRICES!$B$2:$B$658,'MAIN TABLE-1 AUTOMATED'!J1509,PRICES!$C$2:$C$658,'MAIN TABLE-1 AUTOMATED'!F1509,PRICES!$D$2:$D$658,'MAIN TABLE-1 AUTOMATED'!O1509))</f>
        <v/>
      </c>
      <c r="R1509" s="41" t="str">
        <f>IF(Table1[[#This Row],[QUANTITY]]=0,"",Table1[[#This Row],[UNIT PRICE]]*Table1[[#This Row],[QUANTITY]])</f>
        <v/>
      </c>
      <c r="S1509" s="89"/>
      <c r="T1509" s="38"/>
      <c r="U1509" s="43"/>
      <c r="V1509" s="42" t="str">
        <f>IF(Table1[[#This Row],[DATE]]=0,"",YEAR(E1509))</f>
        <v/>
      </c>
      <c r="W1509" s="40" t="str">
        <f t="shared" si="48"/>
        <v/>
      </c>
      <c r="X1509" s="40" t="str">
        <f t="shared" si="49"/>
        <v/>
      </c>
      <c r="Y1509" s="40" t="str">
        <f>TEXT(Table1[[#This Row],[YEAR]],"0000")&amp;"-"&amp;Table1[[#This Row],[MONTH]]</f>
        <v>-</v>
      </c>
    </row>
    <row r="1510" spans="1:25" ht="15" customHeight="1" x14ac:dyDescent="0.35">
      <c r="A1510" s="24"/>
      <c r="B1510" s="38"/>
      <c r="C1510" s="38"/>
      <c r="D1510" s="38"/>
      <c r="E1510" s="37"/>
      <c r="F1510" s="38"/>
      <c r="G1510" s="198"/>
      <c r="H1510" s="198"/>
      <c r="I1510" s="39"/>
      <c r="J1510" s="38"/>
      <c r="K1510" s="198"/>
      <c r="L1510" s="38"/>
      <c r="M1510" s="38"/>
      <c r="N1510" s="38"/>
      <c r="O1510" s="38"/>
      <c r="P1510" s="40" t="str" cm="1">
        <f t="array" ref="P1510">IF(N1510="","",IFERROR(_xlfn.XLOOKUP(F1510&amp;"|"&amp;J1510&amp;"|"&amp;O1510,PRICES!$C$2:$C$659&amp;"|"&amp;PRICES!$B$2:$B$659&amp;"|"&amp;PRICES!$D$2:$D$659,PRICES!$E$2:$E$659),"Not Found"))</f>
        <v/>
      </c>
      <c r="Q1510" s="100" t="str">
        <f>IF(N1510=0,"",SUMIFS(PRICES!$G$2:$G$658,PRICES!$B$2:$B$658,'MAIN TABLE-1 AUTOMATED'!J1510,PRICES!$C$2:$C$658,'MAIN TABLE-1 AUTOMATED'!F1510,PRICES!$D$2:$D$658,'MAIN TABLE-1 AUTOMATED'!O1510))</f>
        <v/>
      </c>
      <c r="R1510" s="41" t="str">
        <f>IF(Table1[[#This Row],[QUANTITY]]=0,"",Table1[[#This Row],[UNIT PRICE]]*Table1[[#This Row],[QUANTITY]])</f>
        <v/>
      </c>
      <c r="S1510" s="89"/>
      <c r="T1510" s="38"/>
      <c r="U1510" s="43"/>
      <c r="V1510" s="42" t="str">
        <f>IF(Table1[[#This Row],[DATE]]=0,"",YEAR(E1510))</f>
        <v/>
      </c>
      <c r="W1510" s="40" t="str">
        <f t="shared" si="48"/>
        <v/>
      </c>
      <c r="X1510" s="40" t="str">
        <f t="shared" si="49"/>
        <v/>
      </c>
      <c r="Y1510" s="40" t="str">
        <f>TEXT(Table1[[#This Row],[YEAR]],"0000")&amp;"-"&amp;Table1[[#This Row],[MONTH]]</f>
        <v>-</v>
      </c>
    </row>
    <row r="1511" spans="1:25" ht="15" customHeight="1" x14ac:dyDescent="0.35">
      <c r="A1511" s="24"/>
      <c r="B1511" s="38"/>
      <c r="C1511" s="38"/>
      <c r="D1511" s="38"/>
      <c r="E1511" s="37"/>
      <c r="F1511" s="38"/>
      <c r="G1511" s="198"/>
      <c r="H1511" s="198"/>
      <c r="I1511" s="39"/>
      <c r="J1511" s="38"/>
      <c r="K1511" s="198"/>
      <c r="L1511" s="38"/>
      <c r="M1511" s="38"/>
      <c r="N1511" s="38"/>
      <c r="O1511" s="38"/>
      <c r="P1511" s="40" t="str" cm="1">
        <f t="array" ref="P1511">IF(N1511="","",IFERROR(_xlfn.XLOOKUP(F1511&amp;"|"&amp;J1511&amp;"|"&amp;O1511,PRICES!$C$2:$C$659&amp;"|"&amp;PRICES!$B$2:$B$659&amp;"|"&amp;PRICES!$D$2:$D$659,PRICES!$E$2:$E$659),"Not Found"))</f>
        <v/>
      </c>
      <c r="Q1511" s="100" t="str">
        <f>IF(N1511=0,"",SUMIFS(PRICES!$G$2:$G$658,PRICES!$B$2:$B$658,'MAIN TABLE-1 AUTOMATED'!J1511,PRICES!$C$2:$C$658,'MAIN TABLE-1 AUTOMATED'!F1511,PRICES!$D$2:$D$658,'MAIN TABLE-1 AUTOMATED'!O1511))</f>
        <v/>
      </c>
      <c r="R1511" s="41" t="str">
        <f>IF(Table1[[#This Row],[QUANTITY]]=0,"",Table1[[#This Row],[UNIT PRICE]]*Table1[[#This Row],[QUANTITY]])</f>
        <v/>
      </c>
      <c r="S1511" s="89"/>
      <c r="T1511" s="38"/>
      <c r="U1511" s="43"/>
      <c r="V1511" s="42" t="str">
        <f>IF(Table1[[#This Row],[DATE]]=0,"",YEAR(E1511))</f>
        <v/>
      </c>
      <c r="W1511" s="40" t="str">
        <f t="shared" si="48"/>
        <v/>
      </c>
      <c r="X1511" s="40" t="str">
        <f t="shared" si="49"/>
        <v/>
      </c>
      <c r="Y1511" s="40" t="str">
        <f>TEXT(Table1[[#This Row],[YEAR]],"0000")&amp;"-"&amp;Table1[[#This Row],[MONTH]]</f>
        <v>-</v>
      </c>
    </row>
    <row r="1512" spans="1:25" ht="15" customHeight="1" x14ac:dyDescent="0.35">
      <c r="A1512" s="24"/>
      <c r="B1512" s="38"/>
      <c r="C1512" s="38"/>
      <c r="D1512" s="38"/>
      <c r="E1512" s="37"/>
      <c r="F1512" s="38"/>
      <c r="G1512" s="198"/>
      <c r="H1512" s="198"/>
      <c r="I1512" s="39"/>
      <c r="J1512" s="38"/>
      <c r="K1512" s="198"/>
      <c r="L1512" s="38"/>
      <c r="M1512" s="38"/>
      <c r="N1512" s="38"/>
      <c r="O1512" s="38"/>
      <c r="P1512" s="40" t="str" cm="1">
        <f t="array" ref="P1512">IF(N1512="","",IFERROR(_xlfn.XLOOKUP(F1512&amp;"|"&amp;J1512&amp;"|"&amp;O1512,PRICES!$C$2:$C$659&amp;"|"&amp;PRICES!$B$2:$B$659&amp;"|"&amp;PRICES!$D$2:$D$659,PRICES!$E$2:$E$659),"Not Found"))</f>
        <v/>
      </c>
      <c r="Q1512" s="100" t="str">
        <f>IF(N1512=0,"",SUMIFS(PRICES!$G$2:$G$658,PRICES!$B$2:$B$658,'MAIN TABLE-1 AUTOMATED'!J1512,PRICES!$C$2:$C$658,'MAIN TABLE-1 AUTOMATED'!F1512,PRICES!$D$2:$D$658,'MAIN TABLE-1 AUTOMATED'!O1512))</f>
        <v/>
      </c>
      <c r="R1512" s="41" t="str">
        <f>IF(Table1[[#This Row],[QUANTITY]]=0,"",Table1[[#This Row],[UNIT PRICE]]*Table1[[#This Row],[QUANTITY]])</f>
        <v/>
      </c>
      <c r="S1512" s="89"/>
      <c r="T1512" s="38"/>
      <c r="U1512" s="43"/>
      <c r="V1512" s="42" t="str">
        <f>IF(Table1[[#This Row],[DATE]]=0,"",YEAR(E1512))</f>
        <v/>
      </c>
      <c r="W1512" s="40" t="str">
        <f t="shared" si="48"/>
        <v/>
      </c>
      <c r="X1512" s="40" t="str">
        <f t="shared" si="49"/>
        <v/>
      </c>
      <c r="Y1512" s="40" t="str">
        <f>TEXT(Table1[[#This Row],[YEAR]],"0000")&amp;"-"&amp;Table1[[#This Row],[MONTH]]</f>
        <v>-</v>
      </c>
    </row>
    <row r="1513" spans="1:25" ht="15" customHeight="1" x14ac:dyDescent="0.35">
      <c r="A1513" s="24"/>
      <c r="B1513" s="38"/>
      <c r="C1513" s="38"/>
      <c r="D1513" s="38"/>
      <c r="E1513" s="37"/>
      <c r="F1513" s="38"/>
      <c r="G1513" s="198"/>
      <c r="H1513" s="198"/>
      <c r="I1513" s="39"/>
      <c r="J1513" s="38"/>
      <c r="K1513" s="198"/>
      <c r="L1513" s="38"/>
      <c r="M1513" s="38"/>
      <c r="N1513" s="38"/>
      <c r="O1513" s="38"/>
      <c r="P1513" s="40" t="str" cm="1">
        <f t="array" ref="P1513">IF(N1513="","",IFERROR(_xlfn.XLOOKUP(F1513&amp;"|"&amp;J1513&amp;"|"&amp;O1513,PRICES!$C$2:$C$659&amp;"|"&amp;PRICES!$B$2:$B$659&amp;"|"&amp;PRICES!$D$2:$D$659,PRICES!$E$2:$E$659),"Not Found"))</f>
        <v/>
      </c>
      <c r="Q1513" s="100" t="str">
        <f>IF(N1513=0,"",SUMIFS(PRICES!$G$2:$G$658,PRICES!$B$2:$B$658,'MAIN TABLE-1 AUTOMATED'!J1513,PRICES!$C$2:$C$658,'MAIN TABLE-1 AUTOMATED'!F1513,PRICES!$D$2:$D$658,'MAIN TABLE-1 AUTOMATED'!O1513))</f>
        <v/>
      </c>
      <c r="R1513" s="41" t="str">
        <f>IF(Table1[[#This Row],[QUANTITY]]=0,"",Table1[[#This Row],[UNIT PRICE]]*Table1[[#This Row],[QUANTITY]])</f>
        <v/>
      </c>
      <c r="S1513" s="89"/>
      <c r="T1513" s="38"/>
      <c r="U1513" s="43"/>
      <c r="V1513" s="42" t="str">
        <f>IF(Table1[[#This Row],[DATE]]=0,"",YEAR(E1513))</f>
        <v/>
      </c>
      <c r="W1513" s="40" t="str">
        <f t="shared" si="48"/>
        <v/>
      </c>
      <c r="X1513" s="40" t="str">
        <f t="shared" si="49"/>
        <v/>
      </c>
      <c r="Y1513" s="40" t="str">
        <f>TEXT(Table1[[#This Row],[YEAR]],"0000")&amp;"-"&amp;Table1[[#This Row],[MONTH]]</f>
        <v>-</v>
      </c>
    </row>
    <row r="1514" spans="1:25" ht="15" customHeight="1" x14ac:dyDescent="0.35">
      <c r="A1514" s="24"/>
      <c r="B1514" s="38"/>
      <c r="C1514" s="38"/>
      <c r="D1514" s="38"/>
      <c r="E1514" s="37"/>
      <c r="F1514" s="38"/>
      <c r="G1514" s="198"/>
      <c r="H1514" s="198"/>
      <c r="I1514" s="39"/>
      <c r="J1514" s="38"/>
      <c r="K1514" s="198"/>
      <c r="L1514" s="38"/>
      <c r="M1514" s="38"/>
      <c r="N1514" s="38"/>
      <c r="O1514" s="38"/>
      <c r="P1514" s="40" t="str" cm="1">
        <f t="array" ref="P1514">IF(N1514="","",IFERROR(_xlfn.XLOOKUP(F1514&amp;"|"&amp;J1514&amp;"|"&amp;O1514,PRICES!$C$2:$C$659&amp;"|"&amp;PRICES!$B$2:$B$659&amp;"|"&amp;PRICES!$D$2:$D$659,PRICES!$E$2:$E$659),"Not Found"))</f>
        <v/>
      </c>
      <c r="Q1514" s="100" t="str">
        <f>IF(N1514=0,"",SUMIFS(PRICES!$G$2:$G$658,PRICES!$B$2:$B$658,'MAIN TABLE-1 AUTOMATED'!J1514,PRICES!$C$2:$C$658,'MAIN TABLE-1 AUTOMATED'!F1514,PRICES!$D$2:$D$658,'MAIN TABLE-1 AUTOMATED'!O1514))</f>
        <v/>
      </c>
      <c r="R1514" s="41" t="str">
        <f>IF(Table1[[#This Row],[QUANTITY]]=0,"",Table1[[#This Row],[UNIT PRICE]]*Table1[[#This Row],[QUANTITY]])</f>
        <v/>
      </c>
      <c r="S1514" s="89"/>
      <c r="T1514" s="38"/>
      <c r="U1514" s="43"/>
      <c r="V1514" s="42" t="str">
        <f>IF(Table1[[#This Row],[DATE]]=0,"",YEAR(E1514))</f>
        <v/>
      </c>
      <c r="W1514" s="40" t="str">
        <f t="shared" si="48"/>
        <v/>
      </c>
      <c r="X1514" s="40" t="str">
        <f t="shared" si="49"/>
        <v/>
      </c>
      <c r="Y1514" s="40" t="str">
        <f>TEXT(Table1[[#This Row],[YEAR]],"0000")&amp;"-"&amp;Table1[[#This Row],[MONTH]]</f>
        <v>-</v>
      </c>
    </row>
    <row r="1515" spans="1:25" ht="15" customHeight="1" x14ac:dyDescent="0.35">
      <c r="A1515" s="24"/>
      <c r="B1515" s="38"/>
      <c r="C1515" s="38"/>
      <c r="D1515" s="38"/>
      <c r="E1515" s="37"/>
      <c r="F1515" s="38"/>
      <c r="G1515" s="198"/>
      <c r="H1515" s="198"/>
      <c r="I1515" s="39"/>
      <c r="J1515" s="38"/>
      <c r="K1515" s="198"/>
      <c r="L1515" s="38"/>
      <c r="M1515" s="38"/>
      <c r="N1515" s="38"/>
      <c r="O1515" s="38"/>
      <c r="P1515" s="40" t="str" cm="1">
        <f t="array" ref="P1515">IF(N1515="","",IFERROR(_xlfn.XLOOKUP(F1515&amp;"|"&amp;J1515&amp;"|"&amp;O1515,PRICES!$C$2:$C$659&amp;"|"&amp;PRICES!$B$2:$B$659&amp;"|"&amp;PRICES!$D$2:$D$659,PRICES!$E$2:$E$659),"Not Found"))</f>
        <v/>
      </c>
      <c r="Q1515" s="100" t="str">
        <f>IF(N1515=0,"",SUMIFS(PRICES!$G$2:$G$658,PRICES!$B$2:$B$658,'MAIN TABLE-1 AUTOMATED'!J1515,PRICES!$C$2:$C$658,'MAIN TABLE-1 AUTOMATED'!F1515,PRICES!$D$2:$D$658,'MAIN TABLE-1 AUTOMATED'!O1515))</f>
        <v/>
      </c>
      <c r="R1515" s="41" t="str">
        <f>IF(Table1[[#This Row],[QUANTITY]]=0,"",Table1[[#This Row],[UNIT PRICE]]*Table1[[#This Row],[QUANTITY]])</f>
        <v/>
      </c>
      <c r="S1515" s="89"/>
      <c r="T1515" s="38"/>
      <c r="U1515" s="43"/>
      <c r="V1515" s="42" t="str">
        <f>IF(Table1[[#This Row],[DATE]]=0,"",YEAR(E1515))</f>
        <v/>
      </c>
      <c r="W1515" s="40" t="str">
        <f t="shared" si="48"/>
        <v/>
      </c>
      <c r="X1515" s="40" t="str">
        <f t="shared" si="49"/>
        <v/>
      </c>
      <c r="Y1515" s="40" t="str">
        <f>TEXT(Table1[[#This Row],[YEAR]],"0000")&amp;"-"&amp;Table1[[#This Row],[MONTH]]</f>
        <v>-</v>
      </c>
    </row>
    <row r="1516" spans="1:25" ht="15" customHeight="1" x14ac:dyDescent="0.35">
      <c r="A1516" s="24"/>
      <c r="B1516" s="38"/>
      <c r="C1516" s="38"/>
      <c r="D1516" s="38"/>
      <c r="E1516" s="37"/>
      <c r="F1516" s="38"/>
      <c r="G1516" s="198"/>
      <c r="H1516" s="198"/>
      <c r="I1516" s="39"/>
      <c r="J1516" s="38"/>
      <c r="K1516" s="198"/>
      <c r="L1516" s="38"/>
      <c r="M1516" s="38"/>
      <c r="N1516" s="38"/>
      <c r="O1516" s="38"/>
      <c r="P1516" s="40" t="str" cm="1">
        <f t="array" ref="P1516">IF(N1516="","",IFERROR(_xlfn.XLOOKUP(F1516&amp;"|"&amp;J1516&amp;"|"&amp;O1516,PRICES!$C$2:$C$659&amp;"|"&amp;PRICES!$B$2:$B$659&amp;"|"&amp;PRICES!$D$2:$D$659,PRICES!$E$2:$E$659),"Not Found"))</f>
        <v/>
      </c>
      <c r="Q1516" s="100" t="str">
        <f>IF(N1516=0,"",SUMIFS(PRICES!$G$2:$G$658,PRICES!$B$2:$B$658,'MAIN TABLE-1 AUTOMATED'!J1516,PRICES!$C$2:$C$658,'MAIN TABLE-1 AUTOMATED'!F1516,PRICES!$D$2:$D$658,'MAIN TABLE-1 AUTOMATED'!O1516))</f>
        <v/>
      </c>
      <c r="R1516" s="41" t="str">
        <f>IF(Table1[[#This Row],[QUANTITY]]=0,"",Table1[[#This Row],[UNIT PRICE]]*Table1[[#This Row],[QUANTITY]])</f>
        <v/>
      </c>
      <c r="S1516" s="89"/>
      <c r="T1516" s="38"/>
      <c r="U1516" s="43"/>
      <c r="V1516" s="42" t="str">
        <f>IF(Table1[[#This Row],[DATE]]=0,"",YEAR(E1516))</f>
        <v/>
      </c>
      <c r="W1516" s="40" t="str">
        <f t="shared" si="48"/>
        <v/>
      </c>
      <c r="X1516" s="40" t="str">
        <f t="shared" si="49"/>
        <v/>
      </c>
      <c r="Y1516" s="40" t="str">
        <f>TEXT(Table1[[#This Row],[YEAR]],"0000")&amp;"-"&amp;Table1[[#This Row],[MONTH]]</f>
        <v>-</v>
      </c>
    </row>
    <row r="1517" spans="1:25" ht="15" customHeight="1" x14ac:dyDescent="0.35">
      <c r="A1517" s="24"/>
      <c r="B1517" s="38"/>
      <c r="C1517" s="38"/>
      <c r="D1517" s="38"/>
      <c r="E1517" s="37"/>
      <c r="F1517" s="38"/>
      <c r="G1517" s="198"/>
      <c r="H1517" s="198"/>
      <c r="I1517" s="39"/>
      <c r="J1517" s="38"/>
      <c r="K1517" s="198"/>
      <c r="L1517" s="38"/>
      <c r="M1517" s="38"/>
      <c r="N1517" s="38"/>
      <c r="O1517" s="38"/>
      <c r="P1517" s="40" t="str" cm="1">
        <f t="array" ref="P1517">IF(N1517="","",IFERROR(_xlfn.XLOOKUP(F1517&amp;"|"&amp;J1517&amp;"|"&amp;O1517,PRICES!$C$2:$C$659&amp;"|"&amp;PRICES!$B$2:$B$659&amp;"|"&amp;PRICES!$D$2:$D$659,PRICES!$E$2:$E$659),"Not Found"))</f>
        <v/>
      </c>
      <c r="Q1517" s="100" t="str">
        <f>IF(N1517=0,"",SUMIFS(PRICES!$G$2:$G$658,PRICES!$B$2:$B$658,'MAIN TABLE-1 AUTOMATED'!J1517,PRICES!$C$2:$C$658,'MAIN TABLE-1 AUTOMATED'!F1517,PRICES!$D$2:$D$658,'MAIN TABLE-1 AUTOMATED'!O1517))</f>
        <v/>
      </c>
      <c r="R1517" s="41" t="str">
        <f>IF(Table1[[#This Row],[QUANTITY]]=0,"",Table1[[#This Row],[UNIT PRICE]]*Table1[[#This Row],[QUANTITY]])</f>
        <v/>
      </c>
      <c r="S1517" s="89"/>
      <c r="T1517" s="38"/>
      <c r="U1517" s="43"/>
      <c r="V1517" s="42" t="str">
        <f>IF(Table1[[#This Row],[DATE]]=0,"",YEAR(E1517))</f>
        <v/>
      </c>
      <c r="W1517" s="40" t="str">
        <f t="shared" si="48"/>
        <v/>
      </c>
      <c r="X1517" s="40" t="str">
        <f t="shared" si="49"/>
        <v/>
      </c>
      <c r="Y1517" s="40" t="str">
        <f>TEXT(Table1[[#This Row],[YEAR]],"0000")&amp;"-"&amp;Table1[[#This Row],[MONTH]]</f>
        <v>-</v>
      </c>
    </row>
    <row r="1518" spans="1:25" ht="15" customHeight="1" x14ac:dyDescent="0.35">
      <c r="A1518" s="24"/>
      <c r="B1518" s="38"/>
      <c r="C1518" s="38"/>
      <c r="D1518" s="38"/>
      <c r="E1518" s="37"/>
      <c r="F1518" s="38"/>
      <c r="G1518" s="198"/>
      <c r="H1518" s="198"/>
      <c r="I1518" s="39"/>
      <c r="J1518" s="38"/>
      <c r="K1518" s="198"/>
      <c r="L1518" s="38"/>
      <c r="M1518" s="38"/>
      <c r="N1518" s="38"/>
      <c r="O1518" s="38"/>
      <c r="P1518" s="40" t="str" cm="1">
        <f t="array" ref="P1518">IF(N1518="","",IFERROR(_xlfn.XLOOKUP(F1518&amp;"|"&amp;J1518&amp;"|"&amp;O1518,PRICES!$C$2:$C$659&amp;"|"&amp;PRICES!$B$2:$B$659&amp;"|"&amp;PRICES!$D$2:$D$659,PRICES!$E$2:$E$659),"Not Found"))</f>
        <v/>
      </c>
      <c r="Q1518" s="100" t="str">
        <f>IF(N1518=0,"",SUMIFS(PRICES!$G$2:$G$658,PRICES!$B$2:$B$658,'MAIN TABLE-1 AUTOMATED'!J1518,PRICES!$C$2:$C$658,'MAIN TABLE-1 AUTOMATED'!F1518,PRICES!$D$2:$D$658,'MAIN TABLE-1 AUTOMATED'!O1518))</f>
        <v/>
      </c>
      <c r="R1518" s="41" t="str">
        <f>IF(Table1[[#This Row],[QUANTITY]]=0,"",Table1[[#This Row],[UNIT PRICE]]*Table1[[#This Row],[QUANTITY]])</f>
        <v/>
      </c>
      <c r="S1518" s="89"/>
      <c r="T1518" s="38"/>
      <c r="U1518" s="43"/>
      <c r="V1518" s="42" t="str">
        <f>IF(Table1[[#This Row],[DATE]]=0,"",YEAR(E1518))</f>
        <v/>
      </c>
      <c r="W1518" s="40" t="str">
        <f t="shared" si="48"/>
        <v/>
      </c>
      <c r="X1518" s="40" t="str">
        <f t="shared" si="49"/>
        <v/>
      </c>
      <c r="Y1518" s="40" t="str">
        <f>TEXT(Table1[[#This Row],[YEAR]],"0000")&amp;"-"&amp;Table1[[#This Row],[MONTH]]</f>
        <v>-</v>
      </c>
    </row>
    <row r="1519" spans="1:25" ht="15" customHeight="1" x14ac:dyDescent="0.35">
      <c r="A1519" s="24"/>
      <c r="B1519" s="38"/>
      <c r="C1519" s="38"/>
      <c r="D1519" s="38"/>
      <c r="E1519" s="37"/>
      <c r="F1519" s="38"/>
      <c r="G1519" s="198"/>
      <c r="H1519" s="198"/>
      <c r="I1519" s="39"/>
      <c r="J1519" s="38"/>
      <c r="K1519" s="198"/>
      <c r="L1519" s="38"/>
      <c r="M1519" s="38"/>
      <c r="N1519" s="38"/>
      <c r="O1519" s="38"/>
      <c r="P1519" s="40" t="str" cm="1">
        <f t="array" ref="P1519">IF(N1519="","",IFERROR(_xlfn.XLOOKUP(F1519&amp;"|"&amp;J1519&amp;"|"&amp;O1519,PRICES!$C$2:$C$659&amp;"|"&amp;PRICES!$B$2:$B$659&amp;"|"&amp;PRICES!$D$2:$D$659,PRICES!$E$2:$E$659),"Not Found"))</f>
        <v/>
      </c>
      <c r="Q1519" s="100" t="str">
        <f>IF(N1519=0,"",SUMIFS(PRICES!$G$2:$G$658,PRICES!$B$2:$B$658,'MAIN TABLE-1 AUTOMATED'!J1519,PRICES!$C$2:$C$658,'MAIN TABLE-1 AUTOMATED'!F1519,PRICES!$D$2:$D$658,'MAIN TABLE-1 AUTOMATED'!O1519))</f>
        <v/>
      </c>
      <c r="R1519" s="41" t="str">
        <f>IF(Table1[[#This Row],[QUANTITY]]=0,"",Table1[[#This Row],[UNIT PRICE]]*Table1[[#This Row],[QUANTITY]])</f>
        <v/>
      </c>
      <c r="S1519" s="89"/>
      <c r="T1519" s="38"/>
      <c r="U1519" s="43"/>
      <c r="V1519" s="42" t="str">
        <f>IF(Table1[[#This Row],[DATE]]=0,"",YEAR(E1519))</f>
        <v/>
      </c>
      <c r="W1519" s="40" t="str">
        <f t="shared" si="48"/>
        <v/>
      </c>
      <c r="X1519" s="40" t="str">
        <f t="shared" si="49"/>
        <v/>
      </c>
      <c r="Y1519" s="40" t="str">
        <f>TEXT(Table1[[#This Row],[YEAR]],"0000")&amp;"-"&amp;Table1[[#This Row],[MONTH]]</f>
        <v>-</v>
      </c>
    </row>
    <row r="1520" spans="1:25" ht="15" customHeight="1" x14ac:dyDescent="0.35">
      <c r="A1520" s="24"/>
      <c r="B1520" s="38"/>
      <c r="C1520" s="38"/>
      <c r="D1520" s="38"/>
      <c r="E1520" s="37"/>
      <c r="F1520" s="38"/>
      <c r="G1520" s="198"/>
      <c r="H1520" s="198"/>
      <c r="I1520" s="39"/>
      <c r="J1520" s="38"/>
      <c r="K1520" s="198"/>
      <c r="L1520" s="38"/>
      <c r="M1520" s="38"/>
      <c r="N1520" s="38"/>
      <c r="O1520" s="38"/>
      <c r="P1520" s="40" t="str" cm="1">
        <f t="array" ref="P1520">IF(N1520="","",IFERROR(_xlfn.XLOOKUP(F1520&amp;"|"&amp;J1520&amp;"|"&amp;O1520,PRICES!$C$2:$C$659&amp;"|"&amp;PRICES!$B$2:$B$659&amp;"|"&amp;PRICES!$D$2:$D$659,PRICES!$E$2:$E$659),"Not Found"))</f>
        <v/>
      </c>
      <c r="Q1520" s="100" t="str">
        <f>IF(N1520=0,"",SUMIFS(PRICES!$G$2:$G$658,PRICES!$B$2:$B$658,'MAIN TABLE-1 AUTOMATED'!J1520,PRICES!$C$2:$C$658,'MAIN TABLE-1 AUTOMATED'!F1520,PRICES!$D$2:$D$658,'MAIN TABLE-1 AUTOMATED'!O1520))</f>
        <v/>
      </c>
      <c r="R1520" s="41" t="str">
        <f>IF(Table1[[#This Row],[QUANTITY]]=0,"",Table1[[#This Row],[UNIT PRICE]]*Table1[[#This Row],[QUANTITY]])</f>
        <v/>
      </c>
      <c r="S1520" s="89"/>
      <c r="T1520" s="38"/>
      <c r="U1520" s="43"/>
      <c r="V1520" s="42" t="str">
        <f>IF(Table1[[#This Row],[DATE]]=0,"",YEAR(E1520))</f>
        <v/>
      </c>
      <c r="W1520" s="40" t="str">
        <f t="shared" si="48"/>
        <v/>
      </c>
      <c r="X1520" s="40" t="str">
        <f t="shared" si="49"/>
        <v/>
      </c>
      <c r="Y1520" s="40" t="str">
        <f>TEXT(Table1[[#This Row],[YEAR]],"0000")&amp;"-"&amp;Table1[[#This Row],[MONTH]]</f>
        <v>-</v>
      </c>
    </row>
    <row r="1521" spans="1:25" ht="15" customHeight="1" x14ac:dyDescent="0.35">
      <c r="A1521" s="24"/>
      <c r="B1521" s="38"/>
      <c r="C1521" s="38"/>
      <c r="D1521" s="38"/>
      <c r="E1521" s="37"/>
      <c r="F1521" s="38"/>
      <c r="G1521" s="198"/>
      <c r="H1521" s="198"/>
      <c r="I1521" s="39"/>
      <c r="J1521" s="38"/>
      <c r="K1521" s="198"/>
      <c r="L1521" s="38"/>
      <c r="M1521" s="38"/>
      <c r="N1521" s="38"/>
      <c r="O1521" s="38"/>
      <c r="P1521" s="40" t="str" cm="1">
        <f t="array" ref="P1521">IF(N1521="","",IFERROR(_xlfn.XLOOKUP(F1521&amp;"|"&amp;J1521&amp;"|"&amp;O1521,PRICES!$C$2:$C$659&amp;"|"&amp;PRICES!$B$2:$B$659&amp;"|"&amp;PRICES!$D$2:$D$659,PRICES!$E$2:$E$659),"Not Found"))</f>
        <v/>
      </c>
      <c r="Q1521" s="100" t="str">
        <f>IF(N1521=0,"",SUMIFS(PRICES!$G$2:$G$658,PRICES!$B$2:$B$658,'MAIN TABLE-1 AUTOMATED'!J1521,PRICES!$C$2:$C$658,'MAIN TABLE-1 AUTOMATED'!F1521,PRICES!$D$2:$D$658,'MAIN TABLE-1 AUTOMATED'!O1521))</f>
        <v/>
      </c>
      <c r="R1521" s="41" t="str">
        <f>IF(Table1[[#This Row],[QUANTITY]]=0,"",Table1[[#This Row],[UNIT PRICE]]*Table1[[#This Row],[QUANTITY]])</f>
        <v/>
      </c>
      <c r="S1521" s="89"/>
      <c r="T1521" s="38"/>
      <c r="U1521" s="43"/>
      <c r="V1521" s="42" t="str">
        <f>IF(Table1[[#This Row],[DATE]]=0,"",YEAR(E1521))</f>
        <v/>
      </c>
      <c r="W1521" s="40" t="str">
        <f t="shared" si="48"/>
        <v/>
      </c>
      <c r="X1521" s="40" t="str">
        <f t="shared" si="49"/>
        <v/>
      </c>
      <c r="Y1521" s="40" t="str">
        <f>TEXT(Table1[[#This Row],[YEAR]],"0000")&amp;"-"&amp;Table1[[#This Row],[MONTH]]</f>
        <v>-</v>
      </c>
    </row>
    <row r="1522" spans="1:25" ht="15" customHeight="1" x14ac:dyDescent="0.35">
      <c r="A1522" s="24"/>
      <c r="B1522" s="38"/>
      <c r="C1522" s="38"/>
      <c r="D1522" s="38"/>
      <c r="E1522" s="37"/>
      <c r="F1522" s="38"/>
      <c r="G1522" s="198"/>
      <c r="H1522" s="198"/>
      <c r="I1522" s="39"/>
      <c r="J1522" s="38"/>
      <c r="K1522" s="198"/>
      <c r="L1522" s="38"/>
      <c r="M1522" s="38"/>
      <c r="N1522" s="38"/>
      <c r="O1522" s="38"/>
      <c r="P1522" s="40" t="str" cm="1">
        <f t="array" ref="P1522">IF(N1522="","",IFERROR(_xlfn.XLOOKUP(F1522&amp;"|"&amp;J1522&amp;"|"&amp;O1522,PRICES!$C$2:$C$659&amp;"|"&amp;PRICES!$B$2:$B$659&amp;"|"&amp;PRICES!$D$2:$D$659,PRICES!$E$2:$E$659),"Not Found"))</f>
        <v/>
      </c>
      <c r="Q1522" s="100" t="str">
        <f>IF(N1522=0,"",SUMIFS(PRICES!$G$2:$G$658,PRICES!$B$2:$B$658,'MAIN TABLE-1 AUTOMATED'!J1522,PRICES!$C$2:$C$658,'MAIN TABLE-1 AUTOMATED'!F1522,PRICES!$D$2:$D$658,'MAIN TABLE-1 AUTOMATED'!O1522))</f>
        <v/>
      </c>
      <c r="R1522" s="41" t="str">
        <f>IF(Table1[[#This Row],[QUANTITY]]=0,"",Table1[[#This Row],[UNIT PRICE]]*Table1[[#This Row],[QUANTITY]])</f>
        <v/>
      </c>
      <c r="S1522" s="89"/>
      <c r="T1522" s="38"/>
      <c r="U1522" s="43"/>
      <c r="V1522" s="42" t="str">
        <f>IF(Table1[[#This Row],[DATE]]=0,"",YEAR(E1522))</f>
        <v/>
      </c>
      <c r="W1522" s="40" t="str">
        <f t="shared" si="48"/>
        <v/>
      </c>
      <c r="X1522" s="40" t="str">
        <f t="shared" si="49"/>
        <v/>
      </c>
      <c r="Y1522" s="40" t="str">
        <f>TEXT(Table1[[#This Row],[YEAR]],"0000")&amp;"-"&amp;Table1[[#This Row],[MONTH]]</f>
        <v>-</v>
      </c>
    </row>
    <row r="1523" spans="1:25" ht="15" customHeight="1" x14ac:dyDescent="0.35">
      <c r="A1523" s="24"/>
      <c r="B1523" s="38"/>
      <c r="C1523" s="38"/>
      <c r="D1523" s="38"/>
      <c r="E1523" s="37"/>
      <c r="F1523" s="38"/>
      <c r="G1523" s="198"/>
      <c r="H1523" s="198"/>
      <c r="I1523" s="39"/>
      <c r="J1523" s="38"/>
      <c r="K1523" s="198"/>
      <c r="L1523" s="38"/>
      <c r="M1523" s="38"/>
      <c r="N1523" s="38"/>
      <c r="O1523" s="38"/>
      <c r="P1523" s="40" t="str" cm="1">
        <f t="array" ref="P1523">IF(N1523="","",IFERROR(_xlfn.XLOOKUP(F1523&amp;"|"&amp;J1523&amp;"|"&amp;O1523,PRICES!$C$2:$C$659&amp;"|"&amp;PRICES!$B$2:$B$659&amp;"|"&amp;PRICES!$D$2:$D$659,PRICES!$E$2:$E$659),"Not Found"))</f>
        <v/>
      </c>
      <c r="Q1523" s="100" t="str">
        <f>IF(N1523=0,"",SUMIFS(PRICES!$G$2:$G$658,PRICES!$B$2:$B$658,'MAIN TABLE-1 AUTOMATED'!J1523,PRICES!$C$2:$C$658,'MAIN TABLE-1 AUTOMATED'!F1523,PRICES!$D$2:$D$658,'MAIN TABLE-1 AUTOMATED'!O1523))</f>
        <v/>
      </c>
      <c r="R1523" s="41" t="str">
        <f>IF(Table1[[#This Row],[QUANTITY]]=0,"",Table1[[#This Row],[UNIT PRICE]]*Table1[[#This Row],[QUANTITY]])</f>
        <v/>
      </c>
      <c r="S1523" s="89"/>
      <c r="T1523" s="38"/>
      <c r="U1523" s="43"/>
      <c r="V1523" s="42" t="str">
        <f>IF(Table1[[#This Row],[DATE]]=0,"",YEAR(E1523))</f>
        <v/>
      </c>
      <c r="W1523" s="40" t="str">
        <f t="shared" si="48"/>
        <v/>
      </c>
      <c r="X1523" s="40" t="str">
        <f t="shared" si="49"/>
        <v/>
      </c>
      <c r="Y1523" s="40" t="str">
        <f>TEXT(Table1[[#This Row],[YEAR]],"0000")&amp;"-"&amp;Table1[[#This Row],[MONTH]]</f>
        <v>-</v>
      </c>
    </row>
    <row r="1524" spans="1:25" ht="15" customHeight="1" x14ac:dyDescent="0.35">
      <c r="A1524" s="24"/>
      <c r="B1524" s="38"/>
      <c r="C1524" s="38"/>
      <c r="D1524" s="38"/>
      <c r="E1524" s="37"/>
      <c r="F1524" s="38"/>
      <c r="G1524" s="198"/>
      <c r="H1524" s="198"/>
      <c r="I1524" s="39"/>
      <c r="J1524" s="38"/>
      <c r="K1524" s="198"/>
      <c r="L1524" s="38"/>
      <c r="M1524" s="38"/>
      <c r="N1524" s="38"/>
      <c r="O1524" s="38"/>
      <c r="P1524" s="40" t="str" cm="1">
        <f t="array" ref="P1524">IF(N1524="","",IFERROR(_xlfn.XLOOKUP(F1524&amp;"|"&amp;J1524&amp;"|"&amp;O1524,PRICES!$C$2:$C$659&amp;"|"&amp;PRICES!$B$2:$B$659&amp;"|"&amp;PRICES!$D$2:$D$659,PRICES!$E$2:$E$659),"Not Found"))</f>
        <v/>
      </c>
      <c r="Q1524" s="100" t="str">
        <f>IF(N1524=0,"",SUMIFS(PRICES!$G$2:$G$658,PRICES!$B$2:$B$658,'MAIN TABLE-1 AUTOMATED'!J1524,PRICES!$C$2:$C$658,'MAIN TABLE-1 AUTOMATED'!F1524,PRICES!$D$2:$D$658,'MAIN TABLE-1 AUTOMATED'!O1524))</f>
        <v/>
      </c>
      <c r="R1524" s="41" t="str">
        <f>IF(Table1[[#This Row],[QUANTITY]]=0,"",Table1[[#This Row],[UNIT PRICE]]*Table1[[#This Row],[QUANTITY]])</f>
        <v/>
      </c>
      <c r="S1524" s="89"/>
      <c r="T1524" s="38"/>
      <c r="U1524" s="43"/>
      <c r="V1524" s="42" t="str">
        <f>IF(Table1[[#This Row],[DATE]]=0,"",YEAR(E1524))</f>
        <v/>
      </c>
      <c r="W1524" s="40" t="str">
        <f t="shared" si="48"/>
        <v/>
      </c>
      <c r="X1524" s="40" t="str">
        <f t="shared" si="49"/>
        <v/>
      </c>
      <c r="Y1524" s="40" t="str">
        <f>TEXT(Table1[[#This Row],[YEAR]],"0000")&amp;"-"&amp;Table1[[#This Row],[MONTH]]</f>
        <v>-</v>
      </c>
    </row>
    <row r="1525" spans="1:25" ht="15" customHeight="1" x14ac:dyDescent="0.35">
      <c r="A1525" s="24"/>
      <c r="B1525" s="38"/>
      <c r="C1525" s="38"/>
      <c r="D1525" s="38"/>
      <c r="E1525" s="37"/>
      <c r="F1525" s="38"/>
      <c r="G1525" s="198"/>
      <c r="H1525" s="198"/>
      <c r="I1525" s="39"/>
      <c r="J1525" s="38"/>
      <c r="K1525" s="198"/>
      <c r="L1525" s="38"/>
      <c r="M1525" s="38"/>
      <c r="N1525" s="38"/>
      <c r="O1525" s="38"/>
      <c r="P1525" s="40" t="str" cm="1">
        <f t="array" ref="P1525">IF(N1525="","",IFERROR(_xlfn.XLOOKUP(F1525&amp;"|"&amp;J1525&amp;"|"&amp;O1525,PRICES!$C$2:$C$659&amp;"|"&amp;PRICES!$B$2:$B$659&amp;"|"&amp;PRICES!$D$2:$D$659,PRICES!$E$2:$E$659),"Not Found"))</f>
        <v/>
      </c>
      <c r="Q1525" s="100" t="str">
        <f>IF(N1525=0,"",SUMIFS(PRICES!$G$2:$G$658,PRICES!$B$2:$B$658,'MAIN TABLE-1 AUTOMATED'!J1525,PRICES!$C$2:$C$658,'MAIN TABLE-1 AUTOMATED'!F1525,PRICES!$D$2:$D$658,'MAIN TABLE-1 AUTOMATED'!O1525))</f>
        <v/>
      </c>
      <c r="R1525" s="41" t="str">
        <f>IF(Table1[[#This Row],[QUANTITY]]=0,"",Table1[[#This Row],[UNIT PRICE]]*Table1[[#This Row],[QUANTITY]])</f>
        <v/>
      </c>
      <c r="S1525" s="89"/>
      <c r="T1525" s="38"/>
      <c r="U1525" s="43"/>
      <c r="V1525" s="42" t="str">
        <f>IF(Table1[[#This Row],[DATE]]=0,"",YEAR(E1525))</f>
        <v/>
      </c>
      <c r="W1525" s="40" t="str">
        <f t="shared" si="48"/>
        <v/>
      </c>
      <c r="X1525" s="40" t="str">
        <f t="shared" si="49"/>
        <v/>
      </c>
      <c r="Y1525" s="40" t="str">
        <f>TEXT(Table1[[#This Row],[YEAR]],"0000")&amp;"-"&amp;Table1[[#This Row],[MONTH]]</f>
        <v>-</v>
      </c>
    </row>
    <row r="1526" spans="1:25" ht="15" customHeight="1" x14ac:dyDescent="0.35">
      <c r="A1526" s="24"/>
      <c r="B1526" s="38"/>
      <c r="C1526" s="38"/>
      <c r="D1526" s="38"/>
      <c r="E1526" s="37"/>
      <c r="F1526" s="38"/>
      <c r="G1526" s="198"/>
      <c r="H1526" s="198"/>
      <c r="I1526" s="39"/>
      <c r="J1526" s="38"/>
      <c r="K1526" s="198"/>
      <c r="L1526" s="38"/>
      <c r="M1526" s="38"/>
      <c r="N1526" s="38"/>
      <c r="O1526" s="38"/>
      <c r="P1526" s="40" t="str" cm="1">
        <f t="array" ref="P1526">IF(N1526="","",IFERROR(_xlfn.XLOOKUP(F1526&amp;"|"&amp;J1526&amp;"|"&amp;O1526,PRICES!$C$2:$C$659&amp;"|"&amp;PRICES!$B$2:$B$659&amp;"|"&amp;PRICES!$D$2:$D$659,PRICES!$E$2:$E$659),"Not Found"))</f>
        <v/>
      </c>
      <c r="Q1526" s="100" t="str">
        <f>IF(N1526=0,"",SUMIFS(PRICES!$G$2:$G$658,PRICES!$B$2:$B$658,'MAIN TABLE-1 AUTOMATED'!J1526,PRICES!$C$2:$C$658,'MAIN TABLE-1 AUTOMATED'!F1526,PRICES!$D$2:$D$658,'MAIN TABLE-1 AUTOMATED'!O1526))</f>
        <v/>
      </c>
      <c r="R1526" s="41" t="str">
        <f>IF(Table1[[#This Row],[QUANTITY]]=0,"",Table1[[#This Row],[UNIT PRICE]]*Table1[[#This Row],[QUANTITY]])</f>
        <v/>
      </c>
      <c r="S1526" s="89"/>
      <c r="T1526" s="38"/>
      <c r="U1526" s="43"/>
      <c r="V1526" s="42" t="str">
        <f>IF(Table1[[#This Row],[DATE]]=0,"",YEAR(E1526))</f>
        <v/>
      </c>
      <c r="W1526" s="40" t="str">
        <f t="shared" si="48"/>
        <v/>
      </c>
      <c r="X1526" s="40" t="str">
        <f t="shared" si="49"/>
        <v/>
      </c>
      <c r="Y1526" s="40" t="str">
        <f>TEXT(Table1[[#This Row],[YEAR]],"0000")&amp;"-"&amp;Table1[[#This Row],[MONTH]]</f>
        <v>-</v>
      </c>
    </row>
    <row r="1527" spans="1:25" ht="15" customHeight="1" x14ac:dyDescent="0.35">
      <c r="A1527" s="24"/>
      <c r="B1527" s="38"/>
      <c r="C1527" s="38"/>
      <c r="D1527" s="38"/>
      <c r="E1527" s="37"/>
      <c r="F1527" s="38"/>
      <c r="G1527" s="233"/>
      <c r="H1527" s="233"/>
      <c r="I1527" s="39"/>
      <c r="J1527" s="38"/>
      <c r="K1527" s="198"/>
      <c r="L1527" s="38"/>
      <c r="M1527" s="38"/>
      <c r="N1527" s="38"/>
      <c r="O1527" s="38"/>
      <c r="P1527" s="40" t="str" cm="1">
        <f t="array" ref="P1527">IF(N1527="","",IFERROR(_xlfn.XLOOKUP(F1527&amp;"|"&amp;J1527&amp;"|"&amp;O1527,PRICES!$C$2:$C$659&amp;"|"&amp;PRICES!$B$2:$B$659&amp;"|"&amp;PRICES!$D$2:$D$659,PRICES!$E$2:$E$659),"Not Found"))</f>
        <v/>
      </c>
      <c r="Q1527" s="100" t="str">
        <f>IF(N1527=0,"",SUMIFS(PRICES!$G$2:$G$658,PRICES!$B$2:$B$658,'MAIN TABLE-1 AUTOMATED'!J1527,PRICES!$C$2:$C$658,'MAIN TABLE-1 AUTOMATED'!F1527,PRICES!$D$2:$D$658,'MAIN TABLE-1 AUTOMATED'!O1527))</f>
        <v/>
      </c>
      <c r="R1527" s="41" t="str">
        <f>IF(Table1[[#This Row],[QUANTITY]]=0,"",Table1[[#This Row],[UNIT PRICE]]*Table1[[#This Row],[QUANTITY]])</f>
        <v/>
      </c>
      <c r="S1527" s="89"/>
      <c r="T1527" s="38"/>
      <c r="U1527" s="43"/>
      <c r="V1527" s="42" t="str">
        <f>IF(Table1[[#This Row],[DATE]]=0,"",YEAR(E1527))</f>
        <v/>
      </c>
      <c r="W1527" s="40" t="str">
        <f t="shared" si="48"/>
        <v/>
      </c>
      <c r="X1527" s="40" t="str">
        <f t="shared" si="49"/>
        <v/>
      </c>
      <c r="Y1527" s="40" t="str">
        <f>TEXT(Table1[[#This Row],[YEAR]],"0000")&amp;"-"&amp;Table1[[#This Row],[MONTH]]</f>
        <v>-</v>
      </c>
    </row>
    <row r="1528" spans="1:25" ht="15" customHeight="1" x14ac:dyDescent="0.35">
      <c r="A1528" s="24"/>
      <c r="B1528" s="38"/>
      <c r="C1528" s="38"/>
      <c r="D1528" s="38"/>
      <c r="E1528" s="37"/>
      <c r="F1528" s="38"/>
      <c r="G1528" s="233"/>
      <c r="H1528" s="233"/>
      <c r="I1528" s="39"/>
      <c r="J1528" s="38"/>
      <c r="K1528" s="198"/>
      <c r="L1528" s="38"/>
      <c r="M1528" s="38"/>
      <c r="N1528" s="38"/>
      <c r="O1528" s="38"/>
      <c r="P1528" s="40" t="str" cm="1">
        <f t="array" ref="P1528">IF(N1528="","",IFERROR(_xlfn.XLOOKUP(F1528&amp;"|"&amp;J1528&amp;"|"&amp;O1528,PRICES!$C$2:$C$659&amp;"|"&amp;PRICES!$B$2:$B$659&amp;"|"&amp;PRICES!$D$2:$D$659,PRICES!$E$2:$E$659),"Not Found"))</f>
        <v/>
      </c>
      <c r="Q1528" s="100" t="str">
        <f>IF(N1528=0,"",SUMIFS(PRICES!$G$2:$G$658,PRICES!$B$2:$B$658,'MAIN TABLE-1 AUTOMATED'!J1528,PRICES!$C$2:$C$658,'MAIN TABLE-1 AUTOMATED'!F1528,PRICES!$D$2:$D$658,'MAIN TABLE-1 AUTOMATED'!O1528))</f>
        <v/>
      </c>
      <c r="R1528" s="41" t="str">
        <f>IF(Table1[[#This Row],[QUANTITY]]=0,"",Table1[[#This Row],[UNIT PRICE]]*Table1[[#This Row],[QUANTITY]])</f>
        <v/>
      </c>
      <c r="S1528" s="89"/>
      <c r="T1528" s="38"/>
      <c r="U1528" s="43"/>
      <c r="V1528" s="42" t="str">
        <f>IF(Table1[[#This Row],[DATE]]=0,"",YEAR(E1528))</f>
        <v/>
      </c>
      <c r="W1528" s="40" t="str">
        <f t="shared" si="48"/>
        <v/>
      </c>
      <c r="X1528" s="40" t="str">
        <f t="shared" si="49"/>
        <v/>
      </c>
      <c r="Y1528" s="40" t="str">
        <f>TEXT(Table1[[#This Row],[YEAR]],"0000")&amp;"-"&amp;Table1[[#This Row],[MONTH]]</f>
        <v>-</v>
      </c>
    </row>
    <row r="1529" spans="1:25" ht="15" customHeight="1" x14ac:dyDescent="0.35">
      <c r="A1529" s="24"/>
      <c r="B1529" s="38"/>
      <c r="C1529" s="38"/>
      <c r="D1529" s="38"/>
      <c r="E1529" s="37"/>
      <c r="F1529" s="38"/>
      <c r="G1529" s="198"/>
      <c r="H1529" s="198"/>
      <c r="I1529" s="39"/>
      <c r="J1529" s="38"/>
      <c r="K1529" s="198"/>
      <c r="L1529" s="38"/>
      <c r="M1529" s="38"/>
      <c r="N1529" s="38"/>
      <c r="O1529" s="38"/>
      <c r="P1529" s="40" t="str" cm="1">
        <f t="array" ref="P1529">IF(N1529="","",IFERROR(_xlfn.XLOOKUP(F1529&amp;"|"&amp;J1529&amp;"|"&amp;O1529,PRICES!$C$2:$C$659&amp;"|"&amp;PRICES!$B$2:$B$659&amp;"|"&amp;PRICES!$D$2:$D$659,PRICES!$E$2:$E$659),"Not Found"))</f>
        <v/>
      </c>
      <c r="Q1529" s="100" t="str">
        <f>IF(N1529=0,"",SUMIFS(PRICES!$G$2:$G$658,PRICES!$B$2:$B$658,'MAIN TABLE-1 AUTOMATED'!J1529,PRICES!$C$2:$C$658,'MAIN TABLE-1 AUTOMATED'!F1529,PRICES!$D$2:$D$658,'MAIN TABLE-1 AUTOMATED'!O1529))</f>
        <v/>
      </c>
      <c r="R1529" s="41" t="str">
        <f>IF(Table1[[#This Row],[QUANTITY]]=0,"",Table1[[#This Row],[UNIT PRICE]]*Table1[[#This Row],[QUANTITY]])</f>
        <v/>
      </c>
      <c r="S1529" s="89"/>
      <c r="T1529" s="38"/>
      <c r="U1529" s="43"/>
      <c r="V1529" s="42" t="str">
        <f>IF(Table1[[#This Row],[DATE]]=0,"",YEAR(E1529))</f>
        <v/>
      </c>
      <c r="W1529" s="40" t="str">
        <f t="shared" si="48"/>
        <v/>
      </c>
      <c r="X1529" s="40" t="str">
        <f t="shared" si="49"/>
        <v/>
      </c>
      <c r="Y1529" s="40" t="str">
        <f>TEXT(Table1[[#This Row],[YEAR]],"0000")&amp;"-"&amp;Table1[[#This Row],[MONTH]]</f>
        <v>-</v>
      </c>
    </row>
    <row r="1530" spans="1:25" ht="15" customHeight="1" x14ac:dyDescent="0.35">
      <c r="A1530" s="24"/>
      <c r="B1530" s="38"/>
      <c r="C1530" s="38"/>
      <c r="D1530" s="38"/>
      <c r="E1530" s="37"/>
      <c r="F1530" s="38"/>
      <c r="G1530" s="198"/>
      <c r="H1530" s="198"/>
      <c r="I1530" s="39"/>
      <c r="J1530" s="38"/>
      <c r="K1530" s="198"/>
      <c r="L1530" s="38"/>
      <c r="M1530" s="38"/>
      <c r="N1530" s="38"/>
      <c r="O1530" s="38"/>
      <c r="P1530" s="40" t="str" cm="1">
        <f t="array" ref="P1530">IF(N1530="","",IFERROR(_xlfn.XLOOKUP(F1530&amp;"|"&amp;J1530&amp;"|"&amp;O1530,PRICES!$C$2:$C$659&amp;"|"&amp;PRICES!$B$2:$B$659&amp;"|"&amp;PRICES!$D$2:$D$659,PRICES!$E$2:$E$659),"Not Found"))</f>
        <v/>
      </c>
      <c r="Q1530" s="100" t="str">
        <f>IF(N1530=0,"",SUMIFS(PRICES!$G$2:$G$658,PRICES!$B$2:$B$658,'MAIN TABLE-1 AUTOMATED'!J1530,PRICES!$C$2:$C$658,'MAIN TABLE-1 AUTOMATED'!F1530,PRICES!$D$2:$D$658,'MAIN TABLE-1 AUTOMATED'!O1530))</f>
        <v/>
      </c>
      <c r="R1530" s="41" t="str">
        <f>IF(Table1[[#This Row],[QUANTITY]]=0,"",Table1[[#This Row],[UNIT PRICE]]*Table1[[#This Row],[QUANTITY]])</f>
        <v/>
      </c>
      <c r="S1530" s="89"/>
      <c r="T1530" s="38"/>
      <c r="U1530" s="43"/>
      <c r="V1530" s="42" t="str">
        <f>IF(Table1[[#This Row],[DATE]]=0,"",YEAR(E1530))</f>
        <v/>
      </c>
      <c r="W1530" s="40" t="str">
        <f t="shared" si="48"/>
        <v/>
      </c>
      <c r="X1530" s="40" t="str">
        <f t="shared" si="49"/>
        <v/>
      </c>
      <c r="Y1530" s="40" t="str">
        <f>TEXT(Table1[[#This Row],[YEAR]],"0000")&amp;"-"&amp;Table1[[#This Row],[MONTH]]</f>
        <v>-</v>
      </c>
    </row>
    <row r="1531" spans="1:25" ht="15" customHeight="1" x14ac:dyDescent="0.35">
      <c r="A1531" s="24"/>
      <c r="B1531" s="38"/>
      <c r="C1531" s="38"/>
      <c r="D1531" s="38"/>
      <c r="E1531" s="37"/>
      <c r="F1531" s="38"/>
      <c r="G1531" s="198"/>
      <c r="H1531" s="198"/>
      <c r="I1531" s="39"/>
      <c r="J1531" s="38"/>
      <c r="K1531" s="198"/>
      <c r="L1531" s="38"/>
      <c r="M1531" s="38"/>
      <c r="N1531" s="38"/>
      <c r="O1531" s="38"/>
      <c r="P1531" s="40" t="str" cm="1">
        <f t="array" ref="P1531">IF(N1531="","",IFERROR(_xlfn.XLOOKUP(F1531&amp;"|"&amp;J1531&amp;"|"&amp;O1531,PRICES!$C$2:$C$659&amp;"|"&amp;PRICES!$B$2:$B$659&amp;"|"&amp;PRICES!$D$2:$D$659,PRICES!$E$2:$E$659),"Not Found"))</f>
        <v/>
      </c>
      <c r="Q1531" s="100" t="str">
        <f>IF(N1531=0,"",SUMIFS(PRICES!$G$2:$G$658,PRICES!$B$2:$B$658,'MAIN TABLE-1 AUTOMATED'!J1531,PRICES!$C$2:$C$658,'MAIN TABLE-1 AUTOMATED'!F1531,PRICES!$D$2:$D$658,'MAIN TABLE-1 AUTOMATED'!O1531))</f>
        <v/>
      </c>
      <c r="R1531" s="41" t="str">
        <f>IF(Table1[[#This Row],[QUANTITY]]=0,"",Table1[[#This Row],[UNIT PRICE]]*Table1[[#This Row],[QUANTITY]])</f>
        <v/>
      </c>
      <c r="S1531" s="89"/>
      <c r="T1531" s="38"/>
      <c r="U1531" s="43"/>
      <c r="V1531" s="42" t="str">
        <f>IF(Table1[[#This Row],[DATE]]=0,"",YEAR(E1531))</f>
        <v/>
      </c>
      <c r="W1531" s="40" t="str">
        <f t="shared" si="48"/>
        <v/>
      </c>
      <c r="X1531" s="40" t="str">
        <f t="shared" si="49"/>
        <v/>
      </c>
      <c r="Y1531" s="40" t="str">
        <f>TEXT(Table1[[#This Row],[YEAR]],"0000")&amp;"-"&amp;Table1[[#This Row],[MONTH]]</f>
        <v>-</v>
      </c>
    </row>
    <row r="1532" spans="1:25" ht="15" customHeight="1" x14ac:dyDescent="0.35">
      <c r="A1532" s="24"/>
      <c r="B1532" s="38"/>
      <c r="C1532" s="38"/>
      <c r="D1532" s="38"/>
      <c r="E1532" s="37"/>
      <c r="F1532" s="38"/>
      <c r="G1532" s="198"/>
      <c r="H1532" s="198"/>
      <c r="I1532" s="39"/>
      <c r="J1532" s="38"/>
      <c r="K1532" s="198"/>
      <c r="L1532" s="38"/>
      <c r="M1532" s="38"/>
      <c r="N1532" s="38"/>
      <c r="O1532" s="38"/>
      <c r="P1532" s="40" t="str" cm="1">
        <f t="array" ref="P1532">IF(N1532="","",IFERROR(_xlfn.XLOOKUP(F1532&amp;"|"&amp;J1532&amp;"|"&amp;O1532,PRICES!$C$2:$C$659&amp;"|"&amp;PRICES!$B$2:$B$659&amp;"|"&amp;PRICES!$D$2:$D$659,PRICES!$E$2:$E$659),"Not Found"))</f>
        <v/>
      </c>
      <c r="Q1532" s="100" t="str">
        <f>IF(N1532=0,"",SUMIFS(PRICES!$G$2:$G$658,PRICES!$B$2:$B$658,'MAIN TABLE-1 AUTOMATED'!J1532,PRICES!$C$2:$C$658,'MAIN TABLE-1 AUTOMATED'!F1532,PRICES!$D$2:$D$658,'MAIN TABLE-1 AUTOMATED'!O1532))</f>
        <v/>
      </c>
      <c r="R1532" s="41" t="str">
        <f>IF(Table1[[#This Row],[QUANTITY]]=0,"",Table1[[#This Row],[UNIT PRICE]]*Table1[[#This Row],[QUANTITY]])</f>
        <v/>
      </c>
      <c r="S1532" s="89"/>
      <c r="T1532" s="38"/>
      <c r="U1532" s="43"/>
      <c r="V1532" s="42" t="str">
        <f>IF(Table1[[#This Row],[DATE]]=0,"",YEAR(E1532))</f>
        <v/>
      </c>
      <c r="W1532" s="40" t="str">
        <f t="shared" si="48"/>
        <v/>
      </c>
      <c r="X1532" s="40" t="str">
        <f t="shared" si="49"/>
        <v/>
      </c>
      <c r="Y1532" s="40" t="str">
        <f>TEXT(Table1[[#This Row],[YEAR]],"0000")&amp;"-"&amp;Table1[[#This Row],[MONTH]]</f>
        <v>-</v>
      </c>
    </row>
    <row r="1533" spans="1:25" ht="15" customHeight="1" x14ac:dyDescent="0.35">
      <c r="A1533" s="24"/>
      <c r="B1533" s="38"/>
      <c r="C1533" s="38"/>
      <c r="D1533" s="38"/>
      <c r="E1533" s="37"/>
      <c r="F1533" s="38"/>
      <c r="G1533" s="198"/>
      <c r="H1533" s="198"/>
      <c r="I1533" s="39"/>
      <c r="J1533" s="38"/>
      <c r="K1533" s="198"/>
      <c r="L1533" s="38"/>
      <c r="M1533" s="38"/>
      <c r="N1533" s="38"/>
      <c r="O1533" s="38"/>
      <c r="P1533" s="40" t="str" cm="1">
        <f t="array" ref="P1533">IF(N1533="","",IFERROR(_xlfn.XLOOKUP(F1533&amp;"|"&amp;J1533&amp;"|"&amp;O1533,PRICES!$C$2:$C$659&amp;"|"&amp;PRICES!$B$2:$B$659&amp;"|"&amp;PRICES!$D$2:$D$659,PRICES!$E$2:$E$659),"Not Found"))</f>
        <v/>
      </c>
      <c r="Q1533" s="100" t="str">
        <f>IF(N1533=0,"",SUMIFS(PRICES!$G$2:$G$658,PRICES!$B$2:$B$658,'MAIN TABLE-1 AUTOMATED'!J1533,PRICES!$C$2:$C$658,'MAIN TABLE-1 AUTOMATED'!F1533,PRICES!$D$2:$D$658,'MAIN TABLE-1 AUTOMATED'!O1533))</f>
        <v/>
      </c>
      <c r="R1533" s="41" t="str">
        <f>IF(Table1[[#This Row],[QUANTITY]]=0,"",Table1[[#This Row],[UNIT PRICE]]*Table1[[#This Row],[QUANTITY]])</f>
        <v/>
      </c>
      <c r="S1533" s="89"/>
      <c r="T1533" s="38"/>
      <c r="U1533" s="43"/>
      <c r="V1533" s="42" t="str">
        <f>IF(Table1[[#This Row],[DATE]]=0,"",YEAR(E1533))</f>
        <v/>
      </c>
      <c r="W1533" s="40" t="str">
        <f t="shared" si="48"/>
        <v/>
      </c>
      <c r="X1533" s="40" t="str">
        <f t="shared" si="49"/>
        <v/>
      </c>
      <c r="Y1533" s="40" t="str">
        <f>TEXT(Table1[[#This Row],[YEAR]],"0000")&amp;"-"&amp;Table1[[#This Row],[MONTH]]</f>
        <v>-</v>
      </c>
    </row>
    <row r="1534" spans="1:25" ht="15" customHeight="1" x14ac:dyDescent="0.35">
      <c r="A1534" s="24"/>
      <c r="B1534" s="38"/>
      <c r="C1534" s="38"/>
      <c r="D1534" s="38"/>
      <c r="E1534" s="37"/>
      <c r="F1534" s="38"/>
      <c r="G1534" s="198"/>
      <c r="H1534" s="198"/>
      <c r="I1534" s="39"/>
      <c r="J1534" s="38"/>
      <c r="K1534" s="198"/>
      <c r="L1534" s="38"/>
      <c r="M1534" s="38"/>
      <c r="N1534" s="38"/>
      <c r="O1534" s="38"/>
      <c r="P1534" s="40" t="str" cm="1">
        <f t="array" ref="P1534">IF(N1534="","",IFERROR(_xlfn.XLOOKUP(F1534&amp;"|"&amp;J1534&amp;"|"&amp;O1534,PRICES!$C$2:$C$659&amp;"|"&amp;PRICES!$B$2:$B$659&amp;"|"&amp;PRICES!$D$2:$D$659,PRICES!$E$2:$E$659),"Not Found"))</f>
        <v/>
      </c>
      <c r="Q1534" s="100" t="str">
        <f>IF(N1534=0,"",SUMIFS(PRICES!$G$2:$G$658,PRICES!$B$2:$B$658,'MAIN TABLE-1 AUTOMATED'!J1534,PRICES!$C$2:$C$658,'MAIN TABLE-1 AUTOMATED'!F1534,PRICES!$D$2:$D$658,'MAIN TABLE-1 AUTOMATED'!O1534))</f>
        <v/>
      </c>
      <c r="R1534" s="41" t="str">
        <f>IF(Table1[[#This Row],[QUANTITY]]=0,"",Table1[[#This Row],[UNIT PRICE]]*Table1[[#This Row],[QUANTITY]])</f>
        <v/>
      </c>
      <c r="S1534" s="89"/>
      <c r="T1534" s="38"/>
      <c r="U1534" s="43"/>
      <c r="V1534" s="42" t="str">
        <f>IF(Table1[[#This Row],[DATE]]=0,"",YEAR(E1534))</f>
        <v/>
      </c>
      <c r="W1534" s="40" t="str">
        <f t="shared" si="48"/>
        <v/>
      </c>
      <c r="X1534" s="40" t="str">
        <f t="shared" si="49"/>
        <v/>
      </c>
      <c r="Y1534" s="40" t="str">
        <f>TEXT(Table1[[#This Row],[YEAR]],"0000")&amp;"-"&amp;Table1[[#This Row],[MONTH]]</f>
        <v>-</v>
      </c>
    </row>
    <row r="1535" spans="1:25" ht="15" customHeight="1" x14ac:dyDescent="0.35">
      <c r="A1535" s="24"/>
      <c r="B1535" s="38"/>
      <c r="C1535" s="38"/>
      <c r="D1535" s="38"/>
      <c r="E1535" s="37"/>
      <c r="F1535" s="38"/>
      <c r="G1535" s="198"/>
      <c r="H1535" s="198"/>
      <c r="I1535" s="39"/>
      <c r="J1535" s="38"/>
      <c r="K1535" s="198"/>
      <c r="L1535" s="38"/>
      <c r="M1535" s="38"/>
      <c r="N1535" s="38"/>
      <c r="O1535" s="38"/>
      <c r="P1535" s="40" t="str" cm="1">
        <f t="array" ref="P1535">IF(N1535="","",IFERROR(_xlfn.XLOOKUP(F1535&amp;"|"&amp;J1535&amp;"|"&amp;O1535,PRICES!$C$2:$C$659&amp;"|"&amp;PRICES!$B$2:$B$659&amp;"|"&amp;PRICES!$D$2:$D$659,PRICES!$E$2:$E$659),"Not Found"))</f>
        <v/>
      </c>
      <c r="Q1535" s="100" t="str">
        <f>IF(N1535=0,"",SUMIFS(PRICES!$G$2:$G$658,PRICES!$B$2:$B$658,'MAIN TABLE-1 AUTOMATED'!J1535,PRICES!$C$2:$C$658,'MAIN TABLE-1 AUTOMATED'!F1535,PRICES!$D$2:$D$658,'MAIN TABLE-1 AUTOMATED'!O1535))</f>
        <v/>
      </c>
      <c r="R1535" s="41" t="str">
        <f>IF(Table1[[#This Row],[QUANTITY]]=0,"",Table1[[#This Row],[UNIT PRICE]]*Table1[[#This Row],[QUANTITY]])</f>
        <v/>
      </c>
      <c r="S1535" s="89"/>
      <c r="T1535" s="38"/>
      <c r="U1535" s="43"/>
      <c r="V1535" s="42" t="str">
        <f>IF(Table1[[#This Row],[DATE]]=0,"",YEAR(E1535))</f>
        <v/>
      </c>
      <c r="W1535" s="40" t="str">
        <f t="shared" si="48"/>
        <v/>
      </c>
      <c r="X1535" s="40" t="str">
        <f t="shared" si="49"/>
        <v/>
      </c>
      <c r="Y1535" s="40" t="str">
        <f>TEXT(Table1[[#This Row],[YEAR]],"0000")&amp;"-"&amp;Table1[[#This Row],[MONTH]]</f>
        <v>-</v>
      </c>
    </row>
    <row r="1536" spans="1:25" ht="15" customHeight="1" x14ac:dyDescent="0.35">
      <c r="A1536" s="24"/>
      <c r="B1536" s="38"/>
      <c r="C1536" s="38"/>
      <c r="D1536" s="38"/>
      <c r="E1536" s="37"/>
      <c r="F1536" s="38"/>
      <c r="G1536" s="198"/>
      <c r="H1536" s="198"/>
      <c r="I1536" s="39"/>
      <c r="J1536" s="38"/>
      <c r="K1536" s="198"/>
      <c r="L1536" s="38"/>
      <c r="M1536" s="38"/>
      <c r="N1536" s="38"/>
      <c r="O1536" s="38"/>
      <c r="P1536" s="40" t="str" cm="1">
        <f t="array" ref="P1536">IF(N1536="","",IFERROR(_xlfn.XLOOKUP(F1536&amp;"|"&amp;J1536&amp;"|"&amp;O1536,PRICES!$C$2:$C$659&amp;"|"&amp;PRICES!$B$2:$B$659&amp;"|"&amp;PRICES!$D$2:$D$659,PRICES!$E$2:$E$659),"Not Found"))</f>
        <v/>
      </c>
      <c r="Q1536" s="100" t="str">
        <f>IF(N1536=0,"",SUMIFS(PRICES!$G$2:$G$658,PRICES!$B$2:$B$658,'MAIN TABLE-1 AUTOMATED'!J1536,PRICES!$C$2:$C$658,'MAIN TABLE-1 AUTOMATED'!F1536,PRICES!$D$2:$D$658,'MAIN TABLE-1 AUTOMATED'!O1536))</f>
        <v/>
      </c>
      <c r="R1536" s="41" t="str">
        <f>IF(Table1[[#This Row],[QUANTITY]]=0,"",Table1[[#This Row],[UNIT PRICE]]*Table1[[#This Row],[QUANTITY]])</f>
        <v/>
      </c>
      <c r="S1536" s="89"/>
      <c r="T1536" s="38"/>
      <c r="U1536" s="43"/>
      <c r="V1536" s="42" t="str">
        <f>IF(Table1[[#This Row],[DATE]]=0,"",YEAR(E1536))</f>
        <v/>
      </c>
      <c r="W1536" s="40" t="str">
        <f t="shared" si="48"/>
        <v/>
      </c>
      <c r="X1536" s="40" t="str">
        <f t="shared" si="49"/>
        <v/>
      </c>
      <c r="Y1536" s="40" t="str">
        <f>TEXT(Table1[[#This Row],[YEAR]],"0000")&amp;"-"&amp;Table1[[#This Row],[MONTH]]</f>
        <v>-</v>
      </c>
    </row>
    <row r="1537" spans="1:25" ht="15" customHeight="1" x14ac:dyDescent="0.35">
      <c r="A1537" s="24"/>
      <c r="B1537" s="38"/>
      <c r="C1537" s="38"/>
      <c r="D1537" s="38"/>
      <c r="E1537" s="37"/>
      <c r="F1537" s="38"/>
      <c r="G1537" s="198"/>
      <c r="H1537" s="198"/>
      <c r="I1537" s="39"/>
      <c r="J1537" s="38"/>
      <c r="K1537" s="198"/>
      <c r="L1537" s="38"/>
      <c r="M1537" s="38"/>
      <c r="N1537" s="38"/>
      <c r="O1537" s="38"/>
      <c r="P1537" s="40" t="str" cm="1">
        <f t="array" ref="P1537">IF(N1537="","",IFERROR(_xlfn.XLOOKUP(F1537&amp;"|"&amp;J1537&amp;"|"&amp;O1537,PRICES!$C$2:$C$659&amp;"|"&amp;PRICES!$B$2:$B$659&amp;"|"&amp;PRICES!$D$2:$D$659,PRICES!$E$2:$E$659),"Not Found"))</f>
        <v/>
      </c>
      <c r="Q1537" s="100" t="str">
        <f>IF(N1537=0,"",SUMIFS(PRICES!$G$2:$G$658,PRICES!$B$2:$B$658,'MAIN TABLE-1 AUTOMATED'!J1537,PRICES!$C$2:$C$658,'MAIN TABLE-1 AUTOMATED'!F1537,PRICES!$D$2:$D$658,'MAIN TABLE-1 AUTOMATED'!O1537))</f>
        <v/>
      </c>
      <c r="R1537" s="41" t="str">
        <f>IF(Table1[[#This Row],[QUANTITY]]=0,"",Table1[[#This Row],[UNIT PRICE]]*Table1[[#This Row],[QUANTITY]])</f>
        <v/>
      </c>
      <c r="S1537" s="89"/>
      <c r="T1537" s="38"/>
      <c r="U1537" s="43"/>
      <c r="V1537" s="42" t="str">
        <f>IF(Table1[[#This Row],[DATE]]=0,"",YEAR(E1537))</f>
        <v/>
      </c>
      <c r="W1537" s="40" t="str">
        <f t="shared" si="48"/>
        <v/>
      </c>
      <c r="X1537" s="40" t="str">
        <f t="shared" si="49"/>
        <v/>
      </c>
      <c r="Y1537" s="40" t="str">
        <f>TEXT(Table1[[#This Row],[YEAR]],"0000")&amp;"-"&amp;Table1[[#This Row],[MONTH]]</f>
        <v>-</v>
      </c>
    </row>
    <row r="1538" spans="1:25" ht="15" customHeight="1" x14ac:dyDescent="0.35">
      <c r="A1538" s="24"/>
      <c r="B1538" s="38"/>
      <c r="C1538" s="38"/>
      <c r="D1538" s="38"/>
      <c r="E1538" s="37"/>
      <c r="F1538" s="38"/>
      <c r="G1538" s="198"/>
      <c r="H1538" s="198"/>
      <c r="I1538" s="39"/>
      <c r="J1538" s="38"/>
      <c r="K1538" s="198"/>
      <c r="L1538" s="38"/>
      <c r="M1538" s="38"/>
      <c r="N1538" s="38"/>
      <c r="O1538" s="38"/>
      <c r="P1538" s="40" t="str" cm="1">
        <f t="array" ref="P1538">IF(N1538="","",IFERROR(_xlfn.XLOOKUP(F1538&amp;"|"&amp;J1538&amp;"|"&amp;O1538,PRICES!$C$2:$C$659&amp;"|"&amp;PRICES!$B$2:$B$659&amp;"|"&amp;PRICES!$D$2:$D$659,PRICES!$E$2:$E$659),"Not Found"))</f>
        <v/>
      </c>
      <c r="Q1538" s="100" t="str">
        <f>IF(N1538=0,"",SUMIFS(PRICES!$G$2:$G$658,PRICES!$B$2:$B$658,'MAIN TABLE-1 AUTOMATED'!J1538,PRICES!$C$2:$C$658,'MAIN TABLE-1 AUTOMATED'!F1538,PRICES!$D$2:$D$658,'MAIN TABLE-1 AUTOMATED'!O1538))</f>
        <v/>
      </c>
      <c r="R1538" s="41" t="str">
        <f>IF(Table1[[#This Row],[QUANTITY]]=0,"",Table1[[#This Row],[UNIT PRICE]]*Table1[[#This Row],[QUANTITY]])</f>
        <v/>
      </c>
      <c r="S1538" s="89"/>
      <c r="T1538" s="38"/>
      <c r="U1538" s="43"/>
      <c r="V1538" s="42" t="str">
        <f>IF(Table1[[#This Row],[DATE]]=0,"",YEAR(E1538))</f>
        <v/>
      </c>
      <c r="W1538" s="40" t="str">
        <f t="shared" si="48"/>
        <v/>
      </c>
      <c r="X1538" s="40" t="str">
        <f t="shared" si="49"/>
        <v/>
      </c>
      <c r="Y1538" s="40" t="str">
        <f>TEXT(Table1[[#This Row],[YEAR]],"0000")&amp;"-"&amp;Table1[[#This Row],[MONTH]]</f>
        <v>-</v>
      </c>
    </row>
    <row r="1539" spans="1:25" ht="15" customHeight="1" x14ac:dyDescent="0.35">
      <c r="A1539" s="24"/>
      <c r="B1539" s="38"/>
      <c r="C1539" s="38"/>
      <c r="D1539" s="38"/>
      <c r="E1539" s="37"/>
      <c r="F1539" s="38"/>
      <c r="G1539" s="198"/>
      <c r="H1539" s="198"/>
      <c r="I1539" s="39"/>
      <c r="J1539" s="38"/>
      <c r="K1539" s="198"/>
      <c r="L1539" s="38"/>
      <c r="M1539" s="38"/>
      <c r="N1539" s="38"/>
      <c r="O1539" s="38"/>
      <c r="P1539" s="40" t="str" cm="1">
        <f t="array" ref="P1539">IF(N1539="","",IFERROR(_xlfn.XLOOKUP(F1539&amp;"|"&amp;J1539&amp;"|"&amp;O1539,PRICES!$C$2:$C$659&amp;"|"&amp;PRICES!$B$2:$B$659&amp;"|"&amp;PRICES!$D$2:$D$659,PRICES!$E$2:$E$659),"Not Found"))</f>
        <v/>
      </c>
      <c r="Q1539" s="100" t="str">
        <f>IF(N1539=0,"",SUMIFS(PRICES!$G$2:$G$658,PRICES!$B$2:$B$658,'MAIN TABLE-1 AUTOMATED'!J1539,PRICES!$C$2:$C$658,'MAIN TABLE-1 AUTOMATED'!F1539,PRICES!$D$2:$D$658,'MAIN TABLE-1 AUTOMATED'!O1539))</f>
        <v/>
      </c>
      <c r="R1539" s="41" t="str">
        <f>IF(Table1[[#This Row],[QUANTITY]]=0,"",Table1[[#This Row],[UNIT PRICE]]*Table1[[#This Row],[QUANTITY]])</f>
        <v/>
      </c>
      <c r="S1539" s="89"/>
      <c r="T1539" s="38"/>
      <c r="U1539" s="43"/>
      <c r="V1539" s="42" t="str">
        <f>IF(Table1[[#This Row],[DATE]]=0,"",YEAR(E1539))</f>
        <v/>
      </c>
      <c r="W1539" s="40" t="str">
        <f t="shared" si="48"/>
        <v/>
      </c>
      <c r="X1539" s="40" t="str">
        <f t="shared" si="49"/>
        <v/>
      </c>
      <c r="Y1539" s="40" t="str">
        <f>TEXT(Table1[[#This Row],[YEAR]],"0000")&amp;"-"&amp;Table1[[#This Row],[MONTH]]</f>
        <v>-</v>
      </c>
    </row>
    <row r="1540" spans="1:25" ht="15" customHeight="1" x14ac:dyDescent="0.35">
      <c r="A1540" s="24"/>
      <c r="B1540" s="38"/>
      <c r="C1540" s="38"/>
      <c r="D1540" s="38"/>
      <c r="E1540" s="37"/>
      <c r="F1540" s="38"/>
      <c r="G1540" s="198"/>
      <c r="H1540" s="198"/>
      <c r="I1540" s="39"/>
      <c r="J1540" s="38"/>
      <c r="K1540" s="198"/>
      <c r="L1540" s="38"/>
      <c r="M1540" s="38"/>
      <c r="N1540" s="38"/>
      <c r="O1540" s="38"/>
      <c r="P1540" s="40" t="str" cm="1">
        <f t="array" ref="P1540">IF(N1540="","",IFERROR(_xlfn.XLOOKUP(F1540&amp;"|"&amp;J1540&amp;"|"&amp;O1540,PRICES!$C$2:$C$659&amp;"|"&amp;PRICES!$B$2:$B$659&amp;"|"&amp;PRICES!$D$2:$D$659,PRICES!$E$2:$E$659),"Not Found"))</f>
        <v/>
      </c>
      <c r="Q1540" s="100" t="str">
        <f>IF(N1540=0,"",SUMIFS(PRICES!$G$2:$G$658,PRICES!$B$2:$B$658,'MAIN TABLE-1 AUTOMATED'!J1540,PRICES!$C$2:$C$658,'MAIN TABLE-1 AUTOMATED'!F1540,PRICES!$D$2:$D$658,'MAIN TABLE-1 AUTOMATED'!O1540))</f>
        <v/>
      </c>
      <c r="R1540" s="41" t="str">
        <f>IF(Table1[[#This Row],[QUANTITY]]=0,"",Table1[[#This Row],[UNIT PRICE]]*Table1[[#This Row],[QUANTITY]])</f>
        <v/>
      </c>
      <c r="S1540" s="89"/>
      <c r="T1540" s="38"/>
      <c r="U1540" s="43"/>
      <c r="V1540" s="42" t="str">
        <f>IF(Table1[[#This Row],[DATE]]=0,"",YEAR(E1540))</f>
        <v/>
      </c>
      <c r="W1540" s="40" t="str">
        <f t="shared" si="48"/>
        <v/>
      </c>
      <c r="X1540" s="40" t="str">
        <f t="shared" si="49"/>
        <v/>
      </c>
      <c r="Y1540" s="40" t="str">
        <f>TEXT(Table1[[#This Row],[YEAR]],"0000")&amp;"-"&amp;Table1[[#This Row],[MONTH]]</f>
        <v>-</v>
      </c>
    </row>
    <row r="1541" spans="1:25" ht="15" customHeight="1" x14ac:dyDescent="0.35">
      <c r="A1541" s="24"/>
      <c r="B1541" s="38"/>
      <c r="C1541" s="38"/>
      <c r="D1541" s="38"/>
      <c r="E1541" s="37"/>
      <c r="F1541" s="38"/>
      <c r="G1541" s="198"/>
      <c r="H1541" s="198"/>
      <c r="I1541" s="39"/>
      <c r="J1541" s="38"/>
      <c r="K1541" s="198"/>
      <c r="L1541" s="38"/>
      <c r="M1541" s="38"/>
      <c r="N1541" s="38"/>
      <c r="O1541" s="38"/>
      <c r="P1541" s="40" t="str" cm="1">
        <f t="array" ref="P1541">IF(N1541="","",IFERROR(_xlfn.XLOOKUP(F1541&amp;"|"&amp;J1541&amp;"|"&amp;O1541,PRICES!$C$2:$C$659&amp;"|"&amp;PRICES!$B$2:$B$659&amp;"|"&amp;PRICES!$D$2:$D$659,PRICES!$E$2:$E$659),"Not Found"))</f>
        <v/>
      </c>
      <c r="Q1541" s="100" t="str">
        <f>IF(N1541=0,"",SUMIFS(PRICES!$G$2:$G$658,PRICES!$B$2:$B$658,'MAIN TABLE-1 AUTOMATED'!J1541,PRICES!$C$2:$C$658,'MAIN TABLE-1 AUTOMATED'!F1541,PRICES!$D$2:$D$658,'MAIN TABLE-1 AUTOMATED'!O1541))</f>
        <v/>
      </c>
      <c r="R1541" s="41" t="str">
        <f>IF(Table1[[#This Row],[QUANTITY]]=0,"",Table1[[#This Row],[UNIT PRICE]]*Table1[[#This Row],[QUANTITY]])</f>
        <v/>
      </c>
      <c r="S1541" s="89"/>
      <c r="T1541" s="38"/>
      <c r="U1541" s="43"/>
      <c r="V1541" s="42" t="str">
        <f>IF(Table1[[#This Row],[DATE]]=0,"",YEAR(E1541))</f>
        <v/>
      </c>
      <c r="W1541" s="40" t="str">
        <f t="shared" si="48"/>
        <v/>
      </c>
      <c r="X1541" s="40" t="str">
        <f t="shared" si="49"/>
        <v/>
      </c>
      <c r="Y1541" s="40" t="str">
        <f>TEXT(Table1[[#This Row],[YEAR]],"0000")&amp;"-"&amp;Table1[[#This Row],[MONTH]]</f>
        <v>-</v>
      </c>
    </row>
    <row r="1542" spans="1:25" ht="15" customHeight="1" x14ac:dyDescent="0.35">
      <c r="A1542" s="24"/>
      <c r="B1542" s="38"/>
      <c r="C1542" s="38"/>
      <c r="D1542" s="38"/>
      <c r="E1542" s="37"/>
      <c r="F1542" s="38"/>
      <c r="G1542" s="198"/>
      <c r="H1542" s="198"/>
      <c r="I1542" s="39"/>
      <c r="J1542" s="38"/>
      <c r="K1542" s="198"/>
      <c r="L1542" s="38"/>
      <c r="M1542" s="38"/>
      <c r="N1542" s="38"/>
      <c r="O1542" s="38"/>
      <c r="P1542" s="40" t="str" cm="1">
        <f t="array" ref="P1542">IF(N1542="","",IFERROR(_xlfn.XLOOKUP(F1542&amp;"|"&amp;J1542&amp;"|"&amp;O1542,PRICES!$C$2:$C$659&amp;"|"&amp;PRICES!$B$2:$B$659&amp;"|"&amp;PRICES!$D$2:$D$659,PRICES!$E$2:$E$659),"Not Found"))</f>
        <v/>
      </c>
      <c r="Q1542" s="100" t="str">
        <f>IF(N1542=0,"",SUMIFS(PRICES!$G$2:$G$658,PRICES!$B$2:$B$658,'MAIN TABLE-1 AUTOMATED'!J1542,PRICES!$C$2:$C$658,'MAIN TABLE-1 AUTOMATED'!F1542,PRICES!$D$2:$D$658,'MAIN TABLE-1 AUTOMATED'!O1542))</f>
        <v/>
      </c>
      <c r="R1542" s="41" t="str">
        <f>IF(Table1[[#This Row],[QUANTITY]]=0,"",Table1[[#This Row],[UNIT PRICE]]*Table1[[#This Row],[QUANTITY]])</f>
        <v/>
      </c>
      <c r="S1542" s="89"/>
      <c r="T1542" s="38"/>
      <c r="U1542" s="43"/>
      <c r="V1542" s="42" t="str">
        <f>IF(Table1[[#This Row],[DATE]]=0,"",YEAR(E1542))</f>
        <v/>
      </c>
      <c r="W1542" s="40" t="str">
        <f t="shared" si="48"/>
        <v/>
      </c>
      <c r="X1542" s="40" t="str">
        <f t="shared" si="49"/>
        <v/>
      </c>
      <c r="Y1542" s="40" t="str">
        <f>TEXT(Table1[[#This Row],[YEAR]],"0000")&amp;"-"&amp;Table1[[#This Row],[MONTH]]</f>
        <v>-</v>
      </c>
    </row>
    <row r="1543" spans="1:25" ht="15" customHeight="1" x14ac:dyDescent="0.35">
      <c r="A1543" s="24"/>
      <c r="B1543" s="38"/>
      <c r="C1543" s="38"/>
      <c r="D1543" s="38"/>
      <c r="E1543" s="37"/>
      <c r="F1543" s="38"/>
      <c r="G1543" s="198"/>
      <c r="H1543" s="198"/>
      <c r="I1543" s="39"/>
      <c r="J1543" s="38"/>
      <c r="K1543" s="198"/>
      <c r="L1543" s="38"/>
      <c r="M1543" s="38"/>
      <c r="N1543" s="38"/>
      <c r="O1543" s="38"/>
      <c r="P1543" s="40" t="str" cm="1">
        <f t="array" ref="P1543">IF(N1543="","",IFERROR(_xlfn.XLOOKUP(F1543&amp;"|"&amp;J1543&amp;"|"&amp;O1543,PRICES!$C$2:$C$659&amp;"|"&amp;PRICES!$B$2:$B$659&amp;"|"&amp;PRICES!$D$2:$D$659,PRICES!$E$2:$E$659),"Not Found"))</f>
        <v/>
      </c>
      <c r="Q1543" s="100" t="str">
        <f>IF(N1543=0,"",SUMIFS(PRICES!$G$2:$G$658,PRICES!$B$2:$B$658,'MAIN TABLE-1 AUTOMATED'!J1543,PRICES!$C$2:$C$658,'MAIN TABLE-1 AUTOMATED'!F1543,PRICES!$D$2:$D$658,'MAIN TABLE-1 AUTOMATED'!O1543))</f>
        <v/>
      </c>
      <c r="R1543" s="41" t="str">
        <f>IF(Table1[[#This Row],[QUANTITY]]=0,"",Table1[[#This Row],[UNIT PRICE]]*Table1[[#This Row],[QUANTITY]])</f>
        <v/>
      </c>
      <c r="S1543" s="89"/>
      <c r="T1543" s="38"/>
      <c r="U1543" s="43"/>
      <c r="V1543" s="42" t="str">
        <f>IF(Table1[[#This Row],[DATE]]=0,"",YEAR(E1543))</f>
        <v/>
      </c>
      <c r="W1543" s="40" t="str">
        <f t="shared" si="48"/>
        <v/>
      </c>
      <c r="X1543" s="40" t="str">
        <f t="shared" si="49"/>
        <v/>
      </c>
      <c r="Y1543" s="40" t="str">
        <f>TEXT(Table1[[#This Row],[YEAR]],"0000")&amp;"-"&amp;Table1[[#This Row],[MONTH]]</f>
        <v>-</v>
      </c>
    </row>
    <row r="1544" spans="1:25" ht="15" customHeight="1" x14ac:dyDescent="0.35">
      <c r="A1544" s="24"/>
      <c r="B1544" s="38"/>
      <c r="C1544" s="38"/>
      <c r="D1544" s="38"/>
      <c r="E1544" s="37"/>
      <c r="F1544" s="38"/>
      <c r="G1544" s="198"/>
      <c r="H1544" s="198"/>
      <c r="I1544" s="39"/>
      <c r="J1544" s="38"/>
      <c r="K1544" s="198"/>
      <c r="L1544" s="38"/>
      <c r="M1544" s="38"/>
      <c r="N1544" s="38"/>
      <c r="O1544" s="38"/>
      <c r="P1544" s="40" t="str" cm="1">
        <f t="array" ref="P1544">IF(N1544="","",IFERROR(_xlfn.XLOOKUP(F1544&amp;"|"&amp;J1544&amp;"|"&amp;O1544,PRICES!$C$2:$C$659&amp;"|"&amp;PRICES!$B$2:$B$659&amp;"|"&amp;PRICES!$D$2:$D$659,PRICES!$E$2:$E$659),"Not Found"))</f>
        <v/>
      </c>
      <c r="Q1544" s="100" t="str">
        <f>IF(N1544=0,"",SUMIFS(PRICES!$G$2:$G$658,PRICES!$B$2:$B$658,'MAIN TABLE-1 AUTOMATED'!J1544,PRICES!$C$2:$C$658,'MAIN TABLE-1 AUTOMATED'!F1544,PRICES!$D$2:$D$658,'MAIN TABLE-1 AUTOMATED'!O1544))</f>
        <v/>
      </c>
      <c r="R1544" s="41" t="str">
        <f>IF(Table1[[#This Row],[QUANTITY]]=0,"",Table1[[#This Row],[UNIT PRICE]]*Table1[[#This Row],[QUANTITY]])</f>
        <v/>
      </c>
      <c r="S1544" s="89"/>
      <c r="T1544" s="38"/>
      <c r="U1544" s="43"/>
      <c r="V1544" s="42" t="str">
        <f>IF(Table1[[#This Row],[DATE]]=0,"",YEAR(E1544))</f>
        <v/>
      </c>
      <c r="W1544" s="40" t="str">
        <f t="shared" si="48"/>
        <v/>
      </c>
      <c r="X1544" s="40" t="str">
        <f t="shared" si="49"/>
        <v/>
      </c>
      <c r="Y1544" s="40" t="str">
        <f>TEXT(Table1[[#This Row],[YEAR]],"0000")&amp;"-"&amp;Table1[[#This Row],[MONTH]]</f>
        <v>-</v>
      </c>
    </row>
    <row r="1545" spans="1:25" ht="15" customHeight="1" x14ac:dyDescent="0.35">
      <c r="A1545" s="24"/>
      <c r="B1545" s="38"/>
      <c r="C1545" s="38"/>
      <c r="D1545" s="38"/>
      <c r="E1545" s="37"/>
      <c r="F1545" s="38"/>
      <c r="G1545" s="232"/>
      <c r="H1545" s="232"/>
      <c r="I1545" s="39"/>
      <c r="J1545" s="38"/>
      <c r="K1545" s="198"/>
      <c r="L1545" s="38"/>
      <c r="M1545" s="38"/>
      <c r="N1545" s="38"/>
      <c r="O1545" s="38"/>
      <c r="P1545" s="40" t="str" cm="1">
        <f t="array" ref="P1545">IF(N1545="","",IFERROR(_xlfn.XLOOKUP(F1545&amp;"|"&amp;J1545&amp;"|"&amp;O1545,PRICES!$C$2:$C$659&amp;"|"&amp;PRICES!$B$2:$B$659&amp;"|"&amp;PRICES!$D$2:$D$659,PRICES!$E$2:$E$659),"Not Found"))</f>
        <v/>
      </c>
      <c r="Q1545" s="100" t="str">
        <f>IF(N1545=0,"",SUMIFS(PRICES!$G$2:$G$658,PRICES!$B$2:$B$658,'MAIN TABLE-1 AUTOMATED'!J1545,PRICES!$C$2:$C$658,'MAIN TABLE-1 AUTOMATED'!F1545,PRICES!$D$2:$D$658,'MAIN TABLE-1 AUTOMATED'!O1545))</f>
        <v/>
      </c>
      <c r="R1545" s="41" t="str">
        <f>IF(Table1[[#This Row],[QUANTITY]]=0,"",Table1[[#This Row],[UNIT PRICE]]*Table1[[#This Row],[QUANTITY]])</f>
        <v/>
      </c>
      <c r="S1545" s="89"/>
      <c r="T1545" s="38"/>
      <c r="U1545" s="43"/>
      <c r="V1545" s="42" t="str">
        <f>IF(Table1[[#This Row],[DATE]]=0,"",YEAR(E1545))</f>
        <v/>
      </c>
      <c r="W1545" s="40" t="str">
        <f t="shared" si="48"/>
        <v/>
      </c>
      <c r="X1545" s="40" t="str">
        <f t="shared" si="49"/>
        <v/>
      </c>
      <c r="Y1545" s="40" t="str">
        <f>TEXT(Table1[[#This Row],[YEAR]],"0000")&amp;"-"&amp;Table1[[#This Row],[MONTH]]</f>
        <v>-</v>
      </c>
    </row>
    <row r="1546" spans="1:25" ht="15" customHeight="1" x14ac:dyDescent="0.35">
      <c r="A1546" s="24"/>
      <c r="B1546" s="38"/>
      <c r="C1546" s="38"/>
      <c r="D1546" s="38"/>
      <c r="E1546" s="37"/>
      <c r="F1546" s="38"/>
      <c r="G1546" s="232"/>
      <c r="H1546" s="232"/>
      <c r="I1546" s="39"/>
      <c r="J1546" s="38"/>
      <c r="K1546" s="198"/>
      <c r="L1546" s="38"/>
      <c r="M1546" s="38"/>
      <c r="N1546" s="38"/>
      <c r="O1546" s="38"/>
      <c r="P1546" s="40" t="str" cm="1">
        <f t="array" ref="P1546">IF(N1546="","",IFERROR(_xlfn.XLOOKUP(F1546&amp;"|"&amp;J1546&amp;"|"&amp;O1546,PRICES!$C$2:$C$659&amp;"|"&amp;PRICES!$B$2:$B$659&amp;"|"&amp;PRICES!$D$2:$D$659,PRICES!$E$2:$E$659),"Not Found"))</f>
        <v/>
      </c>
      <c r="Q1546" s="100" t="str">
        <f>IF(N1546=0,"",SUMIFS(PRICES!$G$2:$G$658,PRICES!$B$2:$B$658,'MAIN TABLE-1 AUTOMATED'!J1546,PRICES!$C$2:$C$658,'MAIN TABLE-1 AUTOMATED'!F1546,PRICES!$D$2:$D$658,'MAIN TABLE-1 AUTOMATED'!O1546))</f>
        <v/>
      </c>
      <c r="R1546" s="41" t="str">
        <f>IF(Table1[[#This Row],[QUANTITY]]=0,"",Table1[[#This Row],[UNIT PRICE]]*Table1[[#This Row],[QUANTITY]])</f>
        <v/>
      </c>
      <c r="S1546" s="89"/>
      <c r="T1546" s="38"/>
      <c r="U1546" s="43"/>
      <c r="V1546" s="42" t="str">
        <f>IF(Table1[[#This Row],[DATE]]=0,"",YEAR(E1546))</f>
        <v/>
      </c>
      <c r="W1546" s="40" t="str">
        <f t="shared" si="48"/>
        <v/>
      </c>
      <c r="X1546" s="40" t="str">
        <f t="shared" si="49"/>
        <v/>
      </c>
      <c r="Y1546" s="40" t="str">
        <f>TEXT(Table1[[#This Row],[YEAR]],"0000")&amp;"-"&amp;Table1[[#This Row],[MONTH]]</f>
        <v>-</v>
      </c>
    </row>
    <row r="1547" spans="1:25" ht="15" customHeight="1" x14ac:dyDescent="0.35">
      <c r="A1547" s="24"/>
      <c r="B1547" s="38"/>
      <c r="C1547" s="38"/>
      <c r="D1547" s="38"/>
      <c r="E1547" s="37"/>
      <c r="F1547" s="38"/>
      <c r="G1547" s="232"/>
      <c r="H1547" s="232"/>
      <c r="I1547" s="39"/>
      <c r="J1547" s="38"/>
      <c r="K1547" s="198"/>
      <c r="L1547" s="38"/>
      <c r="M1547" s="38"/>
      <c r="N1547" s="38"/>
      <c r="O1547" s="38"/>
      <c r="P1547" s="40" t="str" cm="1">
        <f t="array" ref="P1547">IF(N1547="","",IFERROR(_xlfn.XLOOKUP(F1547&amp;"|"&amp;J1547&amp;"|"&amp;O1547,PRICES!$C$2:$C$659&amp;"|"&amp;PRICES!$B$2:$B$659&amp;"|"&amp;PRICES!$D$2:$D$659,PRICES!$E$2:$E$659),"Not Found"))</f>
        <v/>
      </c>
      <c r="Q1547" s="100" t="str">
        <f>IF(N1547=0,"",SUMIFS(PRICES!$G$2:$G$658,PRICES!$B$2:$B$658,'MAIN TABLE-1 AUTOMATED'!J1547,PRICES!$C$2:$C$658,'MAIN TABLE-1 AUTOMATED'!F1547,PRICES!$D$2:$D$658,'MAIN TABLE-1 AUTOMATED'!O1547))</f>
        <v/>
      </c>
      <c r="R1547" s="41" t="str">
        <f>IF(Table1[[#This Row],[QUANTITY]]=0,"",Table1[[#This Row],[UNIT PRICE]]*Table1[[#This Row],[QUANTITY]])</f>
        <v/>
      </c>
      <c r="S1547" s="89"/>
      <c r="T1547" s="38"/>
      <c r="U1547" s="43"/>
      <c r="V1547" s="42" t="str">
        <f>IF(Table1[[#This Row],[DATE]]=0,"",YEAR(E1547))</f>
        <v/>
      </c>
      <c r="W1547" s="40" t="str">
        <f t="shared" si="48"/>
        <v/>
      </c>
      <c r="X1547" s="40" t="str">
        <f t="shared" si="49"/>
        <v/>
      </c>
      <c r="Y1547" s="40" t="str">
        <f>TEXT(Table1[[#This Row],[YEAR]],"0000")&amp;"-"&amp;Table1[[#This Row],[MONTH]]</f>
        <v>-</v>
      </c>
    </row>
    <row r="1548" spans="1:25" ht="15" customHeight="1" x14ac:dyDescent="0.35">
      <c r="A1548" s="24"/>
      <c r="B1548" s="38"/>
      <c r="C1548" s="38"/>
      <c r="D1548" s="38"/>
      <c r="E1548" s="37"/>
      <c r="F1548" s="38"/>
      <c r="G1548" s="232"/>
      <c r="H1548" s="232"/>
      <c r="I1548" s="39"/>
      <c r="J1548" s="38"/>
      <c r="K1548" s="198"/>
      <c r="L1548" s="38"/>
      <c r="M1548" s="38"/>
      <c r="N1548" s="38"/>
      <c r="O1548" s="38"/>
      <c r="P1548" s="40" t="str" cm="1">
        <f t="array" ref="P1548">IF(N1548="","",IFERROR(_xlfn.XLOOKUP(F1548&amp;"|"&amp;J1548&amp;"|"&amp;O1548,PRICES!$C$2:$C$659&amp;"|"&amp;PRICES!$B$2:$B$659&amp;"|"&amp;PRICES!$D$2:$D$659,PRICES!$E$2:$E$659),"Not Found"))</f>
        <v/>
      </c>
      <c r="Q1548" s="100" t="str">
        <f>IF(N1548=0,"",SUMIFS(PRICES!$G$2:$G$658,PRICES!$B$2:$B$658,'MAIN TABLE-1 AUTOMATED'!J1548,PRICES!$C$2:$C$658,'MAIN TABLE-1 AUTOMATED'!F1548,PRICES!$D$2:$D$658,'MAIN TABLE-1 AUTOMATED'!O1548))</f>
        <v/>
      </c>
      <c r="R1548" s="41" t="str">
        <f>IF(Table1[[#This Row],[QUANTITY]]=0,"",Table1[[#This Row],[UNIT PRICE]]*Table1[[#This Row],[QUANTITY]])</f>
        <v/>
      </c>
      <c r="S1548" s="89"/>
      <c r="T1548" s="38"/>
      <c r="U1548" s="43"/>
      <c r="V1548" s="42" t="str">
        <f>IF(Table1[[#This Row],[DATE]]=0,"",YEAR(E1548))</f>
        <v/>
      </c>
      <c r="W1548" s="40" t="str">
        <f t="shared" si="48"/>
        <v/>
      </c>
      <c r="X1548" s="40" t="str">
        <f t="shared" si="49"/>
        <v/>
      </c>
      <c r="Y1548" s="40" t="str">
        <f>TEXT(Table1[[#This Row],[YEAR]],"0000")&amp;"-"&amp;Table1[[#This Row],[MONTH]]</f>
        <v>-</v>
      </c>
    </row>
    <row r="1549" spans="1:25" ht="15" customHeight="1" x14ac:dyDescent="0.35">
      <c r="A1549" s="24"/>
      <c r="B1549" s="38"/>
      <c r="C1549" s="38"/>
      <c r="D1549" s="38"/>
      <c r="E1549" s="37"/>
      <c r="F1549" s="38"/>
      <c r="G1549" s="232"/>
      <c r="H1549" s="232"/>
      <c r="I1549" s="39"/>
      <c r="J1549" s="38"/>
      <c r="K1549" s="198"/>
      <c r="L1549" s="38"/>
      <c r="M1549" s="38"/>
      <c r="N1549" s="38"/>
      <c r="O1549" s="38"/>
      <c r="P1549" s="40" t="str" cm="1">
        <f t="array" ref="P1549">IF(N1549="","",IFERROR(_xlfn.XLOOKUP(F1549&amp;"|"&amp;J1549&amp;"|"&amp;O1549,PRICES!$C$2:$C$659&amp;"|"&amp;PRICES!$B$2:$B$659&amp;"|"&amp;PRICES!$D$2:$D$659,PRICES!$E$2:$E$659),"Not Found"))</f>
        <v/>
      </c>
      <c r="Q1549" s="100" t="str">
        <f>IF(N1549=0,"",SUMIFS(PRICES!$G$2:$G$658,PRICES!$B$2:$B$658,'MAIN TABLE-1 AUTOMATED'!J1549,PRICES!$C$2:$C$658,'MAIN TABLE-1 AUTOMATED'!F1549,PRICES!$D$2:$D$658,'MAIN TABLE-1 AUTOMATED'!O1549))</f>
        <v/>
      </c>
      <c r="R1549" s="41" t="str">
        <f>IF(Table1[[#This Row],[QUANTITY]]=0,"",Table1[[#This Row],[UNIT PRICE]]*Table1[[#This Row],[QUANTITY]])</f>
        <v/>
      </c>
      <c r="S1549" s="89"/>
      <c r="T1549" s="38"/>
      <c r="U1549" s="43"/>
      <c r="V1549" s="42" t="str">
        <f>IF(Table1[[#This Row],[DATE]]=0,"",YEAR(E1549))</f>
        <v/>
      </c>
      <c r="W1549" s="40" t="str">
        <f t="shared" si="48"/>
        <v/>
      </c>
      <c r="X1549" s="40" t="str">
        <f t="shared" si="49"/>
        <v/>
      </c>
      <c r="Y1549" s="40" t="str">
        <f>TEXT(Table1[[#This Row],[YEAR]],"0000")&amp;"-"&amp;Table1[[#This Row],[MONTH]]</f>
        <v>-</v>
      </c>
    </row>
    <row r="1550" spans="1:25" ht="15" customHeight="1" x14ac:dyDescent="0.35">
      <c r="A1550" s="24"/>
      <c r="B1550" s="38"/>
      <c r="C1550" s="38"/>
      <c r="D1550" s="38"/>
      <c r="E1550" s="37"/>
      <c r="F1550" s="38"/>
      <c r="G1550" s="232"/>
      <c r="H1550" s="232"/>
      <c r="I1550" s="39"/>
      <c r="J1550" s="38"/>
      <c r="K1550" s="198"/>
      <c r="L1550" s="38"/>
      <c r="M1550" s="38"/>
      <c r="N1550" s="38"/>
      <c r="O1550" s="38"/>
      <c r="P1550" s="40" t="str" cm="1">
        <f t="array" ref="P1550">IF(N1550="","",IFERROR(_xlfn.XLOOKUP(F1550&amp;"|"&amp;J1550&amp;"|"&amp;O1550,PRICES!$C$2:$C$659&amp;"|"&amp;PRICES!$B$2:$B$659&amp;"|"&amp;PRICES!$D$2:$D$659,PRICES!$E$2:$E$659),"Not Found"))</f>
        <v/>
      </c>
      <c r="Q1550" s="100" t="str">
        <f>IF(N1550=0,"",SUMIFS(PRICES!$G$2:$G$658,PRICES!$B$2:$B$658,'MAIN TABLE-1 AUTOMATED'!J1550,PRICES!$C$2:$C$658,'MAIN TABLE-1 AUTOMATED'!F1550,PRICES!$D$2:$D$658,'MAIN TABLE-1 AUTOMATED'!O1550))</f>
        <v/>
      </c>
      <c r="R1550" s="41" t="str">
        <f>IF(Table1[[#This Row],[QUANTITY]]=0,"",Table1[[#This Row],[UNIT PRICE]]*Table1[[#This Row],[QUANTITY]])</f>
        <v/>
      </c>
      <c r="S1550" s="89"/>
      <c r="T1550" s="38"/>
      <c r="U1550" s="43"/>
      <c r="V1550" s="42" t="str">
        <f>IF(Table1[[#This Row],[DATE]]=0,"",YEAR(E1550))</f>
        <v/>
      </c>
      <c r="W1550" s="40" t="str">
        <f t="shared" si="48"/>
        <v/>
      </c>
      <c r="X1550" s="40" t="str">
        <f t="shared" si="49"/>
        <v/>
      </c>
      <c r="Y1550" s="40" t="str">
        <f>TEXT(Table1[[#This Row],[YEAR]],"0000")&amp;"-"&amp;Table1[[#This Row],[MONTH]]</f>
        <v>-</v>
      </c>
    </row>
    <row r="1551" spans="1:25" ht="15" customHeight="1" x14ac:dyDescent="0.35">
      <c r="A1551" s="24"/>
      <c r="B1551" s="38"/>
      <c r="C1551" s="38"/>
      <c r="D1551" s="38"/>
      <c r="E1551" s="37"/>
      <c r="F1551" s="38"/>
      <c r="G1551" s="232"/>
      <c r="H1551" s="232"/>
      <c r="I1551" s="39"/>
      <c r="J1551" s="38"/>
      <c r="K1551" s="198"/>
      <c r="L1551" s="38"/>
      <c r="M1551" s="38"/>
      <c r="N1551" s="38"/>
      <c r="O1551" s="38"/>
      <c r="P1551" s="40" t="str" cm="1">
        <f t="array" ref="P1551">IF(N1551="","",IFERROR(_xlfn.XLOOKUP(F1551&amp;"|"&amp;J1551&amp;"|"&amp;O1551,PRICES!$C$2:$C$659&amp;"|"&amp;PRICES!$B$2:$B$659&amp;"|"&amp;PRICES!$D$2:$D$659,PRICES!$E$2:$E$659),"Not Found"))</f>
        <v/>
      </c>
      <c r="Q1551" s="100" t="str">
        <f>IF(N1551=0,"",SUMIFS(PRICES!$G$2:$G$658,PRICES!$B$2:$B$658,'MAIN TABLE-1 AUTOMATED'!J1551,PRICES!$C$2:$C$658,'MAIN TABLE-1 AUTOMATED'!F1551,PRICES!$D$2:$D$658,'MAIN TABLE-1 AUTOMATED'!O1551))</f>
        <v/>
      </c>
      <c r="R1551" s="41" t="str">
        <f>IF(Table1[[#This Row],[QUANTITY]]=0,"",Table1[[#This Row],[UNIT PRICE]]*Table1[[#This Row],[QUANTITY]])</f>
        <v/>
      </c>
      <c r="S1551" s="89"/>
      <c r="T1551" s="38"/>
      <c r="U1551" s="43"/>
      <c r="V1551" s="42" t="str">
        <f>IF(Table1[[#This Row],[DATE]]=0,"",YEAR(E1551))</f>
        <v/>
      </c>
      <c r="W1551" s="40" t="str">
        <f t="shared" si="48"/>
        <v/>
      </c>
      <c r="X1551" s="40" t="str">
        <f t="shared" si="49"/>
        <v/>
      </c>
      <c r="Y1551" s="40" t="str">
        <f>TEXT(Table1[[#This Row],[YEAR]],"0000")&amp;"-"&amp;Table1[[#This Row],[MONTH]]</f>
        <v>-</v>
      </c>
    </row>
    <row r="1552" spans="1:25" ht="15" customHeight="1" x14ac:dyDescent="0.35">
      <c r="A1552" s="24"/>
      <c r="B1552" s="38"/>
      <c r="C1552" s="38"/>
      <c r="D1552" s="38"/>
      <c r="E1552" s="37"/>
      <c r="F1552" s="38"/>
      <c r="G1552" s="232"/>
      <c r="H1552" s="232"/>
      <c r="I1552" s="39"/>
      <c r="J1552" s="38"/>
      <c r="K1552" s="198"/>
      <c r="L1552" s="38"/>
      <c r="M1552" s="38"/>
      <c r="N1552" s="38"/>
      <c r="O1552" s="38"/>
      <c r="P1552" s="40" t="str" cm="1">
        <f t="array" ref="P1552">IF(N1552="","",IFERROR(_xlfn.XLOOKUP(F1552&amp;"|"&amp;J1552&amp;"|"&amp;O1552,PRICES!$C$2:$C$659&amp;"|"&amp;PRICES!$B$2:$B$659&amp;"|"&amp;PRICES!$D$2:$D$659,PRICES!$E$2:$E$659),"Not Found"))</f>
        <v/>
      </c>
      <c r="Q1552" s="100" t="str">
        <f>IF(N1552=0,"",SUMIFS(PRICES!$G$2:$G$658,PRICES!$B$2:$B$658,'MAIN TABLE-1 AUTOMATED'!J1552,PRICES!$C$2:$C$658,'MAIN TABLE-1 AUTOMATED'!F1552,PRICES!$D$2:$D$658,'MAIN TABLE-1 AUTOMATED'!O1552))</f>
        <v/>
      </c>
      <c r="R1552" s="41" t="str">
        <f>IF(Table1[[#This Row],[QUANTITY]]=0,"",Table1[[#This Row],[UNIT PRICE]]*Table1[[#This Row],[QUANTITY]])</f>
        <v/>
      </c>
      <c r="S1552" s="89"/>
      <c r="T1552" s="38"/>
      <c r="U1552" s="43"/>
      <c r="V1552" s="42" t="str">
        <f>IF(Table1[[#This Row],[DATE]]=0,"",YEAR(E1552))</f>
        <v/>
      </c>
      <c r="W1552" s="40" t="str">
        <f t="shared" si="48"/>
        <v/>
      </c>
      <c r="X1552" s="40" t="str">
        <f t="shared" si="49"/>
        <v/>
      </c>
      <c r="Y1552" s="40" t="str">
        <f>TEXT(Table1[[#This Row],[YEAR]],"0000")&amp;"-"&amp;Table1[[#This Row],[MONTH]]</f>
        <v>-</v>
      </c>
    </row>
    <row r="1553" spans="1:25" ht="15" customHeight="1" x14ac:dyDescent="0.35">
      <c r="A1553" s="24"/>
      <c r="B1553" s="38"/>
      <c r="C1553" s="38"/>
      <c r="D1553" s="38"/>
      <c r="E1553" s="37"/>
      <c r="F1553" s="38"/>
      <c r="G1553" s="198"/>
      <c r="H1553" s="198"/>
      <c r="I1553" s="39"/>
      <c r="J1553" s="38"/>
      <c r="K1553" s="198"/>
      <c r="L1553" s="38"/>
      <c r="M1553" s="38"/>
      <c r="N1553" s="38"/>
      <c r="O1553" s="38"/>
      <c r="P1553" s="40" t="str" cm="1">
        <f t="array" ref="P1553">IF(N1553="","",IFERROR(_xlfn.XLOOKUP(F1553&amp;"|"&amp;J1553&amp;"|"&amp;O1553,PRICES!$C$2:$C$659&amp;"|"&amp;PRICES!$B$2:$B$659&amp;"|"&amp;PRICES!$D$2:$D$659,PRICES!$E$2:$E$659),"Not Found"))</f>
        <v/>
      </c>
      <c r="Q1553" s="100" t="str">
        <f>IF(N1553=0,"",SUMIFS(PRICES!$G$2:$G$658,PRICES!$B$2:$B$658,'MAIN TABLE-1 AUTOMATED'!J1553,PRICES!$C$2:$C$658,'MAIN TABLE-1 AUTOMATED'!F1553,PRICES!$D$2:$D$658,'MAIN TABLE-1 AUTOMATED'!O1553))</f>
        <v/>
      </c>
      <c r="R1553" s="41" t="str">
        <f>IF(Table1[[#This Row],[QUANTITY]]=0,"",Table1[[#This Row],[UNIT PRICE]]*Table1[[#This Row],[QUANTITY]])</f>
        <v/>
      </c>
      <c r="S1553" s="89"/>
      <c r="T1553" s="38"/>
      <c r="U1553" s="43"/>
      <c r="V1553" s="42" t="str">
        <f>IF(Table1[[#This Row],[DATE]]=0,"",YEAR(E1553))</f>
        <v/>
      </c>
      <c r="W1553" s="40" t="str">
        <f t="shared" si="48"/>
        <v/>
      </c>
      <c r="X1553" s="40" t="str">
        <f t="shared" si="49"/>
        <v/>
      </c>
      <c r="Y1553" s="40" t="str">
        <f>TEXT(Table1[[#This Row],[YEAR]],"0000")&amp;"-"&amp;Table1[[#This Row],[MONTH]]</f>
        <v>-</v>
      </c>
    </row>
    <row r="1554" spans="1:25" ht="15" customHeight="1" x14ac:dyDescent="0.35">
      <c r="A1554" s="24"/>
      <c r="B1554" s="38"/>
      <c r="C1554" s="38"/>
      <c r="D1554" s="38"/>
      <c r="E1554" s="37"/>
      <c r="F1554" s="38"/>
      <c r="G1554" s="198"/>
      <c r="H1554" s="198"/>
      <c r="I1554" s="39"/>
      <c r="J1554" s="38"/>
      <c r="K1554" s="198"/>
      <c r="L1554" s="38"/>
      <c r="M1554" s="38"/>
      <c r="N1554" s="38"/>
      <c r="O1554" s="38"/>
      <c r="P1554" s="40" t="str" cm="1">
        <f t="array" ref="P1554">IF(N1554="","",IFERROR(_xlfn.XLOOKUP(F1554&amp;"|"&amp;J1554&amp;"|"&amp;O1554,PRICES!$C$2:$C$659&amp;"|"&amp;PRICES!$B$2:$B$659&amp;"|"&amp;PRICES!$D$2:$D$659,PRICES!$E$2:$E$659),"Not Found"))</f>
        <v/>
      </c>
      <c r="Q1554" s="100" t="str">
        <f>IF(N1554=0,"",SUMIFS(PRICES!$G$2:$G$658,PRICES!$B$2:$B$658,'MAIN TABLE-1 AUTOMATED'!J1554,PRICES!$C$2:$C$658,'MAIN TABLE-1 AUTOMATED'!F1554,PRICES!$D$2:$D$658,'MAIN TABLE-1 AUTOMATED'!O1554))</f>
        <v/>
      </c>
      <c r="R1554" s="41" t="str">
        <f>IF(Table1[[#This Row],[QUANTITY]]=0,"",Table1[[#This Row],[UNIT PRICE]]*Table1[[#This Row],[QUANTITY]])</f>
        <v/>
      </c>
      <c r="S1554" s="89"/>
      <c r="T1554" s="38"/>
      <c r="U1554" s="43"/>
      <c r="V1554" s="42" t="str">
        <f>IF(Table1[[#This Row],[DATE]]=0,"",YEAR(E1554))</f>
        <v/>
      </c>
      <c r="W1554" s="40" t="str">
        <f t="shared" si="48"/>
        <v/>
      </c>
      <c r="X1554" s="40" t="str">
        <f t="shared" si="49"/>
        <v/>
      </c>
      <c r="Y1554" s="40" t="str">
        <f>TEXT(Table1[[#This Row],[YEAR]],"0000")&amp;"-"&amp;Table1[[#This Row],[MONTH]]</f>
        <v>-</v>
      </c>
    </row>
    <row r="1555" spans="1:25" ht="15" customHeight="1" x14ac:dyDescent="0.35">
      <c r="A1555" s="24"/>
      <c r="B1555" s="38"/>
      <c r="C1555" s="38"/>
      <c r="D1555" s="38"/>
      <c r="E1555" s="37"/>
      <c r="F1555" s="38"/>
      <c r="G1555" s="198"/>
      <c r="H1555" s="198"/>
      <c r="I1555" s="39"/>
      <c r="J1555" s="38"/>
      <c r="K1555" s="198"/>
      <c r="L1555" s="38"/>
      <c r="M1555" s="38"/>
      <c r="N1555" s="38"/>
      <c r="O1555" s="38"/>
      <c r="P1555" s="40" t="str" cm="1">
        <f t="array" ref="P1555">IF(N1555="","",IFERROR(_xlfn.XLOOKUP(F1555&amp;"|"&amp;J1555&amp;"|"&amp;O1555,PRICES!$C$2:$C$659&amp;"|"&amp;PRICES!$B$2:$B$659&amp;"|"&amp;PRICES!$D$2:$D$659,PRICES!$E$2:$E$659),"Not Found"))</f>
        <v/>
      </c>
      <c r="Q1555" s="100" t="str">
        <f>IF(N1555=0,"",SUMIFS(PRICES!$G$2:$G$658,PRICES!$B$2:$B$658,'MAIN TABLE-1 AUTOMATED'!J1555,PRICES!$C$2:$C$658,'MAIN TABLE-1 AUTOMATED'!F1555,PRICES!$D$2:$D$658,'MAIN TABLE-1 AUTOMATED'!O1555))</f>
        <v/>
      </c>
      <c r="R1555" s="41" t="str">
        <f>IF(Table1[[#This Row],[QUANTITY]]=0,"",Table1[[#This Row],[UNIT PRICE]]*Table1[[#This Row],[QUANTITY]])</f>
        <v/>
      </c>
      <c r="S1555" s="89"/>
      <c r="T1555" s="38"/>
      <c r="U1555" s="43"/>
      <c r="V1555" s="42" t="str">
        <f>IF(Table1[[#This Row],[DATE]]=0,"",YEAR(E1555))</f>
        <v/>
      </c>
      <c r="W1555" s="40" t="str">
        <f t="shared" si="48"/>
        <v/>
      </c>
      <c r="X1555" s="40" t="str">
        <f t="shared" si="49"/>
        <v/>
      </c>
      <c r="Y1555" s="40" t="str">
        <f>TEXT(Table1[[#This Row],[YEAR]],"0000")&amp;"-"&amp;Table1[[#This Row],[MONTH]]</f>
        <v>-</v>
      </c>
    </row>
    <row r="1556" spans="1:25" ht="15" customHeight="1" x14ac:dyDescent="0.35">
      <c r="A1556" s="24"/>
      <c r="B1556" s="38"/>
      <c r="C1556" s="38"/>
      <c r="D1556" s="38"/>
      <c r="E1556" s="37"/>
      <c r="F1556" s="38"/>
      <c r="G1556" s="198"/>
      <c r="H1556" s="198"/>
      <c r="I1556" s="39"/>
      <c r="J1556" s="38"/>
      <c r="K1556" s="198"/>
      <c r="L1556" s="38"/>
      <c r="M1556" s="38"/>
      <c r="N1556" s="38"/>
      <c r="O1556" s="38"/>
      <c r="P1556" s="40" t="str" cm="1">
        <f t="array" ref="P1556">IF(N1556="","",IFERROR(_xlfn.XLOOKUP(F1556&amp;"|"&amp;J1556&amp;"|"&amp;O1556,PRICES!$C$2:$C$659&amp;"|"&amp;PRICES!$B$2:$B$659&amp;"|"&amp;PRICES!$D$2:$D$659,PRICES!$E$2:$E$659),"Not Found"))</f>
        <v/>
      </c>
      <c r="Q1556" s="100" t="str">
        <f>IF(N1556=0,"",SUMIFS(PRICES!$G$2:$G$658,PRICES!$B$2:$B$658,'MAIN TABLE-1 AUTOMATED'!J1556,PRICES!$C$2:$C$658,'MAIN TABLE-1 AUTOMATED'!F1556,PRICES!$D$2:$D$658,'MAIN TABLE-1 AUTOMATED'!O1556))</f>
        <v/>
      </c>
      <c r="R1556" s="41" t="str">
        <f>IF(Table1[[#This Row],[QUANTITY]]=0,"",Table1[[#This Row],[UNIT PRICE]]*Table1[[#This Row],[QUANTITY]])</f>
        <v/>
      </c>
      <c r="S1556" s="89"/>
      <c r="T1556" s="38"/>
      <c r="U1556" s="43"/>
      <c r="V1556" s="42" t="str">
        <f>IF(Table1[[#This Row],[DATE]]=0,"",YEAR(E1556))</f>
        <v/>
      </c>
      <c r="W1556" s="40" t="str">
        <f t="shared" si="48"/>
        <v/>
      </c>
      <c r="X1556" s="40" t="str">
        <f t="shared" si="49"/>
        <v/>
      </c>
      <c r="Y1556" s="40" t="str">
        <f>TEXT(Table1[[#This Row],[YEAR]],"0000")&amp;"-"&amp;Table1[[#This Row],[MONTH]]</f>
        <v>-</v>
      </c>
    </row>
    <row r="1557" spans="1:25" ht="15" customHeight="1" x14ac:dyDescent="0.35">
      <c r="A1557" s="24"/>
      <c r="B1557" s="38"/>
      <c r="C1557" s="38"/>
      <c r="D1557" s="38"/>
      <c r="E1557" s="37"/>
      <c r="F1557" s="38"/>
      <c r="G1557" s="198"/>
      <c r="H1557" s="198"/>
      <c r="I1557" s="39"/>
      <c r="J1557" s="38"/>
      <c r="K1557" s="198"/>
      <c r="L1557" s="38"/>
      <c r="M1557" s="38"/>
      <c r="N1557" s="38"/>
      <c r="O1557" s="38"/>
      <c r="P1557" s="40" t="str" cm="1">
        <f t="array" ref="P1557">IF(N1557="","",IFERROR(_xlfn.XLOOKUP(F1557&amp;"|"&amp;J1557&amp;"|"&amp;O1557,PRICES!$C$2:$C$659&amp;"|"&amp;PRICES!$B$2:$B$659&amp;"|"&amp;PRICES!$D$2:$D$659,PRICES!$E$2:$E$659),"Not Found"))</f>
        <v/>
      </c>
      <c r="Q1557" s="100" t="str">
        <f>IF(N1557=0,"",SUMIFS(PRICES!$G$2:$G$658,PRICES!$B$2:$B$658,'MAIN TABLE-1 AUTOMATED'!J1557,PRICES!$C$2:$C$658,'MAIN TABLE-1 AUTOMATED'!F1557,PRICES!$D$2:$D$658,'MAIN TABLE-1 AUTOMATED'!O1557))</f>
        <v/>
      </c>
      <c r="R1557" s="41" t="str">
        <f>IF(Table1[[#This Row],[QUANTITY]]=0,"",Table1[[#This Row],[UNIT PRICE]]*Table1[[#This Row],[QUANTITY]])</f>
        <v/>
      </c>
      <c r="S1557" s="89"/>
      <c r="T1557" s="38"/>
      <c r="U1557" s="43"/>
      <c r="V1557" s="42" t="str">
        <f>IF(Table1[[#This Row],[DATE]]=0,"",YEAR(E1557))</f>
        <v/>
      </c>
      <c r="W1557" s="40" t="str">
        <f t="shared" si="48"/>
        <v/>
      </c>
      <c r="X1557" s="40" t="str">
        <f t="shared" si="49"/>
        <v/>
      </c>
      <c r="Y1557" s="40" t="str">
        <f>TEXT(Table1[[#This Row],[YEAR]],"0000")&amp;"-"&amp;Table1[[#This Row],[MONTH]]</f>
        <v>-</v>
      </c>
    </row>
    <row r="1558" spans="1:25" ht="15" customHeight="1" x14ac:dyDescent="0.35">
      <c r="A1558" s="24"/>
      <c r="B1558" s="38"/>
      <c r="C1558" s="38"/>
      <c r="D1558" s="38"/>
      <c r="E1558" s="37"/>
      <c r="F1558" s="38"/>
      <c r="G1558" s="198"/>
      <c r="H1558" s="198"/>
      <c r="I1558" s="39"/>
      <c r="J1558" s="38"/>
      <c r="K1558" s="198"/>
      <c r="L1558" s="38"/>
      <c r="M1558" s="38"/>
      <c r="N1558" s="38"/>
      <c r="O1558" s="38"/>
      <c r="P1558" s="40" t="str" cm="1">
        <f t="array" ref="P1558">IF(N1558="","",IFERROR(_xlfn.XLOOKUP(F1558&amp;"|"&amp;J1558&amp;"|"&amp;O1558,PRICES!$C$2:$C$659&amp;"|"&amp;PRICES!$B$2:$B$659&amp;"|"&amp;PRICES!$D$2:$D$659,PRICES!$E$2:$E$659),"Not Found"))</f>
        <v/>
      </c>
      <c r="Q1558" s="100" t="str">
        <f>IF(N1558=0,"",SUMIFS(PRICES!$G$2:$G$658,PRICES!$B$2:$B$658,'MAIN TABLE-1 AUTOMATED'!J1558,PRICES!$C$2:$C$658,'MAIN TABLE-1 AUTOMATED'!F1558,PRICES!$D$2:$D$658,'MAIN TABLE-1 AUTOMATED'!O1558))</f>
        <v/>
      </c>
      <c r="R1558" s="41" t="str">
        <f>IF(Table1[[#This Row],[QUANTITY]]=0,"",Table1[[#This Row],[UNIT PRICE]]*Table1[[#This Row],[QUANTITY]])</f>
        <v/>
      </c>
      <c r="S1558" s="89"/>
      <c r="T1558" s="38"/>
      <c r="U1558" s="43"/>
      <c r="V1558" s="42" t="str">
        <f>IF(Table1[[#This Row],[DATE]]=0,"",YEAR(E1558))</f>
        <v/>
      </c>
      <c r="W1558" s="40" t="str">
        <f t="shared" si="48"/>
        <v/>
      </c>
      <c r="X1558" s="40" t="str">
        <f t="shared" si="49"/>
        <v/>
      </c>
      <c r="Y1558" s="40" t="str">
        <f>TEXT(Table1[[#This Row],[YEAR]],"0000")&amp;"-"&amp;Table1[[#This Row],[MONTH]]</f>
        <v>-</v>
      </c>
    </row>
    <row r="1559" spans="1:25" ht="15" customHeight="1" x14ac:dyDescent="0.35">
      <c r="A1559" s="24"/>
      <c r="B1559" s="38"/>
      <c r="C1559" s="38"/>
      <c r="D1559" s="38"/>
      <c r="E1559" s="37"/>
      <c r="F1559" s="38"/>
      <c r="G1559" s="198"/>
      <c r="H1559" s="198"/>
      <c r="I1559" s="39"/>
      <c r="J1559" s="38"/>
      <c r="K1559" s="198"/>
      <c r="L1559" s="38"/>
      <c r="M1559" s="38"/>
      <c r="N1559" s="38"/>
      <c r="O1559" s="38"/>
      <c r="P1559" s="40" t="str" cm="1">
        <f t="array" ref="P1559">IF(N1559="","",IFERROR(_xlfn.XLOOKUP(F1559&amp;"|"&amp;J1559&amp;"|"&amp;O1559,PRICES!$C$2:$C$659&amp;"|"&amp;PRICES!$B$2:$B$659&amp;"|"&amp;PRICES!$D$2:$D$659,PRICES!$E$2:$E$659),"Not Found"))</f>
        <v/>
      </c>
      <c r="Q1559" s="100" t="str">
        <f>IF(N1559=0,"",SUMIFS(PRICES!$G$2:$G$658,PRICES!$B$2:$B$658,'MAIN TABLE-1 AUTOMATED'!J1559,PRICES!$C$2:$C$658,'MAIN TABLE-1 AUTOMATED'!F1559,PRICES!$D$2:$D$658,'MAIN TABLE-1 AUTOMATED'!O1559))</f>
        <v/>
      </c>
      <c r="R1559" s="41" t="str">
        <f>IF(Table1[[#This Row],[QUANTITY]]=0,"",Table1[[#This Row],[UNIT PRICE]]*Table1[[#This Row],[QUANTITY]])</f>
        <v/>
      </c>
      <c r="S1559" s="89"/>
      <c r="T1559" s="38"/>
      <c r="U1559" s="43"/>
      <c r="V1559" s="42" t="str">
        <f>IF(Table1[[#This Row],[DATE]]=0,"",YEAR(E1559))</f>
        <v/>
      </c>
      <c r="W1559" s="40" t="str">
        <f t="shared" si="48"/>
        <v/>
      </c>
      <c r="X1559" s="40" t="str">
        <f t="shared" si="49"/>
        <v/>
      </c>
      <c r="Y1559" s="40" t="str">
        <f>TEXT(Table1[[#This Row],[YEAR]],"0000")&amp;"-"&amp;Table1[[#This Row],[MONTH]]</f>
        <v>-</v>
      </c>
    </row>
    <row r="1560" spans="1:25" ht="15" customHeight="1" x14ac:dyDescent="0.35">
      <c r="A1560" s="24"/>
      <c r="B1560" s="38"/>
      <c r="C1560" s="38"/>
      <c r="D1560" s="38"/>
      <c r="E1560" s="37"/>
      <c r="F1560" s="38"/>
      <c r="G1560" s="198"/>
      <c r="H1560" s="198"/>
      <c r="I1560" s="39"/>
      <c r="J1560" s="38"/>
      <c r="K1560" s="198"/>
      <c r="L1560" s="38"/>
      <c r="M1560" s="38"/>
      <c r="N1560" s="38"/>
      <c r="O1560" s="38"/>
      <c r="P1560" s="40" t="str" cm="1">
        <f t="array" ref="P1560">IF(N1560="","",IFERROR(_xlfn.XLOOKUP(F1560&amp;"|"&amp;J1560&amp;"|"&amp;O1560,PRICES!$C$2:$C$659&amp;"|"&amp;PRICES!$B$2:$B$659&amp;"|"&amp;PRICES!$D$2:$D$659,PRICES!$E$2:$E$659),"Not Found"))</f>
        <v/>
      </c>
      <c r="Q1560" s="100" t="str">
        <f>IF(N1560=0,"",SUMIFS(PRICES!$G$2:$G$658,PRICES!$B$2:$B$658,'MAIN TABLE-1 AUTOMATED'!J1560,PRICES!$C$2:$C$658,'MAIN TABLE-1 AUTOMATED'!F1560,PRICES!$D$2:$D$658,'MAIN TABLE-1 AUTOMATED'!O1560))</f>
        <v/>
      </c>
      <c r="R1560" s="41" t="str">
        <f>IF(Table1[[#This Row],[QUANTITY]]=0,"",Table1[[#This Row],[UNIT PRICE]]*Table1[[#This Row],[QUANTITY]])</f>
        <v/>
      </c>
      <c r="S1560" s="89"/>
      <c r="T1560" s="38"/>
      <c r="U1560" s="43"/>
      <c r="V1560" s="42" t="str">
        <f>IF(Table1[[#This Row],[DATE]]=0,"",YEAR(E1560))</f>
        <v/>
      </c>
      <c r="W1560" s="40" t="str">
        <f t="shared" si="48"/>
        <v/>
      </c>
      <c r="X1560" s="40" t="str">
        <f t="shared" si="49"/>
        <v/>
      </c>
      <c r="Y1560" s="40" t="str">
        <f>TEXT(Table1[[#This Row],[YEAR]],"0000")&amp;"-"&amp;Table1[[#This Row],[MONTH]]</f>
        <v>-</v>
      </c>
    </row>
    <row r="1561" spans="1:25" ht="15" customHeight="1" x14ac:dyDescent="0.35">
      <c r="A1561" s="24"/>
      <c r="B1561" s="38"/>
      <c r="C1561" s="38"/>
      <c r="D1561" s="38"/>
      <c r="E1561" s="37"/>
      <c r="F1561" s="38"/>
      <c r="G1561" s="198"/>
      <c r="H1561" s="198"/>
      <c r="I1561" s="39"/>
      <c r="J1561" s="38"/>
      <c r="K1561" s="198"/>
      <c r="L1561" s="38"/>
      <c r="M1561" s="38"/>
      <c r="N1561" s="38"/>
      <c r="O1561" s="38"/>
      <c r="P1561" s="40" t="str" cm="1">
        <f t="array" ref="P1561">IF(N1561="","",IFERROR(_xlfn.XLOOKUP(F1561&amp;"|"&amp;J1561&amp;"|"&amp;O1561,PRICES!$C$2:$C$659&amp;"|"&amp;PRICES!$B$2:$B$659&amp;"|"&amp;PRICES!$D$2:$D$659,PRICES!$E$2:$E$659),"Not Found"))</f>
        <v/>
      </c>
      <c r="Q1561" s="100" t="str">
        <f>IF(N1561=0,"",SUMIFS(PRICES!$G$2:$G$658,PRICES!$B$2:$B$658,'MAIN TABLE-1 AUTOMATED'!J1561,PRICES!$C$2:$C$658,'MAIN TABLE-1 AUTOMATED'!F1561,PRICES!$D$2:$D$658,'MAIN TABLE-1 AUTOMATED'!O1561))</f>
        <v/>
      </c>
      <c r="R1561" s="41" t="str">
        <f>IF(Table1[[#This Row],[QUANTITY]]=0,"",Table1[[#This Row],[UNIT PRICE]]*Table1[[#This Row],[QUANTITY]])</f>
        <v/>
      </c>
      <c r="S1561" s="89"/>
      <c r="T1561" s="38"/>
      <c r="U1561" s="43"/>
      <c r="V1561" s="42" t="str">
        <f>IF(Table1[[#This Row],[DATE]]=0,"",YEAR(E1561))</f>
        <v/>
      </c>
      <c r="W1561" s="40" t="str">
        <f t="shared" si="48"/>
        <v/>
      </c>
      <c r="X1561" s="40" t="str">
        <f t="shared" si="49"/>
        <v/>
      </c>
      <c r="Y1561" s="40" t="str">
        <f>TEXT(Table1[[#This Row],[YEAR]],"0000")&amp;"-"&amp;Table1[[#This Row],[MONTH]]</f>
        <v>-</v>
      </c>
    </row>
    <row r="1562" spans="1:25" ht="15" customHeight="1" x14ac:dyDescent="0.35">
      <c r="A1562" s="24"/>
      <c r="B1562" s="38"/>
      <c r="C1562" s="38"/>
      <c r="D1562" s="38"/>
      <c r="E1562" s="37"/>
      <c r="F1562" s="38"/>
      <c r="G1562" s="198"/>
      <c r="H1562" s="198"/>
      <c r="I1562" s="39"/>
      <c r="J1562" s="38"/>
      <c r="K1562" s="198"/>
      <c r="L1562" s="38"/>
      <c r="M1562" s="38"/>
      <c r="N1562" s="38"/>
      <c r="O1562" s="38"/>
      <c r="P1562" s="40" t="str" cm="1">
        <f t="array" ref="P1562">IF(N1562="","",IFERROR(_xlfn.XLOOKUP(F1562&amp;"|"&amp;J1562&amp;"|"&amp;O1562,PRICES!$C$2:$C$659&amp;"|"&amp;PRICES!$B$2:$B$659&amp;"|"&amp;PRICES!$D$2:$D$659,PRICES!$E$2:$E$659),"Not Found"))</f>
        <v/>
      </c>
      <c r="Q1562" s="100" t="str">
        <f>IF(N1562=0,"",SUMIFS(PRICES!$G$2:$G$658,PRICES!$B$2:$B$658,'MAIN TABLE-1 AUTOMATED'!J1562,PRICES!$C$2:$C$658,'MAIN TABLE-1 AUTOMATED'!F1562,PRICES!$D$2:$D$658,'MAIN TABLE-1 AUTOMATED'!O1562))</f>
        <v/>
      </c>
      <c r="R1562" s="41" t="str">
        <f>IF(Table1[[#This Row],[QUANTITY]]=0,"",Table1[[#This Row],[UNIT PRICE]]*Table1[[#This Row],[QUANTITY]])</f>
        <v/>
      </c>
      <c r="S1562" s="89"/>
      <c r="T1562" s="38"/>
      <c r="U1562" s="43"/>
      <c r="V1562" s="42" t="str">
        <f>IF(Table1[[#This Row],[DATE]]=0,"",YEAR(E1562))</f>
        <v/>
      </c>
      <c r="W1562" s="40" t="str">
        <f t="shared" si="48"/>
        <v/>
      </c>
      <c r="X1562" s="40" t="str">
        <f t="shared" si="49"/>
        <v/>
      </c>
      <c r="Y1562" s="40" t="str">
        <f>TEXT(Table1[[#This Row],[YEAR]],"0000")&amp;"-"&amp;Table1[[#This Row],[MONTH]]</f>
        <v>-</v>
      </c>
    </row>
    <row r="1563" spans="1:25" ht="15" customHeight="1" x14ac:dyDescent="0.35">
      <c r="A1563" s="24"/>
      <c r="B1563" s="38"/>
      <c r="C1563" s="38"/>
      <c r="D1563" s="38"/>
      <c r="E1563" s="37"/>
      <c r="F1563" s="38"/>
      <c r="G1563" s="198"/>
      <c r="H1563" s="198"/>
      <c r="I1563" s="39"/>
      <c r="J1563" s="38"/>
      <c r="K1563" s="198"/>
      <c r="L1563" s="38"/>
      <c r="M1563" s="38"/>
      <c r="N1563" s="38"/>
      <c r="O1563" s="38"/>
      <c r="P1563" s="40" t="str" cm="1">
        <f t="array" ref="P1563">IF(N1563="","",IFERROR(_xlfn.XLOOKUP(F1563&amp;"|"&amp;J1563&amp;"|"&amp;O1563,PRICES!$C$2:$C$659&amp;"|"&amp;PRICES!$B$2:$B$659&amp;"|"&amp;PRICES!$D$2:$D$659,PRICES!$E$2:$E$659),"Not Found"))</f>
        <v/>
      </c>
      <c r="Q1563" s="100" t="str">
        <f>IF(N1563=0,"",SUMIFS(PRICES!$G$2:$G$658,PRICES!$B$2:$B$658,'MAIN TABLE-1 AUTOMATED'!J1563,PRICES!$C$2:$C$658,'MAIN TABLE-1 AUTOMATED'!F1563,PRICES!$D$2:$D$658,'MAIN TABLE-1 AUTOMATED'!O1563))</f>
        <v/>
      </c>
      <c r="R1563" s="41" t="str">
        <f>IF(Table1[[#This Row],[QUANTITY]]=0,"",Table1[[#This Row],[UNIT PRICE]]*Table1[[#This Row],[QUANTITY]])</f>
        <v/>
      </c>
      <c r="S1563" s="89"/>
      <c r="T1563" s="38"/>
      <c r="U1563" s="43"/>
      <c r="V1563" s="42" t="str">
        <f>IF(Table1[[#This Row],[DATE]]=0,"",YEAR(E1563))</f>
        <v/>
      </c>
      <c r="W1563" s="40" t="str">
        <f t="shared" si="48"/>
        <v/>
      </c>
      <c r="X1563" s="40" t="str">
        <f t="shared" si="49"/>
        <v/>
      </c>
      <c r="Y1563" s="40" t="str">
        <f>TEXT(Table1[[#This Row],[YEAR]],"0000")&amp;"-"&amp;Table1[[#This Row],[MONTH]]</f>
        <v>-</v>
      </c>
    </row>
    <row r="1564" spans="1:25" ht="15" customHeight="1" x14ac:dyDescent="0.35">
      <c r="A1564" s="24"/>
      <c r="B1564" s="38"/>
      <c r="C1564" s="38"/>
      <c r="D1564" s="38"/>
      <c r="E1564" s="37"/>
      <c r="F1564" s="38"/>
      <c r="G1564" s="198"/>
      <c r="H1564" s="198"/>
      <c r="I1564" s="39"/>
      <c r="J1564" s="38"/>
      <c r="K1564" s="198"/>
      <c r="L1564" s="38"/>
      <c r="M1564" s="38"/>
      <c r="N1564" s="38"/>
      <c r="O1564" s="38"/>
      <c r="P1564" s="40" t="str" cm="1">
        <f t="array" ref="P1564">IF(N1564="","",IFERROR(_xlfn.XLOOKUP(F1564&amp;"|"&amp;J1564&amp;"|"&amp;O1564,PRICES!$C$2:$C$659&amp;"|"&amp;PRICES!$B$2:$B$659&amp;"|"&amp;PRICES!$D$2:$D$659,PRICES!$E$2:$E$659),"Not Found"))</f>
        <v/>
      </c>
      <c r="Q1564" s="100" t="str">
        <f>IF(N1564=0,"",SUMIFS(PRICES!$G$2:$G$658,PRICES!$B$2:$B$658,'MAIN TABLE-1 AUTOMATED'!J1564,PRICES!$C$2:$C$658,'MAIN TABLE-1 AUTOMATED'!F1564,PRICES!$D$2:$D$658,'MAIN TABLE-1 AUTOMATED'!O1564))</f>
        <v/>
      </c>
      <c r="R1564" s="41" t="str">
        <f>IF(Table1[[#This Row],[QUANTITY]]=0,"",Table1[[#This Row],[UNIT PRICE]]*Table1[[#This Row],[QUANTITY]])</f>
        <v/>
      </c>
      <c r="S1564" s="89"/>
      <c r="T1564" s="38"/>
      <c r="U1564" s="43"/>
      <c r="V1564" s="42" t="str">
        <f>IF(Table1[[#This Row],[DATE]]=0,"",YEAR(E1564))</f>
        <v/>
      </c>
      <c r="W1564" s="40" t="str">
        <f t="shared" si="48"/>
        <v/>
      </c>
      <c r="X1564" s="40" t="str">
        <f t="shared" si="49"/>
        <v/>
      </c>
      <c r="Y1564" s="40" t="str">
        <f>TEXT(Table1[[#This Row],[YEAR]],"0000")&amp;"-"&amp;Table1[[#This Row],[MONTH]]</f>
        <v>-</v>
      </c>
    </row>
    <row r="1565" spans="1:25" ht="15" customHeight="1" x14ac:dyDescent="0.35">
      <c r="A1565" s="24"/>
      <c r="B1565" s="38"/>
      <c r="C1565" s="38"/>
      <c r="D1565" s="38"/>
      <c r="E1565" s="37"/>
      <c r="F1565" s="38"/>
      <c r="G1565" s="198"/>
      <c r="H1565" s="198"/>
      <c r="I1565" s="39"/>
      <c r="J1565" s="38"/>
      <c r="K1565" s="198"/>
      <c r="L1565" s="38"/>
      <c r="M1565" s="38"/>
      <c r="N1565" s="38"/>
      <c r="O1565" s="38"/>
      <c r="P1565" s="40" t="str" cm="1">
        <f t="array" ref="P1565">IF(N1565="","",IFERROR(_xlfn.XLOOKUP(F1565&amp;"|"&amp;J1565&amp;"|"&amp;O1565,PRICES!$C$2:$C$659&amp;"|"&amp;PRICES!$B$2:$B$659&amp;"|"&amp;PRICES!$D$2:$D$659,PRICES!$E$2:$E$659),"Not Found"))</f>
        <v/>
      </c>
      <c r="Q1565" s="100" t="str">
        <f>IF(N1565=0,"",SUMIFS(PRICES!$G$2:$G$658,PRICES!$B$2:$B$658,'MAIN TABLE-1 AUTOMATED'!J1565,PRICES!$C$2:$C$658,'MAIN TABLE-1 AUTOMATED'!F1565,PRICES!$D$2:$D$658,'MAIN TABLE-1 AUTOMATED'!O1565))</f>
        <v/>
      </c>
      <c r="R1565" s="41" t="str">
        <f>IF(Table1[[#This Row],[QUANTITY]]=0,"",Table1[[#This Row],[UNIT PRICE]]*Table1[[#This Row],[QUANTITY]])</f>
        <v/>
      </c>
      <c r="S1565" s="89"/>
      <c r="T1565" s="38"/>
      <c r="U1565" s="43"/>
      <c r="V1565" s="42" t="str">
        <f>IF(Table1[[#This Row],[DATE]]=0,"",YEAR(E1565))</f>
        <v/>
      </c>
      <c r="W1565" s="40" t="str">
        <f t="shared" si="48"/>
        <v/>
      </c>
      <c r="X1565" s="40" t="str">
        <f t="shared" si="49"/>
        <v/>
      </c>
      <c r="Y1565" s="40" t="str">
        <f>TEXT(Table1[[#This Row],[YEAR]],"0000")&amp;"-"&amp;Table1[[#This Row],[MONTH]]</f>
        <v>-</v>
      </c>
    </row>
    <row r="1566" spans="1:25" ht="15" customHeight="1" x14ac:dyDescent="0.35">
      <c r="A1566" s="24"/>
      <c r="B1566" s="38"/>
      <c r="C1566" s="38"/>
      <c r="D1566" s="38"/>
      <c r="E1566" s="37"/>
      <c r="F1566" s="38"/>
      <c r="G1566" s="198"/>
      <c r="H1566" s="198"/>
      <c r="I1566" s="39"/>
      <c r="J1566" s="38"/>
      <c r="K1566" s="198"/>
      <c r="L1566" s="38"/>
      <c r="M1566" s="38"/>
      <c r="N1566" s="38"/>
      <c r="O1566" s="38"/>
      <c r="P1566" s="40" t="str" cm="1">
        <f t="array" ref="P1566">IF(N1566="","",IFERROR(_xlfn.XLOOKUP(F1566&amp;"|"&amp;J1566&amp;"|"&amp;O1566,PRICES!$C$2:$C$659&amp;"|"&amp;PRICES!$B$2:$B$659&amp;"|"&amp;PRICES!$D$2:$D$659,PRICES!$E$2:$E$659),"Not Found"))</f>
        <v/>
      </c>
      <c r="Q1566" s="100" t="str">
        <f>IF(N1566=0,"",SUMIFS(PRICES!$G$2:$G$658,PRICES!$B$2:$B$658,'MAIN TABLE-1 AUTOMATED'!J1566,PRICES!$C$2:$C$658,'MAIN TABLE-1 AUTOMATED'!F1566,PRICES!$D$2:$D$658,'MAIN TABLE-1 AUTOMATED'!O1566))</f>
        <v/>
      </c>
      <c r="R1566" s="41" t="str">
        <f>IF(Table1[[#This Row],[QUANTITY]]=0,"",Table1[[#This Row],[UNIT PRICE]]*Table1[[#This Row],[QUANTITY]])</f>
        <v/>
      </c>
      <c r="S1566" s="89"/>
      <c r="T1566" s="38"/>
      <c r="U1566" s="43"/>
      <c r="V1566" s="42" t="str">
        <f>IF(Table1[[#This Row],[DATE]]=0,"",YEAR(E1566))</f>
        <v/>
      </c>
      <c r="W1566" s="40" t="str">
        <f t="shared" si="48"/>
        <v/>
      </c>
      <c r="X1566" s="40" t="str">
        <f t="shared" si="49"/>
        <v/>
      </c>
      <c r="Y1566" s="40" t="str">
        <f>TEXT(Table1[[#This Row],[YEAR]],"0000")&amp;"-"&amp;Table1[[#This Row],[MONTH]]</f>
        <v>-</v>
      </c>
    </row>
    <row r="1567" spans="1:25" ht="15" customHeight="1" x14ac:dyDescent="0.35">
      <c r="A1567" s="24"/>
      <c r="B1567" s="38"/>
      <c r="C1567" s="38"/>
      <c r="D1567" s="38"/>
      <c r="E1567" s="37"/>
      <c r="F1567" s="38"/>
      <c r="G1567" s="198"/>
      <c r="H1567" s="198"/>
      <c r="I1567" s="39"/>
      <c r="J1567" s="38"/>
      <c r="K1567" s="198"/>
      <c r="L1567" s="38"/>
      <c r="M1567" s="38"/>
      <c r="N1567" s="38"/>
      <c r="O1567" s="38"/>
      <c r="P1567" s="40" t="str" cm="1">
        <f t="array" ref="P1567">IF(N1567="","",IFERROR(_xlfn.XLOOKUP(F1567&amp;"|"&amp;J1567&amp;"|"&amp;O1567,PRICES!$C$2:$C$659&amp;"|"&amp;PRICES!$B$2:$B$659&amp;"|"&amp;PRICES!$D$2:$D$659,PRICES!$E$2:$E$659),"Not Found"))</f>
        <v/>
      </c>
      <c r="Q1567" s="100" t="str">
        <f>IF(N1567=0,"",SUMIFS(PRICES!$G$2:$G$658,PRICES!$B$2:$B$658,'MAIN TABLE-1 AUTOMATED'!J1567,PRICES!$C$2:$C$658,'MAIN TABLE-1 AUTOMATED'!F1567,PRICES!$D$2:$D$658,'MAIN TABLE-1 AUTOMATED'!O1567))</f>
        <v/>
      </c>
      <c r="R1567" s="41" t="str">
        <f>IF(Table1[[#This Row],[QUANTITY]]=0,"",Table1[[#This Row],[UNIT PRICE]]*Table1[[#This Row],[QUANTITY]])</f>
        <v/>
      </c>
      <c r="S1567" s="89"/>
      <c r="T1567" s="38"/>
      <c r="U1567" s="43"/>
      <c r="V1567" s="42" t="str">
        <f>IF(Table1[[#This Row],[DATE]]=0,"",YEAR(E1567))</f>
        <v/>
      </c>
      <c r="W1567" s="40" t="str">
        <f t="shared" ref="W1567:W1630" si="50">IF(E1567=0,"",MONTH(E1567))</f>
        <v/>
      </c>
      <c r="X1567" s="40" t="str">
        <f t="shared" ref="X1567:X1630" si="51">IF(E1567=0,"",WEEKNUM(E1567))</f>
        <v/>
      </c>
      <c r="Y1567" s="40" t="str">
        <f>TEXT(Table1[[#This Row],[YEAR]],"0000")&amp;"-"&amp;Table1[[#This Row],[MONTH]]</f>
        <v>-</v>
      </c>
    </row>
    <row r="1568" spans="1:25" ht="0.6" customHeight="1" x14ac:dyDescent="0.35">
      <c r="A1568" s="24"/>
      <c r="B1568" s="38"/>
      <c r="C1568" s="38"/>
      <c r="D1568" s="38"/>
      <c r="E1568" s="37"/>
      <c r="F1568" s="38"/>
      <c r="G1568" s="198"/>
      <c r="H1568" s="198"/>
      <c r="I1568" s="39"/>
      <c r="J1568" s="38"/>
      <c r="K1568" s="198"/>
      <c r="L1568" s="38"/>
      <c r="M1568" s="38"/>
      <c r="N1568" s="38"/>
      <c r="O1568" s="38"/>
      <c r="P1568" s="40" t="str" cm="1">
        <f t="array" ref="P1568">IF(N1568="","",IFERROR(_xlfn.XLOOKUP(F1568&amp;"|"&amp;J1568&amp;"|"&amp;O1568,PRICES!$C$2:$C$659&amp;"|"&amp;PRICES!$B$2:$B$659&amp;"|"&amp;PRICES!$D$2:$D$659,PRICES!$E$2:$E$659),"Not Found"))</f>
        <v/>
      </c>
      <c r="Q1568" s="100" t="str">
        <f>IF(N1568=0,"",SUMIFS(PRICES!$G$2:$G$658,PRICES!$B$2:$B$658,'MAIN TABLE-1 AUTOMATED'!J1568,PRICES!$C$2:$C$658,'MAIN TABLE-1 AUTOMATED'!F1568,PRICES!$D$2:$D$658,'MAIN TABLE-1 AUTOMATED'!O1568))</f>
        <v/>
      </c>
      <c r="R1568" s="41" t="str">
        <f>IF(Table1[[#This Row],[QUANTITY]]=0,"",Table1[[#This Row],[UNIT PRICE]]*Table1[[#This Row],[QUANTITY]])</f>
        <v/>
      </c>
      <c r="S1568" s="89"/>
      <c r="T1568" s="38"/>
      <c r="U1568" s="43"/>
      <c r="V1568" s="42" t="str">
        <f>IF(Table1[[#This Row],[DATE]]=0,"",YEAR(E1568))</f>
        <v/>
      </c>
      <c r="W1568" s="40" t="str">
        <f t="shared" si="50"/>
        <v/>
      </c>
      <c r="X1568" s="40" t="str">
        <f t="shared" si="51"/>
        <v/>
      </c>
      <c r="Y1568" s="40" t="str">
        <f>TEXT(Table1[[#This Row],[YEAR]],"0000")&amp;"-"&amp;Table1[[#This Row],[MONTH]]</f>
        <v>-</v>
      </c>
    </row>
    <row r="1569" spans="1:25" ht="15" customHeight="1" x14ac:dyDescent="0.35">
      <c r="A1569" s="24"/>
      <c r="B1569" s="38"/>
      <c r="C1569" s="38"/>
      <c r="D1569" s="38"/>
      <c r="E1569" s="37"/>
      <c r="F1569" s="38"/>
      <c r="G1569" s="198"/>
      <c r="H1569" s="198"/>
      <c r="I1569" s="39"/>
      <c r="J1569" s="38"/>
      <c r="K1569" s="198"/>
      <c r="L1569" s="38"/>
      <c r="M1569" s="38"/>
      <c r="N1569" s="38"/>
      <c r="O1569" s="38"/>
      <c r="P1569" s="40" t="str" cm="1">
        <f t="array" ref="P1569">IF(N1569="","",IFERROR(_xlfn.XLOOKUP(F1569&amp;"|"&amp;J1569&amp;"|"&amp;O1569,PRICES!$C$2:$C$659&amp;"|"&amp;PRICES!$B$2:$B$659&amp;"|"&amp;PRICES!$D$2:$D$659,PRICES!$E$2:$E$659),"Not Found"))</f>
        <v/>
      </c>
      <c r="Q1569" s="100" t="str">
        <f>IF(N1569=0,"",SUMIFS(PRICES!$G$2:$G$658,PRICES!$B$2:$B$658,'MAIN TABLE-1 AUTOMATED'!J1569,PRICES!$C$2:$C$658,'MAIN TABLE-1 AUTOMATED'!F1569,PRICES!$D$2:$D$658,'MAIN TABLE-1 AUTOMATED'!O1569))</f>
        <v/>
      </c>
      <c r="R1569" s="41" t="str">
        <f>IF(Table1[[#This Row],[QUANTITY]]=0,"",Table1[[#This Row],[UNIT PRICE]]*Table1[[#This Row],[QUANTITY]])</f>
        <v/>
      </c>
      <c r="S1569" s="89"/>
      <c r="T1569" s="38"/>
      <c r="U1569" s="43"/>
      <c r="V1569" s="42" t="str">
        <f>IF(Table1[[#This Row],[DATE]]=0,"",YEAR(E1569))</f>
        <v/>
      </c>
      <c r="W1569" s="40" t="str">
        <f t="shared" si="50"/>
        <v/>
      </c>
      <c r="X1569" s="40" t="str">
        <f t="shared" si="51"/>
        <v/>
      </c>
      <c r="Y1569" s="40" t="str">
        <f>TEXT(Table1[[#This Row],[YEAR]],"0000")&amp;"-"&amp;Table1[[#This Row],[MONTH]]</f>
        <v>-</v>
      </c>
    </row>
    <row r="1570" spans="1:25" ht="15" customHeight="1" x14ac:dyDescent="0.35">
      <c r="A1570" s="24"/>
      <c r="B1570" s="38"/>
      <c r="C1570" s="38"/>
      <c r="D1570" s="38"/>
      <c r="E1570" s="37"/>
      <c r="F1570" s="38"/>
      <c r="G1570" s="198"/>
      <c r="H1570" s="198"/>
      <c r="I1570" s="39"/>
      <c r="J1570" s="38"/>
      <c r="K1570" s="198"/>
      <c r="L1570" s="38"/>
      <c r="M1570" s="38"/>
      <c r="N1570" s="38"/>
      <c r="O1570" s="38"/>
      <c r="P1570" s="40" t="str" cm="1">
        <f t="array" ref="P1570">IF(N1570="","",IFERROR(_xlfn.XLOOKUP(F1570&amp;"|"&amp;J1570&amp;"|"&amp;O1570,PRICES!$C$2:$C$659&amp;"|"&amp;PRICES!$B$2:$B$659&amp;"|"&amp;PRICES!$D$2:$D$659,PRICES!$E$2:$E$659),"Not Found"))</f>
        <v/>
      </c>
      <c r="Q1570" s="100" t="str">
        <f>IF(N1570=0,"",SUMIFS(PRICES!$G$2:$G$658,PRICES!$B$2:$B$658,'MAIN TABLE-1 AUTOMATED'!J1570,PRICES!$C$2:$C$658,'MAIN TABLE-1 AUTOMATED'!F1570,PRICES!$D$2:$D$658,'MAIN TABLE-1 AUTOMATED'!O1570))</f>
        <v/>
      </c>
      <c r="R1570" s="41" t="str">
        <f>IF(Table1[[#This Row],[QUANTITY]]=0,"",Table1[[#This Row],[UNIT PRICE]]*Table1[[#This Row],[QUANTITY]])</f>
        <v/>
      </c>
      <c r="S1570" s="89"/>
      <c r="T1570" s="38"/>
      <c r="U1570" s="43"/>
      <c r="V1570" s="42" t="str">
        <f>IF(Table1[[#This Row],[DATE]]=0,"",YEAR(E1570))</f>
        <v/>
      </c>
      <c r="W1570" s="40" t="str">
        <f t="shared" si="50"/>
        <v/>
      </c>
      <c r="X1570" s="40" t="str">
        <f t="shared" si="51"/>
        <v/>
      </c>
      <c r="Y1570" s="40" t="str">
        <f>TEXT(Table1[[#This Row],[YEAR]],"0000")&amp;"-"&amp;Table1[[#This Row],[MONTH]]</f>
        <v>-</v>
      </c>
    </row>
    <row r="1571" spans="1:25" ht="15" customHeight="1" x14ac:dyDescent="0.35">
      <c r="A1571" s="24"/>
      <c r="B1571" s="38"/>
      <c r="C1571" s="38"/>
      <c r="D1571" s="38"/>
      <c r="E1571" s="37"/>
      <c r="F1571" s="38"/>
      <c r="G1571" s="198"/>
      <c r="H1571" s="198"/>
      <c r="I1571" s="39"/>
      <c r="J1571" s="38"/>
      <c r="K1571" s="198"/>
      <c r="L1571" s="38"/>
      <c r="M1571" s="38"/>
      <c r="N1571" s="38"/>
      <c r="O1571" s="38"/>
      <c r="P1571" s="40" t="str" cm="1">
        <f t="array" ref="P1571">IF(N1571="","",IFERROR(_xlfn.XLOOKUP(F1571&amp;"|"&amp;J1571&amp;"|"&amp;O1571,PRICES!$C$2:$C$659&amp;"|"&amp;PRICES!$B$2:$B$659&amp;"|"&amp;PRICES!$D$2:$D$659,PRICES!$E$2:$E$659),"Not Found"))</f>
        <v/>
      </c>
      <c r="Q1571" s="100" t="str">
        <f>IF(N1571=0,"",SUMIFS(PRICES!$G$2:$G$658,PRICES!$B$2:$B$658,'MAIN TABLE-1 AUTOMATED'!J1571,PRICES!$C$2:$C$658,'MAIN TABLE-1 AUTOMATED'!F1571,PRICES!$D$2:$D$658,'MAIN TABLE-1 AUTOMATED'!O1571))</f>
        <v/>
      </c>
      <c r="R1571" s="41" t="str">
        <f>IF(Table1[[#This Row],[QUANTITY]]=0,"",Table1[[#This Row],[UNIT PRICE]]*Table1[[#This Row],[QUANTITY]])</f>
        <v/>
      </c>
      <c r="S1571" s="89"/>
      <c r="T1571" s="38"/>
      <c r="U1571" s="43"/>
      <c r="V1571" s="42" t="str">
        <f>IF(Table1[[#This Row],[DATE]]=0,"",YEAR(E1571))</f>
        <v/>
      </c>
      <c r="W1571" s="40" t="str">
        <f t="shared" si="50"/>
        <v/>
      </c>
      <c r="X1571" s="40" t="str">
        <f t="shared" si="51"/>
        <v/>
      </c>
      <c r="Y1571" s="40" t="str">
        <f>TEXT(Table1[[#This Row],[YEAR]],"0000")&amp;"-"&amp;Table1[[#This Row],[MONTH]]</f>
        <v>-</v>
      </c>
    </row>
    <row r="1572" spans="1:25" ht="15" customHeight="1" x14ac:dyDescent="0.35">
      <c r="A1572" s="24"/>
      <c r="B1572" s="38"/>
      <c r="C1572" s="38"/>
      <c r="D1572" s="38"/>
      <c r="E1572" s="37"/>
      <c r="F1572" s="38"/>
      <c r="G1572" s="198"/>
      <c r="H1572" s="198"/>
      <c r="I1572" s="39"/>
      <c r="J1572" s="38"/>
      <c r="K1572" s="198"/>
      <c r="L1572" s="38"/>
      <c r="M1572" s="38"/>
      <c r="N1572" s="38"/>
      <c r="O1572" s="38"/>
      <c r="P1572" s="40" t="str" cm="1">
        <f t="array" ref="P1572">IF(N1572="","",IFERROR(_xlfn.XLOOKUP(F1572&amp;"|"&amp;J1572&amp;"|"&amp;O1572,PRICES!$C$2:$C$659&amp;"|"&amp;PRICES!$B$2:$B$659&amp;"|"&amp;PRICES!$D$2:$D$659,PRICES!$E$2:$E$659),"Not Found"))</f>
        <v/>
      </c>
      <c r="Q1572" s="100" t="str">
        <f>IF(N1572=0,"",SUMIFS(PRICES!$G$2:$G$658,PRICES!$B$2:$B$658,'MAIN TABLE-1 AUTOMATED'!J1572,PRICES!$C$2:$C$658,'MAIN TABLE-1 AUTOMATED'!F1572,PRICES!$D$2:$D$658,'MAIN TABLE-1 AUTOMATED'!O1572))</f>
        <v/>
      </c>
      <c r="R1572" s="41" t="str">
        <f>IF(Table1[[#This Row],[QUANTITY]]=0,"",Table1[[#This Row],[UNIT PRICE]]*Table1[[#This Row],[QUANTITY]])</f>
        <v/>
      </c>
      <c r="S1572" s="89"/>
      <c r="T1572" s="38"/>
      <c r="U1572" s="43"/>
      <c r="V1572" s="42" t="str">
        <f>IF(Table1[[#This Row],[DATE]]=0,"",YEAR(E1572))</f>
        <v/>
      </c>
      <c r="W1572" s="40" t="str">
        <f t="shared" si="50"/>
        <v/>
      </c>
      <c r="X1572" s="40" t="str">
        <f t="shared" si="51"/>
        <v/>
      </c>
      <c r="Y1572" s="40" t="str">
        <f>TEXT(Table1[[#This Row],[YEAR]],"0000")&amp;"-"&amp;Table1[[#This Row],[MONTH]]</f>
        <v>-</v>
      </c>
    </row>
    <row r="1573" spans="1:25" ht="15" customHeight="1" x14ac:dyDescent="0.35">
      <c r="A1573" s="24"/>
      <c r="B1573" s="38"/>
      <c r="C1573" s="38"/>
      <c r="D1573" s="38"/>
      <c r="E1573" s="37"/>
      <c r="F1573" s="38"/>
      <c r="G1573" s="198"/>
      <c r="H1573" s="198"/>
      <c r="I1573" s="39"/>
      <c r="J1573" s="38"/>
      <c r="K1573" s="198"/>
      <c r="L1573" s="38"/>
      <c r="M1573" s="38"/>
      <c r="N1573" s="38"/>
      <c r="O1573" s="38"/>
      <c r="P1573" s="40" t="str" cm="1">
        <f t="array" ref="P1573">IF(N1573="","",IFERROR(_xlfn.XLOOKUP(F1573&amp;"|"&amp;J1573&amp;"|"&amp;O1573,PRICES!$C$2:$C$659&amp;"|"&amp;PRICES!$B$2:$B$659&amp;"|"&amp;PRICES!$D$2:$D$659,PRICES!$E$2:$E$659),"Not Found"))</f>
        <v/>
      </c>
      <c r="Q1573" s="100" t="str">
        <f>IF(N1573=0,"",SUMIFS(PRICES!$G$2:$G$658,PRICES!$B$2:$B$658,'MAIN TABLE-1 AUTOMATED'!J1573,PRICES!$C$2:$C$658,'MAIN TABLE-1 AUTOMATED'!F1573,PRICES!$D$2:$D$658,'MAIN TABLE-1 AUTOMATED'!O1573))</f>
        <v/>
      </c>
      <c r="R1573" s="41" t="str">
        <f>IF(Table1[[#This Row],[QUANTITY]]=0,"",Table1[[#This Row],[UNIT PRICE]]*Table1[[#This Row],[QUANTITY]])</f>
        <v/>
      </c>
      <c r="S1573" s="89"/>
      <c r="T1573" s="38"/>
      <c r="U1573" s="43"/>
      <c r="V1573" s="42" t="str">
        <f>IF(Table1[[#This Row],[DATE]]=0,"",YEAR(E1573))</f>
        <v/>
      </c>
      <c r="W1573" s="40" t="str">
        <f t="shared" si="50"/>
        <v/>
      </c>
      <c r="X1573" s="40" t="str">
        <f t="shared" si="51"/>
        <v/>
      </c>
      <c r="Y1573" s="40" t="str">
        <f>TEXT(Table1[[#This Row],[YEAR]],"0000")&amp;"-"&amp;Table1[[#This Row],[MONTH]]</f>
        <v>-</v>
      </c>
    </row>
    <row r="1574" spans="1:25" ht="15" customHeight="1" x14ac:dyDescent="0.35">
      <c r="A1574" s="24"/>
      <c r="B1574" s="38"/>
      <c r="C1574" s="38"/>
      <c r="D1574" s="38"/>
      <c r="E1574" s="37"/>
      <c r="F1574" s="38"/>
      <c r="G1574" s="198"/>
      <c r="H1574" s="198"/>
      <c r="I1574" s="39"/>
      <c r="J1574" s="38"/>
      <c r="K1574" s="198"/>
      <c r="L1574" s="38"/>
      <c r="M1574" s="38"/>
      <c r="N1574" s="38"/>
      <c r="O1574" s="38"/>
      <c r="P1574" s="40" t="str" cm="1">
        <f t="array" ref="P1574">IF(N1574="","",IFERROR(_xlfn.XLOOKUP(F1574&amp;"|"&amp;J1574&amp;"|"&amp;O1574,PRICES!$C$2:$C$659&amp;"|"&amp;PRICES!$B$2:$B$659&amp;"|"&amp;PRICES!$D$2:$D$659,PRICES!$E$2:$E$659),"Not Found"))</f>
        <v/>
      </c>
      <c r="Q1574" s="100" t="str">
        <f>IF(N1574=0,"",SUMIFS(PRICES!$G$2:$G$658,PRICES!$B$2:$B$658,'MAIN TABLE-1 AUTOMATED'!J1574,PRICES!$C$2:$C$658,'MAIN TABLE-1 AUTOMATED'!F1574,PRICES!$D$2:$D$658,'MAIN TABLE-1 AUTOMATED'!O1574))</f>
        <v/>
      </c>
      <c r="R1574" s="41" t="str">
        <f>IF(Table1[[#This Row],[QUANTITY]]=0,"",Table1[[#This Row],[UNIT PRICE]]*Table1[[#This Row],[QUANTITY]])</f>
        <v/>
      </c>
      <c r="S1574" s="89"/>
      <c r="T1574" s="38"/>
      <c r="U1574" s="43"/>
      <c r="V1574" s="42" t="str">
        <f>IF(Table1[[#This Row],[DATE]]=0,"",YEAR(E1574))</f>
        <v/>
      </c>
      <c r="W1574" s="40" t="str">
        <f t="shared" si="50"/>
        <v/>
      </c>
      <c r="X1574" s="40" t="str">
        <f t="shared" si="51"/>
        <v/>
      </c>
      <c r="Y1574" s="40" t="str">
        <f>TEXT(Table1[[#This Row],[YEAR]],"0000")&amp;"-"&amp;Table1[[#This Row],[MONTH]]</f>
        <v>-</v>
      </c>
    </row>
    <row r="1575" spans="1:25" ht="15" customHeight="1" x14ac:dyDescent="0.35">
      <c r="A1575" s="24"/>
      <c r="B1575" s="38"/>
      <c r="C1575" s="38"/>
      <c r="D1575" s="38"/>
      <c r="E1575" s="37"/>
      <c r="F1575" s="38"/>
      <c r="G1575" s="198"/>
      <c r="H1575" s="198"/>
      <c r="I1575" s="39"/>
      <c r="J1575" s="38"/>
      <c r="K1575" s="198"/>
      <c r="L1575" s="38"/>
      <c r="M1575" s="38"/>
      <c r="N1575" s="38"/>
      <c r="O1575" s="38"/>
      <c r="P1575" s="40" t="str" cm="1">
        <f t="array" ref="P1575">IF(N1575="","",IFERROR(_xlfn.XLOOKUP(F1575&amp;"|"&amp;J1575&amp;"|"&amp;O1575,PRICES!$C$2:$C$659&amp;"|"&amp;PRICES!$B$2:$B$659&amp;"|"&amp;PRICES!$D$2:$D$659,PRICES!$E$2:$E$659),"Not Found"))</f>
        <v/>
      </c>
      <c r="Q1575" s="100" t="str">
        <f>IF(N1575=0,"",SUMIFS(PRICES!$G$2:$G$658,PRICES!$B$2:$B$658,'MAIN TABLE-1 AUTOMATED'!J1575,PRICES!$C$2:$C$658,'MAIN TABLE-1 AUTOMATED'!F1575,PRICES!$D$2:$D$658,'MAIN TABLE-1 AUTOMATED'!O1575))</f>
        <v/>
      </c>
      <c r="R1575" s="41" t="str">
        <f>IF(Table1[[#This Row],[QUANTITY]]=0,"",Table1[[#This Row],[UNIT PRICE]]*Table1[[#This Row],[QUANTITY]])</f>
        <v/>
      </c>
      <c r="S1575" s="89"/>
      <c r="T1575" s="38"/>
      <c r="U1575" s="43"/>
      <c r="V1575" s="42" t="str">
        <f>IF(Table1[[#This Row],[DATE]]=0,"",YEAR(E1575))</f>
        <v/>
      </c>
      <c r="W1575" s="40" t="str">
        <f t="shared" si="50"/>
        <v/>
      </c>
      <c r="X1575" s="40" t="str">
        <f t="shared" si="51"/>
        <v/>
      </c>
      <c r="Y1575" s="40" t="str">
        <f>TEXT(Table1[[#This Row],[YEAR]],"0000")&amp;"-"&amp;Table1[[#This Row],[MONTH]]</f>
        <v>-</v>
      </c>
    </row>
    <row r="1576" spans="1:25" ht="15" customHeight="1" x14ac:dyDescent="0.35">
      <c r="A1576" s="24"/>
      <c r="B1576" s="38"/>
      <c r="C1576" s="38"/>
      <c r="D1576" s="38"/>
      <c r="E1576" s="37"/>
      <c r="F1576" s="38"/>
      <c r="G1576" s="198"/>
      <c r="H1576" s="198"/>
      <c r="I1576" s="39"/>
      <c r="J1576" s="38"/>
      <c r="K1576" s="198"/>
      <c r="L1576" s="38"/>
      <c r="M1576" s="38"/>
      <c r="N1576" s="38"/>
      <c r="O1576" s="38"/>
      <c r="P1576" s="40" t="str" cm="1">
        <f t="array" ref="P1576">IF(N1576="","",IFERROR(_xlfn.XLOOKUP(F1576&amp;"|"&amp;J1576&amp;"|"&amp;O1576,PRICES!$C$2:$C$659&amp;"|"&amp;PRICES!$B$2:$B$659&amp;"|"&amp;PRICES!$D$2:$D$659,PRICES!$E$2:$E$659),"Not Found"))</f>
        <v/>
      </c>
      <c r="Q1576" s="100" t="str">
        <f>IF(N1576=0,"",SUMIFS(PRICES!$G$2:$G$658,PRICES!$B$2:$B$658,'MAIN TABLE-1 AUTOMATED'!J1576,PRICES!$C$2:$C$658,'MAIN TABLE-1 AUTOMATED'!F1576,PRICES!$D$2:$D$658,'MAIN TABLE-1 AUTOMATED'!O1576))</f>
        <v/>
      </c>
      <c r="R1576" s="41" t="str">
        <f>IF(Table1[[#This Row],[QUANTITY]]=0,"",Table1[[#This Row],[UNIT PRICE]]*Table1[[#This Row],[QUANTITY]])</f>
        <v/>
      </c>
      <c r="S1576" s="89"/>
      <c r="T1576" s="38"/>
      <c r="U1576" s="43"/>
      <c r="V1576" s="42" t="str">
        <f>IF(Table1[[#This Row],[DATE]]=0,"",YEAR(E1576))</f>
        <v/>
      </c>
      <c r="W1576" s="40" t="str">
        <f t="shared" si="50"/>
        <v/>
      </c>
      <c r="X1576" s="40" t="str">
        <f t="shared" si="51"/>
        <v/>
      </c>
      <c r="Y1576" s="40" t="str">
        <f>TEXT(Table1[[#This Row],[YEAR]],"0000")&amp;"-"&amp;Table1[[#This Row],[MONTH]]</f>
        <v>-</v>
      </c>
    </row>
    <row r="1577" spans="1:25" ht="15" customHeight="1" x14ac:dyDescent="0.35">
      <c r="A1577" s="24"/>
      <c r="B1577" s="38"/>
      <c r="C1577" s="38"/>
      <c r="D1577" s="38"/>
      <c r="E1577" s="37"/>
      <c r="F1577" s="38"/>
      <c r="G1577" s="198"/>
      <c r="H1577" s="198"/>
      <c r="I1577" s="39"/>
      <c r="J1577" s="38"/>
      <c r="K1577" s="198"/>
      <c r="L1577" s="38"/>
      <c r="M1577" s="38"/>
      <c r="N1577" s="38"/>
      <c r="O1577" s="38"/>
      <c r="P1577" s="40" t="str" cm="1">
        <f t="array" ref="P1577">IF(N1577="","",IFERROR(_xlfn.XLOOKUP(F1577&amp;"|"&amp;J1577&amp;"|"&amp;O1577,PRICES!$C$2:$C$659&amp;"|"&amp;PRICES!$B$2:$B$659&amp;"|"&amp;PRICES!$D$2:$D$659,PRICES!$E$2:$E$659),"Not Found"))</f>
        <v/>
      </c>
      <c r="Q1577" s="100" t="str">
        <f>IF(N1577=0,"",SUMIFS(PRICES!$G$2:$G$658,PRICES!$B$2:$B$658,'MAIN TABLE-1 AUTOMATED'!J1577,PRICES!$C$2:$C$658,'MAIN TABLE-1 AUTOMATED'!F1577,PRICES!$D$2:$D$658,'MAIN TABLE-1 AUTOMATED'!O1577))</f>
        <v/>
      </c>
      <c r="R1577" s="41" t="str">
        <f>IF(Table1[[#This Row],[QUANTITY]]=0,"",Table1[[#This Row],[UNIT PRICE]]*Table1[[#This Row],[QUANTITY]])</f>
        <v/>
      </c>
      <c r="S1577" s="89"/>
      <c r="T1577" s="38"/>
      <c r="U1577" s="43"/>
      <c r="V1577" s="42" t="str">
        <f>IF(Table1[[#This Row],[DATE]]=0,"",YEAR(E1577))</f>
        <v/>
      </c>
      <c r="W1577" s="40" t="str">
        <f t="shared" si="50"/>
        <v/>
      </c>
      <c r="X1577" s="40" t="str">
        <f t="shared" si="51"/>
        <v/>
      </c>
      <c r="Y1577" s="40" t="str">
        <f>TEXT(Table1[[#This Row],[YEAR]],"0000")&amp;"-"&amp;Table1[[#This Row],[MONTH]]</f>
        <v>-</v>
      </c>
    </row>
    <row r="1578" spans="1:25" ht="15" customHeight="1" x14ac:dyDescent="0.35">
      <c r="A1578" s="24"/>
      <c r="B1578" s="38"/>
      <c r="C1578" s="38"/>
      <c r="D1578" s="38"/>
      <c r="E1578" s="37"/>
      <c r="F1578" s="38"/>
      <c r="G1578" s="198"/>
      <c r="H1578" s="198"/>
      <c r="I1578" s="39"/>
      <c r="J1578" s="38"/>
      <c r="K1578" s="198"/>
      <c r="L1578" s="38"/>
      <c r="M1578" s="38"/>
      <c r="N1578" s="38"/>
      <c r="O1578" s="38"/>
      <c r="P1578" s="40" t="str" cm="1">
        <f t="array" ref="P1578">IF(N1578="","",IFERROR(_xlfn.XLOOKUP(F1578&amp;"|"&amp;J1578&amp;"|"&amp;O1578,PRICES!$C$2:$C$659&amp;"|"&amp;PRICES!$B$2:$B$659&amp;"|"&amp;PRICES!$D$2:$D$659,PRICES!$E$2:$E$659),"Not Found"))</f>
        <v/>
      </c>
      <c r="Q1578" s="100" t="str">
        <f>IF(N1578=0,"",SUMIFS(PRICES!$G$2:$G$658,PRICES!$B$2:$B$658,'MAIN TABLE-1 AUTOMATED'!J1578,PRICES!$C$2:$C$658,'MAIN TABLE-1 AUTOMATED'!F1578,PRICES!$D$2:$D$658,'MAIN TABLE-1 AUTOMATED'!O1578))</f>
        <v/>
      </c>
      <c r="R1578" s="41" t="str">
        <f>IF(Table1[[#This Row],[QUANTITY]]=0,"",Table1[[#This Row],[UNIT PRICE]]*Table1[[#This Row],[QUANTITY]])</f>
        <v/>
      </c>
      <c r="S1578" s="89"/>
      <c r="T1578" s="38"/>
      <c r="U1578" s="43"/>
      <c r="V1578" s="42" t="str">
        <f>IF(Table1[[#This Row],[DATE]]=0,"",YEAR(E1578))</f>
        <v/>
      </c>
      <c r="W1578" s="40" t="str">
        <f t="shared" si="50"/>
        <v/>
      </c>
      <c r="X1578" s="40" t="str">
        <f t="shared" si="51"/>
        <v/>
      </c>
      <c r="Y1578" s="40" t="str">
        <f>TEXT(Table1[[#This Row],[YEAR]],"0000")&amp;"-"&amp;Table1[[#This Row],[MONTH]]</f>
        <v>-</v>
      </c>
    </row>
    <row r="1579" spans="1:25" ht="15" customHeight="1" x14ac:dyDescent="0.35">
      <c r="A1579" s="24"/>
      <c r="B1579" s="38"/>
      <c r="C1579" s="38"/>
      <c r="D1579" s="38"/>
      <c r="E1579" s="37"/>
      <c r="F1579" s="38"/>
      <c r="G1579" s="198"/>
      <c r="H1579" s="198"/>
      <c r="I1579" s="39"/>
      <c r="J1579" s="38"/>
      <c r="K1579" s="198"/>
      <c r="L1579" s="38"/>
      <c r="M1579" s="38"/>
      <c r="N1579" s="38"/>
      <c r="O1579" s="38"/>
      <c r="P1579" s="40" t="str" cm="1">
        <f t="array" ref="P1579">IF(N1579="","",IFERROR(_xlfn.XLOOKUP(F1579&amp;"|"&amp;J1579&amp;"|"&amp;O1579,PRICES!$C$2:$C$659&amp;"|"&amp;PRICES!$B$2:$B$659&amp;"|"&amp;PRICES!$D$2:$D$659,PRICES!$E$2:$E$659),"Not Found"))</f>
        <v/>
      </c>
      <c r="Q1579" s="100" t="str">
        <f>IF(N1579=0,"",SUMIFS(PRICES!$G$2:$G$658,PRICES!$B$2:$B$658,'MAIN TABLE-1 AUTOMATED'!J1579,PRICES!$C$2:$C$658,'MAIN TABLE-1 AUTOMATED'!F1579,PRICES!$D$2:$D$658,'MAIN TABLE-1 AUTOMATED'!O1579))</f>
        <v/>
      </c>
      <c r="R1579" s="41" t="str">
        <f>IF(Table1[[#This Row],[QUANTITY]]=0,"",Table1[[#This Row],[UNIT PRICE]]*Table1[[#This Row],[QUANTITY]])</f>
        <v/>
      </c>
      <c r="S1579" s="89"/>
      <c r="T1579" s="38"/>
      <c r="U1579" s="43"/>
      <c r="V1579" s="42" t="str">
        <f>IF(Table1[[#This Row],[DATE]]=0,"",YEAR(E1579))</f>
        <v/>
      </c>
      <c r="W1579" s="40" t="str">
        <f t="shared" si="50"/>
        <v/>
      </c>
      <c r="X1579" s="40" t="str">
        <f t="shared" si="51"/>
        <v/>
      </c>
      <c r="Y1579" s="40" t="str">
        <f>TEXT(Table1[[#This Row],[YEAR]],"0000")&amp;"-"&amp;Table1[[#This Row],[MONTH]]</f>
        <v>-</v>
      </c>
    </row>
    <row r="1580" spans="1:25" ht="15" customHeight="1" x14ac:dyDescent="0.35">
      <c r="A1580" s="24"/>
      <c r="B1580" s="38"/>
      <c r="C1580" s="38"/>
      <c r="D1580" s="38"/>
      <c r="E1580" s="37"/>
      <c r="F1580" s="38"/>
      <c r="G1580" s="198"/>
      <c r="H1580" s="198"/>
      <c r="I1580" s="39"/>
      <c r="J1580" s="38"/>
      <c r="K1580" s="198"/>
      <c r="L1580" s="38"/>
      <c r="M1580" s="38"/>
      <c r="N1580" s="38"/>
      <c r="O1580" s="38"/>
      <c r="P1580" s="40" t="str" cm="1">
        <f t="array" ref="P1580">IF(N1580="","",IFERROR(_xlfn.XLOOKUP(F1580&amp;"|"&amp;J1580&amp;"|"&amp;O1580,PRICES!$C$2:$C$659&amp;"|"&amp;PRICES!$B$2:$B$659&amp;"|"&amp;PRICES!$D$2:$D$659,PRICES!$E$2:$E$659),"Not Found"))</f>
        <v/>
      </c>
      <c r="Q1580" s="100" t="str">
        <f>IF(N1580=0,"",SUMIFS(PRICES!$G$2:$G$658,PRICES!$B$2:$B$658,'MAIN TABLE-1 AUTOMATED'!J1580,PRICES!$C$2:$C$658,'MAIN TABLE-1 AUTOMATED'!F1580,PRICES!$D$2:$D$658,'MAIN TABLE-1 AUTOMATED'!O1580))</f>
        <v/>
      </c>
      <c r="R1580" s="41" t="str">
        <f>IF(Table1[[#This Row],[QUANTITY]]=0,"",Table1[[#This Row],[UNIT PRICE]]*Table1[[#This Row],[QUANTITY]])</f>
        <v/>
      </c>
      <c r="S1580" s="89"/>
      <c r="T1580" s="38"/>
      <c r="U1580" s="43"/>
      <c r="V1580" s="42" t="str">
        <f>IF(Table1[[#This Row],[DATE]]=0,"",YEAR(E1580))</f>
        <v/>
      </c>
      <c r="W1580" s="40" t="str">
        <f t="shared" si="50"/>
        <v/>
      </c>
      <c r="X1580" s="40" t="str">
        <f t="shared" si="51"/>
        <v/>
      </c>
      <c r="Y1580" s="40" t="str">
        <f>TEXT(Table1[[#This Row],[YEAR]],"0000")&amp;"-"&amp;Table1[[#This Row],[MONTH]]</f>
        <v>-</v>
      </c>
    </row>
    <row r="1581" spans="1:25" ht="15" customHeight="1" x14ac:dyDescent="0.35">
      <c r="A1581" s="24"/>
      <c r="B1581" s="38"/>
      <c r="C1581" s="38"/>
      <c r="D1581" s="38"/>
      <c r="E1581" s="37"/>
      <c r="F1581" s="38"/>
      <c r="G1581" s="198"/>
      <c r="H1581" s="198"/>
      <c r="I1581" s="39"/>
      <c r="J1581" s="38"/>
      <c r="K1581" s="198"/>
      <c r="L1581" s="38"/>
      <c r="M1581" s="38"/>
      <c r="N1581" s="38"/>
      <c r="O1581" s="38"/>
      <c r="P1581" s="40" t="str" cm="1">
        <f t="array" ref="P1581">IF(N1581="","",IFERROR(_xlfn.XLOOKUP(F1581&amp;"|"&amp;J1581&amp;"|"&amp;O1581,PRICES!$C$2:$C$659&amp;"|"&amp;PRICES!$B$2:$B$659&amp;"|"&amp;PRICES!$D$2:$D$659,PRICES!$E$2:$E$659),"Not Found"))</f>
        <v/>
      </c>
      <c r="Q1581" s="100" t="str">
        <f>IF(N1581=0,"",SUMIFS(PRICES!$G$2:$G$658,PRICES!$B$2:$B$658,'MAIN TABLE-1 AUTOMATED'!J1581,PRICES!$C$2:$C$658,'MAIN TABLE-1 AUTOMATED'!F1581,PRICES!$D$2:$D$658,'MAIN TABLE-1 AUTOMATED'!O1581))</f>
        <v/>
      </c>
      <c r="R1581" s="41" t="str">
        <f>IF(Table1[[#This Row],[QUANTITY]]=0,"",Table1[[#This Row],[UNIT PRICE]]*Table1[[#This Row],[QUANTITY]])</f>
        <v/>
      </c>
      <c r="S1581" s="89"/>
      <c r="T1581" s="38"/>
      <c r="U1581" s="43"/>
      <c r="V1581" s="42" t="str">
        <f>IF(Table1[[#This Row],[DATE]]=0,"",YEAR(E1581))</f>
        <v/>
      </c>
      <c r="W1581" s="40" t="str">
        <f t="shared" si="50"/>
        <v/>
      </c>
      <c r="X1581" s="40" t="str">
        <f t="shared" si="51"/>
        <v/>
      </c>
      <c r="Y1581" s="40" t="str">
        <f>TEXT(Table1[[#This Row],[YEAR]],"0000")&amp;"-"&amp;Table1[[#This Row],[MONTH]]</f>
        <v>-</v>
      </c>
    </row>
    <row r="1582" spans="1:25" ht="15" customHeight="1" x14ac:dyDescent="0.35">
      <c r="A1582" s="24"/>
      <c r="B1582" s="38"/>
      <c r="C1582" s="38"/>
      <c r="D1582" s="38"/>
      <c r="E1582" s="37"/>
      <c r="F1582" s="38"/>
      <c r="G1582" s="198"/>
      <c r="H1582" s="198"/>
      <c r="I1582" s="39"/>
      <c r="J1582" s="38"/>
      <c r="K1582" s="198"/>
      <c r="L1582" s="38"/>
      <c r="M1582" s="38"/>
      <c r="N1582" s="38"/>
      <c r="O1582" s="38"/>
      <c r="P1582" s="40" t="str" cm="1">
        <f t="array" ref="P1582">IF(N1582="","",IFERROR(_xlfn.XLOOKUP(F1582&amp;"|"&amp;J1582&amp;"|"&amp;O1582,PRICES!$C$2:$C$659&amp;"|"&amp;PRICES!$B$2:$B$659&amp;"|"&amp;PRICES!$D$2:$D$659,PRICES!$E$2:$E$659),"Not Found"))</f>
        <v/>
      </c>
      <c r="Q1582" s="100" t="str">
        <f>IF(N1582=0,"",SUMIFS(PRICES!$G$2:$G$658,PRICES!$B$2:$B$658,'MAIN TABLE-1 AUTOMATED'!J1582,PRICES!$C$2:$C$658,'MAIN TABLE-1 AUTOMATED'!F1582,PRICES!$D$2:$D$658,'MAIN TABLE-1 AUTOMATED'!O1582))</f>
        <v/>
      </c>
      <c r="R1582" s="41" t="str">
        <f>IF(Table1[[#This Row],[QUANTITY]]=0,"",Table1[[#This Row],[UNIT PRICE]]*Table1[[#This Row],[QUANTITY]])</f>
        <v/>
      </c>
      <c r="S1582" s="89"/>
      <c r="T1582" s="38"/>
      <c r="U1582" s="43"/>
      <c r="V1582" s="42" t="str">
        <f>IF(Table1[[#This Row],[DATE]]=0,"",YEAR(E1582))</f>
        <v/>
      </c>
      <c r="W1582" s="40" t="str">
        <f t="shared" si="50"/>
        <v/>
      </c>
      <c r="X1582" s="40" t="str">
        <f t="shared" si="51"/>
        <v/>
      </c>
      <c r="Y1582" s="40" t="str">
        <f>TEXT(Table1[[#This Row],[YEAR]],"0000")&amp;"-"&amp;Table1[[#This Row],[MONTH]]</f>
        <v>-</v>
      </c>
    </row>
    <row r="1583" spans="1:25" ht="15" customHeight="1" x14ac:dyDescent="0.35">
      <c r="A1583" s="24"/>
      <c r="B1583" s="38"/>
      <c r="C1583" s="38"/>
      <c r="D1583" s="38"/>
      <c r="E1583" s="37"/>
      <c r="F1583" s="38"/>
      <c r="G1583" s="198"/>
      <c r="H1583" s="198"/>
      <c r="I1583" s="39"/>
      <c r="J1583" s="38"/>
      <c r="K1583" s="198"/>
      <c r="L1583" s="38"/>
      <c r="M1583" s="38"/>
      <c r="N1583" s="38"/>
      <c r="O1583" s="38"/>
      <c r="P1583" s="40" t="str" cm="1">
        <f t="array" ref="P1583">IF(N1583="","",IFERROR(_xlfn.XLOOKUP(F1583&amp;"|"&amp;J1583&amp;"|"&amp;O1583,PRICES!$C$2:$C$659&amp;"|"&amp;PRICES!$B$2:$B$659&amp;"|"&amp;PRICES!$D$2:$D$659,PRICES!$E$2:$E$659),"Not Found"))</f>
        <v/>
      </c>
      <c r="Q1583" s="100" t="str">
        <f>IF(N1583=0,"",SUMIFS(PRICES!$G$2:$G$658,PRICES!$B$2:$B$658,'MAIN TABLE-1 AUTOMATED'!J1583,PRICES!$C$2:$C$658,'MAIN TABLE-1 AUTOMATED'!F1583,PRICES!$D$2:$D$658,'MAIN TABLE-1 AUTOMATED'!O1583))</f>
        <v/>
      </c>
      <c r="R1583" s="41" t="str">
        <f>IF(Table1[[#This Row],[QUANTITY]]=0,"",Table1[[#This Row],[UNIT PRICE]]*Table1[[#This Row],[QUANTITY]])</f>
        <v/>
      </c>
      <c r="S1583" s="89"/>
      <c r="T1583" s="38"/>
      <c r="U1583" s="43"/>
      <c r="V1583" s="42" t="str">
        <f>IF(Table1[[#This Row],[DATE]]=0,"",YEAR(E1583))</f>
        <v/>
      </c>
      <c r="W1583" s="40" t="str">
        <f t="shared" si="50"/>
        <v/>
      </c>
      <c r="X1583" s="40" t="str">
        <f t="shared" si="51"/>
        <v/>
      </c>
      <c r="Y1583" s="40" t="str">
        <f>TEXT(Table1[[#This Row],[YEAR]],"0000")&amp;"-"&amp;Table1[[#This Row],[MONTH]]</f>
        <v>-</v>
      </c>
    </row>
    <row r="1584" spans="1:25" ht="15" customHeight="1" x14ac:dyDescent="0.35">
      <c r="A1584" s="24"/>
      <c r="B1584" s="38"/>
      <c r="C1584" s="38"/>
      <c r="D1584" s="38"/>
      <c r="E1584" s="37"/>
      <c r="F1584" s="38"/>
      <c r="G1584" s="198"/>
      <c r="H1584" s="198"/>
      <c r="I1584" s="39"/>
      <c r="J1584" s="38"/>
      <c r="K1584" s="198"/>
      <c r="L1584" s="38"/>
      <c r="M1584" s="38"/>
      <c r="N1584" s="38"/>
      <c r="O1584" s="38"/>
      <c r="P1584" s="40" t="str" cm="1">
        <f t="array" ref="P1584">IF(N1584="","",IFERROR(_xlfn.XLOOKUP(F1584&amp;"|"&amp;J1584&amp;"|"&amp;O1584,PRICES!$C$2:$C$659&amp;"|"&amp;PRICES!$B$2:$B$659&amp;"|"&amp;PRICES!$D$2:$D$659,PRICES!$E$2:$E$659),"Not Found"))</f>
        <v/>
      </c>
      <c r="Q1584" s="100" t="str">
        <f>IF(N1584=0,"",SUMIFS(PRICES!$G$2:$G$658,PRICES!$B$2:$B$658,'MAIN TABLE-1 AUTOMATED'!J1584,PRICES!$C$2:$C$658,'MAIN TABLE-1 AUTOMATED'!F1584,PRICES!$D$2:$D$658,'MAIN TABLE-1 AUTOMATED'!O1584))</f>
        <v/>
      </c>
      <c r="R1584" s="41" t="str">
        <f>IF(Table1[[#This Row],[QUANTITY]]=0,"",Table1[[#This Row],[UNIT PRICE]]*Table1[[#This Row],[QUANTITY]])</f>
        <v/>
      </c>
      <c r="S1584" s="89"/>
      <c r="T1584" s="38"/>
      <c r="U1584" s="43"/>
      <c r="V1584" s="42" t="str">
        <f>IF(Table1[[#This Row],[DATE]]=0,"",YEAR(E1584))</f>
        <v/>
      </c>
      <c r="W1584" s="40" t="str">
        <f t="shared" si="50"/>
        <v/>
      </c>
      <c r="X1584" s="40" t="str">
        <f t="shared" si="51"/>
        <v/>
      </c>
      <c r="Y1584" s="40" t="str">
        <f>TEXT(Table1[[#This Row],[YEAR]],"0000")&amp;"-"&amp;Table1[[#This Row],[MONTH]]</f>
        <v>-</v>
      </c>
    </row>
    <row r="1585" spans="1:25" ht="15" customHeight="1" x14ac:dyDescent="0.35">
      <c r="A1585" s="24"/>
      <c r="B1585" s="38"/>
      <c r="C1585" s="38"/>
      <c r="D1585" s="38"/>
      <c r="E1585" s="37"/>
      <c r="F1585" s="38"/>
      <c r="G1585" s="198"/>
      <c r="H1585" s="198"/>
      <c r="I1585" s="39"/>
      <c r="J1585" s="38"/>
      <c r="K1585" s="198"/>
      <c r="L1585" s="38"/>
      <c r="M1585" s="38"/>
      <c r="N1585" s="38"/>
      <c r="O1585" s="38"/>
      <c r="P1585" s="40" t="str" cm="1">
        <f t="array" ref="P1585">IF(N1585="","",IFERROR(_xlfn.XLOOKUP(F1585&amp;"|"&amp;J1585&amp;"|"&amp;O1585,PRICES!$C$2:$C$659&amp;"|"&amp;PRICES!$B$2:$B$659&amp;"|"&amp;PRICES!$D$2:$D$659,PRICES!$E$2:$E$659),"Not Found"))</f>
        <v/>
      </c>
      <c r="Q1585" s="100" t="str">
        <f>IF(N1585=0,"",SUMIFS(PRICES!$G$2:$G$658,PRICES!$B$2:$B$658,'MAIN TABLE-1 AUTOMATED'!J1585,PRICES!$C$2:$C$658,'MAIN TABLE-1 AUTOMATED'!F1585,PRICES!$D$2:$D$658,'MAIN TABLE-1 AUTOMATED'!O1585))</f>
        <v/>
      </c>
      <c r="R1585" s="41" t="str">
        <f>IF(Table1[[#This Row],[QUANTITY]]=0,"",Table1[[#This Row],[UNIT PRICE]]*Table1[[#This Row],[QUANTITY]])</f>
        <v/>
      </c>
      <c r="S1585" s="89"/>
      <c r="T1585" s="38"/>
      <c r="U1585" s="43"/>
      <c r="V1585" s="42" t="str">
        <f>IF(Table1[[#This Row],[DATE]]=0,"",YEAR(E1585))</f>
        <v/>
      </c>
      <c r="W1585" s="40" t="str">
        <f t="shared" si="50"/>
        <v/>
      </c>
      <c r="X1585" s="40" t="str">
        <f t="shared" si="51"/>
        <v/>
      </c>
      <c r="Y1585" s="40" t="str">
        <f>TEXT(Table1[[#This Row],[YEAR]],"0000")&amp;"-"&amp;Table1[[#This Row],[MONTH]]</f>
        <v>-</v>
      </c>
    </row>
    <row r="1586" spans="1:25" ht="15" customHeight="1" x14ac:dyDescent="0.35">
      <c r="A1586" s="24"/>
      <c r="B1586" s="38"/>
      <c r="C1586" s="38"/>
      <c r="D1586" s="38"/>
      <c r="E1586" s="37"/>
      <c r="F1586" s="38"/>
      <c r="G1586" s="198"/>
      <c r="H1586" s="198"/>
      <c r="I1586" s="39"/>
      <c r="J1586" s="38"/>
      <c r="K1586" s="198"/>
      <c r="L1586" s="38"/>
      <c r="M1586" s="38"/>
      <c r="N1586" s="38"/>
      <c r="O1586" s="38"/>
      <c r="P1586" s="40" t="str" cm="1">
        <f t="array" ref="P1586">IF(N1586="","",IFERROR(_xlfn.XLOOKUP(F1586&amp;"|"&amp;J1586&amp;"|"&amp;O1586,PRICES!$C$2:$C$659&amp;"|"&amp;PRICES!$B$2:$B$659&amp;"|"&amp;PRICES!$D$2:$D$659,PRICES!$E$2:$E$659),"Not Found"))</f>
        <v/>
      </c>
      <c r="Q1586" s="100" t="str">
        <f>IF(N1586=0,"",SUMIFS(PRICES!$G$2:$G$658,PRICES!$B$2:$B$658,'MAIN TABLE-1 AUTOMATED'!J1586,PRICES!$C$2:$C$658,'MAIN TABLE-1 AUTOMATED'!F1586,PRICES!$D$2:$D$658,'MAIN TABLE-1 AUTOMATED'!O1586))</f>
        <v/>
      </c>
      <c r="R1586" s="41" t="str">
        <f>IF(Table1[[#This Row],[QUANTITY]]=0,"",Table1[[#This Row],[UNIT PRICE]]*Table1[[#This Row],[QUANTITY]])</f>
        <v/>
      </c>
      <c r="S1586" s="89"/>
      <c r="T1586" s="38"/>
      <c r="U1586" s="43"/>
      <c r="V1586" s="42" t="str">
        <f>IF(Table1[[#This Row],[DATE]]=0,"",YEAR(E1586))</f>
        <v/>
      </c>
      <c r="W1586" s="40" t="str">
        <f t="shared" si="50"/>
        <v/>
      </c>
      <c r="X1586" s="40" t="str">
        <f t="shared" si="51"/>
        <v/>
      </c>
      <c r="Y1586" s="40" t="str">
        <f>TEXT(Table1[[#This Row],[YEAR]],"0000")&amp;"-"&amp;Table1[[#This Row],[MONTH]]</f>
        <v>-</v>
      </c>
    </row>
    <row r="1587" spans="1:25" ht="15" customHeight="1" x14ac:dyDescent="0.35">
      <c r="A1587" s="24"/>
      <c r="B1587" s="38"/>
      <c r="C1587" s="38"/>
      <c r="D1587" s="38"/>
      <c r="E1587" s="37"/>
      <c r="F1587" s="38"/>
      <c r="G1587" s="198"/>
      <c r="H1587" s="198"/>
      <c r="I1587" s="39"/>
      <c r="J1587" s="38"/>
      <c r="K1587" s="198"/>
      <c r="L1587" s="38"/>
      <c r="M1587" s="38"/>
      <c r="N1587" s="38"/>
      <c r="O1587" s="38"/>
      <c r="P1587" s="40" t="str" cm="1">
        <f t="array" ref="P1587">IF(N1587="","",IFERROR(_xlfn.XLOOKUP(F1587&amp;"|"&amp;J1587&amp;"|"&amp;O1587,PRICES!$C$2:$C$659&amp;"|"&amp;PRICES!$B$2:$B$659&amp;"|"&amp;PRICES!$D$2:$D$659,PRICES!$E$2:$E$659),"Not Found"))</f>
        <v/>
      </c>
      <c r="Q1587" s="100" t="str">
        <f>IF(N1587=0,"",SUMIFS(PRICES!$G$2:$G$658,PRICES!$B$2:$B$658,'MAIN TABLE-1 AUTOMATED'!J1587,PRICES!$C$2:$C$658,'MAIN TABLE-1 AUTOMATED'!F1587,PRICES!$D$2:$D$658,'MAIN TABLE-1 AUTOMATED'!O1587))</f>
        <v/>
      </c>
      <c r="R1587" s="41" t="str">
        <f>IF(Table1[[#This Row],[QUANTITY]]=0,"",Table1[[#This Row],[UNIT PRICE]]*Table1[[#This Row],[QUANTITY]])</f>
        <v/>
      </c>
      <c r="S1587" s="89"/>
      <c r="T1587" s="38"/>
      <c r="U1587" s="43"/>
      <c r="V1587" s="42" t="str">
        <f>IF(Table1[[#This Row],[DATE]]=0,"",YEAR(E1587))</f>
        <v/>
      </c>
      <c r="W1587" s="40" t="str">
        <f t="shared" si="50"/>
        <v/>
      </c>
      <c r="X1587" s="40" t="str">
        <f t="shared" si="51"/>
        <v/>
      </c>
      <c r="Y1587" s="40" t="str">
        <f>TEXT(Table1[[#This Row],[YEAR]],"0000")&amp;"-"&amp;Table1[[#This Row],[MONTH]]</f>
        <v>-</v>
      </c>
    </row>
    <row r="1588" spans="1:25" ht="15" customHeight="1" x14ac:dyDescent="0.35">
      <c r="A1588" s="24"/>
      <c r="B1588" s="38"/>
      <c r="C1588" s="38"/>
      <c r="D1588" s="38"/>
      <c r="E1588" s="37"/>
      <c r="F1588" s="38"/>
      <c r="G1588" s="198"/>
      <c r="H1588" s="198"/>
      <c r="I1588" s="39"/>
      <c r="J1588" s="38"/>
      <c r="K1588" s="198"/>
      <c r="L1588" s="38"/>
      <c r="M1588" s="38"/>
      <c r="N1588" s="38"/>
      <c r="O1588" s="38"/>
      <c r="P1588" s="40" t="str" cm="1">
        <f t="array" ref="P1588">IF(N1588="","",IFERROR(_xlfn.XLOOKUP(F1588&amp;"|"&amp;J1588&amp;"|"&amp;O1588,PRICES!$C$2:$C$659&amp;"|"&amp;PRICES!$B$2:$B$659&amp;"|"&amp;PRICES!$D$2:$D$659,PRICES!$E$2:$E$659),"Not Found"))</f>
        <v/>
      </c>
      <c r="Q1588" s="100" t="str">
        <f>IF(N1588=0,"",SUMIFS(PRICES!$G$2:$G$658,PRICES!$B$2:$B$658,'MAIN TABLE-1 AUTOMATED'!J1588,PRICES!$C$2:$C$658,'MAIN TABLE-1 AUTOMATED'!F1588,PRICES!$D$2:$D$658,'MAIN TABLE-1 AUTOMATED'!O1588))</f>
        <v/>
      </c>
      <c r="R1588" s="41" t="str">
        <f>IF(Table1[[#This Row],[QUANTITY]]=0,"",Table1[[#This Row],[UNIT PRICE]]*Table1[[#This Row],[QUANTITY]])</f>
        <v/>
      </c>
      <c r="S1588" s="89"/>
      <c r="T1588" s="38"/>
      <c r="U1588" s="43"/>
      <c r="V1588" s="42" t="str">
        <f>IF(Table1[[#This Row],[DATE]]=0,"",YEAR(E1588))</f>
        <v/>
      </c>
      <c r="W1588" s="40" t="str">
        <f t="shared" si="50"/>
        <v/>
      </c>
      <c r="X1588" s="40" t="str">
        <f t="shared" si="51"/>
        <v/>
      </c>
      <c r="Y1588" s="40" t="str">
        <f>TEXT(Table1[[#This Row],[YEAR]],"0000")&amp;"-"&amp;Table1[[#This Row],[MONTH]]</f>
        <v>-</v>
      </c>
    </row>
    <row r="1589" spans="1:25" ht="15" customHeight="1" x14ac:dyDescent="0.35">
      <c r="A1589" s="24"/>
      <c r="B1589" s="38"/>
      <c r="C1589" s="38"/>
      <c r="D1589" s="38"/>
      <c r="E1589" s="37"/>
      <c r="F1589" s="38"/>
      <c r="G1589" s="198"/>
      <c r="H1589" s="198"/>
      <c r="I1589" s="39"/>
      <c r="J1589" s="38"/>
      <c r="K1589" s="198"/>
      <c r="L1589" s="38"/>
      <c r="M1589" s="38"/>
      <c r="N1589" s="38"/>
      <c r="O1589" s="38"/>
      <c r="P1589" s="40" t="str" cm="1">
        <f t="array" ref="P1589">IF(N1589="","",IFERROR(_xlfn.XLOOKUP(F1589&amp;"|"&amp;J1589&amp;"|"&amp;O1589,PRICES!$C$2:$C$659&amp;"|"&amp;PRICES!$B$2:$B$659&amp;"|"&amp;PRICES!$D$2:$D$659,PRICES!$E$2:$E$659),"Not Found"))</f>
        <v/>
      </c>
      <c r="Q1589" s="100" t="str">
        <f>IF(N1589=0,"",SUMIFS(PRICES!$G$2:$G$658,PRICES!$B$2:$B$658,'MAIN TABLE-1 AUTOMATED'!J1589,PRICES!$C$2:$C$658,'MAIN TABLE-1 AUTOMATED'!F1589,PRICES!$D$2:$D$658,'MAIN TABLE-1 AUTOMATED'!O1589))</f>
        <v/>
      </c>
      <c r="R1589" s="41" t="str">
        <f>IF(Table1[[#This Row],[QUANTITY]]=0,"",Table1[[#This Row],[UNIT PRICE]]*Table1[[#This Row],[QUANTITY]])</f>
        <v/>
      </c>
      <c r="S1589" s="89"/>
      <c r="T1589" s="38"/>
      <c r="U1589" s="43"/>
      <c r="V1589" s="42" t="str">
        <f>IF(Table1[[#This Row],[DATE]]=0,"",YEAR(E1589))</f>
        <v/>
      </c>
      <c r="W1589" s="40" t="str">
        <f t="shared" si="50"/>
        <v/>
      </c>
      <c r="X1589" s="40" t="str">
        <f t="shared" si="51"/>
        <v/>
      </c>
      <c r="Y1589" s="40" t="str">
        <f>TEXT(Table1[[#This Row],[YEAR]],"0000")&amp;"-"&amp;Table1[[#This Row],[MONTH]]</f>
        <v>-</v>
      </c>
    </row>
    <row r="1590" spans="1:25" ht="15" customHeight="1" x14ac:dyDescent="0.35">
      <c r="A1590" s="24"/>
      <c r="B1590" s="38"/>
      <c r="C1590" s="38"/>
      <c r="D1590" s="38"/>
      <c r="E1590" s="37"/>
      <c r="F1590" s="38"/>
      <c r="G1590" s="198"/>
      <c r="H1590" s="198"/>
      <c r="I1590" s="39"/>
      <c r="J1590" s="38"/>
      <c r="K1590" s="198"/>
      <c r="L1590" s="38"/>
      <c r="M1590" s="38"/>
      <c r="N1590" s="38"/>
      <c r="O1590" s="38"/>
      <c r="P1590" s="40" t="str" cm="1">
        <f t="array" ref="P1590">IF(N1590="","",IFERROR(_xlfn.XLOOKUP(F1590&amp;"|"&amp;J1590&amp;"|"&amp;O1590,PRICES!$C$2:$C$659&amp;"|"&amp;PRICES!$B$2:$B$659&amp;"|"&amp;PRICES!$D$2:$D$659,PRICES!$E$2:$E$659),"Not Found"))</f>
        <v/>
      </c>
      <c r="Q1590" s="100" t="str">
        <f>IF(N1590=0,"",SUMIFS(PRICES!$G$2:$G$658,PRICES!$B$2:$B$658,'MAIN TABLE-1 AUTOMATED'!J1590,PRICES!$C$2:$C$658,'MAIN TABLE-1 AUTOMATED'!F1590,PRICES!$D$2:$D$658,'MAIN TABLE-1 AUTOMATED'!O1590))</f>
        <v/>
      </c>
      <c r="R1590" s="41" t="str">
        <f>IF(Table1[[#This Row],[QUANTITY]]=0,"",Table1[[#This Row],[UNIT PRICE]]*Table1[[#This Row],[QUANTITY]])</f>
        <v/>
      </c>
      <c r="S1590" s="89"/>
      <c r="T1590" s="38"/>
      <c r="U1590" s="43"/>
      <c r="V1590" s="42" t="str">
        <f>IF(Table1[[#This Row],[DATE]]=0,"",YEAR(E1590))</f>
        <v/>
      </c>
      <c r="W1590" s="40" t="str">
        <f t="shared" si="50"/>
        <v/>
      </c>
      <c r="X1590" s="40" t="str">
        <f t="shared" si="51"/>
        <v/>
      </c>
      <c r="Y1590" s="40" t="str">
        <f>TEXT(Table1[[#This Row],[YEAR]],"0000")&amp;"-"&amp;Table1[[#This Row],[MONTH]]</f>
        <v>-</v>
      </c>
    </row>
    <row r="1591" spans="1:25" ht="15" customHeight="1" x14ac:dyDescent="0.35">
      <c r="A1591" s="24"/>
      <c r="B1591" s="38"/>
      <c r="C1591" s="38"/>
      <c r="D1591" s="38"/>
      <c r="E1591" s="37"/>
      <c r="F1591" s="38"/>
      <c r="G1591" s="198"/>
      <c r="H1591" s="198"/>
      <c r="I1591" s="39"/>
      <c r="J1591" s="38"/>
      <c r="K1591" s="198"/>
      <c r="L1591" s="38"/>
      <c r="M1591" s="38"/>
      <c r="N1591" s="38"/>
      <c r="O1591" s="38"/>
      <c r="P1591" s="40" t="str" cm="1">
        <f t="array" ref="P1591">IF(N1591="","",IFERROR(_xlfn.XLOOKUP(F1591&amp;"|"&amp;J1591&amp;"|"&amp;O1591,PRICES!$C$2:$C$659&amp;"|"&amp;PRICES!$B$2:$B$659&amp;"|"&amp;PRICES!$D$2:$D$659,PRICES!$E$2:$E$659),"Not Found"))</f>
        <v/>
      </c>
      <c r="Q1591" s="100" t="str">
        <f>IF(N1591=0,"",SUMIFS(PRICES!$G$2:$G$658,PRICES!$B$2:$B$658,'MAIN TABLE-1 AUTOMATED'!J1591,PRICES!$C$2:$C$658,'MAIN TABLE-1 AUTOMATED'!F1591,PRICES!$D$2:$D$658,'MAIN TABLE-1 AUTOMATED'!O1591))</f>
        <v/>
      </c>
      <c r="R1591" s="41" t="str">
        <f>IF(Table1[[#This Row],[QUANTITY]]=0,"",Table1[[#This Row],[UNIT PRICE]]*Table1[[#This Row],[QUANTITY]])</f>
        <v/>
      </c>
      <c r="S1591" s="89"/>
      <c r="T1591" s="38"/>
      <c r="U1591" s="43"/>
      <c r="V1591" s="42" t="str">
        <f>IF(Table1[[#This Row],[DATE]]=0,"",YEAR(E1591))</f>
        <v/>
      </c>
      <c r="W1591" s="40" t="str">
        <f t="shared" si="50"/>
        <v/>
      </c>
      <c r="X1591" s="40" t="str">
        <f t="shared" si="51"/>
        <v/>
      </c>
      <c r="Y1591" s="40" t="str">
        <f>TEXT(Table1[[#This Row],[YEAR]],"0000")&amp;"-"&amp;Table1[[#This Row],[MONTH]]</f>
        <v>-</v>
      </c>
    </row>
    <row r="1592" spans="1:25" ht="15" customHeight="1" x14ac:dyDescent="0.35">
      <c r="A1592" s="24"/>
      <c r="B1592" s="38"/>
      <c r="C1592" s="38"/>
      <c r="D1592" s="38"/>
      <c r="E1592" s="37"/>
      <c r="F1592" s="38"/>
      <c r="G1592" s="198"/>
      <c r="H1592" s="198"/>
      <c r="I1592" s="39"/>
      <c r="J1592" s="38"/>
      <c r="K1592" s="198"/>
      <c r="L1592" s="38"/>
      <c r="M1592" s="38"/>
      <c r="N1592" s="38"/>
      <c r="O1592" s="38"/>
      <c r="P1592" s="40" t="str" cm="1">
        <f t="array" ref="P1592">IF(N1592="","",IFERROR(_xlfn.XLOOKUP(F1592&amp;"|"&amp;J1592&amp;"|"&amp;O1592,PRICES!$C$2:$C$659&amp;"|"&amp;PRICES!$B$2:$B$659&amp;"|"&amp;PRICES!$D$2:$D$659,PRICES!$E$2:$E$659),"Not Found"))</f>
        <v/>
      </c>
      <c r="Q1592" s="100" t="str">
        <f>IF(N1592=0,"",SUMIFS(PRICES!$G$2:$G$658,PRICES!$B$2:$B$658,'MAIN TABLE-1 AUTOMATED'!J1592,PRICES!$C$2:$C$658,'MAIN TABLE-1 AUTOMATED'!F1592,PRICES!$D$2:$D$658,'MAIN TABLE-1 AUTOMATED'!O1592))</f>
        <v/>
      </c>
      <c r="R1592" s="41" t="str">
        <f>IF(Table1[[#This Row],[QUANTITY]]=0,"",Table1[[#This Row],[UNIT PRICE]]*Table1[[#This Row],[QUANTITY]])</f>
        <v/>
      </c>
      <c r="S1592" s="89"/>
      <c r="T1592" s="38"/>
      <c r="U1592" s="43"/>
      <c r="V1592" s="42" t="str">
        <f>IF(Table1[[#This Row],[DATE]]=0,"",YEAR(E1592))</f>
        <v/>
      </c>
      <c r="W1592" s="40" t="str">
        <f t="shared" si="50"/>
        <v/>
      </c>
      <c r="X1592" s="40" t="str">
        <f t="shared" si="51"/>
        <v/>
      </c>
      <c r="Y1592" s="40" t="str">
        <f>TEXT(Table1[[#This Row],[YEAR]],"0000")&amp;"-"&amp;Table1[[#This Row],[MONTH]]</f>
        <v>-</v>
      </c>
    </row>
    <row r="1593" spans="1:25" ht="15" customHeight="1" x14ac:dyDescent="0.35">
      <c r="A1593" s="24"/>
      <c r="B1593" s="38"/>
      <c r="C1593" s="38"/>
      <c r="D1593" s="38"/>
      <c r="E1593" s="37"/>
      <c r="F1593" s="38"/>
      <c r="G1593" s="198"/>
      <c r="H1593" s="198"/>
      <c r="I1593" s="39"/>
      <c r="J1593" s="38"/>
      <c r="K1593" s="198"/>
      <c r="L1593" s="38"/>
      <c r="M1593" s="38"/>
      <c r="N1593" s="38"/>
      <c r="O1593" s="38"/>
      <c r="P1593" s="40" t="str" cm="1">
        <f t="array" ref="P1593">IF(N1593="","",IFERROR(_xlfn.XLOOKUP(F1593&amp;"|"&amp;J1593&amp;"|"&amp;O1593,PRICES!$C$2:$C$659&amp;"|"&amp;PRICES!$B$2:$B$659&amp;"|"&amp;PRICES!$D$2:$D$659,PRICES!$E$2:$E$659),"Not Found"))</f>
        <v/>
      </c>
      <c r="Q1593" s="100" t="str">
        <f>IF(N1593=0,"",SUMIFS(PRICES!$G$2:$G$658,PRICES!$B$2:$B$658,'MAIN TABLE-1 AUTOMATED'!J1593,PRICES!$C$2:$C$658,'MAIN TABLE-1 AUTOMATED'!F1593,PRICES!$D$2:$D$658,'MAIN TABLE-1 AUTOMATED'!O1593))</f>
        <v/>
      </c>
      <c r="R1593" s="41" t="str">
        <f>IF(Table1[[#This Row],[QUANTITY]]=0,"",Table1[[#This Row],[UNIT PRICE]]*Table1[[#This Row],[QUANTITY]])</f>
        <v/>
      </c>
      <c r="S1593" s="89"/>
      <c r="T1593" s="38"/>
      <c r="U1593" s="43"/>
      <c r="V1593" s="42" t="str">
        <f>IF(Table1[[#This Row],[DATE]]=0,"",YEAR(E1593))</f>
        <v/>
      </c>
      <c r="W1593" s="40" t="str">
        <f t="shared" si="50"/>
        <v/>
      </c>
      <c r="X1593" s="40" t="str">
        <f t="shared" si="51"/>
        <v/>
      </c>
      <c r="Y1593" s="40" t="str">
        <f>TEXT(Table1[[#This Row],[YEAR]],"0000")&amp;"-"&amp;Table1[[#This Row],[MONTH]]</f>
        <v>-</v>
      </c>
    </row>
    <row r="1594" spans="1:25" ht="15" customHeight="1" x14ac:dyDescent="0.35">
      <c r="A1594" s="24"/>
      <c r="B1594" s="38"/>
      <c r="C1594" s="38"/>
      <c r="D1594" s="38"/>
      <c r="E1594" s="37"/>
      <c r="F1594" s="38"/>
      <c r="G1594" s="198"/>
      <c r="H1594" s="198"/>
      <c r="I1594" s="39"/>
      <c r="J1594" s="38"/>
      <c r="K1594" s="198"/>
      <c r="L1594" s="38"/>
      <c r="M1594" s="38"/>
      <c r="N1594" s="38"/>
      <c r="O1594" s="38"/>
      <c r="P1594" s="40" t="str" cm="1">
        <f t="array" ref="P1594">IF(N1594="","",IFERROR(_xlfn.XLOOKUP(F1594&amp;"|"&amp;J1594&amp;"|"&amp;O1594,PRICES!$C$2:$C$659&amp;"|"&amp;PRICES!$B$2:$B$659&amp;"|"&amp;PRICES!$D$2:$D$659,PRICES!$E$2:$E$659),"Not Found"))</f>
        <v/>
      </c>
      <c r="Q1594" s="100" t="str">
        <f>IF(N1594=0,"",SUMIFS(PRICES!$G$2:$G$658,PRICES!$B$2:$B$658,'MAIN TABLE-1 AUTOMATED'!J1594,PRICES!$C$2:$C$658,'MAIN TABLE-1 AUTOMATED'!F1594,PRICES!$D$2:$D$658,'MAIN TABLE-1 AUTOMATED'!O1594))</f>
        <v/>
      </c>
      <c r="R1594" s="41" t="str">
        <f>IF(Table1[[#This Row],[QUANTITY]]=0,"",Table1[[#This Row],[UNIT PRICE]]*Table1[[#This Row],[QUANTITY]])</f>
        <v/>
      </c>
      <c r="S1594" s="89"/>
      <c r="T1594" s="38"/>
      <c r="U1594" s="43"/>
      <c r="V1594" s="42" t="str">
        <f>IF(Table1[[#This Row],[DATE]]=0,"",YEAR(E1594))</f>
        <v/>
      </c>
      <c r="W1594" s="40" t="str">
        <f t="shared" si="50"/>
        <v/>
      </c>
      <c r="X1594" s="40" t="str">
        <f t="shared" si="51"/>
        <v/>
      </c>
      <c r="Y1594" s="40" t="str">
        <f>TEXT(Table1[[#This Row],[YEAR]],"0000")&amp;"-"&amp;Table1[[#This Row],[MONTH]]</f>
        <v>-</v>
      </c>
    </row>
    <row r="1595" spans="1:25" ht="15" customHeight="1" x14ac:dyDescent="0.35">
      <c r="A1595" s="24"/>
      <c r="B1595" s="38"/>
      <c r="C1595" s="38"/>
      <c r="D1595" s="38"/>
      <c r="E1595" s="37"/>
      <c r="F1595" s="38"/>
      <c r="G1595" s="198"/>
      <c r="H1595" s="198"/>
      <c r="I1595" s="39"/>
      <c r="J1595" s="38"/>
      <c r="K1595" s="198"/>
      <c r="L1595" s="38"/>
      <c r="M1595" s="38"/>
      <c r="N1595" s="38"/>
      <c r="O1595" s="38"/>
      <c r="P1595" s="40" t="str" cm="1">
        <f t="array" ref="P1595">IF(N1595="","",IFERROR(_xlfn.XLOOKUP(F1595&amp;"|"&amp;J1595&amp;"|"&amp;O1595,PRICES!$C$2:$C$659&amp;"|"&amp;PRICES!$B$2:$B$659&amp;"|"&amp;PRICES!$D$2:$D$659,PRICES!$E$2:$E$659),"Not Found"))</f>
        <v/>
      </c>
      <c r="Q1595" s="100" t="str">
        <f>IF(N1595=0,"",SUMIFS(PRICES!$G$2:$G$658,PRICES!$B$2:$B$658,'MAIN TABLE-1 AUTOMATED'!J1595,PRICES!$C$2:$C$658,'MAIN TABLE-1 AUTOMATED'!F1595,PRICES!$D$2:$D$658,'MAIN TABLE-1 AUTOMATED'!O1595))</f>
        <v/>
      </c>
      <c r="R1595" s="41" t="str">
        <f>IF(Table1[[#This Row],[QUANTITY]]=0,"",Table1[[#This Row],[UNIT PRICE]]*Table1[[#This Row],[QUANTITY]])</f>
        <v/>
      </c>
      <c r="S1595" s="89"/>
      <c r="T1595" s="38"/>
      <c r="U1595" s="43"/>
      <c r="V1595" s="42" t="str">
        <f>IF(Table1[[#This Row],[DATE]]=0,"",YEAR(E1595))</f>
        <v/>
      </c>
      <c r="W1595" s="40" t="str">
        <f t="shared" si="50"/>
        <v/>
      </c>
      <c r="X1595" s="40" t="str">
        <f t="shared" si="51"/>
        <v/>
      </c>
      <c r="Y1595" s="40" t="str">
        <f>TEXT(Table1[[#This Row],[YEAR]],"0000")&amp;"-"&amp;Table1[[#This Row],[MONTH]]</f>
        <v>-</v>
      </c>
    </row>
    <row r="1596" spans="1:25" ht="15" customHeight="1" x14ac:dyDescent="0.35">
      <c r="A1596" s="24"/>
      <c r="B1596" s="38"/>
      <c r="C1596" s="38"/>
      <c r="D1596" s="38"/>
      <c r="E1596" s="37"/>
      <c r="F1596" s="38"/>
      <c r="G1596" s="198"/>
      <c r="H1596" s="198"/>
      <c r="I1596" s="39"/>
      <c r="J1596" s="38"/>
      <c r="K1596" s="198"/>
      <c r="L1596" s="38"/>
      <c r="M1596" s="38"/>
      <c r="N1596" s="38"/>
      <c r="O1596" s="38"/>
      <c r="P1596" s="40" t="str" cm="1">
        <f t="array" ref="P1596">IF(N1596="","",IFERROR(_xlfn.XLOOKUP(F1596&amp;"|"&amp;J1596&amp;"|"&amp;O1596,PRICES!$C$2:$C$659&amp;"|"&amp;PRICES!$B$2:$B$659&amp;"|"&amp;PRICES!$D$2:$D$659,PRICES!$E$2:$E$659),"Not Found"))</f>
        <v/>
      </c>
      <c r="Q1596" s="100" t="str">
        <f>IF(N1596=0,"",SUMIFS(PRICES!$G$2:$G$658,PRICES!$B$2:$B$658,'MAIN TABLE-1 AUTOMATED'!J1596,PRICES!$C$2:$C$658,'MAIN TABLE-1 AUTOMATED'!F1596,PRICES!$D$2:$D$658,'MAIN TABLE-1 AUTOMATED'!O1596))</f>
        <v/>
      </c>
      <c r="R1596" s="41" t="str">
        <f>IF(Table1[[#This Row],[QUANTITY]]=0,"",Table1[[#This Row],[UNIT PRICE]]*Table1[[#This Row],[QUANTITY]])</f>
        <v/>
      </c>
      <c r="S1596" s="89"/>
      <c r="T1596" s="38"/>
      <c r="U1596" s="43"/>
      <c r="V1596" s="42" t="str">
        <f>IF(Table1[[#This Row],[DATE]]=0,"",YEAR(E1596))</f>
        <v/>
      </c>
      <c r="W1596" s="40" t="str">
        <f t="shared" si="50"/>
        <v/>
      </c>
      <c r="X1596" s="40" t="str">
        <f t="shared" si="51"/>
        <v/>
      </c>
      <c r="Y1596" s="40" t="str">
        <f>TEXT(Table1[[#This Row],[YEAR]],"0000")&amp;"-"&amp;Table1[[#This Row],[MONTH]]</f>
        <v>-</v>
      </c>
    </row>
    <row r="1597" spans="1:25" ht="15" customHeight="1" x14ac:dyDescent="0.35">
      <c r="A1597" s="24"/>
      <c r="B1597" s="38"/>
      <c r="C1597" s="38"/>
      <c r="D1597" s="38"/>
      <c r="E1597" s="37"/>
      <c r="F1597" s="38"/>
      <c r="G1597" s="198"/>
      <c r="H1597" s="198"/>
      <c r="I1597" s="39"/>
      <c r="J1597" s="38"/>
      <c r="K1597" s="198"/>
      <c r="L1597" s="38"/>
      <c r="M1597" s="38"/>
      <c r="N1597" s="38"/>
      <c r="O1597" s="38"/>
      <c r="P1597" s="40" t="str" cm="1">
        <f t="array" ref="P1597">IF(N1597="","",IFERROR(_xlfn.XLOOKUP(F1597&amp;"|"&amp;J1597&amp;"|"&amp;O1597,PRICES!$C$2:$C$659&amp;"|"&amp;PRICES!$B$2:$B$659&amp;"|"&amp;PRICES!$D$2:$D$659,PRICES!$E$2:$E$659),"Not Found"))</f>
        <v/>
      </c>
      <c r="Q1597" s="100" t="str">
        <f>IF(N1597=0,"",SUMIFS(PRICES!$G$2:$G$658,PRICES!$B$2:$B$658,'MAIN TABLE-1 AUTOMATED'!J1597,PRICES!$C$2:$C$658,'MAIN TABLE-1 AUTOMATED'!F1597,PRICES!$D$2:$D$658,'MAIN TABLE-1 AUTOMATED'!O1597))</f>
        <v/>
      </c>
      <c r="R1597" s="41" t="str">
        <f>IF(Table1[[#This Row],[QUANTITY]]=0,"",Table1[[#This Row],[UNIT PRICE]]*Table1[[#This Row],[QUANTITY]])</f>
        <v/>
      </c>
      <c r="S1597" s="89"/>
      <c r="T1597" s="38"/>
      <c r="U1597" s="43"/>
      <c r="V1597" s="42" t="str">
        <f>IF(Table1[[#This Row],[DATE]]=0,"",YEAR(E1597))</f>
        <v/>
      </c>
      <c r="W1597" s="40" t="str">
        <f t="shared" si="50"/>
        <v/>
      </c>
      <c r="X1597" s="40" t="str">
        <f t="shared" si="51"/>
        <v/>
      </c>
      <c r="Y1597" s="40" t="str">
        <f>TEXT(Table1[[#This Row],[YEAR]],"0000")&amp;"-"&amp;Table1[[#This Row],[MONTH]]</f>
        <v>-</v>
      </c>
    </row>
    <row r="1598" spans="1:25" ht="15" customHeight="1" x14ac:dyDescent="0.35">
      <c r="A1598" s="24"/>
      <c r="B1598" s="38"/>
      <c r="C1598" s="38"/>
      <c r="D1598" s="38"/>
      <c r="E1598" s="37"/>
      <c r="F1598" s="38"/>
      <c r="G1598" s="198"/>
      <c r="H1598" s="198"/>
      <c r="I1598" s="39"/>
      <c r="J1598" s="38"/>
      <c r="K1598" s="198"/>
      <c r="L1598" s="38"/>
      <c r="M1598" s="38"/>
      <c r="N1598" s="38"/>
      <c r="O1598" s="38"/>
      <c r="P1598" s="40" t="str" cm="1">
        <f t="array" ref="P1598">IF(N1598="","",IFERROR(_xlfn.XLOOKUP(F1598&amp;"|"&amp;J1598&amp;"|"&amp;O1598,PRICES!$C$2:$C$659&amp;"|"&amp;PRICES!$B$2:$B$659&amp;"|"&amp;PRICES!$D$2:$D$659,PRICES!$E$2:$E$659),"Not Found"))</f>
        <v/>
      </c>
      <c r="Q1598" s="100" t="str">
        <f>IF(N1598=0,"",SUMIFS(PRICES!$G$2:$G$658,PRICES!$B$2:$B$658,'MAIN TABLE-1 AUTOMATED'!J1598,PRICES!$C$2:$C$658,'MAIN TABLE-1 AUTOMATED'!F1598,PRICES!$D$2:$D$658,'MAIN TABLE-1 AUTOMATED'!O1598))</f>
        <v/>
      </c>
      <c r="R1598" s="41" t="str">
        <f>IF(Table1[[#This Row],[QUANTITY]]=0,"",Table1[[#This Row],[UNIT PRICE]]*Table1[[#This Row],[QUANTITY]])</f>
        <v/>
      </c>
      <c r="S1598" s="89"/>
      <c r="T1598" s="38"/>
      <c r="U1598" s="43"/>
      <c r="V1598" s="42" t="str">
        <f>IF(Table1[[#This Row],[DATE]]=0,"",YEAR(E1598))</f>
        <v/>
      </c>
      <c r="W1598" s="40" t="str">
        <f t="shared" si="50"/>
        <v/>
      </c>
      <c r="X1598" s="40" t="str">
        <f t="shared" si="51"/>
        <v/>
      </c>
      <c r="Y1598" s="40" t="str">
        <f>TEXT(Table1[[#This Row],[YEAR]],"0000")&amp;"-"&amp;Table1[[#This Row],[MONTH]]</f>
        <v>-</v>
      </c>
    </row>
    <row r="1599" spans="1:25" ht="15" customHeight="1" x14ac:dyDescent="0.35">
      <c r="A1599" s="24"/>
      <c r="B1599" s="38"/>
      <c r="C1599" s="38"/>
      <c r="D1599" s="38"/>
      <c r="E1599" s="37"/>
      <c r="F1599" s="38"/>
      <c r="G1599" s="198"/>
      <c r="H1599" s="198"/>
      <c r="I1599" s="39"/>
      <c r="J1599" s="38"/>
      <c r="K1599" s="198"/>
      <c r="L1599" s="38"/>
      <c r="M1599" s="38"/>
      <c r="N1599" s="38"/>
      <c r="O1599" s="38"/>
      <c r="P1599" s="40" t="str" cm="1">
        <f t="array" ref="P1599">IF(N1599="","",IFERROR(_xlfn.XLOOKUP(F1599&amp;"|"&amp;J1599&amp;"|"&amp;O1599,PRICES!$C$2:$C$659&amp;"|"&amp;PRICES!$B$2:$B$659&amp;"|"&amp;PRICES!$D$2:$D$659,PRICES!$E$2:$E$659),"Not Found"))</f>
        <v/>
      </c>
      <c r="Q1599" s="100" t="str">
        <f>IF(N1599=0,"",SUMIFS(PRICES!$G$2:$G$658,PRICES!$B$2:$B$658,'MAIN TABLE-1 AUTOMATED'!J1599,PRICES!$C$2:$C$658,'MAIN TABLE-1 AUTOMATED'!F1599,PRICES!$D$2:$D$658,'MAIN TABLE-1 AUTOMATED'!O1599))</f>
        <v/>
      </c>
      <c r="R1599" s="41" t="str">
        <f>IF(Table1[[#This Row],[QUANTITY]]=0,"",Table1[[#This Row],[UNIT PRICE]]*Table1[[#This Row],[QUANTITY]])</f>
        <v/>
      </c>
      <c r="S1599" s="89"/>
      <c r="T1599" s="38"/>
      <c r="U1599" s="43"/>
      <c r="V1599" s="42" t="str">
        <f>IF(Table1[[#This Row],[DATE]]=0,"",YEAR(E1599))</f>
        <v/>
      </c>
      <c r="W1599" s="40" t="str">
        <f t="shared" si="50"/>
        <v/>
      </c>
      <c r="X1599" s="40" t="str">
        <f t="shared" si="51"/>
        <v/>
      </c>
      <c r="Y1599" s="40" t="str">
        <f>TEXT(Table1[[#This Row],[YEAR]],"0000")&amp;"-"&amp;Table1[[#This Row],[MONTH]]</f>
        <v>-</v>
      </c>
    </row>
    <row r="1600" spans="1:25" ht="15" customHeight="1" x14ac:dyDescent="0.35">
      <c r="A1600" s="24"/>
      <c r="B1600" s="38"/>
      <c r="C1600" s="38"/>
      <c r="D1600" s="38"/>
      <c r="E1600" s="37"/>
      <c r="F1600" s="38"/>
      <c r="G1600" s="198"/>
      <c r="H1600" s="198"/>
      <c r="I1600" s="39"/>
      <c r="J1600" s="38"/>
      <c r="K1600" s="198"/>
      <c r="L1600" s="38"/>
      <c r="M1600" s="38"/>
      <c r="N1600" s="38"/>
      <c r="O1600" s="38"/>
      <c r="P1600" s="40" t="str" cm="1">
        <f t="array" ref="P1600">IF(N1600="","",IFERROR(_xlfn.XLOOKUP(F1600&amp;"|"&amp;J1600&amp;"|"&amp;O1600,PRICES!$C$2:$C$659&amp;"|"&amp;PRICES!$B$2:$B$659&amp;"|"&amp;PRICES!$D$2:$D$659,PRICES!$E$2:$E$659),"Not Found"))</f>
        <v/>
      </c>
      <c r="Q1600" s="100" t="str">
        <f>IF(N1600=0,"",SUMIFS(PRICES!$G$2:$G$658,PRICES!$B$2:$B$658,'MAIN TABLE-1 AUTOMATED'!J1600,PRICES!$C$2:$C$658,'MAIN TABLE-1 AUTOMATED'!F1600,PRICES!$D$2:$D$658,'MAIN TABLE-1 AUTOMATED'!O1600))</f>
        <v/>
      </c>
      <c r="R1600" s="41" t="str">
        <f>IF(Table1[[#This Row],[QUANTITY]]=0,"",Table1[[#This Row],[UNIT PRICE]]*Table1[[#This Row],[QUANTITY]])</f>
        <v/>
      </c>
      <c r="S1600" s="89"/>
      <c r="T1600" s="38"/>
      <c r="U1600" s="43"/>
      <c r="V1600" s="42" t="str">
        <f>IF(Table1[[#This Row],[DATE]]=0,"",YEAR(E1600))</f>
        <v/>
      </c>
      <c r="W1600" s="40" t="str">
        <f t="shared" si="50"/>
        <v/>
      </c>
      <c r="X1600" s="40" t="str">
        <f t="shared" si="51"/>
        <v/>
      </c>
      <c r="Y1600" s="40" t="str">
        <f>TEXT(Table1[[#This Row],[YEAR]],"0000")&amp;"-"&amp;Table1[[#This Row],[MONTH]]</f>
        <v>-</v>
      </c>
    </row>
    <row r="1601" spans="1:25" ht="15" customHeight="1" x14ac:dyDescent="0.35">
      <c r="A1601" s="24"/>
      <c r="B1601" s="38"/>
      <c r="C1601" s="38"/>
      <c r="D1601" s="38"/>
      <c r="E1601" s="37"/>
      <c r="F1601" s="38"/>
      <c r="G1601" s="198"/>
      <c r="H1601" s="198"/>
      <c r="I1601" s="39"/>
      <c r="J1601" s="38"/>
      <c r="K1601" s="198"/>
      <c r="L1601" s="38"/>
      <c r="M1601" s="38"/>
      <c r="N1601" s="38"/>
      <c r="O1601" s="38"/>
      <c r="P1601" s="40" t="str" cm="1">
        <f t="array" ref="P1601">IF(N1601="","",IFERROR(_xlfn.XLOOKUP(F1601&amp;"|"&amp;J1601&amp;"|"&amp;O1601,PRICES!$C$2:$C$659&amp;"|"&amp;PRICES!$B$2:$B$659&amp;"|"&amp;PRICES!$D$2:$D$659,PRICES!$E$2:$E$659),"Not Found"))</f>
        <v/>
      </c>
      <c r="Q1601" s="100" t="str">
        <f>IF(N1601=0,"",SUMIFS(PRICES!$G$2:$G$658,PRICES!$B$2:$B$658,'MAIN TABLE-1 AUTOMATED'!J1601,PRICES!$C$2:$C$658,'MAIN TABLE-1 AUTOMATED'!F1601,PRICES!$D$2:$D$658,'MAIN TABLE-1 AUTOMATED'!O1601))</f>
        <v/>
      </c>
      <c r="R1601" s="41" t="str">
        <f>IF(Table1[[#This Row],[QUANTITY]]=0,"",Table1[[#This Row],[UNIT PRICE]]*Table1[[#This Row],[QUANTITY]])</f>
        <v/>
      </c>
      <c r="S1601" s="89"/>
      <c r="T1601" s="38"/>
      <c r="U1601" s="43"/>
      <c r="V1601" s="42" t="str">
        <f>IF(Table1[[#This Row],[DATE]]=0,"",YEAR(E1601))</f>
        <v/>
      </c>
      <c r="W1601" s="40" t="str">
        <f t="shared" si="50"/>
        <v/>
      </c>
      <c r="X1601" s="40" t="str">
        <f t="shared" si="51"/>
        <v/>
      </c>
      <c r="Y1601" s="40" t="str">
        <f>TEXT(Table1[[#This Row],[YEAR]],"0000")&amp;"-"&amp;Table1[[#This Row],[MONTH]]</f>
        <v>-</v>
      </c>
    </row>
    <row r="1602" spans="1:25" ht="15" customHeight="1" x14ac:dyDescent="0.35">
      <c r="A1602" s="24"/>
      <c r="B1602" s="38"/>
      <c r="C1602" s="38"/>
      <c r="D1602" s="38"/>
      <c r="E1602" s="37"/>
      <c r="F1602" s="38"/>
      <c r="G1602" s="198"/>
      <c r="H1602" s="198"/>
      <c r="I1602" s="39"/>
      <c r="J1602" s="38"/>
      <c r="K1602" s="198"/>
      <c r="L1602" s="38"/>
      <c r="M1602" s="38"/>
      <c r="N1602" s="38"/>
      <c r="O1602" s="38"/>
      <c r="P1602" s="40" t="str" cm="1">
        <f t="array" ref="P1602">IF(N1602="","",IFERROR(_xlfn.XLOOKUP(F1602&amp;"|"&amp;J1602&amp;"|"&amp;O1602,PRICES!$C$2:$C$659&amp;"|"&amp;PRICES!$B$2:$B$659&amp;"|"&amp;PRICES!$D$2:$D$659,PRICES!$E$2:$E$659),"Not Found"))</f>
        <v/>
      </c>
      <c r="Q1602" s="100" t="str">
        <f>IF(N1602=0,"",SUMIFS(PRICES!$G$2:$G$658,PRICES!$B$2:$B$658,'MAIN TABLE-1 AUTOMATED'!J1602,PRICES!$C$2:$C$658,'MAIN TABLE-1 AUTOMATED'!F1602,PRICES!$D$2:$D$658,'MAIN TABLE-1 AUTOMATED'!O1602))</f>
        <v/>
      </c>
      <c r="R1602" s="41" t="str">
        <f>IF(Table1[[#This Row],[QUANTITY]]=0,"",Table1[[#This Row],[UNIT PRICE]]*Table1[[#This Row],[QUANTITY]])</f>
        <v/>
      </c>
      <c r="S1602" s="89"/>
      <c r="T1602" s="38"/>
      <c r="U1602" s="43"/>
      <c r="V1602" s="42" t="str">
        <f>IF(Table1[[#This Row],[DATE]]=0,"",YEAR(E1602))</f>
        <v/>
      </c>
      <c r="W1602" s="40" t="str">
        <f t="shared" si="50"/>
        <v/>
      </c>
      <c r="X1602" s="40" t="str">
        <f t="shared" si="51"/>
        <v/>
      </c>
      <c r="Y1602" s="40" t="str">
        <f>TEXT(Table1[[#This Row],[YEAR]],"0000")&amp;"-"&amp;Table1[[#This Row],[MONTH]]</f>
        <v>-</v>
      </c>
    </row>
    <row r="1603" spans="1:25" ht="15" customHeight="1" x14ac:dyDescent="0.35">
      <c r="A1603" s="24"/>
      <c r="B1603" s="38"/>
      <c r="C1603" s="38"/>
      <c r="D1603" s="38"/>
      <c r="E1603" s="37"/>
      <c r="F1603" s="38"/>
      <c r="G1603" s="198"/>
      <c r="H1603" s="198"/>
      <c r="I1603" s="39"/>
      <c r="J1603" s="38"/>
      <c r="K1603" s="198"/>
      <c r="L1603" s="38"/>
      <c r="M1603" s="38"/>
      <c r="N1603" s="38"/>
      <c r="O1603" s="38"/>
      <c r="P1603" s="40" t="str" cm="1">
        <f t="array" ref="P1603">IF(N1603="","",IFERROR(_xlfn.XLOOKUP(F1603&amp;"|"&amp;J1603&amp;"|"&amp;O1603,PRICES!$C$2:$C$659&amp;"|"&amp;PRICES!$B$2:$B$659&amp;"|"&amp;PRICES!$D$2:$D$659,PRICES!$E$2:$E$659),"Not Found"))</f>
        <v/>
      </c>
      <c r="Q1603" s="100" t="str">
        <f>IF(N1603=0,"",SUMIFS(PRICES!$G$2:$G$658,PRICES!$B$2:$B$658,'MAIN TABLE-1 AUTOMATED'!J1603,PRICES!$C$2:$C$658,'MAIN TABLE-1 AUTOMATED'!F1603,PRICES!$D$2:$D$658,'MAIN TABLE-1 AUTOMATED'!O1603))</f>
        <v/>
      </c>
      <c r="R1603" s="41" t="str">
        <f>IF(Table1[[#This Row],[QUANTITY]]=0,"",Table1[[#This Row],[UNIT PRICE]]*Table1[[#This Row],[QUANTITY]])</f>
        <v/>
      </c>
      <c r="S1603" s="89"/>
      <c r="T1603" s="38"/>
      <c r="U1603" s="43"/>
      <c r="V1603" s="42" t="str">
        <f>IF(Table1[[#This Row],[DATE]]=0,"",YEAR(E1603))</f>
        <v/>
      </c>
      <c r="W1603" s="40" t="str">
        <f t="shared" si="50"/>
        <v/>
      </c>
      <c r="X1603" s="40" t="str">
        <f t="shared" si="51"/>
        <v/>
      </c>
      <c r="Y1603" s="40" t="str">
        <f>TEXT(Table1[[#This Row],[YEAR]],"0000")&amp;"-"&amp;Table1[[#This Row],[MONTH]]</f>
        <v>-</v>
      </c>
    </row>
    <row r="1604" spans="1:25" ht="15" customHeight="1" x14ac:dyDescent="0.35">
      <c r="A1604" s="24"/>
      <c r="B1604" s="38"/>
      <c r="C1604" s="38"/>
      <c r="D1604" s="38"/>
      <c r="E1604" s="37"/>
      <c r="F1604" s="38"/>
      <c r="G1604" s="198"/>
      <c r="H1604" s="198"/>
      <c r="I1604" s="39"/>
      <c r="J1604" s="38"/>
      <c r="K1604" s="198"/>
      <c r="L1604" s="38"/>
      <c r="M1604" s="38"/>
      <c r="N1604" s="38"/>
      <c r="O1604" s="38"/>
      <c r="P1604" s="40" t="str" cm="1">
        <f t="array" ref="P1604">IF(N1604="","",IFERROR(_xlfn.XLOOKUP(F1604&amp;"|"&amp;J1604&amp;"|"&amp;O1604,PRICES!$C$2:$C$659&amp;"|"&amp;PRICES!$B$2:$B$659&amp;"|"&amp;PRICES!$D$2:$D$659,PRICES!$E$2:$E$659),"Not Found"))</f>
        <v/>
      </c>
      <c r="Q1604" s="100" t="str">
        <f>IF(N1604=0,"",SUMIFS(PRICES!$G$2:$G$658,PRICES!$B$2:$B$658,'MAIN TABLE-1 AUTOMATED'!J1604,PRICES!$C$2:$C$658,'MAIN TABLE-1 AUTOMATED'!F1604,PRICES!$D$2:$D$658,'MAIN TABLE-1 AUTOMATED'!O1604))</f>
        <v/>
      </c>
      <c r="R1604" s="41" t="str">
        <f>IF(Table1[[#This Row],[QUANTITY]]=0,"",Table1[[#This Row],[UNIT PRICE]]*Table1[[#This Row],[QUANTITY]])</f>
        <v/>
      </c>
      <c r="S1604" s="89"/>
      <c r="T1604" s="38"/>
      <c r="U1604" s="43"/>
      <c r="V1604" s="42" t="str">
        <f>IF(Table1[[#This Row],[DATE]]=0,"",YEAR(E1604))</f>
        <v/>
      </c>
      <c r="W1604" s="40" t="str">
        <f t="shared" si="50"/>
        <v/>
      </c>
      <c r="X1604" s="40" t="str">
        <f t="shared" si="51"/>
        <v/>
      </c>
      <c r="Y1604" s="40" t="str">
        <f>TEXT(Table1[[#This Row],[YEAR]],"0000")&amp;"-"&amp;Table1[[#This Row],[MONTH]]</f>
        <v>-</v>
      </c>
    </row>
    <row r="1605" spans="1:25" ht="15" customHeight="1" x14ac:dyDescent="0.35">
      <c r="A1605" s="24"/>
      <c r="B1605" s="38"/>
      <c r="C1605" s="38"/>
      <c r="D1605" s="38"/>
      <c r="E1605" s="37"/>
      <c r="F1605" s="38"/>
      <c r="G1605" s="198"/>
      <c r="H1605" s="198"/>
      <c r="I1605" s="39"/>
      <c r="J1605" s="38"/>
      <c r="K1605" s="198"/>
      <c r="L1605" s="38"/>
      <c r="M1605" s="38"/>
      <c r="N1605" s="38"/>
      <c r="O1605" s="38"/>
      <c r="P1605" s="40" t="str" cm="1">
        <f t="array" ref="P1605">IF(N1605="","",IFERROR(_xlfn.XLOOKUP(F1605&amp;"|"&amp;J1605&amp;"|"&amp;O1605,PRICES!$C$2:$C$659&amp;"|"&amp;PRICES!$B$2:$B$659&amp;"|"&amp;PRICES!$D$2:$D$659,PRICES!$E$2:$E$659),"Not Found"))</f>
        <v/>
      </c>
      <c r="Q1605" s="100" t="str">
        <f>IF(N1605=0,"",SUMIFS(PRICES!$G$2:$G$658,PRICES!$B$2:$B$658,'MAIN TABLE-1 AUTOMATED'!J1605,PRICES!$C$2:$C$658,'MAIN TABLE-1 AUTOMATED'!F1605,PRICES!$D$2:$D$658,'MAIN TABLE-1 AUTOMATED'!O1605))</f>
        <v/>
      </c>
      <c r="R1605" s="41" t="str">
        <f>IF(Table1[[#This Row],[QUANTITY]]=0,"",Table1[[#This Row],[UNIT PRICE]]*Table1[[#This Row],[QUANTITY]])</f>
        <v/>
      </c>
      <c r="S1605" s="89"/>
      <c r="T1605" s="38"/>
      <c r="U1605" s="43"/>
      <c r="V1605" s="42" t="str">
        <f>IF(Table1[[#This Row],[DATE]]=0,"",YEAR(E1605))</f>
        <v/>
      </c>
      <c r="W1605" s="40" t="str">
        <f t="shared" si="50"/>
        <v/>
      </c>
      <c r="X1605" s="40" t="str">
        <f t="shared" si="51"/>
        <v/>
      </c>
      <c r="Y1605" s="40" t="str">
        <f>TEXT(Table1[[#This Row],[YEAR]],"0000")&amp;"-"&amp;Table1[[#This Row],[MONTH]]</f>
        <v>-</v>
      </c>
    </row>
    <row r="1606" spans="1:25" ht="15" customHeight="1" x14ac:dyDescent="0.35">
      <c r="A1606" s="24"/>
      <c r="B1606" s="38"/>
      <c r="C1606" s="38"/>
      <c r="D1606" s="38"/>
      <c r="E1606" s="37"/>
      <c r="F1606" s="38"/>
      <c r="G1606" s="198"/>
      <c r="H1606" s="198"/>
      <c r="I1606" s="39"/>
      <c r="J1606" s="38"/>
      <c r="K1606" s="198"/>
      <c r="L1606" s="38"/>
      <c r="M1606" s="38"/>
      <c r="N1606" s="38"/>
      <c r="O1606" s="38"/>
      <c r="P1606" s="40" t="str" cm="1">
        <f t="array" ref="P1606">IF(N1606="","",IFERROR(_xlfn.XLOOKUP(F1606&amp;"|"&amp;J1606&amp;"|"&amp;O1606,PRICES!$C$2:$C$659&amp;"|"&amp;PRICES!$B$2:$B$659&amp;"|"&amp;PRICES!$D$2:$D$659,PRICES!$E$2:$E$659),"Not Found"))</f>
        <v/>
      </c>
      <c r="Q1606" s="100" t="str">
        <f>IF(N1606=0,"",SUMIFS(PRICES!$G$2:$G$658,PRICES!$B$2:$B$658,'MAIN TABLE-1 AUTOMATED'!J1606,PRICES!$C$2:$C$658,'MAIN TABLE-1 AUTOMATED'!F1606,PRICES!$D$2:$D$658,'MAIN TABLE-1 AUTOMATED'!O1606))</f>
        <v/>
      </c>
      <c r="R1606" s="41" t="str">
        <f>IF(Table1[[#This Row],[QUANTITY]]=0,"",Table1[[#This Row],[UNIT PRICE]]*Table1[[#This Row],[QUANTITY]])</f>
        <v/>
      </c>
      <c r="S1606" s="89"/>
      <c r="T1606" s="38"/>
      <c r="U1606" s="43"/>
      <c r="V1606" s="42" t="str">
        <f>IF(Table1[[#This Row],[DATE]]=0,"",YEAR(E1606))</f>
        <v/>
      </c>
      <c r="W1606" s="40" t="str">
        <f t="shared" si="50"/>
        <v/>
      </c>
      <c r="X1606" s="40" t="str">
        <f t="shared" si="51"/>
        <v/>
      </c>
      <c r="Y1606" s="40" t="str">
        <f>TEXT(Table1[[#This Row],[YEAR]],"0000")&amp;"-"&amp;Table1[[#This Row],[MONTH]]</f>
        <v>-</v>
      </c>
    </row>
    <row r="1607" spans="1:25" ht="15" customHeight="1" x14ac:dyDescent="0.35">
      <c r="A1607" s="24"/>
      <c r="B1607" s="38"/>
      <c r="C1607" s="38"/>
      <c r="D1607" s="38"/>
      <c r="E1607" s="37"/>
      <c r="F1607" s="38"/>
      <c r="G1607" s="198"/>
      <c r="H1607" s="198"/>
      <c r="I1607" s="39"/>
      <c r="J1607" s="38"/>
      <c r="K1607" s="198"/>
      <c r="L1607" s="38"/>
      <c r="M1607" s="38"/>
      <c r="N1607" s="38"/>
      <c r="O1607" s="38"/>
      <c r="P1607" s="40" t="str" cm="1">
        <f t="array" ref="P1607">IF(N1607="","",IFERROR(_xlfn.XLOOKUP(F1607&amp;"|"&amp;J1607&amp;"|"&amp;O1607,PRICES!$C$2:$C$659&amp;"|"&amp;PRICES!$B$2:$B$659&amp;"|"&amp;PRICES!$D$2:$D$659,PRICES!$E$2:$E$659),"Not Found"))</f>
        <v/>
      </c>
      <c r="Q1607" s="100" t="str">
        <f>IF(N1607=0,"",SUMIFS(PRICES!$G$2:$G$658,PRICES!$B$2:$B$658,'MAIN TABLE-1 AUTOMATED'!J1607,PRICES!$C$2:$C$658,'MAIN TABLE-1 AUTOMATED'!F1607,PRICES!$D$2:$D$658,'MAIN TABLE-1 AUTOMATED'!O1607))</f>
        <v/>
      </c>
      <c r="R1607" s="41" t="str">
        <f>IF(Table1[[#This Row],[QUANTITY]]=0,"",Table1[[#This Row],[UNIT PRICE]]*Table1[[#This Row],[QUANTITY]])</f>
        <v/>
      </c>
      <c r="S1607" s="89"/>
      <c r="T1607" s="38"/>
      <c r="U1607" s="43"/>
      <c r="V1607" s="42" t="str">
        <f>IF(Table1[[#This Row],[DATE]]=0,"",YEAR(E1607))</f>
        <v/>
      </c>
      <c r="W1607" s="40" t="str">
        <f t="shared" si="50"/>
        <v/>
      </c>
      <c r="X1607" s="40" t="str">
        <f t="shared" si="51"/>
        <v/>
      </c>
      <c r="Y1607" s="40" t="str">
        <f>TEXT(Table1[[#This Row],[YEAR]],"0000")&amp;"-"&amp;Table1[[#This Row],[MONTH]]</f>
        <v>-</v>
      </c>
    </row>
    <row r="1608" spans="1:25" ht="15" customHeight="1" x14ac:dyDescent="0.35">
      <c r="A1608" s="24"/>
      <c r="B1608" s="38"/>
      <c r="C1608" s="38"/>
      <c r="D1608" s="38"/>
      <c r="E1608" s="37"/>
      <c r="F1608" s="38"/>
      <c r="G1608" s="198"/>
      <c r="H1608" s="198"/>
      <c r="I1608" s="39"/>
      <c r="J1608" s="38"/>
      <c r="K1608" s="198"/>
      <c r="L1608" s="38"/>
      <c r="M1608" s="38"/>
      <c r="N1608" s="38"/>
      <c r="O1608" s="38"/>
      <c r="P1608" s="40" t="str" cm="1">
        <f t="array" ref="P1608">IF(N1608="","",IFERROR(_xlfn.XLOOKUP(F1608&amp;"|"&amp;J1608&amp;"|"&amp;O1608,PRICES!$C$2:$C$659&amp;"|"&amp;PRICES!$B$2:$B$659&amp;"|"&amp;PRICES!$D$2:$D$659,PRICES!$E$2:$E$659),"Not Found"))</f>
        <v/>
      </c>
      <c r="Q1608" s="100" t="str">
        <f>IF(N1608=0,"",SUMIFS(PRICES!$G$2:$G$658,PRICES!$B$2:$B$658,'MAIN TABLE-1 AUTOMATED'!J1608,PRICES!$C$2:$C$658,'MAIN TABLE-1 AUTOMATED'!F1608,PRICES!$D$2:$D$658,'MAIN TABLE-1 AUTOMATED'!O1608))</f>
        <v/>
      </c>
      <c r="R1608" s="41" t="str">
        <f>IF(Table1[[#This Row],[QUANTITY]]=0,"",Table1[[#This Row],[UNIT PRICE]]*Table1[[#This Row],[QUANTITY]])</f>
        <v/>
      </c>
      <c r="S1608" s="89"/>
      <c r="T1608" s="38"/>
      <c r="U1608" s="43"/>
      <c r="V1608" s="42" t="str">
        <f>IF(Table1[[#This Row],[DATE]]=0,"",YEAR(E1608))</f>
        <v/>
      </c>
      <c r="W1608" s="40" t="str">
        <f t="shared" si="50"/>
        <v/>
      </c>
      <c r="X1608" s="40" t="str">
        <f t="shared" si="51"/>
        <v/>
      </c>
      <c r="Y1608" s="40" t="str">
        <f>TEXT(Table1[[#This Row],[YEAR]],"0000")&amp;"-"&amp;Table1[[#This Row],[MONTH]]</f>
        <v>-</v>
      </c>
    </row>
    <row r="1609" spans="1:25" ht="15" customHeight="1" x14ac:dyDescent="0.35">
      <c r="A1609" s="24"/>
      <c r="B1609" s="38"/>
      <c r="C1609" s="38"/>
      <c r="D1609" s="38"/>
      <c r="E1609" s="37"/>
      <c r="F1609" s="38"/>
      <c r="G1609" s="198"/>
      <c r="H1609" s="198"/>
      <c r="I1609" s="39"/>
      <c r="J1609" s="38"/>
      <c r="K1609" s="198"/>
      <c r="L1609" s="38"/>
      <c r="M1609" s="38"/>
      <c r="N1609" s="38"/>
      <c r="O1609" s="38"/>
      <c r="P1609" s="40" t="str" cm="1">
        <f t="array" ref="P1609">IF(N1609="","",IFERROR(_xlfn.XLOOKUP(F1609&amp;"|"&amp;J1609&amp;"|"&amp;O1609,PRICES!$C$2:$C$659&amp;"|"&amp;PRICES!$B$2:$B$659&amp;"|"&amp;PRICES!$D$2:$D$659,PRICES!$E$2:$E$659),"Not Found"))</f>
        <v/>
      </c>
      <c r="Q1609" s="100" t="str">
        <f>IF(N1609=0,"",SUMIFS(PRICES!$G$2:$G$658,PRICES!$B$2:$B$658,'MAIN TABLE-1 AUTOMATED'!J1609,PRICES!$C$2:$C$658,'MAIN TABLE-1 AUTOMATED'!F1609,PRICES!$D$2:$D$658,'MAIN TABLE-1 AUTOMATED'!O1609))</f>
        <v/>
      </c>
      <c r="R1609" s="41" t="str">
        <f>IF(Table1[[#This Row],[QUANTITY]]=0,"",Table1[[#This Row],[UNIT PRICE]]*Table1[[#This Row],[QUANTITY]])</f>
        <v/>
      </c>
      <c r="S1609" s="89"/>
      <c r="T1609" s="38"/>
      <c r="U1609" s="43"/>
      <c r="V1609" s="42" t="str">
        <f>IF(Table1[[#This Row],[DATE]]=0,"",YEAR(E1609))</f>
        <v/>
      </c>
      <c r="W1609" s="40" t="str">
        <f t="shared" si="50"/>
        <v/>
      </c>
      <c r="X1609" s="40" t="str">
        <f t="shared" si="51"/>
        <v/>
      </c>
      <c r="Y1609" s="40" t="str">
        <f>TEXT(Table1[[#This Row],[YEAR]],"0000")&amp;"-"&amp;Table1[[#This Row],[MONTH]]</f>
        <v>-</v>
      </c>
    </row>
    <row r="1610" spans="1:25" ht="15" customHeight="1" x14ac:dyDescent="0.35">
      <c r="A1610" s="24"/>
      <c r="B1610" s="38"/>
      <c r="C1610" s="38"/>
      <c r="D1610" s="38"/>
      <c r="E1610" s="37"/>
      <c r="F1610" s="38"/>
      <c r="G1610" s="198"/>
      <c r="H1610" s="198"/>
      <c r="I1610" s="39"/>
      <c r="J1610" s="38"/>
      <c r="K1610" s="198"/>
      <c r="L1610" s="38"/>
      <c r="M1610" s="38"/>
      <c r="N1610" s="38"/>
      <c r="O1610" s="38"/>
      <c r="P1610" s="40" t="str" cm="1">
        <f t="array" ref="P1610">IF(N1610="","",IFERROR(_xlfn.XLOOKUP(F1610&amp;"|"&amp;J1610&amp;"|"&amp;O1610,PRICES!$C$2:$C$659&amp;"|"&amp;PRICES!$B$2:$B$659&amp;"|"&amp;PRICES!$D$2:$D$659,PRICES!$E$2:$E$659),"Not Found"))</f>
        <v/>
      </c>
      <c r="Q1610" s="100" t="str">
        <f>IF(N1610=0,"",SUMIFS(PRICES!$G$2:$G$658,PRICES!$B$2:$B$658,'MAIN TABLE-1 AUTOMATED'!J1610,PRICES!$C$2:$C$658,'MAIN TABLE-1 AUTOMATED'!F1610,PRICES!$D$2:$D$658,'MAIN TABLE-1 AUTOMATED'!O1610))</f>
        <v/>
      </c>
      <c r="R1610" s="41" t="str">
        <f>IF(Table1[[#This Row],[QUANTITY]]=0,"",Table1[[#This Row],[UNIT PRICE]]*Table1[[#This Row],[QUANTITY]])</f>
        <v/>
      </c>
      <c r="S1610" s="89"/>
      <c r="T1610" s="38"/>
      <c r="U1610" s="43"/>
      <c r="V1610" s="42" t="str">
        <f>IF(Table1[[#This Row],[DATE]]=0,"",YEAR(E1610))</f>
        <v/>
      </c>
      <c r="W1610" s="40" t="str">
        <f t="shared" si="50"/>
        <v/>
      </c>
      <c r="X1610" s="40" t="str">
        <f t="shared" si="51"/>
        <v/>
      </c>
      <c r="Y1610" s="40" t="str">
        <f>TEXT(Table1[[#This Row],[YEAR]],"0000")&amp;"-"&amp;Table1[[#This Row],[MONTH]]</f>
        <v>-</v>
      </c>
    </row>
    <row r="1611" spans="1:25" ht="15" customHeight="1" x14ac:dyDescent="0.35">
      <c r="A1611" s="24"/>
      <c r="B1611" s="38"/>
      <c r="C1611" s="38"/>
      <c r="D1611" s="38"/>
      <c r="E1611" s="37"/>
      <c r="F1611" s="38"/>
      <c r="G1611" s="198"/>
      <c r="H1611" s="198"/>
      <c r="I1611" s="39"/>
      <c r="J1611" s="38"/>
      <c r="K1611" s="198"/>
      <c r="L1611" s="38"/>
      <c r="M1611" s="38"/>
      <c r="N1611" s="38"/>
      <c r="O1611" s="38"/>
      <c r="P1611" s="40" t="str" cm="1">
        <f t="array" ref="P1611">IF(N1611="","",IFERROR(_xlfn.XLOOKUP(F1611&amp;"|"&amp;J1611&amp;"|"&amp;O1611,PRICES!$C$2:$C$659&amp;"|"&amp;PRICES!$B$2:$B$659&amp;"|"&amp;PRICES!$D$2:$D$659,PRICES!$E$2:$E$659),"Not Found"))</f>
        <v/>
      </c>
      <c r="Q1611" s="100" t="str">
        <f>IF(N1611=0,"",SUMIFS(PRICES!$G$2:$G$658,PRICES!$B$2:$B$658,'MAIN TABLE-1 AUTOMATED'!J1611,PRICES!$C$2:$C$658,'MAIN TABLE-1 AUTOMATED'!F1611,PRICES!$D$2:$D$658,'MAIN TABLE-1 AUTOMATED'!O1611))</f>
        <v/>
      </c>
      <c r="R1611" s="41" t="str">
        <f>IF(Table1[[#This Row],[QUANTITY]]=0,"",Table1[[#This Row],[UNIT PRICE]]*Table1[[#This Row],[QUANTITY]])</f>
        <v/>
      </c>
      <c r="S1611" s="89"/>
      <c r="T1611" s="38"/>
      <c r="U1611" s="43"/>
      <c r="V1611" s="42" t="str">
        <f>IF(Table1[[#This Row],[DATE]]=0,"",YEAR(E1611))</f>
        <v/>
      </c>
      <c r="W1611" s="40" t="str">
        <f t="shared" si="50"/>
        <v/>
      </c>
      <c r="X1611" s="40" t="str">
        <f t="shared" si="51"/>
        <v/>
      </c>
      <c r="Y1611" s="40" t="str">
        <f>TEXT(Table1[[#This Row],[YEAR]],"0000")&amp;"-"&amp;Table1[[#This Row],[MONTH]]</f>
        <v>-</v>
      </c>
    </row>
    <row r="1612" spans="1:25" ht="15" customHeight="1" x14ac:dyDescent="0.35">
      <c r="A1612" s="24"/>
      <c r="B1612" s="38"/>
      <c r="C1612" s="38"/>
      <c r="D1612" s="38"/>
      <c r="E1612" s="37"/>
      <c r="F1612" s="38"/>
      <c r="G1612" s="198"/>
      <c r="H1612" s="198"/>
      <c r="I1612" s="39"/>
      <c r="J1612" s="38"/>
      <c r="K1612" s="198"/>
      <c r="L1612" s="38"/>
      <c r="M1612" s="38"/>
      <c r="N1612" s="38"/>
      <c r="O1612" s="38"/>
      <c r="P1612" s="40" t="str" cm="1">
        <f t="array" ref="P1612">IF(N1612="","",IFERROR(_xlfn.XLOOKUP(F1612&amp;"|"&amp;J1612&amp;"|"&amp;O1612,PRICES!$C$2:$C$659&amp;"|"&amp;PRICES!$B$2:$B$659&amp;"|"&amp;PRICES!$D$2:$D$659,PRICES!$E$2:$E$659),"Not Found"))</f>
        <v/>
      </c>
      <c r="Q1612" s="100" t="str">
        <f>IF(N1612=0,"",SUMIFS(PRICES!$G$2:$G$658,PRICES!$B$2:$B$658,'MAIN TABLE-1 AUTOMATED'!J1612,PRICES!$C$2:$C$658,'MAIN TABLE-1 AUTOMATED'!F1612,PRICES!$D$2:$D$658,'MAIN TABLE-1 AUTOMATED'!O1612))</f>
        <v/>
      </c>
      <c r="R1612" s="41" t="str">
        <f>IF(Table1[[#This Row],[QUANTITY]]=0,"",Table1[[#This Row],[UNIT PRICE]]*Table1[[#This Row],[QUANTITY]])</f>
        <v/>
      </c>
      <c r="S1612" s="89"/>
      <c r="T1612" s="38"/>
      <c r="U1612" s="43"/>
      <c r="V1612" s="42" t="str">
        <f>IF(Table1[[#This Row],[DATE]]=0,"",YEAR(E1612))</f>
        <v/>
      </c>
      <c r="W1612" s="40" t="str">
        <f t="shared" si="50"/>
        <v/>
      </c>
      <c r="X1612" s="40" t="str">
        <f t="shared" si="51"/>
        <v/>
      </c>
      <c r="Y1612" s="40" t="str">
        <f>TEXT(Table1[[#This Row],[YEAR]],"0000")&amp;"-"&amp;Table1[[#This Row],[MONTH]]</f>
        <v>-</v>
      </c>
    </row>
    <row r="1613" spans="1:25" ht="15" customHeight="1" x14ac:dyDescent="0.35">
      <c r="A1613" s="24"/>
      <c r="B1613" s="38"/>
      <c r="C1613" s="38"/>
      <c r="D1613" s="38"/>
      <c r="E1613" s="37"/>
      <c r="F1613" s="38"/>
      <c r="G1613" s="198"/>
      <c r="H1613" s="198"/>
      <c r="I1613" s="39"/>
      <c r="J1613" s="38"/>
      <c r="K1613" s="198"/>
      <c r="L1613" s="38"/>
      <c r="M1613" s="38"/>
      <c r="N1613" s="38"/>
      <c r="O1613" s="38"/>
      <c r="P1613" s="40" t="str" cm="1">
        <f t="array" ref="P1613">IF(N1613="","",IFERROR(_xlfn.XLOOKUP(F1613&amp;"|"&amp;J1613&amp;"|"&amp;O1613,PRICES!$C$2:$C$659&amp;"|"&amp;PRICES!$B$2:$B$659&amp;"|"&amp;PRICES!$D$2:$D$659,PRICES!$E$2:$E$659),"Not Found"))</f>
        <v/>
      </c>
      <c r="Q1613" s="100" t="str">
        <f>IF(N1613=0,"",SUMIFS(PRICES!$G$2:$G$658,PRICES!$B$2:$B$658,'MAIN TABLE-1 AUTOMATED'!J1613,PRICES!$C$2:$C$658,'MAIN TABLE-1 AUTOMATED'!F1613,PRICES!$D$2:$D$658,'MAIN TABLE-1 AUTOMATED'!O1613))</f>
        <v/>
      </c>
      <c r="R1613" s="41" t="str">
        <f>IF(Table1[[#This Row],[QUANTITY]]=0,"",Table1[[#This Row],[UNIT PRICE]]*Table1[[#This Row],[QUANTITY]])</f>
        <v/>
      </c>
      <c r="S1613" s="89"/>
      <c r="T1613" s="38"/>
      <c r="U1613" s="43"/>
      <c r="V1613" s="42" t="str">
        <f>IF(Table1[[#This Row],[DATE]]=0,"",YEAR(E1613))</f>
        <v/>
      </c>
      <c r="W1613" s="40" t="str">
        <f t="shared" si="50"/>
        <v/>
      </c>
      <c r="X1613" s="40" t="str">
        <f t="shared" si="51"/>
        <v/>
      </c>
      <c r="Y1613" s="40" t="str">
        <f>TEXT(Table1[[#This Row],[YEAR]],"0000")&amp;"-"&amp;Table1[[#This Row],[MONTH]]</f>
        <v>-</v>
      </c>
    </row>
    <row r="1614" spans="1:25" ht="15" customHeight="1" x14ac:dyDescent="0.35">
      <c r="A1614" s="24"/>
      <c r="B1614" s="38"/>
      <c r="C1614" s="38"/>
      <c r="D1614" s="38"/>
      <c r="E1614" s="37"/>
      <c r="F1614" s="38"/>
      <c r="G1614" s="198"/>
      <c r="H1614" s="198"/>
      <c r="I1614" s="39"/>
      <c r="J1614" s="38"/>
      <c r="K1614" s="198"/>
      <c r="L1614" s="38"/>
      <c r="M1614" s="38"/>
      <c r="N1614" s="38"/>
      <c r="O1614" s="38"/>
      <c r="P1614" s="40" t="str" cm="1">
        <f t="array" ref="P1614">IF(N1614="","",IFERROR(_xlfn.XLOOKUP(F1614&amp;"|"&amp;J1614&amp;"|"&amp;O1614,PRICES!$C$2:$C$659&amp;"|"&amp;PRICES!$B$2:$B$659&amp;"|"&amp;PRICES!$D$2:$D$659,PRICES!$E$2:$E$659),"Not Found"))</f>
        <v/>
      </c>
      <c r="Q1614" s="100" t="str">
        <f>IF(N1614=0,"",SUMIFS(PRICES!$G$2:$G$658,PRICES!$B$2:$B$658,'MAIN TABLE-1 AUTOMATED'!J1614,PRICES!$C$2:$C$658,'MAIN TABLE-1 AUTOMATED'!F1614,PRICES!$D$2:$D$658,'MAIN TABLE-1 AUTOMATED'!O1614))</f>
        <v/>
      </c>
      <c r="R1614" s="41" t="str">
        <f>IF(Table1[[#This Row],[QUANTITY]]=0,"",Table1[[#This Row],[UNIT PRICE]]*Table1[[#This Row],[QUANTITY]])</f>
        <v/>
      </c>
      <c r="S1614" s="89"/>
      <c r="T1614" s="38"/>
      <c r="U1614" s="43"/>
      <c r="V1614" s="42" t="str">
        <f>IF(Table1[[#This Row],[DATE]]=0,"",YEAR(E1614))</f>
        <v/>
      </c>
      <c r="W1614" s="40" t="str">
        <f t="shared" si="50"/>
        <v/>
      </c>
      <c r="X1614" s="40" t="str">
        <f t="shared" si="51"/>
        <v/>
      </c>
      <c r="Y1614" s="40" t="str">
        <f>TEXT(Table1[[#This Row],[YEAR]],"0000")&amp;"-"&amp;Table1[[#This Row],[MONTH]]</f>
        <v>-</v>
      </c>
    </row>
    <row r="1615" spans="1:25" ht="15" customHeight="1" x14ac:dyDescent="0.35">
      <c r="A1615" s="24"/>
      <c r="B1615" s="38"/>
      <c r="C1615" s="38"/>
      <c r="D1615" s="38"/>
      <c r="E1615" s="37"/>
      <c r="F1615" s="38"/>
      <c r="G1615" s="198"/>
      <c r="H1615" s="198"/>
      <c r="I1615" s="39"/>
      <c r="J1615" s="38"/>
      <c r="K1615" s="198"/>
      <c r="L1615" s="38"/>
      <c r="M1615" s="38"/>
      <c r="N1615" s="38"/>
      <c r="O1615" s="38"/>
      <c r="P1615" s="40" t="str" cm="1">
        <f t="array" ref="P1615">IF(N1615="","",IFERROR(_xlfn.XLOOKUP(F1615&amp;"|"&amp;J1615&amp;"|"&amp;O1615,PRICES!$C$2:$C$659&amp;"|"&amp;PRICES!$B$2:$B$659&amp;"|"&amp;PRICES!$D$2:$D$659,PRICES!$E$2:$E$659),"Not Found"))</f>
        <v/>
      </c>
      <c r="Q1615" s="100" t="str">
        <f>IF(N1615=0,"",SUMIFS(PRICES!$G$2:$G$658,PRICES!$B$2:$B$658,'MAIN TABLE-1 AUTOMATED'!J1615,PRICES!$C$2:$C$658,'MAIN TABLE-1 AUTOMATED'!F1615,PRICES!$D$2:$D$658,'MAIN TABLE-1 AUTOMATED'!O1615))</f>
        <v/>
      </c>
      <c r="R1615" s="41" t="str">
        <f>IF(Table1[[#This Row],[QUANTITY]]=0,"",Table1[[#This Row],[UNIT PRICE]]*Table1[[#This Row],[QUANTITY]])</f>
        <v/>
      </c>
      <c r="S1615" s="89"/>
      <c r="T1615" s="38"/>
      <c r="U1615" s="43"/>
      <c r="V1615" s="42" t="str">
        <f>IF(Table1[[#This Row],[DATE]]=0,"",YEAR(E1615))</f>
        <v/>
      </c>
      <c r="W1615" s="40" t="str">
        <f t="shared" si="50"/>
        <v/>
      </c>
      <c r="X1615" s="40" t="str">
        <f t="shared" si="51"/>
        <v/>
      </c>
      <c r="Y1615" s="40" t="str">
        <f>TEXT(Table1[[#This Row],[YEAR]],"0000")&amp;"-"&amp;Table1[[#This Row],[MONTH]]</f>
        <v>-</v>
      </c>
    </row>
    <row r="1616" spans="1:25" ht="15" customHeight="1" x14ac:dyDescent="0.35">
      <c r="A1616" s="24"/>
      <c r="B1616" s="38"/>
      <c r="C1616" s="38"/>
      <c r="D1616" s="38"/>
      <c r="E1616" s="37"/>
      <c r="F1616" s="38"/>
      <c r="G1616" s="198"/>
      <c r="H1616" s="198"/>
      <c r="I1616" s="39"/>
      <c r="J1616" s="38"/>
      <c r="K1616" s="198"/>
      <c r="L1616" s="38"/>
      <c r="M1616" s="38"/>
      <c r="N1616" s="38"/>
      <c r="O1616" s="38"/>
      <c r="P1616" s="40" t="str" cm="1">
        <f t="array" ref="P1616">IF(N1616="","",IFERROR(_xlfn.XLOOKUP(F1616&amp;"|"&amp;J1616&amp;"|"&amp;O1616,PRICES!$C$2:$C$659&amp;"|"&amp;PRICES!$B$2:$B$659&amp;"|"&amp;PRICES!$D$2:$D$659,PRICES!$E$2:$E$659),"Not Found"))</f>
        <v/>
      </c>
      <c r="Q1616" s="100" t="str">
        <f>IF(N1616=0,"",SUMIFS(PRICES!$G$2:$G$658,PRICES!$B$2:$B$658,'MAIN TABLE-1 AUTOMATED'!J1616,PRICES!$C$2:$C$658,'MAIN TABLE-1 AUTOMATED'!F1616,PRICES!$D$2:$D$658,'MAIN TABLE-1 AUTOMATED'!O1616))</f>
        <v/>
      </c>
      <c r="R1616" s="41" t="str">
        <f>IF(Table1[[#This Row],[QUANTITY]]=0,"",Table1[[#This Row],[UNIT PRICE]]*Table1[[#This Row],[QUANTITY]])</f>
        <v/>
      </c>
      <c r="S1616" s="89"/>
      <c r="T1616" s="38"/>
      <c r="U1616" s="43"/>
      <c r="V1616" s="42" t="str">
        <f>IF(Table1[[#This Row],[DATE]]=0,"",YEAR(E1616))</f>
        <v/>
      </c>
      <c r="W1616" s="40" t="str">
        <f t="shared" si="50"/>
        <v/>
      </c>
      <c r="X1616" s="40" t="str">
        <f t="shared" si="51"/>
        <v/>
      </c>
      <c r="Y1616" s="40" t="str">
        <f>TEXT(Table1[[#This Row],[YEAR]],"0000")&amp;"-"&amp;Table1[[#This Row],[MONTH]]</f>
        <v>-</v>
      </c>
    </row>
    <row r="1617" spans="1:25" ht="15" customHeight="1" x14ac:dyDescent="0.35">
      <c r="A1617" s="24"/>
      <c r="B1617" s="38"/>
      <c r="C1617" s="38"/>
      <c r="D1617" s="38"/>
      <c r="E1617" s="37"/>
      <c r="F1617" s="38"/>
      <c r="G1617" s="198"/>
      <c r="H1617" s="198"/>
      <c r="I1617" s="39"/>
      <c r="J1617" s="38"/>
      <c r="K1617" s="198"/>
      <c r="L1617" s="38"/>
      <c r="M1617" s="38"/>
      <c r="N1617" s="38"/>
      <c r="O1617" s="38"/>
      <c r="P1617" s="40" t="str" cm="1">
        <f t="array" ref="P1617">IF(N1617="","",IFERROR(_xlfn.XLOOKUP(F1617&amp;"|"&amp;J1617&amp;"|"&amp;O1617,PRICES!$C$2:$C$659&amp;"|"&amp;PRICES!$B$2:$B$659&amp;"|"&amp;PRICES!$D$2:$D$659,PRICES!$E$2:$E$659),"Not Found"))</f>
        <v/>
      </c>
      <c r="Q1617" s="100" t="str">
        <f>IF(N1617=0,"",SUMIFS(PRICES!$G$2:$G$658,PRICES!$B$2:$B$658,'MAIN TABLE-1 AUTOMATED'!J1617,PRICES!$C$2:$C$658,'MAIN TABLE-1 AUTOMATED'!F1617,PRICES!$D$2:$D$658,'MAIN TABLE-1 AUTOMATED'!O1617))</f>
        <v/>
      </c>
      <c r="R1617" s="41" t="str">
        <f>IF(Table1[[#This Row],[QUANTITY]]=0,"",Table1[[#This Row],[UNIT PRICE]]*Table1[[#This Row],[QUANTITY]])</f>
        <v/>
      </c>
      <c r="S1617" s="89"/>
      <c r="T1617" s="38"/>
      <c r="U1617" s="43"/>
      <c r="V1617" s="42" t="str">
        <f>IF(Table1[[#This Row],[DATE]]=0,"",YEAR(E1617))</f>
        <v/>
      </c>
      <c r="W1617" s="40" t="str">
        <f t="shared" si="50"/>
        <v/>
      </c>
      <c r="X1617" s="40" t="str">
        <f t="shared" si="51"/>
        <v/>
      </c>
      <c r="Y1617" s="40" t="str">
        <f>TEXT(Table1[[#This Row],[YEAR]],"0000")&amp;"-"&amp;Table1[[#This Row],[MONTH]]</f>
        <v>-</v>
      </c>
    </row>
    <row r="1618" spans="1:25" ht="15" customHeight="1" x14ac:dyDescent="0.35">
      <c r="A1618" s="24"/>
      <c r="B1618" s="38"/>
      <c r="C1618" s="38"/>
      <c r="D1618" s="38"/>
      <c r="E1618" s="37"/>
      <c r="F1618" s="38"/>
      <c r="G1618" s="198"/>
      <c r="H1618" s="198"/>
      <c r="I1618" s="39"/>
      <c r="J1618" s="38"/>
      <c r="K1618" s="198"/>
      <c r="L1618" s="38"/>
      <c r="M1618" s="38"/>
      <c r="N1618" s="38"/>
      <c r="O1618" s="38"/>
      <c r="P1618" s="40" t="str" cm="1">
        <f t="array" ref="P1618">IF(N1618="","",IFERROR(_xlfn.XLOOKUP(F1618&amp;"|"&amp;J1618&amp;"|"&amp;O1618,PRICES!$C$2:$C$659&amp;"|"&amp;PRICES!$B$2:$B$659&amp;"|"&amp;PRICES!$D$2:$D$659,PRICES!$E$2:$E$659),"Not Found"))</f>
        <v/>
      </c>
      <c r="Q1618" s="100" t="str">
        <f>IF(N1618=0,"",SUMIFS(PRICES!$G$2:$G$658,PRICES!$B$2:$B$658,'MAIN TABLE-1 AUTOMATED'!J1618,PRICES!$C$2:$C$658,'MAIN TABLE-1 AUTOMATED'!F1618,PRICES!$D$2:$D$658,'MAIN TABLE-1 AUTOMATED'!O1618))</f>
        <v/>
      </c>
      <c r="R1618" s="41" t="str">
        <f>IF(Table1[[#This Row],[QUANTITY]]=0,"",Table1[[#This Row],[UNIT PRICE]]*Table1[[#This Row],[QUANTITY]])</f>
        <v/>
      </c>
      <c r="S1618" s="89"/>
      <c r="T1618" s="38"/>
      <c r="U1618" s="43"/>
      <c r="V1618" s="42" t="str">
        <f>IF(Table1[[#This Row],[DATE]]=0,"",YEAR(E1618))</f>
        <v/>
      </c>
      <c r="W1618" s="40" t="str">
        <f t="shared" si="50"/>
        <v/>
      </c>
      <c r="X1618" s="40" t="str">
        <f t="shared" si="51"/>
        <v/>
      </c>
      <c r="Y1618" s="40" t="str">
        <f>TEXT(Table1[[#This Row],[YEAR]],"0000")&amp;"-"&amp;Table1[[#This Row],[MONTH]]</f>
        <v>-</v>
      </c>
    </row>
    <row r="1619" spans="1:25" ht="15" customHeight="1" x14ac:dyDescent="0.35">
      <c r="A1619" s="24"/>
      <c r="B1619" s="38"/>
      <c r="C1619" s="38"/>
      <c r="D1619" s="38"/>
      <c r="E1619" s="37"/>
      <c r="F1619" s="38"/>
      <c r="G1619" s="198"/>
      <c r="H1619" s="198"/>
      <c r="I1619" s="39"/>
      <c r="J1619" s="38"/>
      <c r="K1619" s="198"/>
      <c r="L1619" s="38"/>
      <c r="M1619" s="38"/>
      <c r="N1619" s="38"/>
      <c r="O1619" s="38"/>
      <c r="P1619" s="40" t="str" cm="1">
        <f t="array" ref="P1619">IF(N1619="","",IFERROR(_xlfn.XLOOKUP(F1619&amp;"|"&amp;J1619&amp;"|"&amp;O1619,PRICES!$C$2:$C$659&amp;"|"&amp;PRICES!$B$2:$B$659&amp;"|"&amp;PRICES!$D$2:$D$659,PRICES!$E$2:$E$659),"Not Found"))</f>
        <v/>
      </c>
      <c r="Q1619" s="100" t="str">
        <f>IF(N1619=0,"",SUMIFS(PRICES!$G$2:$G$658,PRICES!$B$2:$B$658,'MAIN TABLE-1 AUTOMATED'!J1619,PRICES!$C$2:$C$658,'MAIN TABLE-1 AUTOMATED'!F1619,PRICES!$D$2:$D$658,'MAIN TABLE-1 AUTOMATED'!O1619))</f>
        <v/>
      </c>
      <c r="R1619" s="41" t="str">
        <f>IF(Table1[[#This Row],[QUANTITY]]=0,"",Table1[[#This Row],[UNIT PRICE]]*Table1[[#This Row],[QUANTITY]])</f>
        <v/>
      </c>
      <c r="S1619" s="89"/>
      <c r="T1619" s="38"/>
      <c r="U1619" s="43"/>
      <c r="V1619" s="42" t="str">
        <f>IF(Table1[[#This Row],[DATE]]=0,"",YEAR(E1619))</f>
        <v/>
      </c>
      <c r="W1619" s="40" t="str">
        <f t="shared" si="50"/>
        <v/>
      </c>
      <c r="X1619" s="40" t="str">
        <f t="shared" si="51"/>
        <v/>
      </c>
      <c r="Y1619" s="40" t="str">
        <f>TEXT(Table1[[#This Row],[YEAR]],"0000")&amp;"-"&amp;Table1[[#This Row],[MONTH]]</f>
        <v>-</v>
      </c>
    </row>
    <row r="1620" spans="1:25" ht="15" customHeight="1" x14ac:dyDescent="0.35">
      <c r="A1620" s="24"/>
      <c r="B1620" s="38"/>
      <c r="C1620" s="38"/>
      <c r="D1620" s="38"/>
      <c r="E1620" s="37"/>
      <c r="F1620" s="38"/>
      <c r="G1620" s="198"/>
      <c r="H1620" s="198"/>
      <c r="I1620" s="39"/>
      <c r="J1620" s="38"/>
      <c r="K1620" s="198"/>
      <c r="L1620" s="38"/>
      <c r="M1620" s="38"/>
      <c r="N1620" s="38"/>
      <c r="O1620" s="38"/>
      <c r="P1620" s="40" t="str" cm="1">
        <f t="array" ref="P1620">IF(N1620="","",IFERROR(_xlfn.XLOOKUP(F1620&amp;"|"&amp;J1620&amp;"|"&amp;O1620,PRICES!$C$2:$C$659&amp;"|"&amp;PRICES!$B$2:$B$659&amp;"|"&amp;PRICES!$D$2:$D$659,PRICES!$E$2:$E$659),"Not Found"))</f>
        <v/>
      </c>
      <c r="Q1620" s="100" t="str">
        <f>IF(N1620=0,"",SUMIFS(PRICES!$G$2:$G$658,PRICES!$B$2:$B$658,'MAIN TABLE-1 AUTOMATED'!J1620,PRICES!$C$2:$C$658,'MAIN TABLE-1 AUTOMATED'!F1620,PRICES!$D$2:$D$658,'MAIN TABLE-1 AUTOMATED'!O1620))</f>
        <v/>
      </c>
      <c r="R1620" s="41" t="str">
        <f>IF(Table1[[#This Row],[QUANTITY]]=0,"",Table1[[#This Row],[UNIT PRICE]]*Table1[[#This Row],[QUANTITY]])</f>
        <v/>
      </c>
      <c r="S1620" s="89"/>
      <c r="T1620" s="38"/>
      <c r="U1620" s="43"/>
      <c r="V1620" s="42" t="str">
        <f>IF(Table1[[#This Row],[DATE]]=0,"",YEAR(E1620))</f>
        <v/>
      </c>
      <c r="W1620" s="40" t="str">
        <f t="shared" si="50"/>
        <v/>
      </c>
      <c r="X1620" s="40" t="str">
        <f t="shared" si="51"/>
        <v/>
      </c>
      <c r="Y1620" s="40" t="str">
        <f>TEXT(Table1[[#This Row],[YEAR]],"0000")&amp;"-"&amp;Table1[[#This Row],[MONTH]]</f>
        <v>-</v>
      </c>
    </row>
    <row r="1621" spans="1:25" ht="15" customHeight="1" x14ac:dyDescent="0.35">
      <c r="A1621" s="24"/>
      <c r="B1621" s="38"/>
      <c r="C1621" s="38"/>
      <c r="D1621" s="38"/>
      <c r="E1621" s="37"/>
      <c r="F1621" s="38"/>
      <c r="G1621" s="198"/>
      <c r="H1621" s="198"/>
      <c r="I1621" s="39"/>
      <c r="J1621" s="38"/>
      <c r="K1621" s="198"/>
      <c r="L1621" s="38"/>
      <c r="M1621" s="38"/>
      <c r="N1621" s="38"/>
      <c r="O1621" s="38"/>
      <c r="P1621" s="40" t="str" cm="1">
        <f t="array" ref="P1621">IF(N1621="","",IFERROR(_xlfn.XLOOKUP(F1621&amp;"|"&amp;J1621&amp;"|"&amp;O1621,PRICES!$C$2:$C$659&amp;"|"&amp;PRICES!$B$2:$B$659&amp;"|"&amp;PRICES!$D$2:$D$659,PRICES!$E$2:$E$659),"Not Found"))</f>
        <v/>
      </c>
      <c r="Q1621" s="100" t="str">
        <f>IF(N1621=0,"",SUMIFS(PRICES!$G$2:$G$658,PRICES!$B$2:$B$658,'MAIN TABLE-1 AUTOMATED'!J1621,PRICES!$C$2:$C$658,'MAIN TABLE-1 AUTOMATED'!F1621,PRICES!$D$2:$D$658,'MAIN TABLE-1 AUTOMATED'!O1621))</f>
        <v/>
      </c>
      <c r="R1621" s="41" t="str">
        <f>IF(Table1[[#This Row],[QUANTITY]]=0,"",Table1[[#This Row],[UNIT PRICE]]*Table1[[#This Row],[QUANTITY]])</f>
        <v/>
      </c>
      <c r="S1621" s="89"/>
      <c r="T1621" s="38"/>
      <c r="U1621" s="43"/>
      <c r="V1621" s="42" t="str">
        <f>IF(Table1[[#This Row],[DATE]]=0,"",YEAR(E1621))</f>
        <v/>
      </c>
      <c r="W1621" s="40" t="str">
        <f t="shared" si="50"/>
        <v/>
      </c>
      <c r="X1621" s="40" t="str">
        <f t="shared" si="51"/>
        <v/>
      </c>
      <c r="Y1621" s="40" t="str">
        <f>TEXT(Table1[[#This Row],[YEAR]],"0000")&amp;"-"&amp;Table1[[#This Row],[MONTH]]</f>
        <v>-</v>
      </c>
    </row>
    <row r="1622" spans="1:25" ht="15" customHeight="1" x14ac:dyDescent="0.35">
      <c r="A1622" s="24"/>
      <c r="B1622" s="38"/>
      <c r="C1622" s="38"/>
      <c r="D1622" s="38"/>
      <c r="E1622" s="37"/>
      <c r="F1622" s="38"/>
      <c r="G1622" s="198"/>
      <c r="H1622" s="198"/>
      <c r="I1622" s="39"/>
      <c r="J1622" s="38"/>
      <c r="K1622" s="198"/>
      <c r="L1622" s="38"/>
      <c r="M1622" s="38"/>
      <c r="N1622" s="38"/>
      <c r="O1622" s="38"/>
      <c r="P1622" s="40" t="str" cm="1">
        <f t="array" ref="P1622">IF(N1622="","",IFERROR(_xlfn.XLOOKUP(F1622&amp;"|"&amp;J1622&amp;"|"&amp;O1622,PRICES!$C$2:$C$659&amp;"|"&amp;PRICES!$B$2:$B$659&amp;"|"&amp;PRICES!$D$2:$D$659,PRICES!$E$2:$E$659),"Not Found"))</f>
        <v/>
      </c>
      <c r="Q1622" s="100" t="str">
        <f>IF(N1622=0,"",SUMIFS(PRICES!$G$2:$G$658,PRICES!$B$2:$B$658,'MAIN TABLE-1 AUTOMATED'!J1622,PRICES!$C$2:$C$658,'MAIN TABLE-1 AUTOMATED'!F1622,PRICES!$D$2:$D$658,'MAIN TABLE-1 AUTOMATED'!O1622))</f>
        <v/>
      </c>
      <c r="R1622" s="41" t="str">
        <f>IF(Table1[[#This Row],[QUANTITY]]=0,"",Table1[[#This Row],[UNIT PRICE]]*Table1[[#This Row],[QUANTITY]])</f>
        <v/>
      </c>
      <c r="S1622" s="89"/>
      <c r="T1622" s="38"/>
      <c r="U1622" s="43"/>
      <c r="V1622" s="42" t="str">
        <f>IF(Table1[[#This Row],[DATE]]=0,"",YEAR(E1622))</f>
        <v/>
      </c>
      <c r="W1622" s="40" t="str">
        <f t="shared" si="50"/>
        <v/>
      </c>
      <c r="X1622" s="40" t="str">
        <f t="shared" si="51"/>
        <v/>
      </c>
      <c r="Y1622" s="40" t="str">
        <f>TEXT(Table1[[#This Row],[YEAR]],"0000")&amp;"-"&amp;Table1[[#This Row],[MONTH]]</f>
        <v>-</v>
      </c>
    </row>
    <row r="1623" spans="1:25" ht="15" customHeight="1" x14ac:dyDescent="0.35">
      <c r="A1623" s="24"/>
      <c r="B1623" s="38"/>
      <c r="C1623" s="38"/>
      <c r="D1623" s="38"/>
      <c r="E1623" s="37"/>
      <c r="F1623" s="38"/>
      <c r="G1623" s="198"/>
      <c r="H1623" s="198"/>
      <c r="I1623" s="39"/>
      <c r="J1623" s="38"/>
      <c r="K1623" s="198"/>
      <c r="L1623" s="38"/>
      <c r="M1623" s="38"/>
      <c r="N1623" s="38"/>
      <c r="O1623" s="38"/>
      <c r="P1623" s="40" t="str" cm="1">
        <f t="array" ref="P1623">IF(N1623="","",IFERROR(_xlfn.XLOOKUP(F1623&amp;"|"&amp;J1623&amp;"|"&amp;O1623,PRICES!$C$2:$C$659&amp;"|"&amp;PRICES!$B$2:$B$659&amp;"|"&amp;PRICES!$D$2:$D$659,PRICES!$E$2:$E$659),"Not Found"))</f>
        <v/>
      </c>
      <c r="Q1623" s="100" t="str">
        <f>IF(N1623=0,"",SUMIFS(PRICES!$G$2:$G$658,PRICES!$B$2:$B$658,'MAIN TABLE-1 AUTOMATED'!J1623,PRICES!$C$2:$C$658,'MAIN TABLE-1 AUTOMATED'!F1623,PRICES!$D$2:$D$658,'MAIN TABLE-1 AUTOMATED'!O1623))</f>
        <v/>
      </c>
      <c r="R1623" s="41" t="str">
        <f>IF(Table1[[#This Row],[QUANTITY]]=0,"",Table1[[#This Row],[UNIT PRICE]]*Table1[[#This Row],[QUANTITY]])</f>
        <v/>
      </c>
      <c r="S1623" s="89"/>
      <c r="T1623" s="38"/>
      <c r="U1623" s="43"/>
      <c r="V1623" s="42" t="str">
        <f>IF(Table1[[#This Row],[DATE]]=0,"",YEAR(E1623))</f>
        <v/>
      </c>
      <c r="W1623" s="40" t="str">
        <f t="shared" si="50"/>
        <v/>
      </c>
      <c r="X1623" s="40" t="str">
        <f t="shared" si="51"/>
        <v/>
      </c>
      <c r="Y1623" s="40" t="str">
        <f>TEXT(Table1[[#This Row],[YEAR]],"0000")&amp;"-"&amp;Table1[[#This Row],[MONTH]]</f>
        <v>-</v>
      </c>
    </row>
    <row r="1624" spans="1:25" ht="15" customHeight="1" x14ac:dyDescent="0.35">
      <c r="A1624" s="24"/>
      <c r="B1624" s="38"/>
      <c r="C1624" s="38"/>
      <c r="D1624" s="38"/>
      <c r="E1624" s="37"/>
      <c r="F1624" s="38"/>
      <c r="G1624" s="198"/>
      <c r="H1624" s="198"/>
      <c r="I1624" s="39"/>
      <c r="J1624" s="38"/>
      <c r="K1624" s="198"/>
      <c r="L1624" s="38"/>
      <c r="M1624" s="38"/>
      <c r="N1624" s="38"/>
      <c r="O1624" s="38"/>
      <c r="P1624" s="40" t="str" cm="1">
        <f t="array" ref="P1624">IF(N1624="","",IFERROR(_xlfn.XLOOKUP(F1624&amp;"|"&amp;J1624&amp;"|"&amp;O1624,PRICES!$C$2:$C$659&amp;"|"&amp;PRICES!$B$2:$B$659&amp;"|"&amp;PRICES!$D$2:$D$659,PRICES!$E$2:$E$659),"Not Found"))</f>
        <v/>
      </c>
      <c r="Q1624" s="100" t="str">
        <f>IF(N1624=0,"",SUMIFS(PRICES!$G$2:$G$658,PRICES!$B$2:$B$658,'MAIN TABLE-1 AUTOMATED'!J1624,PRICES!$C$2:$C$658,'MAIN TABLE-1 AUTOMATED'!F1624,PRICES!$D$2:$D$658,'MAIN TABLE-1 AUTOMATED'!O1624))</f>
        <v/>
      </c>
      <c r="R1624" s="41" t="str">
        <f>IF(Table1[[#This Row],[QUANTITY]]=0,"",Table1[[#This Row],[UNIT PRICE]]*Table1[[#This Row],[QUANTITY]])</f>
        <v/>
      </c>
      <c r="S1624" s="89"/>
      <c r="T1624" s="38"/>
      <c r="U1624" s="43"/>
      <c r="V1624" s="42" t="str">
        <f>IF(Table1[[#This Row],[DATE]]=0,"",YEAR(E1624))</f>
        <v/>
      </c>
      <c r="W1624" s="40" t="str">
        <f t="shared" si="50"/>
        <v/>
      </c>
      <c r="X1624" s="40" t="str">
        <f t="shared" si="51"/>
        <v/>
      </c>
      <c r="Y1624" s="40" t="str">
        <f>TEXT(Table1[[#This Row],[YEAR]],"0000")&amp;"-"&amp;Table1[[#This Row],[MONTH]]</f>
        <v>-</v>
      </c>
    </row>
    <row r="1625" spans="1:25" ht="15" customHeight="1" x14ac:dyDescent="0.35">
      <c r="A1625" s="24"/>
      <c r="B1625" s="38"/>
      <c r="C1625" s="38"/>
      <c r="D1625" s="38"/>
      <c r="E1625" s="37"/>
      <c r="F1625" s="38"/>
      <c r="G1625" s="198"/>
      <c r="H1625" s="198"/>
      <c r="I1625" s="39"/>
      <c r="J1625" s="38"/>
      <c r="K1625" s="198"/>
      <c r="L1625" s="38"/>
      <c r="M1625" s="38"/>
      <c r="N1625" s="38"/>
      <c r="O1625" s="38"/>
      <c r="P1625" s="40" t="str" cm="1">
        <f t="array" ref="P1625">IF(N1625="","",IFERROR(_xlfn.XLOOKUP(F1625&amp;"|"&amp;J1625&amp;"|"&amp;O1625,PRICES!$C$2:$C$659&amp;"|"&amp;PRICES!$B$2:$B$659&amp;"|"&amp;PRICES!$D$2:$D$659,PRICES!$E$2:$E$659),"Not Found"))</f>
        <v/>
      </c>
      <c r="Q1625" s="100" t="str">
        <f>IF(N1625=0,"",SUMIFS(PRICES!$G$2:$G$658,PRICES!$B$2:$B$658,'MAIN TABLE-1 AUTOMATED'!J1625,PRICES!$C$2:$C$658,'MAIN TABLE-1 AUTOMATED'!F1625,PRICES!$D$2:$D$658,'MAIN TABLE-1 AUTOMATED'!O1625))</f>
        <v/>
      </c>
      <c r="R1625" s="41" t="str">
        <f>IF(Table1[[#This Row],[QUANTITY]]=0,"",Table1[[#This Row],[UNIT PRICE]]*Table1[[#This Row],[QUANTITY]])</f>
        <v/>
      </c>
      <c r="S1625" s="89"/>
      <c r="T1625" s="38"/>
      <c r="U1625" s="43"/>
      <c r="V1625" s="42" t="str">
        <f>IF(Table1[[#This Row],[DATE]]=0,"",YEAR(E1625))</f>
        <v/>
      </c>
      <c r="W1625" s="40" t="str">
        <f t="shared" si="50"/>
        <v/>
      </c>
      <c r="X1625" s="40" t="str">
        <f t="shared" si="51"/>
        <v/>
      </c>
      <c r="Y1625" s="40" t="str">
        <f>TEXT(Table1[[#This Row],[YEAR]],"0000")&amp;"-"&amp;Table1[[#This Row],[MONTH]]</f>
        <v>-</v>
      </c>
    </row>
    <row r="1626" spans="1:25" ht="15" customHeight="1" x14ac:dyDescent="0.35">
      <c r="A1626" s="24"/>
      <c r="B1626" s="38"/>
      <c r="C1626" s="38"/>
      <c r="D1626" s="38"/>
      <c r="E1626" s="37"/>
      <c r="F1626" s="38"/>
      <c r="G1626" s="198"/>
      <c r="H1626" s="198"/>
      <c r="I1626" s="39"/>
      <c r="J1626" s="38"/>
      <c r="K1626" s="198"/>
      <c r="L1626" s="38"/>
      <c r="M1626" s="38"/>
      <c r="N1626" s="38"/>
      <c r="O1626" s="38"/>
      <c r="P1626" s="40" t="str" cm="1">
        <f t="array" ref="P1626">IF(N1626="","",IFERROR(_xlfn.XLOOKUP(F1626&amp;"|"&amp;J1626&amp;"|"&amp;O1626,PRICES!$C$2:$C$659&amp;"|"&amp;PRICES!$B$2:$B$659&amp;"|"&amp;PRICES!$D$2:$D$659,PRICES!$E$2:$E$659),"Not Found"))</f>
        <v/>
      </c>
      <c r="Q1626" s="100" t="str">
        <f>IF(N1626=0,"",SUMIFS(PRICES!$G$2:$G$658,PRICES!$B$2:$B$658,'MAIN TABLE-1 AUTOMATED'!J1626,PRICES!$C$2:$C$658,'MAIN TABLE-1 AUTOMATED'!F1626,PRICES!$D$2:$D$658,'MAIN TABLE-1 AUTOMATED'!O1626))</f>
        <v/>
      </c>
      <c r="R1626" s="41" t="str">
        <f>IF(Table1[[#This Row],[QUANTITY]]=0,"",Table1[[#This Row],[UNIT PRICE]]*Table1[[#This Row],[QUANTITY]])</f>
        <v/>
      </c>
      <c r="S1626" s="89"/>
      <c r="T1626" s="38"/>
      <c r="U1626" s="43"/>
      <c r="V1626" s="42" t="str">
        <f>IF(Table1[[#This Row],[DATE]]=0,"",YEAR(E1626))</f>
        <v/>
      </c>
      <c r="W1626" s="40" t="str">
        <f t="shared" si="50"/>
        <v/>
      </c>
      <c r="X1626" s="40" t="str">
        <f t="shared" si="51"/>
        <v/>
      </c>
      <c r="Y1626" s="40" t="str">
        <f>TEXT(Table1[[#This Row],[YEAR]],"0000")&amp;"-"&amp;Table1[[#This Row],[MONTH]]</f>
        <v>-</v>
      </c>
    </row>
    <row r="1627" spans="1:25" ht="15" customHeight="1" x14ac:dyDescent="0.35">
      <c r="A1627" s="24"/>
      <c r="B1627" s="38"/>
      <c r="C1627" s="38"/>
      <c r="D1627" s="38"/>
      <c r="E1627" s="37"/>
      <c r="F1627" s="38"/>
      <c r="G1627" s="198"/>
      <c r="H1627" s="198"/>
      <c r="I1627" s="39"/>
      <c r="J1627" s="38"/>
      <c r="K1627" s="198"/>
      <c r="L1627" s="38"/>
      <c r="M1627" s="38"/>
      <c r="N1627" s="38"/>
      <c r="O1627" s="38"/>
      <c r="P1627" s="40" t="str" cm="1">
        <f t="array" ref="P1627">IF(N1627="","",IFERROR(_xlfn.XLOOKUP(F1627&amp;"|"&amp;J1627&amp;"|"&amp;O1627,PRICES!$C$2:$C$659&amp;"|"&amp;PRICES!$B$2:$B$659&amp;"|"&amp;PRICES!$D$2:$D$659,PRICES!$E$2:$E$659),"Not Found"))</f>
        <v/>
      </c>
      <c r="Q1627" s="100" t="str">
        <f>IF(N1627=0,"",SUMIFS(PRICES!$G$2:$G$658,PRICES!$B$2:$B$658,'MAIN TABLE-1 AUTOMATED'!J1627,PRICES!$C$2:$C$658,'MAIN TABLE-1 AUTOMATED'!F1627,PRICES!$D$2:$D$658,'MAIN TABLE-1 AUTOMATED'!O1627))</f>
        <v/>
      </c>
      <c r="R1627" s="41" t="str">
        <f>IF(Table1[[#This Row],[QUANTITY]]=0,"",Table1[[#This Row],[UNIT PRICE]]*Table1[[#This Row],[QUANTITY]])</f>
        <v/>
      </c>
      <c r="S1627" s="89"/>
      <c r="T1627" s="38"/>
      <c r="U1627" s="43"/>
      <c r="V1627" s="42" t="str">
        <f>IF(Table1[[#This Row],[DATE]]=0,"",YEAR(E1627))</f>
        <v/>
      </c>
      <c r="W1627" s="40" t="str">
        <f t="shared" si="50"/>
        <v/>
      </c>
      <c r="X1627" s="40" t="str">
        <f t="shared" si="51"/>
        <v/>
      </c>
      <c r="Y1627" s="40" t="str">
        <f>TEXT(Table1[[#This Row],[YEAR]],"0000")&amp;"-"&amp;Table1[[#This Row],[MONTH]]</f>
        <v>-</v>
      </c>
    </row>
    <row r="1628" spans="1:25" ht="15" customHeight="1" x14ac:dyDescent="0.35">
      <c r="A1628" s="24"/>
      <c r="B1628" s="38"/>
      <c r="C1628" s="38"/>
      <c r="D1628" s="38"/>
      <c r="E1628" s="37"/>
      <c r="F1628" s="38"/>
      <c r="G1628" s="198"/>
      <c r="H1628" s="198"/>
      <c r="I1628" s="39"/>
      <c r="J1628" s="38"/>
      <c r="K1628" s="198"/>
      <c r="L1628" s="38"/>
      <c r="M1628" s="38"/>
      <c r="N1628" s="38"/>
      <c r="O1628" s="38"/>
      <c r="P1628" s="40" t="str" cm="1">
        <f t="array" ref="P1628">IF(N1628="","",IFERROR(_xlfn.XLOOKUP(F1628&amp;"|"&amp;J1628&amp;"|"&amp;O1628,PRICES!$C$2:$C$659&amp;"|"&amp;PRICES!$B$2:$B$659&amp;"|"&amp;PRICES!$D$2:$D$659,PRICES!$E$2:$E$659),"Not Found"))</f>
        <v/>
      </c>
      <c r="Q1628" s="100" t="str">
        <f>IF(N1628=0,"",SUMIFS(PRICES!$G$2:$G$658,PRICES!$B$2:$B$658,'MAIN TABLE-1 AUTOMATED'!J1628,PRICES!$C$2:$C$658,'MAIN TABLE-1 AUTOMATED'!F1628,PRICES!$D$2:$D$658,'MAIN TABLE-1 AUTOMATED'!O1628))</f>
        <v/>
      </c>
      <c r="R1628" s="41" t="str">
        <f>IF(Table1[[#This Row],[QUANTITY]]=0,"",Table1[[#This Row],[UNIT PRICE]]*Table1[[#This Row],[QUANTITY]])</f>
        <v/>
      </c>
      <c r="S1628" s="89"/>
      <c r="T1628" s="38"/>
      <c r="U1628" s="43"/>
      <c r="V1628" s="42" t="str">
        <f>IF(Table1[[#This Row],[DATE]]=0,"",YEAR(E1628))</f>
        <v/>
      </c>
      <c r="W1628" s="40" t="str">
        <f t="shared" si="50"/>
        <v/>
      </c>
      <c r="X1628" s="40" t="str">
        <f t="shared" si="51"/>
        <v/>
      </c>
      <c r="Y1628" s="40" t="str">
        <f>TEXT(Table1[[#This Row],[YEAR]],"0000")&amp;"-"&amp;Table1[[#This Row],[MONTH]]</f>
        <v>-</v>
      </c>
    </row>
    <row r="1629" spans="1:25" ht="15" customHeight="1" x14ac:dyDescent="0.35">
      <c r="A1629" s="24"/>
      <c r="B1629" s="38"/>
      <c r="C1629" s="38"/>
      <c r="D1629" s="38"/>
      <c r="E1629" s="37"/>
      <c r="F1629" s="38"/>
      <c r="G1629" s="198"/>
      <c r="H1629" s="198"/>
      <c r="I1629" s="39"/>
      <c r="J1629" s="38"/>
      <c r="K1629" s="198"/>
      <c r="L1629" s="38"/>
      <c r="M1629" s="38"/>
      <c r="N1629" s="38"/>
      <c r="O1629" s="38"/>
      <c r="P1629" s="40" t="str" cm="1">
        <f t="array" ref="P1629">IF(N1629="","",IFERROR(_xlfn.XLOOKUP(F1629&amp;"|"&amp;J1629&amp;"|"&amp;O1629,PRICES!$C$2:$C$659&amp;"|"&amp;PRICES!$B$2:$B$659&amp;"|"&amp;PRICES!$D$2:$D$659,PRICES!$E$2:$E$659),"Not Found"))</f>
        <v/>
      </c>
      <c r="Q1629" s="100" t="str">
        <f>IF(N1629=0,"",SUMIFS(PRICES!$G$2:$G$658,PRICES!$B$2:$B$658,'MAIN TABLE-1 AUTOMATED'!J1629,PRICES!$C$2:$C$658,'MAIN TABLE-1 AUTOMATED'!F1629,PRICES!$D$2:$D$658,'MAIN TABLE-1 AUTOMATED'!O1629))</f>
        <v/>
      </c>
      <c r="R1629" s="41" t="str">
        <f>IF(Table1[[#This Row],[QUANTITY]]=0,"",Table1[[#This Row],[UNIT PRICE]]*Table1[[#This Row],[QUANTITY]])</f>
        <v/>
      </c>
      <c r="S1629" s="89"/>
      <c r="T1629" s="38"/>
      <c r="U1629" s="43"/>
      <c r="V1629" s="42" t="str">
        <f>IF(Table1[[#This Row],[DATE]]=0,"",YEAR(E1629))</f>
        <v/>
      </c>
      <c r="W1629" s="40" t="str">
        <f t="shared" si="50"/>
        <v/>
      </c>
      <c r="X1629" s="40" t="str">
        <f t="shared" si="51"/>
        <v/>
      </c>
      <c r="Y1629" s="40" t="str">
        <f>TEXT(Table1[[#This Row],[YEAR]],"0000")&amp;"-"&amp;Table1[[#This Row],[MONTH]]</f>
        <v>-</v>
      </c>
    </row>
    <row r="1630" spans="1:25" ht="15" customHeight="1" x14ac:dyDescent="0.35">
      <c r="A1630" s="24"/>
      <c r="B1630" s="38"/>
      <c r="C1630" s="38"/>
      <c r="D1630" s="38"/>
      <c r="E1630" s="37"/>
      <c r="F1630" s="38"/>
      <c r="G1630" s="198"/>
      <c r="H1630" s="198"/>
      <c r="I1630" s="39"/>
      <c r="J1630" s="38"/>
      <c r="K1630" s="198"/>
      <c r="L1630" s="38"/>
      <c r="M1630" s="38"/>
      <c r="N1630" s="38"/>
      <c r="O1630" s="38"/>
      <c r="P1630" s="40" t="str" cm="1">
        <f t="array" ref="P1630">IF(N1630="","",IFERROR(_xlfn.XLOOKUP(F1630&amp;"|"&amp;J1630&amp;"|"&amp;O1630,PRICES!$C$2:$C$659&amp;"|"&amp;PRICES!$B$2:$B$659&amp;"|"&amp;PRICES!$D$2:$D$659,PRICES!$E$2:$E$659),"Not Found"))</f>
        <v/>
      </c>
      <c r="Q1630" s="100" t="str">
        <f>IF(N1630=0,"",SUMIFS(PRICES!$G$2:$G$658,PRICES!$B$2:$B$658,'MAIN TABLE-1 AUTOMATED'!J1630,PRICES!$C$2:$C$658,'MAIN TABLE-1 AUTOMATED'!F1630,PRICES!$D$2:$D$658,'MAIN TABLE-1 AUTOMATED'!O1630))</f>
        <v/>
      </c>
      <c r="R1630" s="41" t="str">
        <f>IF(Table1[[#This Row],[QUANTITY]]=0,"",Table1[[#This Row],[UNIT PRICE]]*Table1[[#This Row],[QUANTITY]])</f>
        <v/>
      </c>
      <c r="S1630" s="89"/>
      <c r="T1630" s="38"/>
      <c r="U1630" s="43"/>
      <c r="V1630" s="42" t="str">
        <f>IF(Table1[[#This Row],[DATE]]=0,"",YEAR(E1630))</f>
        <v/>
      </c>
      <c r="W1630" s="40" t="str">
        <f t="shared" si="50"/>
        <v/>
      </c>
      <c r="X1630" s="40" t="str">
        <f t="shared" si="51"/>
        <v/>
      </c>
      <c r="Y1630" s="40" t="str">
        <f>TEXT(Table1[[#This Row],[YEAR]],"0000")&amp;"-"&amp;Table1[[#This Row],[MONTH]]</f>
        <v>-</v>
      </c>
    </row>
    <row r="1631" spans="1:25" ht="15" customHeight="1" x14ac:dyDescent="0.35">
      <c r="A1631" s="24"/>
      <c r="B1631" s="38"/>
      <c r="C1631" s="38"/>
      <c r="D1631" s="38"/>
      <c r="E1631" s="37"/>
      <c r="F1631" s="38"/>
      <c r="G1631" s="198"/>
      <c r="H1631" s="198"/>
      <c r="I1631" s="39"/>
      <c r="J1631" s="38"/>
      <c r="K1631" s="198"/>
      <c r="L1631" s="38"/>
      <c r="M1631" s="38"/>
      <c r="N1631" s="38"/>
      <c r="O1631" s="38"/>
      <c r="P1631" s="40" t="str" cm="1">
        <f t="array" ref="P1631">IF(N1631="","",IFERROR(_xlfn.XLOOKUP(F1631&amp;"|"&amp;J1631&amp;"|"&amp;O1631,PRICES!$C$2:$C$659&amp;"|"&amp;PRICES!$B$2:$B$659&amp;"|"&amp;PRICES!$D$2:$D$659,PRICES!$E$2:$E$659),"Not Found"))</f>
        <v/>
      </c>
      <c r="Q1631" s="100" t="str">
        <f>IF(N1631=0,"",SUMIFS(PRICES!$G$2:$G$658,PRICES!$B$2:$B$658,'MAIN TABLE-1 AUTOMATED'!J1631,PRICES!$C$2:$C$658,'MAIN TABLE-1 AUTOMATED'!F1631,PRICES!$D$2:$D$658,'MAIN TABLE-1 AUTOMATED'!O1631))</f>
        <v/>
      </c>
      <c r="R1631" s="41" t="str">
        <f>IF(Table1[[#This Row],[QUANTITY]]=0,"",Table1[[#This Row],[UNIT PRICE]]*Table1[[#This Row],[QUANTITY]])</f>
        <v/>
      </c>
      <c r="S1631" s="89"/>
      <c r="T1631" s="38"/>
      <c r="U1631" s="43"/>
      <c r="V1631" s="42" t="str">
        <f>IF(Table1[[#This Row],[DATE]]=0,"",YEAR(E1631))</f>
        <v/>
      </c>
      <c r="W1631" s="40" t="str">
        <f t="shared" ref="W1631:W1694" si="52">IF(E1631=0,"",MONTH(E1631))</f>
        <v/>
      </c>
      <c r="X1631" s="40" t="str">
        <f t="shared" ref="X1631:X1694" si="53">IF(E1631=0,"",WEEKNUM(E1631))</f>
        <v/>
      </c>
      <c r="Y1631" s="40" t="str">
        <f>TEXT(Table1[[#This Row],[YEAR]],"0000")&amp;"-"&amp;Table1[[#This Row],[MONTH]]</f>
        <v>-</v>
      </c>
    </row>
    <row r="1632" spans="1:25" ht="15" customHeight="1" x14ac:dyDescent="0.35">
      <c r="A1632" s="24"/>
      <c r="B1632" s="38"/>
      <c r="C1632" s="38"/>
      <c r="D1632" s="38"/>
      <c r="E1632" s="37"/>
      <c r="F1632" s="38"/>
      <c r="G1632" s="198"/>
      <c r="H1632" s="198"/>
      <c r="I1632" s="39"/>
      <c r="J1632" s="38"/>
      <c r="K1632" s="198"/>
      <c r="L1632" s="38"/>
      <c r="M1632" s="38"/>
      <c r="N1632" s="38"/>
      <c r="O1632" s="38"/>
      <c r="P1632" s="40" t="str" cm="1">
        <f t="array" ref="P1632">IF(N1632="","",IFERROR(_xlfn.XLOOKUP(F1632&amp;"|"&amp;J1632&amp;"|"&amp;O1632,PRICES!$C$2:$C$659&amp;"|"&amp;PRICES!$B$2:$B$659&amp;"|"&amp;PRICES!$D$2:$D$659,PRICES!$E$2:$E$659),"Not Found"))</f>
        <v/>
      </c>
      <c r="Q1632" s="100" t="str">
        <f>IF(N1632=0,"",SUMIFS(PRICES!$G$2:$G$658,PRICES!$B$2:$B$658,'MAIN TABLE-1 AUTOMATED'!J1632,PRICES!$C$2:$C$658,'MAIN TABLE-1 AUTOMATED'!F1632,PRICES!$D$2:$D$658,'MAIN TABLE-1 AUTOMATED'!O1632))</f>
        <v/>
      </c>
      <c r="R1632" s="41" t="str">
        <f>IF(Table1[[#This Row],[QUANTITY]]=0,"",Table1[[#This Row],[UNIT PRICE]]*Table1[[#This Row],[QUANTITY]])</f>
        <v/>
      </c>
      <c r="S1632" s="89"/>
      <c r="T1632" s="38"/>
      <c r="U1632" s="43"/>
      <c r="V1632" s="42" t="str">
        <f>IF(Table1[[#This Row],[DATE]]=0,"",YEAR(E1632))</f>
        <v/>
      </c>
      <c r="W1632" s="40" t="str">
        <f t="shared" si="52"/>
        <v/>
      </c>
      <c r="X1632" s="40" t="str">
        <f t="shared" si="53"/>
        <v/>
      </c>
      <c r="Y1632" s="40" t="str">
        <f>TEXT(Table1[[#This Row],[YEAR]],"0000")&amp;"-"&amp;Table1[[#This Row],[MONTH]]</f>
        <v>-</v>
      </c>
    </row>
    <row r="1633" spans="1:25" ht="15" customHeight="1" x14ac:dyDescent="0.35">
      <c r="A1633" s="24"/>
      <c r="B1633" s="38"/>
      <c r="C1633" s="38"/>
      <c r="D1633" s="38"/>
      <c r="E1633" s="37"/>
      <c r="F1633" s="38"/>
      <c r="G1633" s="198"/>
      <c r="H1633" s="198"/>
      <c r="I1633" s="39"/>
      <c r="J1633" s="38"/>
      <c r="K1633" s="198"/>
      <c r="L1633" s="38"/>
      <c r="M1633" s="38"/>
      <c r="N1633" s="38"/>
      <c r="O1633" s="38"/>
      <c r="P1633" s="40" t="str" cm="1">
        <f t="array" ref="P1633">IF(N1633="","",IFERROR(_xlfn.XLOOKUP(F1633&amp;"|"&amp;J1633&amp;"|"&amp;O1633,PRICES!$C$2:$C$659&amp;"|"&amp;PRICES!$B$2:$B$659&amp;"|"&amp;PRICES!$D$2:$D$659,PRICES!$E$2:$E$659),"Not Found"))</f>
        <v/>
      </c>
      <c r="Q1633" s="100" t="str">
        <f>IF(N1633=0,"",SUMIFS(PRICES!$G$2:$G$658,PRICES!$B$2:$B$658,'MAIN TABLE-1 AUTOMATED'!J1633,PRICES!$C$2:$C$658,'MAIN TABLE-1 AUTOMATED'!F1633,PRICES!$D$2:$D$658,'MAIN TABLE-1 AUTOMATED'!O1633))</f>
        <v/>
      </c>
      <c r="R1633" s="41" t="str">
        <f>IF(Table1[[#This Row],[QUANTITY]]=0,"",Table1[[#This Row],[UNIT PRICE]]*Table1[[#This Row],[QUANTITY]])</f>
        <v/>
      </c>
      <c r="S1633" s="89"/>
      <c r="T1633" s="38"/>
      <c r="U1633" s="43"/>
      <c r="V1633" s="42" t="str">
        <f>IF(Table1[[#This Row],[DATE]]=0,"",YEAR(E1633))</f>
        <v/>
      </c>
      <c r="W1633" s="40" t="str">
        <f t="shared" si="52"/>
        <v/>
      </c>
      <c r="X1633" s="40" t="str">
        <f t="shared" si="53"/>
        <v/>
      </c>
      <c r="Y1633" s="40" t="str">
        <f>TEXT(Table1[[#This Row],[YEAR]],"0000")&amp;"-"&amp;Table1[[#This Row],[MONTH]]</f>
        <v>-</v>
      </c>
    </row>
    <row r="1634" spans="1:25" ht="15" customHeight="1" x14ac:dyDescent="0.35">
      <c r="A1634" s="24"/>
      <c r="B1634" s="38"/>
      <c r="C1634" s="38"/>
      <c r="D1634" s="38"/>
      <c r="E1634" s="37"/>
      <c r="F1634" s="38"/>
      <c r="G1634" s="198"/>
      <c r="H1634" s="198"/>
      <c r="I1634" s="39"/>
      <c r="J1634" s="38"/>
      <c r="K1634" s="198"/>
      <c r="L1634" s="38"/>
      <c r="M1634" s="38"/>
      <c r="N1634" s="38"/>
      <c r="O1634" s="38"/>
      <c r="P1634" s="40" t="str" cm="1">
        <f t="array" ref="P1634">IF(N1634="","",IFERROR(_xlfn.XLOOKUP(F1634&amp;"|"&amp;J1634&amp;"|"&amp;O1634,PRICES!$C$2:$C$659&amp;"|"&amp;PRICES!$B$2:$B$659&amp;"|"&amp;PRICES!$D$2:$D$659,PRICES!$E$2:$E$659),"Not Found"))</f>
        <v/>
      </c>
      <c r="Q1634" s="100" t="str">
        <f>IF(N1634=0,"",SUMIFS(PRICES!$G$2:$G$658,PRICES!$B$2:$B$658,'MAIN TABLE-1 AUTOMATED'!J1634,PRICES!$C$2:$C$658,'MAIN TABLE-1 AUTOMATED'!F1634,PRICES!$D$2:$D$658,'MAIN TABLE-1 AUTOMATED'!O1634))</f>
        <v/>
      </c>
      <c r="R1634" s="41" t="str">
        <f>IF(Table1[[#This Row],[QUANTITY]]=0,"",Table1[[#This Row],[UNIT PRICE]]*Table1[[#This Row],[QUANTITY]])</f>
        <v/>
      </c>
      <c r="S1634" s="89"/>
      <c r="T1634" s="38"/>
      <c r="U1634" s="43"/>
      <c r="V1634" s="42" t="str">
        <f>IF(Table1[[#This Row],[DATE]]=0,"",YEAR(E1634))</f>
        <v/>
      </c>
      <c r="W1634" s="40" t="str">
        <f t="shared" si="52"/>
        <v/>
      </c>
      <c r="X1634" s="40" t="str">
        <f t="shared" si="53"/>
        <v/>
      </c>
      <c r="Y1634" s="40" t="str">
        <f>TEXT(Table1[[#This Row],[YEAR]],"0000")&amp;"-"&amp;Table1[[#This Row],[MONTH]]</f>
        <v>-</v>
      </c>
    </row>
    <row r="1635" spans="1:25" ht="15" customHeight="1" x14ac:dyDescent="0.35">
      <c r="A1635" s="24"/>
      <c r="B1635" s="38"/>
      <c r="C1635" s="38"/>
      <c r="D1635" s="38"/>
      <c r="E1635" s="37"/>
      <c r="F1635" s="38"/>
      <c r="G1635" s="198"/>
      <c r="H1635" s="198"/>
      <c r="I1635" s="39"/>
      <c r="J1635" s="38"/>
      <c r="K1635" s="198"/>
      <c r="L1635" s="38"/>
      <c r="M1635" s="38"/>
      <c r="N1635" s="38"/>
      <c r="O1635" s="38"/>
      <c r="P1635" s="40" t="str" cm="1">
        <f t="array" ref="P1635">IF(N1635="","",IFERROR(_xlfn.XLOOKUP(F1635&amp;"|"&amp;J1635&amp;"|"&amp;O1635,PRICES!$C$2:$C$659&amp;"|"&amp;PRICES!$B$2:$B$659&amp;"|"&amp;PRICES!$D$2:$D$659,PRICES!$E$2:$E$659),"Not Found"))</f>
        <v/>
      </c>
      <c r="Q1635" s="100" t="str">
        <f>IF(N1635=0,"",SUMIFS(PRICES!$G$2:$G$658,PRICES!$B$2:$B$658,'MAIN TABLE-1 AUTOMATED'!J1635,PRICES!$C$2:$C$658,'MAIN TABLE-1 AUTOMATED'!F1635,PRICES!$D$2:$D$658,'MAIN TABLE-1 AUTOMATED'!O1635))</f>
        <v/>
      </c>
      <c r="R1635" s="41" t="str">
        <f>IF(Table1[[#This Row],[QUANTITY]]=0,"",Table1[[#This Row],[UNIT PRICE]]*Table1[[#This Row],[QUANTITY]])</f>
        <v/>
      </c>
      <c r="S1635" s="89"/>
      <c r="T1635" s="38"/>
      <c r="U1635" s="43"/>
      <c r="V1635" s="42" t="str">
        <f>IF(Table1[[#This Row],[DATE]]=0,"",YEAR(E1635))</f>
        <v/>
      </c>
      <c r="W1635" s="40" t="str">
        <f t="shared" si="52"/>
        <v/>
      </c>
      <c r="X1635" s="40" t="str">
        <f t="shared" si="53"/>
        <v/>
      </c>
      <c r="Y1635" s="40" t="str">
        <f>TEXT(Table1[[#This Row],[YEAR]],"0000")&amp;"-"&amp;Table1[[#This Row],[MONTH]]</f>
        <v>-</v>
      </c>
    </row>
    <row r="1636" spans="1:25" ht="15" customHeight="1" x14ac:dyDescent="0.35">
      <c r="A1636" s="24"/>
      <c r="B1636" s="38"/>
      <c r="C1636" s="38"/>
      <c r="D1636" s="38"/>
      <c r="E1636" s="37"/>
      <c r="F1636" s="38"/>
      <c r="G1636" s="198"/>
      <c r="H1636" s="198"/>
      <c r="I1636" s="39"/>
      <c r="J1636" s="38"/>
      <c r="K1636" s="198"/>
      <c r="L1636" s="38"/>
      <c r="M1636" s="38"/>
      <c r="N1636" s="38"/>
      <c r="O1636" s="38"/>
      <c r="P1636" s="40" t="str" cm="1">
        <f t="array" ref="P1636">IF(N1636="","",IFERROR(_xlfn.XLOOKUP(F1636&amp;"|"&amp;J1636&amp;"|"&amp;O1636,PRICES!$C$2:$C$659&amp;"|"&amp;PRICES!$B$2:$B$659&amp;"|"&amp;PRICES!$D$2:$D$659,PRICES!$E$2:$E$659),"Not Found"))</f>
        <v/>
      </c>
      <c r="Q1636" s="100" t="str">
        <f>IF(N1636=0,"",SUMIFS(PRICES!$G$2:$G$658,PRICES!$B$2:$B$658,'MAIN TABLE-1 AUTOMATED'!J1636,PRICES!$C$2:$C$658,'MAIN TABLE-1 AUTOMATED'!F1636,PRICES!$D$2:$D$658,'MAIN TABLE-1 AUTOMATED'!O1636))</f>
        <v/>
      </c>
      <c r="R1636" s="41" t="str">
        <f>IF(Table1[[#This Row],[QUANTITY]]=0,"",Table1[[#This Row],[UNIT PRICE]]*Table1[[#This Row],[QUANTITY]])</f>
        <v/>
      </c>
      <c r="S1636" s="89"/>
      <c r="T1636" s="38"/>
      <c r="U1636" s="43"/>
      <c r="V1636" s="42" t="str">
        <f>IF(Table1[[#This Row],[DATE]]=0,"",YEAR(E1636))</f>
        <v/>
      </c>
      <c r="W1636" s="40" t="str">
        <f t="shared" si="52"/>
        <v/>
      </c>
      <c r="X1636" s="40" t="str">
        <f t="shared" si="53"/>
        <v/>
      </c>
      <c r="Y1636" s="40" t="str">
        <f>TEXT(Table1[[#This Row],[YEAR]],"0000")&amp;"-"&amp;Table1[[#This Row],[MONTH]]</f>
        <v>-</v>
      </c>
    </row>
    <row r="1637" spans="1:25" ht="15" customHeight="1" x14ac:dyDescent="0.35">
      <c r="A1637" s="24"/>
      <c r="B1637" s="38"/>
      <c r="C1637" s="38"/>
      <c r="D1637" s="38"/>
      <c r="E1637" s="37"/>
      <c r="F1637" s="38"/>
      <c r="G1637" s="198"/>
      <c r="H1637" s="198"/>
      <c r="I1637" s="39"/>
      <c r="J1637" s="38"/>
      <c r="K1637" s="198"/>
      <c r="L1637" s="38"/>
      <c r="M1637" s="38"/>
      <c r="N1637" s="38"/>
      <c r="O1637" s="38"/>
      <c r="P1637" s="40" t="str" cm="1">
        <f t="array" ref="P1637">IF(N1637="","",IFERROR(_xlfn.XLOOKUP(F1637&amp;"|"&amp;J1637&amp;"|"&amp;O1637,PRICES!$C$2:$C$659&amp;"|"&amp;PRICES!$B$2:$B$659&amp;"|"&amp;PRICES!$D$2:$D$659,PRICES!$E$2:$E$659),"Not Found"))</f>
        <v/>
      </c>
      <c r="Q1637" s="100" t="str">
        <f>IF(N1637=0,"",SUMIFS(PRICES!$G$2:$G$658,PRICES!$B$2:$B$658,'MAIN TABLE-1 AUTOMATED'!J1637,PRICES!$C$2:$C$658,'MAIN TABLE-1 AUTOMATED'!F1637,PRICES!$D$2:$D$658,'MAIN TABLE-1 AUTOMATED'!O1637))</f>
        <v/>
      </c>
      <c r="R1637" s="41" t="str">
        <f>IF(Table1[[#This Row],[QUANTITY]]=0,"",Table1[[#This Row],[UNIT PRICE]]*Table1[[#This Row],[QUANTITY]])</f>
        <v/>
      </c>
      <c r="S1637" s="89"/>
      <c r="T1637" s="38"/>
      <c r="U1637" s="43"/>
      <c r="V1637" s="42" t="str">
        <f>IF(Table1[[#This Row],[DATE]]=0,"",YEAR(E1637))</f>
        <v/>
      </c>
      <c r="W1637" s="40" t="str">
        <f t="shared" si="52"/>
        <v/>
      </c>
      <c r="X1637" s="40" t="str">
        <f t="shared" si="53"/>
        <v/>
      </c>
      <c r="Y1637" s="40" t="str">
        <f>TEXT(Table1[[#This Row],[YEAR]],"0000")&amp;"-"&amp;Table1[[#This Row],[MONTH]]</f>
        <v>-</v>
      </c>
    </row>
    <row r="1638" spans="1:25" ht="15" customHeight="1" x14ac:dyDescent="0.35">
      <c r="A1638" s="24"/>
      <c r="B1638" s="38"/>
      <c r="C1638" s="38"/>
      <c r="D1638" s="38"/>
      <c r="E1638" s="37"/>
      <c r="F1638" s="38"/>
      <c r="G1638" s="198"/>
      <c r="H1638" s="198"/>
      <c r="I1638" s="39"/>
      <c r="J1638" s="38"/>
      <c r="K1638" s="198"/>
      <c r="L1638" s="38"/>
      <c r="M1638" s="38"/>
      <c r="N1638" s="38"/>
      <c r="O1638" s="38"/>
      <c r="P1638" s="40" t="str" cm="1">
        <f t="array" ref="P1638">IF(N1638="","",IFERROR(_xlfn.XLOOKUP(F1638&amp;"|"&amp;J1638&amp;"|"&amp;O1638,PRICES!$C$2:$C$659&amp;"|"&amp;PRICES!$B$2:$B$659&amp;"|"&amp;PRICES!$D$2:$D$659,PRICES!$E$2:$E$659),"Not Found"))</f>
        <v/>
      </c>
      <c r="Q1638" s="100" t="str">
        <f>IF(N1638=0,"",SUMIFS(PRICES!$G$2:$G$658,PRICES!$B$2:$B$658,'MAIN TABLE-1 AUTOMATED'!J1638,PRICES!$C$2:$C$658,'MAIN TABLE-1 AUTOMATED'!F1638,PRICES!$D$2:$D$658,'MAIN TABLE-1 AUTOMATED'!O1638))</f>
        <v/>
      </c>
      <c r="R1638" s="41" t="str">
        <f>IF(Table1[[#This Row],[QUANTITY]]=0,"",Table1[[#This Row],[UNIT PRICE]]*Table1[[#This Row],[QUANTITY]])</f>
        <v/>
      </c>
      <c r="S1638" s="89"/>
      <c r="T1638" s="38"/>
      <c r="U1638" s="43"/>
      <c r="V1638" s="42" t="str">
        <f>IF(Table1[[#This Row],[DATE]]=0,"",YEAR(E1638))</f>
        <v/>
      </c>
      <c r="W1638" s="40" t="str">
        <f t="shared" si="52"/>
        <v/>
      </c>
      <c r="X1638" s="40" t="str">
        <f t="shared" si="53"/>
        <v/>
      </c>
      <c r="Y1638" s="40" t="str">
        <f>TEXT(Table1[[#This Row],[YEAR]],"0000")&amp;"-"&amp;Table1[[#This Row],[MONTH]]</f>
        <v>-</v>
      </c>
    </row>
    <row r="1639" spans="1:25" ht="15" customHeight="1" x14ac:dyDescent="0.35">
      <c r="A1639" s="24"/>
      <c r="B1639" s="38"/>
      <c r="C1639" s="38"/>
      <c r="D1639" s="38"/>
      <c r="E1639" s="37"/>
      <c r="F1639" s="38"/>
      <c r="G1639" s="198"/>
      <c r="H1639" s="198"/>
      <c r="I1639" s="39"/>
      <c r="J1639" s="38"/>
      <c r="K1639" s="198"/>
      <c r="L1639" s="38"/>
      <c r="M1639" s="38"/>
      <c r="N1639" s="38"/>
      <c r="O1639" s="38"/>
      <c r="P1639" s="40" t="str" cm="1">
        <f t="array" ref="P1639">IF(N1639="","",IFERROR(_xlfn.XLOOKUP(F1639&amp;"|"&amp;J1639&amp;"|"&amp;O1639,PRICES!$C$2:$C$659&amp;"|"&amp;PRICES!$B$2:$B$659&amp;"|"&amp;PRICES!$D$2:$D$659,PRICES!$E$2:$E$659),"Not Found"))</f>
        <v/>
      </c>
      <c r="Q1639" s="100" t="str">
        <f>IF(N1639=0,"",SUMIFS(PRICES!$G$2:$G$658,PRICES!$B$2:$B$658,'MAIN TABLE-1 AUTOMATED'!J1639,PRICES!$C$2:$C$658,'MAIN TABLE-1 AUTOMATED'!F1639,PRICES!$D$2:$D$658,'MAIN TABLE-1 AUTOMATED'!O1639))</f>
        <v/>
      </c>
      <c r="R1639" s="41" t="str">
        <f>IF(Table1[[#This Row],[QUANTITY]]=0,"",Table1[[#This Row],[UNIT PRICE]]*Table1[[#This Row],[QUANTITY]])</f>
        <v/>
      </c>
      <c r="S1639" s="89"/>
      <c r="T1639" s="38"/>
      <c r="U1639" s="43"/>
      <c r="V1639" s="42" t="str">
        <f>IF(Table1[[#This Row],[DATE]]=0,"",YEAR(E1639))</f>
        <v/>
      </c>
      <c r="W1639" s="40" t="str">
        <f t="shared" si="52"/>
        <v/>
      </c>
      <c r="X1639" s="40" t="str">
        <f t="shared" si="53"/>
        <v/>
      </c>
      <c r="Y1639" s="40" t="str">
        <f>TEXT(Table1[[#This Row],[YEAR]],"0000")&amp;"-"&amp;Table1[[#This Row],[MONTH]]</f>
        <v>-</v>
      </c>
    </row>
    <row r="1640" spans="1:25" ht="15" customHeight="1" x14ac:dyDescent="0.35">
      <c r="A1640" s="24"/>
      <c r="B1640" s="38"/>
      <c r="C1640" s="38"/>
      <c r="D1640" s="38"/>
      <c r="E1640" s="37"/>
      <c r="F1640" s="38"/>
      <c r="G1640" s="232"/>
      <c r="H1640" s="232"/>
      <c r="I1640" s="39"/>
      <c r="J1640" s="38"/>
      <c r="K1640" s="198"/>
      <c r="L1640" s="38"/>
      <c r="M1640" s="38"/>
      <c r="N1640" s="38"/>
      <c r="O1640" s="38"/>
      <c r="P1640" s="40" t="str" cm="1">
        <f t="array" ref="P1640">IF(N1640="","",IFERROR(_xlfn.XLOOKUP(F1640&amp;"|"&amp;J1640&amp;"|"&amp;O1640,PRICES!$C$2:$C$659&amp;"|"&amp;PRICES!$B$2:$B$659&amp;"|"&amp;PRICES!$D$2:$D$659,PRICES!$E$2:$E$659),"Not Found"))</f>
        <v/>
      </c>
      <c r="Q1640" s="100" t="str">
        <f>IF(N1640=0,"",SUMIFS(PRICES!$G$2:$G$658,PRICES!$B$2:$B$658,'MAIN TABLE-1 AUTOMATED'!J1640,PRICES!$C$2:$C$658,'MAIN TABLE-1 AUTOMATED'!F1640,PRICES!$D$2:$D$658,'MAIN TABLE-1 AUTOMATED'!O1640))</f>
        <v/>
      </c>
      <c r="R1640" s="41" t="str">
        <f>IF(Table1[[#This Row],[QUANTITY]]=0,"",Table1[[#This Row],[UNIT PRICE]]*Table1[[#This Row],[QUANTITY]])</f>
        <v/>
      </c>
      <c r="S1640" s="89"/>
      <c r="T1640" s="38"/>
      <c r="U1640" s="43"/>
      <c r="V1640" s="42" t="str">
        <f>IF(Table1[[#This Row],[DATE]]=0,"",YEAR(E1640))</f>
        <v/>
      </c>
      <c r="W1640" s="40" t="str">
        <f t="shared" si="52"/>
        <v/>
      </c>
      <c r="X1640" s="40" t="str">
        <f t="shared" si="53"/>
        <v/>
      </c>
      <c r="Y1640" s="40" t="str">
        <f>TEXT(Table1[[#This Row],[YEAR]],"0000")&amp;"-"&amp;Table1[[#This Row],[MONTH]]</f>
        <v>-</v>
      </c>
    </row>
    <row r="1641" spans="1:25" ht="15" customHeight="1" x14ac:dyDescent="0.35">
      <c r="A1641" s="24"/>
      <c r="B1641" s="38"/>
      <c r="C1641" s="38"/>
      <c r="D1641" s="38"/>
      <c r="E1641" s="37"/>
      <c r="F1641" s="38"/>
      <c r="G1641" s="233"/>
      <c r="H1641" s="233"/>
      <c r="I1641" s="39"/>
      <c r="J1641" s="38"/>
      <c r="K1641" s="198"/>
      <c r="L1641" s="38"/>
      <c r="M1641" s="38"/>
      <c r="N1641" s="38"/>
      <c r="O1641" s="38"/>
      <c r="P1641" s="40" t="str" cm="1">
        <f t="array" ref="P1641">IF(N1641="","",IFERROR(_xlfn.XLOOKUP(F1641&amp;"|"&amp;J1641&amp;"|"&amp;O1641,PRICES!$C$2:$C$659&amp;"|"&amp;PRICES!$B$2:$B$659&amp;"|"&amp;PRICES!$D$2:$D$659,PRICES!$E$2:$E$659),"Not Found"))</f>
        <v/>
      </c>
      <c r="Q1641" s="100" t="str">
        <f>IF(N1641=0,"",SUMIFS(PRICES!$G$2:$G$658,PRICES!$B$2:$B$658,'MAIN TABLE-1 AUTOMATED'!J1641,PRICES!$C$2:$C$658,'MAIN TABLE-1 AUTOMATED'!F1641,PRICES!$D$2:$D$658,'MAIN TABLE-1 AUTOMATED'!O1641))</f>
        <v/>
      </c>
      <c r="R1641" s="41" t="str">
        <f>IF(Table1[[#This Row],[QUANTITY]]=0,"",Table1[[#This Row],[UNIT PRICE]]*Table1[[#This Row],[QUANTITY]])</f>
        <v/>
      </c>
      <c r="S1641" s="89"/>
      <c r="T1641" s="38"/>
      <c r="U1641" s="43"/>
      <c r="V1641" s="42" t="str">
        <f>IF(Table1[[#This Row],[DATE]]=0,"",YEAR(E1641))</f>
        <v/>
      </c>
      <c r="W1641" s="40" t="str">
        <f t="shared" si="52"/>
        <v/>
      </c>
      <c r="X1641" s="40" t="str">
        <f t="shared" si="53"/>
        <v/>
      </c>
      <c r="Y1641" s="40" t="str">
        <f>TEXT(Table1[[#This Row],[YEAR]],"0000")&amp;"-"&amp;Table1[[#This Row],[MONTH]]</f>
        <v>-</v>
      </c>
    </row>
    <row r="1642" spans="1:25" ht="15" customHeight="1" x14ac:dyDescent="0.35">
      <c r="A1642" s="24"/>
      <c r="B1642" s="38"/>
      <c r="C1642" s="38"/>
      <c r="D1642" s="38"/>
      <c r="E1642" s="37"/>
      <c r="F1642" s="38"/>
      <c r="G1642" s="198"/>
      <c r="H1642" s="198"/>
      <c r="I1642" s="39"/>
      <c r="J1642" s="38"/>
      <c r="K1642" s="198"/>
      <c r="L1642" s="38"/>
      <c r="M1642" s="38"/>
      <c r="N1642" s="38"/>
      <c r="O1642" s="38"/>
      <c r="P1642" s="40" t="str" cm="1">
        <f t="array" ref="P1642">IF(N1642="","",IFERROR(_xlfn.XLOOKUP(F1642&amp;"|"&amp;J1642&amp;"|"&amp;O1642,PRICES!$C$2:$C$659&amp;"|"&amp;PRICES!$B$2:$B$659&amp;"|"&amp;PRICES!$D$2:$D$659,PRICES!$E$2:$E$659),"Not Found"))</f>
        <v/>
      </c>
      <c r="Q1642" s="100" t="str">
        <f>IF(N1642=0,"",SUMIFS(PRICES!$G$2:$G$658,PRICES!$B$2:$B$658,'MAIN TABLE-1 AUTOMATED'!J1642,PRICES!$C$2:$C$658,'MAIN TABLE-1 AUTOMATED'!F1642,PRICES!$D$2:$D$658,'MAIN TABLE-1 AUTOMATED'!O1642))</f>
        <v/>
      </c>
      <c r="R1642" s="41" t="str">
        <f>IF(Table1[[#This Row],[QUANTITY]]=0,"",Table1[[#This Row],[UNIT PRICE]]*Table1[[#This Row],[QUANTITY]])</f>
        <v/>
      </c>
      <c r="S1642" s="89"/>
      <c r="T1642" s="38"/>
      <c r="U1642" s="43"/>
      <c r="V1642" s="42" t="str">
        <f>IF(Table1[[#This Row],[DATE]]=0,"",YEAR(E1642))</f>
        <v/>
      </c>
      <c r="W1642" s="40" t="str">
        <f t="shared" si="52"/>
        <v/>
      </c>
      <c r="X1642" s="40" t="str">
        <f t="shared" si="53"/>
        <v/>
      </c>
      <c r="Y1642" s="40" t="str">
        <f>TEXT(Table1[[#This Row],[YEAR]],"0000")&amp;"-"&amp;Table1[[#This Row],[MONTH]]</f>
        <v>-</v>
      </c>
    </row>
    <row r="1643" spans="1:25" ht="15" customHeight="1" x14ac:dyDescent="0.35">
      <c r="A1643" s="24"/>
      <c r="B1643" s="38"/>
      <c r="C1643" s="38"/>
      <c r="D1643" s="38"/>
      <c r="E1643" s="37"/>
      <c r="F1643" s="38"/>
      <c r="G1643" s="198"/>
      <c r="H1643" s="198"/>
      <c r="I1643" s="39"/>
      <c r="J1643" s="38"/>
      <c r="K1643" s="198"/>
      <c r="L1643" s="38"/>
      <c r="M1643" s="38"/>
      <c r="N1643" s="38"/>
      <c r="O1643" s="38"/>
      <c r="P1643" s="40" t="str" cm="1">
        <f t="array" ref="P1643">IF(N1643="","",IFERROR(_xlfn.XLOOKUP(F1643&amp;"|"&amp;J1643&amp;"|"&amp;O1643,PRICES!$C$2:$C$659&amp;"|"&amp;PRICES!$B$2:$B$659&amp;"|"&amp;PRICES!$D$2:$D$659,PRICES!$E$2:$E$659),"Not Found"))</f>
        <v/>
      </c>
      <c r="Q1643" s="100" t="str">
        <f>IF(N1643=0,"",SUMIFS(PRICES!$G$2:$G$658,PRICES!$B$2:$B$658,'MAIN TABLE-1 AUTOMATED'!J1643,PRICES!$C$2:$C$658,'MAIN TABLE-1 AUTOMATED'!F1643,PRICES!$D$2:$D$658,'MAIN TABLE-1 AUTOMATED'!O1643))</f>
        <v/>
      </c>
      <c r="R1643" s="41" t="str">
        <f>IF(Table1[[#This Row],[QUANTITY]]=0,"",Table1[[#This Row],[UNIT PRICE]]*Table1[[#This Row],[QUANTITY]])</f>
        <v/>
      </c>
      <c r="S1643" s="89"/>
      <c r="T1643" s="38"/>
      <c r="U1643" s="43"/>
      <c r="V1643" s="42" t="str">
        <f>IF(Table1[[#This Row],[DATE]]=0,"",YEAR(E1643))</f>
        <v/>
      </c>
      <c r="W1643" s="40" t="str">
        <f t="shared" si="52"/>
        <v/>
      </c>
      <c r="X1643" s="40" t="str">
        <f t="shared" si="53"/>
        <v/>
      </c>
      <c r="Y1643" s="40" t="str">
        <f>TEXT(Table1[[#This Row],[YEAR]],"0000")&amp;"-"&amp;Table1[[#This Row],[MONTH]]</f>
        <v>-</v>
      </c>
    </row>
    <row r="1644" spans="1:25" ht="15" customHeight="1" x14ac:dyDescent="0.35">
      <c r="A1644" s="24"/>
      <c r="B1644" s="38"/>
      <c r="C1644" s="38"/>
      <c r="D1644" s="38"/>
      <c r="E1644" s="37"/>
      <c r="F1644" s="38"/>
      <c r="G1644" s="198"/>
      <c r="H1644" s="198"/>
      <c r="I1644" s="39"/>
      <c r="J1644" s="38"/>
      <c r="K1644" s="198"/>
      <c r="L1644" s="38"/>
      <c r="M1644" s="38"/>
      <c r="N1644" s="38"/>
      <c r="O1644" s="38"/>
      <c r="P1644" s="40" t="str" cm="1">
        <f t="array" ref="P1644">IF(N1644="","",IFERROR(_xlfn.XLOOKUP(F1644&amp;"|"&amp;J1644&amp;"|"&amp;O1644,PRICES!$C$2:$C$659&amp;"|"&amp;PRICES!$B$2:$B$659&amp;"|"&amp;PRICES!$D$2:$D$659,PRICES!$E$2:$E$659),"Not Found"))</f>
        <v/>
      </c>
      <c r="Q1644" s="100" t="str">
        <f>IF(N1644=0,"",SUMIFS(PRICES!$G$2:$G$658,PRICES!$B$2:$B$658,'MAIN TABLE-1 AUTOMATED'!J1644,PRICES!$C$2:$C$658,'MAIN TABLE-1 AUTOMATED'!F1644,PRICES!$D$2:$D$658,'MAIN TABLE-1 AUTOMATED'!O1644))</f>
        <v/>
      </c>
      <c r="R1644" s="41" t="str">
        <f>IF(Table1[[#This Row],[QUANTITY]]=0,"",Table1[[#This Row],[UNIT PRICE]]*Table1[[#This Row],[QUANTITY]])</f>
        <v/>
      </c>
      <c r="S1644" s="89"/>
      <c r="T1644" s="38"/>
      <c r="U1644" s="43"/>
      <c r="V1644" s="42" t="str">
        <f>IF(Table1[[#This Row],[DATE]]=0,"",YEAR(E1644))</f>
        <v/>
      </c>
      <c r="W1644" s="40" t="str">
        <f t="shared" si="52"/>
        <v/>
      </c>
      <c r="X1644" s="40" t="str">
        <f t="shared" si="53"/>
        <v/>
      </c>
      <c r="Y1644" s="40" t="str">
        <f>TEXT(Table1[[#This Row],[YEAR]],"0000")&amp;"-"&amp;Table1[[#This Row],[MONTH]]</f>
        <v>-</v>
      </c>
    </row>
    <row r="1645" spans="1:25" ht="15" customHeight="1" x14ac:dyDescent="0.35">
      <c r="A1645" s="24"/>
      <c r="B1645" s="38"/>
      <c r="C1645" s="38"/>
      <c r="D1645" s="38"/>
      <c r="E1645" s="37"/>
      <c r="F1645" s="38"/>
      <c r="G1645" s="198"/>
      <c r="H1645" s="198"/>
      <c r="I1645" s="39"/>
      <c r="J1645" s="38"/>
      <c r="K1645" s="198"/>
      <c r="L1645" s="38"/>
      <c r="M1645" s="38"/>
      <c r="N1645" s="38"/>
      <c r="O1645" s="38"/>
      <c r="P1645" s="40" t="str" cm="1">
        <f t="array" ref="P1645">IF(N1645="","",IFERROR(_xlfn.XLOOKUP(F1645&amp;"|"&amp;J1645&amp;"|"&amp;O1645,PRICES!$C$2:$C$659&amp;"|"&amp;PRICES!$B$2:$B$659&amp;"|"&amp;PRICES!$D$2:$D$659,PRICES!$E$2:$E$659),"Not Found"))</f>
        <v/>
      </c>
      <c r="Q1645" s="100" t="str">
        <f>IF(N1645=0,"",SUMIFS(PRICES!$G$2:$G$658,PRICES!$B$2:$B$658,'MAIN TABLE-1 AUTOMATED'!J1645,PRICES!$C$2:$C$658,'MAIN TABLE-1 AUTOMATED'!F1645,PRICES!$D$2:$D$658,'MAIN TABLE-1 AUTOMATED'!O1645))</f>
        <v/>
      </c>
      <c r="R1645" s="41" t="str">
        <f>IF(Table1[[#This Row],[QUANTITY]]=0,"",Table1[[#This Row],[UNIT PRICE]]*Table1[[#This Row],[QUANTITY]])</f>
        <v/>
      </c>
      <c r="S1645" s="89"/>
      <c r="T1645" s="38"/>
      <c r="U1645" s="43"/>
      <c r="V1645" s="42" t="str">
        <f>IF(Table1[[#This Row],[DATE]]=0,"",YEAR(E1645))</f>
        <v/>
      </c>
      <c r="W1645" s="40" t="str">
        <f t="shared" si="52"/>
        <v/>
      </c>
      <c r="X1645" s="40" t="str">
        <f t="shared" si="53"/>
        <v/>
      </c>
      <c r="Y1645" s="40" t="str">
        <f>TEXT(Table1[[#This Row],[YEAR]],"0000")&amp;"-"&amp;Table1[[#This Row],[MONTH]]</f>
        <v>-</v>
      </c>
    </row>
    <row r="1646" spans="1:25" ht="15" customHeight="1" x14ac:dyDescent="0.35">
      <c r="A1646" s="24"/>
      <c r="B1646" s="38"/>
      <c r="C1646" s="38"/>
      <c r="D1646" s="38"/>
      <c r="E1646" s="37"/>
      <c r="F1646" s="38"/>
      <c r="G1646" s="198"/>
      <c r="H1646" s="198"/>
      <c r="I1646" s="39"/>
      <c r="J1646" s="38"/>
      <c r="K1646" s="198"/>
      <c r="L1646" s="38"/>
      <c r="M1646" s="38"/>
      <c r="N1646" s="38"/>
      <c r="O1646" s="38"/>
      <c r="P1646" s="40" t="str" cm="1">
        <f t="array" ref="P1646">IF(N1646="","",IFERROR(_xlfn.XLOOKUP(F1646&amp;"|"&amp;J1646&amp;"|"&amp;O1646,PRICES!$C$2:$C$659&amp;"|"&amp;PRICES!$B$2:$B$659&amp;"|"&amp;PRICES!$D$2:$D$659,PRICES!$E$2:$E$659),"Not Found"))</f>
        <v/>
      </c>
      <c r="Q1646" s="100" t="str">
        <f>IF(N1646=0,"",SUMIFS(PRICES!$G$2:$G$658,PRICES!$B$2:$B$658,'MAIN TABLE-1 AUTOMATED'!J1646,PRICES!$C$2:$C$658,'MAIN TABLE-1 AUTOMATED'!F1646,PRICES!$D$2:$D$658,'MAIN TABLE-1 AUTOMATED'!O1646))</f>
        <v/>
      </c>
      <c r="R1646" s="41" t="str">
        <f>IF(Table1[[#This Row],[QUANTITY]]=0,"",Table1[[#This Row],[UNIT PRICE]]*Table1[[#This Row],[QUANTITY]])</f>
        <v/>
      </c>
      <c r="S1646" s="89"/>
      <c r="T1646" s="38"/>
      <c r="U1646" s="43"/>
      <c r="V1646" s="42" t="str">
        <f>IF(Table1[[#This Row],[DATE]]=0,"",YEAR(E1646))</f>
        <v/>
      </c>
      <c r="W1646" s="40" t="str">
        <f t="shared" si="52"/>
        <v/>
      </c>
      <c r="X1646" s="40" t="str">
        <f t="shared" si="53"/>
        <v/>
      </c>
      <c r="Y1646" s="40" t="str">
        <f>TEXT(Table1[[#This Row],[YEAR]],"0000")&amp;"-"&amp;Table1[[#This Row],[MONTH]]</f>
        <v>-</v>
      </c>
    </row>
    <row r="1647" spans="1:25" ht="15" customHeight="1" x14ac:dyDescent="0.35">
      <c r="A1647" s="24"/>
      <c r="B1647" s="38"/>
      <c r="C1647" s="38"/>
      <c r="D1647" s="38"/>
      <c r="E1647" s="37"/>
      <c r="F1647" s="38"/>
      <c r="G1647" s="198"/>
      <c r="H1647" s="198"/>
      <c r="I1647" s="39"/>
      <c r="J1647" s="38"/>
      <c r="K1647" s="198"/>
      <c r="L1647" s="38"/>
      <c r="M1647" s="38"/>
      <c r="N1647" s="38"/>
      <c r="O1647" s="38"/>
      <c r="P1647" s="40" t="str" cm="1">
        <f t="array" ref="P1647">IF(N1647="","",IFERROR(_xlfn.XLOOKUP(F1647&amp;"|"&amp;J1647&amp;"|"&amp;O1647,PRICES!$C$2:$C$659&amp;"|"&amp;PRICES!$B$2:$B$659&amp;"|"&amp;PRICES!$D$2:$D$659,PRICES!$E$2:$E$659),"Not Found"))</f>
        <v/>
      </c>
      <c r="Q1647" s="100" t="str">
        <f>IF(N1647=0,"",SUMIFS(PRICES!$G$2:$G$658,PRICES!$B$2:$B$658,'MAIN TABLE-1 AUTOMATED'!J1647,PRICES!$C$2:$C$658,'MAIN TABLE-1 AUTOMATED'!F1647,PRICES!$D$2:$D$658,'MAIN TABLE-1 AUTOMATED'!O1647))</f>
        <v/>
      </c>
      <c r="R1647" s="41" t="str">
        <f>IF(Table1[[#This Row],[QUANTITY]]=0,"",Table1[[#This Row],[UNIT PRICE]]*Table1[[#This Row],[QUANTITY]])</f>
        <v/>
      </c>
      <c r="S1647" s="89"/>
      <c r="T1647" s="38"/>
      <c r="U1647" s="43"/>
      <c r="V1647" s="42" t="str">
        <f>IF(Table1[[#This Row],[DATE]]=0,"",YEAR(E1647))</f>
        <v/>
      </c>
      <c r="W1647" s="40" t="str">
        <f t="shared" si="52"/>
        <v/>
      </c>
      <c r="X1647" s="40" t="str">
        <f t="shared" si="53"/>
        <v/>
      </c>
      <c r="Y1647" s="40" t="str">
        <f>TEXT(Table1[[#This Row],[YEAR]],"0000")&amp;"-"&amp;Table1[[#This Row],[MONTH]]</f>
        <v>-</v>
      </c>
    </row>
    <row r="1648" spans="1:25" ht="15" customHeight="1" x14ac:dyDescent="0.35">
      <c r="A1648" s="24"/>
      <c r="B1648" s="38"/>
      <c r="C1648" s="38"/>
      <c r="D1648" s="38"/>
      <c r="E1648" s="37"/>
      <c r="F1648" s="38"/>
      <c r="G1648" s="198"/>
      <c r="H1648" s="198"/>
      <c r="I1648" s="39"/>
      <c r="J1648" s="38"/>
      <c r="K1648" s="198"/>
      <c r="L1648" s="38"/>
      <c r="M1648" s="38"/>
      <c r="N1648" s="38"/>
      <c r="O1648" s="38"/>
      <c r="P1648" s="40" t="str" cm="1">
        <f t="array" ref="P1648">IF(N1648="","",IFERROR(_xlfn.XLOOKUP(F1648&amp;"|"&amp;J1648&amp;"|"&amp;O1648,PRICES!$C$2:$C$659&amp;"|"&amp;PRICES!$B$2:$B$659&amp;"|"&amp;PRICES!$D$2:$D$659,PRICES!$E$2:$E$659),"Not Found"))</f>
        <v/>
      </c>
      <c r="Q1648" s="100" t="str">
        <f>IF(N1648=0,"",SUMIFS(PRICES!$G$2:$G$658,PRICES!$B$2:$B$658,'MAIN TABLE-1 AUTOMATED'!J1648,PRICES!$C$2:$C$658,'MAIN TABLE-1 AUTOMATED'!F1648,PRICES!$D$2:$D$658,'MAIN TABLE-1 AUTOMATED'!O1648))</f>
        <v/>
      </c>
      <c r="R1648" s="41" t="str">
        <f>IF(Table1[[#This Row],[QUANTITY]]=0,"",Table1[[#This Row],[UNIT PRICE]]*Table1[[#This Row],[QUANTITY]])</f>
        <v/>
      </c>
      <c r="S1648" s="89"/>
      <c r="T1648" s="38"/>
      <c r="U1648" s="43"/>
      <c r="V1648" s="42" t="str">
        <f>IF(Table1[[#This Row],[DATE]]=0,"",YEAR(E1648))</f>
        <v/>
      </c>
      <c r="W1648" s="40" t="str">
        <f t="shared" si="52"/>
        <v/>
      </c>
      <c r="X1648" s="40" t="str">
        <f t="shared" si="53"/>
        <v/>
      </c>
      <c r="Y1648" s="40" t="str">
        <f>TEXT(Table1[[#This Row],[YEAR]],"0000")&amp;"-"&amp;Table1[[#This Row],[MONTH]]</f>
        <v>-</v>
      </c>
    </row>
    <row r="1649" spans="1:25" ht="15" customHeight="1" x14ac:dyDescent="0.35">
      <c r="A1649" s="24"/>
      <c r="B1649" s="38"/>
      <c r="C1649" s="38"/>
      <c r="D1649" s="38"/>
      <c r="E1649" s="37"/>
      <c r="F1649" s="38"/>
      <c r="G1649" s="198"/>
      <c r="H1649" s="198"/>
      <c r="I1649" s="39"/>
      <c r="J1649" s="38"/>
      <c r="K1649" s="198"/>
      <c r="L1649" s="38"/>
      <c r="M1649" s="38"/>
      <c r="N1649" s="38"/>
      <c r="O1649" s="38"/>
      <c r="P1649" s="40" t="str" cm="1">
        <f t="array" ref="P1649">IF(N1649="","",IFERROR(_xlfn.XLOOKUP(F1649&amp;"|"&amp;J1649&amp;"|"&amp;O1649,PRICES!$C$2:$C$659&amp;"|"&amp;PRICES!$B$2:$B$659&amp;"|"&amp;PRICES!$D$2:$D$659,PRICES!$E$2:$E$659),"Not Found"))</f>
        <v/>
      </c>
      <c r="Q1649" s="100" t="str">
        <f>IF(N1649=0,"",SUMIFS(PRICES!$G$2:$G$658,PRICES!$B$2:$B$658,'MAIN TABLE-1 AUTOMATED'!J1649,PRICES!$C$2:$C$658,'MAIN TABLE-1 AUTOMATED'!F1649,PRICES!$D$2:$D$658,'MAIN TABLE-1 AUTOMATED'!O1649))</f>
        <v/>
      </c>
      <c r="R1649" s="41" t="str">
        <f>IF(Table1[[#This Row],[QUANTITY]]=0,"",Table1[[#This Row],[UNIT PRICE]]*Table1[[#This Row],[QUANTITY]])</f>
        <v/>
      </c>
      <c r="S1649" s="89"/>
      <c r="T1649" s="38"/>
      <c r="U1649" s="43"/>
      <c r="V1649" s="42" t="str">
        <f>IF(Table1[[#This Row],[DATE]]=0,"",YEAR(E1649))</f>
        <v/>
      </c>
      <c r="W1649" s="40" t="str">
        <f t="shared" si="52"/>
        <v/>
      </c>
      <c r="X1649" s="40" t="str">
        <f t="shared" si="53"/>
        <v/>
      </c>
      <c r="Y1649" s="40" t="str">
        <f>TEXT(Table1[[#This Row],[YEAR]],"0000")&amp;"-"&amp;Table1[[#This Row],[MONTH]]</f>
        <v>-</v>
      </c>
    </row>
    <row r="1650" spans="1:25" ht="15" customHeight="1" x14ac:dyDescent="0.35">
      <c r="A1650" s="24"/>
      <c r="B1650" s="38"/>
      <c r="C1650" s="38"/>
      <c r="D1650" s="38"/>
      <c r="E1650" s="37"/>
      <c r="F1650" s="38"/>
      <c r="G1650" s="198"/>
      <c r="H1650" s="198"/>
      <c r="I1650" s="39"/>
      <c r="J1650" s="38"/>
      <c r="K1650" s="198"/>
      <c r="L1650" s="38"/>
      <c r="M1650" s="38"/>
      <c r="N1650" s="38"/>
      <c r="O1650" s="38"/>
      <c r="P1650" s="40" t="str" cm="1">
        <f t="array" ref="P1650">IF(N1650="","",IFERROR(_xlfn.XLOOKUP(F1650&amp;"|"&amp;J1650&amp;"|"&amp;O1650,PRICES!$C$2:$C$659&amp;"|"&amp;PRICES!$B$2:$B$659&amp;"|"&amp;PRICES!$D$2:$D$659,PRICES!$E$2:$E$659),"Not Found"))</f>
        <v/>
      </c>
      <c r="Q1650" s="100" t="str">
        <f>IF(N1650=0,"",SUMIFS(PRICES!$G$2:$G$658,PRICES!$B$2:$B$658,'MAIN TABLE-1 AUTOMATED'!J1650,PRICES!$C$2:$C$658,'MAIN TABLE-1 AUTOMATED'!F1650,PRICES!$D$2:$D$658,'MAIN TABLE-1 AUTOMATED'!O1650))</f>
        <v/>
      </c>
      <c r="R1650" s="41" t="str">
        <f>IF(Table1[[#This Row],[QUANTITY]]=0,"",Table1[[#This Row],[UNIT PRICE]]*Table1[[#This Row],[QUANTITY]])</f>
        <v/>
      </c>
      <c r="S1650" s="89"/>
      <c r="T1650" s="38"/>
      <c r="U1650" s="43"/>
      <c r="V1650" s="42" t="str">
        <f>IF(Table1[[#This Row],[DATE]]=0,"",YEAR(E1650))</f>
        <v/>
      </c>
      <c r="W1650" s="40" t="str">
        <f t="shared" si="52"/>
        <v/>
      </c>
      <c r="X1650" s="40" t="str">
        <f t="shared" si="53"/>
        <v/>
      </c>
      <c r="Y1650" s="40" t="str">
        <f>TEXT(Table1[[#This Row],[YEAR]],"0000")&amp;"-"&amp;Table1[[#This Row],[MONTH]]</f>
        <v>-</v>
      </c>
    </row>
    <row r="1651" spans="1:25" ht="15" customHeight="1" x14ac:dyDescent="0.35">
      <c r="A1651" s="24"/>
      <c r="B1651" s="38"/>
      <c r="C1651" s="38"/>
      <c r="D1651" s="38"/>
      <c r="E1651" s="37"/>
      <c r="F1651" s="38"/>
      <c r="G1651" s="233"/>
      <c r="H1651" s="233"/>
      <c r="I1651" s="39"/>
      <c r="J1651" s="38"/>
      <c r="K1651" s="198"/>
      <c r="L1651" s="38"/>
      <c r="M1651" s="38"/>
      <c r="N1651" s="38"/>
      <c r="O1651" s="38"/>
      <c r="P1651" s="40" t="str" cm="1">
        <f t="array" ref="P1651">IF(N1651="","",IFERROR(_xlfn.XLOOKUP(F1651&amp;"|"&amp;J1651&amp;"|"&amp;O1651,PRICES!$C$2:$C$659&amp;"|"&amp;PRICES!$B$2:$B$659&amp;"|"&amp;PRICES!$D$2:$D$659,PRICES!$E$2:$E$659),"Not Found"))</f>
        <v/>
      </c>
      <c r="Q1651" s="100" t="str">
        <f>IF(N1651=0,"",SUMIFS(PRICES!$G$2:$G$658,PRICES!$B$2:$B$658,'MAIN TABLE-1 AUTOMATED'!J1651,PRICES!$C$2:$C$658,'MAIN TABLE-1 AUTOMATED'!F1651,PRICES!$D$2:$D$658,'MAIN TABLE-1 AUTOMATED'!O1651))</f>
        <v/>
      </c>
      <c r="R1651" s="41" t="str">
        <f>IF(Table1[[#This Row],[QUANTITY]]=0,"",Table1[[#This Row],[UNIT PRICE]]*Table1[[#This Row],[QUANTITY]])</f>
        <v/>
      </c>
      <c r="S1651" s="89"/>
      <c r="T1651" s="38"/>
      <c r="U1651" s="43"/>
      <c r="V1651" s="42" t="str">
        <f>IF(Table1[[#This Row],[DATE]]=0,"",YEAR(E1651))</f>
        <v/>
      </c>
      <c r="W1651" s="40" t="str">
        <f t="shared" si="52"/>
        <v/>
      </c>
      <c r="X1651" s="40" t="str">
        <f t="shared" si="53"/>
        <v/>
      </c>
      <c r="Y1651" s="40" t="str">
        <f>TEXT(Table1[[#This Row],[YEAR]],"0000")&amp;"-"&amp;Table1[[#This Row],[MONTH]]</f>
        <v>-</v>
      </c>
    </row>
    <row r="1652" spans="1:25" ht="15" customHeight="1" x14ac:dyDescent="0.35">
      <c r="A1652" s="24"/>
      <c r="B1652" s="38"/>
      <c r="C1652" s="38"/>
      <c r="D1652" s="38"/>
      <c r="E1652" s="37"/>
      <c r="F1652" s="38"/>
      <c r="G1652" s="233"/>
      <c r="H1652" s="233"/>
      <c r="I1652" s="39"/>
      <c r="J1652" s="38"/>
      <c r="K1652" s="198"/>
      <c r="L1652" s="38"/>
      <c r="M1652" s="38"/>
      <c r="N1652" s="38"/>
      <c r="O1652" s="38"/>
      <c r="P1652" s="40" t="str" cm="1">
        <f t="array" ref="P1652">IF(N1652="","",IFERROR(_xlfn.XLOOKUP(F1652&amp;"|"&amp;J1652&amp;"|"&amp;O1652,PRICES!$C$2:$C$659&amp;"|"&amp;PRICES!$B$2:$B$659&amp;"|"&amp;PRICES!$D$2:$D$659,PRICES!$E$2:$E$659),"Not Found"))</f>
        <v/>
      </c>
      <c r="Q1652" s="100" t="str">
        <f>IF(N1652=0,"",SUMIFS(PRICES!$G$2:$G$658,PRICES!$B$2:$B$658,'MAIN TABLE-1 AUTOMATED'!J1652,PRICES!$C$2:$C$658,'MAIN TABLE-1 AUTOMATED'!F1652,PRICES!$D$2:$D$658,'MAIN TABLE-1 AUTOMATED'!O1652))</f>
        <v/>
      </c>
      <c r="R1652" s="41" t="str">
        <f>IF(Table1[[#This Row],[QUANTITY]]=0,"",Table1[[#This Row],[UNIT PRICE]]*Table1[[#This Row],[QUANTITY]])</f>
        <v/>
      </c>
      <c r="S1652" s="89"/>
      <c r="T1652" s="38"/>
      <c r="U1652" s="43"/>
      <c r="V1652" s="42" t="str">
        <f>IF(Table1[[#This Row],[DATE]]=0,"",YEAR(E1652))</f>
        <v/>
      </c>
      <c r="W1652" s="40" t="str">
        <f t="shared" si="52"/>
        <v/>
      </c>
      <c r="X1652" s="40" t="str">
        <f t="shared" si="53"/>
        <v/>
      </c>
      <c r="Y1652" s="40" t="str">
        <f>TEXT(Table1[[#This Row],[YEAR]],"0000")&amp;"-"&amp;Table1[[#This Row],[MONTH]]</f>
        <v>-</v>
      </c>
    </row>
    <row r="1653" spans="1:25" ht="15" customHeight="1" x14ac:dyDescent="0.35">
      <c r="A1653" s="24"/>
      <c r="B1653" s="38"/>
      <c r="C1653" s="38"/>
      <c r="D1653" s="38"/>
      <c r="E1653" s="37"/>
      <c r="F1653" s="38"/>
      <c r="G1653" s="233"/>
      <c r="H1653" s="233"/>
      <c r="I1653" s="39"/>
      <c r="J1653" s="38"/>
      <c r="K1653" s="198"/>
      <c r="L1653" s="38"/>
      <c r="M1653" s="38"/>
      <c r="N1653" s="38"/>
      <c r="O1653" s="38"/>
      <c r="P1653" s="40" t="str" cm="1">
        <f t="array" ref="P1653">IF(N1653="","",IFERROR(_xlfn.XLOOKUP(F1653&amp;"|"&amp;J1653&amp;"|"&amp;O1653,PRICES!$C$2:$C$659&amp;"|"&amp;PRICES!$B$2:$B$659&amp;"|"&amp;PRICES!$D$2:$D$659,PRICES!$E$2:$E$659),"Not Found"))</f>
        <v/>
      </c>
      <c r="Q1653" s="100" t="str">
        <f>IF(N1653=0,"",SUMIFS(PRICES!$G$2:$G$658,PRICES!$B$2:$B$658,'MAIN TABLE-1 AUTOMATED'!J1653,PRICES!$C$2:$C$658,'MAIN TABLE-1 AUTOMATED'!F1653,PRICES!$D$2:$D$658,'MAIN TABLE-1 AUTOMATED'!O1653))</f>
        <v/>
      </c>
      <c r="R1653" s="41" t="str">
        <f>IF(Table1[[#This Row],[QUANTITY]]=0,"",Table1[[#This Row],[UNIT PRICE]]*Table1[[#This Row],[QUANTITY]])</f>
        <v/>
      </c>
      <c r="S1653" s="89"/>
      <c r="T1653" s="38"/>
      <c r="U1653" s="43"/>
      <c r="V1653" s="42" t="str">
        <f>IF(Table1[[#This Row],[DATE]]=0,"",YEAR(E1653))</f>
        <v/>
      </c>
      <c r="W1653" s="40" t="str">
        <f t="shared" si="52"/>
        <v/>
      </c>
      <c r="X1653" s="40" t="str">
        <f t="shared" si="53"/>
        <v/>
      </c>
      <c r="Y1653" s="40" t="str">
        <f>TEXT(Table1[[#This Row],[YEAR]],"0000")&amp;"-"&amp;Table1[[#This Row],[MONTH]]</f>
        <v>-</v>
      </c>
    </row>
    <row r="1654" spans="1:25" ht="15" customHeight="1" x14ac:dyDescent="0.35">
      <c r="A1654" s="24"/>
      <c r="B1654" s="38"/>
      <c r="C1654" s="38"/>
      <c r="D1654" s="38"/>
      <c r="E1654" s="37"/>
      <c r="F1654" s="38"/>
      <c r="G1654" s="198"/>
      <c r="H1654" s="198"/>
      <c r="I1654" s="39"/>
      <c r="J1654" s="38"/>
      <c r="K1654" s="198"/>
      <c r="L1654" s="38"/>
      <c r="M1654" s="38"/>
      <c r="N1654" s="38"/>
      <c r="O1654" s="38"/>
      <c r="P1654" s="40" t="str" cm="1">
        <f t="array" ref="P1654">IF(N1654="","",IFERROR(_xlfn.XLOOKUP(F1654&amp;"|"&amp;J1654&amp;"|"&amp;O1654,PRICES!$C$2:$C$659&amp;"|"&amp;PRICES!$B$2:$B$659&amp;"|"&amp;PRICES!$D$2:$D$659,PRICES!$E$2:$E$659),"Not Found"))</f>
        <v/>
      </c>
      <c r="Q1654" s="100" t="str">
        <f>IF(N1654=0,"",SUMIFS(PRICES!$G$2:$G$658,PRICES!$B$2:$B$658,'MAIN TABLE-1 AUTOMATED'!J1654,PRICES!$C$2:$C$658,'MAIN TABLE-1 AUTOMATED'!F1654,PRICES!$D$2:$D$658,'MAIN TABLE-1 AUTOMATED'!O1654))</f>
        <v/>
      </c>
      <c r="R1654" s="41" t="str">
        <f>IF(Table1[[#This Row],[QUANTITY]]=0,"",Table1[[#This Row],[UNIT PRICE]]*Table1[[#This Row],[QUANTITY]])</f>
        <v/>
      </c>
      <c r="S1654" s="89"/>
      <c r="T1654" s="38"/>
      <c r="U1654" s="43"/>
      <c r="V1654" s="42" t="str">
        <f>IF(Table1[[#This Row],[DATE]]=0,"",YEAR(E1654))</f>
        <v/>
      </c>
      <c r="W1654" s="40" t="str">
        <f t="shared" si="52"/>
        <v/>
      </c>
      <c r="X1654" s="40" t="str">
        <f t="shared" si="53"/>
        <v/>
      </c>
      <c r="Y1654" s="40" t="str">
        <f>TEXT(Table1[[#This Row],[YEAR]],"0000")&amp;"-"&amp;Table1[[#This Row],[MONTH]]</f>
        <v>-</v>
      </c>
    </row>
    <row r="1655" spans="1:25" ht="15" customHeight="1" x14ac:dyDescent="0.35">
      <c r="A1655" s="24"/>
      <c r="B1655" s="38"/>
      <c r="C1655" s="38"/>
      <c r="D1655" s="38"/>
      <c r="E1655" s="37"/>
      <c r="F1655" s="38"/>
      <c r="G1655" s="198"/>
      <c r="H1655" s="198"/>
      <c r="I1655" s="39"/>
      <c r="J1655" s="38"/>
      <c r="K1655" s="198"/>
      <c r="L1655" s="38"/>
      <c r="M1655" s="38"/>
      <c r="N1655" s="38"/>
      <c r="O1655" s="38"/>
      <c r="P1655" s="40" t="str" cm="1">
        <f t="array" ref="P1655">IF(N1655="","",IFERROR(_xlfn.XLOOKUP(F1655&amp;"|"&amp;J1655&amp;"|"&amp;O1655,PRICES!$C$2:$C$659&amp;"|"&amp;PRICES!$B$2:$B$659&amp;"|"&amp;PRICES!$D$2:$D$659,PRICES!$E$2:$E$659),"Not Found"))</f>
        <v/>
      </c>
      <c r="Q1655" s="100" t="str">
        <f>IF(N1655=0,"",SUMIFS(PRICES!$G$2:$G$658,PRICES!$B$2:$B$658,'MAIN TABLE-1 AUTOMATED'!J1655,PRICES!$C$2:$C$658,'MAIN TABLE-1 AUTOMATED'!F1655,PRICES!$D$2:$D$658,'MAIN TABLE-1 AUTOMATED'!O1655))</f>
        <v/>
      </c>
      <c r="R1655" s="41" t="str">
        <f>IF(Table1[[#This Row],[QUANTITY]]=0,"",Table1[[#This Row],[UNIT PRICE]]*Table1[[#This Row],[QUANTITY]])</f>
        <v/>
      </c>
      <c r="S1655" s="89"/>
      <c r="T1655" s="38"/>
      <c r="U1655" s="43"/>
      <c r="V1655" s="42" t="str">
        <f>IF(Table1[[#This Row],[DATE]]=0,"",YEAR(E1655))</f>
        <v/>
      </c>
      <c r="W1655" s="40" t="str">
        <f t="shared" si="52"/>
        <v/>
      </c>
      <c r="X1655" s="40" t="str">
        <f t="shared" si="53"/>
        <v/>
      </c>
      <c r="Y1655" s="40" t="str">
        <f>TEXT(Table1[[#This Row],[YEAR]],"0000")&amp;"-"&amp;Table1[[#This Row],[MONTH]]</f>
        <v>-</v>
      </c>
    </row>
    <row r="1656" spans="1:25" ht="15" customHeight="1" x14ac:dyDescent="0.35">
      <c r="A1656" s="24"/>
      <c r="B1656" s="38"/>
      <c r="C1656" s="38"/>
      <c r="D1656" s="38"/>
      <c r="E1656" s="37"/>
      <c r="F1656" s="38"/>
      <c r="G1656" s="198"/>
      <c r="H1656" s="198"/>
      <c r="I1656" s="39"/>
      <c r="J1656" s="38"/>
      <c r="K1656" s="198"/>
      <c r="L1656" s="38"/>
      <c r="M1656" s="38"/>
      <c r="N1656" s="38"/>
      <c r="O1656" s="38"/>
      <c r="P1656" s="40" t="str" cm="1">
        <f t="array" ref="P1656">IF(N1656="","",IFERROR(_xlfn.XLOOKUP(F1656&amp;"|"&amp;J1656&amp;"|"&amp;O1656,PRICES!$C$2:$C$659&amp;"|"&amp;PRICES!$B$2:$B$659&amp;"|"&amp;PRICES!$D$2:$D$659,PRICES!$E$2:$E$659),"Not Found"))</f>
        <v/>
      </c>
      <c r="Q1656" s="100" t="str">
        <f>IF(N1656=0,"",SUMIFS(PRICES!$G$2:$G$658,PRICES!$B$2:$B$658,'MAIN TABLE-1 AUTOMATED'!J1656,PRICES!$C$2:$C$658,'MAIN TABLE-1 AUTOMATED'!F1656,PRICES!$D$2:$D$658,'MAIN TABLE-1 AUTOMATED'!O1656))</f>
        <v/>
      </c>
      <c r="R1656" s="41" t="str">
        <f>IF(Table1[[#This Row],[QUANTITY]]=0,"",Table1[[#This Row],[UNIT PRICE]]*Table1[[#This Row],[QUANTITY]])</f>
        <v/>
      </c>
      <c r="S1656" s="89"/>
      <c r="T1656" s="38"/>
      <c r="U1656" s="43"/>
      <c r="V1656" s="42" t="str">
        <f>IF(Table1[[#This Row],[DATE]]=0,"",YEAR(E1656))</f>
        <v/>
      </c>
      <c r="W1656" s="40" t="str">
        <f t="shared" si="52"/>
        <v/>
      </c>
      <c r="X1656" s="40" t="str">
        <f t="shared" si="53"/>
        <v/>
      </c>
      <c r="Y1656" s="40" t="str">
        <f>TEXT(Table1[[#This Row],[YEAR]],"0000")&amp;"-"&amp;Table1[[#This Row],[MONTH]]</f>
        <v>-</v>
      </c>
    </row>
    <row r="1657" spans="1:25" ht="15" customHeight="1" x14ac:dyDescent="0.35">
      <c r="A1657" s="24"/>
      <c r="B1657" s="38"/>
      <c r="C1657" s="38"/>
      <c r="D1657" s="38"/>
      <c r="E1657" s="37"/>
      <c r="F1657" s="38"/>
      <c r="G1657" s="198"/>
      <c r="H1657" s="198"/>
      <c r="I1657" s="39"/>
      <c r="J1657" s="38"/>
      <c r="K1657" s="198"/>
      <c r="L1657" s="38"/>
      <c r="M1657" s="38"/>
      <c r="N1657" s="38"/>
      <c r="O1657" s="38"/>
      <c r="P1657" s="40" t="str" cm="1">
        <f t="array" ref="P1657">IF(N1657="","",IFERROR(_xlfn.XLOOKUP(F1657&amp;"|"&amp;J1657&amp;"|"&amp;O1657,PRICES!$C$2:$C$659&amp;"|"&amp;PRICES!$B$2:$B$659&amp;"|"&amp;PRICES!$D$2:$D$659,PRICES!$E$2:$E$659),"Not Found"))</f>
        <v/>
      </c>
      <c r="Q1657" s="100" t="str">
        <f>IF(N1657=0,"",SUMIFS(PRICES!$G$2:$G$658,PRICES!$B$2:$B$658,'MAIN TABLE-1 AUTOMATED'!J1657,PRICES!$C$2:$C$658,'MAIN TABLE-1 AUTOMATED'!F1657,PRICES!$D$2:$D$658,'MAIN TABLE-1 AUTOMATED'!O1657))</f>
        <v/>
      </c>
      <c r="R1657" s="41" t="str">
        <f>IF(Table1[[#This Row],[QUANTITY]]=0,"",Table1[[#This Row],[UNIT PRICE]]*Table1[[#This Row],[QUANTITY]])</f>
        <v/>
      </c>
      <c r="S1657" s="89"/>
      <c r="T1657" s="38"/>
      <c r="U1657" s="43"/>
      <c r="V1657" s="42" t="str">
        <f>IF(Table1[[#This Row],[DATE]]=0,"",YEAR(E1657))</f>
        <v/>
      </c>
      <c r="W1657" s="40" t="str">
        <f t="shared" si="52"/>
        <v/>
      </c>
      <c r="X1657" s="40" t="str">
        <f t="shared" si="53"/>
        <v/>
      </c>
      <c r="Y1657" s="40" t="str">
        <f>TEXT(Table1[[#This Row],[YEAR]],"0000")&amp;"-"&amp;Table1[[#This Row],[MONTH]]</f>
        <v>-</v>
      </c>
    </row>
    <row r="1658" spans="1:25" ht="15" customHeight="1" x14ac:dyDescent="0.35">
      <c r="A1658" s="24"/>
      <c r="B1658" s="38"/>
      <c r="C1658" s="38"/>
      <c r="D1658" s="38"/>
      <c r="E1658" s="37"/>
      <c r="F1658" s="38"/>
      <c r="G1658" s="198"/>
      <c r="H1658" s="198"/>
      <c r="I1658" s="39"/>
      <c r="J1658" s="38"/>
      <c r="K1658" s="198"/>
      <c r="L1658" s="38"/>
      <c r="M1658" s="38"/>
      <c r="N1658" s="38"/>
      <c r="O1658" s="38"/>
      <c r="P1658" s="40" t="str" cm="1">
        <f t="array" ref="P1658">IF(N1658="","",IFERROR(_xlfn.XLOOKUP(F1658&amp;"|"&amp;J1658&amp;"|"&amp;O1658,PRICES!$C$2:$C$659&amp;"|"&amp;PRICES!$B$2:$B$659&amp;"|"&amp;PRICES!$D$2:$D$659,PRICES!$E$2:$E$659),"Not Found"))</f>
        <v/>
      </c>
      <c r="Q1658" s="100" t="str">
        <f>IF(N1658=0,"",SUMIFS(PRICES!$G$2:$G$658,PRICES!$B$2:$B$658,'MAIN TABLE-1 AUTOMATED'!J1658,PRICES!$C$2:$C$658,'MAIN TABLE-1 AUTOMATED'!F1658,PRICES!$D$2:$D$658,'MAIN TABLE-1 AUTOMATED'!O1658))</f>
        <v/>
      </c>
      <c r="R1658" s="41" t="str">
        <f>IF(Table1[[#This Row],[QUANTITY]]=0,"",Table1[[#This Row],[UNIT PRICE]]*Table1[[#This Row],[QUANTITY]])</f>
        <v/>
      </c>
      <c r="S1658" s="89"/>
      <c r="T1658" s="38"/>
      <c r="U1658" s="43"/>
      <c r="V1658" s="42" t="str">
        <f>IF(Table1[[#This Row],[DATE]]=0,"",YEAR(E1658))</f>
        <v/>
      </c>
      <c r="W1658" s="40" t="str">
        <f t="shared" si="52"/>
        <v/>
      </c>
      <c r="X1658" s="40" t="str">
        <f t="shared" si="53"/>
        <v/>
      </c>
      <c r="Y1658" s="40" t="str">
        <f>TEXT(Table1[[#This Row],[YEAR]],"0000")&amp;"-"&amp;Table1[[#This Row],[MONTH]]</f>
        <v>-</v>
      </c>
    </row>
    <row r="1659" spans="1:25" ht="15" customHeight="1" x14ac:dyDescent="0.35">
      <c r="A1659" s="24"/>
      <c r="B1659" s="38"/>
      <c r="C1659" s="38"/>
      <c r="D1659" s="38"/>
      <c r="E1659" s="37"/>
      <c r="F1659" s="38"/>
      <c r="G1659" s="198"/>
      <c r="H1659" s="198"/>
      <c r="I1659" s="39"/>
      <c r="J1659" s="38"/>
      <c r="K1659" s="198"/>
      <c r="L1659" s="38"/>
      <c r="M1659" s="38"/>
      <c r="N1659" s="38"/>
      <c r="O1659" s="38"/>
      <c r="P1659" s="40" t="str" cm="1">
        <f t="array" ref="P1659">IF(N1659="","",IFERROR(_xlfn.XLOOKUP(F1659&amp;"|"&amp;J1659&amp;"|"&amp;O1659,PRICES!$C$2:$C$659&amp;"|"&amp;PRICES!$B$2:$B$659&amp;"|"&amp;PRICES!$D$2:$D$659,PRICES!$E$2:$E$659),"Not Found"))</f>
        <v/>
      </c>
      <c r="Q1659" s="100" t="str">
        <f>IF(N1659=0,"",SUMIFS(PRICES!$G$2:$G$658,PRICES!$B$2:$B$658,'MAIN TABLE-1 AUTOMATED'!J1659,PRICES!$C$2:$C$658,'MAIN TABLE-1 AUTOMATED'!F1659,PRICES!$D$2:$D$658,'MAIN TABLE-1 AUTOMATED'!O1659))</f>
        <v/>
      </c>
      <c r="R1659" s="41" t="str">
        <f>IF(Table1[[#This Row],[QUANTITY]]=0,"",Table1[[#This Row],[UNIT PRICE]]*Table1[[#This Row],[QUANTITY]])</f>
        <v/>
      </c>
      <c r="S1659" s="89"/>
      <c r="T1659" s="38"/>
      <c r="U1659" s="43"/>
      <c r="V1659" s="42" t="str">
        <f>IF(Table1[[#This Row],[DATE]]=0,"",YEAR(E1659))</f>
        <v/>
      </c>
      <c r="W1659" s="40" t="str">
        <f t="shared" si="52"/>
        <v/>
      </c>
      <c r="X1659" s="40" t="str">
        <f t="shared" si="53"/>
        <v/>
      </c>
      <c r="Y1659" s="40" t="str">
        <f>TEXT(Table1[[#This Row],[YEAR]],"0000")&amp;"-"&amp;Table1[[#This Row],[MONTH]]</f>
        <v>-</v>
      </c>
    </row>
    <row r="1660" spans="1:25" ht="15" customHeight="1" x14ac:dyDescent="0.35">
      <c r="A1660" s="24"/>
      <c r="B1660" s="38"/>
      <c r="C1660" s="38"/>
      <c r="D1660" s="38"/>
      <c r="E1660" s="37"/>
      <c r="F1660" s="38"/>
      <c r="G1660" s="198"/>
      <c r="H1660" s="198"/>
      <c r="I1660" s="39"/>
      <c r="J1660" s="38"/>
      <c r="K1660" s="198"/>
      <c r="L1660" s="38"/>
      <c r="M1660" s="38"/>
      <c r="N1660" s="38"/>
      <c r="O1660" s="38"/>
      <c r="P1660" s="40" t="str" cm="1">
        <f t="array" ref="P1660">IF(N1660="","",IFERROR(_xlfn.XLOOKUP(F1660&amp;"|"&amp;J1660&amp;"|"&amp;O1660,PRICES!$C$2:$C$659&amp;"|"&amp;PRICES!$B$2:$B$659&amp;"|"&amp;PRICES!$D$2:$D$659,PRICES!$E$2:$E$659),"Not Found"))</f>
        <v/>
      </c>
      <c r="Q1660" s="100" t="str">
        <f>IF(N1660=0,"",SUMIFS(PRICES!$G$2:$G$658,PRICES!$B$2:$B$658,'MAIN TABLE-1 AUTOMATED'!J1660,PRICES!$C$2:$C$658,'MAIN TABLE-1 AUTOMATED'!F1660,PRICES!$D$2:$D$658,'MAIN TABLE-1 AUTOMATED'!O1660))</f>
        <v/>
      </c>
      <c r="R1660" s="41" t="str">
        <f>IF(Table1[[#This Row],[QUANTITY]]=0,"",Table1[[#This Row],[UNIT PRICE]]*Table1[[#This Row],[QUANTITY]])</f>
        <v/>
      </c>
      <c r="S1660" s="89"/>
      <c r="T1660" s="38"/>
      <c r="U1660" s="43"/>
      <c r="V1660" s="42" t="str">
        <f>IF(Table1[[#This Row],[DATE]]=0,"",YEAR(E1660))</f>
        <v/>
      </c>
      <c r="W1660" s="40" t="str">
        <f t="shared" si="52"/>
        <v/>
      </c>
      <c r="X1660" s="40" t="str">
        <f t="shared" si="53"/>
        <v/>
      </c>
      <c r="Y1660" s="40" t="str">
        <f>TEXT(Table1[[#This Row],[YEAR]],"0000")&amp;"-"&amp;Table1[[#This Row],[MONTH]]</f>
        <v>-</v>
      </c>
    </row>
    <row r="1661" spans="1:25" ht="15" customHeight="1" x14ac:dyDescent="0.35">
      <c r="A1661" s="24"/>
      <c r="B1661" s="38"/>
      <c r="C1661" s="38"/>
      <c r="D1661" s="38"/>
      <c r="E1661" s="37"/>
      <c r="F1661" s="38"/>
      <c r="G1661" s="198"/>
      <c r="H1661" s="198"/>
      <c r="I1661" s="39"/>
      <c r="J1661" s="38"/>
      <c r="K1661" s="198"/>
      <c r="L1661" s="38"/>
      <c r="M1661" s="38"/>
      <c r="N1661" s="38"/>
      <c r="O1661" s="38"/>
      <c r="P1661" s="40" t="str" cm="1">
        <f t="array" ref="P1661">IF(N1661="","",IFERROR(_xlfn.XLOOKUP(F1661&amp;"|"&amp;J1661&amp;"|"&amp;O1661,PRICES!$C$2:$C$659&amp;"|"&amp;PRICES!$B$2:$B$659&amp;"|"&amp;PRICES!$D$2:$D$659,PRICES!$E$2:$E$659),"Not Found"))</f>
        <v/>
      </c>
      <c r="Q1661" s="100" t="str">
        <f>IF(N1661=0,"",SUMIFS(PRICES!$G$2:$G$658,PRICES!$B$2:$B$658,'MAIN TABLE-1 AUTOMATED'!J1661,PRICES!$C$2:$C$658,'MAIN TABLE-1 AUTOMATED'!F1661,PRICES!$D$2:$D$658,'MAIN TABLE-1 AUTOMATED'!O1661))</f>
        <v/>
      </c>
      <c r="R1661" s="41" t="str">
        <f>IF(Table1[[#This Row],[QUANTITY]]=0,"",Table1[[#This Row],[UNIT PRICE]]*Table1[[#This Row],[QUANTITY]])</f>
        <v/>
      </c>
      <c r="S1661" s="89"/>
      <c r="T1661" s="38"/>
      <c r="U1661" s="43"/>
      <c r="V1661" s="42" t="str">
        <f>IF(Table1[[#This Row],[DATE]]=0,"",YEAR(E1661))</f>
        <v/>
      </c>
      <c r="W1661" s="40" t="str">
        <f t="shared" si="52"/>
        <v/>
      </c>
      <c r="X1661" s="40" t="str">
        <f t="shared" si="53"/>
        <v/>
      </c>
      <c r="Y1661" s="40" t="str">
        <f>TEXT(Table1[[#This Row],[YEAR]],"0000")&amp;"-"&amp;Table1[[#This Row],[MONTH]]</f>
        <v>-</v>
      </c>
    </row>
    <row r="1662" spans="1:25" ht="15" customHeight="1" x14ac:dyDescent="0.35">
      <c r="A1662" s="24"/>
      <c r="B1662" s="38"/>
      <c r="C1662" s="38"/>
      <c r="D1662" s="38"/>
      <c r="E1662" s="37"/>
      <c r="F1662" s="38"/>
      <c r="G1662" s="198"/>
      <c r="H1662" s="198"/>
      <c r="I1662" s="39"/>
      <c r="J1662" s="38"/>
      <c r="K1662" s="198"/>
      <c r="L1662" s="38"/>
      <c r="M1662" s="38"/>
      <c r="N1662" s="38"/>
      <c r="O1662" s="38"/>
      <c r="P1662" s="40" t="str" cm="1">
        <f t="array" ref="P1662">IF(N1662="","",IFERROR(_xlfn.XLOOKUP(F1662&amp;"|"&amp;J1662&amp;"|"&amp;O1662,PRICES!$C$2:$C$659&amp;"|"&amp;PRICES!$B$2:$B$659&amp;"|"&amp;PRICES!$D$2:$D$659,PRICES!$E$2:$E$659),"Not Found"))</f>
        <v/>
      </c>
      <c r="Q1662" s="100" t="str">
        <f>IF(N1662=0,"",SUMIFS(PRICES!$G$2:$G$658,PRICES!$B$2:$B$658,'MAIN TABLE-1 AUTOMATED'!J1662,PRICES!$C$2:$C$658,'MAIN TABLE-1 AUTOMATED'!F1662,PRICES!$D$2:$D$658,'MAIN TABLE-1 AUTOMATED'!O1662))</f>
        <v/>
      </c>
      <c r="R1662" s="41" t="str">
        <f>IF(Table1[[#This Row],[QUANTITY]]=0,"",Table1[[#This Row],[UNIT PRICE]]*Table1[[#This Row],[QUANTITY]])</f>
        <v/>
      </c>
      <c r="S1662" s="89"/>
      <c r="T1662" s="38"/>
      <c r="U1662" s="43"/>
      <c r="V1662" s="42" t="str">
        <f>IF(Table1[[#This Row],[DATE]]=0,"",YEAR(E1662))</f>
        <v/>
      </c>
      <c r="W1662" s="40" t="str">
        <f t="shared" si="52"/>
        <v/>
      </c>
      <c r="X1662" s="40" t="str">
        <f t="shared" si="53"/>
        <v/>
      </c>
      <c r="Y1662" s="40" t="str">
        <f>TEXT(Table1[[#This Row],[YEAR]],"0000")&amp;"-"&amp;Table1[[#This Row],[MONTH]]</f>
        <v>-</v>
      </c>
    </row>
    <row r="1663" spans="1:25" ht="15" customHeight="1" x14ac:dyDescent="0.35">
      <c r="A1663" s="24"/>
      <c r="B1663" s="38"/>
      <c r="C1663" s="38"/>
      <c r="D1663" s="38"/>
      <c r="E1663" s="37"/>
      <c r="F1663" s="38"/>
      <c r="G1663" s="198"/>
      <c r="H1663" s="198"/>
      <c r="I1663" s="39"/>
      <c r="J1663" s="38"/>
      <c r="K1663" s="198"/>
      <c r="L1663" s="38"/>
      <c r="M1663" s="38"/>
      <c r="N1663" s="38"/>
      <c r="O1663" s="38"/>
      <c r="P1663" s="40" t="str" cm="1">
        <f t="array" ref="P1663">IF(N1663="","",IFERROR(_xlfn.XLOOKUP(F1663&amp;"|"&amp;J1663&amp;"|"&amp;O1663,PRICES!$C$2:$C$659&amp;"|"&amp;PRICES!$B$2:$B$659&amp;"|"&amp;PRICES!$D$2:$D$659,PRICES!$E$2:$E$659),"Not Found"))</f>
        <v/>
      </c>
      <c r="Q1663" s="100" t="str">
        <f>IF(N1663=0,"",SUMIFS(PRICES!$G$2:$G$658,PRICES!$B$2:$B$658,'MAIN TABLE-1 AUTOMATED'!J1663,PRICES!$C$2:$C$658,'MAIN TABLE-1 AUTOMATED'!F1663,PRICES!$D$2:$D$658,'MAIN TABLE-1 AUTOMATED'!O1663))</f>
        <v/>
      </c>
      <c r="R1663" s="41" t="str">
        <f>IF(Table1[[#This Row],[QUANTITY]]=0,"",Table1[[#This Row],[UNIT PRICE]]*Table1[[#This Row],[QUANTITY]])</f>
        <v/>
      </c>
      <c r="S1663" s="89"/>
      <c r="T1663" s="38"/>
      <c r="U1663" s="43"/>
      <c r="V1663" s="42" t="str">
        <f>IF(Table1[[#This Row],[DATE]]=0,"",YEAR(E1663))</f>
        <v/>
      </c>
      <c r="W1663" s="40" t="str">
        <f t="shared" si="52"/>
        <v/>
      </c>
      <c r="X1663" s="40" t="str">
        <f t="shared" si="53"/>
        <v/>
      </c>
      <c r="Y1663" s="40" t="str">
        <f>TEXT(Table1[[#This Row],[YEAR]],"0000")&amp;"-"&amp;Table1[[#This Row],[MONTH]]</f>
        <v>-</v>
      </c>
    </row>
    <row r="1664" spans="1:25" ht="15" customHeight="1" x14ac:dyDescent="0.35">
      <c r="A1664" s="24"/>
      <c r="B1664" s="38"/>
      <c r="C1664" s="38"/>
      <c r="D1664" s="38"/>
      <c r="E1664" s="37"/>
      <c r="F1664" s="38"/>
      <c r="G1664" s="198"/>
      <c r="H1664" s="198"/>
      <c r="I1664" s="39"/>
      <c r="J1664" s="38"/>
      <c r="K1664" s="198"/>
      <c r="L1664" s="38"/>
      <c r="M1664" s="38"/>
      <c r="N1664" s="38"/>
      <c r="O1664" s="38"/>
      <c r="P1664" s="40" t="str" cm="1">
        <f t="array" ref="P1664">IF(N1664="","",IFERROR(_xlfn.XLOOKUP(F1664&amp;"|"&amp;J1664&amp;"|"&amp;O1664,PRICES!$C$2:$C$659&amp;"|"&amp;PRICES!$B$2:$B$659&amp;"|"&amp;PRICES!$D$2:$D$659,PRICES!$E$2:$E$659),"Not Found"))</f>
        <v/>
      </c>
      <c r="Q1664" s="100" t="str">
        <f>IF(N1664=0,"",SUMIFS(PRICES!$G$2:$G$658,PRICES!$B$2:$B$658,'MAIN TABLE-1 AUTOMATED'!J1664,PRICES!$C$2:$C$658,'MAIN TABLE-1 AUTOMATED'!F1664,PRICES!$D$2:$D$658,'MAIN TABLE-1 AUTOMATED'!O1664))</f>
        <v/>
      </c>
      <c r="R1664" s="41" t="str">
        <f>IF(Table1[[#This Row],[QUANTITY]]=0,"",Table1[[#This Row],[UNIT PRICE]]*Table1[[#This Row],[QUANTITY]])</f>
        <v/>
      </c>
      <c r="S1664" s="89"/>
      <c r="T1664" s="38"/>
      <c r="U1664" s="43"/>
      <c r="V1664" s="42" t="str">
        <f>IF(Table1[[#This Row],[DATE]]=0,"",YEAR(E1664))</f>
        <v/>
      </c>
      <c r="W1664" s="40" t="str">
        <f t="shared" si="52"/>
        <v/>
      </c>
      <c r="X1664" s="40" t="str">
        <f t="shared" si="53"/>
        <v/>
      </c>
      <c r="Y1664" s="40" t="str">
        <f>TEXT(Table1[[#This Row],[YEAR]],"0000")&amp;"-"&amp;Table1[[#This Row],[MONTH]]</f>
        <v>-</v>
      </c>
    </row>
    <row r="1665" spans="1:25" ht="15" customHeight="1" x14ac:dyDescent="0.35">
      <c r="A1665" s="24"/>
      <c r="B1665" s="38"/>
      <c r="C1665" s="38"/>
      <c r="D1665" s="38"/>
      <c r="E1665" s="37"/>
      <c r="F1665" s="38"/>
      <c r="G1665" s="198"/>
      <c r="H1665" s="198"/>
      <c r="I1665" s="39"/>
      <c r="J1665" s="38"/>
      <c r="K1665" s="198"/>
      <c r="L1665" s="38"/>
      <c r="M1665" s="38"/>
      <c r="N1665" s="38"/>
      <c r="O1665" s="38"/>
      <c r="P1665" s="40" t="str" cm="1">
        <f t="array" ref="P1665">IF(N1665="","",IFERROR(_xlfn.XLOOKUP(F1665&amp;"|"&amp;J1665&amp;"|"&amp;O1665,PRICES!$C$2:$C$659&amp;"|"&amp;PRICES!$B$2:$B$659&amp;"|"&amp;PRICES!$D$2:$D$659,PRICES!$E$2:$E$659),"Not Found"))</f>
        <v/>
      </c>
      <c r="Q1665" s="100" t="str">
        <f>IF(N1665=0,"",SUMIFS(PRICES!$G$2:$G$658,PRICES!$B$2:$B$658,'MAIN TABLE-1 AUTOMATED'!J1665,PRICES!$C$2:$C$658,'MAIN TABLE-1 AUTOMATED'!F1665,PRICES!$D$2:$D$658,'MAIN TABLE-1 AUTOMATED'!O1665))</f>
        <v/>
      </c>
      <c r="R1665" s="41" t="str">
        <f>IF(Table1[[#This Row],[QUANTITY]]=0,"",Table1[[#This Row],[UNIT PRICE]]*Table1[[#This Row],[QUANTITY]])</f>
        <v/>
      </c>
      <c r="S1665" s="89"/>
      <c r="T1665" s="38"/>
      <c r="U1665" s="43"/>
      <c r="V1665" s="42" t="str">
        <f>IF(Table1[[#This Row],[DATE]]=0,"",YEAR(E1665))</f>
        <v/>
      </c>
      <c r="W1665" s="40" t="str">
        <f t="shared" si="52"/>
        <v/>
      </c>
      <c r="X1665" s="40" t="str">
        <f t="shared" si="53"/>
        <v/>
      </c>
      <c r="Y1665" s="40" t="str">
        <f>TEXT(Table1[[#This Row],[YEAR]],"0000")&amp;"-"&amp;Table1[[#This Row],[MONTH]]</f>
        <v>-</v>
      </c>
    </row>
    <row r="1666" spans="1:25" ht="15" customHeight="1" x14ac:dyDescent="0.35">
      <c r="A1666" s="24"/>
      <c r="B1666" s="38"/>
      <c r="C1666" s="38"/>
      <c r="D1666" s="38"/>
      <c r="E1666" s="37"/>
      <c r="F1666" s="38"/>
      <c r="G1666" s="198"/>
      <c r="H1666" s="198"/>
      <c r="I1666" s="39"/>
      <c r="J1666" s="38"/>
      <c r="K1666" s="198"/>
      <c r="L1666" s="38"/>
      <c r="M1666" s="38"/>
      <c r="N1666" s="38"/>
      <c r="O1666" s="38"/>
      <c r="P1666" s="40" t="str" cm="1">
        <f t="array" ref="P1666">IF(N1666="","",IFERROR(_xlfn.XLOOKUP(F1666&amp;"|"&amp;J1666&amp;"|"&amp;O1666,PRICES!$C$2:$C$659&amp;"|"&amp;PRICES!$B$2:$B$659&amp;"|"&amp;PRICES!$D$2:$D$659,PRICES!$E$2:$E$659),"Not Found"))</f>
        <v/>
      </c>
      <c r="Q1666" s="100" t="str">
        <f>IF(N1666=0,"",SUMIFS(PRICES!$G$2:$G$658,PRICES!$B$2:$B$658,'MAIN TABLE-1 AUTOMATED'!J1666,PRICES!$C$2:$C$658,'MAIN TABLE-1 AUTOMATED'!F1666,PRICES!$D$2:$D$658,'MAIN TABLE-1 AUTOMATED'!O1666))</f>
        <v/>
      </c>
      <c r="R1666" s="41" t="str">
        <f>IF(Table1[[#This Row],[QUANTITY]]=0,"",Table1[[#This Row],[UNIT PRICE]]*Table1[[#This Row],[QUANTITY]])</f>
        <v/>
      </c>
      <c r="S1666" s="89"/>
      <c r="T1666" s="38"/>
      <c r="U1666" s="43"/>
      <c r="V1666" s="42" t="str">
        <f>IF(Table1[[#This Row],[DATE]]=0,"",YEAR(E1666))</f>
        <v/>
      </c>
      <c r="W1666" s="40" t="str">
        <f t="shared" si="52"/>
        <v/>
      </c>
      <c r="X1666" s="40" t="str">
        <f t="shared" si="53"/>
        <v/>
      </c>
      <c r="Y1666" s="40" t="str">
        <f>TEXT(Table1[[#This Row],[YEAR]],"0000")&amp;"-"&amp;Table1[[#This Row],[MONTH]]</f>
        <v>-</v>
      </c>
    </row>
    <row r="1667" spans="1:25" ht="15" customHeight="1" x14ac:dyDescent="0.35">
      <c r="A1667" s="24"/>
      <c r="B1667" s="38"/>
      <c r="C1667" s="38"/>
      <c r="D1667" s="38"/>
      <c r="E1667" s="37"/>
      <c r="F1667" s="38"/>
      <c r="G1667" s="198"/>
      <c r="H1667" s="198"/>
      <c r="I1667" s="39"/>
      <c r="J1667" s="38"/>
      <c r="K1667" s="198"/>
      <c r="L1667" s="38"/>
      <c r="M1667" s="38"/>
      <c r="N1667" s="38"/>
      <c r="O1667" s="38"/>
      <c r="P1667" s="40" t="str" cm="1">
        <f t="array" ref="P1667">IF(N1667="","",IFERROR(_xlfn.XLOOKUP(F1667&amp;"|"&amp;J1667&amp;"|"&amp;O1667,PRICES!$C$2:$C$659&amp;"|"&amp;PRICES!$B$2:$B$659&amp;"|"&amp;PRICES!$D$2:$D$659,PRICES!$E$2:$E$659),"Not Found"))</f>
        <v/>
      </c>
      <c r="Q1667" s="100" t="str">
        <f>IF(N1667=0,"",SUMIFS(PRICES!$G$2:$G$658,PRICES!$B$2:$B$658,'MAIN TABLE-1 AUTOMATED'!J1667,PRICES!$C$2:$C$658,'MAIN TABLE-1 AUTOMATED'!F1667,PRICES!$D$2:$D$658,'MAIN TABLE-1 AUTOMATED'!O1667))</f>
        <v/>
      </c>
      <c r="R1667" s="41" t="str">
        <f>IF(Table1[[#This Row],[QUANTITY]]=0,"",Table1[[#This Row],[UNIT PRICE]]*Table1[[#This Row],[QUANTITY]])</f>
        <v/>
      </c>
      <c r="S1667" s="89"/>
      <c r="T1667" s="38"/>
      <c r="U1667" s="43"/>
      <c r="V1667" s="42" t="str">
        <f>IF(Table1[[#This Row],[DATE]]=0,"",YEAR(E1667))</f>
        <v/>
      </c>
      <c r="W1667" s="40" t="str">
        <f t="shared" si="52"/>
        <v/>
      </c>
      <c r="X1667" s="40" t="str">
        <f t="shared" si="53"/>
        <v/>
      </c>
      <c r="Y1667" s="40" t="str">
        <f>TEXT(Table1[[#This Row],[YEAR]],"0000")&amp;"-"&amp;Table1[[#This Row],[MONTH]]</f>
        <v>-</v>
      </c>
    </row>
    <row r="1668" spans="1:25" ht="15" customHeight="1" x14ac:dyDescent="0.35">
      <c r="A1668" s="24"/>
      <c r="B1668" s="38"/>
      <c r="C1668" s="38"/>
      <c r="D1668" s="38"/>
      <c r="E1668" s="37"/>
      <c r="F1668" s="38"/>
      <c r="G1668" s="198"/>
      <c r="H1668" s="198"/>
      <c r="I1668" s="39"/>
      <c r="J1668" s="38"/>
      <c r="K1668" s="198"/>
      <c r="L1668" s="38"/>
      <c r="M1668" s="38"/>
      <c r="N1668" s="38"/>
      <c r="O1668" s="38"/>
      <c r="P1668" s="40" t="str" cm="1">
        <f t="array" ref="P1668">IF(N1668="","",IFERROR(_xlfn.XLOOKUP(F1668&amp;"|"&amp;J1668&amp;"|"&amp;O1668,PRICES!$C$2:$C$659&amp;"|"&amp;PRICES!$B$2:$B$659&amp;"|"&amp;PRICES!$D$2:$D$659,PRICES!$E$2:$E$659),"Not Found"))</f>
        <v/>
      </c>
      <c r="Q1668" s="100" t="str">
        <f>IF(N1668=0,"",SUMIFS(PRICES!$G$2:$G$658,PRICES!$B$2:$B$658,'MAIN TABLE-1 AUTOMATED'!J1668,PRICES!$C$2:$C$658,'MAIN TABLE-1 AUTOMATED'!F1668,PRICES!$D$2:$D$658,'MAIN TABLE-1 AUTOMATED'!O1668))</f>
        <v/>
      </c>
      <c r="R1668" s="41" t="str">
        <f>IF(Table1[[#This Row],[QUANTITY]]=0,"",Table1[[#This Row],[UNIT PRICE]]*Table1[[#This Row],[QUANTITY]])</f>
        <v/>
      </c>
      <c r="S1668" s="89"/>
      <c r="T1668" s="38"/>
      <c r="U1668" s="43"/>
      <c r="V1668" s="42" t="str">
        <f>IF(Table1[[#This Row],[DATE]]=0,"",YEAR(E1668))</f>
        <v/>
      </c>
      <c r="W1668" s="40" t="str">
        <f t="shared" si="52"/>
        <v/>
      </c>
      <c r="X1668" s="40" t="str">
        <f t="shared" si="53"/>
        <v/>
      </c>
      <c r="Y1668" s="40" t="str">
        <f>TEXT(Table1[[#This Row],[YEAR]],"0000")&amp;"-"&amp;Table1[[#This Row],[MONTH]]</f>
        <v>-</v>
      </c>
    </row>
    <row r="1669" spans="1:25" ht="15" customHeight="1" x14ac:dyDescent="0.35">
      <c r="A1669" s="24"/>
      <c r="B1669" s="38"/>
      <c r="C1669" s="38"/>
      <c r="D1669" s="38"/>
      <c r="E1669" s="37"/>
      <c r="F1669" s="38"/>
      <c r="G1669" s="198"/>
      <c r="H1669" s="198"/>
      <c r="I1669" s="39"/>
      <c r="J1669" s="38"/>
      <c r="K1669" s="198"/>
      <c r="L1669" s="38"/>
      <c r="M1669" s="38"/>
      <c r="N1669" s="38"/>
      <c r="O1669" s="38"/>
      <c r="P1669" s="40" t="str" cm="1">
        <f t="array" ref="P1669">IF(N1669="","",IFERROR(_xlfn.XLOOKUP(F1669&amp;"|"&amp;J1669&amp;"|"&amp;O1669,PRICES!$C$2:$C$659&amp;"|"&amp;PRICES!$B$2:$B$659&amp;"|"&amp;PRICES!$D$2:$D$659,PRICES!$E$2:$E$659),"Not Found"))</f>
        <v/>
      </c>
      <c r="Q1669" s="100" t="str">
        <f>IF(N1669=0,"",SUMIFS(PRICES!$G$2:$G$658,PRICES!$B$2:$B$658,'MAIN TABLE-1 AUTOMATED'!J1669,PRICES!$C$2:$C$658,'MAIN TABLE-1 AUTOMATED'!F1669,PRICES!$D$2:$D$658,'MAIN TABLE-1 AUTOMATED'!O1669))</f>
        <v/>
      </c>
      <c r="R1669" s="41" t="str">
        <f>IF(Table1[[#This Row],[QUANTITY]]=0,"",Table1[[#This Row],[UNIT PRICE]]*Table1[[#This Row],[QUANTITY]])</f>
        <v/>
      </c>
      <c r="S1669" s="89"/>
      <c r="T1669" s="38"/>
      <c r="U1669" s="43"/>
      <c r="V1669" s="42" t="str">
        <f>IF(Table1[[#This Row],[DATE]]=0,"",YEAR(E1669))</f>
        <v/>
      </c>
      <c r="W1669" s="40" t="str">
        <f t="shared" si="52"/>
        <v/>
      </c>
      <c r="X1669" s="40" t="str">
        <f t="shared" si="53"/>
        <v/>
      </c>
      <c r="Y1669" s="40" t="str">
        <f>TEXT(Table1[[#This Row],[YEAR]],"0000")&amp;"-"&amp;Table1[[#This Row],[MONTH]]</f>
        <v>-</v>
      </c>
    </row>
    <row r="1670" spans="1:25" ht="15" customHeight="1" x14ac:dyDescent="0.35">
      <c r="A1670" s="24"/>
      <c r="B1670" s="38"/>
      <c r="C1670" s="38"/>
      <c r="D1670" s="38"/>
      <c r="E1670" s="37"/>
      <c r="F1670" s="38"/>
      <c r="G1670" s="198"/>
      <c r="H1670" s="198"/>
      <c r="I1670" s="39"/>
      <c r="J1670" s="38"/>
      <c r="K1670" s="198"/>
      <c r="L1670" s="38"/>
      <c r="M1670" s="38"/>
      <c r="N1670" s="38"/>
      <c r="O1670" s="38"/>
      <c r="P1670" s="40" t="str" cm="1">
        <f t="array" ref="P1670">IF(N1670="","",IFERROR(_xlfn.XLOOKUP(F1670&amp;"|"&amp;J1670&amp;"|"&amp;O1670,PRICES!$C$2:$C$659&amp;"|"&amp;PRICES!$B$2:$B$659&amp;"|"&amp;PRICES!$D$2:$D$659,PRICES!$E$2:$E$659),"Not Found"))</f>
        <v/>
      </c>
      <c r="Q1670" s="100" t="str">
        <f>IF(N1670=0,"",SUMIFS(PRICES!$G$2:$G$658,PRICES!$B$2:$B$658,'MAIN TABLE-1 AUTOMATED'!J1670,PRICES!$C$2:$C$658,'MAIN TABLE-1 AUTOMATED'!F1670,PRICES!$D$2:$D$658,'MAIN TABLE-1 AUTOMATED'!O1670))</f>
        <v/>
      </c>
      <c r="R1670" s="41" t="str">
        <f>IF(Table1[[#This Row],[QUANTITY]]=0,"",Table1[[#This Row],[UNIT PRICE]]*Table1[[#This Row],[QUANTITY]])</f>
        <v/>
      </c>
      <c r="S1670" s="89"/>
      <c r="T1670" s="38"/>
      <c r="U1670" s="43"/>
      <c r="V1670" s="42" t="str">
        <f>IF(Table1[[#This Row],[DATE]]=0,"",YEAR(E1670))</f>
        <v/>
      </c>
      <c r="W1670" s="40" t="str">
        <f t="shared" si="52"/>
        <v/>
      </c>
      <c r="X1670" s="40" t="str">
        <f t="shared" si="53"/>
        <v/>
      </c>
      <c r="Y1670" s="40" t="str">
        <f>TEXT(Table1[[#This Row],[YEAR]],"0000")&amp;"-"&amp;Table1[[#This Row],[MONTH]]</f>
        <v>-</v>
      </c>
    </row>
    <row r="1671" spans="1:25" ht="15" customHeight="1" x14ac:dyDescent="0.35">
      <c r="A1671" s="24"/>
      <c r="B1671" s="38"/>
      <c r="C1671" s="38"/>
      <c r="D1671" s="38"/>
      <c r="E1671" s="37"/>
      <c r="F1671" s="38"/>
      <c r="G1671" s="198"/>
      <c r="H1671" s="198"/>
      <c r="I1671" s="39"/>
      <c r="J1671" s="38"/>
      <c r="K1671" s="198"/>
      <c r="L1671" s="38"/>
      <c r="M1671" s="38"/>
      <c r="N1671" s="38"/>
      <c r="O1671" s="38"/>
      <c r="P1671" s="40" t="str" cm="1">
        <f t="array" ref="P1671">IF(N1671="","",IFERROR(_xlfn.XLOOKUP(F1671&amp;"|"&amp;J1671&amp;"|"&amp;O1671,PRICES!$C$2:$C$659&amp;"|"&amp;PRICES!$B$2:$B$659&amp;"|"&amp;PRICES!$D$2:$D$659,PRICES!$E$2:$E$659),"Not Found"))</f>
        <v/>
      </c>
      <c r="Q1671" s="100" t="str">
        <f>IF(N1671=0,"",SUMIFS(PRICES!$G$2:$G$658,PRICES!$B$2:$B$658,'MAIN TABLE-1 AUTOMATED'!J1671,PRICES!$C$2:$C$658,'MAIN TABLE-1 AUTOMATED'!F1671,PRICES!$D$2:$D$658,'MAIN TABLE-1 AUTOMATED'!O1671))</f>
        <v/>
      </c>
      <c r="R1671" s="41" t="str">
        <f>IF(Table1[[#This Row],[QUANTITY]]=0,"",Table1[[#This Row],[UNIT PRICE]]*Table1[[#This Row],[QUANTITY]])</f>
        <v/>
      </c>
      <c r="S1671" s="89"/>
      <c r="T1671" s="38"/>
      <c r="U1671" s="43"/>
      <c r="V1671" s="42" t="str">
        <f>IF(Table1[[#This Row],[DATE]]=0,"",YEAR(E1671))</f>
        <v/>
      </c>
      <c r="W1671" s="40" t="str">
        <f t="shared" si="52"/>
        <v/>
      </c>
      <c r="X1671" s="40" t="str">
        <f t="shared" si="53"/>
        <v/>
      </c>
      <c r="Y1671" s="40" t="str">
        <f>TEXT(Table1[[#This Row],[YEAR]],"0000")&amp;"-"&amp;Table1[[#This Row],[MONTH]]</f>
        <v>-</v>
      </c>
    </row>
    <row r="1672" spans="1:25" ht="15" customHeight="1" x14ac:dyDescent="0.35">
      <c r="A1672" s="24"/>
      <c r="B1672" s="38"/>
      <c r="C1672" s="38"/>
      <c r="D1672" s="38"/>
      <c r="E1672" s="37"/>
      <c r="F1672" s="38"/>
      <c r="G1672" s="198"/>
      <c r="H1672" s="198"/>
      <c r="I1672" s="39"/>
      <c r="J1672" s="38"/>
      <c r="K1672" s="198"/>
      <c r="L1672" s="38"/>
      <c r="M1672" s="38"/>
      <c r="N1672" s="38"/>
      <c r="O1672" s="38"/>
      <c r="P1672" s="40" t="str" cm="1">
        <f t="array" ref="P1672">IF(N1672="","",IFERROR(_xlfn.XLOOKUP(F1672&amp;"|"&amp;J1672&amp;"|"&amp;O1672,PRICES!$C$2:$C$659&amp;"|"&amp;PRICES!$B$2:$B$659&amp;"|"&amp;PRICES!$D$2:$D$659,PRICES!$E$2:$E$659),"Not Found"))</f>
        <v/>
      </c>
      <c r="Q1672" s="100" t="str">
        <f>IF(N1672=0,"",SUMIFS(PRICES!$G$2:$G$658,PRICES!$B$2:$B$658,'MAIN TABLE-1 AUTOMATED'!J1672,PRICES!$C$2:$C$658,'MAIN TABLE-1 AUTOMATED'!F1672,PRICES!$D$2:$D$658,'MAIN TABLE-1 AUTOMATED'!O1672))</f>
        <v/>
      </c>
      <c r="R1672" s="41" t="str">
        <f>IF(Table1[[#This Row],[QUANTITY]]=0,"",Table1[[#This Row],[UNIT PRICE]]*Table1[[#This Row],[QUANTITY]])</f>
        <v/>
      </c>
      <c r="S1672" s="89"/>
      <c r="T1672" s="38"/>
      <c r="U1672" s="43"/>
      <c r="V1672" s="42" t="str">
        <f>IF(Table1[[#This Row],[DATE]]=0,"",YEAR(E1672))</f>
        <v/>
      </c>
      <c r="W1672" s="40" t="str">
        <f t="shared" si="52"/>
        <v/>
      </c>
      <c r="X1672" s="40" t="str">
        <f t="shared" si="53"/>
        <v/>
      </c>
      <c r="Y1672" s="40" t="str">
        <f>TEXT(Table1[[#This Row],[YEAR]],"0000")&amp;"-"&amp;Table1[[#This Row],[MONTH]]</f>
        <v>-</v>
      </c>
    </row>
    <row r="1673" spans="1:25" ht="15" customHeight="1" x14ac:dyDescent="0.35">
      <c r="A1673" s="24"/>
      <c r="B1673" s="38"/>
      <c r="C1673" s="38"/>
      <c r="D1673" s="38"/>
      <c r="E1673" s="37"/>
      <c r="F1673" s="38"/>
      <c r="G1673" s="198"/>
      <c r="H1673" s="198"/>
      <c r="I1673" s="39"/>
      <c r="J1673" s="38"/>
      <c r="K1673" s="198"/>
      <c r="L1673" s="38"/>
      <c r="M1673" s="38"/>
      <c r="N1673" s="38"/>
      <c r="O1673" s="38"/>
      <c r="P1673" s="40" t="str" cm="1">
        <f t="array" ref="P1673">IF(N1673="","",IFERROR(_xlfn.XLOOKUP(F1673&amp;"|"&amp;J1673&amp;"|"&amp;O1673,PRICES!$C$2:$C$659&amp;"|"&amp;PRICES!$B$2:$B$659&amp;"|"&amp;PRICES!$D$2:$D$659,PRICES!$E$2:$E$659),"Not Found"))</f>
        <v/>
      </c>
      <c r="Q1673" s="100" t="str">
        <f>IF(N1673=0,"",SUMIFS(PRICES!$G$2:$G$658,PRICES!$B$2:$B$658,'MAIN TABLE-1 AUTOMATED'!J1673,PRICES!$C$2:$C$658,'MAIN TABLE-1 AUTOMATED'!F1673,PRICES!$D$2:$D$658,'MAIN TABLE-1 AUTOMATED'!O1673))</f>
        <v/>
      </c>
      <c r="R1673" s="41" t="str">
        <f>IF(Table1[[#This Row],[QUANTITY]]=0,"",Table1[[#This Row],[UNIT PRICE]]*Table1[[#This Row],[QUANTITY]])</f>
        <v/>
      </c>
      <c r="S1673" s="89"/>
      <c r="T1673" s="38"/>
      <c r="U1673" s="43"/>
      <c r="V1673" s="42" t="str">
        <f>IF(Table1[[#This Row],[DATE]]=0,"",YEAR(E1673))</f>
        <v/>
      </c>
      <c r="W1673" s="40" t="str">
        <f t="shared" si="52"/>
        <v/>
      </c>
      <c r="X1673" s="40" t="str">
        <f t="shared" si="53"/>
        <v/>
      </c>
      <c r="Y1673" s="40" t="str">
        <f>TEXT(Table1[[#This Row],[YEAR]],"0000")&amp;"-"&amp;Table1[[#This Row],[MONTH]]</f>
        <v>-</v>
      </c>
    </row>
    <row r="1674" spans="1:25" ht="15" customHeight="1" x14ac:dyDescent="0.35">
      <c r="A1674" s="24"/>
      <c r="B1674" s="38"/>
      <c r="C1674" s="38"/>
      <c r="D1674" s="38"/>
      <c r="E1674" s="37"/>
      <c r="F1674" s="38"/>
      <c r="G1674" s="198"/>
      <c r="H1674" s="198"/>
      <c r="I1674" s="39"/>
      <c r="J1674" s="38"/>
      <c r="K1674" s="198"/>
      <c r="L1674" s="38"/>
      <c r="M1674" s="38"/>
      <c r="N1674" s="38"/>
      <c r="O1674" s="38"/>
      <c r="P1674" s="40" t="str" cm="1">
        <f t="array" ref="P1674">IF(N1674="","",IFERROR(_xlfn.XLOOKUP(F1674&amp;"|"&amp;J1674&amp;"|"&amp;O1674,PRICES!$C$2:$C$659&amp;"|"&amp;PRICES!$B$2:$B$659&amp;"|"&amp;PRICES!$D$2:$D$659,PRICES!$E$2:$E$659),"Not Found"))</f>
        <v/>
      </c>
      <c r="Q1674" s="100" t="str">
        <f>IF(N1674=0,"",SUMIFS(PRICES!$G$2:$G$658,PRICES!$B$2:$B$658,'MAIN TABLE-1 AUTOMATED'!J1674,PRICES!$C$2:$C$658,'MAIN TABLE-1 AUTOMATED'!F1674,PRICES!$D$2:$D$658,'MAIN TABLE-1 AUTOMATED'!O1674))</f>
        <v/>
      </c>
      <c r="R1674" s="41" t="str">
        <f>IF(Table1[[#This Row],[QUANTITY]]=0,"",Table1[[#This Row],[UNIT PRICE]]*Table1[[#This Row],[QUANTITY]])</f>
        <v/>
      </c>
      <c r="S1674" s="89"/>
      <c r="T1674" s="38"/>
      <c r="U1674" s="43"/>
      <c r="V1674" s="42" t="str">
        <f>IF(Table1[[#This Row],[DATE]]=0,"",YEAR(E1674))</f>
        <v/>
      </c>
      <c r="W1674" s="40" t="str">
        <f t="shared" si="52"/>
        <v/>
      </c>
      <c r="X1674" s="40" t="str">
        <f t="shared" si="53"/>
        <v/>
      </c>
      <c r="Y1674" s="40" t="str">
        <f>TEXT(Table1[[#This Row],[YEAR]],"0000")&amp;"-"&amp;Table1[[#This Row],[MONTH]]</f>
        <v>-</v>
      </c>
    </row>
    <row r="1675" spans="1:25" ht="15" customHeight="1" x14ac:dyDescent="0.35">
      <c r="A1675" s="24"/>
      <c r="B1675" s="38"/>
      <c r="C1675" s="38"/>
      <c r="D1675" s="38"/>
      <c r="E1675" s="37"/>
      <c r="F1675" s="38"/>
      <c r="G1675" s="198"/>
      <c r="H1675" s="198"/>
      <c r="I1675" s="39"/>
      <c r="J1675" s="38"/>
      <c r="K1675" s="198"/>
      <c r="L1675" s="38"/>
      <c r="M1675" s="38"/>
      <c r="N1675" s="38"/>
      <c r="O1675" s="38"/>
      <c r="P1675" s="40" t="str" cm="1">
        <f t="array" ref="P1675">IF(N1675="","",IFERROR(_xlfn.XLOOKUP(F1675&amp;"|"&amp;J1675&amp;"|"&amp;O1675,PRICES!$C$2:$C$659&amp;"|"&amp;PRICES!$B$2:$B$659&amp;"|"&amp;PRICES!$D$2:$D$659,PRICES!$E$2:$E$659),"Not Found"))</f>
        <v/>
      </c>
      <c r="Q1675" s="100" t="str">
        <f>IF(N1675=0,"",SUMIFS(PRICES!$G$2:$G$658,PRICES!$B$2:$B$658,'MAIN TABLE-1 AUTOMATED'!J1675,PRICES!$C$2:$C$658,'MAIN TABLE-1 AUTOMATED'!F1675,PRICES!$D$2:$D$658,'MAIN TABLE-1 AUTOMATED'!O1675))</f>
        <v/>
      </c>
      <c r="R1675" s="41" t="str">
        <f>IF(Table1[[#This Row],[QUANTITY]]=0,"",Table1[[#This Row],[UNIT PRICE]]*Table1[[#This Row],[QUANTITY]])</f>
        <v/>
      </c>
      <c r="S1675" s="89"/>
      <c r="T1675" s="38"/>
      <c r="U1675" s="43"/>
      <c r="V1675" s="42" t="str">
        <f>IF(Table1[[#This Row],[DATE]]=0,"",YEAR(E1675))</f>
        <v/>
      </c>
      <c r="W1675" s="40" t="str">
        <f t="shared" si="52"/>
        <v/>
      </c>
      <c r="X1675" s="40" t="str">
        <f t="shared" si="53"/>
        <v/>
      </c>
      <c r="Y1675" s="40" t="str">
        <f>TEXT(Table1[[#This Row],[YEAR]],"0000")&amp;"-"&amp;Table1[[#This Row],[MONTH]]</f>
        <v>-</v>
      </c>
    </row>
    <row r="1676" spans="1:25" ht="15" customHeight="1" x14ac:dyDescent="0.35">
      <c r="A1676" s="24"/>
      <c r="B1676" s="38"/>
      <c r="C1676" s="38"/>
      <c r="D1676" s="38"/>
      <c r="E1676" s="37"/>
      <c r="F1676" s="38"/>
      <c r="G1676" s="198"/>
      <c r="H1676" s="198"/>
      <c r="I1676" s="39"/>
      <c r="J1676" s="38"/>
      <c r="K1676" s="198"/>
      <c r="L1676" s="38"/>
      <c r="M1676" s="38"/>
      <c r="N1676" s="38"/>
      <c r="O1676" s="38"/>
      <c r="P1676" s="40" t="str" cm="1">
        <f t="array" ref="P1676">IF(N1676="","",IFERROR(_xlfn.XLOOKUP(F1676&amp;"|"&amp;J1676&amp;"|"&amp;O1676,PRICES!$C$2:$C$659&amp;"|"&amp;PRICES!$B$2:$B$659&amp;"|"&amp;PRICES!$D$2:$D$659,PRICES!$E$2:$E$659),"Not Found"))</f>
        <v/>
      </c>
      <c r="Q1676" s="100" t="str">
        <f>IF(N1676=0,"",SUMIFS(PRICES!$G$2:$G$658,PRICES!$B$2:$B$658,'MAIN TABLE-1 AUTOMATED'!J1676,PRICES!$C$2:$C$658,'MAIN TABLE-1 AUTOMATED'!F1676,PRICES!$D$2:$D$658,'MAIN TABLE-1 AUTOMATED'!O1676))</f>
        <v/>
      </c>
      <c r="R1676" s="41" t="str">
        <f>IF(Table1[[#This Row],[QUANTITY]]=0,"",Table1[[#This Row],[UNIT PRICE]]*Table1[[#This Row],[QUANTITY]])</f>
        <v/>
      </c>
      <c r="S1676" s="89"/>
      <c r="T1676" s="38"/>
      <c r="U1676" s="43"/>
      <c r="V1676" s="42" t="str">
        <f>IF(Table1[[#This Row],[DATE]]=0,"",YEAR(E1676))</f>
        <v/>
      </c>
      <c r="W1676" s="40" t="str">
        <f t="shared" si="52"/>
        <v/>
      </c>
      <c r="X1676" s="40" t="str">
        <f t="shared" si="53"/>
        <v/>
      </c>
      <c r="Y1676" s="40" t="str">
        <f>TEXT(Table1[[#This Row],[YEAR]],"0000")&amp;"-"&amp;Table1[[#This Row],[MONTH]]</f>
        <v>-</v>
      </c>
    </row>
    <row r="1677" spans="1:25" ht="15" customHeight="1" x14ac:dyDescent="0.35">
      <c r="A1677" s="24"/>
      <c r="B1677" s="38"/>
      <c r="C1677" s="38"/>
      <c r="D1677" s="38"/>
      <c r="E1677" s="37"/>
      <c r="F1677" s="38"/>
      <c r="G1677" s="198"/>
      <c r="H1677" s="198"/>
      <c r="I1677" s="39"/>
      <c r="J1677" s="38"/>
      <c r="K1677" s="198"/>
      <c r="L1677" s="38"/>
      <c r="M1677" s="38"/>
      <c r="N1677" s="38"/>
      <c r="O1677" s="38"/>
      <c r="P1677" s="40" t="str" cm="1">
        <f t="array" ref="P1677">IF(N1677="","",IFERROR(_xlfn.XLOOKUP(F1677&amp;"|"&amp;J1677&amp;"|"&amp;O1677,PRICES!$C$2:$C$659&amp;"|"&amp;PRICES!$B$2:$B$659&amp;"|"&amp;PRICES!$D$2:$D$659,PRICES!$E$2:$E$659),"Not Found"))</f>
        <v/>
      </c>
      <c r="Q1677" s="100" t="str">
        <f>IF(N1677=0,"",SUMIFS(PRICES!$G$2:$G$658,PRICES!$B$2:$B$658,'MAIN TABLE-1 AUTOMATED'!J1677,PRICES!$C$2:$C$658,'MAIN TABLE-1 AUTOMATED'!F1677,PRICES!$D$2:$D$658,'MAIN TABLE-1 AUTOMATED'!O1677))</f>
        <v/>
      </c>
      <c r="R1677" s="41" t="str">
        <f>IF(Table1[[#This Row],[QUANTITY]]=0,"",Table1[[#This Row],[UNIT PRICE]]*Table1[[#This Row],[QUANTITY]])</f>
        <v/>
      </c>
      <c r="S1677" s="89"/>
      <c r="T1677" s="38"/>
      <c r="U1677" s="43"/>
      <c r="V1677" s="42" t="str">
        <f>IF(Table1[[#This Row],[DATE]]=0,"",YEAR(E1677))</f>
        <v/>
      </c>
      <c r="W1677" s="40" t="str">
        <f t="shared" si="52"/>
        <v/>
      </c>
      <c r="X1677" s="40" t="str">
        <f t="shared" si="53"/>
        <v/>
      </c>
      <c r="Y1677" s="40" t="str">
        <f>TEXT(Table1[[#This Row],[YEAR]],"0000")&amp;"-"&amp;Table1[[#This Row],[MONTH]]</f>
        <v>-</v>
      </c>
    </row>
    <row r="1678" spans="1:25" ht="15" customHeight="1" x14ac:dyDescent="0.35">
      <c r="A1678" s="24"/>
      <c r="B1678" s="38"/>
      <c r="C1678" s="38"/>
      <c r="D1678" s="38"/>
      <c r="E1678" s="37"/>
      <c r="F1678" s="38"/>
      <c r="G1678" s="198"/>
      <c r="H1678" s="198"/>
      <c r="I1678" s="39"/>
      <c r="J1678" s="38"/>
      <c r="K1678" s="198"/>
      <c r="L1678" s="38"/>
      <c r="M1678" s="38"/>
      <c r="N1678" s="38"/>
      <c r="O1678" s="38"/>
      <c r="P1678" s="40" t="str" cm="1">
        <f t="array" ref="P1678">IF(N1678="","",IFERROR(_xlfn.XLOOKUP(F1678&amp;"|"&amp;J1678&amp;"|"&amp;O1678,PRICES!$C$2:$C$659&amp;"|"&amp;PRICES!$B$2:$B$659&amp;"|"&amp;PRICES!$D$2:$D$659,PRICES!$E$2:$E$659),"Not Found"))</f>
        <v/>
      </c>
      <c r="Q1678" s="100" t="str">
        <f>IF(N1678=0,"",SUMIFS(PRICES!$G$2:$G$658,PRICES!$B$2:$B$658,'MAIN TABLE-1 AUTOMATED'!J1678,PRICES!$C$2:$C$658,'MAIN TABLE-1 AUTOMATED'!F1678,PRICES!$D$2:$D$658,'MAIN TABLE-1 AUTOMATED'!O1678))</f>
        <v/>
      </c>
      <c r="R1678" s="41" t="str">
        <f>IF(Table1[[#This Row],[QUANTITY]]=0,"",Table1[[#This Row],[UNIT PRICE]]*Table1[[#This Row],[QUANTITY]])</f>
        <v/>
      </c>
      <c r="S1678" s="89"/>
      <c r="T1678" s="38"/>
      <c r="U1678" s="43"/>
      <c r="V1678" s="42" t="str">
        <f>IF(Table1[[#This Row],[DATE]]=0,"",YEAR(E1678))</f>
        <v/>
      </c>
      <c r="W1678" s="40" t="str">
        <f t="shared" si="52"/>
        <v/>
      </c>
      <c r="X1678" s="40" t="str">
        <f t="shared" si="53"/>
        <v/>
      </c>
      <c r="Y1678" s="40" t="str">
        <f>TEXT(Table1[[#This Row],[YEAR]],"0000")&amp;"-"&amp;Table1[[#This Row],[MONTH]]</f>
        <v>-</v>
      </c>
    </row>
    <row r="1679" spans="1:25" ht="15" customHeight="1" x14ac:dyDescent="0.35">
      <c r="A1679" s="24"/>
      <c r="B1679" s="38"/>
      <c r="C1679" s="38"/>
      <c r="D1679" s="38"/>
      <c r="E1679" s="37"/>
      <c r="F1679" s="38"/>
      <c r="G1679" s="198"/>
      <c r="H1679" s="198"/>
      <c r="I1679" s="39"/>
      <c r="J1679" s="38"/>
      <c r="K1679" s="198"/>
      <c r="L1679" s="38"/>
      <c r="M1679" s="38"/>
      <c r="N1679" s="38"/>
      <c r="O1679" s="38"/>
      <c r="P1679" s="40" t="str" cm="1">
        <f t="array" ref="P1679">IF(N1679="","",IFERROR(_xlfn.XLOOKUP(F1679&amp;"|"&amp;J1679&amp;"|"&amp;O1679,PRICES!$C$2:$C$659&amp;"|"&amp;PRICES!$B$2:$B$659&amp;"|"&amp;PRICES!$D$2:$D$659,PRICES!$E$2:$E$659),"Not Found"))</f>
        <v/>
      </c>
      <c r="Q1679" s="100" t="str">
        <f>IF(N1679=0,"",SUMIFS(PRICES!$G$2:$G$658,PRICES!$B$2:$B$658,'MAIN TABLE-1 AUTOMATED'!J1679,PRICES!$C$2:$C$658,'MAIN TABLE-1 AUTOMATED'!F1679,PRICES!$D$2:$D$658,'MAIN TABLE-1 AUTOMATED'!O1679))</f>
        <v/>
      </c>
      <c r="R1679" s="41" t="str">
        <f>IF(Table1[[#This Row],[QUANTITY]]=0,"",Table1[[#This Row],[UNIT PRICE]]*Table1[[#This Row],[QUANTITY]])</f>
        <v/>
      </c>
      <c r="S1679" s="89"/>
      <c r="T1679" s="38"/>
      <c r="U1679" s="43"/>
      <c r="V1679" s="42" t="str">
        <f>IF(Table1[[#This Row],[DATE]]=0,"",YEAR(E1679))</f>
        <v/>
      </c>
      <c r="W1679" s="40" t="str">
        <f t="shared" si="52"/>
        <v/>
      </c>
      <c r="X1679" s="40" t="str">
        <f t="shared" si="53"/>
        <v/>
      </c>
      <c r="Y1679" s="40" t="str">
        <f>TEXT(Table1[[#This Row],[YEAR]],"0000")&amp;"-"&amp;Table1[[#This Row],[MONTH]]</f>
        <v>-</v>
      </c>
    </row>
    <row r="1680" spans="1:25" ht="15" customHeight="1" x14ac:dyDescent="0.35">
      <c r="A1680" s="24"/>
      <c r="B1680" s="38"/>
      <c r="C1680" s="38"/>
      <c r="D1680" s="38"/>
      <c r="E1680" s="37"/>
      <c r="F1680" s="38"/>
      <c r="G1680" s="198"/>
      <c r="H1680" s="198"/>
      <c r="I1680" s="39"/>
      <c r="J1680" s="38"/>
      <c r="K1680" s="198"/>
      <c r="L1680" s="38"/>
      <c r="M1680" s="38"/>
      <c r="N1680" s="38"/>
      <c r="O1680" s="38"/>
      <c r="P1680" s="40" t="str" cm="1">
        <f t="array" ref="P1680">IF(N1680="","",IFERROR(_xlfn.XLOOKUP(F1680&amp;"|"&amp;J1680&amp;"|"&amp;O1680,PRICES!$C$2:$C$659&amp;"|"&amp;PRICES!$B$2:$B$659&amp;"|"&amp;PRICES!$D$2:$D$659,PRICES!$E$2:$E$659),"Not Found"))</f>
        <v/>
      </c>
      <c r="Q1680" s="100" t="str">
        <f>IF(N1680=0,"",SUMIFS(PRICES!$G$2:$G$658,PRICES!$B$2:$B$658,'MAIN TABLE-1 AUTOMATED'!J1680,PRICES!$C$2:$C$658,'MAIN TABLE-1 AUTOMATED'!F1680,PRICES!$D$2:$D$658,'MAIN TABLE-1 AUTOMATED'!O1680))</f>
        <v/>
      </c>
      <c r="R1680" s="41" t="str">
        <f>IF(Table1[[#This Row],[QUANTITY]]=0,"",Table1[[#This Row],[UNIT PRICE]]*Table1[[#This Row],[QUANTITY]])</f>
        <v/>
      </c>
      <c r="S1680" s="89"/>
      <c r="T1680" s="38"/>
      <c r="U1680" s="43"/>
      <c r="V1680" s="42" t="str">
        <f>IF(Table1[[#This Row],[DATE]]=0,"",YEAR(E1680))</f>
        <v/>
      </c>
      <c r="W1680" s="40" t="str">
        <f t="shared" si="52"/>
        <v/>
      </c>
      <c r="X1680" s="40" t="str">
        <f t="shared" si="53"/>
        <v/>
      </c>
      <c r="Y1680" s="40" t="str">
        <f>TEXT(Table1[[#This Row],[YEAR]],"0000")&amp;"-"&amp;Table1[[#This Row],[MONTH]]</f>
        <v>-</v>
      </c>
    </row>
    <row r="1681" spans="1:25" ht="15" customHeight="1" x14ac:dyDescent="0.35">
      <c r="A1681" s="24"/>
      <c r="B1681" s="38"/>
      <c r="C1681" s="38"/>
      <c r="D1681" s="38"/>
      <c r="E1681" s="37"/>
      <c r="F1681" s="38"/>
      <c r="G1681" s="198"/>
      <c r="H1681" s="198"/>
      <c r="I1681" s="39"/>
      <c r="J1681" s="38"/>
      <c r="K1681" s="198"/>
      <c r="L1681" s="38"/>
      <c r="M1681" s="38"/>
      <c r="N1681" s="38"/>
      <c r="O1681" s="38"/>
      <c r="P1681" s="40" t="str" cm="1">
        <f t="array" ref="P1681">IF(N1681="","",IFERROR(_xlfn.XLOOKUP(F1681&amp;"|"&amp;J1681&amp;"|"&amp;O1681,PRICES!$C$2:$C$659&amp;"|"&amp;PRICES!$B$2:$B$659&amp;"|"&amp;PRICES!$D$2:$D$659,PRICES!$E$2:$E$659),"Not Found"))</f>
        <v/>
      </c>
      <c r="Q1681" s="100" t="str">
        <f>IF(N1681=0,"",SUMIFS(PRICES!$G$2:$G$658,PRICES!$B$2:$B$658,'MAIN TABLE-1 AUTOMATED'!J1681,PRICES!$C$2:$C$658,'MAIN TABLE-1 AUTOMATED'!F1681,PRICES!$D$2:$D$658,'MAIN TABLE-1 AUTOMATED'!O1681))</f>
        <v/>
      </c>
      <c r="R1681" s="41" t="str">
        <f>IF(Table1[[#This Row],[QUANTITY]]=0,"",Table1[[#This Row],[UNIT PRICE]]*Table1[[#This Row],[QUANTITY]])</f>
        <v/>
      </c>
      <c r="S1681" s="89"/>
      <c r="T1681" s="38"/>
      <c r="U1681" s="43"/>
      <c r="V1681" s="42" t="str">
        <f>IF(Table1[[#This Row],[DATE]]=0,"",YEAR(E1681))</f>
        <v/>
      </c>
      <c r="W1681" s="40" t="str">
        <f t="shared" si="52"/>
        <v/>
      </c>
      <c r="X1681" s="40" t="str">
        <f t="shared" si="53"/>
        <v/>
      </c>
      <c r="Y1681" s="40" t="str">
        <f>TEXT(Table1[[#This Row],[YEAR]],"0000")&amp;"-"&amp;Table1[[#This Row],[MONTH]]</f>
        <v>-</v>
      </c>
    </row>
    <row r="1682" spans="1:25" ht="15" customHeight="1" x14ac:dyDescent="0.35">
      <c r="A1682" s="24"/>
      <c r="B1682" s="38"/>
      <c r="C1682" s="38"/>
      <c r="D1682" s="38"/>
      <c r="E1682" s="37"/>
      <c r="F1682" s="38"/>
      <c r="G1682" s="198"/>
      <c r="H1682" s="198"/>
      <c r="I1682" s="39"/>
      <c r="J1682" s="38"/>
      <c r="K1682" s="198"/>
      <c r="L1682" s="38"/>
      <c r="M1682" s="38"/>
      <c r="N1682" s="38"/>
      <c r="O1682" s="38"/>
      <c r="P1682" s="40" t="str" cm="1">
        <f t="array" ref="P1682">IF(N1682="","",IFERROR(_xlfn.XLOOKUP(F1682&amp;"|"&amp;J1682&amp;"|"&amp;O1682,PRICES!$C$2:$C$659&amp;"|"&amp;PRICES!$B$2:$B$659&amp;"|"&amp;PRICES!$D$2:$D$659,PRICES!$E$2:$E$659),"Not Found"))</f>
        <v/>
      </c>
      <c r="Q1682" s="100" t="str">
        <f>IF(N1682=0,"",SUMIFS(PRICES!$G$2:$G$658,PRICES!$B$2:$B$658,'MAIN TABLE-1 AUTOMATED'!J1682,PRICES!$C$2:$C$658,'MAIN TABLE-1 AUTOMATED'!F1682,PRICES!$D$2:$D$658,'MAIN TABLE-1 AUTOMATED'!O1682))</f>
        <v/>
      </c>
      <c r="R1682" s="41" t="str">
        <f>IF(Table1[[#This Row],[QUANTITY]]=0,"",Table1[[#This Row],[UNIT PRICE]]*Table1[[#This Row],[QUANTITY]])</f>
        <v/>
      </c>
      <c r="S1682" s="89"/>
      <c r="T1682" s="38"/>
      <c r="U1682" s="43"/>
      <c r="V1682" s="42" t="str">
        <f>IF(Table1[[#This Row],[DATE]]=0,"",YEAR(E1682))</f>
        <v/>
      </c>
      <c r="W1682" s="40" t="str">
        <f t="shared" si="52"/>
        <v/>
      </c>
      <c r="X1682" s="40" t="str">
        <f t="shared" si="53"/>
        <v/>
      </c>
      <c r="Y1682" s="40" t="str">
        <f>TEXT(Table1[[#This Row],[YEAR]],"0000")&amp;"-"&amp;Table1[[#This Row],[MONTH]]</f>
        <v>-</v>
      </c>
    </row>
    <row r="1683" spans="1:25" ht="15" customHeight="1" x14ac:dyDescent="0.35">
      <c r="A1683" s="24"/>
      <c r="B1683" s="38"/>
      <c r="C1683" s="38"/>
      <c r="D1683" s="38"/>
      <c r="E1683" s="37"/>
      <c r="F1683" s="38"/>
      <c r="G1683" s="198"/>
      <c r="H1683" s="198"/>
      <c r="I1683" s="39"/>
      <c r="J1683" s="38"/>
      <c r="K1683" s="198"/>
      <c r="L1683" s="38"/>
      <c r="M1683" s="38"/>
      <c r="N1683" s="38"/>
      <c r="O1683" s="38"/>
      <c r="P1683" s="40" t="str" cm="1">
        <f t="array" ref="P1683">IF(N1683="","",IFERROR(_xlfn.XLOOKUP(F1683&amp;"|"&amp;J1683&amp;"|"&amp;O1683,PRICES!$C$2:$C$659&amp;"|"&amp;PRICES!$B$2:$B$659&amp;"|"&amp;PRICES!$D$2:$D$659,PRICES!$E$2:$E$659),"Not Found"))</f>
        <v/>
      </c>
      <c r="Q1683" s="100" t="str">
        <f>IF(N1683=0,"",SUMIFS(PRICES!$G$2:$G$658,PRICES!$B$2:$B$658,'MAIN TABLE-1 AUTOMATED'!J1683,PRICES!$C$2:$C$658,'MAIN TABLE-1 AUTOMATED'!F1683,PRICES!$D$2:$D$658,'MAIN TABLE-1 AUTOMATED'!O1683))</f>
        <v/>
      </c>
      <c r="R1683" s="41" t="str">
        <f>IF(Table1[[#This Row],[QUANTITY]]=0,"",Table1[[#This Row],[UNIT PRICE]]*Table1[[#This Row],[QUANTITY]])</f>
        <v/>
      </c>
      <c r="S1683" s="89"/>
      <c r="T1683" s="38"/>
      <c r="U1683" s="43"/>
      <c r="V1683" s="42" t="str">
        <f>IF(Table1[[#This Row],[DATE]]=0,"",YEAR(E1683))</f>
        <v/>
      </c>
      <c r="W1683" s="40" t="str">
        <f t="shared" si="52"/>
        <v/>
      </c>
      <c r="X1683" s="40" t="str">
        <f t="shared" si="53"/>
        <v/>
      </c>
      <c r="Y1683" s="40" t="str">
        <f>TEXT(Table1[[#This Row],[YEAR]],"0000")&amp;"-"&amp;Table1[[#This Row],[MONTH]]</f>
        <v>-</v>
      </c>
    </row>
    <row r="1684" spans="1:25" ht="15" customHeight="1" x14ac:dyDescent="0.35">
      <c r="A1684" s="24"/>
      <c r="B1684" s="38"/>
      <c r="C1684" s="38"/>
      <c r="D1684" s="38"/>
      <c r="E1684" s="37"/>
      <c r="F1684" s="38"/>
      <c r="G1684" s="198"/>
      <c r="H1684" s="198"/>
      <c r="I1684" s="39"/>
      <c r="J1684" s="38"/>
      <c r="K1684" s="198"/>
      <c r="L1684" s="38"/>
      <c r="M1684" s="38"/>
      <c r="N1684" s="38"/>
      <c r="O1684" s="38"/>
      <c r="P1684" s="40" t="str" cm="1">
        <f t="array" ref="P1684">IF(N1684="","",IFERROR(_xlfn.XLOOKUP(F1684&amp;"|"&amp;J1684&amp;"|"&amp;O1684,PRICES!$C$2:$C$659&amp;"|"&amp;PRICES!$B$2:$B$659&amp;"|"&amp;PRICES!$D$2:$D$659,PRICES!$E$2:$E$659),"Not Found"))</f>
        <v/>
      </c>
      <c r="Q1684" s="100" t="str">
        <f>IF(N1684=0,"",SUMIFS(PRICES!$G$2:$G$658,PRICES!$B$2:$B$658,'MAIN TABLE-1 AUTOMATED'!J1684,PRICES!$C$2:$C$658,'MAIN TABLE-1 AUTOMATED'!F1684,PRICES!$D$2:$D$658,'MAIN TABLE-1 AUTOMATED'!O1684))</f>
        <v/>
      </c>
      <c r="R1684" s="41" t="str">
        <f>IF(Table1[[#This Row],[QUANTITY]]=0,"",Table1[[#This Row],[UNIT PRICE]]*Table1[[#This Row],[QUANTITY]])</f>
        <v/>
      </c>
      <c r="S1684" s="89"/>
      <c r="T1684" s="38"/>
      <c r="U1684" s="43"/>
      <c r="V1684" s="42" t="str">
        <f>IF(Table1[[#This Row],[DATE]]=0,"",YEAR(E1684))</f>
        <v/>
      </c>
      <c r="W1684" s="40" t="str">
        <f t="shared" si="52"/>
        <v/>
      </c>
      <c r="X1684" s="40" t="str">
        <f t="shared" si="53"/>
        <v/>
      </c>
      <c r="Y1684" s="40" t="str">
        <f>TEXT(Table1[[#This Row],[YEAR]],"0000")&amp;"-"&amp;Table1[[#This Row],[MONTH]]</f>
        <v>-</v>
      </c>
    </row>
    <row r="1685" spans="1:25" ht="15" customHeight="1" x14ac:dyDescent="0.35">
      <c r="A1685" s="24"/>
      <c r="B1685" s="38"/>
      <c r="C1685" s="38"/>
      <c r="D1685" s="38"/>
      <c r="E1685" s="37"/>
      <c r="F1685" s="38"/>
      <c r="G1685" s="198"/>
      <c r="H1685" s="198"/>
      <c r="I1685" s="39"/>
      <c r="J1685" s="38"/>
      <c r="K1685" s="198"/>
      <c r="L1685" s="38"/>
      <c r="M1685" s="38"/>
      <c r="N1685" s="38"/>
      <c r="O1685" s="38"/>
      <c r="P1685" s="40" t="str" cm="1">
        <f t="array" ref="P1685">IF(N1685="","",IFERROR(_xlfn.XLOOKUP(F1685&amp;"|"&amp;J1685&amp;"|"&amp;O1685,PRICES!$C$2:$C$659&amp;"|"&amp;PRICES!$B$2:$B$659&amp;"|"&amp;PRICES!$D$2:$D$659,PRICES!$E$2:$E$659),"Not Found"))</f>
        <v/>
      </c>
      <c r="Q1685" s="100" t="str">
        <f>IF(N1685=0,"",SUMIFS(PRICES!$G$2:$G$658,PRICES!$B$2:$B$658,'MAIN TABLE-1 AUTOMATED'!J1685,PRICES!$C$2:$C$658,'MAIN TABLE-1 AUTOMATED'!F1685,PRICES!$D$2:$D$658,'MAIN TABLE-1 AUTOMATED'!O1685))</f>
        <v/>
      </c>
      <c r="R1685" s="41" t="str">
        <f>IF(Table1[[#This Row],[QUANTITY]]=0,"",Table1[[#This Row],[UNIT PRICE]]*Table1[[#This Row],[QUANTITY]])</f>
        <v/>
      </c>
      <c r="S1685" s="89"/>
      <c r="T1685" s="38"/>
      <c r="U1685" s="43"/>
      <c r="V1685" s="42" t="str">
        <f>IF(Table1[[#This Row],[DATE]]=0,"",YEAR(E1685))</f>
        <v/>
      </c>
      <c r="W1685" s="40" t="str">
        <f t="shared" si="52"/>
        <v/>
      </c>
      <c r="X1685" s="40" t="str">
        <f t="shared" si="53"/>
        <v/>
      </c>
      <c r="Y1685" s="40" t="str">
        <f>TEXT(Table1[[#This Row],[YEAR]],"0000")&amp;"-"&amp;Table1[[#This Row],[MONTH]]</f>
        <v>-</v>
      </c>
    </row>
    <row r="1686" spans="1:25" ht="15" customHeight="1" x14ac:dyDescent="0.35">
      <c r="A1686" s="24"/>
      <c r="B1686" s="38"/>
      <c r="C1686" s="38"/>
      <c r="D1686" s="38"/>
      <c r="E1686" s="37"/>
      <c r="F1686" s="38"/>
      <c r="G1686" s="198"/>
      <c r="H1686" s="198"/>
      <c r="I1686" s="39"/>
      <c r="J1686" s="38"/>
      <c r="K1686" s="198"/>
      <c r="L1686" s="38"/>
      <c r="M1686" s="38"/>
      <c r="N1686" s="38"/>
      <c r="O1686" s="38"/>
      <c r="P1686" s="40" t="str" cm="1">
        <f t="array" ref="P1686">IF(N1686="","",IFERROR(_xlfn.XLOOKUP(F1686&amp;"|"&amp;J1686&amp;"|"&amp;O1686,PRICES!$C$2:$C$659&amp;"|"&amp;PRICES!$B$2:$B$659&amp;"|"&amp;PRICES!$D$2:$D$659,PRICES!$E$2:$E$659),"Not Found"))</f>
        <v/>
      </c>
      <c r="Q1686" s="100" t="str">
        <f>IF(N1686=0,"",SUMIFS(PRICES!$G$2:$G$658,PRICES!$B$2:$B$658,'MAIN TABLE-1 AUTOMATED'!J1686,PRICES!$C$2:$C$658,'MAIN TABLE-1 AUTOMATED'!F1686,PRICES!$D$2:$D$658,'MAIN TABLE-1 AUTOMATED'!O1686))</f>
        <v/>
      </c>
      <c r="R1686" s="41" t="str">
        <f>IF(Table1[[#This Row],[QUANTITY]]=0,"",Table1[[#This Row],[UNIT PRICE]]*Table1[[#This Row],[QUANTITY]])</f>
        <v/>
      </c>
      <c r="S1686" s="89"/>
      <c r="T1686" s="38"/>
      <c r="U1686" s="43"/>
      <c r="V1686" s="42" t="str">
        <f>IF(Table1[[#This Row],[DATE]]=0,"",YEAR(E1686))</f>
        <v/>
      </c>
      <c r="W1686" s="40" t="str">
        <f t="shared" si="52"/>
        <v/>
      </c>
      <c r="X1686" s="40" t="str">
        <f t="shared" si="53"/>
        <v/>
      </c>
      <c r="Y1686" s="40" t="str">
        <f>TEXT(Table1[[#This Row],[YEAR]],"0000")&amp;"-"&amp;Table1[[#This Row],[MONTH]]</f>
        <v>-</v>
      </c>
    </row>
    <row r="1687" spans="1:25" ht="15" customHeight="1" x14ac:dyDescent="0.35">
      <c r="A1687" s="24"/>
      <c r="B1687" s="38"/>
      <c r="C1687" s="38"/>
      <c r="D1687" s="38"/>
      <c r="E1687" s="37"/>
      <c r="F1687" s="38"/>
      <c r="G1687" s="198"/>
      <c r="H1687" s="198"/>
      <c r="I1687" s="39"/>
      <c r="J1687" s="38"/>
      <c r="K1687" s="198"/>
      <c r="L1687" s="38"/>
      <c r="M1687" s="38"/>
      <c r="N1687" s="38"/>
      <c r="O1687" s="38"/>
      <c r="P1687" s="40" t="str" cm="1">
        <f t="array" ref="P1687">IF(N1687="","",IFERROR(_xlfn.XLOOKUP(F1687&amp;"|"&amp;J1687&amp;"|"&amp;O1687,PRICES!$C$2:$C$659&amp;"|"&amp;PRICES!$B$2:$B$659&amp;"|"&amp;PRICES!$D$2:$D$659,PRICES!$E$2:$E$659),"Not Found"))</f>
        <v/>
      </c>
      <c r="Q1687" s="100" t="str">
        <f>IF(N1687=0,"",SUMIFS(PRICES!$G$2:$G$658,PRICES!$B$2:$B$658,'MAIN TABLE-1 AUTOMATED'!J1687,PRICES!$C$2:$C$658,'MAIN TABLE-1 AUTOMATED'!F1687,PRICES!$D$2:$D$658,'MAIN TABLE-1 AUTOMATED'!O1687))</f>
        <v/>
      </c>
      <c r="R1687" s="41" t="str">
        <f>IF(Table1[[#This Row],[QUANTITY]]=0,"",Table1[[#This Row],[UNIT PRICE]]*Table1[[#This Row],[QUANTITY]])</f>
        <v/>
      </c>
      <c r="S1687" s="89"/>
      <c r="T1687" s="38"/>
      <c r="U1687" s="43"/>
      <c r="V1687" s="42" t="str">
        <f>IF(Table1[[#This Row],[DATE]]=0,"",YEAR(E1687))</f>
        <v/>
      </c>
      <c r="W1687" s="40" t="str">
        <f t="shared" si="52"/>
        <v/>
      </c>
      <c r="X1687" s="40" t="str">
        <f t="shared" si="53"/>
        <v/>
      </c>
      <c r="Y1687" s="40" t="str">
        <f>TEXT(Table1[[#This Row],[YEAR]],"0000")&amp;"-"&amp;Table1[[#This Row],[MONTH]]</f>
        <v>-</v>
      </c>
    </row>
    <row r="1688" spans="1:25" ht="15" customHeight="1" x14ac:dyDescent="0.35">
      <c r="A1688" s="24"/>
      <c r="B1688" s="38"/>
      <c r="C1688" s="38"/>
      <c r="D1688" s="38"/>
      <c r="E1688" s="37"/>
      <c r="F1688" s="38"/>
      <c r="G1688" s="198"/>
      <c r="H1688" s="198"/>
      <c r="I1688" s="39"/>
      <c r="J1688" s="38"/>
      <c r="K1688" s="198"/>
      <c r="L1688" s="38"/>
      <c r="M1688" s="38"/>
      <c r="N1688" s="38"/>
      <c r="O1688" s="38"/>
      <c r="P1688" s="40" t="str" cm="1">
        <f t="array" ref="P1688">IF(N1688="","",IFERROR(_xlfn.XLOOKUP(F1688&amp;"|"&amp;J1688&amp;"|"&amp;O1688,PRICES!$C$2:$C$659&amp;"|"&amp;PRICES!$B$2:$B$659&amp;"|"&amp;PRICES!$D$2:$D$659,PRICES!$E$2:$E$659),"Not Found"))</f>
        <v/>
      </c>
      <c r="Q1688" s="100" t="str">
        <f>IF(N1688=0,"",SUMIFS(PRICES!$G$2:$G$658,PRICES!$B$2:$B$658,'MAIN TABLE-1 AUTOMATED'!J1688,PRICES!$C$2:$C$658,'MAIN TABLE-1 AUTOMATED'!F1688,PRICES!$D$2:$D$658,'MAIN TABLE-1 AUTOMATED'!O1688))</f>
        <v/>
      </c>
      <c r="R1688" s="41" t="str">
        <f>IF(Table1[[#This Row],[QUANTITY]]=0,"",Table1[[#This Row],[UNIT PRICE]]*Table1[[#This Row],[QUANTITY]])</f>
        <v/>
      </c>
      <c r="S1688" s="89"/>
      <c r="T1688" s="38"/>
      <c r="U1688" s="43"/>
      <c r="V1688" s="42" t="str">
        <f>IF(Table1[[#This Row],[DATE]]=0,"",YEAR(E1688))</f>
        <v/>
      </c>
      <c r="W1688" s="40" t="str">
        <f t="shared" si="52"/>
        <v/>
      </c>
      <c r="X1688" s="40" t="str">
        <f t="shared" si="53"/>
        <v/>
      </c>
      <c r="Y1688" s="40" t="str">
        <f>TEXT(Table1[[#This Row],[YEAR]],"0000")&amp;"-"&amp;Table1[[#This Row],[MONTH]]</f>
        <v>-</v>
      </c>
    </row>
    <row r="1689" spans="1:25" ht="15" customHeight="1" x14ac:dyDescent="0.35">
      <c r="A1689" s="24"/>
      <c r="B1689" s="38"/>
      <c r="C1689" s="38"/>
      <c r="D1689" s="38"/>
      <c r="E1689" s="37"/>
      <c r="F1689" s="38"/>
      <c r="G1689" s="198"/>
      <c r="H1689" s="198"/>
      <c r="I1689" s="38"/>
      <c r="J1689" s="38"/>
      <c r="K1689" s="198"/>
      <c r="L1689" s="38"/>
      <c r="M1689" s="38"/>
      <c r="N1689" s="38"/>
      <c r="O1689" s="38"/>
      <c r="P1689" s="40" t="str" cm="1">
        <f t="array" ref="P1689">IF(N1689="","",IFERROR(_xlfn.XLOOKUP(F1689&amp;"|"&amp;J1689&amp;"|"&amp;O1689,PRICES!$C$2:$C$659&amp;"|"&amp;PRICES!$B$2:$B$659&amp;"|"&amp;PRICES!$D$2:$D$659,PRICES!$E$2:$E$659),"Not Found"))</f>
        <v/>
      </c>
      <c r="Q1689" s="100" t="str">
        <f>IF(N1689=0,"",SUMIFS(PRICES!$G$2:$G$658,PRICES!$B$2:$B$658,'MAIN TABLE-1 AUTOMATED'!J1689,PRICES!$C$2:$C$658,'MAIN TABLE-1 AUTOMATED'!F1689,PRICES!$D$2:$D$658,'MAIN TABLE-1 AUTOMATED'!O1689))</f>
        <v/>
      </c>
      <c r="R1689" s="41" t="str">
        <f>IF(Table1[[#This Row],[QUANTITY]]=0,"",Table1[[#This Row],[UNIT PRICE]]*Table1[[#This Row],[QUANTITY]])</f>
        <v/>
      </c>
      <c r="S1689" s="89"/>
      <c r="T1689" s="38"/>
      <c r="U1689" s="43"/>
      <c r="V1689" s="42" t="str">
        <f>IF(Table1[[#This Row],[DATE]]=0,"",YEAR(E1689))</f>
        <v/>
      </c>
      <c r="W1689" s="40" t="str">
        <f t="shared" si="52"/>
        <v/>
      </c>
      <c r="X1689" s="40" t="str">
        <f t="shared" si="53"/>
        <v/>
      </c>
      <c r="Y1689" s="40" t="str">
        <f>TEXT(Table1[[#This Row],[YEAR]],"0000")&amp;"-"&amp;Table1[[#This Row],[MONTH]]</f>
        <v>-</v>
      </c>
    </row>
    <row r="1690" spans="1:25" ht="15" customHeight="1" x14ac:dyDescent="0.35">
      <c r="A1690" s="24"/>
      <c r="B1690" s="38"/>
      <c r="C1690" s="38"/>
      <c r="D1690" s="38"/>
      <c r="E1690" s="37"/>
      <c r="F1690" s="38"/>
      <c r="G1690" s="233"/>
      <c r="H1690" s="233"/>
      <c r="I1690" s="39"/>
      <c r="J1690" s="38"/>
      <c r="K1690" s="198"/>
      <c r="L1690" s="38"/>
      <c r="M1690" s="38"/>
      <c r="N1690" s="38"/>
      <c r="O1690" s="38"/>
      <c r="P1690" s="40" t="str" cm="1">
        <f t="array" ref="P1690">IF(N1690="","",IFERROR(_xlfn.XLOOKUP(F1690&amp;"|"&amp;J1690&amp;"|"&amp;O1690,PRICES!$C$2:$C$659&amp;"|"&amp;PRICES!$B$2:$B$659&amp;"|"&amp;PRICES!$D$2:$D$659,PRICES!$E$2:$E$659),"Not Found"))</f>
        <v/>
      </c>
      <c r="Q1690" s="100" t="str">
        <f>IF(N1690=0,"",SUMIFS(PRICES!$G$2:$G$658,PRICES!$B$2:$B$658,'MAIN TABLE-1 AUTOMATED'!J1690,PRICES!$C$2:$C$658,'MAIN TABLE-1 AUTOMATED'!F1690,PRICES!$D$2:$D$658,'MAIN TABLE-1 AUTOMATED'!O1690))</f>
        <v/>
      </c>
      <c r="R1690" s="41" t="str">
        <f>IF(Table1[[#This Row],[QUANTITY]]=0,"",Table1[[#This Row],[UNIT PRICE]]*Table1[[#This Row],[QUANTITY]])</f>
        <v/>
      </c>
      <c r="S1690" s="89"/>
      <c r="T1690" s="38"/>
      <c r="U1690" s="43"/>
      <c r="V1690" s="42" t="str">
        <f>IF(Table1[[#This Row],[DATE]]=0,"",YEAR(E1690))</f>
        <v/>
      </c>
      <c r="W1690" s="40" t="str">
        <f t="shared" si="52"/>
        <v/>
      </c>
      <c r="X1690" s="40" t="str">
        <f t="shared" si="53"/>
        <v/>
      </c>
      <c r="Y1690" s="40" t="str">
        <f>TEXT(Table1[[#This Row],[YEAR]],"0000")&amp;"-"&amp;Table1[[#This Row],[MONTH]]</f>
        <v>-</v>
      </c>
    </row>
    <row r="1691" spans="1:25" ht="15" customHeight="1" x14ac:dyDescent="0.35">
      <c r="A1691" s="24"/>
      <c r="B1691" s="38"/>
      <c r="C1691" s="38"/>
      <c r="D1691" s="38"/>
      <c r="E1691" s="37"/>
      <c r="F1691" s="38"/>
      <c r="G1691" s="198"/>
      <c r="H1691" s="198"/>
      <c r="I1691" s="39"/>
      <c r="J1691" s="38"/>
      <c r="K1691" s="198"/>
      <c r="L1691" s="38"/>
      <c r="M1691" s="38"/>
      <c r="N1691" s="38"/>
      <c r="O1691" s="38"/>
      <c r="P1691" s="40" t="str" cm="1">
        <f t="array" ref="P1691">IF(N1691="","",IFERROR(_xlfn.XLOOKUP(F1691&amp;"|"&amp;J1691&amp;"|"&amp;O1691,PRICES!$C$2:$C$659&amp;"|"&amp;PRICES!$B$2:$B$659&amp;"|"&amp;PRICES!$D$2:$D$659,PRICES!$E$2:$E$659),"Not Found"))</f>
        <v/>
      </c>
      <c r="Q1691" s="100" t="str">
        <f>IF(N1691=0,"",SUMIFS(PRICES!$G$2:$G$658,PRICES!$B$2:$B$658,'MAIN TABLE-1 AUTOMATED'!J1691,PRICES!$C$2:$C$658,'MAIN TABLE-1 AUTOMATED'!F1691,PRICES!$D$2:$D$658,'MAIN TABLE-1 AUTOMATED'!O1691))</f>
        <v/>
      </c>
      <c r="R1691" s="41" t="str">
        <f>IF(Table1[[#This Row],[QUANTITY]]=0,"",Table1[[#This Row],[UNIT PRICE]]*Table1[[#This Row],[QUANTITY]])</f>
        <v/>
      </c>
      <c r="S1691" s="89"/>
      <c r="T1691" s="38"/>
      <c r="U1691" s="43"/>
      <c r="V1691" s="42" t="str">
        <f>IF(Table1[[#This Row],[DATE]]=0,"",YEAR(E1691))</f>
        <v/>
      </c>
      <c r="W1691" s="40" t="str">
        <f t="shared" si="52"/>
        <v/>
      </c>
      <c r="X1691" s="40" t="str">
        <f t="shared" si="53"/>
        <v/>
      </c>
      <c r="Y1691" s="40" t="str">
        <f>TEXT(Table1[[#This Row],[YEAR]],"0000")&amp;"-"&amp;Table1[[#This Row],[MONTH]]</f>
        <v>-</v>
      </c>
    </row>
    <row r="1692" spans="1:25" ht="15" customHeight="1" x14ac:dyDescent="0.35">
      <c r="A1692" s="24"/>
      <c r="B1692" s="38"/>
      <c r="C1692" s="38"/>
      <c r="D1692" s="38"/>
      <c r="E1692" s="37"/>
      <c r="F1692" s="38"/>
      <c r="G1692" s="198"/>
      <c r="H1692" s="198"/>
      <c r="I1692" s="39"/>
      <c r="J1692" s="38"/>
      <c r="K1692" s="198"/>
      <c r="L1692" s="38"/>
      <c r="M1692" s="38"/>
      <c r="N1692" s="38"/>
      <c r="O1692" s="38"/>
      <c r="P1692" s="40" t="str" cm="1">
        <f t="array" ref="P1692">IF(N1692="","",IFERROR(_xlfn.XLOOKUP(F1692&amp;"|"&amp;J1692&amp;"|"&amp;O1692,PRICES!$C$2:$C$659&amp;"|"&amp;PRICES!$B$2:$B$659&amp;"|"&amp;PRICES!$D$2:$D$659,PRICES!$E$2:$E$659),"Not Found"))</f>
        <v/>
      </c>
      <c r="Q1692" s="100" t="str">
        <f>IF(N1692=0,"",SUMIFS(PRICES!$G$2:$G$658,PRICES!$B$2:$B$658,'MAIN TABLE-1 AUTOMATED'!J1692,PRICES!$C$2:$C$658,'MAIN TABLE-1 AUTOMATED'!F1692,PRICES!$D$2:$D$658,'MAIN TABLE-1 AUTOMATED'!O1692))</f>
        <v/>
      </c>
      <c r="R1692" s="41" t="str">
        <f>IF(Table1[[#This Row],[QUANTITY]]=0,"",Table1[[#This Row],[UNIT PRICE]]*Table1[[#This Row],[QUANTITY]])</f>
        <v/>
      </c>
      <c r="S1692" s="89"/>
      <c r="T1692" s="38"/>
      <c r="U1692" s="43"/>
      <c r="V1692" s="42" t="str">
        <f>IF(Table1[[#This Row],[DATE]]=0,"",YEAR(E1692))</f>
        <v/>
      </c>
      <c r="W1692" s="40" t="str">
        <f t="shared" si="52"/>
        <v/>
      </c>
      <c r="X1692" s="40" t="str">
        <f t="shared" si="53"/>
        <v/>
      </c>
      <c r="Y1692" s="40" t="str">
        <f>TEXT(Table1[[#This Row],[YEAR]],"0000")&amp;"-"&amp;Table1[[#This Row],[MONTH]]</f>
        <v>-</v>
      </c>
    </row>
    <row r="1693" spans="1:25" ht="15" customHeight="1" x14ac:dyDescent="0.35">
      <c r="A1693" s="24"/>
      <c r="B1693" s="38"/>
      <c r="C1693" s="38"/>
      <c r="D1693" s="38"/>
      <c r="E1693" s="37"/>
      <c r="F1693" s="38"/>
      <c r="G1693" s="198"/>
      <c r="H1693" s="198"/>
      <c r="I1693" s="39"/>
      <c r="J1693" s="38"/>
      <c r="K1693" s="198"/>
      <c r="L1693" s="38"/>
      <c r="M1693" s="38"/>
      <c r="N1693" s="38"/>
      <c r="O1693" s="38"/>
      <c r="P1693" s="40" t="str" cm="1">
        <f t="array" ref="P1693">IF(N1693="","",IFERROR(_xlfn.XLOOKUP(F1693&amp;"|"&amp;J1693&amp;"|"&amp;O1693,PRICES!$C$2:$C$659&amp;"|"&amp;PRICES!$B$2:$B$659&amp;"|"&amp;PRICES!$D$2:$D$659,PRICES!$E$2:$E$659),"Not Found"))</f>
        <v/>
      </c>
      <c r="Q1693" s="100" t="str">
        <f>IF(N1693=0,"",SUMIFS(PRICES!$G$2:$G$658,PRICES!$B$2:$B$658,'MAIN TABLE-1 AUTOMATED'!J1693,PRICES!$C$2:$C$658,'MAIN TABLE-1 AUTOMATED'!F1693,PRICES!$D$2:$D$658,'MAIN TABLE-1 AUTOMATED'!O1693))</f>
        <v/>
      </c>
      <c r="R1693" s="41" t="str">
        <f>IF(Table1[[#This Row],[QUANTITY]]=0,"",Table1[[#This Row],[UNIT PRICE]]*Table1[[#This Row],[QUANTITY]])</f>
        <v/>
      </c>
      <c r="S1693" s="89"/>
      <c r="T1693" s="38"/>
      <c r="U1693" s="43"/>
      <c r="V1693" s="42" t="str">
        <f>IF(Table1[[#This Row],[DATE]]=0,"",YEAR(E1693))</f>
        <v/>
      </c>
      <c r="W1693" s="40" t="str">
        <f t="shared" si="52"/>
        <v/>
      </c>
      <c r="X1693" s="40" t="str">
        <f t="shared" si="53"/>
        <v/>
      </c>
      <c r="Y1693" s="40" t="str">
        <f>TEXT(Table1[[#This Row],[YEAR]],"0000")&amp;"-"&amp;Table1[[#This Row],[MONTH]]</f>
        <v>-</v>
      </c>
    </row>
    <row r="1694" spans="1:25" ht="15" customHeight="1" x14ac:dyDescent="0.35">
      <c r="A1694" s="24"/>
      <c r="B1694" s="38"/>
      <c r="C1694" s="38"/>
      <c r="D1694" s="38"/>
      <c r="E1694" s="37"/>
      <c r="F1694" s="38"/>
      <c r="G1694" s="198"/>
      <c r="H1694" s="198"/>
      <c r="I1694" s="39"/>
      <c r="J1694" s="38"/>
      <c r="K1694" s="198"/>
      <c r="L1694" s="38"/>
      <c r="M1694" s="38"/>
      <c r="N1694" s="38"/>
      <c r="O1694" s="38"/>
      <c r="P1694" s="40" t="str" cm="1">
        <f t="array" ref="P1694">IF(N1694="","",IFERROR(_xlfn.XLOOKUP(F1694&amp;"|"&amp;J1694&amp;"|"&amp;O1694,PRICES!$C$2:$C$659&amp;"|"&amp;PRICES!$B$2:$B$659&amp;"|"&amp;PRICES!$D$2:$D$659,PRICES!$E$2:$E$659),"Not Found"))</f>
        <v/>
      </c>
      <c r="Q1694" s="100" t="str">
        <f>IF(N1694=0,"",SUMIFS(PRICES!$G$2:$G$658,PRICES!$B$2:$B$658,'MAIN TABLE-1 AUTOMATED'!J1694,PRICES!$C$2:$C$658,'MAIN TABLE-1 AUTOMATED'!F1694,PRICES!$D$2:$D$658,'MAIN TABLE-1 AUTOMATED'!O1694))</f>
        <v/>
      </c>
      <c r="R1694" s="41" t="str">
        <f>IF(Table1[[#This Row],[QUANTITY]]=0,"",Table1[[#This Row],[UNIT PRICE]]*Table1[[#This Row],[QUANTITY]])</f>
        <v/>
      </c>
      <c r="S1694" s="89"/>
      <c r="T1694" s="38"/>
      <c r="U1694" s="43"/>
      <c r="V1694" s="42" t="str">
        <f>IF(Table1[[#This Row],[DATE]]=0,"",YEAR(E1694))</f>
        <v/>
      </c>
      <c r="W1694" s="40" t="str">
        <f t="shared" si="52"/>
        <v/>
      </c>
      <c r="X1694" s="40" t="str">
        <f t="shared" si="53"/>
        <v/>
      </c>
      <c r="Y1694" s="40" t="str">
        <f>TEXT(Table1[[#This Row],[YEAR]],"0000")&amp;"-"&amp;Table1[[#This Row],[MONTH]]</f>
        <v>-</v>
      </c>
    </row>
    <row r="1695" spans="1:25" ht="15" customHeight="1" x14ac:dyDescent="0.35">
      <c r="A1695" s="24"/>
      <c r="B1695" s="38"/>
      <c r="C1695" s="38"/>
      <c r="D1695" s="38"/>
      <c r="E1695" s="37"/>
      <c r="F1695" s="38"/>
      <c r="G1695" s="198"/>
      <c r="H1695" s="198"/>
      <c r="I1695" s="39"/>
      <c r="J1695" s="38"/>
      <c r="K1695" s="198"/>
      <c r="L1695" s="38"/>
      <c r="M1695" s="38"/>
      <c r="N1695" s="38"/>
      <c r="O1695" s="38"/>
      <c r="P1695" s="40" t="str" cm="1">
        <f t="array" ref="P1695">IF(N1695="","",IFERROR(_xlfn.XLOOKUP(F1695&amp;"|"&amp;J1695&amp;"|"&amp;O1695,PRICES!$C$2:$C$659&amp;"|"&amp;PRICES!$B$2:$B$659&amp;"|"&amp;PRICES!$D$2:$D$659,PRICES!$E$2:$E$659),"Not Found"))</f>
        <v/>
      </c>
      <c r="Q1695" s="100" t="str">
        <f>IF(N1695=0,"",SUMIFS(PRICES!$G$2:$G$658,PRICES!$B$2:$B$658,'MAIN TABLE-1 AUTOMATED'!J1695,PRICES!$C$2:$C$658,'MAIN TABLE-1 AUTOMATED'!F1695,PRICES!$D$2:$D$658,'MAIN TABLE-1 AUTOMATED'!O1695))</f>
        <v/>
      </c>
      <c r="R1695" s="41" t="str">
        <f>IF(Table1[[#This Row],[QUANTITY]]=0,"",Table1[[#This Row],[UNIT PRICE]]*Table1[[#This Row],[QUANTITY]])</f>
        <v/>
      </c>
      <c r="S1695" s="89"/>
      <c r="T1695" s="38"/>
      <c r="U1695" s="43"/>
      <c r="V1695" s="42" t="str">
        <f>IF(Table1[[#This Row],[DATE]]=0,"",YEAR(E1695))</f>
        <v/>
      </c>
      <c r="W1695" s="40" t="str">
        <f t="shared" ref="W1695:W1758" si="54">IF(E1695=0,"",MONTH(E1695))</f>
        <v/>
      </c>
      <c r="X1695" s="40" t="str">
        <f t="shared" ref="X1695:X1758" si="55">IF(E1695=0,"",WEEKNUM(E1695))</f>
        <v/>
      </c>
      <c r="Y1695" s="40" t="str">
        <f>TEXT(Table1[[#This Row],[YEAR]],"0000")&amp;"-"&amp;Table1[[#This Row],[MONTH]]</f>
        <v>-</v>
      </c>
    </row>
    <row r="1696" spans="1:25" ht="15" customHeight="1" x14ac:dyDescent="0.35">
      <c r="A1696" s="24"/>
      <c r="B1696" s="38"/>
      <c r="C1696" s="38"/>
      <c r="D1696" s="38"/>
      <c r="E1696" s="37"/>
      <c r="F1696" s="38"/>
      <c r="G1696" s="198"/>
      <c r="H1696" s="198"/>
      <c r="I1696" s="39"/>
      <c r="J1696" s="38"/>
      <c r="K1696" s="198"/>
      <c r="L1696" s="38"/>
      <c r="M1696" s="38"/>
      <c r="N1696" s="38"/>
      <c r="O1696" s="38"/>
      <c r="P1696" s="40" t="str" cm="1">
        <f t="array" ref="P1696">IF(N1696="","",IFERROR(_xlfn.XLOOKUP(F1696&amp;"|"&amp;J1696&amp;"|"&amp;O1696,PRICES!$C$2:$C$659&amp;"|"&amp;PRICES!$B$2:$B$659&amp;"|"&amp;PRICES!$D$2:$D$659,PRICES!$E$2:$E$659),"Not Found"))</f>
        <v/>
      </c>
      <c r="Q1696" s="100" t="str">
        <f>IF(N1696=0,"",SUMIFS(PRICES!$G$2:$G$658,PRICES!$B$2:$B$658,'MAIN TABLE-1 AUTOMATED'!J1696,PRICES!$C$2:$C$658,'MAIN TABLE-1 AUTOMATED'!F1696,PRICES!$D$2:$D$658,'MAIN TABLE-1 AUTOMATED'!O1696))</f>
        <v/>
      </c>
      <c r="R1696" s="41" t="str">
        <f>IF(Table1[[#This Row],[QUANTITY]]=0,"",Table1[[#This Row],[UNIT PRICE]]*Table1[[#This Row],[QUANTITY]])</f>
        <v/>
      </c>
      <c r="S1696" s="89"/>
      <c r="T1696" s="38"/>
      <c r="U1696" s="43"/>
      <c r="V1696" s="42" t="str">
        <f>IF(Table1[[#This Row],[DATE]]=0,"",YEAR(E1696))</f>
        <v/>
      </c>
      <c r="W1696" s="40" t="str">
        <f t="shared" si="54"/>
        <v/>
      </c>
      <c r="X1696" s="40" t="str">
        <f t="shared" si="55"/>
        <v/>
      </c>
      <c r="Y1696" s="40" t="str">
        <f>TEXT(Table1[[#This Row],[YEAR]],"0000")&amp;"-"&amp;Table1[[#This Row],[MONTH]]</f>
        <v>-</v>
      </c>
    </row>
    <row r="1697" spans="1:25" ht="15" customHeight="1" x14ac:dyDescent="0.35">
      <c r="A1697" s="24"/>
      <c r="B1697" s="38"/>
      <c r="C1697" s="38"/>
      <c r="D1697" s="38"/>
      <c r="E1697" s="37"/>
      <c r="F1697" s="38"/>
      <c r="G1697" s="198"/>
      <c r="H1697" s="198"/>
      <c r="I1697" s="39"/>
      <c r="J1697" s="38"/>
      <c r="K1697" s="198"/>
      <c r="L1697" s="38"/>
      <c r="M1697" s="38"/>
      <c r="N1697" s="38"/>
      <c r="O1697" s="38"/>
      <c r="P1697" s="40" t="str" cm="1">
        <f t="array" ref="P1697">IF(N1697="","",IFERROR(_xlfn.XLOOKUP(F1697&amp;"|"&amp;J1697&amp;"|"&amp;O1697,PRICES!$C$2:$C$659&amp;"|"&amp;PRICES!$B$2:$B$659&amp;"|"&amp;PRICES!$D$2:$D$659,PRICES!$E$2:$E$659),"Not Found"))</f>
        <v/>
      </c>
      <c r="Q1697" s="100" t="str">
        <f>IF(N1697=0,"",SUMIFS(PRICES!$G$2:$G$658,PRICES!$B$2:$B$658,'MAIN TABLE-1 AUTOMATED'!J1697,PRICES!$C$2:$C$658,'MAIN TABLE-1 AUTOMATED'!F1697,PRICES!$D$2:$D$658,'MAIN TABLE-1 AUTOMATED'!O1697))</f>
        <v/>
      </c>
      <c r="R1697" s="41" t="str">
        <f>IF(Table1[[#This Row],[QUANTITY]]=0,"",Table1[[#This Row],[UNIT PRICE]]*Table1[[#This Row],[QUANTITY]])</f>
        <v/>
      </c>
      <c r="S1697" s="89"/>
      <c r="T1697" s="38"/>
      <c r="U1697" s="43"/>
      <c r="V1697" s="42" t="str">
        <f>IF(Table1[[#This Row],[DATE]]=0,"",YEAR(E1697))</f>
        <v/>
      </c>
      <c r="W1697" s="40" t="str">
        <f t="shared" si="54"/>
        <v/>
      </c>
      <c r="X1697" s="40" t="str">
        <f t="shared" si="55"/>
        <v/>
      </c>
      <c r="Y1697" s="40" t="str">
        <f>TEXT(Table1[[#This Row],[YEAR]],"0000")&amp;"-"&amp;Table1[[#This Row],[MONTH]]</f>
        <v>-</v>
      </c>
    </row>
    <row r="1698" spans="1:25" ht="15" customHeight="1" x14ac:dyDescent="0.35">
      <c r="A1698" s="24"/>
      <c r="B1698" s="38"/>
      <c r="C1698" s="38"/>
      <c r="D1698" s="38"/>
      <c r="E1698" s="37"/>
      <c r="F1698" s="38"/>
      <c r="G1698" s="198"/>
      <c r="H1698" s="198"/>
      <c r="I1698" s="39"/>
      <c r="J1698" s="38"/>
      <c r="K1698" s="198"/>
      <c r="L1698" s="38"/>
      <c r="M1698" s="38"/>
      <c r="N1698" s="38"/>
      <c r="O1698" s="38"/>
      <c r="P1698" s="40" t="str" cm="1">
        <f t="array" ref="P1698">IF(N1698="","",IFERROR(_xlfn.XLOOKUP(F1698&amp;"|"&amp;J1698&amp;"|"&amp;O1698,PRICES!$C$2:$C$659&amp;"|"&amp;PRICES!$B$2:$B$659&amp;"|"&amp;PRICES!$D$2:$D$659,PRICES!$E$2:$E$659),"Not Found"))</f>
        <v/>
      </c>
      <c r="Q1698" s="100" t="str">
        <f>IF(N1698=0,"",SUMIFS(PRICES!$G$2:$G$658,PRICES!$B$2:$B$658,'MAIN TABLE-1 AUTOMATED'!J1698,PRICES!$C$2:$C$658,'MAIN TABLE-1 AUTOMATED'!F1698,PRICES!$D$2:$D$658,'MAIN TABLE-1 AUTOMATED'!O1698))</f>
        <v/>
      </c>
      <c r="R1698" s="41" t="str">
        <f>IF(Table1[[#This Row],[QUANTITY]]=0,"",Table1[[#This Row],[UNIT PRICE]]*Table1[[#This Row],[QUANTITY]])</f>
        <v/>
      </c>
      <c r="S1698" s="89"/>
      <c r="T1698" s="38"/>
      <c r="U1698" s="43"/>
      <c r="V1698" s="42" t="str">
        <f>IF(Table1[[#This Row],[DATE]]=0,"",YEAR(E1698))</f>
        <v/>
      </c>
      <c r="W1698" s="40" t="str">
        <f t="shared" si="54"/>
        <v/>
      </c>
      <c r="X1698" s="40" t="str">
        <f t="shared" si="55"/>
        <v/>
      </c>
      <c r="Y1698" s="40" t="str">
        <f>TEXT(Table1[[#This Row],[YEAR]],"0000")&amp;"-"&amp;Table1[[#This Row],[MONTH]]</f>
        <v>-</v>
      </c>
    </row>
    <row r="1699" spans="1:25" ht="15" customHeight="1" x14ac:dyDescent="0.35">
      <c r="A1699" s="24"/>
      <c r="B1699" s="38"/>
      <c r="C1699" s="38"/>
      <c r="D1699" s="38"/>
      <c r="E1699" s="37"/>
      <c r="F1699" s="38"/>
      <c r="G1699" s="198"/>
      <c r="H1699" s="198"/>
      <c r="I1699" s="39"/>
      <c r="J1699" s="38"/>
      <c r="K1699" s="198"/>
      <c r="L1699" s="38"/>
      <c r="M1699" s="38"/>
      <c r="N1699" s="38"/>
      <c r="O1699" s="38"/>
      <c r="P1699" s="40" t="str" cm="1">
        <f t="array" ref="P1699">IF(N1699="","",IFERROR(_xlfn.XLOOKUP(F1699&amp;"|"&amp;J1699&amp;"|"&amp;O1699,PRICES!$C$2:$C$659&amp;"|"&amp;PRICES!$B$2:$B$659&amp;"|"&amp;PRICES!$D$2:$D$659,PRICES!$E$2:$E$659),"Not Found"))</f>
        <v/>
      </c>
      <c r="Q1699" s="100" t="str">
        <f>IF(N1699=0,"",SUMIFS(PRICES!$G$2:$G$658,PRICES!$B$2:$B$658,'MAIN TABLE-1 AUTOMATED'!J1699,PRICES!$C$2:$C$658,'MAIN TABLE-1 AUTOMATED'!F1699,PRICES!$D$2:$D$658,'MAIN TABLE-1 AUTOMATED'!O1699))</f>
        <v/>
      </c>
      <c r="R1699" s="41" t="str">
        <f>IF(Table1[[#This Row],[QUANTITY]]=0,"",Table1[[#This Row],[UNIT PRICE]]*Table1[[#This Row],[QUANTITY]])</f>
        <v/>
      </c>
      <c r="S1699" s="89"/>
      <c r="T1699" s="38"/>
      <c r="U1699" s="43"/>
      <c r="V1699" s="42" t="str">
        <f>IF(Table1[[#This Row],[DATE]]=0,"",YEAR(E1699))</f>
        <v/>
      </c>
      <c r="W1699" s="40" t="str">
        <f t="shared" si="54"/>
        <v/>
      </c>
      <c r="X1699" s="40" t="str">
        <f t="shared" si="55"/>
        <v/>
      </c>
      <c r="Y1699" s="40" t="str">
        <f>TEXT(Table1[[#This Row],[YEAR]],"0000")&amp;"-"&amp;Table1[[#This Row],[MONTH]]</f>
        <v>-</v>
      </c>
    </row>
    <row r="1700" spans="1:25" ht="15" customHeight="1" x14ac:dyDescent="0.35">
      <c r="A1700" s="24"/>
      <c r="B1700" s="38"/>
      <c r="C1700" s="38"/>
      <c r="D1700" s="38"/>
      <c r="E1700" s="37"/>
      <c r="F1700" s="38"/>
      <c r="G1700" s="198"/>
      <c r="H1700" s="198"/>
      <c r="I1700" s="39"/>
      <c r="J1700" s="38"/>
      <c r="K1700" s="198"/>
      <c r="L1700" s="38"/>
      <c r="M1700" s="38"/>
      <c r="N1700" s="38"/>
      <c r="O1700" s="38"/>
      <c r="P1700" s="40" t="str" cm="1">
        <f t="array" ref="P1700">IF(N1700="","",IFERROR(_xlfn.XLOOKUP(F1700&amp;"|"&amp;J1700&amp;"|"&amp;O1700,PRICES!$C$2:$C$659&amp;"|"&amp;PRICES!$B$2:$B$659&amp;"|"&amp;PRICES!$D$2:$D$659,PRICES!$E$2:$E$659),"Not Found"))</f>
        <v/>
      </c>
      <c r="Q1700" s="100" t="str">
        <f>IF(N1700=0,"",SUMIFS(PRICES!$G$2:$G$658,PRICES!$B$2:$B$658,'MAIN TABLE-1 AUTOMATED'!J1700,PRICES!$C$2:$C$658,'MAIN TABLE-1 AUTOMATED'!F1700,PRICES!$D$2:$D$658,'MAIN TABLE-1 AUTOMATED'!O1700))</f>
        <v/>
      </c>
      <c r="R1700" s="41" t="str">
        <f>IF(Table1[[#This Row],[QUANTITY]]=0,"",Table1[[#This Row],[UNIT PRICE]]*Table1[[#This Row],[QUANTITY]])</f>
        <v/>
      </c>
      <c r="S1700" s="89"/>
      <c r="T1700" s="38"/>
      <c r="U1700" s="43"/>
      <c r="V1700" s="42" t="str">
        <f>IF(Table1[[#This Row],[DATE]]=0,"",YEAR(E1700))</f>
        <v/>
      </c>
      <c r="W1700" s="40" t="str">
        <f t="shared" si="54"/>
        <v/>
      </c>
      <c r="X1700" s="40" t="str">
        <f t="shared" si="55"/>
        <v/>
      </c>
      <c r="Y1700" s="40" t="str">
        <f>TEXT(Table1[[#This Row],[YEAR]],"0000")&amp;"-"&amp;Table1[[#This Row],[MONTH]]</f>
        <v>-</v>
      </c>
    </row>
    <row r="1701" spans="1:25" ht="15" customHeight="1" x14ac:dyDescent="0.35">
      <c r="A1701" s="24"/>
      <c r="B1701" s="38"/>
      <c r="C1701" s="38"/>
      <c r="D1701" s="38"/>
      <c r="E1701" s="37"/>
      <c r="F1701" s="38"/>
      <c r="G1701" s="198"/>
      <c r="H1701" s="198"/>
      <c r="I1701" s="39"/>
      <c r="J1701" s="38"/>
      <c r="K1701" s="198"/>
      <c r="L1701" s="38"/>
      <c r="M1701" s="38"/>
      <c r="N1701" s="38"/>
      <c r="O1701" s="38"/>
      <c r="P1701" s="40" t="str" cm="1">
        <f t="array" ref="P1701">IF(N1701="","",IFERROR(_xlfn.XLOOKUP(F1701&amp;"|"&amp;J1701&amp;"|"&amp;O1701,PRICES!$C$2:$C$659&amp;"|"&amp;PRICES!$B$2:$B$659&amp;"|"&amp;PRICES!$D$2:$D$659,PRICES!$E$2:$E$659),"Not Found"))</f>
        <v/>
      </c>
      <c r="Q1701" s="100" t="str">
        <f>IF(N1701=0,"",SUMIFS(PRICES!$G$2:$G$658,PRICES!$B$2:$B$658,'MAIN TABLE-1 AUTOMATED'!J1701,PRICES!$C$2:$C$658,'MAIN TABLE-1 AUTOMATED'!F1701,PRICES!$D$2:$D$658,'MAIN TABLE-1 AUTOMATED'!O1701))</f>
        <v/>
      </c>
      <c r="R1701" s="41" t="str">
        <f>IF(Table1[[#This Row],[QUANTITY]]=0,"",Table1[[#This Row],[UNIT PRICE]]*Table1[[#This Row],[QUANTITY]])</f>
        <v/>
      </c>
      <c r="S1701" s="89"/>
      <c r="T1701" s="38"/>
      <c r="U1701" s="43"/>
      <c r="V1701" s="42" t="str">
        <f>IF(Table1[[#This Row],[DATE]]=0,"",YEAR(E1701))</f>
        <v/>
      </c>
      <c r="W1701" s="40" t="str">
        <f t="shared" si="54"/>
        <v/>
      </c>
      <c r="X1701" s="40" t="str">
        <f t="shared" si="55"/>
        <v/>
      </c>
      <c r="Y1701" s="40" t="str">
        <f>TEXT(Table1[[#This Row],[YEAR]],"0000")&amp;"-"&amp;Table1[[#This Row],[MONTH]]</f>
        <v>-</v>
      </c>
    </row>
    <row r="1702" spans="1:25" ht="15" customHeight="1" x14ac:dyDescent="0.35">
      <c r="A1702" s="24"/>
      <c r="B1702" s="38"/>
      <c r="C1702" s="38"/>
      <c r="D1702" s="38"/>
      <c r="E1702" s="37"/>
      <c r="F1702" s="38"/>
      <c r="G1702" s="198"/>
      <c r="H1702" s="198"/>
      <c r="I1702" s="39"/>
      <c r="J1702" s="38"/>
      <c r="K1702" s="198"/>
      <c r="L1702" s="38"/>
      <c r="M1702" s="38"/>
      <c r="N1702" s="38"/>
      <c r="O1702" s="38"/>
      <c r="P1702" s="40" t="str" cm="1">
        <f t="array" ref="P1702">IF(N1702="","",IFERROR(_xlfn.XLOOKUP(F1702&amp;"|"&amp;J1702&amp;"|"&amp;O1702,PRICES!$C$2:$C$659&amp;"|"&amp;PRICES!$B$2:$B$659&amp;"|"&amp;PRICES!$D$2:$D$659,PRICES!$E$2:$E$659),"Not Found"))</f>
        <v/>
      </c>
      <c r="Q1702" s="100" t="str">
        <f>IF(N1702=0,"",SUMIFS(PRICES!$G$2:$G$658,PRICES!$B$2:$B$658,'MAIN TABLE-1 AUTOMATED'!J1702,PRICES!$C$2:$C$658,'MAIN TABLE-1 AUTOMATED'!F1702,PRICES!$D$2:$D$658,'MAIN TABLE-1 AUTOMATED'!O1702))</f>
        <v/>
      </c>
      <c r="R1702" s="41" t="str">
        <f>IF(Table1[[#This Row],[QUANTITY]]=0,"",Table1[[#This Row],[UNIT PRICE]]*Table1[[#This Row],[QUANTITY]])</f>
        <v/>
      </c>
      <c r="S1702" s="89"/>
      <c r="T1702" s="38"/>
      <c r="U1702" s="43"/>
      <c r="V1702" s="42" t="str">
        <f>IF(Table1[[#This Row],[DATE]]=0,"",YEAR(E1702))</f>
        <v/>
      </c>
      <c r="W1702" s="40" t="str">
        <f t="shared" si="54"/>
        <v/>
      </c>
      <c r="X1702" s="40" t="str">
        <f t="shared" si="55"/>
        <v/>
      </c>
      <c r="Y1702" s="40" t="str">
        <f>TEXT(Table1[[#This Row],[YEAR]],"0000")&amp;"-"&amp;Table1[[#This Row],[MONTH]]</f>
        <v>-</v>
      </c>
    </row>
    <row r="1703" spans="1:25" ht="15" customHeight="1" x14ac:dyDescent="0.35">
      <c r="A1703" s="24"/>
      <c r="B1703" s="38"/>
      <c r="C1703" s="38"/>
      <c r="D1703" s="38"/>
      <c r="E1703" s="37"/>
      <c r="F1703" s="38"/>
      <c r="G1703" s="198"/>
      <c r="H1703" s="198"/>
      <c r="I1703" s="39"/>
      <c r="J1703" s="38"/>
      <c r="K1703" s="198"/>
      <c r="L1703" s="38"/>
      <c r="M1703" s="38"/>
      <c r="N1703" s="38"/>
      <c r="O1703" s="38"/>
      <c r="P1703" s="40" t="str" cm="1">
        <f t="array" ref="P1703">IF(N1703="","",IFERROR(_xlfn.XLOOKUP(F1703&amp;"|"&amp;J1703&amp;"|"&amp;O1703,PRICES!$C$2:$C$659&amp;"|"&amp;PRICES!$B$2:$B$659&amp;"|"&amp;PRICES!$D$2:$D$659,PRICES!$E$2:$E$659),"Not Found"))</f>
        <v/>
      </c>
      <c r="Q1703" s="100" t="str">
        <f>IF(N1703=0,"",SUMIFS(PRICES!$G$2:$G$658,PRICES!$B$2:$B$658,'MAIN TABLE-1 AUTOMATED'!J1703,PRICES!$C$2:$C$658,'MAIN TABLE-1 AUTOMATED'!F1703,PRICES!$D$2:$D$658,'MAIN TABLE-1 AUTOMATED'!O1703))</f>
        <v/>
      </c>
      <c r="R1703" s="41" t="str">
        <f>IF(Table1[[#This Row],[QUANTITY]]=0,"",Table1[[#This Row],[UNIT PRICE]]*Table1[[#This Row],[QUANTITY]])</f>
        <v/>
      </c>
      <c r="S1703" s="89"/>
      <c r="T1703" s="38"/>
      <c r="U1703" s="43"/>
      <c r="V1703" s="42" t="str">
        <f>IF(Table1[[#This Row],[DATE]]=0,"",YEAR(E1703))</f>
        <v/>
      </c>
      <c r="W1703" s="40" t="str">
        <f t="shared" si="54"/>
        <v/>
      </c>
      <c r="X1703" s="40" t="str">
        <f t="shared" si="55"/>
        <v/>
      </c>
      <c r="Y1703" s="40" t="str">
        <f>TEXT(Table1[[#This Row],[YEAR]],"0000")&amp;"-"&amp;Table1[[#This Row],[MONTH]]</f>
        <v>-</v>
      </c>
    </row>
    <row r="1704" spans="1:25" ht="15" customHeight="1" x14ac:dyDescent="0.35">
      <c r="A1704" s="24"/>
      <c r="B1704" s="38"/>
      <c r="C1704" s="38"/>
      <c r="D1704" s="38"/>
      <c r="E1704" s="37"/>
      <c r="F1704" s="38"/>
      <c r="G1704" s="198"/>
      <c r="H1704" s="198"/>
      <c r="I1704" s="39"/>
      <c r="J1704" s="38"/>
      <c r="K1704" s="198"/>
      <c r="L1704" s="38"/>
      <c r="M1704" s="38"/>
      <c r="N1704" s="38"/>
      <c r="O1704" s="38"/>
      <c r="P1704" s="40" t="str" cm="1">
        <f t="array" ref="P1704">IF(N1704="","",IFERROR(_xlfn.XLOOKUP(F1704&amp;"|"&amp;J1704&amp;"|"&amp;O1704,PRICES!$C$2:$C$659&amp;"|"&amp;PRICES!$B$2:$B$659&amp;"|"&amp;PRICES!$D$2:$D$659,PRICES!$E$2:$E$659),"Not Found"))</f>
        <v/>
      </c>
      <c r="Q1704" s="100" t="str">
        <f>IF(N1704=0,"",SUMIFS(PRICES!$G$2:$G$658,PRICES!$B$2:$B$658,'MAIN TABLE-1 AUTOMATED'!J1704,PRICES!$C$2:$C$658,'MAIN TABLE-1 AUTOMATED'!F1704,PRICES!$D$2:$D$658,'MAIN TABLE-1 AUTOMATED'!O1704))</f>
        <v/>
      </c>
      <c r="R1704" s="41" t="str">
        <f>IF(Table1[[#This Row],[QUANTITY]]=0,"",Table1[[#This Row],[UNIT PRICE]]*Table1[[#This Row],[QUANTITY]])</f>
        <v/>
      </c>
      <c r="S1704" s="89"/>
      <c r="T1704" s="38"/>
      <c r="U1704" s="43"/>
      <c r="V1704" s="42" t="str">
        <f>IF(Table1[[#This Row],[DATE]]=0,"",YEAR(E1704))</f>
        <v/>
      </c>
      <c r="W1704" s="40" t="str">
        <f t="shared" si="54"/>
        <v/>
      </c>
      <c r="X1704" s="40" t="str">
        <f t="shared" si="55"/>
        <v/>
      </c>
      <c r="Y1704" s="40" t="str">
        <f>TEXT(Table1[[#This Row],[YEAR]],"0000")&amp;"-"&amp;Table1[[#This Row],[MONTH]]</f>
        <v>-</v>
      </c>
    </row>
    <row r="1705" spans="1:25" ht="15" customHeight="1" x14ac:dyDescent="0.35">
      <c r="A1705" s="24"/>
      <c r="B1705" s="38"/>
      <c r="C1705" s="38"/>
      <c r="D1705" s="38"/>
      <c r="E1705" s="37"/>
      <c r="F1705" s="38"/>
      <c r="G1705" s="198"/>
      <c r="H1705" s="198"/>
      <c r="I1705" s="39"/>
      <c r="J1705" s="38"/>
      <c r="K1705" s="198"/>
      <c r="L1705" s="38"/>
      <c r="M1705" s="38"/>
      <c r="N1705" s="38"/>
      <c r="O1705" s="38"/>
      <c r="P1705" s="40" t="str" cm="1">
        <f t="array" ref="P1705">IF(N1705="","",IFERROR(_xlfn.XLOOKUP(F1705&amp;"|"&amp;J1705&amp;"|"&amp;O1705,PRICES!$C$2:$C$659&amp;"|"&amp;PRICES!$B$2:$B$659&amp;"|"&amp;PRICES!$D$2:$D$659,PRICES!$E$2:$E$659),"Not Found"))</f>
        <v/>
      </c>
      <c r="Q1705" s="100" t="str">
        <f>IF(N1705=0,"",SUMIFS(PRICES!$G$2:$G$658,PRICES!$B$2:$B$658,'MAIN TABLE-1 AUTOMATED'!J1705,PRICES!$C$2:$C$658,'MAIN TABLE-1 AUTOMATED'!F1705,PRICES!$D$2:$D$658,'MAIN TABLE-1 AUTOMATED'!O1705))</f>
        <v/>
      </c>
      <c r="R1705" s="41" t="str">
        <f>IF(Table1[[#This Row],[QUANTITY]]=0,"",Table1[[#This Row],[UNIT PRICE]]*Table1[[#This Row],[QUANTITY]])</f>
        <v/>
      </c>
      <c r="S1705" s="89"/>
      <c r="T1705" s="38"/>
      <c r="U1705" s="43"/>
      <c r="V1705" s="42" t="str">
        <f>IF(Table1[[#This Row],[DATE]]=0,"",YEAR(E1705))</f>
        <v/>
      </c>
      <c r="W1705" s="40" t="str">
        <f t="shared" si="54"/>
        <v/>
      </c>
      <c r="X1705" s="40" t="str">
        <f t="shared" si="55"/>
        <v/>
      </c>
      <c r="Y1705" s="40" t="str">
        <f>TEXT(Table1[[#This Row],[YEAR]],"0000")&amp;"-"&amp;Table1[[#This Row],[MONTH]]</f>
        <v>-</v>
      </c>
    </row>
    <row r="1706" spans="1:25" ht="15" customHeight="1" x14ac:dyDescent="0.35">
      <c r="A1706" s="24"/>
      <c r="B1706" s="38"/>
      <c r="C1706" s="38"/>
      <c r="D1706" s="38"/>
      <c r="E1706" s="37"/>
      <c r="F1706" s="38"/>
      <c r="G1706" s="198"/>
      <c r="H1706" s="198"/>
      <c r="I1706" s="39"/>
      <c r="J1706" s="38"/>
      <c r="K1706" s="198"/>
      <c r="L1706" s="38"/>
      <c r="M1706" s="38"/>
      <c r="N1706" s="38"/>
      <c r="O1706" s="38"/>
      <c r="P1706" s="40" t="str" cm="1">
        <f t="array" ref="P1706">IF(N1706="","",IFERROR(_xlfn.XLOOKUP(F1706&amp;"|"&amp;J1706&amp;"|"&amp;O1706,PRICES!$C$2:$C$659&amp;"|"&amp;PRICES!$B$2:$B$659&amp;"|"&amp;PRICES!$D$2:$D$659,PRICES!$E$2:$E$659),"Not Found"))</f>
        <v/>
      </c>
      <c r="Q1706" s="100" t="str">
        <f>IF(N1706=0,"",SUMIFS(PRICES!$G$2:$G$658,PRICES!$B$2:$B$658,'MAIN TABLE-1 AUTOMATED'!J1706,PRICES!$C$2:$C$658,'MAIN TABLE-1 AUTOMATED'!F1706,PRICES!$D$2:$D$658,'MAIN TABLE-1 AUTOMATED'!O1706))</f>
        <v/>
      </c>
      <c r="R1706" s="41" t="str">
        <f>IF(Table1[[#This Row],[QUANTITY]]=0,"",Table1[[#This Row],[UNIT PRICE]]*Table1[[#This Row],[QUANTITY]])</f>
        <v/>
      </c>
      <c r="S1706" s="89"/>
      <c r="T1706" s="38"/>
      <c r="U1706" s="43"/>
      <c r="V1706" s="42" t="str">
        <f>IF(Table1[[#This Row],[DATE]]=0,"",YEAR(E1706))</f>
        <v/>
      </c>
      <c r="W1706" s="40" t="str">
        <f t="shared" si="54"/>
        <v/>
      </c>
      <c r="X1706" s="40" t="str">
        <f t="shared" si="55"/>
        <v/>
      </c>
      <c r="Y1706" s="40" t="str">
        <f>TEXT(Table1[[#This Row],[YEAR]],"0000")&amp;"-"&amp;Table1[[#This Row],[MONTH]]</f>
        <v>-</v>
      </c>
    </row>
    <row r="1707" spans="1:25" ht="15" customHeight="1" x14ac:dyDescent="0.35">
      <c r="A1707" s="24"/>
      <c r="B1707" s="38"/>
      <c r="C1707" s="38"/>
      <c r="D1707" s="38"/>
      <c r="E1707" s="37"/>
      <c r="F1707" s="38"/>
      <c r="G1707" s="198"/>
      <c r="H1707" s="198"/>
      <c r="I1707" s="39"/>
      <c r="J1707" s="38"/>
      <c r="K1707" s="198"/>
      <c r="L1707" s="38"/>
      <c r="M1707" s="38"/>
      <c r="N1707" s="38"/>
      <c r="O1707" s="38"/>
      <c r="P1707" s="40" t="str" cm="1">
        <f t="array" ref="P1707">IF(N1707="","",IFERROR(_xlfn.XLOOKUP(F1707&amp;"|"&amp;J1707&amp;"|"&amp;O1707,PRICES!$C$2:$C$659&amp;"|"&amp;PRICES!$B$2:$B$659&amp;"|"&amp;PRICES!$D$2:$D$659,PRICES!$E$2:$E$659),"Not Found"))</f>
        <v/>
      </c>
      <c r="Q1707" s="100" t="str">
        <f>IF(N1707=0,"",SUMIFS(PRICES!$G$2:$G$658,PRICES!$B$2:$B$658,'MAIN TABLE-1 AUTOMATED'!J1707,PRICES!$C$2:$C$658,'MAIN TABLE-1 AUTOMATED'!F1707,PRICES!$D$2:$D$658,'MAIN TABLE-1 AUTOMATED'!O1707))</f>
        <v/>
      </c>
      <c r="R1707" s="41" t="str">
        <f>IF(Table1[[#This Row],[QUANTITY]]=0,"",Table1[[#This Row],[UNIT PRICE]]*Table1[[#This Row],[QUANTITY]])</f>
        <v/>
      </c>
      <c r="S1707" s="89"/>
      <c r="T1707" s="38"/>
      <c r="U1707" s="43"/>
      <c r="V1707" s="42" t="str">
        <f>IF(Table1[[#This Row],[DATE]]=0,"",YEAR(E1707))</f>
        <v/>
      </c>
      <c r="W1707" s="40" t="str">
        <f t="shared" si="54"/>
        <v/>
      </c>
      <c r="X1707" s="40" t="str">
        <f t="shared" si="55"/>
        <v/>
      </c>
      <c r="Y1707" s="40" t="str">
        <f>TEXT(Table1[[#This Row],[YEAR]],"0000")&amp;"-"&amp;Table1[[#This Row],[MONTH]]</f>
        <v>-</v>
      </c>
    </row>
    <row r="1708" spans="1:25" ht="15" customHeight="1" x14ac:dyDescent="0.35">
      <c r="A1708" s="24"/>
      <c r="B1708" s="38"/>
      <c r="C1708" s="38"/>
      <c r="D1708" s="38"/>
      <c r="E1708" s="37"/>
      <c r="F1708" s="38"/>
      <c r="G1708" s="198"/>
      <c r="H1708" s="198"/>
      <c r="I1708" s="39"/>
      <c r="J1708" s="38"/>
      <c r="K1708" s="198"/>
      <c r="L1708" s="38"/>
      <c r="M1708" s="38"/>
      <c r="N1708" s="38"/>
      <c r="O1708" s="38"/>
      <c r="P1708" s="40" t="str" cm="1">
        <f t="array" ref="P1708">IF(N1708="","",IFERROR(_xlfn.XLOOKUP(F1708&amp;"|"&amp;J1708&amp;"|"&amp;O1708,PRICES!$C$2:$C$659&amp;"|"&amp;PRICES!$B$2:$B$659&amp;"|"&amp;PRICES!$D$2:$D$659,PRICES!$E$2:$E$659),"Not Found"))</f>
        <v/>
      </c>
      <c r="Q1708" s="100" t="str">
        <f>IF(N1708=0,"",SUMIFS(PRICES!$G$2:$G$658,PRICES!$B$2:$B$658,'MAIN TABLE-1 AUTOMATED'!J1708,PRICES!$C$2:$C$658,'MAIN TABLE-1 AUTOMATED'!F1708,PRICES!$D$2:$D$658,'MAIN TABLE-1 AUTOMATED'!O1708))</f>
        <v/>
      </c>
      <c r="R1708" s="41" t="str">
        <f>IF(Table1[[#This Row],[QUANTITY]]=0,"",Table1[[#This Row],[UNIT PRICE]]*Table1[[#This Row],[QUANTITY]])</f>
        <v/>
      </c>
      <c r="S1708" s="89"/>
      <c r="T1708" s="38"/>
      <c r="U1708" s="43"/>
      <c r="V1708" s="42" t="str">
        <f>IF(Table1[[#This Row],[DATE]]=0,"",YEAR(E1708))</f>
        <v/>
      </c>
      <c r="W1708" s="40" t="str">
        <f t="shared" si="54"/>
        <v/>
      </c>
      <c r="X1708" s="40" t="str">
        <f t="shared" si="55"/>
        <v/>
      </c>
      <c r="Y1708" s="40" t="str">
        <f>TEXT(Table1[[#This Row],[YEAR]],"0000")&amp;"-"&amp;Table1[[#This Row],[MONTH]]</f>
        <v>-</v>
      </c>
    </row>
    <row r="1709" spans="1:25" ht="15" customHeight="1" x14ac:dyDescent="0.35">
      <c r="A1709" s="24"/>
      <c r="B1709" s="38"/>
      <c r="C1709" s="38"/>
      <c r="D1709" s="38"/>
      <c r="E1709" s="37"/>
      <c r="F1709" s="38"/>
      <c r="G1709" s="198"/>
      <c r="H1709" s="198"/>
      <c r="I1709" s="39"/>
      <c r="J1709" s="38"/>
      <c r="K1709" s="198"/>
      <c r="L1709" s="38"/>
      <c r="M1709" s="38"/>
      <c r="N1709" s="38"/>
      <c r="O1709" s="38"/>
      <c r="P1709" s="40" t="str" cm="1">
        <f t="array" ref="P1709">IF(N1709="","",IFERROR(_xlfn.XLOOKUP(F1709&amp;"|"&amp;J1709&amp;"|"&amp;O1709,PRICES!$C$2:$C$659&amp;"|"&amp;PRICES!$B$2:$B$659&amp;"|"&amp;PRICES!$D$2:$D$659,PRICES!$E$2:$E$659),"Not Found"))</f>
        <v/>
      </c>
      <c r="Q1709" s="100" t="str">
        <f>IF(N1709=0,"",SUMIFS(PRICES!$G$2:$G$658,PRICES!$B$2:$B$658,'MAIN TABLE-1 AUTOMATED'!J1709,PRICES!$C$2:$C$658,'MAIN TABLE-1 AUTOMATED'!F1709,PRICES!$D$2:$D$658,'MAIN TABLE-1 AUTOMATED'!O1709))</f>
        <v/>
      </c>
      <c r="R1709" s="41" t="str">
        <f>IF(Table1[[#This Row],[QUANTITY]]=0,"",Table1[[#This Row],[UNIT PRICE]]*Table1[[#This Row],[QUANTITY]])</f>
        <v/>
      </c>
      <c r="S1709" s="89"/>
      <c r="T1709" s="38"/>
      <c r="U1709" s="43"/>
      <c r="V1709" s="42" t="str">
        <f>IF(Table1[[#This Row],[DATE]]=0,"",YEAR(E1709))</f>
        <v/>
      </c>
      <c r="W1709" s="40" t="str">
        <f t="shared" si="54"/>
        <v/>
      </c>
      <c r="X1709" s="40" t="str">
        <f t="shared" si="55"/>
        <v/>
      </c>
      <c r="Y1709" s="40" t="str">
        <f>TEXT(Table1[[#This Row],[YEAR]],"0000")&amp;"-"&amp;Table1[[#This Row],[MONTH]]</f>
        <v>-</v>
      </c>
    </row>
    <row r="1710" spans="1:25" ht="15" customHeight="1" x14ac:dyDescent="0.35">
      <c r="A1710" s="24"/>
      <c r="B1710" s="38"/>
      <c r="C1710" s="38"/>
      <c r="D1710" s="38"/>
      <c r="E1710" s="37"/>
      <c r="F1710" s="38"/>
      <c r="G1710" s="198"/>
      <c r="H1710" s="198"/>
      <c r="I1710" s="39"/>
      <c r="J1710" s="38"/>
      <c r="K1710" s="198"/>
      <c r="L1710" s="38"/>
      <c r="M1710" s="38"/>
      <c r="N1710" s="38"/>
      <c r="O1710" s="38"/>
      <c r="P1710" s="40" t="str" cm="1">
        <f t="array" ref="P1710">IF(N1710="","",IFERROR(_xlfn.XLOOKUP(F1710&amp;"|"&amp;J1710&amp;"|"&amp;O1710,PRICES!$C$2:$C$659&amp;"|"&amp;PRICES!$B$2:$B$659&amp;"|"&amp;PRICES!$D$2:$D$659,PRICES!$E$2:$E$659),"Not Found"))</f>
        <v/>
      </c>
      <c r="Q1710" s="100" t="str">
        <f>IF(N1710=0,"",SUMIFS(PRICES!$G$2:$G$658,PRICES!$B$2:$B$658,'MAIN TABLE-1 AUTOMATED'!J1710,PRICES!$C$2:$C$658,'MAIN TABLE-1 AUTOMATED'!F1710,PRICES!$D$2:$D$658,'MAIN TABLE-1 AUTOMATED'!O1710))</f>
        <v/>
      </c>
      <c r="R1710" s="41" t="str">
        <f>IF(Table1[[#This Row],[QUANTITY]]=0,"",Table1[[#This Row],[UNIT PRICE]]*Table1[[#This Row],[QUANTITY]])</f>
        <v/>
      </c>
      <c r="S1710" s="89"/>
      <c r="T1710" s="38"/>
      <c r="U1710" s="43"/>
      <c r="V1710" s="42" t="str">
        <f>IF(Table1[[#This Row],[DATE]]=0,"",YEAR(E1710))</f>
        <v/>
      </c>
      <c r="W1710" s="40" t="str">
        <f t="shared" si="54"/>
        <v/>
      </c>
      <c r="X1710" s="40" t="str">
        <f t="shared" si="55"/>
        <v/>
      </c>
      <c r="Y1710" s="40" t="str">
        <f>TEXT(Table1[[#This Row],[YEAR]],"0000")&amp;"-"&amp;Table1[[#This Row],[MONTH]]</f>
        <v>-</v>
      </c>
    </row>
    <row r="1711" spans="1:25" ht="15" customHeight="1" x14ac:dyDescent="0.35">
      <c r="A1711" s="24"/>
      <c r="B1711" s="38"/>
      <c r="C1711" s="38"/>
      <c r="D1711" s="38"/>
      <c r="E1711" s="37"/>
      <c r="F1711" s="38"/>
      <c r="G1711" s="198"/>
      <c r="H1711" s="198"/>
      <c r="I1711" s="39"/>
      <c r="J1711" s="38"/>
      <c r="K1711" s="198"/>
      <c r="L1711" s="38"/>
      <c r="M1711" s="38"/>
      <c r="N1711" s="38"/>
      <c r="O1711" s="38"/>
      <c r="P1711" s="40" t="str" cm="1">
        <f t="array" ref="P1711">IF(N1711="","",IFERROR(_xlfn.XLOOKUP(F1711&amp;"|"&amp;J1711&amp;"|"&amp;O1711,PRICES!$C$2:$C$659&amp;"|"&amp;PRICES!$B$2:$B$659&amp;"|"&amp;PRICES!$D$2:$D$659,PRICES!$E$2:$E$659),"Not Found"))</f>
        <v/>
      </c>
      <c r="Q1711" s="100" t="str">
        <f>IF(N1711=0,"",SUMIFS(PRICES!$G$2:$G$658,PRICES!$B$2:$B$658,'MAIN TABLE-1 AUTOMATED'!J1711,PRICES!$C$2:$C$658,'MAIN TABLE-1 AUTOMATED'!F1711,PRICES!$D$2:$D$658,'MAIN TABLE-1 AUTOMATED'!O1711))</f>
        <v/>
      </c>
      <c r="R1711" s="41" t="str">
        <f>IF(Table1[[#This Row],[QUANTITY]]=0,"",Table1[[#This Row],[UNIT PRICE]]*Table1[[#This Row],[QUANTITY]])</f>
        <v/>
      </c>
      <c r="S1711" s="89"/>
      <c r="T1711" s="38"/>
      <c r="U1711" s="43"/>
      <c r="V1711" s="42" t="str">
        <f>IF(Table1[[#This Row],[DATE]]=0,"",YEAR(E1711))</f>
        <v/>
      </c>
      <c r="W1711" s="40" t="str">
        <f t="shared" si="54"/>
        <v/>
      </c>
      <c r="X1711" s="40" t="str">
        <f t="shared" si="55"/>
        <v/>
      </c>
      <c r="Y1711" s="40" t="str">
        <f>TEXT(Table1[[#This Row],[YEAR]],"0000")&amp;"-"&amp;Table1[[#This Row],[MONTH]]</f>
        <v>-</v>
      </c>
    </row>
    <row r="1712" spans="1:25" ht="15" customHeight="1" x14ac:dyDescent="0.35">
      <c r="A1712" s="24"/>
      <c r="B1712" s="38"/>
      <c r="C1712" s="38"/>
      <c r="D1712" s="38"/>
      <c r="E1712" s="37"/>
      <c r="F1712" s="38"/>
      <c r="G1712" s="198"/>
      <c r="H1712" s="198"/>
      <c r="I1712" s="39"/>
      <c r="J1712" s="38"/>
      <c r="K1712" s="198"/>
      <c r="L1712" s="38"/>
      <c r="M1712" s="38"/>
      <c r="N1712" s="38"/>
      <c r="O1712" s="38"/>
      <c r="P1712" s="40" t="str" cm="1">
        <f t="array" ref="P1712">IF(N1712="","",IFERROR(_xlfn.XLOOKUP(F1712&amp;"|"&amp;J1712&amp;"|"&amp;O1712,PRICES!$C$2:$C$659&amp;"|"&amp;PRICES!$B$2:$B$659&amp;"|"&amp;PRICES!$D$2:$D$659,PRICES!$E$2:$E$659),"Not Found"))</f>
        <v/>
      </c>
      <c r="Q1712" s="100" t="str">
        <f>IF(N1712=0,"",SUMIFS(PRICES!$G$2:$G$658,PRICES!$B$2:$B$658,'MAIN TABLE-1 AUTOMATED'!J1712,PRICES!$C$2:$C$658,'MAIN TABLE-1 AUTOMATED'!F1712,PRICES!$D$2:$D$658,'MAIN TABLE-1 AUTOMATED'!O1712))</f>
        <v/>
      </c>
      <c r="R1712" s="41" t="str">
        <f>IF(Table1[[#This Row],[QUANTITY]]=0,"",Table1[[#This Row],[UNIT PRICE]]*Table1[[#This Row],[QUANTITY]])</f>
        <v/>
      </c>
      <c r="S1712" s="89"/>
      <c r="T1712" s="38"/>
      <c r="U1712" s="43"/>
      <c r="V1712" s="42" t="str">
        <f>IF(Table1[[#This Row],[DATE]]=0,"",YEAR(E1712))</f>
        <v/>
      </c>
      <c r="W1712" s="40" t="str">
        <f t="shared" si="54"/>
        <v/>
      </c>
      <c r="X1712" s="40" t="str">
        <f t="shared" si="55"/>
        <v/>
      </c>
      <c r="Y1712" s="40" t="str">
        <f>TEXT(Table1[[#This Row],[YEAR]],"0000")&amp;"-"&amp;Table1[[#This Row],[MONTH]]</f>
        <v>-</v>
      </c>
    </row>
    <row r="1713" spans="1:25" ht="15" customHeight="1" x14ac:dyDescent="0.35">
      <c r="A1713" s="24"/>
      <c r="B1713" s="38"/>
      <c r="C1713" s="38"/>
      <c r="D1713" s="38"/>
      <c r="E1713" s="37"/>
      <c r="F1713" s="38"/>
      <c r="G1713" s="198"/>
      <c r="H1713" s="198"/>
      <c r="I1713" s="39"/>
      <c r="J1713" s="38"/>
      <c r="K1713" s="198"/>
      <c r="L1713" s="38"/>
      <c r="M1713" s="38"/>
      <c r="N1713" s="38"/>
      <c r="O1713" s="38"/>
      <c r="P1713" s="40" t="str" cm="1">
        <f t="array" ref="P1713">IF(N1713="","",IFERROR(_xlfn.XLOOKUP(F1713&amp;"|"&amp;J1713&amp;"|"&amp;O1713,PRICES!$C$2:$C$659&amp;"|"&amp;PRICES!$B$2:$B$659&amp;"|"&amp;PRICES!$D$2:$D$659,PRICES!$E$2:$E$659),"Not Found"))</f>
        <v/>
      </c>
      <c r="Q1713" s="100" t="str">
        <f>IF(N1713=0,"",SUMIFS(PRICES!$G$2:$G$658,PRICES!$B$2:$B$658,'MAIN TABLE-1 AUTOMATED'!J1713,PRICES!$C$2:$C$658,'MAIN TABLE-1 AUTOMATED'!F1713,PRICES!$D$2:$D$658,'MAIN TABLE-1 AUTOMATED'!O1713))</f>
        <v/>
      </c>
      <c r="R1713" s="41" t="str">
        <f>IF(Table1[[#This Row],[QUANTITY]]=0,"",Table1[[#This Row],[UNIT PRICE]]*Table1[[#This Row],[QUANTITY]])</f>
        <v/>
      </c>
      <c r="S1713" s="89"/>
      <c r="T1713" s="38"/>
      <c r="U1713" s="43"/>
      <c r="V1713" s="42" t="str">
        <f>IF(Table1[[#This Row],[DATE]]=0,"",YEAR(E1713))</f>
        <v/>
      </c>
      <c r="W1713" s="40" t="str">
        <f t="shared" si="54"/>
        <v/>
      </c>
      <c r="X1713" s="40" t="str">
        <f t="shared" si="55"/>
        <v/>
      </c>
      <c r="Y1713" s="40" t="str">
        <f>TEXT(Table1[[#This Row],[YEAR]],"0000")&amp;"-"&amp;Table1[[#This Row],[MONTH]]</f>
        <v>-</v>
      </c>
    </row>
    <row r="1714" spans="1:25" ht="15" customHeight="1" x14ac:dyDescent="0.35">
      <c r="A1714" s="24"/>
      <c r="B1714" s="38"/>
      <c r="C1714" s="38"/>
      <c r="D1714" s="38"/>
      <c r="E1714" s="37"/>
      <c r="F1714" s="38"/>
      <c r="G1714" s="198"/>
      <c r="H1714" s="198"/>
      <c r="I1714" s="39"/>
      <c r="J1714" s="38"/>
      <c r="K1714" s="198"/>
      <c r="L1714" s="38"/>
      <c r="M1714" s="38"/>
      <c r="N1714" s="38"/>
      <c r="O1714" s="38"/>
      <c r="P1714" s="40" t="str" cm="1">
        <f t="array" ref="P1714">IF(N1714="","",IFERROR(_xlfn.XLOOKUP(F1714&amp;"|"&amp;J1714&amp;"|"&amp;O1714,PRICES!$C$2:$C$659&amp;"|"&amp;PRICES!$B$2:$B$659&amp;"|"&amp;PRICES!$D$2:$D$659,PRICES!$E$2:$E$659),"Not Found"))</f>
        <v/>
      </c>
      <c r="Q1714" s="100" t="str">
        <f>IF(N1714=0,"",SUMIFS(PRICES!$G$2:$G$658,PRICES!$B$2:$B$658,'MAIN TABLE-1 AUTOMATED'!J1714,PRICES!$C$2:$C$658,'MAIN TABLE-1 AUTOMATED'!F1714,PRICES!$D$2:$D$658,'MAIN TABLE-1 AUTOMATED'!O1714))</f>
        <v/>
      </c>
      <c r="R1714" s="41" t="str">
        <f>IF(Table1[[#This Row],[QUANTITY]]=0,"",Table1[[#This Row],[UNIT PRICE]]*Table1[[#This Row],[QUANTITY]])</f>
        <v/>
      </c>
      <c r="S1714" s="89"/>
      <c r="T1714" s="38"/>
      <c r="U1714" s="43"/>
      <c r="V1714" s="42" t="str">
        <f>IF(Table1[[#This Row],[DATE]]=0,"",YEAR(E1714))</f>
        <v/>
      </c>
      <c r="W1714" s="40" t="str">
        <f t="shared" si="54"/>
        <v/>
      </c>
      <c r="X1714" s="40" t="str">
        <f t="shared" si="55"/>
        <v/>
      </c>
      <c r="Y1714" s="40" t="str">
        <f>TEXT(Table1[[#This Row],[YEAR]],"0000")&amp;"-"&amp;Table1[[#This Row],[MONTH]]</f>
        <v>-</v>
      </c>
    </row>
    <row r="1715" spans="1:25" ht="15" customHeight="1" x14ac:dyDescent="0.35">
      <c r="A1715" s="24"/>
      <c r="B1715" s="38"/>
      <c r="C1715" s="38"/>
      <c r="D1715" s="38"/>
      <c r="E1715" s="37"/>
      <c r="F1715" s="38"/>
      <c r="G1715" s="198"/>
      <c r="H1715" s="198"/>
      <c r="I1715" s="39"/>
      <c r="J1715" s="38"/>
      <c r="K1715" s="198"/>
      <c r="L1715" s="38"/>
      <c r="M1715" s="38"/>
      <c r="N1715" s="38"/>
      <c r="O1715" s="38"/>
      <c r="P1715" s="40" t="str" cm="1">
        <f t="array" ref="P1715">IF(N1715="","",IFERROR(_xlfn.XLOOKUP(F1715&amp;"|"&amp;J1715&amp;"|"&amp;O1715,PRICES!$C$2:$C$659&amp;"|"&amp;PRICES!$B$2:$B$659&amp;"|"&amp;PRICES!$D$2:$D$659,PRICES!$E$2:$E$659),"Not Found"))</f>
        <v/>
      </c>
      <c r="Q1715" s="100" t="str">
        <f>IF(N1715=0,"",SUMIFS(PRICES!$G$2:$G$658,PRICES!$B$2:$B$658,'MAIN TABLE-1 AUTOMATED'!J1715,PRICES!$C$2:$C$658,'MAIN TABLE-1 AUTOMATED'!F1715,PRICES!$D$2:$D$658,'MAIN TABLE-1 AUTOMATED'!O1715))</f>
        <v/>
      </c>
      <c r="R1715" s="41" t="str">
        <f>IF(Table1[[#This Row],[QUANTITY]]=0,"",Table1[[#This Row],[UNIT PRICE]]*Table1[[#This Row],[QUANTITY]])</f>
        <v/>
      </c>
      <c r="S1715" s="89"/>
      <c r="T1715" s="38"/>
      <c r="U1715" s="43"/>
      <c r="V1715" s="42" t="str">
        <f>IF(Table1[[#This Row],[DATE]]=0,"",YEAR(E1715))</f>
        <v/>
      </c>
      <c r="W1715" s="40" t="str">
        <f t="shared" si="54"/>
        <v/>
      </c>
      <c r="X1715" s="40" t="str">
        <f t="shared" si="55"/>
        <v/>
      </c>
      <c r="Y1715" s="40" t="str">
        <f>TEXT(Table1[[#This Row],[YEAR]],"0000")&amp;"-"&amp;Table1[[#This Row],[MONTH]]</f>
        <v>-</v>
      </c>
    </row>
    <row r="1716" spans="1:25" ht="15" customHeight="1" x14ac:dyDescent="0.35">
      <c r="A1716" s="24"/>
      <c r="B1716" s="38"/>
      <c r="C1716" s="38"/>
      <c r="D1716" s="38"/>
      <c r="E1716" s="37"/>
      <c r="F1716" s="38"/>
      <c r="G1716" s="198"/>
      <c r="H1716" s="198"/>
      <c r="I1716" s="39"/>
      <c r="J1716" s="38"/>
      <c r="K1716" s="198"/>
      <c r="L1716" s="38"/>
      <c r="M1716" s="38"/>
      <c r="N1716" s="38"/>
      <c r="O1716" s="38"/>
      <c r="P1716" s="40" t="str" cm="1">
        <f t="array" ref="P1716">IF(N1716="","",IFERROR(_xlfn.XLOOKUP(F1716&amp;"|"&amp;J1716&amp;"|"&amp;O1716,PRICES!$C$2:$C$659&amp;"|"&amp;PRICES!$B$2:$B$659&amp;"|"&amp;PRICES!$D$2:$D$659,PRICES!$E$2:$E$659),"Not Found"))</f>
        <v/>
      </c>
      <c r="Q1716" s="100" t="str">
        <f>IF(N1716=0,"",SUMIFS(PRICES!$G$2:$G$658,PRICES!$B$2:$B$658,'MAIN TABLE-1 AUTOMATED'!J1716,PRICES!$C$2:$C$658,'MAIN TABLE-1 AUTOMATED'!F1716,PRICES!$D$2:$D$658,'MAIN TABLE-1 AUTOMATED'!O1716))</f>
        <v/>
      </c>
      <c r="R1716" s="41" t="str">
        <f>IF(Table1[[#This Row],[QUANTITY]]=0,"",Table1[[#This Row],[UNIT PRICE]]*Table1[[#This Row],[QUANTITY]])</f>
        <v/>
      </c>
      <c r="S1716" s="89"/>
      <c r="T1716" s="38"/>
      <c r="U1716" s="43"/>
      <c r="V1716" s="42" t="str">
        <f>IF(Table1[[#This Row],[DATE]]=0,"",YEAR(E1716))</f>
        <v/>
      </c>
      <c r="W1716" s="40" t="str">
        <f t="shared" si="54"/>
        <v/>
      </c>
      <c r="X1716" s="40" t="str">
        <f t="shared" si="55"/>
        <v/>
      </c>
      <c r="Y1716" s="40" t="str">
        <f>TEXT(Table1[[#This Row],[YEAR]],"0000")&amp;"-"&amp;Table1[[#This Row],[MONTH]]</f>
        <v>-</v>
      </c>
    </row>
    <row r="1717" spans="1:25" ht="15" customHeight="1" x14ac:dyDescent="0.35">
      <c r="A1717" s="24"/>
      <c r="B1717" s="38"/>
      <c r="C1717" s="38"/>
      <c r="D1717" s="38"/>
      <c r="E1717" s="37"/>
      <c r="F1717" s="38"/>
      <c r="G1717" s="198"/>
      <c r="H1717" s="198"/>
      <c r="I1717" s="39"/>
      <c r="J1717" s="38"/>
      <c r="K1717" s="198"/>
      <c r="L1717" s="38"/>
      <c r="M1717" s="38"/>
      <c r="N1717" s="38"/>
      <c r="O1717" s="38"/>
      <c r="P1717" s="40" t="str" cm="1">
        <f t="array" ref="P1717">IF(N1717="","",IFERROR(_xlfn.XLOOKUP(F1717&amp;"|"&amp;J1717&amp;"|"&amp;O1717,PRICES!$C$2:$C$659&amp;"|"&amp;PRICES!$B$2:$B$659&amp;"|"&amp;PRICES!$D$2:$D$659,PRICES!$E$2:$E$659),"Not Found"))</f>
        <v/>
      </c>
      <c r="Q1717" s="100" t="str">
        <f>IF(N1717=0,"",SUMIFS(PRICES!$G$2:$G$658,PRICES!$B$2:$B$658,'MAIN TABLE-1 AUTOMATED'!J1717,PRICES!$C$2:$C$658,'MAIN TABLE-1 AUTOMATED'!F1717,PRICES!$D$2:$D$658,'MAIN TABLE-1 AUTOMATED'!O1717))</f>
        <v/>
      </c>
      <c r="R1717" s="41" t="str">
        <f>IF(Table1[[#This Row],[QUANTITY]]=0,"",Table1[[#This Row],[UNIT PRICE]]*Table1[[#This Row],[QUANTITY]])</f>
        <v/>
      </c>
      <c r="S1717" s="89"/>
      <c r="T1717" s="38"/>
      <c r="U1717" s="43"/>
      <c r="V1717" s="42" t="str">
        <f>IF(Table1[[#This Row],[DATE]]=0,"",YEAR(E1717))</f>
        <v/>
      </c>
      <c r="W1717" s="40" t="str">
        <f t="shared" si="54"/>
        <v/>
      </c>
      <c r="X1717" s="40" t="str">
        <f t="shared" si="55"/>
        <v/>
      </c>
      <c r="Y1717" s="40" t="str">
        <f>TEXT(Table1[[#This Row],[YEAR]],"0000")&amp;"-"&amp;Table1[[#This Row],[MONTH]]</f>
        <v>-</v>
      </c>
    </row>
    <row r="1718" spans="1:25" ht="15" customHeight="1" x14ac:dyDescent="0.35">
      <c r="A1718" s="24"/>
      <c r="B1718" s="38"/>
      <c r="C1718" s="38"/>
      <c r="D1718" s="38"/>
      <c r="E1718" s="37"/>
      <c r="F1718" s="38"/>
      <c r="G1718" s="232"/>
      <c r="H1718" s="232"/>
      <c r="I1718" s="39"/>
      <c r="J1718" s="38"/>
      <c r="K1718" s="198"/>
      <c r="L1718" s="38"/>
      <c r="M1718" s="38"/>
      <c r="N1718" s="38"/>
      <c r="O1718" s="38"/>
      <c r="P1718" s="40" t="str" cm="1">
        <f t="array" ref="P1718">IF(N1718="","",IFERROR(_xlfn.XLOOKUP(F1718&amp;"|"&amp;J1718&amp;"|"&amp;O1718,PRICES!$C$2:$C$659&amp;"|"&amp;PRICES!$B$2:$B$659&amp;"|"&amp;PRICES!$D$2:$D$659,PRICES!$E$2:$E$659),"Not Found"))</f>
        <v/>
      </c>
      <c r="Q1718" s="100" t="str">
        <f>IF(N1718=0,"",SUMIFS(PRICES!$G$2:$G$658,PRICES!$B$2:$B$658,'MAIN TABLE-1 AUTOMATED'!J1718,PRICES!$C$2:$C$658,'MAIN TABLE-1 AUTOMATED'!F1718,PRICES!$D$2:$D$658,'MAIN TABLE-1 AUTOMATED'!O1718))</f>
        <v/>
      </c>
      <c r="R1718" s="41" t="str">
        <f>IF(Table1[[#This Row],[QUANTITY]]=0,"",Table1[[#This Row],[UNIT PRICE]]*Table1[[#This Row],[QUANTITY]])</f>
        <v/>
      </c>
      <c r="S1718" s="89"/>
      <c r="T1718" s="38"/>
      <c r="U1718" s="43"/>
      <c r="V1718" s="42" t="str">
        <f>IF(Table1[[#This Row],[DATE]]=0,"",YEAR(E1718))</f>
        <v/>
      </c>
      <c r="W1718" s="40" t="str">
        <f t="shared" si="54"/>
        <v/>
      </c>
      <c r="X1718" s="40" t="str">
        <f t="shared" si="55"/>
        <v/>
      </c>
      <c r="Y1718" s="40" t="str">
        <f>TEXT(Table1[[#This Row],[YEAR]],"0000")&amp;"-"&amp;Table1[[#This Row],[MONTH]]</f>
        <v>-</v>
      </c>
    </row>
    <row r="1719" spans="1:25" ht="15" customHeight="1" x14ac:dyDescent="0.35">
      <c r="A1719" s="24"/>
      <c r="B1719" s="38"/>
      <c r="C1719" s="38"/>
      <c r="D1719" s="38"/>
      <c r="E1719" s="37"/>
      <c r="F1719" s="38"/>
      <c r="G1719" s="233"/>
      <c r="H1719" s="233"/>
      <c r="I1719" s="39"/>
      <c r="J1719" s="38"/>
      <c r="K1719" s="198"/>
      <c r="L1719" s="38"/>
      <c r="M1719" s="38"/>
      <c r="N1719" s="38"/>
      <c r="O1719" s="38"/>
      <c r="P1719" s="40" t="str" cm="1">
        <f t="array" ref="P1719">IF(N1719="","",IFERROR(_xlfn.XLOOKUP(F1719&amp;"|"&amp;J1719&amp;"|"&amp;O1719,PRICES!$C$2:$C$659&amp;"|"&amp;PRICES!$B$2:$B$659&amp;"|"&amp;PRICES!$D$2:$D$659,PRICES!$E$2:$E$659),"Not Found"))</f>
        <v/>
      </c>
      <c r="Q1719" s="100" t="str">
        <f>IF(N1719=0,"",SUMIFS(PRICES!$G$2:$G$658,PRICES!$B$2:$B$658,'MAIN TABLE-1 AUTOMATED'!J1719,PRICES!$C$2:$C$658,'MAIN TABLE-1 AUTOMATED'!F1719,PRICES!$D$2:$D$658,'MAIN TABLE-1 AUTOMATED'!O1719))</f>
        <v/>
      </c>
      <c r="R1719" s="41" t="str">
        <f>IF(Table1[[#This Row],[QUANTITY]]=0,"",Table1[[#This Row],[UNIT PRICE]]*Table1[[#This Row],[QUANTITY]])</f>
        <v/>
      </c>
      <c r="S1719" s="89"/>
      <c r="T1719" s="38"/>
      <c r="U1719" s="43"/>
      <c r="V1719" s="42" t="str">
        <f>IF(Table1[[#This Row],[DATE]]=0,"",YEAR(E1719))</f>
        <v/>
      </c>
      <c r="W1719" s="40" t="str">
        <f t="shared" si="54"/>
        <v/>
      </c>
      <c r="X1719" s="40" t="str">
        <f t="shared" si="55"/>
        <v/>
      </c>
      <c r="Y1719" s="40" t="str">
        <f>TEXT(Table1[[#This Row],[YEAR]],"0000")&amp;"-"&amp;Table1[[#This Row],[MONTH]]</f>
        <v>-</v>
      </c>
    </row>
    <row r="1720" spans="1:25" ht="15" customHeight="1" x14ac:dyDescent="0.35">
      <c r="A1720" s="24"/>
      <c r="B1720" s="38"/>
      <c r="C1720" s="38"/>
      <c r="D1720" s="38"/>
      <c r="E1720" s="37"/>
      <c r="F1720" s="38"/>
      <c r="G1720" s="198"/>
      <c r="H1720" s="198"/>
      <c r="I1720" s="39"/>
      <c r="J1720" s="38"/>
      <c r="K1720" s="198"/>
      <c r="L1720" s="38"/>
      <c r="M1720" s="38"/>
      <c r="N1720" s="38"/>
      <c r="O1720" s="38"/>
      <c r="P1720" s="40" t="str" cm="1">
        <f t="array" ref="P1720">IF(N1720="","",IFERROR(_xlfn.XLOOKUP(F1720&amp;"|"&amp;J1720&amp;"|"&amp;O1720,PRICES!$C$2:$C$659&amp;"|"&amp;PRICES!$B$2:$B$659&amp;"|"&amp;PRICES!$D$2:$D$659,PRICES!$E$2:$E$659),"Not Found"))</f>
        <v/>
      </c>
      <c r="Q1720" s="100" t="str">
        <f>IF(N1720=0,"",SUMIFS(PRICES!$G$2:$G$658,PRICES!$B$2:$B$658,'MAIN TABLE-1 AUTOMATED'!J1720,PRICES!$C$2:$C$658,'MAIN TABLE-1 AUTOMATED'!F1720,PRICES!$D$2:$D$658,'MAIN TABLE-1 AUTOMATED'!O1720))</f>
        <v/>
      </c>
      <c r="R1720" s="41" t="str">
        <f>IF(Table1[[#This Row],[QUANTITY]]=0,"",Table1[[#This Row],[UNIT PRICE]]*Table1[[#This Row],[QUANTITY]])</f>
        <v/>
      </c>
      <c r="S1720" s="89"/>
      <c r="T1720" s="38"/>
      <c r="U1720" s="43"/>
      <c r="V1720" s="42" t="str">
        <f>IF(Table1[[#This Row],[DATE]]=0,"",YEAR(E1720))</f>
        <v/>
      </c>
      <c r="W1720" s="40" t="str">
        <f t="shared" si="54"/>
        <v/>
      </c>
      <c r="X1720" s="40" t="str">
        <f t="shared" si="55"/>
        <v/>
      </c>
      <c r="Y1720" s="40" t="str">
        <f>TEXT(Table1[[#This Row],[YEAR]],"0000")&amp;"-"&amp;Table1[[#This Row],[MONTH]]</f>
        <v>-</v>
      </c>
    </row>
    <row r="1721" spans="1:25" ht="15" customHeight="1" x14ac:dyDescent="0.35">
      <c r="A1721" s="24"/>
      <c r="B1721" s="38"/>
      <c r="C1721" s="38"/>
      <c r="D1721" s="38"/>
      <c r="E1721" s="37"/>
      <c r="F1721" s="38"/>
      <c r="G1721" s="198"/>
      <c r="H1721" s="198"/>
      <c r="I1721" s="39"/>
      <c r="J1721" s="38"/>
      <c r="K1721" s="198"/>
      <c r="L1721" s="38"/>
      <c r="M1721" s="38"/>
      <c r="N1721" s="38"/>
      <c r="O1721" s="38"/>
      <c r="P1721" s="40" t="str" cm="1">
        <f t="array" ref="P1721">IF(N1721="","",IFERROR(_xlfn.XLOOKUP(F1721&amp;"|"&amp;J1721&amp;"|"&amp;O1721,PRICES!$C$2:$C$659&amp;"|"&amp;PRICES!$B$2:$B$659&amp;"|"&amp;PRICES!$D$2:$D$659,PRICES!$E$2:$E$659),"Not Found"))</f>
        <v/>
      </c>
      <c r="Q1721" s="100" t="str">
        <f>IF(N1721=0,"",SUMIFS(PRICES!$G$2:$G$658,PRICES!$B$2:$B$658,'MAIN TABLE-1 AUTOMATED'!J1721,PRICES!$C$2:$C$658,'MAIN TABLE-1 AUTOMATED'!F1721,PRICES!$D$2:$D$658,'MAIN TABLE-1 AUTOMATED'!O1721))</f>
        <v/>
      </c>
      <c r="R1721" s="41" t="str">
        <f>IF(Table1[[#This Row],[QUANTITY]]=0,"",Table1[[#This Row],[UNIT PRICE]]*Table1[[#This Row],[QUANTITY]])</f>
        <v/>
      </c>
      <c r="S1721" s="89"/>
      <c r="T1721" s="38"/>
      <c r="U1721" s="43"/>
      <c r="V1721" s="42" t="str">
        <f>IF(Table1[[#This Row],[DATE]]=0,"",YEAR(E1721))</f>
        <v/>
      </c>
      <c r="W1721" s="40" t="str">
        <f t="shared" si="54"/>
        <v/>
      </c>
      <c r="X1721" s="40" t="str">
        <f t="shared" si="55"/>
        <v/>
      </c>
      <c r="Y1721" s="40" t="str">
        <f>TEXT(Table1[[#This Row],[YEAR]],"0000")&amp;"-"&amp;Table1[[#This Row],[MONTH]]</f>
        <v>-</v>
      </c>
    </row>
    <row r="1722" spans="1:25" ht="15" customHeight="1" x14ac:dyDescent="0.35">
      <c r="A1722" s="24"/>
      <c r="B1722" s="38"/>
      <c r="C1722" s="38"/>
      <c r="D1722" s="38"/>
      <c r="E1722" s="37"/>
      <c r="F1722" s="38"/>
      <c r="G1722" s="198"/>
      <c r="H1722" s="198"/>
      <c r="I1722" s="39"/>
      <c r="J1722" s="38"/>
      <c r="K1722" s="198"/>
      <c r="L1722" s="38"/>
      <c r="M1722" s="38"/>
      <c r="N1722" s="38"/>
      <c r="O1722" s="38"/>
      <c r="P1722" s="40" t="str" cm="1">
        <f t="array" ref="P1722">IF(N1722="","",IFERROR(_xlfn.XLOOKUP(F1722&amp;"|"&amp;J1722&amp;"|"&amp;O1722,PRICES!$C$2:$C$659&amp;"|"&amp;PRICES!$B$2:$B$659&amp;"|"&amp;PRICES!$D$2:$D$659,PRICES!$E$2:$E$659),"Not Found"))</f>
        <v/>
      </c>
      <c r="Q1722" s="100" t="str">
        <f>IF(N1722=0,"",SUMIFS(PRICES!$G$2:$G$658,PRICES!$B$2:$B$658,'MAIN TABLE-1 AUTOMATED'!J1722,PRICES!$C$2:$C$658,'MAIN TABLE-1 AUTOMATED'!F1722,PRICES!$D$2:$D$658,'MAIN TABLE-1 AUTOMATED'!O1722))</f>
        <v/>
      </c>
      <c r="R1722" s="41" t="str">
        <f>IF(Table1[[#This Row],[QUANTITY]]=0,"",Table1[[#This Row],[UNIT PRICE]]*Table1[[#This Row],[QUANTITY]])</f>
        <v/>
      </c>
      <c r="S1722" s="89"/>
      <c r="T1722" s="38"/>
      <c r="U1722" s="43"/>
      <c r="V1722" s="42" t="str">
        <f>IF(Table1[[#This Row],[DATE]]=0,"",YEAR(E1722))</f>
        <v/>
      </c>
      <c r="W1722" s="40" t="str">
        <f t="shared" si="54"/>
        <v/>
      </c>
      <c r="X1722" s="40" t="str">
        <f t="shared" si="55"/>
        <v/>
      </c>
      <c r="Y1722" s="40" t="str">
        <f>TEXT(Table1[[#This Row],[YEAR]],"0000")&amp;"-"&amp;Table1[[#This Row],[MONTH]]</f>
        <v>-</v>
      </c>
    </row>
    <row r="1723" spans="1:25" ht="15" customHeight="1" x14ac:dyDescent="0.35">
      <c r="A1723" s="24"/>
      <c r="B1723" s="38"/>
      <c r="C1723" s="38"/>
      <c r="D1723" s="38"/>
      <c r="E1723" s="37"/>
      <c r="F1723" s="38"/>
      <c r="G1723" s="198"/>
      <c r="H1723" s="198"/>
      <c r="I1723" s="39"/>
      <c r="J1723" s="38"/>
      <c r="K1723" s="198"/>
      <c r="L1723" s="38"/>
      <c r="M1723" s="38"/>
      <c r="N1723" s="38"/>
      <c r="O1723" s="38"/>
      <c r="P1723" s="40" t="str" cm="1">
        <f t="array" ref="P1723">IF(N1723="","",IFERROR(_xlfn.XLOOKUP(F1723&amp;"|"&amp;J1723&amp;"|"&amp;O1723,PRICES!$C$2:$C$659&amp;"|"&amp;PRICES!$B$2:$B$659&amp;"|"&amp;PRICES!$D$2:$D$659,PRICES!$E$2:$E$659),"Not Found"))</f>
        <v/>
      </c>
      <c r="Q1723" s="100" t="str">
        <f>IF(N1723=0,"",SUMIFS(PRICES!$G$2:$G$658,PRICES!$B$2:$B$658,'MAIN TABLE-1 AUTOMATED'!J1723,PRICES!$C$2:$C$658,'MAIN TABLE-1 AUTOMATED'!F1723,PRICES!$D$2:$D$658,'MAIN TABLE-1 AUTOMATED'!O1723))</f>
        <v/>
      </c>
      <c r="R1723" s="41" t="str">
        <f>IF(Table1[[#This Row],[QUANTITY]]=0,"",Table1[[#This Row],[UNIT PRICE]]*Table1[[#This Row],[QUANTITY]])</f>
        <v/>
      </c>
      <c r="S1723" s="89"/>
      <c r="T1723" s="38"/>
      <c r="U1723" s="43"/>
      <c r="V1723" s="42" t="str">
        <f>IF(Table1[[#This Row],[DATE]]=0,"",YEAR(E1723))</f>
        <v/>
      </c>
      <c r="W1723" s="40" t="str">
        <f t="shared" si="54"/>
        <v/>
      </c>
      <c r="X1723" s="40" t="str">
        <f t="shared" si="55"/>
        <v/>
      </c>
      <c r="Y1723" s="40" t="str">
        <f>TEXT(Table1[[#This Row],[YEAR]],"0000")&amp;"-"&amp;Table1[[#This Row],[MONTH]]</f>
        <v>-</v>
      </c>
    </row>
    <row r="1724" spans="1:25" ht="15" customHeight="1" x14ac:dyDescent="0.35">
      <c r="A1724" s="24"/>
      <c r="B1724" s="38"/>
      <c r="C1724" s="38"/>
      <c r="D1724" s="38"/>
      <c r="E1724" s="37"/>
      <c r="F1724" s="38"/>
      <c r="G1724" s="198"/>
      <c r="H1724" s="198"/>
      <c r="I1724" s="39"/>
      <c r="J1724" s="38"/>
      <c r="K1724" s="198"/>
      <c r="L1724" s="38"/>
      <c r="M1724" s="38"/>
      <c r="N1724" s="38"/>
      <c r="O1724" s="38"/>
      <c r="P1724" s="40" t="str" cm="1">
        <f t="array" ref="P1724">IF(N1724="","",IFERROR(_xlfn.XLOOKUP(F1724&amp;"|"&amp;J1724&amp;"|"&amp;O1724,PRICES!$C$2:$C$659&amp;"|"&amp;PRICES!$B$2:$B$659&amp;"|"&amp;PRICES!$D$2:$D$659,PRICES!$E$2:$E$659),"Not Found"))</f>
        <v/>
      </c>
      <c r="Q1724" s="100" t="str">
        <f>IF(N1724=0,"",SUMIFS(PRICES!$G$2:$G$658,PRICES!$B$2:$B$658,'MAIN TABLE-1 AUTOMATED'!J1724,PRICES!$C$2:$C$658,'MAIN TABLE-1 AUTOMATED'!F1724,PRICES!$D$2:$D$658,'MAIN TABLE-1 AUTOMATED'!O1724))</f>
        <v/>
      </c>
      <c r="R1724" s="41" t="str">
        <f>IF(Table1[[#This Row],[QUANTITY]]=0,"",Table1[[#This Row],[UNIT PRICE]]*Table1[[#This Row],[QUANTITY]])</f>
        <v/>
      </c>
      <c r="S1724" s="89"/>
      <c r="T1724" s="38"/>
      <c r="U1724" s="43"/>
      <c r="V1724" s="42" t="str">
        <f>IF(Table1[[#This Row],[DATE]]=0,"",YEAR(E1724))</f>
        <v/>
      </c>
      <c r="W1724" s="40" t="str">
        <f t="shared" si="54"/>
        <v/>
      </c>
      <c r="X1724" s="40" t="str">
        <f t="shared" si="55"/>
        <v/>
      </c>
      <c r="Y1724" s="40" t="str">
        <f>TEXT(Table1[[#This Row],[YEAR]],"0000")&amp;"-"&amp;Table1[[#This Row],[MONTH]]</f>
        <v>-</v>
      </c>
    </row>
    <row r="1725" spans="1:25" ht="15" customHeight="1" x14ac:dyDescent="0.35">
      <c r="A1725" s="24"/>
      <c r="B1725" s="38"/>
      <c r="C1725" s="38"/>
      <c r="D1725" s="38"/>
      <c r="E1725" s="37"/>
      <c r="F1725" s="38"/>
      <c r="G1725" s="198"/>
      <c r="H1725" s="198"/>
      <c r="I1725" s="39"/>
      <c r="J1725" s="38"/>
      <c r="K1725" s="198"/>
      <c r="L1725" s="38"/>
      <c r="M1725" s="38"/>
      <c r="N1725" s="38"/>
      <c r="O1725" s="38"/>
      <c r="P1725" s="40" t="str" cm="1">
        <f t="array" ref="P1725">IF(N1725="","",IFERROR(_xlfn.XLOOKUP(F1725&amp;"|"&amp;J1725&amp;"|"&amp;O1725,PRICES!$C$2:$C$659&amp;"|"&amp;PRICES!$B$2:$B$659&amp;"|"&amp;PRICES!$D$2:$D$659,PRICES!$E$2:$E$659),"Not Found"))</f>
        <v/>
      </c>
      <c r="Q1725" s="100" t="str">
        <f>IF(N1725=0,"",SUMIFS(PRICES!$G$2:$G$658,PRICES!$B$2:$B$658,'MAIN TABLE-1 AUTOMATED'!J1725,PRICES!$C$2:$C$658,'MAIN TABLE-1 AUTOMATED'!F1725,PRICES!$D$2:$D$658,'MAIN TABLE-1 AUTOMATED'!O1725))</f>
        <v/>
      </c>
      <c r="R1725" s="41" t="str">
        <f>IF(Table1[[#This Row],[QUANTITY]]=0,"",Table1[[#This Row],[UNIT PRICE]]*Table1[[#This Row],[QUANTITY]])</f>
        <v/>
      </c>
      <c r="S1725" s="89"/>
      <c r="T1725" s="38"/>
      <c r="U1725" s="43"/>
      <c r="V1725" s="42" t="str">
        <f>IF(Table1[[#This Row],[DATE]]=0,"",YEAR(E1725))</f>
        <v/>
      </c>
      <c r="W1725" s="40" t="str">
        <f t="shared" si="54"/>
        <v/>
      </c>
      <c r="X1725" s="40" t="str">
        <f t="shared" si="55"/>
        <v/>
      </c>
      <c r="Y1725" s="40" t="str">
        <f>TEXT(Table1[[#This Row],[YEAR]],"0000")&amp;"-"&amp;Table1[[#This Row],[MONTH]]</f>
        <v>-</v>
      </c>
    </row>
    <row r="1726" spans="1:25" ht="15" customHeight="1" x14ac:dyDescent="0.35">
      <c r="A1726" s="24"/>
      <c r="B1726" s="38"/>
      <c r="C1726" s="38"/>
      <c r="D1726" s="38"/>
      <c r="E1726" s="37"/>
      <c r="F1726" s="38"/>
      <c r="G1726" s="198"/>
      <c r="H1726" s="198"/>
      <c r="I1726" s="39"/>
      <c r="J1726" s="38"/>
      <c r="K1726" s="198"/>
      <c r="L1726" s="38"/>
      <c r="M1726" s="38"/>
      <c r="N1726" s="38"/>
      <c r="O1726" s="38"/>
      <c r="P1726" s="40" t="str" cm="1">
        <f t="array" ref="P1726">IF(N1726="","",IFERROR(_xlfn.XLOOKUP(F1726&amp;"|"&amp;J1726&amp;"|"&amp;O1726,PRICES!$C$2:$C$659&amp;"|"&amp;PRICES!$B$2:$B$659&amp;"|"&amp;PRICES!$D$2:$D$659,PRICES!$E$2:$E$659),"Not Found"))</f>
        <v/>
      </c>
      <c r="Q1726" s="100" t="str">
        <f>IF(N1726=0,"",SUMIFS(PRICES!$G$2:$G$658,PRICES!$B$2:$B$658,'MAIN TABLE-1 AUTOMATED'!J1726,PRICES!$C$2:$C$658,'MAIN TABLE-1 AUTOMATED'!F1726,PRICES!$D$2:$D$658,'MAIN TABLE-1 AUTOMATED'!O1726))</f>
        <v/>
      </c>
      <c r="R1726" s="41" t="str">
        <f>IF(Table1[[#This Row],[QUANTITY]]=0,"",Table1[[#This Row],[UNIT PRICE]]*Table1[[#This Row],[QUANTITY]])</f>
        <v/>
      </c>
      <c r="S1726" s="89"/>
      <c r="T1726" s="38"/>
      <c r="U1726" s="43"/>
      <c r="V1726" s="42" t="str">
        <f>IF(Table1[[#This Row],[DATE]]=0,"",YEAR(E1726))</f>
        <v/>
      </c>
      <c r="W1726" s="40" t="str">
        <f t="shared" si="54"/>
        <v/>
      </c>
      <c r="X1726" s="40" t="str">
        <f t="shared" si="55"/>
        <v/>
      </c>
      <c r="Y1726" s="40" t="str">
        <f>TEXT(Table1[[#This Row],[YEAR]],"0000")&amp;"-"&amp;Table1[[#This Row],[MONTH]]</f>
        <v>-</v>
      </c>
    </row>
    <row r="1727" spans="1:25" ht="15" customHeight="1" x14ac:dyDescent="0.35">
      <c r="A1727" s="24"/>
      <c r="B1727" s="38"/>
      <c r="C1727" s="38"/>
      <c r="D1727" s="38"/>
      <c r="E1727" s="37"/>
      <c r="F1727" s="38"/>
      <c r="G1727" s="198"/>
      <c r="H1727" s="198"/>
      <c r="I1727" s="39"/>
      <c r="J1727" s="38"/>
      <c r="K1727" s="198"/>
      <c r="L1727" s="38"/>
      <c r="M1727" s="38"/>
      <c r="N1727" s="38"/>
      <c r="O1727" s="38"/>
      <c r="P1727" s="40" t="str" cm="1">
        <f t="array" ref="P1727">IF(N1727="","",IFERROR(_xlfn.XLOOKUP(F1727&amp;"|"&amp;J1727&amp;"|"&amp;O1727,PRICES!$C$2:$C$659&amp;"|"&amp;PRICES!$B$2:$B$659&amp;"|"&amp;PRICES!$D$2:$D$659,PRICES!$E$2:$E$659),"Not Found"))</f>
        <v/>
      </c>
      <c r="Q1727" s="100" t="str">
        <f>IF(N1727=0,"",SUMIFS(PRICES!$G$2:$G$658,PRICES!$B$2:$B$658,'MAIN TABLE-1 AUTOMATED'!J1727,PRICES!$C$2:$C$658,'MAIN TABLE-1 AUTOMATED'!F1727,PRICES!$D$2:$D$658,'MAIN TABLE-1 AUTOMATED'!O1727))</f>
        <v/>
      </c>
      <c r="R1727" s="41" t="str">
        <f>IF(Table1[[#This Row],[QUANTITY]]=0,"",Table1[[#This Row],[UNIT PRICE]]*Table1[[#This Row],[QUANTITY]])</f>
        <v/>
      </c>
      <c r="S1727" s="89"/>
      <c r="T1727" s="38"/>
      <c r="U1727" s="43"/>
      <c r="V1727" s="42" t="str">
        <f>IF(Table1[[#This Row],[DATE]]=0,"",YEAR(E1727))</f>
        <v/>
      </c>
      <c r="W1727" s="40" t="str">
        <f t="shared" si="54"/>
        <v/>
      </c>
      <c r="X1727" s="40" t="str">
        <f t="shared" si="55"/>
        <v/>
      </c>
      <c r="Y1727" s="40" t="str">
        <f>TEXT(Table1[[#This Row],[YEAR]],"0000")&amp;"-"&amp;Table1[[#This Row],[MONTH]]</f>
        <v>-</v>
      </c>
    </row>
    <row r="1728" spans="1:25" ht="15" customHeight="1" x14ac:dyDescent="0.35">
      <c r="A1728" s="24"/>
      <c r="B1728" s="38"/>
      <c r="C1728" s="38"/>
      <c r="D1728" s="38"/>
      <c r="E1728" s="37"/>
      <c r="F1728" s="38"/>
      <c r="G1728" s="198"/>
      <c r="H1728" s="198"/>
      <c r="I1728" s="39"/>
      <c r="J1728" s="38"/>
      <c r="K1728" s="198"/>
      <c r="L1728" s="38"/>
      <c r="M1728" s="38"/>
      <c r="N1728" s="38"/>
      <c r="O1728" s="38"/>
      <c r="P1728" s="40" t="str" cm="1">
        <f t="array" ref="P1728">IF(N1728="","",IFERROR(_xlfn.XLOOKUP(F1728&amp;"|"&amp;J1728&amp;"|"&amp;O1728,PRICES!$C$2:$C$659&amp;"|"&amp;PRICES!$B$2:$B$659&amp;"|"&amp;PRICES!$D$2:$D$659,PRICES!$E$2:$E$659),"Not Found"))</f>
        <v/>
      </c>
      <c r="Q1728" s="100" t="str">
        <f>IF(N1728=0,"",SUMIFS(PRICES!$G$2:$G$658,PRICES!$B$2:$B$658,'MAIN TABLE-1 AUTOMATED'!J1728,PRICES!$C$2:$C$658,'MAIN TABLE-1 AUTOMATED'!F1728,PRICES!$D$2:$D$658,'MAIN TABLE-1 AUTOMATED'!O1728))</f>
        <v/>
      </c>
      <c r="R1728" s="41" t="str">
        <f>IF(Table1[[#This Row],[QUANTITY]]=0,"",Table1[[#This Row],[UNIT PRICE]]*Table1[[#This Row],[QUANTITY]])</f>
        <v/>
      </c>
      <c r="S1728" s="89"/>
      <c r="T1728" s="38"/>
      <c r="U1728" s="43"/>
      <c r="V1728" s="42" t="str">
        <f>IF(Table1[[#This Row],[DATE]]=0,"",YEAR(E1728))</f>
        <v/>
      </c>
      <c r="W1728" s="40" t="str">
        <f t="shared" si="54"/>
        <v/>
      </c>
      <c r="X1728" s="40" t="str">
        <f t="shared" si="55"/>
        <v/>
      </c>
      <c r="Y1728" s="40" t="str">
        <f>TEXT(Table1[[#This Row],[YEAR]],"0000")&amp;"-"&amp;Table1[[#This Row],[MONTH]]</f>
        <v>-</v>
      </c>
    </row>
    <row r="1729" spans="1:25" ht="15" customHeight="1" x14ac:dyDescent="0.35">
      <c r="A1729" s="24"/>
      <c r="B1729" s="38"/>
      <c r="C1729" s="38"/>
      <c r="D1729" s="38"/>
      <c r="E1729" s="37"/>
      <c r="F1729" s="38"/>
      <c r="G1729" s="198"/>
      <c r="H1729" s="198"/>
      <c r="I1729" s="39"/>
      <c r="J1729" s="38"/>
      <c r="K1729" s="198"/>
      <c r="L1729" s="38"/>
      <c r="M1729" s="38"/>
      <c r="N1729" s="38"/>
      <c r="O1729" s="38"/>
      <c r="P1729" s="40" t="str" cm="1">
        <f t="array" ref="P1729">IF(N1729="","",IFERROR(_xlfn.XLOOKUP(F1729&amp;"|"&amp;J1729&amp;"|"&amp;O1729,PRICES!$C$2:$C$659&amp;"|"&amp;PRICES!$B$2:$B$659&amp;"|"&amp;PRICES!$D$2:$D$659,PRICES!$E$2:$E$659),"Not Found"))</f>
        <v/>
      </c>
      <c r="Q1729" s="100" t="str">
        <f>IF(N1729=0,"",SUMIFS(PRICES!$G$2:$G$658,PRICES!$B$2:$B$658,'MAIN TABLE-1 AUTOMATED'!J1729,PRICES!$C$2:$C$658,'MAIN TABLE-1 AUTOMATED'!F1729,PRICES!$D$2:$D$658,'MAIN TABLE-1 AUTOMATED'!O1729))</f>
        <v/>
      </c>
      <c r="R1729" s="41" t="str">
        <f>IF(Table1[[#This Row],[QUANTITY]]=0,"",Table1[[#This Row],[UNIT PRICE]]*Table1[[#This Row],[QUANTITY]])</f>
        <v/>
      </c>
      <c r="S1729" s="89"/>
      <c r="T1729" s="38"/>
      <c r="U1729" s="43"/>
      <c r="V1729" s="42" t="str">
        <f>IF(Table1[[#This Row],[DATE]]=0,"",YEAR(E1729))</f>
        <v/>
      </c>
      <c r="W1729" s="40" t="str">
        <f t="shared" si="54"/>
        <v/>
      </c>
      <c r="X1729" s="40" t="str">
        <f t="shared" si="55"/>
        <v/>
      </c>
      <c r="Y1729" s="40" t="str">
        <f>TEXT(Table1[[#This Row],[YEAR]],"0000")&amp;"-"&amp;Table1[[#This Row],[MONTH]]</f>
        <v>-</v>
      </c>
    </row>
    <row r="1730" spans="1:25" ht="15" customHeight="1" x14ac:dyDescent="0.35">
      <c r="A1730" s="24"/>
      <c r="B1730" s="38"/>
      <c r="C1730" s="38"/>
      <c r="D1730" s="38"/>
      <c r="E1730" s="37"/>
      <c r="F1730" s="38"/>
      <c r="G1730" s="198"/>
      <c r="H1730" s="198"/>
      <c r="I1730" s="39"/>
      <c r="J1730" s="38"/>
      <c r="K1730" s="198"/>
      <c r="L1730" s="38"/>
      <c r="M1730" s="38"/>
      <c r="N1730" s="38"/>
      <c r="O1730" s="38"/>
      <c r="P1730" s="40" t="str" cm="1">
        <f t="array" ref="P1730">IF(N1730="","",IFERROR(_xlfn.XLOOKUP(F1730&amp;"|"&amp;J1730&amp;"|"&amp;O1730,PRICES!$C$2:$C$659&amp;"|"&amp;PRICES!$B$2:$B$659&amp;"|"&amp;PRICES!$D$2:$D$659,PRICES!$E$2:$E$659),"Not Found"))</f>
        <v/>
      </c>
      <c r="Q1730" s="100" t="str">
        <f>IF(N1730=0,"",SUMIFS(PRICES!$G$2:$G$658,PRICES!$B$2:$B$658,'MAIN TABLE-1 AUTOMATED'!J1730,PRICES!$C$2:$C$658,'MAIN TABLE-1 AUTOMATED'!F1730,PRICES!$D$2:$D$658,'MAIN TABLE-1 AUTOMATED'!O1730))</f>
        <v/>
      </c>
      <c r="R1730" s="41" t="str">
        <f>IF(Table1[[#This Row],[QUANTITY]]=0,"",Table1[[#This Row],[UNIT PRICE]]*Table1[[#This Row],[QUANTITY]])</f>
        <v/>
      </c>
      <c r="S1730" s="89"/>
      <c r="T1730" s="38"/>
      <c r="U1730" s="43"/>
      <c r="V1730" s="42" t="str">
        <f>IF(Table1[[#This Row],[DATE]]=0,"",YEAR(E1730))</f>
        <v/>
      </c>
      <c r="W1730" s="40" t="str">
        <f t="shared" si="54"/>
        <v/>
      </c>
      <c r="X1730" s="40" t="str">
        <f t="shared" si="55"/>
        <v/>
      </c>
      <c r="Y1730" s="40" t="str">
        <f>TEXT(Table1[[#This Row],[YEAR]],"0000")&amp;"-"&amp;Table1[[#This Row],[MONTH]]</f>
        <v>-</v>
      </c>
    </row>
    <row r="1731" spans="1:25" ht="15" customHeight="1" x14ac:dyDescent="0.35">
      <c r="A1731" s="24"/>
      <c r="B1731" s="38"/>
      <c r="C1731" s="38"/>
      <c r="D1731" s="38"/>
      <c r="E1731" s="37"/>
      <c r="F1731" s="38"/>
      <c r="G1731" s="198"/>
      <c r="H1731" s="198"/>
      <c r="I1731" s="39"/>
      <c r="J1731" s="38"/>
      <c r="K1731" s="198"/>
      <c r="L1731" s="38"/>
      <c r="M1731" s="38"/>
      <c r="N1731" s="38"/>
      <c r="O1731" s="38"/>
      <c r="P1731" s="40" t="str" cm="1">
        <f t="array" ref="P1731">IF(N1731="","",IFERROR(_xlfn.XLOOKUP(F1731&amp;"|"&amp;J1731&amp;"|"&amp;O1731,PRICES!$C$2:$C$659&amp;"|"&amp;PRICES!$B$2:$B$659&amp;"|"&amp;PRICES!$D$2:$D$659,PRICES!$E$2:$E$659),"Not Found"))</f>
        <v/>
      </c>
      <c r="Q1731" s="100" t="str">
        <f>IF(N1731=0,"",SUMIFS(PRICES!$G$2:$G$658,PRICES!$B$2:$B$658,'MAIN TABLE-1 AUTOMATED'!J1731,PRICES!$C$2:$C$658,'MAIN TABLE-1 AUTOMATED'!F1731,PRICES!$D$2:$D$658,'MAIN TABLE-1 AUTOMATED'!O1731))</f>
        <v/>
      </c>
      <c r="R1731" s="41" t="str">
        <f>IF(Table1[[#This Row],[QUANTITY]]=0,"",Table1[[#This Row],[UNIT PRICE]]*Table1[[#This Row],[QUANTITY]])</f>
        <v/>
      </c>
      <c r="S1731" s="89"/>
      <c r="T1731" s="38"/>
      <c r="U1731" s="43"/>
      <c r="V1731" s="42" t="str">
        <f>IF(Table1[[#This Row],[DATE]]=0,"",YEAR(E1731))</f>
        <v/>
      </c>
      <c r="W1731" s="40" t="str">
        <f t="shared" si="54"/>
        <v/>
      </c>
      <c r="X1731" s="40" t="str">
        <f t="shared" si="55"/>
        <v/>
      </c>
      <c r="Y1731" s="40" t="str">
        <f>TEXT(Table1[[#This Row],[YEAR]],"0000")&amp;"-"&amp;Table1[[#This Row],[MONTH]]</f>
        <v>-</v>
      </c>
    </row>
    <row r="1732" spans="1:25" ht="15" customHeight="1" x14ac:dyDescent="0.35">
      <c r="A1732" s="24"/>
      <c r="B1732" s="38"/>
      <c r="C1732" s="38"/>
      <c r="D1732" s="38"/>
      <c r="E1732" s="37"/>
      <c r="F1732" s="38"/>
      <c r="G1732" s="198"/>
      <c r="H1732" s="198"/>
      <c r="I1732" s="39"/>
      <c r="J1732" s="38"/>
      <c r="K1732" s="198"/>
      <c r="L1732" s="38"/>
      <c r="M1732" s="38"/>
      <c r="N1732" s="38"/>
      <c r="O1732" s="38"/>
      <c r="P1732" s="40" t="str" cm="1">
        <f t="array" ref="P1732">IF(N1732="","",IFERROR(_xlfn.XLOOKUP(F1732&amp;"|"&amp;J1732&amp;"|"&amp;O1732,PRICES!$C$2:$C$659&amp;"|"&amp;PRICES!$B$2:$B$659&amp;"|"&amp;PRICES!$D$2:$D$659,PRICES!$E$2:$E$659),"Not Found"))</f>
        <v/>
      </c>
      <c r="Q1732" s="100" t="str">
        <f>IF(N1732=0,"",SUMIFS(PRICES!$G$2:$G$658,PRICES!$B$2:$B$658,'MAIN TABLE-1 AUTOMATED'!J1732,PRICES!$C$2:$C$658,'MAIN TABLE-1 AUTOMATED'!F1732,PRICES!$D$2:$D$658,'MAIN TABLE-1 AUTOMATED'!O1732))</f>
        <v/>
      </c>
      <c r="R1732" s="41" t="str">
        <f>IF(Table1[[#This Row],[QUANTITY]]=0,"",Table1[[#This Row],[UNIT PRICE]]*Table1[[#This Row],[QUANTITY]])</f>
        <v/>
      </c>
      <c r="S1732" s="89"/>
      <c r="T1732" s="38"/>
      <c r="U1732" s="43"/>
      <c r="V1732" s="42" t="str">
        <f>IF(Table1[[#This Row],[DATE]]=0,"",YEAR(E1732))</f>
        <v/>
      </c>
      <c r="W1732" s="40" t="str">
        <f t="shared" si="54"/>
        <v/>
      </c>
      <c r="X1732" s="40" t="str">
        <f t="shared" si="55"/>
        <v/>
      </c>
      <c r="Y1732" s="40" t="str">
        <f>TEXT(Table1[[#This Row],[YEAR]],"0000")&amp;"-"&amp;Table1[[#This Row],[MONTH]]</f>
        <v>-</v>
      </c>
    </row>
    <row r="1733" spans="1:25" ht="15" customHeight="1" x14ac:dyDescent="0.35">
      <c r="A1733" s="24"/>
      <c r="B1733" s="38"/>
      <c r="C1733" s="38"/>
      <c r="D1733" s="38"/>
      <c r="E1733" s="37"/>
      <c r="F1733" s="38"/>
      <c r="G1733" s="198"/>
      <c r="H1733" s="198"/>
      <c r="I1733" s="39"/>
      <c r="J1733" s="38"/>
      <c r="K1733" s="198"/>
      <c r="L1733" s="38"/>
      <c r="M1733" s="38"/>
      <c r="N1733" s="38"/>
      <c r="O1733" s="38"/>
      <c r="P1733" s="40" t="str" cm="1">
        <f t="array" ref="P1733">IF(N1733="","",IFERROR(_xlfn.XLOOKUP(F1733&amp;"|"&amp;J1733&amp;"|"&amp;O1733,PRICES!$C$2:$C$659&amp;"|"&amp;PRICES!$B$2:$B$659&amp;"|"&amp;PRICES!$D$2:$D$659,PRICES!$E$2:$E$659),"Not Found"))</f>
        <v/>
      </c>
      <c r="Q1733" s="100" t="str">
        <f>IF(N1733=0,"",SUMIFS(PRICES!$G$2:$G$658,PRICES!$B$2:$B$658,'MAIN TABLE-1 AUTOMATED'!J1733,PRICES!$C$2:$C$658,'MAIN TABLE-1 AUTOMATED'!F1733,PRICES!$D$2:$D$658,'MAIN TABLE-1 AUTOMATED'!O1733))</f>
        <v/>
      </c>
      <c r="R1733" s="41" t="str">
        <f>IF(Table1[[#This Row],[QUANTITY]]=0,"",Table1[[#This Row],[UNIT PRICE]]*Table1[[#This Row],[QUANTITY]])</f>
        <v/>
      </c>
      <c r="S1733" s="89"/>
      <c r="T1733" s="38"/>
      <c r="U1733" s="43"/>
      <c r="V1733" s="42" t="str">
        <f>IF(Table1[[#This Row],[DATE]]=0,"",YEAR(E1733))</f>
        <v/>
      </c>
      <c r="W1733" s="40" t="str">
        <f t="shared" si="54"/>
        <v/>
      </c>
      <c r="X1733" s="40" t="str">
        <f t="shared" si="55"/>
        <v/>
      </c>
      <c r="Y1733" s="40" t="str">
        <f>TEXT(Table1[[#This Row],[YEAR]],"0000")&amp;"-"&amp;Table1[[#This Row],[MONTH]]</f>
        <v>-</v>
      </c>
    </row>
    <row r="1734" spans="1:25" ht="15" customHeight="1" x14ac:dyDescent="0.35">
      <c r="A1734" s="24"/>
      <c r="B1734" s="38"/>
      <c r="C1734" s="38"/>
      <c r="D1734" s="38"/>
      <c r="E1734" s="37"/>
      <c r="F1734" s="38"/>
      <c r="G1734" s="198"/>
      <c r="H1734" s="198"/>
      <c r="I1734" s="39"/>
      <c r="J1734" s="38"/>
      <c r="K1734" s="198"/>
      <c r="L1734" s="38"/>
      <c r="M1734" s="38"/>
      <c r="N1734" s="38"/>
      <c r="O1734" s="38"/>
      <c r="P1734" s="40" t="str" cm="1">
        <f t="array" ref="P1734">IF(N1734="","",IFERROR(_xlfn.XLOOKUP(F1734&amp;"|"&amp;J1734&amp;"|"&amp;O1734,PRICES!$C$2:$C$659&amp;"|"&amp;PRICES!$B$2:$B$659&amp;"|"&amp;PRICES!$D$2:$D$659,PRICES!$E$2:$E$659),"Not Found"))</f>
        <v/>
      </c>
      <c r="Q1734" s="100" t="str">
        <f>IF(N1734=0,"",SUMIFS(PRICES!$G$2:$G$658,PRICES!$B$2:$B$658,'MAIN TABLE-1 AUTOMATED'!J1734,PRICES!$C$2:$C$658,'MAIN TABLE-1 AUTOMATED'!F1734,PRICES!$D$2:$D$658,'MAIN TABLE-1 AUTOMATED'!O1734))</f>
        <v/>
      </c>
      <c r="R1734" s="41" t="str">
        <f>IF(Table1[[#This Row],[QUANTITY]]=0,"",Table1[[#This Row],[UNIT PRICE]]*Table1[[#This Row],[QUANTITY]])</f>
        <v/>
      </c>
      <c r="S1734" s="89"/>
      <c r="T1734" s="38"/>
      <c r="U1734" s="43"/>
      <c r="V1734" s="42" t="str">
        <f>IF(Table1[[#This Row],[DATE]]=0,"",YEAR(E1734))</f>
        <v/>
      </c>
      <c r="W1734" s="40" t="str">
        <f t="shared" si="54"/>
        <v/>
      </c>
      <c r="X1734" s="40" t="str">
        <f t="shared" si="55"/>
        <v/>
      </c>
      <c r="Y1734" s="40" t="str">
        <f>TEXT(Table1[[#This Row],[YEAR]],"0000")&amp;"-"&amp;Table1[[#This Row],[MONTH]]</f>
        <v>-</v>
      </c>
    </row>
    <row r="1735" spans="1:25" ht="15" customHeight="1" x14ac:dyDescent="0.35">
      <c r="A1735" s="24"/>
      <c r="B1735" s="38"/>
      <c r="C1735" s="38"/>
      <c r="D1735" s="38"/>
      <c r="E1735" s="37"/>
      <c r="F1735" s="38"/>
      <c r="G1735" s="198"/>
      <c r="H1735" s="198"/>
      <c r="I1735" s="39"/>
      <c r="J1735" s="38"/>
      <c r="K1735" s="198"/>
      <c r="L1735" s="38"/>
      <c r="M1735" s="38"/>
      <c r="N1735" s="38"/>
      <c r="O1735" s="38"/>
      <c r="P1735" s="40" t="str" cm="1">
        <f t="array" ref="P1735">IF(N1735="","",IFERROR(_xlfn.XLOOKUP(F1735&amp;"|"&amp;J1735&amp;"|"&amp;O1735,PRICES!$C$2:$C$659&amp;"|"&amp;PRICES!$B$2:$B$659&amp;"|"&amp;PRICES!$D$2:$D$659,PRICES!$E$2:$E$659),"Not Found"))</f>
        <v/>
      </c>
      <c r="Q1735" s="100" t="str">
        <f>IF(N1735=0,"",SUMIFS(PRICES!$G$2:$G$658,PRICES!$B$2:$B$658,'MAIN TABLE-1 AUTOMATED'!J1735,PRICES!$C$2:$C$658,'MAIN TABLE-1 AUTOMATED'!F1735,PRICES!$D$2:$D$658,'MAIN TABLE-1 AUTOMATED'!O1735))</f>
        <v/>
      </c>
      <c r="R1735" s="41" t="str">
        <f>IF(Table1[[#This Row],[QUANTITY]]=0,"",Table1[[#This Row],[UNIT PRICE]]*Table1[[#This Row],[QUANTITY]])</f>
        <v/>
      </c>
      <c r="S1735" s="89"/>
      <c r="T1735" s="38"/>
      <c r="U1735" s="43"/>
      <c r="V1735" s="42" t="str">
        <f>IF(Table1[[#This Row],[DATE]]=0,"",YEAR(E1735))</f>
        <v/>
      </c>
      <c r="W1735" s="40" t="str">
        <f t="shared" si="54"/>
        <v/>
      </c>
      <c r="X1735" s="40" t="str">
        <f t="shared" si="55"/>
        <v/>
      </c>
      <c r="Y1735" s="40" t="str">
        <f>TEXT(Table1[[#This Row],[YEAR]],"0000")&amp;"-"&amp;Table1[[#This Row],[MONTH]]</f>
        <v>-</v>
      </c>
    </row>
    <row r="1736" spans="1:25" ht="15" customHeight="1" x14ac:dyDescent="0.35">
      <c r="A1736" s="24"/>
      <c r="B1736" s="38"/>
      <c r="C1736" s="38"/>
      <c r="D1736" s="38"/>
      <c r="E1736" s="37"/>
      <c r="F1736" s="38"/>
      <c r="G1736" s="198"/>
      <c r="H1736" s="198"/>
      <c r="I1736" s="39"/>
      <c r="J1736" s="38"/>
      <c r="K1736" s="198"/>
      <c r="L1736" s="38"/>
      <c r="M1736" s="38"/>
      <c r="N1736" s="38"/>
      <c r="O1736" s="38"/>
      <c r="P1736" s="40" t="str" cm="1">
        <f t="array" ref="P1736">IF(N1736="","",IFERROR(_xlfn.XLOOKUP(F1736&amp;"|"&amp;J1736&amp;"|"&amp;O1736,PRICES!$C$2:$C$659&amp;"|"&amp;PRICES!$B$2:$B$659&amp;"|"&amp;PRICES!$D$2:$D$659,PRICES!$E$2:$E$659),"Not Found"))</f>
        <v/>
      </c>
      <c r="Q1736" s="100" t="str">
        <f>IF(N1736=0,"",SUMIFS(PRICES!$G$2:$G$658,PRICES!$B$2:$B$658,'MAIN TABLE-1 AUTOMATED'!J1736,PRICES!$C$2:$C$658,'MAIN TABLE-1 AUTOMATED'!F1736,PRICES!$D$2:$D$658,'MAIN TABLE-1 AUTOMATED'!O1736))</f>
        <v/>
      </c>
      <c r="R1736" s="41" t="str">
        <f>IF(Table1[[#This Row],[QUANTITY]]=0,"",Table1[[#This Row],[UNIT PRICE]]*Table1[[#This Row],[QUANTITY]])</f>
        <v/>
      </c>
      <c r="S1736" s="89"/>
      <c r="T1736" s="38"/>
      <c r="U1736" s="43"/>
      <c r="V1736" s="42" t="str">
        <f>IF(Table1[[#This Row],[DATE]]=0,"",YEAR(E1736))</f>
        <v/>
      </c>
      <c r="W1736" s="40" t="str">
        <f t="shared" si="54"/>
        <v/>
      </c>
      <c r="X1736" s="40" t="str">
        <f t="shared" si="55"/>
        <v/>
      </c>
      <c r="Y1736" s="40" t="str">
        <f>TEXT(Table1[[#This Row],[YEAR]],"0000")&amp;"-"&amp;Table1[[#This Row],[MONTH]]</f>
        <v>-</v>
      </c>
    </row>
    <row r="1737" spans="1:25" ht="15" customHeight="1" x14ac:dyDescent="0.35">
      <c r="A1737" s="24"/>
      <c r="B1737" s="38"/>
      <c r="C1737" s="38"/>
      <c r="D1737" s="38"/>
      <c r="E1737" s="37"/>
      <c r="F1737" s="38"/>
      <c r="G1737" s="198"/>
      <c r="H1737" s="198"/>
      <c r="I1737" s="39"/>
      <c r="J1737" s="38"/>
      <c r="K1737" s="198"/>
      <c r="L1737" s="38"/>
      <c r="M1737" s="38"/>
      <c r="N1737" s="38"/>
      <c r="O1737" s="38"/>
      <c r="P1737" s="40" t="str" cm="1">
        <f t="array" ref="P1737">IF(N1737="","",IFERROR(_xlfn.XLOOKUP(F1737&amp;"|"&amp;J1737&amp;"|"&amp;O1737,PRICES!$C$2:$C$659&amp;"|"&amp;PRICES!$B$2:$B$659&amp;"|"&amp;PRICES!$D$2:$D$659,PRICES!$E$2:$E$659),"Not Found"))</f>
        <v/>
      </c>
      <c r="Q1737" s="100" t="str">
        <f>IF(N1737=0,"",SUMIFS(PRICES!$G$2:$G$658,PRICES!$B$2:$B$658,'MAIN TABLE-1 AUTOMATED'!J1737,PRICES!$C$2:$C$658,'MAIN TABLE-1 AUTOMATED'!F1737,PRICES!$D$2:$D$658,'MAIN TABLE-1 AUTOMATED'!O1737))</f>
        <v/>
      </c>
      <c r="R1737" s="41" t="str">
        <f>IF(Table1[[#This Row],[QUANTITY]]=0,"",Table1[[#This Row],[UNIT PRICE]]*Table1[[#This Row],[QUANTITY]])</f>
        <v/>
      </c>
      <c r="S1737" s="89"/>
      <c r="T1737" s="38"/>
      <c r="U1737" s="43"/>
      <c r="V1737" s="42" t="str">
        <f>IF(Table1[[#This Row],[DATE]]=0,"",YEAR(E1737))</f>
        <v/>
      </c>
      <c r="W1737" s="40" t="str">
        <f t="shared" si="54"/>
        <v/>
      </c>
      <c r="X1737" s="40" t="str">
        <f t="shared" si="55"/>
        <v/>
      </c>
      <c r="Y1737" s="40" t="str">
        <f>TEXT(Table1[[#This Row],[YEAR]],"0000")&amp;"-"&amp;Table1[[#This Row],[MONTH]]</f>
        <v>-</v>
      </c>
    </row>
    <row r="1738" spans="1:25" ht="15" customHeight="1" x14ac:dyDescent="0.35">
      <c r="A1738" s="24"/>
      <c r="B1738" s="38"/>
      <c r="C1738" s="38"/>
      <c r="D1738" s="38"/>
      <c r="E1738" s="37"/>
      <c r="F1738" s="38"/>
      <c r="G1738" s="198"/>
      <c r="H1738" s="198"/>
      <c r="I1738" s="39"/>
      <c r="J1738" s="38"/>
      <c r="K1738" s="198"/>
      <c r="L1738" s="38"/>
      <c r="M1738" s="38"/>
      <c r="N1738" s="38"/>
      <c r="O1738" s="38"/>
      <c r="P1738" s="40" t="str" cm="1">
        <f t="array" ref="P1738">IF(N1738="","",IFERROR(_xlfn.XLOOKUP(F1738&amp;"|"&amp;J1738&amp;"|"&amp;O1738,PRICES!$C$2:$C$659&amp;"|"&amp;PRICES!$B$2:$B$659&amp;"|"&amp;PRICES!$D$2:$D$659,PRICES!$E$2:$E$659),"Not Found"))</f>
        <v/>
      </c>
      <c r="Q1738" s="100" t="str">
        <f>IF(N1738=0,"",SUMIFS(PRICES!$G$2:$G$658,PRICES!$B$2:$B$658,'MAIN TABLE-1 AUTOMATED'!J1738,PRICES!$C$2:$C$658,'MAIN TABLE-1 AUTOMATED'!F1738,PRICES!$D$2:$D$658,'MAIN TABLE-1 AUTOMATED'!O1738))</f>
        <v/>
      </c>
      <c r="R1738" s="41" t="str">
        <f>IF(Table1[[#This Row],[QUANTITY]]=0,"",Table1[[#This Row],[UNIT PRICE]]*Table1[[#This Row],[QUANTITY]])</f>
        <v/>
      </c>
      <c r="S1738" s="89"/>
      <c r="T1738" s="38"/>
      <c r="U1738" s="43"/>
      <c r="V1738" s="42" t="str">
        <f>IF(Table1[[#This Row],[DATE]]=0,"",YEAR(E1738))</f>
        <v/>
      </c>
      <c r="W1738" s="40" t="str">
        <f t="shared" si="54"/>
        <v/>
      </c>
      <c r="X1738" s="40" t="str">
        <f t="shared" si="55"/>
        <v/>
      </c>
      <c r="Y1738" s="40" t="str">
        <f>TEXT(Table1[[#This Row],[YEAR]],"0000")&amp;"-"&amp;Table1[[#This Row],[MONTH]]</f>
        <v>-</v>
      </c>
    </row>
    <row r="1739" spans="1:25" ht="15" customHeight="1" x14ac:dyDescent="0.35">
      <c r="A1739" s="24"/>
      <c r="B1739" s="38"/>
      <c r="C1739" s="38"/>
      <c r="D1739" s="38"/>
      <c r="E1739" s="37"/>
      <c r="F1739" s="38"/>
      <c r="G1739" s="198"/>
      <c r="H1739" s="198"/>
      <c r="I1739" s="39"/>
      <c r="J1739" s="38"/>
      <c r="K1739" s="198"/>
      <c r="L1739" s="38"/>
      <c r="M1739" s="38"/>
      <c r="N1739" s="38"/>
      <c r="O1739" s="38"/>
      <c r="P1739" s="40" t="str" cm="1">
        <f t="array" ref="P1739">IF(N1739="","",IFERROR(_xlfn.XLOOKUP(F1739&amp;"|"&amp;J1739&amp;"|"&amp;O1739,PRICES!$C$2:$C$659&amp;"|"&amp;PRICES!$B$2:$B$659&amp;"|"&amp;PRICES!$D$2:$D$659,PRICES!$E$2:$E$659),"Not Found"))</f>
        <v/>
      </c>
      <c r="Q1739" s="100" t="str">
        <f>IF(N1739=0,"",SUMIFS(PRICES!$G$2:$G$658,PRICES!$B$2:$B$658,'MAIN TABLE-1 AUTOMATED'!J1739,PRICES!$C$2:$C$658,'MAIN TABLE-1 AUTOMATED'!F1739,PRICES!$D$2:$D$658,'MAIN TABLE-1 AUTOMATED'!O1739))</f>
        <v/>
      </c>
      <c r="R1739" s="41" t="str">
        <f>IF(Table1[[#This Row],[QUANTITY]]=0,"",Table1[[#This Row],[UNIT PRICE]]*Table1[[#This Row],[QUANTITY]])</f>
        <v/>
      </c>
      <c r="S1739" s="89"/>
      <c r="T1739" s="38"/>
      <c r="U1739" s="43"/>
      <c r="V1739" s="42" t="str">
        <f>IF(Table1[[#This Row],[DATE]]=0,"",YEAR(E1739))</f>
        <v/>
      </c>
      <c r="W1739" s="40" t="str">
        <f t="shared" si="54"/>
        <v/>
      </c>
      <c r="X1739" s="40" t="str">
        <f t="shared" si="55"/>
        <v/>
      </c>
      <c r="Y1739" s="40" t="str">
        <f>TEXT(Table1[[#This Row],[YEAR]],"0000")&amp;"-"&amp;Table1[[#This Row],[MONTH]]</f>
        <v>-</v>
      </c>
    </row>
    <row r="1740" spans="1:25" ht="15" customHeight="1" x14ac:dyDescent="0.35">
      <c r="A1740" s="24"/>
      <c r="B1740" s="38"/>
      <c r="C1740" s="38"/>
      <c r="D1740" s="38"/>
      <c r="E1740" s="37"/>
      <c r="F1740" s="38"/>
      <c r="G1740" s="198"/>
      <c r="H1740" s="198"/>
      <c r="I1740" s="39"/>
      <c r="J1740" s="38"/>
      <c r="K1740" s="198"/>
      <c r="L1740" s="38"/>
      <c r="M1740" s="38"/>
      <c r="N1740" s="38"/>
      <c r="O1740" s="38"/>
      <c r="P1740" s="40" t="str" cm="1">
        <f t="array" ref="P1740">IF(N1740="","",IFERROR(_xlfn.XLOOKUP(F1740&amp;"|"&amp;J1740&amp;"|"&amp;O1740,PRICES!$C$2:$C$659&amp;"|"&amp;PRICES!$B$2:$B$659&amp;"|"&amp;PRICES!$D$2:$D$659,PRICES!$E$2:$E$659),"Not Found"))</f>
        <v/>
      </c>
      <c r="Q1740" s="100" t="str">
        <f>IF(N1740=0,"",SUMIFS(PRICES!$G$2:$G$658,PRICES!$B$2:$B$658,'MAIN TABLE-1 AUTOMATED'!J1740,PRICES!$C$2:$C$658,'MAIN TABLE-1 AUTOMATED'!F1740,PRICES!$D$2:$D$658,'MAIN TABLE-1 AUTOMATED'!O1740))</f>
        <v/>
      </c>
      <c r="R1740" s="41" t="str">
        <f>IF(Table1[[#This Row],[QUANTITY]]=0,"",Table1[[#This Row],[UNIT PRICE]]*Table1[[#This Row],[QUANTITY]])</f>
        <v/>
      </c>
      <c r="S1740" s="89"/>
      <c r="T1740" s="38"/>
      <c r="U1740" s="43"/>
      <c r="V1740" s="42" t="str">
        <f>IF(Table1[[#This Row],[DATE]]=0,"",YEAR(E1740))</f>
        <v/>
      </c>
      <c r="W1740" s="40" t="str">
        <f t="shared" si="54"/>
        <v/>
      </c>
      <c r="X1740" s="40" t="str">
        <f t="shared" si="55"/>
        <v/>
      </c>
      <c r="Y1740" s="40" t="str">
        <f>TEXT(Table1[[#This Row],[YEAR]],"0000")&amp;"-"&amp;Table1[[#This Row],[MONTH]]</f>
        <v>-</v>
      </c>
    </row>
    <row r="1741" spans="1:25" ht="15" customHeight="1" x14ac:dyDescent="0.35">
      <c r="A1741" s="24"/>
      <c r="B1741" s="38"/>
      <c r="C1741" s="38"/>
      <c r="D1741" s="38"/>
      <c r="E1741" s="37"/>
      <c r="F1741" s="38"/>
      <c r="G1741" s="198"/>
      <c r="H1741" s="198"/>
      <c r="I1741" s="39"/>
      <c r="J1741" s="38"/>
      <c r="K1741" s="198"/>
      <c r="L1741" s="38"/>
      <c r="M1741" s="38"/>
      <c r="N1741" s="38"/>
      <c r="O1741" s="38"/>
      <c r="P1741" s="40" t="str" cm="1">
        <f t="array" ref="P1741">IF(N1741="","",IFERROR(_xlfn.XLOOKUP(F1741&amp;"|"&amp;J1741&amp;"|"&amp;O1741,PRICES!$C$2:$C$659&amp;"|"&amp;PRICES!$B$2:$B$659&amp;"|"&amp;PRICES!$D$2:$D$659,PRICES!$E$2:$E$659),"Not Found"))</f>
        <v/>
      </c>
      <c r="Q1741" s="100" t="str">
        <f>IF(N1741=0,"",SUMIFS(PRICES!$G$2:$G$658,PRICES!$B$2:$B$658,'MAIN TABLE-1 AUTOMATED'!J1741,PRICES!$C$2:$C$658,'MAIN TABLE-1 AUTOMATED'!F1741,PRICES!$D$2:$D$658,'MAIN TABLE-1 AUTOMATED'!O1741))</f>
        <v/>
      </c>
      <c r="R1741" s="41" t="str">
        <f>IF(Table1[[#This Row],[QUANTITY]]=0,"",Table1[[#This Row],[UNIT PRICE]]*Table1[[#This Row],[QUANTITY]])</f>
        <v/>
      </c>
      <c r="S1741" s="89"/>
      <c r="T1741" s="38"/>
      <c r="U1741" s="43"/>
      <c r="V1741" s="42" t="str">
        <f>IF(Table1[[#This Row],[DATE]]=0,"",YEAR(E1741))</f>
        <v/>
      </c>
      <c r="W1741" s="40" t="str">
        <f t="shared" si="54"/>
        <v/>
      </c>
      <c r="X1741" s="40" t="str">
        <f t="shared" si="55"/>
        <v/>
      </c>
      <c r="Y1741" s="40" t="str">
        <f>TEXT(Table1[[#This Row],[YEAR]],"0000")&amp;"-"&amp;Table1[[#This Row],[MONTH]]</f>
        <v>-</v>
      </c>
    </row>
    <row r="1742" spans="1:25" ht="15" customHeight="1" x14ac:dyDescent="0.35">
      <c r="A1742" s="24"/>
      <c r="B1742" s="38"/>
      <c r="C1742" s="38"/>
      <c r="D1742" s="38"/>
      <c r="E1742" s="37"/>
      <c r="F1742" s="38"/>
      <c r="G1742" s="198"/>
      <c r="H1742" s="198"/>
      <c r="I1742" s="39"/>
      <c r="J1742" s="38"/>
      <c r="K1742" s="198"/>
      <c r="L1742" s="38"/>
      <c r="M1742" s="38"/>
      <c r="N1742" s="38"/>
      <c r="O1742" s="38"/>
      <c r="P1742" s="40" t="str" cm="1">
        <f t="array" ref="P1742">IF(N1742="","",IFERROR(_xlfn.XLOOKUP(F1742&amp;"|"&amp;J1742&amp;"|"&amp;O1742,PRICES!$C$2:$C$659&amp;"|"&amp;PRICES!$B$2:$B$659&amp;"|"&amp;PRICES!$D$2:$D$659,PRICES!$E$2:$E$659),"Not Found"))</f>
        <v/>
      </c>
      <c r="Q1742" s="100" t="str">
        <f>IF(N1742=0,"",SUMIFS(PRICES!$G$2:$G$658,PRICES!$B$2:$B$658,'MAIN TABLE-1 AUTOMATED'!J1742,PRICES!$C$2:$C$658,'MAIN TABLE-1 AUTOMATED'!F1742,PRICES!$D$2:$D$658,'MAIN TABLE-1 AUTOMATED'!O1742))</f>
        <v/>
      </c>
      <c r="R1742" s="41" t="str">
        <f>IF(Table1[[#This Row],[QUANTITY]]=0,"",Table1[[#This Row],[UNIT PRICE]]*Table1[[#This Row],[QUANTITY]])</f>
        <v/>
      </c>
      <c r="S1742" s="89"/>
      <c r="T1742" s="38"/>
      <c r="U1742" s="43"/>
      <c r="V1742" s="42" t="str">
        <f>IF(Table1[[#This Row],[DATE]]=0,"",YEAR(E1742))</f>
        <v/>
      </c>
      <c r="W1742" s="40" t="str">
        <f t="shared" si="54"/>
        <v/>
      </c>
      <c r="X1742" s="40" t="str">
        <f t="shared" si="55"/>
        <v/>
      </c>
      <c r="Y1742" s="40" t="str">
        <f>TEXT(Table1[[#This Row],[YEAR]],"0000")&amp;"-"&amp;Table1[[#This Row],[MONTH]]</f>
        <v>-</v>
      </c>
    </row>
    <row r="1743" spans="1:25" ht="15" customHeight="1" x14ac:dyDescent="0.35">
      <c r="A1743" s="24"/>
      <c r="B1743" s="38"/>
      <c r="C1743" s="38"/>
      <c r="D1743" s="38"/>
      <c r="E1743" s="37"/>
      <c r="F1743" s="38"/>
      <c r="G1743" s="198"/>
      <c r="H1743" s="198"/>
      <c r="I1743" s="39"/>
      <c r="J1743" s="38"/>
      <c r="K1743" s="198"/>
      <c r="L1743" s="38"/>
      <c r="M1743" s="38"/>
      <c r="N1743" s="38"/>
      <c r="O1743" s="38"/>
      <c r="P1743" s="40" t="str" cm="1">
        <f t="array" ref="P1743">IF(N1743="","",IFERROR(_xlfn.XLOOKUP(F1743&amp;"|"&amp;J1743&amp;"|"&amp;O1743,PRICES!$C$2:$C$659&amp;"|"&amp;PRICES!$B$2:$B$659&amp;"|"&amp;PRICES!$D$2:$D$659,PRICES!$E$2:$E$659),"Not Found"))</f>
        <v/>
      </c>
      <c r="Q1743" s="100" t="str">
        <f>IF(N1743=0,"",SUMIFS(PRICES!$G$2:$G$658,PRICES!$B$2:$B$658,'MAIN TABLE-1 AUTOMATED'!J1743,PRICES!$C$2:$C$658,'MAIN TABLE-1 AUTOMATED'!F1743,PRICES!$D$2:$D$658,'MAIN TABLE-1 AUTOMATED'!O1743))</f>
        <v/>
      </c>
      <c r="R1743" s="41" t="str">
        <f>IF(Table1[[#This Row],[QUANTITY]]=0,"",Table1[[#This Row],[UNIT PRICE]]*Table1[[#This Row],[QUANTITY]])</f>
        <v/>
      </c>
      <c r="S1743" s="89"/>
      <c r="T1743" s="38"/>
      <c r="U1743" s="43"/>
      <c r="V1743" s="42" t="str">
        <f>IF(Table1[[#This Row],[DATE]]=0,"",YEAR(E1743))</f>
        <v/>
      </c>
      <c r="W1743" s="40" t="str">
        <f t="shared" si="54"/>
        <v/>
      </c>
      <c r="X1743" s="40" t="str">
        <f t="shared" si="55"/>
        <v/>
      </c>
      <c r="Y1743" s="40" t="str">
        <f>TEXT(Table1[[#This Row],[YEAR]],"0000")&amp;"-"&amp;Table1[[#This Row],[MONTH]]</f>
        <v>-</v>
      </c>
    </row>
    <row r="1744" spans="1:25" ht="15" customHeight="1" x14ac:dyDescent="0.35">
      <c r="A1744" s="24"/>
      <c r="B1744" s="38"/>
      <c r="C1744" s="38"/>
      <c r="D1744" s="38"/>
      <c r="E1744" s="37"/>
      <c r="F1744" s="38"/>
      <c r="G1744" s="198"/>
      <c r="H1744" s="198"/>
      <c r="I1744" s="39"/>
      <c r="J1744" s="38"/>
      <c r="K1744" s="198"/>
      <c r="L1744" s="38"/>
      <c r="M1744" s="38"/>
      <c r="N1744" s="38"/>
      <c r="O1744" s="38"/>
      <c r="P1744" s="40" t="str" cm="1">
        <f t="array" ref="P1744">IF(N1744="","",IFERROR(_xlfn.XLOOKUP(F1744&amp;"|"&amp;J1744&amp;"|"&amp;O1744,PRICES!$C$2:$C$659&amp;"|"&amp;PRICES!$B$2:$B$659&amp;"|"&amp;PRICES!$D$2:$D$659,PRICES!$E$2:$E$659),"Not Found"))</f>
        <v/>
      </c>
      <c r="Q1744" s="100" t="str">
        <f>IF(N1744=0,"",SUMIFS(PRICES!$G$2:$G$658,PRICES!$B$2:$B$658,'MAIN TABLE-1 AUTOMATED'!J1744,PRICES!$C$2:$C$658,'MAIN TABLE-1 AUTOMATED'!F1744,PRICES!$D$2:$D$658,'MAIN TABLE-1 AUTOMATED'!O1744))</f>
        <v/>
      </c>
      <c r="R1744" s="41" t="str">
        <f>IF(Table1[[#This Row],[QUANTITY]]=0,"",Table1[[#This Row],[UNIT PRICE]]*Table1[[#This Row],[QUANTITY]])</f>
        <v/>
      </c>
      <c r="S1744" s="89"/>
      <c r="T1744" s="38"/>
      <c r="U1744" s="43"/>
      <c r="V1744" s="42" t="str">
        <f>IF(Table1[[#This Row],[DATE]]=0,"",YEAR(E1744))</f>
        <v/>
      </c>
      <c r="W1744" s="40" t="str">
        <f t="shared" si="54"/>
        <v/>
      </c>
      <c r="X1744" s="40" t="str">
        <f t="shared" si="55"/>
        <v/>
      </c>
      <c r="Y1744" s="40" t="str">
        <f>TEXT(Table1[[#This Row],[YEAR]],"0000")&amp;"-"&amp;Table1[[#This Row],[MONTH]]</f>
        <v>-</v>
      </c>
    </row>
    <row r="1745" spans="1:25" ht="15" customHeight="1" x14ac:dyDescent="0.35">
      <c r="A1745" s="24"/>
      <c r="B1745" s="38"/>
      <c r="C1745" s="38"/>
      <c r="D1745" s="38"/>
      <c r="E1745" s="37"/>
      <c r="F1745" s="38"/>
      <c r="G1745" s="198"/>
      <c r="H1745" s="198"/>
      <c r="I1745" s="39"/>
      <c r="J1745" s="38"/>
      <c r="K1745" s="198"/>
      <c r="L1745" s="38"/>
      <c r="M1745" s="38"/>
      <c r="N1745" s="38"/>
      <c r="O1745" s="38"/>
      <c r="P1745" s="40" t="str" cm="1">
        <f t="array" ref="P1745">IF(N1745="","",IFERROR(_xlfn.XLOOKUP(F1745&amp;"|"&amp;J1745&amp;"|"&amp;O1745,PRICES!$C$2:$C$659&amp;"|"&amp;PRICES!$B$2:$B$659&amp;"|"&amp;PRICES!$D$2:$D$659,PRICES!$E$2:$E$659),"Not Found"))</f>
        <v/>
      </c>
      <c r="Q1745" s="100" t="str">
        <f>IF(N1745=0,"",SUMIFS(PRICES!$G$2:$G$658,PRICES!$B$2:$B$658,'MAIN TABLE-1 AUTOMATED'!J1745,PRICES!$C$2:$C$658,'MAIN TABLE-1 AUTOMATED'!F1745,PRICES!$D$2:$D$658,'MAIN TABLE-1 AUTOMATED'!O1745))</f>
        <v/>
      </c>
      <c r="R1745" s="41" t="str">
        <f>IF(Table1[[#This Row],[QUANTITY]]=0,"",Table1[[#This Row],[UNIT PRICE]]*Table1[[#This Row],[QUANTITY]])</f>
        <v/>
      </c>
      <c r="S1745" s="89"/>
      <c r="T1745" s="38"/>
      <c r="U1745" s="43"/>
      <c r="V1745" s="42" t="str">
        <f>IF(Table1[[#This Row],[DATE]]=0,"",YEAR(E1745))</f>
        <v/>
      </c>
      <c r="W1745" s="40" t="str">
        <f t="shared" si="54"/>
        <v/>
      </c>
      <c r="X1745" s="40" t="str">
        <f t="shared" si="55"/>
        <v/>
      </c>
      <c r="Y1745" s="40" t="str">
        <f>TEXT(Table1[[#This Row],[YEAR]],"0000")&amp;"-"&amp;Table1[[#This Row],[MONTH]]</f>
        <v>-</v>
      </c>
    </row>
    <row r="1746" spans="1:25" ht="15" customHeight="1" x14ac:dyDescent="0.35">
      <c r="A1746" s="24"/>
      <c r="B1746" s="38"/>
      <c r="C1746" s="38"/>
      <c r="D1746" s="38"/>
      <c r="E1746" s="37"/>
      <c r="F1746" s="38"/>
      <c r="G1746" s="198"/>
      <c r="H1746" s="198"/>
      <c r="I1746" s="39"/>
      <c r="J1746" s="38"/>
      <c r="K1746" s="198"/>
      <c r="L1746" s="38"/>
      <c r="M1746" s="38"/>
      <c r="N1746" s="38"/>
      <c r="O1746" s="38"/>
      <c r="P1746" s="40" t="str" cm="1">
        <f t="array" ref="P1746">IF(N1746="","",IFERROR(_xlfn.XLOOKUP(F1746&amp;"|"&amp;J1746&amp;"|"&amp;O1746,PRICES!$C$2:$C$659&amp;"|"&amp;PRICES!$B$2:$B$659&amp;"|"&amp;PRICES!$D$2:$D$659,PRICES!$E$2:$E$659),"Not Found"))</f>
        <v/>
      </c>
      <c r="Q1746" s="100" t="str">
        <f>IF(N1746=0,"",SUMIFS(PRICES!$G$2:$G$658,PRICES!$B$2:$B$658,'MAIN TABLE-1 AUTOMATED'!J1746,PRICES!$C$2:$C$658,'MAIN TABLE-1 AUTOMATED'!F1746,PRICES!$D$2:$D$658,'MAIN TABLE-1 AUTOMATED'!O1746))</f>
        <v/>
      </c>
      <c r="R1746" s="41" t="str">
        <f>IF(Table1[[#This Row],[QUANTITY]]=0,"",Table1[[#This Row],[UNIT PRICE]]*Table1[[#This Row],[QUANTITY]])</f>
        <v/>
      </c>
      <c r="S1746" s="89"/>
      <c r="T1746" s="38"/>
      <c r="U1746" s="43"/>
      <c r="V1746" s="42" t="str">
        <f>IF(Table1[[#This Row],[DATE]]=0,"",YEAR(E1746))</f>
        <v/>
      </c>
      <c r="W1746" s="40" t="str">
        <f t="shared" si="54"/>
        <v/>
      </c>
      <c r="X1746" s="40" t="str">
        <f t="shared" si="55"/>
        <v/>
      </c>
      <c r="Y1746" s="40" t="str">
        <f>TEXT(Table1[[#This Row],[YEAR]],"0000")&amp;"-"&amp;Table1[[#This Row],[MONTH]]</f>
        <v>-</v>
      </c>
    </row>
    <row r="1747" spans="1:25" ht="15" customHeight="1" x14ac:dyDescent="0.35">
      <c r="A1747" s="24"/>
      <c r="B1747" s="38"/>
      <c r="C1747" s="38"/>
      <c r="D1747" s="38"/>
      <c r="E1747" s="37"/>
      <c r="F1747" s="38"/>
      <c r="G1747" s="198"/>
      <c r="H1747" s="198"/>
      <c r="I1747" s="39"/>
      <c r="J1747" s="38"/>
      <c r="K1747" s="198"/>
      <c r="L1747" s="38"/>
      <c r="M1747" s="38"/>
      <c r="N1747" s="38"/>
      <c r="O1747" s="38"/>
      <c r="P1747" s="40" t="str" cm="1">
        <f t="array" ref="P1747">IF(N1747="","",IFERROR(_xlfn.XLOOKUP(F1747&amp;"|"&amp;J1747&amp;"|"&amp;O1747,PRICES!$C$2:$C$659&amp;"|"&amp;PRICES!$B$2:$B$659&amp;"|"&amp;PRICES!$D$2:$D$659,PRICES!$E$2:$E$659),"Not Found"))</f>
        <v/>
      </c>
      <c r="Q1747" s="100" t="str">
        <f>IF(N1747=0,"",SUMIFS(PRICES!$G$2:$G$658,PRICES!$B$2:$B$658,'MAIN TABLE-1 AUTOMATED'!J1747,PRICES!$C$2:$C$658,'MAIN TABLE-1 AUTOMATED'!F1747,PRICES!$D$2:$D$658,'MAIN TABLE-1 AUTOMATED'!O1747))</f>
        <v/>
      </c>
      <c r="R1747" s="41" t="str">
        <f>IF(Table1[[#This Row],[QUANTITY]]=0,"",Table1[[#This Row],[UNIT PRICE]]*Table1[[#This Row],[QUANTITY]])</f>
        <v/>
      </c>
      <c r="S1747" s="89"/>
      <c r="T1747" s="38"/>
      <c r="U1747" s="43"/>
      <c r="V1747" s="42" t="str">
        <f>IF(Table1[[#This Row],[DATE]]=0,"",YEAR(E1747))</f>
        <v/>
      </c>
      <c r="W1747" s="40" t="str">
        <f t="shared" si="54"/>
        <v/>
      </c>
      <c r="X1747" s="40" t="str">
        <f t="shared" si="55"/>
        <v/>
      </c>
      <c r="Y1747" s="40" t="str">
        <f>TEXT(Table1[[#This Row],[YEAR]],"0000")&amp;"-"&amp;Table1[[#This Row],[MONTH]]</f>
        <v>-</v>
      </c>
    </row>
    <row r="1748" spans="1:25" ht="15" customHeight="1" x14ac:dyDescent="0.35">
      <c r="A1748" s="24"/>
      <c r="B1748" s="38"/>
      <c r="C1748" s="38"/>
      <c r="D1748" s="38"/>
      <c r="E1748" s="37"/>
      <c r="F1748" s="38"/>
      <c r="G1748" s="198"/>
      <c r="H1748" s="198"/>
      <c r="I1748" s="39"/>
      <c r="J1748" s="38"/>
      <c r="K1748" s="198"/>
      <c r="L1748" s="38"/>
      <c r="M1748" s="38"/>
      <c r="N1748" s="38"/>
      <c r="O1748" s="38"/>
      <c r="P1748" s="40" t="str" cm="1">
        <f t="array" ref="P1748">IF(N1748="","",IFERROR(_xlfn.XLOOKUP(F1748&amp;"|"&amp;J1748&amp;"|"&amp;O1748,PRICES!$C$2:$C$659&amp;"|"&amp;PRICES!$B$2:$B$659&amp;"|"&amp;PRICES!$D$2:$D$659,PRICES!$E$2:$E$659),"Not Found"))</f>
        <v/>
      </c>
      <c r="Q1748" s="100" t="str">
        <f>IF(N1748=0,"",SUMIFS(PRICES!$G$2:$G$658,PRICES!$B$2:$B$658,'MAIN TABLE-1 AUTOMATED'!J1748,PRICES!$C$2:$C$658,'MAIN TABLE-1 AUTOMATED'!F1748,PRICES!$D$2:$D$658,'MAIN TABLE-1 AUTOMATED'!O1748))</f>
        <v/>
      </c>
      <c r="R1748" s="41" t="str">
        <f>IF(Table1[[#This Row],[QUANTITY]]=0,"",Table1[[#This Row],[UNIT PRICE]]*Table1[[#This Row],[QUANTITY]])</f>
        <v/>
      </c>
      <c r="S1748" s="89"/>
      <c r="T1748" s="38"/>
      <c r="U1748" s="43"/>
      <c r="V1748" s="42" t="str">
        <f>IF(Table1[[#This Row],[DATE]]=0,"",YEAR(E1748))</f>
        <v/>
      </c>
      <c r="W1748" s="40" t="str">
        <f t="shared" si="54"/>
        <v/>
      </c>
      <c r="X1748" s="40" t="str">
        <f t="shared" si="55"/>
        <v/>
      </c>
      <c r="Y1748" s="40" t="str">
        <f>TEXT(Table1[[#This Row],[YEAR]],"0000")&amp;"-"&amp;Table1[[#This Row],[MONTH]]</f>
        <v>-</v>
      </c>
    </row>
    <row r="1749" spans="1:25" ht="15" customHeight="1" x14ac:dyDescent="0.35">
      <c r="A1749" s="24"/>
      <c r="B1749" s="38"/>
      <c r="C1749" s="38"/>
      <c r="D1749" s="38"/>
      <c r="E1749" s="37"/>
      <c r="F1749" s="38"/>
      <c r="G1749" s="198"/>
      <c r="H1749" s="198"/>
      <c r="I1749" s="39"/>
      <c r="J1749" s="38"/>
      <c r="K1749" s="198"/>
      <c r="L1749" s="38"/>
      <c r="M1749" s="38"/>
      <c r="N1749" s="38"/>
      <c r="O1749" s="38"/>
      <c r="P1749" s="40" t="str" cm="1">
        <f t="array" ref="P1749">IF(N1749="","",IFERROR(_xlfn.XLOOKUP(F1749&amp;"|"&amp;J1749&amp;"|"&amp;O1749,PRICES!$C$2:$C$659&amp;"|"&amp;PRICES!$B$2:$B$659&amp;"|"&amp;PRICES!$D$2:$D$659,PRICES!$E$2:$E$659),"Not Found"))</f>
        <v/>
      </c>
      <c r="Q1749" s="100" t="str">
        <f>IF(N1749=0,"",SUMIFS(PRICES!$G$2:$G$658,PRICES!$B$2:$B$658,'MAIN TABLE-1 AUTOMATED'!J1749,PRICES!$C$2:$C$658,'MAIN TABLE-1 AUTOMATED'!F1749,PRICES!$D$2:$D$658,'MAIN TABLE-1 AUTOMATED'!O1749))</f>
        <v/>
      </c>
      <c r="R1749" s="41" t="str">
        <f>IF(Table1[[#This Row],[QUANTITY]]=0,"",Table1[[#This Row],[UNIT PRICE]]*Table1[[#This Row],[QUANTITY]])</f>
        <v/>
      </c>
      <c r="S1749" s="89"/>
      <c r="T1749" s="38"/>
      <c r="U1749" s="43"/>
      <c r="V1749" s="42" t="str">
        <f>IF(Table1[[#This Row],[DATE]]=0,"",YEAR(E1749))</f>
        <v/>
      </c>
      <c r="W1749" s="40" t="str">
        <f t="shared" si="54"/>
        <v/>
      </c>
      <c r="X1749" s="40" t="str">
        <f t="shared" si="55"/>
        <v/>
      </c>
      <c r="Y1749" s="40" t="str">
        <f>TEXT(Table1[[#This Row],[YEAR]],"0000")&amp;"-"&amp;Table1[[#This Row],[MONTH]]</f>
        <v>-</v>
      </c>
    </row>
    <row r="1750" spans="1:25" ht="15" customHeight="1" x14ac:dyDescent="0.35">
      <c r="A1750" s="24"/>
      <c r="B1750" s="38"/>
      <c r="C1750" s="38"/>
      <c r="D1750" s="38"/>
      <c r="E1750" s="37"/>
      <c r="F1750" s="38"/>
      <c r="G1750" s="198"/>
      <c r="H1750" s="198"/>
      <c r="I1750" s="39"/>
      <c r="J1750" s="38"/>
      <c r="K1750" s="198"/>
      <c r="L1750" s="38"/>
      <c r="M1750" s="38"/>
      <c r="N1750" s="38"/>
      <c r="O1750" s="38"/>
      <c r="P1750" s="40" t="str" cm="1">
        <f t="array" ref="P1750">IF(N1750="","",IFERROR(_xlfn.XLOOKUP(F1750&amp;"|"&amp;J1750&amp;"|"&amp;O1750,PRICES!$C$2:$C$659&amp;"|"&amp;PRICES!$B$2:$B$659&amp;"|"&amp;PRICES!$D$2:$D$659,PRICES!$E$2:$E$659),"Not Found"))</f>
        <v/>
      </c>
      <c r="Q1750" s="100" t="str">
        <f>IF(N1750=0,"",SUMIFS(PRICES!$G$2:$G$658,PRICES!$B$2:$B$658,'MAIN TABLE-1 AUTOMATED'!J1750,PRICES!$C$2:$C$658,'MAIN TABLE-1 AUTOMATED'!F1750,PRICES!$D$2:$D$658,'MAIN TABLE-1 AUTOMATED'!O1750))</f>
        <v/>
      </c>
      <c r="R1750" s="41" t="str">
        <f>IF(Table1[[#This Row],[QUANTITY]]=0,"",Table1[[#This Row],[UNIT PRICE]]*Table1[[#This Row],[QUANTITY]])</f>
        <v/>
      </c>
      <c r="S1750" s="89"/>
      <c r="T1750" s="38"/>
      <c r="U1750" s="43"/>
      <c r="V1750" s="42" t="str">
        <f>IF(Table1[[#This Row],[DATE]]=0,"",YEAR(E1750))</f>
        <v/>
      </c>
      <c r="W1750" s="40" t="str">
        <f t="shared" si="54"/>
        <v/>
      </c>
      <c r="X1750" s="40" t="str">
        <f t="shared" si="55"/>
        <v/>
      </c>
      <c r="Y1750" s="40" t="str">
        <f>TEXT(Table1[[#This Row],[YEAR]],"0000")&amp;"-"&amp;Table1[[#This Row],[MONTH]]</f>
        <v>-</v>
      </c>
    </row>
    <row r="1751" spans="1:25" ht="15" customHeight="1" x14ac:dyDescent="0.35">
      <c r="A1751" s="24"/>
      <c r="B1751" s="38"/>
      <c r="C1751" s="38"/>
      <c r="D1751" s="38"/>
      <c r="E1751" s="37"/>
      <c r="F1751" s="38"/>
      <c r="G1751" s="198"/>
      <c r="H1751" s="198"/>
      <c r="I1751" s="39"/>
      <c r="J1751" s="38"/>
      <c r="K1751" s="198"/>
      <c r="L1751" s="38"/>
      <c r="M1751" s="38"/>
      <c r="N1751" s="38"/>
      <c r="O1751" s="38"/>
      <c r="P1751" s="40" t="str" cm="1">
        <f t="array" ref="P1751">IF(N1751="","",IFERROR(_xlfn.XLOOKUP(F1751&amp;"|"&amp;J1751&amp;"|"&amp;O1751,PRICES!$C$2:$C$659&amp;"|"&amp;PRICES!$B$2:$B$659&amp;"|"&amp;PRICES!$D$2:$D$659,PRICES!$E$2:$E$659),"Not Found"))</f>
        <v/>
      </c>
      <c r="Q1751" s="100" t="str">
        <f>IF(N1751=0,"",SUMIFS(PRICES!$G$2:$G$658,PRICES!$B$2:$B$658,'MAIN TABLE-1 AUTOMATED'!J1751,PRICES!$C$2:$C$658,'MAIN TABLE-1 AUTOMATED'!F1751,PRICES!$D$2:$D$658,'MAIN TABLE-1 AUTOMATED'!O1751))</f>
        <v/>
      </c>
      <c r="R1751" s="41" t="str">
        <f>IF(Table1[[#This Row],[QUANTITY]]=0,"",Table1[[#This Row],[UNIT PRICE]]*Table1[[#This Row],[QUANTITY]])</f>
        <v/>
      </c>
      <c r="S1751" s="89"/>
      <c r="T1751" s="38"/>
      <c r="U1751" s="43"/>
      <c r="V1751" s="42" t="str">
        <f>IF(Table1[[#This Row],[DATE]]=0,"",YEAR(E1751))</f>
        <v/>
      </c>
      <c r="W1751" s="40" t="str">
        <f t="shared" si="54"/>
        <v/>
      </c>
      <c r="X1751" s="40" t="str">
        <f t="shared" si="55"/>
        <v/>
      </c>
      <c r="Y1751" s="40" t="str">
        <f>TEXT(Table1[[#This Row],[YEAR]],"0000")&amp;"-"&amp;Table1[[#This Row],[MONTH]]</f>
        <v>-</v>
      </c>
    </row>
    <row r="1752" spans="1:25" ht="15" customHeight="1" x14ac:dyDescent="0.35">
      <c r="A1752" s="24"/>
      <c r="B1752" s="38"/>
      <c r="C1752" s="38"/>
      <c r="D1752" s="38"/>
      <c r="E1752" s="37"/>
      <c r="F1752" s="38"/>
      <c r="G1752" s="198"/>
      <c r="H1752" s="198"/>
      <c r="I1752" s="39"/>
      <c r="J1752" s="38"/>
      <c r="K1752" s="198"/>
      <c r="L1752" s="38"/>
      <c r="M1752" s="38"/>
      <c r="N1752" s="38"/>
      <c r="O1752" s="38"/>
      <c r="P1752" s="40" t="str" cm="1">
        <f t="array" ref="P1752">IF(N1752="","",IFERROR(_xlfn.XLOOKUP(F1752&amp;"|"&amp;J1752&amp;"|"&amp;O1752,PRICES!$C$2:$C$659&amp;"|"&amp;PRICES!$B$2:$B$659&amp;"|"&amp;PRICES!$D$2:$D$659,PRICES!$E$2:$E$659),"Not Found"))</f>
        <v/>
      </c>
      <c r="Q1752" s="100" t="str">
        <f>IF(N1752=0,"",SUMIFS(PRICES!$G$2:$G$658,PRICES!$B$2:$B$658,'MAIN TABLE-1 AUTOMATED'!J1752,PRICES!$C$2:$C$658,'MAIN TABLE-1 AUTOMATED'!F1752,PRICES!$D$2:$D$658,'MAIN TABLE-1 AUTOMATED'!O1752))</f>
        <v/>
      </c>
      <c r="R1752" s="41" t="str">
        <f>IF(Table1[[#This Row],[QUANTITY]]=0,"",Table1[[#This Row],[UNIT PRICE]]*Table1[[#This Row],[QUANTITY]])</f>
        <v/>
      </c>
      <c r="S1752" s="89"/>
      <c r="T1752" s="38"/>
      <c r="U1752" s="43"/>
      <c r="V1752" s="42" t="str">
        <f>IF(Table1[[#This Row],[DATE]]=0,"",YEAR(E1752))</f>
        <v/>
      </c>
      <c r="W1752" s="40" t="str">
        <f t="shared" si="54"/>
        <v/>
      </c>
      <c r="X1752" s="40" t="str">
        <f t="shared" si="55"/>
        <v/>
      </c>
      <c r="Y1752" s="40" t="str">
        <f>TEXT(Table1[[#This Row],[YEAR]],"0000")&amp;"-"&amp;Table1[[#This Row],[MONTH]]</f>
        <v>-</v>
      </c>
    </row>
    <row r="1753" spans="1:25" ht="15" customHeight="1" x14ac:dyDescent="0.35">
      <c r="A1753" s="24"/>
      <c r="B1753" s="38"/>
      <c r="C1753" s="38"/>
      <c r="D1753" s="38"/>
      <c r="E1753" s="37"/>
      <c r="F1753" s="38"/>
      <c r="G1753" s="198"/>
      <c r="H1753" s="198"/>
      <c r="I1753" s="39"/>
      <c r="J1753" s="38"/>
      <c r="K1753" s="198"/>
      <c r="L1753" s="38"/>
      <c r="M1753" s="38"/>
      <c r="N1753" s="38"/>
      <c r="O1753" s="38"/>
      <c r="P1753" s="40" t="str" cm="1">
        <f t="array" ref="P1753">IF(N1753="","",IFERROR(_xlfn.XLOOKUP(F1753&amp;"|"&amp;J1753&amp;"|"&amp;O1753,PRICES!$C$2:$C$659&amp;"|"&amp;PRICES!$B$2:$B$659&amp;"|"&amp;PRICES!$D$2:$D$659,PRICES!$E$2:$E$659),"Not Found"))</f>
        <v/>
      </c>
      <c r="Q1753" s="100" t="str">
        <f>IF(N1753=0,"",SUMIFS(PRICES!$G$2:$G$658,PRICES!$B$2:$B$658,'MAIN TABLE-1 AUTOMATED'!J1753,PRICES!$C$2:$C$658,'MAIN TABLE-1 AUTOMATED'!F1753,PRICES!$D$2:$D$658,'MAIN TABLE-1 AUTOMATED'!O1753))</f>
        <v/>
      </c>
      <c r="R1753" s="41" t="str">
        <f>IF(Table1[[#This Row],[QUANTITY]]=0,"",Table1[[#This Row],[UNIT PRICE]]*Table1[[#This Row],[QUANTITY]])</f>
        <v/>
      </c>
      <c r="S1753" s="89"/>
      <c r="T1753" s="38"/>
      <c r="U1753" s="43"/>
      <c r="V1753" s="42" t="str">
        <f>IF(Table1[[#This Row],[DATE]]=0,"",YEAR(E1753))</f>
        <v/>
      </c>
      <c r="W1753" s="40" t="str">
        <f t="shared" si="54"/>
        <v/>
      </c>
      <c r="X1753" s="40" t="str">
        <f t="shared" si="55"/>
        <v/>
      </c>
      <c r="Y1753" s="40" t="str">
        <f>TEXT(Table1[[#This Row],[YEAR]],"0000")&amp;"-"&amp;Table1[[#This Row],[MONTH]]</f>
        <v>-</v>
      </c>
    </row>
    <row r="1754" spans="1:25" ht="15" customHeight="1" x14ac:dyDescent="0.35">
      <c r="A1754" s="24"/>
      <c r="B1754" s="38"/>
      <c r="C1754" s="38"/>
      <c r="D1754" s="38"/>
      <c r="E1754" s="37"/>
      <c r="F1754" s="38"/>
      <c r="G1754" s="198"/>
      <c r="H1754" s="198"/>
      <c r="I1754" s="39"/>
      <c r="J1754" s="38"/>
      <c r="K1754" s="198"/>
      <c r="L1754" s="38"/>
      <c r="M1754" s="38"/>
      <c r="N1754" s="38"/>
      <c r="O1754" s="38"/>
      <c r="P1754" s="40" t="str" cm="1">
        <f t="array" ref="P1754">IF(N1754="","",IFERROR(_xlfn.XLOOKUP(F1754&amp;"|"&amp;J1754&amp;"|"&amp;O1754,PRICES!$C$2:$C$659&amp;"|"&amp;PRICES!$B$2:$B$659&amp;"|"&amp;PRICES!$D$2:$D$659,PRICES!$E$2:$E$659),"Not Found"))</f>
        <v/>
      </c>
      <c r="Q1754" s="100" t="str">
        <f>IF(N1754=0,"",SUMIFS(PRICES!$G$2:$G$658,PRICES!$B$2:$B$658,'MAIN TABLE-1 AUTOMATED'!J1754,PRICES!$C$2:$C$658,'MAIN TABLE-1 AUTOMATED'!F1754,PRICES!$D$2:$D$658,'MAIN TABLE-1 AUTOMATED'!O1754))</f>
        <v/>
      </c>
      <c r="R1754" s="41" t="str">
        <f>IF(Table1[[#This Row],[QUANTITY]]=0,"",Table1[[#This Row],[UNIT PRICE]]*Table1[[#This Row],[QUANTITY]])</f>
        <v/>
      </c>
      <c r="S1754" s="89"/>
      <c r="T1754" s="38"/>
      <c r="U1754" s="43"/>
      <c r="V1754" s="42" t="str">
        <f>IF(Table1[[#This Row],[DATE]]=0,"",YEAR(E1754))</f>
        <v/>
      </c>
      <c r="W1754" s="40" t="str">
        <f t="shared" si="54"/>
        <v/>
      </c>
      <c r="X1754" s="40" t="str">
        <f t="shared" si="55"/>
        <v/>
      </c>
      <c r="Y1754" s="40" t="str">
        <f>TEXT(Table1[[#This Row],[YEAR]],"0000")&amp;"-"&amp;Table1[[#This Row],[MONTH]]</f>
        <v>-</v>
      </c>
    </row>
    <row r="1755" spans="1:25" ht="15" customHeight="1" x14ac:dyDescent="0.35">
      <c r="A1755" s="24"/>
      <c r="B1755" s="38"/>
      <c r="C1755" s="38"/>
      <c r="D1755" s="38"/>
      <c r="E1755" s="37"/>
      <c r="F1755" s="38"/>
      <c r="G1755" s="198"/>
      <c r="H1755" s="198"/>
      <c r="I1755" s="39"/>
      <c r="J1755" s="38"/>
      <c r="K1755" s="198"/>
      <c r="L1755" s="38"/>
      <c r="M1755" s="38"/>
      <c r="N1755" s="38"/>
      <c r="O1755" s="38"/>
      <c r="P1755" s="40" t="str" cm="1">
        <f t="array" ref="P1755">IF(N1755="","",IFERROR(_xlfn.XLOOKUP(F1755&amp;"|"&amp;J1755&amp;"|"&amp;O1755,PRICES!$C$2:$C$659&amp;"|"&amp;PRICES!$B$2:$B$659&amp;"|"&amp;PRICES!$D$2:$D$659,PRICES!$E$2:$E$659),"Not Found"))</f>
        <v/>
      </c>
      <c r="Q1755" s="100" t="str">
        <f>IF(N1755=0,"",SUMIFS(PRICES!$G$2:$G$658,PRICES!$B$2:$B$658,'MAIN TABLE-1 AUTOMATED'!J1755,PRICES!$C$2:$C$658,'MAIN TABLE-1 AUTOMATED'!F1755,PRICES!$D$2:$D$658,'MAIN TABLE-1 AUTOMATED'!O1755))</f>
        <v/>
      </c>
      <c r="R1755" s="41" t="str">
        <f>IF(Table1[[#This Row],[QUANTITY]]=0,"",Table1[[#This Row],[UNIT PRICE]]*Table1[[#This Row],[QUANTITY]])</f>
        <v/>
      </c>
      <c r="S1755" s="89"/>
      <c r="T1755" s="38"/>
      <c r="U1755" s="43"/>
      <c r="V1755" s="42" t="str">
        <f>IF(Table1[[#This Row],[DATE]]=0,"",YEAR(E1755))</f>
        <v/>
      </c>
      <c r="W1755" s="40" t="str">
        <f t="shared" si="54"/>
        <v/>
      </c>
      <c r="X1755" s="40" t="str">
        <f t="shared" si="55"/>
        <v/>
      </c>
      <c r="Y1755" s="40" t="str">
        <f>TEXT(Table1[[#This Row],[YEAR]],"0000")&amp;"-"&amp;Table1[[#This Row],[MONTH]]</f>
        <v>-</v>
      </c>
    </row>
    <row r="1756" spans="1:25" ht="15" customHeight="1" x14ac:dyDescent="0.35">
      <c r="A1756" s="24"/>
      <c r="B1756" s="38"/>
      <c r="C1756" s="38"/>
      <c r="D1756" s="38"/>
      <c r="E1756" s="37"/>
      <c r="F1756" s="38"/>
      <c r="G1756" s="198"/>
      <c r="H1756" s="198"/>
      <c r="I1756" s="39"/>
      <c r="J1756" s="38"/>
      <c r="K1756" s="198"/>
      <c r="L1756" s="38"/>
      <c r="M1756" s="38"/>
      <c r="N1756" s="38"/>
      <c r="O1756" s="38"/>
      <c r="P1756" s="40" t="str" cm="1">
        <f t="array" ref="P1756">IF(N1756="","",IFERROR(_xlfn.XLOOKUP(F1756&amp;"|"&amp;J1756&amp;"|"&amp;O1756,PRICES!$C$2:$C$659&amp;"|"&amp;PRICES!$B$2:$B$659&amp;"|"&amp;PRICES!$D$2:$D$659,PRICES!$E$2:$E$659),"Not Found"))</f>
        <v/>
      </c>
      <c r="Q1756" s="100" t="str">
        <f>IF(N1756=0,"",SUMIFS(PRICES!$G$2:$G$658,PRICES!$B$2:$B$658,'MAIN TABLE-1 AUTOMATED'!J1756,PRICES!$C$2:$C$658,'MAIN TABLE-1 AUTOMATED'!F1756,PRICES!$D$2:$D$658,'MAIN TABLE-1 AUTOMATED'!O1756))</f>
        <v/>
      </c>
      <c r="R1756" s="41" t="str">
        <f>IF(Table1[[#This Row],[QUANTITY]]=0,"",Table1[[#This Row],[UNIT PRICE]]*Table1[[#This Row],[QUANTITY]])</f>
        <v/>
      </c>
      <c r="S1756" s="89"/>
      <c r="T1756" s="38"/>
      <c r="U1756" s="43"/>
      <c r="V1756" s="42" t="str">
        <f>IF(Table1[[#This Row],[DATE]]=0,"",YEAR(E1756))</f>
        <v/>
      </c>
      <c r="W1756" s="40" t="str">
        <f t="shared" si="54"/>
        <v/>
      </c>
      <c r="X1756" s="40" t="str">
        <f t="shared" si="55"/>
        <v/>
      </c>
      <c r="Y1756" s="40" t="str">
        <f>TEXT(Table1[[#This Row],[YEAR]],"0000")&amp;"-"&amp;Table1[[#This Row],[MONTH]]</f>
        <v>-</v>
      </c>
    </row>
    <row r="1757" spans="1:25" ht="15" customHeight="1" x14ac:dyDescent="0.35">
      <c r="A1757" s="24"/>
      <c r="B1757" s="38"/>
      <c r="C1757" s="38"/>
      <c r="D1757" s="38"/>
      <c r="E1757" s="37"/>
      <c r="F1757" s="38"/>
      <c r="G1757" s="198"/>
      <c r="H1757" s="198"/>
      <c r="I1757" s="39"/>
      <c r="J1757" s="38"/>
      <c r="K1757" s="198"/>
      <c r="L1757" s="38"/>
      <c r="M1757" s="38"/>
      <c r="N1757" s="38"/>
      <c r="O1757" s="38"/>
      <c r="P1757" s="40" t="str" cm="1">
        <f t="array" ref="P1757">IF(N1757="","",IFERROR(_xlfn.XLOOKUP(F1757&amp;"|"&amp;J1757&amp;"|"&amp;O1757,PRICES!$C$2:$C$659&amp;"|"&amp;PRICES!$B$2:$B$659&amp;"|"&amp;PRICES!$D$2:$D$659,PRICES!$E$2:$E$659),"Not Found"))</f>
        <v/>
      </c>
      <c r="Q1757" s="100" t="str">
        <f>IF(N1757=0,"",SUMIFS(PRICES!$G$2:$G$658,PRICES!$B$2:$B$658,'MAIN TABLE-1 AUTOMATED'!J1757,PRICES!$C$2:$C$658,'MAIN TABLE-1 AUTOMATED'!F1757,PRICES!$D$2:$D$658,'MAIN TABLE-1 AUTOMATED'!O1757))</f>
        <v/>
      </c>
      <c r="R1757" s="41" t="str">
        <f>IF(Table1[[#This Row],[QUANTITY]]=0,"",Table1[[#This Row],[UNIT PRICE]]*Table1[[#This Row],[QUANTITY]])</f>
        <v/>
      </c>
      <c r="S1757" s="89"/>
      <c r="T1757" s="38"/>
      <c r="U1757" s="43"/>
      <c r="V1757" s="42" t="str">
        <f>IF(Table1[[#This Row],[DATE]]=0,"",YEAR(E1757))</f>
        <v/>
      </c>
      <c r="W1757" s="40" t="str">
        <f t="shared" si="54"/>
        <v/>
      </c>
      <c r="X1757" s="40" t="str">
        <f t="shared" si="55"/>
        <v/>
      </c>
      <c r="Y1757" s="40" t="str">
        <f>TEXT(Table1[[#This Row],[YEAR]],"0000")&amp;"-"&amp;Table1[[#This Row],[MONTH]]</f>
        <v>-</v>
      </c>
    </row>
    <row r="1758" spans="1:25" ht="15" customHeight="1" x14ac:dyDescent="0.35">
      <c r="A1758" s="24"/>
      <c r="B1758" s="38"/>
      <c r="C1758" s="38"/>
      <c r="D1758" s="38"/>
      <c r="E1758" s="37"/>
      <c r="F1758" s="38"/>
      <c r="G1758" s="198"/>
      <c r="H1758" s="198"/>
      <c r="I1758" s="39"/>
      <c r="J1758" s="38"/>
      <c r="K1758" s="198"/>
      <c r="L1758" s="38"/>
      <c r="M1758" s="38"/>
      <c r="N1758" s="38"/>
      <c r="O1758" s="38"/>
      <c r="P1758" s="40" t="str" cm="1">
        <f t="array" ref="P1758">IF(N1758="","",IFERROR(_xlfn.XLOOKUP(F1758&amp;"|"&amp;J1758&amp;"|"&amp;O1758,PRICES!$C$2:$C$659&amp;"|"&amp;PRICES!$B$2:$B$659&amp;"|"&amp;PRICES!$D$2:$D$659,PRICES!$E$2:$E$659),"Not Found"))</f>
        <v/>
      </c>
      <c r="Q1758" s="100" t="str">
        <f>IF(N1758=0,"",SUMIFS(PRICES!$G$2:$G$658,PRICES!$B$2:$B$658,'MAIN TABLE-1 AUTOMATED'!J1758,PRICES!$C$2:$C$658,'MAIN TABLE-1 AUTOMATED'!F1758,PRICES!$D$2:$D$658,'MAIN TABLE-1 AUTOMATED'!O1758))</f>
        <v/>
      </c>
      <c r="R1758" s="41" t="str">
        <f>IF(Table1[[#This Row],[QUANTITY]]=0,"",Table1[[#This Row],[UNIT PRICE]]*Table1[[#This Row],[QUANTITY]])</f>
        <v/>
      </c>
      <c r="S1758" s="89"/>
      <c r="T1758" s="38"/>
      <c r="U1758" s="43"/>
      <c r="V1758" s="42" t="str">
        <f>IF(Table1[[#This Row],[DATE]]=0,"",YEAR(E1758))</f>
        <v/>
      </c>
      <c r="W1758" s="40" t="str">
        <f t="shared" si="54"/>
        <v/>
      </c>
      <c r="X1758" s="40" t="str">
        <f t="shared" si="55"/>
        <v/>
      </c>
      <c r="Y1758" s="40" t="str">
        <f>TEXT(Table1[[#This Row],[YEAR]],"0000")&amp;"-"&amp;Table1[[#This Row],[MONTH]]</f>
        <v>-</v>
      </c>
    </row>
    <row r="1759" spans="1:25" ht="15" customHeight="1" x14ac:dyDescent="0.35">
      <c r="A1759" s="24"/>
      <c r="B1759" s="38"/>
      <c r="C1759" s="38"/>
      <c r="D1759" s="38"/>
      <c r="E1759" s="37"/>
      <c r="F1759" s="38"/>
      <c r="G1759" s="198"/>
      <c r="H1759" s="198"/>
      <c r="I1759" s="39"/>
      <c r="J1759" s="38"/>
      <c r="K1759" s="198"/>
      <c r="L1759" s="38"/>
      <c r="M1759" s="38"/>
      <c r="N1759" s="38"/>
      <c r="O1759" s="38"/>
      <c r="P1759" s="40" t="str" cm="1">
        <f t="array" ref="P1759">IF(N1759="","",IFERROR(_xlfn.XLOOKUP(F1759&amp;"|"&amp;J1759&amp;"|"&amp;O1759,PRICES!$C$2:$C$659&amp;"|"&amp;PRICES!$B$2:$B$659&amp;"|"&amp;PRICES!$D$2:$D$659,PRICES!$E$2:$E$659),"Not Found"))</f>
        <v/>
      </c>
      <c r="Q1759" s="100" t="str">
        <f>IF(N1759=0,"",SUMIFS(PRICES!$G$2:$G$658,PRICES!$B$2:$B$658,'MAIN TABLE-1 AUTOMATED'!J1759,PRICES!$C$2:$C$658,'MAIN TABLE-1 AUTOMATED'!F1759,PRICES!$D$2:$D$658,'MAIN TABLE-1 AUTOMATED'!O1759))</f>
        <v/>
      </c>
      <c r="R1759" s="41" t="str">
        <f>IF(Table1[[#This Row],[QUANTITY]]=0,"",Table1[[#This Row],[UNIT PRICE]]*Table1[[#This Row],[QUANTITY]])</f>
        <v/>
      </c>
      <c r="S1759" s="89"/>
      <c r="T1759" s="38"/>
      <c r="U1759" s="43"/>
      <c r="V1759" s="42" t="str">
        <f>IF(Table1[[#This Row],[DATE]]=0,"",YEAR(E1759))</f>
        <v/>
      </c>
      <c r="W1759" s="40" t="str">
        <f t="shared" ref="W1759:W1822" si="56">IF(E1759=0,"",MONTH(E1759))</f>
        <v/>
      </c>
      <c r="X1759" s="40" t="str">
        <f t="shared" ref="X1759:X1822" si="57">IF(E1759=0,"",WEEKNUM(E1759))</f>
        <v/>
      </c>
      <c r="Y1759" s="40" t="str">
        <f>TEXT(Table1[[#This Row],[YEAR]],"0000")&amp;"-"&amp;Table1[[#This Row],[MONTH]]</f>
        <v>-</v>
      </c>
    </row>
    <row r="1760" spans="1:25" ht="15" customHeight="1" x14ac:dyDescent="0.35">
      <c r="A1760" s="24"/>
      <c r="B1760" s="38"/>
      <c r="C1760" s="38"/>
      <c r="D1760" s="38"/>
      <c r="E1760" s="37"/>
      <c r="F1760" s="38"/>
      <c r="G1760" s="198"/>
      <c r="H1760" s="198"/>
      <c r="I1760" s="39"/>
      <c r="J1760" s="38"/>
      <c r="K1760" s="198"/>
      <c r="L1760" s="38"/>
      <c r="M1760" s="38"/>
      <c r="N1760" s="38"/>
      <c r="O1760" s="38"/>
      <c r="P1760" s="40" t="str" cm="1">
        <f t="array" ref="P1760">IF(N1760="","",IFERROR(_xlfn.XLOOKUP(F1760&amp;"|"&amp;J1760&amp;"|"&amp;O1760,PRICES!$C$2:$C$659&amp;"|"&amp;PRICES!$B$2:$B$659&amp;"|"&amp;PRICES!$D$2:$D$659,PRICES!$E$2:$E$659),"Not Found"))</f>
        <v/>
      </c>
      <c r="Q1760" s="100" t="str">
        <f>IF(N1760=0,"",SUMIFS(PRICES!$G$2:$G$658,PRICES!$B$2:$B$658,'MAIN TABLE-1 AUTOMATED'!J1760,PRICES!$C$2:$C$658,'MAIN TABLE-1 AUTOMATED'!F1760,PRICES!$D$2:$D$658,'MAIN TABLE-1 AUTOMATED'!O1760))</f>
        <v/>
      </c>
      <c r="R1760" s="41" t="str">
        <f>IF(Table1[[#This Row],[QUANTITY]]=0,"",Table1[[#This Row],[UNIT PRICE]]*Table1[[#This Row],[QUANTITY]])</f>
        <v/>
      </c>
      <c r="S1760" s="89"/>
      <c r="T1760" s="38"/>
      <c r="U1760" s="43"/>
      <c r="V1760" s="42" t="str">
        <f>IF(Table1[[#This Row],[DATE]]=0,"",YEAR(E1760))</f>
        <v/>
      </c>
      <c r="W1760" s="40" t="str">
        <f t="shared" si="56"/>
        <v/>
      </c>
      <c r="X1760" s="40" t="str">
        <f t="shared" si="57"/>
        <v/>
      </c>
      <c r="Y1760" s="40" t="str">
        <f>TEXT(Table1[[#This Row],[YEAR]],"0000")&amp;"-"&amp;Table1[[#This Row],[MONTH]]</f>
        <v>-</v>
      </c>
    </row>
    <row r="1761" spans="1:25" ht="15" customHeight="1" x14ac:dyDescent="0.35">
      <c r="A1761" s="24"/>
      <c r="B1761" s="38"/>
      <c r="C1761" s="38"/>
      <c r="D1761" s="38"/>
      <c r="E1761" s="37"/>
      <c r="F1761" s="38"/>
      <c r="G1761" s="198"/>
      <c r="H1761" s="198"/>
      <c r="I1761" s="39"/>
      <c r="J1761" s="38"/>
      <c r="K1761" s="198"/>
      <c r="L1761" s="38"/>
      <c r="M1761" s="38"/>
      <c r="N1761" s="38"/>
      <c r="O1761" s="38"/>
      <c r="P1761" s="40" t="str" cm="1">
        <f t="array" ref="P1761">IF(N1761="","",IFERROR(_xlfn.XLOOKUP(F1761&amp;"|"&amp;J1761&amp;"|"&amp;O1761,PRICES!$C$2:$C$659&amp;"|"&amp;PRICES!$B$2:$B$659&amp;"|"&amp;PRICES!$D$2:$D$659,PRICES!$E$2:$E$659),"Not Found"))</f>
        <v/>
      </c>
      <c r="Q1761" s="100" t="str">
        <f>IF(N1761=0,"",SUMIFS(PRICES!$G$2:$G$658,PRICES!$B$2:$B$658,'MAIN TABLE-1 AUTOMATED'!J1761,PRICES!$C$2:$C$658,'MAIN TABLE-1 AUTOMATED'!F1761,PRICES!$D$2:$D$658,'MAIN TABLE-1 AUTOMATED'!O1761))</f>
        <v/>
      </c>
      <c r="R1761" s="41" t="str">
        <f>IF(Table1[[#This Row],[QUANTITY]]=0,"",Table1[[#This Row],[UNIT PRICE]]*Table1[[#This Row],[QUANTITY]])</f>
        <v/>
      </c>
      <c r="S1761" s="89"/>
      <c r="T1761" s="38"/>
      <c r="U1761" s="43"/>
      <c r="V1761" s="42" t="str">
        <f>IF(Table1[[#This Row],[DATE]]=0,"",YEAR(E1761))</f>
        <v/>
      </c>
      <c r="W1761" s="40" t="str">
        <f t="shared" si="56"/>
        <v/>
      </c>
      <c r="X1761" s="40" t="str">
        <f t="shared" si="57"/>
        <v/>
      </c>
      <c r="Y1761" s="40" t="str">
        <f>TEXT(Table1[[#This Row],[YEAR]],"0000")&amp;"-"&amp;Table1[[#This Row],[MONTH]]</f>
        <v>-</v>
      </c>
    </row>
    <row r="1762" spans="1:25" ht="15" customHeight="1" x14ac:dyDescent="0.35">
      <c r="A1762" s="24"/>
      <c r="B1762" s="38"/>
      <c r="C1762" s="38"/>
      <c r="D1762" s="38"/>
      <c r="E1762" s="37"/>
      <c r="F1762" s="38"/>
      <c r="G1762" s="198"/>
      <c r="H1762" s="198"/>
      <c r="I1762" s="39"/>
      <c r="J1762" s="38"/>
      <c r="K1762" s="198"/>
      <c r="L1762" s="38"/>
      <c r="M1762" s="38"/>
      <c r="N1762" s="38"/>
      <c r="O1762" s="38"/>
      <c r="P1762" s="40" t="str" cm="1">
        <f t="array" ref="P1762">IF(N1762="","",IFERROR(_xlfn.XLOOKUP(F1762&amp;"|"&amp;J1762&amp;"|"&amp;O1762,PRICES!$C$2:$C$659&amp;"|"&amp;PRICES!$B$2:$B$659&amp;"|"&amp;PRICES!$D$2:$D$659,PRICES!$E$2:$E$659),"Not Found"))</f>
        <v/>
      </c>
      <c r="Q1762" s="100" t="str">
        <f>IF(N1762=0,"",SUMIFS(PRICES!$G$2:$G$658,PRICES!$B$2:$B$658,'MAIN TABLE-1 AUTOMATED'!J1762,PRICES!$C$2:$C$658,'MAIN TABLE-1 AUTOMATED'!F1762,PRICES!$D$2:$D$658,'MAIN TABLE-1 AUTOMATED'!O1762))</f>
        <v/>
      </c>
      <c r="R1762" s="41" t="str">
        <f>IF(Table1[[#This Row],[QUANTITY]]=0,"",Table1[[#This Row],[UNIT PRICE]]*Table1[[#This Row],[QUANTITY]])</f>
        <v/>
      </c>
      <c r="S1762" s="89"/>
      <c r="T1762" s="38"/>
      <c r="U1762" s="43"/>
      <c r="V1762" s="42" t="str">
        <f>IF(Table1[[#This Row],[DATE]]=0,"",YEAR(E1762))</f>
        <v/>
      </c>
      <c r="W1762" s="40" t="str">
        <f t="shared" si="56"/>
        <v/>
      </c>
      <c r="X1762" s="40" t="str">
        <f t="shared" si="57"/>
        <v/>
      </c>
      <c r="Y1762" s="40" t="str">
        <f>TEXT(Table1[[#This Row],[YEAR]],"0000")&amp;"-"&amp;Table1[[#This Row],[MONTH]]</f>
        <v>-</v>
      </c>
    </row>
    <row r="1763" spans="1:25" ht="15" customHeight="1" x14ac:dyDescent="0.35">
      <c r="A1763" s="24"/>
      <c r="B1763" s="38"/>
      <c r="C1763" s="38"/>
      <c r="D1763" s="38"/>
      <c r="E1763" s="37"/>
      <c r="F1763" s="38"/>
      <c r="G1763" s="198"/>
      <c r="H1763" s="198"/>
      <c r="I1763" s="39"/>
      <c r="J1763" s="38"/>
      <c r="K1763" s="198"/>
      <c r="L1763" s="38"/>
      <c r="M1763" s="38"/>
      <c r="N1763" s="38"/>
      <c r="O1763" s="38"/>
      <c r="P1763" s="40" t="str" cm="1">
        <f t="array" ref="P1763">IF(N1763="","",IFERROR(_xlfn.XLOOKUP(F1763&amp;"|"&amp;J1763&amp;"|"&amp;O1763,PRICES!$C$2:$C$659&amp;"|"&amp;PRICES!$B$2:$B$659&amp;"|"&amp;PRICES!$D$2:$D$659,PRICES!$E$2:$E$659),"Not Found"))</f>
        <v/>
      </c>
      <c r="Q1763" s="100" t="str">
        <f>IF(N1763=0,"",SUMIFS(PRICES!$G$2:$G$658,PRICES!$B$2:$B$658,'MAIN TABLE-1 AUTOMATED'!J1763,PRICES!$C$2:$C$658,'MAIN TABLE-1 AUTOMATED'!F1763,PRICES!$D$2:$D$658,'MAIN TABLE-1 AUTOMATED'!O1763))</f>
        <v/>
      </c>
      <c r="R1763" s="41" t="str">
        <f>IF(Table1[[#This Row],[QUANTITY]]=0,"",Table1[[#This Row],[UNIT PRICE]]*Table1[[#This Row],[QUANTITY]])</f>
        <v/>
      </c>
      <c r="S1763" s="89"/>
      <c r="T1763" s="38"/>
      <c r="U1763" s="43"/>
      <c r="V1763" s="42" t="str">
        <f>IF(Table1[[#This Row],[DATE]]=0,"",YEAR(E1763))</f>
        <v/>
      </c>
      <c r="W1763" s="40" t="str">
        <f t="shared" si="56"/>
        <v/>
      </c>
      <c r="X1763" s="40" t="str">
        <f t="shared" si="57"/>
        <v/>
      </c>
      <c r="Y1763" s="40" t="str">
        <f>TEXT(Table1[[#This Row],[YEAR]],"0000")&amp;"-"&amp;Table1[[#This Row],[MONTH]]</f>
        <v>-</v>
      </c>
    </row>
    <row r="1764" spans="1:25" ht="15" customHeight="1" x14ac:dyDescent="0.35">
      <c r="A1764" s="24"/>
      <c r="B1764" s="38"/>
      <c r="C1764" s="38"/>
      <c r="D1764" s="38"/>
      <c r="E1764" s="37"/>
      <c r="F1764" s="38"/>
      <c r="G1764" s="198"/>
      <c r="H1764" s="198"/>
      <c r="I1764" s="39"/>
      <c r="J1764" s="38"/>
      <c r="K1764" s="198"/>
      <c r="L1764" s="38"/>
      <c r="M1764" s="38"/>
      <c r="N1764" s="38"/>
      <c r="O1764" s="38"/>
      <c r="P1764" s="40" t="str" cm="1">
        <f t="array" ref="P1764">IF(N1764="","",IFERROR(_xlfn.XLOOKUP(F1764&amp;"|"&amp;J1764&amp;"|"&amp;O1764,PRICES!$C$2:$C$659&amp;"|"&amp;PRICES!$B$2:$B$659&amp;"|"&amp;PRICES!$D$2:$D$659,PRICES!$E$2:$E$659),"Not Found"))</f>
        <v/>
      </c>
      <c r="Q1764" s="100" t="str">
        <f>IF(N1764=0,"",SUMIFS(PRICES!$G$2:$G$658,PRICES!$B$2:$B$658,'MAIN TABLE-1 AUTOMATED'!J1764,PRICES!$C$2:$C$658,'MAIN TABLE-1 AUTOMATED'!F1764,PRICES!$D$2:$D$658,'MAIN TABLE-1 AUTOMATED'!O1764))</f>
        <v/>
      </c>
      <c r="R1764" s="41" t="str">
        <f>IF(Table1[[#This Row],[QUANTITY]]=0,"",Table1[[#This Row],[UNIT PRICE]]*Table1[[#This Row],[QUANTITY]])</f>
        <v/>
      </c>
      <c r="S1764" s="89"/>
      <c r="T1764" s="38"/>
      <c r="U1764" s="43"/>
      <c r="V1764" s="42" t="str">
        <f>IF(Table1[[#This Row],[DATE]]=0,"",YEAR(E1764))</f>
        <v/>
      </c>
      <c r="W1764" s="40" t="str">
        <f t="shared" si="56"/>
        <v/>
      </c>
      <c r="X1764" s="40" t="str">
        <f t="shared" si="57"/>
        <v/>
      </c>
      <c r="Y1764" s="40" t="str">
        <f>TEXT(Table1[[#This Row],[YEAR]],"0000")&amp;"-"&amp;Table1[[#This Row],[MONTH]]</f>
        <v>-</v>
      </c>
    </row>
    <row r="1765" spans="1:25" ht="15" customHeight="1" x14ac:dyDescent="0.35">
      <c r="A1765" s="24"/>
      <c r="B1765" s="38"/>
      <c r="C1765" s="38"/>
      <c r="D1765" s="38"/>
      <c r="E1765" s="37"/>
      <c r="F1765" s="38"/>
      <c r="G1765" s="198"/>
      <c r="H1765" s="198"/>
      <c r="I1765" s="39"/>
      <c r="J1765" s="38"/>
      <c r="K1765" s="198"/>
      <c r="L1765" s="38"/>
      <c r="M1765" s="38"/>
      <c r="N1765" s="38"/>
      <c r="O1765" s="38"/>
      <c r="P1765" s="40" t="str" cm="1">
        <f t="array" ref="P1765">IF(N1765="","",IFERROR(_xlfn.XLOOKUP(F1765&amp;"|"&amp;J1765&amp;"|"&amp;O1765,PRICES!$C$2:$C$659&amp;"|"&amp;PRICES!$B$2:$B$659&amp;"|"&amp;PRICES!$D$2:$D$659,PRICES!$E$2:$E$659),"Not Found"))</f>
        <v/>
      </c>
      <c r="Q1765" s="100" t="str">
        <f>IF(N1765=0,"",SUMIFS(PRICES!$G$2:$G$658,PRICES!$B$2:$B$658,'MAIN TABLE-1 AUTOMATED'!J1765,PRICES!$C$2:$C$658,'MAIN TABLE-1 AUTOMATED'!F1765,PRICES!$D$2:$D$658,'MAIN TABLE-1 AUTOMATED'!O1765))</f>
        <v/>
      </c>
      <c r="R1765" s="41" t="str">
        <f>IF(Table1[[#This Row],[QUANTITY]]=0,"",Table1[[#This Row],[UNIT PRICE]]*Table1[[#This Row],[QUANTITY]])</f>
        <v/>
      </c>
      <c r="S1765" s="89"/>
      <c r="T1765" s="38"/>
      <c r="U1765" s="43"/>
      <c r="V1765" s="42" t="str">
        <f>IF(Table1[[#This Row],[DATE]]=0,"",YEAR(E1765))</f>
        <v/>
      </c>
      <c r="W1765" s="40" t="str">
        <f t="shared" si="56"/>
        <v/>
      </c>
      <c r="X1765" s="40" t="str">
        <f t="shared" si="57"/>
        <v/>
      </c>
      <c r="Y1765" s="40" t="str">
        <f>TEXT(Table1[[#This Row],[YEAR]],"0000")&amp;"-"&amp;Table1[[#This Row],[MONTH]]</f>
        <v>-</v>
      </c>
    </row>
    <row r="1766" spans="1:25" ht="15" customHeight="1" x14ac:dyDescent="0.35">
      <c r="A1766" s="24"/>
      <c r="B1766" s="38"/>
      <c r="C1766" s="38"/>
      <c r="D1766" s="38"/>
      <c r="E1766" s="37"/>
      <c r="F1766" s="38"/>
      <c r="G1766" s="198"/>
      <c r="H1766" s="198"/>
      <c r="I1766" s="39"/>
      <c r="J1766" s="38"/>
      <c r="K1766" s="198"/>
      <c r="L1766" s="38"/>
      <c r="M1766" s="38"/>
      <c r="N1766" s="38"/>
      <c r="O1766" s="38"/>
      <c r="P1766" s="40" t="str" cm="1">
        <f t="array" ref="P1766">IF(N1766="","",IFERROR(_xlfn.XLOOKUP(F1766&amp;"|"&amp;J1766&amp;"|"&amp;O1766,PRICES!$C$2:$C$659&amp;"|"&amp;PRICES!$B$2:$B$659&amp;"|"&amp;PRICES!$D$2:$D$659,PRICES!$E$2:$E$659),"Not Found"))</f>
        <v/>
      </c>
      <c r="Q1766" s="100" t="str">
        <f>IF(N1766=0,"",SUMIFS(PRICES!$G$2:$G$658,PRICES!$B$2:$B$658,'MAIN TABLE-1 AUTOMATED'!J1766,PRICES!$C$2:$C$658,'MAIN TABLE-1 AUTOMATED'!F1766,PRICES!$D$2:$D$658,'MAIN TABLE-1 AUTOMATED'!O1766))</f>
        <v/>
      </c>
      <c r="R1766" s="41" t="str">
        <f>IF(Table1[[#This Row],[QUANTITY]]=0,"",Table1[[#This Row],[UNIT PRICE]]*Table1[[#This Row],[QUANTITY]])</f>
        <v/>
      </c>
      <c r="S1766" s="89"/>
      <c r="T1766" s="38"/>
      <c r="U1766" s="43"/>
      <c r="V1766" s="42" t="str">
        <f>IF(Table1[[#This Row],[DATE]]=0,"",YEAR(E1766))</f>
        <v/>
      </c>
      <c r="W1766" s="40" t="str">
        <f t="shared" si="56"/>
        <v/>
      </c>
      <c r="X1766" s="40" t="str">
        <f t="shared" si="57"/>
        <v/>
      </c>
      <c r="Y1766" s="40" t="str">
        <f>TEXT(Table1[[#This Row],[YEAR]],"0000")&amp;"-"&amp;Table1[[#This Row],[MONTH]]</f>
        <v>-</v>
      </c>
    </row>
    <row r="1767" spans="1:25" ht="15" customHeight="1" x14ac:dyDescent="0.35">
      <c r="A1767" s="24"/>
      <c r="B1767" s="38"/>
      <c r="C1767" s="38"/>
      <c r="D1767" s="38"/>
      <c r="E1767" s="37"/>
      <c r="F1767" s="38"/>
      <c r="G1767" s="198"/>
      <c r="H1767" s="198"/>
      <c r="I1767" s="39"/>
      <c r="J1767" s="38"/>
      <c r="K1767" s="198"/>
      <c r="L1767" s="38"/>
      <c r="M1767" s="38"/>
      <c r="N1767" s="38"/>
      <c r="O1767" s="38"/>
      <c r="P1767" s="40" t="str" cm="1">
        <f t="array" ref="P1767">IF(N1767="","",IFERROR(_xlfn.XLOOKUP(F1767&amp;"|"&amp;J1767&amp;"|"&amp;O1767,PRICES!$C$2:$C$659&amp;"|"&amp;PRICES!$B$2:$B$659&amp;"|"&amp;PRICES!$D$2:$D$659,PRICES!$E$2:$E$659),"Not Found"))</f>
        <v/>
      </c>
      <c r="Q1767" s="100" t="str">
        <f>IF(N1767=0,"",SUMIFS(PRICES!$G$2:$G$658,PRICES!$B$2:$B$658,'MAIN TABLE-1 AUTOMATED'!J1767,PRICES!$C$2:$C$658,'MAIN TABLE-1 AUTOMATED'!F1767,PRICES!$D$2:$D$658,'MAIN TABLE-1 AUTOMATED'!O1767))</f>
        <v/>
      </c>
      <c r="R1767" s="41" t="str">
        <f>IF(Table1[[#This Row],[QUANTITY]]=0,"",Table1[[#This Row],[UNIT PRICE]]*Table1[[#This Row],[QUANTITY]])</f>
        <v/>
      </c>
      <c r="S1767" s="89"/>
      <c r="T1767" s="38"/>
      <c r="U1767" s="43"/>
      <c r="V1767" s="42" t="str">
        <f>IF(Table1[[#This Row],[DATE]]=0,"",YEAR(E1767))</f>
        <v/>
      </c>
      <c r="W1767" s="40" t="str">
        <f t="shared" si="56"/>
        <v/>
      </c>
      <c r="X1767" s="40" t="str">
        <f t="shared" si="57"/>
        <v/>
      </c>
      <c r="Y1767" s="40" t="str">
        <f>TEXT(Table1[[#This Row],[YEAR]],"0000")&amp;"-"&amp;Table1[[#This Row],[MONTH]]</f>
        <v>-</v>
      </c>
    </row>
    <row r="1768" spans="1:25" ht="15" customHeight="1" x14ac:dyDescent="0.35">
      <c r="A1768" s="24"/>
      <c r="B1768" s="38"/>
      <c r="C1768" s="38"/>
      <c r="D1768" s="38"/>
      <c r="E1768" s="37"/>
      <c r="F1768" s="38"/>
      <c r="G1768" s="198"/>
      <c r="H1768" s="198"/>
      <c r="I1768" s="39"/>
      <c r="J1768" s="38"/>
      <c r="K1768" s="198"/>
      <c r="L1768" s="38"/>
      <c r="M1768" s="38"/>
      <c r="N1768" s="38"/>
      <c r="O1768" s="38"/>
      <c r="P1768" s="40" t="str" cm="1">
        <f t="array" ref="P1768">IF(N1768="","",IFERROR(_xlfn.XLOOKUP(F1768&amp;"|"&amp;J1768&amp;"|"&amp;O1768,PRICES!$C$2:$C$659&amp;"|"&amp;PRICES!$B$2:$B$659&amp;"|"&amp;PRICES!$D$2:$D$659,PRICES!$E$2:$E$659),"Not Found"))</f>
        <v/>
      </c>
      <c r="Q1768" s="100" t="str">
        <f>IF(N1768=0,"",SUMIFS(PRICES!$G$2:$G$658,PRICES!$B$2:$B$658,'MAIN TABLE-1 AUTOMATED'!J1768,PRICES!$C$2:$C$658,'MAIN TABLE-1 AUTOMATED'!F1768,PRICES!$D$2:$D$658,'MAIN TABLE-1 AUTOMATED'!O1768))</f>
        <v/>
      </c>
      <c r="R1768" s="41" t="str">
        <f>IF(Table1[[#This Row],[QUANTITY]]=0,"",Table1[[#This Row],[UNIT PRICE]]*Table1[[#This Row],[QUANTITY]])</f>
        <v/>
      </c>
      <c r="S1768" s="89"/>
      <c r="T1768" s="38"/>
      <c r="U1768" s="43"/>
      <c r="V1768" s="42" t="str">
        <f>IF(Table1[[#This Row],[DATE]]=0,"",YEAR(E1768))</f>
        <v/>
      </c>
      <c r="W1768" s="40" t="str">
        <f t="shared" si="56"/>
        <v/>
      </c>
      <c r="X1768" s="40" t="str">
        <f t="shared" si="57"/>
        <v/>
      </c>
      <c r="Y1768" s="40" t="str">
        <f>TEXT(Table1[[#This Row],[YEAR]],"0000")&amp;"-"&amp;Table1[[#This Row],[MONTH]]</f>
        <v>-</v>
      </c>
    </row>
    <row r="1769" spans="1:25" ht="15" customHeight="1" x14ac:dyDescent="0.35">
      <c r="A1769" s="24"/>
      <c r="B1769" s="38"/>
      <c r="C1769" s="38"/>
      <c r="D1769" s="38"/>
      <c r="E1769" s="37"/>
      <c r="F1769" s="38"/>
      <c r="G1769" s="198"/>
      <c r="H1769" s="198"/>
      <c r="I1769" s="39"/>
      <c r="J1769" s="38"/>
      <c r="K1769" s="198"/>
      <c r="L1769" s="38"/>
      <c r="M1769" s="38"/>
      <c r="N1769" s="38"/>
      <c r="O1769" s="38"/>
      <c r="P1769" s="40" t="str" cm="1">
        <f t="array" ref="P1769">IF(N1769="","",IFERROR(_xlfn.XLOOKUP(F1769&amp;"|"&amp;J1769&amp;"|"&amp;O1769,PRICES!$C$2:$C$659&amp;"|"&amp;PRICES!$B$2:$B$659&amp;"|"&amp;PRICES!$D$2:$D$659,PRICES!$E$2:$E$659),"Not Found"))</f>
        <v/>
      </c>
      <c r="Q1769" s="100" t="str">
        <f>IF(N1769=0,"",SUMIFS(PRICES!$G$2:$G$658,PRICES!$B$2:$B$658,'MAIN TABLE-1 AUTOMATED'!J1769,PRICES!$C$2:$C$658,'MAIN TABLE-1 AUTOMATED'!F1769,PRICES!$D$2:$D$658,'MAIN TABLE-1 AUTOMATED'!O1769))</f>
        <v/>
      </c>
      <c r="R1769" s="41" t="str">
        <f>IF(Table1[[#This Row],[QUANTITY]]=0,"",Table1[[#This Row],[UNIT PRICE]]*Table1[[#This Row],[QUANTITY]])</f>
        <v/>
      </c>
      <c r="S1769" s="89"/>
      <c r="T1769" s="38"/>
      <c r="U1769" s="43"/>
      <c r="V1769" s="42" t="str">
        <f>IF(Table1[[#This Row],[DATE]]=0,"",YEAR(E1769))</f>
        <v/>
      </c>
      <c r="W1769" s="40" t="str">
        <f t="shared" si="56"/>
        <v/>
      </c>
      <c r="X1769" s="40" t="str">
        <f t="shared" si="57"/>
        <v/>
      </c>
      <c r="Y1769" s="40" t="str">
        <f>TEXT(Table1[[#This Row],[YEAR]],"0000")&amp;"-"&amp;Table1[[#This Row],[MONTH]]</f>
        <v>-</v>
      </c>
    </row>
    <row r="1770" spans="1:25" ht="15" customHeight="1" x14ac:dyDescent="0.35">
      <c r="A1770" s="24"/>
      <c r="B1770" s="38"/>
      <c r="C1770" s="38"/>
      <c r="D1770" s="38"/>
      <c r="E1770" s="37"/>
      <c r="F1770" s="38"/>
      <c r="G1770" s="198"/>
      <c r="H1770" s="198"/>
      <c r="I1770" s="39"/>
      <c r="J1770" s="38"/>
      <c r="K1770" s="198"/>
      <c r="L1770" s="38"/>
      <c r="M1770" s="38"/>
      <c r="N1770" s="38"/>
      <c r="O1770" s="38"/>
      <c r="P1770" s="40" t="str" cm="1">
        <f t="array" ref="P1770">IF(N1770="","",IFERROR(_xlfn.XLOOKUP(F1770&amp;"|"&amp;J1770&amp;"|"&amp;O1770,PRICES!$C$2:$C$659&amp;"|"&amp;PRICES!$B$2:$B$659&amp;"|"&amp;PRICES!$D$2:$D$659,PRICES!$E$2:$E$659),"Not Found"))</f>
        <v/>
      </c>
      <c r="Q1770" s="100" t="str">
        <f>IF(N1770=0,"",SUMIFS(PRICES!$G$2:$G$658,PRICES!$B$2:$B$658,'MAIN TABLE-1 AUTOMATED'!J1770,PRICES!$C$2:$C$658,'MAIN TABLE-1 AUTOMATED'!F1770,PRICES!$D$2:$D$658,'MAIN TABLE-1 AUTOMATED'!O1770))</f>
        <v/>
      </c>
      <c r="R1770" s="41" t="str">
        <f>IF(Table1[[#This Row],[QUANTITY]]=0,"",Table1[[#This Row],[UNIT PRICE]]*Table1[[#This Row],[QUANTITY]])</f>
        <v/>
      </c>
      <c r="S1770" s="89"/>
      <c r="T1770" s="38"/>
      <c r="U1770" s="43"/>
      <c r="V1770" s="42" t="str">
        <f>IF(Table1[[#This Row],[DATE]]=0,"",YEAR(E1770))</f>
        <v/>
      </c>
      <c r="W1770" s="40" t="str">
        <f t="shared" si="56"/>
        <v/>
      </c>
      <c r="X1770" s="40" t="str">
        <f t="shared" si="57"/>
        <v/>
      </c>
      <c r="Y1770" s="40" t="str">
        <f>TEXT(Table1[[#This Row],[YEAR]],"0000")&amp;"-"&amp;Table1[[#This Row],[MONTH]]</f>
        <v>-</v>
      </c>
    </row>
    <row r="1771" spans="1:25" ht="15" customHeight="1" x14ac:dyDescent="0.35">
      <c r="A1771" s="24"/>
      <c r="B1771" s="38"/>
      <c r="C1771" s="38"/>
      <c r="D1771" s="38"/>
      <c r="E1771" s="37"/>
      <c r="F1771" s="38"/>
      <c r="G1771" s="198"/>
      <c r="H1771" s="198"/>
      <c r="I1771" s="39"/>
      <c r="J1771" s="38"/>
      <c r="K1771" s="198"/>
      <c r="L1771" s="38"/>
      <c r="M1771" s="38"/>
      <c r="N1771" s="38"/>
      <c r="O1771" s="38"/>
      <c r="P1771" s="40" t="str" cm="1">
        <f t="array" ref="P1771">IF(N1771="","",IFERROR(_xlfn.XLOOKUP(F1771&amp;"|"&amp;J1771&amp;"|"&amp;O1771,PRICES!$C$2:$C$659&amp;"|"&amp;PRICES!$B$2:$B$659&amp;"|"&amp;PRICES!$D$2:$D$659,PRICES!$E$2:$E$659),"Not Found"))</f>
        <v/>
      </c>
      <c r="Q1771" s="100" t="str">
        <f>IF(N1771=0,"",SUMIFS(PRICES!$G$2:$G$658,PRICES!$B$2:$B$658,'MAIN TABLE-1 AUTOMATED'!J1771,PRICES!$C$2:$C$658,'MAIN TABLE-1 AUTOMATED'!F1771,PRICES!$D$2:$D$658,'MAIN TABLE-1 AUTOMATED'!O1771))</f>
        <v/>
      </c>
      <c r="R1771" s="41" t="str">
        <f>IF(Table1[[#This Row],[QUANTITY]]=0,"",Table1[[#This Row],[UNIT PRICE]]*Table1[[#This Row],[QUANTITY]])</f>
        <v/>
      </c>
      <c r="S1771" s="89"/>
      <c r="T1771" s="38"/>
      <c r="U1771" s="43"/>
      <c r="V1771" s="42" t="str">
        <f>IF(Table1[[#This Row],[DATE]]=0,"",YEAR(E1771))</f>
        <v/>
      </c>
      <c r="W1771" s="40" t="str">
        <f t="shared" si="56"/>
        <v/>
      </c>
      <c r="X1771" s="40" t="str">
        <f t="shared" si="57"/>
        <v/>
      </c>
      <c r="Y1771" s="40" t="str">
        <f>TEXT(Table1[[#This Row],[YEAR]],"0000")&amp;"-"&amp;Table1[[#This Row],[MONTH]]</f>
        <v>-</v>
      </c>
    </row>
    <row r="1772" spans="1:25" ht="15" customHeight="1" x14ac:dyDescent="0.35">
      <c r="A1772" s="24"/>
      <c r="B1772" s="38"/>
      <c r="C1772" s="38"/>
      <c r="D1772" s="38"/>
      <c r="E1772" s="37"/>
      <c r="F1772" s="38"/>
      <c r="G1772" s="198"/>
      <c r="H1772" s="198"/>
      <c r="I1772" s="39"/>
      <c r="J1772" s="38"/>
      <c r="K1772" s="198"/>
      <c r="L1772" s="38"/>
      <c r="M1772" s="38"/>
      <c r="N1772" s="38"/>
      <c r="O1772" s="38"/>
      <c r="P1772" s="40" t="str" cm="1">
        <f t="array" ref="P1772">IF(N1772="","",IFERROR(_xlfn.XLOOKUP(F1772&amp;"|"&amp;J1772&amp;"|"&amp;O1772,PRICES!$C$2:$C$659&amp;"|"&amp;PRICES!$B$2:$B$659&amp;"|"&amp;PRICES!$D$2:$D$659,PRICES!$E$2:$E$659),"Not Found"))</f>
        <v/>
      </c>
      <c r="Q1772" s="100" t="str">
        <f>IF(N1772=0,"",SUMIFS(PRICES!$G$2:$G$658,PRICES!$B$2:$B$658,'MAIN TABLE-1 AUTOMATED'!J1772,PRICES!$C$2:$C$658,'MAIN TABLE-1 AUTOMATED'!F1772,PRICES!$D$2:$D$658,'MAIN TABLE-1 AUTOMATED'!O1772))</f>
        <v/>
      </c>
      <c r="R1772" s="41" t="str">
        <f>IF(Table1[[#This Row],[QUANTITY]]=0,"",Table1[[#This Row],[UNIT PRICE]]*Table1[[#This Row],[QUANTITY]])</f>
        <v/>
      </c>
      <c r="S1772" s="89"/>
      <c r="T1772" s="38"/>
      <c r="U1772" s="43"/>
      <c r="V1772" s="42" t="str">
        <f>IF(Table1[[#This Row],[DATE]]=0,"",YEAR(E1772))</f>
        <v/>
      </c>
      <c r="W1772" s="40" t="str">
        <f t="shared" si="56"/>
        <v/>
      </c>
      <c r="X1772" s="40" t="str">
        <f t="shared" si="57"/>
        <v/>
      </c>
      <c r="Y1772" s="40" t="str">
        <f>TEXT(Table1[[#This Row],[YEAR]],"0000")&amp;"-"&amp;Table1[[#This Row],[MONTH]]</f>
        <v>-</v>
      </c>
    </row>
    <row r="1773" spans="1:25" ht="15" customHeight="1" x14ac:dyDescent="0.35">
      <c r="A1773" s="24"/>
      <c r="B1773" s="38"/>
      <c r="C1773" s="38"/>
      <c r="D1773" s="38"/>
      <c r="E1773" s="37"/>
      <c r="F1773" s="38"/>
      <c r="G1773" s="198"/>
      <c r="H1773" s="198"/>
      <c r="I1773" s="39"/>
      <c r="J1773" s="38"/>
      <c r="K1773" s="198"/>
      <c r="L1773" s="38"/>
      <c r="M1773" s="38"/>
      <c r="N1773" s="38"/>
      <c r="O1773" s="38"/>
      <c r="P1773" s="40" t="str" cm="1">
        <f t="array" ref="P1773">IF(N1773="","",IFERROR(_xlfn.XLOOKUP(F1773&amp;"|"&amp;J1773&amp;"|"&amp;O1773,PRICES!$C$2:$C$659&amp;"|"&amp;PRICES!$B$2:$B$659&amp;"|"&amp;PRICES!$D$2:$D$659,PRICES!$E$2:$E$659),"Not Found"))</f>
        <v/>
      </c>
      <c r="Q1773" s="100" t="str">
        <f>IF(N1773=0,"",SUMIFS(PRICES!$G$2:$G$658,PRICES!$B$2:$B$658,'MAIN TABLE-1 AUTOMATED'!J1773,PRICES!$C$2:$C$658,'MAIN TABLE-1 AUTOMATED'!F1773,PRICES!$D$2:$D$658,'MAIN TABLE-1 AUTOMATED'!O1773))</f>
        <v/>
      </c>
      <c r="R1773" s="41" t="str">
        <f>IF(Table1[[#This Row],[QUANTITY]]=0,"",Table1[[#This Row],[UNIT PRICE]]*Table1[[#This Row],[QUANTITY]])</f>
        <v/>
      </c>
      <c r="S1773" s="89"/>
      <c r="T1773" s="38"/>
      <c r="U1773" s="43"/>
      <c r="V1773" s="42" t="str">
        <f>IF(Table1[[#This Row],[DATE]]=0,"",YEAR(E1773))</f>
        <v/>
      </c>
      <c r="W1773" s="40" t="str">
        <f t="shared" si="56"/>
        <v/>
      </c>
      <c r="X1773" s="40" t="str">
        <f t="shared" si="57"/>
        <v/>
      </c>
      <c r="Y1773" s="40" t="str">
        <f>TEXT(Table1[[#This Row],[YEAR]],"0000")&amp;"-"&amp;Table1[[#This Row],[MONTH]]</f>
        <v>-</v>
      </c>
    </row>
    <row r="1774" spans="1:25" ht="15" customHeight="1" x14ac:dyDescent="0.35">
      <c r="A1774" s="24"/>
      <c r="B1774" s="38"/>
      <c r="C1774" s="38"/>
      <c r="D1774" s="38"/>
      <c r="E1774" s="37"/>
      <c r="F1774" s="38"/>
      <c r="G1774" s="198"/>
      <c r="H1774" s="198"/>
      <c r="I1774" s="39"/>
      <c r="J1774" s="38"/>
      <c r="K1774" s="198"/>
      <c r="L1774" s="38"/>
      <c r="M1774" s="38"/>
      <c r="N1774" s="38"/>
      <c r="O1774" s="38"/>
      <c r="P1774" s="40" t="str" cm="1">
        <f t="array" ref="P1774">IF(N1774="","",IFERROR(_xlfn.XLOOKUP(F1774&amp;"|"&amp;J1774&amp;"|"&amp;O1774,PRICES!$C$2:$C$659&amp;"|"&amp;PRICES!$B$2:$B$659&amp;"|"&amp;PRICES!$D$2:$D$659,PRICES!$E$2:$E$659),"Not Found"))</f>
        <v/>
      </c>
      <c r="Q1774" s="100" t="str">
        <f>IF(N1774=0,"",SUMIFS(PRICES!$G$2:$G$658,PRICES!$B$2:$B$658,'MAIN TABLE-1 AUTOMATED'!J1774,PRICES!$C$2:$C$658,'MAIN TABLE-1 AUTOMATED'!F1774,PRICES!$D$2:$D$658,'MAIN TABLE-1 AUTOMATED'!O1774))</f>
        <v/>
      </c>
      <c r="R1774" s="41" t="str">
        <f>IF(Table1[[#This Row],[QUANTITY]]=0,"",Table1[[#This Row],[UNIT PRICE]]*Table1[[#This Row],[QUANTITY]])</f>
        <v/>
      </c>
      <c r="S1774" s="89"/>
      <c r="T1774" s="38"/>
      <c r="U1774" s="43"/>
      <c r="V1774" s="42" t="str">
        <f>IF(Table1[[#This Row],[DATE]]=0,"",YEAR(E1774))</f>
        <v/>
      </c>
      <c r="W1774" s="40" t="str">
        <f t="shared" si="56"/>
        <v/>
      </c>
      <c r="X1774" s="40" t="str">
        <f t="shared" si="57"/>
        <v/>
      </c>
      <c r="Y1774" s="40" t="str">
        <f>TEXT(Table1[[#This Row],[YEAR]],"0000")&amp;"-"&amp;Table1[[#This Row],[MONTH]]</f>
        <v>-</v>
      </c>
    </row>
    <row r="1775" spans="1:25" ht="15" customHeight="1" x14ac:dyDescent="0.35">
      <c r="A1775" s="24"/>
      <c r="B1775" s="38"/>
      <c r="C1775" s="38"/>
      <c r="D1775" s="38"/>
      <c r="E1775" s="37"/>
      <c r="F1775" s="38"/>
      <c r="G1775" s="198"/>
      <c r="H1775" s="198"/>
      <c r="I1775" s="39"/>
      <c r="J1775" s="38"/>
      <c r="K1775" s="198"/>
      <c r="L1775" s="38"/>
      <c r="M1775" s="38"/>
      <c r="N1775" s="38"/>
      <c r="O1775" s="38"/>
      <c r="P1775" s="40" t="str" cm="1">
        <f t="array" ref="P1775">IF(N1775="","",IFERROR(_xlfn.XLOOKUP(F1775&amp;"|"&amp;J1775&amp;"|"&amp;O1775,PRICES!$C$2:$C$659&amp;"|"&amp;PRICES!$B$2:$B$659&amp;"|"&amp;PRICES!$D$2:$D$659,PRICES!$E$2:$E$659),"Not Found"))</f>
        <v/>
      </c>
      <c r="Q1775" s="100" t="str">
        <f>IF(N1775=0,"",SUMIFS(PRICES!$G$2:$G$658,PRICES!$B$2:$B$658,'MAIN TABLE-1 AUTOMATED'!J1775,PRICES!$C$2:$C$658,'MAIN TABLE-1 AUTOMATED'!F1775,PRICES!$D$2:$D$658,'MAIN TABLE-1 AUTOMATED'!O1775))</f>
        <v/>
      </c>
      <c r="R1775" s="41" t="str">
        <f>IF(Table1[[#This Row],[QUANTITY]]=0,"",Table1[[#This Row],[UNIT PRICE]]*Table1[[#This Row],[QUANTITY]])</f>
        <v/>
      </c>
      <c r="S1775" s="89"/>
      <c r="T1775" s="38"/>
      <c r="U1775" s="43"/>
      <c r="V1775" s="42" t="str">
        <f>IF(Table1[[#This Row],[DATE]]=0,"",YEAR(E1775))</f>
        <v/>
      </c>
      <c r="W1775" s="40" t="str">
        <f t="shared" si="56"/>
        <v/>
      </c>
      <c r="X1775" s="40" t="str">
        <f t="shared" si="57"/>
        <v/>
      </c>
      <c r="Y1775" s="40" t="str">
        <f>TEXT(Table1[[#This Row],[YEAR]],"0000")&amp;"-"&amp;Table1[[#This Row],[MONTH]]</f>
        <v>-</v>
      </c>
    </row>
    <row r="1776" spans="1:25" ht="15" customHeight="1" x14ac:dyDescent="0.35">
      <c r="A1776" s="24"/>
      <c r="B1776" s="38"/>
      <c r="C1776" s="38"/>
      <c r="D1776" s="38"/>
      <c r="E1776" s="37"/>
      <c r="F1776" s="38"/>
      <c r="G1776" s="198"/>
      <c r="H1776" s="198"/>
      <c r="I1776" s="39"/>
      <c r="J1776" s="38"/>
      <c r="K1776" s="198"/>
      <c r="L1776" s="38"/>
      <c r="M1776" s="38"/>
      <c r="N1776" s="38"/>
      <c r="O1776" s="38"/>
      <c r="P1776" s="40" t="str" cm="1">
        <f t="array" ref="P1776">IF(N1776="","",IFERROR(_xlfn.XLOOKUP(F1776&amp;"|"&amp;J1776&amp;"|"&amp;O1776,PRICES!$C$2:$C$659&amp;"|"&amp;PRICES!$B$2:$B$659&amp;"|"&amp;PRICES!$D$2:$D$659,PRICES!$E$2:$E$659),"Not Found"))</f>
        <v/>
      </c>
      <c r="Q1776" s="100" t="str">
        <f>IF(N1776=0,"",SUMIFS(PRICES!$G$2:$G$658,PRICES!$B$2:$B$658,'MAIN TABLE-1 AUTOMATED'!J1776,PRICES!$C$2:$C$658,'MAIN TABLE-1 AUTOMATED'!F1776,PRICES!$D$2:$D$658,'MAIN TABLE-1 AUTOMATED'!O1776))</f>
        <v/>
      </c>
      <c r="R1776" s="41" t="str">
        <f>IF(Table1[[#This Row],[QUANTITY]]=0,"",Table1[[#This Row],[UNIT PRICE]]*Table1[[#This Row],[QUANTITY]])</f>
        <v/>
      </c>
      <c r="S1776" s="89"/>
      <c r="T1776" s="38"/>
      <c r="U1776" s="43"/>
      <c r="V1776" s="42" t="str">
        <f>IF(Table1[[#This Row],[DATE]]=0,"",YEAR(E1776))</f>
        <v/>
      </c>
      <c r="W1776" s="40" t="str">
        <f t="shared" si="56"/>
        <v/>
      </c>
      <c r="X1776" s="40" t="str">
        <f t="shared" si="57"/>
        <v/>
      </c>
      <c r="Y1776" s="40" t="str">
        <f>TEXT(Table1[[#This Row],[YEAR]],"0000")&amp;"-"&amp;Table1[[#This Row],[MONTH]]</f>
        <v>-</v>
      </c>
    </row>
    <row r="1777" spans="1:25" ht="15" customHeight="1" x14ac:dyDescent="0.35">
      <c r="A1777" s="24"/>
      <c r="B1777" s="38"/>
      <c r="C1777" s="38"/>
      <c r="D1777" s="38"/>
      <c r="E1777" s="37"/>
      <c r="F1777" s="38"/>
      <c r="G1777" s="198"/>
      <c r="H1777" s="198"/>
      <c r="I1777" s="39"/>
      <c r="J1777" s="38"/>
      <c r="K1777" s="198"/>
      <c r="L1777" s="38"/>
      <c r="M1777" s="38"/>
      <c r="N1777" s="38"/>
      <c r="O1777" s="38"/>
      <c r="P1777" s="40" t="str" cm="1">
        <f t="array" ref="P1777">IF(N1777="","",IFERROR(_xlfn.XLOOKUP(F1777&amp;"|"&amp;J1777&amp;"|"&amp;O1777,PRICES!$C$2:$C$659&amp;"|"&amp;PRICES!$B$2:$B$659&amp;"|"&amp;PRICES!$D$2:$D$659,PRICES!$E$2:$E$659),"Not Found"))</f>
        <v/>
      </c>
      <c r="Q1777" s="100" t="str">
        <f>IF(N1777=0,"",SUMIFS(PRICES!$G$2:$G$658,PRICES!$B$2:$B$658,'MAIN TABLE-1 AUTOMATED'!J1777,PRICES!$C$2:$C$658,'MAIN TABLE-1 AUTOMATED'!F1777,PRICES!$D$2:$D$658,'MAIN TABLE-1 AUTOMATED'!O1777))</f>
        <v/>
      </c>
      <c r="R1777" s="41" t="str">
        <f>IF(Table1[[#This Row],[QUANTITY]]=0,"",Table1[[#This Row],[UNIT PRICE]]*Table1[[#This Row],[QUANTITY]])</f>
        <v/>
      </c>
      <c r="S1777" s="89"/>
      <c r="T1777" s="38"/>
      <c r="U1777" s="43"/>
      <c r="V1777" s="42" t="str">
        <f>IF(Table1[[#This Row],[DATE]]=0,"",YEAR(E1777))</f>
        <v/>
      </c>
      <c r="W1777" s="40" t="str">
        <f t="shared" si="56"/>
        <v/>
      </c>
      <c r="X1777" s="40" t="str">
        <f t="shared" si="57"/>
        <v/>
      </c>
      <c r="Y1777" s="40" t="str">
        <f>TEXT(Table1[[#This Row],[YEAR]],"0000")&amp;"-"&amp;Table1[[#This Row],[MONTH]]</f>
        <v>-</v>
      </c>
    </row>
    <row r="1778" spans="1:25" ht="15" customHeight="1" x14ac:dyDescent="0.35">
      <c r="A1778" s="24"/>
      <c r="B1778" s="38"/>
      <c r="C1778" s="38"/>
      <c r="D1778" s="38"/>
      <c r="E1778" s="37"/>
      <c r="F1778" s="38"/>
      <c r="G1778" s="198"/>
      <c r="H1778" s="198"/>
      <c r="I1778" s="39"/>
      <c r="J1778" s="38"/>
      <c r="K1778" s="198"/>
      <c r="L1778" s="38"/>
      <c r="M1778" s="38"/>
      <c r="N1778" s="38"/>
      <c r="O1778" s="38"/>
      <c r="P1778" s="40" t="str" cm="1">
        <f t="array" ref="P1778">IF(N1778="","",IFERROR(_xlfn.XLOOKUP(F1778&amp;"|"&amp;J1778&amp;"|"&amp;O1778,PRICES!$C$2:$C$659&amp;"|"&amp;PRICES!$B$2:$B$659&amp;"|"&amp;PRICES!$D$2:$D$659,PRICES!$E$2:$E$659),"Not Found"))</f>
        <v/>
      </c>
      <c r="Q1778" s="100" t="str">
        <f>IF(N1778=0,"",SUMIFS(PRICES!$G$2:$G$658,PRICES!$B$2:$B$658,'MAIN TABLE-1 AUTOMATED'!J1778,PRICES!$C$2:$C$658,'MAIN TABLE-1 AUTOMATED'!F1778,PRICES!$D$2:$D$658,'MAIN TABLE-1 AUTOMATED'!O1778))</f>
        <v/>
      </c>
      <c r="R1778" s="41" t="str">
        <f>IF(Table1[[#This Row],[QUANTITY]]=0,"",Table1[[#This Row],[UNIT PRICE]]*Table1[[#This Row],[QUANTITY]])</f>
        <v/>
      </c>
      <c r="S1778" s="89"/>
      <c r="T1778" s="38"/>
      <c r="U1778" s="43"/>
      <c r="V1778" s="42" t="str">
        <f>IF(Table1[[#This Row],[DATE]]=0,"",YEAR(E1778))</f>
        <v/>
      </c>
      <c r="W1778" s="40" t="str">
        <f t="shared" si="56"/>
        <v/>
      </c>
      <c r="X1778" s="40" t="str">
        <f t="shared" si="57"/>
        <v/>
      </c>
      <c r="Y1778" s="40" t="str">
        <f>TEXT(Table1[[#This Row],[YEAR]],"0000")&amp;"-"&amp;Table1[[#This Row],[MONTH]]</f>
        <v>-</v>
      </c>
    </row>
    <row r="1779" spans="1:25" ht="15" customHeight="1" x14ac:dyDescent="0.35">
      <c r="A1779" s="24"/>
      <c r="B1779" s="38"/>
      <c r="C1779" s="38"/>
      <c r="D1779" s="38"/>
      <c r="E1779" s="37"/>
      <c r="F1779" s="38"/>
      <c r="G1779" s="198"/>
      <c r="H1779" s="198"/>
      <c r="I1779" s="39"/>
      <c r="J1779" s="38"/>
      <c r="K1779" s="198"/>
      <c r="L1779" s="38"/>
      <c r="M1779" s="38"/>
      <c r="N1779" s="38"/>
      <c r="O1779" s="38"/>
      <c r="P1779" s="40" t="str" cm="1">
        <f t="array" ref="P1779">IF(N1779="","",IFERROR(_xlfn.XLOOKUP(F1779&amp;"|"&amp;J1779&amp;"|"&amp;O1779,PRICES!$C$2:$C$659&amp;"|"&amp;PRICES!$B$2:$B$659&amp;"|"&amp;PRICES!$D$2:$D$659,PRICES!$E$2:$E$659),"Not Found"))</f>
        <v/>
      </c>
      <c r="Q1779" s="100" t="str">
        <f>IF(N1779=0,"",SUMIFS(PRICES!$G$2:$G$658,PRICES!$B$2:$B$658,'MAIN TABLE-1 AUTOMATED'!J1779,PRICES!$C$2:$C$658,'MAIN TABLE-1 AUTOMATED'!F1779,PRICES!$D$2:$D$658,'MAIN TABLE-1 AUTOMATED'!O1779))</f>
        <v/>
      </c>
      <c r="R1779" s="41" t="str">
        <f>IF(Table1[[#This Row],[QUANTITY]]=0,"",Table1[[#This Row],[UNIT PRICE]]*Table1[[#This Row],[QUANTITY]])</f>
        <v/>
      </c>
      <c r="S1779" s="89"/>
      <c r="T1779" s="38"/>
      <c r="U1779" s="43"/>
      <c r="V1779" s="42" t="str">
        <f>IF(Table1[[#This Row],[DATE]]=0,"",YEAR(E1779))</f>
        <v/>
      </c>
      <c r="W1779" s="40" t="str">
        <f t="shared" si="56"/>
        <v/>
      </c>
      <c r="X1779" s="40" t="str">
        <f t="shared" si="57"/>
        <v/>
      </c>
      <c r="Y1779" s="40" t="str">
        <f>TEXT(Table1[[#This Row],[YEAR]],"0000")&amp;"-"&amp;Table1[[#This Row],[MONTH]]</f>
        <v>-</v>
      </c>
    </row>
    <row r="1780" spans="1:25" ht="15" customHeight="1" x14ac:dyDescent="0.35">
      <c r="A1780" s="24"/>
      <c r="B1780" s="38"/>
      <c r="C1780" s="38"/>
      <c r="D1780" s="38"/>
      <c r="E1780" s="37"/>
      <c r="F1780" s="38"/>
      <c r="G1780" s="198"/>
      <c r="H1780" s="198"/>
      <c r="I1780" s="39"/>
      <c r="J1780" s="38"/>
      <c r="K1780" s="198"/>
      <c r="L1780" s="38"/>
      <c r="M1780" s="38"/>
      <c r="N1780" s="38"/>
      <c r="O1780" s="38"/>
      <c r="P1780" s="40" t="str" cm="1">
        <f t="array" ref="P1780">IF(N1780="","",IFERROR(_xlfn.XLOOKUP(F1780&amp;"|"&amp;J1780&amp;"|"&amp;O1780,PRICES!$C$2:$C$659&amp;"|"&amp;PRICES!$B$2:$B$659&amp;"|"&amp;PRICES!$D$2:$D$659,PRICES!$E$2:$E$659),"Not Found"))</f>
        <v/>
      </c>
      <c r="Q1780" s="100" t="str">
        <f>IF(N1780=0,"",SUMIFS(PRICES!$G$2:$G$658,PRICES!$B$2:$B$658,'MAIN TABLE-1 AUTOMATED'!J1780,PRICES!$C$2:$C$658,'MAIN TABLE-1 AUTOMATED'!F1780,PRICES!$D$2:$D$658,'MAIN TABLE-1 AUTOMATED'!O1780))</f>
        <v/>
      </c>
      <c r="R1780" s="41" t="str">
        <f>IF(Table1[[#This Row],[QUANTITY]]=0,"",Table1[[#This Row],[UNIT PRICE]]*Table1[[#This Row],[QUANTITY]])</f>
        <v/>
      </c>
      <c r="S1780" s="89"/>
      <c r="T1780" s="38"/>
      <c r="U1780" s="43"/>
      <c r="V1780" s="42" t="str">
        <f>IF(Table1[[#This Row],[DATE]]=0,"",YEAR(E1780))</f>
        <v/>
      </c>
      <c r="W1780" s="40" t="str">
        <f t="shared" si="56"/>
        <v/>
      </c>
      <c r="X1780" s="40" t="str">
        <f t="shared" si="57"/>
        <v/>
      </c>
      <c r="Y1780" s="40" t="str">
        <f>TEXT(Table1[[#This Row],[YEAR]],"0000")&amp;"-"&amp;Table1[[#This Row],[MONTH]]</f>
        <v>-</v>
      </c>
    </row>
    <row r="1781" spans="1:25" ht="15" customHeight="1" x14ac:dyDescent="0.35">
      <c r="A1781" s="24"/>
      <c r="B1781" s="38"/>
      <c r="C1781" s="38"/>
      <c r="D1781" s="38"/>
      <c r="E1781" s="37"/>
      <c r="F1781" s="38"/>
      <c r="G1781" s="198"/>
      <c r="H1781" s="198"/>
      <c r="I1781" s="39"/>
      <c r="J1781" s="38"/>
      <c r="K1781" s="198"/>
      <c r="L1781" s="38"/>
      <c r="M1781" s="38"/>
      <c r="N1781" s="38"/>
      <c r="O1781" s="38"/>
      <c r="P1781" s="40" t="str" cm="1">
        <f t="array" ref="P1781">IF(N1781="","",IFERROR(_xlfn.XLOOKUP(F1781&amp;"|"&amp;J1781&amp;"|"&amp;O1781,PRICES!$C$2:$C$659&amp;"|"&amp;PRICES!$B$2:$B$659&amp;"|"&amp;PRICES!$D$2:$D$659,PRICES!$E$2:$E$659),"Not Found"))</f>
        <v/>
      </c>
      <c r="Q1781" s="100" t="str">
        <f>IF(N1781=0,"",SUMIFS(PRICES!$G$2:$G$658,PRICES!$B$2:$B$658,'MAIN TABLE-1 AUTOMATED'!J1781,PRICES!$C$2:$C$658,'MAIN TABLE-1 AUTOMATED'!F1781,PRICES!$D$2:$D$658,'MAIN TABLE-1 AUTOMATED'!O1781))</f>
        <v/>
      </c>
      <c r="R1781" s="41" t="str">
        <f>IF(Table1[[#This Row],[QUANTITY]]=0,"",Table1[[#This Row],[UNIT PRICE]]*Table1[[#This Row],[QUANTITY]])</f>
        <v/>
      </c>
      <c r="S1781" s="89"/>
      <c r="T1781" s="38"/>
      <c r="U1781" s="43"/>
      <c r="V1781" s="42" t="str">
        <f>IF(Table1[[#This Row],[DATE]]=0,"",YEAR(E1781))</f>
        <v/>
      </c>
      <c r="W1781" s="40" t="str">
        <f t="shared" si="56"/>
        <v/>
      </c>
      <c r="X1781" s="40" t="str">
        <f t="shared" si="57"/>
        <v/>
      </c>
      <c r="Y1781" s="40" t="str">
        <f>TEXT(Table1[[#This Row],[YEAR]],"0000")&amp;"-"&amp;Table1[[#This Row],[MONTH]]</f>
        <v>-</v>
      </c>
    </row>
    <row r="1782" spans="1:25" ht="15" customHeight="1" x14ac:dyDescent="0.35">
      <c r="A1782" s="24"/>
      <c r="B1782" s="38"/>
      <c r="C1782" s="38"/>
      <c r="D1782" s="38"/>
      <c r="E1782" s="37"/>
      <c r="F1782" s="38"/>
      <c r="G1782" s="198"/>
      <c r="H1782" s="198"/>
      <c r="I1782" s="39"/>
      <c r="J1782" s="38"/>
      <c r="K1782" s="198"/>
      <c r="L1782" s="38"/>
      <c r="M1782" s="38"/>
      <c r="N1782" s="38"/>
      <c r="O1782" s="38"/>
      <c r="P1782" s="40" t="str" cm="1">
        <f t="array" ref="P1782">IF(N1782="","",IFERROR(_xlfn.XLOOKUP(F1782&amp;"|"&amp;J1782&amp;"|"&amp;O1782,PRICES!$C$2:$C$659&amp;"|"&amp;PRICES!$B$2:$B$659&amp;"|"&amp;PRICES!$D$2:$D$659,PRICES!$E$2:$E$659),"Not Found"))</f>
        <v/>
      </c>
      <c r="Q1782" s="100" t="str">
        <f>IF(N1782=0,"",SUMIFS(PRICES!$G$2:$G$658,PRICES!$B$2:$B$658,'MAIN TABLE-1 AUTOMATED'!J1782,PRICES!$C$2:$C$658,'MAIN TABLE-1 AUTOMATED'!F1782,PRICES!$D$2:$D$658,'MAIN TABLE-1 AUTOMATED'!O1782))</f>
        <v/>
      </c>
      <c r="R1782" s="41" t="str">
        <f>IF(Table1[[#This Row],[QUANTITY]]=0,"",Table1[[#This Row],[UNIT PRICE]]*Table1[[#This Row],[QUANTITY]])</f>
        <v/>
      </c>
      <c r="S1782" s="89"/>
      <c r="T1782" s="38"/>
      <c r="U1782" s="43"/>
      <c r="V1782" s="42" t="str">
        <f>IF(Table1[[#This Row],[DATE]]=0,"",YEAR(E1782))</f>
        <v/>
      </c>
      <c r="W1782" s="40" t="str">
        <f t="shared" si="56"/>
        <v/>
      </c>
      <c r="X1782" s="40" t="str">
        <f t="shared" si="57"/>
        <v/>
      </c>
      <c r="Y1782" s="40" t="str">
        <f>TEXT(Table1[[#This Row],[YEAR]],"0000")&amp;"-"&amp;Table1[[#This Row],[MONTH]]</f>
        <v>-</v>
      </c>
    </row>
    <row r="1783" spans="1:25" ht="15" customHeight="1" x14ac:dyDescent="0.35">
      <c r="A1783" s="24"/>
      <c r="B1783" s="38"/>
      <c r="C1783" s="38"/>
      <c r="D1783" s="38"/>
      <c r="E1783" s="37"/>
      <c r="F1783" s="38"/>
      <c r="G1783" s="198"/>
      <c r="H1783" s="198"/>
      <c r="I1783" s="39"/>
      <c r="J1783" s="38"/>
      <c r="K1783" s="198"/>
      <c r="L1783" s="38"/>
      <c r="M1783" s="38"/>
      <c r="N1783" s="38"/>
      <c r="O1783" s="38"/>
      <c r="P1783" s="40" t="str" cm="1">
        <f t="array" ref="P1783">IF(N1783="","",IFERROR(_xlfn.XLOOKUP(F1783&amp;"|"&amp;J1783&amp;"|"&amp;O1783,PRICES!$C$2:$C$659&amp;"|"&amp;PRICES!$B$2:$B$659&amp;"|"&amp;PRICES!$D$2:$D$659,PRICES!$E$2:$E$659),"Not Found"))</f>
        <v/>
      </c>
      <c r="Q1783" s="100" t="str">
        <f>IF(N1783=0,"",SUMIFS(PRICES!$G$2:$G$658,PRICES!$B$2:$B$658,'MAIN TABLE-1 AUTOMATED'!J1783,PRICES!$C$2:$C$658,'MAIN TABLE-1 AUTOMATED'!F1783,PRICES!$D$2:$D$658,'MAIN TABLE-1 AUTOMATED'!O1783))</f>
        <v/>
      </c>
      <c r="R1783" s="41" t="str">
        <f>IF(Table1[[#This Row],[QUANTITY]]=0,"",Table1[[#This Row],[UNIT PRICE]]*Table1[[#This Row],[QUANTITY]])</f>
        <v/>
      </c>
      <c r="S1783" s="89"/>
      <c r="T1783" s="38"/>
      <c r="U1783" s="43"/>
      <c r="V1783" s="42" t="str">
        <f>IF(Table1[[#This Row],[DATE]]=0,"",YEAR(E1783))</f>
        <v/>
      </c>
      <c r="W1783" s="40" t="str">
        <f t="shared" si="56"/>
        <v/>
      </c>
      <c r="X1783" s="40" t="str">
        <f t="shared" si="57"/>
        <v/>
      </c>
      <c r="Y1783" s="40" t="str">
        <f>TEXT(Table1[[#This Row],[YEAR]],"0000")&amp;"-"&amp;Table1[[#This Row],[MONTH]]</f>
        <v>-</v>
      </c>
    </row>
    <row r="1784" spans="1:25" ht="15" customHeight="1" x14ac:dyDescent="0.35">
      <c r="A1784" s="24"/>
      <c r="B1784" s="38"/>
      <c r="C1784" s="38"/>
      <c r="D1784" s="38"/>
      <c r="E1784" s="37"/>
      <c r="F1784" s="38"/>
      <c r="G1784" s="198"/>
      <c r="H1784" s="198"/>
      <c r="I1784" s="39"/>
      <c r="J1784" s="38"/>
      <c r="K1784" s="198"/>
      <c r="L1784" s="38"/>
      <c r="M1784" s="38"/>
      <c r="N1784" s="38"/>
      <c r="O1784" s="38"/>
      <c r="P1784" s="40" t="str" cm="1">
        <f t="array" ref="P1784">IF(N1784="","",IFERROR(_xlfn.XLOOKUP(F1784&amp;"|"&amp;J1784&amp;"|"&amp;O1784,PRICES!$C$2:$C$659&amp;"|"&amp;PRICES!$B$2:$B$659&amp;"|"&amp;PRICES!$D$2:$D$659,PRICES!$E$2:$E$659),"Not Found"))</f>
        <v/>
      </c>
      <c r="Q1784" s="100" t="str">
        <f>IF(N1784=0,"",SUMIFS(PRICES!$G$2:$G$658,PRICES!$B$2:$B$658,'MAIN TABLE-1 AUTOMATED'!J1784,PRICES!$C$2:$C$658,'MAIN TABLE-1 AUTOMATED'!F1784,PRICES!$D$2:$D$658,'MAIN TABLE-1 AUTOMATED'!O1784))</f>
        <v/>
      </c>
      <c r="R1784" s="41" t="str">
        <f>IF(Table1[[#This Row],[QUANTITY]]=0,"",Table1[[#This Row],[UNIT PRICE]]*Table1[[#This Row],[QUANTITY]])</f>
        <v/>
      </c>
      <c r="S1784" s="89"/>
      <c r="T1784" s="38"/>
      <c r="U1784" s="43"/>
      <c r="V1784" s="42" t="str">
        <f>IF(Table1[[#This Row],[DATE]]=0,"",YEAR(E1784))</f>
        <v/>
      </c>
      <c r="W1784" s="40" t="str">
        <f t="shared" si="56"/>
        <v/>
      </c>
      <c r="X1784" s="40" t="str">
        <f t="shared" si="57"/>
        <v/>
      </c>
      <c r="Y1784" s="40" t="str">
        <f>TEXT(Table1[[#This Row],[YEAR]],"0000")&amp;"-"&amp;Table1[[#This Row],[MONTH]]</f>
        <v>-</v>
      </c>
    </row>
    <row r="1785" spans="1:25" ht="15" customHeight="1" x14ac:dyDescent="0.35">
      <c r="A1785" s="24"/>
      <c r="B1785" s="38"/>
      <c r="C1785" s="38"/>
      <c r="D1785" s="38"/>
      <c r="E1785" s="37"/>
      <c r="F1785" s="38"/>
      <c r="G1785" s="198"/>
      <c r="H1785" s="198"/>
      <c r="I1785" s="39"/>
      <c r="J1785" s="38"/>
      <c r="K1785" s="198"/>
      <c r="L1785" s="38"/>
      <c r="M1785" s="38"/>
      <c r="N1785" s="38"/>
      <c r="O1785" s="38"/>
      <c r="P1785" s="40" t="str" cm="1">
        <f t="array" ref="P1785">IF(N1785="","",IFERROR(_xlfn.XLOOKUP(F1785&amp;"|"&amp;J1785&amp;"|"&amp;O1785,PRICES!$C$2:$C$659&amp;"|"&amp;PRICES!$B$2:$B$659&amp;"|"&amp;PRICES!$D$2:$D$659,PRICES!$E$2:$E$659),"Not Found"))</f>
        <v/>
      </c>
      <c r="Q1785" s="100" t="str">
        <f>IF(N1785=0,"",SUMIFS(PRICES!$G$2:$G$658,PRICES!$B$2:$B$658,'MAIN TABLE-1 AUTOMATED'!J1785,PRICES!$C$2:$C$658,'MAIN TABLE-1 AUTOMATED'!F1785,PRICES!$D$2:$D$658,'MAIN TABLE-1 AUTOMATED'!O1785))</f>
        <v/>
      </c>
      <c r="R1785" s="41" t="str">
        <f>IF(Table1[[#This Row],[QUANTITY]]=0,"",Table1[[#This Row],[UNIT PRICE]]*Table1[[#This Row],[QUANTITY]])</f>
        <v/>
      </c>
      <c r="S1785" s="89"/>
      <c r="T1785" s="38"/>
      <c r="U1785" s="43"/>
      <c r="V1785" s="42" t="str">
        <f>IF(Table1[[#This Row],[DATE]]=0,"",YEAR(E1785))</f>
        <v/>
      </c>
      <c r="W1785" s="40" t="str">
        <f t="shared" si="56"/>
        <v/>
      </c>
      <c r="X1785" s="40" t="str">
        <f t="shared" si="57"/>
        <v/>
      </c>
      <c r="Y1785" s="40" t="str">
        <f>TEXT(Table1[[#This Row],[YEAR]],"0000")&amp;"-"&amp;Table1[[#This Row],[MONTH]]</f>
        <v>-</v>
      </c>
    </row>
    <row r="1786" spans="1:25" ht="15" customHeight="1" x14ac:dyDescent="0.35">
      <c r="A1786" s="24"/>
      <c r="B1786" s="38"/>
      <c r="C1786" s="38"/>
      <c r="D1786" s="38"/>
      <c r="E1786" s="37"/>
      <c r="F1786" s="38"/>
      <c r="G1786" s="198"/>
      <c r="H1786" s="198"/>
      <c r="I1786" s="39"/>
      <c r="J1786" s="38"/>
      <c r="K1786" s="198"/>
      <c r="L1786" s="38"/>
      <c r="M1786" s="38"/>
      <c r="N1786" s="38"/>
      <c r="O1786" s="38"/>
      <c r="P1786" s="40" t="str" cm="1">
        <f t="array" ref="P1786">IF(N1786="","",IFERROR(_xlfn.XLOOKUP(F1786&amp;"|"&amp;J1786&amp;"|"&amp;O1786,PRICES!$C$2:$C$659&amp;"|"&amp;PRICES!$B$2:$B$659&amp;"|"&amp;PRICES!$D$2:$D$659,PRICES!$E$2:$E$659),"Not Found"))</f>
        <v/>
      </c>
      <c r="Q1786" s="100" t="str">
        <f>IF(N1786=0,"",SUMIFS(PRICES!$G$2:$G$658,PRICES!$B$2:$B$658,'MAIN TABLE-1 AUTOMATED'!J1786,PRICES!$C$2:$C$658,'MAIN TABLE-1 AUTOMATED'!F1786,PRICES!$D$2:$D$658,'MAIN TABLE-1 AUTOMATED'!O1786))</f>
        <v/>
      </c>
      <c r="R1786" s="41" t="str">
        <f>IF(Table1[[#This Row],[QUANTITY]]=0,"",Table1[[#This Row],[UNIT PRICE]]*Table1[[#This Row],[QUANTITY]])</f>
        <v/>
      </c>
      <c r="S1786" s="89"/>
      <c r="T1786" s="38"/>
      <c r="U1786" s="43"/>
      <c r="V1786" s="42" t="str">
        <f>IF(Table1[[#This Row],[DATE]]=0,"",YEAR(E1786))</f>
        <v/>
      </c>
      <c r="W1786" s="40" t="str">
        <f t="shared" si="56"/>
        <v/>
      </c>
      <c r="X1786" s="40" t="str">
        <f t="shared" si="57"/>
        <v/>
      </c>
      <c r="Y1786" s="40" t="str">
        <f>TEXT(Table1[[#This Row],[YEAR]],"0000")&amp;"-"&amp;Table1[[#This Row],[MONTH]]</f>
        <v>-</v>
      </c>
    </row>
    <row r="1787" spans="1:25" ht="15" customHeight="1" x14ac:dyDescent="0.35">
      <c r="A1787" s="24"/>
      <c r="B1787" s="38"/>
      <c r="C1787" s="38"/>
      <c r="D1787" s="38"/>
      <c r="E1787" s="37"/>
      <c r="F1787" s="38"/>
      <c r="G1787" s="198"/>
      <c r="H1787" s="198"/>
      <c r="I1787" s="39"/>
      <c r="J1787" s="38"/>
      <c r="K1787" s="198"/>
      <c r="L1787" s="38"/>
      <c r="M1787" s="38"/>
      <c r="N1787" s="38"/>
      <c r="O1787" s="38"/>
      <c r="P1787" s="40" t="str" cm="1">
        <f t="array" ref="P1787">IF(N1787="","",IFERROR(_xlfn.XLOOKUP(F1787&amp;"|"&amp;J1787&amp;"|"&amp;O1787,PRICES!$C$2:$C$659&amp;"|"&amp;PRICES!$B$2:$B$659&amp;"|"&amp;PRICES!$D$2:$D$659,PRICES!$E$2:$E$659),"Not Found"))</f>
        <v/>
      </c>
      <c r="Q1787" s="100" t="str">
        <f>IF(N1787=0,"",SUMIFS(PRICES!$G$2:$G$658,PRICES!$B$2:$B$658,'MAIN TABLE-1 AUTOMATED'!J1787,PRICES!$C$2:$C$658,'MAIN TABLE-1 AUTOMATED'!F1787,PRICES!$D$2:$D$658,'MAIN TABLE-1 AUTOMATED'!O1787))</f>
        <v/>
      </c>
      <c r="R1787" s="41" t="str">
        <f>IF(Table1[[#This Row],[QUANTITY]]=0,"",Table1[[#This Row],[UNIT PRICE]]*Table1[[#This Row],[QUANTITY]])</f>
        <v/>
      </c>
      <c r="S1787" s="89"/>
      <c r="T1787" s="38"/>
      <c r="U1787" s="43"/>
      <c r="V1787" s="42" t="str">
        <f>IF(Table1[[#This Row],[DATE]]=0,"",YEAR(E1787))</f>
        <v/>
      </c>
      <c r="W1787" s="40" t="str">
        <f t="shared" si="56"/>
        <v/>
      </c>
      <c r="X1787" s="40" t="str">
        <f t="shared" si="57"/>
        <v/>
      </c>
      <c r="Y1787" s="40" t="str">
        <f>TEXT(Table1[[#This Row],[YEAR]],"0000")&amp;"-"&amp;Table1[[#This Row],[MONTH]]</f>
        <v>-</v>
      </c>
    </row>
    <row r="1788" spans="1:25" ht="15" customHeight="1" x14ac:dyDescent="0.35">
      <c r="A1788" s="24"/>
      <c r="B1788" s="38"/>
      <c r="C1788" s="38"/>
      <c r="D1788" s="38"/>
      <c r="E1788" s="37"/>
      <c r="F1788" s="38"/>
      <c r="G1788" s="198"/>
      <c r="H1788" s="198"/>
      <c r="I1788" s="39"/>
      <c r="J1788" s="38"/>
      <c r="K1788" s="198"/>
      <c r="L1788" s="38"/>
      <c r="M1788" s="38"/>
      <c r="N1788" s="38"/>
      <c r="O1788" s="38"/>
      <c r="P1788" s="40" t="str" cm="1">
        <f t="array" ref="P1788">IF(N1788="","",IFERROR(_xlfn.XLOOKUP(F1788&amp;"|"&amp;J1788&amp;"|"&amp;O1788,PRICES!$C$2:$C$659&amp;"|"&amp;PRICES!$B$2:$B$659&amp;"|"&amp;PRICES!$D$2:$D$659,PRICES!$E$2:$E$659),"Not Found"))</f>
        <v/>
      </c>
      <c r="Q1788" s="100" t="str">
        <f>IF(N1788=0,"",SUMIFS(PRICES!$G$2:$G$658,PRICES!$B$2:$B$658,'MAIN TABLE-1 AUTOMATED'!J1788,PRICES!$C$2:$C$658,'MAIN TABLE-1 AUTOMATED'!F1788,PRICES!$D$2:$D$658,'MAIN TABLE-1 AUTOMATED'!O1788))</f>
        <v/>
      </c>
      <c r="R1788" s="41" t="str">
        <f>IF(Table1[[#This Row],[QUANTITY]]=0,"",Table1[[#This Row],[UNIT PRICE]]*Table1[[#This Row],[QUANTITY]])</f>
        <v/>
      </c>
      <c r="S1788" s="89"/>
      <c r="T1788" s="38"/>
      <c r="U1788" s="43"/>
      <c r="V1788" s="42" t="str">
        <f>IF(Table1[[#This Row],[DATE]]=0,"",YEAR(E1788))</f>
        <v/>
      </c>
      <c r="W1788" s="40" t="str">
        <f t="shared" si="56"/>
        <v/>
      </c>
      <c r="X1788" s="40" t="str">
        <f t="shared" si="57"/>
        <v/>
      </c>
      <c r="Y1788" s="40" t="str">
        <f>TEXT(Table1[[#This Row],[YEAR]],"0000")&amp;"-"&amp;Table1[[#This Row],[MONTH]]</f>
        <v>-</v>
      </c>
    </row>
    <row r="1789" spans="1:25" ht="15" customHeight="1" x14ac:dyDescent="0.35">
      <c r="A1789" s="24"/>
      <c r="B1789" s="38"/>
      <c r="C1789" s="38"/>
      <c r="D1789" s="38"/>
      <c r="E1789" s="37"/>
      <c r="F1789" s="38"/>
      <c r="G1789" s="198"/>
      <c r="H1789" s="198"/>
      <c r="I1789" s="39"/>
      <c r="J1789" s="38"/>
      <c r="K1789" s="198"/>
      <c r="L1789" s="38"/>
      <c r="M1789" s="38"/>
      <c r="N1789" s="38"/>
      <c r="O1789" s="38"/>
      <c r="P1789" s="40" t="str" cm="1">
        <f t="array" ref="P1789">IF(N1789="","",IFERROR(_xlfn.XLOOKUP(F1789&amp;"|"&amp;J1789&amp;"|"&amp;O1789,PRICES!$C$2:$C$659&amp;"|"&amp;PRICES!$B$2:$B$659&amp;"|"&amp;PRICES!$D$2:$D$659,PRICES!$E$2:$E$659),"Not Found"))</f>
        <v/>
      </c>
      <c r="Q1789" s="100" t="str">
        <f>IF(N1789=0,"",SUMIFS(PRICES!$G$2:$G$658,PRICES!$B$2:$B$658,'MAIN TABLE-1 AUTOMATED'!J1789,PRICES!$C$2:$C$658,'MAIN TABLE-1 AUTOMATED'!F1789,PRICES!$D$2:$D$658,'MAIN TABLE-1 AUTOMATED'!O1789))</f>
        <v/>
      </c>
      <c r="R1789" s="41" t="str">
        <f>IF(Table1[[#This Row],[QUANTITY]]=0,"",Table1[[#This Row],[UNIT PRICE]]*Table1[[#This Row],[QUANTITY]])</f>
        <v/>
      </c>
      <c r="S1789" s="89"/>
      <c r="T1789" s="38"/>
      <c r="U1789" s="43"/>
      <c r="V1789" s="42" t="str">
        <f>IF(Table1[[#This Row],[DATE]]=0,"",YEAR(E1789))</f>
        <v/>
      </c>
      <c r="W1789" s="40" t="str">
        <f t="shared" si="56"/>
        <v/>
      </c>
      <c r="X1789" s="40" t="str">
        <f t="shared" si="57"/>
        <v/>
      </c>
      <c r="Y1789" s="40" t="str">
        <f>TEXT(Table1[[#This Row],[YEAR]],"0000")&amp;"-"&amp;Table1[[#This Row],[MONTH]]</f>
        <v>-</v>
      </c>
    </row>
    <row r="1790" spans="1:25" ht="15" customHeight="1" x14ac:dyDescent="0.35">
      <c r="A1790" s="24"/>
      <c r="B1790" s="38"/>
      <c r="C1790" s="38"/>
      <c r="D1790" s="38"/>
      <c r="E1790" s="37"/>
      <c r="F1790" s="38"/>
      <c r="G1790" s="198"/>
      <c r="H1790" s="198"/>
      <c r="I1790" s="39"/>
      <c r="J1790" s="38"/>
      <c r="K1790" s="198"/>
      <c r="L1790" s="38"/>
      <c r="M1790" s="38"/>
      <c r="N1790" s="38"/>
      <c r="O1790" s="38"/>
      <c r="P1790" s="40" t="str" cm="1">
        <f t="array" ref="P1790">IF(N1790="","",IFERROR(_xlfn.XLOOKUP(F1790&amp;"|"&amp;J1790&amp;"|"&amp;O1790,PRICES!$C$2:$C$659&amp;"|"&amp;PRICES!$B$2:$B$659&amp;"|"&amp;PRICES!$D$2:$D$659,PRICES!$E$2:$E$659),"Not Found"))</f>
        <v/>
      </c>
      <c r="Q1790" s="100" t="str">
        <f>IF(N1790=0,"",SUMIFS(PRICES!$G$2:$G$658,PRICES!$B$2:$B$658,'MAIN TABLE-1 AUTOMATED'!J1790,PRICES!$C$2:$C$658,'MAIN TABLE-1 AUTOMATED'!F1790,PRICES!$D$2:$D$658,'MAIN TABLE-1 AUTOMATED'!O1790))</f>
        <v/>
      </c>
      <c r="R1790" s="41" t="str">
        <f>IF(Table1[[#This Row],[QUANTITY]]=0,"",Table1[[#This Row],[UNIT PRICE]]*Table1[[#This Row],[QUANTITY]])</f>
        <v/>
      </c>
      <c r="S1790" s="89"/>
      <c r="T1790" s="38"/>
      <c r="U1790" s="43"/>
      <c r="V1790" s="42" t="str">
        <f>IF(Table1[[#This Row],[DATE]]=0,"",YEAR(E1790))</f>
        <v/>
      </c>
      <c r="W1790" s="40" t="str">
        <f t="shared" si="56"/>
        <v/>
      </c>
      <c r="X1790" s="40" t="str">
        <f t="shared" si="57"/>
        <v/>
      </c>
      <c r="Y1790" s="40" t="str">
        <f>TEXT(Table1[[#This Row],[YEAR]],"0000")&amp;"-"&amp;Table1[[#This Row],[MONTH]]</f>
        <v>-</v>
      </c>
    </row>
    <row r="1791" spans="1:25" ht="15" customHeight="1" x14ac:dyDescent="0.35">
      <c r="A1791" s="24"/>
      <c r="B1791" s="38"/>
      <c r="C1791" s="38"/>
      <c r="D1791" s="38"/>
      <c r="E1791" s="37"/>
      <c r="F1791" s="38"/>
      <c r="G1791" s="198"/>
      <c r="H1791" s="198"/>
      <c r="I1791" s="39"/>
      <c r="J1791" s="38"/>
      <c r="K1791" s="198"/>
      <c r="L1791" s="38"/>
      <c r="M1791" s="38"/>
      <c r="N1791" s="38"/>
      <c r="O1791" s="38"/>
      <c r="P1791" s="40" t="str" cm="1">
        <f t="array" ref="P1791">IF(N1791="","",IFERROR(_xlfn.XLOOKUP(F1791&amp;"|"&amp;J1791&amp;"|"&amp;O1791,PRICES!$C$2:$C$659&amp;"|"&amp;PRICES!$B$2:$B$659&amp;"|"&amp;PRICES!$D$2:$D$659,PRICES!$E$2:$E$659),"Not Found"))</f>
        <v/>
      </c>
      <c r="Q1791" s="100" t="str">
        <f>IF(N1791=0,"",SUMIFS(PRICES!$G$2:$G$658,PRICES!$B$2:$B$658,'MAIN TABLE-1 AUTOMATED'!J1791,PRICES!$C$2:$C$658,'MAIN TABLE-1 AUTOMATED'!F1791,PRICES!$D$2:$D$658,'MAIN TABLE-1 AUTOMATED'!O1791))</f>
        <v/>
      </c>
      <c r="R1791" s="41" t="str">
        <f>IF(Table1[[#This Row],[QUANTITY]]=0,"",Table1[[#This Row],[UNIT PRICE]]*Table1[[#This Row],[QUANTITY]])</f>
        <v/>
      </c>
      <c r="S1791" s="89"/>
      <c r="T1791" s="38"/>
      <c r="U1791" s="43"/>
      <c r="V1791" s="42" t="str">
        <f>IF(Table1[[#This Row],[DATE]]=0,"",YEAR(E1791))</f>
        <v/>
      </c>
      <c r="W1791" s="40" t="str">
        <f t="shared" si="56"/>
        <v/>
      </c>
      <c r="X1791" s="40" t="str">
        <f t="shared" si="57"/>
        <v/>
      </c>
      <c r="Y1791" s="40" t="str">
        <f>TEXT(Table1[[#This Row],[YEAR]],"0000")&amp;"-"&amp;Table1[[#This Row],[MONTH]]</f>
        <v>-</v>
      </c>
    </row>
    <row r="1792" spans="1:25" ht="15" customHeight="1" x14ac:dyDescent="0.35">
      <c r="A1792" s="24"/>
      <c r="B1792" s="38"/>
      <c r="C1792" s="38"/>
      <c r="D1792" s="38"/>
      <c r="E1792" s="37"/>
      <c r="F1792" s="38"/>
      <c r="G1792" s="198"/>
      <c r="H1792" s="198"/>
      <c r="I1792" s="39"/>
      <c r="J1792" s="38"/>
      <c r="K1792" s="198"/>
      <c r="L1792" s="38"/>
      <c r="M1792" s="38"/>
      <c r="N1792" s="38"/>
      <c r="O1792" s="38"/>
      <c r="P1792" s="40" t="str" cm="1">
        <f t="array" ref="P1792">IF(N1792="","",IFERROR(_xlfn.XLOOKUP(F1792&amp;"|"&amp;J1792&amp;"|"&amp;O1792,PRICES!$C$2:$C$659&amp;"|"&amp;PRICES!$B$2:$B$659&amp;"|"&amp;PRICES!$D$2:$D$659,PRICES!$E$2:$E$659),"Not Found"))</f>
        <v/>
      </c>
      <c r="Q1792" s="100" t="str">
        <f>IF(N1792=0,"",SUMIFS(PRICES!$G$2:$G$658,PRICES!$B$2:$B$658,'MAIN TABLE-1 AUTOMATED'!J1792,PRICES!$C$2:$C$658,'MAIN TABLE-1 AUTOMATED'!F1792,PRICES!$D$2:$D$658,'MAIN TABLE-1 AUTOMATED'!O1792))</f>
        <v/>
      </c>
      <c r="R1792" s="41" t="str">
        <f>IF(Table1[[#This Row],[QUANTITY]]=0,"",Table1[[#This Row],[UNIT PRICE]]*Table1[[#This Row],[QUANTITY]])</f>
        <v/>
      </c>
      <c r="S1792" s="89"/>
      <c r="T1792" s="38"/>
      <c r="U1792" s="43"/>
      <c r="V1792" s="42" t="str">
        <f>IF(Table1[[#This Row],[DATE]]=0,"",YEAR(E1792))</f>
        <v/>
      </c>
      <c r="W1792" s="40" t="str">
        <f t="shared" si="56"/>
        <v/>
      </c>
      <c r="X1792" s="40" t="str">
        <f t="shared" si="57"/>
        <v/>
      </c>
      <c r="Y1792" s="40" t="str">
        <f>TEXT(Table1[[#This Row],[YEAR]],"0000")&amp;"-"&amp;Table1[[#This Row],[MONTH]]</f>
        <v>-</v>
      </c>
    </row>
    <row r="1793" spans="1:25" ht="15" customHeight="1" x14ac:dyDescent="0.35">
      <c r="A1793" s="24"/>
      <c r="B1793" s="38"/>
      <c r="C1793" s="38"/>
      <c r="D1793" s="38"/>
      <c r="E1793" s="37"/>
      <c r="F1793" s="38"/>
      <c r="G1793" s="198"/>
      <c r="H1793" s="198"/>
      <c r="I1793" s="39"/>
      <c r="J1793" s="38"/>
      <c r="K1793" s="198"/>
      <c r="L1793" s="38"/>
      <c r="M1793" s="38"/>
      <c r="N1793" s="38"/>
      <c r="O1793" s="38"/>
      <c r="P1793" s="40" t="str" cm="1">
        <f t="array" ref="P1793">IF(N1793="","",IFERROR(_xlfn.XLOOKUP(F1793&amp;"|"&amp;J1793&amp;"|"&amp;O1793,PRICES!$C$2:$C$659&amp;"|"&amp;PRICES!$B$2:$B$659&amp;"|"&amp;PRICES!$D$2:$D$659,PRICES!$E$2:$E$659),"Not Found"))</f>
        <v/>
      </c>
      <c r="Q1793" s="100" t="str">
        <f>IF(N1793=0,"",SUMIFS(PRICES!$G$2:$G$658,PRICES!$B$2:$B$658,'MAIN TABLE-1 AUTOMATED'!J1793,PRICES!$C$2:$C$658,'MAIN TABLE-1 AUTOMATED'!F1793,PRICES!$D$2:$D$658,'MAIN TABLE-1 AUTOMATED'!O1793))</f>
        <v/>
      </c>
      <c r="R1793" s="41" t="str">
        <f>IF(Table1[[#This Row],[QUANTITY]]=0,"",Table1[[#This Row],[UNIT PRICE]]*Table1[[#This Row],[QUANTITY]])</f>
        <v/>
      </c>
      <c r="S1793" s="89"/>
      <c r="T1793" s="38"/>
      <c r="U1793" s="43"/>
      <c r="V1793" s="42" t="str">
        <f>IF(Table1[[#This Row],[DATE]]=0,"",YEAR(E1793))</f>
        <v/>
      </c>
      <c r="W1793" s="40" t="str">
        <f t="shared" si="56"/>
        <v/>
      </c>
      <c r="X1793" s="40" t="str">
        <f t="shared" si="57"/>
        <v/>
      </c>
      <c r="Y1793" s="40" t="str">
        <f>TEXT(Table1[[#This Row],[YEAR]],"0000")&amp;"-"&amp;Table1[[#This Row],[MONTH]]</f>
        <v>-</v>
      </c>
    </row>
    <row r="1794" spans="1:25" ht="15" customHeight="1" x14ac:dyDescent="0.35">
      <c r="A1794" s="24"/>
      <c r="B1794" s="38"/>
      <c r="C1794" s="38"/>
      <c r="D1794" s="38"/>
      <c r="E1794" s="37"/>
      <c r="F1794" s="38"/>
      <c r="G1794" s="198"/>
      <c r="H1794" s="198"/>
      <c r="I1794" s="39"/>
      <c r="J1794" s="38"/>
      <c r="K1794" s="198"/>
      <c r="L1794" s="38"/>
      <c r="M1794" s="38"/>
      <c r="N1794" s="38"/>
      <c r="O1794" s="38"/>
      <c r="P1794" s="40" t="str" cm="1">
        <f t="array" ref="P1794">IF(N1794="","",IFERROR(_xlfn.XLOOKUP(F1794&amp;"|"&amp;J1794&amp;"|"&amp;O1794,PRICES!$C$2:$C$659&amp;"|"&amp;PRICES!$B$2:$B$659&amp;"|"&amp;PRICES!$D$2:$D$659,PRICES!$E$2:$E$659),"Not Found"))</f>
        <v/>
      </c>
      <c r="Q1794" s="100" t="str">
        <f>IF(N1794=0,"",SUMIFS(PRICES!$G$2:$G$658,PRICES!$B$2:$B$658,'MAIN TABLE-1 AUTOMATED'!J1794,PRICES!$C$2:$C$658,'MAIN TABLE-1 AUTOMATED'!F1794,PRICES!$D$2:$D$658,'MAIN TABLE-1 AUTOMATED'!O1794))</f>
        <v/>
      </c>
      <c r="R1794" s="41" t="str">
        <f>IF(Table1[[#This Row],[QUANTITY]]=0,"",Table1[[#This Row],[UNIT PRICE]]*Table1[[#This Row],[QUANTITY]])</f>
        <v/>
      </c>
      <c r="S1794" s="89"/>
      <c r="T1794" s="38"/>
      <c r="U1794" s="43"/>
      <c r="V1794" s="42" t="str">
        <f>IF(Table1[[#This Row],[DATE]]=0,"",YEAR(E1794))</f>
        <v/>
      </c>
      <c r="W1794" s="40" t="str">
        <f t="shared" si="56"/>
        <v/>
      </c>
      <c r="X1794" s="40" t="str">
        <f t="shared" si="57"/>
        <v/>
      </c>
      <c r="Y1794" s="40" t="str">
        <f>TEXT(Table1[[#This Row],[YEAR]],"0000")&amp;"-"&amp;Table1[[#This Row],[MONTH]]</f>
        <v>-</v>
      </c>
    </row>
    <row r="1795" spans="1:25" ht="15" customHeight="1" x14ac:dyDescent="0.35">
      <c r="A1795" s="24"/>
      <c r="B1795" s="38"/>
      <c r="C1795" s="38"/>
      <c r="D1795" s="38"/>
      <c r="E1795" s="37"/>
      <c r="F1795" s="38"/>
      <c r="G1795" s="198"/>
      <c r="H1795" s="198"/>
      <c r="I1795" s="39"/>
      <c r="J1795" s="38"/>
      <c r="K1795" s="198"/>
      <c r="L1795" s="38"/>
      <c r="M1795" s="38"/>
      <c r="N1795" s="38"/>
      <c r="O1795" s="38"/>
      <c r="P1795" s="40" t="str" cm="1">
        <f t="array" ref="P1795">IF(N1795="","",IFERROR(_xlfn.XLOOKUP(F1795&amp;"|"&amp;J1795&amp;"|"&amp;O1795,PRICES!$C$2:$C$659&amp;"|"&amp;PRICES!$B$2:$B$659&amp;"|"&amp;PRICES!$D$2:$D$659,PRICES!$E$2:$E$659),"Not Found"))</f>
        <v/>
      </c>
      <c r="Q1795" s="100" t="str">
        <f>IF(N1795=0,"",SUMIFS(PRICES!$G$2:$G$658,PRICES!$B$2:$B$658,'MAIN TABLE-1 AUTOMATED'!J1795,PRICES!$C$2:$C$658,'MAIN TABLE-1 AUTOMATED'!F1795,PRICES!$D$2:$D$658,'MAIN TABLE-1 AUTOMATED'!O1795))</f>
        <v/>
      </c>
      <c r="R1795" s="41" t="str">
        <f>IF(Table1[[#This Row],[QUANTITY]]=0,"",Table1[[#This Row],[UNIT PRICE]]*Table1[[#This Row],[QUANTITY]])</f>
        <v/>
      </c>
      <c r="S1795" s="89"/>
      <c r="T1795" s="38"/>
      <c r="U1795" s="43"/>
      <c r="V1795" s="42" t="str">
        <f>IF(Table1[[#This Row],[DATE]]=0,"",YEAR(E1795))</f>
        <v/>
      </c>
      <c r="W1795" s="40" t="str">
        <f t="shared" si="56"/>
        <v/>
      </c>
      <c r="X1795" s="40" t="str">
        <f t="shared" si="57"/>
        <v/>
      </c>
      <c r="Y1795" s="40" t="str">
        <f>TEXT(Table1[[#This Row],[YEAR]],"0000")&amp;"-"&amp;Table1[[#This Row],[MONTH]]</f>
        <v>-</v>
      </c>
    </row>
    <row r="1796" spans="1:25" ht="15" customHeight="1" x14ac:dyDescent="0.35">
      <c r="A1796" s="24"/>
      <c r="B1796" s="38"/>
      <c r="C1796" s="38"/>
      <c r="D1796" s="38"/>
      <c r="E1796" s="37"/>
      <c r="F1796" s="38"/>
      <c r="G1796" s="198"/>
      <c r="H1796" s="198"/>
      <c r="I1796" s="39"/>
      <c r="J1796" s="38"/>
      <c r="K1796" s="198"/>
      <c r="L1796" s="38"/>
      <c r="M1796" s="38"/>
      <c r="N1796" s="38"/>
      <c r="O1796" s="38"/>
      <c r="P1796" s="40" t="str" cm="1">
        <f t="array" ref="P1796">IF(N1796="","",IFERROR(_xlfn.XLOOKUP(F1796&amp;"|"&amp;J1796&amp;"|"&amp;O1796,PRICES!$C$2:$C$659&amp;"|"&amp;PRICES!$B$2:$B$659&amp;"|"&amp;PRICES!$D$2:$D$659,PRICES!$E$2:$E$659),"Not Found"))</f>
        <v/>
      </c>
      <c r="Q1796" s="100" t="str">
        <f>IF(N1796=0,"",SUMIFS(PRICES!$G$2:$G$658,PRICES!$B$2:$B$658,'MAIN TABLE-1 AUTOMATED'!J1796,PRICES!$C$2:$C$658,'MAIN TABLE-1 AUTOMATED'!F1796,PRICES!$D$2:$D$658,'MAIN TABLE-1 AUTOMATED'!O1796))</f>
        <v/>
      </c>
      <c r="R1796" s="41" t="str">
        <f>IF(Table1[[#This Row],[QUANTITY]]=0,"",Table1[[#This Row],[UNIT PRICE]]*Table1[[#This Row],[QUANTITY]])</f>
        <v/>
      </c>
      <c r="S1796" s="89"/>
      <c r="T1796" s="38"/>
      <c r="U1796" s="43"/>
      <c r="V1796" s="42" t="str">
        <f>IF(Table1[[#This Row],[DATE]]=0,"",YEAR(E1796))</f>
        <v/>
      </c>
      <c r="W1796" s="40" t="str">
        <f t="shared" si="56"/>
        <v/>
      </c>
      <c r="X1796" s="40" t="str">
        <f t="shared" si="57"/>
        <v/>
      </c>
      <c r="Y1796" s="40" t="str">
        <f>TEXT(Table1[[#This Row],[YEAR]],"0000")&amp;"-"&amp;Table1[[#This Row],[MONTH]]</f>
        <v>-</v>
      </c>
    </row>
    <row r="1797" spans="1:25" ht="15" customHeight="1" x14ac:dyDescent="0.35">
      <c r="A1797" s="24"/>
      <c r="B1797" s="38"/>
      <c r="C1797" s="38"/>
      <c r="D1797" s="38"/>
      <c r="E1797" s="37"/>
      <c r="F1797" s="38"/>
      <c r="G1797" s="198"/>
      <c r="H1797" s="198"/>
      <c r="I1797" s="39"/>
      <c r="J1797" s="38"/>
      <c r="K1797" s="198"/>
      <c r="L1797" s="38"/>
      <c r="M1797" s="38"/>
      <c r="N1797" s="38"/>
      <c r="O1797" s="38"/>
      <c r="P1797" s="40" t="str" cm="1">
        <f t="array" ref="P1797">IF(N1797="","",IFERROR(_xlfn.XLOOKUP(F1797&amp;"|"&amp;J1797&amp;"|"&amp;O1797,PRICES!$C$2:$C$659&amp;"|"&amp;PRICES!$B$2:$B$659&amp;"|"&amp;PRICES!$D$2:$D$659,PRICES!$E$2:$E$659),"Not Found"))</f>
        <v/>
      </c>
      <c r="Q1797" s="100" t="str">
        <f>IF(N1797=0,"",SUMIFS(PRICES!$G$2:$G$658,PRICES!$B$2:$B$658,'MAIN TABLE-1 AUTOMATED'!J1797,PRICES!$C$2:$C$658,'MAIN TABLE-1 AUTOMATED'!F1797,PRICES!$D$2:$D$658,'MAIN TABLE-1 AUTOMATED'!O1797))</f>
        <v/>
      </c>
      <c r="R1797" s="41" t="str">
        <f>IF(Table1[[#This Row],[QUANTITY]]=0,"",Table1[[#This Row],[UNIT PRICE]]*Table1[[#This Row],[QUANTITY]])</f>
        <v/>
      </c>
      <c r="S1797" s="89"/>
      <c r="T1797" s="38"/>
      <c r="U1797" s="43"/>
      <c r="V1797" s="42" t="str">
        <f>IF(Table1[[#This Row],[DATE]]=0,"",YEAR(E1797))</f>
        <v/>
      </c>
      <c r="W1797" s="40" t="str">
        <f t="shared" si="56"/>
        <v/>
      </c>
      <c r="X1797" s="40" t="str">
        <f t="shared" si="57"/>
        <v/>
      </c>
      <c r="Y1797" s="40" t="str">
        <f>TEXT(Table1[[#This Row],[YEAR]],"0000")&amp;"-"&amp;Table1[[#This Row],[MONTH]]</f>
        <v>-</v>
      </c>
    </row>
    <row r="1798" spans="1:25" ht="15" customHeight="1" x14ac:dyDescent="0.35">
      <c r="A1798" s="24"/>
      <c r="B1798" s="38"/>
      <c r="C1798" s="38"/>
      <c r="D1798" s="38"/>
      <c r="E1798" s="37"/>
      <c r="F1798" s="38"/>
      <c r="G1798" s="198"/>
      <c r="H1798" s="198"/>
      <c r="I1798" s="39"/>
      <c r="J1798" s="38"/>
      <c r="K1798" s="198"/>
      <c r="L1798" s="38"/>
      <c r="M1798" s="38"/>
      <c r="N1798" s="38"/>
      <c r="O1798" s="38"/>
      <c r="P1798" s="40" t="str" cm="1">
        <f t="array" ref="P1798">IF(N1798="","",IFERROR(_xlfn.XLOOKUP(F1798&amp;"|"&amp;J1798&amp;"|"&amp;O1798,PRICES!$C$2:$C$659&amp;"|"&amp;PRICES!$B$2:$B$659&amp;"|"&amp;PRICES!$D$2:$D$659,PRICES!$E$2:$E$659),"Not Found"))</f>
        <v/>
      </c>
      <c r="Q1798" s="100" t="str">
        <f>IF(N1798=0,"",SUMIFS(PRICES!$G$2:$G$658,PRICES!$B$2:$B$658,'MAIN TABLE-1 AUTOMATED'!J1798,PRICES!$C$2:$C$658,'MAIN TABLE-1 AUTOMATED'!F1798,PRICES!$D$2:$D$658,'MAIN TABLE-1 AUTOMATED'!O1798))</f>
        <v/>
      </c>
      <c r="R1798" s="41" t="str">
        <f>IF(Table1[[#This Row],[QUANTITY]]=0,"",Table1[[#This Row],[UNIT PRICE]]*Table1[[#This Row],[QUANTITY]])</f>
        <v/>
      </c>
      <c r="S1798" s="89"/>
      <c r="T1798" s="38"/>
      <c r="U1798" s="43"/>
      <c r="V1798" s="42" t="str">
        <f>IF(Table1[[#This Row],[DATE]]=0,"",YEAR(E1798))</f>
        <v/>
      </c>
      <c r="W1798" s="40" t="str">
        <f t="shared" si="56"/>
        <v/>
      </c>
      <c r="X1798" s="40" t="str">
        <f t="shared" si="57"/>
        <v/>
      </c>
      <c r="Y1798" s="40" t="str">
        <f>TEXT(Table1[[#This Row],[YEAR]],"0000")&amp;"-"&amp;Table1[[#This Row],[MONTH]]</f>
        <v>-</v>
      </c>
    </row>
    <row r="1799" spans="1:25" ht="15" customHeight="1" x14ac:dyDescent="0.35">
      <c r="A1799" s="24"/>
      <c r="B1799" s="38"/>
      <c r="C1799" s="38"/>
      <c r="D1799" s="38"/>
      <c r="E1799" s="37"/>
      <c r="F1799" s="38"/>
      <c r="G1799" s="198"/>
      <c r="H1799" s="198"/>
      <c r="I1799" s="39"/>
      <c r="J1799" s="38"/>
      <c r="K1799" s="198"/>
      <c r="L1799" s="38"/>
      <c r="M1799" s="38"/>
      <c r="N1799" s="38"/>
      <c r="O1799" s="38"/>
      <c r="P1799" s="40" t="str" cm="1">
        <f t="array" ref="P1799">IF(N1799="","",IFERROR(_xlfn.XLOOKUP(F1799&amp;"|"&amp;J1799&amp;"|"&amp;O1799,PRICES!$C$2:$C$659&amp;"|"&amp;PRICES!$B$2:$B$659&amp;"|"&amp;PRICES!$D$2:$D$659,PRICES!$E$2:$E$659),"Not Found"))</f>
        <v/>
      </c>
      <c r="Q1799" s="100" t="str">
        <f>IF(N1799=0,"",SUMIFS(PRICES!$G$2:$G$658,PRICES!$B$2:$B$658,'MAIN TABLE-1 AUTOMATED'!J1799,PRICES!$C$2:$C$658,'MAIN TABLE-1 AUTOMATED'!F1799,PRICES!$D$2:$D$658,'MAIN TABLE-1 AUTOMATED'!O1799))</f>
        <v/>
      </c>
      <c r="R1799" s="41" t="str">
        <f>IF(Table1[[#This Row],[QUANTITY]]=0,"",Table1[[#This Row],[UNIT PRICE]]*Table1[[#This Row],[QUANTITY]])</f>
        <v/>
      </c>
      <c r="S1799" s="89"/>
      <c r="T1799" s="38"/>
      <c r="U1799" s="43"/>
      <c r="V1799" s="42" t="str">
        <f>IF(Table1[[#This Row],[DATE]]=0,"",YEAR(E1799))</f>
        <v/>
      </c>
      <c r="W1799" s="40" t="str">
        <f t="shared" si="56"/>
        <v/>
      </c>
      <c r="X1799" s="40" t="str">
        <f t="shared" si="57"/>
        <v/>
      </c>
      <c r="Y1799" s="40" t="str">
        <f>TEXT(Table1[[#This Row],[YEAR]],"0000")&amp;"-"&amp;Table1[[#This Row],[MONTH]]</f>
        <v>-</v>
      </c>
    </row>
    <row r="1800" spans="1:25" ht="15" customHeight="1" x14ac:dyDescent="0.35">
      <c r="A1800" s="24"/>
      <c r="B1800" s="38"/>
      <c r="C1800" s="38"/>
      <c r="D1800" s="38"/>
      <c r="E1800" s="37"/>
      <c r="F1800" s="38"/>
      <c r="G1800" s="198"/>
      <c r="H1800" s="198"/>
      <c r="I1800" s="39"/>
      <c r="J1800" s="38"/>
      <c r="K1800" s="198"/>
      <c r="L1800" s="38"/>
      <c r="M1800" s="38"/>
      <c r="N1800" s="38"/>
      <c r="O1800" s="38"/>
      <c r="P1800" s="40" t="str" cm="1">
        <f t="array" ref="P1800">IF(N1800="","",IFERROR(_xlfn.XLOOKUP(F1800&amp;"|"&amp;J1800&amp;"|"&amp;O1800,PRICES!$C$2:$C$659&amp;"|"&amp;PRICES!$B$2:$B$659&amp;"|"&amp;PRICES!$D$2:$D$659,PRICES!$E$2:$E$659),"Not Found"))</f>
        <v/>
      </c>
      <c r="Q1800" s="100" t="str">
        <f>IF(N1800=0,"",SUMIFS(PRICES!$G$2:$G$658,PRICES!$B$2:$B$658,'MAIN TABLE-1 AUTOMATED'!J1800,PRICES!$C$2:$C$658,'MAIN TABLE-1 AUTOMATED'!F1800,PRICES!$D$2:$D$658,'MAIN TABLE-1 AUTOMATED'!O1800))</f>
        <v/>
      </c>
      <c r="R1800" s="41" t="str">
        <f>IF(Table1[[#This Row],[QUANTITY]]=0,"",Table1[[#This Row],[UNIT PRICE]]*Table1[[#This Row],[QUANTITY]])</f>
        <v/>
      </c>
      <c r="S1800" s="89"/>
      <c r="T1800" s="38"/>
      <c r="U1800" s="43"/>
      <c r="V1800" s="42" t="str">
        <f>IF(Table1[[#This Row],[DATE]]=0,"",YEAR(E1800))</f>
        <v/>
      </c>
      <c r="W1800" s="40" t="str">
        <f t="shared" si="56"/>
        <v/>
      </c>
      <c r="X1800" s="40" t="str">
        <f t="shared" si="57"/>
        <v/>
      </c>
      <c r="Y1800" s="40" t="str">
        <f>TEXT(Table1[[#This Row],[YEAR]],"0000")&amp;"-"&amp;Table1[[#This Row],[MONTH]]</f>
        <v>-</v>
      </c>
    </row>
    <row r="1801" spans="1:25" ht="15" customHeight="1" x14ac:dyDescent="0.35">
      <c r="A1801" s="24"/>
      <c r="B1801" s="38"/>
      <c r="C1801" s="38"/>
      <c r="D1801" s="38"/>
      <c r="E1801" s="37"/>
      <c r="F1801" s="38"/>
      <c r="G1801" s="198"/>
      <c r="H1801" s="198"/>
      <c r="I1801" s="39"/>
      <c r="J1801" s="38"/>
      <c r="K1801" s="198"/>
      <c r="L1801" s="38"/>
      <c r="M1801" s="38"/>
      <c r="N1801" s="38"/>
      <c r="O1801" s="38"/>
      <c r="P1801" s="40" t="str" cm="1">
        <f t="array" ref="P1801">IF(N1801="","",IFERROR(_xlfn.XLOOKUP(F1801&amp;"|"&amp;J1801&amp;"|"&amp;O1801,PRICES!$C$2:$C$659&amp;"|"&amp;PRICES!$B$2:$B$659&amp;"|"&amp;PRICES!$D$2:$D$659,PRICES!$E$2:$E$659),"Not Found"))</f>
        <v/>
      </c>
      <c r="Q1801" s="100" t="str">
        <f>IF(N1801=0,"",SUMIFS(PRICES!$G$2:$G$658,PRICES!$B$2:$B$658,'MAIN TABLE-1 AUTOMATED'!J1801,PRICES!$C$2:$C$658,'MAIN TABLE-1 AUTOMATED'!F1801,PRICES!$D$2:$D$658,'MAIN TABLE-1 AUTOMATED'!O1801))</f>
        <v/>
      </c>
      <c r="R1801" s="41" t="str">
        <f>IF(Table1[[#This Row],[QUANTITY]]=0,"",Table1[[#This Row],[UNIT PRICE]]*Table1[[#This Row],[QUANTITY]])</f>
        <v/>
      </c>
      <c r="S1801" s="89"/>
      <c r="T1801" s="38"/>
      <c r="U1801" s="43"/>
      <c r="V1801" s="42" t="str">
        <f>IF(Table1[[#This Row],[DATE]]=0,"",YEAR(E1801))</f>
        <v/>
      </c>
      <c r="W1801" s="40" t="str">
        <f t="shared" si="56"/>
        <v/>
      </c>
      <c r="X1801" s="40" t="str">
        <f t="shared" si="57"/>
        <v/>
      </c>
      <c r="Y1801" s="40" t="str">
        <f>TEXT(Table1[[#This Row],[YEAR]],"0000")&amp;"-"&amp;Table1[[#This Row],[MONTH]]</f>
        <v>-</v>
      </c>
    </row>
    <row r="1802" spans="1:25" ht="15" customHeight="1" x14ac:dyDescent="0.35">
      <c r="A1802" s="24"/>
      <c r="B1802" s="38"/>
      <c r="C1802" s="38"/>
      <c r="D1802" s="38"/>
      <c r="E1802" s="37"/>
      <c r="F1802" s="38"/>
      <c r="G1802" s="198"/>
      <c r="H1802" s="198"/>
      <c r="I1802" s="39"/>
      <c r="J1802" s="38"/>
      <c r="K1802" s="198"/>
      <c r="L1802" s="38"/>
      <c r="M1802" s="38"/>
      <c r="N1802" s="38"/>
      <c r="O1802" s="38"/>
      <c r="P1802" s="40" t="str" cm="1">
        <f t="array" ref="P1802">IF(N1802="","",IFERROR(_xlfn.XLOOKUP(F1802&amp;"|"&amp;J1802&amp;"|"&amp;O1802,PRICES!$C$2:$C$659&amp;"|"&amp;PRICES!$B$2:$B$659&amp;"|"&amp;PRICES!$D$2:$D$659,PRICES!$E$2:$E$659),"Not Found"))</f>
        <v/>
      </c>
      <c r="Q1802" s="100" t="str">
        <f>IF(N1802=0,"",SUMIFS(PRICES!$G$2:$G$658,PRICES!$B$2:$B$658,'MAIN TABLE-1 AUTOMATED'!J1802,PRICES!$C$2:$C$658,'MAIN TABLE-1 AUTOMATED'!F1802,PRICES!$D$2:$D$658,'MAIN TABLE-1 AUTOMATED'!O1802))</f>
        <v/>
      </c>
      <c r="R1802" s="41" t="str">
        <f>IF(Table1[[#This Row],[QUANTITY]]=0,"",Table1[[#This Row],[UNIT PRICE]]*Table1[[#This Row],[QUANTITY]])</f>
        <v/>
      </c>
      <c r="S1802" s="89"/>
      <c r="T1802" s="38"/>
      <c r="U1802" s="43"/>
      <c r="V1802" s="42" t="str">
        <f>IF(Table1[[#This Row],[DATE]]=0,"",YEAR(E1802))</f>
        <v/>
      </c>
      <c r="W1802" s="40" t="str">
        <f t="shared" si="56"/>
        <v/>
      </c>
      <c r="X1802" s="40" t="str">
        <f t="shared" si="57"/>
        <v/>
      </c>
      <c r="Y1802" s="40" t="str">
        <f>TEXT(Table1[[#This Row],[YEAR]],"0000")&amp;"-"&amp;Table1[[#This Row],[MONTH]]</f>
        <v>-</v>
      </c>
    </row>
    <row r="1803" spans="1:25" ht="15" customHeight="1" x14ac:dyDescent="0.35">
      <c r="A1803" s="24"/>
      <c r="B1803" s="38"/>
      <c r="C1803" s="38"/>
      <c r="D1803" s="38"/>
      <c r="E1803" s="37"/>
      <c r="F1803" s="38"/>
      <c r="G1803" s="198"/>
      <c r="H1803" s="198"/>
      <c r="I1803" s="39"/>
      <c r="J1803" s="38"/>
      <c r="K1803" s="198"/>
      <c r="L1803" s="38"/>
      <c r="M1803" s="38"/>
      <c r="N1803" s="38"/>
      <c r="O1803" s="38"/>
      <c r="P1803" s="40" t="str" cm="1">
        <f t="array" ref="P1803">IF(N1803="","",IFERROR(_xlfn.XLOOKUP(F1803&amp;"|"&amp;J1803&amp;"|"&amp;O1803,PRICES!$C$2:$C$659&amp;"|"&amp;PRICES!$B$2:$B$659&amp;"|"&amp;PRICES!$D$2:$D$659,PRICES!$E$2:$E$659),"Not Found"))</f>
        <v/>
      </c>
      <c r="Q1803" s="100" t="str">
        <f>IF(N1803=0,"",SUMIFS(PRICES!$G$2:$G$658,PRICES!$B$2:$B$658,'MAIN TABLE-1 AUTOMATED'!J1803,PRICES!$C$2:$C$658,'MAIN TABLE-1 AUTOMATED'!F1803,PRICES!$D$2:$D$658,'MAIN TABLE-1 AUTOMATED'!O1803))</f>
        <v/>
      </c>
      <c r="R1803" s="41" t="str">
        <f>IF(Table1[[#This Row],[QUANTITY]]=0,"",Table1[[#This Row],[UNIT PRICE]]*Table1[[#This Row],[QUANTITY]])</f>
        <v/>
      </c>
      <c r="S1803" s="89"/>
      <c r="T1803" s="38"/>
      <c r="U1803" s="43"/>
      <c r="V1803" s="42" t="str">
        <f>IF(Table1[[#This Row],[DATE]]=0,"",YEAR(E1803))</f>
        <v/>
      </c>
      <c r="W1803" s="40" t="str">
        <f t="shared" si="56"/>
        <v/>
      </c>
      <c r="X1803" s="40" t="str">
        <f t="shared" si="57"/>
        <v/>
      </c>
      <c r="Y1803" s="40" t="str">
        <f>TEXT(Table1[[#This Row],[YEAR]],"0000")&amp;"-"&amp;Table1[[#This Row],[MONTH]]</f>
        <v>-</v>
      </c>
    </row>
    <row r="1804" spans="1:25" ht="15" customHeight="1" x14ac:dyDescent="0.35">
      <c r="A1804" s="24"/>
      <c r="B1804" s="38"/>
      <c r="C1804" s="38"/>
      <c r="D1804" s="38"/>
      <c r="E1804" s="37"/>
      <c r="F1804" s="38"/>
      <c r="G1804" s="198"/>
      <c r="H1804" s="198"/>
      <c r="I1804" s="39"/>
      <c r="J1804" s="38"/>
      <c r="K1804" s="198"/>
      <c r="L1804" s="38"/>
      <c r="M1804" s="38"/>
      <c r="N1804" s="38"/>
      <c r="O1804" s="38"/>
      <c r="P1804" s="40" t="str" cm="1">
        <f t="array" ref="P1804">IF(N1804="","",IFERROR(_xlfn.XLOOKUP(F1804&amp;"|"&amp;J1804&amp;"|"&amp;O1804,PRICES!$C$2:$C$659&amp;"|"&amp;PRICES!$B$2:$B$659&amp;"|"&amp;PRICES!$D$2:$D$659,PRICES!$E$2:$E$659),"Not Found"))</f>
        <v/>
      </c>
      <c r="Q1804" s="100" t="str">
        <f>IF(N1804=0,"",SUMIFS(PRICES!$G$2:$G$658,PRICES!$B$2:$B$658,'MAIN TABLE-1 AUTOMATED'!J1804,PRICES!$C$2:$C$658,'MAIN TABLE-1 AUTOMATED'!F1804,PRICES!$D$2:$D$658,'MAIN TABLE-1 AUTOMATED'!O1804))</f>
        <v/>
      </c>
      <c r="R1804" s="41" t="str">
        <f>IF(Table1[[#This Row],[QUANTITY]]=0,"",Table1[[#This Row],[UNIT PRICE]]*Table1[[#This Row],[QUANTITY]])</f>
        <v/>
      </c>
      <c r="S1804" s="89"/>
      <c r="T1804" s="38"/>
      <c r="U1804" s="43"/>
      <c r="V1804" s="42" t="str">
        <f>IF(Table1[[#This Row],[DATE]]=0,"",YEAR(E1804))</f>
        <v/>
      </c>
      <c r="W1804" s="40" t="str">
        <f t="shared" si="56"/>
        <v/>
      </c>
      <c r="X1804" s="40" t="str">
        <f t="shared" si="57"/>
        <v/>
      </c>
      <c r="Y1804" s="40" t="str">
        <f>TEXT(Table1[[#This Row],[YEAR]],"0000")&amp;"-"&amp;Table1[[#This Row],[MONTH]]</f>
        <v>-</v>
      </c>
    </row>
    <row r="1805" spans="1:25" ht="15" customHeight="1" x14ac:dyDescent="0.35">
      <c r="A1805" s="24"/>
      <c r="B1805" s="38"/>
      <c r="C1805" s="38"/>
      <c r="D1805" s="38"/>
      <c r="E1805" s="37"/>
      <c r="F1805" s="38"/>
      <c r="G1805" s="198"/>
      <c r="H1805" s="198"/>
      <c r="I1805" s="39"/>
      <c r="J1805" s="38"/>
      <c r="K1805" s="198"/>
      <c r="L1805" s="38"/>
      <c r="M1805" s="38"/>
      <c r="N1805" s="38"/>
      <c r="O1805" s="38"/>
      <c r="P1805" s="40" t="str" cm="1">
        <f t="array" ref="P1805">IF(N1805="","",IFERROR(_xlfn.XLOOKUP(F1805&amp;"|"&amp;J1805&amp;"|"&amp;O1805,PRICES!$C$2:$C$659&amp;"|"&amp;PRICES!$B$2:$B$659&amp;"|"&amp;PRICES!$D$2:$D$659,PRICES!$E$2:$E$659),"Not Found"))</f>
        <v/>
      </c>
      <c r="Q1805" s="100" t="str">
        <f>IF(N1805=0,"",SUMIFS(PRICES!$G$2:$G$658,PRICES!$B$2:$B$658,'MAIN TABLE-1 AUTOMATED'!J1805,PRICES!$C$2:$C$658,'MAIN TABLE-1 AUTOMATED'!F1805,PRICES!$D$2:$D$658,'MAIN TABLE-1 AUTOMATED'!O1805))</f>
        <v/>
      </c>
      <c r="R1805" s="41" t="str">
        <f>IF(Table1[[#This Row],[QUANTITY]]=0,"",Table1[[#This Row],[UNIT PRICE]]*Table1[[#This Row],[QUANTITY]])</f>
        <v/>
      </c>
      <c r="S1805" s="89"/>
      <c r="T1805" s="38"/>
      <c r="U1805" s="43"/>
      <c r="V1805" s="42" t="str">
        <f>IF(Table1[[#This Row],[DATE]]=0,"",YEAR(E1805))</f>
        <v/>
      </c>
      <c r="W1805" s="40" t="str">
        <f t="shared" si="56"/>
        <v/>
      </c>
      <c r="X1805" s="40" t="str">
        <f t="shared" si="57"/>
        <v/>
      </c>
      <c r="Y1805" s="40" t="str">
        <f>TEXT(Table1[[#This Row],[YEAR]],"0000")&amp;"-"&amp;Table1[[#This Row],[MONTH]]</f>
        <v>-</v>
      </c>
    </row>
    <row r="1806" spans="1:25" ht="15" customHeight="1" x14ac:dyDescent="0.35">
      <c r="A1806" s="24"/>
      <c r="B1806" s="38"/>
      <c r="C1806" s="38"/>
      <c r="D1806" s="38"/>
      <c r="E1806" s="37"/>
      <c r="F1806" s="38"/>
      <c r="G1806" s="198"/>
      <c r="H1806" s="198"/>
      <c r="I1806" s="39"/>
      <c r="J1806" s="38"/>
      <c r="K1806" s="198"/>
      <c r="L1806" s="38"/>
      <c r="M1806" s="38"/>
      <c r="N1806" s="38"/>
      <c r="O1806" s="38"/>
      <c r="P1806" s="40" t="str" cm="1">
        <f t="array" ref="P1806">IF(N1806="","",IFERROR(_xlfn.XLOOKUP(F1806&amp;"|"&amp;J1806&amp;"|"&amp;O1806,PRICES!$C$2:$C$659&amp;"|"&amp;PRICES!$B$2:$B$659&amp;"|"&amp;PRICES!$D$2:$D$659,PRICES!$E$2:$E$659),"Not Found"))</f>
        <v/>
      </c>
      <c r="Q1806" s="100" t="str">
        <f>IF(N1806=0,"",SUMIFS(PRICES!$G$2:$G$658,PRICES!$B$2:$B$658,'MAIN TABLE-1 AUTOMATED'!J1806,PRICES!$C$2:$C$658,'MAIN TABLE-1 AUTOMATED'!F1806,PRICES!$D$2:$D$658,'MAIN TABLE-1 AUTOMATED'!O1806))</f>
        <v/>
      </c>
      <c r="R1806" s="41" t="str">
        <f>IF(Table1[[#This Row],[QUANTITY]]=0,"",Table1[[#This Row],[UNIT PRICE]]*Table1[[#This Row],[QUANTITY]])</f>
        <v/>
      </c>
      <c r="S1806" s="89"/>
      <c r="T1806" s="38"/>
      <c r="U1806" s="43"/>
      <c r="V1806" s="42" t="str">
        <f>IF(Table1[[#This Row],[DATE]]=0,"",YEAR(E1806))</f>
        <v/>
      </c>
      <c r="W1806" s="40" t="str">
        <f t="shared" si="56"/>
        <v/>
      </c>
      <c r="X1806" s="40" t="str">
        <f t="shared" si="57"/>
        <v/>
      </c>
      <c r="Y1806" s="40" t="str">
        <f>TEXT(Table1[[#This Row],[YEAR]],"0000")&amp;"-"&amp;Table1[[#This Row],[MONTH]]</f>
        <v>-</v>
      </c>
    </row>
    <row r="1807" spans="1:25" ht="15" customHeight="1" x14ac:dyDescent="0.35">
      <c r="A1807" s="24"/>
      <c r="B1807" s="38"/>
      <c r="C1807" s="38"/>
      <c r="D1807" s="38"/>
      <c r="E1807" s="37"/>
      <c r="F1807" s="38"/>
      <c r="G1807" s="198"/>
      <c r="H1807" s="198"/>
      <c r="I1807" s="39"/>
      <c r="J1807" s="38"/>
      <c r="K1807" s="198"/>
      <c r="L1807" s="38"/>
      <c r="M1807" s="38"/>
      <c r="N1807" s="38"/>
      <c r="O1807" s="38"/>
      <c r="P1807" s="40" t="str" cm="1">
        <f t="array" ref="P1807">IF(N1807="","",IFERROR(_xlfn.XLOOKUP(F1807&amp;"|"&amp;J1807&amp;"|"&amp;O1807,PRICES!$C$2:$C$659&amp;"|"&amp;PRICES!$B$2:$B$659&amp;"|"&amp;PRICES!$D$2:$D$659,PRICES!$E$2:$E$659),"Not Found"))</f>
        <v/>
      </c>
      <c r="Q1807" s="100" t="str">
        <f>IF(N1807=0,"",SUMIFS(PRICES!$G$2:$G$658,PRICES!$B$2:$B$658,'MAIN TABLE-1 AUTOMATED'!J1807,PRICES!$C$2:$C$658,'MAIN TABLE-1 AUTOMATED'!F1807,PRICES!$D$2:$D$658,'MAIN TABLE-1 AUTOMATED'!O1807))</f>
        <v/>
      </c>
      <c r="R1807" s="41" t="str">
        <f>IF(Table1[[#This Row],[QUANTITY]]=0,"",Table1[[#This Row],[UNIT PRICE]]*Table1[[#This Row],[QUANTITY]])</f>
        <v/>
      </c>
      <c r="S1807" s="89"/>
      <c r="T1807" s="38"/>
      <c r="U1807" s="43"/>
      <c r="V1807" s="42" t="str">
        <f>IF(Table1[[#This Row],[DATE]]=0,"",YEAR(E1807))</f>
        <v/>
      </c>
      <c r="W1807" s="40" t="str">
        <f t="shared" si="56"/>
        <v/>
      </c>
      <c r="X1807" s="40" t="str">
        <f t="shared" si="57"/>
        <v/>
      </c>
      <c r="Y1807" s="40" t="str">
        <f>TEXT(Table1[[#This Row],[YEAR]],"0000")&amp;"-"&amp;Table1[[#This Row],[MONTH]]</f>
        <v>-</v>
      </c>
    </row>
    <row r="1808" spans="1:25" ht="15" customHeight="1" x14ac:dyDescent="0.35">
      <c r="A1808" s="24"/>
      <c r="B1808" s="38"/>
      <c r="C1808" s="38"/>
      <c r="D1808" s="38"/>
      <c r="E1808" s="37"/>
      <c r="F1808" s="38"/>
      <c r="G1808" s="198"/>
      <c r="H1808" s="198"/>
      <c r="I1808" s="39"/>
      <c r="J1808" s="38"/>
      <c r="K1808" s="198"/>
      <c r="L1808" s="38"/>
      <c r="M1808" s="38"/>
      <c r="N1808" s="38"/>
      <c r="O1808" s="38"/>
      <c r="P1808" s="40" t="str" cm="1">
        <f t="array" ref="P1808">IF(N1808="","",IFERROR(_xlfn.XLOOKUP(F1808&amp;"|"&amp;J1808&amp;"|"&amp;O1808,PRICES!$C$2:$C$659&amp;"|"&amp;PRICES!$B$2:$B$659&amp;"|"&amp;PRICES!$D$2:$D$659,PRICES!$E$2:$E$659),"Not Found"))</f>
        <v/>
      </c>
      <c r="Q1808" s="100" t="str">
        <f>IF(N1808=0,"",SUMIFS(PRICES!$G$2:$G$658,PRICES!$B$2:$B$658,'MAIN TABLE-1 AUTOMATED'!J1808,PRICES!$C$2:$C$658,'MAIN TABLE-1 AUTOMATED'!F1808,PRICES!$D$2:$D$658,'MAIN TABLE-1 AUTOMATED'!O1808))</f>
        <v/>
      </c>
      <c r="R1808" s="41" t="str">
        <f>IF(Table1[[#This Row],[QUANTITY]]=0,"",Table1[[#This Row],[UNIT PRICE]]*Table1[[#This Row],[QUANTITY]])</f>
        <v/>
      </c>
      <c r="S1808" s="89"/>
      <c r="T1808" s="38"/>
      <c r="U1808" s="43"/>
      <c r="V1808" s="42" t="str">
        <f>IF(Table1[[#This Row],[DATE]]=0,"",YEAR(E1808))</f>
        <v/>
      </c>
      <c r="W1808" s="40" t="str">
        <f t="shared" si="56"/>
        <v/>
      </c>
      <c r="X1808" s="40" t="str">
        <f t="shared" si="57"/>
        <v/>
      </c>
      <c r="Y1808" s="40" t="str">
        <f>TEXT(Table1[[#This Row],[YEAR]],"0000")&amp;"-"&amp;Table1[[#This Row],[MONTH]]</f>
        <v>-</v>
      </c>
    </row>
    <row r="1809" spans="1:25" ht="15" customHeight="1" x14ac:dyDescent="0.35">
      <c r="A1809" s="24"/>
      <c r="B1809" s="38"/>
      <c r="C1809" s="38"/>
      <c r="D1809" s="38"/>
      <c r="E1809" s="37"/>
      <c r="F1809" s="38"/>
      <c r="G1809" s="198"/>
      <c r="H1809" s="198"/>
      <c r="I1809" s="39"/>
      <c r="J1809" s="38"/>
      <c r="K1809" s="198"/>
      <c r="L1809" s="38"/>
      <c r="M1809" s="38"/>
      <c r="N1809" s="38"/>
      <c r="O1809" s="38"/>
      <c r="P1809" s="40" t="str" cm="1">
        <f t="array" ref="P1809">IF(N1809="","",IFERROR(_xlfn.XLOOKUP(F1809&amp;"|"&amp;J1809&amp;"|"&amp;O1809,PRICES!$C$2:$C$659&amp;"|"&amp;PRICES!$B$2:$B$659&amp;"|"&amp;PRICES!$D$2:$D$659,PRICES!$E$2:$E$659),"Not Found"))</f>
        <v/>
      </c>
      <c r="Q1809" s="100" t="str">
        <f>IF(N1809=0,"",SUMIFS(PRICES!$G$2:$G$658,PRICES!$B$2:$B$658,'MAIN TABLE-1 AUTOMATED'!J1809,PRICES!$C$2:$C$658,'MAIN TABLE-1 AUTOMATED'!F1809,PRICES!$D$2:$D$658,'MAIN TABLE-1 AUTOMATED'!O1809))</f>
        <v/>
      </c>
      <c r="R1809" s="41" t="str">
        <f>IF(Table1[[#This Row],[QUANTITY]]=0,"",Table1[[#This Row],[UNIT PRICE]]*Table1[[#This Row],[QUANTITY]])</f>
        <v/>
      </c>
      <c r="S1809" s="89"/>
      <c r="T1809" s="38"/>
      <c r="U1809" s="43"/>
      <c r="V1809" s="42" t="str">
        <f>IF(Table1[[#This Row],[DATE]]=0,"",YEAR(E1809))</f>
        <v/>
      </c>
      <c r="W1809" s="40" t="str">
        <f t="shared" si="56"/>
        <v/>
      </c>
      <c r="X1809" s="40" t="str">
        <f t="shared" si="57"/>
        <v/>
      </c>
      <c r="Y1809" s="40" t="str">
        <f>TEXT(Table1[[#This Row],[YEAR]],"0000")&amp;"-"&amp;Table1[[#This Row],[MONTH]]</f>
        <v>-</v>
      </c>
    </row>
    <row r="1810" spans="1:25" ht="15" customHeight="1" x14ac:dyDescent="0.35">
      <c r="A1810" s="24"/>
      <c r="B1810" s="38"/>
      <c r="C1810" s="38"/>
      <c r="D1810" s="38"/>
      <c r="E1810" s="37"/>
      <c r="F1810" s="38"/>
      <c r="G1810" s="198"/>
      <c r="H1810" s="198"/>
      <c r="I1810" s="39"/>
      <c r="J1810" s="38"/>
      <c r="K1810" s="198"/>
      <c r="L1810" s="38"/>
      <c r="M1810" s="38"/>
      <c r="N1810" s="38"/>
      <c r="O1810" s="38"/>
      <c r="P1810" s="40" t="str" cm="1">
        <f t="array" ref="P1810">IF(N1810="","",IFERROR(_xlfn.XLOOKUP(F1810&amp;"|"&amp;J1810&amp;"|"&amp;O1810,PRICES!$C$2:$C$659&amp;"|"&amp;PRICES!$B$2:$B$659&amp;"|"&amp;PRICES!$D$2:$D$659,PRICES!$E$2:$E$659),"Not Found"))</f>
        <v/>
      </c>
      <c r="Q1810" s="100" t="str">
        <f>IF(N1810=0,"",SUMIFS(PRICES!$G$2:$G$658,PRICES!$B$2:$B$658,'MAIN TABLE-1 AUTOMATED'!J1810,PRICES!$C$2:$C$658,'MAIN TABLE-1 AUTOMATED'!F1810,PRICES!$D$2:$D$658,'MAIN TABLE-1 AUTOMATED'!O1810))</f>
        <v/>
      </c>
      <c r="R1810" s="41" t="str">
        <f>IF(Table1[[#This Row],[QUANTITY]]=0,"",Table1[[#This Row],[UNIT PRICE]]*Table1[[#This Row],[QUANTITY]])</f>
        <v/>
      </c>
      <c r="S1810" s="89"/>
      <c r="T1810" s="38"/>
      <c r="U1810" s="43"/>
      <c r="V1810" s="42" t="str">
        <f>IF(Table1[[#This Row],[DATE]]=0,"",YEAR(E1810))</f>
        <v/>
      </c>
      <c r="W1810" s="40" t="str">
        <f t="shared" si="56"/>
        <v/>
      </c>
      <c r="X1810" s="40" t="str">
        <f t="shared" si="57"/>
        <v/>
      </c>
      <c r="Y1810" s="40" t="str">
        <f>TEXT(Table1[[#This Row],[YEAR]],"0000")&amp;"-"&amp;Table1[[#This Row],[MONTH]]</f>
        <v>-</v>
      </c>
    </row>
    <row r="1811" spans="1:25" ht="15" customHeight="1" x14ac:dyDescent="0.35">
      <c r="A1811" s="24"/>
      <c r="B1811" s="38"/>
      <c r="C1811" s="38"/>
      <c r="D1811" s="38"/>
      <c r="E1811" s="37"/>
      <c r="F1811" s="38"/>
      <c r="G1811" s="198"/>
      <c r="H1811" s="198"/>
      <c r="I1811" s="39"/>
      <c r="J1811" s="38"/>
      <c r="K1811" s="198"/>
      <c r="L1811" s="38"/>
      <c r="M1811" s="38"/>
      <c r="N1811" s="38"/>
      <c r="O1811" s="38"/>
      <c r="P1811" s="40" t="str" cm="1">
        <f t="array" ref="P1811">IF(N1811="","",IFERROR(_xlfn.XLOOKUP(F1811&amp;"|"&amp;J1811&amp;"|"&amp;O1811,PRICES!$C$2:$C$659&amp;"|"&amp;PRICES!$B$2:$B$659&amp;"|"&amp;PRICES!$D$2:$D$659,PRICES!$E$2:$E$659),"Not Found"))</f>
        <v/>
      </c>
      <c r="Q1811" s="100" t="str">
        <f>IF(N1811=0,"",SUMIFS(PRICES!$G$2:$G$658,PRICES!$B$2:$B$658,'MAIN TABLE-1 AUTOMATED'!J1811,PRICES!$C$2:$C$658,'MAIN TABLE-1 AUTOMATED'!F1811,PRICES!$D$2:$D$658,'MAIN TABLE-1 AUTOMATED'!O1811))</f>
        <v/>
      </c>
      <c r="R1811" s="41" t="str">
        <f>IF(Table1[[#This Row],[QUANTITY]]=0,"",Table1[[#This Row],[UNIT PRICE]]*Table1[[#This Row],[QUANTITY]])</f>
        <v/>
      </c>
      <c r="S1811" s="89"/>
      <c r="T1811" s="38"/>
      <c r="U1811" s="43"/>
      <c r="V1811" s="42" t="str">
        <f>IF(Table1[[#This Row],[DATE]]=0,"",YEAR(E1811))</f>
        <v/>
      </c>
      <c r="W1811" s="40" t="str">
        <f t="shared" si="56"/>
        <v/>
      </c>
      <c r="X1811" s="40" t="str">
        <f t="shared" si="57"/>
        <v/>
      </c>
      <c r="Y1811" s="40" t="str">
        <f>TEXT(Table1[[#This Row],[YEAR]],"0000")&amp;"-"&amp;Table1[[#This Row],[MONTH]]</f>
        <v>-</v>
      </c>
    </row>
    <row r="1812" spans="1:25" ht="15" customHeight="1" x14ac:dyDescent="0.35">
      <c r="A1812" s="24"/>
      <c r="B1812" s="38"/>
      <c r="C1812" s="38"/>
      <c r="D1812" s="38"/>
      <c r="E1812" s="37"/>
      <c r="F1812" s="38"/>
      <c r="G1812" s="198"/>
      <c r="H1812" s="198"/>
      <c r="I1812" s="39"/>
      <c r="J1812" s="38"/>
      <c r="K1812" s="198"/>
      <c r="L1812" s="38"/>
      <c r="M1812" s="38"/>
      <c r="N1812" s="38"/>
      <c r="O1812" s="38"/>
      <c r="P1812" s="40" t="str" cm="1">
        <f t="array" ref="P1812">IF(N1812="","",IFERROR(_xlfn.XLOOKUP(F1812&amp;"|"&amp;J1812&amp;"|"&amp;O1812,PRICES!$C$2:$C$659&amp;"|"&amp;PRICES!$B$2:$B$659&amp;"|"&amp;PRICES!$D$2:$D$659,PRICES!$E$2:$E$659),"Not Found"))</f>
        <v/>
      </c>
      <c r="Q1812" s="100" t="str">
        <f>IF(N1812=0,"",SUMIFS(PRICES!$G$2:$G$658,PRICES!$B$2:$B$658,'MAIN TABLE-1 AUTOMATED'!J1812,PRICES!$C$2:$C$658,'MAIN TABLE-1 AUTOMATED'!F1812,PRICES!$D$2:$D$658,'MAIN TABLE-1 AUTOMATED'!O1812))</f>
        <v/>
      </c>
      <c r="R1812" s="41" t="str">
        <f>IF(Table1[[#This Row],[QUANTITY]]=0,"",Table1[[#This Row],[UNIT PRICE]]*Table1[[#This Row],[QUANTITY]])</f>
        <v/>
      </c>
      <c r="S1812" s="89"/>
      <c r="T1812" s="38"/>
      <c r="U1812" s="43"/>
      <c r="V1812" s="42" t="str">
        <f>IF(Table1[[#This Row],[DATE]]=0,"",YEAR(E1812))</f>
        <v/>
      </c>
      <c r="W1812" s="40" t="str">
        <f t="shared" si="56"/>
        <v/>
      </c>
      <c r="X1812" s="40" t="str">
        <f t="shared" si="57"/>
        <v/>
      </c>
      <c r="Y1812" s="40" t="str">
        <f>TEXT(Table1[[#This Row],[YEAR]],"0000")&amp;"-"&amp;Table1[[#This Row],[MONTH]]</f>
        <v>-</v>
      </c>
    </row>
    <row r="1813" spans="1:25" ht="15" customHeight="1" x14ac:dyDescent="0.35">
      <c r="A1813" s="24"/>
      <c r="B1813" s="38"/>
      <c r="C1813" s="38"/>
      <c r="D1813" s="38"/>
      <c r="E1813" s="37"/>
      <c r="F1813" s="38"/>
      <c r="G1813" s="198"/>
      <c r="H1813" s="198"/>
      <c r="I1813" s="39"/>
      <c r="J1813" s="38"/>
      <c r="K1813" s="198"/>
      <c r="L1813" s="38"/>
      <c r="M1813" s="38"/>
      <c r="N1813" s="38"/>
      <c r="O1813" s="38"/>
      <c r="P1813" s="40" t="str" cm="1">
        <f t="array" ref="P1813">IF(N1813="","",IFERROR(_xlfn.XLOOKUP(F1813&amp;"|"&amp;J1813&amp;"|"&amp;O1813,PRICES!$C$2:$C$659&amp;"|"&amp;PRICES!$B$2:$B$659&amp;"|"&amp;PRICES!$D$2:$D$659,PRICES!$E$2:$E$659),"Not Found"))</f>
        <v/>
      </c>
      <c r="Q1813" s="100" t="str">
        <f>IF(N1813=0,"",SUMIFS(PRICES!$G$2:$G$658,PRICES!$B$2:$B$658,'MAIN TABLE-1 AUTOMATED'!J1813,PRICES!$C$2:$C$658,'MAIN TABLE-1 AUTOMATED'!F1813,PRICES!$D$2:$D$658,'MAIN TABLE-1 AUTOMATED'!O1813))</f>
        <v/>
      </c>
      <c r="R1813" s="41" t="str">
        <f>IF(Table1[[#This Row],[QUANTITY]]=0,"",Table1[[#This Row],[UNIT PRICE]]*Table1[[#This Row],[QUANTITY]])</f>
        <v/>
      </c>
      <c r="S1813" s="89"/>
      <c r="T1813" s="38"/>
      <c r="U1813" s="43"/>
      <c r="V1813" s="42" t="str">
        <f>IF(Table1[[#This Row],[DATE]]=0,"",YEAR(E1813))</f>
        <v/>
      </c>
      <c r="W1813" s="40" t="str">
        <f t="shared" si="56"/>
        <v/>
      </c>
      <c r="X1813" s="40" t="str">
        <f t="shared" si="57"/>
        <v/>
      </c>
      <c r="Y1813" s="40" t="str">
        <f>TEXT(Table1[[#This Row],[YEAR]],"0000")&amp;"-"&amp;Table1[[#This Row],[MONTH]]</f>
        <v>-</v>
      </c>
    </row>
    <row r="1814" spans="1:25" ht="15" customHeight="1" x14ac:dyDescent="0.35">
      <c r="A1814" s="24"/>
      <c r="B1814" s="38"/>
      <c r="C1814" s="38"/>
      <c r="D1814" s="38"/>
      <c r="E1814" s="37"/>
      <c r="F1814" s="38"/>
      <c r="G1814" s="198"/>
      <c r="H1814" s="198"/>
      <c r="I1814" s="39"/>
      <c r="J1814" s="38"/>
      <c r="K1814" s="198"/>
      <c r="L1814" s="38"/>
      <c r="M1814" s="38"/>
      <c r="N1814" s="38"/>
      <c r="O1814" s="38"/>
      <c r="P1814" s="40" t="str" cm="1">
        <f t="array" ref="P1814">IF(N1814="","",IFERROR(_xlfn.XLOOKUP(F1814&amp;"|"&amp;J1814&amp;"|"&amp;O1814,PRICES!$C$2:$C$659&amp;"|"&amp;PRICES!$B$2:$B$659&amp;"|"&amp;PRICES!$D$2:$D$659,PRICES!$E$2:$E$659),"Not Found"))</f>
        <v/>
      </c>
      <c r="Q1814" s="100" t="str">
        <f>IF(N1814=0,"",SUMIFS(PRICES!$G$2:$G$658,PRICES!$B$2:$B$658,'MAIN TABLE-1 AUTOMATED'!J1814,PRICES!$C$2:$C$658,'MAIN TABLE-1 AUTOMATED'!F1814,PRICES!$D$2:$D$658,'MAIN TABLE-1 AUTOMATED'!O1814))</f>
        <v/>
      </c>
      <c r="R1814" s="41" t="str">
        <f>IF(Table1[[#This Row],[QUANTITY]]=0,"",Table1[[#This Row],[UNIT PRICE]]*Table1[[#This Row],[QUANTITY]])</f>
        <v/>
      </c>
      <c r="S1814" s="89"/>
      <c r="T1814" s="38"/>
      <c r="U1814" s="43"/>
      <c r="V1814" s="42" t="str">
        <f>IF(Table1[[#This Row],[DATE]]=0,"",YEAR(E1814))</f>
        <v/>
      </c>
      <c r="W1814" s="40" t="str">
        <f t="shared" si="56"/>
        <v/>
      </c>
      <c r="X1814" s="40" t="str">
        <f t="shared" si="57"/>
        <v/>
      </c>
      <c r="Y1814" s="40" t="str">
        <f>TEXT(Table1[[#This Row],[YEAR]],"0000")&amp;"-"&amp;Table1[[#This Row],[MONTH]]</f>
        <v>-</v>
      </c>
    </row>
    <row r="1815" spans="1:25" ht="15" customHeight="1" x14ac:dyDescent="0.35">
      <c r="A1815" s="24"/>
      <c r="B1815" s="38"/>
      <c r="C1815" s="38"/>
      <c r="D1815" s="38"/>
      <c r="E1815" s="37"/>
      <c r="F1815" s="38"/>
      <c r="G1815" s="198"/>
      <c r="H1815" s="198"/>
      <c r="I1815" s="39"/>
      <c r="J1815" s="38"/>
      <c r="K1815" s="198"/>
      <c r="L1815" s="38"/>
      <c r="M1815" s="38"/>
      <c r="N1815" s="38"/>
      <c r="O1815" s="38"/>
      <c r="P1815" s="40" t="str" cm="1">
        <f t="array" ref="P1815">IF(N1815="","",IFERROR(_xlfn.XLOOKUP(F1815&amp;"|"&amp;J1815&amp;"|"&amp;O1815,PRICES!$C$2:$C$659&amp;"|"&amp;PRICES!$B$2:$B$659&amp;"|"&amp;PRICES!$D$2:$D$659,PRICES!$E$2:$E$659),"Not Found"))</f>
        <v/>
      </c>
      <c r="Q1815" s="100" t="str">
        <f>IF(N1815=0,"",SUMIFS(PRICES!$G$2:$G$658,PRICES!$B$2:$B$658,'MAIN TABLE-1 AUTOMATED'!J1815,PRICES!$C$2:$C$658,'MAIN TABLE-1 AUTOMATED'!F1815,PRICES!$D$2:$D$658,'MAIN TABLE-1 AUTOMATED'!O1815))</f>
        <v/>
      </c>
      <c r="R1815" s="41" t="str">
        <f>IF(Table1[[#This Row],[QUANTITY]]=0,"",Table1[[#This Row],[UNIT PRICE]]*Table1[[#This Row],[QUANTITY]])</f>
        <v/>
      </c>
      <c r="S1815" s="89"/>
      <c r="T1815" s="38"/>
      <c r="U1815" s="43"/>
      <c r="V1815" s="42" t="str">
        <f>IF(Table1[[#This Row],[DATE]]=0,"",YEAR(E1815))</f>
        <v/>
      </c>
      <c r="W1815" s="40" t="str">
        <f t="shared" si="56"/>
        <v/>
      </c>
      <c r="X1815" s="40" t="str">
        <f t="shared" si="57"/>
        <v/>
      </c>
      <c r="Y1815" s="40" t="str">
        <f>TEXT(Table1[[#This Row],[YEAR]],"0000")&amp;"-"&amp;Table1[[#This Row],[MONTH]]</f>
        <v>-</v>
      </c>
    </row>
    <row r="1816" spans="1:25" ht="15" customHeight="1" x14ac:dyDescent="0.35">
      <c r="A1816" s="24"/>
      <c r="B1816" s="38"/>
      <c r="C1816" s="38"/>
      <c r="D1816" s="38"/>
      <c r="E1816" s="37"/>
      <c r="F1816" s="38"/>
      <c r="G1816" s="198"/>
      <c r="H1816" s="198"/>
      <c r="I1816" s="39"/>
      <c r="J1816" s="38"/>
      <c r="K1816" s="198"/>
      <c r="L1816" s="38"/>
      <c r="M1816" s="38"/>
      <c r="N1816" s="38"/>
      <c r="O1816" s="38"/>
      <c r="P1816" s="40" t="str" cm="1">
        <f t="array" ref="P1816">IF(N1816="","",IFERROR(_xlfn.XLOOKUP(F1816&amp;"|"&amp;J1816&amp;"|"&amp;O1816,PRICES!$C$2:$C$659&amp;"|"&amp;PRICES!$B$2:$B$659&amp;"|"&amp;PRICES!$D$2:$D$659,PRICES!$E$2:$E$659),"Not Found"))</f>
        <v/>
      </c>
      <c r="Q1816" s="100" t="str">
        <f>IF(N1816=0,"",SUMIFS(PRICES!$G$2:$G$658,PRICES!$B$2:$B$658,'MAIN TABLE-1 AUTOMATED'!J1816,PRICES!$C$2:$C$658,'MAIN TABLE-1 AUTOMATED'!F1816,PRICES!$D$2:$D$658,'MAIN TABLE-1 AUTOMATED'!O1816))</f>
        <v/>
      </c>
      <c r="R1816" s="41" t="str">
        <f>IF(Table1[[#This Row],[QUANTITY]]=0,"",Table1[[#This Row],[UNIT PRICE]]*Table1[[#This Row],[QUANTITY]])</f>
        <v/>
      </c>
      <c r="S1816" s="89"/>
      <c r="T1816" s="38"/>
      <c r="U1816" s="43"/>
      <c r="V1816" s="42" t="str">
        <f>IF(Table1[[#This Row],[DATE]]=0,"",YEAR(E1816))</f>
        <v/>
      </c>
      <c r="W1816" s="40" t="str">
        <f t="shared" si="56"/>
        <v/>
      </c>
      <c r="X1816" s="40" t="str">
        <f t="shared" si="57"/>
        <v/>
      </c>
      <c r="Y1816" s="40" t="str">
        <f>TEXT(Table1[[#This Row],[YEAR]],"0000")&amp;"-"&amp;Table1[[#This Row],[MONTH]]</f>
        <v>-</v>
      </c>
    </row>
    <row r="1817" spans="1:25" ht="15" customHeight="1" x14ac:dyDescent="0.35">
      <c r="A1817" s="24"/>
      <c r="B1817" s="38"/>
      <c r="C1817" s="38"/>
      <c r="D1817" s="38"/>
      <c r="E1817" s="37"/>
      <c r="F1817" s="38"/>
      <c r="G1817" s="198"/>
      <c r="H1817" s="198"/>
      <c r="I1817" s="39"/>
      <c r="J1817" s="38"/>
      <c r="K1817" s="198"/>
      <c r="L1817" s="38"/>
      <c r="M1817" s="38"/>
      <c r="N1817" s="38"/>
      <c r="O1817" s="38"/>
      <c r="P1817" s="40" t="str" cm="1">
        <f t="array" ref="P1817">IF(N1817="","",IFERROR(_xlfn.XLOOKUP(F1817&amp;"|"&amp;J1817&amp;"|"&amp;O1817,PRICES!$C$2:$C$659&amp;"|"&amp;PRICES!$B$2:$B$659&amp;"|"&amp;PRICES!$D$2:$D$659,PRICES!$E$2:$E$659),"Not Found"))</f>
        <v/>
      </c>
      <c r="Q1817" s="100" t="str">
        <f>IF(N1817=0,"",SUMIFS(PRICES!$G$2:$G$658,PRICES!$B$2:$B$658,'MAIN TABLE-1 AUTOMATED'!J1817,PRICES!$C$2:$C$658,'MAIN TABLE-1 AUTOMATED'!F1817,PRICES!$D$2:$D$658,'MAIN TABLE-1 AUTOMATED'!O1817))</f>
        <v/>
      </c>
      <c r="R1817" s="41" t="str">
        <f>IF(Table1[[#This Row],[QUANTITY]]=0,"",Table1[[#This Row],[UNIT PRICE]]*Table1[[#This Row],[QUANTITY]])</f>
        <v/>
      </c>
      <c r="S1817" s="89"/>
      <c r="T1817" s="38"/>
      <c r="U1817" s="43"/>
      <c r="V1817" s="42" t="str">
        <f>IF(Table1[[#This Row],[DATE]]=0,"",YEAR(E1817))</f>
        <v/>
      </c>
      <c r="W1817" s="40" t="str">
        <f t="shared" si="56"/>
        <v/>
      </c>
      <c r="X1817" s="40" t="str">
        <f t="shared" si="57"/>
        <v/>
      </c>
      <c r="Y1817" s="40" t="str">
        <f>TEXT(Table1[[#This Row],[YEAR]],"0000")&amp;"-"&amp;Table1[[#This Row],[MONTH]]</f>
        <v>-</v>
      </c>
    </row>
    <row r="1818" spans="1:25" ht="15" customHeight="1" x14ac:dyDescent="0.35">
      <c r="A1818" s="24"/>
      <c r="B1818" s="38"/>
      <c r="C1818" s="38"/>
      <c r="D1818" s="38"/>
      <c r="E1818" s="37"/>
      <c r="F1818" s="38"/>
      <c r="G1818" s="198"/>
      <c r="H1818" s="198"/>
      <c r="I1818" s="39"/>
      <c r="J1818" s="38"/>
      <c r="K1818" s="198"/>
      <c r="L1818" s="38"/>
      <c r="M1818" s="38"/>
      <c r="N1818" s="38"/>
      <c r="O1818" s="38"/>
      <c r="P1818" s="40" t="str" cm="1">
        <f t="array" ref="P1818">IF(N1818="","",IFERROR(_xlfn.XLOOKUP(F1818&amp;"|"&amp;J1818&amp;"|"&amp;O1818,PRICES!$C$2:$C$659&amp;"|"&amp;PRICES!$B$2:$B$659&amp;"|"&amp;PRICES!$D$2:$D$659,PRICES!$E$2:$E$659),"Not Found"))</f>
        <v/>
      </c>
      <c r="Q1818" s="100" t="str">
        <f>IF(N1818=0,"",SUMIFS(PRICES!$G$2:$G$658,PRICES!$B$2:$B$658,'MAIN TABLE-1 AUTOMATED'!J1818,PRICES!$C$2:$C$658,'MAIN TABLE-1 AUTOMATED'!F1818,PRICES!$D$2:$D$658,'MAIN TABLE-1 AUTOMATED'!O1818))</f>
        <v/>
      </c>
      <c r="R1818" s="41" t="str">
        <f>IF(Table1[[#This Row],[QUANTITY]]=0,"",Table1[[#This Row],[UNIT PRICE]]*Table1[[#This Row],[QUANTITY]])</f>
        <v/>
      </c>
      <c r="S1818" s="89"/>
      <c r="T1818" s="38"/>
      <c r="U1818" s="43"/>
      <c r="V1818" s="42" t="str">
        <f>IF(Table1[[#This Row],[DATE]]=0,"",YEAR(E1818))</f>
        <v/>
      </c>
      <c r="W1818" s="40" t="str">
        <f t="shared" si="56"/>
        <v/>
      </c>
      <c r="X1818" s="40" t="str">
        <f t="shared" si="57"/>
        <v/>
      </c>
      <c r="Y1818" s="40" t="str">
        <f>TEXT(Table1[[#This Row],[YEAR]],"0000")&amp;"-"&amp;Table1[[#This Row],[MONTH]]</f>
        <v>-</v>
      </c>
    </row>
    <row r="1819" spans="1:25" ht="15" customHeight="1" x14ac:dyDescent="0.35">
      <c r="A1819" s="24"/>
      <c r="B1819" s="38"/>
      <c r="C1819" s="38"/>
      <c r="D1819" s="38"/>
      <c r="E1819" s="37"/>
      <c r="F1819" s="38"/>
      <c r="G1819" s="198"/>
      <c r="H1819" s="198"/>
      <c r="I1819" s="39"/>
      <c r="J1819" s="38"/>
      <c r="K1819" s="198"/>
      <c r="L1819" s="38"/>
      <c r="M1819" s="38"/>
      <c r="N1819" s="38"/>
      <c r="O1819" s="38"/>
      <c r="P1819" s="40" t="str" cm="1">
        <f t="array" ref="P1819">IF(N1819="","",IFERROR(_xlfn.XLOOKUP(F1819&amp;"|"&amp;J1819&amp;"|"&amp;O1819,PRICES!$C$2:$C$659&amp;"|"&amp;PRICES!$B$2:$B$659&amp;"|"&amp;PRICES!$D$2:$D$659,PRICES!$E$2:$E$659),"Not Found"))</f>
        <v/>
      </c>
      <c r="Q1819" s="100" t="str">
        <f>IF(N1819=0,"",SUMIFS(PRICES!$G$2:$G$658,PRICES!$B$2:$B$658,'MAIN TABLE-1 AUTOMATED'!J1819,PRICES!$C$2:$C$658,'MAIN TABLE-1 AUTOMATED'!F1819,PRICES!$D$2:$D$658,'MAIN TABLE-1 AUTOMATED'!O1819))</f>
        <v/>
      </c>
      <c r="R1819" s="41" t="str">
        <f>IF(Table1[[#This Row],[QUANTITY]]=0,"",Table1[[#This Row],[UNIT PRICE]]*Table1[[#This Row],[QUANTITY]])</f>
        <v/>
      </c>
      <c r="S1819" s="89"/>
      <c r="T1819" s="38"/>
      <c r="U1819" s="43"/>
      <c r="V1819" s="42" t="str">
        <f>IF(Table1[[#This Row],[DATE]]=0,"",YEAR(E1819))</f>
        <v/>
      </c>
      <c r="W1819" s="40" t="str">
        <f t="shared" si="56"/>
        <v/>
      </c>
      <c r="X1819" s="40" t="str">
        <f t="shared" si="57"/>
        <v/>
      </c>
      <c r="Y1819" s="40" t="str">
        <f>TEXT(Table1[[#This Row],[YEAR]],"0000")&amp;"-"&amp;Table1[[#This Row],[MONTH]]</f>
        <v>-</v>
      </c>
    </row>
    <row r="1820" spans="1:25" ht="15" customHeight="1" x14ac:dyDescent="0.35">
      <c r="A1820" s="24"/>
      <c r="B1820" s="38"/>
      <c r="C1820" s="38"/>
      <c r="D1820" s="38"/>
      <c r="E1820" s="37"/>
      <c r="F1820" s="38"/>
      <c r="G1820" s="198"/>
      <c r="H1820" s="198"/>
      <c r="I1820" s="39"/>
      <c r="J1820" s="38"/>
      <c r="K1820" s="198"/>
      <c r="L1820" s="38"/>
      <c r="M1820" s="38"/>
      <c r="N1820" s="38"/>
      <c r="O1820" s="38"/>
      <c r="P1820" s="40" t="str" cm="1">
        <f t="array" ref="P1820">IF(N1820="","",IFERROR(_xlfn.XLOOKUP(F1820&amp;"|"&amp;J1820&amp;"|"&amp;O1820,PRICES!$C$2:$C$659&amp;"|"&amp;PRICES!$B$2:$B$659&amp;"|"&amp;PRICES!$D$2:$D$659,PRICES!$E$2:$E$659),"Not Found"))</f>
        <v/>
      </c>
      <c r="Q1820" s="100" t="str">
        <f>IF(N1820=0,"",SUMIFS(PRICES!$G$2:$G$658,PRICES!$B$2:$B$658,'MAIN TABLE-1 AUTOMATED'!J1820,PRICES!$C$2:$C$658,'MAIN TABLE-1 AUTOMATED'!F1820,PRICES!$D$2:$D$658,'MAIN TABLE-1 AUTOMATED'!O1820))</f>
        <v/>
      </c>
      <c r="R1820" s="41" t="str">
        <f>IF(Table1[[#This Row],[QUANTITY]]=0,"",Table1[[#This Row],[UNIT PRICE]]*Table1[[#This Row],[QUANTITY]])</f>
        <v/>
      </c>
      <c r="S1820" s="89"/>
      <c r="T1820" s="38"/>
      <c r="U1820" s="43"/>
      <c r="V1820" s="42" t="str">
        <f>IF(Table1[[#This Row],[DATE]]=0,"",YEAR(E1820))</f>
        <v/>
      </c>
      <c r="W1820" s="40" t="str">
        <f t="shared" si="56"/>
        <v/>
      </c>
      <c r="X1820" s="40" t="str">
        <f t="shared" si="57"/>
        <v/>
      </c>
      <c r="Y1820" s="40" t="str">
        <f>TEXT(Table1[[#This Row],[YEAR]],"0000")&amp;"-"&amp;Table1[[#This Row],[MONTH]]</f>
        <v>-</v>
      </c>
    </row>
    <row r="1821" spans="1:25" ht="15" customHeight="1" x14ac:dyDescent="0.35">
      <c r="A1821" s="24"/>
      <c r="B1821" s="38"/>
      <c r="C1821" s="38"/>
      <c r="D1821" s="38"/>
      <c r="E1821" s="37"/>
      <c r="F1821" s="38"/>
      <c r="G1821" s="198"/>
      <c r="H1821" s="198"/>
      <c r="I1821" s="39"/>
      <c r="J1821" s="38"/>
      <c r="K1821" s="198"/>
      <c r="L1821" s="38"/>
      <c r="M1821" s="38"/>
      <c r="N1821" s="38"/>
      <c r="O1821" s="38"/>
      <c r="P1821" s="40" t="str" cm="1">
        <f t="array" ref="P1821">IF(N1821="","",IFERROR(_xlfn.XLOOKUP(F1821&amp;"|"&amp;J1821&amp;"|"&amp;O1821,PRICES!$C$2:$C$659&amp;"|"&amp;PRICES!$B$2:$B$659&amp;"|"&amp;PRICES!$D$2:$D$659,PRICES!$E$2:$E$659),"Not Found"))</f>
        <v/>
      </c>
      <c r="Q1821" s="100" t="str">
        <f>IF(N1821=0,"",SUMIFS(PRICES!$G$2:$G$658,PRICES!$B$2:$B$658,'MAIN TABLE-1 AUTOMATED'!J1821,PRICES!$C$2:$C$658,'MAIN TABLE-1 AUTOMATED'!F1821,PRICES!$D$2:$D$658,'MAIN TABLE-1 AUTOMATED'!O1821))</f>
        <v/>
      </c>
      <c r="R1821" s="41" t="str">
        <f>IF(Table1[[#This Row],[QUANTITY]]=0,"",Table1[[#This Row],[UNIT PRICE]]*Table1[[#This Row],[QUANTITY]])</f>
        <v/>
      </c>
      <c r="S1821" s="89"/>
      <c r="T1821" s="38"/>
      <c r="U1821" s="43"/>
      <c r="V1821" s="42" t="str">
        <f>IF(Table1[[#This Row],[DATE]]=0,"",YEAR(E1821))</f>
        <v/>
      </c>
      <c r="W1821" s="40" t="str">
        <f t="shared" si="56"/>
        <v/>
      </c>
      <c r="X1821" s="40" t="str">
        <f t="shared" si="57"/>
        <v/>
      </c>
      <c r="Y1821" s="40" t="str">
        <f>TEXT(Table1[[#This Row],[YEAR]],"0000")&amp;"-"&amp;Table1[[#This Row],[MONTH]]</f>
        <v>-</v>
      </c>
    </row>
    <row r="1822" spans="1:25" ht="15" customHeight="1" x14ac:dyDescent="0.35">
      <c r="A1822" s="24"/>
      <c r="B1822" s="38"/>
      <c r="C1822" s="38"/>
      <c r="D1822" s="38"/>
      <c r="E1822" s="37"/>
      <c r="F1822" s="38"/>
      <c r="G1822" s="198"/>
      <c r="H1822" s="198"/>
      <c r="I1822" s="39"/>
      <c r="J1822" s="38"/>
      <c r="K1822" s="198"/>
      <c r="L1822" s="38"/>
      <c r="M1822" s="38"/>
      <c r="N1822" s="38"/>
      <c r="O1822" s="38"/>
      <c r="P1822" s="40" t="str" cm="1">
        <f t="array" ref="P1822">IF(N1822="","",IFERROR(_xlfn.XLOOKUP(F1822&amp;"|"&amp;J1822&amp;"|"&amp;O1822,PRICES!$C$2:$C$659&amp;"|"&amp;PRICES!$B$2:$B$659&amp;"|"&amp;PRICES!$D$2:$D$659,PRICES!$E$2:$E$659),"Not Found"))</f>
        <v/>
      </c>
      <c r="Q1822" s="100" t="str">
        <f>IF(N1822=0,"",SUMIFS(PRICES!$G$2:$G$658,PRICES!$B$2:$B$658,'MAIN TABLE-1 AUTOMATED'!J1822,PRICES!$C$2:$C$658,'MAIN TABLE-1 AUTOMATED'!F1822,PRICES!$D$2:$D$658,'MAIN TABLE-1 AUTOMATED'!O1822))</f>
        <v/>
      </c>
      <c r="R1822" s="41" t="str">
        <f>IF(Table1[[#This Row],[QUANTITY]]=0,"",Table1[[#This Row],[UNIT PRICE]]*Table1[[#This Row],[QUANTITY]])</f>
        <v/>
      </c>
      <c r="S1822" s="89"/>
      <c r="T1822" s="38"/>
      <c r="U1822" s="43"/>
      <c r="V1822" s="42" t="str">
        <f>IF(Table1[[#This Row],[DATE]]=0,"",YEAR(E1822))</f>
        <v/>
      </c>
      <c r="W1822" s="40" t="str">
        <f t="shared" si="56"/>
        <v/>
      </c>
      <c r="X1822" s="40" t="str">
        <f t="shared" si="57"/>
        <v/>
      </c>
      <c r="Y1822" s="40" t="str">
        <f>TEXT(Table1[[#This Row],[YEAR]],"0000")&amp;"-"&amp;Table1[[#This Row],[MONTH]]</f>
        <v>-</v>
      </c>
    </row>
    <row r="1823" spans="1:25" ht="15" customHeight="1" x14ac:dyDescent="0.35">
      <c r="A1823" s="24"/>
      <c r="B1823" s="38"/>
      <c r="C1823" s="38"/>
      <c r="D1823" s="38"/>
      <c r="E1823" s="37"/>
      <c r="F1823" s="38"/>
      <c r="G1823" s="198"/>
      <c r="H1823" s="198"/>
      <c r="I1823" s="39"/>
      <c r="J1823" s="38"/>
      <c r="K1823" s="198"/>
      <c r="L1823" s="38"/>
      <c r="M1823" s="38"/>
      <c r="N1823" s="38"/>
      <c r="O1823" s="38"/>
      <c r="P1823" s="40" t="str" cm="1">
        <f t="array" ref="P1823">IF(N1823="","",IFERROR(_xlfn.XLOOKUP(F1823&amp;"|"&amp;J1823&amp;"|"&amp;O1823,PRICES!$C$2:$C$659&amp;"|"&amp;PRICES!$B$2:$B$659&amp;"|"&amp;PRICES!$D$2:$D$659,PRICES!$E$2:$E$659),"Not Found"))</f>
        <v/>
      </c>
      <c r="Q1823" s="100" t="str">
        <f>IF(N1823=0,"",SUMIFS(PRICES!$G$2:$G$658,PRICES!$B$2:$B$658,'MAIN TABLE-1 AUTOMATED'!J1823,PRICES!$C$2:$C$658,'MAIN TABLE-1 AUTOMATED'!F1823,PRICES!$D$2:$D$658,'MAIN TABLE-1 AUTOMATED'!O1823))</f>
        <v/>
      </c>
      <c r="R1823" s="41" t="str">
        <f>IF(Table1[[#This Row],[QUANTITY]]=0,"",Table1[[#This Row],[UNIT PRICE]]*Table1[[#This Row],[QUANTITY]])</f>
        <v/>
      </c>
      <c r="S1823" s="89"/>
      <c r="T1823" s="38"/>
      <c r="U1823" s="43"/>
      <c r="V1823" s="42" t="str">
        <f>IF(Table1[[#This Row],[DATE]]=0,"",YEAR(E1823))</f>
        <v/>
      </c>
      <c r="W1823" s="40" t="str">
        <f t="shared" ref="W1823:W1886" si="58">IF(E1823=0,"",MONTH(E1823))</f>
        <v/>
      </c>
      <c r="X1823" s="40" t="str">
        <f t="shared" ref="X1823:X1886" si="59">IF(E1823=0,"",WEEKNUM(E1823))</f>
        <v/>
      </c>
      <c r="Y1823" s="40" t="str">
        <f>TEXT(Table1[[#This Row],[YEAR]],"0000")&amp;"-"&amp;Table1[[#This Row],[MONTH]]</f>
        <v>-</v>
      </c>
    </row>
    <row r="1824" spans="1:25" ht="15" customHeight="1" x14ac:dyDescent="0.35">
      <c r="A1824" s="24"/>
      <c r="B1824" s="38"/>
      <c r="C1824" s="38"/>
      <c r="D1824" s="38"/>
      <c r="E1824" s="37"/>
      <c r="F1824" s="38"/>
      <c r="G1824" s="198"/>
      <c r="H1824" s="198"/>
      <c r="I1824" s="39"/>
      <c r="J1824" s="38"/>
      <c r="K1824" s="198"/>
      <c r="L1824" s="38"/>
      <c r="M1824" s="38"/>
      <c r="N1824" s="38"/>
      <c r="O1824" s="38"/>
      <c r="P1824" s="40" t="str" cm="1">
        <f t="array" ref="P1824">IF(N1824="","",IFERROR(_xlfn.XLOOKUP(F1824&amp;"|"&amp;J1824&amp;"|"&amp;O1824,PRICES!$C$2:$C$659&amp;"|"&amp;PRICES!$B$2:$B$659&amp;"|"&amp;PRICES!$D$2:$D$659,PRICES!$E$2:$E$659),"Not Found"))</f>
        <v/>
      </c>
      <c r="Q1824" s="100" t="str">
        <f>IF(N1824=0,"",SUMIFS(PRICES!$G$2:$G$658,PRICES!$B$2:$B$658,'MAIN TABLE-1 AUTOMATED'!J1824,PRICES!$C$2:$C$658,'MAIN TABLE-1 AUTOMATED'!F1824,PRICES!$D$2:$D$658,'MAIN TABLE-1 AUTOMATED'!O1824))</f>
        <v/>
      </c>
      <c r="R1824" s="41" t="str">
        <f>IF(Table1[[#This Row],[QUANTITY]]=0,"",Table1[[#This Row],[UNIT PRICE]]*Table1[[#This Row],[QUANTITY]])</f>
        <v/>
      </c>
      <c r="S1824" s="89"/>
      <c r="T1824" s="38"/>
      <c r="U1824" s="43"/>
      <c r="V1824" s="42" t="str">
        <f>IF(Table1[[#This Row],[DATE]]=0,"",YEAR(E1824))</f>
        <v/>
      </c>
      <c r="W1824" s="40" t="str">
        <f t="shared" si="58"/>
        <v/>
      </c>
      <c r="X1824" s="40" t="str">
        <f t="shared" si="59"/>
        <v/>
      </c>
      <c r="Y1824" s="40" t="str">
        <f>TEXT(Table1[[#This Row],[YEAR]],"0000")&amp;"-"&amp;Table1[[#This Row],[MONTH]]</f>
        <v>-</v>
      </c>
    </row>
    <row r="1825" spans="1:25" ht="15" customHeight="1" x14ac:dyDescent="0.35">
      <c r="A1825" s="24"/>
      <c r="B1825" s="38"/>
      <c r="C1825" s="38"/>
      <c r="D1825" s="38"/>
      <c r="E1825" s="37"/>
      <c r="F1825" s="38"/>
      <c r="G1825" s="198"/>
      <c r="H1825" s="198"/>
      <c r="I1825" s="39"/>
      <c r="J1825" s="38"/>
      <c r="K1825" s="198"/>
      <c r="L1825" s="38"/>
      <c r="M1825" s="38"/>
      <c r="N1825" s="38"/>
      <c r="O1825" s="38"/>
      <c r="P1825" s="40" t="str" cm="1">
        <f t="array" ref="P1825">IF(N1825="","",IFERROR(_xlfn.XLOOKUP(F1825&amp;"|"&amp;J1825&amp;"|"&amp;O1825,PRICES!$C$2:$C$659&amp;"|"&amp;PRICES!$B$2:$B$659&amp;"|"&amp;PRICES!$D$2:$D$659,PRICES!$E$2:$E$659),"Not Found"))</f>
        <v/>
      </c>
      <c r="Q1825" s="100" t="str">
        <f>IF(N1825=0,"",SUMIFS(PRICES!$G$2:$G$658,PRICES!$B$2:$B$658,'MAIN TABLE-1 AUTOMATED'!J1825,PRICES!$C$2:$C$658,'MAIN TABLE-1 AUTOMATED'!F1825,PRICES!$D$2:$D$658,'MAIN TABLE-1 AUTOMATED'!O1825))</f>
        <v/>
      </c>
      <c r="R1825" s="41" t="str">
        <f>IF(Table1[[#This Row],[QUANTITY]]=0,"",Table1[[#This Row],[UNIT PRICE]]*Table1[[#This Row],[QUANTITY]])</f>
        <v/>
      </c>
      <c r="S1825" s="89"/>
      <c r="T1825" s="38"/>
      <c r="U1825" s="43"/>
      <c r="V1825" s="42" t="str">
        <f>IF(Table1[[#This Row],[DATE]]=0,"",YEAR(E1825))</f>
        <v/>
      </c>
      <c r="W1825" s="40" t="str">
        <f t="shared" si="58"/>
        <v/>
      </c>
      <c r="X1825" s="40" t="str">
        <f t="shared" si="59"/>
        <v/>
      </c>
      <c r="Y1825" s="40" t="str">
        <f>TEXT(Table1[[#This Row],[YEAR]],"0000")&amp;"-"&amp;Table1[[#This Row],[MONTH]]</f>
        <v>-</v>
      </c>
    </row>
    <row r="1826" spans="1:25" ht="15" customHeight="1" x14ac:dyDescent="0.35">
      <c r="A1826" s="24"/>
      <c r="B1826" s="38"/>
      <c r="C1826" s="38"/>
      <c r="D1826" s="38"/>
      <c r="E1826" s="37"/>
      <c r="F1826" s="38"/>
      <c r="G1826" s="198"/>
      <c r="H1826" s="198"/>
      <c r="I1826" s="39"/>
      <c r="J1826" s="38"/>
      <c r="K1826" s="198"/>
      <c r="L1826" s="38"/>
      <c r="M1826" s="38"/>
      <c r="N1826" s="38"/>
      <c r="O1826" s="38"/>
      <c r="P1826" s="40" t="str" cm="1">
        <f t="array" ref="P1826">IF(N1826="","",IFERROR(_xlfn.XLOOKUP(F1826&amp;"|"&amp;J1826&amp;"|"&amp;O1826,PRICES!$C$2:$C$659&amp;"|"&amp;PRICES!$B$2:$B$659&amp;"|"&amp;PRICES!$D$2:$D$659,PRICES!$E$2:$E$659),"Not Found"))</f>
        <v/>
      </c>
      <c r="Q1826" s="100" t="str">
        <f>IF(N1826=0,"",SUMIFS(PRICES!$G$2:$G$658,PRICES!$B$2:$B$658,'MAIN TABLE-1 AUTOMATED'!J1826,PRICES!$C$2:$C$658,'MAIN TABLE-1 AUTOMATED'!F1826,PRICES!$D$2:$D$658,'MAIN TABLE-1 AUTOMATED'!O1826))</f>
        <v/>
      </c>
      <c r="R1826" s="41" t="str">
        <f>IF(Table1[[#This Row],[QUANTITY]]=0,"",Table1[[#This Row],[UNIT PRICE]]*Table1[[#This Row],[QUANTITY]])</f>
        <v/>
      </c>
      <c r="S1826" s="89"/>
      <c r="T1826" s="38"/>
      <c r="U1826" s="43"/>
      <c r="V1826" s="42" t="str">
        <f>IF(Table1[[#This Row],[DATE]]=0,"",YEAR(E1826))</f>
        <v/>
      </c>
      <c r="W1826" s="40" t="str">
        <f t="shared" si="58"/>
        <v/>
      </c>
      <c r="X1826" s="40" t="str">
        <f t="shared" si="59"/>
        <v/>
      </c>
      <c r="Y1826" s="40" t="str">
        <f>TEXT(Table1[[#This Row],[YEAR]],"0000")&amp;"-"&amp;Table1[[#This Row],[MONTH]]</f>
        <v>-</v>
      </c>
    </row>
    <row r="1827" spans="1:25" ht="15" customHeight="1" x14ac:dyDescent="0.35">
      <c r="A1827" s="24"/>
      <c r="B1827" s="38"/>
      <c r="C1827" s="38"/>
      <c r="D1827" s="38"/>
      <c r="E1827" s="37"/>
      <c r="F1827" s="38"/>
      <c r="G1827" s="198"/>
      <c r="H1827" s="198"/>
      <c r="I1827" s="39"/>
      <c r="J1827" s="38"/>
      <c r="K1827" s="198"/>
      <c r="L1827" s="38"/>
      <c r="M1827" s="38"/>
      <c r="N1827" s="38"/>
      <c r="O1827" s="38"/>
      <c r="P1827" s="40" t="str" cm="1">
        <f t="array" ref="P1827">IF(N1827="","",IFERROR(_xlfn.XLOOKUP(F1827&amp;"|"&amp;J1827&amp;"|"&amp;O1827,PRICES!$C$2:$C$659&amp;"|"&amp;PRICES!$B$2:$B$659&amp;"|"&amp;PRICES!$D$2:$D$659,PRICES!$E$2:$E$659),"Not Found"))</f>
        <v/>
      </c>
      <c r="Q1827" s="100" t="str">
        <f>IF(N1827=0,"",SUMIFS(PRICES!$G$2:$G$658,PRICES!$B$2:$B$658,'MAIN TABLE-1 AUTOMATED'!J1827,PRICES!$C$2:$C$658,'MAIN TABLE-1 AUTOMATED'!F1827,PRICES!$D$2:$D$658,'MAIN TABLE-1 AUTOMATED'!O1827))</f>
        <v/>
      </c>
      <c r="R1827" s="41" t="str">
        <f>IF(Table1[[#This Row],[QUANTITY]]=0,"",Table1[[#This Row],[UNIT PRICE]]*Table1[[#This Row],[QUANTITY]])</f>
        <v/>
      </c>
      <c r="S1827" s="89"/>
      <c r="T1827" s="38"/>
      <c r="U1827" s="43"/>
      <c r="V1827" s="42" t="str">
        <f>IF(Table1[[#This Row],[DATE]]=0,"",YEAR(E1827))</f>
        <v/>
      </c>
      <c r="W1827" s="40" t="str">
        <f t="shared" si="58"/>
        <v/>
      </c>
      <c r="X1827" s="40" t="str">
        <f t="shared" si="59"/>
        <v/>
      </c>
      <c r="Y1827" s="40" t="str">
        <f>TEXT(Table1[[#This Row],[YEAR]],"0000")&amp;"-"&amp;Table1[[#This Row],[MONTH]]</f>
        <v>-</v>
      </c>
    </row>
    <row r="1828" spans="1:25" ht="15" customHeight="1" x14ac:dyDescent="0.35">
      <c r="A1828" s="24"/>
      <c r="B1828" s="38"/>
      <c r="C1828" s="38"/>
      <c r="D1828" s="38"/>
      <c r="E1828" s="37"/>
      <c r="F1828" s="38"/>
      <c r="G1828" s="198"/>
      <c r="H1828" s="198"/>
      <c r="I1828" s="39"/>
      <c r="J1828" s="38"/>
      <c r="K1828" s="198"/>
      <c r="L1828" s="38"/>
      <c r="M1828" s="38"/>
      <c r="N1828" s="38"/>
      <c r="O1828" s="38"/>
      <c r="P1828" s="40" t="str" cm="1">
        <f t="array" ref="P1828">IF(N1828="","",IFERROR(_xlfn.XLOOKUP(F1828&amp;"|"&amp;J1828&amp;"|"&amp;O1828,PRICES!$C$2:$C$659&amp;"|"&amp;PRICES!$B$2:$B$659&amp;"|"&amp;PRICES!$D$2:$D$659,PRICES!$E$2:$E$659),"Not Found"))</f>
        <v/>
      </c>
      <c r="Q1828" s="100" t="str">
        <f>IF(N1828=0,"",SUMIFS(PRICES!$G$2:$G$658,PRICES!$B$2:$B$658,'MAIN TABLE-1 AUTOMATED'!J1828,PRICES!$C$2:$C$658,'MAIN TABLE-1 AUTOMATED'!F1828,PRICES!$D$2:$D$658,'MAIN TABLE-1 AUTOMATED'!O1828))</f>
        <v/>
      </c>
      <c r="R1828" s="41" t="str">
        <f>IF(Table1[[#This Row],[QUANTITY]]=0,"",Table1[[#This Row],[UNIT PRICE]]*Table1[[#This Row],[QUANTITY]])</f>
        <v/>
      </c>
      <c r="S1828" s="89"/>
      <c r="T1828" s="38"/>
      <c r="U1828" s="43"/>
      <c r="V1828" s="42" t="str">
        <f>IF(Table1[[#This Row],[DATE]]=0,"",YEAR(E1828))</f>
        <v/>
      </c>
      <c r="W1828" s="40" t="str">
        <f t="shared" si="58"/>
        <v/>
      </c>
      <c r="X1828" s="40" t="str">
        <f t="shared" si="59"/>
        <v/>
      </c>
      <c r="Y1828" s="40" t="str">
        <f>TEXT(Table1[[#This Row],[YEAR]],"0000")&amp;"-"&amp;Table1[[#This Row],[MONTH]]</f>
        <v>-</v>
      </c>
    </row>
    <row r="1829" spans="1:25" ht="15" customHeight="1" x14ac:dyDescent="0.35">
      <c r="A1829" s="24"/>
      <c r="B1829" s="38"/>
      <c r="C1829" s="38"/>
      <c r="D1829" s="38"/>
      <c r="E1829" s="37"/>
      <c r="F1829" s="38"/>
      <c r="G1829" s="198"/>
      <c r="H1829" s="198"/>
      <c r="I1829" s="39"/>
      <c r="J1829" s="38"/>
      <c r="K1829" s="198"/>
      <c r="L1829" s="38"/>
      <c r="M1829" s="38"/>
      <c r="N1829" s="38"/>
      <c r="O1829" s="38"/>
      <c r="P1829" s="40" t="str" cm="1">
        <f t="array" ref="P1829">IF(N1829="","",IFERROR(_xlfn.XLOOKUP(F1829&amp;"|"&amp;J1829&amp;"|"&amp;O1829,PRICES!$C$2:$C$659&amp;"|"&amp;PRICES!$B$2:$B$659&amp;"|"&amp;PRICES!$D$2:$D$659,PRICES!$E$2:$E$659),"Not Found"))</f>
        <v/>
      </c>
      <c r="Q1829" s="100" t="str">
        <f>IF(N1829=0,"",SUMIFS(PRICES!$G$2:$G$658,PRICES!$B$2:$B$658,'MAIN TABLE-1 AUTOMATED'!J1829,PRICES!$C$2:$C$658,'MAIN TABLE-1 AUTOMATED'!F1829,PRICES!$D$2:$D$658,'MAIN TABLE-1 AUTOMATED'!O1829))</f>
        <v/>
      </c>
      <c r="R1829" s="41" t="str">
        <f>IF(Table1[[#This Row],[QUANTITY]]=0,"",Table1[[#This Row],[UNIT PRICE]]*Table1[[#This Row],[QUANTITY]])</f>
        <v/>
      </c>
      <c r="S1829" s="89"/>
      <c r="T1829" s="38"/>
      <c r="U1829" s="43"/>
      <c r="V1829" s="42" t="str">
        <f>IF(Table1[[#This Row],[DATE]]=0,"",YEAR(E1829))</f>
        <v/>
      </c>
      <c r="W1829" s="40" t="str">
        <f t="shared" si="58"/>
        <v/>
      </c>
      <c r="X1829" s="40" t="str">
        <f t="shared" si="59"/>
        <v/>
      </c>
      <c r="Y1829" s="40" t="str">
        <f>TEXT(Table1[[#This Row],[YEAR]],"0000")&amp;"-"&amp;Table1[[#This Row],[MONTH]]</f>
        <v>-</v>
      </c>
    </row>
    <row r="1830" spans="1:25" ht="15" customHeight="1" x14ac:dyDescent="0.35">
      <c r="A1830" s="24"/>
      <c r="B1830" s="38"/>
      <c r="C1830" s="38"/>
      <c r="D1830" s="38"/>
      <c r="E1830" s="37"/>
      <c r="F1830" s="38"/>
      <c r="G1830" s="198"/>
      <c r="H1830" s="198"/>
      <c r="I1830" s="39"/>
      <c r="J1830" s="38"/>
      <c r="K1830" s="198"/>
      <c r="L1830" s="38"/>
      <c r="M1830" s="38"/>
      <c r="N1830" s="38"/>
      <c r="O1830" s="38"/>
      <c r="P1830" s="40" t="str" cm="1">
        <f t="array" ref="P1830">IF(N1830="","",IFERROR(_xlfn.XLOOKUP(F1830&amp;"|"&amp;J1830&amp;"|"&amp;O1830,PRICES!$C$2:$C$659&amp;"|"&amp;PRICES!$B$2:$B$659&amp;"|"&amp;PRICES!$D$2:$D$659,PRICES!$E$2:$E$659),"Not Found"))</f>
        <v/>
      </c>
      <c r="Q1830" s="100" t="str">
        <f>IF(N1830=0,"",SUMIFS(PRICES!$G$2:$G$658,PRICES!$B$2:$B$658,'MAIN TABLE-1 AUTOMATED'!J1830,PRICES!$C$2:$C$658,'MAIN TABLE-1 AUTOMATED'!F1830,PRICES!$D$2:$D$658,'MAIN TABLE-1 AUTOMATED'!O1830))</f>
        <v/>
      </c>
      <c r="R1830" s="41" t="str">
        <f>IF(Table1[[#This Row],[QUANTITY]]=0,"",Table1[[#This Row],[UNIT PRICE]]*Table1[[#This Row],[QUANTITY]])</f>
        <v/>
      </c>
      <c r="S1830" s="89"/>
      <c r="T1830" s="38"/>
      <c r="U1830" s="43"/>
      <c r="V1830" s="42" t="str">
        <f>IF(Table1[[#This Row],[DATE]]=0,"",YEAR(E1830))</f>
        <v/>
      </c>
      <c r="W1830" s="40" t="str">
        <f t="shared" si="58"/>
        <v/>
      </c>
      <c r="X1830" s="40" t="str">
        <f t="shared" si="59"/>
        <v/>
      </c>
      <c r="Y1830" s="40" t="str">
        <f>TEXT(Table1[[#This Row],[YEAR]],"0000")&amp;"-"&amp;Table1[[#This Row],[MONTH]]</f>
        <v>-</v>
      </c>
    </row>
    <row r="1831" spans="1:25" ht="15" customHeight="1" x14ac:dyDescent="0.35">
      <c r="A1831" s="24"/>
      <c r="B1831" s="38"/>
      <c r="C1831" s="38"/>
      <c r="D1831" s="38"/>
      <c r="E1831" s="37"/>
      <c r="F1831" s="38"/>
      <c r="G1831" s="198"/>
      <c r="H1831" s="198"/>
      <c r="I1831" s="39"/>
      <c r="J1831" s="38"/>
      <c r="K1831" s="198"/>
      <c r="L1831" s="38"/>
      <c r="M1831" s="38"/>
      <c r="N1831" s="38"/>
      <c r="O1831" s="38"/>
      <c r="P1831" s="40" t="str" cm="1">
        <f t="array" ref="P1831">IF(N1831="","",IFERROR(_xlfn.XLOOKUP(F1831&amp;"|"&amp;J1831&amp;"|"&amp;O1831,PRICES!$C$2:$C$659&amp;"|"&amp;PRICES!$B$2:$B$659&amp;"|"&amp;PRICES!$D$2:$D$659,PRICES!$E$2:$E$659),"Not Found"))</f>
        <v/>
      </c>
      <c r="Q1831" s="100" t="str">
        <f>IF(N1831=0,"",SUMIFS(PRICES!$G$2:$G$658,PRICES!$B$2:$B$658,'MAIN TABLE-1 AUTOMATED'!J1831,PRICES!$C$2:$C$658,'MAIN TABLE-1 AUTOMATED'!F1831,PRICES!$D$2:$D$658,'MAIN TABLE-1 AUTOMATED'!O1831))</f>
        <v/>
      </c>
      <c r="R1831" s="41" t="str">
        <f>IF(Table1[[#This Row],[QUANTITY]]=0,"",Table1[[#This Row],[UNIT PRICE]]*Table1[[#This Row],[QUANTITY]])</f>
        <v/>
      </c>
      <c r="S1831" s="89"/>
      <c r="T1831" s="38"/>
      <c r="U1831" s="43"/>
      <c r="V1831" s="42" t="str">
        <f>IF(Table1[[#This Row],[DATE]]=0,"",YEAR(E1831))</f>
        <v/>
      </c>
      <c r="W1831" s="40" t="str">
        <f t="shared" si="58"/>
        <v/>
      </c>
      <c r="X1831" s="40" t="str">
        <f t="shared" si="59"/>
        <v/>
      </c>
      <c r="Y1831" s="40" t="str">
        <f>TEXT(Table1[[#This Row],[YEAR]],"0000")&amp;"-"&amp;Table1[[#This Row],[MONTH]]</f>
        <v>-</v>
      </c>
    </row>
    <row r="1832" spans="1:25" ht="15" customHeight="1" x14ac:dyDescent="0.35">
      <c r="A1832" s="24"/>
      <c r="B1832" s="38"/>
      <c r="C1832" s="38"/>
      <c r="D1832" s="38"/>
      <c r="E1832" s="37"/>
      <c r="F1832" s="38"/>
      <c r="G1832" s="198"/>
      <c r="H1832" s="198"/>
      <c r="I1832" s="39"/>
      <c r="J1832" s="38"/>
      <c r="K1832" s="198"/>
      <c r="L1832" s="38"/>
      <c r="M1832" s="38"/>
      <c r="N1832" s="38"/>
      <c r="O1832" s="38"/>
      <c r="P1832" s="40" t="str" cm="1">
        <f t="array" ref="P1832">IF(N1832="","",IFERROR(_xlfn.XLOOKUP(F1832&amp;"|"&amp;J1832&amp;"|"&amp;O1832,PRICES!$C$2:$C$659&amp;"|"&amp;PRICES!$B$2:$B$659&amp;"|"&amp;PRICES!$D$2:$D$659,PRICES!$E$2:$E$659),"Not Found"))</f>
        <v/>
      </c>
      <c r="Q1832" s="100" t="str">
        <f>IF(N1832=0,"",SUMIFS(PRICES!$G$2:$G$658,PRICES!$B$2:$B$658,'MAIN TABLE-1 AUTOMATED'!J1832,PRICES!$C$2:$C$658,'MAIN TABLE-1 AUTOMATED'!F1832,PRICES!$D$2:$D$658,'MAIN TABLE-1 AUTOMATED'!O1832))</f>
        <v/>
      </c>
      <c r="R1832" s="41" t="str">
        <f>IF(Table1[[#This Row],[QUANTITY]]=0,"",Table1[[#This Row],[UNIT PRICE]]*Table1[[#This Row],[QUANTITY]])</f>
        <v/>
      </c>
      <c r="S1832" s="89"/>
      <c r="T1832" s="38"/>
      <c r="U1832" s="43"/>
      <c r="V1832" s="42" t="str">
        <f>IF(Table1[[#This Row],[DATE]]=0,"",YEAR(E1832))</f>
        <v/>
      </c>
      <c r="W1832" s="40" t="str">
        <f t="shared" si="58"/>
        <v/>
      </c>
      <c r="X1832" s="40" t="str">
        <f t="shared" si="59"/>
        <v/>
      </c>
      <c r="Y1832" s="40" t="str">
        <f>TEXT(Table1[[#This Row],[YEAR]],"0000")&amp;"-"&amp;Table1[[#This Row],[MONTH]]</f>
        <v>-</v>
      </c>
    </row>
    <row r="1833" spans="1:25" ht="15" customHeight="1" x14ac:dyDescent="0.35">
      <c r="A1833" s="24"/>
      <c r="B1833" s="38"/>
      <c r="C1833" s="38"/>
      <c r="D1833" s="38"/>
      <c r="E1833" s="37"/>
      <c r="F1833" s="38"/>
      <c r="G1833" s="198"/>
      <c r="H1833" s="198"/>
      <c r="I1833" s="39"/>
      <c r="J1833" s="38"/>
      <c r="K1833" s="198"/>
      <c r="L1833" s="38"/>
      <c r="M1833" s="38"/>
      <c r="N1833" s="38"/>
      <c r="O1833" s="38"/>
      <c r="P1833" s="40" t="str" cm="1">
        <f t="array" ref="P1833">IF(N1833="","",IFERROR(_xlfn.XLOOKUP(F1833&amp;"|"&amp;J1833&amp;"|"&amp;O1833,PRICES!$C$2:$C$659&amp;"|"&amp;PRICES!$B$2:$B$659&amp;"|"&amp;PRICES!$D$2:$D$659,PRICES!$E$2:$E$659),"Not Found"))</f>
        <v/>
      </c>
      <c r="Q1833" s="100" t="str">
        <f>IF(N1833=0,"",SUMIFS(PRICES!$G$2:$G$658,PRICES!$B$2:$B$658,'MAIN TABLE-1 AUTOMATED'!J1833,PRICES!$C$2:$C$658,'MAIN TABLE-1 AUTOMATED'!F1833,PRICES!$D$2:$D$658,'MAIN TABLE-1 AUTOMATED'!O1833))</f>
        <v/>
      </c>
      <c r="R1833" s="41" t="str">
        <f>IF(Table1[[#This Row],[QUANTITY]]=0,"",Table1[[#This Row],[UNIT PRICE]]*Table1[[#This Row],[QUANTITY]])</f>
        <v/>
      </c>
      <c r="S1833" s="89"/>
      <c r="T1833" s="38"/>
      <c r="U1833" s="43"/>
      <c r="V1833" s="42" t="str">
        <f>IF(Table1[[#This Row],[DATE]]=0,"",YEAR(E1833))</f>
        <v/>
      </c>
      <c r="W1833" s="40" t="str">
        <f t="shared" si="58"/>
        <v/>
      </c>
      <c r="X1833" s="40" t="str">
        <f t="shared" si="59"/>
        <v/>
      </c>
      <c r="Y1833" s="40" t="str">
        <f>TEXT(Table1[[#This Row],[YEAR]],"0000")&amp;"-"&amp;Table1[[#This Row],[MONTH]]</f>
        <v>-</v>
      </c>
    </row>
    <row r="1834" spans="1:25" ht="15" customHeight="1" x14ac:dyDescent="0.35">
      <c r="A1834" s="24"/>
      <c r="B1834" s="38"/>
      <c r="C1834" s="38"/>
      <c r="D1834" s="38"/>
      <c r="E1834" s="37"/>
      <c r="F1834" s="38"/>
      <c r="G1834" s="198"/>
      <c r="H1834" s="198"/>
      <c r="I1834" s="39"/>
      <c r="J1834" s="38"/>
      <c r="K1834" s="198"/>
      <c r="L1834" s="38"/>
      <c r="M1834" s="38"/>
      <c r="N1834" s="38"/>
      <c r="O1834" s="38"/>
      <c r="P1834" s="40" t="str" cm="1">
        <f t="array" ref="P1834">IF(N1834="","",IFERROR(_xlfn.XLOOKUP(F1834&amp;"|"&amp;J1834&amp;"|"&amp;O1834,PRICES!$C$2:$C$659&amp;"|"&amp;PRICES!$B$2:$B$659&amp;"|"&amp;PRICES!$D$2:$D$659,PRICES!$E$2:$E$659),"Not Found"))</f>
        <v/>
      </c>
      <c r="Q1834" s="100" t="str">
        <f>IF(N1834=0,"",SUMIFS(PRICES!$G$2:$G$658,PRICES!$B$2:$B$658,'MAIN TABLE-1 AUTOMATED'!J1834,PRICES!$C$2:$C$658,'MAIN TABLE-1 AUTOMATED'!F1834,PRICES!$D$2:$D$658,'MAIN TABLE-1 AUTOMATED'!O1834))</f>
        <v/>
      </c>
      <c r="R1834" s="41" t="str">
        <f>IF(Table1[[#This Row],[QUANTITY]]=0,"",Table1[[#This Row],[UNIT PRICE]]*Table1[[#This Row],[QUANTITY]])</f>
        <v/>
      </c>
      <c r="S1834" s="89"/>
      <c r="T1834" s="38"/>
      <c r="U1834" s="43"/>
      <c r="V1834" s="42" t="str">
        <f>IF(Table1[[#This Row],[DATE]]=0,"",YEAR(E1834))</f>
        <v/>
      </c>
      <c r="W1834" s="40" t="str">
        <f t="shared" si="58"/>
        <v/>
      </c>
      <c r="X1834" s="40" t="str">
        <f t="shared" si="59"/>
        <v/>
      </c>
      <c r="Y1834" s="40" t="str">
        <f>TEXT(Table1[[#This Row],[YEAR]],"0000")&amp;"-"&amp;Table1[[#This Row],[MONTH]]</f>
        <v>-</v>
      </c>
    </row>
    <row r="1835" spans="1:25" ht="15" customHeight="1" x14ac:dyDescent="0.35">
      <c r="A1835" s="24"/>
      <c r="B1835" s="38"/>
      <c r="C1835" s="38"/>
      <c r="D1835" s="38"/>
      <c r="E1835" s="37"/>
      <c r="F1835" s="38"/>
      <c r="G1835" s="198"/>
      <c r="H1835" s="198"/>
      <c r="I1835" s="39"/>
      <c r="J1835" s="38"/>
      <c r="K1835" s="198"/>
      <c r="L1835" s="38"/>
      <c r="M1835" s="38"/>
      <c r="N1835" s="38"/>
      <c r="O1835" s="38"/>
      <c r="P1835" s="40" t="str" cm="1">
        <f t="array" ref="P1835">IF(N1835="","",IFERROR(_xlfn.XLOOKUP(F1835&amp;"|"&amp;J1835&amp;"|"&amp;O1835,PRICES!$C$2:$C$659&amp;"|"&amp;PRICES!$B$2:$B$659&amp;"|"&amp;PRICES!$D$2:$D$659,PRICES!$E$2:$E$659),"Not Found"))</f>
        <v/>
      </c>
      <c r="Q1835" s="100" t="str">
        <f>IF(N1835=0,"",SUMIFS(PRICES!$G$2:$G$658,PRICES!$B$2:$B$658,'MAIN TABLE-1 AUTOMATED'!J1835,PRICES!$C$2:$C$658,'MAIN TABLE-1 AUTOMATED'!F1835,PRICES!$D$2:$D$658,'MAIN TABLE-1 AUTOMATED'!O1835))</f>
        <v/>
      </c>
      <c r="R1835" s="41" t="str">
        <f>IF(Table1[[#This Row],[QUANTITY]]=0,"",Table1[[#This Row],[UNIT PRICE]]*Table1[[#This Row],[QUANTITY]])</f>
        <v/>
      </c>
      <c r="S1835" s="89"/>
      <c r="T1835" s="38"/>
      <c r="U1835" s="43"/>
      <c r="V1835" s="42" t="str">
        <f>IF(Table1[[#This Row],[DATE]]=0,"",YEAR(E1835))</f>
        <v/>
      </c>
      <c r="W1835" s="40" t="str">
        <f t="shared" si="58"/>
        <v/>
      </c>
      <c r="X1835" s="40" t="str">
        <f t="shared" si="59"/>
        <v/>
      </c>
      <c r="Y1835" s="40" t="str">
        <f>TEXT(Table1[[#This Row],[YEAR]],"0000")&amp;"-"&amp;Table1[[#This Row],[MONTH]]</f>
        <v>-</v>
      </c>
    </row>
    <row r="1836" spans="1:25" ht="15" customHeight="1" x14ac:dyDescent="0.35">
      <c r="A1836" s="24"/>
      <c r="B1836" s="38"/>
      <c r="C1836" s="38"/>
      <c r="D1836" s="38"/>
      <c r="E1836" s="37"/>
      <c r="F1836" s="38"/>
      <c r="G1836" s="198"/>
      <c r="H1836" s="198"/>
      <c r="I1836" s="39"/>
      <c r="J1836" s="38"/>
      <c r="K1836" s="198"/>
      <c r="L1836" s="38"/>
      <c r="M1836" s="38"/>
      <c r="N1836" s="38"/>
      <c r="O1836" s="38"/>
      <c r="P1836" s="40" t="str" cm="1">
        <f t="array" ref="P1836">IF(N1836="","",IFERROR(_xlfn.XLOOKUP(F1836&amp;"|"&amp;J1836&amp;"|"&amp;O1836,PRICES!$C$2:$C$659&amp;"|"&amp;PRICES!$B$2:$B$659&amp;"|"&amp;PRICES!$D$2:$D$659,PRICES!$E$2:$E$659),"Not Found"))</f>
        <v/>
      </c>
      <c r="Q1836" s="100" t="str">
        <f>IF(N1836=0,"",SUMIFS(PRICES!$G$2:$G$658,PRICES!$B$2:$B$658,'MAIN TABLE-1 AUTOMATED'!J1836,PRICES!$C$2:$C$658,'MAIN TABLE-1 AUTOMATED'!F1836,PRICES!$D$2:$D$658,'MAIN TABLE-1 AUTOMATED'!O1836))</f>
        <v/>
      </c>
      <c r="R1836" s="41" t="str">
        <f>IF(Table1[[#This Row],[QUANTITY]]=0,"",Table1[[#This Row],[UNIT PRICE]]*Table1[[#This Row],[QUANTITY]])</f>
        <v/>
      </c>
      <c r="S1836" s="89"/>
      <c r="T1836" s="38"/>
      <c r="U1836" s="43"/>
      <c r="V1836" s="42" t="str">
        <f>IF(Table1[[#This Row],[DATE]]=0,"",YEAR(E1836))</f>
        <v/>
      </c>
      <c r="W1836" s="40" t="str">
        <f t="shared" si="58"/>
        <v/>
      </c>
      <c r="X1836" s="40" t="str">
        <f t="shared" si="59"/>
        <v/>
      </c>
      <c r="Y1836" s="40" t="str">
        <f>TEXT(Table1[[#This Row],[YEAR]],"0000")&amp;"-"&amp;Table1[[#This Row],[MONTH]]</f>
        <v>-</v>
      </c>
    </row>
    <row r="1837" spans="1:25" ht="15" customHeight="1" x14ac:dyDescent="0.35">
      <c r="A1837" s="24"/>
      <c r="B1837" s="38"/>
      <c r="C1837" s="38"/>
      <c r="D1837" s="38"/>
      <c r="E1837" s="37"/>
      <c r="F1837" s="38"/>
      <c r="G1837" s="198"/>
      <c r="H1837" s="198"/>
      <c r="I1837" s="39"/>
      <c r="J1837" s="38"/>
      <c r="K1837" s="198"/>
      <c r="L1837" s="38"/>
      <c r="M1837" s="38"/>
      <c r="N1837" s="38"/>
      <c r="O1837" s="38"/>
      <c r="P1837" s="40" t="str" cm="1">
        <f t="array" ref="P1837">IF(N1837="","",IFERROR(_xlfn.XLOOKUP(F1837&amp;"|"&amp;J1837&amp;"|"&amp;O1837,PRICES!$C$2:$C$659&amp;"|"&amp;PRICES!$B$2:$B$659&amp;"|"&amp;PRICES!$D$2:$D$659,PRICES!$E$2:$E$659),"Not Found"))</f>
        <v/>
      </c>
      <c r="Q1837" s="100" t="str">
        <f>IF(N1837=0,"",SUMIFS(PRICES!$G$2:$G$658,PRICES!$B$2:$B$658,'MAIN TABLE-1 AUTOMATED'!J1837,PRICES!$C$2:$C$658,'MAIN TABLE-1 AUTOMATED'!F1837,PRICES!$D$2:$D$658,'MAIN TABLE-1 AUTOMATED'!O1837))</f>
        <v/>
      </c>
      <c r="R1837" s="41" t="str">
        <f>IF(Table1[[#This Row],[QUANTITY]]=0,"",Table1[[#This Row],[UNIT PRICE]]*Table1[[#This Row],[QUANTITY]])</f>
        <v/>
      </c>
      <c r="S1837" s="89"/>
      <c r="T1837" s="38"/>
      <c r="U1837" s="43"/>
      <c r="V1837" s="42" t="str">
        <f>IF(Table1[[#This Row],[DATE]]=0,"",YEAR(E1837))</f>
        <v/>
      </c>
      <c r="W1837" s="40" t="str">
        <f t="shared" si="58"/>
        <v/>
      </c>
      <c r="X1837" s="40" t="str">
        <f t="shared" si="59"/>
        <v/>
      </c>
      <c r="Y1837" s="40" t="str">
        <f>TEXT(Table1[[#This Row],[YEAR]],"0000")&amp;"-"&amp;Table1[[#This Row],[MONTH]]</f>
        <v>-</v>
      </c>
    </row>
    <row r="1838" spans="1:25" ht="15" customHeight="1" x14ac:dyDescent="0.35">
      <c r="A1838" s="24"/>
      <c r="B1838" s="38"/>
      <c r="C1838" s="38"/>
      <c r="D1838" s="38"/>
      <c r="E1838" s="37"/>
      <c r="F1838" s="38"/>
      <c r="G1838" s="198"/>
      <c r="H1838" s="198"/>
      <c r="I1838" s="39"/>
      <c r="J1838" s="38"/>
      <c r="K1838" s="198"/>
      <c r="L1838" s="38"/>
      <c r="M1838" s="38"/>
      <c r="N1838" s="38"/>
      <c r="O1838" s="38"/>
      <c r="P1838" s="40" t="str" cm="1">
        <f t="array" ref="P1838">IF(N1838="","",IFERROR(_xlfn.XLOOKUP(F1838&amp;"|"&amp;J1838&amp;"|"&amp;O1838,PRICES!$C$2:$C$659&amp;"|"&amp;PRICES!$B$2:$B$659&amp;"|"&amp;PRICES!$D$2:$D$659,PRICES!$E$2:$E$659),"Not Found"))</f>
        <v/>
      </c>
      <c r="Q1838" s="100" t="str">
        <f>IF(N1838=0,"",SUMIFS(PRICES!$G$2:$G$658,PRICES!$B$2:$B$658,'MAIN TABLE-1 AUTOMATED'!J1838,PRICES!$C$2:$C$658,'MAIN TABLE-1 AUTOMATED'!F1838,PRICES!$D$2:$D$658,'MAIN TABLE-1 AUTOMATED'!O1838))</f>
        <v/>
      </c>
      <c r="R1838" s="41" t="str">
        <f>IF(Table1[[#This Row],[QUANTITY]]=0,"",Table1[[#This Row],[UNIT PRICE]]*Table1[[#This Row],[QUANTITY]])</f>
        <v/>
      </c>
      <c r="S1838" s="89"/>
      <c r="T1838" s="38"/>
      <c r="U1838" s="43"/>
      <c r="V1838" s="42" t="str">
        <f>IF(Table1[[#This Row],[DATE]]=0,"",YEAR(E1838))</f>
        <v/>
      </c>
      <c r="W1838" s="40" t="str">
        <f t="shared" si="58"/>
        <v/>
      </c>
      <c r="X1838" s="40" t="str">
        <f t="shared" si="59"/>
        <v/>
      </c>
      <c r="Y1838" s="40" t="str">
        <f>TEXT(Table1[[#This Row],[YEAR]],"0000")&amp;"-"&amp;Table1[[#This Row],[MONTH]]</f>
        <v>-</v>
      </c>
    </row>
    <row r="1839" spans="1:25" ht="15" customHeight="1" x14ac:dyDescent="0.35">
      <c r="A1839" s="24"/>
      <c r="B1839" s="38"/>
      <c r="C1839" s="38"/>
      <c r="D1839" s="38"/>
      <c r="E1839" s="37"/>
      <c r="F1839" s="38"/>
      <c r="G1839" s="198"/>
      <c r="H1839" s="198"/>
      <c r="I1839" s="39"/>
      <c r="J1839" s="38"/>
      <c r="K1839" s="198"/>
      <c r="L1839" s="38"/>
      <c r="M1839" s="38"/>
      <c r="N1839" s="38"/>
      <c r="O1839" s="38"/>
      <c r="P1839" s="40" t="str" cm="1">
        <f t="array" ref="P1839">IF(N1839="","",IFERROR(_xlfn.XLOOKUP(F1839&amp;"|"&amp;J1839&amp;"|"&amp;O1839,PRICES!$C$2:$C$659&amp;"|"&amp;PRICES!$B$2:$B$659&amp;"|"&amp;PRICES!$D$2:$D$659,PRICES!$E$2:$E$659),"Not Found"))</f>
        <v/>
      </c>
      <c r="Q1839" s="100" t="str">
        <f>IF(N1839=0,"",SUMIFS(PRICES!$G$2:$G$658,PRICES!$B$2:$B$658,'MAIN TABLE-1 AUTOMATED'!J1839,PRICES!$C$2:$C$658,'MAIN TABLE-1 AUTOMATED'!F1839,PRICES!$D$2:$D$658,'MAIN TABLE-1 AUTOMATED'!O1839))</f>
        <v/>
      </c>
      <c r="R1839" s="41" t="str">
        <f>IF(Table1[[#This Row],[QUANTITY]]=0,"",Table1[[#This Row],[UNIT PRICE]]*Table1[[#This Row],[QUANTITY]])</f>
        <v/>
      </c>
      <c r="S1839" s="89"/>
      <c r="T1839" s="38"/>
      <c r="U1839" s="43"/>
      <c r="V1839" s="42" t="str">
        <f>IF(Table1[[#This Row],[DATE]]=0,"",YEAR(E1839))</f>
        <v/>
      </c>
      <c r="W1839" s="40" t="str">
        <f t="shared" si="58"/>
        <v/>
      </c>
      <c r="X1839" s="40" t="str">
        <f t="shared" si="59"/>
        <v/>
      </c>
      <c r="Y1839" s="40" t="str">
        <f>TEXT(Table1[[#This Row],[YEAR]],"0000")&amp;"-"&amp;Table1[[#This Row],[MONTH]]</f>
        <v>-</v>
      </c>
    </row>
    <row r="1840" spans="1:25" ht="15" customHeight="1" x14ac:dyDescent="0.35">
      <c r="A1840" s="24"/>
      <c r="B1840" s="38"/>
      <c r="C1840" s="38"/>
      <c r="D1840" s="38"/>
      <c r="E1840" s="37"/>
      <c r="F1840" s="38"/>
      <c r="G1840" s="198"/>
      <c r="H1840" s="198"/>
      <c r="I1840" s="39"/>
      <c r="J1840" s="38"/>
      <c r="K1840" s="198"/>
      <c r="L1840" s="38"/>
      <c r="M1840" s="38"/>
      <c r="N1840" s="38"/>
      <c r="O1840" s="38"/>
      <c r="P1840" s="40" t="str" cm="1">
        <f t="array" ref="P1840">IF(N1840="","",IFERROR(_xlfn.XLOOKUP(F1840&amp;"|"&amp;J1840&amp;"|"&amp;O1840,PRICES!$C$2:$C$659&amp;"|"&amp;PRICES!$B$2:$B$659&amp;"|"&amp;PRICES!$D$2:$D$659,PRICES!$E$2:$E$659),"Not Found"))</f>
        <v/>
      </c>
      <c r="Q1840" s="100" t="str">
        <f>IF(N1840=0,"",SUMIFS(PRICES!$G$2:$G$658,PRICES!$B$2:$B$658,'MAIN TABLE-1 AUTOMATED'!J1840,PRICES!$C$2:$C$658,'MAIN TABLE-1 AUTOMATED'!F1840,PRICES!$D$2:$D$658,'MAIN TABLE-1 AUTOMATED'!O1840))</f>
        <v/>
      </c>
      <c r="R1840" s="41" t="str">
        <f>IF(Table1[[#This Row],[QUANTITY]]=0,"",Table1[[#This Row],[UNIT PRICE]]*Table1[[#This Row],[QUANTITY]])</f>
        <v/>
      </c>
      <c r="S1840" s="89"/>
      <c r="T1840" s="38"/>
      <c r="U1840" s="43"/>
      <c r="V1840" s="42" t="str">
        <f>IF(Table1[[#This Row],[DATE]]=0,"",YEAR(E1840))</f>
        <v/>
      </c>
      <c r="W1840" s="40" t="str">
        <f t="shared" si="58"/>
        <v/>
      </c>
      <c r="X1840" s="40" t="str">
        <f t="shared" si="59"/>
        <v/>
      </c>
      <c r="Y1840" s="40" t="str">
        <f>TEXT(Table1[[#This Row],[YEAR]],"0000")&amp;"-"&amp;Table1[[#This Row],[MONTH]]</f>
        <v>-</v>
      </c>
    </row>
    <row r="1841" spans="1:25" ht="15" customHeight="1" x14ac:dyDescent="0.35">
      <c r="A1841" s="24"/>
      <c r="B1841" s="38"/>
      <c r="C1841" s="38"/>
      <c r="D1841" s="38"/>
      <c r="E1841" s="37"/>
      <c r="F1841" s="38"/>
      <c r="G1841" s="198"/>
      <c r="H1841" s="198"/>
      <c r="I1841" s="39"/>
      <c r="J1841" s="38"/>
      <c r="K1841" s="198"/>
      <c r="L1841" s="38"/>
      <c r="M1841" s="38"/>
      <c r="N1841" s="38"/>
      <c r="O1841" s="38"/>
      <c r="P1841" s="40" t="str" cm="1">
        <f t="array" ref="P1841">IF(N1841="","",IFERROR(_xlfn.XLOOKUP(F1841&amp;"|"&amp;J1841&amp;"|"&amp;O1841,PRICES!$C$2:$C$659&amp;"|"&amp;PRICES!$B$2:$B$659&amp;"|"&amp;PRICES!$D$2:$D$659,PRICES!$E$2:$E$659),"Not Found"))</f>
        <v/>
      </c>
      <c r="Q1841" s="100" t="str">
        <f>IF(N1841=0,"",SUMIFS(PRICES!$G$2:$G$658,PRICES!$B$2:$B$658,'MAIN TABLE-1 AUTOMATED'!J1841,PRICES!$C$2:$C$658,'MAIN TABLE-1 AUTOMATED'!F1841,PRICES!$D$2:$D$658,'MAIN TABLE-1 AUTOMATED'!O1841))</f>
        <v/>
      </c>
      <c r="R1841" s="41" t="str">
        <f>IF(Table1[[#This Row],[QUANTITY]]=0,"",Table1[[#This Row],[UNIT PRICE]]*Table1[[#This Row],[QUANTITY]])</f>
        <v/>
      </c>
      <c r="S1841" s="89"/>
      <c r="T1841" s="38"/>
      <c r="U1841" s="43"/>
      <c r="V1841" s="42" t="str">
        <f>IF(Table1[[#This Row],[DATE]]=0,"",YEAR(E1841))</f>
        <v/>
      </c>
      <c r="W1841" s="40" t="str">
        <f t="shared" si="58"/>
        <v/>
      </c>
      <c r="X1841" s="40" t="str">
        <f t="shared" si="59"/>
        <v/>
      </c>
      <c r="Y1841" s="40" t="str">
        <f>TEXT(Table1[[#This Row],[YEAR]],"0000")&amp;"-"&amp;Table1[[#This Row],[MONTH]]</f>
        <v>-</v>
      </c>
    </row>
    <row r="1842" spans="1:25" ht="15" customHeight="1" x14ac:dyDescent="0.35">
      <c r="A1842" s="24"/>
      <c r="B1842" s="38"/>
      <c r="C1842" s="38"/>
      <c r="D1842" s="38"/>
      <c r="E1842" s="37"/>
      <c r="F1842" s="38"/>
      <c r="G1842" s="198"/>
      <c r="H1842" s="198"/>
      <c r="I1842" s="39"/>
      <c r="J1842" s="38"/>
      <c r="K1842" s="198"/>
      <c r="L1842" s="38"/>
      <c r="M1842" s="38"/>
      <c r="N1842" s="38"/>
      <c r="O1842" s="38"/>
      <c r="P1842" s="40" t="str" cm="1">
        <f t="array" ref="P1842">IF(N1842="","",IFERROR(_xlfn.XLOOKUP(F1842&amp;"|"&amp;J1842&amp;"|"&amp;O1842,PRICES!$C$2:$C$659&amp;"|"&amp;PRICES!$B$2:$B$659&amp;"|"&amp;PRICES!$D$2:$D$659,PRICES!$E$2:$E$659),"Not Found"))</f>
        <v/>
      </c>
      <c r="Q1842" s="100" t="str">
        <f>IF(N1842=0,"",SUMIFS(PRICES!$G$2:$G$658,PRICES!$B$2:$B$658,'MAIN TABLE-1 AUTOMATED'!J1842,PRICES!$C$2:$C$658,'MAIN TABLE-1 AUTOMATED'!F1842,PRICES!$D$2:$D$658,'MAIN TABLE-1 AUTOMATED'!O1842))</f>
        <v/>
      </c>
      <c r="R1842" s="41" t="str">
        <f>IF(Table1[[#This Row],[QUANTITY]]=0,"",Table1[[#This Row],[UNIT PRICE]]*Table1[[#This Row],[QUANTITY]])</f>
        <v/>
      </c>
      <c r="S1842" s="89"/>
      <c r="T1842" s="38"/>
      <c r="U1842" s="43"/>
      <c r="V1842" s="42" t="str">
        <f>IF(Table1[[#This Row],[DATE]]=0,"",YEAR(E1842))</f>
        <v/>
      </c>
      <c r="W1842" s="40" t="str">
        <f t="shared" si="58"/>
        <v/>
      </c>
      <c r="X1842" s="40" t="str">
        <f t="shared" si="59"/>
        <v/>
      </c>
      <c r="Y1842" s="40" t="str">
        <f>TEXT(Table1[[#This Row],[YEAR]],"0000")&amp;"-"&amp;Table1[[#This Row],[MONTH]]</f>
        <v>-</v>
      </c>
    </row>
    <row r="1843" spans="1:25" ht="15" customHeight="1" x14ac:dyDescent="0.35">
      <c r="A1843" s="24"/>
      <c r="B1843" s="38"/>
      <c r="C1843" s="38"/>
      <c r="D1843" s="38"/>
      <c r="E1843" s="37"/>
      <c r="F1843" s="38"/>
      <c r="G1843" s="198"/>
      <c r="H1843" s="198"/>
      <c r="I1843" s="39"/>
      <c r="J1843" s="38"/>
      <c r="K1843" s="198"/>
      <c r="L1843" s="38"/>
      <c r="M1843" s="38"/>
      <c r="N1843" s="38"/>
      <c r="O1843" s="38"/>
      <c r="P1843" s="40" t="str" cm="1">
        <f t="array" ref="P1843">IF(N1843="","",IFERROR(_xlfn.XLOOKUP(F1843&amp;"|"&amp;J1843&amp;"|"&amp;O1843,PRICES!$C$2:$C$659&amp;"|"&amp;PRICES!$B$2:$B$659&amp;"|"&amp;PRICES!$D$2:$D$659,PRICES!$E$2:$E$659),"Not Found"))</f>
        <v/>
      </c>
      <c r="Q1843" s="100" t="str">
        <f>IF(N1843=0,"",SUMIFS(PRICES!$G$2:$G$658,PRICES!$B$2:$B$658,'MAIN TABLE-1 AUTOMATED'!J1843,PRICES!$C$2:$C$658,'MAIN TABLE-1 AUTOMATED'!F1843,PRICES!$D$2:$D$658,'MAIN TABLE-1 AUTOMATED'!O1843))</f>
        <v/>
      </c>
      <c r="R1843" s="41" t="str">
        <f>IF(Table1[[#This Row],[QUANTITY]]=0,"",Table1[[#This Row],[UNIT PRICE]]*Table1[[#This Row],[QUANTITY]])</f>
        <v/>
      </c>
      <c r="S1843" s="89"/>
      <c r="T1843" s="38"/>
      <c r="U1843" s="43"/>
      <c r="V1843" s="42" t="str">
        <f>IF(Table1[[#This Row],[DATE]]=0,"",YEAR(E1843))</f>
        <v/>
      </c>
      <c r="W1843" s="40" t="str">
        <f t="shared" si="58"/>
        <v/>
      </c>
      <c r="X1843" s="40" t="str">
        <f t="shared" si="59"/>
        <v/>
      </c>
      <c r="Y1843" s="40" t="str">
        <f>TEXT(Table1[[#This Row],[YEAR]],"0000")&amp;"-"&amp;Table1[[#This Row],[MONTH]]</f>
        <v>-</v>
      </c>
    </row>
    <row r="1844" spans="1:25" ht="15" customHeight="1" x14ac:dyDescent="0.35">
      <c r="A1844" s="24"/>
      <c r="B1844" s="38"/>
      <c r="C1844" s="38"/>
      <c r="D1844" s="38"/>
      <c r="E1844" s="37"/>
      <c r="F1844" s="38"/>
      <c r="G1844" s="198"/>
      <c r="H1844" s="198"/>
      <c r="I1844" s="39"/>
      <c r="J1844" s="38"/>
      <c r="K1844" s="198"/>
      <c r="L1844" s="38"/>
      <c r="M1844" s="38"/>
      <c r="N1844" s="38"/>
      <c r="O1844" s="38"/>
      <c r="P1844" s="40" t="str" cm="1">
        <f t="array" ref="P1844">IF(N1844="","",IFERROR(_xlfn.XLOOKUP(F1844&amp;"|"&amp;J1844&amp;"|"&amp;O1844,PRICES!$C$2:$C$659&amp;"|"&amp;PRICES!$B$2:$B$659&amp;"|"&amp;PRICES!$D$2:$D$659,PRICES!$E$2:$E$659),"Not Found"))</f>
        <v/>
      </c>
      <c r="Q1844" s="100" t="str">
        <f>IF(N1844=0,"",SUMIFS(PRICES!$G$2:$G$658,PRICES!$B$2:$B$658,'MAIN TABLE-1 AUTOMATED'!J1844,PRICES!$C$2:$C$658,'MAIN TABLE-1 AUTOMATED'!F1844,PRICES!$D$2:$D$658,'MAIN TABLE-1 AUTOMATED'!O1844))</f>
        <v/>
      </c>
      <c r="R1844" s="41" t="str">
        <f>IF(Table1[[#This Row],[QUANTITY]]=0,"",Table1[[#This Row],[UNIT PRICE]]*Table1[[#This Row],[QUANTITY]])</f>
        <v/>
      </c>
      <c r="S1844" s="89"/>
      <c r="T1844" s="38"/>
      <c r="U1844" s="43"/>
      <c r="V1844" s="42" t="str">
        <f>IF(Table1[[#This Row],[DATE]]=0,"",YEAR(E1844))</f>
        <v/>
      </c>
      <c r="W1844" s="40" t="str">
        <f t="shared" si="58"/>
        <v/>
      </c>
      <c r="X1844" s="40" t="str">
        <f t="shared" si="59"/>
        <v/>
      </c>
      <c r="Y1844" s="40" t="str">
        <f>TEXT(Table1[[#This Row],[YEAR]],"0000")&amp;"-"&amp;Table1[[#This Row],[MONTH]]</f>
        <v>-</v>
      </c>
    </row>
    <row r="1845" spans="1:25" ht="15" customHeight="1" x14ac:dyDescent="0.35">
      <c r="A1845" s="24"/>
      <c r="B1845" s="38"/>
      <c r="C1845" s="38"/>
      <c r="D1845" s="38"/>
      <c r="E1845" s="37"/>
      <c r="F1845" s="38"/>
      <c r="G1845" s="198"/>
      <c r="H1845" s="198"/>
      <c r="I1845" s="39"/>
      <c r="J1845" s="38"/>
      <c r="K1845" s="198"/>
      <c r="L1845" s="38"/>
      <c r="M1845" s="38"/>
      <c r="N1845" s="38"/>
      <c r="O1845" s="38"/>
      <c r="P1845" s="40" t="str" cm="1">
        <f t="array" ref="P1845">IF(N1845="","",IFERROR(_xlfn.XLOOKUP(F1845&amp;"|"&amp;J1845&amp;"|"&amp;O1845,PRICES!$C$2:$C$659&amp;"|"&amp;PRICES!$B$2:$B$659&amp;"|"&amp;PRICES!$D$2:$D$659,PRICES!$E$2:$E$659),"Not Found"))</f>
        <v/>
      </c>
      <c r="Q1845" s="100" t="str">
        <f>IF(N1845=0,"",SUMIFS(PRICES!$G$2:$G$658,PRICES!$B$2:$B$658,'MAIN TABLE-1 AUTOMATED'!J1845,PRICES!$C$2:$C$658,'MAIN TABLE-1 AUTOMATED'!F1845,PRICES!$D$2:$D$658,'MAIN TABLE-1 AUTOMATED'!O1845))</f>
        <v/>
      </c>
      <c r="R1845" s="41" t="str">
        <f>IF(Table1[[#This Row],[QUANTITY]]=0,"",Table1[[#This Row],[UNIT PRICE]]*Table1[[#This Row],[QUANTITY]])</f>
        <v/>
      </c>
      <c r="S1845" s="89"/>
      <c r="T1845" s="38"/>
      <c r="U1845" s="43"/>
      <c r="V1845" s="42" t="str">
        <f>IF(Table1[[#This Row],[DATE]]=0,"",YEAR(E1845))</f>
        <v/>
      </c>
      <c r="W1845" s="40" t="str">
        <f t="shared" si="58"/>
        <v/>
      </c>
      <c r="X1845" s="40" t="str">
        <f t="shared" si="59"/>
        <v/>
      </c>
      <c r="Y1845" s="40" t="str">
        <f>TEXT(Table1[[#This Row],[YEAR]],"0000")&amp;"-"&amp;Table1[[#This Row],[MONTH]]</f>
        <v>-</v>
      </c>
    </row>
    <row r="1846" spans="1:25" ht="15" customHeight="1" x14ac:dyDescent="0.35">
      <c r="A1846" s="24"/>
      <c r="B1846" s="38"/>
      <c r="C1846" s="38"/>
      <c r="D1846" s="38"/>
      <c r="E1846" s="37"/>
      <c r="F1846" s="38"/>
      <c r="G1846" s="198"/>
      <c r="H1846" s="198"/>
      <c r="I1846" s="39"/>
      <c r="J1846" s="38"/>
      <c r="K1846" s="198"/>
      <c r="L1846" s="38"/>
      <c r="M1846" s="38"/>
      <c r="N1846" s="38"/>
      <c r="O1846" s="38"/>
      <c r="P1846" s="40" t="str" cm="1">
        <f t="array" ref="P1846">IF(N1846="","",IFERROR(_xlfn.XLOOKUP(F1846&amp;"|"&amp;J1846&amp;"|"&amp;O1846,PRICES!$C$2:$C$659&amp;"|"&amp;PRICES!$B$2:$B$659&amp;"|"&amp;PRICES!$D$2:$D$659,PRICES!$E$2:$E$659),"Not Found"))</f>
        <v/>
      </c>
      <c r="Q1846" s="100" t="str">
        <f>IF(N1846=0,"",SUMIFS(PRICES!$G$2:$G$658,PRICES!$B$2:$B$658,'MAIN TABLE-1 AUTOMATED'!J1846,PRICES!$C$2:$C$658,'MAIN TABLE-1 AUTOMATED'!F1846,PRICES!$D$2:$D$658,'MAIN TABLE-1 AUTOMATED'!O1846))</f>
        <v/>
      </c>
      <c r="R1846" s="41" t="str">
        <f>IF(Table1[[#This Row],[QUANTITY]]=0,"",Table1[[#This Row],[UNIT PRICE]]*Table1[[#This Row],[QUANTITY]])</f>
        <v/>
      </c>
      <c r="S1846" s="89"/>
      <c r="T1846" s="38"/>
      <c r="U1846" s="43"/>
      <c r="V1846" s="42" t="str">
        <f>IF(Table1[[#This Row],[DATE]]=0,"",YEAR(E1846))</f>
        <v/>
      </c>
      <c r="W1846" s="40" t="str">
        <f t="shared" si="58"/>
        <v/>
      </c>
      <c r="X1846" s="40" t="str">
        <f t="shared" si="59"/>
        <v/>
      </c>
      <c r="Y1846" s="40" t="str">
        <f>TEXT(Table1[[#This Row],[YEAR]],"0000")&amp;"-"&amp;Table1[[#This Row],[MONTH]]</f>
        <v>-</v>
      </c>
    </row>
    <row r="1847" spans="1:25" ht="15" customHeight="1" x14ac:dyDescent="0.35">
      <c r="A1847" s="24"/>
      <c r="B1847" s="38"/>
      <c r="C1847" s="38"/>
      <c r="D1847" s="38"/>
      <c r="E1847" s="37"/>
      <c r="F1847" s="38"/>
      <c r="G1847" s="198"/>
      <c r="H1847" s="198"/>
      <c r="I1847" s="39"/>
      <c r="J1847" s="38"/>
      <c r="K1847" s="198"/>
      <c r="L1847" s="38"/>
      <c r="M1847" s="38"/>
      <c r="N1847" s="38"/>
      <c r="O1847" s="38"/>
      <c r="P1847" s="40" t="str" cm="1">
        <f t="array" ref="P1847">IF(N1847="","",IFERROR(_xlfn.XLOOKUP(F1847&amp;"|"&amp;J1847&amp;"|"&amp;O1847,PRICES!$C$2:$C$659&amp;"|"&amp;PRICES!$B$2:$B$659&amp;"|"&amp;PRICES!$D$2:$D$659,PRICES!$E$2:$E$659),"Not Found"))</f>
        <v/>
      </c>
      <c r="Q1847" s="100" t="str">
        <f>IF(N1847=0,"",SUMIFS(PRICES!$G$2:$G$658,PRICES!$B$2:$B$658,'MAIN TABLE-1 AUTOMATED'!J1847,PRICES!$C$2:$C$658,'MAIN TABLE-1 AUTOMATED'!F1847,PRICES!$D$2:$D$658,'MAIN TABLE-1 AUTOMATED'!O1847))</f>
        <v/>
      </c>
      <c r="R1847" s="41" t="str">
        <f>IF(Table1[[#This Row],[QUANTITY]]=0,"",Table1[[#This Row],[UNIT PRICE]]*Table1[[#This Row],[QUANTITY]])</f>
        <v/>
      </c>
      <c r="S1847" s="89"/>
      <c r="T1847" s="38"/>
      <c r="U1847" s="43"/>
      <c r="V1847" s="42" t="str">
        <f>IF(Table1[[#This Row],[DATE]]=0,"",YEAR(E1847))</f>
        <v/>
      </c>
      <c r="W1847" s="40" t="str">
        <f t="shared" si="58"/>
        <v/>
      </c>
      <c r="X1847" s="40" t="str">
        <f t="shared" si="59"/>
        <v/>
      </c>
      <c r="Y1847" s="40" t="str">
        <f>TEXT(Table1[[#This Row],[YEAR]],"0000")&amp;"-"&amp;Table1[[#This Row],[MONTH]]</f>
        <v>-</v>
      </c>
    </row>
    <row r="1848" spans="1:25" ht="15" customHeight="1" x14ac:dyDescent="0.35">
      <c r="A1848" s="24"/>
      <c r="B1848" s="38"/>
      <c r="C1848" s="38"/>
      <c r="D1848" s="38"/>
      <c r="E1848" s="37"/>
      <c r="F1848" s="38"/>
      <c r="G1848" s="233"/>
      <c r="H1848" s="233"/>
      <c r="I1848" s="39"/>
      <c r="J1848" s="38"/>
      <c r="K1848" s="198"/>
      <c r="L1848" s="38"/>
      <c r="M1848" s="38"/>
      <c r="N1848" s="38"/>
      <c r="O1848" s="38"/>
      <c r="P1848" s="40" t="str" cm="1">
        <f t="array" ref="P1848">IF(N1848="","",IFERROR(_xlfn.XLOOKUP(F1848&amp;"|"&amp;J1848&amp;"|"&amp;O1848,PRICES!$C$2:$C$659&amp;"|"&amp;PRICES!$B$2:$B$659&amp;"|"&amp;PRICES!$D$2:$D$659,PRICES!$E$2:$E$659),"Not Found"))</f>
        <v/>
      </c>
      <c r="Q1848" s="100" t="str">
        <f>IF(N1848=0,"",SUMIFS(PRICES!$G$2:$G$658,PRICES!$B$2:$B$658,'MAIN TABLE-1 AUTOMATED'!J1848,PRICES!$C$2:$C$658,'MAIN TABLE-1 AUTOMATED'!F1848,PRICES!$D$2:$D$658,'MAIN TABLE-1 AUTOMATED'!O1848))</f>
        <v/>
      </c>
      <c r="R1848" s="41" t="str">
        <f>IF(Table1[[#This Row],[QUANTITY]]=0,"",Table1[[#This Row],[UNIT PRICE]]*Table1[[#This Row],[QUANTITY]])</f>
        <v/>
      </c>
      <c r="S1848" s="89"/>
      <c r="T1848" s="38"/>
      <c r="U1848" s="43"/>
      <c r="V1848" s="42" t="str">
        <f>IF(Table1[[#This Row],[DATE]]=0,"",YEAR(E1848))</f>
        <v/>
      </c>
      <c r="W1848" s="40" t="str">
        <f t="shared" si="58"/>
        <v/>
      </c>
      <c r="X1848" s="40" t="str">
        <f t="shared" si="59"/>
        <v/>
      </c>
      <c r="Y1848" s="40" t="str">
        <f>TEXT(Table1[[#This Row],[YEAR]],"0000")&amp;"-"&amp;Table1[[#This Row],[MONTH]]</f>
        <v>-</v>
      </c>
    </row>
    <row r="1849" spans="1:25" ht="15" customHeight="1" x14ac:dyDescent="0.35">
      <c r="A1849" s="24"/>
      <c r="B1849" s="38"/>
      <c r="C1849" s="38"/>
      <c r="D1849" s="38"/>
      <c r="E1849" s="37"/>
      <c r="F1849" s="38"/>
      <c r="G1849" s="198"/>
      <c r="H1849" s="198"/>
      <c r="I1849" s="39"/>
      <c r="J1849" s="38"/>
      <c r="K1849" s="198"/>
      <c r="L1849" s="38"/>
      <c r="M1849" s="38"/>
      <c r="N1849" s="38"/>
      <c r="O1849" s="38"/>
      <c r="P1849" s="40" t="str" cm="1">
        <f t="array" ref="P1849">IF(N1849="","",IFERROR(_xlfn.XLOOKUP(F1849&amp;"|"&amp;J1849&amp;"|"&amp;O1849,PRICES!$C$2:$C$659&amp;"|"&amp;PRICES!$B$2:$B$659&amp;"|"&amp;PRICES!$D$2:$D$659,PRICES!$E$2:$E$659),"Not Found"))</f>
        <v/>
      </c>
      <c r="Q1849" s="100" t="str">
        <f>IF(N1849=0,"",SUMIFS(PRICES!$G$2:$G$658,PRICES!$B$2:$B$658,'MAIN TABLE-1 AUTOMATED'!J1849,PRICES!$C$2:$C$658,'MAIN TABLE-1 AUTOMATED'!F1849,PRICES!$D$2:$D$658,'MAIN TABLE-1 AUTOMATED'!O1849))</f>
        <v/>
      </c>
      <c r="R1849" s="41" t="str">
        <f>IF(Table1[[#This Row],[QUANTITY]]=0,"",Table1[[#This Row],[UNIT PRICE]]*Table1[[#This Row],[QUANTITY]])</f>
        <v/>
      </c>
      <c r="S1849" s="89"/>
      <c r="T1849" s="38"/>
      <c r="U1849" s="43"/>
      <c r="V1849" s="42" t="str">
        <f>IF(Table1[[#This Row],[DATE]]=0,"",YEAR(E1849))</f>
        <v/>
      </c>
      <c r="W1849" s="40" t="str">
        <f t="shared" si="58"/>
        <v/>
      </c>
      <c r="X1849" s="40" t="str">
        <f t="shared" si="59"/>
        <v/>
      </c>
      <c r="Y1849" s="40" t="str">
        <f>TEXT(Table1[[#This Row],[YEAR]],"0000")&amp;"-"&amp;Table1[[#This Row],[MONTH]]</f>
        <v>-</v>
      </c>
    </row>
    <row r="1850" spans="1:25" ht="15" customHeight="1" x14ac:dyDescent="0.35">
      <c r="A1850" s="24"/>
      <c r="B1850" s="38"/>
      <c r="C1850" s="38"/>
      <c r="D1850" s="38"/>
      <c r="E1850" s="37"/>
      <c r="F1850" s="38"/>
      <c r="G1850" s="198"/>
      <c r="H1850" s="198"/>
      <c r="I1850" s="39"/>
      <c r="J1850" s="38"/>
      <c r="K1850" s="198"/>
      <c r="L1850" s="38"/>
      <c r="M1850" s="38"/>
      <c r="N1850" s="38"/>
      <c r="O1850" s="38"/>
      <c r="P1850" s="40" t="str" cm="1">
        <f t="array" ref="P1850">IF(N1850="","",IFERROR(_xlfn.XLOOKUP(F1850&amp;"|"&amp;J1850&amp;"|"&amp;O1850,PRICES!$C$2:$C$659&amp;"|"&amp;PRICES!$B$2:$B$659&amp;"|"&amp;PRICES!$D$2:$D$659,PRICES!$E$2:$E$659),"Not Found"))</f>
        <v/>
      </c>
      <c r="Q1850" s="100" t="str">
        <f>IF(N1850=0,"",SUMIFS(PRICES!$G$2:$G$658,PRICES!$B$2:$B$658,'MAIN TABLE-1 AUTOMATED'!J1850,PRICES!$C$2:$C$658,'MAIN TABLE-1 AUTOMATED'!F1850,PRICES!$D$2:$D$658,'MAIN TABLE-1 AUTOMATED'!O1850))</f>
        <v/>
      </c>
      <c r="R1850" s="41" t="str">
        <f>IF(Table1[[#This Row],[QUANTITY]]=0,"",Table1[[#This Row],[UNIT PRICE]]*Table1[[#This Row],[QUANTITY]])</f>
        <v/>
      </c>
      <c r="S1850" s="89"/>
      <c r="T1850" s="38"/>
      <c r="U1850" s="43"/>
      <c r="V1850" s="42" t="str">
        <f>IF(Table1[[#This Row],[DATE]]=0,"",YEAR(E1850))</f>
        <v/>
      </c>
      <c r="W1850" s="40" t="str">
        <f t="shared" si="58"/>
        <v/>
      </c>
      <c r="X1850" s="40" t="str">
        <f t="shared" si="59"/>
        <v/>
      </c>
      <c r="Y1850" s="40" t="str">
        <f>TEXT(Table1[[#This Row],[YEAR]],"0000")&amp;"-"&amp;Table1[[#This Row],[MONTH]]</f>
        <v>-</v>
      </c>
    </row>
    <row r="1851" spans="1:25" ht="15" customHeight="1" x14ac:dyDescent="0.35">
      <c r="A1851" s="24"/>
      <c r="B1851" s="38"/>
      <c r="C1851" s="38"/>
      <c r="D1851" s="38"/>
      <c r="E1851" s="37"/>
      <c r="F1851" s="38"/>
      <c r="G1851" s="198"/>
      <c r="H1851" s="198"/>
      <c r="I1851" s="39"/>
      <c r="J1851" s="38"/>
      <c r="K1851" s="198"/>
      <c r="L1851" s="38"/>
      <c r="M1851" s="38"/>
      <c r="N1851" s="38"/>
      <c r="O1851" s="38"/>
      <c r="P1851" s="40" t="str" cm="1">
        <f t="array" ref="P1851">IF(N1851="","",IFERROR(_xlfn.XLOOKUP(F1851&amp;"|"&amp;J1851&amp;"|"&amp;O1851,PRICES!$C$2:$C$659&amp;"|"&amp;PRICES!$B$2:$B$659&amp;"|"&amp;PRICES!$D$2:$D$659,PRICES!$E$2:$E$659),"Not Found"))</f>
        <v/>
      </c>
      <c r="Q1851" s="100" t="str">
        <f>IF(N1851=0,"",SUMIFS(PRICES!$G$2:$G$658,PRICES!$B$2:$B$658,'MAIN TABLE-1 AUTOMATED'!J1851,PRICES!$C$2:$C$658,'MAIN TABLE-1 AUTOMATED'!F1851,PRICES!$D$2:$D$658,'MAIN TABLE-1 AUTOMATED'!O1851))</f>
        <v/>
      </c>
      <c r="R1851" s="41" t="str">
        <f>IF(Table1[[#This Row],[QUANTITY]]=0,"",Table1[[#This Row],[UNIT PRICE]]*Table1[[#This Row],[QUANTITY]])</f>
        <v/>
      </c>
      <c r="S1851" s="89"/>
      <c r="T1851" s="38"/>
      <c r="U1851" s="43"/>
      <c r="V1851" s="42" t="str">
        <f>IF(Table1[[#This Row],[DATE]]=0,"",YEAR(E1851))</f>
        <v/>
      </c>
      <c r="W1851" s="40" t="str">
        <f t="shared" si="58"/>
        <v/>
      </c>
      <c r="X1851" s="40" t="str">
        <f t="shared" si="59"/>
        <v/>
      </c>
      <c r="Y1851" s="40" t="str">
        <f>TEXT(Table1[[#This Row],[YEAR]],"0000")&amp;"-"&amp;Table1[[#This Row],[MONTH]]</f>
        <v>-</v>
      </c>
    </row>
    <row r="1852" spans="1:25" ht="15" customHeight="1" x14ac:dyDescent="0.35">
      <c r="A1852" s="24"/>
      <c r="B1852" s="38"/>
      <c r="C1852" s="38"/>
      <c r="D1852" s="38"/>
      <c r="E1852" s="37"/>
      <c r="F1852" s="38"/>
      <c r="G1852" s="198"/>
      <c r="H1852" s="198"/>
      <c r="I1852" s="39"/>
      <c r="J1852" s="38"/>
      <c r="K1852" s="198"/>
      <c r="L1852" s="38"/>
      <c r="M1852" s="38"/>
      <c r="N1852" s="38"/>
      <c r="O1852" s="38"/>
      <c r="P1852" s="40" t="str" cm="1">
        <f t="array" ref="P1852">IF(N1852="","",IFERROR(_xlfn.XLOOKUP(F1852&amp;"|"&amp;J1852&amp;"|"&amp;O1852,PRICES!$C$2:$C$659&amp;"|"&amp;PRICES!$B$2:$B$659&amp;"|"&amp;PRICES!$D$2:$D$659,PRICES!$E$2:$E$659),"Not Found"))</f>
        <v/>
      </c>
      <c r="Q1852" s="100" t="str">
        <f>IF(N1852=0,"",SUMIFS(PRICES!$G$2:$G$658,PRICES!$B$2:$B$658,'MAIN TABLE-1 AUTOMATED'!J1852,PRICES!$C$2:$C$658,'MAIN TABLE-1 AUTOMATED'!F1852,PRICES!$D$2:$D$658,'MAIN TABLE-1 AUTOMATED'!O1852))</f>
        <v/>
      </c>
      <c r="R1852" s="41" t="str">
        <f>IF(Table1[[#This Row],[QUANTITY]]=0,"",Table1[[#This Row],[UNIT PRICE]]*Table1[[#This Row],[QUANTITY]])</f>
        <v/>
      </c>
      <c r="S1852" s="89"/>
      <c r="T1852" s="38"/>
      <c r="U1852" s="43"/>
      <c r="V1852" s="42" t="str">
        <f>IF(Table1[[#This Row],[DATE]]=0,"",YEAR(E1852))</f>
        <v/>
      </c>
      <c r="W1852" s="40" t="str">
        <f t="shared" si="58"/>
        <v/>
      </c>
      <c r="X1852" s="40" t="str">
        <f t="shared" si="59"/>
        <v/>
      </c>
      <c r="Y1852" s="40" t="str">
        <f>TEXT(Table1[[#This Row],[YEAR]],"0000")&amp;"-"&amp;Table1[[#This Row],[MONTH]]</f>
        <v>-</v>
      </c>
    </row>
    <row r="1853" spans="1:25" ht="15" customHeight="1" x14ac:dyDescent="0.35">
      <c r="A1853" s="24"/>
      <c r="B1853" s="38"/>
      <c r="C1853" s="38"/>
      <c r="D1853" s="38"/>
      <c r="E1853" s="37"/>
      <c r="F1853" s="38"/>
      <c r="G1853" s="198"/>
      <c r="H1853" s="198"/>
      <c r="I1853" s="39"/>
      <c r="J1853" s="38"/>
      <c r="K1853" s="198"/>
      <c r="L1853" s="38"/>
      <c r="M1853" s="38"/>
      <c r="N1853" s="38"/>
      <c r="O1853" s="38"/>
      <c r="P1853" s="40" t="str" cm="1">
        <f t="array" ref="P1853">IF(N1853="","",IFERROR(_xlfn.XLOOKUP(F1853&amp;"|"&amp;J1853&amp;"|"&amp;O1853,PRICES!$C$2:$C$659&amp;"|"&amp;PRICES!$B$2:$B$659&amp;"|"&amp;PRICES!$D$2:$D$659,PRICES!$E$2:$E$659),"Not Found"))</f>
        <v/>
      </c>
      <c r="Q1853" s="100" t="str">
        <f>IF(N1853=0,"",SUMIFS(PRICES!$G$2:$G$658,PRICES!$B$2:$B$658,'MAIN TABLE-1 AUTOMATED'!J1853,PRICES!$C$2:$C$658,'MAIN TABLE-1 AUTOMATED'!F1853,PRICES!$D$2:$D$658,'MAIN TABLE-1 AUTOMATED'!O1853))</f>
        <v/>
      </c>
      <c r="R1853" s="41" t="str">
        <f>IF(Table1[[#This Row],[QUANTITY]]=0,"",Table1[[#This Row],[UNIT PRICE]]*Table1[[#This Row],[QUANTITY]])</f>
        <v/>
      </c>
      <c r="S1853" s="89"/>
      <c r="T1853" s="38"/>
      <c r="U1853" s="43"/>
      <c r="V1853" s="42" t="str">
        <f>IF(Table1[[#This Row],[DATE]]=0,"",YEAR(E1853))</f>
        <v/>
      </c>
      <c r="W1853" s="40" t="str">
        <f t="shared" si="58"/>
        <v/>
      </c>
      <c r="X1853" s="40" t="str">
        <f t="shared" si="59"/>
        <v/>
      </c>
      <c r="Y1853" s="40" t="str">
        <f>TEXT(Table1[[#This Row],[YEAR]],"0000")&amp;"-"&amp;Table1[[#This Row],[MONTH]]</f>
        <v>-</v>
      </c>
    </row>
    <row r="1854" spans="1:25" ht="15" customHeight="1" x14ac:dyDescent="0.35">
      <c r="A1854" s="24"/>
      <c r="B1854" s="38"/>
      <c r="C1854" s="38"/>
      <c r="D1854" s="38"/>
      <c r="E1854" s="37"/>
      <c r="F1854" s="38"/>
      <c r="G1854" s="198"/>
      <c r="H1854" s="198"/>
      <c r="I1854" s="39"/>
      <c r="J1854" s="38"/>
      <c r="K1854" s="198"/>
      <c r="L1854" s="38"/>
      <c r="M1854" s="38"/>
      <c r="N1854" s="38"/>
      <c r="O1854" s="38"/>
      <c r="P1854" s="40" t="str" cm="1">
        <f t="array" ref="P1854">IF(N1854="","",IFERROR(_xlfn.XLOOKUP(F1854&amp;"|"&amp;J1854&amp;"|"&amp;O1854,PRICES!$C$2:$C$659&amp;"|"&amp;PRICES!$B$2:$B$659&amp;"|"&amp;PRICES!$D$2:$D$659,PRICES!$E$2:$E$659),"Not Found"))</f>
        <v/>
      </c>
      <c r="Q1854" s="100" t="str">
        <f>IF(N1854=0,"",SUMIFS(PRICES!$G$2:$G$658,PRICES!$B$2:$B$658,'MAIN TABLE-1 AUTOMATED'!J1854,PRICES!$C$2:$C$658,'MAIN TABLE-1 AUTOMATED'!F1854,PRICES!$D$2:$D$658,'MAIN TABLE-1 AUTOMATED'!O1854))</f>
        <v/>
      </c>
      <c r="R1854" s="41" t="str">
        <f>IF(Table1[[#This Row],[QUANTITY]]=0,"",Table1[[#This Row],[UNIT PRICE]]*Table1[[#This Row],[QUANTITY]])</f>
        <v/>
      </c>
      <c r="S1854" s="89"/>
      <c r="T1854" s="38"/>
      <c r="U1854" s="43"/>
      <c r="V1854" s="42" t="str">
        <f>IF(Table1[[#This Row],[DATE]]=0,"",YEAR(E1854))</f>
        <v/>
      </c>
      <c r="W1854" s="40" t="str">
        <f t="shared" si="58"/>
        <v/>
      </c>
      <c r="X1854" s="40" t="str">
        <f t="shared" si="59"/>
        <v/>
      </c>
      <c r="Y1854" s="40" t="str">
        <f>TEXT(Table1[[#This Row],[YEAR]],"0000")&amp;"-"&amp;Table1[[#This Row],[MONTH]]</f>
        <v>-</v>
      </c>
    </row>
    <row r="1855" spans="1:25" ht="15" customHeight="1" x14ac:dyDescent="0.35">
      <c r="A1855" s="24"/>
      <c r="B1855" s="38"/>
      <c r="C1855" s="38"/>
      <c r="D1855" s="38"/>
      <c r="E1855" s="37"/>
      <c r="F1855" s="38"/>
      <c r="G1855" s="198"/>
      <c r="H1855" s="198"/>
      <c r="I1855" s="39"/>
      <c r="J1855" s="38"/>
      <c r="K1855" s="198"/>
      <c r="L1855" s="38"/>
      <c r="M1855" s="38"/>
      <c r="N1855" s="38"/>
      <c r="O1855" s="38"/>
      <c r="P1855" s="40" t="str" cm="1">
        <f t="array" ref="P1855">IF(N1855="","",IFERROR(_xlfn.XLOOKUP(F1855&amp;"|"&amp;J1855&amp;"|"&amp;O1855,PRICES!$C$2:$C$659&amp;"|"&amp;PRICES!$B$2:$B$659&amp;"|"&amp;PRICES!$D$2:$D$659,PRICES!$E$2:$E$659),"Not Found"))</f>
        <v/>
      </c>
      <c r="Q1855" s="100" t="str">
        <f>IF(N1855=0,"",SUMIFS(PRICES!$G$2:$G$658,PRICES!$B$2:$B$658,'MAIN TABLE-1 AUTOMATED'!J1855,PRICES!$C$2:$C$658,'MAIN TABLE-1 AUTOMATED'!F1855,PRICES!$D$2:$D$658,'MAIN TABLE-1 AUTOMATED'!O1855))</f>
        <v/>
      </c>
      <c r="R1855" s="41" t="str">
        <f>IF(Table1[[#This Row],[QUANTITY]]=0,"",Table1[[#This Row],[UNIT PRICE]]*Table1[[#This Row],[QUANTITY]])</f>
        <v/>
      </c>
      <c r="S1855" s="89"/>
      <c r="T1855" s="38"/>
      <c r="U1855" s="43"/>
      <c r="V1855" s="42" t="str">
        <f>IF(Table1[[#This Row],[DATE]]=0,"",YEAR(E1855))</f>
        <v/>
      </c>
      <c r="W1855" s="40" t="str">
        <f t="shared" si="58"/>
        <v/>
      </c>
      <c r="X1855" s="40" t="str">
        <f t="shared" si="59"/>
        <v/>
      </c>
      <c r="Y1855" s="40" t="str">
        <f>TEXT(Table1[[#This Row],[YEAR]],"0000")&amp;"-"&amp;Table1[[#This Row],[MONTH]]</f>
        <v>-</v>
      </c>
    </row>
    <row r="1856" spans="1:25" ht="15" customHeight="1" x14ac:dyDescent="0.35">
      <c r="A1856" s="24"/>
      <c r="B1856" s="38"/>
      <c r="C1856" s="38"/>
      <c r="D1856" s="38"/>
      <c r="E1856" s="37"/>
      <c r="F1856" s="38"/>
      <c r="G1856" s="198"/>
      <c r="H1856" s="198"/>
      <c r="I1856" s="39"/>
      <c r="J1856" s="38"/>
      <c r="K1856" s="198"/>
      <c r="L1856" s="38"/>
      <c r="M1856" s="38"/>
      <c r="N1856" s="38"/>
      <c r="O1856" s="38"/>
      <c r="P1856" s="40" t="str" cm="1">
        <f t="array" ref="P1856">IF(N1856="","",IFERROR(_xlfn.XLOOKUP(F1856&amp;"|"&amp;J1856&amp;"|"&amp;O1856,PRICES!$C$2:$C$659&amp;"|"&amp;PRICES!$B$2:$B$659&amp;"|"&amp;PRICES!$D$2:$D$659,PRICES!$E$2:$E$659),"Not Found"))</f>
        <v/>
      </c>
      <c r="Q1856" s="100" t="str">
        <f>IF(N1856=0,"",SUMIFS(PRICES!$G$2:$G$658,PRICES!$B$2:$B$658,'MAIN TABLE-1 AUTOMATED'!J1856,PRICES!$C$2:$C$658,'MAIN TABLE-1 AUTOMATED'!F1856,PRICES!$D$2:$D$658,'MAIN TABLE-1 AUTOMATED'!O1856))</f>
        <v/>
      </c>
      <c r="R1856" s="41" t="str">
        <f>IF(Table1[[#This Row],[QUANTITY]]=0,"",Table1[[#This Row],[UNIT PRICE]]*Table1[[#This Row],[QUANTITY]])</f>
        <v/>
      </c>
      <c r="S1856" s="89"/>
      <c r="T1856" s="38"/>
      <c r="U1856" s="43"/>
      <c r="V1856" s="42" t="str">
        <f>IF(Table1[[#This Row],[DATE]]=0,"",YEAR(E1856))</f>
        <v/>
      </c>
      <c r="W1856" s="40" t="str">
        <f t="shared" si="58"/>
        <v/>
      </c>
      <c r="X1856" s="40" t="str">
        <f t="shared" si="59"/>
        <v/>
      </c>
      <c r="Y1856" s="40" t="str">
        <f>TEXT(Table1[[#This Row],[YEAR]],"0000")&amp;"-"&amp;Table1[[#This Row],[MONTH]]</f>
        <v>-</v>
      </c>
    </row>
    <row r="1857" spans="1:25" ht="15" customHeight="1" x14ac:dyDescent="0.35">
      <c r="A1857" s="24"/>
      <c r="B1857" s="38"/>
      <c r="C1857" s="38"/>
      <c r="D1857" s="38"/>
      <c r="E1857" s="37"/>
      <c r="F1857" s="38"/>
      <c r="G1857" s="198"/>
      <c r="H1857" s="198"/>
      <c r="I1857" s="39"/>
      <c r="J1857" s="38"/>
      <c r="K1857" s="198"/>
      <c r="L1857" s="38"/>
      <c r="M1857" s="38"/>
      <c r="N1857" s="38"/>
      <c r="O1857" s="38"/>
      <c r="P1857" s="40" t="str" cm="1">
        <f t="array" ref="P1857">IF(N1857="","",IFERROR(_xlfn.XLOOKUP(F1857&amp;"|"&amp;J1857&amp;"|"&amp;O1857,PRICES!$C$2:$C$659&amp;"|"&amp;PRICES!$B$2:$B$659&amp;"|"&amp;PRICES!$D$2:$D$659,PRICES!$E$2:$E$659),"Not Found"))</f>
        <v/>
      </c>
      <c r="Q1857" s="100" t="str">
        <f>IF(N1857=0,"",SUMIFS(PRICES!$G$2:$G$658,PRICES!$B$2:$B$658,'MAIN TABLE-1 AUTOMATED'!J1857,PRICES!$C$2:$C$658,'MAIN TABLE-1 AUTOMATED'!F1857,PRICES!$D$2:$D$658,'MAIN TABLE-1 AUTOMATED'!O1857))</f>
        <v/>
      </c>
      <c r="R1857" s="41" t="str">
        <f>IF(Table1[[#This Row],[QUANTITY]]=0,"",Table1[[#This Row],[UNIT PRICE]]*Table1[[#This Row],[QUANTITY]])</f>
        <v/>
      </c>
      <c r="S1857" s="89"/>
      <c r="T1857" s="38"/>
      <c r="U1857" s="43"/>
      <c r="V1857" s="42" t="str">
        <f>IF(Table1[[#This Row],[DATE]]=0,"",YEAR(E1857))</f>
        <v/>
      </c>
      <c r="W1857" s="40" t="str">
        <f t="shared" si="58"/>
        <v/>
      </c>
      <c r="X1857" s="40" t="str">
        <f t="shared" si="59"/>
        <v/>
      </c>
      <c r="Y1857" s="40" t="str">
        <f>TEXT(Table1[[#This Row],[YEAR]],"0000")&amp;"-"&amp;Table1[[#This Row],[MONTH]]</f>
        <v>-</v>
      </c>
    </row>
    <row r="1858" spans="1:25" ht="15" customHeight="1" x14ac:dyDescent="0.35">
      <c r="A1858" s="24"/>
      <c r="B1858" s="38"/>
      <c r="C1858" s="38"/>
      <c r="D1858" s="38"/>
      <c r="E1858" s="37"/>
      <c r="F1858" s="38"/>
      <c r="G1858" s="198"/>
      <c r="H1858" s="198"/>
      <c r="I1858" s="39"/>
      <c r="J1858" s="38"/>
      <c r="K1858" s="198"/>
      <c r="L1858" s="38"/>
      <c r="M1858" s="38"/>
      <c r="N1858" s="38"/>
      <c r="O1858" s="38"/>
      <c r="P1858" s="40" t="str" cm="1">
        <f t="array" ref="P1858">IF(N1858="","",IFERROR(_xlfn.XLOOKUP(F1858&amp;"|"&amp;J1858&amp;"|"&amp;O1858,PRICES!$C$2:$C$659&amp;"|"&amp;PRICES!$B$2:$B$659&amp;"|"&amp;PRICES!$D$2:$D$659,PRICES!$E$2:$E$659),"Not Found"))</f>
        <v/>
      </c>
      <c r="Q1858" s="100" t="str">
        <f>IF(N1858=0,"",SUMIFS(PRICES!$G$2:$G$658,PRICES!$B$2:$B$658,'MAIN TABLE-1 AUTOMATED'!J1858,PRICES!$C$2:$C$658,'MAIN TABLE-1 AUTOMATED'!F1858,PRICES!$D$2:$D$658,'MAIN TABLE-1 AUTOMATED'!O1858))</f>
        <v/>
      </c>
      <c r="R1858" s="41" t="str">
        <f>IF(Table1[[#This Row],[QUANTITY]]=0,"",Table1[[#This Row],[UNIT PRICE]]*Table1[[#This Row],[QUANTITY]])</f>
        <v/>
      </c>
      <c r="S1858" s="89"/>
      <c r="T1858" s="38"/>
      <c r="U1858" s="43"/>
      <c r="V1858" s="42" t="str">
        <f>IF(Table1[[#This Row],[DATE]]=0,"",YEAR(E1858))</f>
        <v/>
      </c>
      <c r="W1858" s="40" t="str">
        <f t="shared" si="58"/>
        <v/>
      </c>
      <c r="X1858" s="40" t="str">
        <f t="shared" si="59"/>
        <v/>
      </c>
      <c r="Y1858" s="40" t="str">
        <f>TEXT(Table1[[#This Row],[YEAR]],"0000")&amp;"-"&amp;Table1[[#This Row],[MONTH]]</f>
        <v>-</v>
      </c>
    </row>
    <row r="1859" spans="1:25" ht="15" customHeight="1" x14ac:dyDescent="0.35">
      <c r="A1859" s="24"/>
      <c r="B1859" s="38"/>
      <c r="C1859" s="38"/>
      <c r="D1859" s="38"/>
      <c r="E1859" s="37"/>
      <c r="F1859" s="38"/>
      <c r="G1859" s="198"/>
      <c r="H1859" s="198"/>
      <c r="I1859" s="39"/>
      <c r="J1859" s="38"/>
      <c r="K1859" s="198"/>
      <c r="L1859" s="38"/>
      <c r="M1859" s="38"/>
      <c r="N1859" s="38"/>
      <c r="O1859" s="38"/>
      <c r="P1859" s="40" t="str" cm="1">
        <f t="array" ref="P1859">IF(N1859="","",IFERROR(_xlfn.XLOOKUP(F1859&amp;"|"&amp;J1859&amp;"|"&amp;O1859,PRICES!$C$2:$C$659&amp;"|"&amp;PRICES!$B$2:$B$659&amp;"|"&amp;PRICES!$D$2:$D$659,PRICES!$E$2:$E$659),"Not Found"))</f>
        <v/>
      </c>
      <c r="Q1859" s="100" t="str">
        <f>IF(N1859=0,"",SUMIFS(PRICES!$G$2:$G$658,PRICES!$B$2:$B$658,'MAIN TABLE-1 AUTOMATED'!J1859,PRICES!$C$2:$C$658,'MAIN TABLE-1 AUTOMATED'!F1859,PRICES!$D$2:$D$658,'MAIN TABLE-1 AUTOMATED'!O1859))</f>
        <v/>
      </c>
      <c r="R1859" s="41" t="str">
        <f>IF(Table1[[#This Row],[QUANTITY]]=0,"",Table1[[#This Row],[UNIT PRICE]]*Table1[[#This Row],[QUANTITY]])</f>
        <v/>
      </c>
      <c r="S1859" s="89"/>
      <c r="T1859" s="38"/>
      <c r="U1859" s="43"/>
      <c r="V1859" s="42" t="str">
        <f>IF(Table1[[#This Row],[DATE]]=0,"",YEAR(E1859))</f>
        <v/>
      </c>
      <c r="W1859" s="40" t="str">
        <f t="shared" si="58"/>
        <v/>
      </c>
      <c r="X1859" s="40" t="str">
        <f t="shared" si="59"/>
        <v/>
      </c>
      <c r="Y1859" s="40" t="str">
        <f>TEXT(Table1[[#This Row],[YEAR]],"0000")&amp;"-"&amp;Table1[[#This Row],[MONTH]]</f>
        <v>-</v>
      </c>
    </row>
    <row r="1860" spans="1:25" ht="15" customHeight="1" x14ac:dyDescent="0.35">
      <c r="A1860" s="24"/>
      <c r="B1860" s="38"/>
      <c r="C1860" s="38"/>
      <c r="D1860" s="38"/>
      <c r="E1860" s="37"/>
      <c r="F1860" s="38"/>
      <c r="G1860" s="198"/>
      <c r="H1860" s="198"/>
      <c r="I1860" s="39"/>
      <c r="J1860" s="38"/>
      <c r="K1860" s="198"/>
      <c r="L1860" s="38"/>
      <c r="M1860" s="38"/>
      <c r="N1860" s="38"/>
      <c r="O1860" s="38"/>
      <c r="P1860" s="40" t="str" cm="1">
        <f t="array" ref="P1860">IF(N1860="","",IFERROR(_xlfn.XLOOKUP(F1860&amp;"|"&amp;J1860&amp;"|"&amp;O1860,PRICES!$C$2:$C$659&amp;"|"&amp;PRICES!$B$2:$B$659&amp;"|"&amp;PRICES!$D$2:$D$659,PRICES!$E$2:$E$659),"Not Found"))</f>
        <v/>
      </c>
      <c r="Q1860" s="100" t="str">
        <f>IF(N1860=0,"",SUMIFS(PRICES!$G$2:$G$658,PRICES!$B$2:$B$658,'MAIN TABLE-1 AUTOMATED'!J1860,PRICES!$C$2:$C$658,'MAIN TABLE-1 AUTOMATED'!F1860,PRICES!$D$2:$D$658,'MAIN TABLE-1 AUTOMATED'!O1860))</f>
        <v/>
      </c>
      <c r="R1860" s="41" t="str">
        <f>IF(Table1[[#This Row],[QUANTITY]]=0,"",Table1[[#This Row],[UNIT PRICE]]*Table1[[#This Row],[QUANTITY]])</f>
        <v/>
      </c>
      <c r="S1860" s="89"/>
      <c r="T1860" s="38"/>
      <c r="U1860" s="43"/>
      <c r="V1860" s="42" t="str">
        <f>IF(Table1[[#This Row],[DATE]]=0,"",YEAR(E1860))</f>
        <v/>
      </c>
      <c r="W1860" s="40" t="str">
        <f t="shared" si="58"/>
        <v/>
      </c>
      <c r="X1860" s="40" t="str">
        <f t="shared" si="59"/>
        <v/>
      </c>
      <c r="Y1860" s="40" t="str">
        <f>TEXT(Table1[[#This Row],[YEAR]],"0000")&amp;"-"&amp;Table1[[#This Row],[MONTH]]</f>
        <v>-</v>
      </c>
    </row>
    <row r="1861" spans="1:25" ht="15" customHeight="1" x14ac:dyDescent="0.35">
      <c r="A1861" s="24"/>
      <c r="B1861" s="38"/>
      <c r="C1861" s="38"/>
      <c r="D1861" s="38"/>
      <c r="E1861" s="37"/>
      <c r="F1861" s="38"/>
      <c r="G1861" s="198"/>
      <c r="H1861" s="198"/>
      <c r="I1861" s="39"/>
      <c r="J1861" s="38"/>
      <c r="K1861" s="198"/>
      <c r="L1861" s="38"/>
      <c r="M1861" s="38"/>
      <c r="N1861" s="38"/>
      <c r="O1861" s="38"/>
      <c r="P1861" s="40" t="str" cm="1">
        <f t="array" ref="P1861">IF(N1861="","",IFERROR(_xlfn.XLOOKUP(F1861&amp;"|"&amp;J1861&amp;"|"&amp;O1861,PRICES!$C$2:$C$659&amp;"|"&amp;PRICES!$B$2:$B$659&amp;"|"&amp;PRICES!$D$2:$D$659,PRICES!$E$2:$E$659),"Not Found"))</f>
        <v/>
      </c>
      <c r="Q1861" s="100" t="str">
        <f>IF(N1861=0,"",SUMIFS(PRICES!$G$2:$G$658,PRICES!$B$2:$B$658,'MAIN TABLE-1 AUTOMATED'!J1861,PRICES!$C$2:$C$658,'MAIN TABLE-1 AUTOMATED'!F1861,PRICES!$D$2:$D$658,'MAIN TABLE-1 AUTOMATED'!O1861))</f>
        <v/>
      </c>
      <c r="R1861" s="41" t="str">
        <f>IF(Table1[[#This Row],[QUANTITY]]=0,"",Table1[[#This Row],[UNIT PRICE]]*Table1[[#This Row],[QUANTITY]])</f>
        <v/>
      </c>
      <c r="S1861" s="89"/>
      <c r="T1861" s="38"/>
      <c r="U1861" s="43"/>
      <c r="V1861" s="42" t="str">
        <f>IF(Table1[[#This Row],[DATE]]=0,"",YEAR(E1861))</f>
        <v/>
      </c>
      <c r="W1861" s="40" t="str">
        <f t="shared" si="58"/>
        <v/>
      </c>
      <c r="X1861" s="40" t="str">
        <f t="shared" si="59"/>
        <v/>
      </c>
      <c r="Y1861" s="40" t="str">
        <f>TEXT(Table1[[#This Row],[YEAR]],"0000")&amp;"-"&amp;Table1[[#This Row],[MONTH]]</f>
        <v>-</v>
      </c>
    </row>
    <row r="1862" spans="1:25" ht="15" customHeight="1" x14ac:dyDescent="0.35">
      <c r="A1862" s="24"/>
      <c r="B1862" s="38"/>
      <c r="C1862" s="38"/>
      <c r="D1862" s="38"/>
      <c r="E1862" s="37"/>
      <c r="F1862" s="38"/>
      <c r="G1862" s="198"/>
      <c r="H1862" s="198"/>
      <c r="I1862" s="39"/>
      <c r="J1862" s="38"/>
      <c r="K1862" s="198"/>
      <c r="L1862" s="38"/>
      <c r="M1862" s="38"/>
      <c r="N1862" s="38"/>
      <c r="O1862" s="38"/>
      <c r="P1862" s="40" t="str" cm="1">
        <f t="array" ref="P1862">IF(N1862="","",IFERROR(_xlfn.XLOOKUP(F1862&amp;"|"&amp;J1862&amp;"|"&amp;O1862,PRICES!$C$2:$C$659&amp;"|"&amp;PRICES!$B$2:$B$659&amp;"|"&amp;PRICES!$D$2:$D$659,PRICES!$E$2:$E$659),"Not Found"))</f>
        <v/>
      </c>
      <c r="Q1862" s="100" t="str">
        <f>IF(N1862=0,"",SUMIFS(PRICES!$G$2:$G$658,PRICES!$B$2:$B$658,'MAIN TABLE-1 AUTOMATED'!J1862,PRICES!$C$2:$C$658,'MAIN TABLE-1 AUTOMATED'!F1862,PRICES!$D$2:$D$658,'MAIN TABLE-1 AUTOMATED'!O1862))</f>
        <v/>
      </c>
      <c r="R1862" s="41" t="str">
        <f>IF(Table1[[#This Row],[QUANTITY]]=0,"",Table1[[#This Row],[UNIT PRICE]]*Table1[[#This Row],[QUANTITY]])</f>
        <v/>
      </c>
      <c r="S1862" s="89"/>
      <c r="T1862" s="38"/>
      <c r="U1862" s="43"/>
      <c r="V1862" s="42" t="str">
        <f>IF(Table1[[#This Row],[DATE]]=0,"",YEAR(E1862))</f>
        <v/>
      </c>
      <c r="W1862" s="40" t="str">
        <f t="shared" si="58"/>
        <v/>
      </c>
      <c r="X1862" s="40" t="str">
        <f t="shared" si="59"/>
        <v/>
      </c>
      <c r="Y1862" s="40" t="str">
        <f>TEXT(Table1[[#This Row],[YEAR]],"0000")&amp;"-"&amp;Table1[[#This Row],[MONTH]]</f>
        <v>-</v>
      </c>
    </row>
    <row r="1863" spans="1:25" ht="15" customHeight="1" x14ac:dyDescent="0.35">
      <c r="A1863" s="24"/>
      <c r="B1863" s="38"/>
      <c r="C1863" s="38"/>
      <c r="D1863" s="38"/>
      <c r="E1863" s="37"/>
      <c r="F1863" s="38"/>
      <c r="G1863" s="198"/>
      <c r="H1863" s="198"/>
      <c r="I1863" s="39"/>
      <c r="J1863" s="38"/>
      <c r="K1863" s="198"/>
      <c r="L1863" s="38"/>
      <c r="M1863" s="38"/>
      <c r="N1863" s="38"/>
      <c r="O1863" s="38"/>
      <c r="P1863" s="40" t="str" cm="1">
        <f t="array" ref="P1863">IF(N1863="","",IFERROR(_xlfn.XLOOKUP(F1863&amp;"|"&amp;J1863&amp;"|"&amp;O1863,PRICES!$C$2:$C$659&amp;"|"&amp;PRICES!$B$2:$B$659&amp;"|"&amp;PRICES!$D$2:$D$659,PRICES!$E$2:$E$659),"Not Found"))</f>
        <v/>
      </c>
      <c r="Q1863" s="100" t="str">
        <f>IF(N1863=0,"",SUMIFS(PRICES!$G$2:$G$658,PRICES!$B$2:$B$658,'MAIN TABLE-1 AUTOMATED'!J1863,PRICES!$C$2:$C$658,'MAIN TABLE-1 AUTOMATED'!F1863,PRICES!$D$2:$D$658,'MAIN TABLE-1 AUTOMATED'!O1863))</f>
        <v/>
      </c>
      <c r="R1863" s="41" t="str">
        <f>IF(Table1[[#This Row],[QUANTITY]]=0,"",Table1[[#This Row],[UNIT PRICE]]*Table1[[#This Row],[QUANTITY]])</f>
        <v/>
      </c>
      <c r="S1863" s="89"/>
      <c r="T1863" s="38"/>
      <c r="U1863" s="43"/>
      <c r="V1863" s="42" t="str">
        <f>IF(Table1[[#This Row],[DATE]]=0,"",YEAR(E1863))</f>
        <v/>
      </c>
      <c r="W1863" s="40" t="str">
        <f t="shared" si="58"/>
        <v/>
      </c>
      <c r="X1863" s="40" t="str">
        <f t="shared" si="59"/>
        <v/>
      </c>
      <c r="Y1863" s="40" t="str">
        <f>TEXT(Table1[[#This Row],[YEAR]],"0000")&amp;"-"&amp;Table1[[#This Row],[MONTH]]</f>
        <v>-</v>
      </c>
    </row>
    <row r="1864" spans="1:25" ht="15" customHeight="1" x14ac:dyDescent="0.35">
      <c r="A1864" s="24"/>
      <c r="B1864" s="38"/>
      <c r="C1864" s="38"/>
      <c r="D1864" s="38"/>
      <c r="E1864" s="37"/>
      <c r="F1864" s="38"/>
      <c r="G1864" s="198"/>
      <c r="H1864" s="198"/>
      <c r="I1864" s="39"/>
      <c r="J1864" s="38"/>
      <c r="K1864" s="198"/>
      <c r="L1864" s="38"/>
      <c r="M1864" s="38"/>
      <c r="N1864" s="38"/>
      <c r="O1864" s="38"/>
      <c r="P1864" s="40" t="str" cm="1">
        <f t="array" ref="P1864">IF(N1864="","",IFERROR(_xlfn.XLOOKUP(F1864&amp;"|"&amp;J1864&amp;"|"&amp;O1864,PRICES!$C$2:$C$659&amp;"|"&amp;PRICES!$B$2:$B$659&amp;"|"&amp;PRICES!$D$2:$D$659,PRICES!$E$2:$E$659),"Not Found"))</f>
        <v/>
      </c>
      <c r="Q1864" s="100" t="str">
        <f>IF(N1864=0,"",SUMIFS(PRICES!$G$2:$G$658,PRICES!$B$2:$B$658,'MAIN TABLE-1 AUTOMATED'!J1864,PRICES!$C$2:$C$658,'MAIN TABLE-1 AUTOMATED'!F1864,PRICES!$D$2:$D$658,'MAIN TABLE-1 AUTOMATED'!O1864))</f>
        <v/>
      </c>
      <c r="R1864" s="41" t="str">
        <f>IF(Table1[[#This Row],[QUANTITY]]=0,"",Table1[[#This Row],[UNIT PRICE]]*Table1[[#This Row],[QUANTITY]])</f>
        <v/>
      </c>
      <c r="S1864" s="89"/>
      <c r="T1864" s="38"/>
      <c r="U1864" s="43"/>
      <c r="V1864" s="42" t="str">
        <f>IF(Table1[[#This Row],[DATE]]=0,"",YEAR(E1864))</f>
        <v/>
      </c>
      <c r="W1864" s="40" t="str">
        <f t="shared" si="58"/>
        <v/>
      </c>
      <c r="X1864" s="40" t="str">
        <f t="shared" si="59"/>
        <v/>
      </c>
      <c r="Y1864" s="40" t="str">
        <f>TEXT(Table1[[#This Row],[YEAR]],"0000")&amp;"-"&amp;Table1[[#This Row],[MONTH]]</f>
        <v>-</v>
      </c>
    </row>
    <row r="1865" spans="1:25" ht="15" customHeight="1" x14ac:dyDescent="0.35">
      <c r="A1865" s="24"/>
      <c r="B1865" s="38"/>
      <c r="C1865" s="38"/>
      <c r="D1865" s="38"/>
      <c r="E1865" s="37"/>
      <c r="F1865" s="38"/>
      <c r="G1865" s="198"/>
      <c r="H1865" s="198"/>
      <c r="I1865" s="39"/>
      <c r="J1865" s="38"/>
      <c r="K1865" s="198"/>
      <c r="L1865" s="38"/>
      <c r="M1865" s="38"/>
      <c r="N1865" s="38"/>
      <c r="O1865" s="38"/>
      <c r="P1865" s="40" t="str" cm="1">
        <f t="array" ref="P1865">IF(N1865="","",IFERROR(_xlfn.XLOOKUP(F1865&amp;"|"&amp;J1865&amp;"|"&amp;O1865,PRICES!$C$2:$C$659&amp;"|"&amp;PRICES!$B$2:$B$659&amp;"|"&amp;PRICES!$D$2:$D$659,PRICES!$E$2:$E$659),"Not Found"))</f>
        <v/>
      </c>
      <c r="Q1865" s="100" t="str">
        <f>IF(N1865=0,"",SUMIFS(PRICES!$G$2:$G$658,PRICES!$B$2:$B$658,'MAIN TABLE-1 AUTOMATED'!J1865,PRICES!$C$2:$C$658,'MAIN TABLE-1 AUTOMATED'!F1865,PRICES!$D$2:$D$658,'MAIN TABLE-1 AUTOMATED'!O1865))</f>
        <v/>
      </c>
      <c r="R1865" s="41" t="str">
        <f>IF(Table1[[#This Row],[QUANTITY]]=0,"",Table1[[#This Row],[UNIT PRICE]]*Table1[[#This Row],[QUANTITY]])</f>
        <v/>
      </c>
      <c r="S1865" s="89"/>
      <c r="T1865" s="38"/>
      <c r="U1865" s="43"/>
      <c r="V1865" s="42" t="str">
        <f>IF(Table1[[#This Row],[DATE]]=0,"",YEAR(E1865))</f>
        <v/>
      </c>
      <c r="W1865" s="40" t="str">
        <f t="shared" si="58"/>
        <v/>
      </c>
      <c r="X1865" s="40" t="str">
        <f t="shared" si="59"/>
        <v/>
      </c>
      <c r="Y1865" s="40" t="str">
        <f>TEXT(Table1[[#This Row],[YEAR]],"0000")&amp;"-"&amp;Table1[[#This Row],[MONTH]]</f>
        <v>-</v>
      </c>
    </row>
    <row r="1866" spans="1:25" ht="15" customHeight="1" x14ac:dyDescent="0.35">
      <c r="A1866" s="24"/>
      <c r="B1866" s="38"/>
      <c r="C1866" s="38"/>
      <c r="D1866" s="38"/>
      <c r="E1866" s="37"/>
      <c r="F1866" s="38"/>
      <c r="G1866" s="198"/>
      <c r="H1866" s="198"/>
      <c r="I1866" s="39"/>
      <c r="J1866" s="38"/>
      <c r="K1866" s="198"/>
      <c r="L1866" s="38"/>
      <c r="M1866" s="38"/>
      <c r="N1866" s="38"/>
      <c r="O1866" s="38"/>
      <c r="P1866" s="40" t="str" cm="1">
        <f t="array" ref="P1866">IF(N1866="","",IFERROR(_xlfn.XLOOKUP(F1866&amp;"|"&amp;J1866&amp;"|"&amp;O1866,PRICES!$C$2:$C$659&amp;"|"&amp;PRICES!$B$2:$B$659&amp;"|"&amp;PRICES!$D$2:$D$659,PRICES!$E$2:$E$659),"Not Found"))</f>
        <v/>
      </c>
      <c r="Q1866" s="100" t="str">
        <f>IF(N1866=0,"",SUMIFS(PRICES!$G$2:$G$658,PRICES!$B$2:$B$658,'MAIN TABLE-1 AUTOMATED'!J1866,PRICES!$C$2:$C$658,'MAIN TABLE-1 AUTOMATED'!F1866,PRICES!$D$2:$D$658,'MAIN TABLE-1 AUTOMATED'!O1866))</f>
        <v/>
      </c>
      <c r="R1866" s="41" t="str">
        <f>IF(Table1[[#This Row],[QUANTITY]]=0,"",Table1[[#This Row],[UNIT PRICE]]*Table1[[#This Row],[QUANTITY]])</f>
        <v/>
      </c>
      <c r="S1866" s="89"/>
      <c r="T1866" s="38"/>
      <c r="U1866" s="43"/>
      <c r="V1866" s="42" t="str">
        <f>IF(Table1[[#This Row],[DATE]]=0,"",YEAR(E1866))</f>
        <v/>
      </c>
      <c r="W1866" s="40" t="str">
        <f t="shared" si="58"/>
        <v/>
      </c>
      <c r="X1866" s="40" t="str">
        <f t="shared" si="59"/>
        <v/>
      </c>
      <c r="Y1866" s="40" t="str">
        <f>TEXT(Table1[[#This Row],[YEAR]],"0000")&amp;"-"&amp;Table1[[#This Row],[MONTH]]</f>
        <v>-</v>
      </c>
    </row>
    <row r="1867" spans="1:25" ht="15" customHeight="1" x14ac:dyDescent="0.35">
      <c r="A1867" s="24"/>
      <c r="B1867" s="38"/>
      <c r="C1867" s="38"/>
      <c r="D1867" s="38"/>
      <c r="E1867" s="37"/>
      <c r="F1867" s="38"/>
      <c r="G1867" s="198"/>
      <c r="H1867" s="198"/>
      <c r="I1867" s="39"/>
      <c r="J1867" s="38"/>
      <c r="K1867" s="198"/>
      <c r="L1867" s="38"/>
      <c r="M1867" s="38"/>
      <c r="N1867" s="38"/>
      <c r="O1867" s="38"/>
      <c r="P1867" s="40" t="str" cm="1">
        <f t="array" ref="P1867">IF(N1867="","",IFERROR(_xlfn.XLOOKUP(F1867&amp;"|"&amp;J1867&amp;"|"&amp;O1867,PRICES!$C$2:$C$659&amp;"|"&amp;PRICES!$B$2:$B$659&amp;"|"&amp;PRICES!$D$2:$D$659,PRICES!$E$2:$E$659),"Not Found"))</f>
        <v/>
      </c>
      <c r="Q1867" s="100" t="str">
        <f>IF(N1867=0,"",SUMIFS(PRICES!$G$2:$G$658,PRICES!$B$2:$B$658,'MAIN TABLE-1 AUTOMATED'!J1867,PRICES!$C$2:$C$658,'MAIN TABLE-1 AUTOMATED'!F1867,PRICES!$D$2:$D$658,'MAIN TABLE-1 AUTOMATED'!O1867))</f>
        <v/>
      </c>
      <c r="R1867" s="41" t="str">
        <f>IF(Table1[[#This Row],[QUANTITY]]=0,"",Table1[[#This Row],[UNIT PRICE]]*Table1[[#This Row],[QUANTITY]])</f>
        <v/>
      </c>
      <c r="S1867" s="89"/>
      <c r="T1867" s="38"/>
      <c r="U1867" s="43"/>
      <c r="V1867" s="42" t="str">
        <f>IF(Table1[[#This Row],[DATE]]=0,"",YEAR(E1867))</f>
        <v/>
      </c>
      <c r="W1867" s="40" t="str">
        <f t="shared" si="58"/>
        <v/>
      </c>
      <c r="X1867" s="40" t="str">
        <f t="shared" si="59"/>
        <v/>
      </c>
      <c r="Y1867" s="40" t="str">
        <f>TEXT(Table1[[#This Row],[YEAR]],"0000")&amp;"-"&amp;Table1[[#This Row],[MONTH]]</f>
        <v>-</v>
      </c>
    </row>
    <row r="1868" spans="1:25" ht="15" customHeight="1" x14ac:dyDescent="0.35">
      <c r="A1868" s="24"/>
      <c r="B1868" s="38"/>
      <c r="C1868" s="38"/>
      <c r="D1868" s="38"/>
      <c r="E1868" s="37"/>
      <c r="F1868" s="38"/>
      <c r="G1868" s="198"/>
      <c r="H1868" s="198"/>
      <c r="I1868" s="39"/>
      <c r="J1868" s="38"/>
      <c r="K1868" s="198"/>
      <c r="L1868" s="38"/>
      <c r="M1868" s="38"/>
      <c r="N1868" s="38"/>
      <c r="O1868" s="38"/>
      <c r="P1868" s="40" t="str" cm="1">
        <f t="array" ref="P1868">IF(N1868="","",IFERROR(_xlfn.XLOOKUP(F1868&amp;"|"&amp;J1868&amp;"|"&amp;O1868,PRICES!$C$2:$C$659&amp;"|"&amp;PRICES!$B$2:$B$659&amp;"|"&amp;PRICES!$D$2:$D$659,PRICES!$E$2:$E$659),"Not Found"))</f>
        <v/>
      </c>
      <c r="Q1868" s="100" t="str">
        <f>IF(N1868=0,"",SUMIFS(PRICES!$G$2:$G$658,PRICES!$B$2:$B$658,'MAIN TABLE-1 AUTOMATED'!J1868,PRICES!$C$2:$C$658,'MAIN TABLE-1 AUTOMATED'!F1868,PRICES!$D$2:$D$658,'MAIN TABLE-1 AUTOMATED'!O1868))</f>
        <v/>
      </c>
      <c r="R1868" s="41" t="str">
        <f>IF(Table1[[#This Row],[QUANTITY]]=0,"",Table1[[#This Row],[UNIT PRICE]]*Table1[[#This Row],[QUANTITY]])</f>
        <v/>
      </c>
      <c r="S1868" s="89"/>
      <c r="T1868" s="38"/>
      <c r="U1868" s="43"/>
      <c r="V1868" s="42" t="str">
        <f>IF(Table1[[#This Row],[DATE]]=0,"",YEAR(E1868))</f>
        <v/>
      </c>
      <c r="W1868" s="40" t="str">
        <f t="shared" si="58"/>
        <v/>
      </c>
      <c r="X1868" s="40" t="str">
        <f t="shared" si="59"/>
        <v/>
      </c>
      <c r="Y1868" s="40" t="str">
        <f>TEXT(Table1[[#This Row],[YEAR]],"0000")&amp;"-"&amp;Table1[[#This Row],[MONTH]]</f>
        <v>-</v>
      </c>
    </row>
    <row r="1869" spans="1:25" ht="15" customHeight="1" x14ac:dyDescent="0.35">
      <c r="A1869" s="24"/>
      <c r="B1869" s="38"/>
      <c r="C1869" s="38"/>
      <c r="D1869" s="38"/>
      <c r="E1869" s="37"/>
      <c r="F1869" s="38"/>
      <c r="G1869" s="198"/>
      <c r="H1869" s="198"/>
      <c r="I1869" s="39"/>
      <c r="J1869" s="38"/>
      <c r="K1869" s="198"/>
      <c r="L1869" s="38"/>
      <c r="M1869" s="38"/>
      <c r="N1869" s="38"/>
      <c r="O1869" s="38"/>
      <c r="P1869" s="40" t="str" cm="1">
        <f t="array" ref="P1869">IF(N1869="","",IFERROR(_xlfn.XLOOKUP(F1869&amp;"|"&amp;J1869&amp;"|"&amp;O1869,PRICES!$C$2:$C$659&amp;"|"&amp;PRICES!$B$2:$B$659&amp;"|"&amp;PRICES!$D$2:$D$659,PRICES!$E$2:$E$659),"Not Found"))</f>
        <v/>
      </c>
      <c r="Q1869" s="100" t="str">
        <f>IF(N1869=0,"",SUMIFS(PRICES!$G$2:$G$658,PRICES!$B$2:$B$658,'MAIN TABLE-1 AUTOMATED'!J1869,PRICES!$C$2:$C$658,'MAIN TABLE-1 AUTOMATED'!F1869,PRICES!$D$2:$D$658,'MAIN TABLE-1 AUTOMATED'!O1869))</f>
        <v/>
      </c>
      <c r="R1869" s="41" t="str">
        <f>IF(Table1[[#This Row],[QUANTITY]]=0,"",Table1[[#This Row],[UNIT PRICE]]*Table1[[#This Row],[QUANTITY]])</f>
        <v/>
      </c>
      <c r="S1869" s="89"/>
      <c r="T1869" s="38"/>
      <c r="U1869" s="43"/>
      <c r="V1869" s="42" t="str">
        <f>IF(Table1[[#This Row],[DATE]]=0,"",YEAR(E1869))</f>
        <v/>
      </c>
      <c r="W1869" s="40" t="str">
        <f t="shared" si="58"/>
        <v/>
      </c>
      <c r="X1869" s="40" t="str">
        <f t="shared" si="59"/>
        <v/>
      </c>
      <c r="Y1869" s="40" t="str">
        <f>TEXT(Table1[[#This Row],[YEAR]],"0000")&amp;"-"&amp;Table1[[#This Row],[MONTH]]</f>
        <v>-</v>
      </c>
    </row>
    <row r="1870" spans="1:25" ht="15" customHeight="1" x14ac:dyDescent="0.35">
      <c r="A1870" s="24"/>
      <c r="B1870" s="38"/>
      <c r="C1870" s="38"/>
      <c r="D1870" s="38"/>
      <c r="E1870" s="37"/>
      <c r="F1870" s="38"/>
      <c r="G1870" s="198"/>
      <c r="H1870" s="198"/>
      <c r="I1870" s="39"/>
      <c r="J1870" s="38"/>
      <c r="K1870" s="198"/>
      <c r="L1870" s="38"/>
      <c r="M1870" s="38"/>
      <c r="N1870" s="38"/>
      <c r="O1870" s="38"/>
      <c r="P1870" s="40" t="str" cm="1">
        <f t="array" ref="P1870">IF(N1870="","",IFERROR(_xlfn.XLOOKUP(F1870&amp;"|"&amp;J1870&amp;"|"&amp;O1870,PRICES!$C$2:$C$659&amp;"|"&amp;PRICES!$B$2:$B$659&amp;"|"&amp;PRICES!$D$2:$D$659,PRICES!$E$2:$E$659),"Not Found"))</f>
        <v/>
      </c>
      <c r="Q1870" s="100" t="str">
        <f>IF(N1870=0,"",SUMIFS(PRICES!$G$2:$G$658,PRICES!$B$2:$B$658,'MAIN TABLE-1 AUTOMATED'!J1870,PRICES!$C$2:$C$658,'MAIN TABLE-1 AUTOMATED'!F1870,PRICES!$D$2:$D$658,'MAIN TABLE-1 AUTOMATED'!O1870))</f>
        <v/>
      </c>
      <c r="R1870" s="41" t="str">
        <f>IF(Table1[[#This Row],[QUANTITY]]=0,"",Table1[[#This Row],[UNIT PRICE]]*Table1[[#This Row],[QUANTITY]])</f>
        <v/>
      </c>
      <c r="S1870" s="89"/>
      <c r="T1870" s="38"/>
      <c r="U1870" s="43"/>
      <c r="V1870" s="42" t="str">
        <f>IF(Table1[[#This Row],[DATE]]=0,"",YEAR(E1870))</f>
        <v/>
      </c>
      <c r="W1870" s="40" t="str">
        <f t="shared" si="58"/>
        <v/>
      </c>
      <c r="X1870" s="40" t="str">
        <f t="shared" si="59"/>
        <v/>
      </c>
      <c r="Y1870" s="40" t="str">
        <f>TEXT(Table1[[#This Row],[YEAR]],"0000")&amp;"-"&amp;Table1[[#This Row],[MONTH]]</f>
        <v>-</v>
      </c>
    </row>
    <row r="1871" spans="1:25" ht="15" customHeight="1" x14ac:dyDescent="0.35">
      <c r="A1871" s="24"/>
      <c r="B1871" s="38"/>
      <c r="C1871" s="38"/>
      <c r="D1871" s="38"/>
      <c r="E1871" s="37"/>
      <c r="F1871" s="38"/>
      <c r="G1871" s="233"/>
      <c r="H1871" s="233"/>
      <c r="I1871" s="39"/>
      <c r="J1871" s="38"/>
      <c r="K1871" s="198"/>
      <c r="L1871" s="38"/>
      <c r="M1871" s="38"/>
      <c r="N1871" s="38"/>
      <c r="O1871" s="38"/>
      <c r="P1871" s="40" t="str" cm="1">
        <f t="array" ref="P1871">IF(N1871="","",IFERROR(_xlfn.XLOOKUP(F1871&amp;"|"&amp;J1871&amp;"|"&amp;O1871,PRICES!$C$2:$C$659&amp;"|"&amp;PRICES!$B$2:$B$659&amp;"|"&amp;PRICES!$D$2:$D$659,PRICES!$E$2:$E$659),"Not Found"))</f>
        <v/>
      </c>
      <c r="Q1871" s="100" t="str">
        <f>IF(N1871=0,"",SUMIFS(PRICES!$G$2:$G$658,PRICES!$B$2:$B$658,'MAIN TABLE-1 AUTOMATED'!J1871,PRICES!$C$2:$C$658,'MAIN TABLE-1 AUTOMATED'!F1871,PRICES!$D$2:$D$658,'MAIN TABLE-1 AUTOMATED'!O1871))</f>
        <v/>
      </c>
      <c r="R1871" s="41" t="str">
        <f>IF(Table1[[#This Row],[QUANTITY]]=0,"",Table1[[#This Row],[UNIT PRICE]]*Table1[[#This Row],[QUANTITY]])</f>
        <v/>
      </c>
      <c r="S1871" s="89"/>
      <c r="T1871" s="38"/>
      <c r="U1871" s="43"/>
      <c r="V1871" s="42" t="str">
        <f>IF(Table1[[#This Row],[DATE]]=0,"",YEAR(E1871))</f>
        <v/>
      </c>
      <c r="W1871" s="40" t="str">
        <f t="shared" si="58"/>
        <v/>
      </c>
      <c r="X1871" s="40" t="str">
        <f t="shared" si="59"/>
        <v/>
      </c>
      <c r="Y1871" s="40" t="str">
        <f>TEXT(Table1[[#This Row],[YEAR]],"0000")&amp;"-"&amp;Table1[[#This Row],[MONTH]]</f>
        <v>-</v>
      </c>
    </row>
    <row r="1872" spans="1:25" ht="15" customHeight="1" x14ac:dyDescent="0.35">
      <c r="A1872" s="24"/>
      <c r="B1872" s="38"/>
      <c r="C1872" s="38"/>
      <c r="D1872" s="38"/>
      <c r="E1872" s="37"/>
      <c r="F1872" s="38"/>
      <c r="G1872" s="198"/>
      <c r="H1872" s="198"/>
      <c r="I1872" s="39"/>
      <c r="J1872" s="38"/>
      <c r="K1872" s="198"/>
      <c r="L1872" s="38"/>
      <c r="M1872" s="38"/>
      <c r="N1872" s="38"/>
      <c r="O1872" s="38"/>
      <c r="P1872" s="40" t="str" cm="1">
        <f t="array" ref="P1872">IF(N1872="","",IFERROR(_xlfn.XLOOKUP(F1872&amp;"|"&amp;J1872&amp;"|"&amp;O1872,PRICES!$C$2:$C$659&amp;"|"&amp;PRICES!$B$2:$B$659&amp;"|"&amp;PRICES!$D$2:$D$659,PRICES!$E$2:$E$659),"Not Found"))</f>
        <v/>
      </c>
      <c r="Q1872" s="100" t="str">
        <f>IF(N1872=0,"",SUMIFS(PRICES!$G$2:$G$658,PRICES!$B$2:$B$658,'MAIN TABLE-1 AUTOMATED'!J1872,PRICES!$C$2:$C$658,'MAIN TABLE-1 AUTOMATED'!F1872,PRICES!$D$2:$D$658,'MAIN TABLE-1 AUTOMATED'!O1872))</f>
        <v/>
      </c>
      <c r="R1872" s="41" t="str">
        <f>IF(Table1[[#This Row],[QUANTITY]]=0,"",Table1[[#This Row],[UNIT PRICE]]*Table1[[#This Row],[QUANTITY]])</f>
        <v/>
      </c>
      <c r="S1872" s="89"/>
      <c r="T1872" s="38"/>
      <c r="U1872" s="43"/>
      <c r="V1872" s="42" t="str">
        <f>IF(Table1[[#This Row],[DATE]]=0,"",YEAR(E1872))</f>
        <v/>
      </c>
      <c r="W1872" s="40" t="str">
        <f t="shared" si="58"/>
        <v/>
      </c>
      <c r="X1872" s="40" t="str">
        <f t="shared" si="59"/>
        <v/>
      </c>
      <c r="Y1872" s="40" t="str">
        <f>TEXT(Table1[[#This Row],[YEAR]],"0000")&amp;"-"&amp;Table1[[#This Row],[MONTH]]</f>
        <v>-</v>
      </c>
    </row>
    <row r="1873" spans="1:25" ht="15" customHeight="1" x14ac:dyDescent="0.35">
      <c r="A1873" s="24"/>
      <c r="B1873" s="38"/>
      <c r="C1873" s="38"/>
      <c r="D1873" s="38"/>
      <c r="E1873" s="37"/>
      <c r="F1873" s="38"/>
      <c r="G1873" s="198"/>
      <c r="H1873" s="198"/>
      <c r="I1873" s="39"/>
      <c r="J1873" s="38"/>
      <c r="K1873" s="198"/>
      <c r="L1873" s="38"/>
      <c r="M1873" s="38"/>
      <c r="N1873" s="38"/>
      <c r="O1873" s="38"/>
      <c r="P1873" s="40" t="str" cm="1">
        <f t="array" ref="P1873">IF(N1873="","",IFERROR(_xlfn.XLOOKUP(F1873&amp;"|"&amp;J1873&amp;"|"&amp;O1873,PRICES!$C$2:$C$659&amp;"|"&amp;PRICES!$B$2:$B$659&amp;"|"&amp;PRICES!$D$2:$D$659,PRICES!$E$2:$E$659),"Not Found"))</f>
        <v/>
      </c>
      <c r="Q1873" s="100" t="str">
        <f>IF(N1873=0,"",SUMIFS(PRICES!$G$2:$G$658,PRICES!$B$2:$B$658,'MAIN TABLE-1 AUTOMATED'!J1873,PRICES!$C$2:$C$658,'MAIN TABLE-1 AUTOMATED'!F1873,PRICES!$D$2:$D$658,'MAIN TABLE-1 AUTOMATED'!O1873))</f>
        <v/>
      </c>
      <c r="R1873" s="41" t="str">
        <f>IF(Table1[[#This Row],[QUANTITY]]=0,"",Table1[[#This Row],[UNIT PRICE]]*Table1[[#This Row],[QUANTITY]])</f>
        <v/>
      </c>
      <c r="S1873" s="89"/>
      <c r="T1873" s="38"/>
      <c r="U1873" s="43"/>
      <c r="V1873" s="42" t="str">
        <f>IF(Table1[[#This Row],[DATE]]=0,"",YEAR(E1873))</f>
        <v/>
      </c>
      <c r="W1873" s="40" t="str">
        <f t="shared" si="58"/>
        <v/>
      </c>
      <c r="X1873" s="40" t="str">
        <f t="shared" si="59"/>
        <v/>
      </c>
      <c r="Y1873" s="40" t="str">
        <f>TEXT(Table1[[#This Row],[YEAR]],"0000")&amp;"-"&amp;Table1[[#This Row],[MONTH]]</f>
        <v>-</v>
      </c>
    </row>
    <row r="1874" spans="1:25" ht="15" customHeight="1" x14ac:dyDescent="0.35">
      <c r="A1874" s="24"/>
      <c r="B1874" s="38"/>
      <c r="C1874" s="38"/>
      <c r="D1874" s="38"/>
      <c r="E1874" s="37"/>
      <c r="F1874" s="38"/>
      <c r="G1874" s="198"/>
      <c r="H1874" s="198"/>
      <c r="I1874" s="39"/>
      <c r="J1874" s="38"/>
      <c r="K1874" s="198"/>
      <c r="L1874" s="38"/>
      <c r="M1874" s="38"/>
      <c r="N1874" s="38"/>
      <c r="O1874" s="38"/>
      <c r="P1874" s="40" t="str" cm="1">
        <f t="array" ref="P1874">IF(N1874="","",IFERROR(_xlfn.XLOOKUP(F1874&amp;"|"&amp;J1874&amp;"|"&amp;O1874,PRICES!$C$2:$C$659&amp;"|"&amp;PRICES!$B$2:$B$659&amp;"|"&amp;PRICES!$D$2:$D$659,PRICES!$E$2:$E$659),"Not Found"))</f>
        <v/>
      </c>
      <c r="Q1874" s="100" t="str">
        <f>IF(N1874=0,"",SUMIFS(PRICES!$G$2:$G$658,PRICES!$B$2:$B$658,'MAIN TABLE-1 AUTOMATED'!J1874,PRICES!$C$2:$C$658,'MAIN TABLE-1 AUTOMATED'!F1874,PRICES!$D$2:$D$658,'MAIN TABLE-1 AUTOMATED'!O1874))</f>
        <v/>
      </c>
      <c r="R1874" s="41" t="str">
        <f>IF(Table1[[#This Row],[QUANTITY]]=0,"",Table1[[#This Row],[UNIT PRICE]]*Table1[[#This Row],[QUANTITY]])</f>
        <v/>
      </c>
      <c r="S1874" s="89"/>
      <c r="T1874" s="38"/>
      <c r="U1874" s="43"/>
      <c r="V1874" s="42" t="str">
        <f>IF(Table1[[#This Row],[DATE]]=0,"",YEAR(E1874))</f>
        <v/>
      </c>
      <c r="W1874" s="40" t="str">
        <f t="shared" si="58"/>
        <v/>
      </c>
      <c r="X1874" s="40" t="str">
        <f t="shared" si="59"/>
        <v/>
      </c>
      <c r="Y1874" s="40" t="str">
        <f>TEXT(Table1[[#This Row],[YEAR]],"0000")&amp;"-"&amp;Table1[[#This Row],[MONTH]]</f>
        <v>-</v>
      </c>
    </row>
    <row r="1875" spans="1:25" ht="15" customHeight="1" x14ac:dyDescent="0.35">
      <c r="A1875" s="24"/>
      <c r="B1875" s="38"/>
      <c r="C1875" s="38"/>
      <c r="D1875" s="38"/>
      <c r="E1875" s="37"/>
      <c r="F1875" s="38"/>
      <c r="G1875" s="198"/>
      <c r="H1875" s="198"/>
      <c r="I1875" s="39"/>
      <c r="J1875" s="38"/>
      <c r="K1875" s="198"/>
      <c r="L1875" s="38"/>
      <c r="M1875" s="38"/>
      <c r="N1875" s="38"/>
      <c r="O1875" s="38"/>
      <c r="P1875" s="40" t="str" cm="1">
        <f t="array" ref="P1875">IF(N1875="","",IFERROR(_xlfn.XLOOKUP(F1875&amp;"|"&amp;J1875&amp;"|"&amp;O1875,PRICES!$C$2:$C$659&amp;"|"&amp;PRICES!$B$2:$B$659&amp;"|"&amp;PRICES!$D$2:$D$659,PRICES!$E$2:$E$659),"Not Found"))</f>
        <v/>
      </c>
      <c r="Q1875" s="100" t="str">
        <f>IF(N1875=0,"",SUMIFS(PRICES!$G$2:$G$658,PRICES!$B$2:$B$658,'MAIN TABLE-1 AUTOMATED'!J1875,PRICES!$C$2:$C$658,'MAIN TABLE-1 AUTOMATED'!F1875,PRICES!$D$2:$D$658,'MAIN TABLE-1 AUTOMATED'!O1875))</f>
        <v/>
      </c>
      <c r="R1875" s="41" t="str">
        <f>IF(Table1[[#This Row],[QUANTITY]]=0,"",Table1[[#This Row],[UNIT PRICE]]*Table1[[#This Row],[QUANTITY]])</f>
        <v/>
      </c>
      <c r="S1875" s="89"/>
      <c r="T1875" s="38"/>
      <c r="U1875" s="43"/>
      <c r="V1875" s="42" t="str">
        <f>IF(Table1[[#This Row],[DATE]]=0,"",YEAR(E1875))</f>
        <v/>
      </c>
      <c r="W1875" s="40" t="str">
        <f t="shared" si="58"/>
        <v/>
      </c>
      <c r="X1875" s="40" t="str">
        <f t="shared" si="59"/>
        <v/>
      </c>
      <c r="Y1875" s="40" t="str">
        <f>TEXT(Table1[[#This Row],[YEAR]],"0000")&amp;"-"&amp;Table1[[#This Row],[MONTH]]</f>
        <v>-</v>
      </c>
    </row>
    <row r="1876" spans="1:25" ht="15" customHeight="1" x14ac:dyDescent="0.35">
      <c r="A1876" s="24"/>
      <c r="B1876" s="38"/>
      <c r="C1876" s="38"/>
      <c r="D1876" s="38"/>
      <c r="E1876" s="37"/>
      <c r="F1876" s="38"/>
      <c r="G1876" s="198"/>
      <c r="H1876" s="198"/>
      <c r="I1876" s="39"/>
      <c r="J1876" s="38"/>
      <c r="K1876" s="198"/>
      <c r="L1876" s="38"/>
      <c r="M1876" s="38"/>
      <c r="N1876" s="38"/>
      <c r="O1876" s="38"/>
      <c r="P1876" s="40" t="str" cm="1">
        <f t="array" ref="P1876">IF(N1876="","",IFERROR(_xlfn.XLOOKUP(F1876&amp;"|"&amp;J1876&amp;"|"&amp;O1876,PRICES!$C$2:$C$659&amp;"|"&amp;PRICES!$B$2:$B$659&amp;"|"&amp;PRICES!$D$2:$D$659,PRICES!$E$2:$E$659),"Not Found"))</f>
        <v/>
      </c>
      <c r="Q1876" s="100" t="str">
        <f>IF(N1876=0,"",SUMIFS(PRICES!$G$2:$G$658,PRICES!$B$2:$B$658,'MAIN TABLE-1 AUTOMATED'!J1876,PRICES!$C$2:$C$658,'MAIN TABLE-1 AUTOMATED'!F1876,PRICES!$D$2:$D$658,'MAIN TABLE-1 AUTOMATED'!O1876))</f>
        <v/>
      </c>
      <c r="R1876" s="41" t="str">
        <f>IF(Table1[[#This Row],[QUANTITY]]=0,"",Table1[[#This Row],[UNIT PRICE]]*Table1[[#This Row],[QUANTITY]])</f>
        <v/>
      </c>
      <c r="S1876" s="89"/>
      <c r="T1876" s="38"/>
      <c r="U1876" s="43"/>
      <c r="V1876" s="42" t="str">
        <f>IF(Table1[[#This Row],[DATE]]=0,"",YEAR(E1876))</f>
        <v/>
      </c>
      <c r="W1876" s="40" t="str">
        <f t="shared" si="58"/>
        <v/>
      </c>
      <c r="X1876" s="40" t="str">
        <f t="shared" si="59"/>
        <v/>
      </c>
      <c r="Y1876" s="40" t="str">
        <f>TEXT(Table1[[#This Row],[YEAR]],"0000")&amp;"-"&amp;Table1[[#This Row],[MONTH]]</f>
        <v>-</v>
      </c>
    </row>
    <row r="1877" spans="1:25" ht="15" customHeight="1" x14ac:dyDescent="0.35">
      <c r="A1877" s="24"/>
      <c r="B1877" s="38"/>
      <c r="C1877" s="38"/>
      <c r="D1877" s="38"/>
      <c r="E1877" s="37"/>
      <c r="F1877" s="38"/>
      <c r="G1877" s="198"/>
      <c r="H1877" s="198"/>
      <c r="I1877" s="39"/>
      <c r="J1877" s="38"/>
      <c r="K1877" s="198"/>
      <c r="L1877" s="38"/>
      <c r="M1877" s="38"/>
      <c r="N1877" s="38"/>
      <c r="O1877" s="38"/>
      <c r="P1877" s="40" t="str" cm="1">
        <f t="array" ref="P1877">IF(N1877="","",IFERROR(_xlfn.XLOOKUP(F1877&amp;"|"&amp;J1877&amp;"|"&amp;O1877,PRICES!$C$2:$C$659&amp;"|"&amp;PRICES!$B$2:$B$659&amp;"|"&amp;PRICES!$D$2:$D$659,PRICES!$E$2:$E$659),"Not Found"))</f>
        <v/>
      </c>
      <c r="Q1877" s="100" t="str">
        <f>IF(N1877=0,"",SUMIFS(PRICES!$G$2:$G$658,PRICES!$B$2:$B$658,'MAIN TABLE-1 AUTOMATED'!J1877,PRICES!$C$2:$C$658,'MAIN TABLE-1 AUTOMATED'!F1877,PRICES!$D$2:$D$658,'MAIN TABLE-1 AUTOMATED'!O1877))</f>
        <v/>
      </c>
      <c r="R1877" s="41" t="str">
        <f>IF(Table1[[#This Row],[QUANTITY]]=0,"",Table1[[#This Row],[UNIT PRICE]]*Table1[[#This Row],[QUANTITY]])</f>
        <v/>
      </c>
      <c r="S1877" s="89"/>
      <c r="T1877" s="38"/>
      <c r="U1877" s="43"/>
      <c r="V1877" s="42" t="str">
        <f>IF(Table1[[#This Row],[DATE]]=0,"",YEAR(E1877))</f>
        <v/>
      </c>
      <c r="W1877" s="40" t="str">
        <f t="shared" si="58"/>
        <v/>
      </c>
      <c r="X1877" s="40" t="str">
        <f t="shared" si="59"/>
        <v/>
      </c>
      <c r="Y1877" s="40" t="str">
        <f>TEXT(Table1[[#This Row],[YEAR]],"0000")&amp;"-"&amp;Table1[[#This Row],[MONTH]]</f>
        <v>-</v>
      </c>
    </row>
    <row r="1878" spans="1:25" ht="15" customHeight="1" x14ac:dyDescent="0.35">
      <c r="A1878" s="24"/>
      <c r="B1878" s="38"/>
      <c r="C1878" s="38"/>
      <c r="D1878" s="38"/>
      <c r="E1878" s="37"/>
      <c r="F1878" s="38"/>
      <c r="G1878" s="198"/>
      <c r="H1878" s="198"/>
      <c r="I1878" s="39"/>
      <c r="J1878" s="38"/>
      <c r="K1878" s="198"/>
      <c r="L1878" s="38"/>
      <c r="M1878" s="38"/>
      <c r="N1878" s="38"/>
      <c r="O1878" s="38"/>
      <c r="P1878" s="40" t="str" cm="1">
        <f t="array" ref="P1878">IF(N1878="","",IFERROR(_xlfn.XLOOKUP(F1878&amp;"|"&amp;J1878&amp;"|"&amp;O1878,PRICES!$C$2:$C$659&amp;"|"&amp;PRICES!$B$2:$B$659&amp;"|"&amp;PRICES!$D$2:$D$659,PRICES!$E$2:$E$659),"Not Found"))</f>
        <v/>
      </c>
      <c r="Q1878" s="100" t="str">
        <f>IF(N1878=0,"",SUMIFS(PRICES!$G$2:$G$658,PRICES!$B$2:$B$658,'MAIN TABLE-1 AUTOMATED'!J1878,PRICES!$C$2:$C$658,'MAIN TABLE-1 AUTOMATED'!F1878,PRICES!$D$2:$D$658,'MAIN TABLE-1 AUTOMATED'!O1878))</f>
        <v/>
      </c>
      <c r="R1878" s="41" t="str">
        <f>IF(Table1[[#This Row],[QUANTITY]]=0,"",Table1[[#This Row],[UNIT PRICE]]*Table1[[#This Row],[QUANTITY]])</f>
        <v/>
      </c>
      <c r="S1878" s="89"/>
      <c r="T1878" s="38"/>
      <c r="U1878" s="43"/>
      <c r="V1878" s="42" t="str">
        <f>IF(Table1[[#This Row],[DATE]]=0,"",YEAR(E1878))</f>
        <v/>
      </c>
      <c r="W1878" s="40" t="str">
        <f t="shared" si="58"/>
        <v/>
      </c>
      <c r="X1878" s="40" t="str">
        <f t="shared" si="59"/>
        <v/>
      </c>
      <c r="Y1878" s="40" t="str">
        <f>TEXT(Table1[[#This Row],[YEAR]],"0000")&amp;"-"&amp;Table1[[#This Row],[MONTH]]</f>
        <v>-</v>
      </c>
    </row>
    <row r="1879" spans="1:25" ht="15" customHeight="1" x14ac:dyDescent="0.35">
      <c r="A1879" s="24"/>
      <c r="B1879" s="38"/>
      <c r="C1879" s="38"/>
      <c r="D1879" s="38"/>
      <c r="E1879" s="37"/>
      <c r="F1879" s="38"/>
      <c r="G1879" s="198"/>
      <c r="H1879" s="198"/>
      <c r="I1879" s="39"/>
      <c r="J1879" s="38"/>
      <c r="K1879" s="198"/>
      <c r="L1879" s="38"/>
      <c r="M1879" s="38"/>
      <c r="N1879" s="38"/>
      <c r="O1879" s="38"/>
      <c r="P1879" s="40" t="str" cm="1">
        <f t="array" ref="P1879">IF(N1879="","",IFERROR(_xlfn.XLOOKUP(F1879&amp;"|"&amp;J1879&amp;"|"&amp;O1879,PRICES!$C$2:$C$659&amp;"|"&amp;PRICES!$B$2:$B$659&amp;"|"&amp;PRICES!$D$2:$D$659,PRICES!$E$2:$E$659),"Not Found"))</f>
        <v/>
      </c>
      <c r="Q1879" s="100" t="str">
        <f>IF(N1879=0,"",SUMIFS(PRICES!$G$2:$G$658,PRICES!$B$2:$B$658,'MAIN TABLE-1 AUTOMATED'!J1879,PRICES!$C$2:$C$658,'MAIN TABLE-1 AUTOMATED'!F1879,PRICES!$D$2:$D$658,'MAIN TABLE-1 AUTOMATED'!O1879))</f>
        <v/>
      </c>
      <c r="R1879" s="41" t="str">
        <f>IF(Table1[[#This Row],[QUANTITY]]=0,"",Table1[[#This Row],[UNIT PRICE]]*Table1[[#This Row],[QUANTITY]])</f>
        <v/>
      </c>
      <c r="S1879" s="89"/>
      <c r="T1879" s="38"/>
      <c r="U1879" s="43"/>
      <c r="V1879" s="42" t="str">
        <f>IF(Table1[[#This Row],[DATE]]=0,"",YEAR(E1879))</f>
        <v/>
      </c>
      <c r="W1879" s="40" t="str">
        <f t="shared" si="58"/>
        <v/>
      </c>
      <c r="X1879" s="40" t="str">
        <f t="shared" si="59"/>
        <v/>
      </c>
      <c r="Y1879" s="40" t="str">
        <f>TEXT(Table1[[#This Row],[YEAR]],"0000")&amp;"-"&amp;Table1[[#This Row],[MONTH]]</f>
        <v>-</v>
      </c>
    </row>
    <row r="1880" spans="1:25" ht="15" customHeight="1" x14ac:dyDescent="0.35">
      <c r="A1880" s="24"/>
      <c r="B1880" s="38"/>
      <c r="C1880" s="38"/>
      <c r="D1880" s="38"/>
      <c r="E1880" s="37"/>
      <c r="F1880" s="38"/>
      <c r="G1880" s="198"/>
      <c r="H1880" s="198"/>
      <c r="I1880" s="39"/>
      <c r="J1880" s="38"/>
      <c r="K1880" s="198"/>
      <c r="L1880" s="38"/>
      <c r="M1880" s="38"/>
      <c r="N1880" s="38"/>
      <c r="O1880" s="38"/>
      <c r="P1880" s="40" t="str" cm="1">
        <f t="array" ref="P1880">IF(N1880="","",IFERROR(_xlfn.XLOOKUP(F1880&amp;"|"&amp;J1880&amp;"|"&amp;O1880,PRICES!$C$2:$C$659&amp;"|"&amp;PRICES!$B$2:$B$659&amp;"|"&amp;PRICES!$D$2:$D$659,PRICES!$E$2:$E$659),"Not Found"))</f>
        <v/>
      </c>
      <c r="Q1880" s="100" t="str">
        <f>IF(N1880=0,"",SUMIFS(PRICES!$G$2:$G$658,PRICES!$B$2:$B$658,'MAIN TABLE-1 AUTOMATED'!J1880,PRICES!$C$2:$C$658,'MAIN TABLE-1 AUTOMATED'!F1880,PRICES!$D$2:$D$658,'MAIN TABLE-1 AUTOMATED'!O1880))</f>
        <v/>
      </c>
      <c r="R1880" s="41" t="str">
        <f>IF(Table1[[#This Row],[QUANTITY]]=0,"",Table1[[#This Row],[UNIT PRICE]]*Table1[[#This Row],[QUANTITY]])</f>
        <v/>
      </c>
      <c r="S1880" s="89"/>
      <c r="T1880" s="38"/>
      <c r="U1880" s="43"/>
      <c r="V1880" s="42" t="str">
        <f>IF(Table1[[#This Row],[DATE]]=0,"",YEAR(E1880))</f>
        <v/>
      </c>
      <c r="W1880" s="40" t="str">
        <f t="shared" si="58"/>
        <v/>
      </c>
      <c r="X1880" s="40" t="str">
        <f t="shared" si="59"/>
        <v/>
      </c>
      <c r="Y1880" s="40" t="str">
        <f>TEXT(Table1[[#This Row],[YEAR]],"0000")&amp;"-"&amp;Table1[[#This Row],[MONTH]]</f>
        <v>-</v>
      </c>
    </row>
    <row r="1881" spans="1:25" ht="15" customHeight="1" x14ac:dyDescent="0.35">
      <c r="A1881" s="24"/>
      <c r="B1881" s="38"/>
      <c r="C1881" s="38"/>
      <c r="D1881" s="38"/>
      <c r="E1881" s="37"/>
      <c r="F1881" s="38"/>
      <c r="G1881" s="198"/>
      <c r="H1881" s="198"/>
      <c r="I1881" s="39"/>
      <c r="J1881" s="38"/>
      <c r="K1881" s="198"/>
      <c r="L1881" s="38"/>
      <c r="M1881" s="38"/>
      <c r="N1881" s="38"/>
      <c r="O1881" s="38"/>
      <c r="P1881" s="40" t="str" cm="1">
        <f t="array" ref="P1881">IF(N1881="","",IFERROR(_xlfn.XLOOKUP(F1881&amp;"|"&amp;J1881&amp;"|"&amp;O1881,PRICES!$C$2:$C$659&amp;"|"&amp;PRICES!$B$2:$B$659&amp;"|"&amp;PRICES!$D$2:$D$659,PRICES!$E$2:$E$659),"Not Found"))</f>
        <v/>
      </c>
      <c r="Q1881" s="100" t="str">
        <f>IF(N1881=0,"",SUMIFS(PRICES!$G$2:$G$658,PRICES!$B$2:$B$658,'MAIN TABLE-1 AUTOMATED'!J1881,PRICES!$C$2:$C$658,'MAIN TABLE-1 AUTOMATED'!F1881,PRICES!$D$2:$D$658,'MAIN TABLE-1 AUTOMATED'!O1881))</f>
        <v/>
      </c>
      <c r="R1881" s="41" t="str">
        <f>IF(Table1[[#This Row],[QUANTITY]]=0,"",Table1[[#This Row],[UNIT PRICE]]*Table1[[#This Row],[QUANTITY]])</f>
        <v/>
      </c>
      <c r="S1881" s="89"/>
      <c r="T1881" s="38"/>
      <c r="U1881" s="43"/>
      <c r="V1881" s="42" t="str">
        <f>IF(Table1[[#This Row],[DATE]]=0,"",YEAR(E1881))</f>
        <v/>
      </c>
      <c r="W1881" s="40" t="str">
        <f t="shared" si="58"/>
        <v/>
      </c>
      <c r="X1881" s="40" t="str">
        <f t="shared" si="59"/>
        <v/>
      </c>
      <c r="Y1881" s="40" t="str">
        <f>TEXT(Table1[[#This Row],[YEAR]],"0000")&amp;"-"&amp;Table1[[#This Row],[MONTH]]</f>
        <v>-</v>
      </c>
    </row>
    <row r="1882" spans="1:25" ht="15" customHeight="1" x14ac:dyDescent="0.35">
      <c r="A1882" s="24"/>
      <c r="B1882" s="38"/>
      <c r="C1882" s="38"/>
      <c r="D1882" s="38"/>
      <c r="E1882" s="37"/>
      <c r="F1882" s="38"/>
      <c r="G1882" s="198"/>
      <c r="H1882" s="198"/>
      <c r="I1882" s="39"/>
      <c r="J1882" s="38"/>
      <c r="K1882" s="198"/>
      <c r="L1882" s="38"/>
      <c r="M1882" s="38"/>
      <c r="N1882" s="38"/>
      <c r="O1882" s="38"/>
      <c r="P1882" s="40" t="str" cm="1">
        <f t="array" ref="P1882">IF(N1882="","",IFERROR(_xlfn.XLOOKUP(F1882&amp;"|"&amp;J1882&amp;"|"&amp;O1882,PRICES!$C$2:$C$659&amp;"|"&amp;PRICES!$B$2:$B$659&amp;"|"&amp;PRICES!$D$2:$D$659,PRICES!$E$2:$E$659),"Not Found"))</f>
        <v/>
      </c>
      <c r="Q1882" s="100" t="str">
        <f>IF(N1882=0,"",SUMIFS(PRICES!$G$2:$G$658,PRICES!$B$2:$B$658,'MAIN TABLE-1 AUTOMATED'!J1882,PRICES!$C$2:$C$658,'MAIN TABLE-1 AUTOMATED'!F1882,PRICES!$D$2:$D$658,'MAIN TABLE-1 AUTOMATED'!O1882))</f>
        <v/>
      </c>
      <c r="R1882" s="41" t="str">
        <f>IF(Table1[[#This Row],[QUANTITY]]=0,"",Table1[[#This Row],[UNIT PRICE]]*Table1[[#This Row],[QUANTITY]])</f>
        <v/>
      </c>
      <c r="S1882" s="89"/>
      <c r="T1882" s="38"/>
      <c r="U1882" s="43"/>
      <c r="V1882" s="42" t="str">
        <f>IF(Table1[[#This Row],[DATE]]=0,"",YEAR(E1882))</f>
        <v/>
      </c>
      <c r="W1882" s="40" t="str">
        <f t="shared" si="58"/>
        <v/>
      </c>
      <c r="X1882" s="40" t="str">
        <f t="shared" si="59"/>
        <v/>
      </c>
      <c r="Y1882" s="40" t="str">
        <f>TEXT(Table1[[#This Row],[YEAR]],"0000")&amp;"-"&amp;Table1[[#This Row],[MONTH]]</f>
        <v>-</v>
      </c>
    </row>
    <row r="1883" spans="1:25" ht="15" customHeight="1" x14ac:dyDescent="0.35">
      <c r="A1883" s="24"/>
      <c r="B1883" s="38"/>
      <c r="C1883" s="38"/>
      <c r="D1883" s="38"/>
      <c r="E1883" s="37"/>
      <c r="F1883" s="38"/>
      <c r="G1883" s="198"/>
      <c r="H1883" s="198"/>
      <c r="I1883" s="39"/>
      <c r="J1883" s="38"/>
      <c r="K1883" s="198"/>
      <c r="L1883" s="38"/>
      <c r="M1883" s="38"/>
      <c r="N1883" s="38"/>
      <c r="O1883" s="38"/>
      <c r="P1883" s="40" t="str" cm="1">
        <f t="array" ref="P1883">IF(N1883="","",IFERROR(_xlfn.XLOOKUP(F1883&amp;"|"&amp;J1883&amp;"|"&amp;O1883,PRICES!$C$2:$C$659&amp;"|"&amp;PRICES!$B$2:$B$659&amp;"|"&amp;PRICES!$D$2:$D$659,PRICES!$E$2:$E$659),"Not Found"))</f>
        <v/>
      </c>
      <c r="Q1883" s="100" t="str">
        <f>IF(N1883=0,"",SUMIFS(PRICES!$G$2:$G$658,PRICES!$B$2:$B$658,'MAIN TABLE-1 AUTOMATED'!J1883,PRICES!$C$2:$C$658,'MAIN TABLE-1 AUTOMATED'!F1883,PRICES!$D$2:$D$658,'MAIN TABLE-1 AUTOMATED'!O1883))</f>
        <v/>
      </c>
      <c r="R1883" s="41" t="str">
        <f>IF(Table1[[#This Row],[QUANTITY]]=0,"",Table1[[#This Row],[UNIT PRICE]]*Table1[[#This Row],[QUANTITY]])</f>
        <v/>
      </c>
      <c r="S1883" s="89"/>
      <c r="T1883" s="38"/>
      <c r="U1883" s="43"/>
      <c r="V1883" s="42" t="str">
        <f>IF(Table1[[#This Row],[DATE]]=0,"",YEAR(E1883))</f>
        <v/>
      </c>
      <c r="W1883" s="40" t="str">
        <f t="shared" si="58"/>
        <v/>
      </c>
      <c r="X1883" s="40" t="str">
        <f t="shared" si="59"/>
        <v/>
      </c>
      <c r="Y1883" s="40" t="str">
        <f>TEXT(Table1[[#This Row],[YEAR]],"0000")&amp;"-"&amp;Table1[[#This Row],[MONTH]]</f>
        <v>-</v>
      </c>
    </row>
    <row r="1884" spans="1:25" ht="15" customHeight="1" x14ac:dyDescent="0.35">
      <c r="A1884" s="24"/>
      <c r="B1884" s="38"/>
      <c r="C1884" s="38"/>
      <c r="D1884" s="38"/>
      <c r="E1884" s="37"/>
      <c r="F1884" s="38"/>
      <c r="G1884" s="198"/>
      <c r="H1884" s="198"/>
      <c r="I1884" s="39"/>
      <c r="J1884" s="38"/>
      <c r="K1884" s="198"/>
      <c r="L1884" s="38"/>
      <c r="M1884" s="38"/>
      <c r="N1884" s="38"/>
      <c r="O1884" s="38"/>
      <c r="P1884" s="40" t="str" cm="1">
        <f t="array" ref="P1884">IF(N1884="","",IFERROR(_xlfn.XLOOKUP(F1884&amp;"|"&amp;J1884&amp;"|"&amp;O1884,PRICES!$C$2:$C$659&amp;"|"&amp;PRICES!$B$2:$B$659&amp;"|"&amp;PRICES!$D$2:$D$659,PRICES!$E$2:$E$659),"Not Found"))</f>
        <v/>
      </c>
      <c r="Q1884" s="100" t="str">
        <f>IF(N1884=0,"",SUMIFS(PRICES!$G$2:$G$658,PRICES!$B$2:$B$658,'MAIN TABLE-1 AUTOMATED'!J1884,PRICES!$C$2:$C$658,'MAIN TABLE-1 AUTOMATED'!F1884,PRICES!$D$2:$D$658,'MAIN TABLE-1 AUTOMATED'!O1884))</f>
        <v/>
      </c>
      <c r="R1884" s="41" t="str">
        <f>IF(Table1[[#This Row],[QUANTITY]]=0,"",Table1[[#This Row],[UNIT PRICE]]*Table1[[#This Row],[QUANTITY]])</f>
        <v/>
      </c>
      <c r="S1884" s="89"/>
      <c r="T1884" s="38"/>
      <c r="U1884" s="43"/>
      <c r="V1884" s="42" t="str">
        <f>IF(Table1[[#This Row],[DATE]]=0,"",YEAR(E1884))</f>
        <v/>
      </c>
      <c r="W1884" s="40" t="str">
        <f t="shared" si="58"/>
        <v/>
      </c>
      <c r="X1884" s="40" t="str">
        <f t="shared" si="59"/>
        <v/>
      </c>
      <c r="Y1884" s="40" t="str">
        <f>TEXT(Table1[[#This Row],[YEAR]],"0000")&amp;"-"&amp;Table1[[#This Row],[MONTH]]</f>
        <v>-</v>
      </c>
    </row>
    <row r="1885" spans="1:25" ht="15" customHeight="1" x14ac:dyDescent="0.35">
      <c r="A1885" s="24"/>
      <c r="B1885" s="38"/>
      <c r="C1885" s="38"/>
      <c r="D1885" s="38"/>
      <c r="E1885" s="37"/>
      <c r="F1885" s="38"/>
      <c r="G1885" s="198"/>
      <c r="H1885" s="198"/>
      <c r="I1885" s="39"/>
      <c r="J1885" s="38"/>
      <c r="K1885" s="198"/>
      <c r="L1885" s="38"/>
      <c r="M1885" s="38"/>
      <c r="N1885" s="38"/>
      <c r="O1885" s="38"/>
      <c r="P1885" s="40" t="str" cm="1">
        <f t="array" ref="P1885">IF(N1885="","",IFERROR(_xlfn.XLOOKUP(F1885&amp;"|"&amp;J1885&amp;"|"&amp;O1885,PRICES!$C$2:$C$659&amp;"|"&amp;PRICES!$B$2:$B$659&amp;"|"&amp;PRICES!$D$2:$D$659,PRICES!$E$2:$E$659),"Not Found"))</f>
        <v/>
      </c>
      <c r="Q1885" s="100" t="str">
        <f>IF(N1885=0,"",SUMIFS(PRICES!$G$2:$G$658,PRICES!$B$2:$B$658,'MAIN TABLE-1 AUTOMATED'!J1885,PRICES!$C$2:$C$658,'MAIN TABLE-1 AUTOMATED'!F1885,PRICES!$D$2:$D$658,'MAIN TABLE-1 AUTOMATED'!O1885))</f>
        <v/>
      </c>
      <c r="R1885" s="41" t="str">
        <f>IF(Table1[[#This Row],[QUANTITY]]=0,"",Table1[[#This Row],[UNIT PRICE]]*Table1[[#This Row],[QUANTITY]])</f>
        <v/>
      </c>
      <c r="S1885" s="89"/>
      <c r="T1885" s="38"/>
      <c r="U1885" s="43"/>
      <c r="V1885" s="42" t="str">
        <f>IF(Table1[[#This Row],[DATE]]=0,"",YEAR(E1885))</f>
        <v/>
      </c>
      <c r="W1885" s="40" t="str">
        <f t="shared" si="58"/>
        <v/>
      </c>
      <c r="X1885" s="40" t="str">
        <f t="shared" si="59"/>
        <v/>
      </c>
      <c r="Y1885" s="40" t="str">
        <f>TEXT(Table1[[#This Row],[YEAR]],"0000")&amp;"-"&amp;Table1[[#This Row],[MONTH]]</f>
        <v>-</v>
      </c>
    </row>
    <row r="1886" spans="1:25" ht="15" customHeight="1" x14ac:dyDescent="0.35">
      <c r="A1886" s="24"/>
      <c r="B1886" s="38"/>
      <c r="C1886" s="38"/>
      <c r="D1886" s="38"/>
      <c r="E1886" s="37"/>
      <c r="F1886" s="38"/>
      <c r="G1886" s="198"/>
      <c r="H1886" s="198"/>
      <c r="I1886" s="39"/>
      <c r="J1886" s="38"/>
      <c r="K1886" s="198"/>
      <c r="L1886" s="38"/>
      <c r="M1886" s="38"/>
      <c r="N1886" s="38"/>
      <c r="O1886" s="38"/>
      <c r="P1886" s="40" t="str" cm="1">
        <f t="array" ref="P1886">IF(N1886="","",IFERROR(_xlfn.XLOOKUP(F1886&amp;"|"&amp;J1886&amp;"|"&amp;O1886,PRICES!$C$2:$C$659&amp;"|"&amp;PRICES!$B$2:$B$659&amp;"|"&amp;PRICES!$D$2:$D$659,PRICES!$E$2:$E$659),"Not Found"))</f>
        <v/>
      </c>
      <c r="Q1886" s="100" t="str">
        <f>IF(N1886=0,"",SUMIFS(PRICES!$G$2:$G$658,PRICES!$B$2:$B$658,'MAIN TABLE-1 AUTOMATED'!J1886,PRICES!$C$2:$C$658,'MAIN TABLE-1 AUTOMATED'!F1886,PRICES!$D$2:$D$658,'MAIN TABLE-1 AUTOMATED'!O1886))</f>
        <v/>
      </c>
      <c r="R1886" s="41" t="str">
        <f>IF(Table1[[#This Row],[QUANTITY]]=0,"",Table1[[#This Row],[UNIT PRICE]]*Table1[[#This Row],[QUANTITY]])</f>
        <v/>
      </c>
      <c r="S1886" s="89"/>
      <c r="T1886" s="38"/>
      <c r="U1886" s="43"/>
      <c r="V1886" s="42" t="str">
        <f>IF(Table1[[#This Row],[DATE]]=0,"",YEAR(E1886))</f>
        <v/>
      </c>
      <c r="W1886" s="40" t="str">
        <f t="shared" si="58"/>
        <v/>
      </c>
      <c r="X1886" s="40" t="str">
        <f t="shared" si="59"/>
        <v/>
      </c>
      <c r="Y1886" s="40" t="str">
        <f>TEXT(Table1[[#This Row],[YEAR]],"0000")&amp;"-"&amp;Table1[[#This Row],[MONTH]]</f>
        <v>-</v>
      </c>
    </row>
    <row r="1887" spans="1:25" ht="15" customHeight="1" x14ac:dyDescent="0.35">
      <c r="A1887" s="24"/>
      <c r="B1887" s="38"/>
      <c r="C1887" s="38"/>
      <c r="D1887" s="38"/>
      <c r="E1887" s="37"/>
      <c r="F1887" s="38"/>
      <c r="G1887" s="198"/>
      <c r="H1887" s="198"/>
      <c r="I1887" s="39"/>
      <c r="J1887" s="38"/>
      <c r="K1887" s="198"/>
      <c r="L1887" s="38"/>
      <c r="M1887" s="38"/>
      <c r="N1887" s="38"/>
      <c r="O1887" s="38"/>
      <c r="P1887" s="40" t="str" cm="1">
        <f t="array" ref="P1887">IF(N1887="","",IFERROR(_xlfn.XLOOKUP(F1887&amp;"|"&amp;J1887&amp;"|"&amp;O1887,PRICES!$C$2:$C$659&amp;"|"&amp;PRICES!$B$2:$B$659&amp;"|"&amp;PRICES!$D$2:$D$659,PRICES!$E$2:$E$659),"Not Found"))</f>
        <v/>
      </c>
      <c r="Q1887" s="100" t="str">
        <f>IF(N1887=0,"",SUMIFS(PRICES!$G$2:$G$658,PRICES!$B$2:$B$658,'MAIN TABLE-1 AUTOMATED'!J1887,PRICES!$C$2:$C$658,'MAIN TABLE-1 AUTOMATED'!F1887,PRICES!$D$2:$D$658,'MAIN TABLE-1 AUTOMATED'!O1887))</f>
        <v/>
      </c>
      <c r="R1887" s="41" t="str">
        <f>IF(Table1[[#This Row],[QUANTITY]]=0,"",Table1[[#This Row],[UNIT PRICE]]*Table1[[#This Row],[QUANTITY]])</f>
        <v/>
      </c>
      <c r="S1887" s="89"/>
      <c r="T1887" s="38"/>
      <c r="U1887" s="43"/>
      <c r="V1887" s="42" t="str">
        <f>IF(Table1[[#This Row],[DATE]]=0,"",YEAR(E1887))</f>
        <v/>
      </c>
      <c r="W1887" s="40" t="str">
        <f t="shared" ref="W1887:W1950" si="60">IF(E1887=0,"",MONTH(E1887))</f>
        <v/>
      </c>
      <c r="X1887" s="40" t="str">
        <f t="shared" ref="X1887:X1950" si="61">IF(E1887=0,"",WEEKNUM(E1887))</f>
        <v/>
      </c>
      <c r="Y1887" s="40" t="str">
        <f>TEXT(Table1[[#This Row],[YEAR]],"0000")&amp;"-"&amp;Table1[[#This Row],[MONTH]]</f>
        <v>-</v>
      </c>
    </row>
    <row r="1888" spans="1:25" ht="15" customHeight="1" x14ac:dyDescent="0.35">
      <c r="A1888" s="24"/>
      <c r="B1888" s="38"/>
      <c r="C1888" s="38"/>
      <c r="D1888" s="38"/>
      <c r="E1888" s="37"/>
      <c r="F1888" s="38"/>
      <c r="G1888" s="198"/>
      <c r="H1888" s="198"/>
      <c r="I1888" s="39"/>
      <c r="J1888" s="38"/>
      <c r="K1888" s="198"/>
      <c r="L1888" s="38"/>
      <c r="M1888" s="38"/>
      <c r="N1888" s="38"/>
      <c r="O1888" s="38"/>
      <c r="P1888" s="40" t="str" cm="1">
        <f t="array" ref="P1888">IF(N1888="","",IFERROR(_xlfn.XLOOKUP(F1888&amp;"|"&amp;J1888&amp;"|"&amp;O1888,PRICES!$C$2:$C$659&amp;"|"&amp;PRICES!$B$2:$B$659&amp;"|"&amp;PRICES!$D$2:$D$659,PRICES!$E$2:$E$659),"Not Found"))</f>
        <v/>
      </c>
      <c r="Q1888" s="100" t="str">
        <f>IF(N1888=0,"",SUMIFS(PRICES!$G$2:$G$658,PRICES!$B$2:$B$658,'MAIN TABLE-1 AUTOMATED'!J1888,PRICES!$C$2:$C$658,'MAIN TABLE-1 AUTOMATED'!F1888,PRICES!$D$2:$D$658,'MAIN TABLE-1 AUTOMATED'!O1888))</f>
        <v/>
      </c>
      <c r="R1888" s="41" t="str">
        <f>IF(Table1[[#This Row],[QUANTITY]]=0,"",Table1[[#This Row],[UNIT PRICE]]*Table1[[#This Row],[QUANTITY]])</f>
        <v/>
      </c>
      <c r="S1888" s="89"/>
      <c r="T1888" s="38"/>
      <c r="U1888" s="43"/>
      <c r="V1888" s="42" t="str">
        <f>IF(Table1[[#This Row],[DATE]]=0,"",YEAR(E1888))</f>
        <v/>
      </c>
      <c r="W1888" s="40" t="str">
        <f t="shared" si="60"/>
        <v/>
      </c>
      <c r="X1888" s="40" t="str">
        <f t="shared" si="61"/>
        <v/>
      </c>
      <c r="Y1888" s="40" t="str">
        <f>TEXT(Table1[[#This Row],[YEAR]],"0000")&amp;"-"&amp;Table1[[#This Row],[MONTH]]</f>
        <v>-</v>
      </c>
    </row>
    <row r="1889" spans="1:25" ht="15" customHeight="1" x14ac:dyDescent="0.35">
      <c r="A1889" s="24"/>
      <c r="B1889" s="38"/>
      <c r="C1889" s="38"/>
      <c r="D1889" s="38"/>
      <c r="E1889" s="37"/>
      <c r="F1889" s="38"/>
      <c r="G1889" s="198"/>
      <c r="H1889" s="198"/>
      <c r="I1889" s="39"/>
      <c r="J1889" s="38"/>
      <c r="K1889" s="198"/>
      <c r="L1889" s="38"/>
      <c r="M1889" s="38"/>
      <c r="N1889" s="38"/>
      <c r="O1889" s="38"/>
      <c r="P1889" s="40" t="str" cm="1">
        <f t="array" ref="P1889">IF(N1889="","",IFERROR(_xlfn.XLOOKUP(F1889&amp;"|"&amp;J1889&amp;"|"&amp;O1889,PRICES!$C$2:$C$659&amp;"|"&amp;PRICES!$B$2:$B$659&amp;"|"&amp;PRICES!$D$2:$D$659,PRICES!$E$2:$E$659),"Not Found"))</f>
        <v/>
      </c>
      <c r="Q1889" s="100" t="str">
        <f>IF(N1889=0,"",SUMIFS(PRICES!$G$2:$G$658,PRICES!$B$2:$B$658,'MAIN TABLE-1 AUTOMATED'!J1889,PRICES!$C$2:$C$658,'MAIN TABLE-1 AUTOMATED'!F1889,PRICES!$D$2:$D$658,'MAIN TABLE-1 AUTOMATED'!O1889))</f>
        <v/>
      </c>
      <c r="R1889" s="41" t="str">
        <f>IF(Table1[[#This Row],[QUANTITY]]=0,"",Table1[[#This Row],[UNIT PRICE]]*Table1[[#This Row],[QUANTITY]])</f>
        <v/>
      </c>
      <c r="S1889" s="89"/>
      <c r="T1889" s="38"/>
      <c r="U1889" s="43"/>
      <c r="V1889" s="42" t="str">
        <f>IF(Table1[[#This Row],[DATE]]=0,"",YEAR(E1889))</f>
        <v/>
      </c>
      <c r="W1889" s="40" t="str">
        <f t="shared" si="60"/>
        <v/>
      </c>
      <c r="X1889" s="40" t="str">
        <f t="shared" si="61"/>
        <v/>
      </c>
      <c r="Y1889" s="40" t="str">
        <f>TEXT(Table1[[#This Row],[YEAR]],"0000")&amp;"-"&amp;Table1[[#This Row],[MONTH]]</f>
        <v>-</v>
      </c>
    </row>
    <row r="1890" spans="1:25" ht="15" customHeight="1" x14ac:dyDescent="0.35">
      <c r="A1890" s="24"/>
      <c r="B1890" s="38"/>
      <c r="C1890" s="38"/>
      <c r="D1890" s="38"/>
      <c r="E1890" s="37"/>
      <c r="F1890" s="38"/>
      <c r="G1890" s="198"/>
      <c r="H1890" s="198"/>
      <c r="I1890" s="39"/>
      <c r="J1890" s="38"/>
      <c r="K1890" s="198"/>
      <c r="L1890" s="38"/>
      <c r="M1890" s="38"/>
      <c r="N1890" s="38"/>
      <c r="O1890" s="38"/>
      <c r="P1890" s="40" t="str" cm="1">
        <f t="array" ref="P1890">IF(N1890="","",IFERROR(_xlfn.XLOOKUP(F1890&amp;"|"&amp;J1890&amp;"|"&amp;O1890,PRICES!$C$2:$C$659&amp;"|"&amp;PRICES!$B$2:$B$659&amp;"|"&amp;PRICES!$D$2:$D$659,PRICES!$E$2:$E$659),"Not Found"))</f>
        <v/>
      </c>
      <c r="Q1890" s="100" t="str">
        <f>IF(N1890=0,"",SUMIFS(PRICES!$G$2:$G$658,PRICES!$B$2:$B$658,'MAIN TABLE-1 AUTOMATED'!J1890,PRICES!$C$2:$C$658,'MAIN TABLE-1 AUTOMATED'!F1890,PRICES!$D$2:$D$658,'MAIN TABLE-1 AUTOMATED'!O1890))</f>
        <v/>
      </c>
      <c r="R1890" s="41" t="str">
        <f>IF(Table1[[#This Row],[QUANTITY]]=0,"",Table1[[#This Row],[UNIT PRICE]]*Table1[[#This Row],[QUANTITY]])</f>
        <v/>
      </c>
      <c r="S1890" s="89"/>
      <c r="T1890" s="38"/>
      <c r="U1890" s="43"/>
      <c r="V1890" s="42" t="str">
        <f>IF(Table1[[#This Row],[DATE]]=0,"",YEAR(E1890))</f>
        <v/>
      </c>
      <c r="W1890" s="40" t="str">
        <f t="shared" si="60"/>
        <v/>
      </c>
      <c r="X1890" s="40" t="str">
        <f t="shared" si="61"/>
        <v/>
      </c>
      <c r="Y1890" s="40" t="str">
        <f>TEXT(Table1[[#This Row],[YEAR]],"0000")&amp;"-"&amp;Table1[[#This Row],[MONTH]]</f>
        <v>-</v>
      </c>
    </row>
    <row r="1891" spans="1:25" ht="15" customHeight="1" x14ac:dyDescent="0.35">
      <c r="A1891" s="24"/>
      <c r="B1891" s="38"/>
      <c r="C1891" s="38"/>
      <c r="D1891" s="38"/>
      <c r="E1891" s="37"/>
      <c r="F1891" s="38"/>
      <c r="G1891" s="198"/>
      <c r="H1891" s="198"/>
      <c r="I1891" s="39"/>
      <c r="J1891" s="38"/>
      <c r="K1891" s="198"/>
      <c r="L1891" s="38"/>
      <c r="M1891" s="38"/>
      <c r="N1891" s="38"/>
      <c r="O1891" s="38"/>
      <c r="P1891" s="40" t="str" cm="1">
        <f t="array" ref="P1891">IF(N1891="","",IFERROR(_xlfn.XLOOKUP(F1891&amp;"|"&amp;J1891&amp;"|"&amp;O1891,PRICES!$C$2:$C$659&amp;"|"&amp;PRICES!$B$2:$B$659&amp;"|"&amp;PRICES!$D$2:$D$659,PRICES!$E$2:$E$659),"Not Found"))</f>
        <v/>
      </c>
      <c r="Q1891" s="100" t="str">
        <f>IF(N1891=0,"",SUMIFS(PRICES!$G$2:$G$658,PRICES!$B$2:$B$658,'MAIN TABLE-1 AUTOMATED'!J1891,PRICES!$C$2:$C$658,'MAIN TABLE-1 AUTOMATED'!F1891,PRICES!$D$2:$D$658,'MAIN TABLE-1 AUTOMATED'!O1891))</f>
        <v/>
      </c>
      <c r="R1891" s="41" t="str">
        <f>IF(Table1[[#This Row],[QUANTITY]]=0,"",Table1[[#This Row],[UNIT PRICE]]*Table1[[#This Row],[QUANTITY]])</f>
        <v/>
      </c>
      <c r="S1891" s="89"/>
      <c r="T1891" s="38"/>
      <c r="U1891" s="43"/>
      <c r="V1891" s="42" t="str">
        <f>IF(Table1[[#This Row],[DATE]]=0,"",YEAR(E1891))</f>
        <v/>
      </c>
      <c r="W1891" s="40" t="str">
        <f t="shared" si="60"/>
        <v/>
      </c>
      <c r="X1891" s="40" t="str">
        <f t="shared" si="61"/>
        <v/>
      </c>
      <c r="Y1891" s="40" t="str">
        <f>TEXT(Table1[[#This Row],[YEAR]],"0000")&amp;"-"&amp;Table1[[#This Row],[MONTH]]</f>
        <v>-</v>
      </c>
    </row>
    <row r="1892" spans="1:25" ht="15" customHeight="1" x14ac:dyDescent="0.35">
      <c r="A1892" s="24"/>
      <c r="B1892" s="38"/>
      <c r="C1892" s="38"/>
      <c r="D1892" s="38"/>
      <c r="E1892" s="37"/>
      <c r="F1892" s="38"/>
      <c r="G1892" s="198"/>
      <c r="H1892" s="198"/>
      <c r="I1892" s="39"/>
      <c r="J1892" s="38"/>
      <c r="K1892" s="198"/>
      <c r="L1892" s="38"/>
      <c r="M1892" s="38"/>
      <c r="N1892" s="38"/>
      <c r="O1892" s="38"/>
      <c r="P1892" s="40" t="str" cm="1">
        <f t="array" ref="P1892">IF(N1892="","",IFERROR(_xlfn.XLOOKUP(F1892&amp;"|"&amp;J1892&amp;"|"&amp;O1892,PRICES!$C$2:$C$659&amp;"|"&amp;PRICES!$B$2:$B$659&amp;"|"&amp;PRICES!$D$2:$D$659,PRICES!$E$2:$E$659),"Not Found"))</f>
        <v/>
      </c>
      <c r="Q1892" s="100" t="str">
        <f>IF(N1892=0,"",SUMIFS(PRICES!$G$2:$G$658,PRICES!$B$2:$B$658,'MAIN TABLE-1 AUTOMATED'!J1892,PRICES!$C$2:$C$658,'MAIN TABLE-1 AUTOMATED'!F1892,PRICES!$D$2:$D$658,'MAIN TABLE-1 AUTOMATED'!O1892))</f>
        <v/>
      </c>
      <c r="R1892" s="41" t="str">
        <f>IF(Table1[[#This Row],[QUANTITY]]=0,"",Table1[[#This Row],[UNIT PRICE]]*Table1[[#This Row],[QUANTITY]])</f>
        <v/>
      </c>
      <c r="S1892" s="89"/>
      <c r="T1892" s="38"/>
      <c r="U1892" s="43"/>
      <c r="V1892" s="42" t="str">
        <f>IF(Table1[[#This Row],[DATE]]=0,"",YEAR(E1892))</f>
        <v/>
      </c>
      <c r="W1892" s="40" t="str">
        <f t="shared" si="60"/>
        <v/>
      </c>
      <c r="X1892" s="40" t="str">
        <f t="shared" si="61"/>
        <v/>
      </c>
      <c r="Y1892" s="40" t="str">
        <f>TEXT(Table1[[#This Row],[YEAR]],"0000")&amp;"-"&amp;Table1[[#This Row],[MONTH]]</f>
        <v>-</v>
      </c>
    </row>
    <row r="1893" spans="1:25" ht="15" customHeight="1" x14ac:dyDescent="0.35">
      <c r="A1893" s="24"/>
      <c r="B1893" s="38"/>
      <c r="C1893" s="38"/>
      <c r="D1893" s="38"/>
      <c r="E1893" s="37"/>
      <c r="F1893" s="38"/>
      <c r="G1893" s="198"/>
      <c r="H1893" s="198"/>
      <c r="I1893" s="39"/>
      <c r="J1893" s="38"/>
      <c r="K1893" s="198"/>
      <c r="L1893" s="38"/>
      <c r="M1893" s="38"/>
      <c r="N1893" s="38"/>
      <c r="O1893" s="38"/>
      <c r="P1893" s="40" t="str" cm="1">
        <f t="array" ref="P1893">IF(N1893="","",IFERROR(_xlfn.XLOOKUP(F1893&amp;"|"&amp;J1893&amp;"|"&amp;O1893,PRICES!$C$2:$C$659&amp;"|"&amp;PRICES!$B$2:$B$659&amp;"|"&amp;PRICES!$D$2:$D$659,PRICES!$E$2:$E$659),"Not Found"))</f>
        <v/>
      </c>
      <c r="Q1893" s="100" t="str">
        <f>IF(N1893=0,"",SUMIFS(PRICES!$G$2:$G$658,PRICES!$B$2:$B$658,'MAIN TABLE-1 AUTOMATED'!J1893,PRICES!$C$2:$C$658,'MAIN TABLE-1 AUTOMATED'!F1893,PRICES!$D$2:$D$658,'MAIN TABLE-1 AUTOMATED'!O1893))</f>
        <v/>
      </c>
      <c r="R1893" s="41" t="str">
        <f>IF(Table1[[#This Row],[QUANTITY]]=0,"",Table1[[#This Row],[UNIT PRICE]]*Table1[[#This Row],[QUANTITY]])</f>
        <v/>
      </c>
      <c r="S1893" s="89"/>
      <c r="T1893" s="38"/>
      <c r="U1893" s="43"/>
      <c r="V1893" s="42" t="str">
        <f>IF(Table1[[#This Row],[DATE]]=0,"",YEAR(E1893))</f>
        <v/>
      </c>
      <c r="W1893" s="40" t="str">
        <f t="shared" si="60"/>
        <v/>
      </c>
      <c r="X1893" s="40" t="str">
        <f t="shared" si="61"/>
        <v/>
      </c>
      <c r="Y1893" s="40" t="str">
        <f>TEXT(Table1[[#This Row],[YEAR]],"0000")&amp;"-"&amp;Table1[[#This Row],[MONTH]]</f>
        <v>-</v>
      </c>
    </row>
    <row r="1894" spans="1:25" ht="15" customHeight="1" x14ac:dyDescent="0.35">
      <c r="A1894" s="24"/>
      <c r="B1894" s="38"/>
      <c r="C1894" s="38"/>
      <c r="D1894" s="38"/>
      <c r="E1894" s="37"/>
      <c r="F1894" s="38"/>
      <c r="G1894" s="198"/>
      <c r="H1894" s="198"/>
      <c r="I1894" s="39"/>
      <c r="J1894" s="38"/>
      <c r="K1894" s="198"/>
      <c r="L1894" s="38"/>
      <c r="M1894" s="38"/>
      <c r="N1894" s="38"/>
      <c r="O1894" s="38"/>
      <c r="P1894" s="40" t="str" cm="1">
        <f t="array" ref="P1894">IF(N1894="","",IFERROR(_xlfn.XLOOKUP(F1894&amp;"|"&amp;J1894&amp;"|"&amp;O1894,PRICES!$C$2:$C$659&amp;"|"&amp;PRICES!$B$2:$B$659&amp;"|"&amp;PRICES!$D$2:$D$659,PRICES!$E$2:$E$659),"Not Found"))</f>
        <v/>
      </c>
      <c r="Q1894" s="100" t="str">
        <f>IF(N1894=0,"",SUMIFS(PRICES!$G$2:$G$658,PRICES!$B$2:$B$658,'MAIN TABLE-1 AUTOMATED'!J1894,PRICES!$C$2:$C$658,'MAIN TABLE-1 AUTOMATED'!F1894,PRICES!$D$2:$D$658,'MAIN TABLE-1 AUTOMATED'!O1894))</f>
        <v/>
      </c>
      <c r="R1894" s="41" t="str">
        <f>IF(Table1[[#This Row],[QUANTITY]]=0,"",Table1[[#This Row],[UNIT PRICE]]*Table1[[#This Row],[QUANTITY]])</f>
        <v/>
      </c>
      <c r="S1894" s="89"/>
      <c r="T1894" s="38"/>
      <c r="U1894" s="43"/>
      <c r="V1894" s="42" t="str">
        <f>IF(Table1[[#This Row],[DATE]]=0,"",YEAR(E1894))</f>
        <v/>
      </c>
      <c r="W1894" s="40" t="str">
        <f t="shared" si="60"/>
        <v/>
      </c>
      <c r="X1894" s="40" t="str">
        <f t="shared" si="61"/>
        <v/>
      </c>
      <c r="Y1894" s="40" t="str">
        <f>TEXT(Table1[[#This Row],[YEAR]],"0000")&amp;"-"&amp;Table1[[#This Row],[MONTH]]</f>
        <v>-</v>
      </c>
    </row>
    <row r="1895" spans="1:25" ht="15" customHeight="1" x14ac:dyDescent="0.35">
      <c r="A1895" s="24"/>
      <c r="B1895" s="38"/>
      <c r="C1895" s="38"/>
      <c r="D1895" s="38"/>
      <c r="E1895" s="37"/>
      <c r="F1895" s="38"/>
      <c r="G1895" s="198"/>
      <c r="H1895" s="198"/>
      <c r="I1895" s="39"/>
      <c r="J1895" s="38"/>
      <c r="K1895" s="198"/>
      <c r="L1895" s="38"/>
      <c r="M1895" s="38"/>
      <c r="N1895" s="38"/>
      <c r="O1895" s="38"/>
      <c r="P1895" s="40" t="str" cm="1">
        <f t="array" ref="P1895">IF(N1895="","",IFERROR(_xlfn.XLOOKUP(F1895&amp;"|"&amp;J1895&amp;"|"&amp;O1895,PRICES!$C$2:$C$659&amp;"|"&amp;PRICES!$B$2:$B$659&amp;"|"&amp;PRICES!$D$2:$D$659,PRICES!$E$2:$E$659),"Not Found"))</f>
        <v/>
      </c>
      <c r="Q1895" s="100" t="str">
        <f>IF(N1895=0,"",SUMIFS(PRICES!$G$2:$G$658,PRICES!$B$2:$B$658,'MAIN TABLE-1 AUTOMATED'!J1895,PRICES!$C$2:$C$658,'MAIN TABLE-1 AUTOMATED'!F1895,PRICES!$D$2:$D$658,'MAIN TABLE-1 AUTOMATED'!O1895))</f>
        <v/>
      </c>
      <c r="R1895" s="41" t="str">
        <f>IF(Table1[[#This Row],[QUANTITY]]=0,"",Table1[[#This Row],[UNIT PRICE]]*Table1[[#This Row],[QUANTITY]])</f>
        <v/>
      </c>
      <c r="S1895" s="89"/>
      <c r="T1895" s="38"/>
      <c r="U1895" s="43"/>
      <c r="V1895" s="42" t="str">
        <f>IF(Table1[[#This Row],[DATE]]=0,"",YEAR(E1895))</f>
        <v/>
      </c>
      <c r="W1895" s="40" t="str">
        <f t="shared" si="60"/>
        <v/>
      </c>
      <c r="X1895" s="40" t="str">
        <f t="shared" si="61"/>
        <v/>
      </c>
      <c r="Y1895" s="40" t="str">
        <f>TEXT(Table1[[#This Row],[YEAR]],"0000")&amp;"-"&amp;Table1[[#This Row],[MONTH]]</f>
        <v>-</v>
      </c>
    </row>
    <row r="1896" spans="1:25" ht="15" customHeight="1" x14ac:dyDescent="0.35">
      <c r="A1896" s="24"/>
      <c r="B1896" s="38"/>
      <c r="C1896" s="38"/>
      <c r="D1896" s="38"/>
      <c r="E1896" s="37"/>
      <c r="F1896" s="38"/>
      <c r="G1896" s="198"/>
      <c r="H1896" s="198"/>
      <c r="I1896" s="39"/>
      <c r="J1896" s="38"/>
      <c r="K1896" s="198"/>
      <c r="L1896" s="38"/>
      <c r="M1896" s="38"/>
      <c r="N1896" s="38"/>
      <c r="O1896" s="38"/>
      <c r="P1896" s="40" t="str" cm="1">
        <f t="array" ref="P1896">IF(N1896="","",IFERROR(_xlfn.XLOOKUP(F1896&amp;"|"&amp;J1896&amp;"|"&amp;O1896,PRICES!$C$2:$C$659&amp;"|"&amp;PRICES!$B$2:$B$659&amp;"|"&amp;PRICES!$D$2:$D$659,PRICES!$E$2:$E$659),"Not Found"))</f>
        <v/>
      </c>
      <c r="Q1896" s="100" t="str">
        <f>IF(N1896=0,"",SUMIFS(PRICES!$G$2:$G$658,PRICES!$B$2:$B$658,'MAIN TABLE-1 AUTOMATED'!J1896,PRICES!$C$2:$C$658,'MAIN TABLE-1 AUTOMATED'!F1896,PRICES!$D$2:$D$658,'MAIN TABLE-1 AUTOMATED'!O1896))</f>
        <v/>
      </c>
      <c r="R1896" s="41" t="str">
        <f>IF(Table1[[#This Row],[QUANTITY]]=0,"",Table1[[#This Row],[UNIT PRICE]]*Table1[[#This Row],[QUANTITY]])</f>
        <v/>
      </c>
      <c r="S1896" s="89"/>
      <c r="T1896" s="38"/>
      <c r="U1896" s="43"/>
      <c r="V1896" s="42" t="str">
        <f>IF(Table1[[#This Row],[DATE]]=0,"",YEAR(E1896))</f>
        <v/>
      </c>
      <c r="W1896" s="40" t="str">
        <f t="shared" si="60"/>
        <v/>
      </c>
      <c r="X1896" s="40" t="str">
        <f t="shared" si="61"/>
        <v/>
      </c>
      <c r="Y1896" s="40" t="str">
        <f>TEXT(Table1[[#This Row],[YEAR]],"0000")&amp;"-"&amp;Table1[[#This Row],[MONTH]]</f>
        <v>-</v>
      </c>
    </row>
    <row r="1897" spans="1:25" ht="15" customHeight="1" x14ac:dyDescent="0.35">
      <c r="A1897" s="24"/>
      <c r="B1897" s="38"/>
      <c r="C1897" s="38"/>
      <c r="D1897" s="38"/>
      <c r="E1897" s="37"/>
      <c r="F1897" s="38"/>
      <c r="G1897" s="198"/>
      <c r="H1897" s="198"/>
      <c r="I1897" s="39"/>
      <c r="J1897" s="38"/>
      <c r="K1897" s="198"/>
      <c r="L1897" s="105"/>
      <c r="M1897" s="38"/>
      <c r="N1897" s="38"/>
      <c r="O1897" s="38"/>
      <c r="P1897" s="40" t="str" cm="1">
        <f t="array" ref="P1897">IF(N1897="","",IFERROR(_xlfn.XLOOKUP(F1897&amp;"|"&amp;J1897&amp;"|"&amp;O1897,PRICES!$C$2:$C$659&amp;"|"&amp;PRICES!$B$2:$B$659&amp;"|"&amp;PRICES!$D$2:$D$659,PRICES!$E$2:$E$659),"Not Found"))</f>
        <v/>
      </c>
      <c r="Q1897" s="100" t="str">
        <f>IF(N1897=0,"",SUMIFS(PRICES!$G$2:$G$658,PRICES!$B$2:$B$658,'MAIN TABLE-1 AUTOMATED'!J1897,PRICES!$C$2:$C$658,'MAIN TABLE-1 AUTOMATED'!F1897,PRICES!$D$2:$D$658,'MAIN TABLE-1 AUTOMATED'!O1897))</f>
        <v/>
      </c>
      <c r="R1897" s="41" t="str">
        <f>IF(Table1[[#This Row],[QUANTITY]]=0,"",Table1[[#This Row],[UNIT PRICE]]*Table1[[#This Row],[QUANTITY]])</f>
        <v/>
      </c>
      <c r="S1897" s="89"/>
      <c r="T1897" s="38"/>
      <c r="U1897" s="43"/>
      <c r="V1897" s="42" t="str">
        <f>IF(Table1[[#This Row],[DATE]]=0,"",YEAR(E1897))</f>
        <v/>
      </c>
      <c r="W1897" s="40" t="str">
        <f t="shared" si="60"/>
        <v/>
      </c>
      <c r="X1897" s="40" t="str">
        <f t="shared" si="61"/>
        <v/>
      </c>
      <c r="Y1897" s="40" t="str">
        <f>TEXT(Table1[[#This Row],[YEAR]],"0000")&amp;"-"&amp;Table1[[#This Row],[MONTH]]</f>
        <v>-</v>
      </c>
    </row>
    <row r="1898" spans="1:25" ht="15" customHeight="1" x14ac:dyDescent="0.35">
      <c r="A1898" s="24"/>
      <c r="B1898" s="38"/>
      <c r="C1898" s="38"/>
      <c r="D1898" s="38"/>
      <c r="E1898" s="37"/>
      <c r="F1898" s="38"/>
      <c r="G1898" s="198"/>
      <c r="H1898" s="198"/>
      <c r="I1898" s="39"/>
      <c r="J1898" s="38"/>
      <c r="K1898" s="198"/>
      <c r="L1898" s="38"/>
      <c r="M1898" s="38"/>
      <c r="N1898" s="38"/>
      <c r="O1898" s="38"/>
      <c r="P1898" s="40" t="str" cm="1">
        <f t="array" ref="P1898">IF(N1898="","",IFERROR(_xlfn.XLOOKUP(F1898&amp;"|"&amp;J1898&amp;"|"&amp;O1898,PRICES!$C$2:$C$659&amp;"|"&amp;PRICES!$B$2:$B$659&amp;"|"&amp;PRICES!$D$2:$D$659,PRICES!$E$2:$E$659),"Not Found"))</f>
        <v/>
      </c>
      <c r="Q1898" s="100" t="str">
        <f>IF(N1898=0,"",SUMIFS(PRICES!$G$2:$G$658,PRICES!$B$2:$B$658,'MAIN TABLE-1 AUTOMATED'!J1898,PRICES!$C$2:$C$658,'MAIN TABLE-1 AUTOMATED'!F1898,PRICES!$D$2:$D$658,'MAIN TABLE-1 AUTOMATED'!O1898))</f>
        <v/>
      </c>
      <c r="R1898" s="41" t="str">
        <f>IF(Table1[[#This Row],[QUANTITY]]=0,"",Table1[[#This Row],[UNIT PRICE]]*Table1[[#This Row],[QUANTITY]])</f>
        <v/>
      </c>
      <c r="S1898" s="89"/>
      <c r="T1898" s="38"/>
      <c r="U1898" s="43"/>
      <c r="V1898" s="42" t="str">
        <f>IF(Table1[[#This Row],[DATE]]=0,"",YEAR(E1898))</f>
        <v/>
      </c>
      <c r="W1898" s="40" t="str">
        <f t="shared" si="60"/>
        <v/>
      </c>
      <c r="X1898" s="40" t="str">
        <f t="shared" si="61"/>
        <v/>
      </c>
      <c r="Y1898" s="40" t="str">
        <f>TEXT(Table1[[#This Row],[YEAR]],"0000")&amp;"-"&amp;Table1[[#This Row],[MONTH]]</f>
        <v>-</v>
      </c>
    </row>
    <row r="1899" spans="1:25" ht="15" customHeight="1" x14ac:dyDescent="0.35">
      <c r="A1899" s="24"/>
      <c r="B1899" s="38"/>
      <c r="C1899" s="38"/>
      <c r="D1899" s="38"/>
      <c r="E1899" s="37"/>
      <c r="F1899" s="38"/>
      <c r="G1899" s="198"/>
      <c r="H1899" s="198"/>
      <c r="I1899" s="39"/>
      <c r="J1899" s="38"/>
      <c r="K1899" s="198"/>
      <c r="L1899" s="38"/>
      <c r="M1899" s="38"/>
      <c r="N1899" s="38"/>
      <c r="O1899" s="38"/>
      <c r="P1899" s="40" t="str" cm="1">
        <f t="array" ref="P1899">IF(N1899="","",IFERROR(_xlfn.XLOOKUP(F1899&amp;"|"&amp;J1899&amp;"|"&amp;O1899,PRICES!$C$2:$C$659&amp;"|"&amp;PRICES!$B$2:$B$659&amp;"|"&amp;PRICES!$D$2:$D$659,PRICES!$E$2:$E$659),"Not Found"))</f>
        <v/>
      </c>
      <c r="Q1899" s="100" t="str">
        <f>IF(N1899=0,"",SUMIFS(PRICES!$G$2:$G$658,PRICES!$B$2:$B$658,'MAIN TABLE-1 AUTOMATED'!J1899,PRICES!$C$2:$C$658,'MAIN TABLE-1 AUTOMATED'!F1899,PRICES!$D$2:$D$658,'MAIN TABLE-1 AUTOMATED'!O1899))</f>
        <v/>
      </c>
      <c r="R1899" s="41" t="str">
        <f>IF(Table1[[#This Row],[QUANTITY]]=0,"",Table1[[#This Row],[UNIT PRICE]]*Table1[[#This Row],[QUANTITY]])</f>
        <v/>
      </c>
      <c r="S1899" s="89"/>
      <c r="T1899" s="38"/>
      <c r="U1899" s="43"/>
      <c r="V1899" s="42" t="str">
        <f>IF(Table1[[#This Row],[DATE]]=0,"",YEAR(E1899))</f>
        <v/>
      </c>
      <c r="W1899" s="40" t="str">
        <f t="shared" si="60"/>
        <v/>
      </c>
      <c r="X1899" s="40" t="str">
        <f t="shared" si="61"/>
        <v/>
      </c>
      <c r="Y1899" s="40" t="str">
        <f>TEXT(Table1[[#This Row],[YEAR]],"0000")&amp;"-"&amp;Table1[[#This Row],[MONTH]]</f>
        <v>-</v>
      </c>
    </row>
    <row r="1900" spans="1:25" ht="15" customHeight="1" x14ac:dyDescent="0.35">
      <c r="A1900" s="24"/>
      <c r="B1900" s="38"/>
      <c r="C1900" s="38"/>
      <c r="D1900" s="38"/>
      <c r="E1900" s="37"/>
      <c r="F1900" s="38"/>
      <c r="G1900" s="198"/>
      <c r="H1900" s="198"/>
      <c r="I1900" s="39"/>
      <c r="J1900" s="38"/>
      <c r="K1900" s="198"/>
      <c r="L1900" s="38"/>
      <c r="M1900" s="38"/>
      <c r="N1900" s="38"/>
      <c r="O1900" s="38"/>
      <c r="P1900" s="40" t="str" cm="1">
        <f t="array" ref="P1900">IF(N1900="","",IFERROR(_xlfn.XLOOKUP(F1900&amp;"|"&amp;J1900&amp;"|"&amp;O1900,PRICES!$C$2:$C$659&amp;"|"&amp;PRICES!$B$2:$B$659&amp;"|"&amp;PRICES!$D$2:$D$659,PRICES!$E$2:$E$659),"Not Found"))</f>
        <v/>
      </c>
      <c r="Q1900" s="100" t="str">
        <f>IF(N1900=0,"",SUMIFS(PRICES!$G$2:$G$658,PRICES!$B$2:$B$658,'MAIN TABLE-1 AUTOMATED'!J1900,PRICES!$C$2:$C$658,'MAIN TABLE-1 AUTOMATED'!F1900,PRICES!$D$2:$D$658,'MAIN TABLE-1 AUTOMATED'!O1900))</f>
        <v/>
      </c>
      <c r="R1900" s="41" t="str">
        <f>IF(Table1[[#This Row],[QUANTITY]]=0,"",Table1[[#This Row],[UNIT PRICE]]*Table1[[#This Row],[QUANTITY]])</f>
        <v/>
      </c>
      <c r="S1900" s="89"/>
      <c r="T1900" s="38"/>
      <c r="U1900" s="43"/>
      <c r="V1900" s="42" t="str">
        <f>IF(Table1[[#This Row],[DATE]]=0,"",YEAR(E1900))</f>
        <v/>
      </c>
      <c r="W1900" s="40" t="str">
        <f t="shared" si="60"/>
        <v/>
      </c>
      <c r="X1900" s="40" t="str">
        <f t="shared" si="61"/>
        <v/>
      </c>
      <c r="Y1900" s="40" t="str">
        <f>TEXT(Table1[[#This Row],[YEAR]],"0000")&amp;"-"&amp;Table1[[#This Row],[MONTH]]</f>
        <v>-</v>
      </c>
    </row>
    <row r="1901" spans="1:25" ht="15" customHeight="1" x14ac:dyDescent="0.35">
      <c r="A1901" s="24"/>
      <c r="B1901" s="38"/>
      <c r="C1901" s="38"/>
      <c r="D1901" s="38"/>
      <c r="E1901" s="37"/>
      <c r="F1901" s="38"/>
      <c r="G1901" s="198"/>
      <c r="H1901" s="198"/>
      <c r="I1901" s="39"/>
      <c r="J1901" s="38"/>
      <c r="K1901" s="198"/>
      <c r="L1901" s="38"/>
      <c r="M1901" s="38"/>
      <c r="N1901" s="38"/>
      <c r="O1901" s="38"/>
      <c r="P1901" s="40" t="str" cm="1">
        <f t="array" ref="P1901">IF(N1901="","",IFERROR(_xlfn.XLOOKUP(F1901&amp;"|"&amp;J1901&amp;"|"&amp;O1901,PRICES!$C$2:$C$659&amp;"|"&amp;PRICES!$B$2:$B$659&amp;"|"&amp;PRICES!$D$2:$D$659,PRICES!$E$2:$E$659),"Not Found"))</f>
        <v/>
      </c>
      <c r="Q1901" s="100" t="str">
        <f>IF(N1901=0,"",SUMIFS(PRICES!$G$2:$G$658,PRICES!$B$2:$B$658,'MAIN TABLE-1 AUTOMATED'!J1901,PRICES!$C$2:$C$658,'MAIN TABLE-1 AUTOMATED'!F1901,PRICES!$D$2:$D$658,'MAIN TABLE-1 AUTOMATED'!O1901))</f>
        <v/>
      </c>
      <c r="R1901" s="41" t="str">
        <f>IF(Table1[[#This Row],[QUANTITY]]=0,"",Table1[[#This Row],[UNIT PRICE]]*Table1[[#This Row],[QUANTITY]])</f>
        <v/>
      </c>
      <c r="S1901" s="89"/>
      <c r="T1901" s="38"/>
      <c r="U1901" s="43"/>
      <c r="V1901" s="42" t="str">
        <f>IF(Table1[[#This Row],[DATE]]=0,"",YEAR(E1901))</f>
        <v/>
      </c>
      <c r="W1901" s="40" t="str">
        <f t="shared" si="60"/>
        <v/>
      </c>
      <c r="X1901" s="40" t="str">
        <f t="shared" si="61"/>
        <v/>
      </c>
      <c r="Y1901" s="40" t="str">
        <f>TEXT(Table1[[#This Row],[YEAR]],"0000")&amp;"-"&amp;Table1[[#This Row],[MONTH]]</f>
        <v>-</v>
      </c>
    </row>
    <row r="1902" spans="1:25" ht="15" customHeight="1" x14ac:dyDescent="0.35">
      <c r="A1902" s="24"/>
      <c r="B1902" s="38"/>
      <c r="C1902" s="38"/>
      <c r="D1902" s="38"/>
      <c r="E1902" s="37"/>
      <c r="F1902" s="38"/>
      <c r="G1902" s="198"/>
      <c r="H1902" s="198"/>
      <c r="I1902" s="39"/>
      <c r="J1902" s="38"/>
      <c r="K1902" s="198"/>
      <c r="L1902" s="38"/>
      <c r="M1902" s="38"/>
      <c r="N1902" s="38"/>
      <c r="O1902" s="38"/>
      <c r="P1902" s="40" t="str" cm="1">
        <f t="array" ref="P1902">IF(N1902="","",IFERROR(_xlfn.XLOOKUP(F1902&amp;"|"&amp;J1902&amp;"|"&amp;O1902,PRICES!$C$2:$C$659&amp;"|"&amp;PRICES!$B$2:$B$659&amp;"|"&amp;PRICES!$D$2:$D$659,PRICES!$E$2:$E$659),"Not Found"))</f>
        <v/>
      </c>
      <c r="Q1902" s="100" t="str">
        <f>IF(N1902=0,"",SUMIFS(PRICES!$G$2:$G$658,PRICES!$B$2:$B$658,'MAIN TABLE-1 AUTOMATED'!J1902,PRICES!$C$2:$C$658,'MAIN TABLE-1 AUTOMATED'!F1902,PRICES!$D$2:$D$658,'MAIN TABLE-1 AUTOMATED'!O1902))</f>
        <v/>
      </c>
      <c r="R1902" s="41" t="str">
        <f>IF(Table1[[#This Row],[QUANTITY]]=0,"",Table1[[#This Row],[UNIT PRICE]]*Table1[[#This Row],[QUANTITY]])</f>
        <v/>
      </c>
      <c r="S1902" s="89"/>
      <c r="T1902" s="38"/>
      <c r="U1902" s="43"/>
      <c r="V1902" s="42" t="str">
        <f>IF(Table1[[#This Row],[DATE]]=0,"",YEAR(E1902))</f>
        <v/>
      </c>
      <c r="W1902" s="40" t="str">
        <f t="shared" si="60"/>
        <v/>
      </c>
      <c r="X1902" s="40" t="str">
        <f t="shared" si="61"/>
        <v/>
      </c>
      <c r="Y1902" s="40" t="str">
        <f>TEXT(Table1[[#This Row],[YEAR]],"0000")&amp;"-"&amp;Table1[[#This Row],[MONTH]]</f>
        <v>-</v>
      </c>
    </row>
    <row r="1903" spans="1:25" ht="15" customHeight="1" x14ac:dyDescent="0.35">
      <c r="A1903" s="24"/>
      <c r="B1903" s="38"/>
      <c r="C1903" s="38"/>
      <c r="D1903" s="38"/>
      <c r="E1903" s="37"/>
      <c r="F1903" s="38"/>
      <c r="G1903" s="198"/>
      <c r="H1903" s="198"/>
      <c r="I1903" s="39"/>
      <c r="J1903" s="38"/>
      <c r="K1903" s="198"/>
      <c r="L1903" s="38"/>
      <c r="M1903" s="38"/>
      <c r="N1903" s="38"/>
      <c r="O1903" s="38"/>
      <c r="P1903" s="40" t="str" cm="1">
        <f t="array" ref="P1903">IF(N1903="","",IFERROR(_xlfn.XLOOKUP(F1903&amp;"|"&amp;J1903&amp;"|"&amp;O1903,PRICES!$C$2:$C$659&amp;"|"&amp;PRICES!$B$2:$B$659&amp;"|"&amp;PRICES!$D$2:$D$659,PRICES!$E$2:$E$659),"Not Found"))</f>
        <v/>
      </c>
      <c r="Q1903" s="100" t="str">
        <f>IF(N1903=0,"",SUMIFS(PRICES!$G$2:$G$658,PRICES!$B$2:$B$658,'MAIN TABLE-1 AUTOMATED'!J1903,PRICES!$C$2:$C$658,'MAIN TABLE-1 AUTOMATED'!F1903,PRICES!$D$2:$D$658,'MAIN TABLE-1 AUTOMATED'!O1903))</f>
        <v/>
      </c>
      <c r="R1903" s="41" t="str">
        <f>IF(Table1[[#This Row],[QUANTITY]]=0,"",Table1[[#This Row],[UNIT PRICE]]*Table1[[#This Row],[QUANTITY]])</f>
        <v/>
      </c>
      <c r="S1903" s="89"/>
      <c r="T1903" s="38"/>
      <c r="U1903" s="43"/>
      <c r="V1903" s="42" t="str">
        <f>IF(Table1[[#This Row],[DATE]]=0,"",YEAR(E1903))</f>
        <v/>
      </c>
      <c r="W1903" s="40" t="str">
        <f t="shared" si="60"/>
        <v/>
      </c>
      <c r="X1903" s="40" t="str">
        <f t="shared" si="61"/>
        <v/>
      </c>
      <c r="Y1903" s="40" t="str">
        <f>TEXT(Table1[[#This Row],[YEAR]],"0000")&amp;"-"&amp;Table1[[#This Row],[MONTH]]</f>
        <v>-</v>
      </c>
    </row>
    <row r="1904" spans="1:25" ht="15" customHeight="1" x14ac:dyDescent="0.35">
      <c r="A1904" s="24"/>
      <c r="B1904" s="38"/>
      <c r="C1904" s="38"/>
      <c r="D1904" s="38"/>
      <c r="E1904" s="37"/>
      <c r="F1904" s="38"/>
      <c r="G1904" s="198"/>
      <c r="H1904" s="198"/>
      <c r="I1904" s="39"/>
      <c r="J1904" s="38"/>
      <c r="K1904" s="198"/>
      <c r="L1904" s="38"/>
      <c r="M1904" s="38"/>
      <c r="N1904" s="38"/>
      <c r="O1904" s="38"/>
      <c r="P1904" s="40" t="str" cm="1">
        <f t="array" ref="P1904">IF(N1904="","",IFERROR(_xlfn.XLOOKUP(F1904&amp;"|"&amp;J1904&amp;"|"&amp;O1904,PRICES!$C$2:$C$659&amp;"|"&amp;PRICES!$B$2:$B$659&amp;"|"&amp;PRICES!$D$2:$D$659,PRICES!$E$2:$E$659),"Not Found"))</f>
        <v/>
      </c>
      <c r="Q1904" s="100" t="str">
        <f>IF(N1904=0,"",SUMIFS(PRICES!$G$2:$G$658,PRICES!$B$2:$B$658,'MAIN TABLE-1 AUTOMATED'!J1904,PRICES!$C$2:$C$658,'MAIN TABLE-1 AUTOMATED'!F1904,PRICES!$D$2:$D$658,'MAIN TABLE-1 AUTOMATED'!O1904))</f>
        <v/>
      </c>
      <c r="R1904" s="41" t="str">
        <f>IF(Table1[[#This Row],[QUANTITY]]=0,"",Table1[[#This Row],[UNIT PRICE]]*Table1[[#This Row],[QUANTITY]])</f>
        <v/>
      </c>
      <c r="S1904" s="89"/>
      <c r="T1904" s="38"/>
      <c r="U1904" s="43"/>
      <c r="V1904" s="42" t="str">
        <f>IF(Table1[[#This Row],[DATE]]=0,"",YEAR(E1904))</f>
        <v/>
      </c>
      <c r="W1904" s="40" t="str">
        <f t="shared" si="60"/>
        <v/>
      </c>
      <c r="X1904" s="40" t="str">
        <f t="shared" si="61"/>
        <v/>
      </c>
      <c r="Y1904" s="40" t="str">
        <f>TEXT(Table1[[#This Row],[YEAR]],"0000")&amp;"-"&amp;Table1[[#This Row],[MONTH]]</f>
        <v>-</v>
      </c>
    </row>
    <row r="1905" spans="1:25" ht="15" customHeight="1" x14ac:dyDescent="0.35">
      <c r="A1905" s="24"/>
      <c r="B1905" s="38"/>
      <c r="C1905" s="38"/>
      <c r="D1905" s="38"/>
      <c r="E1905" s="37"/>
      <c r="F1905" s="38"/>
      <c r="G1905" s="198"/>
      <c r="H1905" s="198"/>
      <c r="I1905" s="39"/>
      <c r="J1905" s="38"/>
      <c r="K1905" s="198"/>
      <c r="L1905" s="38"/>
      <c r="M1905" s="38"/>
      <c r="N1905" s="38"/>
      <c r="O1905" s="38"/>
      <c r="P1905" s="40" t="str" cm="1">
        <f t="array" ref="P1905">IF(N1905="","",IFERROR(_xlfn.XLOOKUP(F1905&amp;"|"&amp;J1905&amp;"|"&amp;O1905,PRICES!$C$2:$C$659&amp;"|"&amp;PRICES!$B$2:$B$659&amp;"|"&amp;PRICES!$D$2:$D$659,PRICES!$E$2:$E$659),"Not Found"))</f>
        <v/>
      </c>
      <c r="Q1905" s="100" t="str">
        <f>IF(N1905=0,"",SUMIFS(PRICES!$G$2:$G$658,PRICES!$B$2:$B$658,'MAIN TABLE-1 AUTOMATED'!J1905,PRICES!$C$2:$C$658,'MAIN TABLE-1 AUTOMATED'!F1905,PRICES!$D$2:$D$658,'MAIN TABLE-1 AUTOMATED'!O1905))</f>
        <v/>
      </c>
      <c r="R1905" s="41" t="str">
        <f>IF(Table1[[#This Row],[QUANTITY]]=0,"",Table1[[#This Row],[UNIT PRICE]]*Table1[[#This Row],[QUANTITY]])</f>
        <v/>
      </c>
      <c r="S1905" s="89"/>
      <c r="T1905" s="38"/>
      <c r="U1905" s="43"/>
      <c r="V1905" s="42" t="str">
        <f>IF(Table1[[#This Row],[DATE]]=0,"",YEAR(E1905))</f>
        <v/>
      </c>
      <c r="W1905" s="40" t="str">
        <f t="shared" si="60"/>
        <v/>
      </c>
      <c r="X1905" s="40" t="str">
        <f t="shared" si="61"/>
        <v/>
      </c>
      <c r="Y1905" s="40" t="str">
        <f>TEXT(Table1[[#This Row],[YEAR]],"0000")&amp;"-"&amp;Table1[[#This Row],[MONTH]]</f>
        <v>-</v>
      </c>
    </row>
    <row r="1906" spans="1:25" ht="15" customHeight="1" x14ac:dyDescent="0.35">
      <c r="A1906" s="24"/>
      <c r="B1906" s="38"/>
      <c r="C1906" s="38"/>
      <c r="D1906" s="38"/>
      <c r="E1906" s="37"/>
      <c r="F1906" s="38"/>
      <c r="G1906" s="198"/>
      <c r="H1906" s="198"/>
      <c r="I1906" s="39"/>
      <c r="J1906" s="38"/>
      <c r="K1906" s="198"/>
      <c r="L1906" s="38"/>
      <c r="M1906" s="38"/>
      <c r="N1906" s="38"/>
      <c r="O1906" s="38"/>
      <c r="P1906" s="40" t="str" cm="1">
        <f t="array" ref="P1906">IF(N1906="","",IFERROR(_xlfn.XLOOKUP(F1906&amp;"|"&amp;J1906&amp;"|"&amp;O1906,PRICES!$C$2:$C$659&amp;"|"&amp;PRICES!$B$2:$B$659&amp;"|"&amp;PRICES!$D$2:$D$659,PRICES!$E$2:$E$659),"Not Found"))</f>
        <v/>
      </c>
      <c r="Q1906" s="100" t="str">
        <f>IF(N1906=0,"",SUMIFS(PRICES!$G$2:$G$658,PRICES!$B$2:$B$658,'MAIN TABLE-1 AUTOMATED'!J1906,PRICES!$C$2:$C$658,'MAIN TABLE-1 AUTOMATED'!F1906,PRICES!$D$2:$D$658,'MAIN TABLE-1 AUTOMATED'!O1906))</f>
        <v/>
      </c>
      <c r="R1906" s="41" t="str">
        <f>IF(Table1[[#This Row],[QUANTITY]]=0,"",Table1[[#This Row],[UNIT PRICE]]*Table1[[#This Row],[QUANTITY]])</f>
        <v/>
      </c>
      <c r="S1906" s="89"/>
      <c r="T1906" s="38"/>
      <c r="U1906" s="43"/>
      <c r="V1906" s="42" t="str">
        <f>IF(Table1[[#This Row],[DATE]]=0,"",YEAR(E1906))</f>
        <v/>
      </c>
      <c r="W1906" s="40" t="str">
        <f t="shared" si="60"/>
        <v/>
      </c>
      <c r="X1906" s="40" t="str">
        <f t="shared" si="61"/>
        <v/>
      </c>
      <c r="Y1906" s="40" t="str">
        <f>TEXT(Table1[[#This Row],[YEAR]],"0000")&amp;"-"&amp;Table1[[#This Row],[MONTH]]</f>
        <v>-</v>
      </c>
    </row>
    <row r="1907" spans="1:25" ht="15" customHeight="1" x14ac:dyDescent="0.35">
      <c r="A1907" s="24"/>
      <c r="B1907" s="38"/>
      <c r="C1907" s="38"/>
      <c r="D1907" s="38"/>
      <c r="E1907" s="37"/>
      <c r="F1907" s="38"/>
      <c r="G1907" s="198"/>
      <c r="H1907" s="198"/>
      <c r="I1907" s="39"/>
      <c r="J1907" s="38"/>
      <c r="K1907" s="198"/>
      <c r="L1907" s="38"/>
      <c r="M1907" s="38"/>
      <c r="N1907" s="38"/>
      <c r="O1907" s="38"/>
      <c r="P1907" s="40" t="str" cm="1">
        <f t="array" ref="P1907">IF(N1907="","",IFERROR(_xlfn.XLOOKUP(F1907&amp;"|"&amp;J1907&amp;"|"&amp;O1907,PRICES!$C$2:$C$659&amp;"|"&amp;PRICES!$B$2:$B$659&amp;"|"&amp;PRICES!$D$2:$D$659,PRICES!$E$2:$E$659),"Not Found"))</f>
        <v/>
      </c>
      <c r="Q1907" s="100" t="str">
        <f>IF(N1907=0,"",SUMIFS(PRICES!$G$2:$G$658,PRICES!$B$2:$B$658,'MAIN TABLE-1 AUTOMATED'!J1907,PRICES!$C$2:$C$658,'MAIN TABLE-1 AUTOMATED'!F1907,PRICES!$D$2:$D$658,'MAIN TABLE-1 AUTOMATED'!O1907))</f>
        <v/>
      </c>
      <c r="R1907" s="41" t="str">
        <f>IF(Table1[[#This Row],[QUANTITY]]=0,"",Table1[[#This Row],[UNIT PRICE]]*Table1[[#This Row],[QUANTITY]])</f>
        <v/>
      </c>
      <c r="S1907" s="89"/>
      <c r="T1907" s="38"/>
      <c r="U1907" s="43"/>
      <c r="V1907" s="42" t="str">
        <f>IF(Table1[[#This Row],[DATE]]=0,"",YEAR(E1907))</f>
        <v/>
      </c>
      <c r="W1907" s="40" t="str">
        <f t="shared" si="60"/>
        <v/>
      </c>
      <c r="X1907" s="40" t="str">
        <f t="shared" si="61"/>
        <v/>
      </c>
      <c r="Y1907" s="40" t="str">
        <f>TEXT(Table1[[#This Row],[YEAR]],"0000")&amp;"-"&amp;Table1[[#This Row],[MONTH]]</f>
        <v>-</v>
      </c>
    </row>
    <row r="1908" spans="1:25" ht="15" customHeight="1" x14ac:dyDescent="0.35">
      <c r="A1908" s="24"/>
      <c r="B1908" s="38"/>
      <c r="C1908" s="38"/>
      <c r="D1908" s="38"/>
      <c r="E1908" s="37"/>
      <c r="F1908" s="38"/>
      <c r="G1908" s="198"/>
      <c r="H1908" s="198"/>
      <c r="I1908" s="39"/>
      <c r="J1908" s="38"/>
      <c r="K1908" s="198"/>
      <c r="L1908" s="38"/>
      <c r="M1908" s="38"/>
      <c r="N1908" s="38"/>
      <c r="O1908" s="38"/>
      <c r="P1908" s="40" t="str" cm="1">
        <f t="array" ref="P1908">IF(N1908="","",IFERROR(_xlfn.XLOOKUP(F1908&amp;"|"&amp;J1908&amp;"|"&amp;O1908,PRICES!$C$2:$C$659&amp;"|"&amp;PRICES!$B$2:$B$659&amp;"|"&amp;PRICES!$D$2:$D$659,PRICES!$E$2:$E$659),"Not Found"))</f>
        <v/>
      </c>
      <c r="Q1908" s="100" t="str">
        <f>IF(N1908=0,"",SUMIFS(PRICES!$G$2:$G$658,PRICES!$B$2:$B$658,'MAIN TABLE-1 AUTOMATED'!J1908,PRICES!$C$2:$C$658,'MAIN TABLE-1 AUTOMATED'!F1908,PRICES!$D$2:$D$658,'MAIN TABLE-1 AUTOMATED'!O1908))</f>
        <v/>
      </c>
      <c r="R1908" s="41" t="str">
        <f>IF(Table1[[#This Row],[QUANTITY]]=0,"",Table1[[#This Row],[UNIT PRICE]]*Table1[[#This Row],[QUANTITY]])</f>
        <v/>
      </c>
      <c r="S1908" s="89"/>
      <c r="T1908" s="38"/>
      <c r="U1908" s="43"/>
      <c r="V1908" s="42" t="str">
        <f>IF(Table1[[#This Row],[DATE]]=0,"",YEAR(E1908))</f>
        <v/>
      </c>
      <c r="W1908" s="40" t="str">
        <f t="shared" si="60"/>
        <v/>
      </c>
      <c r="X1908" s="40" t="str">
        <f t="shared" si="61"/>
        <v/>
      </c>
      <c r="Y1908" s="40" t="str">
        <f>TEXT(Table1[[#This Row],[YEAR]],"0000")&amp;"-"&amp;Table1[[#This Row],[MONTH]]</f>
        <v>-</v>
      </c>
    </row>
    <row r="1909" spans="1:25" ht="15" customHeight="1" x14ac:dyDescent="0.35">
      <c r="A1909" s="24"/>
      <c r="B1909" s="38"/>
      <c r="C1909" s="38"/>
      <c r="D1909" s="38"/>
      <c r="E1909" s="37"/>
      <c r="F1909" s="38"/>
      <c r="G1909" s="198"/>
      <c r="H1909" s="198"/>
      <c r="I1909" s="39"/>
      <c r="J1909" s="38"/>
      <c r="K1909" s="198"/>
      <c r="L1909" s="38"/>
      <c r="M1909" s="38"/>
      <c r="N1909" s="38"/>
      <c r="O1909" s="38"/>
      <c r="P1909" s="40" t="str" cm="1">
        <f t="array" ref="P1909">IF(N1909="","",IFERROR(_xlfn.XLOOKUP(F1909&amp;"|"&amp;J1909&amp;"|"&amp;O1909,PRICES!$C$2:$C$659&amp;"|"&amp;PRICES!$B$2:$B$659&amp;"|"&amp;PRICES!$D$2:$D$659,PRICES!$E$2:$E$659),"Not Found"))</f>
        <v/>
      </c>
      <c r="Q1909" s="100" t="str">
        <f>IF(N1909=0,"",SUMIFS(PRICES!$G$2:$G$658,PRICES!$B$2:$B$658,'MAIN TABLE-1 AUTOMATED'!J1909,PRICES!$C$2:$C$658,'MAIN TABLE-1 AUTOMATED'!F1909,PRICES!$D$2:$D$658,'MAIN TABLE-1 AUTOMATED'!O1909))</f>
        <v/>
      </c>
      <c r="R1909" s="41" t="str">
        <f>IF(Table1[[#This Row],[QUANTITY]]=0,"",Table1[[#This Row],[UNIT PRICE]]*Table1[[#This Row],[QUANTITY]])</f>
        <v/>
      </c>
      <c r="S1909" s="89"/>
      <c r="T1909" s="38"/>
      <c r="U1909" s="43"/>
      <c r="V1909" s="42" t="str">
        <f>IF(Table1[[#This Row],[DATE]]=0,"",YEAR(E1909))</f>
        <v/>
      </c>
      <c r="W1909" s="40" t="str">
        <f t="shared" si="60"/>
        <v/>
      </c>
      <c r="X1909" s="40" t="str">
        <f t="shared" si="61"/>
        <v/>
      </c>
      <c r="Y1909" s="40" t="str">
        <f>TEXT(Table1[[#This Row],[YEAR]],"0000")&amp;"-"&amp;Table1[[#This Row],[MONTH]]</f>
        <v>-</v>
      </c>
    </row>
    <row r="1910" spans="1:25" ht="15" customHeight="1" x14ac:dyDescent="0.35">
      <c r="A1910" s="24"/>
      <c r="B1910" s="38"/>
      <c r="C1910" s="38"/>
      <c r="D1910" s="38"/>
      <c r="E1910" s="37"/>
      <c r="F1910" s="38"/>
      <c r="G1910" s="198"/>
      <c r="H1910" s="198"/>
      <c r="I1910" s="39"/>
      <c r="J1910" s="38"/>
      <c r="K1910" s="198"/>
      <c r="L1910" s="38"/>
      <c r="M1910" s="38"/>
      <c r="N1910" s="38"/>
      <c r="O1910" s="38"/>
      <c r="P1910" s="40" t="str" cm="1">
        <f t="array" ref="P1910">IF(N1910="","",IFERROR(_xlfn.XLOOKUP(F1910&amp;"|"&amp;J1910&amp;"|"&amp;O1910,PRICES!$C$2:$C$659&amp;"|"&amp;PRICES!$B$2:$B$659&amp;"|"&amp;PRICES!$D$2:$D$659,PRICES!$E$2:$E$659),"Not Found"))</f>
        <v/>
      </c>
      <c r="Q1910" s="100" t="str">
        <f>IF(N1910=0,"",SUMIFS(PRICES!$G$2:$G$658,PRICES!$B$2:$B$658,'MAIN TABLE-1 AUTOMATED'!J1910,PRICES!$C$2:$C$658,'MAIN TABLE-1 AUTOMATED'!F1910,PRICES!$D$2:$D$658,'MAIN TABLE-1 AUTOMATED'!O1910))</f>
        <v/>
      </c>
      <c r="R1910" s="41" t="str">
        <f>IF(Table1[[#This Row],[QUANTITY]]=0,"",Table1[[#This Row],[UNIT PRICE]]*Table1[[#This Row],[QUANTITY]])</f>
        <v/>
      </c>
      <c r="S1910" s="89"/>
      <c r="T1910" s="38"/>
      <c r="U1910" s="43"/>
      <c r="V1910" s="42" t="str">
        <f>IF(Table1[[#This Row],[DATE]]=0,"",YEAR(E1910))</f>
        <v/>
      </c>
      <c r="W1910" s="40" t="str">
        <f t="shared" si="60"/>
        <v/>
      </c>
      <c r="X1910" s="40" t="str">
        <f t="shared" si="61"/>
        <v/>
      </c>
      <c r="Y1910" s="40" t="str">
        <f>TEXT(Table1[[#This Row],[YEAR]],"0000")&amp;"-"&amp;Table1[[#This Row],[MONTH]]</f>
        <v>-</v>
      </c>
    </row>
    <row r="1911" spans="1:25" ht="15" customHeight="1" x14ac:dyDescent="0.35">
      <c r="A1911" s="24"/>
      <c r="B1911" s="38"/>
      <c r="C1911" s="38"/>
      <c r="D1911" s="38"/>
      <c r="E1911" s="37"/>
      <c r="F1911" s="38"/>
      <c r="G1911" s="198"/>
      <c r="H1911" s="198"/>
      <c r="I1911" s="39"/>
      <c r="J1911" s="38"/>
      <c r="K1911" s="198"/>
      <c r="L1911" s="38"/>
      <c r="M1911" s="38"/>
      <c r="N1911" s="38"/>
      <c r="O1911" s="38"/>
      <c r="P1911" s="40" t="str" cm="1">
        <f t="array" ref="P1911">IF(N1911="","",IFERROR(_xlfn.XLOOKUP(F1911&amp;"|"&amp;J1911&amp;"|"&amp;O1911,PRICES!$C$2:$C$659&amp;"|"&amp;PRICES!$B$2:$B$659&amp;"|"&amp;PRICES!$D$2:$D$659,PRICES!$E$2:$E$659),"Not Found"))</f>
        <v/>
      </c>
      <c r="Q1911" s="100" t="str">
        <f>IF(N1911=0,"",SUMIFS(PRICES!$G$2:$G$658,PRICES!$B$2:$B$658,'MAIN TABLE-1 AUTOMATED'!J1911,PRICES!$C$2:$C$658,'MAIN TABLE-1 AUTOMATED'!F1911,PRICES!$D$2:$D$658,'MAIN TABLE-1 AUTOMATED'!O1911))</f>
        <v/>
      </c>
      <c r="R1911" s="41" t="str">
        <f>IF(Table1[[#This Row],[QUANTITY]]=0,"",Table1[[#This Row],[UNIT PRICE]]*Table1[[#This Row],[QUANTITY]])</f>
        <v/>
      </c>
      <c r="S1911" s="89"/>
      <c r="T1911" s="38"/>
      <c r="U1911" s="43"/>
      <c r="V1911" s="42" t="str">
        <f>IF(Table1[[#This Row],[DATE]]=0,"",YEAR(E1911))</f>
        <v/>
      </c>
      <c r="W1911" s="40" t="str">
        <f t="shared" si="60"/>
        <v/>
      </c>
      <c r="X1911" s="40" t="str">
        <f t="shared" si="61"/>
        <v/>
      </c>
      <c r="Y1911" s="40" t="str">
        <f>TEXT(Table1[[#This Row],[YEAR]],"0000")&amp;"-"&amp;Table1[[#This Row],[MONTH]]</f>
        <v>-</v>
      </c>
    </row>
    <row r="1912" spans="1:25" ht="15" customHeight="1" x14ac:dyDescent="0.35">
      <c r="A1912" s="24"/>
      <c r="B1912" s="38"/>
      <c r="C1912" s="38"/>
      <c r="D1912" s="38"/>
      <c r="E1912" s="37"/>
      <c r="F1912" s="38"/>
      <c r="G1912" s="198"/>
      <c r="H1912" s="198"/>
      <c r="I1912" s="39"/>
      <c r="J1912" s="38"/>
      <c r="K1912" s="198"/>
      <c r="L1912" s="38"/>
      <c r="M1912" s="38"/>
      <c r="N1912" s="38"/>
      <c r="O1912" s="38"/>
      <c r="P1912" s="40" t="str" cm="1">
        <f t="array" ref="P1912">IF(N1912="","",IFERROR(_xlfn.XLOOKUP(F1912&amp;"|"&amp;J1912&amp;"|"&amp;O1912,PRICES!$C$2:$C$659&amp;"|"&amp;PRICES!$B$2:$B$659&amp;"|"&amp;PRICES!$D$2:$D$659,PRICES!$E$2:$E$659),"Not Found"))</f>
        <v/>
      </c>
      <c r="Q1912" s="100" t="str">
        <f>IF(N1912=0,"",SUMIFS(PRICES!$G$2:$G$658,PRICES!$B$2:$B$658,'MAIN TABLE-1 AUTOMATED'!J1912,PRICES!$C$2:$C$658,'MAIN TABLE-1 AUTOMATED'!F1912,PRICES!$D$2:$D$658,'MAIN TABLE-1 AUTOMATED'!O1912))</f>
        <v/>
      </c>
      <c r="R1912" s="41" t="str">
        <f>IF(Table1[[#This Row],[QUANTITY]]=0,"",Table1[[#This Row],[UNIT PRICE]]*Table1[[#This Row],[QUANTITY]])</f>
        <v/>
      </c>
      <c r="S1912" s="89"/>
      <c r="T1912" s="38"/>
      <c r="U1912" s="43"/>
      <c r="V1912" s="42" t="str">
        <f>IF(Table1[[#This Row],[DATE]]=0,"",YEAR(E1912))</f>
        <v/>
      </c>
      <c r="W1912" s="40" t="str">
        <f t="shared" si="60"/>
        <v/>
      </c>
      <c r="X1912" s="40" t="str">
        <f t="shared" si="61"/>
        <v/>
      </c>
      <c r="Y1912" s="40" t="str">
        <f>TEXT(Table1[[#This Row],[YEAR]],"0000")&amp;"-"&amp;Table1[[#This Row],[MONTH]]</f>
        <v>-</v>
      </c>
    </row>
    <row r="1913" spans="1:25" ht="15" customHeight="1" x14ac:dyDescent="0.35">
      <c r="A1913" s="24"/>
      <c r="B1913" s="38"/>
      <c r="C1913" s="38"/>
      <c r="D1913" s="38"/>
      <c r="E1913" s="37"/>
      <c r="F1913" s="38"/>
      <c r="G1913" s="198"/>
      <c r="H1913" s="198"/>
      <c r="I1913" s="39"/>
      <c r="J1913" s="38"/>
      <c r="K1913" s="198"/>
      <c r="L1913" s="38"/>
      <c r="M1913" s="38"/>
      <c r="N1913" s="38"/>
      <c r="O1913" s="38"/>
      <c r="P1913" s="40" t="str" cm="1">
        <f t="array" ref="P1913">IF(N1913="","",IFERROR(_xlfn.XLOOKUP(F1913&amp;"|"&amp;J1913&amp;"|"&amp;O1913,PRICES!$C$2:$C$659&amp;"|"&amp;PRICES!$B$2:$B$659&amp;"|"&amp;PRICES!$D$2:$D$659,PRICES!$E$2:$E$659),"Not Found"))</f>
        <v/>
      </c>
      <c r="Q1913" s="100" t="str">
        <f>IF(N1913=0,"",SUMIFS(PRICES!$G$2:$G$658,PRICES!$B$2:$B$658,'MAIN TABLE-1 AUTOMATED'!J1913,PRICES!$C$2:$C$658,'MAIN TABLE-1 AUTOMATED'!F1913,PRICES!$D$2:$D$658,'MAIN TABLE-1 AUTOMATED'!O1913))</f>
        <v/>
      </c>
      <c r="R1913" s="41" t="str">
        <f>IF(Table1[[#This Row],[QUANTITY]]=0,"",Table1[[#This Row],[UNIT PRICE]]*Table1[[#This Row],[QUANTITY]])</f>
        <v/>
      </c>
      <c r="S1913" s="89"/>
      <c r="T1913" s="38"/>
      <c r="U1913" s="43"/>
      <c r="V1913" s="42" t="str">
        <f>IF(Table1[[#This Row],[DATE]]=0,"",YEAR(E1913))</f>
        <v/>
      </c>
      <c r="W1913" s="40" t="str">
        <f t="shared" si="60"/>
        <v/>
      </c>
      <c r="X1913" s="40" t="str">
        <f t="shared" si="61"/>
        <v/>
      </c>
      <c r="Y1913" s="40" t="str">
        <f>TEXT(Table1[[#This Row],[YEAR]],"0000")&amp;"-"&amp;Table1[[#This Row],[MONTH]]</f>
        <v>-</v>
      </c>
    </row>
    <row r="1914" spans="1:25" ht="15" customHeight="1" x14ac:dyDescent="0.35">
      <c r="A1914" s="24"/>
      <c r="B1914" s="38"/>
      <c r="C1914" s="38"/>
      <c r="D1914" s="38"/>
      <c r="E1914" s="37"/>
      <c r="F1914" s="38"/>
      <c r="G1914" s="198"/>
      <c r="H1914" s="198"/>
      <c r="I1914" s="39"/>
      <c r="J1914" s="38"/>
      <c r="K1914" s="198"/>
      <c r="L1914" s="38"/>
      <c r="M1914" s="38"/>
      <c r="N1914" s="38"/>
      <c r="O1914" s="38"/>
      <c r="P1914" s="40" t="str" cm="1">
        <f t="array" ref="P1914">IF(N1914="","",IFERROR(_xlfn.XLOOKUP(F1914&amp;"|"&amp;J1914&amp;"|"&amp;O1914,PRICES!$C$2:$C$659&amp;"|"&amp;PRICES!$B$2:$B$659&amp;"|"&amp;PRICES!$D$2:$D$659,PRICES!$E$2:$E$659),"Not Found"))</f>
        <v/>
      </c>
      <c r="Q1914" s="100" t="str">
        <f>IF(N1914=0,"",SUMIFS(PRICES!$G$2:$G$658,PRICES!$B$2:$B$658,'MAIN TABLE-1 AUTOMATED'!J1914,PRICES!$C$2:$C$658,'MAIN TABLE-1 AUTOMATED'!F1914,PRICES!$D$2:$D$658,'MAIN TABLE-1 AUTOMATED'!O1914))</f>
        <v/>
      </c>
      <c r="R1914" s="41" t="str">
        <f>IF(Table1[[#This Row],[QUANTITY]]=0,"",Table1[[#This Row],[UNIT PRICE]]*Table1[[#This Row],[QUANTITY]])</f>
        <v/>
      </c>
      <c r="S1914" s="89"/>
      <c r="T1914" s="38"/>
      <c r="U1914" s="43"/>
      <c r="V1914" s="42" t="str">
        <f>IF(Table1[[#This Row],[DATE]]=0,"",YEAR(E1914))</f>
        <v/>
      </c>
      <c r="W1914" s="40" t="str">
        <f t="shared" si="60"/>
        <v/>
      </c>
      <c r="X1914" s="40" t="str">
        <f t="shared" si="61"/>
        <v/>
      </c>
      <c r="Y1914" s="40" t="str">
        <f>TEXT(Table1[[#This Row],[YEAR]],"0000")&amp;"-"&amp;Table1[[#This Row],[MONTH]]</f>
        <v>-</v>
      </c>
    </row>
    <row r="1915" spans="1:25" ht="15" customHeight="1" x14ac:dyDescent="0.35">
      <c r="A1915" s="24"/>
      <c r="B1915" s="38"/>
      <c r="C1915" s="38"/>
      <c r="D1915" s="38"/>
      <c r="E1915" s="37"/>
      <c r="F1915" s="38"/>
      <c r="G1915" s="198"/>
      <c r="H1915" s="198"/>
      <c r="I1915" s="39"/>
      <c r="J1915" s="38"/>
      <c r="K1915" s="198"/>
      <c r="L1915" s="38"/>
      <c r="M1915" s="38"/>
      <c r="N1915" s="38"/>
      <c r="O1915" s="38"/>
      <c r="P1915" s="40" t="str" cm="1">
        <f t="array" ref="P1915">IF(N1915="","",IFERROR(_xlfn.XLOOKUP(F1915&amp;"|"&amp;J1915&amp;"|"&amp;O1915,PRICES!$C$2:$C$659&amp;"|"&amp;PRICES!$B$2:$B$659&amp;"|"&amp;PRICES!$D$2:$D$659,PRICES!$E$2:$E$659),"Not Found"))</f>
        <v/>
      </c>
      <c r="Q1915" s="100" t="str">
        <f>IF(N1915=0,"",SUMIFS(PRICES!$G$2:$G$658,PRICES!$B$2:$B$658,'MAIN TABLE-1 AUTOMATED'!J1915,PRICES!$C$2:$C$658,'MAIN TABLE-1 AUTOMATED'!F1915,PRICES!$D$2:$D$658,'MAIN TABLE-1 AUTOMATED'!O1915))</f>
        <v/>
      </c>
      <c r="R1915" s="41" t="str">
        <f>IF(Table1[[#This Row],[QUANTITY]]=0,"",Table1[[#This Row],[UNIT PRICE]]*Table1[[#This Row],[QUANTITY]])</f>
        <v/>
      </c>
      <c r="S1915" s="89"/>
      <c r="T1915" s="38"/>
      <c r="U1915" s="43"/>
      <c r="V1915" s="42" t="str">
        <f>IF(Table1[[#This Row],[DATE]]=0,"",YEAR(E1915))</f>
        <v/>
      </c>
      <c r="W1915" s="40" t="str">
        <f t="shared" si="60"/>
        <v/>
      </c>
      <c r="X1915" s="40" t="str">
        <f t="shared" si="61"/>
        <v/>
      </c>
      <c r="Y1915" s="40" t="str">
        <f>TEXT(Table1[[#This Row],[YEAR]],"0000")&amp;"-"&amp;Table1[[#This Row],[MONTH]]</f>
        <v>-</v>
      </c>
    </row>
    <row r="1916" spans="1:25" ht="15" customHeight="1" x14ac:dyDescent="0.35">
      <c r="A1916" s="24"/>
      <c r="B1916" s="38"/>
      <c r="C1916" s="38"/>
      <c r="D1916" s="38"/>
      <c r="E1916" s="37"/>
      <c r="F1916" s="38"/>
      <c r="G1916" s="198"/>
      <c r="H1916" s="198"/>
      <c r="I1916" s="291"/>
      <c r="J1916" s="38"/>
      <c r="K1916" s="198"/>
      <c r="L1916" s="38"/>
      <c r="M1916" s="38"/>
      <c r="N1916" s="38"/>
      <c r="O1916" s="38"/>
      <c r="P1916" s="40" t="str" cm="1">
        <f t="array" ref="P1916">IF(N1916="","",IFERROR(_xlfn.XLOOKUP(F1916&amp;"|"&amp;J1916&amp;"|"&amp;O1916,PRICES!$C$2:$C$659&amp;"|"&amp;PRICES!$B$2:$B$659&amp;"|"&amp;PRICES!$D$2:$D$659,PRICES!$E$2:$E$659),"Not Found"))</f>
        <v/>
      </c>
      <c r="Q1916" s="100" t="str">
        <f>IF(N1916=0,"",SUMIFS(PRICES!$G$2:$G$658,PRICES!$B$2:$B$658,'MAIN TABLE-1 AUTOMATED'!J1916,PRICES!$C$2:$C$658,'MAIN TABLE-1 AUTOMATED'!F1916,PRICES!$D$2:$D$658,'MAIN TABLE-1 AUTOMATED'!O1916))</f>
        <v/>
      </c>
      <c r="R1916" s="41" t="str">
        <f>IF(Table1[[#This Row],[QUANTITY]]=0,"",Table1[[#This Row],[UNIT PRICE]]*Table1[[#This Row],[QUANTITY]])</f>
        <v/>
      </c>
      <c r="S1916" s="89"/>
      <c r="T1916" s="38"/>
      <c r="U1916" s="43"/>
      <c r="V1916" s="42" t="str">
        <f>IF(Table1[[#This Row],[DATE]]=0,"",YEAR(E1916))</f>
        <v/>
      </c>
      <c r="W1916" s="40" t="str">
        <f t="shared" si="60"/>
        <v/>
      </c>
      <c r="X1916" s="40" t="str">
        <f t="shared" si="61"/>
        <v/>
      </c>
      <c r="Y1916" s="40" t="str">
        <f>TEXT(Table1[[#This Row],[YEAR]],"0000")&amp;"-"&amp;Table1[[#This Row],[MONTH]]</f>
        <v>-</v>
      </c>
    </row>
    <row r="1917" spans="1:25" ht="15" customHeight="1" x14ac:dyDescent="0.35">
      <c r="A1917" s="24"/>
      <c r="B1917" s="38"/>
      <c r="C1917" s="38"/>
      <c r="D1917" s="38"/>
      <c r="E1917" s="37"/>
      <c r="F1917" s="38"/>
      <c r="G1917" s="198"/>
      <c r="H1917" s="198"/>
      <c r="I1917" s="39"/>
      <c r="J1917" s="38"/>
      <c r="K1917" s="198"/>
      <c r="L1917" s="38"/>
      <c r="M1917" s="38"/>
      <c r="N1917" s="38"/>
      <c r="O1917" s="38"/>
      <c r="P1917" s="40" t="str" cm="1">
        <f t="array" ref="P1917">IF(N1917="","",IFERROR(_xlfn.XLOOKUP(F1917&amp;"|"&amp;J1917&amp;"|"&amp;O1917,PRICES!$C$2:$C$659&amp;"|"&amp;PRICES!$B$2:$B$659&amp;"|"&amp;PRICES!$D$2:$D$659,PRICES!$E$2:$E$659),"Not Found"))</f>
        <v/>
      </c>
      <c r="Q1917" s="100" t="str">
        <f>IF(N1917=0,"",SUMIFS(PRICES!$G$2:$G$658,PRICES!$B$2:$B$658,'MAIN TABLE-1 AUTOMATED'!J1917,PRICES!$C$2:$C$658,'MAIN TABLE-1 AUTOMATED'!F1917,PRICES!$D$2:$D$658,'MAIN TABLE-1 AUTOMATED'!O1917))</f>
        <v/>
      </c>
      <c r="R1917" s="41" t="str">
        <f>IF(Table1[[#This Row],[QUANTITY]]=0,"",Table1[[#This Row],[UNIT PRICE]]*Table1[[#This Row],[QUANTITY]])</f>
        <v/>
      </c>
      <c r="S1917" s="89"/>
      <c r="T1917" s="38"/>
      <c r="U1917" s="43"/>
      <c r="V1917" s="42" t="str">
        <f>IF(Table1[[#This Row],[DATE]]=0,"",YEAR(E1917))</f>
        <v/>
      </c>
      <c r="W1917" s="40" t="str">
        <f t="shared" si="60"/>
        <v/>
      </c>
      <c r="X1917" s="40" t="str">
        <f t="shared" si="61"/>
        <v/>
      </c>
      <c r="Y1917" s="40" t="str">
        <f>TEXT(Table1[[#This Row],[YEAR]],"0000")&amp;"-"&amp;Table1[[#This Row],[MONTH]]</f>
        <v>-</v>
      </c>
    </row>
    <row r="1918" spans="1:25" ht="15" customHeight="1" x14ac:dyDescent="0.35">
      <c r="A1918" s="24"/>
      <c r="B1918" s="38"/>
      <c r="C1918" s="38"/>
      <c r="D1918" s="38"/>
      <c r="E1918" s="37"/>
      <c r="F1918" s="43"/>
      <c r="G1918" s="198"/>
      <c r="H1918" s="198"/>
      <c r="I1918" s="39"/>
      <c r="J1918" s="38"/>
      <c r="K1918" s="198"/>
      <c r="L1918" s="38"/>
      <c r="M1918" s="38"/>
      <c r="N1918" s="38"/>
      <c r="O1918" s="38"/>
      <c r="P1918" s="40" t="str" cm="1">
        <f t="array" ref="P1918">IF(N1918="","",IFERROR(_xlfn.XLOOKUP(F1918&amp;"|"&amp;J1918&amp;"|"&amp;O1918,PRICES!$C$2:$C$659&amp;"|"&amp;PRICES!$B$2:$B$659&amp;"|"&amp;PRICES!$D$2:$D$659,PRICES!$E$2:$E$659),"Not Found"))</f>
        <v/>
      </c>
      <c r="Q1918" s="100" t="str">
        <f>IF(N1918=0,"",SUMIFS(PRICES!$G$2:$G$658,PRICES!$B$2:$B$658,'MAIN TABLE-1 AUTOMATED'!J1918,PRICES!$C$2:$C$658,'MAIN TABLE-1 AUTOMATED'!F1918,PRICES!$D$2:$D$658,'MAIN TABLE-1 AUTOMATED'!O1918))</f>
        <v/>
      </c>
      <c r="R1918" s="41" t="str">
        <f>IF(Table1[[#This Row],[QUANTITY]]=0,"",Table1[[#This Row],[UNIT PRICE]]*Table1[[#This Row],[QUANTITY]])</f>
        <v/>
      </c>
      <c r="S1918" s="89"/>
      <c r="T1918" s="38"/>
      <c r="U1918" s="43"/>
      <c r="V1918" s="42" t="str">
        <f>IF(Table1[[#This Row],[DATE]]=0,"",YEAR(E1918))</f>
        <v/>
      </c>
      <c r="W1918" s="40" t="str">
        <f t="shared" si="60"/>
        <v/>
      </c>
      <c r="X1918" s="40" t="str">
        <f t="shared" si="61"/>
        <v/>
      </c>
      <c r="Y1918" s="40" t="str">
        <f>TEXT(Table1[[#This Row],[YEAR]],"0000")&amp;"-"&amp;Table1[[#This Row],[MONTH]]</f>
        <v>-</v>
      </c>
    </row>
    <row r="1919" spans="1:25" ht="15" customHeight="1" x14ac:dyDescent="0.35">
      <c r="A1919" s="24"/>
      <c r="B1919" s="38"/>
      <c r="C1919" s="38"/>
      <c r="D1919" s="38"/>
      <c r="E1919" s="37"/>
      <c r="F1919" s="38"/>
      <c r="G1919" s="198"/>
      <c r="H1919" s="198"/>
      <c r="I1919" s="39"/>
      <c r="J1919" s="38"/>
      <c r="K1919" s="198"/>
      <c r="L1919" s="38"/>
      <c r="M1919" s="38"/>
      <c r="N1919" s="38"/>
      <c r="O1919" s="38"/>
      <c r="P1919" s="40" t="str" cm="1">
        <f t="array" ref="P1919">IF(N1919="","",IFERROR(_xlfn.XLOOKUP(F1919&amp;"|"&amp;J1919&amp;"|"&amp;O1919,PRICES!$C$2:$C$659&amp;"|"&amp;PRICES!$B$2:$B$659&amp;"|"&amp;PRICES!$D$2:$D$659,PRICES!$E$2:$E$659),"Not Found"))</f>
        <v/>
      </c>
      <c r="Q1919" s="100" t="str">
        <f>IF(N1919=0,"",SUMIFS(PRICES!$G$2:$G$658,PRICES!$B$2:$B$658,'MAIN TABLE-1 AUTOMATED'!J1919,PRICES!$C$2:$C$658,'MAIN TABLE-1 AUTOMATED'!F1919,PRICES!$D$2:$D$658,'MAIN TABLE-1 AUTOMATED'!O1919))</f>
        <v/>
      </c>
      <c r="R1919" s="41" t="str">
        <f>IF(Table1[[#This Row],[QUANTITY]]=0,"",Table1[[#This Row],[UNIT PRICE]]*Table1[[#This Row],[QUANTITY]])</f>
        <v/>
      </c>
      <c r="S1919" s="89"/>
      <c r="T1919" s="38"/>
      <c r="U1919" s="43"/>
      <c r="V1919" s="42" t="str">
        <f>IF(Table1[[#This Row],[DATE]]=0,"",YEAR(E1919))</f>
        <v/>
      </c>
      <c r="W1919" s="40" t="str">
        <f t="shared" si="60"/>
        <v/>
      </c>
      <c r="X1919" s="40" t="str">
        <f t="shared" si="61"/>
        <v/>
      </c>
      <c r="Y1919" s="40" t="str">
        <f>TEXT(Table1[[#This Row],[YEAR]],"0000")&amp;"-"&amp;Table1[[#This Row],[MONTH]]</f>
        <v>-</v>
      </c>
    </row>
    <row r="1920" spans="1:25" ht="15" customHeight="1" x14ac:dyDescent="0.35">
      <c r="A1920" s="24"/>
      <c r="B1920" s="38"/>
      <c r="C1920" s="38"/>
      <c r="D1920" s="38"/>
      <c r="E1920" s="37"/>
      <c r="F1920" s="38"/>
      <c r="G1920" s="232"/>
      <c r="H1920" s="232"/>
      <c r="I1920" s="39"/>
      <c r="J1920" s="38"/>
      <c r="K1920" s="198"/>
      <c r="L1920" s="38"/>
      <c r="M1920" s="38"/>
      <c r="N1920" s="38"/>
      <c r="O1920" s="38"/>
      <c r="P1920" s="40" t="str" cm="1">
        <f t="array" ref="P1920">IF(N1920="","",IFERROR(_xlfn.XLOOKUP(F1920&amp;"|"&amp;J1920&amp;"|"&amp;O1920,PRICES!$C$2:$C$659&amp;"|"&amp;PRICES!$B$2:$B$659&amp;"|"&amp;PRICES!$D$2:$D$659,PRICES!$E$2:$E$659),"Not Found"))</f>
        <v/>
      </c>
      <c r="Q1920" s="100" t="str">
        <f>IF(N1920=0,"",SUMIFS(PRICES!$G$2:$G$658,PRICES!$B$2:$B$658,'MAIN TABLE-1 AUTOMATED'!J1920,PRICES!$C$2:$C$658,'MAIN TABLE-1 AUTOMATED'!F1920,PRICES!$D$2:$D$658,'MAIN TABLE-1 AUTOMATED'!O1920))</f>
        <v/>
      </c>
      <c r="R1920" s="41" t="str">
        <f>IF(Table1[[#This Row],[QUANTITY]]=0,"",Table1[[#This Row],[UNIT PRICE]]*Table1[[#This Row],[QUANTITY]])</f>
        <v/>
      </c>
      <c r="S1920" s="89"/>
      <c r="T1920" s="38"/>
      <c r="U1920" s="43"/>
      <c r="V1920" s="42" t="str">
        <f>IF(Table1[[#This Row],[DATE]]=0,"",YEAR(E1920))</f>
        <v/>
      </c>
      <c r="W1920" s="40" t="str">
        <f t="shared" si="60"/>
        <v/>
      </c>
      <c r="X1920" s="40" t="str">
        <f t="shared" si="61"/>
        <v/>
      </c>
      <c r="Y1920" s="40" t="str">
        <f>TEXT(Table1[[#This Row],[YEAR]],"0000")&amp;"-"&amp;Table1[[#This Row],[MONTH]]</f>
        <v>-</v>
      </c>
    </row>
    <row r="1921" spans="1:25" ht="15" customHeight="1" x14ac:dyDescent="0.35">
      <c r="A1921" s="24"/>
      <c r="B1921" s="38"/>
      <c r="C1921" s="38"/>
      <c r="D1921" s="38"/>
      <c r="E1921" s="37"/>
      <c r="F1921" s="38"/>
      <c r="G1921" s="198"/>
      <c r="H1921" s="198"/>
      <c r="I1921" s="39"/>
      <c r="J1921" s="38"/>
      <c r="K1921" s="198"/>
      <c r="L1921" s="38"/>
      <c r="M1921" s="38"/>
      <c r="N1921" s="38"/>
      <c r="O1921" s="38"/>
      <c r="P1921" s="40" t="str" cm="1">
        <f t="array" ref="P1921">IF(N1921="","",IFERROR(_xlfn.XLOOKUP(F1921&amp;"|"&amp;J1921&amp;"|"&amp;O1921,PRICES!$C$2:$C$659&amp;"|"&amp;PRICES!$B$2:$B$659&amp;"|"&amp;PRICES!$D$2:$D$659,PRICES!$E$2:$E$659),"Not Found"))</f>
        <v/>
      </c>
      <c r="Q1921" s="100" t="str">
        <f>IF(N1921=0,"",SUMIFS(PRICES!$G$2:$G$658,PRICES!$B$2:$B$658,'MAIN TABLE-1 AUTOMATED'!J1921,PRICES!$C$2:$C$658,'MAIN TABLE-1 AUTOMATED'!F1921,PRICES!$D$2:$D$658,'MAIN TABLE-1 AUTOMATED'!O1921))</f>
        <v/>
      </c>
      <c r="R1921" s="41" t="str">
        <f>IF(Table1[[#This Row],[QUANTITY]]=0,"",Table1[[#This Row],[UNIT PRICE]]*Table1[[#This Row],[QUANTITY]])</f>
        <v/>
      </c>
      <c r="S1921" s="89"/>
      <c r="T1921" s="38"/>
      <c r="U1921" s="43"/>
      <c r="V1921" s="42" t="str">
        <f>IF(Table1[[#This Row],[DATE]]=0,"",YEAR(E1921))</f>
        <v/>
      </c>
      <c r="W1921" s="40" t="str">
        <f t="shared" si="60"/>
        <v/>
      </c>
      <c r="X1921" s="40" t="str">
        <f t="shared" si="61"/>
        <v/>
      </c>
      <c r="Y1921" s="40" t="str">
        <f>TEXT(Table1[[#This Row],[YEAR]],"0000")&amp;"-"&amp;Table1[[#This Row],[MONTH]]</f>
        <v>-</v>
      </c>
    </row>
    <row r="1922" spans="1:25" ht="15" customHeight="1" x14ac:dyDescent="0.35">
      <c r="A1922" s="24"/>
      <c r="B1922" s="38"/>
      <c r="C1922" s="38"/>
      <c r="D1922" s="38"/>
      <c r="E1922" s="37"/>
      <c r="F1922" s="38"/>
      <c r="G1922" s="198"/>
      <c r="H1922" s="198"/>
      <c r="I1922" s="39"/>
      <c r="J1922" s="38"/>
      <c r="K1922" s="198"/>
      <c r="L1922" s="38"/>
      <c r="M1922" s="38"/>
      <c r="N1922" s="38"/>
      <c r="O1922" s="38"/>
      <c r="P1922" s="40" t="str" cm="1">
        <f t="array" ref="P1922">IF(N1922="","",IFERROR(_xlfn.XLOOKUP(F1922&amp;"|"&amp;J1922&amp;"|"&amp;O1922,PRICES!$C$2:$C$659&amp;"|"&amp;PRICES!$B$2:$B$659&amp;"|"&amp;PRICES!$D$2:$D$659,PRICES!$E$2:$E$659),"Not Found"))</f>
        <v/>
      </c>
      <c r="Q1922" s="100" t="str">
        <f>IF(N1922=0,"",SUMIFS(PRICES!$G$2:$G$658,PRICES!$B$2:$B$658,'MAIN TABLE-1 AUTOMATED'!J1922,PRICES!$C$2:$C$658,'MAIN TABLE-1 AUTOMATED'!F1922,PRICES!$D$2:$D$658,'MAIN TABLE-1 AUTOMATED'!O1922))</f>
        <v/>
      </c>
      <c r="R1922" s="41" t="str">
        <f>IF(Table1[[#This Row],[QUANTITY]]=0,"",Table1[[#This Row],[UNIT PRICE]]*Table1[[#This Row],[QUANTITY]])</f>
        <v/>
      </c>
      <c r="S1922" s="89"/>
      <c r="T1922" s="38"/>
      <c r="U1922" s="43"/>
      <c r="V1922" s="42" t="str">
        <f>IF(Table1[[#This Row],[DATE]]=0,"",YEAR(E1922))</f>
        <v/>
      </c>
      <c r="W1922" s="40" t="str">
        <f t="shared" si="60"/>
        <v/>
      </c>
      <c r="X1922" s="40" t="str">
        <f t="shared" si="61"/>
        <v/>
      </c>
      <c r="Y1922" s="40" t="str">
        <f>TEXT(Table1[[#This Row],[YEAR]],"0000")&amp;"-"&amp;Table1[[#This Row],[MONTH]]</f>
        <v>-</v>
      </c>
    </row>
    <row r="1923" spans="1:25" ht="15" customHeight="1" x14ac:dyDescent="0.35">
      <c r="A1923" s="24"/>
      <c r="B1923" s="38"/>
      <c r="C1923" s="38"/>
      <c r="D1923" s="38"/>
      <c r="E1923" s="37"/>
      <c r="F1923" s="38"/>
      <c r="G1923" s="198"/>
      <c r="H1923" s="198"/>
      <c r="I1923" s="39"/>
      <c r="J1923" s="38"/>
      <c r="K1923" s="198"/>
      <c r="L1923" s="38"/>
      <c r="M1923" s="38"/>
      <c r="N1923" s="38"/>
      <c r="O1923" s="38"/>
      <c r="P1923" s="40" t="str" cm="1">
        <f t="array" ref="P1923">IF(N1923="","",IFERROR(_xlfn.XLOOKUP(F1923&amp;"|"&amp;J1923&amp;"|"&amp;O1923,PRICES!$C$2:$C$659&amp;"|"&amp;PRICES!$B$2:$B$659&amp;"|"&amp;PRICES!$D$2:$D$659,PRICES!$E$2:$E$659),"Not Found"))</f>
        <v/>
      </c>
      <c r="Q1923" s="100" t="str">
        <f>IF(N1923=0,"",SUMIFS(PRICES!$G$2:$G$658,PRICES!$B$2:$B$658,'MAIN TABLE-1 AUTOMATED'!J1923,PRICES!$C$2:$C$658,'MAIN TABLE-1 AUTOMATED'!F1923,PRICES!$D$2:$D$658,'MAIN TABLE-1 AUTOMATED'!O1923))</f>
        <v/>
      </c>
      <c r="R1923" s="41" t="str">
        <f>IF(Table1[[#This Row],[QUANTITY]]=0,"",Table1[[#This Row],[UNIT PRICE]]*Table1[[#This Row],[QUANTITY]])</f>
        <v/>
      </c>
      <c r="S1923" s="89"/>
      <c r="T1923" s="38"/>
      <c r="U1923" s="43"/>
      <c r="V1923" s="42" t="str">
        <f>IF(Table1[[#This Row],[DATE]]=0,"",YEAR(E1923))</f>
        <v/>
      </c>
      <c r="W1923" s="40" t="str">
        <f t="shared" si="60"/>
        <v/>
      </c>
      <c r="X1923" s="40" t="str">
        <f t="shared" si="61"/>
        <v/>
      </c>
      <c r="Y1923" s="40" t="str">
        <f>TEXT(Table1[[#This Row],[YEAR]],"0000")&amp;"-"&amp;Table1[[#This Row],[MONTH]]</f>
        <v>-</v>
      </c>
    </row>
    <row r="1924" spans="1:25" ht="15" customHeight="1" x14ac:dyDescent="0.35">
      <c r="A1924" s="24"/>
      <c r="B1924" s="38"/>
      <c r="C1924" s="38"/>
      <c r="D1924" s="38"/>
      <c r="E1924" s="37"/>
      <c r="F1924" s="38"/>
      <c r="G1924" s="198"/>
      <c r="H1924" s="198"/>
      <c r="I1924" s="39"/>
      <c r="J1924" s="38"/>
      <c r="K1924" s="198"/>
      <c r="L1924" s="38"/>
      <c r="M1924" s="38"/>
      <c r="N1924" s="38"/>
      <c r="O1924" s="38"/>
      <c r="P1924" s="40" t="str" cm="1">
        <f t="array" ref="P1924">IF(N1924="","",IFERROR(_xlfn.XLOOKUP(F1924&amp;"|"&amp;J1924&amp;"|"&amp;O1924,PRICES!$C$2:$C$659&amp;"|"&amp;PRICES!$B$2:$B$659&amp;"|"&amp;PRICES!$D$2:$D$659,PRICES!$E$2:$E$659),"Not Found"))</f>
        <v/>
      </c>
      <c r="Q1924" s="100" t="str">
        <f>IF(N1924=0,"",SUMIFS(PRICES!$G$2:$G$658,PRICES!$B$2:$B$658,'MAIN TABLE-1 AUTOMATED'!J1924,PRICES!$C$2:$C$658,'MAIN TABLE-1 AUTOMATED'!F1924,PRICES!$D$2:$D$658,'MAIN TABLE-1 AUTOMATED'!O1924))</f>
        <v/>
      </c>
      <c r="R1924" s="41" t="str">
        <f>IF(Table1[[#This Row],[QUANTITY]]=0,"",Table1[[#This Row],[UNIT PRICE]]*Table1[[#This Row],[QUANTITY]])</f>
        <v/>
      </c>
      <c r="S1924" s="89"/>
      <c r="T1924" s="38"/>
      <c r="U1924" s="43"/>
      <c r="V1924" s="42" t="str">
        <f>IF(Table1[[#This Row],[DATE]]=0,"",YEAR(E1924))</f>
        <v/>
      </c>
      <c r="W1924" s="40" t="str">
        <f t="shared" si="60"/>
        <v/>
      </c>
      <c r="X1924" s="40" t="str">
        <f t="shared" si="61"/>
        <v/>
      </c>
      <c r="Y1924" s="40" t="str">
        <f>TEXT(Table1[[#This Row],[YEAR]],"0000")&amp;"-"&amp;Table1[[#This Row],[MONTH]]</f>
        <v>-</v>
      </c>
    </row>
    <row r="1925" spans="1:25" ht="15" customHeight="1" x14ac:dyDescent="0.35">
      <c r="A1925" s="24"/>
      <c r="B1925" s="38"/>
      <c r="C1925" s="38"/>
      <c r="D1925" s="38"/>
      <c r="E1925" s="37"/>
      <c r="F1925" s="38"/>
      <c r="G1925" s="198"/>
      <c r="H1925" s="198"/>
      <c r="I1925" s="39"/>
      <c r="J1925" s="38"/>
      <c r="K1925" s="198"/>
      <c r="L1925" s="38"/>
      <c r="M1925" s="38"/>
      <c r="N1925" s="38"/>
      <c r="O1925" s="38"/>
      <c r="P1925" s="40" t="str" cm="1">
        <f t="array" ref="P1925">IF(N1925="","",IFERROR(_xlfn.XLOOKUP(F1925&amp;"|"&amp;J1925&amp;"|"&amp;O1925,PRICES!$C$2:$C$659&amp;"|"&amp;PRICES!$B$2:$B$659&amp;"|"&amp;PRICES!$D$2:$D$659,PRICES!$E$2:$E$659),"Not Found"))</f>
        <v/>
      </c>
      <c r="Q1925" s="100" t="str">
        <f>IF(N1925=0,"",SUMIFS(PRICES!$G$2:$G$658,PRICES!$B$2:$B$658,'MAIN TABLE-1 AUTOMATED'!J1925,PRICES!$C$2:$C$658,'MAIN TABLE-1 AUTOMATED'!F1925,PRICES!$D$2:$D$658,'MAIN TABLE-1 AUTOMATED'!O1925))</f>
        <v/>
      </c>
      <c r="R1925" s="41" t="str">
        <f>IF(Table1[[#This Row],[QUANTITY]]=0,"",Table1[[#This Row],[UNIT PRICE]]*Table1[[#This Row],[QUANTITY]])</f>
        <v/>
      </c>
      <c r="S1925" s="89"/>
      <c r="T1925" s="38"/>
      <c r="U1925" s="43"/>
      <c r="V1925" s="42" t="str">
        <f>IF(Table1[[#This Row],[DATE]]=0,"",YEAR(E1925))</f>
        <v/>
      </c>
      <c r="W1925" s="40" t="str">
        <f t="shared" si="60"/>
        <v/>
      </c>
      <c r="X1925" s="40" t="str">
        <f t="shared" si="61"/>
        <v/>
      </c>
      <c r="Y1925" s="40" t="str">
        <f>TEXT(Table1[[#This Row],[YEAR]],"0000")&amp;"-"&amp;Table1[[#This Row],[MONTH]]</f>
        <v>-</v>
      </c>
    </row>
    <row r="1926" spans="1:25" ht="15" customHeight="1" x14ac:dyDescent="0.35">
      <c r="A1926" s="24"/>
      <c r="B1926" s="38"/>
      <c r="C1926" s="38"/>
      <c r="D1926" s="38"/>
      <c r="E1926" s="37"/>
      <c r="F1926" s="38"/>
      <c r="G1926" s="198"/>
      <c r="H1926" s="198"/>
      <c r="I1926" s="39"/>
      <c r="J1926" s="38"/>
      <c r="K1926" s="198"/>
      <c r="L1926" s="38"/>
      <c r="M1926" s="38"/>
      <c r="N1926" s="38"/>
      <c r="O1926" s="38"/>
      <c r="P1926" s="40" t="str" cm="1">
        <f t="array" ref="P1926">IF(N1926="","",IFERROR(_xlfn.XLOOKUP(F1926&amp;"|"&amp;J1926&amp;"|"&amp;O1926,PRICES!$C$2:$C$659&amp;"|"&amp;PRICES!$B$2:$B$659&amp;"|"&amp;PRICES!$D$2:$D$659,PRICES!$E$2:$E$659),"Not Found"))</f>
        <v/>
      </c>
      <c r="Q1926" s="100" t="str">
        <f>IF(N1926=0,"",SUMIFS(PRICES!$G$2:$G$658,PRICES!$B$2:$B$658,'MAIN TABLE-1 AUTOMATED'!J1926,PRICES!$C$2:$C$658,'MAIN TABLE-1 AUTOMATED'!F1926,PRICES!$D$2:$D$658,'MAIN TABLE-1 AUTOMATED'!O1926))</f>
        <v/>
      </c>
      <c r="R1926" s="41" t="str">
        <f>IF(Table1[[#This Row],[QUANTITY]]=0,"",Table1[[#This Row],[UNIT PRICE]]*Table1[[#This Row],[QUANTITY]])</f>
        <v/>
      </c>
      <c r="S1926" s="89"/>
      <c r="T1926" s="38"/>
      <c r="U1926" s="43"/>
      <c r="V1926" s="42" t="str">
        <f>IF(Table1[[#This Row],[DATE]]=0,"",YEAR(E1926))</f>
        <v/>
      </c>
      <c r="W1926" s="40" t="str">
        <f t="shared" si="60"/>
        <v/>
      </c>
      <c r="X1926" s="40" t="str">
        <f t="shared" si="61"/>
        <v/>
      </c>
      <c r="Y1926" s="40" t="str">
        <f>TEXT(Table1[[#This Row],[YEAR]],"0000")&amp;"-"&amp;Table1[[#This Row],[MONTH]]</f>
        <v>-</v>
      </c>
    </row>
    <row r="1927" spans="1:25" ht="15" customHeight="1" x14ac:dyDescent="0.35">
      <c r="A1927" s="24"/>
      <c r="B1927" s="38"/>
      <c r="C1927" s="38"/>
      <c r="D1927" s="38"/>
      <c r="E1927" s="37"/>
      <c r="F1927" s="38"/>
      <c r="G1927" s="233"/>
      <c r="H1927" s="233"/>
      <c r="I1927" s="39"/>
      <c r="J1927" s="38"/>
      <c r="K1927" s="198"/>
      <c r="L1927" s="38"/>
      <c r="M1927" s="38"/>
      <c r="N1927" s="38"/>
      <c r="O1927" s="38"/>
      <c r="P1927" s="40" t="str" cm="1">
        <f t="array" ref="P1927">IF(N1927="","",IFERROR(_xlfn.XLOOKUP(F1927&amp;"|"&amp;J1927&amp;"|"&amp;O1927,PRICES!$C$2:$C$659&amp;"|"&amp;PRICES!$B$2:$B$659&amp;"|"&amp;PRICES!$D$2:$D$659,PRICES!$E$2:$E$659),"Not Found"))</f>
        <v/>
      </c>
      <c r="Q1927" s="100" t="str">
        <f>IF(N1927=0,"",SUMIFS(PRICES!$G$2:$G$658,PRICES!$B$2:$B$658,'MAIN TABLE-1 AUTOMATED'!J1927,PRICES!$C$2:$C$658,'MAIN TABLE-1 AUTOMATED'!F1927,PRICES!$D$2:$D$658,'MAIN TABLE-1 AUTOMATED'!O1927))</f>
        <v/>
      </c>
      <c r="R1927" s="41" t="str">
        <f>IF(Table1[[#This Row],[QUANTITY]]=0,"",Table1[[#This Row],[UNIT PRICE]]*Table1[[#This Row],[QUANTITY]])</f>
        <v/>
      </c>
      <c r="S1927" s="89"/>
      <c r="T1927" s="38"/>
      <c r="U1927" s="43"/>
      <c r="V1927" s="42" t="str">
        <f>IF(Table1[[#This Row],[DATE]]=0,"",YEAR(E1927))</f>
        <v/>
      </c>
      <c r="W1927" s="40" t="str">
        <f t="shared" si="60"/>
        <v/>
      </c>
      <c r="X1927" s="40" t="str">
        <f t="shared" si="61"/>
        <v/>
      </c>
      <c r="Y1927" s="40" t="str">
        <f>TEXT(Table1[[#This Row],[YEAR]],"0000")&amp;"-"&amp;Table1[[#This Row],[MONTH]]</f>
        <v>-</v>
      </c>
    </row>
    <row r="1928" spans="1:25" ht="15" customHeight="1" x14ac:dyDescent="0.35">
      <c r="A1928" s="24"/>
      <c r="B1928" s="38"/>
      <c r="C1928" s="38"/>
      <c r="D1928" s="38"/>
      <c r="E1928" s="37"/>
      <c r="F1928" s="38"/>
      <c r="G1928" s="198"/>
      <c r="H1928" s="198"/>
      <c r="I1928" s="39"/>
      <c r="J1928" s="38"/>
      <c r="K1928" s="198"/>
      <c r="L1928" s="38"/>
      <c r="M1928" s="38"/>
      <c r="N1928" s="38"/>
      <c r="O1928" s="38"/>
      <c r="P1928" s="40" t="str" cm="1">
        <f t="array" ref="P1928">IF(N1928="","",IFERROR(_xlfn.XLOOKUP(F1928&amp;"|"&amp;J1928&amp;"|"&amp;O1928,PRICES!$C$2:$C$659&amp;"|"&amp;PRICES!$B$2:$B$659&amp;"|"&amp;PRICES!$D$2:$D$659,PRICES!$E$2:$E$659),"Not Found"))</f>
        <v/>
      </c>
      <c r="Q1928" s="100" t="str">
        <f>IF(N1928=0,"",SUMIFS(PRICES!$G$2:$G$658,PRICES!$B$2:$B$658,'MAIN TABLE-1 AUTOMATED'!J1928,PRICES!$C$2:$C$658,'MAIN TABLE-1 AUTOMATED'!F1928,PRICES!$D$2:$D$658,'MAIN TABLE-1 AUTOMATED'!O1928))</f>
        <v/>
      </c>
      <c r="R1928" s="41" t="str">
        <f>IF(Table1[[#This Row],[QUANTITY]]=0,"",Table1[[#This Row],[UNIT PRICE]]*Table1[[#This Row],[QUANTITY]])</f>
        <v/>
      </c>
      <c r="S1928" s="89"/>
      <c r="T1928" s="38"/>
      <c r="U1928" s="43"/>
      <c r="V1928" s="42" t="str">
        <f>IF(Table1[[#This Row],[DATE]]=0,"",YEAR(E1928))</f>
        <v/>
      </c>
      <c r="W1928" s="40" t="str">
        <f t="shared" si="60"/>
        <v/>
      </c>
      <c r="X1928" s="40" t="str">
        <f t="shared" si="61"/>
        <v/>
      </c>
      <c r="Y1928" s="40" t="str">
        <f>TEXT(Table1[[#This Row],[YEAR]],"0000")&amp;"-"&amp;Table1[[#This Row],[MONTH]]</f>
        <v>-</v>
      </c>
    </row>
    <row r="1929" spans="1:25" ht="15" customHeight="1" x14ac:dyDescent="0.35">
      <c r="A1929" s="24"/>
      <c r="B1929" s="38"/>
      <c r="C1929" s="38"/>
      <c r="D1929" s="38"/>
      <c r="E1929" s="37"/>
      <c r="F1929" s="38"/>
      <c r="G1929" s="198"/>
      <c r="H1929" s="198"/>
      <c r="I1929" s="39"/>
      <c r="J1929" s="38"/>
      <c r="K1929" s="198"/>
      <c r="L1929" s="38"/>
      <c r="M1929" s="38"/>
      <c r="N1929" s="38"/>
      <c r="O1929" s="38"/>
      <c r="P1929" s="40" t="str" cm="1">
        <f t="array" ref="P1929">IF(N1929="","",IFERROR(_xlfn.XLOOKUP(F1929&amp;"|"&amp;J1929&amp;"|"&amp;O1929,PRICES!$C$2:$C$659&amp;"|"&amp;PRICES!$B$2:$B$659&amp;"|"&amp;PRICES!$D$2:$D$659,PRICES!$E$2:$E$659),"Not Found"))</f>
        <v/>
      </c>
      <c r="Q1929" s="100" t="str">
        <f>IF(N1929=0,"",SUMIFS(PRICES!$G$2:$G$658,PRICES!$B$2:$B$658,'MAIN TABLE-1 AUTOMATED'!J1929,PRICES!$C$2:$C$658,'MAIN TABLE-1 AUTOMATED'!F1929,PRICES!$D$2:$D$658,'MAIN TABLE-1 AUTOMATED'!O1929))</f>
        <v/>
      </c>
      <c r="R1929" s="41" t="str">
        <f>IF(Table1[[#This Row],[QUANTITY]]=0,"",Table1[[#This Row],[UNIT PRICE]]*Table1[[#This Row],[QUANTITY]])</f>
        <v/>
      </c>
      <c r="S1929" s="89"/>
      <c r="T1929" s="38"/>
      <c r="U1929" s="43"/>
      <c r="V1929" s="42" t="str">
        <f>IF(Table1[[#This Row],[DATE]]=0,"",YEAR(E1929))</f>
        <v/>
      </c>
      <c r="W1929" s="40" t="str">
        <f t="shared" si="60"/>
        <v/>
      </c>
      <c r="X1929" s="40" t="str">
        <f t="shared" si="61"/>
        <v/>
      </c>
      <c r="Y1929" s="40" t="str">
        <f>TEXT(Table1[[#This Row],[YEAR]],"0000")&amp;"-"&amp;Table1[[#This Row],[MONTH]]</f>
        <v>-</v>
      </c>
    </row>
    <row r="1930" spans="1:25" ht="15" customHeight="1" x14ac:dyDescent="0.35">
      <c r="A1930" s="24"/>
      <c r="B1930" s="38"/>
      <c r="C1930" s="38"/>
      <c r="D1930" s="38"/>
      <c r="E1930" s="37"/>
      <c r="F1930" s="38"/>
      <c r="G1930" s="198"/>
      <c r="H1930" s="198"/>
      <c r="I1930" s="39"/>
      <c r="J1930" s="38"/>
      <c r="K1930" s="198"/>
      <c r="L1930" s="38"/>
      <c r="M1930" s="38"/>
      <c r="N1930" s="38"/>
      <c r="O1930" s="38"/>
      <c r="P1930" s="40" t="str" cm="1">
        <f t="array" ref="P1930">IF(N1930="","",IFERROR(_xlfn.XLOOKUP(F1930&amp;"|"&amp;J1930&amp;"|"&amp;O1930,PRICES!$C$2:$C$659&amp;"|"&amp;PRICES!$B$2:$B$659&amp;"|"&amp;PRICES!$D$2:$D$659,PRICES!$E$2:$E$659),"Not Found"))</f>
        <v/>
      </c>
      <c r="Q1930" s="100" t="str">
        <f>IF(N1930=0,"",SUMIFS(PRICES!$G$2:$G$658,PRICES!$B$2:$B$658,'MAIN TABLE-1 AUTOMATED'!J1930,PRICES!$C$2:$C$658,'MAIN TABLE-1 AUTOMATED'!F1930,PRICES!$D$2:$D$658,'MAIN TABLE-1 AUTOMATED'!O1930))</f>
        <v/>
      </c>
      <c r="R1930" s="41" t="str">
        <f>IF(Table1[[#This Row],[QUANTITY]]=0,"",Table1[[#This Row],[UNIT PRICE]]*Table1[[#This Row],[QUANTITY]])</f>
        <v/>
      </c>
      <c r="S1930" s="89"/>
      <c r="T1930" s="38"/>
      <c r="U1930" s="43"/>
      <c r="V1930" s="42" t="str">
        <f>IF(Table1[[#This Row],[DATE]]=0,"",YEAR(E1930))</f>
        <v/>
      </c>
      <c r="W1930" s="40" t="str">
        <f t="shared" si="60"/>
        <v/>
      </c>
      <c r="X1930" s="40" t="str">
        <f t="shared" si="61"/>
        <v/>
      </c>
      <c r="Y1930" s="40" t="str">
        <f>TEXT(Table1[[#This Row],[YEAR]],"0000")&amp;"-"&amp;Table1[[#This Row],[MONTH]]</f>
        <v>-</v>
      </c>
    </row>
    <row r="1931" spans="1:25" ht="15" customHeight="1" x14ac:dyDescent="0.35">
      <c r="A1931" s="24"/>
      <c r="B1931" s="38"/>
      <c r="C1931" s="38"/>
      <c r="D1931" s="38"/>
      <c r="E1931" s="37"/>
      <c r="F1931" s="38"/>
      <c r="G1931" s="198"/>
      <c r="H1931" s="198"/>
      <c r="I1931" s="39"/>
      <c r="J1931" s="38"/>
      <c r="K1931" s="198"/>
      <c r="L1931" s="38"/>
      <c r="M1931" s="38"/>
      <c r="N1931" s="38"/>
      <c r="O1931" s="38"/>
      <c r="P1931" s="40" t="str" cm="1">
        <f t="array" ref="P1931">IF(N1931="","",IFERROR(_xlfn.XLOOKUP(F1931&amp;"|"&amp;J1931&amp;"|"&amp;O1931,PRICES!$C$2:$C$659&amp;"|"&amp;PRICES!$B$2:$B$659&amp;"|"&amp;PRICES!$D$2:$D$659,PRICES!$E$2:$E$659),"Not Found"))</f>
        <v/>
      </c>
      <c r="Q1931" s="100" t="str">
        <f>IF(N1931=0,"",SUMIFS(PRICES!$G$2:$G$658,PRICES!$B$2:$B$658,'MAIN TABLE-1 AUTOMATED'!J1931,PRICES!$C$2:$C$658,'MAIN TABLE-1 AUTOMATED'!F1931,PRICES!$D$2:$D$658,'MAIN TABLE-1 AUTOMATED'!O1931))</f>
        <v/>
      </c>
      <c r="R1931" s="41" t="str">
        <f>IF(Table1[[#This Row],[QUANTITY]]=0,"",Table1[[#This Row],[UNIT PRICE]]*Table1[[#This Row],[QUANTITY]])</f>
        <v/>
      </c>
      <c r="S1931" s="89"/>
      <c r="T1931" s="38"/>
      <c r="U1931" s="43"/>
      <c r="V1931" s="42" t="str">
        <f>IF(Table1[[#This Row],[DATE]]=0,"",YEAR(E1931))</f>
        <v/>
      </c>
      <c r="W1931" s="40" t="str">
        <f t="shared" si="60"/>
        <v/>
      </c>
      <c r="X1931" s="40" t="str">
        <f t="shared" si="61"/>
        <v/>
      </c>
      <c r="Y1931" s="40" t="str">
        <f>TEXT(Table1[[#This Row],[YEAR]],"0000")&amp;"-"&amp;Table1[[#This Row],[MONTH]]</f>
        <v>-</v>
      </c>
    </row>
    <row r="1932" spans="1:25" ht="15" customHeight="1" x14ac:dyDescent="0.35">
      <c r="A1932" s="24"/>
      <c r="B1932" s="38"/>
      <c r="C1932" s="38"/>
      <c r="D1932" s="38"/>
      <c r="E1932" s="37"/>
      <c r="F1932" s="38"/>
      <c r="G1932" s="198"/>
      <c r="H1932" s="198"/>
      <c r="I1932" s="39"/>
      <c r="J1932" s="38"/>
      <c r="K1932" s="198"/>
      <c r="L1932" s="38"/>
      <c r="M1932" s="38"/>
      <c r="N1932" s="38"/>
      <c r="O1932" s="38"/>
      <c r="P1932" s="40" t="str" cm="1">
        <f t="array" ref="P1932">IF(N1932="","",IFERROR(_xlfn.XLOOKUP(F1932&amp;"|"&amp;J1932&amp;"|"&amp;O1932,PRICES!$C$2:$C$659&amp;"|"&amp;PRICES!$B$2:$B$659&amp;"|"&amp;PRICES!$D$2:$D$659,PRICES!$E$2:$E$659),"Not Found"))</f>
        <v/>
      </c>
      <c r="Q1932" s="100" t="str">
        <f>IF(N1932=0,"",SUMIFS(PRICES!$G$2:$G$658,PRICES!$B$2:$B$658,'MAIN TABLE-1 AUTOMATED'!J1932,PRICES!$C$2:$C$658,'MAIN TABLE-1 AUTOMATED'!F1932,PRICES!$D$2:$D$658,'MAIN TABLE-1 AUTOMATED'!O1932))</f>
        <v/>
      </c>
      <c r="R1932" s="41" t="str">
        <f>IF(Table1[[#This Row],[QUANTITY]]=0,"",Table1[[#This Row],[UNIT PRICE]]*Table1[[#This Row],[QUANTITY]])</f>
        <v/>
      </c>
      <c r="S1932" s="89"/>
      <c r="T1932" s="38"/>
      <c r="U1932" s="43"/>
      <c r="V1932" s="42" t="str">
        <f>IF(Table1[[#This Row],[DATE]]=0,"",YEAR(E1932))</f>
        <v/>
      </c>
      <c r="W1932" s="40" t="str">
        <f t="shared" si="60"/>
        <v/>
      </c>
      <c r="X1932" s="40" t="str">
        <f t="shared" si="61"/>
        <v/>
      </c>
      <c r="Y1932" s="40" t="str">
        <f>TEXT(Table1[[#This Row],[YEAR]],"0000")&amp;"-"&amp;Table1[[#This Row],[MONTH]]</f>
        <v>-</v>
      </c>
    </row>
    <row r="1933" spans="1:25" ht="15" customHeight="1" x14ac:dyDescent="0.35">
      <c r="A1933" s="24"/>
      <c r="B1933" s="38"/>
      <c r="C1933" s="38"/>
      <c r="D1933" s="38"/>
      <c r="E1933" s="37"/>
      <c r="F1933" s="38"/>
      <c r="G1933" s="198"/>
      <c r="H1933" s="198"/>
      <c r="I1933" s="39"/>
      <c r="J1933" s="38"/>
      <c r="K1933" s="198"/>
      <c r="L1933" s="38"/>
      <c r="M1933" s="38"/>
      <c r="N1933" s="38"/>
      <c r="O1933" s="38"/>
      <c r="P1933" s="40" t="str" cm="1">
        <f t="array" ref="P1933">IF(N1933="","",IFERROR(_xlfn.XLOOKUP(F1933&amp;"|"&amp;J1933&amp;"|"&amp;O1933,PRICES!$C$2:$C$659&amp;"|"&amp;PRICES!$B$2:$B$659&amp;"|"&amp;PRICES!$D$2:$D$659,PRICES!$E$2:$E$659),"Not Found"))</f>
        <v/>
      </c>
      <c r="Q1933" s="100" t="str">
        <f>IF(N1933=0,"",SUMIFS(PRICES!$G$2:$G$658,PRICES!$B$2:$B$658,'MAIN TABLE-1 AUTOMATED'!J1933,PRICES!$C$2:$C$658,'MAIN TABLE-1 AUTOMATED'!F1933,PRICES!$D$2:$D$658,'MAIN TABLE-1 AUTOMATED'!O1933))</f>
        <v/>
      </c>
      <c r="R1933" s="41" t="str">
        <f>IF(Table1[[#This Row],[QUANTITY]]=0,"",Table1[[#This Row],[UNIT PRICE]]*Table1[[#This Row],[QUANTITY]])</f>
        <v/>
      </c>
      <c r="S1933" s="89"/>
      <c r="T1933" s="38"/>
      <c r="U1933" s="43"/>
      <c r="V1933" s="42" t="str">
        <f>IF(Table1[[#This Row],[DATE]]=0,"",YEAR(E1933))</f>
        <v/>
      </c>
      <c r="W1933" s="40" t="str">
        <f t="shared" si="60"/>
        <v/>
      </c>
      <c r="X1933" s="40" t="str">
        <f t="shared" si="61"/>
        <v/>
      </c>
      <c r="Y1933" s="40" t="str">
        <f>TEXT(Table1[[#This Row],[YEAR]],"0000")&amp;"-"&amp;Table1[[#This Row],[MONTH]]</f>
        <v>-</v>
      </c>
    </row>
    <row r="1934" spans="1:25" ht="15" customHeight="1" x14ac:dyDescent="0.35">
      <c r="A1934" s="24"/>
      <c r="B1934" s="38"/>
      <c r="C1934" s="38"/>
      <c r="D1934" s="38"/>
      <c r="E1934" s="37"/>
      <c r="F1934" s="38"/>
      <c r="G1934" s="198"/>
      <c r="H1934" s="198"/>
      <c r="I1934" s="39"/>
      <c r="J1934" s="38"/>
      <c r="K1934" s="198"/>
      <c r="L1934" s="38"/>
      <c r="M1934" s="38"/>
      <c r="N1934" s="38"/>
      <c r="O1934" s="38"/>
      <c r="P1934" s="40" t="str" cm="1">
        <f t="array" ref="P1934">IF(N1934="","",IFERROR(_xlfn.XLOOKUP(F1934&amp;"|"&amp;J1934&amp;"|"&amp;O1934,PRICES!$C$2:$C$659&amp;"|"&amp;PRICES!$B$2:$B$659&amp;"|"&amp;PRICES!$D$2:$D$659,PRICES!$E$2:$E$659),"Not Found"))</f>
        <v/>
      </c>
      <c r="Q1934" s="100" t="str">
        <f>IF(N1934=0,"",SUMIFS(PRICES!$G$2:$G$658,PRICES!$B$2:$B$658,'MAIN TABLE-1 AUTOMATED'!J1934,PRICES!$C$2:$C$658,'MAIN TABLE-1 AUTOMATED'!F1934,PRICES!$D$2:$D$658,'MAIN TABLE-1 AUTOMATED'!O1934))</f>
        <v/>
      </c>
      <c r="R1934" s="41" t="str">
        <f>IF(Table1[[#This Row],[QUANTITY]]=0,"",Table1[[#This Row],[UNIT PRICE]]*Table1[[#This Row],[QUANTITY]])</f>
        <v/>
      </c>
      <c r="S1934" s="89"/>
      <c r="T1934" s="38"/>
      <c r="U1934" s="43"/>
      <c r="V1934" s="42" t="str">
        <f>IF(Table1[[#This Row],[DATE]]=0,"",YEAR(E1934))</f>
        <v/>
      </c>
      <c r="W1934" s="40" t="str">
        <f t="shared" si="60"/>
        <v/>
      </c>
      <c r="X1934" s="40" t="str">
        <f t="shared" si="61"/>
        <v/>
      </c>
      <c r="Y1934" s="40" t="str">
        <f>TEXT(Table1[[#This Row],[YEAR]],"0000")&amp;"-"&amp;Table1[[#This Row],[MONTH]]</f>
        <v>-</v>
      </c>
    </row>
    <row r="1935" spans="1:25" ht="15" customHeight="1" x14ac:dyDescent="0.35">
      <c r="A1935" s="24"/>
      <c r="B1935" s="38"/>
      <c r="C1935" s="38"/>
      <c r="D1935" s="38"/>
      <c r="E1935" s="37"/>
      <c r="F1935" s="38"/>
      <c r="G1935" s="198"/>
      <c r="H1935" s="198"/>
      <c r="I1935" s="39"/>
      <c r="J1935" s="38"/>
      <c r="K1935" s="198"/>
      <c r="L1935" s="38"/>
      <c r="M1935" s="38"/>
      <c r="N1935" s="38"/>
      <c r="O1935" s="38"/>
      <c r="P1935" s="40" t="str" cm="1">
        <f t="array" ref="P1935">IF(N1935="","",IFERROR(_xlfn.XLOOKUP(F1935&amp;"|"&amp;J1935&amp;"|"&amp;O1935,PRICES!$C$2:$C$659&amp;"|"&amp;PRICES!$B$2:$B$659&amp;"|"&amp;PRICES!$D$2:$D$659,PRICES!$E$2:$E$659),"Not Found"))</f>
        <v/>
      </c>
      <c r="Q1935" s="100" t="str">
        <f>IF(N1935=0,"",SUMIFS(PRICES!$G$2:$G$658,PRICES!$B$2:$B$658,'MAIN TABLE-1 AUTOMATED'!J1935,PRICES!$C$2:$C$658,'MAIN TABLE-1 AUTOMATED'!F1935,PRICES!$D$2:$D$658,'MAIN TABLE-1 AUTOMATED'!O1935))</f>
        <v/>
      </c>
      <c r="R1935" s="41" t="str">
        <f>IF(Table1[[#This Row],[QUANTITY]]=0,"",Table1[[#This Row],[UNIT PRICE]]*Table1[[#This Row],[QUANTITY]])</f>
        <v/>
      </c>
      <c r="S1935" s="89"/>
      <c r="T1935" s="38"/>
      <c r="U1935" s="43"/>
      <c r="V1935" s="42" t="str">
        <f>IF(Table1[[#This Row],[DATE]]=0,"",YEAR(E1935))</f>
        <v/>
      </c>
      <c r="W1935" s="40" t="str">
        <f t="shared" si="60"/>
        <v/>
      </c>
      <c r="X1935" s="40" t="str">
        <f t="shared" si="61"/>
        <v/>
      </c>
      <c r="Y1935" s="40" t="str">
        <f>TEXT(Table1[[#This Row],[YEAR]],"0000")&amp;"-"&amp;Table1[[#This Row],[MONTH]]</f>
        <v>-</v>
      </c>
    </row>
    <row r="1936" spans="1:25" ht="15" customHeight="1" x14ac:dyDescent="0.35">
      <c r="A1936" s="24"/>
      <c r="B1936" s="38"/>
      <c r="C1936" s="38"/>
      <c r="D1936" s="38"/>
      <c r="E1936" s="37"/>
      <c r="F1936" s="38"/>
      <c r="G1936" s="198"/>
      <c r="H1936" s="198"/>
      <c r="I1936" s="39"/>
      <c r="J1936" s="38"/>
      <c r="K1936" s="198"/>
      <c r="L1936" s="38"/>
      <c r="M1936" s="38"/>
      <c r="N1936" s="38"/>
      <c r="O1936" s="38"/>
      <c r="P1936" s="40" t="str" cm="1">
        <f t="array" ref="P1936">IF(N1936="","",IFERROR(_xlfn.XLOOKUP(F1936&amp;"|"&amp;J1936&amp;"|"&amp;O1936,PRICES!$C$2:$C$659&amp;"|"&amp;PRICES!$B$2:$B$659&amp;"|"&amp;PRICES!$D$2:$D$659,PRICES!$E$2:$E$659),"Not Found"))</f>
        <v/>
      </c>
      <c r="Q1936" s="100" t="str">
        <f>IF(N1936=0,"",SUMIFS(PRICES!$G$2:$G$658,PRICES!$B$2:$B$658,'MAIN TABLE-1 AUTOMATED'!J1936,PRICES!$C$2:$C$658,'MAIN TABLE-1 AUTOMATED'!F1936,PRICES!$D$2:$D$658,'MAIN TABLE-1 AUTOMATED'!O1936))</f>
        <v/>
      </c>
      <c r="R1936" s="41" t="str">
        <f>IF(Table1[[#This Row],[QUANTITY]]=0,"",Table1[[#This Row],[UNIT PRICE]]*Table1[[#This Row],[QUANTITY]])</f>
        <v/>
      </c>
      <c r="S1936" s="89"/>
      <c r="T1936" s="38"/>
      <c r="U1936" s="43"/>
      <c r="V1936" s="42" t="str">
        <f>IF(Table1[[#This Row],[DATE]]=0,"",YEAR(E1936))</f>
        <v/>
      </c>
      <c r="W1936" s="40" t="str">
        <f t="shared" si="60"/>
        <v/>
      </c>
      <c r="X1936" s="40" t="str">
        <f t="shared" si="61"/>
        <v/>
      </c>
      <c r="Y1936" s="40" t="str">
        <f>TEXT(Table1[[#This Row],[YEAR]],"0000")&amp;"-"&amp;Table1[[#This Row],[MONTH]]</f>
        <v>-</v>
      </c>
    </row>
    <row r="1937" spans="1:25" ht="15" customHeight="1" x14ac:dyDescent="0.35">
      <c r="A1937" s="24"/>
      <c r="B1937" s="38"/>
      <c r="C1937" s="38"/>
      <c r="D1937" s="38"/>
      <c r="E1937" s="37"/>
      <c r="F1937" s="38"/>
      <c r="G1937" s="198"/>
      <c r="H1937" s="198"/>
      <c r="I1937" s="39"/>
      <c r="J1937" s="38"/>
      <c r="K1937" s="198"/>
      <c r="L1937" s="38"/>
      <c r="M1937" s="38"/>
      <c r="N1937" s="38"/>
      <c r="O1937" s="38"/>
      <c r="P1937" s="40" t="str" cm="1">
        <f t="array" ref="P1937">IF(N1937="","",IFERROR(_xlfn.XLOOKUP(F1937&amp;"|"&amp;J1937&amp;"|"&amp;O1937,PRICES!$C$2:$C$659&amp;"|"&amp;PRICES!$B$2:$B$659&amp;"|"&amp;PRICES!$D$2:$D$659,PRICES!$E$2:$E$659),"Not Found"))</f>
        <v/>
      </c>
      <c r="Q1937" s="100" t="str">
        <f>IF(N1937=0,"",SUMIFS(PRICES!$G$2:$G$658,PRICES!$B$2:$B$658,'MAIN TABLE-1 AUTOMATED'!J1937,PRICES!$C$2:$C$658,'MAIN TABLE-1 AUTOMATED'!F1937,PRICES!$D$2:$D$658,'MAIN TABLE-1 AUTOMATED'!O1937))</f>
        <v/>
      </c>
      <c r="R1937" s="41" t="str">
        <f>IF(Table1[[#This Row],[QUANTITY]]=0,"",Table1[[#This Row],[UNIT PRICE]]*Table1[[#This Row],[QUANTITY]])</f>
        <v/>
      </c>
      <c r="S1937" s="89"/>
      <c r="T1937" s="38"/>
      <c r="U1937" s="43"/>
      <c r="V1937" s="42" t="str">
        <f>IF(Table1[[#This Row],[DATE]]=0,"",YEAR(E1937))</f>
        <v/>
      </c>
      <c r="W1937" s="40" t="str">
        <f t="shared" si="60"/>
        <v/>
      </c>
      <c r="X1937" s="40" t="str">
        <f t="shared" si="61"/>
        <v/>
      </c>
      <c r="Y1937" s="40" t="str">
        <f>TEXT(Table1[[#This Row],[YEAR]],"0000")&amp;"-"&amp;Table1[[#This Row],[MONTH]]</f>
        <v>-</v>
      </c>
    </row>
    <row r="1938" spans="1:25" ht="15" customHeight="1" x14ac:dyDescent="0.35">
      <c r="A1938" s="24"/>
      <c r="B1938" s="38"/>
      <c r="C1938" s="38"/>
      <c r="D1938" s="38"/>
      <c r="E1938" s="37"/>
      <c r="F1938" s="38"/>
      <c r="G1938" s="198"/>
      <c r="H1938" s="198"/>
      <c r="I1938" s="39"/>
      <c r="J1938" s="38"/>
      <c r="K1938" s="198"/>
      <c r="L1938" s="38"/>
      <c r="M1938" s="38"/>
      <c r="N1938" s="38"/>
      <c r="O1938" s="38"/>
      <c r="P1938" s="40" t="str" cm="1">
        <f t="array" ref="P1938">IF(N1938="","",IFERROR(_xlfn.XLOOKUP(F1938&amp;"|"&amp;J1938&amp;"|"&amp;O1938,PRICES!$C$2:$C$659&amp;"|"&amp;PRICES!$B$2:$B$659&amp;"|"&amp;PRICES!$D$2:$D$659,PRICES!$E$2:$E$659),"Not Found"))</f>
        <v/>
      </c>
      <c r="Q1938" s="100" t="str">
        <f>IF(N1938=0,"",SUMIFS(PRICES!$G$2:$G$658,PRICES!$B$2:$B$658,'MAIN TABLE-1 AUTOMATED'!J1938,PRICES!$C$2:$C$658,'MAIN TABLE-1 AUTOMATED'!F1938,PRICES!$D$2:$D$658,'MAIN TABLE-1 AUTOMATED'!O1938))</f>
        <v/>
      </c>
      <c r="R1938" s="41" t="str">
        <f>IF(Table1[[#This Row],[QUANTITY]]=0,"",Table1[[#This Row],[UNIT PRICE]]*Table1[[#This Row],[QUANTITY]])</f>
        <v/>
      </c>
      <c r="S1938" s="89"/>
      <c r="T1938" s="38"/>
      <c r="U1938" s="43"/>
      <c r="V1938" s="42" t="str">
        <f>IF(Table1[[#This Row],[DATE]]=0,"",YEAR(E1938))</f>
        <v/>
      </c>
      <c r="W1938" s="40" t="str">
        <f t="shared" si="60"/>
        <v/>
      </c>
      <c r="X1938" s="40" t="str">
        <f t="shared" si="61"/>
        <v/>
      </c>
      <c r="Y1938" s="40" t="str">
        <f>TEXT(Table1[[#This Row],[YEAR]],"0000")&amp;"-"&amp;Table1[[#This Row],[MONTH]]</f>
        <v>-</v>
      </c>
    </row>
    <row r="1939" spans="1:25" ht="15" customHeight="1" x14ac:dyDescent="0.35">
      <c r="A1939" s="24"/>
      <c r="B1939" s="38"/>
      <c r="C1939" s="38"/>
      <c r="D1939" s="38"/>
      <c r="E1939" s="37"/>
      <c r="F1939" s="38"/>
      <c r="G1939" s="198"/>
      <c r="H1939" s="198"/>
      <c r="I1939" s="39"/>
      <c r="J1939" s="38"/>
      <c r="K1939" s="198"/>
      <c r="L1939" s="38"/>
      <c r="M1939" s="38"/>
      <c r="N1939" s="38"/>
      <c r="O1939" s="38"/>
      <c r="P1939" s="40" t="str" cm="1">
        <f t="array" ref="P1939">IF(N1939="","",IFERROR(_xlfn.XLOOKUP(F1939&amp;"|"&amp;J1939&amp;"|"&amp;O1939,PRICES!$C$2:$C$659&amp;"|"&amp;PRICES!$B$2:$B$659&amp;"|"&amp;PRICES!$D$2:$D$659,PRICES!$E$2:$E$659),"Not Found"))</f>
        <v/>
      </c>
      <c r="Q1939" s="100" t="str">
        <f>IF(N1939=0,"",SUMIFS(PRICES!$G$2:$G$658,PRICES!$B$2:$B$658,'MAIN TABLE-1 AUTOMATED'!J1939,PRICES!$C$2:$C$658,'MAIN TABLE-1 AUTOMATED'!F1939,PRICES!$D$2:$D$658,'MAIN TABLE-1 AUTOMATED'!O1939))</f>
        <v/>
      </c>
      <c r="R1939" s="41" t="str">
        <f>IF(Table1[[#This Row],[QUANTITY]]=0,"",Table1[[#This Row],[UNIT PRICE]]*Table1[[#This Row],[QUANTITY]])</f>
        <v/>
      </c>
      <c r="S1939" s="89"/>
      <c r="T1939" s="38"/>
      <c r="U1939" s="43"/>
      <c r="V1939" s="42" t="str">
        <f>IF(Table1[[#This Row],[DATE]]=0,"",YEAR(E1939))</f>
        <v/>
      </c>
      <c r="W1939" s="40" t="str">
        <f t="shared" si="60"/>
        <v/>
      </c>
      <c r="X1939" s="40" t="str">
        <f t="shared" si="61"/>
        <v/>
      </c>
      <c r="Y1939" s="40" t="str">
        <f>TEXT(Table1[[#This Row],[YEAR]],"0000")&amp;"-"&amp;Table1[[#This Row],[MONTH]]</f>
        <v>-</v>
      </c>
    </row>
    <row r="1940" spans="1:25" ht="15" customHeight="1" x14ac:dyDescent="0.35">
      <c r="A1940" s="24"/>
      <c r="B1940" s="38"/>
      <c r="C1940" s="38"/>
      <c r="D1940" s="38"/>
      <c r="E1940" s="37"/>
      <c r="F1940" s="38"/>
      <c r="G1940" s="198"/>
      <c r="H1940" s="198"/>
      <c r="I1940" s="39"/>
      <c r="J1940" s="38"/>
      <c r="K1940" s="198"/>
      <c r="L1940" s="38"/>
      <c r="M1940" s="38"/>
      <c r="N1940" s="38"/>
      <c r="O1940" s="38"/>
      <c r="P1940" s="40" t="str" cm="1">
        <f t="array" ref="P1940">IF(N1940="","",IFERROR(_xlfn.XLOOKUP(F1940&amp;"|"&amp;J1940&amp;"|"&amp;O1940,PRICES!$C$2:$C$659&amp;"|"&amp;PRICES!$B$2:$B$659&amp;"|"&amp;PRICES!$D$2:$D$659,PRICES!$E$2:$E$659),"Not Found"))</f>
        <v/>
      </c>
      <c r="Q1940" s="100" t="str">
        <f>IF(N1940=0,"",SUMIFS(PRICES!$G$2:$G$658,PRICES!$B$2:$B$658,'MAIN TABLE-1 AUTOMATED'!J1940,PRICES!$C$2:$C$658,'MAIN TABLE-1 AUTOMATED'!F1940,PRICES!$D$2:$D$658,'MAIN TABLE-1 AUTOMATED'!O1940))</f>
        <v/>
      </c>
      <c r="R1940" s="41" t="str">
        <f>IF(Table1[[#This Row],[QUANTITY]]=0,"",Table1[[#This Row],[UNIT PRICE]]*Table1[[#This Row],[QUANTITY]])</f>
        <v/>
      </c>
      <c r="S1940" s="89"/>
      <c r="T1940" s="38"/>
      <c r="U1940" s="43"/>
      <c r="V1940" s="42" t="str">
        <f>IF(Table1[[#This Row],[DATE]]=0,"",YEAR(E1940))</f>
        <v/>
      </c>
      <c r="W1940" s="40" t="str">
        <f t="shared" si="60"/>
        <v/>
      </c>
      <c r="X1940" s="40" t="str">
        <f t="shared" si="61"/>
        <v/>
      </c>
      <c r="Y1940" s="40" t="str">
        <f>TEXT(Table1[[#This Row],[YEAR]],"0000")&amp;"-"&amp;Table1[[#This Row],[MONTH]]</f>
        <v>-</v>
      </c>
    </row>
    <row r="1941" spans="1:25" ht="15" customHeight="1" x14ac:dyDescent="0.35">
      <c r="A1941" s="24"/>
      <c r="B1941" s="38"/>
      <c r="C1941" s="38"/>
      <c r="D1941" s="38"/>
      <c r="E1941" s="37"/>
      <c r="F1941" s="38"/>
      <c r="G1941" s="198"/>
      <c r="H1941" s="198"/>
      <c r="I1941" s="39"/>
      <c r="J1941" s="38"/>
      <c r="K1941" s="198"/>
      <c r="L1941" s="38"/>
      <c r="M1941" s="38"/>
      <c r="N1941" s="38"/>
      <c r="O1941" s="38"/>
      <c r="P1941" s="40" t="str" cm="1">
        <f t="array" ref="P1941">IF(N1941="","",IFERROR(_xlfn.XLOOKUP(F1941&amp;"|"&amp;J1941&amp;"|"&amp;O1941,PRICES!$C$2:$C$659&amp;"|"&amp;PRICES!$B$2:$B$659&amp;"|"&amp;PRICES!$D$2:$D$659,PRICES!$E$2:$E$659),"Not Found"))</f>
        <v/>
      </c>
      <c r="Q1941" s="100" t="str">
        <f>IF(N1941=0,"",SUMIFS(PRICES!$G$2:$G$658,PRICES!$B$2:$B$658,'MAIN TABLE-1 AUTOMATED'!J1941,PRICES!$C$2:$C$658,'MAIN TABLE-1 AUTOMATED'!F1941,PRICES!$D$2:$D$658,'MAIN TABLE-1 AUTOMATED'!O1941))</f>
        <v/>
      </c>
      <c r="R1941" s="41" t="str">
        <f>IF(Table1[[#This Row],[QUANTITY]]=0,"",Table1[[#This Row],[UNIT PRICE]]*Table1[[#This Row],[QUANTITY]])</f>
        <v/>
      </c>
      <c r="S1941" s="89"/>
      <c r="T1941" s="38"/>
      <c r="U1941" s="43"/>
      <c r="V1941" s="42" t="str">
        <f>IF(Table1[[#This Row],[DATE]]=0,"",YEAR(E1941))</f>
        <v/>
      </c>
      <c r="W1941" s="40" t="str">
        <f t="shared" si="60"/>
        <v/>
      </c>
      <c r="X1941" s="40" t="str">
        <f t="shared" si="61"/>
        <v/>
      </c>
      <c r="Y1941" s="40" t="str">
        <f>TEXT(Table1[[#This Row],[YEAR]],"0000")&amp;"-"&amp;Table1[[#This Row],[MONTH]]</f>
        <v>-</v>
      </c>
    </row>
    <row r="1942" spans="1:25" ht="15" customHeight="1" x14ac:dyDescent="0.35">
      <c r="A1942" s="24"/>
      <c r="B1942" s="38"/>
      <c r="C1942" s="38"/>
      <c r="D1942" s="38"/>
      <c r="E1942" s="37"/>
      <c r="F1942" s="38"/>
      <c r="G1942" s="198"/>
      <c r="H1942" s="198"/>
      <c r="I1942" s="39"/>
      <c r="J1942" s="38"/>
      <c r="K1942" s="198"/>
      <c r="L1942" s="38"/>
      <c r="M1942" s="38"/>
      <c r="N1942" s="38"/>
      <c r="O1942" s="38"/>
      <c r="P1942" s="40" t="str" cm="1">
        <f t="array" ref="P1942">IF(N1942="","",IFERROR(_xlfn.XLOOKUP(F1942&amp;"|"&amp;J1942&amp;"|"&amp;O1942,PRICES!$C$2:$C$659&amp;"|"&amp;PRICES!$B$2:$B$659&amp;"|"&amp;PRICES!$D$2:$D$659,PRICES!$E$2:$E$659),"Not Found"))</f>
        <v/>
      </c>
      <c r="Q1942" s="100" t="str">
        <f>IF(N1942=0,"",SUMIFS(PRICES!$G$2:$G$658,PRICES!$B$2:$B$658,'MAIN TABLE-1 AUTOMATED'!J1942,PRICES!$C$2:$C$658,'MAIN TABLE-1 AUTOMATED'!F1942,PRICES!$D$2:$D$658,'MAIN TABLE-1 AUTOMATED'!O1942))</f>
        <v/>
      </c>
      <c r="R1942" s="41" t="str">
        <f>IF(Table1[[#This Row],[QUANTITY]]=0,"",Table1[[#This Row],[UNIT PRICE]]*Table1[[#This Row],[QUANTITY]])</f>
        <v/>
      </c>
      <c r="S1942" s="89"/>
      <c r="T1942" s="38"/>
      <c r="U1942" s="43"/>
      <c r="V1942" s="42" t="str">
        <f>IF(Table1[[#This Row],[DATE]]=0,"",YEAR(E1942))</f>
        <v/>
      </c>
      <c r="W1942" s="40" t="str">
        <f t="shared" si="60"/>
        <v/>
      </c>
      <c r="X1942" s="40" t="str">
        <f t="shared" si="61"/>
        <v/>
      </c>
      <c r="Y1942" s="40" t="str">
        <f>TEXT(Table1[[#This Row],[YEAR]],"0000")&amp;"-"&amp;Table1[[#This Row],[MONTH]]</f>
        <v>-</v>
      </c>
    </row>
    <row r="1943" spans="1:25" ht="15" customHeight="1" x14ac:dyDescent="0.35">
      <c r="A1943" s="24"/>
      <c r="B1943" s="38"/>
      <c r="C1943" s="38"/>
      <c r="D1943" s="38"/>
      <c r="E1943" s="37"/>
      <c r="F1943" s="38"/>
      <c r="G1943" s="198"/>
      <c r="H1943" s="198"/>
      <c r="I1943" s="39"/>
      <c r="J1943" s="38"/>
      <c r="K1943" s="198"/>
      <c r="L1943" s="38"/>
      <c r="M1943" s="38"/>
      <c r="N1943" s="38"/>
      <c r="O1943" s="38"/>
      <c r="P1943" s="40" t="str" cm="1">
        <f t="array" ref="P1943">IF(N1943="","",IFERROR(_xlfn.XLOOKUP(F1943&amp;"|"&amp;J1943&amp;"|"&amp;O1943,PRICES!$C$2:$C$659&amp;"|"&amp;PRICES!$B$2:$B$659&amp;"|"&amp;PRICES!$D$2:$D$659,PRICES!$E$2:$E$659),"Not Found"))</f>
        <v/>
      </c>
      <c r="Q1943" s="100" t="str">
        <f>IF(N1943=0,"",SUMIFS(PRICES!$G$2:$G$658,PRICES!$B$2:$B$658,'MAIN TABLE-1 AUTOMATED'!J1943,PRICES!$C$2:$C$658,'MAIN TABLE-1 AUTOMATED'!F1943,PRICES!$D$2:$D$658,'MAIN TABLE-1 AUTOMATED'!O1943))</f>
        <v/>
      </c>
      <c r="R1943" s="41" t="str">
        <f>IF(Table1[[#This Row],[QUANTITY]]=0,"",Table1[[#This Row],[UNIT PRICE]]*Table1[[#This Row],[QUANTITY]])</f>
        <v/>
      </c>
      <c r="S1943" s="89"/>
      <c r="T1943" s="38"/>
      <c r="U1943" s="43"/>
      <c r="V1943" s="42" t="str">
        <f>IF(Table1[[#This Row],[DATE]]=0,"",YEAR(E1943))</f>
        <v/>
      </c>
      <c r="W1943" s="40" t="str">
        <f t="shared" si="60"/>
        <v/>
      </c>
      <c r="X1943" s="40" t="str">
        <f t="shared" si="61"/>
        <v/>
      </c>
      <c r="Y1943" s="40" t="str">
        <f>TEXT(Table1[[#This Row],[YEAR]],"0000")&amp;"-"&amp;Table1[[#This Row],[MONTH]]</f>
        <v>-</v>
      </c>
    </row>
    <row r="1944" spans="1:25" ht="15" customHeight="1" x14ac:dyDescent="0.35">
      <c r="A1944" s="24"/>
      <c r="B1944" s="38"/>
      <c r="C1944" s="38"/>
      <c r="D1944" s="38"/>
      <c r="E1944" s="37"/>
      <c r="F1944" s="38"/>
      <c r="G1944" s="198"/>
      <c r="H1944" s="198"/>
      <c r="I1944" s="39"/>
      <c r="J1944" s="38"/>
      <c r="K1944" s="198"/>
      <c r="L1944" s="38"/>
      <c r="M1944" s="38"/>
      <c r="N1944" s="38"/>
      <c r="O1944" s="38"/>
      <c r="P1944" s="40" t="str" cm="1">
        <f t="array" ref="P1944">IF(N1944="","",IFERROR(_xlfn.XLOOKUP(F1944&amp;"|"&amp;J1944&amp;"|"&amp;O1944,PRICES!$C$2:$C$659&amp;"|"&amp;PRICES!$B$2:$B$659&amp;"|"&amp;PRICES!$D$2:$D$659,PRICES!$E$2:$E$659),"Not Found"))</f>
        <v/>
      </c>
      <c r="Q1944" s="100" t="str">
        <f>IF(N1944=0,"",SUMIFS(PRICES!$G$2:$G$658,PRICES!$B$2:$B$658,'MAIN TABLE-1 AUTOMATED'!J1944,PRICES!$C$2:$C$658,'MAIN TABLE-1 AUTOMATED'!F1944,PRICES!$D$2:$D$658,'MAIN TABLE-1 AUTOMATED'!O1944))</f>
        <v/>
      </c>
      <c r="R1944" s="41" t="str">
        <f>IF(Table1[[#This Row],[QUANTITY]]=0,"",Table1[[#This Row],[UNIT PRICE]]*Table1[[#This Row],[QUANTITY]])</f>
        <v/>
      </c>
      <c r="S1944" s="89"/>
      <c r="T1944" s="38"/>
      <c r="U1944" s="43"/>
      <c r="V1944" s="42" t="str">
        <f>IF(Table1[[#This Row],[DATE]]=0,"",YEAR(E1944))</f>
        <v/>
      </c>
      <c r="W1944" s="40" t="str">
        <f t="shared" si="60"/>
        <v/>
      </c>
      <c r="X1944" s="40" t="str">
        <f t="shared" si="61"/>
        <v/>
      </c>
      <c r="Y1944" s="40" t="str">
        <f>TEXT(Table1[[#This Row],[YEAR]],"0000")&amp;"-"&amp;Table1[[#This Row],[MONTH]]</f>
        <v>-</v>
      </c>
    </row>
    <row r="1945" spans="1:25" ht="15" customHeight="1" x14ac:dyDescent="0.35">
      <c r="A1945" s="24"/>
      <c r="B1945" s="38"/>
      <c r="C1945" s="38"/>
      <c r="D1945" s="38"/>
      <c r="E1945" s="37"/>
      <c r="F1945" s="38"/>
      <c r="G1945" s="198"/>
      <c r="H1945" s="198"/>
      <c r="I1945" s="39"/>
      <c r="J1945" s="38"/>
      <c r="K1945" s="198"/>
      <c r="L1945" s="38"/>
      <c r="M1945" s="38"/>
      <c r="N1945" s="38"/>
      <c r="O1945" s="38"/>
      <c r="P1945" s="40" t="str" cm="1">
        <f t="array" ref="P1945">IF(N1945="","",IFERROR(_xlfn.XLOOKUP(F1945&amp;"|"&amp;J1945&amp;"|"&amp;O1945,PRICES!$C$2:$C$659&amp;"|"&amp;PRICES!$B$2:$B$659&amp;"|"&amp;PRICES!$D$2:$D$659,PRICES!$E$2:$E$659),"Not Found"))</f>
        <v/>
      </c>
      <c r="Q1945" s="100" t="str">
        <f>IF(N1945=0,"",SUMIFS(PRICES!$G$2:$G$658,PRICES!$B$2:$B$658,'MAIN TABLE-1 AUTOMATED'!J1945,PRICES!$C$2:$C$658,'MAIN TABLE-1 AUTOMATED'!F1945,PRICES!$D$2:$D$658,'MAIN TABLE-1 AUTOMATED'!O1945))</f>
        <v/>
      </c>
      <c r="R1945" s="41" t="str">
        <f>IF(Table1[[#This Row],[QUANTITY]]=0,"",Table1[[#This Row],[UNIT PRICE]]*Table1[[#This Row],[QUANTITY]])</f>
        <v/>
      </c>
      <c r="S1945" s="89"/>
      <c r="T1945" s="38"/>
      <c r="U1945" s="43"/>
      <c r="V1945" s="42" t="str">
        <f>IF(Table1[[#This Row],[DATE]]=0,"",YEAR(E1945))</f>
        <v/>
      </c>
      <c r="W1945" s="40" t="str">
        <f t="shared" si="60"/>
        <v/>
      </c>
      <c r="X1945" s="40" t="str">
        <f t="shared" si="61"/>
        <v/>
      </c>
      <c r="Y1945" s="40" t="str">
        <f>TEXT(Table1[[#This Row],[YEAR]],"0000")&amp;"-"&amp;Table1[[#This Row],[MONTH]]</f>
        <v>-</v>
      </c>
    </row>
    <row r="1946" spans="1:25" ht="15" customHeight="1" x14ac:dyDescent="0.35">
      <c r="A1946" s="24"/>
      <c r="B1946" s="38"/>
      <c r="C1946" s="38"/>
      <c r="D1946" s="38"/>
      <c r="E1946" s="37"/>
      <c r="F1946" s="38"/>
      <c r="G1946" s="198"/>
      <c r="H1946" s="198"/>
      <c r="I1946" s="39"/>
      <c r="J1946" s="38"/>
      <c r="K1946" s="198"/>
      <c r="L1946" s="38"/>
      <c r="M1946" s="38"/>
      <c r="N1946" s="38"/>
      <c r="O1946" s="38"/>
      <c r="P1946" s="40" t="str" cm="1">
        <f t="array" ref="P1946">IF(N1946="","",IFERROR(_xlfn.XLOOKUP(F1946&amp;"|"&amp;J1946&amp;"|"&amp;O1946,PRICES!$C$2:$C$659&amp;"|"&amp;PRICES!$B$2:$B$659&amp;"|"&amp;PRICES!$D$2:$D$659,PRICES!$E$2:$E$659),"Not Found"))</f>
        <v/>
      </c>
      <c r="Q1946" s="100" t="str">
        <f>IF(N1946=0,"",SUMIFS(PRICES!$G$2:$G$658,PRICES!$B$2:$B$658,'MAIN TABLE-1 AUTOMATED'!J1946,PRICES!$C$2:$C$658,'MAIN TABLE-1 AUTOMATED'!F1946,PRICES!$D$2:$D$658,'MAIN TABLE-1 AUTOMATED'!O1946))</f>
        <v/>
      </c>
      <c r="R1946" s="41" t="str">
        <f>IF(Table1[[#This Row],[QUANTITY]]=0,"",Table1[[#This Row],[UNIT PRICE]]*Table1[[#This Row],[QUANTITY]])</f>
        <v/>
      </c>
      <c r="S1946" s="89"/>
      <c r="T1946" s="38"/>
      <c r="U1946" s="43"/>
      <c r="V1946" s="42" t="str">
        <f>IF(Table1[[#This Row],[DATE]]=0,"",YEAR(E1946))</f>
        <v/>
      </c>
      <c r="W1946" s="40" t="str">
        <f t="shared" si="60"/>
        <v/>
      </c>
      <c r="X1946" s="40" t="str">
        <f t="shared" si="61"/>
        <v/>
      </c>
      <c r="Y1946" s="40" t="str">
        <f>TEXT(Table1[[#This Row],[YEAR]],"0000")&amp;"-"&amp;Table1[[#This Row],[MONTH]]</f>
        <v>-</v>
      </c>
    </row>
    <row r="1947" spans="1:25" ht="15" customHeight="1" x14ac:dyDescent="0.35">
      <c r="A1947" s="24"/>
      <c r="B1947" s="38"/>
      <c r="C1947" s="38"/>
      <c r="D1947" s="38"/>
      <c r="E1947" s="37"/>
      <c r="F1947" s="38"/>
      <c r="G1947" s="198"/>
      <c r="H1947" s="198"/>
      <c r="I1947" s="39"/>
      <c r="J1947" s="38"/>
      <c r="K1947" s="198"/>
      <c r="L1947" s="38"/>
      <c r="M1947" s="38"/>
      <c r="N1947" s="38"/>
      <c r="O1947" s="38"/>
      <c r="P1947" s="40" t="str" cm="1">
        <f t="array" ref="P1947">IF(N1947="","",IFERROR(_xlfn.XLOOKUP(F1947&amp;"|"&amp;J1947&amp;"|"&amp;O1947,PRICES!$C$2:$C$659&amp;"|"&amp;PRICES!$B$2:$B$659&amp;"|"&amp;PRICES!$D$2:$D$659,PRICES!$E$2:$E$659),"Not Found"))</f>
        <v/>
      </c>
      <c r="Q1947" s="100" t="str">
        <f>IF(N1947=0,"",SUMIFS(PRICES!$G$2:$G$658,PRICES!$B$2:$B$658,'MAIN TABLE-1 AUTOMATED'!J1947,PRICES!$C$2:$C$658,'MAIN TABLE-1 AUTOMATED'!F1947,PRICES!$D$2:$D$658,'MAIN TABLE-1 AUTOMATED'!O1947))</f>
        <v/>
      </c>
      <c r="R1947" s="41" t="str">
        <f>IF(Table1[[#This Row],[QUANTITY]]=0,"",Table1[[#This Row],[UNIT PRICE]]*Table1[[#This Row],[QUANTITY]])</f>
        <v/>
      </c>
      <c r="S1947" s="89"/>
      <c r="T1947" s="38"/>
      <c r="U1947" s="43"/>
      <c r="V1947" s="42" t="str">
        <f>IF(Table1[[#This Row],[DATE]]=0,"",YEAR(E1947))</f>
        <v/>
      </c>
      <c r="W1947" s="40" t="str">
        <f t="shared" si="60"/>
        <v/>
      </c>
      <c r="X1947" s="40" t="str">
        <f t="shared" si="61"/>
        <v/>
      </c>
      <c r="Y1947" s="40" t="str">
        <f>TEXT(Table1[[#This Row],[YEAR]],"0000")&amp;"-"&amp;Table1[[#This Row],[MONTH]]</f>
        <v>-</v>
      </c>
    </row>
    <row r="1948" spans="1:25" ht="15" customHeight="1" x14ac:dyDescent="0.35">
      <c r="A1948" s="24"/>
      <c r="B1948" s="38"/>
      <c r="C1948" s="38"/>
      <c r="D1948" s="38"/>
      <c r="E1948" s="37"/>
      <c r="F1948" s="38"/>
      <c r="G1948" s="198"/>
      <c r="H1948" s="198"/>
      <c r="I1948" s="39"/>
      <c r="J1948" s="38"/>
      <c r="K1948" s="198"/>
      <c r="L1948" s="38"/>
      <c r="M1948" s="38"/>
      <c r="N1948" s="38"/>
      <c r="O1948" s="38"/>
      <c r="P1948" s="40" t="str" cm="1">
        <f t="array" ref="P1948">IF(N1948="","",IFERROR(_xlfn.XLOOKUP(F1948&amp;"|"&amp;J1948&amp;"|"&amp;O1948,PRICES!$C$2:$C$659&amp;"|"&amp;PRICES!$B$2:$B$659&amp;"|"&amp;PRICES!$D$2:$D$659,PRICES!$E$2:$E$659),"Not Found"))</f>
        <v/>
      </c>
      <c r="Q1948" s="100" t="str">
        <f>IF(N1948=0,"",SUMIFS(PRICES!$G$2:$G$658,PRICES!$B$2:$B$658,'MAIN TABLE-1 AUTOMATED'!J1948,PRICES!$C$2:$C$658,'MAIN TABLE-1 AUTOMATED'!F1948,PRICES!$D$2:$D$658,'MAIN TABLE-1 AUTOMATED'!O1948))</f>
        <v/>
      </c>
      <c r="R1948" s="41" t="str">
        <f>IF(Table1[[#This Row],[QUANTITY]]=0,"",Table1[[#This Row],[UNIT PRICE]]*Table1[[#This Row],[QUANTITY]])</f>
        <v/>
      </c>
      <c r="S1948" s="89"/>
      <c r="T1948" s="38"/>
      <c r="U1948" s="43"/>
      <c r="V1948" s="42" t="str">
        <f>IF(Table1[[#This Row],[DATE]]=0,"",YEAR(E1948))</f>
        <v/>
      </c>
      <c r="W1948" s="40" t="str">
        <f t="shared" si="60"/>
        <v/>
      </c>
      <c r="X1948" s="40" t="str">
        <f t="shared" si="61"/>
        <v/>
      </c>
      <c r="Y1948" s="40" t="str">
        <f>TEXT(Table1[[#This Row],[YEAR]],"0000")&amp;"-"&amp;Table1[[#This Row],[MONTH]]</f>
        <v>-</v>
      </c>
    </row>
    <row r="1949" spans="1:25" ht="15" customHeight="1" x14ac:dyDescent="0.35">
      <c r="A1949" s="24"/>
      <c r="B1949" s="38"/>
      <c r="C1949" s="38"/>
      <c r="D1949" s="38"/>
      <c r="E1949" s="37"/>
      <c r="F1949" s="38"/>
      <c r="G1949" s="198"/>
      <c r="H1949" s="198"/>
      <c r="I1949" s="39"/>
      <c r="J1949" s="38"/>
      <c r="K1949" s="198"/>
      <c r="L1949" s="38"/>
      <c r="M1949" s="38"/>
      <c r="N1949" s="38"/>
      <c r="O1949" s="38"/>
      <c r="P1949" s="40" t="str" cm="1">
        <f t="array" ref="P1949">IF(N1949="","",IFERROR(_xlfn.XLOOKUP(F1949&amp;"|"&amp;J1949&amp;"|"&amp;O1949,PRICES!$C$2:$C$659&amp;"|"&amp;PRICES!$B$2:$B$659&amp;"|"&amp;PRICES!$D$2:$D$659,PRICES!$E$2:$E$659),"Not Found"))</f>
        <v/>
      </c>
      <c r="Q1949" s="100" t="str">
        <f>IF(N1949=0,"",SUMIFS(PRICES!$G$2:$G$658,PRICES!$B$2:$B$658,'MAIN TABLE-1 AUTOMATED'!J1949,PRICES!$C$2:$C$658,'MAIN TABLE-1 AUTOMATED'!F1949,PRICES!$D$2:$D$658,'MAIN TABLE-1 AUTOMATED'!O1949))</f>
        <v/>
      </c>
      <c r="R1949" s="41" t="str">
        <f>IF(Table1[[#This Row],[QUANTITY]]=0,"",Table1[[#This Row],[UNIT PRICE]]*Table1[[#This Row],[QUANTITY]])</f>
        <v/>
      </c>
      <c r="S1949" s="89"/>
      <c r="T1949" s="38"/>
      <c r="U1949" s="43"/>
      <c r="V1949" s="42" t="str">
        <f>IF(Table1[[#This Row],[DATE]]=0,"",YEAR(E1949))</f>
        <v/>
      </c>
      <c r="W1949" s="40" t="str">
        <f t="shared" si="60"/>
        <v/>
      </c>
      <c r="X1949" s="40" t="str">
        <f t="shared" si="61"/>
        <v/>
      </c>
      <c r="Y1949" s="40" t="str">
        <f>TEXT(Table1[[#This Row],[YEAR]],"0000")&amp;"-"&amp;Table1[[#This Row],[MONTH]]</f>
        <v>-</v>
      </c>
    </row>
    <row r="1950" spans="1:25" ht="15" customHeight="1" x14ac:dyDescent="0.35">
      <c r="A1950" s="24"/>
      <c r="B1950" s="38"/>
      <c r="C1950" s="38"/>
      <c r="D1950" s="38"/>
      <c r="E1950" s="37"/>
      <c r="F1950" s="38"/>
      <c r="G1950" s="198"/>
      <c r="H1950" s="198"/>
      <c r="I1950" s="39"/>
      <c r="J1950" s="38"/>
      <c r="K1950" s="198"/>
      <c r="L1950" s="38"/>
      <c r="M1950" s="38"/>
      <c r="N1950" s="38"/>
      <c r="O1950" s="38"/>
      <c r="P1950" s="40" t="str" cm="1">
        <f t="array" ref="P1950">IF(N1950="","",IFERROR(_xlfn.XLOOKUP(F1950&amp;"|"&amp;J1950&amp;"|"&amp;O1950,PRICES!$C$2:$C$659&amp;"|"&amp;PRICES!$B$2:$B$659&amp;"|"&amp;PRICES!$D$2:$D$659,PRICES!$E$2:$E$659),"Not Found"))</f>
        <v/>
      </c>
      <c r="Q1950" s="100" t="str">
        <f>IF(N1950=0,"",SUMIFS(PRICES!$G$2:$G$658,PRICES!$B$2:$B$658,'MAIN TABLE-1 AUTOMATED'!J1950,PRICES!$C$2:$C$658,'MAIN TABLE-1 AUTOMATED'!F1950,PRICES!$D$2:$D$658,'MAIN TABLE-1 AUTOMATED'!O1950))</f>
        <v/>
      </c>
      <c r="R1950" s="41" t="str">
        <f>IF(Table1[[#This Row],[QUANTITY]]=0,"",Table1[[#This Row],[UNIT PRICE]]*Table1[[#This Row],[QUANTITY]])</f>
        <v/>
      </c>
      <c r="S1950" s="89"/>
      <c r="T1950" s="38"/>
      <c r="U1950" s="43"/>
      <c r="V1950" s="42" t="str">
        <f>IF(Table1[[#This Row],[DATE]]=0,"",YEAR(E1950))</f>
        <v/>
      </c>
      <c r="W1950" s="40" t="str">
        <f t="shared" si="60"/>
        <v/>
      </c>
      <c r="X1950" s="40" t="str">
        <f t="shared" si="61"/>
        <v/>
      </c>
      <c r="Y1950" s="40" t="str">
        <f>TEXT(Table1[[#This Row],[YEAR]],"0000")&amp;"-"&amp;Table1[[#This Row],[MONTH]]</f>
        <v>-</v>
      </c>
    </row>
    <row r="1951" spans="1:25" ht="15" customHeight="1" x14ac:dyDescent="0.35">
      <c r="A1951" s="24"/>
      <c r="B1951" s="38"/>
      <c r="C1951" s="38"/>
      <c r="D1951" s="38"/>
      <c r="E1951" s="37"/>
      <c r="F1951" s="38"/>
      <c r="G1951" s="198"/>
      <c r="H1951" s="198"/>
      <c r="I1951" s="39"/>
      <c r="J1951" s="38"/>
      <c r="K1951" s="198"/>
      <c r="L1951" s="38"/>
      <c r="M1951" s="38"/>
      <c r="N1951" s="38"/>
      <c r="O1951" s="38"/>
      <c r="P1951" s="40" t="str" cm="1">
        <f t="array" ref="P1951">IF(N1951="","",IFERROR(_xlfn.XLOOKUP(F1951&amp;"|"&amp;J1951&amp;"|"&amp;O1951,PRICES!$C$2:$C$659&amp;"|"&amp;PRICES!$B$2:$B$659&amp;"|"&amp;PRICES!$D$2:$D$659,PRICES!$E$2:$E$659),"Not Found"))</f>
        <v/>
      </c>
      <c r="Q1951" s="100" t="str">
        <f>IF(N1951=0,"",SUMIFS(PRICES!$G$2:$G$658,PRICES!$B$2:$B$658,'MAIN TABLE-1 AUTOMATED'!J1951,PRICES!$C$2:$C$658,'MAIN TABLE-1 AUTOMATED'!F1951,PRICES!$D$2:$D$658,'MAIN TABLE-1 AUTOMATED'!O1951))</f>
        <v/>
      </c>
      <c r="R1951" s="41" t="str">
        <f>IF(Table1[[#This Row],[QUANTITY]]=0,"",Table1[[#This Row],[UNIT PRICE]]*Table1[[#This Row],[QUANTITY]])</f>
        <v/>
      </c>
      <c r="S1951" s="89"/>
      <c r="T1951" s="38"/>
      <c r="U1951" s="43"/>
      <c r="V1951" s="42" t="str">
        <f>IF(Table1[[#This Row],[DATE]]=0,"",YEAR(E1951))</f>
        <v/>
      </c>
      <c r="W1951" s="40" t="str">
        <f t="shared" ref="W1951:W2014" si="62">IF(E1951=0,"",MONTH(E1951))</f>
        <v/>
      </c>
      <c r="X1951" s="40" t="str">
        <f t="shared" ref="X1951:X2014" si="63">IF(E1951=0,"",WEEKNUM(E1951))</f>
        <v/>
      </c>
      <c r="Y1951" s="40" t="str">
        <f>TEXT(Table1[[#This Row],[YEAR]],"0000")&amp;"-"&amp;Table1[[#This Row],[MONTH]]</f>
        <v>-</v>
      </c>
    </row>
    <row r="1952" spans="1:25" ht="15" customHeight="1" x14ac:dyDescent="0.35">
      <c r="A1952" s="24"/>
      <c r="B1952" s="38"/>
      <c r="C1952" s="38"/>
      <c r="D1952" s="38"/>
      <c r="E1952" s="37"/>
      <c r="F1952" s="38"/>
      <c r="G1952" s="198"/>
      <c r="H1952" s="198"/>
      <c r="I1952" s="39"/>
      <c r="J1952" s="38"/>
      <c r="K1952" s="198"/>
      <c r="L1952" s="38"/>
      <c r="M1952" s="38"/>
      <c r="N1952" s="38"/>
      <c r="O1952" s="38"/>
      <c r="P1952" s="40" t="str" cm="1">
        <f t="array" ref="P1952">IF(N1952="","",IFERROR(_xlfn.XLOOKUP(F1952&amp;"|"&amp;J1952&amp;"|"&amp;O1952,PRICES!$C$2:$C$659&amp;"|"&amp;PRICES!$B$2:$B$659&amp;"|"&amp;PRICES!$D$2:$D$659,PRICES!$E$2:$E$659),"Not Found"))</f>
        <v/>
      </c>
      <c r="Q1952" s="100" t="str">
        <f>IF(N1952=0,"",SUMIFS(PRICES!$G$2:$G$658,PRICES!$B$2:$B$658,'MAIN TABLE-1 AUTOMATED'!J1952,PRICES!$C$2:$C$658,'MAIN TABLE-1 AUTOMATED'!F1952,PRICES!$D$2:$D$658,'MAIN TABLE-1 AUTOMATED'!O1952))</f>
        <v/>
      </c>
      <c r="R1952" s="41" t="str">
        <f>IF(Table1[[#This Row],[QUANTITY]]=0,"",Table1[[#This Row],[UNIT PRICE]]*Table1[[#This Row],[QUANTITY]])</f>
        <v/>
      </c>
      <c r="S1952" s="89"/>
      <c r="T1952" s="38"/>
      <c r="U1952" s="43"/>
      <c r="V1952" s="42" t="str">
        <f>IF(Table1[[#This Row],[DATE]]=0,"",YEAR(E1952))</f>
        <v/>
      </c>
      <c r="W1952" s="40" t="str">
        <f t="shared" si="62"/>
        <v/>
      </c>
      <c r="X1952" s="40" t="str">
        <f t="shared" si="63"/>
        <v/>
      </c>
      <c r="Y1952" s="40" t="str">
        <f>TEXT(Table1[[#This Row],[YEAR]],"0000")&amp;"-"&amp;Table1[[#This Row],[MONTH]]</f>
        <v>-</v>
      </c>
    </row>
    <row r="1953" spans="1:25" ht="15" customHeight="1" x14ac:dyDescent="0.35">
      <c r="A1953" s="24"/>
      <c r="B1953" s="38"/>
      <c r="C1953" s="38"/>
      <c r="D1953" s="38"/>
      <c r="E1953" s="37"/>
      <c r="F1953" s="38"/>
      <c r="G1953" s="198"/>
      <c r="H1953" s="198"/>
      <c r="I1953" s="39"/>
      <c r="J1953" s="38"/>
      <c r="K1953" s="198"/>
      <c r="L1953" s="38"/>
      <c r="M1953" s="38"/>
      <c r="N1953" s="38"/>
      <c r="O1953" s="38"/>
      <c r="P1953" s="40" t="str" cm="1">
        <f t="array" ref="P1953">IF(N1953="","",IFERROR(_xlfn.XLOOKUP(F1953&amp;"|"&amp;J1953&amp;"|"&amp;O1953,PRICES!$C$2:$C$659&amp;"|"&amp;PRICES!$B$2:$B$659&amp;"|"&amp;PRICES!$D$2:$D$659,PRICES!$E$2:$E$659),"Not Found"))</f>
        <v/>
      </c>
      <c r="Q1953" s="100" t="str">
        <f>IF(N1953=0,"",SUMIFS(PRICES!$G$2:$G$658,PRICES!$B$2:$B$658,'MAIN TABLE-1 AUTOMATED'!J1953,PRICES!$C$2:$C$658,'MAIN TABLE-1 AUTOMATED'!F1953,PRICES!$D$2:$D$658,'MAIN TABLE-1 AUTOMATED'!O1953))</f>
        <v/>
      </c>
      <c r="R1953" s="41" t="str">
        <f>IF(Table1[[#This Row],[QUANTITY]]=0,"",Table1[[#This Row],[UNIT PRICE]]*Table1[[#This Row],[QUANTITY]])</f>
        <v/>
      </c>
      <c r="S1953" s="89"/>
      <c r="T1953" s="38"/>
      <c r="U1953" s="43"/>
      <c r="V1953" s="42" t="str">
        <f>IF(Table1[[#This Row],[DATE]]=0,"",YEAR(E1953))</f>
        <v/>
      </c>
      <c r="W1953" s="40" t="str">
        <f t="shared" si="62"/>
        <v/>
      </c>
      <c r="X1953" s="40" t="str">
        <f t="shared" si="63"/>
        <v/>
      </c>
      <c r="Y1953" s="40" t="str">
        <f>TEXT(Table1[[#This Row],[YEAR]],"0000")&amp;"-"&amp;Table1[[#This Row],[MONTH]]</f>
        <v>-</v>
      </c>
    </row>
    <row r="1954" spans="1:25" ht="15" customHeight="1" x14ac:dyDescent="0.35">
      <c r="A1954" s="24"/>
      <c r="B1954" s="38"/>
      <c r="C1954" s="38"/>
      <c r="D1954" s="38"/>
      <c r="E1954" s="37"/>
      <c r="F1954" s="38"/>
      <c r="G1954" s="198"/>
      <c r="H1954" s="198"/>
      <c r="I1954" s="39"/>
      <c r="J1954" s="38"/>
      <c r="K1954" s="198"/>
      <c r="L1954" s="38"/>
      <c r="M1954" s="38"/>
      <c r="N1954" s="38"/>
      <c r="O1954" s="38"/>
      <c r="P1954" s="40" t="str" cm="1">
        <f t="array" ref="P1954">IF(N1954="","",IFERROR(_xlfn.XLOOKUP(F1954&amp;"|"&amp;J1954&amp;"|"&amp;O1954,PRICES!$C$2:$C$659&amp;"|"&amp;PRICES!$B$2:$B$659&amp;"|"&amp;PRICES!$D$2:$D$659,PRICES!$E$2:$E$659),"Not Found"))</f>
        <v/>
      </c>
      <c r="Q1954" s="100" t="str">
        <f>IF(N1954=0,"",SUMIFS(PRICES!$G$2:$G$658,PRICES!$B$2:$B$658,'MAIN TABLE-1 AUTOMATED'!J1954,PRICES!$C$2:$C$658,'MAIN TABLE-1 AUTOMATED'!F1954,PRICES!$D$2:$D$658,'MAIN TABLE-1 AUTOMATED'!O1954))</f>
        <v/>
      </c>
      <c r="R1954" s="41" t="str">
        <f>IF(Table1[[#This Row],[QUANTITY]]=0,"",Table1[[#This Row],[UNIT PRICE]]*Table1[[#This Row],[QUANTITY]])</f>
        <v/>
      </c>
      <c r="S1954" s="89"/>
      <c r="T1954" s="38"/>
      <c r="U1954" s="43"/>
      <c r="V1954" s="42" t="str">
        <f>IF(Table1[[#This Row],[DATE]]=0,"",YEAR(E1954))</f>
        <v/>
      </c>
      <c r="W1954" s="40" t="str">
        <f t="shared" si="62"/>
        <v/>
      </c>
      <c r="X1954" s="40" t="str">
        <f t="shared" si="63"/>
        <v/>
      </c>
      <c r="Y1954" s="40" t="str">
        <f>TEXT(Table1[[#This Row],[YEAR]],"0000")&amp;"-"&amp;Table1[[#This Row],[MONTH]]</f>
        <v>-</v>
      </c>
    </row>
    <row r="1955" spans="1:25" ht="15" customHeight="1" x14ac:dyDescent="0.35">
      <c r="A1955" s="24"/>
      <c r="B1955" s="38"/>
      <c r="C1955" s="38"/>
      <c r="D1955" s="38"/>
      <c r="E1955" s="37"/>
      <c r="F1955" s="38"/>
      <c r="G1955" s="198"/>
      <c r="H1955" s="198"/>
      <c r="I1955" s="39"/>
      <c r="J1955" s="38"/>
      <c r="K1955" s="198"/>
      <c r="L1955" s="38"/>
      <c r="M1955" s="38"/>
      <c r="N1955" s="38"/>
      <c r="O1955" s="38"/>
      <c r="P1955" s="40" t="str" cm="1">
        <f t="array" ref="P1955">IF(N1955="","",IFERROR(_xlfn.XLOOKUP(F1955&amp;"|"&amp;J1955&amp;"|"&amp;O1955,PRICES!$C$2:$C$659&amp;"|"&amp;PRICES!$B$2:$B$659&amp;"|"&amp;PRICES!$D$2:$D$659,PRICES!$E$2:$E$659),"Not Found"))</f>
        <v/>
      </c>
      <c r="Q1955" s="100" t="str">
        <f>IF(N1955=0,"",SUMIFS(PRICES!$G$2:$G$658,PRICES!$B$2:$B$658,'MAIN TABLE-1 AUTOMATED'!J1955,PRICES!$C$2:$C$658,'MAIN TABLE-1 AUTOMATED'!F1955,PRICES!$D$2:$D$658,'MAIN TABLE-1 AUTOMATED'!O1955))</f>
        <v/>
      </c>
      <c r="R1955" s="41" t="str">
        <f>IF(Table1[[#This Row],[QUANTITY]]=0,"",Table1[[#This Row],[UNIT PRICE]]*Table1[[#This Row],[QUANTITY]])</f>
        <v/>
      </c>
      <c r="S1955" s="89"/>
      <c r="T1955" s="38"/>
      <c r="U1955" s="43"/>
      <c r="V1955" s="42" t="str">
        <f>IF(Table1[[#This Row],[DATE]]=0,"",YEAR(E1955))</f>
        <v/>
      </c>
      <c r="W1955" s="40" t="str">
        <f t="shared" si="62"/>
        <v/>
      </c>
      <c r="X1955" s="40" t="str">
        <f t="shared" si="63"/>
        <v/>
      </c>
      <c r="Y1955" s="40" t="str">
        <f>TEXT(Table1[[#This Row],[YEAR]],"0000")&amp;"-"&amp;Table1[[#This Row],[MONTH]]</f>
        <v>-</v>
      </c>
    </row>
    <row r="1956" spans="1:25" ht="15" customHeight="1" x14ac:dyDescent="0.35">
      <c r="A1956" s="24"/>
      <c r="B1956" s="38"/>
      <c r="C1956" s="38"/>
      <c r="D1956" s="38"/>
      <c r="E1956" s="37"/>
      <c r="F1956" s="38"/>
      <c r="G1956" s="198"/>
      <c r="H1956" s="198"/>
      <c r="I1956" s="39"/>
      <c r="J1956" s="38"/>
      <c r="K1956" s="198"/>
      <c r="L1956" s="38"/>
      <c r="M1956" s="38"/>
      <c r="N1956" s="38"/>
      <c r="O1956" s="38"/>
      <c r="P1956" s="40" t="str" cm="1">
        <f t="array" ref="P1956">IF(N1956="","",IFERROR(_xlfn.XLOOKUP(F1956&amp;"|"&amp;J1956&amp;"|"&amp;O1956,PRICES!$C$2:$C$659&amp;"|"&amp;PRICES!$B$2:$B$659&amp;"|"&amp;PRICES!$D$2:$D$659,PRICES!$E$2:$E$659),"Not Found"))</f>
        <v/>
      </c>
      <c r="Q1956" s="100" t="str">
        <f>IF(N1956=0,"",SUMIFS(PRICES!$G$2:$G$658,PRICES!$B$2:$B$658,'MAIN TABLE-1 AUTOMATED'!J1956,PRICES!$C$2:$C$658,'MAIN TABLE-1 AUTOMATED'!F1956,PRICES!$D$2:$D$658,'MAIN TABLE-1 AUTOMATED'!O1956))</f>
        <v/>
      </c>
      <c r="R1956" s="41" t="str">
        <f>IF(Table1[[#This Row],[QUANTITY]]=0,"",Table1[[#This Row],[UNIT PRICE]]*Table1[[#This Row],[QUANTITY]])</f>
        <v/>
      </c>
      <c r="S1956" s="89"/>
      <c r="T1956" s="38"/>
      <c r="U1956" s="43"/>
      <c r="V1956" s="42" t="str">
        <f>IF(Table1[[#This Row],[DATE]]=0,"",YEAR(E1956))</f>
        <v/>
      </c>
      <c r="W1956" s="40" t="str">
        <f t="shared" si="62"/>
        <v/>
      </c>
      <c r="X1956" s="40" t="str">
        <f t="shared" si="63"/>
        <v/>
      </c>
      <c r="Y1956" s="40" t="str">
        <f>TEXT(Table1[[#This Row],[YEAR]],"0000")&amp;"-"&amp;Table1[[#This Row],[MONTH]]</f>
        <v>-</v>
      </c>
    </row>
    <row r="1957" spans="1:25" ht="15" customHeight="1" x14ac:dyDescent="0.35">
      <c r="A1957" s="24"/>
      <c r="B1957" s="38"/>
      <c r="C1957" s="38"/>
      <c r="D1957" s="38"/>
      <c r="E1957" s="37"/>
      <c r="F1957" s="38"/>
      <c r="G1957" s="198"/>
      <c r="H1957" s="198"/>
      <c r="I1957" s="39"/>
      <c r="J1957" s="38"/>
      <c r="K1957" s="198"/>
      <c r="L1957" s="38"/>
      <c r="M1957" s="38"/>
      <c r="N1957" s="38"/>
      <c r="O1957" s="38"/>
      <c r="P1957" s="40" t="str" cm="1">
        <f t="array" ref="P1957">IF(N1957="","",IFERROR(_xlfn.XLOOKUP(F1957&amp;"|"&amp;J1957&amp;"|"&amp;O1957,PRICES!$C$2:$C$659&amp;"|"&amp;PRICES!$B$2:$B$659&amp;"|"&amp;PRICES!$D$2:$D$659,PRICES!$E$2:$E$659),"Not Found"))</f>
        <v/>
      </c>
      <c r="Q1957" s="100" t="str">
        <f>IF(N1957=0,"",SUMIFS(PRICES!$G$2:$G$658,PRICES!$B$2:$B$658,'MAIN TABLE-1 AUTOMATED'!J1957,PRICES!$C$2:$C$658,'MAIN TABLE-1 AUTOMATED'!F1957,PRICES!$D$2:$D$658,'MAIN TABLE-1 AUTOMATED'!O1957))</f>
        <v/>
      </c>
      <c r="R1957" s="41" t="str">
        <f>IF(Table1[[#This Row],[QUANTITY]]=0,"",Table1[[#This Row],[UNIT PRICE]]*Table1[[#This Row],[QUANTITY]])</f>
        <v/>
      </c>
      <c r="S1957" s="89"/>
      <c r="T1957" s="38"/>
      <c r="U1957" s="43"/>
      <c r="V1957" s="42" t="str">
        <f>IF(Table1[[#This Row],[DATE]]=0,"",YEAR(E1957))</f>
        <v/>
      </c>
      <c r="W1957" s="40" t="str">
        <f t="shared" si="62"/>
        <v/>
      </c>
      <c r="X1957" s="40" t="str">
        <f t="shared" si="63"/>
        <v/>
      </c>
      <c r="Y1957" s="40" t="str">
        <f>TEXT(Table1[[#This Row],[YEAR]],"0000")&amp;"-"&amp;Table1[[#This Row],[MONTH]]</f>
        <v>-</v>
      </c>
    </row>
    <row r="1958" spans="1:25" ht="15" customHeight="1" x14ac:dyDescent="0.35">
      <c r="A1958" s="24"/>
      <c r="B1958" s="38"/>
      <c r="C1958" s="38"/>
      <c r="D1958" s="38"/>
      <c r="E1958" s="37"/>
      <c r="F1958" s="38"/>
      <c r="G1958" s="198"/>
      <c r="H1958" s="198"/>
      <c r="I1958" s="39"/>
      <c r="J1958" s="38"/>
      <c r="K1958" s="198"/>
      <c r="L1958" s="38"/>
      <c r="M1958" s="38"/>
      <c r="N1958" s="38"/>
      <c r="O1958" s="38"/>
      <c r="P1958" s="40" t="str" cm="1">
        <f t="array" ref="P1958">IF(N1958="","",IFERROR(_xlfn.XLOOKUP(F1958&amp;"|"&amp;J1958&amp;"|"&amp;O1958,PRICES!$C$2:$C$659&amp;"|"&amp;PRICES!$B$2:$B$659&amp;"|"&amp;PRICES!$D$2:$D$659,PRICES!$E$2:$E$659),"Not Found"))</f>
        <v/>
      </c>
      <c r="Q1958" s="100" t="str">
        <f>IF(N1958=0,"",SUMIFS(PRICES!$G$2:$G$658,PRICES!$B$2:$B$658,'MAIN TABLE-1 AUTOMATED'!J1958,PRICES!$C$2:$C$658,'MAIN TABLE-1 AUTOMATED'!F1958,PRICES!$D$2:$D$658,'MAIN TABLE-1 AUTOMATED'!O1958))</f>
        <v/>
      </c>
      <c r="R1958" s="41" t="str">
        <f>IF(Table1[[#This Row],[QUANTITY]]=0,"",Table1[[#This Row],[UNIT PRICE]]*Table1[[#This Row],[QUANTITY]])</f>
        <v/>
      </c>
      <c r="S1958" s="89"/>
      <c r="T1958" s="38"/>
      <c r="U1958" s="43"/>
      <c r="V1958" s="42" t="str">
        <f>IF(Table1[[#This Row],[DATE]]=0,"",YEAR(E1958))</f>
        <v/>
      </c>
      <c r="W1958" s="40" t="str">
        <f t="shared" si="62"/>
        <v/>
      </c>
      <c r="X1958" s="40" t="str">
        <f t="shared" si="63"/>
        <v/>
      </c>
      <c r="Y1958" s="40" t="str">
        <f>TEXT(Table1[[#This Row],[YEAR]],"0000")&amp;"-"&amp;Table1[[#This Row],[MONTH]]</f>
        <v>-</v>
      </c>
    </row>
    <row r="1959" spans="1:25" ht="15" customHeight="1" x14ac:dyDescent="0.35">
      <c r="A1959" s="24"/>
      <c r="B1959" s="38"/>
      <c r="C1959" s="38"/>
      <c r="D1959" s="38"/>
      <c r="E1959" s="37"/>
      <c r="F1959" s="38"/>
      <c r="G1959" s="198"/>
      <c r="H1959" s="198"/>
      <c r="I1959" s="39"/>
      <c r="J1959" s="38"/>
      <c r="K1959" s="198"/>
      <c r="L1959" s="38"/>
      <c r="M1959" s="38"/>
      <c r="N1959" s="38"/>
      <c r="O1959" s="38"/>
      <c r="P1959" s="40" t="str" cm="1">
        <f t="array" ref="P1959">IF(N1959="","",IFERROR(_xlfn.XLOOKUP(F1959&amp;"|"&amp;J1959&amp;"|"&amp;O1959,PRICES!$C$2:$C$659&amp;"|"&amp;PRICES!$B$2:$B$659&amp;"|"&amp;PRICES!$D$2:$D$659,PRICES!$E$2:$E$659),"Not Found"))</f>
        <v/>
      </c>
      <c r="Q1959" s="100" t="str">
        <f>IF(N1959=0,"",SUMIFS(PRICES!$G$2:$G$658,PRICES!$B$2:$B$658,'MAIN TABLE-1 AUTOMATED'!J1959,PRICES!$C$2:$C$658,'MAIN TABLE-1 AUTOMATED'!F1959,PRICES!$D$2:$D$658,'MAIN TABLE-1 AUTOMATED'!O1959))</f>
        <v/>
      </c>
      <c r="R1959" s="41" t="str">
        <f>IF(Table1[[#This Row],[QUANTITY]]=0,"",Table1[[#This Row],[UNIT PRICE]]*Table1[[#This Row],[QUANTITY]])</f>
        <v/>
      </c>
      <c r="S1959" s="89"/>
      <c r="T1959" s="38"/>
      <c r="U1959" s="43"/>
      <c r="V1959" s="42" t="str">
        <f>IF(Table1[[#This Row],[DATE]]=0,"",YEAR(E1959))</f>
        <v/>
      </c>
      <c r="W1959" s="40" t="str">
        <f t="shared" si="62"/>
        <v/>
      </c>
      <c r="X1959" s="40" t="str">
        <f t="shared" si="63"/>
        <v/>
      </c>
      <c r="Y1959" s="40" t="str">
        <f>TEXT(Table1[[#This Row],[YEAR]],"0000")&amp;"-"&amp;Table1[[#This Row],[MONTH]]</f>
        <v>-</v>
      </c>
    </row>
    <row r="1960" spans="1:25" ht="15" customHeight="1" x14ac:dyDescent="0.35">
      <c r="A1960" s="24"/>
      <c r="B1960" s="38"/>
      <c r="C1960" s="38"/>
      <c r="D1960" s="38"/>
      <c r="E1960" s="37"/>
      <c r="F1960" s="38"/>
      <c r="G1960" s="198"/>
      <c r="H1960" s="198"/>
      <c r="I1960" s="39"/>
      <c r="J1960" s="38"/>
      <c r="K1960" s="198"/>
      <c r="L1960" s="38"/>
      <c r="M1960" s="38"/>
      <c r="N1960" s="38"/>
      <c r="O1960" s="38"/>
      <c r="P1960" s="40" t="str" cm="1">
        <f t="array" ref="P1960">IF(N1960="","",IFERROR(_xlfn.XLOOKUP(F1960&amp;"|"&amp;J1960&amp;"|"&amp;O1960,PRICES!$C$2:$C$659&amp;"|"&amp;PRICES!$B$2:$B$659&amp;"|"&amp;PRICES!$D$2:$D$659,PRICES!$E$2:$E$659),"Not Found"))</f>
        <v/>
      </c>
      <c r="Q1960" s="100" t="str">
        <f>IF(N1960=0,"",SUMIFS(PRICES!$G$2:$G$658,PRICES!$B$2:$B$658,'MAIN TABLE-1 AUTOMATED'!J1960,PRICES!$C$2:$C$658,'MAIN TABLE-1 AUTOMATED'!F1960,PRICES!$D$2:$D$658,'MAIN TABLE-1 AUTOMATED'!O1960))</f>
        <v/>
      </c>
      <c r="R1960" s="41" t="str">
        <f>IF(Table1[[#This Row],[QUANTITY]]=0,"",Table1[[#This Row],[UNIT PRICE]]*Table1[[#This Row],[QUANTITY]])</f>
        <v/>
      </c>
      <c r="S1960" s="89"/>
      <c r="T1960" s="38"/>
      <c r="U1960" s="43"/>
      <c r="V1960" s="42" t="str">
        <f>IF(Table1[[#This Row],[DATE]]=0,"",YEAR(E1960))</f>
        <v/>
      </c>
      <c r="W1960" s="40" t="str">
        <f t="shared" si="62"/>
        <v/>
      </c>
      <c r="X1960" s="40" t="str">
        <f t="shared" si="63"/>
        <v/>
      </c>
      <c r="Y1960" s="40" t="str">
        <f>TEXT(Table1[[#This Row],[YEAR]],"0000")&amp;"-"&amp;Table1[[#This Row],[MONTH]]</f>
        <v>-</v>
      </c>
    </row>
    <row r="1961" spans="1:25" ht="15" customHeight="1" x14ac:dyDescent="0.35">
      <c r="A1961" s="24"/>
      <c r="B1961" s="38"/>
      <c r="C1961" s="38"/>
      <c r="D1961" s="38"/>
      <c r="E1961" s="37"/>
      <c r="F1961" s="38"/>
      <c r="G1961" s="198"/>
      <c r="H1961" s="198"/>
      <c r="I1961" s="39"/>
      <c r="J1961" s="38"/>
      <c r="K1961" s="198"/>
      <c r="L1961" s="38"/>
      <c r="M1961" s="38"/>
      <c r="N1961" s="38"/>
      <c r="O1961" s="38"/>
      <c r="P1961" s="40" t="str" cm="1">
        <f t="array" ref="P1961">IF(N1961="","",IFERROR(_xlfn.XLOOKUP(F1961&amp;"|"&amp;J1961&amp;"|"&amp;O1961,PRICES!$C$2:$C$659&amp;"|"&amp;PRICES!$B$2:$B$659&amp;"|"&amp;PRICES!$D$2:$D$659,PRICES!$E$2:$E$659),"Not Found"))</f>
        <v/>
      </c>
      <c r="Q1961" s="100" t="str">
        <f>IF(N1961=0,"",SUMIFS(PRICES!$G$2:$G$658,PRICES!$B$2:$B$658,'MAIN TABLE-1 AUTOMATED'!J1961,PRICES!$C$2:$C$658,'MAIN TABLE-1 AUTOMATED'!F1961,PRICES!$D$2:$D$658,'MAIN TABLE-1 AUTOMATED'!O1961))</f>
        <v/>
      </c>
      <c r="R1961" s="41" t="str">
        <f>IF(Table1[[#This Row],[QUANTITY]]=0,"",Table1[[#This Row],[UNIT PRICE]]*Table1[[#This Row],[QUANTITY]])</f>
        <v/>
      </c>
      <c r="S1961" s="89"/>
      <c r="T1961" s="38"/>
      <c r="U1961" s="43"/>
      <c r="V1961" s="42" t="str">
        <f>IF(Table1[[#This Row],[DATE]]=0,"",YEAR(E1961))</f>
        <v/>
      </c>
      <c r="W1961" s="40" t="str">
        <f t="shared" si="62"/>
        <v/>
      </c>
      <c r="X1961" s="40" t="str">
        <f t="shared" si="63"/>
        <v/>
      </c>
      <c r="Y1961" s="40" t="str">
        <f>TEXT(Table1[[#This Row],[YEAR]],"0000")&amp;"-"&amp;Table1[[#This Row],[MONTH]]</f>
        <v>-</v>
      </c>
    </row>
    <row r="1962" spans="1:25" ht="15" customHeight="1" x14ac:dyDescent="0.35">
      <c r="A1962" s="24"/>
      <c r="B1962" s="38"/>
      <c r="C1962" s="38"/>
      <c r="D1962" s="38"/>
      <c r="E1962" s="37"/>
      <c r="F1962" s="38"/>
      <c r="G1962" s="198"/>
      <c r="H1962" s="198"/>
      <c r="I1962" s="39"/>
      <c r="J1962" s="38"/>
      <c r="K1962" s="198"/>
      <c r="L1962" s="38"/>
      <c r="M1962" s="38"/>
      <c r="N1962" s="38"/>
      <c r="O1962" s="38"/>
      <c r="P1962" s="40" t="str" cm="1">
        <f t="array" ref="P1962">IF(N1962="","",IFERROR(_xlfn.XLOOKUP(F1962&amp;"|"&amp;J1962&amp;"|"&amp;O1962,PRICES!$C$2:$C$659&amp;"|"&amp;PRICES!$B$2:$B$659&amp;"|"&amp;PRICES!$D$2:$D$659,PRICES!$E$2:$E$659),"Not Found"))</f>
        <v/>
      </c>
      <c r="Q1962" s="100" t="str">
        <f>IF(N1962=0,"",SUMIFS(PRICES!$G$2:$G$658,PRICES!$B$2:$B$658,'MAIN TABLE-1 AUTOMATED'!J1962,PRICES!$C$2:$C$658,'MAIN TABLE-1 AUTOMATED'!F1962,PRICES!$D$2:$D$658,'MAIN TABLE-1 AUTOMATED'!O1962))</f>
        <v/>
      </c>
      <c r="R1962" s="41" t="str">
        <f>IF(Table1[[#This Row],[QUANTITY]]=0,"",Table1[[#This Row],[UNIT PRICE]]*Table1[[#This Row],[QUANTITY]])</f>
        <v/>
      </c>
      <c r="S1962" s="89"/>
      <c r="T1962" s="38"/>
      <c r="U1962" s="43"/>
      <c r="V1962" s="42" t="str">
        <f>IF(Table1[[#This Row],[DATE]]=0,"",YEAR(E1962))</f>
        <v/>
      </c>
      <c r="W1962" s="40" t="str">
        <f t="shared" si="62"/>
        <v/>
      </c>
      <c r="X1962" s="40" t="str">
        <f t="shared" si="63"/>
        <v/>
      </c>
      <c r="Y1962" s="40" t="str">
        <f>TEXT(Table1[[#This Row],[YEAR]],"0000")&amp;"-"&amp;Table1[[#This Row],[MONTH]]</f>
        <v>-</v>
      </c>
    </row>
    <row r="1963" spans="1:25" ht="15" customHeight="1" x14ac:dyDescent="0.35">
      <c r="A1963" s="24"/>
      <c r="B1963" s="38"/>
      <c r="C1963" s="38"/>
      <c r="D1963" s="38"/>
      <c r="E1963" s="37"/>
      <c r="F1963" s="38"/>
      <c r="G1963" s="198"/>
      <c r="H1963" s="198"/>
      <c r="I1963" s="39"/>
      <c r="J1963" s="38"/>
      <c r="K1963" s="198"/>
      <c r="L1963" s="38"/>
      <c r="M1963" s="38"/>
      <c r="N1963" s="38"/>
      <c r="O1963" s="38"/>
      <c r="P1963" s="40" t="str" cm="1">
        <f t="array" ref="P1963">IF(N1963="","",IFERROR(_xlfn.XLOOKUP(F1963&amp;"|"&amp;J1963&amp;"|"&amp;O1963,PRICES!$C$2:$C$659&amp;"|"&amp;PRICES!$B$2:$B$659&amp;"|"&amp;PRICES!$D$2:$D$659,PRICES!$E$2:$E$659),"Not Found"))</f>
        <v/>
      </c>
      <c r="Q1963" s="100" t="str">
        <f>IF(N1963=0,"",SUMIFS(PRICES!$G$2:$G$658,PRICES!$B$2:$B$658,'MAIN TABLE-1 AUTOMATED'!J1963,PRICES!$C$2:$C$658,'MAIN TABLE-1 AUTOMATED'!F1963,PRICES!$D$2:$D$658,'MAIN TABLE-1 AUTOMATED'!O1963))</f>
        <v/>
      </c>
      <c r="R1963" s="41" t="str">
        <f>IF(Table1[[#This Row],[QUANTITY]]=0,"",Table1[[#This Row],[UNIT PRICE]]*Table1[[#This Row],[QUANTITY]])</f>
        <v/>
      </c>
      <c r="S1963" s="89"/>
      <c r="T1963" s="38"/>
      <c r="U1963" s="43"/>
      <c r="V1963" s="42" t="str">
        <f>IF(Table1[[#This Row],[DATE]]=0,"",YEAR(E1963))</f>
        <v/>
      </c>
      <c r="W1963" s="40" t="str">
        <f t="shared" si="62"/>
        <v/>
      </c>
      <c r="X1963" s="40" t="str">
        <f t="shared" si="63"/>
        <v/>
      </c>
      <c r="Y1963" s="40" t="str">
        <f>TEXT(Table1[[#This Row],[YEAR]],"0000")&amp;"-"&amp;Table1[[#This Row],[MONTH]]</f>
        <v>-</v>
      </c>
    </row>
    <row r="1964" spans="1:25" ht="15" customHeight="1" x14ac:dyDescent="0.35">
      <c r="A1964" s="24"/>
      <c r="B1964" s="38"/>
      <c r="C1964" s="38"/>
      <c r="D1964" s="38"/>
      <c r="E1964" s="37"/>
      <c r="F1964" s="38"/>
      <c r="G1964" s="198"/>
      <c r="H1964" s="198"/>
      <c r="I1964" s="39"/>
      <c r="J1964" s="38"/>
      <c r="K1964" s="198"/>
      <c r="L1964" s="38"/>
      <c r="M1964" s="38"/>
      <c r="N1964" s="38"/>
      <c r="O1964" s="38"/>
      <c r="P1964" s="40" t="str" cm="1">
        <f t="array" ref="P1964">IF(N1964="","",IFERROR(_xlfn.XLOOKUP(F1964&amp;"|"&amp;J1964&amp;"|"&amp;O1964,PRICES!$C$2:$C$659&amp;"|"&amp;PRICES!$B$2:$B$659&amp;"|"&amp;PRICES!$D$2:$D$659,PRICES!$E$2:$E$659),"Not Found"))</f>
        <v/>
      </c>
      <c r="Q1964" s="100" t="str">
        <f>IF(N1964=0,"",SUMIFS(PRICES!$G$2:$G$658,PRICES!$B$2:$B$658,'MAIN TABLE-1 AUTOMATED'!J1964,PRICES!$C$2:$C$658,'MAIN TABLE-1 AUTOMATED'!F1964,PRICES!$D$2:$D$658,'MAIN TABLE-1 AUTOMATED'!O1964))</f>
        <v/>
      </c>
      <c r="R1964" s="41" t="str">
        <f>IF(Table1[[#This Row],[QUANTITY]]=0,"",Table1[[#This Row],[UNIT PRICE]]*Table1[[#This Row],[QUANTITY]])</f>
        <v/>
      </c>
      <c r="S1964" s="89"/>
      <c r="T1964" s="38"/>
      <c r="U1964" s="43"/>
      <c r="V1964" s="42" t="str">
        <f>IF(Table1[[#This Row],[DATE]]=0,"",YEAR(E1964))</f>
        <v/>
      </c>
      <c r="W1964" s="40" t="str">
        <f t="shared" si="62"/>
        <v/>
      </c>
      <c r="X1964" s="40" t="str">
        <f t="shared" si="63"/>
        <v/>
      </c>
      <c r="Y1964" s="40" t="str">
        <f>TEXT(Table1[[#This Row],[YEAR]],"0000")&amp;"-"&amp;Table1[[#This Row],[MONTH]]</f>
        <v>-</v>
      </c>
    </row>
    <row r="1965" spans="1:25" ht="15" customHeight="1" x14ac:dyDescent="0.35">
      <c r="A1965" s="24"/>
      <c r="B1965" s="38"/>
      <c r="C1965" s="38"/>
      <c r="D1965" s="38"/>
      <c r="E1965" s="37"/>
      <c r="F1965" s="38"/>
      <c r="G1965" s="198"/>
      <c r="H1965" s="198"/>
      <c r="I1965" s="39"/>
      <c r="J1965" s="38"/>
      <c r="K1965" s="198"/>
      <c r="L1965" s="38"/>
      <c r="M1965" s="38"/>
      <c r="N1965" s="38"/>
      <c r="O1965" s="38"/>
      <c r="P1965" s="40" t="str" cm="1">
        <f t="array" ref="P1965">IF(N1965="","",IFERROR(_xlfn.XLOOKUP(F1965&amp;"|"&amp;J1965&amp;"|"&amp;O1965,PRICES!$C$2:$C$659&amp;"|"&amp;PRICES!$B$2:$B$659&amp;"|"&amp;PRICES!$D$2:$D$659,PRICES!$E$2:$E$659),"Not Found"))</f>
        <v/>
      </c>
      <c r="Q1965" s="100" t="str">
        <f>IF(N1965=0,"",SUMIFS(PRICES!$G$2:$G$658,PRICES!$B$2:$B$658,'MAIN TABLE-1 AUTOMATED'!J1965,PRICES!$C$2:$C$658,'MAIN TABLE-1 AUTOMATED'!F1965,PRICES!$D$2:$D$658,'MAIN TABLE-1 AUTOMATED'!O1965))</f>
        <v/>
      </c>
      <c r="R1965" s="41" t="str">
        <f>IF(Table1[[#This Row],[QUANTITY]]=0,"",Table1[[#This Row],[UNIT PRICE]]*Table1[[#This Row],[QUANTITY]])</f>
        <v/>
      </c>
      <c r="S1965" s="89"/>
      <c r="T1965" s="38"/>
      <c r="U1965" s="43"/>
      <c r="V1965" s="42" t="str">
        <f>IF(Table1[[#This Row],[DATE]]=0,"",YEAR(E1965))</f>
        <v/>
      </c>
      <c r="W1965" s="40" t="str">
        <f t="shared" si="62"/>
        <v/>
      </c>
      <c r="X1965" s="40" t="str">
        <f t="shared" si="63"/>
        <v/>
      </c>
      <c r="Y1965" s="40" t="str">
        <f>TEXT(Table1[[#This Row],[YEAR]],"0000")&amp;"-"&amp;Table1[[#This Row],[MONTH]]</f>
        <v>-</v>
      </c>
    </row>
    <row r="1966" spans="1:25" ht="15" customHeight="1" x14ac:dyDescent="0.35">
      <c r="A1966" s="24"/>
      <c r="B1966" s="38"/>
      <c r="C1966" s="38"/>
      <c r="D1966" s="38"/>
      <c r="E1966" s="37"/>
      <c r="F1966" s="38"/>
      <c r="G1966" s="198"/>
      <c r="H1966" s="198"/>
      <c r="I1966" s="39"/>
      <c r="J1966" s="38"/>
      <c r="K1966" s="198"/>
      <c r="L1966" s="38"/>
      <c r="M1966" s="38"/>
      <c r="N1966" s="38"/>
      <c r="O1966" s="38"/>
      <c r="P1966" s="40" t="str" cm="1">
        <f t="array" ref="P1966">IF(N1966="","",IFERROR(_xlfn.XLOOKUP(F1966&amp;"|"&amp;J1966&amp;"|"&amp;O1966,PRICES!$C$2:$C$659&amp;"|"&amp;PRICES!$B$2:$B$659&amp;"|"&amp;PRICES!$D$2:$D$659,PRICES!$E$2:$E$659),"Not Found"))</f>
        <v/>
      </c>
      <c r="Q1966" s="100" t="str">
        <f>IF(N1966=0,"",SUMIFS(PRICES!$G$2:$G$658,PRICES!$B$2:$B$658,'MAIN TABLE-1 AUTOMATED'!J1966,PRICES!$C$2:$C$658,'MAIN TABLE-1 AUTOMATED'!F1966,PRICES!$D$2:$D$658,'MAIN TABLE-1 AUTOMATED'!O1966))</f>
        <v/>
      </c>
      <c r="R1966" s="41" t="str">
        <f>IF(Table1[[#This Row],[QUANTITY]]=0,"",Table1[[#This Row],[UNIT PRICE]]*Table1[[#This Row],[QUANTITY]])</f>
        <v/>
      </c>
      <c r="S1966" s="89"/>
      <c r="T1966" s="38"/>
      <c r="U1966" s="43"/>
      <c r="V1966" s="42" t="str">
        <f>IF(Table1[[#This Row],[DATE]]=0,"",YEAR(E1966))</f>
        <v/>
      </c>
      <c r="W1966" s="40" t="str">
        <f t="shared" si="62"/>
        <v/>
      </c>
      <c r="X1966" s="40" t="str">
        <f t="shared" si="63"/>
        <v/>
      </c>
      <c r="Y1966" s="40" t="str">
        <f>TEXT(Table1[[#This Row],[YEAR]],"0000")&amp;"-"&amp;Table1[[#This Row],[MONTH]]</f>
        <v>-</v>
      </c>
    </row>
    <row r="1967" spans="1:25" ht="15" customHeight="1" x14ac:dyDescent="0.35">
      <c r="A1967" s="24"/>
      <c r="B1967" s="38"/>
      <c r="C1967" s="38"/>
      <c r="D1967" s="38"/>
      <c r="E1967" s="37"/>
      <c r="F1967" s="38"/>
      <c r="G1967" s="198"/>
      <c r="H1967" s="198"/>
      <c r="I1967" s="39"/>
      <c r="J1967" s="38"/>
      <c r="K1967" s="198"/>
      <c r="L1967" s="38"/>
      <c r="M1967" s="38"/>
      <c r="N1967" s="38"/>
      <c r="O1967" s="38"/>
      <c r="P1967" s="40" t="str" cm="1">
        <f t="array" ref="P1967">IF(N1967="","",IFERROR(_xlfn.XLOOKUP(F1967&amp;"|"&amp;J1967&amp;"|"&amp;O1967,PRICES!$C$2:$C$659&amp;"|"&amp;PRICES!$B$2:$B$659&amp;"|"&amp;PRICES!$D$2:$D$659,PRICES!$E$2:$E$659),"Not Found"))</f>
        <v/>
      </c>
      <c r="Q1967" s="100" t="str">
        <f>IF(N1967=0,"",SUMIFS(PRICES!$G$2:$G$658,PRICES!$B$2:$B$658,'MAIN TABLE-1 AUTOMATED'!J1967,PRICES!$C$2:$C$658,'MAIN TABLE-1 AUTOMATED'!F1967,PRICES!$D$2:$D$658,'MAIN TABLE-1 AUTOMATED'!O1967))</f>
        <v/>
      </c>
      <c r="R1967" s="41" t="str">
        <f>IF(Table1[[#This Row],[QUANTITY]]=0,"",Table1[[#This Row],[UNIT PRICE]]*Table1[[#This Row],[QUANTITY]])</f>
        <v/>
      </c>
      <c r="S1967" s="89"/>
      <c r="T1967" s="38"/>
      <c r="U1967" s="43"/>
      <c r="V1967" s="42" t="str">
        <f>IF(Table1[[#This Row],[DATE]]=0,"",YEAR(E1967))</f>
        <v/>
      </c>
      <c r="W1967" s="40" t="str">
        <f t="shared" si="62"/>
        <v/>
      </c>
      <c r="X1967" s="40" t="str">
        <f t="shared" si="63"/>
        <v/>
      </c>
      <c r="Y1967" s="40" t="str">
        <f>TEXT(Table1[[#This Row],[YEAR]],"0000")&amp;"-"&amp;Table1[[#This Row],[MONTH]]</f>
        <v>-</v>
      </c>
    </row>
    <row r="1968" spans="1:25" ht="15" customHeight="1" x14ac:dyDescent="0.35">
      <c r="A1968" s="24"/>
      <c r="B1968" s="38"/>
      <c r="C1968" s="38"/>
      <c r="D1968" s="38"/>
      <c r="E1968" s="37"/>
      <c r="F1968" s="38"/>
      <c r="G1968" s="232"/>
      <c r="H1968" s="232"/>
      <c r="I1968" s="39"/>
      <c r="J1968" s="38"/>
      <c r="K1968" s="198"/>
      <c r="L1968" s="38"/>
      <c r="M1968" s="38"/>
      <c r="N1968" s="38"/>
      <c r="O1968" s="38"/>
      <c r="P1968" s="40" t="str" cm="1">
        <f t="array" ref="P1968">IF(N1968="","",IFERROR(_xlfn.XLOOKUP(F1968&amp;"|"&amp;J1968&amp;"|"&amp;O1968,PRICES!$C$2:$C$659&amp;"|"&amp;PRICES!$B$2:$B$659&amp;"|"&amp;PRICES!$D$2:$D$659,PRICES!$E$2:$E$659),"Not Found"))</f>
        <v/>
      </c>
      <c r="Q1968" s="100" t="str">
        <f>IF(N1968=0,"",SUMIFS(PRICES!$G$2:$G$658,PRICES!$B$2:$B$658,'MAIN TABLE-1 AUTOMATED'!J1968,PRICES!$C$2:$C$658,'MAIN TABLE-1 AUTOMATED'!F1968,PRICES!$D$2:$D$658,'MAIN TABLE-1 AUTOMATED'!O1968))</f>
        <v/>
      </c>
      <c r="R1968" s="41" t="str">
        <f>IF(Table1[[#This Row],[QUANTITY]]=0,"",Table1[[#This Row],[UNIT PRICE]]*Table1[[#This Row],[QUANTITY]])</f>
        <v/>
      </c>
      <c r="S1968" s="89"/>
      <c r="T1968" s="38"/>
      <c r="U1968" s="43"/>
      <c r="V1968" s="42" t="str">
        <f>IF(Table1[[#This Row],[DATE]]=0,"",YEAR(E1968))</f>
        <v/>
      </c>
      <c r="W1968" s="40" t="str">
        <f t="shared" si="62"/>
        <v/>
      </c>
      <c r="X1968" s="40" t="str">
        <f t="shared" si="63"/>
        <v/>
      </c>
      <c r="Y1968" s="40" t="str">
        <f>TEXT(Table1[[#This Row],[YEAR]],"0000")&amp;"-"&amp;Table1[[#This Row],[MONTH]]</f>
        <v>-</v>
      </c>
    </row>
    <row r="1969" spans="1:25" ht="15" customHeight="1" x14ac:dyDescent="0.35">
      <c r="A1969" s="24"/>
      <c r="B1969" s="38"/>
      <c r="C1969" s="38"/>
      <c r="D1969" s="38"/>
      <c r="E1969" s="37"/>
      <c r="F1969" s="38"/>
      <c r="G1969" s="198"/>
      <c r="H1969" s="198"/>
      <c r="I1969" s="39"/>
      <c r="J1969" s="38"/>
      <c r="K1969" s="198"/>
      <c r="L1969" s="38"/>
      <c r="M1969" s="38"/>
      <c r="N1969" s="38"/>
      <c r="O1969" s="38"/>
      <c r="P1969" s="40" t="str" cm="1">
        <f t="array" ref="P1969">IF(N1969="","",IFERROR(_xlfn.XLOOKUP(F1969&amp;"|"&amp;J1969&amp;"|"&amp;O1969,PRICES!$C$2:$C$659&amp;"|"&amp;PRICES!$B$2:$B$659&amp;"|"&amp;PRICES!$D$2:$D$659,PRICES!$E$2:$E$659),"Not Found"))</f>
        <v/>
      </c>
      <c r="Q1969" s="100" t="str">
        <f>IF(N1969=0,"",SUMIFS(PRICES!$G$2:$G$658,PRICES!$B$2:$B$658,'MAIN TABLE-1 AUTOMATED'!J1969,PRICES!$C$2:$C$658,'MAIN TABLE-1 AUTOMATED'!F1969,PRICES!$D$2:$D$658,'MAIN TABLE-1 AUTOMATED'!O1969))</f>
        <v/>
      </c>
      <c r="R1969" s="41" t="str">
        <f>IF(Table1[[#This Row],[QUANTITY]]=0,"",Table1[[#This Row],[UNIT PRICE]]*Table1[[#This Row],[QUANTITY]])</f>
        <v/>
      </c>
      <c r="S1969" s="89"/>
      <c r="T1969" s="38"/>
      <c r="U1969" s="43"/>
      <c r="V1969" s="42" t="str">
        <f>IF(Table1[[#This Row],[DATE]]=0,"",YEAR(E1969))</f>
        <v/>
      </c>
      <c r="W1969" s="40" t="str">
        <f t="shared" si="62"/>
        <v/>
      </c>
      <c r="X1969" s="40" t="str">
        <f t="shared" si="63"/>
        <v/>
      </c>
      <c r="Y1969" s="40" t="str">
        <f>TEXT(Table1[[#This Row],[YEAR]],"0000")&amp;"-"&amp;Table1[[#This Row],[MONTH]]</f>
        <v>-</v>
      </c>
    </row>
    <row r="1970" spans="1:25" ht="15" customHeight="1" x14ac:dyDescent="0.35">
      <c r="A1970" s="24"/>
      <c r="B1970" s="38"/>
      <c r="C1970" s="38"/>
      <c r="D1970" s="38"/>
      <c r="E1970" s="37"/>
      <c r="F1970" s="38"/>
      <c r="G1970" s="198"/>
      <c r="H1970" s="198"/>
      <c r="I1970" s="39"/>
      <c r="J1970" s="38"/>
      <c r="K1970" s="198"/>
      <c r="L1970" s="38"/>
      <c r="M1970" s="38"/>
      <c r="N1970" s="198"/>
      <c r="O1970" s="38"/>
      <c r="P1970" s="40" t="str" cm="1">
        <f t="array" ref="P1970">IF(N1970="","",IFERROR(_xlfn.XLOOKUP(F1970&amp;"|"&amp;J1970&amp;"|"&amp;O1970,PRICES!$C$2:$C$659&amp;"|"&amp;PRICES!$B$2:$B$659&amp;"|"&amp;PRICES!$D$2:$D$659,PRICES!$E$2:$E$659),"Not Found"))</f>
        <v/>
      </c>
      <c r="Q1970" s="100" t="str">
        <f>IF(N1970=0,"",SUMIFS(PRICES!$G$2:$G$658,PRICES!$B$2:$B$658,'MAIN TABLE-1 AUTOMATED'!J1970,PRICES!$C$2:$C$658,'MAIN TABLE-1 AUTOMATED'!F1970,PRICES!$D$2:$D$658,'MAIN TABLE-1 AUTOMATED'!O1970))</f>
        <v/>
      </c>
      <c r="R1970" s="41" t="str">
        <f>IF(Table1[[#This Row],[QUANTITY]]=0,"",Table1[[#This Row],[UNIT PRICE]]*Table1[[#This Row],[QUANTITY]])</f>
        <v/>
      </c>
      <c r="S1970" s="89"/>
      <c r="T1970" s="38"/>
      <c r="U1970" s="43"/>
      <c r="V1970" s="42" t="str">
        <f>IF(Table1[[#This Row],[DATE]]=0,"",YEAR(E1970))</f>
        <v/>
      </c>
      <c r="W1970" s="40" t="str">
        <f t="shared" si="62"/>
        <v/>
      </c>
      <c r="X1970" s="40" t="str">
        <f t="shared" si="63"/>
        <v/>
      </c>
      <c r="Y1970" s="40" t="str">
        <f>TEXT(Table1[[#This Row],[YEAR]],"0000")&amp;"-"&amp;Table1[[#This Row],[MONTH]]</f>
        <v>-</v>
      </c>
    </row>
    <row r="1971" spans="1:25" ht="15" customHeight="1" x14ac:dyDescent="0.35">
      <c r="A1971" s="24"/>
      <c r="B1971" s="38"/>
      <c r="C1971" s="38"/>
      <c r="D1971" s="38"/>
      <c r="E1971" s="37"/>
      <c r="F1971" s="38"/>
      <c r="G1971" s="198"/>
      <c r="H1971" s="198"/>
      <c r="I1971" s="39"/>
      <c r="J1971" s="38"/>
      <c r="K1971" s="198"/>
      <c r="L1971" s="38"/>
      <c r="M1971" s="38"/>
      <c r="N1971" s="198"/>
      <c r="O1971" s="38"/>
      <c r="P1971" s="40" t="str" cm="1">
        <f t="array" ref="P1971">IF(N1971="","",IFERROR(_xlfn.XLOOKUP(F1971&amp;"|"&amp;J1971&amp;"|"&amp;O1971,PRICES!$C$2:$C$659&amp;"|"&amp;PRICES!$B$2:$B$659&amp;"|"&amp;PRICES!$D$2:$D$659,PRICES!$E$2:$E$659),"Not Found"))</f>
        <v/>
      </c>
      <c r="Q1971" s="100" t="str">
        <f>IF(N1971=0,"",SUMIFS(PRICES!$G$2:$G$658,PRICES!$B$2:$B$658,'MAIN TABLE-1 AUTOMATED'!J1971,PRICES!$C$2:$C$658,'MAIN TABLE-1 AUTOMATED'!F1971,PRICES!$D$2:$D$658,'MAIN TABLE-1 AUTOMATED'!O1971))</f>
        <v/>
      </c>
      <c r="R1971" s="41" t="str">
        <f>IF(Table1[[#This Row],[QUANTITY]]=0,"",Table1[[#This Row],[UNIT PRICE]]*Table1[[#This Row],[QUANTITY]])</f>
        <v/>
      </c>
      <c r="S1971" s="89"/>
      <c r="T1971" s="38"/>
      <c r="U1971" s="43"/>
      <c r="V1971" s="42" t="str">
        <f>IF(Table1[[#This Row],[DATE]]=0,"",YEAR(E1971))</f>
        <v/>
      </c>
      <c r="W1971" s="40" t="str">
        <f t="shared" si="62"/>
        <v/>
      </c>
      <c r="X1971" s="40" t="str">
        <f t="shared" si="63"/>
        <v/>
      </c>
      <c r="Y1971" s="40" t="str">
        <f>TEXT(Table1[[#This Row],[YEAR]],"0000")&amp;"-"&amp;Table1[[#This Row],[MONTH]]</f>
        <v>-</v>
      </c>
    </row>
    <row r="1972" spans="1:25" ht="15" customHeight="1" x14ac:dyDescent="0.35">
      <c r="A1972" s="24"/>
      <c r="B1972" s="38"/>
      <c r="C1972" s="38"/>
      <c r="D1972" s="38"/>
      <c r="E1972" s="37"/>
      <c r="F1972" s="38"/>
      <c r="G1972" s="198"/>
      <c r="H1972" s="198"/>
      <c r="I1972" s="39"/>
      <c r="J1972" s="38"/>
      <c r="K1972" s="198"/>
      <c r="L1972" s="38"/>
      <c r="M1972" s="38"/>
      <c r="N1972" s="198"/>
      <c r="O1972" s="38"/>
      <c r="P1972" s="40" t="str" cm="1">
        <f t="array" ref="P1972">IF(N1972="","",IFERROR(_xlfn.XLOOKUP(F1972&amp;"|"&amp;J1972&amp;"|"&amp;O1972,PRICES!$C$2:$C$659&amp;"|"&amp;PRICES!$B$2:$B$659&amp;"|"&amp;PRICES!$D$2:$D$659,PRICES!$E$2:$E$659),"Not Found"))</f>
        <v/>
      </c>
      <c r="Q1972" s="100" t="str">
        <f>IF(N1972=0,"",SUMIFS(PRICES!$G$2:$G$658,PRICES!$B$2:$B$658,'MAIN TABLE-1 AUTOMATED'!J1972,PRICES!$C$2:$C$658,'MAIN TABLE-1 AUTOMATED'!F1972,PRICES!$D$2:$D$658,'MAIN TABLE-1 AUTOMATED'!O1972))</f>
        <v/>
      </c>
      <c r="R1972" s="41" t="str">
        <f>IF(Table1[[#This Row],[QUANTITY]]=0,"",Table1[[#This Row],[UNIT PRICE]]*Table1[[#This Row],[QUANTITY]])</f>
        <v/>
      </c>
      <c r="S1972" s="89"/>
      <c r="T1972" s="38"/>
      <c r="U1972" s="43"/>
      <c r="V1972" s="42" t="str">
        <f>IF(Table1[[#This Row],[DATE]]=0,"",YEAR(E1972))</f>
        <v/>
      </c>
      <c r="W1972" s="40" t="str">
        <f t="shared" si="62"/>
        <v/>
      </c>
      <c r="X1972" s="40" t="str">
        <f t="shared" si="63"/>
        <v/>
      </c>
      <c r="Y1972" s="40" t="str">
        <f>TEXT(Table1[[#This Row],[YEAR]],"0000")&amp;"-"&amp;Table1[[#This Row],[MONTH]]</f>
        <v>-</v>
      </c>
    </row>
    <row r="1973" spans="1:25" ht="15" customHeight="1" x14ac:dyDescent="0.35">
      <c r="A1973" s="24"/>
      <c r="B1973" s="38"/>
      <c r="C1973" s="38"/>
      <c r="D1973" s="38"/>
      <c r="E1973" s="37"/>
      <c r="F1973" s="38"/>
      <c r="G1973" s="198"/>
      <c r="H1973" s="198"/>
      <c r="I1973" s="39"/>
      <c r="J1973" s="38"/>
      <c r="K1973" s="198"/>
      <c r="L1973" s="38"/>
      <c r="M1973" s="38"/>
      <c r="N1973" s="198"/>
      <c r="O1973" s="38"/>
      <c r="P1973" s="40" t="str" cm="1">
        <f t="array" ref="P1973">IF(N1973="","",IFERROR(_xlfn.XLOOKUP(F1973&amp;"|"&amp;J1973&amp;"|"&amp;O1973,PRICES!$C$2:$C$659&amp;"|"&amp;PRICES!$B$2:$B$659&amp;"|"&amp;PRICES!$D$2:$D$659,PRICES!$E$2:$E$659),"Not Found"))</f>
        <v/>
      </c>
      <c r="Q1973" s="100" t="str">
        <f>IF(N1973=0,"",SUMIFS(PRICES!$G$2:$G$658,PRICES!$B$2:$B$658,'MAIN TABLE-1 AUTOMATED'!J1973,PRICES!$C$2:$C$658,'MAIN TABLE-1 AUTOMATED'!F1973,PRICES!$D$2:$D$658,'MAIN TABLE-1 AUTOMATED'!O1973))</f>
        <v/>
      </c>
      <c r="R1973" s="41" t="str">
        <f>IF(Table1[[#This Row],[QUANTITY]]=0,"",Table1[[#This Row],[UNIT PRICE]]*Table1[[#This Row],[QUANTITY]])</f>
        <v/>
      </c>
      <c r="S1973" s="89"/>
      <c r="T1973" s="38"/>
      <c r="U1973" s="43"/>
      <c r="V1973" s="42" t="str">
        <f>IF(Table1[[#This Row],[DATE]]=0,"",YEAR(E1973))</f>
        <v/>
      </c>
      <c r="W1973" s="40" t="str">
        <f t="shared" si="62"/>
        <v/>
      </c>
      <c r="X1973" s="40" t="str">
        <f t="shared" si="63"/>
        <v/>
      </c>
      <c r="Y1973" s="40" t="str">
        <f>TEXT(Table1[[#This Row],[YEAR]],"0000")&amp;"-"&amp;Table1[[#This Row],[MONTH]]</f>
        <v>-</v>
      </c>
    </row>
    <row r="1974" spans="1:25" ht="15" customHeight="1" x14ac:dyDescent="0.35">
      <c r="A1974" s="24"/>
      <c r="B1974" s="38"/>
      <c r="C1974" s="38"/>
      <c r="D1974" s="38"/>
      <c r="E1974" s="37"/>
      <c r="F1974" s="38"/>
      <c r="G1974" s="198"/>
      <c r="H1974" s="198"/>
      <c r="I1974" s="39"/>
      <c r="J1974" s="38"/>
      <c r="K1974" s="198"/>
      <c r="L1974" s="38"/>
      <c r="M1974" s="38"/>
      <c r="N1974" s="198"/>
      <c r="O1974" s="38"/>
      <c r="P1974" s="40" t="str" cm="1">
        <f t="array" ref="P1974">IF(N1974="","",IFERROR(_xlfn.XLOOKUP(F1974&amp;"|"&amp;J1974&amp;"|"&amp;O1974,PRICES!$C$2:$C$659&amp;"|"&amp;PRICES!$B$2:$B$659&amp;"|"&amp;PRICES!$D$2:$D$659,PRICES!$E$2:$E$659),"Not Found"))</f>
        <v/>
      </c>
      <c r="Q1974" s="100" t="str">
        <f>IF(N1974=0,"",SUMIFS(PRICES!$G$2:$G$658,PRICES!$B$2:$B$658,'MAIN TABLE-1 AUTOMATED'!J1974,PRICES!$C$2:$C$658,'MAIN TABLE-1 AUTOMATED'!F1974,PRICES!$D$2:$D$658,'MAIN TABLE-1 AUTOMATED'!O1974))</f>
        <v/>
      </c>
      <c r="R1974" s="41" t="str">
        <f>IF(Table1[[#This Row],[QUANTITY]]=0,"",Table1[[#This Row],[UNIT PRICE]]*Table1[[#This Row],[QUANTITY]])</f>
        <v/>
      </c>
      <c r="S1974" s="89"/>
      <c r="T1974" s="38"/>
      <c r="U1974" s="43"/>
      <c r="V1974" s="42" t="str">
        <f>IF(Table1[[#This Row],[DATE]]=0,"",YEAR(E1974))</f>
        <v/>
      </c>
      <c r="W1974" s="40" t="str">
        <f t="shared" si="62"/>
        <v/>
      </c>
      <c r="X1974" s="40" t="str">
        <f t="shared" si="63"/>
        <v/>
      </c>
      <c r="Y1974" s="40" t="str">
        <f>TEXT(Table1[[#This Row],[YEAR]],"0000")&amp;"-"&amp;Table1[[#This Row],[MONTH]]</f>
        <v>-</v>
      </c>
    </row>
    <row r="1975" spans="1:25" ht="15" customHeight="1" x14ac:dyDescent="0.35">
      <c r="A1975" s="24"/>
      <c r="B1975" s="38"/>
      <c r="C1975" s="38"/>
      <c r="D1975" s="38"/>
      <c r="E1975" s="37"/>
      <c r="F1975" s="38"/>
      <c r="G1975" s="198"/>
      <c r="H1975" s="198"/>
      <c r="I1975" s="39"/>
      <c r="J1975" s="38"/>
      <c r="K1975" s="198"/>
      <c r="L1975" s="38"/>
      <c r="M1975" s="38"/>
      <c r="N1975" s="38"/>
      <c r="O1975" s="38"/>
      <c r="P1975" s="40" t="str" cm="1">
        <f t="array" ref="P1975">IF(N1975="","",IFERROR(_xlfn.XLOOKUP(F1975&amp;"|"&amp;J1975&amp;"|"&amp;O1975,PRICES!$C$2:$C$659&amp;"|"&amp;PRICES!$B$2:$B$659&amp;"|"&amp;PRICES!$D$2:$D$659,PRICES!$E$2:$E$659),"Not Found"))</f>
        <v/>
      </c>
      <c r="Q1975" s="100" t="str">
        <f>IF(N1975=0,"",SUMIFS(PRICES!$G$2:$G$658,PRICES!$B$2:$B$658,'MAIN TABLE-1 AUTOMATED'!J1975,PRICES!$C$2:$C$658,'MAIN TABLE-1 AUTOMATED'!F1975,PRICES!$D$2:$D$658,'MAIN TABLE-1 AUTOMATED'!O1975))</f>
        <v/>
      </c>
      <c r="R1975" s="41" t="str">
        <f>IF(Table1[[#This Row],[QUANTITY]]=0,"",Table1[[#This Row],[UNIT PRICE]]*Table1[[#This Row],[QUANTITY]])</f>
        <v/>
      </c>
      <c r="S1975" s="89"/>
      <c r="T1975" s="38"/>
      <c r="U1975" s="43"/>
      <c r="V1975" s="42" t="str">
        <f>IF(Table1[[#This Row],[DATE]]=0,"",YEAR(E1975))</f>
        <v/>
      </c>
      <c r="W1975" s="40" t="str">
        <f t="shared" si="62"/>
        <v/>
      </c>
      <c r="X1975" s="40" t="str">
        <f t="shared" si="63"/>
        <v/>
      </c>
      <c r="Y1975" s="40" t="str">
        <f>TEXT(Table1[[#This Row],[YEAR]],"0000")&amp;"-"&amp;Table1[[#This Row],[MONTH]]</f>
        <v>-</v>
      </c>
    </row>
    <row r="1976" spans="1:25" ht="15" customHeight="1" x14ac:dyDescent="0.35">
      <c r="A1976" s="24"/>
      <c r="B1976" s="38"/>
      <c r="C1976" s="38"/>
      <c r="D1976" s="38"/>
      <c r="E1976" s="37"/>
      <c r="F1976" s="38"/>
      <c r="G1976" s="198"/>
      <c r="H1976" s="198"/>
      <c r="I1976" s="39"/>
      <c r="J1976" s="38"/>
      <c r="K1976" s="198"/>
      <c r="L1976" s="38"/>
      <c r="M1976" s="38"/>
      <c r="N1976" s="38"/>
      <c r="O1976" s="38"/>
      <c r="P1976" s="40" t="str" cm="1">
        <f t="array" ref="P1976">IF(N1976="","",IFERROR(_xlfn.XLOOKUP(F1976&amp;"|"&amp;J1976&amp;"|"&amp;O1976,PRICES!$C$2:$C$659&amp;"|"&amp;PRICES!$B$2:$B$659&amp;"|"&amp;PRICES!$D$2:$D$659,PRICES!$E$2:$E$659),"Not Found"))</f>
        <v/>
      </c>
      <c r="Q1976" s="100" t="str">
        <f>IF(N1976=0,"",SUMIFS(PRICES!$G$2:$G$658,PRICES!$B$2:$B$658,'MAIN TABLE-1 AUTOMATED'!J1976,PRICES!$C$2:$C$658,'MAIN TABLE-1 AUTOMATED'!F1976,PRICES!$D$2:$D$658,'MAIN TABLE-1 AUTOMATED'!O1976))</f>
        <v/>
      </c>
      <c r="R1976" s="41" t="str">
        <f>IF(Table1[[#This Row],[QUANTITY]]=0,"",Table1[[#This Row],[UNIT PRICE]]*Table1[[#This Row],[QUANTITY]])</f>
        <v/>
      </c>
      <c r="S1976" s="89"/>
      <c r="T1976" s="38"/>
      <c r="U1976" s="43"/>
      <c r="V1976" s="42" t="str">
        <f>IF(Table1[[#This Row],[DATE]]=0,"",YEAR(E1976))</f>
        <v/>
      </c>
      <c r="W1976" s="40" t="str">
        <f t="shared" si="62"/>
        <v/>
      </c>
      <c r="X1976" s="40" t="str">
        <f t="shared" si="63"/>
        <v/>
      </c>
      <c r="Y1976" s="40" t="str">
        <f>TEXT(Table1[[#This Row],[YEAR]],"0000")&amp;"-"&amp;Table1[[#This Row],[MONTH]]</f>
        <v>-</v>
      </c>
    </row>
    <row r="1977" spans="1:25" ht="15" customHeight="1" x14ac:dyDescent="0.35">
      <c r="A1977" s="24"/>
      <c r="B1977" s="38"/>
      <c r="C1977" s="38"/>
      <c r="D1977" s="38"/>
      <c r="E1977" s="37"/>
      <c r="F1977" s="38"/>
      <c r="G1977" s="198"/>
      <c r="H1977" s="198"/>
      <c r="I1977" s="39"/>
      <c r="J1977" s="38"/>
      <c r="K1977" s="198"/>
      <c r="L1977" s="38"/>
      <c r="M1977" s="38"/>
      <c r="N1977" s="198"/>
      <c r="O1977" s="38"/>
      <c r="P1977" s="40" t="str" cm="1">
        <f t="array" ref="P1977">IF(N1977="","",IFERROR(_xlfn.XLOOKUP(F1977&amp;"|"&amp;J1977&amp;"|"&amp;O1977,PRICES!$C$2:$C$659&amp;"|"&amp;PRICES!$B$2:$B$659&amp;"|"&amp;PRICES!$D$2:$D$659,PRICES!$E$2:$E$659),"Not Found"))</f>
        <v/>
      </c>
      <c r="Q1977" s="100" t="str">
        <f>IF(N1977=0,"",SUMIFS(PRICES!$G$2:$G$658,PRICES!$B$2:$B$658,'MAIN TABLE-1 AUTOMATED'!J1977,PRICES!$C$2:$C$658,'MAIN TABLE-1 AUTOMATED'!F1977,PRICES!$D$2:$D$658,'MAIN TABLE-1 AUTOMATED'!O1977))</f>
        <v/>
      </c>
      <c r="R1977" s="41" t="str">
        <f>IF(Table1[[#This Row],[QUANTITY]]=0,"",Table1[[#This Row],[UNIT PRICE]]*Table1[[#This Row],[QUANTITY]])</f>
        <v/>
      </c>
      <c r="S1977" s="89"/>
      <c r="T1977" s="38"/>
      <c r="U1977" s="43"/>
      <c r="V1977" s="42" t="str">
        <f>IF(Table1[[#This Row],[DATE]]=0,"",YEAR(E1977))</f>
        <v/>
      </c>
      <c r="W1977" s="40" t="str">
        <f t="shared" si="62"/>
        <v/>
      </c>
      <c r="X1977" s="40" t="str">
        <f t="shared" si="63"/>
        <v/>
      </c>
      <c r="Y1977" s="40" t="str">
        <f>TEXT(Table1[[#This Row],[YEAR]],"0000")&amp;"-"&amp;Table1[[#This Row],[MONTH]]</f>
        <v>-</v>
      </c>
    </row>
    <row r="1978" spans="1:25" ht="15" customHeight="1" x14ac:dyDescent="0.35">
      <c r="A1978" s="24"/>
      <c r="B1978" s="38"/>
      <c r="C1978" s="38"/>
      <c r="D1978" s="38"/>
      <c r="E1978" s="37"/>
      <c r="F1978" s="38"/>
      <c r="G1978" s="198"/>
      <c r="H1978" s="198"/>
      <c r="I1978" s="39"/>
      <c r="J1978" s="38"/>
      <c r="K1978" s="198"/>
      <c r="L1978" s="38"/>
      <c r="M1978" s="38"/>
      <c r="N1978" s="198"/>
      <c r="O1978" s="38"/>
      <c r="P1978" s="40" t="str" cm="1">
        <f t="array" ref="P1978">IF(N1978="","",IFERROR(_xlfn.XLOOKUP(F1978&amp;"|"&amp;J1978&amp;"|"&amp;O1978,PRICES!$C$2:$C$659&amp;"|"&amp;PRICES!$B$2:$B$659&amp;"|"&amp;PRICES!$D$2:$D$659,PRICES!$E$2:$E$659),"Not Found"))</f>
        <v/>
      </c>
      <c r="Q1978" s="100" t="str">
        <f>IF(N1978=0,"",SUMIFS(PRICES!$G$2:$G$658,PRICES!$B$2:$B$658,'MAIN TABLE-1 AUTOMATED'!J1978,PRICES!$C$2:$C$658,'MAIN TABLE-1 AUTOMATED'!F1978,PRICES!$D$2:$D$658,'MAIN TABLE-1 AUTOMATED'!O1978))</f>
        <v/>
      </c>
      <c r="R1978" s="41" t="str">
        <f>IF(Table1[[#This Row],[QUANTITY]]=0,"",Table1[[#This Row],[UNIT PRICE]]*Table1[[#This Row],[QUANTITY]])</f>
        <v/>
      </c>
      <c r="S1978" s="89"/>
      <c r="T1978" s="38"/>
      <c r="U1978" s="43"/>
      <c r="V1978" s="42" t="str">
        <f>IF(Table1[[#This Row],[DATE]]=0,"",YEAR(E1978))</f>
        <v/>
      </c>
      <c r="W1978" s="40" t="str">
        <f t="shared" si="62"/>
        <v/>
      </c>
      <c r="X1978" s="40" t="str">
        <f t="shared" si="63"/>
        <v/>
      </c>
      <c r="Y1978" s="40" t="str">
        <f>TEXT(Table1[[#This Row],[YEAR]],"0000")&amp;"-"&amp;Table1[[#This Row],[MONTH]]</f>
        <v>-</v>
      </c>
    </row>
    <row r="1979" spans="1:25" ht="15" customHeight="1" x14ac:dyDescent="0.35">
      <c r="A1979" s="24"/>
      <c r="B1979" s="38"/>
      <c r="C1979" s="38"/>
      <c r="D1979" s="38"/>
      <c r="E1979" s="37"/>
      <c r="F1979" s="38"/>
      <c r="G1979" s="198"/>
      <c r="H1979" s="198"/>
      <c r="I1979" s="39"/>
      <c r="J1979" s="38"/>
      <c r="K1979" s="198"/>
      <c r="L1979" s="38"/>
      <c r="M1979" s="38"/>
      <c r="N1979" s="198"/>
      <c r="O1979" s="38"/>
      <c r="P1979" s="40" t="str" cm="1">
        <f t="array" ref="P1979">IF(N1979="","",IFERROR(_xlfn.XLOOKUP(F1979&amp;"|"&amp;J1979&amp;"|"&amp;O1979,PRICES!$C$2:$C$659&amp;"|"&amp;PRICES!$B$2:$B$659&amp;"|"&amp;PRICES!$D$2:$D$659,PRICES!$E$2:$E$659),"Not Found"))</f>
        <v/>
      </c>
      <c r="Q1979" s="100" t="str">
        <f>IF(N1979=0,"",SUMIFS(PRICES!$G$2:$G$658,PRICES!$B$2:$B$658,'MAIN TABLE-1 AUTOMATED'!J1979,PRICES!$C$2:$C$658,'MAIN TABLE-1 AUTOMATED'!F1979,PRICES!$D$2:$D$658,'MAIN TABLE-1 AUTOMATED'!O1979))</f>
        <v/>
      </c>
      <c r="R1979" s="41" t="str">
        <f>IF(Table1[[#This Row],[QUANTITY]]=0,"",Table1[[#This Row],[UNIT PRICE]]*Table1[[#This Row],[QUANTITY]])</f>
        <v/>
      </c>
      <c r="S1979" s="89"/>
      <c r="T1979" s="38"/>
      <c r="U1979" s="43"/>
      <c r="V1979" s="42" t="str">
        <f>IF(Table1[[#This Row],[DATE]]=0,"",YEAR(E1979))</f>
        <v/>
      </c>
      <c r="W1979" s="40" t="str">
        <f t="shared" si="62"/>
        <v/>
      </c>
      <c r="X1979" s="40" t="str">
        <f t="shared" si="63"/>
        <v/>
      </c>
      <c r="Y1979" s="40" t="str">
        <f>TEXT(Table1[[#This Row],[YEAR]],"0000")&amp;"-"&amp;Table1[[#This Row],[MONTH]]</f>
        <v>-</v>
      </c>
    </row>
    <row r="1980" spans="1:25" ht="15" customHeight="1" x14ac:dyDescent="0.35">
      <c r="A1980" s="24"/>
      <c r="B1980" s="38"/>
      <c r="C1980" s="38"/>
      <c r="D1980" s="38"/>
      <c r="E1980" s="37"/>
      <c r="F1980" s="38"/>
      <c r="G1980" s="198"/>
      <c r="H1980" s="198"/>
      <c r="I1980" s="39"/>
      <c r="J1980" s="38"/>
      <c r="K1980" s="198"/>
      <c r="L1980" s="38"/>
      <c r="M1980" s="38"/>
      <c r="N1980" s="198"/>
      <c r="O1980" s="38"/>
      <c r="P1980" s="40" t="str" cm="1">
        <f t="array" ref="P1980">IF(N1980="","",IFERROR(_xlfn.XLOOKUP(F1980&amp;"|"&amp;J1980&amp;"|"&amp;O1980,PRICES!$C$2:$C$659&amp;"|"&amp;PRICES!$B$2:$B$659&amp;"|"&amp;PRICES!$D$2:$D$659,PRICES!$E$2:$E$659),"Not Found"))</f>
        <v/>
      </c>
      <c r="Q1980" s="100" t="str">
        <f>IF(N1980=0,"",SUMIFS(PRICES!$G$2:$G$658,PRICES!$B$2:$B$658,'MAIN TABLE-1 AUTOMATED'!J1980,PRICES!$C$2:$C$658,'MAIN TABLE-1 AUTOMATED'!F1980,PRICES!$D$2:$D$658,'MAIN TABLE-1 AUTOMATED'!O1980))</f>
        <v/>
      </c>
      <c r="R1980" s="41" t="str">
        <f>IF(Table1[[#This Row],[QUANTITY]]=0,"",Table1[[#This Row],[UNIT PRICE]]*Table1[[#This Row],[QUANTITY]])</f>
        <v/>
      </c>
      <c r="S1980" s="89"/>
      <c r="T1980" s="38"/>
      <c r="U1980" s="43"/>
      <c r="V1980" s="42" t="str">
        <f>IF(Table1[[#This Row],[DATE]]=0,"",YEAR(E1980))</f>
        <v/>
      </c>
      <c r="W1980" s="40" t="str">
        <f t="shared" si="62"/>
        <v/>
      </c>
      <c r="X1980" s="40" t="str">
        <f t="shared" si="63"/>
        <v/>
      </c>
      <c r="Y1980" s="40" t="str">
        <f>TEXT(Table1[[#This Row],[YEAR]],"0000")&amp;"-"&amp;Table1[[#This Row],[MONTH]]</f>
        <v>-</v>
      </c>
    </row>
    <row r="1981" spans="1:25" ht="15" customHeight="1" x14ac:dyDescent="0.35">
      <c r="A1981" s="24"/>
      <c r="B1981" s="38"/>
      <c r="C1981" s="38"/>
      <c r="D1981" s="38"/>
      <c r="E1981" s="37"/>
      <c r="F1981" s="38"/>
      <c r="G1981" s="198"/>
      <c r="H1981" s="198"/>
      <c r="I1981" s="39"/>
      <c r="J1981" s="38"/>
      <c r="K1981" s="198"/>
      <c r="L1981" s="38"/>
      <c r="M1981" s="38"/>
      <c r="N1981" s="198"/>
      <c r="O1981" s="38"/>
      <c r="P1981" s="40" t="str" cm="1">
        <f t="array" ref="P1981">IF(N1981="","",IFERROR(_xlfn.XLOOKUP(F1981&amp;"|"&amp;J1981&amp;"|"&amp;O1981,PRICES!$C$2:$C$659&amp;"|"&amp;PRICES!$B$2:$B$659&amp;"|"&amp;PRICES!$D$2:$D$659,PRICES!$E$2:$E$659),"Not Found"))</f>
        <v/>
      </c>
      <c r="Q1981" s="100" t="str">
        <f>IF(N1981=0,"",SUMIFS(PRICES!$G$2:$G$658,PRICES!$B$2:$B$658,'MAIN TABLE-1 AUTOMATED'!J1981,PRICES!$C$2:$C$658,'MAIN TABLE-1 AUTOMATED'!F1981,PRICES!$D$2:$D$658,'MAIN TABLE-1 AUTOMATED'!O1981))</f>
        <v/>
      </c>
      <c r="R1981" s="41" t="str">
        <f>IF(Table1[[#This Row],[QUANTITY]]=0,"",Table1[[#This Row],[UNIT PRICE]]*Table1[[#This Row],[QUANTITY]])</f>
        <v/>
      </c>
      <c r="S1981" s="89"/>
      <c r="T1981" s="38"/>
      <c r="U1981" s="43"/>
      <c r="V1981" s="42" t="str">
        <f>IF(Table1[[#This Row],[DATE]]=0,"",YEAR(E1981))</f>
        <v/>
      </c>
      <c r="W1981" s="40" t="str">
        <f t="shared" si="62"/>
        <v/>
      </c>
      <c r="X1981" s="40" t="str">
        <f t="shared" si="63"/>
        <v/>
      </c>
      <c r="Y1981" s="40" t="str">
        <f>TEXT(Table1[[#This Row],[YEAR]],"0000")&amp;"-"&amp;Table1[[#This Row],[MONTH]]</f>
        <v>-</v>
      </c>
    </row>
    <row r="1982" spans="1:25" ht="15" customHeight="1" x14ac:dyDescent="0.35">
      <c r="A1982" s="24"/>
      <c r="B1982" s="38"/>
      <c r="C1982" s="38"/>
      <c r="D1982" s="38"/>
      <c r="E1982" s="37"/>
      <c r="F1982" s="38"/>
      <c r="G1982" s="198"/>
      <c r="H1982" s="198"/>
      <c r="I1982" s="39"/>
      <c r="J1982" s="38"/>
      <c r="K1982" s="198"/>
      <c r="L1982" s="38"/>
      <c r="M1982" s="38"/>
      <c r="N1982" s="198"/>
      <c r="O1982" s="38"/>
      <c r="P1982" s="40" t="str" cm="1">
        <f t="array" ref="P1982">IF(N1982="","",IFERROR(_xlfn.XLOOKUP(F1982&amp;"|"&amp;J1982&amp;"|"&amp;O1982,PRICES!$C$2:$C$659&amp;"|"&amp;PRICES!$B$2:$B$659&amp;"|"&amp;PRICES!$D$2:$D$659,PRICES!$E$2:$E$659),"Not Found"))</f>
        <v/>
      </c>
      <c r="Q1982" s="100" t="str">
        <f>IF(N1982=0,"",SUMIFS(PRICES!$G$2:$G$658,PRICES!$B$2:$B$658,'MAIN TABLE-1 AUTOMATED'!J1982,PRICES!$C$2:$C$658,'MAIN TABLE-1 AUTOMATED'!F1982,PRICES!$D$2:$D$658,'MAIN TABLE-1 AUTOMATED'!O1982))</f>
        <v/>
      </c>
      <c r="R1982" s="41" t="str">
        <f>IF(Table1[[#This Row],[QUANTITY]]=0,"",Table1[[#This Row],[UNIT PRICE]]*Table1[[#This Row],[QUANTITY]])</f>
        <v/>
      </c>
      <c r="S1982" s="89"/>
      <c r="T1982" s="38"/>
      <c r="U1982" s="43"/>
      <c r="V1982" s="42" t="str">
        <f>IF(Table1[[#This Row],[DATE]]=0,"",YEAR(E1982))</f>
        <v/>
      </c>
      <c r="W1982" s="40" t="str">
        <f t="shared" si="62"/>
        <v/>
      </c>
      <c r="X1982" s="40" t="str">
        <f t="shared" si="63"/>
        <v/>
      </c>
      <c r="Y1982" s="40" t="str">
        <f>TEXT(Table1[[#This Row],[YEAR]],"0000")&amp;"-"&amp;Table1[[#This Row],[MONTH]]</f>
        <v>-</v>
      </c>
    </row>
    <row r="1983" spans="1:25" ht="15" customHeight="1" x14ac:dyDescent="0.35">
      <c r="A1983" s="24"/>
      <c r="B1983" s="38"/>
      <c r="C1983" s="38"/>
      <c r="D1983" s="38"/>
      <c r="E1983" s="37"/>
      <c r="F1983" s="38"/>
      <c r="G1983" s="198"/>
      <c r="H1983" s="198"/>
      <c r="I1983" s="39"/>
      <c r="J1983" s="38"/>
      <c r="K1983" s="198"/>
      <c r="L1983" s="38"/>
      <c r="M1983" s="38"/>
      <c r="N1983" s="198"/>
      <c r="O1983" s="38"/>
      <c r="P1983" s="40" t="str" cm="1">
        <f t="array" ref="P1983">IF(N1983="","",IFERROR(_xlfn.XLOOKUP(F1983&amp;"|"&amp;J1983&amp;"|"&amp;O1983,PRICES!$C$2:$C$659&amp;"|"&amp;PRICES!$B$2:$B$659&amp;"|"&amp;PRICES!$D$2:$D$659,PRICES!$E$2:$E$659),"Not Found"))</f>
        <v/>
      </c>
      <c r="Q1983" s="100" t="str">
        <f>IF(N1983=0,"",SUMIFS(PRICES!$G$2:$G$658,PRICES!$B$2:$B$658,'MAIN TABLE-1 AUTOMATED'!J1983,PRICES!$C$2:$C$658,'MAIN TABLE-1 AUTOMATED'!F1983,PRICES!$D$2:$D$658,'MAIN TABLE-1 AUTOMATED'!O1983))</f>
        <v/>
      </c>
      <c r="R1983" s="41" t="str">
        <f>IF(Table1[[#This Row],[QUANTITY]]=0,"",Table1[[#This Row],[UNIT PRICE]]*Table1[[#This Row],[QUANTITY]])</f>
        <v/>
      </c>
      <c r="S1983" s="89"/>
      <c r="T1983" s="38"/>
      <c r="U1983" s="43"/>
      <c r="V1983" s="42" t="str">
        <f>IF(Table1[[#This Row],[DATE]]=0,"",YEAR(E1983))</f>
        <v/>
      </c>
      <c r="W1983" s="40" t="str">
        <f t="shared" si="62"/>
        <v/>
      </c>
      <c r="X1983" s="40" t="str">
        <f t="shared" si="63"/>
        <v/>
      </c>
      <c r="Y1983" s="40" t="str">
        <f>TEXT(Table1[[#This Row],[YEAR]],"0000")&amp;"-"&amp;Table1[[#This Row],[MONTH]]</f>
        <v>-</v>
      </c>
    </row>
    <row r="1984" spans="1:25" ht="15" customHeight="1" x14ac:dyDescent="0.35">
      <c r="A1984" s="24"/>
      <c r="B1984" s="38"/>
      <c r="C1984" s="38"/>
      <c r="D1984" s="38"/>
      <c r="E1984" s="37"/>
      <c r="F1984" s="38"/>
      <c r="G1984" s="198"/>
      <c r="H1984" s="198"/>
      <c r="I1984" s="39"/>
      <c r="J1984" s="38"/>
      <c r="K1984" s="198"/>
      <c r="L1984" s="38"/>
      <c r="M1984" s="38"/>
      <c r="N1984" s="198"/>
      <c r="O1984" s="38"/>
      <c r="P1984" s="40" t="str" cm="1">
        <f t="array" ref="P1984">IF(N1984="","",IFERROR(_xlfn.XLOOKUP(F1984&amp;"|"&amp;J1984&amp;"|"&amp;O1984,PRICES!$C$2:$C$659&amp;"|"&amp;PRICES!$B$2:$B$659&amp;"|"&amp;PRICES!$D$2:$D$659,PRICES!$E$2:$E$659),"Not Found"))</f>
        <v/>
      </c>
      <c r="Q1984" s="100" t="str">
        <f>IF(N1984=0,"",SUMIFS(PRICES!$G$2:$G$658,PRICES!$B$2:$B$658,'MAIN TABLE-1 AUTOMATED'!J1984,PRICES!$C$2:$C$658,'MAIN TABLE-1 AUTOMATED'!F1984,PRICES!$D$2:$D$658,'MAIN TABLE-1 AUTOMATED'!O1984))</f>
        <v/>
      </c>
      <c r="R1984" s="41" t="str">
        <f>IF(Table1[[#This Row],[QUANTITY]]=0,"",Table1[[#This Row],[UNIT PRICE]]*Table1[[#This Row],[QUANTITY]])</f>
        <v/>
      </c>
      <c r="S1984" s="89"/>
      <c r="T1984" s="38"/>
      <c r="U1984" s="43"/>
      <c r="V1984" s="42" t="str">
        <f>IF(Table1[[#This Row],[DATE]]=0,"",YEAR(E1984))</f>
        <v/>
      </c>
      <c r="W1984" s="40" t="str">
        <f t="shared" si="62"/>
        <v/>
      </c>
      <c r="X1984" s="40" t="str">
        <f t="shared" si="63"/>
        <v/>
      </c>
      <c r="Y1984" s="40" t="str">
        <f>TEXT(Table1[[#This Row],[YEAR]],"0000")&amp;"-"&amp;Table1[[#This Row],[MONTH]]</f>
        <v>-</v>
      </c>
    </row>
    <row r="1985" spans="1:25" ht="15" customHeight="1" x14ac:dyDescent="0.35">
      <c r="A1985" s="24"/>
      <c r="B1985" s="38"/>
      <c r="C1985" s="38"/>
      <c r="D1985" s="38"/>
      <c r="E1985" s="37"/>
      <c r="F1985" s="38"/>
      <c r="G1985" s="198"/>
      <c r="H1985" s="198"/>
      <c r="I1985" s="39"/>
      <c r="J1985" s="38"/>
      <c r="K1985" s="198"/>
      <c r="L1985" s="38"/>
      <c r="M1985" s="38"/>
      <c r="N1985" s="198"/>
      <c r="O1985" s="38"/>
      <c r="P1985" s="40" t="str" cm="1">
        <f t="array" ref="P1985">IF(N1985="","",IFERROR(_xlfn.XLOOKUP(F1985&amp;"|"&amp;J1985&amp;"|"&amp;O1985,PRICES!$C$2:$C$659&amp;"|"&amp;PRICES!$B$2:$B$659&amp;"|"&amp;PRICES!$D$2:$D$659,PRICES!$E$2:$E$659),"Not Found"))</f>
        <v/>
      </c>
      <c r="Q1985" s="100" t="str">
        <f>IF(N1985=0,"",SUMIFS(PRICES!$G$2:$G$658,PRICES!$B$2:$B$658,'MAIN TABLE-1 AUTOMATED'!J1985,PRICES!$C$2:$C$658,'MAIN TABLE-1 AUTOMATED'!F1985,PRICES!$D$2:$D$658,'MAIN TABLE-1 AUTOMATED'!O1985))</f>
        <v/>
      </c>
      <c r="R1985" s="41" t="str">
        <f>IF(Table1[[#This Row],[QUANTITY]]=0,"",Table1[[#This Row],[UNIT PRICE]]*Table1[[#This Row],[QUANTITY]])</f>
        <v/>
      </c>
      <c r="S1985" s="89"/>
      <c r="T1985" s="38"/>
      <c r="U1985" s="43"/>
      <c r="V1985" s="42" t="str">
        <f>IF(Table1[[#This Row],[DATE]]=0,"",YEAR(E1985))</f>
        <v/>
      </c>
      <c r="W1985" s="40" t="str">
        <f t="shared" si="62"/>
        <v/>
      </c>
      <c r="X1985" s="40" t="str">
        <f t="shared" si="63"/>
        <v/>
      </c>
      <c r="Y1985" s="40" t="str">
        <f>TEXT(Table1[[#This Row],[YEAR]],"0000")&amp;"-"&amp;Table1[[#This Row],[MONTH]]</f>
        <v>-</v>
      </c>
    </row>
    <row r="1986" spans="1:25" ht="15" customHeight="1" x14ac:dyDescent="0.35">
      <c r="A1986" s="24"/>
      <c r="B1986" s="38"/>
      <c r="C1986" s="38"/>
      <c r="D1986" s="38"/>
      <c r="E1986" s="37"/>
      <c r="F1986" s="38"/>
      <c r="G1986" s="198"/>
      <c r="H1986" s="198"/>
      <c r="I1986" s="39"/>
      <c r="J1986" s="38"/>
      <c r="K1986" s="198"/>
      <c r="L1986" s="38"/>
      <c r="M1986" s="38"/>
      <c r="N1986" s="198"/>
      <c r="O1986" s="38"/>
      <c r="P1986" s="40" t="str" cm="1">
        <f t="array" ref="P1986">IF(N1986="","",IFERROR(_xlfn.XLOOKUP(F1986&amp;"|"&amp;J1986&amp;"|"&amp;O1986,PRICES!$C$2:$C$659&amp;"|"&amp;PRICES!$B$2:$B$659&amp;"|"&amp;PRICES!$D$2:$D$659,PRICES!$E$2:$E$659),"Not Found"))</f>
        <v/>
      </c>
      <c r="Q1986" s="100" t="str">
        <f>IF(N1986=0,"",SUMIFS(PRICES!$G$2:$G$658,PRICES!$B$2:$B$658,'MAIN TABLE-1 AUTOMATED'!J1986,PRICES!$C$2:$C$658,'MAIN TABLE-1 AUTOMATED'!F1986,PRICES!$D$2:$D$658,'MAIN TABLE-1 AUTOMATED'!O1986))</f>
        <v/>
      </c>
      <c r="R1986" s="41" t="str">
        <f>IF(Table1[[#This Row],[QUANTITY]]=0,"",Table1[[#This Row],[UNIT PRICE]]*Table1[[#This Row],[QUANTITY]])</f>
        <v/>
      </c>
      <c r="S1986" s="89"/>
      <c r="T1986" s="38"/>
      <c r="U1986" s="43"/>
      <c r="V1986" s="42" t="str">
        <f>IF(Table1[[#This Row],[DATE]]=0,"",YEAR(E1986))</f>
        <v/>
      </c>
      <c r="W1986" s="40" t="str">
        <f t="shared" si="62"/>
        <v/>
      </c>
      <c r="X1986" s="40" t="str">
        <f t="shared" si="63"/>
        <v/>
      </c>
      <c r="Y1986" s="40" t="str">
        <f>TEXT(Table1[[#This Row],[YEAR]],"0000")&amp;"-"&amp;Table1[[#This Row],[MONTH]]</f>
        <v>-</v>
      </c>
    </row>
    <row r="1987" spans="1:25" ht="15" customHeight="1" x14ac:dyDescent="0.35">
      <c r="A1987" s="24"/>
      <c r="B1987" s="38"/>
      <c r="C1987" s="38"/>
      <c r="D1987" s="38"/>
      <c r="E1987" s="37"/>
      <c r="F1987" s="38"/>
      <c r="G1987" s="198"/>
      <c r="H1987" s="198"/>
      <c r="I1987" s="39"/>
      <c r="J1987" s="38"/>
      <c r="K1987" s="198"/>
      <c r="L1987" s="38"/>
      <c r="M1987" s="38"/>
      <c r="N1987" s="198"/>
      <c r="O1987" s="38"/>
      <c r="P1987" s="40" t="str" cm="1">
        <f t="array" ref="P1987">IF(N1987="","",IFERROR(_xlfn.XLOOKUP(F1987&amp;"|"&amp;J1987&amp;"|"&amp;O1987,PRICES!$C$2:$C$659&amp;"|"&amp;PRICES!$B$2:$B$659&amp;"|"&amp;PRICES!$D$2:$D$659,PRICES!$E$2:$E$659),"Not Found"))</f>
        <v/>
      </c>
      <c r="Q1987" s="100" t="str">
        <f>IF(N1987=0,"",SUMIFS(PRICES!$G$2:$G$658,PRICES!$B$2:$B$658,'MAIN TABLE-1 AUTOMATED'!J1987,PRICES!$C$2:$C$658,'MAIN TABLE-1 AUTOMATED'!F1987,PRICES!$D$2:$D$658,'MAIN TABLE-1 AUTOMATED'!O1987))</f>
        <v/>
      </c>
      <c r="R1987" s="41" t="str">
        <f>IF(Table1[[#This Row],[QUANTITY]]=0,"",Table1[[#This Row],[UNIT PRICE]]*Table1[[#This Row],[QUANTITY]])</f>
        <v/>
      </c>
      <c r="S1987" s="89"/>
      <c r="T1987" s="38"/>
      <c r="U1987" s="43"/>
      <c r="V1987" s="42" t="str">
        <f>IF(Table1[[#This Row],[DATE]]=0,"",YEAR(E1987))</f>
        <v/>
      </c>
      <c r="W1987" s="40" t="str">
        <f t="shared" si="62"/>
        <v/>
      </c>
      <c r="X1987" s="40" t="str">
        <f t="shared" si="63"/>
        <v/>
      </c>
      <c r="Y1987" s="40" t="str">
        <f>TEXT(Table1[[#This Row],[YEAR]],"0000")&amp;"-"&amp;Table1[[#This Row],[MONTH]]</f>
        <v>-</v>
      </c>
    </row>
    <row r="1988" spans="1:25" ht="15" customHeight="1" x14ac:dyDescent="0.35">
      <c r="A1988" s="24"/>
      <c r="B1988" s="38"/>
      <c r="C1988" s="38"/>
      <c r="D1988" s="38"/>
      <c r="E1988" s="37"/>
      <c r="F1988" s="38"/>
      <c r="G1988" s="198"/>
      <c r="H1988" s="198"/>
      <c r="I1988" s="39"/>
      <c r="J1988" s="38"/>
      <c r="K1988" s="198"/>
      <c r="L1988" s="38"/>
      <c r="M1988" s="38"/>
      <c r="N1988" s="198"/>
      <c r="O1988" s="38"/>
      <c r="P1988" s="40" t="str" cm="1">
        <f t="array" ref="P1988">IF(N1988="","",IFERROR(_xlfn.XLOOKUP(F1988&amp;"|"&amp;J1988&amp;"|"&amp;O1988,PRICES!$C$2:$C$659&amp;"|"&amp;PRICES!$B$2:$B$659&amp;"|"&amp;PRICES!$D$2:$D$659,PRICES!$E$2:$E$659),"Not Found"))</f>
        <v/>
      </c>
      <c r="Q1988" s="100" t="str">
        <f>IF(N1988=0,"",SUMIFS(PRICES!$G$2:$G$658,PRICES!$B$2:$B$658,'MAIN TABLE-1 AUTOMATED'!J1988,PRICES!$C$2:$C$658,'MAIN TABLE-1 AUTOMATED'!F1988,PRICES!$D$2:$D$658,'MAIN TABLE-1 AUTOMATED'!O1988))</f>
        <v/>
      </c>
      <c r="R1988" s="41" t="str">
        <f>IF(Table1[[#This Row],[QUANTITY]]=0,"",Table1[[#This Row],[UNIT PRICE]]*Table1[[#This Row],[QUANTITY]])</f>
        <v/>
      </c>
      <c r="S1988" s="89"/>
      <c r="T1988" s="38"/>
      <c r="U1988" s="43"/>
      <c r="V1988" s="42" t="str">
        <f>IF(Table1[[#This Row],[DATE]]=0,"",YEAR(E1988))</f>
        <v/>
      </c>
      <c r="W1988" s="40" t="str">
        <f t="shared" si="62"/>
        <v/>
      </c>
      <c r="X1988" s="40" t="str">
        <f t="shared" si="63"/>
        <v/>
      </c>
      <c r="Y1988" s="40" t="str">
        <f>TEXT(Table1[[#This Row],[YEAR]],"0000")&amp;"-"&amp;Table1[[#This Row],[MONTH]]</f>
        <v>-</v>
      </c>
    </row>
    <row r="1989" spans="1:25" ht="15" customHeight="1" x14ac:dyDescent="0.35">
      <c r="A1989" s="24"/>
      <c r="B1989" s="38"/>
      <c r="C1989" s="38"/>
      <c r="D1989" s="38"/>
      <c r="E1989" s="37"/>
      <c r="F1989" s="38"/>
      <c r="G1989" s="198"/>
      <c r="H1989" s="198"/>
      <c r="I1989" s="39"/>
      <c r="J1989" s="38"/>
      <c r="K1989" s="198"/>
      <c r="L1989" s="38"/>
      <c r="M1989" s="38"/>
      <c r="N1989" s="198"/>
      <c r="O1989" s="38"/>
      <c r="P1989" s="40" t="str" cm="1">
        <f t="array" ref="P1989">IF(N1989="","",IFERROR(_xlfn.XLOOKUP(F1989&amp;"|"&amp;J1989&amp;"|"&amp;O1989,PRICES!$C$2:$C$659&amp;"|"&amp;PRICES!$B$2:$B$659&amp;"|"&amp;PRICES!$D$2:$D$659,PRICES!$E$2:$E$659),"Not Found"))</f>
        <v/>
      </c>
      <c r="Q1989" s="100" t="str">
        <f>IF(N1989=0,"",SUMIFS(PRICES!$G$2:$G$658,PRICES!$B$2:$B$658,'MAIN TABLE-1 AUTOMATED'!J1989,PRICES!$C$2:$C$658,'MAIN TABLE-1 AUTOMATED'!F1989,PRICES!$D$2:$D$658,'MAIN TABLE-1 AUTOMATED'!O1989))</f>
        <v/>
      </c>
      <c r="R1989" s="41" t="str">
        <f>IF(Table1[[#This Row],[QUANTITY]]=0,"",Table1[[#This Row],[UNIT PRICE]]*Table1[[#This Row],[QUANTITY]])</f>
        <v/>
      </c>
      <c r="S1989" s="89"/>
      <c r="T1989" s="38"/>
      <c r="U1989" s="43"/>
      <c r="V1989" s="42" t="str">
        <f>IF(Table1[[#This Row],[DATE]]=0,"",YEAR(E1989))</f>
        <v/>
      </c>
      <c r="W1989" s="40" t="str">
        <f t="shared" si="62"/>
        <v/>
      </c>
      <c r="X1989" s="40" t="str">
        <f t="shared" si="63"/>
        <v/>
      </c>
      <c r="Y1989" s="40" t="str">
        <f>TEXT(Table1[[#This Row],[YEAR]],"0000")&amp;"-"&amp;Table1[[#This Row],[MONTH]]</f>
        <v>-</v>
      </c>
    </row>
    <row r="1990" spans="1:25" ht="15" customHeight="1" x14ac:dyDescent="0.35">
      <c r="A1990" s="24"/>
      <c r="B1990" s="38"/>
      <c r="C1990" s="38"/>
      <c r="D1990" s="38"/>
      <c r="E1990" s="37"/>
      <c r="F1990" s="38"/>
      <c r="G1990" s="198"/>
      <c r="H1990" s="198"/>
      <c r="I1990" s="39"/>
      <c r="J1990" s="38"/>
      <c r="K1990" s="198"/>
      <c r="L1990" s="38"/>
      <c r="M1990" s="38"/>
      <c r="N1990" s="198"/>
      <c r="O1990" s="38"/>
      <c r="P1990" s="40" t="str" cm="1">
        <f t="array" ref="P1990">IF(N1990="","",IFERROR(_xlfn.XLOOKUP(F1990&amp;"|"&amp;J1990&amp;"|"&amp;O1990,PRICES!$C$2:$C$659&amp;"|"&amp;PRICES!$B$2:$B$659&amp;"|"&amp;PRICES!$D$2:$D$659,PRICES!$E$2:$E$659),"Not Found"))</f>
        <v/>
      </c>
      <c r="Q1990" s="100" t="str">
        <f>IF(N1990=0,"",SUMIFS(PRICES!$G$2:$G$658,PRICES!$B$2:$B$658,'MAIN TABLE-1 AUTOMATED'!J1990,PRICES!$C$2:$C$658,'MAIN TABLE-1 AUTOMATED'!F1990,PRICES!$D$2:$D$658,'MAIN TABLE-1 AUTOMATED'!O1990))</f>
        <v/>
      </c>
      <c r="R1990" s="41" t="str">
        <f>IF(Table1[[#This Row],[QUANTITY]]=0,"",Table1[[#This Row],[UNIT PRICE]]*Table1[[#This Row],[QUANTITY]])</f>
        <v/>
      </c>
      <c r="S1990" s="89"/>
      <c r="T1990" s="38"/>
      <c r="U1990" s="43"/>
      <c r="V1990" s="42" t="str">
        <f>IF(Table1[[#This Row],[DATE]]=0,"",YEAR(E1990))</f>
        <v/>
      </c>
      <c r="W1990" s="40" t="str">
        <f t="shared" si="62"/>
        <v/>
      </c>
      <c r="X1990" s="40" t="str">
        <f t="shared" si="63"/>
        <v/>
      </c>
      <c r="Y1990" s="40" t="str">
        <f>TEXT(Table1[[#This Row],[YEAR]],"0000")&amp;"-"&amp;Table1[[#This Row],[MONTH]]</f>
        <v>-</v>
      </c>
    </row>
    <row r="1991" spans="1:25" ht="15" customHeight="1" x14ac:dyDescent="0.35">
      <c r="A1991" s="24"/>
      <c r="B1991" s="38"/>
      <c r="C1991" s="38"/>
      <c r="D1991" s="38"/>
      <c r="E1991" s="37"/>
      <c r="F1991" s="38"/>
      <c r="G1991" s="198"/>
      <c r="H1991" s="198"/>
      <c r="I1991" s="39"/>
      <c r="J1991" s="38"/>
      <c r="K1991" s="198"/>
      <c r="L1991" s="38"/>
      <c r="M1991" s="38"/>
      <c r="N1991" s="198"/>
      <c r="O1991" s="38"/>
      <c r="P1991" s="40" t="str" cm="1">
        <f t="array" ref="P1991">IF(N1991="","",IFERROR(_xlfn.XLOOKUP(F1991&amp;"|"&amp;J1991&amp;"|"&amp;O1991,PRICES!$C$2:$C$659&amp;"|"&amp;PRICES!$B$2:$B$659&amp;"|"&amp;PRICES!$D$2:$D$659,PRICES!$E$2:$E$659),"Not Found"))</f>
        <v/>
      </c>
      <c r="Q1991" s="100" t="str">
        <f>IF(N1991=0,"",SUMIFS(PRICES!$G$2:$G$658,PRICES!$B$2:$B$658,'MAIN TABLE-1 AUTOMATED'!J1991,PRICES!$C$2:$C$658,'MAIN TABLE-1 AUTOMATED'!F1991,PRICES!$D$2:$D$658,'MAIN TABLE-1 AUTOMATED'!O1991))</f>
        <v/>
      </c>
      <c r="R1991" s="41" t="str">
        <f>IF(Table1[[#This Row],[QUANTITY]]=0,"",Table1[[#This Row],[UNIT PRICE]]*Table1[[#This Row],[QUANTITY]])</f>
        <v/>
      </c>
      <c r="S1991" s="89"/>
      <c r="T1991" s="38"/>
      <c r="U1991" s="43"/>
      <c r="V1991" s="42" t="str">
        <f>IF(Table1[[#This Row],[DATE]]=0,"",YEAR(E1991))</f>
        <v/>
      </c>
      <c r="W1991" s="40" t="str">
        <f t="shared" si="62"/>
        <v/>
      </c>
      <c r="X1991" s="40" t="str">
        <f t="shared" si="63"/>
        <v/>
      </c>
      <c r="Y1991" s="40" t="str">
        <f>TEXT(Table1[[#This Row],[YEAR]],"0000")&amp;"-"&amp;Table1[[#This Row],[MONTH]]</f>
        <v>-</v>
      </c>
    </row>
    <row r="1992" spans="1:25" ht="15" customHeight="1" x14ac:dyDescent="0.35">
      <c r="A1992" s="24"/>
      <c r="B1992" s="38"/>
      <c r="C1992" s="38"/>
      <c r="D1992" s="38"/>
      <c r="E1992" s="37"/>
      <c r="F1992" s="38"/>
      <c r="G1992" s="198"/>
      <c r="H1992" s="198"/>
      <c r="I1992" s="39"/>
      <c r="J1992" s="38"/>
      <c r="K1992" s="198"/>
      <c r="L1992" s="38"/>
      <c r="M1992" s="38"/>
      <c r="N1992" s="198"/>
      <c r="O1992" s="38"/>
      <c r="P1992" s="40" t="str" cm="1">
        <f t="array" ref="P1992">IF(N1992="","",IFERROR(_xlfn.XLOOKUP(F1992&amp;"|"&amp;J1992&amp;"|"&amp;O1992,PRICES!$C$2:$C$659&amp;"|"&amp;PRICES!$B$2:$B$659&amp;"|"&amp;PRICES!$D$2:$D$659,PRICES!$E$2:$E$659),"Not Found"))</f>
        <v/>
      </c>
      <c r="Q1992" s="100" t="str">
        <f>IF(N1992=0,"",SUMIFS(PRICES!$G$2:$G$658,PRICES!$B$2:$B$658,'MAIN TABLE-1 AUTOMATED'!J1992,PRICES!$C$2:$C$658,'MAIN TABLE-1 AUTOMATED'!F1992,PRICES!$D$2:$D$658,'MAIN TABLE-1 AUTOMATED'!O1992))</f>
        <v/>
      </c>
      <c r="R1992" s="41" t="str">
        <f>IF(Table1[[#This Row],[QUANTITY]]=0,"",Table1[[#This Row],[UNIT PRICE]]*Table1[[#This Row],[QUANTITY]])</f>
        <v/>
      </c>
      <c r="S1992" s="89"/>
      <c r="T1992" s="38"/>
      <c r="U1992" s="43"/>
      <c r="V1992" s="42" t="str">
        <f>IF(Table1[[#This Row],[DATE]]=0,"",YEAR(E1992))</f>
        <v/>
      </c>
      <c r="W1992" s="40" t="str">
        <f t="shared" si="62"/>
        <v/>
      </c>
      <c r="X1992" s="40" t="str">
        <f t="shared" si="63"/>
        <v/>
      </c>
      <c r="Y1992" s="40" t="str">
        <f>TEXT(Table1[[#This Row],[YEAR]],"0000")&amp;"-"&amp;Table1[[#This Row],[MONTH]]</f>
        <v>-</v>
      </c>
    </row>
    <row r="1993" spans="1:25" ht="15" customHeight="1" x14ac:dyDescent="0.35">
      <c r="A1993" s="24"/>
      <c r="B1993" s="38"/>
      <c r="C1993" s="38"/>
      <c r="D1993" s="89"/>
      <c r="E1993" s="37"/>
      <c r="F1993" s="89"/>
      <c r="G1993" s="232"/>
      <c r="H1993" s="232"/>
      <c r="I1993" s="39"/>
      <c r="J1993" s="38"/>
      <c r="K1993" s="198"/>
      <c r="L1993" s="38"/>
      <c r="M1993" s="38"/>
      <c r="N1993" s="38"/>
      <c r="O1993" s="38"/>
      <c r="P1993" s="40" t="str" cm="1">
        <f t="array" ref="P1993">IF(N1993="","",IFERROR(_xlfn.XLOOKUP(F1993&amp;"|"&amp;J1993&amp;"|"&amp;O1993,PRICES!$C$2:$C$659&amp;"|"&amp;PRICES!$B$2:$B$659&amp;"|"&amp;PRICES!$D$2:$D$659,PRICES!$E$2:$E$659),"Not Found"))</f>
        <v/>
      </c>
      <c r="Q1993" s="100" t="str">
        <f>IF(N1993=0,"",SUMIFS(PRICES!$G$2:$G$658,PRICES!$B$2:$B$658,'MAIN TABLE-1 AUTOMATED'!J1993,PRICES!$C$2:$C$658,'MAIN TABLE-1 AUTOMATED'!F1993,PRICES!$D$2:$D$658,'MAIN TABLE-1 AUTOMATED'!O1993))</f>
        <v/>
      </c>
      <c r="R1993" s="41" t="str">
        <f>IF(Table1[[#This Row],[QUANTITY]]=0,"",Table1[[#This Row],[UNIT PRICE]]*Table1[[#This Row],[QUANTITY]])</f>
        <v/>
      </c>
      <c r="S1993" s="89"/>
      <c r="T1993" s="38"/>
      <c r="U1993" s="43"/>
      <c r="V1993" s="42" t="str">
        <f>IF(Table1[[#This Row],[DATE]]=0,"",YEAR(E1993))</f>
        <v/>
      </c>
      <c r="W1993" s="40" t="str">
        <f t="shared" si="62"/>
        <v/>
      </c>
      <c r="X1993" s="40" t="str">
        <f t="shared" si="63"/>
        <v/>
      </c>
      <c r="Y1993" s="40" t="str">
        <f>TEXT(Table1[[#This Row],[YEAR]],"0000")&amp;"-"&amp;Table1[[#This Row],[MONTH]]</f>
        <v>-</v>
      </c>
    </row>
    <row r="1994" spans="1:25" ht="15" customHeight="1" x14ac:dyDescent="0.35">
      <c r="A1994" s="24"/>
      <c r="B1994" s="38"/>
      <c r="C1994" s="38"/>
      <c r="D1994" s="38"/>
      <c r="E1994" s="37"/>
      <c r="F1994" s="38"/>
      <c r="G1994" s="198"/>
      <c r="H1994" s="198"/>
      <c r="I1994" s="39"/>
      <c r="J1994" s="38"/>
      <c r="K1994" s="198"/>
      <c r="L1994" s="38"/>
      <c r="M1994" s="38"/>
      <c r="N1994" s="38"/>
      <c r="O1994" s="38"/>
      <c r="P1994" s="40" t="str" cm="1">
        <f t="array" ref="P1994">IF(N1994="","",IFERROR(_xlfn.XLOOKUP(F1994&amp;"|"&amp;J1994&amp;"|"&amp;O1994,PRICES!$C$2:$C$659&amp;"|"&amp;PRICES!$B$2:$B$659&amp;"|"&amp;PRICES!$D$2:$D$659,PRICES!$E$2:$E$659),"Not Found"))</f>
        <v/>
      </c>
      <c r="Q1994" s="100" t="str">
        <f>IF(N1994=0,"",SUMIFS(PRICES!$G$2:$G$658,PRICES!$B$2:$B$658,'MAIN TABLE-1 AUTOMATED'!J1994,PRICES!$C$2:$C$658,'MAIN TABLE-1 AUTOMATED'!F1994,PRICES!$D$2:$D$658,'MAIN TABLE-1 AUTOMATED'!O1994))</f>
        <v/>
      </c>
      <c r="R1994" s="41" t="str">
        <f>IF(Table1[[#This Row],[QUANTITY]]=0,"",Table1[[#This Row],[UNIT PRICE]]*Table1[[#This Row],[QUANTITY]])</f>
        <v/>
      </c>
      <c r="S1994" s="89"/>
      <c r="T1994" s="38"/>
      <c r="U1994" s="43"/>
      <c r="V1994" s="42" t="str">
        <f>IF(Table1[[#This Row],[DATE]]=0,"",YEAR(E1994))</f>
        <v/>
      </c>
      <c r="W1994" s="40" t="str">
        <f t="shared" si="62"/>
        <v/>
      </c>
      <c r="X1994" s="40" t="str">
        <f t="shared" si="63"/>
        <v/>
      </c>
      <c r="Y1994" s="40" t="str">
        <f>TEXT(Table1[[#This Row],[YEAR]],"0000")&amp;"-"&amp;Table1[[#This Row],[MONTH]]</f>
        <v>-</v>
      </c>
    </row>
    <row r="1995" spans="1:25" ht="15" customHeight="1" x14ac:dyDescent="0.35">
      <c r="A1995" s="24"/>
      <c r="B1995" s="38"/>
      <c r="C1995" s="38"/>
      <c r="D1995" s="38"/>
      <c r="E1995" s="37"/>
      <c r="F1995" s="38"/>
      <c r="G1995" s="198"/>
      <c r="H1995" s="198"/>
      <c r="I1995" s="39"/>
      <c r="J1995" s="38"/>
      <c r="K1995" s="198"/>
      <c r="L1995" s="38"/>
      <c r="M1995" s="38"/>
      <c r="N1995" s="38"/>
      <c r="O1995" s="38"/>
      <c r="P1995" s="40" t="str" cm="1">
        <f t="array" ref="P1995">IF(N1995="","",IFERROR(_xlfn.XLOOKUP(F1995&amp;"|"&amp;J1995&amp;"|"&amp;O1995,PRICES!$C$2:$C$659&amp;"|"&amp;PRICES!$B$2:$B$659&amp;"|"&amp;PRICES!$D$2:$D$659,PRICES!$E$2:$E$659),"Not Found"))</f>
        <v/>
      </c>
      <c r="Q1995" s="100" t="str">
        <f>IF(N1995=0,"",SUMIFS(PRICES!$G$2:$G$658,PRICES!$B$2:$B$658,'MAIN TABLE-1 AUTOMATED'!J1995,PRICES!$C$2:$C$658,'MAIN TABLE-1 AUTOMATED'!F1995,PRICES!$D$2:$D$658,'MAIN TABLE-1 AUTOMATED'!O1995))</f>
        <v/>
      </c>
      <c r="R1995" s="41" t="str">
        <f>IF(Table1[[#This Row],[QUANTITY]]=0,"",Table1[[#This Row],[UNIT PRICE]]*Table1[[#This Row],[QUANTITY]])</f>
        <v/>
      </c>
      <c r="S1995" s="89"/>
      <c r="T1995" s="38"/>
      <c r="U1995" s="43"/>
      <c r="V1995" s="42" t="str">
        <f>IF(Table1[[#This Row],[DATE]]=0,"",YEAR(E1995))</f>
        <v/>
      </c>
      <c r="W1995" s="40" t="str">
        <f t="shared" si="62"/>
        <v/>
      </c>
      <c r="X1995" s="40" t="str">
        <f t="shared" si="63"/>
        <v/>
      </c>
      <c r="Y1995" s="40" t="str">
        <f>TEXT(Table1[[#This Row],[YEAR]],"0000")&amp;"-"&amp;Table1[[#This Row],[MONTH]]</f>
        <v>-</v>
      </c>
    </row>
    <row r="1996" spans="1:25" ht="15" customHeight="1" x14ac:dyDescent="0.35">
      <c r="A1996" s="24"/>
      <c r="B1996" s="38"/>
      <c r="C1996" s="38"/>
      <c r="D1996" s="38"/>
      <c r="E1996" s="37"/>
      <c r="F1996" s="38"/>
      <c r="G1996" s="198"/>
      <c r="H1996" s="234"/>
      <c r="I1996" s="244"/>
      <c r="J1996" s="38"/>
      <c r="K1996" s="198"/>
      <c r="L1996" s="38"/>
      <c r="M1996" s="38"/>
      <c r="N1996" s="38"/>
      <c r="O1996" s="38"/>
      <c r="P1996" s="40" t="str" cm="1">
        <f t="array" ref="P1996">IF(N1996="","",IFERROR(_xlfn.XLOOKUP(F1996&amp;"|"&amp;J1996&amp;"|"&amp;O1996,PRICES!$C$2:$C$659&amp;"|"&amp;PRICES!$B$2:$B$659&amp;"|"&amp;PRICES!$D$2:$D$659,PRICES!$E$2:$E$659),"Not Found"))</f>
        <v/>
      </c>
      <c r="Q1996" s="100" t="str">
        <f>IF(N1996=0,"",SUMIFS(PRICES!$G$2:$G$658,PRICES!$B$2:$B$658,'MAIN TABLE-1 AUTOMATED'!J1996,PRICES!$C$2:$C$658,'MAIN TABLE-1 AUTOMATED'!F1996,PRICES!$D$2:$D$658,'MAIN TABLE-1 AUTOMATED'!O1996))</f>
        <v/>
      </c>
      <c r="R1996" s="41" t="str">
        <f>IF(Table1[[#This Row],[QUANTITY]]=0,"",Table1[[#This Row],[UNIT PRICE]]*Table1[[#This Row],[QUANTITY]])</f>
        <v/>
      </c>
      <c r="S1996" s="89"/>
      <c r="T1996" s="38"/>
      <c r="U1996" s="43"/>
      <c r="V1996" s="42" t="str">
        <f>IF(Table1[[#This Row],[DATE]]=0,"",YEAR(E1996))</f>
        <v/>
      </c>
      <c r="W1996" s="40" t="str">
        <f t="shared" si="62"/>
        <v/>
      </c>
      <c r="X1996" s="40" t="str">
        <f t="shared" si="63"/>
        <v/>
      </c>
      <c r="Y1996" s="40" t="str">
        <f>TEXT(Table1[[#This Row],[YEAR]],"0000")&amp;"-"&amp;Table1[[#This Row],[MONTH]]</f>
        <v>-</v>
      </c>
    </row>
    <row r="1997" spans="1:25" ht="15" customHeight="1" x14ac:dyDescent="0.35">
      <c r="A1997" s="24"/>
      <c r="B1997" s="38"/>
      <c r="C1997" s="38"/>
      <c r="D1997" s="38"/>
      <c r="E1997" s="37"/>
      <c r="F1997" s="38"/>
      <c r="G1997" s="198"/>
      <c r="H1997" s="198"/>
      <c r="I1997" s="39"/>
      <c r="J1997" s="38"/>
      <c r="K1997" s="198"/>
      <c r="L1997" s="38"/>
      <c r="M1997" s="38"/>
      <c r="N1997" s="38"/>
      <c r="O1997" s="38"/>
      <c r="P1997" s="40" t="str" cm="1">
        <f t="array" ref="P1997">IF(N1997="","",IFERROR(_xlfn.XLOOKUP(F1997&amp;"|"&amp;J1997&amp;"|"&amp;O1997,PRICES!$C$2:$C$659&amp;"|"&amp;PRICES!$B$2:$B$659&amp;"|"&amp;PRICES!$D$2:$D$659,PRICES!$E$2:$E$659),"Not Found"))</f>
        <v/>
      </c>
      <c r="Q1997" s="100" t="str">
        <f>IF(N1997=0,"",SUMIFS(PRICES!$G$2:$G$658,PRICES!$B$2:$B$658,'MAIN TABLE-1 AUTOMATED'!J1997,PRICES!$C$2:$C$658,'MAIN TABLE-1 AUTOMATED'!F1997,PRICES!$D$2:$D$658,'MAIN TABLE-1 AUTOMATED'!O1997))</f>
        <v/>
      </c>
      <c r="R1997" s="41" t="str">
        <f>IF(Table1[[#This Row],[QUANTITY]]=0,"",Table1[[#This Row],[UNIT PRICE]]*Table1[[#This Row],[QUANTITY]])</f>
        <v/>
      </c>
      <c r="S1997" s="89"/>
      <c r="T1997" s="38"/>
      <c r="U1997" s="43"/>
      <c r="V1997" s="42" t="str">
        <f>IF(Table1[[#This Row],[DATE]]=0,"",YEAR(E1997))</f>
        <v/>
      </c>
      <c r="W1997" s="40" t="str">
        <f t="shared" si="62"/>
        <v/>
      </c>
      <c r="X1997" s="40" t="str">
        <f t="shared" si="63"/>
        <v/>
      </c>
      <c r="Y1997" s="40" t="str">
        <f>TEXT(Table1[[#This Row],[YEAR]],"0000")&amp;"-"&amp;Table1[[#This Row],[MONTH]]</f>
        <v>-</v>
      </c>
    </row>
    <row r="1998" spans="1:25" ht="15" customHeight="1" x14ac:dyDescent="0.35">
      <c r="A1998" s="24"/>
      <c r="B1998" s="38"/>
      <c r="C1998" s="38"/>
      <c r="D1998" s="38"/>
      <c r="E1998" s="37"/>
      <c r="F1998" s="38"/>
      <c r="G1998" s="198"/>
      <c r="H1998" s="198"/>
      <c r="I1998" s="39"/>
      <c r="J1998" s="38"/>
      <c r="K1998" s="198"/>
      <c r="L1998" s="38"/>
      <c r="M1998" s="38"/>
      <c r="N1998" s="38"/>
      <c r="O1998" s="38"/>
      <c r="P1998" s="40" t="str" cm="1">
        <f t="array" ref="P1998">IF(N1998="","",IFERROR(_xlfn.XLOOKUP(F1998&amp;"|"&amp;J1998&amp;"|"&amp;O1998,PRICES!$C$2:$C$659&amp;"|"&amp;PRICES!$B$2:$B$659&amp;"|"&amp;PRICES!$D$2:$D$659,PRICES!$E$2:$E$659),"Not Found"))</f>
        <v/>
      </c>
      <c r="Q1998" s="100" t="str">
        <f>IF(N1998=0,"",SUMIFS(PRICES!$G$2:$G$658,PRICES!$B$2:$B$658,'MAIN TABLE-1 AUTOMATED'!J1998,PRICES!$C$2:$C$658,'MAIN TABLE-1 AUTOMATED'!F1998,PRICES!$D$2:$D$658,'MAIN TABLE-1 AUTOMATED'!O1998))</f>
        <v/>
      </c>
      <c r="R1998" s="41" t="str">
        <f>IF(Table1[[#This Row],[QUANTITY]]=0,"",Table1[[#This Row],[UNIT PRICE]]*Table1[[#This Row],[QUANTITY]])</f>
        <v/>
      </c>
      <c r="S1998" s="89"/>
      <c r="T1998" s="38"/>
      <c r="U1998" s="43"/>
      <c r="V1998" s="42" t="str">
        <f>IF(Table1[[#This Row],[DATE]]=0,"",YEAR(E1998))</f>
        <v/>
      </c>
      <c r="W1998" s="40" t="str">
        <f t="shared" si="62"/>
        <v/>
      </c>
      <c r="X1998" s="40" t="str">
        <f t="shared" si="63"/>
        <v/>
      </c>
      <c r="Y1998" s="40" t="str">
        <f>TEXT(Table1[[#This Row],[YEAR]],"0000")&amp;"-"&amp;Table1[[#This Row],[MONTH]]</f>
        <v>-</v>
      </c>
    </row>
    <row r="1999" spans="1:25" ht="15" customHeight="1" x14ac:dyDescent="0.35">
      <c r="A1999" s="24"/>
      <c r="B1999" s="38"/>
      <c r="C1999" s="38"/>
      <c r="D1999" s="38"/>
      <c r="E1999" s="37"/>
      <c r="F1999" s="38"/>
      <c r="G1999" s="198"/>
      <c r="H1999" s="198"/>
      <c r="I1999" s="39"/>
      <c r="J1999" s="38"/>
      <c r="K1999" s="198"/>
      <c r="L1999" s="38"/>
      <c r="M1999" s="38"/>
      <c r="N1999" s="38"/>
      <c r="O1999" s="38"/>
      <c r="P1999" s="40" t="str" cm="1">
        <f t="array" ref="P1999">IF(N1999="","",IFERROR(_xlfn.XLOOKUP(F1999&amp;"|"&amp;J1999&amp;"|"&amp;O1999,PRICES!$C$2:$C$659&amp;"|"&amp;PRICES!$B$2:$B$659&amp;"|"&amp;PRICES!$D$2:$D$659,PRICES!$E$2:$E$659),"Not Found"))</f>
        <v/>
      </c>
      <c r="Q1999" s="100" t="str">
        <f>IF(N1999=0,"",SUMIFS(PRICES!$G$2:$G$658,PRICES!$B$2:$B$658,'MAIN TABLE-1 AUTOMATED'!J1999,PRICES!$C$2:$C$658,'MAIN TABLE-1 AUTOMATED'!F1999,PRICES!$D$2:$D$658,'MAIN TABLE-1 AUTOMATED'!O1999))</f>
        <v/>
      </c>
      <c r="R1999" s="41" t="str">
        <f>IF(Table1[[#This Row],[QUANTITY]]=0,"",Table1[[#This Row],[UNIT PRICE]]*Table1[[#This Row],[QUANTITY]])</f>
        <v/>
      </c>
      <c r="S1999" s="89"/>
      <c r="T1999" s="38"/>
      <c r="U1999" s="43"/>
      <c r="V1999" s="42" t="str">
        <f>IF(Table1[[#This Row],[DATE]]=0,"",YEAR(E1999))</f>
        <v/>
      </c>
      <c r="W1999" s="40" t="str">
        <f t="shared" si="62"/>
        <v/>
      </c>
      <c r="X1999" s="40" t="str">
        <f t="shared" si="63"/>
        <v/>
      </c>
      <c r="Y1999" s="40" t="str">
        <f>TEXT(Table1[[#This Row],[YEAR]],"0000")&amp;"-"&amp;Table1[[#This Row],[MONTH]]</f>
        <v>-</v>
      </c>
    </row>
    <row r="2000" spans="1:25" ht="15" customHeight="1" x14ac:dyDescent="0.35">
      <c r="A2000" s="24"/>
      <c r="B2000" s="38"/>
      <c r="C2000" s="38"/>
      <c r="D2000" s="38"/>
      <c r="E2000" s="37"/>
      <c r="F2000" s="38"/>
      <c r="G2000" s="198"/>
      <c r="H2000" s="198"/>
      <c r="I2000" s="39"/>
      <c r="J2000" s="38"/>
      <c r="K2000" s="198"/>
      <c r="L2000" s="38"/>
      <c r="M2000" s="38"/>
      <c r="N2000" s="38"/>
      <c r="O2000" s="38"/>
      <c r="P2000" s="40" t="str" cm="1">
        <f t="array" ref="P2000">IF(N2000="","",IFERROR(_xlfn.XLOOKUP(F2000&amp;"|"&amp;J2000&amp;"|"&amp;O2000,PRICES!$C$2:$C$659&amp;"|"&amp;PRICES!$B$2:$B$659&amp;"|"&amp;PRICES!$D$2:$D$659,PRICES!$E$2:$E$659),"Not Found"))</f>
        <v/>
      </c>
      <c r="Q2000" s="100" t="str">
        <f>IF(N2000=0,"",SUMIFS(PRICES!$G$2:$G$658,PRICES!$B$2:$B$658,'MAIN TABLE-1 AUTOMATED'!J2000,PRICES!$C$2:$C$658,'MAIN TABLE-1 AUTOMATED'!F2000,PRICES!$D$2:$D$658,'MAIN TABLE-1 AUTOMATED'!O2000))</f>
        <v/>
      </c>
      <c r="R2000" s="41" t="str">
        <f>IF(Table1[[#This Row],[QUANTITY]]=0,"",Table1[[#This Row],[UNIT PRICE]]*Table1[[#This Row],[QUANTITY]])</f>
        <v/>
      </c>
      <c r="S2000" s="89"/>
      <c r="T2000" s="38"/>
      <c r="U2000" s="43"/>
      <c r="V2000" s="42" t="str">
        <f>IF(Table1[[#This Row],[DATE]]=0,"",YEAR(E2000))</f>
        <v/>
      </c>
      <c r="W2000" s="40" t="str">
        <f t="shared" si="62"/>
        <v/>
      </c>
      <c r="X2000" s="40" t="str">
        <f t="shared" si="63"/>
        <v/>
      </c>
      <c r="Y2000" s="40" t="str">
        <f>TEXT(Table1[[#This Row],[YEAR]],"0000")&amp;"-"&amp;Table1[[#This Row],[MONTH]]</f>
        <v>-</v>
      </c>
    </row>
    <row r="2001" spans="1:25" ht="15" customHeight="1" x14ac:dyDescent="0.35">
      <c r="A2001" s="24"/>
      <c r="B2001" s="38"/>
      <c r="C2001" s="38"/>
      <c r="D2001" s="38"/>
      <c r="E2001" s="37"/>
      <c r="F2001" s="38"/>
      <c r="G2001" s="198"/>
      <c r="H2001" s="198"/>
      <c r="I2001" s="39"/>
      <c r="J2001" s="38"/>
      <c r="K2001" s="198"/>
      <c r="L2001" s="38"/>
      <c r="M2001" s="38"/>
      <c r="N2001" s="38"/>
      <c r="O2001" s="38"/>
      <c r="P2001" s="40" t="str" cm="1">
        <f t="array" ref="P2001">IF(N2001="","",IFERROR(_xlfn.XLOOKUP(F2001&amp;"|"&amp;J2001&amp;"|"&amp;O2001,PRICES!$C$2:$C$659&amp;"|"&amp;PRICES!$B$2:$B$659&amp;"|"&amp;PRICES!$D$2:$D$659,PRICES!$E$2:$E$659),"Not Found"))</f>
        <v/>
      </c>
      <c r="Q2001" s="100" t="str">
        <f>IF(N2001=0,"",SUMIFS(PRICES!$G$2:$G$658,PRICES!$B$2:$B$658,'MAIN TABLE-1 AUTOMATED'!J2001,PRICES!$C$2:$C$658,'MAIN TABLE-1 AUTOMATED'!F2001,PRICES!$D$2:$D$658,'MAIN TABLE-1 AUTOMATED'!O2001))</f>
        <v/>
      </c>
      <c r="R2001" s="41" t="str">
        <f>IF(Table1[[#This Row],[QUANTITY]]=0,"",Table1[[#This Row],[UNIT PRICE]]*Table1[[#This Row],[QUANTITY]])</f>
        <v/>
      </c>
      <c r="S2001" s="89"/>
      <c r="T2001" s="38"/>
      <c r="U2001" s="43"/>
      <c r="V2001" s="42" t="str">
        <f>IF(Table1[[#This Row],[DATE]]=0,"",YEAR(E2001))</f>
        <v/>
      </c>
      <c r="W2001" s="40" t="str">
        <f t="shared" si="62"/>
        <v/>
      </c>
      <c r="X2001" s="40" t="str">
        <f t="shared" si="63"/>
        <v/>
      </c>
      <c r="Y2001" s="40" t="str">
        <f>TEXT(Table1[[#This Row],[YEAR]],"0000")&amp;"-"&amp;Table1[[#This Row],[MONTH]]</f>
        <v>-</v>
      </c>
    </row>
    <row r="2002" spans="1:25" ht="15" customHeight="1" x14ac:dyDescent="0.35">
      <c r="A2002" s="24"/>
      <c r="B2002" s="38"/>
      <c r="C2002" s="38"/>
      <c r="D2002" s="38"/>
      <c r="E2002" s="37"/>
      <c r="F2002" s="38"/>
      <c r="G2002" s="198"/>
      <c r="H2002" s="198"/>
      <c r="I2002" s="39"/>
      <c r="J2002" s="38"/>
      <c r="K2002" s="198"/>
      <c r="L2002" s="38"/>
      <c r="M2002" s="38"/>
      <c r="N2002" s="38"/>
      <c r="O2002" s="38"/>
      <c r="P2002" s="40" t="str" cm="1">
        <f t="array" ref="P2002">IF(N2002="","",IFERROR(_xlfn.XLOOKUP(F2002&amp;"|"&amp;J2002&amp;"|"&amp;O2002,PRICES!$C$2:$C$659&amp;"|"&amp;PRICES!$B$2:$B$659&amp;"|"&amp;PRICES!$D$2:$D$659,PRICES!$E$2:$E$659),"Not Found"))</f>
        <v/>
      </c>
      <c r="Q2002" s="100" t="str">
        <f>IF(N2002=0,"",SUMIFS(PRICES!$G$2:$G$658,PRICES!$B$2:$B$658,'MAIN TABLE-1 AUTOMATED'!J2002,PRICES!$C$2:$C$658,'MAIN TABLE-1 AUTOMATED'!F2002,PRICES!$D$2:$D$658,'MAIN TABLE-1 AUTOMATED'!O2002))</f>
        <v/>
      </c>
      <c r="R2002" s="41" t="str">
        <f>IF(Table1[[#This Row],[QUANTITY]]=0,"",Table1[[#This Row],[UNIT PRICE]]*Table1[[#This Row],[QUANTITY]])</f>
        <v/>
      </c>
      <c r="S2002" s="89"/>
      <c r="T2002" s="38"/>
      <c r="U2002" s="43"/>
      <c r="V2002" s="42" t="str">
        <f>IF(Table1[[#This Row],[DATE]]=0,"",YEAR(E2002))</f>
        <v/>
      </c>
      <c r="W2002" s="40" t="str">
        <f t="shared" si="62"/>
        <v/>
      </c>
      <c r="X2002" s="40" t="str">
        <f t="shared" si="63"/>
        <v/>
      </c>
      <c r="Y2002" s="40" t="str">
        <f>TEXT(Table1[[#This Row],[YEAR]],"0000")&amp;"-"&amp;Table1[[#This Row],[MONTH]]</f>
        <v>-</v>
      </c>
    </row>
    <row r="2003" spans="1:25" ht="15" customHeight="1" x14ac:dyDescent="0.35">
      <c r="A2003" s="24"/>
      <c r="B2003" s="38"/>
      <c r="C2003" s="38"/>
      <c r="D2003" s="38"/>
      <c r="E2003" s="37"/>
      <c r="F2003" s="38"/>
      <c r="G2003" s="198"/>
      <c r="H2003" s="198"/>
      <c r="I2003" s="39"/>
      <c r="J2003" s="38"/>
      <c r="K2003" s="198"/>
      <c r="L2003" s="38"/>
      <c r="M2003" s="38"/>
      <c r="N2003" s="38"/>
      <c r="O2003" s="38"/>
      <c r="P2003" s="40" t="str" cm="1">
        <f t="array" ref="P2003">IF(N2003="","",IFERROR(_xlfn.XLOOKUP(F2003&amp;"|"&amp;J2003&amp;"|"&amp;O2003,PRICES!$C$2:$C$659&amp;"|"&amp;PRICES!$B$2:$B$659&amp;"|"&amp;PRICES!$D$2:$D$659,PRICES!$E$2:$E$659),"Not Found"))</f>
        <v/>
      </c>
      <c r="Q2003" s="100" t="str">
        <f>IF(N2003=0,"",SUMIFS(PRICES!$G$2:$G$658,PRICES!$B$2:$B$658,'MAIN TABLE-1 AUTOMATED'!J2003,PRICES!$C$2:$C$658,'MAIN TABLE-1 AUTOMATED'!F2003,PRICES!$D$2:$D$658,'MAIN TABLE-1 AUTOMATED'!O2003))</f>
        <v/>
      </c>
      <c r="R2003" s="41" t="str">
        <f>IF(Table1[[#This Row],[QUANTITY]]=0,"",Table1[[#This Row],[UNIT PRICE]]*Table1[[#This Row],[QUANTITY]])</f>
        <v/>
      </c>
      <c r="S2003" s="89"/>
      <c r="T2003" s="38"/>
      <c r="U2003" s="43"/>
      <c r="V2003" s="42" t="str">
        <f>IF(Table1[[#This Row],[DATE]]=0,"",YEAR(E2003))</f>
        <v/>
      </c>
      <c r="W2003" s="40" t="str">
        <f t="shared" si="62"/>
        <v/>
      </c>
      <c r="X2003" s="40" t="str">
        <f t="shared" si="63"/>
        <v/>
      </c>
      <c r="Y2003" s="40" t="str">
        <f>TEXT(Table1[[#This Row],[YEAR]],"0000")&amp;"-"&amp;Table1[[#This Row],[MONTH]]</f>
        <v>-</v>
      </c>
    </row>
    <row r="2004" spans="1:25" ht="15" customHeight="1" x14ac:dyDescent="0.35">
      <c r="A2004" s="24"/>
      <c r="B2004" s="38"/>
      <c r="C2004" s="38"/>
      <c r="D2004" s="38"/>
      <c r="E2004" s="37"/>
      <c r="F2004" s="38"/>
      <c r="G2004" s="198"/>
      <c r="H2004" s="198"/>
      <c r="I2004" s="39"/>
      <c r="J2004" s="38"/>
      <c r="K2004" s="198"/>
      <c r="L2004" s="38"/>
      <c r="M2004" s="38"/>
      <c r="N2004" s="38"/>
      <c r="O2004" s="38"/>
      <c r="P2004" s="40" t="str" cm="1">
        <f t="array" ref="P2004">IF(N2004="","",IFERROR(_xlfn.XLOOKUP(F2004&amp;"|"&amp;J2004&amp;"|"&amp;O2004,PRICES!$C$2:$C$659&amp;"|"&amp;PRICES!$B$2:$B$659&amp;"|"&amp;PRICES!$D$2:$D$659,PRICES!$E$2:$E$659),"Not Found"))</f>
        <v/>
      </c>
      <c r="Q2004" s="100" t="str">
        <f>IF(N2004=0,"",SUMIFS(PRICES!$G$2:$G$658,PRICES!$B$2:$B$658,'MAIN TABLE-1 AUTOMATED'!J2004,PRICES!$C$2:$C$658,'MAIN TABLE-1 AUTOMATED'!F2004,PRICES!$D$2:$D$658,'MAIN TABLE-1 AUTOMATED'!O2004))</f>
        <v/>
      </c>
      <c r="R2004" s="41" t="str">
        <f>IF(Table1[[#This Row],[QUANTITY]]=0,"",Table1[[#This Row],[UNIT PRICE]]*Table1[[#This Row],[QUANTITY]])</f>
        <v/>
      </c>
      <c r="S2004" s="89"/>
      <c r="T2004" s="38"/>
      <c r="U2004" s="43"/>
      <c r="V2004" s="42" t="str">
        <f>IF(Table1[[#This Row],[DATE]]=0,"",YEAR(E2004))</f>
        <v/>
      </c>
      <c r="W2004" s="40" t="str">
        <f t="shared" si="62"/>
        <v/>
      </c>
      <c r="X2004" s="40" t="str">
        <f t="shared" si="63"/>
        <v/>
      </c>
      <c r="Y2004" s="40" t="str">
        <f>TEXT(Table1[[#This Row],[YEAR]],"0000")&amp;"-"&amp;Table1[[#This Row],[MONTH]]</f>
        <v>-</v>
      </c>
    </row>
    <row r="2005" spans="1:25" ht="15" customHeight="1" x14ac:dyDescent="0.35">
      <c r="A2005" s="24"/>
      <c r="B2005" s="38"/>
      <c r="C2005" s="38"/>
      <c r="D2005" s="38"/>
      <c r="E2005" s="37"/>
      <c r="F2005" s="38"/>
      <c r="G2005" s="198"/>
      <c r="H2005" s="198"/>
      <c r="I2005" s="39"/>
      <c r="J2005" s="38"/>
      <c r="K2005" s="198"/>
      <c r="L2005" s="38"/>
      <c r="M2005" s="38"/>
      <c r="N2005" s="38"/>
      <c r="O2005" s="38"/>
      <c r="P2005" s="40" t="str" cm="1">
        <f t="array" ref="P2005">IF(N2005="","",IFERROR(_xlfn.XLOOKUP(F2005&amp;"|"&amp;J2005&amp;"|"&amp;O2005,PRICES!$C$2:$C$659&amp;"|"&amp;PRICES!$B$2:$B$659&amp;"|"&amp;PRICES!$D$2:$D$659,PRICES!$E$2:$E$659),"Not Found"))</f>
        <v/>
      </c>
      <c r="Q2005" s="100" t="str">
        <f>IF(N2005=0,"",SUMIFS(PRICES!$G$2:$G$658,PRICES!$B$2:$B$658,'MAIN TABLE-1 AUTOMATED'!J2005,PRICES!$C$2:$C$658,'MAIN TABLE-1 AUTOMATED'!F2005,PRICES!$D$2:$D$658,'MAIN TABLE-1 AUTOMATED'!O2005))</f>
        <v/>
      </c>
      <c r="R2005" s="41" t="str">
        <f>IF(Table1[[#This Row],[QUANTITY]]=0,"",Table1[[#This Row],[UNIT PRICE]]*Table1[[#This Row],[QUANTITY]])</f>
        <v/>
      </c>
      <c r="S2005" s="89"/>
      <c r="T2005" s="38"/>
      <c r="U2005" s="43"/>
      <c r="V2005" s="42" t="str">
        <f>IF(Table1[[#This Row],[DATE]]=0,"",YEAR(E2005))</f>
        <v/>
      </c>
      <c r="W2005" s="40" t="str">
        <f t="shared" si="62"/>
        <v/>
      </c>
      <c r="X2005" s="40" t="str">
        <f t="shared" si="63"/>
        <v/>
      </c>
      <c r="Y2005" s="40" t="str">
        <f>TEXT(Table1[[#This Row],[YEAR]],"0000")&amp;"-"&amp;Table1[[#This Row],[MONTH]]</f>
        <v>-</v>
      </c>
    </row>
    <row r="2006" spans="1:25" ht="15" customHeight="1" x14ac:dyDescent="0.35">
      <c r="A2006" s="24"/>
      <c r="B2006" s="38"/>
      <c r="C2006" s="38"/>
      <c r="D2006" s="38"/>
      <c r="E2006" s="37"/>
      <c r="F2006" s="38"/>
      <c r="G2006" s="198"/>
      <c r="H2006" s="198"/>
      <c r="I2006" s="39"/>
      <c r="J2006" s="38"/>
      <c r="K2006" s="198"/>
      <c r="L2006" s="38"/>
      <c r="M2006" s="38"/>
      <c r="N2006" s="38"/>
      <c r="O2006" s="38"/>
      <c r="P2006" s="40" t="str" cm="1">
        <f t="array" ref="P2006">IF(N2006="","",IFERROR(_xlfn.XLOOKUP(F2006&amp;"|"&amp;J2006&amp;"|"&amp;O2006,PRICES!$C$2:$C$659&amp;"|"&amp;PRICES!$B$2:$B$659&amp;"|"&amp;PRICES!$D$2:$D$659,PRICES!$E$2:$E$659),"Not Found"))</f>
        <v/>
      </c>
      <c r="Q2006" s="100" t="str">
        <f>IF(N2006=0,"",SUMIFS(PRICES!$G$2:$G$658,PRICES!$B$2:$B$658,'MAIN TABLE-1 AUTOMATED'!J2006,PRICES!$C$2:$C$658,'MAIN TABLE-1 AUTOMATED'!F2006,PRICES!$D$2:$D$658,'MAIN TABLE-1 AUTOMATED'!O2006))</f>
        <v/>
      </c>
      <c r="R2006" s="41" t="str">
        <f>IF(Table1[[#This Row],[QUANTITY]]=0,"",Table1[[#This Row],[UNIT PRICE]]*Table1[[#This Row],[QUANTITY]])</f>
        <v/>
      </c>
      <c r="S2006" s="89"/>
      <c r="T2006" s="38"/>
      <c r="U2006" s="43"/>
      <c r="V2006" s="42" t="str">
        <f>IF(Table1[[#This Row],[DATE]]=0,"",YEAR(E2006))</f>
        <v/>
      </c>
      <c r="W2006" s="40" t="str">
        <f t="shared" si="62"/>
        <v/>
      </c>
      <c r="X2006" s="40" t="str">
        <f t="shared" si="63"/>
        <v/>
      </c>
      <c r="Y2006" s="40" t="str">
        <f>TEXT(Table1[[#This Row],[YEAR]],"0000")&amp;"-"&amp;Table1[[#This Row],[MONTH]]</f>
        <v>-</v>
      </c>
    </row>
    <row r="2007" spans="1:25" ht="15" customHeight="1" x14ac:dyDescent="0.35">
      <c r="A2007" s="24"/>
      <c r="B2007" s="38"/>
      <c r="C2007" s="38"/>
      <c r="D2007" s="38"/>
      <c r="E2007" s="37"/>
      <c r="F2007" s="38"/>
      <c r="G2007" s="198"/>
      <c r="H2007" s="198"/>
      <c r="I2007" s="39"/>
      <c r="J2007" s="38"/>
      <c r="K2007" s="198"/>
      <c r="L2007" s="38"/>
      <c r="M2007" s="38"/>
      <c r="N2007" s="38"/>
      <c r="O2007" s="38"/>
      <c r="P2007" s="40" t="str" cm="1">
        <f t="array" ref="P2007">IF(N2007="","",IFERROR(_xlfn.XLOOKUP(F2007&amp;"|"&amp;J2007&amp;"|"&amp;O2007,PRICES!$C$2:$C$659&amp;"|"&amp;PRICES!$B$2:$B$659&amp;"|"&amp;PRICES!$D$2:$D$659,PRICES!$E$2:$E$659),"Not Found"))</f>
        <v/>
      </c>
      <c r="Q2007" s="100" t="str">
        <f>IF(N2007=0,"",SUMIFS(PRICES!$G$2:$G$658,PRICES!$B$2:$B$658,'MAIN TABLE-1 AUTOMATED'!J2007,PRICES!$C$2:$C$658,'MAIN TABLE-1 AUTOMATED'!F2007,PRICES!$D$2:$D$658,'MAIN TABLE-1 AUTOMATED'!O2007))</f>
        <v/>
      </c>
      <c r="R2007" s="41" t="str">
        <f>IF(Table1[[#This Row],[QUANTITY]]=0,"",Table1[[#This Row],[UNIT PRICE]]*Table1[[#This Row],[QUANTITY]])</f>
        <v/>
      </c>
      <c r="S2007" s="89"/>
      <c r="T2007" s="38"/>
      <c r="U2007" s="43"/>
      <c r="V2007" s="42" t="str">
        <f>IF(Table1[[#This Row],[DATE]]=0,"",YEAR(E2007))</f>
        <v/>
      </c>
      <c r="W2007" s="40" t="str">
        <f t="shared" si="62"/>
        <v/>
      </c>
      <c r="X2007" s="40" t="str">
        <f t="shared" si="63"/>
        <v/>
      </c>
      <c r="Y2007" s="40" t="str">
        <f>TEXT(Table1[[#This Row],[YEAR]],"0000")&amp;"-"&amp;Table1[[#This Row],[MONTH]]</f>
        <v>-</v>
      </c>
    </row>
    <row r="2008" spans="1:25" ht="15" customHeight="1" x14ac:dyDescent="0.35">
      <c r="A2008" s="24"/>
      <c r="B2008" s="38"/>
      <c r="C2008" s="38"/>
      <c r="D2008" s="38"/>
      <c r="E2008" s="37"/>
      <c r="F2008" s="38"/>
      <c r="G2008" s="198"/>
      <c r="H2008" s="198"/>
      <c r="I2008" s="39"/>
      <c r="J2008" s="38"/>
      <c r="K2008" s="198"/>
      <c r="L2008" s="38"/>
      <c r="M2008" s="38"/>
      <c r="N2008" s="38"/>
      <c r="O2008" s="38"/>
      <c r="P2008" s="40" t="str" cm="1">
        <f t="array" ref="P2008">IF(N2008="","",IFERROR(_xlfn.XLOOKUP(F2008&amp;"|"&amp;J2008&amp;"|"&amp;O2008,PRICES!$C$2:$C$659&amp;"|"&amp;PRICES!$B$2:$B$659&amp;"|"&amp;PRICES!$D$2:$D$659,PRICES!$E$2:$E$659),"Not Found"))</f>
        <v/>
      </c>
      <c r="Q2008" s="100" t="str">
        <f>IF(N2008=0,"",SUMIFS(PRICES!$G$2:$G$658,PRICES!$B$2:$B$658,'MAIN TABLE-1 AUTOMATED'!J2008,PRICES!$C$2:$C$658,'MAIN TABLE-1 AUTOMATED'!F2008,PRICES!$D$2:$D$658,'MAIN TABLE-1 AUTOMATED'!O2008))</f>
        <v/>
      </c>
      <c r="R2008" s="41" t="str">
        <f>IF(Table1[[#This Row],[QUANTITY]]=0,"",Table1[[#This Row],[UNIT PRICE]]*Table1[[#This Row],[QUANTITY]])</f>
        <v/>
      </c>
      <c r="S2008" s="89"/>
      <c r="T2008" s="38"/>
      <c r="U2008" s="43"/>
      <c r="V2008" s="42" t="str">
        <f>IF(Table1[[#This Row],[DATE]]=0,"",YEAR(E2008))</f>
        <v/>
      </c>
      <c r="W2008" s="40" t="str">
        <f t="shared" si="62"/>
        <v/>
      </c>
      <c r="X2008" s="40" t="str">
        <f t="shared" si="63"/>
        <v/>
      </c>
      <c r="Y2008" s="40" t="str">
        <f>TEXT(Table1[[#This Row],[YEAR]],"0000")&amp;"-"&amp;Table1[[#This Row],[MONTH]]</f>
        <v>-</v>
      </c>
    </row>
    <row r="2009" spans="1:25" ht="15" customHeight="1" x14ac:dyDescent="0.35">
      <c r="A2009" s="24"/>
      <c r="B2009" s="38"/>
      <c r="C2009" s="38"/>
      <c r="D2009" s="38"/>
      <c r="E2009" s="37"/>
      <c r="F2009" s="38"/>
      <c r="G2009" s="198"/>
      <c r="H2009" s="198"/>
      <c r="I2009" s="39"/>
      <c r="J2009" s="38"/>
      <c r="K2009" s="198"/>
      <c r="L2009" s="38"/>
      <c r="M2009" s="38"/>
      <c r="N2009" s="38"/>
      <c r="O2009" s="38"/>
      <c r="P2009" s="40" t="str" cm="1">
        <f t="array" ref="P2009">IF(N2009="","",IFERROR(_xlfn.XLOOKUP(F2009&amp;"|"&amp;J2009&amp;"|"&amp;O2009,PRICES!$C$2:$C$659&amp;"|"&amp;PRICES!$B$2:$B$659&amp;"|"&amp;PRICES!$D$2:$D$659,PRICES!$E$2:$E$659),"Not Found"))</f>
        <v/>
      </c>
      <c r="Q2009" s="100" t="str">
        <f>IF(N2009=0,"",SUMIFS(PRICES!$G$2:$G$658,PRICES!$B$2:$B$658,'MAIN TABLE-1 AUTOMATED'!J2009,PRICES!$C$2:$C$658,'MAIN TABLE-1 AUTOMATED'!F2009,PRICES!$D$2:$D$658,'MAIN TABLE-1 AUTOMATED'!O2009))</f>
        <v/>
      </c>
      <c r="R2009" s="41" t="str">
        <f>IF(Table1[[#This Row],[QUANTITY]]=0,"",Table1[[#This Row],[UNIT PRICE]]*Table1[[#This Row],[QUANTITY]])</f>
        <v/>
      </c>
      <c r="S2009" s="89"/>
      <c r="T2009" s="38"/>
      <c r="U2009" s="43"/>
      <c r="V2009" s="42" t="str">
        <f>IF(Table1[[#This Row],[DATE]]=0,"",YEAR(E2009))</f>
        <v/>
      </c>
      <c r="W2009" s="40" t="str">
        <f t="shared" si="62"/>
        <v/>
      </c>
      <c r="X2009" s="40" t="str">
        <f t="shared" si="63"/>
        <v/>
      </c>
      <c r="Y2009" s="40" t="str">
        <f>TEXT(Table1[[#This Row],[YEAR]],"0000")&amp;"-"&amp;Table1[[#This Row],[MONTH]]</f>
        <v>-</v>
      </c>
    </row>
    <row r="2010" spans="1:25" ht="15" customHeight="1" x14ac:dyDescent="0.35">
      <c r="A2010" s="24"/>
      <c r="B2010" s="38"/>
      <c r="C2010" s="38"/>
      <c r="D2010" s="38"/>
      <c r="E2010" s="37"/>
      <c r="F2010" s="38"/>
      <c r="G2010" s="198"/>
      <c r="H2010" s="198"/>
      <c r="I2010" s="39"/>
      <c r="J2010" s="38"/>
      <c r="K2010" s="198"/>
      <c r="L2010" s="38"/>
      <c r="M2010" s="38"/>
      <c r="N2010" s="38"/>
      <c r="O2010" s="38"/>
      <c r="P2010" s="40" t="str" cm="1">
        <f t="array" ref="P2010">IF(N2010="","",IFERROR(_xlfn.XLOOKUP(F2010&amp;"|"&amp;J2010&amp;"|"&amp;O2010,PRICES!$C$2:$C$659&amp;"|"&amp;PRICES!$B$2:$B$659&amp;"|"&amp;PRICES!$D$2:$D$659,PRICES!$E$2:$E$659),"Not Found"))</f>
        <v/>
      </c>
      <c r="Q2010" s="100" t="str">
        <f>IF(N2010=0,"",SUMIFS(PRICES!$G$2:$G$658,PRICES!$B$2:$B$658,'MAIN TABLE-1 AUTOMATED'!J2010,PRICES!$C$2:$C$658,'MAIN TABLE-1 AUTOMATED'!F2010,PRICES!$D$2:$D$658,'MAIN TABLE-1 AUTOMATED'!O2010))</f>
        <v/>
      </c>
      <c r="R2010" s="41" t="str">
        <f>IF(Table1[[#This Row],[QUANTITY]]=0,"",Table1[[#This Row],[UNIT PRICE]]*Table1[[#This Row],[QUANTITY]])</f>
        <v/>
      </c>
      <c r="S2010" s="89"/>
      <c r="T2010" s="38"/>
      <c r="U2010" s="43"/>
      <c r="V2010" s="42" t="str">
        <f>IF(Table1[[#This Row],[DATE]]=0,"",YEAR(E2010))</f>
        <v/>
      </c>
      <c r="W2010" s="40" t="str">
        <f t="shared" si="62"/>
        <v/>
      </c>
      <c r="X2010" s="40" t="str">
        <f t="shared" si="63"/>
        <v/>
      </c>
      <c r="Y2010" s="40" t="str">
        <f>TEXT(Table1[[#This Row],[YEAR]],"0000")&amp;"-"&amp;Table1[[#This Row],[MONTH]]</f>
        <v>-</v>
      </c>
    </row>
    <row r="2011" spans="1:25" ht="15" customHeight="1" x14ac:dyDescent="0.35">
      <c r="A2011" s="24"/>
      <c r="B2011" s="38"/>
      <c r="C2011" s="38"/>
      <c r="D2011" s="38"/>
      <c r="E2011" s="37"/>
      <c r="F2011" s="38"/>
      <c r="G2011" s="198"/>
      <c r="H2011" s="198"/>
      <c r="I2011" s="39"/>
      <c r="J2011" s="38"/>
      <c r="K2011" s="198"/>
      <c r="L2011" s="38"/>
      <c r="M2011" s="38"/>
      <c r="N2011" s="38"/>
      <c r="O2011" s="38"/>
      <c r="P2011" s="40" t="str" cm="1">
        <f t="array" ref="P2011">IF(N2011="","",IFERROR(_xlfn.XLOOKUP(F2011&amp;"|"&amp;J2011&amp;"|"&amp;O2011,PRICES!$C$2:$C$659&amp;"|"&amp;PRICES!$B$2:$B$659&amp;"|"&amp;PRICES!$D$2:$D$659,PRICES!$E$2:$E$659),"Not Found"))</f>
        <v/>
      </c>
      <c r="Q2011" s="100" t="str">
        <f>IF(N2011=0,"",SUMIFS(PRICES!$G$2:$G$658,PRICES!$B$2:$B$658,'MAIN TABLE-1 AUTOMATED'!J2011,PRICES!$C$2:$C$658,'MAIN TABLE-1 AUTOMATED'!F2011,PRICES!$D$2:$D$658,'MAIN TABLE-1 AUTOMATED'!O2011))</f>
        <v/>
      </c>
      <c r="R2011" s="41" t="str">
        <f>IF(Table1[[#This Row],[QUANTITY]]=0,"",Table1[[#This Row],[UNIT PRICE]]*Table1[[#This Row],[QUANTITY]])</f>
        <v/>
      </c>
      <c r="S2011" s="89"/>
      <c r="T2011" s="38"/>
      <c r="U2011" s="43"/>
      <c r="V2011" s="42" t="str">
        <f>IF(Table1[[#This Row],[DATE]]=0,"",YEAR(E2011))</f>
        <v/>
      </c>
      <c r="W2011" s="40" t="str">
        <f t="shared" si="62"/>
        <v/>
      </c>
      <c r="X2011" s="40" t="str">
        <f t="shared" si="63"/>
        <v/>
      </c>
      <c r="Y2011" s="40" t="str">
        <f>TEXT(Table1[[#This Row],[YEAR]],"0000")&amp;"-"&amp;Table1[[#This Row],[MONTH]]</f>
        <v>-</v>
      </c>
    </row>
    <row r="2012" spans="1:25" ht="15" customHeight="1" x14ac:dyDescent="0.35">
      <c r="A2012" s="24"/>
      <c r="B2012" s="38"/>
      <c r="C2012" s="38"/>
      <c r="D2012" s="38"/>
      <c r="E2012" s="37"/>
      <c r="F2012" s="38"/>
      <c r="G2012" s="198"/>
      <c r="H2012" s="198"/>
      <c r="I2012" s="39"/>
      <c r="J2012" s="38"/>
      <c r="K2012" s="198"/>
      <c r="L2012" s="38"/>
      <c r="M2012" s="38"/>
      <c r="N2012" s="38"/>
      <c r="O2012" s="38"/>
      <c r="P2012" s="40" t="str" cm="1">
        <f t="array" ref="P2012">IF(N2012="","",IFERROR(_xlfn.XLOOKUP(F2012&amp;"|"&amp;J2012&amp;"|"&amp;O2012,PRICES!$C$2:$C$659&amp;"|"&amp;PRICES!$B$2:$B$659&amp;"|"&amp;PRICES!$D$2:$D$659,PRICES!$E$2:$E$659),"Not Found"))</f>
        <v/>
      </c>
      <c r="Q2012" s="100" t="str">
        <f>IF(N2012=0,"",SUMIFS(PRICES!$G$2:$G$658,PRICES!$B$2:$B$658,'MAIN TABLE-1 AUTOMATED'!J2012,PRICES!$C$2:$C$658,'MAIN TABLE-1 AUTOMATED'!F2012,PRICES!$D$2:$D$658,'MAIN TABLE-1 AUTOMATED'!O2012))</f>
        <v/>
      </c>
      <c r="R2012" s="41" t="str">
        <f>IF(Table1[[#This Row],[QUANTITY]]=0,"",Table1[[#This Row],[UNIT PRICE]]*Table1[[#This Row],[QUANTITY]])</f>
        <v/>
      </c>
      <c r="S2012" s="89"/>
      <c r="T2012" s="38"/>
      <c r="U2012" s="43"/>
      <c r="V2012" s="42" t="str">
        <f>IF(Table1[[#This Row],[DATE]]=0,"",YEAR(E2012))</f>
        <v/>
      </c>
      <c r="W2012" s="40" t="str">
        <f t="shared" si="62"/>
        <v/>
      </c>
      <c r="X2012" s="40" t="str">
        <f t="shared" si="63"/>
        <v/>
      </c>
      <c r="Y2012" s="40" t="str">
        <f>TEXT(Table1[[#This Row],[YEAR]],"0000")&amp;"-"&amp;Table1[[#This Row],[MONTH]]</f>
        <v>-</v>
      </c>
    </row>
    <row r="2013" spans="1:25" ht="15" customHeight="1" x14ac:dyDescent="0.35">
      <c r="A2013" s="24"/>
      <c r="B2013" s="38"/>
      <c r="C2013" s="38"/>
      <c r="D2013" s="38"/>
      <c r="E2013" s="37"/>
      <c r="F2013" s="38"/>
      <c r="G2013" s="198"/>
      <c r="H2013" s="198"/>
      <c r="I2013" s="39"/>
      <c r="J2013" s="38"/>
      <c r="K2013" s="198"/>
      <c r="L2013" s="38"/>
      <c r="M2013" s="38"/>
      <c r="N2013" s="38"/>
      <c r="O2013" s="38"/>
      <c r="P2013" s="40" t="str" cm="1">
        <f t="array" ref="P2013">IF(N2013="","",IFERROR(_xlfn.XLOOKUP(F2013&amp;"|"&amp;J2013&amp;"|"&amp;O2013,PRICES!$C$2:$C$659&amp;"|"&amp;PRICES!$B$2:$B$659&amp;"|"&amp;PRICES!$D$2:$D$659,PRICES!$E$2:$E$659),"Not Found"))</f>
        <v/>
      </c>
      <c r="Q2013" s="100" t="str">
        <f>IF(N2013=0,"",SUMIFS(PRICES!$G$2:$G$658,PRICES!$B$2:$B$658,'MAIN TABLE-1 AUTOMATED'!J2013,PRICES!$C$2:$C$658,'MAIN TABLE-1 AUTOMATED'!F2013,PRICES!$D$2:$D$658,'MAIN TABLE-1 AUTOMATED'!O2013))</f>
        <v/>
      </c>
      <c r="R2013" s="41" t="str">
        <f>IF(Table1[[#This Row],[QUANTITY]]=0,"",Table1[[#This Row],[UNIT PRICE]]*Table1[[#This Row],[QUANTITY]])</f>
        <v/>
      </c>
      <c r="S2013" s="89"/>
      <c r="T2013" s="38"/>
      <c r="U2013" s="43"/>
      <c r="V2013" s="42" t="str">
        <f>IF(Table1[[#This Row],[DATE]]=0,"",YEAR(E2013))</f>
        <v/>
      </c>
      <c r="W2013" s="40" t="str">
        <f t="shared" si="62"/>
        <v/>
      </c>
      <c r="X2013" s="40" t="str">
        <f t="shared" si="63"/>
        <v/>
      </c>
      <c r="Y2013" s="40" t="str">
        <f>TEXT(Table1[[#This Row],[YEAR]],"0000")&amp;"-"&amp;Table1[[#This Row],[MONTH]]</f>
        <v>-</v>
      </c>
    </row>
    <row r="2014" spans="1:25" ht="15" customHeight="1" x14ac:dyDescent="0.35">
      <c r="A2014" s="24"/>
      <c r="B2014" s="38"/>
      <c r="C2014" s="38"/>
      <c r="D2014" s="38"/>
      <c r="E2014" s="37"/>
      <c r="F2014" s="38"/>
      <c r="G2014" s="198"/>
      <c r="H2014" s="198"/>
      <c r="I2014" s="39"/>
      <c r="J2014" s="38"/>
      <c r="K2014" s="198"/>
      <c r="L2014" s="38"/>
      <c r="M2014" s="38"/>
      <c r="N2014" s="38"/>
      <c r="O2014" s="38"/>
      <c r="P2014" s="40" t="str" cm="1">
        <f t="array" ref="P2014">IF(N2014="","",IFERROR(_xlfn.XLOOKUP(F2014&amp;"|"&amp;J2014&amp;"|"&amp;O2014,PRICES!$C$2:$C$659&amp;"|"&amp;PRICES!$B$2:$B$659&amp;"|"&amp;PRICES!$D$2:$D$659,PRICES!$E$2:$E$659),"Not Found"))</f>
        <v/>
      </c>
      <c r="Q2014" s="100" t="str">
        <f>IF(N2014=0,"",SUMIFS(PRICES!$G$2:$G$658,PRICES!$B$2:$B$658,'MAIN TABLE-1 AUTOMATED'!J2014,PRICES!$C$2:$C$658,'MAIN TABLE-1 AUTOMATED'!F2014,PRICES!$D$2:$D$658,'MAIN TABLE-1 AUTOMATED'!O2014))</f>
        <v/>
      </c>
      <c r="R2014" s="41" t="str">
        <f>IF(Table1[[#This Row],[QUANTITY]]=0,"",Table1[[#This Row],[UNIT PRICE]]*Table1[[#This Row],[QUANTITY]])</f>
        <v/>
      </c>
      <c r="S2014" s="89"/>
      <c r="T2014" s="38"/>
      <c r="U2014" s="43"/>
      <c r="V2014" s="42" t="str">
        <f>IF(Table1[[#This Row],[DATE]]=0,"",YEAR(E2014))</f>
        <v/>
      </c>
      <c r="W2014" s="40" t="str">
        <f t="shared" si="62"/>
        <v/>
      </c>
      <c r="X2014" s="40" t="str">
        <f t="shared" si="63"/>
        <v/>
      </c>
      <c r="Y2014" s="40" t="str">
        <f>TEXT(Table1[[#This Row],[YEAR]],"0000")&amp;"-"&amp;Table1[[#This Row],[MONTH]]</f>
        <v>-</v>
      </c>
    </row>
    <row r="2015" spans="1:25" ht="15" customHeight="1" x14ac:dyDescent="0.35">
      <c r="A2015" s="24"/>
      <c r="B2015" s="38"/>
      <c r="C2015" s="38"/>
      <c r="D2015" s="38"/>
      <c r="E2015" s="37"/>
      <c r="F2015" s="38"/>
      <c r="G2015" s="198"/>
      <c r="H2015" s="198"/>
      <c r="I2015" s="39"/>
      <c r="J2015" s="38"/>
      <c r="K2015" s="198"/>
      <c r="L2015" s="38"/>
      <c r="M2015" s="38"/>
      <c r="N2015" s="38"/>
      <c r="O2015" s="38"/>
      <c r="P2015" s="40" t="str" cm="1">
        <f t="array" ref="P2015">IF(N2015="","",IFERROR(_xlfn.XLOOKUP(F2015&amp;"|"&amp;J2015&amp;"|"&amp;O2015,PRICES!$C$2:$C$659&amp;"|"&amp;PRICES!$B$2:$B$659&amp;"|"&amp;PRICES!$D$2:$D$659,PRICES!$E$2:$E$659),"Not Found"))</f>
        <v/>
      </c>
      <c r="Q2015" s="100" t="str">
        <f>IF(N2015=0,"",SUMIFS(PRICES!$G$2:$G$658,PRICES!$B$2:$B$658,'MAIN TABLE-1 AUTOMATED'!J2015,PRICES!$C$2:$C$658,'MAIN TABLE-1 AUTOMATED'!F2015,PRICES!$D$2:$D$658,'MAIN TABLE-1 AUTOMATED'!O2015))</f>
        <v/>
      </c>
      <c r="R2015" s="41" t="str">
        <f>IF(Table1[[#This Row],[QUANTITY]]=0,"",Table1[[#This Row],[UNIT PRICE]]*Table1[[#This Row],[QUANTITY]])</f>
        <v/>
      </c>
      <c r="S2015" s="89"/>
      <c r="T2015" s="38"/>
      <c r="U2015" s="43"/>
      <c r="V2015" s="42" t="str">
        <f>IF(Table1[[#This Row],[DATE]]=0,"",YEAR(E2015))</f>
        <v/>
      </c>
      <c r="W2015" s="40" t="str">
        <f t="shared" ref="W2015:W2078" si="64">IF(E2015=0,"",MONTH(E2015))</f>
        <v/>
      </c>
      <c r="X2015" s="40" t="str">
        <f t="shared" ref="X2015:X2078" si="65">IF(E2015=0,"",WEEKNUM(E2015))</f>
        <v/>
      </c>
      <c r="Y2015" s="40" t="str">
        <f>TEXT(Table1[[#This Row],[YEAR]],"0000")&amp;"-"&amp;Table1[[#This Row],[MONTH]]</f>
        <v>-</v>
      </c>
    </row>
    <row r="2016" spans="1:25" ht="15" customHeight="1" x14ac:dyDescent="0.35">
      <c r="A2016" s="24"/>
      <c r="B2016" s="38"/>
      <c r="C2016" s="38"/>
      <c r="D2016" s="38"/>
      <c r="E2016" s="37"/>
      <c r="F2016" s="38"/>
      <c r="G2016" s="198"/>
      <c r="H2016" s="198"/>
      <c r="I2016" s="39"/>
      <c r="J2016" s="38"/>
      <c r="K2016" s="198"/>
      <c r="L2016" s="38"/>
      <c r="M2016" s="38"/>
      <c r="N2016" s="38"/>
      <c r="O2016" s="38"/>
      <c r="P2016" s="40" t="str" cm="1">
        <f t="array" ref="P2016">IF(N2016="","",IFERROR(_xlfn.XLOOKUP(F2016&amp;"|"&amp;J2016&amp;"|"&amp;O2016,PRICES!$C$2:$C$659&amp;"|"&amp;PRICES!$B$2:$B$659&amp;"|"&amp;PRICES!$D$2:$D$659,PRICES!$E$2:$E$659),"Not Found"))</f>
        <v/>
      </c>
      <c r="Q2016" s="100" t="str">
        <f>IF(N2016=0,"",SUMIFS(PRICES!$G$2:$G$658,PRICES!$B$2:$B$658,'MAIN TABLE-1 AUTOMATED'!J2016,PRICES!$C$2:$C$658,'MAIN TABLE-1 AUTOMATED'!F2016,PRICES!$D$2:$D$658,'MAIN TABLE-1 AUTOMATED'!O2016))</f>
        <v/>
      </c>
      <c r="R2016" s="41" t="str">
        <f>IF(Table1[[#This Row],[QUANTITY]]=0,"",Table1[[#This Row],[UNIT PRICE]]*Table1[[#This Row],[QUANTITY]])</f>
        <v/>
      </c>
      <c r="S2016" s="89"/>
      <c r="T2016" s="38"/>
      <c r="U2016" s="43"/>
      <c r="V2016" s="42" t="str">
        <f>IF(Table1[[#This Row],[DATE]]=0,"",YEAR(E2016))</f>
        <v/>
      </c>
      <c r="W2016" s="40" t="str">
        <f t="shared" si="64"/>
        <v/>
      </c>
      <c r="X2016" s="40" t="str">
        <f t="shared" si="65"/>
        <v/>
      </c>
      <c r="Y2016" s="40" t="str">
        <f>TEXT(Table1[[#This Row],[YEAR]],"0000")&amp;"-"&amp;Table1[[#This Row],[MONTH]]</f>
        <v>-</v>
      </c>
    </row>
    <row r="2017" spans="1:25" ht="15" customHeight="1" x14ac:dyDescent="0.35">
      <c r="A2017" s="24"/>
      <c r="B2017" s="38"/>
      <c r="C2017" s="38"/>
      <c r="D2017" s="38"/>
      <c r="E2017" s="37"/>
      <c r="F2017" s="38"/>
      <c r="G2017" s="198"/>
      <c r="H2017" s="198"/>
      <c r="I2017" s="39"/>
      <c r="J2017" s="38"/>
      <c r="K2017" s="198"/>
      <c r="L2017" s="38"/>
      <c r="M2017" s="38"/>
      <c r="N2017" s="38"/>
      <c r="O2017" s="38"/>
      <c r="P2017" s="40" t="str" cm="1">
        <f t="array" ref="P2017">IF(N2017="","",IFERROR(_xlfn.XLOOKUP(F2017&amp;"|"&amp;J2017&amp;"|"&amp;O2017,PRICES!$C$2:$C$659&amp;"|"&amp;PRICES!$B$2:$B$659&amp;"|"&amp;PRICES!$D$2:$D$659,PRICES!$E$2:$E$659),"Not Found"))</f>
        <v/>
      </c>
      <c r="Q2017" s="100" t="str">
        <f>IF(N2017=0,"",SUMIFS(PRICES!$G$2:$G$658,PRICES!$B$2:$B$658,'MAIN TABLE-1 AUTOMATED'!J2017,PRICES!$C$2:$C$658,'MAIN TABLE-1 AUTOMATED'!F2017,PRICES!$D$2:$D$658,'MAIN TABLE-1 AUTOMATED'!O2017))</f>
        <v/>
      </c>
      <c r="R2017" s="41" t="str">
        <f>IF(Table1[[#This Row],[QUANTITY]]=0,"",Table1[[#This Row],[UNIT PRICE]]*Table1[[#This Row],[QUANTITY]])</f>
        <v/>
      </c>
      <c r="S2017" s="89"/>
      <c r="T2017" s="38"/>
      <c r="U2017" s="43"/>
      <c r="V2017" s="42" t="str">
        <f>IF(Table1[[#This Row],[DATE]]=0,"",YEAR(E2017))</f>
        <v/>
      </c>
      <c r="W2017" s="40" t="str">
        <f t="shared" si="64"/>
        <v/>
      </c>
      <c r="X2017" s="40" t="str">
        <f t="shared" si="65"/>
        <v/>
      </c>
      <c r="Y2017" s="40" t="str">
        <f>TEXT(Table1[[#This Row],[YEAR]],"0000")&amp;"-"&amp;Table1[[#This Row],[MONTH]]</f>
        <v>-</v>
      </c>
    </row>
    <row r="2018" spans="1:25" ht="15" customHeight="1" x14ac:dyDescent="0.35">
      <c r="A2018" s="24"/>
      <c r="B2018" s="38"/>
      <c r="C2018" s="38"/>
      <c r="D2018" s="38"/>
      <c r="E2018" s="37"/>
      <c r="F2018" s="38"/>
      <c r="G2018" s="198"/>
      <c r="H2018" s="198"/>
      <c r="I2018" s="39"/>
      <c r="J2018" s="38"/>
      <c r="K2018" s="198"/>
      <c r="L2018" s="38"/>
      <c r="M2018" s="38"/>
      <c r="N2018" s="38"/>
      <c r="O2018" s="38"/>
      <c r="P2018" s="40" t="str" cm="1">
        <f t="array" ref="P2018">IF(N2018="","",IFERROR(_xlfn.XLOOKUP(F2018&amp;"|"&amp;J2018&amp;"|"&amp;O2018,PRICES!$C$2:$C$659&amp;"|"&amp;PRICES!$B$2:$B$659&amp;"|"&amp;PRICES!$D$2:$D$659,PRICES!$E$2:$E$659),"Not Found"))</f>
        <v/>
      </c>
      <c r="Q2018" s="100" t="str">
        <f>IF(N2018=0,"",SUMIFS(PRICES!$G$2:$G$658,PRICES!$B$2:$B$658,'MAIN TABLE-1 AUTOMATED'!J2018,PRICES!$C$2:$C$658,'MAIN TABLE-1 AUTOMATED'!F2018,PRICES!$D$2:$D$658,'MAIN TABLE-1 AUTOMATED'!O2018))</f>
        <v/>
      </c>
      <c r="R2018" s="41" t="str">
        <f>IF(Table1[[#This Row],[QUANTITY]]=0,"",Table1[[#This Row],[UNIT PRICE]]*Table1[[#This Row],[QUANTITY]])</f>
        <v/>
      </c>
      <c r="S2018" s="89"/>
      <c r="T2018" s="38"/>
      <c r="U2018" s="43"/>
      <c r="V2018" s="42" t="str">
        <f>IF(Table1[[#This Row],[DATE]]=0,"",YEAR(E2018))</f>
        <v/>
      </c>
      <c r="W2018" s="40" t="str">
        <f t="shared" si="64"/>
        <v/>
      </c>
      <c r="X2018" s="40" t="str">
        <f t="shared" si="65"/>
        <v/>
      </c>
      <c r="Y2018" s="40" t="str">
        <f>TEXT(Table1[[#This Row],[YEAR]],"0000")&amp;"-"&amp;Table1[[#This Row],[MONTH]]</f>
        <v>-</v>
      </c>
    </row>
    <row r="2019" spans="1:25" ht="15" customHeight="1" x14ac:dyDescent="0.35">
      <c r="A2019" s="24"/>
      <c r="B2019" s="38"/>
      <c r="C2019" s="38"/>
      <c r="D2019" s="38"/>
      <c r="E2019" s="37"/>
      <c r="F2019" s="38"/>
      <c r="G2019" s="198"/>
      <c r="H2019" s="198"/>
      <c r="I2019" s="39"/>
      <c r="J2019" s="38"/>
      <c r="K2019" s="198"/>
      <c r="L2019" s="38"/>
      <c r="M2019" s="38"/>
      <c r="N2019" s="38"/>
      <c r="O2019" s="38"/>
      <c r="P2019" s="40" t="str" cm="1">
        <f t="array" ref="P2019">IF(N2019="","",IFERROR(_xlfn.XLOOKUP(F2019&amp;"|"&amp;J2019&amp;"|"&amp;O2019,PRICES!$C$2:$C$659&amp;"|"&amp;PRICES!$B$2:$B$659&amp;"|"&amp;PRICES!$D$2:$D$659,PRICES!$E$2:$E$659),"Not Found"))</f>
        <v/>
      </c>
      <c r="Q2019" s="100" t="str">
        <f>IF(N2019=0,"",SUMIFS(PRICES!$G$2:$G$658,PRICES!$B$2:$B$658,'MAIN TABLE-1 AUTOMATED'!J2019,PRICES!$C$2:$C$658,'MAIN TABLE-1 AUTOMATED'!F2019,PRICES!$D$2:$D$658,'MAIN TABLE-1 AUTOMATED'!O2019))</f>
        <v/>
      </c>
      <c r="R2019" s="41" t="str">
        <f>IF(Table1[[#This Row],[QUANTITY]]=0,"",Table1[[#This Row],[UNIT PRICE]]*Table1[[#This Row],[QUANTITY]])</f>
        <v/>
      </c>
      <c r="S2019" s="89"/>
      <c r="T2019" s="38"/>
      <c r="U2019" s="43"/>
      <c r="V2019" s="42" t="str">
        <f>IF(Table1[[#This Row],[DATE]]=0,"",YEAR(E2019))</f>
        <v/>
      </c>
      <c r="W2019" s="40" t="str">
        <f t="shared" si="64"/>
        <v/>
      </c>
      <c r="X2019" s="40" t="str">
        <f t="shared" si="65"/>
        <v/>
      </c>
      <c r="Y2019" s="40" t="str">
        <f>TEXT(Table1[[#This Row],[YEAR]],"0000")&amp;"-"&amp;Table1[[#This Row],[MONTH]]</f>
        <v>-</v>
      </c>
    </row>
    <row r="2020" spans="1:25" ht="15" customHeight="1" x14ac:dyDescent="0.35">
      <c r="A2020" s="24"/>
      <c r="B2020" s="38"/>
      <c r="C2020" s="38"/>
      <c r="D2020" s="38"/>
      <c r="E2020" s="37"/>
      <c r="F2020" s="38"/>
      <c r="G2020" s="198"/>
      <c r="H2020" s="198"/>
      <c r="I2020" s="39"/>
      <c r="J2020" s="38"/>
      <c r="K2020" s="198"/>
      <c r="L2020" s="38"/>
      <c r="M2020" s="38"/>
      <c r="N2020" s="38"/>
      <c r="O2020" s="38"/>
      <c r="P2020" s="40" t="str" cm="1">
        <f t="array" ref="P2020">IF(N2020="","",IFERROR(_xlfn.XLOOKUP(F2020&amp;"|"&amp;J2020&amp;"|"&amp;O2020,PRICES!$C$2:$C$659&amp;"|"&amp;PRICES!$B$2:$B$659&amp;"|"&amp;PRICES!$D$2:$D$659,PRICES!$E$2:$E$659),"Not Found"))</f>
        <v/>
      </c>
      <c r="Q2020" s="100" t="str">
        <f>IF(N2020=0,"",SUMIFS(PRICES!$G$2:$G$658,PRICES!$B$2:$B$658,'MAIN TABLE-1 AUTOMATED'!J2020,PRICES!$C$2:$C$658,'MAIN TABLE-1 AUTOMATED'!F2020,PRICES!$D$2:$D$658,'MAIN TABLE-1 AUTOMATED'!O2020))</f>
        <v/>
      </c>
      <c r="R2020" s="41" t="str">
        <f>IF(Table1[[#This Row],[QUANTITY]]=0,"",Table1[[#This Row],[UNIT PRICE]]*Table1[[#This Row],[QUANTITY]])</f>
        <v/>
      </c>
      <c r="S2020" s="89"/>
      <c r="T2020" s="38"/>
      <c r="U2020" s="43"/>
      <c r="V2020" s="42" t="str">
        <f>IF(Table1[[#This Row],[DATE]]=0,"",YEAR(E2020))</f>
        <v/>
      </c>
      <c r="W2020" s="40" t="str">
        <f t="shared" si="64"/>
        <v/>
      </c>
      <c r="X2020" s="40" t="str">
        <f t="shared" si="65"/>
        <v/>
      </c>
      <c r="Y2020" s="40" t="str">
        <f>TEXT(Table1[[#This Row],[YEAR]],"0000")&amp;"-"&amp;Table1[[#This Row],[MONTH]]</f>
        <v>-</v>
      </c>
    </row>
    <row r="2021" spans="1:25" ht="15" customHeight="1" x14ac:dyDescent="0.35">
      <c r="A2021" s="24"/>
      <c r="B2021" s="38"/>
      <c r="C2021" s="38"/>
      <c r="D2021" s="38"/>
      <c r="E2021" s="37"/>
      <c r="F2021" s="38"/>
      <c r="G2021" s="198"/>
      <c r="H2021" s="198"/>
      <c r="I2021" s="39"/>
      <c r="J2021" s="38"/>
      <c r="K2021" s="206"/>
      <c r="L2021" s="38"/>
      <c r="M2021" s="38"/>
      <c r="N2021" s="38"/>
      <c r="O2021" s="38"/>
      <c r="P2021" s="40" t="str" cm="1">
        <f t="array" ref="P2021">IF(N2021="","",IFERROR(_xlfn.XLOOKUP(F2021&amp;"|"&amp;J2021&amp;"|"&amp;O2021,PRICES!$C$2:$C$659&amp;"|"&amp;PRICES!$B$2:$B$659&amp;"|"&amp;PRICES!$D$2:$D$659,PRICES!$E$2:$E$659),"Not Found"))</f>
        <v/>
      </c>
      <c r="Q2021" s="100" t="str">
        <f>IF(N2021=0,"",SUMIFS(PRICES!$G$2:$G$658,PRICES!$B$2:$B$658,'MAIN TABLE-1 AUTOMATED'!J2021,PRICES!$C$2:$C$658,'MAIN TABLE-1 AUTOMATED'!F2021,PRICES!$D$2:$D$658,'MAIN TABLE-1 AUTOMATED'!O2021))</f>
        <v/>
      </c>
      <c r="R2021" s="41" t="str">
        <f>IF(Table1[[#This Row],[QUANTITY]]=0,"",Table1[[#This Row],[UNIT PRICE]]*Table1[[#This Row],[QUANTITY]])</f>
        <v/>
      </c>
      <c r="S2021" s="89"/>
      <c r="T2021" s="38"/>
      <c r="U2021" s="43"/>
      <c r="V2021" s="42" t="str">
        <f>IF(Table1[[#This Row],[DATE]]=0,"",YEAR(E2021))</f>
        <v/>
      </c>
      <c r="W2021" s="40" t="str">
        <f t="shared" si="64"/>
        <v/>
      </c>
      <c r="X2021" s="40" t="str">
        <f t="shared" si="65"/>
        <v/>
      </c>
      <c r="Y2021" s="40" t="str">
        <f>TEXT(Table1[[#This Row],[YEAR]],"0000")&amp;"-"&amp;Table1[[#This Row],[MONTH]]</f>
        <v>-</v>
      </c>
    </row>
    <row r="2022" spans="1:25" ht="15" customHeight="1" x14ac:dyDescent="0.35">
      <c r="A2022" s="24"/>
      <c r="B2022" s="38"/>
      <c r="C2022" s="38"/>
      <c r="D2022" s="38"/>
      <c r="E2022" s="37"/>
      <c r="F2022" s="38"/>
      <c r="G2022" s="232"/>
      <c r="H2022" s="232"/>
      <c r="I2022" s="39"/>
      <c r="J2022" s="38"/>
      <c r="K2022" s="198"/>
      <c r="L2022" s="38"/>
      <c r="M2022" s="38"/>
      <c r="N2022" s="38"/>
      <c r="O2022" s="38"/>
      <c r="P2022" s="40" t="str" cm="1">
        <f t="array" ref="P2022">IF(N2022="","",IFERROR(_xlfn.XLOOKUP(F2022&amp;"|"&amp;J2022&amp;"|"&amp;O2022,PRICES!$C$2:$C$659&amp;"|"&amp;PRICES!$B$2:$B$659&amp;"|"&amp;PRICES!$D$2:$D$659,PRICES!$E$2:$E$659),"Not Found"))</f>
        <v/>
      </c>
      <c r="Q2022" s="100" t="str">
        <f>IF(N2022=0,"",SUMIFS(PRICES!$G$2:$G$658,PRICES!$B$2:$B$658,'MAIN TABLE-1 AUTOMATED'!J2022,PRICES!$C$2:$C$658,'MAIN TABLE-1 AUTOMATED'!F2022,PRICES!$D$2:$D$658,'MAIN TABLE-1 AUTOMATED'!O2022))</f>
        <v/>
      </c>
      <c r="R2022" s="41" t="str">
        <f>IF(Table1[[#This Row],[QUANTITY]]=0,"",Table1[[#This Row],[UNIT PRICE]]*Table1[[#This Row],[QUANTITY]])</f>
        <v/>
      </c>
      <c r="S2022" s="89"/>
      <c r="T2022" s="38"/>
      <c r="U2022" s="43"/>
      <c r="V2022" s="42" t="str">
        <f>IF(Table1[[#This Row],[DATE]]=0,"",YEAR(E2022))</f>
        <v/>
      </c>
      <c r="W2022" s="40" t="str">
        <f t="shared" si="64"/>
        <v/>
      </c>
      <c r="X2022" s="40" t="str">
        <f t="shared" si="65"/>
        <v/>
      </c>
      <c r="Y2022" s="40" t="str">
        <f>TEXT(Table1[[#This Row],[YEAR]],"0000")&amp;"-"&amp;Table1[[#This Row],[MONTH]]</f>
        <v>-</v>
      </c>
    </row>
    <row r="2023" spans="1:25" ht="15" customHeight="1" x14ac:dyDescent="0.35">
      <c r="A2023" s="24"/>
      <c r="B2023" s="38"/>
      <c r="C2023" s="38"/>
      <c r="D2023" s="38"/>
      <c r="E2023" s="37"/>
      <c r="F2023" s="38"/>
      <c r="G2023" s="198"/>
      <c r="H2023" s="198"/>
      <c r="I2023" s="39"/>
      <c r="J2023" s="38"/>
      <c r="K2023" s="198"/>
      <c r="L2023" s="38"/>
      <c r="M2023" s="38"/>
      <c r="N2023" s="38"/>
      <c r="O2023" s="38"/>
      <c r="P2023" s="40" t="str" cm="1">
        <f t="array" ref="P2023">IF(N2023="","",IFERROR(_xlfn.XLOOKUP(F2023&amp;"|"&amp;J2023&amp;"|"&amp;O2023,PRICES!$C$2:$C$659&amp;"|"&amp;PRICES!$B$2:$B$659&amp;"|"&amp;PRICES!$D$2:$D$659,PRICES!$E$2:$E$659),"Not Found"))</f>
        <v/>
      </c>
      <c r="Q2023" s="100" t="str">
        <f>IF(N2023=0,"",SUMIFS(PRICES!$G$2:$G$658,PRICES!$B$2:$B$658,'MAIN TABLE-1 AUTOMATED'!J2023,PRICES!$C$2:$C$658,'MAIN TABLE-1 AUTOMATED'!F2023,PRICES!$D$2:$D$658,'MAIN TABLE-1 AUTOMATED'!O2023))</f>
        <v/>
      </c>
      <c r="R2023" s="41" t="str">
        <f>IF(Table1[[#This Row],[QUANTITY]]=0,"",Table1[[#This Row],[UNIT PRICE]]*Table1[[#This Row],[QUANTITY]])</f>
        <v/>
      </c>
      <c r="S2023" s="89"/>
      <c r="T2023" s="38"/>
      <c r="U2023" s="43"/>
      <c r="V2023" s="42" t="str">
        <f>IF(Table1[[#This Row],[DATE]]=0,"",YEAR(E2023))</f>
        <v/>
      </c>
      <c r="W2023" s="40" t="str">
        <f t="shared" si="64"/>
        <v/>
      </c>
      <c r="X2023" s="40" t="str">
        <f t="shared" si="65"/>
        <v/>
      </c>
      <c r="Y2023" s="40" t="str">
        <f>TEXT(Table1[[#This Row],[YEAR]],"0000")&amp;"-"&amp;Table1[[#This Row],[MONTH]]</f>
        <v>-</v>
      </c>
    </row>
    <row r="2024" spans="1:25" ht="15" customHeight="1" x14ac:dyDescent="0.35">
      <c r="A2024" s="24"/>
      <c r="B2024" s="38"/>
      <c r="C2024" s="38"/>
      <c r="D2024" s="38"/>
      <c r="E2024" s="37"/>
      <c r="F2024" s="38"/>
      <c r="G2024" s="198"/>
      <c r="H2024" s="198"/>
      <c r="I2024" s="39"/>
      <c r="J2024" s="38"/>
      <c r="K2024" s="198"/>
      <c r="L2024" s="38"/>
      <c r="M2024" s="38"/>
      <c r="N2024" s="38"/>
      <c r="O2024" s="38"/>
      <c r="P2024" s="40" t="str" cm="1">
        <f t="array" ref="P2024">IF(N2024="","",IFERROR(_xlfn.XLOOKUP(F2024&amp;"|"&amp;J2024&amp;"|"&amp;O2024,PRICES!$C$2:$C$659&amp;"|"&amp;PRICES!$B$2:$B$659&amp;"|"&amp;PRICES!$D$2:$D$659,PRICES!$E$2:$E$659),"Not Found"))</f>
        <v/>
      </c>
      <c r="Q2024" s="100" t="str">
        <f>IF(N2024=0,"",SUMIFS(PRICES!$G$2:$G$658,PRICES!$B$2:$B$658,'MAIN TABLE-1 AUTOMATED'!J2024,PRICES!$C$2:$C$658,'MAIN TABLE-1 AUTOMATED'!F2024,PRICES!$D$2:$D$658,'MAIN TABLE-1 AUTOMATED'!O2024))</f>
        <v/>
      </c>
      <c r="R2024" s="41" t="str">
        <f>IF(Table1[[#This Row],[QUANTITY]]=0,"",Table1[[#This Row],[UNIT PRICE]]*Table1[[#This Row],[QUANTITY]])</f>
        <v/>
      </c>
      <c r="S2024" s="89"/>
      <c r="T2024" s="38"/>
      <c r="U2024" s="43"/>
      <c r="V2024" s="42" t="str">
        <f>IF(Table1[[#This Row],[DATE]]=0,"",YEAR(E2024))</f>
        <v/>
      </c>
      <c r="W2024" s="40" t="str">
        <f t="shared" si="64"/>
        <v/>
      </c>
      <c r="X2024" s="40" t="str">
        <f t="shared" si="65"/>
        <v/>
      </c>
      <c r="Y2024" s="40" t="str">
        <f>TEXT(Table1[[#This Row],[YEAR]],"0000")&amp;"-"&amp;Table1[[#This Row],[MONTH]]</f>
        <v>-</v>
      </c>
    </row>
    <row r="2025" spans="1:25" ht="15" customHeight="1" x14ac:dyDescent="0.35">
      <c r="A2025" s="24"/>
      <c r="B2025" s="38"/>
      <c r="C2025" s="38"/>
      <c r="D2025" s="38"/>
      <c r="E2025" s="37"/>
      <c r="F2025" s="38"/>
      <c r="G2025" s="198"/>
      <c r="H2025" s="198"/>
      <c r="I2025" s="39"/>
      <c r="J2025" s="38"/>
      <c r="K2025" s="198"/>
      <c r="L2025" s="38"/>
      <c r="M2025" s="38"/>
      <c r="N2025" s="38"/>
      <c r="O2025" s="38"/>
      <c r="P2025" s="40" t="str" cm="1">
        <f t="array" ref="P2025">IF(N2025="","",IFERROR(_xlfn.XLOOKUP(F2025&amp;"|"&amp;J2025&amp;"|"&amp;O2025,PRICES!$C$2:$C$659&amp;"|"&amp;PRICES!$B$2:$B$659&amp;"|"&amp;PRICES!$D$2:$D$659,PRICES!$E$2:$E$659),"Not Found"))</f>
        <v/>
      </c>
      <c r="Q2025" s="100" t="str">
        <f>IF(N2025=0,"",SUMIFS(PRICES!$G$2:$G$658,PRICES!$B$2:$B$658,'MAIN TABLE-1 AUTOMATED'!J2025,PRICES!$C$2:$C$658,'MAIN TABLE-1 AUTOMATED'!F2025,PRICES!$D$2:$D$658,'MAIN TABLE-1 AUTOMATED'!O2025))</f>
        <v/>
      </c>
      <c r="R2025" s="41" t="str">
        <f>IF(Table1[[#This Row],[QUANTITY]]=0,"",Table1[[#This Row],[UNIT PRICE]]*Table1[[#This Row],[QUANTITY]])</f>
        <v/>
      </c>
      <c r="S2025" s="89"/>
      <c r="T2025" s="38"/>
      <c r="U2025" s="43"/>
      <c r="V2025" s="42" t="str">
        <f>IF(Table1[[#This Row],[DATE]]=0,"",YEAR(E2025))</f>
        <v/>
      </c>
      <c r="W2025" s="40" t="str">
        <f t="shared" si="64"/>
        <v/>
      </c>
      <c r="X2025" s="40" t="str">
        <f t="shared" si="65"/>
        <v/>
      </c>
      <c r="Y2025" s="40" t="str">
        <f>TEXT(Table1[[#This Row],[YEAR]],"0000")&amp;"-"&amp;Table1[[#This Row],[MONTH]]</f>
        <v>-</v>
      </c>
    </row>
    <row r="2026" spans="1:25" ht="15" customHeight="1" x14ac:dyDescent="0.35">
      <c r="A2026" s="24"/>
      <c r="B2026" s="38"/>
      <c r="C2026" s="38"/>
      <c r="D2026" s="38"/>
      <c r="E2026" s="37"/>
      <c r="F2026" s="38"/>
      <c r="G2026" s="198"/>
      <c r="H2026" s="198"/>
      <c r="I2026" s="39"/>
      <c r="J2026" s="38"/>
      <c r="K2026" s="198"/>
      <c r="L2026" s="38"/>
      <c r="M2026" s="38"/>
      <c r="N2026" s="38"/>
      <c r="O2026" s="38"/>
      <c r="P2026" s="40" t="str" cm="1">
        <f t="array" ref="P2026">IF(N2026="","",IFERROR(_xlfn.XLOOKUP(F2026&amp;"|"&amp;J2026&amp;"|"&amp;O2026,PRICES!$C$2:$C$659&amp;"|"&amp;PRICES!$B$2:$B$659&amp;"|"&amp;PRICES!$D$2:$D$659,PRICES!$E$2:$E$659),"Not Found"))</f>
        <v/>
      </c>
      <c r="Q2026" s="100" t="str">
        <f>IF(N2026=0,"",SUMIFS(PRICES!$G$2:$G$658,PRICES!$B$2:$B$658,'MAIN TABLE-1 AUTOMATED'!J2026,PRICES!$C$2:$C$658,'MAIN TABLE-1 AUTOMATED'!F2026,PRICES!$D$2:$D$658,'MAIN TABLE-1 AUTOMATED'!O2026))</f>
        <v/>
      </c>
      <c r="R2026" s="41" t="str">
        <f>IF(Table1[[#This Row],[QUANTITY]]=0,"",Table1[[#This Row],[UNIT PRICE]]*Table1[[#This Row],[QUANTITY]])</f>
        <v/>
      </c>
      <c r="S2026" s="89"/>
      <c r="T2026" s="38"/>
      <c r="U2026" s="43"/>
      <c r="V2026" s="42" t="str">
        <f>IF(Table1[[#This Row],[DATE]]=0,"",YEAR(E2026))</f>
        <v/>
      </c>
      <c r="W2026" s="40" t="str">
        <f t="shared" si="64"/>
        <v/>
      </c>
      <c r="X2026" s="40" t="str">
        <f t="shared" si="65"/>
        <v/>
      </c>
      <c r="Y2026" s="40" t="str">
        <f>TEXT(Table1[[#This Row],[YEAR]],"0000")&amp;"-"&amp;Table1[[#This Row],[MONTH]]</f>
        <v>-</v>
      </c>
    </row>
    <row r="2027" spans="1:25" ht="15" customHeight="1" x14ac:dyDescent="0.35">
      <c r="A2027" s="24"/>
      <c r="B2027" s="38"/>
      <c r="C2027" s="38"/>
      <c r="D2027" s="38"/>
      <c r="E2027" s="37"/>
      <c r="F2027" s="38"/>
      <c r="G2027" s="198"/>
      <c r="H2027" s="198"/>
      <c r="I2027" s="39"/>
      <c r="J2027" s="38"/>
      <c r="K2027" s="198"/>
      <c r="L2027" s="38"/>
      <c r="M2027" s="38"/>
      <c r="N2027" s="38"/>
      <c r="O2027" s="38"/>
      <c r="P2027" s="40" t="str" cm="1">
        <f t="array" ref="P2027">IF(N2027="","",IFERROR(_xlfn.XLOOKUP(F2027&amp;"|"&amp;J2027&amp;"|"&amp;O2027,PRICES!$C$2:$C$659&amp;"|"&amp;PRICES!$B$2:$B$659&amp;"|"&amp;PRICES!$D$2:$D$659,PRICES!$E$2:$E$659),"Not Found"))</f>
        <v/>
      </c>
      <c r="Q2027" s="100" t="str">
        <f>IF(N2027=0,"",SUMIFS(PRICES!$G$2:$G$658,PRICES!$B$2:$B$658,'MAIN TABLE-1 AUTOMATED'!J2027,PRICES!$C$2:$C$658,'MAIN TABLE-1 AUTOMATED'!F2027,PRICES!$D$2:$D$658,'MAIN TABLE-1 AUTOMATED'!O2027))</f>
        <v/>
      </c>
      <c r="R2027" s="41" t="str">
        <f>IF(Table1[[#This Row],[QUANTITY]]=0,"",Table1[[#This Row],[UNIT PRICE]]*Table1[[#This Row],[QUANTITY]])</f>
        <v/>
      </c>
      <c r="S2027" s="89"/>
      <c r="T2027" s="38"/>
      <c r="U2027" s="43"/>
      <c r="V2027" s="42" t="str">
        <f>IF(Table1[[#This Row],[DATE]]=0,"",YEAR(E2027))</f>
        <v/>
      </c>
      <c r="W2027" s="40" t="str">
        <f t="shared" si="64"/>
        <v/>
      </c>
      <c r="X2027" s="40" t="str">
        <f t="shared" si="65"/>
        <v/>
      </c>
      <c r="Y2027" s="40" t="str">
        <f>TEXT(Table1[[#This Row],[YEAR]],"0000")&amp;"-"&amp;Table1[[#This Row],[MONTH]]</f>
        <v>-</v>
      </c>
    </row>
    <row r="2028" spans="1:25" ht="15" customHeight="1" x14ac:dyDescent="0.35">
      <c r="A2028" s="24"/>
      <c r="B2028" s="38"/>
      <c r="C2028" s="38"/>
      <c r="D2028" s="38"/>
      <c r="E2028" s="37"/>
      <c r="F2028" s="38"/>
      <c r="G2028" s="198"/>
      <c r="H2028" s="198"/>
      <c r="I2028" s="39"/>
      <c r="J2028" s="38"/>
      <c r="K2028" s="198"/>
      <c r="L2028" s="38"/>
      <c r="M2028" s="38"/>
      <c r="N2028" s="38"/>
      <c r="O2028" s="38"/>
      <c r="P2028" s="40" t="str" cm="1">
        <f t="array" ref="P2028">IF(N2028="","",IFERROR(_xlfn.XLOOKUP(F2028&amp;"|"&amp;J2028&amp;"|"&amp;O2028,PRICES!$C$2:$C$659&amp;"|"&amp;PRICES!$B$2:$B$659&amp;"|"&amp;PRICES!$D$2:$D$659,PRICES!$E$2:$E$659),"Not Found"))</f>
        <v/>
      </c>
      <c r="Q2028" s="100" t="str">
        <f>IF(N2028=0,"",SUMIFS(PRICES!$G$2:$G$658,PRICES!$B$2:$B$658,'MAIN TABLE-1 AUTOMATED'!J2028,PRICES!$C$2:$C$658,'MAIN TABLE-1 AUTOMATED'!F2028,PRICES!$D$2:$D$658,'MAIN TABLE-1 AUTOMATED'!O2028))</f>
        <v/>
      </c>
      <c r="R2028" s="41" t="str">
        <f>IF(Table1[[#This Row],[QUANTITY]]=0,"",Table1[[#This Row],[UNIT PRICE]]*Table1[[#This Row],[QUANTITY]])</f>
        <v/>
      </c>
      <c r="S2028" s="89"/>
      <c r="T2028" s="38"/>
      <c r="U2028" s="43"/>
      <c r="V2028" s="42" t="str">
        <f>IF(Table1[[#This Row],[DATE]]=0,"",YEAR(E2028))</f>
        <v/>
      </c>
      <c r="W2028" s="40" t="str">
        <f t="shared" si="64"/>
        <v/>
      </c>
      <c r="X2028" s="40" t="str">
        <f t="shared" si="65"/>
        <v/>
      </c>
      <c r="Y2028" s="40" t="str">
        <f>TEXT(Table1[[#This Row],[YEAR]],"0000")&amp;"-"&amp;Table1[[#This Row],[MONTH]]</f>
        <v>-</v>
      </c>
    </row>
    <row r="2029" spans="1:25" ht="15" customHeight="1" x14ac:dyDescent="0.35">
      <c r="A2029" s="24"/>
      <c r="B2029" s="38"/>
      <c r="C2029" s="38"/>
      <c r="D2029" s="38"/>
      <c r="E2029" s="37"/>
      <c r="F2029" s="38"/>
      <c r="G2029" s="198"/>
      <c r="H2029" s="198"/>
      <c r="I2029" s="39"/>
      <c r="J2029" s="38"/>
      <c r="K2029" s="198"/>
      <c r="L2029" s="38"/>
      <c r="M2029" s="38"/>
      <c r="N2029" s="38"/>
      <c r="O2029" s="38"/>
      <c r="P2029" s="40" t="str" cm="1">
        <f t="array" ref="P2029">IF(N2029="","",IFERROR(_xlfn.XLOOKUP(F2029&amp;"|"&amp;J2029&amp;"|"&amp;O2029,PRICES!$C$2:$C$659&amp;"|"&amp;PRICES!$B$2:$B$659&amp;"|"&amp;PRICES!$D$2:$D$659,PRICES!$E$2:$E$659),"Not Found"))</f>
        <v/>
      </c>
      <c r="Q2029" s="100" t="str">
        <f>IF(N2029=0,"",SUMIFS(PRICES!$G$2:$G$658,PRICES!$B$2:$B$658,'MAIN TABLE-1 AUTOMATED'!J2029,PRICES!$C$2:$C$658,'MAIN TABLE-1 AUTOMATED'!F2029,PRICES!$D$2:$D$658,'MAIN TABLE-1 AUTOMATED'!O2029))</f>
        <v/>
      </c>
      <c r="R2029" s="41" t="str">
        <f>IF(Table1[[#This Row],[QUANTITY]]=0,"",Table1[[#This Row],[UNIT PRICE]]*Table1[[#This Row],[QUANTITY]])</f>
        <v/>
      </c>
      <c r="S2029" s="89"/>
      <c r="T2029" s="38"/>
      <c r="U2029" s="43"/>
      <c r="V2029" s="42" t="str">
        <f>IF(Table1[[#This Row],[DATE]]=0,"",YEAR(E2029))</f>
        <v/>
      </c>
      <c r="W2029" s="40" t="str">
        <f t="shared" si="64"/>
        <v/>
      </c>
      <c r="X2029" s="40" t="str">
        <f t="shared" si="65"/>
        <v/>
      </c>
      <c r="Y2029" s="40" t="str">
        <f>TEXT(Table1[[#This Row],[YEAR]],"0000")&amp;"-"&amp;Table1[[#This Row],[MONTH]]</f>
        <v>-</v>
      </c>
    </row>
    <row r="2030" spans="1:25" ht="15" customHeight="1" x14ac:dyDescent="0.35">
      <c r="A2030" s="24"/>
      <c r="B2030" s="38"/>
      <c r="C2030" s="38"/>
      <c r="D2030" s="38"/>
      <c r="E2030" s="37"/>
      <c r="F2030" s="38"/>
      <c r="G2030" s="198"/>
      <c r="H2030" s="198"/>
      <c r="I2030" s="39"/>
      <c r="J2030" s="38"/>
      <c r="K2030" s="198"/>
      <c r="L2030" s="38"/>
      <c r="M2030" s="38"/>
      <c r="N2030" s="38"/>
      <c r="O2030" s="38"/>
      <c r="P2030" s="40" t="str" cm="1">
        <f t="array" ref="P2030">IF(N2030="","",IFERROR(_xlfn.XLOOKUP(F2030&amp;"|"&amp;J2030&amp;"|"&amp;O2030,PRICES!$C$2:$C$659&amp;"|"&amp;PRICES!$B$2:$B$659&amp;"|"&amp;PRICES!$D$2:$D$659,PRICES!$E$2:$E$659),"Not Found"))</f>
        <v/>
      </c>
      <c r="Q2030" s="100" t="str">
        <f>IF(N2030=0,"",SUMIFS(PRICES!$G$2:$G$658,PRICES!$B$2:$B$658,'MAIN TABLE-1 AUTOMATED'!J2030,PRICES!$C$2:$C$658,'MAIN TABLE-1 AUTOMATED'!F2030,PRICES!$D$2:$D$658,'MAIN TABLE-1 AUTOMATED'!O2030))</f>
        <v/>
      </c>
      <c r="R2030" s="41" t="str">
        <f>IF(Table1[[#This Row],[QUANTITY]]=0,"",Table1[[#This Row],[UNIT PRICE]]*Table1[[#This Row],[QUANTITY]])</f>
        <v/>
      </c>
      <c r="S2030" s="89"/>
      <c r="T2030" s="38"/>
      <c r="U2030" s="43"/>
      <c r="V2030" s="42" t="str">
        <f>IF(Table1[[#This Row],[DATE]]=0,"",YEAR(E2030))</f>
        <v/>
      </c>
      <c r="W2030" s="40" t="str">
        <f t="shared" si="64"/>
        <v/>
      </c>
      <c r="X2030" s="40" t="str">
        <f t="shared" si="65"/>
        <v/>
      </c>
      <c r="Y2030" s="40" t="str">
        <f>TEXT(Table1[[#This Row],[YEAR]],"0000")&amp;"-"&amp;Table1[[#This Row],[MONTH]]</f>
        <v>-</v>
      </c>
    </row>
    <row r="2031" spans="1:25" ht="15" customHeight="1" x14ac:dyDescent="0.35">
      <c r="A2031" s="24"/>
      <c r="B2031" s="38"/>
      <c r="C2031" s="38"/>
      <c r="D2031" s="38"/>
      <c r="E2031" s="37"/>
      <c r="F2031" s="38"/>
      <c r="G2031" s="198"/>
      <c r="H2031" s="198"/>
      <c r="I2031" s="39"/>
      <c r="J2031" s="38"/>
      <c r="K2031" s="198"/>
      <c r="L2031" s="38"/>
      <c r="M2031" s="38"/>
      <c r="N2031" s="38"/>
      <c r="O2031" s="38"/>
      <c r="P2031" s="40" t="str" cm="1">
        <f t="array" ref="P2031">IF(N2031="","",IFERROR(_xlfn.XLOOKUP(F2031&amp;"|"&amp;J2031&amp;"|"&amp;O2031,PRICES!$C$2:$C$659&amp;"|"&amp;PRICES!$B$2:$B$659&amp;"|"&amp;PRICES!$D$2:$D$659,PRICES!$E$2:$E$659),"Not Found"))</f>
        <v/>
      </c>
      <c r="Q2031" s="100" t="str">
        <f>IF(N2031=0,"",SUMIFS(PRICES!$G$2:$G$658,PRICES!$B$2:$B$658,'MAIN TABLE-1 AUTOMATED'!J2031,PRICES!$C$2:$C$658,'MAIN TABLE-1 AUTOMATED'!F2031,PRICES!$D$2:$D$658,'MAIN TABLE-1 AUTOMATED'!O2031))</f>
        <v/>
      </c>
      <c r="R2031" s="41" t="str">
        <f>IF(Table1[[#This Row],[QUANTITY]]=0,"",Table1[[#This Row],[UNIT PRICE]]*Table1[[#This Row],[QUANTITY]])</f>
        <v/>
      </c>
      <c r="S2031" s="89"/>
      <c r="T2031" s="38"/>
      <c r="U2031" s="43"/>
      <c r="V2031" s="42" t="str">
        <f>IF(Table1[[#This Row],[DATE]]=0,"",YEAR(E2031))</f>
        <v/>
      </c>
      <c r="W2031" s="40" t="str">
        <f t="shared" si="64"/>
        <v/>
      </c>
      <c r="X2031" s="40" t="str">
        <f t="shared" si="65"/>
        <v/>
      </c>
      <c r="Y2031" s="40" t="str">
        <f>TEXT(Table1[[#This Row],[YEAR]],"0000")&amp;"-"&amp;Table1[[#This Row],[MONTH]]</f>
        <v>-</v>
      </c>
    </row>
    <row r="2032" spans="1:25" ht="15" customHeight="1" x14ac:dyDescent="0.35">
      <c r="A2032" s="24"/>
      <c r="B2032" s="38"/>
      <c r="C2032" s="38"/>
      <c r="D2032" s="38"/>
      <c r="E2032" s="37"/>
      <c r="F2032" s="38"/>
      <c r="G2032" s="198"/>
      <c r="H2032" s="198"/>
      <c r="I2032" s="39"/>
      <c r="J2032" s="38"/>
      <c r="K2032" s="198"/>
      <c r="L2032" s="38"/>
      <c r="M2032" s="38"/>
      <c r="N2032" s="38"/>
      <c r="O2032" s="38"/>
      <c r="P2032" s="40" t="str" cm="1">
        <f t="array" ref="P2032">IF(N2032="","",IFERROR(_xlfn.XLOOKUP(F2032&amp;"|"&amp;J2032&amp;"|"&amp;O2032,PRICES!$C$2:$C$659&amp;"|"&amp;PRICES!$B$2:$B$659&amp;"|"&amp;PRICES!$D$2:$D$659,PRICES!$E$2:$E$659),"Not Found"))</f>
        <v/>
      </c>
      <c r="Q2032" s="100" t="str">
        <f>IF(N2032=0,"",SUMIFS(PRICES!$G$2:$G$658,PRICES!$B$2:$B$658,'MAIN TABLE-1 AUTOMATED'!J2032,PRICES!$C$2:$C$658,'MAIN TABLE-1 AUTOMATED'!F2032,PRICES!$D$2:$D$658,'MAIN TABLE-1 AUTOMATED'!O2032))</f>
        <v/>
      </c>
      <c r="R2032" s="41" t="str">
        <f>IF(Table1[[#This Row],[QUANTITY]]=0,"",Table1[[#This Row],[UNIT PRICE]]*Table1[[#This Row],[QUANTITY]])</f>
        <v/>
      </c>
      <c r="S2032" s="89"/>
      <c r="T2032" s="38"/>
      <c r="U2032" s="43"/>
      <c r="V2032" s="42" t="str">
        <f>IF(Table1[[#This Row],[DATE]]=0,"",YEAR(E2032))</f>
        <v/>
      </c>
      <c r="W2032" s="40" t="str">
        <f t="shared" si="64"/>
        <v/>
      </c>
      <c r="X2032" s="40" t="str">
        <f t="shared" si="65"/>
        <v/>
      </c>
      <c r="Y2032" s="40" t="str">
        <f>TEXT(Table1[[#This Row],[YEAR]],"0000")&amp;"-"&amp;Table1[[#This Row],[MONTH]]</f>
        <v>-</v>
      </c>
    </row>
    <row r="2033" spans="1:25" ht="15" customHeight="1" x14ac:dyDescent="0.35">
      <c r="A2033" s="24"/>
      <c r="B2033" s="38"/>
      <c r="C2033" s="38"/>
      <c r="D2033" s="38"/>
      <c r="E2033" s="37"/>
      <c r="F2033" s="37"/>
      <c r="G2033" s="198"/>
      <c r="H2033" s="198"/>
      <c r="I2033" s="39"/>
      <c r="J2033" s="38"/>
      <c r="K2033" s="198"/>
      <c r="L2033" s="38"/>
      <c r="M2033" s="38"/>
      <c r="N2033" s="38"/>
      <c r="O2033" s="38"/>
      <c r="P2033" s="40" t="str" cm="1">
        <f t="array" ref="P2033">IF(N2033="","",IFERROR(_xlfn.XLOOKUP(F2033&amp;"|"&amp;J2033&amp;"|"&amp;O2033,PRICES!$C$2:$C$659&amp;"|"&amp;PRICES!$B$2:$B$659&amp;"|"&amp;PRICES!$D$2:$D$659,PRICES!$E$2:$E$659),"Not Found"))</f>
        <v/>
      </c>
      <c r="Q2033" s="100" t="str">
        <f>IF(N2033=0,"",SUMIFS(PRICES!$G$2:$G$658,PRICES!$B$2:$B$658,'MAIN TABLE-1 AUTOMATED'!J2033,PRICES!$C$2:$C$658,'MAIN TABLE-1 AUTOMATED'!F2033,PRICES!$D$2:$D$658,'MAIN TABLE-1 AUTOMATED'!O2033))</f>
        <v/>
      </c>
      <c r="R2033" s="41" t="str">
        <f>IF(Table1[[#This Row],[QUANTITY]]=0,"",Table1[[#This Row],[UNIT PRICE]]*Table1[[#This Row],[QUANTITY]])</f>
        <v/>
      </c>
      <c r="S2033" s="89"/>
      <c r="T2033" s="38"/>
      <c r="U2033" s="43"/>
      <c r="V2033" s="42" t="str">
        <f>IF(Table1[[#This Row],[DATE]]=0,"",YEAR(E2033))</f>
        <v/>
      </c>
      <c r="W2033" s="40" t="str">
        <f t="shared" si="64"/>
        <v/>
      </c>
      <c r="X2033" s="40" t="str">
        <f t="shared" si="65"/>
        <v/>
      </c>
      <c r="Y2033" s="40" t="str">
        <f>TEXT(Table1[[#This Row],[YEAR]],"0000")&amp;"-"&amp;Table1[[#This Row],[MONTH]]</f>
        <v>-</v>
      </c>
    </row>
    <row r="2034" spans="1:25" ht="15" customHeight="1" x14ac:dyDescent="0.35">
      <c r="A2034" s="24"/>
      <c r="B2034" s="38"/>
      <c r="C2034" s="38"/>
      <c r="D2034" s="38"/>
      <c r="E2034" s="37"/>
      <c r="F2034" s="37"/>
      <c r="G2034" s="198"/>
      <c r="H2034" s="198"/>
      <c r="I2034" s="39"/>
      <c r="J2034" s="38"/>
      <c r="K2034" s="198"/>
      <c r="L2034" s="38"/>
      <c r="M2034" s="38"/>
      <c r="N2034" s="38"/>
      <c r="O2034" s="38"/>
      <c r="P2034" s="40" t="str" cm="1">
        <f t="array" ref="P2034">IF(N2034="","",IFERROR(_xlfn.XLOOKUP(F2034&amp;"|"&amp;J2034&amp;"|"&amp;O2034,PRICES!$C$2:$C$659&amp;"|"&amp;PRICES!$B$2:$B$659&amp;"|"&amp;PRICES!$D$2:$D$659,PRICES!$E$2:$E$659),"Not Found"))</f>
        <v/>
      </c>
      <c r="Q2034" s="100" t="str">
        <f>IF(N2034=0,"",SUMIFS(PRICES!$G$2:$G$658,PRICES!$B$2:$B$658,'MAIN TABLE-1 AUTOMATED'!J2034,PRICES!$C$2:$C$658,'MAIN TABLE-1 AUTOMATED'!F2034,PRICES!$D$2:$D$658,'MAIN TABLE-1 AUTOMATED'!O2034))</f>
        <v/>
      </c>
      <c r="R2034" s="41" t="str">
        <f>IF(Table1[[#This Row],[QUANTITY]]=0,"",Table1[[#This Row],[UNIT PRICE]]*Table1[[#This Row],[QUANTITY]])</f>
        <v/>
      </c>
      <c r="S2034" s="89"/>
      <c r="T2034" s="38"/>
      <c r="U2034" s="43"/>
      <c r="V2034" s="42" t="str">
        <f>IF(Table1[[#This Row],[DATE]]=0,"",YEAR(E2034))</f>
        <v/>
      </c>
      <c r="W2034" s="40" t="str">
        <f t="shared" si="64"/>
        <v/>
      </c>
      <c r="X2034" s="40" t="str">
        <f t="shared" si="65"/>
        <v/>
      </c>
      <c r="Y2034" s="40" t="str">
        <f>TEXT(Table1[[#This Row],[YEAR]],"0000")&amp;"-"&amp;Table1[[#This Row],[MONTH]]</f>
        <v>-</v>
      </c>
    </row>
    <row r="2035" spans="1:25" ht="15" customHeight="1" x14ac:dyDescent="0.35">
      <c r="A2035" s="24"/>
      <c r="B2035" s="38"/>
      <c r="C2035" s="38"/>
      <c r="D2035" s="38"/>
      <c r="E2035" s="37"/>
      <c r="F2035" s="38"/>
      <c r="G2035" s="198"/>
      <c r="H2035" s="198"/>
      <c r="I2035" s="39"/>
      <c r="J2035" s="38"/>
      <c r="K2035" s="198"/>
      <c r="L2035" s="38"/>
      <c r="M2035" s="38"/>
      <c r="N2035" s="38"/>
      <c r="O2035" s="38"/>
      <c r="P2035" s="40" t="str" cm="1">
        <f t="array" ref="P2035">IF(N2035="","",IFERROR(_xlfn.XLOOKUP(F2035&amp;"|"&amp;J2035&amp;"|"&amp;O2035,PRICES!$C$2:$C$659&amp;"|"&amp;PRICES!$B$2:$B$659&amp;"|"&amp;PRICES!$D$2:$D$659,PRICES!$E$2:$E$659),"Not Found"))</f>
        <v/>
      </c>
      <c r="Q2035" s="100" t="str">
        <f>IF(N2035=0,"",SUMIFS(PRICES!$G$2:$G$658,PRICES!$B$2:$B$658,'MAIN TABLE-1 AUTOMATED'!J2035,PRICES!$C$2:$C$658,'MAIN TABLE-1 AUTOMATED'!F2035,PRICES!$D$2:$D$658,'MAIN TABLE-1 AUTOMATED'!O2035))</f>
        <v/>
      </c>
      <c r="R2035" s="41" t="str">
        <f>IF(Table1[[#This Row],[QUANTITY]]=0,"",Table1[[#This Row],[UNIT PRICE]]*Table1[[#This Row],[QUANTITY]])</f>
        <v/>
      </c>
      <c r="S2035" s="89"/>
      <c r="T2035" s="38"/>
      <c r="U2035" s="43"/>
      <c r="V2035" s="42" t="str">
        <f>IF(Table1[[#This Row],[DATE]]=0,"",YEAR(E2035))</f>
        <v/>
      </c>
      <c r="W2035" s="40" t="str">
        <f t="shared" si="64"/>
        <v/>
      </c>
      <c r="X2035" s="40" t="str">
        <f t="shared" si="65"/>
        <v/>
      </c>
      <c r="Y2035" s="40" t="str">
        <f>TEXT(Table1[[#This Row],[YEAR]],"0000")&amp;"-"&amp;Table1[[#This Row],[MONTH]]</f>
        <v>-</v>
      </c>
    </row>
    <row r="2036" spans="1:25" ht="15" customHeight="1" x14ac:dyDescent="0.35">
      <c r="A2036" s="24"/>
      <c r="B2036" s="38"/>
      <c r="C2036" s="38"/>
      <c r="D2036" s="38"/>
      <c r="E2036" s="37"/>
      <c r="F2036" s="38"/>
      <c r="G2036" s="198"/>
      <c r="H2036" s="198"/>
      <c r="I2036" s="39"/>
      <c r="J2036" s="38"/>
      <c r="K2036" s="198"/>
      <c r="L2036" s="38"/>
      <c r="M2036" s="38"/>
      <c r="N2036" s="38"/>
      <c r="O2036" s="38"/>
      <c r="P2036" s="40" t="str" cm="1">
        <f t="array" ref="P2036">IF(N2036="","",IFERROR(_xlfn.XLOOKUP(F2036&amp;"|"&amp;J2036&amp;"|"&amp;O2036,PRICES!$C$2:$C$659&amp;"|"&amp;PRICES!$B$2:$B$659&amp;"|"&amp;PRICES!$D$2:$D$659,PRICES!$E$2:$E$659),"Not Found"))</f>
        <v/>
      </c>
      <c r="Q2036" s="100" t="str">
        <f>IF(N2036=0,"",SUMIFS(PRICES!$G$2:$G$658,PRICES!$B$2:$B$658,'MAIN TABLE-1 AUTOMATED'!J2036,PRICES!$C$2:$C$658,'MAIN TABLE-1 AUTOMATED'!F2036,PRICES!$D$2:$D$658,'MAIN TABLE-1 AUTOMATED'!O2036))</f>
        <v/>
      </c>
      <c r="R2036" s="41" t="str">
        <f>IF(Table1[[#This Row],[QUANTITY]]=0,"",Table1[[#This Row],[UNIT PRICE]]*Table1[[#This Row],[QUANTITY]])</f>
        <v/>
      </c>
      <c r="S2036" s="89"/>
      <c r="T2036" s="38"/>
      <c r="U2036" s="43"/>
      <c r="V2036" s="42" t="str">
        <f>IF(Table1[[#This Row],[DATE]]=0,"",YEAR(E2036))</f>
        <v/>
      </c>
      <c r="W2036" s="40" t="str">
        <f t="shared" si="64"/>
        <v/>
      </c>
      <c r="X2036" s="40" t="str">
        <f t="shared" si="65"/>
        <v/>
      </c>
      <c r="Y2036" s="40" t="str">
        <f>TEXT(Table1[[#This Row],[YEAR]],"0000")&amp;"-"&amp;Table1[[#This Row],[MONTH]]</f>
        <v>-</v>
      </c>
    </row>
    <row r="2037" spans="1:25" ht="15" customHeight="1" x14ac:dyDescent="0.35">
      <c r="A2037" s="24"/>
      <c r="B2037" s="38"/>
      <c r="C2037" s="38"/>
      <c r="D2037" s="38"/>
      <c r="E2037" s="37"/>
      <c r="F2037" s="38"/>
      <c r="G2037" s="198"/>
      <c r="H2037" s="198"/>
      <c r="I2037" s="39"/>
      <c r="J2037" s="38"/>
      <c r="K2037" s="198"/>
      <c r="L2037" s="38"/>
      <c r="M2037" s="38"/>
      <c r="N2037" s="38"/>
      <c r="O2037" s="38"/>
      <c r="P2037" s="40" t="str" cm="1">
        <f t="array" ref="P2037">IF(N2037="","",IFERROR(_xlfn.XLOOKUP(F2037&amp;"|"&amp;J2037&amp;"|"&amp;O2037,PRICES!$C$2:$C$659&amp;"|"&amp;PRICES!$B$2:$B$659&amp;"|"&amp;PRICES!$D$2:$D$659,PRICES!$E$2:$E$659),"Not Found"))</f>
        <v/>
      </c>
      <c r="Q2037" s="100" t="str">
        <f>IF(N2037=0,"",SUMIFS(PRICES!$G$2:$G$658,PRICES!$B$2:$B$658,'MAIN TABLE-1 AUTOMATED'!J2037,PRICES!$C$2:$C$658,'MAIN TABLE-1 AUTOMATED'!F2037,PRICES!$D$2:$D$658,'MAIN TABLE-1 AUTOMATED'!O2037))</f>
        <v/>
      </c>
      <c r="R2037" s="41" t="str">
        <f>IF(Table1[[#This Row],[QUANTITY]]=0,"",Table1[[#This Row],[UNIT PRICE]]*Table1[[#This Row],[QUANTITY]])</f>
        <v/>
      </c>
      <c r="S2037" s="89"/>
      <c r="T2037" s="38"/>
      <c r="U2037" s="43"/>
      <c r="V2037" s="42" t="str">
        <f>IF(Table1[[#This Row],[DATE]]=0,"",YEAR(E2037))</f>
        <v/>
      </c>
      <c r="W2037" s="40" t="str">
        <f t="shared" si="64"/>
        <v/>
      </c>
      <c r="X2037" s="40" t="str">
        <f t="shared" si="65"/>
        <v/>
      </c>
      <c r="Y2037" s="40" t="str">
        <f>TEXT(Table1[[#This Row],[YEAR]],"0000")&amp;"-"&amp;Table1[[#This Row],[MONTH]]</f>
        <v>-</v>
      </c>
    </row>
    <row r="2038" spans="1:25" ht="15" customHeight="1" x14ac:dyDescent="0.35">
      <c r="A2038" s="24"/>
      <c r="B2038" s="38"/>
      <c r="C2038" s="38"/>
      <c r="D2038" s="38"/>
      <c r="E2038" s="37"/>
      <c r="F2038" s="38"/>
      <c r="G2038" s="198"/>
      <c r="H2038" s="198"/>
      <c r="I2038" s="39"/>
      <c r="J2038" s="38"/>
      <c r="K2038" s="198"/>
      <c r="L2038" s="38"/>
      <c r="M2038" s="38"/>
      <c r="N2038" s="38"/>
      <c r="O2038" s="38"/>
      <c r="P2038" s="40" t="str" cm="1">
        <f t="array" ref="P2038">IF(N2038="","",IFERROR(_xlfn.XLOOKUP(F2038&amp;"|"&amp;J2038&amp;"|"&amp;O2038,PRICES!$C$2:$C$659&amp;"|"&amp;PRICES!$B$2:$B$659&amp;"|"&amp;PRICES!$D$2:$D$659,PRICES!$E$2:$E$659),"Not Found"))</f>
        <v/>
      </c>
      <c r="Q2038" s="100" t="str">
        <f>IF(N2038=0,"",SUMIFS(PRICES!$G$2:$G$658,PRICES!$B$2:$B$658,'MAIN TABLE-1 AUTOMATED'!J2038,PRICES!$C$2:$C$658,'MAIN TABLE-1 AUTOMATED'!F2038,PRICES!$D$2:$D$658,'MAIN TABLE-1 AUTOMATED'!O2038))</f>
        <v/>
      </c>
      <c r="R2038" s="41" t="str">
        <f>IF(Table1[[#This Row],[QUANTITY]]=0,"",Table1[[#This Row],[UNIT PRICE]]*Table1[[#This Row],[QUANTITY]])</f>
        <v/>
      </c>
      <c r="S2038" s="89"/>
      <c r="T2038" s="38"/>
      <c r="U2038" s="43"/>
      <c r="V2038" s="42" t="str">
        <f>IF(Table1[[#This Row],[DATE]]=0,"",YEAR(E2038))</f>
        <v/>
      </c>
      <c r="W2038" s="40" t="str">
        <f t="shared" si="64"/>
        <v/>
      </c>
      <c r="X2038" s="40" t="str">
        <f t="shared" si="65"/>
        <v/>
      </c>
      <c r="Y2038" s="40" t="str">
        <f>TEXT(Table1[[#This Row],[YEAR]],"0000")&amp;"-"&amp;Table1[[#This Row],[MONTH]]</f>
        <v>-</v>
      </c>
    </row>
    <row r="2039" spans="1:25" ht="15" customHeight="1" x14ac:dyDescent="0.35">
      <c r="A2039" s="24"/>
      <c r="B2039" s="38"/>
      <c r="C2039" s="38"/>
      <c r="D2039" s="38"/>
      <c r="E2039" s="37"/>
      <c r="F2039" s="38"/>
      <c r="G2039" s="198"/>
      <c r="H2039" s="198"/>
      <c r="I2039" s="39"/>
      <c r="J2039" s="38"/>
      <c r="K2039" s="198"/>
      <c r="L2039" s="38"/>
      <c r="M2039" s="38"/>
      <c r="N2039" s="38"/>
      <c r="O2039" s="38"/>
      <c r="P2039" s="40" t="str" cm="1">
        <f t="array" ref="P2039">IF(N2039="","",IFERROR(_xlfn.XLOOKUP(F2039&amp;"|"&amp;J2039&amp;"|"&amp;O2039,PRICES!$C$2:$C$659&amp;"|"&amp;PRICES!$B$2:$B$659&amp;"|"&amp;PRICES!$D$2:$D$659,PRICES!$E$2:$E$659),"Not Found"))</f>
        <v/>
      </c>
      <c r="Q2039" s="100" t="str">
        <f>IF(N2039=0,"",SUMIFS(PRICES!$G$2:$G$658,PRICES!$B$2:$B$658,'MAIN TABLE-1 AUTOMATED'!J2039,PRICES!$C$2:$C$658,'MAIN TABLE-1 AUTOMATED'!F2039,PRICES!$D$2:$D$658,'MAIN TABLE-1 AUTOMATED'!O2039))</f>
        <v/>
      </c>
      <c r="R2039" s="41" t="str">
        <f>IF(Table1[[#This Row],[QUANTITY]]=0,"",Table1[[#This Row],[UNIT PRICE]]*Table1[[#This Row],[QUANTITY]])</f>
        <v/>
      </c>
      <c r="S2039" s="89"/>
      <c r="T2039" s="38"/>
      <c r="U2039" s="43"/>
      <c r="V2039" s="42" t="str">
        <f>IF(Table1[[#This Row],[DATE]]=0,"",YEAR(E2039))</f>
        <v/>
      </c>
      <c r="W2039" s="40" t="str">
        <f t="shared" si="64"/>
        <v/>
      </c>
      <c r="X2039" s="40" t="str">
        <f t="shared" si="65"/>
        <v/>
      </c>
      <c r="Y2039" s="40" t="str">
        <f>TEXT(Table1[[#This Row],[YEAR]],"0000")&amp;"-"&amp;Table1[[#This Row],[MONTH]]</f>
        <v>-</v>
      </c>
    </row>
    <row r="2040" spans="1:25" ht="15" customHeight="1" x14ac:dyDescent="0.35">
      <c r="A2040" s="24"/>
      <c r="B2040" s="38"/>
      <c r="C2040" s="38"/>
      <c r="D2040" s="38"/>
      <c r="E2040" s="37"/>
      <c r="F2040" s="38"/>
      <c r="G2040" s="198"/>
      <c r="H2040" s="198"/>
      <c r="I2040" s="39"/>
      <c r="J2040" s="38"/>
      <c r="K2040" s="198"/>
      <c r="L2040" s="38"/>
      <c r="M2040" s="38"/>
      <c r="N2040" s="38"/>
      <c r="O2040" s="38"/>
      <c r="P2040" s="40" t="str" cm="1">
        <f t="array" ref="P2040">IF(N2040="","",IFERROR(_xlfn.XLOOKUP(F2040&amp;"|"&amp;J2040&amp;"|"&amp;O2040,PRICES!$C$2:$C$659&amp;"|"&amp;PRICES!$B$2:$B$659&amp;"|"&amp;PRICES!$D$2:$D$659,PRICES!$E$2:$E$659),"Not Found"))</f>
        <v/>
      </c>
      <c r="Q2040" s="100" t="str">
        <f>IF(N2040=0,"",SUMIFS(PRICES!$G$2:$G$658,PRICES!$B$2:$B$658,'MAIN TABLE-1 AUTOMATED'!J2040,PRICES!$C$2:$C$658,'MAIN TABLE-1 AUTOMATED'!F2040,PRICES!$D$2:$D$658,'MAIN TABLE-1 AUTOMATED'!O2040))</f>
        <v/>
      </c>
      <c r="R2040" s="41" t="str">
        <f>IF(Table1[[#This Row],[QUANTITY]]=0,"",Table1[[#This Row],[UNIT PRICE]]*Table1[[#This Row],[QUANTITY]])</f>
        <v/>
      </c>
      <c r="S2040" s="89"/>
      <c r="T2040" s="38"/>
      <c r="U2040" s="43"/>
      <c r="V2040" s="42" t="str">
        <f>IF(Table1[[#This Row],[DATE]]=0,"",YEAR(E2040))</f>
        <v/>
      </c>
      <c r="W2040" s="40" t="str">
        <f t="shared" si="64"/>
        <v/>
      </c>
      <c r="X2040" s="40" t="str">
        <f t="shared" si="65"/>
        <v/>
      </c>
      <c r="Y2040" s="40" t="str">
        <f>TEXT(Table1[[#This Row],[YEAR]],"0000")&amp;"-"&amp;Table1[[#This Row],[MONTH]]</f>
        <v>-</v>
      </c>
    </row>
    <row r="2041" spans="1:25" ht="15" customHeight="1" x14ac:dyDescent="0.35">
      <c r="A2041" s="24"/>
      <c r="B2041" s="38"/>
      <c r="C2041" s="38"/>
      <c r="D2041" s="38"/>
      <c r="E2041" s="37"/>
      <c r="F2041" s="38"/>
      <c r="G2041" s="198"/>
      <c r="H2041" s="198"/>
      <c r="I2041" s="39"/>
      <c r="J2041" s="38"/>
      <c r="K2041" s="198"/>
      <c r="L2041" s="38"/>
      <c r="M2041" s="38"/>
      <c r="N2041" s="38"/>
      <c r="O2041" s="38"/>
      <c r="P2041" s="40" t="str" cm="1">
        <f t="array" ref="P2041">IF(N2041="","",IFERROR(_xlfn.XLOOKUP(F2041&amp;"|"&amp;J2041&amp;"|"&amp;O2041,PRICES!$C$2:$C$659&amp;"|"&amp;PRICES!$B$2:$B$659&amp;"|"&amp;PRICES!$D$2:$D$659,PRICES!$E$2:$E$659),"Not Found"))</f>
        <v/>
      </c>
      <c r="Q2041" s="100" t="str">
        <f>IF(N2041=0,"",SUMIFS(PRICES!$G$2:$G$658,PRICES!$B$2:$B$658,'MAIN TABLE-1 AUTOMATED'!J2041,PRICES!$C$2:$C$658,'MAIN TABLE-1 AUTOMATED'!F2041,PRICES!$D$2:$D$658,'MAIN TABLE-1 AUTOMATED'!O2041))</f>
        <v/>
      </c>
      <c r="R2041" s="41" t="str">
        <f>IF(Table1[[#This Row],[QUANTITY]]=0,"",Table1[[#This Row],[UNIT PRICE]]*Table1[[#This Row],[QUANTITY]])</f>
        <v/>
      </c>
      <c r="S2041" s="89"/>
      <c r="T2041" s="38"/>
      <c r="U2041" s="43"/>
      <c r="V2041" s="42" t="str">
        <f>IF(Table1[[#This Row],[DATE]]=0,"",YEAR(E2041))</f>
        <v/>
      </c>
      <c r="W2041" s="40" t="str">
        <f t="shared" si="64"/>
        <v/>
      </c>
      <c r="X2041" s="40" t="str">
        <f t="shared" si="65"/>
        <v/>
      </c>
      <c r="Y2041" s="40" t="str">
        <f>TEXT(Table1[[#This Row],[YEAR]],"0000")&amp;"-"&amp;Table1[[#This Row],[MONTH]]</f>
        <v>-</v>
      </c>
    </row>
    <row r="2042" spans="1:25" ht="15" customHeight="1" x14ac:dyDescent="0.35">
      <c r="A2042" s="24"/>
      <c r="B2042" s="38"/>
      <c r="C2042" s="38"/>
      <c r="D2042" s="38"/>
      <c r="E2042" s="37"/>
      <c r="F2042" s="38"/>
      <c r="G2042" s="198"/>
      <c r="H2042" s="198"/>
      <c r="I2042" s="39"/>
      <c r="J2042" s="38"/>
      <c r="K2042" s="198"/>
      <c r="L2042" s="38"/>
      <c r="M2042" s="38"/>
      <c r="N2042" s="38"/>
      <c r="O2042" s="38"/>
      <c r="P2042" s="40" t="str" cm="1">
        <f t="array" ref="P2042">IF(N2042="","",IFERROR(_xlfn.XLOOKUP(F2042&amp;"|"&amp;J2042&amp;"|"&amp;O2042,PRICES!$C$2:$C$659&amp;"|"&amp;PRICES!$B$2:$B$659&amp;"|"&amp;PRICES!$D$2:$D$659,PRICES!$E$2:$E$659),"Not Found"))</f>
        <v/>
      </c>
      <c r="Q2042" s="100" t="str">
        <f>IF(N2042=0,"",SUMIFS(PRICES!$G$2:$G$658,PRICES!$B$2:$B$658,'MAIN TABLE-1 AUTOMATED'!J2042,PRICES!$C$2:$C$658,'MAIN TABLE-1 AUTOMATED'!F2042,PRICES!$D$2:$D$658,'MAIN TABLE-1 AUTOMATED'!O2042))</f>
        <v/>
      </c>
      <c r="R2042" s="41" t="str">
        <f>IF(Table1[[#This Row],[QUANTITY]]=0,"",Table1[[#This Row],[UNIT PRICE]]*Table1[[#This Row],[QUANTITY]])</f>
        <v/>
      </c>
      <c r="S2042" s="89"/>
      <c r="T2042" s="38"/>
      <c r="U2042" s="43"/>
      <c r="V2042" s="42" t="str">
        <f>IF(Table1[[#This Row],[DATE]]=0,"",YEAR(E2042))</f>
        <v/>
      </c>
      <c r="W2042" s="40" t="str">
        <f t="shared" si="64"/>
        <v/>
      </c>
      <c r="X2042" s="40" t="str">
        <f t="shared" si="65"/>
        <v/>
      </c>
      <c r="Y2042" s="40" t="str">
        <f>TEXT(Table1[[#This Row],[YEAR]],"0000")&amp;"-"&amp;Table1[[#This Row],[MONTH]]</f>
        <v>-</v>
      </c>
    </row>
    <row r="2043" spans="1:25" ht="15" customHeight="1" x14ac:dyDescent="0.35">
      <c r="A2043" s="24"/>
      <c r="B2043" s="38"/>
      <c r="C2043" s="38"/>
      <c r="D2043" s="38"/>
      <c r="E2043" s="37"/>
      <c r="F2043" s="38"/>
      <c r="G2043" s="198"/>
      <c r="H2043" s="198"/>
      <c r="I2043" s="39"/>
      <c r="J2043" s="38"/>
      <c r="K2043" s="198"/>
      <c r="L2043" s="38"/>
      <c r="M2043" s="38"/>
      <c r="N2043" s="38"/>
      <c r="O2043" s="38"/>
      <c r="P2043" s="40" t="str" cm="1">
        <f t="array" ref="P2043">IF(N2043="","",IFERROR(_xlfn.XLOOKUP(F2043&amp;"|"&amp;J2043&amp;"|"&amp;O2043,PRICES!$C$2:$C$659&amp;"|"&amp;PRICES!$B$2:$B$659&amp;"|"&amp;PRICES!$D$2:$D$659,PRICES!$E$2:$E$659),"Not Found"))</f>
        <v/>
      </c>
      <c r="Q2043" s="100" t="str">
        <f>IF(N2043=0,"",SUMIFS(PRICES!$G$2:$G$658,PRICES!$B$2:$B$658,'MAIN TABLE-1 AUTOMATED'!J2043,PRICES!$C$2:$C$658,'MAIN TABLE-1 AUTOMATED'!F2043,PRICES!$D$2:$D$658,'MAIN TABLE-1 AUTOMATED'!O2043))</f>
        <v/>
      </c>
      <c r="R2043" s="41" t="str">
        <f>IF(Table1[[#This Row],[QUANTITY]]=0,"",Table1[[#This Row],[UNIT PRICE]]*Table1[[#This Row],[QUANTITY]])</f>
        <v/>
      </c>
      <c r="S2043" s="89"/>
      <c r="T2043" s="38"/>
      <c r="U2043" s="43"/>
      <c r="V2043" s="42" t="str">
        <f>IF(Table1[[#This Row],[DATE]]=0,"",YEAR(E2043))</f>
        <v/>
      </c>
      <c r="W2043" s="40" t="str">
        <f t="shared" si="64"/>
        <v/>
      </c>
      <c r="X2043" s="40" t="str">
        <f t="shared" si="65"/>
        <v/>
      </c>
      <c r="Y2043" s="40" t="str">
        <f>TEXT(Table1[[#This Row],[YEAR]],"0000")&amp;"-"&amp;Table1[[#This Row],[MONTH]]</f>
        <v>-</v>
      </c>
    </row>
    <row r="2044" spans="1:25" ht="15" customHeight="1" x14ac:dyDescent="0.35">
      <c r="A2044" s="24"/>
      <c r="B2044" s="38"/>
      <c r="C2044" s="38"/>
      <c r="D2044" s="38"/>
      <c r="E2044" s="37"/>
      <c r="F2044" s="38"/>
      <c r="G2044" s="198"/>
      <c r="H2044" s="198"/>
      <c r="I2044" s="39"/>
      <c r="J2044" s="38"/>
      <c r="K2044" s="198"/>
      <c r="L2044" s="38"/>
      <c r="M2044" s="38"/>
      <c r="N2044" s="38"/>
      <c r="O2044" s="38"/>
      <c r="P2044" s="40" t="str" cm="1">
        <f t="array" ref="P2044">IF(N2044="","",IFERROR(_xlfn.XLOOKUP(F2044&amp;"|"&amp;J2044&amp;"|"&amp;O2044,PRICES!$C$2:$C$659&amp;"|"&amp;PRICES!$B$2:$B$659&amp;"|"&amp;PRICES!$D$2:$D$659,PRICES!$E$2:$E$659),"Not Found"))</f>
        <v/>
      </c>
      <c r="Q2044" s="100" t="str">
        <f>IF(N2044=0,"",SUMIFS(PRICES!$G$2:$G$658,PRICES!$B$2:$B$658,'MAIN TABLE-1 AUTOMATED'!J2044,PRICES!$C$2:$C$658,'MAIN TABLE-1 AUTOMATED'!F2044,PRICES!$D$2:$D$658,'MAIN TABLE-1 AUTOMATED'!O2044))</f>
        <v/>
      </c>
      <c r="R2044" s="41" t="str">
        <f>IF(Table1[[#This Row],[QUANTITY]]=0,"",Table1[[#This Row],[UNIT PRICE]]*Table1[[#This Row],[QUANTITY]])</f>
        <v/>
      </c>
      <c r="S2044" s="89"/>
      <c r="T2044" s="38"/>
      <c r="U2044" s="43"/>
      <c r="V2044" s="42" t="str">
        <f>IF(Table1[[#This Row],[DATE]]=0,"",YEAR(E2044))</f>
        <v/>
      </c>
      <c r="W2044" s="40" t="str">
        <f t="shared" si="64"/>
        <v/>
      </c>
      <c r="X2044" s="40" t="str">
        <f t="shared" si="65"/>
        <v/>
      </c>
      <c r="Y2044" s="40" t="str">
        <f>TEXT(Table1[[#This Row],[YEAR]],"0000")&amp;"-"&amp;Table1[[#This Row],[MONTH]]</f>
        <v>-</v>
      </c>
    </row>
    <row r="2045" spans="1:25" ht="15" customHeight="1" x14ac:dyDescent="0.35">
      <c r="A2045" s="24"/>
      <c r="B2045" s="38"/>
      <c r="C2045" s="38"/>
      <c r="D2045" s="38"/>
      <c r="E2045" s="37"/>
      <c r="F2045" s="38"/>
      <c r="G2045" s="198"/>
      <c r="H2045" s="198"/>
      <c r="I2045" s="39"/>
      <c r="J2045" s="38"/>
      <c r="K2045" s="198"/>
      <c r="L2045" s="38"/>
      <c r="M2045" s="38"/>
      <c r="N2045" s="38"/>
      <c r="O2045" s="38"/>
      <c r="P2045" s="40" t="str" cm="1">
        <f t="array" ref="P2045">IF(N2045="","",IFERROR(_xlfn.XLOOKUP(F2045&amp;"|"&amp;J2045&amp;"|"&amp;O2045,PRICES!$C$2:$C$659&amp;"|"&amp;PRICES!$B$2:$B$659&amp;"|"&amp;PRICES!$D$2:$D$659,PRICES!$E$2:$E$659),"Not Found"))</f>
        <v/>
      </c>
      <c r="Q2045" s="100" t="str">
        <f>IF(N2045=0,"",SUMIFS(PRICES!$G$2:$G$658,PRICES!$B$2:$B$658,'MAIN TABLE-1 AUTOMATED'!J2045,PRICES!$C$2:$C$658,'MAIN TABLE-1 AUTOMATED'!F2045,PRICES!$D$2:$D$658,'MAIN TABLE-1 AUTOMATED'!O2045))</f>
        <v/>
      </c>
      <c r="R2045" s="41" t="str">
        <f>IF(Table1[[#This Row],[QUANTITY]]=0,"",Table1[[#This Row],[UNIT PRICE]]*Table1[[#This Row],[QUANTITY]])</f>
        <v/>
      </c>
      <c r="S2045" s="89"/>
      <c r="T2045" s="38"/>
      <c r="U2045" s="43"/>
      <c r="V2045" s="42" t="str">
        <f>IF(Table1[[#This Row],[DATE]]=0,"",YEAR(E2045))</f>
        <v/>
      </c>
      <c r="W2045" s="40" t="str">
        <f t="shared" si="64"/>
        <v/>
      </c>
      <c r="X2045" s="40" t="str">
        <f t="shared" si="65"/>
        <v/>
      </c>
      <c r="Y2045" s="40" t="str">
        <f>TEXT(Table1[[#This Row],[YEAR]],"0000")&amp;"-"&amp;Table1[[#This Row],[MONTH]]</f>
        <v>-</v>
      </c>
    </row>
    <row r="2046" spans="1:25" ht="15" customHeight="1" x14ac:dyDescent="0.35">
      <c r="A2046" s="24"/>
      <c r="B2046" s="38"/>
      <c r="C2046" s="38"/>
      <c r="D2046" s="38"/>
      <c r="E2046" s="37"/>
      <c r="F2046" s="38"/>
      <c r="G2046" s="198"/>
      <c r="H2046" s="198"/>
      <c r="I2046" s="39"/>
      <c r="J2046" s="38"/>
      <c r="K2046" s="198"/>
      <c r="L2046" s="38"/>
      <c r="M2046" s="38"/>
      <c r="N2046" s="38"/>
      <c r="O2046" s="38"/>
      <c r="P2046" s="40" t="str" cm="1">
        <f t="array" ref="P2046">IF(N2046="","",IFERROR(_xlfn.XLOOKUP(F2046&amp;"|"&amp;J2046&amp;"|"&amp;O2046,PRICES!$C$2:$C$659&amp;"|"&amp;PRICES!$B$2:$B$659&amp;"|"&amp;PRICES!$D$2:$D$659,PRICES!$E$2:$E$659),"Not Found"))</f>
        <v/>
      </c>
      <c r="Q2046" s="100" t="str">
        <f>IF(N2046=0,"",SUMIFS(PRICES!$G$2:$G$658,PRICES!$B$2:$B$658,'MAIN TABLE-1 AUTOMATED'!J2046,PRICES!$C$2:$C$658,'MAIN TABLE-1 AUTOMATED'!F2046,PRICES!$D$2:$D$658,'MAIN TABLE-1 AUTOMATED'!O2046))</f>
        <v/>
      </c>
      <c r="R2046" s="41" t="str">
        <f>IF(Table1[[#This Row],[QUANTITY]]=0,"",Table1[[#This Row],[UNIT PRICE]]*Table1[[#This Row],[QUANTITY]])</f>
        <v/>
      </c>
      <c r="S2046" s="89"/>
      <c r="T2046" s="38"/>
      <c r="U2046" s="43"/>
      <c r="V2046" s="42" t="str">
        <f>IF(Table1[[#This Row],[DATE]]=0,"",YEAR(E2046))</f>
        <v/>
      </c>
      <c r="W2046" s="40" t="str">
        <f t="shared" si="64"/>
        <v/>
      </c>
      <c r="X2046" s="40" t="str">
        <f t="shared" si="65"/>
        <v/>
      </c>
      <c r="Y2046" s="40" t="str">
        <f>TEXT(Table1[[#This Row],[YEAR]],"0000")&amp;"-"&amp;Table1[[#This Row],[MONTH]]</f>
        <v>-</v>
      </c>
    </row>
    <row r="2047" spans="1:25" ht="15" customHeight="1" x14ac:dyDescent="0.35">
      <c r="A2047" s="24"/>
      <c r="B2047" s="38"/>
      <c r="C2047" s="38"/>
      <c r="D2047" s="38"/>
      <c r="E2047" s="37"/>
      <c r="F2047" s="38"/>
      <c r="G2047" s="198"/>
      <c r="H2047" s="198"/>
      <c r="I2047" s="39"/>
      <c r="J2047" s="38"/>
      <c r="K2047" s="198"/>
      <c r="L2047" s="38"/>
      <c r="M2047" s="38"/>
      <c r="N2047" s="38"/>
      <c r="O2047" s="38"/>
      <c r="P2047" s="40" t="str" cm="1">
        <f t="array" ref="P2047">IF(N2047="","",IFERROR(_xlfn.XLOOKUP(F2047&amp;"|"&amp;J2047&amp;"|"&amp;O2047,PRICES!$C$2:$C$659&amp;"|"&amp;PRICES!$B$2:$B$659&amp;"|"&amp;PRICES!$D$2:$D$659,PRICES!$E$2:$E$659),"Not Found"))</f>
        <v/>
      </c>
      <c r="Q2047" s="100" t="str">
        <f>IF(N2047=0,"",SUMIFS(PRICES!$G$2:$G$658,PRICES!$B$2:$B$658,'MAIN TABLE-1 AUTOMATED'!J2047,PRICES!$C$2:$C$658,'MAIN TABLE-1 AUTOMATED'!F2047,PRICES!$D$2:$D$658,'MAIN TABLE-1 AUTOMATED'!O2047))</f>
        <v/>
      </c>
      <c r="R2047" s="41" t="str">
        <f>IF(Table1[[#This Row],[QUANTITY]]=0,"",Table1[[#This Row],[UNIT PRICE]]*Table1[[#This Row],[QUANTITY]])</f>
        <v/>
      </c>
      <c r="S2047" s="89"/>
      <c r="T2047" s="38"/>
      <c r="U2047" s="43"/>
      <c r="V2047" s="42" t="str">
        <f>IF(Table1[[#This Row],[DATE]]=0,"",YEAR(E2047))</f>
        <v/>
      </c>
      <c r="W2047" s="40" t="str">
        <f t="shared" si="64"/>
        <v/>
      </c>
      <c r="X2047" s="40" t="str">
        <f t="shared" si="65"/>
        <v/>
      </c>
      <c r="Y2047" s="40" t="str">
        <f>TEXT(Table1[[#This Row],[YEAR]],"0000")&amp;"-"&amp;Table1[[#This Row],[MONTH]]</f>
        <v>-</v>
      </c>
    </row>
    <row r="2048" spans="1:25" ht="15" customHeight="1" x14ac:dyDescent="0.35">
      <c r="A2048" s="24"/>
      <c r="B2048" s="38"/>
      <c r="C2048" s="38"/>
      <c r="D2048" s="38"/>
      <c r="E2048" s="37"/>
      <c r="F2048" s="38"/>
      <c r="G2048" s="198"/>
      <c r="H2048" s="198"/>
      <c r="I2048" s="39"/>
      <c r="J2048" s="38"/>
      <c r="K2048" s="198"/>
      <c r="L2048" s="38"/>
      <c r="M2048" s="38"/>
      <c r="N2048" s="38"/>
      <c r="O2048" s="38"/>
      <c r="P2048" s="40" t="str" cm="1">
        <f t="array" ref="P2048">IF(N2048="","",IFERROR(_xlfn.XLOOKUP(F2048&amp;"|"&amp;J2048&amp;"|"&amp;O2048,PRICES!$C$2:$C$659&amp;"|"&amp;PRICES!$B$2:$B$659&amp;"|"&amp;PRICES!$D$2:$D$659,PRICES!$E$2:$E$659),"Not Found"))</f>
        <v/>
      </c>
      <c r="Q2048" s="100" t="str">
        <f>IF(N2048=0,"",SUMIFS(PRICES!$G$2:$G$658,PRICES!$B$2:$B$658,'MAIN TABLE-1 AUTOMATED'!J2048,PRICES!$C$2:$C$658,'MAIN TABLE-1 AUTOMATED'!F2048,PRICES!$D$2:$D$658,'MAIN TABLE-1 AUTOMATED'!O2048))</f>
        <v/>
      </c>
      <c r="R2048" s="41" t="str">
        <f>IF(Table1[[#This Row],[QUANTITY]]=0,"",Table1[[#This Row],[UNIT PRICE]]*Table1[[#This Row],[QUANTITY]])</f>
        <v/>
      </c>
      <c r="S2048" s="89"/>
      <c r="T2048" s="38"/>
      <c r="U2048" s="43"/>
      <c r="V2048" s="42" t="str">
        <f>IF(Table1[[#This Row],[DATE]]=0,"",YEAR(E2048))</f>
        <v/>
      </c>
      <c r="W2048" s="40" t="str">
        <f t="shared" si="64"/>
        <v/>
      </c>
      <c r="X2048" s="40" t="str">
        <f t="shared" si="65"/>
        <v/>
      </c>
      <c r="Y2048" s="40" t="str">
        <f>TEXT(Table1[[#This Row],[YEAR]],"0000")&amp;"-"&amp;Table1[[#This Row],[MONTH]]</f>
        <v>-</v>
      </c>
    </row>
    <row r="2049" spans="1:25" ht="15" customHeight="1" x14ac:dyDescent="0.35">
      <c r="A2049" s="24"/>
      <c r="B2049" s="38"/>
      <c r="C2049" s="38"/>
      <c r="D2049" s="38"/>
      <c r="E2049" s="37"/>
      <c r="F2049" s="38"/>
      <c r="G2049" s="198"/>
      <c r="H2049" s="198"/>
      <c r="I2049" s="39"/>
      <c r="J2049" s="38"/>
      <c r="K2049" s="198"/>
      <c r="L2049" s="38"/>
      <c r="M2049" s="38"/>
      <c r="N2049" s="38"/>
      <c r="O2049" s="38"/>
      <c r="P2049" s="40" t="str" cm="1">
        <f t="array" ref="P2049">IF(N2049="","",IFERROR(_xlfn.XLOOKUP(F2049&amp;"|"&amp;J2049&amp;"|"&amp;O2049,PRICES!$C$2:$C$659&amp;"|"&amp;PRICES!$B$2:$B$659&amp;"|"&amp;PRICES!$D$2:$D$659,PRICES!$E$2:$E$659),"Not Found"))</f>
        <v/>
      </c>
      <c r="Q2049" s="100" t="str">
        <f>IF(N2049=0,"",SUMIFS(PRICES!$G$2:$G$658,PRICES!$B$2:$B$658,'MAIN TABLE-1 AUTOMATED'!J2049,PRICES!$C$2:$C$658,'MAIN TABLE-1 AUTOMATED'!F2049,PRICES!$D$2:$D$658,'MAIN TABLE-1 AUTOMATED'!O2049))</f>
        <v/>
      </c>
      <c r="R2049" s="41" t="str">
        <f>IF(Table1[[#This Row],[QUANTITY]]=0,"",Table1[[#This Row],[UNIT PRICE]]*Table1[[#This Row],[QUANTITY]])</f>
        <v/>
      </c>
      <c r="S2049" s="89"/>
      <c r="T2049" s="38"/>
      <c r="U2049" s="43"/>
      <c r="V2049" s="42" t="str">
        <f>IF(Table1[[#This Row],[DATE]]=0,"",YEAR(E2049))</f>
        <v/>
      </c>
      <c r="W2049" s="40" t="str">
        <f t="shared" si="64"/>
        <v/>
      </c>
      <c r="X2049" s="40" t="str">
        <f t="shared" si="65"/>
        <v/>
      </c>
      <c r="Y2049" s="40" t="str">
        <f>TEXT(Table1[[#This Row],[YEAR]],"0000")&amp;"-"&amp;Table1[[#This Row],[MONTH]]</f>
        <v>-</v>
      </c>
    </row>
    <row r="2050" spans="1:25" ht="15" customHeight="1" x14ac:dyDescent="0.35">
      <c r="A2050" s="24"/>
      <c r="B2050" s="38"/>
      <c r="C2050" s="38"/>
      <c r="D2050" s="38"/>
      <c r="E2050" s="37"/>
      <c r="F2050" s="38"/>
      <c r="G2050" s="198"/>
      <c r="H2050" s="198"/>
      <c r="I2050" s="39"/>
      <c r="J2050" s="38"/>
      <c r="K2050" s="198"/>
      <c r="L2050" s="38"/>
      <c r="M2050" s="38"/>
      <c r="N2050" s="38"/>
      <c r="O2050" s="38"/>
      <c r="P2050" s="40" t="str" cm="1">
        <f t="array" ref="P2050">IF(N2050="","",IFERROR(_xlfn.XLOOKUP(F2050&amp;"|"&amp;J2050&amp;"|"&amp;O2050,PRICES!$C$2:$C$659&amp;"|"&amp;PRICES!$B$2:$B$659&amp;"|"&amp;PRICES!$D$2:$D$659,PRICES!$E$2:$E$659),"Not Found"))</f>
        <v/>
      </c>
      <c r="Q2050" s="100" t="str">
        <f>IF(N2050=0,"",SUMIFS(PRICES!$G$2:$G$658,PRICES!$B$2:$B$658,'MAIN TABLE-1 AUTOMATED'!J2050,PRICES!$C$2:$C$658,'MAIN TABLE-1 AUTOMATED'!F2050,PRICES!$D$2:$D$658,'MAIN TABLE-1 AUTOMATED'!O2050))</f>
        <v/>
      </c>
      <c r="R2050" s="41" t="str">
        <f>IF(Table1[[#This Row],[QUANTITY]]=0,"",Table1[[#This Row],[UNIT PRICE]]*Table1[[#This Row],[QUANTITY]])</f>
        <v/>
      </c>
      <c r="S2050" s="89"/>
      <c r="T2050" s="38"/>
      <c r="U2050" s="43"/>
      <c r="V2050" s="42" t="str">
        <f>IF(Table1[[#This Row],[DATE]]=0,"",YEAR(E2050))</f>
        <v/>
      </c>
      <c r="W2050" s="40" t="str">
        <f t="shared" si="64"/>
        <v/>
      </c>
      <c r="X2050" s="40" t="str">
        <f t="shared" si="65"/>
        <v/>
      </c>
      <c r="Y2050" s="40" t="str">
        <f>TEXT(Table1[[#This Row],[YEAR]],"0000")&amp;"-"&amp;Table1[[#This Row],[MONTH]]</f>
        <v>-</v>
      </c>
    </row>
    <row r="2051" spans="1:25" ht="15" customHeight="1" x14ac:dyDescent="0.35">
      <c r="A2051" s="24"/>
      <c r="B2051" s="38"/>
      <c r="C2051" s="38"/>
      <c r="D2051" s="38"/>
      <c r="E2051" s="37"/>
      <c r="F2051" s="38"/>
      <c r="G2051" s="198"/>
      <c r="H2051" s="198"/>
      <c r="I2051" s="39"/>
      <c r="J2051" s="38"/>
      <c r="K2051" s="198"/>
      <c r="L2051" s="38"/>
      <c r="M2051" s="38"/>
      <c r="N2051" s="38"/>
      <c r="O2051" s="38"/>
      <c r="P2051" s="40" t="str" cm="1">
        <f t="array" ref="P2051">IF(N2051="","",IFERROR(_xlfn.XLOOKUP(F2051&amp;"|"&amp;J2051&amp;"|"&amp;O2051,PRICES!$C$2:$C$659&amp;"|"&amp;PRICES!$B$2:$B$659&amp;"|"&amp;PRICES!$D$2:$D$659,PRICES!$E$2:$E$659),"Not Found"))</f>
        <v/>
      </c>
      <c r="Q2051" s="100" t="str">
        <f>IF(N2051=0,"",SUMIFS(PRICES!$G$2:$G$658,PRICES!$B$2:$B$658,'MAIN TABLE-1 AUTOMATED'!J2051,PRICES!$C$2:$C$658,'MAIN TABLE-1 AUTOMATED'!F2051,PRICES!$D$2:$D$658,'MAIN TABLE-1 AUTOMATED'!O2051))</f>
        <v/>
      </c>
      <c r="R2051" s="41" t="str">
        <f>IF(Table1[[#This Row],[QUANTITY]]=0,"",Table1[[#This Row],[UNIT PRICE]]*Table1[[#This Row],[QUANTITY]])</f>
        <v/>
      </c>
      <c r="S2051" s="89"/>
      <c r="T2051" s="38"/>
      <c r="U2051" s="43"/>
      <c r="V2051" s="42" t="str">
        <f>IF(Table1[[#This Row],[DATE]]=0,"",YEAR(E2051))</f>
        <v/>
      </c>
      <c r="W2051" s="40" t="str">
        <f t="shared" si="64"/>
        <v/>
      </c>
      <c r="X2051" s="40" t="str">
        <f t="shared" si="65"/>
        <v/>
      </c>
      <c r="Y2051" s="40" t="str">
        <f>TEXT(Table1[[#This Row],[YEAR]],"0000")&amp;"-"&amp;Table1[[#This Row],[MONTH]]</f>
        <v>-</v>
      </c>
    </row>
    <row r="2052" spans="1:25" ht="15" customHeight="1" x14ac:dyDescent="0.35">
      <c r="A2052" s="24"/>
      <c r="B2052" s="38"/>
      <c r="C2052" s="38"/>
      <c r="D2052" s="38"/>
      <c r="E2052" s="37"/>
      <c r="F2052" s="38"/>
      <c r="G2052" s="198"/>
      <c r="H2052" s="198"/>
      <c r="I2052" s="39"/>
      <c r="J2052" s="38"/>
      <c r="K2052" s="198"/>
      <c r="L2052" s="38"/>
      <c r="M2052" s="38"/>
      <c r="N2052" s="38"/>
      <c r="O2052" s="38"/>
      <c r="P2052" s="40" t="str" cm="1">
        <f t="array" ref="P2052">IF(N2052="","",IFERROR(_xlfn.XLOOKUP(F2052&amp;"|"&amp;J2052&amp;"|"&amp;O2052,PRICES!$C$2:$C$659&amp;"|"&amp;PRICES!$B$2:$B$659&amp;"|"&amp;PRICES!$D$2:$D$659,PRICES!$E$2:$E$659),"Not Found"))</f>
        <v/>
      </c>
      <c r="Q2052" s="100" t="str">
        <f>IF(N2052=0,"",SUMIFS(PRICES!$G$2:$G$658,PRICES!$B$2:$B$658,'MAIN TABLE-1 AUTOMATED'!J2052,PRICES!$C$2:$C$658,'MAIN TABLE-1 AUTOMATED'!F2052,PRICES!$D$2:$D$658,'MAIN TABLE-1 AUTOMATED'!O2052))</f>
        <v/>
      </c>
      <c r="R2052" s="41" t="str">
        <f>IF(Table1[[#This Row],[QUANTITY]]=0,"",Table1[[#This Row],[UNIT PRICE]]*Table1[[#This Row],[QUANTITY]])</f>
        <v/>
      </c>
      <c r="S2052" s="89"/>
      <c r="T2052" s="38"/>
      <c r="U2052" s="43"/>
      <c r="V2052" s="42" t="str">
        <f>IF(Table1[[#This Row],[DATE]]=0,"",YEAR(E2052))</f>
        <v/>
      </c>
      <c r="W2052" s="40" t="str">
        <f t="shared" si="64"/>
        <v/>
      </c>
      <c r="X2052" s="40" t="str">
        <f t="shared" si="65"/>
        <v/>
      </c>
      <c r="Y2052" s="40" t="str">
        <f>TEXT(Table1[[#This Row],[YEAR]],"0000")&amp;"-"&amp;Table1[[#This Row],[MONTH]]</f>
        <v>-</v>
      </c>
    </row>
    <row r="2053" spans="1:25" ht="15" customHeight="1" x14ac:dyDescent="0.35">
      <c r="A2053" s="24"/>
      <c r="B2053" s="38"/>
      <c r="C2053" s="38"/>
      <c r="D2053" s="38"/>
      <c r="E2053" s="37"/>
      <c r="F2053" s="38"/>
      <c r="G2053" s="198"/>
      <c r="H2053" s="198"/>
      <c r="I2053" s="39"/>
      <c r="J2053" s="38"/>
      <c r="K2053" s="198"/>
      <c r="L2053" s="38"/>
      <c r="M2053" s="38"/>
      <c r="N2053" s="38"/>
      <c r="O2053" s="38"/>
      <c r="P2053" s="40" t="str" cm="1">
        <f t="array" ref="P2053">IF(N2053="","",IFERROR(_xlfn.XLOOKUP(F2053&amp;"|"&amp;J2053&amp;"|"&amp;O2053,PRICES!$C$2:$C$659&amp;"|"&amp;PRICES!$B$2:$B$659&amp;"|"&amp;PRICES!$D$2:$D$659,PRICES!$E$2:$E$659),"Not Found"))</f>
        <v/>
      </c>
      <c r="Q2053" s="100" t="str">
        <f>IF(N2053=0,"",SUMIFS(PRICES!$G$2:$G$658,PRICES!$B$2:$B$658,'MAIN TABLE-1 AUTOMATED'!J2053,PRICES!$C$2:$C$658,'MAIN TABLE-1 AUTOMATED'!F2053,PRICES!$D$2:$D$658,'MAIN TABLE-1 AUTOMATED'!O2053))</f>
        <v/>
      </c>
      <c r="R2053" s="41" t="str">
        <f>IF(Table1[[#This Row],[QUANTITY]]=0,"",Table1[[#This Row],[UNIT PRICE]]*Table1[[#This Row],[QUANTITY]])</f>
        <v/>
      </c>
      <c r="S2053" s="89"/>
      <c r="T2053" s="38"/>
      <c r="U2053" s="43"/>
      <c r="V2053" s="42" t="str">
        <f>IF(Table1[[#This Row],[DATE]]=0,"",YEAR(E2053))</f>
        <v/>
      </c>
      <c r="W2053" s="40" t="str">
        <f t="shared" si="64"/>
        <v/>
      </c>
      <c r="X2053" s="40" t="str">
        <f t="shared" si="65"/>
        <v/>
      </c>
      <c r="Y2053" s="40" t="str">
        <f>TEXT(Table1[[#This Row],[YEAR]],"0000")&amp;"-"&amp;Table1[[#This Row],[MONTH]]</f>
        <v>-</v>
      </c>
    </row>
    <row r="2054" spans="1:25" ht="15" customHeight="1" x14ac:dyDescent="0.35">
      <c r="A2054" s="24"/>
      <c r="B2054" s="38"/>
      <c r="C2054" s="38"/>
      <c r="D2054" s="38"/>
      <c r="E2054" s="37"/>
      <c r="F2054" s="38"/>
      <c r="G2054" s="198"/>
      <c r="H2054" s="198"/>
      <c r="I2054" s="39"/>
      <c r="J2054" s="38"/>
      <c r="K2054" s="198"/>
      <c r="L2054" s="38"/>
      <c r="M2054" s="38"/>
      <c r="N2054" s="38"/>
      <c r="O2054" s="38"/>
      <c r="P2054" s="40" t="str" cm="1">
        <f t="array" ref="P2054">IF(N2054="","",IFERROR(_xlfn.XLOOKUP(F2054&amp;"|"&amp;J2054&amp;"|"&amp;O2054,PRICES!$C$2:$C$659&amp;"|"&amp;PRICES!$B$2:$B$659&amp;"|"&amp;PRICES!$D$2:$D$659,PRICES!$E$2:$E$659),"Not Found"))</f>
        <v/>
      </c>
      <c r="Q2054" s="100" t="str">
        <f>IF(N2054=0,"",SUMIFS(PRICES!$G$2:$G$658,PRICES!$B$2:$B$658,'MAIN TABLE-1 AUTOMATED'!J2054,PRICES!$C$2:$C$658,'MAIN TABLE-1 AUTOMATED'!F2054,PRICES!$D$2:$D$658,'MAIN TABLE-1 AUTOMATED'!O2054))</f>
        <v/>
      </c>
      <c r="R2054" s="41" t="str">
        <f>IF(Table1[[#This Row],[QUANTITY]]=0,"",Table1[[#This Row],[UNIT PRICE]]*Table1[[#This Row],[QUANTITY]])</f>
        <v/>
      </c>
      <c r="S2054" s="89"/>
      <c r="T2054" s="38"/>
      <c r="U2054" s="43"/>
      <c r="V2054" s="42" t="str">
        <f>IF(Table1[[#This Row],[DATE]]=0,"",YEAR(E2054))</f>
        <v/>
      </c>
      <c r="W2054" s="40" t="str">
        <f t="shared" si="64"/>
        <v/>
      </c>
      <c r="X2054" s="40" t="str">
        <f t="shared" si="65"/>
        <v/>
      </c>
      <c r="Y2054" s="40" t="str">
        <f>TEXT(Table1[[#This Row],[YEAR]],"0000")&amp;"-"&amp;Table1[[#This Row],[MONTH]]</f>
        <v>-</v>
      </c>
    </row>
    <row r="2055" spans="1:25" ht="15" customHeight="1" x14ac:dyDescent="0.35">
      <c r="A2055" s="24"/>
      <c r="B2055" s="38"/>
      <c r="C2055" s="38"/>
      <c r="D2055" s="38"/>
      <c r="E2055" s="37"/>
      <c r="F2055" s="38"/>
      <c r="G2055" s="198"/>
      <c r="H2055" s="198"/>
      <c r="I2055" s="39"/>
      <c r="J2055" s="38"/>
      <c r="K2055" s="198"/>
      <c r="L2055" s="38"/>
      <c r="M2055" s="38"/>
      <c r="N2055" s="38"/>
      <c r="O2055" s="38"/>
      <c r="P2055" s="40" t="str" cm="1">
        <f t="array" ref="P2055">IF(N2055="","",IFERROR(_xlfn.XLOOKUP(F2055&amp;"|"&amp;J2055&amp;"|"&amp;O2055,PRICES!$C$2:$C$659&amp;"|"&amp;PRICES!$B$2:$B$659&amp;"|"&amp;PRICES!$D$2:$D$659,PRICES!$E$2:$E$659),"Not Found"))</f>
        <v/>
      </c>
      <c r="Q2055" s="100" t="str">
        <f>IF(N2055=0,"",SUMIFS(PRICES!$G$2:$G$658,PRICES!$B$2:$B$658,'MAIN TABLE-1 AUTOMATED'!J2055,PRICES!$C$2:$C$658,'MAIN TABLE-1 AUTOMATED'!F2055,PRICES!$D$2:$D$658,'MAIN TABLE-1 AUTOMATED'!O2055))</f>
        <v/>
      </c>
      <c r="R2055" s="41" t="str">
        <f>IF(Table1[[#This Row],[QUANTITY]]=0,"",Table1[[#This Row],[UNIT PRICE]]*Table1[[#This Row],[QUANTITY]])</f>
        <v/>
      </c>
      <c r="S2055" s="89"/>
      <c r="T2055" s="38"/>
      <c r="U2055" s="43"/>
      <c r="V2055" s="42" t="str">
        <f>IF(Table1[[#This Row],[DATE]]=0,"",YEAR(E2055))</f>
        <v/>
      </c>
      <c r="W2055" s="40" t="str">
        <f t="shared" si="64"/>
        <v/>
      </c>
      <c r="X2055" s="40" t="str">
        <f t="shared" si="65"/>
        <v/>
      </c>
      <c r="Y2055" s="40" t="str">
        <f>TEXT(Table1[[#This Row],[YEAR]],"0000")&amp;"-"&amp;Table1[[#This Row],[MONTH]]</f>
        <v>-</v>
      </c>
    </row>
    <row r="2056" spans="1:25" ht="15" customHeight="1" x14ac:dyDescent="0.35">
      <c r="A2056" s="24"/>
      <c r="B2056" s="43"/>
      <c r="C2056" s="43"/>
      <c r="D2056" s="43"/>
      <c r="E2056" s="37"/>
      <c r="F2056" s="43"/>
      <c r="G2056" s="198"/>
      <c r="H2056" s="198"/>
      <c r="I2056" s="39"/>
      <c r="J2056" s="38"/>
      <c r="K2056" s="198"/>
      <c r="L2056" s="38"/>
      <c r="M2056" s="38"/>
      <c r="N2056" s="38"/>
      <c r="O2056" s="38"/>
      <c r="P2056" s="40" t="str" cm="1">
        <f t="array" ref="P2056">IF(N2056="","",IFERROR(_xlfn.XLOOKUP(F2056&amp;"|"&amp;J2056&amp;"|"&amp;O2056,PRICES!$C$2:$C$659&amp;"|"&amp;PRICES!$B$2:$B$659&amp;"|"&amp;PRICES!$D$2:$D$659,PRICES!$E$2:$E$659),"Not Found"))</f>
        <v/>
      </c>
      <c r="Q2056" s="100" t="str">
        <f>IF(N2056=0,"",SUMIFS(PRICES!$G$2:$G$658,PRICES!$B$2:$B$658,'MAIN TABLE-1 AUTOMATED'!J2056,PRICES!$C$2:$C$658,'MAIN TABLE-1 AUTOMATED'!F2056,PRICES!$D$2:$D$658,'MAIN TABLE-1 AUTOMATED'!O2056))</f>
        <v/>
      </c>
      <c r="R2056" s="41" t="str">
        <f>IF(Table1[[#This Row],[QUANTITY]]=0,"",Table1[[#This Row],[UNIT PRICE]]*Table1[[#This Row],[QUANTITY]])</f>
        <v/>
      </c>
      <c r="S2056" s="89"/>
      <c r="T2056" s="38"/>
      <c r="U2056" s="43"/>
      <c r="V2056" s="42" t="str">
        <f>IF(Table1[[#This Row],[DATE]]=0,"",YEAR(E2056))</f>
        <v/>
      </c>
      <c r="W2056" s="40" t="str">
        <f t="shared" si="64"/>
        <v/>
      </c>
      <c r="X2056" s="40" t="str">
        <f t="shared" si="65"/>
        <v/>
      </c>
      <c r="Y2056" s="40" t="str">
        <f>TEXT(Table1[[#This Row],[YEAR]],"0000")&amp;"-"&amp;Table1[[#This Row],[MONTH]]</f>
        <v>-</v>
      </c>
    </row>
    <row r="2057" spans="1:25" ht="15" customHeight="1" x14ac:dyDescent="0.35">
      <c r="A2057" s="24"/>
      <c r="B2057" s="38"/>
      <c r="C2057" s="38"/>
      <c r="D2057" s="38"/>
      <c r="E2057" s="37"/>
      <c r="F2057" s="38"/>
      <c r="G2057" s="198"/>
      <c r="H2057" s="198"/>
      <c r="I2057" s="39"/>
      <c r="J2057" s="38"/>
      <c r="K2057" s="198"/>
      <c r="L2057" s="38"/>
      <c r="M2057" s="38"/>
      <c r="N2057" s="38"/>
      <c r="O2057" s="38"/>
      <c r="P2057" s="40" t="str" cm="1">
        <f t="array" ref="P2057">IF(N2057="","",IFERROR(_xlfn.XLOOKUP(F2057&amp;"|"&amp;J2057&amp;"|"&amp;O2057,PRICES!$C$2:$C$659&amp;"|"&amp;PRICES!$B$2:$B$659&amp;"|"&amp;PRICES!$D$2:$D$659,PRICES!$E$2:$E$659),"Not Found"))</f>
        <v/>
      </c>
      <c r="Q2057" s="100" t="str">
        <f>IF(N2057=0,"",SUMIFS(PRICES!$G$2:$G$658,PRICES!$B$2:$B$658,'MAIN TABLE-1 AUTOMATED'!J2057,PRICES!$C$2:$C$658,'MAIN TABLE-1 AUTOMATED'!F2057,PRICES!$D$2:$D$658,'MAIN TABLE-1 AUTOMATED'!O2057))</f>
        <v/>
      </c>
      <c r="R2057" s="41" t="str">
        <f>IF(Table1[[#This Row],[QUANTITY]]=0,"",Table1[[#This Row],[UNIT PRICE]]*Table1[[#This Row],[QUANTITY]])</f>
        <v/>
      </c>
      <c r="S2057" s="89"/>
      <c r="T2057" s="38"/>
      <c r="U2057" s="43"/>
      <c r="V2057" s="42" t="str">
        <f>IF(Table1[[#This Row],[DATE]]=0,"",YEAR(E2057))</f>
        <v/>
      </c>
      <c r="W2057" s="40" t="str">
        <f t="shared" si="64"/>
        <v/>
      </c>
      <c r="X2057" s="40" t="str">
        <f t="shared" si="65"/>
        <v/>
      </c>
      <c r="Y2057" s="40" t="str">
        <f>TEXT(Table1[[#This Row],[YEAR]],"0000")&amp;"-"&amp;Table1[[#This Row],[MONTH]]</f>
        <v>-</v>
      </c>
    </row>
    <row r="2058" spans="1:25" ht="15" customHeight="1" x14ac:dyDescent="0.35">
      <c r="A2058" s="24"/>
      <c r="B2058" s="38"/>
      <c r="C2058" s="38"/>
      <c r="D2058" s="38"/>
      <c r="E2058" s="37"/>
      <c r="F2058" s="38"/>
      <c r="G2058" s="198"/>
      <c r="H2058" s="198"/>
      <c r="I2058" s="39"/>
      <c r="J2058" s="38"/>
      <c r="K2058" s="198"/>
      <c r="L2058" s="38"/>
      <c r="M2058" s="38"/>
      <c r="N2058" s="38"/>
      <c r="O2058" s="38"/>
      <c r="P2058" s="40" t="str" cm="1">
        <f t="array" ref="P2058">IF(N2058="","",IFERROR(_xlfn.XLOOKUP(F2058&amp;"|"&amp;J2058&amp;"|"&amp;O2058,PRICES!$C$2:$C$659&amp;"|"&amp;PRICES!$B$2:$B$659&amp;"|"&amp;PRICES!$D$2:$D$659,PRICES!$E$2:$E$659),"Not Found"))</f>
        <v/>
      </c>
      <c r="Q2058" s="100" t="str">
        <f>IF(N2058=0,"",SUMIFS(PRICES!$G$2:$G$658,PRICES!$B$2:$B$658,'MAIN TABLE-1 AUTOMATED'!J2058,PRICES!$C$2:$C$658,'MAIN TABLE-1 AUTOMATED'!F2058,PRICES!$D$2:$D$658,'MAIN TABLE-1 AUTOMATED'!O2058))</f>
        <v/>
      </c>
      <c r="R2058" s="41" t="str">
        <f>IF(Table1[[#This Row],[QUANTITY]]=0,"",Table1[[#This Row],[UNIT PRICE]]*Table1[[#This Row],[QUANTITY]])</f>
        <v/>
      </c>
      <c r="S2058" s="89"/>
      <c r="T2058" s="38"/>
      <c r="U2058" s="43"/>
      <c r="V2058" s="42" t="str">
        <f>IF(Table1[[#This Row],[DATE]]=0,"",YEAR(E2058))</f>
        <v/>
      </c>
      <c r="W2058" s="40" t="str">
        <f t="shared" si="64"/>
        <v/>
      </c>
      <c r="X2058" s="40" t="str">
        <f t="shared" si="65"/>
        <v/>
      </c>
      <c r="Y2058" s="40" t="str">
        <f>TEXT(Table1[[#This Row],[YEAR]],"0000")&amp;"-"&amp;Table1[[#This Row],[MONTH]]</f>
        <v>-</v>
      </c>
    </row>
    <row r="2059" spans="1:25" ht="15" customHeight="1" x14ac:dyDescent="0.35">
      <c r="A2059" s="24"/>
      <c r="B2059" s="38"/>
      <c r="C2059" s="38"/>
      <c r="D2059" s="38"/>
      <c r="E2059" s="37"/>
      <c r="F2059" s="38"/>
      <c r="G2059" s="198"/>
      <c r="H2059" s="198"/>
      <c r="I2059" s="39"/>
      <c r="J2059" s="38"/>
      <c r="K2059" s="198"/>
      <c r="L2059" s="38"/>
      <c r="M2059" s="38"/>
      <c r="N2059" s="38"/>
      <c r="O2059" s="38"/>
      <c r="P2059" s="40" t="str" cm="1">
        <f t="array" ref="P2059">IF(N2059="","",IFERROR(_xlfn.XLOOKUP(F2059&amp;"|"&amp;J2059&amp;"|"&amp;O2059,PRICES!$C$2:$C$659&amp;"|"&amp;PRICES!$B$2:$B$659&amp;"|"&amp;PRICES!$D$2:$D$659,PRICES!$E$2:$E$659),"Not Found"))</f>
        <v/>
      </c>
      <c r="Q2059" s="100" t="str">
        <f>IF(N2059=0,"",SUMIFS(PRICES!$G$2:$G$658,PRICES!$B$2:$B$658,'MAIN TABLE-1 AUTOMATED'!J2059,PRICES!$C$2:$C$658,'MAIN TABLE-1 AUTOMATED'!F2059,PRICES!$D$2:$D$658,'MAIN TABLE-1 AUTOMATED'!O2059))</f>
        <v/>
      </c>
      <c r="R2059" s="41" t="str">
        <f>IF(Table1[[#This Row],[QUANTITY]]=0,"",Table1[[#This Row],[UNIT PRICE]]*Table1[[#This Row],[QUANTITY]])</f>
        <v/>
      </c>
      <c r="S2059" s="89"/>
      <c r="T2059" s="38"/>
      <c r="U2059" s="43"/>
      <c r="V2059" s="42" t="str">
        <f>IF(Table1[[#This Row],[DATE]]=0,"",YEAR(E2059))</f>
        <v/>
      </c>
      <c r="W2059" s="40" t="str">
        <f t="shared" si="64"/>
        <v/>
      </c>
      <c r="X2059" s="40" t="str">
        <f t="shared" si="65"/>
        <v/>
      </c>
      <c r="Y2059" s="40" t="str">
        <f>TEXT(Table1[[#This Row],[YEAR]],"0000")&amp;"-"&amp;Table1[[#This Row],[MONTH]]</f>
        <v>-</v>
      </c>
    </row>
    <row r="2060" spans="1:25" ht="15" customHeight="1" x14ac:dyDescent="0.35">
      <c r="A2060" s="24"/>
      <c r="B2060" s="38"/>
      <c r="C2060" s="38"/>
      <c r="D2060" s="38"/>
      <c r="E2060" s="37"/>
      <c r="F2060" s="38"/>
      <c r="G2060" s="198"/>
      <c r="H2060" s="198"/>
      <c r="I2060" s="39"/>
      <c r="J2060" s="38"/>
      <c r="K2060" s="198"/>
      <c r="L2060" s="38"/>
      <c r="M2060" s="38"/>
      <c r="N2060" s="38"/>
      <c r="O2060" s="38"/>
      <c r="P2060" s="40" t="str" cm="1">
        <f t="array" ref="P2060">IF(N2060="","",IFERROR(_xlfn.XLOOKUP(F2060&amp;"|"&amp;J2060&amp;"|"&amp;O2060,PRICES!$C$2:$C$659&amp;"|"&amp;PRICES!$B$2:$B$659&amp;"|"&amp;PRICES!$D$2:$D$659,PRICES!$E$2:$E$659),"Not Found"))</f>
        <v/>
      </c>
      <c r="Q2060" s="100" t="str">
        <f>IF(N2060=0,"",SUMIFS(PRICES!$G$2:$G$658,PRICES!$B$2:$B$658,'MAIN TABLE-1 AUTOMATED'!J2060,PRICES!$C$2:$C$658,'MAIN TABLE-1 AUTOMATED'!F2060,PRICES!$D$2:$D$658,'MAIN TABLE-1 AUTOMATED'!O2060))</f>
        <v/>
      </c>
      <c r="R2060" s="41" t="str">
        <f>IF(Table1[[#This Row],[QUANTITY]]=0,"",Table1[[#This Row],[UNIT PRICE]]*Table1[[#This Row],[QUANTITY]])</f>
        <v/>
      </c>
      <c r="S2060" s="89"/>
      <c r="T2060" s="38"/>
      <c r="U2060" s="43"/>
      <c r="V2060" s="42" t="str">
        <f>IF(Table1[[#This Row],[DATE]]=0,"",YEAR(E2060))</f>
        <v/>
      </c>
      <c r="W2060" s="40" t="str">
        <f t="shared" si="64"/>
        <v/>
      </c>
      <c r="X2060" s="40" t="str">
        <f t="shared" si="65"/>
        <v/>
      </c>
      <c r="Y2060" s="40" t="str">
        <f>TEXT(Table1[[#This Row],[YEAR]],"0000")&amp;"-"&amp;Table1[[#This Row],[MONTH]]</f>
        <v>-</v>
      </c>
    </row>
    <row r="2061" spans="1:25" ht="15" customHeight="1" x14ac:dyDescent="0.35">
      <c r="A2061" s="24"/>
      <c r="B2061" s="38"/>
      <c r="C2061" s="38"/>
      <c r="D2061" s="38"/>
      <c r="E2061" s="37"/>
      <c r="F2061" s="38"/>
      <c r="G2061" s="198"/>
      <c r="H2061" s="198"/>
      <c r="I2061" s="39"/>
      <c r="J2061" s="38"/>
      <c r="K2061" s="198"/>
      <c r="L2061" s="38"/>
      <c r="M2061" s="38"/>
      <c r="N2061" s="38"/>
      <c r="O2061" s="38"/>
      <c r="P2061" s="40" t="str" cm="1">
        <f t="array" ref="P2061">IF(N2061="","",IFERROR(_xlfn.XLOOKUP(F2061&amp;"|"&amp;J2061&amp;"|"&amp;O2061,PRICES!$C$2:$C$659&amp;"|"&amp;PRICES!$B$2:$B$659&amp;"|"&amp;PRICES!$D$2:$D$659,PRICES!$E$2:$E$659),"Not Found"))</f>
        <v/>
      </c>
      <c r="Q2061" s="100" t="str">
        <f>IF(N2061=0,"",SUMIFS(PRICES!$G$2:$G$658,PRICES!$B$2:$B$658,'MAIN TABLE-1 AUTOMATED'!J2061,PRICES!$C$2:$C$658,'MAIN TABLE-1 AUTOMATED'!F2061,PRICES!$D$2:$D$658,'MAIN TABLE-1 AUTOMATED'!O2061))</f>
        <v/>
      </c>
      <c r="R2061" s="41" t="str">
        <f>IF(Table1[[#This Row],[QUANTITY]]=0,"",Table1[[#This Row],[UNIT PRICE]]*Table1[[#This Row],[QUANTITY]])</f>
        <v/>
      </c>
      <c r="S2061" s="89"/>
      <c r="T2061" s="38"/>
      <c r="U2061" s="43"/>
      <c r="V2061" s="42" t="str">
        <f>IF(Table1[[#This Row],[DATE]]=0,"",YEAR(E2061))</f>
        <v/>
      </c>
      <c r="W2061" s="40" t="str">
        <f t="shared" si="64"/>
        <v/>
      </c>
      <c r="X2061" s="40" t="str">
        <f t="shared" si="65"/>
        <v/>
      </c>
      <c r="Y2061" s="40" t="str">
        <f>TEXT(Table1[[#This Row],[YEAR]],"0000")&amp;"-"&amp;Table1[[#This Row],[MONTH]]</f>
        <v>-</v>
      </c>
    </row>
    <row r="2062" spans="1:25" ht="15" customHeight="1" x14ac:dyDescent="0.35">
      <c r="A2062" s="24"/>
      <c r="B2062" s="38"/>
      <c r="C2062" s="38"/>
      <c r="D2062" s="38"/>
      <c r="E2062" s="37"/>
      <c r="F2062" s="38"/>
      <c r="G2062" s="198"/>
      <c r="H2062" s="198"/>
      <c r="I2062" s="39"/>
      <c r="J2062" s="38"/>
      <c r="K2062" s="198"/>
      <c r="L2062" s="38"/>
      <c r="M2062" s="38"/>
      <c r="N2062" s="38"/>
      <c r="O2062" s="38"/>
      <c r="P2062" s="40" t="str" cm="1">
        <f t="array" ref="P2062">IF(N2062="","",IFERROR(_xlfn.XLOOKUP(F2062&amp;"|"&amp;J2062&amp;"|"&amp;O2062,PRICES!$C$2:$C$659&amp;"|"&amp;PRICES!$B$2:$B$659&amp;"|"&amp;PRICES!$D$2:$D$659,PRICES!$E$2:$E$659),"Not Found"))</f>
        <v/>
      </c>
      <c r="Q2062" s="100" t="str">
        <f>IF(N2062=0,"",SUMIFS(PRICES!$G$2:$G$658,PRICES!$B$2:$B$658,'MAIN TABLE-1 AUTOMATED'!J2062,PRICES!$C$2:$C$658,'MAIN TABLE-1 AUTOMATED'!F2062,PRICES!$D$2:$D$658,'MAIN TABLE-1 AUTOMATED'!O2062))</f>
        <v/>
      </c>
      <c r="R2062" s="41" t="str">
        <f>IF(Table1[[#This Row],[QUANTITY]]=0,"",Table1[[#This Row],[UNIT PRICE]]*Table1[[#This Row],[QUANTITY]])</f>
        <v/>
      </c>
      <c r="S2062" s="89"/>
      <c r="T2062" s="38"/>
      <c r="U2062" s="43"/>
      <c r="V2062" s="42" t="str">
        <f>IF(Table1[[#This Row],[DATE]]=0,"",YEAR(E2062))</f>
        <v/>
      </c>
      <c r="W2062" s="40" t="str">
        <f t="shared" si="64"/>
        <v/>
      </c>
      <c r="X2062" s="40" t="str">
        <f t="shared" si="65"/>
        <v/>
      </c>
      <c r="Y2062" s="40" t="str">
        <f>TEXT(Table1[[#This Row],[YEAR]],"0000")&amp;"-"&amp;Table1[[#This Row],[MONTH]]</f>
        <v>-</v>
      </c>
    </row>
    <row r="2063" spans="1:25" ht="15" customHeight="1" x14ac:dyDescent="0.35">
      <c r="A2063" s="24"/>
      <c r="B2063" s="38"/>
      <c r="C2063" s="38"/>
      <c r="D2063" s="38"/>
      <c r="E2063" s="37"/>
      <c r="F2063" s="38"/>
      <c r="G2063" s="198"/>
      <c r="H2063" s="198"/>
      <c r="I2063" s="39"/>
      <c r="J2063" s="38"/>
      <c r="K2063" s="198"/>
      <c r="L2063" s="38"/>
      <c r="M2063" s="38"/>
      <c r="N2063" s="38"/>
      <c r="O2063" s="38"/>
      <c r="P2063" s="40" t="str" cm="1">
        <f t="array" ref="P2063">IF(N2063="","",IFERROR(_xlfn.XLOOKUP(F2063&amp;"|"&amp;J2063&amp;"|"&amp;O2063,PRICES!$C$2:$C$659&amp;"|"&amp;PRICES!$B$2:$B$659&amp;"|"&amp;PRICES!$D$2:$D$659,PRICES!$E$2:$E$659),"Not Found"))</f>
        <v/>
      </c>
      <c r="Q2063" s="100" t="str">
        <f>IF(N2063=0,"",SUMIFS(PRICES!$G$2:$G$658,PRICES!$B$2:$B$658,'MAIN TABLE-1 AUTOMATED'!J2063,PRICES!$C$2:$C$658,'MAIN TABLE-1 AUTOMATED'!F2063,PRICES!$D$2:$D$658,'MAIN TABLE-1 AUTOMATED'!O2063))</f>
        <v/>
      </c>
      <c r="R2063" s="41" t="str">
        <f>IF(Table1[[#This Row],[QUANTITY]]=0,"",Table1[[#This Row],[UNIT PRICE]]*Table1[[#This Row],[QUANTITY]])</f>
        <v/>
      </c>
      <c r="S2063" s="89"/>
      <c r="T2063" s="38"/>
      <c r="U2063" s="43"/>
      <c r="V2063" s="42" t="str">
        <f>IF(Table1[[#This Row],[DATE]]=0,"",YEAR(E2063))</f>
        <v/>
      </c>
      <c r="W2063" s="40" t="str">
        <f t="shared" si="64"/>
        <v/>
      </c>
      <c r="X2063" s="40" t="str">
        <f t="shared" si="65"/>
        <v/>
      </c>
      <c r="Y2063" s="40" t="str">
        <f>TEXT(Table1[[#This Row],[YEAR]],"0000")&amp;"-"&amp;Table1[[#This Row],[MONTH]]</f>
        <v>-</v>
      </c>
    </row>
    <row r="2064" spans="1:25" ht="15" customHeight="1" x14ac:dyDescent="0.35">
      <c r="A2064" s="24"/>
      <c r="B2064" s="43"/>
      <c r="C2064" s="43"/>
      <c r="D2064" s="43"/>
      <c r="E2064" s="37"/>
      <c r="F2064" s="43"/>
      <c r="G2064" s="198"/>
      <c r="H2064" s="198"/>
      <c r="I2064" s="39"/>
      <c r="J2064" s="38"/>
      <c r="K2064" s="198"/>
      <c r="L2064" s="38"/>
      <c r="M2064" s="38"/>
      <c r="N2064" s="38"/>
      <c r="O2064" s="38"/>
      <c r="P2064" s="40" t="str" cm="1">
        <f t="array" ref="P2064">IF(N2064="","",IFERROR(_xlfn.XLOOKUP(F2064&amp;"|"&amp;J2064&amp;"|"&amp;O2064,PRICES!$C$2:$C$659&amp;"|"&amp;PRICES!$B$2:$B$659&amp;"|"&amp;PRICES!$D$2:$D$659,PRICES!$E$2:$E$659),"Not Found"))</f>
        <v/>
      </c>
      <c r="Q2064" s="100" t="str">
        <f>IF(N2064=0,"",SUMIFS(PRICES!$G$2:$G$658,PRICES!$B$2:$B$658,'MAIN TABLE-1 AUTOMATED'!J2064,PRICES!$C$2:$C$658,'MAIN TABLE-1 AUTOMATED'!F2064,PRICES!$D$2:$D$658,'MAIN TABLE-1 AUTOMATED'!O2064))</f>
        <v/>
      </c>
      <c r="R2064" s="41" t="str">
        <f>IF(Table1[[#This Row],[QUANTITY]]=0,"",Table1[[#This Row],[UNIT PRICE]]*Table1[[#This Row],[QUANTITY]])</f>
        <v/>
      </c>
      <c r="S2064" s="89"/>
      <c r="T2064" s="38"/>
      <c r="U2064" s="43"/>
      <c r="V2064" s="42" t="str">
        <f>IF(Table1[[#This Row],[DATE]]=0,"",YEAR(E2064))</f>
        <v/>
      </c>
      <c r="W2064" s="40" t="str">
        <f t="shared" si="64"/>
        <v/>
      </c>
      <c r="X2064" s="40" t="str">
        <f t="shared" si="65"/>
        <v/>
      </c>
      <c r="Y2064" s="40" t="str">
        <f>TEXT(Table1[[#This Row],[YEAR]],"0000")&amp;"-"&amp;Table1[[#This Row],[MONTH]]</f>
        <v>-</v>
      </c>
    </row>
    <row r="2065" spans="1:25" ht="15" customHeight="1" x14ac:dyDescent="0.35">
      <c r="A2065" s="24"/>
      <c r="B2065" s="38"/>
      <c r="C2065" s="38"/>
      <c r="D2065" s="38"/>
      <c r="E2065" s="37"/>
      <c r="F2065" s="38"/>
      <c r="G2065" s="198"/>
      <c r="H2065" s="198"/>
      <c r="I2065" s="39"/>
      <c r="J2065" s="38"/>
      <c r="K2065" s="198"/>
      <c r="L2065" s="38"/>
      <c r="M2065" s="38"/>
      <c r="N2065" s="38"/>
      <c r="O2065" s="38"/>
      <c r="P2065" s="40" t="str" cm="1">
        <f t="array" ref="P2065">IF(N2065="","",IFERROR(_xlfn.XLOOKUP(F2065&amp;"|"&amp;J2065&amp;"|"&amp;O2065,PRICES!$C$2:$C$659&amp;"|"&amp;PRICES!$B$2:$B$659&amp;"|"&amp;PRICES!$D$2:$D$659,PRICES!$E$2:$E$659),"Not Found"))</f>
        <v/>
      </c>
      <c r="Q2065" s="100" t="str">
        <f>IF(N2065=0,"",SUMIFS(PRICES!$G$2:$G$658,PRICES!$B$2:$B$658,'MAIN TABLE-1 AUTOMATED'!J2065,PRICES!$C$2:$C$658,'MAIN TABLE-1 AUTOMATED'!F2065,PRICES!$D$2:$D$658,'MAIN TABLE-1 AUTOMATED'!O2065))</f>
        <v/>
      </c>
      <c r="R2065" s="41" t="str">
        <f>IF(Table1[[#This Row],[QUANTITY]]=0,"",Table1[[#This Row],[UNIT PRICE]]*Table1[[#This Row],[QUANTITY]])</f>
        <v/>
      </c>
      <c r="S2065" s="89"/>
      <c r="T2065" s="38"/>
      <c r="U2065" s="43"/>
      <c r="V2065" s="42" t="str">
        <f>IF(Table1[[#This Row],[DATE]]=0,"",YEAR(E2065))</f>
        <v/>
      </c>
      <c r="W2065" s="40" t="str">
        <f t="shared" si="64"/>
        <v/>
      </c>
      <c r="X2065" s="40" t="str">
        <f t="shared" si="65"/>
        <v/>
      </c>
      <c r="Y2065" s="40" t="str">
        <f>TEXT(Table1[[#This Row],[YEAR]],"0000")&amp;"-"&amp;Table1[[#This Row],[MONTH]]</f>
        <v>-</v>
      </c>
    </row>
    <row r="2066" spans="1:25" ht="15" customHeight="1" x14ac:dyDescent="0.35">
      <c r="A2066" s="24"/>
      <c r="B2066" s="38"/>
      <c r="C2066" s="38"/>
      <c r="D2066" s="38"/>
      <c r="E2066" s="37"/>
      <c r="F2066" s="38"/>
      <c r="G2066" s="198"/>
      <c r="H2066" s="198"/>
      <c r="I2066" s="39"/>
      <c r="J2066" s="38"/>
      <c r="K2066" s="198"/>
      <c r="L2066" s="38"/>
      <c r="M2066" s="38"/>
      <c r="N2066" s="38"/>
      <c r="O2066" s="38"/>
      <c r="P2066" s="40" t="str" cm="1">
        <f t="array" ref="P2066">IF(N2066="","",IFERROR(_xlfn.XLOOKUP(F2066&amp;"|"&amp;J2066&amp;"|"&amp;O2066,PRICES!$C$2:$C$659&amp;"|"&amp;PRICES!$B$2:$B$659&amp;"|"&amp;PRICES!$D$2:$D$659,PRICES!$E$2:$E$659),"Not Found"))</f>
        <v/>
      </c>
      <c r="Q2066" s="100" t="str">
        <f>IF(N2066=0,"",SUMIFS(PRICES!$G$2:$G$658,PRICES!$B$2:$B$658,'MAIN TABLE-1 AUTOMATED'!J2066,PRICES!$C$2:$C$658,'MAIN TABLE-1 AUTOMATED'!F2066,PRICES!$D$2:$D$658,'MAIN TABLE-1 AUTOMATED'!O2066))</f>
        <v/>
      </c>
      <c r="R2066" s="41" t="str">
        <f>IF(Table1[[#This Row],[QUANTITY]]=0,"",Table1[[#This Row],[UNIT PRICE]]*Table1[[#This Row],[QUANTITY]])</f>
        <v/>
      </c>
      <c r="S2066" s="89"/>
      <c r="T2066" s="38"/>
      <c r="U2066" s="43"/>
      <c r="V2066" s="42" t="str">
        <f>IF(Table1[[#This Row],[DATE]]=0,"",YEAR(E2066))</f>
        <v/>
      </c>
      <c r="W2066" s="40" t="str">
        <f t="shared" si="64"/>
        <v/>
      </c>
      <c r="X2066" s="40" t="str">
        <f t="shared" si="65"/>
        <v/>
      </c>
      <c r="Y2066" s="40" t="str">
        <f>TEXT(Table1[[#This Row],[YEAR]],"0000")&amp;"-"&amp;Table1[[#This Row],[MONTH]]</f>
        <v>-</v>
      </c>
    </row>
    <row r="2067" spans="1:25" ht="15" customHeight="1" x14ac:dyDescent="0.35">
      <c r="A2067" s="24"/>
      <c r="B2067" s="38"/>
      <c r="C2067" s="38"/>
      <c r="D2067" s="38"/>
      <c r="E2067" s="37"/>
      <c r="F2067" s="38"/>
      <c r="G2067" s="198"/>
      <c r="H2067" s="198"/>
      <c r="I2067" s="39"/>
      <c r="J2067" s="38"/>
      <c r="K2067" s="198"/>
      <c r="L2067" s="38"/>
      <c r="M2067" s="38"/>
      <c r="N2067" s="38"/>
      <c r="O2067" s="38"/>
      <c r="P2067" s="40" t="str" cm="1">
        <f t="array" ref="P2067">IF(N2067="","",IFERROR(_xlfn.XLOOKUP(F2067&amp;"|"&amp;J2067&amp;"|"&amp;O2067,PRICES!$C$2:$C$659&amp;"|"&amp;PRICES!$B$2:$B$659&amp;"|"&amp;PRICES!$D$2:$D$659,PRICES!$E$2:$E$659),"Not Found"))</f>
        <v/>
      </c>
      <c r="Q2067" s="100" t="str">
        <f>IF(N2067=0,"",SUMIFS(PRICES!$G$2:$G$658,PRICES!$B$2:$B$658,'MAIN TABLE-1 AUTOMATED'!J2067,PRICES!$C$2:$C$658,'MAIN TABLE-1 AUTOMATED'!F2067,PRICES!$D$2:$D$658,'MAIN TABLE-1 AUTOMATED'!O2067))</f>
        <v/>
      </c>
      <c r="R2067" s="41" t="str">
        <f>IF(Table1[[#This Row],[QUANTITY]]=0,"",Table1[[#This Row],[UNIT PRICE]]*Table1[[#This Row],[QUANTITY]])</f>
        <v/>
      </c>
      <c r="S2067" s="89"/>
      <c r="T2067" s="38"/>
      <c r="U2067" s="43"/>
      <c r="V2067" s="42" t="str">
        <f>IF(Table1[[#This Row],[DATE]]=0,"",YEAR(E2067))</f>
        <v/>
      </c>
      <c r="W2067" s="40" t="str">
        <f t="shared" si="64"/>
        <v/>
      </c>
      <c r="X2067" s="40" t="str">
        <f t="shared" si="65"/>
        <v/>
      </c>
      <c r="Y2067" s="40" t="str">
        <f>TEXT(Table1[[#This Row],[YEAR]],"0000")&amp;"-"&amp;Table1[[#This Row],[MONTH]]</f>
        <v>-</v>
      </c>
    </row>
    <row r="2068" spans="1:25" ht="15" customHeight="1" x14ac:dyDescent="0.35">
      <c r="A2068" s="24"/>
      <c r="B2068" s="38"/>
      <c r="C2068" s="38"/>
      <c r="D2068" s="38"/>
      <c r="E2068" s="37"/>
      <c r="F2068" s="38"/>
      <c r="G2068" s="198"/>
      <c r="H2068" s="198"/>
      <c r="I2068" s="39"/>
      <c r="J2068" s="38"/>
      <c r="K2068" s="198"/>
      <c r="L2068" s="38"/>
      <c r="M2068" s="38"/>
      <c r="N2068" s="38"/>
      <c r="O2068" s="38"/>
      <c r="P2068" s="40" t="str" cm="1">
        <f t="array" ref="P2068">IF(N2068="","",IFERROR(_xlfn.XLOOKUP(F2068&amp;"|"&amp;J2068&amp;"|"&amp;O2068,PRICES!$C$2:$C$659&amp;"|"&amp;PRICES!$B$2:$B$659&amp;"|"&amp;PRICES!$D$2:$D$659,PRICES!$E$2:$E$659),"Not Found"))</f>
        <v/>
      </c>
      <c r="Q2068" s="100" t="str">
        <f>IF(N2068=0,"",SUMIFS(PRICES!$G$2:$G$658,PRICES!$B$2:$B$658,'MAIN TABLE-1 AUTOMATED'!J2068,PRICES!$C$2:$C$658,'MAIN TABLE-1 AUTOMATED'!F2068,PRICES!$D$2:$D$658,'MAIN TABLE-1 AUTOMATED'!O2068))</f>
        <v/>
      </c>
      <c r="R2068" s="41" t="str">
        <f>IF(Table1[[#This Row],[QUANTITY]]=0,"",Table1[[#This Row],[UNIT PRICE]]*Table1[[#This Row],[QUANTITY]])</f>
        <v/>
      </c>
      <c r="S2068" s="89"/>
      <c r="T2068" s="38"/>
      <c r="U2068" s="43"/>
      <c r="V2068" s="42" t="str">
        <f>IF(Table1[[#This Row],[DATE]]=0,"",YEAR(E2068))</f>
        <v/>
      </c>
      <c r="W2068" s="40" t="str">
        <f t="shared" si="64"/>
        <v/>
      </c>
      <c r="X2068" s="40" t="str">
        <f t="shared" si="65"/>
        <v/>
      </c>
      <c r="Y2068" s="40" t="str">
        <f>TEXT(Table1[[#This Row],[YEAR]],"0000")&amp;"-"&amp;Table1[[#This Row],[MONTH]]</f>
        <v>-</v>
      </c>
    </row>
    <row r="2069" spans="1:25" ht="15" customHeight="1" x14ac:dyDescent="0.35">
      <c r="A2069" s="24"/>
      <c r="B2069" s="38"/>
      <c r="C2069" s="38"/>
      <c r="D2069" s="38"/>
      <c r="E2069" s="37"/>
      <c r="F2069" s="38"/>
      <c r="G2069" s="198"/>
      <c r="H2069" s="198"/>
      <c r="I2069" s="39"/>
      <c r="J2069" s="38"/>
      <c r="K2069" s="198"/>
      <c r="L2069" s="38"/>
      <c r="M2069" s="38"/>
      <c r="N2069" s="38"/>
      <c r="O2069" s="38"/>
      <c r="P2069" s="40" t="str" cm="1">
        <f t="array" ref="P2069">IF(N2069="","",IFERROR(_xlfn.XLOOKUP(F2069&amp;"|"&amp;J2069&amp;"|"&amp;O2069,PRICES!$C$2:$C$659&amp;"|"&amp;PRICES!$B$2:$B$659&amp;"|"&amp;PRICES!$D$2:$D$659,PRICES!$E$2:$E$659),"Not Found"))</f>
        <v/>
      </c>
      <c r="Q2069" s="100" t="str">
        <f>IF(N2069=0,"",SUMIFS(PRICES!$G$2:$G$658,PRICES!$B$2:$B$658,'MAIN TABLE-1 AUTOMATED'!J2069,PRICES!$C$2:$C$658,'MAIN TABLE-1 AUTOMATED'!F2069,PRICES!$D$2:$D$658,'MAIN TABLE-1 AUTOMATED'!O2069))</f>
        <v/>
      </c>
      <c r="R2069" s="41" t="str">
        <f>IF(Table1[[#This Row],[QUANTITY]]=0,"",Table1[[#This Row],[UNIT PRICE]]*Table1[[#This Row],[QUANTITY]])</f>
        <v/>
      </c>
      <c r="S2069" s="89"/>
      <c r="T2069" s="38"/>
      <c r="U2069" s="43"/>
      <c r="V2069" s="42" t="str">
        <f>IF(Table1[[#This Row],[DATE]]=0,"",YEAR(E2069))</f>
        <v/>
      </c>
      <c r="W2069" s="40" t="str">
        <f t="shared" si="64"/>
        <v/>
      </c>
      <c r="X2069" s="40" t="str">
        <f t="shared" si="65"/>
        <v/>
      </c>
      <c r="Y2069" s="40" t="str">
        <f>TEXT(Table1[[#This Row],[YEAR]],"0000")&amp;"-"&amp;Table1[[#This Row],[MONTH]]</f>
        <v>-</v>
      </c>
    </row>
    <row r="2070" spans="1:25" ht="15" customHeight="1" x14ac:dyDescent="0.35">
      <c r="A2070" s="24"/>
      <c r="B2070" s="38"/>
      <c r="C2070" s="38"/>
      <c r="D2070" s="38"/>
      <c r="E2070" s="37"/>
      <c r="F2070" s="38"/>
      <c r="G2070" s="198"/>
      <c r="H2070" s="198"/>
      <c r="I2070" s="39"/>
      <c r="J2070" s="38"/>
      <c r="K2070" s="198"/>
      <c r="L2070" s="38"/>
      <c r="M2070" s="38"/>
      <c r="N2070" s="38"/>
      <c r="O2070" s="38"/>
      <c r="P2070" s="40" t="str" cm="1">
        <f t="array" ref="P2070">IF(N2070="","",IFERROR(_xlfn.XLOOKUP(F2070&amp;"|"&amp;J2070&amp;"|"&amp;O2070,PRICES!$C$2:$C$659&amp;"|"&amp;PRICES!$B$2:$B$659&amp;"|"&amp;PRICES!$D$2:$D$659,PRICES!$E$2:$E$659),"Not Found"))</f>
        <v/>
      </c>
      <c r="Q2070" s="100" t="str">
        <f>IF(N2070=0,"",SUMIFS(PRICES!$G$2:$G$658,PRICES!$B$2:$B$658,'MAIN TABLE-1 AUTOMATED'!J2070,PRICES!$C$2:$C$658,'MAIN TABLE-1 AUTOMATED'!F2070,PRICES!$D$2:$D$658,'MAIN TABLE-1 AUTOMATED'!O2070))</f>
        <v/>
      </c>
      <c r="R2070" s="41" t="str">
        <f>IF(Table1[[#This Row],[QUANTITY]]=0,"",Table1[[#This Row],[UNIT PRICE]]*Table1[[#This Row],[QUANTITY]])</f>
        <v/>
      </c>
      <c r="S2070" s="89"/>
      <c r="T2070" s="38"/>
      <c r="U2070" s="43"/>
      <c r="V2070" s="42" t="str">
        <f>IF(Table1[[#This Row],[DATE]]=0,"",YEAR(E2070))</f>
        <v/>
      </c>
      <c r="W2070" s="40" t="str">
        <f t="shared" si="64"/>
        <v/>
      </c>
      <c r="X2070" s="40" t="str">
        <f t="shared" si="65"/>
        <v/>
      </c>
      <c r="Y2070" s="40" t="str">
        <f>TEXT(Table1[[#This Row],[YEAR]],"0000")&amp;"-"&amp;Table1[[#This Row],[MONTH]]</f>
        <v>-</v>
      </c>
    </row>
    <row r="2071" spans="1:25" ht="15" customHeight="1" x14ac:dyDescent="0.35">
      <c r="A2071" s="24"/>
      <c r="B2071" s="38"/>
      <c r="C2071" s="38"/>
      <c r="D2071" s="38"/>
      <c r="E2071" s="37"/>
      <c r="F2071" s="38"/>
      <c r="G2071" s="198"/>
      <c r="H2071" s="198"/>
      <c r="I2071" s="39"/>
      <c r="J2071" s="38"/>
      <c r="K2071" s="198"/>
      <c r="L2071" s="38"/>
      <c r="M2071" s="38"/>
      <c r="N2071" s="38"/>
      <c r="O2071" s="38"/>
      <c r="P2071" s="40" t="str" cm="1">
        <f t="array" ref="P2071">IF(N2071="","",IFERROR(_xlfn.XLOOKUP(F2071&amp;"|"&amp;J2071&amp;"|"&amp;O2071,PRICES!$C$2:$C$659&amp;"|"&amp;PRICES!$B$2:$B$659&amp;"|"&amp;PRICES!$D$2:$D$659,PRICES!$E$2:$E$659),"Not Found"))</f>
        <v/>
      </c>
      <c r="Q2071" s="100" t="str">
        <f>IF(N2071=0,"",SUMIFS(PRICES!$G$2:$G$658,PRICES!$B$2:$B$658,'MAIN TABLE-1 AUTOMATED'!J2071,PRICES!$C$2:$C$658,'MAIN TABLE-1 AUTOMATED'!F2071,PRICES!$D$2:$D$658,'MAIN TABLE-1 AUTOMATED'!O2071))</f>
        <v/>
      </c>
      <c r="R2071" s="41" t="str">
        <f>IF(Table1[[#This Row],[QUANTITY]]=0,"",Table1[[#This Row],[UNIT PRICE]]*Table1[[#This Row],[QUANTITY]])</f>
        <v/>
      </c>
      <c r="S2071" s="89"/>
      <c r="T2071" s="38"/>
      <c r="U2071" s="43"/>
      <c r="V2071" s="42" t="str">
        <f>IF(Table1[[#This Row],[DATE]]=0,"",YEAR(E2071))</f>
        <v/>
      </c>
      <c r="W2071" s="40" t="str">
        <f t="shared" si="64"/>
        <v/>
      </c>
      <c r="X2071" s="40" t="str">
        <f t="shared" si="65"/>
        <v/>
      </c>
      <c r="Y2071" s="40" t="str">
        <f>TEXT(Table1[[#This Row],[YEAR]],"0000")&amp;"-"&amp;Table1[[#This Row],[MONTH]]</f>
        <v>-</v>
      </c>
    </row>
    <row r="2072" spans="1:25" ht="15" customHeight="1" x14ac:dyDescent="0.35">
      <c r="A2072" s="24"/>
      <c r="B2072" s="38"/>
      <c r="C2072" s="38"/>
      <c r="D2072" s="38"/>
      <c r="E2072" s="37"/>
      <c r="F2072" s="38"/>
      <c r="G2072" s="198"/>
      <c r="H2072" s="198"/>
      <c r="I2072" s="39"/>
      <c r="J2072" s="38"/>
      <c r="K2072" s="198"/>
      <c r="L2072" s="38"/>
      <c r="M2072" s="38"/>
      <c r="N2072" s="38"/>
      <c r="O2072" s="38"/>
      <c r="P2072" s="40" t="str" cm="1">
        <f t="array" ref="P2072">IF(N2072="","",IFERROR(_xlfn.XLOOKUP(F2072&amp;"|"&amp;J2072&amp;"|"&amp;O2072,PRICES!$C$2:$C$659&amp;"|"&amp;PRICES!$B$2:$B$659&amp;"|"&amp;PRICES!$D$2:$D$659,PRICES!$E$2:$E$659),"Not Found"))</f>
        <v/>
      </c>
      <c r="Q2072" s="100" t="str">
        <f>IF(N2072=0,"",SUMIFS(PRICES!$G$2:$G$658,PRICES!$B$2:$B$658,'MAIN TABLE-1 AUTOMATED'!J2072,PRICES!$C$2:$C$658,'MAIN TABLE-1 AUTOMATED'!F2072,PRICES!$D$2:$D$658,'MAIN TABLE-1 AUTOMATED'!O2072))</f>
        <v/>
      </c>
      <c r="R2072" s="41" t="str">
        <f>IF(Table1[[#This Row],[QUANTITY]]=0,"",Table1[[#This Row],[UNIT PRICE]]*Table1[[#This Row],[QUANTITY]])</f>
        <v/>
      </c>
      <c r="S2072" s="89"/>
      <c r="T2072" s="38"/>
      <c r="U2072" s="43"/>
      <c r="V2072" s="42" t="str">
        <f>IF(Table1[[#This Row],[DATE]]=0,"",YEAR(E2072))</f>
        <v/>
      </c>
      <c r="W2072" s="40" t="str">
        <f t="shared" si="64"/>
        <v/>
      </c>
      <c r="X2072" s="40" t="str">
        <f t="shared" si="65"/>
        <v/>
      </c>
      <c r="Y2072" s="40" t="str">
        <f>TEXT(Table1[[#This Row],[YEAR]],"0000")&amp;"-"&amp;Table1[[#This Row],[MONTH]]</f>
        <v>-</v>
      </c>
    </row>
    <row r="2073" spans="1:25" ht="15" customHeight="1" x14ac:dyDescent="0.35">
      <c r="A2073" s="24"/>
      <c r="B2073" s="38"/>
      <c r="C2073" s="38"/>
      <c r="D2073" s="38"/>
      <c r="E2073" s="37"/>
      <c r="F2073" s="38"/>
      <c r="G2073" s="232"/>
      <c r="H2073" s="232"/>
      <c r="I2073" s="39"/>
      <c r="J2073" s="38"/>
      <c r="K2073" s="198"/>
      <c r="L2073" s="38"/>
      <c r="M2073" s="38"/>
      <c r="N2073" s="38"/>
      <c r="O2073" s="38"/>
      <c r="P2073" s="40" t="str" cm="1">
        <f t="array" ref="P2073">IF(N2073="","",IFERROR(_xlfn.XLOOKUP(F2073&amp;"|"&amp;J2073&amp;"|"&amp;O2073,PRICES!$C$2:$C$659&amp;"|"&amp;PRICES!$B$2:$B$659&amp;"|"&amp;PRICES!$D$2:$D$659,PRICES!$E$2:$E$659),"Not Found"))</f>
        <v/>
      </c>
      <c r="Q2073" s="100" t="str">
        <f>IF(N2073=0,"",SUMIFS(PRICES!$G$2:$G$658,PRICES!$B$2:$B$658,'MAIN TABLE-1 AUTOMATED'!J2073,PRICES!$C$2:$C$658,'MAIN TABLE-1 AUTOMATED'!F2073,PRICES!$D$2:$D$658,'MAIN TABLE-1 AUTOMATED'!O2073))</f>
        <v/>
      </c>
      <c r="R2073" s="41" t="str">
        <f>IF(Table1[[#This Row],[QUANTITY]]=0,"",Table1[[#This Row],[UNIT PRICE]]*Table1[[#This Row],[QUANTITY]])</f>
        <v/>
      </c>
      <c r="S2073" s="89"/>
      <c r="T2073" s="38"/>
      <c r="U2073" s="43"/>
      <c r="V2073" s="42" t="str">
        <f>IF(Table1[[#This Row],[DATE]]=0,"",YEAR(E2073))</f>
        <v/>
      </c>
      <c r="W2073" s="40" t="str">
        <f t="shared" si="64"/>
        <v/>
      </c>
      <c r="X2073" s="40" t="str">
        <f t="shared" si="65"/>
        <v/>
      </c>
      <c r="Y2073" s="40" t="str">
        <f>TEXT(Table1[[#This Row],[YEAR]],"0000")&amp;"-"&amp;Table1[[#This Row],[MONTH]]</f>
        <v>-</v>
      </c>
    </row>
    <row r="2074" spans="1:25" ht="15" customHeight="1" x14ac:dyDescent="0.35">
      <c r="A2074" s="24"/>
      <c r="B2074" s="38"/>
      <c r="C2074" s="38"/>
      <c r="D2074" s="38"/>
      <c r="E2074" s="37"/>
      <c r="F2074" s="38"/>
      <c r="G2074" s="198"/>
      <c r="H2074" s="198"/>
      <c r="I2074" s="39"/>
      <c r="J2074" s="38"/>
      <c r="K2074" s="198"/>
      <c r="L2074" s="38"/>
      <c r="M2074" s="38"/>
      <c r="N2074" s="38"/>
      <c r="O2074" s="38"/>
      <c r="P2074" s="40" t="str" cm="1">
        <f t="array" ref="P2074">IF(N2074="","",IFERROR(_xlfn.XLOOKUP(F2074&amp;"|"&amp;J2074&amp;"|"&amp;O2074,PRICES!$C$2:$C$659&amp;"|"&amp;PRICES!$B$2:$B$659&amp;"|"&amp;PRICES!$D$2:$D$659,PRICES!$E$2:$E$659),"Not Found"))</f>
        <v/>
      </c>
      <c r="Q2074" s="100" t="str">
        <f>IF(N2074=0,"",SUMIFS(PRICES!$G$2:$G$658,PRICES!$B$2:$B$658,'MAIN TABLE-1 AUTOMATED'!J2074,PRICES!$C$2:$C$658,'MAIN TABLE-1 AUTOMATED'!F2074,PRICES!$D$2:$D$658,'MAIN TABLE-1 AUTOMATED'!O2074))</f>
        <v/>
      </c>
      <c r="R2074" s="41" t="str">
        <f>IF(Table1[[#This Row],[QUANTITY]]=0,"",Table1[[#This Row],[UNIT PRICE]]*Table1[[#This Row],[QUANTITY]])</f>
        <v/>
      </c>
      <c r="S2074" s="89"/>
      <c r="T2074" s="38"/>
      <c r="U2074" s="43"/>
      <c r="V2074" s="42" t="str">
        <f>IF(Table1[[#This Row],[DATE]]=0,"",YEAR(E2074))</f>
        <v/>
      </c>
      <c r="W2074" s="40" t="str">
        <f t="shared" si="64"/>
        <v/>
      </c>
      <c r="X2074" s="40" t="str">
        <f t="shared" si="65"/>
        <v/>
      </c>
      <c r="Y2074" s="40" t="str">
        <f>TEXT(Table1[[#This Row],[YEAR]],"0000")&amp;"-"&amp;Table1[[#This Row],[MONTH]]</f>
        <v>-</v>
      </c>
    </row>
    <row r="2075" spans="1:25" ht="15" customHeight="1" x14ac:dyDescent="0.35">
      <c r="A2075" s="24"/>
      <c r="B2075" s="38"/>
      <c r="C2075" s="38"/>
      <c r="D2075" s="38"/>
      <c r="E2075" s="37"/>
      <c r="F2075" s="38"/>
      <c r="G2075" s="198"/>
      <c r="H2075" s="198"/>
      <c r="I2075" s="39"/>
      <c r="J2075" s="38"/>
      <c r="K2075" s="198"/>
      <c r="L2075" s="38"/>
      <c r="M2075" s="38"/>
      <c r="N2075" s="38"/>
      <c r="O2075" s="38"/>
      <c r="P2075" s="40" t="str" cm="1">
        <f t="array" ref="P2075">IF(N2075="","",IFERROR(_xlfn.XLOOKUP(F2075&amp;"|"&amp;J2075&amp;"|"&amp;O2075,PRICES!$C$2:$C$659&amp;"|"&amp;PRICES!$B$2:$B$659&amp;"|"&amp;PRICES!$D$2:$D$659,PRICES!$E$2:$E$659),"Not Found"))</f>
        <v/>
      </c>
      <c r="Q2075" s="100" t="str">
        <f>IF(N2075=0,"",SUMIFS(PRICES!$G$2:$G$658,PRICES!$B$2:$B$658,'MAIN TABLE-1 AUTOMATED'!J2075,PRICES!$C$2:$C$658,'MAIN TABLE-1 AUTOMATED'!F2075,PRICES!$D$2:$D$658,'MAIN TABLE-1 AUTOMATED'!O2075))</f>
        <v/>
      </c>
      <c r="R2075" s="41" t="str">
        <f>IF(Table1[[#This Row],[QUANTITY]]=0,"",Table1[[#This Row],[UNIT PRICE]]*Table1[[#This Row],[QUANTITY]])</f>
        <v/>
      </c>
      <c r="S2075" s="89"/>
      <c r="T2075" s="38"/>
      <c r="U2075" s="43"/>
      <c r="V2075" s="42" t="str">
        <f>IF(Table1[[#This Row],[DATE]]=0,"",YEAR(E2075))</f>
        <v/>
      </c>
      <c r="W2075" s="40" t="str">
        <f t="shared" si="64"/>
        <v/>
      </c>
      <c r="X2075" s="40" t="str">
        <f t="shared" si="65"/>
        <v/>
      </c>
      <c r="Y2075" s="40" t="str">
        <f>TEXT(Table1[[#This Row],[YEAR]],"0000")&amp;"-"&amp;Table1[[#This Row],[MONTH]]</f>
        <v>-</v>
      </c>
    </row>
    <row r="2076" spans="1:25" ht="15" customHeight="1" x14ac:dyDescent="0.35">
      <c r="A2076" s="24"/>
      <c r="B2076" s="38"/>
      <c r="C2076" s="38"/>
      <c r="D2076" s="38"/>
      <c r="E2076" s="37"/>
      <c r="F2076" s="38"/>
      <c r="G2076" s="198"/>
      <c r="H2076" s="198"/>
      <c r="I2076" s="39"/>
      <c r="J2076" s="38"/>
      <c r="K2076" s="198"/>
      <c r="L2076" s="38"/>
      <c r="M2076" s="38"/>
      <c r="N2076" s="38"/>
      <c r="O2076" s="38"/>
      <c r="P2076" s="40" t="str" cm="1">
        <f t="array" ref="P2076">IF(N2076="","",IFERROR(_xlfn.XLOOKUP(F2076&amp;"|"&amp;J2076&amp;"|"&amp;O2076,PRICES!$C$2:$C$659&amp;"|"&amp;PRICES!$B$2:$B$659&amp;"|"&amp;PRICES!$D$2:$D$659,PRICES!$E$2:$E$659),"Not Found"))</f>
        <v/>
      </c>
      <c r="Q2076" s="100" t="str">
        <f>IF(N2076=0,"",SUMIFS(PRICES!$G$2:$G$658,PRICES!$B$2:$B$658,'MAIN TABLE-1 AUTOMATED'!J2076,PRICES!$C$2:$C$658,'MAIN TABLE-1 AUTOMATED'!F2076,PRICES!$D$2:$D$658,'MAIN TABLE-1 AUTOMATED'!O2076))</f>
        <v/>
      </c>
      <c r="R2076" s="41" t="str">
        <f>IF(Table1[[#This Row],[QUANTITY]]=0,"",Table1[[#This Row],[UNIT PRICE]]*Table1[[#This Row],[QUANTITY]])</f>
        <v/>
      </c>
      <c r="S2076" s="89"/>
      <c r="T2076" s="38"/>
      <c r="U2076" s="43"/>
      <c r="V2076" s="42" t="str">
        <f>IF(Table1[[#This Row],[DATE]]=0,"",YEAR(E2076))</f>
        <v/>
      </c>
      <c r="W2076" s="40" t="str">
        <f t="shared" si="64"/>
        <v/>
      </c>
      <c r="X2076" s="40" t="str">
        <f t="shared" si="65"/>
        <v/>
      </c>
      <c r="Y2076" s="40" t="str">
        <f>TEXT(Table1[[#This Row],[YEAR]],"0000")&amp;"-"&amp;Table1[[#This Row],[MONTH]]</f>
        <v>-</v>
      </c>
    </row>
    <row r="2077" spans="1:25" ht="15" customHeight="1" x14ac:dyDescent="0.35">
      <c r="A2077" s="24"/>
      <c r="B2077" s="38"/>
      <c r="C2077" s="38"/>
      <c r="D2077" s="38"/>
      <c r="E2077" s="37"/>
      <c r="F2077" s="38"/>
      <c r="G2077" s="198"/>
      <c r="H2077" s="198"/>
      <c r="I2077" s="39"/>
      <c r="J2077" s="38"/>
      <c r="K2077" s="198"/>
      <c r="L2077" s="38"/>
      <c r="M2077" s="38"/>
      <c r="N2077" s="38"/>
      <c r="O2077" s="38"/>
      <c r="P2077" s="40" t="str" cm="1">
        <f t="array" ref="P2077">IF(N2077="","",IFERROR(_xlfn.XLOOKUP(F2077&amp;"|"&amp;J2077&amp;"|"&amp;O2077,PRICES!$C$2:$C$659&amp;"|"&amp;PRICES!$B$2:$B$659&amp;"|"&amp;PRICES!$D$2:$D$659,PRICES!$E$2:$E$659),"Not Found"))</f>
        <v/>
      </c>
      <c r="Q2077" s="100" t="str">
        <f>IF(N2077=0,"",SUMIFS(PRICES!$G$2:$G$658,PRICES!$B$2:$B$658,'MAIN TABLE-1 AUTOMATED'!J2077,PRICES!$C$2:$C$658,'MAIN TABLE-1 AUTOMATED'!F2077,PRICES!$D$2:$D$658,'MAIN TABLE-1 AUTOMATED'!O2077))</f>
        <v/>
      </c>
      <c r="R2077" s="41" t="str">
        <f>IF(Table1[[#This Row],[QUANTITY]]=0,"",Table1[[#This Row],[UNIT PRICE]]*Table1[[#This Row],[QUANTITY]])</f>
        <v/>
      </c>
      <c r="S2077" s="89"/>
      <c r="T2077" s="38"/>
      <c r="U2077" s="43"/>
      <c r="V2077" s="42" t="str">
        <f>IF(Table1[[#This Row],[DATE]]=0,"",YEAR(E2077))</f>
        <v/>
      </c>
      <c r="W2077" s="40" t="str">
        <f t="shared" si="64"/>
        <v/>
      </c>
      <c r="X2077" s="40" t="str">
        <f t="shared" si="65"/>
        <v/>
      </c>
      <c r="Y2077" s="40" t="str">
        <f>TEXT(Table1[[#This Row],[YEAR]],"0000")&amp;"-"&amp;Table1[[#This Row],[MONTH]]</f>
        <v>-</v>
      </c>
    </row>
    <row r="2078" spans="1:25" ht="15" customHeight="1" x14ac:dyDescent="0.35">
      <c r="A2078" s="24"/>
      <c r="B2078" s="38"/>
      <c r="C2078" s="38"/>
      <c r="D2078" s="38"/>
      <c r="E2078" s="37"/>
      <c r="F2078" s="38"/>
      <c r="G2078" s="198"/>
      <c r="H2078" s="198"/>
      <c r="I2078" s="39"/>
      <c r="J2078" s="38"/>
      <c r="K2078" s="198"/>
      <c r="L2078" s="38"/>
      <c r="M2078" s="38"/>
      <c r="N2078" s="38"/>
      <c r="O2078" s="38"/>
      <c r="P2078" s="40" t="str" cm="1">
        <f t="array" ref="P2078">IF(N2078="","",IFERROR(_xlfn.XLOOKUP(F2078&amp;"|"&amp;J2078&amp;"|"&amp;O2078,PRICES!$C$2:$C$659&amp;"|"&amp;PRICES!$B$2:$B$659&amp;"|"&amp;PRICES!$D$2:$D$659,PRICES!$E$2:$E$659),"Not Found"))</f>
        <v/>
      </c>
      <c r="Q2078" s="100" t="str">
        <f>IF(N2078=0,"",SUMIFS(PRICES!$G$2:$G$658,PRICES!$B$2:$B$658,'MAIN TABLE-1 AUTOMATED'!J2078,PRICES!$C$2:$C$658,'MAIN TABLE-1 AUTOMATED'!F2078,PRICES!$D$2:$D$658,'MAIN TABLE-1 AUTOMATED'!O2078))</f>
        <v/>
      </c>
      <c r="R2078" s="41" t="str">
        <f>IF(Table1[[#This Row],[QUANTITY]]=0,"",Table1[[#This Row],[UNIT PRICE]]*Table1[[#This Row],[QUANTITY]])</f>
        <v/>
      </c>
      <c r="S2078" s="89"/>
      <c r="T2078" s="38"/>
      <c r="U2078" s="43"/>
      <c r="V2078" s="42" t="str">
        <f>IF(Table1[[#This Row],[DATE]]=0,"",YEAR(E2078))</f>
        <v/>
      </c>
      <c r="W2078" s="40" t="str">
        <f t="shared" si="64"/>
        <v/>
      </c>
      <c r="X2078" s="40" t="str">
        <f t="shared" si="65"/>
        <v/>
      </c>
      <c r="Y2078" s="40" t="str">
        <f>TEXT(Table1[[#This Row],[YEAR]],"0000")&amp;"-"&amp;Table1[[#This Row],[MONTH]]</f>
        <v>-</v>
      </c>
    </row>
    <row r="2079" spans="1:25" ht="15" customHeight="1" x14ac:dyDescent="0.35">
      <c r="A2079" s="24"/>
      <c r="B2079" s="38"/>
      <c r="C2079" s="38"/>
      <c r="D2079" s="38"/>
      <c r="E2079" s="37"/>
      <c r="F2079" s="38"/>
      <c r="G2079" s="198"/>
      <c r="H2079" s="198"/>
      <c r="I2079" s="39"/>
      <c r="J2079" s="38"/>
      <c r="K2079" s="198"/>
      <c r="L2079" s="38"/>
      <c r="M2079" s="38"/>
      <c r="N2079" s="38"/>
      <c r="O2079" s="38"/>
      <c r="P2079" s="40" t="str" cm="1">
        <f t="array" ref="P2079">IF(N2079="","",IFERROR(_xlfn.XLOOKUP(F2079&amp;"|"&amp;J2079&amp;"|"&amp;O2079,PRICES!$C$2:$C$659&amp;"|"&amp;PRICES!$B$2:$B$659&amp;"|"&amp;PRICES!$D$2:$D$659,PRICES!$E$2:$E$659),"Not Found"))</f>
        <v/>
      </c>
      <c r="Q2079" s="100" t="str">
        <f>IF(N2079=0,"",SUMIFS(PRICES!$G$2:$G$658,PRICES!$B$2:$B$658,'MAIN TABLE-1 AUTOMATED'!J2079,PRICES!$C$2:$C$658,'MAIN TABLE-1 AUTOMATED'!F2079,PRICES!$D$2:$D$658,'MAIN TABLE-1 AUTOMATED'!O2079))</f>
        <v/>
      </c>
      <c r="R2079" s="41" t="str">
        <f>IF(Table1[[#This Row],[QUANTITY]]=0,"",Table1[[#This Row],[UNIT PRICE]]*Table1[[#This Row],[QUANTITY]])</f>
        <v/>
      </c>
      <c r="S2079" s="89"/>
      <c r="T2079" s="38"/>
      <c r="U2079" s="43"/>
      <c r="V2079" s="42" t="str">
        <f>IF(Table1[[#This Row],[DATE]]=0,"",YEAR(E2079))</f>
        <v/>
      </c>
      <c r="W2079" s="40" t="str">
        <f t="shared" ref="W2079:W2142" si="66">IF(E2079=0,"",MONTH(E2079))</f>
        <v/>
      </c>
      <c r="X2079" s="40" t="str">
        <f t="shared" ref="X2079:X2142" si="67">IF(E2079=0,"",WEEKNUM(E2079))</f>
        <v/>
      </c>
      <c r="Y2079" s="40" t="str">
        <f>TEXT(Table1[[#This Row],[YEAR]],"0000")&amp;"-"&amp;Table1[[#This Row],[MONTH]]</f>
        <v>-</v>
      </c>
    </row>
    <row r="2080" spans="1:25" ht="15" customHeight="1" x14ac:dyDescent="0.35">
      <c r="A2080" s="24"/>
      <c r="B2080" s="38"/>
      <c r="C2080" s="38"/>
      <c r="D2080" s="38"/>
      <c r="E2080" s="37"/>
      <c r="F2080" s="38"/>
      <c r="G2080" s="198"/>
      <c r="H2080" s="198"/>
      <c r="I2080" s="39"/>
      <c r="J2080" s="38"/>
      <c r="K2080" s="198"/>
      <c r="L2080" s="38"/>
      <c r="M2080" s="38"/>
      <c r="N2080" s="38"/>
      <c r="O2080" s="38"/>
      <c r="P2080" s="40" t="str" cm="1">
        <f t="array" ref="P2080">IF(N2080="","",IFERROR(_xlfn.XLOOKUP(F2080&amp;"|"&amp;J2080&amp;"|"&amp;O2080,PRICES!$C$2:$C$659&amp;"|"&amp;PRICES!$B$2:$B$659&amp;"|"&amp;PRICES!$D$2:$D$659,PRICES!$E$2:$E$659),"Not Found"))</f>
        <v/>
      </c>
      <c r="Q2080" s="100" t="str">
        <f>IF(N2080=0,"",SUMIFS(PRICES!$G$2:$G$658,PRICES!$B$2:$B$658,'MAIN TABLE-1 AUTOMATED'!J2080,PRICES!$C$2:$C$658,'MAIN TABLE-1 AUTOMATED'!F2080,PRICES!$D$2:$D$658,'MAIN TABLE-1 AUTOMATED'!O2080))</f>
        <v/>
      </c>
      <c r="R2080" s="41" t="str">
        <f>IF(Table1[[#This Row],[QUANTITY]]=0,"",Table1[[#This Row],[UNIT PRICE]]*Table1[[#This Row],[QUANTITY]])</f>
        <v/>
      </c>
      <c r="S2080" s="89"/>
      <c r="T2080" s="38"/>
      <c r="U2080" s="43"/>
      <c r="V2080" s="42" t="str">
        <f>IF(Table1[[#This Row],[DATE]]=0,"",YEAR(E2080))</f>
        <v/>
      </c>
      <c r="W2080" s="40" t="str">
        <f t="shared" si="66"/>
        <v/>
      </c>
      <c r="X2080" s="40" t="str">
        <f t="shared" si="67"/>
        <v/>
      </c>
      <c r="Y2080" s="40" t="str">
        <f>TEXT(Table1[[#This Row],[YEAR]],"0000")&amp;"-"&amp;Table1[[#This Row],[MONTH]]</f>
        <v>-</v>
      </c>
    </row>
    <row r="2081" spans="1:25" ht="15" customHeight="1" x14ac:dyDescent="0.35">
      <c r="A2081" s="24"/>
      <c r="B2081" s="38"/>
      <c r="C2081" s="38"/>
      <c r="D2081" s="38"/>
      <c r="E2081" s="37"/>
      <c r="F2081" s="38"/>
      <c r="G2081" s="198"/>
      <c r="H2081" s="198"/>
      <c r="I2081" s="39"/>
      <c r="J2081" s="38"/>
      <c r="K2081" s="198"/>
      <c r="L2081" s="38"/>
      <c r="M2081" s="38"/>
      <c r="N2081" s="38"/>
      <c r="O2081" s="38"/>
      <c r="P2081" s="40" t="str" cm="1">
        <f t="array" ref="P2081">IF(N2081="","",IFERROR(_xlfn.XLOOKUP(F2081&amp;"|"&amp;J2081&amp;"|"&amp;O2081,PRICES!$C$2:$C$659&amp;"|"&amp;PRICES!$B$2:$B$659&amp;"|"&amp;PRICES!$D$2:$D$659,PRICES!$E$2:$E$659),"Not Found"))</f>
        <v/>
      </c>
      <c r="Q2081" s="100" t="str">
        <f>IF(N2081=0,"",SUMIFS(PRICES!$G$2:$G$658,PRICES!$B$2:$B$658,'MAIN TABLE-1 AUTOMATED'!J2081,PRICES!$C$2:$C$658,'MAIN TABLE-1 AUTOMATED'!F2081,PRICES!$D$2:$D$658,'MAIN TABLE-1 AUTOMATED'!O2081))</f>
        <v/>
      </c>
      <c r="R2081" s="41" t="str">
        <f>IF(Table1[[#This Row],[QUANTITY]]=0,"",Table1[[#This Row],[UNIT PRICE]]*Table1[[#This Row],[QUANTITY]])</f>
        <v/>
      </c>
      <c r="S2081" s="89"/>
      <c r="T2081" s="38"/>
      <c r="U2081" s="43"/>
      <c r="V2081" s="42" t="str">
        <f>IF(Table1[[#This Row],[DATE]]=0,"",YEAR(E2081))</f>
        <v/>
      </c>
      <c r="W2081" s="40" t="str">
        <f t="shared" si="66"/>
        <v/>
      </c>
      <c r="X2081" s="40" t="str">
        <f t="shared" si="67"/>
        <v/>
      </c>
      <c r="Y2081" s="40" t="str">
        <f>TEXT(Table1[[#This Row],[YEAR]],"0000")&amp;"-"&amp;Table1[[#This Row],[MONTH]]</f>
        <v>-</v>
      </c>
    </row>
    <row r="2082" spans="1:25" ht="15" customHeight="1" x14ac:dyDescent="0.35">
      <c r="A2082" s="24"/>
      <c r="B2082" s="38"/>
      <c r="C2082" s="38"/>
      <c r="D2082" s="38"/>
      <c r="E2082" s="37"/>
      <c r="F2082" s="38"/>
      <c r="G2082" s="198"/>
      <c r="H2082" s="198"/>
      <c r="I2082" s="39"/>
      <c r="J2082" s="38"/>
      <c r="K2082" s="198"/>
      <c r="L2082" s="38"/>
      <c r="M2082" s="38"/>
      <c r="N2082" s="38"/>
      <c r="O2082" s="38"/>
      <c r="P2082" s="40" t="str" cm="1">
        <f t="array" ref="P2082">IF(N2082="","",IFERROR(_xlfn.XLOOKUP(F2082&amp;"|"&amp;J2082&amp;"|"&amp;O2082,PRICES!$C$2:$C$659&amp;"|"&amp;PRICES!$B$2:$B$659&amp;"|"&amp;PRICES!$D$2:$D$659,PRICES!$E$2:$E$659),"Not Found"))</f>
        <v/>
      </c>
      <c r="Q2082" s="100" t="str">
        <f>IF(N2082=0,"",SUMIFS(PRICES!$G$2:$G$658,PRICES!$B$2:$B$658,'MAIN TABLE-1 AUTOMATED'!J2082,PRICES!$C$2:$C$658,'MAIN TABLE-1 AUTOMATED'!F2082,PRICES!$D$2:$D$658,'MAIN TABLE-1 AUTOMATED'!O2082))</f>
        <v/>
      </c>
      <c r="R2082" s="41" t="str">
        <f>IF(Table1[[#This Row],[QUANTITY]]=0,"",Table1[[#This Row],[UNIT PRICE]]*Table1[[#This Row],[QUANTITY]])</f>
        <v/>
      </c>
      <c r="S2082" s="89"/>
      <c r="T2082" s="38"/>
      <c r="U2082" s="43"/>
      <c r="V2082" s="42" t="str">
        <f>IF(Table1[[#This Row],[DATE]]=0,"",YEAR(E2082))</f>
        <v/>
      </c>
      <c r="W2082" s="40" t="str">
        <f t="shared" si="66"/>
        <v/>
      </c>
      <c r="X2082" s="40" t="str">
        <f t="shared" si="67"/>
        <v/>
      </c>
      <c r="Y2082" s="40" t="str">
        <f>TEXT(Table1[[#This Row],[YEAR]],"0000")&amp;"-"&amp;Table1[[#This Row],[MONTH]]</f>
        <v>-</v>
      </c>
    </row>
    <row r="2083" spans="1:25" ht="15" customHeight="1" x14ac:dyDescent="0.35">
      <c r="A2083" s="24"/>
      <c r="B2083" s="38"/>
      <c r="C2083" s="38"/>
      <c r="D2083" s="38"/>
      <c r="E2083" s="37"/>
      <c r="F2083" s="38"/>
      <c r="G2083" s="198"/>
      <c r="H2083" s="198"/>
      <c r="I2083" s="39"/>
      <c r="J2083" s="38"/>
      <c r="K2083" s="198"/>
      <c r="L2083" s="38"/>
      <c r="M2083" s="38"/>
      <c r="N2083" s="38"/>
      <c r="O2083" s="38"/>
      <c r="P2083" s="40" t="str" cm="1">
        <f t="array" ref="P2083">IF(N2083="","",IFERROR(_xlfn.XLOOKUP(F2083&amp;"|"&amp;J2083&amp;"|"&amp;O2083,PRICES!$C$2:$C$659&amp;"|"&amp;PRICES!$B$2:$B$659&amp;"|"&amp;PRICES!$D$2:$D$659,PRICES!$E$2:$E$659),"Not Found"))</f>
        <v/>
      </c>
      <c r="Q2083" s="100" t="str">
        <f>IF(N2083=0,"",SUMIFS(PRICES!$G$2:$G$658,PRICES!$B$2:$B$658,'MAIN TABLE-1 AUTOMATED'!J2083,PRICES!$C$2:$C$658,'MAIN TABLE-1 AUTOMATED'!F2083,PRICES!$D$2:$D$658,'MAIN TABLE-1 AUTOMATED'!O2083))</f>
        <v/>
      </c>
      <c r="R2083" s="41" t="str">
        <f>IF(Table1[[#This Row],[QUANTITY]]=0,"",Table1[[#This Row],[UNIT PRICE]]*Table1[[#This Row],[QUANTITY]])</f>
        <v/>
      </c>
      <c r="S2083" s="89"/>
      <c r="T2083" s="38"/>
      <c r="U2083" s="43"/>
      <c r="V2083" s="42" t="str">
        <f>IF(Table1[[#This Row],[DATE]]=0,"",YEAR(E2083))</f>
        <v/>
      </c>
      <c r="W2083" s="40" t="str">
        <f t="shared" si="66"/>
        <v/>
      </c>
      <c r="X2083" s="40" t="str">
        <f t="shared" si="67"/>
        <v/>
      </c>
      <c r="Y2083" s="40" t="str">
        <f>TEXT(Table1[[#This Row],[YEAR]],"0000")&amp;"-"&amp;Table1[[#This Row],[MONTH]]</f>
        <v>-</v>
      </c>
    </row>
    <row r="2084" spans="1:25" ht="15" customHeight="1" x14ac:dyDescent="0.35">
      <c r="A2084" s="24"/>
      <c r="B2084" s="38"/>
      <c r="C2084" s="38"/>
      <c r="D2084" s="38"/>
      <c r="E2084" s="37"/>
      <c r="F2084" s="38"/>
      <c r="G2084" s="198"/>
      <c r="H2084" s="198"/>
      <c r="I2084" s="39"/>
      <c r="J2084" s="38"/>
      <c r="K2084" s="198"/>
      <c r="L2084" s="38"/>
      <c r="M2084" s="38"/>
      <c r="N2084" s="38"/>
      <c r="O2084" s="38"/>
      <c r="P2084" s="40" t="str" cm="1">
        <f t="array" ref="P2084">IF(N2084="","",IFERROR(_xlfn.XLOOKUP(F2084&amp;"|"&amp;J2084&amp;"|"&amp;O2084,PRICES!$C$2:$C$659&amp;"|"&amp;PRICES!$B$2:$B$659&amp;"|"&amp;PRICES!$D$2:$D$659,PRICES!$E$2:$E$659),"Not Found"))</f>
        <v/>
      </c>
      <c r="Q2084" s="100" t="str">
        <f>IF(N2084=0,"",SUMIFS(PRICES!$G$2:$G$658,PRICES!$B$2:$B$658,'MAIN TABLE-1 AUTOMATED'!J2084,PRICES!$C$2:$C$658,'MAIN TABLE-1 AUTOMATED'!F2084,PRICES!$D$2:$D$658,'MAIN TABLE-1 AUTOMATED'!O2084))</f>
        <v/>
      </c>
      <c r="R2084" s="41" t="str">
        <f>IF(Table1[[#This Row],[QUANTITY]]=0,"",Table1[[#This Row],[UNIT PRICE]]*Table1[[#This Row],[QUANTITY]])</f>
        <v/>
      </c>
      <c r="S2084" s="89"/>
      <c r="T2084" s="38"/>
      <c r="U2084" s="43"/>
      <c r="V2084" s="42" t="str">
        <f>IF(Table1[[#This Row],[DATE]]=0,"",YEAR(E2084))</f>
        <v/>
      </c>
      <c r="W2084" s="40" t="str">
        <f t="shared" si="66"/>
        <v/>
      </c>
      <c r="X2084" s="40" t="str">
        <f t="shared" si="67"/>
        <v/>
      </c>
      <c r="Y2084" s="40" t="str">
        <f>TEXT(Table1[[#This Row],[YEAR]],"0000")&amp;"-"&amp;Table1[[#This Row],[MONTH]]</f>
        <v>-</v>
      </c>
    </row>
    <row r="2085" spans="1:25" ht="15" customHeight="1" x14ac:dyDescent="0.35">
      <c r="A2085" s="24"/>
      <c r="B2085" s="38"/>
      <c r="C2085" s="38"/>
      <c r="D2085" s="38"/>
      <c r="E2085" s="37"/>
      <c r="F2085" s="38"/>
      <c r="G2085" s="198"/>
      <c r="H2085" s="198"/>
      <c r="I2085" s="39"/>
      <c r="J2085" s="38"/>
      <c r="K2085" s="198"/>
      <c r="L2085" s="38"/>
      <c r="M2085" s="38"/>
      <c r="N2085" s="38"/>
      <c r="O2085" s="38"/>
      <c r="P2085" s="40" t="str" cm="1">
        <f t="array" ref="P2085">IF(N2085="","",IFERROR(_xlfn.XLOOKUP(F2085&amp;"|"&amp;J2085&amp;"|"&amp;O2085,PRICES!$C$2:$C$659&amp;"|"&amp;PRICES!$B$2:$B$659&amp;"|"&amp;PRICES!$D$2:$D$659,PRICES!$E$2:$E$659),"Not Found"))</f>
        <v/>
      </c>
      <c r="Q2085" s="100" t="str">
        <f>IF(N2085=0,"",SUMIFS(PRICES!$G$2:$G$658,PRICES!$B$2:$B$658,'MAIN TABLE-1 AUTOMATED'!J2085,PRICES!$C$2:$C$658,'MAIN TABLE-1 AUTOMATED'!F2085,PRICES!$D$2:$D$658,'MAIN TABLE-1 AUTOMATED'!O2085))</f>
        <v/>
      </c>
      <c r="R2085" s="41" t="str">
        <f>IF(Table1[[#This Row],[QUANTITY]]=0,"",Table1[[#This Row],[UNIT PRICE]]*Table1[[#This Row],[QUANTITY]])</f>
        <v/>
      </c>
      <c r="S2085" s="89"/>
      <c r="T2085" s="38"/>
      <c r="U2085" s="43"/>
      <c r="V2085" s="42" t="str">
        <f>IF(Table1[[#This Row],[DATE]]=0,"",YEAR(E2085))</f>
        <v/>
      </c>
      <c r="W2085" s="40" t="str">
        <f t="shared" si="66"/>
        <v/>
      </c>
      <c r="X2085" s="40" t="str">
        <f t="shared" si="67"/>
        <v/>
      </c>
      <c r="Y2085" s="40" t="str">
        <f>TEXT(Table1[[#This Row],[YEAR]],"0000")&amp;"-"&amp;Table1[[#This Row],[MONTH]]</f>
        <v>-</v>
      </c>
    </row>
    <row r="2086" spans="1:25" ht="15" customHeight="1" x14ac:dyDescent="0.35">
      <c r="A2086" s="24"/>
      <c r="B2086" s="38"/>
      <c r="C2086" s="38"/>
      <c r="D2086" s="38"/>
      <c r="E2086" s="37"/>
      <c r="F2086" s="38"/>
      <c r="G2086" s="198"/>
      <c r="H2086" s="198"/>
      <c r="I2086" s="39"/>
      <c r="J2086" s="38"/>
      <c r="K2086" s="198"/>
      <c r="L2086" s="38"/>
      <c r="M2086" s="38"/>
      <c r="N2086" s="38"/>
      <c r="O2086" s="38"/>
      <c r="P2086" s="40" t="str" cm="1">
        <f t="array" ref="P2086">IF(N2086="","",IFERROR(_xlfn.XLOOKUP(F2086&amp;"|"&amp;J2086&amp;"|"&amp;O2086,PRICES!$C$2:$C$659&amp;"|"&amp;PRICES!$B$2:$B$659&amp;"|"&amp;PRICES!$D$2:$D$659,PRICES!$E$2:$E$659),"Not Found"))</f>
        <v/>
      </c>
      <c r="Q2086" s="100" t="str">
        <f>IF(N2086=0,"",SUMIFS(PRICES!$G$2:$G$658,PRICES!$B$2:$B$658,'MAIN TABLE-1 AUTOMATED'!J2086,PRICES!$C$2:$C$658,'MAIN TABLE-1 AUTOMATED'!F2086,PRICES!$D$2:$D$658,'MAIN TABLE-1 AUTOMATED'!O2086))</f>
        <v/>
      </c>
      <c r="R2086" s="41" t="str">
        <f>IF(Table1[[#This Row],[QUANTITY]]=0,"",Table1[[#This Row],[UNIT PRICE]]*Table1[[#This Row],[QUANTITY]])</f>
        <v/>
      </c>
      <c r="S2086" s="89"/>
      <c r="T2086" s="38"/>
      <c r="U2086" s="43"/>
      <c r="V2086" s="42" t="str">
        <f>IF(Table1[[#This Row],[DATE]]=0,"",YEAR(E2086))</f>
        <v/>
      </c>
      <c r="W2086" s="40" t="str">
        <f t="shared" si="66"/>
        <v/>
      </c>
      <c r="X2086" s="40" t="str">
        <f t="shared" si="67"/>
        <v/>
      </c>
      <c r="Y2086" s="40" t="str">
        <f>TEXT(Table1[[#This Row],[YEAR]],"0000")&amp;"-"&amp;Table1[[#This Row],[MONTH]]</f>
        <v>-</v>
      </c>
    </row>
    <row r="2087" spans="1:25" ht="15" customHeight="1" x14ac:dyDescent="0.35">
      <c r="A2087" s="24"/>
      <c r="B2087" s="38"/>
      <c r="C2087" s="38"/>
      <c r="D2087" s="38"/>
      <c r="E2087" s="37"/>
      <c r="F2087" s="38"/>
      <c r="G2087" s="198"/>
      <c r="H2087" s="198"/>
      <c r="I2087" s="39"/>
      <c r="J2087" s="38"/>
      <c r="K2087" s="198"/>
      <c r="L2087" s="38"/>
      <c r="M2087" s="38"/>
      <c r="N2087" s="38"/>
      <c r="O2087" s="38"/>
      <c r="P2087" s="40" t="str" cm="1">
        <f t="array" ref="P2087">IF(N2087="","",IFERROR(_xlfn.XLOOKUP(F2087&amp;"|"&amp;J2087&amp;"|"&amp;O2087,PRICES!$C$2:$C$659&amp;"|"&amp;PRICES!$B$2:$B$659&amp;"|"&amp;PRICES!$D$2:$D$659,PRICES!$E$2:$E$659),"Not Found"))</f>
        <v/>
      </c>
      <c r="Q2087" s="100" t="str">
        <f>IF(N2087=0,"",SUMIFS(PRICES!$G$2:$G$658,PRICES!$B$2:$B$658,'MAIN TABLE-1 AUTOMATED'!J2087,PRICES!$C$2:$C$658,'MAIN TABLE-1 AUTOMATED'!F2087,PRICES!$D$2:$D$658,'MAIN TABLE-1 AUTOMATED'!O2087))</f>
        <v/>
      </c>
      <c r="R2087" s="41" t="str">
        <f>IF(Table1[[#This Row],[QUANTITY]]=0,"",Table1[[#This Row],[UNIT PRICE]]*Table1[[#This Row],[QUANTITY]])</f>
        <v/>
      </c>
      <c r="S2087" s="89"/>
      <c r="T2087" s="38"/>
      <c r="U2087" s="43"/>
      <c r="V2087" s="42" t="str">
        <f>IF(Table1[[#This Row],[DATE]]=0,"",YEAR(E2087))</f>
        <v/>
      </c>
      <c r="W2087" s="40" t="str">
        <f t="shared" si="66"/>
        <v/>
      </c>
      <c r="X2087" s="40" t="str">
        <f t="shared" si="67"/>
        <v/>
      </c>
      <c r="Y2087" s="40" t="str">
        <f>TEXT(Table1[[#This Row],[YEAR]],"0000")&amp;"-"&amp;Table1[[#This Row],[MONTH]]</f>
        <v>-</v>
      </c>
    </row>
    <row r="2088" spans="1:25" ht="15" customHeight="1" x14ac:dyDescent="0.35">
      <c r="A2088" s="24"/>
      <c r="B2088" s="38"/>
      <c r="C2088" s="38"/>
      <c r="D2088" s="38"/>
      <c r="E2088" s="37"/>
      <c r="F2088" s="38"/>
      <c r="G2088" s="198"/>
      <c r="H2088" s="198"/>
      <c r="I2088" s="39"/>
      <c r="J2088" s="38"/>
      <c r="K2088" s="198"/>
      <c r="L2088" s="38"/>
      <c r="M2088" s="38"/>
      <c r="N2088" s="38"/>
      <c r="O2088" s="38"/>
      <c r="P2088" s="40" t="str" cm="1">
        <f t="array" ref="P2088">IF(N2088="","",IFERROR(_xlfn.XLOOKUP(F2088&amp;"|"&amp;J2088&amp;"|"&amp;O2088,PRICES!$C$2:$C$659&amp;"|"&amp;PRICES!$B$2:$B$659&amp;"|"&amp;PRICES!$D$2:$D$659,PRICES!$E$2:$E$659),"Not Found"))</f>
        <v/>
      </c>
      <c r="Q2088" s="100" t="str">
        <f>IF(N2088=0,"",SUMIFS(PRICES!$G$2:$G$658,PRICES!$B$2:$B$658,'MAIN TABLE-1 AUTOMATED'!J2088,PRICES!$C$2:$C$658,'MAIN TABLE-1 AUTOMATED'!F2088,PRICES!$D$2:$D$658,'MAIN TABLE-1 AUTOMATED'!O2088))</f>
        <v/>
      </c>
      <c r="R2088" s="41" t="str">
        <f>IF(Table1[[#This Row],[QUANTITY]]=0,"",Table1[[#This Row],[UNIT PRICE]]*Table1[[#This Row],[QUANTITY]])</f>
        <v/>
      </c>
      <c r="S2088" s="89"/>
      <c r="T2088" s="38"/>
      <c r="U2088" s="43"/>
      <c r="V2088" s="42" t="str">
        <f>IF(Table1[[#This Row],[DATE]]=0,"",YEAR(E2088))</f>
        <v/>
      </c>
      <c r="W2088" s="40" t="str">
        <f t="shared" si="66"/>
        <v/>
      </c>
      <c r="X2088" s="40" t="str">
        <f t="shared" si="67"/>
        <v/>
      </c>
      <c r="Y2088" s="40" t="str">
        <f>TEXT(Table1[[#This Row],[YEAR]],"0000")&amp;"-"&amp;Table1[[#This Row],[MONTH]]</f>
        <v>-</v>
      </c>
    </row>
    <row r="2089" spans="1:25" ht="15" customHeight="1" x14ac:dyDescent="0.35">
      <c r="A2089" s="24"/>
      <c r="B2089" s="38"/>
      <c r="C2089" s="38"/>
      <c r="D2089" s="38"/>
      <c r="E2089" s="37"/>
      <c r="F2089" s="38"/>
      <c r="G2089" s="198"/>
      <c r="H2089" s="198"/>
      <c r="I2089" s="39"/>
      <c r="J2089" s="38"/>
      <c r="K2089" s="198"/>
      <c r="L2089" s="38"/>
      <c r="M2089" s="38"/>
      <c r="N2089" s="38"/>
      <c r="O2089" s="38"/>
      <c r="P2089" s="40" t="str" cm="1">
        <f t="array" ref="P2089">IF(N2089="","",IFERROR(_xlfn.XLOOKUP(F2089&amp;"|"&amp;J2089&amp;"|"&amp;O2089,PRICES!$C$2:$C$659&amp;"|"&amp;PRICES!$B$2:$B$659&amp;"|"&amp;PRICES!$D$2:$D$659,PRICES!$E$2:$E$659),"Not Found"))</f>
        <v/>
      </c>
      <c r="Q2089" s="100" t="str">
        <f>IF(N2089=0,"",SUMIFS(PRICES!$G$2:$G$658,PRICES!$B$2:$B$658,'MAIN TABLE-1 AUTOMATED'!J2089,PRICES!$C$2:$C$658,'MAIN TABLE-1 AUTOMATED'!F2089,PRICES!$D$2:$D$658,'MAIN TABLE-1 AUTOMATED'!O2089))</f>
        <v/>
      </c>
      <c r="R2089" s="41" t="str">
        <f>IF(Table1[[#This Row],[QUANTITY]]=0,"",Table1[[#This Row],[UNIT PRICE]]*Table1[[#This Row],[QUANTITY]])</f>
        <v/>
      </c>
      <c r="S2089" s="89"/>
      <c r="T2089" s="38"/>
      <c r="U2089" s="43"/>
      <c r="V2089" s="42" t="str">
        <f>IF(Table1[[#This Row],[DATE]]=0,"",YEAR(E2089))</f>
        <v/>
      </c>
      <c r="W2089" s="40" t="str">
        <f t="shared" si="66"/>
        <v/>
      </c>
      <c r="X2089" s="40" t="str">
        <f t="shared" si="67"/>
        <v/>
      </c>
      <c r="Y2089" s="40" t="str">
        <f>TEXT(Table1[[#This Row],[YEAR]],"0000")&amp;"-"&amp;Table1[[#This Row],[MONTH]]</f>
        <v>-</v>
      </c>
    </row>
    <row r="2090" spans="1:25" ht="15" customHeight="1" x14ac:dyDescent="0.35">
      <c r="A2090" s="24"/>
      <c r="B2090" s="38"/>
      <c r="C2090" s="38"/>
      <c r="D2090" s="38"/>
      <c r="E2090" s="37"/>
      <c r="F2090" s="38"/>
      <c r="G2090" s="198"/>
      <c r="H2090" s="198"/>
      <c r="I2090" s="39"/>
      <c r="J2090" s="38"/>
      <c r="K2090" s="198"/>
      <c r="L2090" s="38"/>
      <c r="M2090" s="38"/>
      <c r="N2090" s="38"/>
      <c r="O2090" s="38"/>
      <c r="P2090" s="40" t="str" cm="1">
        <f t="array" ref="P2090">IF(N2090="","",IFERROR(_xlfn.XLOOKUP(F2090&amp;"|"&amp;J2090&amp;"|"&amp;O2090,PRICES!$C$2:$C$659&amp;"|"&amp;PRICES!$B$2:$B$659&amp;"|"&amp;PRICES!$D$2:$D$659,PRICES!$E$2:$E$659),"Not Found"))</f>
        <v/>
      </c>
      <c r="Q2090" s="100" t="str">
        <f>IF(N2090=0,"",SUMIFS(PRICES!$G$2:$G$658,PRICES!$B$2:$B$658,'MAIN TABLE-1 AUTOMATED'!J2090,PRICES!$C$2:$C$658,'MAIN TABLE-1 AUTOMATED'!F2090,PRICES!$D$2:$D$658,'MAIN TABLE-1 AUTOMATED'!O2090))</f>
        <v/>
      </c>
      <c r="R2090" s="41" t="str">
        <f>IF(Table1[[#This Row],[QUANTITY]]=0,"",Table1[[#This Row],[UNIT PRICE]]*Table1[[#This Row],[QUANTITY]])</f>
        <v/>
      </c>
      <c r="S2090" s="89"/>
      <c r="T2090" s="38"/>
      <c r="U2090" s="43"/>
      <c r="V2090" s="42" t="str">
        <f>IF(Table1[[#This Row],[DATE]]=0,"",YEAR(E2090))</f>
        <v/>
      </c>
      <c r="W2090" s="40" t="str">
        <f t="shared" si="66"/>
        <v/>
      </c>
      <c r="X2090" s="40" t="str">
        <f t="shared" si="67"/>
        <v/>
      </c>
      <c r="Y2090" s="40" t="str">
        <f>TEXT(Table1[[#This Row],[YEAR]],"0000")&amp;"-"&amp;Table1[[#This Row],[MONTH]]</f>
        <v>-</v>
      </c>
    </row>
    <row r="2091" spans="1:25" ht="15" customHeight="1" x14ac:dyDescent="0.35">
      <c r="A2091" s="24"/>
      <c r="B2091" s="38"/>
      <c r="C2091" s="38"/>
      <c r="D2091" s="38"/>
      <c r="E2091" s="37"/>
      <c r="F2091" s="38"/>
      <c r="G2091" s="198"/>
      <c r="H2091" s="198"/>
      <c r="I2091" s="39"/>
      <c r="J2091" s="38"/>
      <c r="K2091" s="198"/>
      <c r="L2091" s="38"/>
      <c r="M2091" s="38"/>
      <c r="N2091" s="38"/>
      <c r="O2091" s="38"/>
      <c r="P2091" s="40" t="str" cm="1">
        <f t="array" ref="P2091">IF(N2091="","",IFERROR(_xlfn.XLOOKUP(F2091&amp;"|"&amp;J2091&amp;"|"&amp;O2091,PRICES!$C$2:$C$659&amp;"|"&amp;PRICES!$B$2:$B$659&amp;"|"&amp;PRICES!$D$2:$D$659,PRICES!$E$2:$E$659),"Not Found"))</f>
        <v/>
      </c>
      <c r="Q2091" s="100" t="str">
        <f>IF(N2091=0,"",SUMIFS(PRICES!$G$2:$G$658,PRICES!$B$2:$B$658,'MAIN TABLE-1 AUTOMATED'!J2091,PRICES!$C$2:$C$658,'MAIN TABLE-1 AUTOMATED'!F2091,PRICES!$D$2:$D$658,'MAIN TABLE-1 AUTOMATED'!O2091))</f>
        <v/>
      </c>
      <c r="R2091" s="41" t="str">
        <f>IF(Table1[[#This Row],[QUANTITY]]=0,"",Table1[[#This Row],[UNIT PRICE]]*Table1[[#This Row],[QUANTITY]])</f>
        <v/>
      </c>
      <c r="S2091" s="89"/>
      <c r="T2091" s="38"/>
      <c r="U2091" s="43"/>
      <c r="V2091" s="42" t="str">
        <f>IF(Table1[[#This Row],[DATE]]=0,"",YEAR(E2091))</f>
        <v/>
      </c>
      <c r="W2091" s="40" t="str">
        <f t="shared" si="66"/>
        <v/>
      </c>
      <c r="X2091" s="40" t="str">
        <f t="shared" si="67"/>
        <v/>
      </c>
      <c r="Y2091" s="40" t="str">
        <f>TEXT(Table1[[#This Row],[YEAR]],"0000")&amp;"-"&amp;Table1[[#This Row],[MONTH]]</f>
        <v>-</v>
      </c>
    </row>
    <row r="2092" spans="1:25" ht="15" customHeight="1" x14ac:dyDescent="0.35">
      <c r="A2092" s="24"/>
      <c r="B2092" s="38"/>
      <c r="C2092" s="38"/>
      <c r="D2092" s="38"/>
      <c r="E2092" s="37"/>
      <c r="F2092" s="38"/>
      <c r="G2092" s="198"/>
      <c r="H2092" s="198"/>
      <c r="I2092" s="39"/>
      <c r="J2092" s="38"/>
      <c r="K2092" s="198"/>
      <c r="L2092" s="38"/>
      <c r="M2092" s="38"/>
      <c r="N2092" s="38"/>
      <c r="O2092" s="38"/>
      <c r="P2092" s="40" t="str" cm="1">
        <f t="array" ref="P2092">IF(N2092="","",IFERROR(_xlfn.XLOOKUP(F2092&amp;"|"&amp;J2092&amp;"|"&amp;O2092,PRICES!$C$2:$C$659&amp;"|"&amp;PRICES!$B$2:$B$659&amp;"|"&amp;PRICES!$D$2:$D$659,PRICES!$E$2:$E$659),"Not Found"))</f>
        <v/>
      </c>
      <c r="Q2092" s="100" t="str">
        <f>IF(N2092=0,"",SUMIFS(PRICES!$G$2:$G$658,PRICES!$B$2:$B$658,'MAIN TABLE-1 AUTOMATED'!J2092,PRICES!$C$2:$C$658,'MAIN TABLE-1 AUTOMATED'!F2092,PRICES!$D$2:$D$658,'MAIN TABLE-1 AUTOMATED'!O2092))</f>
        <v/>
      </c>
      <c r="R2092" s="41" t="str">
        <f>IF(Table1[[#This Row],[QUANTITY]]=0,"",Table1[[#This Row],[UNIT PRICE]]*Table1[[#This Row],[QUANTITY]])</f>
        <v/>
      </c>
      <c r="S2092" s="89"/>
      <c r="T2092" s="38"/>
      <c r="U2092" s="43"/>
      <c r="V2092" s="42" t="str">
        <f>IF(Table1[[#This Row],[DATE]]=0,"",YEAR(E2092))</f>
        <v/>
      </c>
      <c r="W2092" s="40" t="str">
        <f t="shared" si="66"/>
        <v/>
      </c>
      <c r="X2092" s="40" t="str">
        <f t="shared" si="67"/>
        <v/>
      </c>
      <c r="Y2092" s="40" t="str">
        <f>TEXT(Table1[[#This Row],[YEAR]],"0000")&amp;"-"&amp;Table1[[#This Row],[MONTH]]</f>
        <v>-</v>
      </c>
    </row>
    <row r="2093" spans="1:25" ht="15" customHeight="1" x14ac:dyDescent="0.35">
      <c r="A2093" s="24"/>
      <c r="B2093" s="38"/>
      <c r="C2093" s="38"/>
      <c r="D2093" s="38"/>
      <c r="E2093" s="37"/>
      <c r="F2093" s="38"/>
      <c r="G2093" s="198"/>
      <c r="H2093" s="198"/>
      <c r="I2093" s="39"/>
      <c r="J2093" s="38"/>
      <c r="K2093" s="198"/>
      <c r="L2093" s="38"/>
      <c r="M2093" s="38"/>
      <c r="N2093" s="38"/>
      <c r="O2093" s="38"/>
      <c r="P2093" s="40" t="str" cm="1">
        <f t="array" ref="P2093">IF(N2093="","",IFERROR(_xlfn.XLOOKUP(F2093&amp;"|"&amp;J2093&amp;"|"&amp;O2093,PRICES!$C$2:$C$659&amp;"|"&amp;PRICES!$B$2:$B$659&amp;"|"&amp;PRICES!$D$2:$D$659,PRICES!$E$2:$E$659),"Not Found"))</f>
        <v/>
      </c>
      <c r="Q2093" s="100" t="str">
        <f>IF(N2093=0,"",SUMIFS(PRICES!$G$2:$G$658,PRICES!$B$2:$B$658,'MAIN TABLE-1 AUTOMATED'!J2093,PRICES!$C$2:$C$658,'MAIN TABLE-1 AUTOMATED'!F2093,PRICES!$D$2:$D$658,'MAIN TABLE-1 AUTOMATED'!O2093))</f>
        <v/>
      </c>
      <c r="R2093" s="41" t="str">
        <f>IF(Table1[[#This Row],[QUANTITY]]=0,"",Table1[[#This Row],[UNIT PRICE]]*Table1[[#This Row],[QUANTITY]])</f>
        <v/>
      </c>
      <c r="S2093" s="89"/>
      <c r="T2093" s="38"/>
      <c r="U2093" s="43"/>
      <c r="V2093" s="42" t="str">
        <f>IF(Table1[[#This Row],[DATE]]=0,"",YEAR(E2093))</f>
        <v/>
      </c>
      <c r="W2093" s="40" t="str">
        <f t="shared" si="66"/>
        <v/>
      </c>
      <c r="X2093" s="40" t="str">
        <f t="shared" si="67"/>
        <v/>
      </c>
      <c r="Y2093" s="40" t="str">
        <f>TEXT(Table1[[#This Row],[YEAR]],"0000")&amp;"-"&amp;Table1[[#This Row],[MONTH]]</f>
        <v>-</v>
      </c>
    </row>
    <row r="2094" spans="1:25" ht="15" customHeight="1" x14ac:dyDescent="0.35">
      <c r="A2094" s="24"/>
      <c r="B2094" s="38"/>
      <c r="C2094" s="38"/>
      <c r="D2094" s="38"/>
      <c r="E2094" s="37"/>
      <c r="F2094" s="38"/>
      <c r="G2094" s="198"/>
      <c r="H2094" s="198"/>
      <c r="I2094" s="39"/>
      <c r="J2094" s="38"/>
      <c r="K2094" s="198"/>
      <c r="L2094" s="38"/>
      <c r="M2094" s="38"/>
      <c r="N2094" s="38"/>
      <c r="O2094" s="38"/>
      <c r="P2094" s="40" t="str" cm="1">
        <f t="array" ref="P2094">IF(N2094="","",IFERROR(_xlfn.XLOOKUP(F2094&amp;"|"&amp;J2094&amp;"|"&amp;O2094,PRICES!$C$2:$C$659&amp;"|"&amp;PRICES!$B$2:$B$659&amp;"|"&amp;PRICES!$D$2:$D$659,PRICES!$E$2:$E$659),"Not Found"))</f>
        <v/>
      </c>
      <c r="Q2094" s="100" t="str">
        <f>IF(N2094=0,"",SUMIFS(PRICES!$G$2:$G$658,PRICES!$B$2:$B$658,'MAIN TABLE-1 AUTOMATED'!J2094,PRICES!$C$2:$C$658,'MAIN TABLE-1 AUTOMATED'!F2094,PRICES!$D$2:$D$658,'MAIN TABLE-1 AUTOMATED'!O2094))</f>
        <v/>
      </c>
      <c r="R2094" s="41" t="str">
        <f>IF(Table1[[#This Row],[QUANTITY]]=0,"",Table1[[#This Row],[UNIT PRICE]]*Table1[[#This Row],[QUANTITY]])</f>
        <v/>
      </c>
      <c r="S2094" s="89"/>
      <c r="T2094" s="38"/>
      <c r="U2094" s="43"/>
      <c r="V2094" s="42" t="str">
        <f>IF(Table1[[#This Row],[DATE]]=0,"",YEAR(E2094))</f>
        <v/>
      </c>
      <c r="W2094" s="40" t="str">
        <f t="shared" si="66"/>
        <v/>
      </c>
      <c r="X2094" s="40" t="str">
        <f t="shared" si="67"/>
        <v/>
      </c>
      <c r="Y2094" s="40" t="str">
        <f>TEXT(Table1[[#This Row],[YEAR]],"0000")&amp;"-"&amp;Table1[[#This Row],[MONTH]]</f>
        <v>-</v>
      </c>
    </row>
    <row r="2095" spans="1:25" ht="15" customHeight="1" x14ac:dyDescent="0.35">
      <c r="A2095" s="24"/>
      <c r="B2095" s="38"/>
      <c r="C2095" s="38"/>
      <c r="D2095" s="38"/>
      <c r="E2095" s="37"/>
      <c r="F2095" s="38"/>
      <c r="G2095" s="198"/>
      <c r="H2095" s="198"/>
      <c r="I2095" s="39"/>
      <c r="J2095" s="38"/>
      <c r="K2095" s="198"/>
      <c r="L2095" s="38"/>
      <c r="M2095" s="38"/>
      <c r="N2095" s="38"/>
      <c r="O2095" s="38"/>
      <c r="P2095" s="40" t="str" cm="1">
        <f t="array" ref="P2095">IF(N2095="","",IFERROR(_xlfn.XLOOKUP(F2095&amp;"|"&amp;J2095&amp;"|"&amp;O2095,PRICES!$C$2:$C$659&amp;"|"&amp;PRICES!$B$2:$B$659&amp;"|"&amp;PRICES!$D$2:$D$659,PRICES!$E$2:$E$659),"Not Found"))</f>
        <v/>
      </c>
      <c r="Q2095" s="100" t="str">
        <f>IF(N2095=0,"",SUMIFS(PRICES!$G$2:$G$658,PRICES!$B$2:$B$658,'MAIN TABLE-1 AUTOMATED'!J2095,PRICES!$C$2:$C$658,'MAIN TABLE-1 AUTOMATED'!F2095,PRICES!$D$2:$D$658,'MAIN TABLE-1 AUTOMATED'!O2095))</f>
        <v/>
      </c>
      <c r="R2095" s="41" t="str">
        <f>IF(Table1[[#This Row],[QUANTITY]]=0,"",Table1[[#This Row],[UNIT PRICE]]*Table1[[#This Row],[QUANTITY]])</f>
        <v/>
      </c>
      <c r="S2095" s="89"/>
      <c r="T2095" s="38"/>
      <c r="U2095" s="43"/>
      <c r="V2095" s="42" t="str">
        <f>IF(Table1[[#This Row],[DATE]]=0,"",YEAR(E2095))</f>
        <v/>
      </c>
      <c r="W2095" s="40" t="str">
        <f t="shared" si="66"/>
        <v/>
      </c>
      <c r="X2095" s="40" t="str">
        <f t="shared" si="67"/>
        <v/>
      </c>
      <c r="Y2095" s="40" t="str">
        <f>TEXT(Table1[[#This Row],[YEAR]],"0000")&amp;"-"&amp;Table1[[#This Row],[MONTH]]</f>
        <v>-</v>
      </c>
    </row>
    <row r="2096" spans="1:25" ht="15" customHeight="1" x14ac:dyDescent="0.35">
      <c r="A2096" s="24"/>
      <c r="B2096" s="38"/>
      <c r="C2096" s="38"/>
      <c r="D2096" s="38"/>
      <c r="E2096" s="37"/>
      <c r="F2096" s="38"/>
      <c r="G2096" s="198"/>
      <c r="H2096" s="198"/>
      <c r="I2096" s="39"/>
      <c r="J2096" s="38"/>
      <c r="K2096" s="198"/>
      <c r="L2096" s="38"/>
      <c r="M2096" s="38"/>
      <c r="N2096" s="38"/>
      <c r="O2096" s="38"/>
      <c r="P2096" s="40" t="str" cm="1">
        <f t="array" ref="P2096">IF(N2096="","",IFERROR(_xlfn.XLOOKUP(F2096&amp;"|"&amp;J2096&amp;"|"&amp;O2096,PRICES!$C$2:$C$659&amp;"|"&amp;PRICES!$B$2:$B$659&amp;"|"&amp;PRICES!$D$2:$D$659,PRICES!$E$2:$E$659),"Not Found"))</f>
        <v/>
      </c>
      <c r="Q2096" s="100" t="str">
        <f>IF(N2096=0,"",SUMIFS(PRICES!$G$2:$G$658,PRICES!$B$2:$B$658,'MAIN TABLE-1 AUTOMATED'!J2096,PRICES!$C$2:$C$658,'MAIN TABLE-1 AUTOMATED'!F2096,PRICES!$D$2:$D$658,'MAIN TABLE-1 AUTOMATED'!O2096))</f>
        <v/>
      </c>
      <c r="R2096" s="41" t="str">
        <f>IF(Table1[[#This Row],[QUANTITY]]=0,"",Table1[[#This Row],[UNIT PRICE]]*Table1[[#This Row],[QUANTITY]])</f>
        <v/>
      </c>
      <c r="S2096" s="89"/>
      <c r="T2096" s="38"/>
      <c r="U2096" s="43"/>
      <c r="V2096" s="42" t="str">
        <f>IF(Table1[[#This Row],[DATE]]=0,"",YEAR(E2096))</f>
        <v/>
      </c>
      <c r="W2096" s="40" t="str">
        <f t="shared" si="66"/>
        <v/>
      </c>
      <c r="X2096" s="40" t="str">
        <f t="shared" si="67"/>
        <v/>
      </c>
      <c r="Y2096" s="40" t="str">
        <f>TEXT(Table1[[#This Row],[YEAR]],"0000")&amp;"-"&amp;Table1[[#This Row],[MONTH]]</f>
        <v>-</v>
      </c>
    </row>
    <row r="2097" spans="1:25" ht="15" customHeight="1" x14ac:dyDescent="0.35">
      <c r="A2097" s="24"/>
      <c r="B2097" s="38"/>
      <c r="C2097" s="38"/>
      <c r="D2097" s="38"/>
      <c r="E2097" s="37"/>
      <c r="F2097" s="38"/>
      <c r="G2097" s="198"/>
      <c r="H2097" s="198"/>
      <c r="I2097" s="39"/>
      <c r="J2097" s="38"/>
      <c r="K2097" s="198"/>
      <c r="L2097" s="38"/>
      <c r="M2097" s="38"/>
      <c r="N2097" s="38"/>
      <c r="O2097" s="38"/>
      <c r="P2097" s="40" t="str" cm="1">
        <f t="array" ref="P2097">IF(N2097="","",IFERROR(_xlfn.XLOOKUP(F2097&amp;"|"&amp;J2097&amp;"|"&amp;O2097,PRICES!$C$2:$C$659&amp;"|"&amp;PRICES!$B$2:$B$659&amp;"|"&amp;PRICES!$D$2:$D$659,PRICES!$E$2:$E$659),"Not Found"))</f>
        <v/>
      </c>
      <c r="Q2097" s="100" t="str">
        <f>IF(N2097=0,"",SUMIFS(PRICES!$G$2:$G$658,PRICES!$B$2:$B$658,'MAIN TABLE-1 AUTOMATED'!J2097,PRICES!$C$2:$C$658,'MAIN TABLE-1 AUTOMATED'!F2097,PRICES!$D$2:$D$658,'MAIN TABLE-1 AUTOMATED'!O2097))</f>
        <v/>
      </c>
      <c r="R2097" s="41" t="str">
        <f>IF(Table1[[#This Row],[QUANTITY]]=0,"",Table1[[#This Row],[UNIT PRICE]]*Table1[[#This Row],[QUANTITY]])</f>
        <v/>
      </c>
      <c r="S2097" s="89"/>
      <c r="T2097" s="38"/>
      <c r="U2097" s="43"/>
      <c r="V2097" s="42" t="str">
        <f>IF(Table1[[#This Row],[DATE]]=0,"",YEAR(E2097))</f>
        <v/>
      </c>
      <c r="W2097" s="40" t="str">
        <f t="shared" si="66"/>
        <v/>
      </c>
      <c r="X2097" s="40" t="str">
        <f t="shared" si="67"/>
        <v/>
      </c>
      <c r="Y2097" s="40" t="str">
        <f>TEXT(Table1[[#This Row],[YEAR]],"0000")&amp;"-"&amp;Table1[[#This Row],[MONTH]]</f>
        <v>-</v>
      </c>
    </row>
    <row r="2098" spans="1:25" ht="15" customHeight="1" x14ac:dyDescent="0.35">
      <c r="A2098" s="24"/>
      <c r="B2098" s="38"/>
      <c r="C2098" s="38"/>
      <c r="D2098" s="38"/>
      <c r="E2098" s="37"/>
      <c r="F2098" s="38"/>
      <c r="G2098" s="198"/>
      <c r="H2098" s="198"/>
      <c r="I2098" s="39"/>
      <c r="J2098" s="38"/>
      <c r="K2098" s="198"/>
      <c r="L2098" s="38"/>
      <c r="M2098" s="38"/>
      <c r="N2098" s="38"/>
      <c r="O2098" s="38"/>
      <c r="P2098" s="40" t="str" cm="1">
        <f t="array" ref="P2098">IF(N2098="","",IFERROR(_xlfn.XLOOKUP(F2098&amp;"|"&amp;J2098&amp;"|"&amp;O2098,PRICES!$C$2:$C$659&amp;"|"&amp;PRICES!$B$2:$B$659&amp;"|"&amp;PRICES!$D$2:$D$659,PRICES!$E$2:$E$659),"Not Found"))</f>
        <v/>
      </c>
      <c r="Q2098" s="100" t="str">
        <f>IF(N2098=0,"",SUMIFS(PRICES!$G$2:$G$658,PRICES!$B$2:$B$658,'MAIN TABLE-1 AUTOMATED'!J2098,PRICES!$C$2:$C$658,'MAIN TABLE-1 AUTOMATED'!F2098,PRICES!$D$2:$D$658,'MAIN TABLE-1 AUTOMATED'!O2098))</f>
        <v/>
      </c>
      <c r="R2098" s="41" t="str">
        <f>IF(Table1[[#This Row],[QUANTITY]]=0,"",Table1[[#This Row],[UNIT PRICE]]*Table1[[#This Row],[QUANTITY]])</f>
        <v/>
      </c>
      <c r="S2098" s="89"/>
      <c r="T2098" s="38"/>
      <c r="U2098" s="43"/>
      <c r="V2098" s="42" t="str">
        <f>IF(Table1[[#This Row],[DATE]]=0,"",YEAR(E2098))</f>
        <v/>
      </c>
      <c r="W2098" s="40" t="str">
        <f t="shared" si="66"/>
        <v/>
      </c>
      <c r="X2098" s="40" t="str">
        <f t="shared" si="67"/>
        <v/>
      </c>
      <c r="Y2098" s="40" t="str">
        <f>TEXT(Table1[[#This Row],[YEAR]],"0000")&amp;"-"&amp;Table1[[#This Row],[MONTH]]</f>
        <v>-</v>
      </c>
    </row>
    <row r="2099" spans="1:25" ht="15" customHeight="1" x14ac:dyDescent="0.35">
      <c r="A2099" s="24"/>
      <c r="B2099" s="38"/>
      <c r="C2099" s="38"/>
      <c r="D2099" s="38"/>
      <c r="E2099" s="37"/>
      <c r="F2099" s="38"/>
      <c r="G2099" s="198"/>
      <c r="H2099" s="198"/>
      <c r="I2099" s="39"/>
      <c r="J2099" s="38"/>
      <c r="K2099" s="198"/>
      <c r="L2099" s="38"/>
      <c r="M2099" s="38"/>
      <c r="N2099" s="38"/>
      <c r="O2099" s="38"/>
      <c r="P2099" s="40" t="str" cm="1">
        <f t="array" ref="P2099">IF(N2099="","",IFERROR(_xlfn.XLOOKUP(F2099&amp;"|"&amp;J2099&amp;"|"&amp;O2099,PRICES!$C$2:$C$659&amp;"|"&amp;PRICES!$B$2:$B$659&amp;"|"&amp;PRICES!$D$2:$D$659,PRICES!$E$2:$E$659),"Not Found"))</f>
        <v/>
      </c>
      <c r="Q2099" s="100" t="str">
        <f>IF(N2099=0,"",SUMIFS(PRICES!$G$2:$G$658,PRICES!$B$2:$B$658,'MAIN TABLE-1 AUTOMATED'!J2099,PRICES!$C$2:$C$658,'MAIN TABLE-1 AUTOMATED'!F2099,PRICES!$D$2:$D$658,'MAIN TABLE-1 AUTOMATED'!O2099))</f>
        <v/>
      </c>
      <c r="R2099" s="41" t="str">
        <f>IF(Table1[[#This Row],[QUANTITY]]=0,"",Table1[[#This Row],[UNIT PRICE]]*Table1[[#This Row],[QUANTITY]])</f>
        <v/>
      </c>
      <c r="S2099" s="89"/>
      <c r="T2099" s="38"/>
      <c r="U2099" s="43"/>
      <c r="V2099" s="42" t="str">
        <f>IF(Table1[[#This Row],[DATE]]=0,"",YEAR(E2099))</f>
        <v/>
      </c>
      <c r="W2099" s="40" t="str">
        <f t="shared" si="66"/>
        <v/>
      </c>
      <c r="X2099" s="40" t="str">
        <f t="shared" si="67"/>
        <v/>
      </c>
      <c r="Y2099" s="40" t="str">
        <f>TEXT(Table1[[#This Row],[YEAR]],"0000")&amp;"-"&amp;Table1[[#This Row],[MONTH]]</f>
        <v>-</v>
      </c>
    </row>
    <row r="2100" spans="1:25" ht="15" customHeight="1" x14ac:dyDescent="0.35">
      <c r="A2100" s="24"/>
      <c r="B2100" s="38"/>
      <c r="C2100" s="38"/>
      <c r="D2100" s="38"/>
      <c r="E2100" s="37"/>
      <c r="F2100" s="38"/>
      <c r="G2100" s="198"/>
      <c r="H2100" s="198"/>
      <c r="I2100" s="39"/>
      <c r="J2100" s="38"/>
      <c r="K2100" s="198"/>
      <c r="L2100" s="38"/>
      <c r="M2100" s="38"/>
      <c r="N2100" s="38"/>
      <c r="O2100" s="38"/>
      <c r="P2100" s="40" t="str" cm="1">
        <f t="array" ref="P2100">IF(N2100="","",IFERROR(_xlfn.XLOOKUP(F2100&amp;"|"&amp;J2100&amp;"|"&amp;O2100,PRICES!$C$2:$C$659&amp;"|"&amp;PRICES!$B$2:$B$659&amp;"|"&amp;PRICES!$D$2:$D$659,PRICES!$E$2:$E$659),"Not Found"))</f>
        <v/>
      </c>
      <c r="Q2100" s="100" t="str">
        <f>IF(N2100=0,"",SUMIFS(PRICES!$G$2:$G$658,PRICES!$B$2:$B$658,'MAIN TABLE-1 AUTOMATED'!J2100,PRICES!$C$2:$C$658,'MAIN TABLE-1 AUTOMATED'!F2100,PRICES!$D$2:$D$658,'MAIN TABLE-1 AUTOMATED'!O2100))</f>
        <v/>
      </c>
      <c r="R2100" s="41" t="str">
        <f>IF(Table1[[#This Row],[QUANTITY]]=0,"",Table1[[#This Row],[UNIT PRICE]]*Table1[[#This Row],[QUANTITY]])</f>
        <v/>
      </c>
      <c r="S2100" s="89"/>
      <c r="T2100" s="38"/>
      <c r="U2100" s="43"/>
      <c r="V2100" s="42" t="str">
        <f>IF(Table1[[#This Row],[DATE]]=0,"",YEAR(E2100))</f>
        <v/>
      </c>
      <c r="W2100" s="40" t="str">
        <f t="shared" si="66"/>
        <v/>
      </c>
      <c r="X2100" s="40" t="str">
        <f t="shared" si="67"/>
        <v/>
      </c>
      <c r="Y2100" s="40" t="str">
        <f>TEXT(Table1[[#This Row],[YEAR]],"0000")&amp;"-"&amp;Table1[[#This Row],[MONTH]]</f>
        <v>-</v>
      </c>
    </row>
    <row r="2101" spans="1:25" ht="15" customHeight="1" x14ac:dyDescent="0.35">
      <c r="A2101" s="24"/>
      <c r="B2101" s="38"/>
      <c r="C2101" s="38"/>
      <c r="D2101" s="38"/>
      <c r="E2101" s="37"/>
      <c r="F2101" s="38"/>
      <c r="G2101" s="198"/>
      <c r="H2101" s="198"/>
      <c r="I2101" s="39"/>
      <c r="J2101" s="38"/>
      <c r="K2101" s="198"/>
      <c r="L2101" s="38"/>
      <c r="M2101" s="38"/>
      <c r="N2101" s="38"/>
      <c r="O2101" s="38"/>
      <c r="P2101" s="40" t="str" cm="1">
        <f t="array" ref="P2101">IF(N2101="","",IFERROR(_xlfn.XLOOKUP(F2101&amp;"|"&amp;J2101&amp;"|"&amp;O2101,PRICES!$C$2:$C$659&amp;"|"&amp;PRICES!$B$2:$B$659&amp;"|"&amp;PRICES!$D$2:$D$659,PRICES!$E$2:$E$659),"Not Found"))</f>
        <v/>
      </c>
      <c r="Q2101" s="100" t="str">
        <f>IF(N2101=0,"",SUMIFS(PRICES!$G$2:$G$658,PRICES!$B$2:$B$658,'MAIN TABLE-1 AUTOMATED'!J2101,PRICES!$C$2:$C$658,'MAIN TABLE-1 AUTOMATED'!F2101,PRICES!$D$2:$D$658,'MAIN TABLE-1 AUTOMATED'!O2101))</f>
        <v/>
      </c>
      <c r="R2101" s="41" t="str">
        <f>IF(Table1[[#This Row],[QUANTITY]]=0,"",Table1[[#This Row],[UNIT PRICE]]*Table1[[#This Row],[QUANTITY]])</f>
        <v/>
      </c>
      <c r="S2101" s="89"/>
      <c r="T2101" s="38"/>
      <c r="U2101" s="43"/>
      <c r="V2101" s="42" t="str">
        <f>IF(Table1[[#This Row],[DATE]]=0,"",YEAR(E2101))</f>
        <v/>
      </c>
      <c r="W2101" s="40" t="str">
        <f t="shared" si="66"/>
        <v/>
      </c>
      <c r="X2101" s="40" t="str">
        <f t="shared" si="67"/>
        <v/>
      </c>
      <c r="Y2101" s="40" t="str">
        <f>TEXT(Table1[[#This Row],[YEAR]],"0000")&amp;"-"&amp;Table1[[#This Row],[MONTH]]</f>
        <v>-</v>
      </c>
    </row>
    <row r="2102" spans="1:25" ht="15" customHeight="1" x14ac:dyDescent="0.35">
      <c r="A2102" s="24"/>
      <c r="B2102" s="38"/>
      <c r="C2102" s="38"/>
      <c r="D2102" s="38"/>
      <c r="E2102" s="37"/>
      <c r="F2102" s="38"/>
      <c r="G2102" s="198"/>
      <c r="H2102" s="198"/>
      <c r="I2102" s="39"/>
      <c r="J2102" s="38"/>
      <c r="K2102" s="198"/>
      <c r="L2102" s="38"/>
      <c r="M2102" s="38"/>
      <c r="N2102" s="38"/>
      <c r="O2102" s="38"/>
      <c r="P2102" s="40" t="str" cm="1">
        <f t="array" ref="P2102">IF(N2102="","",IFERROR(_xlfn.XLOOKUP(F2102&amp;"|"&amp;J2102&amp;"|"&amp;O2102,PRICES!$C$2:$C$659&amp;"|"&amp;PRICES!$B$2:$B$659&amp;"|"&amp;PRICES!$D$2:$D$659,PRICES!$E$2:$E$659),"Not Found"))</f>
        <v/>
      </c>
      <c r="Q2102" s="100" t="str">
        <f>IF(N2102=0,"",SUMIFS(PRICES!$G$2:$G$658,PRICES!$B$2:$B$658,'MAIN TABLE-1 AUTOMATED'!J2102,PRICES!$C$2:$C$658,'MAIN TABLE-1 AUTOMATED'!F2102,PRICES!$D$2:$D$658,'MAIN TABLE-1 AUTOMATED'!O2102))</f>
        <v/>
      </c>
      <c r="R2102" s="41" t="str">
        <f>IF(Table1[[#This Row],[QUANTITY]]=0,"",Table1[[#This Row],[UNIT PRICE]]*Table1[[#This Row],[QUANTITY]])</f>
        <v/>
      </c>
      <c r="S2102" s="89"/>
      <c r="T2102" s="38"/>
      <c r="U2102" s="43"/>
      <c r="V2102" s="42" t="str">
        <f>IF(Table1[[#This Row],[DATE]]=0,"",YEAR(E2102))</f>
        <v/>
      </c>
      <c r="W2102" s="40" t="str">
        <f t="shared" si="66"/>
        <v/>
      </c>
      <c r="X2102" s="40" t="str">
        <f t="shared" si="67"/>
        <v/>
      </c>
      <c r="Y2102" s="40" t="str">
        <f>TEXT(Table1[[#This Row],[YEAR]],"0000")&amp;"-"&amp;Table1[[#This Row],[MONTH]]</f>
        <v>-</v>
      </c>
    </row>
    <row r="2103" spans="1:25" ht="15" customHeight="1" x14ac:dyDescent="0.35">
      <c r="A2103" s="24"/>
      <c r="B2103" s="38"/>
      <c r="C2103" s="38"/>
      <c r="D2103" s="38"/>
      <c r="E2103" s="37"/>
      <c r="F2103" s="38"/>
      <c r="G2103" s="198"/>
      <c r="H2103" s="198"/>
      <c r="I2103" s="39"/>
      <c r="J2103" s="38"/>
      <c r="K2103" s="198"/>
      <c r="L2103" s="38"/>
      <c r="M2103" s="38"/>
      <c r="N2103" s="38"/>
      <c r="O2103" s="38"/>
      <c r="P2103" s="40" t="str" cm="1">
        <f t="array" ref="P2103">IF(N2103="","",IFERROR(_xlfn.XLOOKUP(F2103&amp;"|"&amp;J2103&amp;"|"&amp;O2103,PRICES!$C$2:$C$659&amp;"|"&amp;PRICES!$B$2:$B$659&amp;"|"&amp;PRICES!$D$2:$D$659,PRICES!$E$2:$E$659),"Not Found"))</f>
        <v/>
      </c>
      <c r="Q2103" s="100" t="str">
        <f>IF(N2103=0,"",SUMIFS(PRICES!$G$2:$G$658,PRICES!$B$2:$B$658,'MAIN TABLE-1 AUTOMATED'!J2103,PRICES!$C$2:$C$658,'MAIN TABLE-1 AUTOMATED'!F2103,PRICES!$D$2:$D$658,'MAIN TABLE-1 AUTOMATED'!O2103))</f>
        <v/>
      </c>
      <c r="R2103" s="41" t="str">
        <f>IF(Table1[[#This Row],[QUANTITY]]=0,"",Table1[[#This Row],[UNIT PRICE]]*Table1[[#This Row],[QUANTITY]])</f>
        <v/>
      </c>
      <c r="S2103" s="89"/>
      <c r="T2103" s="38"/>
      <c r="U2103" s="43"/>
      <c r="V2103" s="42" t="str">
        <f>IF(Table1[[#This Row],[DATE]]=0,"",YEAR(E2103))</f>
        <v/>
      </c>
      <c r="W2103" s="40" t="str">
        <f t="shared" si="66"/>
        <v/>
      </c>
      <c r="X2103" s="40" t="str">
        <f t="shared" si="67"/>
        <v/>
      </c>
      <c r="Y2103" s="40" t="str">
        <f>TEXT(Table1[[#This Row],[YEAR]],"0000")&amp;"-"&amp;Table1[[#This Row],[MONTH]]</f>
        <v>-</v>
      </c>
    </row>
    <row r="2104" spans="1:25" ht="15" customHeight="1" x14ac:dyDescent="0.35">
      <c r="A2104" s="24"/>
      <c r="B2104" s="38"/>
      <c r="C2104" s="38"/>
      <c r="D2104" s="38"/>
      <c r="E2104" s="37"/>
      <c r="F2104" s="38"/>
      <c r="G2104" s="198"/>
      <c r="H2104" s="198"/>
      <c r="I2104" s="39"/>
      <c r="J2104" s="38"/>
      <c r="K2104" s="198"/>
      <c r="L2104" s="38"/>
      <c r="M2104" s="38"/>
      <c r="N2104" s="38"/>
      <c r="O2104" s="38"/>
      <c r="P2104" s="40" t="str" cm="1">
        <f t="array" ref="P2104">IF(N2104="","",IFERROR(_xlfn.XLOOKUP(F2104&amp;"|"&amp;J2104&amp;"|"&amp;O2104,PRICES!$C$2:$C$659&amp;"|"&amp;PRICES!$B$2:$B$659&amp;"|"&amp;PRICES!$D$2:$D$659,PRICES!$E$2:$E$659),"Not Found"))</f>
        <v/>
      </c>
      <c r="Q2104" s="100" t="str">
        <f>IF(N2104=0,"",SUMIFS(PRICES!$G$2:$G$658,PRICES!$B$2:$B$658,'MAIN TABLE-1 AUTOMATED'!J2104,PRICES!$C$2:$C$658,'MAIN TABLE-1 AUTOMATED'!F2104,PRICES!$D$2:$D$658,'MAIN TABLE-1 AUTOMATED'!O2104))</f>
        <v/>
      </c>
      <c r="R2104" s="41" t="str">
        <f>IF(Table1[[#This Row],[QUANTITY]]=0,"",Table1[[#This Row],[UNIT PRICE]]*Table1[[#This Row],[QUANTITY]])</f>
        <v/>
      </c>
      <c r="S2104" s="89"/>
      <c r="T2104" s="38"/>
      <c r="U2104" s="43"/>
      <c r="V2104" s="42" t="str">
        <f>IF(Table1[[#This Row],[DATE]]=0,"",YEAR(E2104))</f>
        <v/>
      </c>
      <c r="W2104" s="40" t="str">
        <f t="shared" si="66"/>
        <v/>
      </c>
      <c r="X2104" s="40" t="str">
        <f t="shared" si="67"/>
        <v/>
      </c>
      <c r="Y2104" s="40" t="str">
        <f>TEXT(Table1[[#This Row],[YEAR]],"0000")&amp;"-"&amp;Table1[[#This Row],[MONTH]]</f>
        <v>-</v>
      </c>
    </row>
    <row r="2105" spans="1:25" ht="15" customHeight="1" x14ac:dyDescent="0.35">
      <c r="A2105" s="24"/>
      <c r="B2105" s="38"/>
      <c r="C2105" s="38"/>
      <c r="D2105" s="38"/>
      <c r="E2105" s="37"/>
      <c r="F2105" s="38"/>
      <c r="G2105" s="198"/>
      <c r="H2105" s="198"/>
      <c r="I2105" s="39"/>
      <c r="J2105" s="38"/>
      <c r="K2105" s="198"/>
      <c r="L2105" s="38"/>
      <c r="M2105" s="38"/>
      <c r="N2105" s="38"/>
      <c r="O2105" s="38"/>
      <c r="P2105" s="40" t="str" cm="1">
        <f t="array" ref="P2105">IF(N2105="","",IFERROR(_xlfn.XLOOKUP(F2105&amp;"|"&amp;J2105&amp;"|"&amp;O2105,PRICES!$C$2:$C$659&amp;"|"&amp;PRICES!$B$2:$B$659&amp;"|"&amp;PRICES!$D$2:$D$659,PRICES!$E$2:$E$659),"Not Found"))</f>
        <v/>
      </c>
      <c r="Q2105" s="100" t="str">
        <f>IF(N2105=0,"",SUMIFS(PRICES!$G$2:$G$658,PRICES!$B$2:$B$658,'MAIN TABLE-1 AUTOMATED'!J2105,PRICES!$C$2:$C$658,'MAIN TABLE-1 AUTOMATED'!F2105,PRICES!$D$2:$D$658,'MAIN TABLE-1 AUTOMATED'!O2105))</f>
        <v/>
      </c>
      <c r="R2105" s="41" t="str">
        <f>IF(Table1[[#This Row],[QUANTITY]]=0,"",Table1[[#This Row],[UNIT PRICE]]*Table1[[#This Row],[QUANTITY]])</f>
        <v/>
      </c>
      <c r="S2105" s="89"/>
      <c r="T2105" s="38"/>
      <c r="U2105" s="43"/>
      <c r="V2105" s="42" t="str">
        <f>IF(Table1[[#This Row],[DATE]]=0,"",YEAR(E2105))</f>
        <v/>
      </c>
      <c r="W2105" s="40" t="str">
        <f t="shared" si="66"/>
        <v/>
      </c>
      <c r="X2105" s="40" t="str">
        <f t="shared" si="67"/>
        <v/>
      </c>
      <c r="Y2105" s="40" t="str">
        <f>TEXT(Table1[[#This Row],[YEAR]],"0000")&amp;"-"&amp;Table1[[#This Row],[MONTH]]</f>
        <v>-</v>
      </c>
    </row>
    <row r="2106" spans="1:25" ht="15" customHeight="1" x14ac:dyDescent="0.35">
      <c r="A2106" s="24"/>
      <c r="B2106" s="38"/>
      <c r="C2106" s="38"/>
      <c r="D2106" s="38"/>
      <c r="E2106" s="37"/>
      <c r="F2106" s="38"/>
      <c r="G2106" s="198"/>
      <c r="H2106" s="198"/>
      <c r="I2106" s="39"/>
      <c r="J2106" s="38"/>
      <c r="K2106" s="198"/>
      <c r="L2106" s="38"/>
      <c r="M2106" s="38"/>
      <c r="N2106" s="38"/>
      <c r="O2106" s="38"/>
      <c r="P2106" s="40" t="str" cm="1">
        <f t="array" ref="P2106">IF(N2106="","",IFERROR(_xlfn.XLOOKUP(F2106&amp;"|"&amp;J2106&amp;"|"&amp;O2106,PRICES!$C$2:$C$659&amp;"|"&amp;PRICES!$B$2:$B$659&amp;"|"&amp;PRICES!$D$2:$D$659,PRICES!$E$2:$E$659),"Not Found"))</f>
        <v/>
      </c>
      <c r="Q2106" s="100" t="str">
        <f>IF(N2106=0,"",SUMIFS(PRICES!$G$2:$G$658,PRICES!$B$2:$B$658,'MAIN TABLE-1 AUTOMATED'!J2106,PRICES!$C$2:$C$658,'MAIN TABLE-1 AUTOMATED'!F2106,PRICES!$D$2:$D$658,'MAIN TABLE-1 AUTOMATED'!O2106))</f>
        <v/>
      </c>
      <c r="R2106" s="41" t="str">
        <f>IF(Table1[[#This Row],[QUANTITY]]=0,"",Table1[[#This Row],[UNIT PRICE]]*Table1[[#This Row],[QUANTITY]])</f>
        <v/>
      </c>
      <c r="S2106" s="89"/>
      <c r="T2106" s="38"/>
      <c r="U2106" s="43"/>
      <c r="V2106" s="42" t="str">
        <f>IF(Table1[[#This Row],[DATE]]=0,"",YEAR(E2106))</f>
        <v/>
      </c>
      <c r="W2106" s="40" t="str">
        <f t="shared" si="66"/>
        <v/>
      </c>
      <c r="X2106" s="40" t="str">
        <f t="shared" si="67"/>
        <v/>
      </c>
      <c r="Y2106" s="40" t="str">
        <f>TEXT(Table1[[#This Row],[YEAR]],"0000")&amp;"-"&amp;Table1[[#This Row],[MONTH]]</f>
        <v>-</v>
      </c>
    </row>
    <row r="2107" spans="1:25" ht="15" customHeight="1" x14ac:dyDescent="0.35">
      <c r="A2107" s="24"/>
      <c r="B2107" s="38"/>
      <c r="C2107" s="38"/>
      <c r="D2107" s="38"/>
      <c r="E2107" s="37"/>
      <c r="F2107" s="38"/>
      <c r="G2107" s="198"/>
      <c r="H2107" s="198"/>
      <c r="I2107" s="39"/>
      <c r="J2107" s="38"/>
      <c r="K2107" s="198"/>
      <c r="L2107" s="38"/>
      <c r="M2107" s="38"/>
      <c r="N2107" s="38"/>
      <c r="O2107" s="38"/>
      <c r="P2107" s="40" t="str" cm="1">
        <f t="array" ref="P2107">IF(N2107="","",IFERROR(_xlfn.XLOOKUP(F2107&amp;"|"&amp;J2107&amp;"|"&amp;O2107,PRICES!$C$2:$C$659&amp;"|"&amp;PRICES!$B$2:$B$659&amp;"|"&amp;PRICES!$D$2:$D$659,PRICES!$E$2:$E$659),"Not Found"))</f>
        <v/>
      </c>
      <c r="Q2107" s="100" t="str">
        <f>IF(N2107=0,"",SUMIFS(PRICES!$G$2:$G$658,PRICES!$B$2:$B$658,'MAIN TABLE-1 AUTOMATED'!J2107,PRICES!$C$2:$C$658,'MAIN TABLE-1 AUTOMATED'!F2107,PRICES!$D$2:$D$658,'MAIN TABLE-1 AUTOMATED'!O2107))</f>
        <v/>
      </c>
      <c r="R2107" s="41" t="str">
        <f>IF(Table1[[#This Row],[QUANTITY]]=0,"",Table1[[#This Row],[UNIT PRICE]]*Table1[[#This Row],[QUANTITY]])</f>
        <v/>
      </c>
      <c r="S2107" s="89"/>
      <c r="T2107" s="38"/>
      <c r="U2107" s="43"/>
      <c r="V2107" s="42" t="str">
        <f>IF(Table1[[#This Row],[DATE]]=0,"",YEAR(E2107))</f>
        <v/>
      </c>
      <c r="W2107" s="40" t="str">
        <f t="shared" si="66"/>
        <v/>
      </c>
      <c r="X2107" s="40" t="str">
        <f t="shared" si="67"/>
        <v/>
      </c>
      <c r="Y2107" s="40" t="str">
        <f>TEXT(Table1[[#This Row],[YEAR]],"0000")&amp;"-"&amp;Table1[[#This Row],[MONTH]]</f>
        <v>-</v>
      </c>
    </row>
    <row r="2108" spans="1:25" ht="15" customHeight="1" x14ac:dyDescent="0.35">
      <c r="A2108" s="24"/>
      <c r="B2108" s="38"/>
      <c r="C2108" s="38"/>
      <c r="D2108" s="38"/>
      <c r="E2108" s="37"/>
      <c r="F2108" s="38"/>
      <c r="G2108" s="198"/>
      <c r="H2108" s="198"/>
      <c r="I2108" s="39"/>
      <c r="J2108" s="38"/>
      <c r="K2108" s="198"/>
      <c r="L2108" s="38"/>
      <c r="M2108" s="38"/>
      <c r="N2108" s="38"/>
      <c r="O2108" s="38"/>
      <c r="P2108" s="40" t="str" cm="1">
        <f t="array" ref="P2108">IF(N2108="","",IFERROR(_xlfn.XLOOKUP(F2108&amp;"|"&amp;J2108&amp;"|"&amp;O2108,PRICES!$C$2:$C$659&amp;"|"&amp;PRICES!$B$2:$B$659&amp;"|"&amp;PRICES!$D$2:$D$659,PRICES!$E$2:$E$659),"Not Found"))</f>
        <v/>
      </c>
      <c r="Q2108" s="100" t="str">
        <f>IF(N2108=0,"",SUMIFS(PRICES!$G$2:$G$658,PRICES!$B$2:$B$658,'MAIN TABLE-1 AUTOMATED'!J2108,PRICES!$C$2:$C$658,'MAIN TABLE-1 AUTOMATED'!F2108,PRICES!$D$2:$D$658,'MAIN TABLE-1 AUTOMATED'!O2108))</f>
        <v/>
      </c>
      <c r="R2108" s="41" t="str">
        <f>IF(Table1[[#This Row],[QUANTITY]]=0,"",Table1[[#This Row],[UNIT PRICE]]*Table1[[#This Row],[QUANTITY]])</f>
        <v/>
      </c>
      <c r="S2108" s="89"/>
      <c r="T2108" s="38"/>
      <c r="U2108" s="43"/>
      <c r="V2108" s="42" t="str">
        <f>IF(Table1[[#This Row],[DATE]]=0,"",YEAR(E2108))</f>
        <v/>
      </c>
      <c r="W2108" s="40" t="str">
        <f t="shared" si="66"/>
        <v/>
      </c>
      <c r="X2108" s="40" t="str">
        <f t="shared" si="67"/>
        <v/>
      </c>
      <c r="Y2108" s="40" t="str">
        <f>TEXT(Table1[[#This Row],[YEAR]],"0000")&amp;"-"&amp;Table1[[#This Row],[MONTH]]</f>
        <v>-</v>
      </c>
    </row>
    <row r="2109" spans="1:25" ht="15" customHeight="1" x14ac:dyDescent="0.35">
      <c r="A2109" s="24"/>
      <c r="B2109" s="38"/>
      <c r="C2109" s="38"/>
      <c r="D2109" s="38"/>
      <c r="E2109" s="37"/>
      <c r="F2109" s="38"/>
      <c r="G2109" s="198"/>
      <c r="H2109" s="198"/>
      <c r="I2109" s="39"/>
      <c r="J2109" s="38"/>
      <c r="K2109" s="198"/>
      <c r="L2109" s="38"/>
      <c r="M2109" s="38"/>
      <c r="N2109" s="38"/>
      <c r="O2109" s="38"/>
      <c r="P2109" s="40" t="str" cm="1">
        <f t="array" ref="P2109">IF(N2109="","",IFERROR(_xlfn.XLOOKUP(F2109&amp;"|"&amp;J2109&amp;"|"&amp;O2109,PRICES!$C$2:$C$659&amp;"|"&amp;PRICES!$B$2:$B$659&amp;"|"&amp;PRICES!$D$2:$D$659,PRICES!$E$2:$E$659),"Not Found"))</f>
        <v/>
      </c>
      <c r="Q2109" s="100" t="str">
        <f>IF(N2109=0,"",SUMIFS(PRICES!$G$2:$G$658,PRICES!$B$2:$B$658,'MAIN TABLE-1 AUTOMATED'!J2109,PRICES!$C$2:$C$658,'MAIN TABLE-1 AUTOMATED'!F2109,PRICES!$D$2:$D$658,'MAIN TABLE-1 AUTOMATED'!O2109))</f>
        <v/>
      </c>
      <c r="R2109" s="41" t="str">
        <f>IF(Table1[[#This Row],[QUANTITY]]=0,"",Table1[[#This Row],[UNIT PRICE]]*Table1[[#This Row],[QUANTITY]])</f>
        <v/>
      </c>
      <c r="S2109" s="89"/>
      <c r="T2109" s="38"/>
      <c r="U2109" s="43"/>
      <c r="V2109" s="42" t="str">
        <f>IF(Table1[[#This Row],[DATE]]=0,"",YEAR(E2109))</f>
        <v/>
      </c>
      <c r="W2109" s="40" t="str">
        <f t="shared" si="66"/>
        <v/>
      </c>
      <c r="X2109" s="40" t="str">
        <f t="shared" si="67"/>
        <v/>
      </c>
      <c r="Y2109" s="40" t="str">
        <f>TEXT(Table1[[#This Row],[YEAR]],"0000")&amp;"-"&amp;Table1[[#This Row],[MONTH]]</f>
        <v>-</v>
      </c>
    </row>
    <row r="2110" spans="1:25" ht="15" customHeight="1" x14ac:dyDescent="0.35">
      <c r="A2110" s="24"/>
      <c r="B2110" s="38"/>
      <c r="C2110" s="38"/>
      <c r="D2110" s="38"/>
      <c r="E2110" s="37"/>
      <c r="F2110" s="38"/>
      <c r="G2110" s="198"/>
      <c r="H2110" s="198"/>
      <c r="I2110" s="39"/>
      <c r="J2110" s="38"/>
      <c r="K2110" s="198"/>
      <c r="L2110" s="38"/>
      <c r="M2110" s="38"/>
      <c r="N2110" s="38"/>
      <c r="O2110" s="38"/>
      <c r="P2110" s="40" t="str" cm="1">
        <f t="array" ref="P2110">IF(N2110="","",IFERROR(_xlfn.XLOOKUP(F2110&amp;"|"&amp;J2110&amp;"|"&amp;O2110,PRICES!$C$2:$C$659&amp;"|"&amp;PRICES!$B$2:$B$659&amp;"|"&amp;PRICES!$D$2:$D$659,PRICES!$E$2:$E$659),"Not Found"))</f>
        <v/>
      </c>
      <c r="Q2110" s="100" t="str">
        <f>IF(N2110=0,"",SUMIFS(PRICES!$G$2:$G$658,PRICES!$B$2:$B$658,'MAIN TABLE-1 AUTOMATED'!J2110,PRICES!$C$2:$C$658,'MAIN TABLE-1 AUTOMATED'!F2110,PRICES!$D$2:$D$658,'MAIN TABLE-1 AUTOMATED'!O2110))</f>
        <v/>
      </c>
      <c r="R2110" s="41" t="str">
        <f>IF(Table1[[#This Row],[QUANTITY]]=0,"",Table1[[#This Row],[UNIT PRICE]]*Table1[[#This Row],[QUANTITY]])</f>
        <v/>
      </c>
      <c r="S2110" s="89"/>
      <c r="T2110" s="38"/>
      <c r="U2110" s="43"/>
      <c r="V2110" s="42" t="str">
        <f>IF(Table1[[#This Row],[DATE]]=0,"",YEAR(E2110))</f>
        <v/>
      </c>
      <c r="W2110" s="40" t="str">
        <f t="shared" si="66"/>
        <v/>
      </c>
      <c r="X2110" s="40" t="str">
        <f t="shared" si="67"/>
        <v/>
      </c>
      <c r="Y2110" s="40" t="str">
        <f>TEXT(Table1[[#This Row],[YEAR]],"0000")&amp;"-"&amp;Table1[[#This Row],[MONTH]]</f>
        <v>-</v>
      </c>
    </row>
    <row r="2111" spans="1:25" ht="15" customHeight="1" x14ac:dyDescent="0.35">
      <c r="A2111" s="24"/>
      <c r="B2111" s="38"/>
      <c r="C2111" s="38"/>
      <c r="D2111" s="38"/>
      <c r="E2111" s="37"/>
      <c r="F2111" s="38"/>
      <c r="G2111" s="198"/>
      <c r="H2111" s="198"/>
      <c r="I2111" s="39"/>
      <c r="J2111" s="38"/>
      <c r="K2111" s="198"/>
      <c r="L2111" s="38"/>
      <c r="M2111" s="38"/>
      <c r="N2111" s="38"/>
      <c r="O2111" s="38"/>
      <c r="P2111" s="40" t="str" cm="1">
        <f t="array" ref="P2111">IF(N2111="","",IFERROR(_xlfn.XLOOKUP(F2111&amp;"|"&amp;J2111&amp;"|"&amp;O2111,PRICES!$C$2:$C$659&amp;"|"&amp;PRICES!$B$2:$B$659&amp;"|"&amp;PRICES!$D$2:$D$659,PRICES!$E$2:$E$659),"Not Found"))</f>
        <v/>
      </c>
      <c r="Q2111" s="100" t="str">
        <f>IF(N2111=0,"",SUMIFS(PRICES!$G$2:$G$658,PRICES!$B$2:$B$658,'MAIN TABLE-1 AUTOMATED'!J2111,PRICES!$C$2:$C$658,'MAIN TABLE-1 AUTOMATED'!F2111,PRICES!$D$2:$D$658,'MAIN TABLE-1 AUTOMATED'!O2111))</f>
        <v/>
      </c>
      <c r="R2111" s="41" t="str">
        <f>IF(Table1[[#This Row],[QUANTITY]]=0,"",Table1[[#This Row],[UNIT PRICE]]*Table1[[#This Row],[QUANTITY]])</f>
        <v/>
      </c>
      <c r="S2111" s="89"/>
      <c r="T2111" s="38"/>
      <c r="U2111" s="43"/>
      <c r="V2111" s="42" t="str">
        <f>IF(Table1[[#This Row],[DATE]]=0,"",YEAR(E2111))</f>
        <v/>
      </c>
      <c r="W2111" s="40" t="str">
        <f t="shared" si="66"/>
        <v/>
      </c>
      <c r="X2111" s="40" t="str">
        <f t="shared" si="67"/>
        <v/>
      </c>
      <c r="Y2111" s="40" t="str">
        <f>TEXT(Table1[[#This Row],[YEAR]],"0000")&amp;"-"&amp;Table1[[#This Row],[MONTH]]</f>
        <v>-</v>
      </c>
    </row>
    <row r="2112" spans="1:25" ht="15" customHeight="1" x14ac:dyDescent="0.35">
      <c r="A2112" s="24"/>
      <c r="B2112" s="38"/>
      <c r="C2112" s="38"/>
      <c r="D2112" s="38"/>
      <c r="E2112" s="37"/>
      <c r="F2112" s="38"/>
      <c r="G2112" s="198"/>
      <c r="H2112" s="198"/>
      <c r="I2112" s="39"/>
      <c r="J2112" s="38"/>
      <c r="K2112" s="198"/>
      <c r="L2112" s="38"/>
      <c r="M2112" s="38"/>
      <c r="N2112" s="38"/>
      <c r="O2112" s="38"/>
      <c r="P2112" s="40" t="str" cm="1">
        <f t="array" ref="P2112">IF(N2112="","",IFERROR(_xlfn.XLOOKUP(F2112&amp;"|"&amp;J2112&amp;"|"&amp;O2112,PRICES!$C$2:$C$659&amp;"|"&amp;PRICES!$B$2:$B$659&amp;"|"&amp;PRICES!$D$2:$D$659,PRICES!$E$2:$E$659),"Not Found"))</f>
        <v/>
      </c>
      <c r="Q2112" s="100" t="str">
        <f>IF(N2112=0,"",SUMIFS(PRICES!$G$2:$G$658,PRICES!$B$2:$B$658,'MAIN TABLE-1 AUTOMATED'!J2112,PRICES!$C$2:$C$658,'MAIN TABLE-1 AUTOMATED'!F2112,PRICES!$D$2:$D$658,'MAIN TABLE-1 AUTOMATED'!O2112))</f>
        <v/>
      </c>
      <c r="R2112" s="41" t="str">
        <f>IF(Table1[[#This Row],[QUANTITY]]=0,"",Table1[[#This Row],[UNIT PRICE]]*Table1[[#This Row],[QUANTITY]])</f>
        <v/>
      </c>
      <c r="S2112" s="89"/>
      <c r="T2112" s="38"/>
      <c r="U2112" s="43"/>
      <c r="V2112" s="42" t="str">
        <f>IF(Table1[[#This Row],[DATE]]=0,"",YEAR(E2112))</f>
        <v/>
      </c>
      <c r="W2112" s="40" t="str">
        <f t="shared" si="66"/>
        <v/>
      </c>
      <c r="X2112" s="40" t="str">
        <f t="shared" si="67"/>
        <v/>
      </c>
      <c r="Y2112" s="40" t="str">
        <f>TEXT(Table1[[#This Row],[YEAR]],"0000")&amp;"-"&amp;Table1[[#This Row],[MONTH]]</f>
        <v>-</v>
      </c>
    </row>
    <row r="2113" spans="1:25" ht="15" customHeight="1" x14ac:dyDescent="0.35">
      <c r="A2113" s="24"/>
      <c r="B2113" s="38"/>
      <c r="C2113" s="38"/>
      <c r="D2113" s="38"/>
      <c r="E2113" s="37"/>
      <c r="F2113" s="38"/>
      <c r="G2113" s="198"/>
      <c r="H2113" s="198"/>
      <c r="I2113" s="39"/>
      <c r="J2113" s="38"/>
      <c r="K2113" s="198"/>
      <c r="L2113" s="38"/>
      <c r="M2113" s="38"/>
      <c r="N2113" s="38"/>
      <c r="O2113" s="38"/>
      <c r="P2113" s="40" t="str" cm="1">
        <f t="array" ref="P2113">IF(N2113="","",IFERROR(_xlfn.XLOOKUP(F2113&amp;"|"&amp;J2113&amp;"|"&amp;O2113,PRICES!$C$2:$C$659&amp;"|"&amp;PRICES!$B$2:$B$659&amp;"|"&amp;PRICES!$D$2:$D$659,PRICES!$E$2:$E$659),"Not Found"))</f>
        <v/>
      </c>
      <c r="Q2113" s="100" t="str">
        <f>IF(N2113=0,"",SUMIFS(PRICES!$G$2:$G$658,PRICES!$B$2:$B$658,'MAIN TABLE-1 AUTOMATED'!J2113,PRICES!$C$2:$C$658,'MAIN TABLE-1 AUTOMATED'!F2113,PRICES!$D$2:$D$658,'MAIN TABLE-1 AUTOMATED'!O2113))</f>
        <v/>
      </c>
      <c r="R2113" s="41" t="str">
        <f>IF(Table1[[#This Row],[QUANTITY]]=0,"",Table1[[#This Row],[UNIT PRICE]]*Table1[[#This Row],[QUANTITY]])</f>
        <v/>
      </c>
      <c r="S2113" s="89"/>
      <c r="T2113" s="38"/>
      <c r="U2113" s="43"/>
      <c r="V2113" s="42" t="str">
        <f>IF(Table1[[#This Row],[DATE]]=0,"",YEAR(E2113))</f>
        <v/>
      </c>
      <c r="W2113" s="40" t="str">
        <f t="shared" si="66"/>
        <v/>
      </c>
      <c r="X2113" s="40" t="str">
        <f t="shared" si="67"/>
        <v/>
      </c>
      <c r="Y2113" s="40" t="str">
        <f>TEXT(Table1[[#This Row],[YEAR]],"0000")&amp;"-"&amp;Table1[[#This Row],[MONTH]]</f>
        <v>-</v>
      </c>
    </row>
    <row r="2114" spans="1:25" ht="15" customHeight="1" x14ac:dyDescent="0.35">
      <c r="A2114" s="24"/>
      <c r="B2114" s="38"/>
      <c r="C2114" s="38"/>
      <c r="D2114" s="38"/>
      <c r="E2114" s="37"/>
      <c r="F2114" s="38"/>
      <c r="G2114" s="198"/>
      <c r="H2114" s="198"/>
      <c r="I2114" s="39"/>
      <c r="J2114" s="38"/>
      <c r="K2114" s="198"/>
      <c r="L2114" s="38"/>
      <c r="M2114" s="38"/>
      <c r="N2114" s="38"/>
      <c r="O2114" s="38"/>
      <c r="P2114" s="40" t="str" cm="1">
        <f t="array" ref="P2114">IF(N2114="","",IFERROR(_xlfn.XLOOKUP(F2114&amp;"|"&amp;J2114&amp;"|"&amp;O2114,PRICES!$C$2:$C$659&amp;"|"&amp;PRICES!$B$2:$B$659&amp;"|"&amp;PRICES!$D$2:$D$659,PRICES!$E$2:$E$659),"Not Found"))</f>
        <v/>
      </c>
      <c r="Q2114" s="100" t="str">
        <f>IF(N2114=0,"",SUMIFS(PRICES!$G$2:$G$658,PRICES!$B$2:$B$658,'MAIN TABLE-1 AUTOMATED'!J2114,PRICES!$C$2:$C$658,'MAIN TABLE-1 AUTOMATED'!F2114,PRICES!$D$2:$D$658,'MAIN TABLE-1 AUTOMATED'!O2114))</f>
        <v/>
      </c>
      <c r="R2114" s="41" t="str">
        <f>IF(Table1[[#This Row],[QUANTITY]]=0,"",Table1[[#This Row],[UNIT PRICE]]*Table1[[#This Row],[QUANTITY]])</f>
        <v/>
      </c>
      <c r="S2114" s="89"/>
      <c r="T2114" s="38"/>
      <c r="U2114" s="43"/>
      <c r="V2114" s="42" t="str">
        <f>IF(Table1[[#This Row],[DATE]]=0,"",YEAR(E2114))</f>
        <v/>
      </c>
      <c r="W2114" s="40" t="str">
        <f t="shared" si="66"/>
        <v/>
      </c>
      <c r="X2114" s="40" t="str">
        <f t="shared" si="67"/>
        <v/>
      </c>
      <c r="Y2114" s="40" t="str">
        <f>TEXT(Table1[[#This Row],[YEAR]],"0000")&amp;"-"&amp;Table1[[#This Row],[MONTH]]</f>
        <v>-</v>
      </c>
    </row>
    <row r="2115" spans="1:25" ht="15" customHeight="1" x14ac:dyDescent="0.35">
      <c r="A2115" s="24"/>
      <c r="B2115" s="38"/>
      <c r="C2115" s="38"/>
      <c r="D2115" s="38"/>
      <c r="E2115" s="37"/>
      <c r="F2115" s="38"/>
      <c r="G2115" s="198"/>
      <c r="H2115" s="198"/>
      <c r="I2115" s="39"/>
      <c r="J2115" s="38"/>
      <c r="K2115" s="198"/>
      <c r="L2115" s="38"/>
      <c r="M2115" s="38"/>
      <c r="N2115" s="38"/>
      <c r="O2115" s="38"/>
      <c r="P2115" s="40" t="str" cm="1">
        <f t="array" ref="P2115">IF(N2115="","",IFERROR(_xlfn.XLOOKUP(F2115&amp;"|"&amp;J2115&amp;"|"&amp;O2115,PRICES!$C$2:$C$659&amp;"|"&amp;PRICES!$B$2:$B$659&amp;"|"&amp;PRICES!$D$2:$D$659,PRICES!$E$2:$E$659),"Not Found"))</f>
        <v/>
      </c>
      <c r="Q2115" s="100" t="str">
        <f>IF(N2115=0,"",SUMIFS(PRICES!$G$2:$G$658,PRICES!$B$2:$B$658,'MAIN TABLE-1 AUTOMATED'!J2115,PRICES!$C$2:$C$658,'MAIN TABLE-1 AUTOMATED'!F2115,PRICES!$D$2:$D$658,'MAIN TABLE-1 AUTOMATED'!O2115))</f>
        <v/>
      </c>
      <c r="R2115" s="41" t="str">
        <f>IF(Table1[[#This Row],[QUANTITY]]=0,"",Table1[[#This Row],[UNIT PRICE]]*Table1[[#This Row],[QUANTITY]])</f>
        <v/>
      </c>
      <c r="S2115" s="89"/>
      <c r="T2115" s="38"/>
      <c r="U2115" s="43"/>
      <c r="V2115" s="42" t="str">
        <f>IF(Table1[[#This Row],[DATE]]=0,"",YEAR(E2115))</f>
        <v/>
      </c>
      <c r="W2115" s="40" t="str">
        <f t="shared" si="66"/>
        <v/>
      </c>
      <c r="X2115" s="40" t="str">
        <f t="shared" si="67"/>
        <v/>
      </c>
      <c r="Y2115" s="40" t="str">
        <f>TEXT(Table1[[#This Row],[YEAR]],"0000")&amp;"-"&amp;Table1[[#This Row],[MONTH]]</f>
        <v>-</v>
      </c>
    </row>
    <row r="2116" spans="1:25" ht="15" customHeight="1" x14ac:dyDescent="0.35">
      <c r="A2116" s="24"/>
      <c r="B2116" s="38"/>
      <c r="C2116" s="38"/>
      <c r="D2116" s="38"/>
      <c r="E2116" s="37"/>
      <c r="F2116" s="38"/>
      <c r="G2116" s="198"/>
      <c r="H2116" s="198"/>
      <c r="I2116" s="39"/>
      <c r="J2116" s="38"/>
      <c r="K2116" s="198"/>
      <c r="L2116" s="38"/>
      <c r="M2116" s="38"/>
      <c r="N2116" s="38"/>
      <c r="O2116" s="38"/>
      <c r="P2116" s="40" t="str" cm="1">
        <f t="array" ref="P2116">IF(N2116="","",IFERROR(_xlfn.XLOOKUP(F2116&amp;"|"&amp;J2116&amp;"|"&amp;O2116,PRICES!$C$2:$C$659&amp;"|"&amp;PRICES!$B$2:$B$659&amp;"|"&amp;PRICES!$D$2:$D$659,PRICES!$E$2:$E$659),"Not Found"))</f>
        <v/>
      </c>
      <c r="Q2116" s="100" t="str">
        <f>IF(N2116=0,"",SUMIFS(PRICES!$G$2:$G$658,PRICES!$B$2:$B$658,'MAIN TABLE-1 AUTOMATED'!J2116,PRICES!$C$2:$C$658,'MAIN TABLE-1 AUTOMATED'!F2116,PRICES!$D$2:$D$658,'MAIN TABLE-1 AUTOMATED'!O2116))</f>
        <v/>
      </c>
      <c r="R2116" s="41" t="str">
        <f>IF(Table1[[#This Row],[QUANTITY]]=0,"",Table1[[#This Row],[UNIT PRICE]]*Table1[[#This Row],[QUANTITY]])</f>
        <v/>
      </c>
      <c r="S2116" s="89"/>
      <c r="T2116" s="38"/>
      <c r="U2116" s="43"/>
      <c r="V2116" s="42" t="str">
        <f>IF(Table1[[#This Row],[DATE]]=0,"",YEAR(E2116))</f>
        <v/>
      </c>
      <c r="W2116" s="40" t="str">
        <f t="shared" si="66"/>
        <v/>
      </c>
      <c r="X2116" s="40" t="str">
        <f t="shared" si="67"/>
        <v/>
      </c>
      <c r="Y2116" s="40" t="str">
        <f>TEXT(Table1[[#This Row],[YEAR]],"0000")&amp;"-"&amp;Table1[[#This Row],[MONTH]]</f>
        <v>-</v>
      </c>
    </row>
    <row r="2117" spans="1:25" ht="15" customHeight="1" x14ac:dyDescent="0.35">
      <c r="A2117" s="24"/>
      <c r="B2117" s="38"/>
      <c r="C2117" s="38"/>
      <c r="D2117" s="38"/>
      <c r="E2117" s="37"/>
      <c r="F2117" s="38"/>
      <c r="G2117" s="198"/>
      <c r="H2117" s="198"/>
      <c r="I2117" s="39"/>
      <c r="J2117" s="38"/>
      <c r="K2117" s="198"/>
      <c r="L2117" s="38"/>
      <c r="M2117" s="38"/>
      <c r="N2117" s="38"/>
      <c r="O2117" s="38"/>
      <c r="P2117" s="40" t="str" cm="1">
        <f t="array" ref="P2117">IF(N2117="","",IFERROR(_xlfn.XLOOKUP(F2117&amp;"|"&amp;J2117&amp;"|"&amp;O2117,PRICES!$C$2:$C$659&amp;"|"&amp;PRICES!$B$2:$B$659&amp;"|"&amp;PRICES!$D$2:$D$659,PRICES!$E$2:$E$659),"Not Found"))</f>
        <v/>
      </c>
      <c r="Q2117" s="100" t="str">
        <f>IF(N2117=0,"",SUMIFS(PRICES!$G$2:$G$658,PRICES!$B$2:$B$658,'MAIN TABLE-1 AUTOMATED'!J2117,PRICES!$C$2:$C$658,'MAIN TABLE-1 AUTOMATED'!F2117,PRICES!$D$2:$D$658,'MAIN TABLE-1 AUTOMATED'!O2117))</f>
        <v/>
      </c>
      <c r="R2117" s="41" t="str">
        <f>IF(Table1[[#This Row],[QUANTITY]]=0,"",Table1[[#This Row],[UNIT PRICE]]*Table1[[#This Row],[QUANTITY]])</f>
        <v/>
      </c>
      <c r="S2117" s="89"/>
      <c r="T2117" s="38"/>
      <c r="U2117" s="43"/>
      <c r="V2117" s="42" t="str">
        <f>IF(Table1[[#This Row],[DATE]]=0,"",YEAR(E2117))</f>
        <v/>
      </c>
      <c r="W2117" s="40" t="str">
        <f t="shared" si="66"/>
        <v/>
      </c>
      <c r="X2117" s="40" t="str">
        <f t="shared" si="67"/>
        <v/>
      </c>
      <c r="Y2117" s="40" t="str">
        <f>TEXT(Table1[[#This Row],[YEAR]],"0000")&amp;"-"&amp;Table1[[#This Row],[MONTH]]</f>
        <v>-</v>
      </c>
    </row>
    <row r="2118" spans="1:25" ht="15" customHeight="1" x14ac:dyDescent="0.35">
      <c r="A2118" s="24"/>
      <c r="B2118" s="38"/>
      <c r="C2118" s="38"/>
      <c r="D2118" s="38"/>
      <c r="E2118" s="37"/>
      <c r="F2118" s="38"/>
      <c r="G2118" s="198"/>
      <c r="H2118" s="198"/>
      <c r="I2118" s="39"/>
      <c r="J2118" s="38"/>
      <c r="K2118" s="198"/>
      <c r="L2118" s="38"/>
      <c r="M2118" s="38"/>
      <c r="N2118" s="38"/>
      <c r="O2118" s="38"/>
      <c r="P2118" s="40" t="str" cm="1">
        <f t="array" ref="P2118">IF(N2118="","",IFERROR(_xlfn.XLOOKUP(F2118&amp;"|"&amp;J2118&amp;"|"&amp;O2118,PRICES!$C$2:$C$659&amp;"|"&amp;PRICES!$B$2:$B$659&amp;"|"&amp;PRICES!$D$2:$D$659,PRICES!$E$2:$E$659),"Not Found"))</f>
        <v/>
      </c>
      <c r="Q2118" s="100" t="str">
        <f>IF(N2118=0,"",SUMIFS(PRICES!$G$2:$G$658,PRICES!$B$2:$B$658,'MAIN TABLE-1 AUTOMATED'!J2118,PRICES!$C$2:$C$658,'MAIN TABLE-1 AUTOMATED'!F2118,PRICES!$D$2:$D$658,'MAIN TABLE-1 AUTOMATED'!O2118))</f>
        <v/>
      </c>
      <c r="R2118" s="41" t="str">
        <f>IF(Table1[[#This Row],[QUANTITY]]=0,"",Table1[[#This Row],[UNIT PRICE]]*Table1[[#This Row],[QUANTITY]])</f>
        <v/>
      </c>
      <c r="S2118" s="89"/>
      <c r="T2118" s="38"/>
      <c r="U2118" s="43"/>
      <c r="V2118" s="42" t="str">
        <f>IF(Table1[[#This Row],[DATE]]=0,"",YEAR(E2118))</f>
        <v/>
      </c>
      <c r="W2118" s="40" t="str">
        <f t="shared" si="66"/>
        <v/>
      </c>
      <c r="X2118" s="40" t="str">
        <f t="shared" si="67"/>
        <v/>
      </c>
      <c r="Y2118" s="40" t="str">
        <f>TEXT(Table1[[#This Row],[YEAR]],"0000")&amp;"-"&amp;Table1[[#This Row],[MONTH]]</f>
        <v>-</v>
      </c>
    </row>
    <row r="2119" spans="1:25" ht="15" customHeight="1" x14ac:dyDescent="0.35">
      <c r="A2119" s="24"/>
      <c r="B2119" s="38"/>
      <c r="C2119" s="38"/>
      <c r="D2119" s="38"/>
      <c r="E2119" s="37"/>
      <c r="F2119" s="38"/>
      <c r="G2119" s="198"/>
      <c r="H2119" s="198"/>
      <c r="I2119" s="39"/>
      <c r="J2119" s="38"/>
      <c r="K2119" s="198"/>
      <c r="L2119" s="38"/>
      <c r="M2119" s="38"/>
      <c r="N2119" s="38"/>
      <c r="O2119" s="38"/>
      <c r="P2119" s="40" t="str" cm="1">
        <f t="array" ref="P2119">IF(N2119="","",IFERROR(_xlfn.XLOOKUP(F2119&amp;"|"&amp;J2119&amp;"|"&amp;O2119,PRICES!$C$2:$C$659&amp;"|"&amp;PRICES!$B$2:$B$659&amp;"|"&amp;PRICES!$D$2:$D$659,PRICES!$E$2:$E$659),"Not Found"))</f>
        <v/>
      </c>
      <c r="Q2119" s="100" t="str">
        <f>IF(N2119=0,"",SUMIFS(PRICES!$G$2:$G$658,PRICES!$B$2:$B$658,'MAIN TABLE-1 AUTOMATED'!J2119,PRICES!$C$2:$C$658,'MAIN TABLE-1 AUTOMATED'!F2119,PRICES!$D$2:$D$658,'MAIN TABLE-1 AUTOMATED'!O2119))</f>
        <v/>
      </c>
      <c r="R2119" s="41" t="str">
        <f>IF(Table1[[#This Row],[QUANTITY]]=0,"",Table1[[#This Row],[UNIT PRICE]]*Table1[[#This Row],[QUANTITY]])</f>
        <v/>
      </c>
      <c r="S2119" s="89"/>
      <c r="T2119" s="38"/>
      <c r="U2119" s="43"/>
      <c r="V2119" s="42" t="str">
        <f>IF(Table1[[#This Row],[DATE]]=0,"",YEAR(E2119))</f>
        <v/>
      </c>
      <c r="W2119" s="40" t="str">
        <f t="shared" si="66"/>
        <v/>
      </c>
      <c r="X2119" s="40" t="str">
        <f t="shared" si="67"/>
        <v/>
      </c>
      <c r="Y2119" s="40" t="str">
        <f>TEXT(Table1[[#This Row],[YEAR]],"0000")&amp;"-"&amp;Table1[[#This Row],[MONTH]]</f>
        <v>-</v>
      </c>
    </row>
    <row r="2120" spans="1:25" ht="15" customHeight="1" x14ac:dyDescent="0.35">
      <c r="A2120" s="24"/>
      <c r="B2120" s="38"/>
      <c r="C2120" s="38"/>
      <c r="D2120" s="38"/>
      <c r="E2120" s="37"/>
      <c r="F2120" s="38"/>
      <c r="G2120" s="198"/>
      <c r="H2120" s="198"/>
      <c r="I2120" s="39"/>
      <c r="J2120" s="38"/>
      <c r="K2120" s="198"/>
      <c r="L2120" s="38"/>
      <c r="M2120" s="38"/>
      <c r="N2120" s="38"/>
      <c r="O2120" s="38"/>
      <c r="P2120" s="40" t="str" cm="1">
        <f t="array" ref="P2120">IF(N2120="","",IFERROR(_xlfn.XLOOKUP(F2120&amp;"|"&amp;J2120&amp;"|"&amp;O2120,PRICES!$C$2:$C$659&amp;"|"&amp;PRICES!$B$2:$B$659&amp;"|"&amp;PRICES!$D$2:$D$659,PRICES!$E$2:$E$659),"Not Found"))</f>
        <v/>
      </c>
      <c r="Q2120" s="100" t="str">
        <f>IF(N2120=0,"",SUMIFS(PRICES!$G$2:$G$658,PRICES!$B$2:$B$658,'MAIN TABLE-1 AUTOMATED'!J2120,PRICES!$C$2:$C$658,'MAIN TABLE-1 AUTOMATED'!F2120,PRICES!$D$2:$D$658,'MAIN TABLE-1 AUTOMATED'!O2120))</f>
        <v/>
      </c>
      <c r="R2120" s="41" t="str">
        <f>IF(Table1[[#This Row],[QUANTITY]]=0,"",Table1[[#This Row],[UNIT PRICE]]*Table1[[#This Row],[QUANTITY]])</f>
        <v/>
      </c>
      <c r="S2120" s="89"/>
      <c r="T2120" s="38"/>
      <c r="U2120" s="43"/>
      <c r="V2120" s="42" t="str">
        <f>IF(Table1[[#This Row],[DATE]]=0,"",YEAR(E2120))</f>
        <v/>
      </c>
      <c r="W2120" s="40" t="str">
        <f t="shared" si="66"/>
        <v/>
      </c>
      <c r="X2120" s="40" t="str">
        <f t="shared" si="67"/>
        <v/>
      </c>
      <c r="Y2120" s="40" t="str">
        <f>TEXT(Table1[[#This Row],[YEAR]],"0000")&amp;"-"&amp;Table1[[#This Row],[MONTH]]</f>
        <v>-</v>
      </c>
    </row>
    <row r="2121" spans="1:25" ht="15" customHeight="1" x14ac:dyDescent="0.35">
      <c r="A2121" s="24"/>
      <c r="B2121" s="38"/>
      <c r="C2121" s="38"/>
      <c r="D2121" s="38"/>
      <c r="E2121" s="37"/>
      <c r="F2121" s="38"/>
      <c r="G2121" s="198"/>
      <c r="H2121" s="198"/>
      <c r="I2121" s="39"/>
      <c r="J2121" s="38"/>
      <c r="K2121" s="198"/>
      <c r="L2121" s="38"/>
      <c r="M2121" s="38"/>
      <c r="N2121" s="38"/>
      <c r="O2121" s="38"/>
      <c r="P2121" s="40" t="str" cm="1">
        <f t="array" ref="P2121">IF(N2121="","",IFERROR(_xlfn.XLOOKUP(F2121&amp;"|"&amp;J2121&amp;"|"&amp;O2121,PRICES!$C$2:$C$659&amp;"|"&amp;PRICES!$B$2:$B$659&amp;"|"&amp;PRICES!$D$2:$D$659,PRICES!$E$2:$E$659),"Not Found"))</f>
        <v/>
      </c>
      <c r="Q2121" s="100" t="str">
        <f>IF(N2121=0,"",SUMIFS(PRICES!$G$2:$G$658,PRICES!$B$2:$B$658,'MAIN TABLE-1 AUTOMATED'!J2121,PRICES!$C$2:$C$658,'MAIN TABLE-1 AUTOMATED'!F2121,PRICES!$D$2:$D$658,'MAIN TABLE-1 AUTOMATED'!O2121))</f>
        <v/>
      </c>
      <c r="R2121" s="41" t="str">
        <f>IF(Table1[[#This Row],[QUANTITY]]=0,"",Table1[[#This Row],[UNIT PRICE]]*Table1[[#This Row],[QUANTITY]])</f>
        <v/>
      </c>
      <c r="S2121" s="89"/>
      <c r="T2121" s="38"/>
      <c r="U2121" s="43"/>
      <c r="V2121" s="42" t="str">
        <f>IF(Table1[[#This Row],[DATE]]=0,"",YEAR(E2121))</f>
        <v/>
      </c>
      <c r="W2121" s="40" t="str">
        <f t="shared" si="66"/>
        <v/>
      </c>
      <c r="X2121" s="40" t="str">
        <f t="shared" si="67"/>
        <v/>
      </c>
      <c r="Y2121" s="40" t="str">
        <f>TEXT(Table1[[#This Row],[YEAR]],"0000")&amp;"-"&amp;Table1[[#This Row],[MONTH]]</f>
        <v>-</v>
      </c>
    </row>
    <row r="2122" spans="1:25" ht="15" customHeight="1" x14ac:dyDescent="0.35">
      <c r="A2122" s="24"/>
      <c r="B2122" s="38"/>
      <c r="C2122" s="38"/>
      <c r="D2122" s="38"/>
      <c r="E2122" s="37"/>
      <c r="F2122" s="38"/>
      <c r="G2122" s="198"/>
      <c r="H2122" s="198"/>
      <c r="I2122" s="39"/>
      <c r="J2122" s="38"/>
      <c r="K2122" s="198"/>
      <c r="L2122" s="38"/>
      <c r="M2122" s="38"/>
      <c r="N2122" s="38"/>
      <c r="O2122" s="38"/>
      <c r="P2122" s="40" t="str" cm="1">
        <f t="array" ref="P2122">IF(N2122="","",IFERROR(_xlfn.XLOOKUP(F2122&amp;"|"&amp;J2122&amp;"|"&amp;O2122,PRICES!$C$2:$C$659&amp;"|"&amp;PRICES!$B$2:$B$659&amp;"|"&amp;PRICES!$D$2:$D$659,PRICES!$E$2:$E$659),"Not Found"))</f>
        <v/>
      </c>
      <c r="Q2122" s="100" t="str">
        <f>IF(N2122=0,"",SUMIFS(PRICES!$G$2:$G$658,PRICES!$B$2:$B$658,'MAIN TABLE-1 AUTOMATED'!J2122,PRICES!$C$2:$C$658,'MAIN TABLE-1 AUTOMATED'!F2122,PRICES!$D$2:$D$658,'MAIN TABLE-1 AUTOMATED'!O2122))</f>
        <v/>
      </c>
      <c r="R2122" s="41" t="str">
        <f>IF(Table1[[#This Row],[QUANTITY]]=0,"",Table1[[#This Row],[UNIT PRICE]]*Table1[[#This Row],[QUANTITY]])</f>
        <v/>
      </c>
      <c r="S2122" s="89"/>
      <c r="T2122" s="38"/>
      <c r="U2122" s="43"/>
      <c r="V2122" s="42" t="str">
        <f>IF(Table1[[#This Row],[DATE]]=0,"",YEAR(E2122))</f>
        <v/>
      </c>
      <c r="W2122" s="40" t="str">
        <f t="shared" si="66"/>
        <v/>
      </c>
      <c r="X2122" s="40" t="str">
        <f t="shared" si="67"/>
        <v/>
      </c>
      <c r="Y2122" s="40" t="str">
        <f>TEXT(Table1[[#This Row],[YEAR]],"0000")&amp;"-"&amp;Table1[[#This Row],[MONTH]]</f>
        <v>-</v>
      </c>
    </row>
    <row r="2123" spans="1:25" ht="15" customHeight="1" x14ac:dyDescent="0.35">
      <c r="A2123" s="24"/>
      <c r="B2123" s="38"/>
      <c r="C2123" s="38"/>
      <c r="D2123" s="38"/>
      <c r="E2123" s="37"/>
      <c r="F2123" s="38"/>
      <c r="G2123" s="198"/>
      <c r="H2123" s="198"/>
      <c r="I2123" s="39"/>
      <c r="J2123" s="38"/>
      <c r="K2123" s="38"/>
      <c r="L2123" s="38"/>
      <c r="M2123" s="38"/>
      <c r="N2123" s="38"/>
      <c r="O2123" s="38"/>
      <c r="P2123" s="40" t="str" cm="1">
        <f t="array" ref="P2123">IF(N2123="","",IFERROR(_xlfn.XLOOKUP(F2123&amp;"|"&amp;J2123&amp;"|"&amp;O2123,PRICES!$C$2:$C$659&amp;"|"&amp;PRICES!$B$2:$B$659&amp;"|"&amp;PRICES!$D$2:$D$659,PRICES!$E$2:$E$659),"Not Found"))</f>
        <v/>
      </c>
      <c r="Q2123" s="100" t="str">
        <f>IF(N2123=0,"",SUMIFS(PRICES!$G$2:$G$658,PRICES!$B$2:$B$658,'MAIN TABLE-1 AUTOMATED'!J2123,PRICES!$C$2:$C$658,'MAIN TABLE-1 AUTOMATED'!F2123,PRICES!$D$2:$D$658,'MAIN TABLE-1 AUTOMATED'!O2123))</f>
        <v/>
      </c>
      <c r="R2123" s="41" t="str">
        <f>IF(Table1[[#This Row],[QUANTITY]]=0,"",Table1[[#This Row],[UNIT PRICE]]*Table1[[#This Row],[QUANTITY]])</f>
        <v/>
      </c>
      <c r="S2123" s="89"/>
      <c r="T2123" s="38"/>
      <c r="U2123" s="43"/>
      <c r="V2123" s="42" t="str">
        <f>IF(Table1[[#This Row],[DATE]]=0,"",YEAR(E2123))</f>
        <v/>
      </c>
      <c r="W2123" s="40" t="str">
        <f t="shared" si="66"/>
        <v/>
      </c>
      <c r="X2123" s="40" t="str">
        <f t="shared" si="67"/>
        <v/>
      </c>
      <c r="Y2123" s="40" t="str">
        <f>TEXT(Table1[[#This Row],[YEAR]],"0000")&amp;"-"&amp;Table1[[#This Row],[MONTH]]</f>
        <v>-</v>
      </c>
    </row>
    <row r="2124" spans="1:25" ht="15" customHeight="1" x14ac:dyDescent="0.35">
      <c r="A2124" s="24"/>
      <c r="B2124" s="38"/>
      <c r="C2124" s="38"/>
      <c r="D2124" s="38"/>
      <c r="E2124" s="37"/>
      <c r="F2124" s="38"/>
      <c r="G2124" s="198"/>
      <c r="H2124" s="198"/>
      <c r="I2124" s="39"/>
      <c r="J2124" s="38"/>
      <c r="K2124" s="198"/>
      <c r="L2124" s="38"/>
      <c r="M2124" s="38"/>
      <c r="N2124" s="38"/>
      <c r="O2124" s="38"/>
      <c r="P2124" s="40" t="str" cm="1">
        <f t="array" ref="P2124">IF(N2124="","",IFERROR(_xlfn.XLOOKUP(F2124&amp;"|"&amp;J2124&amp;"|"&amp;O2124,PRICES!$C$2:$C$659&amp;"|"&amp;PRICES!$B$2:$B$659&amp;"|"&amp;PRICES!$D$2:$D$659,PRICES!$E$2:$E$659),"Not Found"))</f>
        <v/>
      </c>
      <c r="Q2124" s="100" t="str">
        <f>IF(N2124=0,"",SUMIFS(PRICES!$G$2:$G$658,PRICES!$B$2:$B$658,'MAIN TABLE-1 AUTOMATED'!J2124,PRICES!$C$2:$C$658,'MAIN TABLE-1 AUTOMATED'!F2124,PRICES!$D$2:$D$658,'MAIN TABLE-1 AUTOMATED'!O2124))</f>
        <v/>
      </c>
      <c r="R2124" s="41" t="str">
        <f>IF(Table1[[#This Row],[QUANTITY]]=0,"",Table1[[#This Row],[UNIT PRICE]]*Table1[[#This Row],[QUANTITY]])</f>
        <v/>
      </c>
      <c r="S2124" s="89"/>
      <c r="T2124" s="38"/>
      <c r="U2124" s="43"/>
      <c r="V2124" s="42" t="str">
        <f>IF(Table1[[#This Row],[DATE]]=0,"",YEAR(E2124))</f>
        <v/>
      </c>
      <c r="W2124" s="40" t="str">
        <f t="shared" si="66"/>
        <v/>
      </c>
      <c r="X2124" s="40" t="str">
        <f t="shared" si="67"/>
        <v/>
      </c>
      <c r="Y2124" s="40" t="str">
        <f>TEXT(Table1[[#This Row],[YEAR]],"0000")&amp;"-"&amp;Table1[[#This Row],[MONTH]]</f>
        <v>-</v>
      </c>
    </row>
    <row r="2125" spans="1:25" ht="15" customHeight="1" x14ac:dyDescent="0.35">
      <c r="A2125" s="24"/>
      <c r="B2125" s="38"/>
      <c r="C2125" s="38"/>
      <c r="D2125" s="38"/>
      <c r="E2125" s="37"/>
      <c r="F2125" s="38"/>
      <c r="G2125" s="198"/>
      <c r="H2125" s="198"/>
      <c r="I2125" s="39"/>
      <c r="J2125" s="38"/>
      <c r="K2125" s="198"/>
      <c r="L2125" s="38"/>
      <c r="M2125" s="38"/>
      <c r="N2125" s="38"/>
      <c r="O2125" s="38"/>
      <c r="P2125" s="40" t="str" cm="1">
        <f t="array" ref="P2125">IF(N2125="","",IFERROR(_xlfn.XLOOKUP(F2125&amp;"|"&amp;J2125&amp;"|"&amp;O2125,PRICES!$C$2:$C$659&amp;"|"&amp;PRICES!$B$2:$B$659&amp;"|"&amp;PRICES!$D$2:$D$659,PRICES!$E$2:$E$659),"Not Found"))</f>
        <v/>
      </c>
      <c r="Q2125" s="100" t="str">
        <f>IF(N2125=0,"",SUMIFS(PRICES!$G$2:$G$658,PRICES!$B$2:$B$658,'MAIN TABLE-1 AUTOMATED'!J2125,PRICES!$C$2:$C$658,'MAIN TABLE-1 AUTOMATED'!F2125,PRICES!$D$2:$D$658,'MAIN TABLE-1 AUTOMATED'!O2125))</f>
        <v/>
      </c>
      <c r="R2125" s="41" t="str">
        <f>IF(Table1[[#This Row],[QUANTITY]]=0,"",Table1[[#This Row],[UNIT PRICE]]*Table1[[#This Row],[QUANTITY]])</f>
        <v/>
      </c>
      <c r="S2125" s="89"/>
      <c r="T2125" s="38"/>
      <c r="U2125" s="43"/>
      <c r="V2125" s="42" t="str">
        <f>IF(Table1[[#This Row],[DATE]]=0,"",YEAR(E2125))</f>
        <v/>
      </c>
      <c r="W2125" s="40" t="str">
        <f t="shared" si="66"/>
        <v/>
      </c>
      <c r="X2125" s="40" t="str">
        <f t="shared" si="67"/>
        <v/>
      </c>
      <c r="Y2125" s="40" t="str">
        <f>TEXT(Table1[[#This Row],[YEAR]],"0000")&amp;"-"&amp;Table1[[#This Row],[MONTH]]</f>
        <v>-</v>
      </c>
    </row>
    <row r="2126" spans="1:25" ht="15" customHeight="1" x14ac:dyDescent="0.35">
      <c r="A2126" s="24"/>
      <c r="B2126" s="38"/>
      <c r="C2126" s="38"/>
      <c r="D2126" s="38"/>
      <c r="E2126" s="37"/>
      <c r="F2126" s="38"/>
      <c r="G2126" s="198"/>
      <c r="H2126" s="198"/>
      <c r="I2126" s="39"/>
      <c r="J2126" s="38"/>
      <c r="K2126" s="198"/>
      <c r="L2126" s="38"/>
      <c r="M2126" s="38"/>
      <c r="N2126" s="38"/>
      <c r="O2126" s="38"/>
      <c r="P2126" s="40" t="str" cm="1">
        <f t="array" ref="P2126">IF(N2126="","",IFERROR(_xlfn.XLOOKUP(F2126&amp;"|"&amp;J2126&amp;"|"&amp;O2126,PRICES!$C$2:$C$659&amp;"|"&amp;PRICES!$B$2:$B$659&amp;"|"&amp;PRICES!$D$2:$D$659,PRICES!$E$2:$E$659),"Not Found"))</f>
        <v/>
      </c>
      <c r="Q2126" s="100" t="str">
        <f>IF(N2126=0,"",SUMIFS(PRICES!$G$2:$G$658,PRICES!$B$2:$B$658,'MAIN TABLE-1 AUTOMATED'!J2126,PRICES!$C$2:$C$658,'MAIN TABLE-1 AUTOMATED'!F2126,PRICES!$D$2:$D$658,'MAIN TABLE-1 AUTOMATED'!O2126))</f>
        <v/>
      </c>
      <c r="R2126" s="41" t="str">
        <f>IF(Table1[[#This Row],[QUANTITY]]=0,"",Table1[[#This Row],[UNIT PRICE]]*Table1[[#This Row],[QUANTITY]])</f>
        <v/>
      </c>
      <c r="S2126" s="89"/>
      <c r="T2126" s="38"/>
      <c r="U2126" s="43"/>
      <c r="V2126" s="42" t="str">
        <f>IF(Table1[[#This Row],[DATE]]=0,"",YEAR(E2126))</f>
        <v/>
      </c>
      <c r="W2126" s="40" t="str">
        <f t="shared" si="66"/>
        <v/>
      </c>
      <c r="X2126" s="40" t="str">
        <f t="shared" si="67"/>
        <v/>
      </c>
      <c r="Y2126" s="40" t="str">
        <f>TEXT(Table1[[#This Row],[YEAR]],"0000")&amp;"-"&amp;Table1[[#This Row],[MONTH]]</f>
        <v>-</v>
      </c>
    </row>
    <row r="2127" spans="1:25" ht="15" customHeight="1" x14ac:dyDescent="0.35">
      <c r="A2127" s="24"/>
      <c r="B2127" s="38"/>
      <c r="C2127" s="38"/>
      <c r="D2127" s="38"/>
      <c r="E2127" s="37"/>
      <c r="F2127" s="38"/>
      <c r="G2127" s="198"/>
      <c r="H2127" s="198"/>
      <c r="I2127" s="39"/>
      <c r="J2127" s="38"/>
      <c r="K2127" s="198"/>
      <c r="L2127" s="38"/>
      <c r="M2127" s="38"/>
      <c r="N2127" s="38"/>
      <c r="O2127" s="38"/>
      <c r="P2127" s="40" t="str" cm="1">
        <f t="array" ref="P2127">IF(N2127="","",IFERROR(_xlfn.XLOOKUP(F2127&amp;"|"&amp;J2127&amp;"|"&amp;O2127,PRICES!$C$2:$C$659&amp;"|"&amp;PRICES!$B$2:$B$659&amp;"|"&amp;PRICES!$D$2:$D$659,PRICES!$E$2:$E$659),"Not Found"))</f>
        <v/>
      </c>
      <c r="Q2127" s="100" t="str">
        <f>IF(N2127=0,"",SUMIFS(PRICES!$G$2:$G$658,PRICES!$B$2:$B$658,'MAIN TABLE-1 AUTOMATED'!J2127,PRICES!$C$2:$C$658,'MAIN TABLE-1 AUTOMATED'!F2127,PRICES!$D$2:$D$658,'MAIN TABLE-1 AUTOMATED'!O2127))</f>
        <v/>
      </c>
      <c r="R2127" s="41" t="str">
        <f>IF(Table1[[#This Row],[QUANTITY]]=0,"",Table1[[#This Row],[UNIT PRICE]]*Table1[[#This Row],[QUANTITY]])</f>
        <v/>
      </c>
      <c r="S2127" s="89"/>
      <c r="T2127" s="38"/>
      <c r="U2127" s="43"/>
      <c r="V2127" s="42" t="str">
        <f>IF(Table1[[#This Row],[DATE]]=0,"",YEAR(E2127))</f>
        <v/>
      </c>
      <c r="W2127" s="40" t="str">
        <f t="shared" si="66"/>
        <v/>
      </c>
      <c r="X2127" s="40" t="str">
        <f t="shared" si="67"/>
        <v/>
      </c>
      <c r="Y2127" s="40" t="str">
        <f>TEXT(Table1[[#This Row],[YEAR]],"0000")&amp;"-"&amp;Table1[[#This Row],[MONTH]]</f>
        <v>-</v>
      </c>
    </row>
    <row r="2128" spans="1:25" ht="15" customHeight="1" x14ac:dyDescent="0.35">
      <c r="A2128" s="24"/>
      <c r="B2128" s="38"/>
      <c r="C2128" s="38"/>
      <c r="D2128" s="38"/>
      <c r="E2128" s="37"/>
      <c r="F2128" s="38"/>
      <c r="G2128" s="198"/>
      <c r="H2128" s="198"/>
      <c r="I2128" s="39"/>
      <c r="J2128" s="38"/>
      <c r="K2128" s="198"/>
      <c r="L2128" s="38"/>
      <c r="M2128" s="38"/>
      <c r="N2128" s="38"/>
      <c r="O2128" s="38"/>
      <c r="P2128" s="40" t="str" cm="1">
        <f t="array" ref="P2128">IF(N2128="","",IFERROR(_xlfn.XLOOKUP(F2128&amp;"|"&amp;J2128&amp;"|"&amp;O2128,PRICES!$C$2:$C$659&amp;"|"&amp;PRICES!$B$2:$B$659&amp;"|"&amp;PRICES!$D$2:$D$659,PRICES!$E$2:$E$659),"Not Found"))</f>
        <v/>
      </c>
      <c r="Q2128" s="100" t="str">
        <f>IF(N2128=0,"",SUMIFS(PRICES!$G$2:$G$658,PRICES!$B$2:$B$658,'MAIN TABLE-1 AUTOMATED'!J2128,PRICES!$C$2:$C$658,'MAIN TABLE-1 AUTOMATED'!F2128,PRICES!$D$2:$D$658,'MAIN TABLE-1 AUTOMATED'!O2128))</f>
        <v/>
      </c>
      <c r="R2128" s="41" t="str">
        <f>IF(Table1[[#This Row],[QUANTITY]]=0,"",Table1[[#This Row],[UNIT PRICE]]*Table1[[#This Row],[QUANTITY]])</f>
        <v/>
      </c>
      <c r="S2128" s="89"/>
      <c r="T2128" s="38"/>
      <c r="U2128" s="43"/>
      <c r="V2128" s="42" t="str">
        <f>IF(Table1[[#This Row],[DATE]]=0,"",YEAR(E2128))</f>
        <v/>
      </c>
      <c r="W2128" s="40" t="str">
        <f t="shared" si="66"/>
        <v/>
      </c>
      <c r="X2128" s="40" t="str">
        <f t="shared" si="67"/>
        <v/>
      </c>
      <c r="Y2128" s="40" t="str">
        <f>TEXT(Table1[[#This Row],[YEAR]],"0000")&amp;"-"&amp;Table1[[#This Row],[MONTH]]</f>
        <v>-</v>
      </c>
    </row>
    <row r="2129" spans="1:25" ht="15" customHeight="1" x14ac:dyDescent="0.35">
      <c r="A2129" s="24"/>
      <c r="B2129" s="38"/>
      <c r="C2129" s="38"/>
      <c r="D2129" s="38"/>
      <c r="E2129" s="37"/>
      <c r="F2129" s="38"/>
      <c r="G2129" s="198"/>
      <c r="H2129" s="198"/>
      <c r="I2129" s="39"/>
      <c r="J2129" s="38"/>
      <c r="K2129" s="198"/>
      <c r="L2129" s="38"/>
      <c r="M2129" s="38"/>
      <c r="N2129" s="38"/>
      <c r="O2129" s="38"/>
      <c r="P2129" s="40" t="str" cm="1">
        <f t="array" ref="P2129">IF(N2129="","",IFERROR(_xlfn.XLOOKUP(F2129&amp;"|"&amp;J2129&amp;"|"&amp;O2129,PRICES!$C$2:$C$659&amp;"|"&amp;PRICES!$B$2:$B$659&amp;"|"&amp;PRICES!$D$2:$D$659,PRICES!$E$2:$E$659),"Not Found"))</f>
        <v/>
      </c>
      <c r="Q2129" s="100" t="str">
        <f>IF(N2129=0,"",SUMIFS(PRICES!$G$2:$G$658,PRICES!$B$2:$B$658,'MAIN TABLE-1 AUTOMATED'!J2129,PRICES!$C$2:$C$658,'MAIN TABLE-1 AUTOMATED'!F2129,PRICES!$D$2:$D$658,'MAIN TABLE-1 AUTOMATED'!O2129))</f>
        <v/>
      </c>
      <c r="R2129" s="41" t="str">
        <f>IF(Table1[[#This Row],[QUANTITY]]=0,"",Table1[[#This Row],[UNIT PRICE]]*Table1[[#This Row],[QUANTITY]])</f>
        <v/>
      </c>
      <c r="S2129" s="89"/>
      <c r="T2129" s="38"/>
      <c r="U2129" s="43"/>
      <c r="V2129" s="42" t="str">
        <f>IF(Table1[[#This Row],[DATE]]=0,"",YEAR(E2129))</f>
        <v/>
      </c>
      <c r="W2129" s="40" t="str">
        <f t="shared" si="66"/>
        <v/>
      </c>
      <c r="X2129" s="40" t="str">
        <f t="shared" si="67"/>
        <v/>
      </c>
      <c r="Y2129" s="40" t="str">
        <f>TEXT(Table1[[#This Row],[YEAR]],"0000")&amp;"-"&amp;Table1[[#This Row],[MONTH]]</f>
        <v>-</v>
      </c>
    </row>
    <row r="2130" spans="1:25" ht="15" customHeight="1" x14ac:dyDescent="0.35">
      <c r="A2130" s="24"/>
      <c r="B2130" s="38"/>
      <c r="C2130" s="38"/>
      <c r="D2130" s="38"/>
      <c r="E2130" s="37"/>
      <c r="F2130" s="38"/>
      <c r="G2130" s="198"/>
      <c r="H2130" s="198"/>
      <c r="I2130" s="39"/>
      <c r="J2130" s="38"/>
      <c r="K2130" s="198"/>
      <c r="L2130" s="38"/>
      <c r="M2130" s="38"/>
      <c r="N2130" s="38"/>
      <c r="O2130" s="38"/>
      <c r="P2130" s="40" t="str" cm="1">
        <f t="array" ref="P2130">IF(N2130="","",IFERROR(_xlfn.XLOOKUP(F2130&amp;"|"&amp;J2130&amp;"|"&amp;O2130,PRICES!$C$2:$C$659&amp;"|"&amp;PRICES!$B$2:$B$659&amp;"|"&amp;PRICES!$D$2:$D$659,PRICES!$E$2:$E$659),"Not Found"))</f>
        <v/>
      </c>
      <c r="Q2130" s="100" t="str">
        <f>IF(N2130=0,"",SUMIFS(PRICES!$G$2:$G$658,PRICES!$B$2:$B$658,'MAIN TABLE-1 AUTOMATED'!J2130,PRICES!$C$2:$C$658,'MAIN TABLE-1 AUTOMATED'!F2130,PRICES!$D$2:$D$658,'MAIN TABLE-1 AUTOMATED'!O2130))</f>
        <v/>
      </c>
      <c r="R2130" s="41" t="str">
        <f>IF(Table1[[#This Row],[QUANTITY]]=0,"",Table1[[#This Row],[UNIT PRICE]]*Table1[[#This Row],[QUANTITY]])</f>
        <v/>
      </c>
      <c r="S2130" s="89"/>
      <c r="T2130" s="38"/>
      <c r="U2130" s="43"/>
      <c r="V2130" s="42" t="str">
        <f>IF(Table1[[#This Row],[DATE]]=0,"",YEAR(E2130))</f>
        <v/>
      </c>
      <c r="W2130" s="40" t="str">
        <f t="shared" si="66"/>
        <v/>
      </c>
      <c r="X2130" s="40" t="str">
        <f t="shared" si="67"/>
        <v/>
      </c>
      <c r="Y2130" s="40" t="str">
        <f>TEXT(Table1[[#This Row],[YEAR]],"0000")&amp;"-"&amp;Table1[[#This Row],[MONTH]]</f>
        <v>-</v>
      </c>
    </row>
    <row r="2131" spans="1:25" ht="15" customHeight="1" x14ac:dyDescent="0.35">
      <c r="A2131" s="24"/>
      <c r="B2131" s="38"/>
      <c r="C2131" s="38"/>
      <c r="D2131" s="38"/>
      <c r="E2131" s="37"/>
      <c r="F2131" s="38"/>
      <c r="G2131" s="198"/>
      <c r="H2131" s="198"/>
      <c r="I2131" s="39"/>
      <c r="J2131" s="38"/>
      <c r="K2131" s="198"/>
      <c r="L2131" s="38"/>
      <c r="M2131" s="38"/>
      <c r="N2131" s="38"/>
      <c r="O2131" s="38"/>
      <c r="P2131" s="40" t="str" cm="1">
        <f t="array" ref="P2131">IF(N2131="","",IFERROR(_xlfn.XLOOKUP(F2131&amp;"|"&amp;J2131&amp;"|"&amp;O2131,PRICES!$C$2:$C$659&amp;"|"&amp;PRICES!$B$2:$B$659&amp;"|"&amp;PRICES!$D$2:$D$659,PRICES!$E$2:$E$659),"Not Found"))</f>
        <v/>
      </c>
      <c r="Q2131" s="100" t="str">
        <f>IF(N2131=0,"",SUMIFS(PRICES!$G$2:$G$658,PRICES!$B$2:$B$658,'MAIN TABLE-1 AUTOMATED'!J2131,PRICES!$C$2:$C$658,'MAIN TABLE-1 AUTOMATED'!F2131,PRICES!$D$2:$D$658,'MAIN TABLE-1 AUTOMATED'!O2131))</f>
        <v/>
      </c>
      <c r="R2131" s="41" t="str">
        <f>IF(Table1[[#This Row],[QUANTITY]]=0,"",Table1[[#This Row],[UNIT PRICE]]*Table1[[#This Row],[QUANTITY]])</f>
        <v/>
      </c>
      <c r="S2131" s="89"/>
      <c r="T2131" s="38"/>
      <c r="U2131" s="43"/>
      <c r="V2131" s="42" t="str">
        <f>IF(Table1[[#This Row],[DATE]]=0,"",YEAR(E2131))</f>
        <v/>
      </c>
      <c r="W2131" s="40" t="str">
        <f t="shared" si="66"/>
        <v/>
      </c>
      <c r="X2131" s="40" t="str">
        <f t="shared" si="67"/>
        <v/>
      </c>
      <c r="Y2131" s="40" t="str">
        <f>TEXT(Table1[[#This Row],[YEAR]],"0000")&amp;"-"&amp;Table1[[#This Row],[MONTH]]</f>
        <v>-</v>
      </c>
    </row>
    <row r="2132" spans="1:25" ht="15" customHeight="1" x14ac:dyDescent="0.35">
      <c r="A2132" s="24"/>
      <c r="B2132" s="38"/>
      <c r="C2132" s="38"/>
      <c r="D2132" s="38"/>
      <c r="E2132" s="37"/>
      <c r="F2132" s="38"/>
      <c r="G2132" s="198"/>
      <c r="H2132" s="198"/>
      <c r="I2132" s="39"/>
      <c r="J2132" s="38"/>
      <c r="K2132" s="198"/>
      <c r="L2132" s="38"/>
      <c r="M2132" s="38"/>
      <c r="N2132" s="38"/>
      <c r="O2132" s="38"/>
      <c r="P2132" s="40" t="str" cm="1">
        <f t="array" ref="P2132">IF(N2132="","",IFERROR(_xlfn.XLOOKUP(F2132&amp;"|"&amp;J2132&amp;"|"&amp;O2132,PRICES!$C$2:$C$659&amp;"|"&amp;PRICES!$B$2:$B$659&amp;"|"&amp;PRICES!$D$2:$D$659,PRICES!$E$2:$E$659),"Not Found"))</f>
        <v/>
      </c>
      <c r="Q2132" s="100" t="str">
        <f>IF(N2132=0,"",SUMIFS(PRICES!$G$2:$G$658,PRICES!$B$2:$B$658,'MAIN TABLE-1 AUTOMATED'!J2132,PRICES!$C$2:$C$658,'MAIN TABLE-1 AUTOMATED'!F2132,PRICES!$D$2:$D$658,'MAIN TABLE-1 AUTOMATED'!O2132))</f>
        <v/>
      </c>
      <c r="R2132" s="41" t="str">
        <f>IF(Table1[[#This Row],[QUANTITY]]=0,"",Table1[[#This Row],[UNIT PRICE]]*Table1[[#This Row],[QUANTITY]])</f>
        <v/>
      </c>
      <c r="S2132" s="89"/>
      <c r="T2132" s="38"/>
      <c r="U2132" s="43"/>
      <c r="V2132" s="42" t="str">
        <f>IF(Table1[[#This Row],[DATE]]=0,"",YEAR(E2132))</f>
        <v/>
      </c>
      <c r="W2132" s="40" t="str">
        <f t="shared" si="66"/>
        <v/>
      </c>
      <c r="X2132" s="40" t="str">
        <f t="shared" si="67"/>
        <v/>
      </c>
      <c r="Y2132" s="40" t="str">
        <f>TEXT(Table1[[#This Row],[YEAR]],"0000")&amp;"-"&amp;Table1[[#This Row],[MONTH]]</f>
        <v>-</v>
      </c>
    </row>
    <row r="2133" spans="1:25" ht="15" customHeight="1" x14ac:dyDescent="0.35">
      <c r="A2133" s="24"/>
      <c r="B2133" s="38"/>
      <c r="C2133" s="38"/>
      <c r="D2133" s="38"/>
      <c r="E2133" s="37"/>
      <c r="F2133" s="38"/>
      <c r="G2133" s="198"/>
      <c r="H2133" s="198"/>
      <c r="I2133" s="39"/>
      <c r="J2133" s="38"/>
      <c r="K2133" s="198"/>
      <c r="L2133" s="38"/>
      <c r="M2133" s="38"/>
      <c r="N2133" s="38"/>
      <c r="O2133" s="38"/>
      <c r="P2133" s="40" t="str" cm="1">
        <f t="array" ref="P2133">IF(N2133="","",IFERROR(_xlfn.XLOOKUP(F2133&amp;"|"&amp;J2133&amp;"|"&amp;O2133,PRICES!$C$2:$C$659&amp;"|"&amp;PRICES!$B$2:$B$659&amp;"|"&amp;PRICES!$D$2:$D$659,PRICES!$E$2:$E$659),"Not Found"))</f>
        <v/>
      </c>
      <c r="Q2133" s="100" t="str">
        <f>IF(N2133=0,"",SUMIFS(PRICES!$G$2:$G$658,PRICES!$B$2:$B$658,'MAIN TABLE-1 AUTOMATED'!J2133,PRICES!$C$2:$C$658,'MAIN TABLE-1 AUTOMATED'!F2133,PRICES!$D$2:$D$658,'MAIN TABLE-1 AUTOMATED'!O2133))</f>
        <v/>
      </c>
      <c r="R2133" s="41" t="str">
        <f>IF(Table1[[#This Row],[QUANTITY]]=0,"",Table1[[#This Row],[UNIT PRICE]]*Table1[[#This Row],[QUANTITY]])</f>
        <v/>
      </c>
      <c r="S2133" s="89"/>
      <c r="T2133" s="38"/>
      <c r="U2133" s="43"/>
      <c r="V2133" s="42" t="str">
        <f>IF(Table1[[#This Row],[DATE]]=0,"",YEAR(E2133))</f>
        <v/>
      </c>
      <c r="W2133" s="40" t="str">
        <f t="shared" si="66"/>
        <v/>
      </c>
      <c r="X2133" s="40" t="str">
        <f t="shared" si="67"/>
        <v/>
      </c>
      <c r="Y2133" s="40" t="str">
        <f>TEXT(Table1[[#This Row],[YEAR]],"0000")&amp;"-"&amp;Table1[[#This Row],[MONTH]]</f>
        <v>-</v>
      </c>
    </row>
    <row r="2134" spans="1:25" ht="15" customHeight="1" x14ac:dyDescent="0.35">
      <c r="A2134" s="24"/>
      <c r="B2134" s="38"/>
      <c r="C2134" s="38"/>
      <c r="D2134" s="38"/>
      <c r="E2134" s="37"/>
      <c r="F2134" s="38"/>
      <c r="G2134" s="198"/>
      <c r="H2134" s="198"/>
      <c r="I2134" s="39"/>
      <c r="J2134" s="38"/>
      <c r="K2134" s="198"/>
      <c r="L2134" s="38"/>
      <c r="M2134" s="38"/>
      <c r="N2134" s="38"/>
      <c r="O2134" s="38"/>
      <c r="P2134" s="40" t="str" cm="1">
        <f t="array" ref="P2134">IF(N2134="","",IFERROR(_xlfn.XLOOKUP(F2134&amp;"|"&amp;J2134&amp;"|"&amp;O2134,PRICES!$C$2:$C$659&amp;"|"&amp;PRICES!$B$2:$B$659&amp;"|"&amp;PRICES!$D$2:$D$659,PRICES!$E$2:$E$659),"Not Found"))</f>
        <v/>
      </c>
      <c r="Q2134" s="100" t="str">
        <f>IF(N2134=0,"",SUMIFS(PRICES!$G$2:$G$658,PRICES!$B$2:$B$658,'MAIN TABLE-1 AUTOMATED'!J2134,PRICES!$C$2:$C$658,'MAIN TABLE-1 AUTOMATED'!F2134,PRICES!$D$2:$D$658,'MAIN TABLE-1 AUTOMATED'!O2134))</f>
        <v/>
      </c>
      <c r="R2134" s="41" t="str">
        <f>IF(Table1[[#This Row],[QUANTITY]]=0,"",Table1[[#This Row],[UNIT PRICE]]*Table1[[#This Row],[QUANTITY]])</f>
        <v/>
      </c>
      <c r="S2134" s="89"/>
      <c r="T2134" s="38"/>
      <c r="U2134" s="43"/>
      <c r="V2134" s="42" t="str">
        <f>IF(Table1[[#This Row],[DATE]]=0,"",YEAR(E2134))</f>
        <v/>
      </c>
      <c r="W2134" s="40" t="str">
        <f t="shared" si="66"/>
        <v/>
      </c>
      <c r="X2134" s="40" t="str">
        <f t="shared" si="67"/>
        <v/>
      </c>
      <c r="Y2134" s="40" t="str">
        <f>TEXT(Table1[[#This Row],[YEAR]],"0000")&amp;"-"&amp;Table1[[#This Row],[MONTH]]</f>
        <v>-</v>
      </c>
    </row>
    <row r="2135" spans="1:25" ht="15" customHeight="1" x14ac:dyDescent="0.35">
      <c r="A2135" s="24"/>
      <c r="B2135" s="38"/>
      <c r="C2135" s="38"/>
      <c r="D2135" s="38"/>
      <c r="E2135" s="37"/>
      <c r="F2135" s="38"/>
      <c r="G2135" s="198"/>
      <c r="H2135" s="198"/>
      <c r="I2135" s="39"/>
      <c r="J2135" s="38"/>
      <c r="K2135" s="198"/>
      <c r="L2135" s="38"/>
      <c r="M2135" s="38"/>
      <c r="N2135" s="38"/>
      <c r="O2135" s="38"/>
      <c r="P2135" s="40" t="str" cm="1">
        <f t="array" ref="P2135">IF(N2135="","",IFERROR(_xlfn.XLOOKUP(F2135&amp;"|"&amp;J2135&amp;"|"&amp;O2135,PRICES!$C$2:$C$659&amp;"|"&amp;PRICES!$B$2:$B$659&amp;"|"&amp;PRICES!$D$2:$D$659,PRICES!$E$2:$E$659),"Not Found"))</f>
        <v/>
      </c>
      <c r="Q2135" s="100" t="str">
        <f>IF(N2135=0,"",SUMIFS(PRICES!$G$2:$G$658,PRICES!$B$2:$B$658,'MAIN TABLE-1 AUTOMATED'!J2135,PRICES!$C$2:$C$658,'MAIN TABLE-1 AUTOMATED'!F2135,PRICES!$D$2:$D$658,'MAIN TABLE-1 AUTOMATED'!O2135))</f>
        <v/>
      </c>
      <c r="R2135" s="41" t="str">
        <f>IF(Table1[[#This Row],[QUANTITY]]=0,"",Table1[[#This Row],[UNIT PRICE]]*Table1[[#This Row],[QUANTITY]])</f>
        <v/>
      </c>
      <c r="S2135" s="89"/>
      <c r="T2135" s="38"/>
      <c r="U2135" s="43"/>
      <c r="V2135" s="42" t="str">
        <f>IF(Table1[[#This Row],[DATE]]=0,"",YEAR(E2135))</f>
        <v/>
      </c>
      <c r="W2135" s="40" t="str">
        <f t="shared" si="66"/>
        <v/>
      </c>
      <c r="X2135" s="40" t="str">
        <f t="shared" si="67"/>
        <v/>
      </c>
      <c r="Y2135" s="40" t="str">
        <f>TEXT(Table1[[#This Row],[YEAR]],"0000")&amp;"-"&amp;Table1[[#This Row],[MONTH]]</f>
        <v>-</v>
      </c>
    </row>
    <row r="2136" spans="1:25" ht="15" customHeight="1" x14ac:dyDescent="0.35">
      <c r="A2136" s="24"/>
      <c r="B2136" s="38"/>
      <c r="C2136" s="38"/>
      <c r="D2136" s="38"/>
      <c r="E2136" s="37"/>
      <c r="F2136" s="38"/>
      <c r="G2136" s="198"/>
      <c r="H2136" s="198"/>
      <c r="I2136" s="39"/>
      <c r="J2136" s="38"/>
      <c r="K2136" s="198"/>
      <c r="L2136" s="38"/>
      <c r="M2136" s="38"/>
      <c r="N2136" s="38"/>
      <c r="O2136" s="38"/>
      <c r="P2136" s="40" t="str" cm="1">
        <f t="array" ref="P2136">IF(N2136="","",IFERROR(_xlfn.XLOOKUP(F2136&amp;"|"&amp;J2136&amp;"|"&amp;O2136,PRICES!$C$2:$C$659&amp;"|"&amp;PRICES!$B$2:$B$659&amp;"|"&amp;PRICES!$D$2:$D$659,PRICES!$E$2:$E$659),"Not Found"))</f>
        <v/>
      </c>
      <c r="Q2136" s="100" t="str">
        <f>IF(N2136=0,"",SUMIFS(PRICES!$G$2:$G$658,PRICES!$B$2:$B$658,'MAIN TABLE-1 AUTOMATED'!J2136,PRICES!$C$2:$C$658,'MAIN TABLE-1 AUTOMATED'!F2136,PRICES!$D$2:$D$658,'MAIN TABLE-1 AUTOMATED'!O2136))</f>
        <v/>
      </c>
      <c r="R2136" s="41" t="str">
        <f>IF(Table1[[#This Row],[QUANTITY]]=0,"",Table1[[#This Row],[UNIT PRICE]]*Table1[[#This Row],[QUANTITY]])</f>
        <v/>
      </c>
      <c r="S2136" s="89"/>
      <c r="T2136" s="38"/>
      <c r="U2136" s="43"/>
      <c r="V2136" s="42" t="str">
        <f>IF(Table1[[#This Row],[DATE]]=0,"",YEAR(E2136))</f>
        <v/>
      </c>
      <c r="W2136" s="40" t="str">
        <f t="shared" si="66"/>
        <v/>
      </c>
      <c r="X2136" s="40" t="str">
        <f t="shared" si="67"/>
        <v/>
      </c>
      <c r="Y2136" s="40" t="str">
        <f>TEXT(Table1[[#This Row],[YEAR]],"0000")&amp;"-"&amp;Table1[[#This Row],[MONTH]]</f>
        <v>-</v>
      </c>
    </row>
    <row r="2137" spans="1:25" ht="15" customHeight="1" x14ac:dyDescent="0.35">
      <c r="A2137" s="24"/>
      <c r="B2137" s="38"/>
      <c r="C2137" s="38"/>
      <c r="D2137" s="38"/>
      <c r="E2137" s="37"/>
      <c r="F2137" s="38"/>
      <c r="G2137" s="198"/>
      <c r="H2137" s="198"/>
      <c r="I2137" s="39"/>
      <c r="J2137" s="38"/>
      <c r="K2137" s="198"/>
      <c r="L2137" s="38"/>
      <c r="M2137" s="38"/>
      <c r="N2137" s="38"/>
      <c r="O2137" s="38"/>
      <c r="P2137" s="40" t="str" cm="1">
        <f t="array" ref="P2137">IF(N2137="","",IFERROR(_xlfn.XLOOKUP(F2137&amp;"|"&amp;J2137&amp;"|"&amp;O2137,PRICES!$C$2:$C$659&amp;"|"&amp;PRICES!$B$2:$B$659&amp;"|"&amp;PRICES!$D$2:$D$659,PRICES!$E$2:$E$659),"Not Found"))</f>
        <v/>
      </c>
      <c r="Q2137" s="100" t="str">
        <f>IF(N2137=0,"",SUMIFS(PRICES!$G$2:$G$658,PRICES!$B$2:$B$658,'MAIN TABLE-1 AUTOMATED'!J2137,PRICES!$C$2:$C$658,'MAIN TABLE-1 AUTOMATED'!F2137,PRICES!$D$2:$D$658,'MAIN TABLE-1 AUTOMATED'!O2137))</f>
        <v/>
      </c>
      <c r="R2137" s="41" t="str">
        <f>IF(Table1[[#This Row],[QUANTITY]]=0,"",Table1[[#This Row],[UNIT PRICE]]*Table1[[#This Row],[QUANTITY]])</f>
        <v/>
      </c>
      <c r="S2137" s="89"/>
      <c r="T2137" s="38"/>
      <c r="U2137" s="43"/>
      <c r="V2137" s="42" t="str">
        <f>IF(Table1[[#This Row],[DATE]]=0,"",YEAR(E2137))</f>
        <v/>
      </c>
      <c r="W2137" s="40" t="str">
        <f t="shared" si="66"/>
        <v/>
      </c>
      <c r="X2137" s="40" t="str">
        <f t="shared" si="67"/>
        <v/>
      </c>
      <c r="Y2137" s="40" t="str">
        <f>TEXT(Table1[[#This Row],[YEAR]],"0000")&amp;"-"&amp;Table1[[#This Row],[MONTH]]</f>
        <v>-</v>
      </c>
    </row>
    <row r="2138" spans="1:25" ht="15" customHeight="1" x14ac:dyDescent="0.35">
      <c r="A2138" s="24"/>
      <c r="B2138" s="38"/>
      <c r="C2138" s="38"/>
      <c r="D2138" s="38"/>
      <c r="E2138" s="37"/>
      <c r="F2138" s="38"/>
      <c r="G2138" s="198"/>
      <c r="H2138" s="198"/>
      <c r="I2138" s="39"/>
      <c r="J2138" s="38"/>
      <c r="K2138" s="198"/>
      <c r="L2138" s="38"/>
      <c r="M2138" s="38"/>
      <c r="N2138" s="38"/>
      <c r="O2138" s="38"/>
      <c r="P2138" s="40" t="str" cm="1">
        <f t="array" ref="P2138">IF(N2138="","",IFERROR(_xlfn.XLOOKUP(F2138&amp;"|"&amp;J2138&amp;"|"&amp;O2138,PRICES!$C$2:$C$659&amp;"|"&amp;PRICES!$B$2:$B$659&amp;"|"&amp;PRICES!$D$2:$D$659,PRICES!$E$2:$E$659),"Not Found"))</f>
        <v/>
      </c>
      <c r="Q2138" s="100" t="str">
        <f>IF(N2138=0,"",SUMIFS(PRICES!$G$2:$G$658,PRICES!$B$2:$B$658,'MAIN TABLE-1 AUTOMATED'!J2138,PRICES!$C$2:$C$658,'MAIN TABLE-1 AUTOMATED'!F2138,PRICES!$D$2:$D$658,'MAIN TABLE-1 AUTOMATED'!O2138))</f>
        <v/>
      </c>
      <c r="R2138" s="41" t="str">
        <f>IF(Table1[[#This Row],[QUANTITY]]=0,"",Table1[[#This Row],[UNIT PRICE]]*Table1[[#This Row],[QUANTITY]])</f>
        <v/>
      </c>
      <c r="S2138" s="89"/>
      <c r="T2138" s="38"/>
      <c r="U2138" s="43"/>
      <c r="V2138" s="42" t="str">
        <f>IF(Table1[[#This Row],[DATE]]=0,"",YEAR(E2138))</f>
        <v/>
      </c>
      <c r="W2138" s="40" t="str">
        <f t="shared" si="66"/>
        <v/>
      </c>
      <c r="X2138" s="40" t="str">
        <f t="shared" si="67"/>
        <v/>
      </c>
      <c r="Y2138" s="40" t="str">
        <f>TEXT(Table1[[#This Row],[YEAR]],"0000")&amp;"-"&amp;Table1[[#This Row],[MONTH]]</f>
        <v>-</v>
      </c>
    </row>
    <row r="2139" spans="1:25" ht="15" customHeight="1" x14ac:dyDescent="0.35">
      <c r="A2139" s="24"/>
      <c r="B2139" s="38"/>
      <c r="C2139" s="38"/>
      <c r="D2139" s="38"/>
      <c r="E2139" s="37"/>
      <c r="F2139" s="38"/>
      <c r="G2139" s="198"/>
      <c r="H2139" s="198"/>
      <c r="I2139" s="39"/>
      <c r="J2139" s="38"/>
      <c r="K2139" s="198"/>
      <c r="L2139" s="38"/>
      <c r="M2139" s="38"/>
      <c r="N2139" s="38"/>
      <c r="O2139" s="38"/>
      <c r="P2139" s="40" t="str" cm="1">
        <f t="array" ref="P2139">IF(N2139="","",IFERROR(_xlfn.XLOOKUP(F2139&amp;"|"&amp;J2139&amp;"|"&amp;O2139,PRICES!$C$2:$C$659&amp;"|"&amp;PRICES!$B$2:$B$659&amp;"|"&amp;PRICES!$D$2:$D$659,PRICES!$E$2:$E$659),"Not Found"))</f>
        <v/>
      </c>
      <c r="Q2139" s="100" t="str">
        <f>IF(N2139=0,"",SUMIFS(PRICES!$G$2:$G$658,PRICES!$B$2:$B$658,'MAIN TABLE-1 AUTOMATED'!J2139,PRICES!$C$2:$C$658,'MAIN TABLE-1 AUTOMATED'!F2139,PRICES!$D$2:$D$658,'MAIN TABLE-1 AUTOMATED'!O2139))</f>
        <v/>
      </c>
      <c r="R2139" s="41" t="str">
        <f>IF(Table1[[#This Row],[QUANTITY]]=0,"",Table1[[#This Row],[UNIT PRICE]]*Table1[[#This Row],[QUANTITY]])</f>
        <v/>
      </c>
      <c r="S2139" s="89"/>
      <c r="T2139" s="38"/>
      <c r="U2139" s="43"/>
      <c r="V2139" s="42" t="str">
        <f>IF(Table1[[#This Row],[DATE]]=0,"",YEAR(E2139))</f>
        <v/>
      </c>
      <c r="W2139" s="40" t="str">
        <f t="shared" si="66"/>
        <v/>
      </c>
      <c r="X2139" s="40" t="str">
        <f t="shared" si="67"/>
        <v/>
      </c>
      <c r="Y2139" s="40" t="str">
        <f>TEXT(Table1[[#This Row],[YEAR]],"0000")&amp;"-"&amp;Table1[[#This Row],[MONTH]]</f>
        <v>-</v>
      </c>
    </row>
    <row r="2140" spans="1:25" ht="15" customHeight="1" x14ac:dyDescent="0.35">
      <c r="A2140" s="24"/>
      <c r="B2140" s="38"/>
      <c r="C2140" s="38"/>
      <c r="D2140" s="38"/>
      <c r="E2140" s="37"/>
      <c r="F2140" s="38"/>
      <c r="G2140" s="198"/>
      <c r="H2140" s="198"/>
      <c r="I2140" s="39"/>
      <c r="J2140" s="38"/>
      <c r="K2140" s="198"/>
      <c r="L2140" s="38"/>
      <c r="M2140" s="38"/>
      <c r="N2140" s="38"/>
      <c r="O2140" s="38"/>
      <c r="P2140" s="40" t="str" cm="1">
        <f t="array" ref="P2140">IF(N2140="","",IFERROR(_xlfn.XLOOKUP(F2140&amp;"|"&amp;J2140&amp;"|"&amp;O2140,PRICES!$C$2:$C$659&amp;"|"&amp;PRICES!$B$2:$B$659&amp;"|"&amp;PRICES!$D$2:$D$659,PRICES!$E$2:$E$659),"Not Found"))</f>
        <v/>
      </c>
      <c r="Q2140" s="100" t="str">
        <f>IF(N2140=0,"",SUMIFS(PRICES!$G$2:$G$658,PRICES!$B$2:$B$658,'MAIN TABLE-1 AUTOMATED'!J2140,PRICES!$C$2:$C$658,'MAIN TABLE-1 AUTOMATED'!F2140,PRICES!$D$2:$D$658,'MAIN TABLE-1 AUTOMATED'!O2140))</f>
        <v/>
      </c>
      <c r="R2140" s="41" t="str">
        <f>IF(Table1[[#This Row],[QUANTITY]]=0,"",Table1[[#This Row],[UNIT PRICE]]*Table1[[#This Row],[QUANTITY]])</f>
        <v/>
      </c>
      <c r="S2140" s="89"/>
      <c r="T2140" s="38"/>
      <c r="U2140" s="43"/>
      <c r="V2140" s="42" t="str">
        <f>IF(Table1[[#This Row],[DATE]]=0,"",YEAR(E2140))</f>
        <v/>
      </c>
      <c r="W2140" s="40" t="str">
        <f t="shared" si="66"/>
        <v/>
      </c>
      <c r="X2140" s="40" t="str">
        <f t="shared" si="67"/>
        <v/>
      </c>
      <c r="Y2140" s="40" t="str">
        <f>TEXT(Table1[[#This Row],[YEAR]],"0000")&amp;"-"&amp;Table1[[#This Row],[MONTH]]</f>
        <v>-</v>
      </c>
    </row>
    <row r="2141" spans="1:25" ht="15" customHeight="1" x14ac:dyDescent="0.35">
      <c r="A2141" s="24"/>
      <c r="B2141" s="38"/>
      <c r="C2141" s="38"/>
      <c r="D2141" s="38"/>
      <c r="E2141" s="37"/>
      <c r="F2141" s="38"/>
      <c r="G2141" s="198"/>
      <c r="H2141" s="198"/>
      <c r="I2141" s="39"/>
      <c r="J2141" s="38"/>
      <c r="K2141" s="198"/>
      <c r="L2141" s="38"/>
      <c r="M2141" s="38"/>
      <c r="N2141" s="38"/>
      <c r="O2141" s="38"/>
      <c r="P2141" s="40" t="str" cm="1">
        <f t="array" ref="P2141">IF(N2141="","",IFERROR(_xlfn.XLOOKUP(F2141&amp;"|"&amp;J2141&amp;"|"&amp;O2141,PRICES!$C$2:$C$659&amp;"|"&amp;PRICES!$B$2:$B$659&amp;"|"&amp;PRICES!$D$2:$D$659,PRICES!$E$2:$E$659),"Not Found"))</f>
        <v/>
      </c>
      <c r="Q2141" s="100" t="str">
        <f>IF(N2141=0,"",SUMIFS(PRICES!$G$2:$G$658,PRICES!$B$2:$B$658,'MAIN TABLE-1 AUTOMATED'!J2141,PRICES!$C$2:$C$658,'MAIN TABLE-1 AUTOMATED'!F2141,PRICES!$D$2:$D$658,'MAIN TABLE-1 AUTOMATED'!O2141))</f>
        <v/>
      </c>
      <c r="R2141" s="41" t="str">
        <f>IF(Table1[[#This Row],[QUANTITY]]=0,"",Table1[[#This Row],[UNIT PRICE]]*Table1[[#This Row],[QUANTITY]])</f>
        <v/>
      </c>
      <c r="S2141" s="89"/>
      <c r="T2141" s="38"/>
      <c r="U2141" s="43"/>
      <c r="V2141" s="42" t="str">
        <f>IF(Table1[[#This Row],[DATE]]=0,"",YEAR(E2141))</f>
        <v/>
      </c>
      <c r="W2141" s="40" t="str">
        <f t="shared" si="66"/>
        <v/>
      </c>
      <c r="X2141" s="40" t="str">
        <f t="shared" si="67"/>
        <v/>
      </c>
      <c r="Y2141" s="40" t="str">
        <f>TEXT(Table1[[#This Row],[YEAR]],"0000")&amp;"-"&amp;Table1[[#This Row],[MONTH]]</f>
        <v>-</v>
      </c>
    </row>
    <row r="2142" spans="1:25" ht="15" customHeight="1" x14ac:dyDescent="0.35">
      <c r="A2142" s="24"/>
      <c r="B2142" s="38"/>
      <c r="C2142" s="38"/>
      <c r="D2142" s="38"/>
      <c r="E2142" s="37"/>
      <c r="F2142" s="38"/>
      <c r="G2142" s="198"/>
      <c r="H2142" s="198"/>
      <c r="I2142" s="39"/>
      <c r="J2142" s="38"/>
      <c r="K2142" s="198"/>
      <c r="L2142" s="38"/>
      <c r="M2142" s="38"/>
      <c r="N2142" s="38"/>
      <c r="O2142" s="38"/>
      <c r="P2142" s="40" t="str" cm="1">
        <f t="array" ref="P2142">IF(N2142="","",IFERROR(_xlfn.XLOOKUP(F2142&amp;"|"&amp;J2142&amp;"|"&amp;O2142,PRICES!$C$2:$C$659&amp;"|"&amp;PRICES!$B$2:$B$659&amp;"|"&amp;PRICES!$D$2:$D$659,PRICES!$E$2:$E$659),"Not Found"))</f>
        <v/>
      </c>
      <c r="Q2142" s="100" t="str">
        <f>IF(N2142=0,"",SUMIFS(PRICES!$G$2:$G$658,PRICES!$B$2:$B$658,'MAIN TABLE-1 AUTOMATED'!J2142,PRICES!$C$2:$C$658,'MAIN TABLE-1 AUTOMATED'!F2142,PRICES!$D$2:$D$658,'MAIN TABLE-1 AUTOMATED'!O2142))</f>
        <v/>
      </c>
      <c r="R2142" s="41" t="str">
        <f>IF(Table1[[#This Row],[QUANTITY]]=0,"",Table1[[#This Row],[UNIT PRICE]]*Table1[[#This Row],[QUANTITY]])</f>
        <v/>
      </c>
      <c r="S2142" s="89"/>
      <c r="T2142" s="38"/>
      <c r="U2142" s="43"/>
      <c r="V2142" s="42" t="str">
        <f>IF(Table1[[#This Row],[DATE]]=0,"",YEAR(E2142))</f>
        <v/>
      </c>
      <c r="W2142" s="40" t="str">
        <f t="shared" si="66"/>
        <v/>
      </c>
      <c r="X2142" s="40" t="str">
        <f t="shared" si="67"/>
        <v/>
      </c>
      <c r="Y2142" s="40" t="str">
        <f>TEXT(Table1[[#This Row],[YEAR]],"0000")&amp;"-"&amp;Table1[[#This Row],[MONTH]]</f>
        <v>-</v>
      </c>
    </row>
    <row r="2143" spans="1:25" ht="15" customHeight="1" x14ac:dyDescent="0.35">
      <c r="A2143" s="24"/>
      <c r="B2143" s="38"/>
      <c r="C2143" s="38"/>
      <c r="D2143" s="38"/>
      <c r="E2143" s="37"/>
      <c r="F2143" s="38"/>
      <c r="G2143" s="198"/>
      <c r="H2143" s="198"/>
      <c r="I2143" s="39"/>
      <c r="J2143" s="38"/>
      <c r="K2143" s="198"/>
      <c r="L2143" s="38"/>
      <c r="M2143" s="38"/>
      <c r="N2143" s="38"/>
      <c r="O2143" s="38"/>
      <c r="P2143" s="40" t="str" cm="1">
        <f t="array" ref="P2143">IF(N2143="","",IFERROR(_xlfn.XLOOKUP(F2143&amp;"|"&amp;J2143&amp;"|"&amp;O2143,PRICES!$C$2:$C$659&amp;"|"&amp;PRICES!$B$2:$B$659&amp;"|"&amp;PRICES!$D$2:$D$659,PRICES!$E$2:$E$659),"Not Found"))</f>
        <v/>
      </c>
      <c r="Q2143" s="100" t="str">
        <f>IF(N2143=0,"",SUMIFS(PRICES!$G$2:$G$658,PRICES!$B$2:$B$658,'MAIN TABLE-1 AUTOMATED'!J2143,PRICES!$C$2:$C$658,'MAIN TABLE-1 AUTOMATED'!F2143,PRICES!$D$2:$D$658,'MAIN TABLE-1 AUTOMATED'!O2143))</f>
        <v/>
      </c>
      <c r="R2143" s="41" t="str">
        <f>IF(Table1[[#This Row],[QUANTITY]]=0,"",Table1[[#This Row],[UNIT PRICE]]*Table1[[#This Row],[QUANTITY]])</f>
        <v/>
      </c>
      <c r="S2143" s="89"/>
      <c r="T2143" s="38"/>
      <c r="U2143" s="43"/>
      <c r="V2143" s="42" t="str">
        <f>IF(Table1[[#This Row],[DATE]]=0,"",YEAR(E2143))</f>
        <v/>
      </c>
      <c r="W2143" s="40" t="str">
        <f t="shared" ref="W2143:W2206" si="68">IF(E2143=0,"",MONTH(E2143))</f>
        <v/>
      </c>
      <c r="X2143" s="40" t="str">
        <f t="shared" ref="X2143:X2206" si="69">IF(E2143=0,"",WEEKNUM(E2143))</f>
        <v/>
      </c>
      <c r="Y2143" s="40" t="str">
        <f>TEXT(Table1[[#This Row],[YEAR]],"0000")&amp;"-"&amp;Table1[[#This Row],[MONTH]]</f>
        <v>-</v>
      </c>
    </row>
    <row r="2144" spans="1:25" ht="15" customHeight="1" x14ac:dyDescent="0.35">
      <c r="A2144" s="24"/>
      <c r="B2144" s="38"/>
      <c r="C2144" s="38"/>
      <c r="D2144" s="38"/>
      <c r="E2144" s="37"/>
      <c r="F2144" s="38"/>
      <c r="G2144" s="198"/>
      <c r="H2144" s="198"/>
      <c r="I2144" s="39"/>
      <c r="J2144" s="38"/>
      <c r="K2144" s="198"/>
      <c r="L2144" s="38"/>
      <c r="M2144" s="38"/>
      <c r="N2144" s="38"/>
      <c r="O2144" s="38"/>
      <c r="P2144" s="40" t="str" cm="1">
        <f t="array" ref="P2144">IF(N2144="","",IFERROR(_xlfn.XLOOKUP(F2144&amp;"|"&amp;J2144&amp;"|"&amp;O2144,PRICES!$C$2:$C$659&amp;"|"&amp;PRICES!$B$2:$B$659&amp;"|"&amp;PRICES!$D$2:$D$659,PRICES!$E$2:$E$659),"Not Found"))</f>
        <v/>
      </c>
      <c r="Q2144" s="100" t="str">
        <f>IF(N2144=0,"",SUMIFS(PRICES!$G$2:$G$658,PRICES!$B$2:$B$658,'MAIN TABLE-1 AUTOMATED'!J2144,PRICES!$C$2:$C$658,'MAIN TABLE-1 AUTOMATED'!F2144,PRICES!$D$2:$D$658,'MAIN TABLE-1 AUTOMATED'!O2144))</f>
        <v/>
      </c>
      <c r="R2144" s="41" t="str">
        <f>IF(Table1[[#This Row],[QUANTITY]]=0,"",Table1[[#This Row],[UNIT PRICE]]*Table1[[#This Row],[QUANTITY]])</f>
        <v/>
      </c>
      <c r="S2144" s="89"/>
      <c r="T2144" s="38"/>
      <c r="U2144" s="43"/>
      <c r="V2144" s="42" t="str">
        <f>IF(Table1[[#This Row],[DATE]]=0,"",YEAR(E2144))</f>
        <v/>
      </c>
      <c r="W2144" s="40" t="str">
        <f t="shared" si="68"/>
        <v/>
      </c>
      <c r="X2144" s="40" t="str">
        <f t="shared" si="69"/>
        <v/>
      </c>
      <c r="Y2144" s="40" t="str">
        <f>TEXT(Table1[[#This Row],[YEAR]],"0000")&amp;"-"&amp;Table1[[#This Row],[MONTH]]</f>
        <v>-</v>
      </c>
    </row>
    <row r="2145" spans="1:25" ht="15" customHeight="1" x14ac:dyDescent="0.35">
      <c r="A2145" s="24"/>
      <c r="B2145" s="38"/>
      <c r="C2145" s="38"/>
      <c r="D2145" s="38"/>
      <c r="E2145" s="37"/>
      <c r="F2145" s="38"/>
      <c r="G2145" s="198"/>
      <c r="H2145" s="198"/>
      <c r="I2145" s="39"/>
      <c r="J2145" s="38"/>
      <c r="K2145" s="198"/>
      <c r="L2145" s="38"/>
      <c r="M2145" s="38"/>
      <c r="N2145" s="38"/>
      <c r="O2145" s="38"/>
      <c r="P2145" s="40" t="str" cm="1">
        <f t="array" ref="P2145">IF(N2145="","",IFERROR(_xlfn.XLOOKUP(F2145&amp;"|"&amp;J2145&amp;"|"&amp;O2145,PRICES!$C$2:$C$659&amp;"|"&amp;PRICES!$B$2:$B$659&amp;"|"&amp;PRICES!$D$2:$D$659,PRICES!$E$2:$E$659),"Not Found"))</f>
        <v/>
      </c>
      <c r="Q2145" s="100" t="str">
        <f>IF(N2145=0,"",SUMIFS(PRICES!$G$2:$G$658,PRICES!$B$2:$B$658,'MAIN TABLE-1 AUTOMATED'!J2145,PRICES!$C$2:$C$658,'MAIN TABLE-1 AUTOMATED'!F2145,PRICES!$D$2:$D$658,'MAIN TABLE-1 AUTOMATED'!O2145))</f>
        <v/>
      </c>
      <c r="R2145" s="41" t="str">
        <f>IF(Table1[[#This Row],[QUANTITY]]=0,"",Table1[[#This Row],[UNIT PRICE]]*Table1[[#This Row],[QUANTITY]])</f>
        <v/>
      </c>
      <c r="S2145" s="89"/>
      <c r="T2145" s="38"/>
      <c r="U2145" s="43"/>
      <c r="V2145" s="42" t="str">
        <f>IF(Table1[[#This Row],[DATE]]=0,"",YEAR(E2145))</f>
        <v/>
      </c>
      <c r="W2145" s="40" t="str">
        <f t="shared" si="68"/>
        <v/>
      </c>
      <c r="X2145" s="40" t="str">
        <f t="shared" si="69"/>
        <v/>
      </c>
      <c r="Y2145" s="40" t="str">
        <f>TEXT(Table1[[#This Row],[YEAR]],"0000")&amp;"-"&amp;Table1[[#This Row],[MONTH]]</f>
        <v>-</v>
      </c>
    </row>
    <row r="2146" spans="1:25" ht="15" customHeight="1" x14ac:dyDescent="0.35">
      <c r="A2146" s="24"/>
      <c r="B2146" s="38"/>
      <c r="C2146" s="38"/>
      <c r="D2146" s="38"/>
      <c r="E2146" s="37"/>
      <c r="F2146" s="38"/>
      <c r="G2146" s="198"/>
      <c r="H2146" s="198"/>
      <c r="I2146" s="39"/>
      <c r="J2146" s="38"/>
      <c r="K2146" s="198"/>
      <c r="L2146" s="38"/>
      <c r="M2146" s="38"/>
      <c r="N2146" s="38"/>
      <c r="O2146" s="38"/>
      <c r="P2146" s="40" t="str" cm="1">
        <f t="array" ref="P2146">IF(N2146="","",IFERROR(_xlfn.XLOOKUP(F2146&amp;"|"&amp;J2146&amp;"|"&amp;O2146,PRICES!$C$2:$C$659&amp;"|"&amp;PRICES!$B$2:$B$659&amp;"|"&amp;PRICES!$D$2:$D$659,PRICES!$E$2:$E$659),"Not Found"))</f>
        <v/>
      </c>
      <c r="Q2146" s="100" t="str">
        <f>IF(N2146=0,"",SUMIFS(PRICES!$G$2:$G$658,PRICES!$B$2:$B$658,'MAIN TABLE-1 AUTOMATED'!J2146,PRICES!$C$2:$C$658,'MAIN TABLE-1 AUTOMATED'!F2146,PRICES!$D$2:$D$658,'MAIN TABLE-1 AUTOMATED'!O2146))</f>
        <v/>
      </c>
      <c r="R2146" s="41" t="str">
        <f>IF(Table1[[#This Row],[QUANTITY]]=0,"",Table1[[#This Row],[UNIT PRICE]]*Table1[[#This Row],[QUANTITY]])</f>
        <v/>
      </c>
      <c r="S2146" s="89"/>
      <c r="T2146" s="38"/>
      <c r="U2146" s="43"/>
      <c r="V2146" s="42" t="str">
        <f>IF(Table1[[#This Row],[DATE]]=0,"",YEAR(E2146))</f>
        <v/>
      </c>
      <c r="W2146" s="40" t="str">
        <f t="shared" si="68"/>
        <v/>
      </c>
      <c r="X2146" s="40" t="str">
        <f t="shared" si="69"/>
        <v/>
      </c>
      <c r="Y2146" s="40" t="str">
        <f>TEXT(Table1[[#This Row],[YEAR]],"0000")&amp;"-"&amp;Table1[[#This Row],[MONTH]]</f>
        <v>-</v>
      </c>
    </row>
    <row r="2147" spans="1:25" ht="15" customHeight="1" x14ac:dyDescent="0.35">
      <c r="A2147" s="24"/>
      <c r="B2147" s="38"/>
      <c r="C2147" s="38"/>
      <c r="D2147" s="38"/>
      <c r="E2147" s="37"/>
      <c r="F2147" s="38"/>
      <c r="G2147" s="198"/>
      <c r="H2147" s="198"/>
      <c r="I2147" s="39"/>
      <c r="J2147" s="38"/>
      <c r="K2147" s="198"/>
      <c r="L2147" s="38"/>
      <c r="M2147" s="38"/>
      <c r="N2147" s="38"/>
      <c r="O2147" s="38"/>
      <c r="P2147" s="40" t="str" cm="1">
        <f t="array" ref="P2147">IF(N2147="","",IFERROR(_xlfn.XLOOKUP(F2147&amp;"|"&amp;J2147&amp;"|"&amp;O2147,PRICES!$C$2:$C$659&amp;"|"&amp;PRICES!$B$2:$B$659&amp;"|"&amp;PRICES!$D$2:$D$659,PRICES!$E$2:$E$659),"Not Found"))</f>
        <v/>
      </c>
      <c r="Q2147" s="100" t="str">
        <f>IF(N2147=0,"",SUMIFS(PRICES!$G$2:$G$658,PRICES!$B$2:$B$658,'MAIN TABLE-1 AUTOMATED'!J2147,PRICES!$C$2:$C$658,'MAIN TABLE-1 AUTOMATED'!F2147,PRICES!$D$2:$D$658,'MAIN TABLE-1 AUTOMATED'!O2147))</f>
        <v/>
      </c>
      <c r="R2147" s="41" t="str">
        <f>IF(Table1[[#This Row],[QUANTITY]]=0,"",Table1[[#This Row],[UNIT PRICE]]*Table1[[#This Row],[QUANTITY]])</f>
        <v/>
      </c>
      <c r="S2147" s="89"/>
      <c r="T2147" s="38"/>
      <c r="U2147" s="43"/>
      <c r="V2147" s="42" t="str">
        <f>IF(Table1[[#This Row],[DATE]]=0,"",YEAR(E2147))</f>
        <v/>
      </c>
      <c r="W2147" s="40" t="str">
        <f t="shared" si="68"/>
        <v/>
      </c>
      <c r="X2147" s="40" t="str">
        <f t="shared" si="69"/>
        <v/>
      </c>
      <c r="Y2147" s="40" t="str">
        <f>TEXT(Table1[[#This Row],[YEAR]],"0000")&amp;"-"&amp;Table1[[#This Row],[MONTH]]</f>
        <v>-</v>
      </c>
    </row>
    <row r="2148" spans="1:25" ht="15" customHeight="1" x14ac:dyDescent="0.35">
      <c r="A2148" s="24"/>
      <c r="B2148" s="38"/>
      <c r="C2148" s="38"/>
      <c r="D2148" s="38"/>
      <c r="E2148" s="37"/>
      <c r="F2148" s="38"/>
      <c r="G2148" s="198"/>
      <c r="H2148" s="198"/>
      <c r="I2148" s="39"/>
      <c r="J2148" s="38"/>
      <c r="K2148" s="198"/>
      <c r="L2148" s="38"/>
      <c r="M2148" s="38"/>
      <c r="N2148" s="38"/>
      <c r="O2148" s="38"/>
      <c r="P2148" s="40" t="str" cm="1">
        <f t="array" ref="P2148">IF(N2148="","",IFERROR(_xlfn.XLOOKUP(F2148&amp;"|"&amp;J2148&amp;"|"&amp;O2148,PRICES!$C$2:$C$659&amp;"|"&amp;PRICES!$B$2:$B$659&amp;"|"&amp;PRICES!$D$2:$D$659,PRICES!$E$2:$E$659),"Not Found"))</f>
        <v/>
      </c>
      <c r="Q2148" s="100" t="str">
        <f>IF(N2148=0,"",SUMIFS(PRICES!$G$2:$G$658,PRICES!$B$2:$B$658,'MAIN TABLE-1 AUTOMATED'!J2148,PRICES!$C$2:$C$658,'MAIN TABLE-1 AUTOMATED'!F2148,PRICES!$D$2:$D$658,'MAIN TABLE-1 AUTOMATED'!O2148))</f>
        <v/>
      </c>
      <c r="R2148" s="41" t="str">
        <f>IF(Table1[[#This Row],[QUANTITY]]=0,"",Table1[[#This Row],[UNIT PRICE]]*Table1[[#This Row],[QUANTITY]])</f>
        <v/>
      </c>
      <c r="S2148" s="89"/>
      <c r="T2148" s="38"/>
      <c r="U2148" s="43"/>
      <c r="V2148" s="42" t="str">
        <f>IF(Table1[[#This Row],[DATE]]=0,"",YEAR(E2148))</f>
        <v/>
      </c>
      <c r="W2148" s="40" t="str">
        <f t="shared" si="68"/>
        <v/>
      </c>
      <c r="X2148" s="40" t="str">
        <f t="shared" si="69"/>
        <v/>
      </c>
      <c r="Y2148" s="40" t="str">
        <f>TEXT(Table1[[#This Row],[YEAR]],"0000")&amp;"-"&amp;Table1[[#This Row],[MONTH]]</f>
        <v>-</v>
      </c>
    </row>
    <row r="2149" spans="1:25" ht="15" customHeight="1" x14ac:dyDescent="0.35">
      <c r="A2149" s="24"/>
      <c r="B2149" s="38"/>
      <c r="C2149" s="38"/>
      <c r="D2149" s="38"/>
      <c r="E2149" s="37"/>
      <c r="F2149" s="38"/>
      <c r="G2149" s="198"/>
      <c r="H2149" s="198"/>
      <c r="I2149" s="39"/>
      <c r="J2149" s="38"/>
      <c r="K2149" s="198"/>
      <c r="L2149" s="38"/>
      <c r="M2149" s="38"/>
      <c r="N2149" s="38"/>
      <c r="O2149" s="38"/>
      <c r="P2149" s="40" t="str" cm="1">
        <f t="array" ref="P2149">IF(N2149="","",IFERROR(_xlfn.XLOOKUP(F2149&amp;"|"&amp;J2149&amp;"|"&amp;O2149,PRICES!$C$2:$C$659&amp;"|"&amp;PRICES!$B$2:$B$659&amp;"|"&amp;PRICES!$D$2:$D$659,PRICES!$E$2:$E$659),"Not Found"))</f>
        <v/>
      </c>
      <c r="Q2149" s="100" t="str">
        <f>IF(N2149=0,"",SUMIFS(PRICES!$G$2:$G$658,PRICES!$B$2:$B$658,'MAIN TABLE-1 AUTOMATED'!J2149,PRICES!$C$2:$C$658,'MAIN TABLE-1 AUTOMATED'!F2149,PRICES!$D$2:$D$658,'MAIN TABLE-1 AUTOMATED'!O2149))</f>
        <v/>
      </c>
      <c r="R2149" s="41" t="str">
        <f>IF(Table1[[#This Row],[QUANTITY]]=0,"",Table1[[#This Row],[UNIT PRICE]]*Table1[[#This Row],[QUANTITY]])</f>
        <v/>
      </c>
      <c r="S2149" s="89"/>
      <c r="T2149" s="38"/>
      <c r="U2149" s="43"/>
      <c r="V2149" s="42" t="str">
        <f>IF(Table1[[#This Row],[DATE]]=0,"",YEAR(E2149))</f>
        <v/>
      </c>
      <c r="W2149" s="40" t="str">
        <f t="shared" si="68"/>
        <v/>
      </c>
      <c r="X2149" s="40" t="str">
        <f t="shared" si="69"/>
        <v/>
      </c>
      <c r="Y2149" s="40" t="str">
        <f>TEXT(Table1[[#This Row],[YEAR]],"0000")&amp;"-"&amp;Table1[[#This Row],[MONTH]]</f>
        <v>-</v>
      </c>
    </row>
    <row r="2150" spans="1:25" ht="15" customHeight="1" x14ac:dyDescent="0.35">
      <c r="A2150" s="24"/>
      <c r="B2150" s="38"/>
      <c r="C2150" s="38"/>
      <c r="D2150" s="38"/>
      <c r="E2150" s="37"/>
      <c r="F2150" s="38"/>
      <c r="G2150" s="198"/>
      <c r="H2150" s="198"/>
      <c r="I2150" s="39"/>
      <c r="J2150" s="38"/>
      <c r="K2150" s="198"/>
      <c r="L2150" s="38"/>
      <c r="M2150" s="38"/>
      <c r="N2150" s="38"/>
      <c r="O2150" s="38"/>
      <c r="P2150" s="40" t="str" cm="1">
        <f t="array" ref="P2150">IF(N2150="","",IFERROR(_xlfn.XLOOKUP(F2150&amp;"|"&amp;J2150&amp;"|"&amp;O2150,PRICES!$C$2:$C$659&amp;"|"&amp;PRICES!$B$2:$B$659&amp;"|"&amp;PRICES!$D$2:$D$659,PRICES!$E$2:$E$659),"Not Found"))</f>
        <v/>
      </c>
      <c r="Q2150" s="100" t="str">
        <f>IF(N2150=0,"",SUMIFS(PRICES!$G$2:$G$658,PRICES!$B$2:$B$658,'MAIN TABLE-1 AUTOMATED'!J2150,PRICES!$C$2:$C$658,'MAIN TABLE-1 AUTOMATED'!F2150,PRICES!$D$2:$D$658,'MAIN TABLE-1 AUTOMATED'!O2150))</f>
        <v/>
      </c>
      <c r="R2150" s="41" t="str">
        <f>IF(Table1[[#This Row],[QUANTITY]]=0,"",Table1[[#This Row],[UNIT PRICE]]*Table1[[#This Row],[QUANTITY]])</f>
        <v/>
      </c>
      <c r="S2150" s="89"/>
      <c r="T2150" s="38"/>
      <c r="U2150" s="43"/>
      <c r="V2150" s="42" t="str">
        <f>IF(Table1[[#This Row],[DATE]]=0,"",YEAR(E2150))</f>
        <v/>
      </c>
      <c r="W2150" s="40" t="str">
        <f t="shared" si="68"/>
        <v/>
      </c>
      <c r="X2150" s="40" t="str">
        <f t="shared" si="69"/>
        <v/>
      </c>
      <c r="Y2150" s="40" t="str">
        <f>TEXT(Table1[[#This Row],[YEAR]],"0000")&amp;"-"&amp;Table1[[#This Row],[MONTH]]</f>
        <v>-</v>
      </c>
    </row>
    <row r="2151" spans="1:25" ht="15" customHeight="1" x14ac:dyDescent="0.35">
      <c r="A2151" s="24"/>
      <c r="B2151" s="38"/>
      <c r="C2151" s="38"/>
      <c r="D2151" s="38"/>
      <c r="E2151" s="37"/>
      <c r="F2151" s="38"/>
      <c r="G2151" s="198"/>
      <c r="H2151" s="198"/>
      <c r="I2151" s="39"/>
      <c r="J2151" s="38"/>
      <c r="K2151" s="198"/>
      <c r="L2151" s="38"/>
      <c r="M2151" s="38"/>
      <c r="N2151" s="38"/>
      <c r="O2151" s="38"/>
      <c r="P2151" s="40" t="str" cm="1">
        <f t="array" ref="P2151">IF(N2151="","",IFERROR(_xlfn.XLOOKUP(F2151&amp;"|"&amp;J2151&amp;"|"&amp;O2151,PRICES!$C$2:$C$659&amp;"|"&amp;PRICES!$B$2:$B$659&amp;"|"&amp;PRICES!$D$2:$D$659,PRICES!$E$2:$E$659),"Not Found"))</f>
        <v/>
      </c>
      <c r="Q2151" s="100" t="str">
        <f>IF(N2151=0,"",SUMIFS(PRICES!$G$2:$G$658,PRICES!$B$2:$B$658,'MAIN TABLE-1 AUTOMATED'!J2151,PRICES!$C$2:$C$658,'MAIN TABLE-1 AUTOMATED'!F2151,PRICES!$D$2:$D$658,'MAIN TABLE-1 AUTOMATED'!O2151))</f>
        <v/>
      </c>
      <c r="R2151" s="41" t="str">
        <f>IF(Table1[[#This Row],[QUANTITY]]=0,"",Table1[[#This Row],[UNIT PRICE]]*Table1[[#This Row],[QUANTITY]])</f>
        <v/>
      </c>
      <c r="S2151" s="89"/>
      <c r="T2151" s="38"/>
      <c r="U2151" s="43"/>
      <c r="V2151" s="42" t="str">
        <f>IF(Table1[[#This Row],[DATE]]=0,"",YEAR(E2151))</f>
        <v/>
      </c>
      <c r="W2151" s="40" t="str">
        <f t="shared" si="68"/>
        <v/>
      </c>
      <c r="X2151" s="40" t="str">
        <f t="shared" si="69"/>
        <v/>
      </c>
      <c r="Y2151" s="40" t="str">
        <f>TEXT(Table1[[#This Row],[YEAR]],"0000")&amp;"-"&amp;Table1[[#This Row],[MONTH]]</f>
        <v>-</v>
      </c>
    </row>
    <row r="2152" spans="1:25" ht="15" customHeight="1" x14ac:dyDescent="0.35">
      <c r="A2152" s="24"/>
      <c r="B2152" s="38"/>
      <c r="C2152" s="38"/>
      <c r="D2152" s="38"/>
      <c r="E2152" s="37"/>
      <c r="F2152" s="38"/>
      <c r="G2152" s="198"/>
      <c r="H2152" s="198"/>
      <c r="I2152" s="39"/>
      <c r="J2152" s="38"/>
      <c r="K2152" s="198"/>
      <c r="L2152" s="38"/>
      <c r="M2152" s="38"/>
      <c r="N2152" s="38"/>
      <c r="O2152" s="38"/>
      <c r="P2152" s="40" t="str" cm="1">
        <f t="array" ref="P2152">IF(N2152="","",IFERROR(_xlfn.XLOOKUP(F2152&amp;"|"&amp;J2152&amp;"|"&amp;O2152,PRICES!$C$2:$C$659&amp;"|"&amp;PRICES!$B$2:$B$659&amp;"|"&amp;PRICES!$D$2:$D$659,PRICES!$E$2:$E$659),"Not Found"))</f>
        <v/>
      </c>
      <c r="Q2152" s="100" t="str">
        <f>IF(N2152=0,"",SUMIFS(PRICES!$G$2:$G$658,PRICES!$B$2:$B$658,'MAIN TABLE-1 AUTOMATED'!J2152,PRICES!$C$2:$C$658,'MAIN TABLE-1 AUTOMATED'!F2152,PRICES!$D$2:$D$658,'MAIN TABLE-1 AUTOMATED'!O2152))</f>
        <v/>
      </c>
      <c r="R2152" s="41" t="str">
        <f>IF(Table1[[#This Row],[QUANTITY]]=0,"",Table1[[#This Row],[UNIT PRICE]]*Table1[[#This Row],[QUANTITY]])</f>
        <v/>
      </c>
      <c r="S2152" s="89"/>
      <c r="T2152" s="38"/>
      <c r="U2152" s="43"/>
      <c r="V2152" s="42" t="str">
        <f>IF(Table1[[#This Row],[DATE]]=0,"",YEAR(E2152))</f>
        <v/>
      </c>
      <c r="W2152" s="40" t="str">
        <f t="shared" si="68"/>
        <v/>
      </c>
      <c r="X2152" s="40" t="str">
        <f t="shared" si="69"/>
        <v/>
      </c>
      <c r="Y2152" s="40" t="str">
        <f>TEXT(Table1[[#This Row],[YEAR]],"0000")&amp;"-"&amp;Table1[[#This Row],[MONTH]]</f>
        <v>-</v>
      </c>
    </row>
    <row r="2153" spans="1:25" ht="15" customHeight="1" x14ac:dyDescent="0.35">
      <c r="A2153" s="24"/>
      <c r="B2153" s="38"/>
      <c r="C2153" s="38"/>
      <c r="D2153" s="38"/>
      <c r="E2153" s="37"/>
      <c r="F2153" s="38"/>
      <c r="G2153" s="198"/>
      <c r="H2153" s="198"/>
      <c r="I2153" s="39"/>
      <c r="J2153" s="38"/>
      <c r="K2153" s="198"/>
      <c r="L2153" s="38"/>
      <c r="M2153" s="38"/>
      <c r="N2153" s="38"/>
      <c r="O2153" s="38"/>
      <c r="P2153" s="40" t="str" cm="1">
        <f t="array" ref="P2153">IF(N2153="","",IFERROR(_xlfn.XLOOKUP(F2153&amp;"|"&amp;J2153&amp;"|"&amp;O2153,PRICES!$C$2:$C$659&amp;"|"&amp;PRICES!$B$2:$B$659&amp;"|"&amp;PRICES!$D$2:$D$659,PRICES!$E$2:$E$659),"Not Found"))</f>
        <v/>
      </c>
      <c r="Q2153" s="100" t="str">
        <f>IF(N2153=0,"",SUMIFS(PRICES!$G$2:$G$658,PRICES!$B$2:$B$658,'MAIN TABLE-1 AUTOMATED'!J2153,PRICES!$C$2:$C$658,'MAIN TABLE-1 AUTOMATED'!F2153,PRICES!$D$2:$D$658,'MAIN TABLE-1 AUTOMATED'!O2153))</f>
        <v/>
      </c>
      <c r="R2153" s="41" t="str">
        <f>IF(Table1[[#This Row],[QUANTITY]]=0,"",Table1[[#This Row],[UNIT PRICE]]*Table1[[#This Row],[QUANTITY]])</f>
        <v/>
      </c>
      <c r="S2153" s="89"/>
      <c r="T2153" s="38"/>
      <c r="U2153" s="43"/>
      <c r="V2153" s="42" t="str">
        <f>IF(Table1[[#This Row],[DATE]]=0,"",YEAR(E2153))</f>
        <v/>
      </c>
      <c r="W2153" s="40" t="str">
        <f t="shared" si="68"/>
        <v/>
      </c>
      <c r="X2153" s="40" t="str">
        <f t="shared" si="69"/>
        <v/>
      </c>
      <c r="Y2153" s="40" t="str">
        <f>TEXT(Table1[[#This Row],[YEAR]],"0000")&amp;"-"&amp;Table1[[#This Row],[MONTH]]</f>
        <v>-</v>
      </c>
    </row>
    <row r="2154" spans="1:25" ht="15" customHeight="1" x14ac:dyDescent="0.35">
      <c r="A2154" s="24"/>
      <c r="B2154" s="38"/>
      <c r="C2154" s="38"/>
      <c r="D2154" s="38"/>
      <c r="E2154" s="37"/>
      <c r="F2154" s="38"/>
      <c r="G2154" s="198"/>
      <c r="H2154" s="198"/>
      <c r="I2154" s="39"/>
      <c r="J2154" s="38"/>
      <c r="K2154" s="198"/>
      <c r="L2154" s="38"/>
      <c r="M2154" s="38"/>
      <c r="N2154" s="38"/>
      <c r="O2154" s="38"/>
      <c r="P2154" s="40" t="str" cm="1">
        <f t="array" ref="P2154">IF(N2154="","",IFERROR(_xlfn.XLOOKUP(F2154&amp;"|"&amp;J2154&amp;"|"&amp;O2154,PRICES!$C$2:$C$659&amp;"|"&amp;PRICES!$B$2:$B$659&amp;"|"&amp;PRICES!$D$2:$D$659,PRICES!$E$2:$E$659),"Not Found"))</f>
        <v/>
      </c>
      <c r="Q2154" s="100" t="str">
        <f>IF(N2154=0,"",SUMIFS(PRICES!$G$2:$G$658,PRICES!$B$2:$B$658,'MAIN TABLE-1 AUTOMATED'!J2154,PRICES!$C$2:$C$658,'MAIN TABLE-1 AUTOMATED'!F2154,PRICES!$D$2:$D$658,'MAIN TABLE-1 AUTOMATED'!O2154))</f>
        <v/>
      </c>
      <c r="R2154" s="41" t="str">
        <f>IF(Table1[[#This Row],[QUANTITY]]=0,"",Table1[[#This Row],[UNIT PRICE]]*Table1[[#This Row],[QUANTITY]])</f>
        <v/>
      </c>
      <c r="S2154" s="89"/>
      <c r="T2154" s="38"/>
      <c r="U2154" s="43"/>
      <c r="V2154" s="42" t="str">
        <f>IF(Table1[[#This Row],[DATE]]=0,"",YEAR(E2154))</f>
        <v/>
      </c>
      <c r="W2154" s="40" t="str">
        <f t="shared" si="68"/>
        <v/>
      </c>
      <c r="X2154" s="40" t="str">
        <f t="shared" si="69"/>
        <v/>
      </c>
      <c r="Y2154" s="40" t="str">
        <f>TEXT(Table1[[#This Row],[YEAR]],"0000")&amp;"-"&amp;Table1[[#This Row],[MONTH]]</f>
        <v>-</v>
      </c>
    </row>
    <row r="2155" spans="1:25" ht="15" customHeight="1" x14ac:dyDescent="0.35">
      <c r="A2155" s="24"/>
      <c r="B2155" s="38"/>
      <c r="C2155" s="38"/>
      <c r="D2155" s="38"/>
      <c r="E2155" s="37"/>
      <c r="F2155" s="38"/>
      <c r="G2155" s="198"/>
      <c r="H2155" s="198"/>
      <c r="I2155" s="39"/>
      <c r="J2155" s="38"/>
      <c r="K2155" s="198"/>
      <c r="L2155" s="38"/>
      <c r="M2155" s="38"/>
      <c r="N2155" s="38"/>
      <c r="O2155" s="38"/>
      <c r="P2155" s="40" t="str" cm="1">
        <f t="array" ref="P2155">IF(N2155="","",IFERROR(_xlfn.XLOOKUP(F2155&amp;"|"&amp;J2155&amp;"|"&amp;O2155,PRICES!$C$2:$C$659&amp;"|"&amp;PRICES!$B$2:$B$659&amp;"|"&amp;PRICES!$D$2:$D$659,PRICES!$E$2:$E$659),"Not Found"))</f>
        <v/>
      </c>
      <c r="Q2155" s="100" t="str">
        <f>IF(N2155=0,"",SUMIFS(PRICES!$G$2:$G$658,PRICES!$B$2:$B$658,'MAIN TABLE-1 AUTOMATED'!J2155,PRICES!$C$2:$C$658,'MAIN TABLE-1 AUTOMATED'!F2155,PRICES!$D$2:$D$658,'MAIN TABLE-1 AUTOMATED'!O2155))</f>
        <v/>
      </c>
      <c r="R2155" s="41" t="str">
        <f>IF(Table1[[#This Row],[QUANTITY]]=0,"",Table1[[#This Row],[UNIT PRICE]]*Table1[[#This Row],[QUANTITY]])</f>
        <v/>
      </c>
      <c r="S2155" s="89"/>
      <c r="T2155" s="38"/>
      <c r="U2155" s="43"/>
      <c r="V2155" s="42" t="str">
        <f>IF(Table1[[#This Row],[DATE]]=0,"",YEAR(E2155))</f>
        <v/>
      </c>
      <c r="W2155" s="40" t="str">
        <f t="shared" si="68"/>
        <v/>
      </c>
      <c r="X2155" s="40" t="str">
        <f t="shared" si="69"/>
        <v/>
      </c>
      <c r="Y2155" s="40" t="str">
        <f>TEXT(Table1[[#This Row],[YEAR]],"0000")&amp;"-"&amp;Table1[[#This Row],[MONTH]]</f>
        <v>-</v>
      </c>
    </row>
    <row r="2156" spans="1:25" ht="15" customHeight="1" x14ac:dyDescent="0.35">
      <c r="A2156" s="24"/>
      <c r="B2156" s="38"/>
      <c r="C2156" s="38"/>
      <c r="D2156" s="38"/>
      <c r="E2156" s="37"/>
      <c r="F2156" s="38"/>
      <c r="G2156" s="198"/>
      <c r="H2156" s="198"/>
      <c r="I2156" s="39"/>
      <c r="J2156" s="38"/>
      <c r="K2156" s="198"/>
      <c r="L2156" s="38"/>
      <c r="M2156" s="38"/>
      <c r="N2156" s="38"/>
      <c r="O2156" s="38"/>
      <c r="P2156" s="40" t="str" cm="1">
        <f t="array" ref="P2156">IF(N2156="","",IFERROR(_xlfn.XLOOKUP(F2156&amp;"|"&amp;J2156&amp;"|"&amp;O2156,PRICES!$C$2:$C$659&amp;"|"&amp;PRICES!$B$2:$B$659&amp;"|"&amp;PRICES!$D$2:$D$659,PRICES!$E$2:$E$659),"Not Found"))</f>
        <v/>
      </c>
      <c r="Q2156" s="100" t="str">
        <f>IF(N2156=0,"",SUMIFS(PRICES!$G$2:$G$658,PRICES!$B$2:$B$658,'MAIN TABLE-1 AUTOMATED'!J2156,PRICES!$C$2:$C$658,'MAIN TABLE-1 AUTOMATED'!F2156,PRICES!$D$2:$D$658,'MAIN TABLE-1 AUTOMATED'!O2156))</f>
        <v/>
      </c>
      <c r="R2156" s="41" t="str">
        <f>IF(Table1[[#This Row],[QUANTITY]]=0,"",Table1[[#This Row],[UNIT PRICE]]*Table1[[#This Row],[QUANTITY]])</f>
        <v/>
      </c>
      <c r="S2156" s="89"/>
      <c r="T2156" s="38"/>
      <c r="U2156" s="43"/>
      <c r="V2156" s="42" t="str">
        <f>IF(Table1[[#This Row],[DATE]]=0,"",YEAR(E2156))</f>
        <v/>
      </c>
      <c r="W2156" s="40" t="str">
        <f t="shared" si="68"/>
        <v/>
      </c>
      <c r="X2156" s="40" t="str">
        <f t="shared" si="69"/>
        <v/>
      </c>
      <c r="Y2156" s="40" t="str">
        <f>TEXT(Table1[[#This Row],[YEAR]],"0000")&amp;"-"&amp;Table1[[#This Row],[MONTH]]</f>
        <v>-</v>
      </c>
    </row>
    <row r="2157" spans="1:25" ht="15" customHeight="1" x14ac:dyDescent="0.35">
      <c r="A2157" s="24"/>
      <c r="B2157" s="38"/>
      <c r="C2157" s="38"/>
      <c r="D2157" s="38"/>
      <c r="E2157" s="37"/>
      <c r="F2157" s="38"/>
      <c r="G2157" s="198"/>
      <c r="H2157" s="198"/>
      <c r="I2157" s="39"/>
      <c r="J2157" s="38"/>
      <c r="K2157" s="198"/>
      <c r="L2157" s="38"/>
      <c r="M2157" s="38"/>
      <c r="N2157" s="38"/>
      <c r="O2157" s="38"/>
      <c r="P2157" s="40" t="str" cm="1">
        <f t="array" ref="P2157">IF(N2157="","",IFERROR(_xlfn.XLOOKUP(F2157&amp;"|"&amp;J2157&amp;"|"&amp;O2157,PRICES!$C$2:$C$659&amp;"|"&amp;PRICES!$B$2:$B$659&amp;"|"&amp;PRICES!$D$2:$D$659,PRICES!$E$2:$E$659),"Not Found"))</f>
        <v/>
      </c>
      <c r="Q2157" s="100" t="str">
        <f>IF(N2157=0,"",SUMIFS(PRICES!$G$2:$G$658,PRICES!$B$2:$B$658,'MAIN TABLE-1 AUTOMATED'!J2157,PRICES!$C$2:$C$658,'MAIN TABLE-1 AUTOMATED'!F2157,PRICES!$D$2:$D$658,'MAIN TABLE-1 AUTOMATED'!O2157))</f>
        <v/>
      </c>
      <c r="R2157" s="41" t="str">
        <f>IF(Table1[[#This Row],[QUANTITY]]=0,"",Table1[[#This Row],[UNIT PRICE]]*Table1[[#This Row],[QUANTITY]])</f>
        <v/>
      </c>
      <c r="S2157" s="89"/>
      <c r="T2157" s="38"/>
      <c r="U2157" s="43"/>
      <c r="V2157" s="42" t="str">
        <f>IF(Table1[[#This Row],[DATE]]=0,"",YEAR(E2157))</f>
        <v/>
      </c>
      <c r="W2157" s="40" t="str">
        <f t="shared" si="68"/>
        <v/>
      </c>
      <c r="X2157" s="40" t="str">
        <f t="shared" si="69"/>
        <v/>
      </c>
      <c r="Y2157" s="40" t="str">
        <f>TEXT(Table1[[#This Row],[YEAR]],"0000")&amp;"-"&amp;Table1[[#This Row],[MONTH]]</f>
        <v>-</v>
      </c>
    </row>
    <row r="2158" spans="1:25" ht="15" customHeight="1" x14ac:dyDescent="0.35">
      <c r="A2158" s="24"/>
      <c r="B2158" s="38"/>
      <c r="C2158" s="38"/>
      <c r="D2158" s="38"/>
      <c r="E2158" s="37"/>
      <c r="F2158" s="38"/>
      <c r="G2158" s="198"/>
      <c r="H2158" s="198"/>
      <c r="I2158" s="39"/>
      <c r="J2158" s="38"/>
      <c r="K2158" s="198"/>
      <c r="L2158" s="38"/>
      <c r="M2158" s="38"/>
      <c r="N2158" s="38"/>
      <c r="O2158" s="38"/>
      <c r="P2158" s="40" t="str" cm="1">
        <f t="array" ref="P2158">IF(N2158="","",IFERROR(_xlfn.XLOOKUP(F2158&amp;"|"&amp;J2158&amp;"|"&amp;O2158,PRICES!$C$2:$C$659&amp;"|"&amp;PRICES!$B$2:$B$659&amp;"|"&amp;PRICES!$D$2:$D$659,PRICES!$E$2:$E$659),"Not Found"))</f>
        <v/>
      </c>
      <c r="Q2158" s="100" t="str">
        <f>IF(N2158=0,"",SUMIFS(PRICES!$G$2:$G$658,PRICES!$B$2:$B$658,'MAIN TABLE-1 AUTOMATED'!J2158,PRICES!$C$2:$C$658,'MAIN TABLE-1 AUTOMATED'!F2158,PRICES!$D$2:$D$658,'MAIN TABLE-1 AUTOMATED'!O2158))</f>
        <v/>
      </c>
      <c r="R2158" s="41" t="str">
        <f>IF(Table1[[#This Row],[QUANTITY]]=0,"",Table1[[#This Row],[UNIT PRICE]]*Table1[[#This Row],[QUANTITY]])</f>
        <v/>
      </c>
      <c r="S2158" s="89"/>
      <c r="T2158" s="38"/>
      <c r="U2158" s="43"/>
      <c r="V2158" s="42" t="str">
        <f>IF(Table1[[#This Row],[DATE]]=0,"",YEAR(E2158))</f>
        <v/>
      </c>
      <c r="W2158" s="40" t="str">
        <f t="shared" si="68"/>
        <v/>
      </c>
      <c r="X2158" s="40" t="str">
        <f t="shared" si="69"/>
        <v/>
      </c>
      <c r="Y2158" s="40" t="str">
        <f>TEXT(Table1[[#This Row],[YEAR]],"0000")&amp;"-"&amp;Table1[[#This Row],[MONTH]]</f>
        <v>-</v>
      </c>
    </row>
    <row r="2159" spans="1:25" ht="15" customHeight="1" x14ac:dyDescent="0.35">
      <c r="A2159" s="24"/>
      <c r="B2159" s="38"/>
      <c r="C2159" s="38"/>
      <c r="D2159" s="38"/>
      <c r="E2159" s="37"/>
      <c r="F2159" s="38"/>
      <c r="G2159" s="198"/>
      <c r="H2159" s="198"/>
      <c r="I2159" s="39"/>
      <c r="J2159" s="38"/>
      <c r="K2159" s="198"/>
      <c r="L2159" s="38"/>
      <c r="M2159" s="38"/>
      <c r="N2159" s="38"/>
      <c r="O2159" s="38"/>
      <c r="P2159" s="40" t="str" cm="1">
        <f t="array" ref="P2159">IF(N2159="","",IFERROR(_xlfn.XLOOKUP(F2159&amp;"|"&amp;J2159&amp;"|"&amp;O2159,PRICES!$C$2:$C$659&amp;"|"&amp;PRICES!$B$2:$B$659&amp;"|"&amp;PRICES!$D$2:$D$659,PRICES!$E$2:$E$659),"Not Found"))</f>
        <v/>
      </c>
      <c r="Q2159" s="100" t="str">
        <f>IF(N2159=0,"",SUMIFS(PRICES!$G$2:$G$658,PRICES!$B$2:$B$658,'MAIN TABLE-1 AUTOMATED'!J2159,PRICES!$C$2:$C$658,'MAIN TABLE-1 AUTOMATED'!F2159,PRICES!$D$2:$D$658,'MAIN TABLE-1 AUTOMATED'!O2159))</f>
        <v/>
      </c>
      <c r="R2159" s="41" t="str">
        <f>IF(Table1[[#This Row],[QUANTITY]]=0,"",Table1[[#This Row],[UNIT PRICE]]*Table1[[#This Row],[QUANTITY]])</f>
        <v/>
      </c>
      <c r="S2159" s="89"/>
      <c r="T2159" s="38"/>
      <c r="U2159" s="43"/>
      <c r="V2159" s="42" t="str">
        <f>IF(Table1[[#This Row],[DATE]]=0,"",YEAR(E2159))</f>
        <v/>
      </c>
      <c r="W2159" s="40" t="str">
        <f t="shared" si="68"/>
        <v/>
      </c>
      <c r="X2159" s="40" t="str">
        <f t="shared" si="69"/>
        <v/>
      </c>
      <c r="Y2159" s="40" t="str">
        <f>TEXT(Table1[[#This Row],[YEAR]],"0000")&amp;"-"&amp;Table1[[#This Row],[MONTH]]</f>
        <v>-</v>
      </c>
    </row>
    <row r="2160" spans="1:25" ht="15" customHeight="1" x14ac:dyDescent="0.35">
      <c r="A2160" s="24"/>
      <c r="B2160" s="38"/>
      <c r="C2160" s="38"/>
      <c r="D2160" s="38"/>
      <c r="E2160" s="37"/>
      <c r="F2160" s="38"/>
      <c r="G2160" s="198"/>
      <c r="H2160" s="198"/>
      <c r="I2160" s="39"/>
      <c r="J2160" s="38"/>
      <c r="K2160" s="198"/>
      <c r="L2160" s="38"/>
      <c r="M2160" s="38"/>
      <c r="N2160" s="38"/>
      <c r="O2160" s="38"/>
      <c r="P2160" s="40" t="str" cm="1">
        <f t="array" ref="P2160">IF(N2160="","",IFERROR(_xlfn.XLOOKUP(F2160&amp;"|"&amp;J2160&amp;"|"&amp;O2160,PRICES!$C$2:$C$659&amp;"|"&amp;PRICES!$B$2:$B$659&amp;"|"&amp;PRICES!$D$2:$D$659,PRICES!$E$2:$E$659),"Not Found"))</f>
        <v/>
      </c>
      <c r="Q2160" s="100" t="str">
        <f>IF(N2160=0,"",SUMIFS(PRICES!$G$2:$G$658,PRICES!$B$2:$B$658,'MAIN TABLE-1 AUTOMATED'!J2160,PRICES!$C$2:$C$658,'MAIN TABLE-1 AUTOMATED'!F2160,PRICES!$D$2:$D$658,'MAIN TABLE-1 AUTOMATED'!O2160))</f>
        <v/>
      </c>
      <c r="R2160" s="41" t="str">
        <f>IF(Table1[[#This Row],[QUANTITY]]=0,"",Table1[[#This Row],[UNIT PRICE]]*Table1[[#This Row],[QUANTITY]])</f>
        <v/>
      </c>
      <c r="S2160" s="89"/>
      <c r="T2160" s="38"/>
      <c r="U2160" s="43"/>
      <c r="V2160" s="42" t="str">
        <f>IF(Table1[[#This Row],[DATE]]=0,"",YEAR(E2160))</f>
        <v/>
      </c>
      <c r="W2160" s="40" t="str">
        <f t="shared" si="68"/>
        <v/>
      </c>
      <c r="X2160" s="40" t="str">
        <f t="shared" si="69"/>
        <v/>
      </c>
      <c r="Y2160" s="40" t="str">
        <f>TEXT(Table1[[#This Row],[YEAR]],"0000")&amp;"-"&amp;Table1[[#This Row],[MONTH]]</f>
        <v>-</v>
      </c>
    </row>
    <row r="2161" spans="1:25" ht="15" customHeight="1" x14ac:dyDescent="0.35">
      <c r="A2161" s="24"/>
      <c r="B2161" s="38"/>
      <c r="C2161" s="38"/>
      <c r="D2161" s="38"/>
      <c r="E2161" s="37"/>
      <c r="F2161" s="38"/>
      <c r="G2161" s="198"/>
      <c r="H2161" s="198"/>
      <c r="I2161" s="39"/>
      <c r="J2161" s="38"/>
      <c r="K2161" s="198"/>
      <c r="L2161" s="38"/>
      <c r="M2161" s="38"/>
      <c r="N2161" s="38"/>
      <c r="O2161" s="38"/>
      <c r="P2161" s="40" t="str" cm="1">
        <f t="array" ref="P2161">IF(N2161="","",IFERROR(_xlfn.XLOOKUP(F2161&amp;"|"&amp;J2161&amp;"|"&amp;O2161,PRICES!$C$2:$C$659&amp;"|"&amp;PRICES!$B$2:$B$659&amp;"|"&amp;PRICES!$D$2:$D$659,PRICES!$E$2:$E$659),"Not Found"))</f>
        <v/>
      </c>
      <c r="Q2161" s="100" t="str">
        <f>IF(N2161=0,"",SUMIFS(PRICES!$G$2:$G$658,PRICES!$B$2:$B$658,'MAIN TABLE-1 AUTOMATED'!J2161,PRICES!$C$2:$C$658,'MAIN TABLE-1 AUTOMATED'!F2161,PRICES!$D$2:$D$658,'MAIN TABLE-1 AUTOMATED'!O2161))</f>
        <v/>
      </c>
      <c r="R2161" s="41" t="str">
        <f>IF(Table1[[#This Row],[QUANTITY]]=0,"",Table1[[#This Row],[UNIT PRICE]]*Table1[[#This Row],[QUANTITY]])</f>
        <v/>
      </c>
      <c r="S2161" s="89"/>
      <c r="T2161" s="38"/>
      <c r="U2161" s="43"/>
      <c r="V2161" s="42" t="str">
        <f>IF(Table1[[#This Row],[DATE]]=0,"",YEAR(E2161))</f>
        <v/>
      </c>
      <c r="W2161" s="40" t="str">
        <f t="shared" si="68"/>
        <v/>
      </c>
      <c r="X2161" s="40" t="str">
        <f t="shared" si="69"/>
        <v/>
      </c>
      <c r="Y2161" s="40" t="str">
        <f>TEXT(Table1[[#This Row],[YEAR]],"0000")&amp;"-"&amp;Table1[[#This Row],[MONTH]]</f>
        <v>-</v>
      </c>
    </row>
    <row r="2162" spans="1:25" ht="15" customHeight="1" x14ac:dyDescent="0.35">
      <c r="A2162" s="24"/>
      <c r="B2162" s="38"/>
      <c r="C2162" s="38"/>
      <c r="D2162" s="38"/>
      <c r="E2162" s="37"/>
      <c r="F2162" s="38"/>
      <c r="G2162" s="198"/>
      <c r="H2162" s="198"/>
      <c r="I2162" s="39"/>
      <c r="J2162" s="38"/>
      <c r="K2162" s="198"/>
      <c r="L2162" s="38"/>
      <c r="M2162" s="38"/>
      <c r="N2162" s="38"/>
      <c r="O2162" s="38"/>
      <c r="P2162" s="40" t="str" cm="1">
        <f t="array" ref="P2162">IF(N2162="","",IFERROR(_xlfn.XLOOKUP(F2162&amp;"|"&amp;J2162&amp;"|"&amp;O2162,PRICES!$C$2:$C$659&amp;"|"&amp;PRICES!$B$2:$B$659&amp;"|"&amp;PRICES!$D$2:$D$659,PRICES!$E$2:$E$659),"Not Found"))</f>
        <v/>
      </c>
      <c r="Q2162" s="100" t="str">
        <f>IF(N2162=0,"",SUMIFS(PRICES!$G$2:$G$658,PRICES!$B$2:$B$658,'MAIN TABLE-1 AUTOMATED'!J2162,PRICES!$C$2:$C$658,'MAIN TABLE-1 AUTOMATED'!F2162,PRICES!$D$2:$D$658,'MAIN TABLE-1 AUTOMATED'!O2162))</f>
        <v/>
      </c>
      <c r="R2162" s="41" t="str">
        <f>IF(Table1[[#This Row],[QUANTITY]]=0,"",Table1[[#This Row],[UNIT PRICE]]*Table1[[#This Row],[QUANTITY]])</f>
        <v/>
      </c>
      <c r="S2162" s="89"/>
      <c r="T2162" s="38"/>
      <c r="U2162" s="43"/>
      <c r="V2162" s="42" t="str">
        <f>IF(Table1[[#This Row],[DATE]]=0,"",YEAR(E2162))</f>
        <v/>
      </c>
      <c r="W2162" s="40" t="str">
        <f t="shared" si="68"/>
        <v/>
      </c>
      <c r="X2162" s="40" t="str">
        <f t="shared" si="69"/>
        <v/>
      </c>
      <c r="Y2162" s="40" t="str">
        <f>TEXT(Table1[[#This Row],[YEAR]],"0000")&amp;"-"&amp;Table1[[#This Row],[MONTH]]</f>
        <v>-</v>
      </c>
    </row>
    <row r="2163" spans="1:25" ht="15" customHeight="1" x14ac:dyDescent="0.35">
      <c r="A2163" s="24"/>
      <c r="B2163" s="38"/>
      <c r="C2163" s="38"/>
      <c r="D2163" s="38"/>
      <c r="E2163" s="37"/>
      <c r="F2163" s="38"/>
      <c r="G2163" s="198"/>
      <c r="H2163" s="198"/>
      <c r="I2163" s="39"/>
      <c r="J2163" s="38"/>
      <c r="K2163" s="198"/>
      <c r="L2163" s="38"/>
      <c r="M2163" s="38"/>
      <c r="N2163" s="38"/>
      <c r="O2163" s="38"/>
      <c r="P2163" s="40" t="str" cm="1">
        <f t="array" ref="P2163">IF(N2163="","",IFERROR(_xlfn.XLOOKUP(F2163&amp;"|"&amp;J2163&amp;"|"&amp;O2163,PRICES!$C$2:$C$659&amp;"|"&amp;PRICES!$B$2:$B$659&amp;"|"&amp;PRICES!$D$2:$D$659,PRICES!$E$2:$E$659),"Not Found"))</f>
        <v/>
      </c>
      <c r="Q2163" s="100" t="str">
        <f>IF(N2163=0,"",SUMIFS(PRICES!$G$2:$G$658,PRICES!$B$2:$B$658,'MAIN TABLE-1 AUTOMATED'!J2163,PRICES!$C$2:$C$658,'MAIN TABLE-1 AUTOMATED'!F2163,PRICES!$D$2:$D$658,'MAIN TABLE-1 AUTOMATED'!O2163))</f>
        <v/>
      </c>
      <c r="R2163" s="41" t="str">
        <f>IF(Table1[[#This Row],[QUANTITY]]=0,"",Table1[[#This Row],[UNIT PRICE]]*Table1[[#This Row],[QUANTITY]])</f>
        <v/>
      </c>
      <c r="S2163" s="89"/>
      <c r="T2163" s="38"/>
      <c r="U2163" s="43"/>
      <c r="V2163" s="42" t="str">
        <f>IF(Table1[[#This Row],[DATE]]=0,"",YEAR(E2163))</f>
        <v/>
      </c>
      <c r="W2163" s="40" t="str">
        <f t="shared" si="68"/>
        <v/>
      </c>
      <c r="X2163" s="40" t="str">
        <f t="shared" si="69"/>
        <v/>
      </c>
      <c r="Y2163" s="40" t="str">
        <f>TEXT(Table1[[#This Row],[YEAR]],"0000")&amp;"-"&amp;Table1[[#This Row],[MONTH]]</f>
        <v>-</v>
      </c>
    </row>
    <row r="2164" spans="1:25" ht="15" customHeight="1" x14ac:dyDescent="0.35">
      <c r="A2164" s="24"/>
      <c r="B2164" s="38"/>
      <c r="C2164" s="38"/>
      <c r="D2164" s="38"/>
      <c r="E2164" s="37"/>
      <c r="F2164" s="38"/>
      <c r="G2164" s="198"/>
      <c r="H2164" s="198"/>
      <c r="I2164" s="39"/>
      <c r="J2164" s="38"/>
      <c r="K2164" s="198"/>
      <c r="L2164" s="38"/>
      <c r="M2164" s="38"/>
      <c r="N2164" s="38"/>
      <c r="O2164" s="38"/>
      <c r="P2164" s="40" t="str" cm="1">
        <f t="array" ref="P2164">IF(N2164="","",IFERROR(_xlfn.XLOOKUP(F2164&amp;"|"&amp;J2164&amp;"|"&amp;O2164,PRICES!$C$2:$C$659&amp;"|"&amp;PRICES!$B$2:$B$659&amp;"|"&amp;PRICES!$D$2:$D$659,PRICES!$E$2:$E$659),"Not Found"))</f>
        <v/>
      </c>
      <c r="Q2164" s="100" t="str">
        <f>IF(N2164=0,"",SUMIFS(PRICES!$G$2:$G$658,PRICES!$B$2:$B$658,'MAIN TABLE-1 AUTOMATED'!J2164,PRICES!$C$2:$C$658,'MAIN TABLE-1 AUTOMATED'!F2164,PRICES!$D$2:$D$658,'MAIN TABLE-1 AUTOMATED'!O2164))</f>
        <v/>
      </c>
      <c r="R2164" s="41" t="str">
        <f>IF(Table1[[#This Row],[QUANTITY]]=0,"",Table1[[#This Row],[UNIT PRICE]]*Table1[[#This Row],[QUANTITY]])</f>
        <v/>
      </c>
      <c r="S2164" s="89"/>
      <c r="T2164" s="38"/>
      <c r="U2164" s="43"/>
      <c r="V2164" s="42" t="str">
        <f>IF(Table1[[#This Row],[DATE]]=0,"",YEAR(E2164))</f>
        <v/>
      </c>
      <c r="W2164" s="40" t="str">
        <f t="shared" si="68"/>
        <v/>
      </c>
      <c r="X2164" s="40" t="str">
        <f t="shared" si="69"/>
        <v/>
      </c>
      <c r="Y2164" s="40" t="str">
        <f>TEXT(Table1[[#This Row],[YEAR]],"0000")&amp;"-"&amp;Table1[[#This Row],[MONTH]]</f>
        <v>-</v>
      </c>
    </row>
    <row r="2165" spans="1:25" ht="15" customHeight="1" x14ac:dyDescent="0.35">
      <c r="A2165" s="24"/>
      <c r="B2165" s="38"/>
      <c r="C2165" s="38"/>
      <c r="D2165" s="38"/>
      <c r="E2165" s="37"/>
      <c r="F2165" s="38"/>
      <c r="G2165" s="198"/>
      <c r="H2165" s="198"/>
      <c r="I2165" s="39"/>
      <c r="J2165" s="38"/>
      <c r="K2165" s="198"/>
      <c r="L2165" s="38"/>
      <c r="M2165" s="38"/>
      <c r="N2165" s="38"/>
      <c r="O2165" s="38"/>
      <c r="P2165" s="40" t="str" cm="1">
        <f t="array" ref="P2165">IF(N2165="","",IFERROR(_xlfn.XLOOKUP(F2165&amp;"|"&amp;J2165&amp;"|"&amp;O2165,PRICES!$C$2:$C$659&amp;"|"&amp;PRICES!$B$2:$B$659&amp;"|"&amp;PRICES!$D$2:$D$659,PRICES!$E$2:$E$659),"Not Found"))</f>
        <v/>
      </c>
      <c r="Q2165" s="100" t="str">
        <f>IF(N2165=0,"",SUMIFS(PRICES!$G$2:$G$658,PRICES!$B$2:$B$658,'MAIN TABLE-1 AUTOMATED'!J2165,PRICES!$C$2:$C$658,'MAIN TABLE-1 AUTOMATED'!F2165,PRICES!$D$2:$D$658,'MAIN TABLE-1 AUTOMATED'!O2165))</f>
        <v/>
      </c>
      <c r="R2165" s="41" t="str">
        <f>IF(Table1[[#This Row],[QUANTITY]]=0,"",Table1[[#This Row],[UNIT PRICE]]*Table1[[#This Row],[QUANTITY]])</f>
        <v/>
      </c>
      <c r="S2165" s="89"/>
      <c r="T2165" s="38"/>
      <c r="U2165" s="43"/>
      <c r="V2165" s="42" t="str">
        <f>IF(Table1[[#This Row],[DATE]]=0,"",YEAR(E2165))</f>
        <v/>
      </c>
      <c r="W2165" s="40" t="str">
        <f t="shared" si="68"/>
        <v/>
      </c>
      <c r="X2165" s="40" t="str">
        <f t="shared" si="69"/>
        <v/>
      </c>
      <c r="Y2165" s="40" t="str">
        <f>TEXT(Table1[[#This Row],[YEAR]],"0000")&amp;"-"&amp;Table1[[#This Row],[MONTH]]</f>
        <v>-</v>
      </c>
    </row>
    <row r="2166" spans="1:25" ht="15" customHeight="1" x14ac:dyDescent="0.35">
      <c r="A2166" s="24"/>
      <c r="B2166" s="38"/>
      <c r="C2166" s="38"/>
      <c r="D2166" s="38"/>
      <c r="E2166" s="37"/>
      <c r="F2166" s="38"/>
      <c r="G2166" s="198"/>
      <c r="H2166" s="198"/>
      <c r="I2166" s="39"/>
      <c r="J2166" s="38"/>
      <c r="K2166" s="198"/>
      <c r="L2166" s="38"/>
      <c r="M2166" s="38"/>
      <c r="N2166" s="38"/>
      <c r="O2166" s="38"/>
      <c r="P2166" s="40" t="str" cm="1">
        <f t="array" ref="P2166">IF(N2166="","",IFERROR(_xlfn.XLOOKUP(F2166&amp;"|"&amp;J2166&amp;"|"&amp;O2166,PRICES!$C$2:$C$659&amp;"|"&amp;PRICES!$B$2:$B$659&amp;"|"&amp;PRICES!$D$2:$D$659,PRICES!$E$2:$E$659),"Not Found"))</f>
        <v/>
      </c>
      <c r="Q2166" s="100" t="str">
        <f>IF(N2166=0,"",SUMIFS(PRICES!$G$2:$G$658,PRICES!$B$2:$B$658,'MAIN TABLE-1 AUTOMATED'!J2166,PRICES!$C$2:$C$658,'MAIN TABLE-1 AUTOMATED'!F2166,PRICES!$D$2:$D$658,'MAIN TABLE-1 AUTOMATED'!O2166))</f>
        <v/>
      </c>
      <c r="R2166" s="41" t="str">
        <f>IF(Table1[[#This Row],[QUANTITY]]=0,"",Table1[[#This Row],[UNIT PRICE]]*Table1[[#This Row],[QUANTITY]])</f>
        <v/>
      </c>
      <c r="S2166" s="89"/>
      <c r="T2166" s="38"/>
      <c r="U2166" s="43"/>
      <c r="V2166" s="42" t="str">
        <f>IF(Table1[[#This Row],[DATE]]=0,"",YEAR(E2166))</f>
        <v/>
      </c>
      <c r="W2166" s="40" t="str">
        <f t="shared" si="68"/>
        <v/>
      </c>
      <c r="X2166" s="40" t="str">
        <f t="shared" si="69"/>
        <v/>
      </c>
      <c r="Y2166" s="40" t="str">
        <f>TEXT(Table1[[#This Row],[YEAR]],"0000")&amp;"-"&amp;Table1[[#This Row],[MONTH]]</f>
        <v>-</v>
      </c>
    </row>
    <row r="2167" spans="1:25" ht="15" customHeight="1" x14ac:dyDescent="0.35">
      <c r="A2167" s="24"/>
      <c r="B2167" s="38"/>
      <c r="C2167" s="38"/>
      <c r="D2167" s="38"/>
      <c r="E2167" s="37"/>
      <c r="F2167" s="38"/>
      <c r="G2167" s="198"/>
      <c r="H2167" s="198"/>
      <c r="I2167" s="39"/>
      <c r="J2167" s="38"/>
      <c r="K2167" s="198"/>
      <c r="L2167" s="38"/>
      <c r="M2167" s="38"/>
      <c r="N2167" s="38"/>
      <c r="O2167" s="38"/>
      <c r="P2167" s="40" t="str" cm="1">
        <f t="array" ref="P2167">IF(N2167="","",IFERROR(_xlfn.XLOOKUP(F2167&amp;"|"&amp;J2167&amp;"|"&amp;O2167,PRICES!$C$2:$C$659&amp;"|"&amp;PRICES!$B$2:$B$659&amp;"|"&amp;PRICES!$D$2:$D$659,PRICES!$E$2:$E$659),"Not Found"))</f>
        <v/>
      </c>
      <c r="Q2167" s="100" t="str">
        <f>IF(N2167=0,"",SUMIFS(PRICES!$G$2:$G$658,PRICES!$B$2:$B$658,'MAIN TABLE-1 AUTOMATED'!J2167,PRICES!$C$2:$C$658,'MAIN TABLE-1 AUTOMATED'!F2167,PRICES!$D$2:$D$658,'MAIN TABLE-1 AUTOMATED'!O2167))</f>
        <v/>
      </c>
      <c r="R2167" s="41" t="str">
        <f>IF(Table1[[#This Row],[QUANTITY]]=0,"",Table1[[#This Row],[UNIT PRICE]]*Table1[[#This Row],[QUANTITY]])</f>
        <v/>
      </c>
      <c r="S2167" s="89"/>
      <c r="T2167" s="38"/>
      <c r="U2167" s="43"/>
      <c r="V2167" s="42" t="str">
        <f>IF(Table1[[#This Row],[DATE]]=0,"",YEAR(E2167))</f>
        <v/>
      </c>
      <c r="W2167" s="40" t="str">
        <f t="shared" si="68"/>
        <v/>
      </c>
      <c r="X2167" s="40" t="str">
        <f t="shared" si="69"/>
        <v/>
      </c>
      <c r="Y2167" s="40" t="str">
        <f>TEXT(Table1[[#This Row],[YEAR]],"0000")&amp;"-"&amp;Table1[[#This Row],[MONTH]]</f>
        <v>-</v>
      </c>
    </row>
    <row r="2168" spans="1:25" ht="15" customHeight="1" x14ac:dyDescent="0.35">
      <c r="A2168" s="24"/>
      <c r="B2168" s="38"/>
      <c r="C2168" s="38"/>
      <c r="D2168" s="38"/>
      <c r="E2168" s="37"/>
      <c r="F2168" s="38"/>
      <c r="G2168" s="232"/>
      <c r="H2168" s="232"/>
      <c r="I2168" s="39"/>
      <c r="J2168" s="38"/>
      <c r="K2168" s="198"/>
      <c r="L2168" s="38"/>
      <c r="M2168" s="38"/>
      <c r="N2168" s="38"/>
      <c r="O2168" s="38"/>
      <c r="P2168" s="40" t="str" cm="1">
        <f t="array" ref="P2168">IF(N2168="","",IFERROR(_xlfn.XLOOKUP(F2168&amp;"|"&amp;J2168&amp;"|"&amp;O2168,PRICES!$C$2:$C$659&amp;"|"&amp;PRICES!$B$2:$B$659&amp;"|"&amp;PRICES!$D$2:$D$659,PRICES!$E$2:$E$659),"Not Found"))</f>
        <v/>
      </c>
      <c r="Q2168" s="100" t="str">
        <f>IF(N2168=0,"",SUMIFS(PRICES!$G$2:$G$658,PRICES!$B$2:$B$658,'MAIN TABLE-1 AUTOMATED'!J2168,PRICES!$C$2:$C$658,'MAIN TABLE-1 AUTOMATED'!F2168,PRICES!$D$2:$D$658,'MAIN TABLE-1 AUTOMATED'!O2168))</f>
        <v/>
      </c>
      <c r="R2168" s="41" t="str">
        <f>IF(Table1[[#This Row],[QUANTITY]]=0,"",Table1[[#This Row],[UNIT PRICE]]*Table1[[#This Row],[QUANTITY]])</f>
        <v/>
      </c>
      <c r="S2168" s="89"/>
      <c r="T2168" s="38"/>
      <c r="U2168" s="43"/>
      <c r="V2168" s="42" t="str">
        <f>IF(Table1[[#This Row],[DATE]]=0,"",YEAR(E2168))</f>
        <v/>
      </c>
      <c r="W2168" s="40" t="str">
        <f t="shared" si="68"/>
        <v/>
      </c>
      <c r="X2168" s="40" t="str">
        <f t="shared" si="69"/>
        <v/>
      </c>
      <c r="Y2168" s="40" t="str">
        <f>TEXT(Table1[[#This Row],[YEAR]],"0000")&amp;"-"&amp;Table1[[#This Row],[MONTH]]</f>
        <v>-</v>
      </c>
    </row>
    <row r="2169" spans="1:25" ht="15" customHeight="1" x14ac:dyDescent="0.35">
      <c r="A2169" s="24"/>
      <c r="B2169" s="38"/>
      <c r="C2169" s="38"/>
      <c r="D2169" s="38"/>
      <c r="E2169" s="37"/>
      <c r="F2169" s="38"/>
      <c r="G2169" s="232"/>
      <c r="H2169" s="232"/>
      <c r="I2169" s="39"/>
      <c r="J2169" s="38"/>
      <c r="K2169" s="198"/>
      <c r="L2169" s="38"/>
      <c r="M2169" s="38"/>
      <c r="N2169" s="38"/>
      <c r="O2169" s="38"/>
      <c r="P2169" s="40" t="str" cm="1">
        <f t="array" ref="P2169">IF(N2169="","",IFERROR(_xlfn.XLOOKUP(F2169&amp;"|"&amp;J2169&amp;"|"&amp;O2169,PRICES!$C$2:$C$659&amp;"|"&amp;PRICES!$B$2:$B$659&amp;"|"&amp;PRICES!$D$2:$D$659,PRICES!$E$2:$E$659),"Not Found"))</f>
        <v/>
      </c>
      <c r="Q2169" s="100" t="str">
        <f>IF(N2169=0,"",SUMIFS(PRICES!$G$2:$G$658,PRICES!$B$2:$B$658,'MAIN TABLE-1 AUTOMATED'!J2169,PRICES!$C$2:$C$658,'MAIN TABLE-1 AUTOMATED'!F2169,PRICES!$D$2:$D$658,'MAIN TABLE-1 AUTOMATED'!O2169))</f>
        <v/>
      </c>
      <c r="R2169" s="41" t="str">
        <f>IF(Table1[[#This Row],[QUANTITY]]=0,"",Table1[[#This Row],[UNIT PRICE]]*Table1[[#This Row],[QUANTITY]])</f>
        <v/>
      </c>
      <c r="S2169" s="89"/>
      <c r="T2169" s="38"/>
      <c r="U2169" s="43"/>
      <c r="V2169" s="42" t="str">
        <f>IF(Table1[[#This Row],[DATE]]=0,"",YEAR(E2169))</f>
        <v/>
      </c>
      <c r="W2169" s="40" t="str">
        <f t="shared" si="68"/>
        <v/>
      </c>
      <c r="X2169" s="40" t="str">
        <f t="shared" si="69"/>
        <v/>
      </c>
      <c r="Y2169" s="40" t="str">
        <f>TEXT(Table1[[#This Row],[YEAR]],"0000")&amp;"-"&amp;Table1[[#This Row],[MONTH]]</f>
        <v>-</v>
      </c>
    </row>
    <row r="2170" spans="1:25" ht="15" customHeight="1" x14ac:dyDescent="0.35">
      <c r="A2170" s="24"/>
      <c r="B2170" s="38"/>
      <c r="C2170" s="38"/>
      <c r="D2170" s="38"/>
      <c r="E2170" s="37"/>
      <c r="F2170" s="38"/>
      <c r="G2170" s="232"/>
      <c r="H2170" s="232"/>
      <c r="I2170" s="39"/>
      <c r="J2170" s="38"/>
      <c r="K2170" s="198"/>
      <c r="L2170" s="38"/>
      <c r="M2170" s="38"/>
      <c r="N2170" s="38"/>
      <c r="O2170" s="38"/>
      <c r="P2170" s="40" t="str" cm="1">
        <f t="array" ref="P2170">IF(N2170="","",IFERROR(_xlfn.XLOOKUP(F2170&amp;"|"&amp;J2170&amp;"|"&amp;O2170,PRICES!$C$2:$C$659&amp;"|"&amp;PRICES!$B$2:$B$659&amp;"|"&amp;PRICES!$D$2:$D$659,PRICES!$E$2:$E$659),"Not Found"))</f>
        <v/>
      </c>
      <c r="Q2170" s="100" t="str">
        <f>IF(N2170=0,"",SUMIFS(PRICES!$G$2:$G$658,PRICES!$B$2:$B$658,'MAIN TABLE-1 AUTOMATED'!J2170,PRICES!$C$2:$C$658,'MAIN TABLE-1 AUTOMATED'!F2170,PRICES!$D$2:$D$658,'MAIN TABLE-1 AUTOMATED'!O2170))</f>
        <v/>
      </c>
      <c r="R2170" s="41" t="str">
        <f>IF(Table1[[#This Row],[QUANTITY]]=0,"",Table1[[#This Row],[UNIT PRICE]]*Table1[[#This Row],[QUANTITY]])</f>
        <v/>
      </c>
      <c r="S2170" s="89"/>
      <c r="T2170" s="38"/>
      <c r="U2170" s="43"/>
      <c r="V2170" s="42" t="str">
        <f>IF(Table1[[#This Row],[DATE]]=0,"",YEAR(E2170))</f>
        <v/>
      </c>
      <c r="W2170" s="40" t="str">
        <f t="shared" si="68"/>
        <v/>
      </c>
      <c r="X2170" s="40" t="str">
        <f t="shared" si="69"/>
        <v/>
      </c>
      <c r="Y2170" s="40" t="str">
        <f>TEXT(Table1[[#This Row],[YEAR]],"0000")&amp;"-"&amp;Table1[[#This Row],[MONTH]]</f>
        <v>-</v>
      </c>
    </row>
    <row r="2171" spans="1:25" ht="15" customHeight="1" x14ac:dyDescent="0.35">
      <c r="A2171" s="24"/>
      <c r="B2171" s="38"/>
      <c r="C2171" s="38"/>
      <c r="D2171" s="38"/>
      <c r="E2171" s="37"/>
      <c r="F2171" s="38"/>
      <c r="G2171" s="232"/>
      <c r="H2171" s="232"/>
      <c r="I2171" s="39"/>
      <c r="J2171" s="38"/>
      <c r="K2171" s="198"/>
      <c r="L2171" s="38"/>
      <c r="M2171" s="38"/>
      <c r="N2171" s="38"/>
      <c r="O2171" s="38"/>
      <c r="P2171" s="40" t="str" cm="1">
        <f t="array" ref="P2171">IF(N2171="","",IFERROR(_xlfn.XLOOKUP(F2171&amp;"|"&amp;J2171&amp;"|"&amp;O2171,PRICES!$C$2:$C$659&amp;"|"&amp;PRICES!$B$2:$B$659&amp;"|"&amp;PRICES!$D$2:$D$659,PRICES!$E$2:$E$659),"Not Found"))</f>
        <v/>
      </c>
      <c r="Q2171" s="100" t="str">
        <f>IF(N2171=0,"",SUMIFS(PRICES!$G$2:$G$658,PRICES!$B$2:$B$658,'MAIN TABLE-1 AUTOMATED'!J2171,PRICES!$C$2:$C$658,'MAIN TABLE-1 AUTOMATED'!F2171,PRICES!$D$2:$D$658,'MAIN TABLE-1 AUTOMATED'!O2171))</f>
        <v/>
      </c>
      <c r="R2171" s="41" t="str">
        <f>IF(Table1[[#This Row],[QUANTITY]]=0,"",Table1[[#This Row],[UNIT PRICE]]*Table1[[#This Row],[QUANTITY]])</f>
        <v/>
      </c>
      <c r="S2171" s="89"/>
      <c r="T2171" s="38"/>
      <c r="U2171" s="43"/>
      <c r="V2171" s="42" t="str">
        <f>IF(Table1[[#This Row],[DATE]]=0,"",YEAR(E2171))</f>
        <v/>
      </c>
      <c r="W2171" s="40" t="str">
        <f t="shared" si="68"/>
        <v/>
      </c>
      <c r="X2171" s="40" t="str">
        <f t="shared" si="69"/>
        <v/>
      </c>
      <c r="Y2171" s="40" t="str">
        <f>TEXT(Table1[[#This Row],[YEAR]],"0000")&amp;"-"&amp;Table1[[#This Row],[MONTH]]</f>
        <v>-</v>
      </c>
    </row>
    <row r="2172" spans="1:25" ht="15" customHeight="1" x14ac:dyDescent="0.35">
      <c r="A2172" s="24"/>
      <c r="B2172" s="38"/>
      <c r="C2172" s="38"/>
      <c r="D2172" s="38"/>
      <c r="E2172" s="37"/>
      <c r="F2172" s="38"/>
      <c r="G2172" s="232"/>
      <c r="H2172" s="232"/>
      <c r="I2172" s="39"/>
      <c r="J2172" s="38"/>
      <c r="K2172" s="198"/>
      <c r="L2172" s="38"/>
      <c r="M2172" s="38"/>
      <c r="N2172" s="38"/>
      <c r="O2172" s="38"/>
      <c r="P2172" s="40" t="str" cm="1">
        <f t="array" ref="P2172">IF(N2172="","",IFERROR(_xlfn.XLOOKUP(F2172&amp;"|"&amp;J2172&amp;"|"&amp;O2172,PRICES!$C$2:$C$659&amp;"|"&amp;PRICES!$B$2:$B$659&amp;"|"&amp;PRICES!$D$2:$D$659,PRICES!$E$2:$E$659),"Not Found"))</f>
        <v/>
      </c>
      <c r="Q2172" s="100" t="str">
        <f>IF(N2172=0,"",SUMIFS(PRICES!$G$2:$G$658,PRICES!$B$2:$B$658,'MAIN TABLE-1 AUTOMATED'!J2172,PRICES!$C$2:$C$658,'MAIN TABLE-1 AUTOMATED'!F2172,PRICES!$D$2:$D$658,'MAIN TABLE-1 AUTOMATED'!O2172))</f>
        <v/>
      </c>
      <c r="R2172" s="41" t="str">
        <f>IF(Table1[[#This Row],[QUANTITY]]=0,"",Table1[[#This Row],[UNIT PRICE]]*Table1[[#This Row],[QUANTITY]])</f>
        <v/>
      </c>
      <c r="S2172" s="89"/>
      <c r="T2172" s="38"/>
      <c r="U2172" s="43"/>
      <c r="V2172" s="42" t="str">
        <f>IF(Table1[[#This Row],[DATE]]=0,"",YEAR(E2172))</f>
        <v/>
      </c>
      <c r="W2172" s="40" t="str">
        <f t="shared" si="68"/>
        <v/>
      </c>
      <c r="X2172" s="40" t="str">
        <f t="shared" si="69"/>
        <v/>
      </c>
      <c r="Y2172" s="40" t="str">
        <f>TEXT(Table1[[#This Row],[YEAR]],"0000")&amp;"-"&amp;Table1[[#This Row],[MONTH]]</f>
        <v>-</v>
      </c>
    </row>
    <row r="2173" spans="1:25" ht="15" customHeight="1" x14ac:dyDescent="0.35">
      <c r="A2173" s="24"/>
      <c r="B2173" s="38"/>
      <c r="C2173" s="38"/>
      <c r="D2173" s="38"/>
      <c r="E2173" s="37"/>
      <c r="F2173" s="38"/>
      <c r="G2173" s="198"/>
      <c r="H2173" s="198"/>
      <c r="I2173" s="39"/>
      <c r="J2173" s="38"/>
      <c r="K2173" s="198"/>
      <c r="L2173" s="38"/>
      <c r="M2173" s="38"/>
      <c r="N2173" s="38"/>
      <c r="O2173" s="38"/>
      <c r="P2173" s="40" t="str" cm="1">
        <f t="array" ref="P2173">IF(N2173="","",IFERROR(_xlfn.XLOOKUP(F2173&amp;"|"&amp;J2173&amp;"|"&amp;O2173,PRICES!$C$2:$C$659&amp;"|"&amp;PRICES!$B$2:$B$659&amp;"|"&amp;PRICES!$D$2:$D$659,PRICES!$E$2:$E$659),"Not Found"))</f>
        <v/>
      </c>
      <c r="Q2173" s="100" t="str">
        <f>IF(N2173=0,"",SUMIFS(PRICES!$G$2:$G$658,PRICES!$B$2:$B$658,'MAIN TABLE-1 AUTOMATED'!J2173,PRICES!$C$2:$C$658,'MAIN TABLE-1 AUTOMATED'!F2173,PRICES!$D$2:$D$658,'MAIN TABLE-1 AUTOMATED'!O2173))</f>
        <v/>
      </c>
      <c r="R2173" s="41" t="str">
        <f>IF(Table1[[#This Row],[QUANTITY]]=0,"",Table1[[#This Row],[UNIT PRICE]]*Table1[[#This Row],[QUANTITY]])</f>
        <v/>
      </c>
      <c r="S2173" s="89"/>
      <c r="T2173" s="38"/>
      <c r="U2173" s="43"/>
      <c r="V2173" s="42" t="str">
        <f>IF(Table1[[#This Row],[DATE]]=0,"",YEAR(E2173))</f>
        <v/>
      </c>
      <c r="W2173" s="40" t="str">
        <f t="shared" si="68"/>
        <v/>
      </c>
      <c r="X2173" s="40" t="str">
        <f t="shared" si="69"/>
        <v/>
      </c>
      <c r="Y2173" s="40" t="str">
        <f>TEXT(Table1[[#This Row],[YEAR]],"0000")&amp;"-"&amp;Table1[[#This Row],[MONTH]]</f>
        <v>-</v>
      </c>
    </row>
    <row r="2174" spans="1:25" ht="15" customHeight="1" x14ac:dyDescent="0.35">
      <c r="A2174" s="24"/>
      <c r="B2174" s="38"/>
      <c r="C2174" s="38"/>
      <c r="D2174" s="38"/>
      <c r="E2174" s="37"/>
      <c r="F2174" s="38"/>
      <c r="G2174" s="198"/>
      <c r="H2174" s="198"/>
      <c r="I2174" s="39"/>
      <c r="J2174" s="38"/>
      <c r="K2174" s="198"/>
      <c r="L2174" s="38"/>
      <c r="M2174" s="38"/>
      <c r="N2174" s="38"/>
      <c r="O2174" s="38"/>
      <c r="P2174" s="40" t="str" cm="1">
        <f t="array" ref="P2174">IF(N2174="","",IFERROR(_xlfn.XLOOKUP(F2174&amp;"|"&amp;J2174&amp;"|"&amp;O2174,PRICES!$C$2:$C$659&amp;"|"&amp;PRICES!$B$2:$B$659&amp;"|"&amp;PRICES!$D$2:$D$659,PRICES!$E$2:$E$659),"Not Found"))</f>
        <v/>
      </c>
      <c r="Q2174" s="100" t="str">
        <f>IF(N2174=0,"",SUMIFS(PRICES!$G$2:$G$658,PRICES!$B$2:$B$658,'MAIN TABLE-1 AUTOMATED'!J2174,PRICES!$C$2:$C$658,'MAIN TABLE-1 AUTOMATED'!F2174,PRICES!$D$2:$D$658,'MAIN TABLE-1 AUTOMATED'!O2174))</f>
        <v/>
      </c>
      <c r="R2174" s="41" t="str">
        <f>IF(Table1[[#This Row],[QUANTITY]]=0,"",Table1[[#This Row],[UNIT PRICE]]*Table1[[#This Row],[QUANTITY]])</f>
        <v/>
      </c>
      <c r="S2174" s="89"/>
      <c r="T2174" s="38"/>
      <c r="U2174" s="43"/>
      <c r="V2174" s="42" t="str">
        <f>IF(Table1[[#This Row],[DATE]]=0,"",YEAR(E2174))</f>
        <v/>
      </c>
      <c r="W2174" s="40" t="str">
        <f t="shared" si="68"/>
        <v/>
      </c>
      <c r="X2174" s="40" t="str">
        <f t="shared" si="69"/>
        <v/>
      </c>
      <c r="Y2174" s="40" t="str">
        <f>TEXT(Table1[[#This Row],[YEAR]],"0000")&amp;"-"&amp;Table1[[#This Row],[MONTH]]</f>
        <v>-</v>
      </c>
    </row>
    <row r="2175" spans="1:25" ht="15" customHeight="1" x14ac:dyDescent="0.35">
      <c r="A2175" s="24"/>
      <c r="B2175" s="38"/>
      <c r="C2175" s="38"/>
      <c r="D2175" s="38"/>
      <c r="E2175" s="37"/>
      <c r="F2175" s="38"/>
      <c r="G2175" s="198"/>
      <c r="H2175" s="198"/>
      <c r="I2175" s="39"/>
      <c r="J2175" s="38"/>
      <c r="K2175" s="198"/>
      <c r="L2175" s="38"/>
      <c r="M2175" s="38"/>
      <c r="N2175" s="38"/>
      <c r="O2175" s="38"/>
      <c r="P2175" s="40" t="str" cm="1">
        <f t="array" ref="P2175">IF(N2175="","",IFERROR(_xlfn.XLOOKUP(F2175&amp;"|"&amp;J2175&amp;"|"&amp;O2175,PRICES!$C$2:$C$659&amp;"|"&amp;PRICES!$B$2:$B$659&amp;"|"&amp;PRICES!$D$2:$D$659,PRICES!$E$2:$E$659),"Not Found"))</f>
        <v/>
      </c>
      <c r="Q2175" s="100" t="str">
        <f>IF(N2175=0,"",SUMIFS(PRICES!$G$2:$G$658,PRICES!$B$2:$B$658,'MAIN TABLE-1 AUTOMATED'!J2175,PRICES!$C$2:$C$658,'MAIN TABLE-1 AUTOMATED'!F2175,PRICES!$D$2:$D$658,'MAIN TABLE-1 AUTOMATED'!O2175))</f>
        <v/>
      </c>
      <c r="R2175" s="41" t="str">
        <f>IF(Table1[[#This Row],[QUANTITY]]=0,"",Table1[[#This Row],[UNIT PRICE]]*Table1[[#This Row],[QUANTITY]])</f>
        <v/>
      </c>
      <c r="S2175" s="89"/>
      <c r="T2175" s="38"/>
      <c r="U2175" s="43"/>
      <c r="V2175" s="42" t="str">
        <f>IF(Table1[[#This Row],[DATE]]=0,"",YEAR(E2175))</f>
        <v/>
      </c>
      <c r="W2175" s="40" t="str">
        <f t="shared" si="68"/>
        <v/>
      </c>
      <c r="X2175" s="40" t="str">
        <f t="shared" si="69"/>
        <v/>
      </c>
      <c r="Y2175" s="40" t="str">
        <f>TEXT(Table1[[#This Row],[YEAR]],"0000")&amp;"-"&amp;Table1[[#This Row],[MONTH]]</f>
        <v>-</v>
      </c>
    </row>
    <row r="2176" spans="1:25" ht="15" customHeight="1" x14ac:dyDescent="0.35">
      <c r="A2176" s="24"/>
      <c r="B2176" s="38"/>
      <c r="C2176" s="38"/>
      <c r="D2176" s="38"/>
      <c r="E2176" s="37"/>
      <c r="F2176" s="38"/>
      <c r="G2176" s="198"/>
      <c r="H2176" s="198"/>
      <c r="I2176" s="39"/>
      <c r="J2176" s="38"/>
      <c r="K2176" s="198"/>
      <c r="L2176" s="38"/>
      <c r="M2176" s="38"/>
      <c r="N2176" s="38"/>
      <c r="O2176" s="38"/>
      <c r="P2176" s="40" t="str" cm="1">
        <f t="array" ref="P2176">IF(N2176="","",IFERROR(_xlfn.XLOOKUP(F2176&amp;"|"&amp;J2176&amp;"|"&amp;O2176,PRICES!$C$2:$C$659&amp;"|"&amp;PRICES!$B$2:$B$659&amp;"|"&amp;PRICES!$D$2:$D$659,PRICES!$E$2:$E$659),"Not Found"))</f>
        <v/>
      </c>
      <c r="Q2176" s="100" t="str">
        <f>IF(N2176=0,"",SUMIFS(PRICES!$G$2:$G$658,PRICES!$B$2:$B$658,'MAIN TABLE-1 AUTOMATED'!J2176,PRICES!$C$2:$C$658,'MAIN TABLE-1 AUTOMATED'!F2176,PRICES!$D$2:$D$658,'MAIN TABLE-1 AUTOMATED'!O2176))</f>
        <v/>
      </c>
      <c r="R2176" s="41" t="str">
        <f>IF(Table1[[#This Row],[QUANTITY]]=0,"",Table1[[#This Row],[UNIT PRICE]]*Table1[[#This Row],[QUANTITY]])</f>
        <v/>
      </c>
      <c r="S2176" s="89"/>
      <c r="T2176" s="38"/>
      <c r="U2176" s="43"/>
      <c r="V2176" s="42" t="str">
        <f>IF(Table1[[#This Row],[DATE]]=0,"",YEAR(E2176))</f>
        <v/>
      </c>
      <c r="W2176" s="40" t="str">
        <f t="shared" si="68"/>
        <v/>
      </c>
      <c r="X2176" s="40" t="str">
        <f t="shared" si="69"/>
        <v/>
      </c>
      <c r="Y2176" s="40" t="str">
        <f>TEXT(Table1[[#This Row],[YEAR]],"0000")&amp;"-"&amp;Table1[[#This Row],[MONTH]]</f>
        <v>-</v>
      </c>
    </row>
    <row r="2177" spans="1:25" ht="15" customHeight="1" x14ac:dyDescent="0.35">
      <c r="A2177" s="24"/>
      <c r="B2177" s="38"/>
      <c r="C2177" s="38"/>
      <c r="D2177" s="38"/>
      <c r="E2177" s="37"/>
      <c r="F2177" s="38"/>
      <c r="G2177" s="198"/>
      <c r="H2177" s="198"/>
      <c r="I2177" s="39"/>
      <c r="J2177" s="38"/>
      <c r="K2177" s="198"/>
      <c r="L2177" s="38"/>
      <c r="M2177" s="38"/>
      <c r="N2177" s="38"/>
      <c r="O2177" s="38"/>
      <c r="P2177" s="40" t="str" cm="1">
        <f t="array" ref="P2177">IF(N2177="","",IFERROR(_xlfn.XLOOKUP(F2177&amp;"|"&amp;J2177&amp;"|"&amp;O2177,PRICES!$C$2:$C$659&amp;"|"&amp;PRICES!$B$2:$B$659&amp;"|"&amp;PRICES!$D$2:$D$659,PRICES!$E$2:$E$659),"Not Found"))</f>
        <v/>
      </c>
      <c r="Q2177" s="100" t="str">
        <f>IF(N2177=0,"",SUMIFS(PRICES!$G$2:$G$658,PRICES!$B$2:$B$658,'MAIN TABLE-1 AUTOMATED'!J2177,PRICES!$C$2:$C$658,'MAIN TABLE-1 AUTOMATED'!F2177,PRICES!$D$2:$D$658,'MAIN TABLE-1 AUTOMATED'!O2177))</f>
        <v/>
      </c>
      <c r="R2177" s="41" t="str">
        <f>IF(Table1[[#This Row],[QUANTITY]]=0,"",Table1[[#This Row],[UNIT PRICE]]*Table1[[#This Row],[QUANTITY]])</f>
        <v/>
      </c>
      <c r="S2177" s="89"/>
      <c r="T2177" s="38"/>
      <c r="U2177" s="43"/>
      <c r="V2177" s="42" t="str">
        <f>IF(Table1[[#This Row],[DATE]]=0,"",YEAR(E2177))</f>
        <v/>
      </c>
      <c r="W2177" s="40" t="str">
        <f t="shared" si="68"/>
        <v/>
      </c>
      <c r="X2177" s="40" t="str">
        <f t="shared" si="69"/>
        <v/>
      </c>
      <c r="Y2177" s="40" t="str">
        <f>TEXT(Table1[[#This Row],[YEAR]],"0000")&amp;"-"&amp;Table1[[#This Row],[MONTH]]</f>
        <v>-</v>
      </c>
    </row>
    <row r="2178" spans="1:25" ht="15" customHeight="1" x14ac:dyDescent="0.35">
      <c r="A2178" s="24"/>
      <c r="B2178" s="38"/>
      <c r="C2178" s="38"/>
      <c r="D2178" s="38"/>
      <c r="E2178" s="37"/>
      <c r="F2178" s="38"/>
      <c r="G2178" s="198"/>
      <c r="H2178" s="198"/>
      <c r="I2178" s="39"/>
      <c r="J2178" s="38"/>
      <c r="K2178" s="198"/>
      <c r="L2178" s="38"/>
      <c r="M2178" s="38"/>
      <c r="N2178" s="38"/>
      <c r="O2178" s="38"/>
      <c r="P2178" s="40" t="str" cm="1">
        <f t="array" ref="P2178">IF(N2178="","",IFERROR(_xlfn.XLOOKUP(F2178&amp;"|"&amp;J2178&amp;"|"&amp;O2178,PRICES!$C$2:$C$659&amp;"|"&amp;PRICES!$B$2:$B$659&amp;"|"&amp;PRICES!$D$2:$D$659,PRICES!$E$2:$E$659),"Not Found"))</f>
        <v/>
      </c>
      <c r="Q2178" s="100" t="str">
        <f>IF(N2178=0,"",SUMIFS(PRICES!$G$2:$G$658,PRICES!$B$2:$B$658,'MAIN TABLE-1 AUTOMATED'!J2178,PRICES!$C$2:$C$658,'MAIN TABLE-1 AUTOMATED'!F2178,PRICES!$D$2:$D$658,'MAIN TABLE-1 AUTOMATED'!O2178))</f>
        <v/>
      </c>
      <c r="R2178" s="41" t="str">
        <f>IF(Table1[[#This Row],[QUANTITY]]=0,"",Table1[[#This Row],[UNIT PRICE]]*Table1[[#This Row],[QUANTITY]])</f>
        <v/>
      </c>
      <c r="S2178" s="89"/>
      <c r="T2178" s="38"/>
      <c r="U2178" s="43"/>
      <c r="V2178" s="42" t="str">
        <f>IF(Table1[[#This Row],[DATE]]=0,"",YEAR(E2178))</f>
        <v/>
      </c>
      <c r="W2178" s="40" t="str">
        <f t="shared" si="68"/>
        <v/>
      </c>
      <c r="X2178" s="40" t="str">
        <f t="shared" si="69"/>
        <v/>
      </c>
      <c r="Y2178" s="40" t="str">
        <f>TEXT(Table1[[#This Row],[YEAR]],"0000")&amp;"-"&amp;Table1[[#This Row],[MONTH]]</f>
        <v>-</v>
      </c>
    </row>
    <row r="2179" spans="1:25" ht="15" customHeight="1" x14ac:dyDescent="0.35">
      <c r="A2179" s="24"/>
      <c r="B2179" s="38"/>
      <c r="C2179" s="38"/>
      <c r="D2179" s="38"/>
      <c r="E2179" s="37"/>
      <c r="F2179" s="38"/>
      <c r="G2179" s="198"/>
      <c r="H2179" s="198"/>
      <c r="I2179" s="39"/>
      <c r="J2179" s="38"/>
      <c r="K2179" s="198"/>
      <c r="L2179" s="38"/>
      <c r="M2179" s="38"/>
      <c r="N2179" s="38"/>
      <c r="O2179" s="38"/>
      <c r="P2179" s="40" t="str" cm="1">
        <f t="array" ref="P2179">IF(N2179="","",IFERROR(_xlfn.XLOOKUP(F2179&amp;"|"&amp;J2179&amp;"|"&amp;O2179,PRICES!$C$2:$C$659&amp;"|"&amp;PRICES!$B$2:$B$659&amp;"|"&amp;PRICES!$D$2:$D$659,PRICES!$E$2:$E$659),"Not Found"))</f>
        <v/>
      </c>
      <c r="Q2179" s="100" t="str">
        <f>IF(N2179=0,"",SUMIFS(PRICES!$G$2:$G$658,PRICES!$B$2:$B$658,'MAIN TABLE-1 AUTOMATED'!J2179,PRICES!$C$2:$C$658,'MAIN TABLE-1 AUTOMATED'!F2179,PRICES!$D$2:$D$658,'MAIN TABLE-1 AUTOMATED'!O2179))</f>
        <v/>
      </c>
      <c r="R2179" s="41" t="str">
        <f>IF(Table1[[#This Row],[QUANTITY]]=0,"",Table1[[#This Row],[UNIT PRICE]]*Table1[[#This Row],[QUANTITY]])</f>
        <v/>
      </c>
      <c r="S2179" s="89"/>
      <c r="T2179" s="38"/>
      <c r="U2179" s="43"/>
      <c r="V2179" s="42" t="str">
        <f>IF(Table1[[#This Row],[DATE]]=0,"",YEAR(E2179))</f>
        <v/>
      </c>
      <c r="W2179" s="40" t="str">
        <f t="shared" si="68"/>
        <v/>
      </c>
      <c r="X2179" s="40" t="str">
        <f t="shared" si="69"/>
        <v/>
      </c>
      <c r="Y2179" s="40" t="str">
        <f>TEXT(Table1[[#This Row],[YEAR]],"0000")&amp;"-"&amp;Table1[[#This Row],[MONTH]]</f>
        <v>-</v>
      </c>
    </row>
    <row r="2180" spans="1:25" ht="15" customHeight="1" x14ac:dyDescent="0.35">
      <c r="A2180" s="24"/>
      <c r="B2180" s="38"/>
      <c r="C2180" s="38"/>
      <c r="D2180" s="38"/>
      <c r="E2180" s="37"/>
      <c r="F2180" s="38"/>
      <c r="G2180" s="198"/>
      <c r="H2180" s="198"/>
      <c r="I2180" s="39"/>
      <c r="J2180" s="38"/>
      <c r="K2180" s="198"/>
      <c r="L2180" s="38"/>
      <c r="M2180" s="38"/>
      <c r="N2180" s="38"/>
      <c r="O2180" s="38"/>
      <c r="P2180" s="40" t="str" cm="1">
        <f t="array" ref="P2180">IF(N2180="","",IFERROR(_xlfn.XLOOKUP(F2180&amp;"|"&amp;J2180&amp;"|"&amp;O2180,PRICES!$C$2:$C$659&amp;"|"&amp;PRICES!$B$2:$B$659&amp;"|"&amp;PRICES!$D$2:$D$659,PRICES!$E$2:$E$659),"Not Found"))</f>
        <v/>
      </c>
      <c r="Q2180" s="100" t="str">
        <f>IF(N2180=0,"",SUMIFS(PRICES!$G$2:$G$658,PRICES!$B$2:$B$658,'MAIN TABLE-1 AUTOMATED'!J2180,PRICES!$C$2:$C$658,'MAIN TABLE-1 AUTOMATED'!F2180,PRICES!$D$2:$D$658,'MAIN TABLE-1 AUTOMATED'!O2180))</f>
        <v/>
      </c>
      <c r="R2180" s="41" t="str">
        <f>IF(Table1[[#This Row],[QUANTITY]]=0,"",Table1[[#This Row],[UNIT PRICE]]*Table1[[#This Row],[QUANTITY]])</f>
        <v/>
      </c>
      <c r="S2180" s="89"/>
      <c r="T2180" s="38"/>
      <c r="U2180" s="43"/>
      <c r="V2180" s="42" t="str">
        <f>IF(Table1[[#This Row],[DATE]]=0,"",YEAR(E2180))</f>
        <v/>
      </c>
      <c r="W2180" s="40" t="str">
        <f t="shared" si="68"/>
        <v/>
      </c>
      <c r="X2180" s="40" t="str">
        <f t="shared" si="69"/>
        <v/>
      </c>
      <c r="Y2180" s="40" t="str">
        <f>TEXT(Table1[[#This Row],[YEAR]],"0000")&amp;"-"&amp;Table1[[#This Row],[MONTH]]</f>
        <v>-</v>
      </c>
    </row>
    <row r="2181" spans="1:25" ht="15" customHeight="1" x14ac:dyDescent="0.35">
      <c r="A2181" s="24"/>
      <c r="B2181" s="38"/>
      <c r="C2181" s="38"/>
      <c r="D2181" s="38"/>
      <c r="E2181" s="37"/>
      <c r="F2181" s="38"/>
      <c r="G2181" s="198"/>
      <c r="H2181" s="198"/>
      <c r="I2181" s="39"/>
      <c r="J2181" s="38"/>
      <c r="K2181" s="198"/>
      <c r="L2181" s="38"/>
      <c r="M2181" s="38"/>
      <c r="N2181" s="38"/>
      <c r="O2181" s="38"/>
      <c r="P2181" s="40" t="str" cm="1">
        <f t="array" ref="P2181">IF(N2181="","",IFERROR(_xlfn.XLOOKUP(F2181&amp;"|"&amp;J2181&amp;"|"&amp;O2181,PRICES!$C$2:$C$659&amp;"|"&amp;PRICES!$B$2:$B$659&amp;"|"&amp;PRICES!$D$2:$D$659,PRICES!$E$2:$E$659),"Not Found"))</f>
        <v/>
      </c>
      <c r="Q2181" s="100" t="str">
        <f>IF(N2181=0,"",SUMIFS(PRICES!$G$2:$G$658,PRICES!$B$2:$B$658,'MAIN TABLE-1 AUTOMATED'!J2181,PRICES!$C$2:$C$658,'MAIN TABLE-1 AUTOMATED'!F2181,PRICES!$D$2:$D$658,'MAIN TABLE-1 AUTOMATED'!O2181))</f>
        <v/>
      </c>
      <c r="R2181" s="41" t="str">
        <f>IF(Table1[[#This Row],[QUANTITY]]=0,"",Table1[[#This Row],[UNIT PRICE]]*Table1[[#This Row],[QUANTITY]])</f>
        <v/>
      </c>
      <c r="S2181" s="89"/>
      <c r="T2181" s="38"/>
      <c r="U2181" s="43"/>
      <c r="V2181" s="42" t="str">
        <f>IF(Table1[[#This Row],[DATE]]=0,"",YEAR(E2181))</f>
        <v/>
      </c>
      <c r="W2181" s="40" t="str">
        <f t="shared" si="68"/>
        <v/>
      </c>
      <c r="X2181" s="40" t="str">
        <f t="shared" si="69"/>
        <v/>
      </c>
      <c r="Y2181" s="40" t="str">
        <f>TEXT(Table1[[#This Row],[YEAR]],"0000")&amp;"-"&amp;Table1[[#This Row],[MONTH]]</f>
        <v>-</v>
      </c>
    </row>
    <row r="2182" spans="1:25" ht="15" customHeight="1" x14ac:dyDescent="0.35">
      <c r="A2182" s="24"/>
      <c r="B2182" s="38"/>
      <c r="C2182" s="38"/>
      <c r="D2182" s="38"/>
      <c r="E2182" s="37"/>
      <c r="F2182" s="38"/>
      <c r="G2182" s="198"/>
      <c r="H2182" s="198"/>
      <c r="I2182" s="39"/>
      <c r="J2182" s="38"/>
      <c r="K2182" s="198"/>
      <c r="L2182" s="38"/>
      <c r="M2182" s="38"/>
      <c r="N2182" s="38"/>
      <c r="O2182" s="38"/>
      <c r="P2182" s="40" t="str" cm="1">
        <f t="array" ref="P2182">IF(N2182="","",IFERROR(_xlfn.XLOOKUP(F2182&amp;"|"&amp;J2182&amp;"|"&amp;O2182,PRICES!$C$2:$C$659&amp;"|"&amp;PRICES!$B$2:$B$659&amp;"|"&amp;PRICES!$D$2:$D$659,PRICES!$E$2:$E$659),"Not Found"))</f>
        <v/>
      </c>
      <c r="Q2182" s="100" t="str">
        <f>IF(N2182=0,"",SUMIFS(PRICES!$G$2:$G$658,PRICES!$B$2:$B$658,'MAIN TABLE-1 AUTOMATED'!J2182,PRICES!$C$2:$C$658,'MAIN TABLE-1 AUTOMATED'!F2182,PRICES!$D$2:$D$658,'MAIN TABLE-1 AUTOMATED'!O2182))</f>
        <v/>
      </c>
      <c r="R2182" s="41" t="str">
        <f>IF(Table1[[#This Row],[QUANTITY]]=0,"",Table1[[#This Row],[UNIT PRICE]]*Table1[[#This Row],[QUANTITY]])</f>
        <v/>
      </c>
      <c r="S2182" s="89"/>
      <c r="T2182" s="38"/>
      <c r="U2182" s="43"/>
      <c r="V2182" s="42" t="str">
        <f>IF(Table1[[#This Row],[DATE]]=0,"",YEAR(E2182))</f>
        <v/>
      </c>
      <c r="W2182" s="40" t="str">
        <f t="shared" si="68"/>
        <v/>
      </c>
      <c r="X2182" s="40" t="str">
        <f t="shared" si="69"/>
        <v/>
      </c>
      <c r="Y2182" s="40" t="str">
        <f>TEXT(Table1[[#This Row],[YEAR]],"0000")&amp;"-"&amp;Table1[[#This Row],[MONTH]]</f>
        <v>-</v>
      </c>
    </row>
    <row r="2183" spans="1:25" ht="15" customHeight="1" x14ac:dyDescent="0.35">
      <c r="A2183" s="24"/>
      <c r="B2183" s="38"/>
      <c r="C2183" s="38"/>
      <c r="D2183" s="38"/>
      <c r="E2183" s="37"/>
      <c r="F2183" s="38"/>
      <c r="G2183" s="198"/>
      <c r="H2183" s="198"/>
      <c r="I2183" s="39"/>
      <c r="J2183" s="38"/>
      <c r="K2183" s="198"/>
      <c r="L2183" s="38"/>
      <c r="M2183" s="38"/>
      <c r="N2183" s="38"/>
      <c r="O2183" s="38"/>
      <c r="P2183" s="40" t="str" cm="1">
        <f t="array" ref="P2183">IF(N2183="","",IFERROR(_xlfn.XLOOKUP(F2183&amp;"|"&amp;J2183&amp;"|"&amp;O2183,PRICES!$C$2:$C$659&amp;"|"&amp;PRICES!$B$2:$B$659&amp;"|"&amp;PRICES!$D$2:$D$659,PRICES!$E$2:$E$659),"Not Found"))</f>
        <v/>
      </c>
      <c r="Q2183" s="100" t="str">
        <f>IF(N2183=0,"",SUMIFS(PRICES!$G$2:$G$658,PRICES!$B$2:$B$658,'MAIN TABLE-1 AUTOMATED'!J2183,PRICES!$C$2:$C$658,'MAIN TABLE-1 AUTOMATED'!F2183,PRICES!$D$2:$D$658,'MAIN TABLE-1 AUTOMATED'!O2183))</f>
        <v/>
      </c>
      <c r="R2183" s="41" t="str">
        <f>IF(Table1[[#This Row],[QUANTITY]]=0,"",Table1[[#This Row],[UNIT PRICE]]*Table1[[#This Row],[QUANTITY]])</f>
        <v/>
      </c>
      <c r="S2183" s="89"/>
      <c r="T2183" s="38"/>
      <c r="U2183" s="43"/>
      <c r="V2183" s="42" t="str">
        <f>IF(Table1[[#This Row],[DATE]]=0,"",YEAR(E2183))</f>
        <v/>
      </c>
      <c r="W2183" s="40" t="str">
        <f t="shared" si="68"/>
        <v/>
      </c>
      <c r="X2183" s="40" t="str">
        <f t="shared" si="69"/>
        <v/>
      </c>
      <c r="Y2183" s="40" t="str">
        <f>TEXT(Table1[[#This Row],[YEAR]],"0000")&amp;"-"&amp;Table1[[#This Row],[MONTH]]</f>
        <v>-</v>
      </c>
    </row>
    <row r="2184" spans="1:25" ht="15" customHeight="1" x14ac:dyDescent="0.35">
      <c r="A2184" s="24"/>
      <c r="B2184" s="38"/>
      <c r="C2184" s="38"/>
      <c r="D2184" s="38"/>
      <c r="E2184" s="37"/>
      <c r="F2184" s="38"/>
      <c r="G2184" s="198"/>
      <c r="H2184" s="198"/>
      <c r="I2184" s="39"/>
      <c r="J2184" s="38"/>
      <c r="K2184" s="198"/>
      <c r="L2184" s="38"/>
      <c r="M2184" s="38"/>
      <c r="N2184" s="38"/>
      <c r="O2184" s="38"/>
      <c r="P2184" s="40" t="str" cm="1">
        <f t="array" ref="P2184">IF(N2184="","",IFERROR(_xlfn.XLOOKUP(F2184&amp;"|"&amp;J2184&amp;"|"&amp;O2184,PRICES!$C$2:$C$659&amp;"|"&amp;PRICES!$B$2:$B$659&amp;"|"&amp;PRICES!$D$2:$D$659,PRICES!$E$2:$E$659),"Not Found"))</f>
        <v/>
      </c>
      <c r="Q2184" s="100" t="str">
        <f>IF(N2184=0,"",SUMIFS(PRICES!$G$2:$G$658,PRICES!$B$2:$B$658,'MAIN TABLE-1 AUTOMATED'!J2184,PRICES!$C$2:$C$658,'MAIN TABLE-1 AUTOMATED'!F2184,PRICES!$D$2:$D$658,'MAIN TABLE-1 AUTOMATED'!O2184))</f>
        <v/>
      </c>
      <c r="R2184" s="41" t="str">
        <f>IF(Table1[[#This Row],[QUANTITY]]=0,"",Table1[[#This Row],[UNIT PRICE]]*Table1[[#This Row],[QUANTITY]])</f>
        <v/>
      </c>
      <c r="S2184" s="89"/>
      <c r="T2184" s="38"/>
      <c r="U2184" s="43"/>
      <c r="V2184" s="42" t="str">
        <f>IF(Table1[[#This Row],[DATE]]=0,"",YEAR(E2184))</f>
        <v/>
      </c>
      <c r="W2184" s="40" t="str">
        <f t="shared" si="68"/>
        <v/>
      </c>
      <c r="X2184" s="40" t="str">
        <f t="shared" si="69"/>
        <v/>
      </c>
      <c r="Y2184" s="40" t="str">
        <f>TEXT(Table1[[#This Row],[YEAR]],"0000")&amp;"-"&amp;Table1[[#This Row],[MONTH]]</f>
        <v>-</v>
      </c>
    </row>
    <row r="2185" spans="1:25" ht="15" customHeight="1" x14ac:dyDescent="0.35">
      <c r="A2185" s="24"/>
      <c r="B2185" s="38"/>
      <c r="C2185" s="38"/>
      <c r="D2185" s="38"/>
      <c r="E2185" s="37"/>
      <c r="F2185" s="38"/>
      <c r="G2185" s="198"/>
      <c r="H2185" s="198"/>
      <c r="I2185" s="39"/>
      <c r="J2185" s="38"/>
      <c r="K2185" s="198"/>
      <c r="L2185" s="38"/>
      <c r="M2185" s="38"/>
      <c r="N2185" s="38"/>
      <c r="O2185" s="38"/>
      <c r="P2185" s="40" t="str" cm="1">
        <f t="array" ref="P2185">IF(N2185="","",IFERROR(_xlfn.XLOOKUP(F2185&amp;"|"&amp;J2185&amp;"|"&amp;O2185,PRICES!$C$2:$C$659&amp;"|"&amp;PRICES!$B$2:$B$659&amp;"|"&amp;PRICES!$D$2:$D$659,PRICES!$E$2:$E$659),"Not Found"))</f>
        <v/>
      </c>
      <c r="Q2185" s="100" t="str">
        <f>IF(N2185=0,"",SUMIFS(PRICES!$G$2:$G$658,PRICES!$B$2:$B$658,'MAIN TABLE-1 AUTOMATED'!J2185,PRICES!$C$2:$C$658,'MAIN TABLE-1 AUTOMATED'!F2185,PRICES!$D$2:$D$658,'MAIN TABLE-1 AUTOMATED'!O2185))</f>
        <v/>
      </c>
      <c r="R2185" s="41" t="str">
        <f>IF(Table1[[#This Row],[QUANTITY]]=0,"",Table1[[#This Row],[UNIT PRICE]]*Table1[[#This Row],[QUANTITY]])</f>
        <v/>
      </c>
      <c r="S2185" s="89"/>
      <c r="T2185" s="38"/>
      <c r="U2185" s="43"/>
      <c r="V2185" s="42" t="str">
        <f>IF(Table1[[#This Row],[DATE]]=0,"",YEAR(E2185))</f>
        <v/>
      </c>
      <c r="W2185" s="40" t="str">
        <f t="shared" si="68"/>
        <v/>
      </c>
      <c r="X2185" s="40" t="str">
        <f t="shared" si="69"/>
        <v/>
      </c>
      <c r="Y2185" s="40" t="str">
        <f>TEXT(Table1[[#This Row],[YEAR]],"0000")&amp;"-"&amp;Table1[[#This Row],[MONTH]]</f>
        <v>-</v>
      </c>
    </row>
    <row r="2186" spans="1:25" ht="15" customHeight="1" x14ac:dyDescent="0.35">
      <c r="A2186" s="24"/>
      <c r="B2186" s="38"/>
      <c r="C2186" s="38"/>
      <c r="D2186" s="38"/>
      <c r="E2186" s="37"/>
      <c r="F2186" s="38"/>
      <c r="G2186" s="198"/>
      <c r="H2186" s="198"/>
      <c r="I2186" s="39"/>
      <c r="J2186" s="38"/>
      <c r="K2186" s="198"/>
      <c r="L2186" s="38"/>
      <c r="M2186" s="38"/>
      <c r="N2186" s="38"/>
      <c r="O2186" s="38"/>
      <c r="P2186" s="40" t="str" cm="1">
        <f t="array" ref="P2186">IF(N2186="","",IFERROR(_xlfn.XLOOKUP(F2186&amp;"|"&amp;J2186&amp;"|"&amp;O2186,PRICES!$C$2:$C$659&amp;"|"&amp;PRICES!$B$2:$B$659&amp;"|"&amp;PRICES!$D$2:$D$659,PRICES!$E$2:$E$659),"Not Found"))</f>
        <v/>
      </c>
      <c r="Q2186" s="100" t="str">
        <f>IF(N2186=0,"",SUMIFS(PRICES!$G$2:$G$658,PRICES!$B$2:$B$658,'MAIN TABLE-1 AUTOMATED'!J2186,PRICES!$C$2:$C$658,'MAIN TABLE-1 AUTOMATED'!F2186,PRICES!$D$2:$D$658,'MAIN TABLE-1 AUTOMATED'!O2186))</f>
        <v/>
      </c>
      <c r="R2186" s="41" t="str">
        <f>IF(Table1[[#This Row],[QUANTITY]]=0,"",Table1[[#This Row],[UNIT PRICE]]*Table1[[#This Row],[QUANTITY]])</f>
        <v/>
      </c>
      <c r="S2186" s="89"/>
      <c r="T2186" s="38"/>
      <c r="U2186" s="43"/>
      <c r="V2186" s="42" t="str">
        <f>IF(Table1[[#This Row],[DATE]]=0,"",YEAR(E2186))</f>
        <v/>
      </c>
      <c r="W2186" s="40" t="str">
        <f t="shared" si="68"/>
        <v/>
      </c>
      <c r="X2186" s="40" t="str">
        <f t="shared" si="69"/>
        <v/>
      </c>
      <c r="Y2186" s="40" t="str">
        <f>TEXT(Table1[[#This Row],[YEAR]],"0000")&amp;"-"&amp;Table1[[#This Row],[MONTH]]</f>
        <v>-</v>
      </c>
    </row>
    <row r="2187" spans="1:25" ht="15" customHeight="1" x14ac:dyDescent="0.35">
      <c r="A2187" s="24"/>
      <c r="B2187" s="38"/>
      <c r="C2187" s="38"/>
      <c r="D2187" s="38"/>
      <c r="E2187" s="37"/>
      <c r="F2187" s="38"/>
      <c r="G2187" s="198"/>
      <c r="H2187" s="198"/>
      <c r="I2187" s="39"/>
      <c r="J2187" s="38"/>
      <c r="K2187" s="198"/>
      <c r="L2187" s="38"/>
      <c r="M2187" s="38"/>
      <c r="N2187" s="38"/>
      <c r="O2187" s="38"/>
      <c r="P2187" s="40" t="str" cm="1">
        <f t="array" ref="P2187">IF(N2187="","",IFERROR(_xlfn.XLOOKUP(F2187&amp;"|"&amp;J2187&amp;"|"&amp;O2187,PRICES!$C$2:$C$659&amp;"|"&amp;PRICES!$B$2:$B$659&amp;"|"&amp;PRICES!$D$2:$D$659,PRICES!$E$2:$E$659),"Not Found"))</f>
        <v/>
      </c>
      <c r="Q2187" s="100" t="str">
        <f>IF(N2187=0,"",SUMIFS(PRICES!$G$2:$G$658,PRICES!$B$2:$B$658,'MAIN TABLE-1 AUTOMATED'!J2187,PRICES!$C$2:$C$658,'MAIN TABLE-1 AUTOMATED'!F2187,PRICES!$D$2:$D$658,'MAIN TABLE-1 AUTOMATED'!O2187))</f>
        <v/>
      </c>
      <c r="R2187" s="41" t="str">
        <f>IF(Table1[[#This Row],[QUANTITY]]=0,"",Table1[[#This Row],[UNIT PRICE]]*Table1[[#This Row],[QUANTITY]])</f>
        <v/>
      </c>
      <c r="S2187" s="89"/>
      <c r="T2187" s="38"/>
      <c r="U2187" s="43"/>
      <c r="V2187" s="42" t="str">
        <f>IF(Table1[[#This Row],[DATE]]=0,"",YEAR(E2187))</f>
        <v/>
      </c>
      <c r="W2187" s="40" t="str">
        <f t="shared" si="68"/>
        <v/>
      </c>
      <c r="X2187" s="40" t="str">
        <f t="shared" si="69"/>
        <v/>
      </c>
      <c r="Y2187" s="40" t="str">
        <f>TEXT(Table1[[#This Row],[YEAR]],"0000")&amp;"-"&amp;Table1[[#This Row],[MONTH]]</f>
        <v>-</v>
      </c>
    </row>
    <row r="2188" spans="1:25" ht="15" customHeight="1" x14ac:dyDescent="0.35">
      <c r="A2188" s="24"/>
      <c r="B2188" s="38"/>
      <c r="C2188" s="38"/>
      <c r="D2188" s="38"/>
      <c r="E2188" s="37"/>
      <c r="F2188" s="38"/>
      <c r="G2188" s="198"/>
      <c r="H2188" s="198"/>
      <c r="I2188" s="39"/>
      <c r="J2188" s="38"/>
      <c r="K2188" s="198"/>
      <c r="L2188" s="38"/>
      <c r="M2188" s="38"/>
      <c r="N2188" s="38"/>
      <c r="O2188" s="38"/>
      <c r="P2188" s="40" t="str" cm="1">
        <f t="array" ref="P2188">IF(N2188="","",IFERROR(_xlfn.XLOOKUP(F2188&amp;"|"&amp;J2188&amp;"|"&amp;O2188,PRICES!$C$2:$C$659&amp;"|"&amp;PRICES!$B$2:$B$659&amp;"|"&amp;PRICES!$D$2:$D$659,PRICES!$E$2:$E$659),"Not Found"))</f>
        <v/>
      </c>
      <c r="Q2188" s="100" t="str">
        <f>IF(N2188=0,"",SUMIFS(PRICES!$G$2:$G$658,PRICES!$B$2:$B$658,'MAIN TABLE-1 AUTOMATED'!J2188,PRICES!$C$2:$C$658,'MAIN TABLE-1 AUTOMATED'!F2188,PRICES!$D$2:$D$658,'MAIN TABLE-1 AUTOMATED'!O2188))</f>
        <v/>
      </c>
      <c r="R2188" s="41" t="str">
        <f>IF(Table1[[#This Row],[QUANTITY]]=0,"",Table1[[#This Row],[UNIT PRICE]]*Table1[[#This Row],[QUANTITY]])</f>
        <v/>
      </c>
      <c r="S2188" s="89"/>
      <c r="T2188" s="38"/>
      <c r="U2188" s="43"/>
      <c r="V2188" s="42" t="str">
        <f>IF(Table1[[#This Row],[DATE]]=0,"",YEAR(E2188))</f>
        <v/>
      </c>
      <c r="W2188" s="40" t="str">
        <f t="shared" si="68"/>
        <v/>
      </c>
      <c r="X2188" s="40" t="str">
        <f t="shared" si="69"/>
        <v/>
      </c>
      <c r="Y2188" s="40" t="str">
        <f>TEXT(Table1[[#This Row],[YEAR]],"0000")&amp;"-"&amp;Table1[[#This Row],[MONTH]]</f>
        <v>-</v>
      </c>
    </row>
    <row r="2189" spans="1:25" ht="15" customHeight="1" x14ac:dyDescent="0.35">
      <c r="A2189" s="243"/>
      <c r="B2189" s="38"/>
      <c r="C2189" s="38"/>
      <c r="D2189" s="38"/>
      <c r="E2189" s="37"/>
      <c r="F2189" s="38"/>
      <c r="G2189" s="198"/>
      <c r="H2189" s="198"/>
      <c r="I2189" s="39"/>
      <c r="J2189" s="38"/>
      <c r="K2189" s="198"/>
      <c r="L2189" s="38"/>
      <c r="M2189" s="38"/>
      <c r="N2189" s="38"/>
      <c r="O2189" s="38"/>
      <c r="P2189" s="40" t="str" cm="1">
        <f t="array" ref="P2189">IF(N2189="","",IFERROR(_xlfn.XLOOKUP(F2189&amp;"|"&amp;J2189&amp;"|"&amp;O2189,PRICES!$C$2:$C$659&amp;"|"&amp;PRICES!$B$2:$B$659&amp;"|"&amp;PRICES!$D$2:$D$659,PRICES!$E$2:$E$659),"Not Found"))</f>
        <v/>
      </c>
      <c r="Q2189" s="100" t="str">
        <f>IF(N2189=0,"",SUMIFS(PRICES!$G$2:$G$658,PRICES!$B$2:$B$658,'MAIN TABLE-1 AUTOMATED'!J2189,PRICES!$C$2:$C$658,'MAIN TABLE-1 AUTOMATED'!F2189,PRICES!$D$2:$D$658,'MAIN TABLE-1 AUTOMATED'!O2189))</f>
        <v/>
      </c>
      <c r="R2189" s="41" t="str">
        <f>IF(Table1[[#This Row],[QUANTITY]]=0,"",Table1[[#This Row],[UNIT PRICE]]*Table1[[#This Row],[QUANTITY]])</f>
        <v/>
      </c>
      <c r="S2189" s="89"/>
      <c r="T2189" s="38"/>
      <c r="U2189" s="43"/>
      <c r="V2189" s="42" t="str">
        <f>IF(Table1[[#This Row],[DATE]]=0,"",YEAR(E2189))</f>
        <v/>
      </c>
      <c r="W2189" s="40" t="str">
        <f t="shared" si="68"/>
        <v/>
      </c>
      <c r="X2189" s="40" t="str">
        <f t="shared" si="69"/>
        <v/>
      </c>
      <c r="Y2189" s="40" t="str">
        <f>TEXT(Table1[[#This Row],[YEAR]],"0000")&amp;"-"&amp;Table1[[#This Row],[MONTH]]</f>
        <v>-</v>
      </c>
    </row>
    <row r="2190" spans="1:25" ht="15" customHeight="1" x14ac:dyDescent="0.35">
      <c r="A2190" s="24"/>
      <c r="B2190" s="38"/>
      <c r="C2190" s="38"/>
      <c r="D2190" s="38"/>
      <c r="E2190" s="37"/>
      <c r="F2190" s="38"/>
      <c r="G2190" s="198"/>
      <c r="H2190" s="198"/>
      <c r="I2190" s="39"/>
      <c r="J2190" s="38"/>
      <c r="K2190" s="198"/>
      <c r="L2190" s="38"/>
      <c r="M2190" s="38"/>
      <c r="N2190" s="38"/>
      <c r="O2190" s="38"/>
      <c r="P2190" s="40" t="str" cm="1">
        <f t="array" ref="P2190">IF(N2190="","",IFERROR(_xlfn.XLOOKUP(F2190&amp;"|"&amp;J2190&amp;"|"&amp;O2190,PRICES!$C$2:$C$659&amp;"|"&amp;PRICES!$B$2:$B$659&amp;"|"&amp;PRICES!$D$2:$D$659,PRICES!$E$2:$E$659),"Not Found"))</f>
        <v/>
      </c>
      <c r="Q2190" s="100" t="str">
        <f>IF(N2190=0,"",SUMIFS(PRICES!$G$2:$G$658,PRICES!$B$2:$B$658,'MAIN TABLE-1 AUTOMATED'!J2190,PRICES!$C$2:$C$658,'MAIN TABLE-1 AUTOMATED'!F2190,PRICES!$D$2:$D$658,'MAIN TABLE-1 AUTOMATED'!O2190))</f>
        <v/>
      </c>
      <c r="R2190" s="41" t="str">
        <f>IF(Table1[[#This Row],[QUANTITY]]=0,"",Table1[[#This Row],[UNIT PRICE]]*Table1[[#This Row],[QUANTITY]])</f>
        <v/>
      </c>
      <c r="S2190" s="89"/>
      <c r="T2190" s="38"/>
      <c r="U2190" s="43"/>
      <c r="V2190" s="42" t="str">
        <f>IF(Table1[[#This Row],[DATE]]=0,"",YEAR(E2190))</f>
        <v/>
      </c>
      <c r="W2190" s="40" t="str">
        <f t="shared" si="68"/>
        <v/>
      </c>
      <c r="X2190" s="40" t="str">
        <f t="shared" si="69"/>
        <v/>
      </c>
      <c r="Y2190" s="40" t="str">
        <f>TEXT(Table1[[#This Row],[YEAR]],"0000")&amp;"-"&amp;Table1[[#This Row],[MONTH]]</f>
        <v>-</v>
      </c>
    </row>
    <row r="2191" spans="1:25" ht="15" customHeight="1" x14ac:dyDescent="0.35">
      <c r="A2191" s="24"/>
      <c r="B2191" s="38"/>
      <c r="C2191" s="38"/>
      <c r="D2191" s="38"/>
      <c r="E2191" s="37"/>
      <c r="F2191" s="38"/>
      <c r="G2191" s="198"/>
      <c r="H2191" s="198"/>
      <c r="I2191" s="39"/>
      <c r="J2191" s="38"/>
      <c r="K2191" s="198"/>
      <c r="L2191" s="38"/>
      <c r="M2191" s="38"/>
      <c r="N2191" s="38"/>
      <c r="O2191" s="38"/>
      <c r="P2191" s="40" t="str" cm="1">
        <f t="array" ref="P2191">IF(N2191="","",IFERROR(_xlfn.XLOOKUP(F2191&amp;"|"&amp;J2191&amp;"|"&amp;O2191,PRICES!$C$2:$C$659&amp;"|"&amp;PRICES!$B$2:$B$659&amp;"|"&amp;PRICES!$D$2:$D$659,PRICES!$E$2:$E$659),"Not Found"))</f>
        <v/>
      </c>
      <c r="Q2191" s="100" t="str">
        <f>IF(N2191=0,"",SUMIFS(PRICES!$G$2:$G$658,PRICES!$B$2:$B$658,'MAIN TABLE-1 AUTOMATED'!J2191,PRICES!$C$2:$C$658,'MAIN TABLE-1 AUTOMATED'!F2191,PRICES!$D$2:$D$658,'MAIN TABLE-1 AUTOMATED'!O2191))</f>
        <v/>
      </c>
      <c r="R2191" s="41" t="str">
        <f>IF(Table1[[#This Row],[QUANTITY]]=0,"",Table1[[#This Row],[UNIT PRICE]]*Table1[[#This Row],[QUANTITY]])</f>
        <v/>
      </c>
      <c r="S2191" s="89"/>
      <c r="T2191" s="38"/>
      <c r="U2191" s="43"/>
      <c r="V2191" s="42" t="str">
        <f>IF(Table1[[#This Row],[DATE]]=0,"",YEAR(E2191))</f>
        <v/>
      </c>
      <c r="W2191" s="40" t="str">
        <f t="shared" si="68"/>
        <v/>
      </c>
      <c r="X2191" s="40" t="str">
        <f t="shared" si="69"/>
        <v/>
      </c>
      <c r="Y2191" s="40" t="str">
        <f>TEXT(Table1[[#This Row],[YEAR]],"0000")&amp;"-"&amp;Table1[[#This Row],[MONTH]]</f>
        <v>-</v>
      </c>
    </row>
    <row r="2192" spans="1:25" ht="15" customHeight="1" x14ac:dyDescent="0.35">
      <c r="A2192" s="24"/>
      <c r="B2192" s="38"/>
      <c r="C2192" s="38"/>
      <c r="D2192" s="38"/>
      <c r="E2192" s="37"/>
      <c r="F2192" s="38"/>
      <c r="G2192" s="198"/>
      <c r="H2192" s="198"/>
      <c r="I2192" s="39"/>
      <c r="J2192" s="38"/>
      <c r="K2192" s="198"/>
      <c r="L2192" s="38"/>
      <c r="M2192" s="38"/>
      <c r="N2192" s="38"/>
      <c r="O2192" s="38"/>
      <c r="P2192" s="40" t="str" cm="1">
        <f t="array" ref="P2192">IF(N2192="","",IFERROR(_xlfn.XLOOKUP(F2192&amp;"|"&amp;J2192&amp;"|"&amp;O2192,PRICES!$C$2:$C$659&amp;"|"&amp;PRICES!$B$2:$B$659&amp;"|"&amp;PRICES!$D$2:$D$659,PRICES!$E$2:$E$659),"Not Found"))</f>
        <v/>
      </c>
      <c r="Q2192" s="100" t="str">
        <f>IF(N2192=0,"",SUMIFS(PRICES!$G$2:$G$658,PRICES!$B$2:$B$658,'MAIN TABLE-1 AUTOMATED'!J2192,PRICES!$C$2:$C$658,'MAIN TABLE-1 AUTOMATED'!F2192,PRICES!$D$2:$D$658,'MAIN TABLE-1 AUTOMATED'!O2192))</f>
        <v/>
      </c>
      <c r="R2192" s="41" t="str">
        <f>IF(Table1[[#This Row],[QUANTITY]]=0,"",Table1[[#This Row],[UNIT PRICE]]*Table1[[#This Row],[QUANTITY]])</f>
        <v/>
      </c>
      <c r="S2192" s="89"/>
      <c r="T2192" s="38"/>
      <c r="U2192" s="43"/>
      <c r="V2192" s="42" t="str">
        <f>IF(Table1[[#This Row],[DATE]]=0,"",YEAR(E2192))</f>
        <v/>
      </c>
      <c r="W2192" s="40" t="str">
        <f t="shared" si="68"/>
        <v/>
      </c>
      <c r="X2192" s="40" t="str">
        <f t="shared" si="69"/>
        <v/>
      </c>
      <c r="Y2192" s="40" t="str">
        <f>TEXT(Table1[[#This Row],[YEAR]],"0000")&amp;"-"&amp;Table1[[#This Row],[MONTH]]</f>
        <v>-</v>
      </c>
    </row>
    <row r="2193" spans="1:25" ht="15" customHeight="1" x14ac:dyDescent="0.35">
      <c r="A2193" s="24"/>
      <c r="B2193" s="38"/>
      <c r="C2193" s="38"/>
      <c r="D2193" s="38"/>
      <c r="E2193" s="37"/>
      <c r="F2193" s="38"/>
      <c r="G2193" s="198"/>
      <c r="H2193" s="198"/>
      <c r="I2193" s="39"/>
      <c r="J2193" s="38"/>
      <c r="K2193" s="198"/>
      <c r="L2193" s="38"/>
      <c r="M2193" s="38"/>
      <c r="N2193" s="38"/>
      <c r="O2193" s="38"/>
      <c r="P2193" s="40" t="str" cm="1">
        <f t="array" ref="P2193">IF(N2193="","",IFERROR(_xlfn.XLOOKUP(F2193&amp;"|"&amp;J2193&amp;"|"&amp;O2193,PRICES!$C$2:$C$659&amp;"|"&amp;PRICES!$B$2:$B$659&amp;"|"&amp;PRICES!$D$2:$D$659,PRICES!$E$2:$E$659),"Not Found"))</f>
        <v/>
      </c>
      <c r="Q2193" s="100" t="str">
        <f>IF(N2193=0,"",SUMIFS(PRICES!$G$2:$G$658,PRICES!$B$2:$B$658,'MAIN TABLE-1 AUTOMATED'!J2193,PRICES!$C$2:$C$658,'MAIN TABLE-1 AUTOMATED'!F2193,PRICES!$D$2:$D$658,'MAIN TABLE-1 AUTOMATED'!O2193))</f>
        <v/>
      </c>
      <c r="R2193" s="41" t="str">
        <f>IF(Table1[[#This Row],[QUANTITY]]=0,"",Table1[[#This Row],[UNIT PRICE]]*Table1[[#This Row],[QUANTITY]])</f>
        <v/>
      </c>
      <c r="S2193" s="89"/>
      <c r="T2193" s="38"/>
      <c r="U2193" s="43"/>
      <c r="V2193" s="42" t="str">
        <f>IF(Table1[[#This Row],[DATE]]=0,"",YEAR(E2193))</f>
        <v/>
      </c>
      <c r="W2193" s="40" t="str">
        <f t="shared" si="68"/>
        <v/>
      </c>
      <c r="X2193" s="40" t="str">
        <f t="shared" si="69"/>
        <v/>
      </c>
      <c r="Y2193" s="40" t="str">
        <f>TEXT(Table1[[#This Row],[YEAR]],"0000")&amp;"-"&amp;Table1[[#This Row],[MONTH]]</f>
        <v>-</v>
      </c>
    </row>
    <row r="2194" spans="1:25" ht="15" customHeight="1" x14ac:dyDescent="0.35">
      <c r="A2194" s="24"/>
      <c r="B2194" s="38"/>
      <c r="C2194" s="38"/>
      <c r="D2194" s="38"/>
      <c r="E2194" s="37"/>
      <c r="F2194" s="38"/>
      <c r="G2194" s="198"/>
      <c r="H2194" s="198"/>
      <c r="I2194" s="39"/>
      <c r="J2194" s="38"/>
      <c r="K2194" s="198"/>
      <c r="L2194" s="38"/>
      <c r="M2194" s="38"/>
      <c r="N2194" s="38"/>
      <c r="O2194" s="38"/>
      <c r="P2194" s="40" t="str" cm="1">
        <f t="array" ref="P2194">IF(N2194="","",IFERROR(_xlfn.XLOOKUP(F2194&amp;"|"&amp;J2194&amp;"|"&amp;O2194,PRICES!$C$2:$C$659&amp;"|"&amp;PRICES!$B$2:$B$659&amp;"|"&amp;PRICES!$D$2:$D$659,PRICES!$E$2:$E$659),"Not Found"))</f>
        <v/>
      </c>
      <c r="Q2194" s="100" t="str">
        <f>IF(N2194=0,"",SUMIFS(PRICES!$G$2:$G$658,PRICES!$B$2:$B$658,'MAIN TABLE-1 AUTOMATED'!J2194,PRICES!$C$2:$C$658,'MAIN TABLE-1 AUTOMATED'!F2194,PRICES!$D$2:$D$658,'MAIN TABLE-1 AUTOMATED'!O2194))</f>
        <v/>
      </c>
      <c r="R2194" s="41" t="str">
        <f>IF(Table1[[#This Row],[QUANTITY]]=0,"",Table1[[#This Row],[UNIT PRICE]]*Table1[[#This Row],[QUANTITY]])</f>
        <v/>
      </c>
      <c r="S2194" s="89"/>
      <c r="T2194" s="38"/>
      <c r="U2194" s="43"/>
      <c r="V2194" s="42" t="str">
        <f>IF(Table1[[#This Row],[DATE]]=0,"",YEAR(E2194))</f>
        <v/>
      </c>
      <c r="W2194" s="40" t="str">
        <f t="shared" si="68"/>
        <v/>
      </c>
      <c r="X2194" s="40" t="str">
        <f t="shared" si="69"/>
        <v/>
      </c>
      <c r="Y2194" s="40" t="str">
        <f>TEXT(Table1[[#This Row],[YEAR]],"0000")&amp;"-"&amp;Table1[[#This Row],[MONTH]]</f>
        <v>-</v>
      </c>
    </row>
    <row r="2195" spans="1:25" ht="15" customHeight="1" x14ac:dyDescent="0.35">
      <c r="A2195" s="24"/>
      <c r="B2195" s="38"/>
      <c r="C2195" s="38"/>
      <c r="D2195" s="38"/>
      <c r="E2195" s="37"/>
      <c r="F2195" s="38"/>
      <c r="G2195" s="198"/>
      <c r="H2195" s="198"/>
      <c r="I2195" s="39"/>
      <c r="J2195" s="38"/>
      <c r="K2195" s="198"/>
      <c r="L2195" s="38"/>
      <c r="M2195" s="38"/>
      <c r="N2195" s="38"/>
      <c r="O2195" s="38"/>
      <c r="P2195" s="40" t="str" cm="1">
        <f t="array" ref="P2195">IF(N2195="","",IFERROR(_xlfn.XLOOKUP(F2195&amp;"|"&amp;J2195&amp;"|"&amp;O2195,PRICES!$C$2:$C$659&amp;"|"&amp;PRICES!$B$2:$B$659&amp;"|"&amp;PRICES!$D$2:$D$659,PRICES!$E$2:$E$659),"Not Found"))</f>
        <v/>
      </c>
      <c r="Q2195" s="100" t="str">
        <f>IF(N2195=0,"",SUMIFS(PRICES!$G$2:$G$658,PRICES!$B$2:$B$658,'MAIN TABLE-1 AUTOMATED'!J2195,PRICES!$C$2:$C$658,'MAIN TABLE-1 AUTOMATED'!F2195,PRICES!$D$2:$D$658,'MAIN TABLE-1 AUTOMATED'!O2195))</f>
        <v/>
      </c>
      <c r="R2195" s="41" t="str">
        <f>IF(Table1[[#This Row],[QUANTITY]]=0,"",Table1[[#This Row],[UNIT PRICE]]*Table1[[#This Row],[QUANTITY]])</f>
        <v/>
      </c>
      <c r="S2195" s="89"/>
      <c r="T2195" s="38"/>
      <c r="U2195" s="43"/>
      <c r="V2195" s="42" t="str">
        <f>IF(Table1[[#This Row],[DATE]]=0,"",YEAR(E2195))</f>
        <v/>
      </c>
      <c r="W2195" s="40" t="str">
        <f t="shared" si="68"/>
        <v/>
      </c>
      <c r="X2195" s="40" t="str">
        <f t="shared" si="69"/>
        <v/>
      </c>
      <c r="Y2195" s="40" t="str">
        <f>TEXT(Table1[[#This Row],[YEAR]],"0000")&amp;"-"&amp;Table1[[#This Row],[MONTH]]</f>
        <v>-</v>
      </c>
    </row>
    <row r="2196" spans="1:25" ht="15" customHeight="1" x14ac:dyDescent="0.35">
      <c r="A2196" s="24"/>
      <c r="B2196" s="38"/>
      <c r="C2196" s="38"/>
      <c r="D2196" s="38"/>
      <c r="E2196" s="37"/>
      <c r="F2196" s="38"/>
      <c r="G2196" s="198"/>
      <c r="H2196" s="198"/>
      <c r="I2196" s="39"/>
      <c r="J2196" s="38"/>
      <c r="K2196" s="198"/>
      <c r="L2196" s="38"/>
      <c r="M2196" s="38"/>
      <c r="N2196" s="38"/>
      <c r="O2196" s="38"/>
      <c r="P2196" s="40" t="str" cm="1">
        <f t="array" ref="P2196">IF(N2196="","",IFERROR(_xlfn.XLOOKUP(F2196&amp;"|"&amp;J2196&amp;"|"&amp;O2196,PRICES!$C$2:$C$659&amp;"|"&amp;PRICES!$B$2:$B$659&amp;"|"&amp;PRICES!$D$2:$D$659,PRICES!$E$2:$E$659),"Not Found"))</f>
        <v/>
      </c>
      <c r="Q2196" s="100" t="str">
        <f>IF(N2196=0,"",SUMIFS(PRICES!$G$2:$G$658,PRICES!$B$2:$B$658,'MAIN TABLE-1 AUTOMATED'!J2196,PRICES!$C$2:$C$658,'MAIN TABLE-1 AUTOMATED'!F2196,PRICES!$D$2:$D$658,'MAIN TABLE-1 AUTOMATED'!O2196))</f>
        <v/>
      </c>
      <c r="R2196" s="41" t="str">
        <f>IF(Table1[[#This Row],[QUANTITY]]=0,"",Table1[[#This Row],[UNIT PRICE]]*Table1[[#This Row],[QUANTITY]])</f>
        <v/>
      </c>
      <c r="S2196" s="89"/>
      <c r="T2196" s="38"/>
      <c r="U2196" s="43"/>
      <c r="V2196" s="42" t="str">
        <f>IF(Table1[[#This Row],[DATE]]=0,"",YEAR(E2196))</f>
        <v/>
      </c>
      <c r="W2196" s="40" t="str">
        <f t="shared" si="68"/>
        <v/>
      </c>
      <c r="X2196" s="40" t="str">
        <f t="shared" si="69"/>
        <v/>
      </c>
      <c r="Y2196" s="40" t="str">
        <f>TEXT(Table1[[#This Row],[YEAR]],"0000")&amp;"-"&amp;Table1[[#This Row],[MONTH]]</f>
        <v>-</v>
      </c>
    </row>
    <row r="2197" spans="1:25" ht="15" customHeight="1" x14ac:dyDescent="0.35">
      <c r="A2197" s="24"/>
      <c r="B2197" s="38"/>
      <c r="C2197" s="38"/>
      <c r="D2197" s="38"/>
      <c r="E2197" s="37"/>
      <c r="F2197" s="38"/>
      <c r="G2197" s="198"/>
      <c r="H2197" s="198"/>
      <c r="I2197" s="39"/>
      <c r="J2197" s="38"/>
      <c r="K2197" s="198"/>
      <c r="L2197" s="38"/>
      <c r="M2197" s="38"/>
      <c r="N2197" s="38"/>
      <c r="O2197" s="38"/>
      <c r="P2197" s="40" t="str" cm="1">
        <f t="array" ref="P2197">IF(N2197="","",IFERROR(_xlfn.XLOOKUP(F2197&amp;"|"&amp;J2197&amp;"|"&amp;O2197,PRICES!$C$2:$C$659&amp;"|"&amp;PRICES!$B$2:$B$659&amp;"|"&amp;PRICES!$D$2:$D$659,PRICES!$E$2:$E$659),"Not Found"))</f>
        <v/>
      </c>
      <c r="Q2197" s="100" t="str">
        <f>IF(N2197=0,"",SUMIFS(PRICES!$G$2:$G$658,PRICES!$B$2:$B$658,'MAIN TABLE-1 AUTOMATED'!J2197,PRICES!$C$2:$C$658,'MAIN TABLE-1 AUTOMATED'!F2197,PRICES!$D$2:$D$658,'MAIN TABLE-1 AUTOMATED'!O2197))</f>
        <v/>
      </c>
      <c r="R2197" s="41" t="str">
        <f>IF(Table1[[#This Row],[QUANTITY]]=0,"",Table1[[#This Row],[UNIT PRICE]]*Table1[[#This Row],[QUANTITY]])</f>
        <v/>
      </c>
      <c r="S2197" s="89"/>
      <c r="T2197" s="38"/>
      <c r="U2197" s="43"/>
      <c r="V2197" s="42" t="str">
        <f>IF(Table1[[#This Row],[DATE]]=0,"",YEAR(E2197))</f>
        <v/>
      </c>
      <c r="W2197" s="40" t="str">
        <f t="shared" si="68"/>
        <v/>
      </c>
      <c r="X2197" s="40" t="str">
        <f t="shared" si="69"/>
        <v/>
      </c>
      <c r="Y2197" s="40" t="str">
        <f>TEXT(Table1[[#This Row],[YEAR]],"0000")&amp;"-"&amp;Table1[[#This Row],[MONTH]]</f>
        <v>-</v>
      </c>
    </row>
    <row r="2198" spans="1:25" ht="15" customHeight="1" x14ac:dyDescent="0.35">
      <c r="A2198" s="24"/>
      <c r="B2198" s="38"/>
      <c r="C2198" s="38"/>
      <c r="D2198" s="38"/>
      <c r="E2198" s="37"/>
      <c r="F2198" s="38"/>
      <c r="G2198" s="198"/>
      <c r="H2198" s="198"/>
      <c r="I2198" s="39"/>
      <c r="J2198" s="38"/>
      <c r="K2198" s="198"/>
      <c r="L2198" s="38"/>
      <c r="M2198" s="38"/>
      <c r="N2198" s="38"/>
      <c r="O2198" s="38"/>
      <c r="P2198" s="40" t="str" cm="1">
        <f t="array" ref="P2198">IF(N2198="","",IFERROR(_xlfn.XLOOKUP(F2198&amp;"|"&amp;J2198&amp;"|"&amp;O2198,PRICES!$C$2:$C$659&amp;"|"&amp;PRICES!$B$2:$B$659&amp;"|"&amp;PRICES!$D$2:$D$659,PRICES!$E$2:$E$659),"Not Found"))</f>
        <v/>
      </c>
      <c r="Q2198" s="100" t="str">
        <f>IF(N2198=0,"",SUMIFS(PRICES!$G$2:$G$658,PRICES!$B$2:$B$658,'MAIN TABLE-1 AUTOMATED'!J2198,PRICES!$C$2:$C$658,'MAIN TABLE-1 AUTOMATED'!F2198,PRICES!$D$2:$D$658,'MAIN TABLE-1 AUTOMATED'!O2198))</f>
        <v/>
      </c>
      <c r="R2198" s="41" t="str">
        <f>IF(Table1[[#This Row],[QUANTITY]]=0,"",Table1[[#This Row],[UNIT PRICE]]*Table1[[#This Row],[QUANTITY]])</f>
        <v/>
      </c>
      <c r="S2198" s="89"/>
      <c r="T2198" s="38"/>
      <c r="U2198" s="43"/>
      <c r="V2198" s="42" t="str">
        <f>IF(Table1[[#This Row],[DATE]]=0,"",YEAR(E2198))</f>
        <v/>
      </c>
      <c r="W2198" s="40" t="str">
        <f t="shared" si="68"/>
        <v/>
      </c>
      <c r="X2198" s="40" t="str">
        <f t="shared" si="69"/>
        <v/>
      </c>
      <c r="Y2198" s="40" t="str">
        <f>TEXT(Table1[[#This Row],[YEAR]],"0000")&amp;"-"&amp;Table1[[#This Row],[MONTH]]</f>
        <v>-</v>
      </c>
    </row>
    <row r="2199" spans="1:25" ht="15" customHeight="1" x14ac:dyDescent="0.35">
      <c r="A2199" s="24"/>
      <c r="B2199" s="38"/>
      <c r="C2199" s="38"/>
      <c r="D2199" s="38"/>
      <c r="E2199" s="37"/>
      <c r="F2199" s="38"/>
      <c r="G2199" s="198"/>
      <c r="H2199" s="198"/>
      <c r="I2199" s="39"/>
      <c r="J2199" s="38"/>
      <c r="K2199" s="198"/>
      <c r="L2199" s="38"/>
      <c r="M2199" s="38"/>
      <c r="N2199" s="38"/>
      <c r="O2199" s="38"/>
      <c r="P2199" s="40" t="str" cm="1">
        <f t="array" ref="P2199">IF(N2199="","",IFERROR(_xlfn.XLOOKUP(F2199&amp;"|"&amp;J2199&amp;"|"&amp;O2199,PRICES!$C$2:$C$659&amp;"|"&amp;PRICES!$B$2:$B$659&amp;"|"&amp;PRICES!$D$2:$D$659,PRICES!$E$2:$E$659),"Not Found"))</f>
        <v/>
      </c>
      <c r="Q2199" s="100" t="str">
        <f>IF(N2199=0,"",SUMIFS(PRICES!$G$2:$G$658,PRICES!$B$2:$B$658,'MAIN TABLE-1 AUTOMATED'!J2199,PRICES!$C$2:$C$658,'MAIN TABLE-1 AUTOMATED'!F2199,PRICES!$D$2:$D$658,'MAIN TABLE-1 AUTOMATED'!O2199))</f>
        <v/>
      </c>
      <c r="R2199" s="41" t="str">
        <f>IF(Table1[[#This Row],[QUANTITY]]=0,"",Table1[[#This Row],[UNIT PRICE]]*Table1[[#This Row],[QUANTITY]])</f>
        <v/>
      </c>
      <c r="S2199" s="89"/>
      <c r="T2199" s="38"/>
      <c r="U2199" s="43"/>
      <c r="V2199" s="42" t="str">
        <f>IF(Table1[[#This Row],[DATE]]=0,"",YEAR(E2199))</f>
        <v/>
      </c>
      <c r="W2199" s="40" t="str">
        <f t="shared" si="68"/>
        <v/>
      </c>
      <c r="X2199" s="40" t="str">
        <f t="shared" si="69"/>
        <v/>
      </c>
      <c r="Y2199" s="40" t="str">
        <f>TEXT(Table1[[#This Row],[YEAR]],"0000")&amp;"-"&amp;Table1[[#This Row],[MONTH]]</f>
        <v>-</v>
      </c>
    </row>
    <row r="2200" spans="1:25" ht="15" customHeight="1" x14ac:dyDescent="0.35">
      <c r="A2200" s="24"/>
      <c r="B2200" s="38"/>
      <c r="C2200" s="38"/>
      <c r="D2200" s="38"/>
      <c r="E2200" s="37"/>
      <c r="F2200" s="38"/>
      <c r="G2200" s="198"/>
      <c r="H2200" s="198"/>
      <c r="I2200" s="39"/>
      <c r="J2200" s="38"/>
      <c r="K2200" s="198"/>
      <c r="L2200" s="38"/>
      <c r="M2200" s="38"/>
      <c r="N2200" s="38"/>
      <c r="O2200" s="38"/>
      <c r="P2200" s="40" t="str" cm="1">
        <f t="array" ref="P2200">IF(N2200="","",IFERROR(_xlfn.XLOOKUP(F2200&amp;"|"&amp;J2200&amp;"|"&amp;O2200,PRICES!$C$2:$C$659&amp;"|"&amp;PRICES!$B$2:$B$659&amp;"|"&amp;PRICES!$D$2:$D$659,PRICES!$E$2:$E$659),"Not Found"))</f>
        <v/>
      </c>
      <c r="Q2200" s="100" t="str">
        <f>IF(N2200=0,"",SUMIFS(PRICES!$G$2:$G$658,PRICES!$B$2:$B$658,'MAIN TABLE-1 AUTOMATED'!J2200,PRICES!$C$2:$C$658,'MAIN TABLE-1 AUTOMATED'!F2200,PRICES!$D$2:$D$658,'MAIN TABLE-1 AUTOMATED'!O2200))</f>
        <v/>
      </c>
      <c r="R2200" s="41" t="str">
        <f>IF(Table1[[#This Row],[QUANTITY]]=0,"",Table1[[#This Row],[UNIT PRICE]]*Table1[[#This Row],[QUANTITY]])</f>
        <v/>
      </c>
      <c r="S2200" s="89"/>
      <c r="T2200" s="38"/>
      <c r="U2200" s="43"/>
      <c r="V2200" s="42" t="str">
        <f>IF(Table1[[#This Row],[DATE]]=0,"",YEAR(E2200))</f>
        <v/>
      </c>
      <c r="W2200" s="40" t="str">
        <f t="shared" si="68"/>
        <v/>
      </c>
      <c r="X2200" s="40" t="str">
        <f t="shared" si="69"/>
        <v/>
      </c>
      <c r="Y2200" s="40" t="str">
        <f>TEXT(Table1[[#This Row],[YEAR]],"0000")&amp;"-"&amp;Table1[[#This Row],[MONTH]]</f>
        <v>-</v>
      </c>
    </row>
    <row r="2201" spans="1:25" ht="15" customHeight="1" x14ac:dyDescent="0.35">
      <c r="A2201" s="24"/>
      <c r="B2201" s="38"/>
      <c r="C2201" s="38"/>
      <c r="D2201" s="38"/>
      <c r="E2201" s="37"/>
      <c r="F2201" s="38"/>
      <c r="G2201" s="198"/>
      <c r="H2201" s="198"/>
      <c r="I2201" s="39"/>
      <c r="J2201" s="38"/>
      <c r="K2201" s="198"/>
      <c r="L2201" s="38"/>
      <c r="M2201" s="38"/>
      <c r="N2201" s="38"/>
      <c r="O2201" s="38"/>
      <c r="P2201" s="40" t="str" cm="1">
        <f t="array" ref="P2201">IF(N2201="","",IFERROR(_xlfn.XLOOKUP(F2201&amp;"|"&amp;J2201&amp;"|"&amp;O2201,PRICES!$C$2:$C$659&amp;"|"&amp;PRICES!$B$2:$B$659&amp;"|"&amp;PRICES!$D$2:$D$659,PRICES!$E$2:$E$659),"Not Found"))</f>
        <v/>
      </c>
      <c r="Q2201" s="100" t="str">
        <f>IF(N2201=0,"",SUMIFS(PRICES!$G$2:$G$658,PRICES!$B$2:$B$658,'MAIN TABLE-1 AUTOMATED'!J2201,PRICES!$C$2:$C$658,'MAIN TABLE-1 AUTOMATED'!F2201,PRICES!$D$2:$D$658,'MAIN TABLE-1 AUTOMATED'!O2201))</f>
        <v/>
      </c>
      <c r="R2201" s="41" t="str">
        <f>IF(Table1[[#This Row],[QUANTITY]]=0,"",Table1[[#This Row],[UNIT PRICE]]*Table1[[#This Row],[QUANTITY]])</f>
        <v/>
      </c>
      <c r="S2201" s="89"/>
      <c r="T2201" s="38"/>
      <c r="U2201" s="43"/>
      <c r="V2201" s="42" t="str">
        <f>IF(Table1[[#This Row],[DATE]]=0,"",YEAR(E2201))</f>
        <v/>
      </c>
      <c r="W2201" s="40" t="str">
        <f t="shared" si="68"/>
        <v/>
      </c>
      <c r="X2201" s="40" t="str">
        <f t="shared" si="69"/>
        <v/>
      </c>
      <c r="Y2201" s="40" t="str">
        <f>TEXT(Table1[[#This Row],[YEAR]],"0000")&amp;"-"&amp;Table1[[#This Row],[MONTH]]</f>
        <v>-</v>
      </c>
    </row>
    <row r="2202" spans="1:25" ht="15" customHeight="1" x14ac:dyDescent="0.35">
      <c r="A2202" s="24"/>
      <c r="B2202" s="38"/>
      <c r="C2202" s="38"/>
      <c r="D2202" s="38"/>
      <c r="E2202" s="37"/>
      <c r="F2202" s="38"/>
      <c r="G2202" s="198"/>
      <c r="H2202" s="198"/>
      <c r="I2202" s="39"/>
      <c r="J2202" s="38"/>
      <c r="K2202" s="198"/>
      <c r="L2202" s="38"/>
      <c r="M2202" s="38"/>
      <c r="N2202" s="38"/>
      <c r="O2202" s="38"/>
      <c r="P2202" s="40" t="str" cm="1">
        <f t="array" ref="P2202">IF(N2202="","",IFERROR(_xlfn.XLOOKUP(F2202&amp;"|"&amp;J2202&amp;"|"&amp;O2202,PRICES!$C$2:$C$659&amp;"|"&amp;PRICES!$B$2:$B$659&amp;"|"&amp;PRICES!$D$2:$D$659,PRICES!$E$2:$E$659),"Not Found"))</f>
        <v/>
      </c>
      <c r="Q2202" s="100" t="str">
        <f>IF(N2202=0,"",SUMIFS(PRICES!$G$2:$G$658,PRICES!$B$2:$B$658,'MAIN TABLE-1 AUTOMATED'!J2202,PRICES!$C$2:$C$658,'MAIN TABLE-1 AUTOMATED'!F2202,PRICES!$D$2:$D$658,'MAIN TABLE-1 AUTOMATED'!O2202))</f>
        <v/>
      </c>
      <c r="R2202" s="41" t="str">
        <f>IF(Table1[[#This Row],[QUANTITY]]=0,"",Table1[[#This Row],[UNIT PRICE]]*Table1[[#This Row],[QUANTITY]])</f>
        <v/>
      </c>
      <c r="S2202" s="89"/>
      <c r="T2202" s="38"/>
      <c r="U2202" s="43"/>
      <c r="V2202" s="42" t="str">
        <f>IF(Table1[[#This Row],[DATE]]=0,"",YEAR(E2202))</f>
        <v/>
      </c>
      <c r="W2202" s="40" t="str">
        <f t="shared" si="68"/>
        <v/>
      </c>
      <c r="X2202" s="40" t="str">
        <f t="shared" si="69"/>
        <v/>
      </c>
      <c r="Y2202" s="40" t="str">
        <f>TEXT(Table1[[#This Row],[YEAR]],"0000")&amp;"-"&amp;Table1[[#This Row],[MONTH]]</f>
        <v>-</v>
      </c>
    </row>
    <row r="2203" spans="1:25" ht="15" customHeight="1" x14ac:dyDescent="0.35">
      <c r="A2203" s="24"/>
      <c r="B2203" s="38"/>
      <c r="C2203" s="38"/>
      <c r="D2203" s="38"/>
      <c r="E2203" s="37"/>
      <c r="F2203" s="38"/>
      <c r="G2203" s="198"/>
      <c r="H2203" s="198"/>
      <c r="I2203" s="39"/>
      <c r="J2203" s="38"/>
      <c r="K2203" s="198"/>
      <c r="L2203" s="38"/>
      <c r="M2203" s="38"/>
      <c r="N2203" s="38"/>
      <c r="O2203" s="38"/>
      <c r="P2203" s="40" t="str" cm="1">
        <f t="array" ref="P2203">IF(N2203="","",IFERROR(_xlfn.XLOOKUP(F2203&amp;"|"&amp;J2203&amp;"|"&amp;O2203,PRICES!$C$2:$C$659&amp;"|"&amp;PRICES!$B$2:$B$659&amp;"|"&amp;PRICES!$D$2:$D$659,PRICES!$E$2:$E$659),"Not Found"))</f>
        <v/>
      </c>
      <c r="Q2203" s="100" t="str">
        <f>IF(N2203=0,"",SUMIFS(PRICES!$G$2:$G$658,PRICES!$B$2:$B$658,'MAIN TABLE-1 AUTOMATED'!J2203,PRICES!$C$2:$C$658,'MAIN TABLE-1 AUTOMATED'!F2203,PRICES!$D$2:$D$658,'MAIN TABLE-1 AUTOMATED'!O2203))</f>
        <v/>
      </c>
      <c r="R2203" s="41" t="str">
        <f>IF(Table1[[#This Row],[QUANTITY]]=0,"",Table1[[#This Row],[UNIT PRICE]]*Table1[[#This Row],[QUANTITY]])</f>
        <v/>
      </c>
      <c r="S2203" s="89"/>
      <c r="T2203" s="38"/>
      <c r="U2203" s="43"/>
      <c r="V2203" s="42" t="str">
        <f>IF(Table1[[#This Row],[DATE]]=0,"",YEAR(E2203))</f>
        <v/>
      </c>
      <c r="W2203" s="40" t="str">
        <f t="shared" si="68"/>
        <v/>
      </c>
      <c r="X2203" s="40" t="str">
        <f t="shared" si="69"/>
        <v/>
      </c>
      <c r="Y2203" s="40" t="str">
        <f>TEXT(Table1[[#This Row],[YEAR]],"0000")&amp;"-"&amp;Table1[[#This Row],[MONTH]]</f>
        <v>-</v>
      </c>
    </row>
    <row r="2204" spans="1:25" ht="15" customHeight="1" x14ac:dyDescent="0.35">
      <c r="A2204" s="24"/>
      <c r="B2204" s="38"/>
      <c r="C2204" s="38"/>
      <c r="D2204" s="38"/>
      <c r="E2204" s="37"/>
      <c r="F2204" s="38"/>
      <c r="G2204" s="198"/>
      <c r="H2204" s="198"/>
      <c r="I2204" s="39"/>
      <c r="J2204" s="38"/>
      <c r="K2204" s="198"/>
      <c r="L2204" s="38"/>
      <c r="M2204" s="38"/>
      <c r="N2204" s="38"/>
      <c r="O2204" s="38"/>
      <c r="P2204" s="40" t="str" cm="1">
        <f t="array" ref="P2204">IF(N2204="","",IFERROR(_xlfn.XLOOKUP(F2204&amp;"|"&amp;J2204&amp;"|"&amp;O2204,PRICES!$C$2:$C$659&amp;"|"&amp;PRICES!$B$2:$B$659&amp;"|"&amp;PRICES!$D$2:$D$659,PRICES!$E$2:$E$659),"Not Found"))</f>
        <v/>
      </c>
      <c r="Q2204" s="100" t="str">
        <f>IF(N2204=0,"",SUMIFS(PRICES!$G$2:$G$658,PRICES!$B$2:$B$658,'MAIN TABLE-1 AUTOMATED'!J2204,PRICES!$C$2:$C$658,'MAIN TABLE-1 AUTOMATED'!F2204,PRICES!$D$2:$D$658,'MAIN TABLE-1 AUTOMATED'!O2204))</f>
        <v/>
      </c>
      <c r="R2204" s="41" t="str">
        <f>IF(Table1[[#This Row],[QUANTITY]]=0,"",Table1[[#This Row],[UNIT PRICE]]*Table1[[#This Row],[QUANTITY]])</f>
        <v/>
      </c>
      <c r="S2204" s="89"/>
      <c r="T2204" s="38"/>
      <c r="U2204" s="43"/>
      <c r="V2204" s="42" t="str">
        <f>IF(Table1[[#This Row],[DATE]]=0,"",YEAR(E2204))</f>
        <v/>
      </c>
      <c r="W2204" s="40" t="str">
        <f t="shared" si="68"/>
        <v/>
      </c>
      <c r="X2204" s="40" t="str">
        <f t="shared" si="69"/>
        <v/>
      </c>
      <c r="Y2204" s="40" t="str">
        <f>TEXT(Table1[[#This Row],[YEAR]],"0000")&amp;"-"&amp;Table1[[#This Row],[MONTH]]</f>
        <v>-</v>
      </c>
    </row>
    <row r="2205" spans="1:25" ht="15" customHeight="1" x14ac:dyDescent="0.35">
      <c r="A2205" s="24"/>
      <c r="B2205" s="38"/>
      <c r="C2205" s="38"/>
      <c r="D2205" s="38"/>
      <c r="E2205" s="37"/>
      <c r="F2205" s="38"/>
      <c r="G2205" s="198"/>
      <c r="H2205" s="198"/>
      <c r="I2205" s="39"/>
      <c r="J2205" s="38"/>
      <c r="K2205" s="198"/>
      <c r="L2205" s="38"/>
      <c r="M2205" s="38"/>
      <c r="N2205" s="38"/>
      <c r="O2205" s="38"/>
      <c r="P2205" s="40" t="str" cm="1">
        <f t="array" ref="P2205">IF(N2205="","",IFERROR(_xlfn.XLOOKUP(F2205&amp;"|"&amp;J2205&amp;"|"&amp;O2205,PRICES!$C$2:$C$659&amp;"|"&amp;PRICES!$B$2:$B$659&amp;"|"&amp;PRICES!$D$2:$D$659,PRICES!$E$2:$E$659),"Not Found"))</f>
        <v/>
      </c>
      <c r="Q2205" s="100" t="str">
        <f>IF(N2205=0,"",SUMIFS(PRICES!$G$2:$G$658,PRICES!$B$2:$B$658,'MAIN TABLE-1 AUTOMATED'!J2205,PRICES!$C$2:$C$658,'MAIN TABLE-1 AUTOMATED'!F2205,PRICES!$D$2:$D$658,'MAIN TABLE-1 AUTOMATED'!O2205))</f>
        <v/>
      </c>
      <c r="R2205" s="41" t="str">
        <f>IF(Table1[[#This Row],[QUANTITY]]=0,"",Table1[[#This Row],[UNIT PRICE]]*Table1[[#This Row],[QUANTITY]])</f>
        <v/>
      </c>
      <c r="S2205" s="89"/>
      <c r="T2205" s="38"/>
      <c r="U2205" s="43"/>
      <c r="V2205" s="42" t="str">
        <f>IF(Table1[[#This Row],[DATE]]=0,"",YEAR(E2205))</f>
        <v/>
      </c>
      <c r="W2205" s="40" t="str">
        <f t="shared" si="68"/>
        <v/>
      </c>
      <c r="X2205" s="40" t="str">
        <f t="shared" si="69"/>
        <v/>
      </c>
      <c r="Y2205" s="40" t="str">
        <f>TEXT(Table1[[#This Row],[YEAR]],"0000")&amp;"-"&amp;Table1[[#This Row],[MONTH]]</f>
        <v>-</v>
      </c>
    </row>
    <row r="2206" spans="1:25" ht="15" customHeight="1" x14ac:dyDescent="0.35">
      <c r="A2206" s="24"/>
      <c r="B2206" s="38"/>
      <c r="C2206" s="38"/>
      <c r="D2206" s="38"/>
      <c r="E2206" s="37"/>
      <c r="F2206" s="38"/>
      <c r="G2206" s="198"/>
      <c r="H2206" s="198"/>
      <c r="I2206" s="39"/>
      <c r="J2206" s="38"/>
      <c r="K2206" s="198"/>
      <c r="L2206" s="38"/>
      <c r="M2206" s="38"/>
      <c r="N2206" s="38"/>
      <c r="O2206" s="38"/>
      <c r="P2206" s="40" t="str" cm="1">
        <f t="array" ref="P2206">IF(N2206="","",IFERROR(_xlfn.XLOOKUP(F2206&amp;"|"&amp;J2206&amp;"|"&amp;O2206,PRICES!$C$2:$C$659&amp;"|"&amp;PRICES!$B$2:$B$659&amp;"|"&amp;PRICES!$D$2:$D$659,PRICES!$E$2:$E$659),"Not Found"))</f>
        <v/>
      </c>
      <c r="Q2206" s="100" t="str">
        <f>IF(N2206=0,"",SUMIFS(PRICES!$G$2:$G$658,PRICES!$B$2:$B$658,'MAIN TABLE-1 AUTOMATED'!J2206,PRICES!$C$2:$C$658,'MAIN TABLE-1 AUTOMATED'!F2206,PRICES!$D$2:$D$658,'MAIN TABLE-1 AUTOMATED'!O2206))</f>
        <v/>
      </c>
      <c r="R2206" s="41" t="str">
        <f>IF(Table1[[#This Row],[QUANTITY]]=0,"",Table1[[#This Row],[UNIT PRICE]]*Table1[[#This Row],[QUANTITY]])</f>
        <v/>
      </c>
      <c r="S2206" s="89"/>
      <c r="T2206" s="38"/>
      <c r="U2206" s="43"/>
      <c r="V2206" s="42" t="str">
        <f>IF(Table1[[#This Row],[DATE]]=0,"",YEAR(E2206))</f>
        <v/>
      </c>
      <c r="W2206" s="40" t="str">
        <f t="shared" si="68"/>
        <v/>
      </c>
      <c r="X2206" s="40" t="str">
        <f t="shared" si="69"/>
        <v/>
      </c>
      <c r="Y2206" s="40" t="str">
        <f>TEXT(Table1[[#This Row],[YEAR]],"0000")&amp;"-"&amp;Table1[[#This Row],[MONTH]]</f>
        <v>-</v>
      </c>
    </row>
    <row r="2207" spans="1:25" ht="15" customHeight="1" x14ac:dyDescent="0.35">
      <c r="A2207" s="24"/>
      <c r="B2207" s="38"/>
      <c r="C2207" s="38"/>
      <c r="D2207" s="38"/>
      <c r="E2207" s="37"/>
      <c r="F2207" s="38"/>
      <c r="G2207" s="198"/>
      <c r="H2207" s="198"/>
      <c r="I2207" s="39"/>
      <c r="J2207" s="38"/>
      <c r="K2207" s="198"/>
      <c r="L2207" s="38"/>
      <c r="M2207" s="38"/>
      <c r="N2207" s="38"/>
      <c r="O2207" s="38"/>
      <c r="P2207" s="40" t="str" cm="1">
        <f t="array" ref="P2207">IF(N2207="","",IFERROR(_xlfn.XLOOKUP(F2207&amp;"|"&amp;J2207&amp;"|"&amp;O2207,PRICES!$C$2:$C$659&amp;"|"&amp;PRICES!$B$2:$B$659&amp;"|"&amp;PRICES!$D$2:$D$659,PRICES!$E$2:$E$659),"Not Found"))</f>
        <v/>
      </c>
      <c r="Q2207" s="100" t="str">
        <f>IF(N2207=0,"",SUMIFS(PRICES!$G$2:$G$658,PRICES!$B$2:$B$658,'MAIN TABLE-1 AUTOMATED'!J2207,PRICES!$C$2:$C$658,'MAIN TABLE-1 AUTOMATED'!F2207,PRICES!$D$2:$D$658,'MAIN TABLE-1 AUTOMATED'!O2207))</f>
        <v/>
      </c>
      <c r="R2207" s="41" t="str">
        <f>IF(Table1[[#This Row],[QUANTITY]]=0,"",Table1[[#This Row],[UNIT PRICE]]*Table1[[#This Row],[QUANTITY]])</f>
        <v/>
      </c>
      <c r="S2207" s="89"/>
      <c r="T2207" s="38"/>
      <c r="U2207" s="43"/>
      <c r="V2207" s="42" t="str">
        <f>IF(Table1[[#This Row],[DATE]]=0,"",YEAR(E2207))</f>
        <v/>
      </c>
      <c r="W2207" s="40" t="str">
        <f t="shared" ref="W2207:W2270" si="70">IF(E2207=0,"",MONTH(E2207))</f>
        <v/>
      </c>
      <c r="X2207" s="40" t="str">
        <f t="shared" ref="X2207:X2270" si="71">IF(E2207=0,"",WEEKNUM(E2207))</f>
        <v/>
      </c>
      <c r="Y2207" s="40" t="str">
        <f>TEXT(Table1[[#This Row],[YEAR]],"0000")&amp;"-"&amp;Table1[[#This Row],[MONTH]]</f>
        <v>-</v>
      </c>
    </row>
    <row r="2208" spans="1:25" ht="15" customHeight="1" x14ac:dyDescent="0.35">
      <c r="A2208" s="24"/>
      <c r="B2208" s="38"/>
      <c r="C2208" s="38"/>
      <c r="D2208" s="38"/>
      <c r="E2208" s="37"/>
      <c r="F2208" s="38"/>
      <c r="G2208" s="198"/>
      <c r="H2208" s="198"/>
      <c r="I2208" s="39"/>
      <c r="J2208" s="38"/>
      <c r="K2208" s="198"/>
      <c r="L2208" s="38"/>
      <c r="M2208" s="38"/>
      <c r="N2208" s="38"/>
      <c r="O2208" s="38"/>
      <c r="P2208" s="40" t="str" cm="1">
        <f t="array" ref="P2208">IF(N2208="","",IFERROR(_xlfn.XLOOKUP(F2208&amp;"|"&amp;J2208&amp;"|"&amp;O2208,PRICES!$C$2:$C$659&amp;"|"&amp;PRICES!$B$2:$B$659&amp;"|"&amp;PRICES!$D$2:$D$659,PRICES!$E$2:$E$659),"Not Found"))</f>
        <v/>
      </c>
      <c r="Q2208" s="100" t="str">
        <f>IF(N2208=0,"",SUMIFS(PRICES!$G$2:$G$658,PRICES!$B$2:$B$658,'MAIN TABLE-1 AUTOMATED'!J2208,PRICES!$C$2:$C$658,'MAIN TABLE-1 AUTOMATED'!F2208,PRICES!$D$2:$D$658,'MAIN TABLE-1 AUTOMATED'!O2208))</f>
        <v/>
      </c>
      <c r="R2208" s="41" t="str">
        <f>IF(Table1[[#This Row],[QUANTITY]]=0,"",Table1[[#This Row],[UNIT PRICE]]*Table1[[#This Row],[QUANTITY]])</f>
        <v/>
      </c>
      <c r="S2208" s="89"/>
      <c r="T2208" s="38"/>
      <c r="U2208" s="43"/>
      <c r="V2208" s="42" t="str">
        <f>IF(Table1[[#This Row],[DATE]]=0,"",YEAR(E2208))</f>
        <v/>
      </c>
      <c r="W2208" s="40" t="str">
        <f t="shared" si="70"/>
        <v/>
      </c>
      <c r="X2208" s="40" t="str">
        <f t="shared" si="71"/>
        <v/>
      </c>
      <c r="Y2208" s="40" t="str">
        <f>TEXT(Table1[[#This Row],[YEAR]],"0000")&amp;"-"&amp;Table1[[#This Row],[MONTH]]</f>
        <v>-</v>
      </c>
    </row>
    <row r="2209" spans="1:25" ht="15" customHeight="1" x14ac:dyDescent="0.35">
      <c r="A2209" s="24"/>
      <c r="B2209" s="38"/>
      <c r="C2209" s="38"/>
      <c r="D2209" s="38"/>
      <c r="E2209" s="37"/>
      <c r="F2209" s="38"/>
      <c r="G2209" s="198"/>
      <c r="H2209" s="198"/>
      <c r="I2209" s="39"/>
      <c r="J2209" s="38"/>
      <c r="K2209" s="198"/>
      <c r="L2209" s="38"/>
      <c r="M2209" s="38"/>
      <c r="N2209" s="38"/>
      <c r="O2209" s="38"/>
      <c r="P2209" s="40" t="str" cm="1">
        <f t="array" ref="P2209">IF(N2209="","",IFERROR(_xlfn.XLOOKUP(F2209&amp;"|"&amp;J2209&amp;"|"&amp;O2209,PRICES!$C$2:$C$659&amp;"|"&amp;PRICES!$B$2:$B$659&amp;"|"&amp;PRICES!$D$2:$D$659,PRICES!$E$2:$E$659),"Not Found"))</f>
        <v/>
      </c>
      <c r="Q2209" s="100" t="str">
        <f>IF(N2209=0,"",SUMIFS(PRICES!$G$2:$G$658,PRICES!$B$2:$B$658,'MAIN TABLE-1 AUTOMATED'!J2209,PRICES!$C$2:$C$658,'MAIN TABLE-1 AUTOMATED'!F2209,PRICES!$D$2:$D$658,'MAIN TABLE-1 AUTOMATED'!O2209))</f>
        <v/>
      </c>
      <c r="R2209" s="41" t="str">
        <f>IF(Table1[[#This Row],[QUANTITY]]=0,"",Table1[[#This Row],[UNIT PRICE]]*Table1[[#This Row],[QUANTITY]])</f>
        <v/>
      </c>
      <c r="S2209" s="89"/>
      <c r="T2209" s="38"/>
      <c r="U2209" s="43"/>
      <c r="V2209" s="42" t="str">
        <f>IF(Table1[[#This Row],[DATE]]=0,"",YEAR(E2209))</f>
        <v/>
      </c>
      <c r="W2209" s="40" t="str">
        <f t="shared" si="70"/>
        <v/>
      </c>
      <c r="X2209" s="40" t="str">
        <f t="shared" si="71"/>
        <v/>
      </c>
      <c r="Y2209" s="40" t="str">
        <f>TEXT(Table1[[#This Row],[YEAR]],"0000")&amp;"-"&amp;Table1[[#This Row],[MONTH]]</f>
        <v>-</v>
      </c>
    </row>
    <row r="2210" spans="1:25" ht="15" customHeight="1" x14ac:dyDescent="0.35">
      <c r="A2210" s="24"/>
      <c r="B2210" s="38"/>
      <c r="C2210" s="38"/>
      <c r="D2210" s="38"/>
      <c r="E2210" s="37"/>
      <c r="F2210" s="38"/>
      <c r="G2210" s="198"/>
      <c r="H2210" s="198"/>
      <c r="I2210" s="39"/>
      <c r="J2210" s="38"/>
      <c r="K2210" s="198"/>
      <c r="L2210" s="38"/>
      <c r="M2210" s="38"/>
      <c r="N2210" s="38"/>
      <c r="O2210" s="38"/>
      <c r="P2210" s="40" t="str" cm="1">
        <f t="array" ref="P2210">IF(N2210="","",IFERROR(_xlfn.XLOOKUP(F2210&amp;"|"&amp;J2210&amp;"|"&amp;O2210,PRICES!$C$2:$C$659&amp;"|"&amp;PRICES!$B$2:$B$659&amp;"|"&amp;PRICES!$D$2:$D$659,PRICES!$E$2:$E$659),"Not Found"))</f>
        <v/>
      </c>
      <c r="Q2210" s="100" t="str">
        <f>IF(N2210=0,"",SUMIFS(PRICES!$G$2:$G$658,PRICES!$B$2:$B$658,'MAIN TABLE-1 AUTOMATED'!J2210,PRICES!$C$2:$C$658,'MAIN TABLE-1 AUTOMATED'!F2210,PRICES!$D$2:$D$658,'MAIN TABLE-1 AUTOMATED'!O2210))</f>
        <v/>
      </c>
      <c r="R2210" s="41" t="str">
        <f>IF(Table1[[#This Row],[QUANTITY]]=0,"",Table1[[#This Row],[UNIT PRICE]]*Table1[[#This Row],[QUANTITY]])</f>
        <v/>
      </c>
      <c r="S2210" s="89"/>
      <c r="T2210" s="38"/>
      <c r="U2210" s="43"/>
      <c r="V2210" s="42" t="str">
        <f>IF(Table1[[#This Row],[DATE]]=0,"",YEAR(E2210))</f>
        <v/>
      </c>
      <c r="W2210" s="40" t="str">
        <f t="shared" si="70"/>
        <v/>
      </c>
      <c r="X2210" s="40" t="str">
        <f t="shared" si="71"/>
        <v/>
      </c>
      <c r="Y2210" s="40" t="str">
        <f>TEXT(Table1[[#This Row],[YEAR]],"0000")&amp;"-"&amp;Table1[[#This Row],[MONTH]]</f>
        <v>-</v>
      </c>
    </row>
    <row r="2211" spans="1:25" ht="15" customHeight="1" x14ac:dyDescent="0.35">
      <c r="A2211" s="24"/>
      <c r="B2211" s="38"/>
      <c r="C2211" s="38"/>
      <c r="D2211" s="38"/>
      <c r="E2211" s="37"/>
      <c r="F2211" s="38"/>
      <c r="G2211" s="198"/>
      <c r="H2211" s="198"/>
      <c r="I2211" s="39"/>
      <c r="J2211" s="38"/>
      <c r="K2211" s="198"/>
      <c r="L2211" s="38"/>
      <c r="M2211" s="38"/>
      <c r="N2211" s="38"/>
      <c r="O2211" s="38"/>
      <c r="P2211" s="40" t="str" cm="1">
        <f t="array" ref="P2211">IF(N2211="","",IFERROR(_xlfn.XLOOKUP(F2211&amp;"|"&amp;J2211&amp;"|"&amp;O2211,PRICES!$C$2:$C$659&amp;"|"&amp;PRICES!$B$2:$B$659&amp;"|"&amp;PRICES!$D$2:$D$659,PRICES!$E$2:$E$659),"Not Found"))</f>
        <v/>
      </c>
      <c r="Q2211" s="100" t="str">
        <f>IF(N2211=0,"",SUMIFS(PRICES!$G$2:$G$658,PRICES!$B$2:$B$658,'MAIN TABLE-1 AUTOMATED'!J2211,PRICES!$C$2:$C$658,'MAIN TABLE-1 AUTOMATED'!F2211,PRICES!$D$2:$D$658,'MAIN TABLE-1 AUTOMATED'!O2211))</f>
        <v/>
      </c>
      <c r="R2211" s="41" t="str">
        <f>IF(Table1[[#This Row],[QUANTITY]]=0,"",Table1[[#This Row],[UNIT PRICE]]*Table1[[#This Row],[QUANTITY]])</f>
        <v/>
      </c>
      <c r="S2211" s="89"/>
      <c r="T2211" s="38"/>
      <c r="U2211" s="43"/>
      <c r="V2211" s="42" t="str">
        <f>IF(Table1[[#This Row],[DATE]]=0,"",YEAR(E2211))</f>
        <v/>
      </c>
      <c r="W2211" s="40" t="str">
        <f t="shared" si="70"/>
        <v/>
      </c>
      <c r="X2211" s="40" t="str">
        <f t="shared" si="71"/>
        <v/>
      </c>
      <c r="Y2211" s="40" t="str">
        <f>TEXT(Table1[[#This Row],[YEAR]],"0000")&amp;"-"&amp;Table1[[#This Row],[MONTH]]</f>
        <v>-</v>
      </c>
    </row>
    <row r="2212" spans="1:25" ht="15" customHeight="1" x14ac:dyDescent="0.35">
      <c r="A2212" s="24"/>
      <c r="B2212" s="38"/>
      <c r="C2212" s="38"/>
      <c r="D2212" s="38"/>
      <c r="E2212" s="37"/>
      <c r="F2212" s="38"/>
      <c r="G2212" s="198"/>
      <c r="H2212" s="198"/>
      <c r="I2212" s="39"/>
      <c r="J2212" s="38"/>
      <c r="K2212" s="198"/>
      <c r="L2212" s="38"/>
      <c r="M2212" s="38"/>
      <c r="N2212" s="38"/>
      <c r="O2212" s="38"/>
      <c r="P2212" s="40" t="str" cm="1">
        <f t="array" ref="P2212">IF(N2212="","",IFERROR(_xlfn.XLOOKUP(F2212&amp;"|"&amp;J2212&amp;"|"&amp;O2212,PRICES!$C$2:$C$659&amp;"|"&amp;PRICES!$B$2:$B$659&amp;"|"&amp;PRICES!$D$2:$D$659,PRICES!$E$2:$E$659),"Not Found"))</f>
        <v/>
      </c>
      <c r="Q2212" s="100" t="str">
        <f>IF(N2212=0,"",SUMIFS(PRICES!$G$2:$G$658,PRICES!$B$2:$B$658,'MAIN TABLE-1 AUTOMATED'!J2212,PRICES!$C$2:$C$658,'MAIN TABLE-1 AUTOMATED'!F2212,PRICES!$D$2:$D$658,'MAIN TABLE-1 AUTOMATED'!O2212))</f>
        <v/>
      </c>
      <c r="R2212" s="41" t="str">
        <f>IF(Table1[[#This Row],[QUANTITY]]=0,"",Table1[[#This Row],[UNIT PRICE]]*Table1[[#This Row],[QUANTITY]])</f>
        <v/>
      </c>
      <c r="S2212" s="89"/>
      <c r="T2212" s="38"/>
      <c r="U2212" s="43"/>
      <c r="V2212" s="42" t="str">
        <f>IF(Table1[[#This Row],[DATE]]=0,"",YEAR(E2212))</f>
        <v/>
      </c>
      <c r="W2212" s="40" t="str">
        <f t="shared" si="70"/>
        <v/>
      </c>
      <c r="X2212" s="40" t="str">
        <f t="shared" si="71"/>
        <v/>
      </c>
      <c r="Y2212" s="40" t="str">
        <f>TEXT(Table1[[#This Row],[YEAR]],"0000")&amp;"-"&amp;Table1[[#This Row],[MONTH]]</f>
        <v>-</v>
      </c>
    </row>
    <row r="2213" spans="1:25" ht="15" customHeight="1" x14ac:dyDescent="0.35">
      <c r="A2213" s="24"/>
      <c r="B2213" s="38"/>
      <c r="C2213" s="38"/>
      <c r="D2213" s="38"/>
      <c r="E2213" s="37"/>
      <c r="F2213" s="38"/>
      <c r="G2213" s="198"/>
      <c r="H2213" s="198"/>
      <c r="I2213" s="39"/>
      <c r="J2213" s="38"/>
      <c r="K2213" s="198"/>
      <c r="L2213" s="38"/>
      <c r="M2213" s="38"/>
      <c r="N2213" s="38"/>
      <c r="O2213" s="38"/>
      <c r="P2213" s="40" t="str" cm="1">
        <f t="array" ref="P2213">IF(N2213="","",IFERROR(_xlfn.XLOOKUP(F2213&amp;"|"&amp;J2213&amp;"|"&amp;O2213,PRICES!$C$2:$C$659&amp;"|"&amp;PRICES!$B$2:$B$659&amp;"|"&amp;PRICES!$D$2:$D$659,PRICES!$E$2:$E$659),"Not Found"))</f>
        <v/>
      </c>
      <c r="Q2213" s="100" t="str">
        <f>IF(N2213=0,"",SUMIFS(PRICES!$G$2:$G$658,PRICES!$B$2:$B$658,'MAIN TABLE-1 AUTOMATED'!J2213,PRICES!$C$2:$C$658,'MAIN TABLE-1 AUTOMATED'!F2213,PRICES!$D$2:$D$658,'MAIN TABLE-1 AUTOMATED'!O2213))</f>
        <v/>
      </c>
      <c r="R2213" s="41" t="str">
        <f>IF(Table1[[#This Row],[QUANTITY]]=0,"",Table1[[#This Row],[UNIT PRICE]]*Table1[[#This Row],[QUANTITY]])</f>
        <v/>
      </c>
      <c r="S2213" s="89"/>
      <c r="T2213" s="38"/>
      <c r="U2213" s="43"/>
      <c r="V2213" s="42" t="str">
        <f>IF(Table1[[#This Row],[DATE]]=0,"",YEAR(E2213))</f>
        <v/>
      </c>
      <c r="W2213" s="40" t="str">
        <f t="shared" si="70"/>
        <v/>
      </c>
      <c r="X2213" s="40" t="str">
        <f t="shared" si="71"/>
        <v/>
      </c>
      <c r="Y2213" s="40" t="str">
        <f>TEXT(Table1[[#This Row],[YEAR]],"0000")&amp;"-"&amp;Table1[[#This Row],[MONTH]]</f>
        <v>-</v>
      </c>
    </row>
    <row r="2214" spans="1:25" ht="15" customHeight="1" x14ac:dyDescent="0.35">
      <c r="A2214" s="24"/>
      <c r="B2214" s="38"/>
      <c r="C2214" s="38"/>
      <c r="D2214" s="38"/>
      <c r="E2214" s="37"/>
      <c r="F2214" s="38"/>
      <c r="G2214" s="198"/>
      <c r="H2214" s="198"/>
      <c r="I2214" s="39"/>
      <c r="J2214" s="38"/>
      <c r="K2214" s="198"/>
      <c r="L2214" s="38"/>
      <c r="M2214" s="38"/>
      <c r="N2214" s="38"/>
      <c r="O2214" s="38"/>
      <c r="P2214" s="40" t="str" cm="1">
        <f t="array" ref="P2214">IF(N2214="","",IFERROR(_xlfn.XLOOKUP(F2214&amp;"|"&amp;J2214&amp;"|"&amp;O2214,PRICES!$C$2:$C$659&amp;"|"&amp;PRICES!$B$2:$B$659&amp;"|"&amp;PRICES!$D$2:$D$659,PRICES!$E$2:$E$659),"Not Found"))</f>
        <v/>
      </c>
      <c r="Q2214" s="100" t="str">
        <f>IF(N2214=0,"",SUMIFS(PRICES!$G$2:$G$658,PRICES!$B$2:$B$658,'MAIN TABLE-1 AUTOMATED'!J2214,PRICES!$C$2:$C$658,'MAIN TABLE-1 AUTOMATED'!F2214,PRICES!$D$2:$D$658,'MAIN TABLE-1 AUTOMATED'!O2214))</f>
        <v/>
      </c>
      <c r="R2214" s="41" t="str">
        <f>IF(Table1[[#This Row],[QUANTITY]]=0,"",Table1[[#This Row],[UNIT PRICE]]*Table1[[#This Row],[QUANTITY]])</f>
        <v/>
      </c>
      <c r="S2214" s="89"/>
      <c r="T2214" s="38"/>
      <c r="U2214" s="43"/>
      <c r="V2214" s="42" t="str">
        <f>IF(Table1[[#This Row],[DATE]]=0,"",YEAR(E2214))</f>
        <v/>
      </c>
      <c r="W2214" s="40" t="str">
        <f t="shared" si="70"/>
        <v/>
      </c>
      <c r="X2214" s="40" t="str">
        <f t="shared" si="71"/>
        <v/>
      </c>
      <c r="Y2214" s="40" t="str">
        <f>TEXT(Table1[[#This Row],[YEAR]],"0000")&amp;"-"&amp;Table1[[#This Row],[MONTH]]</f>
        <v>-</v>
      </c>
    </row>
    <row r="2215" spans="1:25" ht="15" customHeight="1" x14ac:dyDescent="0.35">
      <c r="A2215" s="24"/>
      <c r="B2215" s="38"/>
      <c r="C2215" s="38"/>
      <c r="D2215" s="38"/>
      <c r="E2215" s="37"/>
      <c r="F2215" s="38"/>
      <c r="G2215" s="198"/>
      <c r="H2215" s="198"/>
      <c r="I2215" s="39"/>
      <c r="J2215" s="38"/>
      <c r="K2215" s="198"/>
      <c r="L2215" s="38"/>
      <c r="M2215" s="38"/>
      <c r="N2215" s="38"/>
      <c r="O2215" s="38"/>
      <c r="P2215" s="40" t="str" cm="1">
        <f t="array" ref="P2215">IF(N2215="","",IFERROR(_xlfn.XLOOKUP(F2215&amp;"|"&amp;J2215&amp;"|"&amp;O2215,PRICES!$C$2:$C$659&amp;"|"&amp;PRICES!$B$2:$B$659&amp;"|"&amp;PRICES!$D$2:$D$659,PRICES!$E$2:$E$659),"Not Found"))</f>
        <v/>
      </c>
      <c r="Q2215" s="100" t="str">
        <f>IF(N2215=0,"",SUMIFS(PRICES!$G$2:$G$658,PRICES!$B$2:$B$658,'MAIN TABLE-1 AUTOMATED'!J2215,PRICES!$C$2:$C$658,'MAIN TABLE-1 AUTOMATED'!F2215,PRICES!$D$2:$D$658,'MAIN TABLE-1 AUTOMATED'!O2215))</f>
        <v/>
      </c>
      <c r="R2215" s="41" t="str">
        <f>IF(Table1[[#This Row],[QUANTITY]]=0,"",Table1[[#This Row],[UNIT PRICE]]*Table1[[#This Row],[QUANTITY]])</f>
        <v/>
      </c>
      <c r="S2215" s="89"/>
      <c r="T2215" s="38"/>
      <c r="U2215" s="43"/>
      <c r="V2215" s="42" t="str">
        <f>IF(Table1[[#This Row],[DATE]]=0,"",YEAR(E2215))</f>
        <v/>
      </c>
      <c r="W2215" s="40" t="str">
        <f t="shared" si="70"/>
        <v/>
      </c>
      <c r="X2215" s="40" t="str">
        <f t="shared" si="71"/>
        <v/>
      </c>
      <c r="Y2215" s="40" t="str">
        <f>TEXT(Table1[[#This Row],[YEAR]],"0000")&amp;"-"&amp;Table1[[#This Row],[MONTH]]</f>
        <v>-</v>
      </c>
    </row>
    <row r="2216" spans="1:25" ht="15" customHeight="1" x14ac:dyDescent="0.35">
      <c r="A2216" s="24"/>
      <c r="B2216" s="38"/>
      <c r="C2216" s="38"/>
      <c r="D2216" s="38"/>
      <c r="E2216" s="37"/>
      <c r="F2216" s="38"/>
      <c r="G2216" s="198"/>
      <c r="H2216" s="198"/>
      <c r="I2216" s="39"/>
      <c r="J2216" s="38"/>
      <c r="K2216" s="198"/>
      <c r="L2216" s="38"/>
      <c r="M2216" s="38"/>
      <c r="N2216" s="38"/>
      <c r="O2216" s="38"/>
      <c r="P2216" s="40" t="str" cm="1">
        <f t="array" ref="P2216">IF(N2216="","",IFERROR(_xlfn.XLOOKUP(F2216&amp;"|"&amp;J2216&amp;"|"&amp;O2216,PRICES!$C$2:$C$659&amp;"|"&amp;PRICES!$B$2:$B$659&amp;"|"&amp;PRICES!$D$2:$D$659,PRICES!$E$2:$E$659),"Not Found"))</f>
        <v/>
      </c>
      <c r="Q2216" s="100" t="str">
        <f>IF(N2216=0,"",SUMIFS(PRICES!$G$2:$G$658,PRICES!$B$2:$B$658,'MAIN TABLE-1 AUTOMATED'!J2216,PRICES!$C$2:$C$658,'MAIN TABLE-1 AUTOMATED'!F2216,PRICES!$D$2:$D$658,'MAIN TABLE-1 AUTOMATED'!O2216))</f>
        <v/>
      </c>
      <c r="R2216" s="41" t="str">
        <f>IF(Table1[[#This Row],[QUANTITY]]=0,"",Table1[[#This Row],[UNIT PRICE]]*Table1[[#This Row],[QUANTITY]])</f>
        <v/>
      </c>
      <c r="S2216" s="89"/>
      <c r="T2216" s="38"/>
      <c r="U2216" s="43"/>
      <c r="V2216" s="42" t="str">
        <f>IF(Table1[[#This Row],[DATE]]=0,"",YEAR(E2216))</f>
        <v/>
      </c>
      <c r="W2216" s="40" t="str">
        <f t="shared" si="70"/>
        <v/>
      </c>
      <c r="X2216" s="40" t="str">
        <f t="shared" si="71"/>
        <v/>
      </c>
      <c r="Y2216" s="40" t="str">
        <f>TEXT(Table1[[#This Row],[YEAR]],"0000")&amp;"-"&amp;Table1[[#This Row],[MONTH]]</f>
        <v>-</v>
      </c>
    </row>
    <row r="2217" spans="1:25" ht="15" customHeight="1" x14ac:dyDescent="0.35">
      <c r="A2217" s="24"/>
      <c r="B2217" s="38"/>
      <c r="C2217" s="38"/>
      <c r="D2217" s="38"/>
      <c r="E2217" s="37"/>
      <c r="F2217" s="38"/>
      <c r="G2217" s="198"/>
      <c r="H2217" s="198"/>
      <c r="I2217" s="39"/>
      <c r="J2217" s="38"/>
      <c r="K2217" s="198"/>
      <c r="L2217" s="38"/>
      <c r="M2217" s="38"/>
      <c r="N2217" s="38"/>
      <c r="O2217" s="38"/>
      <c r="P2217" s="40" t="str" cm="1">
        <f t="array" ref="P2217">IF(N2217="","",IFERROR(_xlfn.XLOOKUP(F2217&amp;"|"&amp;J2217&amp;"|"&amp;O2217,PRICES!$C$2:$C$659&amp;"|"&amp;PRICES!$B$2:$B$659&amp;"|"&amp;PRICES!$D$2:$D$659,PRICES!$E$2:$E$659),"Not Found"))</f>
        <v/>
      </c>
      <c r="Q2217" s="100" t="str">
        <f>IF(N2217=0,"",SUMIFS(PRICES!$G$2:$G$658,PRICES!$B$2:$B$658,'MAIN TABLE-1 AUTOMATED'!J2217,PRICES!$C$2:$C$658,'MAIN TABLE-1 AUTOMATED'!F2217,PRICES!$D$2:$D$658,'MAIN TABLE-1 AUTOMATED'!O2217))</f>
        <v/>
      </c>
      <c r="R2217" s="41" t="str">
        <f>IF(Table1[[#This Row],[QUANTITY]]=0,"",Table1[[#This Row],[UNIT PRICE]]*Table1[[#This Row],[QUANTITY]])</f>
        <v/>
      </c>
      <c r="S2217" s="89"/>
      <c r="T2217" s="38"/>
      <c r="U2217" s="43"/>
      <c r="V2217" s="42" t="str">
        <f>IF(Table1[[#This Row],[DATE]]=0,"",YEAR(E2217))</f>
        <v/>
      </c>
      <c r="W2217" s="40" t="str">
        <f t="shared" si="70"/>
        <v/>
      </c>
      <c r="X2217" s="40" t="str">
        <f t="shared" si="71"/>
        <v/>
      </c>
      <c r="Y2217" s="40" t="str">
        <f>TEXT(Table1[[#This Row],[YEAR]],"0000")&amp;"-"&amp;Table1[[#This Row],[MONTH]]</f>
        <v>-</v>
      </c>
    </row>
    <row r="2218" spans="1:25" ht="15" customHeight="1" x14ac:dyDescent="0.35">
      <c r="A2218" s="24"/>
      <c r="B2218" s="38"/>
      <c r="C2218" s="38"/>
      <c r="D2218" s="38"/>
      <c r="E2218" s="37"/>
      <c r="F2218" s="38"/>
      <c r="G2218" s="198"/>
      <c r="H2218" s="198"/>
      <c r="I2218" s="39"/>
      <c r="J2218" s="38"/>
      <c r="K2218" s="198"/>
      <c r="L2218" s="38"/>
      <c r="M2218" s="38"/>
      <c r="N2218" s="38"/>
      <c r="O2218" s="38"/>
      <c r="P2218" s="40" t="str" cm="1">
        <f t="array" ref="P2218">IF(N2218="","",IFERROR(_xlfn.XLOOKUP(F2218&amp;"|"&amp;J2218&amp;"|"&amp;O2218,PRICES!$C$2:$C$659&amp;"|"&amp;PRICES!$B$2:$B$659&amp;"|"&amp;PRICES!$D$2:$D$659,PRICES!$E$2:$E$659),"Not Found"))</f>
        <v/>
      </c>
      <c r="Q2218" s="100" t="str">
        <f>IF(N2218=0,"",SUMIFS(PRICES!$G$2:$G$658,PRICES!$B$2:$B$658,'MAIN TABLE-1 AUTOMATED'!J2218,PRICES!$C$2:$C$658,'MAIN TABLE-1 AUTOMATED'!F2218,PRICES!$D$2:$D$658,'MAIN TABLE-1 AUTOMATED'!O2218))</f>
        <v/>
      </c>
      <c r="R2218" s="41" t="str">
        <f>IF(Table1[[#This Row],[QUANTITY]]=0,"",Table1[[#This Row],[UNIT PRICE]]*Table1[[#This Row],[QUANTITY]])</f>
        <v/>
      </c>
      <c r="S2218" s="89"/>
      <c r="T2218" s="38"/>
      <c r="U2218" s="43"/>
      <c r="V2218" s="42" t="str">
        <f>IF(Table1[[#This Row],[DATE]]=0,"",YEAR(E2218))</f>
        <v/>
      </c>
      <c r="W2218" s="40" t="str">
        <f t="shared" si="70"/>
        <v/>
      </c>
      <c r="X2218" s="40" t="str">
        <f t="shared" si="71"/>
        <v/>
      </c>
      <c r="Y2218" s="40" t="str">
        <f>TEXT(Table1[[#This Row],[YEAR]],"0000")&amp;"-"&amp;Table1[[#This Row],[MONTH]]</f>
        <v>-</v>
      </c>
    </row>
    <row r="2219" spans="1:25" ht="15" customHeight="1" x14ac:dyDescent="0.35">
      <c r="A2219" s="24"/>
      <c r="B2219" s="38"/>
      <c r="C2219" s="38"/>
      <c r="D2219" s="38"/>
      <c r="E2219" s="37"/>
      <c r="F2219" s="38"/>
      <c r="G2219" s="198"/>
      <c r="H2219" s="198"/>
      <c r="I2219" s="39"/>
      <c r="J2219" s="38"/>
      <c r="K2219" s="198"/>
      <c r="L2219" s="38"/>
      <c r="M2219" s="38"/>
      <c r="N2219" s="38"/>
      <c r="O2219" s="38"/>
      <c r="P2219" s="40" t="str" cm="1">
        <f t="array" ref="P2219">IF(N2219="","",IFERROR(_xlfn.XLOOKUP(F2219&amp;"|"&amp;J2219&amp;"|"&amp;O2219,PRICES!$C$2:$C$659&amp;"|"&amp;PRICES!$B$2:$B$659&amp;"|"&amp;PRICES!$D$2:$D$659,PRICES!$E$2:$E$659),"Not Found"))</f>
        <v/>
      </c>
      <c r="Q2219" s="100" t="str">
        <f>IF(N2219=0,"",SUMIFS(PRICES!$G$2:$G$658,PRICES!$B$2:$B$658,'MAIN TABLE-1 AUTOMATED'!J2219,PRICES!$C$2:$C$658,'MAIN TABLE-1 AUTOMATED'!F2219,PRICES!$D$2:$D$658,'MAIN TABLE-1 AUTOMATED'!O2219))</f>
        <v/>
      </c>
      <c r="R2219" s="41" t="str">
        <f>IF(Table1[[#This Row],[QUANTITY]]=0,"",Table1[[#This Row],[UNIT PRICE]]*Table1[[#This Row],[QUANTITY]])</f>
        <v/>
      </c>
      <c r="S2219" s="89"/>
      <c r="T2219" s="38"/>
      <c r="U2219" s="43"/>
      <c r="V2219" s="42" t="str">
        <f>IF(Table1[[#This Row],[DATE]]=0,"",YEAR(E2219))</f>
        <v/>
      </c>
      <c r="W2219" s="40" t="str">
        <f t="shared" si="70"/>
        <v/>
      </c>
      <c r="X2219" s="40" t="str">
        <f t="shared" si="71"/>
        <v/>
      </c>
      <c r="Y2219" s="40" t="str">
        <f>TEXT(Table1[[#This Row],[YEAR]],"0000")&amp;"-"&amp;Table1[[#This Row],[MONTH]]</f>
        <v>-</v>
      </c>
    </row>
    <row r="2220" spans="1:25" ht="15" customHeight="1" x14ac:dyDescent="0.35">
      <c r="A2220" s="24"/>
      <c r="B2220" s="38"/>
      <c r="C2220" s="38"/>
      <c r="D2220" s="38"/>
      <c r="E2220" s="37"/>
      <c r="F2220" s="38"/>
      <c r="G2220" s="198"/>
      <c r="H2220" s="198"/>
      <c r="I2220" s="39"/>
      <c r="J2220" s="38"/>
      <c r="K2220" s="198"/>
      <c r="L2220" s="38"/>
      <c r="M2220" s="38"/>
      <c r="N2220" s="38"/>
      <c r="O2220" s="38"/>
      <c r="P2220" s="40" t="str" cm="1">
        <f t="array" ref="P2220">IF(N2220="","",IFERROR(_xlfn.XLOOKUP(F2220&amp;"|"&amp;J2220&amp;"|"&amp;O2220,PRICES!$C$2:$C$659&amp;"|"&amp;PRICES!$B$2:$B$659&amp;"|"&amp;PRICES!$D$2:$D$659,PRICES!$E$2:$E$659),"Not Found"))</f>
        <v/>
      </c>
      <c r="Q2220" s="100" t="str">
        <f>IF(N2220=0,"",SUMIFS(PRICES!$G$2:$G$658,PRICES!$B$2:$B$658,'MAIN TABLE-1 AUTOMATED'!J2220,PRICES!$C$2:$C$658,'MAIN TABLE-1 AUTOMATED'!F2220,PRICES!$D$2:$D$658,'MAIN TABLE-1 AUTOMATED'!O2220))</f>
        <v/>
      </c>
      <c r="R2220" s="41" t="str">
        <f>IF(Table1[[#This Row],[QUANTITY]]=0,"",Table1[[#This Row],[UNIT PRICE]]*Table1[[#This Row],[QUANTITY]])</f>
        <v/>
      </c>
      <c r="S2220" s="89"/>
      <c r="T2220" s="38"/>
      <c r="U2220" s="43"/>
      <c r="V2220" s="42" t="str">
        <f>IF(Table1[[#This Row],[DATE]]=0,"",YEAR(E2220))</f>
        <v/>
      </c>
      <c r="W2220" s="40" t="str">
        <f t="shared" si="70"/>
        <v/>
      </c>
      <c r="X2220" s="40" t="str">
        <f t="shared" si="71"/>
        <v/>
      </c>
      <c r="Y2220" s="40" t="str">
        <f>TEXT(Table1[[#This Row],[YEAR]],"0000")&amp;"-"&amp;Table1[[#This Row],[MONTH]]</f>
        <v>-</v>
      </c>
    </row>
    <row r="2221" spans="1:25" ht="15" customHeight="1" x14ac:dyDescent="0.35">
      <c r="A2221" s="24"/>
      <c r="B2221" s="38"/>
      <c r="C2221" s="38"/>
      <c r="D2221" s="38"/>
      <c r="E2221" s="37"/>
      <c r="F2221" s="38"/>
      <c r="G2221" s="198"/>
      <c r="H2221" s="198"/>
      <c r="I2221" s="39"/>
      <c r="J2221" s="38"/>
      <c r="K2221" s="198"/>
      <c r="L2221" s="38"/>
      <c r="M2221" s="38"/>
      <c r="N2221" s="38"/>
      <c r="O2221" s="38"/>
      <c r="P2221" s="40" t="str" cm="1">
        <f t="array" ref="P2221">IF(N2221="","",IFERROR(_xlfn.XLOOKUP(F2221&amp;"|"&amp;J2221&amp;"|"&amp;O2221,PRICES!$C$2:$C$659&amp;"|"&amp;PRICES!$B$2:$B$659&amp;"|"&amp;PRICES!$D$2:$D$659,PRICES!$E$2:$E$659),"Not Found"))</f>
        <v/>
      </c>
      <c r="Q2221" s="100" t="str">
        <f>IF(N2221=0,"",SUMIFS(PRICES!$G$2:$G$658,PRICES!$B$2:$B$658,'MAIN TABLE-1 AUTOMATED'!J2221,PRICES!$C$2:$C$658,'MAIN TABLE-1 AUTOMATED'!F2221,PRICES!$D$2:$D$658,'MAIN TABLE-1 AUTOMATED'!O2221))</f>
        <v/>
      </c>
      <c r="R2221" s="41" t="str">
        <f>IF(Table1[[#This Row],[QUANTITY]]=0,"",Table1[[#This Row],[UNIT PRICE]]*Table1[[#This Row],[QUANTITY]])</f>
        <v/>
      </c>
      <c r="S2221" s="89"/>
      <c r="T2221" s="38"/>
      <c r="U2221" s="43"/>
      <c r="V2221" s="42" t="str">
        <f>IF(Table1[[#This Row],[DATE]]=0,"",YEAR(E2221))</f>
        <v/>
      </c>
      <c r="W2221" s="40" t="str">
        <f t="shared" si="70"/>
        <v/>
      </c>
      <c r="X2221" s="40" t="str">
        <f t="shared" si="71"/>
        <v/>
      </c>
      <c r="Y2221" s="40" t="str">
        <f>TEXT(Table1[[#This Row],[YEAR]],"0000")&amp;"-"&amp;Table1[[#This Row],[MONTH]]</f>
        <v>-</v>
      </c>
    </row>
    <row r="2222" spans="1:25" ht="15" customHeight="1" x14ac:dyDescent="0.35">
      <c r="A2222" s="24"/>
      <c r="B2222" s="38"/>
      <c r="C2222" s="38"/>
      <c r="D2222" s="38"/>
      <c r="E2222" s="37"/>
      <c r="F2222" s="38"/>
      <c r="G2222" s="198"/>
      <c r="H2222" s="198"/>
      <c r="I2222" s="39"/>
      <c r="J2222" s="38"/>
      <c r="K2222" s="198"/>
      <c r="L2222" s="38"/>
      <c r="M2222" s="38"/>
      <c r="N2222" s="38"/>
      <c r="O2222" s="38"/>
      <c r="P2222" s="40" t="str" cm="1">
        <f t="array" ref="P2222">IF(N2222="","",IFERROR(_xlfn.XLOOKUP(F2222&amp;"|"&amp;J2222&amp;"|"&amp;O2222,PRICES!$C$2:$C$659&amp;"|"&amp;PRICES!$B$2:$B$659&amp;"|"&amp;PRICES!$D$2:$D$659,PRICES!$E$2:$E$659),"Not Found"))</f>
        <v/>
      </c>
      <c r="Q2222" s="100" t="str">
        <f>IF(N2222=0,"",SUMIFS(PRICES!$G$2:$G$658,PRICES!$B$2:$B$658,'MAIN TABLE-1 AUTOMATED'!J2222,PRICES!$C$2:$C$658,'MAIN TABLE-1 AUTOMATED'!F2222,PRICES!$D$2:$D$658,'MAIN TABLE-1 AUTOMATED'!O2222))</f>
        <v/>
      </c>
      <c r="R2222" s="41" t="str">
        <f>IF(Table1[[#This Row],[QUANTITY]]=0,"",Table1[[#This Row],[UNIT PRICE]]*Table1[[#This Row],[QUANTITY]])</f>
        <v/>
      </c>
      <c r="S2222" s="89"/>
      <c r="T2222" s="38"/>
      <c r="U2222" s="43"/>
      <c r="V2222" s="42" t="str">
        <f>IF(Table1[[#This Row],[DATE]]=0,"",YEAR(E2222))</f>
        <v/>
      </c>
      <c r="W2222" s="40" t="str">
        <f t="shared" si="70"/>
        <v/>
      </c>
      <c r="X2222" s="40" t="str">
        <f t="shared" si="71"/>
        <v/>
      </c>
      <c r="Y2222" s="40" t="str">
        <f>TEXT(Table1[[#This Row],[YEAR]],"0000")&amp;"-"&amp;Table1[[#This Row],[MONTH]]</f>
        <v>-</v>
      </c>
    </row>
    <row r="2223" spans="1:25" ht="15" customHeight="1" x14ac:dyDescent="0.35">
      <c r="A2223" s="24"/>
      <c r="B2223" s="38"/>
      <c r="C2223" s="38"/>
      <c r="D2223" s="38"/>
      <c r="E2223" s="37"/>
      <c r="F2223" s="38"/>
      <c r="G2223" s="198"/>
      <c r="H2223" s="198"/>
      <c r="I2223" s="39"/>
      <c r="J2223" s="38"/>
      <c r="K2223" s="198"/>
      <c r="L2223" s="38"/>
      <c r="M2223" s="38"/>
      <c r="N2223" s="38"/>
      <c r="O2223" s="38"/>
      <c r="P2223" s="40" t="str" cm="1">
        <f t="array" ref="P2223">IF(N2223="","",IFERROR(_xlfn.XLOOKUP(F2223&amp;"|"&amp;J2223&amp;"|"&amp;O2223,PRICES!$C$2:$C$659&amp;"|"&amp;PRICES!$B$2:$B$659&amp;"|"&amp;PRICES!$D$2:$D$659,PRICES!$E$2:$E$659),"Not Found"))</f>
        <v/>
      </c>
      <c r="Q2223" s="100" t="str">
        <f>IF(N2223=0,"",SUMIFS(PRICES!$G$2:$G$658,PRICES!$B$2:$B$658,'MAIN TABLE-1 AUTOMATED'!J2223,PRICES!$C$2:$C$658,'MAIN TABLE-1 AUTOMATED'!F2223,PRICES!$D$2:$D$658,'MAIN TABLE-1 AUTOMATED'!O2223))</f>
        <v/>
      </c>
      <c r="R2223" s="41" t="str">
        <f>IF(Table1[[#This Row],[QUANTITY]]=0,"",Table1[[#This Row],[UNIT PRICE]]*Table1[[#This Row],[QUANTITY]])</f>
        <v/>
      </c>
      <c r="S2223" s="89"/>
      <c r="T2223" s="38"/>
      <c r="U2223" s="43"/>
      <c r="V2223" s="42" t="str">
        <f>IF(Table1[[#This Row],[DATE]]=0,"",YEAR(E2223))</f>
        <v/>
      </c>
      <c r="W2223" s="40" t="str">
        <f t="shared" si="70"/>
        <v/>
      </c>
      <c r="X2223" s="40" t="str">
        <f t="shared" si="71"/>
        <v/>
      </c>
      <c r="Y2223" s="40" t="str">
        <f>TEXT(Table1[[#This Row],[YEAR]],"0000")&amp;"-"&amp;Table1[[#This Row],[MONTH]]</f>
        <v>-</v>
      </c>
    </row>
    <row r="2224" spans="1:25" ht="15" customHeight="1" x14ac:dyDescent="0.35">
      <c r="A2224" s="24"/>
      <c r="B2224" s="38"/>
      <c r="C2224" s="38"/>
      <c r="D2224" s="38"/>
      <c r="E2224" s="37"/>
      <c r="F2224" s="38"/>
      <c r="G2224" s="198"/>
      <c r="H2224" s="198"/>
      <c r="I2224" s="39"/>
      <c r="J2224" s="38"/>
      <c r="K2224" s="198"/>
      <c r="L2224" s="38"/>
      <c r="M2224" s="38"/>
      <c r="N2224" s="38"/>
      <c r="O2224" s="38"/>
      <c r="P2224" s="40" t="str" cm="1">
        <f t="array" ref="P2224">IF(N2224="","",IFERROR(_xlfn.XLOOKUP(F2224&amp;"|"&amp;J2224&amp;"|"&amp;O2224,PRICES!$C$2:$C$659&amp;"|"&amp;PRICES!$B$2:$B$659&amp;"|"&amp;PRICES!$D$2:$D$659,PRICES!$E$2:$E$659),"Not Found"))</f>
        <v/>
      </c>
      <c r="Q2224" s="100" t="str">
        <f>IF(N2224=0,"",SUMIFS(PRICES!$G$2:$G$658,PRICES!$B$2:$B$658,'MAIN TABLE-1 AUTOMATED'!J2224,PRICES!$C$2:$C$658,'MAIN TABLE-1 AUTOMATED'!F2224,PRICES!$D$2:$D$658,'MAIN TABLE-1 AUTOMATED'!O2224))</f>
        <v/>
      </c>
      <c r="R2224" s="41" t="str">
        <f>IF(Table1[[#This Row],[QUANTITY]]=0,"",Table1[[#This Row],[UNIT PRICE]]*Table1[[#This Row],[QUANTITY]])</f>
        <v/>
      </c>
      <c r="S2224" s="89"/>
      <c r="T2224" s="38"/>
      <c r="U2224" s="43"/>
      <c r="V2224" s="42" t="str">
        <f>IF(Table1[[#This Row],[DATE]]=0,"",YEAR(E2224))</f>
        <v/>
      </c>
      <c r="W2224" s="40" t="str">
        <f t="shared" si="70"/>
        <v/>
      </c>
      <c r="X2224" s="40" t="str">
        <f t="shared" si="71"/>
        <v/>
      </c>
      <c r="Y2224" s="40" t="str">
        <f>TEXT(Table1[[#This Row],[YEAR]],"0000")&amp;"-"&amp;Table1[[#This Row],[MONTH]]</f>
        <v>-</v>
      </c>
    </row>
    <row r="2225" spans="1:25" ht="15" customHeight="1" x14ac:dyDescent="0.35">
      <c r="A2225" s="24"/>
      <c r="B2225" s="38"/>
      <c r="C2225" s="38"/>
      <c r="D2225" s="38"/>
      <c r="E2225" s="37"/>
      <c r="F2225" s="38"/>
      <c r="G2225" s="198"/>
      <c r="H2225" s="198"/>
      <c r="I2225" s="39"/>
      <c r="J2225" s="38"/>
      <c r="K2225" s="198"/>
      <c r="L2225" s="38"/>
      <c r="M2225" s="38"/>
      <c r="N2225" s="38"/>
      <c r="O2225" s="38"/>
      <c r="P2225" s="40" t="str" cm="1">
        <f t="array" ref="P2225">IF(N2225="","",IFERROR(_xlfn.XLOOKUP(F2225&amp;"|"&amp;J2225&amp;"|"&amp;O2225,PRICES!$C$2:$C$659&amp;"|"&amp;PRICES!$B$2:$B$659&amp;"|"&amp;PRICES!$D$2:$D$659,PRICES!$E$2:$E$659),"Not Found"))</f>
        <v/>
      </c>
      <c r="Q2225" s="100" t="str">
        <f>IF(N2225=0,"",SUMIFS(PRICES!$G$2:$G$658,PRICES!$B$2:$B$658,'MAIN TABLE-1 AUTOMATED'!J2225,PRICES!$C$2:$C$658,'MAIN TABLE-1 AUTOMATED'!F2225,PRICES!$D$2:$D$658,'MAIN TABLE-1 AUTOMATED'!O2225))</f>
        <v/>
      </c>
      <c r="R2225" s="41" t="str">
        <f>IF(Table1[[#This Row],[QUANTITY]]=0,"",Table1[[#This Row],[UNIT PRICE]]*Table1[[#This Row],[QUANTITY]])</f>
        <v/>
      </c>
      <c r="S2225" s="89"/>
      <c r="T2225" s="38"/>
      <c r="U2225" s="43"/>
      <c r="V2225" s="42" t="str">
        <f>IF(Table1[[#This Row],[DATE]]=0,"",YEAR(E2225))</f>
        <v/>
      </c>
      <c r="W2225" s="40" t="str">
        <f t="shared" si="70"/>
        <v/>
      </c>
      <c r="X2225" s="40" t="str">
        <f t="shared" si="71"/>
        <v/>
      </c>
      <c r="Y2225" s="40" t="str">
        <f>TEXT(Table1[[#This Row],[YEAR]],"0000")&amp;"-"&amp;Table1[[#This Row],[MONTH]]</f>
        <v>-</v>
      </c>
    </row>
    <row r="2226" spans="1:25" ht="15" customHeight="1" x14ac:dyDescent="0.35">
      <c r="A2226" s="24"/>
      <c r="B2226" s="38"/>
      <c r="C2226" s="38"/>
      <c r="D2226" s="38"/>
      <c r="E2226" s="37"/>
      <c r="F2226" s="38"/>
      <c r="G2226" s="198"/>
      <c r="H2226" s="198"/>
      <c r="I2226" s="39"/>
      <c r="J2226" s="38"/>
      <c r="K2226" s="198"/>
      <c r="L2226" s="38"/>
      <c r="M2226" s="38"/>
      <c r="N2226" s="38"/>
      <c r="O2226" s="38"/>
      <c r="P2226" s="40" t="str" cm="1">
        <f t="array" ref="P2226">IF(N2226="","",IFERROR(_xlfn.XLOOKUP(F2226&amp;"|"&amp;J2226&amp;"|"&amp;O2226,PRICES!$C$2:$C$659&amp;"|"&amp;PRICES!$B$2:$B$659&amp;"|"&amp;PRICES!$D$2:$D$659,PRICES!$E$2:$E$659),"Not Found"))</f>
        <v/>
      </c>
      <c r="Q2226" s="100" t="str">
        <f>IF(N2226=0,"",SUMIFS(PRICES!$G$2:$G$658,PRICES!$B$2:$B$658,'MAIN TABLE-1 AUTOMATED'!J2226,PRICES!$C$2:$C$658,'MAIN TABLE-1 AUTOMATED'!F2226,PRICES!$D$2:$D$658,'MAIN TABLE-1 AUTOMATED'!O2226))</f>
        <v/>
      </c>
      <c r="R2226" s="41" t="str">
        <f>IF(Table1[[#This Row],[QUANTITY]]=0,"",Table1[[#This Row],[UNIT PRICE]]*Table1[[#This Row],[QUANTITY]])</f>
        <v/>
      </c>
      <c r="S2226" s="89"/>
      <c r="T2226" s="38"/>
      <c r="U2226" s="43"/>
      <c r="V2226" s="42" t="str">
        <f>IF(Table1[[#This Row],[DATE]]=0,"",YEAR(E2226))</f>
        <v/>
      </c>
      <c r="W2226" s="40" t="str">
        <f t="shared" si="70"/>
        <v/>
      </c>
      <c r="X2226" s="40" t="str">
        <f t="shared" si="71"/>
        <v/>
      </c>
      <c r="Y2226" s="40" t="str">
        <f>TEXT(Table1[[#This Row],[YEAR]],"0000")&amp;"-"&amp;Table1[[#This Row],[MONTH]]</f>
        <v>-</v>
      </c>
    </row>
    <row r="2227" spans="1:25" ht="15" customHeight="1" x14ac:dyDescent="0.35">
      <c r="A2227" s="24"/>
      <c r="B2227" s="38"/>
      <c r="C2227" s="38"/>
      <c r="D2227" s="38"/>
      <c r="E2227" s="37"/>
      <c r="F2227" s="38"/>
      <c r="G2227" s="198"/>
      <c r="H2227" s="198"/>
      <c r="I2227" s="39"/>
      <c r="J2227" s="38"/>
      <c r="K2227" s="198"/>
      <c r="L2227" s="38"/>
      <c r="M2227" s="38"/>
      <c r="N2227" s="38"/>
      <c r="O2227" s="38"/>
      <c r="P2227" s="40" t="str" cm="1">
        <f t="array" ref="P2227">IF(N2227="","",IFERROR(_xlfn.XLOOKUP(F2227&amp;"|"&amp;J2227&amp;"|"&amp;O2227,PRICES!$C$2:$C$659&amp;"|"&amp;PRICES!$B$2:$B$659&amp;"|"&amp;PRICES!$D$2:$D$659,PRICES!$E$2:$E$659),"Not Found"))</f>
        <v/>
      </c>
      <c r="Q2227" s="100" t="str">
        <f>IF(N2227=0,"",SUMIFS(PRICES!$G$2:$G$658,PRICES!$B$2:$B$658,'MAIN TABLE-1 AUTOMATED'!J2227,PRICES!$C$2:$C$658,'MAIN TABLE-1 AUTOMATED'!F2227,PRICES!$D$2:$D$658,'MAIN TABLE-1 AUTOMATED'!O2227))</f>
        <v/>
      </c>
      <c r="R2227" s="41" t="str">
        <f>IF(Table1[[#This Row],[QUANTITY]]=0,"",Table1[[#This Row],[UNIT PRICE]]*Table1[[#This Row],[QUANTITY]])</f>
        <v/>
      </c>
      <c r="S2227" s="89"/>
      <c r="T2227" s="38"/>
      <c r="U2227" s="43"/>
      <c r="V2227" s="42" t="str">
        <f>IF(Table1[[#This Row],[DATE]]=0,"",YEAR(E2227))</f>
        <v/>
      </c>
      <c r="W2227" s="40" t="str">
        <f t="shared" si="70"/>
        <v/>
      </c>
      <c r="X2227" s="40" t="str">
        <f t="shared" si="71"/>
        <v/>
      </c>
      <c r="Y2227" s="40" t="str">
        <f>TEXT(Table1[[#This Row],[YEAR]],"0000")&amp;"-"&amp;Table1[[#This Row],[MONTH]]</f>
        <v>-</v>
      </c>
    </row>
    <row r="2228" spans="1:25" ht="15" customHeight="1" x14ac:dyDescent="0.35">
      <c r="A2228" s="24"/>
      <c r="B2228" s="38"/>
      <c r="C2228" s="38"/>
      <c r="D2228" s="38"/>
      <c r="E2228" s="37"/>
      <c r="F2228" s="38"/>
      <c r="G2228" s="198"/>
      <c r="H2228" s="198"/>
      <c r="I2228" s="39"/>
      <c r="J2228" s="38"/>
      <c r="K2228" s="198"/>
      <c r="L2228" s="38"/>
      <c r="M2228" s="38"/>
      <c r="N2228" s="38"/>
      <c r="O2228" s="38"/>
      <c r="P2228" s="40" t="str" cm="1">
        <f t="array" ref="P2228">IF(N2228="","",IFERROR(_xlfn.XLOOKUP(F2228&amp;"|"&amp;J2228&amp;"|"&amp;O2228,PRICES!$C$2:$C$659&amp;"|"&amp;PRICES!$B$2:$B$659&amp;"|"&amp;PRICES!$D$2:$D$659,PRICES!$E$2:$E$659),"Not Found"))</f>
        <v/>
      </c>
      <c r="Q2228" s="100" t="str">
        <f>IF(N2228=0,"",SUMIFS(PRICES!$G$2:$G$658,PRICES!$B$2:$B$658,'MAIN TABLE-1 AUTOMATED'!J2228,PRICES!$C$2:$C$658,'MAIN TABLE-1 AUTOMATED'!F2228,PRICES!$D$2:$D$658,'MAIN TABLE-1 AUTOMATED'!O2228))</f>
        <v/>
      </c>
      <c r="R2228" s="41" t="str">
        <f>IF(Table1[[#This Row],[QUANTITY]]=0,"",Table1[[#This Row],[UNIT PRICE]]*Table1[[#This Row],[QUANTITY]])</f>
        <v/>
      </c>
      <c r="S2228" s="89"/>
      <c r="T2228" s="38"/>
      <c r="U2228" s="43"/>
      <c r="V2228" s="42" t="str">
        <f>IF(Table1[[#This Row],[DATE]]=0,"",YEAR(E2228))</f>
        <v/>
      </c>
      <c r="W2228" s="40" t="str">
        <f t="shared" si="70"/>
        <v/>
      </c>
      <c r="X2228" s="40" t="str">
        <f t="shared" si="71"/>
        <v/>
      </c>
      <c r="Y2228" s="40" t="str">
        <f>TEXT(Table1[[#This Row],[YEAR]],"0000")&amp;"-"&amp;Table1[[#This Row],[MONTH]]</f>
        <v>-</v>
      </c>
    </row>
    <row r="2229" spans="1:25" ht="15" customHeight="1" x14ac:dyDescent="0.35">
      <c r="A2229" s="24"/>
      <c r="B2229" s="38"/>
      <c r="C2229" s="38"/>
      <c r="D2229" s="38"/>
      <c r="E2229" s="37"/>
      <c r="F2229" s="38"/>
      <c r="G2229" s="198"/>
      <c r="H2229" s="198"/>
      <c r="I2229" s="39"/>
      <c r="J2229" s="38"/>
      <c r="K2229" s="198"/>
      <c r="L2229" s="38"/>
      <c r="M2229" s="38"/>
      <c r="N2229" s="38"/>
      <c r="O2229" s="38"/>
      <c r="P2229" s="40" t="str" cm="1">
        <f t="array" ref="P2229">IF(N2229="","",IFERROR(_xlfn.XLOOKUP(F2229&amp;"|"&amp;J2229&amp;"|"&amp;O2229,PRICES!$C$2:$C$659&amp;"|"&amp;PRICES!$B$2:$B$659&amp;"|"&amp;PRICES!$D$2:$D$659,PRICES!$E$2:$E$659),"Not Found"))</f>
        <v/>
      </c>
      <c r="Q2229" s="100" t="str">
        <f>IF(N2229=0,"",SUMIFS(PRICES!$G$2:$G$658,PRICES!$B$2:$B$658,'MAIN TABLE-1 AUTOMATED'!J2229,PRICES!$C$2:$C$658,'MAIN TABLE-1 AUTOMATED'!F2229,PRICES!$D$2:$D$658,'MAIN TABLE-1 AUTOMATED'!O2229))</f>
        <v/>
      </c>
      <c r="R2229" s="41" t="str">
        <f>IF(Table1[[#This Row],[QUANTITY]]=0,"",Table1[[#This Row],[UNIT PRICE]]*Table1[[#This Row],[QUANTITY]])</f>
        <v/>
      </c>
      <c r="S2229" s="89"/>
      <c r="T2229" s="38"/>
      <c r="U2229" s="43"/>
      <c r="V2229" s="42" t="str">
        <f>IF(Table1[[#This Row],[DATE]]=0,"",YEAR(E2229))</f>
        <v/>
      </c>
      <c r="W2229" s="40" t="str">
        <f t="shared" si="70"/>
        <v/>
      </c>
      <c r="X2229" s="40" t="str">
        <f t="shared" si="71"/>
        <v/>
      </c>
      <c r="Y2229" s="40" t="str">
        <f>TEXT(Table1[[#This Row],[YEAR]],"0000")&amp;"-"&amp;Table1[[#This Row],[MONTH]]</f>
        <v>-</v>
      </c>
    </row>
    <row r="2230" spans="1:25" ht="15" customHeight="1" x14ac:dyDescent="0.35">
      <c r="A2230" s="24"/>
      <c r="B2230" s="38"/>
      <c r="C2230" s="38"/>
      <c r="D2230" s="38"/>
      <c r="E2230" s="37"/>
      <c r="F2230" s="38"/>
      <c r="G2230" s="234"/>
      <c r="H2230" s="234"/>
      <c r="I2230" s="39"/>
      <c r="J2230" s="38"/>
      <c r="K2230" s="198"/>
      <c r="L2230" s="38"/>
      <c r="M2230" s="38"/>
      <c r="N2230" s="38"/>
      <c r="O2230" s="38"/>
      <c r="P2230" s="40" t="str" cm="1">
        <f t="array" ref="P2230">IF(N2230="","",IFERROR(_xlfn.XLOOKUP(F2230&amp;"|"&amp;J2230&amp;"|"&amp;O2230,PRICES!$C$2:$C$659&amp;"|"&amp;PRICES!$B$2:$B$659&amp;"|"&amp;PRICES!$D$2:$D$659,PRICES!$E$2:$E$659),"Not Found"))</f>
        <v/>
      </c>
      <c r="Q2230" s="100" t="str">
        <f>IF(N2230=0,"",SUMIFS(PRICES!$G$2:$G$658,PRICES!$B$2:$B$658,'MAIN TABLE-1 AUTOMATED'!J2230,PRICES!$C$2:$C$658,'MAIN TABLE-1 AUTOMATED'!F2230,PRICES!$D$2:$D$658,'MAIN TABLE-1 AUTOMATED'!O2230))</f>
        <v/>
      </c>
      <c r="R2230" s="41" t="str">
        <f>IF(Table1[[#This Row],[QUANTITY]]=0,"",Table1[[#This Row],[UNIT PRICE]]*Table1[[#This Row],[QUANTITY]])</f>
        <v/>
      </c>
      <c r="S2230" s="89"/>
      <c r="T2230" s="38"/>
      <c r="U2230" s="43"/>
      <c r="V2230" s="42" t="str">
        <f>IF(Table1[[#This Row],[DATE]]=0,"",YEAR(E2230))</f>
        <v/>
      </c>
      <c r="W2230" s="40" t="str">
        <f t="shared" si="70"/>
        <v/>
      </c>
      <c r="X2230" s="40" t="str">
        <f t="shared" si="71"/>
        <v/>
      </c>
      <c r="Y2230" s="40" t="str">
        <f>TEXT(Table1[[#This Row],[YEAR]],"0000")&amp;"-"&amp;Table1[[#This Row],[MONTH]]</f>
        <v>-</v>
      </c>
    </row>
    <row r="2231" spans="1:25" ht="15" customHeight="1" x14ac:dyDescent="0.35">
      <c r="A2231" s="24"/>
      <c r="B2231" s="38"/>
      <c r="C2231" s="38"/>
      <c r="D2231" s="38"/>
      <c r="E2231" s="37"/>
      <c r="F2231" s="38"/>
      <c r="G2231" s="198"/>
      <c r="H2231" s="198"/>
      <c r="I2231" s="39"/>
      <c r="J2231" s="38"/>
      <c r="K2231" s="198"/>
      <c r="L2231" s="38"/>
      <c r="M2231" s="38"/>
      <c r="N2231" s="38"/>
      <c r="O2231" s="38"/>
      <c r="P2231" s="40" t="str" cm="1">
        <f t="array" ref="P2231">IF(N2231="","",IFERROR(_xlfn.XLOOKUP(F2231&amp;"|"&amp;J2231&amp;"|"&amp;O2231,PRICES!$C$2:$C$659&amp;"|"&amp;PRICES!$B$2:$B$659&amp;"|"&amp;PRICES!$D$2:$D$659,PRICES!$E$2:$E$659),"Not Found"))</f>
        <v/>
      </c>
      <c r="Q2231" s="100" t="str">
        <f>IF(N2231=0,"",SUMIFS(PRICES!$G$2:$G$658,PRICES!$B$2:$B$658,'MAIN TABLE-1 AUTOMATED'!J2231,PRICES!$C$2:$C$658,'MAIN TABLE-1 AUTOMATED'!F2231,PRICES!$D$2:$D$658,'MAIN TABLE-1 AUTOMATED'!O2231))</f>
        <v/>
      </c>
      <c r="R2231" s="41" t="str">
        <f>IF(Table1[[#This Row],[QUANTITY]]=0,"",Table1[[#This Row],[UNIT PRICE]]*Table1[[#This Row],[QUANTITY]])</f>
        <v/>
      </c>
      <c r="S2231" s="89"/>
      <c r="T2231" s="38"/>
      <c r="U2231" s="43"/>
      <c r="V2231" s="42" t="str">
        <f>IF(Table1[[#This Row],[DATE]]=0,"",YEAR(E2231))</f>
        <v/>
      </c>
      <c r="W2231" s="40" t="str">
        <f t="shared" si="70"/>
        <v/>
      </c>
      <c r="X2231" s="40" t="str">
        <f t="shared" si="71"/>
        <v/>
      </c>
      <c r="Y2231" s="40" t="str">
        <f>TEXT(Table1[[#This Row],[YEAR]],"0000")&amp;"-"&amp;Table1[[#This Row],[MONTH]]</f>
        <v>-</v>
      </c>
    </row>
    <row r="2232" spans="1:25" ht="15" customHeight="1" x14ac:dyDescent="0.35">
      <c r="A2232" s="24"/>
      <c r="B2232" s="38"/>
      <c r="C2232" s="38"/>
      <c r="D2232" s="38"/>
      <c r="E2232" s="37"/>
      <c r="F2232" s="37"/>
      <c r="G2232" s="198"/>
      <c r="H2232" s="198"/>
      <c r="I2232" s="39"/>
      <c r="J2232" s="38"/>
      <c r="K2232" s="198"/>
      <c r="L2232" s="38"/>
      <c r="M2232" s="38"/>
      <c r="N2232" s="38"/>
      <c r="O2232" s="38"/>
      <c r="P2232" s="40" t="str" cm="1">
        <f t="array" ref="P2232">IF(N2232="","",IFERROR(_xlfn.XLOOKUP(F2232&amp;"|"&amp;J2232&amp;"|"&amp;O2232,PRICES!$C$2:$C$659&amp;"|"&amp;PRICES!$B$2:$B$659&amp;"|"&amp;PRICES!$D$2:$D$659,PRICES!$E$2:$E$659),"Not Found"))</f>
        <v/>
      </c>
      <c r="Q2232" s="100" t="str">
        <f>IF(N2232=0,"",SUMIFS(PRICES!$G$2:$G$658,PRICES!$B$2:$B$658,'MAIN TABLE-1 AUTOMATED'!J2232,PRICES!$C$2:$C$658,'MAIN TABLE-1 AUTOMATED'!F2232,PRICES!$D$2:$D$658,'MAIN TABLE-1 AUTOMATED'!O2232))</f>
        <v/>
      </c>
      <c r="R2232" s="41" t="str">
        <f>IF(Table1[[#This Row],[QUANTITY]]=0,"",Table1[[#This Row],[UNIT PRICE]]*Table1[[#This Row],[QUANTITY]])</f>
        <v/>
      </c>
      <c r="S2232" s="89"/>
      <c r="T2232" s="38"/>
      <c r="U2232" s="43"/>
      <c r="V2232" s="42" t="str">
        <f>IF(Table1[[#This Row],[DATE]]=0,"",YEAR(E2232))</f>
        <v/>
      </c>
      <c r="W2232" s="40" t="str">
        <f t="shared" si="70"/>
        <v/>
      </c>
      <c r="X2232" s="40" t="str">
        <f t="shared" si="71"/>
        <v/>
      </c>
      <c r="Y2232" s="40" t="str">
        <f>TEXT(Table1[[#This Row],[YEAR]],"0000")&amp;"-"&amp;Table1[[#This Row],[MONTH]]</f>
        <v>-</v>
      </c>
    </row>
    <row r="2233" spans="1:25" ht="15" customHeight="1" x14ac:dyDescent="0.35">
      <c r="A2233" s="24"/>
      <c r="B2233" s="38"/>
      <c r="C2233" s="38"/>
      <c r="D2233" s="38"/>
      <c r="E2233" s="37"/>
      <c r="F2233" s="38"/>
      <c r="G2233" s="198"/>
      <c r="H2233" s="198"/>
      <c r="I2233" s="39"/>
      <c r="J2233" s="38"/>
      <c r="K2233" s="198"/>
      <c r="L2233" s="38"/>
      <c r="M2233" s="38"/>
      <c r="N2233" s="38"/>
      <c r="O2233" s="38"/>
      <c r="P2233" s="40" t="str" cm="1">
        <f t="array" ref="P2233">IF(N2233="","",IFERROR(_xlfn.XLOOKUP(F2233&amp;"|"&amp;J2233&amp;"|"&amp;O2233,PRICES!$C$2:$C$659&amp;"|"&amp;PRICES!$B$2:$B$659&amp;"|"&amp;PRICES!$D$2:$D$659,PRICES!$E$2:$E$659),"Not Found"))</f>
        <v/>
      </c>
      <c r="Q2233" s="100" t="str">
        <f>IF(N2233=0,"",SUMIFS(PRICES!$G$2:$G$658,PRICES!$B$2:$B$658,'MAIN TABLE-1 AUTOMATED'!J2233,PRICES!$C$2:$C$658,'MAIN TABLE-1 AUTOMATED'!F2233,PRICES!$D$2:$D$658,'MAIN TABLE-1 AUTOMATED'!O2233))</f>
        <v/>
      </c>
      <c r="R2233" s="41" t="str">
        <f>IF(Table1[[#This Row],[QUANTITY]]=0,"",Table1[[#This Row],[UNIT PRICE]]*Table1[[#This Row],[QUANTITY]])</f>
        <v/>
      </c>
      <c r="S2233" s="89"/>
      <c r="T2233" s="38"/>
      <c r="U2233" s="43"/>
      <c r="V2233" s="42" t="str">
        <f>IF(Table1[[#This Row],[DATE]]=0,"",YEAR(E2233))</f>
        <v/>
      </c>
      <c r="W2233" s="40" t="str">
        <f t="shared" si="70"/>
        <v/>
      </c>
      <c r="X2233" s="40" t="str">
        <f t="shared" si="71"/>
        <v/>
      </c>
      <c r="Y2233" s="40" t="str">
        <f>TEXT(Table1[[#This Row],[YEAR]],"0000")&amp;"-"&amp;Table1[[#This Row],[MONTH]]</f>
        <v>-</v>
      </c>
    </row>
    <row r="2234" spans="1:25" ht="15" customHeight="1" x14ac:dyDescent="0.35">
      <c r="A2234" s="24"/>
      <c r="B2234" s="38"/>
      <c r="C2234" s="38"/>
      <c r="D2234" s="38"/>
      <c r="E2234" s="37"/>
      <c r="F2234" s="38"/>
      <c r="G2234" s="292"/>
      <c r="H2234" s="292"/>
      <c r="I2234" s="39"/>
      <c r="J2234" s="38"/>
      <c r="K2234" s="198"/>
      <c r="L2234" s="38"/>
      <c r="M2234" s="38"/>
      <c r="N2234" s="38"/>
      <c r="O2234" s="38"/>
      <c r="P2234" s="40" t="str" cm="1">
        <f t="array" ref="P2234">IF(N2234="","",IFERROR(_xlfn.XLOOKUP(F2234&amp;"|"&amp;J2234&amp;"|"&amp;O2234,PRICES!$C$2:$C$659&amp;"|"&amp;PRICES!$B$2:$B$659&amp;"|"&amp;PRICES!$D$2:$D$659,PRICES!$E$2:$E$659),"Not Found"))</f>
        <v/>
      </c>
      <c r="Q2234" s="100" t="str">
        <f>IF(N2234=0,"",SUMIFS(PRICES!$G$2:$G$658,PRICES!$B$2:$B$658,'MAIN TABLE-1 AUTOMATED'!J2234,PRICES!$C$2:$C$658,'MAIN TABLE-1 AUTOMATED'!F2234,PRICES!$D$2:$D$658,'MAIN TABLE-1 AUTOMATED'!O2234))</f>
        <v/>
      </c>
      <c r="R2234" s="41" t="str">
        <f>IF(Table1[[#This Row],[QUANTITY]]=0,"",Table1[[#This Row],[UNIT PRICE]]*Table1[[#This Row],[QUANTITY]])</f>
        <v/>
      </c>
      <c r="S2234" s="89"/>
      <c r="T2234" s="38"/>
      <c r="U2234" s="43"/>
      <c r="V2234" s="42" t="str">
        <f>IF(Table1[[#This Row],[DATE]]=0,"",YEAR(E2234))</f>
        <v/>
      </c>
      <c r="W2234" s="40" t="str">
        <f t="shared" si="70"/>
        <v/>
      </c>
      <c r="X2234" s="40" t="str">
        <f t="shared" si="71"/>
        <v/>
      </c>
      <c r="Y2234" s="40" t="str">
        <f>TEXT(Table1[[#This Row],[YEAR]],"0000")&amp;"-"&amp;Table1[[#This Row],[MONTH]]</f>
        <v>-</v>
      </c>
    </row>
    <row r="2235" spans="1:25" ht="15" customHeight="1" x14ac:dyDescent="0.35">
      <c r="A2235" s="24"/>
      <c r="B2235" s="38"/>
      <c r="C2235" s="38"/>
      <c r="D2235" s="38"/>
      <c r="E2235" s="37"/>
      <c r="F2235" s="38"/>
      <c r="G2235" s="198"/>
      <c r="H2235" s="198"/>
      <c r="I2235" s="39"/>
      <c r="J2235" s="38"/>
      <c r="K2235" s="198"/>
      <c r="L2235" s="38"/>
      <c r="M2235" s="38"/>
      <c r="N2235" s="38"/>
      <c r="O2235" s="38"/>
      <c r="P2235" s="40" t="str" cm="1">
        <f t="array" ref="P2235">IF(N2235="","",IFERROR(_xlfn.XLOOKUP(F2235&amp;"|"&amp;J2235&amp;"|"&amp;O2235,PRICES!$C$2:$C$659&amp;"|"&amp;PRICES!$B$2:$B$659&amp;"|"&amp;PRICES!$D$2:$D$659,PRICES!$E$2:$E$659),"Not Found"))</f>
        <v/>
      </c>
      <c r="Q2235" s="100" t="str">
        <f>IF(N2235=0,"",SUMIFS(PRICES!$G$2:$G$658,PRICES!$B$2:$B$658,'MAIN TABLE-1 AUTOMATED'!J2235,PRICES!$C$2:$C$658,'MAIN TABLE-1 AUTOMATED'!F2235,PRICES!$D$2:$D$658,'MAIN TABLE-1 AUTOMATED'!O2235))</f>
        <v/>
      </c>
      <c r="R2235" s="41" t="str">
        <f>IF(Table1[[#This Row],[QUANTITY]]=0,"",Table1[[#This Row],[UNIT PRICE]]*Table1[[#This Row],[QUANTITY]])</f>
        <v/>
      </c>
      <c r="S2235" s="89"/>
      <c r="T2235" s="38"/>
      <c r="U2235" s="43"/>
      <c r="V2235" s="42" t="str">
        <f>IF(Table1[[#This Row],[DATE]]=0,"",YEAR(E2235))</f>
        <v/>
      </c>
      <c r="W2235" s="40" t="str">
        <f t="shared" si="70"/>
        <v/>
      </c>
      <c r="X2235" s="40" t="str">
        <f t="shared" si="71"/>
        <v/>
      </c>
      <c r="Y2235" s="40" t="str">
        <f>TEXT(Table1[[#This Row],[YEAR]],"0000")&amp;"-"&amp;Table1[[#This Row],[MONTH]]</f>
        <v>-</v>
      </c>
    </row>
    <row r="2236" spans="1:25" ht="15" customHeight="1" x14ac:dyDescent="0.35">
      <c r="A2236" s="24"/>
      <c r="B2236" s="38"/>
      <c r="C2236" s="38"/>
      <c r="D2236" s="38"/>
      <c r="E2236" s="37"/>
      <c r="F2236" s="38"/>
      <c r="G2236" s="198"/>
      <c r="H2236" s="198"/>
      <c r="I2236" s="39"/>
      <c r="J2236" s="38"/>
      <c r="K2236" s="198"/>
      <c r="L2236" s="38"/>
      <c r="M2236" s="38"/>
      <c r="N2236" s="38"/>
      <c r="O2236" s="38"/>
      <c r="P2236" s="40" t="str" cm="1">
        <f t="array" ref="P2236">IF(N2236="","",IFERROR(_xlfn.XLOOKUP(F2236&amp;"|"&amp;J2236&amp;"|"&amp;O2236,PRICES!$C$2:$C$659&amp;"|"&amp;PRICES!$B$2:$B$659&amp;"|"&amp;PRICES!$D$2:$D$659,PRICES!$E$2:$E$659),"Not Found"))</f>
        <v/>
      </c>
      <c r="Q2236" s="100" t="str">
        <f>IF(N2236=0,"",SUMIFS(PRICES!$G$2:$G$658,PRICES!$B$2:$B$658,'MAIN TABLE-1 AUTOMATED'!J2236,PRICES!$C$2:$C$658,'MAIN TABLE-1 AUTOMATED'!F2236,PRICES!$D$2:$D$658,'MAIN TABLE-1 AUTOMATED'!O2236))</f>
        <v/>
      </c>
      <c r="R2236" s="41" t="str">
        <f>IF(Table1[[#This Row],[QUANTITY]]=0,"",Table1[[#This Row],[UNIT PRICE]]*Table1[[#This Row],[QUANTITY]])</f>
        <v/>
      </c>
      <c r="S2236" s="89"/>
      <c r="T2236" s="38"/>
      <c r="U2236" s="43"/>
      <c r="V2236" s="42" t="str">
        <f>IF(Table1[[#This Row],[DATE]]=0,"",YEAR(E2236))</f>
        <v/>
      </c>
      <c r="W2236" s="40" t="str">
        <f t="shared" si="70"/>
        <v/>
      </c>
      <c r="X2236" s="40" t="str">
        <f t="shared" si="71"/>
        <v/>
      </c>
      <c r="Y2236" s="40" t="str">
        <f>TEXT(Table1[[#This Row],[YEAR]],"0000")&amp;"-"&amp;Table1[[#This Row],[MONTH]]</f>
        <v>-</v>
      </c>
    </row>
    <row r="2237" spans="1:25" ht="15" customHeight="1" x14ac:dyDescent="0.35">
      <c r="A2237" s="24"/>
      <c r="B2237" s="38"/>
      <c r="C2237" s="38"/>
      <c r="D2237" s="38"/>
      <c r="E2237" s="37"/>
      <c r="F2237" s="38"/>
      <c r="G2237" s="198"/>
      <c r="H2237" s="198"/>
      <c r="I2237" s="39"/>
      <c r="J2237" s="38"/>
      <c r="K2237" s="198"/>
      <c r="L2237" s="38"/>
      <c r="M2237" s="38"/>
      <c r="N2237" s="38"/>
      <c r="O2237" s="38"/>
      <c r="P2237" s="40" t="str" cm="1">
        <f t="array" ref="P2237">IF(N2237="","",IFERROR(_xlfn.XLOOKUP(F2237&amp;"|"&amp;J2237&amp;"|"&amp;O2237,PRICES!$C$2:$C$659&amp;"|"&amp;PRICES!$B$2:$B$659&amp;"|"&amp;PRICES!$D$2:$D$659,PRICES!$E$2:$E$659),"Not Found"))</f>
        <v/>
      </c>
      <c r="Q2237" s="100" t="str">
        <f>IF(N2237=0,"",SUMIFS(PRICES!$G$2:$G$658,PRICES!$B$2:$B$658,'MAIN TABLE-1 AUTOMATED'!J2237,PRICES!$C$2:$C$658,'MAIN TABLE-1 AUTOMATED'!F2237,PRICES!$D$2:$D$658,'MAIN TABLE-1 AUTOMATED'!O2237))</f>
        <v/>
      </c>
      <c r="R2237" s="41" t="str">
        <f>IF(Table1[[#This Row],[QUANTITY]]=0,"",Table1[[#This Row],[UNIT PRICE]]*Table1[[#This Row],[QUANTITY]])</f>
        <v/>
      </c>
      <c r="S2237" s="89"/>
      <c r="T2237" s="38"/>
      <c r="U2237" s="43"/>
      <c r="V2237" s="42" t="str">
        <f>IF(Table1[[#This Row],[DATE]]=0,"",YEAR(E2237))</f>
        <v/>
      </c>
      <c r="W2237" s="40" t="str">
        <f t="shared" si="70"/>
        <v/>
      </c>
      <c r="X2237" s="40" t="str">
        <f t="shared" si="71"/>
        <v/>
      </c>
      <c r="Y2237" s="40" t="str">
        <f>TEXT(Table1[[#This Row],[YEAR]],"0000")&amp;"-"&amp;Table1[[#This Row],[MONTH]]</f>
        <v>-</v>
      </c>
    </row>
    <row r="2238" spans="1:25" ht="15" customHeight="1" x14ac:dyDescent="0.35">
      <c r="A2238" s="24"/>
      <c r="B2238" s="38"/>
      <c r="C2238" s="38"/>
      <c r="D2238" s="38"/>
      <c r="E2238" s="37"/>
      <c r="F2238" s="38"/>
      <c r="G2238" s="198"/>
      <c r="H2238" s="198"/>
      <c r="I2238" s="39"/>
      <c r="J2238" s="38"/>
      <c r="K2238" s="198"/>
      <c r="L2238" s="38"/>
      <c r="M2238" s="38"/>
      <c r="N2238" s="38"/>
      <c r="O2238" s="38"/>
      <c r="P2238" s="40" t="str" cm="1">
        <f t="array" ref="P2238">IF(N2238="","",IFERROR(_xlfn.XLOOKUP(F2238&amp;"|"&amp;J2238&amp;"|"&amp;O2238,PRICES!$C$2:$C$659&amp;"|"&amp;PRICES!$B$2:$B$659&amp;"|"&amp;PRICES!$D$2:$D$659,PRICES!$E$2:$E$659),"Not Found"))</f>
        <v/>
      </c>
      <c r="Q2238" s="100" t="str">
        <f>IF(N2238=0,"",SUMIFS(PRICES!$G$2:$G$658,PRICES!$B$2:$B$658,'MAIN TABLE-1 AUTOMATED'!J2238,PRICES!$C$2:$C$658,'MAIN TABLE-1 AUTOMATED'!F2238,PRICES!$D$2:$D$658,'MAIN TABLE-1 AUTOMATED'!O2238))</f>
        <v/>
      </c>
      <c r="R2238" s="41" t="str">
        <f>IF(Table1[[#This Row],[QUANTITY]]=0,"",Table1[[#This Row],[UNIT PRICE]]*Table1[[#This Row],[QUANTITY]])</f>
        <v/>
      </c>
      <c r="S2238" s="89"/>
      <c r="T2238" s="38"/>
      <c r="U2238" s="43"/>
      <c r="V2238" s="42" t="str">
        <f>IF(Table1[[#This Row],[DATE]]=0,"",YEAR(E2238))</f>
        <v/>
      </c>
      <c r="W2238" s="40" t="str">
        <f t="shared" si="70"/>
        <v/>
      </c>
      <c r="X2238" s="40" t="str">
        <f t="shared" si="71"/>
        <v/>
      </c>
      <c r="Y2238" s="40" t="str">
        <f>TEXT(Table1[[#This Row],[YEAR]],"0000")&amp;"-"&amp;Table1[[#This Row],[MONTH]]</f>
        <v>-</v>
      </c>
    </row>
    <row r="2239" spans="1:25" ht="15" customHeight="1" x14ac:dyDescent="0.35">
      <c r="A2239" s="24"/>
      <c r="B2239" s="38"/>
      <c r="C2239" s="38"/>
      <c r="D2239" s="38"/>
      <c r="E2239" s="37"/>
      <c r="F2239" s="38"/>
      <c r="G2239" s="198"/>
      <c r="H2239" s="198"/>
      <c r="I2239" s="39"/>
      <c r="J2239" s="38"/>
      <c r="K2239" s="198"/>
      <c r="L2239" s="38"/>
      <c r="M2239" s="38"/>
      <c r="N2239" s="38"/>
      <c r="O2239" s="38"/>
      <c r="P2239" s="40" t="str" cm="1">
        <f t="array" ref="P2239">IF(N2239="","",IFERROR(_xlfn.XLOOKUP(F2239&amp;"|"&amp;J2239&amp;"|"&amp;O2239,PRICES!$C$2:$C$659&amp;"|"&amp;PRICES!$B$2:$B$659&amp;"|"&amp;PRICES!$D$2:$D$659,PRICES!$E$2:$E$659),"Not Found"))</f>
        <v/>
      </c>
      <c r="Q2239" s="100" t="str">
        <f>IF(N2239=0,"",SUMIFS(PRICES!$G$2:$G$658,PRICES!$B$2:$B$658,'MAIN TABLE-1 AUTOMATED'!J2239,PRICES!$C$2:$C$658,'MAIN TABLE-1 AUTOMATED'!F2239,PRICES!$D$2:$D$658,'MAIN TABLE-1 AUTOMATED'!O2239))</f>
        <v/>
      </c>
      <c r="R2239" s="41" t="str">
        <f>IF(Table1[[#This Row],[QUANTITY]]=0,"",Table1[[#This Row],[UNIT PRICE]]*Table1[[#This Row],[QUANTITY]])</f>
        <v/>
      </c>
      <c r="S2239" s="89"/>
      <c r="T2239" s="38"/>
      <c r="U2239" s="43"/>
      <c r="V2239" s="42" t="str">
        <f>IF(Table1[[#This Row],[DATE]]=0,"",YEAR(E2239))</f>
        <v/>
      </c>
      <c r="W2239" s="40" t="str">
        <f t="shared" si="70"/>
        <v/>
      </c>
      <c r="X2239" s="40" t="str">
        <f t="shared" si="71"/>
        <v/>
      </c>
      <c r="Y2239" s="40" t="str">
        <f>TEXT(Table1[[#This Row],[YEAR]],"0000")&amp;"-"&amp;Table1[[#This Row],[MONTH]]</f>
        <v>-</v>
      </c>
    </row>
    <row r="2240" spans="1:25" ht="15" customHeight="1" x14ac:dyDescent="0.35">
      <c r="A2240" s="24"/>
      <c r="B2240" s="38"/>
      <c r="C2240" s="38"/>
      <c r="D2240" s="38"/>
      <c r="E2240" s="37"/>
      <c r="F2240" s="38"/>
      <c r="G2240" s="198"/>
      <c r="H2240" s="198"/>
      <c r="I2240" s="39"/>
      <c r="J2240" s="245"/>
      <c r="K2240" s="198"/>
      <c r="L2240" s="38"/>
      <c r="M2240" s="38"/>
      <c r="N2240" s="38"/>
      <c r="O2240" s="38"/>
      <c r="P2240" s="40" t="str" cm="1">
        <f t="array" ref="P2240">IF(N2240="","",IFERROR(_xlfn.XLOOKUP(F2240&amp;"|"&amp;J2240&amp;"|"&amp;O2240,PRICES!$C$2:$C$659&amp;"|"&amp;PRICES!$B$2:$B$659&amp;"|"&amp;PRICES!$D$2:$D$659,PRICES!$E$2:$E$659),"Not Found"))</f>
        <v/>
      </c>
      <c r="Q2240" s="100" t="str">
        <f>IF(N2240=0,"",SUMIFS(PRICES!$G$2:$G$658,PRICES!$B$2:$B$658,'MAIN TABLE-1 AUTOMATED'!J2240,PRICES!$C$2:$C$658,'MAIN TABLE-1 AUTOMATED'!F2240,PRICES!$D$2:$D$658,'MAIN TABLE-1 AUTOMATED'!O2240))</f>
        <v/>
      </c>
      <c r="R2240" s="41" t="str">
        <f>IF(Table1[[#This Row],[QUANTITY]]=0,"",Table1[[#This Row],[UNIT PRICE]]*Table1[[#This Row],[QUANTITY]])</f>
        <v/>
      </c>
      <c r="S2240" s="89"/>
      <c r="T2240" s="38"/>
      <c r="U2240" s="43"/>
      <c r="V2240" s="42" t="str">
        <f>IF(Table1[[#This Row],[DATE]]=0,"",YEAR(E2240))</f>
        <v/>
      </c>
      <c r="W2240" s="40" t="str">
        <f t="shared" si="70"/>
        <v/>
      </c>
      <c r="X2240" s="40" t="str">
        <f t="shared" si="71"/>
        <v/>
      </c>
      <c r="Y2240" s="40" t="str">
        <f>TEXT(Table1[[#This Row],[YEAR]],"0000")&amp;"-"&amp;Table1[[#This Row],[MONTH]]</f>
        <v>-</v>
      </c>
    </row>
    <row r="2241" spans="1:25" ht="15" customHeight="1" x14ac:dyDescent="0.35">
      <c r="A2241" s="24"/>
      <c r="B2241" s="38"/>
      <c r="C2241" s="38"/>
      <c r="D2241" s="38"/>
      <c r="E2241" s="37"/>
      <c r="F2241" s="38"/>
      <c r="G2241" s="198"/>
      <c r="H2241" s="198"/>
      <c r="I2241" s="39"/>
      <c r="J2241" s="245"/>
      <c r="K2241" s="38"/>
      <c r="L2241" s="38"/>
      <c r="M2241" s="38"/>
      <c r="N2241" s="38"/>
      <c r="O2241" s="38"/>
      <c r="P2241" s="40" t="str" cm="1">
        <f t="array" ref="P2241">IF(N2241="","",IFERROR(_xlfn.XLOOKUP(F2241&amp;"|"&amp;J2241&amp;"|"&amp;O2241,PRICES!$C$2:$C$659&amp;"|"&amp;PRICES!$B$2:$B$659&amp;"|"&amp;PRICES!$D$2:$D$659,PRICES!$E$2:$E$659),"Not Found"))</f>
        <v/>
      </c>
      <c r="Q2241" s="100" t="str">
        <f>IF(N2241=0,"",SUMIFS(PRICES!$G$2:$G$658,PRICES!$B$2:$B$658,'MAIN TABLE-1 AUTOMATED'!J2241,PRICES!$C$2:$C$658,'MAIN TABLE-1 AUTOMATED'!F2241,PRICES!$D$2:$D$658,'MAIN TABLE-1 AUTOMATED'!O2241))</f>
        <v/>
      </c>
      <c r="R2241" s="41" t="str">
        <f>IF(Table1[[#This Row],[QUANTITY]]=0,"",Table1[[#This Row],[UNIT PRICE]]*Table1[[#This Row],[QUANTITY]])</f>
        <v/>
      </c>
      <c r="S2241" s="89"/>
      <c r="T2241" s="38"/>
      <c r="U2241" s="43"/>
      <c r="V2241" s="42" t="str">
        <f>IF(Table1[[#This Row],[DATE]]=0,"",YEAR(E2241))</f>
        <v/>
      </c>
      <c r="W2241" s="40" t="str">
        <f t="shared" si="70"/>
        <v/>
      </c>
      <c r="X2241" s="40" t="str">
        <f t="shared" si="71"/>
        <v/>
      </c>
      <c r="Y2241" s="40" t="str">
        <f>TEXT(Table1[[#This Row],[YEAR]],"0000")&amp;"-"&amp;Table1[[#This Row],[MONTH]]</f>
        <v>-</v>
      </c>
    </row>
    <row r="2242" spans="1:25" ht="15" customHeight="1" x14ac:dyDescent="0.35">
      <c r="A2242" s="24"/>
      <c r="B2242" s="38"/>
      <c r="C2242" s="38"/>
      <c r="D2242" s="38"/>
      <c r="E2242" s="37"/>
      <c r="F2242" s="38"/>
      <c r="G2242" s="198"/>
      <c r="H2242" s="198"/>
      <c r="I2242" s="39"/>
      <c r="J2242" s="38"/>
      <c r="K2242" s="198"/>
      <c r="L2242" s="38"/>
      <c r="M2242" s="38"/>
      <c r="N2242" s="38"/>
      <c r="O2242" s="38"/>
      <c r="P2242" s="40" t="str" cm="1">
        <f t="array" ref="P2242">IF(N2242="","",IFERROR(_xlfn.XLOOKUP(F2242&amp;"|"&amp;J2242&amp;"|"&amp;O2242,PRICES!$C$2:$C$659&amp;"|"&amp;PRICES!$B$2:$B$659&amp;"|"&amp;PRICES!$D$2:$D$659,PRICES!$E$2:$E$659),"Not Found"))</f>
        <v/>
      </c>
      <c r="Q2242" s="100" t="str">
        <f>IF(N2242=0,"",SUMIFS(PRICES!$G$2:$G$658,PRICES!$B$2:$B$658,'MAIN TABLE-1 AUTOMATED'!J2242,PRICES!$C$2:$C$658,'MAIN TABLE-1 AUTOMATED'!F2242,PRICES!$D$2:$D$658,'MAIN TABLE-1 AUTOMATED'!O2242))</f>
        <v/>
      </c>
      <c r="R2242" s="41" t="str">
        <f>IF(Table1[[#This Row],[QUANTITY]]=0,"",Table1[[#This Row],[UNIT PRICE]]*Table1[[#This Row],[QUANTITY]])</f>
        <v/>
      </c>
      <c r="S2242" s="89"/>
      <c r="T2242" s="38"/>
      <c r="U2242" s="43"/>
      <c r="V2242" s="42" t="str">
        <f>IF(Table1[[#This Row],[DATE]]=0,"",YEAR(E2242))</f>
        <v/>
      </c>
      <c r="W2242" s="40" t="str">
        <f t="shared" si="70"/>
        <v/>
      </c>
      <c r="X2242" s="40" t="str">
        <f t="shared" si="71"/>
        <v/>
      </c>
      <c r="Y2242" s="40" t="str">
        <f>TEXT(Table1[[#This Row],[YEAR]],"0000")&amp;"-"&amp;Table1[[#This Row],[MONTH]]</f>
        <v>-</v>
      </c>
    </row>
    <row r="2243" spans="1:25" ht="15" customHeight="1" x14ac:dyDescent="0.35">
      <c r="A2243" s="24"/>
      <c r="B2243" s="38"/>
      <c r="C2243" s="38"/>
      <c r="D2243" s="38"/>
      <c r="E2243" s="37"/>
      <c r="F2243" s="38"/>
      <c r="G2243" s="198"/>
      <c r="H2243" s="198"/>
      <c r="I2243" s="39"/>
      <c r="J2243" s="38"/>
      <c r="K2243" s="198"/>
      <c r="L2243" s="38"/>
      <c r="M2243" s="38"/>
      <c r="N2243" s="38"/>
      <c r="O2243" s="38"/>
      <c r="P2243" s="40" t="str" cm="1">
        <f t="array" ref="P2243">IF(N2243="","",IFERROR(_xlfn.XLOOKUP(F2243&amp;"|"&amp;J2243&amp;"|"&amp;O2243,PRICES!$C$2:$C$659&amp;"|"&amp;PRICES!$B$2:$B$659&amp;"|"&amp;PRICES!$D$2:$D$659,PRICES!$E$2:$E$659),"Not Found"))</f>
        <v/>
      </c>
      <c r="Q2243" s="100" t="str">
        <f>IF(N2243=0,"",SUMIFS(PRICES!$G$2:$G$658,PRICES!$B$2:$B$658,'MAIN TABLE-1 AUTOMATED'!J2243,PRICES!$C$2:$C$658,'MAIN TABLE-1 AUTOMATED'!F2243,PRICES!$D$2:$D$658,'MAIN TABLE-1 AUTOMATED'!O2243))</f>
        <v/>
      </c>
      <c r="R2243" s="41" t="str">
        <f>IF(Table1[[#This Row],[QUANTITY]]=0,"",Table1[[#This Row],[UNIT PRICE]]*Table1[[#This Row],[QUANTITY]])</f>
        <v/>
      </c>
      <c r="S2243" s="89"/>
      <c r="T2243" s="38"/>
      <c r="U2243" s="43"/>
      <c r="V2243" s="42" t="str">
        <f>IF(Table1[[#This Row],[DATE]]=0,"",YEAR(E2243))</f>
        <v/>
      </c>
      <c r="W2243" s="40" t="str">
        <f t="shared" si="70"/>
        <v/>
      </c>
      <c r="X2243" s="40" t="str">
        <f t="shared" si="71"/>
        <v/>
      </c>
      <c r="Y2243" s="40" t="str">
        <f>TEXT(Table1[[#This Row],[YEAR]],"0000")&amp;"-"&amp;Table1[[#This Row],[MONTH]]</f>
        <v>-</v>
      </c>
    </row>
    <row r="2244" spans="1:25" ht="15" customHeight="1" x14ac:dyDescent="0.35">
      <c r="A2244" s="24"/>
      <c r="B2244" s="38"/>
      <c r="C2244" s="38"/>
      <c r="D2244" s="38"/>
      <c r="E2244" s="37"/>
      <c r="F2244" s="38"/>
      <c r="G2244" s="233"/>
      <c r="H2244" s="233"/>
      <c r="I2244" s="39"/>
      <c r="J2244" s="38"/>
      <c r="K2244" s="198"/>
      <c r="L2244" s="38"/>
      <c r="M2244" s="38"/>
      <c r="N2244" s="38"/>
      <c r="O2244" s="38"/>
      <c r="P2244" s="40" t="str" cm="1">
        <f t="array" ref="P2244">IF(N2244="","",IFERROR(_xlfn.XLOOKUP(F2244&amp;"|"&amp;J2244&amp;"|"&amp;O2244,PRICES!$C$2:$C$659&amp;"|"&amp;PRICES!$B$2:$B$659&amp;"|"&amp;PRICES!$D$2:$D$659,PRICES!$E$2:$E$659),"Not Found"))</f>
        <v/>
      </c>
      <c r="Q2244" s="100" t="str">
        <f>IF(N2244=0,"",SUMIFS(PRICES!$G$2:$G$658,PRICES!$B$2:$B$658,'MAIN TABLE-1 AUTOMATED'!J2244,PRICES!$C$2:$C$658,'MAIN TABLE-1 AUTOMATED'!F2244,PRICES!$D$2:$D$658,'MAIN TABLE-1 AUTOMATED'!O2244))</f>
        <v/>
      </c>
      <c r="R2244" s="41" t="str">
        <f>IF(Table1[[#This Row],[QUANTITY]]=0,"",Table1[[#This Row],[UNIT PRICE]]*Table1[[#This Row],[QUANTITY]])</f>
        <v/>
      </c>
      <c r="S2244" s="89"/>
      <c r="T2244" s="38"/>
      <c r="U2244" s="43"/>
      <c r="V2244" s="42" t="str">
        <f>IF(Table1[[#This Row],[DATE]]=0,"",YEAR(E2244))</f>
        <v/>
      </c>
      <c r="W2244" s="40" t="str">
        <f t="shared" si="70"/>
        <v/>
      </c>
      <c r="X2244" s="40" t="str">
        <f t="shared" si="71"/>
        <v/>
      </c>
      <c r="Y2244" s="40" t="str">
        <f>TEXT(Table1[[#This Row],[YEAR]],"0000")&amp;"-"&amp;Table1[[#This Row],[MONTH]]</f>
        <v>-</v>
      </c>
    </row>
    <row r="2245" spans="1:25" ht="15" customHeight="1" x14ac:dyDescent="0.35">
      <c r="A2245" s="24"/>
      <c r="B2245" s="38"/>
      <c r="C2245" s="38"/>
      <c r="D2245" s="38"/>
      <c r="E2245" s="37"/>
      <c r="F2245" s="38"/>
      <c r="G2245" s="198"/>
      <c r="H2245" s="198"/>
      <c r="I2245" s="39"/>
      <c r="J2245" s="38"/>
      <c r="K2245" s="198"/>
      <c r="L2245" s="38"/>
      <c r="M2245" s="38"/>
      <c r="N2245" s="38"/>
      <c r="O2245" s="38"/>
      <c r="P2245" s="40" t="str" cm="1">
        <f t="array" ref="P2245">IF(N2245="","",IFERROR(_xlfn.XLOOKUP(F2245&amp;"|"&amp;J2245&amp;"|"&amp;O2245,PRICES!$C$2:$C$659&amp;"|"&amp;PRICES!$B$2:$B$659&amp;"|"&amp;PRICES!$D$2:$D$659,PRICES!$E$2:$E$659),"Not Found"))</f>
        <v/>
      </c>
      <c r="Q2245" s="100" t="str">
        <f>IF(N2245=0,"",SUMIFS(PRICES!$G$2:$G$658,PRICES!$B$2:$B$658,'MAIN TABLE-1 AUTOMATED'!J2245,PRICES!$C$2:$C$658,'MAIN TABLE-1 AUTOMATED'!F2245,PRICES!$D$2:$D$658,'MAIN TABLE-1 AUTOMATED'!O2245))</f>
        <v/>
      </c>
      <c r="R2245" s="41" t="str">
        <f>IF(Table1[[#This Row],[QUANTITY]]=0,"",Table1[[#This Row],[UNIT PRICE]]*Table1[[#This Row],[QUANTITY]])</f>
        <v/>
      </c>
      <c r="S2245" s="89"/>
      <c r="T2245" s="38"/>
      <c r="U2245" s="43"/>
      <c r="V2245" s="42" t="str">
        <f>IF(Table1[[#This Row],[DATE]]=0,"",YEAR(E2245))</f>
        <v/>
      </c>
      <c r="W2245" s="40" t="str">
        <f t="shared" si="70"/>
        <v/>
      </c>
      <c r="X2245" s="40" t="str">
        <f t="shared" si="71"/>
        <v/>
      </c>
      <c r="Y2245" s="40" t="str">
        <f>TEXT(Table1[[#This Row],[YEAR]],"0000")&amp;"-"&amp;Table1[[#This Row],[MONTH]]</f>
        <v>-</v>
      </c>
    </row>
    <row r="2246" spans="1:25" ht="15" customHeight="1" x14ac:dyDescent="0.35">
      <c r="A2246" s="24"/>
      <c r="B2246" s="38"/>
      <c r="C2246" s="38"/>
      <c r="D2246" s="38"/>
      <c r="E2246" s="37"/>
      <c r="F2246" s="38"/>
      <c r="G2246" s="198"/>
      <c r="H2246" s="198"/>
      <c r="I2246" s="39"/>
      <c r="J2246" s="38"/>
      <c r="K2246" s="198"/>
      <c r="L2246" s="38"/>
      <c r="M2246" s="38"/>
      <c r="N2246" s="38"/>
      <c r="O2246" s="38"/>
      <c r="P2246" s="40" t="str" cm="1">
        <f t="array" ref="P2246">IF(N2246="","",IFERROR(_xlfn.XLOOKUP(F2246&amp;"|"&amp;J2246&amp;"|"&amp;O2246,PRICES!$C$2:$C$659&amp;"|"&amp;PRICES!$B$2:$B$659&amp;"|"&amp;PRICES!$D$2:$D$659,PRICES!$E$2:$E$659),"Not Found"))</f>
        <v/>
      </c>
      <c r="Q2246" s="100" t="str">
        <f>IF(N2246=0,"",SUMIFS(PRICES!$G$2:$G$658,PRICES!$B$2:$B$658,'MAIN TABLE-1 AUTOMATED'!J2246,PRICES!$C$2:$C$658,'MAIN TABLE-1 AUTOMATED'!F2246,PRICES!$D$2:$D$658,'MAIN TABLE-1 AUTOMATED'!O2246))</f>
        <v/>
      </c>
      <c r="R2246" s="41" t="str">
        <f>IF(Table1[[#This Row],[QUANTITY]]=0,"",Table1[[#This Row],[UNIT PRICE]]*Table1[[#This Row],[QUANTITY]])</f>
        <v/>
      </c>
      <c r="S2246" s="89"/>
      <c r="T2246" s="38"/>
      <c r="U2246" s="43"/>
      <c r="V2246" s="42" t="str">
        <f>IF(Table1[[#This Row],[DATE]]=0,"",YEAR(E2246))</f>
        <v/>
      </c>
      <c r="W2246" s="40" t="str">
        <f t="shared" si="70"/>
        <v/>
      </c>
      <c r="X2246" s="40" t="str">
        <f t="shared" si="71"/>
        <v/>
      </c>
      <c r="Y2246" s="40" t="str">
        <f>TEXT(Table1[[#This Row],[YEAR]],"0000")&amp;"-"&amp;Table1[[#This Row],[MONTH]]</f>
        <v>-</v>
      </c>
    </row>
    <row r="2247" spans="1:25" ht="15" customHeight="1" x14ac:dyDescent="0.35">
      <c r="A2247" s="24"/>
      <c r="B2247" s="38"/>
      <c r="C2247" s="38"/>
      <c r="D2247" s="38"/>
      <c r="E2247" s="37"/>
      <c r="F2247" s="38"/>
      <c r="G2247" s="198"/>
      <c r="H2247" s="198"/>
      <c r="I2247" s="39"/>
      <c r="J2247" s="38"/>
      <c r="K2247" s="198"/>
      <c r="L2247" s="38"/>
      <c r="M2247" s="38"/>
      <c r="N2247" s="38"/>
      <c r="O2247" s="38"/>
      <c r="P2247" s="40" t="str" cm="1">
        <f t="array" ref="P2247">IF(N2247="","",IFERROR(_xlfn.XLOOKUP(F2247&amp;"|"&amp;J2247&amp;"|"&amp;O2247,PRICES!$C$2:$C$659&amp;"|"&amp;PRICES!$B$2:$B$659&amp;"|"&amp;PRICES!$D$2:$D$659,PRICES!$E$2:$E$659),"Not Found"))</f>
        <v/>
      </c>
      <c r="Q2247" s="100" t="str">
        <f>IF(N2247=0,"",SUMIFS(PRICES!$G$2:$G$658,PRICES!$B$2:$B$658,'MAIN TABLE-1 AUTOMATED'!J2247,PRICES!$C$2:$C$658,'MAIN TABLE-1 AUTOMATED'!F2247,PRICES!$D$2:$D$658,'MAIN TABLE-1 AUTOMATED'!O2247))</f>
        <v/>
      </c>
      <c r="R2247" s="41" t="str">
        <f>IF(Table1[[#This Row],[QUANTITY]]=0,"",Table1[[#This Row],[UNIT PRICE]]*Table1[[#This Row],[QUANTITY]])</f>
        <v/>
      </c>
      <c r="S2247" s="89"/>
      <c r="T2247" s="38"/>
      <c r="U2247" s="43"/>
      <c r="V2247" s="42" t="str">
        <f>IF(Table1[[#This Row],[DATE]]=0,"",YEAR(E2247))</f>
        <v/>
      </c>
      <c r="W2247" s="40" t="str">
        <f t="shared" si="70"/>
        <v/>
      </c>
      <c r="X2247" s="40" t="str">
        <f t="shared" si="71"/>
        <v/>
      </c>
      <c r="Y2247" s="40" t="str">
        <f>TEXT(Table1[[#This Row],[YEAR]],"0000")&amp;"-"&amp;Table1[[#This Row],[MONTH]]</f>
        <v>-</v>
      </c>
    </row>
    <row r="2248" spans="1:25" ht="15" customHeight="1" x14ac:dyDescent="0.35">
      <c r="A2248" s="24"/>
      <c r="B2248" s="38"/>
      <c r="C2248" s="38"/>
      <c r="D2248" s="38"/>
      <c r="E2248" s="37"/>
      <c r="F2248" s="38"/>
      <c r="G2248" s="198"/>
      <c r="H2248" s="198"/>
      <c r="I2248" s="39"/>
      <c r="J2248" s="38"/>
      <c r="K2248" s="198"/>
      <c r="L2248" s="38"/>
      <c r="M2248" s="38"/>
      <c r="N2248" s="38"/>
      <c r="O2248" s="38"/>
      <c r="P2248" s="40" t="str" cm="1">
        <f t="array" ref="P2248">IF(N2248="","",IFERROR(_xlfn.XLOOKUP(F2248&amp;"|"&amp;J2248&amp;"|"&amp;O2248,PRICES!$C$2:$C$659&amp;"|"&amp;PRICES!$B$2:$B$659&amp;"|"&amp;PRICES!$D$2:$D$659,PRICES!$E$2:$E$659),"Not Found"))</f>
        <v/>
      </c>
      <c r="Q2248" s="100" t="str">
        <f>IF(N2248=0,"",SUMIFS(PRICES!$G$2:$G$658,PRICES!$B$2:$B$658,'MAIN TABLE-1 AUTOMATED'!J2248,PRICES!$C$2:$C$658,'MAIN TABLE-1 AUTOMATED'!F2248,PRICES!$D$2:$D$658,'MAIN TABLE-1 AUTOMATED'!O2248))</f>
        <v/>
      </c>
      <c r="R2248" s="41" t="str">
        <f>IF(Table1[[#This Row],[QUANTITY]]=0,"",Table1[[#This Row],[UNIT PRICE]]*Table1[[#This Row],[QUANTITY]])</f>
        <v/>
      </c>
      <c r="S2248" s="89"/>
      <c r="T2248" s="38"/>
      <c r="U2248" s="43"/>
      <c r="V2248" s="42" t="str">
        <f>IF(Table1[[#This Row],[DATE]]=0,"",YEAR(E2248))</f>
        <v/>
      </c>
      <c r="W2248" s="40" t="str">
        <f t="shared" si="70"/>
        <v/>
      </c>
      <c r="X2248" s="40" t="str">
        <f t="shared" si="71"/>
        <v/>
      </c>
      <c r="Y2248" s="40" t="str">
        <f>TEXT(Table1[[#This Row],[YEAR]],"0000")&amp;"-"&amp;Table1[[#This Row],[MONTH]]</f>
        <v>-</v>
      </c>
    </row>
    <row r="2249" spans="1:25" ht="15" customHeight="1" x14ac:dyDescent="0.35">
      <c r="A2249" s="24"/>
      <c r="B2249" s="38"/>
      <c r="C2249" s="38"/>
      <c r="D2249" s="38"/>
      <c r="E2249" s="37"/>
      <c r="F2249" s="38"/>
      <c r="G2249" s="198"/>
      <c r="H2249" s="198"/>
      <c r="I2249" s="39"/>
      <c r="J2249" s="38"/>
      <c r="K2249" s="198"/>
      <c r="L2249" s="38"/>
      <c r="M2249" s="38"/>
      <c r="N2249" s="38"/>
      <c r="O2249" s="38"/>
      <c r="P2249" s="40" t="str" cm="1">
        <f t="array" ref="P2249">IF(N2249="","",IFERROR(_xlfn.XLOOKUP(F2249&amp;"|"&amp;J2249&amp;"|"&amp;O2249,PRICES!$C$2:$C$659&amp;"|"&amp;PRICES!$B$2:$B$659&amp;"|"&amp;PRICES!$D$2:$D$659,PRICES!$E$2:$E$659),"Not Found"))</f>
        <v/>
      </c>
      <c r="Q2249" s="100" t="str">
        <f>IF(N2249=0,"",SUMIFS(PRICES!$G$2:$G$658,PRICES!$B$2:$B$658,'MAIN TABLE-1 AUTOMATED'!J2249,PRICES!$C$2:$C$658,'MAIN TABLE-1 AUTOMATED'!F2249,PRICES!$D$2:$D$658,'MAIN TABLE-1 AUTOMATED'!O2249))</f>
        <v/>
      </c>
      <c r="R2249" s="41" t="str">
        <f>IF(Table1[[#This Row],[QUANTITY]]=0,"",Table1[[#This Row],[UNIT PRICE]]*Table1[[#This Row],[QUANTITY]])</f>
        <v/>
      </c>
      <c r="S2249" s="89"/>
      <c r="T2249" s="38"/>
      <c r="U2249" s="43"/>
      <c r="V2249" s="42" t="str">
        <f>IF(Table1[[#This Row],[DATE]]=0,"",YEAR(E2249))</f>
        <v/>
      </c>
      <c r="W2249" s="40" t="str">
        <f t="shared" si="70"/>
        <v/>
      </c>
      <c r="X2249" s="40" t="str">
        <f t="shared" si="71"/>
        <v/>
      </c>
      <c r="Y2249" s="40" t="str">
        <f>TEXT(Table1[[#This Row],[YEAR]],"0000")&amp;"-"&amp;Table1[[#This Row],[MONTH]]</f>
        <v>-</v>
      </c>
    </row>
    <row r="2250" spans="1:25" ht="15" customHeight="1" x14ac:dyDescent="0.35">
      <c r="A2250" s="24"/>
      <c r="B2250" s="38"/>
      <c r="C2250" s="38"/>
      <c r="D2250" s="38"/>
      <c r="E2250" s="37"/>
      <c r="F2250" s="38"/>
      <c r="G2250" s="198"/>
      <c r="H2250" s="198"/>
      <c r="I2250" s="39"/>
      <c r="J2250" s="38"/>
      <c r="K2250" s="198"/>
      <c r="L2250" s="38"/>
      <c r="M2250" s="38"/>
      <c r="N2250" s="38"/>
      <c r="O2250" s="38"/>
      <c r="P2250" s="40" t="str" cm="1">
        <f t="array" ref="P2250">IF(N2250="","",IFERROR(_xlfn.XLOOKUP(F2250&amp;"|"&amp;J2250&amp;"|"&amp;O2250,PRICES!$C$2:$C$659&amp;"|"&amp;PRICES!$B$2:$B$659&amp;"|"&amp;PRICES!$D$2:$D$659,PRICES!$E$2:$E$659),"Not Found"))</f>
        <v/>
      </c>
      <c r="Q2250" s="100" t="str">
        <f>IF(N2250=0,"",SUMIFS(PRICES!$G$2:$G$658,PRICES!$B$2:$B$658,'MAIN TABLE-1 AUTOMATED'!J2250,PRICES!$C$2:$C$658,'MAIN TABLE-1 AUTOMATED'!F2250,PRICES!$D$2:$D$658,'MAIN TABLE-1 AUTOMATED'!O2250))</f>
        <v/>
      </c>
      <c r="R2250" s="41" t="str">
        <f>IF(Table1[[#This Row],[QUANTITY]]=0,"",Table1[[#This Row],[UNIT PRICE]]*Table1[[#This Row],[QUANTITY]])</f>
        <v/>
      </c>
      <c r="S2250" s="89"/>
      <c r="T2250" s="38"/>
      <c r="U2250" s="43"/>
      <c r="V2250" s="42" t="str">
        <f>IF(Table1[[#This Row],[DATE]]=0,"",YEAR(E2250))</f>
        <v/>
      </c>
      <c r="W2250" s="40" t="str">
        <f t="shared" si="70"/>
        <v/>
      </c>
      <c r="X2250" s="40" t="str">
        <f t="shared" si="71"/>
        <v/>
      </c>
      <c r="Y2250" s="40" t="str">
        <f>TEXT(Table1[[#This Row],[YEAR]],"0000")&amp;"-"&amp;Table1[[#This Row],[MONTH]]</f>
        <v>-</v>
      </c>
    </row>
    <row r="2251" spans="1:25" ht="15" customHeight="1" x14ac:dyDescent="0.35">
      <c r="A2251" s="24"/>
      <c r="B2251" s="38"/>
      <c r="C2251" s="38"/>
      <c r="D2251" s="38"/>
      <c r="E2251" s="37"/>
      <c r="F2251" s="38"/>
      <c r="G2251" s="198"/>
      <c r="H2251" s="198"/>
      <c r="I2251" s="39"/>
      <c r="J2251" s="38"/>
      <c r="K2251" s="198"/>
      <c r="L2251" s="38"/>
      <c r="M2251" s="38"/>
      <c r="N2251" s="38"/>
      <c r="O2251" s="38"/>
      <c r="P2251" s="40" t="str" cm="1">
        <f t="array" ref="P2251">IF(N2251="","",IFERROR(_xlfn.XLOOKUP(F2251&amp;"|"&amp;J2251&amp;"|"&amp;O2251,PRICES!$C$2:$C$659&amp;"|"&amp;PRICES!$B$2:$B$659&amp;"|"&amp;PRICES!$D$2:$D$659,PRICES!$E$2:$E$659),"Not Found"))</f>
        <v/>
      </c>
      <c r="Q2251" s="100" t="str">
        <f>IF(N2251=0,"",SUMIFS(PRICES!$G$2:$G$658,PRICES!$B$2:$B$658,'MAIN TABLE-1 AUTOMATED'!J2251,PRICES!$C$2:$C$658,'MAIN TABLE-1 AUTOMATED'!F2251,PRICES!$D$2:$D$658,'MAIN TABLE-1 AUTOMATED'!O2251))</f>
        <v/>
      </c>
      <c r="R2251" s="41" t="str">
        <f>IF(Table1[[#This Row],[QUANTITY]]=0,"",Table1[[#This Row],[UNIT PRICE]]*Table1[[#This Row],[QUANTITY]])</f>
        <v/>
      </c>
      <c r="S2251" s="89"/>
      <c r="T2251" s="38"/>
      <c r="U2251" s="43"/>
      <c r="V2251" s="42" t="str">
        <f>IF(Table1[[#This Row],[DATE]]=0,"",YEAR(E2251))</f>
        <v/>
      </c>
      <c r="W2251" s="40" t="str">
        <f t="shared" si="70"/>
        <v/>
      </c>
      <c r="X2251" s="40" t="str">
        <f t="shared" si="71"/>
        <v/>
      </c>
      <c r="Y2251" s="40" t="str">
        <f>TEXT(Table1[[#This Row],[YEAR]],"0000")&amp;"-"&amp;Table1[[#This Row],[MONTH]]</f>
        <v>-</v>
      </c>
    </row>
    <row r="2252" spans="1:25" ht="15" customHeight="1" x14ac:dyDescent="0.35">
      <c r="A2252" s="24"/>
      <c r="B2252" s="38"/>
      <c r="C2252" s="38"/>
      <c r="D2252" s="38"/>
      <c r="E2252" s="37"/>
      <c r="F2252" s="38"/>
      <c r="G2252" s="198"/>
      <c r="H2252" s="198"/>
      <c r="I2252" s="39"/>
      <c r="J2252" s="38"/>
      <c r="K2252" s="198"/>
      <c r="L2252" s="38"/>
      <c r="M2252" s="38"/>
      <c r="N2252" s="38"/>
      <c r="O2252" s="38"/>
      <c r="P2252" s="40" t="str" cm="1">
        <f t="array" ref="P2252">IF(N2252="","",IFERROR(_xlfn.XLOOKUP(F2252&amp;"|"&amp;J2252&amp;"|"&amp;O2252,PRICES!$C$2:$C$659&amp;"|"&amp;PRICES!$B$2:$B$659&amp;"|"&amp;PRICES!$D$2:$D$659,PRICES!$E$2:$E$659),"Not Found"))</f>
        <v/>
      </c>
      <c r="Q2252" s="100" t="str">
        <f>IF(N2252=0,"",SUMIFS(PRICES!$G$2:$G$658,PRICES!$B$2:$B$658,'MAIN TABLE-1 AUTOMATED'!J2252,PRICES!$C$2:$C$658,'MAIN TABLE-1 AUTOMATED'!F2252,PRICES!$D$2:$D$658,'MAIN TABLE-1 AUTOMATED'!O2252))</f>
        <v/>
      </c>
      <c r="R2252" s="41" t="str">
        <f>IF(Table1[[#This Row],[QUANTITY]]=0,"",Table1[[#This Row],[UNIT PRICE]]*Table1[[#This Row],[QUANTITY]])</f>
        <v/>
      </c>
      <c r="S2252" s="89"/>
      <c r="T2252" s="38"/>
      <c r="U2252" s="43"/>
      <c r="V2252" s="42" t="str">
        <f>IF(Table1[[#This Row],[DATE]]=0,"",YEAR(E2252))</f>
        <v/>
      </c>
      <c r="W2252" s="40" t="str">
        <f t="shared" si="70"/>
        <v/>
      </c>
      <c r="X2252" s="40" t="str">
        <f t="shared" si="71"/>
        <v/>
      </c>
      <c r="Y2252" s="40" t="str">
        <f>TEXT(Table1[[#This Row],[YEAR]],"0000")&amp;"-"&amp;Table1[[#This Row],[MONTH]]</f>
        <v>-</v>
      </c>
    </row>
    <row r="2253" spans="1:25" ht="15" customHeight="1" x14ac:dyDescent="0.35">
      <c r="A2253" s="24"/>
      <c r="B2253" s="38"/>
      <c r="C2253" s="38"/>
      <c r="D2253" s="38"/>
      <c r="E2253" s="37"/>
      <c r="F2253" s="38"/>
      <c r="G2253" s="198"/>
      <c r="H2253" s="198"/>
      <c r="I2253" s="39"/>
      <c r="J2253" s="38"/>
      <c r="K2253" s="198"/>
      <c r="L2253" s="38"/>
      <c r="M2253" s="38"/>
      <c r="N2253" s="38"/>
      <c r="O2253" s="38"/>
      <c r="P2253" s="40" t="str" cm="1">
        <f t="array" ref="P2253">IF(N2253="","",IFERROR(_xlfn.XLOOKUP(F2253&amp;"|"&amp;J2253&amp;"|"&amp;O2253,PRICES!$C$2:$C$659&amp;"|"&amp;PRICES!$B$2:$B$659&amp;"|"&amp;PRICES!$D$2:$D$659,PRICES!$E$2:$E$659),"Not Found"))</f>
        <v/>
      </c>
      <c r="Q2253" s="100" t="str">
        <f>IF(N2253=0,"",SUMIFS(PRICES!$G$2:$G$658,PRICES!$B$2:$B$658,'MAIN TABLE-1 AUTOMATED'!J2253,PRICES!$C$2:$C$658,'MAIN TABLE-1 AUTOMATED'!F2253,PRICES!$D$2:$D$658,'MAIN TABLE-1 AUTOMATED'!O2253))</f>
        <v/>
      </c>
      <c r="R2253" s="41" t="str">
        <f>IF(Table1[[#This Row],[QUANTITY]]=0,"",Table1[[#This Row],[UNIT PRICE]]*Table1[[#This Row],[QUANTITY]])</f>
        <v/>
      </c>
      <c r="S2253" s="89"/>
      <c r="T2253" s="38"/>
      <c r="U2253" s="43"/>
      <c r="V2253" s="42" t="str">
        <f>IF(Table1[[#This Row],[DATE]]=0,"",YEAR(E2253))</f>
        <v/>
      </c>
      <c r="W2253" s="40" t="str">
        <f t="shared" si="70"/>
        <v/>
      </c>
      <c r="X2253" s="40" t="str">
        <f t="shared" si="71"/>
        <v/>
      </c>
      <c r="Y2253" s="40" t="str">
        <f>TEXT(Table1[[#This Row],[YEAR]],"0000")&amp;"-"&amp;Table1[[#This Row],[MONTH]]</f>
        <v>-</v>
      </c>
    </row>
    <row r="2254" spans="1:25" ht="15" customHeight="1" x14ac:dyDescent="0.35">
      <c r="A2254" s="24"/>
      <c r="B2254" s="38"/>
      <c r="C2254" s="38"/>
      <c r="D2254" s="38"/>
      <c r="E2254" s="37"/>
      <c r="F2254" s="38"/>
      <c r="G2254" s="198"/>
      <c r="H2254" s="198"/>
      <c r="I2254" s="39"/>
      <c r="J2254" s="38"/>
      <c r="K2254" s="198"/>
      <c r="L2254" s="38"/>
      <c r="M2254" s="38"/>
      <c r="N2254" s="38"/>
      <c r="O2254" s="38"/>
      <c r="P2254" s="40" t="str" cm="1">
        <f t="array" ref="P2254">IF(N2254="","",IFERROR(_xlfn.XLOOKUP(F2254&amp;"|"&amp;J2254&amp;"|"&amp;O2254,PRICES!$C$2:$C$659&amp;"|"&amp;PRICES!$B$2:$B$659&amp;"|"&amp;PRICES!$D$2:$D$659,PRICES!$E$2:$E$659),"Not Found"))</f>
        <v/>
      </c>
      <c r="Q2254" s="100" t="str">
        <f>IF(N2254=0,"",SUMIFS(PRICES!$G$2:$G$658,PRICES!$B$2:$B$658,'MAIN TABLE-1 AUTOMATED'!J2254,PRICES!$C$2:$C$658,'MAIN TABLE-1 AUTOMATED'!F2254,PRICES!$D$2:$D$658,'MAIN TABLE-1 AUTOMATED'!O2254))</f>
        <v/>
      </c>
      <c r="R2254" s="41" t="str">
        <f>IF(Table1[[#This Row],[QUANTITY]]=0,"",Table1[[#This Row],[UNIT PRICE]]*Table1[[#This Row],[QUANTITY]])</f>
        <v/>
      </c>
      <c r="S2254" s="89"/>
      <c r="T2254" s="38"/>
      <c r="U2254" s="43"/>
      <c r="V2254" s="42" t="str">
        <f>IF(Table1[[#This Row],[DATE]]=0,"",YEAR(E2254))</f>
        <v/>
      </c>
      <c r="W2254" s="40" t="str">
        <f t="shared" si="70"/>
        <v/>
      </c>
      <c r="X2254" s="40" t="str">
        <f t="shared" si="71"/>
        <v/>
      </c>
      <c r="Y2254" s="40" t="str">
        <f>TEXT(Table1[[#This Row],[YEAR]],"0000")&amp;"-"&amp;Table1[[#This Row],[MONTH]]</f>
        <v>-</v>
      </c>
    </row>
    <row r="2255" spans="1:25" ht="15" customHeight="1" x14ac:dyDescent="0.35">
      <c r="A2255" s="24"/>
      <c r="B2255" s="38"/>
      <c r="C2255" s="38"/>
      <c r="D2255" s="38"/>
      <c r="E2255" s="37"/>
      <c r="F2255" s="38"/>
      <c r="G2255" s="198"/>
      <c r="H2255" s="198"/>
      <c r="I2255" s="39"/>
      <c r="J2255" s="38"/>
      <c r="K2255" s="198"/>
      <c r="L2255" s="38"/>
      <c r="M2255" s="38"/>
      <c r="N2255" s="38"/>
      <c r="O2255" s="38"/>
      <c r="P2255" s="40" t="str" cm="1">
        <f t="array" ref="P2255">IF(N2255="","",IFERROR(_xlfn.XLOOKUP(F2255&amp;"|"&amp;J2255&amp;"|"&amp;O2255,PRICES!$C$2:$C$659&amp;"|"&amp;PRICES!$B$2:$B$659&amp;"|"&amp;PRICES!$D$2:$D$659,PRICES!$E$2:$E$659),"Not Found"))</f>
        <v/>
      </c>
      <c r="Q2255" s="100" t="str">
        <f>IF(N2255=0,"",SUMIFS(PRICES!$G$2:$G$658,PRICES!$B$2:$B$658,'MAIN TABLE-1 AUTOMATED'!J2255,PRICES!$C$2:$C$658,'MAIN TABLE-1 AUTOMATED'!F2255,PRICES!$D$2:$D$658,'MAIN TABLE-1 AUTOMATED'!O2255))</f>
        <v/>
      </c>
      <c r="R2255" s="41" t="str">
        <f>IF(Table1[[#This Row],[QUANTITY]]=0,"",Table1[[#This Row],[UNIT PRICE]]*Table1[[#This Row],[QUANTITY]])</f>
        <v/>
      </c>
      <c r="S2255" s="89"/>
      <c r="T2255" s="38"/>
      <c r="U2255" s="43"/>
      <c r="V2255" s="42" t="str">
        <f>IF(Table1[[#This Row],[DATE]]=0,"",YEAR(E2255))</f>
        <v/>
      </c>
      <c r="W2255" s="40" t="str">
        <f t="shared" si="70"/>
        <v/>
      </c>
      <c r="X2255" s="40" t="str">
        <f t="shared" si="71"/>
        <v/>
      </c>
      <c r="Y2255" s="40" t="str">
        <f>TEXT(Table1[[#This Row],[YEAR]],"0000")&amp;"-"&amp;Table1[[#This Row],[MONTH]]</f>
        <v>-</v>
      </c>
    </row>
    <row r="2256" spans="1:25" ht="15" customHeight="1" x14ac:dyDescent="0.35">
      <c r="A2256" s="24"/>
      <c r="B2256" s="38"/>
      <c r="C2256" s="38"/>
      <c r="D2256" s="38"/>
      <c r="E2256" s="37"/>
      <c r="F2256" s="38"/>
      <c r="G2256" s="198"/>
      <c r="H2256" s="198"/>
      <c r="I2256" s="39"/>
      <c r="J2256" s="38"/>
      <c r="K2256" s="198"/>
      <c r="L2256" s="38"/>
      <c r="M2256" s="38"/>
      <c r="N2256" s="38"/>
      <c r="O2256" s="38"/>
      <c r="P2256" s="40" t="str" cm="1">
        <f t="array" ref="P2256">IF(N2256="","",IFERROR(_xlfn.XLOOKUP(F2256&amp;"|"&amp;J2256&amp;"|"&amp;O2256,PRICES!$C$2:$C$659&amp;"|"&amp;PRICES!$B$2:$B$659&amp;"|"&amp;PRICES!$D$2:$D$659,PRICES!$E$2:$E$659),"Not Found"))</f>
        <v/>
      </c>
      <c r="Q2256" s="100" t="str">
        <f>IF(N2256=0,"",SUMIFS(PRICES!$G$2:$G$658,PRICES!$B$2:$B$658,'MAIN TABLE-1 AUTOMATED'!J2256,PRICES!$C$2:$C$658,'MAIN TABLE-1 AUTOMATED'!F2256,PRICES!$D$2:$D$658,'MAIN TABLE-1 AUTOMATED'!O2256))</f>
        <v/>
      </c>
      <c r="R2256" s="41" t="str">
        <f>IF(Table1[[#This Row],[QUANTITY]]=0,"",Table1[[#This Row],[UNIT PRICE]]*Table1[[#This Row],[QUANTITY]])</f>
        <v/>
      </c>
      <c r="S2256" s="89"/>
      <c r="T2256" s="38"/>
      <c r="U2256" s="43"/>
      <c r="V2256" s="42" t="str">
        <f>IF(Table1[[#This Row],[DATE]]=0,"",YEAR(E2256))</f>
        <v/>
      </c>
      <c r="W2256" s="40" t="str">
        <f t="shared" si="70"/>
        <v/>
      </c>
      <c r="X2256" s="40" t="str">
        <f t="shared" si="71"/>
        <v/>
      </c>
      <c r="Y2256" s="40" t="str">
        <f>TEXT(Table1[[#This Row],[YEAR]],"0000")&amp;"-"&amp;Table1[[#This Row],[MONTH]]</f>
        <v>-</v>
      </c>
    </row>
    <row r="2257" spans="1:25" ht="15" customHeight="1" x14ac:dyDescent="0.35">
      <c r="A2257" s="24"/>
      <c r="B2257" s="38"/>
      <c r="C2257" s="38"/>
      <c r="D2257" s="38"/>
      <c r="E2257" s="37"/>
      <c r="F2257" s="38"/>
      <c r="G2257" s="198"/>
      <c r="H2257" s="198"/>
      <c r="I2257" s="39"/>
      <c r="J2257" s="38"/>
      <c r="K2257" s="198"/>
      <c r="L2257" s="38"/>
      <c r="M2257" s="38"/>
      <c r="N2257" s="38"/>
      <c r="O2257" s="38"/>
      <c r="P2257" s="40" t="str" cm="1">
        <f t="array" ref="P2257">IF(N2257="","",IFERROR(_xlfn.XLOOKUP(F2257&amp;"|"&amp;J2257&amp;"|"&amp;O2257,PRICES!$C$2:$C$659&amp;"|"&amp;PRICES!$B$2:$B$659&amp;"|"&amp;PRICES!$D$2:$D$659,PRICES!$E$2:$E$659),"Not Found"))</f>
        <v/>
      </c>
      <c r="Q2257" s="100" t="str">
        <f>IF(N2257=0,"",SUMIFS(PRICES!$G$2:$G$658,PRICES!$B$2:$B$658,'MAIN TABLE-1 AUTOMATED'!J2257,PRICES!$C$2:$C$658,'MAIN TABLE-1 AUTOMATED'!F2257,PRICES!$D$2:$D$658,'MAIN TABLE-1 AUTOMATED'!O2257))</f>
        <v/>
      </c>
      <c r="R2257" s="41" t="str">
        <f>IF(Table1[[#This Row],[QUANTITY]]=0,"",Table1[[#This Row],[UNIT PRICE]]*Table1[[#This Row],[QUANTITY]])</f>
        <v/>
      </c>
      <c r="S2257" s="89"/>
      <c r="T2257" s="38"/>
      <c r="U2257" s="43"/>
      <c r="V2257" s="42" t="str">
        <f>IF(Table1[[#This Row],[DATE]]=0,"",YEAR(E2257))</f>
        <v/>
      </c>
      <c r="W2257" s="40" t="str">
        <f t="shared" si="70"/>
        <v/>
      </c>
      <c r="X2257" s="40" t="str">
        <f t="shared" si="71"/>
        <v/>
      </c>
      <c r="Y2257" s="40" t="str">
        <f>TEXT(Table1[[#This Row],[YEAR]],"0000")&amp;"-"&amp;Table1[[#This Row],[MONTH]]</f>
        <v>-</v>
      </c>
    </row>
    <row r="2258" spans="1:25" ht="15" customHeight="1" x14ac:dyDescent="0.35">
      <c r="A2258" s="24"/>
      <c r="B2258" s="38"/>
      <c r="C2258" s="38"/>
      <c r="D2258" s="38"/>
      <c r="E2258" s="37"/>
      <c r="F2258" s="38"/>
      <c r="G2258" s="198"/>
      <c r="H2258" s="198"/>
      <c r="I2258" s="39"/>
      <c r="J2258" s="38"/>
      <c r="K2258" s="198"/>
      <c r="L2258" s="38"/>
      <c r="M2258" s="38"/>
      <c r="N2258" s="38"/>
      <c r="O2258" s="38"/>
      <c r="P2258" s="40" t="str" cm="1">
        <f t="array" ref="P2258">IF(N2258="","",IFERROR(_xlfn.XLOOKUP(F2258&amp;"|"&amp;J2258&amp;"|"&amp;O2258,PRICES!$C$2:$C$659&amp;"|"&amp;PRICES!$B$2:$B$659&amp;"|"&amp;PRICES!$D$2:$D$659,PRICES!$E$2:$E$659),"Not Found"))</f>
        <v/>
      </c>
      <c r="Q2258" s="100" t="str">
        <f>IF(N2258=0,"",SUMIFS(PRICES!$G$2:$G$658,PRICES!$B$2:$B$658,'MAIN TABLE-1 AUTOMATED'!J2258,PRICES!$C$2:$C$658,'MAIN TABLE-1 AUTOMATED'!F2258,PRICES!$D$2:$D$658,'MAIN TABLE-1 AUTOMATED'!O2258))</f>
        <v/>
      </c>
      <c r="R2258" s="41" t="str">
        <f>IF(Table1[[#This Row],[QUANTITY]]=0,"",Table1[[#This Row],[UNIT PRICE]]*Table1[[#This Row],[QUANTITY]])</f>
        <v/>
      </c>
      <c r="S2258" s="89"/>
      <c r="T2258" s="38"/>
      <c r="U2258" s="43"/>
      <c r="V2258" s="42" t="str">
        <f>IF(Table1[[#This Row],[DATE]]=0,"",YEAR(E2258))</f>
        <v/>
      </c>
      <c r="W2258" s="40" t="str">
        <f t="shared" si="70"/>
        <v/>
      </c>
      <c r="X2258" s="40" t="str">
        <f t="shared" si="71"/>
        <v/>
      </c>
      <c r="Y2258" s="40" t="str">
        <f>TEXT(Table1[[#This Row],[YEAR]],"0000")&amp;"-"&amp;Table1[[#This Row],[MONTH]]</f>
        <v>-</v>
      </c>
    </row>
    <row r="2259" spans="1:25" ht="15" customHeight="1" x14ac:dyDescent="0.35">
      <c r="A2259" s="24"/>
      <c r="B2259" s="38"/>
      <c r="C2259" s="38"/>
      <c r="D2259" s="38"/>
      <c r="E2259" s="37"/>
      <c r="F2259" s="38"/>
      <c r="G2259" s="198"/>
      <c r="H2259" s="198"/>
      <c r="I2259" s="39"/>
      <c r="J2259" s="38"/>
      <c r="K2259" s="198"/>
      <c r="L2259" s="38"/>
      <c r="M2259" s="38"/>
      <c r="N2259" s="38"/>
      <c r="O2259" s="38"/>
      <c r="P2259" s="40" t="str" cm="1">
        <f t="array" ref="P2259">IF(N2259="","",IFERROR(_xlfn.XLOOKUP(F2259&amp;"|"&amp;J2259&amp;"|"&amp;O2259,PRICES!$C$2:$C$659&amp;"|"&amp;PRICES!$B$2:$B$659&amp;"|"&amp;PRICES!$D$2:$D$659,PRICES!$E$2:$E$659),"Not Found"))</f>
        <v/>
      </c>
      <c r="Q2259" s="100" t="str">
        <f>IF(N2259=0,"",SUMIFS(PRICES!$G$2:$G$658,PRICES!$B$2:$B$658,'MAIN TABLE-1 AUTOMATED'!J2259,PRICES!$C$2:$C$658,'MAIN TABLE-1 AUTOMATED'!F2259,PRICES!$D$2:$D$658,'MAIN TABLE-1 AUTOMATED'!O2259))</f>
        <v/>
      </c>
      <c r="R2259" s="41" t="str">
        <f>IF(Table1[[#This Row],[QUANTITY]]=0,"",Table1[[#This Row],[UNIT PRICE]]*Table1[[#This Row],[QUANTITY]])</f>
        <v/>
      </c>
      <c r="S2259" s="89"/>
      <c r="T2259" s="38"/>
      <c r="U2259" s="43"/>
      <c r="V2259" s="42" t="str">
        <f>IF(Table1[[#This Row],[DATE]]=0,"",YEAR(E2259))</f>
        <v/>
      </c>
      <c r="W2259" s="40" t="str">
        <f t="shared" si="70"/>
        <v/>
      </c>
      <c r="X2259" s="40" t="str">
        <f t="shared" si="71"/>
        <v/>
      </c>
      <c r="Y2259" s="40" t="str">
        <f>TEXT(Table1[[#This Row],[YEAR]],"0000")&amp;"-"&amp;Table1[[#This Row],[MONTH]]</f>
        <v>-</v>
      </c>
    </row>
    <row r="2260" spans="1:25" ht="15" customHeight="1" x14ac:dyDescent="0.35">
      <c r="A2260" s="180"/>
      <c r="B2260" s="38"/>
      <c r="C2260" s="38"/>
      <c r="D2260" s="38"/>
      <c r="E2260" s="37"/>
      <c r="F2260" s="38"/>
      <c r="G2260" s="198"/>
      <c r="H2260" s="198"/>
      <c r="I2260" s="39"/>
      <c r="J2260" s="38"/>
      <c r="K2260" s="198"/>
      <c r="L2260" s="38"/>
      <c r="M2260" s="38"/>
      <c r="N2260" s="38"/>
      <c r="O2260" s="38"/>
      <c r="P2260" s="40" t="str" cm="1">
        <f t="array" ref="P2260">IF(N2260="","",IFERROR(_xlfn.XLOOKUP(F2260&amp;"|"&amp;J2260&amp;"|"&amp;O2260,PRICES!$C$2:$C$659&amp;"|"&amp;PRICES!$B$2:$B$659&amp;"|"&amp;PRICES!$D$2:$D$659,PRICES!$E$2:$E$659),"Not Found"))</f>
        <v/>
      </c>
      <c r="Q2260" s="100" t="str">
        <f>IF(N2260=0,"",SUMIFS(PRICES!$G$2:$G$658,PRICES!$B$2:$B$658,'MAIN TABLE-1 AUTOMATED'!J2260,PRICES!$C$2:$C$658,'MAIN TABLE-1 AUTOMATED'!F2260,PRICES!$D$2:$D$658,'MAIN TABLE-1 AUTOMATED'!O2260))</f>
        <v/>
      </c>
      <c r="R2260" s="41" t="str">
        <f>IF(Table1[[#This Row],[QUANTITY]]=0,"",Table1[[#This Row],[UNIT PRICE]]*Table1[[#This Row],[QUANTITY]])</f>
        <v/>
      </c>
      <c r="S2260" s="89"/>
      <c r="T2260" s="38"/>
      <c r="U2260" s="43"/>
      <c r="V2260" s="42" t="str">
        <f>IF(Table1[[#This Row],[DATE]]=0,"",YEAR(E2260))</f>
        <v/>
      </c>
      <c r="W2260" s="40" t="str">
        <f t="shared" si="70"/>
        <v/>
      </c>
      <c r="X2260" s="40" t="str">
        <f t="shared" si="71"/>
        <v/>
      </c>
      <c r="Y2260" s="40" t="str">
        <f>TEXT(Table1[[#This Row],[YEAR]],"0000")&amp;"-"&amp;Table1[[#This Row],[MONTH]]</f>
        <v>-</v>
      </c>
    </row>
    <row r="2261" spans="1:25" ht="15" customHeight="1" x14ac:dyDescent="0.35">
      <c r="A2261" s="24"/>
      <c r="B2261" s="38"/>
      <c r="C2261" s="38"/>
      <c r="D2261" s="38"/>
      <c r="E2261" s="37"/>
      <c r="F2261" s="38"/>
      <c r="G2261" s="198"/>
      <c r="H2261" s="198"/>
      <c r="I2261" s="39"/>
      <c r="J2261" s="38"/>
      <c r="K2261" s="198"/>
      <c r="L2261" s="38"/>
      <c r="M2261" s="38"/>
      <c r="N2261" s="38"/>
      <c r="O2261" s="38"/>
      <c r="P2261" s="40" t="str" cm="1">
        <f t="array" ref="P2261">IF(N2261="","",IFERROR(_xlfn.XLOOKUP(F2261&amp;"|"&amp;J2261&amp;"|"&amp;O2261,PRICES!$C$2:$C$659&amp;"|"&amp;PRICES!$B$2:$B$659&amp;"|"&amp;PRICES!$D$2:$D$659,PRICES!$E$2:$E$659),"Not Found"))</f>
        <v/>
      </c>
      <c r="Q2261" s="100" t="str">
        <f>IF(N2261=0,"",SUMIFS(PRICES!$G$2:$G$658,PRICES!$B$2:$B$658,'MAIN TABLE-1 AUTOMATED'!J2261,PRICES!$C$2:$C$658,'MAIN TABLE-1 AUTOMATED'!F2261,PRICES!$D$2:$D$658,'MAIN TABLE-1 AUTOMATED'!O2261))</f>
        <v/>
      </c>
      <c r="R2261" s="41" t="str">
        <f>IF(Table1[[#This Row],[QUANTITY]]=0,"",Table1[[#This Row],[UNIT PRICE]]*Table1[[#This Row],[QUANTITY]])</f>
        <v/>
      </c>
      <c r="S2261" s="89"/>
      <c r="T2261" s="38"/>
      <c r="U2261" s="43"/>
      <c r="V2261" s="42" t="str">
        <f>IF(Table1[[#This Row],[DATE]]=0,"",YEAR(E2261))</f>
        <v/>
      </c>
      <c r="W2261" s="40" t="str">
        <f t="shared" si="70"/>
        <v/>
      </c>
      <c r="X2261" s="40" t="str">
        <f t="shared" si="71"/>
        <v/>
      </c>
      <c r="Y2261" s="40" t="str">
        <f>TEXT(Table1[[#This Row],[YEAR]],"0000")&amp;"-"&amp;Table1[[#This Row],[MONTH]]</f>
        <v>-</v>
      </c>
    </row>
    <row r="2262" spans="1:25" ht="15" customHeight="1" x14ac:dyDescent="0.35">
      <c r="A2262" s="24"/>
      <c r="B2262" s="38"/>
      <c r="C2262" s="38"/>
      <c r="D2262" s="38"/>
      <c r="E2262" s="37"/>
      <c r="F2262" s="38"/>
      <c r="G2262" s="198"/>
      <c r="H2262" s="198"/>
      <c r="I2262" s="39"/>
      <c r="J2262" s="38"/>
      <c r="K2262" s="198"/>
      <c r="L2262" s="38"/>
      <c r="M2262" s="38"/>
      <c r="N2262" s="38"/>
      <c r="O2262" s="38"/>
      <c r="P2262" s="40" t="str" cm="1">
        <f t="array" ref="P2262">IF(N2262="","",IFERROR(_xlfn.XLOOKUP(F2262&amp;"|"&amp;J2262&amp;"|"&amp;O2262,PRICES!$C$2:$C$659&amp;"|"&amp;PRICES!$B$2:$B$659&amp;"|"&amp;PRICES!$D$2:$D$659,PRICES!$E$2:$E$659),"Not Found"))</f>
        <v/>
      </c>
      <c r="Q2262" s="100" t="str">
        <f>IF(N2262=0,"",SUMIFS(PRICES!$G$2:$G$658,PRICES!$B$2:$B$658,'MAIN TABLE-1 AUTOMATED'!J2262,PRICES!$C$2:$C$658,'MAIN TABLE-1 AUTOMATED'!F2262,PRICES!$D$2:$D$658,'MAIN TABLE-1 AUTOMATED'!O2262))</f>
        <v/>
      </c>
      <c r="R2262" s="41" t="str">
        <f>IF(Table1[[#This Row],[QUANTITY]]=0,"",Table1[[#This Row],[UNIT PRICE]]*Table1[[#This Row],[QUANTITY]])</f>
        <v/>
      </c>
      <c r="S2262" s="89"/>
      <c r="T2262" s="38"/>
      <c r="U2262" s="43"/>
      <c r="V2262" s="42" t="str">
        <f>IF(Table1[[#This Row],[DATE]]=0,"",YEAR(E2262))</f>
        <v/>
      </c>
      <c r="W2262" s="40" t="str">
        <f t="shared" si="70"/>
        <v/>
      </c>
      <c r="X2262" s="40" t="str">
        <f t="shared" si="71"/>
        <v/>
      </c>
      <c r="Y2262" s="40" t="str">
        <f>TEXT(Table1[[#This Row],[YEAR]],"0000")&amp;"-"&amp;Table1[[#This Row],[MONTH]]</f>
        <v>-</v>
      </c>
    </row>
    <row r="2263" spans="1:25" ht="15" customHeight="1" x14ac:dyDescent="0.35">
      <c r="A2263" s="24"/>
      <c r="B2263" s="38"/>
      <c r="C2263" s="38"/>
      <c r="D2263" s="38"/>
      <c r="E2263" s="37"/>
      <c r="F2263" s="38"/>
      <c r="G2263" s="198"/>
      <c r="H2263" s="198"/>
      <c r="I2263" s="39"/>
      <c r="J2263" s="38"/>
      <c r="K2263" s="198"/>
      <c r="L2263" s="38"/>
      <c r="M2263" s="38"/>
      <c r="N2263" s="38"/>
      <c r="O2263" s="38"/>
      <c r="P2263" s="40" t="str" cm="1">
        <f t="array" ref="P2263">IF(N2263="","",IFERROR(_xlfn.XLOOKUP(F2263&amp;"|"&amp;J2263&amp;"|"&amp;O2263,PRICES!$C$2:$C$659&amp;"|"&amp;PRICES!$B$2:$B$659&amp;"|"&amp;PRICES!$D$2:$D$659,PRICES!$E$2:$E$659),"Not Found"))</f>
        <v/>
      </c>
      <c r="Q2263" s="100" t="str">
        <f>IF(N2263=0,"",SUMIFS(PRICES!$G$2:$G$658,PRICES!$B$2:$B$658,'MAIN TABLE-1 AUTOMATED'!J2263,PRICES!$C$2:$C$658,'MAIN TABLE-1 AUTOMATED'!F2263,PRICES!$D$2:$D$658,'MAIN TABLE-1 AUTOMATED'!O2263))</f>
        <v/>
      </c>
      <c r="R2263" s="41" t="str">
        <f>IF(Table1[[#This Row],[QUANTITY]]=0,"",Table1[[#This Row],[UNIT PRICE]]*Table1[[#This Row],[QUANTITY]])</f>
        <v/>
      </c>
      <c r="S2263" s="89"/>
      <c r="T2263" s="38"/>
      <c r="U2263" s="43"/>
      <c r="V2263" s="42" t="str">
        <f>IF(Table1[[#This Row],[DATE]]=0,"",YEAR(E2263))</f>
        <v/>
      </c>
      <c r="W2263" s="40" t="str">
        <f t="shared" si="70"/>
        <v/>
      </c>
      <c r="X2263" s="40" t="str">
        <f t="shared" si="71"/>
        <v/>
      </c>
      <c r="Y2263" s="40" t="str">
        <f>TEXT(Table1[[#This Row],[YEAR]],"0000")&amp;"-"&amp;Table1[[#This Row],[MONTH]]</f>
        <v>-</v>
      </c>
    </row>
    <row r="2264" spans="1:25" ht="15" customHeight="1" x14ac:dyDescent="0.35">
      <c r="A2264" s="24"/>
      <c r="B2264" s="38"/>
      <c r="C2264" s="38"/>
      <c r="D2264" s="38"/>
      <c r="E2264" s="37"/>
      <c r="F2264" s="38"/>
      <c r="G2264" s="198"/>
      <c r="H2264" s="198"/>
      <c r="I2264" s="39"/>
      <c r="J2264" s="38"/>
      <c r="K2264" s="198"/>
      <c r="L2264" s="38"/>
      <c r="M2264" s="38"/>
      <c r="N2264" s="38"/>
      <c r="O2264" s="38"/>
      <c r="P2264" s="40" t="str" cm="1">
        <f t="array" ref="P2264">IF(N2264="","",IFERROR(_xlfn.XLOOKUP(F2264&amp;"|"&amp;J2264&amp;"|"&amp;O2264,PRICES!$C$2:$C$659&amp;"|"&amp;PRICES!$B$2:$B$659&amp;"|"&amp;PRICES!$D$2:$D$659,PRICES!$E$2:$E$659),"Not Found"))</f>
        <v/>
      </c>
      <c r="Q2264" s="100" t="str">
        <f>IF(N2264=0,"",SUMIFS(PRICES!$G$2:$G$658,PRICES!$B$2:$B$658,'MAIN TABLE-1 AUTOMATED'!J2264,PRICES!$C$2:$C$658,'MAIN TABLE-1 AUTOMATED'!F2264,PRICES!$D$2:$D$658,'MAIN TABLE-1 AUTOMATED'!O2264))</f>
        <v/>
      </c>
      <c r="R2264" s="41" t="str">
        <f>IF(Table1[[#This Row],[QUANTITY]]=0,"",Table1[[#This Row],[UNIT PRICE]]*Table1[[#This Row],[QUANTITY]])</f>
        <v/>
      </c>
      <c r="S2264" s="89"/>
      <c r="T2264" s="38"/>
      <c r="U2264" s="43"/>
      <c r="V2264" s="42" t="str">
        <f>IF(Table1[[#This Row],[DATE]]=0,"",YEAR(E2264))</f>
        <v/>
      </c>
      <c r="W2264" s="40" t="str">
        <f t="shared" si="70"/>
        <v/>
      </c>
      <c r="X2264" s="40" t="str">
        <f t="shared" si="71"/>
        <v/>
      </c>
      <c r="Y2264" s="40" t="str">
        <f>TEXT(Table1[[#This Row],[YEAR]],"0000")&amp;"-"&amp;Table1[[#This Row],[MONTH]]</f>
        <v>-</v>
      </c>
    </row>
    <row r="2265" spans="1:25" ht="15" customHeight="1" x14ac:dyDescent="0.35">
      <c r="A2265" s="24"/>
      <c r="B2265" s="38"/>
      <c r="C2265" s="38"/>
      <c r="D2265" s="38"/>
      <c r="E2265" s="37"/>
      <c r="F2265" s="38"/>
      <c r="G2265" s="198"/>
      <c r="H2265" s="198"/>
      <c r="I2265" s="39"/>
      <c r="J2265" s="38"/>
      <c r="K2265" s="198"/>
      <c r="L2265" s="38"/>
      <c r="M2265" s="38"/>
      <c r="N2265" s="38"/>
      <c r="O2265" s="38"/>
      <c r="P2265" s="40" t="str" cm="1">
        <f t="array" ref="P2265">IF(N2265="","",IFERROR(_xlfn.XLOOKUP(F2265&amp;"|"&amp;J2265&amp;"|"&amp;O2265,PRICES!$C$2:$C$659&amp;"|"&amp;PRICES!$B$2:$B$659&amp;"|"&amp;PRICES!$D$2:$D$659,PRICES!$E$2:$E$659),"Not Found"))</f>
        <v/>
      </c>
      <c r="Q2265" s="100" t="str">
        <f>IF(N2265=0,"",SUMIFS(PRICES!$G$2:$G$658,PRICES!$B$2:$B$658,'MAIN TABLE-1 AUTOMATED'!J2265,PRICES!$C$2:$C$658,'MAIN TABLE-1 AUTOMATED'!F2265,PRICES!$D$2:$D$658,'MAIN TABLE-1 AUTOMATED'!O2265))</f>
        <v/>
      </c>
      <c r="R2265" s="41" t="str">
        <f>IF(Table1[[#This Row],[QUANTITY]]=0,"",Table1[[#This Row],[UNIT PRICE]]*Table1[[#This Row],[QUANTITY]])</f>
        <v/>
      </c>
      <c r="S2265" s="89"/>
      <c r="T2265" s="38"/>
      <c r="U2265" s="43"/>
      <c r="V2265" s="42" t="str">
        <f>IF(Table1[[#This Row],[DATE]]=0,"",YEAR(E2265))</f>
        <v/>
      </c>
      <c r="W2265" s="40" t="str">
        <f t="shared" si="70"/>
        <v/>
      </c>
      <c r="X2265" s="40" t="str">
        <f t="shared" si="71"/>
        <v/>
      </c>
      <c r="Y2265" s="40" t="str">
        <f>TEXT(Table1[[#This Row],[YEAR]],"0000")&amp;"-"&amp;Table1[[#This Row],[MONTH]]</f>
        <v>-</v>
      </c>
    </row>
    <row r="2266" spans="1:25" ht="15" customHeight="1" x14ac:dyDescent="0.35">
      <c r="A2266" s="24"/>
      <c r="B2266" s="38"/>
      <c r="C2266" s="38"/>
      <c r="D2266" s="38"/>
      <c r="E2266" s="37"/>
      <c r="F2266" s="38"/>
      <c r="G2266" s="198"/>
      <c r="H2266" s="198"/>
      <c r="I2266" s="39"/>
      <c r="J2266" s="38"/>
      <c r="K2266" s="198"/>
      <c r="L2266" s="38"/>
      <c r="M2266" s="38"/>
      <c r="N2266" s="38"/>
      <c r="O2266" s="38"/>
      <c r="P2266" s="40" t="str" cm="1">
        <f t="array" ref="P2266">IF(N2266="","",IFERROR(_xlfn.XLOOKUP(F2266&amp;"|"&amp;J2266&amp;"|"&amp;O2266,PRICES!$C$2:$C$659&amp;"|"&amp;PRICES!$B$2:$B$659&amp;"|"&amp;PRICES!$D$2:$D$659,PRICES!$E$2:$E$659),"Not Found"))</f>
        <v/>
      </c>
      <c r="Q2266" s="100" t="str">
        <f>IF(N2266=0,"",SUMIFS(PRICES!$G$2:$G$658,PRICES!$B$2:$B$658,'MAIN TABLE-1 AUTOMATED'!J2266,PRICES!$C$2:$C$658,'MAIN TABLE-1 AUTOMATED'!F2266,PRICES!$D$2:$D$658,'MAIN TABLE-1 AUTOMATED'!O2266))</f>
        <v/>
      </c>
      <c r="R2266" s="41" t="str">
        <f>IF(Table1[[#This Row],[QUANTITY]]=0,"",Table1[[#This Row],[UNIT PRICE]]*Table1[[#This Row],[QUANTITY]])</f>
        <v/>
      </c>
      <c r="S2266" s="89"/>
      <c r="T2266" s="38"/>
      <c r="U2266" s="43"/>
      <c r="V2266" s="42" t="str">
        <f>IF(Table1[[#This Row],[DATE]]=0,"",YEAR(E2266))</f>
        <v/>
      </c>
      <c r="W2266" s="40" t="str">
        <f t="shared" si="70"/>
        <v/>
      </c>
      <c r="X2266" s="40" t="str">
        <f t="shared" si="71"/>
        <v/>
      </c>
      <c r="Y2266" s="40" t="str">
        <f>TEXT(Table1[[#This Row],[YEAR]],"0000")&amp;"-"&amp;Table1[[#This Row],[MONTH]]</f>
        <v>-</v>
      </c>
    </row>
    <row r="2267" spans="1:25" ht="15" customHeight="1" x14ac:dyDescent="0.35">
      <c r="A2267" s="24"/>
      <c r="B2267" s="38"/>
      <c r="C2267" s="38"/>
      <c r="D2267" s="38"/>
      <c r="E2267" s="37"/>
      <c r="F2267" s="38"/>
      <c r="G2267" s="198"/>
      <c r="H2267" s="198"/>
      <c r="I2267" s="39"/>
      <c r="J2267" s="38"/>
      <c r="K2267" s="198"/>
      <c r="L2267" s="38"/>
      <c r="M2267" s="38"/>
      <c r="N2267" s="38"/>
      <c r="O2267" s="38"/>
      <c r="P2267" s="40" t="str" cm="1">
        <f t="array" ref="P2267">IF(N2267="","",IFERROR(_xlfn.XLOOKUP(F2267&amp;"|"&amp;J2267&amp;"|"&amp;O2267,PRICES!$C$2:$C$659&amp;"|"&amp;PRICES!$B$2:$B$659&amp;"|"&amp;PRICES!$D$2:$D$659,PRICES!$E$2:$E$659),"Not Found"))</f>
        <v/>
      </c>
      <c r="Q2267" s="100" t="str">
        <f>IF(N2267=0,"",SUMIFS(PRICES!$G$2:$G$658,PRICES!$B$2:$B$658,'MAIN TABLE-1 AUTOMATED'!J2267,PRICES!$C$2:$C$658,'MAIN TABLE-1 AUTOMATED'!F2267,PRICES!$D$2:$D$658,'MAIN TABLE-1 AUTOMATED'!O2267))</f>
        <v/>
      </c>
      <c r="R2267" s="41" t="str">
        <f>IF(Table1[[#This Row],[QUANTITY]]=0,"",Table1[[#This Row],[UNIT PRICE]]*Table1[[#This Row],[QUANTITY]])</f>
        <v/>
      </c>
      <c r="S2267" s="89"/>
      <c r="T2267" s="38"/>
      <c r="U2267" s="43"/>
      <c r="V2267" s="42" t="str">
        <f>IF(Table1[[#This Row],[DATE]]=0,"",YEAR(E2267))</f>
        <v/>
      </c>
      <c r="W2267" s="40" t="str">
        <f t="shared" si="70"/>
        <v/>
      </c>
      <c r="X2267" s="40" t="str">
        <f t="shared" si="71"/>
        <v/>
      </c>
      <c r="Y2267" s="40" t="str">
        <f>TEXT(Table1[[#This Row],[YEAR]],"0000")&amp;"-"&amp;Table1[[#This Row],[MONTH]]</f>
        <v>-</v>
      </c>
    </row>
    <row r="2268" spans="1:25" ht="15" customHeight="1" x14ac:dyDescent="0.35">
      <c r="A2268" s="24"/>
      <c r="B2268" s="38"/>
      <c r="C2268" s="38"/>
      <c r="D2268" s="38"/>
      <c r="E2268" s="37"/>
      <c r="F2268" s="38"/>
      <c r="G2268" s="198"/>
      <c r="H2268" s="198"/>
      <c r="I2268" s="39"/>
      <c r="J2268" s="38"/>
      <c r="K2268" s="198"/>
      <c r="L2268" s="38"/>
      <c r="M2268" s="38"/>
      <c r="N2268" s="38"/>
      <c r="O2268" s="38"/>
      <c r="P2268" s="40" t="str" cm="1">
        <f t="array" ref="P2268">IF(N2268="","",IFERROR(_xlfn.XLOOKUP(F2268&amp;"|"&amp;J2268&amp;"|"&amp;O2268,PRICES!$C$2:$C$659&amp;"|"&amp;PRICES!$B$2:$B$659&amp;"|"&amp;PRICES!$D$2:$D$659,PRICES!$E$2:$E$659),"Not Found"))</f>
        <v/>
      </c>
      <c r="Q2268" s="100" t="str">
        <f>IF(N2268=0,"",SUMIFS(PRICES!$G$2:$G$658,PRICES!$B$2:$B$658,'MAIN TABLE-1 AUTOMATED'!J2268,PRICES!$C$2:$C$658,'MAIN TABLE-1 AUTOMATED'!F2268,PRICES!$D$2:$D$658,'MAIN TABLE-1 AUTOMATED'!O2268))</f>
        <v/>
      </c>
      <c r="R2268" s="41" t="str">
        <f>IF(Table1[[#This Row],[QUANTITY]]=0,"",Table1[[#This Row],[UNIT PRICE]]*Table1[[#This Row],[QUANTITY]])</f>
        <v/>
      </c>
      <c r="S2268" s="89"/>
      <c r="T2268" s="38"/>
      <c r="U2268" s="43"/>
      <c r="V2268" s="42" t="str">
        <f>IF(Table1[[#This Row],[DATE]]=0,"",YEAR(E2268))</f>
        <v/>
      </c>
      <c r="W2268" s="40" t="str">
        <f t="shared" si="70"/>
        <v/>
      </c>
      <c r="X2268" s="40" t="str">
        <f t="shared" si="71"/>
        <v/>
      </c>
      <c r="Y2268" s="40" t="str">
        <f>TEXT(Table1[[#This Row],[YEAR]],"0000")&amp;"-"&amp;Table1[[#This Row],[MONTH]]</f>
        <v>-</v>
      </c>
    </row>
    <row r="2269" spans="1:25" ht="15" customHeight="1" x14ac:dyDescent="0.35">
      <c r="A2269" s="24"/>
      <c r="B2269" s="38"/>
      <c r="C2269" s="38"/>
      <c r="D2269" s="38"/>
      <c r="E2269" s="37"/>
      <c r="F2269" s="38"/>
      <c r="G2269" s="198"/>
      <c r="H2269" s="198"/>
      <c r="I2269" s="39"/>
      <c r="J2269" s="38"/>
      <c r="K2269" s="198"/>
      <c r="L2269" s="38"/>
      <c r="M2269" s="38"/>
      <c r="N2269" s="38"/>
      <c r="O2269" s="38"/>
      <c r="P2269" s="40" t="str" cm="1">
        <f t="array" ref="P2269">IF(N2269="","",IFERROR(_xlfn.XLOOKUP(F2269&amp;"|"&amp;J2269&amp;"|"&amp;O2269,PRICES!$C$2:$C$659&amp;"|"&amp;PRICES!$B$2:$B$659&amp;"|"&amp;PRICES!$D$2:$D$659,PRICES!$E$2:$E$659),"Not Found"))</f>
        <v/>
      </c>
      <c r="Q2269" s="100" t="str">
        <f>IF(N2269=0,"",SUMIFS(PRICES!$G$2:$G$658,PRICES!$B$2:$B$658,'MAIN TABLE-1 AUTOMATED'!J2269,PRICES!$C$2:$C$658,'MAIN TABLE-1 AUTOMATED'!F2269,PRICES!$D$2:$D$658,'MAIN TABLE-1 AUTOMATED'!O2269))</f>
        <v/>
      </c>
      <c r="R2269" s="41" t="str">
        <f>IF(Table1[[#This Row],[QUANTITY]]=0,"",Table1[[#This Row],[UNIT PRICE]]*Table1[[#This Row],[QUANTITY]])</f>
        <v/>
      </c>
      <c r="S2269" s="89"/>
      <c r="T2269" s="38"/>
      <c r="U2269" s="43"/>
      <c r="V2269" s="42" t="str">
        <f>IF(Table1[[#This Row],[DATE]]=0,"",YEAR(E2269))</f>
        <v/>
      </c>
      <c r="W2269" s="40" t="str">
        <f t="shared" si="70"/>
        <v/>
      </c>
      <c r="X2269" s="40" t="str">
        <f t="shared" si="71"/>
        <v/>
      </c>
      <c r="Y2269" s="40" t="str">
        <f>TEXT(Table1[[#This Row],[YEAR]],"0000")&amp;"-"&amp;Table1[[#This Row],[MONTH]]</f>
        <v>-</v>
      </c>
    </row>
    <row r="2270" spans="1:25" ht="15" customHeight="1" x14ac:dyDescent="0.35">
      <c r="A2270" s="24"/>
      <c r="B2270" s="38"/>
      <c r="C2270" s="38"/>
      <c r="D2270" s="38"/>
      <c r="E2270" s="37"/>
      <c r="F2270" s="38"/>
      <c r="G2270" s="198"/>
      <c r="H2270" s="198"/>
      <c r="I2270" s="39"/>
      <c r="J2270" s="38"/>
      <c r="K2270" s="198"/>
      <c r="L2270" s="38"/>
      <c r="M2270" s="38"/>
      <c r="N2270" s="38"/>
      <c r="O2270" s="38"/>
      <c r="P2270" s="40" t="str" cm="1">
        <f t="array" ref="P2270">IF(N2270="","",IFERROR(_xlfn.XLOOKUP(F2270&amp;"|"&amp;J2270&amp;"|"&amp;O2270,PRICES!$C$2:$C$659&amp;"|"&amp;PRICES!$B$2:$B$659&amp;"|"&amp;PRICES!$D$2:$D$659,PRICES!$E$2:$E$659),"Not Found"))</f>
        <v/>
      </c>
      <c r="Q2270" s="100" t="str">
        <f>IF(N2270=0,"",SUMIFS(PRICES!$G$2:$G$658,PRICES!$B$2:$B$658,'MAIN TABLE-1 AUTOMATED'!J2270,PRICES!$C$2:$C$658,'MAIN TABLE-1 AUTOMATED'!F2270,PRICES!$D$2:$D$658,'MAIN TABLE-1 AUTOMATED'!O2270))</f>
        <v/>
      </c>
      <c r="R2270" s="41" t="str">
        <f>IF(Table1[[#This Row],[QUANTITY]]=0,"",Table1[[#This Row],[UNIT PRICE]]*Table1[[#This Row],[QUANTITY]])</f>
        <v/>
      </c>
      <c r="S2270" s="89"/>
      <c r="T2270" s="38"/>
      <c r="U2270" s="43"/>
      <c r="V2270" s="42" t="str">
        <f>IF(Table1[[#This Row],[DATE]]=0,"",YEAR(E2270))</f>
        <v/>
      </c>
      <c r="W2270" s="40" t="str">
        <f t="shared" si="70"/>
        <v/>
      </c>
      <c r="X2270" s="40" t="str">
        <f t="shared" si="71"/>
        <v/>
      </c>
      <c r="Y2270" s="40" t="str">
        <f>TEXT(Table1[[#This Row],[YEAR]],"0000")&amp;"-"&amp;Table1[[#This Row],[MONTH]]</f>
        <v>-</v>
      </c>
    </row>
    <row r="2271" spans="1:25" ht="15" customHeight="1" x14ac:dyDescent="0.35">
      <c r="A2271" s="24"/>
      <c r="B2271" s="38"/>
      <c r="C2271" s="38"/>
      <c r="D2271" s="38"/>
      <c r="E2271" s="37"/>
      <c r="F2271" s="38"/>
      <c r="G2271" s="198"/>
      <c r="H2271" s="198"/>
      <c r="I2271" s="39"/>
      <c r="J2271" s="38"/>
      <c r="K2271" s="198"/>
      <c r="L2271" s="38"/>
      <c r="M2271" s="38"/>
      <c r="N2271" s="38"/>
      <c r="O2271" s="38"/>
      <c r="P2271" s="40" t="str" cm="1">
        <f t="array" ref="P2271">IF(N2271="","",IFERROR(_xlfn.XLOOKUP(F2271&amp;"|"&amp;J2271&amp;"|"&amp;O2271,PRICES!$C$2:$C$659&amp;"|"&amp;PRICES!$B$2:$B$659&amp;"|"&amp;PRICES!$D$2:$D$659,PRICES!$E$2:$E$659),"Not Found"))</f>
        <v/>
      </c>
      <c r="Q2271" s="100" t="str">
        <f>IF(N2271=0,"",SUMIFS(PRICES!$G$2:$G$658,PRICES!$B$2:$B$658,'MAIN TABLE-1 AUTOMATED'!J2271,PRICES!$C$2:$C$658,'MAIN TABLE-1 AUTOMATED'!F2271,PRICES!$D$2:$D$658,'MAIN TABLE-1 AUTOMATED'!O2271))</f>
        <v/>
      </c>
      <c r="R2271" s="41" t="str">
        <f>IF(Table1[[#This Row],[QUANTITY]]=0,"",Table1[[#This Row],[UNIT PRICE]]*Table1[[#This Row],[QUANTITY]])</f>
        <v/>
      </c>
      <c r="S2271" s="89"/>
      <c r="T2271" s="38"/>
      <c r="U2271" s="43"/>
      <c r="V2271" s="42" t="str">
        <f>IF(Table1[[#This Row],[DATE]]=0,"",YEAR(E2271))</f>
        <v/>
      </c>
      <c r="W2271" s="40" t="str">
        <f t="shared" ref="W2271:W2281" si="72">IF(E2271=0,"",MONTH(E2271))</f>
        <v/>
      </c>
      <c r="X2271" s="40" t="str">
        <f t="shared" ref="X2271:X2281" si="73">IF(E2271=0,"",WEEKNUM(E2271))</f>
        <v/>
      </c>
      <c r="Y2271" s="40" t="str">
        <f>TEXT(Table1[[#This Row],[YEAR]],"0000")&amp;"-"&amp;Table1[[#This Row],[MONTH]]</f>
        <v>-</v>
      </c>
    </row>
    <row r="2272" spans="1:25" ht="15" customHeight="1" x14ac:dyDescent="0.35">
      <c r="A2272" s="24"/>
      <c r="B2272" s="38"/>
      <c r="C2272" s="38"/>
      <c r="D2272" s="38"/>
      <c r="E2272" s="37"/>
      <c r="F2272" s="38"/>
      <c r="G2272" s="198"/>
      <c r="H2272" s="198"/>
      <c r="I2272" s="39"/>
      <c r="J2272" s="38"/>
      <c r="K2272" s="198"/>
      <c r="L2272" s="38"/>
      <c r="M2272" s="38"/>
      <c r="N2272" s="38"/>
      <c r="O2272" s="38"/>
      <c r="P2272" s="40" t="str" cm="1">
        <f t="array" ref="P2272">IF(N2272="","",IFERROR(_xlfn.XLOOKUP(F2272&amp;"|"&amp;J2272&amp;"|"&amp;O2272,PRICES!$C$2:$C$659&amp;"|"&amp;PRICES!$B$2:$B$659&amp;"|"&amp;PRICES!$D$2:$D$659,PRICES!$E$2:$E$659),"Not Found"))</f>
        <v/>
      </c>
      <c r="Q2272" s="100" t="str">
        <f>IF(N2272=0,"",SUMIFS(PRICES!$G$2:$G$658,PRICES!$B$2:$B$658,'MAIN TABLE-1 AUTOMATED'!J2272,PRICES!$C$2:$C$658,'MAIN TABLE-1 AUTOMATED'!F2272,PRICES!$D$2:$D$658,'MAIN TABLE-1 AUTOMATED'!O2272))</f>
        <v/>
      </c>
      <c r="R2272" s="41" t="str">
        <f>IF(Table1[[#This Row],[QUANTITY]]=0,"",Table1[[#This Row],[UNIT PRICE]]*Table1[[#This Row],[QUANTITY]])</f>
        <v/>
      </c>
      <c r="S2272" s="89"/>
      <c r="T2272" s="38"/>
      <c r="U2272" s="43"/>
      <c r="V2272" s="42" t="str">
        <f>IF(Table1[[#This Row],[DATE]]=0,"",YEAR(E2272))</f>
        <v/>
      </c>
      <c r="W2272" s="40" t="str">
        <f t="shared" si="72"/>
        <v/>
      </c>
      <c r="X2272" s="40" t="str">
        <f t="shared" si="73"/>
        <v/>
      </c>
      <c r="Y2272" s="40" t="str">
        <f>TEXT(Table1[[#This Row],[YEAR]],"0000")&amp;"-"&amp;Table1[[#This Row],[MONTH]]</f>
        <v>-</v>
      </c>
    </row>
    <row r="2273" spans="1:25" ht="15" customHeight="1" x14ac:dyDescent="0.35">
      <c r="A2273" s="24"/>
      <c r="B2273" s="38"/>
      <c r="C2273" s="38"/>
      <c r="D2273" s="38"/>
      <c r="E2273" s="37"/>
      <c r="F2273" s="38"/>
      <c r="G2273" s="198"/>
      <c r="H2273" s="198"/>
      <c r="I2273" s="39"/>
      <c r="J2273" s="38"/>
      <c r="K2273" s="198"/>
      <c r="L2273" s="38"/>
      <c r="M2273" s="38"/>
      <c r="N2273" s="38"/>
      <c r="O2273" s="38"/>
      <c r="P2273" s="40" t="str" cm="1">
        <f t="array" ref="P2273">IF(N2273="","",IFERROR(_xlfn.XLOOKUP(F2273&amp;"|"&amp;J2273&amp;"|"&amp;O2273,PRICES!$C$2:$C$659&amp;"|"&amp;PRICES!$B$2:$B$659&amp;"|"&amp;PRICES!$D$2:$D$659,PRICES!$E$2:$E$659),"Not Found"))</f>
        <v/>
      </c>
      <c r="Q2273" s="100" t="str">
        <f>IF(N2273=0,"",SUMIFS(PRICES!$G$2:$G$658,PRICES!$B$2:$B$658,'MAIN TABLE-1 AUTOMATED'!J2273,PRICES!$C$2:$C$658,'MAIN TABLE-1 AUTOMATED'!F2273,PRICES!$D$2:$D$658,'MAIN TABLE-1 AUTOMATED'!O2273))</f>
        <v/>
      </c>
      <c r="R2273" s="41" t="str">
        <f>IF(Table1[[#This Row],[QUANTITY]]=0,"",Table1[[#This Row],[UNIT PRICE]]*Table1[[#This Row],[QUANTITY]])</f>
        <v/>
      </c>
      <c r="S2273" s="89"/>
      <c r="T2273" s="38"/>
      <c r="U2273" s="43"/>
      <c r="V2273" s="42" t="str">
        <f>IF(Table1[[#This Row],[DATE]]=0,"",YEAR(E2273))</f>
        <v/>
      </c>
      <c r="W2273" s="40" t="str">
        <f t="shared" si="72"/>
        <v/>
      </c>
      <c r="X2273" s="40" t="str">
        <f t="shared" si="73"/>
        <v/>
      </c>
      <c r="Y2273" s="40" t="str">
        <f>TEXT(Table1[[#This Row],[YEAR]],"0000")&amp;"-"&amp;Table1[[#This Row],[MONTH]]</f>
        <v>-</v>
      </c>
    </row>
    <row r="2274" spans="1:25" ht="15" customHeight="1" x14ac:dyDescent="0.35">
      <c r="A2274" s="24"/>
      <c r="B2274" s="38"/>
      <c r="C2274" s="38"/>
      <c r="D2274" s="38"/>
      <c r="E2274" s="37"/>
      <c r="F2274" s="38"/>
      <c r="G2274" s="198"/>
      <c r="H2274" s="198"/>
      <c r="I2274" s="39"/>
      <c r="J2274" s="38"/>
      <c r="K2274" s="198"/>
      <c r="L2274" s="38"/>
      <c r="M2274" s="38"/>
      <c r="N2274" s="38"/>
      <c r="O2274" s="38"/>
      <c r="P2274" s="40" t="str" cm="1">
        <f t="array" ref="P2274">IF(N2274="","",IFERROR(_xlfn.XLOOKUP(F2274&amp;"|"&amp;J2274&amp;"|"&amp;O2274,PRICES!$C$2:$C$659&amp;"|"&amp;PRICES!$B$2:$B$659&amp;"|"&amp;PRICES!$D$2:$D$659,PRICES!$E$2:$E$659),"Not Found"))</f>
        <v/>
      </c>
      <c r="Q2274" s="100" t="str">
        <f>IF(N2274=0,"",SUMIFS(PRICES!$G$2:$G$658,PRICES!$B$2:$B$658,'MAIN TABLE-1 AUTOMATED'!J2274,PRICES!$C$2:$C$658,'MAIN TABLE-1 AUTOMATED'!F2274,PRICES!$D$2:$D$658,'MAIN TABLE-1 AUTOMATED'!O2274))</f>
        <v/>
      </c>
      <c r="R2274" s="41" t="str">
        <f>IF(Table1[[#This Row],[QUANTITY]]=0,"",Table1[[#This Row],[UNIT PRICE]]*Table1[[#This Row],[QUANTITY]])</f>
        <v/>
      </c>
      <c r="S2274" s="89"/>
      <c r="T2274" s="38"/>
      <c r="U2274" s="43"/>
      <c r="V2274" s="42" t="str">
        <f>IF(Table1[[#This Row],[DATE]]=0,"",YEAR(E2274))</f>
        <v/>
      </c>
      <c r="W2274" s="40" t="str">
        <f t="shared" si="72"/>
        <v/>
      </c>
      <c r="X2274" s="40" t="str">
        <f t="shared" si="73"/>
        <v/>
      </c>
      <c r="Y2274" s="40" t="str">
        <f>TEXT(Table1[[#This Row],[YEAR]],"0000")&amp;"-"&amp;Table1[[#This Row],[MONTH]]</f>
        <v>-</v>
      </c>
    </row>
    <row r="2275" spans="1:25" ht="15" customHeight="1" x14ac:dyDescent="0.35">
      <c r="A2275" s="24"/>
      <c r="B2275" s="38"/>
      <c r="C2275" s="38"/>
      <c r="D2275" s="38"/>
      <c r="E2275" s="37"/>
      <c r="F2275" s="38"/>
      <c r="G2275" s="198"/>
      <c r="H2275" s="198"/>
      <c r="I2275" s="39"/>
      <c r="J2275" s="38"/>
      <c r="K2275" s="198"/>
      <c r="L2275" s="38"/>
      <c r="M2275" s="38"/>
      <c r="N2275" s="38"/>
      <c r="O2275" s="38"/>
      <c r="P2275" s="40" t="str" cm="1">
        <f t="array" ref="P2275">IF(N2275="","",IFERROR(_xlfn.XLOOKUP(F2275&amp;"|"&amp;J2275&amp;"|"&amp;O2275,PRICES!$C$2:$C$659&amp;"|"&amp;PRICES!$B$2:$B$659&amp;"|"&amp;PRICES!$D$2:$D$659,PRICES!$E$2:$E$659),"Not Found"))</f>
        <v/>
      </c>
      <c r="Q2275" s="100" t="str">
        <f>IF(N2275=0,"",SUMIFS(PRICES!$G$2:$G$658,PRICES!$B$2:$B$658,'MAIN TABLE-1 AUTOMATED'!J2275,PRICES!$C$2:$C$658,'MAIN TABLE-1 AUTOMATED'!F2275,PRICES!$D$2:$D$658,'MAIN TABLE-1 AUTOMATED'!O2275))</f>
        <v/>
      </c>
      <c r="R2275" s="41" t="str">
        <f>IF(Table1[[#This Row],[QUANTITY]]=0,"",Table1[[#This Row],[UNIT PRICE]]*Table1[[#This Row],[QUANTITY]])</f>
        <v/>
      </c>
      <c r="S2275" s="89"/>
      <c r="T2275" s="38"/>
      <c r="U2275" s="43"/>
      <c r="V2275" s="42" t="str">
        <f>IF(Table1[[#This Row],[DATE]]=0,"",YEAR(E2275))</f>
        <v/>
      </c>
      <c r="W2275" s="40" t="str">
        <f t="shared" si="72"/>
        <v/>
      </c>
      <c r="X2275" s="40" t="str">
        <f t="shared" si="73"/>
        <v/>
      </c>
      <c r="Y2275" s="40" t="str">
        <f>TEXT(Table1[[#This Row],[YEAR]],"0000")&amp;"-"&amp;Table1[[#This Row],[MONTH]]</f>
        <v>-</v>
      </c>
    </row>
    <row r="2276" spans="1:25" ht="15" customHeight="1" x14ac:dyDescent="0.35">
      <c r="A2276" s="24"/>
      <c r="B2276" s="38"/>
      <c r="C2276" s="38"/>
      <c r="D2276" s="38"/>
      <c r="E2276" s="37"/>
      <c r="F2276" s="38"/>
      <c r="G2276" s="198"/>
      <c r="H2276" s="198"/>
      <c r="I2276" s="39"/>
      <c r="J2276" s="38"/>
      <c r="K2276" s="198"/>
      <c r="L2276" s="38"/>
      <c r="M2276" s="38"/>
      <c r="N2276" s="38"/>
      <c r="O2276" s="38"/>
      <c r="P2276" s="40" t="str" cm="1">
        <f t="array" ref="P2276">IF(N2276="","",IFERROR(_xlfn.XLOOKUP(F2276&amp;"|"&amp;J2276&amp;"|"&amp;O2276,PRICES!$C$2:$C$659&amp;"|"&amp;PRICES!$B$2:$B$659&amp;"|"&amp;PRICES!$D$2:$D$659,PRICES!$E$2:$E$659),"Not Found"))</f>
        <v/>
      </c>
      <c r="Q2276" s="100" t="str">
        <f>IF(N2276=0,"",SUMIFS(PRICES!$G$2:$G$658,PRICES!$B$2:$B$658,'MAIN TABLE-1 AUTOMATED'!J2276,PRICES!$C$2:$C$658,'MAIN TABLE-1 AUTOMATED'!F2276,PRICES!$D$2:$D$658,'MAIN TABLE-1 AUTOMATED'!O2276))</f>
        <v/>
      </c>
      <c r="R2276" s="41" t="str">
        <f>IF(Table1[[#This Row],[QUANTITY]]=0,"",Table1[[#This Row],[UNIT PRICE]]*Table1[[#This Row],[QUANTITY]])</f>
        <v/>
      </c>
      <c r="S2276" s="89"/>
      <c r="T2276" s="38"/>
      <c r="U2276" s="43"/>
      <c r="V2276" s="42" t="str">
        <f>IF(Table1[[#This Row],[DATE]]=0,"",YEAR(E2276))</f>
        <v/>
      </c>
      <c r="W2276" s="40" t="str">
        <f t="shared" si="72"/>
        <v/>
      </c>
      <c r="X2276" s="40" t="str">
        <f t="shared" si="73"/>
        <v/>
      </c>
      <c r="Y2276" s="40" t="str">
        <f>TEXT(Table1[[#This Row],[YEAR]],"0000")&amp;"-"&amp;Table1[[#This Row],[MONTH]]</f>
        <v>-</v>
      </c>
    </row>
    <row r="2277" spans="1:25" ht="15" customHeight="1" x14ac:dyDescent="0.35">
      <c r="A2277" s="24"/>
      <c r="B2277" s="38"/>
      <c r="C2277" s="38"/>
      <c r="D2277" s="38"/>
      <c r="E2277" s="37"/>
      <c r="F2277" s="38"/>
      <c r="G2277" s="198"/>
      <c r="H2277" s="198"/>
      <c r="I2277" s="39"/>
      <c r="J2277" s="38"/>
      <c r="K2277" s="198"/>
      <c r="L2277" s="38"/>
      <c r="M2277" s="38"/>
      <c r="N2277" s="38"/>
      <c r="O2277" s="38"/>
      <c r="P2277" s="40" t="str" cm="1">
        <f t="array" ref="P2277">IF(N2277="","",IFERROR(_xlfn.XLOOKUP(F2277&amp;"|"&amp;J2277&amp;"|"&amp;O2277,PRICES!$C$2:$C$659&amp;"|"&amp;PRICES!$B$2:$B$659&amp;"|"&amp;PRICES!$D$2:$D$659,PRICES!$E$2:$E$659),"Not Found"))</f>
        <v/>
      </c>
      <c r="Q2277" s="100" t="str">
        <f>IF(N2277=0,"",SUMIFS(PRICES!$G$2:$G$658,PRICES!$B$2:$B$658,'MAIN TABLE-1 AUTOMATED'!J2277,PRICES!$C$2:$C$658,'MAIN TABLE-1 AUTOMATED'!F2277,PRICES!$D$2:$D$658,'MAIN TABLE-1 AUTOMATED'!O2277))</f>
        <v/>
      </c>
      <c r="R2277" s="41" t="str">
        <f>IF(Table1[[#This Row],[QUANTITY]]=0,"",Table1[[#This Row],[UNIT PRICE]]*Table1[[#This Row],[QUANTITY]])</f>
        <v/>
      </c>
      <c r="S2277" s="89"/>
      <c r="T2277" s="38"/>
      <c r="U2277" s="43"/>
      <c r="V2277" s="42" t="str">
        <f>IF(Table1[[#This Row],[DATE]]=0,"",YEAR(E2277))</f>
        <v/>
      </c>
      <c r="W2277" s="40" t="str">
        <f t="shared" si="72"/>
        <v/>
      </c>
      <c r="X2277" s="40" t="str">
        <f t="shared" si="73"/>
        <v/>
      </c>
      <c r="Y2277" s="40" t="str">
        <f>TEXT(Table1[[#This Row],[YEAR]],"0000")&amp;"-"&amp;Table1[[#This Row],[MONTH]]</f>
        <v>-</v>
      </c>
    </row>
    <row r="2278" spans="1:25" ht="15" customHeight="1" x14ac:dyDescent="0.35">
      <c r="A2278" s="24"/>
      <c r="B2278" s="38"/>
      <c r="C2278" s="38"/>
      <c r="D2278" s="38"/>
      <c r="E2278" s="37"/>
      <c r="F2278" s="38"/>
      <c r="G2278" s="198"/>
      <c r="H2278" s="198"/>
      <c r="I2278" s="39"/>
      <c r="J2278" s="38"/>
      <c r="K2278" s="198"/>
      <c r="L2278" s="38"/>
      <c r="M2278" s="38"/>
      <c r="N2278" s="38"/>
      <c r="O2278" s="38"/>
      <c r="P2278" s="40" t="str" cm="1">
        <f t="array" ref="P2278">IF(N2278="","",IFERROR(_xlfn.XLOOKUP(F2278&amp;"|"&amp;J2278&amp;"|"&amp;O2278,PRICES!$C$2:$C$659&amp;"|"&amp;PRICES!$B$2:$B$659&amp;"|"&amp;PRICES!$D$2:$D$659,PRICES!$E$2:$E$659),"Not Found"))</f>
        <v/>
      </c>
      <c r="Q2278" s="100" t="str">
        <f>IF(N2278=0,"",SUMIFS(PRICES!$G$2:$G$658,PRICES!$B$2:$B$658,'MAIN TABLE-1 AUTOMATED'!J2278,PRICES!$C$2:$C$658,'MAIN TABLE-1 AUTOMATED'!F2278,PRICES!$D$2:$D$658,'MAIN TABLE-1 AUTOMATED'!O2278))</f>
        <v/>
      </c>
      <c r="R2278" s="41" t="str">
        <f>IF(Table1[[#This Row],[QUANTITY]]=0,"",Table1[[#This Row],[UNIT PRICE]]*Table1[[#This Row],[QUANTITY]])</f>
        <v/>
      </c>
      <c r="S2278" s="89"/>
      <c r="T2278" s="38"/>
      <c r="U2278" s="43"/>
      <c r="V2278" s="42" t="str">
        <f>IF(Table1[[#This Row],[DATE]]=0,"",YEAR(E2278))</f>
        <v/>
      </c>
      <c r="W2278" s="40" t="str">
        <f t="shared" si="72"/>
        <v/>
      </c>
      <c r="X2278" s="40" t="str">
        <f t="shared" si="73"/>
        <v/>
      </c>
      <c r="Y2278" s="40" t="str">
        <f>TEXT(Table1[[#This Row],[YEAR]],"0000")&amp;"-"&amp;Table1[[#This Row],[MONTH]]</f>
        <v>-</v>
      </c>
    </row>
    <row r="2279" spans="1:25" ht="15" customHeight="1" x14ac:dyDescent="0.35">
      <c r="A2279" s="24"/>
      <c r="B2279" s="38"/>
      <c r="C2279" s="38"/>
      <c r="D2279" s="38"/>
      <c r="E2279" s="37"/>
      <c r="F2279" s="38"/>
      <c r="G2279" s="198"/>
      <c r="H2279" s="198"/>
      <c r="I2279" s="39"/>
      <c r="J2279" s="38"/>
      <c r="K2279" s="198"/>
      <c r="L2279" s="38"/>
      <c r="M2279" s="38"/>
      <c r="N2279" s="38"/>
      <c r="O2279" s="38"/>
      <c r="P2279" s="40" t="str" cm="1">
        <f t="array" ref="P2279">IF(N2279="","",IFERROR(_xlfn.XLOOKUP(F2279&amp;"|"&amp;J2279&amp;"|"&amp;O2279,PRICES!$C$2:$C$659&amp;"|"&amp;PRICES!$B$2:$B$659&amp;"|"&amp;PRICES!$D$2:$D$659,PRICES!$E$2:$E$659),"Not Found"))</f>
        <v/>
      </c>
      <c r="Q2279" s="100" t="str">
        <f>IF(N2279=0,"",SUMIFS(PRICES!$G$2:$G$658,PRICES!$B$2:$B$658,'MAIN TABLE-1 AUTOMATED'!J2279,PRICES!$C$2:$C$658,'MAIN TABLE-1 AUTOMATED'!F2279,PRICES!$D$2:$D$658,'MAIN TABLE-1 AUTOMATED'!O2279))</f>
        <v/>
      </c>
      <c r="R2279" s="41" t="str">
        <f>IF(Table1[[#This Row],[QUANTITY]]=0,"",Table1[[#This Row],[UNIT PRICE]]*Table1[[#This Row],[QUANTITY]])</f>
        <v/>
      </c>
      <c r="S2279" s="89"/>
      <c r="T2279" s="38"/>
      <c r="U2279" s="43"/>
      <c r="V2279" s="42" t="str">
        <f>IF(Table1[[#This Row],[DATE]]=0,"",YEAR(E2279))</f>
        <v/>
      </c>
      <c r="W2279" s="40" t="str">
        <f t="shared" si="72"/>
        <v/>
      </c>
      <c r="X2279" s="40" t="str">
        <f t="shared" si="73"/>
        <v/>
      </c>
      <c r="Y2279" s="40" t="str">
        <f>TEXT(Table1[[#This Row],[YEAR]],"0000")&amp;"-"&amp;Table1[[#This Row],[MONTH]]</f>
        <v>-</v>
      </c>
    </row>
    <row r="2280" spans="1:25" ht="15" customHeight="1" x14ac:dyDescent="0.35">
      <c r="A2280" s="24"/>
      <c r="B2280" s="38"/>
      <c r="C2280" s="38"/>
      <c r="D2280" s="38"/>
      <c r="E2280" s="37"/>
      <c r="F2280" s="38"/>
      <c r="G2280" s="198"/>
      <c r="H2280" s="198"/>
      <c r="I2280" s="39"/>
      <c r="J2280" s="38"/>
      <c r="K2280" s="198"/>
      <c r="L2280" s="38"/>
      <c r="M2280" s="38"/>
      <c r="N2280" s="38"/>
      <c r="O2280" s="38"/>
      <c r="P2280" s="40" t="str" cm="1">
        <f t="array" ref="P2280">IF(N2280="","",IFERROR(_xlfn.XLOOKUP(F2280&amp;"|"&amp;J2280&amp;"|"&amp;O2280,PRICES!$C$2:$C$659&amp;"|"&amp;PRICES!$B$2:$B$659&amp;"|"&amp;PRICES!$D$2:$D$659,PRICES!$E$2:$E$659),"Not Found"))</f>
        <v/>
      </c>
      <c r="Q2280" s="100" t="str">
        <f>IF(N2280=0,"",SUMIFS(PRICES!$G$2:$G$658,PRICES!$B$2:$B$658,'MAIN TABLE-1 AUTOMATED'!J2280,PRICES!$C$2:$C$658,'MAIN TABLE-1 AUTOMATED'!F2280,PRICES!$D$2:$D$658,'MAIN TABLE-1 AUTOMATED'!O2280))</f>
        <v/>
      </c>
      <c r="R2280" s="41" t="str">
        <f>IF(Table1[[#This Row],[QUANTITY]]=0,"",Table1[[#This Row],[UNIT PRICE]]*Table1[[#This Row],[QUANTITY]])</f>
        <v/>
      </c>
      <c r="S2280" s="89"/>
      <c r="T2280" s="38"/>
      <c r="U2280" s="43"/>
      <c r="V2280" s="42" t="str">
        <f>IF(Table1[[#This Row],[DATE]]=0,"",YEAR(E2280))</f>
        <v/>
      </c>
      <c r="W2280" s="40" t="str">
        <f t="shared" si="72"/>
        <v/>
      </c>
      <c r="X2280" s="40" t="str">
        <f t="shared" si="73"/>
        <v/>
      </c>
      <c r="Y2280" s="40" t="str">
        <f>TEXT(Table1[[#This Row],[YEAR]],"0000")&amp;"-"&amp;Table1[[#This Row],[MONTH]]</f>
        <v>-</v>
      </c>
    </row>
    <row r="2281" spans="1:25" ht="15" customHeight="1" x14ac:dyDescent="0.35">
      <c r="A2281" s="24"/>
      <c r="B2281" s="38"/>
      <c r="C2281" s="38"/>
      <c r="D2281" s="38"/>
      <c r="E2281" s="37"/>
      <c r="F2281" s="38"/>
      <c r="G2281" s="198"/>
      <c r="H2281" s="198"/>
      <c r="I2281" s="39"/>
      <c r="J2281" s="38"/>
      <c r="K2281" s="198"/>
      <c r="L2281" s="38"/>
      <c r="M2281" s="38"/>
      <c r="N2281" s="38"/>
      <c r="O2281" s="38"/>
      <c r="P2281" s="40" t="str" cm="1">
        <f t="array" ref="P2281">IF(N2281="","",IFERROR(_xlfn.XLOOKUP(F2281&amp;"|"&amp;J2281&amp;"|"&amp;O2281,PRICES!$C$2:$C$659&amp;"|"&amp;PRICES!$B$2:$B$659&amp;"|"&amp;PRICES!$D$2:$D$659,PRICES!$E$2:$E$659),"Not Found"))</f>
        <v/>
      </c>
      <c r="Q2281" s="100" t="str">
        <f>IF(N2281=0,"",SUMIFS(PRICES!$G$2:$G$658,PRICES!$B$2:$B$658,'MAIN TABLE-1 AUTOMATED'!J2281,PRICES!$C$2:$C$658,'MAIN TABLE-1 AUTOMATED'!F2281,PRICES!$D$2:$D$658,'MAIN TABLE-1 AUTOMATED'!O2281))</f>
        <v/>
      </c>
      <c r="R2281" s="41" t="str">
        <f>IF(Table1[[#This Row],[QUANTITY]]=0,"",Table1[[#This Row],[UNIT PRICE]]*Table1[[#This Row],[QUANTITY]])</f>
        <v/>
      </c>
      <c r="S2281" s="89"/>
      <c r="T2281" s="38"/>
      <c r="U2281" s="43"/>
      <c r="V2281" s="42" t="str">
        <f>IF(Table1[[#This Row],[DATE]]=0,"",YEAR(E2281))</f>
        <v/>
      </c>
      <c r="W2281" s="40" t="str">
        <f t="shared" si="72"/>
        <v/>
      </c>
      <c r="X2281" s="40" t="str">
        <f t="shared" si="73"/>
        <v/>
      </c>
      <c r="Y2281" s="40" t="str">
        <f>TEXT(Table1[[#This Row],[YEAR]],"0000")&amp;"-"&amp;Table1[[#This Row],[MONTH]]</f>
        <v>-</v>
      </c>
    </row>
    <row r="2282" spans="1:25" ht="15" customHeight="1" x14ac:dyDescent="0.35">
      <c r="A2282" s="24"/>
      <c r="B2282" s="38"/>
      <c r="C2282" s="38"/>
      <c r="D2282" s="38"/>
      <c r="E2282" s="37"/>
      <c r="F2282" s="38"/>
      <c r="G2282" s="198"/>
      <c r="H2282" s="198"/>
      <c r="I2282" s="39"/>
      <c r="J2282" s="38"/>
      <c r="K2282" s="198"/>
      <c r="L2282" s="38"/>
      <c r="M2282" s="38"/>
      <c r="N2282" s="38"/>
      <c r="O2282" s="38"/>
      <c r="P2282" s="40" t="str" cm="1">
        <f t="array" ref="P2282">IF(N2282="","",IFERROR(_xlfn.XLOOKUP(F2282&amp;"|"&amp;J2282&amp;"|"&amp;O2282,PRICES!$C$2:$C$659&amp;"|"&amp;PRICES!$B$2:$B$659&amp;"|"&amp;PRICES!$D$2:$D$659,PRICES!$E$2:$E$659),"Not Found"))</f>
        <v/>
      </c>
      <c r="Q2282" s="100" t="str">
        <f>IF(N2282=0,"",SUMIFS(PRICES!$G$2:$G$658,PRICES!$B$2:$B$658,'MAIN TABLE-1 AUTOMATED'!J2282,PRICES!$C$2:$C$658,'MAIN TABLE-1 AUTOMATED'!F2282,PRICES!$D$2:$D$658,'MAIN TABLE-1 AUTOMATED'!O2282))</f>
        <v/>
      </c>
      <c r="R2282" s="41" t="str">
        <f>IF(Table1[[#This Row],[QUANTITY]]=0,"",Table1[[#This Row],[UNIT PRICE]]*Table1[[#This Row],[QUANTITY]])</f>
        <v/>
      </c>
      <c r="S2282" s="89"/>
      <c r="T2282" s="38"/>
      <c r="U2282" s="43"/>
      <c r="V2282" s="42" t="str">
        <f>IF(Table1[[#This Row],[DATE]]=0,"",YEAR(E2282))</f>
        <v/>
      </c>
      <c r="W2282" s="40" t="str">
        <f t="shared" ref="W2282:W2306" si="74">IF(E2282=0,"",MONTH(E2282))</f>
        <v/>
      </c>
      <c r="X2282" s="40" t="str">
        <f t="shared" ref="X2282:X2306" si="75">IF(E2282=0,"",WEEKNUM(E2282))</f>
        <v/>
      </c>
      <c r="Y2282" s="40" t="str">
        <f>TEXT(Table1[[#This Row],[YEAR]],"0000")&amp;"-"&amp;Table1[[#This Row],[MONTH]]</f>
        <v>-</v>
      </c>
    </row>
    <row r="2283" spans="1:25" ht="15" customHeight="1" x14ac:dyDescent="0.35">
      <c r="A2283" s="24"/>
      <c r="B2283" s="38"/>
      <c r="C2283" s="38"/>
      <c r="D2283" s="38"/>
      <c r="E2283" s="37"/>
      <c r="F2283" s="38"/>
      <c r="G2283" s="198"/>
      <c r="H2283" s="198"/>
      <c r="I2283" s="39"/>
      <c r="J2283" s="38"/>
      <c r="K2283" s="198"/>
      <c r="L2283" s="38"/>
      <c r="M2283" s="38"/>
      <c r="N2283" s="38"/>
      <c r="O2283" s="38"/>
      <c r="P2283" s="40" t="str" cm="1">
        <f t="array" ref="P2283">IF(N2283="","",IFERROR(_xlfn.XLOOKUP(F2283&amp;"|"&amp;J2283&amp;"|"&amp;O2283,PRICES!$C$2:$C$659&amp;"|"&amp;PRICES!$B$2:$B$659&amp;"|"&amp;PRICES!$D$2:$D$659,PRICES!$E$2:$E$659),"Not Found"))</f>
        <v/>
      </c>
      <c r="Q2283" s="100" t="str">
        <f>IF(N2283=0,"",SUMIFS(PRICES!$G$2:$G$658,PRICES!$B$2:$B$658,'MAIN TABLE-1 AUTOMATED'!J2283,PRICES!$C$2:$C$658,'MAIN TABLE-1 AUTOMATED'!F2283,PRICES!$D$2:$D$658,'MAIN TABLE-1 AUTOMATED'!O2283))</f>
        <v/>
      </c>
      <c r="R2283" s="41" t="str">
        <f>IF(Table1[[#This Row],[QUANTITY]]=0,"",Table1[[#This Row],[UNIT PRICE]]*Table1[[#This Row],[QUANTITY]])</f>
        <v/>
      </c>
      <c r="S2283" s="89"/>
      <c r="T2283" s="38"/>
      <c r="U2283" s="43"/>
      <c r="V2283" s="42" t="str">
        <f>IF(Table1[[#This Row],[DATE]]=0,"",YEAR(E2283))</f>
        <v/>
      </c>
      <c r="W2283" s="40" t="str">
        <f t="shared" si="74"/>
        <v/>
      </c>
      <c r="X2283" s="40" t="str">
        <f t="shared" si="75"/>
        <v/>
      </c>
      <c r="Y2283" s="40" t="str">
        <f>TEXT(Table1[[#This Row],[YEAR]],"0000")&amp;"-"&amp;Table1[[#This Row],[MONTH]]</f>
        <v>-</v>
      </c>
    </row>
    <row r="2284" spans="1:25" ht="15" customHeight="1" x14ac:dyDescent="0.35">
      <c r="A2284" s="24"/>
      <c r="B2284" s="38"/>
      <c r="C2284" s="38"/>
      <c r="D2284" s="38"/>
      <c r="E2284" s="37"/>
      <c r="F2284" s="38"/>
      <c r="G2284" s="198"/>
      <c r="H2284" s="198"/>
      <c r="I2284" s="39"/>
      <c r="J2284" s="38"/>
      <c r="K2284" s="198"/>
      <c r="L2284" s="38"/>
      <c r="M2284" s="38"/>
      <c r="N2284" s="38"/>
      <c r="O2284" s="38"/>
      <c r="P2284" s="40" t="str" cm="1">
        <f t="array" ref="P2284">IF(N2284="","",IFERROR(_xlfn.XLOOKUP(F2284&amp;"|"&amp;J2284&amp;"|"&amp;O2284,PRICES!$C$2:$C$659&amp;"|"&amp;PRICES!$B$2:$B$659&amp;"|"&amp;PRICES!$D$2:$D$659,PRICES!$E$2:$E$659),"Not Found"))</f>
        <v/>
      </c>
      <c r="Q2284" s="100" t="str">
        <f>IF(N2284=0,"",SUMIFS(PRICES!$G$2:$G$658,PRICES!$B$2:$B$658,'MAIN TABLE-1 AUTOMATED'!J2284,PRICES!$C$2:$C$658,'MAIN TABLE-1 AUTOMATED'!F2284,PRICES!$D$2:$D$658,'MAIN TABLE-1 AUTOMATED'!O2284))</f>
        <v/>
      </c>
      <c r="R2284" s="41" t="str">
        <f>IF(Table1[[#This Row],[QUANTITY]]=0,"",Table1[[#This Row],[UNIT PRICE]]*Table1[[#This Row],[QUANTITY]])</f>
        <v/>
      </c>
      <c r="S2284" s="89"/>
      <c r="T2284" s="38"/>
      <c r="U2284" s="43"/>
      <c r="V2284" s="42" t="str">
        <f>IF(Table1[[#This Row],[DATE]]=0,"",YEAR(E2284))</f>
        <v/>
      </c>
      <c r="W2284" s="40" t="str">
        <f t="shared" si="74"/>
        <v/>
      </c>
      <c r="X2284" s="40" t="str">
        <f t="shared" si="75"/>
        <v/>
      </c>
      <c r="Y2284" s="40" t="str">
        <f>TEXT(Table1[[#This Row],[YEAR]],"0000")&amp;"-"&amp;Table1[[#This Row],[MONTH]]</f>
        <v>-</v>
      </c>
    </row>
    <row r="2285" spans="1:25" ht="15" customHeight="1" x14ac:dyDescent="0.35">
      <c r="A2285" s="24"/>
      <c r="B2285" s="38"/>
      <c r="C2285" s="38"/>
      <c r="D2285" s="38"/>
      <c r="E2285" s="37"/>
      <c r="F2285" s="38"/>
      <c r="G2285" s="198"/>
      <c r="H2285" s="198"/>
      <c r="I2285" s="39"/>
      <c r="J2285" s="38"/>
      <c r="K2285" s="198"/>
      <c r="L2285" s="38"/>
      <c r="M2285" s="38"/>
      <c r="N2285" s="38"/>
      <c r="O2285" s="38"/>
      <c r="P2285" s="40" t="str" cm="1">
        <f t="array" ref="P2285">IF(N2285="","",IFERROR(_xlfn.XLOOKUP(F2285&amp;"|"&amp;J2285&amp;"|"&amp;O2285,PRICES!$C$2:$C$659&amp;"|"&amp;PRICES!$B$2:$B$659&amp;"|"&amp;PRICES!$D$2:$D$659,PRICES!$E$2:$E$659),"Not Found"))</f>
        <v/>
      </c>
      <c r="Q2285" s="100" t="str">
        <f>IF(N2285=0,"",SUMIFS(PRICES!$G$2:$G$658,PRICES!$B$2:$B$658,'MAIN TABLE-1 AUTOMATED'!J2285,PRICES!$C$2:$C$658,'MAIN TABLE-1 AUTOMATED'!F2285,PRICES!$D$2:$D$658,'MAIN TABLE-1 AUTOMATED'!O2285))</f>
        <v/>
      </c>
      <c r="R2285" s="41" t="str">
        <f>IF(Table1[[#This Row],[QUANTITY]]=0,"",Table1[[#This Row],[UNIT PRICE]]*Table1[[#This Row],[QUANTITY]])</f>
        <v/>
      </c>
      <c r="S2285" s="89"/>
      <c r="T2285" s="38"/>
      <c r="U2285" s="43"/>
      <c r="V2285" s="42" t="str">
        <f>IF(Table1[[#This Row],[DATE]]=0,"",YEAR(E2285))</f>
        <v/>
      </c>
      <c r="W2285" s="40" t="str">
        <f t="shared" si="74"/>
        <v/>
      </c>
      <c r="X2285" s="40" t="str">
        <f t="shared" si="75"/>
        <v/>
      </c>
      <c r="Y2285" s="40" t="str">
        <f>TEXT(Table1[[#This Row],[YEAR]],"0000")&amp;"-"&amp;Table1[[#This Row],[MONTH]]</f>
        <v>-</v>
      </c>
    </row>
    <row r="2286" spans="1:25" ht="15" customHeight="1" x14ac:dyDescent="0.35">
      <c r="A2286" s="24"/>
      <c r="B2286" s="38"/>
      <c r="C2286" s="38"/>
      <c r="D2286" s="38"/>
      <c r="E2286" s="37"/>
      <c r="F2286" s="38"/>
      <c r="G2286" s="198"/>
      <c r="H2286" s="198"/>
      <c r="I2286" s="39"/>
      <c r="J2286" s="38"/>
      <c r="K2286" s="198"/>
      <c r="L2286" s="38"/>
      <c r="M2286" s="38"/>
      <c r="N2286" s="38"/>
      <c r="O2286" s="38"/>
      <c r="P2286" s="40" t="str" cm="1">
        <f t="array" ref="P2286">IF(N2286="","",IFERROR(_xlfn.XLOOKUP(F2286&amp;"|"&amp;J2286&amp;"|"&amp;O2286,PRICES!$C$2:$C$659&amp;"|"&amp;PRICES!$B$2:$B$659&amp;"|"&amp;PRICES!$D$2:$D$659,PRICES!$E$2:$E$659),"Not Found"))</f>
        <v/>
      </c>
      <c r="Q2286" s="100" t="str">
        <f>IF(N2286=0,"",SUMIFS(PRICES!$G$2:$G$658,PRICES!$B$2:$B$658,'MAIN TABLE-1 AUTOMATED'!J2286,PRICES!$C$2:$C$658,'MAIN TABLE-1 AUTOMATED'!F2286,PRICES!$D$2:$D$658,'MAIN TABLE-1 AUTOMATED'!O2286))</f>
        <v/>
      </c>
      <c r="R2286" s="41" t="str">
        <f>IF(Table1[[#This Row],[QUANTITY]]=0,"",Table1[[#This Row],[UNIT PRICE]]*Table1[[#This Row],[QUANTITY]])</f>
        <v/>
      </c>
      <c r="S2286" s="89"/>
      <c r="T2286" s="38"/>
      <c r="U2286" s="43"/>
      <c r="V2286" s="42" t="str">
        <f>IF(Table1[[#This Row],[DATE]]=0,"",YEAR(E2286))</f>
        <v/>
      </c>
      <c r="W2286" s="40" t="str">
        <f t="shared" si="74"/>
        <v/>
      </c>
      <c r="X2286" s="40" t="str">
        <f t="shared" si="75"/>
        <v/>
      </c>
      <c r="Y2286" s="40" t="str">
        <f>TEXT(Table1[[#This Row],[YEAR]],"0000")&amp;"-"&amp;Table1[[#This Row],[MONTH]]</f>
        <v>-</v>
      </c>
    </row>
    <row r="2287" spans="1:25" ht="15" customHeight="1" x14ac:dyDescent="0.35">
      <c r="A2287" s="24"/>
      <c r="B2287" s="38"/>
      <c r="C2287" s="38"/>
      <c r="D2287" s="38"/>
      <c r="E2287" s="37"/>
      <c r="F2287" s="38"/>
      <c r="G2287" s="198"/>
      <c r="H2287" s="198"/>
      <c r="I2287" s="39"/>
      <c r="J2287" s="38"/>
      <c r="K2287" s="198"/>
      <c r="L2287" s="38"/>
      <c r="M2287" s="38"/>
      <c r="N2287" s="38"/>
      <c r="O2287" s="38"/>
      <c r="P2287" s="40" t="str" cm="1">
        <f t="array" ref="P2287">IF(N2287="","",IFERROR(_xlfn.XLOOKUP(F2287&amp;"|"&amp;J2287&amp;"|"&amp;O2287,PRICES!$C$2:$C$659&amp;"|"&amp;PRICES!$B$2:$B$659&amp;"|"&amp;PRICES!$D$2:$D$659,PRICES!$E$2:$E$659),"Not Found"))</f>
        <v/>
      </c>
      <c r="Q2287" s="100" t="str">
        <f>IF(N2287=0,"",SUMIFS(PRICES!$G$2:$G$658,PRICES!$B$2:$B$658,'MAIN TABLE-1 AUTOMATED'!J2287,PRICES!$C$2:$C$658,'MAIN TABLE-1 AUTOMATED'!F2287,PRICES!$D$2:$D$658,'MAIN TABLE-1 AUTOMATED'!O2287))</f>
        <v/>
      </c>
      <c r="R2287" s="41" t="str">
        <f>IF(Table1[[#This Row],[QUANTITY]]=0,"",Table1[[#This Row],[UNIT PRICE]]*Table1[[#This Row],[QUANTITY]])</f>
        <v/>
      </c>
      <c r="S2287" s="89"/>
      <c r="T2287" s="38"/>
      <c r="U2287" s="43"/>
      <c r="V2287" s="42" t="str">
        <f>IF(Table1[[#This Row],[DATE]]=0,"",YEAR(E2287))</f>
        <v/>
      </c>
      <c r="W2287" s="40" t="str">
        <f t="shared" si="74"/>
        <v/>
      </c>
      <c r="X2287" s="40" t="str">
        <f t="shared" si="75"/>
        <v/>
      </c>
      <c r="Y2287" s="40" t="str">
        <f>TEXT(Table1[[#This Row],[YEAR]],"0000")&amp;"-"&amp;Table1[[#This Row],[MONTH]]</f>
        <v>-</v>
      </c>
    </row>
    <row r="2288" spans="1:25" ht="15" customHeight="1" x14ac:dyDescent="0.35">
      <c r="A2288" s="24"/>
      <c r="B2288" s="38"/>
      <c r="C2288" s="38"/>
      <c r="D2288" s="38"/>
      <c r="E2288" s="37"/>
      <c r="F2288" s="38"/>
      <c r="G2288" s="198"/>
      <c r="H2288" s="198"/>
      <c r="I2288" s="39"/>
      <c r="J2288" s="38"/>
      <c r="K2288" s="198"/>
      <c r="L2288" s="38"/>
      <c r="M2288" s="38"/>
      <c r="N2288" s="38"/>
      <c r="O2288" s="38"/>
      <c r="P2288" s="40" t="str" cm="1">
        <f t="array" ref="P2288">IF(N2288="","",IFERROR(_xlfn.XLOOKUP(F2288&amp;"|"&amp;J2288&amp;"|"&amp;O2288,PRICES!$C$2:$C$659&amp;"|"&amp;PRICES!$B$2:$B$659&amp;"|"&amp;PRICES!$D$2:$D$659,PRICES!$E$2:$E$659),"Not Found"))</f>
        <v/>
      </c>
      <c r="Q2288" s="100" t="str">
        <f>IF(N2288=0,"",SUMIFS(PRICES!$G$2:$G$658,PRICES!$B$2:$B$658,'MAIN TABLE-1 AUTOMATED'!J2288,PRICES!$C$2:$C$658,'MAIN TABLE-1 AUTOMATED'!F2288,PRICES!$D$2:$D$658,'MAIN TABLE-1 AUTOMATED'!O2288))</f>
        <v/>
      </c>
      <c r="R2288" s="41" t="str">
        <f>IF(Table1[[#This Row],[QUANTITY]]=0,"",Table1[[#This Row],[UNIT PRICE]]*Table1[[#This Row],[QUANTITY]])</f>
        <v/>
      </c>
      <c r="S2288" s="89"/>
      <c r="T2288" s="38"/>
      <c r="U2288" s="43"/>
      <c r="V2288" s="42" t="str">
        <f>IF(Table1[[#This Row],[DATE]]=0,"",YEAR(E2288))</f>
        <v/>
      </c>
      <c r="W2288" s="40" t="str">
        <f t="shared" si="74"/>
        <v/>
      </c>
      <c r="X2288" s="40" t="str">
        <f t="shared" si="75"/>
        <v/>
      </c>
      <c r="Y2288" s="40" t="str">
        <f>TEXT(Table1[[#This Row],[YEAR]],"0000")&amp;"-"&amp;Table1[[#This Row],[MONTH]]</f>
        <v>-</v>
      </c>
    </row>
    <row r="2289" spans="1:25" ht="15" customHeight="1" x14ac:dyDescent="0.35">
      <c r="A2289" s="24"/>
      <c r="B2289" s="38"/>
      <c r="C2289" s="38"/>
      <c r="D2289" s="38"/>
      <c r="E2289" s="37"/>
      <c r="F2289" s="38"/>
      <c r="G2289" s="198"/>
      <c r="H2289" s="198"/>
      <c r="I2289" s="39"/>
      <c r="J2289" s="38"/>
      <c r="K2289" s="198"/>
      <c r="L2289" s="38"/>
      <c r="M2289" s="38"/>
      <c r="N2289" s="38"/>
      <c r="O2289" s="38"/>
      <c r="P2289" s="40" t="str" cm="1">
        <f t="array" ref="P2289">IF(N2289="","",IFERROR(_xlfn.XLOOKUP(F2289&amp;"|"&amp;J2289&amp;"|"&amp;O2289,PRICES!$C$2:$C$659&amp;"|"&amp;PRICES!$B$2:$B$659&amp;"|"&amp;PRICES!$D$2:$D$659,PRICES!$E$2:$E$659),"Not Found"))</f>
        <v/>
      </c>
      <c r="Q2289" s="100" t="str">
        <f>IF(N2289=0,"",SUMIFS(PRICES!$G$2:$G$658,PRICES!$B$2:$B$658,'MAIN TABLE-1 AUTOMATED'!J2289,PRICES!$C$2:$C$658,'MAIN TABLE-1 AUTOMATED'!F2289,PRICES!$D$2:$D$658,'MAIN TABLE-1 AUTOMATED'!O2289))</f>
        <v/>
      </c>
      <c r="R2289" s="41" t="str">
        <f>IF(Table1[[#This Row],[QUANTITY]]=0,"",Table1[[#This Row],[UNIT PRICE]]*Table1[[#This Row],[QUANTITY]])</f>
        <v/>
      </c>
      <c r="S2289" s="89"/>
      <c r="T2289" s="38"/>
      <c r="U2289" s="43"/>
      <c r="V2289" s="42" t="str">
        <f>IF(Table1[[#This Row],[DATE]]=0,"",YEAR(E2289))</f>
        <v/>
      </c>
      <c r="W2289" s="40" t="str">
        <f t="shared" si="74"/>
        <v/>
      </c>
      <c r="X2289" s="40" t="str">
        <f t="shared" si="75"/>
        <v/>
      </c>
      <c r="Y2289" s="40" t="str">
        <f>TEXT(Table1[[#This Row],[YEAR]],"0000")&amp;"-"&amp;Table1[[#This Row],[MONTH]]</f>
        <v>-</v>
      </c>
    </row>
    <row r="2290" spans="1:25" ht="15" customHeight="1" x14ac:dyDescent="0.35">
      <c r="A2290" s="24"/>
      <c r="B2290" s="38"/>
      <c r="C2290" s="38"/>
      <c r="D2290" s="38"/>
      <c r="E2290" s="37"/>
      <c r="F2290" s="38"/>
      <c r="G2290" s="198"/>
      <c r="H2290" s="198"/>
      <c r="I2290" s="39"/>
      <c r="J2290" s="38"/>
      <c r="K2290" s="198"/>
      <c r="L2290" s="38"/>
      <c r="M2290" s="38"/>
      <c r="N2290" s="38"/>
      <c r="O2290" s="38"/>
      <c r="P2290" s="40" t="str" cm="1">
        <f t="array" ref="P2290">IF(N2290="","",IFERROR(_xlfn.XLOOKUP(F2290&amp;"|"&amp;J2290&amp;"|"&amp;O2290,PRICES!$C$2:$C$659&amp;"|"&amp;PRICES!$B$2:$B$659&amp;"|"&amp;PRICES!$D$2:$D$659,PRICES!$E$2:$E$659),"Not Found"))</f>
        <v/>
      </c>
      <c r="Q2290" s="100" t="str">
        <f>IF(N2290=0,"",SUMIFS(PRICES!$G$2:$G$658,PRICES!$B$2:$B$658,'MAIN TABLE-1 AUTOMATED'!J2290,PRICES!$C$2:$C$658,'MAIN TABLE-1 AUTOMATED'!F2290,PRICES!$D$2:$D$658,'MAIN TABLE-1 AUTOMATED'!O2290))</f>
        <v/>
      </c>
      <c r="R2290" s="41" t="str">
        <f>IF(Table1[[#This Row],[QUANTITY]]=0,"",Table1[[#This Row],[UNIT PRICE]]*Table1[[#This Row],[QUANTITY]])</f>
        <v/>
      </c>
      <c r="S2290" s="89"/>
      <c r="T2290" s="38"/>
      <c r="U2290" s="43"/>
      <c r="V2290" s="42" t="str">
        <f>IF(Table1[[#This Row],[DATE]]=0,"",YEAR(E2290))</f>
        <v/>
      </c>
      <c r="W2290" s="40" t="str">
        <f t="shared" si="74"/>
        <v/>
      </c>
      <c r="X2290" s="40" t="str">
        <f t="shared" si="75"/>
        <v/>
      </c>
      <c r="Y2290" s="40" t="str">
        <f>TEXT(Table1[[#This Row],[YEAR]],"0000")&amp;"-"&amp;Table1[[#This Row],[MONTH]]</f>
        <v>-</v>
      </c>
    </row>
    <row r="2291" spans="1:25" ht="15" customHeight="1" x14ac:dyDescent="0.35">
      <c r="A2291" s="24"/>
      <c r="B2291" s="38"/>
      <c r="C2291" s="38"/>
      <c r="D2291" s="38"/>
      <c r="E2291" s="37"/>
      <c r="F2291" s="38"/>
      <c r="G2291" s="198"/>
      <c r="H2291" s="198"/>
      <c r="I2291" s="39"/>
      <c r="J2291" s="38"/>
      <c r="K2291" s="198"/>
      <c r="L2291" s="38"/>
      <c r="M2291" s="38"/>
      <c r="N2291" s="38"/>
      <c r="O2291" s="38"/>
      <c r="P2291" s="40" t="str" cm="1">
        <f t="array" ref="P2291">IF(N2291="","",IFERROR(_xlfn.XLOOKUP(F2291&amp;"|"&amp;J2291&amp;"|"&amp;O2291,PRICES!$C$2:$C$659&amp;"|"&amp;PRICES!$B$2:$B$659&amp;"|"&amp;PRICES!$D$2:$D$659,PRICES!$E$2:$E$659),"Not Found"))</f>
        <v/>
      </c>
      <c r="Q2291" s="100" t="str">
        <f>IF(N2291=0,"",SUMIFS(PRICES!$G$2:$G$658,PRICES!$B$2:$B$658,'MAIN TABLE-1 AUTOMATED'!J2291,PRICES!$C$2:$C$658,'MAIN TABLE-1 AUTOMATED'!F2291,PRICES!$D$2:$D$658,'MAIN TABLE-1 AUTOMATED'!O2291))</f>
        <v/>
      </c>
      <c r="R2291" s="41" t="str">
        <f>IF(Table1[[#This Row],[QUANTITY]]=0,"",Table1[[#This Row],[UNIT PRICE]]*Table1[[#This Row],[QUANTITY]])</f>
        <v/>
      </c>
      <c r="S2291" s="89"/>
      <c r="T2291" s="38"/>
      <c r="U2291" s="43"/>
      <c r="V2291" s="42" t="str">
        <f>IF(Table1[[#This Row],[DATE]]=0,"",YEAR(E2291))</f>
        <v/>
      </c>
      <c r="W2291" s="40" t="str">
        <f t="shared" si="74"/>
        <v/>
      </c>
      <c r="X2291" s="40" t="str">
        <f t="shared" si="75"/>
        <v/>
      </c>
      <c r="Y2291" s="40" t="str">
        <f>TEXT(Table1[[#This Row],[YEAR]],"0000")&amp;"-"&amp;Table1[[#This Row],[MONTH]]</f>
        <v>-</v>
      </c>
    </row>
    <row r="2292" spans="1:25" ht="15" customHeight="1" x14ac:dyDescent="0.35">
      <c r="A2292" s="24"/>
      <c r="B2292" s="38"/>
      <c r="C2292" s="38"/>
      <c r="D2292" s="38"/>
      <c r="E2292" s="37"/>
      <c r="F2292" s="38"/>
      <c r="G2292" s="198"/>
      <c r="H2292" s="198"/>
      <c r="I2292" s="38"/>
      <c r="J2292" s="38"/>
      <c r="K2292" s="198"/>
      <c r="L2292" s="38"/>
      <c r="M2292" s="38"/>
      <c r="N2292" s="38"/>
      <c r="O2292" s="38"/>
      <c r="P2292" s="40" t="str" cm="1">
        <f t="array" ref="P2292">IF(N2292="","",IFERROR(_xlfn.XLOOKUP(F2292&amp;"|"&amp;J2292&amp;"|"&amp;O2292,PRICES!$C$2:$C$659&amp;"|"&amp;PRICES!$B$2:$B$659&amp;"|"&amp;PRICES!$D$2:$D$659,PRICES!$E$2:$E$659),"Not Found"))</f>
        <v/>
      </c>
      <c r="Q2292" s="100" t="str">
        <f>IF(N2292=0,"",SUMIFS(PRICES!$G$2:$G$658,PRICES!$B$2:$B$658,'MAIN TABLE-1 AUTOMATED'!J2292,PRICES!$C$2:$C$658,'MAIN TABLE-1 AUTOMATED'!F2292,PRICES!$D$2:$D$658,'MAIN TABLE-1 AUTOMATED'!O2292))</f>
        <v/>
      </c>
      <c r="R2292" s="41" t="str">
        <f>IF(Table1[[#This Row],[QUANTITY]]=0,"",Table1[[#This Row],[UNIT PRICE]]*Table1[[#This Row],[QUANTITY]])</f>
        <v/>
      </c>
      <c r="S2292" s="89"/>
      <c r="T2292" s="38"/>
      <c r="U2292" s="43"/>
      <c r="V2292" s="42" t="str">
        <f>IF(Table1[[#This Row],[DATE]]=0,"",YEAR(E2292))</f>
        <v/>
      </c>
      <c r="W2292" s="40" t="str">
        <f t="shared" si="74"/>
        <v/>
      </c>
      <c r="X2292" s="40" t="str">
        <f t="shared" si="75"/>
        <v/>
      </c>
      <c r="Y2292" s="40" t="str">
        <f>TEXT(Table1[[#This Row],[YEAR]],"0000")&amp;"-"&amp;Table1[[#This Row],[MONTH]]</f>
        <v>-</v>
      </c>
    </row>
    <row r="2293" spans="1:25" ht="15" customHeight="1" x14ac:dyDescent="0.35">
      <c r="A2293" s="24"/>
      <c r="B2293" s="38"/>
      <c r="C2293" s="38"/>
      <c r="D2293" s="38"/>
      <c r="E2293" s="37"/>
      <c r="F2293" s="38"/>
      <c r="G2293" s="198"/>
      <c r="H2293" s="198"/>
      <c r="I2293" s="38"/>
      <c r="J2293" s="38"/>
      <c r="K2293" s="198"/>
      <c r="L2293" s="38"/>
      <c r="M2293" s="38"/>
      <c r="N2293" s="38"/>
      <c r="O2293" s="38"/>
      <c r="P2293" s="40" t="str" cm="1">
        <f t="array" ref="P2293">IF(N2293="","",IFERROR(_xlfn.XLOOKUP(F2293&amp;"|"&amp;J2293&amp;"|"&amp;O2293,PRICES!$C$2:$C$659&amp;"|"&amp;PRICES!$B$2:$B$659&amp;"|"&amp;PRICES!$D$2:$D$659,PRICES!$E$2:$E$659),"Not Found"))</f>
        <v/>
      </c>
      <c r="Q2293" s="100" t="str">
        <f>IF(N2293=0,"",SUMIFS(PRICES!$G$2:$G$658,PRICES!$B$2:$B$658,'MAIN TABLE-1 AUTOMATED'!J2293,PRICES!$C$2:$C$658,'MAIN TABLE-1 AUTOMATED'!F2293,PRICES!$D$2:$D$658,'MAIN TABLE-1 AUTOMATED'!O2293))</f>
        <v/>
      </c>
      <c r="R2293" s="41" t="str">
        <f>IF(Table1[[#This Row],[QUANTITY]]=0,"",Table1[[#This Row],[UNIT PRICE]]*Table1[[#This Row],[QUANTITY]])</f>
        <v/>
      </c>
      <c r="S2293" s="89"/>
      <c r="T2293" s="38"/>
      <c r="U2293" s="43"/>
      <c r="V2293" s="42" t="str">
        <f>IF(Table1[[#This Row],[DATE]]=0,"",YEAR(E2293))</f>
        <v/>
      </c>
      <c r="W2293" s="40" t="str">
        <f t="shared" si="74"/>
        <v/>
      </c>
      <c r="X2293" s="40" t="str">
        <f t="shared" si="75"/>
        <v/>
      </c>
      <c r="Y2293" s="40" t="str">
        <f>TEXT(Table1[[#This Row],[YEAR]],"0000")&amp;"-"&amp;Table1[[#This Row],[MONTH]]</f>
        <v>-</v>
      </c>
    </row>
    <row r="2294" spans="1:25" ht="15" customHeight="1" x14ac:dyDescent="0.35">
      <c r="A2294" s="24"/>
      <c r="B2294" s="38"/>
      <c r="C2294" s="38"/>
      <c r="D2294" s="38"/>
      <c r="E2294" s="37"/>
      <c r="F2294" s="38"/>
      <c r="G2294" s="198"/>
      <c r="H2294" s="198"/>
      <c r="I2294" s="38"/>
      <c r="J2294" s="38"/>
      <c r="K2294" s="198"/>
      <c r="L2294" s="38"/>
      <c r="M2294" s="38"/>
      <c r="N2294" s="38"/>
      <c r="O2294" s="38"/>
      <c r="P2294" s="40" t="str" cm="1">
        <f t="array" ref="P2294">IF(N2294="","",IFERROR(_xlfn.XLOOKUP(F2294&amp;"|"&amp;J2294&amp;"|"&amp;O2294,PRICES!$C$2:$C$659&amp;"|"&amp;PRICES!$B$2:$B$659&amp;"|"&amp;PRICES!$D$2:$D$659,PRICES!$E$2:$E$659),"Not Found"))</f>
        <v/>
      </c>
      <c r="Q2294" s="100" t="str">
        <f>IF(N2294=0,"",SUMIFS(PRICES!$G$2:$G$658,PRICES!$B$2:$B$658,'MAIN TABLE-1 AUTOMATED'!J2294,PRICES!$C$2:$C$658,'MAIN TABLE-1 AUTOMATED'!F2294,PRICES!$D$2:$D$658,'MAIN TABLE-1 AUTOMATED'!O2294))</f>
        <v/>
      </c>
      <c r="R2294" s="41" t="str">
        <f>IF(Table1[[#This Row],[QUANTITY]]=0,"",Table1[[#This Row],[UNIT PRICE]]*Table1[[#This Row],[QUANTITY]])</f>
        <v/>
      </c>
      <c r="S2294" s="89"/>
      <c r="T2294" s="38"/>
      <c r="U2294" s="43"/>
      <c r="V2294" s="42" t="str">
        <f>IF(Table1[[#This Row],[DATE]]=0,"",YEAR(E2294))</f>
        <v/>
      </c>
      <c r="W2294" s="40" t="str">
        <f t="shared" si="74"/>
        <v/>
      </c>
      <c r="X2294" s="40" t="str">
        <f t="shared" si="75"/>
        <v/>
      </c>
      <c r="Y2294" s="40" t="str">
        <f>TEXT(Table1[[#This Row],[YEAR]],"0000")&amp;"-"&amp;Table1[[#This Row],[MONTH]]</f>
        <v>-</v>
      </c>
    </row>
    <row r="2295" spans="1:25" ht="15" customHeight="1" x14ac:dyDescent="0.35">
      <c r="A2295" s="24"/>
      <c r="B2295" s="38"/>
      <c r="C2295" s="38"/>
      <c r="D2295" s="38"/>
      <c r="E2295" s="37"/>
      <c r="F2295" s="38"/>
      <c r="G2295" s="198"/>
      <c r="H2295" s="198"/>
      <c r="I2295" s="39"/>
      <c r="J2295" s="38"/>
      <c r="K2295" s="198"/>
      <c r="L2295" s="38"/>
      <c r="M2295" s="38"/>
      <c r="N2295" s="38"/>
      <c r="O2295" s="38"/>
      <c r="P2295" s="40" t="str" cm="1">
        <f t="array" ref="P2295">IF(N2295="","",IFERROR(_xlfn.XLOOKUP(F2295&amp;"|"&amp;J2295&amp;"|"&amp;O2295,PRICES!$C$2:$C$659&amp;"|"&amp;PRICES!$B$2:$B$659&amp;"|"&amp;PRICES!$D$2:$D$659,PRICES!$E$2:$E$659),"Not Found"))</f>
        <v/>
      </c>
      <c r="Q2295" s="100" t="str">
        <f>IF(N2295=0,"",SUMIFS(PRICES!$G$2:$G$658,PRICES!$B$2:$B$658,'MAIN TABLE-1 AUTOMATED'!J2295,PRICES!$C$2:$C$658,'MAIN TABLE-1 AUTOMATED'!F2295,PRICES!$D$2:$D$658,'MAIN TABLE-1 AUTOMATED'!O2295))</f>
        <v/>
      </c>
      <c r="R2295" s="41" t="str">
        <f>IF(Table1[[#This Row],[QUANTITY]]=0,"",Table1[[#This Row],[UNIT PRICE]]*Table1[[#This Row],[QUANTITY]])</f>
        <v/>
      </c>
      <c r="S2295" s="89"/>
      <c r="T2295" s="38"/>
      <c r="U2295" s="43"/>
      <c r="V2295" s="42" t="str">
        <f>IF(Table1[[#This Row],[DATE]]=0,"",YEAR(E2295))</f>
        <v/>
      </c>
      <c r="W2295" s="40" t="str">
        <f t="shared" si="74"/>
        <v/>
      </c>
      <c r="X2295" s="40" t="str">
        <f t="shared" si="75"/>
        <v/>
      </c>
      <c r="Y2295" s="40" t="str">
        <f>TEXT(Table1[[#This Row],[YEAR]],"0000")&amp;"-"&amp;Table1[[#This Row],[MONTH]]</f>
        <v>-</v>
      </c>
    </row>
    <row r="2296" spans="1:25" ht="15" customHeight="1" x14ac:dyDescent="0.35">
      <c r="A2296" s="24"/>
      <c r="B2296" s="38"/>
      <c r="C2296" s="38"/>
      <c r="D2296" s="38"/>
      <c r="E2296" s="37"/>
      <c r="F2296" s="38"/>
      <c r="G2296" s="198"/>
      <c r="H2296" s="198"/>
      <c r="I2296" s="39"/>
      <c r="J2296" s="38"/>
      <c r="K2296" s="198"/>
      <c r="L2296" s="38"/>
      <c r="M2296" s="38"/>
      <c r="N2296" s="38"/>
      <c r="O2296" s="38"/>
      <c r="P2296" s="40" t="str" cm="1">
        <f t="array" ref="P2296">IF(N2296="","",IFERROR(_xlfn.XLOOKUP(F2296&amp;"|"&amp;J2296&amp;"|"&amp;O2296,PRICES!$C$2:$C$659&amp;"|"&amp;PRICES!$B$2:$B$659&amp;"|"&amp;PRICES!$D$2:$D$659,PRICES!$E$2:$E$659),"Not Found"))</f>
        <v/>
      </c>
      <c r="Q2296" s="100" t="str">
        <f>IF(N2296=0,"",SUMIFS(PRICES!$G$2:$G$658,PRICES!$B$2:$B$658,'MAIN TABLE-1 AUTOMATED'!J2296,PRICES!$C$2:$C$658,'MAIN TABLE-1 AUTOMATED'!F2296,PRICES!$D$2:$D$658,'MAIN TABLE-1 AUTOMATED'!O2296))</f>
        <v/>
      </c>
      <c r="R2296" s="41" t="str">
        <f>IF(Table1[[#This Row],[QUANTITY]]=0,"",Table1[[#This Row],[UNIT PRICE]]*Table1[[#This Row],[QUANTITY]])</f>
        <v/>
      </c>
      <c r="S2296" s="89"/>
      <c r="T2296" s="38"/>
      <c r="U2296" s="43"/>
      <c r="V2296" s="42" t="str">
        <f>IF(Table1[[#This Row],[DATE]]=0,"",YEAR(E2296))</f>
        <v/>
      </c>
      <c r="W2296" s="40" t="str">
        <f t="shared" si="74"/>
        <v/>
      </c>
      <c r="X2296" s="40" t="str">
        <f t="shared" si="75"/>
        <v/>
      </c>
      <c r="Y2296" s="40" t="str">
        <f>TEXT(Table1[[#This Row],[YEAR]],"0000")&amp;"-"&amp;Table1[[#This Row],[MONTH]]</f>
        <v>-</v>
      </c>
    </row>
    <row r="2297" spans="1:25" ht="15" customHeight="1" x14ac:dyDescent="0.35">
      <c r="A2297" s="24"/>
      <c r="B2297" s="38"/>
      <c r="C2297" s="38"/>
      <c r="D2297" s="38"/>
      <c r="E2297" s="37"/>
      <c r="F2297" s="38"/>
      <c r="G2297" s="198"/>
      <c r="H2297" s="198"/>
      <c r="I2297" s="39"/>
      <c r="J2297" s="38"/>
      <c r="K2297" s="198"/>
      <c r="L2297" s="38"/>
      <c r="M2297" s="38"/>
      <c r="N2297" s="38"/>
      <c r="O2297" s="38"/>
      <c r="P2297" s="40" t="str" cm="1">
        <f t="array" ref="P2297">IF(N2297="","",IFERROR(_xlfn.XLOOKUP(F2297&amp;"|"&amp;J2297&amp;"|"&amp;O2297,PRICES!$C$2:$C$659&amp;"|"&amp;PRICES!$B$2:$B$659&amp;"|"&amp;PRICES!$D$2:$D$659,PRICES!$E$2:$E$659),"Not Found"))</f>
        <v/>
      </c>
      <c r="Q2297" s="100" t="str">
        <f>IF(N2297=0,"",SUMIFS(PRICES!$G$2:$G$658,PRICES!$B$2:$B$658,'MAIN TABLE-1 AUTOMATED'!J2297,PRICES!$C$2:$C$658,'MAIN TABLE-1 AUTOMATED'!F2297,PRICES!$D$2:$D$658,'MAIN TABLE-1 AUTOMATED'!O2297))</f>
        <v/>
      </c>
      <c r="R2297" s="41" t="str">
        <f>IF(Table1[[#This Row],[QUANTITY]]=0,"",Table1[[#This Row],[UNIT PRICE]]*Table1[[#This Row],[QUANTITY]])</f>
        <v/>
      </c>
      <c r="S2297" s="89"/>
      <c r="T2297" s="38"/>
      <c r="U2297" s="43"/>
      <c r="V2297" s="42" t="str">
        <f>IF(Table1[[#This Row],[DATE]]=0,"",YEAR(E2297))</f>
        <v/>
      </c>
      <c r="W2297" s="40" t="str">
        <f t="shared" si="74"/>
        <v/>
      </c>
      <c r="X2297" s="40" t="str">
        <f t="shared" si="75"/>
        <v/>
      </c>
      <c r="Y2297" s="40" t="str">
        <f>TEXT(Table1[[#This Row],[YEAR]],"0000")&amp;"-"&amp;Table1[[#This Row],[MONTH]]</f>
        <v>-</v>
      </c>
    </row>
    <row r="2298" spans="1:25" ht="15" customHeight="1" x14ac:dyDescent="0.35">
      <c r="A2298" s="24"/>
      <c r="B2298" s="38"/>
      <c r="C2298" s="38"/>
      <c r="D2298" s="38"/>
      <c r="E2298" s="37"/>
      <c r="F2298" s="38"/>
      <c r="G2298" s="198"/>
      <c r="H2298" s="198"/>
      <c r="I2298" s="39"/>
      <c r="J2298" s="38"/>
      <c r="K2298" s="198"/>
      <c r="L2298" s="38"/>
      <c r="M2298" s="38"/>
      <c r="N2298" s="38"/>
      <c r="O2298" s="38"/>
      <c r="P2298" s="40" t="str" cm="1">
        <f t="array" ref="P2298">IF(N2298="","",IFERROR(_xlfn.XLOOKUP(F2298&amp;"|"&amp;J2298&amp;"|"&amp;O2298,PRICES!$C$2:$C$659&amp;"|"&amp;PRICES!$B$2:$B$659&amp;"|"&amp;PRICES!$D$2:$D$659,PRICES!$E$2:$E$659),"Not Found"))</f>
        <v/>
      </c>
      <c r="Q2298" s="100" t="str">
        <f>IF(N2298=0,"",SUMIFS(PRICES!$G$2:$G$658,PRICES!$B$2:$B$658,'MAIN TABLE-1 AUTOMATED'!J2298,PRICES!$C$2:$C$658,'MAIN TABLE-1 AUTOMATED'!F2298,PRICES!$D$2:$D$658,'MAIN TABLE-1 AUTOMATED'!O2298))</f>
        <v/>
      </c>
      <c r="R2298" s="41" t="str">
        <f>IF(Table1[[#This Row],[QUANTITY]]=0,"",Table1[[#This Row],[UNIT PRICE]]*Table1[[#This Row],[QUANTITY]])</f>
        <v/>
      </c>
      <c r="S2298" s="89"/>
      <c r="T2298" s="38"/>
      <c r="U2298" s="43"/>
      <c r="V2298" s="42" t="str">
        <f>IF(Table1[[#This Row],[DATE]]=0,"",YEAR(E2298))</f>
        <v/>
      </c>
      <c r="W2298" s="40" t="str">
        <f t="shared" si="74"/>
        <v/>
      </c>
      <c r="X2298" s="40" t="str">
        <f t="shared" si="75"/>
        <v/>
      </c>
      <c r="Y2298" s="40" t="str">
        <f>TEXT(Table1[[#This Row],[YEAR]],"0000")&amp;"-"&amp;Table1[[#This Row],[MONTH]]</f>
        <v>-</v>
      </c>
    </row>
    <row r="2299" spans="1:25" ht="15" customHeight="1" x14ac:dyDescent="0.35">
      <c r="A2299" s="24"/>
      <c r="B2299" s="38"/>
      <c r="C2299" s="38"/>
      <c r="D2299" s="38"/>
      <c r="E2299" s="37"/>
      <c r="F2299" s="38"/>
      <c r="G2299" s="198"/>
      <c r="H2299" s="198"/>
      <c r="I2299" s="39"/>
      <c r="J2299" s="38"/>
      <c r="K2299" s="198"/>
      <c r="L2299" s="38"/>
      <c r="M2299" s="38"/>
      <c r="N2299" s="38"/>
      <c r="O2299" s="38"/>
      <c r="P2299" s="40" t="str" cm="1">
        <f t="array" ref="P2299">IF(N2299="","",IFERROR(_xlfn.XLOOKUP(F2299&amp;"|"&amp;J2299&amp;"|"&amp;O2299,PRICES!$C$2:$C$659&amp;"|"&amp;PRICES!$B$2:$B$659&amp;"|"&amp;PRICES!$D$2:$D$659,PRICES!$E$2:$E$659),"Not Found"))</f>
        <v/>
      </c>
      <c r="Q2299" s="100" t="str">
        <f>IF(N2299=0,"",SUMIFS(PRICES!$G$2:$G$658,PRICES!$B$2:$B$658,'MAIN TABLE-1 AUTOMATED'!J2299,PRICES!$C$2:$C$658,'MAIN TABLE-1 AUTOMATED'!F2299,PRICES!$D$2:$D$658,'MAIN TABLE-1 AUTOMATED'!O2299))</f>
        <v/>
      </c>
      <c r="R2299" s="41" t="str">
        <f>IF(Table1[[#This Row],[QUANTITY]]=0,"",Table1[[#This Row],[UNIT PRICE]]*Table1[[#This Row],[QUANTITY]])</f>
        <v/>
      </c>
      <c r="S2299" s="89"/>
      <c r="T2299" s="38"/>
      <c r="U2299" s="43"/>
      <c r="V2299" s="42" t="str">
        <f>IF(Table1[[#This Row],[DATE]]=0,"",YEAR(E2299))</f>
        <v/>
      </c>
      <c r="W2299" s="40" t="str">
        <f t="shared" si="74"/>
        <v/>
      </c>
      <c r="X2299" s="40" t="str">
        <f t="shared" si="75"/>
        <v/>
      </c>
      <c r="Y2299" s="40" t="str">
        <f>TEXT(Table1[[#This Row],[YEAR]],"0000")&amp;"-"&amp;Table1[[#This Row],[MONTH]]</f>
        <v>-</v>
      </c>
    </row>
    <row r="2300" spans="1:25" ht="15" customHeight="1" x14ac:dyDescent="0.35">
      <c r="A2300" s="24"/>
      <c r="B2300" s="38"/>
      <c r="C2300" s="38"/>
      <c r="D2300" s="38"/>
      <c r="E2300" s="37"/>
      <c r="F2300" s="38"/>
      <c r="G2300" s="198"/>
      <c r="H2300" s="198"/>
      <c r="I2300" s="39"/>
      <c r="J2300" s="38"/>
      <c r="K2300" s="198"/>
      <c r="L2300" s="38"/>
      <c r="M2300" s="38"/>
      <c r="N2300" s="38"/>
      <c r="O2300" s="38"/>
      <c r="P2300" s="40" t="str" cm="1">
        <f t="array" ref="P2300">IF(N2300="","",IFERROR(_xlfn.XLOOKUP(F2300&amp;"|"&amp;J2300&amp;"|"&amp;O2300,PRICES!$C$2:$C$659&amp;"|"&amp;PRICES!$B$2:$B$659&amp;"|"&amp;PRICES!$D$2:$D$659,PRICES!$E$2:$E$659),"Not Found"))</f>
        <v/>
      </c>
      <c r="Q2300" s="100" t="str">
        <f>IF(N2300=0,"",SUMIFS(PRICES!$G$2:$G$658,PRICES!$B$2:$B$658,'MAIN TABLE-1 AUTOMATED'!J2300,PRICES!$C$2:$C$658,'MAIN TABLE-1 AUTOMATED'!F2300,PRICES!$D$2:$D$658,'MAIN TABLE-1 AUTOMATED'!O2300))</f>
        <v/>
      </c>
      <c r="R2300" s="41" t="str">
        <f>IF(Table1[[#This Row],[QUANTITY]]=0,"",Table1[[#This Row],[UNIT PRICE]]*Table1[[#This Row],[QUANTITY]])</f>
        <v/>
      </c>
      <c r="S2300" s="89"/>
      <c r="T2300" s="38"/>
      <c r="U2300" s="43"/>
      <c r="V2300" s="42" t="str">
        <f>IF(Table1[[#This Row],[DATE]]=0,"",YEAR(E2300))</f>
        <v/>
      </c>
      <c r="W2300" s="40" t="str">
        <f t="shared" si="74"/>
        <v/>
      </c>
      <c r="X2300" s="40" t="str">
        <f t="shared" si="75"/>
        <v/>
      </c>
      <c r="Y2300" s="40" t="str">
        <f>TEXT(Table1[[#This Row],[YEAR]],"0000")&amp;"-"&amp;Table1[[#This Row],[MONTH]]</f>
        <v>-</v>
      </c>
    </row>
    <row r="2301" spans="1:25" ht="15" customHeight="1" x14ac:dyDescent="0.35">
      <c r="A2301" s="24"/>
      <c r="B2301" s="38"/>
      <c r="C2301" s="38"/>
      <c r="D2301" s="38"/>
      <c r="E2301" s="37"/>
      <c r="F2301" s="38"/>
      <c r="G2301" s="198"/>
      <c r="H2301" s="198"/>
      <c r="I2301" s="39"/>
      <c r="J2301" s="38"/>
      <c r="K2301" s="198"/>
      <c r="L2301" s="38"/>
      <c r="M2301" s="38"/>
      <c r="N2301" s="38"/>
      <c r="O2301" s="38"/>
      <c r="P2301" s="40" t="str" cm="1">
        <f t="array" ref="P2301">IF(N2301="","",IFERROR(_xlfn.XLOOKUP(F2301&amp;"|"&amp;J2301&amp;"|"&amp;O2301,PRICES!$C$2:$C$659&amp;"|"&amp;PRICES!$B$2:$B$659&amp;"|"&amp;PRICES!$D$2:$D$659,PRICES!$E$2:$E$659),"Not Found"))</f>
        <v/>
      </c>
      <c r="Q2301" s="100" t="str">
        <f>IF(N2301=0,"",SUMIFS(PRICES!$G$2:$G$658,PRICES!$B$2:$B$658,'MAIN TABLE-1 AUTOMATED'!J2301,PRICES!$C$2:$C$658,'MAIN TABLE-1 AUTOMATED'!F2301,PRICES!$D$2:$D$658,'MAIN TABLE-1 AUTOMATED'!O2301))</f>
        <v/>
      </c>
      <c r="R2301" s="41" t="str">
        <f>IF(Table1[[#This Row],[QUANTITY]]=0,"",Table1[[#This Row],[UNIT PRICE]]*Table1[[#This Row],[QUANTITY]])</f>
        <v/>
      </c>
      <c r="S2301" s="89"/>
      <c r="T2301" s="38"/>
      <c r="U2301" s="43"/>
      <c r="V2301" s="42" t="str">
        <f>IF(Table1[[#This Row],[DATE]]=0,"",YEAR(E2301))</f>
        <v/>
      </c>
      <c r="W2301" s="40" t="str">
        <f t="shared" si="74"/>
        <v/>
      </c>
      <c r="X2301" s="40" t="str">
        <f t="shared" si="75"/>
        <v/>
      </c>
      <c r="Y2301" s="40" t="str">
        <f>TEXT(Table1[[#This Row],[YEAR]],"0000")&amp;"-"&amp;Table1[[#This Row],[MONTH]]</f>
        <v>-</v>
      </c>
    </row>
    <row r="2302" spans="1:25" ht="15" customHeight="1" x14ac:dyDescent="0.35">
      <c r="A2302" s="24"/>
      <c r="B2302" s="38"/>
      <c r="C2302" s="38"/>
      <c r="D2302" s="38"/>
      <c r="E2302" s="37"/>
      <c r="F2302" s="38"/>
      <c r="G2302" s="198"/>
      <c r="H2302" s="198"/>
      <c r="I2302" s="39"/>
      <c r="J2302" s="38"/>
      <c r="K2302" s="198"/>
      <c r="L2302" s="38"/>
      <c r="M2302" s="38"/>
      <c r="N2302" s="38"/>
      <c r="O2302" s="38"/>
      <c r="P2302" s="40" t="str" cm="1">
        <f t="array" ref="P2302">IF(N2302="","",IFERROR(_xlfn.XLOOKUP(F2302&amp;"|"&amp;J2302&amp;"|"&amp;O2302,PRICES!$C$2:$C$659&amp;"|"&amp;PRICES!$B$2:$B$659&amp;"|"&amp;PRICES!$D$2:$D$659,PRICES!$E$2:$E$659),"Not Found"))</f>
        <v/>
      </c>
      <c r="Q2302" s="100" t="str">
        <f>IF(N2302=0,"",SUMIFS(PRICES!$G$2:$G$658,PRICES!$B$2:$B$658,'MAIN TABLE-1 AUTOMATED'!J2302,PRICES!$C$2:$C$658,'MAIN TABLE-1 AUTOMATED'!F2302,PRICES!$D$2:$D$658,'MAIN TABLE-1 AUTOMATED'!O2302))</f>
        <v/>
      </c>
      <c r="R2302" s="41" t="str">
        <f>IF(Table1[[#This Row],[QUANTITY]]=0,"",Table1[[#This Row],[UNIT PRICE]]*Table1[[#This Row],[QUANTITY]])</f>
        <v/>
      </c>
      <c r="S2302" s="89"/>
      <c r="T2302" s="38"/>
      <c r="U2302" s="43"/>
      <c r="V2302" s="42" t="str">
        <f>IF(Table1[[#This Row],[DATE]]=0,"",YEAR(E2302))</f>
        <v/>
      </c>
      <c r="W2302" s="40" t="str">
        <f t="shared" si="74"/>
        <v/>
      </c>
      <c r="X2302" s="40" t="str">
        <f t="shared" si="75"/>
        <v/>
      </c>
      <c r="Y2302" s="40" t="str">
        <f>TEXT(Table1[[#This Row],[YEAR]],"0000")&amp;"-"&amp;Table1[[#This Row],[MONTH]]</f>
        <v>-</v>
      </c>
    </row>
    <row r="2303" spans="1:25" ht="15" customHeight="1" x14ac:dyDescent="0.35">
      <c r="A2303" s="24"/>
      <c r="B2303" s="38"/>
      <c r="C2303" s="38"/>
      <c r="D2303" s="38"/>
      <c r="E2303" s="37"/>
      <c r="F2303" s="38"/>
      <c r="G2303" s="198"/>
      <c r="H2303" s="198"/>
      <c r="I2303" s="39"/>
      <c r="J2303" s="38"/>
      <c r="K2303" s="198"/>
      <c r="L2303" s="38"/>
      <c r="M2303" s="38"/>
      <c r="N2303" s="38"/>
      <c r="O2303" s="38"/>
      <c r="P2303" s="40" t="str" cm="1">
        <f t="array" ref="P2303">IF(N2303="","",IFERROR(_xlfn.XLOOKUP(F2303&amp;"|"&amp;J2303&amp;"|"&amp;O2303,PRICES!$C$2:$C$659&amp;"|"&amp;PRICES!$B$2:$B$659&amp;"|"&amp;PRICES!$D$2:$D$659,PRICES!$E$2:$E$659),"Not Found"))</f>
        <v/>
      </c>
      <c r="Q2303" s="100" t="str">
        <f>IF(N2303=0,"",SUMIFS(PRICES!$G$2:$G$658,PRICES!$B$2:$B$658,'MAIN TABLE-1 AUTOMATED'!J2303,PRICES!$C$2:$C$658,'MAIN TABLE-1 AUTOMATED'!F2303,PRICES!$D$2:$D$658,'MAIN TABLE-1 AUTOMATED'!O2303))</f>
        <v/>
      </c>
      <c r="R2303" s="41" t="str">
        <f>IF(Table1[[#This Row],[QUANTITY]]=0,"",Table1[[#This Row],[UNIT PRICE]]*Table1[[#This Row],[QUANTITY]])</f>
        <v/>
      </c>
      <c r="S2303" s="89"/>
      <c r="T2303" s="38"/>
      <c r="U2303" s="43"/>
      <c r="V2303" s="42" t="str">
        <f>IF(Table1[[#This Row],[DATE]]=0,"",YEAR(E2303))</f>
        <v/>
      </c>
      <c r="W2303" s="40" t="str">
        <f t="shared" si="74"/>
        <v/>
      </c>
      <c r="X2303" s="40" t="str">
        <f t="shared" si="75"/>
        <v/>
      </c>
      <c r="Y2303" s="40" t="str">
        <f>TEXT(Table1[[#This Row],[YEAR]],"0000")&amp;"-"&amp;Table1[[#This Row],[MONTH]]</f>
        <v>-</v>
      </c>
    </row>
    <row r="2304" spans="1:25" ht="15" customHeight="1" x14ac:dyDescent="0.35">
      <c r="A2304" s="24"/>
      <c r="B2304" s="38"/>
      <c r="C2304" s="38"/>
      <c r="D2304" s="38"/>
      <c r="E2304" s="37"/>
      <c r="F2304" s="38"/>
      <c r="G2304" s="198"/>
      <c r="H2304" s="198"/>
      <c r="I2304" s="39"/>
      <c r="J2304" s="38"/>
      <c r="K2304" s="198"/>
      <c r="L2304" s="38"/>
      <c r="M2304" s="38"/>
      <c r="N2304" s="38"/>
      <c r="O2304" s="38"/>
      <c r="P2304" s="40" t="str" cm="1">
        <f t="array" ref="P2304">IF(N2304="","",IFERROR(_xlfn.XLOOKUP(F2304&amp;"|"&amp;J2304&amp;"|"&amp;O2304,PRICES!$C$2:$C$659&amp;"|"&amp;PRICES!$B$2:$B$659&amp;"|"&amp;PRICES!$D$2:$D$659,PRICES!$E$2:$E$659),"Not Found"))</f>
        <v/>
      </c>
      <c r="Q2304" s="100" t="str">
        <f>IF(N2304=0,"",SUMIFS(PRICES!$G$2:$G$658,PRICES!$B$2:$B$658,'MAIN TABLE-1 AUTOMATED'!J2304,PRICES!$C$2:$C$658,'MAIN TABLE-1 AUTOMATED'!F2304,PRICES!$D$2:$D$658,'MAIN TABLE-1 AUTOMATED'!O2304))</f>
        <v/>
      </c>
      <c r="R2304" s="41" t="str">
        <f>IF(Table1[[#This Row],[QUANTITY]]=0,"",Table1[[#This Row],[UNIT PRICE]]*Table1[[#This Row],[QUANTITY]])</f>
        <v/>
      </c>
      <c r="S2304" s="89"/>
      <c r="T2304" s="38"/>
      <c r="U2304" s="43"/>
      <c r="V2304" s="42" t="str">
        <f>IF(Table1[[#This Row],[DATE]]=0,"",YEAR(E2304))</f>
        <v/>
      </c>
      <c r="W2304" s="40" t="str">
        <f t="shared" si="74"/>
        <v/>
      </c>
      <c r="X2304" s="40" t="str">
        <f t="shared" si="75"/>
        <v/>
      </c>
      <c r="Y2304" s="40" t="str">
        <f>TEXT(Table1[[#This Row],[YEAR]],"0000")&amp;"-"&amp;Table1[[#This Row],[MONTH]]</f>
        <v>-</v>
      </c>
    </row>
    <row r="2305" spans="1:25" ht="15" customHeight="1" x14ac:dyDescent="0.35">
      <c r="A2305" s="24"/>
      <c r="B2305" s="38"/>
      <c r="C2305" s="38"/>
      <c r="D2305" s="38"/>
      <c r="E2305" s="37"/>
      <c r="F2305" s="38"/>
      <c r="G2305" s="198"/>
      <c r="H2305" s="198"/>
      <c r="I2305" s="39"/>
      <c r="J2305" s="38"/>
      <c r="K2305" s="198"/>
      <c r="L2305" s="38"/>
      <c r="M2305" s="38"/>
      <c r="N2305" s="38"/>
      <c r="O2305" s="38"/>
      <c r="P2305" s="40" t="str" cm="1">
        <f t="array" ref="P2305">IF(N2305="","",IFERROR(_xlfn.XLOOKUP(F2305&amp;"|"&amp;J2305&amp;"|"&amp;O2305,PRICES!$C$2:$C$659&amp;"|"&amp;PRICES!$B$2:$B$659&amp;"|"&amp;PRICES!$D$2:$D$659,PRICES!$E$2:$E$659),"Not Found"))</f>
        <v/>
      </c>
      <c r="Q2305" s="100" t="str">
        <f>IF(N2305=0,"",SUMIFS(PRICES!$G$2:$G$658,PRICES!$B$2:$B$658,'MAIN TABLE-1 AUTOMATED'!J2305,PRICES!$C$2:$C$658,'MAIN TABLE-1 AUTOMATED'!F2305,PRICES!$D$2:$D$658,'MAIN TABLE-1 AUTOMATED'!O2305))</f>
        <v/>
      </c>
      <c r="R2305" s="41" t="str">
        <f>IF(Table1[[#This Row],[QUANTITY]]=0,"",Table1[[#This Row],[UNIT PRICE]]*Table1[[#This Row],[QUANTITY]])</f>
        <v/>
      </c>
      <c r="S2305" s="89"/>
      <c r="T2305" s="38"/>
      <c r="U2305" s="43"/>
      <c r="V2305" s="42" t="str">
        <f>IF(Table1[[#This Row],[DATE]]=0,"",YEAR(E2305))</f>
        <v/>
      </c>
      <c r="W2305" s="40" t="str">
        <f t="shared" si="74"/>
        <v/>
      </c>
      <c r="X2305" s="40" t="str">
        <f t="shared" si="75"/>
        <v/>
      </c>
      <c r="Y2305" s="40" t="str">
        <f>TEXT(Table1[[#This Row],[YEAR]],"0000")&amp;"-"&amp;Table1[[#This Row],[MONTH]]</f>
        <v>-</v>
      </c>
    </row>
    <row r="2306" spans="1:25" ht="15" customHeight="1" x14ac:dyDescent="0.35">
      <c r="A2306" s="24"/>
      <c r="B2306" s="38"/>
      <c r="C2306" s="38"/>
      <c r="D2306" s="38"/>
      <c r="E2306" s="37"/>
      <c r="F2306" s="38"/>
      <c r="G2306" s="198"/>
      <c r="H2306" s="198"/>
      <c r="I2306" s="39"/>
      <c r="J2306" s="38"/>
      <c r="K2306" s="198"/>
      <c r="L2306" s="38"/>
      <c r="M2306" s="38"/>
      <c r="N2306" s="38"/>
      <c r="O2306" s="38"/>
      <c r="P2306" s="40" t="str" cm="1">
        <f t="array" ref="P2306">IF(N2306="","",IFERROR(_xlfn.XLOOKUP(F2306&amp;"|"&amp;J2306&amp;"|"&amp;O2306,PRICES!$C$2:$C$659&amp;"|"&amp;PRICES!$B$2:$B$659&amp;"|"&amp;PRICES!$D$2:$D$659,PRICES!$E$2:$E$659),"Not Found"))</f>
        <v/>
      </c>
      <c r="Q2306" s="100" t="str">
        <f>IF(N2306=0,"",SUMIFS(PRICES!$G$2:$G$658,PRICES!$B$2:$B$658,'MAIN TABLE-1 AUTOMATED'!J2306,PRICES!$C$2:$C$658,'MAIN TABLE-1 AUTOMATED'!F2306,PRICES!$D$2:$D$658,'MAIN TABLE-1 AUTOMATED'!O2306))</f>
        <v/>
      </c>
      <c r="R2306" s="41" t="str">
        <f>IF(Table1[[#This Row],[QUANTITY]]=0,"",Table1[[#This Row],[UNIT PRICE]]*Table1[[#This Row],[QUANTITY]])</f>
        <v/>
      </c>
      <c r="S2306" s="89"/>
      <c r="T2306" s="38"/>
      <c r="U2306" s="43"/>
      <c r="V2306" s="42" t="str">
        <f>IF(Table1[[#This Row],[DATE]]=0,"",YEAR(E2306))</f>
        <v/>
      </c>
      <c r="W2306" s="40" t="str">
        <f t="shared" si="74"/>
        <v/>
      </c>
      <c r="X2306" s="40" t="str">
        <f t="shared" si="75"/>
        <v/>
      </c>
      <c r="Y2306" s="40" t="str">
        <f>TEXT(Table1[[#This Row],[YEAR]],"0000")&amp;"-"&amp;Table1[[#This Row],[MONTH]]</f>
        <v>-</v>
      </c>
    </row>
    <row r="2307" spans="1:25" ht="15" customHeight="1" x14ac:dyDescent="0.35">
      <c r="A2307" s="24"/>
      <c r="B2307" s="38"/>
      <c r="C2307" s="38"/>
      <c r="D2307" s="38"/>
      <c r="E2307" s="37"/>
      <c r="F2307" s="38"/>
      <c r="G2307" s="198"/>
      <c r="H2307" s="198"/>
      <c r="I2307" s="39"/>
      <c r="J2307" s="38"/>
      <c r="K2307" s="198"/>
      <c r="L2307" s="38"/>
      <c r="M2307" s="38"/>
      <c r="N2307" s="38"/>
      <c r="O2307" s="38"/>
      <c r="P2307" s="40" t="str" cm="1">
        <f t="array" ref="P2307">IF(N2307="","",IFERROR(_xlfn.XLOOKUP(F2307&amp;"|"&amp;J2307&amp;"|"&amp;O2307,PRICES!$C$2:$C$659&amp;"|"&amp;PRICES!$B$2:$B$659&amp;"|"&amp;PRICES!$D$2:$D$659,PRICES!$E$2:$E$659),"Not Found"))</f>
        <v/>
      </c>
      <c r="Q2307" s="100" t="str">
        <f>IF(N2307=0,"",SUMIFS(PRICES!$G$2:$G$658,PRICES!$B$2:$B$658,'MAIN TABLE-1 AUTOMATED'!J2307,PRICES!$C$2:$C$658,'MAIN TABLE-1 AUTOMATED'!F2307,PRICES!$D$2:$D$658,'MAIN TABLE-1 AUTOMATED'!O2307))</f>
        <v/>
      </c>
      <c r="R2307" s="41" t="str">
        <f>IF(Table1[[#This Row],[QUANTITY]]=0,"",Table1[[#This Row],[UNIT PRICE]]*Table1[[#This Row],[QUANTITY]])</f>
        <v/>
      </c>
      <c r="S2307" s="89"/>
      <c r="T2307" s="38"/>
      <c r="U2307" s="43"/>
      <c r="V2307" s="42" t="str">
        <f>IF(Table1[[#This Row],[DATE]]=0,"",YEAR(E2307))</f>
        <v/>
      </c>
      <c r="W2307" s="40" t="str">
        <f t="shared" ref="W2307:W2370" si="76">IF(E2307=0,"",MONTH(E2307))</f>
        <v/>
      </c>
      <c r="X2307" s="40" t="str">
        <f t="shared" ref="X2307:X2370" si="77">IF(E2307=0,"",WEEKNUM(E2307))</f>
        <v/>
      </c>
      <c r="Y2307" s="40" t="str">
        <f>TEXT(Table1[[#This Row],[YEAR]],"0000")&amp;"-"&amp;Table1[[#This Row],[MONTH]]</f>
        <v>-</v>
      </c>
    </row>
    <row r="2308" spans="1:25" ht="15" customHeight="1" x14ac:dyDescent="0.35">
      <c r="A2308" s="24"/>
      <c r="B2308" s="38"/>
      <c r="C2308" s="38"/>
      <c r="D2308" s="38"/>
      <c r="E2308" s="37"/>
      <c r="F2308" s="38"/>
      <c r="G2308" s="198"/>
      <c r="H2308" s="198"/>
      <c r="I2308" s="39"/>
      <c r="J2308" s="38"/>
      <c r="K2308" s="198"/>
      <c r="L2308" s="38"/>
      <c r="M2308" s="38"/>
      <c r="N2308" s="38"/>
      <c r="O2308" s="38"/>
      <c r="P2308" s="40" t="str" cm="1">
        <f t="array" ref="P2308">IF(N2308="","",IFERROR(_xlfn.XLOOKUP(F2308&amp;"|"&amp;J2308&amp;"|"&amp;O2308,PRICES!$C$2:$C$659&amp;"|"&amp;PRICES!$B$2:$B$659&amp;"|"&amp;PRICES!$D$2:$D$659,PRICES!$E$2:$E$659),"Not Found"))</f>
        <v/>
      </c>
      <c r="Q2308" s="100" t="str">
        <f>IF(N2308=0,"",SUMIFS(PRICES!$G$2:$G$658,PRICES!$B$2:$B$658,'MAIN TABLE-1 AUTOMATED'!J2308,PRICES!$C$2:$C$658,'MAIN TABLE-1 AUTOMATED'!F2308,PRICES!$D$2:$D$658,'MAIN TABLE-1 AUTOMATED'!O2308))</f>
        <v/>
      </c>
      <c r="R2308" s="41" t="str">
        <f>IF(Table1[[#This Row],[QUANTITY]]=0,"",Table1[[#This Row],[UNIT PRICE]]*Table1[[#This Row],[QUANTITY]])</f>
        <v/>
      </c>
      <c r="S2308" s="89"/>
      <c r="T2308" s="38"/>
      <c r="U2308" s="43"/>
      <c r="V2308" s="42" t="str">
        <f>IF(Table1[[#This Row],[DATE]]=0,"",YEAR(E2308))</f>
        <v/>
      </c>
      <c r="W2308" s="40" t="str">
        <f t="shared" si="76"/>
        <v/>
      </c>
      <c r="X2308" s="40" t="str">
        <f t="shared" si="77"/>
        <v/>
      </c>
      <c r="Y2308" s="40" t="str">
        <f>TEXT(Table1[[#This Row],[YEAR]],"0000")&amp;"-"&amp;Table1[[#This Row],[MONTH]]</f>
        <v>-</v>
      </c>
    </row>
    <row r="2309" spans="1:25" ht="15" customHeight="1" x14ac:dyDescent="0.35">
      <c r="A2309" s="24"/>
      <c r="B2309" s="38"/>
      <c r="C2309" s="38"/>
      <c r="D2309" s="38"/>
      <c r="E2309" s="37"/>
      <c r="F2309" s="38"/>
      <c r="G2309" s="198"/>
      <c r="H2309" s="198"/>
      <c r="I2309" s="39"/>
      <c r="J2309" s="38"/>
      <c r="K2309" s="198"/>
      <c r="L2309" s="38"/>
      <c r="M2309" s="38"/>
      <c r="N2309" s="38"/>
      <c r="O2309" s="38"/>
      <c r="P2309" s="40" t="str" cm="1">
        <f t="array" ref="P2309">IF(N2309="","",IFERROR(_xlfn.XLOOKUP(F2309&amp;"|"&amp;J2309&amp;"|"&amp;O2309,PRICES!$C$2:$C$659&amp;"|"&amp;PRICES!$B$2:$B$659&amp;"|"&amp;PRICES!$D$2:$D$659,PRICES!$E$2:$E$659),"Not Found"))</f>
        <v/>
      </c>
      <c r="Q2309" s="100" t="str">
        <f>IF(N2309=0,"",SUMIFS(PRICES!$G$2:$G$658,PRICES!$B$2:$B$658,'MAIN TABLE-1 AUTOMATED'!J2309,PRICES!$C$2:$C$658,'MAIN TABLE-1 AUTOMATED'!F2309,PRICES!$D$2:$D$658,'MAIN TABLE-1 AUTOMATED'!O2309))</f>
        <v/>
      </c>
      <c r="R2309" s="41" t="str">
        <f>IF(Table1[[#This Row],[QUANTITY]]=0,"",Table1[[#This Row],[UNIT PRICE]]*Table1[[#This Row],[QUANTITY]])</f>
        <v/>
      </c>
      <c r="S2309" s="89"/>
      <c r="T2309" s="38"/>
      <c r="U2309" s="43"/>
      <c r="V2309" s="42" t="str">
        <f>IF(Table1[[#This Row],[DATE]]=0,"",YEAR(E2309))</f>
        <v/>
      </c>
      <c r="W2309" s="40" t="str">
        <f t="shared" si="76"/>
        <v/>
      </c>
      <c r="X2309" s="40" t="str">
        <f t="shared" si="77"/>
        <v/>
      </c>
      <c r="Y2309" s="40" t="str">
        <f>TEXT(Table1[[#This Row],[YEAR]],"0000")&amp;"-"&amp;Table1[[#This Row],[MONTH]]</f>
        <v>-</v>
      </c>
    </row>
    <row r="2310" spans="1:25" ht="15" customHeight="1" x14ac:dyDescent="0.35">
      <c r="A2310" s="24"/>
      <c r="B2310" s="38"/>
      <c r="C2310" s="38"/>
      <c r="D2310" s="38"/>
      <c r="E2310" s="37"/>
      <c r="F2310" s="38"/>
      <c r="G2310" s="198"/>
      <c r="H2310" s="198"/>
      <c r="I2310" s="39"/>
      <c r="J2310" s="38"/>
      <c r="K2310" s="198"/>
      <c r="L2310" s="38"/>
      <c r="M2310" s="38"/>
      <c r="N2310" s="38"/>
      <c r="O2310" s="38"/>
      <c r="P2310" s="40" t="str" cm="1">
        <f t="array" ref="P2310">IF(N2310="","",IFERROR(_xlfn.XLOOKUP(F2310&amp;"|"&amp;J2310&amp;"|"&amp;O2310,PRICES!$C$2:$C$659&amp;"|"&amp;PRICES!$B$2:$B$659&amp;"|"&amp;PRICES!$D$2:$D$659,PRICES!$E$2:$E$659),"Not Found"))</f>
        <v/>
      </c>
      <c r="Q2310" s="100" t="str">
        <f>IF(N2310=0,"",SUMIFS(PRICES!$G$2:$G$658,PRICES!$B$2:$B$658,'MAIN TABLE-1 AUTOMATED'!J2310,PRICES!$C$2:$C$658,'MAIN TABLE-1 AUTOMATED'!F2310,PRICES!$D$2:$D$658,'MAIN TABLE-1 AUTOMATED'!O2310))</f>
        <v/>
      </c>
      <c r="R2310" s="41" t="str">
        <f>IF(Table1[[#This Row],[QUANTITY]]=0,"",Table1[[#This Row],[UNIT PRICE]]*Table1[[#This Row],[QUANTITY]])</f>
        <v/>
      </c>
      <c r="S2310" s="89"/>
      <c r="T2310" s="38"/>
      <c r="U2310" s="43"/>
      <c r="V2310" s="42" t="str">
        <f>IF(Table1[[#This Row],[DATE]]=0,"",YEAR(E2310))</f>
        <v/>
      </c>
      <c r="W2310" s="40" t="str">
        <f t="shared" si="76"/>
        <v/>
      </c>
      <c r="X2310" s="40" t="str">
        <f t="shared" si="77"/>
        <v/>
      </c>
      <c r="Y2310" s="40" t="str">
        <f>TEXT(Table1[[#This Row],[YEAR]],"0000")&amp;"-"&amp;Table1[[#This Row],[MONTH]]</f>
        <v>-</v>
      </c>
    </row>
    <row r="2311" spans="1:25" ht="15" customHeight="1" x14ac:dyDescent="0.35">
      <c r="A2311" s="24"/>
      <c r="B2311" s="38"/>
      <c r="C2311" s="38"/>
      <c r="D2311" s="38"/>
      <c r="E2311" s="37"/>
      <c r="F2311" s="38"/>
      <c r="G2311" s="198"/>
      <c r="H2311" s="198"/>
      <c r="I2311" s="39"/>
      <c r="J2311" s="38"/>
      <c r="K2311" s="198"/>
      <c r="L2311" s="38"/>
      <c r="M2311" s="38"/>
      <c r="N2311" s="38"/>
      <c r="O2311" s="38"/>
      <c r="P2311" s="40" t="str" cm="1">
        <f t="array" ref="P2311">IF(N2311="","",IFERROR(_xlfn.XLOOKUP(F2311&amp;"|"&amp;J2311&amp;"|"&amp;O2311,PRICES!$C$2:$C$659&amp;"|"&amp;PRICES!$B$2:$B$659&amp;"|"&amp;PRICES!$D$2:$D$659,PRICES!$E$2:$E$659),"Not Found"))</f>
        <v/>
      </c>
      <c r="Q2311" s="100" t="str">
        <f>IF(N2311=0,"",SUMIFS(PRICES!$G$2:$G$658,PRICES!$B$2:$B$658,'MAIN TABLE-1 AUTOMATED'!J2311,PRICES!$C$2:$C$658,'MAIN TABLE-1 AUTOMATED'!F2311,PRICES!$D$2:$D$658,'MAIN TABLE-1 AUTOMATED'!O2311))</f>
        <v/>
      </c>
      <c r="R2311" s="41" t="str">
        <f>IF(Table1[[#This Row],[QUANTITY]]=0,"",Table1[[#This Row],[UNIT PRICE]]*Table1[[#This Row],[QUANTITY]])</f>
        <v/>
      </c>
      <c r="S2311" s="89"/>
      <c r="T2311" s="38"/>
      <c r="U2311" s="43"/>
      <c r="V2311" s="42" t="str">
        <f>IF(Table1[[#This Row],[DATE]]=0,"",YEAR(E2311))</f>
        <v/>
      </c>
      <c r="W2311" s="40" t="str">
        <f t="shared" si="76"/>
        <v/>
      </c>
      <c r="X2311" s="40" t="str">
        <f t="shared" si="77"/>
        <v/>
      </c>
      <c r="Y2311" s="40" t="str">
        <f>TEXT(Table1[[#This Row],[YEAR]],"0000")&amp;"-"&amp;Table1[[#This Row],[MONTH]]</f>
        <v>-</v>
      </c>
    </row>
    <row r="2312" spans="1:25" ht="15" customHeight="1" x14ac:dyDescent="0.35">
      <c r="A2312" s="24"/>
      <c r="B2312" s="38"/>
      <c r="C2312" s="38"/>
      <c r="D2312" s="38"/>
      <c r="E2312" s="37"/>
      <c r="F2312" s="38"/>
      <c r="G2312" s="198"/>
      <c r="H2312" s="198"/>
      <c r="I2312" s="39"/>
      <c r="J2312" s="38"/>
      <c r="K2312" s="198"/>
      <c r="L2312" s="38"/>
      <c r="M2312" s="38"/>
      <c r="N2312" s="38"/>
      <c r="O2312" s="38"/>
      <c r="P2312" s="40" t="str" cm="1">
        <f t="array" ref="P2312">IF(N2312="","",IFERROR(_xlfn.XLOOKUP(F2312&amp;"|"&amp;J2312&amp;"|"&amp;O2312,PRICES!$C$2:$C$659&amp;"|"&amp;PRICES!$B$2:$B$659&amp;"|"&amp;PRICES!$D$2:$D$659,PRICES!$E$2:$E$659),"Not Found"))</f>
        <v/>
      </c>
      <c r="Q2312" s="100" t="str">
        <f>IF(N2312=0,"",SUMIFS(PRICES!$G$2:$G$658,PRICES!$B$2:$B$658,'MAIN TABLE-1 AUTOMATED'!J2312,PRICES!$C$2:$C$658,'MAIN TABLE-1 AUTOMATED'!F2312,PRICES!$D$2:$D$658,'MAIN TABLE-1 AUTOMATED'!O2312))</f>
        <v/>
      </c>
      <c r="R2312" s="41" t="str">
        <f>IF(Table1[[#This Row],[QUANTITY]]=0,"",Table1[[#This Row],[UNIT PRICE]]*Table1[[#This Row],[QUANTITY]])</f>
        <v/>
      </c>
      <c r="S2312" s="89"/>
      <c r="T2312" s="38"/>
      <c r="U2312" s="43"/>
      <c r="V2312" s="42" t="str">
        <f>IF(Table1[[#This Row],[DATE]]=0,"",YEAR(E2312))</f>
        <v/>
      </c>
      <c r="W2312" s="40" t="str">
        <f t="shared" si="76"/>
        <v/>
      </c>
      <c r="X2312" s="40" t="str">
        <f t="shared" si="77"/>
        <v/>
      </c>
      <c r="Y2312" s="40" t="str">
        <f>TEXT(Table1[[#This Row],[YEAR]],"0000")&amp;"-"&amp;Table1[[#This Row],[MONTH]]</f>
        <v>-</v>
      </c>
    </row>
    <row r="2313" spans="1:25" ht="15" customHeight="1" x14ac:dyDescent="0.35">
      <c r="A2313" s="24"/>
      <c r="B2313" s="38"/>
      <c r="C2313" s="38"/>
      <c r="D2313" s="38"/>
      <c r="E2313" s="37"/>
      <c r="F2313" s="38"/>
      <c r="G2313" s="198"/>
      <c r="H2313" s="198"/>
      <c r="I2313" s="198"/>
      <c r="J2313" s="39"/>
      <c r="K2313" s="198"/>
      <c r="L2313" s="38"/>
      <c r="M2313" s="38"/>
      <c r="N2313" s="38"/>
      <c r="O2313" s="38"/>
      <c r="P2313" s="40" t="str" cm="1">
        <f t="array" ref="P2313">IF(N2313="","",IFERROR(_xlfn.XLOOKUP(F2313&amp;"|"&amp;J2313&amp;"|"&amp;O2313,PRICES!$C$2:$C$659&amp;"|"&amp;PRICES!$B$2:$B$659&amp;"|"&amp;PRICES!$D$2:$D$659,PRICES!$E$2:$E$659),"Not Found"))</f>
        <v/>
      </c>
      <c r="Q2313" s="100" t="str">
        <f>IF(N2313=0,"",SUMIFS(PRICES!$G$2:$G$658,PRICES!$B$2:$B$658,'MAIN TABLE-1 AUTOMATED'!J2313,PRICES!$C$2:$C$658,'MAIN TABLE-1 AUTOMATED'!F2313,PRICES!$D$2:$D$658,'MAIN TABLE-1 AUTOMATED'!O2313))</f>
        <v/>
      </c>
      <c r="R2313" s="41" t="str">
        <f>IF(Table1[[#This Row],[QUANTITY]]=0,"",Table1[[#This Row],[UNIT PRICE]]*Table1[[#This Row],[QUANTITY]])</f>
        <v/>
      </c>
      <c r="S2313" s="89"/>
      <c r="T2313" s="38"/>
      <c r="U2313" s="43"/>
      <c r="V2313" s="42" t="str">
        <f>IF(Table1[[#This Row],[DATE]]=0,"",YEAR(E2313))</f>
        <v/>
      </c>
      <c r="W2313" s="40" t="str">
        <f t="shared" si="76"/>
        <v/>
      </c>
      <c r="X2313" s="40" t="str">
        <f t="shared" si="77"/>
        <v/>
      </c>
      <c r="Y2313" s="40" t="str">
        <f>TEXT(Table1[[#This Row],[YEAR]],"0000")&amp;"-"&amp;Table1[[#This Row],[MONTH]]</f>
        <v>-</v>
      </c>
    </row>
    <row r="2314" spans="1:25" ht="15" customHeight="1" x14ac:dyDescent="0.35">
      <c r="A2314" s="24"/>
      <c r="B2314" s="38"/>
      <c r="C2314" s="38"/>
      <c r="D2314" s="38"/>
      <c r="E2314" s="37"/>
      <c r="F2314" s="38"/>
      <c r="G2314" s="198"/>
      <c r="H2314" s="198"/>
      <c r="I2314" s="198"/>
      <c r="J2314" s="39"/>
      <c r="K2314" s="198"/>
      <c r="L2314" s="38"/>
      <c r="M2314" s="38"/>
      <c r="N2314" s="38"/>
      <c r="O2314" s="38"/>
      <c r="P2314" s="40" t="str" cm="1">
        <f t="array" ref="P2314">IF(N2314="","",IFERROR(_xlfn.XLOOKUP(F2314&amp;"|"&amp;J2314&amp;"|"&amp;O2314,PRICES!$C$2:$C$659&amp;"|"&amp;PRICES!$B$2:$B$659&amp;"|"&amp;PRICES!$D$2:$D$659,PRICES!$E$2:$E$659),"Not Found"))</f>
        <v/>
      </c>
      <c r="Q2314" s="100" t="str">
        <f>IF(N2314=0,"",SUMIFS(PRICES!$G$2:$G$658,PRICES!$B$2:$B$658,'MAIN TABLE-1 AUTOMATED'!J2314,PRICES!$C$2:$C$658,'MAIN TABLE-1 AUTOMATED'!F2314,PRICES!$D$2:$D$658,'MAIN TABLE-1 AUTOMATED'!O2314))</f>
        <v/>
      </c>
      <c r="R2314" s="41" t="str">
        <f>IF(Table1[[#This Row],[QUANTITY]]=0,"",Table1[[#This Row],[UNIT PRICE]]*Table1[[#This Row],[QUANTITY]])</f>
        <v/>
      </c>
      <c r="S2314" s="89"/>
      <c r="T2314" s="38"/>
      <c r="U2314" s="43"/>
      <c r="V2314" s="42" t="str">
        <f>IF(Table1[[#This Row],[DATE]]=0,"",YEAR(E2314))</f>
        <v/>
      </c>
      <c r="W2314" s="40" t="str">
        <f t="shared" si="76"/>
        <v/>
      </c>
      <c r="X2314" s="40" t="str">
        <f t="shared" si="77"/>
        <v/>
      </c>
      <c r="Y2314" s="40" t="str">
        <f>TEXT(Table1[[#This Row],[YEAR]],"0000")&amp;"-"&amp;Table1[[#This Row],[MONTH]]</f>
        <v>-</v>
      </c>
    </row>
    <row r="2315" spans="1:25" ht="15" customHeight="1" x14ac:dyDescent="0.35">
      <c r="A2315" s="24"/>
      <c r="B2315" s="38"/>
      <c r="C2315" s="38"/>
      <c r="D2315" s="38"/>
      <c r="E2315" s="37"/>
      <c r="F2315" s="38"/>
      <c r="G2315" s="198"/>
      <c r="H2315" s="198"/>
      <c r="I2315" s="39"/>
      <c r="J2315" s="39"/>
      <c r="K2315" s="198"/>
      <c r="L2315" s="38"/>
      <c r="M2315" s="38"/>
      <c r="N2315" s="38"/>
      <c r="O2315" s="38"/>
      <c r="P2315" s="40" t="str" cm="1">
        <f t="array" ref="P2315">IF(N2315="","",IFERROR(_xlfn.XLOOKUP(F2315&amp;"|"&amp;J2315&amp;"|"&amp;O2315,PRICES!$C$2:$C$659&amp;"|"&amp;PRICES!$B$2:$B$659&amp;"|"&amp;PRICES!$D$2:$D$659,PRICES!$E$2:$E$659),"Not Found"))</f>
        <v/>
      </c>
      <c r="Q2315" s="100" t="str">
        <f>IF(N2315=0,"",SUMIFS(PRICES!$G$2:$G$658,PRICES!$B$2:$B$658,'MAIN TABLE-1 AUTOMATED'!J2315,PRICES!$C$2:$C$658,'MAIN TABLE-1 AUTOMATED'!F2315,PRICES!$D$2:$D$658,'MAIN TABLE-1 AUTOMATED'!O2315))</f>
        <v/>
      </c>
      <c r="R2315" s="41" t="str">
        <f>IF(Table1[[#This Row],[QUANTITY]]=0,"",Table1[[#This Row],[UNIT PRICE]]*Table1[[#This Row],[QUANTITY]])</f>
        <v/>
      </c>
      <c r="S2315" s="89"/>
      <c r="T2315" s="38"/>
      <c r="U2315" s="43"/>
      <c r="V2315" s="42" t="str">
        <f>IF(Table1[[#This Row],[DATE]]=0,"",YEAR(E2315))</f>
        <v/>
      </c>
      <c r="W2315" s="40" t="str">
        <f t="shared" si="76"/>
        <v/>
      </c>
      <c r="X2315" s="40" t="str">
        <f t="shared" si="77"/>
        <v/>
      </c>
      <c r="Y2315" s="40" t="str">
        <f>TEXT(Table1[[#This Row],[YEAR]],"0000")&amp;"-"&amp;Table1[[#This Row],[MONTH]]</f>
        <v>-</v>
      </c>
    </row>
    <row r="2316" spans="1:25" ht="15" customHeight="1" x14ac:dyDescent="0.35">
      <c r="A2316" s="24"/>
      <c r="B2316" s="38"/>
      <c r="C2316" s="38"/>
      <c r="D2316" s="38"/>
      <c r="E2316" s="37"/>
      <c r="F2316" s="38"/>
      <c r="G2316" s="198"/>
      <c r="H2316" s="198"/>
      <c r="I2316" s="39"/>
      <c r="J2316" s="39"/>
      <c r="K2316" s="198"/>
      <c r="L2316" s="38"/>
      <c r="M2316" s="38"/>
      <c r="N2316" s="38"/>
      <c r="O2316" s="38"/>
      <c r="P2316" s="40" t="str" cm="1">
        <f t="array" ref="P2316">IF(N2316="","",IFERROR(_xlfn.XLOOKUP(F2316&amp;"|"&amp;J2316&amp;"|"&amp;O2316,PRICES!$C$2:$C$659&amp;"|"&amp;PRICES!$B$2:$B$659&amp;"|"&amp;PRICES!$D$2:$D$659,PRICES!$E$2:$E$659),"Not Found"))</f>
        <v/>
      </c>
      <c r="Q2316" s="100" t="str">
        <f>IF(N2316=0,"",SUMIFS(PRICES!$G$2:$G$658,PRICES!$B$2:$B$658,'MAIN TABLE-1 AUTOMATED'!J2316,PRICES!$C$2:$C$658,'MAIN TABLE-1 AUTOMATED'!F2316,PRICES!$D$2:$D$658,'MAIN TABLE-1 AUTOMATED'!O2316))</f>
        <v/>
      </c>
      <c r="R2316" s="41" t="str">
        <f>IF(Table1[[#This Row],[QUANTITY]]=0,"",Table1[[#This Row],[UNIT PRICE]]*Table1[[#This Row],[QUANTITY]])</f>
        <v/>
      </c>
      <c r="S2316" s="89"/>
      <c r="T2316" s="38"/>
      <c r="U2316" s="43"/>
      <c r="V2316" s="42" t="str">
        <f>IF(Table1[[#This Row],[DATE]]=0,"",YEAR(E2316))</f>
        <v/>
      </c>
      <c r="W2316" s="40" t="str">
        <f t="shared" si="76"/>
        <v/>
      </c>
      <c r="X2316" s="40" t="str">
        <f t="shared" si="77"/>
        <v/>
      </c>
      <c r="Y2316" s="40" t="str">
        <f>TEXT(Table1[[#This Row],[YEAR]],"0000")&amp;"-"&amp;Table1[[#This Row],[MONTH]]</f>
        <v>-</v>
      </c>
    </row>
    <row r="2317" spans="1:25" ht="15" customHeight="1" x14ac:dyDescent="0.35">
      <c r="A2317" s="24"/>
      <c r="B2317" s="38"/>
      <c r="C2317" s="38"/>
      <c r="D2317" s="38"/>
      <c r="E2317" s="37"/>
      <c r="F2317" s="38"/>
      <c r="G2317" s="198"/>
      <c r="H2317" s="198"/>
      <c r="I2317" s="39"/>
      <c r="J2317" s="39"/>
      <c r="K2317" s="198"/>
      <c r="L2317" s="38"/>
      <c r="M2317" s="38"/>
      <c r="N2317" s="38"/>
      <c r="O2317" s="38"/>
      <c r="P2317" s="40" t="str" cm="1">
        <f t="array" ref="P2317">IF(N2317="","",IFERROR(_xlfn.XLOOKUP(F2317&amp;"|"&amp;J2317&amp;"|"&amp;O2317,PRICES!$C$2:$C$659&amp;"|"&amp;PRICES!$B$2:$B$659&amp;"|"&amp;PRICES!$D$2:$D$659,PRICES!$E$2:$E$659),"Not Found"))</f>
        <v/>
      </c>
      <c r="Q2317" s="100" t="str">
        <f>IF(N2317=0,"",SUMIFS(PRICES!$G$2:$G$658,PRICES!$B$2:$B$658,'MAIN TABLE-1 AUTOMATED'!J2317,PRICES!$C$2:$C$658,'MAIN TABLE-1 AUTOMATED'!F2317,PRICES!$D$2:$D$658,'MAIN TABLE-1 AUTOMATED'!O2317))</f>
        <v/>
      </c>
      <c r="R2317" s="41" t="str">
        <f>IF(Table1[[#This Row],[QUANTITY]]=0,"",Table1[[#This Row],[UNIT PRICE]]*Table1[[#This Row],[QUANTITY]])</f>
        <v/>
      </c>
      <c r="S2317" s="89"/>
      <c r="T2317" s="38"/>
      <c r="U2317" s="43"/>
      <c r="V2317" s="42" t="str">
        <f>IF(Table1[[#This Row],[DATE]]=0,"",YEAR(E2317))</f>
        <v/>
      </c>
      <c r="W2317" s="40" t="str">
        <f t="shared" si="76"/>
        <v/>
      </c>
      <c r="X2317" s="40" t="str">
        <f t="shared" si="77"/>
        <v/>
      </c>
      <c r="Y2317" s="40" t="str">
        <f>TEXT(Table1[[#This Row],[YEAR]],"0000")&amp;"-"&amp;Table1[[#This Row],[MONTH]]</f>
        <v>-</v>
      </c>
    </row>
    <row r="2318" spans="1:25" ht="15" customHeight="1" x14ac:dyDescent="0.35">
      <c r="A2318" s="24"/>
      <c r="B2318" s="38"/>
      <c r="C2318" s="38"/>
      <c r="D2318" s="38"/>
      <c r="E2318" s="37"/>
      <c r="F2318" s="38"/>
      <c r="G2318" s="198"/>
      <c r="H2318" s="198"/>
      <c r="I2318" s="39"/>
      <c r="J2318" s="38"/>
      <c r="K2318" s="198"/>
      <c r="L2318" s="38"/>
      <c r="M2318" s="38"/>
      <c r="N2318" s="38"/>
      <c r="O2318" s="38"/>
      <c r="P2318" s="40" t="str" cm="1">
        <f t="array" ref="P2318">IF(N2318="","",IFERROR(_xlfn.XLOOKUP(F2318&amp;"|"&amp;J2318&amp;"|"&amp;O2318,PRICES!$C$2:$C$659&amp;"|"&amp;PRICES!$B$2:$B$659&amp;"|"&amp;PRICES!$D$2:$D$659,PRICES!$E$2:$E$659),"Not Found"))</f>
        <v/>
      </c>
      <c r="Q2318" s="100" t="str">
        <f>IF(N2318=0,"",SUMIFS(PRICES!$G$2:$G$658,PRICES!$B$2:$B$658,'MAIN TABLE-1 AUTOMATED'!J2318,PRICES!$C$2:$C$658,'MAIN TABLE-1 AUTOMATED'!F2318,PRICES!$D$2:$D$658,'MAIN TABLE-1 AUTOMATED'!O2318))</f>
        <v/>
      </c>
      <c r="R2318" s="41" t="str">
        <f>IF(Table1[[#This Row],[QUANTITY]]=0,"",Table1[[#This Row],[UNIT PRICE]]*Table1[[#This Row],[QUANTITY]])</f>
        <v/>
      </c>
      <c r="S2318" s="89"/>
      <c r="T2318" s="38"/>
      <c r="U2318" s="43"/>
      <c r="V2318" s="42" t="str">
        <f>IF(Table1[[#This Row],[DATE]]=0,"",YEAR(E2318))</f>
        <v/>
      </c>
      <c r="W2318" s="40" t="str">
        <f t="shared" si="76"/>
        <v/>
      </c>
      <c r="X2318" s="40" t="str">
        <f t="shared" si="77"/>
        <v/>
      </c>
      <c r="Y2318" s="40" t="str">
        <f>TEXT(Table1[[#This Row],[YEAR]],"0000")&amp;"-"&amp;Table1[[#This Row],[MONTH]]</f>
        <v>-</v>
      </c>
    </row>
    <row r="2319" spans="1:25" ht="15" customHeight="1" x14ac:dyDescent="0.35">
      <c r="A2319" s="24"/>
      <c r="B2319" s="38"/>
      <c r="C2319" s="38"/>
      <c r="D2319" s="38"/>
      <c r="E2319" s="37"/>
      <c r="F2319" s="38"/>
      <c r="G2319" s="198"/>
      <c r="H2319" s="198"/>
      <c r="I2319" s="39"/>
      <c r="J2319" s="38"/>
      <c r="K2319" s="198"/>
      <c r="L2319" s="38"/>
      <c r="M2319" s="38"/>
      <c r="N2319" s="38"/>
      <c r="O2319" s="38"/>
      <c r="P2319" s="40" t="str" cm="1">
        <f t="array" ref="P2319">IF(N2319="","",IFERROR(_xlfn.XLOOKUP(F2319&amp;"|"&amp;J2319&amp;"|"&amp;O2319,PRICES!$C$2:$C$659&amp;"|"&amp;PRICES!$B$2:$B$659&amp;"|"&amp;PRICES!$D$2:$D$659,PRICES!$E$2:$E$659),"Not Found"))</f>
        <v/>
      </c>
      <c r="Q2319" s="100" t="str">
        <f>IF(N2319=0,"",SUMIFS(PRICES!$G$2:$G$658,PRICES!$B$2:$B$658,'MAIN TABLE-1 AUTOMATED'!J2319,PRICES!$C$2:$C$658,'MAIN TABLE-1 AUTOMATED'!F2319,PRICES!$D$2:$D$658,'MAIN TABLE-1 AUTOMATED'!O2319))</f>
        <v/>
      </c>
      <c r="R2319" s="41" t="str">
        <f>IF(Table1[[#This Row],[QUANTITY]]=0,"",Table1[[#This Row],[UNIT PRICE]]*Table1[[#This Row],[QUANTITY]])</f>
        <v/>
      </c>
      <c r="S2319" s="89"/>
      <c r="T2319" s="38"/>
      <c r="U2319" s="43"/>
      <c r="V2319" s="42" t="str">
        <f>IF(Table1[[#This Row],[DATE]]=0,"",YEAR(E2319))</f>
        <v/>
      </c>
      <c r="W2319" s="40" t="str">
        <f t="shared" si="76"/>
        <v/>
      </c>
      <c r="X2319" s="40" t="str">
        <f t="shared" si="77"/>
        <v/>
      </c>
      <c r="Y2319" s="40" t="str">
        <f>TEXT(Table1[[#This Row],[YEAR]],"0000")&amp;"-"&amp;Table1[[#This Row],[MONTH]]</f>
        <v>-</v>
      </c>
    </row>
    <row r="2320" spans="1:25" ht="15" customHeight="1" x14ac:dyDescent="0.35">
      <c r="A2320" s="24"/>
      <c r="B2320" s="38"/>
      <c r="C2320" s="38"/>
      <c r="D2320" s="38"/>
      <c r="E2320" s="37"/>
      <c r="F2320" s="38"/>
      <c r="G2320" s="198"/>
      <c r="H2320" s="198"/>
      <c r="I2320" s="39"/>
      <c r="J2320" s="38"/>
      <c r="K2320" s="198"/>
      <c r="L2320" s="38"/>
      <c r="M2320" s="38"/>
      <c r="N2320" s="38"/>
      <c r="O2320" s="38"/>
      <c r="P2320" s="40" t="str" cm="1">
        <f t="array" ref="P2320">IF(N2320="","",IFERROR(_xlfn.XLOOKUP(F2320&amp;"|"&amp;J2320&amp;"|"&amp;O2320,PRICES!$C$2:$C$659&amp;"|"&amp;PRICES!$B$2:$B$659&amp;"|"&amp;PRICES!$D$2:$D$659,PRICES!$E$2:$E$659),"Not Found"))</f>
        <v/>
      </c>
      <c r="Q2320" s="100" t="str">
        <f>IF(N2320=0,"",SUMIFS(PRICES!$G$2:$G$658,PRICES!$B$2:$B$658,'MAIN TABLE-1 AUTOMATED'!J2320,PRICES!$C$2:$C$658,'MAIN TABLE-1 AUTOMATED'!F2320,PRICES!$D$2:$D$658,'MAIN TABLE-1 AUTOMATED'!O2320))</f>
        <v/>
      </c>
      <c r="R2320" s="41" t="str">
        <f>IF(Table1[[#This Row],[QUANTITY]]=0,"",Table1[[#This Row],[UNIT PRICE]]*Table1[[#This Row],[QUANTITY]])</f>
        <v/>
      </c>
      <c r="S2320" s="89"/>
      <c r="T2320" s="38"/>
      <c r="U2320" s="43"/>
      <c r="V2320" s="42" t="str">
        <f>IF(Table1[[#This Row],[DATE]]=0,"",YEAR(E2320))</f>
        <v/>
      </c>
      <c r="W2320" s="40" t="str">
        <f t="shared" si="76"/>
        <v/>
      </c>
      <c r="X2320" s="40" t="str">
        <f t="shared" si="77"/>
        <v/>
      </c>
      <c r="Y2320" s="40" t="str">
        <f>TEXT(Table1[[#This Row],[YEAR]],"0000")&amp;"-"&amp;Table1[[#This Row],[MONTH]]</f>
        <v>-</v>
      </c>
    </row>
    <row r="2321" spans="1:25" ht="15" customHeight="1" x14ac:dyDescent="0.35">
      <c r="A2321" s="24"/>
      <c r="B2321" s="38"/>
      <c r="C2321" s="38"/>
      <c r="D2321" s="38"/>
      <c r="E2321" s="37"/>
      <c r="F2321" s="38"/>
      <c r="G2321" s="198"/>
      <c r="H2321" s="198"/>
      <c r="I2321" s="39"/>
      <c r="J2321" s="38"/>
      <c r="K2321" s="198"/>
      <c r="L2321" s="38"/>
      <c r="M2321" s="38"/>
      <c r="N2321" s="38"/>
      <c r="O2321" s="38"/>
      <c r="P2321" s="40" t="str" cm="1">
        <f t="array" ref="P2321">IF(N2321="","",IFERROR(_xlfn.XLOOKUP(F2321&amp;"|"&amp;J2321&amp;"|"&amp;O2321,PRICES!$C$2:$C$659&amp;"|"&amp;PRICES!$B$2:$B$659&amp;"|"&amp;PRICES!$D$2:$D$659,PRICES!$E$2:$E$659),"Not Found"))</f>
        <v/>
      </c>
      <c r="Q2321" s="100" t="str">
        <f>IF(N2321=0,"",SUMIFS(PRICES!$G$2:$G$658,PRICES!$B$2:$B$658,'MAIN TABLE-1 AUTOMATED'!J2321,PRICES!$C$2:$C$658,'MAIN TABLE-1 AUTOMATED'!F2321,PRICES!$D$2:$D$658,'MAIN TABLE-1 AUTOMATED'!O2321))</f>
        <v/>
      </c>
      <c r="R2321" s="41" t="str">
        <f>IF(Table1[[#This Row],[QUANTITY]]=0,"",Table1[[#This Row],[UNIT PRICE]]*Table1[[#This Row],[QUANTITY]])</f>
        <v/>
      </c>
      <c r="S2321" s="89"/>
      <c r="T2321" s="38"/>
      <c r="U2321" s="43"/>
      <c r="V2321" s="42" t="str">
        <f>IF(Table1[[#This Row],[DATE]]=0,"",YEAR(E2321))</f>
        <v/>
      </c>
      <c r="W2321" s="40" t="str">
        <f t="shared" si="76"/>
        <v/>
      </c>
      <c r="X2321" s="40" t="str">
        <f t="shared" si="77"/>
        <v/>
      </c>
      <c r="Y2321" s="40" t="str">
        <f>TEXT(Table1[[#This Row],[YEAR]],"0000")&amp;"-"&amp;Table1[[#This Row],[MONTH]]</f>
        <v>-</v>
      </c>
    </row>
    <row r="2322" spans="1:25" ht="15" customHeight="1" x14ac:dyDescent="0.35">
      <c r="A2322" s="24"/>
      <c r="B2322" s="38"/>
      <c r="C2322" s="38"/>
      <c r="D2322" s="38"/>
      <c r="E2322" s="37"/>
      <c r="F2322" s="38"/>
      <c r="G2322" s="198"/>
      <c r="H2322" s="198"/>
      <c r="I2322" s="39"/>
      <c r="J2322" s="38"/>
      <c r="K2322" s="198"/>
      <c r="L2322" s="38"/>
      <c r="M2322" s="38"/>
      <c r="N2322" s="38"/>
      <c r="O2322" s="38"/>
      <c r="P2322" s="40" t="str" cm="1">
        <f t="array" ref="P2322">IF(N2322="","",IFERROR(_xlfn.XLOOKUP(F2322&amp;"|"&amp;J2322&amp;"|"&amp;O2322,PRICES!$C$2:$C$659&amp;"|"&amp;PRICES!$B$2:$B$659&amp;"|"&amp;PRICES!$D$2:$D$659,PRICES!$E$2:$E$659),"Not Found"))</f>
        <v/>
      </c>
      <c r="Q2322" s="100" t="str">
        <f>IF(N2322=0,"",SUMIFS(PRICES!$G$2:$G$658,PRICES!$B$2:$B$658,'MAIN TABLE-1 AUTOMATED'!J2322,PRICES!$C$2:$C$658,'MAIN TABLE-1 AUTOMATED'!F2322,PRICES!$D$2:$D$658,'MAIN TABLE-1 AUTOMATED'!O2322))</f>
        <v/>
      </c>
      <c r="R2322" s="41" t="str">
        <f>IF(Table1[[#This Row],[QUANTITY]]=0,"",Table1[[#This Row],[UNIT PRICE]]*Table1[[#This Row],[QUANTITY]])</f>
        <v/>
      </c>
      <c r="S2322" s="89"/>
      <c r="T2322" s="38"/>
      <c r="U2322" s="43"/>
      <c r="V2322" s="42" t="str">
        <f>IF(Table1[[#This Row],[DATE]]=0,"",YEAR(E2322))</f>
        <v/>
      </c>
      <c r="W2322" s="40" t="str">
        <f t="shared" si="76"/>
        <v/>
      </c>
      <c r="X2322" s="40" t="str">
        <f t="shared" si="77"/>
        <v/>
      </c>
      <c r="Y2322" s="40" t="str">
        <f>TEXT(Table1[[#This Row],[YEAR]],"0000")&amp;"-"&amp;Table1[[#This Row],[MONTH]]</f>
        <v>-</v>
      </c>
    </row>
    <row r="2323" spans="1:25" ht="15" customHeight="1" x14ac:dyDescent="0.35">
      <c r="A2323" s="24"/>
      <c r="B2323" s="38"/>
      <c r="C2323" s="38"/>
      <c r="D2323" s="38"/>
      <c r="E2323" s="37"/>
      <c r="F2323" s="38"/>
      <c r="G2323" s="198"/>
      <c r="H2323" s="198"/>
      <c r="I2323" s="39"/>
      <c r="J2323" s="38"/>
      <c r="K2323" s="198"/>
      <c r="L2323" s="38"/>
      <c r="M2323" s="38"/>
      <c r="N2323" s="38"/>
      <c r="O2323" s="38"/>
      <c r="P2323" s="40" t="str" cm="1">
        <f t="array" ref="P2323">IF(N2323="","",IFERROR(_xlfn.XLOOKUP(F2323&amp;"|"&amp;J2323&amp;"|"&amp;O2323,PRICES!$C$2:$C$659&amp;"|"&amp;PRICES!$B$2:$B$659&amp;"|"&amp;PRICES!$D$2:$D$659,PRICES!$E$2:$E$659),"Not Found"))</f>
        <v/>
      </c>
      <c r="Q2323" s="100" t="str">
        <f>IF(N2323=0,"",SUMIFS(PRICES!$G$2:$G$658,PRICES!$B$2:$B$658,'MAIN TABLE-1 AUTOMATED'!J2323,PRICES!$C$2:$C$658,'MAIN TABLE-1 AUTOMATED'!F2323,PRICES!$D$2:$D$658,'MAIN TABLE-1 AUTOMATED'!O2323))</f>
        <v/>
      </c>
      <c r="R2323" s="41" t="str">
        <f>IF(Table1[[#This Row],[QUANTITY]]=0,"",Table1[[#This Row],[UNIT PRICE]]*Table1[[#This Row],[QUANTITY]])</f>
        <v/>
      </c>
      <c r="S2323" s="89"/>
      <c r="T2323" s="38"/>
      <c r="U2323" s="43"/>
      <c r="V2323" s="42" t="str">
        <f>IF(Table1[[#This Row],[DATE]]=0,"",YEAR(E2323))</f>
        <v/>
      </c>
      <c r="W2323" s="40" t="str">
        <f t="shared" si="76"/>
        <v/>
      </c>
      <c r="X2323" s="40" t="str">
        <f t="shared" si="77"/>
        <v/>
      </c>
      <c r="Y2323" s="40" t="str">
        <f>TEXT(Table1[[#This Row],[YEAR]],"0000")&amp;"-"&amp;Table1[[#This Row],[MONTH]]</f>
        <v>-</v>
      </c>
    </row>
    <row r="2324" spans="1:25" ht="15" customHeight="1" x14ac:dyDescent="0.35">
      <c r="A2324" s="24"/>
      <c r="B2324" s="38"/>
      <c r="C2324" s="38"/>
      <c r="D2324" s="38"/>
      <c r="E2324" s="37"/>
      <c r="F2324" s="38"/>
      <c r="G2324" s="198"/>
      <c r="H2324" s="198"/>
      <c r="I2324" s="39"/>
      <c r="J2324" s="38"/>
      <c r="K2324" s="198"/>
      <c r="L2324" s="38"/>
      <c r="M2324" s="38"/>
      <c r="N2324" s="38"/>
      <c r="O2324" s="38"/>
      <c r="P2324" s="40" t="str" cm="1">
        <f t="array" ref="P2324">IF(N2324="","",IFERROR(_xlfn.XLOOKUP(F2324&amp;"|"&amp;J2324&amp;"|"&amp;O2324,PRICES!$C$2:$C$659&amp;"|"&amp;PRICES!$B$2:$B$659&amp;"|"&amp;PRICES!$D$2:$D$659,PRICES!$E$2:$E$659),"Not Found"))</f>
        <v/>
      </c>
      <c r="Q2324" s="100" t="str">
        <f>IF(N2324=0,"",SUMIFS(PRICES!$G$2:$G$658,PRICES!$B$2:$B$658,'MAIN TABLE-1 AUTOMATED'!J2324,PRICES!$C$2:$C$658,'MAIN TABLE-1 AUTOMATED'!F2324,PRICES!$D$2:$D$658,'MAIN TABLE-1 AUTOMATED'!O2324))</f>
        <v/>
      </c>
      <c r="R2324" s="41" t="str">
        <f>IF(Table1[[#This Row],[QUANTITY]]=0,"",Table1[[#This Row],[UNIT PRICE]]*Table1[[#This Row],[QUANTITY]])</f>
        <v/>
      </c>
      <c r="S2324" s="89"/>
      <c r="T2324" s="38"/>
      <c r="U2324" s="43"/>
      <c r="V2324" s="42" t="str">
        <f>IF(Table1[[#This Row],[DATE]]=0,"",YEAR(E2324))</f>
        <v/>
      </c>
      <c r="W2324" s="40" t="str">
        <f t="shared" si="76"/>
        <v/>
      </c>
      <c r="X2324" s="40" t="str">
        <f t="shared" si="77"/>
        <v/>
      </c>
      <c r="Y2324" s="40" t="str">
        <f>TEXT(Table1[[#This Row],[YEAR]],"0000")&amp;"-"&amp;Table1[[#This Row],[MONTH]]</f>
        <v>-</v>
      </c>
    </row>
    <row r="2325" spans="1:25" ht="15" customHeight="1" x14ac:dyDescent="0.35">
      <c r="A2325" s="24"/>
      <c r="B2325" s="38"/>
      <c r="C2325" s="38"/>
      <c r="D2325" s="38"/>
      <c r="E2325" s="37"/>
      <c r="F2325" s="38"/>
      <c r="G2325" s="198"/>
      <c r="H2325" s="198"/>
      <c r="I2325" s="39"/>
      <c r="J2325" s="38"/>
      <c r="K2325" s="198"/>
      <c r="L2325" s="38"/>
      <c r="M2325" s="38"/>
      <c r="N2325" s="38"/>
      <c r="O2325" s="38"/>
      <c r="P2325" s="40" t="str" cm="1">
        <f t="array" ref="P2325">IF(N2325="","",IFERROR(_xlfn.XLOOKUP(F2325&amp;"|"&amp;J2325&amp;"|"&amp;O2325,PRICES!$C$2:$C$659&amp;"|"&amp;PRICES!$B$2:$B$659&amp;"|"&amp;PRICES!$D$2:$D$659,PRICES!$E$2:$E$659),"Not Found"))</f>
        <v/>
      </c>
      <c r="Q2325" s="100" t="str">
        <f>IF(N2325=0,"",SUMIFS(PRICES!$G$2:$G$658,PRICES!$B$2:$B$658,'MAIN TABLE-1 AUTOMATED'!J2325,PRICES!$C$2:$C$658,'MAIN TABLE-1 AUTOMATED'!F2325,PRICES!$D$2:$D$658,'MAIN TABLE-1 AUTOMATED'!O2325))</f>
        <v/>
      </c>
      <c r="R2325" s="41" t="str">
        <f>IF(Table1[[#This Row],[QUANTITY]]=0,"",Table1[[#This Row],[UNIT PRICE]]*Table1[[#This Row],[QUANTITY]])</f>
        <v/>
      </c>
      <c r="S2325" s="89"/>
      <c r="T2325" s="38"/>
      <c r="U2325" s="43"/>
      <c r="V2325" s="42" t="str">
        <f>IF(Table1[[#This Row],[DATE]]=0,"",YEAR(E2325))</f>
        <v/>
      </c>
      <c r="W2325" s="40" t="str">
        <f t="shared" si="76"/>
        <v/>
      </c>
      <c r="X2325" s="40" t="str">
        <f t="shared" si="77"/>
        <v/>
      </c>
      <c r="Y2325" s="40" t="str">
        <f>TEXT(Table1[[#This Row],[YEAR]],"0000")&amp;"-"&amp;Table1[[#This Row],[MONTH]]</f>
        <v>-</v>
      </c>
    </row>
    <row r="2326" spans="1:25" ht="15" customHeight="1" x14ac:dyDescent="0.35">
      <c r="A2326" s="24"/>
      <c r="B2326" s="38"/>
      <c r="C2326" s="38"/>
      <c r="D2326" s="38"/>
      <c r="E2326" s="37"/>
      <c r="F2326" s="38"/>
      <c r="G2326" s="198"/>
      <c r="H2326" s="198"/>
      <c r="I2326" s="39"/>
      <c r="J2326" s="38"/>
      <c r="K2326" s="198"/>
      <c r="L2326" s="38"/>
      <c r="M2326" s="38"/>
      <c r="N2326" s="38"/>
      <c r="O2326" s="38"/>
      <c r="P2326" s="40" t="str" cm="1">
        <f t="array" ref="P2326">IF(N2326="","",IFERROR(_xlfn.XLOOKUP(F2326&amp;"|"&amp;J2326&amp;"|"&amp;O2326,PRICES!$C$2:$C$659&amp;"|"&amp;PRICES!$B$2:$B$659&amp;"|"&amp;PRICES!$D$2:$D$659,PRICES!$E$2:$E$659),"Not Found"))</f>
        <v/>
      </c>
      <c r="Q2326" s="100" t="str">
        <f>IF(N2326=0,"",SUMIFS(PRICES!$G$2:$G$658,PRICES!$B$2:$B$658,'MAIN TABLE-1 AUTOMATED'!J2326,PRICES!$C$2:$C$658,'MAIN TABLE-1 AUTOMATED'!F2326,PRICES!$D$2:$D$658,'MAIN TABLE-1 AUTOMATED'!O2326))</f>
        <v/>
      </c>
      <c r="R2326" s="41" t="str">
        <f>IF(Table1[[#This Row],[QUANTITY]]=0,"",Table1[[#This Row],[UNIT PRICE]]*Table1[[#This Row],[QUANTITY]])</f>
        <v/>
      </c>
      <c r="S2326" s="89"/>
      <c r="T2326" s="38"/>
      <c r="U2326" s="43"/>
      <c r="V2326" s="42" t="str">
        <f>IF(Table1[[#This Row],[DATE]]=0,"",YEAR(E2326))</f>
        <v/>
      </c>
      <c r="W2326" s="40" t="str">
        <f t="shared" si="76"/>
        <v/>
      </c>
      <c r="X2326" s="40" t="str">
        <f t="shared" si="77"/>
        <v/>
      </c>
      <c r="Y2326" s="40" t="str">
        <f>TEXT(Table1[[#This Row],[YEAR]],"0000")&amp;"-"&amp;Table1[[#This Row],[MONTH]]</f>
        <v>-</v>
      </c>
    </row>
    <row r="2327" spans="1:25" ht="15" customHeight="1" x14ac:dyDescent="0.35">
      <c r="A2327" s="24"/>
      <c r="B2327" s="38"/>
      <c r="C2327" s="38"/>
      <c r="D2327" s="38"/>
      <c r="E2327" s="37"/>
      <c r="F2327" s="38"/>
      <c r="G2327" s="198"/>
      <c r="H2327" s="198"/>
      <c r="I2327" s="39"/>
      <c r="J2327" s="38"/>
      <c r="K2327" s="198"/>
      <c r="L2327" s="38"/>
      <c r="M2327" s="38"/>
      <c r="N2327" s="38"/>
      <c r="O2327" s="38"/>
      <c r="P2327" s="40" t="str" cm="1">
        <f t="array" ref="P2327">IF(N2327="","",IFERROR(_xlfn.XLOOKUP(F2327&amp;"|"&amp;J2327&amp;"|"&amp;O2327,PRICES!$C$2:$C$659&amp;"|"&amp;PRICES!$B$2:$B$659&amp;"|"&amp;PRICES!$D$2:$D$659,PRICES!$E$2:$E$659),"Not Found"))</f>
        <v/>
      </c>
      <c r="Q2327" s="100" t="str">
        <f>IF(N2327=0,"",SUMIFS(PRICES!$G$2:$G$658,PRICES!$B$2:$B$658,'MAIN TABLE-1 AUTOMATED'!J2327,PRICES!$C$2:$C$658,'MAIN TABLE-1 AUTOMATED'!F2327,PRICES!$D$2:$D$658,'MAIN TABLE-1 AUTOMATED'!O2327))</f>
        <v/>
      </c>
      <c r="R2327" s="41" t="str">
        <f>IF(Table1[[#This Row],[QUANTITY]]=0,"",Table1[[#This Row],[UNIT PRICE]]*Table1[[#This Row],[QUANTITY]])</f>
        <v/>
      </c>
      <c r="S2327" s="89"/>
      <c r="T2327" s="38"/>
      <c r="U2327" s="43"/>
      <c r="V2327" s="42" t="str">
        <f>IF(Table1[[#This Row],[DATE]]=0,"",YEAR(E2327))</f>
        <v/>
      </c>
      <c r="W2327" s="40" t="str">
        <f t="shared" si="76"/>
        <v/>
      </c>
      <c r="X2327" s="40" t="str">
        <f t="shared" si="77"/>
        <v/>
      </c>
      <c r="Y2327" s="40" t="str">
        <f>TEXT(Table1[[#This Row],[YEAR]],"0000")&amp;"-"&amp;Table1[[#This Row],[MONTH]]</f>
        <v>-</v>
      </c>
    </row>
    <row r="2328" spans="1:25" ht="15" customHeight="1" x14ac:dyDescent="0.35">
      <c r="A2328" s="24"/>
      <c r="B2328" s="38"/>
      <c r="C2328" s="38"/>
      <c r="D2328" s="38"/>
      <c r="E2328" s="37"/>
      <c r="F2328" s="38"/>
      <c r="G2328" s="198"/>
      <c r="H2328" s="198"/>
      <c r="I2328" s="39"/>
      <c r="J2328" s="38"/>
      <c r="K2328" s="198"/>
      <c r="L2328" s="38"/>
      <c r="M2328" s="38"/>
      <c r="N2328" s="38"/>
      <c r="O2328" s="38"/>
      <c r="P2328" s="40" t="str" cm="1">
        <f t="array" ref="P2328">IF(N2328="","",IFERROR(_xlfn.XLOOKUP(F2328&amp;"|"&amp;J2328&amp;"|"&amp;O2328,PRICES!$C$2:$C$659&amp;"|"&amp;PRICES!$B$2:$B$659&amp;"|"&amp;PRICES!$D$2:$D$659,PRICES!$E$2:$E$659),"Not Found"))</f>
        <v/>
      </c>
      <c r="Q2328" s="100" t="str">
        <f>IF(N2328=0,"",SUMIFS(PRICES!$G$2:$G$658,PRICES!$B$2:$B$658,'MAIN TABLE-1 AUTOMATED'!J2328,PRICES!$C$2:$C$658,'MAIN TABLE-1 AUTOMATED'!F2328,PRICES!$D$2:$D$658,'MAIN TABLE-1 AUTOMATED'!O2328))</f>
        <v/>
      </c>
      <c r="R2328" s="41" t="str">
        <f>IF(Table1[[#This Row],[QUANTITY]]=0,"",Table1[[#This Row],[UNIT PRICE]]*Table1[[#This Row],[QUANTITY]])</f>
        <v/>
      </c>
      <c r="S2328" s="89"/>
      <c r="T2328" s="38"/>
      <c r="U2328" s="43"/>
      <c r="V2328" s="42" t="str">
        <f>IF(Table1[[#This Row],[DATE]]=0,"",YEAR(E2328))</f>
        <v/>
      </c>
      <c r="W2328" s="40" t="str">
        <f t="shared" si="76"/>
        <v/>
      </c>
      <c r="X2328" s="40" t="str">
        <f t="shared" si="77"/>
        <v/>
      </c>
      <c r="Y2328" s="40" t="str">
        <f>TEXT(Table1[[#This Row],[YEAR]],"0000")&amp;"-"&amp;Table1[[#This Row],[MONTH]]</f>
        <v>-</v>
      </c>
    </row>
    <row r="2329" spans="1:25" ht="15" customHeight="1" x14ac:dyDescent="0.35">
      <c r="A2329" s="24"/>
      <c r="B2329" s="38"/>
      <c r="C2329" s="38"/>
      <c r="D2329" s="38"/>
      <c r="E2329" s="37"/>
      <c r="F2329" s="38"/>
      <c r="G2329" s="198"/>
      <c r="H2329" s="198"/>
      <c r="I2329" s="39"/>
      <c r="J2329" s="38"/>
      <c r="K2329" s="198"/>
      <c r="L2329" s="38"/>
      <c r="M2329" s="38"/>
      <c r="N2329" s="38"/>
      <c r="O2329" s="38"/>
      <c r="P2329" s="40" t="str" cm="1">
        <f t="array" ref="P2329">IF(N2329="","",IFERROR(_xlfn.XLOOKUP(F2329&amp;"|"&amp;J2329&amp;"|"&amp;O2329,PRICES!$C$2:$C$659&amp;"|"&amp;PRICES!$B$2:$B$659&amp;"|"&amp;PRICES!$D$2:$D$659,PRICES!$E$2:$E$659),"Not Found"))</f>
        <v/>
      </c>
      <c r="Q2329" s="100" t="str">
        <f>IF(N2329=0,"",SUMIFS(PRICES!$G$2:$G$658,PRICES!$B$2:$B$658,'MAIN TABLE-1 AUTOMATED'!J2329,PRICES!$C$2:$C$658,'MAIN TABLE-1 AUTOMATED'!F2329,PRICES!$D$2:$D$658,'MAIN TABLE-1 AUTOMATED'!O2329))</f>
        <v/>
      </c>
      <c r="R2329" s="41" t="str">
        <f>IF(Table1[[#This Row],[QUANTITY]]=0,"",Table1[[#This Row],[UNIT PRICE]]*Table1[[#This Row],[QUANTITY]])</f>
        <v/>
      </c>
      <c r="S2329" s="89"/>
      <c r="T2329" s="38"/>
      <c r="U2329" s="43"/>
      <c r="V2329" s="42" t="str">
        <f>IF(Table1[[#This Row],[DATE]]=0,"",YEAR(E2329))</f>
        <v/>
      </c>
      <c r="W2329" s="40" t="str">
        <f t="shared" si="76"/>
        <v/>
      </c>
      <c r="X2329" s="40" t="str">
        <f t="shared" si="77"/>
        <v/>
      </c>
      <c r="Y2329" s="40" t="str">
        <f>TEXT(Table1[[#This Row],[YEAR]],"0000")&amp;"-"&amp;Table1[[#This Row],[MONTH]]</f>
        <v>-</v>
      </c>
    </row>
    <row r="2330" spans="1:25" ht="15" customHeight="1" x14ac:dyDescent="0.35">
      <c r="A2330" s="24"/>
      <c r="B2330" s="38"/>
      <c r="C2330" s="38"/>
      <c r="D2330" s="38"/>
      <c r="E2330" s="37"/>
      <c r="F2330" s="38"/>
      <c r="G2330" s="198"/>
      <c r="H2330" s="198"/>
      <c r="I2330" s="39"/>
      <c r="J2330" s="38"/>
      <c r="K2330" s="198"/>
      <c r="L2330" s="38"/>
      <c r="M2330" s="38"/>
      <c r="N2330" s="38"/>
      <c r="O2330" s="38"/>
      <c r="P2330" s="40" t="str" cm="1">
        <f t="array" ref="P2330">IF(N2330="","",IFERROR(_xlfn.XLOOKUP(F2330&amp;"|"&amp;J2330&amp;"|"&amp;O2330,PRICES!$C$2:$C$659&amp;"|"&amp;PRICES!$B$2:$B$659&amp;"|"&amp;PRICES!$D$2:$D$659,PRICES!$E$2:$E$659),"Not Found"))</f>
        <v/>
      </c>
      <c r="Q2330" s="100" t="str">
        <f>IF(N2330=0,"",SUMIFS(PRICES!$G$2:$G$658,PRICES!$B$2:$B$658,'MAIN TABLE-1 AUTOMATED'!J2330,PRICES!$C$2:$C$658,'MAIN TABLE-1 AUTOMATED'!F2330,PRICES!$D$2:$D$658,'MAIN TABLE-1 AUTOMATED'!O2330))</f>
        <v/>
      </c>
      <c r="R2330" s="41" t="str">
        <f>IF(Table1[[#This Row],[QUANTITY]]=0,"",Table1[[#This Row],[UNIT PRICE]]*Table1[[#This Row],[QUANTITY]])</f>
        <v/>
      </c>
      <c r="S2330" s="89"/>
      <c r="T2330" s="38"/>
      <c r="U2330" s="43"/>
      <c r="V2330" s="42" t="str">
        <f>IF(Table1[[#This Row],[DATE]]=0,"",YEAR(E2330))</f>
        <v/>
      </c>
      <c r="W2330" s="40" t="str">
        <f t="shared" si="76"/>
        <v/>
      </c>
      <c r="X2330" s="40" t="str">
        <f t="shared" si="77"/>
        <v/>
      </c>
      <c r="Y2330" s="40" t="str">
        <f>TEXT(Table1[[#This Row],[YEAR]],"0000")&amp;"-"&amp;Table1[[#This Row],[MONTH]]</f>
        <v>-</v>
      </c>
    </row>
    <row r="2331" spans="1:25" ht="15" customHeight="1" x14ac:dyDescent="0.35">
      <c r="A2331" s="24"/>
      <c r="B2331" s="38"/>
      <c r="C2331" s="38"/>
      <c r="D2331" s="38"/>
      <c r="E2331" s="37"/>
      <c r="F2331" s="38"/>
      <c r="G2331" s="198"/>
      <c r="H2331" s="198"/>
      <c r="I2331" s="39"/>
      <c r="J2331" s="38"/>
      <c r="K2331" s="198"/>
      <c r="L2331" s="38"/>
      <c r="M2331" s="38"/>
      <c r="N2331" s="38"/>
      <c r="O2331" s="38"/>
      <c r="P2331" s="40" t="str" cm="1">
        <f t="array" ref="P2331">IF(N2331="","",IFERROR(_xlfn.XLOOKUP(F2331&amp;"|"&amp;J2331&amp;"|"&amp;O2331,PRICES!$C$2:$C$659&amp;"|"&amp;PRICES!$B$2:$B$659&amp;"|"&amp;PRICES!$D$2:$D$659,PRICES!$E$2:$E$659),"Not Found"))</f>
        <v/>
      </c>
      <c r="Q2331" s="100" t="str">
        <f>IF(N2331=0,"",SUMIFS(PRICES!$G$2:$G$658,PRICES!$B$2:$B$658,'MAIN TABLE-1 AUTOMATED'!J2331,PRICES!$C$2:$C$658,'MAIN TABLE-1 AUTOMATED'!F2331,PRICES!$D$2:$D$658,'MAIN TABLE-1 AUTOMATED'!O2331))</f>
        <v/>
      </c>
      <c r="R2331" s="41" t="str">
        <f>IF(Table1[[#This Row],[QUANTITY]]=0,"",Table1[[#This Row],[UNIT PRICE]]*Table1[[#This Row],[QUANTITY]])</f>
        <v/>
      </c>
      <c r="S2331" s="89"/>
      <c r="T2331" s="38"/>
      <c r="U2331" s="43"/>
      <c r="V2331" s="42" t="str">
        <f>IF(Table1[[#This Row],[DATE]]=0,"",YEAR(E2331))</f>
        <v/>
      </c>
      <c r="W2331" s="40" t="str">
        <f t="shared" si="76"/>
        <v/>
      </c>
      <c r="X2331" s="40" t="str">
        <f t="shared" si="77"/>
        <v/>
      </c>
      <c r="Y2331" s="40" t="str">
        <f>TEXT(Table1[[#This Row],[YEAR]],"0000")&amp;"-"&amp;Table1[[#This Row],[MONTH]]</f>
        <v>-</v>
      </c>
    </row>
    <row r="2332" spans="1:25" ht="15" customHeight="1" x14ac:dyDescent="0.35">
      <c r="A2332" s="24"/>
      <c r="B2332" s="38"/>
      <c r="C2332" s="38"/>
      <c r="D2332" s="38"/>
      <c r="E2332" s="37"/>
      <c r="F2332" s="38"/>
      <c r="G2332" s="198"/>
      <c r="H2332" s="198"/>
      <c r="I2332" s="39"/>
      <c r="J2332" s="38"/>
      <c r="K2332" s="198"/>
      <c r="L2332" s="38"/>
      <c r="M2332" s="38"/>
      <c r="N2332" s="38"/>
      <c r="O2332" s="38"/>
      <c r="P2332" s="40" t="str" cm="1">
        <f t="array" ref="P2332">IF(N2332="","",IFERROR(_xlfn.XLOOKUP(F2332&amp;"|"&amp;J2332&amp;"|"&amp;O2332,PRICES!$C$2:$C$659&amp;"|"&amp;PRICES!$B$2:$B$659&amp;"|"&amp;PRICES!$D$2:$D$659,PRICES!$E$2:$E$659),"Not Found"))</f>
        <v/>
      </c>
      <c r="Q2332" s="100" t="str">
        <f>IF(N2332=0,"",SUMIFS(PRICES!$G$2:$G$658,PRICES!$B$2:$B$658,'MAIN TABLE-1 AUTOMATED'!J2332,PRICES!$C$2:$C$658,'MAIN TABLE-1 AUTOMATED'!F2332,PRICES!$D$2:$D$658,'MAIN TABLE-1 AUTOMATED'!O2332))</f>
        <v/>
      </c>
      <c r="R2332" s="41" t="str">
        <f>IF(Table1[[#This Row],[QUANTITY]]=0,"",Table1[[#This Row],[UNIT PRICE]]*Table1[[#This Row],[QUANTITY]])</f>
        <v/>
      </c>
      <c r="S2332" s="89"/>
      <c r="T2332" s="38"/>
      <c r="U2332" s="43"/>
      <c r="V2332" s="42" t="str">
        <f>IF(Table1[[#This Row],[DATE]]=0,"",YEAR(E2332))</f>
        <v/>
      </c>
      <c r="W2332" s="40" t="str">
        <f t="shared" si="76"/>
        <v/>
      </c>
      <c r="X2332" s="40" t="str">
        <f t="shared" si="77"/>
        <v/>
      </c>
      <c r="Y2332" s="40" t="str">
        <f>TEXT(Table1[[#This Row],[YEAR]],"0000")&amp;"-"&amp;Table1[[#This Row],[MONTH]]</f>
        <v>-</v>
      </c>
    </row>
    <row r="2333" spans="1:25" ht="15" customHeight="1" x14ac:dyDescent="0.35">
      <c r="A2333" s="24"/>
      <c r="B2333" s="38"/>
      <c r="C2333" s="38"/>
      <c r="D2333" s="38"/>
      <c r="E2333" s="37"/>
      <c r="F2333" s="38"/>
      <c r="G2333" s="198"/>
      <c r="H2333" s="198"/>
      <c r="I2333" s="39"/>
      <c r="J2333" s="38"/>
      <c r="K2333" s="198"/>
      <c r="L2333" s="38"/>
      <c r="M2333" s="38"/>
      <c r="N2333" s="38"/>
      <c r="O2333" s="38"/>
      <c r="P2333" s="40" t="str" cm="1">
        <f t="array" ref="P2333">IF(N2333="","",IFERROR(_xlfn.XLOOKUP(F2333&amp;"|"&amp;J2333&amp;"|"&amp;O2333,PRICES!$C$2:$C$659&amp;"|"&amp;PRICES!$B$2:$B$659&amp;"|"&amp;PRICES!$D$2:$D$659,PRICES!$E$2:$E$659),"Not Found"))</f>
        <v/>
      </c>
      <c r="Q2333" s="100" t="str">
        <f>IF(N2333=0,"",SUMIFS(PRICES!$G$2:$G$658,PRICES!$B$2:$B$658,'MAIN TABLE-1 AUTOMATED'!J2333,PRICES!$C$2:$C$658,'MAIN TABLE-1 AUTOMATED'!F2333,PRICES!$D$2:$D$658,'MAIN TABLE-1 AUTOMATED'!O2333))</f>
        <v/>
      </c>
      <c r="R2333" s="41" t="str">
        <f>IF(Table1[[#This Row],[QUANTITY]]=0,"",Table1[[#This Row],[UNIT PRICE]]*Table1[[#This Row],[QUANTITY]])</f>
        <v/>
      </c>
      <c r="S2333" s="89"/>
      <c r="T2333" s="38"/>
      <c r="U2333" s="43"/>
      <c r="V2333" s="42" t="str">
        <f>IF(Table1[[#This Row],[DATE]]=0,"",YEAR(E2333))</f>
        <v/>
      </c>
      <c r="W2333" s="40" t="str">
        <f t="shared" si="76"/>
        <v/>
      </c>
      <c r="X2333" s="40" t="str">
        <f t="shared" si="77"/>
        <v/>
      </c>
      <c r="Y2333" s="40" t="str">
        <f>TEXT(Table1[[#This Row],[YEAR]],"0000")&amp;"-"&amp;Table1[[#This Row],[MONTH]]</f>
        <v>-</v>
      </c>
    </row>
    <row r="2334" spans="1:25" ht="15" customHeight="1" x14ac:dyDescent="0.35">
      <c r="A2334" s="24"/>
      <c r="B2334" s="38"/>
      <c r="C2334" s="38"/>
      <c r="D2334" s="38"/>
      <c r="E2334" s="37"/>
      <c r="F2334" s="38"/>
      <c r="G2334" s="198"/>
      <c r="H2334" s="198"/>
      <c r="I2334" s="39"/>
      <c r="J2334" s="38"/>
      <c r="K2334" s="198"/>
      <c r="L2334" s="38"/>
      <c r="M2334" s="38"/>
      <c r="N2334" s="38"/>
      <c r="O2334" s="38"/>
      <c r="P2334" s="40" t="str" cm="1">
        <f t="array" ref="P2334">IF(N2334="","",IFERROR(_xlfn.XLOOKUP(F2334&amp;"|"&amp;J2334&amp;"|"&amp;O2334,PRICES!$C$2:$C$659&amp;"|"&amp;PRICES!$B$2:$B$659&amp;"|"&amp;PRICES!$D$2:$D$659,PRICES!$E$2:$E$659),"Not Found"))</f>
        <v/>
      </c>
      <c r="Q2334" s="100" t="str">
        <f>IF(N2334=0,"",SUMIFS(PRICES!$G$2:$G$658,PRICES!$B$2:$B$658,'MAIN TABLE-1 AUTOMATED'!J2334,PRICES!$C$2:$C$658,'MAIN TABLE-1 AUTOMATED'!F2334,PRICES!$D$2:$D$658,'MAIN TABLE-1 AUTOMATED'!O2334))</f>
        <v/>
      </c>
      <c r="R2334" s="41" t="str">
        <f>IF(Table1[[#This Row],[QUANTITY]]=0,"",Table1[[#This Row],[UNIT PRICE]]*Table1[[#This Row],[QUANTITY]])</f>
        <v/>
      </c>
      <c r="S2334" s="89"/>
      <c r="T2334" s="38"/>
      <c r="U2334" s="43"/>
      <c r="V2334" s="42" t="str">
        <f>IF(Table1[[#This Row],[DATE]]=0,"",YEAR(E2334))</f>
        <v/>
      </c>
      <c r="W2334" s="40" t="str">
        <f t="shared" si="76"/>
        <v/>
      </c>
      <c r="X2334" s="40" t="str">
        <f t="shared" si="77"/>
        <v/>
      </c>
      <c r="Y2334" s="40" t="str">
        <f>TEXT(Table1[[#This Row],[YEAR]],"0000")&amp;"-"&amp;Table1[[#This Row],[MONTH]]</f>
        <v>-</v>
      </c>
    </row>
    <row r="2335" spans="1:25" ht="15" customHeight="1" x14ac:dyDescent="0.35">
      <c r="A2335" s="24"/>
      <c r="B2335" s="38"/>
      <c r="C2335" s="38"/>
      <c r="D2335" s="38"/>
      <c r="E2335" s="37"/>
      <c r="F2335" s="38"/>
      <c r="G2335" s="198"/>
      <c r="H2335" s="198"/>
      <c r="I2335" s="39"/>
      <c r="J2335" s="38"/>
      <c r="K2335" s="198"/>
      <c r="L2335" s="38"/>
      <c r="M2335" s="38"/>
      <c r="N2335" s="38"/>
      <c r="O2335" s="38"/>
      <c r="P2335" s="40" t="str" cm="1">
        <f t="array" ref="P2335">IF(N2335="","",IFERROR(_xlfn.XLOOKUP(F2335&amp;"|"&amp;J2335&amp;"|"&amp;O2335,PRICES!$C$2:$C$659&amp;"|"&amp;PRICES!$B$2:$B$659&amp;"|"&amp;PRICES!$D$2:$D$659,PRICES!$E$2:$E$659),"Not Found"))</f>
        <v/>
      </c>
      <c r="Q2335" s="100" t="str">
        <f>IF(N2335=0,"",SUMIFS(PRICES!$G$2:$G$658,PRICES!$B$2:$B$658,'MAIN TABLE-1 AUTOMATED'!J2335,PRICES!$C$2:$C$658,'MAIN TABLE-1 AUTOMATED'!F2335,PRICES!$D$2:$D$658,'MAIN TABLE-1 AUTOMATED'!O2335))</f>
        <v/>
      </c>
      <c r="R2335" s="41" t="str">
        <f>IF(Table1[[#This Row],[QUANTITY]]=0,"",Table1[[#This Row],[UNIT PRICE]]*Table1[[#This Row],[QUANTITY]])</f>
        <v/>
      </c>
      <c r="S2335" s="89"/>
      <c r="T2335" s="38"/>
      <c r="U2335" s="43"/>
      <c r="V2335" s="42" t="str">
        <f>IF(Table1[[#This Row],[DATE]]=0,"",YEAR(E2335))</f>
        <v/>
      </c>
      <c r="W2335" s="40" t="str">
        <f t="shared" si="76"/>
        <v/>
      </c>
      <c r="X2335" s="40" t="str">
        <f t="shared" si="77"/>
        <v/>
      </c>
      <c r="Y2335" s="40" t="str">
        <f>TEXT(Table1[[#This Row],[YEAR]],"0000")&amp;"-"&amp;Table1[[#This Row],[MONTH]]</f>
        <v>-</v>
      </c>
    </row>
    <row r="2336" spans="1:25" ht="15" customHeight="1" x14ac:dyDescent="0.35">
      <c r="A2336" s="24"/>
      <c r="B2336" s="38"/>
      <c r="C2336" s="38"/>
      <c r="D2336" s="38"/>
      <c r="E2336" s="37"/>
      <c r="F2336" s="38"/>
      <c r="G2336" s="198"/>
      <c r="H2336" s="198"/>
      <c r="I2336" s="39"/>
      <c r="J2336" s="38"/>
      <c r="K2336" s="198"/>
      <c r="L2336" s="38"/>
      <c r="M2336" s="38"/>
      <c r="N2336" s="38"/>
      <c r="O2336" s="38"/>
      <c r="P2336" s="40" t="str" cm="1">
        <f t="array" ref="P2336">IF(N2336="","",IFERROR(_xlfn.XLOOKUP(F2336&amp;"|"&amp;J2336&amp;"|"&amp;O2336,PRICES!$C$2:$C$659&amp;"|"&amp;PRICES!$B$2:$B$659&amp;"|"&amp;PRICES!$D$2:$D$659,PRICES!$E$2:$E$659),"Not Found"))</f>
        <v/>
      </c>
      <c r="Q2336" s="100" t="str">
        <f>IF(N2336=0,"",SUMIFS(PRICES!$G$2:$G$658,PRICES!$B$2:$B$658,'MAIN TABLE-1 AUTOMATED'!J2336,PRICES!$C$2:$C$658,'MAIN TABLE-1 AUTOMATED'!F2336,PRICES!$D$2:$D$658,'MAIN TABLE-1 AUTOMATED'!O2336))</f>
        <v/>
      </c>
      <c r="R2336" s="41" t="str">
        <f>IF(Table1[[#This Row],[QUANTITY]]=0,"",Table1[[#This Row],[UNIT PRICE]]*Table1[[#This Row],[QUANTITY]])</f>
        <v/>
      </c>
      <c r="S2336" s="89"/>
      <c r="T2336" s="38"/>
      <c r="U2336" s="43"/>
      <c r="V2336" s="42" t="str">
        <f>IF(Table1[[#This Row],[DATE]]=0,"",YEAR(E2336))</f>
        <v/>
      </c>
      <c r="W2336" s="40" t="str">
        <f t="shared" si="76"/>
        <v/>
      </c>
      <c r="X2336" s="40" t="str">
        <f t="shared" si="77"/>
        <v/>
      </c>
      <c r="Y2336" s="40" t="str">
        <f>TEXT(Table1[[#This Row],[YEAR]],"0000")&amp;"-"&amp;Table1[[#This Row],[MONTH]]</f>
        <v>-</v>
      </c>
    </row>
    <row r="2337" spans="1:25" ht="15" customHeight="1" x14ac:dyDescent="0.35">
      <c r="A2337" s="24"/>
      <c r="B2337" s="38"/>
      <c r="C2337" s="38"/>
      <c r="D2337" s="38"/>
      <c r="E2337" s="37"/>
      <c r="F2337" s="38"/>
      <c r="G2337" s="198"/>
      <c r="H2337" s="198"/>
      <c r="I2337" s="39"/>
      <c r="J2337" s="38"/>
      <c r="K2337" s="198"/>
      <c r="L2337" s="38"/>
      <c r="M2337" s="38"/>
      <c r="N2337" s="38"/>
      <c r="O2337" s="38"/>
      <c r="P2337" s="40" t="str" cm="1">
        <f t="array" ref="P2337">IF(N2337="","",IFERROR(_xlfn.XLOOKUP(F2337&amp;"|"&amp;J2337&amp;"|"&amp;O2337,PRICES!$C$2:$C$659&amp;"|"&amp;PRICES!$B$2:$B$659&amp;"|"&amp;PRICES!$D$2:$D$659,PRICES!$E$2:$E$659),"Not Found"))</f>
        <v/>
      </c>
      <c r="Q2337" s="100" t="str">
        <f>IF(N2337=0,"",SUMIFS(PRICES!$G$2:$G$658,PRICES!$B$2:$B$658,'MAIN TABLE-1 AUTOMATED'!J2337,PRICES!$C$2:$C$658,'MAIN TABLE-1 AUTOMATED'!F2337,PRICES!$D$2:$D$658,'MAIN TABLE-1 AUTOMATED'!O2337))</f>
        <v/>
      </c>
      <c r="R2337" s="41" t="str">
        <f>IF(Table1[[#This Row],[QUANTITY]]=0,"",Table1[[#This Row],[UNIT PRICE]]*Table1[[#This Row],[QUANTITY]])</f>
        <v/>
      </c>
      <c r="S2337" s="89"/>
      <c r="T2337" s="38"/>
      <c r="U2337" s="43"/>
      <c r="V2337" s="42" t="str">
        <f>IF(Table1[[#This Row],[DATE]]=0,"",YEAR(E2337))</f>
        <v/>
      </c>
      <c r="W2337" s="40" t="str">
        <f t="shared" si="76"/>
        <v/>
      </c>
      <c r="X2337" s="40" t="str">
        <f t="shared" si="77"/>
        <v/>
      </c>
      <c r="Y2337" s="40" t="str">
        <f>TEXT(Table1[[#This Row],[YEAR]],"0000")&amp;"-"&amp;Table1[[#This Row],[MONTH]]</f>
        <v>-</v>
      </c>
    </row>
    <row r="2338" spans="1:25" ht="15" customHeight="1" x14ac:dyDescent="0.35">
      <c r="A2338" s="24"/>
      <c r="B2338" s="38"/>
      <c r="C2338" s="38"/>
      <c r="D2338" s="38"/>
      <c r="E2338" s="37"/>
      <c r="F2338" s="38"/>
      <c r="G2338" s="198"/>
      <c r="H2338" s="198"/>
      <c r="I2338" s="39"/>
      <c r="J2338" s="38"/>
      <c r="K2338" s="198"/>
      <c r="L2338" s="38"/>
      <c r="M2338" s="38"/>
      <c r="N2338" s="38"/>
      <c r="O2338" s="38"/>
      <c r="P2338" s="40" t="str" cm="1">
        <f t="array" ref="P2338">IF(N2338="","",IFERROR(_xlfn.XLOOKUP(F2338&amp;"|"&amp;J2338&amp;"|"&amp;O2338,PRICES!$C$2:$C$659&amp;"|"&amp;PRICES!$B$2:$B$659&amp;"|"&amp;PRICES!$D$2:$D$659,PRICES!$E$2:$E$659),"Not Found"))</f>
        <v/>
      </c>
      <c r="Q2338" s="100" t="str">
        <f>IF(N2338=0,"",SUMIFS(PRICES!$G$2:$G$658,PRICES!$B$2:$B$658,'MAIN TABLE-1 AUTOMATED'!J2338,PRICES!$C$2:$C$658,'MAIN TABLE-1 AUTOMATED'!F2338,PRICES!$D$2:$D$658,'MAIN TABLE-1 AUTOMATED'!O2338))</f>
        <v/>
      </c>
      <c r="R2338" s="41" t="str">
        <f>IF(Table1[[#This Row],[QUANTITY]]=0,"",Table1[[#This Row],[UNIT PRICE]]*Table1[[#This Row],[QUANTITY]])</f>
        <v/>
      </c>
      <c r="S2338" s="89"/>
      <c r="T2338" s="38"/>
      <c r="U2338" s="43"/>
      <c r="V2338" s="42" t="str">
        <f>IF(Table1[[#This Row],[DATE]]=0,"",YEAR(E2338))</f>
        <v/>
      </c>
      <c r="W2338" s="40" t="str">
        <f t="shared" si="76"/>
        <v/>
      </c>
      <c r="X2338" s="40" t="str">
        <f t="shared" si="77"/>
        <v/>
      </c>
      <c r="Y2338" s="40" t="str">
        <f>TEXT(Table1[[#This Row],[YEAR]],"0000")&amp;"-"&amp;Table1[[#This Row],[MONTH]]</f>
        <v>-</v>
      </c>
    </row>
    <row r="2339" spans="1:25" ht="15" customHeight="1" x14ac:dyDescent="0.35">
      <c r="A2339" s="24"/>
      <c r="B2339" s="38"/>
      <c r="C2339" s="38"/>
      <c r="D2339" s="38"/>
      <c r="E2339" s="37"/>
      <c r="F2339" s="38"/>
      <c r="G2339" s="198"/>
      <c r="H2339" s="198"/>
      <c r="I2339" s="39"/>
      <c r="J2339" s="38"/>
      <c r="K2339" s="198"/>
      <c r="L2339" s="38"/>
      <c r="M2339" s="38"/>
      <c r="N2339" s="38"/>
      <c r="O2339" s="38"/>
      <c r="P2339" s="40" t="str" cm="1">
        <f t="array" ref="P2339">IF(N2339="","",IFERROR(_xlfn.XLOOKUP(F2339&amp;"|"&amp;J2339&amp;"|"&amp;O2339,PRICES!$C$2:$C$659&amp;"|"&amp;PRICES!$B$2:$B$659&amp;"|"&amp;PRICES!$D$2:$D$659,PRICES!$E$2:$E$659),"Not Found"))</f>
        <v/>
      </c>
      <c r="Q2339" s="100" t="str">
        <f>IF(N2339=0,"",SUMIFS(PRICES!$G$2:$G$658,PRICES!$B$2:$B$658,'MAIN TABLE-1 AUTOMATED'!J2339,PRICES!$C$2:$C$658,'MAIN TABLE-1 AUTOMATED'!F2339,PRICES!$D$2:$D$658,'MAIN TABLE-1 AUTOMATED'!O2339))</f>
        <v/>
      </c>
      <c r="R2339" s="41" t="str">
        <f>IF(Table1[[#This Row],[QUANTITY]]=0,"",Table1[[#This Row],[UNIT PRICE]]*Table1[[#This Row],[QUANTITY]])</f>
        <v/>
      </c>
      <c r="S2339" s="89"/>
      <c r="T2339" s="38"/>
      <c r="U2339" s="43"/>
      <c r="V2339" s="42" t="str">
        <f>IF(Table1[[#This Row],[DATE]]=0,"",YEAR(E2339))</f>
        <v/>
      </c>
      <c r="W2339" s="40" t="str">
        <f t="shared" si="76"/>
        <v/>
      </c>
      <c r="X2339" s="40" t="str">
        <f t="shared" si="77"/>
        <v/>
      </c>
      <c r="Y2339" s="40" t="str">
        <f>TEXT(Table1[[#This Row],[YEAR]],"0000")&amp;"-"&amp;Table1[[#This Row],[MONTH]]</f>
        <v>-</v>
      </c>
    </row>
    <row r="2340" spans="1:25" ht="15" customHeight="1" x14ac:dyDescent="0.35">
      <c r="A2340" s="24"/>
      <c r="B2340" s="38"/>
      <c r="C2340" s="38"/>
      <c r="D2340" s="38"/>
      <c r="E2340" s="37"/>
      <c r="F2340" s="38"/>
      <c r="G2340" s="198"/>
      <c r="H2340" s="198"/>
      <c r="I2340" s="39"/>
      <c r="J2340" s="38"/>
      <c r="K2340" s="198"/>
      <c r="L2340" s="38"/>
      <c r="M2340" s="38"/>
      <c r="N2340" s="38"/>
      <c r="O2340" s="38"/>
      <c r="P2340" s="40" t="str" cm="1">
        <f t="array" ref="P2340">IF(N2340="","",IFERROR(_xlfn.XLOOKUP(F2340&amp;"|"&amp;J2340&amp;"|"&amp;O2340,PRICES!$C$2:$C$659&amp;"|"&amp;PRICES!$B$2:$B$659&amp;"|"&amp;PRICES!$D$2:$D$659,PRICES!$E$2:$E$659),"Not Found"))</f>
        <v/>
      </c>
      <c r="Q2340" s="100" t="str">
        <f>IF(N2340=0,"",SUMIFS(PRICES!$G$2:$G$658,PRICES!$B$2:$B$658,'MAIN TABLE-1 AUTOMATED'!J2340,PRICES!$C$2:$C$658,'MAIN TABLE-1 AUTOMATED'!F2340,PRICES!$D$2:$D$658,'MAIN TABLE-1 AUTOMATED'!O2340))</f>
        <v/>
      </c>
      <c r="R2340" s="41" t="str">
        <f>IF(Table1[[#This Row],[QUANTITY]]=0,"",Table1[[#This Row],[UNIT PRICE]]*Table1[[#This Row],[QUANTITY]])</f>
        <v/>
      </c>
      <c r="S2340" s="89"/>
      <c r="T2340" s="38"/>
      <c r="U2340" s="43"/>
      <c r="V2340" s="42" t="str">
        <f>IF(Table1[[#This Row],[DATE]]=0,"",YEAR(E2340))</f>
        <v/>
      </c>
      <c r="W2340" s="40" t="str">
        <f t="shared" si="76"/>
        <v/>
      </c>
      <c r="X2340" s="40" t="str">
        <f t="shared" si="77"/>
        <v/>
      </c>
      <c r="Y2340" s="40" t="str">
        <f>TEXT(Table1[[#This Row],[YEAR]],"0000")&amp;"-"&amp;Table1[[#This Row],[MONTH]]</f>
        <v>-</v>
      </c>
    </row>
    <row r="2341" spans="1:25" ht="15" customHeight="1" x14ac:dyDescent="0.35">
      <c r="A2341" s="24"/>
      <c r="B2341" s="38"/>
      <c r="C2341" s="38"/>
      <c r="D2341" s="38"/>
      <c r="E2341" s="37"/>
      <c r="F2341" s="38"/>
      <c r="G2341" s="198"/>
      <c r="H2341" s="198"/>
      <c r="I2341" s="39"/>
      <c r="J2341" s="38"/>
      <c r="K2341" s="198"/>
      <c r="L2341" s="38"/>
      <c r="M2341" s="38"/>
      <c r="N2341" s="38"/>
      <c r="O2341" s="38"/>
      <c r="P2341" s="40" t="str" cm="1">
        <f t="array" ref="P2341">IF(N2341="","",IFERROR(_xlfn.XLOOKUP(F2341&amp;"|"&amp;J2341&amp;"|"&amp;O2341,PRICES!$C$2:$C$659&amp;"|"&amp;PRICES!$B$2:$B$659&amp;"|"&amp;PRICES!$D$2:$D$659,PRICES!$E$2:$E$659),"Not Found"))</f>
        <v/>
      </c>
      <c r="Q2341" s="100" t="str">
        <f>IF(N2341=0,"",SUMIFS(PRICES!$G$2:$G$658,PRICES!$B$2:$B$658,'MAIN TABLE-1 AUTOMATED'!J2341,PRICES!$C$2:$C$658,'MAIN TABLE-1 AUTOMATED'!F2341,PRICES!$D$2:$D$658,'MAIN TABLE-1 AUTOMATED'!O2341))</f>
        <v/>
      </c>
      <c r="R2341" s="41" t="str">
        <f>IF(Table1[[#This Row],[QUANTITY]]=0,"",Table1[[#This Row],[UNIT PRICE]]*Table1[[#This Row],[QUANTITY]])</f>
        <v/>
      </c>
      <c r="S2341" s="89"/>
      <c r="T2341" s="38"/>
      <c r="U2341" s="43"/>
      <c r="V2341" s="42" t="str">
        <f>IF(Table1[[#This Row],[DATE]]=0,"",YEAR(E2341))</f>
        <v/>
      </c>
      <c r="W2341" s="40" t="str">
        <f t="shared" si="76"/>
        <v/>
      </c>
      <c r="X2341" s="40" t="str">
        <f t="shared" si="77"/>
        <v/>
      </c>
      <c r="Y2341" s="40" t="str">
        <f>TEXT(Table1[[#This Row],[YEAR]],"0000")&amp;"-"&amp;Table1[[#This Row],[MONTH]]</f>
        <v>-</v>
      </c>
    </row>
    <row r="2342" spans="1:25" ht="15" customHeight="1" x14ac:dyDescent="0.35">
      <c r="A2342" s="24"/>
      <c r="B2342" s="38"/>
      <c r="C2342" s="38"/>
      <c r="D2342" s="38"/>
      <c r="E2342" s="37"/>
      <c r="F2342" s="38"/>
      <c r="G2342" s="198"/>
      <c r="H2342" s="198"/>
      <c r="I2342" s="39"/>
      <c r="J2342" s="38"/>
      <c r="K2342" s="198"/>
      <c r="L2342" s="38"/>
      <c r="M2342" s="38"/>
      <c r="N2342" s="38"/>
      <c r="O2342" s="38"/>
      <c r="P2342" s="40" t="str" cm="1">
        <f t="array" ref="P2342">IF(N2342="","",IFERROR(_xlfn.XLOOKUP(F2342&amp;"|"&amp;J2342&amp;"|"&amp;O2342,PRICES!$C$2:$C$659&amp;"|"&amp;PRICES!$B$2:$B$659&amp;"|"&amp;PRICES!$D$2:$D$659,PRICES!$E$2:$E$659),"Not Found"))</f>
        <v/>
      </c>
      <c r="Q2342" s="100" t="str">
        <f>IF(N2342=0,"",SUMIFS(PRICES!$G$2:$G$658,PRICES!$B$2:$B$658,'MAIN TABLE-1 AUTOMATED'!J2342,PRICES!$C$2:$C$658,'MAIN TABLE-1 AUTOMATED'!F2342,PRICES!$D$2:$D$658,'MAIN TABLE-1 AUTOMATED'!O2342))</f>
        <v/>
      </c>
      <c r="R2342" s="41" t="str">
        <f>IF(Table1[[#This Row],[QUANTITY]]=0,"",Table1[[#This Row],[UNIT PRICE]]*Table1[[#This Row],[QUANTITY]])</f>
        <v/>
      </c>
      <c r="S2342" s="89"/>
      <c r="T2342" s="38"/>
      <c r="U2342" s="43"/>
      <c r="V2342" s="42" t="str">
        <f>IF(Table1[[#This Row],[DATE]]=0,"",YEAR(E2342))</f>
        <v/>
      </c>
      <c r="W2342" s="40" t="str">
        <f t="shared" si="76"/>
        <v/>
      </c>
      <c r="X2342" s="40" t="str">
        <f t="shared" si="77"/>
        <v/>
      </c>
      <c r="Y2342" s="40" t="str">
        <f>TEXT(Table1[[#This Row],[YEAR]],"0000")&amp;"-"&amp;Table1[[#This Row],[MONTH]]</f>
        <v>-</v>
      </c>
    </row>
    <row r="2343" spans="1:25" ht="15" customHeight="1" x14ac:dyDescent="0.35">
      <c r="A2343" s="24"/>
      <c r="B2343" s="38"/>
      <c r="C2343" s="38"/>
      <c r="D2343" s="38"/>
      <c r="E2343" s="37"/>
      <c r="F2343" s="38"/>
      <c r="G2343" s="198"/>
      <c r="H2343" s="198"/>
      <c r="I2343" s="39"/>
      <c r="J2343" s="38"/>
      <c r="K2343" s="198"/>
      <c r="L2343" s="38"/>
      <c r="M2343" s="38"/>
      <c r="N2343" s="38"/>
      <c r="O2343" s="38"/>
      <c r="P2343" s="40" t="str" cm="1">
        <f t="array" ref="P2343">IF(N2343="","",IFERROR(_xlfn.XLOOKUP(F2343&amp;"|"&amp;J2343&amp;"|"&amp;O2343,PRICES!$C$2:$C$659&amp;"|"&amp;PRICES!$B$2:$B$659&amp;"|"&amp;PRICES!$D$2:$D$659,PRICES!$E$2:$E$659),"Not Found"))</f>
        <v/>
      </c>
      <c r="Q2343" s="100" t="str">
        <f>IF(N2343=0,"",SUMIFS(PRICES!$G$2:$G$658,PRICES!$B$2:$B$658,'MAIN TABLE-1 AUTOMATED'!J2343,PRICES!$C$2:$C$658,'MAIN TABLE-1 AUTOMATED'!F2343,PRICES!$D$2:$D$658,'MAIN TABLE-1 AUTOMATED'!O2343))</f>
        <v/>
      </c>
      <c r="R2343" s="41" t="str">
        <f>IF(Table1[[#This Row],[QUANTITY]]=0,"",Table1[[#This Row],[UNIT PRICE]]*Table1[[#This Row],[QUANTITY]])</f>
        <v/>
      </c>
      <c r="S2343" s="89"/>
      <c r="T2343" s="38"/>
      <c r="U2343" s="43"/>
      <c r="V2343" s="42" t="str">
        <f>IF(Table1[[#This Row],[DATE]]=0,"",YEAR(E2343))</f>
        <v/>
      </c>
      <c r="W2343" s="40" t="str">
        <f t="shared" si="76"/>
        <v/>
      </c>
      <c r="X2343" s="40" t="str">
        <f t="shared" si="77"/>
        <v/>
      </c>
      <c r="Y2343" s="40" t="str">
        <f>TEXT(Table1[[#This Row],[YEAR]],"0000")&amp;"-"&amp;Table1[[#This Row],[MONTH]]</f>
        <v>-</v>
      </c>
    </row>
    <row r="2344" spans="1:25" ht="15" customHeight="1" x14ac:dyDescent="0.35">
      <c r="A2344" s="24"/>
      <c r="B2344" s="38"/>
      <c r="C2344" s="38"/>
      <c r="D2344" s="38"/>
      <c r="E2344" s="37"/>
      <c r="F2344" s="38"/>
      <c r="G2344" s="198"/>
      <c r="H2344" s="198"/>
      <c r="I2344" s="39"/>
      <c r="J2344" s="38"/>
      <c r="K2344" s="198"/>
      <c r="L2344" s="38"/>
      <c r="M2344" s="38"/>
      <c r="N2344" s="38"/>
      <c r="O2344" s="38"/>
      <c r="P2344" s="40" t="str" cm="1">
        <f t="array" ref="P2344">IF(N2344="","",IFERROR(_xlfn.XLOOKUP(F2344&amp;"|"&amp;J2344&amp;"|"&amp;O2344,PRICES!$C$2:$C$659&amp;"|"&amp;PRICES!$B$2:$B$659&amp;"|"&amp;PRICES!$D$2:$D$659,PRICES!$E$2:$E$659),"Not Found"))</f>
        <v/>
      </c>
      <c r="Q2344" s="100" t="str">
        <f>IF(N2344=0,"",SUMIFS(PRICES!$G$2:$G$658,PRICES!$B$2:$B$658,'MAIN TABLE-1 AUTOMATED'!J2344,PRICES!$C$2:$C$658,'MAIN TABLE-1 AUTOMATED'!F2344,PRICES!$D$2:$D$658,'MAIN TABLE-1 AUTOMATED'!O2344))</f>
        <v/>
      </c>
      <c r="R2344" s="41" t="str">
        <f>IF(Table1[[#This Row],[QUANTITY]]=0,"",Table1[[#This Row],[UNIT PRICE]]*Table1[[#This Row],[QUANTITY]])</f>
        <v/>
      </c>
      <c r="S2344" s="89"/>
      <c r="T2344" s="38"/>
      <c r="U2344" s="43"/>
      <c r="V2344" s="42" t="str">
        <f>IF(Table1[[#This Row],[DATE]]=0,"",YEAR(E2344))</f>
        <v/>
      </c>
      <c r="W2344" s="40" t="str">
        <f t="shared" si="76"/>
        <v/>
      </c>
      <c r="X2344" s="40" t="str">
        <f t="shared" si="77"/>
        <v/>
      </c>
      <c r="Y2344" s="40" t="str">
        <f>TEXT(Table1[[#This Row],[YEAR]],"0000")&amp;"-"&amp;Table1[[#This Row],[MONTH]]</f>
        <v>-</v>
      </c>
    </row>
    <row r="2345" spans="1:25" ht="15" customHeight="1" x14ac:dyDescent="0.35">
      <c r="A2345" s="24"/>
      <c r="B2345" s="38"/>
      <c r="C2345" s="38"/>
      <c r="D2345" s="38"/>
      <c r="E2345" s="37"/>
      <c r="F2345" s="38"/>
      <c r="G2345" s="198"/>
      <c r="H2345" s="198"/>
      <c r="I2345" s="39"/>
      <c r="J2345" s="38"/>
      <c r="K2345" s="198"/>
      <c r="L2345" s="38"/>
      <c r="M2345" s="38"/>
      <c r="N2345" s="38"/>
      <c r="O2345" s="38"/>
      <c r="P2345" s="40" t="str" cm="1">
        <f t="array" ref="P2345">IF(N2345="","",IFERROR(_xlfn.XLOOKUP(F2345&amp;"|"&amp;J2345&amp;"|"&amp;O2345,PRICES!$C$2:$C$659&amp;"|"&amp;PRICES!$B$2:$B$659&amp;"|"&amp;PRICES!$D$2:$D$659,PRICES!$E$2:$E$659),"Not Found"))</f>
        <v/>
      </c>
      <c r="Q2345" s="100" t="str">
        <f>IF(N2345=0,"",SUMIFS(PRICES!$G$2:$G$658,PRICES!$B$2:$B$658,'MAIN TABLE-1 AUTOMATED'!J2345,PRICES!$C$2:$C$658,'MAIN TABLE-1 AUTOMATED'!F2345,PRICES!$D$2:$D$658,'MAIN TABLE-1 AUTOMATED'!O2345))</f>
        <v/>
      </c>
      <c r="R2345" s="41" t="str">
        <f>IF(Table1[[#This Row],[QUANTITY]]=0,"",Table1[[#This Row],[UNIT PRICE]]*Table1[[#This Row],[QUANTITY]])</f>
        <v/>
      </c>
      <c r="S2345" s="89"/>
      <c r="T2345" s="38"/>
      <c r="U2345" s="43"/>
      <c r="V2345" s="42" t="str">
        <f>IF(Table1[[#This Row],[DATE]]=0,"",YEAR(E2345))</f>
        <v/>
      </c>
      <c r="W2345" s="40" t="str">
        <f t="shared" si="76"/>
        <v/>
      </c>
      <c r="X2345" s="40" t="str">
        <f t="shared" si="77"/>
        <v/>
      </c>
      <c r="Y2345" s="40" t="str">
        <f>TEXT(Table1[[#This Row],[YEAR]],"0000")&amp;"-"&amp;Table1[[#This Row],[MONTH]]</f>
        <v>-</v>
      </c>
    </row>
    <row r="2346" spans="1:25" ht="15" customHeight="1" x14ac:dyDescent="0.35">
      <c r="A2346" s="24"/>
      <c r="B2346" s="38"/>
      <c r="C2346" s="38"/>
      <c r="D2346" s="38"/>
      <c r="E2346" s="37"/>
      <c r="F2346" s="38"/>
      <c r="G2346" s="198"/>
      <c r="H2346" s="198"/>
      <c r="I2346" s="39"/>
      <c r="J2346" s="38"/>
      <c r="K2346" s="198"/>
      <c r="L2346" s="38"/>
      <c r="M2346" s="38"/>
      <c r="N2346" s="38"/>
      <c r="O2346" s="38"/>
      <c r="P2346" s="40" t="str" cm="1">
        <f t="array" ref="P2346">IF(N2346="","",IFERROR(_xlfn.XLOOKUP(F2346&amp;"|"&amp;J2346&amp;"|"&amp;O2346,PRICES!$C$2:$C$659&amp;"|"&amp;PRICES!$B$2:$B$659&amp;"|"&amp;PRICES!$D$2:$D$659,PRICES!$E$2:$E$659),"Not Found"))</f>
        <v/>
      </c>
      <c r="Q2346" s="100" t="str">
        <f>IF(N2346=0,"",SUMIFS(PRICES!$G$2:$G$658,PRICES!$B$2:$B$658,'MAIN TABLE-1 AUTOMATED'!J2346,PRICES!$C$2:$C$658,'MAIN TABLE-1 AUTOMATED'!F2346,PRICES!$D$2:$D$658,'MAIN TABLE-1 AUTOMATED'!O2346))</f>
        <v/>
      </c>
      <c r="R2346" s="41" t="str">
        <f>IF(Table1[[#This Row],[QUANTITY]]=0,"",Table1[[#This Row],[UNIT PRICE]]*Table1[[#This Row],[QUANTITY]])</f>
        <v/>
      </c>
      <c r="S2346" s="89"/>
      <c r="T2346" s="38"/>
      <c r="U2346" s="43"/>
      <c r="V2346" s="42" t="str">
        <f>IF(Table1[[#This Row],[DATE]]=0,"",YEAR(E2346))</f>
        <v/>
      </c>
      <c r="W2346" s="40" t="str">
        <f t="shared" si="76"/>
        <v/>
      </c>
      <c r="X2346" s="40" t="str">
        <f t="shared" si="77"/>
        <v/>
      </c>
      <c r="Y2346" s="40" t="str">
        <f>TEXT(Table1[[#This Row],[YEAR]],"0000")&amp;"-"&amp;Table1[[#This Row],[MONTH]]</f>
        <v>-</v>
      </c>
    </row>
    <row r="2347" spans="1:25" ht="15" customHeight="1" x14ac:dyDescent="0.35">
      <c r="A2347" s="24"/>
      <c r="B2347" s="38"/>
      <c r="C2347" s="38"/>
      <c r="D2347" s="38"/>
      <c r="E2347" s="37"/>
      <c r="F2347" s="38"/>
      <c r="G2347" s="198"/>
      <c r="H2347" s="198"/>
      <c r="I2347" s="39"/>
      <c r="J2347" s="38"/>
      <c r="K2347" s="198"/>
      <c r="L2347" s="38"/>
      <c r="M2347" s="38"/>
      <c r="N2347" s="38"/>
      <c r="O2347" s="38"/>
      <c r="P2347" s="40" t="str" cm="1">
        <f t="array" ref="P2347">IF(N2347="","",IFERROR(_xlfn.XLOOKUP(F2347&amp;"|"&amp;J2347&amp;"|"&amp;O2347,PRICES!$C$2:$C$659&amp;"|"&amp;PRICES!$B$2:$B$659&amp;"|"&amp;PRICES!$D$2:$D$659,PRICES!$E$2:$E$659),"Not Found"))</f>
        <v/>
      </c>
      <c r="Q2347" s="100" t="str">
        <f>IF(N2347=0,"",SUMIFS(PRICES!$G$2:$G$658,PRICES!$B$2:$B$658,'MAIN TABLE-1 AUTOMATED'!J2347,PRICES!$C$2:$C$658,'MAIN TABLE-1 AUTOMATED'!F2347,PRICES!$D$2:$D$658,'MAIN TABLE-1 AUTOMATED'!O2347))</f>
        <v/>
      </c>
      <c r="R2347" s="41" t="str">
        <f>IF(Table1[[#This Row],[QUANTITY]]=0,"",Table1[[#This Row],[UNIT PRICE]]*Table1[[#This Row],[QUANTITY]])</f>
        <v/>
      </c>
      <c r="S2347" s="89"/>
      <c r="T2347" s="38"/>
      <c r="U2347" s="43"/>
      <c r="V2347" s="42" t="str">
        <f>IF(Table1[[#This Row],[DATE]]=0,"",YEAR(E2347))</f>
        <v/>
      </c>
      <c r="W2347" s="40" t="str">
        <f t="shared" si="76"/>
        <v/>
      </c>
      <c r="X2347" s="40" t="str">
        <f t="shared" si="77"/>
        <v/>
      </c>
      <c r="Y2347" s="40" t="str">
        <f>TEXT(Table1[[#This Row],[YEAR]],"0000")&amp;"-"&amp;Table1[[#This Row],[MONTH]]</f>
        <v>-</v>
      </c>
    </row>
    <row r="2348" spans="1:25" ht="15" customHeight="1" x14ac:dyDescent="0.35">
      <c r="A2348" s="24"/>
      <c r="B2348" s="38"/>
      <c r="C2348" s="38"/>
      <c r="D2348" s="38"/>
      <c r="E2348" s="37"/>
      <c r="F2348" s="38"/>
      <c r="G2348" s="198"/>
      <c r="H2348" s="198"/>
      <c r="I2348" s="39"/>
      <c r="J2348" s="38"/>
      <c r="K2348" s="198"/>
      <c r="L2348" s="38"/>
      <c r="M2348" s="38"/>
      <c r="N2348" s="38"/>
      <c r="O2348" s="38"/>
      <c r="P2348" s="40" t="str" cm="1">
        <f t="array" ref="P2348">IF(N2348="","",IFERROR(_xlfn.XLOOKUP(F2348&amp;"|"&amp;J2348&amp;"|"&amp;O2348,PRICES!$C$2:$C$659&amp;"|"&amp;PRICES!$B$2:$B$659&amp;"|"&amp;PRICES!$D$2:$D$659,PRICES!$E$2:$E$659),"Not Found"))</f>
        <v/>
      </c>
      <c r="Q2348" s="100" t="str">
        <f>IF(N2348=0,"",SUMIFS(PRICES!$G$2:$G$658,PRICES!$B$2:$B$658,'MAIN TABLE-1 AUTOMATED'!J2348,PRICES!$C$2:$C$658,'MAIN TABLE-1 AUTOMATED'!F2348,PRICES!$D$2:$D$658,'MAIN TABLE-1 AUTOMATED'!O2348))</f>
        <v/>
      </c>
      <c r="R2348" s="41" t="str">
        <f>IF(Table1[[#This Row],[QUANTITY]]=0,"",Table1[[#This Row],[UNIT PRICE]]*Table1[[#This Row],[QUANTITY]])</f>
        <v/>
      </c>
      <c r="S2348" s="89"/>
      <c r="T2348" s="38"/>
      <c r="U2348" s="43"/>
      <c r="V2348" s="42" t="str">
        <f>IF(Table1[[#This Row],[DATE]]=0,"",YEAR(E2348))</f>
        <v/>
      </c>
      <c r="W2348" s="40" t="str">
        <f t="shared" si="76"/>
        <v/>
      </c>
      <c r="X2348" s="40" t="str">
        <f t="shared" si="77"/>
        <v/>
      </c>
      <c r="Y2348" s="40" t="str">
        <f>TEXT(Table1[[#This Row],[YEAR]],"0000")&amp;"-"&amp;Table1[[#This Row],[MONTH]]</f>
        <v>-</v>
      </c>
    </row>
    <row r="2349" spans="1:25" ht="15" customHeight="1" x14ac:dyDescent="0.35">
      <c r="A2349" s="24"/>
      <c r="B2349" s="38"/>
      <c r="C2349" s="38"/>
      <c r="D2349" s="38"/>
      <c r="E2349" s="37"/>
      <c r="F2349" s="38"/>
      <c r="G2349" s="198"/>
      <c r="H2349" s="198"/>
      <c r="I2349" s="39"/>
      <c r="J2349" s="38"/>
      <c r="K2349" s="198"/>
      <c r="L2349" s="38"/>
      <c r="M2349" s="38"/>
      <c r="N2349" s="38"/>
      <c r="O2349" s="38"/>
      <c r="P2349" s="40" t="str" cm="1">
        <f t="array" ref="P2349">IF(N2349="","",IFERROR(_xlfn.XLOOKUP(F2349&amp;"|"&amp;J2349&amp;"|"&amp;O2349,PRICES!$C$2:$C$659&amp;"|"&amp;PRICES!$B$2:$B$659&amp;"|"&amp;PRICES!$D$2:$D$659,PRICES!$E$2:$E$659),"Not Found"))</f>
        <v/>
      </c>
      <c r="Q2349" s="100" t="str">
        <f>IF(N2349=0,"",SUMIFS(PRICES!$G$2:$G$658,PRICES!$B$2:$B$658,'MAIN TABLE-1 AUTOMATED'!J2349,PRICES!$C$2:$C$658,'MAIN TABLE-1 AUTOMATED'!F2349,PRICES!$D$2:$D$658,'MAIN TABLE-1 AUTOMATED'!O2349))</f>
        <v/>
      </c>
      <c r="R2349" s="41" t="str">
        <f>IF(Table1[[#This Row],[QUANTITY]]=0,"",Table1[[#This Row],[UNIT PRICE]]*Table1[[#This Row],[QUANTITY]])</f>
        <v/>
      </c>
      <c r="S2349" s="89"/>
      <c r="T2349" s="38"/>
      <c r="U2349" s="43"/>
      <c r="V2349" s="42" t="str">
        <f>IF(Table1[[#This Row],[DATE]]=0,"",YEAR(E2349))</f>
        <v/>
      </c>
      <c r="W2349" s="40" t="str">
        <f t="shared" si="76"/>
        <v/>
      </c>
      <c r="X2349" s="40" t="str">
        <f t="shared" si="77"/>
        <v/>
      </c>
      <c r="Y2349" s="40" t="str">
        <f>TEXT(Table1[[#This Row],[YEAR]],"0000")&amp;"-"&amp;Table1[[#This Row],[MONTH]]</f>
        <v>-</v>
      </c>
    </row>
    <row r="2350" spans="1:25" ht="15" customHeight="1" x14ac:dyDescent="0.35">
      <c r="A2350" s="24"/>
      <c r="B2350" s="38"/>
      <c r="C2350" s="38"/>
      <c r="D2350" s="38"/>
      <c r="E2350" s="37"/>
      <c r="F2350" s="38"/>
      <c r="G2350" s="198"/>
      <c r="H2350" s="198"/>
      <c r="I2350" s="39"/>
      <c r="J2350" s="38"/>
      <c r="K2350" s="198"/>
      <c r="L2350" s="38"/>
      <c r="M2350" s="38"/>
      <c r="N2350" s="38"/>
      <c r="O2350" s="38"/>
      <c r="P2350" s="40" t="str" cm="1">
        <f t="array" ref="P2350">IF(N2350="","",IFERROR(_xlfn.XLOOKUP(F2350&amp;"|"&amp;J2350&amp;"|"&amp;O2350,PRICES!$C$2:$C$659&amp;"|"&amp;PRICES!$B$2:$B$659&amp;"|"&amp;PRICES!$D$2:$D$659,PRICES!$E$2:$E$659),"Not Found"))</f>
        <v/>
      </c>
      <c r="Q2350" s="100" t="str">
        <f>IF(N2350=0,"",SUMIFS(PRICES!$G$2:$G$658,PRICES!$B$2:$B$658,'MAIN TABLE-1 AUTOMATED'!J2350,PRICES!$C$2:$C$658,'MAIN TABLE-1 AUTOMATED'!F2350,PRICES!$D$2:$D$658,'MAIN TABLE-1 AUTOMATED'!O2350))</f>
        <v/>
      </c>
      <c r="R2350" s="41" t="str">
        <f>IF(Table1[[#This Row],[QUANTITY]]=0,"",Table1[[#This Row],[UNIT PRICE]]*Table1[[#This Row],[QUANTITY]])</f>
        <v/>
      </c>
      <c r="S2350" s="89"/>
      <c r="T2350" s="38"/>
      <c r="U2350" s="43"/>
      <c r="V2350" s="42" t="str">
        <f>IF(Table1[[#This Row],[DATE]]=0,"",YEAR(E2350))</f>
        <v/>
      </c>
      <c r="W2350" s="40" t="str">
        <f t="shared" si="76"/>
        <v/>
      </c>
      <c r="X2350" s="40" t="str">
        <f t="shared" si="77"/>
        <v/>
      </c>
      <c r="Y2350" s="40" t="str">
        <f>TEXT(Table1[[#This Row],[YEAR]],"0000")&amp;"-"&amp;Table1[[#This Row],[MONTH]]</f>
        <v>-</v>
      </c>
    </row>
    <row r="2351" spans="1:25" ht="15" customHeight="1" x14ac:dyDescent="0.35">
      <c r="A2351" s="24"/>
      <c r="B2351" s="38"/>
      <c r="C2351" s="38"/>
      <c r="D2351" s="38"/>
      <c r="E2351" s="37"/>
      <c r="F2351" s="38"/>
      <c r="G2351" s="198"/>
      <c r="H2351" s="198"/>
      <c r="I2351" s="39"/>
      <c r="J2351" s="38"/>
      <c r="K2351" s="198"/>
      <c r="L2351" s="38"/>
      <c r="M2351" s="38"/>
      <c r="N2351" s="38"/>
      <c r="O2351" s="38"/>
      <c r="P2351" s="40" t="str" cm="1">
        <f t="array" ref="P2351">IF(N2351="","",IFERROR(_xlfn.XLOOKUP(F2351&amp;"|"&amp;J2351&amp;"|"&amp;O2351,PRICES!$C$2:$C$659&amp;"|"&amp;PRICES!$B$2:$B$659&amp;"|"&amp;PRICES!$D$2:$D$659,PRICES!$E$2:$E$659),"Not Found"))</f>
        <v/>
      </c>
      <c r="Q2351" s="100" t="str">
        <f>IF(N2351=0,"",SUMIFS(PRICES!$G$2:$G$658,PRICES!$B$2:$B$658,'MAIN TABLE-1 AUTOMATED'!J2351,PRICES!$C$2:$C$658,'MAIN TABLE-1 AUTOMATED'!F2351,PRICES!$D$2:$D$658,'MAIN TABLE-1 AUTOMATED'!O2351))</f>
        <v/>
      </c>
      <c r="R2351" s="41" t="str">
        <f>IF(Table1[[#This Row],[QUANTITY]]=0,"",Table1[[#This Row],[UNIT PRICE]]*Table1[[#This Row],[QUANTITY]])</f>
        <v/>
      </c>
      <c r="S2351" s="89"/>
      <c r="T2351" s="38"/>
      <c r="U2351" s="43"/>
      <c r="V2351" s="42" t="str">
        <f>IF(Table1[[#This Row],[DATE]]=0,"",YEAR(E2351))</f>
        <v/>
      </c>
      <c r="W2351" s="40" t="str">
        <f t="shared" si="76"/>
        <v/>
      </c>
      <c r="X2351" s="40" t="str">
        <f t="shared" si="77"/>
        <v/>
      </c>
      <c r="Y2351" s="40" t="str">
        <f>TEXT(Table1[[#This Row],[YEAR]],"0000")&amp;"-"&amp;Table1[[#This Row],[MONTH]]</f>
        <v>-</v>
      </c>
    </row>
    <row r="2352" spans="1:25" ht="15" customHeight="1" x14ac:dyDescent="0.35">
      <c r="A2352" s="24"/>
      <c r="B2352" s="38"/>
      <c r="C2352" s="38"/>
      <c r="D2352" s="38"/>
      <c r="E2352" s="37"/>
      <c r="F2352" s="38"/>
      <c r="G2352" s="198"/>
      <c r="H2352" s="198"/>
      <c r="I2352" s="39"/>
      <c r="J2352" s="38"/>
      <c r="K2352" s="198"/>
      <c r="L2352" s="38"/>
      <c r="M2352" s="38"/>
      <c r="N2352" s="38"/>
      <c r="O2352" s="38"/>
      <c r="P2352" s="40" t="str" cm="1">
        <f t="array" ref="P2352">IF(N2352="","",IFERROR(_xlfn.XLOOKUP(F2352&amp;"|"&amp;J2352&amp;"|"&amp;O2352,PRICES!$C$2:$C$659&amp;"|"&amp;PRICES!$B$2:$B$659&amp;"|"&amp;PRICES!$D$2:$D$659,PRICES!$E$2:$E$659),"Not Found"))</f>
        <v/>
      </c>
      <c r="Q2352" s="100" t="str">
        <f>IF(N2352=0,"",SUMIFS(PRICES!$G$2:$G$658,PRICES!$B$2:$B$658,'MAIN TABLE-1 AUTOMATED'!J2352,PRICES!$C$2:$C$658,'MAIN TABLE-1 AUTOMATED'!F2352,PRICES!$D$2:$D$658,'MAIN TABLE-1 AUTOMATED'!O2352))</f>
        <v/>
      </c>
      <c r="R2352" s="41" t="str">
        <f>IF(Table1[[#This Row],[QUANTITY]]=0,"",Table1[[#This Row],[UNIT PRICE]]*Table1[[#This Row],[QUANTITY]])</f>
        <v/>
      </c>
      <c r="S2352" s="89"/>
      <c r="T2352" s="38"/>
      <c r="U2352" s="43"/>
      <c r="V2352" s="42" t="str">
        <f>IF(Table1[[#This Row],[DATE]]=0,"",YEAR(E2352))</f>
        <v/>
      </c>
      <c r="W2352" s="40" t="str">
        <f t="shared" si="76"/>
        <v/>
      </c>
      <c r="X2352" s="40" t="str">
        <f t="shared" si="77"/>
        <v/>
      </c>
      <c r="Y2352" s="40" t="str">
        <f>TEXT(Table1[[#This Row],[YEAR]],"0000")&amp;"-"&amp;Table1[[#This Row],[MONTH]]</f>
        <v>-</v>
      </c>
    </row>
    <row r="2353" spans="1:25" ht="15" customHeight="1" x14ac:dyDescent="0.35">
      <c r="A2353" s="24"/>
      <c r="B2353" s="38"/>
      <c r="C2353" s="38"/>
      <c r="D2353" s="38"/>
      <c r="E2353" s="37"/>
      <c r="F2353" s="38"/>
      <c r="G2353" s="198"/>
      <c r="H2353" s="198"/>
      <c r="I2353" s="39"/>
      <c r="J2353" s="38"/>
      <c r="K2353" s="198"/>
      <c r="L2353" s="38"/>
      <c r="M2353" s="38"/>
      <c r="N2353" s="38"/>
      <c r="O2353" s="38"/>
      <c r="P2353" s="40" t="str" cm="1">
        <f t="array" ref="P2353">IF(N2353="","",IFERROR(_xlfn.XLOOKUP(F2353&amp;"|"&amp;J2353&amp;"|"&amp;O2353,PRICES!$C$2:$C$659&amp;"|"&amp;PRICES!$B$2:$B$659&amp;"|"&amp;PRICES!$D$2:$D$659,PRICES!$E$2:$E$659),"Not Found"))</f>
        <v/>
      </c>
      <c r="Q2353" s="100" t="str">
        <f>IF(N2353=0,"",SUMIFS(PRICES!$G$2:$G$658,PRICES!$B$2:$B$658,'MAIN TABLE-1 AUTOMATED'!J2353,PRICES!$C$2:$C$658,'MAIN TABLE-1 AUTOMATED'!F2353,PRICES!$D$2:$D$658,'MAIN TABLE-1 AUTOMATED'!O2353))</f>
        <v/>
      </c>
      <c r="R2353" s="41" t="str">
        <f>IF(Table1[[#This Row],[QUANTITY]]=0,"",Table1[[#This Row],[UNIT PRICE]]*Table1[[#This Row],[QUANTITY]])</f>
        <v/>
      </c>
      <c r="S2353" s="89"/>
      <c r="T2353" s="38"/>
      <c r="U2353" s="43"/>
      <c r="V2353" s="42" t="str">
        <f>IF(Table1[[#This Row],[DATE]]=0,"",YEAR(E2353))</f>
        <v/>
      </c>
      <c r="W2353" s="40" t="str">
        <f t="shared" si="76"/>
        <v/>
      </c>
      <c r="X2353" s="40" t="str">
        <f t="shared" si="77"/>
        <v/>
      </c>
      <c r="Y2353" s="40" t="str">
        <f>TEXT(Table1[[#This Row],[YEAR]],"0000")&amp;"-"&amp;Table1[[#This Row],[MONTH]]</f>
        <v>-</v>
      </c>
    </row>
    <row r="2354" spans="1:25" ht="15" customHeight="1" x14ac:dyDescent="0.35">
      <c r="A2354" s="24"/>
      <c r="B2354" s="38"/>
      <c r="C2354" s="38"/>
      <c r="D2354" s="38"/>
      <c r="E2354" s="37"/>
      <c r="F2354" s="38"/>
      <c r="G2354" s="198"/>
      <c r="H2354" s="198"/>
      <c r="I2354" s="39"/>
      <c r="J2354" s="38"/>
      <c r="K2354" s="198"/>
      <c r="L2354" s="38"/>
      <c r="M2354" s="38"/>
      <c r="N2354" s="38"/>
      <c r="O2354" s="38"/>
      <c r="P2354" s="40" t="str" cm="1">
        <f t="array" ref="P2354">IF(N2354="","",IFERROR(_xlfn.XLOOKUP(F2354&amp;"|"&amp;J2354&amp;"|"&amp;O2354,PRICES!$C$2:$C$659&amp;"|"&amp;PRICES!$B$2:$B$659&amp;"|"&amp;PRICES!$D$2:$D$659,PRICES!$E$2:$E$659),"Not Found"))</f>
        <v/>
      </c>
      <c r="Q2354" s="100" t="str">
        <f>IF(N2354=0,"",SUMIFS(PRICES!$G$2:$G$658,PRICES!$B$2:$B$658,'MAIN TABLE-1 AUTOMATED'!J2354,PRICES!$C$2:$C$658,'MAIN TABLE-1 AUTOMATED'!F2354,PRICES!$D$2:$D$658,'MAIN TABLE-1 AUTOMATED'!O2354))</f>
        <v/>
      </c>
      <c r="R2354" s="41" t="str">
        <f>IF(Table1[[#This Row],[QUANTITY]]=0,"",Table1[[#This Row],[UNIT PRICE]]*Table1[[#This Row],[QUANTITY]])</f>
        <v/>
      </c>
      <c r="S2354" s="89"/>
      <c r="T2354" s="38"/>
      <c r="U2354" s="43"/>
      <c r="V2354" s="42" t="str">
        <f>IF(Table1[[#This Row],[DATE]]=0,"",YEAR(E2354))</f>
        <v/>
      </c>
      <c r="W2354" s="40" t="str">
        <f t="shared" si="76"/>
        <v/>
      </c>
      <c r="X2354" s="40" t="str">
        <f t="shared" si="77"/>
        <v/>
      </c>
      <c r="Y2354" s="40" t="str">
        <f>TEXT(Table1[[#This Row],[YEAR]],"0000")&amp;"-"&amp;Table1[[#This Row],[MONTH]]</f>
        <v>-</v>
      </c>
    </row>
    <row r="2355" spans="1:25" ht="15" customHeight="1" x14ac:dyDescent="0.35">
      <c r="A2355" s="24"/>
      <c r="B2355" s="38"/>
      <c r="C2355" s="38"/>
      <c r="D2355" s="38"/>
      <c r="E2355" s="37"/>
      <c r="F2355" s="38"/>
      <c r="G2355" s="198"/>
      <c r="H2355" s="198"/>
      <c r="I2355" s="39"/>
      <c r="J2355" s="38"/>
      <c r="K2355" s="198"/>
      <c r="L2355" s="38"/>
      <c r="M2355" s="38"/>
      <c r="N2355" s="38"/>
      <c r="O2355" s="38"/>
      <c r="P2355" s="40" t="str" cm="1">
        <f t="array" ref="P2355">IF(N2355="","",IFERROR(_xlfn.XLOOKUP(F2355&amp;"|"&amp;J2355&amp;"|"&amp;O2355,PRICES!$C$2:$C$659&amp;"|"&amp;PRICES!$B$2:$B$659&amp;"|"&amp;PRICES!$D$2:$D$659,PRICES!$E$2:$E$659),"Not Found"))</f>
        <v/>
      </c>
      <c r="Q2355" s="100" t="str">
        <f>IF(N2355=0,"",SUMIFS(PRICES!$G$2:$G$658,PRICES!$B$2:$B$658,'MAIN TABLE-1 AUTOMATED'!J2355,PRICES!$C$2:$C$658,'MAIN TABLE-1 AUTOMATED'!F2355,PRICES!$D$2:$D$658,'MAIN TABLE-1 AUTOMATED'!O2355))</f>
        <v/>
      </c>
      <c r="R2355" s="41" t="str">
        <f>IF(Table1[[#This Row],[QUANTITY]]=0,"",Table1[[#This Row],[UNIT PRICE]]*Table1[[#This Row],[QUANTITY]])</f>
        <v/>
      </c>
      <c r="S2355" s="89"/>
      <c r="T2355" s="38"/>
      <c r="U2355" s="43"/>
      <c r="V2355" s="42" t="str">
        <f>IF(Table1[[#This Row],[DATE]]=0,"",YEAR(E2355))</f>
        <v/>
      </c>
      <c r="W2355" s="40" t="str">
        <f t="shared" si="76"/>
        <v/>
      </c>
      <c r="X2355" s="40" t="str">
        <f t="shared" si="77"/>
        <v/>
      </c>
      <c r="Y2355" s="40" t="str">
        <f>TEXT(Table1[[#This Row],[YEAR]],"0000")&amp;"-"&amp;Table1[[#This Row],[MONTH]]</f>
        <v>-</v>
      </c>
    </row>
    <row r="2356" spans="1:25" ht="15" customHeight="1" x14ac:dyDescent="0.35">
      <c r="A2356" s="24"/>
      <c r="B2356" s="38"/>
      <c r="C2356" s="38"/>
      <c r="D2356" s="38"/>
      <c r="E2356" s="37"/>
      <c r="F2356" s="38"/>
      <c r="G2356" s="198"/>
      <c r="H2356" s="198"/>
      <c r="I2356" s="39"/>
      <c r="J2356" s="38"/>
      <c r="K2356" s="198"/>
      <c r="L2356" s="38"/>
      <c r="M2356" s="38"/>
      <c r="N2356" s="38"/>
      <c r="O2356" s="38"/>
      <c r="P2356" s="40" t="str" cm="1">
        <f t="array" ref="P2356">IF(N2356="","",IFERROR(_xlfn.XLOOKUP(F2356&amp;"|"&amp;J2356&amp;"|"&amp;O2356,PRICES!$C$2:$C$659&amp;"|"&amp;PRICES!$B$2:$B$659&amp;"|"&amp;PRICES!$D$2:$D$659,PRICES!$E$2:$E$659),"Not Found"))</f>
        <v/>
      </c>
      <c r="Q2356" s="100" t="str">
        <f>IF(N2356=0,"",SUMIFS(PRICES!$G$2:$G$658,PRICES!$B$2:$B$658,'MAIN TABLE-1 AUTOMATED'!J2356,PRICES!$C$2:$C$658,'MAIN TABLE-1 AUTOMATED'!F2356,PRICES!$D$2:$D$658,'MAIN TABLE-1 AUTOMATED'!O2356))</f>
        <v/>
      </c>
      <c r="R2356" s="41" t="str">
        <f>IF(Table1[[#This Row],[QUANTITY]]=0,"",Table1[[#This Row],[UNIT PRICE]]*Table1[[#This Row],[QUANTITY]])</f>
        <v/>
      </c>
      <c r="S2356" s="89"/>
      <c r="T2356" s="38"/>
      <c r="U2356" s="43"/>
      <c r="V2356" s="42" t="str">
        <f>IF(Table1[[#This Row],[DATE]]=0,"",YEAR(E2356))</f>
        <v/>
      </c>
      <c r="W2356" s="40" t="str">
        <f t="shared" si="76"/>
        <v/>
      </c>
      <c r="X2356" s="40" t="str">
        <f t="shared" si="77"/>
        <v/>
      </c>
      <c r="Y2356" s="40" t="str">
        <f>TEXT(Table1[[#This Row],[YEAR]],"0000")&amp;"-"&amp;Table1[[#This Row],[MONTH]]</f>
        <v>-</v>
      </c>
    </row>
    <row r="2357" spans="1:25" ht="15" customHeight="1" x14ac:dyDescent="0.35">
      <c r="A2357" s="24"/>
      <c r="B2357" s="38"/>
      <c r="C2357" s="38"/>
      <c r="D2357" s="38"/>
      <c r="E2357" s="37"/>
      <c r="F2357" s="38"/>
      <c r="G2357" s="198"/>
      <c r="H2357" s="198"/>
      <c r="I2357" s="39"/>
      <c r="J2357" s="38"/>
      <c r="K2357" s="198"/>
      <c r="L2357" s="38"/>
      <c r="M2357" s="38"/>
      <c r="N2357" s="38"/>
      <c r="O2357" s="38"/>
      <c r="P2357" s="40" t="str" cm="1">
        <f t="array" ref="P2357">IF(N2357="","",IFERROR(_xlfn.XLOOKUP(F2357&amp;"|"&amp;J2357&amp;"|"&amp;O2357,PRICES!$C$2:$C$659&amp;"|"&amp;PRICES!$B$2:$B$659&amp;"|"&amp;PRICES!$D$2:$D$659,PRICES!$E$2:$E$659),"Not Found"))</f>
        <v/>
      </c>
      <c r="Q2357" s="100" t="str">
        <f>IF(N2357=0,"",SUMIFS(PRICES!$G$2:$G$658,PRICES!$B$2:$B$658,'MAIN TABLE-1 AUTOMATED'!J2357,PRICES!$C$2:$C$658,'MAIN TABLE-1 AUTOMATED'!F2357,PRICES!$D$2:$D$658,'MAIN TABLE-1 AUTOMATED'!O2357))</f>
        <v/>
      </c>
      <c r="R2357" s="41" t="str">
        <f>IF(Table1[[#This Row],[QUANTITY]]=0,"",Table1[[#This Row],[UNIT PRICE]]*Table1[[#This Row],[QUANTITY]])</f>
        <v/>
      </c>
      <c r="S2357" s="89"/>
      <c r="T2357" s="38"/>
      <c r="U2357" s="43"/>
      <c r="V2357" s="42" t="str">
        <f>IF(Table1[[#This Row],[DATE]]=0,"",YEAR(E2357))</f>
        <v/>
      </c>
      <c r="W2357" s="40" t="str">
        <f t="shared" si="76"/>
        <v/>
      </c>
      <c r="X2357" s="40" t="str">
        <f t="shared" si="77"/>
        <v/>
      </c>
      <c r="Y2357" s="40" t="str">
        <f>TEXT(Table1[[#This Row],[YEAR]],"0000")&amp;"-"&amp;Table1[[#This Row],[MONTH]]</f>
        <v>-</v>
      </c>
    </row>
    <row r="2358" spans="1:25" ht="15" customHeight="1" x14ac:dyDescent="0.35">
      <c r="A2358" s="24"/>
      <c r="B2358" s="38"/>
      <c r="C2358" s="38"/>
      <c r="D2358" s="38"/>
      <c r="E2358" s="37"/>
      <c r="F2358" s="38"/>
      <c r="G2358" s="198"/>
      <c r="H2358" s="198"/>
      <c r="I2358" s="39"/>
      <c r="J2358" s="38"/>
      <c r="K2358" s="198"/>
      <c r="L2358" s="38"/>
      <c r="M2358" s="38"/>
      <c r="N2358" s="38"/>
      <c r="O2358" s="38"/>
      <c r="P2358" s="40" t="str" cm="1">
        <f t="array" ref="P2358">IF(N2358="","",IFERROR(_xlfn.XLOOKUP(F2358&amp;"|"&amp;J2358&amp;"|"&amp;O2358,PRICES!$C$2:$C$659&amp;"|"&amp;PRICES!$B$2:$B$659&amp;"|"&amp;PRICES!$D$2:$D$659,PRICES!$E$2:$E$659),"Not Found"))</f>
        <v/>
      </c>
      <c r="Q2358" s="100" t="str">
        <f>IF(N2358=0,"",SUMIFS(PRICES!$G$2:$G$658,PRICES!$B$2:$B$658,'MAIN TABLE-1 AUTOMATED'!J2358,PRICES!$C$2:$C$658,'MAIN TABLE-1 AUTOMATED'!F2358,PRICES!$D$2:$D$658,'MAIN TABLE-1 AUTOMATED'!O2358))</f>
        <v/>
      </c>
      <c r="R2358" s="41" t="str">
        <f>IF(Table1[[#This Row],[QUANTITY]]=0,"",Table1[[#This Row],[UNIT PRICE]]*Table1[[#This Row],[QUANTITY]])</f>
        <v/>
      </c>
      <c r="S2358" s="89"/>
      <c r="T2358" s="38"/>
      <c r="U2358" s="43"/>
      <c r="V2358" s="42" t="str">
        <f>IF(Table1[[#This Row],[DATE]]=0,"",YEAR(E2358))</f>
        <v/>
      </c>
      <c r="W2358" s="40" t="str">
        <f t="shared" si="76"/>
        <v/>
      </c>
      <c r="X2358" s="40" t="str">
        <f t="shared" si="77"/>
        <v/>
      </c>
      <c r="Y2358" s="40" t="str">
        <f>TEXT(Table1[[#This Row],[YEAR]],"0000")&amp;"-"&amp;Table1[[#This Row],[MONTH]]</f>
        <v>-</v>
      </c>
    </row>
    <row r="2359" spans="1:25" ht="15" customHeight="1" x14ac:dyDescent="0.35">
      <c r="A2359" s="24"/>
      <c r="B2359" s="38"/>
      <c r="C2359" s="38"/>
      <c r="D2359" s="38"/>
      <c r="E2359" s="37"/>
      <c r="F2359" s="38"/>
      <c r="G2359" s="198"/>
      <c r="H2359" s="198"/>
      <c r="I2359" s="39"/>
      <c r="J2359" s="38"/>
      <c r="K2359" s="198"/>
      <c r="L2359" s="38"/>
      <c r="M2359" s="38"/>
      <c r="N2359" s="38"/>
      <c r="O2359" s="38"/>
      <c r="P2359" s="40" t="str" cm="1">
        <f t="array" ref="P2359">IF(N2359="","",IFERROR(_xlfn.XLOOKUP(F2359&amp;"|"&amp;J2359&amp;"|"&amp;O2359,PRICES!$C$2:$C$659&amp;"|"&amp;PRICES!$B$2:$B$659&amp;"|"&amp;PRICES!$D$2:$D$659,PRICES!$E$2:$E$659),"Not Found"))</f>
        <v/>
      </c>
      <c r="Q2359" s="100" t="str">
        <f>IF(N2359=0,"",SUMIFS(PRICES!$G$2:$G$658,PRICES!$B$2:$B$658,'MAIN TABLE-1 AUTOMATED'!J2359,PRICES!$C$2:$C$658,'MAIN TABLE-1 AUTOMATED'!F2359,PRICES!$D$2:$D$658,'MAIN TABLE-1 AUTOMATED'!O2359))</f>
        <v/>
      </c>
      <c r="R2359" s="41" t="str">
        <f>IF(Table1[[#This Row],[QUANTITY]]=0,"",Table1[[#This Row],[UNIT PRICE]]*Table1[[#This Row],[QUANTITY]])</f>
        <v/>
      </c>
      <c r="S2359" s="89"/>
      <c r="T2359" s="38"/>
      <c r="U2359" s="43"/>
      <c r="V2359" s="42" t="str">
        <f>IF(Table1[[#This Row],[DATE]]=0,"",YEAR(E2359))</f>
        <v/>
      </c>
      <c r="W2359" s="40" t="str">
        <f t="shared" si="76"/>
        <v/>
      </c>
      <c r="X2359" s="40" t="str">
        <f t="shared" si="77"/>
        <v/>
      </c>
      <c r="Y2359" s="40" t="str">
        <f>TEXT(Table1[[#This Row],[YEAR]],"0000")&amp;"-"&amp;Table1[[#This Row],[MONTH]]</f>
        <v>-</v>
      </c>
    </row>
    <row r="2360" spans="1:25" ht="15" customHeight="1" x14ac:dyDescent="0.35">
      <c r="A2360" s="24"/>
      <c r="B2360" s="38"/>
      <c r="C2360" s="38"/>
      <c r="D2360" s="38"/>
      <c r="E2360" s="37"/>
      <c r="F2360" s="38"/>
      <c r="G2360" s="198"/>
      <c r="H2360" s="198"/>
      <c r="I2360" s="39"/>
      <c r="J2360" s="38"/>
      <c r="K2360" s="198"/>
      <c r="L2360" s="38"/>
      <c r="M2360" s="38"/>
      <c r="N2360" s="38"/>
      <c r="O2360" s="38"/>
      <c r="P2360" s="40" t="str" cm="1">
        <f t="array" ref="P2360">IF(N2360="","",IFERROR(_xlfn.XLOOKUP(F2360&amp;"|"&amp;J2360&amp;"|"&amp;O2360,PRICES!$C$2:$C$659&amp;"|"&amp;PRICES!$B$2:$B$659&amp;"|"&amp;PRICES!$D$2:$D$659,PRICES!$E$2:$E$659),"Not Found"))</f>
        <v/>
      </c>
      <c r="Q2360" s="100" t="str">
        <f>IF(N2360=0,"",SUMIFS(PRICES!$G$2:$G$658,PRICES!$B$2:$B$658,'MAIN TABLE-1 AUTOMATED'!J2360,PRICES!$C$2:$C$658,'MAIN TABLE-1 AUTOMATED'!F2360,PRICES!$D$2:$D$658,'MAIN TABLE-1 AUTOMATED'!O2360))</f>
        <v/>
      </c>
      <c r="R2360" s="41" t="str">
        <f>IF(Table1[[#This Row],[QUANTITY]]=0,"",Table1[[#This Row],[UNIT PRICE]]*Table1[[#This Row],[QUANTITY]])</f>
        <v/>
      </c>
      <c r="S2360" s="89"/>
      <c r="T2360" s="38"/>
      <c r="U2360" s="43"/>
      <c r="V2360" s="42" t="str">
        <f>IF(Table1[[#This Row],[DATE]]=0,"",YEAR(E2360))</f>
        <v/>
      </c>
      <c r="W2360" s="40" t="str">
        <f t="shared" si="76"/>
        <v/>
      </c>
      <c r="X2360" s="40" t="str">
        <f t="shared" si="77"/>
        <v/>
      </c>
      <c r="Y2360" s="40" t="str">
        <f>TEXT(Table1[[#This Row],[YEAR]],"0000")&amp;"-"&amp;Table1[[#This Row],[MONTH]]</f>
        <v>-</v>
      </c>
    </row>
    <row r="2361" spans="1:25" ht="15" customHeight="1" x14ac:dyDescent="0.35">
      <c r="A2361" s="24"/>
      <c r="B2361" s="38"/>
      <c r="C2361" s="38"/>
      <c r="D2361" s="38"/>
      <c r="E2361" s="37"/>
      <c r="F2361" s="38"/>
      <c r="G2361" s="198"/>
      <c r="H2361" s="198"/>
      <c r="I2361" s="39"/>
      <c r="J2361" s="38"/>
      <c r="K2361" s="198"/>
      <c r="L2361" s="38"/>
      <c r="M2361" s="38"/>
      <c r="N2361" s="38"/>
      <c r="O2361" s="38"/>
      <c r="P2361" s="40" t="str" cm="1">
        <f t="array" ref="P2361">IF(N2361="","",IFERROR(_xlfn.XLOOKUP(F2361&amp;"|"&amp;J2361&amp;"|"&amp;O2361,PRICES!$C$2:$C$659&amp;"|"&amp;PRICES!$B$2:$B$659&amp;"|"&amp;PRICES!$D$2:$D$659,PRICES!$E$2:$E$659),"Not Found"))</f>
        <v/>
      </c>
      <c r="Q2361" s="100" t="str">
        <f>IF(N2361=0,"",SUMIFS(PRICES!$G$2:$G$658,PRICES!$B$2:$B$658,'MAIN TABLE-1 AUTOMATED'!J2361,PRICES!$C$2:$C$658,'MAIN TABLE-1 AUTOMATED'!F2361,PRICES!$D$2:$D$658,'MAIN TABLE-1 AUTOMATED'!O2361))</f>
        <v/>
      </c>
      <c r="R2361" s="41" t="str">
        <f>IF(Table1[[#This Row],[QUANTITY]]=0,"",Table1[[#This Row],[UNIT PRICE]]*Table1[[#This Row],[QUANTITY]])</f>
        <v/>
      </c>
      <c r="S2361" s="89"/>
      <c r="T2361" s="38"/>
      <c r="U2361" s="43"/>
      <c r="V2361" s="42" t="str">
        <f>IF(Table1[[#This Row],[DATE]]=0,"",YEAR(E2361))</f>
        <v/>
      </c>
      <c r="W2361" s="40" t="str">
        <f t="shared" si="76"/>
        <v/>
      </c>
      <c r="X2361" s="40" t="str">
        <f t="shared" si="77"/>
        <v/>
      </c>
      <c r="Y2361" s="40" t="str">
        <f>TEXT(Table1[[#This Row],[YEAR]],"0000")&amp;"-"&amp;Table1[[#This Row],[MONTH]]</f>
        <v>-</v>
      </c>
    </row>
    <row r="2362" spans="1:25" ht="15" customHeight="1" x14ac:dyDescent="0.35">
      <c r="A2362" s="24"/>
      <c r="B2362" s="38"/>
      <c r="C2362" s="38"/>
      <c r="D2362" s="38"/>
      <c r="E2362" s="37"/>
      <c r="F2362" s="38"/>
      <c r="G2362" s="198"/>
      <c r="H2362" s="198"/>
      <c r="I2362" s="39"/>
      <c r="J2362" s="38"/>
      <c r="K2362" s="198"/>
      <c r="L2362" s="38"/>
      <c r="M2362" s="38"/>
      <c r="N2362" s="38"/>
      <c r="O2362" s="38"/>
      <c r="P2362" s="40" t="str" cm="1">
        <f t="array" ref="P2362">IF(N2362="","",IFERROR(_xlfn.XLOOKUP(F2362&amp;"|"&amp;J2362&amp;"|"&amp;O2362,PRICES!$C$2:$C$659&amp;"|"&amp;PRICES!$B$2:$B$659&amp;"|"&amp;PRICES!$D$2:$D$659,PRICES!$E$2:$E$659),"Not Found"))</f>
        <v/>
      </c>
      <c r="Q2362" s="100" t="str">
        <f>IF(N2362=0,"",SUMIFS(PRICES!$G$2:$G$658,PRICES!$B$2:$B$658,'MAIN TABLE-1 AUTOMATED'!J2362,PRICES!$C$2:$C$658,'MAIN TABLE-1 AUTOMATED'!F2362,PRICES!$D$2:$D$658,'MAIN TABLE-1 AUTOMATED'!O2362))</f>
        <v/>
      </c>
      <c r="R2362" s="41" t="str">
        <f>IF(Table1[[#This Row],[QUANTITY]]=0,"",Table1[[#This Row],[UNIT PRICE]]*Table1[[#This Row],[QUANTITY]])</f>
        <v/>
      </c>
      <c r="S2362" s="89"/>
      <c r="T2362" s="38"/>
      <c r="U2362" s="43"/>
      <c r="V2362" s="42" t="str">
        <f>IF(Table1[[#This Row],[DATE]]=0,"",YEAR(E2362))</f>
        <v/>
      </c>
      <c r="W2362" s="40" t="str">
        <f t="shared" si="76"/>
        <v/>
      </c>
      <c r="X2362" s="40" t="str">
        <f t="shared" si="77"/>
        <v/>
      </c>
      <c r="Y2362" s="40" t="str">
        <f>TEXT(Table1[[#This Row],[YEAR]],"0000")&amp;"-"&amp;Table1[[#This Row],[MONTH]]</f>
        <v>-</v>
      </c>
    </row>
    <row r="2363" spans="1:25" ht="15" customHeight="1" x14ac:dyDescent="0.35">
      <c r="A2363" s="24"/>
      <c r="B2363" s="38"/>
      <c r="C2363" s="38"/>
      <c r="D2363" s="38"/>
      <c r="E2363" s="37"/>
      <c r="F2363" s="38"/>
      <c r="G2363" s="198"/>
      <c r="H2363" s="198"/>
      <c r="I2363" s="39"/>
      <c r="J2363" s="38"/>
      <c r="K2363" s="198"/>
      <c r="L2363" s="38"/>
      <c r="M2363" s="38"/>
      <c r="N2363" s="38"/>
      <c r="O2363" s="38"/>
      <c r="P2363" s="40" t="str" cm="1">
        <f t="array" ref="P2363">IF(N2363="","",IFERROR(_xlfn.XLOOKUP(F2363&amp;"|"&amp;J2363&amp;"|"&amp;O2363,PRICES!$C$2:$C$659&amp;"|"&amp;PRICES!$B$2:$B$659&amp;"|"&amp;PRICES!$D$2:$D$659,PRICES!$E$2:$E$659),"Not Found"))</f>
        <v/>
      </c>
      <c r="Q2363" s="100" t="str">
        <f>IF(N2363=0,"",SUMIFS(PRICES!$G$2:$G$658,PRICES!$B$2:$B$658,'MAIN TABLE-1 AUTOMATED'!J2363,PRICES!$C$2:$C$658,'MAIN TABLE-1 AUTOMATED'!F2363,PRICES!$D$2:$D$658,'MAIN TABLE-1 AUTOMATED'!O2363))</f>
        <v/>
      </c>
      <c r="R2363" s="41" t="str">
        <f>IF(Table1[[#This Row],[QUANTITY]]=0,"",Table1[[#This Row],[UNIT PRICE]]*Table1[[#This Row],[QUANTITY]])</f>
        <v/>
      </c>
      <c r="S2363" s="89"/>
      <c r="T2363" s="38"/>
      <c r="U2363" s="43"/>
      <c r="V2363" s="42" t="str">
        <f>IF(Table1[[#This Row],[DATE]]=0,"",YEAR(E2363))</f>
        <v/>
      </c>
      <c r="W2363" s="40" t="str">
        <f t="shared" si="76"/>
        <v/>
      </c>
      <c r="X2363" s="40" t="str">
        <f t="shared" si="77"/>
        <v/>
      </c>
      <c r="Y2363" s="40" t="str">
        <f>TEXT(Table1[[#This Row],[YEAR]],"0000")&amp;"-"&amp;Table1[[#This Row],[MONTH]]</f>
        <v>-</v>
      </c>
    </row>
    <row r="2364" spans="1:25" ht="15" customHeight="1" x14ac:dyDescent="0.35">
      <c r="A2364" s="24"/>
      <c r="B2364" s="38"/>
      <c r="C2364" s="38"/>
      <c r="D2364" s="38"/>
      <c r="E2364" s="37"/>
      <c r="F2364" s="38"/>
      <c r="G2364" s="198"/>
      <c r="H2364" s="198"/>
      <c r="I2364" s="39"/>
      <c r="J2364" s="38"/>
      <c r="K2364" s="198"/>
      <c r="L2364" s="38"/>
      <c r="M2364" s="38"/>
      <c r="N2364" s="38"/>
      <c r="O2364" s="38"/>
      <c r="P2364" s="40" t="str" cm="1">
        <f t="array" ref="P2364">IF(N2364="","",IFERROR(_xlfn.XLOOKUP(F2364&amp;"|"&amp;J2364&amp;"|"&amp;O2364,PRICES!$C$2:$C$659&amp;"|"&amp;PRICES!$B$2:$B$659&amp;"|"&amp;PRICES!$D$2:$D$659,PRICES!$E$2:$E$659),"Not Found"))</f>
        <v/>
      </c>
      <c r="Q2364" s="100" t="str">
        <f>IF(N2364=0,"",SUMIFS(PRICES!$G$2:$G$658,PRICES!$B$2:$B$658,'MAIN TABLE-1 AUTOMATED'!J2364,PRICES!$C$2:$C$658,'MAIN TABLE-1 AUTOMATED'!F2364,PRICES!$D$2:$D$658,'MAIN TABLE-1 AUTOMATED'!O2364))</f>
        <v/>
      </c>
      <c r="R2364" s="41" t="str">
        <f>IF(Table1[[#This Row],[QUANTITY]]=0,"",Table1[[#This Row],[UNIT PRICE]]*Table1[[#This Row],[QUANTITY]])</f>
        <v/>
      </c>
      <c r="S2364" s="89"/>
      <c r="T2364" s="38"/>
      <c r="U2364" s="43"/>
      <c r="V2364" s="42" t="str">
        <f>IF(Table1[[#This Row],[DATE]]=0,"",YEAR(E2364))</f>
        <v/>
      </c>
      <c r="W2364" s="40" t="str">
        <f t="shared" si="76"/>
        <v/>
      </c>
      <c r="X2364" s="40" t="str">
        <f t="shared" si="77"/>
        <v/>
      </c>
      <c r="Y2364" s="40" t="str">
        <f>TEXT(Table1[[#This Row],[YEAR]],"0000")&amp;"-"&amp;Table1[[#This Row],[MONTH]]</f>
        <v>-</v>
      </c>
    </row>
    <row r="2365" spans="1:25" ht="15" customHeight="1" x14ac:dyDescent="0.35">
      <c r="A2365" s="24"/>
      <c r="B2365" s="38"/>
      <c r="C2365" s="38"/>
      <c r="D2365" s="38"/>
      <c r="E2365" s="37"/>
      <c r="F2365" s="38"/>
      <c r="G2365" s="198"/>
      <c r="H2365" s="198"/>
      <c r="I2365" s="39"/>
      <c r="J2365" s="38"/>
      <c r="K2365" s="198"/>
      <c r="L2365" s="38"/>
      <c r="M2365" s="38"/>
      <c r="N2365" s="38"/>
      <c r="O2365" s="38"/>
      <c r="P2365" s="40" t="str" cm="1">
        <f t="array" ref="P2365">IF(N2365="","",IFERROR(_xlfn.XLOOKUP(F2365&amp;"|"&amp;J2365&amp;"|"&amp;O2365,PRICES!$C$2:$C$659&amp;"|"&amp;PRICES!$B$2:$B$659&amp;"|"&amp;PRICES!$D$2:$D$659,PRICES!$E$2:$E$659),"Not Found"))</f>
        <v/>
      </c>
      <c r="Q2365" s="100" t="str">
        <f>IF(N2365=0,"",SUMIFS(PRICES!$G$2:$G$658,PRICES!$B$2:$B$658,'MAIN TABLE-1 AUTOMATED'!J2365,PRICES!$C$2:$C$658,'MAIN TABLE-1 AUTOMATED'!F2365,PRICES!$D$2:$D$658,'MAIN TABLE-1 AUTOMATED'!O2365))</f>
        <v/>
      </c>
      <c r="R2365" s="41" t="str">
        <f>IF(Table1[[#This Row],[QUANTITY]]=0,"",Table1[[#This Row],[UNIT PRICE]]*Table1[[#This Row],[QUANTITY]])</f>
        <v/>
      </c>
      <c r="S2365" s="89"/>
      <c r="T2365" s="38"/>
      <c r="U2365" s="43"/>
      <c r="V2365" s="42" t="str">
        <f>IF(Table1[[#This Row],[DATE]]=0,"",YEAR(E2365))</f>
        <v/>
      </c>
      <c r="W2365" s="40" t="str">
        <f t="shared" si="76"/>
        <v/>
      </c>
      <c r="X2365" s="40" t="str">
        <f t="shared" si="77"/>
        <v/>
      </c>
      <c r="Y2365" s="40" t="str">
        <f>TEXT(Table1[[#This Row],[YEAR]],"0000")&amp;"-"&amp;Table1[[#This Row],[MONTH]]</f>
        <v>-</v>
      </c>
    </row>
    <row r="2366" spans="1:25" ht="15" customHeight="1" x14ac:dyDescent="0.35">
      <c r="A2366" s="24"/>
      <c r="B2366" s="38"/>
      <c r="C2366" s="38"/>
      <c r="D2366" s="38"/>
      <c r="E2366" s="37"/>
      <c r="F2366" s="38"/>
      <c r="G2366" s="198"/>
      <c r="H2366" s="198"/>
      <c r="I2366" s="39"/>
      <c r="J2366" s="38"/>
      <c r="K2366" s="198"/>
      <c r="L2366" s="38"/>
      <c r="M2366" s="38"/>
      <c r="N2366" s="38"/>
      <c r="O2366" s="38"/>
      <c r="P2366" s="40" t="str" cm="1">
        <f t="array" ref="P2366">IF(N2366="","",IFERROR(_xlfn.XLOOKUP(F2366&amp;"|"&amp;J2366&amp;"|"&amp;O2366,PRICES!$C$2:$C$659&amp;"|"&amp;PRICES!$B$2:$B$659&amp;"|"&amp;PRICES!$D$2:$D$659,PRICES!$E$2:$E$659),"Not Found"))</f>
        <v/>
      </c>
      <c r="Q2366" s="100" t="str">
        <f>IF(N2366=0,"",SUMIFS(PRICES!$G$2:$G$658,PRICES!$B$2:$B$658,'MAIN TABLE-1 AUTOMATED'!J2366,PRICES!$C$2:$C$658,'MAIN TABLE-1 AUTOMATED'!F2366,PRICES!$D$2:$D$658,'MAIN TABLE-1 AUTOMATED'!O2366))</f>
        <v/>
      </c>
      <c r="R2366" s="41" t="str">
        <f>IF(Table1[[#This Row],[QUANTITY]]=0,"",Table1[[#This Row],[UNIT PRICE]]*Table1[[#This Row],[QUANTITY]])</f>
        <v/>
      </c>
      <c r="S2366" s="89"/>
      <c r="T2366" s="38"/>
      <c r="U2366" s="43"/>
      <c r="V2366" s="42" t="str">
        <f>IF(Table1[[#This Row],[DATE]]=0,"",YEAR(E2366))</f>
        <v/>
      </c>
      <c r="W2366" s="40" t="str">
        <f t="shared" si="76"/>
        <v/>
      </c>
      <c r="X2366" s="40" t="str">
        <f t="shared" si="77"/>
        <v/>
      </c>
      <c r="Y2366" s="40" t="str">
        <f>TEXT(Table1[[#This Row],[YEAR]],"0000")&amp;"-"&amp;Table1[[#This Row],[MONTH]]</f>
        <v>-</v>
      </c>
    </row>
    <row r="2367" spans="1:25" ht="15" customHeight="1" x14ac:dyDescent="0.35">
      <c r="A2367" s="24"/>
      <c r="B2367" s="38"/>
      <c r="C2367" s="38"/>
      <c r="D2367" s="38"/>
      <c r="E2367" s="37"/>
      <c r="F2367" s="38"/>
      <c r="G2367" s="198"/>
      <c r="H2367" s="198"/>
      <c r="I2367" s="39"/>
      <c r="J2367" s="38"/>
      <c r="K2367" s="198"/>
      <c r="L2367" s="38"/>
      <c r="M2367" s="38"/>
      <c r="N2367" s="38"/>
      <c r="O2367" s="38"/>
      <c r="P2367" s="40" t="str" cm="1">
        <f t="array" ref="P2367">IF(N2367="","",IFERROR(_xlfn.XLOOKUP(F2367&amp;"|"&amp;J2367&amp;"|"&amp;O2367,PRICES!$C$2:$C$659&amp;"|"&amp;PRICES!$B$2:$B$659&amp;"|"&amp;PRICES!$D$2:$D$659,PRICES!$E$2:$E$659),"Not Found"))</f>
        <v/>
      </c>
      <c r="Q2367" s="100" t="str">
        <f>IF(N2367=0,"",SUMIFS(PRICES!$G$2:$G$658,PRICES!$B$2:$B$658,'MAIN TABLE-1 AUTOMATED'!J2367,PRICES!$C$2:$C$658,'MAIN TABLE-1 AUTOMATED'!F2367,PRICES!$D$2:$D$658,'MAIN TABLE-1 AUTOMATED'!O2367))</f>
        <v/>
      </c>
      <c r="R2367" s="41" t="str">
        <f>IF(Table1[[#This Row],[QUANTITY]]=0,"",Table1[[#This Row],[UNIT PRICE]]*Table1[[#This Row],[QUANTITY]])</f>
        <v/>
      </c>
      <c r="S2367" s="89"/>
      <c r="T2367" s="38"/>
      <c r="U2367" s="43"/>
      <c r="V2367" s="42" t="str">
        <f>IF(Table1[[#This Row],[DATE]]=0,"",YEAR(E2367))</f>
        <v/>
      </c>
      <c r="W2367" s="40" t="str">
        <f t="shared" si="76"/>
        <v/>
      </c>
      <c r="X2367" s="40" t="str">
        <f t="shared" si="77"/>
        <v/>
      </c>
      <c r="Y2367" s="40" t="str">
        <f>TEXT(Table1[[#This Row],[YEAR]],"0000")&amp;"-"&amp;Table1[[#This Row],[MONTH]]</f>
        <v>-</v>
      </c>
    </row>
    <row r="2368" spans="1:25" ht="15" customHeight="1" x14ac:dyDescent="0.35">
      <c r="A2368" s="24"/>
      <c r="B2368" s="38"/>
      <c r="C2368" s="38"/>
      <c r="D2368" s="38"/>
      <c r="E2368" s="37"/>
      <c r="F2368" s="38"/>
      <c r="G2368" s="198"/>
      <c r="H2368" s="198"/>
      <c r="I2368" s="39"/>
      <c r="J2368" s="38"/>
      <c r="K2368" s="198"/>
      <c r="L2368" s="38"/>
      <c r="M2368" s="38"/>
      <c r="N2368" s="38"/>
      <c r="O2368" s="38"/>
      <c r="P2368" s="40" t="str" cm="1">
        <f t="array" ref="P2368">IF(N2368="","",IFERROR(_xlfn.XLOOKUP(F2368&amp;"|"&amp;J2368&amp;"|"&amp;O2368,PRICES!$C$2:$C$659&amp;"|"&amp;PRICES!$B$2:$B$659&amp;"|"&amp;PRICES!$D$2:$D$659,PRICES!$E$2:$E$659),"Not Found"))</f>
        <v/>
      </c>
      <c r="Q2368" s="100" t="str">
        <f>IF(N2368=0,"",SUMIFS(PRICES!$G$2:$G$658,PRICES!$B$2:$B$658,'MAIN TABLE-1 AUTOMATED'!J2368,PRICES!$C$2:$C$658,'MAIN TABLE-1 AUTOMATED'!F2368,PRICES!$D$2:$D$658,'MAIN TABLE-1 AUTOMATED'!O2368))</f>
        <v/>
      </c>
      <c r="R2368" s="41" t="str">
        <f>IF(Table1[[#This Row],[QUANTITY]]=0,"",Table1[[#This Row],[UNIT PRICE]]*Table1[[#This Row],[QUANTITY]])</f>
        <v/>
      </c>
      <c r="S2368" s="89"/>
      <c r="T2368" s="38"/>
      <c r="U2368" s="43"/>
      <c r="V2368" s="42" t="str">
        <f>IF(Table1[[#This Row],[DATE]]=0,"",YEAR(E2368))</f>
        <v/>
      </c>
      <c r="W2368" s="40" t="str">
        <f t="shared" si="76"/>
        <v/>
      </c>
      <c r="X2368" s="40" t="str">
        <f t="shared" si="77"/>
        <v/>
      </c>
      <c r="Y2368" s="40" t="str">
        <f>TEXT(Table1[[#This Row],[YEAR]],"0000")&amp;"-"&amp;Table1[[#This Row],[MONTH]]</f>
        <v>-</v>
      </c>
    </row>
    <row r="2369" spans="1:25" ht="15" customHeight="1" x14ac:dyDescent="0.35">
      <c r="A2369" s="24"/>
      <c r="B2369" s="38"/>
      <c r="C2369" s="38"/>
      <c r="D2369" s="38"/>
      <c r="E2369" s="37"/>
      <c r="F2369" s="38"/>
      <c r="G2369" s="198"/>
      <c r="H2369" s="198"/>
      <c r="I2369" s="39"/>
      <c r="J2369" s="38"/>
      <c r="K2369" s="198"/>
      <c r="L2369" s="38"/>
      <c r="M2369" s="38"/>
      <c r="N2369" s="38"/>
      <c r="O2369" s="38"/>
      <c r="P2369" s="40" t="str" cm="1">
        <f t="array" ref="P2369">IF(N2369="","",IFERROR(_xlfn.XLOOKUP(F2369&amp;"|"&amp;J2369&amp;"|"&amp;O2369,PRICES!$C$2:$C$659&amp;"|"&amp;PRICES!$B$2:$B$659&amp;"|"&amp;PRICES!$D$2:$D$659,PRICES!$E$2:$E$659),"Not Found"))</f>
        <v/>
      </c>
      <c r="Q2369" s="100" t="str">
        <f>IF(N2369=0,"",SUMIFS(PRICES!$G$2:$G$658,PRICES!$B$2:$B$658,'MAIN TABLE-1 AUTOMATED'!J2369,PRICES!$C$2:$C$658,'MAIN TABLE-1 AUTOMATED'!F2369,PRICES!$D$2:$D$658,'MAIN TABLE-1 AUTOMATED'!O2369))</f>
        <v/>
      </c>
      <c r="R2369" s="41" t="str">
        <f>IF(Table1[[#This Row],[QUANTITY]]=0,"",Table1[[#This Row],[UNIT PRICE]]*Table1[[#This Row],[QUANTITY]])</f>
        <v/>
      </c>
      <c r="S2369" s="89"/>
      <c r="T2369" s="38"/>
      <c r="U2369" s="43"/>
      <c r="V2369" s="42" t="str">
        <f>IF(Table1[[#This Row],[DATE]]=0,"",YEAR(E2369))</f>
        <v/>
      </c>
      <c r="W2369" s="40" t="str">
        <f t="shared" si="76"/>
        <v/>
      </c>
      <c r="X2369" s="40" t="str">
        <f t="shared" si="77"/>
        <v/>
      </c>
      <c r="Y2369" s="40" t="str">
        <f>TEXT(Table1[[#This Row],[YEAR]],"0000")&amp;"-"&amp;Table1[[#This Row],[MONTH]]</f>
        <v>-</v>
      </c>
    </row>
    <row r="2370" spans="1:25" ht="15" customHeight="1" x14ac:dyDescent="0.35">
      <c r="A2370" s="24"/>
      <c r="B2370" s="38"/>
      <c r="C2370" s="38"/>
      <c r="D2370" s="38"/>
      <c r="E2370" s="37"/>
      <c r="F2370" s="38"/>
      <c r="G2370" s="198"/>
      <c r="H2370" s="198"/>
      <c r="I2370" s="39"/>
      <c r="J2370" s="38"/>
      <c r="K2370" s="198"/>
      <c r="L2370" s="38"/>
      <c r="M2370" s="38"/>
      <c r="N2370" s="38"/>
      <c r="O2370" s="38"/>
      <c r="P2370" s="40" t="str" cm="1">
        <f t="array" ref="P2370">IF(N2370="","",IFERROR(_xlfn.XLOOKUP(F2370&amp;"|"&amp;J2370&amp;"|"&amp;O2370,PRICES!$C$2:$C$659&amp;"|"&amp;PRICES!$B$2:$B$659&amp;"|"&amp;PRICES!$D$2:$D$659,PRICES!$E$2:$E$659),"Not Found"))</f>
        <v/>
      </c>
      <c r="Q2370" s="100" t="str">
        <f>IF(N2370=0,"",SUMIFS(PRICES!$G$2:$G$658,PRICES!$B$2:$B$658,'MAIN TABLE-1 AUTOMATED'!J2370,PRICES!$C$2:$C$658,'MAIN TABLE-1 AUTOMATED'!F2370,PRICES!$D$2:$D$658,'MAIN TABLE-1 AUTOMATED'!O2370))</f>
        <v/>
      </c>
      <c r="R2370" s="41" t="str">
        <f>IF(Table1[[#This Row],[QUANTITY]]=0,"",Table1[[#This Row],[UNIT PRICE]]*Table1[[#This Row],[QUANTITY]])</f>
        <v/>
      </c>
      <c r="S2370" s="89"/>
      <c r="T2370" s="38"/>
      <c r="U2370" s="43"/>
      <c r="V2370" s="42" t="str">
        <f>IF(Table1[[#This Row],[DATE]]=0,"",YEAR(E2370))</f>
        <v/>
      </c>
      <c r="W2370" s="40" t="str">
        <f t="shared" si="76"/>
        <v/>
      </c>
      <c r="X2370" s="40" t="str">
        <f t="shared" si="77"/>
        <v/>
      </c>
      <c r="Y2370" s="40" t="str">
        <f>TEXT(Table1[[#This Row],[YEAR]],"0000")&amp;"-"&amp;Table1[[#This Row],[MONTH]]</f>
        <v>-</v>
      </c>
    </row>
    <row r="2371" spans="1:25" ht="15" customHeight="1" x14ac:dyDescent="0.35">
      <c r="A2371" s="24"/>
      <c r="B2371" s="38"/>
      <c r="C2371" s="38"/>
      <c r="D2371" s="38"/>
      <c r="E2371" s="37"/>
      <c r="F2371" s="38"/>
      <c r="G2371" s="198"/>
      <c r="H2371" s="198"/>
      <c r="I2371" s="39"/>
      <c r="J2371" s="38"/>
      <c r="K2371" s="198"/>
      <c r="L2371" s="38"/>
      <c r="M2371" s="38"/>
      <c r="N2371" s="38"/>
      <c r="O2371" s="38"/>
      <c r="P2371" s="40" t="str" cm="1">
        <f t="array" ref="P2371">IF(N2371="","",IFERROR(_xlfn.XLOOKUP(F2371&amp;"|"&amp;J2371&amp;"|"&amp;O2371,PRICES!$C$2:$C$659&amp;"|"&amp;PRICES!$B$2:$B$659&amp;"|"&amp;PRICES!$D$2:$D$659,PRICES!$E$2:$E$659),"Not Found"))</f>
        <v/>
      </c>
      <c r="Q2371" s="100" t="str">
        <f>IF(N2371=0,"",SUMIFS(PRICES!$G$2:$G$658,PRICES!$B$2:$B$658,'MAIN TABLE-1 AUTOMATED'!J2371,PRICES!$C$2:$C$658,'MAIN TABLE-1 AUTOMATED'!F2371,PRICES!$D$2:$D$658,'MAIN TABLE-1 AUTOMATED'!O2371))</f>
        <v/>
      </c>
      <c r="R2371" s="41" t="str">
        <f>IF(Table1[[#This Row],[QUANTITY]]=0,"",Table1[[#This Row],[UNIT PRICE]]*Table1[[#This Row],[QUANTITY]])</f>
        <v/>
      </c>
      <c r="S2371" s="89"/>
      <c r="T2371" s="38"/>
      <c r="U2371" s="43"/>
      <c r="V2371" s="42" t="str">
        <f>IF(Table1[[#This Row],[DATE]]=0,"",YEAR(E2371))</f>
        <v/>
      </c>
      <c r="W2371" s="40" t="str">
        <f t="shared" ref="W2371:W2434" si="78">IF(E2371=0,"",MONTH(E2371))</f>
        <v/>
      </c>
      <c r="X2371" s="40" t="str">
        <f t="shared" ref="X2371:X2434" si="79">IF(E2371=0,"",WEEKNUM(E2371))</f>
        <v/>
      </c>
      <c r="Y2371" s="40" t="str">
        <f>TEXT(Table1[[#This Row],[YEAR]],"0000")&amp;"-"&amp;Table1[[#This Row],[MONTH]]</f>
        <v>-</v>
      </c>
    </row>
    <row r="2372" spans="1:25" ht="15" customHeight="1" x14ac:dyDescent="0.35">
      <c r="A2372" s="24"/>
      <c r="B2372" s="38"/>
      <c r="C2372" s="38"/>
      <c r="D2372" s="38"/>
      <c r="E2372" s="37"/>
      <c r="F2372" s="38"/>
      <c r="G2372" s="198"/>
      <c r="H2372" s="198"/>
      <c r="I2372" s="39"/>
      <c r="J2372" s="38"/>
      <c r="K2372" s="198"/>
      <c r="L2372" s="38"/>
      <c r="M2372" s="38"/>
      <c r="N2372" s="38"/>
      <c r="O2372" s="38"/>
      <c r="P2372" s="40" t="str" cm="1">
        <f t="array" ref="P2372">IF(N2372="","",IFERROR(_xlfn.XLOOKUP(F2372&amp;"|"&amp;J2372&amp;"|"&amp;O2372,PRICES!$C$2:$C$659&amp;"|"&amp;PRICES!$B$2:$B$659&amp;"|"&amp;PRICES!$D$2:$D$659,PRICES!$E$2:$E$659),"Not Found"))</f>
        <v/>
      </c>
      <c r="Q2372" s="100" t="str">
        <f>IF(N2372=0,"",SUMIFS(PRICES!$G$2:$G$658,PRICES!$B$2:$B$658,'MAIN TABLE-1 AUTOMATED'!J2372,PRICES!$C$2:$C$658,'MAIN TABLE-1 AUTOMATED'!F2372,PRICES!$D$2:$D$658,'MAIN TABLE-1 AUTOMATED'!O2372))</f>
        <v/>
      </c>
      <c r="R2372" s="41" t="str">
        <f>IF(Table1[[#This Row],[QUANTITY]]=0,"",Table1[[#This Row],[UNIT PRICE]]*Table1[[#This Row],[QUANTITY]])</f>
        <v/>
      </c>
      <c r="S2372" s="89"/>
      <c r="T2372" s="38"/>
      <c r="U2372" s="43"/>
      <c r="V2372" s="42" t="str">
        <f>IF(Table1[[#This Row],[DATE]]=0,"",YEAR(E2372))</f>
        <v/>
      </c>
      <c r="W2372" s="40" t="str">
        <f t="shared" si="78"/>
        <v/>
      </c>
      <c r="X2372" s="40" t="str">
        <f t="shared" si="79"/>
        <v/>
      </c>
      <c r="Y2372" s="40" t="str">
        <f>TEXT(Table1[[#This Row],[YEAR]],"0000")&amp;"-"&amp;Table1[[#This Row],[MONTH]]</f>
        <v>-</v>
      </c>
    </row>
    <row r="2373" spans="1:25" ht="15" customHeight="1" x14ac:dyDescent="0.35">
      <c r="A2373" s="24"/>
      <c r="B2373" s="38"/>
      <c r="C2373" s="38"/>
      <c r="D2373" s="38"/>
      <c r="E2373" s="37"/>
      <c r="F2373" s="38"/>
      <c r="G2373" s="198"/>
      <c r="H2373" s="198"/>
      <c r="I2373" s="39"/>
      <c r="J2373" s="38"/>
      <c r="K2373" s="198"/>
      <c r="L2373" s="38"/>
      <c r="M2373" s="38"/>
      <c r="N2373" s="38"/>
      <c r="O2373" s="38"/>
      <c r="P2373" s="40" t="str" cm="1">
        <f t="array" ref="P2373">IF(N2373="","",IFERROR(_xlfn.XLOOKUP(F2373&amp;"|"&amp;J2373&amp;"|"&amp;O2373,PRICES!$C$2:$C$659&amp;"|"&amp;PRICES!$B$2:$B$659&amp;"|"&amp;PRICES!$D$2:$D$659,PRICES!$E$2:$E$659),"Not Found"))</f>
        <v/>
      </c>
      <c r="Q2373" s="100" t="str">
        <f>IF(N2373=0,"",SUMIFS(PRICES!$G$2:$G$658,PRICES!$B$2:$B$658,'MAIN TABLE-1 AUTOMATED'!J2373,PRICES!$C$2:$C$658,'MAIN TABLE-1 AUTOMATED'!F2373,PRICES!$D$2:$D$658,'MAIN TABLE-1 AUTOMATED'!O2373))</f>
        <v/>
      </c>
      <c r="R2373" s="41" t="str">
        <f>IF(Table1[[#This Row],[QUANTITY]]=0,"",Table1[[#This Row],[UNIT PRICE]]*Table1[[#This Row],[QUANTITY]])</f>
        <v/>
      </c>
      <c r="S2373" s="89"/>
      <c r="T2373" s="38"/>
      <c r="U2373" s="43"/>
      <c r="V2373" s="42" t="str">
        <f>IF(Table1[[#This Row],[DATE]]=0,"",YEAR(E2373))</f>
        <v/>
      </c>
      <c r="W2373" s="40" t="str">
        <f t="shared" si="78"/>
        <v/>
      </c>
      <c r="X2373" s="40" t="str">
        <f t="shared" si="79"/>
        <v/>
      </c>
      <c r="Y2373" s="40" t="str">
        <f>TEXT(Table1[[#This Row],[YEAR]],"0000")&amp;"-"&amp;Table1[[#This Row],[MONTH]]</f>
        <v>-</v>
      </c>
    </row>
    <row r="2374" spans="1:25" ht="15" customHeight="1" x14ac:dyDescent="0.35">
      <c r="A2374" s="24"/>
      <c r="B2374" s="38"/>
      <c r="C2374" s="38"/>
      <c r="D2374" s="38"/>
      <c r="E2374" s="37"/>
      <c r="F2374" s="38"/>
      <c r="G2374" s="198"/>
      <c r="H2374" s="198"/>
      <c r="I2374" s="39"/>
      <c r="J2374" s="38"/>
      <c r="K2374" s="198"/>
      <c r="L2374" s="38"/>
      <c r="M2374" s="38"/>
      <c r="N2374" s="38"/>
      <c r="O2374" s="38"/>
      <c r="P2374" s="40" t="str" cm="1">
        <f t="array" ref="P2374">IF(N2374="","",IFERROR(_xlfn.XLOOKUP(F2374&amp;"|"&amp;J2374&amp;"|"&amp;O2374,PRICES!$C$2:$C$659&amp;"|"&amp;PRICES!$B$2:$B$659&amp;"|"&amp;PRICES!$D$2:$D$659,PRICES!$E$2:$E$659),"Not Found"))</f>
        <v/>
      </c>
      <c r="Q2374" s="100" t="str">
        <f>IF(N2374=0,"",SUMIFS(PRICES!$G$2:$G$658,PRICES!$B$2:$B$658,'MAIN TABLE-1 AUTOMATED'!J2374,PRICES!$C$2:$C$658,'MAIN TABLE-1 AUTOMATED'!F2374,PRICES!$D$2:$D$658,'MAIN TABLE-1 AUTOMATED'!O2374))</f>
        <v/>
      </c>
      <c r="R2374" s="41" t="str">
        <f>IF(Table1[[#This Row],[QUANTITY]]=0,"",Table1[[#This Row],[UNIT PRICE]]*Table1[[#This Row],[QUANTITY]])</f>
        <v/>
      </c>
      <c r="S2374" s="89"/>
      <c r="T2374" s="38"/>
      <c r="U2374" s="43"/>
      <c r="V2374" s="42" t="str">
        <f>IF(Table1[[#This Row],[DATE]]=0,"",YEAR(E2374))</f>
        <v/>
      </c>
      <c r="W2374" s="40" t="str">
        <f t="shared" si="78"/>
        <v/>
      </c>
      <c r="X2374" s="40" t="str">
        <f t="shared" si="79"/>
        <v/>
      </c>
      <c r="Y2374" s="40" t="str">
        <f>TEXT(Table1[[#This Row],[YEAR]],"0000")&amp;"-"&amp;Table1[[#This Row],[MONTH]]</f>
        <v>-</v>
      </c>
    </row>
    <row r="2375" spans="1:25" ht="15" customHeight="1" x14ac:dyDescent="0.35">
      <c r="A2375" s="24"/>
      <c r="B2375" s="38"/>
      <c r="C2375" s="38"/>
      <c r="D2375" s="38"/>
      <c r="E2375" s="37"/>
      <c r="F2375" s="38"/>
      <c r="G2375" s="198"/>
      <c r="H2375" s="198"/>
      <c r="I2375" s="39"/>
      <c r="J2375" s="38"/>
      <c r="K2375" s="198"/>
      <c r="L2375" s="38"/>
      <c r="M2375" s="38"/>
      <c r="N2375" s="38"/>
      <c r="O2375" s="38"/>
      <c r="P2375" s="40" t="str" cm="1">
        <f t="array" ref="P2375">IF(N2375="","",IFERROR(_xlfn.XLOOKUP(F2375&amp;"|"&amp;J2375&amp;"|"&amp;O2375,PRICES!$C$2:$C$659&amp;"|"&amp;PRICES!$B$2:$B$659&amp;"|"&amp;PRICES!$D$2:$D$659,PRICES!$E$2:$E$659),"Not Found"))</f>
        <v/>
      </c>
      <c r="Q2375" s="100" t="str">
        <f>IF(N2375=0,"",SUMIFS(PRICES!$G$2:$G$658,PRICES!$B$2:$B$658,'MAIN TABLE-1 AUTOMATED'!J2375,PRICES!$C$2:$C$658,'MAIN TABLE-1 AUTOMATED'!F2375,PRICES!$D$2:$D$658,'MAIN TABLE-1 AUTOMATED'!O2375))</f>
        <v/>
      </c>
      <c r="R2375" s="41" t="str">
        <f>IF(Table1[[#This Row],[QUANTITY]]=0,"",Table1[[#This Row],[UNIT PRICE]]*Table1[[#This Row],[QUANTITY]])</f>
        <v/>
      </c>
      <c r="S2375" s="89"/>
      <c r="T2375" s="38"/>
      <c r="U2375" s="43"/>
      <c r="V2375" s="42" t="str">
        <f>IF(Table1[[#This Row],[DATE]]=0,"",YEAR(E2375))</f>
        <v/>
      </c>
      <c r="W2375" s="40" t="str">
        <f t="shared" si="78"/>
        <v/>
      </c>
      <c r="X2375" s="40" t="str">
        <f t="shared" si="79"/>
        <v/>
      </c>
      <c r="Y2375" s="40" t="str">
        <f>TEXT(Table1[[#This Row],[YEAR]],"0000")&amp;"-"&amp;Table1[[#This Row],[MONTH]]</f>
        <v>-</v>
      </c>
    </row>
    <row r="2376" spans="1:25" ht="15" customHeight="1" x14ac:dyDescent="0.35">
      <c r="A2376" s="24"/>
      <c r="B2376" s="38"/>
      <c r="C2376" s="38"/>
      <c r="D2376" s="38"/>
      <c r="E2376" s="37"/>
      <c r="F2376" s="38"/>
      <c r="G2376" s="198"/>
      <c r="H2376" s="198"/>
      <c r="I2376" s="39"/>
      <c r="J2376" s="38"/>
      <c r="K2376" s="198"/>
      <c r="L2376" s="38"/>
      <c r="M2376" s="38"/>
      <c r="N2376" s="38"/>
      <c r="O2376" s="38"/>
      <c r="P2376" s="40" t="str" cm="1">
        <f t="array" ref="P2376">IF(N2376="","",IFERROR(_xlfn.XLOOKUP(F2376&amp;"|"&amp;J2376&amp;"|"&amp;O2376,PRICES!$C$2:$C$659&amp;"|"&amp;PRICES!$B$2:$B$659&amp;"|"&amp;PRICES!$D$2:$D$659,PRICES!$E$2:$E$659),"Not Found"))</f>
        <v/>
      </c>
      <c r="Q2376" s="100" t="str">
        <f>IF(N2376=0,"",SUMIFS(PRICES!$G$2:$G$658,PRICES!$B$2:$B$658,'MAIN TABLE-1 AUTOMATED'!J2376,PRICES!$C$2:$C$658,'MAIN TABLE-1 AUTOMATED'!F2376,PRICES!$D$2:$D$658,'MAIN TABLE-1 AUTOMATED'!O2376))</f>
        <v/>
      </c>
      <c r="R2376" s="41" t="str">
        <f>IF(Table1[[#This Row],[QUANTITY]]=0,"",Table1[[#This Row],[UNIT PRICE]]*Table1[[#This Row],[QUANTITY]])</f>
        <v/>
      </c>
      <c r="S2376" s="89"/>
      <c r="T2376" s="38"/>
      <c r="U2376" s="43"/>
      <c r="V2376" s="42" t="str">
        <f>IF(Table1[[#This Row],[DATE]]=0,"",YEAR(E2376))</f>
        <v/>
      </c>
      <c r="W2376" s="40" t="str">
        <f t="shared" si="78"/>
        <v/>
      </c>
      <c r="X2376" s="40" t="str">
        <f t="shared" si="79"/>
        <v/>
      </c>
      <c r="Y2376" s="40" t="str">
        <f>TEXT(Table1[[#This Row],[YEAR]],"0000")&amp;"-"&amp;Table1[[#This Row],[MONTH]]</f>
        <v>-</v>
      </c>
    </row>
    <row r="2377" spans="1:25" ht="15" customHeight="1" x14ac:dyDescent="0.35">
      <c r="A2377" s="24"/>
      <c r="B2377" s="38"/>
      <c r="C2377" s="38"/>
      <c r="D2377" s="38"/>
      <c r="E2377" s="37"/>
      <c r="F2377" s="38"/>
      <c r="G2377" s="198"/>
      <c r="H2377" s="198"/>
      <c r="I2377" s="39"/>
      <c r="J2377" s="38"/>
      <c r="K2377" s="198"/>
      <c r="L2377" s="38"/>
      <c r="M2377" s="38"/>
      <c r="N2377" s="38"/>
      <c r="O2377" s="38"/>
      <c r="P2377" s="40" t="str" cm="1">
        <f t="array" ref="P2377">IF(N2377="","",IFERROR(_xlfn.XLOOKUP(F2377&amp;"|"&amp;J2377&amp;"|"&amp;O2377,PRICES!$C$2:$C$659&amp;"|"&amp;PRICES!$B$2:$B$659&amp;"|"&amp;PRICES!$D$2:$D$659,PRICES!$E$2:$E$659),"Not Found"))</f>
        <v/>
      </c>
      <c r="Q2377" s="100" t="str">
        <f>IF(N2377=0,"",SUMIFS(PRICES!$G$2:$G$658,PRICES!$B$2:$B$658,'MAIN TABLE-1 AUTOMATED'!J2377,PRICES!$C$2:$C$658,'MAIN TABLE-1 AUTOMATED'!F2377,PRICES!$D$2:$D$658,'MAIN TABLE-1 AUTOMATED'!O2377))</f>
        <v/>
      </c>
      <c r="R2377" s="41" t="str">
        <f>IF(Table1[[#This Row],[QUANTITY]]=0,"",Table1[[#This Row],[UNIT PRICE]]*Table1[[#This Row],[QUANTITY]])</f>
        <v/>
      </c>
      <c r="S2377" s="89"/>
      <c r="T2377" s="38"/>
      <c r="U2377" s="43"/>
      <c r="V2377" s="42" t="str">
        <f>IF(Table1[[#This Row],[DATE]]=0,"",YEAR(E2377))</f>
        <v/>
      </c>
      <c r="W2377" s="40" t="str">
        <f t="shared" si="78"/>
        <v/>
      </c>
      <c r="X2377" s="40" t="str">
        <f t="shared" si="79"/>
        <v/>
      </c>
      <c r="Y2377" s="40" t="str">
        <f>TEXT(Table1[[#This Row],[YEAR]],"0000")&amp;"-"&amp;Table1[[#This Row],[MONTH]]</f>
        <v>-</v>
      </c>
    </row>
    <row r="2378" spans="1:25" ht="15" customHeight="1" x14ac:dyDescent="0.35">
      <c r="A2378" s="24"/>
      <c r="B2378" s="38"/>
      <c r="C2378" s="38"/>
      <c r="D2378" s="38"/>
      <c r="E2378" s="37"/>
      <c r="F2378" s="38"/>
      <c r="G2378" s="198"/>
      <c r="H2378" s="198"/>
      <c r="I2378" s="39"/>
      <c r="J2378" s="38"/>
      <c r="K2378" s="198"/>
      <c r="L2378" s="38"/>
      <c r="M2378" s="38"/>
      <c r="N2378" s="38"/>
      <c r="O2378" s="38"/>
      <c r="P2378" s="40" t="str" cm="1">
        <f t="array" ref="P2378">IF(N2378="","",IFERROR(_xlfn.XLOOKUP(F2378&amp;"|"&amp;J2378&amp;"|"&amp;O2378,PRICES!$C$2:$C$659&amp;"|"&amp;PRICES!$B$2:$B$659&amp;"|"&amp;PRICES!$D$2:$D$659,PRICES!$E$2:$E$659),"Not Found"))</f>
        <v/>
      </c>
      <c r="Q2378" s="100" t="str">
        <f>IF(N2378=0,"",SUMIFS(PRICES!$G$2:$G$658,PRICES!$B$2:$B$658,'MAIN TABLE-1 AUTOMATED'!J2378,PRICES!$C$2:$C$658,'MAIN TABLE-1 AUTOMATED'!F2378,PRICES!$D$2:$D$658,'MAIN TABLE-1 AUTOMATED'!O2378))</f>
        <v/>
      </c>
      <c r="R2378" s="41" t="str">
        <f>IF(Table1[[#This Row],[QUANTITY]]=0,"",Table1[[#This Row],[UNIT PRICE]]*Table1[[#This Row],[QUANTITY]])</f>
        <v/>
      </c>
      <c r="S2378" s="89"/>
      <c r="T2378" s="38"/>
      <c r="U2378" s="43"/>
      <c r="V2378" s="42" t="str">
        <f>IF(Table1[[#This Row],[DATE]]=0,"",YEAR(E2378))</f>
        <v/>
      </c>
      <c r="W2378" s="40" t="str">
        <f t="shared" si="78"/>
        <v/>
      </c>
      <c r="X2378" s="40" t="str">
        <f t="shared" si="79"/>
        <v/>
      </c>
      <c r="Y2378" s="40" t="str">
        <f>TEXT(Table1[[#This Row],[YEAR]],"0000")&amp;"-"&amp;Table1[[#This Row],[MONTH]]</f>
        <v>-</v>
      </c>
    </row>
    <row r="2379" spans="1:25" ht="15" customHeight="1" x14ac:dyDescent="0.35">
      <c r="A2379" s="24"/>
      <c r="B2379" s="38"/>
      <c r="C2379" s="38"/>
      <c r="D2379" s="38"/>
      <c r="E2379" s="37"/>
      <c r="F2379" s="38"/>
      <c r="G2379" s="198"/>
      <c r="H2379" s="198"/>
      <c r="I2379" s="39"/>
      <c r="J2379" s="38"/>
      <c r="K2379" s="198"/>
      <c r="L2379" s="38"/>
      <c r="M2379" s="38"/>
      <c r="N2379" s="38"/>
      <c r="O2379" s="38"/>
      <c r="P2379" s="40" t="str" cm="1">
        <f t="array" ref="P2379">IF(N2379="","",IFERROR(_xlfn.XLOOKUP(F2379&amp;"|"&amp;J2379&amp;"|"&amp;O2379,PRICES!$C$2:$C$659&amp;"|"&amp;PRICES!$B$2:$B$659&amp;"|"&amp;PRICES!$D$2:$D$659,PRICES!$E$2:$E$659),"Not Found"))</f>
        <v/>
      </c>
      <c r="Q2379" s="100" t="str">
        <f>IF(N2379=0,"",SUMIFS(PRICES!$G$2:$G$658,PRICES!$B$2:$B$658,'MAIN TABLE-1 AUTOMATED'!J2379,PRICES!$C$2:$C$658,'MAIN TABLE-1 AUTOMATED'!F2379,PRICES!$D$2:$D$658,'MAIN TABLE-1 AUTOMATED'!O2379))</f>
        <v/>
      </c>
      <c r="R2379" s="41" t="str">
        <f>IF(Table1[[#This Row],[QUANTITY]]=0,"",Table1[[#This Row],[UNIT PRICE]]*Table1[[#This Row],[QUANTITY]])</f>
        <v/>
      </c>
      <c r="S2379" s="89"/>
      <c r="T2379" s="38"/>
      <c r="U2379" s="43"/>
      <c r="V2379" s="42" t="str">
        <f>IF(Table1[[#This Row],[DATE]]=0,"",YEAR(E2379))</f>
        <v/>
      </c>
      <c r="W2379" s="40" t="str">
        <f t="shared" si="78"/>
        <v/>
      </c>
      <c r="X2379" s="40" t="str">
        <f t="shared" si="79"/>
        <v/>
      </c>
      <c r="Y2379" s="40" t="str">
        <f>TEXT(Table1[[#This Row],[YEAR]],"0000")&amp;"-"&amp;Table1[[#This Row],[MONTH]]</f>
        <v>-</v>
      </c>
    </row>
    <row r="2380" spans="1:25" ht="15" customHeight="1" x14ac:dyDescent="0.35">
      <c r="A2380" s="24"/>
      <c r="B2380" s="38"/>
      <c r="C2380" s="38"/>
      <c r="D2380" s="38"/>
      <c r="E2380" s="37"/>
      <c r="F2380" s="38"/>
      <c r="G2380" s="198"/>
      <c r="H2380" s="198"/>
      <c r="I2380" s="39"/>
      <c r="J2380" s="38"/>
      <c r="K2380" s="198"/>
      <c r="L2380" s="38"/>
      <c r="M2380" s="38"/>
      <c r="N2380" s="38"/>
      <c r="O2380" s="38"/>
      <c r="P2380" s="40" t="str" cm="1">
        <f t="array" ref="P2380">IF(N2380="","",IFERROR(_xlfn.XLOOKUP(F2380&amp;"|"&amp;J2380&amp;"|"&amp;O2380,PRICES!$C$2:$C$659&amp;"|"&amp;PRICES!$B$2:$B$659&amp;"|"&amp;PRICES!$D$2:$D$659,PRICES!$E$2:$E$659),"Not Found"))</f>
        <v/>
      </c>
      <c r="Q2380" s="100" t="str">
        <f>IF(N2380=0,"",SUMIFS(PRICES!$G$2:$G$658,PRICES!$B$2:$B$658,'MAIN TABLE-1 AUTOMATED'!J2380,PRICES!$C$2:$C$658,'MAIN TABLE-1 AUTOMATED'!F2380,PRICES!$D$2:$D$658,'MAIN TABLE-1 AUTOMATED'!O2380))</f>
        <v/>
      </c>
      <c r="R2380" s="41" t="str">
        <f>IF(Table1[[#This Row],[QUANTITY]]=0,"",Table1[[#This Row],[UNIT PRICE]]*Table1[[#This Row],[QUANTITY]])</f>
        <v/>
      </c>
      <c r="S2380" s="89"/>
      <c r="T2380" s="38"/>
      <c r="U2380" s="43"/>
      <c r="V2380" s="42" t="str">
        <f>IF(Table1[[#This Row],[DATE]]=0,"",YEAR(E2380))</f>
        <v/>
      </c>
      <c r="W2380" s="40" t="str">
        <f t="shared" si="78"/>
        <v/>
      </c>
      <c r="X2380" s="40" t="str">
        <f t="shared" si="79"/>
        <v/>
      </c>
      <c r="Y2380" s="40" t="str">
        <f>TEXT(Table1[[#This Row],[YEAR]],"0000")&amp;"-"&amp;Table1[[#This Row],[MONTH]]</f>
        <v>-</v>
      </c>
    </row>
    <row r="2381" spans="1:25" ht="15" customHeight="1" x14ac:dyDescent="0.35">
      <c r="A2381" s="24"/>
      <c r="B2381" s="38"/>
      <c r="C2381" s="38"/>
      <c r="D2381" s="38"/>
      <c r="E2381" s="37"/>
      <c r="F2381" s="38"/>
      <c r="G2381" s="198"/>
      <c r="H2381" s="198"/>
      <c r="I2381" s="39"/>
      <c r="J2381" s="38"/>
      <c r="K2381" s="198"/>
      <c r="L2381" s="38"/>
      <c r="M2381" s="38"/>
      <c r="N2381" s="38"/>
      <c r="O2381" s="38"/>
      <c r="P2381" s="40" t="str" cm="1">
        <f t="array" ref="P2381">IF(N2381="","",IFERROR(_xlfn.XLOOKUP(F2381&amp;"|"&amp;J2381&amp;"|"&amp;O2381,PRICES!$C$2:$C$659&amp;"|"&amp;PRICES!$B$2:$B$659&amp;"|"&amp;PRICES!$D$2:$D$659,PRICES!$E$2:$E$659),"Not Found"))</f>
        <v/>
      </c>
      <c r="Q2381" s="100" t="str">
        <f>IF(N2381=0,"",SUMIFS(PRICES!$G$2:$G$658,PRICES!$B$2:$B$658,'MAIN TABLE-1 AUTOMATED'!J2381,PRICES!$C$2:$C$658,'MAIN TABLE-1 AUTOMATED'!F2381,PRICES!$D$2:$D$658,'MAIN TABLE-1 AUTOMATED'!O2381))</f>
        <v/>
      </c>
      <c r="R2381" s="41" t="str">
        <f>IF(Table1[[#This Row],[QUANTITY]]=0,"",Table1[[#This Row],[UNIT PRICE]]*Table1[[#This Row],[QUANTITY]])</f>
        <v/>
      </c>
      <c r="S2381" s="89"/>
      <c r="T2381" s="38"/>
      <c r="U2381" s="43"/>
      <c r="V2381" s="42" t="str">
        <f>IF(Table1[[#This Row],[DATE]]=0,"",YEAR(E2381))</f>
        <v/>
      </c>
      <c r="W2381" s="40" t="str">
        <f t="shared" si="78"/>
        <v/>
      </c>
      <c r="X2381" s="40" t="str">
        <f t="shared" si="79"/>
        <v/>
      </c>
      <c r="Y2381" s="40" t="str">
        <f>TEXT(Table1[[#This Row],[YEAR]],"0000")&amp;"-"&amp;Table1[[#This Row],[MONTH]]</f>
        <v>-</v>
      </c>
    </row>
    <row r="2382" spans="1:25" ht="15" customHeight="1" x14ac:dyDescent="0.35">
      <c r="A2382" s="24"/>
      <c r="B2382" s="38"/>
      <c r="C2382" s="38"/>
      <c r="D2382" s="38"/>
      <c r="E2382" s="37"/>
      <c r="F2382" s="38"/>
      <c r="G2382" s="198"/>
      <c r="H2382" s="198"/>
      <c r="I2382" s="39"/>
      <c r="J2382" s="38"/>
      <c r="K2382" s="198"/>
      <c r="L2382" s="38"/>
      <c r="M2382" s="38"/>
      <c r="N2382" s="38"/>
      <c r="O2382" s="38"/>
      <c r="P2382" s="40" t="str" cm="1">
        <f t="array" ref="P2382">IF(N2382="","",IFERROR(_xlfn.XLOOKUP(F2382&amp;"|"&amp;J2382&amp;"|"&amp;O2382,PRICES!$C$2:$C$659&amp;"|"&amp;PRICES!$B$2:$B$659&amp;"|"&amp;PRICES!$D$2:$D$659,PRICES!$E$2:$E$659),"Not Found"))</f>
        <v/>
      </c>
      <c r="Q2382" s="100" t="str">
        <f>IF(N2382=0,"",SUMIFS(PRICES!$G$2:$G$658,PRICES!$B$2:$B$658,'MAIN TABLE-1 AUTOMATED'!J2382,PRICES!$C$2:$C$658,'MAIN TABLE-1 AUTOMATED'!F2382,PRICES!$D$2:$D$658,'MAIN TABLE-1 AUTOMATED'!O2382))</f>
        <v/>
      </c>
      <c r="R2382" s="41" t="str">
        <f>IF(Table1[[#This Row],[QUANTITY]]=0,"",Table1[[#This Row],[UNIT PRICE]]*Table1[[#This Row],[QUANTITY]])</f>
        <v/>
      </c>
      <c r="S2382" s="89"/>
      <c r="T2382" s="38"/>
      <c r="U2382" s="43"/>
      <c r="V2382" s="42" t="str">
        <f>IF(Table1[[#This Row],[DATE]]=0,"",YEAR(E2382))</f>
        <v/>
      </c>
      <c r="W2382" s="40" t="str">
        <f t="shared" si="78"/>
        <v/>
      </c>
      <c r="X2382" s="40" t="str">
        <f t="shared" si="79"/>
        <v/>
      </c>
      <c r="Y2382" s="40" t="str">
        <f>TEXT(Table1[[#This Row],[YEAR]],"0000")&amp;"-"&amp;Table1[[#This Row],[MONTH]]</f>
        <v>-</v>
      </c>
    </row>
    <row r="2383" spans="1:25" ht="15" customHeight="1" x14ac:dyDescent="0.35">
      <c r="A2383" s="24"/>
      <c r="B2383" s="38"/>
      <c r="C2383" s="38"/>
      <c r="D2383" s="38"/>
      <c r="E2383" s="37"/>
      <c r="F2383" s="38"/>
      <c r="G2383" s="198"/>
      <c r="H2383" s="198"/>
      <c r="I2383" s="39"/>
      <c r="J2383" s="38"/>
      <c r="K2383" s="198"/>
      <c r="L2383" s="38"/>
      <c r="M2383" s="38"/>
      <c r="N2383" s="38"/>
      <c r="O2383" s="38"/>
      <c r="P2383" s="40" t="str" cm="1">
        <f t="array" ref="P2383">IF(N2383="","",IFERROR(_xlfn.XLOOKUP(F2383&amp;"|"&amp;J2383&amp;"|"&amp;O2383,PRICES!$C$2:$C$659&amp;"|"&amp;PRICES!$B$2:$B$659&amp;"|"&amp;PRICES!$D$2:$D$659,PRICES!$E$2:$E$659),"Not Found"))</f>
        <v/>
      </c>
      <c r="Q2383" s="100" t="str">
        <f>IF(N2383=0,"",SUMIFS(PRICES!$G$2:$G$658,PRICES!$B$2:$B$658,'MAIN TABLE-1 AUTOMATED'!J2383,PRICES!$C$2:$C$658,'MAIN TABLE-1 AUTOMATED'!F2383,PRICES!$D$2:$D$658,'MAIN TABLE-1 AUTOMATED'!O2383))</f>
        <v/>
      </c>
      <c r="R2383" s="41" t="str">
        <f>IF(Table1[[#This Row],[QUANTITY]]=0,"",Table1[[#This Row],[UNIT PRICE]]*Table1[[#This Row],[QUANTITY]])</f>
        <v/>
      </c>
      <c r="S2383" s="89"/>
      <c r="T2383" s="38"/>
      <c r="U2383" s="43"/>
      <c r="V2383" s="42" t="str">
        <f>IF(Table1[[#This Row],[DATE]]=0,"",YEAR(E2383))</f>
        <v/>
      </c>
      <c r="W2383" s="40" t="str">
        <f t="shared" si="78"/>
        <v/>
      </c>
      <c r="X2383" s="40" t="str">
        <f t="shared" si="79"/>
        <v/>
      </c>
      <c r="Y2383" s="40" t="str">
        <f>TEXT(Table1[[#This Row],[YEAR]],"0000")&amp;"-"&amp;Table1[[#This Row],[MONTH]]</f>
        <v>-</v>
      </c>
    </row>
    <row r="2384" spans="1:25" ht="15" customHeight="1" x14ac:dyDescent="0.35">
      <c r="A2384" s="24"/>
      <c r="B2384" s="38"/>
      <c r="C2384" s="38"/>
      <c r="D2384" s="38"/>
      <c r="E2384" s="37"/>
      <c r="F2384" s="38"/>
      <c r="G2384" s="198"/>
      <c r="H2384" s="198"/>
      <c r="I2384" s="39"/>
      <c r="J2384" s="38"/>
      <c r="K2384" s="198"/>
      <c r="L2384" s="38"/>
      <c r="M2384" s="38"/>
      <c r="N2384" s="38"/>
      <c r="O2384" s="38"/>
      <c r="P2384" s="40" t="str" cm="1">
        <f t="array" ref="P2384">IF(N2384="","",IFERROR(_xlfn.XLOOKUP(F2384&amp;"|"&amp;J2384&amp;"|"&amp;O2384,PRICES!$C$2:$C$659&amp;"|"&amp;PRICES!$B$2:$B$659&amp;"|"&amp;PRICES!$D$2:$D$659,PRICES!$E$2:$E$659),"Not Found"))</f>
        <v/>
      </c>
      <c r="Q2384" s="100" t="str">
        <f>IF(N2384=0,"",SUMIFS(PRICES!$G$2:$G$658,PRICES!$B$2:$B$658,'MAIN TABLE-1 AUTOMATED'!J2384,PRICES!$C$2:$C$658,'MAIN TABLE-1 AUTOMATED'!F2384,PRICES!$D$2:$D$658,'MAIN TABLE-1 AUTOMATED'!O2384))</f>
        <v/>
      </c>
      <c r="R2384" s="41" t="str">
        <f>IF(Table1[[#This Row],[QUANTITY]]=0,"",Table1[[#This Row],[UNIT PRICE]]*Table1[[#This Row],[QUANTITY]])</f>
        <v/>
      </c>
      <c r="S2384" s="89"/>
      <c r="T2384" s="38"/>
      <c r="U2384" s="43"/>
      <c r="V2384" s="42" t="str">
        <f>IF(Table1[[#This Row],[DATE]]=0,"",YEAR(E2384))</f>
        <v/>
      </c>
      <c r="W2384" s="40" t="str">
        <f t="shared" si="78"/>
        <v/>
      </c>
      <c r="X2384" s="40" t="str">
        <f t="shared" si="79"/>
        <v/>
      </c>
      <c r="Y2384" s="40" t="str">
        <f>TEXT(Table1[[#This Row],[YEAR]],"0000")&amp;"-"&amp;Table1[[#This Row],[MONTH]]</f>
        <v>-</v>
      </c>
    </row>
    <row r="2385" spans="1:25" ht="15" customHeight="1" x14ac:dyDescent="0.35">
      <c r="A2385" s="24"/>
      <c r="B2385" s="38"/>
      <c r="C2385" s="38"/>
      <c r="D2385" s="38"/>
      <c r="E2385" s="37"/>
      <c r="F2385" s="38"/>
      <c r="G2385" s="198"/>
      <c r="H2385" s="198"/>
      <c r="I2385" s="39"/>
      <c r="J2385" s="38"/>
      <c r="K2385" s="198"/>
      <c r="L2385" s="38"/>
      <c r="M2385" s="38"/>
      <c r="N2385" s="38"/>
      <c r="O2385" s="38"/>
      <c r="P2385" s="40" t="str" cm="1">
        <f t="array" ref="P2385">IF(N2385="","",IFERROR(_xlfn.XLOOKUP(F2385&amp;"|"&amp;J2385&amp;"|"&amp;O2385,PRICES!$C$2:$C$659&amp;"|"&amp;PRICES!$B$2:$B$659&amp;"|"&amp;PRICES!$D$2:$D$659,PRICES!$E$2:$E$659),"Not Found"))</f>
        <v/>
      </c>
      <c r="Q2385" s="100" t="str">
        <f>IF(N2385=0,"",SUMIFS(PRICES!$G$2:$G$658,PRICES!$B$2:$B$658,'MAIN TABLE-1 AUTOMATED'!J2385,PRICES!$C$2:$C$658,'MAIN TABLE-1 AUTOMATED'!F2385,PRICES!$D$2:$D$658,'MAIN TABLE-1 AUTOMATED'!O2385))</f>
        <v/>
      </c>
      <c r="R2385" s="41" t="str">
        <f>IF(Table1[[#This Row],[QUANTITY]]=0,"",Table1[[#This Row],[UNIT PRICE]]*Table1[[#This Row],[QUANTITY]])</f>
        <v/>
      </c>
      <c r="S2385" s="89"/>
      <c r="T2385" s="38"/>
      <c r="U2385" s="43"/>
      <c r="V2385" s="42" t="str">
        <f>IF(Table1[[#This Row],[DATE]]=0,"",YEAR(E2385))</f>
        <v/>
      </c>
      <c r="W2385" s="40" t="str">
        <f t="shared" si="78"/>
        <v/>
      </c>
      <c r="X2385" s="40" t="str">
        <f t="shared" si="79"/>
        <v/>
      </c>
      <c r="Y2385" s="40" t="str">
        <f>TEXT(Table1[[#This Row],[YEAR]],"0000")&amp;"-"&amp;Table1[[#This Row],[MONTH]]</f>
        <v>-</v>
      </c>
    </row>
    <row r="2386" spans="1:25" ht="15" customHeight="1" x14ac:dyDescent="0.35">
      <c r="A2386" s="24"/>
      <c r="B2386" s="38"/>
      <c r="C2386" s="38"/>
      <c r="D2386" s="38"/>
      <c r="E2386" s="37"/>
      <c r="F2386" s="38"/>
      <c r="G2386" s="198"/>
      <c r="H2386" s="198"/>
      <c r="I2386" s="39"/>
      <c r="J2386" s="38"/>
      <c r="K2386" s="198"/>
      <c r="L2386" s="38"/>
      <c r="M2386" s="38"/>
      <c r="N2386" s="38"/>
      <c r="O2386" s="38"/>
      <c r="P2386" s="40" t="str" cm="1">
        <f t="array" ref="P2386">IF(N2386="","",IFERROR(_xlfn.XLOOKUP(F2386&amp;"|"&amp;J2386&amp;"|"&amp;O2386,PRICES!$C$2:$C$659&amp;"|"&amp;PRICES!$B$2:$B$659&amp;"|"&amp;PRICES!$D$2:$D$659,PRICES!$E$2:$E$659),"Not Found"))</f>
        <v/>
      </c>
      <c r="Q2386" s="100" t="str">
        <f>IF(N2386=0,"",SUMIFS(PRICES!$G$2:$G$658,PRICES!$B$2:$B$658,'MAIN TABLE-1 AUTOMATED'!J2386,PRICES!$C$2:$C$658,'MAIN TABLE-1 AUTOMATED'!F2386,PRICES!$D$2:$D$658,'MAIN TABLE-1 AUTOMATED'!O2386))</f>
        <v/>
      </c>
      <c r="R2386" s="41" t="str">
        <f>IF(Table1[[#This Row],[QUANTITY]]=0,"",Table1[[#This Row],[UNIT PRICE]]*Table1[[#This Row],[QUANTITY]])</f>
        <v/>
      </c>
      <c r="S2386" s="89"/>
      <c r="T2386" s="38"/>
      <c r="U2386" s="43"/>
      <c r="V2386" s="42" t="str">
        <f>IF(Table1[[#This Row],[DATE]]=0,"",YEAR(E2386))</f>
        <v/>
      </c>
      <c r="W2386" s="40" t="str">
        <f t="shared" si="78"/>
        <v/>
      </c>
      <c r="X2386" s="40" t="str">
        <f t="shared" si="79"/>
        <v/>
      </c>
      <c r="Y2386" s="40" t="str">
        <f>TEXT(Table1[[#This Row],[YEAR]],"0000")&amp;"-"&amp;Table1[[#This Row],[MONTH]]</f>
        <v>-</v>
      </c>
    </row>
    <row r="2387" spans="1:25" ht="15" customHeight="1" x14ac:dyDescent="0.35">
      <c r="A2387" s="24"/>
      <c r="B2387" s="38"/>
      <c r="C2387" s="38"/>
      <c r="D2387" s="38"/>
      <c r="E2387" s="37"/>
      <c r="F2387" s="38"/>
      <c r="G2387" s="198"/>
      <c r="H2387" s="198"/>
      <c r="I2387" s="39"/>
      <c r="J2387" s="38"/>
      <c r="K2387" s="198"/>
      <c r="L2387" s="38"/>
      <c r="M2387" s="38"/>
      <c r="N2387" s="38"/>
      <c r="O2387" s="38"/>
      <c r="P2387" s="40" t="str" cm="1">
        <f t="array" ref="P2387">IF(N2387="","",IFERROR(_xlfn.XLOOKUP(F2387&amp;"|"&amp;J2387&amp;"|"&amp;O2387,PRICES!$C$2:$C$659&amp;"|"&amp;PRICES!$B$2:$B$659&amp;"|"&amp;PRICES!$D$2:$D$659,PRICES!$E$2:$E$659),"Not Found"))</f>
        <v/>
      </c>
      <c r="Q2387" s="100" t="str">
        <f>IF(N2387=0,"",SUMIFS(PRICES!$G$2:$G$658,PRICES!$B$2:$B$658,'MAIN TABLE-1 AUTOMATED'!J2387,PRICES!$C$2:$C$658,'MAIN TABLE-1 AUTOMATED'!F2387,PRICES!$D$2:$D$658,'MAIN TABLE-1 AUTOMATED'!O2387))</f>
        <v/>
      </c>
      <c r="R2387" s="41" t="str">
        <f>IF(Table1[[#This Row],[QUANTITY]]=0,"",Table1[[#This Row],[UNIT PRICE]]*Table1[[#This Row],[QUANTITY]])</f>
        <v/>
      </c>
      <c r="S2387" s="89"/>
      <c r="T2387" s="38"/>
      <c r="U2387" s="43"/>
      <c r="V2387" s="42" t="str">
        <f>IF(Table1[[#This Row],[DATE]]=0,"",YEAR(E2387))</f>
        <v/>
      </c>
      <c r="W2387" s="40" t="str">
        <f t="shared" si="78"/>
        <v/>
      </c>
      <c r="X2387" s="40" t="str">
        <f t="shared" si="79"/>
        <v/>
      </c>
      <c r="Y2387" s="40" t="str">
        <f>TEXT(Table1[[#This Row],[YEAR]],"0000")&amp;"-"&amp;Table1[[#This Row],[MONTH]]</f>
        <v>-</v>
      </c>
    </row>
    <row r="2388" spans="1:25" ht="15" customHeight="1" x14ac:dyDescent="0.35">
      <c r="A2388" s="24"/>
      <c r="B2388" s="38"/>
      <c r="C2388" s="38"/>
      <c r="D2388" s="38"/>
      <c r="E2388" s="37"/>
      <c r="F2388" s="38"/>
      <c r="G2388" s="198"/>
      <c r="H2388" s="198"/>
      <c r="I2388" s="39"/>
      <c r="J2388" s="38"/>
      <c r="K2388" s="198"/>
      <c r="L2388" s="38"/>
      <c r="M2388" s="38"/>
      <c r="N2388" s="38"/>
      <c r="O2388" s="38"/>
      <c r="P2388" s="40" t="str" cm="1">
        <f t="array" ref="P2388">IF(N2388="","",IFERROR(_xlfn.XLOOKUP(F2388&amp;"|"&amp;J2388&amp;"|"&amp;O2388,PRICES!$C$2:$C$659&amp;"|"&amp;PRICES!$B$2:$B$659&amp;"|"&amp;PRICES!$D$2:$D$659,PRICES!$E$2:$E$659),"Not Found"))</f>
        <v/>
      </c>
      <c r="Q2388" s="100" t="str">
        <f>IF(N2388=0,"",SUMIFS(PRICES!$G$2:$G$658,PRICES!$B$2:$B$658,'MAIN TABLE-1 AUTOMATED'!J2388,PRICES!$C$2:$C$658,'MAIN TABLE-1 AUTOMATED'!F2388,PRICES!$D$2:$D$658,'MAIN TABLE-1 AUTOMATED'!O2388))</f>
        <v/>
      </c>
      <c r="R2388" s="41" t="str">
        <f>IF(Table1[[#This Row],[QUANTITY]]=0,"",Table1[[#This Row],[UNIT PRICE]]*Table1[[#This Row],[QUANTITY]])</f>
        <v/>
      </c>
      <c r="S2388" s="89"/>
      <c r="T2388" s="38"/>
      <c r="U2388" s="43"/>
      <c r="V2388" s="42" t="str">
        <f>IF(Table1[[#This Row],[DATE]]=0,"",YEAR(E2388))</f>
        <v/>
      </c>
      <c r="W2388" s="40" t="str">
        <f t="shared" si="78"/>
        <v/>
      </c>
      <c r="X2388" s="40" t="str">
        <f t="shared" si="79"/>
        <v/>
      </c>
      <c r="Y2388" s="40" t="str">
        <f>TEXT(Table1[[#This Row],[YEAR]],"0000")&amp;"-"&amp;Table1[[#This Row],[MONTH]]</f>
        <v>-</v>
      </c>
    </row>
    <row r="2389" spans="1:25" ht="15" customHeight="1" x14ac:dyDescent="0.35">
      <c r="A2389" s="24"/>
      <c r="B2389" s="38"/>
      <c r="C2389" s="38"/>
      <c r="D2389" s="38"/>
      <c r="E2389" s="37"/>
      <c r="F2389" s="38"/>
      <c r="G2389" s="198"/>
      <c r="H2389" s="198"/>
      <c r="I2389" s="39"/>
      <c r="J2389" s="38"/>
      <c r="K2389" s="198"/>
      <c r="L2389" s="38"/>
      <c r="M2389" s="38"/>
      <c r="N2389" s="38"/>
      <c r="O2389" s="38"/>
      <c r="P2389" s="40" t="str" cm="1">
        <f t="array" ref="P2389">IF(N2389="","",IFERROR(_xlfn.XLOOKUP(F2389&amp;"|"&amp;J2389&amp;"|"&amp;O2389,PRICES!$C$2:$C$659&amp;"|"&amp;PRICES!$B$2:$B$659&amp;"|"&amp;PRICES!$D$2:$D$659,PRICES!$E$2:$E$659),"Not Found"))</f>
        <v/>
      </c>
      <c r="Q2389" s="100" t="str">
        <f>IF(N2389=0,"",SUMIFS(PRICES!$G$2:$G$658,PRICES!$B$2:$B$658,'MAIN TABLE-1 AUTOMATED'!J2389,PRICES!$C$2:$C$658,'MAIN TABLE-1 AUTOMATED'!F2389,PRICES!$D$2:$D$658,'MAIN TABLE-1 AUTOMATED'!O2389))</f>
        <v/>
      </c>
      <c r="R2389" s="41" t="str">
        <f>IF(Table1[[#This Row],[QUANTITY]]=0,"",Table1[[#This Row],[UNIT PRICE]]*Table1[[#This Row],[QUANTITY]])</f>
        <v/>
      </c>
      <c r="S2389" s="89"/>
      <c r="T2389" s="38"/>
      <c r="U2389" s="43"/>
      <c r="V2389" s="42" t="str">
        <f>IF(Table1[[#This Row],[DATE]]=0,"",YEAR(E2389))</f>
        <v/>
      </c>
      <c r="W2389" s="40" t="str">
        <f t="shared" si="78"/>
        <v/>
      </c>
      <c r="X2389" s="40" t="str">
        <f t="shared" si="79"/>
        <v/>
      </c>
      <c r="Y2389" s="40" t="str">
        <f>TEXT(Table1[[#This Row],[YEAR]],"0000")&amp;"-"&amp;Table1[[#This Row],[MONTH]]</f>
        <v>-</v>
      </c>
    </row>
    <row r="2390" spans="1:25" ht="15" customHeight="1" x14ac:dyDescent="0.35">
      <c r="A2390" s="24"/>
      <c r="B2390" s="38"/>
      <c r="C2390" s="38"/>
      <c r="D2390" s="38"/>
      <c r="E2390" s="37"/>
      <c r="F2390" s="38"/>
      <c r="G2390" s="198"/>
      <c r="H2390" s="198"/>
      <c r="I2390" s="39"/>
      <c r="J2390" s="38"/>
      <c r="K2390" s="198"/>
      <c r="L2390" s="38"/>
      <c r="M2390" s="38"/>
      <c r="N2390" s="38"/>
      <c r="O2390" s="38"/>
      <c r="P2390" s="40" t="str" cm="1">
        <f t="array" ref="P2390">IF(N2390="","",IFERROR(_xlfn.XLOOKUP(F2390&amp;"|"&amp;J2390&amp;"|"&amp;O2390,PRICES!$C$2:$C$659&amp;"|"&amp;PRICES!$B$2:$B$659&amp;"|"&amp;PRICES!$D$2:$D$659,PRICES!$E$2:$E$659),"Not Found"))</f>
        <v/>
      </c>
      <c r="Q2390" s="100" t="str">
        <f>IF(N2390=0,"",SUMIFS(PRICES!$G$2:$G$658,PRICES!$B$2:$B$658,'MAIN TABLE-1 AUTOMATED'!J2390,PRICES!$C$2:$C$658,'MAIN TABLE-1 AUTOMATED'!F2390,PRICES!$D$2:$D$658,'MAIN TABLE-1 AUTOMATED'!O2390))</f>
        <v/>
      </c>
      <c r="R2390" s="41" t="str">
        <f>IF(Table1[[#This Row],[QUANTITY]]=0,"",Table1[[#This Row],[UNIT PRICE]]*Table1[[#This Row],[QUANTITY]])</f>
        <v/>
      </c>
      <c r="S2390" s="89"/>
      <c r="T2390" s="38"/>
      <c r="U2390" s="43"/>
      <c r="V2390" s="42" t="str">
        <f>IF(Table1[[#This Row],[DATE]]=0,"",YEAR(E2390))</f>
        <v/>
      </c>
      <c r="W2390" s="40" t="str">
        <f t="shared" si="78"/>
        <v/>
      </c>
      <c r="X2390" s="40" t="str">
        <f t="shared" si="79"/>
        <v/>
      </c>
      <c r="Y2390" s="40" t="str">
        <f>TEXT(Table1[[#This Row],[YEAR]],"0000")&amp;"-"&amp;Table1[[#This Row],[MONTH]]</f>
        <v>-</v>
      </c>
    </row>
    <row r="2391" spans="1:25" ht="15" customHeight="1" x14ac:dyDescent="0.35">
      <c r="A2391" s="24"/>
      <c r="B2391" s="38"/>
      <c r="C2391" s="38"/>
      <c r="D2391" s="38"/>
      <c r="E2391" s="37"/>
      <c r="F2391" s="38"/>
      <c r="G2391" s="198"/>
      <c r="H2391" s="198"/>
      <c r="I2391" s="39"/>
      <c r="J2391" s="38"/>
      <c r="K2391" s="198"/>
      <c r="L2391" s="38"/>
      <c r="M2391" s="38"/>
      <c r="N2391" s="38"/>
      <c r="O2391" s="38"/>
      <c r="P2391" s="40" t="str" cm="1">
        <f t="array" ref="P2391">IF(N2391="","",IFERROR(_xlfn.XLOOKUP(F2391&amp;"|"&amp;J2391&amp;"|"&amp;O2391,PRICES!$C$2:$C$659&amp;"|"&amp;PRICES!$B$2:$B$659&amp;"|"&amp;PRICES!$D$2:$D$659,PRICES!$E$2:$E$659),"Not Found"))</f>
        <v/>
      </c>
      <c r="Q2391" s="100" t="str">
        <f>IF(N2391=0,"",SUMIFS(PRICES!$G$2:$G$658,PRICES!$B$2:$B$658,'MAIN TABLE-1 AUTOMATED'!J2391,PRICES!$C$2:$C$658,'MAIN TABLE-1 AUTOMATED'!F2391,PRICES!$D$2:$D$658,'MAIN TABLE-1 AUTOMATED'!O2391))</f>
        <v/>
      </c>
      <c r="R2391" s="41" t="str">
        <f>IF(Table1[[#This Row],[QUANTITY]]=0,"",Table1[[#This Row],[UNIT PRICE]]*Table1[[#This Row],[QUANTITY]])</f>
        <v/>
      </c>
      <c r="S2391" s="89"/>
      <c r="T2391" s="38"/>
      <c r="U2391" s="43"/>
      <c r="V2391" s="42" t="str">
        <f>IF(Table1[[#This Row],[DATE]]=0,"",YEAR(E2391))</f>
        <v/>
      </c>
      <c r="W2391" s="40" t="str">
        <f t="shared" si="78"/>
        <v/>
      </c>
      <c r="X2391" s="40" t="str">
        <f t="shared" si="79"/>
        <v/>
      </c>
      <c r="Y2391" s="40" t="str">
        <f>TEXT(Table1[[#This Row],[YEAR]],"0000")&amp;"-"&amp;Table1[[#This Row],[MONTH]]</f>
        <v>-</v>
      </c>
    </row>
    <row r="2392" spans="1:25" ht="15" customHeight="1" x14ac:dyDescent="0.35">
      <c r="A2392" s="24"/>
      <c r="B2392" s="38"/>
      <c r="C2392" s="38"/>
      <c r="D2392" s="38"/>
      <c r="E2392" s="37"/>
      <c r="F2392" s="38"/>
      <c r="G2392" s="198"/>
      <c r="H2392" s="198"/>
      <c r="I2392" s="39"/>
      <c r="J2392" s="38"/>
      <c r="K2392" s="198"/>
      <c r="L2392" s="38"/>
      <c r="M2392" s="38"/>
      <c r="N2392" s="38"/>
      <c r="O2392" s="38"/>
      <c r="P2392" s="40" t="str" cm="1">
        <f t="array" ref="P2392">IF(N2392="","",IFERROR(_xlfn.XLOOKUP(F2392&amp;"|"&amp;J2392&amp;"|"&amp;O2392,PRICES!$C$2:$C$659&amp;"|"&amp;PRICES!$B$2:$B$659&amp;"|"&amp;PRICES!$D$2:$D$659,PRICES!$E$2:$E$659),"Not Found"))</f>
        <v/>
      </c>
      <c r="Q2392" s="100" t="str">
        <f>IF(N2392=0,"",SUMIFS(PRICES!$G$2:$G$658,PRICES!$B$2:$B$658,'MAIN TABLE-1 AUTOMATED'!J2392,PRICES!$C$2:$C$658,'MAIN TABLE-1 AUTOMATED'!F2392,PRICES!$D$2:$D$658,'MAIN TABLE-1 AUTOMATED'!O2392))</f>
        <v/>
      </c>
      <c r="R2392" s="41" t="str">
        <f>IF(Table1[[#This Row],[QUANTITY]]=0,"",Table1[[#This Row],[UNIT PRICE]]*Table1[[#This Row],[QUANTITY]])</f>
        <v/>
      </c>
      <c r="S2392" s="89"/>
      <c r="T2392" s="38"/>
      <c r="U2392" s="43"/>
      <c r="V2392" s="42" t="str">
        <f>IF(Table1[[#This Row],[DATE]]=0,"",YEAR(E2392))</f>
        <v/>
      </c>
      <c r="W2392" s="40" t="str">
        <f t="shared" si="78"/>
        <v/>
      </c>
      <c r="X2392" s="40" t="str">
        <f t="shared" si="79"/>
        <v/>
      </c>
      <c r="Y2392" s="40" t="str">
        <f>TEXT(Table1[[#This Row],[YEAR]],"0000")&amp;"-"&amp;Table1[[#This Row],[MONTH]]</f>
        <v>-</v>
      </c>
    </row>
    <row r="2393" spans="1:25" ht="15" customHeight="1" x14ac:dyDescent="0.35">
      <c r="A2393" s="24"/>
      <c r="B2393" s="38"/>
      <c r="C2393" s="38"/>
      <c r="D2393" s="38"/>
      <c r="E2393" s="37"/>
      <c r="F2393" s="38"/>
      <c r="G2393" s="198"/>
      <c r="H2393" s="198"/>
      <c r="I2393" s="39"/>
      <c r="J2393" s="38"/>
      <c r="K2393" s="198"/>
      <c r="L2393" s="38"/>
      <c r="M2393" s="38"/>
      <c r="N2393" s="38"/>
      <c r="O2393" s="38"/>
      <c r="P2393" s="40" t="str" cm="1">
        <f t="array" ref="P2393">IF(N2393="","",IFERROR(_xlfn.XLOOKUP(F2393&amp;"|"&amp;J2393&amp;"|"&amp;O2393,PRICES!$C$2:$C$659&amp;"|"&amp;PRICES!$B$2:$B$659&amp;"|"&amp;PRICES!$D$2:$D$659,PRICES!$E$2:$E$659),"Not Found"))</f>
        <v/>
      </c>
      <c r="Q2393" s="100" t="str">
        <f>IF(N2393=0,"",SUMIFS(PRICES!$G$2:$G$658,PRICES!$B$2:$B$658,'MAIN TABLE-1 AUTOMATED'!J2393,PRICES!$C$2:$C$658,'MAIN TABLE-1 AUTOMATED'!F2393,PRICES!$D$2:$D$658,'MAIN TABLE-1 AUTOMATED'!O2393))</f>
        <v/>
      </c>
      <c r="R2393" s="41" t="str">
        <f>IF(Table1[[#This Row],[QUANTITY]]=0,"",Table1[[#This Row],[UNIT PRICE]]*Table1[[#This Row],[QUANTITY]])</f>
        <v/>
      </c>
      <c r="S2393" s="89"/>
      <c r="T2393" s="38"/>
      <c r="U2393" s="43"/>
      <c r="V2393" s="42" t="str">
        <f>IF(Table1[[#This Row],[DATE]]=0,"",YEAR(E2393))</f>
        <v/>
      </c>
      <c r="W2393" s="40" t="str">
        <f t="shared" si="78"/>
        <v/>
      </c>
      <c r="X2393" s="40" t="str">
        <f t="shared" si="79"/>
        <v/>
      </c>
      <c r="Y2393" s="40" t="str">
        <f>TEXT(Table1[[#This Row],[YEAR]],"0000")&amp;"-"&amp;Table1[[#This Row],[MONTH]]</f>
        <v>-</v>
      </c>
    </row>
    <row r="2394" spans="1:25" ht="15" customHeight="1" x14ac:dyDescent="0.35">
      <c r="A2394" s="24"/>
      <c r="B2394" s="38"/>
      <c r="C2394" s="38"/>
      <c r="D2394" s="38"/>
      <c r="E2394" s="37"/>
      <c r="F2394" s="38"/>
      <c r="G2394" s="198"/>
      <c r="H2394" s="198"/>
      <c r="I2394" s="39"/>
      <c r="J2394" s="38"/>
      <c r="K2394" s="198"/>
      <c r="L2394" s="38"/>
      <c r="M2394" s="38"/>
      <c r="N2394" s="38"/>
      <c r="O2394" s="38"/>
      <c r="P2394" s="40" t="str" cm="1">
        <f t="array" ref="P2394">IF(N2394="","",IFERROR(_xlfn.XLOOKUP(F2394&amp;"|"&amp;J2394&amp;"|"&amp;O2394,PRICES!$C$2:$C$659&amp;"|"&amp;PRICES!$B$2:$B$659&amp;"|"&amp;PRICES!$D$2:$D$659,PRICES!$E$2:$E$659),"Not Found"))</f>
        <v/>
      </c>
      <c r="Q2394" s="100" t="str">
        <f>IF(N2394=0,"",SUMIFS(PRICES!$G$2:$G$658,PRICES!$B$2:$B$658,'MAIN TABLE-1 AUTOMATED'!J2394,PRICES!$C$2:$C$658,'MAIN TABLE-1 AUTOMATED'!F2394,PRICES!$D$2:$D$658,'MAIN TABLE-1 AUTOMATED'!O2394))</f>
        <v/>
      </c>
      <c r="R2394" s="41" t="str">
        <f>IF(Table1[[#This Row],[QUANTITY]]=0,"",Table1[[#This Row],[UNIT PRICE]]*Table1[[#This Row],[QUANTITY]])</f>
        <v/>
      </c>
      <c r="S2394" s="89"/>
      <c r="T2394" s="38"/>
      <c r="U2394" s="43"/>
      <c r="V2394" s="42" t="str">
        <f>IF(Table1[[#This Row],[DATE]]=0,"",YEAR(E2394))</f>
        <v/>
      </c>
      <c r="W2394" s="40" t="str">
        <f t="shared" si="78"/>
        <v/>
      </c>
      <c r="X2394" s="40" t="str">
        <f t="shared" si="79"/>
        <v/>
      </c>
      <c r="Y2394" s="40" t="str">
        <f>TEXT(Table1[[#This Row],[YEAR]],"0000")&amp;"-"&amp;Table1[[#This Row],[MONTH]]</f>
        <v>-</v>
      </c>
    </row>
    <row r="2395" spans="1:25" ht="15" customHeight="1" x14ac:dyDescent="0.35">
      <c r="A2395" s="24"/>
      <c r="B2395" s="38"/>
      <c r="C2395" s="38"/>
      <c r="D2395" s="38"/>
      <c r="E2395" s="37"/>
      <c r="F2395" s="38"/>
      <c r="G2395" s="198"/>
      <c r="H2395" s="198"/>
      <c r="I2395" s="39"/>
      <c r="J2395" s="38"/>
      <c r="K2395" s="198"/>
      <c r="L2395" s="38"/>
      <c r="M2395" s="38"/>
      <c r="N2395" s="38"/>
      <c r="O2395" s="38"/>
      <c r="P2395" s="40" t="str" cm="1">
        <f t="array" ref="P2395">IF(N2395="","",IFERROR(_xlfn.XLOOKUP(F2395&amp;"|"&amp;J2395&amp;"|"&amp;O2395,PRICES!$C$2:$C$659&amp;"|"&amp;PRICES!$B$2:$B$659&amp;"|"&amp;PRICES!$D$2:$D$659,PRICES!$E$2:$E$659),"Not Found"))</f>
        <v/>
      </c>
      <c r="Q2395" s="100" t="str">
        <f>IF(N2395=0,"",SUMIFS(PRICES!$G$2:$G$658,PRICES!$B$2:$B$658,'MAIN TABLE-1 AUTOMATED'!J2395,PRICES!$C$2:$C$658,'MAIN TABLE-1 AUTOMATED'!F2395,PRICES!$D$2:$D$658,'MAIN TABLE-1 AUTOMATED'!O2395))</f>
        <v/>
      </c>
      <c r="R2395" s="41" t="str">
        <f>IF(Table1[[#This Row],[QUANTITY]]=0,"",Table1[[#This Row],[UNIT PRICE]]*Table1[[#This Row],[QUANTITY]])</f>
        <v/>
      </c>
      <c r="S2395" s="89"/>
      <c r="T2395" s="38"/>
      <c r="U2395" s="43"/>
      <c r="V2395" s="42" t="str">
        <f>IF(Table1[[#This Row],[DATE]]=0,"",YEAR(E2395))</f>
        <v/>
      </c>
      <c r="W2395" s="40" t="str">
        <f t="shared" si="78"/>
        <v/>
      </c>
      <c r="X2395" s="40" t="str">
        <f t="shared" si="79"/>
        <v/>
      </c>
      <c r="Y2395" s="40" t="str">
        <f>TEXT(Table1[[#This Row],[YEAR]],"0000")&amp;"-"&amp;Table1[[#This Row],[MONTH]]</f>
        <v>-</v>
      </c>
    </row>
    <row r="2396" spans="1:25" ht="15" customHeight="1" x14ac:dyDescent="0.35">
      <c r="A2396" s="24"/>
      <c r="B2396" s="38"/>
      <c r="C2396" s="38"/>
      <c r="D2396" s="38"/>
      <c r="E2396" s="37"/>
      <c r="F2396" s="38"/>
      <c r="G2396" s="198"/>
      <c r="H2396" s="198"/>
      <c r="I2396" s="39"/>
      <c r="J2396" s="38"/>
      <c r="K2396" s="198"/>
      <c r="L2396" s="38"/>
      <c r="M2396" s="38"/>
      <c r="N2396" s="38"/>
      <c r="O2396" s="38"/>
      <c r="P2396" s="40" t="str" cm="1">
        <f t="array" ref="P2396">IF(N2396="","",IFERROR(_xlfn.XLOOKUP(F2396&amp;"|"&amp;J2396&amp;"|"&amp;O2396,PRICES!$C$2:$C$659&amp;"|"&amp;PRICES!$B$2:$B$659&amp;"|"&amp;PRICES!$D$2:$D$659,PRICES!$E$2:$E$659),"Not Found"))</f>
        <v/>
      </c>
      <c r="Q2396" s="100" t="str">
        <f>IF(N2396=0,"",SUMIFS(PRICES!$G$2:$G$658,PRICES!$B$2:$B$658,'MAIN TABLE-1 AUTOMATED'!J2396,PRICES!$C$2:$C$658,'MAIN TABLE-1 AUTOMATED'!F2396,PRICES!$D$2:$D$658,'MAIN TABLE-1 AUTOMATED'!O2396))</f>
        <v/>
      </c>
      <c r="R2396" s="41" t="str">
        <f>IF(Table1[[#This Row],[QUANTITY]]=0,"",Table1[[#This Row],[UNIT PRICE]]*Table1[[#This Row],[QUANTITY]])</f>
        <v/>
      </c>
      <c r="S2396" s="89"/>
      <c r="T2396" s="38"/>
      <c r="U2396" s="43"/>
      <c r="V2396" s="42" t="str">
        <f>IF(Table1[[#This Row],[DATE]]=0,"",YEAR(E2396))</f>
        <v/>
      </c>
      <c r="W2396" s="40" t="str">
        <f t="shared" si="78"/>
        <v/>
      </c>
      <c r="X2396" s="40" t="str">
        <f t="shared" si="79"/>
        <v/>
      </c>
      <c r="Y2396" s="40" t="str">
        <f>TEXT(Table1[[#This Row],[YEAR]],"0000")&amp;"-"&amp;Table1[[#This Row],[MONTH]]</f>
        <v>-</v>
      </c>
    </row>
    <row r="2397" spans="1:25" ht="15" customHeight="1" x14ac:dyDescent="0.35">
      <c r="A2397" s="24"/>
      <c r="B2397" s="38"/>
      <c r="C2397" s="38"/>
      <c r="D2397" s="38"/>
      <c r="E2397" s="37"/>
      <c r="F2397" s="38"/>
      <c r="G2397" s="198"/>
      <c r="H2397" s="198"/>
      <c r="I2397" s="39"/>
      <c r="J2397" s="38"/>
      <c r="K2397" s="198"/>
      <c r="L2397" s="38"/>
      <c r="M2397" s="38"/>
      <c r="N2397" s="38"/>
      <c r="O2397" s="38"/>
      <c r="P2397" s="40" t="str" cm="1">
        <f t="array" ref="P2397">IF(N2397="","",IFERROR(_xlfn.XLOOKUP(F2397&amp;"|"&amp;J2397&amp;"|"&amp;O2397,PRICES!$C$2:$C$659&amp;"|"&amp;PRICES!$B$2:$B$659&amp;"|"&amp;PRICES!$D$2:$D$659,PRICES!$E$2:$E$659),"Not Found"))</f>
        <v/>
      </c>
      <c r="Q2397" s="100" t="str">
        <f>IF(N2397=0,"",SUMIFS(PRICES!$G$2:$G$658,PRICES!$B$2:$B$658,'MAIN TABLE-1 AUTOMATED'!J2397,PRICES!$C$2:$C$658,'MAIN TABLE-1 AUTOMATED'!F2397,PRICES!$D$2:$D$658,'MAIN TABLE-1 AUTOMATED'!O2397))</f>
        <v/>
      </c>
      <c r="R2397" s="41" t="str">
        <f>IF(Table1[[#This Row],[QUANTITY]]=0,"",Table1[[#This Row],[UNIT PRICE]]*Table1[[#This Row],[QUANTITY]])</f>
        <v/>
      </c>
      <c r="S2397" s="89"/>
      <c r="T2397" s="38"/>
      <c r="U2397" s="43"/>
      <c r="V2397" s="42" t="str">
        <f>IF(Table1[[#This Row],[DATE]]=0,"",YEAR(E2397))</f>
        <v/>
      </c>
      <c r="W2397" s="40" t="str">
        <f t="shared" si="78"/>
        <v/>
      </c>
      <c r="X2397" s="40" t="str">
        <f t="shared" si="79"/>
        <v/>
      </c>
      <c r="Y2397" s="40" t="str">
        <f>TEXT(Table1[[#This Row],[YEAR]],"0000")&amp;"-"&amp;Table1[[#This Row],[MONTH]]</f>
        <v>-</v>
      </c>
    </row>
    <row r="2398" spans="1:25" ht="15" customHeight="1" x14ac:dyDescent="0.35">
      <c r="A2398" s="24"/>
      <c r="B2398" s="38"/>
      <c r="C2398" s="38"/>
      <c r="D2398" s="38"/>
      <c r="E2398" s="37"/>
      <c r="F2398" s="38"/>
      <c r="G2398" s="198"/>
      <c r="H2398" s="198"/>
      <c r="I2398" s="39"/>
      <c r="J2398" s="38"/>
      <c r="K2398" s="198"/>
      <c r="L2398" s="38"/>
      <c r="M2398" s="38"/>
      <c r="N2398" s="38"/>
      <c r="O2398" s="38"/>
      <c r="P2398" s="40" t="str" cm="1">
        <f t="array" ref="P2398">IF(N2398="","",IFERROR(_xlfn.XLOOKUP(F2398&amp;"|"&amp;J2398&amp;"|"&amp;O2398,PRICES!$C$2:$C$659&amp;"|"&amp;PRICES!$B$2:$B$659&amp;"|"&amp;PRICES!$D$2:$D$659,PRICES!$E$2:$E$659),"Not Found"))</f>
        <v/>
      </c>
      <c r="Q2398" s="100" t="str">
        <f>IF(N2398=0,"",SUMIFS(PRICES!$G$2:$G$658,PRICES!$B$2:$B$658,'MAIN TABLE-1 AUTOMATED'!J2398,PRICES!$C$2:$C$658,'MAIN TABLE-1 AUTOMATED'!F2398,PRICES!$D$2:$D$658,'MAIN TABLE-1 AUTOMATED'!O2398))</f>
        <v/>
      </c>
      <c r="R2398" s="41" t="str">
        <f>IF(Table1[[#This Row],[QUANTITY]]=0,"",Table1[[#This Row],[UNIT PRICE]]*Table1[[#This Row],[QUANTITY]])</f>
        <v/>
      </c>
      <c r="S2398" s="89"/>
      <c r="T2398" s="38"/>
      <c r="U2398" s="43"/>
      <c r="V2398" s="42" t="str">
        <f>IF(Table1[[#This Row],[DATE]]=0,"",YEAR(E2398))</f>
        <v/>
      </c>
      <c r="W2398" s="40" t="str">
        <f t="shared" si="78"/>
        <v/>
      </c>
      <c r="X2398" s="40" t="str">
        <f t="shared" si="79"/>
        <v/>
      </c>
      <c r="Y2398" s="40" t="str">
        <f>TEXT(Table1[[#This Row],[YEAR]],"0000")&amp;"-"&amp;Table1[[#This Row],[MONTH]]</f>
        <v>-</v>
      </c>
    </row>
    <row r="2399" spans="1:25" ht="15" customHeight="1" x14ac:dyDescent="0.35">
      <c r="A2399" s="24"/>
      <c r="B2399" s="38"/>
      <c r="C2399" s="38"/>
      <c r="D2399" s="38"/>
      <c r="E2399" s="37"/>
      <c r="F2399" s="38"/>
      <c r="G2399" s="198"/>
      <c r="H2399" s="198"/>
      <c r="I2399" s="39"/>
      <c r="J2399" s="38"/>
      <c r="K2399" s="198"/>
      <c r="L2399" s="38"/>
      <c r="M2399" s="38"/>
      <c r="N2399" s="38"/>
      <c r="O2399" s="38"/>
      <c r="P2399" s="40" t="str" cm="1">
        <f t="array" ref="P2399">IF(N2399="","",IFERROR(_xlfn.XLOOKUP(F2399&amp;"|"&amp;J2399&amp;"|"&amp;O2399,PRICES!$C$2:$C$659&amp;"|"&amp;PRICES!$B$2:$B$659&amp;"|"&amp;PRICES!$D$2:$D$659,PRICES!$E$2:$E$659),"Not Found"))</f>
        <v/>
      </c>
      <c r="Q2399" s="100" t="str">
        <f>IF(N2399=0,"",SUMIFS(PRICES!$G$2:$G$658,PRICES!$B$2:$B$658,'MAIN TABLE-1 AUTOMATED'!J2399,PRICES!$C$2:$C$658,'MAIN TABLE-1 AUTOMATED'!F2399,PRICES!$D$2:$D$658,'MAIN TABLE-1 AUTOMATED'!O2399))</f>
        <v/>
      </c>
      <c r="R2399" s="41" t="str">
        <f>IF(Table1[[#This Row],[QUANTITY]]=0,"",Table1[[#This Row],[UNIT PRICE]]*Table1[[#This Row],[QUANTITY]])</f>
        <v/>
      </c>
      <c r="S2399" s="89"/>
      <c r="T2399" s="38"/>
      <c r="U2399" s="43"/>
      <c r="V2399" s="42" t="str">
        <f>IF(Table1[[#This Row],[DATE]]=0,"",YEAR(E2399))</f>
        <v/>
      </c>
      <c r="W2399" s="40" t="str">
        <f t="shared" si="78"/>
        <v/>
      </c>
      <c r="X2399" s="40" t="str">
        <f t="shared" si="79"/>
        <v/>
      </c>
      <c r="Y2399" s="40" t="str">
        <f>TEXT(Table1[[#This Row],[YEAR]],"0000")&amp;"-"&amp;Table1[[#This Row],[MONTH]]</f>
        <v>-</v>
      </c>
    </row>
    <row r="2400" spans="1:25" ht="15" customHeight="1" x14ac:dyDescent="0.35">
      <c r="A2400" s="24"/>
      <c r="B2400" s="38"/>
      <c r="C2400" s="38"/>
      <c r="D2400" s="38"/>
      <c r="E2400" s="37"/>
      <c r="F2400" s="38"/>
      <c r="G2400" s="198"/>
      <c r="H2400" s="198"/>
      <c r="I2400" s="39"/>
      <c r="J2400" s="38"/>
      <c r="K2400" s="198"/>
      <c r="L2400" s="38"/>
      <c r="M2400" s="38"/>
      <c r="N2400" s="38"/>
      <c r="O2400" s="38"/>
      <c r="P2400" s="40" t="str" cm="1">
        <f t="array" ref="P2400">IF(N2400="","",IFERROR(_xlfn.XLOOKUP(F2400&amp;"|"&amp;J2400&amp;"|"&amp;O2400,PRICES!$C$2:$C$659&amp;"|"&amp;PRICES!$B$2:$B$659&amp;"|"&amp;PRICES!$D$2:$D$659,PRICES!$E$2:$E$659),"Not Found"))</f>
        <v/>
      </c>
      <c r="Q2400" s="100" t="str">
        <f>IF(N2400=0,"",SUMIFS(PRICES!$G$2:$G$658,PRICES!$B$2:$B$658,'MAIN TABLE-1 AUTOMATED'!J2400,PRICES!$C$2:$C$658,'MAIN TABLE-1 AUTOMATED'!F2400,PRICES!$D$2:$D$658,'MAIN TABLE-1 AUTOMATED'!O2400))</f>
        <v/>
      </c>
      <c r="R2400" s="41" t="str">
        <f>IF(Table1[[#This Row],[QUANTITY]]=0,"",Table1[[#This Row],[UNIT PRICE]]*Table1[[#This Row],[QUANTITY]])</f>
        <v/>
      </c>
      <c r="S2400" s="89"/>
      <c r="T2400" s="38"/>
      <c r="U2400" s="43"/>
      <c r="V2400" s="42" t="str">
        <f>IF(Table1[[#This Row],[DATE]]=0,"",YEAR(E2400))</f>
        <v/>
      </c>
      <c r="W2400" s="40" t="str">
        <f t="shared" si="78"/>
        <v/>
      </c>
      <c r="X2400" s="40" t="str">
        <f t="shared" si="79"/>
        <v/>
      </c>
      <c r="Y2400" s="40" t="str">
        <f>TEXT(Table1[[#This Row],[YEAR]],"0000")&amp;"-"&amp;Table1[[#This Row],[MONTH]]</f>
        <v>-</v>
      </c>
    </row>
    <row r="2401" spans="1:25" ht="15" customHeight="1" x14ac:dyDescent="0.35">
      <c r="A2401" s="24"/>
      <c r="B2401" s="38"/>
      <c r="C2401" s="38"/>
      <c r="D2401" s="38"/>
      <c r="E2401" s="37"/>
      <c r="F2401" s="38"/>
      <c r="G2401" s="198"/>
      <c r="H2401" s="198"/>
      <c r="I2401" s="39"/>
      <c r="J2401" s="38"/>
      <c r="K2401" s="198"/>
      <c r="L2401" s="38"/>
      <c r="M2401" s="38"/>
      <c r="N2401" s="38"/>
      <c r="O2401" s="38"/>
      <c r="P2401" s="40" t="str" cm="1">
        <f t="array" ref="P2401">IF(N2401="","",IFERROR(_xlfn.XLOOKUP(F2401&amp;"|"&amp;J2401&amp;"|"&amp;O2401,PRICES!$C$2:$C$659&amp;"|"&amp;PRICES!$B$2:$B$659&amp;"|"&amp;PRICES!$D$2:$D$659,PRICES!$E$2:$E$659),"Not Found"))</f>
        <v/>
      </c>
      <c r="Q2401" s="100" t="str">
        <f>IF(N2401=0,"",SUMIFS(PRICES!$G$2:$G$658,PRICES!$B$2:$B$658,'MAIN TABLE-1 AUTOMATED'!J2401,PRICES!$C$2:$C$658,'MAIN TABLE-1 AUTOMATED'!F2401,PRICES!$D$2:$D$658,'MAIN TABLE-1 AUTOMATED'!O2401))</f>
        <v/>
      </c>
      <c r="R2401" s="41" t="str">
        <f>IF(Table1[[#This Row],[QUANTITY]]=0,"",Table1[[#This Row],[UNIT PRICE]]*Table1[[#This Row],[QUANTITY]])</f>
        <v/>
      </c>
      <c r="S2401" s="89"/>
      <c r="T2401" s="38"/>
      <c r="U2401" s="43"/>
      <c r="V2401" s="42" t="str">
        <f>IF(Table1[[#This Row],[DATE]]=0,"",YEAR(E2401))</f>
        <v/>
      </c>
      <c r="W2401" s="40" t="str">
        <f t="shared" si="78"/>
        <v/>
      </c>
      <c r="X2401" s="40" t="str">
        <f t="shared" si="79"/>
        <v/>
      </c>
      <c r="Y2401" s="40" t="str">
        <f>TEXT(Table1[[#This Row],[YEAR]],"0000")&amp;"-"&amp;Table1[[#This Row],[MONTH]]</f>
        <v>-</v>
      </c>
    </row>
    <row r="2402" spans="1:25" ht="15" customHeight="1" x14ac:dyDescent="0.35">
      <c r="A2402" s="24"/>
      <c r="B2402" s="38"/>
      <c r="C2402" s="38"/>
      <c r="D2402" s="38"/>
      <c r="E2402" s="37"/>
      <c r="F2402" s="38"/>
      <c r="G2402" s="198"/>
      <c r="H2402" s="198"/>
      <c r="I2402" s="39"/>
      <c r="J2402" s="38"/>
      <c r="K2402" s="198"/>
      <c r="L2402" s="38"/>
      <c r="M2402" s="38"/>
      <c r="N2402" s="38"/>
      <c r="O2402" s="38"/>
      <c r="P2402" s="40" t="str" cm="1">
        <f t="array" ref="P2402">IF(N2402="","",IFERROR(_xlfn.XLOOKUP(F2402&amp;"|"&amp;J2402&amp;"|"&amp;O2402,PRICES!$C$2:$C$659&amp;"|"&amp;PRICES!$B$2:$B$659&amp;"|"&amp;PRICES!$D$2:$D$659,PRICES!$E$2:$E$659),"Not Found"))</f>
        <v/>
      </c>
      <c r="Q2402" s="100" t="str">
        <f>IF(N2402=0,"",SUMIFS(PRICES!$G$2:$G$658,PRICES!$B$2:$B$658,'MAIN TABLE-1 AUTOMATED'!J2402,PRICES!$C$2:$C$658,'MAIN TABLE-1 AUTOMATED'!F2402,PRICES!$D$2:$D$658,'MAIN TABLE-1 AUTOMATED'!O2402))</f>
        <v/>
      </c>
      <c r="R2402" s="41" t="str">
        <f>IF(Table1[[#This Row],[QUANTITY]]=0,"",Table1[[#This Row],[UNIT PRICE]]*Table1[[#This Row],[QUANTITY]])</f>
        <v/>
      </c>
      <c r="S2402" s="89"/>
      <c r="T2402" s="38"/>
      <c r="U2402" s="43"/>
      <c r="V2402" s="42" t="str">
        <f>IF(Table1[[#This Row],[DATE]]=0,"",YEAR(E2402))</f>
        <v/>
      </c>
      <c r="W2402" s="40" t="str">
        <f t="shared" si="78"/>
        <v/>
      </c>
      <c r="X2402" s="40" t="str">
        <f t="shared" si="79"/>
        <v/>
      </c>
      <c r="Y2402" s="40" t="str">
        <f>TEXT(Table1[[#This Row],[YEAR]],"0000")&amp;"-"&amp;Table1[[#This Row],[MONTH]]</f>
        <v>-</v>
      </c>
    </row>
    <row r="2403" spans="1:25" ht="15" customHeight="1" x14ac:dyDescent="0.35">
      <c r="A2403" s="24"/>
      <c r="B2403" s="38"/>
      <c r="C2403" s="38"/>
      <c r="D2403" s="38"/>
      <c r="E2403" s="37"/>
      <c r="F2403" s="38"/>
      <c r="G2403" s="198"/>
      <c r="H2403" s="198"/>
      <c r="I2403" s="39"/>
      <c r="J2403" s="38"/>
      <c r="K2403" s="198"/>
      <c r="L2403" s="38"/>
      <c r="M2403" s="38"/>
      <c r="N2403" s="38"/>
      <c r="O2403" s="38"/>
      <c r="P2403" s="40" t="str" cm="1">
        <f t="array" ref="P2403">IF(N2403="","",IFERROR(_xlfn.XLOOKUP(F2403&amp;"|"&amp;J2403&amp;"|"&amp;O2403,PRICES!$C$2:$C$659&amp;"|"&amp;PRICES!$B$2:$B$659&amp;"|"&amp;PRICES!$D$2:$D$659,PRICES!$E$2:$E$659),"Not Found"))</f>
        <v/>
      </c>
      <c r="Q2403" s="100" t="str">
        <f>IF(N2403=0,"",SUMIFS(PRICES!$G$2:$G$658,PRICES!$B$2:$B$658,'MAIN TABLE-1 AUTOMATED'!J2403,PRICES!$C$2:$C$658,'MAIN TABLE-1 AUTOMATED'!F2403,PRICES!$D$2:$D$658,'MAIN TABLE-1 AUTOMATED'!O2403))</f>
        <v/>
      </c>
      <c r="R2403" s="41" t="str">
        <f>IF(Table1[[#This Row],[QUANTITY]]=0,"",Table1[[#This Row],[UNIT PRICE]]*Table1[[#This Row],[QUANTITY]])</f>
        <v/>
      </c>
      <c r="S2403" s="89"/>
      <c r="T2403" s="38"/>
      <c r="U2403" s="43"/>
      <c r="V2403" s="42" t="str">
        <f>IF(Table1[[#This Row],[DATE]]=0,"",YEAR(E2403))</f>
        <v/>
      </c>
      <c r="W2403" s="40" t="str">
        <f t="shared" si="78"/>
        <v/>
      </c>
      <c r="X2403" s="40" t="str">
        <f t="shared" si="79"/>
        <v/>
      </c>
      <c r="Y2403" s="40" t="str">
        <f>TEXT(Table1[[#This Row],[YEAR]],"0000")&amp;"-"&amp;Table1[[#This Row],[MONTH]]</f>
        <v>-</v>
      </c>
    </row>
    <row r="2404" spans="1:25" ht="15" customHeight="1" x14ac:dyDescent="0.35">
      <c r="A2404" s="24"/>
      <c r="B2404" s="38"/>
      <c r="C2404" s="38"/>
      <c r="D2404" s="38"/>
      <c r="E2404" s="37"/>
      <c r="F2404" s="38"/>
      <c r="G2404" s="198"/>
      <c r="H2404" s="198"/>
      <c r="I2404" s="39"/>
      <c r="J2404" s="38"/>
      <c r="K2404" s="198"/>
      <c r="L2404" s="38"/>
      <c r="M2404" s="38"/>
      <c r="N2404" s="38"/>
      <c r="O2404" s="38"/>
      <c r="P2404" s="40" t="str" cm="1">
        <f t="array" ref="P2404">IF(N2404="","",IFERROR(_xlfn.XLOOKUP(F2404&amp;"|"&amp;J2404&amp;"|"&amp;O2404,PRICES!$C$2:$C$659&amp;"|"&amp;PRICES!$B$2:$B$659&amp;"|"&amp;PRICES!$D$2:$D$659,PRICES!$E$2:$E$659),"Not Found"))</f>
        <v/>
      </c>
      <c r="Q2404" s="100" t="str">
        <f>IF(N2404=0,"",SUMIFS(PRICES!$G$2:$G$658,PRICES!$B$2:$B$658,'MAIN TABLE-1 AUTOMATED'!J2404,PRICES!$C$2:$C$658,'MAIN TABLE-1 AUTOMATED'!F2404,PRICES!$D$2:$D$658,'MAIN TABLE-1 AUTOMATED'!O2404))</f>
        <v/>
      </c>
      <c r="R2404" s="41" t="str">
        <f>IF(Table1[[#This Row],[QUANTITY]]=0,"",Table1[[#This Row],[UNIT PRICE]]*Table1[[#This Row],[QUANTITY]])</f>
        <v/>
      </c>
      <c r="S2404" s="89"/>
      <c r="T2404" s="38"/>
      <c r="U2404" s="43"/>
      <c r="V2404" s="42" t="str">
        <f>IF(Table1[[#This Row],[DATE]]=0,"",YEAR(E2404))</f>
        <v/>
      </c>
      <c r="W2404" s="40" t="str">
        <f t="shared" si="78"/>
        <v/>
      </c>
      <c r="X2404" s="40" t="str">
        <f t="shared" si="79"/>
        <v/>
      </c>
      <c r="Y2404" s="40" t="str">
        <f>TEXT(Table1[[#This Row],[YEAR]],"0000")&amp;"-"&amp;Table1[[#This Row],[MONTH]]</f>
        <v>-</v>
      </c>
    </row>
    <row r="2405" spans="1:25" ht="15" customHeight="1" x14ac:dyDescent="0.35">
      <c r="A2405" s="24"/>
      <c r="B2405" s="38"/>
      <c r="C2405" s="38"/>
      <c r="D2405" s="38"/>
      <c r="E2405" s="37"/>
      <c r="F2405" s="38"/>
      <c r="G2405" s="198"/>
      <c r="H2405" s="198"/>
      <c r="I2405" s="39"/>
      <c r="J2405" s="38"/>
      <c r="K2405" s="198"/>
      <c r="L2405" s="38"/>
      <c r="M2405" s="38"/>
      <c r="N2405" s="38"/>
      <c r="O2405" s="38"/>
      <c r="P2405" s="40" t="str" cm="1">
        <f t="array" ref="P2405">IF(N2405="","",IFERROR(_xlfn.XLOOKUP(F2405&amp;"|"&amp;J2405&amp;"|"&amp;O2405,PRICES!$C$2:$C$659&amp;"|"&amp;PRICES!$B$2:$B$659&amp;"|"&amp;PRICES!$D$2:$D$659,PRICES!$E$2:$E$659),"Not Found"))</f>
        <v/>
      </c>
      <c r="Q2405" s="100" t="str">
        <f>IF(N2405=0,"",SUMIFS(PRICES!$G$2:$G$658,PRICES!$B$2:$B$658,'MAIN TABLE-1 AUTOMATED'!J2405,PRICES!$C$2:$C$658,'MAIN TABLE-1 AUTOMATED'!F2405,PRICES!$D$2:$D$658,'MAIN TABLE-1 AUTOMATED'!O2405))</f>
        <v/>
      </c>
      <c r="R2405" s="41" t="str">
        <f>IF(Table1[[#This Row],[QUANTITY]]=0,"",Table1[[#This Row],[UNIT PRICE]]*Table1[[#This Row],[QUANTITY]])</f>
        <v/>
      </c>
      <c r="S2405" s="89"/>
      <c r="T2405" s="38"/>
      <c r="U2405" s="43"/>
      <c r="V2405" s="42" t="str">
        <f>IF(Table1[[#This Row],[DATE]]=0,"",YEAR(E2405))</f>
        <v/>
      </c>
      <c r="W2405" s="40" t="str">
        <f t="shared" si="78"/>
        <v/>
      </c>
      <c r="X2405" s="40" t="str">
        <f t="shared" si="79"/>
        <v/>
      </c>
      <c r="Y2405" s="40" t="str">
        <f>TEXT(Table1[[#This Row],[YEAR]],"0000")&amp;"-"&amp;Table1[[#This Row],[MONTH]]</f>
        <v>-</v>
      </c>
    </row>
    <row r="2406" spans="1:25" ht="15" customHeight="1" x14ac:dyDescent="0.35">
      <c r="A2406" s="24"/>
      <c r="B2406" s="38"/>
      <c r="C2406" s="38"/>
      <c r="D2406" s="38"/>
      <c r="E2406" s="37"/>
      <c r="F2406" s="38"/>
      <c r="G2406" s="198"/>
      <c r="H2406" s="198"/>
      <c r="I2406" s="39"/>
      <c r="J2406" s="38"/>
      <c r="K2406" s="198"/>
      <c r="L2406" s="38"/>
      <c r="M2406" s="38"/>
      <c r="N2406" s="38"/>
      <c r="O2406" s="38"/>
      <c r="P2406" s="40" t="str" cm="1">
        <f t="array" ref="P2406">IF(N2406="","",IFERROR(_xlfn.XLOOKUP(F2406&amp;"|"&amp;J2406&amp;"|"&amp;O2406,PRICES!$C$2:$C$659&amp;"|"&amp;PRICES!$B$2:$B$659&amp;"|"&amp;PRICES!$D$2:$D$659,PRICES!$E$2:$E$659),"Not Found"))</f>
        <v/>
      </c>
      <c r="Q2406" s="100" t="str">
        <f>IF(N2406=0,"",SUMIFS(PRICES!$G$2:$G$658,PRICES!$B$2:$B$658,'MAIN TABLE-1 AUTOMATED'!J2406,PRICES!$C$2:$C$658,'MAIN TABLE-1 AUTOMATED'!F2406,PRICES!$D$2:$D$658,'MAIN TABLE-1 AUTOMATED'!O2406))</f>
        <v/>
      </c>
      <c r="R2406" s="41" t="str">
        <f>IF(Table1[[#This Row],[QUANTITY]]=0,"",Table1[[#This Row],[UNIT PRICE]]*Table1[[#This Row],[QUANTITY]])</f>
        <v/>
      </c>
      <c r="S2406" s="89"/>
      <c r="T2406" s="38"/>
      <c r="U2406" s="43"/>
      <c r="V2406" s="42" t="str">
        <f>IF(Table1[[#This Row],[DATE]]=0,"",YEAR(E2406))</f>
        <v/>
      </c>
      <c r="W2406" s="40" t="str">
        <f t="shared" si="78"/>
        <v/>
      </c>
      <c r="X2406" s="40" t="str">
        <f t="shared" si="79"/>
        <v/>
      </c>
      <c r="Y2406" s="40" t="str">
        <f>TEXT(Table1[[#This Row],[YEAR]],"0000")&amp;"-"&amp;Table1[[#This Row],[MONTH]]</f>
        <v>-</v>
      </c>
    </row>
    <row r="2407" spans="1:25" ht="15" customHeight="1" x14ac:dyDescent="0.35">
      <c r="A2407" s="24"/>
      <c r="B2407" s="38"/>
      <c r="C2407" s="38"/>
      <c r="D2407" s="38"/>
      <c r="E2407" s="37"/>
      <c r="F2407" s="38"/>
      <c r="G2407" s="198"/>
      <c r="H2407" s="198"/>
      <c r="I2407" s="39"/>
      <c r="J2407" s="38"/>
      <c r="K2407" s="198"/>
      <c r="L2407" s="38"/>
      <c r="M2407" s="38"/>
      <c r="N2407" s="38"/>
      <c r="O2407" s="38"/>
      <c r="P2407" s="40" t="str" cm="1">
        <f t="array" ref="P2407">IF(N2407="","",IFERROR(_xlfn.XLOOKUP(F2407&amp;"|"&amp;J2407&amp;"|"&amp;O2407,PRICES!$C$2:$C$659&amp;"|"&amp;PRICES!$B$2:$B$659&amp;"|"&amp;PRICES!$D$2:$D$659,PRICES!$E$2:$E$659),"Not Found"))</f>
        <v/>
      </c>
      <c r="Q2407" s="100" t="str">
        <f>IF(N2407=0,"",SUMIFS(PRICES!$G$2:$G$658,PRICES!$B$2:$B$658,'MAIN TABLE-1 AUTOMATED'!J2407,PRICES!$C$2:$C$658,'MAIN TABLE-1 AUTOMATED'!F2407,PRICES!$D$2:$D$658,'MAIN TABLE-1 AUTOMATED'!O2407))</f>
        <v/>
      </c>
      <c r="R2407" s="41" t="str">
        <f>IF(Table1[[#This Row],[QUANTITY]]=0,"",Table1[[#This Row],[UNIT PRICE]]*Table1[[#This Row],[QUANTITY]])</f>
        <v/>
      </c>
      <c r="S2407" s="89"/>
      <c r="T2407" s="38"/>
      <c r="U2407" s="43"/>
      <c r="V2407" s="42" t="str">
        <f>IF(Table1[[#This Row],[DATE]]=0,"",YEAR(E2407))</f>
        <v/>
      </c>
      <c r="W2407" s="40" t="str">
        <f t="shared" si="78"/>
        <v/>
      </c>
      <c r="X2407" s="40" t="str">
        <f t="shared" si="79"/>
        <v/>
      </c>
      <c r="Y2407" s="40" t="str">
        <f>TEXT(Table1[[#This Row],[YEAR]],"0000")&amp;"-"&amp;Table1[[#This Row],[MONTH]]</f>
        <v>-</v>
      </c>
    </row>
    <row r="2408" spans="1:25" ht="15" customHeight="1" x14ac:dyDescent="0.35">
      <c r="A2408" s="24"/>
      <c r="B2408" s="38"/>
      <c r="C2408" s="38"/>
      <c r="D2408" s="38"/>
      <c r="E2408" s="37"/>
      <c r="F2408" s="38"/>
      <c r="G2408" s="198"/>
      <c r="H2408" s="198"/>
      <c r="I2408" s="39"/>
      <c r="J2408" s="38"/>
      <c r="K2408" s="198"/>
      <c r="L2408" s="38"/>
      <c r="M2408" s="38"/>
      <c r="N2408" s="38"/>
      <c r="O2408" s="38"/>
      <c r="P2408" s="40" t="str" cm="1">
        <f t="array" ref="P2408">IF(N2408="","",IFERROR(_xlfn.XLOOKUP(F2408&amp;"|"&amp;J2408&amp;"|"&amp;O2408,PRICES!$C$2:$C$659&amp;"|"&amp;PRICES!$B$2:$B$659&amp;"|"&amp;PRICES!$D$2:$D$659,PRICES!$E$2:$E$659),"Not Found"))</f>
        <v/>
      </c>
      <c r="Q2408" s="100" t="str">
        <f>IF(N2408=0,"",SUMIFS(PRICES!$G$2:$G$658,PRICES!$B$2:$B$658,'MAIN TABLE-1 AUTOMATED'!J2408,PRICES!$C$2:$C$658,'MAIN TABLE-1 AUTOMATED'!F2408,PRICES!$D$2:$D$658,'MAIN TABLE-1 AUTOMATED'!O2408))</f>
        <v/>
      </c>
      <c r="R2408" s="41" t="str">
        <f>IF(Table1[[#This Row],[QUANTITY]]=0,"",Table1[[#This Row],[UNIT PRICE]]*Table1[[#This Row],[QUANTITY]])</f>
        <v/>
      </c>
      <c r="S2408" s="89"/>
      <c r="T2408" s="38"/>
      <c r="U2408" s="43"/>
      <c r="V2408" s="42" t="str">
        <f>IF(Table1[[#This Row],[DATE]]=0,"",YEAR(E2408))</f>
        <v/>
      </c>
      <c r="W2408" s="40" t="str">
        <f t="shared" si="78"/>
        <v/>
      </c>
      <c r="X2408" s="40" t="str">
        <f t="shared" si="79"/>
        <v/>
      </c>
      <c r="Y2408" s="40" t="str">
        <f>TEXT(Table1[[#This Row],[YEAR]],"0000")&amp;"-"&amp;Table1[[#This Row],[MONTH]]</f>
        <v>-</v>
      </c>
    </row>
    <row r="2409" spans="1:25" ht="15" customHeight="1" x14ac:dyDescent="0.35">
      <c r="A2409" s="24"/>
      <c r="B2409" s="38"/>
      <c r="C2409" s="38"/>
      <c r="D2409" s="38"/>
      <c r="E2409" s="37"/>
      <c r="F2409" s="38"/>
      <c r="G2409" s="198"/>
      <c r="H2409" s="198"/>
      <c r="I2409" s="39"/>
      <c r="J2409" s="38"/>
      <c r="K2409" s="198"/>
      <c r="L2409" s="38"/>
      <c r="M2409" s="38"/>
      <c r="N2409" s="38"/>
      <c r="O2409" s="38"/>
      <c r="P2409" s="40" t="str" cm="1">
        <f t="array" ref="P2409">IF(N2409="","",IFERROR(_xlfn.XLOOKUP(F2409&amp;"|"&amp;J2409&amp;"|"&amp;O2409,PRICES!$C$2:$C$659&amp;"|"&amp;PRICES!$B$2:$B$659&amp;"|"&amp;PRICES!$D$2:$D$659,PRICES!$E$2:$E$659),"Not Found"))</f>
        <v/>
      </c>
      <c r="Q2409" s="100" t="str">
        <f>IF(N2409=0,"",SUMIFS(PRICES!$G$2:$G$658,PRICES!$B$2:$B$658,'MAIN TABLE-1 AUTOMATED'!J2409,PRICES!$C$2:$C$658,'MAIN TABLE-1 AUTOMATED'!F2409,PRICES!$D$2:$D$658,'MAIN TABLE-1 AUTOMATED'!O2409))</f>
        <v/>
      </c>
      <c r="R2409" s="41" t="str">
        <f>IF(Table1[[#This Row],[QUANTITY]]=0,"",Table1[[#This Row],[UNIT PRICE]]*Table1[[#This Row],[QUANTITY]])</f>
        <v/>
      </c>
      <c r="S2409" s="89"/>
      <c r="T2409" s="38"/>
      <c r="U2409" s="43"/>
      <c r="V2409" s="42" t="str">
        <f>IF(Table1[[#This Row],[DATE]]=0,"",YEAR(E2409))</f>
        <v/>
      </c>
      <c r="W2409" s="40" t="str">
        <f t="shared" si="78"/>
        <v/>
      </c>
      <c r="X2409" s="40" t="str">
        <f t="shared" si="79"/>
        <v/>
      </c>
      <c r="Y2409" s="40" t="str">
        <f>TEXT(Table1[[#This Row],[YEAR]],"0000")&amp;"-"&amp;Table1[[#This Row],[MONTH]]</f>
        <v>-</v>
      </c>
    </row>
    <row r="2410" spans="1:25" ht="15" customHeight="1" x14ac:dyDescent="0.35">
      <c r="A2410" s="24"/>
      <c r="B2410" s="38"/>
      <c r="C2410" s="38"/>
      <c r="D2410" s="38"/>
      <c r="E2410" s="37"/>
      <c r="F2410" s="38"/>
      <c r="G2410" s="198"/>
      <c r="H2410" s="198"/>
      <c r="I2410" s="39"/>
      <c r="J2410" s="38"/>
      <c r="K2410" s="198"/>
      <c r="L2410" s="38"/>
      <c r="M2410" s="38"/>
      <c r="N2410" s="38"/>
      <c r="O2410" s="38"/>
      <c r="P2410" s="40" t="str" cm="1">
        <f t="array" ref="P2410">IF(N2410="","",IFERROR(_xlfn.XLOOKUP(F2410&amp;"|"&amp;J2410&amp;"|"&amp;O2410,PRICES!$C$2:$C$659&amp;"|"&amp;PRICES!$B$2:$B$659&amp;"|"&amp;PRICES!$D$2:$D$659,PRICES!$E$2:$E$659),"Not Found"))</f>
        <v/>
      </c>
      <c r="Q2410" s="100" t="str">
        <f>IF(N2410=0,"",SUMIFS(PRICES!$G$2:$G$658,PRICES!$B$2:$B$658,'MAIN TABLE-1 AUTOMATED'!J2410,PRICES!$C$2:$C$658,'MAIN TABLE-1 AUTOMATED'!F2410,PRICES!$D$2:$D$658,'MAIN TABLE-1 AUTOMATED'!O2410))</f>
        <v/>
      </c>
      <c r="R2410" s="41" t="str">
        <f>IF(Table1[[#This Row],[QUANTITY]]=0,"",Table1[[#This Row],[UNIT PRICE]]*Table1[[#This Row],[QUANTITY]])</f>
        <v/>
      </c>
      <c r="S2410" s="89"/>
      <c r="T2410" s="38"/>
      <c r="U2410" s="43"/>
      <c r="V2410" s="42" t="str">
        <f>IF(Table1[[#This Row],[DATE]]=0,"",YEAR(E2410))</f>
        <v/>
      </c>
      <c r="W2410" s="40" t="str">
        <f t="shared" si="78"/>
        <v/>
      </c>
      <c r="X2410" s="40" t="str">
        <f t="shared" si="79"/>
        <v/>
      </c>
      <c r="Y2410" s="40" t="str">
        <f>TEXT(Table1[[#This Row],[YEAR]],"0000")&amp;"-"&amp;Table1[[#This Row],[MONTH]]</f>
        <v>-</v>
      </c>
    </row>
    <row r="2411" spans="1:25" ht="15" customHeight="1" x14ac:dyDescent="0.35">
      <c r="A2411" s="24"/>
      <c r="B2411" s="38"/>
      <c r="C2411" s="38"/>
      <c r="D2411" s="38"/>
      <c r="E2411" s="37"/>
      <c r="F2411" s="38"/>
      <c r="G2411" s="198"/>
      <c r="H2411" s="198"/>
      <c r="I2411" s="39"/>
      <c r="J2411" s="38"/>
      <c r="K2411" s="198"/>
      <c r="L2411" s="38"/>
      <c r="M2411" s="38"/>
      <c r="N2411" s="38"/>
      <c r="O2411" s="38"/>
      <c r="P2411" s="40" t="str" cm="1">
        <f t="array" ref="P2411">IF(N2411="","",IFERROR(_xlfn.XLOOKUP(F2411&amp;"|"&amp;J2411&amp;"|"&amp;O2411,PRICES!$C$2:$C$659&amp;"|"&amp;PRICES!$B$2:$B$659&amp;"|"&amp;PRICES!$D$2:$D$659,PRICES!$E$2:$E$659),"Not Found"))</f>
        <v/>
      </c>
      <c r="Q2411" s="100" t="str">
        <f>IF(N2411=0,"",SUMIFS(PRICES!$G$2:$G$658,PRICES!$B$2:$B$658,'MAIN TABLE-1 AUTOMATED'!J2411,PRICES!$C$2:$C$658,'MAIN TABLE-1 AUTOMATED'!F2411,PRICES!$D$2:$D$658,'MAIN TABLE-1 AUTOMATED'!O2411))</f>
        <v/>
      </c>
      <c r="R2411" s="41" t="str">
        <f>IF(Table1[[#This Row],[QUANTITY]]=0,"",Table1[[#This Row],[UNIT PRICE]]*Table1[[#This Row],[QUANTITY]])</f>
        <v/>
      </c>
      <c r="S2411" s="89"/>
      <c r="T2411" s="38"/>
      <c r="U2411" s="43"/>
      <c r="V2411" s="42" t="str">
        <f>IF(Table1[[#This Row],[DATE]]=0,"",YEAR(E2411))</f>
        <v/>
      </c>
      <c r="W2411" s="40" t="str">
        <f t="shared" si="78"/>
        <v/>
      </c>
      <c r="X2411" s="40" t="str">
        <f t="shared" si="79"/>
        <v/>
      </c>
      <c r="Y2411" s="40" t="str">
        <f>TEXT(Table1[[#This Row],[YEAR]],"0000")&amp;"-"&amp;Table1[[#This Row],[MONTH]]</f>
        <v>-</v>
      </c>
    </row>
    <row r="2412" spans="1:25" ht="15" customHeight="1" x14ac:dyDescent="0.35">
      <c r="A2412" s="24"/>
      <c r="B2412" s="38"/>
      <c r="C2412" s="38"/>
      <c r="D2412" s="38"/>
      <c r="E2412" s="37"/>
      <c r="F2412" s="38"/>
      <c r="G2412" s="198"/>
      <c r="H2412" s="198"/>
      <c r="I2412" s="39"/>
      <c r="J2412" s="38"/>
      <c r="K2412" s="198"/>
      <c r="L2412" s="38"/>
      <c r="M2412" s="38"/>
      <c r="N2412" s="38"/>
      <c r="O2412" s="38"/>
      <c r="P2412" s="40" t="str" cm="1">
        <f t="array" ref="P2412">IF(N2412="","",IFERROR(_xlfn.XLOOKUP(F2412&amp;"|"&amp;J2412&amp;"|"&amp;O2412,PRICES!$C$2:$C$659&amp;"|"&amp;PRICES!$B$2:$B$659&amp;"|"&amp;PRICES!$D$2:$D$659,PRICES!$E$2:$E$659),"Not Found"))</f>
        <v/>
      </c>
      <c r="Q2412" s="100" t="str">
        <f>IF(N2412=0,"",SUMIFS(PRICES!$G$2:$G$658,PRICES!$B$2:$B$658,'MAIN TABLE-1 AUTOMATED'!J2412,PRICES!$C$2:$C$658,'MAIN TABLE-1 AUTOMATED'!F2412,PRICES!$D$2:$D$658,'MAIN TABLE-1 AUTOMATED'!O2412))</f>
        <v/>
      </c>
      <c r="R2412" s="41" t="str">
        <f>IF(Table1[[#This Row],[QUANTITY]]=0,"",Table1[[#This Row],[UNIT PRICE]]*Table1[[#This Row],[QUANTITY]])</f>
        <v/>
      </c>
      <c r="S2412" s="89"/>
      <c r="T2412" s="38"/>
      <c r="U2412" s="43"/>
      <c r="V2412" s="42" t="str">
        <f>IF(Table1[[#This Row],[DATE]]=0,"",YEAR(E2412))</f>
        <v/>
      </c>
      <c r="W2412" s="40" t="str">
        <f t="shared" si="78"/>
        <v/>
      </c>
      <c r="X2412" s="40" t="str">
        <f t="shared" si="79"/>
        <v/>
      </c>
      <c r="Y2412" s="40" t="str">
        <f>TEXT(Table1[[#This Row],[YEAR]],"0000")&amp;"-"&amp;Table1[[#This Row],[MONTH]]</f>
        <v>-</v>
      </c>
    </row>
    <row r="2413" spans="1:25" ht="15" customHeight="1" x14ac:dyDescent="0.35">
      <c r="A2413" s="24"/>
      <c r="B2413" s="38"/>
      <c r="C2413" s="38"/>
      <c r="D2413" s="38"/>
      <c r="E2413" s="37"/>
      <c r="F2413" s="38"/>
      <c r="G2413" s="198"/>
      <c r="H2413" s="198"/>
      <c r="I2413" s="39"/>
      <c r="J2413" s="38"/>
      <c r="K2413" s="198"/>
      <c r="L2413" s="38"/>
      <c r="M2413" s="38"/>
      <c r="N2413" s="38"/>
      <c r="O2413" s="38"/>
      <c r="P2413" s="40" t="str" cm="1">
        <f t="array" ref="P2413">IF(N2413="","",IFERROR(_xlfn.XLOOKUP(F2413&amp;"|"&amp;J2413&amp;"|"&amp;O2413,PRICES!$C$2:$C$659&amp;"|"&amp;PRICES!$B$2:$B$659&amp;"|"&amp;PRICES!$D$2:$D$659,PRICES!$E$2:$E$659),"Not Found"))</f>
        <v/>
      </c>
      <c r="Q2413" s="100" t="str">
        <f>IF(N2413=0,"",SUMIFS(PRICES!$G$2:$G$658,PRICES!$B$2:$B$658,'MAIN TABLE-1 AUTOMATED'!J2413,PRICES!$C$2:$C$658,'MAIN TABLE-1 AUTOMATED'!F2413,PRICES!$D$2:$D$658,'MAIN TABLE-1 AUTOMATED'!O2413))</f>
        <v/>
      </c>
      <c r="R2413" s="41" t="str">
        <f>IF(Table1[[#This Row],[QUANTITY]]=0,"",Table1[[#This Row],[UNIT PRICE]]*Table1[[#This Row],[QUANTITY]])</f>
        <v/>
      </c>
      <c r="S2413" s="89"/>
      <c r="T2413" s="38"/>
      <c r="U2413" s="43"/>
      <c r="V2413" s="42" t="str">
        <f>IF(Table1[[#This Row],[DATE]]=0,"",YEAR(E2413))</f>
        <v/>
      </c>
      <c r="W2413" s="40" t="str">
        <f t="shared" si="78"/>
        <v/>
      </c>
      <c r="X2413" s="40" t="str">
        <f t="shared" si="79"/>
        <v/>
      </c>
      <c r="Y2413" s="40" t="str">
        <f>TEXT(Table1[[#This Row],[YEAR]],"0000")&amp;"-"&amp;Table1[[#This Row],[MONTH]]</f>
        <v>-</v>
      </c>
    </row>
    <row r="2414" spans="1:25" ht="15" customHeight="1" x14ac:dyDescent="0.35">
      <c r="A2414" s="24"/>
      <c r="B2414" s="38"/>
      <c r="C2414" s="38"/>
      <c r="D2414" s="38"/>
      <c r="E2414" s="37"/>
      <c r="F2414" s="38"/>
      <c r="G2414" s="198"/>
      <c r="H2414" s="198"/>
      <c r="I2414" s="39"/>
      <c r="J2414" s="38"/>
      <c r="K2414" s="198"/>
      <c r="L2414" s="38"/>
      <c r="M2414" s="38"/>
      <c r="N2414" s="38"/>
      <c r="O2414" s="38"/>
      <c r="P2414" s="40" t="str" cm="1">
        <f t="array" ref="P2414">IF(N2414="","",IFERROR(_xlfn.XLOOKUP(F2414&amp;"|"&amp;J2414&amp;"|"&amp;O2414,PRICES!$C$2:$C$659&amp;"|"&amp;PRICES!$B$2:$B$659&amp;"|"&amp;PRICES!$D$2:$D$659,PRICES!$E$2:$E$659),"Not Found"))</f>
        <v/>
      </c>
      <c r="Q2414" s="100" t="str">
        <f>IF(N2414=0,"",SUMIFS(PRICES!$G$2:$G$658,PRICES!$B$2:$B$658,'MAIN TABLE-1 AUTOMATED'!J2414,PRICES!$C$2:$C$658,'MAIN TABLE-1 AUTOMATED'!F2414,PRICES!$D$2:$D$658,'MAIN TABLE-1 AUTOMATED'!O2414))</f>
        <v/>
      </c>
      <c r="R2414" s="41" t="str">
        <f>IF(Table1[[#This Row],[QUANTITY]]=0,"",Table1[[#This Row],[UNIT PRICE]]*Table1[[#This Row],[QUANTITY]])</f>
        <v/>
      </c>
      <c r="S2414" s="89"/>
      <c r="T2414" s="38"/>
      <c r="U2414" s="43"/>
      <c r="V2414" s="42" t="str">
        <f>IF(Table1[[#This Row],[DATE]]=0,"",YEAR(E2414))</f>
        <v/>
      </c>
      <c r="W2414" s="40" t="str">
        <f t="shared" si="78"/>
        <v/>
      </c>
      <c r="X2414" s="40" t="str">
        <f t="shared" si="79"/>
        <v/>
      </c>
      <c r="Y2414" s="40" t="str">
        <f>TEXT(Table1[[#This Row],[YEAR]],"0000")&amp;"-"&amp;Table1[[#This Row],[MONTH]]</f>
        <v>-</v>
      </c>
    </row>
    <row r="2415" spans="1:25" ht="15" customHeight="1" x14ac:dyDescent="0.35">
      <c r="A2415" s="24"/>
      <c r="B2415" s="38"/>
      <c r="C2415" s="38"/>
      <c r="D2415" s="38"/>
      <c r="E2415" s="37"/>
      <c r="F2415" s="38"/>
      <c r="G2415" s="198"/>
      <c r="H2415" s="198"/>
      <c r="I2415" s="39"/>
      <c r="J2415" s="38"/>
      <c r="K2415" s="198"/>
      <c r="L2415" s="38"/>
      <c r="M2415" s="38"/>
      <c r="N2415" s="38"/>
      <c r="O2415" s="38"/>
      <c r="P2415" s="40" t="str" cm="1">
        <f t="array" ref="P2415">IF(N2415="","",IFERROR(_xlfn.XLOOKUP(F2415&amp;"|"&amp;J2415&amp;"|"&amp;O2415,PRICES!$C$2:$C$659&amp;"|"&amp;PRICES!$B$2:$B$659&amp;"|"&amp;PRICES!$D$2:$D$659,PRICES!$E$2:$E$659),"Not Found"))</f>
        <v/>
      </c>
      <c r="Q2415" s="100" t="str">
        <f>IF(N2415=0,"",SUMIFS(PRICES!$G$2:$G$658,PRICES!$B$2:$B$658,'MAIN TABLE-1 AUTOMATED'!J2415,PRICES!$C$2:$C$658,'MAIN TABLE-1 AUTOMATED'!F2415,PRICES!$D$2:$D$658,'MAIN TABLE-1 AUTOMATED'!O2415))</f>
        <v/>
      </c>
      <c r="R2415" s="41" t="str">
        <f>IF(Table1[[#This Row],[QUANTITY]]=0,"",Table1[[#This Row],[UNIT PRICE]]*Table1[[#This Row],[QUANTITY]])</f>
        <v/>
      </c>
      <c r="S2415" s="89"/>
      <c r="T2415" s="38"/>
      <c r="U2415" s="43"/>
      <c r="V2415" s="42" t="str">
        <f>IF(Table1[[#This Row],[DATE]]=0,"",YEAR(E2415))</f>
        <v/>
      </c>
      <c r="W2415" s="40" t="str">
        <f t="shared" si="78"/>
        <v/>
      </c>
      <c r="X2415" s="40" t="str">
        <f t="shared" si="79"/>
        <v/>
      </c>
      <c r="Y2415" s="40" t="str">
        <f>TEXT(Table1[[#This Row],[YEAR]],"0000")&amp;"-"&amp;Table1[[#This Row],[MONTH]]</f>
        <v>-</v>
      </c>
    </row>
    <row r="2416" spans="1:25" ht="15" customHeight="1" x14ac:dyDescent="0.35">
      <c r="A2416" s="24"/>
      <c r="B2416" s="38"/>
      <c r="C2416" s="38"/>
      <c r="D2416" s="38"/>
      <c r="E2416" s="37"/>
      <c r="F2416" s="38"/>
      <c r="G2416" s="198"/>
      <c r="H2416" s="198"/>
      <c r="I2416" s="39"/>
      <c r="J2416" s="38"/>
      <c r="K2416" s="198"/>
      <c r="L2416" s="38"/>
      <c r="M2416" s="38"/>
      <c r="N2416" s="38"/>
      <c r="O2416" s="38"/>
      <c r="P2416" s="40" t="str" cm="1">
        <f t="array" ref="P2416">IF(N2416="","",IFERROR(_xlfn.XLOOKUP(F2416&amp;"|"&amp;J2416&amp;"|"&amp;O2416,PRICES!$C$2:$C$659&amp;"|"&amp;PRICES!$B$2:$B$659&amp;"|"&amp;PRICES!$D$2:$D$659,PRICES!$E$2:$E$659),"Not Found"))</f>
        <v/>
      </c>
      <c r="Q2416" s="100" t="str">
        <f>IF(N2416=0,"",SUMIFS(PRICES!$G$2:$G$658,PRICES!$B$2:$B$658,'MAIN TABLE-1 AUTOMATED'!J2416,PRICES!$C$2:$C$658,'MAIN TABLE-1 AUTOMATED'!F2416,PRICES!$D$2:$D$658,'MAIN TABLE-1 AUTOMATED'!O2416))</f>
        <v/>
      </c>
      <c r="R2416" s="41" t="str">
        <f>IF(Table1[[#This Row],[QUANTITY]]=0,"",Table1[[#This Row],[UNIT PRICE]]*Table1[[#This Row],[QUANTITY]])</f>
        <v/>
      </c>
      <c r="S2416" s="89"/>
      <c r="T2416" s="38"/>
      <c r="U2416" s="43"/>
      <c r="V2416" s="42" t="str">
        <f>IF(Table1[[#This Row],[DATE]]=0,"",YEAR(E2416))</f>
        <v/>
      </c>
      <c r="W2416" s="40" t="str">
        <f t="shared" si="78"/>
        <v/>
      </c>
      <c r="X2416" s="40" t="str">
        <f t="shared" si="79"/>
        <v/>
      </c>
      <c r="Y2416" s="40" t="str">
        <f>TEXT(Table1[[#This Row],[YEAR]],"0000")&amp;"-"&amp;Table1[[#This Row],[MONTH]]</f>
        <v>-</v>
      </c>
    </row>
    <row r="2417" spans="1:25" ht="15" customHeight="1" x14ac:dyDescent="0.35">
      <c r="A2417" s="24"/>
      <c r="B2417" s="38"/>
      <c r="C2417" s="38"/>
      <c r="D2417" s="38"/>
      <c r="E2417" s="37"/>
      <c r="F2417" s="38"/>
      <c r="G2417" s="198"/>
      <c r="H2417" s="198"/>
      <c r="I2417" s="39"/>
      <c r="J2417" s="38"/>
      <c r="K2417" s="198"/>
      <c r="L2417" s="38"/>
      <c r="M2417" s="38"/>
      <c r="N2417" s="38"/>
      <c r="O2417" s="38"/>
      <c r="P2417" s="40" t="str" cm="1">
        <f t="array" ref="P2417">IF(N2417="","",IFERROR(_xlfn.XLOOKUP(F2417&amp;"|"&amp;J2417&amp;"|"&amp;O2417,PRICES!$C$2:$C$659&amp;"|"&amp;PRICES!$B$2:$B$659&amp;"|"&amp;PRICES!$D$2:$D$659,PRICES!$E$2:$E$659),"Not Found"))</f>
        <v/>
      </c>
      <c r="Q2417" s="100" t="str">
        <f>IF(N2417=0,"",SUMIFS(PRICES!$G$2:$G$658,PRICES!$B$2:$B$658,'MAIN TABLE-1 AUTOMATED'!J2417,PRICES!$C$2:$C$658,'MAIN TABLE-1 AUTOMATED'!F2417,PRICES!$D$2:$D$658,'MAIN TABLE-1 AUTOMATED'!O2417))</f>
        <v/>
      </c>
      <c r="R2417" s="41" t="str">
        <f>IF(Table1[[#This Row],[QUANTITY]]=0,"",Table1[[#This Row],[UNIT PRICE]]*Table1[[#This Row],[QUANTITY]])</f>
        <v/>
      </c>
      <c r="S2417" s="89"/>
      <c r="T2417" s="38"/>
      <c r="U2417" s="43"/>
      <c r="V2417" s="42" t="str">
        <f>IF(Table1[[#This Row],[DATE]]=0,"",YEAR(E2417))</f>
        <v/>
      </c>
      <c r="W2417" s="40" t="str">
        <f t="shared" si="78"/>
        <v/>
      </c>
      <c r="X2417" s="40" t="str">
        <f t="shared" si="79"/>
        <v/>
      </c>
      <c r="Y2417" s="40" t="str">
        <f>TEXT(Table1[[#This Row],[YEAR]],"0000")&amp;"-"&amp;Table1[[#This Row],[MONTH]]</f>
        <v>-</v>
      </c>
    </row>
    <row r="2418" spans="1:25" ht="15" customHeight="1" x14ac:dyDescent="0.35">
      <c r="A2418" s="24"/>
      <c r="B2418" s="38"/>
      <c r="C2418" s="38"/>
      <c r="D2418" s="38"/>
      <c r="E2418" s="37"/>
      <c r="F2418" s="38"/>
      <c r="G2418" s="198"/>
      <c r="H2418" s="198"/>
      <c r="I2418" s="39"/>
      <c r="J2418" s="38"/>
      <c r="K2418" s="198"/>
      <c r="L2418" s="38"/>
      <c r="M2418" s="38"/>
      <c r="N2418" s="38"/>
      <c r="O2418" s="38"/>
      <c r="P2418" s="40" t="str" cm="1">
        <f t="array" ref="P2418">IF(N2418="","",IFERROR(_xlfn.XLOOKUP(F2418&amp;"|"&amp;J2418&amp;"|"&amp;O2418,PRICES!$C$2:$C$659&amp;"|"&amp;PRICES!$B$2:$B$659&amp;"|"&amp;PRICES!$D$2:$D$659,PRICES!$E$2:$E$659),"Not Found"))</f>
        <v/>
      </c>
      <c r="Q2418" s="100" t="str">
        <f>IF(N2418=0,"",SUMIFS(PRICES!$G$2:$G$658,PRICES!$B$2:$B$658,'MAIN TABLE-1 AUTOMATED'!J2418,PRICES!$C$2:$C$658,'MAIN TABLE-1 AUTOMATED'!F2418,PRICES!$D$2:$D$658,'MAIN TABLE-1 AUTOMATED'!O2418))</f>
        <v/>
      </c>
      <c r="R2418" s="41" t="str">
        <f>IF(Table1[[#This Row],[QUANTITY]]=0,"",Table1[[#This Row],[UNIT PRICE]]*Table1[[#This Row],[QUANTITY]])</f>
        <v/>
      </c>
      <c r="S2418" s="89"/>
      <c r="T2418" s="38"/>
      <c r="U2418" s="43"/>
      <c r="V2418" s="42" t="str">
        <f>IF(Table1[[#This Row],[DATE]]=0,"",YEAR(E2418))</f>
        <v/>
      </c>
      <c r="W2418" s="40" t="str">
        <f t="shared" si="78"/>
        <v/>
      </c>
      <c r="X2418" s="40" t="str">
        <f t="shared" si="79"/>
        <v/>
      </c>
      <c r="Y2418" s="40" t="str">
        <f>TEXT(Table1[[#This Row],[YEAR]],"0000")&amp;"-"&amp;Table1[[#This Row],[MONTH]]</f>
        <v>-</v>
      </c>
    </row>
    <row r="2419" spans="1:25" ht="15" customHeight="1" x14ac:dyDescent="0.35">
      <c r="A2419" s="24"/>
      <c r="B2419" s="38"/>
      <c r="C2419" s="38"/>
      <c r="D2419" s="38"/>
      <c r="E2419" s="37"/>
      <c r="F2419" s="38"/>
      <c r="G2419" s="198"/>
      <c r="H2419" s="198"/>
      <c r="I2419" s="39"/>
      <c r="J2419" s="38"/>
      <c r="K2419" s="198"/>
      <c r="L2419" s="38"/>
      <c r="M2419" s="38"/>
      <c r="N2419" s="38"/>
      <c r="O2419" s="38"/>
      <c r="P2419" s="40" t="str" cm="1">
        <f t="array" ref="P2419">IF(N2419="","",IFERROR(_xlfn.XLOOKUP(F2419&amp;"|"&amp;J2419&amp;"|"&amp;O2419,PRICES!$C$2:$C$659&amp;"|"&amp;PRICES!$B$2:$B$659&amp;"|"&amp;PRICES!$D$2:$D$659,PRICES!$E$2:$E$659),"Not Found"))</f>
        <v/>
      </c>
      <c r="Q2419" s="100" t="str">
        <f>IF(N2419=0,"",SUMIFS(PRICES!$G$2:$G$658,PRICES!$B$2:$B$658,'MAIN TABLE-1 AUTOMATED'!J2419,PRICES!$C$2:$C$658,'MAIN TABLE-1 AUTOMATED'!F2419,PRICES!$D$2:$D$658,'MAIN TABLE-1 AUTOMATED'!O2419))</f>
        <v/>
      </c>
      <c r="R2419" s="41" t="str">
        <f>IF(Table1[[#This Row],[QUANTITY]]=0,"",Table1[[#This Row],[UNIT PRICE]]*Table1[[#This Row],[QUANTITY]])</f>
        <v/>
      </c>
      <c r="S2419" s="89"/>
      <c r="T2419" s="38"/>
      <c r="U2419" s="43"/>
      <c r="V2419" s="42" t="str">
        <f>IF(Table1[[#This Row],[DATE]]=0,"",YEAR(E2419))</f>
        <v/>
      </c>
      <c r="W2419" s="40" t="str">
        <f t="shared" si="78"/>
        <v/>
      </c>
      <c r="X2419" s="40" t="str">
        <f t="shared" si="79"/>
        <v/>
      </c>
      <c r="Y2419" s="40" t="str">
        <f>TEXT(Table1[[#This Row],[YEAR]],"0000")&amp;"-"&amp;Table1[[#This Row],[MONTH]]</f>
        <v>-</v>
      </c>
    </row>
    <row r="2420" spans="1:25" ht="15" customHeight="1" x14ac:dyDescent="0.35">
      <c r="A2420" s="24"/>
      <c r="B2420" s="38"/>
      <c r="C2420" s="38"/>
      <c r="D2420" s="38"/>
      <c r="E2420" s="37"/>
      <c r="F2420" s="38"/>
      <c r="G2420" s="198"/>
      <c r="H2420" s="198"/>
      <c r="I2420" s="39"/>
      <c r="J2420" s="38"/>
      <c r="K2420" s="198"/>
      <c r="L2420" s="38"/>
      <c r="M2420" s="38"/>
      <c r="N2420" s="38"/>
      <c r="O2420" s="38"/>
      <c r="P2420" s="40" t="str" cm="1">
        <f t="array" ref="P2420">IF(N2420="","",IFERROR(_xlfn.XLOOKUP(F2420&amp;"|"&amp;J2420&amp;"|"&amp;O2420,PRICES!$C$2:$C$659&amp;"|"&amp;PRICES!$B$2:$B$659&amp;"|"&amp;PRICES!$D$2:$D$659,PRICES!$E$2:$E$659),"Not Found"))</f>
        <v/>
      </c>
      <c r="Q2420" s="100" t="str">
        <f>IF(N2420=0,"",SUMIFS(PRICES!$G$2:$G$658,PRICES!$B$2:$B$658,'MAIN TABLE-1 AUTOMATED'!J2420,PRICES!$C$2:$C$658,'MAIN TABLE-1 AUTOMATED'!F2420,PRICES!$D$2:$D$658,'MAIN TABLE-1 AUTOMATED'!O2420))</f>
        <v/>
      </c>
      <c r="R2420" s="41" t="str">
        <f>IF(Table1[[#This Row],[QUANTITY]]=0,"",Table1[[#This Row],[UNIT PRICE]]*Table1[[#This Row],[QUANTITY]])</f>
        <v/>
      </c>
      <c r="S2420" s="89"/>
      <c r="T2420" s="38"/>
      <c r="U2420" s="43"/>
      <c r="V2420" s="42" t="str">
        <f>IF(Table1[[#This Row],[DATE]]=0,"",YEAR(E2420))</f>
        <v/>
      </c>
      <c r="W2420" s="40" t="str">
        <f t="shared" si="78"/>
        <v/>
      </c>
      <c r="X2420" s="40" t="str">
        <f t="shared" si="79"/>
        <v/>
      </c>
      <c r="Y2420" s="40" t="str">
        <f>TEXT(Table1[[#This Row],[YEAR]],"0000")&amp;"-"&amp;Table1[[#This Row],[MONTH]]</f>
        <v>-</v>
      </c>
    </row>
    <row r="2421" spans="1:25" ht="15" customHeight="1" x14ac:dyDescent="0.35">
      <c r="A2421" s="24"/>
      <c r="B2421" s="38"/>
      <c r="C2421" s="38"/>
      <c r="D2421" s="38"/>
      <c r="E2421" s="37"/>
      <c r="F2421" s="38"/>
      <c r="G2421" s="198"/>
      <c r="H2421" s="198"/>
      <c r="I2421" s="39"/>
      <c r="J2421" s="38"/>
      <c r="K2421" s="198"/>
      <c r="L2421" s="38"/>
      <c r="M2421" s="38"/>
      <c r="N2421" s="38"/>
      <c r="O2421" s="38"/>
      <c r="P2421" s="40" t="str" cm="1">
        <f t="array" ref="P2421">IF(N2421="","",IFERROR(_xlfn.XLOOKUP(F2421&amp;"|"&amp;J2421&amp;"|"&amp;O2421,PRICES!$C$2:$C$659&amp;"|"&amp;PRICES!$B$2:$B$659&amp;"|"&amp;PRICES!$D$2:$D$659,PRICES!$E$2:$E$659),"Not Found"))</f>
        <v/>
      </c>
      <c r="Q2421" s="100" t="str">
        <f>IF(N2421=0,"",SUMIFS(PRICES!$G$2:$G$658,PRICES!$B$2:$B$658,'MAIN TABLE-1 AUTOMATED'!J2421,PRICES!$C$2:$C$658,'MAIN TABLE-1 AUTOMATED'!F2421,PRICES!$D$2:$D$658,'MAIN TABLE-1 AUTOMATED'!O2421))</f>
        <v/>
      </c>
      <c r="R2421" s="41" t="str">
        <f>IF(Table1[[#This Row],[QUANTITY]]=0,"",Table1[[#This Row],[UNIT PRICE]]*Table1[[#This Row],[QUANTITY]])</f>
        <v/>
      </c>
      <c r="S2421" s="89"/>
      <c r="T2421" s="38"/>
      <c r="U2421" s="43"/>
      <c r="V2421" s="42" t="str">
        <f>IF(Table1[[#This Row],[DATE]]=0,"",YEAR(E2421))</f>
        <v/>
      </c>
      <c r="W2421" s="40" t="str">
        <f t="shared" si="78"/>
        <v/>
      </c>
      <c r="X2421" s="40" t="str">
        <f t="shared" si="79"/>
        <v/>
      </c>
      <c r="Y2421" s="40" t="str">
        <f>TEXT(Table1[[#This Row],[YEAR]],"0000")&amp;"-"&amp;Table1[[#This Row],[MONTH]]</f>
        <v>-</v>
      </c>
    </row>
    <row r="2422" spans="1:25" ht="15" customHeight="1" x14ac:dyDescent="0.35">
      <c r="A2422" s="24"/>
      <c r="B2422" s="38"/>
      <c r="C2422" s="38"/>
      <c r="D2422" s="38"/>
      <c r="E2422" s="37"/>
      <c r="F2422" s="38"/>
      <c r="G2422" s="198"/>
      <c r="H2422" s="198"/>
      <c r="I2422" s="39"/>
      <c r="J2422" s="38"/>
      <c r="K2422" s="198"/>
      <c r="L2422" s="38"/>
      <c r="M2422" s="38"/>
      <c r="N2422" s="38"/>
      <c r="O2422" s="38"/>
      <c r="P2422" s="40" t="str" cm="1">
        <f t="array" ref="P2422">IF(N2422="","",IFERROR(_xlfn.XLOOKUP(F2422&amp;"|"&amp;J2422&amp;"|"&amp;O2422,PRICES!$C$2:$C$659&amp;"|"&amp;PRICES!$B$2:$B$659&amp;"|"&amp;PRICES!$D$2:$D$659,PRICES!$E$2:$E$659),"Not Found"))</f>
        <v/>
      </c>
      <c r="Q2422" s="100" t="str">
        <f>IF(N2422=0,"",SUMIFS(PRICES!$G$2:$G$658,PRICES!$B$2:$B$658,'MAIN TABLE-1 AUTOMATED'!J2422,PRICES!$C$2:$C$658,'MAIN TABLE-1 AUTOMATED'!F2422,PRICES!$D$2:$D$658,'MAIN TABLE-1 AUTOMATED'!O2422))</f>
        <v/>
      </c>
      <c r="R2422" s="41" t="str">
        <f>IF(Table1[[#This Row],[QUANTITY]]=0,"",Table1[[#This Row],[UNIT PRICE]]*Table1[[#This Row],[QUANTITY]])</f>
        <v/>
      </c>
      <c r="S2422" s="89"/>
      <c r="T2422" s="38"/>
      <c r="U2422" s="43"/>
      <c r="V2422" s="42" t="str">
        <f>IF(Table1[[#This Row],[DATE]]=0,"",YEAR(E2422))</f>
        <v/>
      </c>
      <c r="W2422" s="40" t="str">
        <f t="shared" si="78"/>
        <v/>
      </c>
      <c r="X2422" s="40" t="str">
        <f t="shared" si="79"/>
        <v/>
      </c>
      <c r="Y2422" s="40" t="str">
        <f>TEXT(Table1[[#This Row],[YEAR]],"0000")&amp;"-"&amp;Table1[[#This Row],[MONTH]]</f>
        <v>-</v>
      </c>
    </row>
    <row r="2423" spans="1:25" ht="15" customHeight="1" x14ac:dyDescent="0.35">
      <c r="A2423" s="24"/>
      <c r="B2423" s="38"/>
      <c r="C2423" s="38"/>
      <c r="D2423" s="38"/>
      <c r="E2423" s="37"/>
      <c r="F2423" s="38"/>
      <c r="G2423" s="198"/>
      <c r="H2423" s="198"/>
      <c r="I2423" s="39"/>
      <c r="J2423" s="38"/>
      <c r="K2423" s="198"/>
      <c r="L2423" s="38"/>
      <c r="M2423" s="38"/>
      <c r="N2423" s="38"/>
      <c r="O2423" s="38"/>
      <c r="P2423" s="40" t="str" cm="1">
        <f t="array" ref="P2423">IF(N2423="","",IFERROR(_xlfn.XLOOKUP(F2423&amp;"|"&amp;J2423&amp;"|"&amp;O2423,PRICES!$C$2:$C$659&amp;"|"&amp;PRICES!$B$2:$B$659&amp;"|"&amp;PRICES!$D$2:$D$659,PRICES!$E$2:$E$659),"Not Found"))</f>
        <v/>
      </c>
      <c r="Q2423" s="100" t="str">
        <f>IF(N2423=0,"",SUMIFS(PRICES!$G$2:$G$658,PRICES!$B$2:$B$658,'MAIN TABLE-1 AUTOMATED'!J2423,PRICES!$C$2:$C$658,'MAIN TABLE-1 AUTOMATED'!F2423,PRICES!$D$2:$D$658,'MAIN TABLE-1 AUTOMATED'!O2423))</f>
        <v/>
      </c>
      <c r="R2423" s="41" t="str">
        <f>IF(Table1[[#This Row],[QUANTITY]]=0,"",Table1[[#This Row],[UNIT PRICE]]*Table1[[#This Row],[QUANTITY]])</f>
        <v/>
      </c>
      <c r="S2423" s="89"/>
      <c r="T2423" s="38"/>
      <c r="U2423" s="43"/>
      <c r="V2423" s="42" t="str">
        <f>IF(Table1[[#This Row],[DATE]]=0,"",YEAR(E2423))</f>
        <v/>
      </c>
      <c r="W2423" s="40" t="str">
        <f t="shared" si="78"/>
        <v/>
      </c>
      <c r="X2423" s="40" t="str">
        <f t="shared" si="79"/>
        <v/>
      </c>
      <c r="Y2423" s="40" t="str">
        <f>TEXT(Table1[[#This Row],[YEAR]],"0000")&amp;"-"&amp;Table1[[#This Row],[MONTH]]</f>
        <v>-</v>
      </c>
    </row>
    <row r="2424" spans="1:25" ht="15" customHeight="1" x14ac:dyDescent="0.35">
      <c r="A2424" s="24"/>
      <c r="B2424" s="38"/>
      <c r="C2424" s="38"/>
      <c r="D2424" s="38"/>
      <c r="E2424" s="37"/>
      <c r="F2424" s="38"/>
      <c r="G2424" s="198"/>
      <c r="H2424" s="198"/>
      <c r="I2424" s="39"/>
      <c r="J2424" s="38"/>
      <c r="K2424" s="198"/>
      <c r="L2424" s="38"/>
      <c r="M2424" s="38"/>
      <c r="N2424" s="38"/>
      <c r="O2424" s="38"/>
      <c r="P2424" s="40" t="str" cm="1">
        <f t="array" ref="P2424">IF(N2424="","",IFERROR(_xlfn.XLOOKUP(F2424&amp;"|"&amp;J2424&amp;"|"&amp;O2424,PRICES!$C$2:$C$659&amp;"|"&amp;PRICES!$B$2:$B$659&amp;"|"&amp;PRICES!$D$2:$D$659,PRICES!$E$2:$E$659),"Not Found"))</f>
        <v/>
      </c>
      <c r="Q2424" s="100" t="str">
        <f>IF(N2424=0,"",SUMIFS(PRICES!$G$2:$G$658,PRICES!$B$2:$B$658,'MAIN TABLE-1 AUTOMATED'!J2424,PRICES!$C$2:$C$658,'MAIN TABLE-1 AUTOMATED'!F2424,PRICES!$D$2:$D$658,'MAIN TABLE-1 AUTOMATED'!O2424))</f>
        <v/>
      </c>
      <c r="R2424" s="41" t="str">
        <f>IF(Table1[[#This Row],[QUANTITY]]=0,"",Table1[[#This Row],[UNIT PRICE]]*Table1[[#This Row],[QUANTITY]])</f>
        <v/>
      </c>
      <c r="S2424" s="89"/>
      <c r="T2424" s="38"/>
      <c r="U2424" s="43"/>
      <c r="V2424" s="42" t="str">
        <f>IF(Table1[[#This Row],[DATE]]=0,"",YEAR(E2424))</f>
        <v/>
      </c>
      <c r="W2424" s="40" t="str">
        <f t="shared" si="78"/>
        <v/>
      </c>
      <c r="X2424" s="40" t="str">
        <f t="shared" si="79"/>
        <v/>
      </c>
      <c r="Y2424" s="40" t="str">
        <f>TEXT(Table1[[#This Row],[YEAR]],"0000")&amp;"-"&amp;Table1[[#This Row],[MONTH]]</f>
        <v>-</v>
      </c>
    </row>
    <row r="2425" spans="1:25" ht="15" customHeight="1" x14ac:dyDescent="0.35">
      <c r="A2425" s="24"/>
      <c r="B2425" s="38"/>
      <c r="C2425" s="38"/>
      <c r="D2425" s="38"/>
      <c r="E2425" s="37"/>
      <c r="F2425" s="38"/>
      <c r="G2425" s="198"/>
      <c r="H2425" s="198"/>
      <c r="I2425" s="39"/>
      <c r="J2425" s="38"/>
      <c r="K2425" s="198"/>
      <c r="L2425" s="38"/>
      <c r="M2425" s="38"/>
      <c r="N2425" s="38"/>
      <c r="O2425" s="38"/>
      <c r="P2425" s="40" t="str" cm="1">
        <f t="array" ref="P2425">IF(N2425="","",IFERROR(_xlfn.XLOOKUP(F2425&amp;"|"&amp;J2425&amp;"|"&amp;O2425,PRICES!$C$2:$C$659&amp;"|"&amp;PRICES!$B$2:$B$659&amp;"|"&amp;PRICES!$D$2:$D$659,PRICES!$E$2:$E$659),"Not Found"))</f>
        <v/>
      </c>
      <c r="Q2425" s="100" t="str">
        <f>IF(N2425=0,"",SUMIFS(PRICES!$G$2:$G$658,PRICES!$B$2:$B$658,'MAIN TABLE-1 AUTOMATED'!J2425,PRICES!$C$2:$C$658,'MAIN TABLE-1 AUTOMATED'!F2425,PRICES!$D$2:$D$658,'MAIN TABLE-1 AUTOMATED'!O2425))</f>
        <v/>
      </c>
      <c r="R2425" s="41" t="str">
        <f>IF(Table1[[#This Row],[QUANTITY]]=0,"",Table1[[#This Row],[UNIT PRICE]]*Table1[[#This Row],[QUANTITY]])</f>
        <v/>
      </c>
      <c r="S2425" s="89"/>
      <c r="T2425" s="38"/>
      <c r="U2425" s="43"/>
      <c r="V2425" s="42" t="str">
        <f>IF(Table1[[#This Row],[DATE]]=0,"",YEAR(E2425))</f>
        <v/>
      </c>
      <c r="W2425" s="40" t="str">
        <f t="shared" si="78"/>
        <v/>
      </c>
      <c r="X2425" s="40" t="str">
        <f t="shared" si="79"/>
        <v/>
      </c>
      <c r="Y2425" s="40" t="str">
        <f>TEXT(Table1[[#This Row],[YEAR]],"0000")&amp;"-"&amp;Table1[[#This Row],[MONTH]]</f>
        <v>-</v>
      </c>
    </row>
    <row r="2426" spans="1:25" ht="15" customHeight="1" x14ac:dyDescent="0.35">
      <c r="A2426" s="24"/>
      <c r="B2426" s="38"/>
      <c r="C2426" s="38"/>
      <c r="D2426" s="38"/>
      <c r="E2426" s="37"/>
      <c r="F2426" s="38"/>
      <c r="G2426" s="198"/>
      <c r="H2426" s="198"/>
      <c r="I2426" s="39"/>
      <c r="J2426" s="38"/>
      <c r="K2426" s="198"/>
      <c r="L2426" s="38"/>
      <c r="M2426" s="38"/>
      <c r="N2426" s="38"/>
      <c r="O2426" s="38"/>
      <c r="P2426" s="40" t="str" cm="1">
        <f t="array" ref="P2426">IF(N2426="","",IFERROR(_xlfn.XLOOKUP(F2426&amp;"|"&amp;J2426&amp;"|"&amp;O2426,PRICES!$C$2:$C$659&amp;"|"&amp;PRICES!$B$2:$B$659&amp;"|"&amp;PRICES!$D$2:$D$659,PRICES!$E$2:$E$659),"Not Found"))</f>
        <v/>
      </c>
      <c r="Q2426" s="100" t="str">
        <f>IF(N2426=0,"",SUMIFS(PRICES!$G$2:$G$658,PRICES!$B$2:$B$658,'MAIN TABLE-1 AUTOMATED'!J2426,PRICES!$C$2:$C$658,'MAIN TABLE-1 AUTOMATED'!F2426,PRICES!$D$2:$D$658,'MAIN TABLE-1 AUTOMATED'!O2426))</f>
        <v/>
      </c>
      <c r="R2426" s="41" t="str">
        <f>IF(Table1[[#This Row],[QUANTITY]]=0,"",Table1[[#This Row],[UNIT PRICE]]*Table1[[#This Row],[QUANTITY]])</f>
        <v/>
      </c>
      <c r="S2426" s="89"/>
      <c r="T2426" s="38"/>
      <c r="U2426" s="43"/>
      <c r="V2426" s="42" t="str">
        <f>IF(Table1[[#This Row],[DATE]]=0,"",YEAR(E2426))</f>
        <v/>
      </c>
      <c r="W2426" s="40" t="str">
        <f t="shared" si="78"/>
        <v/>
      </c>
      <c r="X2426" s="40" t="str">
        <f t="shared" si="79"/>
        <v/>
      </c>
      <c r="Y2426" s="40" t="str">
        <f>TEXT(Table1[[#This Row],[YEAR]],"0000")&amp;"-"&amp;Table1[[#This Row],[MONTH]]</f>
        <v>-</v>
      </c>
    </row>
    <row r="2427" spans="1:25" ht="15" customHeight="1" x14ac:dyDescent="0.35">
      <c r="A2427" s="24"/>
      <c r="B2427" s="38"/>
      <c r="C2427" s="38"/>
      <c r="D2427" s="38"/>
      <c r="E2427" s="37"/>
      <c r="F2427" s="38"/>
      <c r="G2427" s="198"/>
      <c r="H2427" s="198"/>
      <c r="I2427" s="39"/>
      <c r="J2427" s="38"/>
      <c r="K2427" s="198"/>
      <c r="L2427" s="38"/>
      <c r="M2427" s="38"/>
      <c r="N2427" s="38"/>
      <c r="O2427" s="38"/>
      <c r="P2427" s="40" t="str" cm="1">
        <f t="array" ref="P2427">IF(N2427="","",IFERROR(_xlfn.XLOOKUP(F2427&amp;"|"&amp;J2427&amp;"|"&amp;O2427,PRICES!$C$2:$C$659&amp;"|"&amp;PRICES!$B$2:$B$659&amp;"|"&amp;PRICES!$D$2:$D$659,PRICES!$E$2:$E$659),"Not Found"))</f>
        <v/>
      </c>
      <c r="Q2427" s="100" t="str">
        <f>IF(N2427=0,"",SUMIFS(PRICES!$G$2:$G$658,PRICES!$B$2:$B$658,'MAIN TABLE-1 AUTOMATED'!J2427,PRICES!$C$2:$C$658,'MAIN TABLE-1 AUTOMATED'!F2427,PRICES!$D$2:$D$658,'MAIN TABLE-1 AUTOMATED'!O2427))</f>
        <v/>
      </c>
      <c r="R2427" s="41" t="str">
        <f>IF(Table1[[#This Row],[QUANTITY]]=0,"",Table1[[#This Row],[UNIT PRICE]]*Table1[[#This Row],[QUANTITY]])</f>
        <v/>
      </c>
      <c r="S2427" s="89"/>
      <c r="T2427" s="38"/>
      <c r="U2427" s="43"/>
      <c r="V2427" s="42" t="str">
        <f>IF(Table1[[#This Row],[DATE]]=0,"",YEAR(E2427))</f>
        <v/>
      </c>
      <c r="W2427" s="40" t="str">
        <f t="shared" si="78"/>
        <v/>
      </c>
      <c r="X2427" s="40" t="str">
        <f t="shared" si="79"/>
        <v/>
      </c>
      <c r="Y2427" s="40" t="str">
        <f>TEXT(Table1[[#This Row],[YEAR]],"0000")&amp;"-"&amp;Table1[[#This Row],[MONTH]]</f>
        <v>-</v>
      </c>
    </row>
    <row r="2428" spans="1:25" ht="15" customHeight="1" x14ac:dyDescent="0.35">
      <c r="A2428" s="24"/>
      <c r="B2428" s="38"/>
      <c r="C2428" s="38"/>
      <c r="D2428" s="38"/>
      <c r="E2428" s="37"/>
      <c r="F2428" s="38"/>
      <c r="G2428" s="198"/>
      <c r="H2428" s="198"/>
      <c r="I2428" s="39"/>
      <c r="J2428" s="38"/>
      <c r="K2428" s="198"/>
      <c r="L2428" s="38"/>
      <c r="M2428" s="38"/>
      <c r="N2428" s="38"/>
      <c r="O2428" s="38"/>
      <c r="P2428" s="40" t="str" cm="1">
        <f t="array" ref="P2428">IF(N2428="","",IFERROR(_xlfn.XLOOKUP(F2428&amp;"|"&amp;J2428&amp;"|"&amp;O2428,PRICES!$C$2:$C$659&amp;"|"&amp;PRICES!$B$2:$B$659&amp;"|"&amp;PRICES!$D$2:$D$659,PRICES!$E$2:$E$659),"Not Found"))</f>
        <v/>
      </c>
      <c r="Q2428" s="100" t="str">
        <f>IF(N2428=0,"",SUMIFS(PRICES!$G$2:$G$658,PRICES!$B$2:$B$658,'MAIN TABLE-1 AUTOMATED'!J2428,PRICES!$C$2:$C$658,'MAIN TABLE-1 AUTOMATED'!F2428,PRICES!$D$2:$D$658,'MAIN TABLE-1 AUTOMATED'!O2428))</f>
        <v/>
      </c>
      <c r="R2428" s="41" t="str">
        <f>IF(Table1[[#This Row],[QUANTITY]]=0,"",Table1[[#This Row],[UNIT PRICE]]*Table1[[#This Row],[QUANTITY]])</f>
        <v/>
      </c>
      <c r="S2428" s="89"/>
      <c r="T2428" s="38"/>
      <c r="U2428" s="43"/>
      <c r="V2428" s="42" t="str">
        <f>IF(Table1[[#This Row],[DATE]]=0,"",YEAR(E2428))</f>
        <v/>
      </c>
      <c r="W2428" s="40" t="str">
        <f t="shared" si="78"/>
        <v/>
      </c>
      <c r="X2428" s="40" t="str">
        <f t="shared" si="79"/>
        <v/>
      </c>
      <c r="Y2428" s="40" t="str">
        <f>TEXT(Table1[[#This Row],[YEAR]],"0000")&amp;"-"&amp;Table1[[#This Row],[MONTH]]</f>
        <v>-</v>
      </c>
    </row>
    <row r="2429" spans="1:25" ht="15" customHeight="1" x14ac:dyDescent="0.35">
      <c r="A2429" s="24"/>
      <c r="B2429" s="38"/>
      <c r="C2429" s="38"/>
      <c r="D2429" s="38"/>
      <c r="E2429" s="37"/>
      <c r="F2429" s="38"/>
      <c r="G2429" s="198"/>
      <c r="H2429" s="198"/>
      <c r="I2429" s="39"/>
      <c r="J2429" s="38"/>
      <c r="K2429" s="198"/>
      <c r="L2429" s="38"/>
      <c r="M2429" s="38"/>
      <c r="N2429" s="38"/>
      <c r="O2429" s="38"/>
      <c r="P2429" s="40" t="str" cm="1">
        <f t="array" ref="P2429">IF(N2429="","",IFERROR(_xlfn.XLOOKUP(F2429&amp;"|"&amp;J2429&amp;"|"&amp;O2429,PRICES!$C$2:$C$659&amp;"|"&amp;PRICES!$B$2:$B$659&amp;"|"&amp;PRICES!$D$2:$D$659,PRICES!$E$2:$E$659),"Not Found"))</f>
        <v/>
      </c>
      <c r="Q2429" s="100" t="str">
        <f>IF(N2429=0,"",SUMIFS(PRICES!$G$2:$G$658,PRICES!$B$2:$B$658,'MAIN TABLE-1 AUTOMATED'!J2429,PRICES!$C$2:$C$658,'MAIN TABLE-1 AUTOMATED'!F2429,PRICES!$D$2:$D$658,'MAIN TABLE-1 AUTOMATED'!O2429))</f>
        <v/>
      </c>
      <c r="R2429" s="41" t="str">
        <f>IF(Table1[[#This Row],[QUANTITY]]=0,"",Table1[[#This Row],[UNIT PRICE]]*Table1[[#This Row],[QUANTITY]])</f>
        <v/>
      </c>
      <c r="S2429" s="89"/>
      <c r="T2429" s="38"/>
      <c r="U2429" s="43"/>
      <c r="V2429" s="42" t="str">
        <f>IF(Table1[[#This Row],[DATE]]=0,"",YEAR(E2429))</f>
        <v/>
      </c>
      <c r="W2429" s="40" t="str">
        <f t="shared" si="78"/>
        <v/>
      </c>
      <c r="X2429" s="40" t="str">
        <f t="shared" si="79"/>
        <v/>
      </c>
      <c r="Y2429" s="40" t="str">
        <f>TEXT(Table1[[#This Row],[YEAR]],"0000")&amp;"-"&amp;Table1[[#This Row],[MONTH]]</f>
        <v>-</v>
      </c>
    </row>
    <row r="2430" spans="1:25" ht="15" customHeight="1" x14ac:dyDescent="0.35">
      <c r="A2430" s="24"/>
      <c r="B2430" s="38"/>
      <c r="C2430" s="38"/>
      <c r="D2430" s="38"/>
      <c r="E2430" s="37"/>
      <c r="F2430" s="38"/>
      <c r="G2430" s="198"/>
      <c r="H2430" s="198"/>
      <c r="I2430" s="39"/>
      <c r="J2430" s="38"/>
      <c r="K2430" s="198"/>
      <c r="L2430" s="38"/>
      <c r="M2430" s="38"/>
      <c r="N2430" s="38"/>
      <c r="O2430" s="38"/>
      <c r="P2430" s="40" t="str" cm="1">
        <f t="array" ref="P2430">IF(N2430="","",IFERROR(_xlfn.XLOOKUP(F2430&amp;"|"&amp;J2430&amp;"|"&amp;O2430,PRICES!$C$2:$C$659&amp;"|"&amp;PRICES!$B$2:$B$659&amp;"|"&amp;PRICES!$D$2:$D$659,PRICES!$E$2:$E$659),"Not Found"))</f>
        <v/>
      </c>
      <c r="Q2430" s="100" t="str">
        <f>IF(N2430=0,"",SUMIFS(PRICES!$G$2:$G$658,PRICES!$B$2:$B$658,'MAIN TABLE-1 AUTOMATED'!J2430,PRICES!$C$2:$C$658,'MAIN TABLE-1 AUTOMATED'!F2430,PRICES!$D$2:$D$658,'MAIN TABLE-1 AUTOMATED'!O2430))</f>
        <v/>
      </c>
      <c r="R2430" s="41" t="str">
        <f>IF(Table1[[#This Row],[QUANTITY]]=0,"",Table1[[#This Row],[UNIT PRICE]]*Table1[[#This Row],[QUANTITY]])</f>
        <v/>
      </c>
      <c r="S2430" s="89"/>
      <c r="T2430" s="38"/>
      <c r="U2430" s="43"/>
      <c r="V2430" s="42" t="str">
        <f>IF(Table1[[#This Row],[DATE]]=0,"",YEAR(E2430))</f>
        <v/>
      </c>
      <c r="W2430" s="40" t="str">
        <f t="shared" si="78"/>
        <v/>
      </c>
      <c r="X2430" s="40" t="str">
        <f t="shared" si="79"/>
        <v/>
      </c>
      <c r="Y2430" s="40" t="str">
        <f>TEXT(Table1[[#This Row],[YEAR]],"0000")&amp;"-"&amp;Table1[[#This Row],[MONTH]]</f>
        <v>-</v>
      </c>
    </row>
    <row r="2431" spans="1:25" ht="15" customHeight="1" x14ac:dyDescent="0.35">
      <c r="A2431" s="24"/>
      <c r="B2431" s="38"/>
      <c r="C2431" s="38"/>
      <c r="D2431" s="38"/>
      <c r="E2431" s="37"/>
      <c r="F2431" s="38"/>
      <c r="G2431" s="198"/>
      <c r="H2431" s="198"/>
      <c r="I2431" s="39"/>
      <c r="J2431" s="38"/>
      <c r="K2431" s="198"/>
      <c r="L2431" s="38"/>
      <c r="M2431" s="38"/>
      <c r="N2431" s="38"/>
      <c r="O2431" s="38"/>
      <c r="P2431" s="40" t="str" cm="1">
        <f t="array" ref="P2431">IF(N2431="","",IFERROR(_xlfn.XLOOKUP(F2431&amp;"|"&amp;J2431&amp;"|"&amp;O2431,PRICES!$C$2:$C$659&amp;"|"&amp;PRICES!$B$2:$B$659&amp;"|"&amp;PRICES!$D$2:$D$659,PRICES!$E$2:$E$659),"Not Found"))</f>
        <v/>
      </c>
      <c r="Q2431" s="100" t="str">
        <f>IF(N2431=0,"",SUMIFS(PRICES!$G$2:$G$658,PRICES!$B$2:$B$658,'MAIN TABLE-1 AUTOMATED'!J2431,PRICES!$C$2:$C$658,'MAIN TABLE-1 AUTOMATED'!F2431,PRICES!$D$2:$D$658,'MAIN TABLE-1 AUTOMATED'!O2431))</f>
        <v/>
      </c>
      <c r="R2431" s="41" t="str">
        <f>IF(Table1[[#This Row],[QUANTITY]]=0,"",Table1[[#This Row],[UNIT PRICE]]*Table1[[#This Row],[QUANTITY]])</f>
        <v/>
      </c>
      <c r="S2431" s="89"/>
      <c r="T2431" s="38"/>
      <c r="U2431" s="43"/>
      <c r="V2431" s="42" t="str">
        <f>IF(Table1[[#This Row],[DATE]]=0,"",YEAR(E2431))</f>
        <v/>
      </c>
      <c r="W2431" s="40" t="str">
        <f t="shared" si="78"/>
        <v/>
      </c>
      <c r="X2431" s="40" t="str">
        <f t="shared" si="79"/>
        <v/>
      </c>
      <c r="Y2431" s="40" t="str">
        <f>TEXT(Table1[[#This Row],[YEAR]],"0000")&amp;"-"&amp;Table1[[#This Row],[MONTH]]</f>
        <v>-</v>
      </c>
    </row>
    <row r="2432" spans="1:25" ht="15" customHeight="1" x14ac:dyDescent="0.35">
      <c r="A2432" s="24"/>
      <c r="B2432" s="38"/>
      <c r="C2432" s="38"/>
      <c r="D2432" s="38"/>
      <c r="E2432" s="37"/>
      <c r="F2432" s="38"/>
      <c r="G2432" s="198"/>
      <c r="H2432" s="198"/>
      <c r="I2432" s="39"/>
      <c r="J2432" s="38"/>
      <c r="K2432" s="198"/>
      <c r="L2432" s="38"/>
      <c r="M2432" s="38"/>
      <c r="N2432" s="38"/>
      <c r="O2432" s="38"/>
      <c r="P2432" s="40" t="str" cm="1">
        <f t="array" ref="P2432">IF(N2432="","",IFERROR(_xlfn.XLOOKUP(F2432&amp;"|"&amp;J2432&amp;"|"&amp;O2432,PRICES!$C$2:$C$659&amp;"|"&amp;PRICES!$B$2:$B$659&amp;"|"&amp;PRICES!$D$2:$D$659,PRICES!$E$2:$E$659),"Not Found"))</f>
        <v/>
      </c>
      <c r="Q2432" s="100" t="str">
        <f>IF(N2432=0,"",SUMIFS(PRICES!$G$2:$G$658,PRICES!$B$2:$B$658,'MAIN TABLE-1 AUTOMATED'!J2432,PRICES!$C$2:$C$658,'MAIN TABLE-1 AUTOMATED'!F2432,PRICES!$D$2:$D$658,'MAIN TABLE-1 AUTOMATED'!O2432))</f>
        <v/>
      </c>
      <c r="R2432" s="41" t="str">
        <f>IF(Table1[[#This Row],[QUANTITY]]=0,"",Table1[[#This Row],[UNIT PRICE]]*Table1[[#This Row],[QUANTITY]])</f>
        <v/>
      </c>
      <c r="S2432" s="89"/>
      <c r="T2432" s="38"/>
      <c r="U2432" s="43"/>
      <c r="V2432" s="42" t="str">
        <f>IF(Table1[[#This Row],[DATE]]=0,"",YEAR(E2432))</f>
        <v/>
      </c>
      <c r="W2432" s="40" t="str">
        <f t="shared" si="78"/>
        <v/>
      </c>
      <c r="X2432" s="40" t="str">
        <f t="shared" si="79"/>
        <v/>
      </c>
      <c r="Y2432" s="40" t="str">
        <f>TEXT(Table1[[#This Row],[YEAR]],"0000")&amp;"-"&amp;Table1[[#This Row],[MONTH]]</f>
        <v>-</v>
      </c>
    </row>
    <row r="2433" spans="1:25" ht="15" customHeight="1" x14ac:dyDescent="0.35">
      <c r="A2433" s="24"/>
      <c r="B2433" s="38"/>
      <c r="C2433" s="38"/>
      <c r="D2433" s="38"/>
      <c r="E2433" s="37"/>
      <c r="F2433" s="38"/>
      <c r="G2433" s="198"/>
      <c r="H2433" s="198"/>
      <c r="I2433" s="39"/>
      <c r="J2433" s="38"/>
      <c r="K2433" s="198"/>
      <c r="L2433" s="38"/>
      <c r="M2433" s="38"/>
      <c r="N2433" s="38"/>
      <c r="O2433" s="38"/>
      <c r="P2433" s="40" t="str" cm="1">
        <f t="array" ref="P2433">IF(N2433="","",IFERROR(_xlfn.XLOOKUP(F2433&amp;"|"&amp;J2433&amp;"|"&amp;O2433,PRICES!$C$2:$C$659&amp;"|"&amp;PRICES!$B$2:$B$659&amp;"|"&amp;PRICES!$D$2:$D$659,PRICES!$E$2:$E$659),"Not Found"))</f>
        <v/>
      </c>
      <c r="Q2433" s="100" t="str">
        <f>IF(N2433=0,"",SUMIFS(PRICES!$G$2:$G$658,PRICES!$B$2:$B$658,'MAIN TABLE-1 AUTOMATED'!J2433,PRICES!$C$2:$C$658,'MAIN TABLE-1 AUTOMATED'!F2433,PRICES!$D$2:$D$658,'MAIN TABLE-1 AUTOMATED'!O2433))</f>
        <v/>
      </c>
      <c r="R2433" s="41" t="str">
        <f>IF(Table1[[#This Row],[QUANTITY]]=0,"",Table1[[#This Row],[UNIT PRICE]]*Table1[[#This Row],[QUANTITY]])</f>
        <v/>
      </c>
      <c r="S2433" s="89"/>
      <c r="T2433" s="38"/>
      <c r="U2433" s="43"/>
      <c r="V2433" s="42" t="str">
        <f>IF(Table1[[#This Row],[DATE]]=0,"",YEAR(E2433))</f>
        <v/>
      </c>
      <c r="W2433" s="40" t="str">
        <f t="shared" si="78"/>
        <v/>
      </c>
      <c r="X2433" s="40" t="str">
        <f t="shared" si="79"/>
        <v/>
      </c>
      <c r="Y2433" s="40" t="str">
        <f>TEXT(Table1[[#This Row],[YEAR]],"0000")&amp;"-"&amp;Table1[[#This Row],[MONTH]]</f>
        <v>-</v>
      </c>
    </row>
    <row r="2434" spans="1:25" ht="15" customHeight="1" x14ac:dyDescent="0.35">
      <c r="A2434" s="24"/>
      <c r="B2434" s="38"/>
      <c r="C2434" s="38"/>
      <c r="D2434" s="38"/>
      <c r="E2434" s="37"/>
      <c r="F2434" s="38"/>
      <c r="G2434" s="198"/>
      <c r="H2434" s="198"/>
      <c r="I2434" s="39"/>
      <c r="J2434" s="38"/>
      <c r="K2434" s="198"/>
      <c r="L2434" s="38"/>
      <c r="M2434" s="38"/>
      <c r="N2434" s="38"/>
      <c r="O2434" s="38"/>
      <c r="P2434" s="40" t="str" cm="1">
        <f t="array" ref="P2434">IF(N2434="","",IFERROR(_xlfn.XLOOKUP(F2434&amp;"|"&amp;J2434&amp;"|"&amp;O2434,PRICES!$C$2:$C$659&amp;"|"&amp;PRICES!$B$2:$B$659&amp;"|"&amp;PRICES!$D$2:$D$659,PRICES!$E$2:$E$659),"Not Found"))</f>
        <v/>
      </c>
      <c r="Q2434" s="100" t="str">
        <f>IF(N2434=0,"",SUMIFS(PRICES!$G$2:$G$658,PRICES!$B$2:$B$658,'MAIN TABLE-1 AUTOMATED'!J2434,PRICES!$C$2:$C$658,'MAIN TABLE-1 AUTOMATED'!F2434,PRICES!$D$2:$D$658,'MAIN TABLE-1 AUTOMATED'!O2434))</f>
        <v/>
      </c>
      <c r="R2434" s="41" t="str">
        <f>IF(Table1[[#This Row],[QUANTITY]]=0,"",Table1[[#This Row],[UNIT PRICE]]*Table1[[#This Row],[QUANTITY]])</f>
        <v/>
      </c>
      <c r="S2434" s="89"/>
      <c r="T2434" s="38"/>
      <c r="U2434" s="43"/>
      <c r="V2434" s="42" t="str">
        <f>IF(Table1[[#This Row],[DATE]]=0,"",YEAR(E2434))</f>
        <v/>
      </c>
      <c r="W2434" s="40" t="str">
        <f t="shared" si="78"/>
        <v/>
      </c>
      <c r="X2434" s="40" t="str">
        <f t="shared" si="79"/>
        <v/>
      </c>
      <c r="Y2434" s="40" t="str">
        <f>TEXT(Table1[[#This Row],[YEAR]],"0000")&amp;"-"&amp;Table1[[#This Row],[MONTH]]</f>
        <v>-</v>
      </c>
    </row>
    <row r="2435" spans="1:25" ht="15" customHeight="1" x14ac:dyDescent="0.35">
      <c r="A2435" s="24"/>
      <c r="B2435" s="38"/>
      <c r="C2435" s="38"/>
      <c r="D2435" s="38"/>
      <c r="E2435" s="37"/>
      <c r="F2435" s="38"/>
      <c r="G2435" s="198"/>
      <c r="H2435" s="198"/>
      <c r="I2435" s="39"/>
      <c r="J2435" s="38"/>
      <c r="K2435" s="198"/>
      <c r="L2435" s="38"/>
      <c r="M2435" s="38"/>
      <c r="N2435" s="38"/>
      <c r="O2435" s="38"/>
      <c r="P2435" s="40" t="str" cm="1">
        <f t="array" ref="P2435">IF(N2435="","",IFERROR(_xlfn.XLOOKUP(F2435&amp;"|"&amp;J2435&amp;"|"&amp;O2435,PRICES!$C$2:$C$659&amp;"|"&amp;PRICES!$B$2:$B$659&amp;"|"&amp;PRICES!$D$2:$D$659,PRICES!$E$2:$E$659),"Not Found"))</f>
        <v/>
      </c>
      <c r="Q2435" s="100" t="str">
        <f>IF(N2435=0,"",SUMIFS(PRICES!$G$2:$G$658,PRICES!$B$2:$B$658,'MAIN TABLE-1 AUTOMATED'!J2435,PRICES!$C$2:$C$658,'MAIN TABLE-1 AUTOMATED'!F2435,PRICES!$D$2:$D$658,'MAIN TABLE-1 AUTOMATED'!O2435))</f>
        <v/>
      </c>
      <c r="R2435" s="41" t="str">
        <f>IF(Table1[[#This Row],[QUANTITY]]=0,"",Table1[[#This Row],[UNIT PRICE]]*Table1[[#This Row],[QUANTITY]])</f>
        <v/>
      </c>
      <c r="S2435" s="89"/>
      <c r="T2435" s="38"/>
      <c r="U2435" s="43"/>
      <c r="V2435" s="42" t="str">
        <f>IF(Table1[[#This Row],[DATE]]=0,"",YEAR(E2435))</f>
        <v/>
      </c>
      <c r="W2435" s="40" t="str">
        <f t="shared" ref="W2435:W2498" si="80">IF(E2435=0,"",MONTH(E2435))</f>
        <v/>
      </c>
      <c r="X2435" s="40" t="str">
        <f t="shared" ref="X2435:X2498" si="81">IF(E2435=0,"",WEEKNUM(E2435))</f>
        <v/>
      </c>
      <c r="Y2435" s="40" t="str">
        <f>TEXT(Table1[[#This Row],[YEAR]],"0000")&amp;"-"&amp;Table1[[#This Row],[MONTH]]</f>
        <v>-</v>
      </c>
    </row>
    <row r="2436" spans="1:25" ht="15" customHeight="1" x14ac:dyDescent="0.35">
      <c r="A2436" s="24"/>
      <c r="B2436" s="38"/>
      <c r="C2436" s="38"/>
      <c r="D2436" s="38"/>
      <c r="E2436" s="37"/>
      <c r="F2436" s="38"/>
      <c r="G2436" s="198"/>
      <c r="H2436" s="198"/>
      <c r="I2436" s="39"/>
      <c r="J2436" s="38"/>
      <c r="K2436" s="198"/>
      <c r="L2436" s="38"/>
      <c r="M2436" s="38"/>
      <c r="N2436" s="38"/>
      <c r="O2436" s="38"/>
      <c r="P2436" s="40" t="str" cm="1">
        <f t="array" ref="P2436">IF(N2436="","",IFERROR(_xlfn.XLOOKUP(F2436&amp;"|"&amp;J2436&amp;"|"&amp;O2436,PRICES!$C$2:$C$659&amp;"|"&amp;PRICES!$B$2:$B$659&amp;"|"&amp;PRICES!$D$2:$D$659,PRICES!$E$2:$E$659),"Not Found"))</f>
        <v/>
      </c>
      <c r="Q2436" s="100" t="str">
        <f>IF(N2436=0,"",SUMIFS(PRICES!$G$2:$G$658,PRICES!$B$2:$B$658,'MAIN TABLE-1 AUTOMATED'!J2436,PRICES!$C$2:$C$658,'MAIN TABLE-1 AUTOMATED'!F2436,PRICES!$D$2:$D$658,'MAIN TABLE-1 AUTOMATED'!O2436))</f>
        <v/>
      </c>
      <c r="R2436" s="41" t="str">
        <f>IF(Table1[[#This Row],[QUANTITY]]=0,"",Table1[[#This Row],[UNIT PRICE]]*Table1[[#This Row],[QUANTITY]])</f>
        <v/>
      </c>
      <c r="S2436" s="89"/>
      <c r="T2436" s="38"/>
      <c r="U2436" s="43"/>
      <c r="V2436" s="42" t="str">
        <f>IF(Table1[[#This Row],[DATE]]=0,"",YEAR(E2436))</f>
        <v/>
      </c>
      <c r="W2436" s="40" t="str">
        <f t="shared" si="80"/>
        <v/>
      </c>
      <c r="X2436" s="40" t="str">
        <f t="shared" si="81"/>
        <v/>
      </c>
      <c r="Y2436" s="40" t="str">
        <f>TEXT(Table1[[#This Row],[YEAR]],"0000")&amp;"-"&amp;Table1[[#This Row],[MONTH]]</f>
        <v>-</v>
      </c>
    </row>
    <row r="2437" spans="1:25" ht="15" customHeight="1" x14ac:dyDescent="0.35">
      <c r="A2437" s="24"/>
      <c r="B2437" s="38"/>
      <c r="C2437" s="38"/>
      <c r="D2437" s="38"/>
      <c r="E2437" s="37"/>
      <c r="F2437" s="38"/>
      <c r="G2437" s="198"/>
      <c r="H2437" s="198"/>
      <c r="I2437" s="39"/>
      <c r="J2437" s="38"/>
      <c r="K2437" s="198"/>
      <c r="L2437" s="38"/>
      <c r="M2437" s="38"/>
      <c r="N2437" s="38"/>
      <c r="O2437" s="38"/>
      <c r="P2437" s="40" t="str" cm="1">
        <f t="array" ref="P2437">IF(N2437="","",IFERROR(_xlfn.XLOOKUP(F2437&amp;"|"&amp;J2437&amp;"|"&amp;O2437,PRICES!$C$2:$C$659&amp;"|"&amp;PRICES!$B$2:$B$659&amp;"|"&amp;PRICES!$D$2:$D$659,PRICES!$E$2:$E$659),"Not Found"))</f>
        <v/>
      </c>
      <c r="Q2437" s="100" t="str">
        <f>IF(N2437=0,"",SUMIFS(PRICES!$G$2:$G$658,PRICES!$B$2:$B$658,'MAIN TABLE-1 AUTOMATED'!J2437,PRICES!$C$2:$C$658,'MAIN TABLE-1 AUTOMATED'!F2437,PRICES!$D$2:$D$658,'MAIN TABLE-1 AUTOMATED'!O2437))</f>
        <v/>
      </c>
      <c r="R2437" s="41" t="str">
        <f>IF(Table1[[#This Row],[QUANTITY]]=0,"",Table1[[#This Row],[UNIT PRICE]]*Table1[[#This Row],[QUANTITY]])</f>
        <v/>
      </c>
      <c r="S2437" s="89"/>
      <c r="T2437" s="38"/>
      <c r="U2437" s="43"/>
      <c r="V2437" s="42" t="str">
        <f>IF(Table1[[#This Row],[DATE]]=0,"",YEAR(E2437))</f>
        <v/>
      </c>
      <c r="W2437" s="40" t="str">
        <f t="shared" si="80"/>
        <v/>
      </c>
      <c r="X2437" s="40" t="str">
        <f t="shared" si="81"/>
        <v/>
      </c>
      <c r="Y2437" s="40" t="str">
        <f>TEXT(Table1[[#This Row],[YEAR]],"0000")&amp;"-"&amp;Table1[[#This Row],[MONTH]]</f>
        <v>-</v>
      </c>
    </row>
    <row r="2438" spans="1:25" ht="15" customHeight="1" x14ac:dyDescent="0.35">
      <c r="A2438" s="24"/>
      <c r="B2438" s="38"/>
      <c r="C2438" s="38"/>
      <c r="D2438" s="38"/>
      <c r="E2438" s="37"/>
      <c r="F2438" s="38"/>
      <c r="G2438" s="198"/>
      <c r="H2438" s="198"/>
      <c r="I2438" s="39"/>
      <c r="J2438" s="38"/>
      <c r="K2438" s="198"/>
      <c r="L2438" s="38"/>
      <c r="M2438" s="38"/>
      <c r="N2438" s="38"/>
      <c r="O2438" s="38"/>
      <c r="P2438" s="40" t="str" cm="1">
        <f t="array" ref="P2438">IF(N2438="","",IFERROR(_xlfn.XLOOKUP(F2438&amp;"|"&amp;J2438&amp;"|"&amp;O2438,PRICES!$C$2:$C$659&amp;"|"&amp;PRICES!$B$2:$B$659&amp;"|"&amp;PRICES!$D$2:$D$659,PRICES!$E$2:$E$659),"Not Found"))</f>
        <v/>
      </c>
      <c r="Q2438" s="100" t="str">
        <f>IF(N2438=0,"",SUMIFS(PRICES!$G$2:$G$658,PRICES!$B$2:$B$658,'MAIN TABLE-1 AUTOMATED'!J2438,PRICES!$C$2:$C$658,'MAIN TABLE-1 AUTOMATED'!F2438,PRICES!$D$2:$D$658,'MAIN TABLE-1 AUTOMATED'!O2438))</f>
        <v/>
      </c>
      <c r="R2438" s="41" t="str">
        <f>IF(Table1[[#This Row],[QUANTITY]]=0,"",Table1[[#This Row],[UNIT PRICE]]*Table1[[#This Row],[QUANTITY]])</f>
        <v/>
      </c>
      <c r="S2438" s="89"/>
      <c r="T2438" s="38"/>
      <c r="U2438" s="43"/>
      <c r="V2438" s="42" t="str">
        <f>IF(Table1[[#This Row],[DATE]]=0,"",YEAR(E2438))</f>
        <v/>
      </c>
      <c r="W2438" s="40" t="str">
        <f t="shared" si="80"/>
        <v/>
      </c>
      <c r="X2438" s="40" t="str">
        <f t="shared" si="81"/>
        <v/>
      </c>
      <c r="Y2438" s="40" t="str">
        <f>TEXT(Table1[[#This Row],[YEAR]],"0000")&amp;"-"&amp;Table1[[#This Row],[MONTH]]</f>
        <v>-</v>
      </c>
    </row>
    <row r="2439" spans="1:25" ht="15" customHeight="1" x14ac:dyDescent="0.35">
      <c r="A2439" s="24"/>
      <c r="B2439" s="38"/>
      <c r="C2439" s="38"/>
      <c r="D2439" s="38"/>
      <c r="E2439" s="37"/>
      <c r="F2439" s="38"/>
      <c r="G2439" s="198"/>
      <c r="H2439" s="198"/>
      <c r="I2439" s="39"/>
      <c r="J2439" s="38"/>
      <c r="K2439" s="198"/>
      <c r="L2439" s="38"/>
      <c r="M2439" s="38"/>
      <c r="N2439" s="38"/>
      <c r="O2439" s="38"/>
      <c r="P2439" s="40" t="str" cm="1">
        <f t="array" ref="P2439">IF(N2439="","",IFERROR(_xlfn.XLOOKUP(F2439&amp;"|"&amp;J2439&amp;"|"&amp;O2439,PRICES!$C$2:$C$659&amp;"|"&amp;PRICES!$B$2:$B$659&amp;"|"&amp;PRICES!$D$2:$D$659,PRICES!$E$2:$E$659),"Not Found"))</f>
        <v/>
      </c>
      <c r="Q2439" s="100" t="str">
        <f>IF(N2439=0,"",SUMIFS(PRICES!$G$2:$G$658,PRICES!$B$2:$B$658,'MAIN TABLE-1 AUTOMATED'!J2439,PRICES!$C$2:$C$658,'MAIN TABLE-1 AUTOMATED'!F2439,PRICES!$D$2:$D$658,'MAIN TABLE-1 AUTOMATED'!O2439))</f>
        <v/>
      </c>
      <c r="R2439" s="41" t="str">
        <f>IF(Table1[[#This Row],[QUANTITY]]=0,"",Table1[[#This Row],[UNIT PRICE]]*Table1[[#This Row],[QUANTITY]])</f>
        <v/>
      </c>
      <c r="S2439" s="89"/>
      <c r="T2439" s="38"/>
      <c r="U2439" s="43"/>
      <c r="V2439" s="42" t="str">
        <f>IF(Table1[[#This Row],[DATE]]=0,"",YEAR(E2439))</f>
        <v/>
      </c>
      <c r="W2439" s="40" t="str">
        <f t="shared" si="80"/>
        <v/>
      </c>
      <c r="X2439" s="40" t="str">
        <f t="shared" si="81"/>
        <v/>
      </c>
      <c r="Y2439" s="40" t="str">
        <f>TEXT(Table1[[#This Row],[YEAR]],"0000")&amp;"-"&amp;Table1[[#This Row],[MONTH]]</f>
        <v>-</v>
      </c>
    </row>
    <row r="2440" spans="1:25" ht="15" customHeight="1" x14ac:dyDescent="0.35">
      <c r="A2440" s="24"/>
      <c r="B2440" s="38"/>
      <c r="C2440" s="38"/>
      <c r="D2440" s="38"/>
      <c r="E2440" s="37"/>
      <c r="F2440" s="38"/>
      <c r="G2440" s="198"/>
      <c r="H2440" s="198"/>
      <c r="I2440" s="39"/>
      <c r="J2440" s="38"/>
      <c r="K2440" s="198"/>
      <c r="L2440" s="38"/>
      <c r="M2440" s="38"/>
      <c r="N2440" s="38"/>
      <c r="O2440" s="38"/>
      <c r="P2440" s="40" t="str" cm="1">
        <f t="array" ref="P2440">IF(N2440="","",IFERROR(_xlfn.XLOOKUP(F2440&amp;"|"&amp;J2440&amp;"|"&amp;O2440,PRICES!$C$2:$C$659&amp;"|"&amp;PRICES!$B$2:$B$659&amp;"|"&amp;PRICES!$D$2:$D$659,PRICES!$E$2:$E$659),"Not Found"))</f>
        <v/>
      </c>
      <c r="Q2440" s="100" t="str">
        <f>IF(N2440=0,"",SUMIFS(PRICES!$G$2:$G$658,PRICES!$B$2:$B$658,'MAIN TABLE-1 AUTOMATED'!J2440,PRICES!$C$2:$C$658,'MAIN TABLE-1 AUTOMATED'!F2440,PRICES!$D$2:$D$658,'MAIN TABLE-1 AUTOMATED'!O2440))</f>
        <v/>
      </c>
      <c r="R2440" s="41" t="str">
        <f>IF(Table1[[#This Row],[QUANTITY]]=0,"",Table1[[#This Row],[UNIT PRICE]]*Table1[[#This Row],[QUANTITY]])</f>
        <v/>
      </c>
      <c r="S2440" s="89"/>
      <c r="T2440" s="38"/>
      <c r="U2440" s="43"/>
      <c r="V2440" s="42" t="str">
        <f>IF(Table1[[#This Row],[DATE]]=0,"",YEAR(E2440))</f>
        <v/>
      </c>
      <c r="W2440" s="40" t="str">
        <f t="shared" si="80"/>
        <v/>
      </c>
      <c r="X2440" s="40" t="str">
        <f t="shared" si="81"/>
        <v/>
      </c>
      <c r="Y2440" s="40" t="str">
        <f>TEXT(Table1[[#This Row],[YEAR]],"0000")&amp;"-"&amp;Table1[[#This Row],[MONTH]]</f>
        <v>-</v>
      </c>
    </row>
    <row r="2441" spans="1:25" ht="15" customHeight="1" x14ac:dyDescent="0.35">
      <c r="A2441" s="24"/>
      <c r="B2441" s="38"/>
      <c r="C2441" s="38"/>
      <c r="D2441" s="38"/>
      <c r="E2441" s="37"/>
      <c r="F2441" s="38"/>
      <c r="G2441" s="198"/>
      <c r="H2441" s="198"/>
      <c r="I2441" s="39"/>
      <c r="J2441" s="38"/>
      <c r="K2441" s="198"/>
      <c r="L2441" s="38"/>
      <c r="M2441" s="38"/>
      <c r="N2441" s="38"/>
      <c r="O2441" s="38"/>
      <c r="P2441" s="40" t="str" cm="1">
        <f t="array" ref="P2441">IF(N2441="","",IFERROR(_xlfn.XLOOKUP(F2441&amp;"|"&amp;J2441&amp;"|"&amp;O2441,PRICES!$C$2:$C$659&amp;"|"&amp;PRICES!$B$2:$B$659&amp;"|"&amp;PRICES!$D$2:$D$659,PRICES!$E$2:$E$659),"Not Found"))</f>
        <v/>
      </c>
      <c r="Q2441" s="100" t="str">
        <f>IF(N2441=0,"",SUMIFS(PRICES!$G$2:$G$658,PRICES!$B$2:$B$658,'MAIN TABLE-1 AUTOMATED'!J2441,PRICES!$C$2:$C$658,'MAIN TABLE-1 AUTOMATED'!F2441,PRICES!$D$2:$D$658,'MAIN TABLE-1 AUTOMATED'!O2441))</f>
        <v/>
      </c>
      <c r="R2441" s="41" t="str">
        <f>IF(Table1[[#This Row],[QUANTITY]]=0,"",Table1[[#This Row],[UNIT PRICE]]*Table1[[#This Row],[QUANTITY]])</f>
        <v/>
      </c>
      <c r="S2441" s="89"/>
      <c r="T2441" s="38"/>
      <c r="U2441" s="43"/>
      <c r="V2441" s="42" t="str">
        <f>IF(Table1[[#This Row],[DATE]]=0,"",YEAR(E2441))</f>
        <v/>
      </c>
      <c r="W2441" s="40" t="str">
        <f t="shared" si="80"/>
        <v/>
      </c>
      <c r="X2441" s="40" t="str">
        <f t="shared" si="81"/>
        <v/>
      </c>
      <c r="Y2441" s="40" t="str">
        <f>TEXT(Table1[[#This Row],[YEAR]],"0000")&amp;"-"&amp;Table1[[#This Row],[MONTH]]</f>
        <v>-</v>
      </c>
    </row>
    <row r="2442" spans="1:25" ht="15" customHeight="1" x14ac:dyDescent="0.35">
      <c r="A2442" s="24"/>
      <c r="B2442" s="38"/>
      <c r="C2442" s="38"/>
      <c r="D2442" s="38"/>
      <c r="E2442" s="37"/>
      <c r="F2442" s="38"/>
      <c r="G2442" s="198"/>
      <c r="H2442" s="198"/>
      <c r="I2442" s="39"/>
      <c r="J2442" s="38"/>
      <c r="K2442" s="198"/>
      <c r="L2442" s="38"/>
      <c r="M2442" s="38"/>
      <c r="N2442" s="38"/>
      <c r="O2442" s="38"/>
      <c r="P2442" s="40" t="str" cm="1">
        <f t="array" ref="P2442">IF(N2442="","",IFERROR(_xlfn.XLOOKUP(F2442&amp;"|"&amp;J2442&amp;"|"&amp;O2442,PRICES!$C$2:$C$659&amp;"|"&amp;PRICES!$B$2:$B$659&amp;"|"&amp;PRICES!$D$2:$D$659,PRICES!$E$2:$E$659),"Not Found"))</f>
        <v/>
      </c>
      <c r="Q2442" s="100" t="str">
        <f>IF(N2442=0,"",SUMIFS(PRICES!$G$2:$G$658,PRICES!$B$2:$B$658,'MAIN TABLE-1 AUTOMATED'!J2442,PRICES!$C$2:$C$658,'MAIN TABLE-1 AUTOMATED'!F2442,PRICES!$D$2:$D$658,'MAIN TABLE-1 AUTOMATED'!O2442))</f>
        <v/>
      </c>
      <c r="R2442" s="41" t="str">
        <f>IF(Table1[[#This Row],[QUANTITY]]=0,"",Table1[[#This Row],[UNIT PRICE]]*Table1[[#This Row],[QUANTITY]])</f>
        <v/>
      </c>
      <c r="S2442" s="89"/>
      <c r="T2442" s="38"/>
      <c r="U2442" s="43"/>
      <c r="V2442" s="42" t="str">
        <f>IF(Table1[[#This Row],[DATE]]=0,"",YEAR(E2442))</f>
        <v/>
      </c>
      <c r="W2442" s="40" t="str">
        <f t="shared" si="80"/>
        <v/>
      </c>
      <c r="X2442" s="40" t="str">
        <f t="shared" si="81"/>
        <v/>
      </c>
      <c r="Y2442" s="40" t="str">
        <f>TEXT(Table1[[#This Row],[YEAR]],"0000")&amp;"-"&amp;Table1[[#This Row],[MONTH]]</f>
        <v>-</v>
      </c>
    </row>
    <row r="2443" spans="1:25" ht="15" customHeight="1" x14ac:dyDescent="0.35">
      <c r="A2443" s="24"/>
      <c r="B2443" s="38"/>
      <c r="C2443" s="38"/>
      <c r="D2443" s="38"/>
      <c r="E2443" s="37"/>
      <c r="F2443" s="38"/>
      <c r="G2443" s="198"/>
      <c r="H2443" s="198"/>
      <c r="I2443" s="39"/>
      <c r="J2443" s="38"/>
      <c r="K2443" s="198"/>
      <c r="L2443" s="38"/>
      <c r="M2443" s="38"/>
      <c r="N2443" s="38"/>
      <c r="O2443" s="38"/>
      <c r="P2443" s="40" t="str" cm="1">
        <f t="array" ref="P2443">IF(N2443="","",IFERROR(_xlfn.XLOOKUP(F2443&amp;"|"&amp;J2443&amp;"|"&amp;O2443,PRICES!$C$2:$C$659&amp;"|"&amp;PRICES!$B$2:$B$659&amp;"|"&amp;PRICES!$D$2:$D$659,PRICES!$E$2:$E$659),"Not Found"))</f>
        <v/>
      </c>
      <c r="Q2443" s="100" t="str">
        <f>IF(N2443=0,"",SUMIFS(PRICES!$G$2:$G$658,PRICES!$B$2:$B$658,'MAIN TABLE-1 AUTOMATED'!J2443,PRICES!$C$2:$C$658,'MAIN TABLE-1 AUTOMATED'!F2443,PRICES!$D$2:$D$658,'MAIN TABLE-1 AUTOMATED'!O2443))</f>
        <v/>
      </c>
      <c r="R2443" s="41" t="str">
        <f>IF(Table1[[#This Row],[QUANTITY]]=0,"",Table1[[#This Row],[UNIT PRICE]]*Table1[[#This Row],[QUANTITY]])</f>
        <v/>
      </c>
      <c r="S2443" s="89"/>
      <c r="T2443" s="38"/>
      <c r="U2443" s="43"/>
      <c r="V2443" s="42" t="str">
        <f>IF(Table1[[#This Row],[DATE]]=0,"",YEAR(E2443))</f>
        <v/>
      </c>
      <c r="W2443" s="40" t="str">
        <f t="shared" si="80"/>
        <v/>
      </c>
      <c r="X2443" s="40" t="str">
        <f t="shared" si="81"/>
        <v/>
      </c>
      <c r="Y2443" s="40" t="str">
        <f>TEXT(Table1[[#This Row],[YEAR]],"0000")&amp;"-"&amp;Table1[[#This Row],[MONTH]]</f>
        <v>-</v>
      </c>
    </row>
    <row r="2444" spans="1:25" ht="15" customHeight="1" x14ac:dyDescent="0.35">
      <c r="A2444" s="24"/>
      <c r="B2444" s="38"/>
      <c r="C2444" s="38"/>
      <c r="D2444" s="38"/>
      <c r="E2444" s="37"/>
      <c r="F2444" s="38"/>
      <c r="G2444" s="198"/>
      <c r="H2444" s="198"/>
      <c r="I2444" s="39"/>
      <c r="J2444" s="38"/>
      <c r="K2444" s="198"/>
      <c r="L2444" s="38"/>
      <c r="M2444" s="38"/>
      <c r="N2444" s="38"/>
      <c r="O2444" s="38"/>
      <c r="P2444" s="40" t="str" cm="1">
        <f t="array" ref="P2444">IF(N2444="","",IFERROR(_xlfn.XLOOKUP(F2444&amp;"|"&amp;J2444&amp;"|"&amp;O2444,PRICES!$C$2:$C$659&amp;"|"&amp;PRICES!$B$2:$B$659&amp;"|"&amp;PRICES!$D$2:$D$659,PRICES!$E$2:$E$659),"Not Found"))</f>
        <v/>
      </c>
      <c r="Q2444" s="100" t="str">
        <f>IF(N2444=0,"",SUMIFS(PRICES!$G$2:$G$658,PRICES!$B$2:$B$658,'MAIN TABLE-1 AUTOMATED'!J2444,PRICES!$C$2:$C$658,'MAIN TABLE-1 AUTOMATED'!F2444,PRICES!$D$2:$D$658,'MAIN TABLE-1 AUTOMATED'!O2444))</f>
        <v/>
      </c>
      <c r="R2444" s="41" t="str">
        <f>IF(Table1[[#This Row],[QUANTITY]]=0,"",Table1[[#This Row],[UNIT PRICE]]*Table1[[#This Row],[QUANTITY]])</f>
        <v/>
      </c>
      <c r="S2444" s="89"/>
      <c r="T2444" s="38"/>
      <c r="U2444" s="43"/>
      <c r="V2444" s="42" t="str">
        <f>IF(Table1[[#This Row],[DATE]]=0,"",YEAR(E2444))</f>
        <v/>
      </c>
      <c r="W2444" s="40" t="str">
        <f t="shared" si="80"/>
        <v/>
      </c>
      <c r="X2444" s="40" t="str">
        <f t="shared" si="81"/>
        <v/>
      </c>
      <c r="Y2444" s="40" t="str">
        <f>TEXT(Table1[[#This Row],[YEAR]],"0000")&amp;"-"&amp;Table1[[#This Row],[MONTH]]</f>
        <v>-</v>
      </c>
    </row>
    <row r="2445" spans="1:25" ht="15" customHeight="1" x14ac:dyDescent="0.35">
      <c r="A2445" s="24"/>
      <c r="B2445" s="38"/>
      <c r="C2445" s="38"/>
      <c r="D2445" s="38"/>
      <c r="E2445" s="37"/>
      <c r="F2445" s="38"/>
      <c r="G2445" s="198"/>
      <c r="H2445" s="198"/>
      <c r="I2445" s="39"/>
      <c r="J2445" s="38"/>
      <c r="K2445" s="198"/>
      <c r="L2445" s="38"/>
      <c r="M2445" s="38"/>
      <c r="N2445" s="38"/>
      <c r="O2445" s="38"/>
      <c r="P2445" s="40" t="str" cm="1">
        <f t="array" ref="P2445">IF(N2445="","",IFERROR(_xlfn.XLOOKUP(F2445&amp;"|"&amp;J2445&amp;"|"&amp;O2445,PRICES!$C$2:$C$659&amp;"|"&amp;PRICES!$B$2:$B$659&amp;"|"&amp;PRICES!$D$2:$D$659,PRICES!$E$2:$E$659),"Not Found"))</f>
        <v/>
      </c>
      <c r="Q2445" s="100" t="str">
        <f>IF(N2445=0,"",SUMIFS(PRICES!$G$2:$G$658,PRICES!$B$2:$B$658,'MAIN TABLE-1 AUTOMATED'!J2445,PRICES!$C$2:$C$658,'MAIN TABLE-1 AUTOMATED'!F2445,PRICES!$D$2:$D$658,'MAIN TABLE-1 AUTOMATED'!O2445))</f>
        <v/>
      </c>
      <c r="R2445" s="41" t="str">
        <f>IF(Table1[[#This Row],[QUANTITY]]=0,"",Table1[[#This Row],[UNIT PRICE]]*Table1[[#This Row],[QUANTITY]])</f>
        <v/>
      </c>
      <c r="S2445" s="89"/>
      <c r="T2445" s="38"/>
      <c r="U2445" s="43"/>
      <c r="V2445" s="42" t="str">
        <f>IF(Table1[[#This Row],[DATE]]=0,"",YEAR(E2445))</f>
        <v/>
      </c>
      <c r="W2445" s="40" t="str">
        <f t="shared" si="80"/>
        <v/>
      </c>
      <c r="X2445" s="40" t="str">
        <f t="shared" si="81"/>
        <v/>
      </c>
      <c r="Y2445" s="40" t="str">
        <f>TEXT(Table1[[#This Row],[YEAR]],"0000")&amp;"-"&amp;Table1[[#This Row],[MONTH]]</f>
        <v>-</v>
      </c>
    </row>
    <row r="2446" spans="1:25" ht="15" customHeight="1" x14ac:dyDescent="0.35">
      <c r="A2446" s="24"/>
      <c r="B2446" s="38"/>
      <c r="C2446" s="38"/>
      <c r="D2446" s="38"/>
      <c r="E2446" s="37"/>
      <c r="F2446" s="38"/>
      <c r="G2446" s="198"/>
      <c r="H2446" s="198"/>
      <c r="I2446" s="39"/>
      <c r="J2446" s="38"/>
      <c r="K2446" s="198"/>
      <c r="L2446" s="38"/>
      <c r="M2446" s="38"/>
      <c r="N2446" s="38"/>
      <c r="O2446" s="38"/>
      <c r="P2446" s="40" t="str" cm="1">
        <f t="array" ref="P2446">IF(N2446="","",IFERROR(_xlfn.XLOOKUP(F2446&amp;"|"&amp;J2446&amp;"|"&amp;O2446,PRICES!$C$2:$C$659&amp;"|"&amp;PRICES!$B$2:$B$659&amp;"|"&amp;PRICES!$D$2:$D$659,PRICES!$E$2:$E$659),"Not Found"))</f>
        <v/>
      </c>
      <c r="Q2446" s="100" t="str">
        <f>IF(N2446=0,"",SUMIFS(PRICES!$G$2:$G$658,PRICES!$B$2:$B$658,'MAIN TABLE-1 AUTOMATED'!J2446,PRICES!$C$2:$C$658,'MAIN TABLE-1 AUTOMATED'!F2446,PRICES!$D$2:$D$658,'MAIN TABLE-1 AUTOMATED'!O2446))</f>
        <v/>
      </c>
      <c r="R2446" s="41" t="str">
        <f>IF(Table1[[#This Row],[QUANTITY]]=0,"",Table1[[#This Row],[UNIT PRICE]]*Table1[[#This Row],[QUANTITY]])</f>
        <v/>
      </c>
      <c r="S2446" s="89"/>
      <c r="T2446" s="38"/>
      <c r="U2446" s="43"/>
      <c r="V2446" s="42" t="str">
        <f>IF(Table1[[#This Row],[DATE]]=0,"",YEAR(E2446))</f>
        <v/>
      </c>
      <c r="W2446" s="40" t="str">
        <f t="shared" si="80"/>
        <v/>
      </c>
      <c r="X2446" s="40" t="str">
        <f t="shared" si="81"/>
        <v/>
      </c>
      <c r="Y2446" s="40" t="str">
        <f>TEXT(Table1[[#This Row],[YEAR]],"0000")&amp;"-"&amp;Table1[[#This Row],[MONTH]]</f>
        <v>-</v>
      </c>
    </row>
    <row r="2447" spans="1:25" ht="15" customHeight="1" x14ac:dyDescent="0.35">
      <c r="A2447" s="24"/>
      <c r="B2447" s="38"/>
      <c r="C2447" s="38"/>
      <c r="D2447" s="38"/>
      <c r="E2447" s="37"/>
      <c r="F2447" s="38"/>
      <c r="G2447" s="198"/>
      <c r="H2447" s="198"/>
      <c r="I2447" s="39"/>
      <c r="J2447" s="38"/>
      <c r="K2447" s="198"/>
      <c r="L2447" s="38"/>
      <c r="M2447" s="38"/>
      <c r="N2447" s="38"/>
      <c r="O2447" s="38"/>
      <c r="P2447" s="40" t="str" cm="1">
        <f t="array" ref="P2447">IF(N2447="","",IFERROR(_xlfn.XLOOKUP(F2447&amp;"|"&amp;J2447&amp;"|"&amp;O2447,PRICES!$C$2:$C$659&amp;"|"&amp;PRICES!$B$2:$B$659&amp;"|"&amp;PRICES!$D$2:$D$659,PRICES!$E$2:$E$659),"Not Found"))</f>
        <v/>
      </c>
      <c r="Q2447" s="100" t="str">
        <f>IF(N2447=0,"",SUMIFS(PRICES!$G$2:$G$658,PRICES!$B$2:$B$658,'MAIN TABLE-1 AUTOMATED'!J2447,PRICES!$C$2:$C$658,'MAIN TABLE-1 AUTOMATED'!F2447,PRICES!$D$2:$D$658,'MAIN TABLE-1 AUTOMATED'!O2447))</f>
        <v/>
      </c>
      <c r="R2447" s="41" t="str">
        <f>IF(Table1[[#This Row],[QUANTITY]]=0,"",Table1[[#This Row],[UNIT PRICE]]*Table1[[#This Row],[QUANTITY]])</f>
        <v/>
      </c>
      <c r="S2447" s="89"/>
      <c r="T2447" s="38"/>
      <c r="U2447" s="43"/>
      <c r="V2447" s="42" t="str">
        <f>IF(Table1[[#This Row],[DATE]]=0,"",YEAR(E2447))</f>
        <v/>
      </c>
      <c r="W2447" s="40" t="str">
        <f t="shared" si="80"/>
        <v/>
      </c>
      <c r="X2447" s="40" t="str">
        <f t="shared" si="81"/>
        <v/>
      </c>
      <c r="Y2447" s="40" t="str">
        <f>TEXT(Table1[[#This Row],[YEAR]],"0000")&amp;"-"&amp;Table1[[#This Row],[MONTH]]</f>
        <v>-</v>
      </c>
    </row>
    <row r="2448" spans="1:25" ht="15" customHeight="1" x14ac:dyDescent="0.35">
      <c r="A2448" s="24"/>
      <c r="B2448" s="38"/>
      <c r="C2448" s="38"/>
      <c r="D2448" s="38"/>
      <c r="E2448" s="37"/>
      <c r="F2448" s="38"/>
      <c r="G2448" s="198"/>
      <c r="H2448" s="198"/>
      <c r="I2448" s="39"/>
      <c r="J2448" s="38"/>
      <c r="K2448" s="198"/>
      <c r="L2448" s="38"/>
      <c r="M2448" s="38"/>
      <c r="N2448" s="38"/>
      <c r="O2448" s="38"/>
      <c r="P2448" s="40" t="str" cm="1">
        <f t="array" ref="P2448">IF(N2448="","",IFERROR(_xlfn.XLOOKUP(F2448&amp;"|"&amp;J2448&amp;"|"&amp;O2448,PRICES!$C$2:$C$659&amp;"|"&amp;PRICES!$B$2:$B$659&amp;"|"&amp;PRICES!$D$2:$D$659,PRICES!$E$2:$E$659),"Not Found"))</f>
        <v/>
      </c>
      <c r="Q2448" s="100" t="str">
        <f>IF(N2448=0,"",SUMIFS(PRICES!$G$2:$G$658,PRICES!$B$2:$B$658,'MAIN TABLE-1 AUTOMATED'!J2448,PRICES!$C$2:$C$658,'MAIN TABLE-1 AUTOMATED'!F2448,PRICES!$D$2:$D$658,'MAIN TABLE-1 AUTOMATED'!O2448))</f>
        <v/>
      </c>
      <c r="R2448" s="41" t="str">
        <f>IF(Table1[[#This Row],[QUANTITY]]=0,"",Table1[[#This Row],[UNIT PRICE]]*Table1[[#This Row],[QUANTITY]])</f>
        <v/>
      </c>
      <c r="S2448" s="89"/>
      <c r="T2448" s="38"/>
      <c r="U2448" s="43"/>
      <c r="V2448" s="42" t="str">
        <f>IF(Table1[[#This Row],[DATE]]=0,"",YEAR(E2448))</f>
        <v/>
      </c>
      <c r="W2448" s="40" t="str">
        <f t="shared" si="80"/>
        <v/>
      </c>
      <c r="X2448" s="40" t="str">
        <f t="shared" si="81"/>
        <v/>
      </c>
      <c r="Y2448" s="40" t="str">
        <f>TEXT(Table1[[#This Row],[YEAR]],"0000")&amp;"-"&amp;Table1[[#This Row],[MONTH]]</f>
        <v>-</v>
      </c>
    </row>
    <row r="2449" spans="1:25" ht="15" customHeight="1" x14ac:dyDescent="0.35">
      <c r="A2449" s="24"/>
      <c r="B2449" s="38"/>
      <c r="C2449" s="38"/>
      <c r="D2449" s="38"/>
      <c r="E2449" s="37"/>
      <c r="F2449" s="38"/>
      <c r="G2449" s="198"/>
      <c r="H2449" s="198"/>
      <c r="I2449" s="39"/>
      <c r="J2449" s="38"/>
      <c r="K2449" s="198"/>
      <c r="L2449" s="38"/>
      <c r="M2449" s="38"/>
      <c r="N2449" s="38"/>
      <c r="O2449" s="38"/>
      <c r="P2449" s="40" t="str" cm="1">
        <f t="array" ref="P2449">IF(N2449="","",IFERROR(_xlfn.XLOOKUP(F2449&amp;"|"&amp;J2449&amp;"|"&amp;O2449,PRICES!$C$2:$C$659&amp;"|"&amp;PRICES!$B$2:$B$659&amp;"|"&amp;PRICES!$D$2:$D$659,PRICES!$E$2:$E$659),"Not Found"))</f>
        <v/>
      </c>
      <c r="Q2449" s="100" t="str">
        <f>IF(N2449=0,"",SUMIFS(PRICES!$G$2:$G$658,PRICES!$B$2:$B$658,'MAIN TABLE-1 AUTOMATED'!J2449,PRICES!$C$2:$C$658,'MAIN TABLE-1 AUTOMATED'!F2449,PRICES!$D$2:$D$658,'MAIN TABLE-1 AUTOMATED'!O2449))</f>
        <v/>
      </c>
      <c r="R2449" s="41" t="str">
        <f>IF(Table1[[#This Row],[QUANTITY]]=0,"",Table1[[#This Row],[UNIT PRICE]]*Table1[[#This Row],[QUANTITY]])</f>
        <v/>
      </c>
      <c r="S2449" s="89"/>
      <c r="T2449" s="38"/>
      <c r="U2449" s="43"/>
      <c r="V2449" s="42" t="str">
        <f>IF(Table1[[#This Row],[DATE]]=0,"",YEAR(E2449))</f>
        <v/>
      </c>
      <c r="W2449" s="40" t="str">
        <f t="shared" si="80"/>
        <v/>
      </c>
      <c r="X2449" s="40" t="str">
        <f t="shared" si="81"/>
        <v/>
      </c>
      <c r="Y2449" s="40" t="str">
        <f>TEXT(Table1[[#This Row],[YEAR]],"0000")&amp;"-"&amp;Table1[[#This Row],[MONTH]]</f>
        <v>-</v>
      </c>
    </row>
    <row r="2450" spans="1:25" ht="15" customHeight="1" x14ac:dyDescent="0.35">
      <c r="A2450" s="24"/>
      <c r="B2450" s="38"/>
      <c r="C2450" s="38"/>
      <c r="D2450" s="38"/>
      <c r="E2450" s="37"/>
      <c r="F2450" s="38"/>
      <c r="G2450" s="198"/>
      <c r="H2450" s="198"/>
      <c r="I2450" s="39"/>
      <c r="J2450" s="38"/>
      <c r="K2450" s="198"/>
      <c r="L2450" s="38"/>
      <c r="M2450" s="38"/>
      <c r="N2450" s="38"/>
      <c r="O2450" s="38"/>
      <c r="P2450" s="40" t="str" cm="1">
        <f t="array" ref="P2450">IF(N2450="","",IFERROR(_xlfn.XLOOKUP(F2450&amp;"|"&amp;J2450&amp;"|"&amp;O2450,PRICES!$C$2:$C$659&amp;"|"&amp;PRICES!$B$2:$B$659&amp;"|"&amp;PRICES!$D$2:$D$659,PRICES!$E$2:$E$659),"Not Found"))</f>
        <v/>
      </c>
      <c r="Q2450" s="100" t="str">
        <f>IF(N2450=0,"",SUMIFS(PRICES!$G$2:$G$658,PRICES!$B$2:$B$658,'MAIN TABLE-1 AUTOMATED'!J2450,PRICES!$C$2:$C$658,'MAIN TABLE-1 AUTOMATED'!F2450,PRICES!$D$2:$D$658,'MAIN TABLE-1 AUTOMATED'!O2450))</f>
        <v/>
      </c>
      <c r="R2450" s="41" t="str">
        <f>IF(Table1[[#This Row],[QUANTITY]]=0,"",Table1[[#This Row],[UNIT PRICE]]*Table1[[#This Row],[QUANTITY]])</f>
        <v/>
      </c>
      <c r="S2450" s="89"/>
      <c r="T2450" s="38"/>
      <c r="U2450" s="43"/>
      <c r="V2450" s="42" t="str">
        <f>IF(Table1[[#This Row],[DATE]]=0,"",YEAR(E2450))</f>
        <v/>
      </c>
      <c r="W2450" s="40" t="str">
        <f t="shared" si="80"/>
        <v/>
      </c>
      <c r="X2450" s="40" t="str">
        <f t="shared" si="81"/>
        <v/>
      </c>
      <c r="Y2450" s="40" t="str">
        <f>TEXT(Table1[[#This Row],[YEAR]],"0000")&amp;"-"&amp;Table1[[#This Row],[MONTH]]</f>
        <v>-</v>
      </c>
    </row>
    <row r="2451" spans="1:25" ht="15" customHeight="1" x14ac:dyDescent="0.35">
      <c r="A2451" s="24"/>
      <c r="B2451" s="38"/>
      <c r="C2451" s="38"/>
      <c r="D2451" s="38"/>
      <c r="E2451" s="37"/>
      <c r="F2451" s="38"/>
      <c r="G2451" s="198"/>
      <c r="H2451" s="198"/>
      <c r="I2451" s="39"/>
      <c r="J2451" s="38"/>
      <c r="K2451" s="198"/>
      <c r="L2451" s="38"/>
      <c r="M2451" s="38"/>
      <c r="N2451" s="38"/>
      <c r="O2451" s="38"/>
      <c r="P2451" s="40" t="str" cm="1">
        <f t="array" ref="P2451">IF(N2451="","",IFERROR(_xlfn.XLOOKUP(F2451&amp;"|"&amp;J2451&amp;"|"&amp;O2451,PRICES!$C$2:$C$659&amp;"|"&amp;PRICES!$B$2:$B$659&amp;"|"&amp;PRICES!$D$2:$D$659,PRICES!$E$2:$E$659),"Not Found"))</f>
        <v/>
      </c>
      <c r="Q2451" s="100" t="str">
        <f>IF(N2451=0,"",SUMIFS(PRICES!$G$2:$G$658,PRICES!$B$2:$B$658,'MAIN TABLE-1 AUTOMATED'!J2451,PRICES!$C$2:$C$658,'MAIN TABLE-1 AUTOMATED'!F2451,PRICES!$D$2:$D$658,'MAIN TABLE-1 AUTOMATED'!O2451))</f>
        <v/>
      </c>
      <c r="R2451" s="41" t="str">
        <f>IF(Table1[[#This Row],[QUANTITY]]=0,"",Table1[[#This Row],[UNIT PRICE]]*Table1[[#This Row],[QUANTITY]])</f>
        <v/>
      </c>
      <c r="S2451" s="89"/>
      <c r="T2451" s="38"/>
      <c r="U2451" s="43"/>
      <c r="V2451" s="42" t="str">
        <f>IF(Table1[[#This Row],[DATE]]=0,"",YEAR(E2451))</f>
        <v/>
      </c>
      <c r="W2451" s="40" t="str">
        <f t="shared" si="80"/>
        <v/>
      </c>
      <c r="X2451" s="40" t="str">
        <f t="shared" si="81"/>
        <v/>
      </c>
      <c r="Y2451" s="40" t="str">
        <f>TEXT(Table1[[#This Row],[YEAR]],"0000")&amp;"-"&amp;Table1[[#This Row],[MONTH]]</f>
        <v>-</v>
      </c>
    </row>
    <row r="2452" spans="1:25" ht="15" customHeight="1" x14ac:dyDescent="0.35">
      <c r="A2452" s="24"/>
      <c r="B2452" s="38"/>
      <c r="C2452" s="38"/>
      <c r="D2452" s="38"/>
      <c r="E2452" s="37"/>
      <c r="F2452" s="38"/>
      <c r="G2452" s="198"/>
      <c r="H2452" s="198"/>
      <c r="I2452" s="39"/>
      <c r="J2452" s="38"/>
      <c r="K2452" s="198"/>
      <c r="L2452" s="38"/>
      <c r="M2452" s="38"/>
      <c r="N2452" s="38"/>
      <c r="O2452" s="38"/>
      <c r="P2452" s="40" t="str" cm="1">
        <f t="array" ref="P2452">IF(N2452="","",IFERROR(_xlfn.XLOOKUP(F2452&amp;"|"&amp;J2452&amp;"|"&amp;O2452,PRICES!$C$2:$C$659&amp;"|"&amp;PRICES!$B$2:$B$659&amp;"|"&amp;PRICES!$D$2:$D$659,PRICES!$E$2:$E$659),"Not Found"))</f>
        <v/>
      </c>
      <c r="Q2452" s="100" t="str">
        <f>IF(N2452=0,"",SUMIFS(PRICES!$G$2:$G$658,PRICES!$B$2:$B$658,'MAIN TABLE-1 AUTOMATED'!J2452,PRICES!$C$2:$C$658,'MAIN TABLE-1 AUTOMATED'!F2452,PRICES!$D$2:$D$658,'MAIN TABLE-1 AUTOMATED'!O2452))</f>
        <v/>
      </c>
      <c r="R2452" s="41" t="str">
        <f>IF(Table1[[#This Row],[QUANTITY]]=0,"",Table1[[#This Row],[UNIT PRICE]]*Table1[[#This Row],[QUANTITY]])</f>
        <v/>
      </c>
      <c r="S2452" s="89"/>
      <c r="T2452" s="38"/>
      <c r="U2452" s="43"/>
      <c r="V2452" s="42" t="str">
        <f>IF(Table1[[#This Row],[DATE]]=0,"",YEAR(E2452))</f>
        <v/>
      </c>
      <c r="W2452" s="40" t="str">
        <f t="shared" si="80"/>
        <v/>
      </c>
      <c r="X2452" s="40" t="str">
        <f t="shared" si="81"/>
        <v/>
      </c>
      <c r="Y2452" s="40" t="str">
        <f>TEXT(Table1[[#This Row],[YEAR]],"0000")&amp;"-"&amp;Table1[[#This Row],[MONTH]]</f>
        <v>-</v>
      </c>
    </row>
    <row r="2453" spans="1:25" ht="15" customHeight="1" x14ac:dyDescent="0.35">
      <c r="A2453" s="24"/>
      <c r="B2453" s="38"/>
      <c r="C2453" s="38"/>
      <c r="D2453" s="38"/>
      <c r="E2453" s="37"/>
      <c r="F2453" s="38"/>
      <c r="G2453" s="198"/>
      <c r="H2453" s="198"/>
      <c r="I2453" s="39"/>
      <c r="J2453" s="38"/>
      <c r="K2453" s="198"/>
      <c r="L2453" s="38"/>
      <c r="M2453" s="38"/>
      <c r="N2453" s="38"/>
      <c r="O2453" s="38"/>
      <c r="P2453" s="40" t="str" cm="1">
        <f t="array" ref="P2453">IF(N2453="","",IFERROR(_xlfn.XLOOKUP(F2453&amp;"|"&amp;J2453&amp;"|"&amp;O2453,PRICES!$C$2:$C$659&amp;"|"&amp;PRICES!$B$2:$B$659&amp;"|"&amp;PRICES!$D$2:$D$659,PRICES!$E$2:$E$659),"Not Found"))</f>
        <v/>
      </c>
      <c r="Q2453" s="100" t="str">
        <f>IF(N2453=0,"",SUMIFS(PRICES!$G$2:$G$658,PRICES!$B$2:$B$658,'MAIN TABLE-1 AUTOMATED'!J2453,PRICES!$C$2:$C$658,'MAIN TABLE-1 AUTOMATED'!F2453,PRICES!$D$2:$D$658,'MAIN TABLE-1 AUTOMATED'!O2453))</f>
        <v/>
      </c>
      <c r="R2453" s="41" t="str">
        <f>IF(Table1[[#This Row],[QUANTITY]]=0,"",Table1[[#This Row],[UNIT PRICE]]*Table1[[#This Row],[QUANTITY]])</f>
        <v/>
      </c>
      <c r="S2453" s="89"/>
      <c r="T2453" s="38"/>
      <c r="U2453" s="43"/>
      <c r="V2453" s="42" t="str">
        <f>IF(Table1[[#This Row],[DATE]]=0,"",YEAR(E2453))</f>
        <v/>
      </c>
      <c r="W2453" s="40" t="str">
        <f t="shared" si="80"/>
        <v/>
      </c>
      <c r="X2453" s="40" t="str">
        <f t="shared" si="81"/>
        <v/>
      </c>
      <c r="Y2453" s="40" t="str">
        <f>TEXT(Table1[[#This Row],[YEAR]],"0000")&amp;"-"&amp;Table1[[#This Row],[MONTH]]</f>
        <v>-</v>
      </c>
    </row>
    <row r="2454" spans="1:25" ht="15" customHeight="1" x14ac:dyDescent="0.35">
      <c r="A2454" s="24"/>
      <c r="B2454" s="38"/>
      <c r="C2454" s="38"/>
      <c r="D2454" s="38"/>
      <c r="E2454" s="37"/>
      <c r="F2454" s="38"/>
      <c r="G2454" s="198"/>
      <c r="H2454" s="198"/>
      <c r="I2454" s="39"/>
      <c r="J2454" s="38"/>
      <c r="K2454" s="198"/>
      <c r="L2454" s="38"/>
      <c r="M2454" s="38"/>
      <c r="N2454" s="38"/>
      <c r="O2454" s="38"/>
      <c r="P2454" s="40" t="str" cm="1">
        <f t="array" ref="P2454">IF(N2454="","",IFERROR(_xlfn.XLOOKUP(F2454&amp;"|"&amp;J2454&amp;"|"&amp;O2454,PRICES!$C$2:$C$659&amp;"|"&amp;PRICES!$B$2:$B$659&amp;"|"&amp;PRICES!$D$2:$D$659,PRICES!$E$2:$E$659),"Not Found"))</f>
        <v/>
      </c>
      <c r="Q2454" s="100" t="str">
        <f>IF(N2454=0,"",SUMIFS(PRICES!$G$2:$G$658,PRICES!$B$2:$B$658,'MAIN TABLE-1 AUTOMATED'!J2454,PRICES!$C$2:$C$658,'MAIN TABLE-1 AUTOMATED'!F2454,PRICES!$D$2:$D$658,'MAIN TABLE-1 AUTOMATED'!O2454))</f>
        <v/>
      </c>
      <c r="R2454" s="41" t="str">
        <f>IF(Table1[[#This Row],[QUANTITY]]=0,"",Table1[[#This Row],[UNIT PRICE]]*Table1[[#This Row],[QUANTITY]])</f>
        <v/>
      </c>
      <c r="S2454" s="89"/>
      <c r="T2454" s="38"/>
      <c r="U2454" s="43"/>
      <c r="V2454" s="42" t="str">
        <f>IF(Table1[[#This Row],[DATE]]=0,"",YEAR(E2454))</f>
        <v/>
      </c>
      <c r="W2454" s="40" t="str">
        <f t="shared" si="80"/>
        <v/>
      </c>
      <c r="X2454" s="40" t="str">
        <f t="shared" si="81"/>
        <v/>
      </c>
      <c r="Y2454" s="40" t="str">
        <f>TEXT(Table1[[#This Row],[YEAR]],"0000")&amp;"-"&amp;Table1[[#This Row],[MONTH]]</f>
        <v>-</v>
      </c>
    </row>
    <row r="2455" spans="1:25" ht="15" customHeight="1" x14ac:dyDescent="0.35">
      <c r="A2455" s="24"/>
      <c r="B2455" s="38"/>
      <c r="C2455" s="38"/>
      <c r="D2455" s="38"/>
      <c r="E2455" s="37"/>
      <c r="F2455" s="38"/>
      <c r="G2455" s="198"/>
      <c r="H2455" s="198"/>
      <c r="I2455" s="39"/>
      <c r="J2455" s="38"/>
      <c r="K2455" s="198"/>
      <c r="L2455" s="38"/>
      <c r="M2455" s="38"/>
      <c r="N2455" s="38"/>
      <c r="O2455" s="38"/>
      <c r="P2455" s="40" t="str" cm="1">
        <f t="array" ref="P2455">IF(N2455="","",IFERROR(_xlfn.XLOOKUP(F2455&amp;"|"&amp;J2455&amp;"|"&amp;O2455,PRICES!$C$2:$C$659&amp;"|"&amp;PRICES!$B$2:$B$659&amp;"|"&amp;PRICES!$D$2:$D$659,PRICES!$E$2:$E$659),"Not Found"))</f>
        <v/>
      </c>
      <c r="Q2455" s="100" t="str">
        <f>IF(N2455=0,"",SUMIFS(PRICES!$G$2:$G$658,PRICES!$B$2:$B$658,'MAIN TABLE-1 AUTOMATED'!J2455,PRICES!$C$2:$C$658,'MAIN TABLE-1 AUTOMATED'!F2455,PRICES!$D$2:$D$658,'MAIN TABLE-1 AUTOMATED'!O2455))</f>
        <v/>
      </c>
      <c r="R2455" s="41" t="str">
        <f>IF(Table1[[#This Row],[QUANTITY]]=0,"",Table1[[#This Row],[UNIT PRICE]]*Table1[[#This Row],[QUANTITY]])</f>
        <v/>
      </c>
      <c r="S2455" s="89"/>
      <c r="T2455" s="38"/>
      <c r="U2455" s="43"/>
      <c r="V2455" s="42" t="str">
        <f>IF(Table1[[#This Row],[DATE]]=0,"",YEAR(E2455))</f>
        <v/>
      </c>
      <c r="W2455" s="40" t="str">
        <f t="shared" si="80"/>
        <v/>
      </c>
      <c r="X2455" s="40" t="str">
        <f t="shared" si="81"/>
        <v/>
      </c>
      <c r="Y2455" s="40" t="str">
        <f>TEXT(Table1[[#This Row],[YEAR]],"0000")&amp;"-"&amp;Table1[[#This Row],[MONTH]]</f>
        <v>-</v>
      </c>
    </row>
    <row r="2456" spans="1:25" ht="15" customHeight="1" x14ac:dyDescent="0.35">
      <c r="A2456" s="24"/>
      <c r="B2456" s="38"/>
      <c r="C2456" s="38"/>
      <c r="D2456" s="38"/>
      <c r="E2456" s="37"/>
      <c r="F2456" s="38"/>
      <c r="G2456" s="198"/>
      <c r="H2456" s="198"/>
      <c r="I2456" s="39"/>
      <c r="J2456" s="38"/>
      <c r="K2456" s="198"/>
      <c r="L2456" s="38"/>
      <c r="M2456" s="38"/>
      <c r="N2456" s="38"/>
      <c r="O2456" s="38"/>
      <c r="P2456" s="40" t="str" cm="1">
        <f t="array" ref="P2456">IF(N2456="","",IFERROR(_xlfn.XLOOKUP(F2456&amp;"|"&amp;J2456&amp;"|"&amp;O2456,PRICES!$C$2:$C$659&amp;"|"&amp;PRICES!$B$2:$B$659&amp;"|"&amp;PRICES!$D$2:$D$659,PRICES!$E$2:$E$659),"Not Found"))</f>
        <v/>
      </c>
      <c r="Q2456" s="100" t="str">
        <f>IF(N2456=0,"",SUMIFS(PRICES!$G$2:$G$658,PRICES!$B$2:$B$658,'MAIN TABLE-1 AUTOMATED'!J2456,PRICES!$C$2:$C$658,'MAIN TABLE-1 AUTOMATED'!F2456,PRICES!$D$2:$D$658,'MAIN TABLE-1 AUTOMATED'!O2456))</f>
        <v/>
      </c>
      <c r="R2456" s="41" t="str">
        <f>IF(Table1[[#This Row],[QUANTITY]]=0,"",Table1[[#This Row],[UNIT PRICE]]*Table1[[#This Row],[QUANTITY]])</f>
        <v/>
      </c>
      <c r="S2456" s="89"/>
      <c r="T2456" s="38"/>
      <c r="U2456" s="43"/>
      <c r="V2456" s="42" t="str">
        <f>IF(Table1[[#This Row],[DATE]]=0,"",YEAR(E2456))</f>
        <v/>
      </c>
      <c r="W2456" s="40" t="str">
        <f t="shared" si="80"/>
        <v/>
      </c>
      <c r="X2456" s="40" t="str">
        <f t="shared" si="81"/>
        <v/>
      </c>
      <c r="Y2456" s="40" t="str">
        <f>TEXT(Table1[[#This Row],[YEAR]],"0000")&amp;"-"&amp;Table1[[#This Row],[MONTH]]</f>
        <v>-</v>
      </c>
    </row>
    <row r="2457" spans="1:25" ht="15" customHeight="1" x14ac:dyDescent="0.35">
      <c r="A2457" s="24"/>
      <c r="B2457" s="38"/>
      <c r="C2457" s="38"/>
      <c r="D2457" s="38"/>
      <c r="E2457" s="37"/>
      <c r="F2457" s="38"/>
      <c r="G2457" s="198"/>
      <c r="H2457" s="198"/>
      <c r="I2457" s="39"/>
      <c r="J2457" s="38"/>
      <c r="K2457" s="198"/>
      <c r="L2457" s="38"/>
      <c r="M2457" s="38"/>
      <c r="N2457" s="38"/>
      <c r="O2457" s="38"/>
      <c r="P2457" s="40" t="str" cm="1">
        <f t="array" ref="P2457">IF(N2457="","",IFERROR(_xlfn.XLOOKUP(F2457&amp;"|"&amp;J2457&amp;"|"&amp;O2457,PRICES!$C$2:$C$659&amp;"|"&amp;PRICES!$B$2:$B$659&amp;"|"&amp;PRICES!$D$2:$D$659,PRICES!$E$2:$E$659),"Not Found"))</f>
        <v/>
      </c>
      <c r="Q2457" s="100" t="str">
        <f>IF(N2457=0,"",SUMIFS(PRICES!$G$2:$G$658,PRICES!$B$2:$B$658,'MAIN TABLE-1 AUTOMATED'!J2457,PRICES!$C$2:$C$658,'MAIN TABLE-1 AUTOMATED'!F2457,PRICES!$D$2:$D$658,'MAIN TABLE-1 AUTOMATED'!O2457))</f>
        <v/>
      </c>
      <c r="R2457" s="41" t="str">
        <f>IF(Table1[[#This Row],[QUANTITY]]=0,"",Table1[[#This Row],[UNIT PRICE]]*Table1[[#This Row],[QUANTITY]])</f>
        <v/>
      </c>
      <c r="S2457" s="89"/>
      <c r="T2457" s="38"/>
      <c r="U2457" s="43"/>
      <c r="V2457" s="42" t="str">
        <f>IF(Table1[[#This Row],[DATE]]=0,"",YEAR(E2457))</f>
        <v/>
      </c>
      <c r="W2457" s="40" t="str">
        <f t="shared" si="80"/>
        <v/>
      </c>
      <c r="X2457" s="40" t="str">
        <f t="shared" si="81"/>
        <v/>
      </c>
      <c r="Y2457" s="40" t="str">
        <f>TEXT(Table1[[#This Row],[YEAR]],"0000")&amp;"-"&amp;Table1[[#This Row],[MONTH]]</f>
        <v>-</v>
      </c>
    </row>
    <row r="2458" spans="1:25" ht="15" customHeight="1" x14ac:dyDescent="0.35">
      <c r="A2458" s="24"/>
      <c r="B2458" s="38"/>
      <c r="C2458" s="38"/>
      <c r="D2458" s="38"/>
      <c r="E2458" s="37"/>
      <c r="F2458" s="38"/>
      <c r="G2458" s="198"/>
      <c r="H2458" s="198"/>
      <c r="I2458" s="39"/>
      <c r="J2458" s="38"/>
      <c r="K2458" s="198"/>
      <c r="L2458" s="38"/>
      <c r="M2458" s="38"/>
      <c r="N2458" s="38"/>
      <c r="O2458" s="38"/>
      <c r="P2458" s="40" t="str" cm="1">
        <f t="array" ref="P2458">IF(N2458="","",IFERROR(_xlfn.XLOOKUP(F2458&amp;"|"&amp;J2458&amp;"|"&amp;O2458,PRICES!$C$2:$C$659&amp;"|"&amp;PRICES!$B$2:$B$659&amp;"|"&amp;PRICES!$D$2:$D$659,PRICES!$E$2:$E$659),"Not Found"))</f>
        <v/>
      </c>
      <c r="Q2458" s="100" t="str">
        <f>IF(N2458=0,"",SUMIFS(PRICES!$G$2:$G$658,PRICES!$B$2:$B$658,'MAIN TABLE-1 AUTOMATED'!J2458,PRICES!$C$2:$C$658,'MAIN TABLE-1 AUTOMATED'!F2458,PRICES!$D$2:$D$658,'MAIN TABLE-1 AUTOMATED'!O2458))</f>
        <v/>
      </c>
      <c r="R2458" s="41" t="str">
        <f>IF(Table1[[#This Row],[QUANTITY]]=0,"",Table1[[#This Row],[UNIT PRICE]]*Table1[[#This Row],[QUANTITY]])</f>
        <v/>
      </c>
      <c r="S2458" s="89"/>
      <c r="T2458" s="38"/>
      <c r="U2458" s="43"/>
      <c r="V2458" s="42" t="str">
        <f>IF(Table1[[#This Row],[DATE]]=0,"",YEAR(E2458))</f>
        <v/>
      </c>
      <c r="W2458" s="40" t="str">
        <f t="shared" si="80"/>
        <v/>
      </c>
      <c r="X2458" s="40" t="str">
        <f t="shared" si="81"/>
        <v/>
      </c>
      <c r="Y2458" s="40" t="str">
        <f>TEXT(Table1[[#This Row],[YEAR]],"0000")&amp;"-"&amp;Table1[[#This Row],[MONTH]]</f>
        <v>-</v>
      </c>
    </row>
    <row r="2459" spans="1:25" ht="15" customHeight="1" x14ac:dyDescent="0.35">
      <c r="A2459" s="24"/>
      <c r="B2459" s="38"/>
      <c r="C2459" s="38"/>
      <c r="D2459" s="38"/>
      <c r="E2459" s="37"/>
      <c r="F2459" s="38"/>
      <c r="G2459" s="198"/>
      <c r="H2459" s="198"/>
      <c r="I2459" s="39"/>
      <c r="J2459" s="38"/>
      <c r="K2459" s="198"/>
      <c r="L2459" s="38"/>
      <c r="M2459" s="38"/>
      <c r="N2459" s="38"/>
      <c r="O2459" s="38"/>
      <c r="P2459" s="40" t="str" cm="1">
        <f t="array" ref="P2459">IF(N2459="","",IFERROR(_xlfn.XLOOKUP(F2459&amp;"|"&amp;J2459&amp;"|"&amp;O2459,PRICES!$C$2:$C$659&amp;"|"&amp;PRICES!$B$2:$B$659&amp;"|"&amp;PRICES!$D$2:$D$659,PRICES!$E$2:$E$659),"Not Found"))</f>
        <v/>
      </c>
      <c r="Q2459" s="100" t="str">
        <f>IF(N2459=0,"",SUMIFS(PRICES!$G$2:$G$658,PRICES!$B$2:$B$658,'MAIN TABLE-1 AUTOMATED'!J2459,PRICES!$C$2:$C$658,'MAIN TABLE-1 AUTOMATED'!F2459,PRICES!$D$2:$D$658,'MAIN TABLE-1 AUTOMATED'!O2459))</f>
        <v/>
      </c>
      <c r="R2459" s="41" t="str">
        <f>IF(Table1[[#This Row],[QUANTITY]]=0,"",Table1[[#This Row],[UNIT PRICE]]*Table1[[#This Row],[QUANTITY]])</f>
        <v/>
      </c>
      <c r="S2459" s="89"/>
      <c r="T2459" s="38"/>
      <c r="U2459" s="43"/>
      <c r="V2459" s="42" t="str">
        <f>IF(Table1[[#This Row],[DATE]]=0,"",YEAR(E2459))</f>
        <v/>
      </c>
      <c r="W2459" s="40" t="str">
        <f t="shared" si="80"/>
        <v/>
      </c>
      <c r="X2459" s="40" t="str">
        <f t="shared" si="81"/>
        <v/>
      </c>
      <c r="Y2459" s="40" t="str">
        <f>TEXT(Table1[[#This Row],[YEAR]],"0000")&amp;"-"&amp;Table1[[#This Row],[MONTH]]</f>
        <v>-</v>
      </c>
    </row>
    <row r="2460" spans="1:25" ht="15" customHeight="1" x14ac:dyDescent="0.35">
      <c r="A2460" s="24"/>
      <c r="B2460" s="38"/>
      <c r="C2460" s="38"/>
      <c r="D2460" s="38"/>
      <c r="E2460" s="37"/>
      <c r="F2460" s="38"/>
      <c r="G2460" s="198"/>
      <c r="H2460" s="198"/>
      <c r="I2460" s="39"/>
      <c r="J2460" s="38"/>
      <c r="K2460" s="198"/>
      <c r="L2460" s="38"/>
      <c r="M2460" s="38"/>
      <c r="N2460" s="38"/>
      <c r="O2460" s="38"/>
      <c r="P2460" s="40" t="str" cm="1">
        <f t="array" ref="P2460">IF(N2460="","",IFERROR(_xlfn.XLOOKUP(F2460&amp;"|"&amp;J2460&amp;"|"&amp;O2460,PRICES!$C$2:$C$659&amp;"|"&amp;PRICES!$B$2:$B$659&amp;"|"&amp;PRICES!$D$2:$D$659,PRICES!$E$2:$E$659),"Not Found"))</f>
        <v/>
      </c>
      <c r="Q2460" s="100" t="str">
        <f>IF(N2460=0,"",SUMIFS(PRICES!$G$2:$G$658,PRICES!$B$2:$B$658,'MAIN TABLE-1 AUTOMATED'!J2460,PRICES!$C$2:$C$658,'MAIN TABLE-1 AUTOMATED'!F2460,PRICES!$D$2:$D$658,'MAIN TABLE-1 AUTOMATED'!O2460))</f>
        <v/>
      </c>
      <c r="R2460" s="41" t="str">
        <f>IF(Table1[[#This Row],[QUANTITY]]=0,"",Table1[[#This Row],[UNIT PRICE]]*Table1[[#This Row],[QUANTITY]])</f>
        <v/>
      </c>
      <c r="S2460" s="89"/>
      <c r="T2460" s="38"/>
      <c r="U2460" s="43"/>
      <c r="V2460" s="42" t="str">
        <f>IF(Table1[[#This Row],[DATE]]=0,"",YEAR(E2460))</f>
        <v/>
      </c>
      <c r="W2460" s="40" t="str">
        <f t="shared" si="80"/>
        <v/>
      </c>
      <c r="X2460" s="40" t="str">
        <f t="shared" si="81"/>
        <v/>
      </c>
      <c r="Y2460" s="40" t="str">
        <f>TEXT(Table1[[#This Row],[YEAR]],"0000")&amp;"-"&amp;Table1[[#This Row],[MONTH]]</f>
        <v>-</v>
      </c>
    </row>
    <row r="2461" spans="1:25" ht="15" customHeight="1" x14ac:dyDescent="0.35">
      <c r="A2461" s="24"/>
      <c r="B2461" s="38"/>
      <c r="C2461" s="38"/>
      <c r="D2461" s="38"/>
      <c r="E2461" s="37"/>
      <c r="F2461" s="38"/>
      <c r="G2461" s="198"/>
      <c r="H2461" s="198"/>
      <c r="I2461" s="39"/>
      <c r="J2461" s="38"/>
      <c r="K2461" s="198"/>
      <c r="L2461" s="38"/>
      <c r="M2461" s="38"/>
      <c r="N2461" s="38"/>
      <c r="O2461" s="38"/>
      <c r="P2461" s="40" t="str" cm="1">
        <f t="array" ref="P2461">IF(N2461="","",IFERROR(_xlfn.XLOOKUP(F2461&amp;"|"&amp;J2461&amp;"|"&amp;O2461,PRICES!$C$2:$C$659&amp;"|"&amp;PRICES!$B$2:$B$659&amp;"|"&amp;PRICES!$D$2:$D$659,PRICES!$E$2:$E$659),"Not Found"))</f>
        <v/>
      </c>
      <c r="Q2461" s="100" t="str">
        <f>IF(N2461=0,"",SUMIFS(PRICES!$G$2:$G$658,PRICES!$B$2:$B$658,'MAIN TABLE-1 AUTOMATED'!J2461,PRICES!$C$2:$C$658,'MAIN TABLE-1 AUTOMATED'!F2461,PRICES!$D$2:$D$658,'MAIN TABLE-1 AUTOMATED'!O2461))</f>
        <v/>
      </c>
      <c r="R2461" s="41" t="str">
        <f>IF(Table1[[#This Row],[QUANTITY]]=0,"",Table1[[#This Row],[UNIT PRICE]]*Table1[[#This Row],[QUANTITY]])</f>
        <v/>
      </c>
      <c r="S2461" s="89"/>
      <c r="T2461" s="38"/>
      <c r="U2461" s="43"/>
      <c r="V2461" s="42" t="str">
        <f>IF(Table1[[#This Row],[DATE]]=0,"",YEAR(E2461))</f>
        <v/>
      </c>
      <c r="W2461" s="40" t="str">
        <f t="shared" si="80"/>
        <v/>
      </c>
      <c r="X2461" s="40" t="str">
        <f t="shared" si="81"/>
        <v/>
      </c>
      <c r="Y2461" s="40" t="str">
        <f>TEXT(Table1[[#This Row],[YEAR]],"0000")&amp;"-"&amp;Table1[[#This Row],[MONTH]]</f>
        <v>-</v>
      </c>
    </row>
    <row r="2462" spans="1:25" ht="15" customHeight="1" x14ac:dyDescent="0.35">
      <c r="A2462" s="24"/>
      <c r="B2462" s="38"/>
      <c r="C2462" s="38"/>
      <c r="D2462" s="38"/>
      <c r="E2462" s="37"/>
      <c r="F2462" s="38"/>
      <c r="G2462" s="198"/>
      <c r="H2462" s="198"/>
      <c r="I2462" s="39"/>
      <c r="J2462" s="38"/>
      <c r="K2462" s="198"/>
      <c r="L2462" s="38"/>
      <c r="M2462" s="38"/>
      <c r="N2462" s="38"/>
      <c r="O2462" s="38"/>
      <c r="P2462" s="40" t="str" cm="1">
        <f t="array" ref="P2462">IF(N2462="","",IFERROR(_xlfn.XLOOKUP(F2462&amp;"|"&amp;J2462&amp;"|"&amp;O2462,PRICES!$C$2:$C$659&amp;"|"&amp;PRICES!$B$2:$B$659&amp;"|"&amp;PRICES!$D$2:$D$659,PRICES!$E$2:$E$659),"Not Found"))</f>
        <v/>
      </c>
      <c r="Q2462" s="100" t="str">
        <f>IF(N2462=0,"",SUMIFS(PRICES!$G$2:$G$658,PRICES!$B$2:$B$658,'MAIN TABLE-1 AUTOMATED'!J2462,PRICES!$C$2:$C$658,'MAIN TABLE-1 AUTOMATED'!F2462,PRICES!$D$2:$D$658,'MAIN TABLE-1 AUTOMATED'!O2462))</f>
        <v/>
      </c>
      <c r="R2462" s="41" t="str">
        <f>IF(Table1[[#This Row],[QUANTITY]]=0,"",Table1[[#This Row],[UNIT PRICE]]*Table1[[#This Row],[QUANTITY]])</f>
        <v/>
      </c>
      <c r="S2462" s="89"/>
      <c r="T2462" s="38"/>
      <c r="U2462" s="43"/>
      <c r="V2462" s="42" t="str">
        <f>IF(Table1[[#This Row],[DATE]]=0,"",YEAR(E2462))</f>
        <v/>
      </c>
      <c r="W2462" s="40" t="str">
        <f t="shared" si="80"/>
        <v/>
      </c>
      <c r="X2462" s="40" t="str">
        <f t="shared" si="81"/>
        <v/>
      </c>
      <c r="Y2462" s="40" t="str">
        <f>TEXT(Table1[[#This Row],[YEAR]],"0000")&amp;"-"&amp;Table1[[#This Row],[MONTH]]</f>
        <v>-</v>
      </c>
    </row>
    <row r="2463" spans="1:25" ht="15" customHeight="1" x14ac:dyDescent="0.35">
      <c r="A2463" s="24"/>
      <c r="B2463" s="38"/>
      <c r="C2463" s="38"/>
      <c r="D2463" s="38"/>
      <c r="E2463" s="37"/>
      <c r="F2463" s="38"/>
      <c r="G2463" s="198"/>
      <c r="H2463" s="198"/>
      <c r="I2463" s="39"/>
      <c r="J2463" s="38"/>
      <c r="K2463" s="198"/>
      <c r="L2463" s="38"/>
      <c r="M2463" s="38"/>
      <c r="N2463" s="38"/>
      <c r="O2463" s="38"/>
      <c r="P2463" s="40" t="str" cm="1">
        <f t="array" ref="P2463">IF(N2463="","",IFERROR(_xlfn.XLOOKUP(F2463&amp;"|"&amp;J2463&amp;"|"&amp;O2463,PRICES!$C$2:$C$659&amp;"|"&amp;PRICES!$B$2:$B$659&amp;"|"&amp;PRICES!$D$2:$D$659,PRICES!$E$2:$E$659),"Not Found"))</f>
        <v/>
      </c>
      <c r="Q2463" s="100" t="str">
        <f>IF(N2463=0,"",SUMIFS(PRICES!$G$2:$G$658,PRICES!$B$2:$B$658,'MAIN TABLE-1 AUTOMATED'!J2463,PRICES!$C$2:$C$658,'MAIN TABLE-1 AUTOMATED'!F2463,PRICES!$D$2:$D$658,'MAIN TABLE-1 AUTOMATED'!O2463))</f>
        <v/>
      </c>
      <c r="R2463" s="41" t="str">
        <f>IF(Table1[[#This Row],[QUANTITY]]=0,"",Table1[[#This Row],[UNIT PRICE]]*Table1[[#This Row],[QUANTITY]])</f>
        <v/>
      </c>
      <c r="S2463" s="89"/>
      <c r="T2463" s="38"/>
      <c r="U2463" s="43"/>
      <c r="V2463" s="42" t="str">
        <f>IF(Table1[[#This Row],[DATE]]=0,"",YEAR(E2463))</f>
        <v/>
      </c>
      <c r="W2463" s="40" t="str">
        <f t="shared" si="80"/>
        <v/>
      </c>
      <c r="X2463" s="40" t="str">
        <f t="shared" si="81"/>
        <v/>
      </c>
      <c r="Y2463" s="40" t="str">
        <f>TEXT(Table1[[#This Row],[YEAR]],"0000")&amp;"-"&amp;Table1[[#This Row],[MONTH]]</f>
        <v>-</v>
      </c>
    </row>
    <row r="2464" spans="1:25" ht="15" customHeight="1" x14ac:dyDescent="0.35">
      <c r="A2464" s="24"/>
      <c r="B2464" s="38"/>
      <c r="C2464" s="38"/>
      <c r="D2464" s="38"/>
      <c r="E2464" s="37"/>
      <c r="F2464" s="38"/>
      <c r="G2464" s="198"/>
      <c r="H2464" s="198"/>
      <c r="I2464" s="39"/>
      <c r="J2464" s="38"/>
      <c r="K2464" s="198"/>
      <c r="L2464" s="38"/>
      <c r="M2464" s="38"/>
      <c r="N2464" s="38"/>
      <c r="O2464" s="38"/>
      <c r="P2464" s="40" t="str" cm="1">
        <f t="array" ref="P2464">IF(N2464="","",IFERROR(_xlfn.XLOOKUP(F2464&amp;"|"&amp;J2464&amp;"|"&amp;O2464,PRICES!$C$2:$C$659&amp;"|"&amp;PRICES!$B$2:$B$659&amp;"|"&amp;PRICES!$D$2:$D$659,PRICES!$E$2:$E$659),"Not Found"))</f>
        <v/>
      </c>
      <c r="Q2464" s="100" t="str">
        <f>IF(N2464=0,"",SUMIFS(PRICES!$G$2:$G$658,PRICES!$B$2:$B$658,'MAIN TABLE-1 AUTOMATED'!J2464,PRICES!$C$2:$C$658,'MAIN TABLE-1 AUTOMATED'!F2464,PRICES!$D$2:$D$658,'MAIN TABLE-1 AUTOMATED'!O2464))</f>
        <v/>
      </c>
      <c r="R2464" s="41" t="str">
        <f>IF(Table1[[#This Row],[QUANTITY]]=0,"",Table1[[#This Row],[UNIT PRICE]]*Table1[[#This Row],[QUANTITY]])</f>
        <v/>
      </c>
      <c r="S2464" s="89"/>
      <c r="T2464" s="38"/>
      <c r="U2464" s="43"/>
      <c r="V2464" s="42" t="str">
        <f>IF(Table1[[#This Row],[DATE]]=0,"",YEAR(E2464))</f>
        <v/>
      </c>
      <c r="W2464" s="40" t="str">
        <f t="shared" si="80"/>
        <v/>
      </c>
      <c r="X2464" s="40" t="str">
        <f t="shared" si="81"/>
        <v/>
      </c>
      <c r="Y2464" s="40" t="str">
        <f>TEXT(Table1[[#This Row],[YEAR]],"0000")&amp;"-"&amp;Table1[[#This Row],[MONTH]]</f>
        <v>-</v>
      </c>
    </row>
    <row r="2465" spans="1:25" ht="15" customHeight="1" x14ac:dyDescent="0.35">
      <c r="A2465" s="24"/>
      <c r="B2465" s="38"/>
      <c r="C2465" s="38"/>
      <c r="D2465" s="38"/>
      <c r="E2465" s="37"/>
      <c r="F2465" s="38"/>
      <c r="G2465" s="198"/>
      <c r="H2465" s="198"/>
      <c r="I2465" s="39"/>
      <c r="J2465" s="38"/>
      <c r="K2465" s="198"/>
      <c r="L2465" s="38"/>
      <c r="M2465" s="38"/>
      <c r="N2465" s="38"/>
      <c r="O2465" s="38"/>
      <c r="P2465" s="40" t="str" cm="1">
        <f t="array" ref="P2465">IF(N2465="","",IFERROR(_xlfn.XLOOKUP(F2465&amp;"|"&amp;J2465&amp;"|"&amp;O2465,PRICES!$C$2:$C$659&amp;"|"&amp;PRICES!$B$2:$B$659&amp;"|"&amp;PRICES!$D$2:$D$659,PRICES!$E$2:$E$659),"Not Found"))</f>
        <v/>
      </c>
      <c r="Q2465" s="100" t="str">
        <f>IF(N2465=0,"",SUMIFS(PRICES!$G$2:$G$658,PRICES!$B$2:$B$658,'MAIN TABLE-1 AUTOMATED'!J2465,PRICES!$C$2:$C$658,'MAIN TABLE-1 AUTOMATED'!F2465,PRICES!$D$2:$D$658,'MAIN TABLE-1 AUTOMATED'!O2465))</f>
        <v/>
      </c>
      <c r="R2465" s="41" t="str">
        <f>IF(Table1[[#This Row],[QUANTITY]]=0,"",Table1[[#This Row],[UNIT PRICE]]*Table1[[#This Row],[QUANTITY]])</f>
        <v/>
      </c>
      <c r="S2465" s="89"/>
      <c r="T2465" s="38"/>
      <c r="U2465" s="43"/>
      <c r="V2465" s="42" t="str">
        <f>IF(Table1[[#This Row],[DATE]]=0,"",YEAR(E2465))</f>
        <v/>
      </c>
      <c r="W2465" s="40" t="str">
        <f t="shared" si="80"/>
        <v/>
      </c>
      <c r="X2465" s="40" t="str">
        <f t="shared" si="81"/>
        <v/>
      </c>
      <c r="Y2465" s="40" t="str">
        <f>TEXT(Table1[[#This Row],[YEAR]],"0000")&amp;"-"&amp;Table1[[#This Row],[MONTH]]</f>
        <v>-</v>
      </c>
    </row>
    <row r="2466" spans="1:25" ht="15" customHeight="1" x14ac:dyDescent="0.35">
      <c r="A2466" s="24"/>
      <c r="B2466" s="38"/>
      <c r="C2466" s="38"/>
      <c r="D2466" s="38"/>
      <c r="E2466" s="37"/>
      <c r="F2466" s="38"/>
      <c r="G2466" s="198"/>
      <c r="H2466" s="198"/>
      <c r="I2466" s="39"/>
      <c r="J2466" s="38"/>
      <c r="K2466" s="198"/>
      <c r="L2466" s="38"/>
      <c r="M2466" s="38"/>
      <c r="N2466" s="38"/>
      <c r="O2466" s="38"/>
      <c r="P2466" s="40" t="str" cm="1">
        <f t="array" ref="P2466">IF(N2466="","",IFERROR(_xlfn.XLOOKUP(F2466&amp;"|"&amp;J2466&amp;"|"&amp;O2466,PRICES!$C$2:$C$659&amp;"|"&amp;PRICES!$B$2:$B$659&amp;"|"&amp;PRICES!$D$2:$D$659,PRICES!$E$2:$E$659),"Not Found"))</f>
        <v/>
      </c>
      <c r="Q2466" s="100" t="str">
        <f>IF(N2466=0,"",SUMIFS(PRICES!$G$2:$G$658,PRICES!$B$2:$B$658,'MAIN TABLE-1 AUTOMATED'!J2466,PRICES!$C$2:$C$658,'MAIN TABLE-1 AUTOMATED'!F2466,PRICES!$D$2:$D$658,'MAIN TABLE-1 AUTOMATED'!O2466))</f>
        <v/>
      </c>
      <c r="R2466" s="41" t="str">
        <f>IF(Table1[[#This Row],[QUANTITY]]=0,"",Table1[[#This Row],[UNIT PRICE]]*Table1[[#This Row],[QUANTITY]])</f>
        <v/>
      </c>
      <c r="S2466" s="89"/>
      <c r="T2466" s="38"/>
      <c r="U2466" s="43"/>
      <c r="V2466" s="42" t="str">
        <f>IF(Table1[[#This Row],[DATE]]=0,"",YEAR(E2466))</f>
        <v/>
      </c>
      <c r="W2466" s="40" t="str">
        <f t="shared" si="80"/>
        <v/>
      </c>
      <c r="X2466" s="40" t="str">
        <f t="shared" si="81"/>
        <v/>
      </c>
      <c r="Y2466" s="40" t="str">
        <f>TEXT(Table1[[#This Row],[YEAR]],"0000")&amp;"-"&amp;Table1[[#This Row],[MONTH]]</f>
        <v>-</v>
      </c>
    </row>
    <row r="2467" spans="1:25" ht="15" customHeight="1" x14ac:dyDescent="0.35">
      <c r="A2467" s="24"/>
      <c r="B2467" s="38"/>
      <c r="C2467" s="38"/>
      <c r="D2467" s="38"/>
      <c r="E2467" s="37"/>
      <c r="F2467" s="38"/>
      <c r="G2467" s="198"/>
      <c r="H2467" s="198"/>
      <c r="I2467" s="39"/>
      <c r="J2467" s="38"/>
      <c r="K2467" s="198"/>
      <c r="L2467" s="38"/>
      <c r="M2467" s="38"/>
      <c r="N2467" s="38"/>
      <c r="O2467" s="38"/>
      <c r="P2467" s="40" t="str" cm="1">
        <f t="array" ref="P2467">IF(N2467="","",IFERROR(_xlfn.XLOOKUP(F2467&amp;"|"&amp;J2467&amp;"|"&amp;O2467,PRICES!$C$2:$C$659&amp;"|"&amp;PRICES!$B$2:$B$659&amp;"|"&amp;PRICES!$D$2:$D$659,PRICES!$E$2:$E$659),"Not Found"))</f>
        <v/>
      </c>
      <c r="Q2467" s="100" t="str">
        <f>IF(N2467=0,"",SUMIFS(PRICES!$G$2:$G$658,PRICES!$B$2:$B$658,'MAIN TABLE-1 AUTOMATED'!J2467,PRICES!$C$2:$C$658,'MAIN TABLE-1 AUTOMATED'!F2467,PRICES!$D$2:$D$658,'MAIN TABLE-1 AUTOMATED'!O2467))</f>
        <v/>
      </c>
      <c r="R2467" s="41" t="str">
        <f>IF(Table1[[#This Row],[QUANTITY]]=0,"",Table1[[#This Row],[UNIT PRICE]]*Table1[[#This Row],[QUANTITY]])</f>
        <v/>
      </c>
      <c r="S2467" s="89"/>
      <c r="T2467" s="38"/>
      <c r="U2467" s="43"/>
      <c r="V2467" s="42" t="str">
        <f>IF(Table1[[#This Row],[DATE]]=0,"",YEAR(E2467))</f>
        <v/>
      </c>
      <c r="W2467" s="40" t="str">
        <f t="shared" si="80"/>
        <v/>
      </c>
      <c r="X2467" s="40" t="str">
        <f t="shared" si="81"/>
        <v/>
      </c>
      <c r="Y2467" s="40" t="str">
        <f>TEXT(Table1[[#This Row],[YEAR]],"0000")&amp;"-"&amp;Table1[[#This Row],[MONTH]]</f>
        <v>-</v>
      </c>
    </row>
    <row r="2468" spans="1:25" ht="15" customHeight="1" x14ac:dyDescent="0.35">
      <c r="A2468" s="24"/>
      <c r="B2468" s="38"/>
      <c r="C2468" s="38"/>
      <c r="D2468" s="38"/>
      <c r="E2468" s="37"/>
      <c r="F2468" s="38"/>
      <c r="G2468" s="198"/>
      <c r="H2468" s="198"/>
      <c r="I2468" s="39"/>
      <c r="J2468" s="38"/>
      <c r="K2468" s="198"/>
      <c r="L2468" s="38"/>
      <c r="M2468" s="38"/>
      <c r="N2468" s="38"/>
      <c r="O2468" s="38"/>
      <c r="P2468" s="40" t="str" cm="1">
        <f t="array" ref="P2468">IF(N2468="","",IFERROR(_xlfn.XLOOKUP(F2468&amp;"|"&amp;J2468&amp;"|"&amp;O2468,PRICES!$C$2:$C$659&amp;"|"&amp;PRICES!$B$2:$B$659&amp;"|"&amp;PRICES!$D$2:$D$659,PRICES!$E$2:$E$659),"Not Found"))</f>
        <v/>
      </c>
      <c r="Q2468" s="100" t="str">
        <f>IF(N2468=0,"",SUMIFS(PRICES!$G$2:$G$658,PRICES!$B$2:$B$658,'MAIN TABLE-1 AUTOMATED'!J2468,PRICES!$C$2:$C$658,'MAIN TABLE-1 AUTOMATED'!F2468,PRICES!$D$2:$D$658,'MAIN TABLE-1 AUTOMATED'!O2468))</f>
        <v/>
      </c>
      <c r="R2468" s="41" t="str">
        <f>IF(Table1[[#This Row],[QUANTITY]]=0,"",Table1[[#This Row],[UNIT PRICE]]*Table1[[#This Row],[QUANTITY]])</f>
        <v/>
      </c>
      <c r="S2468" s="89"/>
      <c r="T2468" s="38"/>
      <c r="U2468" s="43"/>
      <c r="V2468" s="42" t="str">
        <f>IF(Table1[[#This Row],[DATE]]=0,"",YEAR(E2468))</f>
        <v/>
      </c>
      <c r="W2468" s="40" t="str">
        <f t="shared" si="80"/>
        <v/>
      </c>
      <c r="X2468" s="40" t="str">
        <f t="shared" si="81"/>
        <v/>
      </c>
      <c r="Y2468" s="40" t="str">
        <f>TEXT(Table1[[#This Row],[YEAR]],"0000")&amp;"-"&amp;Table1[[#This Row],[MONTH]]</f>
        <v>-</v>
      </c>
    </row>
    <row r="2469" spans="1:25" ht="15" customHeight="1" x14ac:dyDescent="0.35">
      <c r="A2469" s="24"/>
      <c r="B2469" s="38"/>
      <c r="C2469" s="38"/>
      <c r="D2469" s="38"/>
      <c r="E2469" s="37"/>
      <c r="F2469" s="38"/>
      <c r="G2469" s="198"/>
      <c r="H2469" s="198"/>
      <c r="I2469" s="39"/>
      <c r="J2469" s="38"/>
      <c r="K2469" s="198"/>
      <c r="L2469" s="38"/>
      <c r="M2469" s="38"/>
      <c r="N2469" s="38"/>
      <c r="O2469" s="38"/>
      <c r="P2469" s="40" t="str" cm="1">
        <f t="array" ref="P2469">IF(N2469="","",IFERROR(_xlfn.XLOOKUP(F2469&amp;"|"&amp;J2469&amp;"|"&amp;O2469,PRICES!$C$2:$C$659&amp;"|"&amp;PRICES!$B$2:$B$659&amp;"|"&amp;PRICES!$D$2:$D$659,PRICES!$E$2:$E$659),"Not Found"))</f>
        <v/>
      </c>
      <c r="Q2469" s="100" t="str">
        <f>IF(N2469=0,"",SUMIFS(PRICES!$G$2:$G$658,PRICES!$B$2:$B$658,'MAIN TABLE-1 AUTOMATED'!J2469,PRICES!$C$2:$C$658,'MAIN TABLE-1 AUTOMATED'!F2469,PRICES!$D$2:$D$658,'MAIN TABLE-1 AUTOMATED'!O2469))</f>
        <v/>
      </c>
      <c r="R2469" s="41" t="str">
        <f>IF(Table1[[#This Row],[QUANTITY]]=0,"",Table1[[#This Row],[UNIT PRICE]]*Table1[[#This Row],[QUANTITY]])</f>
        <v/>
      </c>
      <c r="S2469" s="89"/>
      <c r="T2469" s="38"/>
      <c r="U2469" s="43"/>
      <c r="V2469" s="42" t="str">
        <f>IF(Table1[[#This Row],[DATE]]=0,"",YEAR(E2469))</f>
        <v/>
      </c>
      <c r="W2469" s="40" t="str">
        <f t="shared" si="80"/>
        <v/>
      </c>
      <c r="X2469" s="40" t="str">
        <f t="shared" si="81"/>
        <v/>
      </c>
      <c r="Y2469" s="40" t="str">
        <f>TEXT(Table1[[#This Row],[YEAR]],"0000")&amp;"-"&amp;Table1[[#This Row],[MONTH]]</f>
        <v>-</v>
      </c>
    </row>
    <row r="2470" spans="1:25" ht="15" customHeight="1" x14ac:dyDescent="0.35">
      <c r="A2470" s="24"/>
      <c r="B2470" s="38"/>
      <c r="C2470" s="38"/>
      <c r="D2470" s="38"/>
      <c r="E2470" s="37"/>
      <c r="F2470" s="38"/>
      <c r="G2470" s="198"/>
      <c r="H2470" s="198"/>
      <c r="I2470" s="39"/>
      <c r="J2470" s="38"/>
      <c r="K2470" s="198"/>
      <c r="L2470" s="38"/>
      <c r="M2470" s="38"/>
      <c r="N2470" s="38"/>
      <c r="O2470" s="38"/>
      <c r="P2470" s="40" t="str" cm="1">
        <f t="array" ref="P2470">IF(N2470="","",IFERROR(_xlfn.XLOOKUP(F2470&amp;"|"&amp;J2470&amp;"|"&amp;O2470,PRICES!$C$2:$C$659&amp;"|"&amp;PRICES!$B$2:$B$659&amp;"|"&amp;PRICES!$D$2:$D$659,PRICES!$E$2:$E$659),"Not Found"))</f>
        <v/>
      </c>
      <c r="Q2470" s="100" t="str">
        <f>IF(N2470=0,"",SUMIFS(PRICES!$G$2:$G$658,PRICES!$B$2:$B$658,'MAIN TABLE-1 AUTOMATED'!J2470,PRICES!$C$2:$C$658,'MAIN TABLE-1 AUTOMATED'!F2470,PRICES!$D$2:$D$658,'MAIN TABLE-1 AUTOMATED'!O2470))</f>
        <v/>
      </c>
      <c r="R2470" s="41" t="str">
        <f>IF(Table1[[#This Row],[QUANTITY]]=0,"",Table1[[#This Row],[UNIT PRICE]]*Table1[[#This Row],[QUANTITY]])</f>
        <v/>
      </c>
      <c r="S2470" s="89"/>
      <c r="T2470" s="38"/>
      <c r="U2470" s="43"/>
      <c r="V2470" s="42" t="str">
        <f>IF(Table1[[#This Row],[DATE]]=0,"",YEAR(E2470))</f>
        <v/>
      </c>
      <c r="W2470" s="40" t="str">
        <f t="shared" si="80"/>
        <v/>
      </c>
      <c r="X2470" s="40" t="str">
        <f t="shared" si="81"/>
        <v/>
      </c>
      <c r="Y2470" s="40" t="str">
        <f>TEXT(Table1[[#This Row],[YEAR]],"0000")&amp;"-"&amp;Table1[[#This Row],[MONTH]]</f>
        <v>-</v>
      </c>
    </row>
    <row r="2471" spans="1:25" ht="15" customHeight="1" x14ac:dyDescent="0.35">
      <c r="A2471" s="24"/>
      <c r="B2471" s="38"/>
      <c r="C2471" s="38"/>
      <c r="D2471" s="38"/>
      <c r="E2471" s="37"/>
      <c r="F2471" s="38"/>
      <c r="G2471" s="198"/>
      <c r="H2471" s="198"/>
      <c r="I2471" s="39"/>
      <c r="J2471" s="38"/>
      <c r="K2471" s="198"/>
      <c r="L2471" s="38"/>
      <c r="M2471" s="38"/>
      <c r="N2471" s="38"/>
      <c r="O2471" s="38"/>
      <c r="P2471" s="40" t="str" cm="1">
        <f t="array" ref="P2471">IF(N2471="","",IFERROR(_xlfn.XLOOKUP(F2471&amp;"|"&amp;J2471&amp;"|"&amp;O2471,PRICES!$C$2:$C$659&amp;"|"&amp;PRICES!$B$2:$B$659&amp;"|"&amp;PRICES!$D$2:$D$659,PRICES!$E$2:$E$659),"Not Found"))</f>
        <v/>
      </c>
      <c r="Q2471" s="100" t="str">
        <f>IF(N2471=0,"",SUMIFS(PRICES!$G$2:$G$658,PRICES!$B$2:$B$658,'MAIN TABLE-1 AUTOMATED'!J2471,PRICES!$C$2:$C$658,'MAIN TABLE-1 AUTOMATED'!F2471,PRICES!$D$2:$D$658,'MAIN TABLE-1 AUTOMATED'!O2471))</f>
        <v/>
      </c>
      <c r="R2471" s="41" t="str">
        <f>IF(Table1[[#This Row],[QUANTITY]]=0,"",Table1[[#This Row],[UNIT PRICE]]*Table1[[#This Row],[QUANTITY]])</f>
        <v/>
      </c>
      <c r="S2471" s="89"/>
      <c r="T2471" s="38"/>
      <c r="U2471" s="43"/>
      <c r="V2471" s="42" t="str">
        <f>IF(Table1[[#This Row],[DATE]]=0,"",YEAR(E2471))</f>
        <v/>
      </c>
      <c r="W2471" s="40" t="str">
        <f t="shared" si="80"/>
        <v/>
      </c>
      <c r="X2471" s="40" t="str">
        <f t="shared" si="81"/>
        <v/>
      </c>
      <c r="Y2471" s="40" t="str">
        <f>TEXT(Table1[[#This Row],[YEAR]],"0000")&amp;"-"&amp;Table1[[#This Row],[MONTH]]</f>
        <v>-</v>
      </c>
    </row>
    <row r="2472" spans="1:25" ht="15" customHeight="1" x14ac:dyDescent="0.35">
      <c r="A2472" s="24"/>
      <c r="B2472" s="38"/>
      <c r="C2472" s="38"/>
      <c r="D2472" s="38"/>
      <c r="E2472" s="37"/>
      <c r="F2472" s="38"/>
      <c r="G2472" s="198"/>
      <c r="H2472" s="198"/>
      <c r="I2472" s="39"/>
      <c r="J2472" s="38"/>
      <c r="K2472" s="198"/>
      <c r="L2472" s="38"/>
      <c r="M2472" s="38"/>
      <c r="N2472" s="38"/>
      <c r="O2472" s="38"/>
      <c r="P2472" s="40" t="str" cm="1">
        <f t="array" ref="P2472">IF(N2472="","",IFERROR(_xlfn.XLOOKUP(F2472&amp;"|"&amp;J2472&amp;"|"&amp;O2472,PRICES!$C$2:$C$659&amp;"|"&amp;PRICES!$B$2:$B$659&amp;"|"&amp;PRICES!$D$2:$D$659,PRICES!$E$2:$E$659),"Not Found"))</f>
        <v/>
      </c>
      <c r="Q2472" s="100" t="str">
        <f>IF(N2472=0,"",SUMIFS(PRICES!$G$2:$G$658,PRICES!$B$2:$B$658,'MAIN TABLE-1 AUTOMATED'!J2472,PRICES!$C$2:$C$658,'MAIN TABLE-1 AUTOMATED'!F2472,PRICES!$D$2:$D$658,'MAIN TABLE-1 AUTOMATED'!O2472))</f>
        <v/>
      </c>
      <c r="R2472" s="41" t="str">
        <f>IF(Table1[[#This Row],[QUANTITY]]=0,"",Table1[[#This Row],[UNIT PRICE]]*Table1[[#This Row],[QUANTITY]])</f>
        <v/>
      </c>
      <c r="S2472" s="89"/>
      <c r="T2472" s="38"/>
      <c r="U2472" s="43"/>
      <c r="V2472" s="42" t="str">
        <f>IF(Table1[[#This Row],[DATE]]=0,"",YEAR(E2472))</f>
        <v/>
      </c>
      <c r="W2472" s="40" t="str">
        <f t="shared" si="80"/>
        <v/>
      </c>
      <c r="X2472" s="40" t="str">
        <f t="shared" si="81"/>
        <v/>
      </c>
      <c r="Y2472" s="40" t="str">
        <f>TEXT(Table1[[#This Row],[YEAR]],"0000")&amp;"-"&amp;Table1[[#This Row],[MONTH]]</f>
        <v>-</v>
      </c>
    </row>
    <row r="2473" spans="1:25" ht="15" customHeight="1" x14ac:dyDescent="0.35">
      <c r="A2473" s="24"/>
      <c r="B2473" s="38"/>
      <c r="C2473" s="38"/>
      <c r="D2473" s="38"/>
      <c r="E2473" s="37"/>
      <c r="F2473" s="38"/>
      <c r="G2473" s="198"/>
      <c r="H2473" s="198"/>
      <c r="I2473" s="39"/>
      <c r="J2473" s="38"/>
      <c r="K2473" s="198"/>
      <c r="L2473" s="38"/>
      <c r="M2473" s="38"/>
      <c r="N2473" s="38"/>
      <c r="O2473" s="38"/>
      <c r="P2473" s="40" t="str" cm="1">
        <f t="array" ref="P2473">IF(N2473="","",IFERROR(_xlfn.XLOOKUP(F2473&amp;"|"&amp;J2473&amp;"|"&amp;O2473,PRICES!$C$2:$C$659&amp;"|"&amp;PRICES!$B$2:$B$659&amp;"|"&amp;PRICES!$D$2:$D$659,PRICES!$E$2:$E$659),"Not Found"))</f>
        <v/>
      </c>
      <c r="Q2473" s="100" t="str">
        <f>IF(N2473=0,"",SUMIFS(PRICES!$G$2:$G$658,PRICES!$B$2:$B$658,'MAIN TABLE-1 AUTOMATED'!J2473,PRICES!$C$2:$C$658,'MAIN TABLE-1 AUTOMATED'!F2473,PRICES!$D$2:$D$658,'MAIN TABLE-1 AUTOMATED'!O2473))</f>
        <v/>
      </c>
      <c r="R2473" s="41" t="str">
        <f>IF(Table1[[#This Row],[QUANTITY]]=0,"",Table1[[#This Row],[UNIT PRICE]]*Table1[[#This Row],[QUANTITY]])</f>
        <v/>
      </c>
      <c r="S2473" s="89"/>
      <c r="T2473" s="38"/>
      <c r="U2473" s="43"/>
      <c r="V2473" s="42" t="str">
        <f>IF(Table1[[#This Row],[DATE]]=0,"",YEAR(E2473))</f>
        <v/>
      </c>
      <c r="W2473" s="40" t="str">
        <f t="shared" si="80"/>
        <v/>
      </c>
      <c r="X2473" s="40" t="str">
        <f t="shared" si="81"/>
        <v/>
      </c>
      <c r="Y2473" s="40" t="str">
        <f>TEXT(Table1[[#This Row],[YEAR]],"0000")&amp;"-"&amp;Table1[[#This Row],[MONTH]]</f>
        <v>-</v>
      </c>
    </row>
    <row r="2474" spans="1:25" ht="15" customHeight="1" x14ac:dyDescent="0.35">
      <c r="A2474" s="24"/>
      <c r="B2474" s="38"/>
      <c r="C2474" s="38"/>
      <c r="D2474" s="38"/>
      <c r="E2474" s="37"/>
      <c r="F2474" s="38"/>
      <c r="G2474" s="198"/>
      <c r="H2474" s="198"/>
      <c r="I2474" s="39"/>
      <c r="J2474" s="38"/>
      <c r="K2474" s="198"/>
      <c r="L2474" s="38"/>
      <c r="M2474" s="38"/>
      <c r="N2474" s="38"/>
      <c r="O2474" s="38"/>
      <c r="P2474" s="40" t="str" cm="1">
        <f t="array" ref="P2474">IF(N2474="","",IFERROR(_xlfn.XLOOKUP(F2474&amp;"|"&amp;J2474&amp;"|"&amp;O2474,PRICES!$C$2:$C$659&amp;"|"&amp;PRICES!$B$2:$B$659&amp;"|"&amp;PRICES!$D$2:$D$659,PRICES!$E$2:$E$659),"Not Found"))</f>
        <v/>
      </c>
      <c r="Q2474" s="100" t="str">
        <f>IF(N2474=0,"",SUMIFS(PRICES!$G$2:$G$658,PRICES!$B$2:$B$658,'MAIN TABLE-1 AUTOMATED'!J2474,PRICES!$C$2:$C$658,'MAIN TABLE-1 AUTOMATED'!F2474,PRICES!$D$2:$D$658,'MAIN TABLE-1 AUTOMATED'!O2474))</f>
        <v/>
      </c>
      <c r="R2474" s="41" t="str">
        <f>IF(Table1[[#This Row],[QUANTITY]]=0,"",Table1[[#This Row],[UNIT PRICE]]*Table1[[#This Row],[QUANTITY]])</f>
        <v/>
      </c>
      <c r="S2474" s="89"/>
      <c r="T2474" s="38"/>
      <c r="U2474" s="43"/>
      <c r="V2474" s="42" t="str">
        <f>IF(Table1[[#This Row],[DATE]]=0,"",YEAR(E2474))</f>
        <v/>
      </c>
      <c r="W2474" s="40" t="str">
        <f t="shared" si="80"/>
        <v/>
      </c>
      <c r="X2474" s="40" t="str">
        <f t="shared" si="81"/>
        <v/>
      </c>
      <c r="Y2474" s="40" t="str">
        <f>TEXT(Table1[[#This Row],[YEAR]],"0000")&amp;"-"&amp;Table1[[#This Row],[MONTH]]</f>
        <v>-</v>
      </c>
    </row>
    <row r="2475" spans="1:25" ht="15" customHeight="1" x14ac:dyDescent="0.35">
      <c r="A2475" s="24"/>
      <c r="B2475" s="38"/>
      <c r="C2475" s="38"/>
      <c r="D2475" s="38"/>
      <c r="E2475" s="37"/>
      <c r="F2475" s="38"/>
      <c r="G2475" s="198"/>
      <c r="H2475" s="198"/>
      <c r="I2475" s="39"/>
      <c r="J2475" s="38"/>
      <c r="K2475" s="198"/>
      <c r="L2475" s="38"/>
      <c r="M2475" s="38"/>
      <c r="N2475" s="38"/>
      <c r="O2475" s="38"/>
      <c r="P2475" s="40" t="str" cm="1">
        <f t="array" ref="P2475">IF(N2475="","",IFERROR(_xlfn.XLOOKUP(F2475&amp;"|"&amp;J2475&amp;"|"&amp;O2475,PRICES!$C$2:$C$659&amp;"|"&amp;PRICES!$B$2:$B$659&amp;"|"&amp;PRICES!$D$2:$D$659,PRICES!$E$2:$E$659),"Not Found"))</f>
        <v/>
      </c>
      <c r="Q2475" s="100" t="str">
        <f>IF(N2475=0,"",SUMIFS(PRICES!$G$2:$G$658,PRICES!$B$2:$B$658,'MAIN TABLE-1 AUTOMATED'!J2475,PRICES!$C$2:$C$658,'MAIN TABLE-1 AUTOMATED'!F2475,PRICES!$D$2:$D$658,'MAIN TABLE-1 AUTOMATED'!O2475))</f>
        <v/>
      </c>
      <c r="R2475" s="41" t="str">
        <f>IF(Table1[[#This Row],[QUANTITY]]=0,"",Table1[[#This Row],[UNIT PRICE]]*Table1[[#This Row],[QUANTITY]])</f>
        <v/>
      </c>
      <c r="S2475" s="89"/>
      <c r="T2475" s="38"/>
      <c r="U2475" s="43"/>
      <c r="V2475" s="42" t="str">
        <f>IF(Table1[[#This Row],[DATE]]=0,"",YEAR(E2475))</f>
        <v/>
      </c>
      <c r="W2475" s="40" t="str">
        <f t="shared" si="80"/>
        <v/>
      </c>
      <c r="X2475" s="40" t="str">
        <f t="shared" si="81"/>
        <v/>
      </c>
      <c r="Y2475" s="40" t="str">
        <f>TEXT(Table1[[#This Row],[YEAR]],"0000")&amp;"-"&amp;Table1[[#This Row],[MONTH]]</f>
        <v>-</v>
      </c>
    </row>
    <row r="2476" spans="1:25" ht="15" customHeight="1" x14ac:dyDescent="0.35">
      <c r="A2476" s="24"/>
      <c r="B2476" s="38"/>
      <c r="C2476" s="38"/>
      <c r="D2476" s="38"/>
      <c r="E2476" s="37"/>
      <c r="F2476" s="38"/>
      <c r="G2476" s="198"/>
      <c r="H2476" s="198"/>
      <c r="I2476" s="39"/>
      <c r="J2476" s="38"/>
      <c r="K2476" s="198"/>
      <c r="L2476" s="38"/>
      <c r="M2476" s="38"/>
      <c r="N2476" s="38"/>
      <c r="O2476" s="38"/>
      <c r="P2476" s="40" t="str" cm="1">
        <f t="array" ref="P2476">IF(N2476="","",IFERROR(_xlfn.XLOOKUP(F2476&amp;"|"&amp;J2476&amp;"|"&amp;O2476,PRICES!$C$2:$C$659&amp;"|"&amp;PRICES!$B$2:$B$659&amp;"|"&amp;PRICES!$D$2:$D$659,PRICES!$E$2:$E$659),"Not Found"))</f>
        <v/>
      </c>
      <c r="Q2476" s="100" t="str">
        <f>IF(N2476=0,"",SUMIFS(PRICES!$G$2:$G$658,PRICES!$B$2:$B$658,'MAIN TABLE-1 AUTOMATED'!J2476,PRICES!$C$2:$C$658,'MAIN TABLE-1 AUTOMATED'!F2476,PRICES!$D$2:$D$658,'MAIN TABLE-1 AUTOMATED'!O2476))</f>
        <v/>
      </c>
      <c r="R2476" s="41" t="str">
        <f>IF(Table1[[#This Row],[QUANTITY]]=0,"",Table1[[#This Row],[UNIT PRICE]]*Table1[[#This Row],[QUANTITY]])</f>
        <v/>
      </c>
      <c r="S2476" s="89"/>
      <c r="T2476" s="38"/>
      <c r="U2476" s="43"/>
      <c r="V2476" s="42" t="str">
        <f>IF(Table1[[#This Row],[DATE]]=0,"",YEAR(E2476))</f>
        <v/>
      </c>
      <c r="W2476" s="40" t="str">
        <f t="shared" si="80"/>
        <v/>
      </c>
      <c r="X2476" s="40" t="str">
        <f t="shared" si="81"/>
        <v/>
      </c>
      <c r="Y2476" s="40" t="str">
        <f>TEXT(Table1[[#This Row],[YEAR]],"0000")&amp;"-"&amp;Table1[[#This Row],[MONTH]]</f>
        <v>-</v>
      </c>
    </row>
    <row r="2477" spans="1:25" ht="15" customHeight="1" x14ac:dyDescent="0.35">
      <c r="A2477" s="24"/>
      <c r="B2477" s="38"/>
      <c r="C2477" s="38"/>
      <c r="D2477" s="38"/>
      <c r="E2477" s="37"/>
      <c r="F2477" s="38"/>
      <c r="G2477" s="198"/>
      <c r="H2477" s="198"/>
      <c r="I2477" s="39"/>
      <c r="J2477" s="38"/>
      <c r="K2477" s="198"/>
      <c r="L2477" s="38"/>
      <c r="M2477" s="38"/>
      <c r="N2477" s="38"/>
      <c r="O2477" s="38"/>
      <c r="P2477" s="40" t="str" cm="1">
        <f t="array" ref="P2477">IF(N2477="","",IFERROR(_xlfn.XLOOKUP(F2477&amp;"|"&amp;J2477&amp;"|"&amp;O2477,PRICES!$C$2:$C$659&amp;"|"&amp;PRICES!$B$2:$B$659&amp;"|"&amp;PRICES!$D$2:$D$659,PRICES!$E$2:$E$659),"Not Found"))</f>
        <v/>
      </c>
      <c r="Q2477" s="100" t="str">
        <f>IF(N2477=0,"",SUMIFS(PRICES!$G$2:$G$658,PRICES!$B$2:$B$658,'MAIN TABLE-1 AUTOMATED'!J2477,PRICES!$C$2:$C$658,'MAIN TABLE-1 AUTOMATED'!F2477,PRICES!$D$2:$D$658,'MAIN TABLE-1 AUTOMATED'!O2477))</f>
        <v/>
      </c>
      <c r="R2477" s="41" t="str">
        <f>IF(Table1[[#This Row],[QUANTITY]]=0,"",Table1[[#This Row],[UNIT PRICE]]*Table1[[#This Row],[QUANTITY]])</f>
        <v/>
      </c>
      <c r="S2477" s="89"/>
      <c r="T2477" s="38"/>
      <c r="U2477" s="43"/>
      <c r="V2477" s="42" t="str">
        <f>IF(Table1[[#This Row],[DATE]]=0,"",YEAR(E2477))</f>
        <v/>
      </c>
      <c r="W2477" s="40" t="str">
        <f t="shared" si="80"/>
        <v/>
      </c>
      <c r="X2477" s="40" t="str">
        <f t="shared" si="81"/>
        <v/>
      </c>
      <c r="Y2477" s="40" t="str">
        <f>TEXT(Table1[[#This Row],[YEAR]],"0000")&amp;"-"&amp;Table1[[#This Row],[MONTH]]</f>
        <v>-</v>
      </c>
    </row>
    <row r="2478" spans="1:25" ht="15" customHeight="1" x14ac:dyDescent="0.35">
      <c r="A2478" s="24"/>
      <c r="B2478" s="38"/>
      <c r="C2478" s="38"/>
      <c r="D2478" s="38"/>
      <c r="E2478" s="37"/>
      <c r="F2478" s="38"/>
      <c r="G2478" s="198"/>
      <c r="H2478" s="198"/>
      <c r="I2478" s="39"/>
      <c r="J2478" s="38"/>
      <c r="K2478" s="198"/>
      <c r="L2478" s="38"/>
      <c r="M2478" s="38"/>
      <c r="N2478" s="38"/>
      <c r="O2478" s="38"/>
      <c r="P2478" s="40" t="str" cm="1">
        <f t="array" ref="P2478">IF(N2478="","",IFERROR(_xlfn.XLOOKUP(F2478&amp;"|"&amp;J2478&amp;"|"&amp;O2478,PRICES!$C$2:$C$659&amp;"|"&amp;PRICES!$B$2:$B$659&amp;"|"&amp;PRICES!$D$2:$D$659,PRICES!$E$2:$E$659),"Not Found"))</f>
        <v/>
      </c>
      <c r="Q2478" s="100" t="str">
        <f>IF(N2478=0,"",SUMIFS(PRICES!$G$2:$G$658,PRICES!$B$2:$B$658,'MAIN TABLE-1 AUTOMATED'!J2478,PRICES!$C$2:$C$658,'MAIN TABLE-1 AUTOMATED'!F2478,PRICES!$D$2:$D$658,'MAIN TABLE-1 AUTOMATED'!O2478))</f>
        <v/>
      </c>
      <c r="R2478" s="41" t="str">
        <f>IF(Table1[[#This Row],[QUANTITY]]=0,"",Table1[[#This Row],[UNIT PRICE]]*Table1[[#This Row],[QUANTITY]])</f>
        <v/>
      </c>
      <c r="S2478" s="89"/>
      <c r="T2478" s="38"/>
      <c r="U2478" s="43"/>
      <c r="V2478" s="42" t="str">
        <f>IF(Table1[[#This Row],[DATE]]=0,"",YEAR(E2478))</f>
        <v/>
      </c>
      <c r="W2478" s="40" t="str">
        <f t="shared" si="80"/>
        <v/>
      </c>
      <c r="X2478" s="40" t="str">
        <f t="shared" si="81"/>
        <v/>
      </c>
      <c r="Y2478" s="40" t="str">
        <f>TEXT(Table1[[#This Row],[YEAR]],"0000")&amp;"-"&amp;Table1[[#This Row],[MONTH]]</f>
        <v>-</v>
      </c>
    </row>
    <row r="2479" spans="1:25" ht="15" customHeight="1" x14ac:dyDescent="0.35">
      <c r="A2479" s="24"/>
      <c r="B2479" s="38"/>
      <c r="C2479" s="38"/>
      <c r="D2479" s="38"/>
      <c r="E2479" s="37"/>
      <c r="F2479" s="38"/>
      <c r="G2479" s="198"/>
      <c r="H2479" s="198"/>
      <c r="I2479" s="39"/>
      <c r="J2479" s="38"/>
      <c r="K2479" s="198"/>
      <c r="L2479" s="38"/>
      <c r="M2479" s="38"/>
      <c r="N2479" s="38"/>
      <c r="O2479" s="38"/>
      <c r="P2479" s="40" t="str" cm="1">
        <f t="array" ref="P2479">IF(N2479="","",IFERROR(_xlfn.XLOOKUP(F2479&amp;"|"&amp;J2479&amp;"|"&amp;O2479,PRICES!$C$2:$C$659&amp;"|"&amp;PRICES!$B$2:$B$659&amp;"|"&amp;PRICES!$D$2:$D$659,PRICES!$E$2:$E$659),"Not Found"))</f>
        <v/>
      </c>
      <c r="Q2479" s="100" t="str">
        <f>IF(N2479=0,"",SUMIFS(PRICES!$G$2:$G$658,PRICES!$B$2:$B$658,'MAIN TABLE-1 AUTOMATED'!J2479,PRICES!$C$2:$C$658,'MAIN TABLE-1 AUTOMATED'!F2479,PRICES!$D$2:$D$658,'MAIN TABLE-1 AUTOMATED'!O2479))</f>
        <v/>
      </c>
      <c r="R2479" s="41" t="str">
        <f>IF(Table1[[#This Row],[QUANTITY]]=0,"",Table1[[#This Row],[UNIT PRICE]]*Table1[[#This Row],[QUANTITY]])</f>
        <v/>
      </c>
      <c r="S2479" s="89"/>
      <c r="T2479" s="38"/>
      <c r="U2479" s="43"/>
      <c r="V2479" s="42" t="str">
        <f>IF(Table1[[#This Row],[DATE]]=0,"",YEAR(E2479))</f>
        <v/>
      </c>
      <c r="W2479" s="40" t="str">
        <f t="shared" si="80"/>
        <v/>
      </c>
      <c r="X2479" s="40" t="str">
        <f t="shared" si="81"/>
        <v/>
      </c>
      <c r="Y2479" s="40" t="str">
        <f>TEXT(Table1[[#This Row],[YEAR]],"0000")&amp;"-"&amp;Table1[[#This Row],[MONTH]]</f>
        <v>-</v>
      </c>
    </row>
    <row r="2480" spans="1:25" ht="15" customHeight="1" x14ac:dyDescent="0.35">
      <c r="A2480" s="24"/>
      <c r="B2480" s="38"/>
      <c r="C2480" s="38"/>
      <c r="D2480" s="38"/>
      <c r="E2480" s="37"/>
      <c r="F2480" s="38"/>
      <c r="G2480" s="198"/>
      <c r="H2480" s="198"/>
      <c r="I2480" s="39"/>
      <c r="J2480" s="38"/>
      <c r="K2480" s="198"/>
      <c r="L2480" s="38"/>
      <c r="M2480" s="38"/>
      <c r="N2480" s="38"/>
      <c r="O2480" s="38"/>
      <c r="P2480" s="40" t="str" cm="1">
        <f t="array" ref="P2480">IF(N2480="","",IFERROR(_xlfn.XLOOKUP(F2480&amp;"|"&amp;J2480&amp;"|"&amp;O2480,PRICES!$C$2:$C$659&amp;"|"&amp;PRICES!$B$2:$B$659&amp;"|"&amp;PRICES!$D$2:$D$659,PRICES!$E$2:$E$659),"Not Found"))</f>
        <v/>
      </c>
      <c r="Q2480" s="100" t="str">
        <f>IF(N2480=0,"",SUMIFS(PRICES!$G$2:$G$658,PRICES!$B$2:$B$658,'MAIN TABLE-1 AUTOMATED'!J2480,PRICES!$C$2:$C$658,'MAIN TABLE-1 AUTOMATED'!F2480,PRICES!$D$2:$D$658,'MAIN TABLE-1 AUTOMATED'!O2480))</f>
        <v/>
      </c>
      <c r="R2480" s="41" t="str">
        <f>IF(Table1[[#This Row],[QUANTITY]]=0,"",Table1[[#This Row],[UNIT PRICE]]*Table1[[#This Row],[QUANTITY]])</f>
        <v/>
      </c>
      <c r="S2480" s="89"/>
      <c r="T2480" s="38"/>
      <c r="U2480" s="43"/>
      <c r="V2480" s="42" t="str">
        <f>IF(Table1[[#This Row],[DATE]]=0,"",YEAR(E2480))</f>
        <v/>
      </c>
      <c r="W2480" s="40" t="str">
        <f t="shared" si="80"/>
        <v/>
      </c>
      <c r="X2480" s="40" t="str">
        <f t="shared" si="81"/>
        <v/>
      </c>
      <c r="Y2480" s="40" t="str">
        <f>TEXT(Table1[[#This Row],[YEAR]],"0000")&amp;"-"&amp;Table1[[#This Row],[MONTH]]</f>
        <v>-</v>
      </c>
    </row>
    <row r="2481" spans="1:25" ht="15" customHeight="1" x14ac:dyDescent="0.35">
      <c r="A2481" s="24"/>
      <c r="B2481" s="38"/>
      <c r="C2481" s="38"/>
      <c r="D2481" s="38"/>
      <c r="E2481" s="37"/>
      <c r="F2481" s="38"/>
      <c r="G2481" s="198"/>
      <c r="H2481" s="198"/>
      <c r="I2481" s="39"/>
      <c r="J2481" s="38"/>
      <c r="K2481" s="198"/>
      <c r="L2481" s="38"/>
      <c r="M2481" s="38"/>
      <c r="N2481" s="38"/>
      <c r="O2481" s="38"/>
      <c r="P2481" s="40" t="str" cm="1">
        <f t="array" ref="P2481">IF(N2481="","",IFERROR(_xlfn.XLOOKUP(F2481&amp;"|"&amp;J2481&amp;"|"&amp;O2481,PRICES!$C$2:$C$659&amp;"|"&amp;PRICES!$B$2:$B$659&amp;"|"&amp;PRICES!$D$2:$D$659,PRICES!$E$2:$E$659),"Not Found"))</f>
        <v/>
      </c>
      <c r="Q2481" s="100" t="str">
        <f>IF(N2481=0,"",SUMIFS(PRICES!$G$2:$G$658,PRICES!$B$2:$B$658,'MAIN TABLE-1 AUTOMATED'!J2481,PRICES!$C$2:$C$658,'MAIN TABLE-1 AUTOMATED'!F2481,PRICES!$D$2:$D$658,'MAIN TABLE-1 AUTOMATED'!O2481))</f>
        <v/>
      </c>
      <c r="R2481" s="41" t="str">
        <f>IF(Table1[[#This Row],[QUANTITY]]=0,"",Table1[[#This Row],[UNIT PRICE]]*Table1[[#This Row],[QUANTITY]])</f>
        <v/>
      </c>
      <c r="S2481" s="89"/>
      <c r="T2481" s="38"/>
      <c r="U2481" s="43"/>
      <c r="V2481" s="42" t="str">
        <f>IF(Table1[[#This Row],[DATE]]=0,"",YEAR(E2481))</f>
        <v/>
      </c>
      <c r="W2481" s="40" t="str">
        <f t="shared" si="80"/>
        <v/>
      </c>
      <c r="X2481" s="40" t="str">
        <f t="shared" si="81"/>
        <v/>
      </c>
      <c r="Y2481" s="40" t="str">
        <f>TEXT(Table1[[#This Row],[YEAR]],"0000")&amp;"-"&amp;Table1[[#This Row],[MONTH]]</f>
        <v>-</v>
      </c>
    </row>
    <row r="2482" spans="1:25" ht="15" customHeight="1" x14ac:dyDescent="0.35">
      <c r="A2482" s="24"/>
      <c r="B2482" s="38"/>
      <c r="C2482" s="38"/>
      <c r="D2482" s="38"/>
      <c r="E2482" s="37"/>
      <c r="F2482" s="38"/>
      <c r="G2482" s="198"/>
      <c r="H2482" s="198"/>
      <c r="I2482" s="39"/>
      <c r="J2482" s="38"/>
      <c r="K2482" s="198"/>
      <c r="L2482" s="38"/>
      <c r="M2482" s="38"/>
      <c r="N2482" s="38"/>
      <c r="O2482" s="38"/>
      <c r="P2482" s="40" t="str" cm="1">
        <f t="array" ref="P2482">IF(N2482="","",IFERROR(_xlfn.XLOOKUP(F2482&amp;"|"&amp;J2482&amp;"|"&amp;O2482,PRICES!$C$2:$C$659&amp;"|"&amp;PRICES!$B$2:$B$659&amp;"|"&amp;PRICES!$D$2:$D$659,PRICES!$E$2:$E$659),"Not Found"))</f>
        <v/>
      </c>
      <c r="Q2482" s="100" t="str">
        <f>IF(N2482=0,"",SUMIFS(PRICES!$G$2:$G$658,PRICES!$B$2:$B$658,'MAIN TABLE-1 AUTOMATED'!J2482,PRICES!$C$2:$C$658,'MAIN TABLE-1 AUTOMATED'!F2482,PRICES!$D$2:$D$658,'MAIN TABLE-1 AUTOMATED'!O2482))</f>
        <v/>
      </c>
      <c r="R2482" s="41" t="str">
        <f>IF(Table1[[#This Row],[QUANTITY]]=0,"",Table1[[#This Row],[UNIT PRICE]]*Table1[[#This Row],[QUANTITY]])</f>
        <v/>
      </c>
      <c r="S2482" s="89"/>
      <c r="T2482" s="38"/>
      <c r="U2482" s="43"/>
      <c r="V2482" s="42" t="str">
        <f>IF(Table1[[#This Row],[DATE]]=0,"",YEAR(E2482))</f>
        <v/>
      </c>
      <c r="W2482" s="40" t="str">
        <f t="shared" si="80"/>
        <v/>
      </c>
      <c r="X2482" s="40" t="str">
        <f t="shared" si="81"/>
        <v/>
      </c>
      <c r="Y2482" s="40" t="str">
        <f>TEXT(Table1[[#This Row],[YEAR]],"0000")&amp;"-"&amp;Table1[[#This Row],[MONTH]]</f>
        <v>-</v>
      </c>
    </row>
    <row r="2483" spans="1:25" ht="15" customHeight="1" x14ac:dyDescent="0.35">
      <c r="A2483" s="24"/>
      <c r="B2483" s="38"/>
      <c r="C2483" s="38"/>
      <c r="D2483" s="38"/>
      <c r="E2483" s="37"/>
      <c r="F2483" s="38"/>
      <c r="G2483" s="198"/>
      <c r="H2483" s="198"/>
      <c r="I2483" s="39"/>
      <c r="J2483" s="38"/>
      <c r="K2483" s="198"/>
      <c r="L2483" s="38"/>
      <c r="M2483" s="38"/>
      <c r="N2483" s="38"/>
      <c r="O2483" s="38"/>
      <c r="P2483" s="40" t="str" cm="1">
        <f t="array" ref="P2483">IF(N2483="","",IFERROR(_xlfn.XLOOKUP(F2483&amp;"|"&amp;J2483&amp;"|"&amp;O2483,PRICES!$C$2:$C$659&amp;"|"&amp;PRICES!$B$2:$B$659&amp;"|"&amp;PRICES!$D$2:$D$659,PRICES!$E$2:$E$659),"Not Found"))</f>
        <v/>
      </c>
      <c r="Q2483" s="100" t="str">
        <f>IF(N2483=0,"",SUMIFS(PRICES!$G$2:$G$658,PRICES!$B$2:$B$658,'MAIN TABLE-1 AUTOMATED'!J2483,PRICES!$C$2:$C$658,'MAIN TABLE-1 AUTOMATED'!F2483,PRICES!$D$2:$D$658,'MAIN TABLE-1 AUTOMATED'!O2483))</f>
        <v/>
      </c>
      <c r="R2483" s="41" t="str">
        <f>IF(Table1[[#This Row],[QUANTITY]]=0,"",Table1[[#This Row],[UNIT PRICE]]*Table1[[#This Row],[QUANTITY]])</f>
        <v/>
      </c>
      <c r="S2483" s="89"/>
      <c r="T2483" s="38"/>
      <c r="U2483" s="43"/>
      <c r="V2483" s="42" t="str">
        <f>IF(Table1[[#This Row],[DATE]]=0,"",YEAR(E2483))</f>
        <v/>
      </c>
      <c r="W2483" s="40" t="str">
        <f t="shared" si="80"/>
        <v/>
      </c>
      <c r="X2483" s="40" t="str">
        <f t="shared" si="81"/>
        <v/>
      </c>
      <c r="Y2483" s="40" t="str">
        <f>TEXT(Table1[[#This Row],[YEAR]],"0000")&amp;"-"&amp;Table1[[#This Row],[MONTH]]</f>
        <v>-</v>
      </c>
    </row>
    <row r="2484" spans="1:25" ht="15" customHeight="1" x14ac:dyDescent="0.35">
      <c r="A2484" s="24"/>
      <c r="B2484" s="38"/>
      <c r="C2484" s="38"/>
      <c r="D2484" s="38"/>
      <c r="E2484" s="37"/>
      <c r="F2484" s="38"/>
      <c r="G2484" s="198"/>
      <c r="H2484" s="198"/>
      <c r="I2484" s="39"/>
      <c r="J2484" s="38"/>
      <c r="K2484" s="198"/>
      <c r="L2484" s="38"/>
      <c r="M2484" s="38"/>
      <c r="N2484" s="38"/>
      <c r="O2484" s="38"/>
      <c r="P2484" s="40" t="str" cm="1">
        <f t="array" ref="P2484">IF(N2484="","",IFERROR(_xlfn.XLOOKUP(F2484&amp;"|"&amp;J2484&amp;"|"&amp;O2484,PRICES!$C$2:$C$659&amp;"|"&amp;PRICES!$B$2:$B$659&amp;"|"&amp;PRICES!$D$2:$D$659,PRICES!$E$2:$E$659),"Not Found"))</f>
        <v/>
      </c>
      <c r="Q2484" s="100" t="str">
        <f>IF(N2484=0,"",SUMIFS(PRICES!$G$2:$G$658,PRICES!$B$2:$B$658,'MAIN TABLE-1 AUTOMATED'!J2484,PRICES!$C$2:$C$658,'MAIN TABLE-1 AUTOMATED'!F2484,PRICES!$D$2:$D$658,'MAIN TABLE-1 AUTOMATED'!O2484))</f>
        <v/>
      </c>
      <c r="R2484" s="41" t="str">
        <f>IF(Table1[[#This Row],[QUANTITY]]=0,"",Table1[[#This Row],[UNIT PRICE]]*Table1[[#This Row],[QUANTITY]])</f>
        <v/>
      </c>
      <c r="S2484" s="89"/>
      <c r="T2484" s="38"/>
      <c r="U2484" s="43"/>
      <c r="V2484" s="42" t="str">
        <f>IF(Table1[[#This Row],[DATE]]=0,"",YEAR(E2484))</f>
        <v/>
      </c>
      <c r="W2484" s="40" t="str">
        <f t="shared" si="80"/>
        <v/>
      </c>
      <c r="X2484" s="40" t="str">
        <f t="shared" si="81"/>
        <v/>
      </c>
      <c r="Y2484" s="40" t="str">
        <f>TEXT(Table1[[#This Row],[YEAR]],"0000")&amp;"-"&amp;Table1[[#This Row],[MONTH]]</f>
        <v>-</v>
      </c>
    </row>
    <row r="2485" spans="1:25" ht="15" customHeight="1" x14ac:dyDescent="0.35">
      <c r="A2485" s="24"/>
      <c r="B2485" s="38"/>
      <c r="C2485" s="38"/>
      <c r="D2485" s="38"/>
      <c r="E2485" s="37"/>
      <c r="F2485" s="38"/>
      <c r="G2485" s="198"/>
      <c r="H2485" s="198"/>
      <c r="I2485" s="39"/>
      <c r="J2485" s="38"/>
      <c r="K2485" s="198"/>
      <c r="L2485" s="38"/>
      <c r="M2485" s="38"/>
      <c r="N2485" s="38"/>
      <c r="O2485" s="38"/>
      <c r="P2485" s="40" t="str" cm="1">
        <f t="array" ref="P2485">IF(N2485="","",IFERROR(_xlfn.XLOOKUP(F2485&amp;"|"&amp;J2485&amp;"|"&amp;O2485,PRICES!$C$2:$C$659&amp;"|"&amp;PRICES!$B$2:$B$659&amp;"|"&amp;PRICES!$D$2:$D$659,PRICES!$E$2:$E$659),"Not Found"))</f>
        <v/>
      </c>
      <c r="Q2485" s="100" t="str">
        <f>IF(N2485=0,"",SUMIFS(PRICES!$G$2:$G$658,PRICES!$B$2:$B$658,'MAIN TABLE-1 AUTOMATED'!J2485,PRICES!$C$2:$C$658,'MAIN TABLE-1 AUTOMATED'!F2485,PRICES!$D$2:$D$658,'MAIN TABLE-1 AUTOMATED'!O2485))</f>
        <v/>
      </c>
      <c r="R2485" s="41" t="str">
        <f>IF(Table1[[#This Row],[QUANTITY]]=0,"",Table1[[#This Row],[UNIT PRICE]]*Table1[[#This Row],[QUANTITY]])</f>
        <v/>
      </c>
      <c r="S2485" s="89"/>
      <c r="T2485" s="38"/>
      <c r="U2485" s="43"/>
      <c r="V2485" s="42" t="str">
        <f>IF(Table1[[#This Row],[DATE]]=0,"",YEAR(E2485))</f>
        <v/>
      </c>
      <c r="W2485" s="40" t="str">
        <f t="shared" si="80"/>
        <v/>
      </c>
      <c r="X2485" s="40" t="str">
        <f t="shared" si="81"/>
        <v/>
      </c>
      <c r="Y2485" s="40" t="str">
        <f>TEXT(Table1[[#This Row],[YEAR]],"0000")&amp;"-"&amp;Table1[[#This Row],[MONTH]]</f>
        <v>-</v>
      </c>
    </row>
    <row r="2486" spans="1:25" ht="15" customHeight="1" x14ac:dyDescent="0.35">
      <c r="A2486" s="24"/>
      <c r="B2486" s="38"/>
      <c r="C2486" s="38"/>
      <c r="D2486" s="38"/>
      <c r="E2486" s="37"/>
      <c r="F2486" s="38"/>
      <c r="G2486" s="198"/>
      <c r="H2486" s="198"/>
      <c r="I2486" s="39"/>
      <c r="J2486" s="38"/>
      <c r="K2486" s="198"/>
      <c r="L2486" s="38"/>
      <c r="M2486" s="38"/>
      <c r="N2486" s="38"/>
      <c r="O2486" s="38"/>
      <c r="P2486" s="40" t="str" cm="1">
        <f t="array" ref="P2486">IF(N2486="","",IFERROR(_xlfn.XLOOKUP(F2486&amp;"|"&amp;J2486&amp;"|"&amp;O2486,PRICES!$C$2:$C$659&amp;"|"&amp;PRICES!$B$2:$B$659&amp;"|"&amp;PRICES!$D$2:$D$659,PRICES!$E$2:$E$659),"Not Found"))</f>
        <v/>
      </c>
      <c r="Q2486" s="100" t="str">
        <f>IF(N2486=0,"",SUMIFS(PRICES!$G$2:$G$658,PRICES!$B$2:$B$658,'MAIN TABLE-1 AUTOMATED'!J2486,PRICES!$C$2:$C$658,'MAIN TABLE-1 AUTOMATED'!F2486,PRICES!$D$2:$D$658,'MAIN TABLE-1 AUTOMATED'!O2486))</f>
        <v/>
      </c>
      <c r="R2486" s="41" t="str">
        <f>IF(Table1[[#This Row],[QUANTITY]]=0,"",Table1[[#This Row],[UNIT PRICE]]*Table1[[#This Row],[QUANTITY]])</f>
        <v/>
      </c>
      <c r="S2486" s="89"/>
      <c r="T2486" s="38"/>
      <c r="U2486" s="43"/>
      <c r="V2486" s="42" t="str">
        <f>IF(Table1[[#This Row],[DATE]]=0,"",YEAR(E2486))</f>
        <v/>
      </c>
      <c r="W2486" s="40" t="str">
        <f t="shared" si="80"/>
        <v/>
      </c>
      <c r="X2486" s="40" t="str">
        <f t="shared" si="81"/>
        <v/>
      </c>
      <c r="Y2486" s="40" t="str">
        <f>TEXT(Table1[[#This Row],[YEAR]],"0000")&amp;"-"&amp;Table1[[#This Row],[MONTH]]</f>
        <v>-</v>
      </c>
    </row>
    <row r="2487" spans="1:25" ht="15" customHeight="1" x14ac:dyDescent="0.35">
      <c r="A2487" s="24"/>
      <c r="B2487" s="38"/>
      <c r="C2487" s="38"/>
      <c r="D2487" s="38"/>
      <c r="E2487" s="37"/>
      <c r="F2487" s="38"/>
      <c r="G2487" s="198"/>
      <c r="H2487" s="198"/>
      <c r="I2487" s="39"/>
      <c r="J2487" s="38"/>
      <c r="K2487" s="198"/>
      <c r="L2487" s="38"/>
      <c r="M2487" s="38"/>
      <c r="N2487" s="38"/>
      <c r="O2487" s="38"/>
      <c r="P2487" s="40" t="str" cm="1">
        <f t="array" ref="P2487">IF(N2487="","",IFERROR(_xlfn.XLOOKUP(F2487&amp;"|"&amp;J2487&amp;"|"&amp;O2487,PRICES!$C$2:$C$659&amp;"|"&amp;PRICES!$B$2:$B$659&amp;"|"&amp;PRICES!$D$2:$D$659,PRICES!$E$2:$E$659),"Not Found"))</f>
        <v/>
      </c>
      <c r="Q2487" s="100" t="str">
        <f>IF(N2487=0,"",SUMIFS(PRICES!$G$2:$G$658,PRICES!$B$2:$B$658,'MAIN TABLE-1 AUTOMATED'!J2487,PRICES!$C$2:$C$658,'MAIN TABLE-1 AUTOMATED'!F2487,PRICES!$D$2:$D$658,'MAIN TABLE-1 AUTOMATED'!O2487))</f>
        <v/>
      </c>
      <c r="R2487" s="41" t="str">
        <f>IF(Table1[[#This Row],[QUANTITY]]=0,"",Table1[[#This Row],[UNIT PRICE]]*Table1[[#This Row],[QUANTITY]])</f>
        <v/>
      </c>
      <c r="S2487" s="89"/>
      <c r="T2487" s="38"/>
      <c r="U2487" s="43"/>
      <c r="V2487" s="42" t="str">
        <f>IF(Table1[[#This Row],[DATE]]=0,"",YEAR(E2487))</f>
        <v/>
      </c>
      <c r="W2487" s="40" t="str">
        <f t="shared" si="80"/>
        <v/>
      </c>
      <c r="X2487" s="40" t="str">
        <f t="shared" si="81"/>
        <v/>
      </c>
      <c r="Y2487" s="40" t="str">
        <f>TEXT(Table1[[#This Row],[YEAR]],"0000")&amp;"-"&amp;Table1[[#This Row],[MONTH]]</f>
        <v>-</v>
      </c>
    </row>
    <row r="2488" spans="1:25" ht="15" customHeight="1" x14ac:dyDescent="0.35">
      <c r="A2488" s="24"/>
      <c r="B2488" s="38"/>
      <c r="C2488" s="38"/>
      <c r="D2488" s="38"/>
      <c r="E2488" s="37"/>
      <c r="F2488" s="38"/>
      <c r="G2488" s="198"/>
      <c r="H2488" s="198"/>
      <c r="I2488" s="39"/>
      <c r="J2488" s="38"/>
      <c r="K2488" s="198"/>
      <c r="L2488" s="38"/>
      <c r="M2488" s="38"/>
      <c r="N2488" s="38"/>
      <c r="O2488" s="38"/>
      <c r="P2488" s="40" t="str" cm="1">
        <f t="array" ref="P2488">IF(N2488="","",IFERROR(_xlfn.XLOOKUP(F2488&amp;"|"&amp;J2488&amp;"|"&amp;O2488,PRICES!$C$2:$C$659&amp;"|"&amp;PRICES!$B$2:$B$659&amp;"|"&amp;PRICES!$D$2:$D$659,PRICES!$E$2:$E$659),"Not Found"))</f>
        <v/>
      </c>
      <c r="Q2488" s="100" t="str">
        <f>IF(N2488=0,"",SUMIFS(PRICES!$G$2:$G$658,PRICES!$B$2:$B$658,'MAIN TABLE-1 AUTOMATED'!J2488,PRICES!$C$2:$C$658,'MAIN TABLE-1 AUTOMATED'!F2488,PRICES!$D$2:$D$658,'MAIN TABLE-1 AUTOMATED'!O2488))</f>
        <v/>
      </c>
      <c r="R2488" s="41" t="str">
        <f>IF(Table1[[#This Row],[QUANTITY]]=0,"",Table1[[#This Row],[UNIT PRICE]]*Table1[[#This Row],[QUANTITY]])</f>
        <v/>
      </c>
      <c r="S2488" s="89"/>
      <c r="T2488" s="38"/>
      <c r="U2488" s="43"/>
      <c r="V2488" s="42" t="str">
        <f>IF(Table1[[#This Row],[DATE]]=0,"",YEAR(E2488))</f>
        <v/>
      </c>
      <c r="W2488" s="40" t="str">
        <f t="shared" si="80"/>
        <v/>
      </c>
      <c r="X2488" s="40" t="str">
        <f t="shared" si="81"/>
        <v/>
      </c>
      <c r="Y2488" s="40" t="str">
        <f>TEXT(Table1[[#This Row],[YEAR]],"0000")&amp;"-"&amp;Table1[[#This Row],[MONTH]]</f>
        <v>-</v>
      </c>
    </row>
    <row r="2489" spans="1:25" ht="15" customHeight="1" x14ac:dyDescent="0.35">
      <c r="A2489" s="24"/>
      <c r="B2489" s="38"/>
      <c r="C2489" s="38"/>
      <c r="D2489" s="38"/>
      <c r="E2489" s="37"/>
      <c r="F2489" s="38"/>
      <c r="G2489" s="198"/>
      <c r="H2489" s="198"/>
      <c r="I2489" s="39"/>
      <c r="J2489" s="38"/>
      <c r="K2489" s="198"/>
      <c r="L2489" s="38"/>
      <c r="M2489" s="38"/>
      <c r="N2489" s="38"/>
      <c r="O2489" s="38"/>
      <c r="P2489" s="40" t="str" cm="1">
        <f t="array" ref="P2489">IF(N2489="","",IFERROR(_xlfn.XLOOKUP(F2489&amp;"|"&amp;J2489&amp;"|"&amp;O2489,PRICES!$C$2:$C$659&amp;"|"&amp;PRICES!$B$2:$B$659&amp;"|"&amp;PRICES!$D$2:$D$659,PRICES!$E$2:$E$659),"Not Found"))</f>
        <v/>
      </c>
      <c r="Q2489" s="100" t="str">
        <f>IF(N2489=0,"",SUMIFS(PRICES!$G$2:$G$658,PRICES!$B$2:$B$658,'MAIN TABLE-1 AUTOMATED'!J2489,PRICES!$C$2:$C$658,'MAIN TABLE-1 AUTOMATED'!F2489,PRICES!$D$2:$D$658,'MAIN TABLE-1 AUTOMATED'!O2489))</f>
        <v/>
      </c>
      <c r="R2489" s="41" t="str">
        <f>IF(Table1[[#This Row],[QUANTITY]]=0,"",Table1[[#This Row],[UNIT PRICE]]*Table1[[#This Row],[QUANTITY]])</f>
        <v/>
      </c>
      <c r="S2489" s="89"/>
      <c r="T2489" s="38"/>
      <c r="U2489" s="43"/>
      <c r="V2489" s="42" t="str">
        <f>IF(Table1[[#This Row],[DATE]]=0,"",YEAR(E2489))</f>
        <v/>
      </c>
      <c r="W2489" s="40" t="str">
        <f t="shared" si="80"/>
        <v/>
      </c>
      <c r="X2489" s="40" t="str">
        <f t="shared" si="81"/>
        <v/>
      </c>
      <c r="Y2489" s="40" t="str">
        <f>TEXT(Table1[[#This Row],[YEAR]],"0000")&amp;"-"&amp;Table1[[#This Row],[MONTH]]</f>
        <v>-</v>
      </c>
    </row>
    <row r="2490" spans="1:25" ht="15" customHeight="1" x14ac:dyDescent="0.35">
      <c r="A2490" s="24"/>
      <c r="B2490" s="38"/>
      <c r="C2490" s="38"/>
      <c r="D2490" s="38"/>
      <c r="E2490" s="37"/>
      <c r="F2490" s="38"/>
      <c r="G2490" s="198"/>
      <c r="H2490" s="198"/>
      <c r="I2490" s="39"/>
      <c r="J2490" s="38"/>
      <c r="K2490" s="198"/>
      <c r="L2490" s="38"/>
      <c r="M2490" s="38"/>
      <c r="N2490" s="38"/>
      <c r="O2490" s="38"/>
      <c r="P2490" s="40" t="str" cm="1">
        <f t="array" ref="P2490">IF(N2490="","",IFERROR(_xlfn.XLOOKUP(F2490&amp;"|"&amp;J2490&amp;"|"&amp;O2490,PRICES!$C$2:$C$659&amp;"|"&amp;PRICES!$B$2:$B$659&amp;"|"&amp;PRICES!$D$2:$D$659,PRICES!$E$2:$E$659),"Not Found"))</f>
        <v/>
      </c>
      <c r="Q2490" s="100" t="str">
        <f>IF(N2490=0,"",SUMIFS(PRICES!$G$2:$G$658,PRICES!$B$2:$B$658,'MAIN TABLE-1 AUTOMATED'!J2490,PRICES!$C$2:$C$658,'MAIN TABLE-1 AUTOMATED'!F2490,PRICES!$D$2:$D$658,'MAIN TABLE-1 AUTOMATED'!O2490))</f>
        <v/>
      </c>
      <c r="R2490" s="41" t="str">
        <f>IF(Table1[[#This Row],[QUANTITY]]=0,"",Table1[[#This Row],[UNIT PRICE]]*Table1[[#This Row],[QUANTITY]])</f>
        <v/>
      </c>
      <c r="S2490" s="89"/>
      <c r="T2490" s="38"/>
      <c r="U2490" s="43"/>
      <c r="V2490" s="42" t="str">
        <f>IF(Table1[[#This Row],[DATE]]=0,"",YEAR(E2490))</f>
        <v/>
      </c>
      <c r="W2490" s="40" t="str">
        <f t="shared" si="80"/>
        <v/>
      </c>
      <c r="X2490" s="40" t="str">
        <f t="shared" si="81"/>
        <v/>
      </c>
      <c r="Y2490" s="40" t="str">
        <f>TEXT(Table1[[#This Row],[YEAR]],"0000")&amp;"-"&amp;Table1[[#This Row],[MONTH]]</f>
        <v>-</v>
      </c>
    </row>
    <row r="2491" spans="1:25" ht="15" customHeight="1" x14ac:dyDescent="0.35">
      <c r="A2491" s="24"/>
      <c r="B2491" s="38"/>
      <c r="C2491" s="38"/>
      <c r="D2491" s="38"/>
      <c r="E2491" s="37"/>
      <c r="F2491" s="38"/>
      <c r="G2491" s="198"/>
      <c r="H2491" s="198"/>
      <c r="I2491" s="39"/>
      <c r="J2491" s="38"/>
      <c r="K2491" s="198"/>
      <c r="L2491" s="38"/>
      <c r="M2491" s="38"/>
      <c r="N2491" s="38"/>
      <c r="O2491" s="38"/>
      <c r="P2491" s="40" t="str" cm="1">
        <f t="array" ref="P2491">IF(N2491="","",IFERROR(_xlfn.XLOOKUP(F2491&amp;"|"&amp;J2491&amp;"|"&amp;O2491,PRICES!$C$2:$C$659&amp;"|"&amp;PRICES!$B$2:$B$659&amp;"|"&amp;PRICES!$D$2:$D$659,PRICES!$E$2:$E$659),"Not Found"))</f>
        <v/>
      </c>
      <c r="Q2491" s="100" t="str">
        <f>IF(N2491=0,"",SUMIFS(PRICES!$G$2:$G$658,PRICES!$B$2:$B$658,'MAIN TABLE-1 AUTOMATED'!J2491,PRICES!$C$2:$C$658,'MAIN TABLE-1 AUTOMATED'!F2491,PRICES!$D$2:$D$658,'MAIN TABLE-1 AUTOMATED'!O2491))</f>
        <v/>
      </c>
      <c r="R2491" s="41" t="str">
        <f>IF(Table1[[#This Row],[QUANTITY]]=0,"",Table1[[#This Row],[UNIT PRICE]]*Table1[[#This Row],[QUANTITY]])</f>
        <v/>
      </c>
      <c r="S2491" s="89"/>
      <c r="T2491" s="38"/>
      <c r="U2491" s="43"/>
      <c r="V2491" s="42" t="str">
        <f>IF(Table1[[#This Row],[DATE]]=0,"",YEAR(E2491))</f>
        <v/>
      </c>
      <c r="W2491" s="40" t="str">
        <f t="shared" si="80"/>
        <v/>
      </c>
      <c r="X2491" s="40" t="str">
        <f t="shared" si="81"/>
        <v/>
      </c>
      <c r="Y2491" s="40" t="str">
        <f>TEXT(Table1[[#This Row],[YEAR]],"0000")&amp;"-"&amp;Table1[[#This Row],[MONTH]]</f>
        <v>-</v>
      </c>
    </row>
    <row r="2492" spans="1:25" ht="15" customHeight="1" x14ac:dyDescent="0.35">
      <c r="A2492" s="24"/>
      <c r="B2492" s="38"/>
      <c r="C2492" s="38"/>
      <c r="D2492" s="38"/>
      <c r="E2492" s="37"/>
      <c r="F2492" s="38"/>
      <c r="G2492" s="198"/>
      <c r="H2492" s="198"/>
      <c r="I2492" s="39"/>
      <c r="J2492" s="38"/>
      <c r="K2492" s="198"/>
      <c r="L2492" s="38"/>
      <c r="M2492" s="38"/>
      <c r="N2492" s="38"/>
      <c r="O2492" s="38"/>
      <c r="P2492" s="40" t="str" cm="1">
        <f t="array" ref="P2492">IF(N2492="","",IFERROR(_xlfn.XLOOKUP(F2492&amp;"|"&amp;J2492&amp;"|"&amp;O2492,PRICES!$C$2:$C$659&amp;"|"&amp;PRICES!$B$2:$B$659&amp;"|"&amp;PRICES!$D$2:$D$659,PRICES!$E$2:$E$659),"Not Found"))</f>
        <v/>
      </c>
      <c r="Q2492" s="100" t="str">
        <f>IF(N2492=0,"",SUMIFS(PRICES!$G$2:$G$658,PRICES!$B$2:$B$658,'MAIN TABLE-1 AUTOMATED'!J2492,PRICES!$C$2:$C$658,'MAIN TABLE-1 AUTOMATED'!F2492,PRICES!$D$2:$D$658,'MAIN TABLE-1 AUTOMATED'!O2492))</f>
        <v/>
      </c>
      <c r="R2492" s="41" t="str">
        <f>IF(Table1[[#This Row],[QUANTITY]]=0,"",Table1[[#This Row],[UNIT PRICE]]*Table1[[#This Row],[QUANTITY]])</f>
        <v/>
      </c>
      <c r="S2492" s="89"/>
      <c r="T2492" s="38"/>
      <c r="U2492" s="43"/>
      <c r="V2492" s="42" t="str">
        <f>IF(Table1[[#This Row],[DATE]]=0,"",YEAR(E2492))</f>
        <v/>
      </c>
      <c r="W2492" s="40" t="str">
        <f t="shared" si="80"/>
        <v/>
      </c>
      <c r="X2492" s="40" t="str">
        <f t="shared" si="81"/>
        <v/>
      </c>
      <c r="Y2492" s="40" t="str">
        <f>TEXT(Table1[[#This Row],[YEAR]],"0000")&amp;"-"&amp;Table1[[#This Row],[MONTH]]</f>
        <v>-</v>
      </c>
    </row>
    <row r="2493" spans="1:25" ht="15" customHeight="1" x14ac:dyDescent="0.35">
      <c r="A2493" s="24"/>
      <c r="B2493" s="38"/>
      <c r="C2493" s="38"/>
      <c r="D2493" s="38"/>
      <c r="E2493" s="37"/>
      <c r="F2493" s="38"/>
      <c r="G2493" s="198"/>
      <c r="H2493" s="198"/>
      <c r="I2493" s="39"/>
      <c r="J2493" s="38"/>
      <c r="K2493" s="198"/>
      <c r="L2493" s="38"/>
      <c r="M2493" s="38"/>
      <c r="N2493" s="38"/>
      <c r="O2493" s="38"/>
      <c r="P2493" s="40" t="str" cm="1">
        <f t="array" ref="P2493">IF(N2493="","",IFERROR(_xlfn.XLOOKUP(F2493&amp;"|"&amp;J2493&amp;"|"&amp;O2493,PRICES!$C$2:$C$659&amp;"|"&amp;PRICES!$B$2:$B$659&amp;"|"&amp;PRICES!$D$2:$D$659,PRICES!$E$2:$E$659),"Not Found"))</f>
        <v/>
      </c>
      <c r="Q2493" s="100" t="str">
        <f>IF(N2493=0,"",SUMIFS(PRICES!$G$2:$G$658,PRICES!$B$2:$B$658,'MAIN TABLE-1 AUTOMATED'!J2493,PRICES!$C$2:$C$658,'MAIN TABLE-1 AUTOMATED'!F2493,PRICES!$D$2:$D$658,'MAIN TABLE-1 AUTOMATED'!O2493))</f>
        <v/>
      </c>
      <c r="R2493" s="41" t="str">
        <f>IF(Table1[[#This Row],[QUANTITY]]=0,"",Table1[[#This Row],[UNIT PRICE]]*Table1[[#This Row],[QUANTITY]])</f>
        <v/>
      </c>
      <c r="S2493" s="89"/>
      <c r="T2493" s="38"/>
      <c r="U2493" s="43"/>
      <c r="V2493" s="42" t="str">
        <f>IF(Table1[[#This Row],[DATE]]=0,"",YEAR(E2493))</f>
        <v/>
      </c>
      <c r="W2493" s="40" t="str">
        <f t="shared" si="80"/>
        <v/>
      </c>
      <c r="X2493" s="40" t="str">
        <f t="shared" si="81"/>
        <v/>
      </c>
      <c r="Y2493" s="40" t="str">
        <f>TEXT(Table1[[#This Row],[YEAR]],"0000")&amp;"-"&amp;Table1[[#This Row],[MONTH]]</f>
        <v>-</v>
      </c>
    </row>
    <row r="2494" spans="1:25" ht="15" customHeight="1" x14ac:dyDescent="0.35">
      <c r="A2494" s="24"/>
      <c r="B2494" s="38"/>
      <c r="C2494" s="38"/>
      <c r="D2494" s="38"/>
      <c r="E2494" s="37"/>
      <c r="F2494" s="38"/>
      <c r="G2494" s="198"/>
      <c r="H2494" s="198"/>
      <c r="I2494" s="39"/>
      <c r="J2494" s="38"/>
      <c r="K2494" s="198"/>
      <c r="L2494" s="38"/>
      <c r="M2494" s="38"/>
      <c r="N2494" s="38"/>
      <c r="O2494" s="38"/>
      <c r="P2494" s="40" t="str" cm="1">
        <f t="array" ref="P2494">IF(N2494="","",IFERROR(_xlfn.XLOOKUP(F2494&amp;"|"&amp;J2494&amp;"|"&amp;O2494,PRICES!$C$2:$C$659&amp;"|"&amp;PRICES!$B$2:$B$659&amp;"|"&amp;PRICES!$D$2:$D$659,PRICES!$E$2:$E$659),"Not Found"))</f>
        <v/>
      </c>
      <c r="Q2494" s="100" t="str">
        <f>IF(N2494=0,"",SUMIFS(PRICES!$G$2:$G$658,PRICES!$B$2:$B$658,'MAIN TABLE-1 AUTOMATED'!J2494,PRICES!$C$2:$C$658,'MAIN TABLE-1 AUTOMATED'!F2494,PRICES!$D$2:$D$658,'MAIN TABLE-1 AUTOMATED'!O2494))</f>
        <v/>
      </c>
      <c r="R2494" s="41" t="str">
        <f>IF(Table1[[#This Row],[QUANTITY]]=0,"",Table1[[#This Row],[UNIT PRICE]]*Table1[[#This Row],[QUANTITY]])</f>
        <v/>
      </c>
      <c r="S2494" s="89"/>
      <c r="T2494" s="38"/>
      <c r="U2494" s="43"/>
      <c r="V2494" s="42" t="str">
        <f>IF(Table1[[#This Row],[DATE]]=0,"",YEAR(E2494))</f>
        <v/>
      </c>
      <c r="W2494" s="40" t="str">
        <f t="shared" si="80"/>
        <v/>
      </c>
      <c r="X2494" s="40" t="str">
        <f t="shared" si="81"/>
        <v/>
      </c>
      <c r="Y2494" s="40" t="str">
        <f>TEXT(Table1[[#This Row],[YEAR]],"0000")&amp;"-"&amp;Table1[[#This Row],[MONTH]]</f>
        <v>-</v>
      </c>
    </row>
    <row r="2495" spans="1:25" ht="15" customHeight="1" x14ac:dyDescent="0.35">
      <c r="A2495" s="24"/>
      <c r="B2495" s="38"/>
      <c r="C2495" s="38"/>
      <c r="D2495" s="38"/>
      <c r="E2495" s="37"/>
      <c r="F2495" s="38"/>
      <c r="G2495" s="198"/>
      <c r="H2495" s="198"/>
      <c r="I2495" s="39"/>
      <c r="J2495" s="38"/>
      <c r="K2495" s="198"/>
      <c r="L2495" s="38"/>
      <c r="M2495" s="38"/>
      <c r="N2495" s="38"/>
      <c r="O2495" s="38"/>
      <c r="P2495" s="40" t="str" cm="1">
        <f t="array" ref="P2495">IF(N2495="","",IFERROR(_xlfn.XLOOKUP(F2495&amp;"|"&amp;J2495&amp;"|"&amp;O2495,PRICES!$C$2:$C$659&amp;"|"&amp;PRICES!$B$2:$B$659&amp;"|"&amp;PRICES!$D$2:$D$659,PRICES!$E$2:$E$659),"Not Found"))</f>
        <v/>
      </c>
      <c r="Q2495" s="100" t="str">
        <f>IF(N2495=0,"",SUMIFS(PRICES!$G$2:$G$658,PRICES!$B$2:$B$658,'MAIN TABLE-1 AUTOMATED'!J2495,PRICES!$C$2:$C$658,'MAIN TABLE-1 AUTOMATED'!F2495,PRICES!$D$2:$D$658,'MAIN TABLE-1 AUTOMATED'!O2495))</f>
        <v/>
      </c>
      <c r="R2495" s="41" t="str">
        <f>IF(Table1[[#This Row],[QUANTITY]]=0,"",Table1[[#This Row],[UNIT PRICE]]*Table1[[#This Row],[QUANTITY]])</f>
        <v/>
      </c>
      <c r="S2495" s="89"/>
      <c r="T2495" s="38"/>
      <c r="U2495" s="43"/>
      <c r="V2495" s="42" t="str">
        <f>IF(Table1[[#This Row],[DATE]]=0,"",YEAR(E2495))</f>
        <v/>
      </c>
      <c r="W2495" s="40" t="str">
        <f t="shared" si="80"/>
        <v/>
      </c>
      <c r="X2495" s="40" t="str">
        <f t="shared" si="81"/>
        <v/>
      </c>
      <c r="Y2495" s="40" t="str">
        <f>TEXT(Table1[[#This Row],[YEAR]],"0000")&amp;"-"&amp;Table1[[#This Row],[MONTH]]</f>
        <v>-</v>
      </c>
    </row>
    <row r="2496" spans="1:25" ht="15" customHeight="1" x14ac:dyDescent="0.35">
      <c r="A2496" s="24"/>
      <c r="B2496" s="38"/>
      <c r="C2496" s="38"/>
      <c r="D2496" s="38"/>
      <c r="E2496" s="37"/>
      <c r="F2496" s="38"/>
      <c r="G2496" s="198"/>
      <c r="H2496" s="198"/>
      <c r="I2496" s="39"/>
      <c r="J2496" s="38"/>
      <c r="K2496" s="198"/>
      <c r="L2496" s="38"/>
      <c r="M2496" s="38"/>
      <c r="N2496" s="38"/>
      <c r="O2496" s="38"/>
      <c r="P2496" s="40" t="str" cm="1">
        <f t="array" ref="P2496">IF(N2496="","",IFERROR(_xlfn.XLOOKUP(F2496&amp;"|"&amp;J2496&amp;"|"&amp;O2496,PRICES!$C$2:$C$659&amp;"|"&amp;PRICES!$B$2:$B$659&amp;"|"&amp;PRICES!$D$2:$D$659,PRICES!$E$2:$E$659),"Not Found"))</f>
        <v/>
      </c>
      <c r="Q2496" s="100" t="str">
        <f>IF(N2496=0,"",SUMIFS(PRICES!$G$2:$G$658,PRICES!$B$2:$B$658,'MAIN TABLE-1 AUTOMATED'!J2496,PRICES!$C$2:$C$658,'MAIN TABLE-1 AUTOMATED'!F2496,PRICES!$D$2:$D$658,'MAIN TABLE-1 AUTOMATED'!O2496))</f>
        <v/>
      </c>
      <c r="R2496" s="41" t="str">
        <f>IF(Table1[[#This Row],[QUANTITY]]=0,"",Table1[[#This Row],[UNIT PRICE]]*Table1[[#This Row],[QUANTITY]])</f>
        <v/>
      </c>
      <c r="S2496" s="89"/>
      <c r="T2496" s="38"/>
      <c r="U2496" s="43"/>
      <c r="V2496" s="42" t="str">
        <f>IF(Table1[[#This Row],[DATE]]=0,"",YEAR(E2496))</f>
        <v/>
      </c>
      <c r="W2496" s="40" t="str">
        <f t="shared" si="80"/>
        <v/>
      </c>
      <c r="X2496" s="40" t="str">
        <f t="shared" si="81"/>
        <v/>
      </c>
      <c r="Y2496" s="40" t="str">
        <f>TEXT(Table1[[#This Row],[YEAR]],"0000")&amp;"-"&amp;Table1[[#This Row],[MONTH]]</f>
        <v>-</v>
      </c>
    </row>
    <row r="2497" spans="1:25" ht="15" customHeight="1" x14ac:dyDescent="0.35">
      <c r="A2497" s="24"/>
      <c r="B2497" s="38"/>
      <c r="C2497" s="38"/>
      <c r="D2497" s="38"/>
      <c r="E2497" s="37"/>
      <c r="F2497" s="38"/>
      <c r="G2497" s="198"/>
      <c r="H2497" s="198"/>
      <c r="I2497" s="39"/>
      <c r="J2497" s="38"/>
      <c r="K2497" s="198"/>
      <c r="L2497" s="38"/>
      <c r="M2497" s="38"/>
      <c r="N2497" s="38"/>
      <c r="O2497" s="38"/>
      <c r="P2497" s="40" t="str" cm="1">
        <f t="array" ref="P2497">IF(N2497="","",IFERROR(_xlfn.XLOOKUP(F2497&amp;"|"&amp;J2497&amp;"|"&amp;O2497,PRICES!$C$2:$C$659&amp;"|"&amp;PRICES!$B$2:$B$659&amp;"|"&amp;PRICES!$D$2:$D$659,PRICES!$E$2:$E$659),"Not Found"))</f>
        <v/>
      </c>
      <c r="Q2497" s="100" t="str">
        <f>IF(N2497=0,"",SUMIFS(PRICES!$G$2:$G$658,PRICES!$B$2:$B$658,'MAIN TABLE-1 AUTOMATED'!J2497,PRICES!$C$2:$C$658,'MAIN TABLE-1 AUTOMATED'!F2497,PRICES!$D$2:$D$658,'MAIN TABLE-1 AUTOMATED'!O2497))</f>
        <v/>
      </c>
      <c r="R2497" s="41" t="str">
        <f>IF(Table1[[#This Row],[QUANTITY]]=0,"",Table1[[#This Row],[UNIT PRICE]]*Table1[[#This Row],[QUANTITY]])</f>
        <v/>
      </c>
      <c r="S2497" s="89"/>
      <c r="T2497" s="38"/>
      <c r="U2497" s="43"/>
      <c r="V2497" s="42" t="str">
        <f>IF(Table1[[#This Row],[DATE]]=0,"",YEAR(E2497))</f>
        <v/>
      </c>
      <c r="W2497" s="40" t="str">
        <f t="shared" si="80"/>
        <v/>
      </c>
      <c r="X2497" s="40" t="str">
        <f t="shared" si="81"/>
        <v/>
      </c>
      <c r="Y2497" s="40" t="str">
        <f>TEXT(Table1[[#This Row],[YEAR]],"0000")&amp;"-"&amp;Table1[[#This Row],[MONTH]]</f>
        <v>-</v>
      </c>
    </row>
    <row r="2498" spans="1:25" ht="15" customHeight="1" x14ac:dyDescent="0.35">
      <c r="A2498" s="24"/>
      <c r="B2498" s="38"/>
      <c r="C2498" s="38"/>
      <c r="D2498" s="38"/>
      <c r="E2498" s="37"/>
      <c r="F2498" s="38"/>
      <c r="G2498" s="198"/>
      <c r="H2498" s="198"/>
      <c r="I2498" s="39"/>
      <c r="J2498" s="38"/>
      <c r="K2498" s="198"/>
      <c r="L2498" s="38"/>
      <c r="M2498" s="38"/>
      <c r="N2498" s="38"/>
      <c r="O2498" s="38"/>
      <c r="P2498" s="40" t="str" cm="1">
        <f t="array" ref="P2498">IF(N2498="","",IFERROR(_xlfn.XLOOKUP(F2498&amp;"|"&amp;J2498&amp;"|"&amp;O2498,PRICES!$C$2:$C$659&amp;"|"&amp;PRICES!$B$2:$B$659&amp;"|"&amp;PRICES!$D$2:$D$659,PRICES!$E$2:$E$659),"Not Found"))</f>
        <v/>
      </c>
      <c r="Q2498" s="100" t="str">
        <f>IF(N2498=0,"",SUMIFS(PRICES!$G$2:$G$658,PRICES!$B$2:$B$658,'MAIN TABLE-1 AUTOMATED'!J2498,PRICES!$C$2:$C$658,'MAIN TABLE-1 AUTOMATED'!F2498,PRICES!$D$2:$D$658,'MAIN TABLE-1 AUTOMATED'!O2498))</f>
        <v/>
      </c>
      <c r="R2498" s="41" t="str">
        <f>IF(Table1[[#This Row],[QUANTITY]]=0,"",Table1[[#This Row],[UNIT PRICE]]*Table1[[#This Row],[QUANTITY]])</f>
        <v/>
      </c>
      <c r="S2498" s="89"/>
      <c r="T2498" s="38"/>
      <c r="U2498" s="43"/>
      <c r="V2498" s="42" t="str">
        <f>IF(Table1[[#This Row],[DATE]]=0,"",YEAR(E2498))</f>
        <v/>
      </c>
      <c r="W2498" s="40" t="str">
        <f t="shared" si="80"/>
        <v/>
      </c>
      <c r="X2498" s="40" t="str">
        <f t="shared" si="81"/>
        <v/>
      </c>
      <c r="Y2498" s="40" t="str">
        <f>TEXT(Table1[[#This Row],[YEAR]],"0000")&amp;"-"&amp;Table1[[#This Row],[MONTH]]</f>
        <v>-</v>
      </c>
    </row>
    <row r="2499" spans="1:25" ht="15" customHeight="1" x14ac:dyDescent="0.35">
      <c r="A2499" s="24"/>
      <c r="B2499" s="38"/>
      <c r="C2499" s="38"/>
      <c r="D2499" s="38"/>
      <c r="E2499" s="37"/>
      <c r="F2499" s="38"/>
      <c r="G2499" s="198"/>
      <c r="H2499" s="198"/>
      <c r="I2499" s="39"/>
      <c r="J2499" s="38"/>
      <c r="K2499" s="198"/>
      <c r="L2499" s="38"/>
      <c r="M2499" s="38"/>
      <c r="N2499" s="38"/>
      <c r="O2499" s="38"/>
      <c r="P2499" s="40" t="str" cm="1">
        <f t="array" ref="P2499">IF(N2499="","",IFERROR(_xlfn.XLOOKUP(F2499&amp;"|"&amp;J2499&amp;"|"&amp;O2499,PRICES!$C$2:$C$659&amp;"|"&amp;PRICES!$B$2:$B$659&amp;"|"&amp;PRICES!$D$2:$D$659,PRICES!$E$2:$E$659),"Not Found"))</f>
        <v/>
      </c>
      <c r="Q2499" s="100" t="str">
        <f>IF(N2499=0,"",SUMIFS(PRICES!$G$2:$G$658,PRICES!$B$2:$B$658,'MAIN TABLE-1 AUTOMATED'!J2499,PRICES!$C$2:$C$658,'MAIN TABLE-1 AUTOMATED'!F2499,PRICES!$D$2:$D$658,'MAIN TABLE-1 AUTOMATED'!O2499))</f>
        <v/>
      </c>
      <c r="R2499" s="41" t="str">
        <f>IF(Table1[[#This Row],[QUANTITY]]=0,"",Table1[[#This Row],[UNIT PRICE]]*Table1[[#This Row],[QUANTITY]])</f>
        <v/>
      </c>
      <c r="S2499" s="89"/>
      <c r="T2499" s="38"/>
      <c r="U2499" s="43"/>
      <c r="V2499" s="42" t="str">
        <f>IF(Table1[[#This Row],[DATE]]=0,"",YEAR(E2499))</f>
        <v/>
      </c>
      <c r="W2499" s="40" t="str">
        <f t="shared" ref="W2499:W2562" si="82">IF(E2499=0,"",MONTH(E2499))</f>
        <v/>
      </c>
      <c r="X2499" s="40" t="str">
        <f t="shared" ref="X2499:X2562" si="83">IF(E2499=0,"",WEEKNUM(E2499))</f>
        <v/>
      </c>
      <c r="Y2499" s="40" t="str">
        <f>TEXT(Table1[[#This Row],[YEAR]],"0000")&amp;"-"&amp;Table1[[#This Row],[MONTH]]</f>
        <v>-</v>
      </c>
    </row>
    <row r="2500" spans="1:25" ht="15" customHeight="1" x14ac:dyDescent="0.35">
      <c r="A2500" s="24"/>
      <c r="B2500" s="38"/>
      <c r="C2500" s="38"/>
      <c r="D2500" s="38"/>
      <c r="E2500" s="37"/>
      <c r="F2500" s="38"/>
      <c r="G2500" s="198"/>
      <c r="H2500" s="198"/>
      <c r="I2500" s="39"/>
      <c r="J2500" s="38"/>
      <c r="K2500" s="198"/>
      <c r="L2500" s="38"/>
      <c r="M2500" s="38"/>
      <c r="N2500" s="38"/>
      <c r="O2500" s="38"/>
      <c r="P2500" s="40" t="str" cm="1">
        <f t="array" ref="P2500">IF(N2500="","",IFERROR(_xlfn.XLOOKUP(F2500&amp;"|"&amp;J2500&amp;"|"&amp;O2500,PRICES!$C$2:$C$659&amp;"|"&amp;PRICES!$B$2:$B$659&amp;"|"&amp;PRICES!$D$2:$D$659,PRICES!$E$2:$E$659),"Not Found"))</f>
        <v/>
      </c>
      <c r="Q2500" s="100" t="str">
        <f>IF(N2500=0,"",SUMIFS(PRICES!$G$2:$G$658,PRICES!$B$2:$B$658,'MAIN TABLE-1 AUTOMATED'!J2500,PRICES!$C$2:$C$658,'MAIN TABLE-1 AUTOMATED'!F2500,PRICES!$D$2:$D$658,'MAIN TABLE-1 AUTOMATED'!O2500))</f>
        <v/>
      </c>
      <c r="R2500" s="41" t="str">
        <f>IF(Table1[[#This Row],[QUANTITY]]=0,"",Table1[[#This Row],[UNIT PRICE]]*Table1[[#This Row],[QUANTITY]])</f>
        <v/>
      </c>
      <c r="S2500" s="89"/>
      <c r="T2500" s="38"/>
      <c r="U2500" s="43"/>
      <c r="V2500" s="42" t="str">
        <f>IF(Table1[[#This Row],[DATE]]=0,"",YEAR(E2500))</f>
        <v/>
      </c>
      <c r="W2500" s="40" t="str">
        <f t="shared" si="82"/>
        <v/>
      </c>
      <c r="X2500" s="40" t="str">
        <f t="shared" si="83"/>
        <v/>
      </c>
      <c r="Y2500" s="40" t="str">
        <f>TEXT(Table1[[#This Row],[YEAR]],"0000")&amp;"-"&amp;Table1[[#This Row],[MONTH]]</f>
        <v>-</v>
      </c>
    </row>
    <row r="2501" spans="1:25" ht="15" customHeight="1" x14ac:dyDescent="0.35">
      <c r="A2501" s="24"/>
      <c r="B2501" s="38"/>
      <c r="C2501" s="38"/>
      <c r="D2501" s="38"/>
      <c r="E2501" s="37"/>
      <c r="F2501" s="38"/>
      <c r="G2501" s="198"/>
      <c r="H2501" s="198"/>
      <c r="I2501" s="39"/>
      <c r="J2501" s="38"/>
      <c r="K2501" s="198"/>
      <c r="L2501" s="38"/>
      <c r="M2501" s="38"/>
      <c r="N2501" s="38"/>
      <c r="O2501" s="38"/>
      <c r="P2501" s="40" t="str" cm="1">
        <f t="array" ref="P2501">IF(N2501="","",IFERROR(_xlfn.XLOOKUP(F2501&amp;"|"&amp;J2501&amp;"|"&amp;O2501,PRICES!$C$2:$C$659&amp;"|"&amp;PRICES!$B$2:$B$659&amp;"|"&amp;PRICES!$D$2:$D$659,PRICES!$E$2:$E$659),"Not Found"))</f>
        <v/>
      </c>
      <c r="Q2501" s="100" t="str">
        <f>IF(N2501=0,"",SUMIFS(PRICES!$G$2:$G$658,PRICES!$B$2:$B$658,'MAIN TABLE-1 AUTOMATED'!J2501,PRICES!$C$2:$C$658,'MAIN TABLE-1 AUTOMATED'!F2501,PRICES!$D$2:$D$658,'MAIN TABLE-1 AUTOMATED'!O2501))</f>
        <v/>
      </c>
      <c r="R2501" s="41" t="str">
        <f>IF(Table1[[#This Row],[QUANTITY]]=0,"",Table1[[#This Row],[UNIT PRICE]]*Table1[[#This Row],[QUANTITY]])</f>
        <v/>
      </c>
      <c r="S2501" s="89"/>
      <c r="T2501" s="38"/>
      <c r="U2501" s="43"/>
      <c r="V2501" s="42" t="str">
        <f>IF(Table1[[#This Row],[DATE]]=0,"",YEAR(E2501))</f>
        <v/>
      </c>
      <c r="W2501" s="40" t="str">
        <f t="shared" si="82"/>
        <v/>
      </c>
      <c r="X2501" s="40" t="str">
        <f t="shared" si="83"/>
        <v/>
      </c>
      <c r="Y2501" s="40" t="str">
        <f>TEXT(Table1[[#This Row],[YEAR]],"0000")&amp;"-"&amp;Table1[[#This Row],[MONTH]]</f>
        <v>-</v>
      </c>
    </row>
    <row r="2502" spans="1:25" ht="15" customHeight="1" x14ac:dyDescent="0.35">
      <c r="A2502" s="24"/>
      <c r="B2502" s="38"/>
      <c r="C2502" s="38"/>
      <c r="D2502" s="38"/>
      <c r="E2502" s="37"/>
      <c r="F2502" s="38"/>
      <c r="G2502" s="198"/>
      <c r="H2502" s="198"/>
      <c r="I2502" s="39"/>
      <c r="J2502" s="38"/>
      <c r="K2502" s="198"/>
      <c r="L2502" s="38"/>
      <c r="M2502" s="38"/>
      <c r="N2502" s="38"/>
      <c r="O2502" s="38"/>
      <c r="P2502" s="40" t="str" cm="1">
        <f t="array" ref="P2502">IF(N2502="","",IFERROR(_xlfn.XLOOKUP(F2502&amp;"|"&amp;J2502&amp;"|"&amp;O2502,PRICES!$C$2:$C$659&amp;"|"&amp;PRICES!$B$2:$B$659&amp;"|"&amp;PRICES!$D$2:$D$659,PRICES!$E$2:$E$659),"Not Found"))</f>
        <v/>
      </c>
      <c r="Q2502" s="100" t="str">
        <f>IF(N2502=0,"",SUMIFS(PRICES!$G$2:$G$658,PRICES!$B$2:$B$658,'MAIN TABLE-1 AUTOMATED'!J2502,PRICES!$C$2:$C$658,'MAIN TABLE-1 AUTOMATED'!F2502,PRICES!$D$2:$D$658,'MAIN TABLE-1 AUTOMATED'!O2502))</f>
        <v/>
      </c>
      <c r="R2502" s="41" t="str">
        <f>IF(Table1[[#This Row],[QUANTITY]]=0,"",Table1[[#This Row],[UNIT PRICE]]*Table1[[#This Row],[QUANTITY]])</f>
        <v/>
      </c>
      <c r="S2502" s="89"/>
      <c r="T2502" s="38"/>
      <c r="U2502" s="43"/>
      <c r="V2502" s="42" t="str">
        <f>IF(Table1[[#This Row],[DATE]]=0,"",YEAR(E2502))</f>
        <v/>
      </c>
      <c r="W2502" s="40" t="str">
        <f t="shared" si="82"/>
        <v/>
      </c>
      <c r="X2502" s="40" t="str">
        <f t="shared" si="83"/>
        <v/>
      </c>
      <c r="Y2502" s="40" t="str">
        <f>TEXT(Table1[[#This Row],[YEAR]],"0000")&amp;"-"&amp;Table1[[#This Row],[MONTH]]</f>
        <v>-</v>
      </c>
    </row>
    <row r="2503" spans="1:25" ht="15" customHeight="1" x14ac:dyDescent="0.35">
      <c r="A2503" s="24"/>
      <c r="B2503" s="38"/>
      <c r="C2503" s="38"/>
      <c r="D2503" s="38"/>
      <c r="E2503" s="37"/>
      <c r="F2503" s="38"/>
      <c r="G2503" s="198"/>
      <c r="H2503" s="198"/>
      <c r="I2503" s="39"/>
      <c r="J2503" s="38"/>
      <c r="K2503" s="198"/>
      <c r="L2503" s="38"/>
      <c r="M2503" s="38"/>
      <c r="N2503" s="38"/>
      <c r="O2503" s="38"/>
      <c r="P2503" s="40" t="str" cm="1">
        <f t="array" ref="P2503">IF(N2503="","",IFERROR(_xlfn.XLOOKUP(F2503&amp;"|"&amp;J2503&amp;"|"&amp;O2503,PRICES!$C$2:$C$659&amp;"|"&amp;PRICES!$B$2:$B$659&amp;"|"&amp;PRICES!$D$2:$D$659,PRICES!$E$2:$E$659),"Not Found"))</f>
        <v/>
      </c>
      <c r="Q2503" s="100" t="str">
        <f>IF(N2503=0,"",SUMIFS(PRICES!$G$2:$G$658,PRICES!$B$2:$B$658,'MAIN TABLE-1 AUTOMATED'!J2503,PRICES!$C$2:$C$658,'MAIN TABLE-1 AUTOMATED'!F2503,PRICES!$D$2:$D$658,'MAIN TABLE-1 AUTOMATED'!O2503))</f>
        <v/>
      </c>
      <c r="R2503" s="41" t="str">
        <f>IF(Table1[[#This Row],[QUANTITY]]=0,"",Table1[[#This Row],[UNIT PRICE]]*Table1[[#This Row],[QUANTITY]])</f>
        <v/>
      </c>
      <c r="S2503" s="89"/>
      <c r="T2503" s="38"/>
      <c r="U2503" s="43"/>
      <c r="V2503" s="42" t="str">
        <f>IF(Table1[[#This Row],[DATE]]=0,"",YEAR(E2503))</f>
        <v/>
      </c>
      <c r="W2503" s="40" t="str">
        <f t="shared" si="82"/>
        <v/>
      </c>
      <c r="X2503" s="40" t="str">
        <f t="shared" si="83"/>
        <v/>
      </c>
      <c r="Y2503" s="40" t="str">
        <f>TEXT(Table1[[#This Row],[YEAR]],"0000")&amp;"-"&amp;Table1[[#This Row],[MONTH]]</f>
        <v>-</v>
      </c>
    </row>
    <row r="2504" spans="1:25" ht="15" customHeight="1" x14ac:dyDescent="0.35">
      <c r="A2504" s="24"/>
      <c r="B2504" s="38"/>
      <c r="C2504" s="38"/>
      <c r="D2504" s="38"/>
      <c r="E2504" s="37"/>
      <c r="F2504" s="38"/>
      <c r="G2504" s="198"/>
      <c r="H2504" s="198"/>
      <c r="I2504" s="39"/>
      <c r="J2504" s="38"/>
      <c r="K2504" s="198"/>
      <c r="L2504" s="38"/>
      <c r="M2504" s="38"/>
      <c r="N2504" s="38"/>
      <c r="O2504" s="38"/>
      <c r="P2504" s="40" t="str" cm="1">
        <f t="array" ref="P2504">IF(N2504="","",IFERROR(_xlfn.XLOOKUP(F2504&amp;"|"&amp;J2504&amp;"|"&amp;O2504,PRICES!$C$2:$C$659&amp;"|"&amp;PRICES!$B$2:$B$659&amp;"|"&amp;PRICES!$D$2:$D$659,PRICES!$E$2:$E$659),"Not Found"))</f>
        <v/>
      </c>
      <c r="Q2504" s="100" t="str">
        <f>IF(N2504=0,"",SUMIFS(PRICES!$G$2:$G$658,PRICES!$B$2:$B$658,'MAIN TABLE-1 AUTOMATED'!J2504,PRICES!$C$2:$C$658,'MAIN TABLE-1 AUTOMATED'!F2504,PRICES!$D$2:$D$658,'MAIN TABLE-1 AUTOMATED'!O2504))</f>
        <v/>
      </c>
      <c r="R2504" s="41" t="str">
        <f>IF(Table1[[#This Row],[QUANTITY]]=0,"",Table1[[#This Row],[UNIT PRICE]]*Table1[[#This Row],[QUANTITY]])</f>
        <v/>
      </c>
      <c r="S2504" s="89"/>
      <c r="T2504" s="38"/>
      <c r="U2504" s="43"/>
      <c r="V2504" s="42" t="str">
        <f>IF(Table1[[#This Row],[DATE]]=0,"",YEAR(E2504))</f>
        <v/>
      </c>
      <c r="W2504" s="40" t="str">
        <f t="shared" si="82"/>
        <v/>
      </c>
      <c r="X2504" s="40" t="str">
        <f t="shared" si="83"/>
        <v/>
      </c>
      <c r="Y2504" s="40" t="str">
        <f>TEXT(Table1[[#This Row],[YEAR]],"0000")&amp;"-"&amp;Table1[[#This Row],[MONTH]]</f>
        <v>-</v>
      </c>
    </row>
    <row r="2505" spans="1:25" ht="15" customHeight="1" x14ac:dyDescent="0.35">
      <c r="A2505" s="24"/>
      <c r="B2505" s="38"/>
      <c r="C2505" s="38"/>
      <c r="D2505" s="38"/>
      <c r="E2505" s="37"/>
      <c r="F2505" s="38"/>
      <c r="G2505" s="198"/>
      <c r="H2505" s="198"/>
      <c r="I2505" s="39"/>
      <c r="J2505" s="38"/>
      <c r="K2505" s="198"/>
      <c r="L2505" s="38"/>
      <c r="M2505" s="38"/>
      <c r="N2505" s="38"/>
      <c r="O2505" s="38"/>
      <c r="P2505" s="40" t="str" cm="1">
        <f t="array" ref="P2505">IF(N2505="","",IFERROR(_xlfn.XLOOKUP(F2505&amp;"|"&amp;J2505&amp;"|"&amp;O2505,PRICES!$C$2:$C$659&amp;"|"&amp;PRICES!$B$2:$B$659&amp;"|"&amp;PRICES!$D$2:$D$659,PRICES!$E$2:$E$659),"Not Found"))</f>
        <v/>
      </c>
      <c r="Q2505" s="100" t="str">
        <f>IF(N2505=0,"",SUMIFS(PRICES!$G$2:$G$658,PRICES!$B$2:$B$658,'MAIN TABLE-1 AUTOMATED'!J2505,PRICES!$C$2:$C$658,'MAIN TABLE-1 AUTOMATED'!F2505,PRICES!$D$2:$D$658,'MAIN TABLE-1 AUTOMATED'!O2505))</f>
        <v/>
      </c>
      <c r="R2505" s="41" t="str">
        <f>IF(Table1[[#This Row],[QUANTITY]]=0,"",Table1[[#This Row],[UNIT PRICE]]*Table1[[#This Row],[QUANTITY]])</f>
        <v/>
      </c>
      <c r="S2505" s="89"/>
      <c r="T2505" s="38"/>
      <c r="U2505" s="43"/>
      <c r="V2505" s="42" t="str">
        <f>IF(Table1[[#This Row],[DATE]]=0,"",YEAR(E2505))</f>
        <v/>
      </c>
      <c r="W2505" s="40" t="str">
        <f t="shared" si="82"/>
        <v/>
      </c>
      <c r="X2505" s="40" t="str">
        <f t="shared" si="83"/>
        <v/>
      </c>
      <c r="Y2505" s="40" t="str">
        <f>TEXT(Table1[[#This Row],[YEAR]],"0000")&amp;"-"&amp;Table1[[#This Row],[MONTH]]</f>
        <v>-</v>
      </c>
    </row>
    <row r="2506" spans="1:25" ht="15" customHeight="1" x14ac:dyDescent="0.35">
      <c r="A2506" s="24"/>
      <c r="B2506" s="38"/>
      <c r="C2506" s="38"/>
      <c r="D2506" s="38"/>
      <c r="E2506" s="37"/>
      <c r="F2506" s="38"/>
      <c r="G2506" s="198"/>
      <c r="H2506" s="198"/>
      <c r="I2506" s="39"/>
      <c r="J2506" s="38"/>
      <c r="K2506" s="198"/>
      <c r="L2506" s="38"/>
      <c r="M2506" s="38"/>
      <c r="N2506" s="38"/>
      <c r="O2506" s="38"/>
      <c r="P2506" s="40" t="str" cm="1">
        <f t="array" ref="P2506">IF(N2506="","",IFERROR(_xlfn.XLOOKUP(F2506&amp;"|"&amp;J2506&amp;"|"&amp;O2506,PRICES!$C$2:$C$659&amp;"|"&amp;PRICES!$B$2:$B$659&amp;"|"&amp;PRICES!$D$2:$D$659,PRICES!$E$2:$E$659),"Not Found"))</f>
        <v/>
      </c>
      <c r="Q2506" s="100" t="str">
        <f>IF(N2506=0,"",SUMIFS(PRICES!$G$2:$G$658,PRICES!$B$2:$B$658,'MAIN TABLE-1 AUTOMATED'!J2506,PRICES!$C$2:$C$658,'MAIN TABLE-1 AUTOMATED'!F2506,PRICES!$D$2:$D$658,'MAIN TABLE-1 AUTOMATED'!O2506))</f>
        <v/>
      </c>
      <c r="R2506" s="41" t="str">
        <f>IF(Table1[[#This Row],[QUANTITY]]=0,"",Table1[[#This Row],[UNIT PRICE]]*Table1[[#This Row],[QUANTITY]])</f>
        <v/>
      </c>
      <c r="S2506" s="89"/>
      <c r="T2506" s="38"/>
      <c r="U2506" s="43"/>
      <c r="V2506" s="42" t="str">
        <f>IF(Table1[[#This Row],[DATE]]=0,"",YEAR(E2506))</f>
        <v/>
      </c>
      <c r="W2506" s="40" t="str">
        <f t="shared" si="82"/>
        <v/>
      </c>
      <c r="X2506" s="40" t="str">
        <f t="shared" si="83"/>
        <v/>
      </c>
      <c r="Y2506" s="40" t="str">
        <f>TEXT(Table1[[#This Row],[YEAR]],"0000")&amp;"-"&amp;Table1[[#This Row],[MONTH]]</f>
        <v>-</v>
      </c>
    </row>
    <row r="2507" spans="1:25" ht="15" customHeight="1" x14ac:dyDescent="0.35">
      <c r="A2507" s="24"/>
      <c r="B2507" s="38"/>
      <c r="C2507" s="38"/>
      <c r="D2507" s="38"/>
      <c r="E2507" s="37"/>
      <c r="F2507" s="38"/>
      <c r="G2507" s="198"/>
      <c r="H2507" s="198"/>
      <c r="I2507" s="39"/>
      <c r="J2507" s="38"/>
      <c r="K2507" s="198"/>
      <c r="L2507" s="38"/>
      <c r="M2507" s="38"/>
      <c r="N2507" s="38"/>
      <c r="O2507" s="38"/>
      <c r="P2507" s="40" t="str" cm="1">
        <f t="array" ref="P2507">IF(N2507="","",IFERROR(_xlfn.XLOOKUP(F2507&amp;"|"&amp;J2507&amp;"|"&amp;O2507,PRICES!$C$2:$C$659&amp;"|"&amp;PRICES!$B$2:$B$659&amp;"|"&amp;PRICES!$D$2:$D$659,PRICES!$E$2:$E$659),"Not Found"))</f>
        <v/>
      </c>
      <c r="Q2507" s="100" t="str">
        <f>IF(N2507=0,"",SUMIFS(PRICES!$G$2:$G$658,PRICES!$B$2:$B$658,'MAIN TABLE-1 AUTOMATED'!J2507,PRICES!$C$2:$C$658,'MAIN TABLE-1 AUTOMATED'!F2507,PRICES!$D$2:$D$658,'MAIN TABLE-1 AUTOMATED'!O2507))</f>
        <v/>
      </c>
      <c r="R2507" s="41" t="str">
        <f>IF(Table1[[#This Row],[QUANTITY]]=0,"",Table1[[#This Row],[UNIT PRICE]]*Table1[[#This Row],[QUANTITY]])</f>
        <v/>
      </c>
      <c r="S2507" s="89"/>
      <c r="T2507" s="38"/>
      <c r="U2507" s="43"/>
      <c r="V2507" s="42" t="str">
        <f>IF(Table1[[#This Row],[DATE]]=0,"",YEAR(E2507))</f>
        <v/>
      </c>
      <c r="W2507" s="40" t="str">
        <f t="shared" si="82"/>
        <v/>
      </c>
      <c r="X2507" s="40" t="str">
        <f t="shared" si="83"/>
        <v/>
      </c>
      <c r="Y2507" s="40" t="str">
        <f>TEXT(Table1[[#This Row],[YEAR]],"0000")&amp;"-"&amp;Table1[[#This Row],[MONTH]]</f>
        <v>-</v>
      </c>
    </row>
    <row r="2508" spans="1:25" ht="15" customHeight="1" x14ac:dyDescent="0.35">
      <c r="A2508" s="24"/>
      <c r="B2508" s="38"/>
      <c r="C2508" s="38"/>
      <c r="D2508" s="38"/>
      <c r="E2508" s="37"/>
      <c r="F2508" s="38"/>
      <c r="G2508" s="198"/>
      <c r="H2508" s="198"/>
      <c r="I2508" s="39"/>
      <c r="J2508" s="38"/>
      <c r="K2508" s="198"/>
      <c r="L2508" s="38"/>
      <c r="M2508" s="38"/>
      <c r="N2508" s="38"/>
      <c r="O2508" s="38"/>
      <c r="P2508" s="40" t="str" cm="1">
        <f t="array" ref="P2508">IF(N2508="","",IFERROR(_xlfn.XLOOKUP(F2508&amp;"|"&amp;J2508&amp;"|"&amp;O2508,PRICES!$C$2:$C$659&amp;"|"&amp;PRICES!$B$2:$B$659&amp;"|"&amp;PRICES!$D$2:$D$659,PRICES!$E$2:$E$659),"Not Found"))</f>
        <v/>
      </c>
      <c r="Q2508" s="100" t="str">
        <f>IF(N2508=0,"",SUMIFS(PRICES!$G$2:$G$658,PRICES!$B$2:$B$658,'MAIN TABLE-1 AUTOMATED'!J2508,PRICES!$C$2:$C$658,'MAIN TABLE-1 AUTOMATED'!F2508,PRICES!$D$2:$D$658,'MAIN TABLE-1 AUTOMATED'!O2508))</f>
        <v/>
      </c>
      <c r="R2508" s="41" t="str">
        <f>IF(Table1[[#This Row],[QUANTITY]]=0,"",Table1[[#This Row],[UNIT PRICE]]*Table1[[#This Row],[QUANTITY]])</f>
        <v/>
      </c>
      <c r="S2508" s="89"/>
      <c r="T2508" s="38"/>
      <c r="U2508" s="43"/>
      <c r="V2508" s="42" t="str">
        <f>IF(Table1[[#This Row],[DATE]]=0,"",YEAR(E2508))</f>
        <v/>
      </c>
      <c r="W2508" s="40" t="str">
        <f t="shared" si="82"/>
        <v/>
      </c>
      <c r="X2508" s="40" t="str">
        <f t="shared" si="83"/>
        <v/>
      </c>
      <c r="Y2508" s="40" t="str">
        <f>TEXT(Table1[[#This Row],[YEAR]],"0000")&amp;"-"&amp;Table1[[#This Row],[MONTH]]</f>
        <v>-</v>
      </c>
    </row>
    <row r="2509" spans="1:25" ht="15" customHeight="1" x14ac:dyDescent="0.35">
      <c r="A2509" s="24"/>
      <c r="B2509" s="38"/>
      <c r="C2509" s="38"/>
      <c r="D2509" s="38"/>
      <c r="E2509" s="37"/>
      <c r="F2509" s="38"/>
      <c r="G2509" s="198"/>
      <c r="H2509" s="198"/>
      <c r="I2509" s="39"/>
      <c r="J2509" s="38"/>
      <c r="K2509" s="198"/>
      <c r="L2509" s="38"/>
      <c r="M2509" s="38"/>
      <c r="N2509" s="38"/>
      <c r="O2509" s="38"/>
      <c r="P2509" s="40" t="str" cm="1">
        <f t="array" ref="P2509">IF(N2509="","",IFERROR(_xlfn.XLOOKUP(F2509&amp;"|"&amp;J2509&amp;"|"&amp;O2509,PRICES!$C$2:$C$659&amp;"|"&amp;PRICES!$B$2:$B$659&amp;"|"&amp;PRICES!$D$2:$D$659,PRICES!$E$2:$E$659),"Not Found"))</f>
        <v/>
      </c>
      <c r="Q2509" s="100" t="str">
        <f>IF(N2509=0,"",SUMIFS(PRICES!$G$2:$G$658,PRICES!$B$2:$B$658,'MAIN TABLE-1 AUTOMATED'!J2509,PRICES!$C$2:$C$658,'MAIN TABLE-1 AUTOMATED'!F2509,PRICES!$D$2:$D$658,'MAIN TABLE-1 AUTOMATED'!O2509))</f>
        <v/>
      </c>
      <c r="R2509" s="41" t="str">
        <f>IF(Table1[[#This Row],[QUANTITY]]=0,"",Table1[[#This Row],[UNIT PRICE]]*Table1[[#This Row],[QUANTITY]])</f>
        <v/>
      </c>
      <c r="S2509" s="89"/>
      <c r="T2509" s="38"/>
      <c r="U2509" s="43"/>
      <c r="V2509" s="42" t="str">
        <f>IF(Table1[[#This Row],[DATE]]=0,"",YEAR(E2509))</f>
        <v/>
      </c>
      <c r="W2509" s="40" t="str">
        <f t="shared" si="82"/>
        <v/>
      </c>
      <c r="X2509" s="40" t="str">
        <f t="shared" si="83"/>
        <v/>
      </c>
      <c r="Y2509" s="40" t="str">
        <f>TEXT(Table1[[#This Row],[YEAR]],"0000")&amp;"-"&amp;Table1[[#This Row],[MONTH]]</f>
        <v>-</v>
      </c>
    </row>
    <row r="2510" spans="1:25" ht="15" customHeight="1" x14ac:dyDescent="0.35">
      <c r="A2510" s="24"/>
      <c r="B2510" s="38"/>
      <c r="C2510" s="38"/>
      <c r="D2510" s="38"/>
      <c r="E2510" s="37"/>
      <c r="F2510" s="38"/>
      <c r="G2510" s="198"/>
      <c r="H2510" s="198"/>
      <c r="I2510" s="39"/>
      <c r="J2510" s="38"/>
      <c r="K2510" s="198"/>
      <c r="L2510" s="38"/>
      <c r="M2510" s="38"/>
      <c r="N2510" s="38"/>
      <c r="O2510" s="38"/>
      <c r="P2510" s="40" t="str" cm="1">
        <f t="array" ref="P2510">IF(N2510="","",IFERROR(_xlfn.XLOOKUP(F2510&amp;"|"&amp;J2510&amp;"|"&amp;O2510,PRICES!$C$2:$C$659&amp;"|"&amp;PRICES!$B$2:$B$659&amp;"|"&amp;PRICES!$D$2:$D$659,PRICES!$E$2:$E$659),"Not Found"))</f>
        <v/>
      </c>
      <c r="Q2510" s="100" t="str">
        <f>IF(N2510=0,"",SUMIFS(PRICES!$G$2:$G$658,PRICES!$B$2:$B$658,'MAIN TABLE-1 AUTOMATED'!J2510,PRICES!$C$2:$C$658,'MAIN TABLE-1 AUTOMATED'!F2510,PRICES!$D$2:$D$658,'MAIN TABLE-1 AUTOMATED'!O2510))</f>
        <v/>
      </c>
      <c r="R2510" s="41" t="str">
        <f>IF(Table1[[#This Row],[QUANTITY]]=0,"",Table1[[#This Row],[UNIT PRICE]]*Table1[[#This Row],[QUANTITY]])</f>
        <v/>
      </c>
      <c r="S2510" s="89"/>
      <c r="T2510" s="38"/>
      <c r="U2510" s="43"/>
      <c r="V2510" s="42" t="str">
        <f>IF(Table1[[#This Row],[DATE]]=0,"",YEAR(E2510))</f>
        <v/>
      </c>
      <c r="W2510" s="40" t="str">
        <f t="shared" si="82"/>
        <v/>
      </c>
      <c r="X2510" s="40" t="str">
        <f t="shared" si="83"/>
        <v/>
      </c>
      <c r="Y2510" s="40" t="str">
        <f>TEXT(Table1[[#This Row],[YEAR]],"0000")&amp;"-"&amp;Table1[[#This Row],[MONTH]]</f>
        <v>-</v>
      </c>
    </row>
    <row r="2511" spans="1:25" ht="15" customHeight="1" x14ac:dyDescent="0.35">
      <c r="A2511" s="24"/>
      <c r="B2511" s="38"/>
      <c r="C2511" s="38"/>
      <c r="D2511" s="38"/>
      <c r="E2511" s="37"/>
      <c r="F2511" s="38"/>
      <c r="G2511" s="198"/>
      <c r="H2511" s="198"/>
      <c r="I2511" s="39"/>
      <c r="J2511" s="38"/>
      <c r="K2511" s="198"/>
      <c r="L2511" s="38"/>
      <c r="M2511" s="38"/>
      <c r="N2511" s="38"/>
      <c r="O2511" s="38"/>
      <c r="P2511" s="40" t="str" cm="1">
        <f t="array" ref="P2511">IF(N2511="","",IFERROR(_xlfn.XLOOKUP(F2511&amp;"|"&amp;J2511&amp;"|"&amp;O2511,PRICES!$C$2:$C$659&amp;"|"&amp;PRICES!$B$2:$B$659&amp;"|"&amp;PRICES!$D$2:$D$659,PRICES!$E$2:$E$659),"Not Found"))</f>
        <v/>
      </c>
      <c r="Q2511" s="100" t="str">
        <f>IF(N2511=0,"",SUMIFS(PRICES!$G$2:$G$658,PRICES!$B$2:$B$658,'MAIN TABLE-1 AUTOMATED'!J2511,PRICES!$C$2:$C$658,'MAIN TABLE-1 AUTOMATED'!F2511,PRICES!$D$2:$D$658,'MAIN TABLE-1 AUTOMATED'!O2511))</f>
        <v/>
      </c>
      <c r="R2511" s="41" t="str">
        <f>IF(Table1[[#This Row],[QUANTITY]]=0,"",Table1[[#This Row],[UNIT PRICE]]*Table1[[#This Row],[QUANTITY]])</f>
        <v/>
      </c>
      <c r="S2511" s="89"/>
      <c r="T2511" s="38"/>
      <c r="U2511" s="43"/>
      <c r="V2511" s="42" t="str">
        <f>IF(Table1[[#This Row],[DATE]]=0,"",YEAR(E2511))</f>
        <v/>
      </c>
      <c r="W2511" s="40" t="str">
        <f t="shared" si="82"/>
        <v/>
      </c>
      <c r="X2511" s="40" t="str">
        <f t="shared" si="83"/>
        <v/>
      </c>
      <c r="Y2511" s="40" t="str">
        <f>TEXT(Table1[[#This Row],[YEAR]],"0000")&amp;"-"&amp;Table1[[#This Row],[MONTH]]</f>
        <v>-</v>
      </c>
    </row>
    <row r="2512" spans="1:25" ht="15" customHeight="1" x14ac:dyDescent="0.35">
      <c r="A2512" s="24"/>
      <c r="B2512" s="38"/>
      <c r="C2512" s="38"/>
      <c r="D2512" s="38"/>
      <c r="E2512" s="37"/>
      <c r="F2512" s="38"/>
      <c r="G2512" s="198"/>
      <c r="H2512" s="198"/>
      <c r="I2512" s="39"/>
      <c r="J2512" s="38"/>
      <c r="K2512" s="198"/>
      <c r="L2512" s="38"/>
      <c r="M2512" s="38"/>
      <c r="N2512" s="38"/>
      <c r="O2512" s="38"/>
      <c r="P2512" s="40" t="str" cm="1">
        <f t="array" ref="P2512">IF(N2512="","",IFERROR(_xlfn.XLOOKUP(F2512&amp;"|"&amp;J2512&amp;"|"&amp;O2512,PRICES!$C$2:$C$659&amp;"|"&amp;PRICES!$B$2:$B$659&amp;"|"&amp;PRICES!$D$2:$D$659,PRICES!$E$2:$E$659),"Not Found"))</f>
        <v/>
      </c>
      <c r="Q2512" s="100" t="str">
        <f>IF(N2512=0,"",SUMIFS(PRICES!$G$2:$G$658,PRICES!$B$2:$B$658,'MAIN TABLE-1 AUTOMATED'!J2512,PRICES!$C$2:$C$658,'MAIN TABLE-1 AUTOMATED'!F2512,PRICES!$D$2:$D$658,'MAIN TABLE-1 AUTOMATED'!O2512))</f>
        <v/>
      </c>
      <c r="R2512" s="41" t="str">
        <f>IF(Table1[[#This Row],[QUANTITY]]=0,"",Table1[[#This Row],[UNIT PRICE]]*Table1[[#This Row],[QUANTITY]])</f>
        <v/>
      </c>
      <c r="S2512" s="89"/>
      <c r="T2512" s="38"/>
      <c r="U2512" s="43"/>
      <c r="V2512" s="42" t="str">
        <f>IF(Table1[[#This Row],[DATE]]=0,"",YEAR(E2512))</f>
        <v/>
      </c>
      <c r="W2512" s="40" t="str">
        <f t="shared" si="82"/>
        <v/>
      </c>
      <c r="X2512" s="40" t="str">
        <f t="shared" si="83"/>
        <v/>
      </c>
      <c r="Y2512" s="40" t="str">
        <f>TEXT(Table1[[#This Row],[YEAR]],"0000")&amp;"-"&amp;Table1[[#This Row],[MONTH]]</f>
        <v>-</v>
      </c>
    </row>
    <row r="2513" spans="1:25" ht="15" customHeight="1" x14ac:dyDescent="0.35">
      <c r="A2513" s="24"/>
      <c r="B2513" s="38"/>
      <c r="C2513" s="38"/>
      <c r="D2513" s="38"/>
      <c r="E2513" s="37"/>
      <c r="F2513" s="38"/>
      <c r="G2513" s="198"/>
      <c r="H2513" s="198"/>
      <c r="I2513" s="39"/>
      <c r="J2513" s="38"/>
      <c r="K2513" s="198"/>
      <c r="L2513" s="38"/>
      <c r="M2513" s="38"/>
      <c r="N2513" s="38"/>
      <c r="O2513" s="38"/>
      <c r="P2513" s="40" t="str" cm="1">
        <f t="array" ref="P2513">IF(N2513="","",IFERROR(_xlfn.XLOOKUP(F2513&amp;"|"&amp;J2513&amp;"|"&amp;O2513,PRICES!$C$2:$C$659&amp;"|"&amp;PRICES!$B$2:$B$659&amp;"|"&amp;PRICES!$D$2:$D$659,PRICES!$E$2:$E$659),"Not Found"))</f>
        <v/>
      </c>
      <c r="Q2513" s="100" t="str">
        <f>IF(N2513=0,"",SUMIFS(PRICES!$G$2:$G$658,PRICES!$B$2:$B$658,'MAIN TABLE-1 AUTOMATED'!J2513,PRICES!$C$2:$C$658,'MAIN TABLE-1 AUTOMATED'!F2513,PRICES!$D$2:$D$658,'MAIN TABLE-1 AUTOMATED'!O2513))</f>
        <v/>
      </c>
      <c r="R2513" s="41" t="str">
        <f>IF(Table1[[#This Row],[QUANTITY]]=0,"",Table1[[#This Row],[UNIT PRICE]]*Table1[[#This Row],[QUANTITY]])</f>
        <v/>
      </c>
      <c r="S2513" s="89"/>
      <c r="T2513" s="38"/>
      <c r="U2513" s="43"/>
      <c r="V2513" s="42" t="str">
        <f>IF(Table1[[#This Row],[DATE]]=0,"",YEAR(E2513))</f>
        <v/>
      </c>
      <c r="W2513" s="40" t="str">
        <f t="shared" si="82"/>
        <v/>
      </c>
      <c r="X2513" s="40" t="str">
        <f t="shared" si="83"/>
        <v/>
      </c>
      <c r="Y2513" s="40" t="str">
        <f>TEXT(Table1[[#This Row],[YEAR]],"0000")&amp;"-"&amp;Table1[[#This Row],[MONTH]]</f>
        <v>-</v>
      </c>
    </row>
    <row r="2514" spans="1:25" ht="15" customHeight="1" x14ac:dyDescent="0.35">
      <c r="A2514" s="24"/>
      <c r="B2514" s="38"/>
      <c r="C2514" s="38"/>
      <c r="D2514" s="38"/>
      <c r="E2514" s="37"/>
      <c r="F2514" s="38"/>
      <c r="G2514" s="198"/>
      <c r="H2514" s="198"/>
      <c r="I2514" s="39"/>
      <c r="J2514" s="38"/>
      <c r="K2514" s="198"/>
      <c r="L2514" s="38"/>
      <c r="M2514" s="38"/>
      <c r="N2514" s="38"/>
      <c r="O2514" s="38"/>
      <c r="P2514" s="40" t="str" cm="1">
        <f t="array" ref="P2514">IF(N2514="","",IFERROR(_xlfn.XLOOKUP(F2514&amp;"|"&amp;J2514&amp;"|"&amp;O2514,PRICES!$C$2:$C$659&amp;"|"&amp;PRICES!$B$2:$B$659&amp;"|"&amp;PRICES!$D$2:$D$659,PRICES!$E$2:$E$659),"Not Found"))</f>
        <v/>
      </c>
      <c r="Q2514" s="100" t="str">
        <f>IF(N2514=0,"",SUMIFS(PRICES!$G$2:$G$658,PRICES!$B$2:$B$658,'MAIN TABLE-1 AUTOMATED'!J2514,PRICES!$C$2:$C$658,'MAIN TABLE-1 AUTOMATED'!F2514,PRICES!$D$2:$D$658,'MAIN TABLE-1 AUTOMATED'!O2514))</f>
        <v/>
      </c>
      <c r="R2514" s="41" t="str">
        <f>IF(Table1[[#This Row],[QUANTITY]]=0,"",Table1[[#This Row],[UNIT PRICE]]*Table1[[#This Row],[QUANTITY]])</f>
        <v/>
      </c>
      <c r="S2514" s="89"/>
      <c r="T2514" s="38"/>
      <c r="U2514" s="43"/>
      <c r="V2514" s="42" t="str">
        <f>IF(Table1[[#This Row],[DATE]]=0,"",YEAR(E2514))</f>
        <v/>
      </c>
      <c r="W2514" s="40" t="str">
        <f t="shared" si="82"/>
        <v/>
      </c>
      <c r="X2514" s="40" t="str">
        <f t="shared" si="83"/>
        <v/>
      </c>
      <c r="Y2514" s="40" t="str">
        <f>TEXT(Table1[[#This Row],[YEAR]],"0000")&amp;"-"&amp;Table1[[#This Row],[MONTH]]</f>
        <v>-</v>
      </c>
    </row>
    <row r="2515" spans="1:25" ht="15" customHeight="1" x14ac:dyDescent="0.35">
      <c r="A2515" s="24"/>
      <c r="B2515" s="38"/>
      <c r="C2515" s="38"/>
      <c r="D2515" s="38"/>
      <c r="E2515" s="37"/>
      <c r="F2515" s="38"/>
      <c r="G2515" s="198"/>
      <c r="H2515" s="198"/>
      <c r="I2515" s="39"/>
      <c r="J2515" s="38"/>
      <c r="K2515" s="198"/>
      <c r="L2515" s="38"/>
      <c r="M2515" s="38"/>
      <c r="N2515" s="38"/>
      <c r="O2515" s="38"/>
      <c r="P2515" s="40" t="str" cm="1">
        <f t="array" ref="P2515">IF(N2515="","",IFERROR(_xlfn.XLOOKUP(F2515&amp;"|"&amp;J2515&amp;"|"&amp;O2515,PRICES!$C$2:$C$659&amp;"|"&amp;PRICES!$B$2:$B$659&amp;"|"&amp;PRICES!$D$2:$D$659,PRICES!$E$2:$E$659),"Not Found"))</f>
        <v/>
      </c>
      <c r="Q2515" s="100" t="str">
        <f>IF(N2515=0,"",SUMIFS(PRICES!$G$2:$G$658,PRICES!$B$2:$B$658,'MAIN TABLE-1 AUTOMATED'!J2515,PRICES!$C$2:$C$658,'MAIN TABLE-1 AUTOMATED'!F2515,PRICES!$D$2:$D$658,'MAIN TABLE-1 AUTOMATED'!O2515))</f>
        <v/>
      </c>
      <c r="R2515" s="41" t="str">
        <f>IF(Table1[[#This Row],[QUANTITY]]=0,"",Table1[[#This Row],[UNIT PRICE]]*Table1[[#This Row],[QUANTITY]])</f>
        <v/>
      </c>
      <c r="S2515" s="89"/>
      <c r="T2515" s="38"/>
      <c r="U2515" s="43"/>
      <c r="V2515" s="42" t="str">
        <f>IF(Table1[[#This Row],[DATE]]=0,"",YEAR(E2515))</f>
        <v/>
      </c>
      <c r="W2515" s="40" t="str">
        <f t="shared" si="82"/>
        <v/>
      </c>
      <c r="X2515" s="40" t="str">
        <f t="shared" si="83"/>
        <v/>
      </c>
      <c r="Y2515" s="40" t="str">
        <f>TEXT(Table1[[#This Row],[YEAR]],"0000")&amp;"-"&amp;Table1[[#This Row],[MONTH]]</f>
        <v>-</v>
      </c>
    </row>
    <row r="2516" spans="1:25" ht="15" customHeight="1" x14ac:dyDescent="0.35">
      <c r="A2516" s="24"/>
      <c r="B2516" s="38"/>
      <c r="C2516" s="38"/>
      <c r="D2516" s="38"/>
      <c r="E2516" s="37"/>
      <c r="F2516" s="38"/>
      <c r="G2516" s="198"/>
      <c r="H2516" s="198"/>
      <c r="I2516" s="39"/>
      <c r="J2516" s="38"/>
      <c r="K2516" s="198"/>
      <c r="L2516" s="38"/>
      <c r="M2516" s="38"/>
      <c r="N2516" s="38"/>
      <c r="O2516" s="38"/>
      <c r="P2516" s="40" t="str" cm="1">
        <f t="array" ref="P2516">IF(N2516="","",IFERROR(_xlfn.XLOOKUP(F2516&amp;"|"&amp;J2516&amp;"|"&amp;O2516,PRICES!$C$2:$C$659&amp;"|"&amp;PRICES!$B$2:$B$659&amp;"|"&amp;PRICES!$D$2:$D$659,PRICES!$E$2:$E$659),"Not Found"))</f>
        <v/>
      </c>
      <c r="Q2516" s="100" t="str">
        <f>IF(N2516=0,"",SUMIFS(PRICES!$G$2:$G$658,PRICES!$B$2:$B$658,'MAIN TABLE-1 AUTOMATED'!J2516,PRICES!$C$2:$C$658,'MAIN TABLE-1 AUTOMATED'!F2516,PRICES!$D$2:$D$658,'MAIN TABLE-1 AUTOMATED'!O2516))</f>
        <v/>
      </c>
      <c r="R2516" s="41" t="str">
        <f>IF(Table1[[#This Row],[QUANTITY]]=0,"",Table1[[#This Row],[UNIT PRICE]]*Table1[[#This Row],[QUANTITY]])</f>
        <v/>
      </c>
      <c r="S2516" s="89"/>
      <c r="T2516" s="38"/>
      <c r="U2516" s="43"/>
      <c r="V2516" s="42" t="str">
        <f>IF(Table1[[#This Row],[DATE]]=0,"",YEAR(E2516))</f>
        <v/>
      </c>
      <c r="W2516" s="40" t="str">
        <f t="shared" si="82"/>
        <v/>
      </c>
      <c r="X2516" s="40" t="str">
        <f t="shared" si="83"/>
        <v/>
      </c>
      <c r="Y2516" s="40" t="str">
        <f>TEXT(Table1[[#This Row],[YEAR]],"0000")&amp;"-"&amp;Table1[[#This Row],[MONTH]]</f>
        <v>-</v>
      </c>
    </row>
    <row r="2517" spans="1:25" ht="15" customHeight="1" x14ac:dyDescent="0.35">
      <c r="A2517" s="24"/>
      <c r="B2517" s="38"/>
      <c r="C2517" s="38"/>
      <c r="D2517" s="38"/>
      <c r="E2517" s="37"/>
      <c r="F2517" s="38"/>
      <c r="G2517" s="198"/>
      <c r="H2517" s="198"/>
      <c r="I2517" s="39"/>
      <c r="J2517" s="38"/>
      <c r="K2517" s="198"/>
      <c r="L2517" s="38"/>
      <c r="M2517" s="38"/>
      <c r="N2517" s="38"/>
      <c r="O2517" s="38"/>
      <c r="P2517" s="40" t="str" cm="1">
        <f t="array" ref="P2517">IF(N2517="","",IFERROR(_xlfn.XLOOKUP(F2517&amp;"|"&amp;J2517&amp;"|"&amp;O2517,PRICES!$C$2:$C$659&amp;"|"&amp;PRICES!$B$2:$B$659&amp;"|"&amp;PRICES!$D$2:$D$659,PRICES!$E$2:$E$659),"Not Found"))</f>
        <v/>
      </c>
      <c r="Q2517" s="100" t="str">
        <f>IF(N2517=0,"",SUMIFS(PRICES!$G$2:$G$658,PRICES!$B$2:$B$658,'MAIN TABLE-1 AUTOMATED'!J2517,PRICES!$C$2:$C$658,'MAIN TABLE-1 AUTOMATED'!F2517,PRICES!$D$2:$D$658,'MAIN TABLE-1 AUTOMATED'!O2517))</f>
        <v/>
      </c>
      <c r="R2517" s="41" t="str">
        <f>IF(Table1[[#This Row],[QUANTITY]]=0,"",Table1[[#This Row],[UNIT PRICE]]*Table1[[#This Row],[QUANTITY]])</f>
        <v/>
      </c>
      <c r="S2517" s="89"/>
      <c r="T2517" s="38"/>
      <c r="U2517" s="43"/>
      <c r="V2517" s="42" t="str">
        <f>IF(Table1[[#This Row],[DATE]]=0,"",YEAR(E2517))</f>
        <v/>
      </c>
      <c r="W2517" s="40" t="str">
        <f t="shared" si="82"/>
        <v/>
      </c>
      <c r="X2517" s="40" t="str">
        <f t="shared" si="83"/>
        <v/>
      </c>
      <c r="Y2517" s="40" t="str">
        <f>TEXT(Table1[[#This Row],[YEAR]],"0000")&amp;"-"&amp;Table1[[#This Row],[MONTH]]</f>
        <v>-</v>
      </c>
    </row>
    <row r="2518" spans="1:25" ht="15" customHeight="1" x14ac:dyDescent="0.35">
      <c r="A2518" s="24"/>
      <c r="B2518" s="38"/>
      <c r="C2518" s="38"/>
      <c r="D2518" s="38"/>
      <c r="E2518" s="37"/>
      <c r="F2518" s="38"/>
      <c r="G2518" s="198"/>
      <c r="H2518" s="198"/>
      <c r="I2518" s="39"/>
      <c r="J2518" s="38"/>
      <c r="K2518" s="198"/>
      <c r="L2518" s="38"/>
      <c r="M2518" s="38"/>
      <c r="N2518" s="38"/>
      <c r="O2518" s="38"/>
      <c r="P2518" s="40" t="str" cm="1">
        <f t="array" ref="P2518">IF(N2518="","",IFERROR(_xlfn.XLOOKUP(F2518&amp;"|"&amp;J2518&amp;"|"&amp;O2518,PRICES!$C$2:$C$659&amp;"|"&amp;PRICES!$B$2:$B$659&amp;"|"&amp;PRICES!$D$2:$D$659,PRICES!$E$2:$E$659),"Not Found"))</f>
        <v/>
      </c>
      <c r="Q2518" s="100" t="str">
        <f>IF(N2518=0,"",SUMIFS(PRICES!$G$2:$G$658,PRICES!$B$2:$B$658,'MAIN TABLE-1 AUTOMATED'!J2518,PRICES!$C$2:$C$658,'MAIN TABLE-1 AUTOMATED'!F2518,PRICES!$D$2:$D$658,'MAIN TABLE-1 AUTOMATED'!O2518))</f>
        <v/>
      </c>
      <c r="R2518" s="41" t="str">
        <f>IF(Table1[[#This Row],[QUANTITY]]=0,"",Table1[[#This Row],[UNIT PRICE]]*Table1[[#This Row],[QUANTITY]])</f>
        <v/>
      </c>
      <c r="S2518" s="89"/>
      <c r="T2518" s="38"/>
      <c r="U2518" s="43"/>
      <c r="V2518" s="42" t="str">
        <f>IF(Table1[[#This Row],[DATE]]=0,"",YEAR(E2518))</f>
        <v/>
      </c>
      <c r="W2518" s="40" t="str">
        <f t="shared" si="82"/>
        <v/>
      </c>
      <c r="X2518" s="40" t="str">
        <f t="shared" si="83"/>
        <v/>
      </c>
      <c r="Y2518" s="40" t="str">
        <f>TEXT(Table1[[#This Row],[YEAR]],"0000")&amp;"-"&amp;Table1[[#This Row],[MONTH]]</f>
        <v>-</v>
      </c>
    </row>
    <row r="2519" spans="1:25" ht="15" customHeight="1" x14ac:dyDescent="0.35">
      <c r="A2519" s="24"/>
      <c r="B2519" s="38"/>
      <c r="C2519" s="38"/>
      <c r="D2519" s="38"/>
      <c r="E2519" s="37"/>
      <c r="F2519" s="38"/>
      <c r="G2519" s="198"/>
      <c r="H2519" s="198"/>
      <c r="I2519" s="39"/>
      <c r="J2519" s="38"/>
      <c r="K2519" s="198"/>
      <c r="L2519" s="38"/>
      <c r="M2519" s="38"/>
      <c r="N2519" s="38"/>
      <c r="O2519" s="38"/>
      <c r="P2519" s="40" t="str" cm="1">
        <f t="array" ref="P2519">IF(N2519="","",IFERROR(_xlfn.XLOOKUP(F2519&amp;"|"&amp;J2519&amp;"|"&amp;O2519,PRICES!$C$2:$C$659&amp;"|"&amp;PRICES!$B$2:$B$659&amp;"|"&amp;PRICES!$D$2:$D$659,PRICES!$E$2:$E$659),"Not Found"))</f>
        <v/>
      </c>
      <c r="Q2519" s="100" t="str">
        <f>IF(N2519=0,"",SUMIFS(PRICES!$G$2:$G$658,PRICES!$B$2:$B$658,'MAIN TABLE-1 AUTOMATED'!J2519,PRICES!$C$2:$C$658,'MAIN TABLE-1 AUTOMATED'!F2519,PRICES!$D$2:$D$658,'MAIN TABLE-1 AUTOMATED'!O2519))</f>
        <v/>
      </c>
      <c r="R2519" s="41" t="str">
        <f>IF(Table1[[#This Row],[QUANTITY]]=0,"",Table1[[#This Row],[UNIT PRICE]]*Table1[[#This Row],[QUANTITY]])</f>
        <v/>
      </c>
      <c r="S2519" s="89"/>
      <c r="T2519" s="38"/>
      <c r="U2519" s="43"/>
      <c r="V2519" s="42" t="str">
        <f>IF(Table1[[#This Row],[DATE]]=0,"",YEAR(E2519))</f>
        <v/>
      </c>
      <c r="W2519" s="40" t="str">
        <f t="shared" si="82"/>
        <v/>
      </c>
      <c r="X2519" s="40" t="str">
        <f t="shared" si="83"/>
        <v/>
      </c>
      <c r="Y2519" s="40" t="str">
        <f>TEXT(Table1[[#This Row],[YEAR]],"0000")&amp;"-"&amp;Table1[[#This Row],[MONTH]]</f>
        <v>-</v>
      </c>
    </row>
    <row r="2520" spans="1:25" ht="15" customHeight="1" x14ac:dyDescent="0.35">
      <c r="A2520" s="24"/>
      <c r="B2520" s="38"/>
      <c r="C2520" s="38"/>
      <c r="D2520" s="38"/>
      <c r="E2520" s="37"/>
      <c r="F2520" s="38"/>
      <c r="G2520" s="198"/>
      <c r="H2520" s="198"/>
      <c r="I2520" s="39"/>
      <c r="J2520" s="38"/>
      <c r="K2520" s="198"/>
      <c r="L2520" s="38"/>
      <c r="M2520" s="38"/>
      <c r="N2520" s="38"/>
      <c r="O2520" s="38"/>
      <c r="P2520" s="40" t="str" cm="1">
        <f t="array" ref="P2520">IF(N2520="","",IFERROR(_xlfn.XLOOKUP(F2520&amp;"|"&amp;J2520&amp;"|"&amp;O2520,PRICES!$C$2:$C$659&amp;"|"&amp;PRICES!$B$2:$B$659&amp;"|"&amp;PRICES!$D$2:$D$659,PRICES!$E$2:$E$659),"Not Found"))</f>
        <v/>
      </c>
      <c r="Q2520" s="100" t="str">
        <f>IF(N2520=0,"",SUMIFS(PRICES!$G$2:$G$658,PRICES!$B$2:$B$658,'MAIN TABLE-1 AUTOMATED'!J2520,PRICES!$C$2:$C$658,'MAIN TABLE-1 AUTOMATED'!F2520,PRICES!$D$2:$D$658,'MAIN TABLE-1 AUTOMATED'!O2520))</f>
        <v/>
      </c>
      <c r="R2520" s="41" t="str">
        <f>IF(Table1[[#This Row],[QUANTITY]]=0,"",Table1[[#This Row],[UNIT PRICE]]*Table1[[#This Row],[QUANTITY]])</f>
        <v/>
      </c>
      <c r="S2520" s="89"/>
      <c r="T2520" s="38"/>
      <c r="U2520" s="43"/>
      <c r="V2520" s="42" t="str">
        <f>IF(Table1[[#This Row],[DATE]]=0,"",YEAR(E2520))</f>
        <v/>
      </c>
      <c r="W2520" s="40" t="str">
        <f t="shared" si="82"/>
        <v/>
      </c>
      <c r="X2520" s="40" t="str">
        <f t="shared" si="83"/>
        <v/>
      </c>
      <c r="Y2520" s="40" t="str">
        <f>TEXT(Table1[[#This Row],[YEAR]],"0000")&amp;"-"&amp;Table1[[#This Row],[MONTH]]</f>
        <v>-</v>
      </c>
    </row>
    <row r="2521" spans="1:25" ht="15" customHeight="1" x14ac:dyDescent="0.35">
      <c r="A2521" s="24"/>
      <c r="B2521" s="38"/>
      <c r="C2521" s="38"/>
      <c r="D2521" s="38"/>
      <c r="E2521" s="37"/>
      <c r="F2521" s="38"/>
      <c r="G2521" s="198"/>
      <c r="H2521" s="198"/>
      <c r="I2521" s="39"/>
      <c r="J2521" s="38"/>
      <c r="K2521" s="198"/>
      <c r="L2521" s="38"/>
      <c r="M2521" s="38"/>
      <c r="N2521" s="38"/>
      <c r="O2521" s="38"/>
      <c r="P2521" s="40" t="str" cm="1">
        <f t="array" ref="P2521">IF(N2521="","",IFERROR(_xlfn.XLOOKUP(F2521&amp;"|"&amp;J2521&amp;"|"&amp;O2521,PRICES!$C$2:$C$659&amp;"|"&amp;PRICES!$B$2:$B$659&amp;"|"&amp;PRICES!$D$2:$D$659,PRICES!$E$2:$E$659),"Not Found"))</f>
        <v/>
      </c>
      <c r="Q2521" s="100" t="str">
        <f>IF(N2521=0,"",SUMIFS(PRICES!$G$2:$G$658,PRICES!$B$2:$B$658,'MAIN TABLE-1 AUTOMATED'!J2521,PRICES!$C$2:$C$658,'MAIN TABLE-1 AUTOMATED'!F2521,PRICES!$D$2:$D$658,'MAIN TABLE-1 AUTOMATED'!O2521))</f>
        <v/>
      </c>
      <c r="R2521" s="41" t="str">
        <f>IF(Table1[[#This Row],[QUANTITY]]=0,"",Table1[[#This Row],[UNIT PRICE]]*Table1[[#This Row],[QUANTITY]])</f>
        <v/>
      </c>
      <c r="S2521" s="89"/>
      <c r="T2521" s="38"/>
      <c r="U2521" s="43"/>
      <c r="V2521" s="42" t="str">
        <f>IF(Table1[[#This Row],[DATE]]=0,"",YEAR(E2521))</f>
        <v/>
      </c>
      <c r="W2521" s="40" t="str">
        <f t="shared" si="82"/>
        <v/>
      </c>
      <c r="X2521" s="40" t="str">
        <f t="shared" si="83"/>
        <v/>
      </c>
      <c r="Y2521" s="40" t="str">
        <f>TEXT(Table1[[#This Row],[YEAR]],"0000")&amp;"-"&amp;Table1[[#This Row],[MONTH]]</f>
        <v>-</v>
      </c>
    </row>
    <row r="2522" spans="1:25" ht="15" customHeight="1" x14ac:dyDescent="0.35">
      <c r="A2522" s="24"/>
      <c r="B2522" s="38"/>
      <c r="C2522" s="38"/>
      <c r="D2522" s="38"/>
      <c r="E2522" s="37"/>
      <c r="F2522" s="38"/>
      <c r="G2522" s="198"/>
      <c r="H2522" s="198"/>
      <c r="I2522" s="39"/>
      <c r="J2522" s="38"/>
      <c r="K2522" s="198"/>
      <c r="L2522" s="38"/>
      <c r="M2522" s="38"/>
      <c r="N2522" s="38"/>
      <c r="O2522" s="38"/>
      <c r="P2522" s="40" t="str" cm="1">
        <f t="array" ref="P2522">IF(N2522="","",IFERROR(_xlfn.XLOOKUP(F2522&amp;"|"&amp;J2522&amp;"|"&amp;O2522,PRICES!$C$2:$C$659&amp;"|"&amp;PRICES!$B$2:$B$659&amp;"|"&amp;PRICES!$D$2:$D$659,PRICES!$E$2:$E$659),"Not Found"))</f>
        <v/>
      </c>
      <c r="Q2522" s="100" t="str">
        <f>IF(N2522=0,"",SUMIFS(PRICES!$G$2:$G$658,PRICES!$B$2:$B$658,'MAIN TABLE-1 AUTOMATED'!J2522,PRICES!$C$2:$C$658,'MAIN TABLE-1 AUTOMATED'!F2522,PRICES!$D$2:$D$658,'MAIN TABLE-1 AUTOMATED'!O2522))</f>
        <v/>
      </c>
      <c r="R2522" s="41" t="str">
        <f>IF(Table1[[#This Row],[QUANTITY]]=0,"",Table1[[#This Row],[UNIT PRICE]]*Table1[[#This Row],[QUANTITY]])</f>
        <v/>
      </c>
      <c r="S2522" s="89"/>
      <c r="T2522" s="38"/>
      <c r="U2522" s="43"/>
      <c r="V2522" s="42" t="str">
        <f>IF(Table1[[#This Row],[DATE]]=0,"",YEAR(E2522))</f>
        <v/>
      </c>
      <c r="W2522" s="40" t="str">
        <f t="shared" si="82"/>
        <v/>
      </c>
      <c r="X2522" s="40" t="str">
        <f t="shared" si="83"/>
        <v/>
      </c>
      <c r="Y2522" s="40" t="str">
        <f>TEXT(Table1[[#This Row],[YEAR]],"0000")&amp;"-"&amp;Table1[[#This Row],[MONTH]]</f>
        <v>-</v>
      </c>
    </row>
    <row r="2523" spans="1:25" ht="15" customHeight="1" x14ac:dyDescent="0.35">
      <c r="A2523" s="24"/>
      <c r="B2523" s="38"/>
      <c r="C2523" s="38"/>
      <c r="D2523" s="38"/>
      <c r="E2523" s="37"/>
      <c r="F2523" s="38"/>
      <c r="G2523" s="198"/>
      <c r="H2523" s="198"/>
      <c r="I2523" s="39"/>
      <c r="J2523" s="38"/>
      <c r="K2523" s="198"/>
      <c r="L2523" s="38"/>
      <c r="M2523" s="38"/>
      <c r="N2523" s="38"/>
      <c r="O2523" s="38"/>
      <c r="P2523" s="40" t="str" cm="1">
        <f t="array" ref="P2523">IF(N2523="","",IFERROR(_xlfn.XLOOKUP(F2523&amp;"|"&amp;J2523&amp;"|"&amp;O2523,PRICES!$C$2:$C$659&amp;"|"&amp;PRICES!$B$2:$B$659&amp;"|"&amp;PRICES!$D$2:$D$659,PRICES!$E$2:$E$659),"Not Found"))</f>
        <v/>
      </c>
      <c r="Q2523" s="100" t="str">
        <f>IF(N2523=0,"",SUMIFS(PRICES!$G$2:$G$658,PRICES!$B$2:$B$658,'MAIN TABLE-1 AUTOMATED'!J2523,PRICES!$C$2:$C$658,'MAIN TABLE-1 AUTOMATED'!F2523,PRICES!$D$2:$D$658,'MAIN TABLE-1 AUTOMATED'!O2523))</f>
        <v/>
      </c>
      <c r="R2523" s="41" t="str">
        <f>IF(Table1[[#This Row],[QUANTITY]]=0,"",Table1[[#This Row],[UNIT PRICE]]*Table1[[#This Row],[QUANTITY]])</f>
        <v/>
      </c>
      <c r="S2523" s="89"/>
      <c r="T2523" s="38"/>
      <c r="U2523" s="43"/>
      <c r="V2523" s="42" t="str">
        <f>IF(Table1[[#This Row],[DATE]]=0,"",YEAR(E2523))</f>
        <v/>
      </c>
      <c r="W2523" s="40" t="str">
        <f t="shared" si="82"/>
        <v/>
      </c>
      <c r="X2523" s="40" t="str">
        <f t="shared" si="83"/>
        <v/>
      </c>
      <c r="Y2523" s="40" t="str">
        <f>TEXT(Table1[[#This Row],[YEAR]],"0000")&amp;"-"&amp;Table1[[#This Row],[MONTH]]</f>
        <v>-</v>
      </c>
    </row>
    <row r="2524" spans="1:25" ht="15" customHeight="1" x14ac:dyDescent="0.35">
      <c r="A2524" s="24"/>
      <c r="B2524" s="38"/>
      <c r="C2524" s="38"/>
      <c r="D2524" s="38"/>
      <c r="E2524" s="37"/>
      <c r="F2524" s="38"/>
      <c r="G2524" s="198"/>
      <c r="H2524" s="198"/>
      <c r="I2524" s="39"/>
      <c r="J2524" s="38"/>
      <c r="K2524" s="198"/>
      <c r="L2524" s="38"/>
      <c r="M2524" s="38"/>
      <c r="N2524" s="38"/>
      <c r="O2524" s="38"/>
      <c r="P2524" s="40" t="str" cm="1">
        <f t="array" ref="P2524">IF(N2524="","",IFERROR(_xlfn.XLOOKUP(F2524&amp;"|"&amp;J2524&amp;"|"&amp;O2524,PRICES!$C$2:$C$659&amp;"|"&amp;PRICES!$B$2:$B$659&amp;"|"&amp;PRICES!$D$2:$D$659,PRICES!$E$2:$E$659),"Not Found"))</f>
        <v/>
      </c>
      <c r="Q2524" s="100" t="str">
        <f>IF(N2524=0,"",SUMIFS(PRICES!$G$2:$G$658,PRICES!$B$2:$B$658,'MAIN TABLE-1 AUTOMATED'!J2524,PRICES!$C$2:$C$658,'MAIN TABLE-1 AUTOMATED'!F2524,PRICES!$D$2:$D$658,'MAIN TABLE-1 AUTOMATED'!O2524))</f>
        <v/>
      </c>
      <c r="R2524" s="41" t="str">
        <f>IF(Table1[[#This Row],[QUANTITY]]=0,"",Table1[[#This Row],[UNIT PRICE]]*Table1[[#This Row],[QUANTITY]])</f>
        <v/>
      </c>
      <c r="S2524" s="89"/>
      <c r="T2524" s="38"/>
      <c r="U2524" s="43"/>
      <c r="V2524" s="42" t="str">
        <f>IF(Table1[[#This Row],[DATE]]=0,"",YEAR(E2524))</f>
        <v/>
      </c>
      <c r="W2524" s="40" t="str">
        <f t="shared" si="82"/>
        <v/>
      </c>
      <c r="X2524" s="40" t="str">
        <f t="shared" si="83"/>
        <v/>
      </c>
      <c r="Y2524" s="40" t="str">
        <f>TEXT(Table1[[#This Row],[YEAR]],"0000")&amp;"-"&amp;Table1[[#This Row],[MONTH]]</f>
        <v>-</v>
      </c>
    </row>
    <row r="2525" spans="1:25" ht="15" customHeight="1" x14ac:dyDescent="0.35">
      <c r="A2525" s="24"/>
      <c r="B2525" s="38"/>
      <c r="C2525" s="38"/>
      <c r="D2525" s="38"/>
      <c r="E2525" s="37"/>
      <c r="F2525" s="38"/>
      <c r="G2525" s="198"/>
      <c r="H2525" s="198"/>
      <c r="I2525" s="39"/>
      <c r="J2525" s="38"/>
      <c r="K2525" s="198"/>
      <c r="L2525" s="38"/>
      <c r="M2525" s="38"/>
      <c r="N2525" s="38"/>
      <c r="O2525" s="38"/>
      <c r="P2525" s="40" t="str" cm="1">
        <f t="array" ref="P2525">IF(N2525="","",IFERROR(_xlfn.XLOOKUP(F2525&amp;"|"&amp;J2525&amp;"|"&amp;O2525,PRICES!$C$2:$C$659&amp;"|"&amp;PRICES!$B$2:$B$659&amp;"|"&amp;PRICES!$D$2:$D$659,PRICES!$E$2:$E$659),"Not Found"))</f>
        <v/>
      </c>
      <c r="Q2525" s="100" t="str">
        <f>IF(N2525=0,"",SUMIFS(PRICES!$G$2:$G$658,PRICES!$B$2:$B$658,'MAIN TABLE-1 AUTOMATED'!J2525,PRICES!$C$2:$C$658,'MAIN TABLE-1 AUTOMATED'!F2525,PRICES!$D$2:$D$658,'MAIN TABLE-1 AUTOMATED'!O2525))</f>
        <v/>
      </c>
      <c r="R2525" s="41" t="str">
        <f>IF(Table1[[#This Row],[QUANTITY]]=0,"",Table1[[#This Row],[UNIT PRICE]]*Table1[[#This Row],[QUANTITY]])</f>
        <v/>
      </c>
      <c r="S2525" s="89"/>
      <c r="T2525" s="38"/>
      <c r="U2525" s="43"/>
      <c r="V2525" s="42" t="str">
        <f>IF(Table1[[#This Row],[DATE]]=0,"",YEAR(E2525))</f>
        <v/>
      </c>
      <c r="W2525" s="40" t="str">
        <f t="shared" si="82"/>
        <v/>
      </c>
      <c r="X2525" s="40" t="str">
        <f t="shared" si="83"/>
        <v/>
      </c>
      <c r="Y2525" s="40" t="str">
        <f>TEXT(Table1[[#This Row],[YEAR]],"0000")&amp;"-"&amp;Table1[[#This Row],[MONTH]]</f>
        <v>-</v>
      </c>
    </row>
    <row r="2526" spans="1:25" ht="15" customHeight="1" x14ac:dyDescent="0.35">
      <c r="A2526" s="24"/>
      <c r="B2526" s="38"/>
      <c r="C2526" s="38"/>
      <c r="D2526" s="38"/>
      <c r="E2526" s="37"/>
      <c r="F2526" s="38"/>
      <c r="G2526" s="198"/>
      <c r="H2526" s="198"/>
      <c r="I2526" s="39"/>
      <c r="J2526" s="38"/>
      <c r="K2526" s="198"/>
      <c r="L2526" s="38"/>
      <c r="M2526" s="38"/>
      <c r="N2526" s="38"/>
      <c r="O2526" s="38"/>
      <c r="P2526" s="40" t="str" cm="1">
        <f t="array" ref="P2526">IF(N2526="","",IFERROR(_xlfn.XLOOKUP(F2526&amp;"|"&amp;J2526&amp;"|"&amp;O2526,PRICES!$C$2:$C$659&amp;"|"&amp;PRICES!$B$2:$B$659&amp;"|"&amp;PRICES!$D$2:$D$659,PRICES!$E$2:$E$659),"Not Found"))</f>
        <v/>
      </c>
      <c r="Q2526" s="100" t="str">
        <f>IF(N2526=0,"",SUMIFS(PRICES!$G$2:$G$658,PRICES!$B$2:$B$658,'MAIN TABLE-1 AUTOMATED'!J2526,PRICES!$C$2:$C$658,'MAIN TABLE-1 AUTOMATED'!F2526,PRICES!$D$2:$D$658,'MAIN TABLE-1 AUTOMATED'!O2526))</f>
        <v/>
      </c>
      <c r="R2526" s="41" t="str">
        <f>IF(Table1[[#This Row],[QUANTITY]]=0,"",Table1[[#This Row],[UNIT PRICE]]*Table1[[#This Row],[QUANTITY]])</f>
        <v/>
      </c>
      <c r="S2526" s="89"/>
      <c r="T2526" s="38"/>
      <c r="U2526" s="43"/>
      <c r="V2526" s="42" t="str">
        <f>IF(Table1[[#This Row],[DATE]]=0,"",YEAR(E2526))</f>
        <v/>
      </c>
      <c r="W2526" s="40" t="str">
        <f t="shared" si="82"/>
        <v/>
      </c>
      <c r="X2526" s="40" t="str">
        <f t="shared" si="83"/>
        <v/>
      </c>
      <c r="Y2526" s="40" t="str">
        <f>TEXT(Table1[[#This Row],[YEAR]],"0000")&amp;"-"&amp;Table1[[#This Row],[MONTH]]</f>
        <v>-</v>
      </c>
    </row>
    <row r="2527" spans="1:25" ht="15" customHeight="1" x14ac:dyDescent="0.35">
      <c r="A2527" s="24"/>
      <c r="B2527" s="38"/>
      <c r="C2527" s="38"/>
      <c r="D2527" s="38"/>
      <c r="E2527" s="37"/>
      <c r="F2527" s="38"/>
      <c r="G2527" s="198"/>
      <c r="H2527" s="198"/>
      <c r="I2527" s="39"/>
      <c r="J2527" s="38"/>
      <c r="K2527" s="198"/>
      <c r="L2527" s="38"/>
      <c r="M2527" s="38"/>
      <c r="N2527" s="38"/>
      <c r="O2527" s="38"/>
      <c r="P2527" s="40" t="str" cm="1">
        <f t="array" ref="P2527">IF(N2527="","",IFERROR(_xlfn.XLOOKUP(F2527&amp;"|"&amp;J2527&amp;"|"&amp;O2527,PRICES!$C$2:$C$659&amp;"|"&amp;PRICES!$B$2:$B$659&amp;"|"&amp;PRICES!$D$2:$D$659,PRICES!$E$2:$E$659),"Not Found"))</f>
        <v/>
      </c>
      <c r="Q2527" s="100" t="str">
        <f>IF(N2527=0,"",SUMIFS(PRICES!$G$2:$G$658,PRICES!$B$2:$B$658,'MAIN TABLE-1 AUTOMATED'!J2527,PRICES!$C$2:$C$658,'MAIN TABLE-1 AUTOMATED'!F2527,PRICES!$D$2:$D$658,'MAIN TABLE-1 AUTOMATED'!O2527))</f>
        <v/>
      </c>
      <c r="R2527" s="41" t="str">
        <f>IF(Table1[[#This Row],[QUANTITY]]=0,"",Table1[[#This Row],[UNIT PRICE]]*Table1[[#This Row],[QUANTITY]])</f>
        <v/>
      </c>
      <c r="S2527" s="89"/>
      <c r="T2527" s="38"/>
      <c r="U2527" s="43"/>
      <c r="V2527" s="42" t="str">
        <f>IF(Table1[[#This Row],[DATE]]=0,"",YEAR(E2527))</f>
        <v/>
      </c>
      <c r="W2527" s="40" t="str">
        <f t="shared" si="82"/>
        <v/>
      </c>
      <c r="X2527" s="40" t="str">
        <f t="shared" si="83"/>
        <v/>
      </c>
      <c r="Y2527" s="40" t="str">
        <f>TEXT(Table1[[#This Row],[YEAR]],"0000")&amp;"-"&amp;Table1[[#This Row],[MONTH]]</f>
        <v>-</v>
      </c>
    </row>
    <row r="2528" spans="1:25" ht="15" customHeight="1" x14ac:dyDescent="0.35">
      <c r="A2528" s="24"/>
      <c r="B2528" s="38"/>
      <c r="C2528" s="38"/>
      <c r="D2528" s="38"/>
      <c r="E2528" s="37"/>
      <c r="F2528" s="38"/>
      <c r="G2528" s="198"/>
      <c r="H2528" s="198"/>
      <c r="I2528" s="39"/>
      <c r="J2528" s="38"/>
      <c r="K2528" s="198"/>
      <c r="L2528" s="38"/>
      <c r="M2528" s="38"/>
      <c r="N2528" s="38"/>
      <c r="O2528" s="38"/>
      <c r="P2528" s="40" t="str" cm="1">
        <f t="array" ref="P2528">IF(N2528="","",IFERROR(_xlfn.XLOOKUP(F2528&amp;"|"&amp;J2528&amp;"|"&amp;O2528,PRICES!$C$2:$C$659&amp;"|"&amp;PRICES!$B$2:$B$659&amp;"|"&amp;PRICES!$D$2:$D$659,PRICES!$E$2:$E$659),"Not Found"))</f>
        <v/>
      </c>
      <c r="Q2528" s="100" t="str">
        <f>IF(N2528=0,"",SUMIFS(PRICES!$G$2:$G$658,PRICES!$B$2:$B$658,'MAIN TABLE-1 AUTOMATED'!J2528,PRICES!$C$2:$C$658,'MAIN TABLE-1 AUTOMATED'!F2528,PRICES!$D$2:$D$658,'MAIN TABLE-1 AUTOMATED'!O2528))</f>
        <v/>
      </c>
      <c r="R2528" s="41" t="str">
        <f>IF(Table1[[#This Row],[QUANTITY]]=0,"",Table1[[#This Row],[UNIT PRICE]]*Table1[[#This Row],[QUANTITY]])</f>
        <v/>
      </c>
      <c r="S2528" s="89"/>
      <c r="T2528" s="38"/>
      <c r="U2528" s="43"/>
      <c r="V2528" s="42" t="str">
        <f>IF(Table1[[#This Row],[DATE]]=0,"",YEAR(E2528))</f>
        <v/>
      </c>
      <c r="W2528" s="40" t="str">
        <f t="shared" si="82"/>
        <v/>
      </c>
      <c r="X2528" s="40" t="str">
        <f t="shared" si="83"/>
        <v/>
      </c>
      <c r="Y2528" s="40" t="str">
        <f>TEXT(Table1[[#This Row],[YEAR]],"0000")&amp;"-"&amp;Table1[[#This Row],[MONTH]]</f>
        <v>-</v>
      </c>
    </row>
    <row r="2529" spans="1:25" ht="15" customHeight="1" x14ac:dyDescent="0.35">
      <c r="A2529" s="24"/>
      <c r="B2529" s="38"/>
      <c r="C2529" s="38"/>
      <c r="D2529" s="38"/>
      <c r="E2529" s="37"/>
      <c r="F2529" s="38"/>
      <c r="G2529" s="198"/>
      <c r="H2529" s="198"/>
      <c r="I2529" s="39"/>
      <c r="J2529" s="38"/>
      <c r="K2529" s="198"/>
      <c r="L2529" s="38"/>
      <c r="M2529" s="38"/>
      <c r="N2529" s="38"/>
      <c r="O2529" s="38"/>
      <c r="P2529" s="40" t="str" cm="1">
        <f t="array" ref="P2529">IF(N2529="","",IFERROR(_xlfn.XLOOKUP(F2529&amp;"|"&amp;J2529&amp;"|"&amp;O2529,PRICES!$C$2:$C$659&amp;"|"&amp;PRICES!$B$2:$B$659&amp;"|"&amp;PRICES!$D$2:$D$659,PRICES!$E$2:$E$659),"Not Found"))</f>
        <v/>
      </c>
      <c r="Q2529" s="100" t="str">
        <f>IF(N2529=0,"",SUMIFS(PRICES!$G$2:$G$658,PRICES!$B$2:$B$658,'MAIN TABLE-1 AUTOMATED'!J2529,PRICES!$C$2:$C$658,'MAIN TABLE-1 AUTOMATED'!F2529,PRICES!$D$2:$D$658,'MAIN TABLE-1 AUTOMATED'!O2529))</f>
        <v/>
      </c>
      <c r="R2529" s="41" t="str">
        <f>IF(Table1[[#This Row],[QUANTITY]]=0,"",Table1[[#This Row],[UNIT PRICE]]*Table1[[#This Row],[QUANTITY]])</f>
        <v/>
      </c>
      <c r="S2529" s="89"/>
      <c r="T2529" s="38"/>
      <c r="U2529" s="43"/>
      <c r="V2529" s="42" t="str">
        <f>IF(Table1[[#This Row],[DATE]]=0,"",YEAR(E2529))</f>
        <v/>
      </c>
      <c r="W2529" s="40" t="str">
        <f t="shared" si="82"/>
        <v/>
      </c>
      <c r="X2529" s="40" t="str">
        <f t="shared" si="83"/>
        <v/>
      </c>
      <c r="Y2529" s="40" t="str">
        <f>TEXT(Table1[[#This Row],[YEAR]],"0000")&amp;"-"&amp;Table1[[#This Row],[MONTH]]</f>
        <v>-</v>
      </c>
    </row>
    <row r="2530" spans="1:25" ht="15" customHeight="1" x14ac:dyDescent="0.35">
      <c r="A2530" s="24"/>
      <c r="B2530" s="38"/>
      <c r="C2530" s="38"/>
      <c r="D2530" s="38"/>
      <c r="E2530" s="37"/>
      <c r="F2530" s="38"/>
      <c r="G2530" s="198"/>
      <c r="H2530" s="198"/>
      <c r="I2530" s="39"/>
      <c r="J2530" s="38"/>
      <c r="K2530" s="198"/>
      <c r="L2530" s="38"/>
      <c r="M2530" s="38"/>
      <c r="N2530" s="38"/>
      <c r="O2530" s="38"/>
      <c r="P2530" s="40" t="str" cm="1">
        <f t="array" ref="P2530">IF(N2530="","",IFERROR(_xlfn.XLOOKUP(F2530&amp;"|"&amp;J2530&amp;"|"&amp;O2530,PRICES!$C$2:$C$659&amp;"|"&amp;PRICES!$B$2:$B$659&amp;"|"&amp;PRICES!$D$2:$D$659,PRICES!$E$2:$E$659),"Not Found"))</f>
        <v/>
      </c>
      <c r="Q2530" s="100" t="str">
        <f>IF(N2530=0,"",SUMIFS(PRICES!$G$2:$G$658,PRICES!$B$2:$B$658,'MAIN TABLE-1 AUTOMATED'!J2530,PRICES!$C$2:$C$658,'MAIN TABLE-1 AUTOMATED'!F2530,PRICES!$D$2:$D$658,'MAIN TABLE-1 AUTOMATED'!O2530))</f>
        <v/>
      </c>
      <c r="R2530" s="41" t="str">
        <f>IF(Table1[[#This Row],[QUANTITY]]=0,"",Table1[[#This Row],[UNIT PRICE]]*Table1[[#This Row],[QUANTITY]])</f>
        <v/>
      </c>
      <c r="S2530" s="89"/>
      <c r="T2530" s="38"/>
      <c r="U2530" s="43"/>
      <c r="V2530" s="42" t="str">
        <f>IF(Table1[[#This Row],[DATE]]=0,"",YEAR(E2530))</f>
        <v/>
      </c>
      <c r="W2530" s="40" t="str">
        <f t="shared" si="82"/>
        <v/>
      </c>
      <c r="X2530" s="40" t="str">
        <f t="shared" si="83"/>
        <v/>
      </c>
      <c r="Y2530" s="40" t="str">
        <f>TEXT(Table1[[#This Row],[YEAR]],"0000")&amp;"-"&amp;Table1[[#This Row],[MONTH]]</f>
        <v>-</v>
      </c>
    </row>
    <row r="2531" spans="1:25" ht="15" customHeight="1" x14ac:dyDescent="0.35">
      <c r="A2531" s="24"/>
      <c r="B2531" s="38"/>
      <c r="C2531" s="38"/>
      <c r="D2531" s="38"/>
      <c r="E2531" s="37"/>
      <c r="F2531" s="38"/>
      <c r="G2531" s="198"/>
      <c r="H2531" s="198"/>
      <c r="I2531" s="39"/>
      <c r="J2531" s="38"/>
      <c r="K2531" s="198"/>
      <c r="L2531" s="38"/>
      <c r="M2531" s="38"/>
      <c r="N2531" s="38"/>
      <c r="O2531" s="38"/>
      <c r="P2531" s="40" t="str" cm="1">
        <f t="array" ref="P2531">IF(N2531="","",IFERROR(_xlfn.XLOOKUP(F2531&amp;"|"&amp;J2531&amp;"|"&amp;O2531,PRICES!$C$2:$C$659&amp;"|"&amp;PRICES!$B$2:$B$659&amp;"|"&amp;PRICES!$D$2:$D$659,PRICES!$E$2:$E$659),"Not Found"))</f>
        <v/>
      </c>
      <c r="Q2531" s="100" t="str">
        <f>IF(N2531=0,"",SUMIFS(PRICES!$G$2:$G$658,PRICES!$B$2:$B$658,'MAIN TABLE-1 AUTOMATED'!J2531,PRICES!$C$2:$C$658,'MAIN TABLE-1 AUTOMATED'!F2531,PRICES!$D$2:$D$658,'MAIN TABLE-1 AUTOMATED'!O2531))</f>
        <v/>
      </c>
      <c r="R2531" s="41" t="str">
        <f>IF(Table1[[#This Row],[QUANTITY]]=0,"",Table1[[#This Row],[UNIT PRICE]]*Table1[[#This Row],[QUANTITY]])</f>
        <v/>
      </c>
      <c r="S2531" s="89"/>
      <c r="T2531" s="38"/>
      <c r="U2531" s="43"/>
      <c r="V2531" s="42" t="str">
        <f>IF(Table1[[#This Row],[DATE]]=0,"",YEAR(E2531))</f>
        <v/>
      </c>
      <c r="W2531" s="40" t="str">
        <f t="shared" si="82"/>
        <v/>
      </c>
      <c r="X2531" s="40" t="str">
        <f t="shared" si="83"/>
        <v/>
      </c>
      <c r="Y2531" s="40" t="str">
        <f>TEXT(Table1[[#This Row],[YEAR]],"0000")&amp;"-"&amp;Table1[[#This Row],[MONTH]]</f>
        <v>-</v>
      </c>
    </row>
    <row r="2532" spans="1:25" ht="15" customHeight="1" x14ac:dyDescent="0.35">
      <c r="A2532" s="24"/>
      <c r="B2532" s="38"/>
      <c r="C2532" s="38"/>
      <c r="D2532" s="38"/>
      <c r="E2532" s="37"/>
      <c r="F2532" s="38"/>
      <c r="G2532" s="198"/>
      <c r="H2532" s="198"/>
      <c r="I2532" s="39"/>
      <c r="J2532" s="38"/>
      <c r="K2532" s="198"/>
      <c r="L2532" s="38"/>
      <c r="M2532" s="38"/>
      <c r="N2532" s="38"/>
      <c r="O2532" s="38"/>
      <c r="P2532" s="40" t="str" cm="1">
        <f t="array" ref="P2532">IF(N2532="","",IFERROR(_xlfn.XLOOKUP(F2532&amp;"|"&amp;J2532&amp;"|"&amp;O2532,PRICES!$C$2:$C$659&amp;"|"&amp;PRICES!$B$2:$B$659&amp;"|"&amp;PRICES!$D$2:$D$659,PRICES!$E$2:$E$659),"Not Found"))</f>
        <v/>
      </c>
      <c r="Q2532" s="100" t="str">
        <f>IF(N2532=0,"",SUMIFS(PRICES!$G$2:$G$658,PRICES!$B$2:$B$658,'MAIN TABLE-1 AUTOMATED'!J2532,PRICES!$C$2:$C$658,'MAIN TABLE-1 AUTOMATED'!F2532,PRICES!$D$2:$D$658,'MAIN TABLE-1 AUTOMATED'!O2532))</f>
        <v/>
      </c>
      <c r="R2532" s="41" t="str">
        <f>IF(Table1[[#This Row],[QUANTITY]]=0,"",Table1[[#This Row],[UNIT PRICE]]*Table1[[#This Row],[QUANTITY]])</f>
        <v/>
      </c>
      <c r="S2532" s="89"/>
      <c r="T2532" s="38"/>
      <c r="U2532" s="43"/>
      <c r="V2532" s="42" t="str">
        <f>IF(Table1[[#This Row],[DATE]]=0,"",YEAR(E2532))</f>
        <v/>
      </c>
      <c r="W2532" s="40" t="str">
        <f t="shared" si="82"/>
        <v/>
      </c>
      <c r="X2532" s="40" t="str">
        <f t="shared" si="83"/>
        <v/>
      </c>
      <c r="Y2532" s="40" t="str">
        <f>TEXT(Table1[[#This Row],[YEAR]],"0000")&amp;"-"&amp;Table1[[#This Row],[MONTH]]</f>
        <v>-</v>
      </c>
    </row>
    <row r="2533" spans="1:25" ht="15" customHeight="1" x14ac:dyDescent="0.35">
      <c r="A2533" s="24"/>
      <c r="B2533" s="38"/>
      <c r="C2533" s="38"/>
      <c r="D2533" s="38"/>
      <c r="E2533" s="37"/>
      <c r="F2533" s="38"/>
      <c r="G2533" s="198"/>
      <c r="H2533" s="198"/>
      <c r="I2533" s="39"/>
      <c r="J2533" s="38"/>
      <c r="K2533" s="198"/>
      <c r="L2533" s="38"/>
      <c r="M2533" s="38"/>
      <c r="N2533" s="38"/>
      <c r="O2533" s="38"/>
      <c r="P2533" s="40" t="str" cm="1">
        <f t="array" ref="P2533">IF(N2533="","",IFERROR(_xlfn.XLOOKUP(F2533&amp;"|"&amp;J2533&amp;"|"&amp;O2533,PRICES!$C$2:$C$659&amp;"|"&amp;PRICES!$B$2:$B$659&amp;"|"&amp;PRICES!$D$2:$D$659,PRICES!$E$2:$E$659),"Not Found"))</f>
        <v/>
      </c>
      <c r="Q2533" s="100" t="str">
        <f>IF(N2533=0,"",SUMIFS(PRICES!$G$2:$G$658,PRICES!$B$2:$B$658,'MAIN TABLE-1 AUTOMATED'!J2533,PRICES!$C$2:$C$658,'MAIN TABLE-1 AUTOMATED'!F2533,PRICES!$D$2:$D$658,'MAIN TABLE-1 AUTOMATED'!O2533))</f>
        <v/>
      </c>
      <c r="R2533" s="41" t="str">
        <f>IF(Table1[[#This Row],[QUANTITY]]=0,"",Table1[[#This Row],[UNIT PRICE]]*Table1[[#This Row],[QUANTITY]])</f>
        <v/>
      </c>
      <c r="S2533" s="89"/>
      <c r="T2533" s="38"/>
      <c r="U2533" s="43"/>
      <c r="V2533" s="42" t="str">
        <f>IF(Table1[[#This Row],[DATE]]=0,"",YEAR(E2533))</f>
        <v/>
      </c>
      <c r="W2533" s="40" t="str">
        <f t="shared" si="82"/>
        <v/>
      </c>
      <c r="X2533" s="40" t="str">
        <f t="shared" si="83"/>
        <v/>
      </c>
      <c r="Y2533" s="40" t="str">
        <f>TEXT(Table1[[#This Row],[YEAR]],"0000")&amp;"-"&amp;Table1[[#This Row],[MONTH]]</f>
        <v>-</v>
      </c>
    </row>
    <row r="2534" spans="1:25" ht="15" customHeight="1" x14ac:dyDescent="0.35">
      <c r="A2534" s="24"/>
      <c r="B2534" s="38"/>
      <c r="C2534" s="38"/>
      <c r="D2534" s="38"/>
      <c r="E2534" s="37"/>
      <c r="F2534" s="38"/>
      <c r="G2534" s="198"/>
      <c r="H2534" s="198"/>
      <c r="I2534" s="39"/>
      <c r="J2534" s="38"/>
      <c r="K2534" s="198"/>
      <c r="L2534" s="38"/>
      <c r="M2534" s="38"/>
      <c r="N2534" s="38"/>
      <c r="O2534" s="38"/>
      <c r="P2534" s="40" t="str" cm="1">
        <f t="array" ref="P2534">IF(N2534="","",IFERROR(_xlfn.XLOOKUP(F2534&amp;"|"&amp;J2534&amp;"|"&amp;O2534,PRICES!$C$2:$C$659&amp;"|"&amp;PRICES!$B$2:$B$659&amp;"|"&amp;PRICES!$D$2:$D$659,PRICES!$E$2:$E$659),"Not Found"))</f>
        <v/>
      </c>
      <c r="Q2534" s="100" t="str">
        <f>IF(N2534=0,"",SUMIFS(PRICES!$G$2:$G$658,PRICES!$B$2:$B$658,'MAIN TABLE-1 AUTOMATED'!J2534,PRICES!$C$2:$C$658,'MAIN TABLE-1 AUTOMATED'!F2534,PRICES!$D$2:$D$658,'MAIN TABLE-1 AUTOMATED'!O2534))</f>
        <v/>
      </c>
      <c r="R2534" s="41" t="str">
        <f>IF(Table1[[#This Row],[QUANTITY]]=0,"",Table1[[#This Row],[UNIT PRICE]]*Table1[[#This Row],[QUANTITY]])</f>
        <v/>
      </c>
      <c r="S2534" s="89"/>
      <c r="T2534" s="38"/>
      <c r="U2534" s="43"/>
      <c r="V2534" s="42" t="str">
        <f>IF(Table1[[#This Row],[DATE]]=0,"",YEAR(E2534))</f>
        <v/>
      </c>
      <c r="W2534" s="40" t="str">
        <f t="shared" si="82"/>
        <v/>
      </c>
      <c r="X2534" s="40" t="str">
        <f t="shared" si="83"/>
        <v/>
      </c>
      <c r="Y2534" s="40" t="str">
        <f>TEXT(Table1[[#This Row],[YEAR]],"0000")&amp;"-"&amp;Table1[[#This Row],[MONTH]]</f>
        <v>-</v>
      </c>
    </row>
    <row r="2535" spans="1:25" ht="15" customHeight="1" x14ac:dyDescent="0.35">
      <c r="A2535" s="24"/>
      <c r="B2535" s="38"/>
      <c r="C2535" s="38"/>
      <c r="D2535" s="38"/>
      <c r="E2535" s="37"/>
      <c r="F2535" s="38"/>
      <c r="G2535" s="198"/>
      <c r="H2535" s="198"/>
      <c r="I2535" s="39"/>
      <c r="J2535" s="38"/>
      <c r="K2535" s="198"/>
      <c r="L2535" s="38"/>
      <c r="M2535" s="38"/>
      <c r="N2535" s="38"/>
      <c r="O2535" s="38"/>
      <c r="P2535" s="40" t="str" cm="1">
        <f t="array" ref="P2535">IF(N2535="","",IFERROR(_xlfn.XLOOKUP(F2535&amp;"|"&amp;J2535&amp;"|"&amp;O2535,PRICES!$C$2:$C$659&amp;"|"&amp;PRICES!$B$2:$B$659&amp;"|"&amp;PRICES!$D$2:$D$659,PRICES!$E$2:$E$659),"Not Found"))</f>
        <v/>
      </c>
      <c r="Q2535" s="100" t="str">
        <f>IF(N2535=0,"",SUMIFS(PRICES!$G$2:$G$658,PRICES!$B$2:$B$658,'MAIN TABLE-1 AUTOMATED'!J2535,PRICES!$C$2:$C$658,'MAIN TABLE-1 AUTOMATED'!F2535,PRICES!$D$2:$D$658,'MAIN TABLE-1 AUTOMATED'!O2535))</f>
        <v/>
      </c>
      <c r="R2535" s="41" t="str">
        <f>IF(Table1[[#This Row],[QUANTITY]]=0,"",Table1[[#This Row],[UNIT PRICE]]*Table1[[#This Row],[QUANTITY]])</f>
        <v/>
      </c>
      <c r="S2535" s="89"/>
      <c r="T2535" s="38"/>
      <c r="U2535" s="43"/>
      <c r="V2535" s="42" t="str">
        <f>IF(Table1[[#This Row],[DATE]]=0,"",YEAR(E2535))</f>
        <v/>
      </c>
      <c r="W2535" s="40" t="str">
        <f t="shared" si="82"/>
        <v/>
      </c>
      <c r="X2535" s="40" t="str">
        <f t="shared" si="83"/>
        <v/>
      </c>
      <c r="Y2535" s="40" t="str">
        <f>TEXT(Table1[[#This Row],[YEAR]],"0000")&amp;"-"&amp;Table1[[#This Row],[MONTH]]</f>
        <v>-</v>
      </c>
    </row>
    <row r="2536" spans="1:25" ht="15" customHeight="1" x14ac:dyDescent="0.35">
      <c r="A2536" s="24"/>
      <c r="B2536" s="38"/>
      <c r="C2536" s="38"/>
      <c r="D2536" s="38"/>
      <c r="E2536" s="37"/>
      <c r="F2536" s="38"/>
      <c r="G2536" s="198"/>
      <c r="H2536" s="198"/>
      <c r="I2536" s="39"/>
      <c r="J2536" s="38"/>
      <c r="K2536" s="198"/>
      <c r="L2536" s="38"/>
      <c r="M2536" s="38"/>
      <c r="N2536" s="38"/>
      <c r="O2536" s="38"/>
      <c r="P2536" s="40" t="str" cm="1">
        <f t="array" ref="P2536">IF(N2536="","",IFERROR(_xlfn.XLOOKUP(F2536&amp;"|"&amp;J2536&amp;"|"&amp;O2536,PRICES!$C$2:$C$659&amp;"|"&amp;PRICES!$B$2:$B$659&amp;"|"&amp;PRICES!$D$2:$D$659,PRICES!$E$2:$E$659),"Not Found"))</f>
        <v/>
      </c>
      <c r="Q2536" s="100" t="str">
        <f>IF(N2536=0,"",SUMIFS(PRICES!$G$2:$G$658,PRICES!$B$2:$B$658,'MAIN TABLE-1 AUTOMATED'!J2536,PRICES!$C$2:$C$658,'MAIN TABLE-1 AUTOMATED'!F2536,PRICES!$D$2:$D$658,'MAIN TABLE-1 AUTOMATED'!O2536))</f>
        <v/>
      </c>
      <c r="R2536" s="41" t="str">
        <f>IF(Table1[[#This Row],[QUANTITY]]=0,"",Table1[[#This Row],[UNIT PRICE]]*Table1[[#This Row],[QUANTITY]])</f>
        <v/>
      </c>
      <c r="S2536" s="89"/>
      <c r="T2536" s="38"/>
      <c r="U2536" s="43"/>
      <c r="V2536" s="42" t="str">
        <f>IF(Table1[[#This Row],[DATE]]=0,"",YEAR(E2536))</f>
        <v/>
      </c>
      <c r="W2536" s="40" t="str">
        <f t="shared" si="82"/>
        <v/>
      </c>
      <c r="X2536" s="40" t="str">
        <f t="shared" si="83"/>
        <v/>
      </c>
      <c r="Y2536" s="40" t="str">
        <f>TEXT(Table1[[#This Row],[YEAR]],"0000")&amp;"-"&amp;Table1[[#This Row],[MONTH]]</f>
        <v>-</v>
      </c>
    </row>
    <row r="2537" spans="1:25" ht="15" customHeight="1" x14ac:dyDescent="0.35">
      <c r="A2537" s="24"/>
      <c r="B2537" s="38"/>
      <c r="C2537" s="38"/>
      <c r="D2537" s="38"/>
      <c r="E2537" s="37"/>
      <c r="F2537" s="38"/>
      <c r="G2537" s="198"/>
      <c r="H2537" s="198"/>
      <c r="I2537" s="39"/>
      <c r="J2537" s="38"/>
      <c r="K2537" s="198"/>
      <c r="L2537" s="38"/>
      <c r="M2537" s="38"/>
      <c r="N2537" s="38"/>
      <c r="O2537" s="38"/>
      <c r="P2537" s="40" t="str" cm="1">
        <f t="array" ref="P2537">IF(N2537="","",IFERROR(_xlfn.XLOOKUP(F2537&amp;"|"&amp;J2537&amp;"|"&amp;O2537,PRICES!$C$2:$C$659&amp;"|"&amp;PRICES!$B$2:$B$659&amp;"|"&amp;PRICES!$D$2:$D$659,PRICES!$E$2:$E$659),"Not Found"))</f>
        <v/>
      </c>
      <c r="Q2537" s="100" t="str">
        <f>IF(N2537=0,"",SUMIFS(PRICES!$G$2:$G$658,PRICES!$B$2:$B$658,'MAIN TABLE-1 AUTOMATED'!J2537,PRICES!$C$2:$C$658,'MAIN TABLE-1 AUTOMATED'!F2537,PRICES!$D$2:$D$658,'MAIN TABLE-1 AUTOMATED'!O2537))</f>
        <v/>
      </c>
      <c r="R2537" s="41" t="str">
        <f>IF(Table1[[#This Row],[QUANTITY]]=0,"",Table1[[#This Row],[UNIT PRICE]]*Table1[[#This Row],[QUANTITY]])</f>
        <v/>
      </c>
      <c r="S2537" s="89"/>
      <c r="T2537" s="38"/>
      <c r="U2537" s="43"/>
      <c r="V2537" s="42" t="str">
        <f>IF(Table1[[#This Row],[DATE]]=0,"",YEAR(E2537))</f>
        <v/>
      </c>
      <c r="W2537" s="40" t="str">
        <f t="shared" si="82"/>
        <v/>
      </c>
      <c r="X2537" s="40" t="str">
        <f t="shared" si="83"/>
        <v/>
      </c>
      <c r="Y2537" s="40" t="str">
        <f>TEXT(Table1[[#This Row],[YEAR]],"0000")&amp;"-"&amp;Table1[[#This Row],[MONTH]]</f>
        <v>-</v>
      </c>
    </row>
    <row r="2538" spans="1:25" ht="15" customHeight="1" x14ac:dyDescent="0.35">
      <c r="A2538" s="24"/>
      <c r="B2538" s="38"/>
      <c r="C2538" s="38"/>
      <c r="D2538" s="38"/>
      <c r="E2538" s="37"/>
      <c r="F2538" s="38"/>
      <c r="G2538" s="198"/>
      <c r="H2538" s="198"/>
      <c r="I2538" s="39"/>
      <c r="J2538" s="38"/>
      <c r="K2538" s="198"/>
      <c r="L2538" s="38"/>
      <c r="M2538" s="38"/>
      <c r="N2538" s="38"/>
      <c r="O2538" s="38"/>
      <c r="P2538" s="40" t="str" cm="1">
        <f t="array" ref="P2538">IF(N2538="","",IFERROR(_xlfn.XLOOKUP(F2538&amp;"|"&amp;J2538&amp;"|"&amp;O2538,PRICES!$C$2:$C$659&amp;"|"&amp;PRICES!$B$2:$B$659&amp;"|"&amp;PRICES!$D$2:$D$659,PRICES!$E$2:$E$659),"Not Found"))</f>
        <v/>
      </c>
      <c r="Q2538" s="100" t="str">
        <f>IF(N2538=0,"",SUMIFS(PRICES!$G$2:$G$658,PRICES!$B$2:$B$658,'MAIN TABLE-1 AUTOMATED'!J2538,PRICES!$C$2:$C$658,'MAIN TABLE-1 AUTOMATED'!F2538,PRICES!$D$2:$D$658,'MAIN TABLE-1 AUTOMATED'!O2538))</f>
        <v/>
      </c>
      <c r="R2538" s="41" t="str">
        <f>IF(Table1[[#This Row],[QUANTITY]]=0,"",Table1[[#This Row],[UNIT PRICE]]*Table1[[#This Row],[QUANTITY]])</f>
        <v/>
      </c>
      <c r="S2538" s="89"/>
      <c r="T2538" s="38"/>
      <c r="U2538" s="43"/>
      <c r="V2538" s="42" t="str">
        <f>IF(Table1[[#This Row],[DATE]]=0,"",YEAR(E2538))</f>
        <v/>
      </c>
      <c r="W2538" s="40" t="str">
        <f t="shared" si="82"/>
        <v/>
      </c>
      <c r="X2538" s="40" t="str">
        <f t="shared" si="83"/>
        <v/>
      </c>
      <c r="Y2538" s="40" t="str">
        <f>TEXT(Table1[[#This Row],[YEAR]],"0000")&amp;"-"&amp;Table1[[#This Row],[MONTH]]</f>
        <v>-</v>
      </c>
    </row>
    <row r="2539" spans="1:25" ht="15" customHeight="1" x14ac:dyDescent="0.35">
      <c r="A2539" s="24"/>
      <c r="B2539" s="38"/>
      <c r="C2539" s="38"/>
      <c r="D2539" s="38"/>
      <c r="E2539" s="37"/>
      <c r="F2539" s="38"/>
      <c r="G2539" s="198"/>
      <c r="H2539" s="198"/>
      <c r="I2539" s="39"/>
      <c r="J2539" s="38"/>
      <c r="K2539" s="198"/>
      <c r="L2539" s="38"/>
      <c r="M2539" s="38"/>
      <c r="N2539" s="38"/>
      <c r="O2539" s="38"/>
      <c r="P2539" s="40" t="str" cm="1">
        <f t="array" ref="P2539">IF(N2539="","",IFERROR(_xlfn.XLOOKUP(F2539&amp;"|"&amp;J2539&amp;"|"&amp;O2539,PRICES!$C$2:$C$659&amp;"|"&amp;PRICES!$B$2:$B$659&amp;"|"&amp;PRICES!$D$2:$D$659,PRICES!$E$2:$E$659),"Not Found"))</f>
        <v/>
      </c>
      <c r="Q2539" s="100" t="str">
        <f>IF(N2539=0,"",SUMIFS(PRICES!$G$2:$G$658,PRICES!$B$2:$B$658,'MAIN TABLE-1 AUTOMATED'!J2539,PRICES!$C$2:$C$658,'MAIN TABLE-1 AUTOMATED'!F2539,PRICES!$D$2:$D$658,'MAIN TABLE-1 AUTOMATED'!O2539))</f>
        <v/>
      </c>
      <c r="R2539" s="41" t="str">
        <f>IF(Table1[[#This Row],[QUANTITY]]=0,"",Table1[[#This Row],[UNIT PRICE]]*Table1[[#This Row],[QUANTITY]])</f>
        <v/>
      </c>
      <c r="S2539" s="89"/>
      <c r="T2539" s="38"/>
      <c r="U2539" s="43"/>
      <c r="V2539" s="42" t="str">
        <f>IF(Table1[[#This Row],[DATE]]=0,"",YEAR(E2539))</f>
        <v/>
      </c>
      <c r="W2539" s="40" t="str">
        <f t="shared" si="82"/>
        <v/>
      </c>
      <c r="X2539" s="40" t="str">
        <f t="shared" si="83"/>
        <v/>
      </c>
      <c r="Y2539" s="40" t="str">
        <f>TEXT(Table1[[#This Row],[YEAR]],"0000")&amp;"-"&amp;Table1[[#This Row],[MONTH]]</f>
        <v>-</v>
      </c>
    </row>
    <row r="2540" spans="1:25" ht="15" customHeight="1" x14ac:dyDescent="0.35">
      <c r="A2540" s="24"/>
      <c r="B2540" s="38"/>
      <c r="C2540" s="38"/>
      <c r="D2540" s="38"/>
      <c r="E2540" s="37"/>
      <c r="F2540" s="38"/>
      <c r="G2540" s="198"/>
      <c r="H2540" s="198"/>
      <c r="I2540" s="39"/>
      <c r="J2540" s="38"/>
      <c r="K2540" s="198"/>
      <c r="L2540" s="38"/>
      <c r="M2540" s="38"/>
      <c r="N2540" s="38"/>
      <c r="O2540" s="38"/>
      <c r="P2540" s="40" t="str" cm="1">
        <f t="array" ref="P2540">IF(N2540="","",IFERROR(_xlfn.XLOOKUP(F2540&amp;"|"&amp;J2540&amp;"|"&amp;O2540,PRICES!$C$2:$C$659&amp;"|"&amp;PRICES!$B$2:$B$659&amp;"|"&amp;PRICES!$D$2:$D$659,PRICES!$E$2:$E$659),"Not Found"))</f>
        <v/>
      </c>
      <c r="Q2540" s="100" t="str">
        <f>IF(N2540=0,"",SUMIFS(PRICES!$G$2:$G$658,PRICES!$B$2:$B$658,'MAIN TABLE-1 AUTOMATED'!J2540,PRICES!$C$2:$C$658,'MAIN TABLE-1 AUTOMATED'!F2540,PRICES!$D$2:$D$658,'MAIN TABLE-1 AUTOMATED'!O2540))</f>
        <v/>
      </c>
      <c r="R2540" s="41" t="str">
        <f>IF(Table1[[#This Row],[QUANTITY]]=0,"",Table1[[#This Row],[UNIT PRICE]]*Table1[[#This Row],[QUANTITY]])</f>
        <v/>
      </c>
      <c r="S2540" s="89"/>
      <c r="T2540" s="38"/>
      <c r="U2540" s="43"/>
      <c r="V2540" s="42" t="str">
        <f>IF(Table1[[#This Row],[DATE]]=0,"",YEAR(E2540))</f>
        <v/>
      </c>
      <c r="W2540" s="40" t="str">
        <f t="shared" si="82"/>
        <v/>
      </c>
      <c r="X2540" s="40" t="str">
        <f t="shared" si="83"/>
        <v/>
      </c>
      <c r="Y2540" s="40" t="str">
        <f>TEXT(Table1[[#This Row],[YEAR]],"0000")&amp;"-"&amp;Table1[[#This Row],[MONTH]]</f>
        <v>-</v>
      </c>
    </row>
    <row r="2541" spans="1:25" ht="15" customHeight="1" x14ac:dyDescent="0.35">
      <c r="A2541" s="24"/>
      <c r="B2541" s="38"/>
      <c r="C2541" s="38"/>
      <c r="D2541" s="38"/>
      <c r="E2541" s="37"/>
      <c r="F2541" s="38"/>
      <c r="G2541" s="198"/>
      <c r="H2541" s="198"/>
      <c r="I2541" s="39"/>
      <c r="J2541" s="38"/>
      <c r="K2541" s="198"/>
      <c r="L2541" s="38"/>
      <c r="M2541" s="38"/>
      <c r="N2541" s="38"/>
      <c r="O2541" s="38"/>
      <c r="P2541" s="40" t="str" cm="1">
        <f t="array" ref="P2541">IF(N2541="","",IFERROR(_xlfn.XLOOKUP(F2541&amp;"|"&amp;J2541&amp;"|"&amp;O2541,PRICES!$C$2:$C$659&amp;"|"&amp;PRICES!$B$2:$B$659&amp;"|"&amp;PRICES!$D$2:$D$659,PRICES!$E$2:$E$659),"Not Found"))</f>
        <v/>
      </c>
      <c r="Q2541" s="100" t="str">
        <f>IF(N2541=0,"",SUMIFS(PRICES!$G$2:$G$658,PRICES!$B$2:$B$658,'MAIN TABLE-1 AUTOMATED'!J2541,PRICES!$C$2:$C$658,'MAIN TABLE-1 AUTOMATED'!F2541,PRICES!$D$2:$D$658,'MAIN TABLE-1 AUTOMATED'!O2541))</f>
        <v/>
      </c>
      <c r="R2541" s="41" t="str">
        <f>IF(Table1[[#This Row],[QUANTITY]]=0,"",Table1[[#This Row],[UNIT PRICE]]*Table1[[#This Row],[QUANTITY]])</f>
        <v/>
      </c>
      <c r="S2541" s="89"/>
      <c r="T2541" s="38"/>
      <c r="U2541" s="43"/>
      <c r="V2541" s="42" t="str">
        <f>IF(Table1[[#This Row],[DATE]]=0,"",YEAR(E2541))</f>
        <v/>
      </c>
      <c r="W2541" s="40" t="str">
        <f t="shared" si="82"/>
        <v/>
      </c>
      <c r="X2541" s="40" t="str">
        <f t="shared" si="83"/>
        <v/>
      </c>
      <c r="Y2541" s="40" t="str">
        <f>TEXT(Table1[[#This Row],[YEAR]],"0000")&amp;"-"&amp;Table1[[#This Row],[MONTH]]</f>
        <v>-</v>
      </c>
    </row>
    <row r="2542" spans="1:25" ht="15" customHeight="1" x14ac:dyDescent="0.35">
      <c r="A2542" s="24"/>
      <c r="B2542" s="38"/>
      <c r="C2542" s="38"/>
      <c r="D2542" s="38"/>
      <c r="E2542" s="37"/>
      <c r="F2542" s="38"/>
      <c r="G2542" s="198"/>
      <c r="H2542" s="198"/>
      <c r="I2542" s="39"/>
      <c r="J2542" s="38"/>
      <c r="K2542" s="198"/>
      <c r="L2542" s="38"/>
      <c r="M2542" s="38"/>
      <c r="N2542" s="38"/>
      <c r="O2542" s="38"/>
      <c r="P2542" s="40" t="str" cm="1">
        <f t="array" ref="P2542">IF(N2542="","",IFERROR(_xlfn.XLOOKUP(F2542&amp;"|"&amp;J2542&amp;"|"&amp;O2542,PRICES!$C$2:$C$659&amp;"|"&amp;PRICES!$B$2:$B$659&amp;"|"&amp;PRICES!$D$2:$D$659,PRICES!$E$2:$E$659),"Not Found"))</f>
        <v/>
      </c>
      <c r="Q2542" s="100" t="str">
        <f>IF(N2542=0,"",SUMIFS(PRICES!$G$2:$G$658,PRICES!$B$2:$B$658,'MAIN TABLE-1 AUTOMATED'!J2542,PRICES!$C$2:$C$658,'MAIN TABLE-1 AUTOMATED'!F2542,PRICES!$D$2:$D$658,'MAIN TABLE-1 AUTOMATED'!O2542))</f>
        <v/>
      </c>
      <c r="R2542" s="41" t="str">
        <f>IF(Table1[[#This Row],[QUANTITY]]=0,"",Table1[[#This Row],[UNIT PRICE]]*Table1[[#This Row],[QUANTITY]])</f>
        <v/>
      </c>
      <c r="S2542" s="89"/>
      <c r="T2542" s="38"/>
      <c r="U2542" s="43"/>
      <c r="V2542" s="42" t="str">
        <f>IF(Table1[[#This Row],[DATE]]=0,"",YEAR(E2542))</f>
        <v/>
      </c>
      <c r="W2542" s="40" t="str">
        <f t="shared" si="82"/>
        <v/>
      </c>
      <c r="X2542" s="40" t="str">
        <f t="shared" si="83"/>
        <v/>
      </c>
      <c r="Y2542" s="40" t="str">
        <f>TEXT(Table1[[#This Row],[YEAR]],"0000")&amp;"-"&amp;Table1[[#This Row],[MONTH]]</f>
        <v>-</v>
      </c>
    </row>
    <row r="2543" spans="1:25" ht="15" customHeight="1" x14ac:dyDescent="0.35">
      <c r="A2543" s="24"/>
      <c r="B2543" s="38"/>
      <c r="C2543" s="38"/>
      <c r="D2543" s="38"/>
      <c r="E2543" s="37"/>
      <c r="F2543" s="38"/>
      <c r="G2543" s="198"/>
      <c r="H2543" s="198"/>
      <c r="I2543" s="39"/>
      <c r="J2543" s="38"/>
      <c r="K2543" s="198"/>
      <c r="L2543" s="38"/>
      <c r="M2543" s="38"/>
      <c r="N2543" s="38"/>
      <c r="O2543" s="38"/>
      <c r="P2543" s="40" t="str" cm="1">
        <f t="array" ref="P2543">IF(N2543="","",IFERROR(_xlfn.XLOOKUP(F2543&amp;"|"&amp;J2543&amp;"|"&amp;O2543,PRICES!$C$2:$C$659&amp;"|"&amp;PRICES!$B$2:$B$659&amp;"|"&amp;PRICES!$D$2:$D$659,PRICES!$E$2:$E$659),"Not Found"))</f>
        <v/>
      </c>
      <c r="Q2543" s="100" t="str">
        <f>IF(N2543=0,"",SUMIFS(PRICES!$G$2:$G$658,PRICES!$B$2:$B$658,'MAIN TABLE-1 AUTOMATED'!J2543,PRICES!$C$2:$C$658,'MAIN TABLE-1 AUTOMATED'!F2543,PRICES!$D$2:$D$658,'MAIN TABLE-1 AUTOMATED'!O2543))</f>
        <v/>
      </c>
      <c r="R2543" s="41" t="str">
        <f>IF(Table1[[#This Row],[QUANTITY]]=0,"",Table1[[#This Row],[UNIT PRICE]]*Table1[[#This Row],[QUANTITY]])</f>
        <v/>
      </c>
      <c r="S2543" s="89"/>
      <c r="T2543" s="38"/>
      <c r="U2543" s="43"/>
      <c r="V2543" s="42" t="str">
        <f>IF(Table1[[#This Row],[DATE]]=0,"",YEAR(E2543))</f>
        <v/>
      </c>
      <c r="W2543" s="40" t="str">
        <f t="shared" si="82"/>
        <v/>
      </c>
      <c r="X2543" s="40" t="str">
        <f t="shared" si="83"/>
        <v/>
      </c>
      <c r="Y2543" s="40" t="str">
        <f>TEXT(Table1[[#This Row],[YEAR]],"0000")&amp;"-"&amp;Table1[[#This Row],[MONTH]]</f>
        <v>-</v>
      </c>
    </row>
    <row r="2544" spans="1:25" ht="15" customHeight="1" x14ac:dyDescent="0.35">
      <c r="A2544" s="24"/>
      <c r="B2544" s="38"/>
      <c r="C2544" s="38"/>
      <c r="D2544" s="38"/>
      <c r="E2544" s="37"/>
      <c r="F2544" s="38"/>
      <c r="G2544" s="198"/>
      <c r="H2544" s="198"/>
      <c r="I2544" s="39"/>
      <c r="J2544" s="38"/>
      <c r="K2544" s="198"/>
      <c r="L2544" s="38"/>
      <c r="M2544" s="38"/>
      <c r="N2544" s="38"/>
      <c r="O2544" s="38"/>
      <c r="P2544" s="40" t="str" cm="1">
        <f t="array" ref="P2544">IF(N2544="","",IFERROR(_xlfn.XLOOKUP(F2544&amp;"|"&amp;J2544&amp;"|"&amp;O2544,PRICES!$C$2:$C$659&amp;"|"&amp;PRICES!$B$2:$B$659&amp;"|"&amp;PRICES!$D$2:$D$659,PRICES!$E$2:$E$659),"Not Found"))</f>
        <v/>
      </c>
      <c r="Q2544" s="100" t="str">
        <f>IF(N2544=0,"",SUMIFS(PRICES!$G$2:$G$658,PRICES!$B$2:$B$658,'MAIN TABLE-1 AUTOMATED'!J2544,PRICES!$C$2:$C$658,'MAIN TABLE-1 AUTOMATED'!F2544,PRICES!$D$2:$D$658,'MAIN TABLE-1 AUTOMATED'!O2544))</f>
        <v/>
      </c>
      <c r="R2544" s="41" t="str">
        <f>IF(Table1[[#This Row],[QUANTITY]]=0,"",Table1[[#This Row],[UNIT PRICE]]*Table1[[#This Row],[QUANTITY]])</f>
        <v/>
      </c>
      <c r="S2544" s="89"/>
      <c r="T2544" s="38"/>
      <c r="U2544" s="43"/>
      <c r="V2544" s="42" t="str">
        <f>IF(Table1[[#This Row],[DATE]]=0,"",YEAR(E2544))</f>
        <v/>
      </c>
      <c r="W2544" s="40" t="str">
        <f t="shared" si="82"/>
        <v/>
      </c>
      <c r="X2544" s="40" t="str">
        <f t="shared" si="83"/>
        <v/>
      </c>
      <c r="Y2544" s="40" t="str">
        <f>TEXT(Table1[[#This Row],[YEAR]],"0000")&amp;"-"&amp;Table1[[#This Row],[MONTH]]</f>
        <v>-</v>
      </c>
    </row>
    <row r="2545" spans="1:25" ht="15" customHeight="1" x14ac:dyDescent="0.35">
      <c r="A2545" s="24"/>
      <c r="B2545" s="38"/>
      <c r="C2545" s="38"/>
      <c r="D2545" s="38"/>
      <c r="E2545" s="37"/>
      <c r="F2545" s="38"/>
      <c r="G2545" s="198"/>
      <c r="H2545" s="198"/>
      <c r="I2545" s="39"/>
      <c r="J2545" s="38"/>
      <c r="K2545" s="198"/>
      <c r="L2545" s="38"/>
      <c r="M2545" s="38"/>
      <c r="N2545" s="38"/>
      <c r="O2545" s="38"/>
      <c r="P2545" s="40" t="str" cm="1">
        <f t="array" ref="P2545">IF(N2545="","",IFERROR(_xlfn.XLOOKUP(F2545&amp;"|"&amp;J2545&amp;"|"&amp;O2545,PRICES!$C$2:$C$659&amp;"|"&amp;PRICES!$B$2:$B$659&amp;"|"&amp;PRICES!$D$2:$D$659,PRICES!$E$2:$E$659),"Not Found"))</f>
        <v/>
      </c>
      <c r="Q2545" s="100" t="str">
        <f>IF(N2545=0,"",SUMIFS(PRICES!$G$2:$G$658,PRICES!$B$2:$B$658,'MAIN TABLE-1 AUTOMATED'!J2545,PRICES!$C$2:$C$658,'MAIN TABLE-1 AUTOMATED'!F2545,PRICES!$D$2:$D$658,'MAIN TABLE-1 AUTOMATED'!O2545))</f>
        <v/>
      </c>
      <c r="R2545" s="41" t="str">
        <f>IF(Table1[[#This Row],[QUANTITY]]=0,"",Table1[[#This Row],[UNIT PRICE]]*Table1[[#This Row],[QUANTITY]])</f>
        <v/>
      </c>
      <c r="S2545" s="89"/>
      <c r="T2545" s="38"/>
      <c r="U2545" s="43"/>
      <c r="V2545" s="42" t="str">
        <f>IF(Table1[[#This Row],[DATE]]=0,"",YEAR(E2545))</f>
        <v/>
      </c>
      <c r="W2545" s="40" t="str">
        <f t="shared" si="82"/>
        <v/>
      </c>
      <c r="X2545" s="40" t="str">
        <f t="shared" si="83"/>
        <v/>
      </c>
      <c r="Y2545" s="40" t="str">
        <f>TEXT(Table1[[#This Row],[YEAR]],"0000")&amp;"-"&amp;Table1[[#This Row],[MONTH]]</f>
        <v>-</v>
      </c>
    </row>
    <row r="2546" spans="1:25" ht="15" customHeight="1" x14ac:dyDescent="0.35">
      <c r="A2546" s="24"/>
      <c r="B2546" s="38"/>
      <c r="C2546" s="38"/>
      <c r="D2546" s="38"/>
      <c r="E2546" s="37"/>
      <c r="F2546" s="38"/>
      <c r="G2546" s="198"/>
      <c r="H2546" s="198"/>
      <c r="I2546" s="39"/>
      <c r="J2546" s="38"/>
      <c r="K2546" s="198"/>
      <c r="L2546" s="38"/>
      <c r="M2546" s="38"/>
      <c r="N2546" s="38"/>
      <c r="O2546" s="38"/>
      <c r="P2546" s="40" t="str" cm="1">
        <f t="array" ref="P2546">IF(N2546="","",IFERROR(_xlfn.XLOOKUP(F2546&amp;"|"&amp;J2546&amp;"|"&amp;O2546,PRICES!$C$2:$C$659&amp;"|"&amp;PRICES!$B$2:$B$659&amp;"|"&amp;PRICES!$D$2:$D$659,PRICES!$E$2:$E$659),"Not Found"))</f>
        <v/>
      </c>
      <c r="Q2546" s="100" t="str">
        <f>IF(N2546=0,"",SUMIFS(PRICES!$G$2:$G$658,PRICES!$B$2:$B$658,'MAIN TABLE-1 AUTOMATED'!J2546,PRICES!$C$2:$C$658,'MAIN TABLE-1 AUTOMATED'!F2546,PRICES!$D$2:$D$658,'MAIN TABLE-1 AUTOMATED'!O2546))</f>
        <v/>
      </c>
      <c r="R2546" s="41" t="str">
        <f>IF(Table1[[#This Row],[QUANTITY]]=0,"",Table1[[#This Row],[UNIT PRICE]]*Table1[[#This Row],[QUANTITY]])</f>
        <v/>
      </c>
      <c r="S2546" s="89"/>
      <c r="T2546" s="38"/>
      <c r="U2546" s="43"/>
      <c r="V2546" s="42" t="str">
        <f>IF(Table1[[#This Row],[DATE]]=0,"",YEAR(E2546))</f>
        <v/>
      </c>
      <c r="W2546" s="40" t="str">
        <f t="shared" si="82"/>
        <v/>
      </c>
      <c r="X2546" s="40" t="str">
        <f t="shared" si="83"/>
        <v/>
      </c>
      <c r="Y2546" s="40" t="str">
        <f>TEXT(Table1[[#This Row],[YEAR]],"0000")&amp;"-"&amp;Table1[[#This Row],[MONTH]]</f>
        <v>-</v>
      </c>
    </row>
    <row r="2547" spans="1:25" ht="15" customHeight="1" x14ac:dyDescent="0.35">
      <c r="A2547" s="24"/>
      <c r="B2547" s="38"/>
      <c r="C2547" s="38"/>
      <c r="D2547" s="38"/>
      <c r="E2547" s="37"/>
      <c r="F2547" s="38"/>
      <c r="G2547" s="198"/>
      <c r="H2547" s="198"/>
      <c r="I2547" s="39"/>
      <c r="J2547" s="38"/>
      <c r="K2547" s="198"/>
      <c r="L2547" s="38"/>
      <c r="M2547" s="38"/>
      <c r="N2547" s="38"/>
      <c r="O2547" s="38"/>
      <c r="P2547" s="40" t="str" cm="1">
        <f t="array" ref="P2547">IF(N2547="","",IFERROR(_xlfn.XLOOKUP(F2547&amp;"|"&amp;J2547&amp;"|"&amp;O2547,PRICES!$C$2:$C$659&amp;"|"&amp;PRICES!$B$2:$B$659&amp;"|"&amp;PRICES!$D$2:$D$659,PRICES!$E$2:$E$659),"Not Found"))</f>
        <v/>
      </c>
      <c r="Q2547" s="100" t="str">
        <f>IF(N2547=0,"",SUMIFS(PRICES!$G$2:$G$658,PRICES!$B$2:$B$658,'MAIN TABLE-1 AUTOMATED'!J2547,PRICES!$C$2:$C$658,'MAIN TABLE-1 AUTOMATED'!F2547,PRICES!$D$2:$D$658,'MAIN TABLE-1 AUTOMATED'!O2547))</f>
        <v/>
      </c>
      <c r="R2547" s="41" t="str">
        <f>IF(Table1[[#This Row],[QUANTITY]]=0,"",Table1[[#This Row],[UNIT PRICE]]*Table1[[#This Row],[QUANTITY]])</f>
        <v/>
      </c>
      <c r="S2547" s="89"/>
      <c r="T2547" s="38"/>
      <c r="U2547" s="43"/>
      <c r="V2547" s="42" t="str">
        <f>IF(Table1[[#This Row],[DATE]]=0,"",YEAR(E2547))</f>
        <v/>
      </c>
      <c r="W2547" s="40" t="str">
        <f t="shared" si="82"/>
        <v/>
      </c>
      <c r="X2547" s="40" t="str">
        <f t="shared" si="83"/>
        <v/>
      </c>
      <c r="Y2547" s="40" t="str">
        <f>TEXT(Table1[[#This Row],[YEAR]],"0000")&amp;"-"&amp;Table1[[#This Row],[MONTH]]</f>
        <v>-</v>
      </c>
    </row>
    <row r="2548" spans="1:25" ht="15" customHeight="1" x14ac:dyDescent="0.35">
      <c r="A2548" s="24"/>
      <c r="B2548" s="38"/>
      <c r="C2548" s="38"/>
      <c r="D2548" s="38"/>
      <c r="E2548" s="37"/>
      <c r="F2548" s="38"/>
      <c r="G2548" s="198"/>
      <c r="H2548" s="198"/>
      <c r="I2548" s="39"/>
      <c r="J2548" s="38"/>
      <c r="K2548" s="198"/>
      <c r="L2548" s="38"/>
      <c r="M2548" s="38"/>
      <c r="N2548" s="38"/>
      <c r="O2548" s="38"/>
      <c r="P2548" s="40" t="str" cm="1">
        <f t="array" ref="P2548">IF(N2548="","",IFERROR(_xlfn.XLOOKUP(F2548&amp;"|"&amp;J2548&amp;"|"&amp;O2548,PRICES!$C$2:$C$659&amp;"|"&amp;PRICES!$B$2:$B$659&amp;"|"&amp;PRICES!$D$2:$D$659,PRICES!$E$2:$E$659),"Not Found"))</f>
        <v/>
      </c>
      <c r="Q2548" s="100" t="str">
        <f>IF(N2548=0,"",SUMIFS(PRICES!$G$2:$G$658,PRICES!$B$2:$B$658,'MAIN TABLE-1 AUTOMATED'!J2548,PRICES!$C$2:$C$658,'MAIN TABLE-1 AUTOMATED'!F2548,PRICES!$D$2:$D$658,'MAIN TABLE-1 AUTOMATED'!O2548))</f>
        <v/>
      </c>
      <c r="R2548" s="41" t="str">
        <f>IF(Table1[[#This Row],[QUANTITY]]=0,"",Table1[[#This Row],[UNIT PRICE]]*Table1[[#This Row],[QUANTITY]])</f>
        <v/>
      </c>
      <c r="S2548" s="89"/>
      <c r="T2548" s="38"/>
      <c r="U2548" s="43"/>
      <c r="V2548" s="42" t="str">
        <f>IF(Table1[[#This Row],[DATE]]=0,"",YEAR(E2548))</f>
        <v/>
      </c>
      <c r="W2548" s="40" t="str">
        <f t="shared" si="82"/>
        <v/>
      </c>
      <c r="X2548" s="40" t="str">
        <f t="shared" si="83"/>
        <v/>
      </c>
      <c r="Y2548" s="40" t="str">
        <f>TEXT(Table1[[#This Row],[YEAR]],"0000")&amp;"-"&amp;Table1[[#This Row],[MONTH]]</f>
        <v>-</v>
      </c>
    </row>
    <row r="2549" spans="1:25" ht="15" customHeight="1" x14ac:dyDescent="0.35">
      <c r="A2549" s="24"/>
      <c r="B2549" s="38"/>
      <c r="C2549" s="38"/>
      <c r="D2549" s="38"/>
      <c r="E2549" s="37"/>
      <c r="F2549" s="38"/>
      <c r="G2549" s="198"/>
      <c r="H2549" s="198"/>
      <c r="I2549" s="39"/>
      <c r="J2549" s="38"/>
      <c r="K2549" s="198"/>
      <c r="L2549" s="38"/>
      <c r="M2549" s="38"/>
      <c r="N2549" s="38"/>
      <c r="O2549" s="38"/>
      <c r="P2549" s="40" t="str" cm="1">
        <f t="array" ref="P2549">IF(N2549="","",IFERROR(_xlfn.XLOOKUP(F2549&amp;"|"&amp;J2549&amp;"|"&amp;O2549,PRICES!$C$2:$C$659&amp;"|"&amp;PRICES!$B$2:$B$659&amp;"|"&amp;PRICES!$D$2:$D$659,PRICES!$E$2:$E$659),"Not Found"))</f>
        <v/>
      </c>
      <c r="Q2549" s="100" t="str">
        <f>IF(N2549=0,"",SUMIFS(PRICES!$G$2:$G$658,PRICES!$B$2:$B$658,'MAIN TABLE-1 AUTOMATED'!J2549,PRICES!$C$2:$C$658,'MAIN TABLE-1 AUTOMATED'!F2549,PRICES!$D$2:$D$658,'MAIN TABLE-1 AUTOMATED'!O2549))</f>
        <v/>
      </c>
      <c r="R2549" s="41" t="str">
        <f>IF(Table1[[#This Row],[QUANTITY]]=0,"",Table1[[#This Row],[UNIT PRICE]]*Table1[[#This Row],[QUANTITY]])</f>
        <v/>
      </c>
      <c r="S2549" s="89"/>
      <c r="T2549" s="38"/>
      <c r="U2549" s="43"/>
      <c r="V2549" s="42" t="str">
        <f>IF(Table1[[#This Row],[DATE]]=0,"",YEAR(E2549))</f>
        <v/>
      </c>
      <c r="W2549" s="40" t="str">
        <f t="shared" si="82"/>
        <v/>
      </c>
      <c r="X2549" s="40" t="str">
        <f t="shared" si="83"/>
        <v/>
      </c>
      <c r="Y2549" s="40" t="str">
        <f>TEXT(Table1[[#This Row],[YEAR]],"0000")&amp;"-"&amp;Table1[[#This Row],[MONTH]]</f>
        <v>-</v>
      </c>
    </row>
    <row r="2550" spans="1:25" ht="15" customHeight="1" x14ac:dyDescent="0.35">
      <c r="A2550" s="24"/>
      <c r="B2550" s="38"/>
      <c r="C2550" s="38"/>
      <c r="D2550" s="38"/>
      <c r="E2550" s="37"/>
      <c r="F2550" s="38"/>
      <c r="G2550" s="198"/>
      <c r="H2550" s="198"/>
      <c r="I2550" s="39"/>
      <c r="J2550" s="38"/>
      <c r="K2550" s="198"/>
      <c r="L2550" s="38"/>
      <c r="M2550" s="38"/>
      <c r="N2550" s="38"/>
      <c r="O2550" s="38"/>
      <c r="P2550" s="40" t="str" cm="1">
        <f t="array" ref="P2550">IF(N2550="","",IFERROR(_xlfn.XLOOKUP(F2550&amp;"|"&amp;J2550&amp;"|"&amp;O2550,PRICES!$C$2:$C$659&amp;"|"&amp;PRICES!$B$2:$B$659&amp;"|"&amp;PRICES!$D$2:$D$659,PRICES!$E$2:$E$659),"Not Found"))</f>
        <v/>
      </c>
      <c r="Q2550" s="100" t="str">
        <f>IF(N2550=0,"",SUMIFS(PRICES!$G$2:$G$658,PRICES!$B$2:$B$658,'MAIN TABLE-1 AUTOMATED'!J2550,PRICES!$C$2:$C$658,'MAIN TABLE-1 AUTOMATED'!F2550,PRICES!$D$2:$D$658,'MAIN TABLE-1 AUTOMATED'!O2550))</f>
        <v/>
      </c>
      <c r="R2550" s="41" t="str">
        <f>IF(Table1[[#This Row],[QUANTITY]]=0,"",Table1[[#This Row],[UNIT PRICE]]*Table1[[#This Row],[QUANTITY]])</f>
        <v/>
      </c>
      <c r="S2550" s="89"/>
      <c r="T2550" s="38"/>
      <c r="U2550" s="43"/>
      <c r="V2550" s="42" t="str">
        <f>IF(Table1[[#This Row],[DATE]]=0,"",YEAR(E2550))</f>
        <v/>
      </c>
      <c r="W2550" s="40" t="str">
        <f t="shared" si="82"/>
        <v/>
      </c>
      <c r="X2550" s="40" t="str">
        <f t="shared" si="83"/>
        <v/>
      </c>
      <c r="Y2550" s="40" t="str">
        <f>TEXT(Table1[[#This Row],[YEAR]],"0000")&amp;"-"&amp;Table1[[#This Row],[MONTH]]</f>
        <v>-</v>
      </c>
    </row>
    <row r="2551" spans="1:25" ht="15" customHeight="1" x14ac:dyDescent="0.35">
      <c r="A2551" s="24"/>
      <c r="B2551" s="38"/>
      <c r="C2551" s="38"/>
      <c r="D2551" s="38"/>
      <c r="E2551" s="37"/>
      <c r="F2551" s="38"/>
      <c r="G2551" s="198"/>
      <c r="H2551" s="198"/>
      <c r="I2551" s="39"/>
      <c r="J2551" s="38"/>
      <c r="K2551" s="198"/>
      <c r="L2551" s="38"/>
      <c r="M2551" s="38"/>
      <c r="N2551" s="38"/>
      <c r="O2551" s="38"/>
      <c r="P2551" s="40" t="str" cm="1">
        <f t="array" ref="P2551">IF(N2551="","",IFERROR(_xlfn.XLOOKUP(F2551&amp;"|"&amp;J2551&amp;"|"&amp;O2551,PRICES!$C$2:$C$659&amp;"|"&amp;PRICES!$B$2:$B$659&amp;"|"&amp;PRICES!$D$2:$D$659,PRICES!$E$2:$E$659),"Not Found"))</f>
        <v/>
      </c>
      <c r="Q2551" s="100" t="str">
        <f>IF(N2551=0,"",SUMIFS(PRICES!$G$2:$G$658,PRICES!$B$2:$B$658,'MAIN TABLE-1 AUTOMATED'!J2551,PRICES!$C$2:$C$658,'MAIN TABLE-1 AUTOMATED'!F2551,PRICES!$D$2:$D$658,'MAIN TABLE-1 AUTOMATED'!O2551))</f>
        <v/>
      </c>
      <c r="R2551" s="41" t="str">
        <f>IF(Table1[[#This Row],[QUANTITY]]=0,"",Table1[[#This Row],[UNIT PRICE]]*Table1[[#This Row],[QUANTITY]])</f>
        <v/>
      </c>
      <c r="S2551" s="89"/>
      <c r="T2551" s="38"/>
      <c r="U2551" s="43"/>
      <c r="V2551" s="42" t="str">
        <f>IF(Table1[[#This Row],[DATE]]=0,"",YEAR(E2551))</f>
        <v/>
      </c>
      <c r="W2551" s="40" t="str">
        <f t="shared" si="82"/>
        <v/>
      </c>
      <c r="X2551" s="40" t="str">
        <f t="shared" si="83"/>
        <v/>
      </c>
      <c r="Y2551" s="40" t="str">
        <f>TEXT(Table1[[#This Row],[YEAR]],"0000")&amp;"-"&amp;Table1[[#This Row],[MONTH]]</f>
        <v>-</v>
      </c>
    </row>
    <row r="2552" spans="1:25" ht="15" customHeight="1" x14ac:dyDescent="0.35">
      <c r="A2552" s="24"/>
      <c r="B2552" s="38"/>
      <c r="C2552" s="38"/>
      <c r="D2552" s="38"/>
      <c r="E2552" s="37"/>
      <c r="F2552" s="38"/>
      <c r="G2552" s="198"/>
      <c r="H2552" s="198"/>
      <c r="I2552" s="39"/>
      <c r="J2552" s="38"/>
      <c r="K2552" s="198"/>
      <c r="L2552" s="38"/>
      <c r="M2552" s="38"/>
      <c r="N2552" s="38"/>
      <c r="O2552" s="38"/>
      <c r="P2552" s="40" t="str" cm="1">
        <f t="array" ref="P2552">IF(N2552="","",IFERROR(_xlfn.XLOOKUP(F2552&amp;"|"&amp;J2552&amp;"|"&amp;O2552,PRICES!$C$2:$C$659&amp;"|"&amp;PRICES!$B$2:$B$659&amp;"|"&amp;PRICES!$D$2:$D$659,PRICES!$E$2:$E$659),"Not Found"))</f>
        <v/>
      </c>
      <c r="Q2552" s="100" t="str">
        <f>IF(N2552=0,"",SUMIFS(PRICES!$G$2:$G$658,PRICES!$B$2:$B$658,'MAIN TABLE-1 AUTOMATED'!J2552,PRICES!$C$2:$C$658,'MAIN TABLE-1 AUTOMATED'!F2552,PRICES!$D$2:$D$658,'MAIN TABLE-1 AUTOMATED'!O2552))</f>
        <v/>
      </c>
      <c r="R2552" s="41" t="str">
        <f>IF(Table1[[#This Row],[QUANTITY]]=0,"",Table1[[#This Row],[UNIT PRICE]]*Table1[[#This Row],[QUANTITY]])</f>
        <v/>
      </c>
      <c r="S2552" s="89"/>
      <c r="T2552" s="38"/>
      <c r="U2552" s="43"/>
      <c r="V2552" s="42" t="str">
        <f>IF(Table1[[#This Row],[DATE]]=0,"",YEAR(E2552))</f>
        <v/>
      </c>
      <c r="W2552" s="40" t="str">
        <f t="shared" si="82"/>
        <v/>
      </c>
      <c r="X2552" s="40" t="str">
        <f t="shared" si="83"/>
        <v/>
      </c>
      <c r="Y2552" s="40" t="str">
        <f>TEXT(Table1[[#This Row],[YEAR]],"0000")&amp;"-"&amp;Table1[[#This Row],[MONTH]]</f>
        <v>-</v>
      </c>
    </row>
    <row r="2553" spans="1:25" ht="15" customHeight="1" x14ac:dyDescent="0.35">
      <c r="A2553" s="24"/>
      <c r="B2553" s="38"/>
      <c r="C2553" s="38"/>
      <c r="D2553" s="38"/>
      <c r="E2553" s="37"/>
      <c r="F2553" s="38"/>
      <c r="G2553" s="198"/>
      <c r="H2553" s="198"/>
      <c r="I2553" s="39"/>
      <c r="J2553" s="38"/>
      <c r="K2553" s="198"/>
      <c r="L2553" s="38"/>
      <c r="M2553" s="38"/>
      <c r="N2553" s="38"/>
      <c r="O2553" s="38"/>
      <c r="P2553" s="40" t="str" cm="1">
        <f t="array" ref="P2553">IF(N2553="","",IFERROR(_xlfn.XLOOKUP(F2553&amp;"|"&amp;J2553&amp;"|"&amp;O2553,PRICES!$C$2:$C$659&amp;"|"&amp;PRICES!$B$2:$B$659&amp;"|"&amp;PRICES!$D$2:$D$659,PRICES!$E$2:$E$659),"Not Found"))</f>
        <v/>
      </c>
      <c r="Q2553" s="100" t="str">
        <f>IF(N2553=0,"",SUMIFS(PRICES!$G$2:$G$658,PRICES!$B$2:$B$658,'MAIN TABLE-1 AUTOMATED'!J2553,PRICES!$C$2:$C$658,'MAIN TABLE-1 AUTOMATED'!F2553,PRICES!$D$2:$D$658,'MAIN TABLE-1 AUTOMATED'!O2553))</f>
        <v/>
      </c>
      <c r="R2553" s="41" t="str">
        <f>IF(Table1[[#This Row],[QUANTITY]]=0,"",Table1[[#This Row],[UNIT PRICE]]*Table1[[#This Row],[QUANTITY]])</f>
        <v/>
      </c>
      <c r="S2553" s="89"/>
      <c r="T2553" s="38"/>
      <c r="U2553" s="43"/>
      <c r="V2553" s="42" t="str">
        <f>IF(Table1[[#This Row],[DATE]]=0,"",YEAR(E2553))</f>
        <v/>
      </c>
      <c r="W2553" s="40" t="str">
        <f t="shared" si="82"/>
        <v/>
      </c>
      <c r="X2553" s="40" t="str">
        <f t="shared" si="83"/>
        <v/>
      </c>
      <c r="Y2553" s="40" t="str">
        <f>TEXT(Table1[[#This Row],[YEAR]],"0000")&amp;"-"&amp;Table1[[#This Row],[MONTH]]</f>
        <v>-</v>
      </c>
    </row>
    <row r="2554" spans="1:25" ht="15" customHeight="1" x14ac:dyDescent="0.35">
      <c r="A2554" s="24"/>
      <c r="B2554" s="38"/>
      <c r="C2554" s="38"/>
      <c r="D2554" s="38"/>
      <c r="E2554" s="37"/>
      <c r="F2554" s="38"/>
      <c r="G2554" s="198"/>
      <c r="H2554" s="198"/>
      <c r="I2554" s="39"/>
      <c r="J2554" s="38"/>
      <c r="K2554" s="198"/>
      <c r="L2554" s="38"/>
      <c r="M2554" s="38"/>
      <c r="N2554" s="38"/>
      <c r="O2554" s="38"/>
      <c r="P2554" s="40" t="str" cm="1">
        <f t="array" ref="P2554">IF(N2554="","",IFERROR(_xlfn.XLOOKUP(F2554&amp;"|"&amp;J2554&amp;"|"&amp;O2554,PRICES!$C$2:$C$659&amp;"|"&amp;PRICES!$B$2:$B$659&amp;"|"&amp;PRICES!$D$2:$D$659,PRICES!$E$2:$E$659),"Not Found"))</f>
        <v/>
      </c>
      <c r="Q2554" s="100" t="str">
        <f>IF(N2554=0,"",SUMIFS(PRICES!$G$2:$G$658,PRICES!$B$2:$B$658,'MAIN TABLE-1 AUTOMATED'!J2554,PRICES!$C$2:$C$658,'MAIN TABLE-1 AUTOMATED'!F2554,PRICES!$D$2:$D$658,'MAIN TABLE-1 AUTOMATED'!O2554))</f>
        <v/>
      </c>
      <c r="R2554" s="41" t="str">
        <f>IF(Table1[[#This Row],[QUANTITY]]=0,"",Table1[[#This Row],[UNIT PRICE]]*Table1[[#This Row],[QUANTITY]])</f>
        <v/>
      </c>
      <c r="S2554" s="89"/>
      <c r="T2554" s="38"/>
      <c r="U2554" s="43"/>
      <c r="V2554" s="42" t="str">
        <f>IF(Table1[[#This Row],[DATE]]=0,"",YEAR(E2554))</f>
        <v/>
      </c>
      <c r="W2554" s="40" t="str">
        <f t="shared" si="82"/>
        <v/>
      </c>
      <c r="X2554" s="40" t="str">
        <f t="shared" si="83"/>
        <v/>
      </c>
      <c r="Y2554" s="40" t="str">
        <f>TEXT(Table1[[#This Row],[YEAR]],"0000")&amp;"-"&amp;Table1[[#This Row],[MONTH]]</f>
        <v>-</v>
      </c>
    </row>
    <row r="2555" spans="1:25" ht="15" customHeight="1" x14ac:dyDescent="0.35">
      <c r="A2555" s="24"/>
      <c r="B2555" s="38"/>
      <c r="C2555" s="38"/>
      <c r="D2555" s="38"/>
      <c r="E2555" s="37"/>
      <c r="F2555" s="38"/>
      <c r="G2555" s="198"/>
      <c r="H2555" s="198"/>
      <c r="I2555" s="39"/>
      <c r="J2555" s="38"/>
      <c r="K2555" s="198"/>
      <c r="L2555" s="38"/>
      <c r="M2555" s="38"/>
      <c r="N2555" s="38"/>
      <c r="O2555" s="38"/>
      <c r="P2555" s="40" t="str" cm="1">
        <f t="array" ref="P2555">IF(N2555="","",IFERROR(_xlfn.XLOOKUP(F2555&amp;"|"&amp;J2555&amp;"|"&amp;O2555,PRICES!$C$2:$C$659&amp;"|"&amp;PRICES!$B$2:$B$659&amp;"|"&amp;PRICES!$D$2:$D$659,PRICES!$E$2:$E$659),"Not Found"))</f>
        <v/>
      </c>
      <c r="Q2555" s="100" t="str">
        <f>IF(N2555=0,"",SUMIFS(PRICES!$G$2:$G$658,PRICES!$B$2:$B$658,'MAIN TABLE-1 AUTOMATED'!J2555,PRICES!$C$2:$C$658,'MAIN TABLE-1 AUTOMATED'!F2555,PRICES!$D$2:$D$658,'MAIN TABLE-1 AUTOMATED'!O2555))</f>
        <v/>
      </c>
      <c r="R2555" s="41" t="str">
        <f>IF(Table1[[#This Row],[QUANTITY]]=0,"",Table1[[#This Row],[UNIT PRICE]]*Table1[[#This Row],[QUANTITY]])</f>
        <v/>
      </c>
      <c r="S2555" s="89"/>
      <c r="T2555" s="38"/>
      <c r="U2555" s="43"/>
      <c r="V2555" s="42" t="str">
        <f>IF(Table1[[#This Row],[DATE]]=0,"",YEAR(E2555))</f>
        <v/>
      </c>
      <c r="W2555" s="40" t="str">
        <f t="shared" si="82"/>
        <v/>
      </c>
      <c r="X2555" s="40" t="str">
        <f t="shared" si="83"/>
        <v/>
      </c>
      <c r="Y2555" s="40" t="str">
        <f>TEXT(Table1[[#This Row],[YEAR]],"0000")&amp;"-"&amp;Table1[[#This Row],[MONTH]]</f>
        <v>-</v>
      </c>
    </row>
    <row r="2556" spans="1:25" ht="15" customHeight="1" x14ac:dyDescent="0.35">
      <c r="A2556" s="24"/>
      <c r="B2556" s="38"/>
      <c r="C2556" s="38"/>
      <c r="D2556" s="38"/>
      <c r="E2556" s="37"/>
      <c r="F2556" s="38"/>
      <c r="G2556" s="198"/>
      <c r="H2556" s="198"/>
      <c r="I2556" s="39"/>
      <c r="J2556" s="38"/>
      <c r="K2556" s="198"/>
      <c r="L2556" s="38"/>
      <c r="M2556" s="38"/>
      <c r="N2556" s="38"/>
      <c r="O2556" s="38"/>
      <c r="P2556" s="40" t="str" cm="1">
        <f t="array" ref="P2556">IF(N2556="","",IFERROR(_xlfn.XLOOKUP(F2556&amp;"|"&amp;J2556&amp;"|"&amp;O2556,PRICES!$C$2:$C$659&amp;"|"&amp;PRICES!$B$2:$B$659&amp;"|"&amp;PRICES!$D$2:$D$659,PRICES!$E$2:$E$659),"Not Found"))</f>
        <v/>
      </c>
      <c r="Q2556" s="100" t="str">
        <f>IF(N2556=0,"",SUMIFS(PRICES!$G$2:$G$658,PRICES!$B$2:$B$658,'MAIN TABLE-1 AUTOMATED'!J2556,PRICES!$C$2:$C$658,'MAIN TABLE-1 AUTOMATED'!F2556,PRICES!$D$2:$D$658,'MAIN TABLE-1 AUTOMATED'!O2556))</f>
        <v/>
      </c>
      <c r="R2556" s="41" t="str">
        <f>IF(Table1[[#This Row],[QUANTITY]]=0,"",Table1[[#This Row],[UNIT PRICE]]*Table1[[#This Row],[QUANTITY]])</f>
        <v/>
      </c>
      <c r="S2556" s="89"/>
      <c r="T2556" s="38"/>
      <c r="U2556" s="43"/>
      <c r="V2556" s="42" t="str">
        <f>IF(Table1[[#This Row],[DATE]]=0,"",YEAR(E2556))</f>
        <v/>
      </c>
      <c r="W2556" s="40" t="str">
        <f t="shared" si="82"/>
        <v/>
      </c>
      <c r="X2556" s="40" t="str">
        <f t="shared" si="83"/>
        <v/>
      </c>
      <c r="Y2556" s="40" t="str">
        <f>TEXT(Table1[[#This Row],[YEAR]],"0000")&amp;"-"&amp;Table1[[#This Row],[MONTH]]</f>
        <v>-</v>
      </c>
    </row>
    <row r="2557" spans="1:25" ht="15" customHeight="1" x14ac:dyDescent="0.35">
      <c r="A2557" s="24"/>
      <c r="B2557" s="38"/>
      <c r="C2557" s="38"/>
      <c r="D2557" s="38"/>
      <c r="E2557" s="37"/>
      <c r="F2557" s="38"/>
      <c r="G2557" s="198"/>
      <c r="H2557" s="198"/>
      <c r="I2557" s="39"/>
      <c r="J2557" s="38"/>
      <c r="K2557" s="198"/>
      <c r="L2557" s="38"/>
      <c r="M2557" s="38"/>
      <c r="N2557" s="38"/>
      <c r="O2557" s="38"/>
      <c r="P2557" s="40" t="str" cm="1">
        <f t="array" ref="P2557">IF(N2557="","",IFERROR(_xlfn.XLOOKUP(F2557&amp;"|"&amp;J2557&amp;"|"&amp;O2557,PRICES!$C$2:$C$659&amp;"|"&amp;PRICES!$B$2:$B$659&amp;"|"&amp;PRICES!$D$2:$D$659,PRICES!$E$2:$E$659),"Not Found"))</f>
        <v/>
      </c>
      <c r="Q2557" s="100" t="str">
        <f>IF(N2557=0,"",SUMIFS(PRICES!$G$2:$G$658,PRICES!$B$2:$B$658,'MAIN TABLE-1 AUTOMATED'!J2557,PRICES!$C$2:$C$658,'MAIN TABLE-1 AUTOMATED'!F2557,PRICES!$D$2:$D$658,'MAIN TABLE-1 AUTOMATED'!O2557))</f>
        <v/>
      </c>
      <c r="R2557" s="41" t="str">
        <f>IF(Table1[[#This Row],[QUANTITY]]=0,"",Table1[[#This Row],[UNIT PRICE]]*Table1[[#This Row],[QUANTITY]])</f>
        <v/>
      </c>
      <c r="S2557" s="89"/>
      <c r="T2557" s="38"/>
      <c r="U2557" s="43"/>
      <c r="V2557" s="42" t="str">
        <f>IF(Table1[[#This Row],[DATE]]=0,"",YEAR(E2557))</f>
        <v/>
      </c>
      <c r="W2557" s="40" t="str">
        <f t="shared" si="82"/>
        <v/>
      </c>
      <c r="X2557" s="40" t="str">
        <f t="shared" si="83"/>
        <v/>
      </c>
      <c r="Y2557" s="40" t="str">
        <f>TEXT(Table1[[#This Row],[YEAR]],"0000")&amp;"-"&amp;Table1[[#This Row],[MONTH]]</f>
        <v>-</v>
      </c>
    </row>
    <row r="2558" spans="1:25" ht="15" customHeight="1" x14ac:dyDescent="0.35">
      <c r="A2558" s="24"/>
      <c r="B2558" s="38"/>
      <c r="C2558" s="38"/>
      <c r="D2558" s="38"/>
      <c r="E2558" s="37"/>
      <c r="F2558" s="38"/>
      <c r="G2558" s="198"/>
      <c r="H2558" s="198"/>
      <c r="I2558" s="39"/>
      <c r="J2558" s="38"/>
      <c r="K2558" s="198"/>
      <c r="L2558" s="38"/>
      <c r="M2558" s="38"/>
      <c r="N2558" s="38"/>
      <c r="O2558" s="38"/>
      <c r="P2558" s="40" t="str" cm="1">
        <f t="array" ref="P2558">IF(N2558="","",IFERROR(_xlfn.XLOOKUP(F2558&amp;"|"&amp;J2558&amp;"|"&amp;O2558,PRICES!$C$2:$C$659&amp;"|"&amp;PRICES!$B$2:$B$659&amp;"|"&amp;PRICES!$D$2:$D$659,PRICES!$E$2:$E$659),"Not Found"))</f>
        <v/>
      </c>
      <c r="Q2558" s="100" t="str">
        <f>IF(N2558=0,"",SUMIFS(PRICES!$G$2:$G$658,PRICES!$B$2:$B$658,'MAIN TABLE-1 AUTOMATED'!J2558,PRICES!$C$2:$C$658,'MAIN TABLE-1 AUTOMATED'!F2558,PRICES!$D$2:$D$658,'MAIN TABLE-1 AUTOMATED'!O2558))</f>
        <v/>
      </c>
      <c r="R2558" s="41" t="str">
        <f>IF(Table1[[#This Row],[QUANTITY]]=0,"",Table1[[#This Row],[UNIT PRICE]]*Table1[[#This Row],[QUANTITY]])</f>
        <v/>
      </c>
      <c r="S2558" s="89"/>
      <c r="T2558" s="38"/>
      <c r="U2558" s="43"/>
      <c r="V2558" s="42" t="str">
        <f>IF(Table1[[#This Row],[DATE]]=0,"",YEAR(E2558))</f>
        <v/>
      </c>
      <c r="W2558" s="40" t="str">
        <f t="shared" si="82"/>
        <v/>
      </c>
      <c r="X2558" s="40" t="str">
        <f t="shared" si="83"/>
        <v/>
      </c>
      <c r="Y2558" s="40" t="str">
        <f>TEXT(Table1[[#This Row],[YEAR]],"0000")&amp;"-"&amp;Table1[[#This Row],[MONTH]]</f>
        <v>-</v>
      </c>
    </row>
    <row r="2559" spans="1:25" ht="15" customHeight="1" x14ac:dyDescent="0.35">
      <c r="A2559" s="24"/>
      <c r="B2559" s="38"/>
      <c r="C2559" s="38"/>
      <c r="D2559" s="38"/>
      <c r="E2559" s="37"/>
      <c r="F2559" s="38"/>
      <c r="G2559" s="198"/>
      <c r="H2559" s="198"/>
      <c r="I2559" s="39"/>
      <c r="J2559" s="38"/>
      <c r="K2559" s="198"/>
      <c r="L2559" s="38"/>
      <c r="M2559" s="38"/>
      <c r="N2559" s="38"/>
      <c r="O2559" s="38"/>
      <c r="P2559" s="40" t="str" cm="1">
        <f t="array" ref="P2559">IF(N2559="","",IFERROR(_xlfn.XLOOKUP(F2559&amp;"|"&amp;J2559&amp;"|"&amp;O2559,PRICES!$C$2:$C$659&amp;"|"&amp;PRICES!$B$2:$B$659&amp;"|"&amp;PRICES!$D$2:$D$659,PRICES!$E$2:$E$659),"Not Found"))</f>
        <v/>
      </c>
      <c r="Q2559" s="100" t="str">
        <f>IF(N2559=0,"",SUMIFS(PRICES!$G$2:$G$658,PRICES!$B$2:$B$658,'MAIN TABLE-1 AUTOMATED'!J2559,PRICES!$C$2:$C$658,'MAIN TABLE-1 AUTOMATED'!F2559,PRICES!$D$2:$D$658,'MAIN TABLE-1 AUTOMATED'!O2559))</f>
        <v/>
      </c>
      <c r="R2559" s="41" t="str">
        <f>IF(Table1[[#This Row],[QUANTITY]]=0,"",Table1[[#This Row],[UNIT PRICE]]*Table1[[#This Row],[QUANTITY]])</f>
        <v/>
      </c>
      <c r="S2559" s="89"/>
      <c r="T2559" s="38"/>
      <c r="U2559" s="43"/>
      <c r="V2559" s="42" t="str">
        <f>IF(Table1[[#This Row],[DATE]]=0,"",YEAR(E2559))</f>
        <v/>
      </c>
      <c r="W2559" s="40" t="str">
        <f t="shared" si="82"/>
        <v/>
      </c>
      <c r="X2559" s="40" t="str">
        <f t="shared" si="83"/>
        <v/>
      </c>
      <c r="Y2559" s="40" t="str">
        <f>TEXT(Table1[[#This Row],[YEAR]],"0000")&amp;"-"&amp;Table1[[#This Row],[MONTH]]</f>
        <v>-</v>
      </c>
    </row>
    <row r="2560" spans="1:25" ht="15" customHeight="1" x14ac:dyDescent="0.35">
      <c r="A2560" s="24"/>
      <c r="B2560" s="38"/>
      <c r="C2560" s="38"/>
      <c r="D2560" s="38"/>
      <c r="E2560" s="37"/>
      <c r="F2560" s="38"/>
      <c r="G2560" s="198"/>
      <c r="H2560" s="198"/>
      <c r="I2560" s="39"/>
      <c r="J2560" s="38"/>
      <c r="K2560" s="198"/>
      <c r="L2560" s="38"/>
      <c r="M2560" s="38"/>
      <c r="N2560" s="38"/>
      <c r="O2560" s="38"/>
      <c r="P2560" s="40" t="str" cm="1">
        <f t="array" ref="P2560">IF(N2560="","",IFERROR(_xlfn.XLOOKUP(F2560&amp;"|"&amp;J2560&amp;"|"&amp;O2560,PRICES!$C$2:$C$659&amp;"|"&amp;PRICES!$B$2:$B$659&amp;"|"&amp;PRICES!$D$2:$D$659,PRICES!$E$2:$E$659),"Not Found"))</f>
        <v/>
      </c>
      <c r="Q2560" s="100" t="str">
        <f>IF(N2560=0,"",SUMIFS(PRICES!$G$2:$G$658,PRICES!$B$2:$B$658,'MAIN TABLE-1 AUTOMATED'!J2560,PRICES!$C$2:$C$658,'MAIN TABLE-1 AUTOMATED'!F2560,PRICES!$D$2:$D$658,'MAIN TABLE-1 AUTOMATED'!O2560))</f>
        <v/>
      </c>
      <c r="R2560" s="41" t="str">
        <f>IF(Table1[[#This Row],[QUANTITY]]=0,"",Table1[[#This Row],[UNIT PRICE]]*Table1[[#This Row],[QUANTITY]])</f>
        <v/>
      </c>
      <c r="S2560" s="89"/>
      <c r="T2560" s="38"/>
      <c r="U2560" s="43"/>
      <c r="V2560" s="42" t="str">
        <f>IF(Table1[[#This Row],[DATE]]=0,"",YEAR(E2560))</f>
        <v/>
      </c>
      <c r="W2560" s="40" t="str">
        <f t="shared" si="82"/>
        <v/>
      </c>
      <c r="X2560" s="40" t="str">
        <f t="shared" si="83"/>
        <v/>
      </c>
      <c r="Y2560" s="40" t="str">
        <f>TEXT(Table1[[#This Row],[YEAR]],"0000")&amp;"-"&amp;Table1[[#This Row],[MONTH]]</f>
        <v>-</v>
      </c>
    </row>
    <row r="2561" spans="1:25" ht="15" customHeight="1" x14ac:dyDescent="0.35">
      <c r="A2561" s="24"/>
      <c r="B2561" s="38"/>
      <c r="C2561" s="38"/>
      <c r="D2561" s="38"/>
      <c r="E2561" s="37"/>
      <c r="F2561" s="38"/>
      <c r="G2561" s="198"/>
      <c r="H2561" s="198"/>
      <c r="I2561" s="39"/>
      <c r="J2561" s="38"/>
      <c r="K2561" s="198"/>
      <c r="L2561" s="38"/>
      <c r="M2561" s="38"/>
      <c r="N2561" s="38"/>
      <c r="O2561" s="38"/>
      <c r="P2561" s="40" t="str" cm="1">
        <f t="array" ref="P2561">IF(N2561="","",IFERROR(_xlfn.XLOOKUP(F2561&amp;"|"&amp;J2561&amp;"|"&amp;O2561,PRICES!$C$2:$C$659&amp;"|"&amp;PRICES!$B$2:$B$659&amp;"|"&amp;PRICES!$D$2:$D$659,PRICES!$E$2:$E$659),"Not Found"))</f>
        <v/>
      </c>
      <c r="Q2561" s="100" t="str">
        <f>IF(N2561=0,"",SUMIFS(PRICES!$G$2:$G$658,PRICES!$B$2:$B$658,'MAIN TABLE-1 AUTOMATED'!J2561,PRICES!$C$2:$C$658,'MAIN TABLE-1 AUTOMATED'!F2561,PRICES!$D$2:$D$658,'MAIN TABLE-1 AUTOMATED'!O2561))</f>
        <v/>
      </c>
      <c r="R2561" s="41" t="str">
        <f>IF(Table1[[#This Row],[QUANTITY]]=0,"",Table1[[#This Row],[UNIT PRICE]]*Table1[[#This Row],[QUANTITY]])</f>
        <v/>
      </c>
      <c r="S2561" s="89"/>
      <c r="T2561" s="38"/>
      <c r="U2561" s="43"/>
      <c r="V2561" s="42" t="str">
        <f>IF(Table1[[#This Row],[DATE]]=0,"",YEAR(E2561))</f>
        <v/>
      </c>
      <c r="W2561" s="40" t="str">
        <f t="shared" si="82"/>
        <v/>
      </c>
      <c r="X2561" s="40" t="str">
        <f t="shared" si="83"/>
        <v/>
      </c>
      <c r="Y2561" s="40" t="str">
        <f>TEXT(Table1[[#This Row],[YEAR]],"0000")&amp;"-"&amp;Table1[[#This Row],[MONTH]]</f>
        <v>-</v>
      </c>
    </row>
    <row r="2562" spans="1:25" ht="15" customHeight="1" x14ac:dyDescent="0.35">
      <c r="A2562" s="24"/>
      <c r="B2562" s="38"/>
      <c r="C2562" s="38"/>
      <c r="D2562" s="38"/>
      <c r="E2562" s="37"/>
      <c r="F2562" s="38"/>
      <c r="G2562" s="198"/>
      <c r="H2562" s="198"/>
      <c r="I2562" s="39"/>
      <c r="J2562" s="38"/>
      <c r="K2562" s="198"/>
      <c r="L2562" s="38"/>
      <c r="M2562" s="38"/>
      <c r="N2562" s="38"/>
      <c r="O2562" s="38"/>
      <c r="P2562" s="40" t="str" cm="1">
        <f t="array" ref="P2562">IF(N2562="","",IFERROR(_xlfn.XLOOKUP(F2562&amp;"|"&amp;J2562&amp;"|"&amp;O2562,PRICES!$C$2:$C$659&amp;"|"&amp;PRICES!$B$2:$B$659&amp;"|"&amp;PRICES!$D$2:$D$659,PRICES!$E$2:$E$659),"Not Found"))</f>
        <v/>
      </c>
      <c r="Q2562" s="100" t="str">
        <f>IF(N2562=0,"",SUMIFS(PRICES!$G$2:$G$658,PRICES!$B$2:$B$658,'MAIN TABLE-1 AUTOMATED'!J2562,PRICES!$C$2:$C$658,'MAIN TABLE-1 AUTOMATED'!F2562,PRICES!$D$2:$D$658,'MAIN TABLE-1 AUTOMATED'!O2562))</f>
        <v/>
      </c>
      <c r="R2562" s="41" t="str">
        <f>IF(Table1[[#This Row],[QUANTITY]]=0,"",Table1[[#This Row],[UNIT PRICE]]*Table1[[#This Row],[QUANTITY]])</f>
        <v/>
      </c>
      <c r="S2562" s="89"/>
      <c r="T2562" s="38"/>
      <c r="U2562" s="43"/>
      <c r="V2562" s="42" t="str">
        <f>IF(Table1[[#This Row],[DATE]]=0,"",YEAR(E2562))</f>
        <v/>
      </c>
      <c r="W2562" s="40" t="str">
        <f t="shared" si="82"/>
        <v/>
      </c>
      <c r="X2562" s="40" t="str">
        <f t="shared" si="83"/>
        <v/>
      </c>
      <c r="Y2562" s="40" t="str">
        <f>TEXT(Table1[[#This Row],[YEAR]],"0000")&amp;"-"&amp;Table1[[#This Row],[MONTH]]</f>
        <v>-</v>
      </c>
    </row>
    <row r="2563" spans="1:25" ht="15" customHeight="1" x14ac:dyDescent="0.35">
      <c r="A2563" s="24"/>
      <c r="B2563" s="38"/>
      <c r="C2563" s="38"/>
      <c r="D2563" s="38"/>
      <c r="E2563" s="37"/>
      <c r="F2563" s="38"/>
      <c r="G2563" s="198"/>
      <c r="H2563" s="198"/>
      <c r="I2563" s="39"/>
      <c r="J2563" s="38"/>
      <c r="K2563" s="198"/>
      <c r="L2563" s="38"/>
      <c r="M2563" s="38"/>
      <c r="N2563" s="38"/>
      <c r="O2563" s="38"/>
      <c r="P2563" s="40" t="str" cm="1">
        <f t="array" ref="P2563">IF(N2563="","",IFERROR(_xlfn.XLOOKUP(F2563&amp;"|"&amp;J2563&amp;"|"&amp;O2563,PRICES!$C$2:$C$659&amp;"|"&amp;PRICES!$B$2:$B$659&amp;"|"&amp;PRICES!$D$2:$D$659,PRICES!$E$2:$E$659),"Not Found"))</f>
        <v/>
      </c>
      <c r="Q2563" s="100" t="str">
        <f>IF(N2563=0,"",SUMIFS(PRICES!$G$2:$G$658,PRICES!$B$2:$B$658,'MAIN TABLE-1 AUTOMATED'!J2563,PRICES!$C$2:$C$658,'MAIN TABLE-1 AUTOMATED'!F2563,PRICES!$D$2:$D$658,'MAIN TABLE-1 AUTOMATED'!O2563))</f>
        <v/>
      </c>
      <c r="R2563" s="41" t="str">
        <f>IF(Table1[[#This Row],[QUANTITY]]=0,"",Table1[[#This Row],[UNIT PRICE]]*Table1[[#This Row],[QUANTITY]])</f>
        <v/>
      </c>
      <c r="S2563" s="89"/>
      <c r="T2563" s="38"/>
      <c r="U2563" s="43"/>
      <c r="V2563" s="42" t="str">
        <f>IF(Table1[[#This Row],[DATE]]=0,"",YEAR(E2563))</f>
        <v/>
      </c>
      <c r="W2563" s="40" t="str">
        <f t="shared" ref="W2563:W2626" si="84">IF(E2563=0,"",MONTH(E2563))</f>
        <v/>
      </c>
      <c r="X2563" s="40" t="str">
        <f t="shared" ref="X2563:X2626" si="85">IF(E2563=0,"",WEEKNUM(E2563))</f>
        <v/>
      </c>
      <c r="Y2563" s="40" t="str">
        <f>TEXT(Table1[[#This Row],[YEAR]],"0000")&amp;"-"&amp;Table1[[#This Row],[MONTH]]</f>
        <v>-</v>
      </c>
    </row>
    <row r="2564" spans="1:25" ht="15" customHeight="1" x14ac:dyDescent="0.35">
      <c r="A2564" s="24"/>
      <c r="B2564" s="38"/>
      <c r="C2564" s="38"/>
      <c r="D2564" s="38"/>
      <c r="E2564" s="37"/>
      <c r="F2564" s="38"/>
      <c r="G2564" s="198"/>
      <c r="H2564" s="198"/>
      <c r="I2564" s="39"/>
      <c r="J2564" s="38"/>
      <c r="K2564" s="198"/>
      <c r="L2564" s="38"/>
      <c r="M2564" s="38"/>
      <c r="N2564" s="38"/>
      <c r="O2564" s="38"/>
      <c r="P2564" s="40" t="str" cm="1">
        <f t="array" ref="P2564">IF(N2564="","",IFERROR(_xlfn.XLOOKUP(F2564&amp;"|"&amp;J2564&amp;"|"&amp;O2564,PRICES!$C$2:$C$659&amp;"|"&amp;PRICES!$B$2:$B$659&amp;"|"&amp;PRICES!$D$2:$D$659,PRICES!$E$2:$E$659),"Not Found"))</f>
        <v/>
      </c>
      <c r="Q2564" s="100" t="str">
        <f>IF(N2564=0,"",SUMIFS(PRICES!$G$2:$G$658,PRICES!$B$2:$B$658,'MAIN TABLE-1 AUTOMATED'!J2564,PRICES!$C$2:$C$658,'MAIN TABLE-1 AUTOMATED'!F2564,PRICES!$D$2:$D$658,'MAIN TABLE-1 AUTOMATED'!O2564))</f>
        <v/>
      </c>
      <c r="R2564" s="41" t="str">
        <f>IF(Table1[[#This Row],[QUANTITY]]=0,"",Table1[[#This Row],[UNIT PRICE]]*Table1[[#This Row],[QUANTITY]])</f>
        <v/>
      </c>
      <c r="S2564" s="89"/>
      <c r="T2564" s="38"/>
      <c r="U2564" s="43"/>
      <c r="V2564" s="42" t="str">
        <f>IF(Table1[[#This Row],[DATE]]=0,"",YEAR(E2564))</f>
        <v/>
      </c>
      <c r="W2564" s="40" t="str">
        <f t="shared" si="84"/>
        <v/>
      </c>
      <c r="X2564" s="40" t="str">
        <f t="shared" si="85"/>
        <v/>
      </c>
      <c r="Y2564" s="40" t="str">
        <f>TEXT(Table1[[#This Row],[YEAR]],"0000")&amp;"-"&amp;Table1[[#This Row],[MONTH]]</f>
        <v>-</v>
      </c>
    </row>
    <row r="2565" spans="1:25" ht="15" customHeight="1" x14ac:dyDescent="0.35">
      <c r="A2565" s="24"/>
      <c r="B2565" s="38"/>
      <c r="C2565" s="38"/>
      <c r="D2565" s="38"/>
      <c r="E2565" s="37"/>
      <c r="F2565" s="38"/>
      <c r="G2565" s="198"/>
      <c r="H2565" s="198"/>
      <c r="I2565" s="39"/>
      <c r="J2565" s="38"/>
      <c r="K2565" s="198"/>
      <c r="L2565" s="38"/>
      <c r="M2565" s="38"/>
      <c r="N2565" s="38"/>
      <c r="O2565" s="38"/>
      <c r="P2565" s="40" t="str" cm="1">
        <f t="array" ref="P2565">IF(N2565="","",IFERROR(_xlfn.XLOOKUP(F2565&amp;"|"&amp;J2565&amp;"|"&amp;O2565,PRICES!$C$2:$C$659&amp;"|"&amp;PRICES!$B$2:$B$659&amp;"|"&amp;PRICES!$D$2:$D$659,PRICES!$E$2:$E$659),"Not Found"))</f>
        <v/>
      </c>
      <c r="Q2565" s="100" t="str">
        <f>IF(N2565=0,"",SUMIFS(PRICES!$G$2:$G$658,PRICES!$B$2:$B$658,'MAIN TABLE-1 AUTOMATED'!J2565,PRICES!$C$2:$C$658,'MAIN TABLE-1 AUTOMATED'!F2565,PRICES!$D$2:$D$658,'MAIN TABLE-1 AUTOMATED'!O2565))</f>
        <v/>
      </c>
      <c r="R2565" s="41" t="str">
        <f>IF(Table1[[#This Row],[QUANTITY]]=0,"",Table1[[#This Row],[UNIT PRICE]]*Table1[[#This Row],[QUANTITY]])</f>
        <v/>
      </c>
      <c r="S2565" s="89"/>
      <c r="T2565" s="38"/>
      <c r="U2565" s="43"/>
      <c r="V2565" s="42" t="str">
        <f>IF(Table1[[#This Row],[DATE]]=0,"",YEAR(E2565))</f>
        <v/>
      </c>
      <c r="W2565" s="40" t="str">
        <f t="shared" si="84"/>
        <v/>
      </c>
      <c r="X2565" s="40" t="str">
        <f t="shared" si="85"/>
        <v/>
      </c>
      <c r="Y2565" s="40" t="str">
        <f>TEXT(Table1[[#This Row],[YEAR]],"0000")&amp;"-"&amp;Table1[[#This Row],[MONTH]]</f>
        <v>-</v>
      </c>
    </row>
    <row r="2566" spans="1:25" ht="15" customHeight="1" x14ac:dyDescent="0.35">
      <c r="A2566" s="24"/>
      <c r="B2566" s="38"/>
      <c r="C2566" s="38"/>
      <c r="D2566" s="38"/>
      <c r="E2566" s="37"/>
      <c r="F2566" s="38"/>
      <c r="G2566" s="198"/>
      <c r="H2566" s="198"/>
      <c r="I2566" s="39"/>
      <c r="J2566" s="38"/>
      <c r="K2566" s="198"/>
      <c r="L2566" s="38"/>
      <c r="M2566" s="38"/>
      <c r="N2566" s="38"/>
      <c r="O2566" s="38"/>
      <c r="P2566" s="40" t="str" cm="1">
        <f t="array" ref="P2566">IF(N2566="","",IFERROR(_xlfn.XLOOKUP(F2566&amp;"|"&amp;J2566&amp;"|"&amp;O2566,PRICES!$C$2:$C$659&amp;"|"&amp;PRICES!$B$2:$B$659&amp;"|"&amp;PRICES!$D$2:$D$659,PRICES!$E$2:$E$659),"Not Found"))</f>
        <v/>
      </c>
      <c r="Q2566" s="100" t="str">
        <f>IF(N2566=0,"",SUMIFS(PRICES!$G$2:$G$658,PRICES!$B$2:$B$658,'MAIN TABLE-1 AUTOMATED'!J2566,PRICES!$C$2:$C$658,'MAIN TABLE-1 AUTOMATED'!F2566,PRICES!$D$2:$D$658,'MAIN TABLE-1 AUTOMATED'!O2566))</f>
        <v/>
      </c>
      <c r="R2566" s="41" t="str">
        <f>IF(Table1[[#This Row],[QUANTITY]]=0,"",Table1[[#This Row],[UNIT PRICE]]*Table1[[#This Row],[QUANTITY]])</f>
        <v/>
      </c>
      <c r="S2566" s="89"/>
      <c r="T2566" s="38"/>
      <c r="U2566" s="43"/>
      <c r="V2566" s="42" t="str">
        <f>IF(Table1[[#This Row],[DATE]]=0,"",YEAR(E2566))</f>
        <v/>
      </c>
      <c r="W2566" s="40" t="str">
        <f t="shared" si="84"/>
        <v/>
      </c>
      <c r="X2566" s="40" t="str">
        <f t="shared" si="85"/>
        <v/>
      </c>
      <c r="Y2566" s="40" t="str">
        <f>TEXT(Table1[[#This Row],[YEAR]],"0000")&amp;"-"&amp;Table1[[#This Row],[MONTH]]</f>
        <v>-</v>
      </c>
    </row>
    <row r="2567" spans="1:25" ht="15" customHeight="1" x14ac:dyDescent="0.35">
      <c r="A2567" s="24"/>
      <c r="B2567" s="38"/>
      <c r="C2567" s="38"/>
      <c r="D2567" s="38"/>
      <c r="E2567" s="37"/>
      <c r="F2567" s="38"/>
      <c r="G2567" s="198"/>
      <c r="H2567" s="198"/>
      <c r="I2567" s="39"/>
      <c r="J2567" s="38"/>
      <c r="K2567" s="198"/>
      <c r="L2567" s="38"/>
      <c r="M2567" s="38"/>
      <c r="N2567" s="38"/>
      <c r="O2567" s="38"/>
      <c r="P2567" s="40" t="str" cm="1">
        <f t="array" ref="P2567">IF(N2567="","",IFERROR(_xlfn.XLOOKUP(F2567&amp;"|"&amp;J2567&amp;"|"&amp;O2567,PRICES!$C$2:$C$659&amp;"|"&amp;PRICES!$B$2:$B$659&amp;"|"&amp;PRICES!$D$2:$D$659,PRICES!$E$2:$E$659),"Not Found"))</f>
        <v/>
      </c>
      <c r="Q2567" s="100" t="str">
        <f>IF(N2567=0,"",SUMIFS(PRICES!$G$2:$G$658,PRICES!$B$2:$B$658,'MAIN TABLE-1 AUTOMATED'!J2567,PRICES!$C$2:$C$658,'MAIN TABLE-1 AUTOMATED'!F2567,PRICES!$D$2:$D$658,'MAIN TABLE-1 AUTOMATED'!O2567))</f>
        <v/>
      </c>
      <c r="R2567" s="41" t="str">
        <f>IF(Table1[[#This Row],[QUANTITY]]=0,"",Table1[[#This Row],[UNIT PRICE]]*Table1[[#This Row],[QUANTITY]])</f>
        <v/>
      </c>
      <c r="S2567" s="89"/>
      <c r="T2567" s="38"/>
      <c r="U2567" s="43"/>
      <c r="V2567" s="42" t="str">
        <f>IF(Table1[[#This Row],[DATE]]=0,"",YEAR(E2567))</f>
        <v/>
      </c>
      <c r="W2567" s="40" t="str">
        <f t="shared" si="84"/>
        <v/>
      </c>
      <c r="X2567" s="40" t="str">
        <f t="shared" si="85"/>
        <v/>
      </c>
      <c r="Y2567" s="40" t="str">
        <f>TEXT(Table1[[#This Row],[YEAR]],"0000")&amp;"-"&amp;Table1[[#This Row],[MONTH]]</f>
        <v>-</v>
      </c>
    </row>
    <row r="2568" spans="1:25" ht="15" customHeight="1" x14ac:dyDescent="0.35">
      <c r="A2568" s="24"/>
      <c r="B2568" s="38"/>
      <c r="C2568" s="38"/>
      <c r="D2568" s="38"/>
      <c r="E2568" s="37"/>
      <c r="F2568" s="38"/>
      <c r="G2568" s="198"/>
      <c r="H2568" s="198"/>
      <c r="I2568" s="39"/>
      <c r="J2568" s="38"/>
      <c r="K2568" s="198"/>
      <c r="L2568" s="38"/>
      <c r="M2568" s="38"/>
      <c r="N2568" s="38"/>
      <c r="O2568" s="38"/>
      <c r="P2568" s="40" t="str" cm="1">
        <f t="array" ref="P2568">IF(N2568="","",IFERROR(_xlfn.XLOOKUP(F2568&amp;"|"&amp;J2568&amp;"|"&amp;O2568,PRICES!$C$2:$C$659&amp;"|"&amp;PRICES!$B$2:$B$659&amp;"|"&amp;PRICES!$D$2:$D$659,PRICES!$E$2:$E$659),"Not Found"))</f>
        <v/>
      </c>
      <c r="Q2568" s="100" t="str">
        <f>IF(N2568=0,"",SUMIFS(PRICES!$G$2:$G$658,PRICES!$B$2:$B$658,'MAIN TABLE-1 AUTOMATED'!J2568,PRICES!$C$2:$C$658,'MAIN TABLE-1 AUTOMATED'!F2568,PRICES!$D$2:$D$658,'MAIN TABLE-1 AUTOMATED'!O2568))</f>
        <v/>
      </c>
      <c r="R2568" s="41" t="str">
        <f>IF(Table1[[#This Row],[QUANTITY]]=0,"",Table1[[#This Row],[UNIT PRICE]]*Table1[[#This Row],[QUANTITY]])</f>
        <v/>
      </c>
      <c r="S2568" s="89"/>
      <c r="T2568" s="38"/>
      <c r="U2568" s="43"/>
      <c r="V2568" s="42" t="str">
        <f>IF(Table1[[#This Row],[DATE]]=0,"",YEAR(E2568))</f>
        <v/>
      </c>
      <c r="W2568" s="40" t="str">
        <f t="shared" si="84"/>
        <v/>
      </c>
      <c r="X2568" s="40" t="str">
        <f t="shared" si="85"/>
        <v/>
      </c>
      <c r="Y2568" s="40" t="str">
        <f>TEXT(Table1[[#This Row],[YEAR]],"0000")&amp;"-"&amp;Table1[[#This Row],[MONTH]]</f>
        <v>-</v>
      </c>
    </row>
    <row r="2569" spans="1:25" ht="15" customHeight="1" x14ac:dyDescent="0.35">
      <c r="A2569" s="24"/>
      <c r="B2569" s="38"/>
      <c r="C2569" s="38"/>
      <c r="D2569" s="38"/>
      <c r="E2569" s="37"/>
      <c r="F2569" s="38"/>
      <c r="G2569" s="198"/>
      <c r="H2569" s="198"/>
      <c r="I2569" s="39"/>
      <c r="J2569" s="38"/>
      <c r="K2569" s="198"/>
      <c r="L2569" s="38"/>
      <c r="M2569" s="38"/>
      <c r="N2569" s="38"/>
      <c r="O2569" s="38"/>
      <c r="P2569" s="40" t="str" cm="1">
        <f t="array" ref="P2569">IF(N2569="","",IFERROR(_xlfn.XLOOKUP(F2569&amp;"|"&amp;J2569&amp;"|"&amp;O2569,PRICES!$C$2:$C$659&amp;"|"&amp;PRICES!$B$2:$B$659&amp;"|"&amp;PRICES!$D$2:$D$659,PRICES!$E$2:$E$659),"Not Found"))</f>
        <v/>
      </c>
      <c r="Q2569" s="100" t="str">
        <f>IF(N2569=0,"",SUMIFS(PRICES!$G$2:$G$658,PRICES!$B$2:$B$658,'MAIN TABLE-1 AUTOMATED'!J2569,PRICES!$C$2:$C$658,'MAIN TABLE-1 AUTOMATED'!F2569,PRICES!$D$2:$D$658,'MAIN TABLE-1 AUTOMATED'!O2569))</f>
        <v/>
      </c>
      <c r="R2569" s="41" t="str">
        <f>IF(Table1[[#This Row],[QUANTITY]]=0,"",Table1[[#This Row],[UNIT PRICE]]*Table1[[#This Row],[QUANTITY]])</f>
        <v/>
      </c>
      <c r="S2569" s="89"/>
      <c r="T2569" s="38"/>
      <c r="U2569" s="43"/>
      <c r="V2569" s="42" t="str">
        <f>IF(Table1[[#This Row],[DATE]]=0,"",YEAR(E2569))</f>
        <v/>
      </c>
      <c r="W2569" s="40" t="str">
        <f t="shared" si="84"/>
        <v/>
      </c>
      <c r="X2569" s="40" t="str">
        <f t="shared" si="85"/>
        <v/>
      </c>
      <c r="Y2569" s="40" t="str">
        <f>TEXT(Table1[[#This Row],[YEAR]],"0000")&amp;"-"&amp;Table1[[#This Row],[MONTH]]</f>
        <v>-</v>
      </c>
    </row>
    <row r="2570" spans="1:25" ht="15" customHeight="1" x14ac:dyDescent="0.35">
      <c r="A2570" s="24"/>
      <c r="B2570" s="38"/>
      <c r="C2570" s="38"/>
      <c r="D2570" s="38"/>
      <c r="E2570" s="37"/>
      <c r="F2570" s="38"/>
      <c r="G2570" s="198"/>
      <c r="H2570" s="198"/>
      <c r="I2570" s="39"/>
      <c r="J2570" s="38"/>
      <c r="K2570" s="198"/>
      <c r="L2570" s="38"/>
      <c r="M2570" s="38"/>
      <c r="N2570" s="38"/>
      <c r="O2570" s="38"/>
      <c r="P2570" s="40" t="str" cm="1">
        <f t="array" ref="P2570">IF(N2570="","",IFERROR(_xlfn.XLOOKUP(F2570&amp;"|"&amp;J2570&amp;"|"&amp;O2570,PRICES!$C$2:$C$659&amp;"|"&amp;PRICES!$B$2:$B$659&amp;"|"&amp;PRICES!$D$2:$D$659,PRICES!$E$2:$E$659),"Not Found"))</f>
        <v/>
      </c>
      <c r="Q2570" s="100" t="str">
        <f>IF(N2570=0,"",SUMIFS(PRICES!$G$2:$G$658,PRICES!$B$2:$B$658,'MAIN TABLE-1 AUTOMATED'!J2570,PRICES!$C$2:$C$658,'MAIN TABLE-1 AUTOMATED'!F2570,PRICES!$D$2:$D$658,'MAIN TABLE-1 AUTOMATED'!O2570))</f>
        <v/>
      </c>
      <c r="R2570" s="41" t="str">
        <f>IF(Table1[[#This Row],[QUANTITY]]=0,"",Table1[[#This Row],[UNIT PRICE]]*Table1[[#This Row],[QUANTITY]])</f>
        <v/>
      </c>
      <c r="S2570" s="89"/>
      <c r="T2570" s="38"/>
      <c r="U2570" s="43"/>
      <c r="V2570" s="42" t="str">
        <f>IF(Table1[[#This Row],[DATE]]=0,"",YEAR(E2570))</f>
        <v/>
      </c>
      <c r="W2570" s="40" t="str">
        <f t="shared" si="84"/>
        <v/>
      </c>
      <c r="X2570" s="40" t="str">
        <f t="shared" si="85"/>
        <v/>
      </c>
      <c r="Y2570" s="40" t="str">
        <f>TEXT(Table1[[#This Row],[YEAR]],"0000")&amp;"-"&amp;Table1[[#This Row],[MONTH]]</f>
        <v>-</v>
      </c>
    </row>
    <row r="2571" spans="1:25" ht="15" customHeight="1" x14ac:dyDescent="0.35">
      <c r="A2571" s="24"/>
      <c r="B2571" s="38"/>
      <c r="C2571" s="38"/>
      <c r="D2571" s="38"/>
      <c r="E2571" s="37"/>
      <c r="F2571" s="38"/>
      <c r="G2571" s="198"/>
      <c r="H2571" s="198"/>
      <c r="I2571" s="39"/>
      <c r="J2571" s="38"/>
      <c r="K2571" s="198"/>
      <c r="L2571" s="38"/>
      <c r="M2571" s="38"/>
      <c r="N2571" s="38"/>
      <c r="O2571" s="38"/>
      <c r="P2571" s="40" t="str" cm="1">
        <f t="array" ref="P2571">IF(N2571="","",IFERROR(_xlfn.XLOOKUP(F2571&amp;"|"&amp;J2571&amp;"|"&amp;O2571,PRICES!$C$2:$C$659&amp;"|"&amp;PRICES!$B$2:$B$659&amp;"|"&amp;PRICES!$D$2:$D$659,PRICES!$E$2:$E$659),"Not Found"))</f>
        <v/>
      </c>
      <c r="Q2571" s="100" t="str">
        <f>IF(N2571=0,"",SUMIFS(PRICES!$G$2:$G$658,PRICES!$B$2:$B$658,'MAIN TABLE-1 AUTOMATED'!J2571,PRICES!$C$2:$C$658,'MAIN TABLE-1 AUTOMATED'!F2571,PRICES!$D$2:$D$658,'MAIN TABLE-1 AUTOMATED'!O2571))</f>
        <v/>
      </c>
      <c r="R2571" s="41" t="str">
        <f>IF(Table1[[#This Row],[QUANTITY]]=0,"",Table1[[#This Row],[UNIT PRICE]]*Table1[[#This Row],[QUANTITY]])</f>
        <v/>
      </c>
      <c r="S2571" s="89"/>
      <c r="T2571" s="38"/>
      <c r="U2571" s="43"/>
      <c r="V2571" s="42" t="str">
        <f>IF(Table1[[#This Row],[DATE]]=0,"",YEAR(E2571))</f>
        <v/>
      </c>
      <c r="W2571" s="40" t="str">
        <f t="shared" si="84"/>
        <v/>
      </c>
      <c r="X2571" s="40" t="str">
        <f t="shared" si="85"/>
        <v/>
      </c>
      <c r="Y2571" s="40" t="str">
        <f>TEXT(Table1[[#This Row],[YEAR]],"0000")&amp;"-"&amp;Table1[[#This Row],[MONTH]]</f>
        <v>-</v>
      </c>
    </row>
    <row r="2572" spans="1:25" ht="15" customHeight="1" x14ac:dyDescent="0.35">
      <c r="A2572" s="24"/>
      <c r="B2572" s="38"/>
      <c r="C2572" s="38"/>
      <c r="D2572" s="38"/>
      <c r="E2572" s="37"/>
      <c r="F2572" s="38"/>
      <c r="G2572" s="198"/>
      <c r="H2572" s="198"/>
      <c r="I2572" s="39"/>
      <c r="J2572" s="38"/>
      <c r="K2572" s="198"/>
      <c r="L2572" s="38"/>
      <c r="M2572" s="38"/>
      <c r="N2572" s="38"/>
      <c r="O2572" s="38"/>
      <c r="P2572" s="40" t="str" cm="1">
        <f t="array" ref="P2572">IF(N2572="","",IFERROR(_xlfn.XLOOKUP(F2572&amp;"|"&amp;J2572&amp;"|"&amp;O2572,PRICES!$C$2:$C$659&amp;"|"&amp;PRICES!$B$2:$B$659&amp;"|"&amp;PRICES!$D$2:$D$659,PRICES!$E$2:$E$659),"Not Found"))</f>
        <v/>
      </c>
      <c r="Q2572" s="100" t="str">
        <f>IF(N2572=0,"",SUMIFS(PRICES!$G$2:$G$658,PRICES!$B$2:$B$658,'MAIN TABLE-1 AUTOMATED'!J2572,PRICES!$C$2:$C$658,'MAIN TABLE-1 AUTOMATED'!F2572,PRICES!$D$2:$D$658,'MAIN TABLE-1 AUTOMATED'!O2572))</f>
        <v/>
      </c>
      <c r="R2572" s="41" t="str">
        <f>IF(Table1[[#This Row],[QUANTITY]]=0,"",Table1[[#This Row],[UNIT PRICE]]*Table1[[#This Row],[QUANTITY]])</f>
        <v/>
      </c>
      <c r="S2572" s="89"/>
      <c r="T2572" s="38"/>
      <c r="U2572" s="43"/>
      <c r="V2572" s="42" t="str">
        <f>IF(Table1[[#This Row],[DATE]]=0,"",YEAR(E2572))</f>
        <v/>
      </c>
      <c r="W2572" s="40" t="str">
        <f t="shared" si="84"/>
        <v/>
      </c>
      <c r="X2572" s="40" t="str">
        <f t="shared" si="85"/>
        <v/>
      </c>
      <c r="Y2572" s="40" t="str">
        <f>TEXT(Table1[[#This Row],[YEAR]],"0000")&amp;"-"&amp;Table1[[#This Row],[MONTH]]</f>
        <v>-</v>
      </c>
    </row>
    <row r="2573" spans="1:25" ht="15" customHeight="1" x14ac:dyDescent="0.35">
      <c r="A2573" s="24"/>
      <c r="B2573" s="38"/>
      <c r="C2573" s="38"/>
      <c r="D2573" s="38"/>
      <c r="E2573" s="37"/>
      <c r="F2573" s="38"/>
      <c r="G2573" s="198"/>
      <c r="H2573" s="198"/>
      <c r="I2573" s="39"/>
      <c r="J2573" s="38"/>
      <c r="K2573" s="198"/>
      <c r="L2573" s="38"/>
      <c r="M2573" s="38"/>
      <c r="N2573" s="38"/>
      <c r="O2573" s="38"/>
      <c r="P2573" s="40" t="str" cm="1">
        <f t="array" ref="P2573">IF(N2573="","",IFERROR(_xlfn.XLOOKUP(F2573&amp;"|"&amp;J2573&amp;"|"&amp;O2573,PRICES!$C$2:$C$659&amp;"|"&amp;PRICES!$B$2:$B$659&amp;"|"&amp;PRICES!$D$2:$D$659,PRICES!$E$2:$E$659),"Not Found"))</f>
        <v/>
      </c>
      <c r="Q2573" s="100" t="str">
        <f>IF(N2573=0,"",SUMIFS(PRICES!$G$2:$G$658,PRICES!$B$2:$B$658,'MAIN TABLE-1 AUTOMATED'!J2573,PRICES!$C$2:$C$658,'MAIN TABLE-1 AUTOMATED'!F2573,PRICES!$D$2:$D$658,'MAIN TABLE-1 AUTOMATED'!O2573))</f>
        <v/>
      </c>
      <c r="R2573" s="41" t="str">
        <f>IF(Table1[[#This Row],[QUANTITY]]=0,"",Table1[[#This Row],[UNIT PRICE]]*Table1[[#This Row],[QUANTITY]])</f>
        <v/>
      </c>
      <c r="S2573" s="89"/>
      <c r="T2573" s="38"/>
      <c r="U2573" s="43"/>
      <c r="V2573" s="42" t="str">
        <f>IF(Table1[[#This Row],[DATE]]=0,"",YEAR(E2573))</f>
        <v/>
      </c>
      <c r="W2573" s="40" t="str">
        <f t="shared" si="84"/>
        <v/>
      </c>
      <c r="X2573" s="40" t="str">
        <f t="shared" si="85"/>
        <v/>
      </c>
      <c r="Y2573" s="40" t="str">
        <f>TEXT(Table1[[#This Row],[YEAR]],"0000")&amp;"-"&amp;Table1[[#This Row],[MONTH]]</f>
        <v>-</v>
      </c>
    </row>
    <row r="2574" spans="1:25" ht="15" customHeight="1" x14ac:dyDescent="0.35">
      <c r="A2574" s="24"/>
      <c r="B2574" s="38"/>
      <c r="C2574" s="38"/>
      <c r="D2574" s="38"/>
      <c r="E2574" s="37"/>
      <c r="F2574" s="38"/>
      <c r="G2574" s="198"/>
      <c r="H2574" s="198"/>
      <c r="I2574" s="39"/>
      <c r="J2574" s="38"/>
      <c r="K2574" s="198"/>
      <c r="L2574" s="38"/>
      <c r="M2574" s="38"/>
      <c r="N2574" s="38"/>
      <c r="O2574" s="38"/>
      <c r="P2574" s="40" t="str" cm="1">
        <f t="array" ref="P2574">IF(N2574="","",IFERROR(_xlfn.XLOOKUP(F2574&amp;"|"&amp;J2574&amp;"|"&amp;O2574,PRICES!$C$2:$C$659&amp;"|"&amp;PRICES!$B$2:$B$659&amp;"|"&amp;PRICES!$D$2:$D$659,PRICES!$E$2:$E$659),"Not Found"))</f>
        <v/>
      </c>
      <c r="Q2574" s="100" t="str">
        <f>IF(N2574=0,"",SUMIFS(PRICES!$G$2:$G$658,PRICES!$B$2:$B$658,'MAIN TABLE-1 AUTOMATED'!J2574,PRICES!$C$2:$C$658,'MAIN TABLE-1 AUTOMATED'!F2574,PRICES!$D$2:$D$658,'MAIN TABLE-1 AUTOMATED'!O2574))</f>
        <v/>
      </c>
      <c r="R2574" s="41" t="str">
        <f>IF(Table1[[#This Row],[QUANTITY]]=0,"",Table1[[#This Row],[UNIT PRICE]]*Table1[[#This Row],[QUANTITY]])</f>
        <v/>
      </c>
      <c r="S2574" s="89"/>
      <c r="T2574" s="38"/>
      <c r="U2574" s="43"/>
      <c r="V2574" s="42" t="str">
        <f>IF(Table1[[#This Row],[DATE]]=0,"",YEAR(E2574))</f>
        <v/>
      </c>
      <c r="W2574" s="40" t="str">
        <f t="shared" si="84"/>
        <v/>
      </c>
      <c r="X2574" s="40" t="str">
        <f t="shared" si="85"/>
        <v/>
      </c>
      <c r="Y2574" s="40" t="str">
        <f>TEXT(Table1[[#This Row],[YEAR]],"0000")&amp;"-"&amp;Table1[[#This Row],[MONTH]]</f>
        <v>-</v>
      </c>
    </row>
    <row r="2575" spans="1:25" ht="15" customHeight="1" x14ac:dyDescent="0.35">
      <c r="A2575" s="24"/>
      <c r="B2575" s="38"/>
      <c r="C2575" s="38"/>
      <c r="D2575" s="38"/>
      <c r="E2575" s="37"/>
      <c r="F2575" s="38"/>
      <c r="G2575" s="198"/>
      <c r="H2575" s="198"/>
      <c r="I2575" s="39"/>
      <c r="J2575" s="38"/>
      <c r="K2575" s="198"/>
      <c r="L2575" s="38"/>
      <c r="M2575" s="38"/>
      <c r="N2575" s="38"/>
      <c r="O2575" s="38"/>
      <c r="P2575" s="40" t="str" cm="1">
        <f t="array" ref="P2575">IF(N2575="","",IFERROR(_xlfn.XLOOKUP(F2575&amp;"|"&amp;J2575&amp;"|"&amp;O2575,PRICES!$C$2:$C$659&amp;"|"&amp;PRICES!$B$2:$B$659&amp;"|"&amp;PRICES!$D$2:$D$659,PRICES!$E$2:$E$659),"Not Found"))</f>
        <v/>
      </c>
      <c r="Q2575" s="100" t="str">
        <f>IF(N2575=0,"",SUMIFS(PRICES!$G$2:$G$658,PRICES!$B$2:$B$658,'MAIN TABLE-1 AUTOMATED'!J2575,PRICES!$C$2:$C$658,'MAIN TABLE-1 AUTOMATED'!F2575,PRICES!$D$2:$D$658,'MAIN TABLE-1 AUTOMATED'!O2575))</f>
        <v/>
      </c>
      <c r="R2575" s="41" t="str">
        <f>IF(Table1[[#This Row],[QUANTITY]]=0,"",Table1[[#This Row],[UNIT PRICE]]*Table1[[#This Row],[QUANTITY]])</f>
        <v/>
      </c>
      <c r="S2575" s="89"/>
      <c r="T2575" s="38"/>
      <c r="U2575" s="43"/>
      <c r="V2575" s="42" t="str">
        <f>IF(Table1[[#This Row],[DATE]]=0,"",YEAR(E2575))</f>
        <v/>
      </c>
      <c r="W2575" s="40" t="str">
        <f t="shared" si="84"/>
        <v/>
      </c>
      <c r="X2575" s="40" t="str">
        <f t="shared" si="85"/>
        <v/>
      </c>
      <c r="Y2575" s="40" t="str">
        <f>TEXT(Table1[[#This Row],[YEAR]],"0000")&amp;"-"&amp;Table1[[#This Row],[MONTH]]</f>
        <v>-</v>
      </c>
    </row>
    <row r="2576" spans="1:25" ht="15" customHeight="1" x14ac:dyDescent="0.35">
      <c r="A2576" s="24"/>
      <c r="B2576" s="38"/>
      <c r="C2576" s="38"/>
      <c r="D2576" s="38"/>
      <c r="E2576" s="37"/>
      <c r="F2576" s="38"/>
      <c r="G2576" s="198"/>
      <c r="H2576" s="198"/>
      <c r="I2576" s="39"/>
      <c r="J2576" s="38"/>
      <c r="K2576" s="198"/>
      <c r="L2576" s="38"/>
      <c r="M2576" s="38"/>
      <c r="N2576" s="38"/>
      <c r="O2576" s="38"/>
      <c r="P2576" s="40" t="str" cm="1">
        <f t="array" ref="P2576">IF(N2576="","",IFERROR(_xlfn.XLOOKUP(F2576&amp;"|"&amp;J2576&amp;"|"&amp;O2576,PRICES!$C$2:$C$659&amp;"|"&amp;PRICES!$B$2:$B$659&amp;"|"&amp;PRICES!$D$2:$D$659,PRICES!$E$2:$E$659),"Not Found"))</f>
        <v/>
      </c>
      <c r="Q2576" s="100" t="str">
        <f>IF(N2576=0,"",SUMIFS(PRICES!$G$2:$G$658,PRICES!$B$2:$B$658,'MAIN TABLE-1 AUTOMATED'!J2576,PRICES!$C$2:$C$658,'MAIN TABLE-1 AUTOMATED'!F2576,PRICES!$D$2:$D$658,'MAIN TABLE-1 AUTOMATED'!O2576))</f>
        <v/>
      </c>
      <c r="R2576" s="41" t="str">
        <f>IF(Table1[[#This Row],[QUANTITY]]=0,"",Table1[[#This Row],[UNIT PRICE]]*Table1[[#This Row],[QUANTITY]])</f>
        <v/>
      </c>
      <c r="S2576" s="89"/>
      <c r="T2576" s="38"/>
      <c r="U2576" s="43"/>
      <c r="V2576" s="42" t="str">
        <f>IF(Table1[[#This Row],[DATE]]=0,"",YEAR(E2576))</f>
        <v/>
      </c>
      <c r="W2576" s="40" t="str">
        <f t="shared" si="84"/>
        <v/>
      </c>
      <c r="X2576" s="40" t="str">
        <f t="shared" si="85"/>
        <v/>
      </c>
      <c r="Y2576" s="40" t="str">
        <f>TEXT(Table1[[#This Row],[YEAR]],"0000")&amp;"-"&amp;Table1[[#This Row],[MONTH]]</f>
        <v>-</v>
      </c>
    </row>
    <row r="2577" spans="1:25" ht="15" customHeight="1" x14ac:dyDescent="0.35">
      <c r="A2577" s="24"/>
      <c r="B2577" s="38"/>
      <c r="C2577" s="38"/>
      <c r="D2577" s="38"/>
      <c r="E2577" s="37"/>
      <c r="F2577" s="38"/>
      <c r="G2577" s="198"/>
      <c r="H2577" s="198"/>
      <c r="I2577" s="39"/>
      <c r="J2577" s="38"/>
      <c r="K2577" s="198"/>
      <c r="L2577" s="38"/>
      <c r="M2577" s="38"/>
      <c r="N2577" s="38"/>
      <c r="O2577" s="38"/>
      <c r="P2577" s="40" t="str" cm="1">
        <f t="array" ref="P2577">IF(N2577="","",IFERROR(_xlfn.XLOOKUP(F2577&amp;"|"&amp;J2577&amp;"|"&amp;O2577,PRICES!$C$2:$C$659&amp;"|"&amp;PRICES!$B$2:$B$659&amp;"|"&amp;PRICES!$D$2:$D$659,PRICES!$E$2:$E$659),"Not Found"))</f>
        <v/>
      </c>
      <c r="Q2577" s="100" t="str">
        <f>IF(N2577=0,"",SUMIFS(PRICES!$G$2:$G$658,PRICES!$B$2:$B$658,'MAIN TABLE-1 AUTOMATED'!J2577,PRICES!$C$2:$C$658,'MAIN TABLE-1 AUTOMATED'!F2577,PRICES!$D$2:$D$658,'MAIN TABLE-1 AUTOMATED'!O2577))</f>
        <v/>
      </c>
      <c r="R2577" s="41" t="str">
        <f>IF(Table1[[#This Row],[QUANTITY]]=0,"",Table1[[#This Row],[UNIT PRICE]]*Table1[[#This Row],[QUANTITY]])</f>
        <v/>
      </c>
      <c r="S2577" s="89"/>
      <c r="T2577" s="38"/>
      <c r="U2577" s="43"/>
      <c r="V2577" s="42" t="str">
        <f>IF(Table1[[#This Row],[DATE]]=0,"",YEAR(E2577))</f>
        <v/>
      </c>
      <c r="W2577" s="40" t="str">
        <f t="shared" si="84"/>
        <v/>
      </c>
      <c r="X2577" s="40" t="str">
        <f t="shared" si="85"/>
        <v/>
      </c>
      <c r="Y2577" s="40" t="str">
        <f>TEXT(Table1[[#This Row],[YEAR]],"0000")&amp;"-"&amp;Table1[[#This Row],[MONTH]]</f>
        <v>-</v>
      </c>
    </row>
    <row r="2578" spans="1:25" ht="15" customHeight="1" x14ac:dyDescent="0.35">
      <c r="A2578" s="24"/>
      <c r="B2578" s="38"/>
      <c r="C2578" s="38"/>
      <c r="D2578" s="38"/>
      <c r="E2578" s="37"/>
      <c r="F2578" s="38"/>
      <c r="G2578" s="198"/>
      <c r="H2578" s="198"/>
      <c r="I2578" s="39"/>
      <c r="J2578" s="38"/>
      <c r="K2578" s="198"/>
      <c r="L2578" s="38"/>
      <c r="M2578" s="38"/>
      <c r="N2578" s="38"/>
      <c r="O2578" s="38"/>
      <c r="P2578" s="40" t="str" cm="1">
        <f t="array" ref="P2578">IF(N2578="","",IFERROR(_xlfn.XLOOKUP(F2578&amp;"|"&amp;J2578&amp;"|"&amp;O2578,PRICES!$C$2:$C$659&amp;"|"&amp;PRICES!$B$2:$B$659&amp;"|"&amp;PRICES!$D$2:$D$659,PRICES!$E$2:$E$659),"Not Found"))</f>
        <v/>
      </c>
      <c r="Q2578" s="100" t="str">
        <f>IF(N2578=0,"",SUMIFS(PRICES!$G$2:$G$658,PRICES!$B$2:$B$658,'MAIN TABLE-1 AUTOMATED'!J2578,PRICES!$C$2:$C$658,'MAIN TABLE-1 AUTOMATED'!F2578,PRICES!$D$2:$D$658,'MAIN TABLE-1 AUTOMATED'!O2578))</f>
        <v/>
      </c>
      <c r="R2578" s="41" t="str">
        <f>IF(Table1[[#This Row],[QUANTITY]]=0,"",Table1[[#This Row],[UNIT PRICE]]*Table1[[#This Row],[QUANTITY]])</f>
        <v/>
      </c>
      <c r="S2578" s="89"/>
      <c r="T2578" s="38"/>
      <c r="U2578" s="43"/>
      <c r="V2578" s="42" t="str">
        <f>IF(Table1[[#This Row],[DATE]]=0,"",YEAR(E2578))</f>
        <v/>
      </c>
      <c r="W2578" s="40" t="str">
        <f t="shared" si="84"/>
        <v/>
      </c>
      <c r="X2578" s="40" t="str">
        <f t="shared" si="85"/>
        <v/>
      </c>
      <c r="Y2578" s="40" t="str">
        <f>TEXT(Table1[[#This Row],[YEAR]],"0000")&amp;"-"&amp;Table1[[#This Row],[MONTH]]</f>
        <v>-</v>
      </c>
    </row>
    <row r="2579" spans="1:25" ht="15" customHeight="1" x14ac:dyDescent="0.35">
      <c r="A2579" s="24"/>
      <c r="B2579" s="38"/>
      <c r="C2579" s="38"/>
      <c r="D2579" s="38"/>
      <c r="E2579" s="37"/>
      <c r="F2579" s="38"/>
      <c r="G2579" s="198"/>
      <c r="H2579" s="198"/>
      <c r="I2579" s="39"/>
      <c r="J2579" s="38"/>
      <c r="K2579" s="198"/>
      <c r="L2579" s="38"/>
      <c r="M2579" s="38"/>
      <c r="N2579" s="38"/>
      <c r="O2579" s="38"/>
      <c r="P2579" s="40" t="str" cm="1">
        <f t="array" ref="P2579">IF(N2579="","",IFERROR(_xlfn.XLOOKUP(F2579&amp;"|"&amp;J2579&amp;"|"&amp;O2579,PRICES!$C$2:$C$659&amp;"|"&amp;PRICES!$B$2:$B$659&amp;"|"&amp;PRICES!$D$2:$D$659,PRICES!$E$2:$E$659),"Not Found"))</f>
        <v/>
      </c>
      <c r="Q2579" s="100" t="str">
        <f>IF(N2579=0,"",SUMIFS(PRICES!$G$2:$G$658,PRICES!$B$2:$B$658,'MAIN TABLE-1 AUTOMATED'!J2579,PRICES!$C$2:$C$658,'MAIN TABLE-1 AUTOMATED'!F2579,PRICES!$D$2:$D$658,'MAIN TABLE-1 AUTOMATED'!O2579))</f>
        <v/>
      </c>
      <c r="R2579" s="41" t="str">
        <f>IF(Table1[[#This Row],[QUANTITY]]=0,"",Table1[[#This Row],[UNIT PRICE]]*Table1[[#This Row],[QUANTITY]])</f>
        <v/>
      </c>
      <c r="S2579" s="89"/>
      <c r="T2579" s="38"/>
      <c r="U2579" s="43"/>
      <c r="V2579" s="42" t="str">
        <f>IF(Table1[[#This Row],[DATE]]=0,"",YEAR(E2579))</f>
        <v/>
      </c>
      <c r="W2579" s="40" t="str">
        <f t="shared" si="84"/>
        <v/>
      </c>
      <c r="X2579" s="40" t="str">
        <f t="shared" si="85"/>
        <v/>
      </c>
      <c r="Y2579" s="40" t="str">
        <f>TEXT(Table1[[#This Row],[YEAR]],"0000")&amp;"-"&amp;Table1[[#This Row],[MONTH]]</f>
        <v>-</v>
      </c>
    </row>
    <row r="2580" spans="1:25" ht="15" customHeight="1" x14ac:dyDescent="0.35">
      <c r="A2580" s="24"/>
      <c r="B2580" s="38"/>
      <c r="C2580" s="38"/>
      <c r="D2580" s="38"/>
      <c r="E2580" s="37"/>
      <c r="F2580" s="38"/>
      <c r="G2580" s="198"/>
      <c r="H2580" s="198"/>
      <c r="I2580" s="39"/>
      <c r="J2580" s="38"/>
      <c r="K2580" s="198"/>
      <c r="L2580" s="38"/>
      <c r="M2580" s="38"/>
      <c r="N2580" s="38"/>
      <c r="O2580" s="38"/>
      <c r="P2580" s="40" t="str" cm="1">
        <f t="array" ref="P2580">IF(N2580="","",IFERROR(_xlfn.XLOOKUP(F2580&amp;"|"&amp;J2580&amp;"|"&amp;O2580,PRICES!$C$2:$C$659&amp;"|"&amp;PRICES!$B$2:$B$659&amp;"|"&amp;PRICES!$D$2:$D$659,PRICES!$E$2:$E$659),"Not Found"))</f>
        <v/>
      </c>
      <c r="Q2580" s="100" t="str">
        <f>IF(N2580=0,"",SUMIFS(PRICES!$G$2:$G$658,PRICES!$B$2:$B$658,'MAIN TABLE-1 AUTOMATED'!J2580,PRICES!$C$2:$C$658,'MAIN TABLE-1 AUTOMATED'!F2580,PRICES!$D$2:$D$658,'MAIN TABLE-1 AUTOMATED'!O2580))</f>
        <v/>
      </c>
      <c r="R2580" s="41" t="str">
        <f>IF(Table1[[#This Row],[QUANTITY]]=0,"",Table1[[#This Row],[UNIT PRICE]]*Table1[[#This Row],[QUANTITY]])</f>
        <v/>
      </c>
      <c r="S2580" s="89"/>
      <c r="T2580" s="38"/>
      <c r="U2580" s="43"/>
      <c r="V2580" s="42" t="str">
        <f>IF(Table1[[#This Row],[DATE]]=0,"",YEAR(E2580))</f>
        <v/>
      </c>
      <c r="W2580" s="40" t="str">
        <f t="shared" si="84"/>
        <v/>
      </c>
      <c r="X2580" s="40" t="str">
        <f t="shared" si="85"/>
        <v/>
      </c>
      <c r="Y2580" s="40" t="str">
        <f>TEXT(Table1[[#This Row],[YEAR]],"0000")&amp;"-"&amp;Table1[[#This Row],[MONTH]]</f>
        <v>-</v>
      </c>
    </row>
    <row r="2581" spans="1:25" ht="15" customHeight="1" x14ac:dyDescent="0.35">
      <c r="A2581" s="24"/>
      <c r="B2581" s="38"/>
      <c r="C2581" s="38"/>
      <c r="D2581" s="38"/>
      <c r="E2581" s="37"/>
      <c r="F2581" s="38"/>
      <c r="G2581" s="198"/>
      <c r="H2581" s="198"/>
      <c r="I2581" s="39"/>
      <c r="J2581" s="38"/>
      <c r="K2581" s="198"/>
      <c r="L2581" s="38"/>
      <c r="M2581" s="38"/>
      <c r="N2581" s="38"/>
      <c r="O2581" s="38"/>
      <c r="P2581" s="40" t="str" cm="1">
        <f t="array" ref="P2581">IF(N2581="","",IFERROR(_xlfn.XLOOKUP(F2581&amp;"|"&amp;J2581&amp;"|"&amp;O2581,PRICES!$C$2:$C$659&amp;"|"&amp;PRICES!$B$2:$B$659&amp;"|"&amp;PRICES!$D$2:$D$659,PRICES!$E$2:$E$659),"Not Found"))</f>
        <v/>
      </c>
      <c r="Q2581" s="100" t="str">
        <f>IF(N2581=0,"",SUMIFS(PRICES!$G$2:$G$658,PRICES!$B$2:$B$658,'MAIN TABLE-1 AUTOMATED'!J2581,PRICES!$C$2:$C$658,'MAIN TABLE-1 AUTOMATED'!F2581,PRICES!$D$2:$D$658,'MAIN TABLE-1 AUTOMATED'!O2581))</f>
        <v/>
      </c>
      <c r="R2581" s="41" t="str">
        <f>IF(Table1[[#This Row],[QUANTITY]]=0,"",Table1[[#This Row],[UNIT PRICE]]*Table1[[#This Row],[QUANTITY]])</f>
        <v/>
      </c>
      <c r="S2581" s="89"/>
      <c r="T2581" s="38"/>
      <c r="U2581" s="43"/>
      <c r="V2581" s="42" t="str">
        <f>IF(Table1[[#This Row],[DATE]]=0,"",YEAR(E2581))</f>
        <v/>
      </c>
      <c r="W2581" s="40" t="str">
        <f t="shared" si="84"/>
        <v/>
      </c>
      <c r="X2581" s="40" t="str">
        <f t="shared" si="85"/>
        <v/>
      </c>
      <c r="Y2581" s="40" t="str">
        <f>TEXT(Table1[[#This Row],[YEAR]],"0000")&amp;"-"&amp;Table1[[#This Row],[MONTH]]</f>
        <v>-</v>
      </c>
    </row>
    <row r="2582" spans="1:25" ht="15" customHeight="1" x14ac:dyDescent="0.35">
      <c r="A2582" s="24"/>
      <c r="B2582" s="38"/>
      <c r="C2582" s="38"/>
      <c r="D2582" s="38"/>
      <c r="E2582" s="37"/>
      <c r="F2582" s="38"/>
      <c r="G2582" s="198"/>
      <c r="H2582" s="198"/>
      <c r="I2582" s="39"/>
      <c r="J2582" s="38"/>
      <c r="K2582" s="198"/>
      <c r="L2582" s="38"/>
      <c r="M2582" s="38"/>
      <c r="N2582" s="38"/>
      <c r="O2582" s="38"/>
      <c r="P2582" s="40" t="str" cm="1">
        <f t="array" ref="P2582">IF(N2582="","",IFERROR(_xlfn.XLOOKUP(F2582&amp;"|"&amp;J2582&amp;"|"&amp;O2582,PRICES!$C$2:$C$659&amp;"|"&amp;PRICES!$B$2:$B$659&amp;"|"&amp;PRICES!$D$2:$D$659,PRICES!$E$2:$E$659),"Not Found"))</f>
        <v/>
      </c>
      <c r="Q2582" s="100" t="str">
        <f>IF(N2582=0,"",SUMIFS(PRICES!$G$2:$G$658,PRICES!$B$2:$B$658,'MAIN TABLE-1 AUTOMATED'!J2582,PRICES!$C$2:$C$658,'MAIN TABLE-1 AUTOMATED'!F2582,PRICES!$D$2:$D$658,'MAIN TABLE-1 AUTOMATED'!O2582))</f>
        <v/>
      </c>
      <c r="R2582" s="41" t="str">
        <f>IF(Table1[[#This Row],[QUANTITY]]=0,"",Table1[[#This Row],[UNIT PRICE]]*Table1[[#This Row],[QUANTITY]])</f>
        <v/>
      </c>
      <c r="S2582" s="89"/>
      <c r="T2582" s="38"/>
      <c r="U2582" s="43"/>
      <c r="V2582" s="42" t="str">
        <f>IF(Table1[[#This Row],[DATE]]=0,"",YEAR(E2582))</f>
        <v/>
      </c>
      <c r="W2582" s="40" t="str">
        <f t="shared" si="84"/>
        <v/>
      </c>
      <c r="X2582" s="40" t="str">
        <f t="shared" si="85"/>
        <v/>
      </c>
      <c r="Y2582" s="40" t="str">
        <f>TEXT(Table1[[#This Row],[YEAR]],"0000")&amp;"-"&amp;Table1[[#This Row],[MONTH]]</f>
        <v>-</v>
      </c>
    </row>
    <row r="2583" spans="1:25" ht="15" customHeight="1" x14ac:dyDescent="0.35">
      <c r="A2583" s="24"/>
      <c r="B2583" s="38"/>
      <c r="C2583" s="38"/>
      <c r="D2583" s="38"/>
      <c r="E2583" s="37"/>
      <c r="F2583" s="38"/>
      <c r="G2583" s="198"/>
      <c r="H2583" s="198"/>
      <c r="I2583" s="39"/>
      <c r="J2583" s="38"/>
      <c r="K2583" s="198"/>
      <c r="L2583" s="38"/>
      <c r="M2583" s="38"/>
      <c r="N2583" s="38"/>
      <c r="O2583" s="38"/>
      <c r="P2583" s="40" t="str" cm="1">
        <f t="array" ref="P2583">IF(N2583="","",IFERROR(_xlfn.XLOOKUP(F2583&amp;"|"&amp;J2583&amp;"|"&amp;O2583,PRICES!$C$2:$C$659&amp;"|"&amp;PRICES!$B$2:$B$659&amp;"|"&amp;PRICES!$D$2:$D$659,PRICES!$E$2:$E$659),"Not Found"))</f>
        <v/>
      </c>
      <c r="Q2583" s="100" t="str">
        <f>IF(N2583=0,"",SUMIFS(PRICES!$G$2:$G$658,PRICES!$B$2:$B$658,'MAIN TABLE-1 AUTOMATED'!J2583,PRICES!$C$2:$C$658,'MAIN TABLE-1 AUTOMATED'!F2583,PRICES!$D$2:$D$658,'MAIN TABLE-1 AUTOMATED'!O2583))</f>
        <v/>
      </c>
      <c r="R2583" s="41" t="str">
        <f>IF(Table1[[#This Row],[QUANTITY]]=0,"",Table1[[#This Row],[UNIT PRICE]]*Table1[[#This Row],[QUANTITY]])</f>
        <v/>
      </c>
      <c r="S2583" s="89"/>
      <c r="T2583" s="38"/>
      <c r="U2583" s="43"/>
      <c r="V2583" s="42" t="str">
        <f>IF(Table1[[#This Row],[DATE]]=0,"",YEAR(E2583))</f>
        <v/>
      </c>
      <c r="W2583" s="40" t="str">
        <f t="shared" si="84"/>
        <v/>
      </c>
      <c r="X2583" s="40" t="str">
        <f t="shared" si="85"/>
        <v/>
      </c>
      <c r="Y2583" s="40" t="str">
        <f>TEXT(Table1[[#This Row],[YEAR]],"0000")&amp;"-"&amp;Table1[[#This Row],[MONTH]]</f>
        <v>-</v>
      </c>
    </row>
    <row r="2584" spans="1:25" ht="15" customHeight="1" x14ac:dyDescent="0.35">
      <c r="A2584" s="24"/>
      <c r="B2584" s="38"/>
      <c r="C2584" s="38"/>
      <c r="D2584" s="38"/>
      <c r="E2584" s="37"/>
      <c r="F2584" s="38"/>
      <c r="G2584" s="198"/>
      <c r="H2584" s="198"/>
      <c r="I2584" s="39"/>
      <c r="J2584" s="38"/>
      <c r="K2584" s="198"/>
      <c r="L2584" s="38"/>
      <c r="M2584" s="38"/>
      <c r="N2584" s="38"/>
      <c r="O2584" s="38"/>
      <c r="P2584" s="40" t="str" cm="1">
        <f t="array" ref="P2584">IF(N2584="","",IFERROR(_xlfn.XLOOKUP(F2584&amp;"|"&amp;J2584&amp;"|"&amp;O2584,PRICES!$C$2:$C$659&amp;"|"&amp;PRICES!$B$2:$B$659&amp;"|"&amp;PRICES!$D$2:$D$659,PRICES!$E$2:$E$659),"Not Found"))</f>
        <v/>
      </c>
      <c r="Q2584" s="100" t="str">
        <f>IF(N2584=0,"",SUMIFS(PRICES!$G$2:$G$658,PRICES!$B$2:$B$658,'MAIN TABLE-1 AUTOMATED'!J2584,PRICES!$C$2:$C$658,'MAIN TABLE-1 AUTOMATED'!F2584,PRICES!$D$2:$D$658,'MAIN TABLE-1 AUTOMATED'!O2584))</f>
        <v/>
      </c>
      <c r="R2584" s="41" t="str">
        <f>IF(Table1[[#This Row],[QUANTITY]]=0,"",Table1[[#This Row],[UNIT PRICE]]*Table1[[#This Row],[QUANTITY]])</f>
        <v/>
      </c>
      <c r="S2584" s="89"/>
      <c r="T2584" s="38"/>
      <c r="U2584" s="43"/>
      <c r="V2584" s="42" t="str">
        <f>IF(Table1[[#This Row],[DATE]]=0,"",YEAR(E2584))</f>
        <v/>
      </c>
      <c r="W2584" s="40" t="str">
        <f t="shared" si="84"/>
        <v/>
      </c>
      <c r="X2584" s="40" t="str">
        <f t="shared" si="85"/>
        <v/>
      </c>
      <c r="Y2584" s="40" t="str">
        <f>TEXT(Table1[[#This Row],[YEAR]],"0000")&amp;"-"&amp;Table1[[#This Row],[MONTH]]</f>
        <v>-</v>
      </c>
    </row>
    <row r="2585" spans="1:25" ht="15" customHeight="1" x14ac:dyDescent="0.35">
      <c r="A2585" s="24"/>
      <c r="B2585" s="38"/>
      <c r="C2585" s="38"/>
      <c r="D2585" s="38"/>
      <c r="E2585" s="37"/>
      <c r="F2585" s="38"/>
      <c r="G2585" s="198"/>
      <c r="H2585" s="198"/>
      <c r="I2585" s="39"/>
      <c r="J2585" s="38"/>
      <c r="K2585" s="198"/>
      <c r="L2585" s="38"/>
      <c r="M2585" s="38"/>
      <c r="N2585" s="38"/>
      <c r="O2585" s="38"/>
      <c r="P2585" s="40" t="str" cm="1">
        <f t="array" ref="P2585">IF(N2585="","",IFERROR(_xlfn.XLOOKUP(F2585&amp;"|"&amp;J2585&amp;"|"&amp;O2585,PRICES!$C$2:$C$659&amp;"|"&amp;PRICES!$B$2:$B$659&amp;"|"&amp;PRICES!$D$2:$D$659,PRICES!$E$2:$E$659),"Not Found"))</f>
        <v/>
      </c>
      <c r="Q2585" s="100" t="str">
        <f>IF(N2585=0,"",SUMIFS(PRICES!$G$2:$G$658,PRICES!$B$2:$B$658,'MAIN TABLE-1 AUTOMATED'!J2585,PRICES!$C$2:$C$658,'MAIN TABLE-1 AUTOMATED'!F2585,PRICES!$D$2:$D$658,'MAIN TABLE-1 AUTOMATED'!O2585))</f>
        <v/>
      </c>
      <c r="R2585" s="41" t="str">
        <f>IF(Table1[[#This Row],[QUANTITY]]=0,"",Table1[[#This Row],[UNIT PRICE]]*Table1[[#This Row],[QUANTITY]])</f>
        <v/>
      </c>
      <c r="S2585" s="89"/>
      <c r="T2585" s="38"/>
      <c r="U2585" s="43"/>
      <c r="V2585" s="42" t="str">
        <f>IF(Table1[[#This Row],[DATE]]=0,"",YEAR(E2585))</f>
        <v/>
      </c>
      <c r="W2585" s="40" t="str">
        <f t="shared" si="84"/>
        <v/>
      </c>
      <c r="X2585" s="40" t="str">
        <f t="shared" si="85"/>
        <v/>
      </c>
      <c r="Y2585" s="40" t="str">
        <f>TEXT(Table1[[#This Row],[YEAR]],"0000")&amp;"-"&amp;Table1[[#This Row],[MONTH]]</f>
        <v>-</v>
      </c>
    </row>
    <row r="2586" spans="1:25" ht="15" customHeight="1" x14ac:dyDescent="0.35">
      <c r="A2586" s="24"/>
      <c r="B2586" s="38"/>
      <c r="C2586" s="38"/>
      <c r="D2586" s="38"/>
      <c r="E2586" s="37"/>
      <c r="F2586" s="38"/>
      <c r="G2586" s="198"/>
      <c r="H2586" s="198"/>
      <c r="I2586" s="39"/>
      <c r="J2586" s="38"/>
      <c r="K2586" s="198"/>
      <c r="L2586" s="38"/>
      <c r="M2586" s="38"/>
      <c r="N2586" s="38"/>
      <c r="O2586" s="38"/>
      <c r="P2586" s="40" t="str" cm="1">
        <f t="array" ref="P2586">IF(N2586="","",IFERROR(_xlfn.XLOOKUP(F2586&amp;"|"&amp;J2586&amp;"|"&amp;O2586,PRICES!$C$2:$C$659&amp;"|"&amp;PRICES!$B$2:$B$659&amp;"|"&amp;PRICES!$D$2:$D$659,PRICES!$E$2:$E$659),"Not Found"))</f>
        <v/>
      </c>
      <c r="Q2586" s="100" t="str">
        <f>IF(N2586=0,"",SUMIFS(PRICES!$G$2:$G$658,PRICES!$B$2:$B$658,'MAIN TABLE-1 AUTOMATED'!J2586,PRICES!$C$2:$C$658,'MAIN TABLE-1 AUTOMATED'!F2586,PRICES!$D$2:$D$658,'MAIN TABLE-1 AUTOMATED'!O2586))</f>
        <v/>
      </c>
      <c r="R2586" s="41" t="str">
        <f>IF(Table1[[#This Row],[QUANTITY]]=0,"",Table1[[#This Row],[UNIT PRICE]]*Table1[[#This Row],[QUANTITY]])</f>
        <v/>
      </c>
      <c r="S2586" s="89"/>
      <c r="T2586" s="38"/>
      <c r="U2586" s="43"/>
      <c r="V2586" s="42" t="str">
        <f>IF(Table1[[#This Row],[DATE]]=0,"",YEAR(E2586))</f>
        <v/>
      </c>
      <c r="W2586" s="40" t="str">
        <f t="shared" si="84"/>
        <v/>
      </c>
      <c r="X2586" s="40" t="str">
        <f t="shared" si="85"/>
        <v/>
      </c>
      <c r="Y2586" s="40" t="str">
        <f>TEXT(Table1[[#This Row],[YEAR]],"0000")&amp;"-"&amp;Table1[[#This Row],[MONTH]]</f>
        <v>-</v>
      </c>
    </row>
    <row r="2587" spans="1:25" ht="15" customHeight="1" x14ac:dyDescent="0.35">
      <c r="A2587" s="24"/>
      <c r="B2587" s="38"/>
      <c r="C2587" s="38"/>
      <c r="D2587" s="38"/>
      <c r="E2587" s="37"/>
      <c r="F2587" s="38"/>
      <c r="G2587" s="198"/>
      <c r="H2587" s="198"/>
      <c r="I2587" s="39"/>
      <c r="J2587" s="38"/>
      <c r="K2587" s="198"/>
      <c r="L2587" s="38"/>
      <c r="M2587" s="38"/>
      <c r="N2587" s="38"/>
      <c r="O2587" s="38"/>
      <c r="P2587" s="40" t="str" cm="1">
        <f t="array" ref="P2587">IF(N2587="","",IFERROR(_xlfn.XLOOKUP(F2587&amp;"|"&amp;J2587&amp;"|"&amp;O2587,PRICES!$C$2:$C$659&amp;"|"&amp;PRICES!$B$2:$B$659&amp;"|"&amp;PRICES!$D$2:$D$659,PRICES!$E$2:$E$659),"Not Found"))</f>
        <v/>
      </c>
      <c r="Q2587" s="100" t="str">
        <f>IF(N2587=0,"",SUMIFS(PRICES!$G$2:$G$658,PRICES!$B$2:$B$658,'MAIN TABLE-1 AUTOMATED'!J2587,PRICES!$C$2:$C$658,'MAIN TABLE-1 AUTOMATED'!F2587,PRICES!$D$2:$D$658,'MAIN TABLE-1 AUTOMATED'!O2587))</f>
        <v/>
      </c>
      <c r="R2587" s="41" t="str">
        <f>IF(Table1[[#This Row],[QUANTITY]]=0,"",Table1[[#This Row],[UNIT PRICE]]*Table1[[#This Row],[QUANTITY]])</f>
        <v/>
      </c>
      <c r="S2587" s="89"/>
      <c r="T2587" s="38"/>
      <c r="U2587" s="43"/>
      <c r="V2587" s="42" t="str">
        <f>IF(Table1[[#This Row],[DATE]]=0,"",YEAR(E2587))</f>
        <v/>
      </c>
      <c r="W2587" s="40" t="str">
        <f t="shared" si="84"/>
        <v/>
      </c>
      <c r="X2587" s="40" t="str">
        <f t="shared" si="85"/>
        <v/>
      </c>
      <c r="Y2587" s="40" t="str">
        <f>TEXT(Table1[[#This Row],[YEAR]],"0000")&amp;"-"&amp;Table1[[#This Row],[MONTH]]</f>
        <v>-</v>
      </c>
    </row>
    <row r="2588" spans="1:25" ht="15" customHeight="1" x14ac:dyDescent="0.35">
      <c r="A2588" s="24"/>
      <c r="B2588" s="38"/>
      <c r="C2588" s="38"/>
      <c r="D2588" s="38"/>
      <c r="E2588" s="37"/>
      <c r="F2588" s="38"/>
      <c r="G2588" s="198"/>
      <c r="H2588" s="198"/>
      <c r="I2588" s="39"/>
      <c r="J2588" s="38"/>
      <c r="K2588" s="198"/>
      <c r="L2588" s="38"/>
      <c r="M2588" s="38"/>
      <c r="N2588" s="38"/>
      <c r="O2588" s="38"/>
      <c r="P2588" s="40" t="str" cm="1">
        <f t="array" ref="P2588">IF(N2588="","",IFERROR(_xlfn.XLOOKUP(F2588&amp;"|"&amp;J2588&amp;"|"&amp;O2588,PRICES!$C$2:$C$659&amp;"|"&amp;PRICES!$B$2:$B$659&amp;"|"&amp;PRICES!$D$2:$D$659,PRICES!$E$2:$E$659),"Not Found"))</f>
        <v/>
      </c>
      <c r="Q2588" s="100" t="str">
        <f>IF(N2588=0,"",SUMIFS(PRICES!$G$2:$G$658,PRICES!$B$2:$B$658,'MAIN TABLE-1 AUTOMATED'!J2588,PRICES!$C$2:$C$658,'MAIN TABLE-1 AUTOMATED'!F2588,PRICES!$D$2:$D$658,'MAIN TABLE-1 AUTOMATED'!O2588))</f>
        <v/>
      </c>
      <c r="R2588" s="41" t="str">
        <f>IF(Table1[[#This Row],[QUANTITY]]=0,"",Table1[[#This Row],[UNIT PRICE]]*Table1[[#This Row],[QUANTITY]])</f>
        <v/>
      </c>
      <c r="S2588" s="89"/>
      <c r="T2588" s="38"/>
      <c r="U2588" s="43"/>
      <c r="V2588" s="42" t="str">
        <f>IF(Table1[[#This Row],[DATE]]=0,"",YEAR(E2588))</f>
        <v/>
      </c>
      <c r="W2588" s="40" t="str">
        <f t="shared" si="84"/>
        <v/>
      </c>
      <c r="X2588" s="40" t="str">
        <f t="shared" si="85"/>
        <v/>
      </c>
      <c r="Y2588" s="40" t="str">
        <f>TEXT(Table1[[#This Row],[YEAR]],"0000")&amp;"-"&amp;Table1[[#This Row],[MONTH]]</f>
        <v>-</v>
      </c>
    </row>
    <row r="2589" spans="1:25" ht="15" customHeight="1" x14ac:dyDescent="0.35">
      <c r="A2589" s="24"/>
      <c r="B2589" s="38"/>
      <c r="C2589" s="38"/>
      <c r="D2589" s="38"/>
      <c r="E2589" s="37"/>
      <c r="F2589" s="38"/>
      <c r="G2589" s="198"/>
      <c r="H2589" s="198"/>
      <c r="I2589" s="39"/>
      <c r="J2589" s="38"/>
      <c r="K2589" s="198"/>
      <c r="L2589" s="38"/>
      <c r="M2589" s="38"/>
      <c r="N2589" s="38"/>
      <c r="O2589" s="38"/>
      <c r="P2589" s="40" t="str" cm="1">
        <f t="array" ref="P2589">IF(N2589="","",IFERROR(_xlfn.XLOOKUP(F2589&amp;"|"&amp;J2589&amp;"|"&amp;O2589,PRICES!$C$2:$C$659&amp;"|"&amp;PRICES!$B$2:$B$659&amp;"|"&amp;PRICES!$D$2:$D$659,PRICES!$E$2:$E$659),"Not Found"))</f>
        <v/>
      </c>
      <c r="Q2589" s="100" t="str">
        <f>IF(N2589=0,"",SUMIFS(PRICES!$G$2:$G$658,PRICES!$B$2:$B$658,'MAIN TABLE-1 AUTOMATED'!J2589,PRICES!$C$2:$C$658,'MAIN TABLE-1 AUTOMATED'!F2589,PRICES!$D$2:$D$658,'MAIN TABLE-1 AUTOMATED'!O2589))</f>
        <v/>
      </c>
      <c r="R2589" s="41" t="str">
        <f>IF(Table1[[#This Row],[QUANTITY]]=0,"",Table1[[#This Row],[UNIT PRICE]]*Table1[[#This Row],[QUANTITY]])</f>
        <v/>
      </c>
      <c r="S2589" s="89"/>
      <c r="T2589" s="38"/>
      <c r="U2589" s="43"/>
      <c r="V2589" s="42" t="str">
        <f>IF(Table1[[#This Row],[DATE]]=0,"",YEAR(E2589))</f>
        <v/>
      </c>
      <c r="W2589" s="40" t="str">
        <f t="shared" si="84"/>
        <v/>
      </c>
      <c r="X2589" s="40" t="str">
        <f t="shared" si="85"/>
        <v/>
      </c>
      <c r="Y2589" s="40" t="str">
        <f>TEXT(Table1[[#This Row],[YEAR]],"0000")&amp;"-"&amp;Table1[[#This Row],[MONTH]]</f>
        <v>-</v>
      </c>
    </row>
    <row r="2590" spans="1:25" ht="15" customHeight="1" x14ac:dyDescent="0.35">
      <c r="A2590" s="24"/>
      <c r="B2590" s="38"/>
      <c r="C2590" s="38"/>
      <c r="D2590" s="38"/>
      <c r="E2590" s="37"/>
      <c r="F2590" s="38"/>
      <c r="G2590" s="198"/>
      <c r="H2590" s="198"/>
      <c r="I2590" s="39"/>
      <c r="J2590" s="38"/>
      <c r="K2590" s="198"/>
      <c r="L2590" s="38"/>
      <c r="M2590" s="38"/>
      <c r="N2590" s="38"/>
      <c r="O2590" s="38"/>
      <c r="P2590" s="40" t="str" cm="1">
        <f t="array" ref="P2590">IF(N2590="","",IFERROR(_xlfn.XLOOKUP(F2590&amp;"|"&amp;J2590&amp;"|"&amp;O2590,PRICES!$C$2:$C$659&amp;"|"&amp;PRICES!$B$2:$B$659&amp;"|"&amp;PRICES!$D$2:$D$659,PRICES!$E$2:$E$659),"Not Found"))</f>
        <v/>
      </c>
      <c r="Q2590" s="100" t="str">
        <f>IF(N2590=0,"",SUMIFS(PRICES!$G$2:$G$658,PRICES!$B$2:$B$658,'MAIN TABLE-1 AUTOMATED'!J2590,PRICES!$C$2:$C$658,'MAIN TABLE-1 AUTOMATED'!F2590,PRICES!$D$2:$D$658,'MAIN TABLE-1 AUTOMATED'!O2590))</f>
        <v/>
      </c>
      <c r="R2590" s="41" t="str">
        <f>IF(Table1[[#This Row],[QUANTITY]]=0,"",Table1[[#This Row],[UNIT PRICE]]*Table1[[#This Row],[QUANTITY]])</f>
        <v/>
      </c>
      <c r="S2590" s="89"/>
      <c r="T2590" s="38"/>
      <c r="U2590" s="43"/>
      <c r="V2590" s="42" t="str">
        <f>IF(Table1[[#This Row],[DATE]]=0,"",YEAR(E2590))</f>
        <v/>
      </c>
      <c r="W2590" s="40" t="str">
        <f t="shared" si="84"/>
        <v/>
      </c>
      <c r="X2590" s="40" t="str">
        <f t="shared" si="85"/>
        <v/>
      </c>
      <c r="Y2590" s="40" t="str">
        <f>TEXT(Table1[[#This Row],[YEAR]],"0000")&amp;"-"&amp;Table1[[#This Row],[MONTH]]</f>
        <v>-</v>
      </c>
    </row>
    <row r="2591" spans="1:25" ht="15" customHeight="1" x14ac:dyDescent="0.35">
      <c r="A2591" s="24"/>
      <c r="B2591" s="38"/>
      <c r="C2591" s="38"/>
      <c r="D2591" s="38"/>
      <c r="E2591" s="37"/>
      <c r="F2591" s="38"/>
      <c r="G2591" s="198"/>
      <c r="H2591" s="198"/>
      <c r="I2591" s="39"/>
      <c r="J2591" s="38"/>
      <c r="K2591" s="198"/>
      <c r="L2591" s="38"/>
      <c r="M2591" s="38"/>
      <c r="N2591" s="38"/>
      <c r="O2591" s="38"/>
      <c r="P2591" s="40" t="str" cm="1">
        <f t="array" ref="P2591">IF(N2591="","",IFERROR(_xlfn.XLOOKUP(F2591&amp;"|"&amp;J2591&amp;"|"&amp;O2591,PRICES!$C$2:$C$659&amp;"|"&amp;PRICES!$B$2:$B$659&amp;"|"&amp;PRICES!$D$2:$D$659,PRICES!$E$2:$E$659),"Not Found"))</f>
        <v/>
      </c>
      <c r="Q2591" s="100" t="str">
        <f>IF(N2591=0,"",SUMIFS(PRICES!$G$2:$G$658,PRICES!$B$2:$B$658,'MAIN TABLE-1 AUTOMATED'!J2591,PRICES!$C$2:$C$658,'MAIN TABLE-1 AUTOMATED'!F2591,PRICES!$D$2:$D$658,'MAIN TABLE-1 AUTOMATED'!O2591))</f>
        <v/>
      </c>
      <c r="R2591" s="41" t="str">
        <f>IF(Table1[[#This Row],[QUANTITY]]=0,"",Table1[[#This Row],[UNIT PRICE]]*Table1[[#This Row],[QUANTITY]])</f>
        <v/>
      </c>
      <c r="S2591" s="89"/>
      <c r="T2591" s="38"/>
      <c r="U2591" s="43"/>
      <c r="V2591" s="42" t="str">
        <f>IF(Table1[[#This Row],[DATE]]=0,"",YEAR(E2591))</f>
        <v/>
      </c>
      <c r="W2591" s="40" t="str">
        <f t="shared" si="84"/>
        <v/>
      </c>
      <c r="X2591" s="40" t="str">
        <f t="shared" si="85"/>
        <v/>
      </c>
      <c r="Y2591" s="40" t="str">
        <f>TEXT(Table1[[#This Row],[YEAR]],"0000")&amp;"-"&amp;Table1[[#This Row],[MONTH]]</f>
        <v>-</v>
      </c>
    </row>
    <row r="2592" spans="1:25" ht="15" customHeight="1" x14ac:dyDescent="0.35">
      <c r="A2592" s="24"/>
      <c r="B2592" s="38"/>
      <c r="C2592" s="38"/>
      <c r="D2592" s="38"/>
      <c r="E2592" s="37"/>
      <c r="F2592" s="38"/>
      <c r="G2592" s="198"/>
      <c r="H2592" s="198"/>
      <c r="I2592" s="39"/>
      <c r="J2592" s="38"/>
      <c r="K2592" s="198"/>
      <c r="L2592" s="38"/>
      <c r="M2592" s="38"/>
      <c r="N2592" s="38"/>
      <c r="O2592" s="38"/>
      <c r="P2592" s="40" t="str" cm="1">
        <f t="array" ref="P2592">IF(N2592="","",IFERROR(_xlfn.XLOOKUP(F2592&amp;"|"&amp;J2592&amp;"|"&amp;O2592,PRICES!$C$2:$C$659&amp;"|"&amp;PRICES!$B$2:$B$659&amp;"|"&amp;PRICES!$D$2:$D$659,PRICES!$E$2:$E$659),"Not Found"))</f>
        <v/>
      </c>
      <c r="Q2592" s="100" t="str">
        <f>IF(N2592=0,"",SUMIFS(PRICES!$G$2:$G$658,PRICES!$B$2:$B$658,'MAIN TABLE-1 AUTOMATED'!J2592,PRICES!$C$2:$C$658,'MAIN TABLE-1 AUTOMATED'!F2592,PRICES!$D$2:$D$658,'MAIN TABLE-1 AUTOMATED'!O2592))</f>
        <v/>
      </c>
      <c r="R2592" s="41" t="str">
        <f>IF(Table1[[#This Row],[QUANTITY]]=0,"",Table1[[#This Row],[UNIT PRICE]]*Table1[[#This Row],[QUANTITY]])</f>
        <v/>
      </c>
      <c r="S2592" s="89"/>
      <c r="T2592" s="38"/>
      <c r="U2592" s="43"/>
      <c r="V2592" s="42" t="str">
        <f>IF(Table1[[#This Row],[DATE]]=0,"",YEAR(E2592))</f>
        <v/>
      </c>
      <c r="W2592" s="40" t="str">
        <f t="shared" si="84"/>
        <v/>
      </c>
      <c r="X2592" s="40" t="str">
        <f t="shared" si="85"/>
        <v/>
      </c>
      <c r="Y2592" s="40" t="str">
        <f>TEXT(Table1[[#This Row],[YEAR]],"0000")&amp;"-"&amp;Table1[[#This Row],[MONTH]]</f>
        <v>-</v>
      </c>
    </row>
    <row r="2593" spans="1:25" ht="15" customHeight="1" x14ac:dyDescent="0.35">
      <c r="A2593" s="24"/>
      <c r="B2593" s="38"/>
      <c r="C2593" s="38"/>
      <c r="D2593" s="38"/>
      <c r="E2593" s="37"/>
      <c r="F2593" s="38"/>
      <c r="G2593" s="198"/>
      <c r="H2593" s="198"/>
      <c r="I2593" s="39"/>
      <c r="J2593" s="38"/>
      <c r="K2593" s="198"/>
      <c r="L2593" s="38"/>
      <c r="M2593" s="38"/>
      <c r="N2593" s="38"/>
      <c r="O2593" s="38"/>
      <c r="P2593" s="40" t="str" cm="1">
        <f t="array" ref="P2593">IF(N2593="","",IFERROR(_xlfn.XLOOKUP(F2593&amp;"|"&amp;J2593&amp;"|"&amp;O2593,PRICES!$C$2:$C$659&amp;"|"&amp;PRICES!$B$2:$B$659&amp;"|"&amp;PRICES!$D$2:$D$659,PRICES!$E$2:$E$659),"Not Found"))</f>
        <v/>
      </c>
      <c r="Q2593" s="100" t="str">
        <f>IF(N2593=0,"",SUMIFS(PRICES!$G$2:$G$658,PRICES!$B$2:$B$658,'MAIN TABLE-1 AUTOMATED'!J2593,PRICES!$C$2:$C$658,'MAIN TABLE-1 AUTOMATED'!F2593,PRICES!$D$2:$D$658,'MAIN TABLE-1 AUTOMATED'!O2593))</f>
        <v/>
      </c>
      <c r="R2593" s="41" t="str">
        <f>IF(Table1[[#This Row],[QUANTITY]]=0,"",Table1[[#This Row],[UNIT PRICE]]*Table1[[#This Row],[QUANTITY]])</f>
        <v/>
      </c>
      <c r="S2593" s="89"/>
      <c r="T2593" s="38"/>
      <c r="U2593" s="43"/>
      <c r="V2593" s="42" t="str">
        <f>IF(Table1[[#This Row],[DATE]]=0,"",YEAR(E2593))</f>
        <v/>
      </c>
      <c r="W2593" s="40" t="str">
        <f t="shared" si="84"/>
        <v/>
      </c>
      <c r="X2593" s="40" t="str">
        <f t="shared" si="85"/>
        <v/>
      </c>
      <c r="Y2593" s="40" t="str">
        <f>TEXT(Table1[[#This Row],[YEAR]],"0000")&amp;"-"&amp;Table1[[#This Row],[MONTH]]</f>
        <v>-</v>
      </c>
    </row>
    <row r="2594" spans="1:25" ht="15" customHeight="1" x14ac:dyDescent="0.35">
      <c r="A2594" s="24"/>
      <c r="B2594" s="38"/>
      <c r="C2594" s="38"/>
      <c r="D2594" s="38"/>
      <c r="E2594" s="37"/>
      <c r="F2594" s="38"/>
      <c r="G2594" s="198"/>
      <c r="H2594" s="198"/>
      <c r="I2594" s="39"/>
      <c r="J2594" s="38"/>
      <c r="K2594" s="198"/>
      <c r="L2594" s="38"/>
      <c r="M2594" s="38"/>
      <c r="N2594" s="38"/>
      <c r="O2594" s="38"/>
      <c r="P2594" s="40" t="str" cm="1">
        <f t="array" ref="P2594">IF(N2594="","",IFERROR(_xlfn.XLOOKUP(F2594&amp;"|"&amp;J2594&amp;"|"&amp;O2594,PRICES!$C$2:$C$659&amp;"|"&amp;PRICES!$B$2:$B$659&amp;"|"&amp;PRICES!$D$2:$D$659,PRICES!$E$2:$E$659),"Not Found"))</f>
        <v/>
      </c>
      <c r="Q2594" s="100" t="str">
        <f>IF(N2594=0,"",SUMIFS(PRICES!$G$2:$G$658,PRICES!$B$2:$B$658,'MAIN TABLE-1 AUTOMATED'!J2594,PRICES!$C$2:$C$658,'MAIN TABLE-1 AUTOMATED'!F2594,PRICES!$D$2:$D$658,'MAIN TABLE-1 AUTOMATED'!O2594))</f>
        <v/>
      </c>
      <c r="R2594" s="41" t="str">
        <f>IF(Table1[[#This Row],[QUANTITY]]=0,"",Table1[[#This Row],[UNIT PRICE]]*Table1[[#This Row],[QUANTITY]])</f>
        <v/>
      </c>
      <c r="S2594" s="89"/>
      <c r="T2594" s="38"/>
      <c r="U2594" s="43"/>
      <c r="V2594" s="42" t="str">
        <f>IF(Table1[[#This Row],[DATE]]=0,"",YEAR(E2594))</f>
        <v/>
      </c>
      <c r="W2594" s="40" t="str">
        <f t="shared" si="84"/>
        <v/>
      </c>
      <c r="X2594" s="40" t="str">
        <f t="shared" si="85"/>
        <v/>
      </c>
      <c r="Y2594" s="40" t="str">
        <f>TEXT(Table1[[#This Row],[YEAR]],"0000")&amp;"-"&amp;Table1[[#This Row],[MONTH]]</f>
        <v>-</v>
      </c>
    </row>
    <row r="2595" spans="1:25" ht="15" customHeight="1" x14ac:dyDescent="0.35">
      <c r="A2595" s="24"/>
      <c r="B2595" s="38"/>
      <c r="C2595" s="38"/>
      <c r="D2595" s="38"/>
      <c r="E2595" s="37"/>
      <c r="F2595" s="38"/>
      <c r="G2595" s="198"/>
      <c r="H2595" s="198"/>
      <c r="I2595" s="39"/>
      <c r="J2595" s="38"/>
      <c r="K2595" s="198"/>
      <c r="L2595" s="38"/>
      <c r="M2595" s="38"/>
      <c r="N2595" s="38"/>
      <c r="O2595" s="38"/>
      <c r="P2595" s="40" t="str" cm="1">
        <f t="array" ref="P2595">IF(N2595="","",IFERROR(_xlfn.XLOOKUP(F2595&amp;"|"&amp;J2595&amp;"|"&amp;O2595,PRICES!$C$2:$C$659&amp;"|"&amp;PRICES!$B$2:$B$659&amp;"|"&amp;PRICES!$D$2:$D$659,PRICES!$E$2:$E$659),"Not Found"))</f>
        <v/>
      </c>
      <c r="Q2595" s="100" t="str">
        <f>IF(N2595=0,"",SUMIFS(PRICES!$G$2:$G$658,PRICES!$B$2:$B$658,'MAIN TABLE-1 AUTOMATED'!J2595,PRICES!$C$2:$C$658,'MAIN TABLE-1 AUTOMATED'!F2595,PRICES!$D$2:$D$658,'MAIN TABLE-1 AUTOMATED'!O2595))</f>
        <v/>
      </c>
      <c r="R2595" s="41" t="str">
        <f>IF(Table1[[#This Row],[QUANTITY]]=0,"",Table1[[#This Row],[UNIT PRICE]]*Table1[[#This Row],[QUANTITY]])</f>
        <v/>
      </c>
      <c r="S2595" s="89"/>
      <c r="T2595" s="38"/>
      <c r="U2595" s="43"/>
      <c r="V2595" s="42" t="str">
        <f>IF(Table1[[#This Row],[DATE]]=0,"",YEAR(E2595))</f>
        <v/>
      </c>
      <c r="W2595" s="40" t="str">
        <f t="shared" si="84"/>
        <v/>
      </c>
      <c r="X2595" s="40" t="str">
        <f t="shared" si="85"/>
        <v/>
      </c>
      <c r="Y2595" s="40" t="str">
        <f>TEXT(Table1[[#This Row],[YEAR]],"0000")&amp;"-"&amp;Table1[[#This Row],[MONTH]]</f>
        <v>-</v>
      </c>
    </row>
    <row r="2596" spans="1:25" ht="15" customHeight="1" x14ac:dyDescent="0.35">
      <c r="A2596" s="24"/>
      <c r="B2596" s="38"/>
      <c r="C2596" s="38"/>
      <c r="D2596" s="38"/>
      <c r="E2596" s="37"/>
      <c r="F2596" s="38"/>
      <c r="G2596" s="198"/>
      <c r="H2596" s="198"/>
      <c r="I2596" s="39"/>
      <c r="J2596" s="38"/>
      <c r="K2596" s="198"/>
      <c r="L2596" s="38"/>
      <c r="M2596" s="38"/>
      <c r="N2596" s="38"/>
      <c r="O2596" s="38"/>
      <c r="P2596" s="40" t="str" cm="1">
        <f t="array" ref="P2596">IF(N2596="","",IFERROR(_xlfn.XLOOKUP(F2596&amp;"|"&amp;J2596&amp;"|"&amp;O2596,PRICES!$C$2:$C$659&amp;"|"&amp;PRICES!$B$2:$B$659&amp;"|"&amp;PRICES!$D$2:$D$659,PRICES!$E$2:$E$659),"Not Found"))</f>
        <v/>
      </c>
      <c r="Q2596" s="100" t="str">
        <f>IF(N2596=0,"",SUMIFS(PRICES!$G$2:$G$658,PRICES!$B$2:$B$658,'MAIN TABLE-1 AUTOMATED'!J2596,PRICES!$C$2:$C$658,'MAIN TABLE-1 AUTOMATED'!F2596,PRICES!$D$2:$D$658,'MAIN TABLE-1 AUTOMATED'!O2596))</f>
        <v/>
      </c>
      <c r="R2596" s="41" t="str">
        <f>IF(Table1[[#This Row],[QUANTITY]]=0,"",Table1[[#This Row],[UNIT PRICE]]*Table1[[#This Row],[QUANTITY]])</f>
        <v/>
      </c>
      <c r="S2596" s="89"/>
      <c r="T2596" s="38"/>
      <c r="U2596" s="43"/>
      <c r="V2596" s="42" t="str">
        <f>IF(Table1[[#This Row],[DATE]]=0,"",YEAR(E2596))</f>
        <v/>
      </c>
      <c r="W2596" s="40" t="str">
        <f t="shared" si="84"/>
        <v/>
      </c>
      <c r="X2596" s="40" t="str">
        <f t="shared" si="85"/>
        <v/>
      </c>
      <c r="Y2596" s="40" t="str">
        <f>TEXT(Table1[[#This Row],[YEAR]],"0000")&amp;"-"&amp;Table1[[#This Row],[MONTH]]</f>
        <v>-</v>
      </c>
    </row>
    <row r="2597" spans="1:25" ht="15" customHeight="1" x14ac:dyDescent="0.35">
      <c r="A2597" s="24"/>
      <c r="B2597" s="38"/>
      <c r="C2597" s="38"/>
      <c r="D2597" s="38"/>
      <c r="E2597" s="37"/>
      <c r="F2597" s="38"/>
      <c r="G2597" s="198"/>
      <c r="H2597" s="198"/>
      <c r="I2597" s="39"/>
      <c r="J2597" s="38"/>
      <c r="K2597" s="198"/>
      <c r="L2597" s="38"/>
      <c r="M2597" s="38"/>
      <c r="N2597" s="38"/>
      <c r="O2597" s="38"/>
      <c r="P2597" s="40" t="str" cm="1">
        <f t="array" ref="P2597">IF(N2597="","",IFERROR(_xlfn.XLOOKUP(F2597&amp;"|"&amp;J2597&amp;"|"&amp;O2597,PRICES!$C$2:$C$659&amp;"|"&amp;PRICES!$B$2:$B$659&amp;"|"&amp;PRICES!$D$2:$D$659,PRICES!$E$2:$E$659),"Not Found"))</f>
        <v/>
      </c>
      <c r="Q2597" s="100" t="str">
        <f>IF(N2597=0,"",SUMIFS(PRICES!$G$2:$G$658,PRICES!$B$2:$B$658,'MAIN TABLE-1 AUTOMATED'!J2597,PRICES!$C$2:$C$658,'MAIN TABLE-1 AUTOMATED'!F2597,PRICES!$D$2:$D$658,'MAIN TABLE-1 AUTOMATED'!O2597))</f>
        <v/>
      </c>
      <c r="R2597" s="41" t="str">
        <f>IF(Table1[[#This Row],[QUANTITY]]=0,"",Table1[[#This Row],[UNIT PRICE]]*Table1[[#This Row],[QUANTITY]])</f>
        <v/>
      </c>
      <c r="S2597" s="89"/>
      <c r="T2597" s="38"/>
      <c r="U2597" s="43"/>
      <c r="V2597" s="42" t="str">
        <f>IF(Table1[[#This Row],[DATE]]=0,"",YEAR(E2597))</f>
        <v/>
      </c>
      <c r="W2597" s="40" t="str">
        <f t="shared" si="84"/>
        <v/>
      </c>
      <c r="X2597" s="40" t="str">
        <f t="shared" si="85"/>
        <v/>
      </c>
      <c r="Y2597" s="40" t="str">
        <f>TEXT(Table1[[#This Row],[YEAR]],"0000")&amp;"-"&amp;Table1[[#This Row],[MONTH]]</f>
        <v>-</v>
      </c>
    </row>
    <row r="2598" spans="1:25" ht="15" customHeight="1" x14ac:dyDescent="0.35">
      <c r="A2598" s="24"/>
      <c r="B2598" s="38"/>
      <c r="C2598" s="38"/>
      <c r="D2598" s="38"/>
      <c r="E2598" s="37"/>
      <c r="F2598" s="38"/>
      <c r="G2598" s="198"/>
      <c r="H2598" s="198"/>
      <c r="I2598" s="39"/>
      <c r="J2598" s="38"/>
      <c r="K2598" s="198"/>
      <c r="L2598" s="38"/>
      <c r="M2598" s="38"/>
      <c r="N2598" s="38"/>
      <c r="O2598" s="38"/>
      <c r="P2598" s="40" t="str" cm="1">
        <f t="array" ref="P2598">IF(N2598="","",IFERROR(_xlfn.XLOOKUP(F2598&amp;"|"&amp;J2598&amp;"|"&amp;O2598,PRICES!$C$2:$C$659&amp;"|"&amp;PRICES!$B$2:$B$659&amp;"|"&amp;PRICES!$D$2:$D$659,PRICES!$E$2:$E$659),"Not Found"))</f>
        <v/>
      </c>
      <c r="Q2598" s="100" t="str">
        <f>IF(N2598=0,"",SUMIFS(PRICES!$G$2:$G$658,PRICES!$B$2:$B$658,'MAIN TABLE-1 AUTOMATED'!J2598,PRICES!$C$2:$C$658,'MAIN TABLE-1 AUTOMATED'!F2598,PRICES!$D$2:$D$658,'MAIN TABLE-1 AUTOMATED'!O2598))</f>
        <v/>
      </c>
      <c r="R2598" s="41" t="str">
        <f>IF(Table1[[#This Row],[QUANTITY]]=0,"",Table1[[#This Row],[UNIT PRICE]]*Table1[[#This Row],[QUANTITY]])</f>
        <v/>
      </c>
      <c r="S2598" s="89"/>
      <c r="T2598" s="38"/>
      <c r="U2598" s="43"/>
      <c r="V2598" s="42" t="str">
        <f>IF(Table1[[#This Row],[DATE]]=0,"",YEAR(E2598))</f>
        <v/>
      </c>
      <c r="W2598" s="40" t="str">
        <f t="shared" si="84"/>
        <v/>
      </c>
      <c r="X2598" s="40" t="str">
        <f t="shared" si="85"/>
        <v/>
      </c>
      <c r="Y2598" s="40" t="str">
        <f>TEXT(Table1[[#This Row],[YEAR]],"0000")&amp;"-"&amp;Table1[[#This Row],[MONTH]]</f>
        <v>-</v>
      </c>
    </row>
    <row r="2599" spans="1:25" ht="15" customHeight="1" x14ac:dyDescent="0.35">
      <c r="A2599" s="24"/>
      <c r="B2599" s="38"/>
      <c r="C2599" s="38"/>
      <c r="D2599" s="38"/>
      <c r="E2599" s="37"/>
      <c r="F2599" s="38"/>
      <c r="G2599" s="198"/>
      <c r="H2599" s="198"/>
      <c r="I2599" s="39"/>
      <c r="J2599" s="38"/>
      <c r="K2599" s="198"/>
      <c r="L2599" s="38"/>
      <c r="M2599" s="38"/>
      <c r="N2599" s="38"/>
      <c r="O2599" s="38"/>
      <c r="P2599" s="40" t="str" cm="1">
        <f t="array" ref="P2599">IF(N2599="","",IFERROR(_xlfn.XLOOKUP(F2599&amp;"|"&amp;J2599&amp;"|"&amp;O2599,PRICES!$C$2:$C$659&amp;"|"&amp;PRICES!$B$2:$B$659&amp;"|"&amp;PRICES!$D$2:$D$659,PRICES!$E$2:$E$659),"Not Found"))</f>
        <v/>
      </c>
      <c r="Q2599" s="100" t="str">
        <f>IF(N2599=0,"",SUMIFS(PRICES!$G$2:$G$658,PRICES!$B$2:$B$658,'MAIN TABLE-1 AUTOMATED'!J2599,PRICES!$C$2:$C$658,'MAIN TABLE-1 AUTOMATED'!F2599,PRICES!$D$2:$D$658,'MAIN TABLE-1 AUTOMATED'!O2599))</f>
        <v/>
      </c>
      <c r="R2599" s="41" t="str">
        <f>IF(Table1[[#This Row],[QUANTITY]]=0,"",Table1[[#This Row],[UNIT PRICE]]*Table1[[#This Row],[QUANTITY]])</f>
        <v/>
      </c>
      <c r="S2599" s="89"/>
      <c r="T2599" s="38"/>
      <c r="U2599" s="43"/>
      <c r="V2599" s="42" t="str">
        <f>IF(Table1[[#This Row],[DATE]]=0,"",YEAR(E2599))</f>
        <v/>
      </c>
      <c r="W2599" s="40" t="str">
        <f t="shared" si="84"/>
        <v/>
      </c>
      <c r="X2599" s="40" t="str">
        <f t="shared" si="85"/>
        <v/>
      </c>
      <c r="Y2599" s="40" t="str">
        <f>TEXT(Table1[[#This Row],[YEAR]],"0000")&amp;"-"&amp;Table1[[#This Row],[MONTH]]</f>
        <v>-</v>
      </c>
    </row>
    <row r="2600" spans="1:25" ht="15" customHeight="1" x14ac:dyDescent="0.35">
      <c r="A2600" s="24"/>
      <c r="B2600" s="38"/>
      <c r="C2600" s="38"/>
      <c r="D2600" s="38"/>
      <c r="E2600" s="37"/>
      <c r="F2600" s="38"/>
      <c r="G2600" s="198"/>
      <c r="H2600" s="198"/>
      <c r="I2600" s="39"/>
      <c r="J2600" s="38"/>
      <c r="K2600" s="198"/>
      <c r="L2600" s="38"/>
      <c r="M2600" s="38"/>
      <c r="N2600" s="38"/>
      <c r="O2600" s="38"/>
      <c r="P2600" s="40" t="str" cm="1">
        <f t="array" ref="P2600">IF(N2600="","",IFERROR(_xlfn.XLOOKUP(F2600&amp;"|"&amp;J2600&amp;"|"&amp;O2600,PRICES!$C$2:$C$659&amp;"|"&amp;PRICES!$B$2:$B$659&amp;"|"&amp;PRICES!$D$2:$D$659,PRICES!$E$2:$E$659),"Not Found"))</f>
        <v/>
      </c>
      <c r="Q2600" s="100" t="str">
        <f>IF(N2600=0,"",SUMIFS(PRICES!$G$2:$G$658,PRICES!$B$2:$B$658,'MAIN TABLE-1 AUTOMATED'!J2600,PRICES!$C$2:$C$658,'MAIN TABLE-1 AUTOMATED'!F2600,PRICES!$D$2:$D$658,'MAIN TABLE-1 AUTOMATED'!O2600))</f>
        <v/>
      </c>
      <c r="R2600" s="41" t="str">
        <f>IF(Table1[[#This Row],[QUANTITY]]=0,"",Table1[[#This Row],[UNIT PRICE]]*Table1[[#This Row],[QUANTITY]])</f>
        <v/>
      </c>
      <c r="S2600" s="89"/>
      <c r="T2600" s="38"/>
      <c r="U2600" s="43"/>
      <c r="V2600" s="42" t="str">
        <f>IF(Table1[[#This Row],[DATE]]=0,"",YEAR(E2600))</f>
        <v/>
      </c>
      <c r="W2600" s="40" t="str">
        <f t="shared" si="84"/>
        <v/>
      </c>
      <c r="X2600" s="40" t="str">
        <f t="shared" si="85"/>
        <v/>
      </c>
      <c r="Y2600" s="40" t="str">
        <f>TEXT(Table1[[#This Row],[YEAR]],"0000")&amp;"-"&amp;Table1[[#This Row],[MONTH]]</f>
        <v>-</v>
      </c>
    </row>
    <row r="2601" spans="1:25" ht="15" customHeight="1" x14ac:dyDescent="0.35">
      <c r="A2601" s="24"/>
      <c r="B2601" s="38"/>
      <c r="C2601" s="38"/>
      <c r="D2601" s="38"/>
      <c r="E2601" s="37"/>
      <c r="F2601" s="38"/>
      <c r="G2601" s="198"/>
      <c r="H2601" s="198"/>
      <c r="I2601" s="39"/>
      <c r="J2601" s="38"/>
      <c r="K2601" s="198"/>
      <c r="L2601" s="38"/>
      <c r="M2601" s="38"/>
      <c r="N2601" s="38"/>
      <c r="O2601" s="38"/>
      <c r="P2601" s="40" t="str" cm="1">
        <f t="array" ref="P2601">IF(N2601="","",IFERROR(_xlfn.XLOOKUP(F2601&amp;"|"&amp;J2601&amp;"|"&amp;O2601,PRICES!$C$2:$C$659&amp;"|"&amp;PRICES!$B$2:$B$659&amp;"|"&amp;PRICES!$D$2:$D$659,PRICES!$E$2:$E$659),"Not Found"))</f>
        <v/>
      </c>
      <c r="Q2601" s="100" t="str">
        <f>IF(N2601=0,"",SUMIFS(PRICES!$G$2:$G$658,PRICES!$B$2:$B$658,'MAIN TABLE-1 AUTOMATED'!J2601,PRICES!$C$2:$C$658,'MAIN TABLE-1 AUTOMATED'!F2601,PRICES!$D$2:$D$658,'MAIN TABLE-1 AUTOMATED'!O2601))</f>
        <v/>
      </c>
      <c r="R2601" s="41" t="str">
        <f>IF(Table1[[#This Row],[QUANTITY]]=0,"",Table1[[#This Row],[UNIT PRICE]]*Table1[[#This Row],[QUANTITY]])</f>
        <v/>
      </c>
      <c r="S2601" s="89"/>
      <c r="T2601" s="38"/>
      <c r="U2601" s="43"/>
      <c r="V2601" s="42" t="str">
        <f>IF(Table1[[#This Row],[DATE]]=0,"",YEAR(E2601))</f>
        <v/>
      </c>
      <c r="W2601" s="40" t="str">
        <f t="shared" si="84"/>
        <v/>
      </c>
      <c r="X2601" s="40" t="str">
        <f t="shared" si="85"/>
        <v/>
      </c>
      <c r="Y2601" s="40" t="str">
        <f>TEXT(Table1[[#This Row],[YEAR]],"0000")&amp;"-"&amp;Table1[[#This Row],[MONTH]]</f>
        <v>-</v>
      </c>
    </row>
    <row r="2602" spans="1:25" ht="15" customHeight="1" x14ac:dyDescent="0.35">
      <c r="A2602" s="24"/>
      <c r="B2602" s="38"/>
      <c r="C2602" s="38"/>
      <c r="D2602" s="38"/>
      <c r="E2602" s="37"/>
      <c r="F2602" s="38"/>
      <c r="G2602" s="198"/>
      <c r="H2602" s="198"/>
      <c r="I2602" s="39"/>
      <c r="J2602" s="38"/>
      <c r="K2602" s="198"/>
      <c r="L2602" s="38"/>
      <c r="M2602" s="38"/>
      <c r="N2602" s="38"/>
      <c r="O2602" s="38"/>
      <c r="P2602" s="40" t="str" cm="1">
        <f t="array" ref="P2602">IF(N2602="","",IFERROR(_xlfn.XLOOKUP(F2602&amp;"|"&amp;J2602&amp;"|"&amp;O2602,PRICES!$C$2:$C$659&amp;"|"&amp;PRICES!$B$2:$B$659&amp;"|"&amp;PRICES!$D$2:$D$659,PRICES!$E$2:$E$659),"Not Found"))</f>
        <v/>
      </c>
      <c r="Q2602" s="100" t="str">
        <f>IF(N2602=0,"",SUMIFS(PRICES!$G$2:$G$658,PRICES!$B$2:$B$658,'MAIN TABLE-1 AUTOMATED'!J2602,PRICES!$C$2:$C$658,'MAIN TABLE-1 AUTOMATED'!F2602,PRICES!$D$2:$D$658,'MAIN TABLE-1 AUTOMATED'!O2602))</f>
        <v/>
      </c>
      <c r="R2602" s="41" t="str">
        <f>IF(Table1[[#This Row],[QUANTITY]]=0,"",Table1[[#This Row],[UNIT PRICE]]*Table1[[#This Row],[QUANTITY]])</f>
        <v/>
      </c>
      <c r="S2602" s="89"/>
      <c r="T2602" s="38"/>
      <c r="U2602" s="43"/>
      <c r="V2602" s="42" t="str">
        <f>IF(Table1[[#This Row],[DATE]]=0,"",YEAR(E2602))</f>
        <v/>
      </c>
      <c r="W2602" s="40" t="str">
        <f t="shared" si="84"/>
        <v/>
      </c>
      <c r="X2602" s="40" t="str">
        <f t="shared" si="85"/>
        <v/>
      </c>
      <c r="Y2602" s="40" t="str">
        <f>TEXT(Table1[[#This Row],[YEAR]],"0000")&amp;"-"&amp;Table1[[#This Row],[MONTH]]</f>
        <v>-</v>
      </c>
    </row>
    <row r="2603" spans="1:25" ht="15" customHeight="1" x14ac:dyDescent="0.35">
      <c r="A2603" s="24"/>
      <c r="B2603" s="38"/>
      <c r="C2603" s="38"/>
      <c r="D2603" s="38"/>
      <c r="E2603" s="37"/>
      <c r="F2603" s="38"/>
      <c r="G2603" s="198"/>
      <c r="H2603" s="198"/>
      <c r="I2603" s="39"/>
      <c r="J2603" s="38"/>
      <c r="K2603" s="198"/>
      <c r="L2603" s="38"/>
      <c r="M2603" s="38"/>
      <c r="N2603" s="38"/>
      <c r="O2603" s="38"/>
      <c r="P2603" s="40" t="str" cm="1">
        <f t="array" ref="P2603">IF(N2603="","",IFERROR(_xlfn.XLOOKUP(F2603&amp;"|"&amp;J2603&amp;"|"&amp;O2603,PRICES!$C$2:$C$659&amp;"|"&amp;PRICES!$B$2:$B$659&amp;"|"&amp;PRICES!$D$2:$D$659,PRICES!$E$2:$E$659),"Not Found"))</f>
        <v/>
      </c>
      <c r="Q2603" s="100" t="str">
        <f>IF(N2603=0,"",SUMIFS(PRICES!$G$2:$G$658,PRICES!$B$2:$B$658,'MAIN TABLE-1 AUTOMATED'!J2603,PRICES!$C$2:$C$658,'MAIN TABLE-1 AUTOMATED'!F2603,PRICES!$D$2:$D$658,'MAIN TABLE-1 AUTOMATED'!O2603))</f>
        <v/>
      </c>
      <c r="R2603" s="41" t="str">
        <f>IF(Table1[[#This Row],[QUANTITY]]=0,"",Table1[[#This Row],[UNIT PRICE]]*Table1[[#This Row],[QUANTITY]])</f>
        <v/>
      </c>
      <c r="S2603" s="89"/>
      <c r="T2603" s="38"/>
      <c r="U2603" s="43"/>
      <c r="V2603" s="42" t="str">
        <f>IF(Table1[[#This Row],[DATE]]=0,"",YEAR(E2603))</f>
        <v/>
      </c>
      <c r="W2603" s="40" t="str">
        <f t="shared" si="84"/>
        <v/>
      </c>
      <c r="X2603" s="40" t="str">
        <f t="shared" si="85"/>
        <v/>
      </c>
      <c r="Y2603" s="40" t="str">
        <f>TEXT(Table1[[#This Row],[YEAR]],"0000")&amp;"-"&amp;Table1[[#This Row],[MONTH]]</f>
        <v>-</v>
      </c>
    </row>
    <row r="2604" spans="1:25" ht="15" customHeight="1" x14ac:dyDescent="0.35">
      <c r="A2604" s="24"/>
      <c r="B2604" s="38"/>
      <c r="C2604" s="38"/>
      <c r="D2604" s="38"/>
      <c r="E2604" s="37"/>
      <c r="F2604" s="38"/>
      <c r="G2604" s="198"/>
      <c r="H2604" s="198"/>
      <c r="I2604" s="39"/>
      <c r="J2604" s="38"/>
      <c r="K2604" s="198"/>
      <c r="L2604" s="38"/>
      <c r="M2604" s="38"/>
      <c r="N2604" s="38"/>
      <c r="O2604" s="38"/>
      <c r="P2604" s="40" t="str" cm="1">
        <f t="array" ref="P2604">IF(N2604="","",IFERROR(_xlfn.XLOOKUP(F2604&amp;"|"&amp;J2604&amp;"|"&amp;O2604,PRICES!$C$2:$C$659&amp;"|"&amp;PRICES!$B$2:$B$659&amp;"|"&amp;PRICES!$D$2:$D$659,PRICES!$E$2:$E$659),"Not Found"))</f>
        <v/>
      </c>
      <c r="Q2604" s="100" t="str">
        <f>IF(N2604=0,"",SUMIFS(PRICES!$G$2:$G$658,PRICES!$B$2:$B$658,'MAIN TABLE-1 AUTOMATED'!J2604,PRICES!$C$2:$C$658,'MAIN TABLE-1 AUTOMATED'!F2604,PRICES!$D$2:$D$658,'MAIN TABLE-1 AUTOMATED'!O2604))</f>
        <v/>
      </c>
      <c r="R2604" s="41" t="str">
        <f>IF(Table1[[#This Row],[QUANTITY]]=0,"",Table1[[#This Row],[UNIT PRICE]]*Table1[[#This Row],[QUANTITY]])</f>
        <v/>
      </c>
      <c r="S2604" s="89"/>
      <c r="T2604" s="38"/>
      <c r="U2604" s="43"/>
      <c r="V2604" s="42" t="str">
        <f>IF(Table1[[#This Row],[DATE]]=0,"",YEAR(E2604))</f>
        <v/>
      </c>
      <c r="W2604" s="40" t="str">
        <f t="shared" si="84"/>
        <v/>
      </c>
      <c r="X2604" s="40" t="str">
        <f t="shared" si="85"/>
        <v/>
      </c>
      <c r="Y2604" s="40" t="str">
        <f>TEXT(Table1[[#This Row],[YEAR]],"0000")&amp;"-"&amp;Table1[[#This Row],[MONTH]]</f>
        <v>-</v>
      </c>
    </row>
    <row r="2605" spans="1:25" ht="15" customHeight="1" x14ac:dyDescent="0.35">
      <c r="A2605" s="24"/>
      <c r="B2605" s="38"/>
      <c r="C2605" s="38"/>
      <c r="D2605" s="38"/>
      <c r="E2605" s="37"/>
      <c r="F2605" s="38"/>
      <c r="G2605" s="198"/>
      <c r="H2605" s="198"/>
      <c r="I2605" s="39"/>
      <c r="J2605" s="38"/>
      <c r="K2605" s="198"/>
      <c r="L2605" s="38"/>
      <c r="M2605" s="38"/>
      <c r="N2605" s="38"/>
      <c r="O2605" s="38"/>
      <c r="P2605" s="40" t="str" cm="1">
        <f t="array" ref="P2605">IF(N2605="","",IFERROR(_xlfn.XLOOKUP(F2605&amp;"|"&amp;J2605&amp;"|"&amp;O2605,PRICES!$C$2:$C$659&amp;"|"&amp;PRICES!$B$2:$B$659&amp;"|"&amp;PRICES!$D$2:$D$659,PRICES!$E$2:$E$659),"Not Found"))</f>
        <v/>
      </c>
      <c r="Q2605" s="100" t="str">
        <f>IF(N2605=0,"",SUMIFS(PRICES!$G$2:$G$658,PRICES!$B$2:$B$658,'MAIN TABLE-1 AUTOMATED'!J2605,PRICES!$C$2:$C$658,'MAIN TABLE-1 AUTOMATED'!F2605,PRICES!$D$2:$D$658,'MAIN TABLE-1 AUTOMATED'!O2605))</f>
        <v/>
      </c>
      <c r="R2605" s="41" t="str">
        <f>IF(Table1[[#This Row],[QUANTITY]]=0,"",Table1[[#This Row],[UNIT PRICE]]*Table1[[#This Row],[QUANTITY]])</f>
        <v/>
      </c>
      <c r="S2605" s="89"/>
      <c r="T2605" s="38"/>
      <c r="U2605" s="43"/>
      <c r="V2605" s="42" t="str">
        <f>IF(Table1[[#This Row],[DATE]]=0,"",YEAR(E2605))</f>
        <v/>
      </c>
      <c r="W2605" s="40" t="str">
        <f t="shared" si="84"/>
        <v/>
      </c>
      <c r="X2605" s="40" t="str">
        <f t="shared" si="85"/>
        <v/>
      </c>
      <c r="Y2605" s="40" t="str">
        <f>TEXT(Table1[[#This Row],[YEAR]],"0000")&amp;"-"&amp;Table1[[#This Row],[MONTH]]</f>
        <v>-</v>
      </c>
    </row>
    <row r="2606" spans="1:25" ht="15" customHeight="1" x14ac:dyDescent="0.35">
      <c r="A2606" s="24"/>
      <c r="B2606" s="38"/>
      <c r="C2606" s="38"/>
      <c r="D2606" s="38"/>
      <c r="E2606" s="37"/>
      <c r="F2606" s="38"/>
      <c r="G2606" s="198"/>
      <c r="H2606" s="198"/>
      <c r="I2606" s="39"/>
      <c r="J2606" s="38"/>
      <c r="K2606" s="198"/>
      <c r="L2606" s="38"/>
      <c r="M2606" s="38"/>
      <c r="N2606" s="38"/>
      <c r="O2606" s="38"/>
      <c r="P2606" s="40" t="str" cm="1">
        <f t="array" ref="P2606">IF(N2606="","",IFERROR(_xlfn.XLOOKUP(F2606&amp;"|"&amp;J2606&amp;"|"&amp;O2606,PRICES!$C$2:$C$659&amp;"|"&amp;PRICES!$B$2:$B$659&amp;"|"&amp;PRICES!$D$2:$D$659,PRICES!$E$2:$E$659),"Not Found"))</f>
        <v/>
      </c>
      <c r="Q2606" s="100" t="str">
        <f>IF(N2606=0,"",SUMIFS(PRICES!$G$2:$G$658,PRICES!$B$2:$B$658,'MAIN TABLE-1 AUTOMATED'!J2606,PRICES!$C$2:$C$658,'MAIN TABLE-1 AUTOMATED'!F2606,PRICES!$D$2:$D$658,'MAIN TABLE-1 AUTOMATED'!O2606))</f>
        <v/>
      </c>
      <c r="R2606" s="41" t="str">
        <f>IF(Table1[[#This Row],[QUANTITY]]=0,"",Table1[[#This Row],[UNIT PRICE]]*Table1[[#This Row],[QUANTITY]])</f>
        <v/>
      </c>
      <c r="S2606" s="89"/>
      <c r="T2606" s="38"/>
      <c r="U2606" s="43"/>
      <c r="V2606" s="42" t="str">
        <f>IF(Table1[[#This Row],[DATE]]=0,"",YEAR(E2606))</f>
        <v/>
      </c>
      <c r="W2606" s="40" t="str">
        <f t="shared" si="84"/>
        <v/>
      </c>
      <c r="X2606" s="40" t="str">
        <f t="shared" si="85"/>
        <v/>
      </c>
      <c r="Y2606" s="40" t="str">
        <f>TEXT(Table1[[#This Row],[YEAR]],"0000")&amp;"-"&amp;Table1[[#This Row],[MONTH]]</f>
        <v>-</v>
      </c>
    </row>
    <row r="2607" spans="1:25" ht="15" customHeight="1" x14ac:dyDescent="0.35">
      <c r="A2607" s="24"/>
      <c r="B2607" s="38"/>
      <c r="C2607" s="38"/>
      <c r="D2607" s="38"/>
      <c r="E2607" s="37"/>
      <c r="F2607" s="38"/>
      <c r="G2607" s="198"/>
      <c r="H2607" s="198"/>
      <c r="I2607" s="39"/>
      <c r="J2607" s="38"/>
      <c r="K2607" s="198"/>
      <c r="L2607" s="38"/>
      <c r="M2607" s="38"/>
      <c r="N2607" s="38"/>
      <c r="O2607" s="38"/>
      <c r="P2607" s="40" t="str" cm="1">
        <f t="array" ref="P2607">IF(N2607="","",IFERROR(_xlfn.XLOOKUP(F2607&amp;"|"&amp;J2607&amp;"|"&amp;O2607,PRICES!$C$2:$C$659&amp;"|"&amp;PRICES!$B$2:$B$659&amp;"|"&amp;PRICES!$D$2:$D$659,PRICES!$E$2:$E$659),"Not Found"))</f>
        <v/>
      </c>
      <c r="Q2607" s="100" t="str">
        <f>IF(N2607=0,"",SUMIFS(PRICES!$G$2:$G$658,PRICES!$B$2:$B$658,'MAIN TABLE-1 AUTOMATED'!J2607,PRICES!$C$2:$C$658,'MAIN TABLE-1 AUTOMATED'!F2607,PRICES!$D$2:$D$658,'MAIN TABLE-1 AUTOMATED'!O2607))</f>
        <v/>
      </c>
      <c r="R2607" s="41" t="str">
        <f>IF(Table1[[#This Row],[QUANTITY]]=0,"",Table1[[#This Row],[UNIT PRICE]]*Table1[[#This Row],[QUANTITY]])</f>
        <v/>
      </c>
      <c r="S2607" s="89"/>
      <c r="T2607" s="38"/>
      <c r="U2607" s="43"/>
      <c r="V2607" s="42" t="str">
        <f>IF(Table1[[#This Row],[DATE]]=0,"",YEAR(E2607))</f>
        <v/>
      </c>
      <c r="W2607" s="40" t="str">
        <f t="shared" si="84"/>
        <v/>
      </c>
      <c r="X2607" s="40" t="str">
        <f t="shared" si="85"/>
        <v/>
      </c>
      <c r="Y2607" s="40" t="str">
        <f>TEXT(Table1[[#This Row],[YEAR]],"0000")&amp;"-"&amp;Table1[[#This Row],[MONTH]]</f>
        <v>-</v>
      </c>
    </row>
    <row r="2608" spans="1:25" ht="15" customHeight="1" x14ac:dyDescent="0.35">
      <c r="A2608" s="24"/>
      <c r="B2608" s="38"/>
      <c r="C2608" s="38"/>
      <c r="D2608" s="38"/>
      <c r="E2608" s="37"/>
      <c r="F2608" s="38"/>
      <c r="G2608" s="198"/>
      <c r="H2608" s="198"/>
      <c r="I2608" s="39"/>
      <c r="J2608" s="38"/>
      <c r="K2608" s="198"/>
      <c r="L2608" s="38"/>
      <c r="M2608" s="38"/>
      <c r="N2608" s="38"/>
      <c r="O2608" s="38"/>
      <c r="P2608" s="40" t="str" cm="1">
        <f t="array" ref="P2608">IF(N2608="","",IFERROR(_xlfn.XLOOKUP(F2608&amp;"|"&amp;J2608&amp;"|"&amp;O2608,PRICES!$C$2:$C$659&amp;"|"&amp;PRICES!$B$2:$B$659&amp;"|"&amp;PRICES!$D$2:$D$659,PRICES!$E$2:$E$659),"Not Found"))</f>
        <v/>
      </c>
      <c r="Q2608" s="100" t="str">
        <f>IF(N2608=0,"",SUMIFS(PRICES!$G$2:$G$658,PRICES!$B$2:$B$658,'MAIN TABLE-1 AUTOMATED'!J2608,PRICES!$C$2:$C$658,'MAIN TABLE-1 AUTOMATED'!F2608,PRICES!$D$2:$D$658,'MAIN TABLE-1 AUTOMATED'!O2608))</f>
        <v/>
      </c>
      <c r="R2608" s="41" t="str">
        <f>IF(Table1[[#This Row],[QUANTITY]]=0,"",Table1[[#This Row],[UNIT PRICE]]*Table1[[#This Row],[QUANTITY]])</f>
        <v/>
      </c>
      <c r="S2608" s="89"/>
      <c r="T2608" s="38"/>
      <c r="U2608" s="43"/>
      <c r="V2608" s="42" t="str">
        <f>IF(Table1[[#This Row],[DATE]]=0,"",YEAR(E2608))</f>
        <v/>
      </c>
      <c r="W2608" s="40" t="str">
        <f t="shared" si="84"/>
        <v/>
      </c>
      <c r="X2608" s="40" t="str">
        <f t="shared" si="85"/>
        <v/>
      </c>
      <c r="Y2608" s="40" t="str">
        <f>TEXT(Table1[[#This Row],[YEAR]],"0000")&amp;"-"&amp;Table1[[#This Row],[MONTH]]</f>
        <v>-</v>
      </c>
    </row>
    <row r="2609" spans="1:25" ht="15" customHeight="1" x14ac:dyDescent="0.35">
      <c r="A2609" s="24"/>
      <c r="B2609" s="38"/>
      <c r="C2609" s="38"/>
      <c r="D2609" s="38"/>
      <c r="E2609" s="37"/>
      <c r="F2609" s="38"/>
      <c r="G2609" s="198"/>
      <c r="H2609" s="198"/>
      <c r="I2609" s="39"/>
      <c r="J2609" s="38"/>
      <c r="K2609" s="198"/>
      <c r="L2609" s="38"/>
      <c r="M2609" s="38"/>
      <c r="N2609" s="38"/>
      <c r="O2609" s="38"/>
      <c r="P2609" s="40" t="str" cm="1">
        <f t="array" ref="P2609">IF(N2609="","",IFERROR(_xlfn.XLOOKUP(F2609&amp;"|"&amp;J2609&amp;"|"&amp;O2609,PRICES!$C$2:$C$659&amp;"|"&amp;PRICES!$B$2:$B$659&amp;"|"&amp;PRICES!$D$2:$D$659,PRICES!$E$2:$E$659),"Not Found"))</f>
        <v/>
      </c>
      <c r="Q2609" s="100" t="str">
        <f>IF(N2609=0,"",SUMIFS(PRICES!$G$2:$G$658,PRICES!$B$2:$B$658,'MAIN TABLE-1 AUTOMATED'!J2609,PRICES!$C$2:$C$658,'MAIN TABLE-1 AUTOMATED'!F2609,PRICES!$D$2:$D$658,'MAIN TABLE-1 AUTOMATED'!O2609))</f>
        <v/>
      </c>
      <c r="R2609" s="41" t="str">
        <f>IF(Table1[[#This Row],[QUANTITY]]=0,"",Table1[[#This Row],[UNIT PRICE]]*Table1[[#This Row],[QUANTITY]])</f>
        <v/>
      </c>
      <c r="S2609" s="89"/>
      <c r="T2609" s="38"/>
      <c r="U2609" s="43"/>
      <c r="V2609" s="42" t="str">
        <f>IF(Table1[[#This Row],[DATE]]=0,"",YEAR(E2609))</f>
        <v/>
      </c>
      <c r="W2609" s="40" t="str">
        <f t="shared" si="84"/>
        <v/>
      </c>
      <c r="X2609" s="40" t="str">
        <f t="shared" si="85"/>
        <v/>
      </c>
      <c r="Y2609" s="40" t="str">
        <f>TEXT(Table1[[#This Row],[YEAR]],"0000")&amp;"-"&amp;Table1[[#This Row],[MONTH]]</f>
        <v>-</v>
      </c>
    </row>
    <row r="2610" spans="1:25" ht="15" customHeight="1" x14ac:dyDescent="0.35">
      <c r="A2610" s="24"/>
      <c r="B2610" s="38"/>
      <c r="C2610" s="38"/>
      <c r="D2610" s="38"/>
      <c r="E2610" s="37"/>
      <c r="F2610" s="38"/>
      <c r="G2610" s="198"/>
      <c r="H2610" s="198"/>
      <c r="I2610" s="39"/>
      <c r="J2610" s="38"/>
      <c r="K2610" s="198"/>
      <c r="L2610" s="38"/>
      <c r="M2610" s="38"/>
      <c r="N2610" s="38"/>
      <c r="O2610" s="38"/>
      <c r="P2610" s="40" t="str" cm="1">
        <f t="array" ref="P2610">IF(N2610="","",IFERROR(_xlfn.XLOOKUP(F2610&amp;"|"&amp;J2610&amp;"|"&amp;O2610,PRICES!$C$2:$C$659&amp;"|"&amp;PRICES!$B$2:$B$659&amp;"|"&amp;PRICES!$D$2:$D$659,PRICES!$E$2:$E$659),"Not Found"))</f>
        <v/>
      </c>
      <c r="Q2610" s="100" t="str">
        <f>IF(N2610=0,"",SUMIFS(PRICES!$G$2:$G$658,PRICES!$B$2:$B$658,'MAIN TABLE-1 AUTOMATED'!J2610,PRICES!$C$2:$C$658,'MAIN TABLE-1 AUTOMATED'!F2610,PRICES!$D$2:$D$658,'MAIN TABLE-1 AUTOMATED'!O2610))</f>
        <v/>
      </c>
      <c r="R2610" s="41" t="str">
        <f>IF(Table1[[#This Row],[QUANTITY]]=0,"",Table1[[#This Row],[UNIT PRICE]]*Table1[[#This Row],[QUANTITY]])</f>
        <v/>
      </c>
      <c r="S2610" s="89"/>
      <c r="T2610" s="38"/>
      <c r="U2610" s="43"/>
      <c r="V2610" s="42" t="str">
        <f>IF(Table1[[#This Row],[DATE]]=0,"",YEAR(E2610))</f>
        <v/>
      </c>
      <c r="W2610" s="40" t="str">
        <f t="shared" si="84"/>
        <v/>
      </c>
      <c r="X2610" s="40" t="str">
        <f t="shared" si="85"/>
        <v/>
      </c>
      <c r="Y2610" s="40" t="str">
        <f>TEXT(Table1[[#This Row],[YEAR]],"0000")&amp;"-"&amp;Table1[[#This Row],[MONTH]]</f>
        <v>-</v>
      </c>
    </row>
    <row r="2611" spans="1:25" ht="15" customHeight="1" x14ac:dyDescent="0.35">
      <c r="A2611" s="24"/>
      <c r="B2611" s="38"/>
      <c r="C2611" s="38"/>
      <c r="D2611" s="38"/>
      <c r="E2611" s="37"/>
      <c r="F2611" s="38"/>
      <c r="G2611" s="198"/>
      <c r="H2611" s="198"/>
      <c r="I2611" s="39"/>
      <c r="J2611" s="38"/>
      <c r="K2611" s="198"/>
      <c r="L2611" s="38"/>
      <c r="M2611" s="38"/>
      <c r="N2611" s="38"/>
      <c r="O2611" s="38"/>
      <c r="P2611" s="40" t="str" cm="1">
        <f t="array" ref="P2611">IF(N2611="","",IFERROR(_xlfn.XLOOKUP(F2611&amp;"|"&amp;J2611&amp;"|"&amp;O2611,PRICES!$C$2:$C$659&amp;"|"&amp;PRICES!$B$2:$B$659&amp;"|"&amp;PRICES!$D$2:$D$659,PRICES!$E$2:$E$659),"Not Found"))</f>
        <v/>
      </c>
      <c r="Q2611" s="100" t="str">
        <f>IF(N2611=0,"",SUMIFS(PRICES!$G$2:$G$658,PRICES!$B$2:$B$658,'MAIN TABLE-1 AUTOMATED'!J2611,PRICES!$C$2:$C$658,'MAIN TABLE-1 AUTOMATED'!F2611,PRICES!$D$2:$D$658,'MAIN TABLE-1 AUTOMATED'!O2611))</f>
        <v/>
      </c>
      <c r="R2611" s="41" t="str">
        <f>IF(Table1[[#This Row],[QUANTITY]]=0,"",Table1[[#This Row],[UNIT PRICE]]*Table1[[#This Row],[QUANTITY]])</f>
        <v/>
      </c>
      <c r="S2611" s="89"/>
      <c r="T2611" s="38"/>
      <c r="U2611" s="43"/>
      <c r="V2611" s="42" t="str">
        <f>IF(Table1[[#This Row],[DATE]]=0,"",YEAR(E2611))</f>
        <v/>
      </c>
      <c r="W2611" s="40" t="str">
        <f t="shared" si="84"/>
        <v/>
      </c>
      <c r="X2611" s="40" t="str">
        <f t="shared" si="85"/>
        <v/>
      </c>
      <c r="Y2611" s="40" t="str">
        <f>TEXT(Table1[[#This Row],[YEAR]],"0000")&amp;"-"&amp;Table1[[#This Row],[MONTH]]</f>
        <v>-</v>
      </c>
    </row>
    <row r="2612" spans="1:25" ht="15" customHeight="1" x14ac:dyDescent="0.35">
      <c r="A2612" s="24"/>
      <c r="B2612" s="38"/>
      <c r="C2612" s="38"/>
      <c r="D2612" s="38"/>
      <c r="E2612" s="37"/>
      <c r="F2612" s="38"/>
      <c r="G2612" s="198"/>
      <c r="H2612" s="198"/>
      <c r="I2612" s="39"/>
      <c r="J2612" s="38"/>
      <c r="K2612" s="198"/>
      <c r="L2612" s="38"/>
      <c r="M2612" s="38"/>
      <c r="N2612" s="38"/>
      <c r="O2612" s="38"/>
      <c r="P2612" s="40" t="str" cm="1">
        <f t="array" ref="P2612">IF(N2612="","",IFERROR(_xlfn.XLOOKUP(F2612&amp;"|"&amp;J2612&amp;"|"&amp;O2612,PRICES!$C$2:$C$659&amp;"|"&amp;PRICES!$B$2:$B$659&amp;"|"&amp;PRICES!$D$2:$D$659,PRICES!$E$2:$E$659),"Not Found"))</f>
        <v/>
      </c>
      <c r="Q2612" s="100" t="str">
        <f>IF(N2612=0,"",SUMIFS(PRICES!$G$2:$G$658,PRICES!$B$2:$B$658,'MAIN TABLE-1 AUTOMATED'!J2612,PRICES!$C$2:$C$658,'MAIN TABLE-1 AUTOMATED'!F2612,PRICES!$D$2:$D$658,'MAIN TABLE-1 AUTOMATED'!O2612))</f>
        <v/>
      </c>
      <c r="R2612" s="41" t="str">
        <f>IF(Table1[[#This Row],[QUANTITY]]=0,"",Table1[[#This Row],[UNIT PRICE]]*Table1[[#This Row],[QUANTITY]])</f>
        <v/>
      </c>
      <c r="S2612" s="89"/>
      <c r="T2612" s="38"/>
      <c r="U2612" s="43"/>
      <c r="V2612" s="42" t="str">
        <f>IF(Table1[[#This Row],[DATE]]=0,"",YEAR(E2612))</f>
        <v/>
      </c>
      <c r="W2612" s="40" t="str">
        <f t="shared" si="84"/>
        <v/>
      </c>
      <c r="X2612" s="40" t="str">
        <f t="shared" si="85"/>
        <v/>
      </c>
      <c r="Y2612" s="40" t="str">
        <f>TEXT(Table1[[#This Row],[YEAR]],"0000")&amp;"-"&amp;Table1[[#This Row],[MONTH]]</f>
        <v>-</v>
      </c>
    </row>
    <row r="2613" spans="1:25" ht="15" customHeight="1" x14ac:dyDescent="0.35">
      <c r="A2613" s="24"/>
      <c r="B2613" s="38"/>
      <c r="C2613" s="38"/>
      <c r="D2613" s="38"/>
      <c r="E2613" s="37"/>
      <c r="F2613" s="38"/>
      <c r="G2613" s="198"/>
      <c r="H2613" s="198"/>
      <c r="I2613" s="39"/>
      <c r="J2613" s="38"/>
      <c r="K2613" s="198"/>
      <c r="L2613" s="38"/>
      <c r="M2613" s="38"/>
      <c r="N2613" s="38"/>
      <c r="O2613" s="38"/>
      <c r="P2613" s="40" t="str" cm="1">
        <f t="array" ref="P2613">IF(N2613="","",IFERROR(_xlfn.XLOOKUP(F2613&amp;"|"&amp;J2613&amp;"|"&amp;O2613,PRICES!$C$2:$C$659&amp;"|"&amp;PRICES!$B$2:$B$659&amp;"|"&amp;PRICES!$D$2:$D$659,PRICES!$E$2:$E$659),"Not Found"))</f>
        <v/>
      </c>
      <c r="Q2613" s="100" t="str">
        <f>IF(N2613=0,"",SUMIFS(PRICES!$G$2:$G$658,PRICES!$B$2:$B$658,'MAIN TABLE-1 AUTOMATED'!J2613,PRICES!$C$2:$C$658,'MAIN TABLE-1 AUTOMATED'!F2613,PRICES!$D$2:$D$658,'MAIN TABLE-1 AUTOMATED'!O2613))</f>
        <v/>
      </c>
      <c r="R2613" s="41" t="str">
        <f>IF(Table1[[#This Row],[QUANTITY]]=0,"",Table1[[#This Row],[UNIT PRICE]]*Table1[[#This Row],[QUANTITY]])</f>
        <v/>
      </c>
      <c r="S2613" s="89"/>
      <c r="T2613" s="38"/>
      <c r="U2613" s="43"/>
      <c r="V2613" s="42" t="str">
        <f>IF(Table1[[#This Row],[DATE]]=0,"",YEAR(E2613))</f>
        <v/>
      </c>
      <c r="W2613" s="40" t="str">
        <f t="shared" si="84"/>
        <v/>
      </c>
      <c r="X2613" s="40" t="str">
        <f t="shared" si="85"/>
        <v/>
      </c>
      <c r="Y2613" s="40" t="str">
        <f>TEXT(Table1[[#This Row],[YEAR]],"0000")&amp;"-"&amp;Table1[[#This Row],[MONTH]]</f>
        <v>-</v>
      </c>
    </row>
    <row r="2614" spans="1:25" ht="15" customHeight="1" x14ac:dyDescent="0.35">
      <c r="A2614" s="24"/>
      <c r="B2614" s="38"/>
      <c r="C2614" s="38"/>
      <c r="D2614" s="38"/>
      <c r="E2614" s="37"/>
      <c r="F2614" s="38"/>
      <c r="G2614" s="198"/>
      <c r="H2614" s="198"/>
      <c r="I2614" s="39"/>
      <c r="J2614" s="38"/>
      <c r="K2614" s="198"/>
      <c r="L2614" s="38"/>
      <c r="M2614" s="38"/>
      <c r="N2614" s="38"/>
      <c r="O2614" s="38"/>
      <c r="P2614" s="40" t="str" cm="1">
        <f t="array" ref="P2614">IF(N2614="","",IFERROR(_xlfn.XLOOKUP(F2614&amp;"|"&amp;J2614&amp;"|"&amp;O2614,PRICES!$C$2:$C$659&amp;"|"&amp;PRICES!$B$2:$B$659&amp;"|"&amp;PRICES!$D$2:$D$659,PRICES!$E$2:$E$659),"Not Found"))</f>
        <v/>
      </c>
      <c r="Q2614" s="100" t="str">
        <f>IF(N2614=0,"",SUMIFS(PRICES!$G$2:$G$658,PRICES!$B$2:$B$658,'MAIN TABLE-1 AUTOMATED'!J2614,PRICES!$C$2:$C$658,'MAIN TABLE-1 AUTOMATED'!F2614,PRICES!$D$2:$D$658,'MAIN TABLE-1 AUTOMATED'!O2614))</f>
        <v/>
      </c>
      <c r="R2614" s="41" t="str">
        <f>IF(Table1[[#This Row],[QUANTITY]]=0,"",Table1[[#This Row],[UNIT PRICE]]*Table1[[#This Row],[QUANTITY]])</f>
        <v/>
      </c>
      <c r="S2614" s="89"/>
      <c r="T2614" s="38"/>
      <c r="U2614" s="43"/>
      <c r="V2614" s="42" t="str">
        <f>IF(Table1[[#This Row],[DATE]]=0,"",YEAR(E2614))</f>
        <v/>
      </c>
      <c r="W2614" s="40" t="str">
        <f t="shared" si="84"/>
        <v/>
      </c>
      <c r="X2614" s="40" t="str">
        <f t="shared" si="85"/>
        <v/>
      </c>
      <c r="Y2614" s="40" t="str">
        <f>TEXT(Table1[[#This Row],[YEAR]],"0000")&amp;"-"&amp;Table1[[#This Row],[MONTH]]</f>
        <v>-</v>
      </c>
    </row>
    <row r="2615" spans="1:25" ht="15" customHeight="1" x14ac:dyDescent="0.35">
      <c r="A2615" s="24"/>
      <c r="B2615" s="38"/>
      <c r="C2615" s="38"/>
      <c r="D2615" s="38"/>
      <c r="E2615" s="37"/>
      <c r="F2615" s="38"/>
      <c r="G2615" s="198"/>
      <c r="H2615" s="198"/>
      <c r="I2615" s="39"/>
      <c r="J2615" s="38"/>
      <c r="K2615" s="198"/>
      <c r="L2615" s="38"/>
      <c r="M2615" s="38"/>
      <c r="N2615" s="38"/>
      <c r="O2615" s="38"/>
      <c r="P2615" s="40" t="str" cm="1">
        <f t="array" ref="P2615">IF(N2615="","",IFERROR(_xlfn.XLOOKUP(F2615&amp;"|"&amp;J2615&amp;"|"&amp;O2615,PRICES!$C$2:$C$659&amp;"|"&amp;PRICES!$B$2:$B$659&amp;"|"&amp;PRICES!$D$2:$D$659,PRICES!$E$2:$E$659),"Not Found"))</f>
        <v/>
      </c>
      <c r="Q2615" s="100" t="str">
        <f>IF(N2615=0,"",SUMIFS(PRICES!$G$2:$G$658,PRICES!$B$2:$B$658,'MAIN TABLE-1 AUTOMATED'!J2615,PRICES!$C$2:$C$658,'MAIN TABLE-1 AUTOMATED'!F2615,PRICES!$D$2:$D$658,'MAIN TABLE-1 AUTOMATED'!O2615))</f>
        <v/>
      </c>
      <c r="R2615" s="41" t="str">
        <f>IF(Table1[[#This Row],[QUANTITY]]=0,"",Table1[[#This Row],[UNIT PRICE]]*Table1[[#This Row],[QUANTITY]])</f>
        <v/>
      </c>
      <c r="S2615" s="89"/>
      <c r="T2615" s="38"/>
      <c r="U2615" s="43"/>
      <c r="V2615" s="42" t="str">
        <f>IF(Table1[[#This Row],[DATE]]=0,"",YEAR(E2615))</f>
        <v/>
      </c>
      <c r="W2615" s="40" t="str">
        <f t="shared" si="84"/>
        <v/>
      </c>
      <c r="X2615" s="40" t="str">
        <f t="shared" si="85"/>
        <v/>
      </c>
      <c r="Y2615" s="40" t="str">
        <f>TEXT(Table1[[#This Row],[YEAR]],"0000")&amp;"-"&amp;Table1[[#This Row],[MONTH]]</f>
        <v>-</v>
      </c>
    </row>
    <row r="2616" spans="1:25" ht="15" customHeight="1" x14ac:dyDescent="0.35">
      <c r="A2616" s="24"/>
      <c r="B2616" s="38"/>
      <c r="C2616" s="38"/>
      <c r="D2616" s="38"/>
      <c r="E2616" s="37"/>
      <c r="F2616" s="38"/>
      <c r="G2616" s="198"/>
      <c r="H2616" s="198"/>
      <c r="I2616" s="39"/>
      <c r="J2616" s="38"/>
      <c r="K2616" s="198"/>
      <c r="L2616" s="38"/>
      <c r="M2616" s="38"/>
      <c r="N2616" s="38"/>
      <c r="O2616" s="38"/>
      <c r="P2616" s="40" t="str" cm="1">
        <f t="array" ref="P2616">IF(N2616="","",IFERROR(_xlfn.XLOOKUP(F2616&amp;"|"&amp;J2616&amp;"|"&amp;O2616,PRICES!$C$2:$C$659&amp;"|"&amp;PRICES!$B$2:$B$659&amp;"|"&amp;PRICES!$D$2:$D$659,PRICES!$E$2:$E$659),"Not Found"))</f>
        <v/>
      </c>
      <c r="Q2616" s="100" t="str">
        <f>IF(N2616=0,"",SUMIFS(PRICES!$G$2:$G$658,PRICES!$B$2:$B$658,'MAIN TABLE-1 AUTOMATED'!J2616,PRICES!$C$2:$C$658,'MAIN TABLE-1 AUTOMATED'!F2616,PRICES!$D$2:$D$658,'MAIN TABLE-1 AUTOMATED'!O2616))</f>
        <v/>
      </c>
      <c r="R2616" s="41" t="str">
        <f>IF(Table1[[#This Row],[QUANTITY]]=0,"",Table1[[#This Row],[UNIT PRICE]]*Table1[[#This Row],[QUANTITY]])</f>
        <v/>
      </c>
      <c r="S2616" s="89"/>
      <c r="T2616" s="38"/>
      <c r="U2616" s="43"/>
      <c r="V2616" s="42" t="str">
        <f>IF(Table1[[#This Row],[DATE]]=0,"",YEAR(E2616))</f>
        <v/>
      </c>
      <c r="W2616" s="40" t="str">
        <f t="shared" si="84"/>
        <v/>
      </c>
      <c r="X2616" s="40" t="str">
        <f t="shared" si="85"/>
        <v/>
      </c>
      <c r="Y2616" s="40" t="str">
        <f>TEXT(Table1[[#This Row],[YEAR]],"0000")&amp;"-"&amp;Table1[[#This Row],[MONTH]]</f>
        <v>-</v>
      </c>
    </row>
    <row r="2617" spans="1:25" ht="15" customHeight="1" x14ac:dyDescent="0.35">
      <c r="A2617" s="24"/>
      <c r="B2617" s="38"/>
      <c r="C2617" s="38"/>
      <c r="D2617" s="38"/>
      <c r="E2617" s="37"/>
      <c r="F2617" s="38"/>
      <c r="G2617" s="198"/>
      <c r="H2617" s="198"/>
      <c r="I2617" s="39"/>
      <c r="J2617" s="38"/>
      <c r="K2617" s="198"/>
      <c r="L2617" s="38"/>
      <c r="M2617" s="38"/>
      <c r="N2617" s="38"/>
      <c r="O2617" s="38"/>
      <c r="P2617" s="40" t="str" cm="1">
        <f t="array" ref="P2617">IF(N2617="","",IFERROR(_xlfn.XLOOKUP(F2617&amp;"|"&amp;J2617&amp;"|"&amp;O2617,PRICES!$C$2:$C$659&amp;"|"&amp;PRICES!$B$2:$B$659&amp;"|"&amp;PRICES!$D$2:$D$659,PRICES!$E$2:$E$659),"Not Found"))</f>
        <v/>
      </c>
      <c r="Q2617" s="100" t="str">
        <f>IF(N2617=0,"",SUMIFS(PRICES!$G$2:$G$658,PRICES!$B$2:$B$658,'MAIN TABLE-1 AUTOMATED'!J2617,PRICES!$C$2:$C$658,'MAIN TABLE-1 AUTOMATED'!F2617,PRICES!$D$2:$D$658,'MAIN TABLE-1 AUTOMATED'!O2617))</f>
        <v/>
      </c>
      <c r="R2617" s="41" t="str">
        <f>IF(Table1[[#This Row],[QUANTITY]]=0,"",Table1[[#This Row],[UNIT PRICE]]*Table1[[#This Row],[QUANTITY]])</f>
        <v/>
      </c>
      <c r="S2617" s="89"/>
      <c r="T2617" s="38"/>
      <c r="U2617" s="43"/>
      <c r="V2617" s="42" t="str">
        <f>IF(Table1[[#This Row],[DATE]]=0,"",YEAR(E2617))</f>
        <v/>
      </c>
      <c r="W2617" s="40" t="str">
        <f t="shared" si="84"/>
        <v/>
      </c>
      <c r="X2617" s="40" t="str">
        <f t="shared" si="85"/>
        <v/>
      </c>
      <c r="Y2617" s="40" t="str">
        <f>TEXT(Table1[[#This Row],[YEAR]],"0000")&amp;"-"&amp;Table1[[#This Row],[MONTH]]</f>
        <v>-</v>
      </c>
    </row>
    <row r="2618" spans="1:25" ht="15" customHeight="1" x14ac:dyDescent="0.35">
      <c r="A2618" s="24"/>
      <c r="B2618" s="38"/>
      <c r="C2618" s="38"/>
      <c r="D2618" s="38"/>
      <c r="E2618" s="37"/>
      <c r="F2618" s="38"/>
      <c r="G2618" s="198"/>
      <c r="H2618" s="198"/>
      <c r="I2618" s="39"/>
      <c r="J2618" s="38"/>
      <c r="K2618" s="198"/>
      <c r="L2618" s="38"/>
      <c r="M2618" s="38"/>
      <c r="N2618" s="38"/>
      <c r="O2618" s="38"/>
      <c r="P2618" s="40" t="str" cm="1">
        <f t="array" ref="P2618">IF(N2618="","",IFERROR(_xlfn.XLOOKUP(F2618&amp;"|"&amp;J2618&amp;"|"&amp;O2618,PRICES!$C$2:$C$659&amp;"|"&amp;PRICES!$B$2:$B$659&amp;"|"&amp;PRICES!$D$2:$D$659,PRICES!$E$2:$E$659),"Not Found"))</f>
        <v/>
      </c>
      <c r="Q2618" s="100" t="str">
        <f>IF(N2618=0,"",SUMIFS(PRICES!$G$2:$G$658,PRICES!$B$2:$B$658,'MAIN TABLE-1 AUTOMATED'!J2618,PRICES!$C$2:$C$658,'MAIN TABLE-1 AUTOMATED'!F2618,PRICES!$D$2:$D$658,'MAIN TABLE-1 AUTOMATED'!O2618))</f>
        <v/>
      </c>
      <c r="R2618" s="41" t="str">
        <f>IF(Table1[[#This Row],[QUANTITY]]=0,"",Table1[[#This Row],[UNIT PRICE]]*Table1[[#This Row],[QUANTITY]])</f>
        <v/>
      </c>
      <c r="S2618" s="89"/>
      <c r="T2618" s="38"/>
      <c r="U2618" s="43"/>
      <c r="V2618" s="42" t="str">
        <f>IF(Table1[[#This Row],[DATE]]=0,"",YEAR(E2618))</f>
        <v/>
      </c>
      <c r="W2618" s="40" t="str">
        <f t="shared" si="84"/>
        <v/>
      </c>
      <c r="X2618" s="40" t="str">
        <f t="shared" si="85"/>
        <v/>
      </c>
      <c r="Y2618" s="40" t="str">
        <f>TEXT(Table1[[#This Row],[YEAR]],"0000")&amp;"-"&amp;Table1[[#This Row],[MONTH]]</f>
        <v>-</v>
      </c>
    </row>
    <row r="2619" spans="1:25" ht="15" customHeight="1" x14ac:dyDescent="0.35">
      <c r="A2619" s="24"/>
      <c r="B2619" s="38"/>
      <c r="C2619" s="38"/>
      <c r="D2619" s="38"/>
      <c r="E2619" s="37"/>
      <c r="F2619" s="38"/>
      <c r="G2619" s="198"/>
      <c r="H2619" s="198"/>
      <c r="I2619" s="39"/>
      <c r="J2619" s="38"/>
      <c r="K2619" s="198"/>
      <c r="L2619" s="38"/>
      <c r="M2619" s="38"/>
      <c r="N2619" s="38"/>
      <c r="O2619" s="38"/>
      <c r="P2619" s="40" t="str" cm="1">
        <f t="array" ref="P2619">IF(N2619="","",IFERROR(_xlfn.XLOOKUP(F2619&amp;"|"&amp;J2619&amp;"|"&amp;O2619,PRICES!$C$2:$C$659&amp;"|"&amp;PRICES!$B$2:$B$659&amp;"|"&amp;PRICES!$D$2:$D$659,PRICES!$E$2:$E$659),"Not Found"))</f>
        <v/>
      </c>
      <c r="Q2619" s="100" t="str">
        <f>IF(N2619=0,"",SUMIFS(PRICES!$G$2:$G$658,PRICES!$B$2:$B$658,'MAIN TABLE-1 AUTOMATED'!J2619,PRICES!$C$2:$C$658,'MAIN TABLE-1 AUTOMATED'!F2619,PRICES!$D$2:$D$658,'MAIN TABLE-1 AUTOMATED'!O2619))</f>
        <v/>
      </c>
      <c r="R2619" s="41" t="str">
        <f>IF(Table1[[#This Row],[QUANTITY]]=0,"",Table1[[#This Row],[UNIT PRICE]]*Table1[[#This Row],[QUANTITY]])</f>
        <v/>
      </c>
      <c r="S2619" s="89"/>
      <c r="T2619" s="38"/>
      <c r="U2619" s="43"/>
      <c r="V2619" s="42" t="str">
        <f>IF(Table1[[#This Row],[DATE]]=0,"",YEAR(E2619))</f>
        <v/>
      </c>
      <c r="W2619" s="40" t="str">
        <f t="shared" si="84"/>
        <v/>
      </c>
      <c r="X2619" s="40" t="str">
        <f t="shared" si="85"/>
        <v/>
      </c>
      <c r="Y2619" s="40" t="str">
        <f>TEXT(Table1[[#This Row],[YEAR]],"0000")&amp;"-"&amp;Table1[[#This Row],[MONTH]]</f>
        <v>-</v>
      </c>
    </row>
    <row r="2620" spans="1:25" ht="15" customHeight="1" x14ac:dyDescent="0.35">
      <c r="A2620" s="24"/>
      <c r="B2620" s="38"/>
      <c r="C2620" s="38"/>
      <c r="D2620" s="38"/>
      <c r="E2620" s="37"/>
      <c r="F2620" s="38"/>
      <c r="G2620" s="198"/>
      <c r="H2620" s="198"/>
      <c r="I2620" s="39"/>
      <c r="J2620" s="38"/>
      <c r="K2620" s="198"/>
      <c r="L2620" s="38"/>
      <c r="M2620" s="38"/>
      <c r="N2620" s="38"/>
      <c r="O2620" s="38"/>
      <c r="P2620" s="40" t="str" cm="1">
        <f t="array" ref="P2620">IF(N2620="","",IFERROR(_xlfn.XLOOKUP(F2620&amp;"|"&amp;J2620&amp;"|"&amp;O2620,PRICES!$C$2:$C$659&amp;"|"&amp;PRICES!$B$2:$B$659&amp;"|"&amp;PRICES!$D$2:$D$659,PRICES!$E$2:$E$659),"Not Found"))</f>
        <v/>
      </c>
      <c r="Q2620" s="100" t="str">
        <f>IF(N2620=0,"",SUMIFS(PRICES!$G$2:$G$658,PRICES!$B$2:$B$658,'MAIN TABLE-1 AUTOMATED'!J2620,PRICES!$C$2:$C$658,'MAIN TABLE-1 AUTOMATED'!F2620,PRICES!$D$2:$D$658,'MAIN TABLE-1 AUTOMATED'!O2620))</f>
        <v/>
      </c>
      <c r="R2620" s="41" t="str">
        <f>IF(Table1[[#This Row],[QUANTITY]]=0,"",Table1[[#This Row],[UNIT PRICE]]*Table1[[#This Row],[QUANTITY]])</f>
        <v/>
      </c>
      <c r="S2620" s="89"/>
      <c r="T2620" s="38"/>
      <c r="U2620" s="43"/>
      <c r="V2620" s="42" t="str">
        <f>IF(Table1[[#This Row],[DATE]]=0,"",YEAR(E2620))</f>
        <v/>
      </c>
      <c r="W2620" s="40" t="str">
        <f t="shared" si="84"/>
        <v/>
      </c>
      <c r="X2620" s="40" t="str">
        <f t="shared" si="85"/>
        <v/>
      </c>
      <c r="Y2620" s="40" t="str">
        <f>TEXT(Table1[[#This Row],[YEAR]],"0000")&amp;"-"&amp;Table1[[#This Row],[MONTH]]</f>
        <v>-</v>
      </c>
    </row>
    <row r="2621" spans="1:25" ht="15" customHeight="1" x14ac:dyDescent="0.35">
      <c r="A2621" s="24"/>
      <c r="B2621" s="38"/>
      <c r="C2621" s="38"/>
      <c r="D2621" s="38"/>
      <c r="E2621" s="37"/>
      <c r="F2621" s="38"/>
      <c r="G2621" s="198"/>
      <c r="H2621" s="198"/>
      <c r="I2621" s="39"/>
      <c r="J2621" s="38"/>
      <c r="K2621" s="198"/>
      <c r="L2621" s="38"/>
      <c r="M2621" s="38"/>
      <c r="N2621" s="38"/>
      <c r="O2621" s="38"/>
      <c r="P2621" s="40" t="str" cm="1">
        <f t="array" ref="P2621">IF(N2621="","",IFERROR(_xlfn.XLOOKUP(F2621&amp;"|"&amp;J2621&amp;"|"&amp;O2621,PRICES!$C$2:$C$659&amp;"|"&amp;PRICES!$B$2:$B$659&amp;"|"&amp;PRICES!$D$2:$D$659,PRICES!$E$2:$E$659),"Not Found"))</f>
        <v/>
      </c>
      <c r="Q2621" s="100" t="str">
        <f>IF(N2621=0,"",SUMIFS(PRICES!$G$2:$G$658,PRICES!$B$2:$B$658,'MAIN TABLE-1 AUTOMATED'!J2621,PRICES!$C$2:$C$658,'MAIN TABLE-1 AUTOMATED'!F2621,PRICES!$D$2:$D$658,'MAIN TABLE-1 AUTOMATED'!O2621))</f>
        <v/>
      </c>
      <c r="R2621" s="41" t="str">
        <f>IF(Table1[[#This Row],[QUANTITY]]=0,"",Table1[[#This Row],[UNIT PRICE]]*Table1[[#This Row],[QUANTITY]])</f>
        <v/>
      </c>
      <c r="S2621" s="89"/>
      <c r="T2621" s="38"/>
      <c r="U2621" s="43"/>
      <c r="V2621" s="42" t="str">
        <f>IF(Table1[[#This Row],[DATE]]=0,"",YEAR(E2621))</f>
        <v/>
      </c>
      <c r="W2621" s="40" t="str">
        <f t="shared" si="84"/>
        <v/>
      </c>
      <c r="X2621" s="40" t="str">
        <f t="shared" si="85"/>
        <v/>
      </c>
      <c r="Y2621" s="40" t="str">
        <f>TEXT(Table1[[#This Row],[YEAR]],"0000")&amp;"-"&amp;Table1[[#This Row],[MONTH]]</f>
        <v>-</v>
      </c>
    </row>
    <row r="2622" spans="1:25" ht="15" customHeight="1" x14ac:dyDescent="0.35">
      <c r="A2622" s="24"/>
      <c r="B2622" s="38"/>
      <c r="C2622" s="38"/>
      <c r="D2622" s="38"/>
      <c r="E2622" s="37"/>
      <c r="F2622" s="38"/>
      <c r="G2622" s="198"/>
      <c r="H2622" s="198"/>
      <c r="I2622" s="39"/>
      <c r="J2622" s="38"/>
      <c r="K2622" s="198"/>
      <c r="L2622" s="38"/>
      <c r="M2622" s="38"/>
      <c r="N2622" s="38"/>
      <c r="O2622" s="38"/>
      <c r="P2622" s="40" t="str" cm="1">
        <f t="array" ref="P2622">IF(N2622="","",IFERROR(_xlfn.XLOOKUP(F2622&amp;"|"&amp;J2622&amp;"|"&amp;O2622,PRICES!$C$2:$C$659&amp;"|"&amp;PRICES!$B$2:$B$659&amp;"|"&amp;PRICES!$D$2:$D$659,PRICES!$E$2:$E$659),"Not Found"))</f>
        <v/>
      </c>
      <c r="Q2622" s="100" t="str">
        <f>IF(N2622=0,"",SUMIFS(PRICES!$G$2:$G$658,PRICES!$B$2:$B$658,'MAIN TABLE-1 AUTOMATED'!J2622,PRICES!$C$2:$C$658,'MAIN TABLE-1 AUTOMATED'!F2622,PRICES!$D$2:$D$658,'MAIN TABLE-1 AUTOMATED'!O2622))</f>
        <v/>
      </c>
      <c r="R2622" s="41" t="str">
        <f>IF(Table1[[#This Row],[QUANTITY]]=0,"",Table1[[#This Row],[UNIT PRICE]]*Table1[[#This Row],[QUANTITY]])</f>
        <v/>
      </c>
      <c r="S2622" s="89"/>
      <c r="T2622" s="38"/>
      <c r="U2622" s="43"/>
      <c r="V2622" s="42" t="str">
        <f>IF(Table1[[#This Row],[DATE]]=0,"",YEAR(E2622))</f>
        <v/>
      </c>
      <c r="W2622" s="40" t="str">
        <f t="shared" si="84"/>
        <v/>
      </c>
      <c r="X2622" s="40" t="str">
        <f t="shared" si="85"/>
        <v/>
      </c>
      <c r="Y2622" s="40" t="str">
        <f>TEXT(Table1[[#This Row],[YEAR]],"0000")&amp;"-"&amp;Table1[[#This Row],[MONTH]]</f>
        <v>-</v>
      </c>
    </row>
    <row r="2623" spans="1:25" ht="15" customHeight="1" x14ac:dyDescent="0.35">
      <c r="A2623" s="24"/>
      <c r="B2623" s="38"/>
      <c r="C2623" s="38"/>
      <c r="D2623" s="38"/>
      <c r="E2623" s="37"/>
      <c r="F2623" s="38"/>
      <c r="G2623" s="198"/>
      <c r="H2623" s="198"/>
      <c r="I2623" s="39"/>
      <c r="J2623" s="38"/>
      <c r="K2623" s="198"/>
      <c r="L2623" s="38"/>
      <c r="M2623" s="38"/>
      <c r="N2623" s="38"/>
      <c r="O2623" s="38"/>
      <c r="P2623" s="40" t="str" cm="1">
        <f t="array" ref="P2623">IF(N2623="","",IFERROR(_xlfn.XLOOKUP(F2623&amp;"|"&amp;J2623&amp;"|"&amp;O2623,PRICES!$C$2:$C$659&amp;"|"&amp;PRICES!$B$2:$B$659&amp;"|"&amp;PRICES!$D$2:$D$659,PRICES!$E$2:$E$659),"Not Found"))</f>
        <v/>
      </c>
      <c r="Q2623" s="100" t="str">
        <f>IF(N2623=0,"",SUMIFS(PRICES!$G$2:$G$658,PRICES!$B$2:$B$658,'MAIN TABLE-1 AUTOMATED'!J2623,PRICES!$C$2:$C$658,'MAIN TABLE-1 AUTOMATED'!F2623,PRICES!$D$2:$D$658,'MAIN TABLE-1 AUTOMATED'!O2623))</f>
        <v/>
      </c>
      <c r="R2623" s="41" t="str">
        <f>IF(Table1[[#This Row],[QUANTITY]]=0,"",Table1[[#This Row],[UNIT PRICE]]*Table1[[#This Row],[QUANTITY]])</f>
        <v/>
      </c>
      <c r="S2623" s="89"/>
      <c r="T2623" s="38"/>
      <c r="U2623" s="43"/>
      <c r="V2623" s="42" t="str">
        <f>IF(Table1[[#This Row],[DATE]]=0,"",YEAR(E2623))</f>
        <v/>
      </c>
      <c r="W2623" s="40" t="str">
        <f t="shared" si="84"/>
        <v/>
      </c>
      <c r="X2623" s="40" t="str">
        <f t="shared" si="85"/>
        <v/>
      </c>
      <c r="Y2623" s="40" t="str">
        <f>TEXT(Table1[[#This Row],[YEAR]],"0000")&amp;"-"&amp;Table1[[#This Row],[MONTH]]</f>
        <v>-</v>
      </c>
    </row>
    <row r="2624" spans="1:25" ht="15" customHeight="1" x14ac:dyDescent="0.35">
      <c r="A2624" s="24"/>
      <c r="B2624" s="38"/>
      <c r="C2624" s="38"/>
      <c r="D2624" s="38"/>
      <c r="E2624" s="37"/>
      <c r="F2624" s="38"/>
      <c r="G2624" s="198"/>
      <c r="H2624" s="198"/>
      <c r="I2624" s="39"/>
      <c r="J2624" s="38"/>
      <c r="K2624" s="198"/>
      <c r="L2624" s="38"/>
      <c r="M2624" s="38"/>
      <c r="N2624" s="38"/>
      <c r="O2624" s="38"/>
      <c r="P2624" s="40" t="str" cm="1">
        <f t="array" ref="P2624">IF(N2624="","",IFERROR(_xlfn.XLOOKUP(F2624&amp;"|"&amp;J2624&amp;"|"&amp;O2624,PRICES!$C$2:$C$659&amp;"|"&amp;PRICES!$B$2:$B$659&amp;"|"&amp;PRICES!$D$2:$D$659,PRICES!$E$2:$E$659),"Not Found"))</f>
        <v/>
      </c>
      <c r="Q2624" s="100" t="str">
        <f>IF(N2624=0,"",SUMIFS(PRICES!$G$2:$G$658,PRICES!$B$2:$B$658,'MAIN TABLE-1 AUTOMATED'!J2624,PRICES!$C$2:$C$658,'MAIN TABLE-1 AUTOMATED'!F2624,PRICES!$D$2:$D$658,'MAIN TABLE-1 AUTOMATED'!O2624))</f>
        <v/>
      </c>
      <c r="R2624" s="41" t="str">
        <f>IF(Table1[[#This Row],[QUANTITY]]=0,"",Table1[[#This Row],[UNIT PRICE]]*Table1[[#This Row],[QUANTITY]])</f>
        <v/>
      </c>
      <c r="S2624" s="89"/>
      <c r="T2624" s="38"/>
      <c r="U2624" s="43"/>
      <c r="V2624" s="42" t="str">
        <f>IF(Table1[[#This Row],[DATE]]=0,"",YEAR(E2624))</f>
        <v/>
      </c>
      <c r="W2624" s="40" t="str">
        <f t="shared" si="84"/>
        <v/>
      </c>
      <c r="X2624" s="40" t="str">
        <f t="shared" si="85"/>
        <v/>
      </c>
      <c r="Y2624" s="40" t="str">
        <f>TEXT(Table1[[#This Row],[YEAR]],"0000")&amp;"-"&amp;Table1[[#This Row],[MONTH]]</f>
        <v>-</v>
      </c>
    </row>
    <row r="2625" spans="1:25" ht="15" customHeight="1" x14ac:dyDescent="0.35">
      <c r="A2625" s="24"/>
      <c r="B2625" s="38"/>
      <c r="C2625" s="38"/>
      <c r="D2625" s="38"/>
      <c r="E2625" s="37"/>
      <c r="F2625" s="38"/>
      <c r="G2625" s="198"/>
      <c r="H2625" s="198"/>
      <c r="I2625" s="39"/>
      <c r="J2625" s="38"/>
      <c r="K2625" s="198"/>
      <c r="L2625" s="38"/>
      <c r="M2625" s="38"/>
      <c r="N2625" s="38"/>
      <c r="O2625" s="38"/>
      <c r="P2625" s="40" t="str" cm="1">
        <f t="array" ref="P2625">IF(N2625="","",IFERROR(_xlfn.XLOOKUP(F2625&amp;"|"&amp;J2625&amp;"|"&amp;O2625,PRICES!$C$2:$C$659&amp;"|"&amp;PRICES!$B$2:$B$659&amp;"|"&amp;PRICES!$D$2:$D$659,PRICES!$E$2:$E$659),"Not Found"))</f>
        <v/>
      </c>
      <c r="Q2625" s="100" t="str">
        <f>IF(N2625=0,"",SUMIFS(PRICES!$G$2:$G$658,PRICES!$B$2:$B$658,'MAIN TABLE-1 AUTOMATED'!J2625,PRICES!$C$2:$C$658,'MAIN TABLE-1 AUTOMATED'!F2625,PRICES!$D$2:$D$658,'MAIN TABLE-1 AUTOMATED'!O2625))</f>
        <v/>
      </c>
      <c r="R2625" s="41" t="str">
        <f>IF(Table1[[#This Row],[QUANTITY]]=0,"",Table1[[#This Row],[UNIT PRICE]]*Table1[[#This Row],[QUANTITY]])</f>
        <v/>
      </c>
      <c r="S2625" s="89"/>
      <c r="T2625" s="38"/>
      <c r="U2625" s="43"/>
      <c r="V2625" s="42" t="str">
        <f>IF(Table1[[#This Row],[DATE]]=0,"",YEAR(E2625))</f>
        <v/>
      </c>
      <c r="W2625" s="40" t="str">
        <f t="shared" si="84"/>
        <v/>
      </c>
      <c r="X2625" s="40" t="str">
        <f t="shared" si="85"/>
        <v/>
      </c>
      <c r="Y2625" s="40" t="str">
        <f>TEXT(Table1[[#This Row],[YEAR]],"0000")&amp;"-"&amp;Table1[[#This Row],[MONTH]]</f>
        <v>-</v>
      </c>
    </row>
    <row r="2626" spans="1:25" ht="15" customHeight="1" x14ac:dyDescent="0.35">
      <c r="A2626" s="24"/>
      <c r="B2626" s="38"/>
      <c r="C2626" s="38"/>
      <c r="D2626" s="38"/>
      <c r="E2626" s="37"/>
      <c r="F2626" s="38"/>
      <c r="G2626" s="198"/>
      <c r="H2626" s="198"/>
      <c r="I2626" s="39"/>
      <c r="J2626" s="38"/>
      <c r="K2626" s="198"/>
      <c r="L2626" s="38"/>
      <c r="M2626" s="38"/>
      <c r="N2626" s="38"/>
      <c r="O2626" s="38"/>
      <c r="P2626" s="40" t="str" cm="1">
        <f t="array" ref="P2626">IF(N2626="","",IFERROR(_xlfn.XLOOKUP(F2626&amp;"|"&amp;J2626&amp;"|"&amp;O2626,PRICES!$C$2:$C$659&amp;"|"&amp;PRICES!$B$2:$B$659&amp;"|"&amp;PRICES!$D$2:$D$659,PRICES!$E$2:$E$659),"Not Found"))</f>
        <v/>
      </c>
      <c r="Q2626" s="100" t="str">
        <f>IF(N2626=0,"",SUMIFS(PRICES!$G$2:$G$658,PRICES!$B$2:$B$658,'MAIN TABLE-1 AUTOMATED'!J2626,PRICES!$C$2:$C$658,'MAIN TABLE-1 AUTOMATED'!F2626,PRICES!$D$2:$D$658,'MAIN TABLE-1 AUTOMATED'!O2626))</f>
        <v/>
      </c>
      <c r="R2626" s="41" t="str">
        <f>IF(Table1[[#This Row],[QUANTITY]]=0,"",Table1[[#This Row],[UNIT PRICE]]*Table1[[#This Row],[QUANTITY]])</f>
        <v/>
      </c>
      <c r="S2626" s="89"/>
      <c r="T2626" s="38"/>
      <c r="U2626" s="43"/>
      <c r="V2626" s="42" t="str">
        <f>IF(Table1[[#This Row],[DATE]]=0,"",YEAR(E2626))</f>
        <v/>
      </c>
      <c r="W2626" s="40" t="str">
        <f t="shared" si="84"/>
        <v/>
      </c>
      <c r="X2626" s="40" t="str">
        <f t="shared" si="85"/>
        <v/>
      </c>
      <c r="Y2626" s="40" t="str">
        <f>TEXT(Table1[[#This Row],[YEAR]],"0000")&amp;"-"&amp;Table1[[#This Row],[MONTH]]</f>
        <v>-</v>
      </c>
    </row>
    <row r="2627" spans="1:25" ht="15" customHeight="1" x14ac:dyDescent="0.35">
      <c r="A2627" s="24"/>
      <c r="B2627" s="38"/>
      <c r="C2627" s="38"/>
      <c r="D2627" s="38"/>
      <c r="E2627" s="37"/>
      <c r="F2627" s="38"/>
      <c r="G2627" s="198"/>
      <c r="H2627" s="198"/>
      <c r="I2627" s="39"/>
      <c r="J2627" s="38"/>
      <c r="K2627" s="198"/>
      <c r="L2627" s="38"/>
      <c r="M2627" s="38"/>
      <c r="N2627" s="38"/>
      <c r="O2627" s="38"/>
      <c r="P2627" s="40" t="str" cm="1">
        <f t="array" ref="P2627">IF(N2627="","",IFERROR(_xlfn.XLOOKUP(F2627&amp;"|"&amp;J2627&amp;"|"&amp;O2627,PRICES!$C$2:$C$659&amp;"|"&amp;PRICES!$B$2:$B$659&amp;"|"&amp;PRICES!$D$2:$D$659,PRICES!$E$2:$E$659),"Not Found"))</f>
        <v/>
      </c>
      <c r="Q2627" s="100" t="str">
        <f>IF(N2627=0,"",SUMIFS(PRICES!$G$2:$G$658,PRICES!$B$2:$B$658,'MAIN TABLE-1 AUTOMATED'!J2627,PRICES!$C$2:$C$658,'MAIN TABLE-1 AUTOMATED'!F2627,PRICES!$D$2:$D$658,'MAIN TABLE-1 AUTOMATED'!O2627))</f>
        <v/>
      </c>
      <c r="R2627" s="41" t="str">
        <f>IF(Table1[[#This Row],[QUANTITY]]=0,"",Table1[[#This Row],[UNIT PRICE]]*Table1[[#This Row],[QUANTITY]])</f>
        <v/>
      </c>
      <c r="S2627" s="89"/>
      <c r="T2627" s="38"/>
      <c r="U2627" s="43"/>
      <c r="V2627" s="42" t="str">
        <f>IF(Table1[[#This Row],[DATE]]=0,"",YEAR(E2627))</f>
        <v/>
      </c>
      <c r="W2627" s="40" t="str">
        <f t="shared" ref="W2627:W2690" si="86">IF(E2627=0,"",MONTH(E2627))</f>
        <v/>
      </c>
      <c r="X2627" s="40" t="str">
        <f t="shared" ref="X2627:X2690" si="87">IF(E2627=0,"",WEEKNUM(E2627))</f>
        <v/>
      </c>
      <c r="Y2627" s="40" t="str">
        <f>TEXT(Table1[[#This Row],[YEAR]],"0000")&amp;"-"&amp;Table1[[#This Row],[MONTH]]</f>
        <v>-</v>
      </c>
    </row>
    <row r="2628" spans="1:25" ht="15" customHeight="1" x14ac:dyDescent="0.35">
      <c r="A2628" s="24"/>
      <c r="B2628" s="38"/>
      <c r="C2628" s="38"/>
      <c r="D2628" s="38"/>
      <c r="E2628" s="37"/>
      <c r="F2628" s="38"/>
      <c r="G2628" s="198"/>
      <c r="H2628" s="198"/>
      <c r="I2628" s="39"/>
      <c r="J2628" s="38"/>
      <c r="K2628" s="198"/>
      <c r="L2628" s="38"/>
      <c r="M2628" s="38"/>
      <c r="N2628" s="38"/>
      <c r="O2628" s="38"/>
      <c r="P2628" s="40" t="str" cm="1">
        <f t="array" ref="P2628">IF(N2628="","",IFERROR(_xlfn.XLOOKUP(F2628&amp;"|"&amp;J2628&amp;"|"&amp;O2628,PRICES!$C$2:$C$659&amp;"|"&amp;PRICES!$B$2:$B$659&amp;"|"&amp;PRICES!$D$2:$D$659,PRICES!$E$2:$E$659),"Not Found"))</f>
        <v/>
      </c>
      <c r="Q2628" s="100" t="str">
        <f>IF(N2628=0,"",SUMIFS(PRICES!$G$2:$G$658,PRICES!$B$2:$B$658,'MAIN TABLE-1 AUTOMATED'!J2628,PRICES!$C$2:$C$658,'MAIN TABLE-1 AUTOMATED'!F2628,PRICES!$D$2:$D$658,'MAIN TABLE-1 AUTOMATED'!O2628))</f>
        <v/>
      </c>
      <c r="R2628" s="41" t="str">
        <f>IF(Table1[[#This Row],[QUANTITY]]=0,"",Table1[[#This Row],[UNIT PRICE]]*Table1[[#This Row],[QUANTITY]])</f>
        <v/>
      </c>
      <c r="S2628" s="89"/>
      <c r="T2628" s="38"/>
      <c r="U2628" s="43"/>
      <c r="V2628" s="42" t="str">
        <f>IF(Table1[[#This Row],[DATE]]=0,"",YEAR(E2628))</f>
        <v/>
      </c>
      <c r="W2628" s="40" t="str">
        <f t="shared" si="86"/>
        <v/>
      </c>
      <c r="X2628" s="40" t="str">
        <f t="shared" si="87"/>
        <v/>
      </c>
      <c r="Y2628" s="40" t="str">
        <f>TEXT(Table1[[#This Row],[YEAR]],"0000")&amp;"-"&amp;Table1[[#This Row],[MONTH]]</f>
        <v>-</v>
      </c>
    </row>
    <row r="2629" spans="1:25" ht="15" customHeight="1" x14ac:dyDescent="0.35">
      <c r="A2629" s="24"/>
      <c r="B2629" s="38"/>
      <c r="C2629" s="38"/>
      <c r="D2629" s="38"/>
      <c r="E2629" s="37"/>
      <c r="F2629" s="38"/>
      <c r="G2629" s="198"/>
      <c r="H2629" s="198"/>
      <c r="I2629" s="39"/>
      <c r="J2629" s="38"/>
      <c r="K2629" s="198"/>
      <c r="L2629" s="38"/>
      <c r="M2629" s="38"/>
      <c r="N2629" s="38"/>
      <c r="O2629" s="38"/>
      <c r="P2629" s="40" t="str" cm="1">
        <f t="array" ref="P2629">IF(N2629="","",IFERROR(_xlfn.XLOOKUP(F2629&amp;"|"&amp;J2629&amp;"|"&amp;O2629,PRICES!$C$2:$C$659&amp;"|"&amp;PRICES!$B$2:$B$659&amp;"|"&amp;PRICES!$D$2:$D$659,PRICES!$E$2:$E$659),"Not Found"))</f>
        <v/>
      </c>
      <c r="Q2629" s="100" t="str">
        <f>IF(N2629=0,"",SUMIFS(PRICES!$G$2:$G$658,PRICES!$B$2:$B$658,'MAIN TABLE-1 AUTOMATED'!J2629,PRICES!$C$2:$C$658,'MAIN TABLE-1 AUTOMATED'!F2629,PRICES!$D$2:$D$658,'MAIN TABLE-1 AUTOMATED'!O2629))</f>
        <v/>
      </c>
      <c r="R2629" s="41" t="str">
        <f>IF(Table1[[#This Row],[QUANTITY]]=0,"",Table1[[#This Row],[UNIT PRICE]]*Table1[[#This Row],[QUANTITY]])</f>
        <v/>
      </c>
      <c r="S2629" s="89"/>
      <c r="T2629" s="38"/>
      <c r="U2629" s="43"/>
      <c r="V2629" s="42" t="str">
        <f>IF(Table1[[#This Row],[DATE]]=0,"",YEAR(E2629))</f>
        <v/>
      </c>
      <c r="W2629" s="40" t="str">
        <f t="shared" si="86"/>
        <v/>
      </c>
      <c r="X2629" s="40" t="str">
        <f t="shared" si="87"/>
        <v/>
      </c>
      <c r="Y2629" s="40" t="str">
        <f>TEXT(Table1[[#This Row],[YEAR]],"0000")&amp;"-"&amp;Table1[[#This Row],[MONTH]]</f>
        <v>-</v>
      </c>
    </row>
    <row r="2630" spans="1:25" ht="15" customHeight="1" x14ac:dyDescent="0.35">
      <c r="A2630" s="24"/>
      <c r="B2630" s="38"/>
      <c r="C2630" s="38"/>
      <c r="D2630" s="38"/>
      <c r="E2630" s="37"/>
      <c r="F2630" s="38"/>
      <c r="G2630" s="198"/>
      <c r="H2630" s="198"/>
      <c r="I2630" s="39"/>
      <c r="J2630" s="38"/>
      <c r="K2630" s="198"/>
      <c r="L2630" s="38"/>
      <c r="M2630" s="38"/>
      <c r="N2630" s="38"/>
      <c r="O2630" s="38"/>
      <c r="P2630" s="40" t="str" cm="1">
        <f t="array" ref="P2630">IF(N2630="","",IFERROR(_xlfn.XLOOKUP(F2630&amp;"|"&amp;J2630&amp;"|"&amp;O2630,PRICES!$C$2:$C$659&amp;"|"&amp;PRICES!$B$2:$B$659&amp;"|"&amp;PRICES!$D$2:$D$659,PRICES!$E$2:$E$659),"Not Found"))</f>
        <v/>
      </c>
      <c r="Q2630" s="100" t="str">
        <f>IF(N2630=0,"",SUMIFS(PRICES!$G$2:$G$658,PRICES!$B$2:$B$658,'MAIN TABLE-1 AUTOMATED'!J2630,PRICES!$C$2:$C$658,'MAIN TABLE-1 AUTOMATED'!F2630,PRICES!$D$2:$D$658,'MAIN TABLE-1 AUTOMATED'!O2630))</f>
        <v/>
      </c>
      <c r="R2630" s="41" t="str">
        <f>IF(Table1[[#This Row],[QUANTITY]]=0,"",Table1[[#This Row],[UNIT PRICE]]*Table1[[#This Row],[QUANTITY]])</f>
        <v/>
      </c>
      <c r="S2630" s="89"/>
      <c r="T2630" s="38"/>
      <c r="U2630" s="43"/>
      <c r="V2630" s="42" t="str">
        <f>IF(Table1[[#This Row],[DATE]]=0,"",YEAR(E2630))</f>
        <v/>
      </c>
      <c r="W2630" s="40" t="str">
        <f t="shared" si="86"/>
        <v/>
      </c>
      <c r="X2630" s="40" t="str">
        <f t="shared" si="87"/>
        <v/>
      </c>
      <c r="Y2630" s="40" t="str">
        <f>TEXT(Table1[[#This Row],[YEAR]],"0000")&amp;"-"&amp;Table1[[#This Row],[MONTH]]</f>
        <v>-</v>
      </c>
    </row>
    <row r="2631" spans="1:25" ht="15" customHeight="1" x14ac:dyDescent="0.35">
      <c r="A2631" s="24"/>
      <c r="B2631" s="38"/>
      <c r="C2631" s="38"/>
      <c r="D2631" s="38"/>
      <c r="E2631" s="37"/>
      <c r="F2631" s="38"/>
      <c r="G2631" s="198"/>
      <c r="H2631" s="198"/>
      <c r="I2631" s="39"/>
      <c r="J2631" s="38"/>
      <c r="K2631" s="198"/>
      <c r="L2631" s="38"/>
      <c r="M2631" s="38"/>
      <c r="N2631" s="38"/>
      <c r="O2631" s="38"/>
      <c r="P2631" s="40" t="str" cm="1">
        <f t="array" ref="P2631">IF(N2631="","",IFERROR(_xlfn.XLOOKUP(F2631&amp;"|"&amp;J2631&amp;"|"&amp;O2631,PRICES!$C$2:$C$659&amp;"|"&amp;PRICES!$B$2:$B$659&amp;"|"&amp;PRICES!$D$2:$D$659,PRICES!$E$2:$E$659),"Not Found"))</f>
        <v/>
      </c>
      <c r="Q2631" s="100" t="str">
        <f>IF(N2631=0,"",SUMIFS(PRICES!$G$2:$G$658,PRICES!$B$2:$B$658,'MAIN TABLE-1 AUTOMATED'!J2631,PRICES!$C$2:$C$658,'MAIN TABLE-1 AUTOMATED'!F2631,PRICES!$D$2:$D$658,'MAIN TABLE-1 AUTOMATED'!O2631))</f>
        <v/>
      </c>
      <c r="R2631" s="41" t="str">
        <f>IF(Table1[[#This Row],[QUANTITY]]=0,"",Table1[[#This Row],[UNIT PRICE]]*Table1[[#This Row],[QUANTITY]])</f>
        <v/>
      </c>
      <c r="S2631" s="89"/>
      <c r="T2631" s="38"/>
      <c r="U2631" s="43"/>
      <c r="V2631" s="42" t="str">
        <f>IF(Table1[[#This Row],[DATE]]=0,"",YEAR(E2631))</f>
        <v/>
      </c>
      <c r="W2631" s="40" t="str">
        <f t="shared" si="86"/>
        <v/>
      </c>
      <c r="X2631" s="40" t="str">
        <f t="shared" si="87"/>
        <v/>
      </c>
      <c r="Y2631" s="40" t="str">
        <f>TEXT(Table1[[#This Row],[YEAR]],"0000")&amp;"-"&amp;Table1[[#This Row],[MONTH]]</f>
        <v>-</v>
      </c>
    </row>
    <row r="2632" spans="1:25" ht="15" customHeight="1" x14ac:dyDescent="0.35">
      <c r="A2632" s="24"/>
      <c r="B2632" s="38"/>
      <c r="C2632" s="38"/>
      <c r="D2632" s="38"/>
      <c r="E2632" s="37"/>
      <c r="F2632" s="38"/>
      <c r="G2632" s="198"/>
      <c r="H2632" s="198"/>
      <c r="I2632" s="39"/>
      <c r="J2632" s="38"/>
      <c r="K2632" s="198"/>
      <c r="L2632" s="38"/>
      <c r="M2632" s="38"/>
      <c r="N2632" s="38"/>
      <c r="O2632" s="38"/>
      <c r="P2632" s="40" t="str" cm="1">
        <f t="array" ref="P2632">IF(N2632="","",IFERROR(_xlfn.XLOOKUP(F2632&amp;"|"&amp;J2632&amp;"|"&amp;O2632,PRICES!$C$2:$C$659&amp;"|"&amp;PRICES!$B$2:$B$659&amp;"|"&amp;PRICES!$D$2:$D$659,PRICES!$E$2:$E$659),"Not Found"))</f>
        <v/>
      </c>
      <c r="Q2632" s="100" t="str">
        <f>IF(N2632=0,"",SUMIFS(PRICES!$G$2:$G$658,PRICES!$B$2:$B$658,'MAIN TABLE-1 AUTOMATED'!J2632,PRICES!$C$2:$C$658,'MAIN TABLE-1 AUTOMATED'!F2632,PRICES!$D$2:$D$658,'MAIN TABLE-1 AUTOMATED'!O2632))</f>
        <v/>
      </c>
      <c r="R2632" s="41" t="str">
        <f>IF(Table1[[#This Row],[QUANTITY]]=0,"",Table1[[#This Row],[UNIT PRICE]]*Table1[[#This Row],[QUANTITY]])</f>
        <v/>
      </c>
      <c r="S2632" s="89"/>
      <c r="T2632" s="38"/>
      <c r="U2632" s="43"/>
      <c r="V2632" s="42" t="str">
        <f>IF(Table1[[#This Row],[DATE]]=0,"",YEAR(E2632))</f>
        <v/>
      </c>
      <c r="W2632" s="40" t="str">
        <f t="shared" si="86"/>
        <v/>
      </c>
      <c r="X2632" s="40" t="str">
        <f t="shared" si="87"/>
        <v/>
      </c>
      <c r="Y2632" s="40" t="str">
        <f>TEXT(Table1[[#This Row],[YEAR]],"0000")&amp;"-"&amp;Table1[[#This Row],[MONTH]]</f>
        <v>-</v>
      </c>
    </row>
    <row r="2633" spans="1:25" ht="15" customHeight="1" x14ac:dyDescent="0.35">
      <c r="A2633" s="24"/>
      <c r="B2633" s="38"/>
      <c r="C2633" s="38"/>
      <c r="D2633" s="38"/>
      <c r="E2633" s="37"/>
      <c r="F2633" s="38"/>
      <c r="G2633" s="198"/>
      <c r="H2633" s="198"/>
      <c r="I2633" s="39"/>
      <c r="J2633" s="38"/>
      <c r="K2633" s="198"/>
      <c r="L2633" s="38"/>
      <c r="M2633" s="38"/>
      <c r="N2633" s="38"/>
      <c r="O2633" s="38"/>
      <c r="P2633" s="40" t="str" cm="1">
        <f t="array" ref="P2633">IF(N2633="","",IFERROR(_xlfn.XLOOKUP(F2633&amp;"|"&amp;J2633&amp;"|"&amp;O2633,PRICES!$C$2:$C$659&amp;"|"&amp;PRICES!$B$2:$B$659&amp;"|"&amp;PRICES!$D$2:$D$659,PRICES!$E$2:$E$659),"Not Found"))</f>
        <v/>
      </c>
      <c r="Q2633" s="100" t="str">
        <f>IF(N2633=0,"",SUMIFS(PRICES!$G$2:$G$658,PRICES!$B$2:$B$658,'MAIN TABLE-1 AUTOMATED'!J2633,PRICES!$C$2:$C$658,'MAIN TABLE-1 AUTOMATED'!F2633,PRICES!$D$2:$D$658,'MAIN TABLE-1 AUTOMATED'!O2633))</f>
        <v/>
      </c>
      <c r="R2633" s="41" t="str">
        <f>IF(Table1[[#This Row],[QUANTITY]]=0,"",Table1[[#This Row],[UNIT PRICE]]*Table1[[#This Row],[QUANTITY]])</f>
        <v/>
      </c>
      <c r="S2633" s="89"/>
      <c r="T2633" s="38"/>
      <c r="U2633" s="43"/>
      <c r="V2633" s="42" t="str">
        <f>IF(Table1[[#This Row],[DATE]]=0,"",YEAR(E2633))</f>
        <v/>
      </c>
      <c r="W2633" s="40" t="str">
        <f t="shared" si="86"/>
        <v/>
      </c>
      <c r="X2633" s="40" t="str">
        <f t="shared" si="87"/>
        <v/>
      </c>
      <c r="Y2633" s="40" t="str">
        <f>TEXT(Table1[[#This Row],[YEAR]],"0000")&amp;"-"&amp;Table1[[#This Row],[MONTH]]</f>
        <v>-</v>
      </c>
    </row>
    <row r="2634" spans="1:25" ht="15" customHeight="1" x14ac:dyDescent="0.35">
      <c r="A2634" s="24"/>
      <c r="B2634" s="38"/>
      <c r="C2634" s="38"/>
      <c r="D2634" s="38"/>
      <c r="E2634" s="37"/>
      <c r="F2634" s="38"/>
      <c r="G2634" s="198"/>
      <c r="H2634" s="198"/>
      <c r="I2634" s="39"/>
      <c r="J2634" s="38"/>
      <c r="K2634" s="198"/>
      <c r="L2634" s="38"/>
      <c r="M2634" s="38"/>
      <c r="N2634" s="38"/>
      <c r="O2634" s="38"/>
      <c r="P2634" s="40" t="str" cm="1">
        <f t="array" ref="P2634">IF(N2634="","",IFERROR(_xlfn.XLOOKUP(F2634&amp;"|"&amp;J2634&amp;"|"&amp;O2634,PRICES!$C$2:$C$659&amp;"|"&amp;PRICES!$B$2:$B$659&amp;"|"&amp;PRICES!$D$2:$D$659,PRICES!$E$2:$E$659),"Not Found"))</f>
        <v/>
      </c>
      <c r="Q2634" s="100" t="str">
        <f>IF(N2634=0,"",SUMIFS(PRICES!$G$2:$G$658,PRICES!$B$2:$B$658,'MAIN TABLE-1 AUTOMATED'!J2634,PRICES!$C$2:$C$658,'MAIN TABLE-1 AUTOMATED'!F2634,PRICES!$D$2:$D$658,'MAIN TABLE-1 AUTOMATED'!O2634))</f>
        <v/>
      </c>
      <c r="R2634" s="41" t="str">
        <f>IF(Table1[[#This Row],[QUANTITY]]=0,"",Table1[[#This Row],[UNIT PRICE]]*Table1[[#This Row],[QUANTITY]])</f>
        <v/>
      </c>
      <c r="S2634" s="89"/>
      <c r="T2634" s="38"/>
      <c r="U2634" s="43"/>
      <c r="V2634" s="42" t="str">
        <f>IF(Table1[[#This Row],[DATE]]=0,"",YEAR(E2634))</f>
        <v/>
      </c>
      <c r="W2634" s="40" t="str">
        <f t="shared" si="86"/>
        <v/>
      </c>
      <c r="X2634" s="40" t="str">
        <f t="shared" si="87"/>
        <v/>
      </c>
      <c r="Y2634" s="40" t="str">
        <f>TEXT(Table1[[#This Row],[YEAR]],"0000")&amp;"-"&amp;Table1[[#This Row],[MONTH]]</f>
        <v>-</v>
      </c>
    </row>
    <row r="2635" spans="1:25" ht="15" customHeight="1" x14ac:dyDescent="0.35">
      <c r="A2635" s="24"/>
      <c r="B2635" s="38"/>
      <c r="C2635" s="38"/>
      <c r="D2635" s="38"/>
      <c r="E2635" s="37"/>
      <c r="F2635" s="38"/>
      <c r="G2635" s="198"/>
      <c r="H2635" s="198"/>
      <c r="I2635" s="39"/>
      <c r="J2635" s="38"/>
      <c r="K2635" s="198"/>
      <c r="L2635" s="38"/>
      <c r="M2635" s="38"/>
      <c r="N2635" s="38"/>
      <c r="O2635" s="38"/>
      <c r="P2635" s="40" t="str" cm="1">
        <f t="array" ref="P2635">IF(N2635="","",IFERROR(_xlfn.XLOOKUP(F2635&amp;"|"&amp;J2635&amp;"|"&amp;O2635,PRICES!$C$2:$C$659&amp;"|"&amp;PRICES!$B$2:$B$659&amp;"|"&amp;PRICES!$D$2:$D$659,PRICES!$E$2:$E$659),"Not Found"))</f>
        <v/>
      </c>
      <c r="Q2635" s="100" t="str">
        <f>IF(N2635=0,"",SUMIFS(PRICES!$G$2:$G$658,PRICES!$B$2:$B$658,'MAIN TABLE-1 AUTOMATED'!J2635,PRICES!$C$2:$C$658,'MAIN TABLE-1 AUTOMATED'!F2635,PRICES!$D$2:$D$658,'MAIN TABLE-1 AUTOMATED'!O2635))</f>
        <v/>
      </c>
      <c r="R2635" s="41" t="str">
        <f>IF(Table1[[#This Row],[QUANTITY]]=0,"",Table1[[#This Row],[UNIT PRICE]]*Table1[[#This Row],[QUANTITY]])</f>
        <v/>
      </c>
      <c r="S2635" s="89"/>
      <c r="T2635" s="38"/>
      <c r="U2635" s="43"/>
      <c r="V2635" s="42" t="str">
        <f>IF(Table1[[#This Row],[DATE]]=0,"",YEAR(E2635))</f>
        <v/>
      </c>
      <c r="W2635" s="40" t="str">
        <f t="shared" si="86"/>
        <v/>
      </c>
      <c r="X2635" s="40" t="str">
        <f t="shared" si="87"/>
        <v/>
      </c>
      <c r="Y2635" s="40" t="str">
        <f>TEXT(Table1[[#This Row],[YEAR]],"0000")&amp;"-"&amp;Table1[[#This Row],[MONTH]]</f>
        <v>-</v>
      </c>
    </row>
    <row r="2636" spans="1:25" ht="15" customHeight="1" x14ac:dyDescent="0.35">
      <c r="A2636" s="24"/>
      <c r="B2636" s="38"/>
      <c r="C2636" s="38"/>
      <c r="D2636" s="38"/>
      <c r="E2636" s="37"/>
      <c r="F2636" s="38"/>
      <c r="G2636" s="198"/>
      <c r="H2636" s="198"/>
      <c r="I2636" s="39"/>
      <c r="J2636" s="38"/>
      <c r="K2636" s="198"/>
      <c r="L2636" s="38"/>
      <c r="M2636" s="38"/>
      <c r="N2636" s="38"/>
      <c r="O2636" s="38"/>
      <c r="P2636" s="40" t="str" cm="1">
        <f t="array" ref="P2636">IF(N2636="","",IFERROR(_xlfn.XLOOKUP(F2636&amp;"|"&amp;J2636&amp;"|"&amp;O2636,PRICES!$C$2:$C$659&amp;"|"&amp;PRICES!$B$2:$B$659&amp;"|"&amp;PRICES!$D$2:$D$659,PRICES!$E$2:$E$659),"Not Found"))</f>
        <v/>
      </c>
      <c r="Q2636" s="100" t="str">
        <f>IF(N2636=0,"",SUMIFS(PRICES!$G$2:$G$658,PRICES!$B$2:$B$658,'MAIN TABLE-1 AUTOMATED'!J2636,PRICES!$C$2:$C$658,'MAIN TABLE-1 AUTOMATED'!F2636,PRICES!$D$2:$D$658,'MAIN TABLE-1 AUTOMATED'!O2636))</f>
        <v/>
      </c>
      <c r="R2636" s="41" t="str">
        <f>IF(Table1[[#This Row],[QUANTITY]]=0,"",Table1[[#This Row],[UNIT PRICE]]*Table1[[#This Row],[QUANTITY]])</f>
        <v/>
      </c>
      <c r="S2636" s="89"/>
      <c r="T2636" s="38"/>
      <c r="U2636" s="43"/>
      <c r="V2636" s="42" t="str">
        <f>IF(Table1[[#This Row],[DATE]]=0,"",YEAR(E2636))</f>
        <v/>
      </c>
      <c r="W2636" s="40" t="str">
        <f t="shared" si="86"/>
        <v/>
      </c>
      <c r="X2636" s="40" t="str">
        <f t="shared" si="87"/>
        <v/>
      </c>
      <c r="Y2636" s="40" t="str">
        <f>TEXT(Table1[[#This Row],[YEAR]],"0000")&amp;"-"&amp;Table1[[#This Row],[MONTH]]</f>
        <v>-</v>
      </c>
    </row>
    <row r="2637" spans="1:25" ht="15" customHeight="1" x14ac:dyDescent="0.35">
      <c r="A2637" s="24"/>
      <c r="B2637" s="38"/>
      <c r="C2637" s="38"/>
      <c r="D2637" s="38"/>
      <c r="E2637" s="37"/>
      <c r="F2637" s="38"/>
      <c r="G2637" s="198"/>
      <c r="H2637" s="198"/>
      <c r="I2637" s="39"/>
      <c r="J2637" s="38"/>
      <c r="K2637" s="198"/>
      <c r="L2637" s="38"/>
      <c r="M2637" s="38"/>
      <c r="N2637" s="38"/>
      <c r="O2637" s="38"/>
      <c r="P2637" s="40" t="str" cm="1">
        <f t="array" ref="P2637">IF(N2637="","",IFERROR(_xlfn.XLOOKUP(F2637&amp;"|"&amp;J2637&amp;"|"&amp;O2637,PRICES!$C$2:$C$659&amp;"|"&amp;PRICES!$B$2:$B$659&amp;"|"&amp;PRICES!$D$2:$D$659,PRICES!$E$2:$E$659),"Not Found"))</f>
        <v/>
      </c>
      <c r="Q2637" s="100" t="str">
        <f>IF(N2637=0,"",SUMIFS(PRICES!$G$2:$G$658,PRICES!$B$2:$B$658,'MAIN TABLE-1 AUTOMATED'!J2637,PRICES!$C$2:$C$658,'MAIN TABLE-1 AUTOMATED'!F2637,PRICES!$D$2:$D$658,'MAIN TABLE-1 AUTOMATED'!O2637))</f>
        <v/>
      </c>
      <c r="R2637" s="41" t="str">
        <f>IF(Table1[[#This Row],[QUANTITY]]=0,"",Table1[[#This Row],[UNIT PRICE]]*Table1[[#This Row],[QUANTITY]])</f>
        <v/>
      </c>
      <c r="S2637" s="89"/>
      <c r="T2637" s="38"/>
      <c r="U2637" s="43"/>
      <c r="V2637" s="42" t="str">
        <f>IF(Table1[[#This Row],[DATE]]=0,"",YEAR(E2637))</f>
        <v/>
      </c>
      <c r="W2637" s="40" t="str">
        <f t="shared" si="86"/>
        <v/>
      </c>
      <c r="X2637" s="40" t="str">
        <f t="shared" si="87"/>
        <v/>
      </c>
      <c r="Y2637" s="40" t="str">
        <f>TEXT(Table1[[#This Row],[YEAR]],"0000")&amp;"-"&amp;Table1[[#This Row],[MONTH]]</f>
        <v>-</v>
      </c>
    </row>
    <row r="2638" spans="1:25" ht="15" customHeight="1" x14ac:dyDescent="0.35">
      <c r="A2638" s="24"/>
      <c r="B2638" s="38"/>
      <c r="C2638" s="38"/>
      <c r="D2638" s="38"/>
      <c r="E2638" s="37"/>
      <c r="F2638" s="38"/>
      <c r="G2638" s="198"/>
      <c r="H2638" s="198"/>
      <c r="I2638" s="39"/>
      <c r="J2638" s="38"/>
      <c r="K2638" s="198"/>
      <c r="L2638" s="38"/>
      <c r="M2638" s="38"/>
      <c r="N2638" s="38"/>
      <c r="O2638" s="38"/>
      <c r="P2638" s="40" t="str" cm="1">
        <f t="array" ref="P2638">IF(N2638="","",IFERROR(_xlfn.XLOOKUP(F2638&amp;"|"&amp;J2638&amp;"|"&amp;O2638,PRICES!$C$2:$C$659&amp;"|"&amp;PRICES!$B$2:$B$659&amp;"|"&amp;PRICES!$D$2:$D$659,PRICES!$E$2:$E$659),"Not Found"))</f>
        <v/>
      </c>
      <c r="Q2638" s="100" t="str">
        <f>IF(N2638=0,"",SUMIFS(PRICES!$G$2:$G$658,PRICES!$B$2:$B$658,'MAIN TABLE-1 AUTOMATED'!J2638,PRICES!$C$2:$C$658,'MAIN TABLE-1 AUTOMATED'!F2638,PRICES!$D$2:$D$658,'MAIN TABLE-1 AUTOMATED'!O2638))</f>
        <v/>
      </c>
      <c r="R2638" s="41" t="str">
        <f>IF(Table1[[#This Row],[QUANTITY]]=0,"",Table1[[#This Row],[UNIT PRICE]]*Table1[[#This Row],[QUANTITY]])</f>
        <v/>
      </c>
      <c r="S2638" s="89"/>
      <c r="T2638" s="38"/>
      <c r="U2638" s="43"/>
      <c r="V2638" s="42" t="str">
        <f>IF(Table1[[#This Row],[DATE]]=0,"",YEAR(E2638))</f>
        <v/>
      </c>
      <c r="W2638" s="40" t="str">
        <f t="shared" si="86"/>
        <v/>
      </c>
      <c r="X2638" s="40" t="str">
        <f t="shared" si="87"/>
        <v/>
      </c>
      <c r="Y2638" s="40" t="str">
        <f>TEXT(Table1[[#This Row],[YEAR]],"0000")&amp;"-"&amp;Table1[[#This Row],[MONTH]]</f>
        <v>-</v>
      </c>
    </row>
    <row r="2639" spans="1:25" ht="15" customHeight="1" x14ac:dyDescent="0.35">
      <c r="A2639" s="24"/>
      <c r="B2639" s="38"/>
      <c r="C2639" s="38"/>
      <c r="D2639" s="38"/>
      <c r="E2639" s="37"/>
      <c r="F2639" s="38"/>
      <c r="G2639" s="198"/>
      <c r="H2639" s="198"/>
      <c r="I2639" s="39"/>
      <c r="J2639" s="38"/>
      <c r="K2639" s="198"/>
      <c r="L2639" s="38"/>
      <c r="M2639" s="38"/>
      <c r="N2639" s="38"/>
      <c r="O2639" s="38"/>
      <c r="P2639" s="40" t="str" cm="1">
        <f t="array" ref="P2639">IF(N2639="","",IFERROR(_xlfn.XLOOKUP(F2639&amp;"|"&amp;J2639&amp;"|"&amp;O2639,PRICES!$C$2:$C$659&amp;"|"&amp;PRICES!$B$2:$B$659&amp;"|"&amp;PRICES!$D$2:$D$659,PRICES!$E$2:$E$659),"Not Found"))</f>
        <v/>
      </c>
      <c r="Q2639" s="100" t="str">
        <f>IF(N2639=0,"",SUMIFS(PRICES!$G$2:$G$658,PRICES!$B$2:$B$658,'MAIN TABLE-1 AUTOMATED'!J2639,PRICES!$C$2:$C$658,'MAIN TABLE-1 AUTOMATED'!F2639,PRICES!$D$2:$D$658,'MAIN TABLE-1 AUTOMATED'!O2639))</f>
        <v/>
      </c>
      <c r="R2639" s="41" t="str">
        <f>IF(Table1[[#This Row],[QUANTITY]]=0,"",Table1[[#This Row],[UNIT PRICE]]*Table1[[#This Row],[QUANTITY]])</f>
        <v/>
      </c>
      <c r="S2639" s="89"/>
      <c r="T2639" s="38"/>
      <c r="U2639" s="43"/>
      <c r="V2639" s="42" t="str">
        <f>IF(Table1[[#This Row],[DATE]]=0,"",YEAR(E2639))</f>
        <v/>
      </c>
      <c r="W2639" s="40" t="str">
        <f t="shared" si="86"/>
        <v/>
      </c>
      <c r="X2639" s="40" t="str">
        <f t="shared" si="87"/>
        <v/>
      </c>
      <c r="Y2639" s="40" t="str">
        <f>TEXT(Table1[[#This Row],[YEAR]],"0000")&amp;"-"&amp;Table1[[#This Row],[MONTH]]</f>
        <v>-</v>
      </c>
    </row>
    <row r="2640" spans="1:25" ht="15" customHeight="1" x14ac:dyDescent="0.35">
      <c r="A2640" s="24"/>
      <c r="B2640" s="38"/>
      <c r="C2640" s="38"/>
      <c r="D2640" s="38"/>
      <c r="E2640" s="37"/>
      <c r="F2640" s="38"/>
      <c r="G2640" s="198"/>
      <c r="H2640" s="198"/>
      <c r="I2640" s="39"/>
      <c r="J2640" s="38"/>
      <c r="K2640" s="198"/>
      <c r="L2640" s="38"/>
      <c r="M2640" s="38"/>
      <c r="N2640" s="38"/>
      <c r="O2640" s="38"/>
      <c r="P2640" s="40" t="str" cm="1">
        <f t="array" ref="P2640">IF(N2640="","",IFERROR(_xlfn.XLOOKUP(F2640&amp;"|"&amp;J2640&amp;"|"&amp;O2640,PRICES!$C$2:$C$659&amp;"|"&amp;PRICES!$B$2:$B$659&amp;"|"&amp;PRICES!$D$2:$D$659,PRICES!$E$2:$E$659),"Not Found"))</f>
        <v/>
      </c>
      <c r="Q2640" s="100" t="str">
        <f>IF(N2640=0,"",SUMIFS(PRICES!$G$2:$G$658,PRICES!$B$2:$B$658,'MAIN TABLE-1 AUTOMATED'!J2640,PRICES!$C$2:$C$658,'MAIN TABLE-1 AUTOMATED'!F2640,PRICES!$D$2:$D$658,'MAIN TABLE-1 AUTOMATED'!O2640))</f>
        <v/>
      </c>
      <c r="R2640" s="41" t="str">
        <f>IF(Table1[[#This Row],[QUANTITY]]=0,"",Table1[[#This Row],[UNIT PRICE]]*Table1[[#This Row],[QUANTITY]])</f>
        <v/>
      </c>
      <c r="S2640" s="89"/>
      <c r="T2640" s="38"/>
      <c r="U2640" s="43"/>
      <c r="V2640" s="42" t="str">
        <f>IF(Table1[[#This Row],[DATE]]=0,"",YEAR(E2640))</f>
        <v/>
      </c>
      <c r="W2640" s="40" t="str">
        <f t="shared" si="86"/>
        <v/>
      </c>
      <c r="X2640" s="40" t="str">
        <f t="shared" si="87"/>
        <v/>
      </c>
      <c r="Y2640" s="40" t="str">
        <f>TEXT(Table1[[#This Row],[YEAR]],"0000")&amp;"-"&amp;Table1[[#This Row],[MONTH]]</f>
        <v>-</v>
      </c>
    </row>
    <row r="2641" spans="1:25" ht="15" customHeight="1" x14ac:dyDescent="0.35">
      <c r="A2641" s="24"/>
      <c r="B2641" s="38"/>
      <c r="C2641" s="38"/>
      <c r="D2641" s="38"/>
      <c r="E2641" s="37"/>
      <c r="F2641" s="38"/>
      <c r="G2641" s="198"/>
      <c r="H2641" s="198"/>
      <c r="I2641" s="39"/>
      <c r="J2641" s="38"/>
      <c r="K2641" s="198"/>
      <c r="L2641" s="38"/>
      <c r="M2641" s="38"/>
      <c r="N2641" s="38"/>
      <c r="O2641" s="38"/>
      <c r="P2641" s="40" t="str" cm="1">
        <f t="array" ref="P2641">IF(N2641="","",IFERROR(_xlfn.XLOOKUP(F2641&amp;"|"&amp;J2641&amp;"|"&amp;O2641,PRICES!$C$2:$C$659&amp;"|"&amp;PRICES!$B$2:$B$659&amp;"|"&amp;PRICES!$D$2:$D$659,PRICES!$E$2:$E$659),"Not Found"))</f>
        <v/>
      </c>
      <c r="Q2641" s="100" t="str">
        <f>IF(N2641=0,"",SUMIFS(PRICES!$G$2:$G$658,PRICES!$B$2:$B$658,'MAIN TABLE-1 AUTOMATED'!J2641,PRICES!$C$2:$C$658,'MAIN TABLE-1 AUTOMATED'!F2641,PRICES!$D$2:$D$658,'MAIN TABLE-1 AUTOMATED'!O2641))</f>
        <v/>
      </c>
      <c r="R2641" s="41" t="str">
        <f>IF(Table1[[#This Row],[QUANTITY]]=0,"",Table1[[#This Row],[UNIT PRICE]]*Table1[[#This Row],[QUANTITY]])</f>
        <v/>
      </c>
      <c r="S2641" s="89"/>
      <c r="T2641" s="38"/>
      <c r="U2641" s="43"/>
      <c r="V2641" s="42" t="str">
        <f>IF(Table1[[#This Row],[DATE]]=0,"",YEAR(E2641))</f>
        <v/>
      </c>
      <c r="W2641" s="40" t="str">
        <f t="shared" si="86"/>
        <v/>
      </c>
      <c r="X2641" s="40" t="str">
        <f t="shared" si="87"/>
        <v/>
      </c>
      <c r="Y2641" s="40" t="str">
        <f>TEXT(Table1[[#This Row],[YEAR]],"0000")&amp;"-"&amp;Table1[[#This Row],[MONTH]]</f>
        <v>-</v>
      </c>
    </row>
    <row r="2642" spans="1:25" ht="15" customHeight="1" x14ac:dyDescent="0.35">
      <c r="A2642" s="24"/>
      <c r="B2642" s="38"/>
      <c r="C2642" s="38"/>
      <c r="D2642" s="38"/>
      <c r="E2642" s="37"/>
      <c r="F2642" s="38"/>
      <c r="G2642" s="198"/>
      <c r="H2642" s="198"/>
      <c r="I2642" s="39"/>
      <c r="J2642" s="38"/>
      <c r="K2642" s="198"/>
      <c r="L2642" s="38"/>
      <c r="M2642" s="38"/>
      <c r="N2642" s="38"/>
      <c r="O2642" s="38"/>
      <c r="P2642" s="40" t="str" cm="1">
        <f t="array" ref="P2642">IF(N2642="","",IFERROR(_xlfn.XLOOKUP(F2642&amp;"|"&amp;J2642&amp;"|"&amp;O2642,PRICES!$C$2:$C$659&amp;"|"&amp;PRICES!$B$2:$B$659&amp;"|"&amp;PRICES!$D$2:$D$659,PRICES!$E$2:$E$659),"Not Found"))</f>
        <v/>
      </c>
      <c r="Q2642" s="100" t="str">
        <f>IF(N2642=0,"",SUMIFS(PRICES!$G$2:$G$658,PRICES!$B$2:$B$658,'MAIN TABLE-1 AUTOMATED'!J2642,PRICES!$C$2:$C$658,'MAIN TABLE-1 AUTOMATED'!F2642,PRICES!$D$2:$D$658,'MAIN TABLE-1 AUTOMATED'!O2642))</f>
        <v/>
      </c>
      <c r="R2642" s="41" t="str">
        <f>IF(Table1[[#This Row],[QUANTITY]]=0,"",Table1[[#This Row],[UNIT PRICE]]*Table1[[#This Row],[QUANTITY]])</f>
        <v/>
      </c>
      <c r="S2642" s="89"/>
      <c r="T2642" s="38"/>
      <c r="U2642" s="43"/>
      <c r="V2642" s="42" t="str">
        <f>IF(Table1[[#This Row],[DATE]]=0,"",YEAR(E2642))</f>
        <v/>
      </c>
      <c r="W2642" s="40" t="str">
        <f t="shared" si="86"/>
        <v/>
      </c>
      <c r="X2642" s="40" t="str">
        <f t="shared" si="87"/>
        <v/>
      </c>
      <c r="Y2642" s="40" t="str">
        <f>TEXT(Table1[[#This Row],[YEAR]],"0000")&amp;"-"&amp;Table1[[#This Row],[MONTH]]</f>
        <v>-</v>
      </c>
    </row>
    <row r="2643" spans="1:25" ht="15" customHeight="1" x14ac:dyDescent="0.35">
      <c r="A2643" s="24"/>
      <c r="B2643" s="38"/>
      <c r="C2643" s="38"/>
      <c r="D2643" s="38"/>
      <c r="E2643" s="37"/>
      <c r="F2643" s="38"/>
      <c r="G2643" s="198"/>
      <c r="H2643" s="198"/>
      <c r="I2643" s="39"/>
      <c r="J2643" s="38"/>
      <c r="K2643" s="198"/>
      <c r="L2643" s="38"/>
      <c r="M2643" s="38"/>
      <c r="N2643" s="38"/>
      <c r="O2643" s="38"/>
      <c r="P2643" s="40" t="str" cm="1">
        <f t="array" ref="P2643">IF(N2643="","",IFERROR(_xlfn.XLOOKUP(F2643&amp;"|"&amp;J2643&amp;"|"&amp;O2643,PRICES!$C$2:$C$659&amp;"|"&amp;PRICES!$B$2:$B$659&amp;"|"&amp;PRICES!$D$2:$D$659,PRICES!$E$2:$E$659),"Not Found"))</f>
        <v/>
      </c>
      <c r="Q2643" s="100" t="str">
        <f>IF(N2643=0,"",SUMIFS(PRICES!$G$2:$G$658,PRICES!$B$2:$B$658,'MAIN TABLE-1 AUTOMATED'!J2643,PRICES!$C$2:$C$658,'MAIN TABLE-1 AUTOMATED'!F2643,PRICES!$D$2:$D$658,'MAIN TABLE-1 AUTOMATED'!O2643))</f>
        <v/>
      </c>
      <c r="R2643" s="41" t="str">
        <f>IF(Table1[[#This Row],[QUANTITY]]=0,"",Table1[[#This Row],[UNIT PRICE]]*Table1[[#This Row],[QUANTITY]])</f>
        <v/>
      </c>
      <c r="S2643" s="89"/>
      <c r="T2643" s="38"/>
      <c r="U2643" s="43"/>
      <c r="V2643" s="42" t="str">
        <f>IF(Table1[[#This Row],[DATE]]=0,"",YEAR(E2643))</f>
        <v/>
      </c>
      <c r="W2643" s="40" t="str">
        <f t="shared" si="86"/>
        <v/>
      </c>
      <c r="X2643" s="40" t="str">
        <f t="shared" si="87"/>
        <v/>
      </c>
      <c r="Y2643" s="40" t="str">
        <f>TEXT(Table1[[#This Row],[YEAR]],"0000")&amp;"-"&amp;Table1[[#This Row],[MONTH]]</f>
        <v>-</v>
      </c>
    </row>
    <row r="2644" spans="1:25" ht="15" customHeight="1" x14ac:dyDescent="0.35">
      <c r="A2644" s="24"/>
      <c r="B2644" s="38"/>
      <c r="C2644" s="38"/>
      <c r="D2644" s="38"/>
      <c r="E2644" s="37"/>
      <c r="F2644" s="38"/>
      <c r="G2644" s="198"/>
      <c r="H2644" s="198"/>
      <c r="I2644" s="39"/>
      <c r="J2644" s="38"/>
      <c r="K2644" s="198"/>
      <c r="L2644" s="38"/>
      <c r="M2644" s="38"/>
      <c r="N2644" s="38"/>
      <c r="O2644" s="38"/>
      <c r="P2644" s="40" t="str" cm="1">
        <f t="array" ref="P2644">IF(N2644="","",IFERROR(_xlfn.XLOOKUP(F2644&amp;"|"&amp;J2644&amp;"|"&amp;O2644,PRICES!$C$2:$C$659&amp;"|"&amp;PRICES!$B$2:$B$659&amp;"|"&amp;PRICES!$D$2:$D$659,PRICES!$E$2:$E$659),"Not Found"))</f>
        <v/>
      </c>
      <c r="Q2644" s="100" t="str">
        <f>IF(N2644=0,"",SUMIFS(PRICES!$G$2:$G$658,PRICES!$B$2:$B$658,'MAIN TABLE-1 AUTOMATED'!J2644,PRICES!$C$2:$C$658,'MAIN TABLE-1 AUTOMATED'!F2644,PRICES!$D$2:$D$658,'MAIN TABLE-1 AUTOMATED'!O2644))</f>
        <v/>
      </c>
      <c r="R2644" s="41" t="str">
        <f>IF(Table1[[#This Row],[QUANTITY]]=0,"",Table1[[#This Row],[UNIT PRICE]]*Table1[[#This Row],[QUANTITY]])</f>
        <v/>
      </c>
      <c r="S2644" s="89"/>
      <c r="T2644" s="38"/>
      <c r="U2644" s="43"/>
      <c r="V2644" s="42" t="str">
        <f>IF(Table1[[#This Row],[DATE]]=0,"",YEAR(E2644))</f>
        <v/>
      </c>
      <c r="W2644" s="40" t="str">
        <f t="shared" si="86"/>
        <v/>
      </c>
      <c r="X2644" s="40" t="str">
        <f t="shared" si="87"/>
        <v/>
      </c>
      <c r="Y2644" s="40" t="str">
        <f>TEXT(Table1[[#This Row],[YEAR]],"0000")&amp;"-"&amp;Table1[[#This Row],[MONTH]]</f>
        <v>-</v>
      </c>
    </row>
    <row r="2645" spans="1:25" ht="15" customHeight="1" x14ac:dyDescent="0.35">
      <c r="A2645" s="24"/>
      <c r="B2645" s="38"/>
      <c r="C2645" s="38"/>
      <c r="D2645" s="38"/>
      <c r="E2645" s="37"/>
      <c r="F2645" s="38"/>
      <c r="G2645" s="198"/>
      <c r="H2645" s="198"/>
      <c r="I2645" s="39"/>
      <c r="J2645" s="38"/>
      <c r="K2645" s="198"/>
      <c r="L2645" s="38"/>
      <c r="M2645" s="38"/>
      <c r="N2645" s="38"/>
      <c r="O2645" s="38"/>
      <c r="P2645" s="40" t="str" cm="1">
        <f t="array" ref="P2645">IF(N2645="","",IFERROR(_xlfn.XLOOKUP(F2645&amp;"|"&amp;J2645&amp;"|"&amp;O2645,PRICES!$C$2:$C$659&amp;"|"&amp;PRICES!$B$2:$B$659&amp;"|"&amp;PRICES!$D$2:$D$659,PRICES!$E$2:$E$659),"Not Found"))</f>
        <v/>
      </c>
      <c r="Q2645" s="100" t="str">
        <f>IF(N2645=0,"",SUMIFS(PRICES!$G$2:$G$658,PRICES!$B$2:$B$658,'MAIN TABLE-1 AUTOMATED'!J2645,PRICES!$C$2:$C$658,'MAIN TABLE-1 AUTOMATED'!F2645,PRICES!$D$2:$D$658,'MAIN TABLE-1 AUTOMATED'!O2645))</f>
        <v/>
      </c>
      <c r="R2645" s="41" t="str">
        <f>IF(Table1[[#This Row],[QUANTITY]]=0,"",Table1[[#This Row],[UNIT PRICE]]*Table1[[#This Row],[QUANTITY]])</f>
        <v/>
      </c>
      <c r="S2645" s="89"/>
      <c r="T2645" s="38"/>
      <c r="U2645" s="43"/>
      <c r="V2645" s="42" t="str">
        <f>IF(Table1[[#This Row],[DATE]]=0,"",YEAR(E2645))</f>
        <v/>
      </c>
      <c r="W2645" s="40" t="str">
        <f t="shared" si="86"/>
        <v/>
      </c>
      <c r="X2645" s="40" t="str">
        <f t="shared" si="87"/>
        <v/>
      </c>
      <c r="Y2645" s="40" t="str">
        <f>TEXT(Table1[[#This Row],[YEAR]],"0000")&amp;"-"&amp;Table1[[#This Row],[MONTH]]</f>
        <v>-</v>
      </c>
    </row>
    <row r="2646" spans="1:25" ht="15" customHeight="1" x14ac:dyDescent="0.35">
      <c r="A2646" s="24"/>
      <c r="B2646" s="38"/>
      <c r="C2646" s="38"/>
      <c r="D2646" s="38"/>
      <c r="E2646" s="37"/>
      <c r="F2646" s="38"/>
      <c r="G2646" s="198"/>
      <c r="H2646" s="198"/>
      <c r="I2646" s="39"/>
      <c r="J2646" s="38"/>
      <c r="K2646" s="198"/>
      <c r="L2646" s="38"/>
      <c r="M2646" s="38"/>
      <c r="N2646" s="38"/>
      <c r="O2646" s="38"/>
      <c r="P2646" s="40" t="str" cm="1">
        <f t="array" ref="P2646">IF(N2646="","",IFERROR(_xlfn.XLOOKUP(F2646&amp;"|"&amp;J2646&amp;"|"&amp;O2646,PRICES!$C$2:$C$659&amp;"|"&amp;PRICES!$B$2:$B$659&amp;"|"&amp;PRICES!$D$2:$D$659,PRICES!$E$2:$E$659),"Not Found"))</f>
        <v/>
      </c>
      <c r="Q2646" s="100" t="str">
        <f>IF(N2646=0,"",SUMIFS(PRICES!$G$2:$G$658,PRICES!$B$2:$B$658,'MAIN TABLE-1 AUTOMATED'!J2646,PRICES!$C$2:$C$658,'MAIN TABLE-1 AUTOMATED'!F2646,PRICES!$D$2:$D$658,'MAIN TABLE-1 AUTOMATED'!O2646))</f>
        <v/>
      </c>
      <c r="R2646" s="41" t="str">
        <f>IF(Table1[[#This Row],[QUANTITY]]=0,"",Table1[[#This Row],[UNIT PRICE]]*Table1[[#This Row],[QUANTITY]])</f>
        <v/>
      </c>
      <c r="S2646" s="89"/>
      <c r="T2646" s="38"/>
      <c r="U2646" s="43"/>
      <c r="V2646" s="42" t="str">
        <f>IF(Table1[[#This Row],[DATE]]=0,"",YEAR(E2646))</f>
        <v/>
      </c>
      <c r="W2646" s="40" t="str">
        <f t="shared" si="86"/>
        <v/>
      </c>
      <c r="X2646" s="40" t="str">
        <f t="shared" si="87"/>
        <v/>
      </c>
      <c r="Y2646" s="40" t="str">
        <f>TEXT(Table1[[#This Row],[YEAR]],"0000")&amp;"-"&amp;Table1[[#This Row],[MONTH]]</f>
        <v>-</v>
      </c>
    </row>
    <row r="2647" spans="1:25" ht="15" customHeight="1" x14ac:dyDescent="0.35">
      <c r="A2647" s="24"/>
      <c r="B2647" s="38"/>
      <c r="C2647" s="38"/>
      <c r="D2647" s="38"/>
      <c r="E2647" s="37"/>
      <c r="F2647" s="38"/>
      <c r="G2647" s="198"/>
      <c r="H2647" s="198"/>
      <c r="I2647" s="39"/>
      <c r="J2647" s="38"/>
      <c r="K2647" s="198"/>
      <c r="L2647" s="38"/>
      <c r="M2647" s="38"/>
      <c r="N2647" s="38"/>
      <c r="O2647" s="38"/>
      <c r="P2647" s="40" t="str" cm="1">
        <f t="array" ref="P2647">IF(N2647="","",IFERROR(_xlfn.XLOOKUP(F2647&amp;"|"&amp;J2647&amp;"|"&amp;O2647,PRICES!$C$2:$C$659&amp;"|"&amp;PRICES!$B$2:$B$659&amp;"|"&amp;PRICES!$D$2:$D$659,PRICES!$E$2:$E$659),"Not Found"))</f>
        <v/>
      </c>
      <c r="Q2647" s="100" t="str">
        <f>IF(N2647=0,"",SUMIFS(PRICES!$G$2:$G$658,PRICES!$B$2:$B$658,'MAIN TABLE-1 AUTOMATED'!J2647,PRICES!$C$2:$C$658,'MAIN TABLE-1 AUTOMATED'!F2647,PRICES!$D$2:$D$658,'MAIN TABLE-1 AUTOMATED'!O2647))</f>
        <v/>
      </c>
      <c r="R2647" s="41" t="str">
        <f>IF(Table1[[#This Row],[QUANTITY]]=0,"",Table1[[#This Row],[UNIT PRICE]]*Table1[[#This Row],[QUANTITY]])</f>
        <v/>
      </c>
      <c r="S2647" s="89"/>
      <c r="T2647" s="38"/>
      <c r="U2647" s="43"/>
      <c r="V2647" s="42" t="str">
        <f>IF(Table1[[#This Row],[DATE]]=0,"",YEAR(E2647))</f>
        <v/>
      </c>
      <c r="W2647" s="40" t="str">
        <f t="shared" si="86"/>
        <v/>
      </c>
      <c r="X2647" s="40" t="str">
        <f t="shared" si="87"/>
        <v/>
      </c>
      <c r="Y2647" s="40" t="str">
        <f>TEXT(Table1[[#This Row],[YEAR]],"0000")&amp;"-"&amp;Table1[[#This Row],[MONTH]]</f>
        <v>-</v>
      </c>
    </row>
    <row r="2648" spans="1:25" ht="15" customHeight="1" x14ac:dyDescent="0.35">
      <c r="A2648" s="24"/>
      <c r="B2648" s="38"/>
      <c r="C2648" s="38"/>
      <c r="D2648" s="38"/>
      <c r="E2648" s="37"/>
      <c r="F2648" s="38"/>
      <c r="G2648" s="198"/>
      <c r="H2648" s="198"/>
      <c r="I2648" s="39"/>
      <c r="J2648" s="38"/>
      <c r="K2648" s="198"/>
      <c r="L2648" s="38"/>
      <c r="M2648" s="38"/>
      <c r="N2648" s="38"/>
      <c r="O2648" s="38"/>
      <c r="P2648" s="40" t="str" cm="1">
        <f t="array" ref="P2648">IF(N2648="","",IFERROR(_xlfn.XLOOKUP(F2648&amp;"|"&amp;J2648&amp;"|"&amp;O2648,PRICES!$C$2:$C$659&amp;"|"&amp;PRICES!$B$2:$B$659&amp;"|"&amp;PRICES!$D$2:$D$659,PRICES!$E$2:$E$659),"Not Found"))</f>
        <v/>
      </c>
      <c r="Q2648" s="100" t="str">
        <f>IF(N2648=0,"",SUMIFS(PRICES!$G$2:$G$658,PRICES!$B$2:$B$658,'MAIN TABLE-1 AUTOMATED'!J2648,PRICES!$C$2:$C$658,'MAIN TABLE-1 AUTOMATED'!F2648,PRICES!$D$2:$D$658,'MAIN TABLE-1 AUTOMATED'!O2648))</f>
        <v/>
      </c>
      <c r="R2648" s="41" t="str">
        <f>IF(Table1[[#This Row],[QUANTITY]]=0,"",Table1[[#This Row],[UNIT PRICE]]*Table1[[#This Row],[QUANTITY]])</f>
        <v/>
      </c>
      <c r="S2648" s="89"/>
      <c r="T2648" s="38"/>
      <c r="U2648" s="43"/>
      <c r="V2648" s="42" t="str">
        <f>IF(Table1[[#This Row],[DATE]]=0,"",YEAR(E2648))</f>
        <v/>
      </c>
      <c r="W2648" s="40" t="str">
        <f t="shared" si="86"/>
        <v/>
      </c>
      <c r="X2648" s="40" t="str">
        <f t="shared" si="87"/>
        <v/>
      </c>
      <c r="Y2648" s="40" t="str">
        <f>TEXT(Table1[[#This Row],[YEAR]],"0000")&amp;"-"&amp;Table1[[#This Row],[MONTH]]</f>
        <v>-</v>
      </c>
    </row>
    <row r="2649" spans="1:25" ht="15" customHeight="1" x14ac:dyDescent="0.35">
      <c r="A2649" s="24"/>
      <c r="B2649" s="38"/>
      <c r="C2649" s="38"/>
      <c r="D2649" s="38"/>
      <c r="E2649" s="37"/>
      <c r="F2649" s="38"/>
      <c r="G2649" s="198"/>
      <c r="H2649" s="198"/>
      <c r="I2649" s="39"/>
      <c r="J2649" s="38"/>
      <c r="K2649" s="198"/>
      <c r="L2649" s="38"/>
      <c r="M2649" s="38"/>
      <c r="N2649" s="38"/>
      <c r="O2649" s="38"/>
      <c r="P2649" s="40" t="str" cm="1">
        <f t="array" ref="P2649">IF(N2649="","",IFERROR(_xlfn.XLOOKUP(F2649&amp;"|"&amp;J2649&amp;"|"&amp;O2649,PRICES!$C$2:$C$659&amp;"|"&amp;PRICES!$B$2:$B$659&amp;"|"&amp;PRICES!$D$2:$D$659,PRICES!$E$2:$E$659),"Not Found"))</f>
        <v/>
      </c>
      <c r="Q2649" s="100" t="str">
        <f>IF(N2649=0,"",SUMIFS(PRICES!$G$2:$G$658,PRICES!$B$2:$B$658,'MAIN TABLE-1 AUTOMATED'!J2649,PRICES!$C$2:$C$658,'MAIN TABLE-1 AUTOMATED'!F2649,PRICES!$D$2:$D$658,'MAIN TABLE-1 AUTOMATED'!O2649))</f>
        <v/>
      </c>
      <c r="R2649" s="41" t="str">
        <f>IF(Table1[[#This Row],[QUANTITY]]=0,"",Table1[[#This Row],[UNIT PRICE]]*Table1[[#This Row],[QUANTITY]])</f>
        <v/>
      </c>
      <c r="S2649" s="89"/>
      <c r="T2649" s="38"/>
      <c r="U2649" s="43"/>
      <c r="V2649" s="42" t="str">
        <f>IF(Table1[[#This Row],[DATE]]=0,"",YEAR(E2649))</f>
        <v/>
      </c>
      <c r="W2649" s="40" t="str">
        <f t="shared" si="86"/>
        <v/>
      </c>
      <c r="X2649" s="40" t="str">
        <f t="shared" si="87"/>
        <v/>
      </c>
      <c r="Y2649" s="40" t="str">
        <f>TEXT(Table1[[#This Row],[YEAR]],"0000")&amp;"-"&amp;Table1[[#This Row],[MONTH]]</f>
        <v>-</v>
      </c>
    </row>
    <row r="2650" spans="1:25" ht="15" customHeight="1" x14ac:dyDescent="0.35">
      <c r="A2650" s="24"/>
      <c r="B2650" s="38"/>
      <c r="C2650" s="38"/>
      <c r="D2650" s="38"/>
      <c r="E2650" s="37"/>
      <c r="F2650" s="38"/>
      <c r="G2650" s="198"/>
      <c r="H2650" s="198"/>
      <c r="I2650" s="39"/>
      <c r="J2650" s="38"/>
      <c r="K2650" s="198"/>
      <c r="L2650" s="38"/>
      <c r="M2650" s="38"/>
      <c r="N2650" s="38"/>
      <c r="O2650" s="38"/>
      <c r="P2650" s="40" t="str" cm="1">
        <f t="array" ref="P2650">IF(N2650="","",IFERROR(_xlfn.XLOOKUP(F2650&amp;"|"&amp;J2650&amp;"|"&amp;O2650,PRICES!$C$2:$C$659&amp;"|"&amp;PRICES!$B$2:$B$659&amp;"|"&amp;PRICES!$D$2:$D$659,PRICES!$E$2:$E$659),"Not Found"))</f>
        <v/>
      </c>
      <c r="Q2650" s="100" t="str">
        <f>IF(N2650=0,"",SUMIFS(PRICES!$G$2:$G$658,PRICES!$B$2:$B$658,'MAIN TABLE-1 AUTOMATED'!J2650,PRICES!$C$2:$C$658,'MAIN TABLE-1 AUTOMATED'!F2650,PRICES!$D$2:$D$658,'MAIN TABLE-1 AUTOMATED'!O2650))</f>
        <v/>
      </c>
      <c r="R2650" s="41" t="str">
        <f>IF(Table1[[#This Row],[QUANTITY]]=0,"",Table1[[#This Row],[UNIT PRICE]]*Table1[[#This Row],[QUANTITY]])</f>
        <v/>
      </c>
      <c r="S2650" s="89"/>
      <c r="T2650" s="38"/>
      <c r="U2650" s="43"/>
      <c r="V2650" s="42" t="str">
        <f>IF(Table1[[#This Row],[DATE]]=0,"",YEAR(E2650))</f>
        <v/>
      </c>
      <c r="W2650" s="40" t="str">
        <f t="shared" si="86"/>
        <v/>
      </c>
      <c r="X2650" s="40" t="str">
        <f t="shared" si="87"/>
        <v/>
      </c>
      <c r="Y2650" s="40" t="str">
        <f>TEXT(Table1[[#This Row],[YEAR]],"0000")&amp;"-"&amp;Table1[[#This Row],[MONTH]]</f>
        <v>-</v>
      </c>
    </row>
    <row r="2651" spans="1:25" ht="15" customHeight="1" x14ac:dyDescent="0.35">
      <c r="A2651" s="24"/>
      <c r="B2651" s="38"/>
      <c r="C2651" s="38"/>
      <c r="D2651" s="38"/>
      <c r="E2651" s="37"/>
      <c r="F2651" s="38"/>
      <c r="G2651" s="198"/>
      <c r="H2651" s="198"/>
      <c r="I2651" s="39"/>
      <c r="J2651" s="38"/>
      <c r="K2651" s="198"/>
      <c r="L2651" s="38"/>
      <c r="M2651" s="38"/>
      <c r="N2651" s="38"/>
      <c r="O2651" s="38"/>
      <c r="P2651" s="40" t="str" cm="1">
        <f t="array" ref="P2651">IF(N2651="","",IFERROR(_xlfn.XLOOKUP(F2651&amp;"|"&amp;J2651&amp;"|"&amp;O2651,PRICES!$C$2:$C$659&amp;"|"&amp;PRICES!$B$2:$B$659&amp;"|"&amp;PRICES!$D$2:$D$659,PRICES!$E$2:$E$659),"Not Found"))</f>
        <v/>
      </c>
      <c r="Q2651" s="100" t="str">
        <f>IF(N2651=0,"",SUMIFS(PRICES!$G$2:$G$658,PRICES!$B$2:$B$658,'MAIN TABLE-1 AUTOMATED'!J2651,PRICES!$C$2:$C$658,'MAIN TABLE-1 AUTOMATED'!F2651,PRICES!$D$2:$D$658,'MAIN TABLE-1 AUTOMATED'!O2651))</f>
        <v/>
      </c>
      <c r="R2651" s="41" t="str">
        <f>IF(Table1[[#This Row],[QUANTITY]]=0,"",Table1[[#This Row],[UNIT PRICE]]*Table1[[#This Row],[QUANTITY]])</f>
        <v/>
      </c>
      <c r="S2651" s="89"/>
      <c r="T2651" s="38"/>
      <c r="U2651" s="43"/>
      <c r="V2651" s="42" t="str">
        <f>IF(Table1[[#This Row],[DATE]]=0,"",YEAR(E2651))</f>
        <v/>
      </c>
      <c r="W2651" s="40" t="str">
        <f t="shared" si="86"/>
        <v/>
      </c>
      <c r="X2651" s="40" t="str">
        <f t="shared" si="87"/>
        <v/>
      </c>
      <c r="Y2651" s="40" t="str">
        <f>TEXT(Table1[[#This Row],[YEAR]],"0000")&amp;"-"&amp;Table1[[#This Row],[MONTH]]</f>
        <v>-</v>
      </c>
    </row>
    <row r="2652" spans="1:25" ht="15" customHeight="1" x14ac:dyDescent="0.35">
      <c r="A2652" s="24"/>
      <c r="B2652" s="38"/>
      <c r="C2652" s="38"/>
      <c r="D2652" s="38"/>
      <c r="E2652" s="37"/>
      <c r="F2652" s="38"/>
      <c r="G2652" s="198"/>
      <c r="H2652" s="198"/>
      <c r="I2652" s="39"/>
      <c r="J2652" s="38"/>
      <c r="K2652" s="198"/>
      <c r="L2652" s="38"/>
      <c r="M2652" s="38"/>
      <c r="N2652" s="38"/>
      <c r="O2652" s="38"/>
      <c r="P2652" s="40" t="str" cm="1">
        <f t="array" ref="P2652">IF(N2652="","",IFERROR(_xlfn.XLOOKUP(F2652&amp;"|"&amp;J2652&amp;"|"&amp;O2652,PRICES!$C$2:$C$659&amp;"|"&amp;PRICES!$B$2:$B$659&amp;"|"&amp;PRICES!$D$2:$D$659,PRICES!$E$2:$E$659),"Not Found"))</f>
        <v/>
      </c>
      <c r="Q2652" s="100" t="str">
        <f>IF(N2652=0,"",SUMIFS(PRICES!$G$2:$G$658,PRICES!$B$2:$B$658,'MAIN TABLE-1 AUTOMATED'!J2652,PRICES!$C$2:$C$658,'MAIN TABLE-1 AUTOMATED'!F2652,PRICES!$D$2:$D$658,'MAIN TABLE-1 AUTOMATED'!O2652))</f>
        <v/>
      </c>
      <c r="R2652" s="41" t="str">
        <f>IF(Table1[[#This Row],[QUANTITY]]=0,"",Table1[[#This Row],[UNIT PRICE]]*Table1[[#This Row],[QUANTITY]])</f>
        <v/>
      </c>
      <c r="S2652" s="89"/>
      <c r="T2652" s="38"/>
      <c r="U2652" s="43"/>
      <c r="V2652" s="42" t="str">
        <f>IF(Table1[[#This Row],[DATE]]=0,"",YEAR(E2652))</f>
        <v/>
      </c>
      <c r="W2652" s="40" t="str">
        <f t="shared" si="86"/>
        <v/>
      </c>
      <c r="X2652" s="40" t="str">
        <f t="shared" si="87"/>
        <v/>
      </c>
      <c r="Y2652" s="40" t="str">
        <f>TEXT(Table1[[#This Row],[YEAR]],"0000")&amp;"-"&amp;Table1[[#This Row],[MONTH]]</f>
        <v>-</v>
      </c>
    </row>
    <row r="2653" spans="1:25" ht="15" customHeight="1" x14ac:dyDescent="0.35">
      <c r="A2653" s="24"/>
      <c r="B2653" s="38"/>
      <c r="C2653" s="38"/>
      <c r="D2653" s="38"/>
      <c r="E2653" s="37"/>
      <c r="F2653" s="38"/>
      <c r="G2653" s="198"/>
      <c r="H2653" s="198"/>
      <c r="I2653" s="39"/>
      <c r="J2653" s="38"/>
      <c r="K2653" s="198"/>
      <c r="L2653" s="38"/>
      <c r="M2653" s="38"/>
      <c r="N2653" s="38"/>
      <c r="O2653" s="38"/>
      <c r="P2653" s="40" t="str" cm="1">
        <f t="array" ref="P2653">IF(N2653="","",IFERROR(_xlfn.XLOOKUP(F2653&amp;"|"&amp;J2653&amp;"|"&amp;O2653,PRICES!$C$2:$C$659&amp;"|"&amp;PRICES!$B$2:$B$659&amp;"|"&amp;PRICES!$D$2:$D$659,PRICES!$E$2:$E$659),"Not Found"))</f>
        <v/>
      </c>
      <c r="Q2653" s="100" t="str">
        <f>IF(N2653=0,"",SUMIFS(PRICES!$G$2:$G$658,PRICES!$B$2:$B$658,'MAIN TABLE-1 AUTOMATED'!J2653,PRICES!$C$2:$C$658,'MAIN TABLE-1 AUTOMATED'!F2653,PRICES!$D$2:$D$658,'MAIN TABLE-1 AUTOMATED'!O2653))</f>
        <v/>
      </c>
      <c r="R2653" s="41" t="str">
        <f>IF(Table1[[#This Row],[QUANTITY]]=0,"",Table1[[#This Row],[UNIT PRICE]]*Table1[[#This Row],[QUANTITY]])</f>
        <v/>
      </c>
      <c r="S2653" s="89"/>
      <c r="T2653" s="38"/>
      <c r="U2653" s="43"/>
      <c r="V2653" s="42" t="str">
        <f>IF(Table1[[#This Row],[DATE]]=0,"",YEAR(E2653))</f>
        <v/>
      </c>
      <c r="W2653" s="40" t="str">
        <f t="shared" si="86"/>
        <v/>
      </c>
      <c r="X2653" s="40" t="str">
        <f t="shared" si="87"/>
        <v/>
      </c>
      <c r="Y2653" s="40" t="str">
        <f>TEXT(Table1[[#This Row],[YEAR]],"0000")&amp;"-"&amp;Table1[[#This Row],[MONTH]]</f>
        <v>-</v>
      </c>
    </row>
    <row r="2654" spans="1:25" ht="15" customHeight="1" x14ac:dyDescent="0.35">
      <c r="A2654" s="24"/>
      <c r="B2654" s="38"/>
      <c r="C2654" s="38"/>
      <c r="D2654" s="38"/>
      <c r="E2654" s="37"/>
      <c r="F2654" s="38"/>
      <c r="G2654" s="198"/>
      <c r="H2654" s="198"/>
      <c r="I2654" s="39"/>
      <c r="J2654" s="38"/>
      <c r="K2654" s="198"/>
      <c r="L2654" s="38"/>
      <c r="M2654" s="38"/>
      <c r="N2654" s="38"/>
      <c r="O2654" s="38"/>
      <c r="P2654" s="40" t="str" cm="1">
        <f t="array" ref="P2654">IF(N2654="","",IFERROR(_xlfn.XLOOKUP(F2654&amp;"|"&amp;J2654&amp;"|"&amp;O2654,PRICES!$C$2:$C$659&amp;"|"&amp;PRICES!$B$2:$B$659&amp;"|"&amp;PRICES!$D$2:$D$659,PRICES!$E$2:$E$659),"Not Found"))</f>
        <v/>
      </c>
      <c r="Q2654" s="100" t="str">
        <f>IF(N2654=0,"",SUMIFS(PRICES!$G$2:$G$658,PRICES!$B$2:$B$658,'MAIN TABLE-1 AUTOMATED'!J2654,PRICES!$C$2:$C$658,'MAIN TABLE-1 AUTOMATED'!F2654,PRICES!$D$2:$D$658,'MAIN TABLE-1 AUTOMATED'!O2654))</f>
        <v/>
      </c>
      <c r="R2654" s="41" t="str">
        <f>IF(Table1[[#This Row],[QUANTITY]]=0,"",Table1[[#This Row],[UNIT PRICE]]*Table1[[#This Row],[QUANTITY]])</f>
        <v/>
      </c>
      <c r="S2654" s="89"/>
      <c r="T2654" s="38"/>
      <c r="U2654" s="43"/>
      <c r="V2654" s="42" t="str">
        <f>IF(Table1[[#This Row],[DATE]]=0,"",YEAR(E2654))</f>
        <v/>
      </c>
      <c r="W2654" s="40" t="str">
        <f t="shared" si="86"/>
        <v/>
      </c>
      <c r="X2654" s="40" t="str">
        <f t="shared" si="87"/>
        <v/>
      </c>
      <c r="Y2654" s="40" t="str">
        <f>TEXT(Table1[[#This Row],[YEAR]],"0000")&amp;"-"&amp;Table1[[#This Row],[MONTH]]</f>
        <v>-</v>
      </c>
    </row>
    <row r="2655" spans="1:25" ht="15" customHeight="1" x14ac:dyDescent="0.35">
      <c r="A2655" s="24"/>
      <c r="B2655" s="38"/>
      <c r="C2655" s="38"/>
      <c r="D2655" s="38"/>
      <c r="E2655" s="37"/>
      <c r="F2655" s="38"/>
      <c r="G2655" s="198"/>
      <c r="H2655" s="198"/>
      <c r="I2655" s="39"/>
      <c r="J2655" s="38"/>
      <c r="K2655" s="198"/>
      <c r="L2655" s="38"/>
      <c r="M2655" s="38"/>
      <c r="N2655" s="38"/>
      <c r="O2655" s="38"/>
      <c r="P2655" s="40" t="str" cm="1">
        <f t="array" ref="P2655">IF(N2655="","",IFERROR(_xlfn.XLOOKUP(F2655&amp;"|"&amp;J2655&amp;"|"&amp;O2655,PRICES!$C$2:$C$659&amp;"|"&amp;PRICES!$B$2:$B$659&amp;"|"&amp;PRICES!$D$2:$D$659,PRICES!$E$2:$E$659),"Not Found"))</f>
        <v/>
      </c>
      <c r="Q2655" s="100" t="str">
        <f>IF(N2655=0,"",SUMIFS(PRICES!$G$2:$G$658,PRICES!$B$2:$B$658,'MAIN TABLE-1 AUTOMATED'!J2655,PRICES!$C$2:$C$658,'MAIN TABLE-1 AUTOMATED'!F2655,PRICES!$D$2:$D$658,'MAIN TABLE-1 AUTOMATED'!O2655))</f>
        <v/>
      </c>
      <c r="R2655" s="41" t="str">
        <f>IF(Table1[[#This Row],[QUANTITY]]=0,"",Table1[[#This Row],[UNIT PRICE]]*Table1[[#This Row],[QUANTITY]])</f>
        <v/>
      </c>
      <c r="S2655" s="89"/>
      <c r="T2655" s="38"/>
      <c r="U2655" s="43"/>
      <c r="V2655" s="42" t="str">
        <f>IF(Table1[[#This Row],[DATE]]=0,"",YEAR(E2655))</f>
        <v/>
      </c>
      <c r="W2655" s="40" t="str">
        <f t="shared" si="86"/>
        <v/>
      </c>
      <c r="X2655" s="40" t="str">
        <f t="shared" si="87"/>
        <v/>
      </c>
      <c r="Y2655" s="40" t="str">
        <f>TEXT(Table1[[#This Row],[YEAR]],"0000")&amp;"-"&amp;Table1[[#This Row],[MONTH]]</f>
        <v>-</v>
      </c>
    </row>
    <row r="2656" spans="1:25" ht="15" customHeight="1" x14ac:dyDescent="0.35">
      <c r="A2656" s="24"/>
      <c r="B2656" s="38"/>
      <c r="C2656" s="38"/>
      <c r="D2656" s="38"/>
      <c r="E2656" s="37"/>
      <c r="F2656" s="38"/>
      <c r="G2656" s="198"/>
      <c r="H2656" s="198"/>
      <c r="I2656" s="39"/>
      <c r="J2656" s="38"/>
      <c r="K2656" s="198"/>
      <c r="L2656" s="38"/>
      <c r="M2656" s="38"/>
      <c r="N2656" s="38"/>
      <c r="O2656" s="38"/>
      <c r="P2656" s="40" t="str" cm="1">
        <f t="array" ref="P2656">IF(N2656="","",IFERROR(_xlfn.XLOOKUP(F2656&amp;"|"&amp;J2656&amp;"|"&amp;O2656,PRICES!$C$2:$C$659&amp;"|"&amp;PRICES!$B$2:$B$659&amp;"|"&amp;PRICES!$D$2:$D$659,PRICES!$E$2:$E$659),"Not Found"))</f>
        <v/>
      </c>
      <c r="Q2656" s="100" t="str">
        <f>IF(N2656=0,"",SUMIFS(PRICES!$G$2:$G$658,PRICES!$B$2:$B$658,'MAIN TABLE-1 AUTOMATED'!J2656,PRICES!$C$2:$C$658,'MAIN TABLE-1 AUTOMATED'!F2656,PRICES!$D$2:$D$658,'MAIN TABLE-1 AUTOMATED'!O2656))</f>
        <v/>
      </c>
      <c r="R2656" s="41" t="str">
        <f>IF(Table1[[#This Row],[QUANTITY]]=0,"",Table1[[#This Row],[UNIT PRICE]]*Table1[[#This Row],[QUANTITY]])</f>
        <v/>
      </c>
      <c r="S2656" s="89"/>
      <c r="T2656" s="38"/>
      <c r="U2656" s="43"/>
      <c r="V2656" s="42" t="str">
        <f>IF(Table1[[#This Row],[DATE]]=0,"",YEAR(E2656))</f>
        <v/>
      </c>
      <c r="W2656" s="40" t="str">
        <f t="shared" si="86"/>
        <v/>
      </c>
      <c r="X2656" s="40" t="str">
        <f t="shared" si="87"/>
        <v/>
      </c>
      <c r="Y2656" s="40" t="str">
        <f>TEXT(Table1[[#This Row],[YEAR]],"0000")&amp;"-"&amp;Table1[[#This Row],[MONTH]]</f>
        <v>-</v>
      </c>
    </row>
    <row r="2657" spans="1:25" ht="15" customHeight="1" x14ac:dyDescent="0.35">
      <c r="A2657" s="24"/>
      <c r="B2657" s="38"/>
      <c r="C2657" s="38"/>
      <c r="D2657" s="38"/>
      <c r="E2657" s="37"/>
      <c r="F2657" s="38"/>
      <c r="G2657" s="198"/>
      <c r="H2657" s="198"/>
      <c r="I2657" s="39"/>
      <c r="J2657" s="38"/>
      <c r="K2657" s="198"/>
      <c r="L2657" s="38"/>
      <c r="M2657" s="38"/>
      <c r="N2657" s="38"/>
      <c r="O2657" s="38"/>
      <c r="P2657" s="40" t="str" cm="1">
        <f t="array" ref="P2657">IF(N2657="","",IFERROR(_xlfn.XLOOKUP(F2657&amp;"|"&amp;J2657&amp;"|"&amp;O2657,PRICES!$C$2:$C$659&amp;"|"&amp;PRICES!$B$2:$B$659&amp;"|"&amp;PRICES!$D$2:$D$659,PRICES!$E$2:$E$659),"Not Found"))</f>
        <v/>
      </c>
      <c r="Q2657" s="100" t="str">
        <f>IF(N2657=0,"",SUMIFS(PRICES!$G$2:$G$658,PRICES!$B$2:$B$658,'MAIN TABLE-1 AUTOMATED'!J2657,PRICES!$C$2:$C$658,'MAIN TABLE-1 AUTOMATED'!F2657,PRICES!$D$2:$D$658,'MAIN TABLE-1 AUTOMATED'!O2657))</f>
        <v/>
      </c>
      <c r="R2657" s="41" t="str">
        <f>IF(Table1[[#This Row],[QUANTITY]]=0,"",Table1[[#This Row],[UNIT PRICE]]*Table1[[#This Row],[QUANTITY]])</f>
        <v/>
      </c>
      <c r="S2657" s="89"/>
      <c r="T2657" s="38"/>
      <c r="U2657" s="43"/>
      <c r="V2657" s="42" t="str">
        <f>IF(Table1[[#This Row],[DATE]]=0,"",YEAR(E2657))</f>
        <v/>
      </c>
      <c r="W2657" s="40" t="str">
        <f t="shared" si="86"/>
        <v/>
      </c>
      <c r="X2657" s="40" t="str">
        <f t="shared" si="87"/>
        <v/>
      </c>
      <c r="Y2657" s="40" t="str">
        <f>TEXT(Table1[[#This Row],[YEAR]],"0000")&amp;"-"&amp;Table1[[#This Row],[MONTH]]</f>
        <v>-</v>
      </c>
    </row>
    <row r="2658" spans="1:25" ht="15" customHeight="1" x14ac:dyDescent="0.35">
      <c r="A2658" s="24"/>
      <c r="B2658" s="38"/>
      <c r="C2658" s="38"/>
      <c r="D2658" s="38"/>
      <c r="E2658" s="37"/>
      <c r="F2658" s="38"/>
      <c r="G2658" s="198"/>
      <c r="H2658" s="198"/>
      <c r="I2658" s="39"/>
      <c r="J2658" s="38"/>
      <c r="K2658" s="198"/>
      <c r="L2658" s="38"/>
      <c r="M2658" s="38"/>
      <c r="N2658" s="38"/>
      <c r="O2658" s="38"/>
      <c r="P2658" s="40" t="str" cm="1">
        <f t="array" ref="P2658">IF(N2658="","",IFERROR(_xlfn.XLOOKUP(F2658&amp;"|"&amp;J2658&amp;"|"&amp;O2658,PRICES!$C$2:$C$659&amp;"|"&amp;PRICES!$B$2:$B$659&amp;"|"&amp;PRICES!$D$2:$D$659,PRICES!$E$2:$E$659),"Not Found"))</f>
        <v/>
      </c>
      <c r="Q2658" s="100" t="str">
        <f>IF(N2658=0,"",SUMIFS(PRICES!$G$2:$G$658,PRICES!$B$2:$B$658,'MAIN TABLE-1 AUTOMATED'!J2658,PRICES!$C$2:$C$658,'MAIN TABLE-1 AUTOMATED'!F2658,PRICES!$D$2:$D$658,'MAIN TABLE-1 AUTOMATED'!O2658))</f>
        <v/>
      </c>
      <c r="R2658" s="41" t="str">
        <f>IF(Table1[[#This Row],[QUANTITY]]=0,"",Table1[[#This Row],[UNIT PRICE]]*Table1[[#This Row],[QUANTITY]])</f>
        <v/>
      </c>
      <c r="S2658" s="89"/>
      <c r="T2658" s="38"/>
      <c r="U2658" s="43"/>
      <c r="V2658" s="42" t="str">
        <f>IF(Table1[[#This Row],[DATE]]=0,"",YEAR(E2658))</f>
        <v/>
      </c>
      <c r="W2658" s="40" t="str">
        <f t="shared" si="86"/>
        <v/>
      </c>
      <c r="X2658" s="40" t="str">
        <f t="shared" si="87"/>
        <v/>
      </c>
      <c r="Y2658" s="40" t="str">
        <f>TEXT(Table1[[#This Row],[YEAR]],"0000")&amp;"-"&amp;Table1[[#This Row],[MONTH]]</f>
        <v>-</v>
      </c>
    </row>
    <row r="2659" spans="1:25" ht="15" customHeight="1" x14ac:dyDescent="0.35">
      <c r="A2659" s="24"/>
      <c r="B2659" s="38"/>
      <c r="C2659" s="38"/>
      <c r="D2659" s="38"/>
      <c r="E2659" s="37"/>
      <c r="F2659" s="38"/>
      <c r="G2659" s="198"/>
      <c r="H2659" s="198"/>
      <c r="I2659" s="39"/>
      <c r="J2659" s="38"/>
      <c r="K2659" s="198"/>
      <c r="L2659" s="38"/>
      <c r="M2659" s="38"/>
      <c r="N2659" s="38"/>
      <c r="O2659" s="38"/>
      <c r="P2659" s="40" t="str" cm="1">
        <f t="array" ref="P2659">IF(N2659="","",IFERROR(_xlfn.XLOOKUP(F2659&amp;"|"&amp;J2659&amp;"|"&amp;O2659,PRICES!$C$2:$C$659&amp;"|"&amp;PRICES!$B$2:$B$659&amp;"|"&amp;PRICES!$D$2:$D$659,PRICES!$E$2:$E$659),"Not Found"))</f>
        <v/>
      </c>
      <c r="Q2659" s="100" t="str">
        <f>IF(N2659=0,"",SUMIFS(PRICES!$G$2:$G$658,PRICES!$B$2:$B$658,'MAIN TABLE-1 AUTOMATED'!J2659,PRICES!$C$2:$C$658,'MAIN TABLE-1 AUTOMATED'!F2659,PRICES!$D$2:$D$658,'MAIN TABLE-1 AUTOMATED'!O2659))</f>
        <v/>
      </c>
      <c r="R2659" s="41" t="str">
        <f>IF(Table1[[#This Row],[QUANTITY]]=0,"",Table1[[#This Row],[UNIT PRICE]]*Table1[[#This Row],[QUANTITY]])</f>
        <v/>
      </c>
      <c r="S2659" s="89"/>
      <c r="T2659" s="38"/>
      <c r="U2659" s="43"/>
      <c r="V2659" s="42" t="str">
        <f>IF(Table1[[#This Row],[DATE]]=0,"",YEAR(E2659))</f>
        <v/>
      </c>
      <c r="W2659" s="40" t="str">
        <f t="shared" si="86"/>
        <v/>
      </c>
      <c r="X2659" s="40" t="str">
        <f t="shared" si="87"/>
        <v/>
      </c>
      <c r="Y2659" s="40" t="str">
        <f>TEXT(Table1[[#This Row],[YEAR]],"0000")&amp;"-"&amp;Table1[[#This Row],[MONTH]]</f>
        <v>-</v>
      </c>
    </row>
    <row r="2660" spans="1:25" ht="15" customHeight="1" x14ac:dyDescent="0.35">
      <c r="A2660" s="24"/>
      <c r="B2660" s="38"/>
      <c r="C2660" s="38"/>
      <c r="D2660" s="38"/>
      <c r="E2660" s="37"/>
      <c r="F2660" s="38"/>
      <c r="G2660" s="198"/>
      <c r="H2660" s="198"/>
      <c r="I2660" s="39"/>
      <c r="J2660" s="38"/>
      <c r="K2660" s="198"/>
      <c r="L2660" s="38"/>
      <c r="M2660" s="38"/>
      <c r="N2660" s="38"/>
      <c r="O2660" s="38"/>
      <c r="P2660" s="40" t="str" cm="1">
        <f t="array" ref="P2660">IF(N2660="","",IFERROR(_xlfn.XLOOKUP(F2660&amp;"|"&amp;J2660&amp;"|"&amp;O2660,PRICES!$C$2:$C$659&amp;"|"&amp;PRICES!$B$2:$B$659&amp;"|"&amp;PRICES!$D$2:$D$659,PRICES!$E$2:$E$659),"Not Found"))</f>
        <v/>
      </c>
      <c r="Q2660" s="100" t="str">
        <f>IF(N2660=0,"",SUMIFS(PRICES!$G$2:$G$658,PRICES!$B$2:$B$658,'MAIN TABLE-1 AUTOMATED'!J2660,PRICES!$C$2:$C$658,'MAIN TABLE-1 AUTOMATED'!F2660,PRICES!$D$2:$D$658,'MAIN TABLE-1 AUTOMATED'!O2660))</f>
        <v/>
      </c>
      <c r="R2660" s="41" t="str">
        <f>IF(Table1[[#This Row],[QUANTITY]]=0,"",Table1[[#This Row],[UNIT PRICE]]*Table1[[#This Row],[QUANTITY]])</f>
        <v/>
      </c>
      <c r="S2660" s="89"/>
      <c r="T2660" s="38"/>
      <c r="U2660" s="43"/>
      <c r="V2660" s="42" t="str">
        <f>IF(Table1[[#This Row],[DATE]]=0,"",YEAR(E2660))</f>
        <v/>
      </c>
      <c r="W2660" s="40" t="str">
        <f t="shared" si="86"/>
        <v/>
      </c>
      <c r="X2660" s="40" t="str">
        <f t="shared" si="87"/>
        <v/>
      </c>
      <c r="Y2660" s="40" t="str">
        <f>TEXT(Table1[[#This Row],[YEAR]],"0000")&amp;"-"&amp;Table1[[#This Row],[MONTH]]</f>
        <v>-</v>
      </c>
    </row>
    <row r="2661" spans="1:25" ht="15" customHeight="1" x14ac:dyDescent="0.35">
      <c r="A2661" s="24"/>
      <c r="B2661" s="38"/>
      <c r="C2661" s="38"/>
      <c r="D2661" s="38"/>
      <c r="E2661" s="37"/>
      <c r="F2661" s="38"/>
      <c r="G2661" s="198"/>
      <c r="H2661" s="198"/>
      <c r="I2661" s="39"/>
      <c r="J2661" s="38"/>
      <c r="K2661" s="198"/>
      <c r="L2661" s="38"/>
      <c r="M2661" s="38"/>
      <c r="N2661" s="38"/>
      <c r="O2661" s="38"/>
      <c r="P2661" s="40" t="str" cm="1">
        <f t="array" ref="P2661">IF(N2661="","",IFERROR(_xlfn.XLOOKUP(F2661&amp;"|"&amp;J2661&amp;"|"&amp;O2661,PRICES!$C$2:$C$659&amp;"|"&amp;PRICES!$B$2:$B$659&amp;"|"&amp;PRICES!$D$2:$D$659,PRICES!$E$2:$E$659),"Not Found"))</f>
        <v/>
      </c>
      <c r="Q2661" s="100" t="str">
        <f>IF(N2661=0,"",SUMIFS(PRICES!$G$2:$G$658,PRICES!$B$2:$B$658,'MAIN TABLE-1 AUTOMATED'!J2661,PRICES!$C$2:$C$658,'MAIN TABLE-1 AUTOMATED'!F2661,PRICES!$D$2:$D$658,'MAIN TABLE-1 AUTOMATED'!O2661))</f>
        <v/>
      </c>
      <c r="R2661" s="41" t="str">
        <f>IF(Table1[[#This Row],[QUANTITY]]=0,"",Table1[[#This Row],[UNIT PRICE]]*Table1[[#This Row],[QUANTITY]])</f>
        <v/>
      </c>
      <c r="S2661" s="89"/>
      <c r="T2661" s="38"/>
      <c r="U2661" s="43"/>
      <c r="V2661" s="42" t="str">
        <f>IF(Table1[[#This Row],[DATE]]=0,"",YEAR(E2661))</f>
        <v/>
      </c>
      <c r="W2661" s="40" t="str">
        <f t="shared" si="86"/>
        <v/>
      </c>
      <c r="X2661" s="40" t="str">
        <f t="shared" si="87"/>
        <v/>
      </c>
      <c r="Y2661" s="40" t="str">
        <f>TEXT(Table1[[#This Row],[YEAR]],"0000")&amp;"-"&amp;Table1[[#This Row],[MONTH]]</f>
        <v>-</v>
      </c>
    </row>
    <row r="2662" spans="1:25" ht="15" customHeight="1" x14ac:dyDescent="0.35">
      <c r="A2662" s="24"/>
      <c r="B2662" s="38"/>
      <c r="C2662" s="38"/>
      <c r="D2662" s="38"/>
      <c r="E2662" s="37"/>
      <c r="F2662" s="38"/>
      <c r="G2662" s="198"/>
      <c r="H2662" s="198"/>
      <c r="I2662" s="39"/>
      <c r="J2662" s="38"/>
      <c r="K2662" s="198"/>
      <c r="L2662" s="38"/>
      <c r="M2662" s="38"/>
      <c r="N2662" s="38"/>
      <c r="O2662" s="38"/>
      <c r="P2662" s="40" t="str" cm="1">
        <f t="array" ref="P2662">IF(N2662="","",IFERROR(_xlfn.XLOOKUP(F2662&amp;"|"&amp;J2662&amp;"|"&amp;O2662,PRICES!$C$2:$C$659&amp;"|"&amp;PRICES!$B$2:$B$659&amp;"|"&amp;PRICES!$D$2:$D$659,PRICES!$E$2:$E$659),"Not Found"))</f>
        <v/>
      </c>
      <c r="Q2662" s="100" t="str">
        <f>IF(N2662=0,"",SUMIFS(PRICES!$G$2:$G$658,PRICES!$B$2:$B$658,'MAIN TABLE-1 AUTOMATED'!J2662,PRICES!$C$2:$C$658,'MAIN TABLE-1 AUTOMATED'!F2662,PRICES!$D$2:$D$658,'MAIN TABLE-1 AUTOMATED'!O2662))</f>
        <v/>
      </c>
      <c r="R2662" s="41" t="str">
        <f>IF(Table1[[#This Row],[QUANTITY]]=0,"",Table1[[#This Row],[UNIT PRICE]]*Table1[[#This Row],[QUANTITY]])</f>
        <v/>
      </c>
      <c r="S2662" s="89"/>
      <c r="T2662" s="38"/>
      <c r="U2662" s="43"/>
      <c r="V2662" s="42" t="str">
        <f>IF(Table1[[#This Row],[DATE]]=0,"",YEAR(E2662))</f>
        <v/>
      </c>
      <c r="W2662" s="40" t="str">
        <f t="shared" si="86"/>
        <v/>
      </c>
      <c r="X2662" s="40" t="str">
        <f t="shared" si="87"/>
        <v/>
      </c>
      <c r="Y2662" s="40" t="str">
        <f>TEXT(Table1[[#This Row],[YEAR]],"0000")&amp;"-"&amp;Table1[[#This Row],[MONTH]]</f>
        <v>-</v>
      </c>
    </row>
    <row r="2663" spans="1:25" ht="15" customHeight="1" x14ac:dyDescent="0.35">
      <c r="A2663" s="24"/>
      <c r="B2663" s="38"/>
      <c r="C2663" s="38"/>
      <c r="D2663" s="38"/>
      <c r="E2663" s="37"/>
      <c r="F2663" s="38"/>
      <c r="G2663" s="198"/>
      <c r="H2663" s="198"/>
      <c r="I2663" s="39"/>
      <c r="J2663" s="38"/>
      <c r="K2663" s="198"/>
      <c r="L2663" s="38"/>
      <c r="M2663" s="38"/>
      <c r="N2663" s="38"/>
      <c r="O2663" s="38"/>
      <c r="P2663" s="40" t="str" cm="1">
        <f t="array" ref="P2663">IF(N2663="","",IFERROR(_xlfn.XLOOKUP(F2663&amp;"|"&amp;J2663&amp;"|"&amp;O2663,PRICES!$C$2:$C$659&amp;"|"&amp;PRICES!$B$2:$B$659&amp;"|"&amp;PRICES!$D$2:$D$659,PRICES!$E$2:$E$659),"Not Found"))</f>
        <v/>
      </c>
      <c r="Q2663" s="100" t="str">
        <f>IF(N2663=0,"",SUMIFS(PRICES!$G$2:$G$658,PRICES!$B$2:$B$658,'MAIN TABLE-1 AUTOMATED'!J2663,PRICES!$C$2:$C$658,'MAIN TABLE-1 AUTOMATED'!F2663,PRICES!$D$2:$D$658,'MAIN TABLE-1 AUTOMATED'!O2663))</f>
        <v/>
      </c>
      <c r="R2663" s="41" t="str">
        <f>IF(Table1[[#This Row],[QUANTITY]]=0,"",Table1[[#This Row],[UNIT PRICE]]*Table1[[#This Row],[QUANTITY]])</f>
        <v/>
      </c>
      <c r="S2663" s="89"/>
      <c r="T2663" s="38"/>
      <c r="U2663" s="43"/>
      <c r="V2663" s="42" t="str">
        <f>IF(Table1[[#This Row],[DATE]]=0,"",YEAR(E2663))</f>
        <v/>
      </c>
      <c r="W2663" s="40" t="str">
        <f t="shared" si="86"/>
        <v/>
      </c>
      <c r="X2663" s="40" t="str">
        <f t="shared" si="87"/>
        <v/>
      </c>
      <c r="Y2663" s="40" t="str">
        <f>TEXT(Table1[[#This Row],[YEAR]],"0000")&amp;"-"&amp;Table1[[#This Row],[MONTH]]</f>
        <v>-</v>
      </c>
    </row>
    <row r="2664" spans="1:25" ht="15" customHeight="1" x14ac:dyDescent="0.35">
      <c r="A2664" s="24"/>
      <c r="B2664" s="38"/>
      <c r="C2664" s="38"/>
      <c r="D2664" s="38"/>
      <c r="E2664" s="37"/>
      <c r="F2664" s="38"/>
      <c r="G2664" s="198"/>
      <c r="H2664" s="198"/>
      <c r="I2664" s="39"/>
      <c r="J2664" s="38"/>
      <c r="K2664" s="198"/>
      <c r="L2664" s="38"/>
      <c r="M2664" s="38"/>
      <c r="N2664" s="38"/>
      <c r="O2664" s="38"/>
      <c r="P2664" s="40" t="str" cm="1">
        <f t="array" ref="P2664">IF(N2664="","",IFERROR(_xlfn.XLOOKUP(F2664&amp;"|"&amp;J2664&amp;"|"&amp;O2664,PRICES!$C$2:$C$659&amp;"|"&amp;PRICES!$B$2:$B$659&amp;"|"&amp;PRICES!$D$2:$D$659,PRICES!$E$2:$E$659),"Not Found"))</f>
        <v/>
      </c>
      <c r="Q2664" s="100" t="str">
        <f>IF(N2664=0,"",SUMIFS(PRICES!$G$2:$G$658,PRICES!$B$2:$B$658,'MAIN TABLE-1 AUTOMATED'!J2664,PRICES!$C$2:$C$658,'MAIN TABLE-1 AUTOMATED'!F2664,PRICES!$D$2:$D$658,'MAIN TABLE-1 AUTOMATED'!O2664))</f>
        <v/>
      </c>
      <c r="R2664" s="41" t="str">
        <f>IF(Table1[[#This Row],[QUANTITY]]=0,"",Table1[[#This Row],[UNIT PRICE]]*Table1[[#This Row],[QUANTITY]])</f>
        <v/>
      </c>
      <c r="S2664" s="89"/>
      <c r="T2664" s="38"/>
      <c r="U2664" s="43"/>
      <c r="V2664" s="42" t="str">
        <f>IF(Table1[[#This Row],[DATE]]=0,"",YEAR(E2664))</f>
        <v/>
      </c>
      <c r="W2664" s="40" t="str">
        <f t="shared" si="86"/>
        <v/>
      </c>
      <c r="X2664" s="40" t="str">
        <f t="shared" si="87"/>
        <v/>
      </c>
      <c r="Y2664" s="40" t="str">
        <f>TEXT(Table1[[#This Row],[YEAR]],"0000")&amp;"-"&amp;Table1[[#This Row],[MONTH]]</f>
        <v>-</v>
      </c>
    </row>
    <row r="2665" spans="1:25" ht="15" customHeight="1" x14ac:dyDescent="0.35">
      <c r="A2665" s="24"/>
      <c r="B2665" s="38"/>
      <c r="C2665" s="38"/>
      <c r="D2665" s="38"/>
      <c r="E2665" s="37"/>
      <c r="F2665" s="38"/>
      <c r="G2665" s="198"/>
      <c r="H2665" s="198"/>
      <c r="I2665" s="39"/>
      <c r="J2665" s="38"/>
      <c r="K2665" s="198"/>
      <c r="L2665" s="38"/>
      <c r="M2665" s="38"/>
      <c r="N2665" s="38"/>
      <c r="O2665" s="38"/>
      <c r="P2665" s="40" t="str" cm="1">
        <f t="array" ref="P2665">IF(N2665="","",IFERROR(_xlfn.XLOOKUP(F2665&amp;"|"&amp;J2665&amp;"|"&amp;O2665,PRICES!$C$2:$C$659&amp;"|"&amp;PRICES!$B$2:$B$659&amp;"|"&amp;PRICES!$D$2:$D$659,PRICES!$E$2:$E$659),"Not Found"))</f>
        <v/>
      </c>
      <c r="Q2665" s="100" t="str">
        <f>IF(N2665=0,"",SUMIFS(PRICES!$G$2:$G$658,PRICES!$B$2:$B$658,'MAIN TABLE-1 AUTOMATED'!J2665,PRICES!$C$2:$C$658,'MAIN TABLE-1 AUTOMATED'!F2665,PRICES!$D$2:$D$658,'MAIN TABLE-1 AUTOMATED'!O2665))</f>
        <v/>
      </c>
      <c r="R2665" s="41" t="str">
        <f>IF(Table1[[#This Row],[QUANTITY]]=0,"",Table1[[#This Row],[UNIT PRICE]]*Table1[[#This Row],[QUANTITY]])</f>
        <v/>
      </c>
      <c r="S2665" s="89"/>
      <c r="T2665" s="38"/>
      <c r="U2665" s="43"/>
      <c r="V2665" s="42" t="str">
        <f>IF(Table1[[#This Row],[DATE]]=0,"",YEAR(E2665))</f>
        <v/>
      </c>
      <c r="W2665" s="40" t="str">
        <f t="shared" si="86"/>
        <v/>
      </c>
      <c r="X2665" s="40" t="str">
        <f t="shared" si="87"/>
        <v/>
      </c>
      <c r="Y2665" s="40" t="str">
        <f>TEXT(Table1[[#This Row],[YEAR]],"0000")&amp;"-"&amp;Table1[[#This Row],[MONTH]]</f>
        <v>-</v>
      </c>
    </row>
    <row r="2666" spans="1:25" ht="15" customHeight="1" x14ac:dyDescent="0.35">
      <c r="A2666" s="24"/>
      <c r="B2666" s="38"/>
      <c r="C2666" s="38"/>
      <c r="D2666" s="38"/>
      <c r="E2666" s="37"/>
      <c r="F2666" s="38"/>
      <c r="G2666" s="198"/>
      <c r="H2666" s="198"/>
      <c r="I2666" s="39"/>
      <c r="J2666" s="38"/>
      <c r="K2666" s="198"/>
      <c r="L2666" s="38"/>
      <c r="M2666" s="38"/>
      <c r="N2666" s="38"/>
      <c r="O2666" s="38"/>
      <c r="P2666" s="40" t="str" cm="1">
        <f t="array" ref="P2666">IF(N2666="","",IFERROR(_xlfn.XLOOKUP(F2666&amp;"|"&amp;J2666&amp;"|"&amp;O2666,PRICES!$C$2:$C$659&amp;"|"&amp;PRICES!$B$2:$B$659&amp;"|"&amp;PRICES!$D$2:$D$659,PRICES!$E$2:$E$659),"Not Found"))</f>
        <v/>
      </c>
      <c r="Q2666" s="100" t="str">
        <f>IF(N2666=0,"",SUMIFS(PRICES!$G$2:$G$658,PRICES!$B$2:$B$658,'MAIN TABLE-1 AUTOMATED'!J2666,PRICES!$C$2:$C$658,'MAIN TABLE-1 AUTOMATED'!F2666,PRICES!$D$2:$D$658,'MAIN TABLE-1 AUTOMATED'!O2666))</f>
        <v/>
      </c>
      <c r="R2666" s="41" t="str">
        <f>IF(Table1[[#This Row],[QUANTITY]]=0,"",Table1[[#This Row],[UNIT PRICE]]*Table1[[#This Row],[QUANTITY]])</f>
        <v/>
      </c>
      <c r="S2666" s="89"/>
      <c r="T2666" s="38"/>
      <c r="U2666" s="43"/>
      <c r="V2666" s="42" t="str">
        <f>IF(Table1[[#This Row],[DATE]]=0,"",YEAR(E2666))</f>
        <v/>
      </c>
      <c r="W2666" s="40" t="str">
        <f t="shared" si="86"/>
        <v/>
      </c>
      <c r="X2666" s="40" t="str">
        <f t="shared" si="87"/>
        <v/>
      </c>
      <c r="Y2666" s="40" t="str">
        <f>TEXT(Table1[[#This Row],[YEAR]],"0000")&amp;"-"&amp;Table1[[#This Row],[MONTH]]</f>
        <v>-</v>
      </c>
    </row>
    <row r="2667" spans="1:25" ht="15" customHeight="1" x14ac:dyDescent="0.35">
      <c r="A2667" s="24"/>
      <c r="B2667" s="38"/>
      <c r="C2667" s="38"/>
      <c r="D2667" s="38"/>
      <c r="E2667" s="37"/>
      <c r="F2667" s="38"/>
      <c r="G2667" s="198"/>
      <c r="H2667" s="198"/>
      <c r="I2667" s="39"/>
      <c r="J2667" s="38"/>
      <c r="K2667" s="198"/>
      <c r="L2667" s="38"/>
      <c r="M2667" s="38"/>
      <c r="N2667" s="38"/>
      <c r="O2667" s="38"/>
      <c r="P2667" s="40" t="str" cm="1">
        <f t="array" ref="P2667">IF(N2667="","",IFERROR(_xlfn.XLOOKUP(F2667&amp;"|"&amp;J2667&amp;"|"&amp;O2667,PRICES!$C$2:$C$659&amp;"|"&amp;PRICES!$B$2:$B$659&amp;"|"&amp;PRICES!$D$2:$D$659,PRICES!$E$2:$E$659),"Not Found"))</f>
        <v/>
      </c>
      <c r="Q2667" s="100" t="str">
        <f>IF(N2667=0,"",SUMIFS(PRICES!$G$2:$G$658,PRICES!$B$2:$B$658,'MAIN TABLE-1 AUTOMATED'!J2667,PRICES!$C$2:$C$658,'MAIN TABLE-1 AUTOMATED'!F2667,PRICES!$D$2:$D$658,'MAIN TABLE-1 AUTOMATED'!O2667))</f>
        <v/>
      </c>
      <c r="R2667" s="41" t="str">
        <f>IF(Table1[[#This Row],[QUANTITY]]=0,"",Table1[[#This Row],[UNIT PRICE]]*Table1[[#This Row],[QUANTITY]])</f>
        <v/>
      </c>
      <c r="S2667" s="89"/>
      <c r="T2667" s="38"/>
      <c r="U2667" s="43"/>
      <c r="V2667" s="42" t="str">
        <f>IF(Table1[[#This Row],[DATE]]=0,"",YEAR(E2667))</f>
        <v/>
      </c>
      <c r="W2667" s="40" t="str">
        <f t="shared" si="86"/>
        <v/>
      </c>
      <c r="X2667" s="40" t="str">
        <f t="shared" si="87"/>
        <v/>
      </c>
      <c r="Y2667" s="40" t="str">
        <f>TEXT(Table1[[#This Row],[YEAR]],"0000")&amp;"-"&amp;Table1[[#This Row],[MONTH]]</f>
        <v>-</v>
      </c>
    </row>
    <row r="2668" spans="1:25" ht="15" customHeight="1" x14ac:dyDescent="0.35">
      <c r="A2668" s="24"/>
      <c r="B2668" s="38"/>
      <c r="C2668" s="38"/>
      <c r="D2668" s="38"/>
      <c r="E2668" s="37"/>
      <c r="F2668" s="38"/>
      <c r="G2668" s="198"/>
      <c r="H2668" s="198"/>
      <c r="I2668" s="39"/>
      <c r="J2668" s="38"/>
      <c r="K2668" s="198"/>
      <c r="L2668" s="38"/>
      <c r="M2668" s="38"/>
      <c r="N2668" s="38"/>
      <c r="O2668" s="38"/>
      <c r="P2668" s="40" t="str" cm="1">
        <f t="array" ref="P2668">IF(N2668="","",IFERROR(_xlfn.XLOOKUP(F2668&amp;"|"&amp;J2668&amp;"|"&amp;O2668,PRICES!$C$2:$C$659&amp;"|"&amp;PRICES!$B$2:$B$659&amp;"|"&amp;PRICES!$D$2:$D$659,PRICES!$E$2:$E$659),"Not Found"))</f>
        <v/>
      </c>
      <c r="Q2668" s="100" t="str">
        <f>IF(N2668=0,"",SUMIFS(PRICES!$G$2:$G$658,PRICES!$B$2:$B$658,'MAIN TABLE-1 AUTOMATED'!J2668,PRICES!$C$2:$C$658,'MAIN TABLE-1 AUTOMATED'!F2668,PRICES!$D$2:$D$658,'MAIN TABLE-1 AUTOMATED'!O2668))</f>
        <v/>
      </c>
      <c r="R2668" s="41" t="str">
        <f>IF(Table1[[#This Row],[QUANTITY]]=0,"",Table1[[#This Row],[UNIT PRICE]]*Table1[[#This Row],[QUANTITY]])</f>
        <v/>
      </c>
      <c r="S2668" s="89"/>
      <c r="T2668" s="38"/>
      <c r="U2668" s="43"/>
      <c r="V2668" s="42" t="str">
        <f>IF(Table1[[#This Row],[DATE]]=0,"",YEAR(E2668))</f>
        <v/>
      </c>
      <c r="W2668" s="40" t="str">
        <f t="shared" si="86"/>
        <v/>
      </c>
      <c r="X2668" s="40" t="str">
        <f t="shared" si="87"/>
        <v/>
      </c>
      <c r="Y2668" s="40" t="str">
        <f>TEXT(Table1[[#This Row],[YEAR]],"0000")&amp;"-"&amp;Table1[[#This Row],[MONTH]]</f>
        <v>-</v>
      </c>
    </row>
    <row r="2669" spans="1:25" ht="15" customHeight="1" x14ac:dyDescent="0.35">
      <c r="A2669" s="24"/>
      <c r="B2669" s="38"/>
      <c r="C2669" s="38"/>
      <c r="D2669" s="38"/>
      <c r="E2669" s="37"/>
      <c r="F2669" s="38"/>
      <c r="G2669" s="198"/>
      <c r="H2669" s="198"/>
      <c r="I2669" s="39"/>
      <c r="J2669" s="38"/>
      <c r="K2669" s="198"/>
      <c r="L2669" s="38"/>
      <c r="M2669" s="38"/>
      <c r="N2669" s="38"/>
      <c r="O2669" s="38"/>
      <c r="P2669" s="40" t="str" cm="1">
        <f t="array" ref="P2669">IF(N2669="","",IFERROR(_xlfn.XLOOKUP(F2669&amp;"|"&amp;J2669&amp;"|"&amp;O2669,PRICES!$C$2:$C$659&amp;"|"&amp;PRICES!$B$2:$B$659&amp;"|"&amp;PRICES!$D$2:$D$659,PRICES!$E$2:$E$659),"Not Found"))</f>
        <v/>
      </c>
      <c r="Q2669" s="100" t="str">
        <f>IF(N2669=0,"",SUMIFS(PRICES!$G$2:$G$658,PRICES!$B$2:$B$658,'MAIN TABLE-1 AUTOMATED'!J2669,PRICES!$C$2:$C$658,'MAIN TABLE-1 AUTOMATED'!F2669,PRICES!$D$2:$D$658,'MAIN TABLE-1 AUTOMATED'!O2669))</f>
        <v/>
      </c>
      <c r="R2669" s="41" t="str">
        <f>IF(Table1[[#This Row],[QUANTITY]]=0,"",Table1[[#This Row],[UNIT PRICE]]*Table1[[#This Row],[QUANTITY]])</f>
        <v/>
      </c>
      <c r="S2669" s="89"/>
      <c r="T2669" s="38"/>
      <c r="U2669" s="43"/>
      <c r="V2669" s="42" t="str">
        <f>IF(Table1[[#This Row],[DATE]]=0,"",YEAR(E2669))</f>
        <v/>
      </c>
      <c r="W2669" s="40" t="str">
        <f t="shared" si="86"/>
        <v/>
      </c>
      <c r="X2669" s="40" t="str">
        <f t="shared" si="87"/>
        <v/>
      </c>
      <c r="Y2669" s="40" t="str">
        <f>TEXT(Table1[[#This Row],[YEAR]],"0000")&amp;"-"&amp;Table1[[#This Row],[MONTH]]</f>
        <v>-</v>
      </c>
    </row>
    <row r="2670" spans="1:25" ht="15" customHeight="1" x14ac:dyDescent="0.35">
      <c r="A2670" s="24"/>
      <c r="B2670" s="38"/>
      <c r="C2670" s="38"/>
      <c r="D2670" s="38"/>
      <c r="E2670" s="37"/>
      <c r="F2670" s="38"/>
      <c r="G2670" s="198"/>
      <c r="H2670" s="198"/>
      <c r="I2670" s="39"/>
      <c r="J2670" s="38"/>
      <c r="K2670" s="198"/>
      <c r="L2670" s="38"/>
      <c r="M2670" s="38"/>
      <c r="N2670" s="38"/>
      <c r="O2670" s="38"/>
      <c r="P2670" s="40" t="str" cm="1">
        <f t="array" ref="P2670">IF(N2670="","",IFERROR(_xlfn.XLOOKUP(F2670&amp;"|"&amp;J2670&amp;"|"&amp;O2670,PRICES!$C$2:$C$659&amp;"|"&amp;PRICES!$B$2:$B$659&amp;"|"&amp;PRICES!$D$2:$D$659,PRICES!$E$2:$E$659),"Not Found"))</f>
        <v/>
      </c>
      <c r="Q2670" s="100" t="str">
        <f>IF(N2670=0,"",SUMIFS(PRICES!$G$2:$G$658,PRICES!$B$2:$B$658,'MAIN TABLE-1 AUTOMATED'!J2670,PRICES!$C$2:$C$658,'MAIN TABLE-1 AUTOMATED'!F2670,PRICES!$D$2:$D$658,'MAIN TABLE-1 AUTOMATED'!O2670))</f>
        <v/>
      </c>
      <c r="R2670" s="41" t="str">
        <f>IF(Table1[[#This Row],[QUANTITY]]=0,"",Table1[[#This Row],[UNIT PRICE]]*Table1[[#This Row],[QUANTITY]])</f>
        <v/>
      </c>
      <c r="S2670" s="89"/>
      <c r="T2670" s="38"/>
      <c r="U2670" s="43"/>
      <c r="V2670" s="42" t="str">
        <f>IF(Table1[[#This Row],[DATE]]=0,"",YEAR(E2670))</f>
        <v/>
      </c>
      <c r="W2670" s="40" t="str">
        <f t="shared" si="86"/>
        <v/>
      </c>
      <c r="X2670" s="40" t="str">
        <f t="shared" si="87"/>
        <v/>
      </c>
      <c r="Y2670" s="40" t="str">
        <f>TEXT(Table1[[#This Row],[YEAR]],"0000")&amp;"-"&amp;Table1[[#This Row],[MONTH]]</f>
        <v>-</v>
      </c>
    </row>
    <row r="2671" spans="1:25" ht="15" customHeight="1" x14ac:dyDescent="0.35">
      <c r="A2671" s="24"/>
      <c r="B2671" s="38"/>
      <c r="C2671" s="38"/>
      <c r="D2671" s="38"/>
      <c r="E2671" s="37"/>
      <c r="F2671" s="38"/>
      <c r="G2671" s="198"/>
      <c r="H2671" s="198"/>
      <c r="I2671" s="39"/>
      <c r="J2671" s="38"/>
      <c r="K2671" s="198"/>
      <c r="L2671" s="38"/>
      <c r="M2671" s="38"/>
      <c r="N2671" s="38"/>
      <c r="O2671" s="38"/>
      <c r="P2671" s="40" t="str" cm="1">
        <f t="array" ref="P2671">IF(N2671="","",IFERROR(_xlfn.XLOOKUP(F2671&amp;"|"&amp;J2671&amp;"|"&amp;O2671,PRICES!$C$2:$C$659&amp;"|"&amp;PRICES!$B$2:$B$659&amp;"|"&amp;PRICES!$D$2:$D$659,PRICES!$E$2:$E$659),"Not Found"))</f>
        <v/>
      </c>
      <c r="Q2671" s="100" t="str">
        <f>IF(N2671=0,"",SUMIFS(PRICES!$G$2:$G$658,PRICES!$B$2:$B$658,'MAIN TABLE-1 AUTOMATED'!J2671,PRICES!$C$2:$C$658,'MAIN TABLE-1 AUTOMATED'!F2671,PRICES!$D$2:$D$658,'MAIN TABLE-1 AUTOMATED'!O2671))</f>
        <v/>
      </c>
      <c r="R2671" s="41" t="str">
        <f>IF(Table1[[#This Row],[QUANTITY]]=0,"",Table1[[#This Row],[UNIT PRICE]]*Table1[[#This Row],[QUANTITY]])</f>
        <v/>
      </c>
      <c r="S2671" s="89"/>
      <c r="T2671" s="38"/>
      <c r="U2671" s="43"/>
      <c r="V2671" s="42" t="str">
        <f>IF(Table1[[#This Row],[DATE]]=0,"",YEAR(E2671))</f>
        <v/>
      </c>
      <c r="W2671" s="40" t="str">
        <f t="shared" si="86"/>
        <v/>
      </c>
      <c r="X2671" s="40" t="str">
        <f t="shared" si="87"/>
        <v/>
      </c>
      <c r="Y2671" s="40" t="str">
        <f>TEXT(Table1[[#This Row],[YEAR]],"0000")&amp;"-"&amp;Table1[[#This Row],[MONTH]]</f>
        <v>-</v>
      </c>
    </row>
    <row r="2672" spans="1:25" ht="15" customHeight="1" x14ac:dyDescent="0.35">
      <c r="A2672" s="24"/>
      <c r="B2672" s="38"/>
      <c r="C2672" s="38"/>
      <c r="D2672" s="38"/>
      <c r="E2672" s="37"/>
      <c r="F2672" s="38"/>
      <c r="G2672" s="198"/>
      <c r="H2672" s="198"/>
      <c r="I2672" s="39"/>
      <c r="J2672" s="38"/>
      <c r="K2672" s="198"/>
      <c r="L2672" s="38"/>
      <c r="M2672" s="38"/>
      <c r="N2672" s="38"/>
      <c r="O2672" s="38"/>
      <c r="P2672" s="40" t="str" cm="1">
        <f t="array" ref="P2672">IF(N2672="","",IFERROR(_xlfn.XLOOKUP(F2672&amp;"|"&amp;J2672&amp;"|"&amp;O2672,PRICES!$C$2:$C$659&amp;"|"&amp;PRICES!$B$2:$B$659&amp;"|"&amp;PRICES!$D$2:$D$659,PRICES!$E$2:$E$659),"Not Found"))</f>
        <v/>
      </c>
      <c r="Q2672" s="100" t="str">
        <f>IF(N2672=0,"",SUMIFS(PRICES!$G$2:$G$658,PRICES!$B$2:$B$658,'MAIN TABLE-1 AUTOMATED'!J2672,PRICES!$C$2:$C$658,'MAIN TABLE-1 AUTOMATED'!F2672,PRICES!$D$2:$D$658,'MAIN TABLE-1 AUTOMATED'!O2672))</f>
        <v/>
      </c>
      <c r="R2672" s="41" t="str">
        <f>IF(Table1[[#This Row],[QUANTITY]]=0,"",Table1[[#This Row],[UNIT PRICE]]*Table1[[#This Row],[QUANTITY]])</f>
        <v/>
      </c>
      <c r="S2672" s="89"/>
      <c r="T2672" s="38"/>
      <c r="U2672" s="43"/>
      <c r="V2672" s="42" t="str">
        <f>IF(Table1[[#This Row],[DATE]]=0,"",YEAR(E2672))</f>
        <v/>
      </c>
      <c r="W2672" s="40" t="str">
        <f t="shared" si="86"/>
        <v/>
      </c>
      <c r="X2672" s="40" t="str">
        <f t="shared" si="87"/>
        <v/>
      </c>
      <c r="Y2672" s="40" t="str">
        <f>TEXT(Table1[[#This Row],[YEAR]],"0000")&amp;"-"&amp;Table1[[#This Row],[MONTH]]</f>
        <v>-</v>
      </c>
    </row>
    <row r="2673" spans="1:25" ht="15" customHeight="1" x14ac:dyDescent="0.35">
      <c r="A2673" s="24"/>
      <c r="B2673" s="38"/>
      <c r="C2673" s="38"/>
      <c r="D2673" s="38"/>
      <c r="E2673" s="37"/>
      <c r="F2673" s="38"/>
      <c r="G2673" s="198"/>
      <c r="H2673" s="198"/>
      <c r="I2673" s="39"/>
      <c r="J2673" s="38"/>
      <c r="K2673" s="198"/>
      <c r="L2673" s="38"/>
      <c r="M2673" s="38"/>
      <c r="N2673" s="38"/>
      <c r="O2673" s="38"/>
      <c r="P2673" s="40" t="str" cm="1">
        <f t="array" ref="P2673">IF(N2673="","",IFERROR(_xlfn.XLOOKUP(F2673&amp;"|"&amp;J2673&amp;"|"&amp;O2673,PRICES!$C$2:$C$659&amp;"|"&amp;PRICES!$B$2:$B$659&amp;"|"&amp;PRICES!$D$2:$D$659,PRICES!$E$2:$E$659),"Not Found"))</f>
        <v/>
      </c>
      <c r="Q2673" s="100" t="str">
        <f>IF(N2673=0,"",SUMIFS(PRICES!$G$2:$G$658,PRICES!$B$2:$B$658,'MAIN TABLE-1 AUTOMATED'!J2673,PRICES!$C$2:$C$658,'MAIN TABLE-1 AUTOMATED'!F2673,PRICES!$D$2:$D$658,'MAIN TABLE-1 AUTOMATED'!O2673))</f>
        <v/>
      </c>
      <c r="R2673" s="41" t="str">
        <f>IF(Table1[[#This Row],[QUANTITY]]=0,"",Table1[[#This Row],[UNIT PRICE]]*Table1[[#This Row],[QUANTITY]])</f>
        <v/>
      </c>
      <c r="S2673" s="89"/>
      <c r="T2673" s="38"/>
      <c r="U2673" s="43"/>
      <c r="V2673" s="42" t="str">
        <f>IF(Table1[[#This Row],[DATE]]=0,"",YEAR(E2673))</f>
        <v/>
      </c>
      <c r="W2673" s="40" t="str">
        <f t="shared" si="86"/>
        <v/>
      </c>
      <c r="X2673" s="40" t="str">
        <f t="shared" si="87"/>
        <v/>
      </c>
      <c r="Y2673" s="40" t="str">
        <f>TEXT(Table1[[#This Row],[YEAR]],"0000")&amp;"-"&amp;Table1[[#This Row],[MONTH]]</f>
        <v>-</v>
      </c>
    </row>
    <row r="2674" spans="1:25" ht="15" customHeight="1" x14ac:dyDescent="0.35">
      <c r="A2674" s="24"/>
      <c r="B2674" s="38"/>
      <c r="C2674" s="38"/>
      <c r="D2674" s="38"/>
      <c r="E2674" s="37"/>
      <c r="F2674" s="38"/>
      <c r="G2674" s="198"/>
      <c r="H2674" s="198"/>
      <c r="I2674" s="39"/>
      <c r="J2674" s="38"/>
      <c r="K2674" s="198"/>
      <c r="L2674" s="38"/>
      <c r="M2674" s="38"/>
      <c r="N2674" s="38"/>
      <c r="O2674" s="38"/>
      <c r="P2674" s="40" t="str" cm="1">
        <f t="array" ref="P2674">IF(N2674="","",IFERROR(_xlfn.XLOOKUP(F2674&amp;"|"&amp;J2674&amp;"|"&amp;O2674,PRICES!$C$2:$C$659&amp;"|"&amp;PRICES!$B$2:$B$659&amp;"|"&amp;PRICES!$D$2:$D$659,PRICES!$E$2:$E$659),"Not Found"))</f>
        <v/>
      </c>
      <c r="Q2674" s="100" t="str">
        <f>IF(N2674=0,"",SUMIFS(PRICES!$G$2:$G$658,PRICES!$B$2:$B$658,'MAIN TABLE-1 AUTOMATED'!J2674,PRICES!$C$2:$C$658,'MAIN TABLE-1 AUTOMATED'!F2674,PRICES!$D$2:$D$658,'MAIN TABLE-1 AUTOMATED'!O2674))</f>
        <v/>
      </c>
      <c r="R2674" s="41" t="str">
        <f>IF(Table1[[#This Row],[QUANTITY]]=0,"",Table1[[#This Row],[UNIT PRICE]]*Table1[[#This Row],[QUANTITY]])</f>
        <v/>
      </c>
      <c r="S2674" s="89"/>
      <c r="T2674" s="38"/>
      <c r="U2674" s="43"/>
      <c r="V2674" s="42" t="str">
        <f>IF(Table1[[#This Row],[DATE]]=0,"",YEAR(E2674))</f>
        <v/>
      </c>
      <c r="W2674" s="40" t="str">
        <f t="shared" si="86"/>
        <v/>
      </c>
      <c r="X2674" s="40" t="str">
        <f t="shared" si="87"/>
        <v/>
      </c>
      <c r="Y2674" s="40" t="str">
        <f>TEXT(Table1[[#This Row],[YEAR]],"0000")&amp;"-"&amp;Table1[[#This Row],[MONTH]]</f>
        <v>-</v>
      </c>
    </row>
    <row r="2675" spans="1:25" ht="15" customHeight="1" x14ac:dyDescent="0.35">
      <c r="A2675" s="24"/>
      <c r="B2675" s="38"/>
      <c r="C2675" s="38"/>
      <c r="D2675" s="38"/>
      <c r="E2675" s="37"/>
      <c r="F2675" s="38"/>
      <c r="G2675" s="198"/>
      <c r="H2675" s="198"/>
      <c r="I2675" s="39"/>
      <c r="J2675" s="38"/>
      <c r="K2675" s="198"/>
      <c r="L2675" s="38"/>
      <c r="M2675" s="38"/>
      <c r="N2675" s="38"/>
      <c r="O2675" s="38"/>
      <c r="P2675" s="40" t="str" cm="1">
        <f t="array" ref="P2675">IF(N2675="","",IFERROR(_xlfn.XLOOKUP(F2675&amp;"|"&amp;J2675&amp;"|"&amp;O2675,PRICES!$C$2:$C$659&amp;"|"&amp;PRICES!$B$2:$B$659&amp;"|"&amp;PRICES!$D$2:$D$659,PRICES!$E$2:$E$659),"Not Found"))</f>
        <v/>
      </c>
      <c r="Q2675" s="100" t="str">
        <f>IF(N2675=0,"",SUMIFS(PRICES!$G$2:$G$658,PRICES!$B$2:$B$658,'MAIN TABLE-1 AUTOMATED'!J2675,PRICES!$C$2:$C$658,'MAIN TABLE-1 AUTOMATED'!F2675,PRICES!$D$2:$D$658,'MAIN TABLE-1 AUTOMATED'!O2675))</f>
        <v/>
      </c>
      <c r="R2675" s="41" t="str">
        <f>IF(Table1[[#This Row],[QUANTITY]]=0,"",Table1[[#This Row],[UNIT PRICE]]*Table1[[#This Row],[QUANTITY]])</f>
        <v/>
      </c>
      <c r="S2675" s="89"/>
      <c r="T2675" s="38"/>
      <c r="U2675" s="43"/>
      <c r="V2675" s="42" t="str">
        <f>IF(Table1[[#This Row],[DATE]]=0,"",YEAR(E2675))</f>
        <v/>
      </c>
      <c r="W2675" s="40" t="str">
        <f t="shared" si="86"/>
        <v/>
      </c>
      <c r="X2675" s="40" t="str">
        <f t="shared" si="87"/>
        <v/>
      </c>
      <c r="Y2675" s="40" t="str">
        <f>TEXT(Table1[[#This Row],[YEAR]],"0000")&amp;"-"&amp;Table1[[#This Row],[MONTH]]</f>
        <v>-</v>
      </c>
    </row>
    <row r="2676" spans="1:25" ht="15" customHeight="1" x14ac:dyDescent="0.35">
      <c r="A2676" s="24"/>
      <c r="B2676" s="38"/>
      <c r="C2676" s="38"/>
      <c r="D2676" s="38"/>
      <c r="E2676" s="37"/>
      <c r="F2676" s="38"/>
      <c r="G2676" s="198"/>
      <c r="H2676" s="198"/>
      <c r="I2676" s="39"/>
      <c r="J2676" s="38"/>
      <c r="K2676" s="198"/>
      <c r="L2676" s="38"/>
      <c r="M2676" s="38"/>
      <c r="N2676" s="38"/>
      <c r="O2676" s="38"/>
      <c r="P2676" s="40" t="str" cm="1">
        <f t="array" ref="P2676">IF(N2676="","",IFERROR(_xlfn.XLOOKUP(F2676&amp;"|"&amp;J2676&amp;"|"&amp;O2676,PRICES!$C$2:$C$659&amp;"|"&amp;PRICES!$B$2:$B$659&amp;"|"&amp;PRICES!$D$2:$D$659,PRICES!$E$2:$E$659),"Not Found"))</f>
        <v/>
      </c>
      <c r="Q2676" s="100" t="str">
        <f>IF(N2676=0,"",SUMIFS(PRICES!$G$2:$G$658,PRICES!$B$2:$B$658,'MAIN TABLE-1 AUTOMATED'!J2676,PRICES!$C$2:$C$658,'MAIN TABLE-1 AUTOMATED'!F2676,PRICES!$D$2:$D$658,'MAIN TABLE-1 AUTOMATED'!O2676))</f>
        <v/>
      </c>
      <c r="R2676" s="41" t="str">
        <f>IF(Table1[[#This Row],[QUANTITY]]=0,"",Table1[[#This Row],[UNIT PRICE]]*Table1[[#This Row],[QUANTITY]])</f>
        <v/>
      </c>
      <c r="S2676" s="89"/>
      <c r="T2676" s="38"/>
      <c r="U2676" s="43"/>
      <c r="V2676" s="42" t="str">
        <f>IF(Table1[[#This Row],[DATE]]=0,"",YEAR(E2676))</f>
        <v/>
      </c>
      <c r="W2676" s="40" t="str">
        <f t="shared" si="86"/>
        <v/>
      </c>
      <c r="X2676" s="40" t="str">
        <f t="shared" si="87"/>
        <v/>
      </c>
      <c r="Y2676" s="40" t="str">
        <f>TEXT(Table1[[#This Row],[YEAR]],"0000")&amp;"-"&amp;Table1[[#This Row],[MONTH]]</f>
        <v>-</v>
      </c>
    </row>
    <row r="2677" spans="1:25" ht="15" customHeight="1" x14ac:dyDescent="0.35">
      <c r="A2677" s="24"/>
      <c r="B2677" s="38"/>
      <c r="C2677" s="38"/>
      <c r="D2677" s="38"/>
      <c r="E2677" s="37"/>
      <c r="F2677" s="38"/>
      <c r="G2677" s="198"/>
      <c r="H2677" s="198"/>
      <c r="I2677" s="39"/>
      <c r="J2677" s="38"/>
      <c r="K2677" s="198"/>
      <c r="L2677" s="38"/>
      <c r="M2677" s="38"/>
      <c r="N2677" s="38"/>
      <c r="O2677" s="38"/>
      <c r="P2677" s="40" t="str" cm="1">
        <f t="array" ref="P2677">IF(N2677="","",IFERROR(_xlfn.XLOOKUP(F2677&amp;"|"&amp;J2677&amp;"|"&amp;O2677,PRICES!$C$2:$C$659&amp;"|"&amp;PRICES!$B$2:$B$659&amp;"|"&amp;PRICES!$D$2:$D$659,PRICES!$E$2:$E$659),"Not Found"))</f>
        <v/>
      </c>
      <c r="Q2677" s="100" t="str">
        <f>IF(N2677=0,"",SUMIFS(PRICES!$G$2:$G$658,PRICES!$B$2:$B$658,'MAIN TABLE-1 AUTOMATED'!J2677,PRICES!$C$2:$C$658,'MAIN TABLE-1 AUTOMATED'!F2677,PRICES!$D$2:$D$658,'MAIN TABLE-1 AUTOMATED'!O2677))</f>
        <v/>
      </c>
      <c r="R2677" s="41" t="str">
        <f>IF(Table1[[#This Row],[QUANTITY]]=0,"",Table1[[#This Row],[UNIT PRICE]]*Table1[[#This Row],[QUANTITY]])</f>
        <v/>
      </c>
      <c r="S2677" s="89"/>
      <c r="T2677" s="38"/>
      <c r="U2677" s="43"/>
      <c r="V2677" s="42" t="str">
        <f>IF(Table1[[#This Row],[DATE]]=0,"",YEAR(E2677))</f>
        <v/>
      </c>
      <c r="W2677" s="40" t="str">
        <f t="shared" si="86"/>
        <v/>
      </c>
      <c r="X2677" s="40" t="str">
        <f t="shared" si="87"/>
        <v/>
      </c>
      <c r="Y2677" s="40" t="str">
        <f>TEXT(Table1[[#This Row],[YEAR]],"0000")&amp;"-"&amp;Table1[[#This Row],[MONTH]]</f>
        <v>-</v>
      </c>
    </row>
    <row r="2678" spans="1:25" ht="15" customHeight="1" x14ac:dyDescent="0.35">
      <c r="A2678" s="24"/>
      <c r="B2678" s="38"/>
      <c r="C2678" s="38"/>
      <c r="D2678" s="38"/>
      <c r="E2678" s="37"/>
      <c r="F2678" s="38"/>
      <c r="G2678" s="198"/>
      <c r="H2678" s="198"/>
      <c r="I2678" s="39"/>
      <c r="J2678" s="38"/>
      <c r="K2678" s="198"/>
      <c r="L2678" s="38"/>
      <c r="M2678" s="38"/>
      <c r="N2678" s="38"/>
      <c r="O2678" s="38"/>
      <c r="P2678" s="40" t="str" cm="1">
        <f t="array" ref="P2678">IF(N2678="","",IFERROR(_xlfn.XLOOKUP(F2678&amp;"|"&amp;J2678&amp;"|"&amp;O2678,PRICES!$C$2:$C$659&amp;"|"&amp;PRICES!$B$2:$B$659&amp;"|"&amp;PRICES!$D$2:$D$659,PRICES!$E$2:$E$659),"Not Found"))</f>
        <v/>
      </c>
      <c r="Q2678" s="100" t="str">
        <f>IF(N2678=0,"",SUMIFS(PRICES!$G$2:$G$658,PRICES!$B$2:$B$658,'MAIN TABLE-1 AUTOMATED'!J2678,PRICES!$C$2:$C$658,'MAIN TABLE-1 AUTOMATED'!F2678,PRICES!$D$2:$D$658,'MAIN TABLE-1 AUTOMATED'!O2678))</f>
        <v/>
      </c>
      <c r="R2678" s="41" t="str">
        <f>IF(Table1[[#This Row],[QUANTITY]]=0,"",Table1[[#This Row],[UNIT PRICE]]*Table1[[#This Row],[QUANTITY]])</f>
        <v/>
      </c>
      <c r="S2678" s="89"/>
      <c r="T2678" s="38"/>
      <c r="U2678" s="43"/>
      <c r="V2678" s="42" t="str">
        <f>IF(Table1[[#This Row],[DATE]]=0,"",YEAR(E2678))</f>
        <v/>
      </c>
      <c r="W2678" s="40" t="str">
        <f t="shared" si="86"/>
        <v/>
      </c>
      <c r="X2678" s="40" t="str">
        <f t="shared" si="87"/>
        <v/>
      </c>
      <c r="Y2678" s="40" t="str">
        <f>TEXT(Table1[[#This Row],[YEAR]],"0000")&amp;"-"&amp;Table1[[#This Row],[MONTH]]</f>
        <v>-</v>
      </c>
    </row>
    <row r="2679" spans="1:25" ht="15" customHeight="1" x14ac:dyDescent="0.35">
      <c r="A2679" s="24"/>
      <c r="B2679" s="38"/>
      <c r="C2679" s="38"/>
      <c r="D2679" s="38"/>
      <c r="E2679" s="37"/>
      <c r="F2679" s="38"/>
      <c r="G2679" s="198"/>
      <c r="H2679" s="198"/>
      <c r="I2679" s="39"/>
      <c r="J2679" s="38"/>
      <c r="K2679" s="198"/>
      <c r="L2679" s="38"/>
      <c r="M2679" s="38"/>
      <c r="N2679" s="38"/>
      <c r="O2679" s="38"/>
      <c r="P2679" s="40" t="str" cm="1">
        <f t="array" ref="P2679">IF(N2679="","",IFERROR(_xlfn.XLOOKUP(F2679&amp;"|"&amp;J2679&amp;"|"&amp;O2679,PRICES!$C$2:$C$659&amp;"|"&amp;PRICES!$B$2:$B$659&amp;"|"&amp;PRICES!$D$2:$D$659,PRICES!$E$2:$E$659),"Not Found"))</f>
        <v/>
      </c>
      <c r="Q2679" s="100" t="str">
        <f>IF(N2679=0,"",SUMIFS(PRICES!$G$2:$G$658,PRICES!$B$2:$B$658,'MAIN TABLE-1 AUTOMATED'!J2679,PRICES!$C$2:$C$658,'MAIN TABLE-1 AUTOMATED'!F2679,PRICES!$D$2:$D$658,'MAIN TABLE-1 AUTOMATED'!O2679))</f>
        <v/>
      </c>
      <c r="R2679" s="41" t="str">
        <f>IF(Table1[[#This Row],[QUANTITY]]=0,"",Table1[[#This Row],[UNIT PRICE]]*Table1[[#This Row],[QUANTITY]])</f>
        <v/>
      </c>
      <c r="S2679" s="89"/>
      <c r="T2679" s="38"/>
      <c r="U2679" s="43"/>
      <c r="V2679" s="42" t="str">
        <f>IF(Table1[[#This Row],[DATE]]=0,"",YEAR(E2679))</f>
        <v/>
      </c>
      <c r="W2679" s="40" t="str">
        <f t="shared" si="86"/>
        <v/>
      </c>
      <c r="X2679" s="40" t="str">
        <f t="shared" si="87"/>
        <v/>
      </c>
      <c r="Y2679" s="40" t="str">
        <f>TEXT(Table1[[#This Row],[YEAR]],"0000")&amp;"-"&amp;Table1[[#This Row],[MONTH]]</f>
        <v>-</v>
      </c>
    </row>
    <row r="2680" spans="1:25" ht="15" customHeight="1" x14ac:dyDescent="0.35">
      <c r="A2680" s="24"/>
      <c r="B2680" s="38"/>
      <c r="C2680" s="38"/>
      <c r="D2680" s="38"/>
      <c r="E2680" s="37"/>
      <c r="F2680" s="38"/>
      <c r="G2680" s="198"/>
      <c r="H2680" s="198"/>
      <c r="I2680" s="39"/>
      <c r="J2680" s="38"/>
      <c r="K2680" s="198"/>
      <c r="L2680" s="38"/>
      <c r="M2680" s="38"/>
      <c r="N2680" s="38"/>
      <c r="O2680" s="38"/>
      <c r="P2680" s="40" t="str" cm="1">
        <f t="array" ref="P2680">IF(N2680="","",IFERROR(_xlfn.XLOOKUP(F2680&amp;"|"&amp;J2680&amp;"|"&amp;O2680,PRICES!$C$2:$C$659&amp;"|"&amp;PRICES!$B$2:$B$659&amp;"|"&amp;PRICES!$D$2:$D$659,PRICES!$E$2:$E$659),"Not Found"))</f>
        <v/>
      </c>
      <c r="Q2680" s="100" t="str">
        <f>IF(N2680=0,"",SUMIFS(PRICES!$G$2:$G$658,PRICES!$B$2:$B$658,'MAIN TABLE-1 AUTOMATED'!J2680,PRICES!$C$2:$C$658,'MAIN TABLE-1 AUTOMATED'!F2680,PRICES!$D$2:$D$658,'MAIN TABLE-1 AUTOMATED'!O2680))</f>
        <v/>
      </c>
      <c r="R2680" s="41" t="str">
        <f>IF(Table1[[#This Row],[QUANTITY]]=0,"",Table1[[#This Row],[UNIT PRICE]]*Table1[[#This Row],[QUANTITY]])</f>
        <v/>
      </c>
      <c r="S2680" s="89"/>
      <c r="T2680" s="38"/>
      <c r="U2680" s="43"/>
      <c r="V2680" s="42" t="str">
        <f>IF(Table1[[#This Row],[DATE]]=0,"",YEAR(E2680))</f>
        <v/>
      </c>
      <c r="W2680" s="40" t="str">
        <f t="shared" si="86"/>
        <v/>
      </c>
      <c r="X2680" s="40" t="str">
        <f t="shared" si="87"/>
        <v/>
      </c>
      <c r="Y2680" s="40" t="str">
        <f>TEXT(Table1[[#This Row],[YEAR]],"0000")&amp;"-"&amp;Table1[[#This Row],[MONTH]]</f>
        <v>-</v>
      </c>
    </row>
    <row r="2681" spans="1:25" ht="15" customHeight="1" x14ac:dyDescent="0.35">
      <c r="A2681" s="24"/>
      <c r="B2681" s="38"/>
      <c r="C2681" s="38"/>
      <c r="D2681" s="38"/>
      <c r="E2681" s="37"/>
      <c r="F2681" s="38"/>
      <c r="G2681" s="198"/>
      <c r="H2681" s="198"/>
      <c r="I2681" s="39"/>
      <c r="J2681" s="38"/>
      <c r="K2681" s="198"/>
      <c r="L2681" s="38"/>
      <c r="M2681" s="38"/>
      <c r="N2681" s="38"/>
      <c r="O2681" s="38"/>
      <c r="P2681" s="40" t="str" cm="1">
        <f t="array" ref="P2681">IF(N2681="","",IFERROR(_xlfn.XLOOKUP(F2681&amp;"|"&amp;J2681&amp;"|"&amp;O2681,PRICES!$C$2:$C$659&amp;"|"&amp;PRICES!$B$2:$B$659&amp;"|"&amp;PRICES!$D$2:$D$659,PRICES!$E$2:$E$659),"Not Found"))</f>
        <v/>
      </c>
      <c r="Q2681" s="100" t="str">
        <f>IF(N2681=0,"",SUMIFS(PRICES!$G$2:$G$658,PRICES!$B$2:$B$658,'MAIN TABLE-1 AUTOMATED'!J2681,PRICES!$C$2:$C$658,'MAIN TABLE-1 AUTOMATED'!F2681,PRICES!$D$2:$D$658,'MAIN TABLE-1 AUTOMATED'!O2681))</f>
        <v/>
      </c>
      <c r="R2681" s="41" t="str">
        <f>IF(Table1[[#This Row],[QUANTITY]]=0,"",Table1[[#This Row],[UNIT PRICE]]*Table1[[#This Row],[QUANTITY]])</f>
        <v/>
      </c>
      <c r="S2681" s="89"/>
      <c r="T2681" s="38"/>
      <c r="U2681" s="43"/>
      <c r="V2681" s="42" t="str">
        <f>IF(Table1[[#This Row],[DATE]]=0,"",YEAR(E2681))</f>
        <v/>
      </c>
      <c r="W2681" s="40" t="str">
        <f t="shared" si="86"/>
        <v/>
      </c>
      <c r="X2681" s="40" t="str">
        <f t="shared" si="87"/>
        <v/>
      </c>
      <c r="Y2681" s="40" t="str">
        <f>TEXT(Table1[[#This Row],[YEAR]],"0000")&amp;"-"&amp;Table1[[#This Row],[MONTH]]</f>
        <v>-</v>
      </c>
    </row>
    <row r="2682" spans="1:25" ht="15" customHeight="1" x14ac:dyDescent="0.35">
      <c r="A2682" s="24"/>
      <c r="B2682" s="38"/>
      <c r="C2682" s="38"/>
      <c r="D2682" s="38"/>
      <c r="E2682" s="37"/>
      <c r="F2682" s="38"/>
      <c r="G2682" s="198"/>
      <c r="H2682" s="198"/>
      <c r="I2682" s="39"/>
      <c r="J2682" s="38"/>
      <c r="K2682" s="198"/>
      <c r="L2682" s="38"/>
      <c r="M2682" s="38"/>
      <c r="N2682" s="38"/>
      <c r="O2682" s="38"/>
      <c r="P2682" s="40" t="str" cm="1">
        <f t="array" ref="P2682">IF(N2682="","",IFERROR(_xlfn.XLOOKUP(F2682&amp;"|"&amp;J2682&amp;"|"&amp;O2682,PRICES!$C$2:$C$659&amp;"|"&amp;PRICES!$B$2:$B$659&amp;"|"&amp;PRICES!$D$2:$D$659,PRICES!$E$2:$E$659),"Not Found"))</f>
        <v/>
      </c>
      <c r="Q2682" s="100" t="str">
        <f>IF(N2682=0,"",SUMIFS(PRICES!$G$2:$G$658,PRICES!$B$2:$B$658,'MAIN TABLE-1 AUTOMATED'!J2682,PRICES!$C$2:$C$658,'MAIN TABLE-1 AUTOMATED'!F2682,PRICES!$D$2:$D$658,'MAIN TABLE-1 AUTOMATED'!O2682))</f>
        <v/>
      </c>
      <c r="R2682" s="41" t="str">
        <f>IF(Table1[[#This Row],[QUANTITY]]=0,"",Table1[[#This Row],[UNIT PRICE]]*Table1[[#This Row],[QUANTITY]])</f>
        <v/>
      </c>
      <c r="S2682" s="89"/>
      <c r="T2682" s="38"/>
      <c r="U2682" s="43"/>
      <c r="V2682" s="42" t="str">
        <f>IF(Table1[[#This Row],[DATE]]=0,"",YEAR(E2682))</f>
        <v/>
      </c>
      <c r="W2682" s="40" t="str">
        <f t="shared" si="86"/>
        <v/>
      </c>
      <c r="X2682" s="40" t="str">
        <f t="shared" si="87"/>
        <v/>
      </c>
      <c r="Y2682" s="40" t="str">
        <f>TEXT(Table1[[#This Row],[YEAR]],"0000")&amp;"-"&amp;Table1[[#This Row],[MONTH]]</f>
        <v>-</v>
      </c>
    </row>
    <row r="2683" spans="1:25" ht="15" customHeight="1" x14ac:dyDescent="0.35">
      <c r="A2683" s="24"/>
      <c r="B2683" s="38"/>
      <c r="C2683" s="38"/>
      <c r="D2683" s="38"/>
      <c r="E2683" s="37"/>
      <c r="F2683" s="38"/>
      <c r="G2683" s="198"/>
      <c r="H2683" s="198"/>
      <c r="I2683" s="39"/>
      <c r="J2683" s="38"/>
      <c r="K2683" s="198"/>
      <c r="L2683" s="38"/>
      <c r="M2683" s="38"/>
      <c r="N2683" s="38"/>
      <c r="O2683" s="38"/>
      <c r="P2683" s="40" t="str" cm="1">
        <f t="array" ref="P2683">IF(N2683="","",IFERROR(_xlfn.XLOOKUP(F2683&amp;"|"&amp;J2683&amp;"|"&amp;O2683,PRICES!$C$2:$C$659&amp;"|"&amp;PRICES!$B$2:$B$659&amp;"|"&amp;PRICES!$D$2:$D$659,PRICES!$E$2:$E$659),"Not Found"))</f>
        <v/>
      </c>
      <c r="Q2683" s="100" t="str">
        <f>IF(N2683=0,"",SUMIFS(PRICES!$G$2:$G$658,PRICES!$B$2:$B$658,'MAIN TABLE-1 AUTOMATED'!J2683,PRICES!$C$2:$C$658,'MAIN TABLE-1 AUTOMATED'!F2683,PRICES!$D$2:$D$658,'MAIN TABLE-1 AUTOMATED'!O2683))</f>
        <v/>
      </c>
      <c r="R2683" s="41" t="str">
        <f>IF(Table1[[#This Row],[QUANTITY]]=0,"",Table1[[#This Row],[UNIT PRICE]]*Table1[[#This Row],[QUANTITY]])</f>
        <v/>
      </c>
      <c r="S2683" s="89"/>
      <c r="T2683" s="38"/>
      <c r="U2683" s="43"/>
      <c r="V2683" s="42" t="str">
        <f>IF(Table1[[#This Row],[DATE]]=0,"",YEAR(E2683))</f>
        <v/>
      </c>
      <c r="W2683" s="40" t="str">
        <f t="shared" si="86"/>
        <v/>
      </c>
      <c r="X2683" s="40" t="str">
        <f t="shared" si="87"/>
        <v/>
      </c>
      <c r="Y2683" s="40" t="str">
        <f>TEXT(Table1[[#This Row],[YEAR]],"0000")&amp;"-"&amp;Table1[[#This Row],[MONTH]]</f>
        <v>-</v>
      </c>
    </row>
    <row r="2684" spans="1:25" ht="15" customHeight="1" x14ac:dyDescent="0.35">
      <c r="A2684" s="24"/>
      <c r="B2684" s="38"/>
      <c r="C2684" s="38"/>
      <c r="D2684" s="38"/>
      <c r="E2684" s="37"/>
      <c r="F2684" s="38"/>
      <c r="G2684" s="198"/>
      <c r="H2684" s="198"/>
      <c r="I2684" s="39"/>
      <c r="J2684" s="38"/>
      <c r="K2684" s="198"/>
      <c r="L2684" s="38"/>
      <c r="M2684" s="38"/>
      <c r="N2684" s="38"/>
      <c r="O2684" s="38"/>
      <c r="P2684" s="40" t="str" cm="1">
        <f t="array" ref="P2684">IF(N2684="","",IFERROR(_xlfn.XLOOKUP(F2684&amp;"|"&amp;J2684&amp;"|"&amp;O2684,PRICES!$C$2:$C$659&amp;"|"&amp;PRICES!$B$2:$B$659&amp;"|"&amp;PRICES!$D$2:$D$659,PRICES!$E$2:$E$659),"Not Found"))</f>
        <v/>
      </c>
      <c r="Q2684" s="100" t="str">
        <f>IF(N2684=0,"",SUMIFS(PRICES!$G$2:$G$658,PRICES!$B$2:$B$658,'MAIN TABLE-1 AUTOMATED'!J2684,PRICES!$C$2:$C$658,'MAIN TABLE-1 AUTOMATED'!F2684,PRICES!$D$2:$D$658,'MAIN TABLE-1 AUTOMATED'!O2684))</f>
        <v/>
      </c>
      <c r="R2684" s="41" t="str">
        <f>IF(Table1[[#This Row],[QUANTITY]]=0,"",Table1[[#This Row],[UNIT PRICE]]*Table1[[#This Row],[QUANTITY]])</f>
        <v/>
      </c>
      <c r="S2684" s="89"/>
      <c r="T2684" s="38"/>
      <c r="U2684" s="43"/>
      <c r="V2684" s="42" t="str">
        <f>IF(Table1[[#This Row],[DATE]]=0,"",YEAR(E2684))</f>
        <v/>
      </c>
      <c r="W2684" s="40" t="str">
        <f t="shared" si="86"/>
        <v/>
      </c>
      <c r="X2684" s="40" t="str">
        <f t="shared" si="87"/>
        <v/>
      </c>
      <c r="Y2684" s="40" t="str">
        <f>TEXT(Table1[[#This Row],[YEAR]],"0000")&amp;"-"&amp;Table1[[#This Row],[MONTH]]</f>
        <v>-</v>
      </c>
    </row>
    <row r="2685" spans="1:25" ht="15" customHeight="1" x14ac:dyDescent="0.35">
      <c r="A2685" s="24"/>
      <c r="B2685" s="38"/>
      <c r="C2685" s="38"/>
      <c r="D2685" s="38"/>
      <c r="E2685" s="37"/>
      <c r="F2685" s="38"/>
      <c r="G2685" s="198"/>
      <c r="H2685" s="198"/>
      <c r="I2685" s="39"/>
      <c r="J2685" s="38"/>
      <c r="K2685" s="198"/>
      <c r="L2685" s="38"/>
      <c r="M2685" s="38"/>
      <c r="N2685" s="38"/>
      <c r="O2685" s="38"/>
      <c r="P2685" s="40" t="str" cm="1">
        <f t="array" ref="P2685">IF(N2685="","",IFERROR(_xlfn.XLOOKUP(F2685&amp;"|"&amp;J2685&amp;"|"&amp;O2685,PRICES!$C$2:$C$659&amp;"|"&amp;PRICES!$B$2:$B$659&amp;"|"&amp;PRICES!$D$2:$D$659,PRICES!$E$2:$E$659),"Not Found"))</f>
        <v/>
      </c>
      <c r="Q2685" s="100" t="str">
        <f>IF(N2685=0,"",SUMIFS(PRICES!$G$2:$G$658,PRICES!$B$2:$B$658,'MAIN TABLE-1 AUTOMATED'!J2685,PRICES!$C$2:$C$658,'MAIN TABLE-1 AUTOMATED'!F2685,PRICES!$D$2:$D$658,'MAIN TABLE-1 AUTOMATED'!O2685))</f>
        <v/>
      </c>
      <c r="R2685" s="41" t="str">
        <f>IF(Table1[[#This Row],[QUANTITY]]=0,"",Table1[[#This Row],[UNIT PRICE]]*Table1[[#This Row],[QUANTITY]])</f>
        <v/>
      </c>
      <c r="S2685" s="89"/>
      <c r="T2685" s="38"/>
      <c r="U2685" s="43"/>
      <c r="V2685" s="42" t="str">
        <f>IF(Table1[[#This Row],[DATE]]=0,"",YEAR(E2685))</f>
        <v/>
      </c>
      <c r="W2685" s="40" t="str">
        <f t="shared" si="86"/>
        <v/>
      </c>
      <c r="X2685" s="40" t="str">
        <f t="shared" si="87"/>
        <v/>
      </c>
      <c r="Y2685" s="40" t="str">
        <f>TEXT(Table1[[#This Row],[YEAR]],"0000")&amp;"-"&amp;Table1[[#This Row],[MONTH]]</f>
        <v>-</v>
      </c>
    </row>
    <row r="2686" spans="1:25" ht="15" customHeight="1" x14ac:dyDescent="0.35">
      <c r="A2686" s="24"/>
      <c r="B2686" s="38"/>
      <c r="C2686" s="38"/>
      <c r="D2686" s="38"/>
      <c r="E2686" s="37"/>
      <c r="F2686" s="38"/>
      <c r="G2686" s="198"/>
      <c r="H2686" s="198"/>
      <c r="I2686" s="39"/>
      <c r="J2686" s="38"/>
      <c r="K2686" s="198"/>
      <c r="L2686" s="38"/>
      <c r="M2686" s="38"/>
      <c r="N2686" s="38"/>
      <c r="O2686" s="38"/>
      <c r="P2686" s="40" t="str" cm="1">
        <f t="array" ref="P2686">IF(N2686="","",IFERROR(_xlfn.XLOOKUP(F2686&amp;"|"&amp;J2686&amp;"|"&amp;O2686,PRICES!$C$2:$C$659&amp;"|"&amp;PRICES!$B$2:$B$659&amp;"|"&amp;PRICES!$D$2:$D$659,PRICES!$E$2:$E$659),"Not Found"))</f>
        <v/>
      </c>
      <c r="Q2686" s="100" t="str">
        <f>IF(N2686=0,"",SUMIFS(PRICES!$G$2:$G$658,PRICES!$B$2:$B$658,'MAIN TABLE-1 AUTOMATED'!J2686,PRICES!$C$2:$C$658,'MAIN TABLE-1 AUTOMATED'!F2686,PRICES!$D$2:$D$658,'MAIN TABLE-1 AUTOMATED'!O2686))</f>
        <v/>
      </c>
      <c r="R2686" s="41" t="str">
        <f>IF(Table1[[#This Row],[QUANTITY]]=0,"",Table1[[#This Row],[UNIT PRICE]]*Table1[[#This Row],[QUANTITY]])</f>
        <v/>
      </c>
      <c r="S2686" s="89"/>
      <c r="T2686" s="38"/>
      <c r="U2686" s="43"/>
      <c r="V2686" s="42" t="str">
        <f>IF(Table1[[#This Row],[DATE]]=0,"",YEAR(E2686))</f>
        <v/>
      </c>
      <c r="W2686" s="40" t="str">
        <f t="shared" si="86"/>
        <v/>
      </c>
      <c r="X2686" s="40" t="str">
        <f t="shared" si="87"/>
        <v/>
      </c>
      <c r="Y2686" s="40" t="str">
        <f>TEXT(Table1[[#This Row],[YEAR]],"0000")&amp;"-"&amp;Table1[[#This Row],[MONTH]]</f>
        <v>-</v>
      </c>
    </row>
    <row r="2687" spans="1:25" ht="15" customHeight="1" x14ac:dyDescent="0.35">
      <c r="A2687" s="24"/>
      <c r="B2687" s="38"/>
      <c r="C2687" s="38"/>
      <c r="D2687" s="38"/>
      <c r="E2687" s="37"/>
      <c r="F2687" s="38"/>
      <c r="G2687" s="198"/>
      <c r="H2687" s="198"/>
      <c r="I2687" s="39"/>
      <c r="J2687" s="38"/>
      <c r="K2687" s="198"/>
      <c r="L2687" s="38"/>
      <c r="M2687" s="38"/>
      <c r="N2687" s="38"/>
      <c r="O2687" s="38"/>
      <c r="P2687" s="40" t="str" cm="1">
        <f t="array" ref="P2687">IF(N2687="","",IFERROR(_xlfn.XLOOKUP(F2687&amp;"|"&amp;J2687&amp;"|"&amp;O2687,PRICES!$C$2:$C$659&amp;"|"&amp;PRICES!$B$2:$B$659&amp;"|"&amp;PRICES!$D$2:$D$659,PRICES!$E$2:$E$659),"Not Found"))</f>
        <v/>
      </c>
      <c r="Q2687" s="100" t="str">
        <f>IF(N2687=0,"",SUMIFS(PRICES!$G$2:$G$658,PRICES!$B$2:$B$658,'MAIN TABLE-1 AUTOMATED'!J2687,PRICES!$C$2:$C$658,'MAIN TABLE-1 AUTOMATED'!F2687,PRICES!$D$2:$D$658,'MAIN TABLE-1 AUTOMATED'!O2687))</f>
        <v/>
      </c>
      <c r="R2687" s="41" t="str">
        <f>IF(Table1[[#This Row],[QUANTITY]]=0,"",Table1[[#This Row],[UNIT PRICE]]*Table1[[#This Row],[QUANTITY]])</f>
        <v/>
      </c>
      <c r="S2687" s="89"/>
      <c r="T2687" s="38"/>
      <c r="U2687" s="43"/>
      <c r="V2687" s="42" t="str">
        <f>IF(Table1[[#This Row],[DATE]]=0,"",YEAR(E2687))</f>
        <v/>
      </c>
      <c r="W2687" s="40" t="str">
        <f t="shared" si="86"/>
        <v/>
      </c>
      <c r="X2687" s="40" t="str">
        <f t="shared" si="87"/>
        <v/>
      </c>
      <c r="Y2687" s="40" t="str">
        <f>TEXT(Table1[[#This Row],[YEAR]],"0000")&amp;"-"&amp;Table1[[#This Row],[MONTH]]</f>
        <v>-</v>
      </c>
    </row>
    <row r="2688" spans="1:25" ht="15" customHeight="1" x14ac:dyDescent="0.35">
      <c r="A2688" s="24"/>
      <c r="B2688" s="38"/>
      <c r="C2688" s="38"/>
      <c r="D2688" s="38"/>
      <c r="E2688" s="37"/>
      <c r="F2688" s="38"/>
      <c r="G2688" s="198"/>
      <c r="H2688" s="198"/>
      <c r="I2688" s="39"/>
      <c r="J2688" s="38"/>
      <c r="K2688" s="198"/>
      <c r="L2688" s="38"/>
      <c r="M2688" s="38"/>
      <c r="N2688" s="38"/>
      <c r="O2688" s="38"/>
      <c r="P2688" s="40" t="str" cm="1">
        <f t="array" ref="P2688">IF(N2688="","",IFERROR(_xlfn.XLOOKUP(F2688&amp;"|"&amp;J2688&amp;"|"&amp;O2688,PRICES!$C$2:$C$659&amp;"|"&amp;PRICES!$B$2:$B$659&amp;"|"&amp;PRICES!$D$2:$D$659,PRICES!$E$2:$E$659),"Not Found"))</f>
        <v/>
      </c>
      <c r="Q2688" s="100" t="str">
        <f>IF(N2688=0,"",SUMIFS(PRICES!$G$2:$G$658,PRICES!$B$2:$B$658,'MAIN TABLE-1 AUTOMATED'!J2688,PRICES!$C$2:$C$658,'MAIN TABLE-1 AUTOMATED'!F2688,PRICES!$D$2:$D$658,'MAIN TABLE-1 AUTOMATED'!O2688))</f>
        <v/>
      </c>
      <c r="R2688" s="41" t="str">
        <f>IF(Table1[[#This Row],[QUANTITY]]=0,"",Table1[[#This Row],[UNIT PRICE]]*Table1[[#This Row],[QUANTITY]])</f>
        <v/>
      </c>
      <c r="S2688" s="89"/>
      <c r="T2688" s="38"/>
      <c r="U2688" s="43"/>
      <c r="V2688" s="42" t="str">
        <f>IF(Table1[[#This Row],[DATE]]=0,"",YEAR(E2688))</f>
        <v/>
      </c>
      <c r="W2688" s="40" t="str">
        <f t="shared" si="86"/>
        <v/>
      </c>
      <c r="X2688" s="40" t="str">
        <f t="shared" si="87"/>
        <v/>
      </c>
      <c r="Y2688" s="40" t="str">
        <f>TEXT(Table1[[#This Row],[YEAR]],"0000")&amp;"-"&amp;Table1[[#This Row],[MONTH]]</f>
        <v>-</v>
      </c>
    </row>
    <row r="2689" spans="1:25" ht="15" customHeight="1" x14ac:dyDescent="0.35">
      <c r="A2689" s="24"/>
      <c r="B2689" s="38"/>
      <c r="C2689" s="38"/>
      <c r="D2689" s="38"/>
      <c r="E2689" s="37"/>
      <c r="F2689" s="38"/>
      <c r="G2689" s="198"/>
      <c r="H2689" s="198"/>
      <c r="I2689" s="39"/>
      <c r="J2689" s="38"/>
      <c r="K2689" s="198"/>
      <c r="L2689" s="38"/>
      <c r="M2689" s="38"/>
      <c r="N2689" s="38"/>
      <c r="O2689" s="38"/>
      <c r="P2689" s="40" t="str" cm="1">
        <f t="array" ref="P2689">IF(N2689="","",IFERROR(_xlfn.XLOOKUP(F2689&amp;"|"&amp;J2689&amp;"|"&amp;O2689,PRICES!$C$2:$C$659&amp;"|"&amp;PRICES!$B$2:$B$659&amp;"|"&amp;PRICES!$D$2:$D$659,PRICES!$E$2:$E$659),"Not Found"))</f>
        <v/>
      </c>
      <c r="Q2689" s="100" t="str">
        <f>IF(N2689=0,"",SUMIFS(PRICES!$G$2:$G$658,PRICES!$B$2:$B$658,'MAIN TABLE-1 AUTOMATED'!J2689,PRICES!$C$2:$C$658,'MAIN TABLE-1 AUTOMATED'!F2689,PRICES!$D$2:$D$658,'MAIN TABLE-1 AUTOMATED'!O2689))</f>
        <v/>
      </c>
      <c r="R2689" s="41" t="str">
        <f>IF(Table1[[#This Row],[QUANTITY]]=0,"",Table1[[#This Row],[UNIT PRICE]]*Table1[[#This Row],[QUANTITY]])</f>
        <v/>
      </c>
      <c r="S2689" s="89"/>
      <c r="T2689" s="38"/>
      <c r="U2689" s="43"/>
      <c r="V2689" s="42" t="str">
        <f>IF(Table1[[#This Row],[DATE]]=0,"",YEAR(E2689))</f>
        <v/>
      </c>
      <c r="W2689" s="40" t="str">
        <f t="shared" si="86"/>
        <v/>
      </c>
      <c r="X2689" s="40" t="str">
        <f t="shared" si="87"/>
        <v/>
      </c>
      <c r="Y2689" s="40" t="str">
        <f>TEXT(Table1[[#This Row],[YEAR]],"0000")&amp;"-"&amp;Table1[[#This Row],[MONTH]]</f>
        <v>-</v>
      </c>
    </row>
    <row r="2690" spans="1:25" ht="15" customHeight="1" x14ac:dyDescent="0.35">
      <c r="A2690" s="24"/>
      <c r="B2690" s="38"/>
      <c r="C2690" s="38"/>
      <c r="D2690" s="38"/>
      <c r="E2690" s="37"/>
      <c r="F2690" s="38"/>
      <c r="G2690" s="198"/>
      <c r="H2690" s="198"/>
      <c r="I2690" s="39"/>
      <c r="J2690" s="38"/>
      <c r="K2690" s="198"/>
      <c r="L2690" s="38"/>
      <c r="M2690" s="38"/>
      <c r="N2690" s="38"/>
      <c r="O2690" s="38"/>
      <c r="P2690" s="40" t="str" cm="1">
        <f t="array" ref="P2690">IF(N2690="","",IFERROR(_xlfn.XLOOKUP(F2690&amp;"|"&amp;J2690&amp;"|"&amp;O2690,PRICES!$C$2:$C$659&amp;"|"&amp;PRICES!$B$2:$B$659&amp;"|"&amp;PRICES!$D$2:$D$659,PRICES!$E$2:$E$659),"Not Found"))</f>
        <v/>
      </c>
      <c r="Q2690" s="100" t="str">
        <f>IF(N2690=0,"",SUMIFS(PRICES!$G$2:$G$658,PRICES!$B$2:$B$658,'MAIN TABLE-1 AUTOMATED'!J2690,PRICES!$C$2:$C$658,'MAIN TABLE-1 AUTOMATED'!F2690,PRICES!$D$2:$D$658,'MAIN TABLE-1 AUTOMATED'!O2690))</f>
        <v/>
      </c>
      <c r="R2690" s="41" t="str">
        <f>IF(Table1[[#This Row],[QUANTITY]]=0,"",Table1[[#This Row],[UNIT PRICE]]*Table1[[#This Row],[QUANTITY]])</f>
        <v/>
      </c>
      <c r="S2690" s="89"/>
      <c r="T2690" s="38"/>
      <c r="U2690" s="43"/>
      <c r="V2690" s="42" t="str">
        <f>IF(Table1[[#This Row],[DATE]]=0,"",YEAR(E2690))</f>
        <v/>
      </c>
      <c r="W2690" s="40" t="str">
        <f t="shared" si="86"/>
        <v/>
      </c>
      <c r="X2690" s="40" t="str">
        <f t="shared" si="87"/>
        <v/>
      </c>
      <c r="Y2690" s="40" t="str">
        <f>TEXT(Table1[[#This Row],[YEAR]],"0000")&amp;"-"&amp;Table1[[#This Row],[MONTH]]</f>
        <v>-</v>
      </c>
    </row>
    <row r="2691" spans="1:25" ht="15" customHeight="1" x14ac:dyDescent="0.35">
      <c r="A2691" s="24"/>
      <c r="B2691" s="38"/>
      <c r="C2691" s="38"/>
      <c r="D2691" s="38"/>
      <c r="E2691" s="37"/>
      <c r="F2691" s="38"/>
      <c r="G2691" s="198"/>
      <c r="H2691" s="198"/>
      <c r="I2691" s="39"/>
      <c r="J2691" s="38"/>
      <c r="K2691" s="198"/>
      <c r="L2691" s="38"/>
      <c r="M2691" s="38"/>
      <c r="N2691" s="38"/>
      <c r="O2691" s="38"/>
      <c r="P2691" s="40" t="str" cm="1">
        <f t="array" ref="P2691">IF(N2691="","",IFERROR(_xlfn.XLOOKUP(F2691&amp;"|"&amp;J2691&amp;"|"&amp;O2691,PRICES!$C$2:$C$659&amp;"|"&amp;PRICES!$B$2:$B$659&amp;"|"&amp;PRICES!$D$2:$D$659,PRICES!$E$2:$E$659),"Not Found"))</f>
        <v/>
      </c>
      <c r="Q2691" s="100" t="str">
        <f>IF(N2691=0,"",SUMIFS(PRICES!$G$2:$G$658,PRICES!$B$2:$B$658,'MAIN TABLE-1 AUTOMATED'!J2691,PRICES!$C$2:$C$658,'MAIN TABLE-1 AUTOMATED'!F2691,PRICES!$D$2:$D$658,'MAIN TABLE-1 AUTOMATED'!O2691))</f>
        <v/>
      </c>
      <c r="R2691" s="41" t="str">
        <f>IF(Table1[[#This Row],[QUANTITY]]=0,"",Table1[[#This Row],[UNIT PRICE]]*Table1[[#This Row],[QUANTITY]])</f>
        <v/>
      </c>
      <c r="S2691" s="89"/>
      <c r="T2691" s="38"/>
      <c r="U2691" s="43"/>
      <c r="V2691" s="42" t="str">
        <f>IF(Table1[[#This Row],[DATE]]=0,"",YEAR(E2691))</f>
        <v/>
      </c>
      <c r="W2691" s="40" t="str">
        <f t="shared" ref="W2691:W2754" si="88">IF(E2691=0,"",MONTH(E2691))</f>
        <v/>
      </c>
      <c r="X2691" s="40" t="str">
        <f t="shared" ref="X2691:X2754" si="89">IF(E2691=0,"",WEEKNUM(E2691))</f>
        <v/>
      </c>
      <c r="Y2691" s="40" t="str">
        <f>TEXT(Table1[[#This Row],[YEAR]],"0000")&amp;"-"&amp;Table1[[#This Row],[MONTH]]</f>
        <v>-</v>
      </c>
    </row>
    <row r="2692" spans="1:25" ht="15" customHeight="1" x14ac:dyDescent="0.35">
      <c r="A2692" s="24"/>
      <c r="B2692" s="38"/>
      <c r="C2692" s="38"/>
      <c r="D2692" s="38"/>
      <c r="E2692" s="37"/>
      <c r="F2692" s="38"/>
      <c r="G2692" s="198"/>
      <c r="H2692" s="198"/>
      <c r="I2692" s="39"/>
      <c r="J2692" s="38"/>
      <c r="K2692" s="198"/>
      <c r="L2692" s="38"/>
      <c r="M2692" s="38"/>
      <c r="N2692" s="38"/>
      <c r="O2692" s="38"/>
      <c r="P2692" s="40" t="str" cm="1">
        <f t="array" ref="P2692">IF(N2692="","",IFERROR(_xlfn.XLOOKUP(F2692&amp;"|"&amp;J2692&amp;"|"&amp;O2692,PRICES!$C$2:$C$659&amp;"|"&amp;PRICES!$B$2:$B$659&amp;"|"&amp;PRICES!$D$2:$D$659,PRICES!$E$2:$E$659),"Not Found"))</f>
        <v/>
      </c>
      <c r="Q2692" s="100" t="str">
        <f>IF(N2692=0,"",SUMIFS(PRICES!$G$2:$G$658,PRICES!$B$2:$B$658,'MAIN TABLE-1 AUTOMATED'!J2692,PRICES!$C$2:$C$658,'MAIN TABLE-1 AUTOMATED'!F2692,PRICES!$D$2:$D$658,'MAIN TABLE-1 AUTOMATED'!O2692))</f>
        <v/>
      </c>
      <c r="R2692" s="41" t="str">
        <f>IF(Table1[[#This Row],[QUANTITY]]=0,"",Table1[[#This Row],[UNIT PRICE]]*Table1[[#This Row],[QUANTITY]])</f>
        <v/>
      </c>
      <c r="S2692" s="89"/>
      <c r="T2692" s="38"/>
      <c r="U2692" s="43"/>
      <c r="V2692" s="42" t="str">
        <f>IF(Table1[[#This Row],[DATE]]=0,"",YEAR(E2692))</f>
        <v/>
      </c>
      <c r="W2692" s="40" t="str">
        <f t="shared" si="88"/>
        <v/>
      </c>
      <c r="X2692" s="40" t="str">
        <f t="shared" si="89"/>
        <v/>
      </c>
      <c r="Y2692" s="40" t="str">
        <f>TEXT(Table1[[#This Row],[YEAR]],"0000")&amp;"-"&amp;Table1[[#This Row],[MONTH]]</f>
        <v>-</v>
      </c>
    </row>
    <row r="2693" spans="1:25" ht="15" customHeight="1" x14ac:dyDescent="0.35">
      <c r="A2693" s="24"/>
      <c r="B2693" s="38"/>
      <c r="C2693" s="38"/>
      <c r="D2693" s="38"/>
      <c r="E2693" s="37"/>
      <c r="F2693" s="38"/>
      <c r="G2693" s="198"/>
      <c r="H2693" s="198"/>
      <c r="I2693" s="39"/>
      <c r="J2693" s="38"/>
      <c r="K2693" s="198"/>
      <c r="L2693" s="38"/>
      <c r="M2693" s="38"/>
      <c r="N2693" s="38"/>
      <c r="O2693" s="38"/>
      <c r="P2693" s="40" t="str" cm="1">
        <f t="array" ref="P2693">IF(N2693="","",IFERROR(_xlfn.XLOOKUP(F2693&amp;"|"&amp;J2693&amp;"|"&amp;O2693,PRICES!$C$2:$C$659&amp;"|"&amp;PRICES!$B$2:$B$659&amp;"|"&amp;PRICES!$D$2:$D$659,PRICES!$E$2:$E$659),"Not Found"))</f>
        <v/>
      </c>
      <c r="Q2693" s="100" t="str">
        <f>IF(N2693=0,"",SUMIFS(PRICES!$G$2:$G$658,PRICES!$B$2:$B$658,'MAIN TABLE-1 AUTOMATED'!J2693,PRICES!$C$2:$C$658,'MAIN TABLE-1 AUTOMATED'!F2693,PRICES!$D$2:$D$658,'MAIN TABLE-1 AUTOMATED'!O2693))</f>
        <v/>
      </c>
      <c r="R2693" s="41" t="str">
        <f>IF(Table1[[#This Row],[QUANTITY]]=0,"",Table1[[#This Row],[UNIT PRICE]]*Table1[[#This Row],[QUANTITY]])</f>
        <v/>
      </c>
      <c r="S2693" s="89"/>
      <c r="T2693" s="38"/>
      <c r="U2693" s="43"/>
      <c r="V2693" s="42" t="str">
        <f>IF(Table1[[#This Row],[DATE]]=0,"",YEAR(E2693))</f>
        <v/>
      </c>
      <c r="W2693" s="40" t="str">
        <f t="shared" si="88"/>
        <v/>
      </c>
      <c r="X2693" s="40" t="str">
        <f t="shared" si="89"/>
        <v/>
      </c>
      <c r="Y2693" s="40" t="str">
        <f>TEXT(Table1[[#This Row],[YEAR]],"0000")&amp;"-"&amp;Table1[[#This Row],[MONTH]]</f>
        <v>-</v>
      </c>
    </row>
    <row r="2694" spans="1:25" ht="15" customHeight="1" x14ac:dyDescent="0.35">
      <c r="A2694" s="24"/>
      <c r="B2694" s="38"/>
      <c r="C2694" s="38"/>
      <c r="D2694" s="38"/>
      <c r="E2694" s="37"/>
      <c r="F2694" s="38"/>
      <c r="G2694" s="198"/>
      <c r="H2694" s="198"/>
      <c r="I2694" s="39"/>
      <c r="J2694" s="38"/>
      <c r="K2694" s="198"/>
      <c r="L2694" s="38"/>
      <c r="M2694" s="38"/>
      <c r="N2694" s="38"/>
      <c r="O2694" s="38"/>
      <c r="P2694" s="40" t="str" cm="1">
        <f t="array" ref="P2694">IF(N2694="","",IFERROR(_xlfn.XLOOKUP(F2694&amp;"|"&amp;J2694&amp;"|"&amp;O2694,PRICES!$C$2:$C$659&amp;"|"&amp;PRICES!$B$2:$B$659&amp;"|"&amp;PRICES!$D$2:$D$659,PRICES!$E$2:$E$659),"Not Found"))</f>
        <v/>
      </c>
      <c r="Q2694" s="100" t="str">
        <f>IF(N2694=0,"",SUMIFS(PRICES!$G$2:$G$658,PRICES!$B$2:$B$658,'MAIN TABLE-1 AUTOMATED'!J2694,PRICES!$C$2:$C$658,'MAIN TABLE-1 AUTOMATED'!F2694,PRICES!$D$2:$D$658,'MAIN TABLE-1 AUTOMATED'!O2694))</f>
        <v/>
      </c>
      <c r="R2694" s="41" t="str">
        <f>IF(Table1[[#This Row],[QUANTITY]]=0,"",Table1[[#This Row],[UNIT PRICE]]*Table1[[#This Row],[QUANTITY]])</f>
        <v/>
      </c>
      <c r="S2694" s="89"/>
      <c r="T2694" s="38"/>
      <c r="U2694" s="43"/>
      <c r="V2694" s="42" t="str">
        <f>IF(Table1[[#This Row],[DATE]]=0,"",YEAR(E2694))</f>
        <v/>
      </c>
      <c r="W2694" s="40" t="str">
        <f t="shared" si="88"/>
        <v/>
      </c>
      <c r="X2694" s="40" t="str">
        <f t="shared" si="89"/>
        <v/>
      </c>
      <c r="Y2694" s="40" t="str">
        <f>TEXT(Table1[[#This Row],[YEAR]],"0000")&amp;"-"&amp;Table1[[#This Row],[MONTH]]</f>
        <v>-</v>
      </c>
    </row>
    <row r="2695" spans="1:25" ht="15" customHeight="1" x14ac:dyDescent="0.35">
      <c r="A2695" s="24"/>
      <c r="B2695" s="38"/>
      <c r="C2695" s="38"/>
      <c r="D2695" s="38"/>
      <c r="E2695" s="37"/>
      <c r="F2695" s="38"/>
      <c r="G2695" s="198"/>
      <c r="H2695" s="198"/>
      <c r="I2695" s="39"/>
      <c r="J2695" s="38"/>
      <c r="K2695" s="198"/>
      <c r="L2695" s="38"/>
      <c r="M2695" s="38"/>
      <c r="N2695" s="38"/>
      <c r="O2695" s="38"/>
      <c r="P2695" s="40" t="str" cm="1">
        <f t="array" ref="P2695">IF(N2695="","",IFERROR(_xlfn.XLOOKUP(F2695&amp;"|"&amp;J2695&amp;"|"&amp;O2695,PRICES!$C$2:$C$659&amp;"|"&amp;PRICES!$B$2:$B$659&amp;"|"&amp;PRICES!$D$2:$D$659,PRICES!$E$2:$E$659),"Not Found"))</f>
        <v/>
      </c>
      <c r="Q2695" s="100" t="str">
        <f>IF(N2695=0,"",SUMIFS(PRICES!$G$2:$G$658,PRICES!$B$2:$B$658,'MAIN TABLE-1 AUTOMATED'!J2695,PRICES!$C$2:$C$658,'MAIN TABLE-1 AUTOMATED'!F2695,PRICES!$D$2:$D$658,'MAIN TABLE-1 AUTOMATED'!O2695))</f>
        <v/>
      </c>
      <c r="R2695" s="41" t="str">
        <f>IF(Table1[[#This Row],[QUANTITY]]=0,"",Table1[[#This Row],[UNIT PRICE]]*Table1[[#This Row],[QUANTITY]])</f>
        <v/>
      </c>
      <c r="S2695" s="89"/>
      <c r="T2695" s="38"/>
      <c r="U2695" s="43"/>
      <c r="V2695" s="42" t="str">
        <f>IF(Table1[[#This Row],[DATE]]=0,"",YEAR(E2695))</f>
        <v/>
      </c>
      <c r="W2695" s="40" t="str">
        <f t="shared" si="88"/>
        <v/>
      </c>
      <c r="X2695" s="40" t="str">
        <f t="shared" si="89"/>
        <v/>
      </c>
      <c r="Y2695" s="40" t="str">
        <f>TEXT(Table1[[#This Row],[YEAR]],"0000")&amp;"-"&amp;Table1[[#This Row],[MONTH]]</f>
        <v>-</v>
      </c>
    </row>
    <row r="2696" spans="1:25" ht="15" customHeight="1" x14ac:dyDescent="0.35">
      <c r="A2696" s="24"/>
      <c r="B2696" s="38"/>
      <c r="C2696" s="38"/>
      <c r="D2696" s="38"/>
      <c r="E2696" s="37"/>
      <c r="F2696" s="38"/>
      <c r="G2696" s="198"/>
      <c r="H2696" s="198"/>
      <c r="I2696" s="39"/>
      <c r="J2696" s="38"/>
      <c r="K2696" s="198"/>
      <c r="L2696" s="38"/>
      <c r="M2696" s="38"/>
      <c r="N2696" s="38"/>
      <c r="O2696" s="38"/>
      <c r="P2696" s="40" t="str" cm="1">
        <f t="array" ref="P2696">IF(N2696="","",IFERROR(_xlfn.XLOOKUP(F2696&amp;"|"&amp;J2696&amp;"|"&amp;O2696,PRICES!$C$2:$C$659&amp;"|"&amp;PRICES!$B$2:$B$659&amp;"|"&amp;PRICES!$D$2:$D$659,PRICES!$E$2:$E$659),"Not Found"))</f>
        <v/>
      </c>
      <c r="Q2696" s="100" t="str">
        <f>IF(N2696=0,"",SUMIFS(PRICES!$G$2:$G$658,PRICES!$B$2:$B$658,'MAIN TABLE-1 AUTOMATED'!J2696,PRICES!$C$2:$C$658,'MAIN TABLE-1 AUTOMATED'!F2696,PRICES!$D$2:$D$658,'MAIN TABLE-1 AUTOMATED'!O2696))</f>
        <v/>
      </c>
      <c r="R2696" s="41" t="str">
        <f>IF(Table1[[#This Row],[QUANTITY]]=0,"",Table1[[#This Row],[UNIT PRICE]]*Table1[[#This Row],[QUANTITY]])</f>
        <v/>
      </c>
      <c r="S2696" s="89"/>
      <c r="T2696" s="38"/>
      <c r="U2696" s="43"/>
      <c r="V2696" s="42" t="str">
        <f>IF(Table1[[#This Row],[DATE]]=0,"",YEAR(E2696))</f>
        <v/>
      </c>
      <c r="W2696" s="40" t="str">
        <f t="shared" si="88"/>
        <v/>
      </c>
      <c r="X2696" s="40" t="str">
        <f t="shared" si="89"/>
        <v/>
      </c>
      <c r="Y2696" s="40" t="str">
        <f>TEXT(Table1[[#This Row],[YEAR]],"0000")&amp;"-"&amp;Table1[[#This Row],[MONTH]]</f>
        <v>-</v>
      </c>
    </row>
    <row r="2697" spans="1:25" ht="15" customHeight="1" x14ac:dyDescent="0.35">
      <c r="A2697" s="24"/>
      <c r="B2697" s="38"/>
      <c r="C2697" s="38"/>
      <c r="D2697" s="38"/>
      <c r="E2697" s="37"/>
      <c r="F2697" s="38"/>
      <c r="G2697" s="198"/>
      <c r="H2697" s="198"/>
      <c r="I2697" s="39"/>
      <c r="J2697" s="38"/>
      <c r="K2697" s="198"/>
      <c r="L2697" s="38"/>
      <c r="M2697" s="38"/>
      <c r="N2697" s="38"/>
      <c r="O2697" s="38"/>
      <c r="P2697" s="40" t="str" cm="1">
        <f t="array" ref="P2697">IF(N2697="","",IFERROR(_xlfn.XLOOKUP(F2697&amp;"|"&amp;J2697&amp;"|"&amp;O2697,PRICES!$C$2:$C$659&amp;"|"&amp;PRICES!$B$2:$B$659&amp;"|"&amp;PRICES!$D$2:$D$659,PRICES!$E$2:$E$659),"Not Found"))</f>
        <v/>
      </c>
      <c r="Q2697" s="100" t="str">
        <f>IF(N2697=0,"",SUMIFS(PRICES!$G$2:$G$658,PRICES!$B$2:$B$658,'MAIN TABLE-1 AUTOMATED'!J2697,PRICES!$C$2:$C$658,'MAIN TABLE-1 AUTOMATED'!F2697,PRICES!$D$2:$D$658,'MAIN TABLE-1 AUTOMATED'!O2697))</f>
        <v/>
      </c>
      <c r="R2697" s="41" t="str">
        <f>IF(Table1[[#This Row],[QUANTITY]]=0,"",Table1[[#This Row],[UNIT PRICE]]*Table1[[#This Row],[QUANTITY]])</f>
        <v/>
      </c>
      <c r="S2697" s="89"/>
      <c r="T2697" s="38"/>
      <c r="U2697" s="43"/>
      <c r="V2697" s="42" t="str">
        <f>IF(Table1[[#This Row],[DATE]]=0,"",YEAR(E2697))</f>
        <v/>
      </c>
      <c r="W2697" s="40" t="str">
        <f t="shared" si="88"/>
        <v/>
      </c>
      <c r="X2697" s="40" t="str">
        <f t="shared" si="89"/>
        <v/>
      </c>
      <c r="Y2697" s="40" t="str">
        <f>TEXT(Table1[[#This Row],[YEAR]],"0000")&amp;"-"&amp;Table1[[#This Row],[MONTH]]</f>
        <v>-</v>
      </c>
    </row>
    <row r="2698" spans="1:25" ht="15" customHeight="1" x14ac:dyDescent="0.35">
      <c r="A2698" s="24"/>
      <c r="B2698" s="38"/>
      <c r="C2698" s="38"/>
      <c r="D2698" s="38"/>
      <c r="E2698" s="37"/>
      <c r="F2698" s="38"/>
      <c r="G2698" s="198"/>
      <c r="H2698" s="198"/>
      <c r="I2698" s="39"/>
      <c r="J2698" s="38"/>
      <c r="K2698" s="198"/>
      <c r="L2698" s="38"/>
      <c r="M2698" s="38"/>
      <c r="N2698" s="38"/>
      <c r="O2698" s="38"/>
      <c r="P2698" s="40" t="str" cm="1">
        <f t="array" ref="P2698">IF(N2698="","",IFERROR(_xlfn.XLOOKUP(F2698&amp;"|"&amp;J2698&amp;"|"&amp;O2698,PRICES!$C$2:$C$659&amp;"|"&amp;PRICES!$B$2:$B$659&amp;"|"&amp;PRICES!$D$2:$D$659,PRICES!$E$2:$E$659),"Not Found"))</f>
        <v/>
      </c>
      <c r="Q2698" s="100" t="str">
        <f>IF(N2698=0,"",SUMIFS(PRICES!$G$2:$G$658,PRICES!$B$2:$B$658,'MAIN TABLE-1 AUTOMATED'!J2698,PRICES!$C$2:$C$658,'MAIN TABLE-1 AUTOMATED'!F2698,PRICES!$D$2:$D$658,'MAIN TABLE-1 AUTOMATED'!O2698))</f>
        <v/>
      </c>
      <c r="R2698" s="41" t="str">
        <f>IF(Table1[[#This Row],[QUANTITY]]=0,"",Table1[[#This Row],[UNIT PRICE]]*Table1[[#This Row],[QUANTITY]])</f>
        <v/>
      </c>
      <c r="S2698" s="89"/>
      <c r="T2698" s="38"/>
      <c r="U2698" s="43"/>
      <c r="V2698" s="42" t="str">
        <f>IF(Table1[[#This Row],[DATE]]=0,"",YEAR(E2698))</f>
        <v/>
      </c>
      <c r="W2698" s="40" t="str">
        <f t="shared" si="88"/>
        <v/>
      </c>
      <c r="X2698" s="40" t="str">
        <f t="shared" si="89"/>
        <v/>
      </c>
      <c r="Y2698" s="40" t="str">
        <f>TEXT(Table1[[#This Row],[YEAR]],"0000")&amp;"-"&amp;Table1[[#This Row],[MONTH]]</f>
        <v>-</v>
      </c>
    </row>
    <row r="2699" spans="1:25" ht="15" customHeight="1" x14ac:dyDescent="0.35">
      <c r="A2699" s="24"/>
      <c r="B2699" s="38"/>
      <c r="C2699" s="38"/>
      <c r="D2699" s="38"/>
      <c r="E2699" s="37"/>
      <c r="F2699" s="38"/>
      <c r="G2699" s="198"/>
      <c r="H2699" s="198"/>
      <c r="I2699" s="39"/>
      <c r="J2699" s="38"/>
      <c r="K2699" s="198"/>
      <c r="L2699" s="38"/>
      <c r="M2699" s="38"/>
      <c r="N2699" s="38"/>
      <c r="O2699" s="38"/>
      <c r="P2699" s="40" t="str" cm="1">
        <f t="array" ref="P2699">IF(N2699="","",IFERROR(_xlfn.XLOOKUP(F2699&amp;"|"&amp;J2699&amp;"|"&amp;O2699,PRICES!$C$2:$C$659&amp;"|"&amp;PRICES!$B$2:$B$659&amp;"|"&amp;PRICES!$D$2:$D$659,PRICES!$E$2:$E$659),"Not Found"))</f>
        <v/>
      </c>
      <c r="Q2699" s="100" t="str">
        <f>IF(N2699=0,"",SUMIFS(PRICES!$G$2:$G$658,PRICES!$B$2:$B$658,'MAIN TABLE-1 AUTOMATED'!J2699,PRICES!$C$2:$C$658,'MAIN TABLE-1 AUTOMATED'!F2699,PRICES!$D$2:$D$658,'MAIN TABLE-1 AUTOMATED'!O2699))</f>
        <v/>
      </c>
      <c r="R2699" s="41" t="str">
        <f>IF(Table1[[#This Row],[QUANTITY]]=0,"",Table1[[#This Row],[UNIT PRICE]]*Table1[[#This Row],[QUANTITY]])</f>
        <v/>
      </c>
      <c r="S2699" s="89"/>
      <c r="T2699" s="38"/>
      <c r="U2699" s="43"/>
      <c r="V2699" s="42" t="str">
        <f>IF(Table1[[#This Row],[DATE]]=0,"",YEAR(E2699))</f>
        <v/>
      </c>
      <c r="W2699" s="40" t="str">
        <f t="shared" si="88"/>
        <v/>
      </c>
      <c r="X2699" s="40" t="str">
        <f t="shared" si="89"/>
        <v/>
      </c>
      <c r="Y2699" s="40" t="str">
        <f>TEXT(Table1[[#This Row],[YEAR]],"0000")&amp;"-"&amp;Table1[[#This Row],[MONTH]]</f>
        <v>-</v>
      </c>
    </row>
    <row r="2700" spans="1:25" ht="15" customHeight="1" x14ac:dyDescent="0.35">
      <c r="A2700" s="24"/>
      <c r="B2700" s="38"/>
      <c r="C2700" s="38"/>
      <c r="D2700" s="38"/>
      <c r="E2700" s="37"/>
      <c r="F2700" s="38"/>
      <c r="G2700" s="198"/>
      <c r="H2700" s="198"/>
      <c r="I2700" s="39"/>
      <c r="J2700" s="38"/>
      <c r="K2700" s="198"/>
      <c r="L2700" s="38"/>
      <c r="M2700" s="38"/>
      <c r="N2700" s="38"/>
      <c r="O2700" s="38"/>
      <c r="P2700" s="40" t="str" cm="1">
        <f t="array" ref="P2700">IF(N2700="","",IFERROR(_xlfn.XLOOKUP(F2700&amp;"|"&amp;J2700&amp;"|"&amp;O2700,PRICES!$C$2:$C$659&amp;"|"&amp;PRICES!$B$2:$B$659&amp;"|"&amp;PRICES!$D$2:$D$659,PRICES!$E$2:$E$659),"Not Found"))</f>
        <v/>
      </c>
      <c r="Q2700" s="100" t="str">
        <f>IF(N2700=0,"",SUMIFS(PRICES!$G$2:$G$658,PRICES!$B$2:$B$658,'MAIN TABLE-1 AUTOMATED'!J2700,PRICES!$C$2:$C$658,'MAIN TABLE-1 AUTOMATED'!F2700,PRICES!$D$2:$D$658,'MAIN TABLE-1 AUTOMATED'!O2700))</f>
        <v/>
      </c>
      <c r="R2700" s="41" t="str">
        <f>IF(Table1[[#This Row],[QUANTITY]]=0,"",Table1[[#This Row],[UNIT PRICE]]*Table1[[#This Row],[QUANTITY]])</f>
        <v/>
      </c>
      <c r="S2700" s="89"/>
      <c r="T2700" s="38"/>
      <c r="U2700" s="43"/>
      <c r="V2700" s="42" t="str">
        <f>IF(Table1[[#This Row],[DATE]]=0,"",YEAR(E2700))</f>
        <v/>
      </c>
      <c r="W2700" s="40" t="str">
        <f t="shared" si="88"/>
        <v/>
      </c>
      <c r="X2700" s="40" t="str">
        <f t="shared" si="89"/>
        <v/>
      </c>
      <c r="Y2700" s="40" t="str">
        <f>TEXT(Table1[[#This Row],[YEAR]],"0000")&amp;"-"&amp;Table1[[#This Row],[MONTH]]</f>
        <v>-</v>
      </c>
    </row>
    <row r="2701" spans="1:25" ht="15" customHeight="1" x14ac:dyDescent="0.35">
      <c r="A2701" s="24"/>
      <c r="B2701" s="38"/>
      <c r="C2701" s="38"/>
      <c r="D2701" s="38"/>
      <c r="E2701" s="37"/>
      <c r="F2701" s="38"/>
      <c r="G2701" s="198"/>
      <c r="H2701" s="198"/>
      <c r="I2701" s="39"/>
      <c r="J2701" s="38"/>
      <c r="K2701" s="198"/>
      <c r="L2701" s="38"/>
      <c r="M2701" s="38"/>
      <c r="N2701" s="38"/>
      <c r="O2701" s="38"/>
      <c r="P2701" s="40" t="str" cm="1">
        <f t="array" ref="P2701">IF(N2701="","",IFERROR(_xlfn.XLOOKUP(F2701&amp;"|"&amp;J2701&amp;"|"&amp;O2701,PRICES!$C$2:$C$659&amp;"|"&amp;PRICES!$B$2:$B$659&amp;"|"&amp;PRICES!$D$2:$D$659,PRICES!$E$2:$E$659),"Not Found"))</f>
        <v/>
      </c>
      <c r="Q2701" s="100" t="str">
        <f>IF(N2701=0,"",SUMIFS(PRICES!$G$2:$G$658,PRICES!$B$2:$B$658,'MAIN TABLE-1 AUTOMATED'!J2701,PRICES!$C$2:$C$658,'MAIN TABLE-1 AUTOMATED'!F2701,PRICES!$D$2:$D$658,'MAIN TABLE-1 AUTOMATED'!O2701))</f>
        <v/>
      </c>
      <c r="R2701" s="41" t="str">
        <f>IF(Table1[[#This Row],[QUANTITY]]=0,"",Table1[[#This Row],[UNIT PRICE]]*Table1[[#This Row],[QUANTITY]])</f>
        <v/>
      </c>
      <c r="S2701" s="89"/>
      <c r="T2701" s="38"/>
      <c r="U2701" s="43"/>
      <c r="V2701" s="42" t="str">
        <f>IF(Table1[[#This Row],[DATE]]=0,"",YEAR(E2701))</f>
        <v/>
      </c>
      <c r="W2701" s="40" t="str">
        <f t="shared" si="88"/>
        <v/>
      </c>
      <c r="X2701" s="40" t="str">
        <f t="shared" si="89"/>
        <v/>
      </c>
      <c r="Y2701" s="40" t="str">
        <f>TEXT(Table1[[#This Row],[YEAR]],"0000")&amp;"-"&amp;Table1[[#This Row],[MONTH]]</f>
        <v>-</v>
      </c>
    </row>
    <row r="2702" spans="1:25" ht="15" customHeight="1" x14ac:dyDescent="0.35">
      <c r="A2702" s="24"/>
      <c r="B2702" s="38"/>
      <c r="C2702" s="38"/>
      <c r="D2702" s="38"/>
      <c r="E2702" s="37"/>
      <c r="F2702" s="38"/>
      <c r="G2702" s="198"/>
      <c r="H2702" s="198"/>
      <c r="I2702" s="39"/>
      <c r="J2702" s="38"/>
      <c r="K2702" s="198"/>
      <c r="L2702" s="38"/>
      <c r="M2702" s="38"/>
      <c r="N2702" s="38"/>
      <c r="O2702" s="38"/>
      <c r="P2702" s="40" t="str" cm="1">
        <f t="array" ref="P2702">IF(N2702="","",IFERROR(_xlfn.XLOOKUP(F2702&amp;"|"&amp;J2702&amp;"|"&amp;O2702,PRICES!$C$2:$C$659&amp;"|"&amp;PRICES!$B$2:$B$659&amp;"|"&amp;PRICES!$D$2:$D$659,PRICES!$E$2:$E$659),"Not Found"))</f>
        <v/>
      </c>
      <c r="Q2702" s="100" t="str">
        <f>IF(N2702=0,"",SUMIFS(PRICES!$G$2:$G$658,PRICES!$B$2:$B$658,'MAIN TABLE-1 AUTOMATED'!J2702,PRICES!$C$2:$C$658,'MAIN TABLE-1 AUTOMATED'!F2702,PRICES!$D$2:$D$658,'MAIN TABLE-1 AUTOMATED'!O2702))</f>
        <v/>
      </c>
      <c r="R2702" s="41" t="str">
        <f>IF(Table1[[#This Row],[QUANTITY]]=0,"",Table1[[#This Row],[UNIT PRICE]]*Table1[[#This Row],[QUANTITY]])</f>
        <v/>
      </c>
      <c r="S2702" s="89"/>
      <c r="T2702" s="38"/>
      <c r="U2702" s="43"/>
      <c r="V2702" s="42" t="str">
        <f>IF(Table1[[#This Row],[DATE]]=0,"",YEAR(E2702))</f>
        <v/>
      </c>
      <c r="W2702" s="40" t="str">
        <f t="shared" si="88"/>
        <v/>
      </c>
      <c r="X2702" s="40" t="str">
        <f t="shared" si="89"/>
        <v/>
      </c>
      <c r="Y2702" s="40" t="str">
        <f>TEXT(Table1[[#This Row],[YEAR]],"0000")&amp;"-"&amp;Table1[[#This Row],[MONTH]]</f>
        <v>-</v>
      </c>
    </row>
    <row r="2703" spans="1:25" ht="15" customHeight="1" x14ac:dyDescent="0.35">
      <c r="A2703" s="24"/>
      <c r="B2703" s="38"/>
      <c r="C2703" s="38"/>
      <c r="D2703" s="38"/>
      <c r="E2703" s="37"/>
      <c r="F2703" s="38"/>
      <c r="G2703" s="198"/>
      <c r="H2703" s="198"/>
      <c r="I2703" s="39"/>
      <c r="J2703" s="38"/>
      <c r="K2703" s="198"/>
      <c r="L2703" s="38"/>
      <c r="M2703" s="38"/>
      <c r="N2703" s="38"/>
      <c r="O2703" s="38"/>
      <c r="P2703" s="40" t="str" cm="1">
        <f t="array" ref="P2703">IF(N2703="","",IFERROR(_xlfn.XLOOKUP(F2703&amp;"|"&amp;J2703&amp;"|"&amp;O2703,PRICES!$C$2:$C$659&amp;"|"&amp;PRICES!$B$2:$B$659&amp;"|"&amp;PRICES!$D$2:$D$659,PRICES!$E$2:$E$659),"Not Found"))</f>
        <v/>
      </c>
      <c r="Q2703" s="100" t="str">
        <f>IF(N2703=0,"",SUMIFS(PRICES!$G$2:$G$658,PRICES!$B$2:$B$658,'MAIN TABLE-1 AUTOMATED'!J2703,PRICES!$C$2:$C$658,'MAIN TABLE-1 AUTOMATED'!F2703,PRICES!$D$2:$D$658,'MAIN TABLE-1 AUTOMATED'!O2703))</f>
        <v/>
      </c>
      <c r="R2703" s="41" t="str">
        <f>IF(Table1[[#This Row],[QUANTITY]]=0,"",Table1[[#This Row],[UNIT PRICE]]*Table1[[#This Row],[QUANTITY]])</f>
        <v/>
      </c>
      <c r="S2703" s="89"/>
      <c r="T2703" s="38"/>
      <c r="U2703" s="43"/>
      <c r="V2703" s="42" t="str">
        <f>IF(Table1[[#This Row],[DATE]]=0,"",YEAR(E2703))</f>
        <v/>
      </c>
      <c r="W2703" s="40" t="str">
        <f t="shared" si="88"/>
        <v/>
      </c>
      <c r="X2703" s="40" t="str">
        <f t="shared" si="89"/>
        <v/>
      </c>
      <c r="Y2703" s="40" t="str">
        <f>TEXT(Table1[[#This Row],[YEAR]],"0000")&amp;"-"&amp;Table1[[#This Row],[MONTH]]</f>
        <v>-</v>
      </c>
    </row>
    <row r="2704" spans="1:25" ht="15" customHeight="1" x14ac:dyDescent="0.35">
      <c r="A2704" s="24"/>
      <c r="B2704" s="38"/>
      <c r="C2704" s="38"/>
      <c r="D2704" s="38"/>
      <c r="E2704" s="37"/>
      <c r="F2704" s="38"/>
      <c r="G2704" s="198"/>
      <c r="H2704" s="198"/>
      <c r="I2704" s="39"/>
      <c r="J2704" s="38"/>
      <c r="K2704" s="198"/>
      <c r="L2704" s="38"/>
      <c r="M2704" s="38"/>
      <c r="N2704" s="38"/>
      <c r="O2704" s="38"/>
      <c r="P2704" s="40" t="str" cm="1">
        <f t="array" ref="P2704">IF(N2704="","",IFERROR(_xlfn.XLOOKUP(F2704&amp;"|"&amp;J2704&amp;"|"&amp;O2704,PRICES!$C$2:$C$659&amp;"|"&amp;PRICES!$B$2:$B$659&amp;"|"&amp;PRICES!$D$2:$D$659,PRICES!$E$2:$E$659),"Not Found"))</f>
        <v/>
      </c>
      <c r="Q2704" s="100" t="str">
        <f>IF(N2704=0,"",SUMIFS(PRICES!$G$2:$G$658,PRICES!$B$2:$B$658,'MAIN TABLE-1 AUTOMATED'!J2704,PRICES!$C$2:$C$658,'MAIN TABLE-1 AUTOMATED'!F2704,PRICES!$D$2:$D$658,'MAIN TABLE-1 AUTOMATED'!O2704))</f>
        <v/>
      </c>
      <c r="R2704" s="41" t="str">
        <f>IF(Table1[[#This Row],[QUANTITY]]=0,"",Table1[[#This Row],[UNIT PRICE]]*Table1[[#This Row],[QUANTITY]])</f>
        <v/>
      </c>
      <c r="S2704" s="89"/>
      <c r="T2704" s="38"/>
      <c r="U2704" s="43"/>
      <c r="V2704" s="42" t="str">
        <f>IF(Table1[[#This Row],[DATE]]=0,"",YEAR(E2704))</f>
        <v/>
      </c>
      <c r="W2704" s="40" t="str">
        <f t="shared" si="88"/>
        <v/>
      </c>
      <c r="X2704" s="40" t="str">
        <f t="shared" si="89"/>
        <v/>
      </c>
      <c r="Y2704" s="40" t="str">
        <f>TEXT(Table1[[#This Row],[YEAR]],"0000")&amp;"-"&amp;Table1[[#This Row],[MONTH]]</f>
        <v>-</v>
      </c>
    </row>
    <row r="2705" spans="1:25" ht="15" customHeight="1" x14ac:dyDescent="0.35">
      <c r="A2705" s="24"/>
      <c r="B2705" s="38"/>
      <c r="C2705" s="38"/>
      <c r="D2705" s="38"/>
      <c r="E2705" s="37"/>
      <c r="F2705" s="38"/>
      <c r="G2705" s="198"/>
      <c r="H2705" s="198"/>
      <c r="I2705" s="39"/>
      <c r="J2705" s="38"/>
      <c r="K2705" s="198"/>
      <c r="L2705" s="38"/>
      <c r="M2705" s="38"/>
      <c r="N2705" s="38"/>
      <c r="O2705" s="38"/>
      <c r="P2705" s="40" t="str" cm="1">
        <f t="array" ref="P2705">IF(N2705="","",IFERROR(_xlfn.XLOOKUP(F2705&amp;"|"&amp;J2705&amp;"|"&amp;O2705,PRICES!$C$2:$C$659&amp;"|"&amp;PRICES!$B$2:$B$659&amp;"|"&amp;PRICES!$D$2:$D$659,PRICES!$E$2:$E$659),"Not Found"))</f>
        <v/>
      </c>
      <c r="Q2705" s="100" t="str">
        <f>IF(N2705=0,"",SUMIFS(PRICES!$G$2:$G$658,PRICES!$B$2:$B$658,'MAIN TABLE-1 AUTOMATED'!J2705,PRICES!$C$2:$C$658,'MAIN TABLE-1 AUTOMATED'!F2705,PRICES!$D$2:$D$658,'MAIN TABLE-1 AUTOMATED'!O2705))</f>
        <v/>
      </c>
      <c r="R2705" s="41" t="str">
        <f>IF(Table1[[#This Row],[QUANTITY]]=0,"",Table1[[#This Row],[UNIT PRICE]]*Table1[[#This Row],[QUANTITY]])</f>
        <v/>
      </c>
      <c r="S2705" s="89"/>
      <c r="T2705" s="38"/>
      <c r="U2705" s="43"/>
      <c r="V2705" s="42" t="str">
        <f>IF(Table1[[#This Row],[DATE]]=0,"",YEAR(E2705))</f>
        <v/>
      </c>
      <c r="W2705" s="40" t="str">
        <f t="shared" si="88"/>
        <v/>
      </c>
      <c r="X2705" s="40" t="str">
        <f t="shared" si="89"/>
        <v/>
      </c>
      <c r="Y2705" s="40" t="str">
        <f>TEXT(Table1[[#This Row],[YEAR]],"0000")&amp;"-"&amp;Table1[[#This Row],[MONTH]]</f>
        <v>-</v>
      </c>
    </row>
    <row r="2706" spans="1:25" ht="15" customHeight="1" x14ac:dyDescent="0.35">
      <c r="A2706" s="24"/>
      <c r="B2706" s="38"/>
      <c r="C2706" s="38"/>
      <c r="D2706" s="38"/>
      <c r="E2706" s="37"/>
      <c r="F2706" s="38"/>
      <c r="G2706" s="198"/>
      <c r="H2706" s="198"/>
      <c r="I2706" s="39"/>
      <c r="J2706" s="38"/>
      <c r="K2706" s="198"/>
      <c r="L2706" s="38"/>
      <c r="M2706" s="38"/>
      <c r="N2706" s="38"/>
      <c r="O2706" s="38"/>
      <c r="P2706" s="40" t="str" cm="1">
        <f t="array" ref="P2706">IF(N2706="","",IFERROR(_xlfn.XLOOKUP(F2706&amp;"|"&amp;J2706&amp;"|"&amp;O2706,PRICES!$C$2:$C$659&amp;"|"&amp;PRICES!$B$2:$B$659&amp;"|"&amp;PRICES!$D$2:$D$659,PRICES!$E$2:$E$659),"Not Found"))</f>
        <v/>
      </c>
      <c r="Q2706" s="100" t="str">
        <f>IF(N2706=0,"",SUMIFS(PRICES!$G$2:$G$658,PRICES!$B$2:$B$658,'MAIN TABLE-1 AUTOMATED'!J2706,PRICES!$C$2:$C$658,'MAIN TABLE-1 AUTOMATED'!F2706,PRICES!$D$2:$D$658,'MAIN TABLE-1 AUTOMATED'!O2706))</f>
        <v/>
      </c>
      <c r="R2706" s="41" t="str">
        <f>IF(Table1[[#This Row],[QUANTITY]]=0,"",Table1[[#This Row],[UNIT PRICE]]*Table1[[#This Row],[QUANTITY]])</f>
        <v/>
      </c>
      <c r="S2706" s="89"/>
      <c r="T2706" s="38"/>
      <c r="U2706" s="43"/>
      <c r="V2706" s="42" t="str">
        <f>IF(Table1[[#This Row],[DATE]]=0,"",YEAR(E2706))</f>
        <v/>
      </c>
      <c r="W2706" s="40" t="str">
        <f t="shared" si="88"/>
        <v/>
      </c>
      <c r="X2706" s="40" t="str">
        <f t="shared" si="89"/>
        <v/>
      </c>
      <c r="Y2706" s="40" t="str">
        <f>TEXT(Table1[[#This Row],[YEAR]],"0000")&amp;"-"&amp;Table1[[#This Row],[MONTH]]</f>
        <v>-</v>
      </c>
    </row>
    <row r="2707" spans="1:25" ht="15" customHeight="1" x14ac:dyDescent="0.35">
      <c r="A2707" s="24"/>
      <c r="B2707" s="38"/>
      <c r="C2707" s="38"/>
      <c r="D2707" s="38"/>
      <c r="E2707" s="37"/>
      <c r="F2707" s="38"/>
      <c r="G2707" s="198"/>
      <c r="H2707" s="198"/>
      <c r="I2707" s="39"/>
      <c r="J2707" s="38"/>
      <c r="K2707" s="198"/>
      <c r="L2707" s="38"/>
      <c r="M2707" s="38"/>
      <c r="N2707" s="38"/>
      <c r="O2707" s="38"/>
      <c r="P2707" s="40" t="str" cm="1">
        <f t="array" ref="P2707">IF(N2707="","",IFERROR(_xlfn.XLOOKUP(F2707&amp;"|"&amp;J2707&amp;"|"&amp;O2707,PRICES!$C$2:$C$659&amp;"|"&amp;PRICES!$B$2:$B$659&amp;"|"&amp;PRICES!$D$2:$D$659,PRICES!$E$2:$E$659),"Not Found"))</f>
        <v/>
      </c>
      <c r="Q2707" s="100" t="str">
        <f>IF(N2707=0,"",SUMIFS(PRICES!$G$2:$G$658,PRICES!$B$2:$B$658,'MAIN TABLE-1 AUTOMATED'!J2707,PRICES!$C$2:$C$658,'MAIN TABLE-1 AUTOMATED'!F2707,PRICES!$D$2:$D$658,'MAIN TABLE-1 AUTOMATED'!O2707))</f>
        <v/>
      </c>
      <c r="R2707" s="41" t="str">
        <f>IF(Table1[[#This Row],[QUANTITY]]=0,"",Table1[[#This Row],[UNIT PRICE]]*Table1[[#This Row],[QUANTITY]])</f>
        <v/>
      </c>
      <c r="S2707" s="89"/>
      <c r="T2707" s="38"/>
      <c r="U2707" s="43"/>
      <c r="V2707" s="42" t="str">
        <f>IF(Table1[[#This Row],[DATE]]=0,"",YEAR(E2707))</f>
        <v/>
      </c>
      <c r="W2707" s="40" t="str">
        <f t="shared" si="88"/>
        <v/>
      </c>
      <c r="X2707" s="40" t="str">
        <f t="shared" si="89"/>
        <v/>
      </c>
      <c r="Y2707" s="40" t="str">
        <f>TEXT(Table1[[#This Row],[YEAR]],"0000")&amp;"-"&amp;Table1[[#This Row],[MONTH]]</f>
        <v>-</v>
      </c>
    </row>
    <row r="2708" spans="1:25" ht="15" customHeight="1" x14ac:dyDescent="0.35">
      <c r="A2708" s="24"/>
      <c r="B2708" s="38"/>
      <c r="C2708" s="38"/>
      <c r="D2708" s="38"/>
      <c r="E2708" s="37"/>
      <c r="F2708" s="38"/>
      <c r="G2708" s="198"/>
      <c r="H2708" s="198"/>
      <c r="I2708" s="39"/>
      <c r="J2708" s="38"/>
      <c r="K2708" s="198"/>
      <c r="L2708" s="38"/>
      <c r="M2708" s="38"/>
      <c r="N2708" s="38"/>
      <c r="O2708" s="38"/>
      <c r="P2708" s="40" t="str" cm="1">
        <f t="array" ref="P2708">IF(N2708="","",IFERROR(_xlfn.XLOOKUP(F2708&amp;"|"&amp;J2708&amp;"|"&amp;O2708,PRICES!$C$2:$C$659&amp;"|"&amp;PRICES!$B$2:$B$659&amp;"|"&amp;PRICES!$D$2:$D$659,PRICES!$E$2:$E$659),"Not Found"))</f>
        <v/>
      </c>
      <c r="Q2708" s="100" t="str">
        <f>IF(N2708=0,"",SUMIFS(PRICES!$G$2:$G$658,PRICES!$B$2:$B$658,'MAIN TABLE-1 AUTOMATED'!J2708,PRICES!$C$2:$C$658,'MAIN TABLE-1 AUTOMATED'!F2708,PRICES!$D$2:$D$658,'MAIN TABLE-1 AUTOMATED'!O2708))</f>
        <v/>
      </c>
      <c r="R2708" s="41" t="str">
        <f>IF(Table1[[#This Row],[QUANTITY]]=0,"",Table1[[#This Row],[UNIT PRICE]]*Table1[[#This Row],[QUANTITY]])</f>
        <v/>
      </c>
      <c r="S2708" s="89"/>
      <c r="T2708" s="38"/>
      <c r="U2708" s="43"/>
      <c r="V2708" s="42" t="str">
        <f>IF(Table1[[#This Row],[DATE]]=0,"",YEAR(E2708))</f>
        <v/>
      </c>
      <c r="W2708" s="40" t="str">
        <f t="shared" si="88"/>
        <v/>
      </c>
      <c r="X2708" s="40" t="str">
        <f t="shared" si="89"/>
        <v/>
      </c>
      <c r="Y2708" s="40" t="str">
        <f>TEXT(Table1[[#This Row],[YEAR]],"0000")&amp;"-"&amp;Table1[[#This Row],[MONTH]]</f>
        <v>-</v>
      </c>
    </row>
    <row r="2709" spans="1:25" ht="15" customHeight="1" x14ac:dyDescent="0.35">
      <c r="A2709" s="24"/>
      <c r="B2709" s="38"/>
      <c r="C2709" s="38"/>
      <c r="D2709" s="38"/>
      <c r="E2709" s="37"/>
      <c r="F2709" s="38"/>
      <c r="G2709" s="198"/>
      <c r="H2709" s="198"/>
      <c r="I2709" s="39"/>
      <c r="J2709" s="38"/>
      <c r="K2709" s="198"/>
      <c r="L2709" s="38"/>
      <c r="M2709" s="38"/>
      <c r="N2709" s="38"/>
      <c r="O2709" s="38"/>
      <c r="P2709" s="40" t="str" cm="1">
        <f t="array" ref="P2709">IF(N2709="","",IFERROR(_xlfn.XLOOKUP(F2709&amp;"|"&amp;J2709&amp;"|"&amp;O2709,PRICES!$C$2:$C$659&amp;"|"&amp;PRICES!$B$2:$B$659&amp;"|"&amp;PRICES!$D$2:$D$659,PRICES!$E$2:$E$659),"Not Found"))</f>
        <v/>
      </c>
      <c r="Q2709" s="100" t="str">
        <f>IF(N2709=0,"",SUMIFS(PRICES!$G$2:$G$658,PRICES!$B$2:$B$658,'MAIN TABLE-1 AUTOMATED'!J2709,PRICES!$C$2:$C$658,'MAIN TABLE-1 AUTOMATED'!F2709,PRICES!$D$2:$D$658,'MAIN TABLE-1 AUTOMATED'!O2709))</f>
        <v/>
      </c>
      <c r="R2709" s="41" t="str">
        <f>IF(Table1[[#This Row],[QUANTITY]]=0,"",Table1[[#This Row],[UNIT PRICE]]*Table1[[#This Row],[QUANTITY]])</f>
        <v/>
      </c>
      <c r="S2709" s="89"/>
      <c r="T2709" s="38"/>
      <c r="U2709" s="43"/>
      <c r="V2709" s="42" t="str">
        <f>IF(Table1[[#This Row],[DATE]]=0,"",YEAR(E2709))</f>
        <v/>
      </c>
      <c r="W2709" s="40" t="str">
        <f t="shared" si="88"/>
        <v/>
      </c>
      <c r="X2709" s="40" t="str">
        <f t="shared" si="89"/>
        <v/>
      </c>
      <c r="Y2709" s="40" t="str">
        <f>TEXT(Table1[[#This Row],[YEAR]],"0000")&amp;"-"&amp;Table1[[#This Row],[MONTH]]</f>
        <v>-</v>
      </c>
    </row>
    <row r="2710" spans="1:25" ht="15" customHeight="1" x14ac:dyDescent="0.35">
      <c r="A2710" s="24"/>
      <c r="B2710" s="38"/>
      <c r="C2710" s="38"/>
      <c r="D2710" s="38"/>
      <c r="E2710" s="37"/>
      <c r="F2710" s="38"/>
      <c r="G2710" s="198"/>
      <c r="H2710" s="198"/>
      <c r="I2710" s="39"/>
      <c r="J2710" s="38"/>
      <c r="K2710" s="198"/>
      <c r="L2710" s="38"/>
      <c r="M2710" s="38"/>
      <c r="N2710" s="38"/>
      <c r="O2710" s="38"/>
      <c r="P2710" s="40" t="str" cm="1">
        <f t="array" ref="P2710">IF(N2710="","",IFERROR(_xlfn.XLOOKUP(F2710&amp;"|"&amp;J2710&amp;"|"&amp;O2710,PRICES!$C$2:$C$659&amp;"|"&amp;PRICES!$B$2:$B$659&amp;"|"&amp;PRICES!$D$2:$D$659,PRICES!$E$2:$E$659),"Not Found"))</f>
        <v/>
      </c>
      <c r="Q2710" s="100" t="str">
        <f>IF(N2710=0,"",SUMIFS(PRICES!$G$2:$G$658,PRICES!$B$2:$B$658,'MAIN TABLE-1 AUTOMATED'!J2710,PRICES!$C$2:$C$658,'MAIN TABLE-1 AUTOMATED'!F2710,PRICES!$D$2:$D$658,'MAIN TABLE-1 AUTOMATED'!O2710))</f>
        <v/>
      </c>
      <c r="R2710" s="41" t="str">
        <f>IF(Table1[[#This Row],[QUANTITY]]=0,"",Table1[[#This Row],[UNIT PRICE]]*Table1[[#This Row],[QUANTITY]])</f>
        <v/>
      </c>
      <c r="S2710" s="89"/>
      <c r="T2710" s="38"/>
      <c r="U2710" s="43"/>
      <c r="V2710" s="42" t="str">
        <f>IF(Table1[[#This Row],[DATE]]=0,"",YEAR(E2710))</f>
        <v/>
      </c>
      <c r="W2710" s="40" t="str">
        <f t="shared" si="88"/>
        <v/>
      </c>
      <c r="X2710" s="40" t="str">
        <f t="shared" si="89"/>
        <v/>
      </c>
      <c r="Y2710" s="40" t="str">
        <f>TEXT(Table1[[#This Row],[YEAR]],"0000")&amp;"-"&amp;Table1[[#This Row],[MONTH]]</f>
        <v>-</v>
      </c>
    </row>
    <row r="2711" spans="1:25" ht="15" customHeight="1" x14ac:dyDescent="0.35">
      <c r="A2711" s="24"/>
      <c r="B2711" s="38"/>
      <c r="C2711" s="38"/>
      <c r="D2711" s="38"/>
      <c r="E2711" s="37"/>
      <c r="F2711" s="38"/>
      <c r="G2711" s="198"/>
      <c r="H2711" s="198"/>
      <c r="I2711" s="39"/>
      <c r="J2711" s="38"/>
      <c r="K2711" s="198"/>
      <c r="L2711" s="38"/>
      <c r="M2711" s="38"/>
      <c r="N2711" s="38"/>
      <c r="O2711" s="38"/>
      <c r="P2711" s="40" t="str" cm="1">
        <f t="array" ref="P2711">IF(N2711="","",IFERROR(_xlfn.XLOOKUP(F2711&amp;"|"&amp;J2711&amp;"|"&amp;O2711,PRICES!$C$2:$C$659&amp;"|"&amp;PRICES!$B$2:$B$659&amp;"|"&amp;PRICES!$D$2:$D$659,PRICES!$E$2:$E$659),"Not Found"))</f>
        <v/>
      </c>
      <c r="Q2711" s="100" t="str">
        <f>IF(N2711=0,"",SUMIFS(PRICES!$G$2:$G$658,PRICES!$B$2:$B$658,'MAIN TABLE-1 AUTOMATED'!J2711,PRICES!$C$2:$C$658,'MAIN TABLE-1 AUTOMATED'!F2711,PRICES!$D$2:$D$658,'MAIN TABLE-1 AUTOMATED'!O2711))</f>
        <v/>
      </c>
      <c r="R2711" s="41" t="str">
        <f>IF(Table1[[#This Row],[QUANTITY]]=0,"",Table1[[#This Row],[UNIT PRICE]]*Table1[[#This Row],[QUANTITY]])</f>
        <v/>
      </c>
      <c r="S2711" s="89"/>
      <c r="T2711" s="38"/>
      <c r="U2711" s="43"/>
      <c r="V2711" s="42" t="str">
        <f>IF(Table1[[#This Row],[DATE]]=0,"",YEAR(E2711))</f>
        <v/>
      </c>
      <c r="W2711" s="40" t="str">
        <f t="shared" si="88"/>
        <v/>
      </c>
      <c r="X2711" s="40" t="str">
        <f t="shared" si="89"/>
        <v/>
      </c>
      <c r="Y2711" s="40" t="str">
        <f>TEXT(Table1[[#This Row],[YEAR]],"0000")&amp;"-"&amp;Table1[[#This Row],[MONTH]]</f>
        <v>-</v>
      </c>
    </row>
    <row r="2712" spans="1:25" ht="15" customHeight="1" x14ac:dyDescent="0.35">
      <c r="A2712" s="24"/>
      <c r="B2712" s="38"/>
      <c r="C2712" s="38"/>
      <c r="D2712" s="38"/>
      <c r="E2712" s="37"/>
      <c r="F2712" s="38"/>
      <c r="G2712" s="198"/>
      <c r="H2712" s="198"/>
      <c r="I2712" s="39"/>
      <c r="J2712" s="38"/>
      <c r="K2712" s="198"/>
      <c r="L2712" s="38"/>
      <c r="M2712" s="38"/>
      <c r="N2712" s="38"/>
      <c r="O2712" s="38"/>
      <c r="P2712" s="40" t="str" cm="1">
        <f t="array" ref="P2712">IF(N2712="","",IFERROR(_xlfn.XLOOKUP(F2712&amp;"|"&amp;J2712&amp;"|"&amp;O2712,PRICES!$C$2:$C$659&amp;"|"&amp;PRICES!$B$2:$B$659&amp;"|"&amp;PRICES!$D$2:$D$659,PRICES!$E$2:$E$659),"Not Found"))</f>
        <v/>
      </c>
      <c r="Q2712" s="100" t="str">
        <f>IF(N2712=0,"",SUMIFS(PRICES!$G$2:$G$658,PRICES!$B$2:$B$658,'MAIN TABLE-1 AUTOMATED'!J2712,PRICES!$C$2:$C$658,'MAIN TABLE-1 AUTOMATED'!F2712,PRICES!$D$2:$D$658,'MAIN TABLE-1 AUTOMATED'!O2712))</f>
        <v/>
      </c>
      <c r="R2712" s="41" t="str">
        <f>IF(Table1[[#This Row],[QUANTITY]]=0,"",Table1[[#This Row],[UNIT PRICE]]*Table1[[#This Row],[QUANTITY]])</f>
        <v/>
      </c>
      <c r="S2712" s="89"/>
      <c r="T2712" s="38"/>
      <c r="U2712" s="43"/>
      <c r="V2712" s="42" t="str">
        <f>IF(Table1[[#This Row],[DATE]]=0,"",YEAR(E2712))</f>
        <v/>
      </c>
      <c r="W2712" s="40" t="str">
        <f t="shared" si="88"/>
        <v/>
      </c>
      <c r="X2712" s="40" t="str">
        <f t="shared" si="89"/>
        <v/>
      </c>
      <c r="Y2712" s="40" t="str">
        <f>TEXT(Table1[[#This Row],[YEAR]],"0000")&amp;"-"&amp;Table1[[#This Row],[MONTH]]</f>
        <v>-</v>
      </c>
    </row>
    <row r="2713" spans="1:25" ht="15" customHeight="1" x14ac:dyDescent="0.35">
      <c r="A2713" s="24"/>
      <c r="B2713" s="38"/>
      <c r="C2713" s="38"/>
      <c r="D2713" s="38"/>
      <c r="E2713" s="37"/>
      <c r="F2713" s="38"/>
      <c r="G2713" s="198"/>
      <c r="H2713" s="198"/>
      <c r="I2713" s="39"/>
      <c r="J2713" s="38"/>
      <c r="K2713" s="198"/>
      <c r="L2713" s="38"/>
      <c r="M2713" s="38"/>
      <c r="N2713" s="38"/>
      <c r="O2713" s="38"/>
      <c r="P2713" s="40" t="str" cm="1">
        <f t="array" ref="P2713">IF(N2713="","",IFERROR(_xlfn.XLOOKUP(F2713&amp;"|"&amp;J2713&amp;"|"&amp;O2713,PRICES!$C$2:$C$659&amp;"|"&amp;PRICES!$B$2:$B$659&amp;"|"&amp;PRICES!$D$2:$D$659,PRICES!$E$2:$E$659),"Not Found"))</f>
        <v/>
      </c>
      <c r="Q2713" s="100" t="str">
        <f>IF(N2713=0,"",SUMIFS(PRICES!$G$2:$G$658,PRICES!$B$2:$B$658,'MAIN TABLE-1 AUTOMATED'!J2713,PRICES!$C$2:$C$658,'MAIN TABLE-1 AUTOMATED'!F2713,PRICES!$D$2:$D$658,'MAIN TABLE-1 AUTOMATED'!O2713))</f>
        <v/>
      </c>
      <c r="R2713" s="41" t="str">
        <f>IF(Table1[[#This Row],[QUANTITY]]=0,"",Table1[[#This Row],[UNIT PRICE]]*Table1[[#This Row],[QUANTITY]])</f>
        <v/>
      </c>
      <c r="S2713" s="89"/>
      <c r="T2713" s="38"/>
      <c r="U2713" s="43"/>
      <c r="V2713" s="42" t="str">
        <f>IF(Table1[[#This Row],[DATE]]=0,"",YEAR(E2713))</f>
        <v/>
      </c>
      <c r="W2713" s="40" t="str">
        <f t="shared" si="88"/>
        <v/>
      </c>
      <c r="X2713" s="40" t="str">
        <f t="shared" si="89"/>
        <v/>
      </c>
      <c r="Y2713" s="40" t="str">
        <f>TEXT(Table1[[#This Row],[YEAR]],"0000")&amp;"-"&amp;Table1[[#This Row],[MONTH]]</f>
        <v>-</v>
      </c>
    </row>
    <row r="2714" spans="1:25" ht="15" customHeight="1" x14ac:dyDescent="0.35">
      <c r="A2714" s="24"/>
      <c r="B2714" s="38"/>
      <c r="C2714" s="38"/>
      <c r="D2714" s="38"/>
      <c r="E2714" s="37"/>
      <c r="F2714" s="38"/>
      <c r="G2714" s="198"/>
      <c r="H2714" s="198"/>
      <c r="I2714" s="39"/>
      <c r="J2714" s="38"/>
      <c r="K2714" s="198"/>
      <c r="L2714" s="38"/>
      <c r="M2714" s="38"/>
      <c r="N2714" s="38"/>
      <c r="O2714" s="38"/>
      <c r="P2714" s="40" t="str" cm="1">
        <f t="array" ref="P2714">IF(N2714="","",IFERROR(_xlfn.XLOOKUP(F2714&amp;"|"&amp;J2714&amp;"|"&amp;O2714,PRICES!$C$2:$C$659&amp;"|"&amp;PRICES!$B$2:$B$659&amp;"|"&amp;PRICES!$D$2:$D$659,PRICES!$E$2:$E$659),"Not Found"))</f>
        <v/>
      </c>
      <c r="Q2714" s="100" t="str">
        <f>IF(N2714=0,"",SUMIFS(PRICES!$G$2:$G$658,PRICES!$B$2:$B$658,'MAIN TABLE-1 AUTOMATED'!J2714,PRICES!$C$2:$C$658,'MAIN TABLE-1 AUTOMATED'!F2714,PRICES!$D$2:$D$658,'MAIN TABLE-1 AUTOMATED'!O2714))</f>
        <v/>
      </c>
      <c r="R2714" s="41" t="str">
        <f>IF(Table1[[#This Row],[QUANTITY]]=0,"",Table1[[#This Row],[UNIT PRICE]]*Table1[[#This Row],[QUANTITY]])</f>
        <v/>
      </c>
      <c r="S2714" s="89"/>
      <c r="T2714" s="38"/>
      <c r="U2714" s="43"/>
      <c r="V2714" s="42" t="str">
        <f>IF(Table1[[#This Row],[DATE]]=0,"",YEAR(E2714))</f>
        <v/>
      </c>
      <c r="W2714" s="40" t="str">
        <f t="shared" si="88"/>
        <v/>
      </c>
      <c r="X2714" s="40" t="str">
        <f t="shared" si="89"/>
        <v/>
      </c>
      <c r="Y2714" s="40" t="str">
        <f>TEXT(Table1[[#This Row],[YEAR]],"0000")&amp;"-"&amp;Table1[[#This Row],[MONTH]]</f>
        <v>-</v>
      </c>
    </row>
    <row r="2715" spans="1:25" ht="15" customHeight="1" x14ac:dyDescent="0.35">
      <c r="A2715" s="24"/>
      <c r="B2715" s="38"/>
      <c r="C2715" s="38"/>
      <c r="D2715" s="38"/>
      <c r="E2715" s="37"/>
      <c r="F2715" s="38"/>
      <c r="G2715" s="198"/>
      <c r="H2715" s="198"/>
      <c r="I2715" s="39"/>
      <c r="J2715" s="38"/>
      <c r="K2715" s="198"/>
      <c r="L2715" s="38"/>
      <c r="M2715" s="38"/>
      <c r="N2715" s="38"/>
      <c r="O2715" s="38"/>
      <c r="P2715" s="40" t="str" cm="1">
        <f t="array" ref="P2715">IF(N2715="","",IFERROR(_xlfn.XLOOKUP(F2715&amp;"|"&amp;J2715&amp;"|"&amp;O2715,PRICES!$C$2:$C$659&amp;"|"&amp;PRICES!$B$2:$B$659&amp;"|"&amp;PRICES!$D$2:$D$659,PRICES!$E$2:$E$659),"Not Found"))</f>
        <v/>
      </c>
      <c r="Q2715" s="100" t="str">
        <f>IF(N2715=0,"",SUMIFS(PRICES!$G$2:$G$658,PRICES!$B$2:$B$658,'MAIN TABLE-1 AUTOMATED'!J2715,PRICES!$C$2:$C$658,'MAIN TABLE-1 AUTOMATED'!F2715,PRICES!$D$2:$D$658,'MAIN TABLE-1 AUTOMATED'!O2715))</f>
        <v/>
      </c>
      <c r="R2715" s="41" t="str">
        <f>IF(Table1[[#This Row],[QUANTITY]]=0,"",Table1[[#This Row],[UNIT PRICE]]*Table1[[#This Row],[QUANTITY]])</f>
        <v/>
      </c>
      <c r="S2715" s="89"/>
      <c r="T2715" s="38"/>
      <c r="U2715" s="43"/>
      <c r="V2715" s="42" t="str">
        <f>IF(Table1[[#This Row],[DATE]]=0,"",YEAR(E2715))</f>
        <v/>
      </c>
      <c r="W2715" s="40" t="str">
        <f t="shared" si="88"/>
        <v/>
      </c>
      <c r="X2715" s="40" t="str">
        <f t="shared" si="89"/>
        <v/>
      </c>
      <c r="Y2715" s="40" t="str">
        <f>TEXT(Table1[[#This Row],[YEAR]],"0000")&amp;"-"&amp;Table1[[#This Row],[MONTH]]</f>
        <v>-</v>
      </c>
    </row>
    <row r="2716" spans="1:25" ht="15" customHeight="1" x14ac:dyDescent="0.35">
      <c r="A2716" s="24"/>
      <c r="B2716" s="38"/>
      <c r="C2716" s="38"/>
      <c r="D2716" s="38"/>
      <c r="E2716" s="37"/>
      <c r="F2716" s="38"/>
      <c r="G2716" s="198"/>
      <c r="H2716" s="198"/>
      <c r="I2716" s="39"/>
      <c r="J2716" s="38"/>
      <c r="K2716" s="198"/>
      <c r="L2716" s="38"/>
      <c r="M2716" s="38"/>
      <c r="N2716" s="38"/>
      <c r="O2716" s="38"/>
      <c r="P2716" s="40" t="str" cm="1">
        <f t="array" ref="P2716">IF(N2716="","",IFERROR(_xlfn.XLOOKUP(F2716&amp;"|"&amp;J2716&amp;"|"&amp;O2716,PRICES!$C$2:$C$659&amp;"|"&amp;PRICES!$B$2:$B$659&amp;"|"&amp;PRICES!$D$2:$D$659,PRICES!$E$2:$E$659),"Not Found"))</f>
        <v/>
      </c>
      <c r="Q2716" s="100" t="str">
        <f>IF(N2716=0,"",SUMIFS(PRICES!$G$2:$G$658,PRICES!$B$2:$B$658,'MAIN TABLE-1 AUTOMATED'!J2716,PRICES!$C$2:$C$658,'MAIN TABLE-1 AUTOMATED'!F2716,PRICES!$D$2:$D$658,'MAIN TABLE-1 AUTOMATED'!O2716))</f>
        <v/>
      </c>
      <c r="R2716" s="41" t="str">
        <f>IF(Table1[[#This Row],[QUANTITY]]=0,"",Table1[[#This Row],[UNIT PRICE]]*Table1[[#This Row],[QUANTITY]])</f>
        <v/>
      </c>
      <c r="S2716" s="89"/>
      <c r="T2716" s="38"/>
      <c r="U2716" s="43"/>
      <c r="V2716" s="42" t="str">
        <f>IF(Table1[[#This Row],[DATE]]=0,"",YEAR(E2716))</f>
        <v/>
      </c>
      <c r="W2716" s="40" t="str">
        <f t="shared" si="88"/>
        <v/>
      </c>
      <c r="X2716" s="40" t="str">
        <f t="shared" si="89"/>
        <v/>
      </c>
      <c r="Y2716" s="40" t="str">
        <f>TEXT(Table1[[#This Row],[YEAR]],"0000")&amp;"-"&amp;Table1[[#This Row],[MONTH]]</f>
        <v>-</v>
      </c>
    </row>
    <row r="2717" spans="1:25" ht="15" customHeight="1" x14ac:dyDescent="0.35">
      <c r="A2717" s="24"/>
      <c r="B2717" s="38"/>
      <c r="C2717" s="38"/>
      <c r="D2717" s="38"/>
      <c r="E2717" s="37"/>
      <c r="F2717" s="38"/>
      <c r="G2717" s="198"/>
      <c r="H2717" s="198"/>
      <c r="I2717" s="39"/>
      <c r="J2717" s="38"/>
      <c r="K2717" s="198"/>
      <c r="L2717" s="38"/>
      <c r="M2717" s="38"/>
      <c r="N2717" s="38"/>
      <c r="O2717" s="38"/>
      <c r="P2717" s="40" t="str" cm="1">
        <f t="array" ref="P2717">IF(N2717="","",IFERROR(_xlfn.XLOOKUP(F2717&amp;"|"&amp;J2717&amp;"|"&amp;O2717,PRICES!$C$2:$C$659&amp;"|"&amp;PRICES!$B$2:$B$659&amp;"|"&amp;PRICES!$D$2:$D$659,PRICES!$E$2:$E$659),"Not Found"))</f>
        <v/>
      </c>
      <c r="Q2717" s="100" t="str">
        <f>IF(N2717=0,"",SUMIFS(PRICES!$G$2:$G$658,PRICES!$B$2:$B$658,'MAIN TABLE-1 AUTOMATED'!J2717,PRICES!$C$2:$C$658,'MAIN TABLE-1 AUTOMATED'!F2717,PRICES!$D$2:$D$658,'MAIN TABLE-1 AUTOMATED'!O2717))</f>
        <v/>
      </c>
      <c r="R2717" s="41" t="str">
        <f>IF(Table1[[#This Row],[QUANTITY]]=0,"",Table1[[#This Row],[UNIT PRICE]]*Table1[[#This Row],[QUANTITY]])</f>
        <v/>
      </c>
      <c r="S2717" s="89"/>
      <c r="T2717" s="38"/>
      <c r="U2717" s="43"/>
      <c r="V2717" s="42" t="str">
        <f>IF(Table1[[#This Row],[DATE]]=0,"",YEAR(E2717))</f>
        <v/>
      </c>
      <c r="W2717" s="40" t="str">
        <f t="shared" si="88"/>
        <v/>
      </c>
      <c r="X2717" s="40" t="str">
        <f t="shared" si="89"/>
        <v/>
      </c>
      <c r="Y2717" s="40" t="str">
        <f>TEXT(Table1[[#This Row],[YEAR]],"0000")&amp;"-"&amp;Table1[[#This Row],[MONTH]]</f>
        <v>-</v>
      </c>
    </row>
    <row r="2718" spans="1:25" ht="15" customHeight="1" x14ac:dyDescent="0.35">
      <c r="A2718" s="24"/>
      <c r="B2718" s="38"/>
      <c r="C2718" s="38"/>
      <c r="D2718" s="38"/>
      <c r="E2718" s="37"/>
      <c r="F2718" s="38"/>
      <c r="G2718" s="198"/>
      <c r="H2718" s="198"/>
      <c r="I2718" s="39"/>
      <c r="J2718" s="38"/>
      <c r="K2718" s="198"/>
      <c r="L2718" s="38"/>
      <c r="M2718" s="38"/>
      <c r="N2718" s="38"/>
      <c r="O2718" s="38"/>
      <c r="P2718" s="40" t="str" cm="1">
        <f t="array" ref="P2718">IF(N2718="","",IFERROR(_xlfn.XLOOKUP(F2718&amp;"|"&amp;J2718&amp;"|"&amp;O2718,PRICES!$C$2:$C$659&amp;"|"&amp;PRICES!$B$2:$B$659&amp;"|"&amp;PRICES!$D$2:$D$659,PRICES!$E$2:$E$659),"Not Found"))</f>
        <v/>
      </c>
      <c r="Q2718" s="100" t="str">
        <f>IF(N2718=0,"",SUMIFS(PRICES!$G$2:$G$658,PRICES!$B$2:$B$658,'MAIN TABLE-1 AUTOMATED'!J2718,PRICES!$C$2:$C$658,'MAIN TABLE-1 AUTOMATED'!F2718,PRICES!$D$2:$D$658,'MAIN TABLE-1 AUTOMATED'!O2718))</f>
        <v/>
      </c>
      <c r="R2718" s="41" t="str">
        <f>IF(Table1[[#This Row],[QUANTITY]]=0,"",Table1[[#This Row],[UNIT PRICE]]*Table1[[#This Row],[QUANTITY]])</f>
        <v/>
      </c>
      <c r="S2718" s="89"/>
      <c r="T2718" s="38"/>
      <c r="U2718" s="43"/>
      <c r="V2718" s="42" t="str">
        <f>IF(Table1[[#This Row],[DATE]]=0,"",YEAR(E2718))</f>
        <v/>
      </c>
      <c r="W2718" s="40" t="str">
        <f t="shared" si="88"/>
        <v/>
      </c>
      <c r="X2718" s="40" t="str">
        <f t="shared" si="89"/>
        <v/>
      </c>
      <c r="Y2718" s="40" t="str">
        <f>TEXT(Table1[[#This Row],[YEAR]],"0000")&amp;"-"&amp;Table1[[#This Row],[MONTH]]</f>
        <v>-</v>
      </c>
    </row>
    <row r="2719" spans="1:25" ht="15" customHeight="1" x14ac:dyDescent="0.35">
      <c r="A2719" s="24"/>
      <c r="B2719" s="38"/>
      <c r="C2719" s="38"/>
      <c r="D2719" s="38"/>
      <c r="E2719" s="37"/>
      <c r="F2719" s="38"/>
      <c r="G2719" s="198"/>
      <c r="H2719" s="198"/>
      <c r="I2719" s="39"/>
      <c r="J2719" s="38"/>
      <c r="K2719" s="198"/>
      <c r="L2719" s="38"/>
      <c r="M2719" s="38"/>
      <c r="N2719" s="38"/>
      <c r="O2719" s="38"/>
      <c r="P2719" s="40" t="str" cm="1">
        <f t="array" ref="P2719">IF(N2719="","",IFERROR(_xlfn.XLOOKUP(F2719&amp;"|"&amp;J2719&amp;"|"&amp;O2719,PRICES!$C$2:$C$659&amp;"|"&amp;PRICES!$B$2:$B$659&amp;"|"&amp;PRICES!$D$2:$D$659,PRICES!$E$2:$E$659),"Not Found"))</f>
        <v/>
      </c>
      <c r="Q2719" s="100" t="str">
        <f>IF(N2719=0,"",SUMIFS(PRICES!$G$2:$G$658,PRICES!$B$2:$B$658,'MAIN TABLE-1 AUTOMATED'!J2719,PRICES!$C$2:$C$658,'MAIN TABLE-1 AUTOMATED'!F2719,PRICES!$D$2:$D$658,'MAIN TABLE-1 AUTOMATED'!O2719))</f>
        <v/>
      </c>
      <c r="R2719" s="41" t="str">
        <f>IF(Table1[[#This Row],[QUANTITY]]=0,"",Table1[[#This Row],[UNIT PRICE]]*Table1[[#This Row],[QUANTITY]])</f>
        <v/>
      </c>
      <c r="S2719" s="89"/>
      <c r="T2719" s="38"/>
      <c r="U2719" s="43"/>
      <c r="V2719" s="42" t="str">
        <f>IF(Table1[[#This Row],[DATE]]=0,"",YEAR(E2719))</f>
        <v/>
      </c>
      <c r="W2719" s="40" t="str">
        <f t="shared" si="88"/>
        <v/>
      </c>
      <c r="X2719" s="40" t="str">
        <f t="shared" si="89"/>
        <v/>
      </c>
      <c r="Y2719" s="40" t="str">
        <f>TEXT(Table1[[#This Row],[YEAR]],"0000")&amp;"-"&amp;Table1[[#This Row],[MONTH]]</f>
        <v>-</v>
      </c>
    </row>
    <row r="2720" spans="1:25" ht="15" customHeight="1" x14ac:dyDescent="0.35">
      <c r="A2720" s="24"/>
      <c r="B2720" s="38"/>
      <c r="C2720" s="38"/>
      <c r="D2720" s="38"/>
      <c r="E2720" s="37"/>
      <c r="F2720" s="38"/>
      <c r="G2720" s="198"/>
      <c r="H2720" s="198"/>
      <c r="I2720" s="39"/>
      <c r="J2720" s="38"/>
      <c r="K2720" s="198"/>
      <c r="L2720" s="38"/>
      <c r="M2720" s="38"/>
      <c r="N2720" s="38"/>
      <c r="O2720" s="38"/>
      <c r="P2720" s="40" t="str" cm="1">
        <f t="array" ref="P2720">IF(N2720="","",IFERROR(_xlfn.XLOOKUP(F2720&amp;"|"&amp;J2720&amp;"|"&amp;O2720,PRICES!$C$2:$C$659&amp;"|"&amp;PRICES!$B$2:$B$659&amp;"|"&amp;PRICES!$D$2:$D$659,PRICES!$E$2:$E$659),"Not Found"))</f>
        <v/>
      </c>
      <c r="Q2720" s="100" t="str">
        <f>IF(N2720=0,"",SUMIFS(PRICES!$G$2:$G$658,PRICES!$B$2:$B$658,'MAIN TABLE-1 AUTOMATED'!J2720,PRICES!$C$2:$C$658,'MAIN TABLE-1 AUTOMATED'!F2720,PRICES!$D$2:$D$658,'MAIN TABLE-1 AUTOMATED'!O2720))</f>
        <v/>
      </c>
      <c r="R2720" s="41" t="str">
        <f>IF(Table1[[#This Row],[QUANTITY]]=0,"",Table1[[#This Row],[UNIT PRICE]]*Table1[[#This Row],[QUANTITY]])</f>
        <v/>
      </c>
      <c r="S2720" s="89"/>
      <c r="T2720" s="38"/>
      <c r="U2720" s="43"/>
      <c r="V2720" s="42" t="str">
        <f>IF(Table1[[#This Row],[DATE]]=0,"",YEAR(E2720))</f>
        <v/>
      </c>
      <c r="W2720" s="40" t="str">
        <f t="shared" si="88"/>
        <v/>
      </c>
      <c r="X2720" s="40" t="str">
        <f t="shared" si="89"/>
        <v/>
      </c>
      <c r="Y2720" s="40" t="str">
        <f>TEXT(Table1[[#This Row],[YEAR]],"0000")&amp;"-"&amp;Table1[[#This Row],[MONTH]]</f>
        <v>-</v>
      </c>
    </row>
    <row r="2721" spans="1:25" ht="15" customHeight="1" x14ac:dyDescent="0.35">
      <c r="A2721" s="24"/>
      <c r="B2721" s="38"/>
      <c r="C2721" s="38"/>
      <c r="D2721" s="38"/>
      <c r="E2721" s="37"/>
      <c r="F2721" s="38"/>
      <c r="G2721" s="198"/>
      <c r="H2721" s="198"/>
      <c r="I2721" s="39"/>
      <c r="J2721" s="38"/>
      <c r="K2721" s="198"/>
      <c r="L2721" s="38"/>
      <c r="M2721" s="38"/>
      <c r="N2721" s="38"/>
      <c r="O2721" s="38"/>
      <c r="P2721" s="40" t="str" cm="1">
        <f t="array" ref="P2721">IF(N2721="","",IFERROR(_xlfn.XLOOKUP(F2721&amp;"|"&amp;J2721&amp;"|"&amp;O2721,PRICES!$C$2:$C$659&amp;"|"&amp;PRICES!$B$2:$B$659&amp;"|"&amp;PRICES!$D$2:$D$659,PRICES!$E$2:$E$659),"Not Found"))</f>
        <v/>
      </c>
      <c r="Q2721" s="100" t="str">
        <f>IF(N2721=0,"",SUMIFS(PRICES!$G$2:$G$658,PRICES!$B$2:$B$658,'MAIN TABLE-1 AUTOMATED'!J2721,PRICES!$C$2:$C$658,'MAIN TABLE-1 AUTOMATED'!F2721,PRICES!$D$2:$D$658,'MAIN TABLE-1 AUTOMATED'!O2721))</f>
        <v/>
      </c>
      <c r="R2721" s="41" t="str">
        <f>IF(Table1[[#This Row],[QUANTITY]]=0,"",Table1[[#This Row],[UNIT PRICE]]*Table1[[#This Row],[QUANTITY]])</f>
        <v/>
      </c>
      <c r="S2721" s="89"/>
      <c r="T2721" s="38"/>
      <c r="U2721" s="43"/>
      <c r="V2721" s="42" t="str">
        <f>IF(Table1[[#This Row],[DATE]]=0,"",YEAR(E2721))</f>
        <v/>
      </c>
      <c r="W2721" s="40" t="str">
        <f t="shared" si="88"/>
        <v/>
      </c>
      <c r="X2721" s="40" t="str">
        <f t="shared" si="89"/>
        <v/>
      </c>
      <c r="Y2721" s="40" t="str">
        <f>TEXT(Table1[[#This Row],[YEAR]],"0000")&amp;"-"&amp;Table1[[#This Row],[MONTH]]</f>
        <v>-</v>
      </c>
    </row>
    <row r="2722" spans="1:25" ht="15" customHeight="1" x14ac:dyDescent="0.35">
      <c r="A2722" s="24"/>
      <c r="B2722" s="38"/>
      <c r="C2722" s="38"/>
      <c r="D2722" s="38"/>
      <c r="E2722" s="37"/>
      <c r="F2722" s="38"/>
      <c r="G2722" s="198"/>
      <c r="H2722" s="198"/>
      <c r="I2722" s="39"/>
      <c r="J2722" s="38"/>
      <c r="K2722" s="198"/>
      <c r="L2722" s="38"/>
      <c r="M2722" s="38"/>
      <c r="N2722" s="38"/>
      <c r="O2722" s="38"/>
      <c r="P2722" s="40" t="str" cm="1">
        <f t="array" ref="P2722">IF(N2722="","",IFERROR(_xlfn.XLOOKUP(F2722&amp;"|"&amp;J2722&amp;"|"&amp;O2722,PRICES!$C$2:$C$659&amp;"|"&amp;PRICES!$B$2:$B$659&amp;"|"&amp;PRICES!$D$2:$D$659,PRICES!$E$2:$E$659),"Not Found"))</f>
        <v/>
      </c>
      <c r="Q2722" s="100" t="str">
        <f>IF(N2722=0,"",SUMIFS(PRICES!$G$2:$G$658,PRICES!$B$2:$B$658,'MAIN TABLE-1 AUTOMATED'!J2722,PRICES!$C$2:$C$658,'MAIN TABLE-1 AUTOMATED'!F2722,PRICES!$D$2:$D$658,'MAIN TABLE-1 AUTOMATED'!O2722))</f>
        <v/>
      </c>
      <c r="R2722" s="41" t="str">
        <f>IF(Table1[[#This Row],[QUANTITY]]=0,"",Table1[[#This Row],[UNIT PRICE]]*Table1[[#This Row],[QUANTITY]])</f>
        <v/>
      </c>
      <c r="S2722" s="89"/>
      <c r="T2722" s="38"/>
      <c r="U2722" s="43"/>
      <c r="V2722" s="42" t="str">
        <f>IF(Table1[[#This Row],[DATE]]=0,"",YEAR(E2722))</f>
        <v/>
      </c>
      <c r="W2722" s="40" t="str">
        <f t="shared" si="88"/>
        <v/>
      </c>
      <c r="X2722" s="40" t="str">
        <f t="shared" si="89"/>
        <v/>
      </c>
      <c r="Y2722" s="40" t="str">
        <f>TEXT(Table1[[#This Row],[YEAR]],"0000")&amp;"-"&amp;Table1[[#This Row],[MONTH]]</f>
        <v>-</v>
      </c>
    </row>
    <row r="2723" spans="1:25" ht="15" customHeight="1" x14ac:dyDescent="0.35">
      <c r="A2723" s="24"/>
      <c r="B2723" s="38"/>
      <c r="C2723" s="38"/>
      <c r="D2723" s="38"/>
      <c r="E2723" s="37"/>
      <c r="F2723" s="38"/>
      <c r="G2723" s="198"/>
      <c r="H2723" s="198"/>
      <c r="I2723" s="39"/>
      <c r="J2723" s="38"/>
      <c r="K2723" s="198"/>
      <c r="L2723" s="38"/>
      <c r="M2723" s="38"/>
      <c r="N2723" s="38"/>
      <c r="O2723" s="38"/>
      <c r="P2723" s="40" t="str" cm="1">
        <f t="array" ref="P2723">IF(N2723="","",IFERROR(_xlfn.XLOOKUP(F2723&amp;"|"&amp;J2723&amp;"|"&amp;O2723,PRICES!$C$2:$C$659&amp;"|"&amp;PRICES!$B$2:$B$659&amp;"|"&amp;PRICES!$D$2:$D$659,PRICES!$E$2:$E$659),"Not Found"))</f>
        <v/>
      </c>
      <c r="Q2723" s="100" t="str">
        <f>IF(N2723=0,"",SUMIFS(PRICES!$G$2:$G$658,PRICES!$B$2:$B$658,'MAIN TABLE-1 AUTOMATED'!J2723,PRICES!$C$2:$C$658,'MAIN TABLE-1 AUTOMATED'!F2723,PRICES!$D$2:$D$658,'MAIN TABLE-1 AUTOMATED'!O2723))</f>
        <v/>
      </c>
      <c r="R2723" s="41" t="str">
        <f>IF(Table1[[#This Row],[QUANTITY]]=0,"",Table1[[#This Row],[UNIT PRICE]]*Table1[[#This Row],[QUANTITY]])</f>
        <v/>
      </c>
      <c r="S2723" s="89"/>
      <c r="T2723" s="38"/>
      <c r="U2723" s="43"/>
      <c r="V2723" s="42" t="str">
        <f>IF(Table1[[#This Row],[DATE]]=0,"",YEAR(E2723))</f>
        <v/>
      </c>
      <c r="W2723" s="40" t="str">
        <f t="shared" si="88"/>
        <v/>
      </c>
      <c r="X2723" s="40" t="str">
        <f t="shared" si="89"/>
        <v/>
      </c>
      <c r="Y2723" s="40" t="str">
        <f>TEXT(Table1[[#This Row],[YEAR]],"0000")&amp;"-"&amp;Table1[[#This Row],[MONTH]]</f>
        <v>-</v>
      </c>
    </row>
    <row r="2724" spans="1:25" ht="15" customHeight="1" x14ac:dyDescent="0.35">
      <c r="A2724" s="24"/>
      <c r="B2724" s="38"/>
      <c r="C2724" s="38"/>
      <c r="D2724" s="38"/>
      <c r="E2724" s="37"/>
      <c r="F2724" s="38"/>
      <c r="G2724" s="198"/>
      <c r="H2724" s="198"/>
      <c r="I2724" s="39"/>
      <c r="J2724" s="38"/>
      <c r="K2724" s="198"/>
      <c r="L2724" s="38"/>
      <c r="M2724" s="38"/>
      <c r="N2724" s="38"/>
      <c r="O2724" s="38"/>
      <c r="P2724" s="40" t="str" cm="1">
        <f t="array" ref="P2724">IF(N2724="","",IFERROR(_xlfn.XLOOKUP(F2724&amp;"|"&amp;J2724&amp;"|"&amp;O2724,PRICES!$C$2:$C$659&amp;"|"&amp;PRICES!$B$2:$B$659&amp;"|"&amp;PRICES!$D$2:$D$659,PRICES!$E$2:$E$659),"Not Found"))</f>
        <v/>
      </c>
      <c r="Q2724" s="100" t="str">
        <f>IF(N2724=0,"",SUMIFS(PRICES!$G$2:$G$658,PRICES!$B$2:$B$658,'MAIN TABLE-1 AUTOMATED'!J2724,PRICES!$C$2:$C$658,'MAIN TABLE-1 AUTOMATED'!F2724,PRICES!$D$2:$D$658,'MAIN TABLE-1 AUTOMATED'!O2724))</f>
        <v/>
      </c>
      <c r="R2724" s="41" t="str">
        <f>IF(Table1[[#This Row],[QUANTITY]]=0,"",Table1[[#This Row],[UNIT PRICE]]*Table1[[#This Row],[QUANTITY]])</f>
        <v/>
      </c>
      <c r="S2724" s="89"/>
      <c r="T2724" s="38"/>
      <c r="U2724" s="43"/>
      <c r="V2724" s="42" t="str">
        <f>IF(Table1[[#This Row],[DATE]]=0,"",YEAR(E2724))</f>
        <v/>
      </c>
      <c r="W2724" s="40" t="str">
        <f t="shared" si="88"/>
        <v/>
      </c>
      <c r="X2724" s="40" t="str">
        <f t="shared" si="89"/>
        <v/>
      </c>
      <c r="Y2724" s="40" t="str">
        <f>TEXT(Table1[[#This Row],[YEAR]],"0000")&amp;"-"&amp;Table1[[#This Row],[MONTH]]</f>
        <v>-</v>
      </c>
    </row>
    <row r="2725" spans="1:25" ht="15" customHeight="1" x14ac:dyDescent="0.35">
      <c r="A2725" s="24"/>
      <c r="B2725" s="38"/>
      <c r="C2725" s="38"/>
      <c r="D2725" s="38"/>
      <c r="E2725" s="37"/>
      <c r="F2725" s="38"/>
      <c r="G2725" s="198"/>
      <c r="H2725" s="198"/>
      <c r="I2725" s="39"/>
      <c r="J2725" s="38"/>
      <c r="K2725" s="198"/>
      <c r="L2725" s="38"/>
      <c r="M2725" s="38"/>
      <c r="N2725" s="38"/>
      <c r="O2725" s="38"/>
      <c r="P2725" s="40" t="str" cm="1">
        <f t="array" ref="P2725">IF(N2725="","",IFERROR(_xlfn.XLOOKUP(F2725&amp;"|"&amp;J2725&amp;"|"&amp;O2725,PRICES!$C$2:$C$659&amp;"|"&amp;PRICES!$B$2:$B$659&amp;"|"&amp;PRICES!$D$2:$D$659,PRICES!$E$2:$E$659),"Not Found"))</f>
        <v/>
      </c>
      <c r="Q2725" s="100" t="str">
        <f>IF(N2725=0,"",SUMIFS(PRICES!$G$2:$G$658,PRICES!$B$2:$B$658,'MAIN TABLE-1 AUTOMATED'!J2725,PRICES!$C$2:$C$658,'MAIN TABLE-1 AUTOMATED'!F2725,PRICES!$D$2:$D$658,'MAIN TABLE-1 AUTOMATED'!O2725))</f>
        <v/>
      </c>
      <c r="R2725" s="41" t="str">
        <f>IF(Table1[[#This Row],[QUANTITY]]=0,"",Table1[[#This Row],[UNIT PRICE]]*Table1[[#This Row],[QUANTITY]])</f>
        <v/>
      </c>
      <c r="S2725" s="89"/>
      <c r="T2725" s="38"/>
      <c r="U2725" s="43"/>
      <c r="V2725" s="42" t="str">
        <f>IF(Table1[[#This Row],[DATE]]=0,"",YEAR(E2725))</f>
        <v/>
      </c>
      <c r="W2725" s="40" t="str">
        <f t="shared" si="88"/>
        <v/>
      </c>
      <c r="X2725" s="40" t="str">
        <f t="shared" si="89"/>
        <v/>
      </c>
      <c r="Y2725" s="40" t="str">
        <f>TEXT(Table1[[#This Row],[YEAR]],"0000")&amp;"-"&amp;Table1[[#This Row],[MONTH]]</f>
        <v>-</v>
      </c>
    </row>
    <row r="2726" spans="1:25" ht="15" customHeight="1" x14ac:dyDescent="0.35">
      <c r="A2726" s="24"/>
      <c r="B2726" s="38"/>
      <c r="C2726" s="38"/>
      <c r="D2726" s="38"/>
      <c r="E2726" s="37"/>
      <c r="F2726" s="38"/>
      <c r="G2726" s="198"/>
      <c r="H2726" s="198"/>
      <c r="I2726" s="39"/>
      <c r="J2726" s="38"/>
      <c r="K2726" s="198"/>
      <c r="L2726" s="38"/>
      <c r="M2726" s="38"/>
      <c r="N2726" s="38"/>
      <c r="O2726" s="38"/>
      <c r="P2726" s="40" t="str" cm="1">
        <f t="array" ref="P2726">IF(N2726="","",IFERROR(_xlfn.XLOOKUP(F2726&amp;"|"&amp;J2726&amp;"|"&amp;O2726,PRICES!$C$2:$C$659&amp;"|"&amp;PRICES!$B$2:$B$659&amp;"|"&amp;PRICES!$D$2:$D$659,PRICES!$E$2:$E$659),"Not Found"))</f>
        <v/>
      </c>
      <c r="Q2726" s="100" t="str">
        <f>IF(N2726=0,"",SUMIFS(PRICES!$G$2:$G$658,PRICES!$B$2:$B$658,'MAIN TABLE-1 AUTOMATED'!J2726,PRICES!$C$2:$C$658,'MAIN TABLE-1 AUTOMATED'!F2726,PRICES!$D$2:$D$658,'MAIN TABLE-1 AUTOMATED'!O2726))</f>
        <v/>
      </c>
      <c r="R2726" s="41" t="str">
        <f>IF(Table1[[#This Row],[QUANTITY]]=0,"",Table1[[#This Row],[UNIT PRICE]]*Table1[[#This Row],[QUANTITY]])</f>
        <v/>
      </c>
      <c r="S2726" s="89"/>
      <c r="T2726" s="38"/>
      <c r="U2726" s="43"/>
      <c r="V2726" s="42" t="str">
        <f>IF(Table1[[#This Row],[DATE]]=0,"",YEAR(E2726))</f>
        <v/>
      </c>
      <c r="W2726" s="40" t="str">
        <f t="shared" si="88"/>
        <v/>
      </c>
      <c r="X2726" s="40" t="str">
        <f t="shared" si="89"/>
        <v/>
      </c>
      <c r="Y2726" s="40" t="str">
        <f>TEXT(Table1[[#This Row],[YEAR]],"0000")&amp;"-"&amp;Table1[[#This Row],[MONTH]]</f>
        <v>-</v>
      </c>
    </row>
    <row r="2727" spans="1:25" ht="15" customHeight="1" x14ac:dyDescent="0.35">
      <c r="A2727" s="24"/>
      <c r="B2727" s="38"/>
      <c r="C2727" s="38"/>
      <c r="D2727" s="38"/>
      <c r="E2727" s="37"/>
      <c r="F2727" s="38"/>
      <c r="G2727" s="198"/>
      <c r="H2727" s="198"/>
      <c r="I2727" s="39"/>
      <c r="J2727" s="38"/>
      <c r="K2727" s="198"/>
      <c r="L2727" s="38"/>
      <c r="M2727" s="38"/>
      <c r="N2727" s="38"/>
      <c r="O2727" s="38"/>
      <c r="P2727" s="40" t="str" cm="1">
        <f t="array" ref="P2727">IF(N2727="","",IFERROR(_xlfn.XLOOKUP(F2727&amp;"|"&amp;J2727&amp;"|"&amp;O2727,PRICES!$C$2:$C$659&amp;"|"&amp;PRICES!$B$2:$B$659&amp;"|"&amp;PRICES!$D$2:$D$659,PRICES!$E$2:$E$659),"Not Found"))</f>
        <v/>
      </c>
      <c r="Q2727" s="100" t="str">
        <f>IF(N2727=0,"",SUMIFS(PRICES!$G$2:$G$658,PRICES!$B$2:$B$658,'MAIN TABLE-1 AUTOMATED'!J2727,PRICES!$C$2:$C$658,'MAIN TABLE-1 AUTOMATED'!F2727,PRICES!$D$2:$D$658,'MAIN TABLE-1 AUTOMATED'!O2727))</f>
        <v/>
      </c>
      <c r="R2727" s="41" t="str">
        <f>IF(Table1[[#This Row],[QUANTITY]]=0,"",Table1[[#This Row],[UNIT PRICE]]*Table1[[#This Row],[QUANTITY]])</f>
        <v/>
      </c>
      <c r="S2727" s="89"/>
      <c r="T2727" s="38"/>
      <c r="U2727" s="43"/>
      <c r="V2727" s="42" t="str">
        <f>IF(Table1[[#This Row],[DATE]]=0,"",YEAR(E2727))</f>
        <v/>
      </c>
      <c r="W2727" s="40" t="str">
        <f t="shared" si="88"/>
        <v/>
      </c>
      <c r="X2727" s="40" t="str">
        <f t="shared" si="89"/>
        <v/>
      </c>
      <c r="Y2727" s="40" t="str">
        <f>TEXT(Table1[[#This Row],[YEAR]],"0000")&amp;"-"&amp;Table1[[#This Row],[MONTH]]</f>
        <v>-</v>
      </c>
    </row>
    <row r="2728" spans="1:25" ht="15" customHeight="1" x14ac:dyDescent="0.35">
      <c r="A2728" s="24"/>
      <c r="B2728" s="38"/>
      <c r="C2728" s="38"/>
      <c r="D2728" s="38"/>
      <c r="E2728" s="37"/>
      <c r="F2728" s="38"/>
      <c r="G2728" s="198"/>
      <c r="H2728" s="198"/>
      <c r="I2728" s="39"/>
      <c r="J2728" s="38"/>
      <c r="K2728" s="198"/>
      <c r="L2728" s="38"/>
      <c r="M2728" s="38"/>
      <c r="N2728" s="38"/>
      <c r="O2728" s="38"/>
      <c r="P2728" s="40" t="str" cm="1">
        <f t="array" ref="P2728">IF(N2728="","",IFERROR(_xlfn.XLOOKUP(F2728&amp;"|"&amp;J2728&amp;"|"&amp;O2728,PRICES!$C$2:$C$659&amp;"|"&amp;PRICES!$B$2:$B$659&amp;"|"&amp;PRICES!$D$2:$D$659,PRICES!$E$2:$E$659),"Not Found"))</f>
        <v/>
      </c>
      <c r="Q2728" s="100" t="str">
        <f>IF(N2728=0,"",SUMIFS(PRICES!$G$2:$G$658,PRICES!$B$2:$B$658,'MAIN TABLE-1 AUTOMATED'!J2728,PRICES!$C$2:$C$658,'MAIN TABLE-1 AUTOMATED'!F2728,PRICES!$D$2:$D$658,'MAIN TABLE-1 AUTOMATED'!O2728))</f>
        <v/>
      </c>
      <c r="R2728" s="41" t="str">
        <f>IF(Table1[[#This Row],[QUANTITY]]=0,"",Table1[[#This Row],[UNIT PRICE]]*Table1[[#This Row],[QUANTITY]])</f>
        <v/>
      </c>
      <c r="S2728" s="89"/>
      <c r="T2728" s="38"/>
      <c r="U2728" s="43"/>
      <c r="V2728" s="42" t="str">
        <f>IF(Table1[[#This Row],[DATE]]=0,"",YEAR(E2728))</f>
        <v/>
      </c>
      <c r="W2728" s="40" t="str">
        <f t="shared" si="88"/>
        <v/>
      </c>
      <c r="X2728" s="40" t="str">
        <f t="shared" si="89"/>
        <v/>
      </c>
      <c r="Y2728" s="40" t="str">
        <f>TEXT(Table1[[#This Row],[YEAR]],"0000")&amp;"-"&amp;Table1[[#This Row],[MONTH]]</f>
        <v>-</v>
      </c>
    </row>
    <row r="2729" spans="1:25" ht="15" customHeight="1" x14ac:dyDescent="0.35">
      <c r="A2729" s="24"/>
      <c r="B2729" s="38"/>
      <c r="C2729" s="38"/>
      <c r="D2729" s="38"/>
      <c r="E2729" s="37"/>
      <c r="F2729" s="38"/>
      <c r="G2729" s="198"/>
      <c r="H2729" s="198"/>
      <c r="I2729" s="39"/>
      <c r="J2729" s="38"/>
      <c r="K2729" s="198"/>
      <c r="L2729" s="38"/>
      <c r="M2729" s="38"/>
      <c r="N2729" s="38"/>
      <c r="O2729" s="38"/>
      <c r="P2729" s="40" t="str" cm="1">
        <f t="array" ref="P2729">IF(N2729="","",IFERROR(_xlfn.XLOOKUP(F2729&amp;"|"&amp;J2729&amp;"|"&amp;O2729,PRICES!$C$2:$C$659&amp;"|"&amp;PRICES!$B$2:$B$659&amp;"|"&amp;PRICES!$D$2:$D$659,PRICES!$E$2:$E$659),"Not Found"))</f>
        <v/>
      </c>
      <c r="Q2729" s="100" t="str">
        <f>IF(N2729=0,"",SUMIFS(PRICES!$G$2:$G$658,PRICES!$B$2:$B$658,'MAIN TABLE-1 AUTOMATED'!J2729,PRICES!$C$2:$C$658,'MAIN TABLE-1 AUTOMATED'!F2729,PRICES!$D$2:$D$658,'MAIN TABLE-1 AUTOMATED'!O2729))</f>
        <v/>
      </c>
      <c r="R2729" s="41" t="str">
        <f>IF(Table1[[#This Row],[QUANTITY]]=0,"",Table1[[#This Row],[UNIT PRICE]]*Table1[[#This Row],[QUANTITY]])</f>
        <v/>
      </c>
      <c r="S2729" s="89"/>
      <c r="T2729" s="38"/>
      <c r="U2729" s="43"/>
      <c r="V2729" s="42" t="str">
        <f>IF(Table1[[#This Row],[DATE]]=0,"",YEAR(E2729))</f>
        <v/>
      </c>
      <c r="W2729" s="40" t="str">
        <f t="shared" si="88"/>
        <v/>
      </c>
      <c r="X2729" s="40" t="str">
        <f t="shared" si="89"/>
        <v/>
      </c>
      <c r="Y2729" s="40" t="str">
        <f>TEXT(Table1[[#This Row],[YEAR]],"0000")&amp;"-"&amp;Table1[[#This Row],[MONTH]]</f>
        <v>-</v>
      </c>
    </row>
    <row r="2730" spans="1:25" ht="15" customHeight="1" x14ac:dyDescent="0.35">
      <c r="A2730" s="24"/>
      <c r="B2730" s="38"/>
      <c r="C2730" s="38"/>
      <c r="D2730" s="38"/>
      <c r="E2730" s="37"/>
      <c r="F2730" s="38"/>
      <c r="G2730" s="198"/>
      <c r="H2730" s="198"/>
      <c r="I2730" s="39"/>
      <c r="J2730" s="38"/>
      <c r="K2730" s="198"/>
      <c r="L2730" s="38"/>
      <c r="M2730" s="38"/>
      <c r="N2730" s="38"/>
      <c r="O2730" s="38"/>
      <c r="P2730" s="40" t="str" cm="1">
        <f t="array" ref="P2730">IF(N2730="","",IFERROR(_xlfn.XLOOKUP(F2730&amp;"|"&amp;J2730&amp;"|"&amp;O2730,PRICES!$C$2:$C$659&amp;"|"&amp;PRICES!$B$2:$B$659&amp;"|"&amp;PRICES!$D$2:$D$659,PRICES!$E$2:$E$659),"Not Found"))</f>
        <v/>
      </c>
      <c r="Q2730" s="100" t="str">
        <f>IF(N2730=0,"",SUMIFS(PRICES!$G$2:$G$658,PRICES!$B$2:$B$658,'MAIN TABLE-1 AUTOMATED'!J2730,PRICES!$C$2:$C$658,'MAIN TABLE-1 AUTOMATED'!F2730,PRICES!$D$2:$D$658,'MAIN TABLE-1 AUTOMATED'!O2730))</f>
        <v/>
      </c>
      <c r="R2730" s="41" t="str">
        <f>IF(Table1[[#This Row],[QUANTITY]]=0,"",Table1[[#This Row],[UNIT PRICE]]*Table1[[#This Row],[QUANTITY]])</f>
        <v/>
      </c>
      <c r="S2730" s="89"/>
      <c r="T2730" s="38"/>
      <c r="U2730" s="43"/>
      <c r="V2730" s="42" t="str">
        <f>IF(Table1[[#This Row],[DATE]]=0,"",YEAR(E2730))</f>
        <v/>
      </c>
      <c r="W2730" s="40" t="str">
        <f t="shared" si="88"/>
        <v/>
      </c>
      <c r="X2730" s="40" t="str">
        <f t="shared" si="89"/>
        <v/>
      </c>
      <c r="Y2730" s="40" t="str">
        <f>TEXT(Table1[[#This Row],[YEAR]],"0000")&amp;"-"&amp;Table1[[#This Row],[MONTH]]</f>
        <v>-</v>
      </c>
    </row>
    <row r="2731" spans="1:25" ht="15" customHeight="1" x14ac:dyDescent="0.35">
      <c r="A2731" s="24"/>
      <c r="B2731" s="38"/>
      <c r="C2731" s="38"/>
      <c r="D2731" s="38"/>
      <c r="E2731" s="37"/>
      <c r="F2731" s="38"/>
      <c r="G2731" s="198"/>
      <c r="H2731" s="198"/>
      <c r="I2731" s="39"/>
      <c r="J2731" s="38"/>
      <c r="K2731" s="198"/>
      <c r="L2731" s="38"/>
      <c r="M2731" s="38"/>
      <c r="N2731" s="38"/>
      <c r="O2731" s="38"/>
      <c r="P2731" s="40" t="str" cm="1">
        <f t="array" ref="P2731">IF(N2731="","",IFERROR(_xlfn.XLOOKUP(F2731&amp;"|"&amp;J2731&amp;"|"&amp;O2731,PRICES!$C$2:$C$659&amp;"|"&amp;PRICES!$B$2:$B$659&amp;"|"&amp;PRICES!$D$2:$D$659,PRICES!$E$2:$E$659),"Not Found"))</f>
        <v/>
      </c>
      <c r="Q2731" s="100" t="str">
        <f>IF(N2731=0,"",SUMIFS(PRICES!$G$2:$G$658,PRICES!$B$2:$B$658,'MAIN TABLE-1 AUTOMATED'!J2731,PRICES!$C$2:$C$658,'MAIN TABLE-1 AUTOMATED'!F2731,PRICES!$D$2:$D$658,'MAIN TABLE-1 AUTOMATED'!O2731))</f>
        <v/>
      </c>
      <c r="R2731" s="41" t="str">
        <f>IF(Table1[[#This Row],[QUANTITY]]=0,"",Table1[[#This Row],[UNIT PRICE]]*Table1[[#This Row],[QUANTITY]])</f>
        <v/>
      </c>
      <c r="S2731" s="89"/>
      <c r="T2731" s="38"/>
      <c r="U2731" s="43"/>
      <c r="V2731" s="42" t="str">
        <f>IF(Table1[[#This Row],[DATE]]=0,"",YEAR(E2731))</f>
        <v/>
      </c>
      <c r="W2731" s="40" t="str">
        <f t="shared" si="88"/>
        <v/>
      </c>
      <c r="X2731" s="40" t="str">
        <f t="shared" si="89"/>
        <v/>
      </c>
      <c r="Y2731" s="40" t="str">
        <f>TEXT(Table1[[#This Row],[YEAR]],"0000")&amp;"-"&amp;Table1[[#This Row],[MONTH]]</f>
        <v>-</v>
      </c>
    </row>
    <row r="2732" spans="1:25" ht="15" customHeight="1" x14ac:dyDescent="0.35">
      <c r="A2732" s="24"/>
      <c r="B2732" s="38"/>
      <c r="C2732" s="38"/>
      <c r="D2732" s="38"/>
      <c r="E2732" s="37"/>
      <c r="F2732" s="38"/>
      <c r="G2732" s="198"/>
      <c r="H2732" s="198"/>
      <c r="I2732" s="39"/>
      <c r="J2732" s="38"/>
      <c r="K2732" s="198"/>
      <c r="L2732" s="38"/>
      <c r="M2732" s="38"/>
      <c r="N2732" s="38"/>
      <c r="O2732" s="38"/>
      <c r="P2732" s="40" t="str" cm="1">
        <f t="array" ref="P2732">IF(N2732="","",IFERROR(_xlfn.XLOOKUP(F2732&amp;"|"&amp;J2732&amp;"|"&amp;O2732,PRICES!$C$2:$C$659&amp;"|"&amp;PRICES!$B$2:$B$659&amp;"|"&amp;PRICES!$D$2:$D$659,PRICES!$E$2:$E$659),"Not Found"))</f>
        <v/>
      </c>
      <c r="Q2732" s="100" t="str">
        <f>IF(N2732=0,"",SUMIFS(PRICES!$G$2:$G$658,PRICES!$B$2:$B$658,'MAIN TABLE-1 AUTOMATED'!J2732,PRICES!$C$2:$C$658,'MAIN TABLE-1 AUTOMATED'!F2732,PRICES!$D$2:$D$658,'MAIN TABLE-1 AUTOMATED'!O2732))</f>
        <v/>
      </c>
      <c r="R2732" s="41" t="str">
        <f>IF(Table1[[#This Row],[QUANTITY]]=0,"",Table1[[#This Row],[UNIT PRICE]]*Table1[[#This Row],[QUANTITY]])</f>
        <v/>
      </c>
      <c r="S2732" s="89"/>
      <c r="T2732" s="38"/>
      <c r="U2732" s="43"/>
      <c r="V2732" s="42" t="str">
        <f>IF(Table1[[#This Row],[DATE]]=0,"",YEAR(E2732))</f>
        <v/>
      </c>
      <c r="W2732" s="40" t="str">
        <f t="shared" si="88"/>
        <v/>
      </c>
      <c r="X2732" s="40" t="str">
        <f t="shared" si="89"/>
        <v/>
      </c>
      <c r="Y2732" s="40" t="str">
        <f>TEXT(Table1[[#This Row],[YEAR]],"0000")&amp;"-"&amp;Table1[[#This Row],[MONTH]]</f>
        <v>-</v>
      </c>
    </row>
    <row r="2733" spans="1:25" ht="15" customHeight="1" x14ac:dyDescent="0.35">
      <c r="A2733" s="24"/>
      <c r="B2733" s="38"/>
      <c r="C2733" s="38"/>
      <c r="D2733" s="38"/>
      <c r="E2733" s="37"/>
      <c r="F2733" s="38"/>
      <c r="G2733" s="198"/>
      <c r="H2733" s="198"/>
      <c r="I2733" s="39"/>
      <c r="J2733" s="38"/>
      <c r="K2733" s="198"/>
      <c r="L2733" s="38"/>
      <c r="M2733" s="38"/>
      <c r="N2733" s="38"/>
      <c r="O2733" s="38"/>
      <c r="P2733" s="40" t="str" cm="1">
        <f t="array" ref="P2733">IF(N2733="","",IFERROR(_xlfn.XLOOKUP(F2733&amp;"|"&amp;J2733&amp;"|"&amp;O2733,PRICES!$C$2:$C$659&amp;"|"&amp;PRICES!$B$2:$B$659&amp;"|"&amp;PRICES!$D$2:$D$659,PRICES!$E$2:$E$659),"Not Found"))</f>
        <v/>
      </c>
      <c r="Q2733" s="100" t="str">
        <f>IF(N2733=0,"",SUMIFS(PRICES!$G$2:$G$658,PRICES!$B$2:$B$658,'MAIN TABLE-1 AUTOMATED'!J2733,PRICES!$C$2:$C$658,'MAIN TABLE-1 AUTOMATED'!F2733,PRICES!$D$2:$D$658,'MAIN TABLE-1 AUTOMATED'!O2733))</f>
        <v/>
      </c>
      <c r="R2733" s="41" t="str">
        <f>IF(Table1[[#This Row],[QUANTITY]]=0,"",Table1[[#This Row],[UNIT PRICE]]*Table1[[#This Row],[QUANTITY]])</f>
        <v/>
      </c>
      <c r="S2733" s="89"/>
      <c r="T2733" s="38"/>
      <c r="U2733" s="43"/>
      <c r="V2733" s="42" t="str">
        <f>IF(Table1[[#This Row],[DATE]]=0,"",YEAR(E2733))</f>
        <v/>
      </c>
      <c r="W2733" s="40" t="str">
        <f t="shared" si="88"/>
        <v/>
      </c>
      <c r="X2733" s="40" t="str">
        <f t="shared" si="89"/>
        <v/>
      </c>
      <c r="Y2733" s="40" t="str">
        <f>TEXT(Table1[[#This Row],[YEAR]],"0000")&amp;"-"&amp;Table1[[#This Row],[MONTH]]</f>
        <v>-</v>
      </c>
    </row>
    <row r="2734" spans="1:25" ht="15" customHeight="1" x14ac:dyDescent="0.35">
      <c r="A2734" s="24"/>
      <c r="B2734" s="38"/>
      <c r="C2734" s="38"/>
      <c r="D2734" s="38"/>
      <c r="E2734" s="37"/>
      <c r="F2734" s="38"/>
      <c r="G2734" s="198"/>
      <c r="H2734" s="198"/>
      <c r="I2734" s="39"/>
      <c r="J2734" s="38"/>
      <c r="K2734" s="198"/>
      <c r="L2734" s="38"/>
      <c r="M2734" s="38"/>
      <c r="N2734" s="38"/>
      <c r="O2734" s="38"/>
      <c r="P2734" s="40" t="str" cm="1">
        <f t="array" ref="P2734">IF(N2734="","",IFERROR(_xlfn.XLOOKUP(F2734&amp;"|"&amp;J2734&amp;"|"&amp;O2734,PRICES!$C$2:$C$659&amp;"|"&amp;PRICES!$B$2:$B$659&amp;"|"&amp;PRICES!$D$2:$D$659,PRICES!$E$2:$E$659),"Not Found"))</f>
        <v/>
      </c>
      <c r="Q2734" s="100" t="str">
        <f>IF(N2734=0,"",SUMIFS(PRICES!$G$2:$G$658,PRICES!$B$2:$B$658,'MAIN TABLE-1 AUTOMATED'!J2734,PRICES!$C$2:$C$658,'MAIN TABLE-1 AUTOMATED'!F2734,PRICES!$D$2:$D$658,'MAIN TABLE-1 AUTOMATED'!O2734))</f>
        <v/>
      </c>
      <c r="R2734" s="41" t="str">
        <f>IF(Table1[[#This Row],[QUANTITY]]=0,"",Table1[[#This Row],[UNIT PRICE]]*Table1[[#This Row],[QUANTITY]])</f>
        <v/>
      </c>
      <c r="S2734" s="89"/>
      <c r="T2734" s="38"/>
      <c r="U2734" s="43"/>
      <c r="V2734" s="42" t="str">
        <f>IF(Table1[[#This Row],[DATE]]=0,"",YEAR(E2734))</f>
        <v/>
      </c>
      <c r="W2734" s="40" t="str">
        <f t="shared" si="88"/>
        <v/>
      </c>
      <c r="X2734" s="40" t="str">
        <f t="shared" si="89"/>
        <v/>
      </c>
      <c r="Y2734" s="40" t="str">
        <f>TEXT(Table1[[#This Row],[YEAR]],"0000")&amp;"-"&amp;Table1[[#This Row],[MONTH]]</f>
        <v>-</v>
      </c>
    </row>
    <row r="2735" spans="1:25" ht="15" customHeight="1" x14ac:dyDescent="0.35">
      <c r="A2735" s="24"/>
      <c r="B2735" s="38"/>
      <c r="C2735" s="38"/>
      <c r="D2735" s="38"/>
      <c r="E2735" s="37"/>
      <c r="F2735" s="38"/>
      <c r="G2735" s="198"/>
      <c r="H2735" s="198"/>
      <c r="I2735" s="39"/>
      <c r="J2735" s="38"/>
      <c r="K2735" s="198"/>
      <c r="L2735" s="38"/>
      <c r="M2735" s="38"/>
      <c r="N2735" s="38"/>
      <c r="O2735" s="38"/>
      <c r="P2735" s="40" t="str" cm="1">
        <f t="array" ref="P2735">IF(N2735="","",IFERROR(_xlfn.XLOOKUP(F2735&amp;"|"&amp;J2735&amp;"|"&amp;O2735,PRICES!$C$2:$C$659&amp;"|"&amp;PRICES!$B$2:$B$659&amp;"|"&amp;PRICES!$D$2:$D$659,PRICES!$E$2:$E$659),"Not Found"))</f>
        <v/>
      </c>
      <c r="Q2735" s="100" t="str">
        <f>IF(N2735=0,"",SUMIFS(PRICES!$G$2:$G$658,PRICES!$B$2:$B$658,'MAIN TABLE-1 AUTOMATED'!J2735,PRICES!$C$2:$C$658,'MAIN TABLE-1 AUTOMATED'!F2735,PRICES!$D$2:$D$658,'MAIN TABLE-1 AUTOMATED'!O2735))</f>
        <v/>
      </c>
      <c r="R2735" s="41" t="str">
        <f>IF(Table1[[#This Row],[QUANTITY]]=0,"",Table1[[#This Row],[UNIT PRICE]]*Table1[[#This Row],[QUANTITY]])</f>
        <v/>
      </c>
      <c r="S2735" s="89"/>
      <c r="T2735" s="38"/>
      <c r="U2735" s="43"/>
      <c r="V2735" s="42" t="str">
        <f>IF(Table1[[#This Row],[DATE]]=0,"",YEAR(E2735))</f>
        <v/>
      </c>
      <c r="W2735" s="40" t="str">
        <f t="shared" si="88"/>
        <v/>
      </c>
      <c r="X2735" s="40" t="str">
        <f t="shared" si="89"/>
        <v/>
      </c>
      <c r="Y2735" s="40" t="str">
        <f>TEXT(Table1[[#This Row],[YEAR]],"0000")&amp;"-"&amp;Table1[[#This Row],[MONTH]]</f>
        <v>-</v>
      </c>
    </row>
    <row r="2736" spans="1:25" ht="15" customHeight="1" x14ac:dyDescent="0.35">
      <c r="A2736" s="24"/>
      <c r="B2736" s="38"/>
      <c r="C2736" s="38"/>
      <c r="D2736" s="38"/>
      <c r="E2736" s="37"/>
      <c r="F2736" s="38"/>
      <c r="G2736" s="198"/>
      <c r="H2736" s="198"/>
      <c r="I2736" s="39"/>
      <c r="J2736" s="38"/>
      <c r="K2736" s="198"/>
      <c r="L2736" s="38"/>
      <c r="M2736" s="38"/>
      <c r="N2736" s="38"/>
      <c r="O2736" s="38"/>
      <c r="P2736" s="40" t="str" cm="1">
        <f t="array" ref="P2736">IF(N2736="","",IFERROR(_xlfn.XLOOKUP(F2736&amp;"|"&amp;J2736&amp;"|"&amp;O2736,PRICES!$C$2:$C$659&amp;"|"&amp;PRICES!$B$2:$B$659&amp;"|"&amp;PRICES!$D$2:$D$659,PRICES!$E$2:$E$659),"Not Found"))</f>
        <v/>
      </c>
      <c r="Q2736" s="100" t="str">
        <f>IF(N2736=0,"",SUMIFS(PRICES!$G$2:$G$658,PRICES!$B$2:$B$658,'MAIN TABLE-1 AUTOMATED'!J2736,PRICES!$C$2:$C$658,'MAIN TABLE-1 AUTOMATED'!F2736,PRICES!$D$2:$D$658,'MAIN TABLE-1 AUTOMATED'!O2736))</f>
        <v/>
      </c>
      <c r="R2736" s="41" t="str">
        <f>IF(Table1[[#This Row],[QUANTITY]]=0,"",Table1[[#This Row],[UNIT PRICE]]*Table1[[#This Row],[QUANTITY]])</f>
        <v/>
      </c>
      <c r="S2736" s="89"/>
      <c r="T2736" s="38"/>
      <c r="U2736" s="43"/>
      <c r="V2736" s="42" t="str">
        <f>IF(Table1[[#This Row],[DATE]]=0,"",YEAR(E2736))</f>
        <v/>
      </c>
      <c r="W2736" s="40" t="str">
        <f t="shared" si="88"/>
        <v/>
      </c>
      <c r="X2736" s="40" t="str">
        <f t="shared" si="89"/>
        <v/>
      </c>
      <c r="Y2736" s="40" t="str">
        <f>TEXT(Table1[[#This Row],[YEAR]],"0000")&amp;"-"&amp;Table1[[#This Row],[MONTH]]</f>
        <v>-</v>
      </c>
    </row>
    <row r="2737" spans="1:25" ht="15" customHeight="1" x14ac:dyDescent="0.35">
      <c r="A2737" s="24"/>
      <c r="B2737" s="38"/>
      <c r="C2737" s="38"/>
      <c r="D2737" s="38"/>
      <c r="E2737" s="37"/>
      <c r="F2737" s="38"/>
      <c r="G2737" s="198"/>
      <c r="H2737" s="198"/>
      <c r="I2737" s="39"/>
      <c r="J2737" s="38"/>
      <c r="K2737" s="198"/>
      <c r="L2737" s="38"/>
      <c r="M2737" s="38"/>
      <c r="N2737" s="38"/>
      <c r="O2737" s="38"/>
      <c r="P2737" s="40" t="str" cm="1">
        <f t="array" ref="P2737">IF(N2737="","",IFERROR(_xlfn.XLOOKUP(F2737&amp;"|"&amp;J2737&amp;"|"&amp;O2737,PRICES!$C$2:$C$659&amp;"|"&amp;PRICES!$B$2:$B$659&amp;"|"&amp;PRICES!$D$2:$D$659,PRICES!$E$2:$E$659),"Not Found"))</f>
        <v/>
      </c>
      <c r="Q2737" s="100" t="str">
        <f>IF(N2737=0,"",SUMIFS(PRICES!$G$2:$G$658,PRICES!$B$2:$B$658,'MAIN TABLE-1 AUTOMATED'!J2737,PRICES!$C$2:$C$658,'MAIN TABLE-1 AUTOMATED'!F2737,PRICES!$D$2:$D$658,'MAIN TABLE-1 AUTOMATED'!O2737))</f>
        <v/>
      </c>
      <c r="R2737" s="41" t="str">
        <f>IF(Table1[[#This Row],[QUANTITY]]=0,"",Table1[[#This Row],[UNIT PRICE]]*Table1[[#This Row],[QUANTITY]])</f>
        <v/>
      </c>
      <c r="S2737" s="89"/>
      <c r="T2737" s="38"/>
      <c r="U2737" s="43"/>
      <c r="V2737" s="42" t="str">
        <f>IF(Table1[[#This Row],[DATE]]=0,"",YEAR(E2737))</f>
        <v/>
      </c>
      <c r="W2737" s="40" t="str">
        <f t="shared" si="88"/>
        <v/>
      </c>
      <c r="X2737" s="40" t="str">
        <f t="shared" si="89"/>
        <v/>
      </c>
      <c r="Y2737" s="40" t="str">
        <f>TEXT(Table1[[#This Row],[YEAR]],"0000")&amp;"-"&amp;Table1[[#This Row],[MONTH]]</f>
        <v>-</v>
      </c>
    </row>
    <row r="2738" spans="1:25" ht="15" customHeight="1" x14ac:dyDescent="0.35">
      <c r="A2738" s="24"/>
      <c r="B2738" s="38"/>
      <c r="C2738" s="38"/>
      <c r="D2738" s="38"/>
      <c r="E2738" s="37"/>
      <c r="F2738" s="38"/>
      <c r="G2738" s="198"/>
      <c r="H2738" s="198"/>
      <c r="I2738" s="39"/>
      <c r="J2738" s="38"/>
      <c r="K2738" s="198"/>
      <c r="L2738" s="38"/>
      <c r="M2738" s="38"/>
      <c r="N2738" s="38"/>
      <c r="O2738" s="38"/>
      <c r="P2738" s="40" t="str" cm="1">
        <f t="array" ref="P2738">IF(N2738="","",IFERROR(_xlfn.XLOOKUP(F2738&amp;"|"&amp;J2738&amp;"|"&amp;O2738,PRICES!$C$2:$C$659&amp;"|"&amp;PRICES!$B$2:$B$659&amp;"|"&amp;PRICES!$D$2:$D$659,PRICES!$E$2:$E$659),"Not Found"))</f>
        <v/>
      </c>
      <c r="Q2738" s="100" t="str">
        <f>IF(N2738=0,"",SUMIFS(PRICES!$G$2:$G$658,PRICES!$B$2:$B$658,'MAIN TABLE-1 AUTOMATED'!J2738,PRICES!$C$2:$C$658,'MAIN TABLE-1 AUTOMATED'!F2738,PRICES!$D$2:$D$658,'MAIN TABLE-1 AUTOMATED'!O2738))</f>
        <v/>
      </c>
      <c r="R2738" s="41" t="str">
        <f>IF(Table1[[#This Row],[QUANTITY]]=0,"",Table1[[#This Row],[UNIT PRICE]]*Table1[[#This Row],[QUANTITY]])</f>
        <v/>
      </c>
      <c r="S2738" s="89"/>
      <c r="T2738" s="38"/>
      <c r="U2738" s="43"/>
      <c r="V2738" s="42" t="str">
        <f>IF(Table1[[#This Row],[DATE]]=0,"",YEAR(E2738))</f>
        <v/>
      </c>
      <c r="W2738" s="40" t="str">
        <f t="shared" si="88"/>
        <v/>
      </c>
      <c r="X2738" s="40" t="str">
        <f t="shared" si="89"/>
        <v/>
      </c>
      <c r="Y2738" s="40" t="str">
        <f>TEXT(Table1[[#This Row],[YEAR]],"0000")&amp;"-"&amp;Table1[[#This Row],[MONTH]]</f>
        <v>-</v>
      </c>
    </row>
    <row r="2739" spans="1:25" ht="15" customHeight="1" x14ac:dyDescent="0.35">
      <c r="A2739" s="24"/>
      <c r="B2739" s="38"/>
      <c r="C2739" s="38"/>
      <c r="D2739" s="38"/>
      <c r="E2739" s="37"/>
      <c r="F2739" s="38"/>
      <c r="G2739" s="198"/>
      <c r="H2739" s="198"/>
      <c r="I2739" s="39"/>
      <c r="J2739" s="38"/>
      <c r="K2739" s="198"/>
      <c r="L2739" s="38"/>
      <c r="M2739" s="38"/>
      <c r="N2739" s="38"/>
      <c r="O2739" s="38"/>
      <c r="P2739" s="40" t="str" cm="1">
        <f t="array" ref="P2739">IF(N2739="","",IFERROR(_xlfn.XLOOKUP(F2739&amp;"|"&amp;J2739&amp;"|"&amp;O2739,PRICES!$C$2:$C$659&amp;"|"&amp;PRICES!$B$2:$B$659&amp;"|"&amp;PRICES!$D$2:$D$659,PRICES!$E$2:$E$659),"Not Found"))</f>
        <v/>
      </c>
      <c r="Q2739" s="100" t="str">
        <f>IF(N2739=0,"",SUMIFS(PRICES!$G$2:$G$658,PRICES!$B$2:$B$658,'MAIN TABLE-1 AUTOMATED'!J2739,PRICES!$C$2:$C$658,'MAIN TABLE-1 AUTOMATED'!F2739,PRICES!$D$2:$D$658,'MAIN TABLE-1 AUTOMATED'!O2739))</f>
        <v/>
      </c>
      <c r="R2739" s="41" t="str">
        <f>IF(Table1[[#This Row],[QUANTITY]]=0,"",Table1[[#This Row],[UNIT PRICE]]*Table1[[#This Row],[QUANTITY]])</f>
        <v/>
      </c>
      <c r="S2739" s="89"/>
      <c r="T2739" s="38"/>
      <c r="U2739" s="43"/>
      <c r="V2739" s="42" t="str">
        <f>IF(Table1[[#This Row],[DATE]]=0,"",YEAR(E2739))</f>
        <v/>
      </c>
      <c r="W2739" s="40" t="str">
        <f t="shared" si="88"/>
        <v/>
      </c>
      <c r="X2739" s="40" t="str">
        <f t="shared" si="89"/>
        <v/>
      </c>
      <c r="Y2739" s="40" t="str">
        <f>TEXT(Table1[[#This Row],[YEAR]],"0000")&amp;"-"&amp;Table1[[#This Row],[MONTH]]</f>
        <v>-</v>
      </c>
    </row>
    <row r="2740" spans="1:25" ht="15" customHeight="1" x14ac:dyDescent="0.35">
      <c r="A2740" s="24"/>
      <c r="B2740" s="38"/>
      <c r="C2740" s="38"/>
      <c r="D2740" s="38"/>
      <c r="E2740" s="37"/>
      <c r="F2740" s="38"/>
      <c r="G2740" s="198"/>
      <c r="H2740" s="198"/>
      <c r="I2740" s="39"/>
      <c r="J2740" s="38"/>
      <c r="K2740" s="198"/>
      <c r="L2740" s="38"/>
      <c r="M2740" s="38"/>
      <c r="N2740" s="38"/>
      <c r="O2740" s="38"/>
      <c r="P2740" s="40" t="str" cm="1">
        <f t="array" ref="P2740">IF(N2740="","",IFERROR(_xlfn.XLOOKUP(F2740&amp;"|"&amp;J2740&amp;"|"&amp;O2740,PRICES!$C$2:$C$659&amp;"|"&amp;PRICES!$B$2:$B$659&amp;"|"&amp;PRICES!$D$2:$D$659,PRICES!$E$2:$E$659),"Not Found"))</f>
        <v/>
      </c>
      <c r="Q2740" s="100" t="str">
        <f>IF(N2740=0,"",SUMIFS(PRICES!$G$2:$G$658,PRICES!$B$2:$B$658,'MAIN TABLE-1 AUTOMATED'!J2740,PRICES!$C$2:$C$658,'MAIN TABLE-1 AUTOMATED'!F2740,PRICES!$D$2:$D$658,'MAIN TABLE-1 AUTOMATED'!O2740))</f>
        <v/>
      </c>
      <c r="R2740" s="41" t="str">
        <f>IF(Table1[[#This Row],[QUANTITY]]=0,"",Table1[[#This Row],[UNIT PRICE]]*Table1[[#This Row],[QUANTITY]])</f>
        <v/>
      </c>
      <c r="S2740" s="89"/>
      <c r="T2740" s="38"/>
      <c r="U2740" s="43"/>
      <c r="V2740" s="42" t="str">
        <f>IF(Table1[[#This Row],[DATE]]=0,"",YEAR(E2740))</f>
        <v/>
      </c>
      <c r="W2740" s="40" t="str">
        <f t="shared" si="88"/>
        <v/>
      </c>
      <c r="X2740" s="40" t="str">
        <f t="shared" si="89"/>
        <v/>
      </c>
      <c r="Y2740" s="40" t="str">
        <f>TEXT(Table1[[#This Row],[YEAR]],"0000")&amp;"-"&amp;Table1[[#This Row],[MONTH]]</f>
        <v>-</v>
      </c>
    </row>
    <row r="2741" spans="1:25" ht="15" customHeight="1" x14ac:dyDescent="0.35">
      <c r="A2741" s="24"/>
      <c r="B2741" s="38"/>
      <c r="C2741" s="38"/>
      <c r="D2741" s="38"/>
      <c r="E2741" s="37"/>
      <c r="F2741" s="38"/>
      <c r="G2741" s="198"/>
      <c r="H2741" s="198"/>
      <c r="I2741" s="39"/>
      <c r="J2741" s="38"/>
      <c r="K2741" s="198"/>
      <c r="L2741" s="38"/>
      <c r="M2741" s="38"/>
      <c r="N2741" s="38"/>
      <c r="O2741" s="38"/>
      <c r="P2741" s="40" t="str" cm="1">
        <f t="array" ref="P2741">IF(N2741="","",IFERROR(_xlfn.XLOOKUP(F2741&amp;"|"&amp;J2741&amp;"|"&amp;O2741,PRICES!$C$2:$C$659&amp;"|"&amp;PRICES!$B$2:$B$659&amp;"|"&amp;PRICES!$D$2:$D$659,PRICES!$E$2:$E$659),"Not Found"))</f>
        <v/>
      </c>
      <c r="Q2741" s="100" t="str">
        <f>IF(N2741=0,"",SUMIFS(PRICES!$G$2:$G$658,PRICES!$B$2:$B$658,'MAIN TABLE-1 AUTOMATED'!J2741,PRICES!$C$2:$C$658,'MAIN TABLE-1 AUTOMATED'!F2741,PRICES!$D$2:$D$658,'MAIN TABLE-1 AUTOMATED'!O2741))</f>
        <v/>
      </c>
      <c r="R2741" s="41" t="str">
        <f>IF(Table1[[#This Row],[QUANTITY]]=0,"",Table1[[#This Row],[UNIT PRICE]]*Table1[[#This Row],[QUANTITY]])</f>
        <v/>
      </c>
      <c r="S2741" s="89"/>
      <c r="T2741" s="38"/>
      <c r="U2741" s="43"/>
      <c r="V2741" s="42" t="str">
        <f>IF(Table1[[#This Row],[DATE]]=0,"",YEAR(E2741))</f>
        <v/>
      </c>
      <c r="W2741" s="40" t="str">
        <f t="shared" si="88"/>
        <v/>
      </c>
      <c r="X2741" s="40" t="str">
        <f t="shared" si="89"/>
        <v/>
      </c>
      <c r="Y2741" s="40" t="str">
        <f>TEXT(Table1[[#This Row],[YEAR]],"0000")&amp;"-"&amp;Table1[[#This Row],[MONTH]]</f>
        <v>-</v>
      </c>
    </row>
    <row r="2742" spans="1:25" ht="15" customHeight="1" x14ac:dyDescent="0.35">
      <c r="A2742" s="24"/>
      <c r="B2742" s="38"/>
      <c r="C2742" s="38"/>
      <c r="D2742" s="38"/>
      <c r="E2742" s="37"/>
      <c r="F2742" s="38"/>
      <c r="G2742" s="198"/>
      <c r="H2742" s="198"/>
      <c r="I2742" s="39"/>
      <c r="J2742" s="38"/>
      <c r="K2742" s="198"/>
      <c r="L2742" s="38"/>
      <c r="M2742" s="38"/>
      <c r="N2742" s="38"/>
      <c r="O2742" s="38"/>
      <c r="P2742" s="40" t="str" cm="1">
        <f t="array" ref="P2742">IF(N2742="","",IFERROR(_xlfn.XLOOKUP(F2742&amp;"|"&amp;J2742&amp;"|"&amp;O2742,PRICES!$C$2:$C$659&amp;"|"&amp;PRICES!$B$2:$B$659&amp;"|"&amp;PRICES!$D$2:$D$659,PRICES!$E$2:$E$659),"Not Found"))</f>
        <v/>
      </c>
      <c r="Q2742" s="100" t="str">
        <f>IF(N2742=0,"",SUMIFS(PRICES!$G$2:$G$658,PRICES!$B$2:$B$658,'MAIN TABLE-1 AUTOMATED'!J2742,PRICES!$C$2:$C$658,'MAIN TABLE-1 AUTOMATED'!F2742,PRICES!$D$2:$D$658,'MAIN TABLE-1 AUTOMATED'!O2742))</f>
        <v/>
      </c>
      <c r="R2742" s="41" t="str">
        <f>IF(Table1[[#This Row],[QUANTITY]]=0,"",Table1[[#This Row],[UNIT PRICE]]*Table1[[#This Row],[QUANTITY]])</f>
        <v/>
      </c>
      <c r="S2742" s="89"/>
      <c r="T2742" s="38"/>
      <c r="U2742" s="43"/>
      <c r="V2742" s="42" t="str">
        <f>IF(Table1[[#This Row],[DATE]]=0,"",YEAR(E2742))</f>
        <v/>
      </c>
      <c r="W2742" s="40" t="str">
        <f t="shared" si="88"/>
        <v/>
      </c>
      <c r="X2742" s="40" t="str">
        <f t="shared" si="89"/>
        <v/>
      </c>
      <c r="Y2742" s="40" t="str">
        <f>TEXT(Table1[[#This Row],[YEAR]],"0000")&amp;"-"&amp;Table1[[#This Row],[MONTH]]</f>
        <v>-</v>
      </c>
    </row>
    <row r="2743" spans="1:25" ht="15" customHeight="1" x14ac:dyDescent="0.35">
      <c r="A2743" s="24"/>
      <c r="B2743" s="38"/>
      <c r="C2743" s="38"/>
      <c r="D2743" s="38"/>
      <c r="E2743" s="37"/>
      <c r="F2743" s="38"/>
      <c r="G2743" s="198"/>
      <c r="H2743" s="198"/>
      <c r="I2743" s="39"/>
      <c r="J2743" s="38"/>
      <c r="K2743" s="198"/>
      <c r="L2743" s="38"/>
      <c r="M2743" s="38"/>
      <c r="N2743" s="38"/>
      <c r="O2743" s="38"/>
      <c r="P2743" s="40" t="str" cm="1">
        <f t="array" ref="P2743">IF(N2743="","",IFERROR(_xlfn.XLOOKUP(F2743&amp;"|"&amp;J2743&amp;"|"&amp;O2743,PRICES!$C$2:$C$659&amp;"|"&amp;PRICES!$B$2:$B$659&amp;"|"&amp;PRICES!$D$2:$D$659,PRICES!$E$2:$E$659),"Not Found"))</f>
        <v/>
      </c>
      <c r="Q2743" s="100" t="str">
        <f>IF(N2743=0,"",SUMIFS(PRICES!$G$2:$G$658,PRICES!$B$2:$B$658,'MAIN TABLE-1 AUTOMATED'!J2743,PRICES!$C$2:$C$658,'MAIN TABLE-1 AUTOMATED'!F2743,PRICES!$D$2:$D$658,'MAIN TABLE-1 AUTOMATED'!O2743))</f>
        <v/>
      </c>
      <c r="R2743" s="41" t="str">
        <f>IF(Table1[[#This Row],[QUANTITY]]=0,"",Table1[[#This Row],[UNIT PRICE]]*Table1[[#This Row],[QUANTITY]])</f>
        <v/>
      </c>
      <c r="S2743" s="89"/>
      <c r="T2743" s="38"/>
      <c r="U2743" s="43"/>
      <c r="V2743" s="42" t="str">
        <f>IF(Table1[[#This Row],[DATE]]=0,"",YEAR(E2743))</f>
        <v/>
      </c>
      <c r="W2743" s="40" t="str">
        <f t="shared" si="88"/>
        <v/>
      </c>
      <c r="X2743" s="40" t="str">
        <f t="shared" si="89"/>
        <v/>
      </c>
      <c r="Y2743" s="40" t="str">
        <f>TEXT(Table1[[#This Row],[YEAR]],"0000")&amp;"-"&amp;Table1[[#This Row],[MONTH]]</f>
        <v>-</v>
      </c>
    </row>
    <row r="2744" spans="1:25" ht="15" customHeight="1" x14ac:dyDescent="0.35">
      <c r="A2744" s="24"/>
      <c r="B2744" s="38"/>
      <c r="C2744" s="38"/>
      <c r="D2744" s="38"/>
      <c r="E2744" s="37"/>
      <c r="F2744" s="38"/>
      <c r="G2744" s="198"/>
      <c r="H2744" s="198"/>
      <c r="I2744" s="39"/>
      <c r="J2744" s="38"/>
      <c r="K2744" s="198"/>
      <c r="L2744" s="38"/>
      <c r="M2744" s="38"/>
      <c r="N2744" s="38"/>
      <c r="O2744" s="38"/>
      <c r="P2744" s="40" t="str" cm="1">
        <f t="array" ref="P2744">IF(N2744="","",IFERROR(_xlfn.XLOOKUP(F2744&amp;"|"&amp;J2744&amp;"|"&amp;O2744,PRICES!$C$2:$C$659&amp;"|"&amp;PRICES!$B$2:$B$659&amp;"|"&amp;PRICES!$D$2:$D$659,PRICES!$E$2:$E$659),"Not Found"))</f>
        <v/>
      </c>
      <c r="Q2744" s="100" t="str">
        <f>IF(N2744=0,"",SUMIFS(PRICES!$G$2:$G$658,PRICES!$B$2:$B$658,'MAIN TABLE-1 AUTOMATED'!J2744,PRICES!$C$2:$C$658,'MAIN TABLE-1 AUTOMATED'!F2744,PRICES!$D$2:$D$658,'MAIN TABLE-1 AUTOMATED'!O2744))</f>
        <v/>
      </c>
      <c r="R2744" s="41" t="str">
        <f>IF(Table1[[#This Row],[QUANTITY]]=0,"",Table1[[#This Row],[UNIT PRICE]]*Table1[[#This Row],[QUANTITY]])</f>
        <v/>
      </c>
      <c r="S2744" s="89"/>
      <c r="T2744" s="38"/>
      <c r="U2744" s="43"/>
      <c r="V2744" s="42" t="str">
        <f>IF(Table1[[#This Row],[DATE]]=0,"",YEAR(E2744))</f>
        <v/>
      </c>
      <c r="W2744" s="40" t="str">
        <f t="shared" si="88"/>
        <v/>
      </c>
      <c r="X2744" s="40" t="str">
        <f t="shared" si="89"/>
        <v/>
      </c>
      <c r="Y2744" s="40" t="str">
        <f>TEXT(Table1[[#This Row],[YEAR]],"0000")&amp;"-"&amp;Table1[[#This Row],[MONTH]]</f>
        <v>-</v>
      </c>
    </row>
    <row r="2745" spans="1:25" ht="15" customHeight="1" x14ac:dyDescent="0.35">
      <c r="A2745" s="24"/>
      <c r="B2745" s="38"/>
      <c r="C2745" s="38"/>
      <c r="D2745" s="38"/>
      <c r="E2745" s="37"/>
      <c r="F2745" s="38"/>
      <c r="G2745" s="198"/>
      <c r="H2745" s="198"/>
      <c r="I2745" s="39"/>
      <c r="J2745" s="38"/>
      <c r="K2745" s="198"/>
      <c r="L2745" s="38"/>
      <c r="M2745" s="38"/>
      <c r="N2745" s="38"/>
      <c r="O2745" s="38"/>
      <c r="P2745" s="40" t="str" cm="1">
        <f t="array" ref="P2745">IF(N2745="","",IFERROR(_xlfn.XLOOKUP(F2745&amp;"|"&amp;J2745&amp;"|"&amp;O2745,PRICES!$C$2:$C$659&amp;"|"&amp;PRICES!$B$2:$B$659&amp;"|"&amp;PRICES!$D$2:$D$659,PRICES!$E$2:$E$659),"Not Found"))</f>
        <v/>
      </c>
      <c r="Q2745" s="100" t="str">
        <f>IF(N2745=0,"",SUMIFS(PRICES!$G$2:$G$658,PRICES!$B$2:$B$658,'MAIN TABLE-1 AUTOMATED'!J2745,PRICES!$C$2:$C$658,'MAIN TABLE-1 AUTOMATED'!F2745,PRICES!$D$2:$D$658,'MAIN TABLE-1 AUTOMATED'!O2745))</f>
        <v/>
      </c>
      <c r="R2745" s="41" t="str">
        <f>IF(Table1[[#This Row],[QUANTITY]]=0,"",Table1[[#This Row],[UNIT PRICE]]*Table1[[#This Row],[QUANTITY]])</f>
        <v/>
      </c>
      <c r="S2745" s="89"/>
      <c r="T2745" s="38"/>
      <c r="U2745" s="43"/>
      <c r="V2745" s="42" t="str">
        <f>IF(Table1[[#This Row],[DATE]]=0,"",YEAR(E2745))</f>
        <v/>
      </c>
      <c r="W2745" s="40" t="str">
        <f t="shared" si="88"/>
        <v/>
      </c>
      <c r="X2745" s="40" t="str">
        <f t="shared" si="89"/>
        <v/>
      </c>
      <c r="Y2745" s="40" t="str">
        <f>TEXT(Table1[[#This Row],[YEAR]],"0000")&amp;"-"&amp;Table1[[#This Row],[MONTH]]</f>
        <v>-</v>
      </c>
    </row>
    <row r="2746" spans="1:25" ht="15" customHeight="1" x14ac:dyDescent="0.35">
      <c r="A2746" s="24"/>
      <c r="B2746" s="38"/>
      <c r="C2746" s="38"/>
      <c r="D2746" s="38"/>
      <c r="E2746" s="37"/>
      <c r="F2746" s="38"/>
      <c r="G2746" s="198"/>
      <c r="H2746" s="198"/>
      <c r="I2746" s="39"/>
      <c r="J2746" s="38"/>
      <c r="K2746" s="198"/>
      <c r="L2746" s="38"/>
      <c r="M2746" s="38"/>
      <c r="N2746" s="38"/>
      <c r="O2746" s="38"/>
      <c r="P2746" s="40" t="str" cm="1">
        <f t="array" ref="P2746">IF(N2746="","",IFERROR(_xlfn.XLOOKUP(F2746&amp;"|"&amp;J2746&amp;"|"&amp;O2746,PRICES!$C$2:$C$659&amp;"|"&amp;PRICES!$B$2:$B$659&amp;"|"&amp;PRICES!$D$2:$D$659,PRICES!$E$2:$E$659),"Not Found"))</f>
        <v/>
      </c>
      <c r="Q2746" s="100" t="str">
        <f>IF(N2746=0,"",SUMIFS(PRICES!$G$2:$G$658,PRICES!$B$2:$B$658,'MAIN TABLE-1 AUTOMATED'!J2746,PRICES!$C$2:$C$658,'MAIN TABLE-1 AUTOMATED'!F2746,PRICES!$D$2:$D$658,'MAIN TABLE-1 AUTOMATED'!O2746))</f>
        <v/>
      </c>
      <c r="R2746" s="41" t="str">
        <f>IF(Table1[[#This Row],[QUANTITY]]=0,"",Table1[[#This Row],[UNIT PRICE]]*Table1[[#This Row],[QUANTITY]])</f>
        <v/>
      </c>
      <c r="S2746" s="89"/>
      <c r="T2746" s="38"/>
      <c r="U2746" s="43"/>
      <c r="V2746" s="42" t="str">
        <f>IF(Table1[[#This Row],[DATE]]=0,"",YEAR(E2746))</f>
        <v/>
      </c>
      <c r="W2746" s="40" t="str">
        <f t="shared" si="88"/>
        <v/>
      </c>
      <c r="X2746" s="40" t="str">
        <f t="shared" si="89"/>
        <v/>
      </c>
      <c r="Y2746" s="40" t="str">
        <f>TEXT(Table1[[#This Row],[YEAR]],"0000")&amp;"-"&amp;Table1[[#This Row],[MONTH]]</f>
        <v>-</v>
      </c>
    </row>
    <row r="2747" spans="1:25" ht="15" customHeight="1" x14ac:dyDescent="0.35">
      <c r="A2747" s="24"/>
      <c r="B2747" s="38"/>
      <c r="C2747" s="38"/>
      <c r="D2747" s="38"/>
      <c r="E2747" s="37"/>
      <c r="F2747" s="38"/>
      <c r="G2747" s="198"/>
      <c r="H2747" s="198"/>
      <c r="I2747" s="39"/>
      <c r="J2747" s="38"/>
      <c r="K2747" s="198"/>
      <c r="L2747" s="38"/>
      <c r="M2747" s="38"/>
      <c r="N2747" s="38"/>
      <c r="O2747" s="38"/>
      <c r="P2747" s="40" t="str" cm="1">
        <f t="array" ref="P2747">IF(N2747="","",IFERROR(_xlfn.XLOOKUP(F2747&amp;"|"&amp;J2747&amp;"|"&amp;O2747,PRICES!$C$2:$C$659&amp;"|"&amp;PRICES!$B$2:$B$659&amp;"|"&amp;PRICES!$D$2:$D$659,PRICES!$E$2:$E$659),"Not Found"))</f>
        <v/>
      </c>
      <c r="Q2747" s="100" t="str">
        <f>IF(N2747=0,"",SUMIFS(PRICES!$G$2:$G$658,PRICES!$B$2:$B$658,'MAIN TABLE-1 AUTOMATED'!J2747,PRICES!$C$2:$C$658,'MAIN TABLE-1 AUTOMATED'!F2747,PRICES!$D$2:$D$658,'MAIN TABLE-1 AUTOMATED'!O2747))</f>
        <v/>
      </c>
      <c r="R2747" s="41" t="str">
        <f>IF(Table1[[#This Row],[QUANTITY]]=0,"",Table1[[#This Row],[UNIT PRICE]]*Table1[[#This Row],[QUANTITY]])</f>
        <v/>
      </c>
      <c r="S2747" s="89"/>
      <c r="T2747" s="38"/>
      <c r="U2747" s="43"/>
      <c r="V2747" s="42" t="str">
        <f>IF(Table1[[#This Row],[DATE]]=0,"",YEAR(E2747))</f>
        <v/>
      </c>
      <c r="W2747" s="40" t="str">
        <f t="shared" si="88"/>
        <v/>
      </c>
      <c r="X2747" s="40" t="str">
        <f t="shared" si="89"/>
        <v/>
      </c>
      <c r="Y2747" s="40" t="str">
        <f>TEXT(Table1[[#This Row],[YEAR]],"0000")&amp;"-"&amp;Table1[[#This Row],[MONTH]]</f>
        <v>-</v>
      </c>
    </row>
    <row r="2748" spans="1:25" ht="15" customHeight="1" x14ac:dyDescent="0.35">
      <c r="A2748" s="24"/>
      <c r="B2748" s="38"/>
      <c r="C2748" s="38"/>
      <c r="D2748" s="38"/>
      <c r="E2748" s="37"/>
      <c r="F2748" s="38"/>
      <c r="G2748" s="198"/>
      <c r="H2748" s="198"/>
      <c r="I2748" s="39"/>
      <c r="J2748" s="38"/>
      <c r="K2748" s="198"/>
      <c r="L2748" s="38"/>
      <c r="M2748" s="38"/>
      <c r="N2748" s="38"/>
      <c r="O2748" s="38"/>
      <c r="P2748" s="40" t="str" cm="1">
        <f t="array" ref="P2748">IF(N2748="","",IFERROR(_xlfn.XLOOKUP(F2748&amp;"|"&amp;J2748&amp;"|"&amp;O2748,PRICES!$C$2:$C$659&amp;"|"&amp;PRICES!$B$2:$B$659&amp;"|"&amp;PRICES!$D$2:$D$659,PRICES!$E$2:$E$659),"Not Found"))</f>
        <v/>
      </c>
      <c r="Q2748" s="100" t="str">
        <f>IF(N2748=0,"",SUMIFS(PRICES!$G$2:$G$658,PRICES!$B$2:$B$658,'MAIN TABLE-1 AUTOMATED'!J2748,PRICES!$C$2:$C$658,'MAIN TABLE-1 AUTOMATED'!F2748,PRICES!$D$2:$D$658,'MAIN TABLE-1 AUTOMATED'!O2748))</f>
        <v/>
      </c>
      <c r="R2748" s="41" t="str">
        <f>IF(Table1[[#This Row],[QUANTITY]]=0,"",Table1[[#This Row],[UNIT PRICE]]*Table1[[#This Row],[QUANTITY]])</f>
        <v/>
      </c>
      <c r="S2748" s="89"/>
      <c r="T2748" s="38"/>
      <c r="U2748" s="43"/>
      <c r="V2748" s="42" t="str">
        <f>IF(Table1[[#This Row],[DATE]]=0,"",YEAR(E2748))</f>
        <v/>
      </c>
      <c r="W2748" s="40" t="str">
        <f t="shared" si="88"/>
        <v/>
      </c>
      <c r="X2748" s="40" t="str">
        <f t="shared" si="89"/>
        <v/>
      </c>
      <c r="Y2748" s="40" t="str">
        <f>TEXT(Table1[[#This Row],[YEAR]],"0000")&amp;"-"&amp;Table1[[#This Row],[MONTH]]</f>
        <v>-</v>
      </c>
    </row>
    <row r="2749" spans="1:25" ht="15" customHeight="1" x14ac:dyDescent="0.35">
      <c r="A2749" s="24"/>
      <c r="B2749" s="38"/>
      <c r="C2749" s="38"/>
      <c r="D2749" s="38"/>
      <c r="E2749" s="37"/>
      <c r="F2749" s="38"/>
      <c r="G2749" s="198"/>
      <c r="H2749" s="198"/>
      <c r="I2749" s="39"/>
      <c r="J2749" s="38"/>
      <c r="K2749" s="198"/>
      <c r="L2749" s="38"/>
      <c r="M2749" s="38"/>
      <c r="N2749" s="38"/>
      <c r="O2749" s="38"/>
      <c r="P2749" s="40" t="str" cm="1">
        <f t="array" ref="P2749">IF(N2749="","",IFERROR(_xlfn.XLOOKUP(F2749&amp;"|"&amp;J2749&amp;"|"&amp;O2749,PRICES!$C$2:$C$659&amp;"|"&amp;PRICES!$B$2:$B$659&amp;"|"&amp;PRICES!$D$2:$D$659,PRICES!$E$2:$E$659),"Not Found"))</f>
        <v/>
      </c>
      <c r="Q2749" s="100" t="str">
        <f>IF(N2749=0,"",SUMIFS(PRICES!$G$2:$G$658,PRICES!$B$2:$B$658,'MAIN TABLE-1 AUTOMATED'!J2749,PRICES!$C$2:$C$658,'MAIN TABLE-1 AUTOMATED'!F2749,PRICES!$D$2:$D$658,'MAIN TABLE-1 AUTOMATED'!O2749))</f>
        <v/>
      </c>
      <c r="R2749" s="41" t="str">
        <f>IF(Table1[[#This Row],[QUANTITY]]=0,"",Table1[[#This Row],[UNIT PRICE]]*Table1[[#This Row],[QUANTITY]])</f>
        <v/>
      </c>
      <c r="S2749" s="89"/>
      <c r="T2749" s="38"/>
      <c r="U2749" s="43"/>
      <c r="V2749" s="42" t="str">
        <f>IF(Table1[[#This Row],[DATE]]=0,"",YEAR(E2749))</f>
        <v/>
      </c>
      <c r="W2749" s="40" t="str">
        <f t="shared" si="88"/>
        <v/>
      </c>
      <c r="X2749" s="40" t="str">
        <f t="shared" si="89"/>
        <v/>
      </c>
      <c r="Y2749" s="40" t="str">
        <f>TEXT(Table1[[#This Row],[YEAR]],"0000")&amp;"-"&amp;Table1[[#This Row],[MONTH]]</f>
        <v>-</v>
      </c>
    </row>
    <row r="2750" spans="1:25" ht="15" customHeight="1" x14ac:dyDescent="0.35">
      <c r="A2750" s="24"/>
      <c r="B2750" s="38"/>
      <c r="C2750" s="38"/>
      <c r="D2750" s="38"/>
      <c r="E2750" s="37"/>
      <c r="F2750" s="38"/>
      <c r="G2750" s="198"/>
      <c r="H2750" s="198"/>
      <c r="I2750" s="39"/>
      <c r="J2750" s="38"/>
      <c r="K2750" s="198"/>
      <c r="L2750" s="38"/>
      <c r="M2750" s="38"/>
      <c r="N2750" s="38"/>
      <c r="O2750" s="38"/>
      <c r="P2750" s="40" t="str" cm="1">
        <f t="array" ref="P2750">IF(N2750="","",IFERROR(_xlfn.XLOOKUP(F2750&amp;"|"&amp;J2750&amp;"|"&amp;O2750,PRICES!$C$2:$C$659&amp;"|"&amp;PRICES!$B$2:$B$659&amp;"|"&amp;PRICES!$D$2:$D$659,PRICES!$E$2:$E$659),"Not Found"))</f>
        <v/>
      </c>
      <c r="Q2750" s="100" t="str">
        <f>IF(N2750=0,"",SUMIFS(PRICES!$G$2:$G$658,PRICES!$B$2:$B$658,'MAIN TABLE-1 AUTOMATED'!J2750,PRICES!$C$2:$C$658,'MAIN TABLE-1 AUTOMATED'!F2750,PRICES!$D$2:$D$658,'MAIN TABLE-1 AUTOMATED'!O2750))</f>
        <v/>
      </c>
      <c r="R2750" s="41" t="str">
        <f>IF(Table1[[#This Row],[QUANTITY]]=0,"",Table1[[#This Row],[UNIT PRICE]]*Table1[[#This Row],[QUANTITY]])</f>
        <v/>
      </c>
      <c r="S2750" s="89"/>
      <c r="T2750" s="38"/>
      <c r="U2750" s="43"/>
      <c r="V2750" s="42" t="str">
        <f>IF(Table1[[#This Row],[DATE]]=0,"",YEAR(E2750))</f>
        <v/>
      </c>
      <c r="W2750" s="40" t="str">
        <f t="shared" si="88"/>
        <v/>
      </c>
      <c r="X2750" s="40" t="str">
        <f t="shared" si="89"/>
        <v/>
      </c>
      <c r="Y2750" s="40" t="str">
        <f>TEXT(Table1[[#This Row],[YEAR]],"0000")&amp;"-"&amp;Table1[[#This Row],[MONTH]]</f>
        <v>-</v>
      </c>
    </row>
    <row r="2751" spans="1:25" ht="15" customHeight="1" x14ac:dyDescent="0.35">
      <c r="A2751" s="24"/>
      <c r="B2751" s="38"/>
      <c r="C2751" s="38"/>
      <c r="D2751" s="38"/>
      <c r="E2751" s="37"/>
      <c r="F2751" s="38"/>
      <c r="G2751" s="198"/>
      <c r="H2751" s="198"/>
      <c r="I2751" s="39"/>
      <c r="J2751" s="38"/>
      <c r="K2751" s="198"/>
      <c r="L2751" s="38"/>
      <c r="M2751" s="38"/>
      <c r="N2751" s="38"/>
      <c r="O2751" s="38"/>
      <c r="P2751" s="40" t="str" cm="1">
        <f t="array" ref="P2751">IF(N2751="","",IFERROR(_xlfn.XLOOKUP(F2751&amp;"|"&amp;J2751&amp;"|"&amp;O2751,PRICES!$C$2:$C$659&amp;"|"&amp;PRICES!$B$2:$B$659&amp;"|"&amp;PRICES!$D$2:$D$659,PRICES!$E$2:$E$659),"Not Found"))</f>
        <v/>
      </c>
      <c r="Q2751" s="100" t="str">
        <f>IF(N2751=0,"",SUMIFS(PRICES!$G$2:$G$658,PRICES!$B$2:$B$658,'MAIN TABLE-1 AUTOMATED'!J2751,PRICES!$C$2:$C$658,'MAIN TABLE-1 AUTOMATED'!F2751,PRICES!$D$2:$D$658,'MAIN TABLE-1 AUTOMATED'!O2751))</f>
        <v/>
      </c>
      <c r="R2751" s="41" t="str">
        <f>IF(Table1[[#This Row],[QUANTITY]]=0,"",Table1[[#This Row],[UNIT PRICE]]*Table1[[#This Row],[QUANTITY]])</f>
        <v/>
      </c>
      <c r="S2751" s="89"/>
      <c r="T2751" s="38"/>
      <c r="U2751" s="43"/>
      <c r="V2751" s="42" t="str">
        <f>IF(Table1[[#This Row],[DATE]]=0,"",YEAR(E2751))</f>
        <v/>
      </c>
      <c r="W2751" s="40" t="str">
        <f t="shared" si="88"/>
        <v/>
      </c>
      <c r="X2751" s="40" t="str">
        <f t="shared" si="89"/>
        <v/>
      </c>
      <c r="Y2751" s="40" t="str">
        <f>TEXT(Table1[[#This Row],[YEAR]],"0000")&amp;"-"&amp;Table1[[#This Row],[MONTH]]</f>
        <v>-</v>
      </c>
    </row>
    <row r="2752" spans="1:25" ht="15" customHeight="1" x14ac:dyDescent="0.35">
      <c r="A2752" s="24"/>
      <c r="B2752" s="38"/>
      <c r="C2752" s="38"/>
      <c r="D2752" s="38"/>
      <c r="E2752" s="37"/>
      <c r="F2752" s="38"/>
      <c r="G2752" s="198"/>
      <c r="H2752" s="198"/>
      <c r="I2752" s="39"/>
      <c r="J2752" s="38"/>
      <c r="K2752" s="198"/>
      <c r="L2752" s="38"/>
      <c r="M2752" s="38"/>
      <c r="N2752" s="38"/>
      <c r="O2752" s="38"/>
      <c r="P2752" s="40" t="str" cm="1">
        <f t="array" ref="P2752">IF(N2752="","",IFERROR(_xlfn.XLOOKUP(F2752&amp;"|"&amp;J2752&amp;"|"&amp;O2752,PRICES!$C$2:$C$659&amp;"|"&amp;PRICES!$B$2:$B$659&amp;"|"&amp;PRICES!$D$2:$D$659,PRICES!$E$2:$E$659),"Not Found"))</f>
        <v/>
      </c>
      <c r="Q2752" s="100" t="str">
        <f>IF(N2752=0,"",SUMIFS(PRICES!$G$2:$G$658,PRICES!$B$2:$B$658,'MAIN TABLE-1 AUTOMATED'!J2752,PRICES!$C$2:$C$658,'MAIN TABLE-1 AUTOMATED'!F2752,PRICES!$D$2:$D$658,'MAIN TABLE-1 AUTOMATED'!O2752))</f>
        <v/>
      </c>
      <c r="R2752" s="41" t="str">
        <f>IF(Table1[[#This Row],[QUANTITY]]=0,"",Table1[[#This Row],[UNIT PRICE]]*Table1[[#This Row],[QUANTITY]])</f>
        <v/>
      </c>
      <c r="S2752" s="89"/>
      <c r="T2752" s="38"/>
      <c r="U2752" s="43"/>
      <c r="V2752" s="42" t="str">
        <f>IF(Table1[[#This Row],[DATE]]=0,"",YEAR(E2752))</f>
        <v/>
      </c>
      <c r="W2752" s="40" t="str">
        <f t="shared" si="88"/>
        <v/>
      </c>
      <c r="X2752" s="40" t="str">
        <f t="shared" si="89"/>
        <v/>
      </c>
      <c r="Y2752" s="40" t="str">
        <f>TEXT(Table1[[#This Row],[YEAR]],"0000")&amp;"-"&amp;Table1[[#This Row],[MONTH]]</f>
        <v>-</v>
      </c>
    </row>
    <row r="2753" spans="1:25" ht="15" customHeight="1" x14ac:dyDescent="0.35">
      <c r="A2753" s="24"/>
      <c r="B2753" s="38"/>
      <c r="C2753" s="38"/>
      <c r="D2753" s="38"/>
      <c r="E2753" s="37"/>
      <c r="F2753" s="38"/>
      <c r="G2753" s="198"/>
      <c r="H2753" s="198"/>
      <c r="I2753" s="39"/>
      <c r="J2753" s="38"/>
      <c r="K2753" s="198"/>
      <c r="L2753" s="38"/>
      <c r="M2753" s="38"/>
      <c r="N2753" s="38"/>
      <c r="O2753" s="38"/>
      <c r="P2753" s="40" t="str" cm="1">
        <f t="array" ref="P2753">IF(N2753="","",IFERROR(_xlfn.XLOOKUP(F2753&amp;"|"&amp;J2753&amp;"|"&amp;O2753,PRICES!$C$2:$C$659&amp;"|"&amp;PRICES!$B$2:$B$659&amp;"|"&amp;PRICES!$D$2:$D$659,PRICES!$E$2:$E$659),"Not Found"))</f>
        <v/>
      </c>
      <c r="Q2753" s="100" t="str">
        <f>IF(N2753=0,"",SUMIFS(PRICES!$G$2:$G$658,PRICES!$B$2:$B$658,'MAIN TABLE-1 AUTOMATED'!J2753,PRICES!$C$2:$C$658,'MAIN TABLE-1 AUTOMATED'!F2753,PRICES!$D$2:$D$658,'MAIN TABLE-1 AUTOMATED'!O2753))</f>
        <v/>
      </c>
      <c r="R2753" s="41" t="str">
        <f>IF(Table1[[#This Row],[QUANTITY]]=0,"",Table1[[#This Row],[UNIT PRICE]]*Table1[[#This Row],[QUANTITY]])</f>
        <v/>
      </c>
      <c r="S2753" s="89"/>
      <c r="T2753" s="38"/>
      <c r="U2753" s="43"/>
      <c r="V2753" s="42" t="str">
        <f>IF(Table1[[#This Row],[DATE]]=0,"",YEAR(E2753))</f>
        <v/>
      </c>
      <c r="W2753" s="40" t="str">
        <f t="shared" si="88"/>
        <v/>
      </c>
      <c r="X2753" s="40" t="str">
        <f t="shared" si="89"/>
        <v/>
      </c>
      <c r="Y2753" s="40" t="str">
        <f>TEXT(Table1[[#This Row],[YEAR]],"0000")&amp;"-"&amp;Table1[[#This Row],[MONTH]]</f>
        <v>-</v>
      </c>
    </row>
    <row r="2754" spans="1:25" ht="15" customHeight="1" x14ac:dyDescent="0.35">
      <c r="A2754" s="24"/>
      <c r="B2754" s="38"/>
      <c r="C2754" s="38"/>
      <c r="D2754" s="38"/>
      <c r="E2754" s="37"/>
      <c r="F2754" s="38"/>
      <c r="G2754" s="198"/>
      <c r="H2754" s="198"/>
      <c r="I2754" s="39"/>
      <c r="J2754" s="38"/>
      <c r="K2754" s="198"/>
      <c r="L2754" s="38"/>
      <c r="M2754" s="38"/>
      <c r="N2754" s="38"/>
      <c r="O2754" s="38"/>
      <c r="P2754" s="40" t="str" cm="1">
        <f t="array" ref="P2754">IF(N2754="","",IFERROR(_xlfn.XLOOKUP(F2754&amp;"|"&amp;J2754&amp;"|"&amp;O2754,PRICES!$C$2:$C$659&amp;"|"&amp;PRICES!$B$2:$B$659&amp;"|"&amp;PRICES!$D$2:$D$659,PRICES!$E$2:$E$659),"Not Found"))</f>
        <v/>
      </c>
      <c r="Q2754" s="100" t="str">
        <f>IF(N2754=0,"",SUMIFS(PRICES!$G$2:$G$658,PRICES!$B$2:$B$658,'MAIN TABLE-1 AUTOMATED'!J2754,PRICES!$C$2:$C$658,'MAIN TABLE-1 AUTOMATED'!F2754,PRICES!$D$2:$D$658,'MAIN TABLE-1 AUTOMATED'!O2754))</f>
        <v/>
      </c>
      <c r="R2754" s="41" t="str">
        <f>IF(Table1[[#This Row],[QUANTITY]]=0,"",Table1[[#This Row],[UNIT PRICE]]*Table1[[#This Row],[QUANTITY]])</f>
        <v/>
      </c>
      <c r="S2754" s="89"/>
      <c r="T2754" s="38"/>
      <c r="U2754" s="43"/>
      <c r="V2754" s="42" t="str">
        <f>IF(Table1[[#This Row],[DATE]]=0,"",YEAR(E2754))</f>
        <v/>
      </c>
      <c r="W2754" s="40" t="str">
        <f t="shared" si="88"/>
        <v/>
      </c>
      <c r="X2754" s="40" t="str">
        <f t="shared" si="89"/>
        <v/>
      </c>
      <c r="Y2754" s="40" t="str">
        <f>TEXT(Table1[[#This Row],[YEAR]],"0000")&amp;"-"&amp;Table1[[#This Row],[MONTH]]</f>
        <v>-</v>
      </c>
    </row>
    <row r="2755" spans="1:25" ht="15" customHeight="1" x14ac:dyDescent="0.35">
      <c r="A2755" s="24"/>
      <c r="B2755" s="38"/>
      <c r="C2755" s="38"/>
      <c r="D2755" s="38"/>
      <c r="E2755" s="37"/>
      <c r="F2755" s="38"/>
      <c r="G2755" s="198"/>
      <c r="H2755" s="198"/>
      <c r="I2755" s="39"/>
      <c r="J2755" s="38"/>
      <c r="K2755" s="198"/>
      <c r="L2755" s="38"/>
      <c r="M2755" s="38"/>
      <c r="N2755" s="38"/>
      <c r="O2755" s="38"/>
      <c r="P2755" s="40" t="str" cm="1">
        <f t="array" ref="P2755">IF(N2755="","",IFERROR(_xlfn.XLOOKUP(F2755&amp;"|"&amp;J2755&amp;"|"&amp;O2755,PRICES!$C$2:$C$659&amp;"|"&amp;PRICES!$B$2:$B$659&amp;"|"&amp;PRICES!$D$2:$D$659,PRICES!$E$2:$E$659),"Not Found"))</f>
        <v/>
      </c>
      <c r="Q2755" s="100" t="str">
        <f>IF(N2755=0,"",SUMIFS(PRICES!$G$2:$G$658,PRICES!$B$2:$B$658,'MAIN TABLE-1 AUTOMATED'!J2755,PRICES!$C$2:$C$658,'MAIN TABLE-1 AUTOMATED'!F2755,PRICES!$D$2:$D$658,'MAIN TABLE-1 AUTOMATED'!O2755))</f>
        <v/>
      </c>
      <c r="R2755" s="41" t="str">
        <f>IF(Table1[[#This Row],[QUANTITY]]=0,"",Table1[[#This Row],[UNIT PRICE]]*Table1[[#This Row],[QUANTITY]])</f>
        <v/>
      </c>
      <c r="S2755" s="89"/>
      <c r="T2755" s="38"/>
      <c r="U2755" s="43"/>
      <c r="V2755" s="42" t="str">
        <f>IF(Table1[[#This Row],[DATE]]=0,"",YEAR(E2755))</f>
        <v/>
      </c>
      <c r="W2755" s="40" t="str">
        <f t="shared" ref="W2755:W2818" si="90">IF(E2755=0,"",MONTH(E2755))</f>
        <v/>
      </c>
      <c r="X2755" s="40" t="str">
        <f t="shared" ref="X2755:X2818" si="91">IF(E2755=0,"",WEEKNUM(E2755))</f>
        <v/>
      </c>
      <c r="Y2755" s="40" t="str">
        <f>TEXT(Table1[[#This Row],[YEAR]],"0000")&amp;"-"&amp;Table1[[#This Row],[MONTH]]</f>
        <v>-</v>
      </c>
    </row>
    <row r="2756" spans="1:25" ht="15" customHeight="1" x14ac:dyDescent="0.35">
      <c r="A2756" s="24"/>
      <c r="B2756" s="38"/>
      <c r="C2756" s="38"/>
      <c r="D2756" s="38"/>
      <c r="E2756" s="37"/>
      <c r="F2756" s="38"/>
      <c r="G2756" s="198"/>
      <c r="H2756" s="198"/>
      <c r="I2756" s="39"/>
      <c r="J2756" s="38"/>
      <c r="K2756" s="198"/>
      <c r="L2756" s="38"/>
      <c r="M2756" s="38"/>
      <c r="N2756" s="38"/>
      <c r="O2756" s="38"/>
      <c r="P2756" s="40" t="str" cm="1">
        <f t="array" ref="P2756">IF(N2756="","",IFERROR(_xlfn.XLOOKUP(F2756&amp;"|"&amp;J2756&amp;"|"&amp;O2756,PRICES!$C$2:$C$659&amp;"|"&amp;PRICES!$B$2:$B$659&amp;"|"&amp;PRICES!$D$2:$D$659,PRICES!$E$2:$E$659),"Not Found"))</f>
        <v/>
      </c>
      <c r="Q2756" s="100" t="str">
        <f>IF(N2756=0,"",SUMIFS(PRICES!$G$2:$G$658,PRICES!$B$2:$B$658,'MAIN TABLE-1 AUTOMATED'!J2756,PRICES!$C$2:$C$658,'MAIN TABLE-1 AUTOMATED'!F2756,PRICES!$D$2:$D$658,'MAIN TABLE-1 AUTOMATED'!O2756))</f>
        <v/>
      </c>
      <c r="R2756" s="41" t="str">
        <f>IF(Table1[[#This Row],[QUANTITY]]=0,"",Table1[[#This Row],[UNIT PRICE]]*Table1[[#This Row],[QUANTITY]])</f>
        <v/>
      </c>
      <c r="S2756" s="89"/>
      <c r="T2756" s="38"/>
      <c r="U2756" s="43"/>
      <c r="V2756" s="42" t="str">
        <f>IF(Table1[[#This Row],[DATE]]=0,"",YEAR(E2756))</f>
        <v/>
      </c>
      <c r="W2756" s="40" t="str">
        <f t="shared" si="90"/>
        <v/>
      </c>
      <c r="X2756" s="40" t="str">
        <f t="shared" si="91"/>
        <v/>
      </c>
      <c r="Y2756" s="40" t="str">
        <f>TEXT(Table1[[#This Row],[YEAR]],"0000")&amp;"-"&amp;Table1[[#This Row],[MONTH]]</f>
        <v>-</v>
      </c>
    </row>
    <row r="2757" spans="1:25" ht="15" customHeight="1" x14ac:dyDescent="0.35">
      <c r="A2757" s="24"/>
      <c r="B2757" s="38"/>
      <c r="C2757" s="38"/>
      <c r="D2757" s="38"/>
      <c r="E2757" s="37"/>
      <c r="F2757" s="38"/>
      <c r="G2757" s="198"/>
      <c r="H2757" s="198"/>
      <c r="I2757" s="39"/>
      <c r="J2757" s="38"/>
      <c r="K2757" s="198"/>
      <c r="L2757" s="38"/>
      <c r="M2757" s="38"/>
      <c r="N2757" s="38"/>
      <c r="O2757" s="38"/>
      <c r="P2757" s="40" t="str" cm="1">
        <f t="array" ref="P2757">IF(N2757="","",IFERROR(_xlfn.XLOOKUP(F2757&amp;"|"&amp;J2757&amp;"|"&amp;O2757,PRICES!$C$2:$C$659&amp;"|"&amp;PRICES!$B$2:$B$659&amp;"|"&amp;PRICES!$D$2:$D$659,PRICES!$E$2:$E$659),"Not Found"))</f>
        <v/>
      </c>
      <c r="Q2757" s="100" t="str">
        <f>IF(N2757=0,"",SUMIFS(PRICES!$G$2:$G$658,PRICES!$B$2:$B$658,'MAIN TABLE-1 AUTOMATED'!J2757,PRICES!$C$2:$C$658,'MAIN TABLE-1 AUTOMATED'!F2757,PRICES!$D$2:$D$658,'MAIN TABLE-1 AUTOMATED'!O2757))</f>
        <v/>
      </c>
      <c r="R2757" s="41" t="str">
        <f>IF(Table1[[#This Row],[QUANTITY]]=0,"",Table1[[#This Row],[UNIT PRICE]]*Table1[[#This Row],[QUANTITY]])</f>
        <v/>
      </c>
      <c r="S2757" s="89"/>
      <c r="T2757" s="38"/>
      <c r="U2757" s="43"/>
      <c r="V2757" s="42" t="str">
        <f>IF(Table1[[#This Row],[DATE]]=0,"",YEAR(E2757))</f>
        <v/>
      </c>
      <c r="W2757" s="40" t="str">
        <f t="shared" si="90"/>
        <v/>
      </c>
      <c r="X2757" s="40" t="str">
        <f t="shared" si="91"/>
        <v/>
      </c>
      <c r="Y2757" s="40" t="str">
        <f>TEXT(Table1[[#This Row],[YEAR]],"0000")&amp;"-"&amp;Table1[[#This Row],[MONTH]]</f>
        <v>-</v>
      </c>
    </row>
    <row r="2758" spans="1:25" ht="15" customHeight="1" x14ac:dyDescent="0.35">
      <c r="A2758" s="24"/>
      <c r="B2758" s="38"/>
      <c r="C2758" s="38"/>
      <c r="D2758" s="38"/>
      <c r="E2758" s="37"/>
      <c r="F2758" s="38"/>
      <c r="G2758" s="198"/>
      <c r="H2758" s="198"/>
      <c r="I2758" s="39"/>
      <c r="J2758" s="38"/>
      <c r="K2758" s="198"/>
      <c r="L2758" s="38"/>
      <c r="M2758" s="38"/>
      <c r="N2758" s="38"/>
      <c r="O2758" s="38"/>
      <c r="P2758" s="40" t="str" cm="1">
        <f t="array" ref="P2758">IF(N2758="","",IFERROR(_xlfn.XLOOKUP(F2758&amp;"|"&amp;J2758&amp;"|"&amp;O2758,PRICES!$C$2:$C$659&amp;"|"&amp;PRICES!$B$2:$B$659&amp;"|"&amp;PRICES!$D$2:$D$659,PRICES!$E$2:$E$659),"Not Found"))</f>
        <v/>
      </c>
      <c r="Q2758" s="100" t="str">
        <f>IF(N2758=0,"",SUMIFS(PRICES!$G$2:$G$658,PRICES!$B$2:$B$658,'MAIN TABLE-1 AUTOMATED'!J2758,PRICES!$C$2:$C$658,'MAIN TABLE-1 AUTOMATED'!F2758,PRICES!$D$2:$D$658,'MAIN TABLE-1 AUTOMATED'!O2758))</f>
        <v/>
      </c>
      <c r="R2758" s="41" t="str">
        <f>IF(Table1[[#This Row],[QUANTITY]]=0,"",Table1[[#This Row],[UNIT PRICE]]*Table1[[#This Row],[QUANTITY]])</f>
        <v/>
      </c>
      <c r="S2758" s="89"/>
      <c r="T2758" s="38"/>
      <c r="U2758" s="43"/>
      <c r="V2758" s="42" t="str">
        <f>IF(Table1[[#This Row],[DATE]]=0,"",YEAR(E2758))</f>
        <v/>
      </c>
      <c r="W2758" s="40" t="str">
        <f t="shared" si="90"/>
        <v/>
      </c>
      <c r="X2758" s="40" t="str">
        <f t="shared" si="91"/>
        <v/>
      </c>
      <c r="Y2758" s="40" t="str">
        <f>TEXT(Table1[[#This Row],[YEAR]],"0000")&amp;"-"&amp;Table1[[#This Row],[MONTH]]</f>
        <v>-</v>
      </c>
    </row>
    <row r="2759" spans="1:25" ht="15" customHeight="1" x14ac:dyDescent="0.35">
      <c r="A2759" s="24"/>
      <c r="B2759" s="38"/>
      <c r="C2759" s="38"/>
      <c r="D2759" s="38"/>
      <c r="E2759" s="37"/>
      <c r="F2759" s="38"/>
      <c r="G2759" s="198"/>
      <c r="H2759" s="198"/>
      <c r="I2759" s="39"/>
      <c r="J2759" s="38"/>
      <c r="K2759" s="198"/>
      <c r="L2759" s="38"/>
      <c r="M2759" s="38"/>
      <c r="N2759" s="38"/>
      <c r="O2759" s="38"/>
      <c r="P2759" s="40" t="str" cm="1">
        <f t="array" ref="P2759">IF(N2759="","",IFERROR(_xlfn.XLOOKUP(F2759&amp;"|"&amp;J2759&amp;"|"&amp;O2759,PRICES!$C$2:$C$659&amp;"|"&amp;PRICES!$B$2:$B$659&amp;"|"&amp;PRICES!$D$2:$D$659,PRICES!$E$2:$E$659),"Not Found"))</f>
        <v/>
      </c>
      <c r="Q2759" s="100" t="str">
        <f>IF(N2759=0,"",SUMIFS(PRICES!$G$2:$G$658,PRICES!$B$2:$B$658,'MAIN TABLE-1 AUTOMATED'!J2759,PRICES!$C$2:$C$658,'MAIN TABLE-1 AUTOMATED'!F2759,PRICES!$D$2:$D$658,'MAIN TABLE-1 AUTOMATED'!O2759))</f>
        <v/>
      </c>
      <c r="R2759" s="41" t="str">
        <f>IF(Table1[[#This Row],[QUANTITY]]=0,"",Table1[[#This Row],[UNIT PRICE]]*Table1[[#This Row],[QUANTITY]])</f>
        <v/>
      </c>
      <c r="S2759" s="89"/>
      <c r="T2759" s="38"/>
      <c r="U2759" s="43"/>
      <c r="V2759" s="42" t="str">
        <f>IF(Table1[[#This Row],[DATE]]=0,"",YEAR(E2759))</f>
        <v/>
      </c>
      <c r="W2759" s="40" t="str">
        <f t="shared" si="90"/>
        <v/>
      </c>
      <c r="X2759" s="40" t="str">
        <f t="shared" si="91"/>
        <v/>
      </c>
      <c r="Y2759" s="40" t="str">
        <f>TEXT(Table1[[#This Row],[YEAR]],"0000")&amp;"-"&amp;Table1[[#This Row],[MONTH]]</f>
        <v>-</v>
      </c>
    </row>
    <row r="2760" spans="1:25" ht="15" customHeight="1" x14ac:dyDescent="0.35">
      <c r="A2760" s="24"/>
      <c r="B2760" s="38"/>
      <c r="C2760" s="38"/>
      <c r="D2760" s="38"/>
      <c r="E2760" s="37"/>
      <c r="F2760" s="38"/>
      <c r="G2760" s="198"/>
      <c r="H2760" s="198"/>
      <c r="I2760" s="39"/>
      <c r="J2760" s="38"/>
      <c r="K2760" s="198"/>
      <c r="L2760" s="38"/>
      <c r="M2760" s="38"/>
      <c r="N2760" s="38"/>
      <c r="O2760" s="38"/>
      <c r="P2760" s="40" t="str" cm="1">
        <f t="array" ref="P2760">IF(N2760="","",IFERROR(_xlfn.XLOOKUP(F2760&amp;"|"&amp;J2760&amp;"|"&amp;O2760,PRICES!$C$2:$C$659&amp;"|"&amp;PRICES!$B$2:$B$659&amp;"|"&amp;PRICES!$D$2:$D$659,PRICES!$E$2:$E$659),"Not Found"))</f>
        <v/>
      </c>
      <c r="Q2760" s="100" t="str">
        <f>IF(N2760=0,"",SUMIFS(PRICES!$G$2:$G$658,PRICES!$B$2:$B$658,'MAIN TABLE-1 AUTOMATED'!J2760,PRICES!$C$2:$C$658,'MAIN TABLE-1 AUTOMATED'!F2760,PRICES!$D$2:$D$658,'MAIN TABLE-1 AUTOMATED'!O2760))</f>
        <v/>
      </c>
      <c r="R2760" s="41" t="str">
        <f>IF(Table1[[#This Row],[QUANTITY]]=0,"",Table1[[#This Row],[UNIT PRICE]]*Table1[[#This Row],[QUANTITY]])</f>
        <v/>
      </c>
      <c r="S2760" s="89"/>
      <c r="T2760" s="38"/>
      <c r="U2760" s="43"/>
      <c r="V2760" s="42" t="str">
        <f>IF(Table1[[#This Row],[DATE]]=0,"",YEAR(E2760))</f>
        <v/>
      </c>
      <c r="W2760" s="40" t="str">
        <f t="shared" si="90"/>
        <v/>
      </c>
      <c r="X2760" s="40" t="str">
        <f t="shared" si="91"/>
        <v/>
      </c>
      <c r="Y2760" s="40" t="str">
        <f>TEXT(Table1[[#This Row],[YEAR]],"0000")&amp;"-"&amp;Table1[[#This Row],[MONTH]]</f>
        <v>-</v>
      </c>
    </row>
    <row r="2761" spans="1:25" ht="15" customHeight="1" x14ac:dyDescent="0.35">
      <c r="A2761" s="24"/>
      <c r="B2761" s="38"/>
      <c r="C2761" s="38"/>
      <c r="D2761" s="38"/>
      <c r="E2761" s="37"/>
      <c r="F2761" s="38"/>
      <c r="G2761" s="198"/>
      <c r="H2761" s="198"/>
      <c r="I2761" s="39"/>
      <c r="J2761" s="38"/>
      <c r="K2761" s="198"/>
      <c r="L2761" s="38"/>
      <c r="M2761" s="38"/>
      <c r="N2761" s="38"/>
      <c r="O2761" s="38"/>
      <c r="P2761" s="40" t="str" cm="1">
        <f t="array" ref="P2761">IF(N2761="","",IFERROR(_xlfn.XLOOKUP(F2761&amp;"|"&amp;J2761&amp;"|"&amp;O2761,PRICES!$C$2:$C$659&amp;"|"&amp;PRICES!$B$2:$B$659&amp;"|"&amp;PRICES!$D$2:$D$659,PRICES!$E$2:$E$659),"Not Found"))</f>
        <v/>
      </c>
      <c r="Q2761" s="100" t="str">
        <f>IF(N2761=0,"",SUMIFS(PRICES!$G$2:$G$658,PRICES!$B$2:$B$658,'MAIN TABLE-1 AUTOMATED'!J2761,PRICES!$C$2:$C$658,'MAIN TABLE-1 AUTOMATED'!F2761,PRICES!$D$2:$D$658,'MAIN TABLE-1 AUTOMATED'!O2761))</f>
        <v/>
      </c>
      <c r="R2761" s="41" t="str">
        <f>IF(Table1[[#This Row],[QUANTITY]]=0,"",Table1[[#This Row],[UNIT PRICE]]*Table1[[#This Row],[QUANTITY]])</f>
        <v/>
      </c>
      <c r="S2761" s="89"/>
      <c r="T2761" s="38"/>
      <c r="U2761" s="43"/>
      <c r="V2761" s="42" t="str">
        <f>IF(Table1[[#This Row],[DATE]]=0,"",YEAR(E2761))</f>
        <v/>
      </c>
      <c r="W2761" s="40" t="str">
        <f t="shared" si="90"/>
        <v/>
      </c>
      <c r="X2761" s="40" t="str">
        <f t="shared" si="91"/>
        <v/>
      </c>
      <c r="Y2761" s="40" t="str">
        <f>TEXT(Table1[[#This Row],[YEAR]],"0000")&amp;"-"&amp;Table1[[#This Row],[MONTH]]</f>
        <v>-</v>
      </c>
    </row>
    <row r="2762" spans="1:25" ht="15" customHeight="1" x14ac:dyDescent="0.35">
      <c r="A2762" s="24"/>
      <c r="B2762" s="38"/>
      <c r="C2762" s="38"/>
      <c r="D2762" s="38"/>
      <c r="E2762" s="37"/>
      <c r="F2762" s="38"/>
      <c r="G2762" s="198"/>
      <c r="H2762" s="198"/>
      <c r="I2762" s="39"/>
      <c r="J2762" s="38"/>
      <c r="K2762" s="198"/>
      <c r="L2762" s="38"/>
      <c r="M2762" s="38"/>
      <c r="N2762" s="38"/>
      <c r="O2762" s="38"/>
      <c r="P2762" s="40" t="str" cm="1">
        <f t="array" ref="P2762">IF(N2762="","",IFERROR(_xlfn.XLOOKUP(F2762&amp;"|"&amp;J2762&amp;"|"&amp;O2762,PRICES!$C$2:$C$659&amp;"|"&amp;PRICES!$B$2:$B$659&amp;"|"&amp;PRICES!$D$2:$D$659,PRICES!$E$2:$E$659),"Not Found"))</f>
        <v/>
      </c>
      <c r="Q2762" s="100" t="str">
        <f>IF(N2762=0,"",SUMIFS(PRICES!$G$2:$G$658,PRICES!$B$2:$B$658,'MAIN TABLE-1 AUTOMATED'!J2762,PRICES!$C$2:$C$658,'MAIN TABLE-1 AUTOMATED'!F2762,PRICES!$D$2:$D$658,'MAIN TABLE-1 AUTOMATED'!O2762))</f>
        <v/>
      </c>
      <c r="R2762" s="41" t="str">
        <f>IF(Table1[[#This Row],[QUANTITY]]=0,"",Table1[[#This Row],[UNIT PRICE]]*Table1[[#This Row],[QUANTITY]])</f>
        <v/>
      </c>
      <c r="S2762" s="89"/>
      <c r="T2762" s="38"/>
      <c r="U2762" s="43"/>
      <c r="V2762" s="42" t="str">
        <f>IF(Table1[[#This Row],[DATE]]=0,"",YEAR(E2762))</f>
        <v/>
      </c>
      <c r="W2762" s="40" t="str">
        <f t="shared" si="90"/>
        <v/>
      </c>
      <c r="X2762" s="40" t="str">
        <f t="shared" si="91"/>
        <v/>
      </c>
      <c r="Y2762" s="40" t="str">
        <f>TEXT(Table1[[#This Row],[YEAR]],"0000")&amp;"-"&amp;Table1[[#This Row],[MONTH]]</f>
        <v>-</v>
      </c>
    </row>
    <row r="2763" spans="1:25" ht="15" customHeight="1" x14ac:dyDescent="0.35">
      <c r="A2763" s="24"/>
      <c r="B2763" s="38"/>
      <c r="C2763" s="38"/>
      <c r="D2763" s="38"/>
      <c r="E2763" s="37"/>
      <c r="F2763" s="38"/>
      <c r="G2763" s="198"/>
      <c r="H2763" s="198"/>
      <c r="I2763" s="39"/>
      <c r="J2763" s="38"/>
      <c r="K2763" s="198"/>
      <c r="L2763" s="38"/>
      <c r="M2763" s="38"/>
      <c r="N2763" s="38"/>
      <c r="O2763" s="38"/>
      <c r="P2763" s="40" t="str" cm="1">
        <f t="array" ref="P2763">IF(N2763="","",IFERROR(_xlfn.XLOOKUP(F2763&amp;"|"&amp;J2763&amp;"|"&amp;O2763,PRICES!$C$2:$C$659&amp;"|"&amp;PRICES!$B$2:$B$659&amp;"|"&amp;PRICES!$D$2:$D$659,PRICES!$E$2:$E$659),"Not Found"))</f>
        <v/>
      </c>
      <c r="Q2763" s="100" t="str">
        <f>IF(N2763=0,"",SUMIFS(PRICES!$G$2:$G$658,PRICES!$B$2:$B$658,'MAIN TABLE-1 AUTOMATED'!J2763,PRICES!$C$2:$C$658,'MAIN TABLE-1 AUTOMATED'!F2763,PRICES!$D$2:$D$658,'MAIN TABLE-1 AUTOMATED'!O2763))</f>
        <v/>
      </c>
      <c r="R2763" s="41" t="str">
        <f>IF(Table1[[#This Row],[QUANTITY]]=0,"",Table1[[#This Row],[UNIT PRICE]]*Table1[[#This Row],[QUANTITY]])</f>
        <v/>
      </c>
      <c r="S2763" s="89"/>
      <c r="T2763" s="38"/>
      <c r="U2763" s="43"/>
      <c r="V2763" s="42" t="str">
        <f>IF(Table1[[#This Row],[DATE]]=0,"",YEAR(E2763))</f>
        <v/>
      </c>
      <c r="W2763" s="40" t="str">
        <f t="shared" si="90"/>
        <v/>
      </c>
      <c r="X2763" s="40" t="str">
        <f t="shared" si="91"/>
        <v/>
      </c>
      <c r="Y2763" s="40" t="str">
        <f>TEXT(Table1[[#This Row],[YEAR]],"0000")&amp;"-"&amp;Table1[[#This Row],[MONTH]]</f>
        <v>-</v>
      </c>
    </row>
    <row r="2764" spans="1:25" ht="15" customHeight="1" x14ac:dyDescent="0.35">
      <c r="A2764" s="24"/>
      <c r="B2764" s="38"/>
      <c r="C2764" s="38"/>
      <c r="D2764" s="38"/>
      <c r="E2764" s="37"/>
      <c r="F2764" s="38"/>
      <c r="G2764" s="198"/>
      <c r="H2764" s="198"/>
      <c r="I2764" s="39"/>
      <c r="J2764" s="38"/>
      <c r="K2764" s="198"/>
      <c r="L2764" s="38"/>
      <c r="M2764" s="38"/>
      <c r="N2764" s="38"/>
      <c r="O2764" s="38"/>
      <c r="P2764" s="40" t="str" cm="1">
        <f t="array" ref="P2764">IF(N2764="","",IFERROR(_xlfn.XLOOKUP(F2764&amp;"|"&amp;J2764&amp;"|"&amp;O2764,PRICES!$C$2:$C$659&amp;"|"&amp;PRICES!$B$2:$B$659&amp;"|"&amp;PRICES!$D$2:$D$659,PRICES!$E$2:$E$659),"Not Found"))</f>
        <v/>
      </c>
      <c r="Q2764" s="100" t="str">
        <f>IF(N2764=0,"",SUMIFS(PRICES!$G$2:$G$658,PRICES!$B$2:$B$658,'MAIN TABLE-1 AUTOMATED'!J2764,PRICES!$C$2:$C$658,'MAIN TABLE-1 AUTOMATED'!F2764,PRICES!$D$2:$D$658,'MAIN TABLE-1 AUTOMATED'!O2764))</f>
        <v/>
      </c>
      <c r="R2764" s="41" t="str">
        <f>IF(Table1[[#This Row],[QUANTITY]]=0,"",Table1[[#This Row],[UNIT PRICE]]*Table1[[#This Row],[QUANTITY]])</f>
        <v/>
      </c>
      <c r="S2764" s="89"/>
      <c r="T2764" s="38"/>
      <c r="U2764" s="43"/>
      <c r="V2764" s="42" t="str">
        <f>IF(Table1[[#This Row],[DATE]]=0,"",YEAR(E2764))</f>
        <v/>
      </c>
      <c r="W2764" s="40" t="str">
        <f t="shared" si="90"/>
        <v/>
      </c>
      <c r="X2764" s="40" t="str">
        <f t="shared" si="91"/>
        <v/>
      </c>
      <c r="Y2764" s="40" t="str">
        <f>TEXT(Table1[[#This Row],[YEAR]],"0000")&amp;"-"&amp;Table1[[#This Row],[MONTH]]</f>
        <v>-</v>
      </c>
    </row>
    <row r="2765" spans="1:25" ht="15" customHeight="1" x14ac:dyDescent="0.35">
      <c r="A2765" s="24"/>
      <c r="B2765" s="38"/>
      <c r="C2765" s="38"/>
      <c r="D2765" s="38"/>
      <c r="E2765" s="37"/>
      <c r="F2765" s="38"/>
      <c r="G2765" s="198"/>
      <c r="H2765" s="198"/>
      <c r="I2765" s="39"/>
      <c r="J2765" s="38"/>
      <c r="K2765" s="198"/>
      <c r="L2765" s="38"/>
      <c r="M2765" s="38"/>
      <c r="N2765" s="38"/>
      <c r="O2765" s="38"/>
      <c r="P2765" s="40" t="str" cm="1">
        <f t="array" ref="P2765">IF(N2765="","",IFERROR(_xlfn.XLOOKUP(F2765&amp;"|"&amp;J2765&amp;"|"&amp;O2765,PRICES!$C$2:$C$659&amp;"|"&amp;PRICES!$B$2:$B$659&amp;"|"&amp;PRICES!$D$2:$D$659,PRICES!$E$2:$E$659),"Not Found"))</f>
        <v/>
      </c>
      <c r="Q2765" s="100" t="str">
        <f>IF(N2765=0,"",SUMIFS(PRICES!$G$2:$G$658,PRICES!$B$2:$B$658,'MAIN TABLE-1 AUTOMATED'!J2765,PRICES!$C$2:$C$658,'MAIN TABLE-1 AUTOMATED'!F2765,PRICES!$D$2:$D$658,'MAIN TABLE-1 AUTOMATED'!O2765))</f>
        <v/>
      </c>
      <c r="R2765" s="41" t="str">
        <f>IF(Table1[[#This Row],[QUANTITY]]=0,"",Table1[[#This Row],[UNIT PRICE]]*Table1[[#This Row],[QUANTITY]])</f>
        <v/>
      </c>
      <c r="S2765" s="89"/>
      <c r="T2765" s="38"/>
      <c r="U2765" s="43"/>
      <c r="V2765" s="42" t="str">
        <f>IF(Table1[[#This Row],[DATE]]=0,"",YEAR(E2765))</f>
        <v/>
      </c>
      <c r="W2765" s="40" t="str">
        <f t="shared" si="90"/>
        <v/>
      </c>
      <c r="X2765" s="40" t="str">
        <f t="shared" si="91"/>
        <v/>
      </c>
      <c r="Y2765" s="40" t="str">
        <f>TEXT(Table1[[#This Row],[YEAR]],"0000")&amp;"-"&amp;Table1[[#This Row],[MONTH]]</f>
        <v>-</v>
      </c>
    </row>
    <row r="2766" spans="1:25" ht="15" customHeight="1" x14ac:dyDescent="0.35">
      <c r="A2766" s="24"/>
      <c r="B2766" s="38"/>
      <c r="C2766" s="38"/>
      <c r="D2766" s="38"/>
      <c r="E2766" s="37"/>
      <c r="F2766" s="38"/>
      <c r="G2766" s="198"/>
      <c r="H2766" s="198"/>
      <c r="I2766" s="39"/>
      <c r="J2766" s="38"/>
      <c r="K2766" s="198"/>
      <c r="L2766" s="38"/>
      <c r="M2766" s="38"/>
      <c r="N2766" s="38"/>
      <c r="O2766" s="38"/>
      <c r="P2766" s="40" t="str" cm="1">
        <f t="array" ref="P2766">IF(N2766="","",IFERROR(_xlfn.XLOOKUP(F2766&amp;"|"&amp;J2766&amp;"|"&amp;O2766,PRICES!$C$2:$C$659&amp;"|"&amp;PRICES!$B$2:$B$659&amp;"|"&amp;PRICES!$D$2:$D$659,PRICES!$E$2:$E$659),"Not Found"))</f>
        <v/>
      </c>
      <c r="Q2766" s="100" t="str">
        <f>IF(N2766=0,"",SUMIFS(PRICES!$G$2:$G$658,PRICES!$B$2:$B$658,'MAIN TABLE-1 AUTOMATED'!J2766,PRICES!$C$2:$C$658,'MAIN TABLE-1 AUTOMATED'!F2766,PRICES!$D$2:$D$658,'MAIN TABLE-1 AUTOMATED'!O2766))</f>
        <v/>
      </c>
      <c r="R2766" s="41" t="str">
        <f>IF(Table1[[#This Row],[QUANTITY]]=0,"",Table1[[#This Row],[UNIT PRICE]]*Table1[[#This Row],[QUANTITY]])</f>
        <v/>
      </c>
      <c r="S2766" s="89"/>
      <c r="T2766" s="38"/>
      <c r="U2766" s="43"/>
      <c r="V2766" s="42" t="str">
        <f>IF(Table1[[#This Row],[DATE]]=0,"",YEAR(E2766))</f>
        <v/>
      </c>
      <c r="W2766" s="40" t="str">
        <f t="shared" si="90"/>
        <v/>
      </c>
      <c r="X2766" s="40" t="str">
        <f t="shared" si="91"/>
        <v/>
      </c>
      <c r="Y2766" s="40" t="str">
        <f>TEXT(Table1[[#This Row],[YEAR]],"0000")&amp;"-"&amp;Table1[[#This Row],[MONTH]]</f>
        <v>-</v>
      </c>
    </row>
    <row r="2767" spans="1:25" ht="15" customHeight="1" x14ac:dyDescent="0.35">
      <c r="A2767" s="24"/>
      <c r="B2767" s="38"/>
      <c r="C2767" s="38"/>
      <c r="D2767" s="38"/>
      <c r="E2767" s="37"/>
      <c r="F2767" s="38"/>
      <c r="G2767" s="198"/>
      <c r="H2767" s="198"/>
      <c r="I2767" s="39"/>
      <c r="J2767" s="38"/>
      <c r="K2767" s="198"/>
      <c r="L2767" s="38"/>
      <c r="M2767" s="38"/>
      <c r="N2767" s="38"/>
      <c r="O2767" s="38"/>
      <c r="P2767" s="40" t="str" cm="1">
        <f t="array" ref="P2767">IF(N2767="","",IFERROR(_xlfn.XLOOKUP(F2767&amp;"|"&amp;J2767&amp;"|"&amp;O2767,PRICES!$C$2:$C$659&amp;"|"&amp;PRICES!$B$2:$B$659&amp;"|"&amp;PRICES!$D$2:$D$659,PRICES!$E$2:$E$659),"Not Found"))</f>
        <v/>
      </c>
      <c r="Q2767" s="100" t="str">
        <f>IF(N2767=0,"",SUMIFS(PRICES!$G$2:$G$658,PRICES!$B$2:$B$658,'MAIN TABLE-1 AUTOMATED'!J2767,PRICES!$C$2:$C$658,'MAIN TABLE-1 AUTOMATED'!F2767,PRICES!$D$2:$D$658,'MAIN TABLE-1 AUTOMATED'!O2767))</f>
        <v/>
      </c>
      <c r="R2767" s="41" t="str">
        <f>IF(Table1[[#This Row],[QUANTITY]]=0,"",Table1[[#This Row],[UNIT PRICE]]*Table1[[#This Row],[QUANTITY]])</f>
        <v/>
      </c>
      <c r="S2767" s="89"/>
      <c r="T2767" s="38"/>
      <c r="U2767" s="43"/>
      <c r="V2767" s="42" t="str">
        <f>IF(Table1[[#This Row],[DATE]]=0,"",YEAR(E2767))</f>
        <v/>
      </c>
      <c r="W2767" s="40" t="str">
        <f t="shared" si="90"/>
        <v/>
      </c>
      <c r="X2767" s="40" t="str">
        <f t="shared" si="91"/>
        <v/>
      </c>
      <c r="Y2767" s="40" t="str">
        <f>TEXT(Table1[[#This Row],[YEAR]],"0000")&amp;"-"&amp;Table1[[#This Row],[MONTH]]</f>
        <v>-</v>
      </c>
    </row>
    <row r="2768" spans="1:25" ht="15" customHeight="1" x14ac:dyDescent="0.35">
      <c r="A2768" s="24"/>
      <c r="B2768" s="38"/>
      <c r="C2768" s="38"/>
      <c r="D2768" s="38"/>
      <c r="E2768" s="37"/>
      <c r="F2768" s="38"/>
      <c r="G2768" s="198"/>
      <c r="H2768" s="198"/>
      <c r="I2768" s="39"/>
      <c r="J2768" s="38"/>
      <c r="K2768" s="198"/>
      <c r="L2768" s="38"/>
      <c r="M2768" s="38"/>
      <c r="N2768" s="38"/>
      <c r="O2768" s="38"/>
      <c r="P2768" s="40" t="str" cm="1">
        <f t="array" ref="P2768">IF(N2768="","",IFERROR(_xlfn.XLOOKUP(F2768&amp;"|"&amp;J2768&amp;"|"&amp;O2768,PRICES!$C$2:$C$659&amp;"|"&amp;PRICES!$B$2:$B$659&amp;"|"&amp;PRICES!$D$2:$D$659,PRICES!$E$2:$E$659),"Not Found"))</f>
        <v/>
      </c>
      <c r="Q2768" s="100" t="str">
        <f>IF(N2768=0,"",SUMIFS(PRICES!$G$2:$G$658,PRICES!$B$2:$B$658,'MAIN TABLE-1 AUTOMATED'!J2768,PRICES!$C$2:$C$658,'MAIN TABLE-1 AUTOMATED'!F2768,PRICES!$D$2:$D$658,'MAIN TABLE-1 AUTOMATED'!O2768))</f>
        <v/>
      </c>
      <c r="R2768" s="41" t="str">
        <f>IF(Table1[[#This Row],[QUANTITY]]=0,"",Table1[[#This Row],[UNIT PRICE]]*Table1[[#This Row],[QUANTITY]])</f>
        <v/>
      </c>
      <c r="S2768" s="89"/>
      <c r="T2768" s="38"/>
      <c r="U2768" s="43"/>
      <c r="V2768" s="42" t="str">
        <f>IF(Table1[[#This Row],[DATE]]=0,"",YEAR(E2768))</f>
        <v/>
      </c>
      <c r="W2768" s="40" t="str">
        <f t="shared" si="90"/>
        <v/>
      </c>
      <c r="X2768" s="40" t="str">
        <f t="shared" si="91"/>
        <v/>
      </c>
      <c r="Y2768" s="40" t="str">
        <f>TEXT(Table1[[#This Row],[YEAR]],"0000")&amp;"-"&amp;Table1[[#This Row],[MONTH]]</f>
        <v>-</v>
      </c>
    </row>
    <row r="2769" spans="1:25" ht="15" customHeight="1" x14ac:dyDescent="0.35">
      <c r="A2769" s="24"/>
      <c r="B2769" s="38"/>
      <c r="C2769" s="38"/>
      <c r="D2769" s="38"/>
      <c r="E2769" s="37"/>
      <c r="F2769" s="38"/>
      <c r="G2769" s="198"/>
      <c r="H2769" s="198"/>
      <c r="I2769" s="39"/>
      <c r="J2769" s="38"/>
      <c r="K2769" s="198"/>
      <c r="L2769" s="38"/>
      <c r="M2769" s="38"/>
      <c r="N2769" s="38"/>
      <c r="O2769" s="38"/>
      <c r="P2769" s="40" t="str" cm="1">
        <f t="array" ref="P2769">IF(N2769="","",IFERROR(_xlfn.XLOOKUP(F2769&amp;"|"&amp;J2769&amp;"|"&amp;O2769,PRICES!$C$2:$C$659&amp;"|"&amp;PRICES!$B$2:$B$659&amp;"|"&amp;PRICES!$D$2:$D$659,PRICES!$E$2:$E$659),"Not Found"))</f>
        <v/>
      </c>
      <c r="Q2769" s="100" t="str">
        <f>IF(N2769=0,"",SUMIFS(PRICES!$G$2:$G$658,PRICES!$B$2:$B$658,'MAIN TABLE-1 AUTOMATED'!J2769,PRICES!$C$2:$C$658,'MAIN TABLE-1 AUTOMATED'!F2769,PRICES!$D$2:$D$658,'MAIN TABLE-1 AUTOMATED'!O2769))</f>
        <v/>
      </c>
      <c r="R2769" s="41" t="str">
        <f>IF(Table1[[#This Row],[QUANTITY]]=0,"",Table1[[#This Row],[UNIT PRICE]]*Table1[[#This Row],[QUANTITY]])</f>
        <v/>
      </c>
      <c r="S2769" s="89"/>
      <c r="T2769" s="38"/>
      <c r="U2769" s="43"/>
      <c r="V2769" s="42" t="str">
        <f>IF(Table1[[#This Row],[DATE]]=0,"",YEAR(E2769))</f>
        <v/>
      </c>
      <c r="W2769" s="40" t="str">
        <f t="shared" si="90"/>
        <v/>
      </c>
      <c r="X2769" s="40" t="str">
        <f t="shared" si="91"/>
        <v/>
      </c>
      <c r="Y2769" s="40" t="str">
        <f>TEXT(Table1[[#This Row],[YEAR]],"0000")&amp;"-"&amp;Table1[[#This Row],[MONTH]]</f>
        <v>-</v>
      </c>
    </row>
    <row r="2770" spans="1:25" ht="15" customHeight="1" x14ac:dyDescent="0.35">
      <c r="A2770" s="24"/>
      <c r="B2770" s="38"/>
      <c r="C2770" s="38"/>
      <c r="D2770" s="38"/>
      <c r="E2770" s="37"/>
      <c r="F2770" s="38"/>
      <c r="G2770" s="198"/>
      <c r="H2770" s="198"/>
      <c r="I2770" s="39"/>
      <c r="J2770" s="38"/>
      <c r="K2770" s="198"/>
      <c r="L2770" s="38"/>
      <c r="M2770" s="38"/>
      <c r="N2770" s="38"/>
      <c r="O2770" s="38"/>
      <c r="P2770" s="40" t="str" cm="1">
        <f t="array" ref="P2770">IF(N2770="","",IFERROR(_xlfn.XLOOKUP(F2770&amp;"|"&amp;J2770&amp;"|"&amp;O2770,PRICES!$C$2:$C$659&amp;"|"&amp;PRICES!$B$2:$B$659&amp;"|"&amp;PRICES!$D$2:$D$659,PRICES!$E$2:$E$659),"Not Found"))</f>
        <v/>
      </c>
      <c r="Q2770" s="100" t="str">
        <f>IF(N2770=0,"",SUMIFS(PRICES!$G$2:$G$658,PRICES!$B$2:$B$658,'MAIN TABLE-1 AUTOMATED'!J2770,PRICES!$C$2:$C$658,'MAIN TABLE-1 AUTOMATED'!F2770,PRICES!$D$2:$D$658,'MAIN TABLE-1 AUTOMATED'!O2770))</f>
        <v/>
      </c>
      <c r="R2770" s="41" t="str">
        <f>IF(Table1[[#This Row],[QUANTITY]]=0,"",Table1[[#This Row],[UNIT PRICE]]*Table1[[#This Row],[QUANTITY]])</f>
        <v/>
      </c>
      <c r="S2770" s="89"/>
      <c r="T2770" s="38"/>
      <c r="U2770" s="43"/>
      <c r="V2770" s="42" t="str">
        <f>IF(Table1[[#This Row],[DATE]]=0,"",YEAR(E2770))</f>
        <v/>
      </c>
      <c r="W2770" s="40" t="str">
        <f t="shared" si="90"/>
        <v/>
      </c>
      <c r="X2770" s="40" t="str">
        <f t="shared" si="91"/>
        <v/>
      </c>
      <c r="Y2770" s="40" t="str">
        <f>TEXT(Table1[[#This Row],[YEAR]],"0000")&amp;"-"&amp;Table1[[#This Row],[MONTH]]</f>
        <v>-</v>
      </c>
    </row>
    <row r="2771" spans="1:25" ht="15" customHeight="1" x14ac:dyDescent="0.35">
      <c r="A2771" s="24"/>
      <c r="B2771" s="38"/>
      <c r="C2771" s="38"/>
      <c r="D2771" s="38"/>
      <c r="E2771" s="37"/>
      <c r="F2771" s="38"/>
      <c r="G2771" s="198"/>
      <c r="H2771" s="198"/>
      <c r="I2771" s="39"/>
      <c r="J2771" s="38"/>
      <c r="K2771" s="198"/>
      <c r="L2771" s="38"/>
      <c r="M2771" s="38"/>
      <c r="N2771" s="38"/>
      <c r="O2771" s="38"/>
      <c r="P2771" s="40" t="str" cm="1">
        <f t="array" ref="P2771">IF(N2771="","",IFERROR(_xlfn.XLOOKUP(F2771&amp;"|"&amp;J2771&amp;"|"&amp;O2771,PRICES!$C$2:$C$659&amp;"|"&amp;PRICES!$B$2:$B$659&amp;"|"&amp;PRICES!$D$2:$D$659,PRICES!$E$2:$E$659),"Not Found"))</f>
        <v/>
      </c>
      <c r="Q2771" s="100" t="str">
        <f>IF(N2771=0,"",SUMIFS(PRICES!$G$2:$G$658,PRICES!$B$2:$B$658,'MAIN TABLE-1 AUTOMATED'!J2771,PRICES!$C$2:$C$658,'MAIN TABLE-1 AUTOMATED'!F2771,PRICES!$D$2:$D$658,'MAIN TABLE-1 AUTOMATED'!O2771))</f>
        <v/>
      </c>
      <c r="R2771" s="41" t="str">
        <f>IF(Table1[[#This Row],[QUANTITY]]=0,"",Table1[[#This Row],[UNIT PRICE]]*Table1[[#This Row],[QUANTITY]])</f>
        <v/>
      </c>
      <c r="S2771" s="89"/>
      <c r="T2771" s="38"/>
      <c r="U2771" s="43"/>
      <c r="V2771" s="42" t="str">
        <f>IF(Table1[[#This Row],[DATE]]=0,"",YEAR(E2771))</f>
        <v/>
      </c>
      <c r="W2771" s="40" t="str">
        <f t="shared" si="90"/>
        <v/>
      </c>
      <c r="X2771" s="40" t="str">
        <f t="shared" si="91"/>
        <v/>
      </c>
      <c r="Y2771" s="40" t="str">
        <f>TEXT(Table1[[#This Row],[YEAR]],"0000")&amp;"-"&amp;Table1[[#This Row],[MONTH]]</f>
        <v>-</v>
      </c>
    </row>
    <row r="2772" spans="1:25" ht="15" customHeight="1" x14ac:dyDescent="0.35">
      <c r="A2772" s="24"/>
      <c r="B2772" s="38"/>
      <c r="C2772" s="38"/>
      <c r="D2772" s="38"/>
      <c r="E2772" s="37"/>
      <c r="F2772" s="38"/>
      <c r="G2772" s="198"/>
      <c r="H2772" s="198"/>
      <c r="I2772" s="39"/>
      <c r="J2772" s="38"/>
      <c r="K2772" s="198"/>
      <c r="L2772" s="38"/>
      <c r="M2772" s="38"/>
      <c r="N2772" s="38"/>
      <c r="O2772" s="38"/>
      <c r="P2772" s="40" t="str" cm="1">
        <f t="array" ref="P2772">IF(N2772="","",IFERROR(_xlfn.XLOOKUP(F2772&amp;"|"&amp;J2772&amp;"|"&amp;O2772,PRICES!$C$2:$C$659&amp;"|"&amp;PRICES!$B$2:$B$659&amp;"|"&amp;PRICES!$D$2:$D$659,PRICES!$E$2:$E$659),"Not Found"))</f>
        <v/>
      </c>
      <c r="Q2772" s="100" t="str">
        <f>IF(N2772=0,"",SUMIFS(PRICES!$G$2:$G$658,PRICES!$B$2:$B$658,'MAIN TABLE-1 AUTOMATED'!J2772,PRICES!$C$2:$C$658,'MAIN TABLE-1 AUTOMATED'!F2772,PRICES!$D$2:$D$658,'MAIN TABLE-1 AUTOMATED'!O2772))</f>
        <v/>
      </c>
      <c r="R2772" s="41" t="str">
        <f>IF(Table1[[#This Row],[QUANTITY]]=0,"",Table1[[#This Row],[UNIT PRICE]]*Table1[[#This Row],[QUANTITY]])</f>
        <v/>
      </c>
      <c r="S2772" s="89"/>
      <c r="T2772" s="38"/>
      <c r="U2772" s="43"/>
      <c r="V2772" s="42" t="str">
        <f>IF(Table1[[#This Row],[DATE]]=0,"",YEAR(E2772))</f>
        <v/>
      </c>
      <c r="W2772" s="40" t="str">
        <f t="shared" si="90"/>
        <v/>
      </c>
      <c r="X2772" s="40" t="str">
        <f t="shared" si="91"/>
        <v/>
      </c>
      <c r="Y2772" s="40" t="str">
        <f>TEXT(Table1[[#This Row],[YEAR]],"0000")&amp;"-"&amp;Table1[[#This Row],[MONTH]]</f>
        <v>-</v>
      </c>
    </row>
    <row r="2773" spans="1:25" ht="15" customHeight="1" x14ac:dyDescent="0.35">
      <c r="A2773" s="24"/>
      <c r="B2773" s="38"/>
      <c r="C2773" s="38"/>
      <c r="D2773" s="38"/>
      <c r="E2773" s="37"/>
      <c r="F2773" s="38"/>
      <c r="G2773" s="198"/>
      <c r="H2773" s="198"/>
      <c r="I2773" s="39"/>
      <c r="J2773" s="38"/>
      <c r="K2773" s="198"/>
      <c r="L2773" s="38"/>
      <c r="M2773" s="38"/>
      <c r="N2773" s="38"/>
      <c r="O2773" s="38"/>
      <c r="P2773" s="40" t="str" cm="1">
        <f t="array" ref="P2773">IF(N2773="","",IFERROR(_xlfn.XLOOKUP(F2773&amp;"|"&amp;J2773&amp;"|"&amp;O2773,PRICES!$C$2:$C$659&amp;"|"&amp;PRICES!$B$2:$B$659&amp;"|"&amp;PRICES!$D$2:$D$659,PRICES!$E$2:$E$659),"Not Found"))</f>
        <v/>
      </c>
      <c r="Q2773" s="100" t="str">
        <f>IF(N2773=0,"",SUMIFS(PRICES!$G$2:$G$658,PRICES!$B$2:$B$658,'MAIN TABLE-1 AUTOMATED'!J2773,PRICES!$C$2:$C$658,'MAIN TABLE-1 AUTOMATED'!F2773,PRICES!$D$2:$D$658,'MAIN TABLE-1 AUTOMATED'!O2773))</f>
        <v/>
      </c>
      <c r="R2773" s="41" t="str">
        <f>IF(Table1[[#This Row],[QUANTITY]]=0,"",Table1[[#This Row],[UNIT PRICE]]*Table1[[#This Row],[QUANTITY]])</f>
        <v/>
      </c>
      <c r="S2773" s="89"/>
      <c r="T2773" s="38"/>
      <c r="U2773" s="43"/>
      <c r="V2773" s="42" t="str">
        <f>IF(Table1[[#This Row],[DATE]]=0,"",YEAR(E2773))</f>
        <v/>
      </c>
      <c r="W2773" s="40" t="str">
        <f t="shared" si="90"/>
        <v/>
      </c>
      <c r="X2773" s="40" t="str">
        <f t="shared" si="91"/>
        <v/>
      </c>
      <c r="Y2773" s="40" t="str">
        <f>TEXT(Table1[[#This Row],[YEAR]],"0000")&amp;"-"&amp;Table1[[#This Row],[MONTH]]</f>
        <v>-</v>
      </c>
    </row>
    <row r="2774" spans="1:25" ht="15" customHeight="1" x14ac:dyDescent="0.35">
      <c r="A2774" s="24"/>
      <c r="B2774" s="38"/>
      <c r="C2774" s="38"/>
      <c r="D2774" s="38"/>
      <c r="E2774" s="37"/>
      <c r="F2774" s="38"/>
      <c r="G2774" s="198"/>
      <c r="H2774" s="198"/>
      <c r="I2774" s="39"/>
      <c r="J2774" s="38"/>
      <c r="K2774" s="198"/>
      <c r="L2774" s="38"/>
      <c r="M2774" s="38"/>
      <c r="N2774" s="38"/>
      <c r="O2774" s="38"/>
      <c r="P2774" s="40" t="str" cm="1">
        <f t="array" ref="P2774">IF(N2774="","",IFERROR(_xlfn.XLOOKUP(F2774&amp;"|"&amp;J2774&amp;"|"&amp;O2774,PRICES!$C$2:$C$659&amp;"|"&amp;PRICES!$B$2:$B$659&amp;"|"&amp;PRICES!$D$2:$D$659,PRICES!$E$2:$E$659),"Not Found"))</f>
        <v/>
      </c>
      <c r="Q2774" s="100" t="str">
        <f>IF(N2774=0,"",SUMIFS(PRICES!$G$2:$G$658,PRICES!$B$2:$B$658,'MAIN TABLE-1 AUTOMATED'!J2774,PRICES!$C$2:$C$658,'MAIN TABLE-1 AUTOMATED'!F2774,PRICES!$D$2:$D$658,'MAIN TABLE-1 AUTOMATED'!O2774))</f>
        <v/>
      </c>
      <c r="R2774" s="41" t="str">
        <f>IF(Table1[[#This Row],[QUANTITY]]=0,"",Table1[[#This Row],[UNIT PRICE]]*Table1[[#This Row],[QUANTITY]])</f>
        <v/>
      </c>
      <c r="S2774" s="89"/>
      <c r="T2774" s="38"/>
      <c r="U2774" s="43"/>
      <c r="V2774" s="42" t="str">
        <f>IF(Table1[[#This Row],[DATE]]=0,"",YEAR(E2774))</f>
        <v/>
      </c>
      <c r="W2774" s="40" t="str">
        <f t="shared" si="90"/>
        <v/>
      </c>
      <c r="X2774" s="40" t="str">
        <f t="shared" si="91"/>
        <v/>
      </c>
      <c r="Y2774" s="40" t="str">
        <f>TEXT(Table1[[#This Row],[YEAR]],"0000")&amp;"-"&amp;Table1[[#This Row],[MONTH]]</f>
        <v>-</v>
      </c>
    </row>
    <row r="2775" spans="1:25" ht="15" customHeight="1" x14ac:dyDescent="0.35">
      <c r="A2775" s="24"/>
      <c r="B2775" s="38"/>
      <c r="C2775" s="38"/>
      <c r="D2775" s="38"/>
      <c r="E2775" s="37"/>
      <c r="F2775" s="38"/>
      <c r="G2775" s="198"/>
      <c r="H2775" s="198"/>
      <c r="I2775" s="39"/>
      <c r="J2775" s="38"/>
      <c r="K2775" s="198"/>
      <c r="L2775" s="38"/>
      <c r="M2775" s="38"/>
      <c r="N2775" s="38"/>
      <c r="O2775" s="38"/>
      <c r="P2775" s="40" t="str" cm="1">
        <f t="array" ref="P2775">IF(N2775="","",IFERROR(_xlfn.XLOOKUP(F2775&amp;"|"&amp;J2775&amp;"|"&amp;O2775,PRICES!$C$2:$C$659&amp;"|"&amp;PRICES!$B$2:$B$659&amp;"|"&amp;PRICES!$D$2:$D$659,PRICES!$E$2:$E$659),"Not Found"))</f>
        <v/>
      </c>
      <c r="Q2775" s="100" t="str">
        <f>IF(N2775=0,"",SUMIFS(PRICES!$G$2:$G$658,PRICES!$B$2:$B$658,'MAIN TABLE-1 AUTOMATED'!J2775,PRICES!$C$2:$C$658,'MAIN TABLE-1 AUTOMATED'!F2775,PRICES!$D$2:$D$658,'MAIN TABLE-1 AUTOMATED'!O2775))</f>
        <v/>
      </c>
      <c r="R2775" s="41" t="str">
        <f>IF(Table1[[#This Row],[QUANTITY]]=0,"",Table1[[#This Row],[UNIT PRICE]]*Table1[[#This Row],[QUANTITY]])</f>
        <v/>
      </c>
      <c r="S2775" s="89"/>
      <c r="T2775" s="38"/>
      <c r="U2775" s="43"/>
      <c r="V2775" s="42" t="str">
        <f>IF(Table1[[#This Row],[DATE]]=0,"",YEAR(E2775))</f>
        <v/>
      </c>
      <c r="W2775" s="40" t="str">
        <f t="shared" si="90"/>
        <v/>
      </c>
      <c r="X2775" s="40" t="str">
        <f t="shared" si="91"/>
        <v/>
      </c>
      <c r="Y2775" s="40" t="str">
        <f>TEXT(Table1[[#This Row],[YEAR]],"0000")&amp;"-"&amp;Table1[[#This Row],[MONTH]]</f>
        <v>-</v>
      </c>
    </row>
    <row r="2776" spans="1:25" ht="15" customHeight="1" x14ac:dyDescent="0.35">
      <c r="A2776" s="24"/>
      <c r="B2776" s="38"/>
      <c r="C2776" s="38"/>
      <c r="D2776" s="38"/>
      <c r="E2776" s="37"/>
      <c r="F2776" s="38"/>
      <c r="G2776" s="198"/>
      <c r="H2776" s="198"/>
      <c r="I2776" s="39"/>
      <c r="J2776" s="38"/>
      <c r="K2776" s="198"/>
      <c r="L2776" s="38"/>
      <c r="M2776" s="38"/>
      <c r="N2776" s="38"/>
      <c r="O2776" s="38"/>
      <c r="P2776" s="40" t="str" cm="1">
        <f t="array" ref="P2776">IF(N2776="","",IFERROR(_xlfn.XLOOKUP(F2776&amp;"|"&amp;J2776&amp;"|"&amp;O2776,PRICES!$C$2:$C$659&amp;"|"&amp;PRICES!$B$2:$B$659&amp;"|"&amp;PRICES!$D$2:$D$659,PRICES!$E$2:$E$659),"Not Found"))</f>
        <v/>
      </c>
      <c r="Q2776" s="100" t="str">
        <f>IF(N2776=0,"",SUMIFS(PRICES!$G$2:$G$658,PRICES!$B$2:$B$658,'MAIN TABLE-1 AUTOMATED'!J2776,PRICES!$C$2:$C$658,'MAIN TABLE-1 AUTOMATED'!F2776,PRICES!$D$2:$D$658,'MAIN TABLE-1 AUTOMATED'!O2776))</f>
        <v/>
      </c>
      <c r="R2776" s="41" t="str">
        <f>IF(Table1[[#This Row],[QUANTITY]]=0,"",Table1[[#This Row],[UNIT PRICE]]*Table1[[#This Row],[QUANTITY]])</f>
        <v/>
      </c>
      <c r="S2776" s="89"/>
      <c r="T2776" s="38"/>
      <c r="U2776" s="43"/>
      <c r="V2776" s="42" t="str">
        <f>IF(Table1[[#This Row],[DATE]]=0,"",YEAR(E2776))</f>
        <v/>
      </c>
      <c r="W2776" s="40" t="str">
        <f t="shared" si="90"/>
        <v/>
      </c>
      <c r="X2776" s="40" t="str">
        <f t="shared" si="91"/>
        <v/>
      </c>
      <c r="Y2776" s="40" t="str">
        <f>TEXT(Table1[[#This Row],[YEAR]],"0000")&amp;"-"&amp;Table1[[#This Row],[MONTH]]</f>
        <v>-</v>
      </c>
    </row>
    <row r="2777" spans="1:25" ht="15" customHeight="1" x14ac:dyDescent="0.35">
      <c r="A2777" s="24"/>
      <c r="B2777" s="38"/>
      <c r="C2777" s="38"/>
      <c r="D2777" s="38"/>
      <c r="E2777" s="37"/>
      <c r="F2777" s="38"/>
      <c r="G2777" s="198"/>
      <c r="H2777" s="198"/>
      <c r="I2777" s="39"/>
      <c r="J2777" s="38"/>
      <c r="K2777" s="198"/>
      <c r="L2777" s="38"/>
      <c r="M2777" s="38"/>
      <c r="N2777" s="38"/>
      <c r="O2777" s="38"/>
      <c r="P2777" s="40" t="str" cm="1">
        <f t="array" ref="P2777">IF(N2777="","",IFERROR(_xlfn.XLOOKUP(F2777&amp;"|"&amp;J2777&amp;"|"&amp;O2777,PRICES!$C$2:$C$659&amp;"|"&amp;PRICES!$B$2:$B$659&amp;"|"&amp;PRICES!$D$2:$D$659,PRICES!$E$2:$E$659),"Not Found"))</f>
        <v/>
      </c>
      <c r="Q2777" s="100" t="str">
        <f>IF(N2777=0,"",SUMIFS(PRICES!$G$2:$G$658,PRICES!$B$2:$B$658,'MAIN TABLE-1 AUTOMATED'!J2777,PRICES!$C$2:$C$658,'MAIN TABLE-1 AUTOMATED'!F2777,PRICES!$D$2:$D$658,'MAIN TABLE-1 AUTOMATED'!O2777))</f>
        <v/>
      </c>
      <c r="R2777" s="41" t="str">
        <f>IF(Table1[[#This Row],[QUANTITY]]=0,"",Table1[[#This Row],[UNIT PRICE]]*Table1[[#This Row],[QUANTITY]])</f>
        <v/>
      </c>
      <c r="S2777" s="89"/>
      <c r="T2777" s="38"/>
      <c r="U2777" s="43"/>
      <c r="V2777" s="42" t="str">
        <f>IF(Table1[[#This Row],[DATE]]=0,"",YEAR(E2777))</f>
        <v/>
      </c>
      <c r="W2777" s="40" t="str">
        <f t="shared" si="90"/>
        <v/>
      </c>
      <c r="X2777" s="40" t="str">
        <f t="shared" si="91"/>
        <v/>
      </c>
      <c r="Y2777" s="40" t="str">
        <f>TEXT(Table1[[#This Row],[YEAR]],"0000")&amp;"-"&amp;Table1[[#This Row],[MONTH]]</f>
        <v>-</v>
      </c>
    </row>
    <row r="2778" spans="1:25" ht="15" customHeight="1" x14ac:dyDescent="0.35">
      <c r="A2778" s="24"/>
      <c r="B2778" s="38"/>
      <c r="C2778" s="38"/>
      <c r="D2778" s="38"/>
      <c r="E2778" s="37"/>
      <c r="F2778" s="38"/>
      <c r="G2778" s="198"/>
      <c r="H2778" s="198"/>
      <c r="I2778" s="39"/>
      <c r="J2778" s="38"/>
      <c r="K2778" s="198"/>
      <c r="L2778" s="38"/>
      <c r="M2778" s="38"/>
      <c r="N2778" s="38"/>
      <c r="O2778" s="38"/>
      <c r="P2778" s="40" t="str" cm="1">
        <f t="array" ref="P2778">IF(N2778="","",IFERROR(_xlfn.XLOOKUP(F2778&amp;"|"&amp;J2778&amp;"|"&amp;O2778,PRICES!$C$2:$C$659&amp;"|"&amp;PRICES!$B$2:$B$659&amp;"|"&amp;PRICES!$D$2:$D$659,PRICES!$E$2:$E$659),"Not Found"))</f>
        <v/>
      </c>
      <c r="Q2778" s="100" t="str">
        <f>IF(N2778=0,"",SUMIFS(PRICES!$G$2:$G$658,PRICES!$B$2:$B$658,'MAIN TABLE-1 AUTOMATED'!J2778,PRICES!$C$2:$C$658,'MAIN TABLE-1 AUTOMATED'!F2778,PRICES!$D$2:$D$658,'MAIN TABLE-1 AUTOMATED'!O2778))</f>
        <v/>
      </c>
      <c r="R2778" s="41" t="str">
        <f>IF(Table1[[#This Row],[QUANTITY]]=0,"",Table1[[#This Row],[UNIT PRICE]]*Table1[[#This Row],[QUANTITY]])</f>
        <v/>
      </c>
      <c r="S2778" s="89"/>
      <c r="T2778" s="38"/>
      <c r="U2778" s="43"/>
      <c r="V2778" s="42" t="str">
        <f>IF(Table1[[#This Row],[DATE]]=0,"",YEAR(E2778))</f>
        <v/>
      </c>
      <c r="W2778" s="40" t="str">
        <f t="shared" si="90"/>
        <v/>
      </c>
      <c r="X2778" s="40" t="str">
        <f t="shared" si="91"/>
        <v/>
      </c>
      <c r="Y2778" s="40" t="str">
        <f>TEXT(Table1[[#This Row],[YEAR]],"0000")&amp;"-"&amp;Table1[[#This Row],[MONTH]]</f>
        <v>-</v>
      </c>
    </row>
    <row r="2779" spans="1:25" ht="15" customHeight="1" x14ac:dyDescent="0.35">
      <c r="A2779" s="24"/>
      <c r="B2779" s="38"/>
      <c r="C2779" s="38"/>
      <c r="D2779" s="38"/>
      <c r="E2779" s="37"/>
      <c r="F2779" s="38"/>
      <c r="G2779" s="198"/>
      <c r="H2779" s="198"/>
      <c r="I2779" s="39"/>
      <c r="J2779" s="38"/>
      <c r="K2779" s="198"/>
      <c r="L2779" s="38"/>
      <c r="M2779" s="38"/>
      <c r="N2779" s="38"/>
      <c r="O2779" s="38"/>
      <c r="P2779" s="40" t="str" cm="1">
        <f t="array" ref="P2779">IF(N2779="","",IFERROR(_xlfn.XLOOKUP(F2779&amp;"|"&amp;J2779&amp;"|"&amp;O2779,PRICES!$C$2:$C$659&amp;"|"&amp;PRICES!$B$2:$B$659&amp;"|"&amp;PRICES!$D$2:$D$659,PRICES!$E$2:$E$659),"Not Found"))</f>
        <v/>
      </c>
      <c r="Q2779" s="100" t="str">
        <f>IF(N2779=0,"",SUMIFS(PRICES!$G$2:$G$658,PRICES!$B$2:$B$658,'MAIN TABLE-1 AUTOMATED'!J2779,PRICES!$C$2:$C$658,'MAIN TABLE-1 AUTOMATED'!F2779,PRICES!$D$2:$D$658,'MAIN TABLE-1 AUTOMATED'!O2779))</f>
        <v/>
      </c>
      <c r="R2779" s="41" t="str">
        <f>IF(Table1[[#This Row],[QUANTITY]]=0,"",Table1[[#This Row],[UNIT PRICE]]*Table1[[#This Row],[QUANTITY]])</f>
        <v/>
      </c>
      <c r="S2779" s="89"/>
      <c r="T2779" s="38"/>
      <c r="U2779" s="43"/>
      <c r="V2779" s="42" t="str">
        <f>IF(Table1[[#This Row],[DATE]]=0,"",YEAR(E2779))</f>
        <v/>
      </c>
      <c r="W2779" s="40" t="str">
        <f t="shared" si="90"/>
        <v/>
      </c>
      <c r="X2779" s="40" t="str">
        <f t="shared" si="91"/>
        <v/>
      </c>
      <c r="Y2779" s="40" t="str">
        <f>TEXT(Table1[[#This Row],[YEAR]],"0000")&amp;"-"&amp;Table1[[#This Row],[MONTH]]</f>
        <v>-</v>
      </c>
    </row>
    <row r="2780" spans="1:25" ht="15" customHeight="1" x14ac:dyDescent="0.35">
      <c r="A2780" s="24"/>
      <c r="B2780" s="38"/>
      <c r="C2780" s="38"/>
      <c r="D2780" s="38"/>
      <c r="E2780" s="37"/>
      <c r="F2780" s="38"/>
      <c r="G2780" s="198"/>
      <c r="H2780" s="198"/>
      <c r="I2780" s="39"/>
      <c r="J2780" s="38"/>
      <c r="K2780" s="198"/>
      <c r="L2780" s="38"/>
      <c r="M2780" s="38"/>
      <c r="N2780" s="38"/>
      <c r="O2780" s="38"/>
      <c r="P2780" s="40" t="str" cm="1">
        <f t="array" ref="P2780">IF(N2780="","",IFERROR(_xlfn.XLOOKUP(F2780&amp;"|"&amp;J2780&amp;"|"&amp;O2780,PRICES!$C$2:$C$659&amp;"|"&amp;PRICES!$B$2:$B$659&amp;"|"&amp;PRICES!$D$2:$D$659,PRICES!$E$2:$E$659),"Not Found"))</f>
        <v/>
      </c>
      <c r="Q2780" s="100" t="str">
        <f>IF(N2780=0,"",SUMIFS(PRICES!$G$2:$G$658,PRICES!$B$2:$B$658,'MAIN TABLE-1 AUTOMATED'!J2780,PRICES!$C$2:$C$658,'MAIN TABLE-1 AUTOMATED'!F2780,PRICES!$D$2:$D$658,'MAIN TABLE-1 AUTOMATED'!O2780))</f>
        <v/>
      </c>
      <c r="R2780" s="41" t="str">
        <f>IF(Table1[[#This Row],[QUANTITY]]=0,"",Table1[[#This Row],[UNIT PRICE]]*Table1[[#This Row],[QUANTITY]])</f>
        <v/>
      </c>
      <c r="S2780" s="89"/>
      <c r="T2780" s="38"/>
      <c r="U2780" s="43"/>
      <c r="V2780" s="42" t="str">
        <f>IF(Table1[[#This Row],[DATE]]=0,"",YEAR(E2780))</f>
        <v/>
      </c>
      <c r="W2780" s="40" t="str">
        <f t="shared" si="90"/>
        <v/>
      </c>
      <c r="X2780" s="40" t="str">
        <f t="shared" si="91"/>
        <v/>
      </c>
      <c r="Y2780" s="40" t="str">
        <f>TEXT(Table1[[#This Row],[YEAR]],"0000")&amp;"-"&amp;Table1[[#This Row],[MONTH]]</f>
        <v>-</v>
      </c>
    </row>
    <row r="2781" spans="1:25" ht="15" customHeight="1" x14ac:dyDescent="0.35">
      <c r="A2781" s="24"/>
      <c r="B2781" s="38"/>
      <c r="C2781" s="38"/>
      <c r="D2781" s="38"/>
      <c r="E2781" s="37"/>
      <c r="F2781" s="38"/>
      <c r="G2781" s="198"/>
      <c r="H2781" s="198"/>
      <c r="I2781" s="39"/>
      <c r="J2781" s="38"/>
      <c r="K2781" s="198"/>
      <c r="L2781" s="38"/>
      <c r="M2781" s="38"/>
      <c r="N2781" s="38"/>
      <c r="O2781" s="38"/>
      <c r="P2781" s="40" t="str" cm="1">
        <f t="array" ref="P2781">IF(N2781="","",IFERROR(_xlfn.XLOOKUP(F2781&amp;"|"&amp;J2781&amp;"|"&amp;O2781,PRICES!$C$2:$C$659&amp;"|"&amp;PRICES!$B$2:$B$659&amp;"|"&amp;PRICES!$D$2:$D$659,PRICES!$E$2:$E$659),"Not Found"))</f>
        <v/>
      </c>
      <c r="Q2781" s="100" t="str">
        <f>IF(N2781=0,"",SUMIFS(PRICES!$G$2:$G$658,PRICES!$B$2:$B$658,'MAIN TABLE-1 AUTOMATED'!J2781,PRICES!$C$2:$C$658,'MAIN TABLE-1 AUTOMATED'!F2781,PRICES!$D$2:$D$658,'MAIN TABLE-1 AUTOMATED'!O2781))</f>
        <v/>
      </c>
      <c r="R2781" s="41" t="str">
        <f>IF(Table1[[#This Row],[QUANTITY]]=0,"",Table1[[#This Row],[UNIT PRICE]]*Table1[[#This Row],[QUANTITY]])</f>
        <v/>
      </c>
      <c r="S2781" s="89"/>
      <c r="T2781" s="38"/>
      <c r="U2781" s="43"/>
      <c r="V2781" s="42" t="str">
        <f>IF(Table1[[#This Row],[DATE]]=0,"",YEAR(E2781))</f>
        <v/>
      </c>
      <c r="W2781" s="40" t="str">
        <f t="shared" si="90"/>
        <v/>
      </c>
      <c r="X2781" s="40" t="str">
        <f t="shared" si="91"/>
        <v/>
      </c>
      <c r="Y2781" s="40" t="str">
        <f>TEXT(Table1[[#This Row],[YEAR]],"0000")&amp;"-"&amp;Table1[[#This Row],[MONTH]]</f>
        <v>-</v>
      </c>
    </row>
    <row r="2782" spans="1:25" ht="15" customHeight="1" x14ac:dyDescent="0.35">
      <c r="A2782" s="24"/>
      <c r="B2782" s="38"/>
      <c r="C2782" s="38"/>
      <c r="D2782" s="38"/>
      <c r="E2782" s="37"/>
      <c r="F2782" s="38"/>
      <c r="G2782" s="198"/>
      <c r="H2782" s="198"/>
      <c r="I2782" s="39"/>
      <c r="J2782" s="38"/>
      <c r="K2782" s="198"/>
      <c r="L2782" s="38"/>
      <c r="M2782" s="38"/>
      <c r="N2782" s="38"/>
      <c r="O2782" s="38"/>
      <c r="P2782" s="40" t="str" cm="1">
        <f t="array" ref="P2782">IF(N2782="","",IFERROR(_xlfn.XLOOKUP(F2782&amp;"|"&amp;J2782&amp;"|"&amp;O2782,PRICES!$C$2:$C$659&amp;"|"&amp;PRICES!$B$2:$B$659&amp;"|"&amp;PRICES!$D$2:$D$659,PRICES!$E$2:$E$659),"Not Found"))</f>
        <v/>
      </c>
      <c r="Q2782" s="100" t="str">
        <f>IF(N2782=0,"",SUMIFS(PRICES!$G$2:$G$658,PRICES!$B$2:$B$658,'MAIN TABLE-1 AUTOMATED'!J2782,PRICES!$C$2:$C$658,'MAIN TABLE-1 AUTOMATED'!F2782,PRICES!$D$2:$D$658,'MAIN TABLE-1 AUTOMATED'!O2782))</f>
        <v/>
      </c>
      <c r="R2782" s="41" t="str">
        <f>IF(Table1[[#This Row],[QUANTITY]]=0,"",Table1[[#This Row],[UNIT PRICE]]*Table1[[#This Row],[QUANTITY]])</f>
        <v/>
      </c>
      <c r="S2782" s="89"/>
      <c r="T2782" s="38"/>
      <c r="U2782" s="43"/>
      <c r="V2782" s="42" t="str">
        <f>IF(Table1[[#This Row],[DATE]]=0,"",YEAR(E2782))</f>
        <v/>
      </c>
      <c r="W2782" s="40" t="str">
        <f t="shared" si="90"/>
        <v/>
      </c>
      <c r="X2782" s="40" t="str">
        <f t="shared" si="91"/>
        <v/>
      </c>
      <c r="Y2782" s="40" t="str">
        <f>TEXT(Table1[[#This Row],[YEAR]],"0000")&amp;"-"&amp;Table1[[#This Row],[MONTH]]</f>
        <v>-</v>
      </c>
    </row>
    <row r="2783" spans="1:25" ht="15" customHeight="1" x14ac:dyDescent="0.35">
      <c r="A2783" s="24"/>
      <c r="B2783" s="38"/>
      <c r="C2783" s="38"/>
      <c r="D2783" s="38"/>
      <c r="E2783" s="37"/>
      <c r="F2783" s="38"/>
      <c r="G2783" s="198"/>
      <c r="H2783" s="198"/>
      <c r="I2783" s="39"/>
      <c r="J2783" s="38"/>
      <c r="K2783" s="198"/>
      <c r="L2783" s="38"/>
      <c r="M2783" s="38"/>
      <c r="N2783" s="38"/>
      <c r="O2783" s="38"/>
      <c r="P2783" s="40" t="str" cm="1">
        <f t="array" ref="P2783">IF(N2783="","",IFERROR(_xlfn.XLOOKUP(F2783&amp;"|"&amp;J2783&amp;"|"&amp;O2783,PRICES!$C$2:$C$659&amp;"|"&amp;PRICES!$B$2:$B$659&amp;"|"&amp;PRICES!$D$2:$D$659,PRICES!$E$2:$E$659),"Not Found"))</f>
        <v/>
      </c>
      <c r="Q2783" s="100" t="str">
        <f>IF(N2783=0,"",SUMIFS(PRICES!$G$2:$G$658,PRICES!$B$2:$B$658,'MAIN TABLE-1 AUTOMATED'!J2783,PRICES!$C$2:$C$658,'MAIN TABLE-1 AUTOMATED'!F2783,PRICES!$D$2:$D$658,'MAIN TABLE-1 AUTOMATED'!O2783))</f>
        <v/>
      </c>
      <c r="R2783" s="41" t="str">
        <f>IF(Table1[[#This Row],[QUANTITY]]=0,"",Table1[[#This Row],[UNIT PRICE]]*Table1[[#This Row],[QUANTITY]])</f>
        <v/>
      </c>
      <c r="S2783" s="89"/>
      <c r="T2783" s="38"/>
      <c r="U2783" s="43"/>
      <c r="V2783" s="42" t="str">
        <f>IF(Table1[[#This Row],[DATE]]=0,"",YEAR(E2783))</f>
        <v/>
      </c>
      <c r="W2783" s="40" t="str">
        <f t="shared" si="90"/>
        <v/>
      </c>
      <c r="X2783" s="40" t="str">
        <f t="shared" si="91"/>
        <v/>
      </c>
      <c r="Y2783" s="40" t="str">
        <f>TEXT(Table1[[#This Row],[YEAR]],"0000")&amp;"-"&amp;Table1[[#This Row],[MONTH]]</f>
        <v>-</v>
      </c>
    </row>
    <row r="2784" spans="1:25" ht="15" customHeight="1" x14ac:dyDescent="0.35">
      <c r="A2784" s="24"/>
      <c r="B2784" s="38"/>
      <c r="C2784" s="38"/>
      <c r="D2784" s="38"/>
      <c r="E2784" s="37"/>
      <c r="F2784" s="38"/>
      <c r="G2784" s="198"/>
      <c r="H2784" s="198"/>
      <c r="I2784" s="39"/>
      <c r="J2784" s="38"/>
      <c r="K2784" s="198"/>
      <c r="L2784" s="38"/>
      <c r="M2784" s="38"/>
      <c r="N2784" s="38"/>
      <c r="O2784" s="38"/>
      <c r="P2784" s="40" t="str" cm="1">
        <f t="array" ref="P2784">IF(N2784="","",IFERROR(_xlfn.XLOOKUP(F2784&amp;"|"&amp;J2784&amp;"|"&amp;O2784,PRICES!$C$2:$C$659&amp;"|"&amp;PRICES!$B$2:$B$659&amp;"|"&amp;PRICES!$D$2:$D$659,PRICES!$E$2:$E$659),"Not Found"))</f>
        <v/>
      </c>
      <c r="Q2784" s="100" t="str">
        <f>IF(N2784=0,"",SUMIFS(PRICES!$G$2:$G$658,PRICES!$B$2:$B$658,'MAIN TABLE-1 AUTOMATED'!J2784,PRICES!$C$2:$C$658,'MAIN TABLE-1 AUTOMATED'!F2784,PRICES!$D$2:$D$658,'MAIN TABLE-1 AUTOMATED'!O2784))</f>
        <v/>
      </c>
      <c r="R2784" s="41" t="str">
        <f>IF(Table1[[#This Row],[QUANTITY]]=0,"",Table1[[#This Row],[UNIT PRICE]]*Table1[[#This Row],[QUANTITY]])</f>
        <v/>
      </c>
      <c r="S2784" s="89"/>
      <c r="T2784" s="38"/>
      <c r="U2784" s="43"/>
      <c r="V2784" s="42" t="str">
        <f>IF(Table1[[#This Row],[DATE]]=0,"",YEAR(E2784))</f>
        <v/>
      </c>
      <c r="W2784" s="40" t="str">
        <f t="shared" si="90"/>
        <v/>
      </c>
      <c r="X2784" s="40" t="str">
        <f t="shared" si="91"/>
        <v/>
      </c>
      <c r="Y2784" s="40" t="str">
        <f>TEXT(Table1[[#This Row],[YEAR]],"0000")&amp;"-"&amp;Table1[[#This Row],[MONTH]]</f>
        <v>-</v>
      </c>
    </row>
    <row r="2785" spans="1:25" ht="15" customHeight="1" x14ac:dyDescent="0.35">
      <c r="A2785" s="24"/>
      <c r="B2785" s="38"/>
      <c r="C2785" s="38"/>
      <c r="D2785" s="38"/>
      <c r="E2785" s="37"/>
      <c r="F2785" s="38"/>
      <c r="G2785" s="198"/>
      <c r="H2785" s="198"/>
      <c r="I2785" s="39"/>
      <c r="J2785" s="38"/>
      <c r="K2785" s="198"/>
      <c r="L2785" s="38"/>
      <c r="M2785" s="38"/>
      <c r="N2785" s="38"/>
      <c r="O2785" s="38"/>
      <c r="P2785" s="40" t="str" cm="1">
        <f t="array" ref="P2785">IF(N2785="","",IFERROR(_xlfn.XLOOKUP(F2785&amp;"|"&amp;J2785&amp;"|"&amp;O2785,PRICES!$C$2:$C$659&amp;"|"&amp;PRICES!$B$2:$B$659&amp;"|"&amp;PRICES!$D$2:$D$659,PRICES!$E$2:$E$659),"Not Found"))</f>
        <v/>
      </c>
      <c r="Q2785" s="100" t="str">
        <f>IF(N2785=0,"",SUMIFS(PRICES!$G$2:$G$658,PRICES!$B$2:$B$658,'MAIN TABLE-1 AUTOMATED'!J2785,PRICES!$C$2:$C$658,'MAIN TABLE-1 AUTOMATED'!F2785,PRICES!$D$2:$D$658,'MAIN TABLE-1 AUTOMATED'!O2785))</f>
        <v/>
      </c>
      <c r="R2785" s="41" t="str">
        <f>IF(Table1[[#This Row],[QUANTITY]]=0,"",Table1[[#This Row],[UNIT PRICE]]*Table1[[#This Row],[QUANTITY]])</f>
        <v/>
      </c>
      <c r="S2785" s="89"/>
      <c r="T2785" s="38"/>
      <c r="U2785" s="43"/>
      <c r="V2785" s="42" t="str">
        <f>IF(Table1[[#This Row],[DATE]]=0,"",YEAR(E2785))</f>
        <v/>
      </c>
      <c r="W2785" s="40" t="str">
        <f t="shared" si="90"/>
        <v/>
      </c>
      <c r="X2785" s="40" t="str">
        <f t="shared" si="91"/>
        <v/>
      </c>
      <c r="Y2785" s="40" t="str">
        <f>TEXT(Table1[[#This Row],[YEAR]],"0000")&amp;"-"&amp;Table1[[#This Row],[MONTH]]</f>
        <v>-</v>
      </c>
    </row>
    <row r="2786" spans="1:25" ht="15" customHeight="1" x14ac:dyDescent="0.35">
      <c r="A2786" s="24"/>
      <c r="B2786" s="38"/>
      <c r="C2786" s="38"/>
      <c r="D2786" s="38"/>
      <c r="E2786" s="37"/>
      <c r="F2786" s="38"/>
      <c r="G2786" s="198"/>
      <c r="H2786" s="198"/>
      <c r="I2786" s="39"/>
      <c r="J2786" s="38"/>
      <c r="K2786" s="198"/>
      <c r="L2786" s="38"/>
      <c r="M2786" s="38"/>
      <c r="N2786" s="38"/>
      <c r="O2786" s="38"/>
      <c r="P2786" s="40" t="str" cm="1">
        <f t="array" ref="P2786">IF(N2786="","",IFERROR(_xlfn.XLOOKUP(F2786&amp;"|"&amp;J2786&amp;"|"&amp;O2786,PRICES!$C$2:$C$659&amp;"|"&amp;PRICES!$B$2:$B$659&amp;"|"&amp;PRICES!$D$2:$D$659,PRICES!$E$2:$E$659),"Not Found"))</f>
        <v/>
      </c>
      <c r="Q2786" s="100" t="str">
        <f>IF(N2786=0,"",SUMIFS(PRICES!$G$2:$G$658,PRICES!$B$2:$B$658,'MAIN TABLE-1 AUTOMATED'!J2786,PRICES!$C$2:$C$658,'MAIN TABLE-1 AUTOMATED'!F2786,PRICES!$D$2:$D$658,'MAIN TABLE-1 AUTOMATED'!O2786))</f>
        <v/>
      </c>
      <c r="R2786" s="41" t="str">
        <f>IF(Table1[[#This Row],[QUANTITY]]=0,"",Table1[[#This Row],[UNIT PRICE]]*Table1[[#This Row],[QUANTITY]])</f>
        <v/>
      </c>
      <c r="S2786" s="89"/>
      <c r="T2786" s="38"/>
      <c r="U2786" s="43"/>
      <c r="V2786" s="42" t="str">
        <f>IF(Table1[[#This Row],[DATE]]=0,"",YEAR(E2786))</f>
        <v/>
      </c>
      <c r="W2786" s="40" t="str">
        <f t="shared" si="90"/>
        <v/>
      </c>
      <c r="X2786" s="40" t="str">
        <f t="shared" si="91"/>
        <v/>
      </c>
      <c r="Y2786" s="40" t="str">
        <f>TEXT(Table1[[#This Row],[YEAR]],"0000")&amp;"-"&amp;Table1[[#This Row],[MONTH]]</f>
        <v>-</v>
      </c>
    </row>
    <row r="2787" spans="1:25" ht="15" customHeight="1" x14ac:dyDescent="0.35">
      <c r="A2787" s="24"/>
      <c r="B2787" s="38"/>
      <c r="C2787" s="38"/>
      <c r="D2787" s="38"/>
      <c r="E2787" s="37"/>
      <c r="F2787" s="38"/>
      <c r="G2787" s="198"/>
      <c r="H2787" s="198"/>
      <c r="I2787" s="39"/>
      <c r="J2787" s="38"/>
      <c r="K2787" s="198"/>
      <c r="L2787" s="38"/>
      <c r="M2787" s="38"/>
      <c r="N2787" s="38"/>
      <c r="O2787" s="38"/>
      <c r="P2787" s="40" t="str" cm="1">
        <f t="array" ref="P2787">IF(N2787="","",IFERROR(_xlfn.XLOOKUP(F2787&amp;"|"&amp;J2787&amp;"|"&amp;O2787,PRICES!$C$2:$C$659&amp;"|"&amp;PRICES!$B$2:$B$659&amp;"|"&amp;PRICES!$D$2:$D$659,PRICES!$E$2:$E$659),"Not Found"))</f>
        <v/>
      </c>
      <c r="Q2787" s="100" t="str">
        <f>IF(N2787=0,"",SUMIFS(PRICES!$G$2:$G$658,PRICES!$B$2:$B$658,'MAIN TABLE-1 AUTOMATED'!J2787,PRICES!$C$2:$C$658,'MAIN TABLE-1 AUTOMATED'!F2787,PRICES!$D$2:$D$658,'MAIN TABLE-1 AUTOMATED'!O2787))</f>
        <v/>
      </c>
      <c r="R2787" s="41" t="str">
        <f>IF(Table1[[#This Row],[QUANTITY]]=0,"",Table1[[#This Row],[UNIT PRICE]]*Table1[[#This Row],[QUANTITY]])</f>
        <v/>
      </c>
      <c r="S2787" s="89"/>
      <c r="T2787" s="38"/>
      <c r="U2787" s="43"/>
      <c r="V2787" s="42" t="str">
        <f>IF(Table1[[#This Row],[DATE]]=0,"",YEAR(E2787))</f>
        <v/>
      </c>
      <c r="W2787" s="40" t="str">
        <f t="shared" si="90"/>
        <v/>
      </c>
      <c r="X2787" s="40" t="str">
        <f t="shared" si="91"/>
        <v/>
      </c>
      <c r="Y2787" s="40" t="str">
        <f>TEXT(Table1[[#This Row],[YEAR]],"0000")&amp;"-"&amp;Table1[[#This Row],[MONTH]]</f>
        <v>-</v>
      </c>
    </row>
    <row r="2788" spans="1:25" ht="15" customHeight="1" x14ac:dyDescent="0.35">
      <c r="A2788" s="24"/>
      <c r="B2788" s="38"/>
      <c r="C2788" s="38"/>
      <c r="D2788" s="38"/>
      <c r="E2788" s="37"/>
      <c r="F2788" s="38"/>
      <c r="G2788" s="198"/>
      <c r="H2788" s="198"/>
      <c r="I2788" s="39"/>
      <c r="J2788" s="38"/>
      <c r="K2788" s="198"/>
      <c r="L2788" s="38"/>
      <c r="M2788" s="38"/>
      <c r="N2788" s="38"/>
      <c r="O2788" s="38"/>
      <c r="P2788" s="40" t="str" cm="1">
        <f t="array" ref="P2788">IF(N2788="","",IFERROR(_xlfn.XLOOKUP(F2788&amp;"|"&amp;J2788&amp;"|"&amp;O2788,PRICES!$C$2:$C$659&amp;"|"&amp;PRICES!$B$2:$B$659&amp;"|"&amp;PRICES!$D$2:$D$659,PRICES!$E$2:$E$659),"Not Found"))</f>
        <v/>
      </c>
      <c r="Q2788" s="100" t="str">
        <f>IF(N2788=0,"",SUMIFS(PRICES!$G$2:$G$658,PRICES!$B$2:$B$658,'MAIN TABLE-1 AUTOMATED'!J2788,PRICES!$C$2:$C$658,'MAIN TABLE-1 AUTOMATED'!F2788,PRICES!$D$2:$D$658,'MAIN TABLE-1 AUTOMATED'!O2788))</f>
        <v/>
      </c>
      <c r="R2788" s="41" t="str">
        <f>IF(Table1[[#This Row],[QUANTITY]]=0,"",Table1[[#This Row],[UNIT PRICE]]*Table1[[#This Row],[QUANTITY]])</f>
        <v/>
      </c>
      <c r="S2788" s="89"/>
      <c r="T2788" s="38"/>
      <c r="U2788" s="43"/>
      <c r="V2788" s="42" t="str">
        <f>IF(Table1[[#This Row],[DATE]]=0,"",YEAR(E2788))</f>
        <v/>
      </c>
      <c r="W2788" s="40" t="str">
        <f t="shared" si="90"/>
        <v/>
      </c>
      <c r="X2788" s="40" t="str">
        <f t="shared" si="91"/>
        <v/>
      </c>
      <c r="Y2788" s="40" t="str">
        <f>TEXT(Table1[[#This Row],[YEAR]],"0000")&amp;"-"&amp;Table1[[#This Row],[MONTH]]</f>
        <v>-</v>
      </c>
    </row>
    <row r="2789" spans="1:25" ht="15" customHeight="1" x14ac:dyDescent="0.35">
      <c r="A2789" s="24"/>
      <c r="B2789" s="38"/>
      <c r="C2789" s="38"/>
      <c r="D2789" s="38"/>
      <c r="E2789" s="37"/>
      <c r="F2789" s="38"/>
      <c r="G2789" s="198"/>
      <c r="H2789" s="198"/>
      <c r="I2789" s="39"/>
      <c r="J2789" s="38"/>
      <c r="K2789" s="198"/>
      <c r="L2789" s="38"/>
      <c r="M2789" s="38"/>
      <c r="N2789" s="38"/>
      <c r="O2789" s="38"/>
      <c r="P2789" s="40" t="str" cm="1">
        <f t="array" ref="P2789">IF(N2789="","",IFERROR(_xlfn.XLOOKUP(F2789&amp;"|"&amp;J2789&amp;"|"&amp;O2789,PRICES!$C$2:$C$659&amp;"|"&amp;PRICES!$B$2:$B$659&amp;"|"&amp;PRICES!$D$2:$D$659,PRICES!$E$2:$E$659),"Not Found"))</f>
        <v/>
      </c>
      <c r="Q2789" s="100" t="str">
        <f>IF(N2789=0,"",SUMIFS(PRICES!$G$2:$G$658,PRICES!$B$2:$B$658,'MAIN TABLE-1 AUTOMATED'!J2789,PRICES!$C$2:$C$658,'MAIN TABLE-1 AUTOMATED'!F2789,PRICES!$D$2:$D$658,'MAIN TABLE-1 AUTOMATED'!O2789))</f>
        <v/>
      </c>
      <c r="R2789" s="41" t="str">
        <f>IF(Table1[[#This Row],[QUANTITY]]=0,"",Table1[[#This Row],[UNIT PRICE]]*Table1[[#This Row],[QUANTITY]])</f>
        <v/>
      </c>
      <c r="S2789" s="89"/>
      <c r="T2789" s="38"/>
      <c r="U2789" s="43"/>
      <c r="V2789" s="42" t="str">
        <f>IF(Table1[[#This Row],[DATE]]=0,"",YEAR(E2789))</f>
        <v/>
      </c>
      <c r="W2789" s="40" t="str">
        <f t="shared" si="90"/>
        <v/>
      </c>
      <c r="X2789" s="40" t="str">
        <f t="shared" si="91"/>
        <v/>
      </c>
      <c r="Y2789" s="40" t="str">
        <f>TEXT(Table1[[#This Row],[YEAR]],"0000")&amp;"-"&amp;Table1[[#This Row],[MONTH]]</f>
        <v>-</v>
      </c>
    </row>
    <row r="2790" spans="1:25" ht="15" customHeight="1" x14ac:dyDescent="0.35">
      <c r="A2790" s="24"/>
      <c r="B2790" s="38"/>
      <c r="C2790" s="38"/>
      <c r="D2790" s="38"/>
      <c r="E2790" s="37"/>
      <c r="F2790" s="38"/>
      <c r="G2790" s="198"/>
      <c r="H2790" s="198"/>
      <c r="I2790" s="39"/>
      <c r="J2790" s="38"/>
      <c r="K2790" s="198"/>
      <c r="L2790" s="38"/>
      <c r="M2790" s="38"/>
      <c r="N2790" s="38"/>
      <c r="O2790" s="38"/>
      <c r="P2790" s="40" t="str" cm="1">
        <f t="array" ref="P2790">IF(N2790="","",IFERROR(_xlfn.XLOOKUP(F2790&amp;"|"&amp;J2790&amp;"|"&amp;O2790,PRICES!$C$2:$C$659&amp;"|"&amp;PRICES!$B$2:$B$659&amp;"|"&amp;PRICES!$D$2:$D$659,PRICES!$E$2:$E$659),"Not Found"))</f>
        <v/>
      </c>
      <c r="Q2790" s="100" t="str">
        <f>IF(N2790=0,"",SUMIFS(PRICES!$G$2:$G$658,PRICES!$B$2:$B$658,'MAIN TABLE-1 AUTOMATED'!J2790,PRICES!$C$2:$C$658,'MAIN TABLE-1 AUTOMATED'!F2790,PRICES!$D$2:$D$658,'MAIN TABLE-1 AUTOMATED'!O2790))</f>
        <v/>
      </c>
      <c r="R2790" s="41" t="str">
        <f>IF(Table1[[#This Row],[QUANTITY]]=0,"",Table1[[#This Row],[UNIT PRICE]]*Table1[[#This Row],[QUANTITY]])</f>
        <v/>
      </c>
      <c r="S2790" s="89"/>
      <c r="T2790" s="38"/>
      <c r="U2790" s="43"/>
      <c r="V2790" s="42" t="str">
        <f>IF(Table1[[#This Row],[DATE]]=0,"",YEAR(E2790))</f>
        <v/>
      </c>
      <c r="W2790" s="40" t="str">
        <f t="shared" si="90"/>
        <v/>
      </c>
      <c r="X2790" s="40" t="str">
        <f t="shared" si="91"/>
        <v/>
      </c>
      <c r="Y2790" s="40" t="str">
        <f>TEXT(Table1[[#This Row],[YEAR]],"0000")&amp;"-"&amp;Table1[[#This Row],[MONTH]]</f>
        <v>-</v>
      </c>
    </row>
    <row r="2791" spans="1:25" ht="15" customHeight="1" x14ac:dyDescent="0.35">
      <c r="A2791" s="24"/>
      <c r="B2791" s="38"/>
      <c r="C2791" s="38"/>
      <c r="D2791" s="38"/>
      <c r="E2791" s="37"/>
      <c r="F2791" s="38"/>
      <c r="G2791" s="198"/>
      <c r="H2791" s="198"/>
      <c r="I2791" s="39"/>
      <c r="J2791" s="38"/>
      <c r="K2791" s="198"/>
      <c r="L2791" s="38"/>
      <c r="M2791" s="38"/>
      <c r="N2791" s="38"/>
      <c r="O2791" s="38"/>
      <c r="P2791" s="40" t="str" cm="1">
        <f t="array" ref="P2791">IF(N2791="","",IFERROR(_xlfn.XLOOKUP(F2791&amp;"|"&amp;J2791&amp;"|"&amp;O2791,PRICES!$C$2:$C$659&amp;"|"&amp;PRICES!$B$2:$B$659&amp;"|"&amp;PRICES!$D$2:$D$659,PRICES!$E$2:$E$659),"Not Found"))</f>
        <v/>
      </c>
      <c r="Q2791" s="100" t="str">
        <f>IF(N2791=0,"",SUMIFS(PRICES!$G$2:$G$658,PRICES!$B$2:$B$658,'MAIN TABLE-1 AUTOMATED'!J2791,PRICES!$C$2:$C$658,'MAIN TABLE-1 AUTOMATED'!F2791,PRICES!$D$2:$D$658,'MAIN TABLE-1 AUTOMATED'!O2791))</f>
        <v/>
      </c>
      <c r="R2791" s="41" t="str">
        <f>IF(Table1[[#This Row],[QUANTITY]]=0,"",Table1[[#This Row],[UNIT PRICE]]*Table1[[#This Row],[QUANTITY]])</f>
        <v/>
      </c>
      <c r="S2791" s="89"/>
      <c r="T2791" s="38"/>
      <c r="U2791" s="43"/>
      <c r="V2791" s="42" t="str">
        <f>IF(Table1[[#This Row],[DATE]]=0,"",YEAR(E2791))</f>
        <v/>
      </c>
      <c r="W2791" s="40" t="str">
        <f t="shared" si="90"/>
        <v/>
      </c>
      <c r="X2791" s="40" t="str">
        <f t="shared" si="91"/>
        <v/>
      </c>
      <c r="Y2791" s="40" t="str">
        <f>TEXT(Table1[[#This Row],[YEAR]],"0000")&amp;"-"&amp;Table1[[#This Row],[MONTH]]</f>
        <v>-</v>
      </c>
    </row>
    <row r="2792" spans="1:25" ht="15" customHeight="1" x14ac:dyDescent="0.35">
      <c r="A2792" s="24"/>
      <c r="B2792" s="38"/>
      <c r="C2792" s="38"/>
      <c r="D2792" s="38"/>
      <c r="E2792" s="37"/>
      <c r="F2792" s="38"/>
      <c r="G2792" s="198"/>
      <c r="H2792" s="198"/>
      <c r="I2792" s="39"/>
      <c r="J2792" s="38"/>
      <c r="K2792" s="198"/>
      <c r="L2792" s="38"/>
      <c r="M2792" s="38"/>
      <c r="N2792" s="38"/>
      <c r="O2792" s="38"/>
      <c r="P2792" s="40" t="str" cm="1">
        <f t="array" ref="P2792">IF(N2792="","",IFERROR(_xlfn.XLOOKUP(F2792&amp;"|"&amp;J2792&amp;"|"&amp;O2792,PRICES!$C$2:$C$659&amp;"|"&amp;PRICES!$B$2:$B$659&amp;"|"&amp;PRICES!$D$2:$D$659,PRICES!$E$2:$E$659),"Not Found"))</f>
        <v/>
      </c>
      <c r="Q2792" s="100" t="str">
        <f>IF(N2792=0,"",SUMIFS(PRICES!$G$2:$G$658,PRICES!$B$2:$B$658,'MAIN TABLE-1 AUTOMATED'!J2792,PRICES!$C$2:$C$658,'MAIN TABLE-1 AUTOMATED'!F2792,PRICES!$D$2:$D$658,'MAIN TABLE-1 AUTOMATED'!O2792))</f>
        <v/>
      </c>
      <c r="R2792" s="41" t="str">
        <f>IF(Table1[[#This Row],[QUANTITY]]=0,"",Table1[[#This Row],[UNIT PRICE]]*Table1[[#This Row],[QUANTITY]])</f>
        <v/>
      </c>
      <c r="S2792" s="89"/>
      <c r="T2792" s="38"/>
      <c r="U2792" s="43"/>
      <c r="V2792" s="42" t="str">
        <f>IF(Table1[[#This Row],[DATE]]=0,"",YEAR(E2792))</f>
        <v/>
      </c>
      <c r="W2792" s="40" t="str">
        <f t="shared" si="90"/>
        <v/>
      </c>
      <c r="X2792" s="40" t="str">
        <f t="shared" si="91"/>
        <v/>
      </c>
      <c r="Y2792" s="40" t="str">
        <f>TEXT(Table1[[#This Row],[YEAR]],"0000")&amp;"-"&amp;Table1[[#This Row],[MONTH]]</f>
        <v>-</v>
      </c>
    </row>
    <row r="2793" spans="1:25" ht="15" customHeight="1" x14ac:dyDescent="0.35">
      <c r="A2793" s="24"/>
      <c r="B2793" s="38"/>
      <c r="C2793" s="38"/>
      <c r="D2793" s="38"/>
      <c r="E2793" s="37"/>
      <c r="F2793" s="38"/>
      <c r="G2793" s="198"/>
      <c r="H2793" s="198"/>
      <c r="I2793" s="39"/>
      <c r="J2793" s="38"/>
      <c r="K2793" s="198"/>
      <c r="L2793" s="38"/>
      <c r="M2793" s="38"/>
      <c r="N2793" s="38"/>
      <c r="O2793" s="38"/>
      <c r="P2793" s="40" t="str" cm="1">
        <f t="array" ref="P2793">IF(N2793="","",IFERROR(_xlfn.XLOOKUP(F2793&amp;"|"&amp;J2793&amp;"|"&amp;O2793,PRICES!$C$2:$C$659&amp;"|"&amp;PRICES!$B$2:$B$659&amp;"|"&amp;PRICES!$D$2:$D$659,PRICES!$E$2:$E$659),"Not Found"))</f>
        <v/>
      </c>
      <c r="Q2793" s="100" t="str">
        <f>IF(N2793=0,"",SUMIFS(PRICES!$G$2:$G$658,PRICES!$B$2:$B$658,'MAIN TABLE-1 AUTOMATED'!J2793,PRICES!$C$2:$C$658,'MAIN TABLE-1 AUTOMATED'!F2793,PRICES!$D$2:$D$658,'MAIN TABLE-1 AUTOMATED'!O2793))</f>
        <v/>
      </c>
      <c r="R2793" s="41" t="str">
        <f>IF(Table1[[#This Row],[QUANTITY]]=0,"",Table1[[#This Row],[UNIT PRICE]]*Table1[[#This Row],[QUANTITY]])</f>
        <v/>
      </c>
      <c r="S2793" s="89"/>
      <c r="T2793" s="38"/>
      <c r="U2793" s="43"/>
      <c r="V2793" s="42" t="str">
        <f>IF(Table1[[#This Row],[DATE]]=0,"",YEAR(E2793))</f>
        <v/>
      </c>
      <c r="W2793" s="40" t="str">
        <f t="shared" si="90"/>
        <v/>
      </c>
      <c r="X2793" s="40" t="str">
        <f t="shared" si="91"/>
        <v/>
      </c>
      <c r="Y2793" s="40" t="str">
        <f>TEXT(Table1[[#This Row],[YEAR]],"0000")&amp;"-"&amp;Table1[[#This Row],[MONTH]]</f>
        <v>-</v>
      </c>
    </row>
    <row r="2794" spans="1:25" ht="15" customHeight="1" x14ac:dyDescent="0.35">
      <c r="A2794" s="24"/>
      <c r="B2794" s="38"/>
      <c r="C2794" s="38"/>
      <c r="D2794" s="38"/>
      <c r="E2794" s="37"/>
      <c r="F2794" s="38"/>
      <c r="G2794" s="198"/>
      <c r="H2794" s="198"/>
      <c r="I2794" s="39"/>
      <c r="J2794" s="38"/>
      <c r="K2794" s="198"/>
      <c r="L2794" s="38"/>
      <c r="M2794" s="38"/>
      <c r="N2794" s="38"/>
      <c r="O2794" s="38"/>
      <c r="P2794" s="40" t="str" cm="1">
        <f t="array" ref="P2794">IF(N2794="","",IFERROR(_xlfn.XLOOKUP(F2794&amp;"|"&amp;J2794&amp;"|"&amp;O2794,PRICES!$C$2:$C$659&amp;"|"&amp;PRICES!$B$2:$B$659&amp;"|"&amp;PRICES!$D$2:$D$659,PRICES!$E$2:$E$659),"Not Found"))</f>
        <v/>
      </c>
      <c r="Q2794" s="100" t="str">
        <f>IF(N2794=0,"",SUMIFS(PRICES!$G$2:$G$658,PRICES!$B$2:$B$658,'MAIN TABLE-1 AUTOMATED'!J2794,PRICES!$C$2:$C$658,'MAIN TABLE-1 AUTOMATED'!F2794,PRICES!$D$2:$D$658,'MAIN TABLE-1 AUTOMATED'!O2794))</f>
        <v/>
      </c>
      <c r="R2794" s="41" t="str">
        <f>IF(Table1[[#This Row],[QUANTITY]]=0,"",Table1[[#This Row],[UNIT PRICE]]*Table1[[#This Row],[QUANTITY]])</f>
        <v/>
      </c>
      <c r="S2794" s="89"/>
      <c r="T2794" s="38"/>
      <c r="U2794" s="43"/>
      <c r="V2794" s="42" t="str">
        <f>IF(Table1[[#This Row],[DATE]]=0,"",YEAR(E2794))</f>
        <v/>
      </c>
      <c r="W2794" s="40" t="str">
        <f t="shared" si="90"/>
        <v/>
      </c>
      <c r="X2794" s="40" t="str">
        <f t="shared" si="91"/>
        <v/>
      </c>
      <c r="Y2794" s="40" t="str">
        <f>TEXT(Table1[[#This Row],[YEAR]],"0000")&amp;"-"&amp;Table1[[#This Row],[MONTH]]</f>
        <v>-</v>
      </c>
    </row>
    <row r="2795" spans="1:25" ht="15" customHeight="1" x14ac:dyDescent="0.35">
      <c r="A2795" s="24"/>
      <c r="B2795" s="38"/>
      <c r="C2795" s="38"/>
      <c r="D2795" s="38"/>
      <c r="E2795" s="37"/>
      <c r="F2795" s="38"/>
      <c r="G2795" s="198"/>
      <c r="H2795" s="198"/>
      <c r="I2795" s="39"/>
      <c r="J2795" s="38"/>
      <c r="K2795" s="198"/>
      <c r="L2795" s="38"/>
      <c r="M2795" s="38"/>
      <c r="N2795" s="38"/>
      <c r="O2795" s="38"/>
      <c r="P2795" s="40" t="str" cm="1">
        <f t="array" ref="P2795">IF(N2795="","",IFERROR(_xlfn.XLOOKUP(F2795&amp;"|"&amp;J2795&amp;"|"&amp;O2795,PRICES!$C$2:$C$659&amp;"|"&amp;PRICES!$B$2:$B$659&amp;"|"&amp;PRICES!$D$2:$D$659,PRICES!$E$2:$E$659),"Not Found"))</f>
        <v/>
      </c>
      <c r="Q2795" s="100" t="str">
        <f>IF(N2795=0,"",SUMIFS(PRICES!$G$2:$G$658,PRICES!$B$2:$B$658,'MAIN TABLE-1 AUTOMATED'!J2795,PRICES!$C$2:$C$658,'MAIN TABLE-1 AUTOMATED'!F2795,PRICES!$D$2:$D$658,'MAIN TABLE-1 AUTOMATED'!O2795))</f>
        <v/>
      </c>
      <c r="R2795" s="41" t="str">
        <f>IF(Table1[[#This Row],[QUANTITY]]=0,"",Table1[[#This Row],[UNIT PRICE]]*Table1[[#This Row],[QUANTITY]])</f>
        <v/>
      </c>
      <c r="S2795" s="89"/>
      <c r="T2795" s="38"/>
      <c r="U2795" s="43"/>
      <c r="V2795" s="42" t="str">
        <f>IF(Table1[[#This Row],[DATE]]=0,"",YEAR(E2795))</f>
        <v/>
      </c>
      <c r="W2795" s="40" t="str">
        <f t="shared" si="90"/>
        <v/>
      </c>
      <c r="X2795" s="40" t="str">
        <f t="shared" si="91"/>
        <v/>
      </c>
      <c r="Y2795" s="40" t="str">
        <f>TEXT(Table1[[#This Row],[YEAR]],"0000")&amp;"-"&amp;Table1[[#This Row],[MONTH]]</f>
        <v>-</v>
      </c>
    </row>
    <row r="2796" spans="1:25" ht="15" customHeight="1" x14ac:dyDescent="0.35">
      <c r="A2796" s="24"/>
      <c r="B2796" s="38"/>
      <c r="C2796" s="38"/>
      <c r="D2796" s="38"/>
      <c r="E2796" s="37"/>
      <c r="F2796" s="38"/>
      <c r="G2796" s="198"/>
      <c r="H2796" s="198"/>
      <c r="I2796" s="39"/>
      <c r="J2796" s="38"/>
      <c r="K2796" s="198"/>
      <c r="L2796" s="38"/>
      <c r="M2796" s="38"/>
      <c r="N2796" s="38"/>
      <c r="O2796" s="38"/>
      <c r="P2796" s="40" t="str" cm="1">
        <f t="array" ref="P2796">IF(N2796="","",IFERROR(_xlfn.XLOOKUP(F2796&amp;"|"&amp;J2796&amp;"|"&amp;O2796,PRICES!$C$2:$C$659&amp;"|"&amp;PRICES!$B$2:$B$659&amp;"|"&amp;PRICES!$D$2:$D$659,PRICES!$E$2:$E$659),"Not Found"))</f>
        <v/>
      </c>
      <c r="Q2796" s="100" t="str">
        <f>IF(N2796=0,"",SUMIFS(PRICES!$G$2:$G$658,PRICES!$B$2:$B$658,'MAIN TABLE-1 AUTOMATED'!J2796,PRICES!$C$2:$C$658,'MAIN TABLE-1 AUTOMATED'!F2796,PRICES!$D$2:$D$658,'MAIN TABLE-1 AUTOMATED'!O2796))</f>
        <v/>
      </c>
      <c r="R2796" s="41" t="str">
        <f>IF(Table1[[#This Row],[QUANTITY]]=0,"",Table1[[#This Row],[UNIT PRICE]]*Table1[[#This Row],[QUANTITY]])</f>
        <v/>
      </c>
      <c r="S2796" s="89"/>
      <c r="T2796" s="38"/>
      <c r="U2796" s="43"/>
      <c r="V2796" s="42" t="str">
        <f>IF(Table1[[#This Row],[DATE]]=0,"",YEAR(E2796))</f>
        <v/>
      </c>
      <c r="W2796" s="40" t="str">
        <f t="shared" si="90"/>
        <v/>
      </c>
      <c r="X2796" s="40" t="str">
        <f t="shared" si="91"/>
        <v/>
      </c>
      <c r="Y2796" s="40" t="str">
        <f>TEXT(Table1[[#This Row],[YEAR]],"0000")&amp;"-"&amp;Table1[[#This Row],[MONTH]]</f>
        <v>-</v>
      </c>
    </row>
    <row r="2797" spans="1:25" ht="15" customHeight="1" x14ac:dyDescent="0.35">
      <c r="A2797" s="24"/>
      <c r="B2797" s="38"/>
      <c r="C2797" s="38"/>
      <c r="D2797" s="38"/>
      <c r="E2797" s="37"/>
      <c r="F2797" s="38"/>
      <c r="G2797" s="198"/>
      <c r="H2797" s="198"/>
      <c r="I2797" s="39"/>
      <c r="J2797" s="38"/>
      <c r="K2797" s="198"/>
      <c r="L2797" s="38"/>
      <c r="M2797" s="38"/>
      <c r="N2797" s="38"/>
      <c r="O2797" s="38"/>
      <c r="P2797" s="40" t="str" cm="1">
        <f t="array" ref="P2797">IF(N2797="","",IFERROR(_xlfn.XLOOKUP(F2797&amp;"|"&amp;J2797&amp;"|"&amp;O2797,PRICES!$C$2:$C$659&amp;"|"&amp;PRICES!$B$2:$B$659&amp;"|"&amp;PRICES!$D$2:$D$659,PRICES!$E$2:$E$659),"Not Found"))</f>
        <v/>
      </c>
      <c r="Q2797" s="100" t="str">
        <f>IF(N2797=0,"",SUMIFS(PRICES!$G$2:$G$658,PRICES!$B$2:$B$658,'MAIN TABLE-1 AUTOMATED'!J2797,PRICES!$C$2:$C$658,'MAIN TABLE-1 AUTOMATED'!F2797,PRICES!$D$2:$D$658,'MAIN TABLE-1 AUTOMATED'!O2797))</f>
        <v/>
      </c>
      <c r="R2797" s="41" t="str">
        <f>IF(Table1[[#This Row],[QUANTITY]]=0,"",Table1[[#This Row],[UNIT PRICE]]*Table1[[#This Row],[QUANTITY]])</f>
        <v/>
      </c>
      <c r="S2797" s="89"/>
      <c r="T2797" s="38"/>
      <c r="U2797" s="43"/>
      <c r="V2797" s="42" t="str">
        <f>IF(Table1[[#This Row],[DATE]]=0,"",YEAR(E2797))</f>
        <v/>
      </c>
      <c r="W2797" s="40" t="str">
        <f t="shared" si="90"/>
        <v/>
      </c>
      <c r="X2797" s="40" t="str">
        <f t="shared" si="91"/>
        <v/>
      </c>
      <c r="Y2797" s="40" t="str">
        <f>TEXT(Table1[[#This Row],[YEAR]],"0000")&amp;"-"&amp;Table1[[#This Row],[MONTH]]</f>
        <v>-</v>
      </c>
    </row>
    <row r="2798" spans="1:25" ht="15" customHeight="1" x14ac:dyDescent="0.35">
      <c r="A2798" s="24"/>
      <c r="B2798" s="38"/>
      <c r="C2798" s="38"/>
      <c r="D2798" s="38"/>
      <c r="E2798" s="37"/>
      <c r="F2798" s="38"/>
      <c r="G2798" s="198"/>
      <c r="H2798" s="198"/>
      <c r="I2798" s="39"/>
      <c r="J2798" s="38"/>
      <c r="K2798" s="198"/>
      <c r="L2798" s="38"/>
      <c r="M2798" s="38"/>
      <c r="N2798" s="38"/>
      <c r="O2798" s="38"/>
      <c r="P2798" s="40" t="str" cm="1">
        <f t="array" ref="P2798">IF(N2798="","",IFERROR(_xlfn.XLOOKUP(F2798&amp;"|"&amp;J2798&amp;"|"&amp;O2798,PRICES!$C$2:$C$659&amp;"|"&amp;PRICES!$B$2:$B$659&amp;"|"&amp;PRICES!$D$2:$D$659,PRICES!$E$2:$E$659),"Not Found"))</f>
        <v/>
      </c>
      <c r="Q2798" s="100" t="str">
        <f>IF(N2798=0,"",SUMIFS(PRICES!$G$2:$G$658,PRICES!$B$2:$B$658,'MAIN TABLE-1 AUTOMATED'!J2798,PRICES!$C$2:$C$658,'MAIN TABLE-1 AUTOMATED'!F2798,PRICES!$D$2:$D$658,'MAIN TABLE-1 AUTOMATED'!O2798))</f>
        <v/>
      </c>
      <c r="R2798" s="41" t="str">
        <f>IF(Table1[[#This Row],[QUANTITY]]=0,"",Table1[[#This Row],[UNIT PRICE]]*Table1[[#This Row],[QUANTITY]])</f>
        <v/>
      </c>
      <c r="S2798" s="89"/>
      <c r="T2798" s="38"/>
      <c r="U2798" s="43"/>
      <c r="V2798" s="42" t="str">
        <f>IF(Table1[[#This Row],[DATE]]=0,"",YEAR(E2798))</f>
        <v/>
      </c>
      <c r="W2798" s="40" t="str">
        <f t="shared" si="90"/>
        <v/>
      </c>
      <c r="X2798" s="40" t="str">
        <f t="shared" si="91"/>
        <v/>
      </c>
      <c r="Y2798" s="40" t="str">
        <f>TEXT(Table1[[#This Row],[YEAR]],"0000")&amp;"-"&amp;Table1[[#This Row],[MONTH]]</f>
        <v>-</v>
      </c>
    </row>
    <row r="2799" spans="1:25" ht="15" customHeight="1" x14ac:dyDescent="0.35">
      <c r="A2799" s="24"/>
      <c r="B2799" s="38"/>
      <c r="C2799" s="38"/>
      <c r="D2799" s="38"/>
      <c r="E2799" s="37"/>
      <c r="F2799" s="38"/>
      <c r="G2799" s="198"/>
      <c r="H2799" s="198"/>
      <c r="I2799" s="39"/>
      <c r="J2799" s="38"/>
      <c r="K2799" s="198"/>
      <c r="L2799" s="38"/>
      <c r="M2799" s="38"/>
      <c r="N2799" s="38"/>
      <c r="O2799" s="38"/>
      <c r="P2799" s="40" t="str" cm="1">
        <f t="array" ref="P2799">IF(N2799="","",IFERROR(_xlfn.XLOOKUP(F2799&amp;"|"&amp;J2799&amp;"|"&amp;O2799,PRICES!$C$2:$C$659&amp;"|"&amp;PRICES!$B$2:$B$659&amp;"|"&amp;PRICES!$D$2:$D$659,PRICES!$E$2:$E$659),"Not Found"))</f>
        <v/>
      </c>
      <c r="Q2799" s="100" t="str">
        <f>IF(N2799=0,"",SUMIFS(PRICES!$G$2:$G$658,PRICES!$B$2:$B$658,'MAIN TABLE-1 AUTOMATED'!J2799,PRICES!$C$2:$C$658,'MAIN TABLE-1 AUTOMATED'!F2799,PRICES!$D$2:$D$658,'MAIN TABLE-1 AUTOMATED'!O2799))</f>
        <v/>
      </c>
      <c r="R2799" s="41" t="str">
        <f>IF(Table1[[#This Row],[QUANTITY]]=0,"",Table1[[#This Row],[UNIT PRICE]]*Table1[[#This Row],[QUANTITY]])</f>
        <v/>
      </c>
      <c r="S2799" s="89"/>
      <c r="T2799" s="38"/>
      <c r="U2799" s="43"/>
      <c r="V2799" s="42" t="str">
        <f>IF(Table1[[#This Row],[DATE]]=0,"",YEAR(E2799))</f>
        <v/>
      </c>
      <c r="W2799" s="40" t="str">
        <f t="shared" si="90"/>
        <v/>
      </c>
      <c r="X2799" s="40" t="str">
        <f t="shared" si="91"/>
        <v/>
      </c>
      <c r="Y2799" s="40" t="str">
        <f>TEXT(Table1[[#This Row],[YEAR]],"0000")&amp;"-"&amp;Table1[[#This Row],[MONTH]]</f>
        <v>-</v>
      </c>
    </row>
    <row r="2800" spans="1:25" ht="15" customHeight="1" x14ac:dyDescent="0.35">
      <c r="A2800" s="24"/>
      <c r="B2800" s="38"/>
      <c r="C2800" s="38"/>
      <c r="D2800" s="38"/>
      <c r="E2800" s="37"/>
      <c r="F2800" s="38"/>
      <c r="G2800" s="198"/>
      <c r="H2800" s="198"/>
      <c r="I2800" s="39"/>
      <c r="J2800" s="38"/>
      <c r="K2800" s="198"/>
      <c r="L2800" s="38"/>
      <c r="M2800" s="38"/>
      <c r="N2800" s="38"/>
      <c r="O2800" s="38"/>
      <c r="P2800" s="40" t="str" cm="1">
        <f t="array" ref="P2800">IF(N2800="","",IFERROR(_xlfn.XLOOKUP(F2800&amp;"|"&amp;J2800&amp;"|"&amp;O2800,PRICES!$C$2:$C$659&amp;"|"&amp;PRICES!$B$2:$B$659&amp;"|"&amp;PRICES!$D$2:$D$659,PRICES!$E$2:$E$659),"Not Found"))</f>
        <v/>
      </c>
      <c r="Q2800" s="100" t="str">
        <f>IF(N2800=0,"",SUMIFS(PRICES!$G$2:$G$658,PRICES!$B$2:$B$658,'MAIN TABLE-1 AUTOMATED'!J2800,PRICES!$C$2:$C$658,'MAIN TABLE-1 AUTOMATED'!F2800,PRICES!$D$2:$D$658,'MAIN TABLE-1 AUTOMATED'!O2800))</f>
        <v/>
      </c>
      <c r="R2800" s="41" t="str">
        <f>IF(Table1[[#This Row],[QUANTITY]]=0,"",Table1[[#This Row],[UNIT PRICE]]*Table1[[#This Row],[QUANTITY]])</f>
        <v/>
      </c>
      <c r="S2800" s="89"/>
      <c r="T2800" s="38"/>
      <c r="U2800" s="43"/>
      <c r="V2800" s="42" t="str">
        <f>IF(Table1[[#This Row],[DATE]]=0,"",YEAR(E2800))</f>
        <v/>
      </c>
      <c r="W2800" s="40" t="str">
        <f t="shared" si="90"/>
        <v/>
      </c>
      <c r="X2800" s="40" t="str">
        <f t="shared" si="91"/>
        <v/>
      </c>
      <c r="Y2800" s="40" t="str">
        <f>TEXT(Table1[[#This Row],[YEAR]],"0000")&amp;"-"&amp;Table1[[#This Row],[MONTH]]</f>
        <v>-</v>
      </c>
    </row>
    <row r="2801" spans="1:25" ht="15" customHeight="1" x14ac:dyDescent="0.35">
      <c r="A2801" s="24"/>
      <c r="B2801" s="38"/>
      <c r="C2801" s="38"/>
      <c r="D2801" s="38"/>
      <c r="E2801" s="37"/>
      <c r="F2801" s="38"/>
      <c r="G2801" s="198"/>
      <c r="H2801" s="198"/>
      <c r="I2801" s="39"/>
      <c r="J2801" s="38"/>
      <c r="K2801" s="198"/>
      <c r="L2801" s="38"/>
      <c r="M2801" s="38"/>
      <c r="N2801" s="38"/>
      <c r="O2801" s="38"/>
      <c r="P2801" s="40" t="str" cm="1">
        <f t="array" ref="P2801">IF(N2801="","",IFERROR(_xlfn.XLOOKUP(F2801&amp;"|"&amp;J2801&amp;"|"&amp;O2801,PRICES!$C$2:$C$659&amp;"|"&amp;PRICES!$B$2:$B$659&amp;"|"&amp;PRICES!$D$2:$D$659,PRICES!$E$2:$E$659),"Not Found"))</f>
        <v/>
      </c>
      <c r="Q2801" s="100" t="str">
        <f>IF(N2801=0,"",SUMIFS(PRICES!$G$2:$G$658,PRICES!$B$2:$B$658,'MAIN TABLE-1 AUTOMATED'!J2801,PRICES!$C$2:$C$658,'MAIN TABLE-1 AUTOMATED'!F2801,PRICES!$D$2:$D$658,'MAIN TABLE-1 AUTOMATED'!O2801))</f>
        <v/>
      </c>
      <c r="R2801" s="41" t="str">
        <f>IF(Table1[[#This Row],[QUANTITY]]=0,"",Table1[[#This Row],[UNIT PRICE]]*Table1[[#This Row],[QUANTITY]])</f>
        <v/>
      </c>
      <c r="S2801" s="89"/>
      <c r="T2801" s="38"/>
      <c r="U2801" s="43"/>
      <c r="V2801" s="42" t="str">
        <f>IF(Table1[[#This Row],[DATE]]=0,"",YEAR(E2801))</f>
        <v/>
      </c>
      <c r="W2801" s="40" t="str">
        <f t="shared" si="90"/>
        <v/>
      </c>
      <c r="X2801" s="40" t="str">
        <f t="shared" si="91"/>
        <v/>
      </c>
      <c r="Y2801" s="40" t="str">
        <f>TEXT(Table1[[#This Row],[YEAR]],"0000")&amp;"-"&amp;Table1[[#This Row],[MONTH]]</f>
        <v>-</v>
      </c>
    </row>
    <row r="2802" spans="1:25" ht="15" customHeight="1" x14ac:dyDescent="0.35">
      <c r="A2802" s="24"/>
      <c r="B2802" s="38"/>
      <c r="C2802" s="38"/>
      <c r="D2802" s="38"/>
      <c r="E2802" s="37"/>
      <c r="F2802" s="38"/>
      <c r="G2802" s="198"/>
      <c r="H2802" s="198"/>
      <c r="I2802" s="39"/>
      <c r="J2802" s="38"/>
      <c r="K2802" s="198"/>
      <c r="L2802" s="38"/>
      <c r="M2802" s="38"/>
      <c r="N2802" s="38"/>
      <c r="O2802" s="38"/>
      <c r="P2802" s="40" t="str" cm="1">
        <f t="array" ref="P2802">IF(N2802="","",IFERROR(_xlfn.XLOOKUP(F2802&amp;"|"&amp;J2802&amp;"|"&amp;O2802,PRICES!$C$2:$C$659&amp;"|"&amp;PRICES!$B$2:$B$659&amp;"|"&amp;PRICES!$D$2:$D$659,PRICES!$E$2:$E$659),"Not Found"))</f>
        <v/>
      </c>
      <c r="Q2802" s="100" t="str">
        <f>IF(N2802=0,"",SUMIFS(PRICES!$G$2:$G$658,PRICES!$B$2:$B$658,'MAIN TABLE-1 AUTOMATED'!J2802,PRICES!$C$2:$C$658,'MAIN TABLE-1 AUTOMATED'!F2802,PRICES!$D$2:$D$658,'MAIN TABLE-1 AUTOMATED'!O2802))</f>
        <v/>
      </c>
      <c r="R2802" s="41" t="str">
        <f>IF(Table1[[#This Row],[QUANTITY]]=0,"",Table1[[#This Row],[UNIT PRICE]]*Table1[[#This Row],[QUANTITY]])</f>
        <v/>
      </c>
      <c r="S2802" s="89"/>
      <c r="T2802" s="38"/>
      <c r="U2802" s="43"/>
      <c r="V2802" s="42" t="str">
        <f>IF(Table1[[#This Row],[DATE]]=0,"",YEAR(E2802))</f>
        <v/>
      </c>
      <c r="W2802" s="40" t="str">
        <f t="shared" si="90"/>
        <v/>
      </c>
      <c r="X2802" s="40" t="str">
        <f t="shared" si="91"/>
        <v/>
      </c>
      <c r="Y2802" s="40" t="str">
        <f>TEXT(Table1[[#This Row],[YEAR]],"0000")&amp;"-"&amp;Table1[[#This Row],[MONTH]]</f>
        <v>-</v>
      </c>
    </row>
    <row r="2803" spans="1:25" ht="15" customHeight="1" x14ac:dyDescent="0.35">
      <c r="A2803" s="24"/>
      <c r="B2803" s="38"/>
      <c r="C2803" s="38"/>
      <c r="D2803" s="38"/>
      <c r="E2803" s="37"/>
      <c r="F2803" s="38"/>
      <c r="G2803" s="198"/>
      <c r="H2803" s="198"/>
      <c r="I2803" s="39"/>
      <c r="J2803" s="38"/>
      <c r="K2803" s="198"/>
      <c r="L2803" s="38"/>
      <c r="M2803" s="38"/>
      <c r="N2803" s="38"/>
      <c r="O2803" s="38"/>
      <c r="P2803" s="40" t="str" cm="1">
        <f t="array" ref="P2803">IF(N2803="","",IFERROR(_xlfn.XLOOKUP(F2803&amp;"|"&amp;J2803&amp;"|"&amp;O2803,PRICES!$C$2:$C$659&amp;"|"&amp;PRICES!$B$2:$B$659&amp;"|"&amp;PRICES!$D$2:$D$659,PRICES!$E$2:$E$659),"Not Found"))</f>
        <v/>
      </c>
      <c r="Q2803" s="100" t="str">
        <f>IF(N2803=0,"",SUMIFS(PRICES!$G$2:$G$658,PRICES!$B$2:$B$658,'MAIN TABLE-1 AUTOMATED'!J2803,PRICES!$C$2:$C$658,'MAIN TABLE-1 AUTOMATED'!F2803,PRICES!$D$2:$D$658,'MAIN TABLE-1 AUTOMATED'!O2803))</f>
        <v/>
      </c>
      <c r="R2803" s="41" t="str">
        <f>IF(Table1[[#This Row],[QUANTITY]]=0,"",Table1[[#This Row],[UNIT PRICE]]*Table1[[#This Row],[QUANTITY]])</f>
        <v/>
      </c>
      <c r="S2803" s="89"/>
      <c r="T2803" s="38"/>
      <c r="U2803" s="43"/>
      <c r="V2803" s="42" t="str">
        <f>IF(Table1[[#This Row],[DATE]]=0,"",YEAR(E2803))</f>
        <v/>
      </c>
      <c r="W2803" s="40" t="str">
        <f t="shared" si="90"/>
        <v/>
      </c>
      <c r="X2803" s="40" t="str">
        <f t="shared" si="91"/>
        <v/>
      </c>
      <c r="Y2803" s="40" t="str">
        <f>TEXT(Table1[[#This Row],[YEAR]],"0000")&amp;"-"&amp;Table1[[#This Row],[MONTH]]</f>
        <v>-</v>
      </c>
    </row>
    <row r="2804" spans="1:25" ht="15" customHeight="1" x14ac:dyDescent="0.35">
      <c r="A2804" s="24"/>
      <c r="B2804" s="38"/>
      <c r="C2804" s="38"/>
      <c r="D2804" s="38"/>
      <c r="E2804" s="37"/>
      <c r="F2804" s="38"/>
      <c r="G2804" s="198"/>
      <c r="H2804" s="198"/>
      <c r="I2804" s="39"/>
      <c r="J2804" s="38"/>
      <c r="K2804" s="198"/>
      <c r="L2804" s="38"/>
      <c r="M2804" s="38"/>
      <c r="N2804" s="38"/>
      <c r="O2804" s="38"/>
      <c r="P2804" s="40" t="str" cm="1">
        <f t="array" ref="P2804">IF(N2804="","",IFERROR(_xlfn.XLOOKUP(F2804&amp;"|"&amp;J2804&amp;"|"&amp;O2804,PRICES!$C$2:$C$659&amp;"|"&amp;PRICES!$B$2:$B$659&amp;"|"&amp;PRICES!$D$2:$D$659,PRICES!$E$2:$E$659),"Not Found"))</f>
        <v/>
      </c>
      <c r="Q2804" s="100" t="str">
        <f>IF(N2804=0,"",SUMIFS(PRICES!$G$2:$G$658,PRICES!$B$2:$B$658,'MAIN TABLE-1 AUTOMATED'!J2804,PRICES!$C$2:$C$658,'MAIN TABLE-1 AUTOMATED'!F2804,PRICES!$D$2:$D$658,'MAIN TABLE-1 AUTOMATED'!O2804))</f>
        <v/>
      </c>
      <c r="R2804" s="41" t="str">
        <f>IF(Table1[[#This Row],[QUANTITY]]=0,"",Table1[[#This Row],[UNIT PRICE]]*Table1[[#This Row],[QUANTITY]])</f>
        <v/>
      </c>
      <c r="S2804" s="89"/>
      <c r="T2804" s="38"/>
      <c r="U2804" s="43"/>
      <c r="V2804" s="42" t="str">
        <f>IF(Table1[[#This Row],[DATE]]=0,"",YEAR(E2804))</f>
        <v/>
      </c>
      <c r="W2804" s="40" t="str">
        <f t="shared" si="90"/>
        <v/>
      </c>
      <c r="X2804" s="40" t="str">
        <f t="shared" si="91"/>
        <v/>
      </c>
      <c r="Y2804" s="40" t="str">
        <f>TEXT(Table1[[#This Row],[YEAR]],"0000")&amp;"-"&amp;Table1[[#This Row],[MONTH]]</f>
        <v>-</v>
      </c>
    </row>
    <row r="2805" spans="1:25" ht="15" customHeight="1" x14ac:dyDescent="0.35">
      <c r="A2805" s="24"/>
      <c r="B2805" s="38"/>
      <c r="C2805" s="38"/>
      <c r="D2805" s="38"/>
      <c r="E2805" s="37"/>
      <c r="F2805" s="38"/>
      <c r="G2805" s="198"/>
      <c r="H2805" s="198"/>
      <c r="I2805" s="39"/>
      <c r="J2805" s="38"/>
      <c r="K2805" s="198"/>
      <c r="L2805" s="38"/>
      <c r="M2805" s="38"/>
      <c r="N2805" s="38"/>
      <c r="O2805" s="38"/>
      <c r="P2805" s="40" t="str" cm="1">
        <f t="array" ref="P2805">IF(N2805="","",IFERROR(_xlfn.XLOOKUP(F2805&amp;"|"&amp;J2805&amp;"|"&amp;O2805,PRICES!$C$2:$C$659&amp;"|"&amp;PRICES!$B$2:$B$659&amp;"|"&amp;PRICES!$D$2:$D$659,PRICES!$E$2:$E$659),"Not Found"))</f>
        <v/>
      </c>
      <c r="Q2805" s="100" t="str">
        <f>IF(N2805=0,"",SUMIFS(PRICES!$G$2:$G$658,PRICES!$B$2:$B$658,'MAIN TABLE-1 AUTOMATED'!J2805,PRICES!$C$2:$C$658,'MAIN TABLE-1 AUTOMATED'!F2805,PRICES!$D$2:$D$658,'MAIN TABLE-1 AUTOMATED'!O2805))</f>
        <v/>
      </c>
      <c r="R2805" s="41" t="str">
        <f>IF(Table1[[#This Row],[QUANTITY]]=0,"",Table1[[#This Row],[UNIT PRICE]]*Table1[[#This Row],[QUANTITY]])</f>
        <v/>
      </c>
      <c r="S2805" s="89"/>
      <c r="T2805" s="38"/>
      <c r="U2805" s="43"/>
      <c r="V2805" s="42" t="str">
        <f>IF(Table1[[#This Row],[DATE]]=0,"",YEAR(E2805))</f>
        <v/>
      </c>
      <c r="W2805" s="40" t="str">
        <f t="shared" si="90"/>
        <v/>
      </c>
      <c r="X2805" s="40" t="str">
        <f t="shared" si="91"/>
        <v/>
      </c>
      <c r="Y2805" s="40" t="str">
        <f>TEXT(Table1[[#This Row],[YEAR]],"0000")&amp;"-"&amp;Table1[[#This Row],[MONTH]]</f>
        <v>-</v>
      </c>
    </row>
    <row r="2806" spans="1:25" ht="15" customHeight="1" x14ac:dyDescent="0.35">
      <c r="A2806" s="24"/>
      <c r="B2806" s="38"/>
      <c r="C2806" s="38"/>
      <c r="D2806" s="38"/>
      <c r="E2806" s="37"/>
      <c r="F2806" s="38"/>
      <c r="G2806" s="198"/>
      <c r="H2806" s="198"/>
      <c r="I2806" s="39"/>
      <c r="J2806" s="38"/>
      <c r="K2806" s="198"/>
      <c r="L2806" s="38"/>
      <c r="M2806" s="38"/>
      <c r="N2806" s="38"/>
      <c r="O2806" s="38"/>
      <c r="P2806" s="40" t="str" cm="1">
        <f t="array" ref="P2806">IF(N2806="","",IFERROR(_xlfn.XLOOKUP(F2806&amp;"|"&amp;J2806&amp;"|"&amp;O2806,PRICES!$C$2:$C$659&amp;"|"&amp;PRICES!$B$2:$B$659&amp;"|"&amp;PRICES!$D$2:$D$659,PRICES!$E$2:$E$659),"Not Found"))</f>
        <v/>
      </c>
      <c r="Q2806" s="100" t="str">
        <f>IF(N2806=0,"",SUMIFS(PRICES!$G$2:$G$658,PRICES!$B$2:$B$658,'MAIN TABLE-1 AUTOMATED'!J2806,PRICES!$C$2:$C$658,'MAIN TABLE-1 AUTOMATED'!F2806,PRICES!$D$2:$D$658,'MAIN TABLE-1 AUTOMATED'!O2806))</f>
        <v/>
      </c>
      <c r="R2806" s="41" t="str">
        <f>IF(Table1[[#This Row],[QUANTITY]]=0,"",Table1[[#This Row],[UNIT PRICE]]*Table1[[#This Row],[QUANTITY]])</f>
        <v/>
      </c>
      <c r="S2806" s="89"/>
      <c r="T2806" s="38"/>
      <c r="U2806" s="43"/>
      <c r="V2806" s="42" t="str">
        <f>IF(Table1[[#This Row],[DATE]]=0,"",YEAR(E2806))</f>
        <v/>
      </c>
      <c r="W2806" s="40" t="str">
        <f t="shared" si="90"/>
        <v/>
      </c>
      <c r="X2806" s="40" t="str">
        <f t="shared" si="91"/>
        <v/>
      </c>
      <c r="Y2806" s="40" t="str">
        <f>TEXT(Table1[[#This Row],[YEAR]],"0000")&amp;"-"&amp;Table1[[#This Row],[MONTH]]</f>
        <v>-</v>
      </c>
    </row>
    <row r="2807" spans="1:25" ht="15" customHeight="1" x14ac:dyDescent="0.35">
      <c r="A2807" s="24"/>
      <c r="B2807" s="38"/>
      <c r="C2807" s="38"/>
      <c r="D2807" s="38"/>
      <c r="E2807" s="37"/>
      <c r="F2807" s="38"/>
      <c r="G2807" s="198"/>
      <c r="H2807" s="198"/>
      <c r="I2807" s="39"/>
      <c r="J2807" s="38"/>
      <c r="K2807" s="198"/>
      <c r="L2807" s="38"/>
      <c r="M2807" s="38"/>
      <c r="N2807" s="38"/>
      <c r="O2807" s="38"/>
      <c r="P2807" s="40" t="str" cm="1">
        <f t="array" ref="P2807">IF(N2807="","",IFERROR(_xlfn.XLOOKUP(F2807&amp;"|"&amp;J2807&amp;"|"&amp;O2807,PRICES!$C$2:$C$659&amp;"|"&amp;PRICES!$B$2:$B$659&amp;"|"&amp;PRICES!$D$2:$D$659,PRICES!$E$2:$E$659),"Not Found"))</f>
        <v/>
      </c>
      <c r="Q2807" s="100" t="str">
        <f>IF(N2807=0,"",SUMIFS(PRICES!$G$2:$G$658,PRICES!$B$2:$B$658,'MAIN TABLE-1 AUTOMATED'!J2807,PRICES!$C$2:$C$658,'MAIN TABLE-1 AUTOMATED'!F2807,PRICES!$D$2:$D$658,'MAIN TABLE-1 AUTOMATED'!O2807))</f>
        <v/>
      </c>
      <c r="R2807" s="41" t="str">
        <f>IF(Table1[[#This Row],[QUANTITY]]=0,"",Table1[[#This Row],[UNIT PRICE]]*Table1[[#This Row],[QUANTITY]])</f>
        <v/>
      </c>
      <c r="S2807" s="89"/>
      <c r="T2807" s="38"/>
      <c r="U2807" s="43"/>
      <c r="V2807" s="42" t="str">
        <f>IF(Table1[[#This Row],[DATE]]=0,"",YEAR(E2807))</f>
        <v/>
      </c>
      <c r="W2807" s="40" t="str">
        <f t="shared" si="90"/>
        <v/>
      </c>
      <c r="X2807" s="40" t="str">
        <f t="shared" si="91"/>
        <v/>
      </c>
      <c r="Y2807" s="40" t="str">
        <f>TEXT(Table1[[#This Row],[YEAR]],"0000")&amp;"-"&amp;Table1[[#This Row],[MONTH]]</f>
        <v>-</v>
      </c>
    </row>
    <row r="2808" spans="1:25" ht="15" customHeight="1" x14ac:dyDescent="0.35">
      <c r="A2808" s="24"/>
      <c r="B2808" s="38"/>
      <c r="C2808" s="38"/>
      <c r="D2808" s="38"/>
      <c r="E2808" s="37"/>
      <c r="F2808" s="38"/>
      <c r="G2808" s="198"/>
      <c r="H2808" s="198"/>
      <c r="I2808" s="39"/>
      <c r="J2808" s="38"/>
      <c r="K2808" s="198"/>
      <c r="L2808" s="38"/>
      <c r="M2808" s="38"/>
      <c r="N2808" s="38"/>
      <c r="O2808" s="38"/>
      <c r="P2808" s="40" t="str" cm="1">
        <f t="array" ref="P2808">IF(N2808="","",IFERROR(_xlfn.XLOOKUP(F2808&amp;"|"&amp;J2808&amp;"|"&amp;O2808,PRICES!$C$2:$C$659&amp;"|"&amp;PRICES!$B$2:$B$659&amp;"|"&amp;PRICES!$D$2:$D$659,PRICES!$E$2:$E$659),"Not Found"))</f>
        <v/>
      </c>
      <c r="Q2808" s="100" t="str">
        <f>IF(N2808=0,"",SUMIFS(PRICES!$G$2:$G$658,PRICES!$B$2:$B$658,'MAIN TABLE-1 AUTOMATED'!J2808,PRICES!$C$2:$C$658,'MAIN TABLE-1 AUTOMATED'!F2808,PRICES!$D$2:$D$658,'MAIN TABLE-1 AUTOMATED'!O2808))</f>
        <v/>
      </c>
      <c r="R2808" s="41" t="str">
        <f>IF(Table1[[#This Row],[QUANTITY]]=0,"",Table1[[#This Row],[UNIT PRICE]]*Table1[[#This Row],[QUANTITY]])</f>
        <v/>
      </c>
      <c r="S2808" s="89"/>
      <c r="T2808" s="38"/>
      <c r="U2808" s="43"/>
      <c r="V2808" s="42" t="str">
        <f>IF(Table1[[#This Row],[DATE]]=0,"",YEAR(E2808))</f>
        <v/>
      </c>
      <c r="W2808" s="40" t="str">
        <f t="shared" si="90"/>
        <v/>
      </c>
      <c r="X2808" s="40" t="str">
        <f t="shared" si="91"/>
        <v/>
      </c>
      <c r="Y2808" s="40" t="str">
        <f>TEXT(Table1[[#This Row],[YEAR]],"0000")&amp;"-"&amp;Table1[[#This Row],[MONTH]]</f>
        <v>-</v>
      </c>
    </row>
    <row r="2809" spans="1:25" ht="15" customHeight="1" x14ac:dyDescent="0.35">
      <c r="A2809" s="24"/>
      <c r="B2809" s="38"/>
      <c r="C2809" s="38"/>
      <c r="D2809" s="38"/>
      <c r="E2809" s="37"/>
      <c r="F2809" s="38"/>
      <c r="G2809" s="198"/>
      <c r="H2809" s="198"/>
      <c r="I2809" s="39"/>
      <c r="J2809" s="38"/>
      <c r="K2809" s="198"/>
      <c r="L2809" s="38"/>
      <c r="M2809" s="38"/>
      <c r="N2809" s="38"/>
      <c r="O2809" s="38"/>
      <c r="P2809" s="40" t="str" cm="1">
        <f t="array" ref="P2809">IF(N2809="","",IFERROR(_xlfn.XLOOKUP(F2809&amp;"|"&amp;J2809&amp;"|"&amp;O2809,PRICES!$C$2:$C$659&amp;"|"&amp;PRICES!$B$2:$B$659&amp;"|"&amp;PRICES!$D$2:$D$659,PRICES!$E$2:$E$659),"Not Found"))</f>
        <v/>
      </c>
      <c r="Q2809" s="100" t="str">
        <f>IF(N2809=0,"",SUMIFS(PRICES!$G$2:$G$658,PRICES!$B$2:$B$658,'MAIN TABLE-1 AUTOMATED'!J2809,PRICES!$C$2:$C$658,'MAIN TABLE-1 AUTOMATED'!F2809,PRICES!$D$2:$D$658,'MAIN TABLE-1 AUTOMATED'!O2809))</f>
        <v/>
      </c>
      <c r="R2809" s="41" t="str">
        <f>IF(Table1[[#This Row],[QUANTITY]]=0,"",Table1[[#This Row],[UNIT PRICE]]*Table1[[#This Row],[QUANTITY]])</f>
        <v/>
      </c>
      <c r="S2809" s="89"/>
      <c r="T2809" s="38"/>
      <c r="U2809" s="43"/>
      <c r="V2809" s="42" t="str">
        <f>IF(Table1[[#This Row],[DATE]]=0,"",YEAR(E2809))</f>
        <v/>
      </c>
      <c r="W2809" s="40" t="str">
        <f t="shared" si="90"/>
        <v/>
      </c>
      <c r="X2809" s="40" t="str">
        <f t="shared" si="91"/>
        <v/>
      </c>
      <c r="Y2809" s="40" t="str">
        <f>TEXT(Table1[[#This Row],[YEAR]],"0000")&amp;"-"&amp;Table1[[#This Row],[MONTH]]</f>
        <v>-</v>
      </c>
    </row>
    <row r="2810" spans="1:25" ht="15" customHeight="1" x14ac:dyDescent="0.35">
      <c r="A2810" s="24"/>
      <c r="B2810" s="38"/>
      <c r="C2810" s="38"/>
      <c r="D2810" s="38"/>
      <c r="E2810" s="37"/>
      <c r="F2810" s="38"/>
      <c r="G2810" s="198"/>
      <c r="H2810" s="198"/>
      <c r="I2810" s="39"/>
      <c r="J2810" s="38"/>
      <c r="K2810" s="198"/>
      <c r="L2810" s="38"/>
      <c r="M2810" s="38"/>
      <c r="N2810" s="38"/>
      <c r="O2810" s="38"/>
      <c r="P2810" s="40" t="str" cm="1">
        <f t="array" ref="P2810">IF(N2810="","",IFERROR(_xlfn.XLOOKUP(F2810&amp;"|"&amp;J2810&amp;"|"&amp;O2810,PRICES!$C$2:$C$659&amp;"|"&amp;PRICES!$B$2:$B$659&amp;"|"&amp;PRICES!$D$2:$D$659,PRICES!$E$2:$E$659),"Not Found"))</f>
        <v/>
      </c>
      <c r="Q2810" s="100" t="str">
        <f>IF(N2810=0,"",SUMIFS(PRICES!$G$2:$G$658,PRICES!$B$2:$B$658,'MAIN TABLE-1 AUTOMATED'!J2810,PRICES!$C$2:$C$658,'MAIN TABLE-1 AUTOMATED'!F2810,PRICES!$D$2:$D$658,'MAIN TABLE-1 AUTOMATED'!O2810))</f>
        <v/>
      </c>
      <c r="R2810" s="41" t="str">
        <f>IF(Table1[[#This Row],[QUANTITY]]=0,"",Table1[[#This Row],[UNIT PRICE]]*Table1[[#This Row],[QUANTITY]])</f>
        <v/>
      </c>
      <c r="S2810" s="89"/>
      <c r="T2810" s="38"/>
      <c r="U2810" s="43"/>
      <c r="V2810" s="42" t="str">
        <f>IF(Table1[[#This Row],[DATE]]=0,"",YEAR(E2810))</f>
        <v/>
      </c>
      <c r="W2810" s="40" t="str">
        <f t="shared" si="90"/>
        <v/>
      </c>
      <c r="X2810" s="40" t="str">
        <f t="shared" si="91"/>
        <v/>
      </c>
      <c r="Y2810" s="40" t="str">
        <f>TEXT(Table1[[#This Row],[YEAR]],"0000")&amp;"-"&amp;Table1[[#This Row],[MONTH]]</f>
        <v>-</v>
      </c>
    </row>
    <row r="2811" spans="1:25" ht="15" customHeight="1" x14ac:dyDescent="0.35">
      <c r="A2811" s="24"/>
      <c r="B2811" s="38"/>
      <c r="C2811" s="38"/>
      <c r="D2811" s="38"/>
      <c r="E2811" s="37"/>
      <c r="F2811" s="38"/>
      <c r="G2811" s="198"/>
      <c r="H2811" s="198"/>
      <c r="I2811" s="39"/>
      <c r="J2811" s="38"/>
      <c r="K2811" s="198"/>
      <c r="L2811" s="38"/>
      <c r="M2811" s="38"/>
      <c r="N2811" s="38"/>
      <c r="O2811" s="38"/>
      <c r="P2811" s="40" t="str" cm="1">
        <f t="array" ref="P2811">IF(N2811="","",IFERROR(_xlfn.XLOOKUP(F2811&amp;"|"&amp;J2811&amp;"|"&amp;O2811,PRICES!$C$2:$C$659&amp;"|"&amp;PRICES!$B$2:$B$659&amp;"|"&amp;PRICES!$D$2:$D$659,PRICES!$E$2:$E$659),"Not Found"))</f>
        <v/>
      </c>
      <c r="Q2811" s="100" t="str">
        <f>IF(N2811=0,"",SUMIFS(PRICES!$G$2:$G$658,PRICES!$B$2:$B$658,'MAIN TABLE-1 AUTOMATED'!J2811,PRICES!$C$2:$C$658,'MAIN TABLE-1 AUTOMATED'!F2811,PRICES!$D$2:$D$658,'MAIN TABLE-1 AUTOMATED'!O2811))</f>
        <v/>
      </c>
      <c r="R2811" s="41" t="str">
        <f>IF(Table1[[#This Row],[QUANTITY]]=0,"",Table1[[#This Row],[UNIT PRICE]]*Table1[[#This Row],[QUANTITY]])</f>
        <v/>
      </c>
      <c r="S2811" s="89"/>
      <c r="T2811" s="38"/>
      <c r="U2811" s="43"/>
      <c r="V2811" s="42" t="str">
        <f>IF(Table1[[#This Row],[DATE]]=0,"",YEAR(E2811))</f>
        <v/>
      </c>
      <c r="W2811" s="40" t="str">
        <f t="shared" si="90"/>
        <v/>
      </c>
      <c r="X2811" s="40" t="str">
        <f t="shared" si="91"/>
        <v/>
      </c>
      <c r="Y2811" s="40" t="str">
        <f>TEXT(Table1[[#This Row],[YEAR]],"0000")&amp;"-"&amp;Table1[[#This Row],[MONTH]]</f>
        <v>-</v>
      </c>
    </row>
    <row r="2812" spans="1:25" ht="15" customHeight="1" x14ac:dyDescent="0.35">
      <c r="A2812" s="24"/>
      <c r="B2812" s="38"/>
      <c r="C2812" s="38"/>
      <c r="D2812" s="38"/>
      <c r="E2812" s="37"/>
      <c r="F2812" s="38"/>
      <c r="G2812" s="198"/>
      <c r="H2812" s="198"/>
      <c r="I2812" s="39"/>
      <c r="J2812" s="38"/>
      <c r="K2812" s="198"/>
      <c r="L2812" s="38"/>
      <c r="M2812" s="38"/>
      <c r="N2812" s="38"/>
      <c r="O2812" s="38"/>
      <c r="P2812" s="40" t="str" cm="1">
        <f t="array" ref="P2812">IF(N2812="","",IFERROR(_xlfn.XLOOKUP(F2812&amp;"|"&amp;J2812&amp;"|"&amp;O2812,PRICES!$C$2:$C$659&amp;"|"&amp;PRICES!$B$2:$B$659&amp;"|"&amp;PRICES!$D$2:$D$659,PRICES!$E$2:$E$659),"Not Found"))</f>
        <v/>
      </c>
      <c r="Q2812" s="100" t="str">
        <f>IF(N2812=0,"",SUMIFS(PRICES!$G$2:$G$658,PRICES!$B$2:$B$658,'MAIN TABLE-1 AUTOMATED'!J2812,PRICES!$C$2:$C$658,'MAIN TABLE-1 AUTOMATED'!F2812,PRICES!$D$2:$D$658,'MAIN TABLE-1 AUTOMATED'!O2812))</f>
        <v/>
      </c>
      <c r="R2812" s="41" t="str">
        <f>IF(Table1[[#This Row],[QUANTITY]]=0,"",Table1[[#This Row],[UNIT PRICE]]*Table1[[#This Row],[QUANTITY]])</f>
        <v/>
      </c>
      <c r="S2812" s="89"/>
      <c r="T2812" s="38"/>
      <c r="U2812" s="43"/>
      <c r="V2812" s="42" t="str">
        <f>IF(Table1[[#This Row],[DATE]]=0,"",YEAR(E2812))</f>
        <v/>
      </c>
      <c r="W2812" s="40" t="str">
        <f t="shared" si="90"/>
        <v/>
      </c>
      <c r="X2812" s="40" t="str">
        <f t="shared" si="91"/>
        <v/>
      </c>
      <c r="Y2812" s="40" t="str">
        <f>TEXT(Table1[[#This Row],[YEAR]],"0000")&amp;"-"&amp;Table1[[#This Row],[MONTH]]</f>
        <v>-</v>
      </c>
    </row>
    <row r="2813" spans="1:25" ht="15" customHeight="1" x14ac:dyDescent="0.35">
      <c r="A2813" s="24"/>
      <c r="B2813" s="38"/>
      <c r="C2813" s="38"/>
      <c r="D2813" s="38"/>
      <c r="E2813" s="37"/>
      <c r="F2813" s="38"/>
      <c r="G2813" s="198"/>
      <c r="H2813" s="198"/>
      <c r="I2813" s="39"/>
      <c r="J2813" s="38"/>
      <c r="K2813" s="198"/>
      <c r="L2813" s="38"/>
      <c r="M2813" s="38"/>
      <c r="N2813" s="38"/>
      <c r="O2813" s="38"/>
      <c r="P2813" s="40" t="str" cm="1">
        <f t="array" ref="P2813">IF(N2813="","",IFERROR(_xlfn.XLOOKUP(F2813&amp;"|"&amp;J2813&amp;"|"&amp;O2813,PRICES!$C$2:$C$659&amp;"|"&amp;PRICES!$B$2:$B$659&amp;"|"&amp;PRICES!$D$2:$D$659,PRICES!$E$2:$E$659),"Not Found"))</f>
        <v/>
      </c>
      <c r="Q2813" s="100" t="str">
        <f>IF(N2813=0,"",SUMIFS(PRICES!$G$2:$G$658,PRICES!$B$2:$B$658,'MAIN TABLE-1 AUTOMATED'!J2813,PRICES!$C$2:$C$658,'MAIN TABLE-1 AUTOMATED'!F2813,PRICES!$D$2:$D$658,'MAIN TABLE-1 AUTOMATED'!O2813))</f>
        <v/>
      </c>
      <c r="R2813" s="41" t="str">
        <f>IF(Table1[[#This Row],[QUANTITY]]=0,"",Table1[[#This Row],[UNIT PRICE]]*Table1[[#This Row],[QUANTITY]])</f>
        <v/>
      </c>
      <c r="S2813" s="89"/>
      <c r="T2813" s="38"/>
      <c r="U2813" s="43"/>
      <c r="V2813" s="42" t="str">
        <f>IF(Table1[[#This Row],[DATE]]=0,"",YEAR(E2813))</f>
        <v/>
      </c>
      <c r="W2813" s="40" t="str">
        <f t="shared" si="90"/>
        <v/>
      </c>
      <c r="X2813" s="40" t="str">
        <f t="shared" si="91"/>
        <v/>
      </c>
      <c r="Y2813" s="40" t="str">
        <f>TEXT(Table1[[#This Row],[YEAR]],"0000")&amp;"-"&amp;Table1[[#This Row],[MONTH]]</f>
        <v>-</v>
      </c>
    </row>
    <row r="2814" spans="1:25" ht="15" customHeight="1" x14ac:dyDescent="0.35">
      <c r="A2814" s="24"/>
      <c r="B2814" s="38"/>
      <c r="C2814" s="38"/>
      <c r="D2814" s="38"/>
      <c r="E2814" s="37"/>
      <c r="F2814" s="38"/>
      <c r="G2814" s="198"/>
      <c r="H2814" s="198"/>
      <c r="I2814" s="39"/>
      <c r="J2814" s="38"/>
      <c r="K2814" s="198"/>
      <c r="L2814" s="38"/>
      <c r="M2814" s="38"/>
      <c r="N2814" s="38"/>
      <c r="O2814" s="38"/>
      <c r="P2814" s="40" t="str" cm="1">
        <f t="array" ref="P2814">IF(N2814="","",IFERROR(_xlfn.XLOOKUP(F2814&amp;"|"&amp;J2814&amp;"|"&amp;O2814,PRICES!$C$2:$C$659&amp;"|"&amp;PRICES!$B$2:$B$659&amp;"|"&amp;PRICES!$D$2:$D$659,PRICES!$E$2:$E$659),"Not Found"))</f>
        <v/>
      </c>
      <c r="Q2814" s="100" t="str">
        <f>IF(N2814=0,"",SUMIFS(PRICES!$G$2:$G$658,PRICES!$B$2:$B$658,'MAIN TABLE-1 AUTOMATED'!J2814,PRICES!$C$2:$C$658,'MAIN TABLE-1 AUTOMATED'!F2814,PRICES!$D$2:$D$658,'MAIN TABLE-1 AUTOMATED'!O2814))</f>
        <v/>
      </c>
      <c r="R2814" s="41" t="str">
        <f>IF(Table1[[#This Row],[QUANTITY]]=0,"",Table1[[#This Row],[UNIT PRICE]]*Table1[[#This Row],[QUANTITY]])</f>
        <v/>
      </c>
      <c r="S2814" s="89"/>
      <c r="T2814" s="38"/>
      <c r="U2814" s="43"/>
      <c r="V2814" s="42" t="str">
        <f>IF(Table1[[#This Row],[DATE]]=0,"",YEAR(E2814))</f>
        <v/>
      </c>
      <c r="W2814" s="40" t="str">
        <f t="shared" si="90"/>
        <v/>
      </c>
      <c r="X2814" s="40" t="str">
        <f t="shared" si="91"/>
        <v/>
      </c>
      <c r="Y2814" s="40" t="str">
        <f>TEXT(Table1[[#This Row],[YEAR]],"0000")&amp;"-"&amp;Table1[[#This Row],[MONTH]]</f>
        <v>-</v>
      </c>
    </row>
    <row r="2815" spans="1:25" ht="15" customHeight="1" x14ac:dyDescent="0.35">
      <c r="A2815" s="24"/>
      <c r="B2815" s="38"/>
      <c r="C2815" s="38"/>
      <c r="D2815" s="38"/>
      <c r="E2815" s="37"/>
      <c r="F2815" s="38"/>
      <c r="G2815" s="198"/>
      <c r="H2815" s="198"/>
      <c r="I2815" s="39"/>
      <c r="J2815" s="38"/>
      <c r="K2815" s="198"/>
      <c r="L2815" s="38"/>
      <c r="M2815" s="38"/>
      <c r="N2815" s="38"/>
      <c r="O2815" s="38"/>
      <c r="P2815" s="40" t="str" cm="1">
        <f t="array" ref="P2815">IF(N2815="","",IFERROR(_xlfn.XLOOKUP(F2815&amp;"|"&amp;J2815&amp;"|"&amp;O2815,PRICES!$C$2:$C$659&amp;"|"&amp;PRICES!$B$2:$B$659&amp;"|"&amp;PRICES!$D$2:$D$659,PRICES!$E$2:$E$659),"Not Found"))</f>
        <v/>
      </c>
      <c r="Q2815" s="100" t="str">
        <f>IF(N2815=0,"",SUMIFS(PRICES!$G$2:$G$658,PRICES!$B$2:$B$658,'MAIN TABLE-1 AUTOMATED'!J2815,PRICES!$C$2:$C$658,'MAIN TABLE-1 AUTOMATED'!F2815,PRICES!$D$2:$D$658,'MAIN TABLE-1 AUTOMATED'!O2815))</f>
        <v/>
      </c>
      <c r="R2815" s="41" t="str">
        <f>IF(Table1[[#This Row],[QUANTITY]]=0,"",Table1[[#This Row],[UNIT PRICE]]*Table1[[#This Row],[QUANTITY]])</f>
        <v/>
      </c>
      <c r="S2815" s="89"/>
      <c r="T2815" s="38"/>
      <c r="U2815" s="43"/>
      <c r="V2815" s="42" t="str">
        <f>IF(Table1[[#This Row],[DATE]]=0,"",YEAR(E2815))</f>
        <v/>
      </c>
      <c r="W2815" s="40" t="str">
        <f t="shared" si="90"/>
        <v/>
      </c>
      <c r="X2815" s="40" t="str">
        <f t="shared" si="91"/>
        <v/>
      </c>
      <c r="Y2815" s="40" t="str">
        <f>TEXT(Table1[[#This Row],[YEAR]],"0000")&amp;"-"&amp;Table1[[#This Row],[MONTH]]</f>
        <v>-</v>
      </c>
    </row>
    <row r="2816" spans="1:25" ht="15" customHeight="1" x14ac:dyDescent="0.35">
      <c r="A2816" s="24"/>
      <c r="B2816" s="38"/>
      <c r="C2816" s="38"/>
      <c r="D2816" s="38"/>
      <c r="E2816" s="37"/>
      <c r="F2816" s="38"/>
      <c r="G2816" s="198"/>
      <c r="H2816" s="198"/>
      <c r="I2816" s="39"/>
      <c r="J2816" s="38"/>
      <c r="K2816" s="198"/>
      <c r="L2816" s="38"/>
      <c r="M2816" s="38"/>
      <c r="N2816" s="38"/>
      <c r="O2816" s="38"/>
      <c r="P2816" s="40" t="str" cm="1">
        <f t="array" ref="P2816">IF(N2816="","",IFERROR(_xlfn.XLOOKUP(F2816&amp;"|"&amp;J2816&amp;"|"&amp;O2816,PRICES!$C$2:$C$659&amp;"|"&amp;PRICES!$B$2:$B$659&amp;"|"&amp;PRICES!$D$2:$D$659,PRICES!$E$2:$E$659),"Not Found"))</f>
        <v/>
      </c>
      <c r="Q2816" s="100" t="str">
        <f>IF(N2816=0,"",SUMIFS(PRICES!$G$2:$G$658,PRICES!$B$2:$B$658,'MAIN TABLE-1 AUTOMATED'!J2816,PRICES!$C$2:$C$658,'MAIN TABLE-1 AUTOMATED'!F2816,PRICES!$D$2:$D$658,'MAIN TABLE-1 AUTOMATED'!O2816))</f>
        <v/>
      </c>
      <c r="R2816" s="41" t="str">
        <f>IF(Table1[[#This Row],[QUANTITY]]=0,"",Table1[[#This Row],[UNIT PRICE]]*Table1[[#This Row],[QUANTITY]])</f>
        <v/>
      </c>
      <c r="S2816" s="89"/>
      <c r="T2816" s="38"/>
      <c r="U2816" s="43"/>
      <c r="V2816" s="42" t="str">
        <f>IF(Table1[[#This Row],[DATE]]=0,"",YEAR(E2816))</f>
        <v/>
      </c>
      <c r="W2816" s="40" t="str">
        <f t="shared" si="90"/>
        <v/>
      </c>
      <c r="X2816" s="40" t="str">
        <f t="shared" si="91"/>
        <v/>
      </c>
      <c r="Y2816" s="40" t="str">
        <f>TEXT(Table1[[#This Row],[YEAR]],"0000")&amp;"-"&amp;Table1[[#This Row],[MONTH]]</f>
        <v>-</v>
      </c>
    </row>
    <row r="2817" spans="1:25" ht="15" customHeight="1" x14ac:dyDescent="0.35">
      <c r="A2817" s="24"/>
      <c r="B2817" s="38"/>
      <c r="C2817" s="38"/>
      <c r="D2817" s="38"/>
      <c r="E2817" s="37"/>
      <c r="F2817" s="38"/>
      <c r="G2817" s="198"/>
      <c r="H2817" s="198"/>
      <c r="I2817" s="39"/>
      <c r="J2817" s="38"/>
      <c r="K2817" s="198"/>
      <c r="L2817" s="38"/>
      <c r="M2817" s="38"/>
      <c r="N2817" s="38"/>
      <c r="O2817" s="38"/>
      <c r="P2817" s="40" t="str" cm="1">
        <f t="array" ref="P2817">IF(N2817="","",IFERROR(_xlfn.XLOOKUP(F2817&amp;"|"&amp;J2817&amp;"|"&amp;O2817,PRICES!$C$2:$C$659&amp;"|"&amp;PRICES!$B$2:$B$659&amp;"|"&amp;PRICES!$D$2:$D$659,PRICES!$E$2:$E$659),"Not Found"))</f>
        <v/>
      </c>
      <c r="Q2817" s="100" t="str">
        <f>IF(N2817=0,"",SUMIFS(PRICES!$G$2:$G$658,PRICES!$B$2:$B$658,'MAIN TABLE-1 AUTOMATED'!J2817,PRICES!$C$2:$C$658,'MAIN TABLE-1 AUTOMATED'!F2817,PRICES!$D$2:$D$658,'MAIN TABLE-1 AUTOMATED'!O2817))</f>
        <v/>
      </c>
      <c r="R2817" s="41" t="str">
        <f>IF(Table1[[#This Row],[QUANTITY]]=0,"",Table1[[#This Row],[UNIT PRICE]]*Table1[[#This Row],[QUANTITY]])</f>
        <v/>
      </c>
      <c r="S2817" s="89"/>
      <c r="T2817" s="38"/>
      <c r="U2817" s="43"/>
      <c r="V2817" s="42" t="str">
        <f>IF(Table1[[#This Row],[DATE]]=0,"",YEAR(E2817))</f>
        <v/>
      </c>
      <c r="W2817" s="40" t="str">
        <f t="shared" si="90"/>
        <v/>
      </c>
      <c r="X2817" s="40" t="str">
        <f t="shared" si="91"/>
        <v/>
      </c>
      <c r="Y2817" s="40" t="str">
        <f>TEXT(Table1[[#This Row],[YEAR]],"0000")&amp;"-"&amp;Table1[[#This Row],[MONTH]]</f>
        <v>-</v>
      </c>
    </row>
    <row r="2818" spans="1:25" ht="15" customHeight="1" x14ac:dyDescent="0.35">
      <c r="A2818" s="24"/>
      <c r="B2818" s="38"/>
      <c r="C2818" s="38"/>
      <c r="D2818" s="38"/>
      <c r="E2818" s="37"/>
      <c r="F2818" s="38"/>
      <c r="G2818" s="198"/>
      <c r="H2818" s="198"/>
      <c r="I2818" s="39"/>
      <c r="J2818" s="38"/>
      <c r="K2818" s="198"/>
      <c r="L2818" s="38"/>
      <c r="M2818" s="38"/>
      <c r="N2818" s="38"/>
      <c r="O2818" s="38"/>
      <c r="P2818" s="40" t="str" cm="1">
        <f t="array" ref="P2818">IF(N2818="","",IFERROR(_xlfn.XLOOKUP(F2818&amp;"|"&amp;J2818&amp;"|"&amp;O2818,PRICES!$C$2:$C$659&amp;"|"&amp;PRICES!$B$2:$B$659&amp;"|"&amp;PRICES!$D$2:$D$659,PRICES!$E$2:$E$659),"Not Found"))</f>
        <v/>
      </c>
      <c r="Q2818" s="100" t="str">
        <f>IF(N2818=0,"",SUMIFS(PRICES!$G$2:$G$658,PRICES!$B$2:$B$658,'MAIN TABLE-1 AUTOMATED'!J2818,PRICES!$C$2:$C$658,'MAIN TABLE-1 AUTOMATED'!F2818,PRICES!$D$2:$D$658,'MAIN TABLE-1 AUTOMATED'!O2818))</f>
        <v/>
      </c>
      <c r="R2818" s="41" t="str">
        <f>IF(Table1[[#This Row],[QUANTITY]]=0,"",Table1[[#This Row],[UNIT PRICE]]*Table1[[#This Row],[QUANTITY]])</f>
        <v/>
      </c>
      <c r="S2818" s="89"/>
      <c r="T2818" s="38"/>
      <c r="U2818" s="43"/>
      <c r="V2818" s="42" t="str">
        <f>IF(Table1[[#This Row],[DATE]]=0,"",YEAR(E2818))</f>
        <v/>
      </c>
      <c r="W2818" s="40" t="str">
        <f t="shared" si="90"/>
        <v/>
      </c>
      <c r="X2818" s="40" t="str">
        <f t="shared" si="91"/>
        <v/>
      </c>
      <c r="Y2818" s="40" t="str">
        <f>TEXT(Table1[[#This Row],[YEAR]],"0000")&amp;"-"&amp;Table1[[#This Row],[MONTH]]</f>
        <v>-</v>
      </c>
    </row>
    <row r="2819" spans="1:25" ht="15" customHeight="1" x14ac:dyDescent="0.35">
      <c r="A2819" s="24"/>
      <c r="B2819" s="38"/>
      <c r="C2819" s="38"/>
      <c r="D2819" s="38"/>
      <c r="E2819" s="37"/>
      <c r="F2819" s="38"/>
      <c r="G2819" s="198"/>
      <c r="H2819" s="198"/>
      <c r="I2819" s="39"/>
      <c r="J2819" s="38"/>
      <c r="K2819" s="198"/>
      <c r="L2819" s="38"/>
      <c r="M2819" s="38"/>
      <c r="N2819" s="38"/>
      <c r="O2819" s="38"/>
      <c r="P2819" s="40" t="str" cm="1">
        <f t="array" ref="P2819">IF(N2819="","",IFERROR(_xlfn.XLOOKUP(F2819&amp;"|"&amp;J2819&amp;"|"&amp;O2819,PRICES!$C$2:$C$659&amp;"|"&amp;PRICES!$B$2:$B$659&amp;"|"&amp;PRICES!$D$2:$D$659,PRICES!$E$2:$E$659),"Not Found"))</f>
        <v/>
      </c>
      <c r="Q2819" s="100" t="str">
        <f>IF(N2819=0,"",SUMIFS(PRICES!$G$2:$G$658,PRICES!$B$2:$B$658,'MAIN TABLE-1 AUTOMATED'!J2819,PRICES!$C$2:$C$658,'MAIN TABLE-1 AUTOMATED'!F2819,PRICES!$D$2:$D$658,'MAIN TABLE-1 AUTOMATED'!O2819))</f>
        <v/>
      </c>
      <c r="R2819" s="41" t="str">
        <f>IF(Table1[[#This Row],[QUANTITY]]=0,"",Table1[[#This Row],[UNIT PRICE]]*Table1[[#This Row],[QUANTITY]])</f>
        <v/>
      </c>
      <c r="S2819" s="89"/>
      <c r="T2819" s="38"/>
      <c r="U2819" s="43"/>
      <c r="V2819" s="42" t="str">
        <f>IF(Table1[[#This Row],[DATE]]=0,"",YEAR(E2819))</f>
        <v/>
      </c>
      <c r="W2819" s="40" t="str">
        <f t="shared" ref="W2819:W2882" si="92">IF(E2819=0,"",MONTH(E2819))</f>
        <v/>
      </c>
      <c r="X2819" s="40" t="str">
        <f t="shared" ref="X2819:X2882" si="93">IF(E2819=0,"",WEEKNUM(E2819))</f>
        <v/>
      </c>
      <c r="Y2819" s="40" t="str">
        <f>TEXT(Table1[[#This Row],[YEAR]],"0000")&amp;"-"&amp;Table1[[#This Row],[MONTH]]</f>
        <v>-</v>
      </c>
    </row>
    <row r="2820" spans="1:25" ht="15" customHeight="1" x14ac:dyDescent="0.35">
      <c r="A2820" s="24"/>
      <c r="B2820" s="38"/>
      <c r="C2820" s="38"/>
      <c r="D2820" s="38"/>
      <c r="E2820" s="37"/>
      <c r="F2820" s="38"/>
      <c r="G2820" s="198"/>
      <c r="H2820" s="198"/>
      <c r="I2820" s="39"/>
      <c r="J2820" s="38"/>
      <c r="K2820" s="198"/>
      <c r="L2820" s="38"/>
      <c r="M2820" s="38"/>
      <c r="N2820" s="38"/>
      <c r="O2820" s="38"/>
      <c r="P2820" s="40" t="str" cm="1">
        <f t="array" ref="P2820">IF(N2820="","",IFERROR(_xlfn.XLOOKUP(F2820&amp;"|"&amp;J2820&amp;"|"&amp;O2820,PRICES!$C$2:$C$659&amp;"|"&amp;PRICES!$B$2:$B$659&amp;"|"&amp;PRICES!$D$2:$D$659,PRICES!$E$2:$E$659),"Not Found"))</f>
        <v/>
      </c>
      <c r="Q2820" s="100" t="str">
        <f>IF(N2820=0,"",SUMIFS(PRICES!$G$2:$G$658,PRICES!$B$2:$B$658,'MAIN TABLE-1 AUTOMATED'!J2820,PRICES!$C$2:$C$658,'MAIN TABLE-1 AUTOMATED'!F2820,PRICES!$D$2:$D$658,'MAIN TABLE-1 AUTOMATED'!O2820))</f>
        <v/>
      </c>
      <c r="R2820" s="41" t="str">
        <f>IF(Table1[[#This Row],[QUANTITY]]=0,"",Table1[[#This Row],[UNIT PRICE]]*Table1[[#This Row],[QUANTITY]])</f>
        <v/>
      </c>
      <c r="S2820" s="89"/>
      <c r="T2820" s="38"/>
      <c r="U2820" s="43"/>
      <c r="V2820" s="42" t="str">
        <f>IF(Table1[[#This Row],[DATE]]=0,"",YEAR(E2820))</f>
        <v/>
      </c>
      <c r="W2820" s="40" t="str">
        <f t="shared" si="92"/>
        <v/>
      </c>
      <c r="X2820" s="40" t="str">
        <f t="shared" si="93"/>
        <v/>
      </c>
      <c r="Y2820" s="40" t="str">
        <f>TEXT(Table1[[#This Row],[YEAR]],"0000")&amp;"-"&amp;Table1[[#This Row],[MONTH]]</f>
        <v>-</v>
      </c>
    </row>
    <row r="2821" spans="1:25" ht="15" customHeight="1" x14ac:dyDescent="0.35">
      <c r="A2821" s="24"/>
      <c r="B2821" s="38"/>
      <c r="C2821" s="38"/>
      <c r="D2821" s="38"/>
      <c r="E2821" s="37"/>
      <c r="F2821" s="38"/>
      <c r="G2821" s="198"/>
      <c r="H2821" s="198"/>
      <c r="I2821" s="39"/>
      <c r="J2821" s="38"/>
      <c r="K2821" s="198"/>
      <c r="L2821" s="38"/>
      <c r="M2821" s="38"/>
      <c r="N2821" s="38"/>
      <c r="O2821" s="38"/>
      <c r="P2821" s="40" t="str" cm="1">
        <f t="array" ref="P2821">IF(N2821="","",IFERROR(_xlfn.XLOOKUP(F2821&amp;"|"&amp;J2821&amp;"|"&amp;O2821,PRICES!$C$2:$C$659&amp;"|"&amp;PRICES!$B$2:$B$659&amp;"|"&amp;PRICES!$D$2:$D$659,PRICES!$E$2:$E$659),"Not Found"))</f>
        <v/>
      </c>
      <c r="Q2821" s="100" t="str">
        <f>IF(N2821=0,"",SUMIFS(PRICES!$G$2:$G$658,PRICES!$B$2:$B$658,'MAIN TABLE-1 AUTOMATED'!J2821,PRICES!$C$2:$C$658,'MAIN TABLE-1 AUTOMATED'!F2821,PRICES!$D$2:$D$658,'MAIN TABLE-1 AUTOMATED'!O2821))</f>
        <v/>
      </c>
      <c r="R2821" s="41" t="str">
        <f>IF(Table1[[#This Row],[QUANTITY]]=0,"",Table1[[#This Row],[UNIT PRICE]]*Table1[[#This Row],[QUANTITY]])</f>
        <v/>
      </c>
      <c r="S2821" s="89"/>
      <c r="T2821" s="38"/>
      <c r="U2821" s="43"/>
      <c r="V2821" s="42" t="str">
        <f>IF(Table1[[#This Row],[DATE]]=0,"",YEAR(E2821))</f>
        <v/>
      </c>
      <c r="W2821" s="40" t="str">
        <f t="shared" si="92"/>
        <v/>
      </c>
      <c r="X2821" s="40" t="str">
        <f t="shared" si="93"/>
        <v/>
      </c>
      <c r="Y2821" s="40" t="str">
        <f>TEXT(Table1[[#This Row],[YEAR]],"0000")&amp;"-"&amp;Table1[[#This Row],[MONTH]]</f>
        <v>-</v>
      </c>
    </row>
    <row r="2822" spans="1:25" ht="15" customHeight="1" x14ac:dyDescent="0.35">
      <c r="A2822" s="24"/>
      <c r="B2822" s="38"/>
      <c r="C2822" s="38"/>
      <c r="D2822" s="38"/>
      <c r="E2822" s="37"/>
      <c r="F2822" s="38"/>
      <c r="G2822" s="198"/>
      <c r="H2822" s="198"/>
      <c r="I2822" s="39"/>
      <c r="J2822" s="38"/>
      <c r="K2822" s="198"/>
      <c r="L2822" s="38"/>
      <c r="M2822" s="38"/>
      <c r="N2822" s="38"/>
      <c r="O2822" s="38"/>
      <c r="P2822" s="40" t="str" cm="1">
        <f t="array" ref="P2822">IF(N2822="","",IFERROR(_xlfn.XLOOKUP(F2822&amp;"|"&amp;J2822&amp;"|"&amp;O2822,PRICES!$C$2:$C$659&amp;"|"&amp;PRICES!$B$2:$B$659&amp;"|"&amp;PRICES!$D$2:$D$659,PRICES!$E$2:$E$659),"Not Found"))</f>
        <v/>
      </c>
      <c r="Q2822" s="100" t="str">
        <f>IF(N2822=0,"",SUMIFS(PRICES!$G$2:$G$658,PRICES!$B$2:$B$658,'MAIN TABLE-1 AUTOMATED'!J2822,PRICES!$C$2:$C$658,'MAIN TABLE-1 AUTOMATED'!F2822,PRICES!$D$2:$D$658,'MAIN TABLE-1 AUTOMATED'!O2822))</f>
        <v/>
      </c>
      <c r="R2822" s="41" t="str">
        <f>IF(Table1[[#This Row],[QUANTITY]]=0,"",Table1[[#This Row],[UNIT PRICE]]*Table1[[#This Row],[QUANTITY]])</f>
        <v/>
      </c>
      <c r="S2822" s="89"/>
      <c r="T2822" s="38"/>
      <c r="U2822" s="43"/>
      <c r="V2822" s="42" t="str">
        <f>IF(Table1[[#This Row],[DATE]]=0,"",YEAR(E2822))</f>
        <v/>
      </c>
      <c r="W2822" s="40" t="str">
        <f t="shared" si="92"/>
        <v/>
      </c>
      <c r="X2822" s="40" t="str">
        <f t="shared" si="93"/>
        <v/>
      </c>
      <c r="Y2822" s="40" t="str">
        <f>TEXT(Table1[[#This Row],[YEAR]],"0000")&amp;"-"&amp;Table1[[#This Row],[MONTH]]</f>
        <v>-</v>
      </c>
    </row>
    <row r="2823" spans="1:25" ht="15" customHeight="1" x14ac:dyDescent="0.35">
      <c r="A2823" s="24"/>
      <c r="B2823" s="38"/>
      <c r="C2823" s="38"/>
      <c r="D2823" s="38"/>
      <c r="E2823" s="37"/>
      <c r="F2823" s="38"/>
      <c r="G2823" s="198"/>
      <c r="H2823" s="198"/>
      <c r="I2823" s="39"/>
      <c r="J2823" s="38"/>
      <c r="K2823" s="198"/>
      <c r="L2823" s="38"/>
      <c r="M2823" s="38"/>
      <c r="N2823" s="38"/>
      <c r="O2823" s="38"/>
      <c r="P2823" s="40" t="str" cm="1">
        <f t="array" ref="P2823">IF(N2823="","",IFERROR(_xlfn.XLOOKUP(F2823&amp;"|"&amp;J2823&amp;"|"&amp;O2823,PRICES!$C$2:$C$659&amp;"|"&amp;PRICES!$B$2:$B$659&amp;"|"&amp;PRICES!$D$2:$D$659,PRICES!$E$2:$E$659),"Not Found"))</f>
        <v/>
      </c>
      <c r="Q2823" s="100" t="str">
        <f>IF(N2823=0,"",SUMIFS(PRICES!$G$2:$G$658,PRICES!$B$2:$B$658,'MAIN TABLE-1 AUTOMATED'!J2823,PRICES!$C$2:$C$658,'MAIN TABLE-1 AUTOMATED'!F2823,PRICES!$D$2:$D$658,'MAIN TABLE-1 AUTOMATED'!O2823))</f>
        <v/>
      </c>
      <c r="R2823" s="41" t="str">
        <f>IF(Table1[[#This Row],[QUANTITY]]=0,"",Table1[[#This Row],[UNIT PRICE]]*Table1[[#This Row],[QUANTITY]])</f>
        <v/>
      </c>
      <c r="S2823" s="89"/>
      <c r="T2823" s="38"/>
      <c r="U2823" s="43"/>
      <c r="V2823" s="42" t="str">
        <f>IF(Table1[[#This Row],[DATE]]=0,"",YEAR(E2823))</f>
        <v/>
      </c>
      <c r="W2823" s="40" t="str">
        <f t="shared" si="92"/>
        <v/>
      </c>
      <c r="X2823" s="40" t="str">
        <f t="shared" si="93"/>
        <v/>
      </c>
      <c r="Y2823" s="40" t="str">
        <f>TEXT(Table1[[#This Row],[YEAR]],"0000")&amp;"-"&amp;Table1[[#This Row],[MONTH]]</f>
        <v>-</v>
      </c>
    </row>
    <row r="2824" spans="1:25" ht="15" customHeight="1" x14ac:dyDescent="0.35">
      <c r="A2824" s="24"/>
      <c r="B2824" s="38"/>
      <c r="C2824" s="38"/>
      <c r="D2824" s="38"/>
      <c r="E2824" s="37"/>
      <c r="F2824" s="38"/>
      <c r="G2824" s="198"/>
      <c r="H2824" s="198"/>
      <c r="I2824" s="39"/>
      <c r="J2824" s="38"/>
      <c r="K2824" s="198"/>
      <c r="L2824" s="38"/>
      <c r="M2824" s="38"/>
      <c r="N2824" s="38"/>
      <c r="O2824" s="38"/>
      <c r="P2824" s="40" t="str" cm="1">
        <f t="array" ref="P2824">IF(N2824="","",IFERROR(_xlfn.XLOOKUP(F2824&amp;"|"&amp;J2824&amp;"|"&amp;O2824,PRICES!$C$2:$C$659&amp;"|"&amp;PRICES!$B$2:$B$659&amp;"|"&amp;PRICES!$D$2:$D$659,PRICES!$E$2:$E$659),"Not Found"))</f>
        <v/>
      </c>
      <c r="Q2824" s="100" t="str">
        <f>IF(N2824=0,"",SUMIFS(PRICES!$G$2:$G$658,PRICES!$B$2:$B$658,'MAIN TABLE-1 AUTOMATED'!J2824,PRICES!$C$2:$C$658,'MAIN TABLE-1 AUTOMATED'!F2824,PRICES!$D$2:$D$658,'MAIN TABLE-1 AUTOMATED'!O2824))</f>
        <v/>
      </c>
      <c r="R2824" s="41" t="str">
        <f>IF(Table1[[#This Row],[QUANTITY]]=0,"",Table1[[#This Row],[UNIT PRICE]]*Table1[[#This Row],[QUANTITY]])</f>
        <v/>
      </c>
      <c r="S2824" s="89"/>
      <c r="T2824" s="38"/>
      <c r="U2824" s="43"/>
      <c r="V2824" s="42" t="str">
        <f>IF(Table1[[#This Row],[DATE]]=0,"",YEAR(E2824))</f>
        <v/>
      </c>
      <c r="W2824" s="40" t="str">
        <f t="shared" si="92"/>
        <v/>
      </c>
      <c r="X2824" s="40" t="str">
        <f t="shared" si="93"/>
        <v/>
      </c>
      <c r="Y2824" s="40" t="str">
        <f>TEXT(Table1[[#This Row],[YEAR]],"0000")&amp;"-"&amp;Table1[[#This Row],[MONTH]]</f>
        <v>-</v>
      </c>
    </row>
    <row r="2825" spans="1:25" ht="15" customHeight="1" x14ac:dyDescent="0.35">
      <c r="A2825" s="24"/>
      <c r="B2825" s="38"/>
      <c r="C2825" s="38"/>
      <c r="D2825" s="38"/>
      <c r="E2825" s="37"/>
      <c r="F2825" s="38"/>
      <c r="G2825" s="198"/>
      <c r="H2825" s="198"/>
      <c r="I2825" s="39"/>
      <c r="J2825" s="38"/>
      <c r="K2825" s="198"/>
      <c r="L2825" s="38"/>
      <c r="M2825" s="38"/>
      <c r="N2825" s="38"/>
      <c r="O2825" s="38"/>
      <c r="P2825" s="40" t="str" cm="1">
        <f t="array" ref="P2825">IF(N2825="","",IFERROR(_xlfn.XLOOKUP(F2825&amp;"|"&amp;J2825&amp;"|"&amp;O2825,PRICES!$C$2:$C$659&amp;"|"&amp;PRICES!$B$2:$B$659&amp;"|"&amp;PRICES!$D$2:$D$659,PRICES!$E$2:$E$659),"Not Found"))</f>
        <v/>
      </c>
      <c r="Q2825" s="100" t="str">
        <f>IF(N2825=0,"",SUMIFS(PRICES!$G$2:$G$658,PRICES!$B$2:$B$658,'MAIN TABLE-1 AUTOMATED'!J2825,PRICES!$C$2:$C$658,'MAIN TABLE-1 AUTOMATED'!F2825,PRICES!$D$2:$D$658,'MAIN TABLE-1 AUTOMATED'!O2825))</f>
        <v/>
      </c>
      <c r="R2825" s="41" t="str">
        <f>IF(Table1[[#This Row],[QUANTITY]]=0,"",Table1[[#This Row],[UNIT PRICE]]*Table1[[#This Row],[QUANTITY]])</f>
        <v/>
      </c>
      <c r="S2825" s="89"/>
      <c r="T2825" s="38"/>
      <c r="U2825" s="43"/>
      <c r="V2825" s="42" t="str">
        <f>IF(Table1[[#This Row],[DATE]]=0,"",YEAR(E2825))</f>
        <v/>
      </c>
      <c r="W2825" s="40" t="str">
        <f t="shared" si="92"/>
        <v/>
      </c>
      <c r="X2825" s="40" t="str">
        <f t="shared" si="93"/>
        <v/>
      </c>
      <c r="Y2825" s="40" t="str">
        <f>TEXT(Table1[[#This Row],[YEAR]],"0000")&amp;"-"&amp;Table1[[#This Row],[MONTH]]</f>
        <v>-</v>
      </c>
    </row>
    <row r="2826" spans="1:25" ht="15" customHeight="1" x14ac:dyDescent="0.35">
      <c r="A2826" s="24"/>
      <c r="B2826" s="38"/>
      <c r="C2826" s="38"/>
      <c r="D2826" s="38"/>
      <c r="E2826" s="37"/>
      <c r="F2826" s="38"/>
      <c r="G2826" s="198"/>
      <c r="H2826" s="198"/>
      <c r="I2826" s="39"/>
      <c r="J2826" s="38"/>
      <c r="K2826" s="198"/>
      <c r="L2826" s="38"/>
      <c r="M2826" s="38"/>
      <c r="N2826" s="38"/>
      <c r="O2826" s="38"/>
      <c r="P2826" s="40" t="str" cm="1">
        <f t="array" ref="P2826">IF(N2826="","",IFERROR(_xlfn.XLOOKUP(F2826&amp;"|"&amp;J2826&amp;"|"&amp;O2826,PRICES!$C$2:$C$659&amp;"|"&amp;PRICES!$B$2:$B$659&amp;"|"&amp;PRICES!$D$2:$D$659,PRICES!$E$2:$E$659),"Not Found"))</f>
        <v/>
      </c>
      <c r="Q2826" s="100" t="str">
        <f>IF(N2826=0,"",SUMIFS(PRICES!$G$2:$G$658,PRICES!$B$2:$B$658,'MAIN TABLE-1 AUTOMATED'!J2826,PRICES!$C$2:$C$658,'MAIN TABLE-1 AUTOMATED'!F2826,PRICES!$D$2:$D$658,'MAIN TABLE-1 AUTOMATED'!O2826))</f>
        <v/>
      </c>
      <c r="R2826" s="41" t="str">
        <f>IF(Table1[[#This Row],[QUANTITY]]=0,"",Table1[[#This Row],[UNIT PRICE]]*Table1[[#This Row],[QUANTITY]])</f>
        <v/>
      </c>
      <c r="S2826" s="89"/>
      <c r="T2826" s="38"/>
      <c r="U2826" s="43"/>
      <c r="V2826" s="42" t="str">
        <f>IF(Table1[[#This Row],[DATE]]=0,"",YEAR(E2826))</f>
        <v/>
      </c>
      <c r="W2826" s="40" t="str">
        <f t="shared" si="92"/>
        <v/>
      </c>
      <c r="X2826" s="40" t="str">
        <f t="shared" si="93"/>
        <v/>
      </c>
      <c r="Y2826" s="40" t="str">
        <f>TEXT(Table1[[#This Row],[YEAR]],"0000")&amp;"-"&amp;Table1[[#This Row],[MONTH]]</f>
        <v>-</v>
      </c>
    </row>
    <row r="2827" spans="1:25" ht="15" customHeight="1" x14ac:dyDescent="0.35">
      <c r="A2827" s="24"/>
      <c r="B2827" s="38"/>
      <c r="C2827" s="38"/>
      <c r="D2827" s="38"/>
      <c r="E2827" s="37"/>
      <c r="F2827" s="38"/>
      <c r="G2827" s="198"/>
      <c r="H2827" s="198"/>
      <c r="I2827" s="39"/>
      <c r="J2827" s="38"/>
      <c r="K2827" s="198"/>
      <c r="L2827" s="38"/>
      <c r="M2827" s="38"/>
      <c r="N2827" s="38"/>
      <c r="O2827" s="38"/>
      <c r="P2827" s="40" t="str" cm="1">
        <f t="array" ref="P2827">IF(N2827="","",IFERROR(_xlfn.XLOOKUP(F2827&amp;"|"&amp;J2827&amp;"|"&amp;O2827,PRICES!$C$2:$C$659&amp;"|"&amp;PRICES!$B$2:$B$659&amp;"|"&amp;PRICES!$D$2:$D$659,PRICES!$E$2:$E$659),"Not Found"))</f>
        <v/>
      </c>
      <c r="Q2827" s="100" t="str">
        <f>IF(N2827=0,"",SUMIFS(PRICES!$G$2:$G$658,PRICES!$B$2:$B$658,'MAIN TABLE-1 AUTOMATED'!J2827,PRICES!$C$2:$C$658,'MAIN TABLE-1 AUTOMATED'!F2827,PRICES!$D$2:$D$658,'MAIN TABLE-1 AUTOMATED'!O2827))</f>
        <v/>
      </c>
      <c r="R2827" s="41" t="str">
        <f>IF(Table1[[#This Row],[QUANTITY]]=0,"",Table1[[#This Row],[UNIT PRICE]]*Table1[[#This Row],[QUANTITY]])</f>
        <v/>
      </c>
      <c r="S2827" s="89"/>
      <c r="T2827" s="38"/>
      <c r="U2827" s="43"/>
      <c r="V2827" s="42" t="str">
        <f>IF(Table1[[#This Row],[DATE]]=0,"",YEAR(E2827))</f>
        <v/>
      </c>
      <c r="W2827" s="40" t="str">
        <f t="shared" si="92"/>
        <v/>
      </c>
      <c r="X2827" s="40" t="str">
        <f t="shared" si="93"/>
        <v/>
      </c>
      <c r="Y2827" s="40" t="str">
        <f>TEXT(Table1[[#This Row],[YEAR]],"0000")&amp;"-"&amp;Table1[[#This Row],[MONTH]]</f>
        <v>-</v>
      </c>
    </row>
    <row r="2828" spans="1:25" ht="15" customHeight="1" x14ac:dyDescent="0.35">
      <c r="A2828" s="24"/>
      <c r="B2828" s="38"/>
      <c r="C2828" s="38"/>
      <c r="D2828" s="38"/>
      <c r="E2828" s="37"/>
      <c r="F2828" s="38"/>
      <c r="G2828" s="198"/>
      <c r="H2828" s="198"/>
      <c r="I2828" s="39"/>
      <c r="J2828" s="38"/>
      <c r="K2828" s="198"/>
      <c r="L2828" s="38"/>
      <c r="M2828" s="38"/>
      <c r="N2828" s="38"/>
      <c r="O2828" s="38"/>
      <c r="P2828" s="40" t="str" cm="1">
        <f t="array" ref="P2828">IF(N2828="","",IFERROR(_xlfn.XLOOKUP(F2828&amp;"|"&amp;J2828&amp;"|"&amp;O2828,PRICES!$C$2:$C$659&amp;"|"&amp;PRICES!$B$2:$B$659&amp;"|"&amp;PRICES!$D$2:$D$659,PRICES!$E$2:$E$659),"Not Found"))</f>
        <v/>
      </c>
      <c r="Q2828" s="100" t="str">
        <f>IF(N2828=0,"",SUMIFS(PRICES!$G$2:$G$658,PRICES!$B$2:$B$658,'MAIN TABLE-1 AUTOMATED'!J2828,PRICES!$C$2:$C$658,'MAIN TABLE-1 AUTOMATED'!F2828,PRICES!$D$2:$D$658,'MAIN TABLE-1 AUTOMATED'!O2828))</f>
        <v/>
      </c>
      <c r="R2828" s="41" t="str">
        <f>IF(Table1[[#This Row],[QUANTITY]]=0,"",Table1[[#This Row],[UNIT PRICE]]*Table1[[#This Row],[QUANTITY]])</f>
        <v/>
      </c>
      <c r="S2828" s="89"/>
      <c r="T2828" s="38"/>
      <c r="U2828" s="43"/>
      <c r="V2828" s="42" t="str">
        <f>IF(Table1[[#This Row],[DATE]]=0,"",YEAR(E2828))</f>
        <v/>
      </c>
      <c r="W2828" s="40" t="str">
        <f t="shared" si="92"/>
        <v/>
      </c>
      <c r="X2828" s="40" t="str">
        <f t="shared" si="93"/>
        <v/>
      </c>
      <c r="Y2828" s="40" t="str">
        <f>TEXT(Table1[[#This Row],[YEAR]],"0000")&amp;"-"&amp;Table1[[#This Row],[MONTH]]</f>
        <v>-</v>
      </c>
    </row>
    <row r="2829" spans="1:25" ht="15" customHeight="1" x14ac:dyDescent="0.35">
      <c r="A2829" s="24"/>
      <c r="B2829" s="38"/>
      <c r="C2829" s="38"/>
      <c r="D2829" s="38"/>
      <c r="E2829" s="37"/>
      <c r="F2829" s="38"/>
      <c r="G2829" s="198"/>
      <c r="H2829" s="198"/>
      <c r="I2829" s="39"/>
      <c r="J2829" s="38"/>
      <c r="K2829" s="198"/>
      <c r="L2829" s="38"/>
      <c r="M2829" s="38"/>
      <c r="N2829" s="38"/>
      <c r="O2829" s="38"/>
      <c r="P2829" s="40" t="str" cm="1">
        <f t="array" ref="P2829">IF(N2829="","",IFERROR(_xlfn.XLOOKUP(F2829&amp;"|"&amp;J2829&amp;"|"&amp;O2829,PRICES!$C$2:$C$659&amp;"|"&amp;PRICES!$B$2:$B$659&amp;"|"&amp;PRICES!$D$2:$D$659,PRICES!$E$2:$E$659),"Not Found"))</f>
        <v/>
      </c>
      <c r="Q2829" s="100" t="str">
        <f>IF(N2829=0,"",SUMIFS(PRICES!$G$2:$G$658,PRICES!$B$2:$B$658,'MAIN TABLE-1 AUTOMATED'!J2829,PRICES!$C$2:$C$658,'MAIN TABLE-1 AUTOMATED'!F2829,PRICES!$D$2:$D$658,'MAIN TABLE-1 AUTOMATED'!O2829))</f>
        <v/>
      </c>
      <c r="R2829" s="41" t="str">
        <f>IF(Table1[[#This Row],[QUANTITY]]=0,"",Table1[[#This Row],[UNIT PRICE]]*Table1[[#This Row],[QUANTITY]])</f>
        <v/>
      </c>
      <c r="S2829" s="89"/>
      <c r="T2829" s="38"/>
      <c r="U2829" s="43"/>
      <c r="V2829" s="42" t="str">
        <f>IF(Table1[[#This Row],[DATE]]=0,"",YEAR(E2829))</f>
        <v/>
      </c>
      <c r="W2829" s="40" t="str">
        <f t="shared" si="92"/>
        <v/>
      </c>
      <c r="X2829" s="40" t="str">
        <f t="shared" si="93"/>
        <v/>
      </c>
      <c r="Y2829" s="40" t="str">
        <f>TEXT(Table1[[#This Row],[YEAR]],"0000")&amp;"-"&amp;Table1[[#This Row],[MONTH]]</f>
        <v>-</v>
      </c>
    </row>
    <row r="2830" spans="1:25" ht="15" customHeight="1" x14ac:dyDescent="0.35">
      <c r="A2830" s="24"/>
      <c r="B2830" s="38"/>
      <c r="C2830" s="38"/>
      <c r="D2830" s="38"/>
      <c r="E2830" s="37"/>
      <c r="F2830" s="38"/>
      <c r="G2830" s="198"/>
      <c r="H2830" s="198"/>
      <c r="I2830" s="39"/>
      <c r="J2830" s="38"/>
      <c r="K2830" s="198"/>
      <c r="L2830" s="38"/>
      <c r="M2830" s="38"/>
      <c r="N2830" s="38"/>
      <c r="O2830" s="38"/>
      <c r="P2830" s="40" t="str" cm="1">
        <f t="array" ref="P2830">IF(N2830="","",IFERROR(_xlfn.XLOOKUP(F2830&amp;"|"&amp;J2830&amp;"|"&amp;O2830,PRICES!$C$2:$C$659&amp;"|"&amp;PRICES!$B$2:$B$659&amp;"|"&amp;PRICES!$D$2:$D$659,PRICES!$E$2:$E$659),"Not Found"))</f>
        <v/>
      </c>
      <c r="Q2830" s="100" t="str">
        <f>IF(N2830=0,"",SUMIFS(PRICES!$G$2:$G$658,PRICES!$B$2:$B$658,'MAIN TABLE-1 AUTOMATED'!J2830,PRICES!$C$2:$C$658,'MAIN TABLE-1 AUTOMATED'!F2830,PRICES!$D$2:$D$658,'MAIN TABLE-1 AUTOMATED'!O2830))</f>
        <v/>
      </c>
      <c r="R2830" s="41" t="str">
        <f>IF(Table1[[#This Row],[QUANTITY]]=0,"",Table1[[#This Row],[UNIT PRICE]]*Table1[[#This Row],[QUANTITY]])</f>
        <v/>
      </c>
      <c r="S2830" s="89"/>
      <c r="T2830" s="38"/>
      <c r="U2830" s="43"/>
      <c r="V2830" s="42" t="str">
        <f>IF(Table1[[#This Row],[DATE]]=0,"",YEAR(E2830))</f>
        <v/>
      </c>
      <c r="W2830" s="40" t="str">
        <f t="shared" si="92"/>
        <v/>
      </c>
      <c r="X2830" s="40" t="str">
        <f t="shared" si="93"/>
        <v/>
      </c>
      <c r="Y2830" s="40" t="str">
        <f>TEXT(Table1[[#This Row],[YEAR]],"0000")&amp;"-"&amp;Table1[[#This Row],[MONTH]]</f>
        <v>-</v>
      </c>
    </row>
    <row r="2831" spans="1:25" ht="15" customHeight="1" x14ac:dyDescent="0.35">
      <c r="A2831" s="24"/>
      <c r="B2831" s="38"/>
      <c r="C2831" s="38"/>
      <c r="D2831" s="38"/>
      <c r="E2831" s="37"/>
      <c r="F2831" s="38"/>
      <c r="G2831" s="198"/>
      <c r="H2831" s="198"/>
      <c r="I2831" s="39"/>
      <c r="J2831" s="38"/>
      <c r="K2831" s="198"/>
      <c r="L2831" s="38"/>
      <c r="M2831" s="38"/>
      <c r="N2831" s="38"/>
      <c r="O2831" s="38"/>
      <c r="P2831" s="40" t="str" cm="1">
        <f t="array" ref="P2831">IF(N2831="","",IFERROR(_xlfn.XLOOKUP(F2831&amp;"|"&amp;J2831&amp;"|"&amp;O2831,PRICES!$C$2:$C$659&amp;"|"&amp;PRICES!$B$2:$B$659&amp;"|"&amp;PRICES!$D$2:$D$659,PRICES!$E$2:$E$659),"Not Found"))</f>
        <v/>
      </c>
      <c r="Q2831" s="100" t="str">
        <f>IF(N2831=0,"",SUMIFS(PRICES!$G$2:$G$658,PRICES!$B$2:$B$658,'MAIN TABLE-1 AUTOMATED'!J2831,PRICES!$C$2:$C$658,'MAIN TABLE-1 AUTOMATED'!F2831,PRICES!$D$2:$D$658,'MAIN TABLE-1 AUTOMATED'!O2831))</f>
        <v/>
      </c>
      <c r="R2831" s="41" t="str">
        <f>IF(Table1[[#This Row],[QUANTITY]]=0,"",Table1[[#This Row],[UNIT PRICE]]*Table1[[#This Row],[QUANTITY]])</f>
        <v/>
      </c>
      <c r="S2831" s="89"/>
      <c r="T2831" s="38"/>
      <c r="U2831" s="43"/>
      <c r="V2831" s="42" t="str">
        <f>IF(Table1[[#This Row],[DATE]]=0,"",YEAR(E2831))</f>
        <v/>
      </c>
      <c r="W2831" s="40" t="str">
        <f t="shared" si="92"/>
        <v/>
      </c>
      <c r="X2831" s="40" t="str">
        <f t="shared" si="93"/>
        <v/>
      </c>
      <c r="Y2831" s="40" t="str">
        <f>TEXT(Table1[[#This Row],[YEAR]],"0000")&amp;"-"&amp;Table1[[#This Row],[MONTH]]</f>
        <v>-</v>
      </c>
    </row>
    <row r="2832" spans="1:25" ht="15" customHeight="1" x14ac:dyDescent="0.35">
      <c r="A2832" s="24"/>
      <c r="B2832" s="38"/>
      <c r="C2832" s="38"/>
      <c r="D2832" s="38"/>
      <c r="E2832" s="37"/>
      <c r="F2832" s="38"/>
      <c r="G2832" s="198"/>
      <c r="H2832" s="198"/>
      <c r="I2832" s="39"/>
      <c r="J2832" s="38"/>
      <c r="K2832" s="198"/>
      <c r="L2832" s="38"/>
      <c r="M2832" s="38"/>
      <c r="N2832" s="38"/>
      <c r="O2832" s="38"/>
      <c r="P2832" s="40" t="str" cm="1">
        <f t="array" ref="P2832">IF(N2832="","",IFERROR(_xlfn.XLOOKUP(F2832&amp;"|"&amp;J2832&amp;"|"&amp;O2832,PRICES!$C$2:$C$659&amp;"|"&amp;PRICES!$B$2:$B$659&amp;"|"&amp;PRICES!$D$2:$D$659,PRICES!$E$2:$E$659),"Not Found"))</f>
        <v/>
      </c>
      <c r="Q2832" s="100" t="str">
        <f>IF(N2832=0,"",SUMIFS(PRICES!$G$2:$G$658,PRICES!$B$2:$B$658,'MAIN TABLE-1 AUTOMATED'!J2832,PRICES!$C$2:$C$658,'MAIN TABLE-1 AUTOMATED'!F2832,PRICES!$D$2:$D$658,'MAIN TABLE-1 AUTOMATED'!O2832))</f>
        <v/>
      </c>
      <c r="R2832" s="41" t="str">
        <f>IF(Table1[[#This Row],[QUANTITY]]=0,"",Table1[[#This Row],[UNIT PRICE]]*Table1[[#This Row],[QUANTITY]])</f>
        <v/>
      </c>
      <c r="S2832" s="89"/>
      <c r="T2832" s="38"/>
      <c r="U2832" s="43"/>
      <c r="V2832" s="42" t="str">
        <f>IF(Table1[[#This Row],[DATE]]=0,"",YEAR(E2832))</f>
        <v/>
      </c>
      <c r="W2832" s="40" t="str">
        <f t="shared" si="92"/>
        <v/>
      </c>
      <c r="X2832" s="40" t="str">
        <f t="shared" si="93"/>
        <v/>
      </c>
      <c r="Y2832" s="40" t="str">
        <f>TEXT(Table1[[#This Row],[YEAR]],"0000")&amp;"-"&amp;Table1[[#This Row],[MONTH]]</f>
        <v>-</v>
      </c>
    </row>
    <row r="2833" spans="1:25" ht="15" customHeight="1" x14ac:dyDescent="0.35">
      <c r="A2833" s="24"/>
      <c r="B2833" s="38"/>
      <c r="C2833" s="38"/>
      <c r="D2833" s="38"/>
      <c r="E2833" s="37"/>
      <c r="F2833" s="38"/>
      <c r="G2833" s="198"/>
      <c r="H2833" s="198"/>
      <c r="I2833" s="39"/>
      <c r="J2833" s="38"/>
      <c r="K2833" s="198"/>
      <c r="L2833" s="38"/>
      <c r="M2833" s="38"/>
      <c r="N2833" s="38"/>
      <c r="O2833" s="38"/>
      <c r="P2833" s="40" t="str" cm="1">
        <f t="array" ref="P2833">IF(N2833="","",IFERROR(_xlfn.XLOOKUP(F2833&amp;"|"&amp;J2833&amp;"|"&amp;O2833,PRICES!$C$2:$C$659&amp;"|"&amp;PRICES!$B$2:$B$659&amp;"|"&amp;PRICES!$D$2:$D$659,PRICES!$E$2:$E$659),"Not Found"))</f>
        <v/>
      </c>
      <c r="Q2833" s="100" t="str">
        <f>IF(N2833=0,"",SUMIFS(PRICES!$G$2:$G$658,PRICES!$B$2:$B$658,'MAIN TABLE-1 AUTOMATED'!J2833,PRICES!$C$2:$C$658,'MAIN TABLE-1 AUTOMATED'!F2833,PRICES!$D$2:$D$658,'MAIN TABLE-1 AUTOMATED'!O2833))</f>
        <v/>
      </c>
      <c r="R2833" s="41" t="str">
        <f>IF(Table1[[#This Row],[QUANTITY]]=0,"",Table1[[#This Row],[UNIT PRICE]]*Table1[[#This Row],[QUANTITY]])</f>
        <v/>
      </c>
      <c r="S2833" s="89"/>
      <c r="T2833" s="38"/>
      <c r="U2833" s="43"/>
      <c r="V2833" s="42" t="str">
        <f>IF(Table1[[#This Row],[DATE]]=0,"",YEAR(E2833))</f>
        <v/>
      </c>
      <c r="W2833" s="40" t="str">
        <f t="shared" si="92"/>
        <v/>
      </c>
      <c r="X2833" s="40" t="str">
        <f t="shared" si="93"/>
        <v/>
      </c>
      <c r="Y2833" s="40" t="str">
        <f>TEXT(Table1[[#This Row],[YEAR]],"0000")&amp;"-"&amp;Table1[[#This Row],[MONTH]]</f>
        <v>-</v>
      </c>
    </row>
    <row r="2834" spans="1:25" ht="15" customHeight="1" x14ac:dyDescent="0.35">
      <c r="A2834" s="24"/>
      <c r="B2834" s="38"/>
      <c r="C2834" s="38"/>
      <c r="D2834" s="38"/>
      <c r="E2834" s="37"/>
      <c r="F2834" s="38"/>
      <c r="G2834" s="198"/>
      <c r="H2834" s="198"/>
      <c r="I2834" s="39"/>
      <c r="J2834" s="38"/>
      <c r="K2834" s="198"/>
      <c r="L2834" s="38"/>
      <c r="M2834" s="38"/>
      <c r="N2834" s="38"/>
      <c r="O2834" s="38"/>
      <c r="P2834" s="40" t="str" cm="1">
        <f t="array" ref="P2834">IF(N2834="","",IFERROR(_xlfn.XLOOKUP(F2834&amp;"|"&amp;J2834&amp;"|"&amp;O2834,PRICES!$C$2:$C$659&amp;"|"&amp;PRICES!$B$2:$B$659&amp;"|"&amp;PRICES!$D$2:$D$659,PRICES!$E$2:$E$659),"Not Found"))</f>
        <v/>
      </c>
      <c r="Q2834" s="100" t="str">
        <f>IF(N2834=0,"",SUMIFS(PRICES!$G$2:$G$658,PRICES!$B$2:$B$658,'MAIN TABLE-1 AUTOMATED'!J2834,PRICES!$C$2:$C$658,'MAIN TABLE-1 AUTOMATED'!F2834,PRICES!$D$2:$D$658,'MAIN TABLE-1 AUTOMATED'!O2834))</f>
        <v/>
      </c>
      <c r="R2834" s="41" t="str">
        <f>IF(Table1[[#This Row],[QUANTITY]]=0,"",Table1[[#This Row],[UNIT PRICE]]*Table1[[#This Row],[QUANTITY]])</f>
        <v/>
      </c>
      <c r="S2834" s="89"/>
      <c r="T2834" s="38"/>
      <c r="U2834" s="43"/>
      <c r="V2834" s="42" t="str">
        <f>IF(Table1[[#This Row],[DATE]]=0,"",YEAR(E2834))</f>
        <v/>
      </c>
      <c r="W2834" s="40" t="str">
        <f t="shared" si="92"/>
        <v/>
      </c>
      <c r="X2834" s="40" t="str">
        <f t="shared" si="93"/>
        <v/>
      </c>
      <c r="Y2834" s="40" t="str">
        <f>TEXT(Table1[[#This Row],[YEAR]],"0000")&amp;"-"&amp;Table1[[#This Row],[MONTH]]</f>
        <v>-</v>
      </c>
    </row>
    <row r="2835" spans="1:25" ht="15" customHeight="1" x14ac:dyDescent="0.35">
      <c r="A2835" s="24"/>
      <c r="B2835" s="38"/>
      <c r="C2835" s="38"/>
      <c r="D2835" s="38"/>
      <c r="E2835" s="37"/>
      <c r="F2835" s="38"/>
      <c r="G2835" s="198"/>
      <c r="H2835" s="198"/>
      <c r="I2835" s="39"/>
      <c r="J2835" s="38"/>
      <c r="K2835" s="198"/>
      <c r="L2835" s="38"/>
      <c r="M2835" s="38"/>
      <c r="N2835" s="38"/>
      <c r="O2835" s="38"/>
      <c r="P2835" s="40" t="str" cm="1">
        <f t="array" ref="P2835">IF(N2835="","",IFERROR(_xlfn.XLOOKUP(F2835&amp;"|"&amp;J2835&amp;"|"&amp;O2835,PRICES!$C$2:$C$659&amp;"|"&amp;PRICES!$B$2:$B$659&amp;"|"&amp;PRICES!$D$2:$D$659,PRICES!$E$2:$E$659),"Not Found"))</f>
        <v/>
      </c>
      <c r="Q2835" s="100" t="str">
        <f>IF(N2835=0,"",SUMIFS(PRICES!$G$2:$G$658,PRICES!$B$2:$B$658,'MAIN TABLE-1 AUTOMATED'!J2835,PRICES!$C$2:$C$658,'MAIN TABLE-1 AUTOMATED'!F2835,PRICES!$D$2:$D$658,'MAIN TABLE-1 AUTOMATED'!O2835))</f>
        <v/>
      </c>
      <c r="R2835" s="41" t="str">
        <f>IF(Table1[[#This Row],[QUANTITY]]=0,"",Table1[[#This Row],[UNIT PRICE]]*Table1[[#This Row],[QUANTITY]])</f>
        <v/>
      </c>
      <c r="S2835" s="89"/>
      <c r="T2835" s="38"/>
      <c r="U2835" s="43"/>
      <c r="V2835" s="42" t="str">
        <f>IF(Table1[[#This Row],[DATE]]=0,"",YEAR(E2835))</f>
        <v/>
      </c>
      <c r="W2835" s="40" t="str">
        <f t="shared" si="92"/>
        <v/>
      </c>
      <c r="X2835" s="40" t="str">
        <f t="shared" si="93"/>
        <v/>
      </c>
      <c r="Y2835" s="40" t="str">
        <f>TEXT(Table1[[#This Row],[YEAR]],"0000")&amp;"-"&amp;Table1[[#This Row],[MONTH]]</f>
        <v>-</v>
      </c>
    </row>
    <row r="2836" spans="1:25" ht="15" customHeight="1" x14ac:dyDescent="0.35">
      <c r="A2836" s="24"/>
      <c r="B2836" s="38"/>
      <c r="C2836" s="38"/>
      <c r="D2836" s="38"/>
      <c r="E2836" s="37"/>
      <c r="F2836" s="38"/>
      <c r="G2836" s="198"/>
      <c r="H2836" s="198"/>
      <c r="I2836" s="39"/>
      <c r="J2836" s="38"/>
      <c r="K2836" s="198"/>
      <c r="L2836" s="38"/>
      <c r="M2836" s="38"/>
      <c r="N2836" s="38"/>
      <c r="O2836" s="38"/>
      <c r="P2836" s="40" t="str" cm="1">
        <f t="array" ref="P2836">IF(N2836="","",IFERROR(_xlfn.XLOOKUP(F2836&amp;"|"&amp;J2836&amp;"|"&amp;O2836,PRICES!$C$2:$C$659&amp;"|"&amp;PRICES!$B$2:$B$659&amp;"|"&amp;PRICES!$D$2:$D$659,PRICES!$E$2:$E$659),"Not Found"))</f>
        <v/>
      </c>
      <c r="Q2836" s="100" t="str">
        <f>IF(N2836=0,"",SUMIFS(PRICES!$G$2:$G$658,PRICES!$B$2:$B$658,'MAIN TABLE-1 AUTOMATED'!J2836,PRICES!$C$2:$C$658,'MAIN TABLE-1 AUTOMATED'!F2836,PRICES!$D$2:$D$658,'MAIN TABLE-1 AUTOMATED'!O2836))</f>
        <v/>
      </c>
      <c r="R2836" s="41" t="str">
        <f>IF(Table1[[#This Row],[QUANTITY]]=0,"",Table1[[#This Row],[UNIT PRICE]]*Table1[[#This Row],[QUANTITY]])</f>
        <v/>
      </c>
      <c r="S2836" s="89"/>
      <c r="T2836" s="38"/>
      <c r="U2836" s="43"/>
      <c r="V2836" s="42" t="str">
        <f>IF(Table1[[#This Row],[DATE]]=0,"",YEAR(E2836))</f>
        <v/>
      </c>
      <c r="W2836" s="40" t="str">
        <f t="shared" si="92"/>
        <v/>
      </c>
      <c r="X2836" s="40" t="str">
        <f t="shared" si="93"/>
        <v/>
      </c>
      <c r="Y2836" s="40" t="str">
        <f>TEXT(Table1[[#This Row],[YEAR]],"0000")&amp;"-"&amp;Table1[[#This Row],[MONTH]]</f>
        <v>-</v>
      </c>
    </row>
    <row r="2837" spans="1:25" ht="15" customHeight="1" x14ac:dyDescent="0.35">
      <c r="A2837" s="24"/>
      <c r="B2837" s="38"/>
      <c r="C2837" s="38"/>
      <c r="D2837" s="38"/>
      <c r="E2837" s="37"/>
      <c r="F2837" s="38"/>
      <c r="G2837" s="198"/>
      <c r="H2837" s="198"/>
      <c r="I2837" s="39"/>
      <c r="J2837" s="38"/>
      <c r="K2837" s="198"/>
      <c r="L2837" s="38"/>
      <c r="M2837" s="38"/>
      <c r="N2837" s="38"/>
      <c r="O2837" s="38"/>
      <c r="P2837" s="40" t="str" cm="1">
        <f t="array" ref="P2837">IF(N2837="","",IFERROR(_xlfn.XLOOKUP(F2837&amp;"|"&amp;J2837&amp;"|"&amp;O2837,PRICES!$C$2:$C$659&amp;"|"&amp;PRICES!$B$2:$B$659&amp;"|"&amp;PRICES!$D$2:$D$659,PRICES!$E$2:$E$659),"Not Found"))</f>
        <v/>
      </c>
      <c r="Q2837" s="100" t="str">
        <f>IF(N2837=0,"",SUMIFS(PRICES!$G$2:$G$658,PRICES!$B$2:$B$658,'MAIN TABLE-1 AUTOMATED'!J2837,PRICES!$C$2:$C$658,'MAIN TABLE-1 AUTOMATED'!F2837,PRICES!$D$2:$D$658,'MAIN TABLE-1 AUTOMATED'!O2837))</f>
        <v/>
      </c>
      <c r="R2837" s="41" t="str">
        <f>IF(Table1[[#This Row],[QUANTITY]]=0,"",Table1[[#This Row],[UNIT PRICE]]*Table1[[#This Row],[QUANTITY]])</f>
        <v/>
      </c>
      <c r="S2837" s="89"/>
      <c r="T2837" s="38"/>
      <c r="U2837" s="43"/>
      <c r="V2837" s="42" t="str">
        <f>IF(Table1[[#This Row],[DATE]]=0,"",YEAR(E2837))</f>
        <v/>
      </c>
      <c r="W2837" s="40" t="str">
        <f t="shared" si="92"/>
        <v/>
      </c>
      <c r="X2837" s="40" t="str">
        <f t="shared" si="93"/>
        <v/>
      </c>
      <c r="Y2837" s="40" t="str">
        <f>TEXT(Table1[[#This Row],[YEAR]],"0000")&amp;"-"&amp;Table1[[#This Row],[MONTH]]</f>
        <v>-</v>
      </c>
    </row>
    <row r="2838" spans="1:25" ht="15" customHeight="1" x14ac:dyDescent="0.35">
      <c r="A2838" s="24"/>
      <c r="B2838" s="38"/>
      <c r="C2838" s="38"/>
      <c r="D2838" s="38"/>
      <c r="E2838" s="37"/>
      <c r="F2838" s="38"/>
      <c r="G2838" s="198"/>
      <c r="H2838" s="198"/>
      <c r="I2838" s="39"/>
      <c r="J2838" s="38"/>
      <c r="K2838" s="198"/>
      <c r="L2838" s="38"/>
      <c r="M2838" s="38"/>
      <c r="N2838" s="38"/>
      <c r="O2838" s="38"/>
      <c r="P2838" s="40" t="str" cm="1">
        <f t="array" ref="P2838">IF(N2838="","",IFERROR(_xlfn.XLOOKUP(F2838&amp;"|"&amp;J2838&amp;"|"&amp;O2838,PRICES!$C$2:$C$659&amp;"|"&amp;PRICES!$B$2:$B$659&amp;"|"&amp;PRICES!$D$2:$D$659,PRICES!$E$2:$E$659),"Not Found"))</f>
        <v/>
      </c>
      <c r="Q2838" s="100" t="str">
        <f>IF(N2838=0,"",SUMIFS(PRICES!$G$2:$G$658,PRICES!$B$2:$B$658,'MAIN TABLE-1 AUTOMATED'!J2838,PRICES!$C$2:$C$658,'MAIN TABLE-1 AUTOMATED'!F2838,PRICES!$D$2:$D$658,'MAIN TABLE-1 AUTOMATED'!O2838))</f>
        <v/>
      </c>
      <c r="R2838" s="41" t="str">
        <f>IF(Table1[[#This Row],[QUANTITY]]=0,"",Table1[[#This Row],[UNIT PRICE]]*Table1[[#This Row],[QUANTITY]])</f>
        <v/>
      </c>
      <c r="S2838" s="89"/>
      <c r="T2838" s="38"/>
      <c r="U2838" s="43"/>
      <c r="V2838" s="42" t="str">
        <f>IF(Table1[[#This Row],[DATE]]=0,"",YEAR(E2838))</f>
        <v/>
      </c>
      <c r="W2838" s="40" t="str">
        <f t="shared" si="92"/>
        <v/>
      </c>
      <c r="X2838" s="40" t="str">
        <f t="shared" si="93"/>
        <v/>
      </c>
      <c r="Y2838" s="40" t="str">
        <f>TEXT(Table1[[#This Row],[YEAR]],"0000")&amp;"-"&amp;Table1[[#This Row],[MONTH]]</f>
        <v>-</v>
      </c>
    </row>
    <row r="2839" spans="1:25" ht="15" customHeight="1" x14ac:dyDescent="0.35">
      <c r="A2839" s="24"/>
      <c r="B2839" s="38"/>
      <c r="C2839" s="38"/>
      <c r="D2839" s="38"/>
      <c r="E2839" s="37"/>
      <c r="F2839" s="38"/>
      <c r="G2839" s="198"/>
      <c r="H2839" s="198"/>
      <c r="I2839" s="39"/>
      <c r="J2839" s="38"/>
      <c r="K2839" s="198"/>
      <c r="L2839" s="38"/>
      <c r="M2839" s="38"/>
      <c r="N2839" s="38"/>
      <c r="O2839" s="38"/>
      <c r="P2839" s="40" t="str" cm="1">
        <f t="array" ref="P2839">IF(N2839="","",IFERROR(_xlfn.XLOOKUP(F2839&amp;"|"&amp;J2839&amp;"|"&amp;O2839,PRICES!$C$2:$C$659&amp;"|"&amp;PRICES!$B$2:$B$659&amp;"|"&amp;PRICES!$D$2:$D$659,PRICES!$E$2:$E$659),"Not Found"))</f>
        <v/>
      </c>
      <c r="Q2839" s="100" t="str">
        <f>IF(N2839=0,"",SUMIFS(PRICES!$G$2:$G$658,PRICES!$B$2:$B$658,'MAIN TABLE-1 AUTOMATED'!J2839,PRICES!$C$2:$C$658,'MAIN TABLE-1 AUTOMATED'!F2839,PRICES!$D$2:$D$658,'MAIN TABLE-1 AUTOMATED'!O2839))</f>
        <v/>
      </c>
      <c r="R2839" s="41" t="str">
        <f>IF(Table1[[#This Row],[QUANTITY]]=0,"",Table1[[#This Row],[UNIT PRICE]]*Table1[[#This Row],[QUANTITY]])</f>
        <v/>
      </c>
      <c r="S2839" s="89"/>
      <c r="T2839" s="38"/>
      <c r="U2839" s="43"/>
      <c r="V2839" s="42" t="str">
        <f>IF(Table1[[#This Row],[DATE]]=0,"",YEAR(E2839))</f>
        <v/>
      </c>
      <c r="W2839" s="40" t="str">
        <f t="shared" si="92"/>
        <v/>
      </c>
      <c r="X2839" s="40" t="str">
        <f t="shared" si="93"/>
        <v/>
      </c>
      <c r="Y2839" s="40" t="str">
        <f>TEXT(Table1[[#This Row],[YEAR]],"0000")&amp;"-"&amp;Table1[[#This Row],[MONTH]]</f>
        <v>-</v>
      </c>
    </row>
    <row r="2840" spans="1:25" ht="15" customHeight="1" x14ac:dyDescent="0.35">
      <c r="A2840" s="24"/>
      <c r="B2840" s="38"/>
      <c r="C2840" s="38"/>
      <c r="D2840" s="38"/>
      <c r="E2840" s="37"/>
      <c r="F2840" s="38"/>
      <c r="G2840" s="198"/>
      <c r="H2840" s="198"/>
      <c r="I2840" s="39"/>
      <c r="J2840" s="38"/>
      <c r="K2840" s="198"/>
      <c r="L2840" s="38"/>
      <c r="M2840" s="38"/>
      <c r="N2840" s="38"/>
      <c r="O2840" s="38"/>
      <c r="P2840" s="40" t="str" cm="1">
        <f t="array" ref="P2840">IF(N2840="","",IFERROR(_xlfn.XLOOKUP(F2840&amp;"|"&amp;J2840&amp;"|"&amp;O2840,PRICES!$C$2:$C$659&amp;"|"&amp;PRICES!$B$2:$B$659&amp;"|"&amp;PRICES!$D$2:$D$659,PRICES!$E$2:$E$659),"Not Found"))</f>
        <v/>
      </c>
      <c r="Q2840" s="100" t="str">
        <f>IF(N2840=0,"",SUMIFS(PRICES!$G$2:$G$658,PRICES!$B$2:$B$658,'MAIN TABLE-1 AUTOMATED'!J2840,PRICES!$C$2:$C$658,'MAIN TABLE-1 AUTOMATED'!F2840,PRICES!$D$2:$D$658,'MAIN TABLE-1 AUTOMATED'!O2840))</f>
        <v/>
      </c>
      <c r="R2840" s="41" t="str">
        <f>IF(Table1[[#This Row],[QUANTITY]]=0,"",Table1[[#This Row],[UNIT PRICE]]*Table1[[#This Row],[QUANTITY]])</f>
        <v/>
      </c>
      <c r="S2840" s="89"/>
      <c r="T2840" s="38"/>
      <c r="U2840" s="43"/>
      <c r="V2840" s="42" t="str">
        <f>IF(Table1[[#This Row],[DATE]]=0,"",YEAR(E2840))</f>
        <v/>
      </c>
      <c r="W2840" s="40" t="str">
        <f t="shared" si="92"/>
        <v/>
      </c>
      <c r="X2840" s="40" t="str">
        <f t="shared" si="93"/>
        <v/>
      </c>
      <c r="Y2840" s="40" t="str">
        <f>TEXT(Table1[[#This Row],[YEAR]],"0000")&amp;"-"&amp;Table1[[#This Row],[MONTH]]</f>
        <v>-</v>
      </c>
    </row>
    <row r="2841" spans="1:25" ht="15" customHeight="1" x14ac:dyDescent="0.35">
      <c r="A2841" s="24"/>
      <c r="B2841" s="38"/>
      <c r="C2841" s="38"/>
      <c r="D2841" s="38"/>
      <c r="E2841" s="37"/>
      <c r="F2841" s="38"/>
      <c r="G2841" s="198"/>
      <c r="H2841" s="198"/>
      <c r="I2841" s="39"/>
      <c r="J2841" s="38"/>
      <c r="K2841" s="198"/>
      <c r="L2841" s="38"/>
      <c r="M2841" s="38"/>
      <c r="N2841" s="38"/>
      <c r="O2841" s="38"/>
      <c r="P2841" s="40" t="str" cm="1">
        <f t="array" ref="P2841">IF(N2841="","",IFERROR(_xlfn.XLOOKUP(F2841&amp;"|"&amp;J2841&amp;"|"&amp;O2841,PRICES!$C$2:$C$659&amp;"|"&amp;PRICES!$B$2:$B$659&amp;"|"&amp;PRICES!$D$2:$D$659,PRICES!$E$2:$E$659),"Not Found"))</f>
        <v/>
      </c>
      <c r="Q2841" s="100" t="str">
        <f>IF(N2841=0,"",SUMIFS(PRICES!$G$2:$G$658,PRICES!$B$2:$B$658,'MAIN TABLE-1 AUTOMATED'!J2841,PRICES!$C$2:$C$658,'MAIN TABLE-1 AUTOMATED'!F2841,PRICES!$D$2:$D$658,'MAIN TABLE-1 AUTOMATED'!O2841))</f>
        <v/>
      </c>
      <c r="R2841" s="41" t="str">
        <f>IF(Table1[[#This Row],[QUANTITY]]=0,"",Table1[[#This Row],[UNIT PRICE]]*Table1[[#This Row],[QUANTITY]])</f>
        <v/>
      </c>
      <c r="S2841" s="89"/>
      <c r="T2841" s="38"/>
      <c r="U2841" s="43"/>
      <c r="V2841" s="42" t="str">
        <f>IF(Table1[[#This Row],[DATE]]=0,"",YEAR(E2841))</f>
        <v/>
      </c>
      <c r="W2841" s="40" t="str">
        <f t="shared" si="92"/>
        <v/>
      </c>
      <c r="X2841" s="40" t="str">
        <f t="shared" si="93"/>
        <v/>
      </c>
      <c r="Y2841" s="40" t="str">
        <f>TEXT(Table1[[#This Row],[YEAR]],"0000")&amp;"-"&amp;Table1[[#This Row],[MONTH]]</f>
        <v>-</v>
      </c>
    </row>
    <row r="2842" spans="1:25" ht="15" customHeight="1" x14ac:dyDescent="0.35">
      <c r="A2842" s="24"/>
      <c r="B2842" s="38"/>
      <c r="C2842" s="38"/>
      <c r="D2842" s="38"/>
      <c r="E2842" s="37"/>
      <c r="F2842" s="38"/>
      <c r="G2842" s="198"/>
      <c r="H2842" s="198"/>
      <c r="I2842" s="39"/>
      <c r="J2842" s="38"/>
      <c r="K2842" s="198"/>
      <c r="L2842" s="38"/>
      <c r="M2842" s="38"/>
      <c r="N2842" s="38"/>
      <c r="O2842" s="38"/>
      <c r="P2842" s="40" t="str" cm="1">
        <f t="array" ref="P2842">IF(N2842="","",IFERROR(_xlfn.XLOOKUP(F2842&amp;"|"&amp;J2842&amp;"|"&amp;O2842,PRICES!$C$2:$C$659&amp;"|"&amp;PRICES!$B$2:$B$659&amp;"|"&amp;PRICES!$D$2:$D$659,PRICES!$E$2:$E$659),"Not Found"))</f>
        <v/>
      </c>
      <c r="Q2842" s="100" t="str">
        <f>IF(N2842=0,"",SUMIFS(PRICES!$G$2:$G$658,PRICES!$B$2:$B$658,'MAIN TABLE-1 AUTOMATED'!J2842,PRICES!$C$2:$C$658,'MAIN TABLE-1 AUTOMATED'!F2842,PRICES!$D$2:$D$658,'MAIN TABLE-1 AUTOMATED'!O2842))</f>
        <v/>
      </c>
      <c r="R2842" s="41" t="str">
        <f>IF(Table1[[#This Row],[QUANTITY]]=0,"",Table1[[#This Row],[UNIT PRICE]]*Table1[[#This Row],[QUANTITY]])</f>
        <v/>
      </c>
      <c r="S2842" s="89"/>
      <c r="T2842" s="38"/>
      <c r="U2842" s="43"/>
      <c r="V2842" s="42" t="str">
        <f>IF(Table1[[#This Row],[DATE]]=0,"",YEAR(E2842))</f>
        <v/>
      </c>
      <c r="W2842" s="40" t="str">
        <f t="shared" si="92"/>
        <v/>
      </c>
      <c r="X2842" s="40" t="str">
        <f t="shared" si="93"/>
        <v/>
      </c>
      <c r="Y2842" s="40" t="str">
        <f>TEXT(Table1[[#This Row],[YEAR]],"0000")&amp;"-"&amp;Table1[[#This Row],[MONTH]]</f>
        <v>-</v>
      </c>
    </row>
    <row r="2843" spans="1:25" ht="15" customHeight="1" x14ac:dyDescent="0.35">
      <c r="A2843" s="24"/>
      <c r="B2843" s="38"/>
      <c r="C2843" s="38"/>
      <c r="D2843" s="38"/>
      <c r="E2843" s="37"/>
      <c r="F2843" s="38"/>
      <c r="G2843" s="198"/>
      <c r="H2843" s="198"/>
      <c r="I2843" s="39"/>
      <c r="J2843" s="38"/>
      <c r="K2843" s="198"/>
      <c r="L2843" s="38"/>
      <c r="M2843" s="38"/>
      <c r="N2843" s="38"/>
      <c r="O2843" s="38"/>
      <c r="P2843" s="40" t="str" cm="1">
        <f t="array" ref="P2843">IF(N2843="","",IFERROR(_xlfn.XLOOKUP(F2843&amp;"|"&amp;J2843&amp;"|"&amp;O2843,PRICES!$C$2:$C$659&amp;"|"&amp;PRICES!$B$2:$B$659&amp;"|"&amp;PRICES!$D$2:$D$659,PRICES!$E$2:$E$659),"Not Found"))</f>
        <v/>
      </c>
      <c r="Q2843" s="100" t="str">
        <f>IF(N2843=0,"",SUMIFS(PRICES!$G$2:$G$658,PRICES!$B$2:$B$658,'MAIN TABLE-1 AUTOMATED'!J2843,PRICES!$C$2:$C$658,'MAIN TABLE-1 AUTOMATED'!F2843,PRICES!$D$2:$D$658,'MAIN TABLE-1 AUTOMATED'!O2843))</f>
        <v/>
      </c>
      <c r="R2843" s="41" t="str">
        <f>IF(Table1[[#This Row],[QUANTITY]]=0,"",Table1[[#This Row],[UNIT PRICE]]*Table1[[#This Row],[QUANTITY]])</f>
        <v/>
      </c>
      <c r="S2843" s="89"/>
      <c r="T2843" s="38"/>
      <c r="U2843" s="43"/>
      <c r="V2843" s="42" t="str">
        <f>IF(Table1[[#This Row],[DATE]]=0,"",YEAR(E2843))</f>
        <v/>
      </c>
      <c r="W2843" s="40" t="str">
        <f t="shared" si="92"/>
        <v/>
      </c>
      <c r="X2843" s="40" t="str">
        <f t="shared" si="93"/>
        <v/>
      </c>
      <c r="Y2843" s="40" t="str">
        <f>TEXT(Table1[[#This Row],[YEAR]],"0000")&amp;"-"&amp;Table1[[#This Row],[MONTH]]</f>
        <v>-</v>
      </c>
    </row>
    <row r="2844" spans="1:25" ht="15" customHeight="1" x14ac:dyDescent="0.35">
      <c r="A2844" s="24"/>
      <c r="B2844" s="38"/>
      <c r="C2844" s="38"/>
      <c r="D2844" s="38"/>
      <c r="E2844" s="37"/>
      <c r="F2844" s="38"/>
      <c r="G2844" s="198"/>
      <c r="H2844" s="198"/>
      <c r="I2844" s="39"/>
      <c r="J2844" s="38"/>
      <c r="K2844" s="198"/>
      <c r="L2844" s="38"/>
      <c r="M2844" s="38"/>
      <c r="N2844" s="38"/>
      <c r="O2844" s="38"/>
      <c r="P2844" s="40" t="str" cm="1">
        <f t="array" ref="P2844">IF(N2844="","",IFERROR(_xlfn.XLOOKUP(F2844&amp;"|"&amp;J2844&amp;"|"&amp;O2844,PRICES!$C$2:$C$659&amp;"|"&amp;PRICES!$B$2:$B$659&amp;"|"&amp;PRICES!$D$2:$D$659,PRICES!$E$2:$E$659),"Not Found"))</f>
        <v/>
      </c>
      <c r="Q2844" s="100" t="str">
        <f>IF(N2844=0,"",SUMIFS(PRICES!$G$2:$G$658,PRICES!$B$2:$B$658,'MAIN TABLE-1 AUTOMATED'!J2844,PRICES!$C$2:$C$658,'MAIN TABLE-1 AUTOMATED'!F2844,PRICES!$D$2:$D$658,'MAIN TABLE-1 AUTOMATED'!O2844))</f>
        <v/>
      </c>
      <c r="R2844" s="41" t="str">
        <f>IF(Table1[[#This Row],[QUANTITY]]=0,"",Table1[[#This Row],[UNIT PRICE]]*Table1[[#This Row],[QUANTITY]])</f>
        <v/>
      </c>
      <c r="S2844" s="89"/>
      <c r="T2844" s="38"/>
      <c r="U2844" s="43"/>
      <c r="V2844" s="42" t="str">
        <f>IF(Table1[[#This Row],[DATE]]=0,"",YEAR(E2844))</f>
        <v/>
      </c>
      <c r="W2844" s="40" t="str">
        <f t="shared" si="92"/>
        <v/>
      </c>
      <c r="X2844" s="40" t="str">
        <f t="shared" si="93"/>
        <v/>
      </c>
      <c r="Y2844" s="40" t="str">
        <f>TEXT(Table1[[#This Row],[YEAR]],"0000")&amp;"-"&amp;Table1[[#This Row],[MONTH]]</f>
        <v>-</v>
      </c>
    </row>
    <row r="2845" spans="1:25" ht="15" customHeight="1" x14ac:dyDescent="0.35">
      <c r="A2845" s="24"/>
      <c r="B2845" s="38"/>
      <c r="C2845" s="38"/>
      <c r="D2845" s="38"/>
      <c r="E2845" s="37"/>
      <c r="F2845" s="38"/>
      <c r="G2845" s="198"/>
      <c r="H2845" s="198"/>
      <c r="I2845" s="39"/>
      <c r="J2845" s="38"/>
      <c r="K2845" s="198"/>
      <c r="L2845" s="38"/>
      <c r="M2845" s="38"/>
      <c r="N2845" s="38"/>
      <c r="O2845" s="38"/>
      <c r="P2845" s="40" t="str" cm="1">
        <f t="array" ref="P2845">IF(N2845="","",IFERROR(_xlfn.XLOOKUP(F2845&amp;"|"&amp;J2845&amp;"|"&amp;O2845,PRICES!$C$2:$C$659&amp;"|"&amp;PRICES!$B$2:$B$659&amp;"|"&amp;PRICES!$D$2:$D$659,PRICES!$E$2:$E$659),"Not Found"))</f>
        <v/>
      </c>
      <c r="Q2845" s="100" t="str">
        <f>IF(N2845=0,"",SUMIFS(PRICES!$G$2:$G$658,PRICES!$B$2:$B$658,'MAIN TABLE-1 AUTOMATED'!J2845,PRICES!$C$2:$C$658,'MAIN TABLE-1 AUTOMATED'!F2845,PRICES!$D$2:$D$658,'MAIN TABLE-1 AUTOMATED'!O2845))</f>
        <v/>
      </c>
      <c r="R2845" s="41" t="str">
        <f>IF(Table1[[#This Row],[QUANTITY]]=0,"",Table1[[#This Row],[UNIT PRICE]]*Table1[[#This Row],[QUANTITY]])</f>
        <v/>
      </c>
      <c r="S2845" s="89"/>
      <c r="T2845" s="38"/>
      <c r="U2845" s="43"/>
      <c r="V2845" s="42" t="str">
        <f>IF(Table1[[#This Row],[DATE]]=0,"",YEAR(E2845))</f>
        <v/>
      </c>
      <c r="W2845" s="40" t="str">
        <f t="shared" si="92"/>
        <v/>
      </c>
      <c r="X2845" s="40" t="str">
        <f t="shared" si="93"/>
        <v/>
      </c>
      <c r="Y2845" s="40" t="str">
        <f>TEXT(Table1[[#This Row],[YEAR]],"0000")&amp;"-"&amp;Table1[[#This Row],[MONTH]]</f>
        <v>-</v>
      </c>
    </row>
    <row r="2846" spans="1:25" ht="15" customHeight="1" x14ac:dyDescent="0.35">
      <c r="A2846" s="24"/>
      <c r="B2846" s="38"/>
      <c r="C2846" s="38"/>
      <c r="D2846" s="38"/>
      <c r="E2846" s="37"/>
      <c r="F2846" s="38"/>
      <c r="G2846" s="198"/>
      <c r="H2846" s="198"/>
      <c r="I2846" s="39"/>
      <c r="J2846" s="38"/>
      <c r="K2846" s="198"/>
      <c r="L2846" s="38"/>
      <c r="M2846" s="38"/>
      <c r="N2846" s="38"/>
      <c r="O2846" s="38"/>
      <c r="P2846" s="40" t="str" cm="1">
        <f t="array" ref="P2846">IF(N2846="","",IFERROR(_xlfn.XLOOKUP(F2846&amp;"|"&amp;J2846&amp;"|"&amp;O2846,PRICES!$C$2:$C$659&amp;"|"&amp;PRICES!$B$2:$B$659&amp;"|"&amp;PRICES!$D$2:$D$659,PRICES!$E$2:$E$659),"Not Found"))</f>
        <v/>
      </c>
      <c r="Q2846" s="100" t="str">
        <f>IF(N2846=0,"",SUMIFS(PRICES!$G$2:$G$658,PRICES!$B$2:$B$658,'MAIN TABLE-1 AUTOMATED'!J2846,PRICES!$C$2:$C$658,'MAIN TABLE-1 AUTOMATED'!F2846,PRICES!$D$2:$D$658,'MAIN TABLE-1 AUTOMATED'!O2846))</f>
        <v/>
      </c>
      <c r="R2846" s="41" t="str">
        <f>IF(Table1[[#This Row],[QUANTITY]]=0,"",Table1[[#This Row],[UNIT PRICE]]*Table1[[#This Row],[QUANTITY]])</f>
        <v/>
      </c>
      <c r="S2846" s="89"/>
      <c r="T2846" s="38"/>
      <c r="U2846" s="43"/>
      <c r="V2846" s="42" t="str">
        <f>IF(Table1[[#This Row],[DATE]]=0,"",YEAR(E2846))</f>
        <v/>
      </c>
      <c r="W2846" s="40" t="str">
        <f t="shared" si="92"/>
        <v/>
      </c>
      <c r="X2846" s="40" t="str">
        <f t="shared" si="93"/>
        <v/>
      </c>
      <c r="Y2846" s="40" t="str">
        <f>TEXT(Table1[[#This Row],[YEAR]],"0000")&amp;"-"&amp;Table1[[#This Row],[MONTH]]</f>
        <v>-</v>
      </c>
    </row>
    <row r="2847" spans="1:25" ht="15" customHeight="1" x14ac:dyDescent="0.35">
      <c r="A2847" s="24"/>
      <c r="B2847" s="38"/>
      <c r="C2847" s="38"/>
      <c r="D2847" s="38"/>
      <c r="E2847" s="37"/>
      <c r="F2847" s="38"/>
      <c r="G2847" s="198"/>
      <c r="H2847" s="198"/>
      <c r="I2847" s="39"/>
      <c r="J2847" s="38"/>
      <c r="K2847" s="198"/>
      <c r="L2847" s="38"/>
      <c r="M2847" s="38"/>
      <c r="N2847" s="38"/>
      <c r="O2847" s="38"/>
      <c r="P2847" s="40" t="str" cm="1">
        <f t="array" ref="P2847">IF(N2847="","",IFERROR(_xlfn.XLOOKUP(F2847&amp;"|"&amp;J2847&amp;"|"&amp;O2847,PRICES!$C$2:$C$659&amp;"|"&amp;PRICES!$B$2:$B$659&amp;"|"&amp;PRICES!$D$2:$D$659,PRICES!$E$2:$E$659),"Not Found"))</f>
        <v/>
      </c>
      <c r="Q2847" s="100" t="str">
        <f>IF(N2847=0,"",SUMIFS(PRICES!$G$2:$G$658,PRICES!$B$2:$B$658,'MAIN TABLE-1 AUTOMATED'!J2847,PRICES!$C$2:$C$658,'MAIN TABLE-1 AUTOMATED'!F2847,PRICES!$D$2:$D$658,'MAIN TABLE-1 AUTOMATED'!O2847))</f>
        <v/>
      </c>
      <c r="R2847" s="41" t="str">
        <f>IF(Table1[[#This Row],[QUANTITY]]=0,"",Table1[[#This Row],[UNIT PRICE]]*Table1[[#This Row],[QUANTITY]])</f>
        <v/>
      </c>
      <c r="S2847" s="89"/>
      <c r="T2847" s="38"/>
      <c r="U2847" s="43"/>
      <c r="V2847" s="42" t="str">
        <f>IF(Table1[[#This Row],[DATE]]=0,"",YEAR(E2847))</f>
        <v/>
      </c>
      <c r="W2847" s="40" t="str">
        <f t="shared" si="92"/>
        <v/>
      </c>
      <c r="X2847" s="40" t="str">
        <f t="shared" si="93"/>
        <v/>
      </c>
      <c r="Y2847" s="40" t="str">
        <f>TEXT(Table1[[#This Row],[YEAR]],"0000")&amp;"-"&amp;Table1[[#This Row],[MONTH]]</f>
        <v>-</v>
      </c>
    </row>
    <row r="2848" spans="1:25" ht="15" customHeight="1" x14ac:dyDescent="0.35">
      <c r="A2848" s="24"/>
      <c r="B2848" s="38"/>
      <c r="C2848" s="38"/>
      <c r="D2848" s="38"/>
      <c r="E2848" s="37"/>
      <c r="F2848" s="38"/>
      <c r="G2848" s="198"/>
      <c r="H2848" s="198"/>
      <c r="I2848" s="39"/>
      <c r="J2848" s="38"/>
      <c r="K2848" s="198"/>
      <c r="L2848" s="38"/>
      <c r="M2848" s="38"/>
      <c r="N2848" s="38"/>
      <c r="O2848" s="38"/>
      <c r="P2848" s="40" t="str" cm="1">
        <f t="array" ref="P2848">IF(N2848="","",IFERROR(_xlfn.XLOOKUP(F2848&amp;"|"&amp;J2848&amp;"|"&amp;O2848,PRICES!$C$2:$C$659&amp;"|"&amp;PRICES!$B$2:$B$659&amp;"|"&amp;PRICES!$D$2:$D$659,PRICES!$E$2:$E$659),"Not Found"))</f>
        <v/>
      </c>
      <c r="Q2848" s="100" t="str">
        <f>IF(N2848=0,"",SUMIFS(PRICES!$G$2:$G$658,PRICES!$B$2:$B$658,'MAIN TABLE-1 AUTOMATED'!J2848,PRICES!$C$2:$C$658,'MAIN TABLE-1 AUTOMATED'!F2848,PRICES!$D$2:$D$658,'MAIN TABLE-1 AUTOMATED'!O2848))</f>
        <v/>
      </c>
      <c r="R2848" s="41" t="str">
        <f>IF(Table1[[#This Row],[QUANTITY]]=0,"",Table1[[#This Row],[UNIT PRICE]]*Table1[[#This Row],[QUANTITY]])</f>
        <v/>
      </c>
      <c r="S2848" s="89"/>
      <c r="T2848" s="38"/>
      <c r="U2848" s="43"/>
      <c r="V2848" s="42" t="str">
        <f>IF(Table1[[#This Row],[DATE]]=0,"",YEAR(E2848))</f>
        <v/>
      </c>
      <c r="W2848" s="40" t="str">
        <f t="shared" si="92"/>
        <v/>
      </c>
      <c r="X2848" s="40" t="str">
        <f t="shared" si="93"/>
        <v/>
      </c>
      <c r="Y2848" s="40" t="str">
        <f>TEXT(Table1[[#This Row],[YEAR]],"0000")&amp;"-"&amp;Table1[[#This Row],[MONTH]]</f>
        <v>-</v>
      </c>
    </row>
    <row r="2849" spans="1:25" ht="15" customHeight="1" x14ac:dyDescent="0.35">
      <c r="A2849" s="24"/>
      <c r="B2849" s="38"/>
      <c r="C2849" s="38"/>
      <c r="D2849" s="38"/>
      <c r="E2849" s="37"/>
      <c r="F2849" s="38"/>
      <c r="G2849" s="198"/>
      <c r="H2849" s="198"/>
      <c r="I2849" s="39"/>
      <c r="J2849" s="38"/>
      <c r="K2849" s="198"/>
      <c r="L2849" s="38"/>
      <c r="M2849" s="38"/>
      <c r="N2849" s="38"/>
      <c r="O2849" s="38"/>
      <c r="P2849" s="40" t="str" cm="1">
        <f t="array" ref="P2849">IF(N2849="","",IFERROR(_xlfn.XLOOKUP(F2849&amp;"|"&amp;J2849&amp;"|"&amp;O2849,PRICES!$C$2:$C$659&amp;"|"&amp;PRICES!$B$2:$B$659&amp;"|"&amp;PRICES!$D$2:$D$659,PRICES!$E$2:$E$659),"Not Found"))</f>
        <v/>
      </c>
      <c r="Q2849" s="100" t="str">
        <f>IF(N2849=0,"",SUMIFS(PRICES!$G$2:$G$658,PRICES!$B$2:$B$658,'MAIN TABLE-1 AUTOMATED'!J2849,PRICES!$C$2:$C$658,'MAIN TABLE-1 AUTOMATED'!F2849,PRICES!$D$2:$D$658,'MAIN TABLE-1 AUTOMATED'!O2849))</f>
        <v/>
      </c>
      <c r="R2849" s="41" t="str">
        <f>IF(Table1[[#This Row],[QUANTITY]]=0,"",Table1[[#This Row],[UNIT PRICE]]*Table1[[#This Row],[QUANTITY]])</f>
        <v/>
      </c>
      <c r="S2849" s="89"/>
      <c r="T2849" s="38"/>
      <c r="U2849" s="43"/>
      <c r="V2849" s="42" t="str">
        <f>IF(Table1[[#This Row],[DATE]]=0,"",YEAR(E2849))</f>
        <v/>
      </c>
      <c r="W2849" s="40" t="str">
        <f t="shared" si="92"/>
        <v/>
      </c>
      <c r="X2849" s="40" t="str">
        <f t="shared" si="93"/>
        <v/>
      </c>
      <c r="Y2849" s="40" t="str">
        <f>TEXT(Table1[[#This Row],[YEAR]],"0000")&amp;"-"&amp;Table1[[#This Row],[MONTH]]</f>
        <v>-</v>
      </c>
    </row>
    <row r="2850" spans="1:25" ht="15" customHeight="1" x14ac:dyDescent="0.35">
      <c r="A2850" s="24"/>
      <c r="B2850" s="38"/>
      <c r="C2850" s="38"/>
      <c r="D2850" s="38"/>
      <c r="E2850" s="37"/>
      <c r="F2850" s="38"/>
      <c r="G2850" s="198"/>
      <c r="H2850" s="198"/>
      <c r="I2850" s="39"/>
      <c r="J2850" s="38"/>
      <c r="K2850" s="198"/>
      <c r="L2850" s="38"/>
      <c r="M2850" s="38"/>
      <c r="N2850" s="38"/>
      <c r="O2850" s="38"/>
      <c r="P2850" s="40" t="str" cm="1">
        <f t="array" ref="P2850">IF(N2850="","",IFERROR(_xlfn.XLOOKUP(F2850&amp;"|"&amp;J2850&amp;"|"&amp;O2850,PRICES!$C$2:$C$659&amp;"|"&amp;PRICES!$B$2:$B$659&amp;"|"&amp;PRICES!$D$2:$D$659,PRICES!$E$2:$E$659),"Not Found"))</f>
        <v/>
      </c>
      <c r="Q2850" s="100" t="str">
        <f>IF(N2850=0,"",SUMIFS(PRICES!$G$2:$G$658,PRICES!$B$2:$B$658,'MAIN TABLE-1 AUTOMATED'!J2850,PRICES!$C$2:$C$658,'MAIN TABLE-1 AUTOMATED'!F2850,PRICES!$D$2:$D$658,'MAIN TABLE-1 AUTOMATED'!O2850))</f>
        <v/>
      </c>
      <c r="R2850" s="41" t="str">
        <f>IF(Table1[[#This Row],[QUANTITY]]=0,"",Table1[[#This Row],[UNIT PRICE]]*Table1[[#This Row],[QUANTITY]])</f>
        <v/>
      </c>
      <c r="S2850" s="89"/>
      <c r="T2850" s="38"/>
      <c r="U2850" s="43"/>
      <c r="V2850" s="42" t="str">
        <f>IF(Table1[[#This Row],[DATE]]=0,"",YEAR(E2850))</f>
        <v/>
      </c>
      <c r="W2850" s="40" t="str">
        <f t="shared" si="92"/>
        <v/>
      </c>
      <c r="X2850" s="40" t="str">
        <f t="shared" si="93"/>
        <v/>
      </c>
      <c r="Y2850" s="40" t="str">
        <f>TEXT(Table1[[#This Row],[YEAR]],"0000")&amp;"-"&amp;Table1[[#This Row],[MONTH]]</f>
        <v>-</v>
      </c>
    </row>
    <row r="2851" spans="1:25" ht="15" customHeight="1" x14ac:dyDescent="0.35">
      <c r="A2851" s="24"/>
      <c r="B2851" s="38"/>
      <c r="C2851" s="38"/>
      <c r="D2851" s="38"/>
      <c r="E2851" s="37"/>
      <c r="F2851" s="38"/>
      <c r="G2851" s="198"/>
      <c r="H2851" s="198"/>
      <c r="I2851" s="39"/>
      <c r="J2851" s="38"/>
      <c r="K2851" s="198"/>
      <c r="L2851" s="38"/>
      <c r="M2851" s="38"/>
      <c r="N2851" s="38"/>
      <c r="O2851" s="38"/>
      <c r="P2851" s="40" t="str" cm="1">
        <f t="array" ref="P2851">IF(N2851="","",IFERROR(_xlfn.XLOOKUP(F2851&amp;"|"&amp;J2851&amp;"|"&amp;O2851,PRICES!$C$2:$C$659&amp;"|"&amp;PRICES!$B$2:$B$659&amp;"|"&amp;PRICES!$D$2:$D$659,PRICES!$E$2:$E$659),"Not Found"))</f>
        <v/>
      </c>
      <c r="Q2851" s="100" t="str">
        <f>IF(N2851=0,"",SUMIFS(PRICES!$G$2:$G$658,PRICES!$B$2:$B$658,'MAIN TABLE-1 AUTOMATED'!J2851,PRICES!$C$2:$C$658,'MAIN TABLE-1 AUTOMATED'!F2851,PRICES!$D$2:$D$658,'MAIN TABLE-1 AUTOMATED'!O2851))</f>
        <v/>
      </c>
      <c r="R2851" s="41" t="str">
        <f>IF(Table1[[#This Row],[QUANTITY]]=0,"",Table1[[#This Row],[UNIT PRICE]]*Table1[[#This Row],[QUANTITY]])</f>
        <v/>
      </c>
      <c r="S2851" s="89"/>
      <c r="T2851" s="38"/>
      <c r="U2851" s="43"/>
      <c r="V2851" s="42" t="str">
        <f>IF(Table1[[#This Row],[DATE]]=0,"",YEAR(E2851))</f>
        <v/>
      </c>
      <c r="W2851" s="40" t="str">
        <f t="shared" si="92"/>
        <v/>
      </c>
      <c r="X2851" s="40" t="str">
        <f t="shared" si="93"/>
        <v/>
      </c>
      <c r="Y2851" s="40" t="str">
        <f>TEXT(Table1[[#This Row],[YEAR]],"0000")&amp;"-"&amp;Table1[[#This Row],[MONTH]]</f>
        <v>-</v>
      </c>
    </row>
    <row r="2852" spans="1:25" ht="15" customHeight="1" x14ac:dyDescent="0.35">
      <c r="A2852" s="24"/>
      <c r="B2852" s="38"/>
      <c r="C2852" s="38"/>
      <c r="D2852" s="38"/>
      <c r="E2852" s="37"/>
      <c r="F2852" s="38"/>
      <c r="G2852" s="198"/>
      <c r="H2852" s="198"/>
      <c r="I2852" s="39"/>
      <c r="J2852" s="38"/>
      <c r="K2852" s="198"/>
      <c r="L2852" s="38"/>
      <c r="M2852" s="38"/>
      <c r="N2852" s="38"/>
      <c r="O2852" s="38"/>
      <c r="P2852" s="40" t="str" cm="1">
        <f t="array" ref="P2852">IF(N2852="","",IFERROR(_xlfn.XLOOKUP(F2852&amp;"|"&amp;J2852&amp;"|"&amp;O2852,PRICES!$C$2:$C$659&amp;"|"&amp;PRICES!$B$2:$B$659&amp;"|"&amp;PRICES!$D$2:$D$659,PRICES!$E$2:$E$659),"Not Found"))</f>
        <v/>
      </c>
      <c r="Q2852" s="100" t="str">
        <f>IF(N2852=0,"",SUMIFS(PRICES!$G$2:$G$658,PRICES!$B$2:$B$658,'MAIN TABLE-1 AUTOMATED'!J2852,PRICES!$C$2:$C$658,'MAIN TABLE-1 AUTOMATED'!F2852,PRICES!$D$2:$D$658,'MAIN TABLE-1 AUTOMATED'!O2852))</f>
        <v/>
      </c>
      <c r="R2852" s="41" t="str">
        <f>IF(Table1[[#This Row],[QUANTITY]]=0,"",Table1[[#This Row],[UNIT PRICE]]*Table1[[#This Row],[QUANTITY]])</f>
        <v/>
      </c>
      <c r="S2852" s="89"/>
      <c r="T2852" s="38"/>
      <c r="U2852" s="43"/>
      <c r="V2852" s="42" t="str">
        <f>IF(Table1[[#This Row],[DATE]]=0,"",YEAR(E2852))</f>
        <v/>
      </c>
      <c r="W2852" s="40" t="str">
        <f t="shared" si="92"/>
        <v/>
      </c>
      <c r="X2852" s="40" t="str">
        <f t="shared" si="93"/>
        <v/>
      </c>
      <c r="Y2852" s="40" t="str">
        <f>TEXT(Table1[[#This Row],[YEAR]],"0000")&amp;"-"&amp;Table1[[#This Row],[MONTH]]</f>
        <v>-</v>
      </c>
    </row>
    <row r="2853" spans="1:25" ht="15" customHeight="1" x14ac:dyDescent="0.35">
      <c r="A2853" s="24"/>
      <c r="B2853" s="38"/>
      <c r="C2853" s="38"/>
      <c r="D2853" s="38"/>
      <c r="E2853" s="37"/>
      <c r="F2853" s="38"/>
      <c r="G2853" s="198"/>
      <c r="H2853" s="198"/>
      <c r="I2853" s="39"/>
      <c r="J2853" s="38"/>
      <c r="K2853" s="198"/>
      <c r="L2853" s="38"/>
      <c r="M2853" s="38"/>
      <c r="N2853" s="38"/>
      <c r="O2853" s="38"/>
      <c r="P2853" s="40" t="str" cm="1">
        <f t="array" ref="P2853">IF(N2853="","",IFERROR(_xlfn.XLOOKUP(F2853&amp;"|"&amp;J2853&amp;"|"&amp;O2853,PRICES!$C$2:$C$659&amp;"|"&amp;PRICES!$B$2:$B$659&amp;"|"&amp;PRICES!$D$2:$D$659,PRICES!$E$2:$E$659),"Not Found"))</f>
        <v/>
      </c>
      <c r="Q2853" s="100" t="str">
        <f>IF(N2853=0,"",SUMIFS(PRICES!$G$2:$G$658,PRICES!$B$2:$B$658,'MAIN TABLE-1 AUTOMATED'!J2853,PRICES!$C$2:$C$658,'MAIN TABLE-1 AUTOMATED'!F2853,PRICES!$D$2:$D$658,'MAIN TABLE-1 AUTOMATED'!O2853))</f>
        <v/>
      </c>
      <c r="R2853" s="41" t="str">
        <f>IF(Table1[[#This Row],[QUANTITY]]=0,"",Table1[[#This Row],[UNIT PRICE]]*Table1[[#This Row],[QUANTITY]])</f>
        <v/>
      </c>
      <c r="S2853" s="89"/>
      <c r="T2853" s="38"/>
      <c r="U2853" s="43"/>
      <c r="V2853" s="42" t="str">
        <f>IF(Table1[[#This Row],[DATE]]=0,"",YEAR(E2853))</f>
        <v/>
      </c>
      <c r="W2853" s="40" t="str">
        <f t="shared" si="92"/>
        <v/>
      </c>
      <c r="X2853" s="40" t="str">
        <f t="shared" si="93"/>
        <v/>
      </c>
      <c r="Y2853" s="40" t="str">
        <f>TEXT(Table1[[#This Row],[YEAR]],"0000")&amp;"-"&amp;Table1[[#This Row],[MONTH]]</f>
        <v>-</v>
      </c>
    </row>
    <row r="2854" spans="1:25" ht="15" customHeight="1" x14ac:dyDescent="0.35">
      <c r="A2854" s="24"/>
      <c r="B2854" s="38"/>
      <c r="C2854" s="38"/>
      <c r="D2854" s="38"/>
      <c r="E2854" s="37"/>
      <c r="F2854" s="38"/>
      <c r="G2854" s="198"/>
      <c r="H2854" s="198"/>
      <c r="I2854" s="39"/>
      <c r="J2854" s="38"/>
      <c r="K2854" s="198"/>
      <c r="L2854" s="38"/>
      <c r="M2854" s="38"/>
      <c r="N2854" s="38"/>
      <c r="O2854" s="38"/>
      <c r="P2854" s="40" t="str" cm="1">
        <f t="array" ref="P2854">IF(N2854="","",IFERROR(_xlfn.XLOOKUP(F2854&amp;"|"&amp;J2854&amp;"|"&amp;O2854,PRICES!$C$2:$C$659&amp;"|"&amp;PRICES!$B$2:$B$659&amp;"|"&amp;PRICES!$D$2:$D$659,PRICES!$E$2:$E$659),"Not Found"))</f>
        <v/>
      </c>
      <c r="Q2854" s="100" t="str">
        <f>IF(N2854=0,"",SUMIFS(PRICES!$G$2:$G$658,PRICES!$B$2:$B$658,'MAIN TABLE-1 AUTOMATED'!J2854,PRICES!$C$2:$C$658,'MAIN TABLE-1 AUTOMATED'!F2854,PRICES!$D$2:$D$658,'MAIN TABLE-1 AUTOMATED'!O2854))</f>
        <v/>
      </c>
      <c r="R2854" s="41" t="str">
        <f>IF(Table1[[#This Row],[QUANTITY]]=0,"",Table1[[#This Row],[UNIT PRICE]]*Table1[[#This Row],[QUANTITY]])</f>
        <v/>
      </c>
      <c r="S2854" s="89"/>
      <c r="T2854" s="38"/>
      <c r="U2854" s="43"/>
      <c r="V2854" s="42" t="str">
        <f>IF(Table1[[#This Row],[DATE]]=0,"",YEAR(E2854))</f>
        <v/>
      </c>
      <c r="W2854" s="40" t="str">
        <f t="shared" si="92"/>
        <v/>
      </c>
      <c r="X2854" s="40" t="str">
        <f t="shared" si="93"/>
        <v/>
      </c>
      <c r="Y2854" s="40" t="str">
        <f>TEXT(Table1[[#This Row],[YEAR]],"0000")&amp;"-"&amp;Table1[[#This Row],[MONTH]]</f>
        <v>-</v>
      </c>
    </row>
    <row r="2855" spans="1:25" ht="15" customHeight="1" x14ac:dyDescent="0.35">
      <c r="A2855" s="24"/>
      <c r="B2855" s="38"/>
      <c r="C2855" s="38"/>
      <c r="D2855" s="38"/>
      <c r="E2855" s="37"/>
      <c r="F2855" s="38"/>
      <c r="G2855" s="198"/>
      <c r="H2855" s="198"/>
      <c r="I2855" s="39"/>
      <c r="J2855" s="38"/>
      <c r="K2855" s="198"/>
      <c r="L2855" s="38"/>
      <c r="M2855" s="38"/>
      <c r="N2855" s="38"/>
      <c r="O2855" s="38"/>
      <c r="P2855" s="40" t="str" cm="1">
        <f t="array" ref="P2855">IF(N2855="","",IFERROR(_xlfn.XLOOKUP(F2855&amp;"|"&amp;J2855&amp;"|"&amp;O2855,PRICES!$C$2:$C$659&amp;"|"&amp;PRICES!$B$2:$B$659&amp;"|"&amp;PRICES!$D$2:$D$659,PRICES!$E$2:$E$659),"Not Found"))</f>
        <v/>
      </c>
      <c r="Q2855" s="100" t="str">
        <f>IF(N2855=0,"",SUMIFS(PRICES!$G$2:$G$658,PRICES!$B$2:$B$658,'MAIN TABLE-1 AUTOMATED'!J2855,PRICES!$C$2:$C$658,'MAIN TABLE-1 AUTOMATED'!F2855,PRICES!$D$2:$D$658,'MAIN TABLE-1 AUTOMATED'!O2855))</f>
        <v/>
      </c>
      <c r="R2855" s="41" t="str">
        <f>IF(Table1[[#This Row],[QUANTITY]]=0,"",Table1[[#This Row],[UNIT PRICE]]*Table1[[#This Row],[QUANTITY]])</f>
        <v/>
      </c>
      <c r="S2855" s="89"/>
      <c r="T2855" s="38"/>
      <c r="U2855" s="43"/>
      <c r="V2855" s="42" t="str">
        <f>IF(Table1[[#This Row],[DATE]]=0,"",YEAR(E2855))</f>
        <v/>
      </c>
      <c r="W2855" s="40" t="str">
        <f t="shared" si="92"/>
        <v/>
      </c>
      <c r="X2855" s="40" t="str">
        <f t="shared" si="93"/>
        <v/>
      </c>
      <c r="Y2855" s="40" t="str">
        <f>TEXT(Table1[[#This Row],[YEAR]],"0000")&amp;"-"&amp;Table1[[#This Row],[MONTH]]</f>
        <v>-</v>
      </c>
    </row>
    <row r="2856" spans="1:25" ht="15" customHeight="1" x14ac:dyDescent="0.35">
      <c r="A2856" s="24"/>
      <c r="B2856" s="38"/>
      <c r="C2856" s="38"/>
      <c r="D2856" s="38"/>
      <c r="E2856" s="37"/>
      <c r="F2856" s="38"/>
      <c r="G2856" s="198"/>
      <c r="H2856" s="198"/>
      <c r="I2856" s="39"/>
      <c r="J2856" s="38"/>
      <c r="K2856" s="198"/>
      <c r="L2856" s="38"/>
      <c r="M2856" s="38"/>
      <c r="N2856" s="38"/>
      <c r="O2856" s="38"/>
      <c r="P2856" s="40" t="str" cm="1">
        <f t="array" ref="P2856">IF(N2856="","",IFERROR(_xlfn.XLOOKUP(F2856&amp;"|"&amp;J2856&amp;"|"&amp;O2856,PRICES!$C$2:$C$659&amp;"|"&amp;PRICES!$B$2:$B$659&amp;"|"&amp;PRICES!$D$2:$D$659,PRICES!$E$2:$E$659),"Not Found"))</f>
        <v/>
      </c>
      <c r="Q2856" s="100" t="str">
        <f>IF(N2856=0,"",SUMIFS(PRICES!$G$2:$G$658,PRICES!$B$2:$B$658,'MAIN TABLE-1 AUTOMATED'!J2856,PRICES!$C$2:$C$658,'MAIN TABLE-1 AUTOMATED'!F2856,PRICES!$D$2:$D$658,'MAIN TABLE-1 AUTOMATED'!O2856))</f>
        <v/>
      </c>
      <c r="R2856" s="41" t="str">
        <f>IF(Table1[[#This Row],[QUANTITY]]=0,"",Table1[[#This Row],[UNIT PRICE]]*Table1[[#This Row],[QUANTITY]])</f>
        <v/>
      </c>
      <c r="S2856" s="89"/>
      <c r="T2856" s="38"/>
      <c r="U2856" s="43"/>
      <c r="V2856" s="42" t="str">
        <f>IF(Table1[[#This Row],[DATE]]=0,"",YEAR(E2856))</f>
        <v/>
      </c>
      <c r="W2856" s="40" t="str">
        <f t="shared" si="92"/>
        <v/>
      </c>
      <c r="X2856" s="40" t="str">
        <f t="shared" si="93"/>
        <v/>
      </c>
      <c r="Y2856" s="40" t="str">
        <f>TEXT(Table1[[#This Row],[YEAR]],"0000")&amp;"-"&amp;Table1[[#This Row],[MONTH]]</f>
        <v>-</v>
      </c>
    </row>
    <row r="2857" spans="1:25" ht="15" customHeight="1" x14ac:dyDescent="0.35">
      <c r="A2857" s="24"/>
      <c r="B2857" s="38"/>
      <c r="C2857" s="38"/>
      <c r="D2857" s="38"/>
      <c r="E2857" s="37"/>
      <c r="F2857" s="38"/>
      <c r="G2857" s="198"/>
      <c r="H2857" s="198"/>
      <c r="I2857" s="39"/>
      <c r="J2857" s="38"/>
      <c r="K2857" s="198"/>
      <c r="L2857" s="38"/>
      <c r="M2857" s="38"/>
      <c r="N2857" s="38"/>
      <c r="O2857" s="38"/>
      <c r="P2857" s="40" t="str" cm="1">
        <f t="array" ref="P2857">IF(N2857="","",IFERROR(_xlfn.XLOOKUP(F2857&amp;"|"&amp;J2857&amp;"|"&amp;O2857,PRICES!$C$2:$C$659&amp;"|"&amp;PRICES!$B$2:$B$659&amp;"|"&amp;PRICES!$D$2:$D$659,PRICES!$E$2:$E$659),"Not Found"))</f>
        <v/>
      </c>
      <c r="Q2857" s="100" t="str">
        <f>IF(N2857=0,"",SUMIFS(PRICES!$G$2:$G$658,PRICES!$B$2:$B$658,'MAIN TABLE-1 AUTOMATED'!J2857,PRICES!$C$2:$C$658,'MAIN TABLE-1 AUTOMATED'!F2857,PRICES!$D$2:$D$658,'MAIN TABLE-1 AUTOMATED'!O2857))</f>
        <v/>
      </c>
      <c r="R2857" s="41" t="str">
        <f>IF(Table1[[#This Row],[QUANTITY]]=0,"",Table1[[#This Row],[UNIT PRICE]]*Table1[[#This Row],[QUANTITY]])</f>
        <v/>
      </c>
      <c r="S2857" s="89"/>
      <c r="T2857" s="38"/>
      <c r="U2857" s="43"/>
      <c r="V2857" s="42" t="str">
        <f>IF(Table1[[#This Row],[DATE]]=0,"",YEAR(E2857))</f>
        <v/>
      </c>
      <c r="W2857" s="40" t="str">
        <f t="shared" si="92"/>
        <v/>
      </c>
      <c r="X2857" s="40" t="str">
        <f t="shared" si="93"/>
        <v/>
      </c>
      <c r="Y2857" s="40" t="str">
        <f>TEXT(Table1[[#This Row],[YEAR]],"0000")&amp;"-"&amp;Table1[[#This Row],[MONTH]]</f>
        <v>-</v>
      </c>
    </row>
    <row r="2858" spans="1:25" ht="15" customHeight="1" x14ac:dyDescent="0.35">
      <c r="A2858" s="24"/>
      <c r="B2858" s="38"/>
      <c r="C2858" s="38"/>
      <c r="D2858" s="38"/>
      <c r="E2858" s="37"/>
      <c r="F2858" s="38"/>
      <c r="G2858" s="198"/>
      <c r="H2858" s="198"/>
      <c r="I2858" s="39"/>
      <c r="J2858" s="38"/>
      <c r="K2858" s="198"/>
      <c r="L2858" s="38"/>
      <c r="M2858" s="38"/>
      <c r="N2858" s="38"/>
      <c r="O2858" s="38"/>
      <c r="P2858" s="40" t="str" cm="1">
        <f t="array" ref="P2858">IF(N2858="","",IFERROR(_xlfn.XLOOKUP(F2858&amp;"|"&amp;J2858&amp;"|"&amp;O2858,PRICES!$C$2:$C$659&amp;"|"&amp;PRICES!$B$2:$B$659&amp;"|"&amp;PRICES!$D$2:$D$659,PRICES!$E$2:$E$659),"Not Found"))</f>
        <v/>
      </c>
      <c r="Q2858" s="100" t="str">
        <f>IF(N2858=0,"",SUMIFS(PRICES!$G$2:$G$658,PRICES!$B$2:$B$658,'MAIN TABLE-1 AUTOMATED'!J2858,PRICES!$C$2:$C$658,'MAIN TABLE-1 AUTOMATED'!F2858,PRICES!$D$2:$D$658,'MAIN TABLE-1 AUTOMATED'!O2858))</f>
        <v/>
      </c>
      <c r="R2858" s="41" t="str">
        <f>IF(Table1[[#This Row],[QUANTITY]]=0,"",Table1[[#This Row],[UNIT PRICE]]*Table1[[#This Row],[QUANTITY]])</f>
        <v/>
      </c>
      <c r="S2858" s="89"/>
      <c r="T2858" s="38"/>
      <c r="U2858" s="43"/>
      <c r="V2858" s="42" t="str">
        <f>IF(Table1[[#This Row],[DATE]]=0,"",YEAR(E2858))</f>
        <v/>
      </c>
      <c r="W2858" s="40" t="str">
        <f t="shared" si="92"/>
        <v/>
      </c>
      <c r="X2858" s="40" t="str">
        <f t="shared" si="93"/>
        <v/>
      </c>
      <c r="Y2858" s="40" t="str">
        <f>TEXT(Table1[[#This Row],[YEAR]],"0000")&amp;"-"&amp;Table1[[#This Row],[MONTH]]</f>
        <v>-</v>
      </c>
    </row>
    <row r="2859" spans="1:25" ht="15" customHeight="1" x14ac:dyDescent="0.35">
      <c r="A2859" s="24"/>
      <c r="B2859" s="38"/>
      <c r="C2859" s="38"/>
      <c r="D2859" s="38"/>
      <c r="E2859" s="37"/>
      <c r="F2859" s="38"/>
      <c r="G2859" s="198"/>
      <c r="H2859" s="198"/>
      <c r="I2859" s="39"/>
      <c r="J2859" s="38"/>
      <c r="K2859" s="198"/>
      <c r="L2859" s="38"/>
      <c r="M2859" s="38"/>
      <c r="N2859" s="38"/>
      <c r="O2859" s="38"/>
      <c r="P2859" s="40" t="str" cm="1">
        <f t="array" ref="P2859">IF(N2859="","",IFERROR(_xlfn.XLOOKUP(F2859&amp;"|"&amp;J2859&amp;"|"&amp;O2859,PRICES!$C$2:$C$659&amp;"|"&amp;PRICES!$B$2:$B$659&amp;"|"&amp;PRICES!$D$2:$D$659,PRICES!$E$2:$E$659),"Not Found"))</f>
        <v/>
      </c>
      <c r="Q2859" s="100" t="str">
        <f>IF(N2859=0,"",SUMIFS(PRICES!$G$2:$G$658,PRICES!$B$2:$B$658,'MAIN TABLE-1 AUTOMATED'!J2859,PRICES!$C$2:$C$658,'MAIN TABLE-1 AUTOMATED'!F2859,PRICES!$D$2:$D$658,'MAIN TABLE-1 AUTOMATED'!O2859))</f>
        <v/>
      </c>
      <c r="R2859" s="41" t="str">
        <f>IF(Table1[[#This Row],[QUANTITY]]=0,"",Table1[[#This Row],[UNIT PRICE]]*Table1[[#This Row],[QUANTITY]])</f>
        <v/>
      </c>
      <c r="S2859" s="89"/>
      <c r="T2859" s="38"/>
      <c r="U2859" s="43"/>
      <c r="V2859" s="42" t="str">
        <f>IF(Table1[[#This Row],[DATE]]=0,"",YEAR(E2859))</f>
        <v/>
      </c>
      <c r="W2859" s="40" t="str">
        <f t="shared" si="92"/>
        <v/>
      </c>
      <c r="X2859" s="40" t="str">
        <f t="shared" si="93"/>
        <v/>
      </c>
      <c r="Y2859" s="40" t="str">
        <f>TEXT(Table1[[#This Row],[YEAR]],"0000")&amp;"-"&amp;Table1[[#This Row],[MONTH]]</f>
        <v>-</v>
      </c>
    </row>
    <row r="2860" spans="1:25" ht="15" customHeight="1" x14ac:dyDescent="0.35">
      <c r="A2860" s="24"/>
      <c r="B2860" s="38"/>
      <c r="C2860" s="38"/>
      <c r="D2860" s="38"/>
      <c r="E2860" s="37"/>
      <c r="F2860" s="38"/>
      <c r="G2860" s="198"/>
      <c r="H2860" s="198"/>
      <c r="I2860" s="39"/>
      <c r="J2860" s="38"/>
      <c r="K2860" s="198"/>
      <c r="L2860" s="38"/>
      <c r="M2860" s="38"/>
      <c r="N2860" s="38"/>
      <c r="O2860" s="38"/>
      <c r="P2860" s="40" t="str" cm="1">
        <f t="array" ref="P2860">IF(N2860="","",IFERROR(_xlfn.XLOOKUP(F2860&amp;"|"&amp;J2860&amp;"|"&amp;O2860,PRICES!$C$2:$C$659&amp;"|"&amp;PRICES!$B$2:$B$659&amp;"|"&amp;PRICES!$D$2:$D$659,PRICES!$E$2:$E$659),"Not Found"))</f>
        <v/>
      </c>
      <c r="Q2860" s="100" t="str">
        <f>IF(N2860=0,"",SUMIFS(PRICES!$G$2:$G$658,PRICES!$B$2:$B$658,'MAIN TABLE-1 AUTOMATED'!J2860,PRICES!$C$2:$C$658,'MAIN TABLE-1 AUTOMATED'!F2860,PRICES!$D$2:$D$658,'MAIN TABLE-1 AUTOMATED'!O2860))</f>
        <v/>
      </c>
      <c r="R2860" s="41" t="str">
        <f>IF(Table1[[#This Row],[QUANTITY]]=0,"",Table1[[#This Row],[UNIT PRICE]]*Table1[[#This Row],[QUANTITY]])</f>
        <v/>
      </c>
      <c r="S2860" s="89"/>
      <c r="T2860" s="38"/>
      <c r="U2860" s="43"/>
      <c r="V2860" s="42" t="str">
        <f>IF(Table1[[#This Row],[DATE]]=0,"",YEAR(E2860))</f>
        <v/>
      </c>
      <c r="W2860" s="40" t="str">
        <f t="shared" si="92"/>
        <v/>
      </c>
      <c r="X2860" s="40" t="str">
        <f t="shared" si="93"/>
        <v/>
      </c>
      <c r="Y2860" s="40" t="str">
        <f>TEXT(Table1[[#This Row],[YEAR]],"0000")&amp;"-"&amp;Table1[[#This Row],[MONTH]]</f>
        <v>-</v>
      </c>
    </row>
    <row r="2861" spans="1:25" ht="15" customHeight="1" x14ac:dyDescent="0.35">
      <c r="A2861" s="24"/>
      <c r="B2861" s="38"/>
      <c r="C2861" s="38"/>
      <c r="D2861" s="38"/>
      <c r="E2861" s="37"/>
      <c r="F2861" s="38"/>
      <c r="G2861" s="198"/>
      <c r="H2861" s="198"/>
      <c r="I2861" s="39"/>
      <c r="J2861" s="38"/>
      <c r="K2861" s="198"/>
      <c r="L2861" s="38"/>
      <c r="M2861" s="38"/>
      <c r="N2861" s="38"/>
      <c r="O2861" s="38"/>
      <c r="P2861" s="40" t="str" cm="1">
        <f t="array" ref="P2861">IF(N2861="","",IFERROR(_xlfn.XLOOKUP(F2861&amp;"|"&amp;J2861&amp;"|"&amp;O2861,PRICES!$C$2:$C$659&amp;"|"&amp;PRICES!$B$2:$B$659&amp;"|"&amp;PRICES!$D$2:$D$659,PRICES!$E$2:$E$659),"Not Found"))</f>
        <v/>
      </c>
      <c r="Q2861" s="100" t="str">
        <f>IF(N2861=0,"",SUMIFS(PRICES!$G$2:$G$658,PRICES!$B$2:$B$658,'MAIN TABLE-1 AUTOMATED'!J2861,PRICES!$C$2:$C$658,'MAIN TABLE-1 AUTOMATED'!F2861,PRICES!$D$2:$D$658,'MAIN TABLE-1 AUTOMATED'!O2861))</f>
        <v/>
      </c>
      <c r="R2861" s="41" t="str">
        <f>IF(Table1[[#This Row],[QUANTITY]]=0,"",Table1[[#This Row],[UNIT PRICE]]*Table1[[#This Row],[QUANTITY]])</f>
        <v/>
      </c>
      <c r="S2861" s="89"/>
      <c r="T2861" s="38"/>
      <c r="U2861" s="43"/>
      <c r="V2861" s="42" t="str">
        <f>IF(Table1[[#This Row],[DATE]]=0,"",YEAR(E2861))</f>
        <v/>
      </c>
      <c r="W2861" s="40" t="str">
        <f t="shared" si="92"/>
        <v/>
      </c>
      <c r="X2861" s="40" t="str">
        <f t="shared" si="93"/>
        <v/>
      </c>
      <c r="Y2861" s="40" t="str">
        <f>TEXT(Table1[[#This Row],[YEAR]],"0000")&amp;"-"&amp;Table1[[#This Row],[MONTH]]</f>
        <v>-</v>
      </c>
    </row>
    <row r="2862" spans="1:25" ht="15" customHeight="1" x14ac:dyDescent="0.35">
      <c r="A2862" s="24"/>
      <c r="B2862" s="38"/>
      <c r="C2862" s="38"/>
      <c r="D2862" s="38"/>
      <c r="E2862" s="37"/>
      <c r="F2862" s="38"/>
      <c r="G2862" s="198"/>
      <c r="H2862" s="198"/>
      <c r="I2862" s="39"/>
      <c r="J2862" s="38"/>
      <c r="K2862" s="198"/>
      <c r="L2862" s="38"/>
      <c r="M2862" s="38"/>
      <c r="N2862" s="38"/>
      <c r="O2862" s="38"/>
      <c r="P2862" s="40" t="str" cm="1">
        <f t="array" ref="P2862">IF(N2862="","",IFERROR(_xlfn.XLOOKUP(F2862&amp;"|"&amp;J2862&amp;"|"&amp;O2862,PRICES!$C$2:$C$659&amp;"|"&amp;PRICES!$B$2:$B$659&amp;"|"&amp;PRICES!$D$2:$D$659,PRICES!$E$2:$E$659),"Not Found"))</f>
        <v/>
      </c>
      <c r="Q2862" s="100" t="str">
        <f>IF(N2862=0,"",SUMIFS(PRICES!$G$2:$G$658,PRICES!$B$2:$B$658,'MAIN TABLE-1 AUTOMATED'!J2862,PRICES!$C$2:$C$658,'MAIN TABLE-1 AUTOMATED'!F2862,PRICES!$D$2:$D$658,'MAIN TABLE-1 AUTOMATED'!O2862))</f>
        <v/>
      </c>
      <c r="R2862" s="41" t="str">
        <f>IF(Table1[[#This Row],[QUANTITY]]=0,"",Table1[[#This Row],[UNIT PRICE]]*Table1[[#This Row],[QUANTITY]])</f>
        <v/>
      </c>
      <c r="S2862" s="89"/>
      <c r="T2862" s="38"/>
      <c r="U2862" s="43"/>
      <c r="V2862" s="42" t="str">
        <f>IF(Table1[[#This Row],[DATE]]=0,"",YEAR(E2862))</f>
        <v/>
      </c>
      <c r="W2862" s="40" t="str">
        <f t="shared" si="92"/>
        <v/>
      </c>
      <c r="X2862" s="40" t="str">
        <f t="shared" si="93"/>
        <v/>
      </c>
      <c r="Y2862" s="40" t="str">
        <f>TEXT(Table1[[#This Row],[YEAR]],"0000")&amp;"-"&amp;Table1[[#This Row],[MONTH]]</f>
        <v>-</v>
      </c>
    </row>
    <row r="2863" spans="1:25" ht="15" customHeight="1" x14ac:dyDescent="0.35">
      <c r="A2863" s="24"/>
      <c r="B2863" s="38"/>
      <c r="C2863" s="38"/>
      <c r="D2863" s="38"/>
      <c r="E2863" s="37"/>
      <c r="F2863" s="38"/>
      <c r="G2863" s="198"/>
      <c r="H2863" s="198"/>
      <c r="I2863" s="39"/>
      <c r="J2863" s="38"/>
      <c r="K2863" s="198"/>
      <c r="L2863" s="38"/>
      <c r="M2863" s="38"/>
      <c r="N2863" s="38"/>
      <c r="O2863" s="38"/>
      <c r="P2863" s="40" t="str" cm="1">
        <f t="array" ref="P2863">IF(N2863="","",IFERROR(_xlfn.XLOOKUP(F2863&amp;"|"&amp;J2863&amp;"|"&amp;O2863,PRICES!$C$2:$C$659&amp;"|"&amp;PRICES!$B$2:$B$659&amp;"|"&amp;PRICES!$D$2:$D$659,PRICES!$E$2:$E$659),"Not Found"))</f>
        <v/>
      </c>
      <c r="Q2863" s="100" t="str">
        <f>IF(N2863=0,"",SUMIFS(PRICES!$G$2:$G$658,PRICES!$B$2:$B$658,'MAIN TABLE-1 AUTOMATED'!J2863,PRICES!$C$2:$C$658,'MAIN TABLE-1 AUTOMATED'!F2863,PRICES!$D$2:$D$658,'MAIN TABLE-1 AUTOMATED'!O2863))</f>
        <v/>
      </c>
      <c r="R2863" s="41" t="str">
        <f>IF(Table1[[#This Row],[QUANTITY]]=0,"",Table1[[#This Row],[UNIT PRICE]]*Table1[[#This Row],[QUANTITY]])</f>
        <v/>
      </c>
      <c r="S2863" s="89"/>
      <c r="T2863" s="38"/>
      <c r="U2863" s="43"/>
      <c r="V2863" s="42" t="str">
        <f>IF(Table1[[#This Row],[DATE]]=0,"",YEAR(E2863))</f>
        <v/>
      </c>
      <c r="W2863" s="40" t="str">
        <f t="shared" si="92"/>
        <v/>
      </c>
      <c r="X2863" s="40" t="str">
        <f t="shared" si="93"/>
        <v/>
      </c>
      <c r="Y2863" s="40" t="str">
        <f>TEXT(Table1[[#This Row],[YEAR]],"0000")&amp;"-"&amp;Table1[[#This Row],[MONTH]]</f>
        <v>-</v>
      </c>
    </row>
    <row r="2864" spans="1:25" ht="15" customHeight="1" x14ac:dyDescent="0.35">
      <c r="A2864" s="24"/>
      <c r="B2864" s="38"/>
      <c r="C2864" s="38"/>
      <c r="D2864" s="38"/>
      <c r="E2864" s="37"/>
      <c r="F2864" s="38"/>
      <c r="G2864" s="198"/>
      <c r="H2864" s="198"/>
      <c r="I2864" s="39"/>
      <c r="J2864" s="38"/>
      <c r="K2864" s="198"/>
      <c r="L2864" s="38"/>
      <c r="M2864" s="38"/>
      <c r="N2864" s="38"/>
      <c r="O2864" s="38"/>
      <c r="P2864" s="40" t="str" cm="1">
        <f t="array" ref="P2864">IF(N2864="","",IFERROR(_xlfn.XLOOKUP(F2864&amp;"|"&amp;J2864&amp;"|"&amp;O2864,PRICES!$C$2:$C$659&amp;"|"&amp;PRICES!$B$2:$B$659&amp;"|"&amp;PRICES!$D$2:$D$659,PRICES!$E$2:$E$659),"Not Found"))</f>
        <v/>
      </c>
      <c r="Q2864" s="100" t="str">
        <f>IF(N2864=0,"",SUMIFS(PRICES!$G$2:$G$658,PRICES!$B$2:$B$658,'MAIN TABLE-1 AUTOMATED'!J2864,PRICES!$C$2:$C$658,'MAIN TABLE-1 AUTOMATED'!F2864,PRICES!$D$2:$D$658,'MAIN TABLE-1 AUTOMATED'!O2864))</f>
        <v/>
      </c>
      <c r="R2864" s="41" t="str">
        <f>IF(Table1[[#This Row],[QUANTITY]]=0,"",Table1[[#This Row],[UNIT PRICE]]*Table1[[#This Row],[QUANTITY]])</f>
        <v/>
      </c>
      <c r="S2864" s="89"/>
      <c r="T2864" s="38"/>
      <c r="U2864" s="43"/>
      <c r="V2864" s="42" t="str">
        <f>IF(Table1[[#This Row],[DATE]]=0,"",YEAR(E2864))</f>
        <v/>
      </c>
      <c r="W2864" s="40" t="str">
        <f t="shared" si="92"/>
        <v/>
      </c>
      <c r="X2864" s="40" t="str">
        <f t="shared" si="93"/>
        <v/>
      </c>
      <c r="Y2864" s="40" t="str">
        <f>TEXT(Table1[[#This Row],[YEAR]],"0000")&amp;"-"&amp;Table1[[#This Row],[MONTH]]</f>
        <v>-</v>
      </c>
    </row>
    <row r="2865" spans="1:25" ht="15" customHeight="1" x14ac:dyDescent="0.35">
      <c r="A2865" s="24"/>
      <c r="B2865" s="38"/>
      <c r="C2865" s="38"/>
      <c r="D2865" s="38"/>
      <c r="E2865" s="37"/>
      <c r="F2865" s="38"/>
      <c r="G2865" s="198"/>
      <c r="H2865" s="198"/>
      <c r="I2865" s="39"/>
      <c r="J2865" s="38"/>
      <c r="K2865" s="198"/>
      <c r="L2865" s="38"/>
      <c r="M2865" s="38"/>
      <c r="N2865" s="38"/>
      <c r="O2865" s="38"/>
      <c r="P2865" s="40" t="str" cm="1">
        <f t="array" ref="P2865">IF(N2865="","",IFERROR(_xlfn.XLOOKUP(F2865&amp;"|"&amp;J2865&amp;"|"&amp;O2865,PRICES!$C$2:$C$659&amp;"|"&amp;PRICES!$B$2:$B$659&amp;"|"&amp;PRICES!$D$2:$D$659,PRICES!$E$2:$E$659),"Not Found"))</f>
        <v/>
      </c>
      <c r="Q2865" s="100" t="str">
        <f>IF(N2865=0,"",SUMIFS(PRICES!$G$2:$G$658,PRICES!$B$2:$B$658,'MAIN TABLE-1 AUTOMATED'!J2865,PRICES!$C$2:$C$658,'MAIN TABLE-1 AUTOMATED'!F2865,PRICES!$D$2:$D$658,'MAIN TABLE-1 AUTOMATED'!O2865))</f>
        <v/>
      </c>
      <c r="R2865" s="41" t="str">
        <f>IF(Table1[[#This Row],[QUANTITY]]=0,"",Table1[[#This Row],[UNIT PRICE]]*Table1[[#This Row],[QUANTITY]])</f>
        <v/>
      </c>
      <c r="S2865" s="89"/>
      <c r="T2865" s="38"/>
      <c r="U2865" s="43"/>
      <c r="V2865" s="42" t="str">
        <f>IF(Table1[[#This Row],[DATE]]=0,"",YEAR(E2865))</f>
        <v/>
      </c>
      <c r="W2865" s="40" t="str">
        <f t="shared" si="92"/>
        <v/>
      </c>
      <c r="X2865" s="40" t="str">
        <f t="shared" si="93"/>
        <v/>
      </c>
      <c r="Y2865" s="40" t="str">
        <f>TEXT(Table1[[#This Row],[YEAR]],"0000")&amp;"-"&amp;Table1[[#This Row],[MONTH]]</f>
        <v>-</v>
      </c>
    </row>
    <row r="2866" spans="1:25" ht="15" customHeight="1" x14ac:dyDescent="0.35">
      <c r="A2866" s="24"/>
      <c r="B2866" s="38"/>
      <c r="C2866" s="38"/>
      <c r="D2866" s="38"/>
      <c r="E2866" s="37"/>
      <c r="F2866" s="38"/>
      <c r="G2866" s="198"/>
      <c r="H2866" s="198"/>
      <c r="I2866" s="39"/>
      <c r="J2866" s="38"/>
      <c r="K2866" s="198"/>
      <c r="L2866" s="38"/>
      <c r="M2866" s="38"/>
      <c r="N2866" s="38"/>
      <c r="O2866" s="38"/>
      <c r="P2866" s="40" t="str" cm="1">
        <f t="array" ref="P2866">IF(N2866="","",IFERROR(_xlfn.XLOOKUP(F2866&amp;"|"&amp;J2866&amp;"|"&amp;O2866,PRICES!$C$2:$C$659&amp;"|"&amp;PRICES!$B$2:$B$659&amp;"|"&amp;PRICES!$D$2:$D$659,PRICES!$E$2:$E$659),"Not Found"))</f>
        <v/>
      </c>
      <c r="Q2866" s="100" t="str">
        <f>IF(N2866=0,"",SUMIFS(PRICES!$G$2:$G$658,PRICES!$B$2:$B$658,'MAIN TABLE-1 AUTOMATED'!J2866,PRICES!$C$2:$C$658,'MAIN TABLE-1 AUTOMATED'!F2866,PRICES!$D$2:$D$658,'MAIN TABLE-1 AUTOMATED'!O2866))</f>
        <v/>
      </c>
      <c r="R2866" s="41" t="str">
        <f>IF(Table1[[#This Row],[QUANTITY]]=0,"",Table1[[#This Row],[UNIT PRICE]]*Table1[[#This Row],[QUANTITY]])</f>
        <v/>
      </c>
      <c r="S2866" s="89"/>
      <c r="T2866" s="38"/>
      <c r="U2866" s="43"/>
      <c r="V2866" s="42" t="str">
        <f>IF(Table1[[#This Row],[DATE]]=0,"",YEAR(E2866))</f>
        <v/>
      </c>
      <c r="W2866" s="40" t="str">
        <f t="shared" si="92"/>
        <v/>
      </c>
      <c r="X2866" s="40" t="str">
        <f t="shared" si="93"/>
        <v/>
      </c>
      <c r="Y2866" s="40" t="str">
        <f>TEXT(Table1[[#This Row],[YEAR]],"0000")&amp;"-"&amp;Table1[[#This Row],[MONTH]]</f>
        <v>-</v>
      </c>
    </row>
    <row r="2867" spans="1:25" ht="15" customHeight="1" x14ac:dyDescent="0.35">
      <c r="A2867" s="24"/>
      <c r="B2867" s="38"/>
      <c r="C2867" s="38"/>
      <c r="D2867" s="38"/>
      <c r="E2867" s="37"/>
      <c r="F2867" s="38"/>
      <c r="G2867" s="198"/>
      <c r="H2867" s="198"/>
      <c r="I2867" s="39"/>
      <c r="J2867" s="38"/>
      <c r="K2867" s="198"/>
      <c r="L2867" s="38"/>
      <c r="M2867" s="38"/>
      <c r="N2867" s="38"/>
      <c r="O2867" s="38"/>
      <c r="P2867" s="40" t="str" cm="1">
        <f t="array" ref="P2867">IF(N2867="","",IFERROR(_xlfn.XLOOKUP(F2867&amp;"|"&amp;J2867&amp;"|"&amp;O2867,PRICES!$C$2:$C$659&amp;"|"&amp;PRICES!$B$2:$B$659&amp;"|"&amp;PRICES!$D$2:$D$659,PRICES!$E$2:$E$659),"Not Found"))</f>
        <v/>
      </c>
      <c r="Q2867" s="100" t="str">
        <f>IF(N2867=0,"",SUMIFS(PRICES!$G$2:$G$658,PRICES!$B$2:$B$658,'MAIN TABLE-1 AUTOMATED'!J2867,PRICES!$C$2:$C$658,'MAIN TABLE-1 AUTOMATED'!F2867,PRICES!$D$2:$D$658,'MAIN TABLE-1 AUTOMATED'!O2867))</f>
        <v/>
      </c>
      <c r="R2867" s="41" t="str">
        <f>IF(Table1[[#This Row],[QUANTITY]]=0,"",Table1[[#This Row],[UNIT PRICE]]*Table1[[#This Row],[QUANTITY]])</f>
        <v/>
      </c>
      <c r="S2867" s="89"/>
      <c r="T2867" s="38"/>
      <c r="U2867" s="43"/>
      <c r="V2867" s="42" t="str">
        <f>IF(Table1[[#This Row],[DATE]]=0,"",YEAR(E2867))</f>
        <v/>
      </c>
      <c r="W2867" s="40" t="str">
        <f t="shared" si="92"/>
        <v/>
      </c>
      <c r="X2867" s="40" t="str">
        <f t="shared" si="93"/>
        <v/>
      </c>
      <c r="Y2867" s="40" t="str">
        <f>TEXT(Table1[[#This Row],[YEAR]],"0000")&amp;"-"&amp;Table1[[#This Row],[MONTH]]</f>
        <v>-</v>
      </c>
    </row>
    <row r="2868" spans="1:25" ht="15" customHeight="1" x14ac:dyDescent="0.35">
      <c r="A2868" s="24"/>
      <c r="B2868" s="38"/>
      <c r="C2868" s="38"/>
      <c r="D2868" s="38"/>
      <c r="E2868" s="37"/>
      <c r="F2868" s="38"/>
      <c r="G2868" s="198"/>
      <c r="H2868" s="198"/>
      <c r="I2868" s="39"/>
      <c r="J2868" s="38"/>
      <c r="K2868" s="198"/>
      <c r="L2868" s="38"/>
      <c r="M2868" s="38"/>
      <c r="N2868" s="38"/>
      <c r="O2868" s="38"/>
      <c r="P2868" s="40" t="str" cm="1">
        <f t="array" ref="P2868">IF(N2868="","",IFERROR(_xlfn.XLOOKUP(F2868&amp;"|"&amp;J2868&amp;"|"&amp;O2868,PRICES!$C$2:$C$659&amp;"|"&amp;PRICES!$B$2:$B$659&amp;"|"&amp;PRICES!$D$2:$D$659,PRICES!$E$2:$E$659),"Not Found"))</f>
        <v/>
      </c>
      <c r="Q2868" s="100" t="str">
        <f>IF(N2868=0,"",SUMIFS(PRICES!$G$2:$G$658,PRICES!$B$2:$B$658,'MAIN TABLE-1 AUTOMATED'!J2868,PRICES!$C$2:$C$658,'MAIN TABLE-1 AUTOMATED'!F2868,PRICES!$D$2:$D$658,'MAIN TABLE-1 AUTOMATED'!O2868))</f>
        <v/>
      </c>
      <c r="R2868" s="41" t="str">
        <f>IF(Table1[[#This Row],[QUANTITY]]=0,"",Table1[[#This Row],[UNIT PRICE]]*Table1[[#This Row],[QUANTITY]])</f>
        <v/>
      </c>
      <c r="S2868" s="89"/>
      <c r="T2868" s="38"/>
      <c r="U2868" s="43"/>
      <c r="V2868" s="42" t="str">
        <f>IF(Table1[[#This Row],[DATE]]=0,"",YEAR(E2868))</f>
        <v/>
      </c>
      <c r="W2868" s="40" t="str">
        <f t="shared" si="92"/>
        <v/>
      </c>
      <c r="X2868" s="40" t="str">
        <f t="shared" si="93"/>
        <v/>
      </c>
      <c r="Y2868" s="40" t="str">
        <f>TEXT(Table1[[#This Row],[YEAR]],"0000")&amp;"-"&amp;Table1[[#This Row],[MONTH]]</f>
        <v>-</v>
      </c>
    </row>
    <row r="2869" spans="1:25" ht="15" customHeight="1" x14ac:dyDescent="0.35">
      <c r="A2869" s="24"/>
      <c r="B2869" s="38"/>
      <c r="C2869" s="38"/>
      <c r="D2869" s="38"/>
      <c r="E2869" s="37"/>
      <c r="F2869" s="38"/>
      <c r="G2869" s="198"/>
      <c r="H2869" s="198"/>
      <c r="I2869" s="39"/>
      <c r="J2869" s="38"/>
      <c r="K2869" s="198"/>
      <c r="L2869" s="38"/>
      <c r="M2869" s="38"/>
      <c r="N2869" s="38"/>
      <c r="O2869" s="38"/>
      <c r="P2869" s="40" t="str" cm="1">
        <f t="array" ref="P2869">IF(N2869="","",IFERROR(_xlfn.XLOOKUP(F2869&amp;"|"&amp;J2869&amp;"|"&amp;O2869,PRICES!$C$2:$C$659&amp;"|"&amp;PRICES!$B$2:$B$659&amp;"|"&amp;PRICES!$D$2:$D$659,PRICES!$E$2:$E$659),"Not Found"))</f>
        <v/>
      </c>
      <c r="Q2869" s="100" t="str">
        <f>IF(N2869=0,"",SUMIFS(PRICES!$G$2:$G$658,PRICES!$B$2:$B$658,'MAIN TABLE-1 AUTOMATED'!J2869,PRICES!$C$2:$C$658,'MAIN TABLE-1 AUTOMATED'!F2869,PRICES!$D$2:$D$658,'MAIN TABLE-1 AUTOMATED'!O2869))</f>
        <v/>
      </c>
      <c r="R2869" s="41" t="str">
        <f>IF(Table1[[#This Row],[QUANTITY]]=0,"",Table1[[#This Row],[UNIT PRICE]]*Table1[[#This Row],[QUANTITY]])</f>
        <v/>
      </c>
      <c r="S2869" s="89"/>
      <c r="T2869" s="38"/>
      <c r="U2869" s="43"/>
      <c r="V2869" s="42" t="str">
        <f>IF(Table1[[#This Row],[DATE]]=0,"",YEAR(E2869))</f>
        <v/>
      </c>
      <c r="W2869" s="40" t="str">
        <f t="shared" si="92"/>
        <v/>
      </c>
      <c r="X2869" s="40" t="str">
        <f t="shared" si="93"/>
        <v/>
      </c>
      <c r="Y2869" s="40" t="str">
        <f>TEXT(Table1[[#This Row],[YEAR]],"0000")&amp;"-"&amp;Table1[[#This Row],[MONTH]]</f>
        <v>-</v>
      </c>
    </row>
    <row r="2870" spans="1:25" ht="15" customHeight="1" x14ac:dyDescent="0.35">
      <c r="A2870" s="24"/>
      <c r="B2870" s="38"/>
      <c r="C2870" s="38"/>
      <c r="D2870" s="38"/>
      <c r="E2870" s="37"/>
      <c r="F2870" s="38"/>
      <c r="G2870" s="198"/>
      <c r="H2870" s="198"/>
      <c r="I2870" s="39"/>
      <c r="J2870" s="38"/>
      <c r="K2870" s="198"/>
      <c r="L2870" s="38"/>
      <c r="M2870" s="38"/>
      <c r="N2870" s="38"/>
      <c r="O2870" s="38"/>
      <c r="P2870" s="40" t="str" cm="1">
        <f t="array" ref="P2870">IF(N2870="","",IFERROR(_xlfn.XLOOKUP(F2870&amp;"|"&amp;J2870&amp;"|"&amp;O2870,PRICES!$C$2:$C$659&amp;"|"&amp;PRICES!$B$2:$B$659&amp;"|"&amp;PRICES!$D$2:$D$659,PRICES!$E$2:$E$659),"Not Found"))</f>
        <v/>
      </c>
      <c r="Q2870" s="100" t="str">
        <f>IF(N2870=0,"",SUMIFS(PRICES!$G$2:$G$658,PRICES!$B$2:$B$658,'MAIN TABLE-1 AUTOMATED'!J2870,PRICES!$C$2:$C$658,'MAIN TABLE-1 AUTOMATED'!F2870,PRICES!$D$2:$D$658,'MAIN TABLE-1 AUTOMATED'!O2870))</f>
        <v/>
      </c>
      <c r="R2870" s="41" t="str">
        <f>IF(Table1[[#This Row],[QUANTITY]]=0,"",Table1[[#This Row],[UNIT PRICE]]*Table1[[#This Row],[QUANTITY]])</f>
        <v/>
      </c>
      <c r="S2870" s="89"/>
      <c r="T2870" s="38"/>
      <c r="U2870" s="43"/>
      <c r="V2870" s="42" t="str">
        <f>IF(Table1[[#This Row],[DATE]]=0,"",YEAR(E2870))</f>
        <v/>
      </c>
      <c r="W2870" s="40" t="str">
        <f t="shared" si="92"/>
        <v/>
      </c>
      <c r="X2870" s="40" t="str">
        <f t="shared" si="93"/>
        <v/>
      </c>
      <c r="Y2870" s="40" t="str">
        <f>TEXT(Table1[[#This Row],[YEAR]],"0000")&amp;"-"&amp;Table1[[#This Row],[MONTH]]</f>
        <v>-</v>
      </c>
    </row>
    <row r="2871" spans="1:25" ht="15" customHeight="1" x14ac:dyDescent="0.35">
      <c r="A2871" s="24"/>
      <c r="B2871" s="38"/>
      <c r="C2871" s="38"/>
      <c r="D2871" s="38"/>
      <c r="E2871" s="37"/>
      <c r="F2871" s="38"/>
      <c r="G2871" s="198"/>
      <c r="H2871" s="198"/>
      <c r="I2871" s="39"/>
      <c r="J2871" s="38"/>
      <c r="K2871" s="198"/>
      <c r="L2871" s="38"/>
      <c r="M2871" s="38"/>
      <c r="N2871" s="38"/>
      <c r="O2871" s="38"/>
      <c r="P2871" s="40" t="str" cm="1">
        <f t="array" ref="P2871">IF(N2871="","",IFERROR(_xlfn.XLOOKUP(F2871&amp;"|"&amp;J2871&amp;"|"&amp;O2871,PRICES!$C$2:$C$659&amp;"|"&amp;PRICES!$B$2:$B$659&amp;"|"&amp;PRICES!$D$2:$D$659,PRICES!$E$2:$E$659),"Not Found"))</f>
        <v/>
      </c>
      <c r="Q2871" s="100" t="str">
        <f>IF(N2871=0,"",SUMIFS(PRICES!$G$2:$G$658,PRICES!$B$2:$B$658,'MAIN TABLE-1 AUTOMATED'!J2871,PRICES!$C$2:$C$658,'MAIN TABLE-1 AUTOMATED'!F2871,PRICES!$D$2:$D$658,'MAIN TABLE-1 AUTOMATED'!O2871))</f>
        <v/>
      </c>
      <c r="R2871" s="41" t="str">
        <f>IF(Table1[[#This Row],[QUANTITY]]=0,"",Table1[[#This Row],[UNIT PRICE]]*Table1[[#This Row],[QUANTITY]])</f>
        <v/>
      </c>
      <c r="S2871" s="89"/>
      <c r="T2871" s="38"/>
      <c r="U2871" s="43"/>
      <c r="V2871" s="42" t="str">
        <f>IF(Table1[[#This Row],[DATE]]=0,"",YEAR(E2871))</f>
        <v/>
      </c>
      <c r="W2871" s="40" t="str">
        <f t="shared" si="92"/>
        <v/>
      </c>
      <c r="X2871" s="40" t="str">
        <f t="shared" si="93"/>
        <v/>
      </c>
      <c r="Y2871" s="40" t="str">
        <f>TEXT(Table1[[#This Row],[YEAR]],"0000")&amp;"-"&amp;Table1[[#This Row],[MONTH]]</f>
        <v>-</v>
      </c>
    </row>
    <row r="2872" spans="1:25" ht="15" customHeight="1" x14ac:dyDescent="0.35">
      <c r="A2872" s="24"/>
      <c r="B2872" s="38"/>
      <c r="C2872" s="38"/>
      <c r="D2872" s="38"/>
      <c r="E2872" s="37"/>
      <c r="F2872" s="38"/>
      <c r="G2872" s="198"/>
      <c r="H2872" s="198"/>
      <c r="I2872" s="39"/>
      <c r="J2872" s="38"/>
      <c r="K2872" s="198"/>
      <c r="L2872" s="38"/>
      <c r="M2872" s="38"/>
      <c r="N2872" s="38"/>
      <c r="O2872" s="38"/>
      <c r="P2872" s="40" t="str" cm="1">
        <f t="array" ref="P2872">IF(N2872="","",IFERROR(_xlfn.XLOOKUP(F2872&amp;"|"&amp;J2872&amp;"|"&amp;O2872,PRICES!$C$2:$C$659&amp;"|"&amp;PRICES!$B$2:$B$659&amp;"|"&amp;PRICES!$D$2:$D$659,PRICES!$E$2:$E$659),"Not Found"))</f>
        <v/>
      </c>
      <c r="Q2872" s="100" t="str">
        <f>IF(N2872=0,"",SUMIFS(PRICES!$G$2:$G$658,PRICES!$B$2:$B$658,'MAIN TABLE-1 AUTOMATED'!J2872,PRICES!$C$2:$C$658,'MAIN TABLE-1 AUTOMATED'!F2872,PRICES!$D$2:$D$658,'MAIN TABLE-1 AUTOMATED'!O2872))</f>
        <v/>
      </c>
      <c r="R2872" s="41" t="str">
        <f>IF(Table1[[#This Row],[QUANTITY]]=0,"",Table1[[#This Row],[UNIT PRICE]]*Table1[[#This Row],[QUANTITY]])</f>
        <v/>
      </c>
      <c r="S2872" s="89"/>
      <c r="T2872" s="38"/>
      <c r="U2872" s="43"/>
      <c r="V2872" s="42" t="str">
        <f>IF(Table1[[#This Row],[DATE]]=0,"",YEAR(E2872))</f>
        <v/>
      </c>
      <c r="W2872" s="40" t="str">
        <f t="shared" si="92"/>
        <v/>
      </c>
      <c r="X2872" s="40" t="str">
        <f t="shared" si="93"/>
        <v/>
      </c>
      <c r="Y2872" s="40" t="str">
        <f>TEXT(Table1[[#This Row],[YEAR]],"0000")&amp;"-"&amp;Table1[[#This Row],[MONTH]]</f>
        <v>-</v>
      </c>
    </row>
    <row r="2873" spans="1:25" ht="15" customHeight="1" x14ac:dyDescent="0.35">
      <c r="A2873" s="24"/>
      <c r="B2873" s="38"/>
      <c r="C2873" s="38"/>
      <c r="D2873" s="38"/>
      <c r="E2873" s="37"/>
      <c r="F2873" s="38"/>
      <c r="G2873" s="198"/>
      <c r="H2873" s="198"/>
      <c r="I2873" s="39"/>
      <c r="J2873" s="38"/>
      <c r="K2873" s="198"/>
      <c r="L2873" s="38"/>
      <c r="M2873" s="38"/>
      <c r="N2873" s="38"/>
      <c r="O2873" s="38"/>
      <c r="P2873" s="40" t="str" cm="1">
        <f t="array" ref="P2873">IF(N2873="","",IFERROR(_xlfn.XLOOKUP(F2873&amp;"|"&amp;J2873&amp;"|"&amp;O2873,PRICES!$C$2:$C$659&amp;"|"&amp;PRICES!$B$2:$B$659&amp;"|"&amp;PRICES!$D$2:$D$659,PRICES!$E$2:$E$659),"Not Found"))</f>
        <v/>
      </c>
      <c r="Q2873" s="100" t="str">
        <f>IF(N2873=0,"",SUMIFS(PRICES!$G$2:$G$658,PRICES!$B$2:$B$658,'MAIN TABLE-1 AUTOMATED'!J2873,PRICES!$C$2:$C$658,'MAIN TABLE-1 AUTOMATED'!F2873,PRICES!$D$2:$D$658,'MAIN TABLE-1 AUTOMATED'!O2873))</f>
        <v/>
      </c>
      <c r="R2873" s="41" t="str">
        <f>IF(Table1[[#This Row],[QUANTITY]]=0,"",Table1[[#This Row],[UNIT PRICE]]*Table1[[#This Row],[QUANTITY]])</f>
        <v/>
      </c>
      <c r="S2873" s="89"/>
      <c r="T2873" s="38"/>
      <c r="U2873" s="43"/>
      <c r="V2873" s="42" t="str">
        <f>IF(Table1[[#This Row],[DATE]]=0,"",YEAR(E2873))</f>
        <v/>
      </c>
      <c r="W2873" s="40" t="str">
        <f t="shared" si="92"/>
        <v/>
      </c>
      <c r="X2873" s="40" t="str">
        <f t="shared" si="93"/>
        <v/>
      </c>
      <c r="Y2873" s="40" t="str">
        <f>TEXT(Table1[[#This Row],[YEAR]],"0000")&amp;"-"&amp;Table1[[#This Row],[MONTH]]</f>
        <v>-</v>
      </c>
    </row>
    <row r="2874" spans="1:25" ht="15" customHeight="1" x14ac:dyDescent="0.35">
      <c r="A2874" s="24"/>
      <c r="B2874" s="38"/>
      <c r="C2874" s="38"/>
      <c r="D2874" s="38"/>
      <c r="E2874" s="37"/>
      <c r="F2874" s="38"/>
      <c r="G2874" s="198"/>
      <c r="H2874" s="198"/>
      <c r="I2874" s="39"/>
      <c r="J2874" s="38"/>
      <c r="K2874" s="198"/>
      <c r="L2874" s="38"/>
      <c r="M2874" s="38"/>
      <c r="N2874" s="38"/>
      <c r="O2874" s="38"/>
      <c r="P2874" s="40" t="str" cm="1">
        <f t="array" ref="P2874">IF(N2874="","",IFERROR(_xlfn.XLOOKUP(F2874&amp;"|"&amp;J2874&amp;"|"&amp;O2874,PRICES!$C$2:$C$659&amp;"|"&amp;PRICES!$B$2:$B$659&amp;"|"&amp;PRICES!$D$2:$D$659,PRICES!$E$2:$E$659),"Not Found"))</f>
        <v/>
      </c>
      <c r="Q2874" s="100" t="str">
        <f>IF(N2874=0,"",SUMIFS(PRICES!$G$2:$G$658,PRICES!$B$2:$B$658,'MAIN TABLE-1 AUTOMATED'!J2874,PRICES!$C$2:$C$658,'MAIN TABLE-1 AUTOMATED'!F2874,PRICES!$D$2:$D$658,'MAIN TABLE-1 AUTOMATED'!O2874))</f>
        <v/>
      </c>
      <c r="R2874" s="41" t="str">
        <f>IF(Table1[[#This Row],[QUANTITY]]=0,"",Table1[[#This Row],[UNIT PRICE]]*Table1[[#This Row],[QUANTITY]])</f>
        <v/>
      </c>
      <c r="S2874" s="89"/>
      <c r="T2874" s="38"/>
      <c r="U2874" s="43"/>
      <c r="V2874" s="42" t="str">
        <f>IF(Table1[[#This Row],[DATE]]=0,"",YEAR(E2874))</f>
        <v/>
      </c>
      <c r="W2874" s="40" t="str">
        <f t="shared" si="92"/>
        <v/>
      </c>
      <c r="X2874" s="40" t="str">
        <f t="shared" si="93"/>
        <v/>
      </c>
      <c r="Y2874" s="40" t="str">
        <f>TEXT(Table1[[#This Row],[YEAR]],"0000")&amp;"-"&amp;Table1[[#This Row],[MONTH]]</f>
        <v>-</v>
      </c>
    </row>
    <row r="2875" spans="1:25" ht="15" customHeight="1" x14ac:dyDescent="0.35">
      <c r="A2875" s="24"/>
      <c r="B2875" s="38"/>
      <c r="C2875" s="38"/>
      <c r="D2875" s="38"/>
      <c r="E2875" s="37"/>
      <c r="F2875" s="38"/>
      <c r="G2875" s="198"/>
      <c r="H2875" s="198"/>
      <c r="I2875" s="39"/>
      <c r="J2875" s="38"/>
      <c r="K2875" s="198"/>
      <c r="L2875" s="38"/>
      <c r="M2875" s="38"/>
      <c r="N2875" s="38"/>
      <c r="O2875" s="38"/>
      <c r="P2875" s="40" t="str" cm="1">
        <f t="array" ref="P2875">IF(N2875="","",IFERROR(_xlfn.XLOOKUP(F2875&amp;"|"&amp;J2875&amp;"|"&amp;O2875,PRICES!$C$2:$C$659&amp;"|"&amp;PRICES!$B$2:$B$659&amp;"|"&amp;PRICES!$D$2:$D$659,PRICES!$E$2:$E$659),"Not Found"))</f>
        <v/>
      </c>
      <c r="Q2875" s="100" t="str">
        <f>IF(N2875=0,"",SUMIFS(PRICES!$G$2:$G$658,PRICES!$B$2:$B$658,'MAIN TABLE-1 AUTOMATED'!J2875,PRICES!$C$2:$C$658,'MAIN TABLE-1 AUTOMATED'!F2875,PRICES!$D$2:$D$658,'MAIN TABLE-1 AUTOMATED'!O2875))</f>
        <v/>
      </c>
      <c r="R2875" s="41" t="str">
        <f>IF(Table1[[#This Row],[QUANTITY]]=0,"",Table1[[#This Row],[UNIT PRICE]]*Table1[[#This Row],[QUANTITY]])</f>
        <v/>
      </c>
      <c r="S2875" s="89"/>
      <c r="T2875" s="38"/>
      <c r="U2875" s="43"/>
      <c r="V2875" s="42" t="str">
        <f>IF(Table1[[#This Row],[DATE]]=0,"",YEAR(E2875))</f>
        <v/>
      </c>
      <c r="W2875" s="40" t="str">
        <f t="shared" si="92"/>
        <v/>
      </c>
      <c r="X2875" s="40" t="str">
        <f t="shared" si="93"/>
        <v/>
      </c>
      <c r="Y2875" s="40" t="str">
        <f>TEXT(Table1[[#This Row],[YEAR]],"0000")&amp;"-"&amp;Table1[[#This Row],[MONTH]]</f>
        <v>-</v>
      </c>
    </row>
    <row r="2876" spans="1:25" ht="15" customHeight="1" x14ac:dyDescent="0.35">
      <c r="A2876" s="24"/>
      <c r="B2876" s="38"/>
      <c r="C2876" s="38"/>
      <c r="D2876" s="38"/>
      <c r="E2876" s="37"/>
      <c r="F2876" s="38"/>
      <c r="G2876" s="198"/>
      <c r="H2876" s="198"/>
      <c r="I2876" s="39"/>
      <c r="J2876" s="38"/>
      <c r="K2876" s="198"/>
      <c r="L2876" s="38"/>
      <c r="M2876" s="38"/>
      <c r="N2876" s="38"/>
      <c r="O2876" s="38"/>
      <c r="P2876" s="40" t="str" cm="1">
        <f t="array" ref="P2876">IF(N2876="","",IFERROR(_xlfn.XLOOKUP(F2876&amp;"|"&amp;J2876&amp;"|"&amp;O2876,PRICES!$C$2:$C$659&amp;"|"&amp;PRICES!$B$2:$B$659&amp;"|"&amp;PRICES!$D$2:$D$659,PRICES!$E$2:$E$659),"Not Found"))</f>
        <v/>
      </c>
      <c r="Q2876" s="100" t="str">
        <f>IF(N2876=0,"",SUMIFS(PRICES!$G$2:$G$658,PRICES!$B$2:$B$658,'MAIN TABLE-1 AUTOMATED'!J2876,PRICES!$C$2:$C$658,'MAIN TABLE-1 AUTOMATED'!F2876,PRICES!$D$2:$D$658,'MAIN TABLE-1 AUTOMATED'!O2876))</f>
        <v/>
      </c>
      <c r="R2876" s="41" t="str">
        <f>IF(Table1[[#This Row],[QUANTITY]]=0,"",Table1[[#This Row],[UNIT PRICE]]*Table1[[#This Row],[QUANTITY]])</f>
        <v/>
      </c>
      <c r="S2876" s="89"/>
      <c r="T2876" s="38"/>
      <c r="U2876" s="43"/>
      <c r="V2876" s="42" t="str">
        <f>IF(Table1[[#This Row],[DATE]]=0,"",YEAR(E2876))</f>
        <v/>
      </c>
      <c r="W2876" s="40" t="str">
        <f t="shared" si="92"/>
        <v/>
      </c>
      <c r="X2876" s="40" t="str">
        <f t="shared" si="93"/>
        <v/>
      </c>
      <c r="Y2876" s="40" t="str">
        <f>TEXT(Table1[[#This Row],[YEAR]],"0000")&amp;"-"&amp;Table1[[#This Row],[MONTH]]</f>
        <v>-</v>
      </c>
    </row>
    <row r="2877" spans="1:25" ht="15" customHeight="1" x14ac:dyDescent="0.35">
      <c r="A2877" s="24"/>
      <c r="B2877" s="38"/>
      <c r="C2877" s="38"/>
      <c r="D2877" s="38"/>
      <c r="E2877" s="37"/>
      <c r="F2877" s="38"/>
      <c r="G2877" s="198"/>
      <c r="H2877" s="198"/>
      <c r="I2877" s="39"/>
      <c r="J2877" s="38"/>
      <c r="K2877" s="198"/>
      <c r="L2877" s="38"/>
      <c r="M2877" s="38"/>
      <c r="N2877" s="38"/>
      <c r="O2877" s="38"/>
      <c r="P2877" s="40" t="str" cm="1">
        <f t="array" ref="P2877">IF(N2877="","",IFERROR(_xlfn.XLOOKUP(F2877&amp;"|"&amp;J2877&amp;"|"&amp;O2877,PRICES!$C$2:$C$659&amp;"|"&amp;PRICES!$B$2:$B$659&amp;"|"&amp;PRICES!$D$2:$D$659,PRICES!$E$2:$E$659),"Not Found"))</f>
        <v/>
      </c>
      <c r="Q2877" s="100" t="str">
        <f>IF(N2877=0,"",SUMIFS(PRICES!$G$2:$G$658,PRICES!$B$2:$B$658,'MAIN TABLE-1 AUTOMATED'!J2877,PRICES!$C$2:$C$658,'MAIN TABLE-1 AUTOMATED'!F2877,PRICES!$D$2:$D$658,'MAIN TABLE-1 AUTOMATED'!O2877))</f>
        <v/>
      </c>
      <c r="R2877" s="41" t="str">
        <f>IF(Table1[[#This Row],[QUANTITY]]=0,"",Table1[[#This Row],[UNIT PRICE]]*Table1[[#This Row],[QUANTITY]])</f>
        <v/>
      </c>
      <c r="S2877" s="89"/>
      <c r="T2877" s="38"/>
      <c r="U2877" s="43"/>
      <c r="V2877" s="42" t="str">
        <f>IF(Table1[[#This Row],[DATE]]=0,"",YEAR(E2877))</f>
        <v/>
      </c>
      <c r="W2877" s="40" t="str">
        <f t="shared" si="92"/>
        <v/>
      </c>
      <c r="X2877" s="40" t="str">
        <f t="shared" si="93"/>
        <v/>
      </c>
      <c r="Y2877" s="40" t="str">
        <f>TEXT(Table1[[#This Row],[YEAR]],"0000")&amp;"-"&amp;Table1[[#This Row],[MONTH]]</f>
        <v>-</v>
      </c>
    </row>
    <row r="2878" spans="1:25" ht="15" customHeight="1" x14ac:dyDescent="0.35">
      <c r="A2878" s="24"/>
      <c r="B2878" s="38"/>
      <c r="C2878" s="38"/>
      <c r="D2878" s="38"/>
      <c r="E2878" s="37"/>
      <c r="F2878" s="38"/>
      <c r="G2878" s="198"/>
      <c r="H2878" s="198"/>
      <c r="I2878" s="39"/>
      <c r="J2878" s="38"/>
      <c r="K2878" s="198"/>
      <c r="L2878" s="38"/>
      <c r="M2878" s="38"/>
      <c r="N2878" s="38"/>
      <c r="O2878" s="38"/>
      <c r="P2878" s="40" t="str" cm="1">
        <f t="array" ref="P2878">IF(N2878="","",IFERROR(_xlfn.XLOOKUP(F2878&amp;"|"&amp;J2878&amp;"|"&amp;O2878,PRICES!$C$2:$C$659&amp;"|"&amp;PRICES!$B$2:$B$659&amp;"|"&amp;PRICES!$D$2:$D$659,PRICES!$E$2:$E$659),"Not Found"))</f>
        <v/>
      </c>
      <c r="Q2878" s="100" t="str">
        <f>IF(N2878=0,"",SUMIFS(PRICES!$G$2:$G$658,PRICES!$B$2:$B$658,'MAIN TABLE-1 AUTOMATED'!J2878,PRICES!$C$2:$C$658,'MAIN TABLE-1 AUTOMATED'!F2878,PRICES!$D$2:$D$658,'MAIN TABLE-1 AUTOMATED'!O2878))</f>
        <v/>
      </c>
      <c r="R2878" s="41" t="str">
        <f>IF(Table1[[#This Row],[QUANTITY]]=0,"",Table1[[#This Row],[UNIT PRICE]]*Table1[[#This Row],[QUANTITY]])</f>
        <v/>
      </c>
      <c r="S2878" s="89"/>
      <c r="T2878" s="38"/>
      <c r="U2878" s="43"/>
      <c r="V2878" s="42" t="str">
        <f>IF(Table1[[#This Row],[DATE]]=0,"",YEAR(E2878))</f>
        <v/>
      </c>
      <c r="W2878" s="40" t="str">
        <f t="shared" si="92"/>
        <v/>
      </c>
      <c r="X2878" s="40" t="str">
        <f t="shared" si="93"/>
        <v/>
      </c>
      <c r="Y2878" s="40" t="str">
        <f>TEXT(Table1[[#This Row],[YEAR]],"0000")&amp;"-"&amp;Table1[[#This Row],[MONTH]]</f>
        <v>-</v>
      </c>
    </row>
    <row r="2879" spans="1:25" ht="15" customHeight="1" x14ac:dyDescent="0.35">
      <c r="A2879" s="24"/>
      <c r="B2879" s="38"/>
      <c r="C2879" s="38"/>
      <c r="D2879" s="38"/>
      <c r="E2879" s="37"/>
      <c r="F2879" s="38"/>
      <c r="G2879" s="198"/>
      <c r="H2879" s="198"/>
      <c r="I2879" s="39"/>
      <c r="J2879" s="38"/>
      <c r="K2879" s="198"/>
      <c r="L2879" s="38"/>
      <c r="M2879" s="38"/>
      <c r="N2879" s="38"/>
      <c r="O2879" s="38"/>
      <c r="P2879" s="40" t="str" cm="1">
        <f t="array" ref="P2879">IF(N2879="","",IFERROR(_xlfn.XLOOKUP(F2879&amp;"|"&amp;J2879&amp;"|"&amp;O2879,PRICES!$C$2:$C$659&amp;"|"&amp;PRICES!$B$2:$B$659&amp;"|"&amp;PRICES!$D$2:$D$659,PRICES!$E$2:$E$659),"Not Found"))</f>
        <v/>
      </c>
      <c r="Q2879" s="100" t="str">
        <f>IF(N2879=0,"",SUMIFS(PRICES!$G$2:$G$658,PRICES!$B$2:$B$658,'MAIN TABLE-1 AUTOMATED'!J2879,PRICES!$C$2:$C$658,'MAIN TABLE-1 AUTOMATED'!F2879,PRICES!$D$2:$D$658,'MAIN TABLE-1 AUTOMATED'!O2879))</f>
        <v/>
      </c>
      <c r="R2879" s="41" t="str">
        <f>IF(Table1[[#This Row],[QUANTITY]]=0,"",Table1[[#This Row],[UNIT PRICE]]*Table1[[#This Row],[QUANTITY]])</f>
        <v/>
      </c>
      <c r="S2879" s="89"/>
      <c r="T2879" s="38"/>
      <c r="U2879" s="43"/>
      <c r="V2879" s="42" t="str">
        <f>IF(Table1[[#This Row],[DATE]]=0,"",YEAR(E2879))</f>
        <v/>
      </c>
      <c r="W2879" s="40" t="str">
        <f t="shared" si="92"/>
        <v/>
      </c>
      <c r="X2879" s="40" t="str">
        <f t="shared" si="93"/>
        <v/>
      </c>
      <c r="Y2879" s="40" t="str">
        <f>TEXT(Table1[[#This Row],[YEAR]],"0000")&amp;"-"&amp;Table1[[#This Row],[MONTH]]</f>
        <v>-</v>
      </c>
    </row>
    <row r="2880" spans="1:25" ht="15" customHeight="1" x14ac:dyDescent="0.35">
      <c r="A2880" s="24"/>
      <c r="B2880" s="38"/>
      <c r="C2880" s="38"/>
      <c r="D2880" s="38"/>
      <c r="E2880" s="37"/>
      <c r="F2880" s="38"/>
      <c r="G2880" s="198"/>
      <c r="H2880" s="198"/>
      <c r="I2880" s="39"/>
      <c r="J2880" s="38"/>
      <c r="K2880" s="198"/>
      <c r="L2880" s="38"/>
      <c r="M2880" s="38"/>
      <c r="N2880" s="38"/>
      <c r="O2880" s="38"/>
      <c r="P2880" s="40" t="str" cm="1">
        <f t="array" ref="P2880">IF(N2880="","",IFERROR(_xlfn.XLOOKUP(F2880&amp;"|"&amp;J2880&amp;"|"&amp;O2880,PRICES!$C$2:$C$659&amp;"|"&amp;PRICES!$B$2:$B$659&amp;"|"&amp;PRICES!$D$2:$D$659,PRICES!$E$2:$E$659),"Not Found"))</f>
        <v/>
      </c>
      <c r="Q2880" s="100" t="str">
        <f>IF(N2880=0,"",SUMIFS(PRICES!$G$2:$G$658,PRICES!$B$2:$B$658,'MAIN TABLE-1 AUTOMATED'!J2880,PRICES!$C$2:$C$658,'MAIN TABLE-1 AUTOMATED'!F2880,PRICES!$D$2:$D$658,'MAIN TABLE-1 AUTOMATED'!O2880))</f>
        <v/>
      </c>
      <c r="R2880" s="41" t="str">
        <f>IF(Table1[[#This Row],[QUANTITY]]=0,"",Table1[[#This Row],[UNIT PRICE]]*Table1[[#This Row],[QUANTITY]])</f>
        <v/>
      </c>
      <c r="S2880" s="89"/>
      <c r="T2880" s="38"/>
      <c r="U2880" s="43"/>
      <c r="V2880" s="42" t="str">
        <f>IF(Table1[[#This Row],[DATE]]=0,"",YEAR(E2880))</f>
        <v/>
      </c>
      <c r="W2880" s="40" t="str">
        <f t="shared" si="92"/>
        <v/>
      </c>
      <c r="X2880" s="40" t="str">
        <f t="shared" si="93"/>
        <v/>
      </c>
      <c r="Y2880" s="40" t="str">
        <f>TEXT(Table1[[#This Row],[YEAR]],"0000")&amp;"-"&amp;Table1[[#This Row],[MONTH]]</f>
        <v>-</v>
      </c>
    </row>
    <row r="2881" spans="1:25" ht="15" customHeight="1" x14ac:dyDescent="0.35">
      <c r="A2881" s="24"/>
      <c r="B2881" s="38"/>
      <c r="C2881" s="38"/>
      <c r="D2881" s="38"/>
      <c r="E2881" s="37"/>
      <c r="F2881" s="38"/>
      <c r="G2881" s="198"/>
      <c r="H2881" s="198"/>
      <c r="I2881" s="39"/>
      <c r="J2881" s="38"/>
      <c r="K2881" s="198"/>
      <c r="L2881" s="38"/>
      <c r="M2881" s="38"/>
      <c r="N2881" s="38"/>
      <c r="O2881" s="38"/>
      <c r="P2881" s="40" t="str" cm="1">
        <f t="array" ref="P2881">IF(N2881="","",IFERROR(_xlfn.XLOOKUP(F2881&amp;"|"&amp;J2881&amp;"|"&amp;O2881,PRICES!$C$2:$C$659&amp;"|"&amp;PRICES!$B$2:$B$659&amp;"|"&amp;PRICES!$D$2:$D$659,PRICES!$E$2:$E$659),"Not Found"))</f>
        <v/>
      </c>
      <c r="Q2881" s="100" t="str">
        <f>IF(N2881=0,"",SUMIFS(PRICES!$G$2:$G$658,PRICES!$B$2:$B$658,'MAIN TABLE-1 AUTOMATED'!J2881,PRICES!$C$2:$C$658,'MAIN TABLE-1 AUTOMATED'!F2881,PRICES!$D$2:$D$658,'MAIN TABLE-1 AUTOMATED'!O2881))</f>
        <v/>
      </c>
      <c r="R2881" s="41" t="str">
        <f>IF(Table1[[#This Row],[QUANTITY]]=0,"",Table1[[#This Row],[UNIT PRICE]]*Table1[[#This Row],[QUANTITY]])</f>
        <v/>
      </c>
      <c r="S2881" s="89"/>
      <c r="T2881" s="38"/>
      <c r="U2881" s="43"/>
      <c r="V2881" s="42" t="str">
        <f>IF(Table1[[#This Row],[DATE]]=0,"",YEAR(E2881))</f>
        <v/>
      </c>
      <c r="W2881" s="40" t="str">
        <f t="shared" si="92"/>
        <v/>
      </c>
      <c r="X2881" s="40" t="str">
        <f t="shared" si="93"/>
        <v/>
      </c>
      <c r="Y2881" s="40" t="str">
        <f>TEXT(Table1[[#This Row],[YEAR]],"0000")&amp;"-"&amp;Table1[[#This Row],[MONTH]]</f>
        <v>-</v>
      </c>
    </row>
    <row r="2882" spans="1:25" ht="15" customHeight="1" x14ac:dyDescent="0.35">
      <c r="A2882" s="24"/>
      <c r="B2882" s="38"/>
      <c r="C2882" s="38"/>
      <c r="D2882" s="38"/>
      <c r="E2882" s="37"/>
      <c r="F2882" s="38"/>
      <c r="G2882" s="198"/>
      <c r="H2882" s="198"/>
      <c r="I2882" s="39"/>
      <c r="J2882" s="38"/>
      <c r="K2882" s="198"/>
      <c r="L2882" s="38"/>
      <c r="M2882" s="38"/>
      <c r="N2882" s="38"/>
      <c r="O2882" s="38"/>
      <c r="P2882" s="40" t="str" cm="1">
        <f t="array" ref="P2882">IF(N2882="","",IFERROR(_xlfn.XLOOKUP(F2882&amp;"|"&amp;J2882&amp;"|"&amp;O2882,PRICES!$C$2:$C$659&amp;"|"&amp;PRICES!$B$2:$B$659&amp;"|"&amp;PRICES!$D$2:$D$659,PRICES!$E$2:$E$659),"Not Found"))</f>
        <v/>
      </c>
      <c r="Q2882" s="100" t="str">
        <f>IF(N2882=0,"",SUMIFS(PRICES!$G$2:$G$658,PRICES!$B$2:$B$658,'MAIN TABLE-1 AUTOMATED'!J2882,PRICES!$C$2:$C$658,'MAIN TABLE-1 AUTOMATED'!F2882,PRICES!$D$2:$D$658,'MAIN TABLE-1 AUTOMATED'!O2882))</f>
        <v/>
      </c>
      <c r="R2882" s="41" t="str">
        <f>IF(Table1[[#This Row],[QUANTITY]]=0,"",Table1[[#This Row],[UNIT PRICE]]*Table1[[#This Row],[QUANTITY]])</f>
        <v/>
      </c>
      <c r="S2882" s="89"/>
      <c r="T2882" s="38"/>
      <c r="U2882" s="43"/>
      <c r="V2882" s="42" t="str">
        <f>IF(Table1[[#This Row],[DATE]]=0,"",YEAR(E2882))</f>
        <v/>
      </c>
      <c r="W2882" s="40" t="str">
        <f t="shared" si="92"/>
        <v/>
      </c>
      <c r="X2882" s="40" t="str">
        <f t="shared" si="93"/>
        <v/>
      </c>
      <c r="Y2882" s="40" t="str">
        <f>TEXT(Table1[[#This Row],[YEAR]],"0000")&amp;"-"&amp;Table1[[#This Row],[MONTH]]</f>
        <v>-</v>
      </c>
    </row>
    <row r="2883" spans="1:25" ht="15" customHeight="1" x14ac:dyDescent="0.35">
      <c r="A2883" s="24"/>
      <c r="B2883" s="38"/>
      <c r="C2883" s="38"/>
      <c r="D2883" s="38"/>
      <c r="E2883" s="37"/>
      <c r="F2883" s="38"/>
      <c r="G2883" s="198"/>
      <c r="H2883" s="198"/>
      <c r="I2883" s="39"/>
      <c r="J2883" s="38"/>
      <c r="K2883" s="198"/>
      <c r="L2883" s="38"/>
      <c r="M2883" s="38"/>
      <c r="N2883" s="38"/>
      <c r="O2883" s="38"/>
      <c r="P2883" s="40" t="str" cm="1">
        <f t="array" ref="P2883">IF(N2883="","",IFERROR(_xlfn.XLOOKUP(F2883&amp;"|"&amp;J2883&amp;"|"&amp;O2883,PRICES!$C$2:$C$659&amp;"|"&amp;PRICES!$B$2:$B$659&amp;"|"&amp;PRICES!$D$2:$D$659,PRICES!$E$2:$E$659),"Not Found"))</f>
        <v/>
      </c>
      <c r="Q2883" s="100" t="str">
        <f>IF(N2883=0,"",SUMIFS(PRICES!$G$2:$G$658,PRICES!$B$2:$B$658,'MAIN TABLE-1 AUTOMATED'!J2883,PRICES!$C$2:$C$658,'MAIN TABLE-1 AUTOMATED'!F2883,PRICES!$D$2:$D$658,'MAIN TABLE-1 AUTOMATED'!O2883))</f>
        <v/>
      </c>
      <c r="R2883" s="41" t="str">
        <f>IF(Table1[[#This Row],[QUANTITY]]=0,"",Table1[[#This Row],[UNIT PRICE]]*Table1[[#This Row],[QUANTITY]])</f>
        <v/>
      </c>
      <c r="S2883" s="89"/>
      <c r="T2883" s="38"/>
      <c r="U2883" s="43"/>
      <c r="V2883" s="42" t="str">
        <f>IF(Table1[[#This Row],[DATE]]=0,"",YEAR(E2883))</f>
        <v/>
      </c>
      <c r="W2883" s="40" t="str">
        <f t="shared" ref="W2883:W2946" si="94">IF(E2883=0,"",MONTH(E2883))</f>
        <v/>
      </c>
      <c r="X2883" s="40" t="str">
        <f t="shared" ref="X2883:X2946" si="95">IF(E2883=0,"",WEEKNUM(E2883))</f>
        <v/>
      </c>
      <c r="Y2883" s="40" t="str">
        <f>TEXT(Table1[[#This Row],[YEAR]],"0000")&amp;"-"&amp;Table1[[#This Row],[MONTH]]</f>
        <v>-</v>
      </c>
    </row>
    <row r="2884" spans="1:25" ht="15" customHeight="1" x14ac:dyDescent="0.35">
      <c r="A2884" s="24"/>
      <c r="B2884" s="38"/>
      <c r="C2884" s="38"/>
      <c r="D2884" s="38"/>
      <c r="E2884" s="37"/>
      <c r="F2884" s="38"/>
      <c r="G2884" s="198"/>
      <c r="H2884" s="198"/>
      <c r="I2884" s="39"/>
      <c r="J2884" s="38"/>
      <c r="K2884" s="198"/>
      <c r="L2884" s="38"/>
      <c r="M2884" s="38"/>
      <c r="N2884" s="38"/>
      <c r="O2884" s="38"/>
      <c r="P2884" s="40" t="str" cm="1">
        <f t="array" ref="P2884">IF(N2884="","",IFERROR(_xlfn.XLOOKUP(F2884&amp;"|"&amp;J2884&amp;"|"&amp;O2884,PRICES!$C$2:$C$659&amp;"|"&amp;PRICES!$B$2:$B$659&amp;"|"&amp;PRICES!$D$2:$D$659,PRICES!$E$2:$E$659),"Not Found"))</f>
        <v/>
      </c>
      <c r="Q2884" s="100" t="str">
        <f>IF(N2884=0,"",SUMIFS(PRICES!$G$2:$G$658,PRICES!$B$2:$B$658,'MAIN TABLE-1 AUTOMATED'!J2884,PRICES!$C$2:$C$658,'MAIN TABLE-1 AUTOMATED'!F2884,PRICES!$D$2:$D$658,'MAIN TABLE-1 AUTOMATED'!O2884))</f>
        <v/>
      </c>
      <c r="R2884" s="41" t="str">
        <f>IF(Table1[[#This Row],[QUANTITY]]=0,"",Table1[[#This Row],[UNIT PRICE]]*Table1[[#This Row],[QUANTITY]])</f>
        <v/>
      </c>
      <c r="S2884" s="89"/>
      <c r="T2884" s="38"/>
      <c r="U2884" s="43"/>
      <c r="V2884" s="42" t="str">
        <f>IF(Table1[[#This Row],[DATE]]=0,"",YEAR(E2884))</f>
        <v/>
      </c>
      <c r="W2884" s="40" t="str">
        <f t="shared" si="94"/>
        <v/>
      </c>
      <c r="X2884" s="40" t="str">
        <f t="shared" si="95"/>
        <v/>
      </c>
      <c r="Y2884" s="40" t="str">
        <f>TEXT(Table1[[#This Row],[YEAR]],"0000")&amp;"-"&amp;Table1[[#This Row],[MONTH]]</f>
        <v>-</v>
      </c>
    </row>
    <row r="2885" spans="1:25" ht="15" customHeight="1" x14ac:dyDescent="0.35">
      <c r="A2885" s="24"/>
      <c r="B2885" s="38"/>
      <c r="C2885" s="38"/>
      <c r="D2885" s="38"/>
      <c r="E2885" s="37"/>
      <c r="F2885" s="38"/>
      <c r="G2885" s="198"/>
      <c r="H2885" s="198"/>
      <c r="I2885" s="39"/>
      <c r="J2885" s="38"/>
      <c r="K2885" s="198"/>
      <c r="L2885" s="38"/>
      <c r="M2885" s="38"/>
      <c r="N2885" s="38"/>
      <c r="O2885" s="38"/>
      <c r="P2885" s="40" t="str" cm="1">
        <f t="array" ref="P2885">IF(N2885="","",IFERROR(_xlfn.XLOOKUP(F2885&amp;"|"&amp;J2885&amp;"|"&amp;O2885,PRICES!$C$2:$C$659&amp;"|"&amp;PRICES!$B$2:$B$659&amp;"|"&amp;PRICES!$D$2:$D$659,PRICES!$E$2:$E$659),"Not Found"))</f>
        <v/>
      </c>
      <c r="Q2885" s="100" t="str">
        <f>IF(N2885=0,"",SUMIFS(PRICES!$G$2:$G$658,PRICES!$B$2:$B$658,'MAIN TABLE-1 AUTOMATED'!J2885,PRICES!$C$2:$C$658,'MAIN TABLE-1 AUTOMATED'!F2885,PRICES!$D$2:$D$658,'MAIN TABLE-1 AUTOMATED'!O2885))</f>
        <v/>
      </c>
      <c r="R2885" s="41" t="str">
        <f>IF(Table1[[#This Row],[QUANTITY]]=0,"",Table1[[#This Row],[UNIT PRICE]]*Table1[[#This Row],[QUANTITY]])</f>
        <v/>
      </c>
      <c r="S2885" s="89"/>
      <c r="T2885" s="38"/>
      <c r="U2885" s="43"/>
      <c r="V2885" s="42" t="str">
        <f>IF(Table1[[#This Row],[DATE]]=0,"",YEAR(E2885))</f>
        <v/>
      </c>
      <c r="W2885" s="40" t="str">
        <f t="shared" si="94"/>
        <v/>
      </c>
      <c r="X2885" s="40" t="str">
        <f t="shared" si="95"/>
        <v/>
      </c>
      <c r="Y2885" s="40" t="str">
        <f>TEXT(Table1[[#This Row],[YEAR]],"0000")&amp;"-"&amp;Table1[[#This Row],[MONTH]]</f>
        <v>-</v>
      </c>
    </row>
    <row r="2886" spans="1:25" ht="15" customHeight="1" x14ac:dyDescent="0.35">
      <c r="A2886" s="24"/>
      <c r="B2886" s="38"/>
      <c r="C2886" s="38"/>
      <c r="D2886" s="38"/>
      <c r="E2886" s="37"/>
      <c r="F2886" s="38"/>
      <c r="G2886" s="198"/>
      <c r="H2886" s="198"/>
      <c r="I2886" s="39"/>
      <c r="J2886" s="38"/>
      <c r="K2886" s="198"/>
      <c r="L2886" s="38"/>
      <c r="M2886" s="38"/>
      <c r="N2886" s="38"/>
      <c r="O2886" s="38"/>
      <c r="P2886" s="40" t="str" cm="1">
        <f t="array" ref="P2886">IF(N2886="","",IFERROR(_xlfn.XLOOKUP(F2886&amp;"|"&amp;J2886&amp;"|"&amp;O2886,PRICES!$C$2:$C$659&amp;"|"&amp;PRICES!$B$2:$B$659&amp;"|"&amp;PRICES!$D$2:$D$659,PRICES!$E$2:$E$659),"Not Found"))</f>
        <v/>
      </c>
      <c r="Q2886" s="100" t="str">
        <f>IF(N2886=0,"",SUMIFS(PRICES!$G$2:$G$658,PRICES!$B$2:$B$658,'MAIN TABLE-1 AUTOMATED'!J2886,PRICES!$C$2:$C$658,'MAIN TABLE-1 AUTOMATED'!F2886,PRICES!$D$2:$D$658,'MAIN TABLE-1 AUTOMATED'!O2886))</f>
        <v/>
      </c>
      <c r="R2886" s="41" t="str">
        <f>IF(Table1[[#This Row],[QUANTITY]]=0,"",Table1[[#This Row],[UNIT PRICE]]*Table1[[#This Row],[QUANTITY]])</f>
        <v/>
      </c>
      <c r="S2886" s="89"/>
      <c r="T2886" s="38"/>
      <c r="U2886" s="43"/>
      <c r="V2886" s="42" t="str">
        <f>IF(Table1[[#This Row],[DATE]]=0,"",YEAR(E2886))</f>
        <v/>
      </c>
      <c r="W2886" s="40" t="str">
        <f t="shared" si="94"/>
        <v/>
      </c>
      <c r="X2886" s="40" t="str">
        <f t="shared" si="95"/>
        <v/>
      </c>
      <c r="Y2886" s="40" t="str">
        <f>TEXT(Table1[[#This Row],[YEAR]],"0000")&amp;"-"&amp;Table1[[#This Row],[MONTH]]</f>
        <v>-</v>
      </c>
    </row>
    <row r="2887" spans="1:25" ht="15" customHeight="1" x14ac:dyDescent="0.35">
      <c r="A2887" s="24"/>
      <c r="B2887" s="38"/>
      <c r="C2887" s="38"/>
      <c r="D2887" s="38"/>
      <c r="E2887" s="37"/>
      <c r="F2887" s="38"/>
      <c r="G2887" s="198"/>
      <c r="H2887" s="198"/>
      <c r="I2887" s="39"/>
      <c r="J2887" s="38"/>
      <c r="K2887" s="198"/>
      <c r="L2887" s="38"/>
      <c r="M2887" s="38"/>
      <c r="N2887" s="38"/>
      <c r="O2887" s="38"/>
      <c r="P2887" s="40" t="str" cm="1">
        <f t="array" ref="P2887">IF(N2887="","",IFERROR(_xlfn.XLOOKUP(F2887&amp;"|"&amp;J2887&amp;"|"&amp;O2887,PRICES!$C$2:$C$659&amp;"|"&amp;PRICES!$B$2:$B$659&amp;"|"&amp;PRICES!$D$2:$D$659,PRICES!$E$2:$E$659),"Not Found"))</f>
        <v/>
      </c>
      <c r="Q2887" s="100" t="str">
        <f>IF(N2887=0,"",SUMIFS(PRICES!$G$2:$G$658,PRICES!$B$2:$B$658,'MAIN TABLE-1 AUTOMATED'!J2887,PRICES!$C$2:$C$658,'MAIN TABLE-1 AUTOMATED'!F2887,PRICES!$D$2:$D$658,'MAIN TABLE-1 AUTOMATED'!O2887))</f>
        <v/>
      </c>
      <c r="R2887" s="41" t="str">
        <f>IF(Table1[[#This Row],[QUANTITY]]=0,"",Table1[[#This Row],[UNIT PRICE]]*Table1[[#This Row],[QUANTITY]])</f>
        <v/>
      </c>
      <c r="S2887" s="89"/>
      <c r="T2887" s="38"/>
      <c r="U2887" s="43"/>
      <c r="V2887" s="42" t="str">
        <f>IF(Table1[[#This Row],[DATE]]=0,"",YEAR(E2887))</f>
        <v/>
      </c>
      <c r="W2887" s="40" t="str">
        <f t="shared" si="94"/>
        <v/>
      </c>
      <c r="X2887" s="40" t="str">
        <f t="shared" si="95"/>
        <v/>
      </c>
      <c r="Y2887" s="40" t="str">
        <f>TEXT(Table1[[#This Row],[YEAR]],"0000")&amp;"-"&amp;Table1[[#This Row],[MONTH]]</f>
        <v>-</v>
      </c>
    </row>
    <row r="2888" spans="1:25" ht="15" customHeight="1" x14ac:dyDescent="0.35">
      <c r="A2888" s="24"/>
      <c r="B2888" s="38"/>
      <c r="C2888" s="38"/>
      <c r="D2888" s="38"/>
      <c r="E2888" s="37"/>
      <c r="F2888" s="38"/>
      <c r="G2888" s="198"/>
      <c r="H2888" s="198"/>
      <c r="I2888" s="39"/>
      <c r="J2888" s="38"/>
      <c r="K2888" s="198"/>
      <c r="L2888" s="38"/>
      <c r="M2888" s="38"/>
      <c r="N2888" s="38"/>
      <c r="O2888" s="38"/>
      <c r="P2888" s="40" t="str" cm="1">
        <f t="array" ref="P2888">IF(N2888="","",IFERROR(_xlfn.XLOOKUP(F2888&amp;"|"&amp;J2888&amp;"|"&amp;O2888,PRICES!$C$2:$C$659&amp;"|"&amp;PRICES!$B$2:$B$659&amp;"|"&amp;PRICES!$D$2:$D$659,PRICES!$E$2:$E$659),"Not Found"))</f>
        <v/>
      </c>
      <c r="Q2888" s="100" t="str">
        <f>IF(N2888=0,"",SUMIFS(PRICES!$G$2:$G$658,PRICES!$B$2:$B$658,'MAIN TABLE-1 AUTOMATED'!J2888,PRICES!$C$2:$C$658,'MAIN TABLE-1 AUTOMATED'!F2888,PRICES!$D$2:$D$658,'MAIN TABLE-1 AUTOMATED'!O2888))</f>
        <v/>
      </c>
      <c r="R2888" s="41" t="str">
        <f>IF(Table1[[#This Row],[QUANTITY]]=0,"",Table1[[#This Row],[UNIT PRICE]]*Table1[[#This Row],[QUANTITY]])</f>
        <v/>
      </c>
      <c r="S2888" s="89"/>
      <c r="T2888" s="38"/>
      <c r="U2888" s="43"/>
      <c r="V2888" s="42" t="str">
        <f>IF(Table1[[#This Row],[DATE]]=0,"",YEAR(E2888))</f>
        <v/>
      </c>
      <c r="W2888" s="40" t="str">
        <f t="shared" si="94"/>
        <v/>
      </c>
      <c r="X2888" s="40" t="str">
        <f t="shared" si="95"/>
        <v/>
      </c>
      <c r="Y2888" s="40" t="str">
        <f>TEXT(Table1[[#This Row],[YEAR]],"0000")&amp;"-"&amp;Table1[[#This Row],[MONTH]]</f>
        <v>-</v>
      </c>
    </row>
    <row r="2889" spans="1:25" ht="15" customHeight="1" x14ac:dyDescent="0.35">
      <c r="A2889" s="24"/>
      <c r="B2889" s="38"/>
      <c r="C2889" s="38"/>
      <c r="D2889" s="38"/>
      <c r="E2889" s="37"/>
      <c r="F2889" s="38"/>
      <c r="G2889" s="198"/>
      <c r="H2889" s="198"/>
      <c r="I2889" s="39"/>
      <c r="J2889" s="38"/>
      <c r="K2889" s="198"/>
      <c r="L2889" s="38"/>
      <c r="M2889" s="38"/>
      <c r="N2889" s="38"/>
      <c r="O2889" s="38"/>
      <c r="P2889" s="40" t="str" cm="1">
        <f t="array" ref="P2889">IF(N2889="","",IFERROR(_xlfn.XLOOKUP(F2889&amp;"|"&amp;J2889&amp;"|"&amp;O2889,PRICES!$C$2:$C$659&amp;"|"&amp;PRICES!$B$2:$B$659&amp;"|"&amp;PRICES!$D$2:$D$659,PRICES!$E$2:$E$659),"Not Found"))</f>
        <v/>
      </c>
      <c r="Q2889" s="100" t="str">
        <f>IF(N2889=0,"",SUMIFS(PRICES!$G$2:$G$658,PRICES!$B$2:$B$658,'MAIN TABLE-1 AUTOMATED'!J2889,PRICES!$C$2:$C$658,'MAIN TABLE-1 AUTOMATED'!F2889,PRICES!$D$2:$D$658,'MAIN TABLE-1 AUTOMATED'!O2889))</f>
        <v/>
      </c>
      <c r="R2889" s="41" t="str">
        <f>IF(Table1[[#This Row],[QUANTITY]]=0,"",Table1[[#This Row],[UNIT PRICE]]*Table1[[#This Row],[QUANTITY]])</f>
        <v/>
      </c>
      <c r="S2889" s="89"/>
      <c r="T2889" s="38"/>
      <c r="U2889" s="43"/>
      <c r="V2889" s="42" t="str">
        <f>IF(Table1[[#This Row],[DATE]]=0,"",YEAR(E2889))</f>
        <v/>
      </c>
      <c r="W2889" s="40" t="str">
        <f t="shared" si="94"/>
        <v/>
      </c>
      <c r="X2889" s="40" t="str">
        <f t="shared" si="95"/>
        <v/>
      </c>
      <c r="Y2889" s="40" t="str">
        <f>TEXT(Table1[[#This Row],[YEAR]],"0000")&amp;"-"&amp;Table1[[#This Row],[MONTH]]</f>
        <v>-</v>
      </c>
    </row>
    <row r="2890" spans="1:25" ht="15" customHeight="1" x14ac:dyDescent="0.35">
      <c r="A2890" s="24"/>
      <c r="B2890" s="38"/>
      <c r="C2890" s="38"/>
      <c r="D2890" s="38"/>
      <c r="E2890" s="37"/>
      <c r="F2890" s="38"/>
      <c r="G2890" s="198"/>
      <c r="H2890" s="198"/>
      <c r="I2890" s="39"/>
      <c r="J2890" s="38"/>
      <c r="K2890" s="198"/>
      <c r="L2890" s="38"/>
      <c r="M2890" s="38"/>
      <c r="N2890" s="38"/>
      <c r="O2890" s="38"/>
      <c r="P2890" s="40" t="str" cm="1">
        <f t="array" ref="P2890">IF(N2890="","",IFERROR(_xlfn.XLOOKUP(F2890&amp;"|"&amp;J2890&amp;"|"&amp;O2890,PRICES!$C$2:$C$659&amp;"|"&amp;PRICES!$B$2:$B$659&amp;"|"&amp;PRICES!$D$2:$D$659,PRICES!$E$2:$E$659),"Not Found"))</f>
        <v/>
      </c>
      <c r="Q2890" s="100" t="str">
        <f>IF(N2890=0,"",SUMIFS(PRICES!$G$2:$G$658,PRICES!$B$2:$B$658,'MAIN TABLE-1 AUTOMATED'!J2890,PRICES!$C$2:$C$658,'MAIN TABLE-1 AUTOMATED'!F2890,PRICES!$D$2:$D$658,'MAIN TABLE-1 AUTOMATED'!O2890))</f>
        <v/>
      </c>
      <c r="R2890" s="41" t="str">
        <f>IF(Table1[[#This Row],[QUANTITY]]=0,"",Table1[[#This Row],[UNIT PRICE]]*Table1[[#This Row],[QUANTITY]])</f>
        <v/>
      </c>
      <c r="S2890" s="89"/>
      <c r="T2890" s="38"/>
      <c r="U2890" s="43"/>
      <c r="V2890" s="42" t="str">
        <f>IF(Table1[[#This Row],[DATE]]=0,"",YEAR(E2890))</f>
        <v/>
      </c>
      <c r="W2890" s="40" t="str">
        <f t="shared" si="94"/>
        <v/>
      </c>
      <c r="X2890" s="40" t="str">
        <f t="shared" si="95"/>
        <v/>
      </c>
      <c r="Y2890" s="40" t="str">
        <f>TEXT(Table1[[#This Row],[YEAR]],"0000")&amp;"-"&amp;Table1[[#This Row],[MONTH]]</f>
        <v>-</v>
      </c>
    </row>
    <row r="2891" spans="1:25" ht="15" customHeight="1" x14ac:dyDescent="0.35">
      <c r="A2891" s="24"/>
      <c r="B2891" s="38"/>
      <c r="C2891" s="38"/>
      <c r="D2891" s="38"/>
      <c r="E2891" s="37"/>
      <c r="F2891" s="38"/>
      <c r="G2891" s="198"/>
      <c r="H2891" s="198"/>
      <c r="I2891" s="39"/>
      <c r="J2891" s="38"/>
      <c r="K2891" s="198"/>
      <c r="L2891" s="38"/>
      <c r="M2891" s="38"/>
      <c r="N2891" s="38"/>
      <c r="O2891" s="38"/>
      <c r="P2891" s="40" t="str" cm="1">
        <f t="array" ref="P2891">IF(N2891="","",IFERROR(_xlfn.XLOOKUP(F2891&amp;"|"&amp;J2891&amp;"|"&amp;O2891,PRICES!$C$2:$C$659&amp;"|"&amp;PRICES!$B$2:$B$659&amp;"|"&amp;PRICES!$D$2:$D$659,PRICES!$E$2:$E$659),"Not Found"))</f>
        <v/>
      </c>
      <c r="Q2891" s="100" t="str">
        <f>IF(N2891=0,"",SUMIFS(PRICES!$G$2:$G$658,PRICES!$B$2:$B$658,'MAIN TABLE-1 AUTOMATED'!J2891,PRICES!$C$2:$C$658,'MAIN TABLE-1 AUTOMATED'!F2891,PRICES!$D$2:$D$658,'MAIN TABLE-1 AUTOMATED'!O2891))</f>
        <v/>
      </c>
      <c r="R2891" s="41" t="str">
        <f>IF(Table1[[#This Row],[QUANTITY]]=0,"",Table1[[#This Row],[UNIT PRICE]]*Table1[[#This Row],[QUANTITY]])</f>
        <v/>
      </c>
      <c r="S2891" s="89"/>
      <c r="T2891" s="38"/>
      <c r="U2891" s="43"/>
      <c r="V2891" s="42" t="str">
        <f>IF(Table1[[#This Row],[DATE]]=0,"",YEAR(E2891))</f>
        <v/>
      </c>
      <c r="W2891" s="40" t="str">
        <f t="shared" si="94"/>
        <v/>
      </c>
      <c r="X2891" s="40" t="str">
        <f t="shared" si="95"/>
        <v/>
      </c>
      <c r="Y2891" s="40" t="str">
        <f>TEXT(Table1[[#This Row],[YEAR]],"0000")&amp;"-"&amp;Table1[[#This Row],[MONTH]]</f>
        <v>-</v>
      </c>
    </row>
    <row r="2892" spans="1:25" ht="15" customHeight="1" x14ac:dyDescent="0.35">
      <c r="A2892" s="24"/>
      <c r="B2892" s="38"/>
      <c r="C2892" s="38"/>
      <c r="D2892" s="38"/>
      <c r="E2892" s="37"/>
      <c r="F2892" s="38"/>
      <c r="G2892" s="198"/>
      <c r="H2892" s="198"/>
      <c r="I2892" s="39"/>
      <c r="J2892" s="38"/>
      <c r="K2892" s="198"/>
      <c r="L2892" s="38"/>
      <c r="M2892" s="38"/>
      <c r="N2892" s="38"/>
      <c r="O2892" s="38"/>
      <c r="P2892" s="40" t="str" cm="1">
        <f t="array" ref="P2892">IF(N2892="","",IFERROR(_xlfn.XLOOKUP(F2892&amp;"|"&amp;J2892&amp;"|"&amp;O2892,PRICES!$C$2:$C$659&amp;"|"&amp;PRICES!$B$2:$B$659&amp;"|"&amp;PRICES!$D$2:$D$659,PRICES!$E$2:$E$659),"Not Found"))</f>
        <v/>
      </c>
      <c r="Q2892" s="100" t="str">
        <f>IF(N2892=0,"",SUMIFS(PRICES!$G$2:$G$658,PRICES!$B$2:$B$658,'MAIN TABLE-1 AUTOMATED'!J2892,PRICES!$C$2:$C$658,'MAIN TABLE-1 AUTOMATED'!F2892,PRICES!$D$2:$D$658,'MAIN TABLE-1 AUTOMATED'!O2892))</f>
        <v/>
      </c>
      <c r="R2892" s="41" t="str">
        <f>IF(Table1[[#This Row],[QUANTITY]]=0,"",Table1[[#This Row],[UNIT PRICE]]*Table1[[#This Row],[QUANTITY]])</f>
        <v/>
      </c>
      <c r="S2892" s="89"/>
      <c r="T2892" s="38"/>
      <c r="U2892" s="43"/>
      <c r="V2892" s="42" t="str">
        <f>IF(Table1[[#This Row],[DATE]]=0,"",YEAR(E2892))</f>
        <v/>
      </c>
      <c r="W2892" s="40" t="str">
        <f t="shared" si="94"/>
        <v/>
      </c>
      <c r="X2892" s="40" t="str">
        <f t="shared" si="95"/>
        <v/>
      </c>
      <c r="Y2892" s="40" t="str">
        <f>TEXT(Table1[[#This Row],[YEAR]],"0000")&amp;"-"&amp;Table1[[#This Row],[MONTH]]</f>
        <v>-</v>
      </c>
    </row>
    <row r="2893" spans="1:25" ht="15" customHeight="1" x14ac:dyDescent="0.35">
      <c r="A2893" s="24"/>
      <c r="B2893" s="38"/>
      <c r="C2893" s="38"/>
      <c r="D2893" s="38"/>
      <c r="E2893" s="37"/>
      <c r="F2893" s="38"/>
      <c r="G2893" s="198"/>
      <c r="H2893" s="198"/>
      <c r="I2893" s="39"/>
      <c r="J2893" s="38"/>
      <c r="K2893" s="198"/>
      <c r="L2893" s="38"/>
      <c r="M2893" s="38"/>
      <c r="N2893" s="38"/>
      <c r="O2893" s="38"/>
      <c r="P2893" s="40" t="str" cm="1">
        <f t="array" ref="P2893">IF(N2893="","",IFERROR(_xlfn.XLOOKUP(F2893&amp;"|"&amp;J2893&amp;"|"&amp;O2893,PRICES!$C$2:$C$659&amp;"|"&amp;PRICES!$B$2:$B$659&amp;"|"&amp;PRICES!$D$2:$D$659,PRICES!$E$2:$E$659),"Not Found"))</f>
        <v/>
      </c>
      <c r="Q2893" s="100" t="str">
        <f>IF(N2893=0,"",SUMIFS(PRICES!$G$2:$G$658,PRICES!$B$2:$B$658,'MAIN TABLE-1 AUTOMATED'!J2893,PRICES!$C$2:$C$658,'MAIN TABLE-1 AUTOMATED'!F2893,PRICES!$D$2:$D$658,'MAIN TABLE-1 AUTOMATED'!O2893))</f>
        <v/>
      </c>
      <c r="R2893" s="41" t="str">
        <f>IF(Table1[[#This Row],[QUANTITY]]=0,"",Table1[[#This Row],[UNIT PRICE]]*Table1[[#This Row],[QUANTITY]])</f>
        <v/>
      </c>
      <c r="S2893" s="89"/>
      <c r="T2893" s="38"/>
      <c r="U2893" s="43"/>
      <c r="V2893" s="42" t="str">
        <f>IF(Table1[[#This Row],[DATE]]=0,"",YEAR(E2893))</f>
        <v/>
      </c>
      <c r="W2893" s="40" t="str">
        <f t="shared" si="94"/>
        <v/>
      </c>
      <c r="X2893" s="40" t="str">
        <f t="shared" si="95"/>
        <v/>
      </c>
      <c r="Y2893" s="40" t="str">
        <f>TEXT(Table1[[#This Row],[YEAR]],"0000")&amp;"-"&amp;Table1[[#This Row],[MONTH]]</f>
        <v>-</v>
      </c>
    </row>
    <row r="2894" spans="1:25" ht="15" customHeight="1" x14ac:dyDescent="0.35">
      <c r="A2894" s="24"/>
      <c r="B2894" s="38"/>
      <c r="C2894" s="38"/>
      <c r="D2894" s="38"/>
      <c r="E2894" s="37"/>
      <c r="F2894" s="38"/>
      <c r="G2894" s="198"/>
      <c r="H2894" s="198"/>
      <c r="I2894" s="39"/>
      <c r="J2894" s="38"/>
      <c r="K2894" s="198"/>
      <c r="L2894" s="38"/>
      <c r="M2894" s="38"/>
      <c r="N2894" s="38"/>
      <c r="O2894" s="38"/>
      <c r="P2894" s="40" t="str" cm="1">
        <f t="array" ref="P2894">IF(N2894="","",IFERROR(_xlfn.XLOOKUP(F2894&amp;"|"&amp;J2894&amp;"|"&amp;O2894,PRICES!$C$2:$C$659&amp;"|"&amp;PRICES!$B$2:$B$659&amp;"|"&amp;PRICES!$D$2:$D$659,PRICES!$E$2:$E$659),"Not Found"))</f>
        <v/>
      </c>
      <c r="Q2894" s="100" t="str">
        <f>IF(N2894=0,"",SUMIFS(PRICES!$G$2:$G$658,PRICES!$B$2:$B$658,'MAIN TABLE-1 AUTOMATED'!J2894,PRICES!$C$2:$C$658,'MAIN TABLE-1 AUTOMATED'!F2894,PRICES!$D$2:$D$658,'MAIN TABLE-1 AUTOMATED'!O2894))</f>
        <v/>
      </c>
      <c r="R2894" s="41" t="str">
        <f>IF(Table1[[#This Row],[QUANTITY]]=0,"",Table1[[#This Row],[UNIT PRICE]]*Table1[[#This Row],[QUANTITY]])</f>
        <v/>
      </c>
      <c r="S2894" s="89"/>
      <c r="T2894" s="38"/>
      <c r="U2894" s="43"/>
      <c r="V2894" s="42" t="str">
        <f>IF(Table1[[#This Row],[DATE]]=0,"",YEAR(E2894))</f>
        <v/>
      </c>
      <c r="W2894" s="40" t="str">
        <f t="shared" si="94"/>
        <v/>
      </c>
      <c r="X2894" s="40" t="str">
        <f t="shared" si="95"/>
        <v/>
      </c>
      <c r="Y2894" s="40" t="str">
        <f>TEXT(Table1[[#This Row],[YEAR]],"0000")&amp;"-"&amp;Table1[[#This Row],[MONTH]]</f>
        <v>-</v>
      </c>
    </row>
    <row r="2895" spans="1:25" ht="15" customHeight="1" x14ac:dyDescent="0.35">
      <c r="A2895" s="24"/>
      <c r="B2895" s="38"/>
      <c r="C2895" s="38"/>
      <c r="D2895" s="38"/>
      <c r="E2895" s="37"/>
      <c r="F2895" s="38"/>
      <c r="G2895" s="198"/>
      <c r="H2895" s="198"/>
      <c r="I2895" s="39"/>
      <c r="J2895" s="38"/>
      <c r="K2895" s="198"/>
      <c r="L2895" s="38"/>
      <c r="M2895" s="38"/>
      <c r="N2895" s="38"/>
      <c r="O2895" s="38"/>
      <c r="P2895" s="40" t="str" cm="1">
        <f t="array" ref="P2895">IF(N2895="","",IFERROR(_xlfn.XLOOKUP(F2895&amp;"|"&amp;J2895&amp;"|"&amp;O2895,PRICES!$C$2:$C$659&amp;"|"&amp;PRICES!$B$2:$B$659&amp;"|"&amp;PRICES!$D$2:$D$659,PRICES!$E$2:$E$659),"Not Found"))</f>
        <v/>
      </c>
      <c r="Q2895" s="100" t="str">
        <f>IF(N2895=0,"",SUMIFS(PRICES!$G$2:$G$658,PRICES!$B$2:$B$658,'MAIN TABLE-1 AUTOMATED'!J2895,PRICES!$C$2:$C$658,'MAIN TABLE-1 AUTOMATED'!F2895,PRICES!$D$2:$D$658,'MAIN TABLE-1 AUTOMATED'!O2895))</f>
        <v/>
      </c>
      <c r="R2895" s="41" t="str">
        <f>IF(Table1[[#This Row],[QUANTITY]]=0,"",Table1[[#This Row],[UNIT PRICE]]*Table1[[#This Row],[QUANTITY]])</f>
        <v/>
      </c>
      <c r="S2895" s="89"/>
      <c r="T2895" s="38"/>
      <c r="U2895" s="43"/>
      <c r="V2895" s="42" t="str">
        <f>IF(Table1[[#This Row],[DATE]]=0,"",YEAR(E2895))</f>
        <v/>
      </c>
      <c r="W2895" s="40" t="str">
        <f t="shared" si="94"/>
        <v/>
      </c>
      <c r="X2895" s="40" t="str">
        <f t="shared" si="95"/>
        <v/>
      </c>
      <c r="Y2895" s="40" t="str">
        <f>TEXT(Table1[[#This Row],[YEAR]],"0000")&amp;"-"&amp;Table1[[#This Row],[MONTH]]</f>
        <v>-</v>
      </c>
    </row>
    <row r="2896" spans="1:25" ht="15" customHeight="1" x14ac:dyDescent="0.35">
      <c r="A2896" s="24"/>
      <c r="B2896" s="38"/>
      <c r="C2896" s="38"/>
      <c r="D2896" s="38"/>
      <c r="E2896" s="37"/>
      <c r="F2896" s="38"/>
      <c r="G2896" s="198"/>
      <c r="H2896" s="198"/>
      <c r="I2896" s="39"/>
      <c r="J2896" s="38"/>
      <c r="K2896" s="198"/>
      <c r="L2896" s="38"/>
      <c r="M2896" s="38"/>
      <c r="N2896" s="38"/>
      <c r="O2896" s="38"/>
      <c r="P2896" s="40" t="str" cm="1">
        <f t="array" ref="P2896">IF(N2896="","",IFERROR(_xlfn.XLOOKUP(F2896&amp;"|"&amp;J2896&amp;"|"&amp;O2896,PRICES!$C$2:$C$659&amp;"|"&amp;PRICES!$B$2:$B$659&amp;"|"&amp;PRICES!$D$2:$D$659,PRICES!$E$2:$E$659),"Not Found"))</f>
        <v/>
      </c>
      <c r="Q2896" s="100" t="str">
        <f>IF(N2896=0,"",SUMIFS(PRICES!$G$2:$G$658,PRICES!$B$2:$B$658,'MAIN TABLE-1 AUTOMATED'!J2896,PRICES!$C$2:$C$658,'MAIN TABLE-1 AUTOMATED'!F2896,PRICES!$D$2:$D$658,'MAIN TABLE-1 AUTOMATED'!O2896))</f>
        <v/>
      </c>
      <c r="R2896" s="41" t="str">
        <f>IF(Table1[[#This Row],[QUANTITY]]=0,"",Table1[[#This Row],[UNIT PRICE]]*Table1[[#This Row],[QUANTITY]])</f>
        <v/>
      </c>
      <c r="S2896" s="89"/>
      <c r="T2896" s="38"/>
      <c r="U2896" s="43"/>
      <c r="V2896" s="42" t="str">
        <f>IF(Table1[[#This Row],[DATE]]=0,"",YEAR(E2896))</f>
        <v/>
      </c>
      <c r="W2896" s="40" t="str">
        <f t="shared" si="94"/>
        <v/>
      </c>
      <c r="X2896" s="40" t="str">
        <f t="shared" si="95"/>
        <v/>
      </c>
      <c r="Y2896" s="40" t="str">
        <f>TEXT(Table1[[#This Row],[YEAR]],"0000")&amp;"-"&amp;Table1[[#This Row],[MONTH]]</f>
        <v>-</v>
      </c>
    </row>
    <row r="2897" spans="1:25" ht="15" customHeight="1" x14ac:dyDescent="0.35">
      <c r="A2897" s="24"/>
      <c r="B2897" s="38"/>
      <c r="C2897" s="38"/>
      <c r="D2897" s="38"/>
      <c r="E2897" s="37"/>
      <c r="F2897" s="38"/>
      <c r="G2897" s="198"/>
      <c r="H2897" s="198"/>
      <c r="I2897" s="39"/>
      <c r="J2897" s="38"/>
      <c r="K2897" s="198"/>
      <c r="L2897" s="38"/>
      <c r="M2897" s="38"/>
      <c r="N2897" s="38"/>
      <c r="O2897" s="38"/>
      <c r="P2897" s="40" t="str" cm="1">
        <f t="array" ref="P2897">IF(N2897="","",IFERROR(_xlfn.XLOOKUP(F2897&amp;"|"&amp;J2897&amp;"|"&amp;O2897,PRICES!$C$2:$C$659&amp;"|"&amp;PRICES!$B$2:$B$659&amp;"|"&amp;PRICES!$D$2:$D$659,PRICES!$E$2:$E$659),"Not Found"))</f>
        <v/>
      </c>
      <c r="Q2897" s="100" t="str">
        <f>IF(N2897=0,"",SUMIFS(PRICES!$G$2:$G$658,PRICES!$B$2:$B$658,'MAIN TABLE-1 AUTOMATED'!J2897,PRICES!$C$2:$C$658,'MAIN TABLE-1 AUTOMATED'!F2897,PRICES!$D$2:$D$658,'MAIN TABLE-1 AUTOMATED'!O2897))</f>
        <v/>
      </c>
      <c r="R2897" s="41" t="str">
        <f>IF(Table1[[#This Row],[QUANTITY]]=0,"",Table1[[#This Row],[UNIT PRICE]]*Table1[[#This Row],[QUANTITY]])</f>
        <v/>
      </c>
      <c r="S2897" s="89"/>
      <c r="T2897" s="38"/>
      <c r="U2897" s="43"/>
      <c r="V2897" s="42" t="str">
        <f>IF(Table1[[#This Row],[DATE]]=0,"",YEAR(E2897))</f>
        <v/>
      </c>
      <c r="W2897" s="40" t="str">
        <f t="shared" si="94"/>
        <v/>
      </c>
      <c r="X2897" s="40" t="str">
        <f t="shared" si="95"/>
        <v/>
      </c>
      <c r="Y2897" s="40" t="str">
        <f>TEXT(Table1[[#This Row],[YEAR]],"0000")&amp;"-"&amp;Table1[[#This Row],[MONTH]]</f>
        <v>-</v>
      </c>
    </row>
    <row r="2898" spans="1:25" ht="15" customHeight="1" x14ac:dyDescent="0.35">
      <c r="A2898" s="24"/>
      <c r="B2898" s="38"/>
      <c r="C2898" s="38"/>
      <c r="D2898" s="38"/>
      <c r="E2898" s="37"/>
      <c r="F2898" s="38"/>
      <c r="G2898" s="198"/>
      <c r="H2898" s="198"/>
      <c r="I2898" s="39"/>
      <c r="J2898" s="38"/>
      <c r="K2898" s="198"/>
      <c r="L2898" s="38"/>
      <c r="M2898" s="38"/>
      <c r="N2898" s="38"/>
      <c r="O2898" s="38"/>
      <c r="P2898" s="40" t="str" cm="1">
        <f t="array" ref="P2898">IF(N2898="","",IFERROR(_xlfn.XLOOKUP(F2898&amp;"|"&amp;J2898&amp;"|"&amp;O2898,PRICES!$C$2:$C$659&amp;"|"&amp;PRICES!$B$2:$B$659&amp;"|"&amp;PRICES!$D$2:$D$659,PRICES!$E$2:$E$659),"Not Found"))</f>
        <v/>
      </c>
      <c r="Q2898" s="100" t="str">
        <f>IF(N2898=0,"",SUMIFS(PRICES!$G$2:$G$658,PRICES!$B$2:$B$658,'MAIN TABLE-1 AUTOMATED'!J2898,PRICES!$C$2:$C$658,'MAIN TABLE-1 AUTOMATED'!F2898,PRICES!$D$2:$D$658,'MAIN TABLE-1 AUTOMATED'!O2898))</f>
        <v/>
      </c>
      <c r="R2898" s="41" t="str">
        <f>IF(Table1[[#This Row],[QUANTITY]]=0,"",Table1[[#This Row],[UNIT PRICE]]*Table1[[#This Row],[QUANTITY]])</f>
        <v/>
      </c>
      <c r="S2898" s="89"/>
      <c r="T2898" s="38"/>
      <c r="U2898" s="43"/>
      <c r="V2898" s="42" t="str">
        <f>IF(Table1[[#This Row],[DATE]]=0,"",YEAR(E2898))</f>
        <v/>
      </c>
      <c r="W2898" s="40" t="str">
        <f t="shared" si="94"/>
        <v/>
      </c>
      <c r="X2898" s="40" t="str">
        <f t="shared" si="95"/>
        <v/>
      </c>
      <c r="Y2898" s="40" t="str">
        <f>TEXT(Table1[[#This Row],[YEAR]],"0000")&amp;"-"&amp;Table1[[#This Row],[MONTH]]</f>
        <v>-</v>
      </c>
    </row>
    <row r="2899" spans="1:25" ht="15" customHeight="1" x14ac:dyDescent="0.35">
      <c r="A2899" s="24"/>
      <c r="B2899" s="38"/>
      <c r="C2899" s="38"/>
      <c r="D2899" s="38"/>
      <c r="E2899" s="37"/>
      <c r="F2899" s="38"/>
      <c r="G2899" s="198"/>
      <c r="H2899" s="198"/>
      <c r="I2899" s="39"/>
      <c r="J2899" s="38"/>
      <c r="K2899" s="198"/>
      <c r="L2899" s="38"/>
      <c r="M2899" s="38"/>
      <c r="N2899" s="38"/>
      <c r="O2899" s="38"/>
      <c r="P2899" s="40" t="str" cm="1">
        <f t="array" ref="P2899">IF(N2899="","",IFERROR(_xlfn.XLOOKUP(F2899&amp;"|"&amp;J2899&amp;"|"&amp;O2899,PRICES!$C$2:$C$659&amp;"|"&amp;PRICES!$B$2:$B$659&amp;"|"&amp;PRICES!$D$2:$D$659,PRICES!$E$2:$E$659),"Not Found"))</f>
        <v/>
      </c>
      <c r="Q2899" s="100" t="str">
        <f>IF(N2899=0,"",SUMIFS(PRICES!$G$2:$G$658,PRICES!$B$2:$B$658,'MAIN TABLE-1 AUTOMATED'!J2899,PRICES!$C$2:$C$658,'MAIN TABLE-1 AUTOMATED'!F2899,PRICES!$D$2:$D$658,'MAIN TABLE-1 AUTOMATED'!O2899))</f>
        <v/>
      </c>
      <c r="R2899" s="41" t="str">
        <f>IF(Table1[[#This Row],[QUANTITY]]=0,"",Table1[[#This Row],[UNIT PRICE]]*Table1[[#This Row],[QUANTITY]])</f>
        <v/>
      </c>
      <c r="S2899" s="89"/>
      <c r="T2899" s="38"/>
      <c r="U2899" s="43"/>
      <c r="V2899" s="42" t="str">
        <f>IF(Table1[[#This Row],[DATE]]=0,"",YEAR(E2899))</f>
        <v/>
      </c>
      <c r="W2899" s="40" t="str">
        <f t="shared" si="94"/>
        <v/>
      </c>
      <c r="X2899" s="40" t="str">
        <f t="shared" si="95"/>
        <v/>
      </c>
      <c r="Y2899" s="40" t="str">
        <f>TEXT(Table1[[#This Row],[YEAR]],"0000")&amp;"-"&amp;Table1[[#This Row],[MONTH]]</f>
        <v>-</v>
      </c>
    </row>
    <row r="2900" spans="1:25" ht="15" customHeight="1" x14ac:dyDescent="0.35">
      <c r="A2900" s="24"/>
      <c r="B2900" s="38"/>
      <c r="C2900" s="38"/>
      <c r="D2900" s="38"/>
      <c r="E2900" s="37"/>
      <c r="F2900" s="38"/>
      <c r="G2900" s="198"/>
      <c r="H2900" s="198"/>
      <c r="I2900" s="39"/>
      <c r="J2900" s="38"/>
      <c r="K2900" s="198"/>
      <c r="L2900" s="38"/>
      <c r="M2900" s="38"/>
      <c r="N2900" s="38"/>
      <c r="O2900" s="38"/>
      <c r="P2900" s="40" t="str" cm="1">
        <f t="array" ref="P2900">IF(N2900="","",IFERROR(_xlfn.XLOOKUP(F2900&amp;"|"&amp;J2900&amp;"|"&amp;O2900,PRICES!$C$2:$C$659&amp;"|"&amp;PRICES!$B$2:$B$659&amp;"|"&amp;PRICES!$D$2:$D$659,PRICES!$E$2:$E$659),"Not Found"))</f>
        <v/>
      </c>
      <c r="Q2900" s="100" t="str">
        <f>IF(N2900=0,"",SUMIFS(PRICES!$G$2:$G$658,PRICES!$B$2:$B$658,'MAIN TABLE-1 AUTOMATED'!J2900,PRICES!$C$2:$C$658,'MAIN TABLE-1 AUTOMATED'!F2900,PRICES!$D$2:$D$658,'MAIN TABLE-1 AUTOMATED'!O2900))</f>
        <v/>
      </c>
      <c r="R2900" s="41" t="str">
        <f>IF(Table1[[#This Row],[QUANTITY]]=0,"",Table1[[#This Row],[UNIT PRICE]]*Table1[[#This Row],[QUANTITY]])</f>
        <v/>
      </c>
      <c r="S2900" s="89"/>
      <c r="T2900" s="38"/>
      <c r="U2900" s="43"/>
      <c r="V2900" s="42" t="str">
        <f>IF(Table1[[#This Row],[DATE]]=0,"",YEAR(E2900))</f>
        <v/>
      </c>
      <c r="W2900" s="40" t="str">
        <f t="shared" si="94"/>
        <v/>
      </c>
      <c r="X2900" s="40" t="str">
        <f t="shared" si="95"/>
        <v/>
      </c>
      <c r="Y2900" s="40" t="str">
        <f>TEXT(Table1[[#This Row],[YEAR]],"0000")&amp;"-"&amp;Table1[[#This Row],[MONTH]]</f>
        <v>-</v>
      </c>
    </row>
    <row r="2901" spans="1:25" ht="15" customHeight="1" x14ac:dyDescent="0.35">
      <c r="A2901" s="24"/>
      <c r="B2901" s="38"/>
      <c r="C2901" s="38"/>
      <c r="D2901" s="38"/>
      <c r="E2901" s="37"/>
      <c r="F2901" s="38"/>
      <c r="G2901" s="198"/>
      <c r="H2901" s="198"/>
      <c r="I2901" s="39"/>
      <c r="J2901" s="38"/>
      <c r="K2901" s="198"/>
      <c r="L2901" s="38"/>
      <c r="M2901" s="38"/>
      <c r="N2901" s="38"/>
      <c r="O2901" s="38"/>
      <c r="P2901" s="40" t="str" cm="1">
        <f t="array" ref="P2901">IF(N2901="","",IFERROR(_xlfn.XLOOKUP(F2901&amp;"|"&amp;J2901&amp;"|"&amp;O2901,PRICES!$C$2:$C$659&amp;"|"&amp;PRICES!$B$2:$B$659&amp;"|"&amp;PRICES!$D$2:$D$659,PRICES!$E$2:$E$659),"Not Found"))</f>
        <v/>
      </c>
      <c r="Q2901" s="100" t="str">
        <f>IF(N2901=0,"",SUMIFS(PRICES!$G$2:$G$658,PRICES!$B$2:$B$658,'MAIN TABLE-1 AUTOMATED'!J2901,PRICES!$C$2:$C$658,'MAIN TABLE-1 AUTOMATED'!F2901,PRICES!$D$2:$D$658,'MAIN TABLE-1 AUTOMATED'!O2901))</f>
        <v/>
      </c>
      <c r="R2901" s="41" t="str">
        <f>IF(Table1[[#This Row],[QUANTITY]]=0,"",Table1[[#This Row],[UNIT PRICE]]*Table1[[#This Row],[QUANTITY]])</f>
        <v/>
      </c>
      <c r="S2901" s="89"/>
      <c r="T2901" s="38"/>
      <c r="U2901" s="43"/>
      <c r="V2901" s="42" t="str">
        <f>IF(Table1[[#This Row],[DATE]]=0,"",YEAR(E2901))</f>
        <v/>
      </c>
      <c r="W2901" s="40" t="str">
        <f t="shared" si="94"/>
        <v/>
      </c>
      <c r="X2901" s="40" t="str">
        <f t="shared" si="95"/>
        <v/>
      </c>
      <c r="Y2901" s="40" t="str">
        <f>TEXT(Table1[[#This Row],[YEAR]],"0000")&amp;"-"&amp;Table1[[#This Row],[MONTH]]</f>
        <v>-</v>
      </c>
    </row>
    <row r="2902" spans="1:25" ht="15" customHeight="1" x14ac:dyDescent="0.35">
      <c r="A2902" s="24"/>
      <c r="B2902" s="38"/>
      <c r="C2902" s="38"/>
      <c r="D2902" s="38"/>
      <c r="E2902" s="37"/>
      <c r="F2902" s="38"/>
      <c r="G2902" s="198"/>
      <c r="H2902" s="198"/>
      <c r="I2902" s="39"/>
      <c r="J2902" s="38"/>
      <c r="K2902" s="198"/>
      <c r="L2902" s="38"/>
      <c r="M2902" s="38"/>
      <c r="N2902" s="38"/>
      <c r="O2902" s="38"/>
      <c r="P2902" s="40" t="str" cm="1">
        <f t="array" ref="P2902">IF(N2902="","",IFERROR(_xlfn.XLOOKUP(F2902&amp;"|"&amp;J2902&amp;"|"&amp;O2902,PRICES!$C$2:$C$659&amp;"|"&amp;PRICES!$B$2:$B$659&amp;"|"&amp;PRICES!$D$2:$D$659,PRICES!$E$2:$E$659),"Not Found"))</f>
        <v/>
      </c>
      <c r="Q2902" s="100" t="str">
        <f>IF(N2902=0,"",SUMIFS(PRICES!$G$2:$G$658,PRICES!$B$2:$B$658,'MAIN TABLE-1 AUTOMATED'!J2902,PRICES!$C$2:$C$658,'MAIN TABLE-1 AUTOMATED'!F2902,PRICES!$D$2:$D$658,'MAIN TABLE-1 AUTOMATED'!O2902))</f>
        <v/>
      </c>
      <c r="R2902" s="41" t="str">
        <f>IF(Table1[[#This Row],[QUANTITY]]=0,"",Table1[[#This Row],[UNIT PRICE]]*Table1[[#This Row],[QUANTITY]])</f>
        <v/>
      </c>
      <c r="S2902" s="89"/>
      <c r="T2902" s="38"/>
      <c r="U2902" s="43"/>
      <c r="V2902" s="42" t="str">
        <f>IF(Table1[[#This Row],[DATE]]=0,"",YEAR(E2902))</f>
        <v/>
      </c>
      <c r="W2902" s="40" t="str">
        <f t="shared" si="94"/>
        <v/>
      </c>
      <c r="X2902" s="40" t="str">
        <f t="shared" si="95"/>
        <v/>
      </c>
      <c r="Y2902" s="40" t="str">
        <f>TEXT(Table1[[#This Row],[YEAR]],"0000")&amp;"-"&amp;Table1[[#This Row],[MONTH]]</f>
        <v>-</v>
      </c>
    </row>
    <row r="2903" spans="1:25" ht="15" customHeight="1" x14ac:dyDescent="0.35">
      <c r="A2903" s="24"/>
      <c r="B2903" s="38"/>
      <c r="C2903" s="38"/>
      <c r="D2903" s="38"/>
      <c r="E2903" s="37"/>
      <c r="F2903" s="38"/>
      <c r="G2903" s="198"/>
      <c r="H2903" s="198"/>
      <c r="I2903" s="39"/>
      <c r="J2903" s="38"/>
      <c r="K2903" s="198"/>
      <c r="L2903" s="38"/>
      <c r="M2903" s="38"/>
      <c r="N2903" s="38"/>
      <c r="O2903" s="38"/>
      <c r="P2903" s="40" t="str" cm="1">
        <f t="array" ref="P2903">IF(N2903="","",IFERROR(_xlfn.XLOOKUP(F2903&amp;"|"&amp;J2903&amp;"|"&amp;O2903,PRICES!$C$2:$C$659&amp;"|"&amp;PRICES!$B$2:$B$659&amp;"|"&amp;PRICES!$D$2:$D$659,PRICES!$E$2:$E$659),"Not Found"))</f>
        <v/>
      </c>
      <c r="Q2903" s="100" t="str">
        <f>IF(N2903=0,"",SUMIFS(PRICES!$G$2:$G$658,PRICES!$B$2:$B$658,'MAIN TABLE-1 AUTOMATED'!J2903,PRICES!$C$2:$C$658,'MAIN TABLE-1 AUTOMATED'!F2903,PRICES!$D$2:$D$658,'MAIN TABLE-1 AUTOMATED'!O2903))</f>
        <v/>
      </c>
      <c r="R2903" s="41" t="str">
        <f>IF(Table1[[#This Row],[QUANTITY]]=0,"",Table1[[#This Row],[UNIT PRICE]]*Table1[[#This Row],[QUANTITY]])</f>
        <v/>
      </c>
      <c r="S2903" s="89"/>
      <c r="T2903" s="38"/>
      <c r="U2903" s="43"/>
      <c r="V2903" s="42" t="str">
        <f>IF(Table1[[#This Row],[DATE]]=0,"",YEAR(E2903))</f>
        <v/>
      </c>
      <c r="W2903" s="40" t="str">
        <f t="shared" si="94"/>
        <v/>
      </c>
      <c r="X2903" s="40" t="str">
        <f t="shared" si="95"/>
        <v/>
      </c>
      <c r="Y2903" s="40" t="str">
        <f>TEXT(Table1[[#This Row],[YEAR]],"0000")&amp;"-"&amp;Table1[[#This Row],[MONTH]]</f>
        <v>-</v>
      </c>
    </row>
    <row r="2904" spans="1:25" ht="15" customHeight="1" x14ac:dyDescent="0.35">
      <c r="A2904" s="24"/>
      <c r="B2904" s="38"/>
      <c r="C2904" s="38"/>
      <c r="D2904" s="38"/>
      <c r="E2904" s="37"/>
      <c r="F2904" s="38"/>
      <c r="G2904" s="198"/>
      <c r="H2904" s="198"/>
      <c r="I2904" s="39"/>
      <c r="J2904" s="38"/>
      <c r="K2904" s="198"/>
      <c r="L2904" s="38"/>
      <c r="M2904" s="38"/>
      <c r="N2904" s="38"/>
      <c r="O2904" s="38"/>
      <c r="P2904" s="40" t="str" cm="1">
        <f t="array" ref="P2904">IF(N2904="","",IFERROR(_xlfn.XLOOKUP(F2904&amp;"|"&amp;J2904&amp;"|"&amp;O2904,PRICES!$C$2:$C$659&amp;"|"&amp;PRICES!$B$2:$B$659&amp;"|"&amp;PRICES!$D$2:$D$659,PRICES!$E$2:$E$659),"Not Found"))</f>
        <v/>
      </c>
      <c r="Q2904" s="100" t="str">
        <f>IF(N2904=0,"",SUMIFS(PRICES!$G$2:$G$658,PRICES!$B$2:$B$658,'MAIN TABLE-1 AUTOMATED'!J2904,PRICES!$C$2:$C$658,'MAIN TABLE-1 AUTOMATED'!F2904,PRICES!$D$2:$D$658,'MAIN TABLE-1 AUTOMATED'!O2904))</f>
        <v/>
      </c>
      <c r="R2904" s="41" t="str">
        <f>IF(Table1[[#This Row],[QUANTITY]]=0,"",Table1[[#This Row],[UNIT PRICE]]*Table1[[#This Row],[QUANTITY]])</f>
        <v/>
      </c>
      <c r="S2904" s="89"/>
      <c r="T2904" s="38"/>
      <c r="U2904" s="43"/>
      <c r="V2904" s="42" t="str">
        <f>IF(Table1[[#This Row],[DATE]]=0,"",YEAR(E2904))</f>
        <v/>
      </c>
      <c r="W2904" s="40" t="str">
        <f t="shared" si="94"/>
        <v/>
      </c>
      <c r="X2904" s="40" t="str">
        <f t="shared" si="95"/>
        <v/>
      </c>
      <c r="Y2904" s="40" t="str">
        <f>TEXT(Table1[[#This Row],[YEAR]],"0000")&amp;"-"&amp;Table1[[#This Row],[MONTH]]</f>
        <v>-</v>
      </c>
    </row>
    <row r="2905" spans="1:25" ht="15" customHeight="1" x14ac:dyDescent="0.35">
      <c r="A2905" s="24"/>
      <c r="B2905" s="38"/>
      <c r="C2905" s="38"/>
      <c r="D2905" s="38"/>
      <c r="E2905" s="37"/>
      <c r="F2905" s="38"/>
      <c r="G2905" s="198"/>
      <c r="H2905" s="198"/>
      <c r="I2905" s="39"/>
      <c r="J2905" s="38"/>
      <c r="K2905" s="198"/>
      <c r="L2905" s="38"/>
      <c r="M2905" s="38"/>
      <c r="N2905" s="38"/>
      <c r="O2905" s="38"/>
      <c r="P2905" s="40" t="str" cm="1">
        <f t="array" ref="P2905">IF(N2905="","",IFERROR(_xlfn.XLOOKUP(F2905&amp;"|"&amp;J2905&amp;"|"&amp;O2905,PRICES!$C$2:$C$659&amp;"|"&amp;PRICES!$B$2:$B$659&amp;"|"&amp;PRICES!$D$2:$D$659,PRICES!$E$2:$E$659),"Not Found"))</f>
        <v/>
      </c>
      <c r="Q2905" s="100" t="str">
        <f>IF(N2905=0,"",SUMIFS(PRICES!$G$2:$G$658,PRICES!$B$2:$B$658,'MAIN TABLE-1 AUTOMATED'!J2905,PRICES!$C$2:$C$658,'MAIN TABLE-1 AUTOMATED'!F2905,PRICES!$D$2:$D$658,'MAIN TABLE-1 AUTOMATED'!O2905))</f>
        <v/>
      </c>
      <c r="R2905" s="41" t="str">
        <f>IF(Table1[[#This Row],[QUANTITY]]=0,"",Table1[[#This Row],[UNIT PRICE]]*Table1[[#This Row],[QUANTITY]])</f>
        <v/>
      </c>
      <c r="S2905" s="89"/>
      <c r="T2905" s="38"/>
      <c r="U2905" s="43"/>
      <c r="V2905" s="42" t="str">
        <f>IF(Table1[[#This Row],[DATE]]=0,"",YEAR(E2905))</f>
        <v/>
      </c>
      <c r="W2905" s="40" t="str">
        <f t="shared" si="94"/>
        <v/>
      </c>
      <c r="X2905" s="40" t="str">
        <f t="shared" si="95"/>
        <v/>
      </c>
      <c r="Y2905" s="40" t="str">
        <f>TEXT(Table1[[#This Row],[YEAR]],"0000")&amp;"-"&amp;Table1[[#This Row],[MONTH]]</f>
        <v>-</v>
      </c>
    </row>
    <row r="2906" spans="1:25" ht="15" customHeight="1" x14ac:dyDescent="0.35">
      <c r="A2906" s="24"/>
      <c r="B2906" s="38"/>
      <c r="C2906" s="38"/>
      <c r="D2906" s="38"/>
      <c r="E2906" s="37"/>
      <c r="F2906" s="38"/>
      <c r="G2906" s="198"/>
      <c r="H2906" s="198"/>
      <c r="I2906" s="39"/>
      <c r="J2906" s="38"/>
      <c r="K2906" s="198"/>
      <c r="L2906" s="38"/>
      <c r="M2906" s="38"/>
      <c r="N2906" s="38"/>
      <c r="O2906" s="38"/>
      <c r="P2906" s="40" t="str" cm="1">
        <f t="array" ref="P2906">IF(N2906="","",IFERROR(_xlfn.XLOOKUP(F2906&amp;"|"&amp;J2906&amp;"|"&amp;O2906,PRICES!$C$2:$C$659&amp;"|"&amp;PRICES!$B$2:$B$659&amp;"|"&amp;PRICES!$D$2:$D$659,PRICES!$E$2:$E$659),"Not Found"))</f>
        <v/>
      </c>
      <c r="Q2906" s="100" t="str">
        <f>IF(N2906=0,"",SUMIFS(PRICES!$G$2:$G$658,PRICES!$B$2:$B$658,'MAIN TABLE-1 AUTOMATED'!J2906,PRICES!$C$2:$C$658,'MAIN TABLE-1 AUTOMATED'!F2906,PRICES!$D$2:$D$658,'MAIN TABLE-1 AUTOMATED'!O2906))</f>
        <v/>
      </c>
      <c r="R2906" s="41" t="str">
        <f>IF(Table1[[#This Row],[QUANTITY]]=0,"",Table1[[#This Row],[UNIT PRICE]]*Table1[[#This Row],[QUANTITY]])</f>
        <v/>
      </c>
      <c r="S2906" s="89"/>
      <c r="T2906" s="38"/>
      <c r="U2906" s="43"/>
      <c r="V2906" s="42" t="str">
        <f>IF(Table1[[#This Row],[DATE]]=0,"",YEAR(E2906))</f>
        <v/>
      </c>
      <c r="W2906" s="40" t="str">
        <f t="shared" si="94"/>
        <v/>
      </c>
      <c r="X2906" s="40" t="str">
        <f t="shared" si="95"/>
        <v/>
      </c>
      <c r="Y2906" s="40" t="str">
        <f>TEXT(Table1[[#This Row],[YEAR]],"0000")&amp;"-"&amp;Table1[[#This Row],[MONTH]]</f>
        <v>-</v>
      </c>
    </row>
    <row r="2907" spans="1:25" ht="15" customHeight="1" x14ac:dyDescent="0.35">
      <c r="A2907" s="24"/>
      <c r="B2907" s="38"/>
      <c r="C2907" s="38"/>
      <c r="D2907" s="38"/>
      <c r="E2907" s="37"/>
      <c r="F2907" s="38"/>
      <c r="G2907" s="198"/>
      <c r="H2907" s="198"/>
      <c r="I2907" s="39"/>
      <c r="J2907" s="38"/>
      <c r="K2907" s="198"/>
      <c r="L2907" s="38"/>
      <c r="M2907" s="38"/>
      <c r="N2907" s="38"/>
      <c r="O2907" s="38"/>
      <c r="P2907" s="40" t="str" cm="1">
        <f t="array" ref="P2907">IF(N2907="","",IFERROR(_xlfn.XLOOKUP(F2907&amp;"|"&amp;J2907&amp;"|"&amp;O2907,PRICES!$C$2:$C$659&amp;"|"&amp;PRICES!$B$2:$B$659&amp;"|"&amp;PRICES!$D$2:$D$659,PRICES!$E$2:$E$659),"Not Found"))</f>
        <v/>
      </c>
      <c r="Q2907" s="100" t="str">
        <f>IF(N2907=0,"",SUMIFS(PRICES!$G$2:$G$658,PRICES!$B$2:$B$658,'MAIN TABLE-1 AUTOMATED'!J2907,PRICES!$C$2:$C$658,'MAIN TABLE-1 AUTOMATED'!F2907,PRICES!$D$2:$D$658,'MAIN TABLE-1 AUTOMATED'!O2907))</f>
        <v/>
      </c>
      <c r="R2907" s="41" t="str">
        <f>IF(Table1[[#This Row],[QUANTITY]]=0,"",Table1[[#This Row],[UNIT PRICE]]*Table1[[#This Row],[QUANTITY]])</f>
        <v/>
      </c>
      <c r="S2907" s="89"/>
      <c r="T2907" s="38"/>
      <c r="U2907" s="43"/>
      <c r="V2907" s="42" t="str">
        <f>IF(Table1[[#This Row],[DATE]]=0,"",YEAR(E2907))</f>
        <v/>
      </c>
      <c r="W2907" s="40" t="str">
        <f t="shared" si="94"/>
        <v/>
      </c>
      <c r="X2907" s="40" t="str">
        <f t="shared" si="95"/>
        <v/>
      </c>
      <c r="Y2907" s="40" t="str">
        <f>TEXT(Table1[[#This Row],[YEAR]],"0000")&amp;"-"&amp;Table1[[#This Row],[MONTH]]</f>
        <v>-</v>
      </c>
    </row>
    <row r="2908" spans="1:25" ht="15" customHeight="1" x14ac:dyDescent="0.35">
      <c r="A2908" s="24"/>
      <c r="B2908" s="38"/>
      <c r="C2908" s="38"/>
      <c r="D2908" s="38"/>
      <c r="E2908" s="37"/>
      <c r="F2908" s="38"/>
      <c r="G2908" s="198"/>
      <c r="H2908" s="198"/>
      <c r="I2908" s="39"/>
      <c r="J2908" s="38"/>
      <c r="K2908" s="198"/>
      <c r="L2908" s="38"/>
      <c r="M2908" s="38"/>
      <c r="N2908" s="38"/>
      <c r="O2908" s="38"/>
      <c r="P2908" s="40" t="str" cm="1">
        <f t="array" ref="P2908">IF(N2908="","",IFERROR(_xlfn.XLOOKUP(F2908&amp;"|"&amp;J2908&amp;"|"&amp;O2908,PRICES!$C$2:$C$659&amp;"|"&amp;PRICES!$B$2:$B$659&amp;"|"&amp;PRICES!$D$2:$D$659,PRICES!$E$2:$E$659),"Not Found"))</f>
        <v/>
      </c>
      <c r="Q2908" s="100" t="str">
        <f>IF(N2908=0,"",SUMIFS(PRICES!$G$2:$G$658,PRICES!$B$2:$B$658,'MAIN TABLE-1 AUTOMATED'!J2908,PRICES!$C$2:$C$658,'MAIN TABLE-1 AUTOMATED'!F2908,PRICES!$D$2:$D$658,'MAIN TABLE-1 AUTOMATED'!O2908))</f>
        <v/>
      </c>
      <c r="R2908" s="41" t="str">
        <f>IF(Table1[[#This Row],[QUANTITY]]=0,"",Table1[[#This Row],[UNIT PRICE]]*Table1[[#This Row],[QUANTITY]])</f>
        <v/>
      </c>
      <c r="S2908" s="89"/>
      <c r="T2908" s="38"/>
      <c r="U2908" s="43"/>
      <c r="V2908" s="42" t="str">
        <f>IF(Table1[[#This Row],[DATE]]=0,"",YEAR(E2908))</f>
        <v/>
      </c>
      <c r="W2908" s="40" t="str">
        <f t="shared" si="94"/>
        <v/>
      </c>
      <c r="X2908" s="40" t="str">
        <f t="shared" si="95"/>
        <v/>
      </c>
      <c r="Y2908" s="40" t="str">
        <f>TEXT(Table1[[#This Row],[YEAR]],"0000")&amp;"-"&amp;Table1[[#This Row],[MONTH]]</f>
        <v>-</v>
      </c>
    </row>
    <row r="2909" spans="1:25" ht="15" customHeight="1" x14ac:dyDescent="0.35">
      <c r="A2909" s="24"/>
      <c r="B2909" s="38"/>
      <c r="C2909" s="38"/>
      <c r="D2909" s="38"/>
      <c r="E2909" s="37"/>
      <c r="F2909" s="38"/>
      <c r="G2909" s="198"/>
      <c r="H2909" s="198"/>
      <c r="I2909" s="39"/>
      <c r="J2909" s="38"/>
      <c r="K2909" s="198"/>
      <c r="L2909" s="38"/>
      <c r="M2909" s="38"/>
      <c r="N2909" s="38"/>
      <c r="O2909" s="38"/>
      <c r="P2909" s="40" t="str" cm="1">
        <f t="array" ref="P2909">IF(N2909="","",IFERROR(_xlfn.XLOOKUP(F2909&amp;"|"&amp;J2909&amp;"|"&amp;O2909,PRICES!$C$2:$C$659&amp;"|"&amp;PRICES!$B$2:$B$659&amp;"|"&amp;PRICES!$D$2:$D$659,PRICES!$E$2:$E$659),"Not Found"))</f>
        <v/>
      </c>
      <c r="Q2909" s="100" t="str">
        <f>IF(N2909=0,"",SUMIFS(PRICES!$G$2:$G$658,PRICES!$B$2:$B$658,'MAIN TABLE-1 AUTOMATED'!J2909,PRICES!$C$2:$C$658,'MAIN TABLE-1 AUTOMATED'!F2909,PRICES!$D$2:$D$658,'MAIN TABLE-1 AUTOMATED'!O2909))</f>
        <v/>
      </c>
      <c r="R2909" s="41" t="str">
        <f>IF(Table1[[#This Row],[QUANTITY]]=0,"",Table1[[#This Row],[UNIT PRICE]]*Table1[[#This Row],[QUANTITY]])</f>
        <v/>
      </c>
      <c r="S2909" s="89"/>
      <c r="T2909" s="38"/>
      <c r="U2909" s="43"/>
      <c r="V2909" s="42" t="str">
        <f>IF(Table1[[#This Row],[DATE]]=0,"",YEAR(E2909))</f>
        <v/>
      </c>
      <c r="W2909" s="40" t="str">
        <f t="shared" si="94"/>
        <v/>
      </c>
      <c r="X2909" s="40" t="str">
        <f t="shared" si="95"/>
        <v/>
      </c>
      <c r="Y2909" s="40" t="str">
        <f>TEXT(Table1[[#This Row],[YEAR]],"0000")&amp;"-"&amp;Table1[[#This Row],[MONTH]]</f>
        <v>-</v>
      </c>
    </row>
    <row r="2910" spans="1:25" ht="15" customHeight="1" x14ac:dyDescent="0.35">
      <c r="A2910" s="24"/>
      <c r="B2910" s="38"/>
      <c r="C2910" s="38"/>
      <c r="D2910" s="38"/>
      <c r="E2910" s="37"/>
      <c r="F2910" s="38"/>
      <c r="G2910" s="198"/>
      <c r="H2910" s="198"/>
      <c r="I2910" s="39"/>
      <c r="J2910" s="38"/>
      <c r="K2910" s="198"/>
      <c r="L2910" s="38"/>
      <c r="M2910" s="38"/>
      <c r="N2910" s="38"/>
      <c r="O2910" s="38"/>
      <c r="P2910" s="40" t="str" cm="1">
        <f t="array" ref="P2910">IF(N2910="","",IFERROR(_xlfn.XLOOKUP(F2910&amp;"|"&amp;J2910&amp;"|"&amp;O2910,PRICES!$C$2:$C$659&amp;"|"&amp;PRICES!$B$2:$B$659&amp;"|"&amp;PRICES!$D$2:$D$659,PRICES!$E$2:$E$659),"Not Found"))</f>
        <v/>
      </c>
      <c r="Q2910" s="100" t="str">
        <f>IF(N2910=0,"",SUMIFS(PRICES!$G$2:$G$658,PRICES!$B$2:$B$658,'MAIN TABLE-1 AUTOMATED'!J2910,PRICES!$C$2:$C$658,'MAIN TABLE-1 AUTOMATED'!F2910,PRICES!$D$2:$D$658,'MAIN TABLE-1 AUTOMATED'!O2910))</f>
        <v/>
      </c>
      <c r="R2910" s="41" t="str">
        <f>IF(Table1[[#This Row],[QUANTITY]]=0,"",Table1[[#This Row],[UNIT PRICE]]*Table1[[#This Row],[QUANTITY]])</f>
        <v/>
      </c>
      <c r="S2910" s="89"/>
      <c r="T2910" s="38"/>
      <c r="U2910" s="43"/>
      <c r="V2910" s="42" t="str">
        <f>IF(Table1[[#This Row],[DATE]]=0,"",YEAR(E2910))</f>
        <v/>
      </c>
      <c r="W2910" s="40" t="str">
        <f t="shared" si="94"/>
        <v/>
      </c>
      <c r="X2910" s="40" t="str">
        <f t="shared" si="95"/>
        <v/>
      </c>
      <c r="Y2910" s="40" t="str">
        <f>TEXT(Table1[[#This Row],[YEAR]],"0000")&amp;"-"&amp;Table1[[#This Row],[MONTH]]</f>
        <v>-</v>
      </c>
    </row>
    <row r="2911" spans="1:25" ht="15" customHeight="1" x14ac:dyDescent="0.35">
      <c r="A2911" s="24"/>
      <c r="B2911" s="38"/>
      <c r="C2911" s="38"/>
      <c r="D2911" s="38"/>
      <c r="E2911" s="37"/>
      <c r="F2911" s="38"/>
      <c r="G2911" s="198"/>
      <c r="H2911" s="198"/>
      <c r="I2911" s="39"/>
      <c r="J2911" s="38"/>
      <c r="K2911" s="198"/>
      <c r="L2911" s="38"/>
      <c r="M2911" s="38"/>
      <c r="N2911" s="38"/>
      <c r="O2911" s="38"/>
      <c r="P2911" s="40" t="str" cm="1">
        <f t="array" ref="P2911">IF(N2911="","",IFERROR(_xlfn.XLOOKUP(F2911&amp;"|"&amp;J2911&amp;"|"&amp;O2911,PRICES!$C$2:$C$659&amp;"|"&amp;PRICES!$B$2:$B$659&amp;"|"&amp;PRICES!$D$2:$D$659,PRICES!$E$2:$E$659),"Not Found"))</f>
        <v/>
      </c>
      <c r="Q2911" s="100" t="str">
        <f>IF(N2911=0,"",SUMIFS(PRICES!$G$2:$G$658,PRICES!$B$2:$B$658,'MAIN TABLE-1 AUTOMATED'!J2911,PRICES!$C$2:$C$658,'MAIN TABLE-1 AUTOMATED'!F2911,PRICES!$D$2:$D$658,'MAIN TABLE-1 AUTOMATED'!O2911))</f>
        <v/>
      </c>
      <c r="R2911" s="41" t="str">
        <f>IF(Table1[[#This Row],[QUANTITY]]=0,"",Table1[[#This Row],[UNIT PRICE]]*Table1[[#This Row],[QUANTITY]])</f>
        <v/>
      </c>
      <c r="S2911" s="89"/>
      <c r="T2911" s="38"/>
      <c r="U2911" s="43"/>
      <c r="V2911" s="42" t="str">
        <f>IF(Table1[[#This Row],[DATE]]=0,"",YEAR(E2911))</f>
        <v/>
      </c>
      <c r="W2911" s="40" t="str">
        <f t="shared" si="94"/>
        <v/>
      </c>
      <c r="X2911" s="40" t="str">
        <f t="shared" si="95"/>
        <v/>
      </c>
      <c r="Y2911" s="40" t="str">
        <f>TEXT(Table1[[#This Row],[YEAR]],"0000")&amp;"-"&amp;Table1[[#This Row],[MONTH]]</f>
        <v>-</v>
      </c>
    </row>
    <row r="2912" spans="1:25" ht="15" customHeight="1" x14ac:dyDescent="0.35">
      <c r="A2912" s="24"/>
      <c r="B2912" s="38"/>
      <c r="C2912" s="38"/>
      <c r="D2912" s="38"/>
      <c r="E2912" s="37"/>
      <c r="F2912" s="38"/>
      <c r="G2912" s="198"/>
      <c r="H2912" s="198"/>
      <c r="I2912" s="39"/>
      <c r="J2912" s="38"/>
      <c r="K2912" s="198"/>
      <c r="L2912" s="38"/>
      <c r="M2912" s="38"/>
      <c r="N2912" s="38"/>
      <c r="O2912" s="38"/>
      <c r="P2912" s="40" t="str" cm="1">
        <f t="array" ref="P2912">IF(N2912="","",IFERROR(_xlfn.XLOOKUP(F2912&amp;"|"&amp;J2912&amp;"|"&amp;O2912,PRICES!$C$2:$C$659&amp;"|"&amp;PRICES!$B$2:$B$659&amp;"|"&amp;PRICES!$D$2:$D$659,PRICES!$E$2:$E$659),"Not Found"))</f>
        <v/>
      </c>
      <c r="Q2912" s="100" t="str">
        <f>IF(N2912=0,"",SUMIFS(PRICES!$G$2:$G$658,PRICES!$B$2:$B$658,'MAIN TABLE-1 AUTOMATED'!J2912,PRICES!$C$2:$C$658,'MAIN TABLE-1 AUTOMATED'!F2912,PRICES!$D$2:$D$658,'MAIN TABLE-1 AUTOMATED'!O2912))</f>
        <v/>
      </c>
      <c r="R2912" s="41" t="str">
        <f>IF(Table1[[#This Row],[QUANTITY]]=0,"",Table1[[#This Row],[UNIT PRICE]]*Table1[[#This Row],[QUANTITY]])</f>
        <v/>
      </c>
      <c r="S2912" s="89"/>
      <c r="T2912" s="38"/>
      <c r="U2912" s="43"/>
      <c r="V2912" s="42" t="str">
        <f>IF(Table1[[#This Row],[DATE]]=0,"",YEAR(E2912))</f>
        <v/>
      </c>
      <c r="W2912" s="40" t="str">
        <f t="shared" si="94"/>
        <v/>
      </c>
      <c r="X2912" s="40" t="str">
        <f t="shared" si="95"/>
        <v/>
      </c>
      <c r="Y2912" s="40" t="str">
        <f>TEXT(Table1[[#This Row],[YEAR]],"0000")&amp;"-"&amp;Table1[[#This Row],[MONTH]]</f>
        <v>-</v>
      </c>
    </row>
    <row r="2913" spans="1:25" ht="15" customHeight="1" x14ac:dyDescent="0.35">
      <c r="A2913" s="24"/>
      <c r="B2913" s="38"/>
      <c r="C2913" s="38"/>
      <c r="D2913" s="38"/>
      <c r="E2913" s="37"/>
      <c r="F2913" s="38"/>
      <c r="G2913" s="198"/>
      <c r="H2913" s="198"/>
      <c r="I2913" s="39"/>
      <c r="J2913" s="38"/>
      <c r="K2913" s="198"/>
      <c r="L2913" s="38"/>
      <c r="M2913" s="38"/>
      <c r="N2913" s="38"/>
      <c r="O2913" s="38"/>
      <c r="P2913" s="40" t="str" cm="1">
        <f t="array" ref="P2913">IF(N2913="","",IFERROR(_xlfn.XLOOKUP(F2913&amp;"|"&amp;J2913&amp;"|"&amp;O2913,PRICES!$C$2:$C$659&amp;"|"&amp;PRICES!$B$2:$B$659&amp;"|"&amp;PRICES!$D$2:$D$659,PRICES!$E$2:$E$659),"Not Found"))</f>
        <v/>
      </c>
      <c r="Q2913" s="100" t="str">
        <f>IF(N2913=0,"",SUMIFS(PRICES!$G$2:$G$658,PRICES!$B$2:$B$658,'MAIN TABLE-1 AUTOMATED'!J2913,PRICES!$C$2:$C$658,'MAIN TABLE-1 AUTOMATED'!F2913,PRICES!$D$2:$D$658,'MAIN TABLE-1 AUTOMATED'!O2913))</f>
        <v/>
      </c>
      <c r="R2913" s="41" t="str">
        <f>IF(Table1[[#This Row],[QUANTITY]]=0,"",Table1[[#This Row],[UNIT PRICE]]*Table1[[#This Row],[QUANTITY]])</f>
        <v/>
      </c>
      <c r="S2913" s="89"/>
      <c r="T2913" s="38"/>
      <c r="U2913" s="43"/>
      <c r="V2913" s="42" t="str">
        <f>IF(Table1[[#This Row],[DATE]]=0,"",YEAR(E2913))</f>
        <v/>
      </c>
      <c r="W2913" s="40" t="str">
        <f t="shared" si="94"/>
        <v/>
      </c>
      <c r="X2913" s="40" t="str">
        <f t="shared" si="95"/>
        <v/>
      </c>
      <c r="Y2913" s="40" t="str">
        <f>TEXT(Table1[[#This Row],[YEAR]],"0000")&amp;"-"&amp;Table1[[#This Row],[MONTH]]</f>
        <v>-</v>
      </c>
    </row>
    <row r="2914" spans="1:25" ht="15" customHeight="1" x14ac:dyDescent="0.35">
      <c r="A2914" s="24"/>
      <c r="B2914" s="38"/>
      <c r="C2914" s="38"/>
      <c r="D2914" s="38"/>
      <c r="E2914" s="37"/>
      <c r="F2914" s="38"/>
      <c r="G2914" s="198"/>
      <c r="H2914" s="198"/>
      <c r="I2914" s="39"/>
      <c r="J2914" s="38"/>
      <c r="K2914" s="198"/>
      <c r="L2914" s="38"/>
      <c r="M2914" s="38"/>
      <c r="N2914" s="38"/>
      <c r="O2914" s="38"/>
      <c r="P2914" s="40" t="str" cm="1">
        <f t="array" ref="P2914">IF(N2914="","",IFERROR(_xlfn.XLOOKUP(F2914&amp;"|"&amp;J2914&amp;"|"&amp;O2914,PRICES!$C$2:$C$659&amp;"|"&amp;PRICES!$B$2:$B$659&amp;"|"&amp;PRICES!$D$2:$D$659,PRICES!$E$2:$E$659),"Not Found"))</f>
        <v/>
      </c>
      <c r="Q2914" s="100" t="str">
        <f>IF(N2914=0,"",SUMIFS(PRICES!$G$2:$G$658,PRICES!$B$2:$B$658,'MAIN TABLE-1 AUTOMATED'!J2914,PRICES!$C$2:$C$658,'MAIN TABLE-1 AUTOMATED'!F2914,PRICES!$D$2:$D$658,'MAIN TABLE-1 AUTOMATED'!O2914))</f>
        <v/>
      </c>
      <c r="R2914" s="41" t="str">
        <f>IF(Table1[[#This Row],[QUANTITY]]=0,"",Table1[[#This Row],[UNIT PRICE]]*Table1[[#This Row],[QUANTITY]])</f>
        <v/>
      </c>
      <c r="S2914" s="89"/>
      <c r="T2914" s="38"/>
      <c r="U2914" s="43"/>
      <c r="V2914" s="42" t="str">
        <f>IF(Table1[[#This Row],[DATE]]=0,"",YEAR(E2914))</f>
        <v/>
      </c>
      <c r="W2914" s="40" t="str">
        <f t="shared" si="94"/>
        <v/>
      </c>
      <c r="X2914" s="40" t="str">
        <f t="shared" si="95"/>
        <v/>
      </c>
      <c r="Y2914" s="40" t="str">
        <f>TEXT(Table1[[#This Row],[YEAR]],"0000")&amp;"-"&amp;Table1[[#This Row],[MONTH]]</f>
        <v>-</v>
      </c>
    </row>
    <row r="2915" spans="1:25" ht="15" customHeight="1" x14ac:dyDescent="0.35">
      <c r="A2915" s="24"/>
      <c r="B2915" s="38"/>
      <c r="C2915" s="38"/>
      <c r="D2915" s="38"/>
      <c r="E2915" s="37"/>
      <c r="F2915" s="38"/>
      <c r="G2915" s="198"/>
      <c r="H2915" s="198"/>
      <c r="I2915" s="39"/>
      <c r="J2915" s="38"/>
      <c r="K2915" s="198"/>
      <c r="L2915" s="38"/>
      <c r="M2915" s="38"/>
      <c r="N2915" s="38"/>
      <c r="O2915" s="38"/>
      <c r="P2915" s="40" t="str" cm="1">
        <f t="array" ref="P2915">IF(N2915="","",IFERROR(_xlfn.XLOOKUP(F2915&amp;"|"&amp;J2915&amp;"|"&amp;O2915,PRICES!$C$2:$C$659&amp;"|"&amp;PRICES!$B$2:$B$659&amp;"|"&amp;PRICES!$D$2:$D$659,PRICES!$E$2:$E$659),"Not Found"))</f>
        <v/>
      </c>
      <c r="Q2915" s="100" t="str">
        <f>IF(N2915=0,"",SUMIFS(PRICES!$G$2:$G$658,PRICES!$B$2:$B$658,'MAIN TABLE-1 AUTOMATED'!J2915,PRICES!$C$2:$C$658,'MAIN TABLE-1 AUTOMATED'!F2915,PRICES!$D$2:$D$658,'MAIN TABLE-1 AUTOMATED'!O2915))</f>
        <v/>
      </c>
      <c r="R2915" s="41" t="str">
        <f>IF(Table1[[#This Row],[QUANTITY]]=0,"",Table1[[#This Row],[UNIT PRICE]]*Table1[[#This Row],[QUANTITY]])</f>
        <v/>
      </c>
      <c r="S2915" s="89"/>
      <c r="T2915" s="38"/>
      <c r="U2915" s="43"/>
      <c r="V2915" s="42" t="str">
        <f>IF(Table1[[#This Row],[DATE]]=0,"",YEAR(E2915))</f>
        <v/>
      </c>
      <c r="W2915" s="40" t="str">
        <f t="shared" si="94"/>
        <v/>
      </c>
      <c r="X2915" s="40" t="str">
        <f t="shared" si="95"/>
        <v/>
      </c>
      <c r="Y2915" s="40" t="str">
        <f>TEXT(Table1[[#This Row],[YEAR]],"0000")&amp;"-"&amp;Table1[[#This Row],[MONTH]]</f>
        <v>-</v>
      </c>
    </row>
    <row r="2916" spans="1:25" ht="15" customHeight="1" x14ac:dyDescent="0.35">
      <c r="A2916" s="24"/>
      <c r="B2916" s="38"/>
      <c r="C2916" s="38"/>
      <c r="D2916" s="38"/>
      <c r="E2916" s="37"/>
      <c r="F2916" s="38"/>
      <c r="G2916" s="198"/>
      <c r="H2916" s="198"/>
      <c r="I2916" s="39"/>
      <c r="J2916" s="38"/>
      <c r="K2916" s="198"/>
      <c r="L2916" s="38"/>
      <c r="M2916" s="38"/>
      <c r="N2916" s="38"/>
      <c r="O2916" s="38"/>
      <c r="P2916" s="40" t="str" cm="1">
        <f t="array" ref="P2916">IF(N2916="","",IFERROR(_xlfn.XLOOKUP(F2916&amp;"|"&amp;J2916&amp;"|"&amp;O2916,PRICES!$C$2:$C$659&amp;"|"&amp;PRICES!$B$2:$B$659&amp;"|"&amp;PRICES!$D$2:$D$659,PRICES!$E$2:$E$659),"Not Found"))</f>
        <v/>
      </c>
      <c r="Q2916" s="100" t="str">
        <f>IF(N2916=0,"",SUMIFS(PRICES!$G$2:$G$658,PRICES!$B$2:$B$658,'MAIN TABLE-1 AUTOMATED'!J2916,PRICES!$C$2:$C$658,'MAIN TABLE-1 AUTOMATED'!F2916,PRICES!$D$2:$D$658,'MAIN TABLE-1 AUTOMATED'!O2916))</f>
        <v/>
      </c>
      <c r="R2916" s="41" t="str">
        <f>IF(Table1[[#This Row],[QUANTITY]]=0,"",Table1[[#This Row],[UNIT PRICE]]*Table1[[#This Row],[QUANTITY]])</f>
        <v/>
      </c>
      <c r="S2916" s="89"/>
      <c r="T2916" s="38"/>
      <c r="U2916" s="43"/>
      <c r="V2916" s="42" t="str">
        <f>IF(Table1[[#This Row],[DATE]]=0,"",YEAR(E2916))</f>
        <v/>
      </c>
      <c r="W2916" s="40" t="str">
        <f t="shared" si="94"/>
        <v/>
      </c>
      <c r="X2916" s="40" t="str">
        <f t="shared" si="95"/>
        <v/>
      </c>
      <c r="Y2916" s="40" t="str">
        <f>TEXT(Table1[[#This Row],[YEAR]],"0000")&amp;"-"&amp;Table1[[#This Row],[MONTH]]</f>
        <v>-</v>
      </c>
    </row>
    <row r="2917" spans="1:25" ht="15" customHeight="1" x14ac:dyDescent="0.35">
      <c r="A2917" s="24"/>
      <c r="B2917" s="38"/>
      <c r="C2917" s="38"/>
      <c r="D2917" s="38"/>
      <c r="E2917" s="37"/>
      <c r="F2917" s="38"/>
      <c r="G2917" s="198"/>
      <c r="H2917" s="198"/>
      <c r="I2917" s="39"/>
      <c r="J2917" s="38"/>
      <c r="K2917" s="198"/>
      <c r="L2917" s="38"/>
      <c r="M2917" s="38"/>
      <c r="N2917" s="38"/>
      <c r="O2917" s="38"/>
      <c r="P2917" s="40" t="str" cm="1">
        <f t="array" ref="P2917">IF(N2917="","",IFERROR(_xlfn.XLOOKUP(F2917&amp;"|"&amp;J2917&amp;"|"&amp;O2917,PRICES!$C$2:$C$659&amp;"|"&amp;PRICES!$B$2:$B$659&amp;"|"&amp;PRICES!$D$2:$D$659,PRICES!$E$2:$E$659),"Not Found"))</f>
        <v/>
      </c>
      <c r="Q2917" s="100" t="str">
        <f>IF(N2917=0,"",SUMIFS(PRICES!$G$2:$G$658,PRICES!$B$2:$B$658,'MAIN TABLE-1 AUTOMATED'!J2917,PRICES!$C$2:$C$658,'MAIN TABLE-1 AUTOMATED'!F2917,PRICES!$D$2:$D$658,'MAIN TABLE-1 AUTOMATED'!O2917))</f>
        <v/>
      </c>
      <c r="R2917" s="41" t="str">
        <f>IF(Table1[[#This Row],[QUANTITY]]=0,"",Table1[[#This Row],[UNIT PRICE]]*Table1[[#This Row],[QUANTITY]])</f>
        <v/>
      </c>
      <c r="S2917" s="89"/>
      <c r="T2917" s="38"/>
      <c r="U2917" s="43"/>
      <c r="V2917" s="42" t="str">
        <f>IF(Table1[[#This Row],[DATE]]=0,"",YEAR(E2917))</f>
        <v/>
      </c>
      <c r="W2917" s="40" t="str">
        <f t="shared" si="94"/>
        <v/>
      </c>
      <c r="X2917" s="40" t="str">
        <f t="shared" si="95"/>
        <v/>
      </c>
      <c r="Y2917" s="40" t="str">
        <f>TEXT(Table1[[#This Row],[YEAR]],"0000")&amp;"-"&amp;Table1[[#This Row],[MONTH]]</f>
        <v>-</v>
      </c>
    </row>
    <row r="2918" spans="1:25" ht="15" customHeight="1" x14ac:dyDescent="0.35">
      <c r="A2918" s="24"/>
      <c r="B2918" s="38"/>
      <c r="C2918" s="38"/>
      <c r="D2918" s="38"/>
      <c r="E2918" s="37"/>
      <c r="F2918" s="38"/>
      <c r="G2918" s="198"/>
      <c r="H2918" s="198"/>
      <c r="I2918" s="39"/>
      <c r="J2918" s="38"/>
      <c r="K2918" s="198"/>
      <c r="L2918" s="38"/>
      <c r="M2918" s="38"/>
      <c r="N2918" s="38"/>
      <c r="O2918" s="38"/>
      <c r="P2918" s="40" t="str" cm="1">
        <f t="array" ref="P2918">IF(N2918="","",IFERROR(_xlfn.XLOOKUP(F2918&amp;"|"&amp;J2918&amp;"|"&amp;O2918,PRICES!$C$2:$C$659&amp;"|"&amp;PRICES!$B$2:$B$659&amp;"|"&amp;PRICES!$D$2:$D$659,PRICES!$E$2:$E$659),"Not Found"))</f>
        <v/>
      </c>
      <c r="Q2918" s="100" t="str">
        <f>IF(N2918=0,"",SUMIFS(PRICES!$G$2:$G$658,PRICES!$B$2:$B$658,'MAIN TABLE-1 AUTOMATED'!J2918,PRICES!$C$2:$C$658,'MAIN TABLE-1 AUTOMATED'!F2918,PRICES!$D$2:$D$658,'MAIN TABLE-1 AUTOMATED'!O2918))</f>
        <v/>
      </c>
      <c r="R2918" s="41" t="str">
        <f>IF(Table1[[#This Row],[QUANTITY]]=0,"",Table1[[#This Row],[UNIT PRICE]]*Table1[[#This Row],[QUANTITY]])</f>
        <v/>
      </c>
      <c r="S2918" s="89"/>
      <c r="T2918" s="38"/>
      <c r="U2918" s="43"/>
      <c r="V2918" s="42" t="str">
        <f>IF(Table1[[#This Row],[DATE]]=0,"",YEAR(E2918))</f>
        <v/>
      </c>
      <c r="W2918" s="40" t="str">
        <f t="shared" si="94"/>
        <v/>
      </c>
      <c r="X2918" s="40" t="str">
        <f t="shared" si="95"/>
        <v/>
      </c>
      <c r="Y2918" s="40" t="str">
        <f>TEXT(Table1[[#This Row],[YEAR]],"0000")&amp;"-"&amp;Table1[[#This Row],[MONTH]]</f>
        <v>-</v>
      </c>
    </row>
    <row r="2919" spans="1:25" ht="15" customHeight="1" x14ac:dyDescent="0.35">
      <c r="A2919" s="24"/>
      <c r="B2919" s="38"/>
      <c r="C2919" s="38"/>
      <c r="D2919" s="38"/>
      <c r="E2919" s="37"/>
      <c r="F2919" s="38"/>
      <c r="G2919" s="198"/>
      <c r="H2919" s="198"/>
      <c r="I2919" s="39"/>
      <c r="J2919" s="38"/>
      <c r="K2919" s="198"/>
      <c r="L2919" s="38"/>
      <c r="M2919" s="38"/>
      <c r="N2919" s="38"/>
      <c r="O2919" s="38"/>
      <c r="P2919" s="40" t="str" cm="1">
        <f t="array" ref="P2919">IF(N2919="","",IFERROR(_xlfn.XLOOKUP(F2919&amp;"|"&amp;J2919&amp;"|"&amp;O2919,PRICES!$C$2:$C$659&amp;"|"&amp;PRICES!$B$2:$B$659&amp;"|"&amp;PRICES!$D$2:$D$659,PRICES!$E$2:$E$659),"Not Found"))</f>
        <v/>
      </c>
      <c r="Q2919" s="100" t="str">
        <f>IF(N2919=0,"",SUMIFS(PRICES!$G$2:$G$658,PRICES!$B$2:$B$658,'MAIN TABLE-1 AUTOMATED'!J2919,PRICES!$C$2:$C$658,'MAIN TABLE-1 AUTOMATED'!F2919,PRICES!$D$2:$D$658,'MAIN TABLE-1 AUTOMATED'!O2919))</f>
        <v/>
      </c>
      <c r="R2919" s="41" t="str">
        <f>IF(Table1[[#This Row],[QUANTITY]]=0,"",Table1[[#This Row],[UNIT PRICE]]*Table1[[#This Row],[QUANTITY]])</f>
        <v/>
      </c>
      <c r="S2919" s="89"/>
      <c r="T2919" s="38"/>
      <c r="U2919" s="43"/>
      <c r="V2919" s="42" t="str">
        <f>IF(Table1[[#This Row],[DATE]]=0,"",YEAR(E2919))</f>
        <v/>
      </c>
      <c r="W2919" s="40" t="str">
        <f t="shared" si="94"/>
        <v/>
      </c>
      <c r="X2919" s="40" t="str">
        <f t="shared" si="95"/>
        <v/>
      </c>
      <c r="Y2919" s="40" t="str">
        <f>TEXT(Table1[[#This Row],[YEAR]],"0000")&amp;"-"&amp;Table1[[#This Row],[MONTH]]</f>
        <v>-</v>
      </c>
    </row>
    <row r="2920" spans="1:25" ht="15" customHeight="1" x14ac:dyDescent="0.35">
      <c r="A2920" s="24"/>
      <c r="B2920" s="38"/>
      <c r="C2920" s="38"/>
      <c r="D2920" s="38"/>
      <c r="E2920" s="37"/>
      <c r="F2920" s="38"/>
      <c r="G2920" s="198"/>
      <c r="H2920" s="198"/>
      <c r="I2920" s="39"/>
      <c r="J2920" s="38"/>
      <c r="K2920" s="198"/>
      <c r="L2920" s="38"/>
      <c r="M2920" s="38"/>
      <c r="N2920" s="38"/>
      <c r="O2920" s="38"/>
      <c r="P2920" s="40" t="str" cm="1">
        <f t="array" ref="P2920">IF(N2920="","",IFERROR(_xlfn.XLOOKUP(F2920&amp;"|"&amp;J2920&amp;"|"&amp;O2920,PRICES!$C$2:$C$659&amp;"|"&amp;PRICES!$B$2:$B$659&amp;"|"&amp;PRICES!$D$2:$D$659,PRICES!$E$2:$E$659),"Not Found"))</f>
        <v/>
      </c>
      <c r="Q2920" s="100" t="str">
        <f>IF(N2920=0,"",SUMIFS(PRICES!$G$2:$G$658,PRICES!$B$2:$B$658,'MAIN TABLE-1 AUTOMATED'!J2920,PRICES!$C$2:$C$658,'MAIN TABLE-1 AUTOMATED'!F2920,PRICES!$D$2:$D$658,'MAIN TABLE-1 AUTOMATED'!O2920))</f>
        <v/>
      </c>
      <c r="R2920" s="41" t="str">
        <f>IF(Table1[[#This Row],[QUANTITY]]=0,"",Table1[[#This Row],[UNIT PRICE]]*Table1[[#This Row],[QUANTITY]])</f>
        <v/>
      </c>
      <c r="S2920" s="89"/>
      <c r="T2920" s="38"/>
      <c r="U2920" s="43"/>
      <c r="V2920" s="42" t="str">
        <f>IF(Table1[[#This Row],[DATE]]=0,"",YEAR(E2920))</f>
        <v/>
      </c>
      <c r="W2920" s="40" t="str">
        <f t="shared" si="94"/>
        <v/>
      </c>
      <c r="X2920" s="40" t="str">
        <f t="shared" si="95"/>
        <v/>
      </c>
      <c r="Y2920" s="40" t="str">
        <f>TEXT(Table1[[#This Row],[YEAR]],"0000")&amp;"-"&amp;Table1[[#This Row],[MONTH]]</f>
        <v>-</v>
      </c>
    </row>
    <row r="2921" spans="1:25" ht="15" customHeight="1" x14ac:dyDescent="0.35">
      <c r="A2921" s="24"/>
      <c r="B2921" s="38"/>
      <c r="C2921" s="38"/>
      <c r="D2921" s="38"/>
      <c r="E2921" s="37"/>
      <c r="F2921" s="38"/>
      <c r="G2921" s="198"/>
      <c r="H2921" s="198"/>
      <c r="I2921" s="39"/>
      <c r="J2921" s="38"/>
      <c r="K2921" s="198"/>
      <c r="L2921" s="38"/>
      <c r="M2921" s="38"/>
      <c r="N2921" s="38"/>
      <c r="O2921" s="38"/>
      <c r="P2921" s="40" t="str" cm="1">
        <f t="array" ref="P2921">IF(N2921="","",IFERROR(_xlfn.XLOOKUP(F2921&amp;"|"&amp;J2921&amp;"|"&amp;O2921,PRICES!$C$2:$C$659&amp;"|"&amp;PRICES!$B$2:$B$659&amp;"|"&amp;PRICES!$D$2:$D$659,PRICES!$E$2:$E$659),"Not Found"))</f>
        <v/>
      </c>
      <c r="Q2921" s="100" t="str">
        <f>IF(N2921=0,"",SUMIFS(PRICES!$G$2:$G$658,PRICES!$B$2:$B$658,'MAIN TABLE-1 AUTOMATED'!J2921,PRICES!$C$2:$C$658,'MAIN TABLE-1 AUTOMATED'!F2921,PRICES!$D$2:$D$658,'MAIN TABLE-1 AUTOMATED'!O2921))</f>
        <v/>
      </c>
      <c r="R2921" s="41" t="str">
        <f>IF(Table1[[#This Row],[QUANTITY]]=0,"",Table1[[#This Row],[UNIT PRICE]]*Table1[[#This Row],[QUANTITY]])</f>
        <v/>
      </c>
      <c r="S2921" s="89"/>
      <c r="T2921" s="38"/>
      <c r="U2921" s="43"/>
      <c r="V2921" s="42" t="str">
        <f>IF(Table1[[#This Row],[DATE]]=0,"",YEAR(E2921))</f>
        <v/>
      </c>
      <c r="W2921" s="40" t="str">
        <f t="shared" si="94"/>
        <v/>
      </c>
      <c r="X2921" s="40" t="str">
        <f t="shared" si="95"/>
        <v/>
      </c>
      <c r="Y2921" s="40" t="str">
        <f>TEXT(Table1[[#This Row],[YEAR]],"0000")&amp;"-"&amp;Table1[[#This Row],[MONTH]]</f>
        <v>-</v>
      </c>
    </row>
    <row r="2922" spans="1:25" ht="15" customHeight="1" x14ac:dyDescent="0.35">
      <c r="A2922" s="24"/>
      <c r="B2922" s="38"/>
      <c r="C2922" s="38"/>
      <c r="D2922" s="38"/>
      <c r="E2922" s="37"/>
      <c r="F2922" s="38"/>
      <c r="G2922" s="198"/>
      <c r="H2922" s="198"/>
      <c r="I2922" s="39"/>
      <c r="J2922" s="38"/>
      <c r="K2922" s="198"/>
      <c r="L2922" s="38"/>
      <c r="M2922" s="38"/>
      <c r="N2922" s="38"/>
      <c r="O2922" s="38"/>
      <c r="P2922" s="40" t="str" cm="1">
        <f t="array" ref="P2922">IF(N2922="","",IFERROR(_xlfn.XLOOKUP(F2922&amp;"|"&amp;J2922&amp;"|"&amp;O2922,PRICES!$C$2:$C$659&amp;"|"&amp;PRICES!$B$2:$B$659&amp;"|"&amp;PRICES!$D$2:$D$659,PRICES!$E$2:$E$659),"Not Found"))</f>
        <v/>
      </c>
      <c r="Q2922" s="100" t="str">
        <f>IF(N2922=0,"",SUMIFS(PRICES!$G$2:$G$658,PRICES!$B$2:$B$658,'MAIN TABLE-1 AUTOMATED'!J2922,PRICES!$C$2:$C$658,'MAIN TABLE-1 AUTOMATED'!F2922,PRICES!$D$2:$D$658,'MAIN TABLE-1 AUTOMATED'!O2922))</f>
        <v/>
      </c>
      <c r="R2922" s="41" t="str">
        <f>IF(Table1[[#This Row],[QUANTITY]]=0,"",Table1[[#This Row],[UNIT PRICE]]*Table1[[#This Row],[QUANTITY]])</f>
        <v/>
      </c>
      <c r="S2922" s="89"/>
      <c r="T2922" s="38"/>
      <c r="U2922" s="43"/>
      <c r="V2922" s="42" t="str">
        <f>IF(Table1[[#This Row],[DATE]]=0,"",YEAR(E2922))</f>
        <v/>
      </c>
      <c r="W2922" s="40" t="str">
        <f t="shared" si="94"/>
        <v/>
      </c>
      <c r="X2922" s="40" t="str">
        <f t="shared" si="95"/>
        <v/>
      </c>
      <c r="Y2922" s="40" t="str">
        <f>TEXT(Table1[[#This Row],[YEAR]],"0000")&amp;"-"&amp;Table1[[#This Row],[MONTH]]</f>
        <v>-</v>
      </c>
    </row>
    <row r="2923" spans="1:25" ht="15" customHeight="1" x14ac:dyDescent="0.35">
      <c r="A2923" s="24"/>
      <c r="B2923" s="38"/>
      <c r="C2923" s="38"/>
      <c r="D2923" s="38"/>
      <c r="E2923" s="37"/>
      <c r="F2923" s="38"/>
      <c r="G2923" s="198"/>
      <c r="H2923" s="198"/>
      <c r="I2923" s="39"/>
      <c r="J2923" s="38"/>
      <c r="K2923" s="198"/>
      <c r="L2923" s="38"/>
      <c r="M2923" s="38"/>
      <c r="N2923" s="38"/>
      <c r="O2923" s="38"/>
      <c r="P2923" s="40" t="str" cm="1">
        <f t="array" ref="P2923">IF(N2923="","",IFERROR(_xlfn.XLOOKUP(F2923&amp;"|"&amp;J2923&amp;"|"&amp;O2923,PRICES!$C$2:$C$659&amp;"|"&amp;PRICES!$B$2:$B$659&amp;"|"&amp;PRICES!$D$2:$D$659,PRICES!$E$2:$E$659),"Not Found"))</f>
        <v/>
      </c>
      <c r="Q2923" s="100" t="str">
        <f>IF(N2923=0,"",SUMIFS(PRICES!$G$2:$G$658,PRICES!$B$2:$B$658,'MAIN TABLE-1 AUTOMATED'!J2923,PRICES!$C$2:$C$658,'MAIN TABLE-1 AUTOMATED'!F2923,PRICES!$D$2:$D$658,'MAIN TABLE-1 AUTOMATED'!O2923))</f>
        <v/>
      </c>
      <c r="R2923" s="41" t="str">
        <f>IF(Table1[[#This Row],[QUANTITY]]=0,"",Table1[[#This Row],[UNIT PRICE]]*Table1[[#This Row],[QUANTITY]])</f>
        <v/>
      </c>
      <c r="S2923" s="89"/>
      <c r="T2923" s="38"/>
      <c r="U2923" s="43"/>
      <c r="V2923" s="42" t="str">
        <f>IF(Table1[[#This Row],[DATE]]=0,"",YEAR(E2923))</f>
        <v/>
      </c>
      <c r="W2923" s="40" t="str">
        <f t="shared" si="94"/>
        <v/>
      </c>
      <c r="X2923" s="40" t="str">
        <f t="shared" si="95"/>
        <v/>
      </c>
      <c r="Y2923" s="40" t="str">
        <f>TEXT(Table1[[#This Row],[YEAR]],"0000")&amp;"-"&amp;Table1[[#This Row],[MONTH]]</f>
        <v>-</v>
      </c>
    </row>
    <row r="2924" spans="1:25" ht="15" customHeight="1" x14ac:dyDescent="0.35">
      <c r="A2924" s="24"/>
      <c r="B2924" s="38"/>
      <c r="C2924" s="38"/>
      <c r="D2924" s="38"/>
      <c r="E2924" s="37"/>
      <c r="F2924" s="38"/>
      <c r="G2924" s="198"/>
      <c r="H2924" s="198"/>
      <c r="I2924" s="39"/>
      <c r="J2924" s="38"/>
      <c r="K2924" s="198"/>
      <c r="L2924" s="38"/>
      <c r="M2924" s="38"/>
      <c r="N2924" s="38"/>
      <c r="O2924" s="38"/>
      <c r="P2924" s="40" t="str" cm="1">
        <f t="array" ref="P2924">IF(N2924="","",IFERROR(_xlfn.XLOOKUP(F2924&amp;"|"&amp;J2924&amp;"|"&amp;O2924,PRICES!$C$2:$C$659&amp;"|"&amp;PRICES!$B$2:$B$659&amp;"|"&amp;PRICES!$D$2:$D$659,PRICES!$E$2:$E$659),"Not Found"))</f>
        <v/>
      </c>
      <c r="Q2924" s="100" t="str">
        <f>IF(N2924=0,"",SUMIFS(PRICES!$G$2:$G$658,PRICES!$B$2:$B$658,'MAIN TABLE-1 AUTOMATED'!J2924,PRICES!$C$2:$C$658,'MAIN TABLE-1 AUTOMATED'!F2924,PRICES!$D$2:$D$658,'MAIN TABLE-1 AUTOMATED'!O2924))</f>
        <v/>
      </c>
      <c r="R2924" s="41" t="str">
        <f>IF(Table1[[#This Row],[QUANTITY]]=0,"",Table1[[#This Row],[UNIT PRICE]]*Table1[[#This Row],[QUANTITY]])</f>
        <v/>
      </c>
      <c r="S2924" s="89"/>
      <c r="T2924" s="38"/>
      <c r="U2924" s="43"/>
      <c r="V2924" s="42" t="str">
        <f>IF(Table1[[#This Row],[DATE]]=0,"",YEAR(E2924))</f>
        <v/>
      </c>
      <c r="W2924" s="40" t="str">
        <f t="shared" si="94"/>
        <v/>
      </c>
      <c r="X2924" s="40" t="str">
        <f t="shared" si="95"/>
        <v/>
      </c>
      <c r="Y2924" s="40" t="str">
        <f>TEXT(Table1[[#This Row],[YEAR]],"0000")&amp;"-"&amp;Table1[[#This Row],[MONTH]]</f>
        <v>-</v>
      </c>
    </row>
    <row r="2925" spans="1:25" ht="15" customHeight="1" x14ac:dyDescent="0.35">
      <c r="A2925" s="24"/>
      <c r="B2925" s="38"/>
      <c r="C2925" s="38"/>
      <c r="D2925" s="38"/>
      <c r="E2925" s="37"/>
      <c r="F2925" s="38"/>
      <c r="G2925" s="198"/>
      <c r="H2925" s="198"/>
      <c r="I2925" s="39"/>
      <c r="J2925" s="38"/>
      <c r="K2925" s="198"/>
      <c r="L2925" s="38"/>
      <c r="M2925" s="38"/>
      <c r="N2925" s="38"/>
      <c r="O2925" s="38"/>
      <c r="P2925" s="40" t="str" cm="1">
        <f t="array" ref="P2925">IF(N2925="","",IFERROR(_xlfn.XLOOKUP(F2925&amp;"|"&amp;J2925&amp;"|"&amp;O2925,PRICES!$C$2:$C$659&amp;"|"&amp;PRICES!$B$2:$B$659&amp;"|"&amp;PRICES!$D$2:$D$659,PRICES!$E$2:$E$659),"Not Found"))</f>
        <v/>
      </c>
      <c r="Q2925" s="100" t="str">
        <f>IF(N2925=0,"",SUMIFS(PRICES!$G$2:$G$658,PRICES!$B$2:$B$658,'MAIN TABLE-1 AUTOMATED'!J2925,PRICES!$C$2:$C$658,'MAIN TABLE-1 AUTOMATED'!F2925,PRICES!$D$2:$D$658,'MAIN TABLE-1 AUTOMATED'!O2925))</f>
        <v/>
      </c>
      <c r="R2925" s="41" t="str">
        <f>IF(Table1[[#This Row],[QUANTITY]]=0,"",Table1[[#This Row],[UNIT PRICE]]*Table1[[#This Row],[QUANTITY]])</f>
        <v/>
      </c>
      <c r="S2925" s="89"/>
      <c r="T2925" s="38"/>
      <c r="U2925" s="43"/>
      <c r="V2925" s="42" t="str">
        <f>IF(Table1[[#This Row],[DATE]]=0,"",YEAR(E2925))</f>
        <v/>
      </c>
      <c r="W2925" s="40" t="str">
        <f t="shared" si="94"/>
        <v/>
      </c>
      <c r="X2925" s="40" t="str">
        <f t="shared" si="95"/>
        <v/>
      </c>
      <c r="Y2925" s="40" t="str">
        <f>TEXT(Table1[[#This Row],[YEAR]],"0000")&amp;"-"&amp;Table1[[#This Row],[MONTH]]</f>
        <v>-</v>
      </c>
    </row>
    <row r="2926" spans="1:25" ht="15" customHeight="1" x14ac:dyDescent="0.35">
      <c r="A2926" s="24"/>
      <c r="B2926" s="38"/>
      <c r="C2926" s="38"/>
      <c r="D2926" s="38"/>
      <c r="E2926" s="37"/>
      <c r="F2926" s="38"/>
      <c r="G2926" s="198"/>
      <c r="H2926" s="198"/>
      <c r="I2926" s="39"/>
      <c r="J2926" s="38"/>
      <c r="K2926" s="198"/>
      <c r="L2926" s="38"/>
      <c r="M2926" s="38"/>
      <c r="N2926" s="38"/>
      <c r="O2926" s="38"/>
      <c r="P2926" s="40" t="str" cm="1">
        <f t="array" ref="P2926">IF(N2926="","",IFERROR(_xlfn.XLOOKUP(F2926&amp;"|"&amp;J2926&amp;"|"&amp;O2926,PRICES!$C$2:$C$659&amp;"|"&amp;PRICES!$B$2:$B$659&amp;"|"&amp;PRICES!$D$2:$D$659,PRICES!$E$2:$E$659),"Not Found"))</f>
        <v/>
      </c>
      <c r="Q2926" s="100" t="str">
        <f>IF(N2926=0,"",SUMIFS(PRICES!$G$2:$G$658,PRICES!$B$2:$B$658,'MAIN TABLE-1 AUTOMATED'!J2926,PRICES!$C$2:$C$658,'MAIN TABLE-1 AUTOMATED'!F2926,PRICES!$D$2:$D$658,'MAIN TABLE-1 AUTOMATED'!O2926))</f>
        <v/>
      </c>
      <c r="R2926" s="41" t="str">
        <f>IF(Table1[[#This Row],[QUANTITY]]=0,"",Table1[[#This Row],[UNIT PRICE]]*Table1[[#This Row],[QUANTITY]])</f>
        <v/>
      </c>
      <c r="S2926" s="89"/>
      <c r="T2926" s="38"/>
      <c r="U2926" s="43"/>
      <c r="V2926" s="42" t="str">
        <f>IF(Table1[[#This Row],[DATE]]=0,"",YEAR(E2926))</f>
        <v/>
      </c>
      <c r="W2926" s="40" t="str">
        <f t="shared" si="94"/>
        <v/>
      </c>
      <c r="X2926" s="40" t="str">
        <f t="shared" si="95"/>
        <v/>
      </c>
      <c r="Y2926" s="40" t="str">
        <f>TEXT(Table1[[#This Row],[YEAR]],"0000")&amp;"-"&amp;Table1[[#This Row],[MONTH]]</f>
        <v>-</v>
      </c>
    </row>
    <row r="2927" spans="1:25" ht="15" customHeight="1" x14ac:dyDescent="0.35">
      <c r="A2927" s="24"/>
      <c r="B2927" s="38"/>
      <c r="C2927" s="38"/>
      <c r="D2927" s="38"/>
      <c r="E2927" s="37"/>
      <c r="F2927" s="38"/>
      <c r="G2927" s="198"/>
      <c r="H2927" s="198"/>
      <c r="I2927" s="39"/>
      <c r="J2927" s="38"/>
      <c r="K2927" s="198"/>
      <c r="L2927" s="38"/>
      <c r="M2927" s="38"/>
      <c r="N2927" s="38"/>
      <c r="O2927" s="38"/>
      <c r="P2927" s="40" t="str" cm="1">
        <f t="array" ref="P2927">IF(N2927="","",IFERROR(_xlfn.XLOOKUP(F2927&amp;"|"&amp;J2927&amp;"|"&amp;O2927,PRICES!$C$2:$C$659&amp;"|"&amp;PRICES!$B$2:$B$659&amp;"|"&amp;PRICES!$D$2:$D$659,PRICES!$E$2:$E$659),"Not Found"))</f>
        <v/>
      </c>
      <c r="Q2927" s="100" t="str">
        <f>IF(N2927=0,"",SUMIFS(PRICES!$G$2:$G$658,PRICES!$B$2:$B$658,'MAIN TABLE-1 AUTOMATED'!J2927,PRICES!$C$2:$C$658,'MAIN TABLE-1 AUTOMATED'!F2927,PRICES!$D$2:$D$658,'MAIN TABLE-1 AUTOMATED'!O2927))</f>
        <v/>
      </c>
      <c r="R2927" s="41" t="str">
        <f>IF(Table1[[#This Row],[QUANTITY]]=0,"",Table1[[#This Row],[UNIT PRICE]]*Table1[[#This Row],[QUANTITY]])</f>
        <v/>
      </c>
      <c r="S2927" s="89"/>
      <c r="T2927" s="38"/>
      <c r="U2927" s="43"/>
      <c r="V2927" s="42" t="str">
        <f>IF(Table1[[#This Row],[DATE]]=0,"",YEAR(E2927))</f>
        <v/>
      </c>
      <c r="W2927" s="40" t="str">
        <f t="shared" si="94"/>
        <v/>
      </c>
      <c r="X2927" s="40" t="str">
        <f t="shared" si="95"/>
        <v/>
      </c>
      <c r="Y2927" s="40" t="str">
        <f>TEXT(Table1[[#This Row],[YEAR]],"0000")&amp;"-"&amp;Table1[[#This Row],[MONTH]]</f>
        <v>-</v>
      </c>
    </row>
    <row r="2928" spans="1:25" ht="15" customHeight="1" x14ac:dyDescent="0.35">
      <c r="A2928" s="24"/>
      <c r="B2928" s="38"/>
      <c r="C2928" s="38"/>
      <c r="D2928" s="38"/>
      <c r="E2928" s="37"/>
      <c r="F2928" s="38"/>
      <c r="G2928" s="198"/>
      <c r="H2928" s="198"/>
      <c r="I2928" s="39"/>
      <c r="J2928" s="38"/>
      <c r="K2928" s="198"/>
      <c r="L2928" s="38"/>
      <c r="M2928" s="38"/>
      <c r="N2928" s="38"/>
      <c r="O2928" s="38"/>
      <c r="P2928" s="40" t="str" cm="1">
        <f t="array" ref="P2928">IF(N2928="","",IFERROR(_xlfn.XLOOKUP(F2928&amp;"|"&amp;J2928&amp;"|"&amp;O2928,PRICES!$C$2:$C$659&amp;"|"&amp;PRICES!$B$2:$B$659&amp;"|"&amp;PRICES!$D$2:$D$659,PRICES!$E$2:$E$659),"Not Found"))</f>
        <v/>
      </c>
      <c r="Q2928" s="100" t="str">
        <f>IF(N2928=0,"",SUMIFS(PRICES!$G$2:$G$658,PRICES!$B$2:$B$658,'MAIN TABLE-1 AUTOMATED'!J2928,PRICES!$C$2:$C$658,'MAIN TABLE-1 AUTOMATED'!F2928,PRICES!$D$2:$D$658,'MAIN TABLE-1 AUTOMATED'!O2928))</f>
        <v/>
      </c>
      <c r="R2928" s="41" t="str">
        <f>IF(Table1[[#This Row],[QUANTITY]]=0,"",Table1[[#This Row],[UNIT PRICE]]*Table1[[#This Row],[QUANTITY]])</f>
        <v/>
      </c>
      <c r="S2928" s="89"/>
      <c r="T2928" s="38"/>
      <c r="U2928" s="43"/>
      <c r="V2928" s="42" t="str">
        <f>IF(Table1[[#This Row],[DATE]]=0,"",YEAR(E2928))</f>
        <v/>
      </c>
      <c r="W2928" s="40" t="str">
        <f t="shared" si="94"/>
        <v/>
      </c>
      <c r="X2928" s="40" t="str">
        <f t="shared" si="95"/>
        <v/>
      </c>
      <c r="Y2928" s="40" t="str">
        <f>TEXT(Table1[[#This Row],[YEAR]],"0000")&amp;"-"&amp;Table1[[#This Row],[MONTH]]</f>
        <v>-</v>
      </c>
    </row>
    <row r="2929" spans="1:25" ht="15" customHeight="1" x14ac:dyDescent="0.35">
      <c r="A2929" s="24"/>
      <c r="B2929" s="38"/>
      <c r="C2929" s="38"/>
      <c r="D2929" s="38"/>
      <c r="E2929" s="37"/>
      <c r="F2929" s="38"/>
      <c r="G2929" s="198"/>
      <c r="H2929" s="198"/>
      <c r="I2929" s="39"/>
      <c r="J2929" s="38"/>
      <c r="K2929" s="198"/>
      <c r="L2929" s="38"/>
      <c r="M2929" s="38"/>
      <c r="N2929" s="38"/>
      <c r="O2929" s="38"/>
      <c r="P2929" s="40" t="str" cm="1">
        <f t="array" ref="P2929">IF(N2929="","",IFERROR(_xlfn.XLOOKUP(F2929&amp;"|"&amp;J2929&amp;"|"&amp;O2929,PRICES!$C$2:$C$659&amp;"|"&amp;PRICES!$B$2:$B$659&amp;"|"&amp;PRICES!$D$2:$D$659,PRICES!$E$2:$E$659),"Not Found"))</f>
        <v/>
      </c>
      <c r="Q2929" s="100" t="str">
        <f>IF(N2929=0,"",SUMIFS(PRICES!$G$2:$G$658,PRICES!$B$2:$B$658,'MAIN TABLE-1 AUTOMATED'!J2929,PRICES!$C$2:$C$658,'MAIN TABLE-1 AUTOMATED'!F2929,PRICES!$D$2:$D$658,'MAIN TABLE-1 AUTOMATED'!O2929))</f>
        <v/>
      </c>
      <c r="R2929" s="41" t="str">
        <f>IF(Table1[[#This Row],[QUANTITY]]=0,"",Table1[[#This Row],[UNIT PRICE]]*Table1[[#This Row],[QUANTITY]])</f>
        <v/>
      </c>
      <c r="S2929" s="89"/>
      <c r="T2929" s="38"/>
      <c r="U2929" s="43"/>
      <c r="V2929" s="42" t="str">
        <f>IF(Table1[[#This Row],[DATE]]=0,"",YEAR(E2929))</f>
        <v/>
      </c>
      <c r="W2929" s="40" t="str">
        <f t="shared" si="94"/>
        <v/>
      </c>
      <c r="X2929" s="40" t="str">
        <f t="shared" si="95"/>
        <v/>
      </c>
      <c r="Y2929" s="40" t="str">
        <f>TEXT(Table1[[#This Row],[YEAR]],"0000")&amp;"-"&amp;Table1[[#This Row],[MONTH]]</f>
        <v>-</v>
      </c>
    </row>
    <row r="2930" spans="1:25" ht="15" customHeight="1" x14ac:dyDescent="0.35">
      <c r="A2930" s="24"/>
      <c r="B2930" s="38"/>
      <c r="C2930" s="38"/>
      <c r="D2930" s="38"/>
      <c r="E2930" s="37"/>
      <c r="F2930" s="38"/>
      <c r="G2930" s="198"/>
      <c r="H2930" s="198"/>
      <c r="I2930" s="39"/>
      <c r="J2930" s="38"/>
      <c r="K2930" s="198"/>
      <c r="L2930" s="38"/>
      <c r="M2930" s="38"/>
      <c r="N2930" s="38"/>
      <c r="O2930" s="38"/>
      <c r="P2930" s="40" t="str" cm="1">
        <f t="array" ref="P2930">IF(N2930="","",IFERROR(_xlfn.XLOOKUP(F2930&amp;"|"&amp;J2930&amp;"|"&amp;O2930,PRICES!$C$2:$C$659&amp;"|"&amp;PRICES!$B$2:$B$659&amp;"|"&amp;PRICES!$D$2:$D$659,PRICES!$E$2:$E$659),"Not Found"))</f>
        <v/>
      </c>
      <c r="Q2930" s="100" t="str">
        <f>IF(N2930=0,"",SUMIFS(PRICES!$G$2:$G$658,PRICES!$B$2:$B$658,'MAIN TABLE-1 AUTOMATED'!J2930,PRICES!$C$2:$C$658,'MAIN TABLE-1 AUTOMATED'!F2930,PRICES!$D$2:$D$658,'MAIN TABLE-1 AUTOMATED'!O2930))</f>
        <v/>
      </c>
      <c r="R2930" s="41" t="str">
        <f>IF(Table1[[#This Row],[QUANTITY]]=0,"",Table1[[#This Row],[UNIT PRICE]]*Table1[[#This Row],[QUANTITY]])</f>
        <v/>
      </c>
      <c r="S2930" s="89"/>
      <c r="T2930" s="38"/>
      <c r="U2930" s="43"/>
      <c r="V2930" s="42" t="str">
        <f>IF(Table1[[#This Row],[DATE]]=0,"",YEAR(E2930))</f>
        <v/>
      </c>
      <c r="W2930" s="40" t="str">
        <f t="shared" si="94"/>
        <v/>
      </c>
      <c r="X2930" s="40" t="str">
        <f t="shared" si="95"/>
        <v/>
      </c>
      <c r="Y2930" s="40" t="str">
        <f>TEXT(Table1[[#This Row],[YEAR]],"0000")&amp;"-"&amp;Table1[[#This Row],[MONTH]]</f>
        <v>-</v>
      </c>
    </row>
    <row r="2931" spans="1:25" ht="15" customHeight="1" x14ac:dyDescent="0.35">
      <c r="A2931" s="24"/>
      <c r="B2931" s="38"/>
      <c r="C2931" s="38"/>
      <c r="D2931" s="38"/>
      <c r="E2931" s="37"/>
      <c r="F2931" s="38"/>
      <c r="G2931" s="198"/>
      <c r="H2931" s="198"/>
      <c r="I2931" s="39"/>
      <c r="J2931" s="38"/>
      <c r="K2931" s="198"/>
      <c r="L2931" s="38"/>
      <c r="M2931" s="38"/>
      <c r="N2931" s="38"/>
      <c r="O2931" s="38"/>
      <c r="P2931" s="40" t="str" cm="1">
        <f t="array" ref="P2931">IF(N2931="","",IFERROR(_xlfn.XLOOKUP(F2931&amp;"|"&amp;J2931&amp;"|"&amp;O2931,PRICES!$C$2:$C$659&amp;"|"&amp;PRICES!$B$2:$B$659&amp;"|"&amp;PRICES!$D$2:$D$659,PRICES!$E$2:$E$659),"Not Found"))</f>
        <v/>
      </c>
      <c r="Q2931" s="100" t="str">
        <f>IF(N2931=0,"",SUMIFS(PRICES!$G$2:$G$658,PRICES!$B$2:$B$658,'MAIN TABLE-1 AUTOMATED'!J2931,PRICES!$C$2:$C$658,'MAIN TABLE-1 AUTOMATED'!F2931,PRICES!$D$2:$D$658,'MAIN TABLE-1 AUTOMATED'!O2931))</f>
        <v/>
      </c>
      <c r="R2931" s="41" t="str">
        <f>IF(Table1[[#This Row],[QUANTITY]]=0,"",Table1[[#This Row],[UNIT PRICE]]*Table1[[#This Row],[QUANTITY]])</f>
        <v/>
      </c>
      <c r="S2931" s="89"/>
      <c r="T2931" s="38"/>
      <c r="U2931" s="43"/>
      <c r="V2931" s="42" t="str">
        <f>IF(Table1[[#This Row],[DATE]]=0,"",YEAR(E2931))</f>
        <v/>
      </c>
      <c r="W2931" s="40" t="str">
        <f t="shared" si="94"/>
        <v/>
      </c>
      <c r="X2931" s="40" t="str">
        <f t="shared" si="95"/>
        <v/>
      </c>
      <c r="Y2931" s="40" t="str">
        <f>TEXT(Table1[[#This Row],[YEAR]],"0000")&amp;"-"&amp;Table1[[#This Row],[MONTH]]</f>
        <v>-</v>
      </c>
    </row>
    <row r="2932" spans="1:25" ht="15" customHeight="1" x14ac:dyDescent="0.35">
      <c r="A2932" s="24"/>
      <c r="B2932" s="38"/>
      <c r="C2932" s="38"/>
      <c r="D2932" s="38"/>
      <c r="E2932" s="37"/>
      <c r="F2932" s="38"/>
      <c r="G2932" s="198"/>
      <c r="H2932" s="198"/>
      <c r="I2932" s="39"/>
      <c r="J2932" s="38"/>
      <c r="K2932" s="198"/>
      <c r="L2932" s="38"/>
      <c r="M2932" s="38"/>
      <c r="N2932" s="38"/>
      <c r="O2932" s="38"/>
      <c r="P2932" s="40" t="str" cm="1">
        <f t="array" ref="P2932">IF(N2932="","",IFERROR(_xlfn.XLOOKUP(F2932&amp;"|"&amp;J2932&amp;"|"&amp;O2932,PRICES!$C$2:$C$659&amp;"|"&amp;PRICES!$B$2:$B$659&amp;"|"&amp;PRICES!$D$2:$D$659,PRICES!$E$2:$E$659),"Not Found"))</f>
        <v/>
      </c>
      <c r="Q2932" s="100" t="str">
        <f>IF(N2932=0,"",SUMIFS(PRICES!$G$2:$G$658,PRICES!$B$2:$B$658,'MAIN TABLE-1 AUTOMATED'!J2932,PRICES!$C$2:$C$658,'MAIN TABLE-1 AUTOMATED'!F2932,PRICES!$D$2:$D$658,'MAIN TABLE-1 AUTOMATED'!O2932))</f>
        <v/>
      </c>
      <c r="R2932" s="41" t="str">
        <f>IF(Table1[[#This Row],[QUANTITY]]=0,"",Table1[[#This Row],[UNIT PRICE]]*Table1[[#This Row],[QUANTITY]])</f>
        <v/>
      </c>
      <c r="S2932" s="89"/>
      <c r="T2932" s="38"/>
      <c r="U2932" s="43"/>
      <c r="V2932" s="42" t="str">
        <f>IF(Table1[[#This Row],[DATE]]=0,"",YEAR(E2932))</f>
        <v/>
      </c>
      <c r="W2932" s="40" t="str">
        <f t="shared" si="94"/>
        <v/>
      </c>
      <c r="X2932" s="40" t="str">
        <f t="shared" si="95"/>
        <v/>
      </c>
      <c r="Y2932" s="40" t="str">
        <f>TEXT(Table1[[#This Row],[YEAR]],"0000")&amp;"-"&amp;Table1[[#This Row],[MONTH]]</f>
        <v>-</v>
      </c>
    </row>
    <row r="2933" spans="1:25" ht="15" customHeight="1" x14ac:dyDescent="0.35">
      <c r="A2933" s="24"/>
      <c r="B2933" s="38"/>
      <c r="C2933" s="38"/>
      <c r="D2933" s="38"/>
      <c r="E2933" s="37"/>
      <c r="F2933" s="38"/>
      <c r="G2933" s="198"/>
      <c r="H2933" s="198"/>
      <c r="I2933" s="39"/>
      <c r="J2933" s="38"/>
      <c r="K2933" s="198"/>
      <c r="L2933" s="38"/>
      <c r="M2933" s="38"/>
      <c r="N2933" s="38"/>
      <c r="O2933" s="38"/>
      <c r="P2933" s="40" t="str" cm="1">
        <f t="array" ref="P2933">IF(N2933="","",IFERROR(_xlfn.XLOOKUP(F2933&amp;"|"&amp;J2933&amp;"|"&amp;O2933,PRICES!$C$2:$C$659&amp;"|"&amp;PRICES!$B$2:$B$659&amp;"|"&amp;PRICES!$D$2:$D$659,PRICES!$E$2:$E$659),"Not Found"))</f>
        <v/>
      </c>
      <c r="Q2933" s="100" t="str">
        <f>IF(N2933=0,"",SUMIFS(PRICES!$G$2:$G$658,PRICES!$B$2:$B$658,'MAIN TABLE-1 AUTOMATED'!J2933,PRICES!$C$2:$C$658,'MAIN TABLE-1 AUTOMATED'!F2933,PRICES!$D$2:$D$658,'MAIN TABLE-1 AUTOMATED'!O2933))</f>
        <v/>
      </c>
      <c r="R2933" s="41" t="str">
        <f>IF(Table1[[#This Row],[QUANTITY]]=0,"",Table1[[#This Row],[UNIT PRICE]]*Table1[[#This Row],[QUANTITY]])</f>
        <v/>
      </c>
      <c r="S2933" s="89"/>
      <c r="T2933" s="38"/>
      <c r="U2933" s="43"/>
      <c r="V2933" s="42" t="str">
        <f>IF(Table1[[#This Row],[DATE]]=0,"",YEAR(E2933))</f>
        <v/>
      </c>
      <c r="W2933" s="40" t="str">
        <f t="shared" si="94"/>
        <v/>
      </c>
      <c r="X2933" s="40" t="str">
        <f t="shared" si="95"/>
        <v/>
      </c>
      <c r="Y2933" s="40" t="str">
        <f>TEXT(Table1[[#This Row],[YEAR]],"0000")&amp;"-"&amp;Table1[[#This Row],[MONTH]]</f>
        <v>-</v>
      </c>
    </row>
    <row r="2934" spans="1:25" ht="15" customHeight="1" x14ac:dyDescent="0.35">
      <c r="A2934" s="24"/>
      <c r="B2934" s="38"/>
      <c r="C2934" s="38"/>
      <c r="D2934" s="38"/>
      <c r="E2934" s="37"/>
      <c r="F2934" s="38"/>
      <c r="G2934" s="198"/>
      <c r="H2934" s="198"/>
      <c r="I2934" s="39"/>
      <c r="J2934" s="38"/>
      <c r="K2934" s="198"/>
      <c r="L2934" s="38"/>
      <c r="M2934" s="38"/>
      <c r="N2934" s="38"/>
      <c r="O2934" s="38"/>
      <c r="P2934" s="40" t="str" cm="1">
        <f t="array" ref="P2934">IF(N2934="","",IFERROR(_xlfn.XLOOKUP(F2934&amp;"|"&amp;J2934&amp;"|"&amp;O2934,PRICES!$C$2:$C$659&amp;"|"&amp;PRICES!$B$2:$B$659&amp;"|"&amp;PRICES!$D$2:$D$659,PRICES!$E$2:$E$659),"Not Found"))</f>
        <v/>
      </c>
      <c r="Q2934" s="100" t="str">
        <f>IF(N2934=0,"",SUMIFS(PRICES!$G$2:$G$658,PRICES!$B$2:$B$658,'MAIN TABLE-1 AUTOMATED'!J2934,PRICES!$C$2:$C$658,'MAIN TABLE-1 AUTOMATED'!F2934,PRICES!$D$2:$D$658,'MAIN TABLE-1 AUTOMATED'!O2934))</f>
        <v/>
      </c>
      <c r="R2934" s="41" t="str">
        <f>IF(Table1[[#This Row],[QUANTITY]]=0,"",Table1[[#This Row],[UNIT PRICE]]*Table1[[#This Row],[QUANTITY]])</f>
        <v/>
      </c>
      <c r="S2934" s="89"/>
      <c r="T2934" s="38"/>
      <c r="U2934" s="43"/>
      <c r="V2934" s="42" t="str">
        <f>IF(Table1[[#This Row],[DATE]]=0,"",YEAR(E2934))</f>
        <v/>
      </c>
      <c r="W2934" s="40" t="str">
        <f t="shared" si="94"/>
        <v/>
      </c>
      <c r="X2934" s="40" t="str">
        <f t="shared" si="95"/>
        <v/>
      </c>
      <c r="Y2934" s="40" t="str">
        <f>TEXT(Table1[[#This Row],[YEAR]],"0000")&amp;"-"&amp;Table1[[#This Row],[MONTH]]</f>
        <v>-</v>
      </c>
    </row>
    <row r="2935" spans="1:25" ht="15" customHeight="1" x14ac:dyDescent="0.35">
      <c r="A2935" s="24"/>
      <c r="B2935" s="38"/>
      <c r="C2935" s="38"/>
      <c r="D2935" s="38"/>
      <c r="E2935" s="37"/>
      <c r="F2935" s="38"/>
      <c r="G2935" s="198"/>
      <c r="H2935" s="198"/>
      <c r="I2935" s="39"/>
      <c r="J2935" s="38"/>
      <c r="K2935" s="198"/>
      <c r="L2935" s="38"/>
      <c r="M2935" s="38"/>
      <c r="N2935" s="38"/>
      <c r="O2935" s="38"/>
      <c r="P2935" s="40" t="str" cm="1">
        <f t="array" ref="P2935">IF(N2935="","",IFERROR(_xlfn.XLOOKUP(F2935&amp;"|"&amp;J2935&amp;"|"&amp;O2935,PRICES!$C$2:$C$659&amp;"|"&amp;PRICES!$B$2:$B$659&amp;"|"&amp;PRICES!$D$2:$D$659,PRICES!$E$2:$E$659),"Not Found"))</f>
        <v/>
      </c>
      <c r="Q2935" s="100" t="str">
        <f>IF(N2935=0,"",SUMIFS(PRICES!$G$2:$G$658,PRICES!$B$2:$B$658,'MAIN TABLE-1 AUTOMATED'!J2935,PRICES!$C$2:$C$658,'MAIN TABLE-1 AUTOMATED'!F2935,PRICES!$D$2:$D$658,'MAIN TABLE-1 AUTOMATED'!O2935))</f>
        <v/>
      </c>
      <c r="R2935" s="41" t="str">
        <f>IF(Table1[[#This Row],[QUANTITY]]=0,"",Table1[[#This Row],[UNIT PRICE]]*Table1[[#This Row],[QUANTITY]])</f>
        <v/>
      </c>
      <c r="S2935" s="89"/>
      <c r="T2935" s="38"/>
      <c r="U2935" s="43"/>
      <c r="V2935" s="42" t="str">
        <f>IF(Table1[[#This Row],[DATE]]=0,"",YEAR(E2935))</f>
        <v/>
      </c>
      <c r="W2935" s="40" t="str">
        <f t="shared" si="94"/>
        <v/>
      </c>
      <c r="X2935" s="40" t="str">
        <f t="shared" si="95"/>
        <v/>
      </c>
      <c r="Y2935" s="40" t="str">
        <f>TEXT(Table1[[#This Row],[YEAR]],"0000")&amp;"-"&amp;Table1[[#This Row],[MONTH]]</f>
        <v>-</v>
      </c>
    </row>
    <row r="2936" spans="1:25" ht="15" customHeight="1" x14ac:dyDescent="0.35">
      <c r="A2936" s="24"/>
      <c r="B2936" s="38"/>
      <c r="C2936" s="38"/>
      <c r="D2936" s="38"/>
      <c r="E2936" s="37"/>
      <c r="F2936" s="38"/>
      <c r="G2936" s="198"/>
      <c r="H2936" s="198"/>
      <c r="I2936" s="39"/>
      <c r="J2936" s="38"/>
      <c r="K2936" s="198"/>
      <c r="L2936" s="38"/>
      <c r="M2936" s="38"/>
      <c r="N2936" s="38"/>
      <c r="O2936" s="38"/>
      <c r="P2936" s="40" t="str" cm="1">
        <f t="array" ref="P2936">IF(N2936="","",IFERROR(_xlfn.XLOOKUP(F2936&amp;"|"&amp;J2936&amp;"|"&amp;O2936,PRICES!$C$2:$C$659&amp;"|"&amp;PRICES!$B$2:$B$659&amp;"|"&amp;PRICES!$D$2:$D$659,PRICES!$E$2:$E$659),"Not Found"))</f>
        <v/>
      </c>
      <c r="Q2936" s="100" t="str">
        <f>IF(N2936=0,"",SUMIFS(PRICES!$G$2:$G$658,PRICES!$B$2:$B$658,'MAIN TABLE-1 AUTOMATED'!J2936,PRICES!$C$2:$C$658,'MAIN TABLE-1 AUTOMATED'!F2936,PRICES!$D$2:$D$658,'MAIN TABLE-1 AUTOMATED'!O2936))</f>
        <v/>
      </c>
      <c r="R2936" s="41" t="str">
        <f>IF(Table1[[#This Row],[QUANTITY]]=0,"",Table1[[#This Row],[UNIT PRICE]]*Table1[[#This Row],[QUANTITY]])</f>
        <v/>
      </c>
      <c r="S2936" s="89"/>
      <c r="T2936" s="38"/>
      <c r="U2936" s="43"/>
      <c r="V2936" s="42" t="str">
        <f>IF(Table1[[#This Row],[DATE]]=0,"",YEAR(E2936))</f>
        <v/>
      </c>
      <c r="W2936" s="40" t="str">
        <f t="shared" si="94"/>
        <v/>
      </c>
      <c r="X2936" s="40" t="str">
        <f t="shared" si="95"/>
        <v/>
      </c>
      <c r="Y2936" s="40" t="str">
        <f>TEXT(Table1[[#This Row],[YEAR]],"0000")&amp;"-"&amp;Table1[[#This Row],[MONTH]]</f>
        <v>-</v>
      </c>
    </row>
    <row r="2937" spans="1:25" ht="15" customHeight="1" x14ac:dyDescent="0.35">
      <c r="A2937" s="24"/>
      <c r="B2937" s="38"/>
      <c r="C2937" s="38"/>
      <c r="D2937" s="38"/>
      <c r="E2937" s="37"/>
      <c r="F2937" s="38"/>
      <c r="G2937" s="198"/>
      <c r="H2937" s="198"/>
      <c r="I2937" s="39"/>
      <c r="J2937" s="38"/>
      <c r="K2937" s="198"/>
      <c r="L2937" s="38"/>
      <c r="M2937" s="38"/>
      <c r="N2937" s="38"/>
      <c r="O2937" s="38"/>
      <c r="P2937" s="40" t="str" cm="1">
        <f t="array" ref="P2937">IF(N2937="","",IFERROR(_xlfn.XLOOKUP(F2937&amp;"|"&amp;J2937&amp;"|"&amp;O2937,PRICES!$C$2:$C$659&amp;"|"&amp;PRICES!$B$2:$B$659&amp;"|"&amp;PRICES!$D$2:$D$659,PRICES!$E$2:$E$659),"Not Found"))</f>
        <v/>
      </c>
      <c r="Q2937" s="100" t="str">
        <f>IF(N2937=0,"",SUMIFS(PRICES!$G$2:$G$658,PRICES!$B$2:$B$658,'MAIN TABLE-1 AUTOMATED'!J2937,PRICES!$C$2:$C$658,'MAIN TABLE-1 AUTOMATED'!F2937,PRICES!$D$2:$D$658,'MAIN TABLE-1 AUTOMATED'!O2937))</f>
        <v/>
      </c>
      <c r="R2937" s="41" t="str">
        <f>IF(Table1[[#This Row],[QUANTITY]]=0,"",Table1[[#This Row],[UNIT PRICE]]*Table1[[#This Row],[QUANTITY]])</f>
        <v/>
      </c>
      <c r="S2937" s="89"/>
      <c r="T2937" s="38"/>
      <c r="U2937" s="43"/>
      <c r="V2937" s="42" t="str">
        <f>IF(Table1[[#This Row],[DATE]]=0,"",YEAR(E2937))</f>
        <v/>
      </c>
      <c r="W2937" s="40" t="str">
        <f t="shared" si="94"/>
        <v/>
      </c>
      <c r="X2937" s="40" t="str">
        <f t="shared" si="95"/>
        <v/>
      </c>
      <c r="Y2937" s="40" t="str">
        <f>TEXT(Table1[[#This Row],[YEAR]],"0000")&amp;"-"&amp;Table1[[#This Row],[MONTH]]</f>
        <v>-</v>
      </c>
    </row>
    <row r="2938" spans="1:25" ht="15" customHeight="1" x14ac:dyDescent="0.35">
      <c r="A2938" s="24"/>
      <c r="B2938" s="38"/>
      <c r="C2938" s="38"/>
      <c r="D2938" s="38"/>
      <c r="E2938" s="37"/>
      <c r="F2938" s="38"/>
      <c r="G2938" s="198"/>
      <c r="H2938" s="198"/>
      <c r="I2938" s="39"/>
      <c r="J2938" s="38"/>
      <c r="K2938" s="198"/>
      <c r="L2938" s="38"/>
      <c r="M2938" s="38"/>
      <c r="N2938" s="38"/>
      <c r="O2938" s="38"/>
      <c r="P2938" s="40" t="str" cm="1">
        <f t="array" ref="P2938">IF(N2938="","",IFERROR(_xlfn.XLOOKUP(F2938&amp;"|"&amp;J2938&amp;"|"&amp;O2938,PRICES!$C$2:$C$659&amp;"|"&amp;PRICES!$B$2:$B$659&amp;"|"&amp;PRICES!$D$2:$D$659,PRICES!$E$2:$E$659),"Not Found"))</f>
        <v/>
      </c>
      <c r="Q2938" s="100" t="str">
        <f>IF(N2938=0,"",SUMIFS(PRICES!$G$2:$G$658,PRICES!$B$2:$B$658,'MAIN TABLE-1 AUTOMATED'!J2938,PRICES!$C$2:$C$658,'MAIN TABLE-1 AUTOMATED'!F2938,PRICES!$D$2:$D$658,'MAIN TABLE-1 AUTOMATED'!O2938))</f>
        <v/>
      </c>
      <c r="R2938" s="41" t="str">
        <f>IF(Table1[[#This Row],[QUANTITY]]=0,"",Table1[[#This Row],[UNIT PRICE]]*Table1[[#This Row],[QUANTITY]])</f>
        <v/>
      </c>
      <c r="S2938" s="89"/>
      <c r="T2938" s="38"/>
      <c r="U2938" s="43"/>
      <c r="V2938" s="42" t="str">
        <f>IF(Table1[[#This Row],[DATE]]=0,"",YEAR(E2938))</f>
        <v/>
      </c>
      <c r="W2938" s="40" t="str">
        <f t="shared" si="94"/>
        <v/>
      </c>
      <c r="X2938" s="40" t="str">
        <f t="shared" si="95"/>
        <v/>
      </c>
      <c r="Y2938" s="40" t="str">
        <f>TEXT(Table1[[#This Row],[YEAR]],"0000")&amp;"-"&amp;Table1[[#This Row],[MONTH]]</f>
        <v>-</v>
      </c>
    </row>
    <row r="2939" spans="1:25" ht="15" customHeight="1" x14ac:dyDescent="0.35">
      <c r="A2939" s="24"/>
      <c r="B2939" s="38"/>
      <c r="C2939" s="38"/>
      <c r="D2939" s="38"/>
      <c r="E2939" s="37"/>
      <c r="F2939" s="38"/>
      <c r="G2939" s="198"/>
      <c r="H2939" s="198"/>
      <c r="I2939" s="39"/>
      <c r="J2939" s="38"/>
      <c r="K2939" s="198"/>
      <c r="L2939" s="38"/>
      <c r="M2939" s="38"/>
      <c r="N2939" s="38"/>
      <c r="O2939" s="38"/>
      <c r="P2939" s="40" t="str" cm="1">
        <f t="array" ref="P2939">IF(N2939="","",IFERROR(_xlfn.XLOOKUP(F2939&amp;"|"&amp;J2939&amp;"|"&amp;O2939,PRICES!$C$2:$C$659&amp;"|"&amp;PRICES!$B$2:$B$659&amp;"|"&amp;PRICES!$D$2:$D$659,PRICES!$E$2:$E$659),"Not Found"))</f>
        <v/>
      </c>
      <c r="Q2939" s="100" t="str">
        <f>IF(N2939=0,"",SUMIFS(PRICES!$G$2:$G$658,PRICES!$B$2:$B$658,'MAIN TABLE-1 AUTOMATED'!J2939,PRICES!$C$2:$C$658,'MAIN TABLE-1 AUTOMATED'!F2939,PRICES!$D$2:$D$658,'MAIN TABLE-1 AUTOMATED'!O2939))</f>
        <v/>
      </c>
      <c r="R2939" s="41" t="str">
        <f>IF(Table1[[#This Row],[QUANTITY]]=0,"",Table1[[#This Row],[UNIT PRICE]]*Table1[[#This Row],[QUANTITY]])</f>
        <v/>
      </c>
      <c r="S2939" s="89"/>
      <c r="T2939" s="38"/>
      <c r="U2939" s="43"/>
      <c r="V2939" s="42" t="str">
        <f>IF(Table1[[#This Row],[DATE]]=0,"",YEAR(E2939))</f>
        <v/>
      </c>
      <c r="W2939" s="40" t="str">
        <f t="shared" si="94"/>
        <v/>
      </c>
      <c r="X2939" s="40" t="str">
        <f t="shared" si="95"/>
        <v/>
      </c>
      <c r="Y2939" s="40" t="str">
        <f>TEXT(Table1[[#This Row],[YEAR]],"0000")&amp;"-"&amp;Table1[[#This Row],[MONTH]]</f>
        <v>-</v>
      </c>
    </row>
    <row r="2940" spans="1:25" ht="15" customHeight="1" x14ac:dyDescent="0.35">
      <c r="A2940" s="24"/>
      <c r="B2940" s="38"/>
      <c r="C2940" s="38"/>
      <c r="D2940" s="38"/>
      <c r="E2940" s="37"/>
      <c r="F2940" s="38"/>
      <c r="G2940" s="198"/>
      <c r="H2940" s="198"/>
      <c r="I2940" s="39"/>
      <c r="J2940" s="38"/>
      <c r="K2940" s="198"/>
      <c r="L2940" s="38"/>
      <c r="M2940" s="38"/>
      <c r="N2940" s="38"/>
      <c r="O2940" s="38"/>
      <c r="P2940" s="40" t="str" cm="1">
        <f t="array" ref="P2940">IF(N2940="","",IFERROR(_xlfn.XLOOKUP(F2940&amp;"|"&amp;J2940&amp;"|"&amp;O2940,PRICES!$C$2:$C$659&amp;"|"&amp;PRICES!$B$2:$B$659&amp;"|"&amp;PRICES!$D$2:$D$659,PRICES!$E$2:$E$659),"Not Found"))</f>
        <v/>
      </c>
      <c r="Q2940" s="100" t="str">
        <f>IF(N2940=0,"",SUMIFS(PRICES!$G$2:$G$658,PRICES!$B$2:$B$658,'MAIN TABLE-1 AUTOMATED'!J2940,PRICES!$C$2:$C$658,'MAIN TABLE-1 AUTOMATED'!F2940,PRICES!$D$2:$D$658,'MAIN TABLE-1 AUTOMATED'!O2940))</f>
        <v/>
      </c>
      <c r="R2940" s="41" t="str">
        <f>IF(Table1[[#This Row],[QUANTITY]]=0,"",Table1[[#This Row],[UNIT PRICE]]*Table1[[#This Row],[QUANTITY]])</f>
        <v/>
      </c>
      <c r="S2940" s="89"/>
      <c r="T2940" s="38"/>
      <c r="U2940" s="43"/>
      <c r="V2940" s="42" t="str">
        <f>IF(Table1[[#This Row],[DATE]]=0,"",YEAR(E2940))</f>
        <v/>
      </c>
      <c r="W2940" s="40" t="str">
        <f t="shared" si="94"/>
        <v/>
      </c>
      <c r="X2940" s="40" t="str">
        <f t="shared" si="95"/>
        <v/>
      </c>
      <c r="Y2940" s="40" t="str">
        <f>TEXT(Table1[[#This Row],[YEAR]],"0000")&amp;"-"&amp;Table1[[#This Row],[MONTH]]</f>
        <v>-</v>
      </c>
    </row>
    <row r="2941" spans="1:25" ht="15" customHeight="1" x14ac:dyDescent="0.35">
      <c r="A2941" s="24"/>
      <c r="B2941" s="38"/>
      <c r="C2941" s="38"/>
      <c r="D2941" s="38"/>
      <c r="E2941" s="37"/>
      <c r="F2941" s="38"/>
      <c r="G2941" s="198"/>
      <c r="H2941" s="198"/>
      <c r="I2941" s="39"/>
      <c r="J2941" s="38"/>
      <c r="K2941" s="198"/>
      <c r="L2941" s="38"/>
      <c r="M2941" s="38"/>
      <c r="N2941" s="38"/>
      <c r="O2941" s="38"/>
      <c r="P2941" s="40" t="str" cm="1">
        <f t="array" ref="P2941">IF(N2941="","",IFERROR(_xlfn.XLOOKUP(F2941&amp;"|"&amp;J2941&amp;"|"&amp;O2941,PRICES!$C$2:$C$659&amp;"|"&amp;PRICES!$B$2:$B$659&amp;"|"&amp;PRICES!$D$2:$D$659,PRICES!$E$2:$E$659),"Not Found"))</f>
        <v/>
      </c>
      <c r="Q2941" s="100" t="str">
        <f>IF(N2941=0,"",SUMIFS(PRICES!$G$2:$G$658,PRICES!$B$2:$B$658,'MAIN TABLE-1 AUTOMATED'!J2941,PRICES!$C$2:$C$658,'MAIN TABLE-1 AUTOMATED'!F2941,PRICES!$D$2:$D$658,'MAIN TABLE-1 AUTOMATED'!O2941))</f>
        <v/>
      </c>
      <c r="R2941" s="41" t="str">
        <f>IF(Table1[[#This Row],[QUANTITY]]=0,"",Table1[[#This Row],[UNIT PRICE]]*Table1[[#This Row],[QUANTITY]])</f>
        <v/>
      </c>
      <c r="S2941" s="89"/>
      <c r="T2941" s="38"/>
      <c r="U2941" s="43"/>
      <c r="V2941" s="42" t="str">
        <f>IF(Table1[[#This Row],[DATE]]=0,"",YEAR(E2941))</f>
        <v/>
      </c>
      <c r="W2941" s="40" t="str">
        <f t="shared" si="94"/>
        <v/>
      </c>
      <c r="X2941" s="40" t="str">
        <f t="shared" si="95"/>
        <v/>
      </c>
      <c r="Y2941" s="40" t="str">
        <f>TEXT(Table1[[#This Row],[YEAR]],"0000")&amp;"-"&amp;Table1[[#This Row],[MONTH]]</f>
        <v>-</v>
      </c>
    </row>
    <row r="2942" spans="1:25" ht="15" customHeight="1" x14ac:dyDescent="0.35">
      <c r="A2942" s="24"/>
      <c r="B2942" s="38"/>
      <c r="C2942" s="38"/>
      <c r="D2942" s="38"/>
      <c r="E2942" s="37"/>
      <c r="F2942" s="38"/>
      <c r="G2942" s="198"/>
      <c r="H2942" s="198"/>
      <c r="I2942" s="39"/>
      <c r="J2942" s="38"/>
      <c r="K2942" s="198"/>
      <c r="L2942" s="38"/>
      <c r="M2942" s="38"/>
      <c r="N2942" s="38"/>
      <c r="O2942" s="38"/>
      <c r="P2942" s="40" t="str" cm="1">
        <f t="array" ref="P2942">IF(N2942="","",IFERROR(_xlfn.XLOOKUP(F2942&amp;"|"&amp;J2942&amp;"|"&amp;O2942,PRICES!$C$2:$C$659&amp;"|"&amp;PRICES!$B$2:$B$659&amp;"|"&amp;PRICES!$D$2:$D$659,PRICES!$E$2:$E$659),"Not Found"))</f>
        <v/>
      </c>
      <c r="Q2942" s="100" t="str">
        <f>IF(N2942=0,"",SUMIFS(PRICES!$G$2:$G$658,PRICES!$B$2:$B$658,'MAIN TABLE-1 AUTOMATED'!J2942,PRICES!$C$2:$C$658,'MAIN TABLE-1 AUTOMATED'!F2942,PRICES!$D$2:$D$658,'MAIN TABLE-1 AUTOMATED'!O2942))</f>
        <v/>
      </c>
      <c r="R2942" s="41" t="str">
        <f>IF(Table1[[#This Row],[QUANTITY]]=0,"",Table1[[#This Row],[UNIT PRICE]]*Table1[[#This Row],[QUANTITY]])</f>
        <v/>
      </c>
      <c r="S2942" s="89"/>
      <c r="T2942" s="38"/>
      <c r="U2942" s="43"/>
      <c r="V2942" s="42" t="str">
        <f>IF(Table1[[#This Row],[DATE]]=0,"",YEAR(E2942))</f>
        <v/>
      </c>
      <c r="W2942" s="40" t="str">
        <f t="shared" si="94"/>
        <v/>
      </c>
      <c r="X2942" s="40" t="str">
        <f t="shared" si="95"/>
        <v/>
      </c>
      <c r="Y2942" s="40" t="str">
        <f>TEXT(Table1[[#This Row],[YEAR]],"0000")&amp;"-"&amp;Table1[[#This Row],[MONTH]]</f>
        <v>-</v>
      </c>
    </row>
    <row r="2943" spans="1:25" ht="15" customHeight="1" x14ac:dyDescent="0.35">
      <c r="A2943" s="24"/>
      <c r="B2943" s="38"/>
      <c r="C2943" s="38"/>
      <c r="D2943" s="38"/>
      <c r="E2943" s="37"/>
      <c r="F2943" s="38"/>
      <c r="G2943" s="198"/>
      <c r="H2943" s="198"/>
      <c r="I2943" s="39"/>
      <c r="J2943" s="38"/>
      <c r="K2943" s="198"/>
      <c r="L2943" s="38"/>
      <c r="M2943" s="38"/>
      <c r="N2943" s="38"/>
      <c r="O2943" s="38"/>
      <c r="P2943" s="40" t="str" cm="1">
        <f t="array" ref="P2943">IF(N2943="","",IFERROR(_xlfn.XLOOKUP(F2943&amp;"|"&amp;J2943&amp;"|"&amp;O2943,PRICES!$C$2:$C$659&amp;"|"&amp;PRICES!$B$2:$B$659&amp;"|"&amp;PRICES!$D$2:$D$659,PRICES!$E$2:$E$659),"Not Found"))</f>
        <v/>
      </c>
      <c r="Q2943" s="100" t="str">
        <f>IF(N2943=0,"",SUMIFS(PRICES!$G$2:$G$658,PRICES!$B$2:$B$658,'MAIN TABLE-1 AUTOMATED'!J2943,PRICES!$C$2:$C$658,'MAIN TABLE-1 AUTOMATED'!F2943,PRICES!$D$2:$D$658,'MAIN TABLE-1 AUTOMATED'!O2943))</f>
        <v/>
      </c>
      <c r="R2943" s="41" t="str">
        <f>IF(Table1[[#This Row],[QUANTITY]]=0,"",Table1[[#This Row],[UNIT PRICE]]*Table1[[#This Row],[QUANTITY]])</f>
        <v/>
      </c>
      <c r="S2943" s="89"/>
      <c r="T2943" s="38"/>
      <c r="U2943" s="43"/>
      <c r="V2943" s="42" t="str">
        <f>IF(Table1[[#This Row],[DATE]]=0,"",YEAR(E2943))</f>
        <v/>
      </c>
      <c r="W2943" s="40" t="str">
        <f t="shared" si="94"/>
        <v/>
      </c>
      <c r="X2943" s="40" t="str">
        <f t="shared" si="95"/>
        <v/>
      </c>
      <c r="Y2943" s="40" t="str">
        <f>TEXT(Table1[[#This Row],[YEAR]],"0000")&amp;"-"&amp;Table1[[#This Row],[MONTH]]</f>
        <v>-</v>
      </c>
    </row>
    <row r="2944" spans="1:25" ht="15" customHeight="1" x14ac:dyDescent="0.35">
      <c r="A2944" s="24"/>
      <c r="B2944" s="38"/>
      <c r="C2944" s="38"/>
      <c r="D2944" s="38"/>
      <c r="E2944" s="37"/>
      <c r="F2944" s="38"/>
      <c r="G2944" s="198"/>
      <c r="H2944" s="198"/>
      <c r="I2944" s="39"/>
      <c r="J2944" s="38"/>
      <c r="K2944" s="198"/>
      <c r="L2944" s="38"/>
      <c r="M2944" s="38"/>
      <c r="N2944" s="38"/>
      <c r="O2944" s="38"/>
      <c r="P2944" s="40" t="str" cm="1">
        <f t="array" ref="P2944">IF(N2944="","",IFERROR(_xlfn.XLOOKUP(F2944&amp;"|"&amp;J2944&amp;"|"&amp;O2944,PRICES!$C$2:$C$659&amp;"|"&amp;PRICES!$B$2:$B$659&amp;"|"&amp;PRICES!$D$2:$D$659,PRICES!$E$2:$E$659),"Not Found"))</f>
        <v/>
      </c>
      <c r="Q2944" s="100" t="str">
        <f>IF(N2944=0,"",SUMIFS(PRICES!$G$2:$G$658,PRICES!$B$2:$B$658,'MAIN TABLE-1 AUTOMATED'!J2944,PRICES!$C$2:$C$658,'MAIN TABLE-1 AUTOMATED'!F2944,PRICES!$D$2:$D$658,'MAIN TABLE-1 AUTOMATED'!O2944))</f>
        <v/>
      </c>
      <c r="R2944" s="41" t="str">
        <f>IF(Table1[[#This Row],[QUANTITY]]=0,"",Table1[[#This Row],[UNIT PRICE]]*Table1[[#This Row],[QUANTITY]])</f>
        <v/>
      </c>
      <c r="S2944" s="89"/>
      <c r="T2944" s="38"/>
      <c r="U2944" s="43"/>
      <c r="V2944" s="42" t="str">
        <f>IF(Table1[[#This Row],[DATE]]=0,"",YEAR(E2944))</f>
        <v/>
      </c>
      <c r="W2944" s="40" t="str">
        <f t="shared" si="94"/>
        <v/>
      </c>
      <c r="X2944" s="40" t="str">
        <f t="shared" si="95"/>
        <v/>
      </c>
      <c r="Y2944" s="40" t="str">
        <f>TEXT(Table1[[#This Row],[YEAR]],"0000")&amp;"-"&amp;Table1[[#This Row],[MONTH]]</f>
        <v>-</v>
      </c>
    </row>
    <row r="2945" spans="1:25" ht="15" customHeight="1" x14ac:dyDescent="0.35">
      <c r="A2945" s="24"/>
      <c r="B2945" s="38"/>
      <c r="C2945" s="38"/>
      <c r="D2945" s="38"/>
      <c r="E2945" s="37"/>
      <c r="F2945" s="38"/>
      <c r="G2945" s="198"/>
      <c r="H2945" s="198"/>
      <c r="I2945" s="39"/>
      <c r="J2945" s="38"/>
      <c r="K2945" s="198"/>
      <c r="L2945" s="38"/>
      <c r="M2945" s="38"/>
      <c r="N2945" s="38"/>
      <c r="O2945" s="38"/>
      <c r="P2945" s="40" t="str" cm="1">
        <f t="array" ref="P2945">IF(N2945="","",IFERROR(_xlfn.XLOOKUP(F2945&amp;"|"&amp;J2945&amp;"|"&amp;O2945,PRICES!$C$2:$C$659&amp;"|"&amp;PRICES!$B$2:$B$659&amp;"|"&amp;PRICES!$D$2:$D$659,PRICES!$E$2:$E$659),"Not Found"))</f>
        <v/>
      </c>
      <c r="Q2945" s="100" t="str">
        <f>IF(N2945=0,"",SUMIFS(PRICES!$G$2:$G$658,PRICES!$B$2:$B$658,'MAIN TABLE-1 AUTOMATED'!J2945,PRICES!$C$2:$C$658,'MAIN TABLE-1 AUTOMATED'!F2945,PRICES!$D$2:$D$658,'MAIN TABLE-1 AUTOMATED'!O2945))</f>
        <v/>
      </c>
      <c r="R2945" s="41" t="str">
        <f>IF(Table1[[#This Row],[QUANTITY]]=0,"",Table1[[#This Row],[UNIT PRICE]]*Table1[[#This Row],[QUANTITY]])</f>
        <v/>
      </c>
      <c r="S2945" s="89"/>
      <c r="T2945" s="38"/>
      <c r="U2945" s="43"/>
      <c r="V2945" s="42" t="str">
        <f>IF(Table1[[#This Row],[DATE]]=0,"",YEAR(E2945))</f>
        <v/>
      </c>
      <c r="W2945" s="40" t="str">
        <f t="shared" si="94"/>
        <v/>
      </c>
      <c r="X2945" s="40" t="str">
        <f t="shared" si="95"/>
        <v/>
      </c>
      <c r="Y2945" s="40" t="str">
        <f>TEXT(Table1[[#This Row],[YEAR]],"0000")&amp;"-"&amp;Table1[[#This Row],[MONTH]]</f>
        <v>-</v>
      </c>
    </row>
    <row r="2946" spans="1:25" ht="15" customHeight="1" x14ac:dyDescent="0.35">
      <c r="A2946" s="24"/>
      <c r="B2946" s="38"/>
      <c r="C2946" s="38"/>
      <c r="D2946" s="38"/>
      <c r="E2946" s="37"/>
      <c r="F2946" s="38"/>
      <c r="G2946" s="198"/>
      <c r="H2946" s="198"/>
      <c r="I2946" s="39"/>
      <c r="J2946" s="38"/>
      <c r="K2946" s="198"/>
      <c r="L2946" s="38"/>
      <c r="M2946" s="38"/>
      <c r="N2946" s="38"/>
      <c r="O2946" s="38"/>
      <c r="P2946" s="40" t="str" cm="1">
        <f t="array" ref="P2946">IF(N2946="","",IFERROR(_xlfn.XLOOKUP(F2946&amp;"|"&amp;J2946&amp;"|"&amp;O2946,PRICES!$C$2:$C$659&amp;"|"&amp;PRICES!$B$2:$B$659&amp;"|"&amp;PRICES!$D$2:$D$659,PRICES!$E$2:$E$659),"Not Found"))</f>
        <v/>
      </c>
      <c r="Q2946" s="100" t="str">
        <f>IF(N2946=0,"",SUMIFS(PRICES!$G$2:$G$658,PRICES!$B$2:$B$658,'MAIN TABLE-1 AUTOMATED'!J2946,PRICES!$C$2:$C$658,'MAIN TABLE-1 AUTOMATED'!F2946,PRICES!$D$2:$D$658,'MAIN TABLE-1 AUTOMATED'!O2946))</f>
        <v/>
      </c>
      <c r="R2946" s="41" t="str">
        <f>IF(Table1[[#This Row],[QUANTITY]]=0,"",Table1[[#This Row],[UNIT PRICE]]*Table1[[#This Row],[QUANTITY]])</f>
        <v/>
      </c>
      <c r="S2946" s="89"/>
      <c r="T2946" s="38"/>
      <c r="U2946" s="43"/>
      <c r="V2946" s="42" t="str">
        <f>IF(Table1[[#This Row],[DATE]]=0,"",YEAR(E2946))</f>
        <v/>
      </c>
      <c r="W2946" s="40" t="str">
        <f t="shared" si="94"/>
        <v/>
      </c>
      <c r="X2946" s="40" t="str">
        <f t="shared" si="95"/>
        <v/>
      </c>
      <c r="Y2946" s="40" t="str">
        <f>TEXT(Table1[[#This Row],[YEAR]],"0000")&amp;"-"&amp;Table1[[#This Row],[MONTH]]</f>
        <v>-</v>
      </c>
    </row>
    <row r="2947" spans="1:25" ht="15" customHeight="1" x14ac:dyDescent="0.35">
      <c r="A2947" s="24"/>
      <c r="B2947" s="38"/>
      <c r="C2947" s="38"/>
      <c r="D2947" s="38"/>
      <c r="E2947" s="37"/>
      <c r="F2947" s="38"/>
      <c r="G2947" s="198"/>
      <c r="H2947" s="198"/>
      <c r="I2947" s="39"/>
      <c r="J2947" s="38"/>
      <c r="K2947" s="198"/>
      <c r="L2947" s="38"/>
      <c r="M2947" s="38"/>
      <c r="N2947" s="38"/>
      <c r="O2947" s="38"/>
      <c r="P2947" s="40" t="str" cm="1">
        <f t="array" ref="P2947">IF(N2947="","",IFERROR(_xlfn.XLOOKUP(F2947&amp;"|"&amp;J2947&amp;"|"&amp;O2947,PRICES!$C$2:$C$659&amp;"|"&amp;PRICES!$B$2:$B$659&amp;"|"&amp;PRICES!$D$2:$D$659,PRICES!$E$2:$E$659),"Not Found"))</f>
        <v/>
      </c>
      <c r="Q2947" s="100" t="str">
        <f>IF(N2947=0,"",SUMIFS(PRICES!$G$2:$G$658,PRICES!$B$2:$B$658,'MAIN TABLE-1 AUTOMATED'!J2947,PRICES!$C$2:$C$658,'MAIN TABLE-1 AUTOMATED'!F2947,PRICES!$D$2:$D$658,'MAIN TABLE-1 AUTOMATED'!O2947))</f>
        <v/>
      </c>
      <c r="R2947" s="41" t="str">
        <f>IF(Table1[[#This Row],[QUANTITY]]=0,"",Table1[[#This Row],[UNIT PRICE]]*Table1[[#This Row],[QUANTITY]])</f>
        <v/>
      </c>
      <c r="S2947" s="89"/>
      <c r="T2947" s="38"/>
      <c r="U2947" s="43"/>
      <c r="V2947" s="42" t="str">
        <f>IF(Table1[[#This Row],[DATE]]=0,"",YEAR(E2947))</f>
        <v/>
      </c>
      <c r="W2947" s="40" t="str">
        <f t="shared" ref="W2947:W3001" si="96">IF(E2947=0,"",MONTH(E2947))</f>
        <v/>
      </c>
      <c r="X2947" s="40" t="str">
        <f t="shared" ref="X2947:X3001" si="97">IF(E2947=0,"",WEEKNUM(E2947))</f>
        <v/>
      </c>
      <c r="Y2947" s="40" t="str">
        <f>TEXT(Table1[[#This Row],[YEAR]],"0000")&amp;"-"&amp;Table1[[#This Row],[MONTH]]</f>
        <v>-</v>
      </c>
    </row>
    <row r="2948" spans="1:25" ht="15" customHeight="1" x14ac:dyDescent="0.35">
      <c r="A2948" s="24"/>
      <c r="B2948" s="38"/>
      <c r="C2948" s="38"/>
      <c r="D2948" s="38"/>
      <c r="E2948" s="37"/>
      <c r="F2948" s="38"/>
      <c r="G2948" s="198"/>
      <c r="H2948" s="198"/>
      <c r="I2948" s="39"/>
      <c r="J2948" s="38"/>
      <c r="K2948" s="198"/>
      <c r="L2948" s="38"/>
      <c r="M2948" s="38"/>
      <c r="N2948" s="38"/>
      <c r="O2948" s="38"/>
      <c r="P2948" s="40" t="str" cm="1">
        <f t="array" ref="P2948">IF(N2948="","",IFERROR(_xlfn.XLOOKUP(F2948&amp;"|"&amp;J2948&amp;"|"&amp;O2948,PRICES!$C$2:$C$659&amp;"|"&amp;PRICES!$B$2:$B$659&amp;"|"&amp;PRICES!$D$2:$D$659,PRICES!$E$2:$E$659),"Not Found"))</f>
        <v/>
      </c>
      <c r="Q2948" s="100" t="str">
        <f>IF(N2948=0,"",SUMIFS(PRICES!$G$2:$G$658,PRICES!$B$2:$B$658,'MAIN TABLE-1 AUTOMATED'!J2948,PRICES!$C$2:$C$658,'MAIN TABLE-1 AUTOMATED'!F2948,PRICES!$D$2:$D$658,'MAIN TABLE-1 AUTOMATED'!O2948))</f>
        <v/>
      </c>
      <c r="R2948" s="41" t="str">
        <f>IF(Table1[[#This Row],[QUANTITY]]=0,"",Table1[[#This Row],[UNIT PRICE]]*Table1[[#This Row],[QUANTITY]])</f>
        <v/>
      </c>
      <c r="S2948" s="89"/>
      <c r="T2948" s="38"/>
      <c r="U2948" s="43"/>
      <c r="V2948" s="42" t="str">
        <f>IF(Table1[[#This Row],[DATE]]=0,"",YEAR(E2948))</f>
        <v/>
      </c>
      <c r="W2948" s="40" t="str">
        <f t="shared" si="96"/>
        <v/>
      </c>
      <c r="X2948" s="40" t="str">
        <f t="shared" si="97"/>
        <v/>
      </c>
      <c r="Y2948" s="40" t="str">
        <f>TEXT(Table1[[#This Row],[YEAR]],"0000")&amp;"-"&amp;Table1[[#This Row],[MONTH]]</f>
        <v>-</v>
      </c>
    </row>
    <row r="2949" spans="1:25" ht="15" customHeight="1" x14ac:dyDescent="0.35">
      <c r="A2949" s="24"/>
      <c r="B2949" s="38"/>
      <c r="C2949" s="38"/>
      <c r="D2949" s="38"/>
      <c r="E2949" s="37"/>
      <c r="F2949" s="38"/>
      <c r="G2949" s="198"/>
      <c r="H2949" s="198"/>
      <c r="I2949" s="39"/>
      <c r="J2949" s="38"/>
      <c r="K2949" s="198"/>
      <c r="L2949" s="38"/>
      <c r="M2949" s="38"/>
      <c r="N2949" s="38"/>
      <c r="O2949" s="38"/>
      <c r="P2949" s="40" t="str" cm="1">
        <f t="array" ref="P2949">IF(N2949="","",IFERROR(_xlfn.XLOOKUP(F2949&amp;"|"&amp;J2949&amp;"|"&amp;O2949,PRICES!$C$2:$C$659&amp;"|"&amp;PRICES!$B$2:$B$659&amp;"|"&amp;PRICES!$D$2:$D$659,PRICES!$E$2:$E$659),"Not Found"))</f>
        <v/>
      </c>
      <c r="Q2949" s="100" t="str">
        <f>IF(N2949=0,"",SUMIFS(PRICES!$G$2:$G$658,PRICES!$B$2:$B$658,'MAIN TABLE-1 AUTOMATED'!J2949,PRICES!$C$2:$C$658,'MAIN TABLE-1 AUTOMATED'!F2949,PRICES!$D$2:$D$658,'MAIN TABLE-1 AUTOMATED'!O2949))</f>
        <v/>
      </c>
      <c r="R2949" s="41" t="str">
        <f>IF(Table1[[#This Row],[QUANTITY]]=0,"",Table1[[#This Row],[UNIT PRICE]]*Table1[[#This Row],[QUANTITY]])</f>
        <v/>
      </c>
      <c r="S2949" s="89"/>
      <c r="T2949" s="38"/>
      <c r="U2949" s="43"/>
      <c r="V2949" s="42" t="str">
        <f>IF(Table1[[#This Row],[DATE]]=0,"",YEAR(E2949))</f>
        <v/>
      </c>
      <c r="W2949" s="40" t="str">
        <f t="shared" si="96"/>
        <v/>
      </c>
      <c r="X2949" s="40" t="str">
        <f t="shared" si="97"/>
        <v/>
      </c>
      <c r="Y2949" s="40" t="str">
        <f>TEXT(Table1[[#This Row],[YEAR]],"0000")&amp;"-"&amp;Table1[[#This Row],[MONTH]]</f>
        <v>-</v>
      </c>
    </row>
    <row r="2950" spans="1:25" ht="15" customHeight="1" x14ac:dyDescent="0.35">
      <c r="A2950" s="24"/>
      <c r="B2950" s="38"/>
      <c r="C2950" s="38"/>
      <c r="D2950" s="38"/>
      <c r="E2950" s="37"/>
      <c r="F2950" s="38"/>
      <c r="G2950" s="198"/>
      <c r="H2950" s="198"/>
      <c r="I2950" s="39"/>
      <c r="J2950" s="38"/>
      <c r="K2950" s="198"/>
      <c r="L2950" s="38"/>
      <c r="M2950" s="38"/>
      <c r="N2950" s="38"/>
      <c r="O2950" s="38"/>
      <c r="P2950" s="40" t="str" cm="1">
        <f t="array" ref="P2950">IF(N2950="","",IFERROR(_xlfn.XLOOKUP(F2950&amp;"|"&amp;J2950&amp;"|"&amp;O2950,PRICES!$C$2:$C$659&amp;"|"&amp;PRICES!$B$2:$B$659&amp;"|"&amp;PRICES!$D$2:$D$659,PRICES!$E$2:$E$659),"Not Found"))</f>
        <v/>
      </c>
      <c r="Q2950" s="100" t="str">
        <f>IF(N2950=0,"",SUMIFS(PRICES!$G$2:$G$658,PRICES!$B$2:$B$658,'MAIN TABLE-1 AUTOMATED'!J2950,PRICES!$C$2:$C$658,'MAIN TABLE-1 AUTOMATED'!F2950,PRICES!$D$2:$D$658,'MAIN TABLE-1 AUTOMATED'!O2950))</f>
        <v/>
      </c>
      <c r="R2950" s="41" t="str">
        <f>IF(Table1[[#This Row],[QUANTITY]]=0,"",Table1[[#This Row],[UNIT PRICE]]*Table1[[#This Row],[QUANTITY]])</f>
        <v/>
      </c>
      <c r="S2950" s="89"/>
      <c r="T2950" s="38"/>
      <c r="U2950" s="43"/>
      <c r="V2950" s="42" t="str">
        <f>IF(Table1[[#This Row],[DATE]]=0,"",YEAR(E2950))</f>
        <v/>
      </c>
      <c r="W2950" s="40" t="str">
        <f t="shared" si="96"/>
        <v/>
      </c>
      <c r="X2950" s="40" t="str">
        <f t="shared" si="97"/>
        <v/>
      </c>
      <c r="Y2950" s="40" t="str">
        <f>TEXT(Table1[[#This Row],[YEAR]],"0000")&amp;"-"&amp;Table1[[#This Row],[MONTH]]</f>
        <v>-</v>
      </c>
    </row>
    <row r="2951" spans="1:25" ht="15" customHeight="1" x14ac:dyDescent="0.35">
      <c r="A2951" s="24"/>
      <c r="B2951" s="38"/>
      <c r="C2951" s="38"/>
      <c r="D2951" s="38"/>
      <c r="E2951" s="37"/>
      <c r="F2951" s="38"/>
      <c r="G2951" s="198"/>
      <c r="H2951" s="198"/>
      <c r="I2951" s="39"/>
      <c r="J2951" s="38"/>
      <c r="K2951" s="198"/>
      <c r="L2951" s="38"/>
      <c r="M2951" s="38"/>
      <c r="N2951" s="38"/>
      <c r="O2951" s="38"/>
      <c r="P2951" s="40" t="str" cm="1">
        <f t="array" ref="P2951">IF(N2951="","",IFERROR(_xlfn.XLOOKUP(F2951&amp;"|"&amp;J2951&amp;"|"&amp;O2951,PRICES!$C$2:$C$659&amp;"|"&amp;PRICES!$B$2:$B$659&amp;"|"&amp;PRICES!$D$2:$D$659,PRICES!$E$2:$E$659),"Not Found"))</f>
        <v/>
      </c>
      <c r="Q2951" s="100" t="str">
        <f>IF(N2951=0,"",SUMIFS(PRICES!$G$2:$G$658,PRICES!$B$2:$B$658,'MAIN TABLE-1 AUTOMATED'!J2951,PRICES!$C$2:$C$658,'MAIN TABLE-1 AUTOMATED'!F2951,PRICES!$D$2:$D$658,'MAIN TABLE-1 AUTOMATED'!O2951))</f>
        <v/>
      </c>
      <c r="R2951" s="41" t="str">
        <f>IF(Table1[[#This Row],[QUANTITY]]=0,"",Table1[[#This Row],[UNIT PRICE]]*Table1[[#This Row],[QUANTITY]])</f>
        <v/>
      </c>
      <c r="S2951" s="89"/>
      <c r="T2951" s="38"/>
      <c r="U2951" s="43"/>
      <c r="V2951" s="42" t="str">
        <f>IF(Table1[[#This Row],[DATE]]=0,"",YEAR(E2951))</f>
        <v/>
      </c>
      <c r="W2951" s="40" t="str">
        <f t="shared" si="96"/>
        <v/>
      </c>
      <c r="X2951" s="40" t="str">
        <f t="shared" si="97"/>
        <v/>
      </c>
      <c r="Y2951" s="40" t="str">
        <f>TEXT(Table1[[#This Row],[YEAR]],"0000")&amp;"-"&amp;Table1[[#This Row],[MONTH]]</f>
        <v>-</v>
      </c>
    </row>
    <row r="2952" spans="1:25" ht="15" customHeight="1" x14ac:dyDescent="0.35">
      <c r="A2952" s="24"/>
      <c r="B2952" s="38"/>
      <c r="C2952" s="38"/>
      <c r="D2952" s="38"/>
      <c r="E2952" s="37"/>
      <c r="F2952" s="38"/>
      <c r="G2952" s="198"/>
      <c r="H2952" s="198"/>
      <c r="I2952" s="39"/>
      <c r="J2952" s="38"/>
      <c r="K2952" s="198"/>
      <c r="L2952" s="38"/>
      <c r="M2952" s="38"/>
      <c r="N2952" s="38"/>
      <c r="O2952" s="38"/>
      <c r="P2952" s="40" t="str" cm="1">
        <f t="array" ref="P2952">IF(N2952="","",IFERROR(_xlfn.XLOOKUP(F2952&amp;"|"&amp;J2952&amp;"|"&amp;O2952,PRICES!$C$2:$C$659&amp;"|"&amp;PRICES!$B$2:$B$659&amp;"|"&amp;PRICES!$D$2:$D$659,PRICES!$E$2:$E$659),"Not Found"))</f>
        <v/>
      </c>
      <c r="Q2952" s="100" t="str">
        <f>IF(N2952=0,"",SUMIFS(PRICES!$G$2:$G$658,PRICES!$B$2:$B$658,'MAIN TABLE-1 AUTOMATED'!J2952,PRICES!$C$2:$C$658,'MAIN TABLE-1 AUTOMATED'!F2952,PRICES!$D$2:$D$658,'MAIN TABLE-1 AUTOMATED'!O2952))</f>
        <v/>
      </c>
      <c r="R2952" s="41" t="str">
        <f>IF(Table1[[#This Row],[QUANTITY]]=0,"",Table1[[#This Row],[UNIT PRICE]]*Table1[[#This Row],[QUANTITY]])</f>
        <v/>
      </c>
      <c r="S2952" s="89"/>
      <c r="T2952" s="38"/>
      <c r="U2952" s="43"/>
      <c r="V2952" s="42" t="str">
        <f>IF(Table1[[#This Row],[DATE]]=0,"",YEAR(E2952))</f>
        <v/>
      </c>
      <c r="W2952" s="40" t="str">
        <f t="shared" si="96"/>
        <v/>
      </c>
      <c r="X2952" s="40" t="str">
        <f t="shared" si="97"/>
        <v/>
      </c>
      <c r="Y2952" s="40" t="str">
        <f>TEXT(Table1[[#This Row],[YEAR]],"0000")&amp;"-"&amp;Table1[[#This Row],[MONTH]]</f>
        <v>-</v>
      </c>
    </row>
    <row r="2953" spans="1:25" ht="15" customHeight="1" x14ac:dyDescent="0.35">
      <c r="A2953" s="24"/>
      <c r="B2953" s="38"/>
      <c r="C2953" s="38"/>
      <c r="D2953" s="38"/>
      <c r="E2953" s="37"/>
      <c r="F2953" s="38"/>
      <c r="G2953" s="198"/>
      <c r="H2953" s="198"/>
      <c r="I2953" s="39"/>
      <c r="J2953" s="38"/>
      <c r="K2953" s="198"/>
      <c r="L2953" s="38"/>
      <c r="M2953" s="38"/>
      <c r="N2953" s="38"/>
      <c r="O2953" s="38"/>
      <c r="P2953" s="40" t="str" cm="1">
        <f t="array" ref="P2953">IF(N2953="","",IFERROR(_xlfn.XLOOKUP(F2953&amp;"|"&amp;J2953&amp;"|"&amp;O2953,PRICES!$C$2:$C$659&amp;"|"&amp;PRICES!$B$2:$B$659&amp;"|"&amp;PRICES!$D$2:$D$659,PRICES!$E$2:$E$659),"Not Found"))</f>
        <v/>
      </c>
      <c r="Q2953" s="100" t="str">
        <f>IF(N2953=0,"",SUMIFS(PRICES!$G$2:$G$658,PRICES!$B$2:$B$658,'MAIN TABLE-1 AUTOMATED'!J2953,PRICES!$C$2:$C$658,'MAIN TABLE-1 AUTOMATED'!F2953,PRICES!$D$2:$D$658,'MAIN TABLE-1 AUTOMATED'!O2953))</f>
        <v/>
      </c>
      <c r="R2953" s="41" t="str">
        <f>IF(Table1[[#This Row],[QUANTITY]]=0,"",Table1[[#This Row],[UNIT PRICE]]*Table1[[#This Row],[QUANTITY]])</f>
        <v/>
      </c>
      <c r="S2953" s="89"/>
      <c r="T2953" s="38"/>
      <c r="U2953" s="43"/>
      <c r="V2953" s="42" t="str">
        <f>IF(Table1[[#This Row],[DATE]]=0,"",YEAR(E2953))</f>
        <v/>
      </c>
      <c r="W2953" s="40" t="str">
        <f t="shared" si="96"/>
        <v/>
      </c>
      <c r="X2953" s="40" t="str">
        <f t="shared" si="97"/>
        <v/>
      </c>
      <c r="Y2953" s="40" t="str">
        <f>TEXT(Table1[[#This Row],[YEAR]],"0000")&amp;"-"&amp;Table1[[#This Row],[MONTH]]</f>
        <v>-</v>
      </c>
    </row>
    <row r="2954" spans="1:25" ht="15" customHeight="1" x14ac:dyDescent="0.35">
      <c r="A2954" s="24"/>
      <c r="B2954" s="38"/>
      <c r="C2954" s="38"/>
      <c r="D2954" s="38"/>
      <c r="E2954" s="37"/>
      <c r="F2954" s="38"/>
      <c r="G2954" s="198"/>
      <c r="H2954" s="198"/>
      <c r="I2954" s="39"/>
      <c r="J2954" s="38"/>
      <c r="K2954" s="198"/>
      <c r="L2954" s="38"/>
      <c r="M2954" s="38"/>
      <c r="N2954" s="38"/>
      <c r="O2954" s="38"/>
      <c r="P2954" s="40" t="str" cm="1">
        <f t="array" ref="P2954">IF(N2954="","",IFERROR(_xlfn.XLOOKUP(F2954&amp;"|"&amp;J2954&amp;"|"&amp;O2954,PRICES!$C$2:$C$659&amp;"|"&amp;PRICES!$B$2:$B$659&amp;"|"&amp;PRICES!$D$2:$D$659,PRICES!$E$2:$E$659),"Not Found"))</f>
        <v/>
      </c>
      <c r="Q2954" s="100" t="str">
        <f>IF(N2954=0,"",SUMIFS(PRICES!$G$2:$G$658,PRICES!$B$2:$B$658,'MAIN TABLE-1 AUTOMATED'!J2954,PRICES!$C$2:$C$658,'MAIN TABLE-1 AUTOMATED'!F2954,PRICES!$D$2:$D$658,'MAIN TABLE-1 AUTOMATED'!O2954))</f>
        <v/>
      </c>
      <c r="R2954" s="41" t="str">
        <f>IF(Table1[[#This Row],[QUANTITY]]=0,"",Table1[[#This Row],[UNIT PRICE]]*Table1[[#This Row],[QUANTITY]])</f>
        <v/>
      </c>
      <c r="S2954" s="89"/>
      <c r="T2954" s="38"/>
      <c r="U2954" s="43"/>
      <c r="V2954" s="42" t="str">
        <f>IF(Table1[[#This Row],[DATE]]=0,"",YEAR(E2954))</f>
        <v/>
      </c>
      <c r="W2954" s="40" t="str">
        <f t="shared" si="96"/>
        <v/>
      </c>
      <c r="X2954" s="40" t="str">
        <f t="shared" si="97"/>
        <v/>
      </c>
      <c r="Y2954" s="40" t="str">
        <f>TEXT(Table1[[#This Row],[YEAR]],"0000")&amp;"-"&amp;Table1[[#This Row],[MONTH]]</f>
        <v>-</v>
      </c>
    </row>
    <row r="2955" spans="1:25" ht="15" customHeight="1" x14ac:dyDescent="0.35">
      <c r="A2955" s="24"/>
      <c r="B2955" s="38"/>
      <c r="C2955" s="38"/>
      <c r="D2955" s="38"/>
      <c r="E2955" s="37"/>
      <c r="F2955" s="38"/>
      <c r="G2955" s="198"/>
      <c r="H2955" s="198"/>
      <c r="I2955" s="39"/>
      <c r="J2955" s="38"/>
      <c r="K2955" s="198"/>
      <c r="L2955" s="38"/>
      <c r="M2955" s="38"/>
      <c r="N2955" s="38"/>
      <c r="O2955" s="38"/>
      <c r="P2955" s="40" t="str" cm="1">
        <f t="array" ref="P2955">IF(N2955="","",IFERROR(_xlfn.XLOOKUP(F2955&amp;"|"&amp;J2955&amp;"|"&amp;O2955,PRICES!$C$2:$C$659&amp;"|"&amp;PRICES!$B$2:$B$659&amp;"|"&amp;PRICES!$D$2:$D$659,PRICES!$E$2:$E$659),"Not Found"))</f>
        <v/>
      </c>
      <c r="Q2955" s="100" t="str">
        <f>IF(N2955=0,"",SUMIFS(PRICES!$G$2:$G$658,PRICES!$B$2:$B$658,'MAIN TABLE-1 AUTOMATED'!J2955,PRICES!$C$2:$C$658,'MAIN TABLE-1 AUTOMATED'!F2955,PRICES!$D$2:$D$658,'MAIN TABLE-1 AUTOMATED'!O2955))</f>
        <v/>
      </c>
      <c r="R2955" s="41" t="str">
        <f>IF(Table1[[#This Row],[QUANTITY]]=0,"",Table1[[#This Row],[UNIT PRICE]]*Table1[[#This Row],[QUANTITY]])</f>
        <v/>
      </c>
      <c r="S2955" s="89"/>
      <c r="T2955" s="38"/>
      <c r="U2955" s="43"/>
      <c r="V2955" s="42" t="str">
        <f>IF(Table1[[#This Row],[DATE]]=0,"",YEAR(E2955))</f>
        <v/>
      </c>
      <c r="W2955" s="40" t="str">
        <f t="shared" si="96"/>
        <v/>
      </c>
      <c r="X2955" s="40" t="str">
        <f t="shared" si="97"/>
        <v/>
      </c>
      <c r="Y2955" s="40" t="str">
        <f>TEXT(Table1[[#This Row],[YEAR]],"0000")&amp;"-"&amp;Table1[[#This Row],[MONTH]]</f>
        <v>-</v>
      </c>
    </row>
    <row r="2956" spans="1:25" ht="15" customHeight="1" x14ac:dyDescent="0.35">
      <c r="A2956" s="24"/>
      <c r="B2956" s="38"/>
      <c r="C2956" s="38"/>
      <c r="D2956" s="38"/>
      <c r="E2956" s="37"/>
      <c r="F2956" s="38"/>
      <c r="G2956" s="198"/>
      <c r="H2956" s="198"/>
      <c r="I2956" s="39"/>
      <c r="J2956" s="38"/>
      <c r="K2956" s="198"/>
      <c r="L2956" s="38"/>
      <c r="M2956" s="38"/>
      <c r="N2956" s="38"/>
      <c r="O2956" s="38"/>
      <c r="P2956" s="40" t="str" cm="1">
        <f t="array" ref="P2956">IF(N2956="","",IFERROR(_xlfn.XLOOKUP(F2956&amp;"|"&amp;J2956&amp;"|"&amp;O2956,PRICES!$C$2:$C$659&amp;"|"&amp;PRICES!$B$2:$B$659&amp;"|"&amp;PRICES!$D$2:$D$659,PRICES!$E$2:$E$659),"Not Found"))</f>
        <v/>
      </c>
      <c r="Q2956" s="100" t="str">
        <f>IF(N2956=0,"",SUMIFS(PRICES!$G$2:$G$658,PRICES!$B$2:$B$658,'MAIN TABLE-1 AUTOMATED'!J2956,PRICES!$C$2:$C$658,'MAIN TABLE-1 AUTOMATED'!F2956,PRICES!$D$2:$D$658,'MAIN TABLE-1 AUTOMATED'!O2956))</f>
        <v/>
      </c>
      <c r="R2956" s="41" t="str">
        <f>IF(Table1[[#This Row],[QUANTITY]]=0,"",Table1[[#This Row],[UNIT PRICE]]*Table1[[#This Row],[QUANTITY]])</f>
        <v/>
      </c>
      <c r="S2956" s="89"/>
      <c r="T2956" s="38"/>
      <c r="U2956" s="43"/>
      <c r="V2956" s="42" t="str">
        <f>IF(Table1[[#This Row],[DATE]]=0,"",YEAR(E2956))</f>
        <v/>
      </c>
      <c r="W2956" s="40" t="str">
        <f t="shared" si="96"/>
        <v/>
      </c>
      <c r="X2956" s="40" t="str">
        <f t="shared" si="97"/>
        <v/>
      </c>
      <c r="Y2956" s="40" t="str">
        <f>TEXT(Table1[[#This Row],[YEAR]],"0000")&amp;"-"&amp;Table1[[#This Row],[MONTH]]</f>
        <v>-</v>
      </c>
    </row>
    <row r="2957" spans="1:25" ht="15" customHeight="1" x14ac:dyDescent="0.35">
      <c r="A2957" s="24"/>
      <c r="B2957" s="38"/>
      <c r="C2957" s="38"/>
      <c r="D2957" s="38"/>
      <c r="E2957" s="37"/>
      <c r="F2957" s="38"/>
      <c r="G2957" s="198"/>
      <c r="H2957" s="198"/>
      <c r="I2957" s="39"/>
      <c r="J2957" s="38"/>
      <c r="K2957" s="198"/>
      <c r="L2957" s="38"/>
      <c r="M2957" s="38"/>
      <c r="N2957" s="38"/>
      <c r="O2957" s="38"/>
      <c r="P2957" s="40" t="str" cm="1">
        <f t="array" ref="P2957">IF(N2957="","",IFERROR(_xlfn.XLOOKUP(F2957&amp;"|"&amp;J2957&amp;"|"&amp;O2957,PRICES!$C$2:$C$659&amp;"|"&amp;PRICES!$B$2:$B$659&amp;"|"&amp;PRICES!$D$2:$D$659,PRICES!$E$2:$E$659),"Not Found"))</f>
        <v/>
      </c>
      <c r="Q2957" s="100" t="str">
        <f>IF(N2957=0,"",SUMIFS(PRICES!$G$2:$G$658,PRICES!$B$2:$B$658,'MAIN TABLE-1 AUTOMATED'!J2957,PRICES!$C$2:$C$658,'MAIN TABLE-1 AUTOMATED'!F2957,PRICES!$D$2:$D$658,'MAIN TABLE-1 AUTOMATED'!O2957))</f>
        <v/>
      </c>
      <c r="R2957" s="41" t="str">
        <f>IF(Table1[[#This Row],[QUANTITY]]=0,"",Table1[[#This Row],[UNIT PRICE]]*Table1[[#This Row],[QUANTITY]])</f>
        <v/>
      </c>
      <c r="S2957" s="89"/>
      <c r="T2957" s="38"/>
      <c r="U2957" s="43"/>
      <c r="V2957" s="42" t="str">
        <f>IF(Table1[[#This Row],[DATE]]=0,"",YEAR(E2957))</f>
        <v/>
      </c>
      <c r="W2957" s="40" t="str">
        <f t="shared" si="96"/>
        <v/>
      </c>
      <c r="X2957" s="40" t="str">
        <f t="shared" si="97"/>
        <v/>
      </c>
      <c r="Y2957" s="40" t="str">
        <f>TEXT(Table1[[#This Row],[YEAR]],"0000")&amp;"-"&amp;Table1[[#This Row],[MONTH]]</f>
        <v>-</v>
      </c>
    </row>
    <row r="2958" spans="1:25" ht="15" customHeight="1" x14ac:dyDescent="0.35">
      <c r="A2958" s="24"/>
      <c r="B2958" s="38"/>
      <c r="C2958" s="38"/>
      <c r="D2958" s="38"/>
      <c r="E2958" s="37"/>
      <c r="F2958" s="38"/>
      <c r="G2958" s="198"/>
      <c r="H2958" s="198"/>
      <c r="I2958" s="39"/>
      <c r="J2958" s="38"/>
      <c r="K2958" s="198"/>
      <c r="L2958" s="38"/>
      <c r="M2958" s="38"/>
      <c r="N2958" s="38"/>
      <c r="O2958" s="38"/>
      <c r="P2958" s="40" t="str" cm="1">
        <f t="array" ref="P2958">IF(N2958="","",IFERROR(_xlfn.XLOOKUP(F2958&amp;"|"&amp;J2958&amp;"|"&amp;O2958,PRICES!$C$2:$C$659&amp;"|"&amp;PRICES!$B$2:$B$659&amp;"|"&amp;PRICES!$D$2:$D$659,PRICES!$E$2:$E$659),"Not Found"))</f>
        <v/>
      </c>
      <c r="Q2958" s="100" t="str">
        <f>IF(N2958=0,"",SUMIFS(PRICES!$G$2:$G$658,PRICES!$B$2:$B$658,'MAIN TABLE-1 AUTOMATED'!J2958,PRICES!$C$2:$C$658,'MAIN TABLE-1 AUTOMATED'!F2958,PRICES!$D$2:$D$658,'MAIN TABLE-1 AUTOMATED'!O2958))</f>
        <v/>
      </c>
      <c r="R2958" s="41" t="str">
        <f>IF(Table1[[#This Row],[QUANTITY]]=0,"",Table1[[#This Row],[UNIT PRICE]]*Table1[[#This Row],[QUANTITY]])</f>
        <v/>
      </c>
      <c r="S2958" s="89"/>
      <c r="T2958" s="38"/>
      <c r="U2958" s="43"/>
      <c r="V2958" s="42" t="str">
        <f>IF(Table1[[#This Row],[DATE]]=0,"",YEAR(E2958))</f>
        <v/>
      </c>
      <c r="W2958" s="40" t="str">
        <f t="shared" si="96"/>
        <v/>
      </c>
      <c r="X2958" s="40" t="str">
        <f t="shared" si="97"/>
        <v/>
      </c>
      <c r="Y2958" s="40" t="str">
        <f>TEXT(Table1[[#This Row],[YEAR]],"0000")&amp;"-"&amp;Table1[[#This Row],[MONTH]]</f>
        <v>-</v>
      </c>
    </row>
    <row r="2959" spans="1:25" ht="15" customHeight="1" x14ac:dyDescent="0.35">
      <c r="A2959" s="24"/>
      <c r="B2959" s="38"/>
      <c r="C2959" s="38"/>
      <c r="D2959" s="38"/>
      <c r="E2959" s="37"/>
      <c r="F2959" s="38"/>
      <c r="G2959" s="198"/>
      <c r="H2959" s="198"/>
      <c r="I2959" s="39"/>
      <c r="J2959" s="38"/>
      <c r="K2959" s="198"/>
      <c r="L2959" s="38"/>
      <c r="M2959" s="38"/>
      <c r="N2959" s="38"/>
      <c r="O2959" s="38"/>
      <c r="P2959" s="40" t="str" cm="1">
        <f t="array" ref="P2959">IF(N2959="","",IFERROR(_xlfn.XLOOKUP(F2959&amp;"|"&amp;J2959&amp;"|"&amp;O2959,PRICES!$C$2:$C$659&amp;"|"&amp;PRICES!$B$2:$B$659&amp;"|"&amp;PRICES!$D$2:$D$659,PRICES!$E$2:$E$659),"Not Found"))</f>
        <v/>
      </c>
      <c r="Q2959" s="100" t="str">
        <f>IF(N2959=0,"",SUMIFS(PRICES!$G$2:$G$658,PRICES!$B$2:$B$658,'MAIN TABLE-1 AUTOMATED'!J2959,PRICES!$C$2:$C$658,'MAIN TABLE-1 AUTOMATED'!F2959,PRICES!$D$2:$D$658,'MAIN TABLE-1 AUTOMATED'!O2959))</f>
        <v/>
      </c>
      <c r="R2959" s="41" t="str">
        <f>IF(Table1[[#This Row],[QUANTITY]]=0,"",Table1[[#This Row],[UNIT PRICE]]*Table1[[#This Row],[QUANTITY]])</f>
        <v/>
      </c>
      <c r="S2959" s="89"/>
      <c r="T2959" s="38"/>
      <c r="U2959" s="43"/>
      <c r="V2959" s="42" t="str">
        <f>IF(Table1[[#This Row],[DATE]]=0,"",YEAR(E2959))</f>
        <v/>
      </c>
      <c r="W2959" s="40" t="str">
        <f t="shared" si="96"/>
        <v/>
      </c>
      <c r="X2959" s="40" t="str">
        <f t="shared" si="97"/>
        <v/>
      </c>
      <c r="Y2959" s="40" t="str">
        <f>TEXT(Table1[[#This Row],[YEAR]],"0000")&amp;"-"&amp;Table1[[#This Row],[MONTH]]</f>
        <v>-</v>
      </c>
    </row>
    <row r="2960" spans="1:25" ht="15" customHeight="1" x14ac:dyDescent="0.35">
      <c r="A2960" s="24"/>
      <c r="B2960" s="38"/>
      <c r="C2960" s="38"/>
      <c r="D2960" s="38"/>
      <c r="E2960" s="37"/>
      <c r="F2960" s="38"/>
      <c r="G2960" s="198"/>
      <c r="H2960" s="198"/>
      <c r="I2960" s="39"/>
      <c r="J2960" s="38"/>
      <c r="K2960" s="198"/>
      <c r="L2960" s="38"/>
      <c r="M2960" s="38"/>
      <c r="N2960" s="38"/>
      <c r="O2960" s="38"/>
      <c r="P2960" s="40" t="str" cm="1">
        <f t="array" ref="P2960">IF(N2960="","",IFERROR(_xlfn.XLOOKUP(F2960&amp;"|"&amp;J2960&amp;"|"&amp;O2960,PRICES!$C$2:$C$659&amp;"|"&amp;PRICES!$B$2:$B$659&amp;"|"&amp;PRICES!$D$2:$D$659,PRICES!$E$2:$E$659),"Not Found"))</f>
        <v/>
      </c>
      <c r="Q2960" s="100" t="str">
        <f>IF(N2960=0,"",SUMIFS(PRICES!$G$2:$G$658,PRICES!$B$2:$B$658,'MAIN TABLE-1 AUTOMATED'!J2960,PRICES!$C$2:$C$658,'MAIN TABLE-1 AUTOMATED'!F2960,PRICES!$D$2:$D$658,'MAIN TABLE-1 AUTOMATED'!O2960))</f>
        <v/>
      </c>
      <c r="R2960" s="41" t="str">
        <f>IF(Table1[[#This Row],[QUANTITY]]=0,"",Table1[[#This Row],[UNIT PRICE]]*Table1[[#This Row],[QUANTITY]])</f>
        <v/>
      </c>
      <c r="S2960" s="89"/>
      <c r="T2960" s="38"/>
      <c r="U2960" s="43"/>
      <c r="V2960" s="42" t="str">
        <f>IF(Table1[[#This Row],[DATE]]=0,"",YEAR(E2960))</f>
        <v/>
      </c>
      <c r="W2960" s="40" t="str">
        <f t="shared" si="96"/>
        <v/>
      </c>
      <c r="X2960" s="40" t="str">
        <f t="shared" si="97"/>
        <v/>
      </c>
      <c r="Y2960" s="40" t="str">
        <f>TEXT(Table1[[#This Row],[YEAR]],"0000")&amp;"-"&amp;Table1[[#This Row],[MONTH]]</f>
        <v>-</v>
      </c>
    </row>
    <row r="2961" spans="1:25" ht="15" customHeight="1" x14ac:dyDescent="0.35">
      <c r="A2961" s="24"/>
      <c r="B2961" s="38"/>
      <c r="C2961" s="38"/>
      <c r="D2961" s="38"/>
      <c r="E2961" s="37"/>
      <c r="F2961" s="38"/>
      <c r="G2961" s="198"/>
      <c r="H2961" s="198"/>
      <c r="I2961" s="39"/>
      <c r="J2961" s="38"/>
      <c r="K2961" s="198"/>
      <c r="L2961" s="38"/>
      <c r="M2961" s="38"/>
      <c r="N2961" s="38"/>
      <c r="O2961" s="38"/>
      <c r="P2961" s="40" t="str" cm="1">
        <f t="array" ref="P2961">IF(N2961="","",IFERROR(_xlfn.XLOOKUP(F2961&amp;"|"&amp;J2961&amp;"|"&amp;O2961,PRICES!$C$2:$C$659&amp;"|"&amp;PRICES!$B$2:$B$659&amp;"|"&amp;PRICES!$D$2:$D$659,PRICES!$E$2:$E$659),"Not Found"))</f>
        <v/>
      </c>
      <c r="Q2961" s="100" t="str">
        <f>IF(N2961=0,"",SUMIFS(PRICES!$G$2:$G$658,PRICES!$B$2:$B$658,'MAIN TABLE-1 AUTOMATED'!J2961,PRICES!$C$2:$C$658,'MAIN TABLE-1 AUTOMATED'!F2961,PRICES!$D$2:$D$658,'MAIN TABLE-1 AUTOMATED'!O2961))</f>
        <v/>
      </c>
      <c r="R2961" s="41" t="str">
        <f>IF(Table1[[#This Row],[QUANTITY]]=0,"",Table1[[#This Row],[UNIT PRICE]]*Table1[[#This Row],[QUANTITY]])</f>
        <v/>
      </c>
      <c r="S2961" s="89"/>
      <c r="T2961" s="38"/>
      <c r="U2961" s="43"/>
      <c r="V2961" s="42" t="str">
        <f>IF(Table1[[#This Row],[DATE]]=0,"",YEAR(E2961))</f>
        <v/>
      </c>
      <c r="W2961" s="40" t="str">
        <f t="shared" si="96"/>
        <v/>
      </c>
      <c r="X2961" s="40" t="str">
        <f t="shared" si="97"/>
        <v/>
      </c>
      <c r="Y2961" s="40" t="str">
        <f>TEXT(Table1[[#This Row],[YEAR]],"0000")&amp;"-"&amp;Table1[[#This Row],[MONTH]]</f>
        <v>-</v>
      </c>
    </row>
    <row r="2962" spans="1:25" ht="15" customHeight="1" x14ac:dyDescent="0.35">
      <c r="A2962" s="24"/>
      <c r="B2962" s="38"/>
      <c r="C2962" s="38"/>
      <c r="D2962" s="38"/>
      <c r="E2962" s="37"/>
      <c r="F2962" s="38"/>
      <c r="G2962" s="198"/>
      <c r="H2962" s="198"/>
      <c r="I2962" s="39"/>
      <c r="J2962" s="38"/>
      <c r="K2962" s="198"/>
      <c r="L2962" s="38"/>
      <c r="M2962" s="38"/>
      <c r="N2962" s="38"/>
      <c r="O2962" s="38"/>
      <c r="P2962" s="40" t="str" cm="1">
        <f t="array" ref="P2962">IF(N2962="","",IFERROR(_xlfn.XLOOKUP(F2962&amp;"|"&amp;J2962&amp;"|"&amp;O2962,PRICES!$C$2:$C$659&amp;"|"&amp;PRICES!$B$2:$B$659&amp;"|"&amp;PRICES!$D$2:$D$659,PRICES!$E$2:$E$659),"Not Found"))</f>
        <v/>
      </c>
      <c r="Q2962" s="100" t="str">
        <f>IF(N2962=0,"",SUMIFS(PRICES!$G$2:$G$658,PRICES!$B$2:$B$658,'MAIN TABLE-1 AUTOMATED'!J2962,PRICES!$C$2:$C$658,'MAIN TABLE-1 AUTOMATED'!F2962,PRICES!$D$2:$D$658,'MAIN TABLE-1 AUTOMATED'!O2962))</f>
        <v/>
      </c>
      <c r="R2962" s="41" t="str">
        <f>IF(Table1[[#This Row],[QUANTITY]]=0,"",Table1[[#This Row],[UNIT PRICE]]*Table1[[#This Row],[QUANTITY]])</f>
        <v/>
      </c>
      <c r="S2962" s="89"/>
      <c r="T2962" s="38"/>
      <c r="U2962" s="43"/>
      <c r="V2962" s="42" t="str">
        <f>IF(Table1[[#This Row],[DATE]]=0,"",YEAR(E2962))</f>
        <v/>
      </c>
      <c r="W2962" s="40" t="str">
        <f t="shared" si="96"/>
        <v/>
      </c>
      <c r="X2962" s="40" t="str">
        <f t="shared" si="97"/>
        <v/>
      </c>
      <c r="Y2962" s="40" t="str">
        <f>TEXT(Table1[[#This Row],[YEAR]],"0000")&amp;"-"&amp;Table1[[#This Row],[MONTH]]</f>
        <v>-</v>
      </c>
    </row>
    <row r="2963" spans="1:25" ht="15" customHeight="1" x14ac:dyDescent="0.35">
      <c r="A2963" s="24"/>
      <c r="B2963" s="38"/>
      <c r="C2963" s="38"/>
      <c r="D2963" s="38"/>
      <c r="E2963" s="37"/>
      <c r="F2963" s="38"/>
      <c r="G2963" s="198"/>
      <c r="H2963" s="198"/>
      <c r="I2963" s="39"/>
      <c r="J2963" s="38"/>
      <c r="K2963" s="198"/>
      <c r="L2963" s="38"/>
      <c r="M2963" s="38"/>
      <c r="N2963" s="38"/>
      <c r="O2963" s="38"/>
      <c r="P2963" s="40" t="str" cm="1">
        <f t="array" ref="P2963">IF(N2963="","",IFERROR(_xlfn.XLOOKUP(F2963&amp;"|"&amp;J2963&amp;"|"&amp;O2963,PRICES!$C$2:$C$659&amp;"|"&amp;PRICES!$B$2:$B$659&amp;"|"&amp;PRICES!$D$2:$D$659,PRICES!$E$2:$E$659),"Not Found"))</f>
        <v/>
      </c>
      <c r="Q2963" s="100" t="str">
        <f>IF(N2963=0,"",SUMIFS(PRICES!$G$2:$G$658,PRICES!$B$2:$B$658,'MAIN TABLE-1 AUTOMATED'!J2963,PRICES!$C$2:$C$658,'MAIN TABLE-1 AUTOMATED'!F2963,PRICES!$D$2:$D$658,'MAIN TABLE-1 AUTOMATED'!O2963))</f>
        <v/>
      </c>
      <c r="R2963" s="41" t="str">
        <f>IF(Table1[[#This Row],[QUANTITY]]=0,"",Table1[[#This Row],[UNIT PRICE]]*Table1[[#This Row],[QUANTITY]])</f>
        <v/>
      </c>
      <c r="S2963" s="89"/>
      <c r="T2963" s="38"/>
      <c r="U2963" s="43"/>
      <c r="V2963" s="42" t="str">
        <f>IF(Table1[[#This Row],[DATE]]=0,"",YEAR(E2963))</f>
        <v/>
      </c>
      <c r="W2963" s="40" t="str">
        <f t="shared" si="96"/>
        <v/>
      </c>
      <c r="X2963" s="40" t="str">
        <f t="shared" si="97"/>
        <v/>
      </c>
      <c r="Y2963" s="40" t="str">
        <f>TEXT(Table1[[#This Row],[YEAR]],"0000")&amp;"-"&amp;Table1[[#This Row],[MONTH]]</f>
        <v>-</v>
      </c>
    </row>
    <row r="2964" spans="1:25" ht="15" customHeight="1" x14ac:dyDescent="0.35">
      <c r="A2964" s="24"/>
      <c r="B2964" s="38"/>
      <c r="C2964" s="38"/>
      <c r="D2964" s="38"/>
      <c r="E2964" s="37"/>
      <c r="F2964" s="38"/>
      <c r="G2964" s="198"/>
      <c r="H2964" s="198"/>
      <c r="I2964" s="39"/>
      <c r="J2964" s="38"/>
      <c r="K2964" s="198"/>
      <c r="L2964" s="38"/>
      <c r="M2964" s="38"/>
      <c r="N2964" s="38"/>
      <c r="O2964" s="38"/>
      <c r="P2964" s="40" t="str" cm="1">
        <f t="array" ref="P2964">IF(N2964="","",IFERROR(_xlfn.XLOOKUP(F2964&amp;"|"&amp;J2964&amp;"|"&amp;O2964,PRICES!$C$2:$C$659&amp;"|"&amp;PRICES!$B$2:$B$659&amp;"|"&amp;PRICES!$D$2:$D$659,PRICES!$E$2:$E$659),"Not Found"))</f>
        <v/>
      </c>
      <c r="Q2964" s="100" t="str">
        <f>IF(N2964=0,"",SUMIFS(PRICES!$G$2:$G$658,PRICES!$B$2:$B$658,'MAIN TABLE-1 AUTOMATED'!J2964,PRICES!$C$2:$C$658,'MAIN TABLE-1 AUTOMATED'!F2964,PRICES!$D$2:$D$658,'MAIN TABLE-1 AUTOMATED'!O2964))</f>
        <v/>
      </c>
      <c r="R2964" s="41" t="str">
        <f>IF(Table1[[#This Row],[QUANTITY]]=0,"",Table1[[#This Row],[UNIT PRICE]]*Table1[[#This Row],[QUANTITY]])</f>
        <v/>
      </c>
      <c r="S2964" s="89"/>
      <c r="T2964" s="38"/>
      <c r="U2964" s="43"/>
      <c r="V2964" s="42" t="str">
        <f>IF(Table1[[#This Row],[DATE]]=0,"",YEAR(E2964))</f>
        <v/>
      </c>
      <c r="W2964" s="40" t="str">
        <f t="shared" si="96"/>
        <v/>
      </c>
      <c r="X2964" s="40" t="str">
        <f t="shared" si="97"/>
        <v/>
      </c>
      <c r="Y2964" s="40" t="str">
        <f>TEXT(Table1[[#This Row],[YEAR]],"0000")&amp;"-"&amp;Table1[[#This Row],[MONTH]]</f>
        <v>-</v>
      </c>
    </row>
    <row r="2965" spans="1:25" ht="15" customHeight="1" x14ac:dyDescent="0.35">
      <c r="A2965" s="24"/>
      <c r="B2965" s="38"/>
      <c r="C2965" s="38"/>
      <c r="D2965" s="38"/>
      <c r="E2965" s="37"/>
      <c r="F2965" s="38"/>
      <c r="G2965" s="198"/>
      <c r="H2965" s="198"/>
      <c r="I2965" s="39"/>
      <c r="J2965" s="38"/>
      <c r="K2965" s="198"/>
      <c r="L2965" s="38"/>
      <c r="M2965" s="38"/>
      <c r="N2965" s="38"/>
      <c r="O2965" s="38"/>
      <c r="P2965" s="40" t="str" cm="1">
        <f t="array" ref="P2965">IF(N2965="","",IFERROR(_xlfn.XLOOKUP(F2965&amp;"|"&amp;J2965&amp;"|"&amp;O2965,PRICES!$C$2:$C$659&amp;"|"&amp;PRICES!$B$2:$B$659&amp;"|"&amp;PRICES!$D$2:$D$659,PRICES!$E$2:$E$659),"Not Found"))</f>
        <v/>
      </c>
      <c r="Q2965" s="100" t="str">
        <f>IF(N2965=0,"",SUMIFS(PRICES!$G$2:$G$658,PRICES!$B$2:$B$658,'MAIN TABLE-1 AUTOMATED'!J2965,PRICES!$C$2:$C$658,'MAIN TABLE-1 AUTOMATED'!F2965,PRICES!$D$2:$D$658,'MAIN TABLE-1 AUTOMATED'!O2965))</f>
        <v/>
      </c>
      <c r="R2965" s="41" t="str">
        <f>IF(Table1[[#This Row],[QUANTITY]]=0,"",Table1[[#This Row],[UNIT PRICE]]*Table1[[#This Row],[QUANTITY]])</f>
        <v/>
      </c>
      <c r="S2965" s="89"/>
      <c r="T2965" s="38"/>
      <c r="U2965" s="43"/>
      <c r="V2965" s="42" t="str">
        <f>IF(Table1[[#This Row],[DATE]]=0,"",YEAR(E2965))</f>
        <v/>
      </c>
      <c r="W2965" s="40" t="str">
        <f t="shared" si="96"/>
        <v/>
      </c>
      <c r="X2965" s="40" t="str">
        <f t="shared" si="97"/>
        <v/>
      </c>
      <c r="Y2965" s="40" t="str">
        <f>TEXT(Table1[[#This Row],[YEAR]],"0000")&amp;"-"&amp;Table1[[#This Row],[MONTH]]</f>
        <v>-</v>
      </c>
    </row>
    <row r="2966" spans="1:25" ht="15" customHeight="1" x14ac:dyDescent="0.35">
      <c r="A2966" s="24"/>
      <c r="B2966" s="38"/>
      <c r="C2966" s="38"/>
      <c r="D2966" s="38"/>
      <c r="E2966" s="37"/>
      <c r="F2966" s="38"/>
      <c r="G2966" s="198"/>
      <c r="H2966" s="198"/>
      <c r="I2966" s="39"/>
      <c r="J2966" s="38"/>
      <c r="K2966" s="198"/>
      <c r="L2966" s="38"/>
      <c r="M2966" s="38"/>
      <c r="N2966" s="38"/>
      <c r="O2966" s="38"/>
      <c r="P2966" s="40" t="str" cm="1">
        <f t="array" ref="P2966">IF(N2966="","",IFERROR(_xlfn.XLOOKUP(F2966&amp;"|"&amp;J2966&amp;"|"&amp;O2966,PRICES!$C$2:$C$659&amp;"|"&amp;PRICES!$B$2:$B$659&amp;"|"&amp;PRICES!$D$2:$D$659,PRICES!$E$2:$E$659),"Not Found"))</f>
        <v/>
      </c>
      <c r="Q2966" s="100" t="str">
        <f>IF(N2966=0,"",SUMIFS(PRICES!$G$2:$G$658,PRICES!$B$2:$B$658,'MAIN TABLE-1 AUTOMATED'!J2966,PRICES!$C$2:$C$658,'MAIN TABLE-1 AUTOMATED'!F2966,PRICES!$D$2:$D$658,'MAIN TABLE-1 AUTOMATED'!O2966))</f>
        <v/>
      </c>
      <c r="R2966" s="41" t="str">
        <f>IF(Table1[[#This Row],[QUANTITY]]=0,"",Table1[[#This Row],[UNIT PRICE]]*Table1[[#This Row],[QUANTITY]])</f>
        <v/>
      </c>
      <c r="S2966" s="89"/>
      <c r="T2966" s="38"/>
      <c r="U2966" s="43"/>
      <c r="V2966" s="42" t="str">
        <f>IF(Table1[[#This Row],[DATE]]=0,"",YEAR(E2966))</f>
        <v/>
      </c>
      <c r="W2966" s="40" t="str">
        <f t="shared" si="96"/>
        <v/>
      </c>
      <c r="X2966" s="40" t="str">
        <f t="shared" si="97"/>
        <v/>
      </c>
      <c r="Y2966" s="40" t="str">
        <f>TEXT(Table1[[#This Row],[YEAR]],"0000")&amp;"-"&amp;Table1[[#This Row],[MONTH]]</f>
        <v>-</v>
      </c>
    </row>
    <row r="2967" spans="1:25" ht="15" customHeight="1" x14ac:dyDescent="0.35">
      <c r="A2967" s="24"/>
      <c r="B2967" s="38"/>
      <c r="C2967" s="38"/>
      <c r="D2967" s="38"/>
      <c r="E2967" s="37"/>
      <c r="F2967" s="38"/>
      <c r="G2967" s="198"/>
      <c r="H2967" s="198"/>
      <c r="I2967" s="39"/>
      <c r="J2967" s="38"/>
      <c r="K2967" s="198"/>
      <c r="L2967" s="38"/>
      <c r="M2967" s="38"/>
      <c r="N2967" s="38"/>
      <c r="O2967" s="38"/>
      <c r="P2967" s="40" t="str" cm="1">
        <f t="array" ref="P2967">IF(N2967="","",IFERROR(_xlfn.XLOOKUP(F2967&amp;"|"&amp;J2967&amp;"|"&amp;O2967,PRICES!$C$2:$C$659&amp;"|"&amp;PRICES!$B$2:$B$659&amp;"|"&amp;PRICES!$D$2:$D$659,PRICES!$E$2:$E$659),"Not Found"))</f>
        <v/>
      </c>
      <c r="Q2967" s="100" t="str">
        <f>IF(N2967=0,"",SUMIFS(PRICES!$G$2:$G$658,PRICES!$B$2:$B$658,'MAIN TABLE-1 AUTOMATED'!J2967,PRICES!$C$2:$C$658,'MAIN TABLE-1 AUTOMATED'!F2967,PRICES!$D$2:$D$658,'MAIN TABLE-1 AUTOMATED'!O2967))</f>
        <v/>
      </c>
      <c r="R2967" s="41" t="str">
        <f>IF(Table1[[#This Row],[QUANTITY]]=0,"",Table1[[#This Row],[UNIT PRICE]]*Table1[[#This Row],[QUANTITY]])</f>
        <v/>
      </c>
      <c r="S2967" s="89"/>
      <c r="T2967" s="38"/>
      <c r="U2967" s="43"/>
      <c r="V2967" s="42" t="str">
        <f>IF(Table1[[#This Row],[DATE]]=0,"",YEAR(E2967))</f>
        <v/>
      </c>
      <c r="W2967" s="40" t="str">
        <f t="shared" si="96"/>
        <v/>
      </c>
      <c r="X2967" s="40" t="str">
        <f t="shared" si="97"/>
        <v/>
      </c>
      <c r="Y2967" s="40" t="str">
        <f>TEXT(Table1[[#This Row],[YEAR]],"0000")&amp;"-"&amp;Table1[[#This Row],[MONTH]]</f>
        <v>-</v>
      </c>
    </row>
    <row r="2968" spans="1:25" ht="15" customHeight="1" x14ac:dyDescent="0.35">
      <c r="A2968" s="24"/>
      <c r="B2968" s="38"/>
      <c r="C2968" s="38"/>
      <c r="D2968" s="38"/>
      <c r="E2968" s="37"/>
      <c r="F2968" s="38"/>
      <c r="G2968" s="198"/>
      <c r="H2968" s="198"/>
      <c r="I2968" s="39"/>
      <c r="J2968" s="38"/>
      <c r="K2968" s="198"/>
      <c r="L2968" s="38"/>
      <c r="M2968" s="38"/>
      <c r="N2968" s="38"/>
      <c r="O2968" s="38"/>
      <c r="P2968" s="40" t="str" cm="1">
        <f t="array" ref="P2968">IF(N2968="","",IFERROR(_xlfn.XLOOKUP(F2968&amp;"|"&amp;J2968&amp;"|"&amp;O2968,PRICES!$C$2:$C$659&amp;"|"&amp;PRICES!$B$2:$B$659&amp;"|"&amp;PRICES!$D$2:$D$659,PRICES!$E$2:$E$659),"Not Found"))</f>
        <v/>
      </c>
      <c r="Q2968" s="100" t="str">
        <f>IF(N2968=0,"",SUMIFS(PRICES!$G$2:$G$658,PRICES!$B$2:$B$658,'MAIN TABLE-1 AUTOMATED'!J2968,PRICES!$C$2:$C$658,'MAIN TABLE-1 AUTOMATED'!F2968,PRICES!$D$2:$D$658,'MAIN TABLE-1 AUTOMATED'!O2968))</f>
        <v/>
      </c>
      <c r="R2968" s="41" t="str">
        <f>IF(Table1[[#This Row],[QUANTITY]]=0,"",Table1[[#This Row],[UNIT PRICE]]*Table1[[#This Row],[QUANTITY]])</f>
        <v/>
      </c>
      <c r="S2968" s="89"/>
      <c r="T2968" s="38"/>
      <c r="U2968" s="43"/>
      <c r="V2968" s="42" t="str">
        <f>IF(Table1[[#This Row],[DATE]]=0,"",YEAR(E2968))</f>
        <v/>
      </c>
      <c r="W2968" s="40" t="str">
        <f t="shared" si="96"/>
        <v/>
      </c>
      <c r="X2968" s="40" t="str">
        <f t="shared" si="97"/>
        <v/>
      </c>
      <c r="Y2968" s="40" t="str">
        <f>TEXT(Table1[[#This Row],[YEAR]],"0000")&amp;"-"&amp;Table1[[#This Row],[MONTH]]</f>
        <v>-</v>
      </c>
    </row>
    <row r="2969" spans="1:25" ht="15" customHeight="1" x14ac:dyDescent="0.35">
      <c r="A2969" s="24"/>
      <c r="B2969" s="38"/>
      <c r="C2969" s="38"/>
      <c r="D2969" s="38"/>
      <c r="E2969" s="37"/>
      <c r="F2969" s="38"/>
      <c r="G2969" s="198"/>
      <c r="H2969" s="198"/>
      <c r="I2969" s="39"/>
      <c r="J2969" s="38"/>
      <c r="K2969" s="198"/>
      <c r="L2969" s="38"/>
      <c r="M2969" s="38"/>
      <c r="N2969" s="38"/>
      <c r="O2969" s="38"/>
      <c r="P2969" s="40" t="str" cm="1">
        <f t="array" ref="P2969">IF(N2969="","",IFERROR(_xlfn.XLOOKUP(F2969&amp;"|"&amp;J2969&amp;"|"&amp;O2969,PRICES!$C$2:$C$659&amp;"|"&amp;PRICES!$B$2:$B$659&amp;"|"&amp;PRICES!$D$2:$D$659,PRICES!$E$2:$E$659),"Not Found"))</f>
        <v/>
      </c>
      <c r="Q2969" s="100" t="str">
        <f>IF(N2969=0,"",SUMIFS(PRICES!$G$2:$G$658,PRICES!$B$2:$B$658,'MAIN TABLE-1 AUTOMATED'!J2969,PRICES!$C$2:$C$658,'MAIN TABLE-1 AUTOMATED'!F2969,PRICES!$D$2:$D$658,'MAIN TABLE-1 AUTOMATED'!O2969))</f>
        <v/>
      </c>
      <c r="R2969" s="41" t="str">
        <f>IF(Table1[[#This Row],[QUANTITY]]=0,"",Table1[[#This Row],[UNIT PRICE]]*Table1[[#This Row],[QUANTITY]])</f>
        <v/>
      </c>
      <c r="S2969" s="89"/>
      <c r="T2969" s="38"/>
      <c r="U2969" s="43"/>
      <c r="V2969" s="42" t="str">
        <f>IF(Table1[[#This Row],[DATE]]=0,"",YEAR(E2969))</f>
        <v/>
      </c>
      <c r="W2969" s="40" t="str">
        <f t="shared" si="96"/>
        <v/>
      </c>
      <c r="X2969" s="40" t="str">
        <f t="shared" si="97"/>
        <v/>
      </c>
      <c r="Y2969" s="40" t="str">
        <f>TEXT(Table1[[#This Row],[YEAR]],"0000")&amp;"-"&amp;Table1[[#This Row],[MONTH]]</f>
        <v>-</v>
      </c>
    </row>
    <row r="2970" spans="1:25" ht="15" customHeight="1" x14ac:dyDescent="0.35">
      <c r="A2970" s="24"/>
      <c r="B2970" s="38"/>
      <c r="C2970" s="38"/>
      <c r="D2970" s="38"/>
      <c r="E2970" s="37"/>
      <c r="F2970" s="38"/>
      <c r="G2970" s="198"/>
      <c r="H2970" s="198"/>
      <c r="I2970" s="39"/>
      <c r="J2970" s="38"/>
      <c r="K2970" s="198"/>
      <c r="L2970" s="38"/>
      <c r="M2970" s="38"/>
      <c r="N2970" s="38"/>
      <c r="O2970" s="38"/>
      <c r="P2970" s="40" t="str" cm="1">
        <f t="array" ref="P2970">IF(N2970="","",IFERROR(_xlfn.XLOOKUP(F2970&amp;"|"&amp;J2970&amp;"|"&amp;O2970,PRICES!$C$2:$C$659&amp;"|"&amp;PRICES!$B$2:$B$659&amp;"|"&amp;PRICES!$D$2:$D$659,PRICES!$E$2:$E$659),"Not Found"))</f>
        <v/>
      </c>
      <c r="Q2970" s="100" t="str">
        <f>IF(N2970=0,"",SUMIFS(PRICES!$G$2:$G$658,PRICES!$B$2:$B$658,'MAIN TABLE-1 AUTOMATED'!J2970,PRICES!$C$2:$C$658,'MAIN TABLE-1 AUTOMATED'!F2970,PRICES!$D$2:$D$658,'MAIN TABLE-1 AUTOMATED'!O2970))</f>
        <v/>
      </c>
      <c r="R2970" s="41" t="str">
        <f>IF(Table1[[#This Row],[QUANTITY]]=0,"",Table1[[#This Row],[UNIT PRICE]]*Table1[[#This Row],[QUANTITY]])</f>
        <v/>
      </c>
      <c r="S2970" s="89"/>
      <c r="T2970" s="38"/>
      <c r="U2970" s="43"/>
      <c r="V2970" s="42" t="str">
        <f>IF(Table1[[#This Row],[DATE]]=0,"",YEAR(E2970))</f>
        <v/>
      </c>
      <c r="W2970" s="40" t="str">
        <f t="shared" si="96"/>
        <v/>
      </c>
      <c r="X2970" s="40" t="str">
        <f t="shared" si="97"/>
        <v/>
      </c>
      <c r="Y2970" s="40" t="str">
        <f>TEXT(Table1[[#This Row],[YEAR]],"0000")&amp;"-"&amp;Table1[[#This Row],[MONTH]]</f>
        <v>-</v>
      </c>
    </row>
    <row r="2971" spans="1:25" ht="15" customHeight="1" x14ac:dyDescent="0.35">
      <c r="A2971" s="24"/>
      <c r="B2971" s="38"/>
      <c r="C2971" s="38"/>
      <c r="D2971" s="38"/>
      <c r="E2971" s="37"/>
      <c r="F2971" s="38"/>
      <c r="G2971" s="198"/>
      <c r="H2971" s="198"/>
      <c r="I2971" s="39"/>
      <c r="J2971" s="38"/>
      <c r="K2971" s="198"/>
      <c r="L2971" s="38"/>
      <c r="M2971" s="38"/>
      <c r="N2971" s="38"/>
      <c r="O2971" s="38"/>
      <c r="P2971" s="40" t="str" cm="1">
        <f t="array" ref="P2971">IF(N2971="","",IFERROR(_xlfn.XLOOKUP(F2971&amp;"|"&amp;J2971&amp;"|"&amp;O2971,PRICES!$C$2:$C$659&amp;"|"&amp;PRICES!$B$2:$B$659&amp;"|"&amp;PRICES!$D$2:$D$659,PRICES!$E$2:$E$659),"Not Found"))</f>
        <v/>
      </c>
      <c r="Q2971" s="100" t="str">
        <f>IF(N2971=0,"",SUMIFS(PRICES!$G$2:$G$658,PRICES!$B$2:$B$658,'MAIN TABLE-1 AUTOMATED'!J2971,PRICES!$C$2:$C$658,'MAIN TABLE-1 AUTOMATED'!F2971,PRICES!$D$2:$D$658,'MAIN TABLE-1 AUTOMATED'!O2971))</f>
        <v/>
      </c>
      <c r="R2971" s="41" t="str">
        <f>IF(Table1[[#This Row],[QUANTITY]]=0,"",Table1[[#This Row],[UNIT PRICE]]*Table1[[#This Row],[QUANTITY]])</f>
        <v/>
      </c>
      <c r="S2971" s="89"/>
      <c r="T2971" s="38"/>
      <c r="U2971" s="43"/>
      <c r="V2971" s="42" t="str">
        <f>IF(Table1[[#This Row],[DATE]]=0,"",YEAR(E2971))</f>
        <v/>
      </c>
      <c r="W2971" s="40" t="str">
        <f t="shared" si="96"/>
        <v/>
      </c>
      <c r="X2971" s="40" t="str">
        <f t="shared" si="97"/>
        <v/>
      </c>
      <c r="Y2971" s="40" t="str">
        <f>TEXT(Table1[[#This Row],[YEAR]],"0000")&amp;"-"&amp;Table1[[#This Row],[MONTH]]</f>
        <v>-</v>
      </c>
    </row>
    <row r="2972" spans="1:25" ht="15" customHeight="1" x14ac:dyDescent="0.35">
      <c r="A2972" s="24"/>
      <c r="B2972" s="38"/>
      <c r="C2972" s="38"/>
      <c r="D2972" s="38"/>
      <c r="E2972" s="37"/>
      <c r="F2972" s="38"/>
      <c r="G2972" s="198"/>
      <c r="H2972" s="198"/>
      <c r="I2972" s="39"/>
      <c r="J2972" s="38"/>
      <c r="K2972" s="198"/>
      <c r="L2972" s="38"/>
      <c r="M2972" s="38"/>
      <c r="N2972" s="38"/>
      <c r="O2972" s="38"/>
      <c r="P2972" s="40" t="str" cm="1">
        <f t="array" ref="P2972">IF(N2972="","",IFERROR(_xlfn.XLOOKUP(F2972&amp;"|"&amp;J2972&amp;"|"&amp;O2972,PRICES!$C$2:$C$659&amp;"|"&amp;PRICES!$B$2:$B$659&amp;"|"&amp;PRICES!$D$2:$D$659,PRICES!$E$2:$E$659),"Not Found"))</f>
        <v/>
      </c>
      <c r="Q2972" s="100" t="str">
        <f>IF(N2972=0,"",SUMIFS(PRICES!$G$2:$G$658,PRICES!$B$2:$B$658,'MAIN TABLE-1 AUTOMATED'!J2972,PRICES!$C$2:$C$658,'MAIN TABLE-1 AUTOMATED'!F2972,PRICES!$D$2:$D$658,'MAIN TABLE-1 AUTOMATED'!O2972))</f>
        <v/>
      </c>
      <c r="R2972" s="41" t="str">
        <f>IF(Table1[[#This Row],[QUANTITY]]=0,"",Table1[[#This Row],[UNIT PRICE]]*Table1[[#This Row],[QUANTITY]])</f>
        <v/>
      </c>
      <c r="S2972" s="89"/>
      <c r="T2972" s="38"/>
      <c r="U2972" s="43"/>
      <c r="V2972" s="42" t="str">
        <f>IF(Table1[[#This Row],[DATE]]=0,"",YEAR(E2972))</f>
        <v/>
      </c>
      <c r="W2972" s="40" t="str">
        <f t="shared" si="96"/>
        <v/>
      </c>
      <c r="X2972" s="40" t="str">
        <f t="shared" si="97"/>
        <v/>
      </c>
      <c r="Y2972" s="40" t="str">
        <f>TEXT(Table1[[#This Row],[YEAR]],"0000")&amp;"-"&amp;Table1[[#This Row],[MONTH]]</f>
        <v>-</v>
      </c>
    </row>
    <row r="2973" spans="1:25" ht="15" customHeight="1" x14ac:dyDescent="0.35">
      <c r="A2973" s="24"/>
      <c r="B2973" s="38"/>
      <c r="C2973" s="38"/>
      <c r="D2973" s="38"/>
      <c r="E2973" s="37"/>
      <c r="F2973" s="38"/>
      <c r="G2973" s="198"/>
      <c r="H2973" s="198"/>
      <c r="I2973" s="39"/>
      <c r="J2973" s="38"/>
      <c r="K2973" s="198"/>
      <c r="L2973" s="38"/>
      <c r="M2973" s="38"/>
      <c r="N2973" s="38"/>
      <c r="O2973" s="38"/>
      <c r="P2973" s="40" t="str" cm="1">
        <f t="array" ref="P2973">IF(N2973="","",IFERROR(_xlfn.XLOOKUP(F2973&amp;"|"&amp;J2973&amp;"|"&amp;O2973,PRICES!$C$2:$C$659&amp;"|"&amp;PRICES!$B$2:$B$659&amp;"|"&amp;PRICES!$D$2:$D$659,PRICES!$E$2:$E$659),"Not Found"))</f>
        <v/>
      </c>
      <c r="Q2973" s="100" t="str">
        <f>IF(N2973=0,"",SUMIFS(PRICES!$G$2:$G$658,PRICES!$B$2:$B$658,'MAIN TABLE-1 AUTOMATED'!J2973,PRICES!$C$2:$C$658,'MAIN TABLE-1 AUTOMATED'!F2973,PRICES!$D$2:$D$658,'MAIN TABLE-1 AUTOMATED'!O2973))</f>
        <v/>
      </c>
      <c r="R2973" s="41" t="str">
        <f>IF(Table1[[#This Row],[QUANTITY]]=0,"",Table1[[#This Row],[UNIT PRICE]]*Table1[[#This Row],[QUANTITY]])</f>
        <v/>
      </c>
      <c r="S2973" s="89"/>
      <c r="T2973" s="38"/>
      <c r="U2973" s="43"/>
      <c r="V2973" s="42" t="str">
        <f>IF(Table1[[#This Row],[DATE]]=0,"",YEAR(E2973))</f>
        <v/>
      </c>
      <c r="W2973" s="40" t="str">
        <f t="shared" si="96"/>
        <v/>
      </c>
      <c r="X2973" s="40" t="str">
        <f t="shared" si="97"/>
        <v/>
      </c>
      <c r="Y2973" s="40" t="str">
        <f>TEXT(Table1[[#This Row],[YEAR]],"0000")&amp;"-"&amp;Table1[[#This Row],[MONTH]]</f>
        <v>-</v>
      </c>
    </row>
    <row r="2974" spans="1:25" ht="15" customHeight="1" x14ac:dyDescent="0.35">
      <c r="A2974" s="24"/>
      <c r="B2974" s="38"/>
      <c r="C2974" s="38"/>
      <c r="D2974" s="38"/>
      <c r="E2974" s="37"/>
      <c r="F2974" s="38"/>
      <c r="G2974" s="198"/>
      <c r="H2974" s="198"/>
      <c r="I2974" s="39"/>
      <c r="J2974" s="38"/>
      <c r="K2974" s="198"/>
      <c r="L2974" s="38"/>
      <c r="M2974" s="38"/>
      <c r="N2974" s="38"/>
      <c r="O2974" s="38"/>
      <c r="P2974" s="40" t="str" cm="1">
        <f t="array" ref="P2974">IF(N2974="","",IFERROR(_xlfn.XLOOKUP(F2974&amp;"|"&amp;J2974&amp;"|"&amp;O2974,PRICES!$C$2:$C$659&amp;"|"&amp;PRICES!$B$2:$B$659&amp;"|"&amp;PRICES!$D$2:$D$659,PRICES!$E$2:$E$659),"Not Found"))</f>
        <v/>
      </c>
      <c r="Q2974" s="100" t="str">
        <f>IF(N2974=0,"",SUMIFS(PRICES!$G$2:$G$658,PRICES!$B$2:$B$658,'MAIN TABLE-1 AUTOMATED'!J2974,PRICES!$C$2:$C$658,'MAIN TABLE-1 AUTOMATED'!F2974,PRICES!$D$2:$D$658,'MAIN TABLE-1 AUTOMATED'!O2974))</f>
        <v/>
      </c>
      <c r="R2974" s="41" t="str">
        <f>IF(Table1[[#This Row],[QUANTITY]]=0,"",Table1[[#This Row],[UNIT PRICE]]*Table1[[#This Row],[QUANTITY]])</f>
        <v/>
      </c>
      <c r="S2974" s="89"/>
      <c r="T2974" s="38"/>
      <c r="U2974" s="43"/>
      <c r="V2974" s="42" t="str">
        <f>IF(Table1[[#This Row],[DATE]]=0,"",YEAR(E2974))</f>
        <v/>
      </c>
      <c r="W2974" s="40" t="str">
        <f t="shared" si="96"/>
        <v/>
      </c>
      <c r="X2974" s="40" t="str">
        <f t="shared" si="97"/>
        <v/>
      </c>
      <c r="Y2974" s="40" t="str">
        <f>TEXT(Table1[[#This Row],[YEAR]],"0000")&amp;"-"&amp;Table1[[#This Row],[MONTH]]</f>
        <v>-</v>
      </c>
    </row>
    <row r="2975" spans="1:25" ht="15" customHeight="1" x14ac:dyDescent="0.35">
      <c r="A2975" s="24"/>
      <c r="B2975" s="38"/>
      <c r="C2975" s="38"/>
      <c r="D2975" s="38"/>
      <c r="E2975" s="37"/>
      <c r="F2975" s="38"/>
      <c r="G2975" s="198"/>
      <c r="H2975" s="198"/>
      <c r="I2975" s="39"/>
      <c r="J2975" s="38"/>
      <c r="K2975" s="198"/>
      <c r="L2975" s="38"/>
      <c r="M2975" s="38"/>
      <c r="N2975" s="38"/>
      <c r="O2975" s="38"/>
      <c r="P2975" s="40" t="str" cm="1">
        <f t="array" ref="P2975">IF(N2975="","",IFERROR(_xlfn.XLOOKUP(F2975&amp;"|"&amp;J2975&amp;"|"&amp;O2975,PRICES!$C$2:$C$659&amp;"|"&amp;PRICES!$B$2:$B$659&amp;"|"&amp;PRICES!$D$2:$D$659,PRICES!$E$2:$E$659),"Not Found"))</f>
        <v/>
      </c>
      <c r="Q2975" s="100" t="str">
        <f>IF(N2975=0,"",SUMIFS(PRICES!$G$2:$G$658,PRICES!$B$2:$B$658,'MAIN TABLE-1 AUTOMATED'!J2975,PRICES!$C$2:$C$658,'MAIN TABLE-1 AUTOMATED'!F2975,PRICES!$D$2:$D$658,'MAIN TABLE-1 AUTOMATED'!O2975))</f>
        <v/>
      </c>
      <c r="R2975" s="41" t="str">
        <f>IF(Table1[[#This Row],[QUANTITY]]=0,"",Table1[[#This Row],[UNIT PRICE]]*Table1[[#This Row],[QUANTITY]])</f>
        <v/>
      </c>
      <c r="S2975" s="89"/>
      <c r="T2975" s="38"/>
      <c r="U2975" s="43"/>
      <c r="V2975" s="42" t="str">
        <f>IF(Table1[[#This Row],[DATE]]=0,"",YEAR(E2975))</f>
        <v/>
      </c>
      <c r="W2975" s="40" t="str">
        <f t="shared" si="96"/>
        <v/>
      </c>
      <c r="X2975" s="40" t="str">
        <f t="shared" si="97"/>
        <v/>
      </c>
      <c r="Y2975" s="40" t="str">
        <f>TEXT(Table1[[#This Row],[YEAR]],"0000")&amp;"-"&amp;Table1[[#This Row],[MONTH]]</f>
        <v>-</v>
      </c>
    </row>
    <row r="2976" spans="1:25" ht="15" customHeight="1" x14ac:dyDescent="0.35">
      <c r="A2976" s="24"/>
      <c r="B2976" s="38"/>
      <c r="C2976" s="38"/>
      <c r="D2976" s="38"/>
      <c r="E2976" s="37"/>
      <c r="F2976" s="38"/>
      <c r="G2976" s="198"/>
      <c r="H2976" s="198"/>
      <c r="I2976" s="39"/>
      <c r="J2976" s="38"/>
      <c r="K2976" s="198"/>
      <c r="L2976" s="38"/>
      <c r="M2976" s="38"/>
      <c r="N2976" s="38"/>
      <c r="O2976" s="38"/>
      <c r="P2976" s="40" t="str" cm="1">
        <f t="array" ref="P2976">IF(N2976="","",IFERROR(_xlfn.XLOOKUP(F2976&amp;"|"&amp;J2976&amp;"|"&amp;O2976,PRICES!$C$2:$C$659&amp;"|"&amp;PRICES!$B$2:$B$659&amp;"|"&amp;PRICES!$D$2:$D$659,PRICES!$E$2:$E$659),"Not Found"))</f>
        <v/>
      </c>
      <c r="Q2976" s="100" t="str">
        <f>IF(N2976=0,"",SUMIFS(PRICES!$G$2:$G$658,PRICES!$B$2:$B$658,'MAIN TABLE-1 AUTOMATED'!J2976,PRICES!$C$2:$C$658,'MAIN TABLE-1 AUTOMATED'!F2976,PRICES!$D$2:$D$658,'MAIN TABLE-1 AUTOMATED'!O2976))</f>
        <v/>
      </c>
      <c r="R2976" s="41" t="str">
        <f>IF(Table1[[#This Row],[QUANTITY]]=0,"",Table1[[#This Row],[UNIT PRICE]]*Table1[[#This Row],[QUANTITY]])</f>
        <v/>
      </c>
      <c r="S2976" s="89"/>
      <c r="T2976" s="38"/>
      <c r="U2976" s="43"/>
      <c r="V2976" s="42" t="str">
        <f>IF(Table1[[#This Row],[DATE]]=0,"",YEAR(E2976))</f>
        <v/>
      </c>
      <c r="W2976" s="40" t="str">
        <f t="shared" si="96"/>
        <v/>
      </c>
      <c r="X2976" s="40" t="str">
        <f t="shared" si="97"/>
        <v/>
      </c>
      <c r="Y2976" s="40" t="str">
        <f>TEXT(Table1[[#This Row],[YEAR]],"0000")&amp;"-"&amp;Table1[[#This Row],[MONTH]]</f>
        <v>-</v>
      </c>
    </row>
    <row r="2977" spans="1:25" ht="15" customHeight="1" x14ac:dyDescent="0.35">
      <c r="A2977" s="24"/>
      <c r="B2977" s="38"/>
      <c r="C2977" s="38"/>
      <c r="D2977" s="38"/>
      <c r="E2977" s="37"/>
      <c r="F2977" s="38"/>
      <c r="G2977" s="198"/>
      <c r="H2977" s="198"/>
      <c r="I2977" s="39"/>
      <c r="J2977" s="38"/>
      <c r="K2977" s="198"/>
      <c r="L2977" s="38"/>
      <c r="M2977" s="38"/>
      <c r="N2977" s="38"/>
      <c r="O2977" s="38"/>
      <c r="P2977" s="40" t="str" cm="1">
        <f t="array" ref="P2977">IF(N2977="","",IFERROR(_xlfn.XLOOKUP(F2977&amp;"|"&amp;J2977&amp;"|"&amp;O2977,PRICES!$C$2:$C$659&amp;"|"&amp;PRICES!$B$2:$B$659&amp;"|"&amp;PRICES!$D$2:$D$659,PRICES!$E$2:$E$659),"Not Found"))</f>
        <v/>
      </c>
      <c r="Q2977" s="100" t="str">
        <f>IF(N2977=0,"",SUMIFS(PRICES!$G$2:$G$658,PRICES!$B$2:$B$658,'MAIN TABLE-1 AUTOMATED'!J2977,PRICES!$C$2:$C$658,'MAIN TABLE-1 AUTOMATED'!F2977,PRICES!$D$2:$D$658,'MAIN TABLE-1 AUTOMATED'!O2977))</f>
        <v/>
      </c>
      <c r="R2977" s="41" t="str">
        <f>IF(Table1[[#This Row],[QUANTITY]]=0,"",Table1[[#This Row],[UNIT PRICE]]*Table1[[#This Row],[QUANTITY]])</f>
        <v/>
      </c>
      <c r="S2977" s="89"/>
      <c r="T2977" s="38"/>
      <c r="U2977" s="43"/>
      <c r="V2977" s="42" t="str">
        <f>IF(Table1[[#This Row],[DATE]]=0,"",YEAR(E2977))</f>
        <v/>
      </c>
      <c r="W2977" s="40" t="str">
        <f t="shared" si="96"/>
        <v/>
      </c>
      <c r="X2977" s="40" t="str">
        <f t="shared" si="97"/>
        <v/>
      </c>
      <c r="Y2977" s="40" t="str">
        <f>TEXT(Table1[[#This Row],[YEAR]],"0000")&amp;"-"&amp;Table1[[#This Row],[MONTH]]</f>
        <v>-</v>
      </c>
    </row>
    <row r="2978" spans="1:25" ht="15" customHeight="1" x14ac:dyDescent="0.35">
      <c r="A2978" s="24"/>
      <c r="B2978" s="38"/>
      <c r="C2978" s="38"/>
      <c r="D2978" s="38"/>
      <c r="E2978" s="37"/>
      <c r="F2978" s="38"/>
      <c r="G2978" s="198"/>
      <c r="H2978" s="198"/>
      <c r="I2978" s="39"/>
      <c r="J2978" s="38"/>
      <c r="K2978" s="198"/>
      <c r="L2978" s="38"/>
      <c r="M2978" s="38"/>
      <c r="N2978" s="38"/>
      <c r="O2978" s="38"/>
      <c r="P2978" s="40" t="str" cm="1">
        <f t="array" ref="P2978">IF(N2978="","",IFERROR(_xlfn.XLOOKUP(F2978&amp;"|"&amp;J2978&amp;"|"&amp;O2978,PRICES!$C$2:$C$659&amp;"|"&amp;PRICES!$B$2:$B$659&amp;"|"&amp;PRICES!$D$2:$D$659,PRICES!$E$2:$E$659),"Not Found"))</f>
        <v/>
      </c>
      <c r="Q2978" s="100" t="str">
        <f>IF(N2978=0,"",SUMIFS(PRICES!$G$2:$G$658,PRICES!$B$2:$B$658,'MAIN TABLE-1 AUTOMATED'!J2978,PRICES!$C$2:$C$658,'MAIN TABLE-1 AUTOMATED'!F2978,PRICES!$D$2:$D$658,'MAIN TABLE-1 AUTOMATED'!O2978))</f>
        <v/>
      </c>
      <c r="R2978" s="41" t="str">
        <f>IF(Table1[[#This Row],[QUANTITY]]=0,"",Table1[[#This Row],[UNIT PRICE]]*Table1[[#This Row],[QUANTITY]])</f>
        <v/>
      </c>
      <c r="S2978" s="89"/>
      <c r="T2978" s="38"/>
      <c r="U2978" s="43"/>
      <c r="V2978" s="42" t="str">
        <f>IF(Table1[[#This Row],[DATE]]=0,"",YEAR(E2978))</f>
        <v/>
      </c>
      <c r="W2978" s="40" t="str">
        <f t="shared" si="96"/>
        <v/>
      </c>
      <c r="X2978" s="40" t="str">
        <f t="shared" si="97"/>
        <v/>
      </c>
      <c r="Y2978" s="40" t="str">
        <f>TEXT(Table1[[#This Row],[YEAR]],"0000")&amp;"-"&amp;Table1[[#This Row],[MONTH]]</f>
        <v>-</v>
      </c>
    </row>
    <row r="2979" spans="1:25" ht="15" customHeight="1" x14ac:dyDescent="0.35">
      <c r="A2979" s="24"/>
      <c r="B2979" s="38"/>
      <c r="C2979" s="38"/>
      <c r="D2979" s="38"/>
      <c r="E2979" s="37"/>
      <c r="F2979" s="38"/>
      <c r="G2979" s="198"/>
      <c r="H2979" s="198"/>
      <c r="I2979" s="39"/>
      <c r="J2979" s="38"/>
      <c r="K2979" s="198"/>
      <c r="L2979" s="38"/>
      <c r="M2979" s="38"/>
      <c r="N2979" s="38"/>
      <c r="O2979" s="38"/>
      <c r="P2979" s="40" t="str" cm="1">
        <f t="array" ref="P2979">IF(N2979="","",IFERROR(_xlfn.XLOOKUP(F2979&amp;"|"&amp;J2979&amp;"|"&amp;O2979,PRICES!$C$2:$C$659&amp;"|"&amp;PRICES!$B$2:$B$659&amp;"|"&amp;PRICES!$D$2:$D$659,PRICES!$E$2:$E$659),"Not Found"))</f>
        <v/>
      </c>
      <c r="Q2979" s="100" t="str">
        <f>IF(N2979=0,"",SUMIFS(PRICES!$G$2:$G$658,PRICES!$B$2:$B$658,'MAIN TABLE-1 AUTOMATED'!J2979,PRICES!$C$2:$C$658,'MAIN TABLE-1 AUTOMATED'!F2979,PRICES!$D$2:$D$658,'MAIN TABLE-1 AUTOMATED'!O2979))</f>
        <v/>
      </c>
      <c r="R2979" s="41" t="str">
        <f>IF(Table1[[#This Row],[QUANTITY]]=0,"",Table1[[#This Row],[UNIT PRICE]]*Table1[[#This Row],[QUANTITY]])</f>
        <v/>
      </c>
      <c r="S2979" s="89"/>
      <c r="T2979" s="38"/>
      <c r="U2979" s="43"/>
      <c r="V2979" s="42" t="str">
        <f>IF(Table1[[#This Row],[DATE]]=0,"",YEAR(E2979))</f>
        <v/>
      </c>
      <c r="W2979" s="40" t="str">
        <f t="shared" si="96"/>
        <v/>
      </c>
      <c r="X2979" s="40" t="str">
        <f t="shared" si="97"/>
        <v/>
      </c>
      <c r="Y2979" s="40" t="str">
        <f>TEXT(Table1[[#This Row],[YEAR]],"0000")&amp;"-"&amp;Table1[[#This Row],[MONTH]]</f>
        <v>-</v>
      </c>
    </row>
    <row r="2980" spans="1:25" ht="15" customHeight="1" x14ac:dyDescent="0.35">
      <c r="A2980" s="24"/>
      <c r="B2980" s="38"/>
      <c r="C2980" s="38"/>
      <c r="D2980" s="38"/>
      <c r="E2980" s="37"/>
      <c r="F2980" s="38"/>
      <c r="G2980" s="198"/>
      <c r="H2980" s="198"/>
      <c r="I2980" s="39"/>
      <c r="J2980" s="38"/>
      <c r="K2980" s="198"/>
      <c r="L2980" s="38"/>
      <c r="M2980" s="38"/>
      <c r="N2980" s="38"/>
      <c r="O2980" s="38"/>
      <c r="P2980" s="40" t="str" cm="1">
        <f t="array" ref="P2980">IF(N2980="","",IFERROR(_xlfn.XLOOKUP(F2980&amp;"|"&amp;J2980&amp;"|"&amp;O2980,PRICES!$C$2:$C$659&amp;"|"&amp;PRICES!$B$2:$B$659&amp;"|"&amp;PRICES!$D$2:$D$659,PRICES!$E$2:$E$659),"Not Found"))</f>
        <v/>
      </c>
      <c r="Q2980" s="100" t="str">
        <f>IF(N2980=0,"",SUMIFS(PRICES!$G$2:$G$658,PRICES!$B$2:$B$658,'MAIN TABLE-1 AUTOMATED'!J2980,PRICES!$C$2:$C$658,'MAIN TABLE-1 AUTOMATED'!F2980,PRICES!$D$2:$D$658,'MAIN TABLE-1 AUTOMATED'!O2980))</f>
        <v/>
      </c>
      <c r="R2980" s="41" t="str">
        <f>IF(Table1[[#This Row],[QUANTITY]]=0,"",Table1[[#This Row],[UNIT PRICE]]*Table1[[#This Row],[QUANTITY]])</f>
        <v/>
      </c>
      <c r="S2980" s="89"/>
      <c r="T2980" s="38"/>
      <c r="U2980" s="43"/>
      <c r="V2980" s="42" t="str">
        <f>IF(Table1[[#This Row],[DATE]]=0,"",YEAR(E2980))</f>
        <v/>
      </c>
      <c r="W2980" s="40" t="str">
        <f t="shared" si="96"/>
        <v/>
      </c>
      <c r="X2980" s="40" t="str">
        <f t="shared" si="97"/>
        <v/>
      </c>
      <c r="Y2980" s="40" t="str">
        <f>TEXT(Table1[[#This Row],[YEAR]],"0000")&amp;"-"&amp;Table1[[#This Row],[MONTH]]</f>
        <v>-</v>
      </c>
    </row>
    <row r="2981" spans="1:25" ht="15" customHeight="1" x14ac:dyDescent="0.35">
      <c r="A2981" s="24"/>
      <c r="B2981" s="38"/>
      <c r="C2981" s="38"/>
      <c r="D2981" s="38"/>
      <c r="E2981" s="37"/>
      <c r="F2981" s="38"/>
      <c r="G2981" s="198"/>
      <c r="H2981" s="198"/>
      <c r="I2981" s="39"/>
      <c r="J2981" s="38"/>
      <c r="K2981" s="198"/>
      <c r="L2981" s="38"/>
      <c r="M2981" s="38"/>
      <c r="N2981" s="38"/>
      <c r="O2981" s="38"/>
      <c r="P2981" s="40" t="str" cm="1">
        <f t="array" ref="P2981">IF(N2981="","",IFERROR(_xlfn.XLOOKUP(F2981&amp;"|"&amp;J2981&amp;"|"&amp;O2981,PRICES!$C$2:$C$659&amp;"|"&amp;PRICES!$B$2:$B$659&amp;"|"&amp;PRICES!$D$2:$D$659,PRICES!$E$2:$E$659),"Not Found"))</f>
        <v/>
      </c>
      <c r="Q2981" s="100" t="str">
        <f>IF(N2981=0,"",SUMIFS(PRICES!$G$2:$G$658,PRICES!$B$2:$B$658,'MAIN TABLE-1 AUTOMATED'!J2981,PRICES!$C$2:$C$658,'MAIN TABLE-1 AUTOMATED'!F2981,PRICES!$D$2:$D$658,'MAIN TABLE-1 AUTOMATED'!O2981))</f>
        <v/>
      </c>
      <c r="R2981" s="41" t="str">
        <f>IF(Table1[[#This Row],[QUANTITY]]=0,"",Table1[[#This Row],[UNIT PRICE]]*Table1[[#This Row],[QUANTITY]])</f>
        <v/>
      </c>
      <c r="S2981" s="89"/>
      <c r="T2981" s="38"/>
      <c r="U2981" s="43"/>
      <c r="V2981" s="42" t="str">
        <f>IF(Table1[[#This Row],[DATE]]=0,"",YEAR(E2981))</f>
        <v/>
      </c>
      <c r="W2981" s="40" t="str">
        <f t="shared" si="96"/>
        <v/>
      </c>
      <c r="X2981" s="40" t="str">
        <f t="shared" si="97"/>
        <v/>
      </c>
      <c r="Y2981" s="40" t="str">
        <f>TEXT(Table1[[#This Row],[YEAR]],"0000")&amp;"-"&amp;Table1[[#This Row],[MONTH]]</f>
        <v>-</v>
      </c>
    </row>
    <row r="2982" spans="1:25" ht="15" customHeight="1" x14ac:dyDescent="0.35">
      <c r="A2982" s="24"/>
      <c r="B2982" s="38"/>
      <c r="C2982" s="38"/>
      <c r="D2982" s="38"/>
      <c r="E2982" s="37"/>
      <c r="F2982" s="38"/>
      <c r="G2982" s="198"/>
      <c r="H2982" s="198"/>
      <c r="I2982" s="39"/>
      <c r="J2982" s="38"/>
      <c r="K2982" s="198"/>
      <c r="L2982" s="38"/>
      <c r="M2982" s="38"/>
      <c r="N2982" s="38"/>
      <c r="O2982" s="38"/>
      <c r="P2982" s="40" t="str" cm="1">
        <f t="array" ref="P2982">IF(N2982="","",IFERROR(_xlfn.XLOOKUP(F2982&amp;"|"&amp;J2982&amp;"|"&amp;O2982,PRICES!$C$2:$C$659&amp;"|"&amp;PRICES!$B$2:$B$659&amp;"|"&amp;PRICES!$D$2:$D$659,PRICES!$E$2:$E$659),"Not Found"))</f>
        <v/>
      </c>
      <c r="Q2982" s="100" t="str">
        <f>IF(N2982=0,"",SUMIFS(PRICES!$G$2:$G$658,PRICES!$B$2:$B$658,'MAIN TABLE-1 AUTOMATED'!J2982,PRICES!$C$2:$C$658,'MAIN TABLE-1 AUTOMATED'!F2982,PRICES!$D$2:$D$658,'MAIN TABLE-1 AUTOMATED'!O2982))</f>
        <v/>
      </c>
      <c r="R2982" s="41" t="str">
        <f>IF(Table1[[#This Row],[QUANTITY]]=0,"",Table1[[#This Row],[UNIT PRICE]]*Table1[[#This Row],[QUANTITY]])</f>
        <v/>
      </c>
      <c r="S2982" s="89"/>
      <c r="T2982" s="38"/>
      <c r="U2982" s="43"/>
      <c r="V2982" s="42" t="str">
        <f>IF(Table1[[#This Row],[DATE]]=0,"",YEAR(E2982))</f>
        <v/>
      </c>
      <c r="W2982" s="40" t="str">
        <f t="shared" si="96"/>
        <v/>
      </c>
      <c r="X2982" s="40" t="str">
        <f t="shared" si="97"/>
        <v/>
      </c>
      <c r="Y2982" s="40" t="str">
        <f>TEXT(Table1[[#This Row],[YEAR]],"0000")&amp;"-"&amp;Table1[[#This Row],[MONTH]]</f>
        <v>-</v>
      </c>
    </row>
    <row r="2983" spans="1:25" ht="15" customHeight="1" x14ac:dyDescent="0.35">
      <c r="A2983" s="24"/>
      <c r="B2983" s="38"/>
      <c r="C2983" s="38"/>
      <c r="D2983" s="38"/>
      <c r="E2983" s="37"/>
      <c r="F2983" s="38"/>
      <c r="G2983" s="198"/>
      <c r="H2983" s="198"/>
      <c r="I2983" s="39"/>
      <c r="J2983" s="38"/>
      <c r="K2983" s="198"/>
      <c r="L2983" s="38"/>
      <c r="M2983" s="38"/>
      <c r="N2983" s="38"/>
      <c r="O2983" s="38"/>
      <c r="P2983" s="40" t="str" cm="1">
        <f t="array" ref="P2983">IF(N2983="","",IFERROR(_xlfn.XLOOKUP(F2983&amp;"|"&amp;J2983&amp;"|"&amp;O2983,PRICES!$C$2:$C$659&amp;"|"&amp;PRICES!$B$2:$B$659&amp;"|"&amp;PRICES!$D$2:$D$659,PRICES!$E$2:$E$659),"Not Found"))</f>
        <v/>
      </c>
      <c r="Q2983" s="100" t="str">
        <f>IF(N2983=0,"",SUMIFS(PRICES!$G$2:$G$658,PRICES!$B$2:$B$658,'MAIN TABLE-1 AUTOMATED'!J2983,PRICES!$C$2:$C$658,'MAIN TABLE-1 AUTOMATED'!F2983,PRICES!$D$2:$D$658,'MAIN TABLE-1 AUTOMATED'!O2983))</f>
        <v/>
      </c>
      <c r="R2983" s="41" t="str">
        <f>IF(Table1[[#This Row],[QUANTITY]]=0,"",Table1[[#This Row],[UNIT PRICE]]*Table1[[#This Row],[QUANTITY]])</f>
        <v/>
      </c>
      <c r="S2983" s="89"/>
      <c r="T2983" s="38"/>
      <c r="U2983" s="43"/>
      <c r="V2983" s="42" t="str">
        <f>IF(Table1[[#This Row],[DATE]]=0,"",YEAR(E2983))</f>
        <v/>
      </c>
      <c r="W2983" s="40" t="str">
        <f t="shared" si="96"/>
        <v/>
      </c>
      <c r="X2983" s="40" t="str">
        <f t="shared" si="97"/>
        <v/>
      </c>
      <c r="Y2983" s="40" t="str">
        <f>TEXT(Table1[[#This Row],[YEAR]],"0000")&amp;"-"&amp;Table1[[#This Row],[MONTH]]</f>
        <v>-</v>
      </c>
    </row>
    <row r="2984" spans="1:25" ht="15" customHeight="1" x14ac:dyDescent="0.35">
      <c r="A2984" s="24"/>
      <c r="B2984" s="38"/>
      <c r="C2984" s="38"/>
      <c r="D2984" s="38"/>
      <c r="E2984" s="37"/>
      <c r="F2984" s="38"/>
      <c r="G2984" s="198"/>
      <c r="H2984" s="198"/>
      <c r="I2984" s="39"/>
      <c r="J2984" s="38"/>
      <c r="K2984" s="198"/>
      <c r="L2984" s="38"/>
      <c r="M2984" s="38"/>
      <c r="N2984" s="38"/>
      <c r="O2984" s="38"/>
      <c r="P2984" s="40" t="str" cm="1">
        <f t="array" ref="P2984">IF(N2984="","",IFERROR(_xlfn.XLOOKUP(F2984&amp;"|"&amp;J2984&amp;"|"&amp;O2984,PRICES!$C$2:$C$659&amp;"|"&amp;PRICES!$B$2:$B$659&amp;"|"&amp;PRICES!$D$2:$D$659,PRICES!$E$2:$E$659),"Not Found"))</f>
        <v/>
      </c>
      <c r="Q2984" s="100" t="str">
        <f>IF(N2984=0,"",SUMIFS(PRICES!$G$2:$G$658,PRICES!$B$2:$B$658,'MAIN TABLE-1 AUTOMATED'!J2984,PRICES!$C$2:$C$658,'MAIN TABLE-1 AUTOMATED'!F2984,PRICES!$D$2:$D$658,'MAIN TABLE-1 AUTOMATED'!O2984))</f>
        <v/>
      </c>
      <c r="R2984" s="41" t="str">
        <f>IF(Table1[[#This Row],[QUANTITY]]=0,"",Table1[[#This Row],[UNIT PRICE]]*Table1[[#This Row],[QUANTITY]])</f>
        <v/>
      </c>
      <c r="S2984" s="89"/>
      <c r="T2984" s="38"/>
      <c r="U2984" s="43"/>
      <c r="V2984" s="42" t="str">
        <f>IF(Table1[[#This Row],[DATE]]=0,"",YEAR(E2984))</f>
        <v/>
      </c>
      <c r="W2984" s="40" t="str">
        <f t="shared" si="96"/>
        <v/>
      </c>
      <c r="X2984" s="40" t="str">
        <f t="shared" si="97"/>
        <v/>
      </c>
      <c r="Y2984" s="40" t="str">
        <f>TEXT(Table1[[#This Row],[YEAR]],"0000")&amp;"-"&amp;Table1[[#This Row],[MONTH]]</f>
        <v>-</v>
      </c>
    </row>
    <row r="2985" spans="1:25" ht="15" customHeight="1" x14ac:dyDescent="0.35">
      <c r="A2985" s="24"/>
      <c r="B2985" s="38"/>
      <c r="C2985" s="38"/>
      <c r="D2985" s="38"/>
      <c r="E2985" s="37"/>
      <c r="F2985" s="38"/>
      <c r="G2985" s="198"/>
      <c r="H2985" s="198"/>
      <c r="I2985" s="39"/>
      <c r="J2985" s="38"/>
      <c r="K2985" s="198"/>
      <c r="L2985" s="38"/>
      <c r="M2985" s="38"/>
      <c r="N2985" s="38"/>
      <c r="O2985" s="38"/>
      <c r="P2985" s="40" t="str" cm="1">
        <f t="array" ref="P2985">IF(N2985="","",IFERROR(_xlfn.XLOOKUP(F2985&amp;"|"&amp;J2985&amp;"|"&amp;O2985,PRICES!$C$2:$C$659&amp;"|"&amp;PRICES!$B$2:$B$659&amp;"|"&amp;PRICES!$D$2:$D$659,PRICES!$E$2:$E$659),"Not Found"))</f>
        <v/>
      </c>
      <c r="Q2985" s="100" t="str">
        <f>IF(N2985=0,"",SUMIFS(PRICES!$G$2:$G$658,PRICES!$B$2:$B$658,'MAIN TABLE-1 AUTOMATED'!J2985,PRICES!$C$2:$C$658,'MAIN TABLE-1 AUTOMATED'!F2985,PRICES!$D$2:$D$658,'MAIN TABLE-1 AUTOMATED'!O2985))</f>
        <v/>
      </c>
      <c r="R2985" s="41" t="str">
        <f>IF(Table1[[#This Row],[QUANTITY]]=0,"",Table1[[#This Row],[UNIT PRICE]]*Table1[[#This Row],[QUANTITY]])</f>
        <v/>
      </c>
      <c r="S2985" s="89"/>
      <c r="T2985" s="38"/>
      <c r="U2985" s="43"/>
      <c r="V2985" s="42" t="str">
        <f>IF(Table1[[#This Row],[DATE]]=0,"",YEAR(E2985))</f>
        <v/>
      </c>
      <c r="W2985" s="40" t="str">
        <f t="shared" si="96"/>
        <v/>
      </c>
      <c r="X2985" s="40" t="str">
        <f t="shared" si="97"/>
        <v/>
      </c>
      <c r="Y2985" s="40" t="str">
        <f>TEXT(Table1[[#This Row],[YEAR]],"0000")&amp;"-"&amp;Table1[[#This Row],[MONTH]]</f>
        <v>-</v>
      </c>
    </row>
    <row r="2986" spans="1:25" ht="15" customHeight="1" x14ac:dyDescent="0.35">
      <c r="A2986" s="24"/>
      <c r="B2986" s="38"/>
      <c r="C2986" s="38"/>
      <c r="D2986" s="38"/>
      <c r="E2986" s="37"/>
      <c r="F2986" s="38"/>
      <c r="G2986" s="198"/>
      <c r="H2986" s="198"/>
      <c r="I2986" s="39"/>
      <c r="J2986" s="38"/>
      <c r="K2986" s="198"/>
      <c r="L2986" s="38"/>
      <c r="M2986" s="38"/>
      <c r="N2986" s="38"/>
      <c r="O2986" s="38"/>
      <c r="P2986" s="40" t="str" cm="1">
        <f t="array" ref="P2986">IF(N2986="","",IFERROR(_xlfn.XLOOKUP(F2986&amp;"|"&amp;J2986&amp;"|"&amp;O2986,PRICES!$C$2:$C$659&amp;"|"&amp;PRICES!$B$2:$B$659&amp;"|"&amp;PRICES!$D$2:$D$659,PRICES!$E$2:$E$659),"Not Found"))</f>
        <v/>
      </c>
      <c r="Q2986" s="100" t="str">
        <f>IF(N2986=0,"",SUMIFS(PRICES!$G$2:$G$658,PRICES!$B$2:$B$658,'MAIN TABLE-1 AUTOMATED'!J2986,PRICES!$C$2:$C$658,'MAIN TABLE-1 AUTOMATED'!F2986,PRICES!$D$2:$D$658,'MAIN TABLE-1 AUTOMATED'!O2986))</f>
        <v/>
      </c>
      <c r="R2986" s="41" t="str">
        <f>IF(Table1[[#This Row],[QUANTITY]]=0,"",Table1[[#This Row],[UNIT PRICE]]*Table1[[#This Row],[QUANTITY]])</f>
        <v/>
      </c>
      <c r="S2986" s="89"/>
      <c r="T2986" s="38"/>
      <c r="U2986" s="43"/>
      <c r="V2986" s="42" t="str">
        <f>IF(Table1[[#This Row],[DATE]]=0,"",YEAR(E2986))</f>
        <v/>
      </c>
      <c r="W2986" s="40" t="str">
        <f t="shared" si="96"/>
        <v/>
      </c>
      <c r="X2986" s="40" t="str">
        <f t="shared" si="97"/>
        <v/>
      </c>
      <c r="Y2986" s="40" t="str">
        <f>TEXT(Table1[[#This Row],[YEAR]],"0000")&amp;"-"&amp;Table1[[#This Row],[MONTH]]</f>
        <v>-</v>
      </c>
    </row>
    <row r="2987" spans="1:25" ht="15" customHeight="1" x14ac:dyDescent="0.35">
      <c r="A2987" s="24"/>
      <c r="B2987" s="38"/>
      <c r="C2987" s="38"/>
      <c r="D2987" s="38"/>
      <c r="E2987" s="37"/>
      <c r="F2987" s="38"/>
      <c r="G2987" s="198"/>
      <c r="H2987" s="198"/>
      <c r="I2987" s="39"/>
      <c r="J2987" s="38"/>
      <c r="K2987" s="198"/>
      <c r="L2987" s="38"/>
      <c r="M2987" s="38"/>
      <c r="N2987" s="38"/>
      <c r="O2987" s="38"/>
      <c r="P2987" s="40" t="str" cm="1">
        <f t="array" ref="P2987">IF(N2987="","",IFERROR(_xlfn.XLOOKUP(F2987&amp;"|"&amp;J2987&amp;"|"&amp;O2987,PRICES!$C$2:$C$659&amp;"|"&amp;PRICES!$B$2:$B$659&amp;"|"&amp;PRICES!$D$2:$D$659,PRICES!$E$2:$E$659),"Not Found"))</f>
        <v/>
      </c>
      <c r="Q2987" s="100" t="str">
        <f>IF(N2987=0,"",SUMIFS(PRICES!$G$2:$G$658,PRICES!$B$2:$B$658,'MAIN TABLE-1 AUTOMATED'!J2987,PRICES!$C$2:$C$658,'MAIN TABLE-1 AUTOMATED'!F2987,PRICES!$D$2:$D$658,'MAIN TABLE-1 AUTOMATED'!O2987))</f>
        <v/>
      </c>
      <c r="R2987" s="41" t="str">
        <f>IF(Table1[[#This Row],[QUANTITY]]=0,"",Table1[[#This Row],[UNIT PRICE]]*Table1[[#This Row],[QUANTITY]])</f>
        <v/>
      </c>
      <c r="S2987" s="89"/>
      <c r="T2987" s="38"/>
      <c r="U2987" s="43"/>
      <c r="V2987" s="42" t="str">
        <f>IF(Table1[[#This Row],[DATE]]=0,"",YEAR(E2987))</f>
        <v/>
      </c>
      <c r="W2987" s="40" t="str">
        <f t="shared" si="96"/>
        <v/>
      </c>
      <c r="X2987" s="40" t="str">
        <f t="shared" si="97"/>
        <v/>
      </c>
      <c r="Y2987" s="40" t="str">
        <f>TEXT(Table1[[#This Row],[YEAR]],"0000")&amp;"-"&amp;Table1[[#This Row],[MONTH]]</f>
        <v>-</v>
      </c>
    </row>
    <row r="2988" spans="1:25" ht="15" customHeight="1" x14ac:dyDescent="0.35">
      <c r="A2988" s="24"/>
      <c r="B2988" s="38"/>
      <c r="C2988" s="38"/>
      <c r="D2988" s="38"/>
      <c r="E2988" s="37"/>
      <c r="F2988" s="38"/>
      <c r="G2988" s="198"/>
      <c r="H2988" s="198"/>
      <c r="I2988" s="39"/>
      <c r="J2988" s="38"/>
      <c r="K2988" s="198"/>
      <c r="L2988" s="38"/>
      <c r="M2988" s="38"/>
      <c r="N2988" s="38"/>
      <c r="O2988" s="38"/>
      <c r="P2988" s="40" t="str" cm="1">
        <f t="array" ref="P2988">IF(N2988="","",IFERROR(_xlfn.XLOOKUP(F2988&amp;"|"&amp;J2988&amp;"|"&amp;O2988,PRICES!$C$2:$C$659&amp;"|"&amp;PRICES!$B$2:$B$659&amp;"|"&amp;PRICES!$D$2:$D$659,PRICES!$E$2:$E$659),"Not Found"))</f>
        <v/>
      </c>
      <c r="Q2988" s="100" t="str">
        <f>IF(N2988=0,"",SUMIFS(PRICES!$G$2:$G$658,PRICES!$B$2:$B$658,'MAIN TABLE-1 AUTOMATED'!J2988,PRICES!$C$2:$C$658,'MAIN TABLE-1 AUTOMATED'!F2988,PRICES!$D$2:$D$658,'MAIN TABLE-1 AUTOMATED'!O2988))</f>
        <v/>
      </c>
      <c r="R2988" s="41" t="str">
        <f>IF(Table1[[#This Row],[QUANTITY]]=0,"",Table1[[#This Row],[UNIT PRICE]]*Table1[[#This Row],[QUANTITY]])</f>
        <v/>
      </c>
      <c r="S2988" s="89"/>
      <c r="T2988" s="38"/>
      <c r="U2988" s="43"/>
      <c r="V2988" s="42" t="str">
        <f>IF(Table1[[#This Row],[DATE]]=0,"",YEAR(E2988))</f>
        <v/>
      </c>
      <c r="W2988" s="40" t="str">
        <f t="shared" si="96"/>
        <v/>
      </c>
      <c r="X2988" s="40" t="str">
        <f t="shared" si="97"/>
        <v/>
      </c>
      <c r="Y2988" s="40" t="str">
        <f>TEXT(Table1[[#This Row],[YEAR]],"0000")&amp;"-"&amp;Table1[[#This Row],[MONTH]]</f>
        <v>-</v>
      </c>
    </row>
    <row r="2989" spans="1:25" ht="15" customHeight="1" x14ac:dyDescent="0.35">
      <c r="A2989" s="24"/>
      <c r="B2989" s="38"/>
      <c r="C2989" s="38"/>
      <c r="D2989" s="38"/>
      <c r="E2989" s="37"/>
      <c r="F2989" s="38"/>
      <c r="G2989" s="198"/>
      <c r="H2989" s="198"/>
      <c r="I2989" s="39"/>
      <c r="J2989" s="38"/>
      <c r="K2989" s="198"/>
      <c r="L2989" s="38"/>
      <c r="M2989" s="38"/>
      <c r="N2989" s="38"/>
      <c r="O2989" s="38"/>
      <c r="P2989" s="40" t="str" cm="1">
        <f t="array" ref="P2989">IF(N2989="","",IFERROR(_xlfn.XLOOKUP(F2989&amp;"|"&amp;J2989&amp;"|"&amp;O2989,PRICES!$C$2:$C$659&amp;"|"&amp;PRICES!$B$2:$B$659&amp;"|"&amp;PRICES!$D$2:$D$659,PRICES!$E$2:$E$659),"Not Found"))</f>
        <v/>
      </c>
      <c r="Q2989" s="100" t="str">
        <f>IF(N2989=0,"",SUMIFS(PRICES!$G$2:$G$658,PRICES!$B$2:$B$658,'MAIN TABLE-1 AUTOMATED'!J2989,PRICES!$C$2:$C$658,'MAIN TABLE-1 AUTOMATED'!F2989,PRICES!$D$2:$D$658,'MAIN TABLE-1 AUTOMATED'!O2989))</f>
        <v/>
      </c>
      <c r="R2989" s="41" t="str">
        <f>IF(Table1[[#This Row],[QUANTITY]]=0,"",Table1[[#This Row],[UNIT PRICE]]*Table1[[#This Row],[QUANTITY]])</f>
        <v/>
      </c>
      <c r="S2989" s="89"/>
      <c r="T2989" s="38"/>
      <c r="U2989" s="43"/>
      <c r="V2989" s="42" t="str">
        <f>IF(Table1[[#This Row],[DATE]]=0,"",YEAR(E2989))</f>
        <v/>
      </c>
      <c r="W2989" s="40" t="str">
        <f t="shared" si="96"/>
        <v/>
      </c>
      <c r="X2989" s="40" t="str">
        <f t="shared" si="97"/>
        <v/>
      </c>
      <c r="Y2989" s="40" t="str">
        <f>TEXT(Table1[[#This Row],[YEAR]],"0000")&amp;"-"&amp;Table1[[#This Row],[MONTH]]</f>
        <v>-</v>
      </c>
    </row>
    <row r="2990" spans="1:25" ht="15" customHeight="1" x14ac:dyDescent="0.35">
      <c r="A2990" s="24"/>
      <c r="B2990" s="38"/>
      <c r="C2990" s="38"/>
      <c r="D2990" s="38"/>
      <c r="E2990" s="37"/>
      <c r="F2990" s="38"/>
      <c r="G2990" s="198"/>
      <c r="H2990" s="198"/>
      <c r="I2990" s="39"/>
      <c r="J2990" s="38"/>
      <c r="K2990" s="198"/>
      <c r="L2990" s="38"/>
      <c r="M2990" s="38"/>
      <c r="N2990" s="38"/>
      <c r="O2990" s="38"/>
      <c r="P2990" s="40" t="str" cm="1">
        <f t="array" ref="P2990">IF(N2990="","",IFERROR(_xlfn.XLOOKUP(F2990&amp;"|"&amp;J2990&amp;"|"&amp;O2990,PRICES!$C$2:$C$659&amp;"|"&amp;PRICES!$B$2:$B$659&amp;"|"&amp;PRICES!$D$2:$D$659,PRICES!$E$2:$E$659),"Not Found"))</f>
        <v/>
      </c>
      <c r="Q2990" s="100" t="str">
        <f>IF(N2990=0,"",SUMIFS(PRICES!$G$2:$G$658,PRICES!$B$2:$B$658,'MAIN TABLE-1 AUTOMATED'!J2990,PRICES!$C$2:$C$658,'MAIN TABLE-1 AUTOMATED'!F2990,PRICES!$D$2:$D$658,'MAIN TABLE-1 AUTOMATED'!O2990))</f>
        <v/>
      </c>
      <c r="R2990" s="41" t="str">
        <f>IF(Table1[[#This Row],[QUANTITY]]=0,"",Table1[[#This Row],[UNIT PRICE]]*Table1[[#This Row],[QUANTITY]])</f>
        <v/>
      </c>
      <c r="S2990" s="89"/>
      <c r="T2990" s="38"/>
      <c r="U2990" s="43"/>
      <c r="V2990" s="42" t="str">
        <f>IF(Table1[[#This Row],[DATE]]=0,"",YEAR(E2990))</f>
        <v/>
      </c>
      <c r="W2990" s="40" t="str">
        <f t="shared" si="96"/>
        <v/>
      </c>
      <c r="X2990" s="40" t="str">
        <f t="shared" si="97"/>
        <v/>
      </c>
      <c r="Y2990" s="40" t="str">
        <f>TEXT(Table1[[#This Row],[YEAR]],"0000")&amp;"-"&amp;Table1[[#This Row],[MONTH]]</f>
        <v>-</v>
      </c>
    </row>
    <row r="2991" spans="1:25" ht="15" customHeight="1" x14ac:dyDescent="0.35">
      <c r="A2991" s="24"/>
      <c r="B2991" s="38"/>
      <c r="C2991" s="38"/>
      <c r="D2991" s="38"/>
      <c r="E2991" s="37"/>
      <c r="F2991" s="38"/>
      <c r="G2991" s="198"/>
      <c r="H2991" s="198"/>
      <c r="I2991" s="39"/>
      <c r="J2991" s="38"/>
      <c r="K2991" s="198"/>
      <c r="L2991" s="38"/>
      <c r="M2991" s="38"/>
      <c r="N2991" s="38"/>
      <c r="O2991" s="38"/>
      <c r="P2991" s="40" t="str" cm="1">
        <f t="array" ref="P2991">IF(N2991="","",IFERROR(_xlfn.XLOOKUP(F2991&amp;"|"&amp;J2991&amp;"|"&amp;O2991,PRICES!$C$2:$C$659&amp;"|"&amp;PRICES!$B$2:$B$659&amp;"|"&amp;PRICES!$D$2:$D$659,PRICES!$E$2:$E$659),"Not Found"))</f>
        <v/>
      </c>
      <c r="Q2991" s="100" t="str">
        <f>IF(N2991=0,"",SUMIFS(PRICES!$G$2:$G$658,PRICES!$B$2:$B$658,'MAIN TABLE-1 AUTOMATED'!J2991,PRICES!$C$2:$C$658,'MAIN TABLE-1 AUTOMATED'!F2991,PRICES!$D$2:$D$658,'MAIN TABLE-1 AUTOMATED'!O2991))</f>
        <v/>
      </c>
      <c r="R2991" s="41" t="str">
        <f>IF(Table1[[#This Row],[QUANTITY]]=0,"",Table1[[#This Row],[UNIT PRICE]]*Table1[[#This Row],[QUANTITY]])</f>
        <v/>
      </c>
      <c r="S2991" s="89"/>
      <c r="T2991" s="38"/>
      <c r="U2991" s="43"/>
      <c r="V2991" s="42" t="str">
        <f>IF(Table1[[#This Row],[DATE]]=0,"",YEAR(E2991))</f>
        <v/>
      </c>
      <c r="W2991" s="40" t="str">
        <f t="shared" si="96"/>
        <v/>
      </c>
      <c r="X2991" s="40" t="str">
        <f t="shared" si="97"/>
        <v/>
      </c>
      <c r="Y2991" s="40" t="str">
        <f>TEXT(Table1[[#This Row],[YEAR]],"0000")&amp;"-"&amp;Table1[[#This Row],[MONTH]]</f>
        <v>-</v>
      </c>
    </row>
    <row r="2992" spans="1:25" ht="15" customHeight="1" x14ac:dyDescent="0.35">
      <c r="A2992" s="24"/>
      <c r="B2992" s="38"/>
      <c r="C2992" s="38"/>
      <c r="D2992" s="38"/>
      <c r="E2992" s="37"/>
      <c r="F2992" s="38"/>
      <c r="G2992" s="198"/>
      <c r="H2992" s="198"/>
      <c r="I2992" s="39"/>
      <c r="J2992" s="38"/>
      <c r="K2992" s="198"/>
      <c r="L2992" s="38"/>
      <c r="M2992" s="38"/>
      <c r="N2992" s="38"/>
      <c r="O2992" s="38"/>
      <c r="P2992" s="40" t="str" cm="1">
        <f t="array" ref="P2992">IF(N2992="","",IFERROR(_xlfn.XLOOKUP(F2992&amp;"|"&amp;J2992&amp;"|"&amp;O2992,PRICES!$C$2:$C$659&amp;"|"&amp;PRICES!$B$2:$B$659&amp;"|"&amp;PRICES!$D$2:$D$659,PRICES!$E$2:$E$659),"Not Found"))</f>
        <v/>
      </c>
      <c r="Q2992" s="100" t="str">
        <f>IF(N2992=0,"",SUMIFS(PRICES!$G$2:$G$658,PRICES!$B$2:$B$658,'MAIN TABLE-1 AUTOMATED'!J2992,PRICES!$C$2:$C$658,'MAIN TABLE-1 AUTOMATED'!F2992,PRICES!$D$2:$D$658,'MAIN TABLE-1 AUTOMATED'!O2992))</f>
        <v/>
      </c>
      <c r="R2992" s="41" t="str">
        <f>IF(Table1[[#This Row],[QUANTITY]]=0,"",Table1[[#This Row],[UNIT PRICE]]*Table1[[#This Row],[QUANTITY]])</f>
        <v/>
      </c>
      <c r="S2992" s="89"/>
      <c r="T2992" s="38"/>
      <c r="U2992" s="43"/>
      <c r="V2992" s="42" t="str">
        <f>IF(Table1[[#This Row],[DATE]]=0,"",YEAR(E2992))</f>
        <v/>
      </c>
      <c r="W2992" s="40" t="str">
        <f t="shared" si="96"/>
        <v/>
      </c>
      <c r="X2992" s="40" t="str">
        <f t="shared" si="97"/>
        <v/>
      </c>
      <c r="Y2992" s="40" t="str">
        <f>TEXT(Table1[[#This Row],[YEAR]],"0000")&amp;"-"&amp;Table1[[#This Row],[MONTH]]</f>
        <v>-</v>
      </c>
    </row>
    <row r="2993" spans="1:25" ht="15" customHeight="1" x14ac:dyDescent="0.35">
      <c r="A2993" s="24"/>
      <c r="B2993" s="38"/>
      <c r="C2993" s="38"/>
      <c r="D2993" s="38"/>
      <c r="E2993" s="37"/>
      <c r="F2993" s="38"/>
      <c r="G2993" s="198"/>
      <c r="H2993" s="198"/>
      <c r="I2993" s="39"/>
      <c r="J2993" s="38"/>
      <c r="K2993" s="198"/>
      <c r="L2993" s="38"/>
      <c r="M2993" s="38"/>
      <c r="N2993" s="38"/>
      <c r="O2993" s="38"/>
      <c r="P2993" s="40" t="str" cm="1">
        <f t="array" ref="P2993">IF(N2993="","",IFERROR(_xlfn.XLOOKUP(F2993&amp;"|"&amp;J2993&amp;"|"&amp;O2993,PRICES!$C$2:$C$659&amp;"|"&amp;PRICES!$B$2:$B$659&amp;"|"&amp;PRICES!$D$2:$D$659,PRICES!$E$2:$E$659),"Not Found"))</f>
        <v/>
      </c>
      <c r="Q2993" s="100" t="str">
        <f>IF(N2993=0,"",SUMIFS(PRICES!$G$2:$G$658,PRICES!$B$2:$B$658,'MAIN TABLE-1 AUTOMATED'!J2993,PRICES!$C$2:$C$658,'MAIN TABLE-1 AUTOMATED'!F2993,PRICES!$D$2:$D$658,'MAIN TABLE-1 AUTOMATED'!O2993))</f>
        <v/>
      </c>
      <c r="R2993" s="41" t="str">
        <f>IF(Table1[[#This Row],[QUANTITY]]=0,"",Table1[[#This Row],[UNIT PRICE]]*Table1[[#This Row],[QUANTITY]])</f>
        <v/>
      </c>
      <c r="S2993" s="89"/>
      <c r="T2993" s="38"/>
      <c r="U2993" s="43"/>
      <c r="V2993" s="42" t="str">
        <f>IF(Table1[[#This Row],[DATE]]=0,"",YEAR(E2993))</f>
        <v/>
      </c>
      <c r="W2993" s="40" t="str">
        <f t="shared" si="96"/>
        <v/>
      </c>
      <c r="X2993" s="40" t="str">
        <f t="shared" si="97"/>
        <v/>
      </c>
      <c r="Y2993" s="40" t="str">
        <f>TEXT(Table1[[#This Row],[YEAR]],"0000")&amp;"-"&amp;Table1[[#This Row],[MONTH]]</f>
        <v>-</v>
      </c>
    </row>
    <row r="2994" spans="1:25" ht="15" customHeight="1" x14ac:dyDescent="0.35">
      <c r="A2994" s="24"/>
      <c r="B2994" s="38"/>
      <c r="C2994" s="38"/>
      <c r="D2994" s="38"/>
      <c r="E2994" s="37"/>
      <c r="F2994" s="38"/>
      <c r="G2994" s="198"/>
      <c r="H2994" s="198"/>
      <c r="I2994" s="39"/>
      <c r="J2994" s="38"/>
      <c r="K2994" s="198"/>
      <c r="L2994" s="38"/>
      <c r="M2994" s="38"/>
      <c r="N2994" s="38"/>
      <c r="O2994" s="38"/>
      <c r="P2994" s="40" t="str" cm="1">
        <f t="array" ref="P2994">IF(N2994="","",IFERROR(_xlfn.XLOOKUP(F2994&amp;"|"&amp;J2994&amp;"|"&amp;O2994,PRICES!$C$2:$C$659&amp;"|"&amp;PRICES!$B$2:$B$659&amp;"|"&amp;PRICES!$D$2:$D$659,PRICES!$E$2:$E$659),"Not Found"))</f>
        <v/>
      </c>
      <c r="Q2994" s="100" t="str">
        <f>IF(N2994=0,"",SUMIFS(PRICES!$G$2:$G$658,PRICES!$B$2:$B$658,'MAIN TABLE-1 AUTOMATED'!J2994,PRICES!$C$2:$C$658,'MAIN TABLE-1 AUTOMATED'!F2994,PRICES!$D$2:$D$658,'MAIN TABLE-1 AUTOMATED'!O2994))</f>
        <v/>
      </c>
      <c r="R2994" s="41" t="str">
        <f>IF(Table1[[#This Row],[QUANTITY]]=0,"",Table1[[#This Row],[UNIT PRICE]]*Table1[[#This Row],[QUANTITY]])</f>
        <v/>
      </c>
      <c r="S2994" s="89"/>
      <c r="T2994" s="38"/>
      <c r="U2994" s="43"/>
      <c r="V2994" s="42" t="str">
        <f>IF(Table1[[#This Row],[DATE]]=0,"",YEAR(E2994))</f>
        <v/>
      </c>
      <c r="W2994" s="40" t="str">
        <f t="shared" si="96"/>
        <v/>
      </c>
      <c r="X2994" s="40" t="str">
        <f t="shared" si="97"/>
        <v/>
      </c>
      <c r="Y2994" s="40" t="str">
        <f>TEXT(Table1[[#This Row],[YEAR]],"0000")&amp;"-"&amp;Table1[[#This Row],[MONTH]]</f>
        <v>-</v>
      </c>
    </row>
    <row r="2995" spans="1:25" ht="15" customHeight="1" x14ac:dyDescent="0.35">
      <c r="A2995" s="24"/>
      <c r="B2995" s="38"/>
      <c r="C2995" s="38"/>
      <c r="D2995" s="38"/>
      <c r="E2995" s="37"/>
      <c r="F2995" s="38"/>
      <c r="G2995" s="198"/>
      <c r="H2995" s="198"/>
      <c r="I2995" s="39"/>
      <c r="J2995" s="38"/>
      <c r="K2995" s="198"/>
      <c r="L2995" s="38"/>
      <c r="M2995" s="38"/>
      <c r="N2995" s="38"/>
      <c r="O2995" s="38"/>
      <c r="P2995" s="40" t="str" cm="1">
        <f t="array" ref="P2995">IF(N2995="","",IFERROR(_xlfn.XLOOKUP(F2995&amp;"|"&amp;J2995&amp;"|"&amp;O2995,PRICES!$C$2:$C$659&amp;"|"&amp;PRICES!$B$2:$B$659&amp;"|"&amp;PRICES!$D$2:$D$659,PRICES!$E$2:$E$659),"Not Found"))</f>
        <v/>
      </c>
      <c r="Q2995" s="100" t="str">
        <f>IF(N2995=0,"",SUMIFS(PRICES!$G$2:$G$658,PRICES!$B$2:$B$658,'MAIN TABLE-1 AUTOMATED'!J2995,PRICES!$C$2:$C$658,'MAIN TABLE-1 AUTOMATED'!F2995,PRICES!$D$2:$D$658,'MAIN TABLE-1 AUTOMATED'!O2995))</f>
        <v/>
      </c>
      <c r="R2995" s="41" t="str">
        <f>IF(Table1[[#This Row],[QUANTITY]]=0,"",Table1[[#This Row],[UNIT PRICE]]*Table1[[#This Row],[QUANTITY]])</f>
        <v/>
      </c>
      <c r="S2995" s="89"/>
      <c r="T2995" s="38"/>
      <c r="U2995" s="43"/>
      <c r="V2995" s="42" t="str">
        <f>IF(Table1[[#This Row],[DATE]]=0,"",YEAR(E2995))</f>
        <v/>
      </c>
      <c r="W2995" s="40" t="str">
        <f t="shared" si="96"/>
        <v/>
      </c>
      <c r="X2995" s="40" t="str">
        <f t="shared" si="97"/>
        <v/>
      </c>
      <c r="Y2995" s="40" t="str">
        <f>TEXT(Table1[[#This Row],[YEAR]],"0000")&amp;"-"&amp;Table1[[#This Row],[MONTH]]</f>
        <v>-</v>
      </c>
    </row>
    <row r="2996" spans="1:25" ht="15" customHeight="1" x14ac:dyDescent="0.35">
      <c r="A2996" s="24"/>
      <c r="B2996" s="38"/>
      <c r="C2996" s="38"/>
      <c r="D2996" s="38"/>
      <c r="E2996" s="37"/>
      <c r="F2996" s="38"/>
      <c r="G2996" s="198"/>
      <c r="H2996" s="198"/>
      <c r="I2996" s="39"/>
      <c r="J2996" s="38"/>
      <c r="K2996" s="198"/>
      <c r="L2996" s="38"/>
      <c r="M2996" s="38"/>
      <c r="N2996" s="38"/>
      <c r="O2996" s="38"/>
      <c r="P2996" s="40" t="str" cm="1">
        <f t="array" ref="P2996">IF(N2996="","",IFERROR(_xlfn.XLOOKUP(F2996&amp;"|"&amp;J2996&amp;"|"&amp;O2996,PRICES!$C$2:$C$659&amp;"|"&amp;PRICES!$B$2:$B$659&amp;"|"&amp;PRICES!$D$2:$D$659,PRICES!$E$2:$E$659),"Not Found"))</f>
        <v/>
      </c>
      <c r="Q2996" s="100" t="str">
        <f>IF(N2996=0,"",SUMIFS(PRICES!$G$2:$G$658,PRICES!$B$2:$B$658,'MAIN TABLE-1 AUTOMATED'!J2996,PRICES!$C$2:$C$658,'MAIN TABLE-1 AUTOMATED'!F2996,PRICES!$D$2:$D$658,'MAIN TABLE-1 AUTOMATED'!O2996))</f>
        <v/>
      </c>
      <c r="R2996" s="41" t="str">
        <f>IF(Table1[[#This Row],[QUANTITY]]=0,"",Table1[[#This Row],[UNIT PRICE]]*Table1[[#This Row],[QUANTITY]])</f>
        <v/>
      </c>
      <c r="S2996" s="89"/>
      <c r="T2996" s="38"/>
      <c r="U2996" s="43"/>
      <c r="V2996" s="42" t="str">
        <f>IF(Table1[[#This Row],[DATE]]=0,"",YEAR(E2996))</f>
        <v/>
      </c>
      <c r="W2996" s="40" t="str">
        <f t="shared" si="96"/>
        <v/>
      </c>
      <c r="X2996" s="40" t="str">
        <f t="shared" si="97"/>
        <v/>
      </c>
      <c r="Y2996" s="40" t="str">
        <f>TEXT(Table1[[#This Row],[YEAR]],"0000")&amp;"-"&amp;Table1[[#This Row],[MONTH]]</f>
        <v>-</v>
      </c>
    </row>
    <row r="2997" spans="1:25" ht="15" customHeight="1" x14ac:dyDescent="0.35">
      <c r="A2997" s="24"/>
      <c r="B2997" s="38"/>
      <c r="C2997" s="38"/>
      <c r="D2997" s="38"/>
      <c r="E2997" s="37"/>
      <c r="F2997" s="38"/>
      <c r="G2997" s="198"/>
      <c r="H2997" s="198"/>
      <c r="I2997" s="39"/>
      <c r="J2997" s="38"/>
      <c r="K2997" s="198"/>
      <c r="L2997" s="38"/>
      <c r="M2997" s="38"/>
      <c r="N2997" s="38"/>
      <c r="O2997" s="38"/>
      <c r="P2997" s="40" t="str" cm="1">
        <f t="array" ref="P2997">IF(N2997="","",IFERROR(_xlfn.XLOOKUP(F2997&amp;"|"&amp;J2997&amp;"|"&amp;O2997,PRICES!$C$2:$C$659&amp;"|"&amp;PRICES!$B$2:$B$659&amp;"|"&amp;PRICES!$D$2:$D$659,PRICES!$E$2:$E$659),"Not Found"))</f>
        <v/>
      </c>
      <c r="Q2997" s="100" t="str">
        <f>IF(N2997=0,"",SUMIFS(PRICES!$G$2:$G$658,PRICES!$B$2:$B$658,'MAIN TABLE-1 AUTOMATED'!J2997,PRICES!$C$2:$C$658,'MAIN TABLE-1 AUTOMATED'!F2997,PRICES!$D$2:$D$658,'MAIN TABLE-1 AUTOMATED'!O2997))</f>
        <v/>
      </c>
      <c r="R2997" s="41" t="str">
        <f>IF(Table1[[#This Row],[QUANTITY]]=0,"",Table1[[#This Row],[UNIT PRICE]]*Table1[[#This Row],[QUANTITY]])</f>
        <v/>
      </c>
      <c r="S2997" s="89"/>
      <c r="T2997" s="38"/>
      <c r="U2997" s="43"/>
      <c r="V2997" s="42" t="str">
        <f>IF(Table1[[#This Row],[DATE]]=0,"",YEAR(E2997))</f>
        <v/>
      </c>
      <c r="W2997" s="40" t="str">
        <f t="shared" si="96"/>
        <v/>
      </c>
      <c r="X2997" s="40" t="str">
        <f t="shared" si="97"/>
        <v/>
      </c>
      <c r="Y2997" s="40" t="str">
        <f>TEXT(Table1[[#This Row],[YEAR]],"0000")&amp;"-"&amp;Table1[[#This Row],[MONTH]]</f>
        <v>-</v>
      </c>
    </row>
    <row r="2998" spans="1:25" ht="15" customHeight="1" x14ac:dyDescent="0.35">
      <c r="A2998" s="24"/>
      <c r="B2998" s="38"/>
      <c r="C2998" s="38"/>
      <c r="D2998" s="38"/>
      <c r="E2998" s="37"/>
      <c r="F2998" s="38"/>
      <c r="G2998" s="198"/>
      <c r="H2998" s="198"/>
      <c r="I2998" s="39"/>
      <c r="J2998" s="38"/>
      <c r="K2998" s="198"/>
      <c r="L2998" s="38"/>
      <c r="M2998" s="38"/>
      <c r="N2998" s="38"/>
      <c r="O2998" s="38"/>
      <c r="P2998" s="40" t="str" cm="1">
        <f t="array" ref="P2998">IF(N2998="","",IFERROR(_xlfn.XLOOKUP(F2998&amp;"|"&amp;J2998&amp;"|"&amp;O2998,PRICES!$C$2:$C$659&amp;"|"&amp;PRICES!$B$2:$B$659&amp;"|"&amp;PRICES!$D$2:$D$659,PRICES!$E$2:$E$659),"Not Found"))</f>
        <v/>
      </c>
      <c r="Q2998" s="100" t="str">
        <f>IF(N2998=0,"",SUMIFS(PRICES!$G$2:$G$658,PRICES!$B$2:$B$658,'MAIN TABLE-1 AUTOMATED'!J2998,PRICES!$C$2:$C$658,'MAIN TABLE-1 AUTOMATED'!F2998,PRICES!$D$2:$D$658,'MAIN TABLE-1 AUTOMATED'!O2998))</f>
        <v/>
      </c>
      <c r="R2998" s="41" t="str">
        <f>IF(Table1[[#This Row],[QUANTITY]]=0,"",Table1[[#This Row],[UNIT PRICE]]*Table1[[#This Row],[QUANTITY]])</f>
        <v/>
      </c>
      <c r="S2998" s="89"/>
      <c r="T2998" s="38"/>
      <c r="U2998" s="43"/>
      <c r="V2998" s="42" t="str">
        <f>IF(Table1[[#This Row],[DATE]]=0,"",YEAR(E2998))</f>
        <v/>
      </c>
      <c r="W2998" s="40" t="str">
        <f t="shared" si="96"/>
        <v/>
      </c>
      <c r="X2998" s="40" t="str">
        <f t="shared" si="97"/>
        <v/>
      </c>
      <c r="Y2998" s="40" t="str">
        <f>TEXT(Table1[[#This Row],[YEAR]],"0000")&amp;"-"&amp;Table1[[#This Row],[MONTH]]</f>
        <v>-</v>
      </c>
    </row>
    <row r="2999" spans="1:25" ht="15" customHeight="1" x14ac:dyDescent="0.35">
      <c r="A2999" s="24"/>
      <c r="B2999" s="38"/>
      <c r="C2999" s="38"/>
      <c r="D2999" s="38"/>
      <c r="E2999" s="37"/>
      <c r="F2999" s="38"/>
      <c r="G2999" s="198"/>
      <c r="H2999" s="198"/>
      <c r="I2999" s="39"/>
      <c r="J2999" s="38"/>
      <c r="K2999" s="198"/>
      <c r="L2999" s="38"/>
      <c r="M2999" s="38"/>
      <c r="N2999" s="38"/>
      <c r="O2999" s="38"/>
      <c r="P2999" s="40" t="str" cm="1">
        <f t="array" ref="P2999">IF(N2999="","",IFERROR(_xlfn.XLOOKUP(F2999&amp;"|"&amp;J2999&amp;"|"&amp;O2999,PRICES!$C$2:$C$659&amp;"|"&amp;PRICES!$B$2:$B$659&amp;"|"&amp;PRICES!$D$2:$D$659,PRICES!$E$2:$E$659),"Not Found"))</f>
        <v/>
      </c>
      <c r="Q2999" s="100" t="str">
        <f>IF(N2999=0,"",SUMIFS(PRICES!$G$2:$G$658,PRICES!$B$2:$B$658,'MAIN TABLE-1 AUTOMATED'!J2999,PRICES!$C$2:$C$658,'MAIN TABLE-1 AUTOMATED'!F2999,PRICES!$D$2:$D$658,'MAIN TABLE-1 AUTOMATED'!O2999))</f>
        <v/>
      </c>
      <c r="R2999" s="41" t="str">
        <f>IF(Table1[[#This Row],[QUANTITY]]=0,"",Table1[[#This Row],[UNIT PRICE]]*Table1[[#This Row],[QUANTITY]])</f>
        <v/>
      </c>
      <c r="S2999" s="89"/>
      <c r="T2999" s="38"/>
      <c r="U2999" s="43"/>
      <c r="V2999" s="42" t="str">
        <f>IF(Table1[[#This Row],[DATE]]=0,"",YEAR(E2999))</f>
        <v/>
      </c>
      <c r="W2999" s="40" t="str">
        <f t="shared" si="96"/>
        <v/>
      </c>
      <c r="X2999" s="40" t="str">
        <f t="shared" si="97"/>
        <v/>
      </c>
      <c r="Y2999" s="40" t="str">
        <f>TEXT(Table1[[#This Row],[YEAR]],"0000")&amp;"-"&amp;Table1[[#This Row],[MONTH]]</f>
        <v>-</v>
      </c>
    </row>
    <row r="3000" spans="1:25" ht="15" customHeight="1" x14ac:dyDescent="0.35">
      <c r="A3000" s="24"/>
      <c r="B3000" s="38"/>
      <c r="C3000" s="38"/>
      <c r="D3000" s="38"/>
      <c r="E3000" s="37"/>
      <c r="F3000" s="38"/>
      <c r="G3000" s="200"/>
      <c r="H3000" s="200"/>
      <c r="I3000" s="39"/>
      <c r="J3000" s="38"/>
      <c r="K3000" s="198"/>
      <c r="L3000" s="38"/>
      <c r="M3000" s="38"/>
      <c r="N3000" s="38"/>
      <c r="O3000" s="38"/>
      <c r="P3000" s="40" t="str" cm="1">
        <f t="array" ref="P3000">IF(N3000="","",IFERROR(_xlfn.XLOOKUP(F3000&amp;"|"&amp;J3000&amp;"|"&amp;O3000,PRICES!$C$2:$C$659&amp;"|"&amp;PRICES!$B$2:$B$659&amp;"|"&amp;PRICES!$D$2:$D$659,PRICES!$E$2:$E$659),"Not Found"))</f>
        <v/>
      </c>
      <c r="Q3000" s="100" t="str">
        <f>IF(N3000=0,"",SUMIFS(PRICES!$G$2:$G$658,PRICES!$B$2:$B$658,'MAIN TABLE-1 AUTOMATED'!J3000,PRICES!$C$2:$C$658,'MAIN TABLE-1 AUTOMATED'!F3000,PRICES!$D$2:$D$658,'MAIN TABLE-1 AUTOMATED'!O3000))</f>
        <v/>
      </c>
      <c r="R3000" s="41" t="str">
        <f>IF(Table1[[#This Row],[QUANTITY]]=0,"",Table1[[#This Row],[UNIT PRICE]]*Table1[[#This Row],[QUANTITY]])</f>
        <v/>
      </c>
      <c r="S3000" s="222"/>
      <c r="T3000" s="222"/>
      <c r="U3000" s="224"/>
      <c r="V3000" s="42" t="str">
        <f>IF(Table1[[#This Row],[DATE]]=0,"",YEAR(E3000))</f>
        <v/>
      </c>
      <c r="W3000" s="40" t="str">
        <f t="shared" si="96"/>
        <v/>
      </c>
      <c r="X3000" s="40" t="str">
        <f t="shared" si="97"/>
        <v/>
      </c>
      <c r="Y3000" s="40" t="str">
        <f>TEXT(Table1[[#This Row],[YEAR]],"0000")&amp;"-"&amp;Table1[[#This Row],[MONTH]]</f>
        <v>-</v>
      </c>
    </row>
    <row r="3001" spans="1:25" ht="15" customHeight="1" x14ac:dyDescent="0.35">
      <c r="A3001" s="24"/>
      <c r="B3001" s="105"/>
      <c r="C3001" s="105"/>
      <c r="D3001" s="105"/>
      <c r="E3001" s="109"/>
      <c r="F3001" s="105"/>
      <c r="G3001" s="200"/>
      <c r="H3001" s="200"/>
      <c r="I3001" s="106"/>
      <c r="J3001" s="105"/>
      <c r="K3001" s="200"/>
      <c r="L3001" s="105"/>
      <c r="M3001" s="105"/>
      <c r="N3001" s="105"/>
      <c r="O3001" s="105"/>
      <c r="P3001" s="40"/>
      <c r="Q3001" s="100"/>
      <c r="R3001" s="41"/>
      <c r="S3001" s="222"/>
      <c r="T3001" s="222"/>
      <c r="U3001" s="224"/>
      <c r="V3001" s="230" t="str">
        <f>IF(Table1[[#This Row],[DATE]]=0,"",YEAR(E3001))</f>
        <v/>
      </c>
      <c r="W3001" s="229" t="str">
        <f t="shared" si="96"/>
        <v/>
      </c>
      <c r="X3001" s="229" t="str">
        <f t="shared" si="97"/>
        <v/>
      </c>
      <c r="Y3001" s="229" t="str">
        <f>TEXT(Table1[[#This Row],[YEAR]],"0000")&amp;"-"&amp;Table1[[#This Row],[MONTH]]</f>
        <v>-</v>
      </c>
    </row>
    <row r="3002" spans="1:25" ht="15" customHeight="1" x14ac:dyDescent="0.3">
      <c r="E3002" s="1"/>
    </row>
    <row r="3003" spans="1:25" ht="15" customHeight="1" x14ac:dyDescent="0.3">
      <c r="E3003" s="1"/>
    </row>
    <row r="3004" spans="1:25" ht="15" customHeight="1" x14ac:dyDescent="0.3">
      <c r="E3004" s="1"/>
    </row>
    <row r="3005" spans="1:25" ht="15" customHeight="1" x14ac:dyDescent="0.3">
      <c r="E3005" s="1"/>
    </row>
    <row r="3006" spans="1:25" ht="15" customHeight="1" x14ac:dyDescent="0.3">
      <c r="E3006" s="1"/>
    </row>
    <row r="3007" spans="1:25" ht="15" customHeight="1" x14ac:dyDescent="0.3">
      <c r="E3007" s="1"/>
    </row>
    <row r="3008" spans="1:25" ht="15" customHeight="1" x14ac:dyDescent="0.3">
      <c r="E3008" s="1"/>
    </row>
    <row r="3009" spans="5:5" ht="15" customHeight="1" x14ac:dyDescent="0.3">
      <c r="E3009" s="1"/>
    </row>
    <row r="3010" spans="5:5" ht="15" customHeight="1" x14ac:dyDescent="0.3">
      <c r="E3010" s="1"/>
    </row>
    <row r="3011" spans="5:5" ht="15" customHeight="1" x14ac:dyDescent="0.3">
      <c r="E3011" s="1"/>
    </row>
    <row r="3012" spans="5:5" ht="15" customHeight="1" x14ac:dyDescent="0.3">
      <c r="E3012" s="1"/>
    </row>
    <row r="3013" spans="5:5" ht="15" customHeight="1" x14ac:dyDescent="0.3">
      <c r="E3013" s="1"/>
    </row>
    <row r="3014" spans="5:5" ht="15" customHeight="1" x14ac:dyDescent="0.3">
      <c r="E3014" s="1"/>
    </row>
    <row r="3015" spans="5:5" ht="15" customHeight="1" x14ac:dyDescent="0.3">
      <c r="E3015" s="1"/>
    </row>
    <row r="3016" spans="5:5" ht="15" customHeight="1" x14ac:dyDescent="0.3">
      <c r="E3016" s="1"/>
    </row>
    <row r="3017" spans="5:5" ht="15" customHeight="1" x14ac:dyDescent="0.3">
      <c r="E3017" s="1"/>
    </row>
    <row r="3018" spans="5:5" ht="15" customHeight="1" x14ac:dyDescent="0.3">
      <c r="E3018" s="1"/>
    </row>
    <row r="3019" spans="5:5" ht="15" customHeight="1" x14ac:dyDescent="0.3">
      <c r="E3019" s="1"/>
    </row>
    <row r="3020" spans="5:5" ht="15" customHeight="1" x14ac:dyDescent="0.3">
      <c r="E3020" s="1"/>
    </row>
    <row r="3021" spans="5:5" ht="15" customHeight="1" x14ac:dyDescent="0.3">
      <c r="E3021" s="1"/>
    </row>
    <row r="3022" spans="5:5" ht="15" customHeight="1" x14ac:dyDescent="0.3">
      <c r="E3022" s="1"/>
    </row>
    <row r="3023" spans="5:5" ht="15" customHeight="1" x14ac:dyDescent="0.3">
      <c r="E3023" s="1"/>
    </row>
    <row r="3024" spans="5:5" ht="15" customHeight="1" x14ac:dyDescent="0.3">
      <c r="E3024" s="1"/>
    </row>
    <row r="3025" spans="5:5" ht="15" customHeight="1" x14ac:dyDescent="0.3">
      <c r="E3025" s="1"/>
    </row>
    <row r="3026" spans="5:5" ht="15" customHeight="1" x14ac:dyDescent="0.3">
      <c r="E3026" s="1"/>
    </row>
    <row r="3027" spans="5:5" ht="15" customHeight="1" x14ac:dyDescent="0.3">
      <c r="E3027" s="1"/>
    </row>
    <row r="3028" spans="5:5" ht="15" customHeight="1" x14ac:dyDescent="0.3">
      <c r="E3028" s="1"/>
    </row>
    <row r="3029" spans="5:5" ht="15" customHeight="1" x14ac:dyDescent="0.3">
      <c r="E3029" s="1"/>
    </row>
    <row r="3030" spans="5:5" ht="15" customHeight="1" x14ac:dyDescent="0.3">
      <c r="E3030" s="1"/>
    </row>
    <row r="3031" spans="5:5" ht="15" customHeight="1" x14ac:dyDescent="0.3">
      <c r="E3031" s="1"/>
    </row>
    <row r="3032" spans="5:5" ht="15" customHeight="1" x14ac:dyDescent="0.3">
      <c r="E3032" s="1"/>
    </row>
    <row r="3033" spans="5:5" ht="15" customHeight="1" x14ac:dyDescent="0.3">
      <c r="E3033" s="1"/>
    </row>
    <row r="3034" spans="5:5" ht="15" customHeight="1" x14ac:dyDescent="0.3">
      <c r="E3034" s="1"/>
    </row>
    <row r="3035" spans="5:5" ht="15" customHeight="1" x14ac:dyDescent="0.3">
      <c r="E3035" s="1"/>
    </row>
    <row r="3036" spans="5:5" ht="15" customHeight="1" x14ac:dyDescent="0.3">
      <c r="E3036" s="1"/>
    </row>
    <row r="3037" spans="5:5" ht="15" customHeight="1" x14ac:dyDescent="0.3">
      <c r="E3037" s="1"/>
    </row>
    <row r="3038" spans="5:5" ht="15" customHeight="1" x14ac:dyDescent="0.3">
      <c r="E3038" s="1"/>
    </row>
    <row r="3039" spans="5:5" ht="15" customHeight="1" x14ac:dyDescent="0.3">
      <c r="E3039" s="1"/>
    </row>
    <row r="3040" spans="5:5" ht="15" customHeight="1" x14ac:dyDescent="0.3">
      <c r="E3040" s="1"/>
    </row>
    <row r="3041" spans="5:5" ht="15" customHeight="1" x14ac:dyDescent="0.3">
      <c r="E3041" s="1"/>
    </row>
    <row r="3042" spans="5:5" ht="15" customHeight="1" x14ac:dyDescent="0.3">
      <c r="E3042" s="1"/>
    </row>
    <row r="3043" spans="5:5" ht="15" customHeight="1" x14ac:dyDescent="0.3">
      <c r="E3043" s="1"/>
    </row>
    <row r="3044" spans="5:5" ht="15" customHeight="1" x14ac:dyDescent="0.3">
      <c r="E3044" s="1"/>
    </row>
    <row r="3045" spans="5:5" ht="15" customHeight="1" x14ac:dyDescent="0.3">
      <c r="E3045" s="1"/>
    </row>
    <row r="3046" spans="5:5" ht="15" customHeight="1" x14ac:dyDescent="0.3">
      <c r="E3046" s="1"/>
    </row>
    <row r="3047" spans="5:5" ht="15" customHeight="1" x14ac:dyDescent="0.3">
      <c r="E3047" s="1"/>
    </row>
    <row r="3048" spans="5:5" ht="15" customHeight="1" x14ac:dyDescent="0.3">
      <c r="E3048" s="1"/>
    </row>
    <row r="3049" spans="5:5" ht="15" customHeight="1" x14ac:dyDescent="0.3">
      <c r="E3049" s="1"/>
    </row>
  </sheetData>
  <sheetProtection formatCells="0" formatColumns="0" formatRows="0" insertColumns="0" insertRows="0" insertHyperlinks="0" deleteColumns="0" deleteRows="0" sort="0" autoFilter="0" pivotTables="0"/>
  <mergeCells count="3">
    <mergeCell ref="V1:Y1"/>
    <mergeCell ref="F1:K1"/>
    <mergeCell ref="S1:U1"/>
  </mergeCells>
  <phoneticPr fontId="16" type="noConversion"/>
  <conditionalFormatting sqref="I1:I1053 I1072:I1262 I1983:I1995 I1264:I1981 K2220:K2223 I1997:I2219 I2224:I2241 I2243:I2291 I2295:I2312 I2315:I1048576">
    <cfRule type="duplicateValues" dxfId="46" priority="31"/>
  </conditionalFormatting>
  <conditionalFormatting sqref="P3002:P1048576">
    <cfRule type="expression" dxfId="45" priority="21">
      <formula>AND($J3002="Muck Away backloaded",$P3002&lt;&gt;"",$P3002&lt;&gt;0)</formula>
    </cfRule>
  </conditionalFormatting>
  <conditionalFormatting sqref="I1055">
    <cfRule type="duplicateValues" dxfId="44" priority="20"/>
  </conditionalFormatting>
  <conditionalFormatting sqref="I1056:I1071">
    <cfRule type="duplicateValues" dxfId="43" priority="19"/>
  </conditionalFormatting>
  <conditionalFormatting sqref="G2:H2">
    <cfRule type="duplicateValues" dxfId="42" priority="18"/>
  </conditionalFormatting>
  <conditionalFormatting sqref="G1272:H1272">
    <cfRule type="duplicateValues" dxfId="41" priority="17"/>
  </conditionalFormatting>
  <conditionalFormatting sqref="G1273:H1278">
    <cfRule type="duplicateValues" dxfId="40" priority="16"/>
  </conditionalFormatting>
  <conditionalFormatting sqref="G1268:H1271">
    <cfRule type="duplicateValues" dxfId="39" priority="15"/>
  </conditionalFormatting>
  <conditionalFormatting sqref="M1:M1703 M1706:M3000">
    <cfRule type="expression" dxfId="38" priority="53">
      <formula>AND($J1="Muck Away backloaded",$M1&lt;&gt;"",$M1&lt;&gt;0)</formula>
    </cfRule>
  </conditionalFormatting>
  <conditionalFormatting sqref="M1705">
    <cfRule type="expression" dxfId="37" priority="59">
      <formula>AND($J1704="Muck Away backloaded",$M1705&lt;&gt;"",$M1705&lt;&gt;0)</formula>
    </cfRule>
  </conditionalFormatting>
  <conditionalFormatting sqref="M1704">
    <cfRule type="expression" dxfId="36" priority="60">
      <formula>AND(#REF!="Muck Away backloaded",$M1704&lt;&gt;"",$M1704&lt;&gt;0)</formula>
    </cfRule>
  </conditionalFormatting>
  <conditionalFormatting sqref="G2229:H2229">
    <cfRule type="duplicateValues" dxfId="35" priority="12"/>
  </conditionalFormatting>
  <conditionalFormatting sqref="J2240:J2241">
    <cfRule type="duplicateValues" dxfId="34" priority="11"/>
  </conditionalFormatting>
  <conditionalFormatting sqref="J2240:J2241">
    <cfRule type="duplicateValues" dxfId="33" priority="10"/>
  </conditionalFormatting>
  <conditionalFormatting sqref="N2313">
    <cfRule type="expression" dxfId="32" priority="9">
      <formula>AND($J2313="Muck Away backloaded",$M2313&lt;&gt;"",$M2313&lt;&gt;0)</formula>
    </cfRule>
  </conditionalFormatting>
  <conditionalFormatting sqref="N2314">
    <cfRule type="expression" dxfId="31" priority="8">
      <formula>AND($J2314="Muck Away backloaded",$M2314&lt;&gt;"",$M2314&lt;&gt;0)</formula>
    </cfRule>
  </conditionalFormatting>
  <conditionalFormatting sqref="J2313">
    <cfRule type="duplicateValues" dxfId="30" priority="7"/>
  </conditionalFormatting>
  <conditionalFormatting sqref="J2314">
    <cfRule type="duplicateValues" dxfId="29" priority="6"/>
  </conditionalFormatting>
  <conditionalFormatting sqref="J2315">
    <cfRule type="duplicateValues" dxfId="28" priority="5"/>
  </conditionalFormatting>
  <conditionalFormatting sqref="J2316">
    <cfRule type="duplicateValues" dxfId="27" priority="4"/>
  </conditionalFormatting>
  <conditionalFormatting sqref="J2317">
    <cfRule type="duplicateValues" dxfId="26" priority="3"/>
  </conditionalFormatting>
  <conditionalFormatting sqref="N2316">
    <cfRule type="expression" dxfId="25" priority="2">
      <formula>AND($J2316="Muck Away backloaded",$M2316&lt;&gt;"",$M2316&lt;&gt;0)</formula>
    </cfRule>
  </conditionalFormatting>
  <conditionalFormatting sqref="N2317">
    <cfRule type="expression" dxfId="24" priority="1">
      <formula>AND($J2317="Muck Away backloaded",$M2317&lt;&gt;"",$M2317&lt;&gt;0)</formula>
    </cfRule>
  </conditionalFormatting>
  <pageMargins left="0.7" right="0.7" top="0.75" bottom="0.75" header="0.3" footer="0.3"/>
  <pageSetup paperSize="9" scale="31" fitToHeight="0" orientation="landscape" r:id="rId1"/>
  <headerFooter>
    <oddHeader>&amp;L&amp;"Calibri"&amp;10&amp;K0000FF [RESTRICTED INTERNAL]&amp;1#_x000D_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Alculate">
                <anchor moveWithCells="1" sizeWithCells="1">
                  <from>
                    <xdr:col>0</xdr:col>
                    <xdr:colOff>60960</xdr:colOff>
                    <xdr:row>1</xdr:row>
                    <xdr:rowOff>68580</xdr:rowOff>
                  </from>
                  <to>
                    <xdr:col>0</xdr:col>
                    <xdr:colOff>1554480</xdr:colOff>
                    <xdr:row>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ClearFiltersMainSheet">
                <anchor moveWithCells="1" sizeWithCells="1">
                  <from>
                    <xdr:col>0</xdr:col>
                    <xdr:colOff>60960</xdr:colOff>
                    <xdr:row>1</xdr:row>
                    <xdr:rowOff>480060</xdr:rowOff>
                  </from>
                  <to>
                    <xdr:col>0</xdr:col>
                    <xdr:colOff>1569720</xdr:colOff>
                    <xdr:row>1</xdr:row>
                    <xdr:rowOff>922020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FilterDiesel">
                <anchor moveWithCells="1" sizeWithCells="1">
                  <from>
                    <xdr:col>0</xdr:col>
                    <xdr:colOff>60960</xdr:colOff>
                    <xdr:row>1</xdr:row>
                    <xdr:rowOff>990600</xdr:rowOff>
                  </from>
                  <to>
                    <xdr:col>0</xdr:col>
                    <xdr:colOff>518160</xdr:colOff>
                    <xdr:row>1</xdr:row>
                    <xdr:rowOff>1440180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FilterDrinkingWater">
                <anchor moveWithCells="1" sizeWithCells="1">
                  <from>
                    <xdr:col>0</xdr:col>
                    <xdr:colOff>556260</xdr:colOff>
                    <xdr:row>1</xdr:row>
                    <xdr:rowOff>990600</xdr:rowOff>
                  </from>
                  <to>
                    <xdr:col>0</xdr:col>
                    <xdr:colOff>998220</xdr:colOff>
                    <xdr:row>1</xdr:row>
                    <xdr:rowOff>1432560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Button 14">
              <controlPr defaultSize="0" print="0" autoFill="0" autoPict="0" macro="[0]!FilterEffluent">
                <anchor moveWithCells="1" sizeWithCells="1">
                  <from>
                    <xdr:col>0</xdr:col>
                    <xdr:colOff>1051560</xdr:colOff>
                    <xdr:row>1</xdr:row>
                    <xdr:rowOff>990600</xdr:rowOff>
                  </from>
                  <to>
                    <xdr:col>0</xdr:col>
                    <xdr:colOff>1554480</xdr:colOff>
                    <xdr:row>1</xdr:row>
                    <xdr:rowOff>1432560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" operator="equal" id="{4D450E4B-897B-466B-999F-14884F38F5E0}">
            <xm:f>'CATEGORY TABLES'!$Q$7</xm:f>
            <x14:dxf>
              <fill>
                <patternFill>
                  <bgColor theme="9" tint="0.59996337778862885"/>
                </patternFill>
              </fill>
            </x14:dxf>
          </x14:cfRule>
          <xm:sqref>S3:S1048576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4887E9-7FB3-4F0B-B7BA-608776A212D5}">
          <x14:formula1>
            <xm:f>'CATEGORY TABLES'!$K$2:$K$23</xm:f>
          </x14:formula1>
          <xm:sqref>C3:C35</xm:sqref>
        </x14:dataValidation>
        <x14:dataValidation type="list" allowBlank="1" showInputMessage="1" showErrorMessage="1" xr:uid="{7CF4B7A3-1CF4-40A6-B4CF-E6241B4869B0}">
          <x14:formula1>
            <xm:f>'CATEGORY TABLES'!$K$2:$K$27</xm:f>
          </x14:formula1>
          <xm:sqref>C36:C1214 C1270:C1271 C1888:C1889 C1897:C1900 C2035 C2063</xm:sqref>
        </x14:dataValidation>
        <x14:dataValidation type="list" allowBlank="1" showInputMessage="1" showErrorMessage="1" xr:uid="{13F4E263-CE1A-48B7-A298-239258F9030A}">
          <x14:formula1>
            <xm:f>'CATEGORY TABLES'!$K$2:$K$26</xm:f>
          </x14:formula1>
          <xm:sqref>C1215:C1269 C1272:C1887 C1890:C1896 C1901:C2034 C2036:C2062 C2064:C3000</xm:sqref>
        </x14:dataValidation>
        <x14:dataValidation type="list" allowBlank="1" showInputMessage="1" showErrorMessage="1" xr:uid="{45CC4B80-390B-48DA-9C3B-8BEFB1AD58E6}">
          <x14:formula1>
            <xm:f>'CATEGORY TABLES'!$C$2:$C$350</xm:f>
          </x14:formula1>
          <xm:sqref>J3:J1704 J1721:J1738 K2076 K2240 J1763:J2239 J2241:J2312 J2318:J3000</xm:sqref>
        </x14:dataValidation>
        <x14:dataValidation type="list" allowBlank="1" showInputMessage="1" showErrorMessage="1" xr:uid="{91316C59-D804-46D2-846C-E88896BF6097}">
          <x14:formula1>
            <xm:f>'CATEGORY TABLES'!$G$2:$G$22</xm:f>
          </x14:formula1>
          <xm:sqref>B3:B3001</xm:sqref>
        </x14:dataValidation>
        <x14:dataValidation type="list" allowBlank="1" showInputMessage="1" showErrorMessage="1" xr:uid="{1195F7F5-3CE9-49A7-B252-235406AA3039}">
          <x14:formula1>
            <xm:f>SUPPLIERS!$B$2:$B$100</xm:f>
          </x14:formula1>
          <xm:sqref>F3:F3001</xm:sqref>
        </x14:dataValidation>
        <x14:dataValidation type="list" allowBlank="1" showInputMessage="1" showErrorMessage="1" xr:uid="{4566B744-3207-45D5-B090-2D732BF71860}">
          <x14:formula1>
            <xm:f>'CATEGORY TABLES'!$E$2:$E$30</xm:f>
          </x14:formula1>
          <xm:sqref>D3:D3001</xm:sqref>
        </x14:dataValidation>
        <x14:dataValidation type="list" allowBlank="1" showInputMessage="1" showErrorMessage="1" xr:uid="{618D7E5C-B3C4-4ADF-B4B5-0F9CDE069F2C}">
          <x14:formula1>
            <xm:f>'CATEGORY TABLES'!$I$2:$I$14</xm:f>
          </x14:formula1>
          <xm:sqref>T3:T3001</xm:sqref>
        </x14:dataValidation>
        <x14:dataValidation type="list" allowBlank="1" showInputMessage="1" showErrorMessage="1" xr:uid="{EE23C617-EAB1-4EA6-B46D-767103B23E87}">
          <x14:formula1>
            <xm:f>'CATEGORY TABLES'!$W$2:$W$17</xm:f>
          </x14:formula1>
          <xm:sqref>L3:L3001</xm:sqref>
        </x14:dataValidation>
        <x14:dataValidation type="list" allowBlank="1" showInputMessage="1" showErrorMessage="1" xr:uid="{4F729FF8-6542-457F-AD20-8B444CAA405E}">
          <x14:formula1>
            <xm:f>'CATEGORY TABLES'!$O$2:$O$5</xm:f>
          </x14:formula1>
          <xm:sqref>U3:U3001</xm:sqref>
        </x14:dataValidation>
        <x14:dataValidation type="list" allowBlank="1" showInputMessage="1" showErrorMessage="1" xr:uid="{510C2942-6439-4279-B8D4-358A41BBDBA1}">
          <x14:formula1>
            <xm:f>'CATEGORY TABLES'!$Q$2:$Q$10</xm:f>
          </x14:formula1>
          <xm:sqref>S3:S3001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2F7FA-53D3-463C-B932-77BF94F79194}">
  <sheetPr codeName="Sheet22"/>
  <dimension ref="A1:E27"/>
  <sheetViews>
    <sheetView workbookViewId="0">
      <selection activeCell="M27" sqref="M27"/>
    </sheetView>
  </sheetViews>
  <sheetFormatPr defaultRowHeight="14.4" x14ac:dyDescent="0.3"/>
  <cols>
    <col min="1" max="1" width="12.77734375" bestFit="1" customWidth="1"/>
    <col min="2" max="2" width="11.88671875" bestFit="1" customWidth="1"/>
    <col min="4" max="4" width="12.88671875" bestFit="1" customWidth="1"/>
    <col min="5" max="5" width="11.88671875" bestFit="1" customWidth="1"/>
  </cols>
  <sheetData>
    <row r="1" spans="1:2" x14ac:dyDescent="0.3">
      <c r="A1" s="90" t="s">
        <v>106</v>
      </c>
      <c r="B1" t="s">
        <v>378</v>
      </c>
    </row>
    <row r="2" spans="1:2" x14ac:dyDescent="0.3">
      <c r="A2" s="4" t="s">
        <v>107</v>
      </c>
      <c r="B2" s="3"/>
    </row>
    <row r="23" spans="4:5" x14ac:dyDescent="0.3">
      <c r="D23" s="90" t="s">
        <v>377</v>
      </c>
      <c r="E23" t="s">
        <v>400</v>
      </c>
    </row>
    <row r="25" spans="4:5" x14ac:dyDescent="0.3">
      <c r="D25" s="90" t="s">
        <v>106</v>
      </c>
      <c r="E25" t="s">
        <v>378</v>
      </c>
    </row>
    <row r="26" spans="4:5" x14ac:dyDescent="0.3">
      <c r="D26" s="4" t="s">
        <v>400</v>
      </c>
      <c r="E26" s="293"/>
    </row>
    <row r="27" spans="4:5" x14ac:dyDescent="0.3">
      <c r="D27" s="4" t="s">
        <v>107</v>
      </c>
      <c r="E27" s="293"/>
    </row>
  </sheetData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96C97-44E1-4208-9C3B-FB32C84DA2FF}">
  <sheetPr codeName="Sheet23"/>
  <dimension ref="A1:M197"/>
  <sheetViews>
    <sheetView topLeftCell="G1" zoomScale="85" zoomScaleNormal="85" workbookViewId="0">
      <selection activeCell="Q213" sqref="Q213"/>
    </sheetView>
  </sheetViews>
  <sheetFormatPr defaultRowHeight="14.4" x14ac:dyDescent="0.3"/>
  <cols>
    <col min="1" max="1" width="35" bestFit="1" customWidth="1"/>
    <col min="2" max="2" width="28.44140625" bestFit="1" customWidth="1"/>
    <col min="3" max="3" width="21.77734375" bestFit="1" customWidth="1"/>
    <col min="4" max="4" width="8.21875" bestFit="1" customWidth="1"/>
    <col min="5" max="5" width="17.21875" bestFit="1" customWidth="1"/>
    <col min="6" max="6" width="21.5546875" bestFit="1" customWidth="1"/>
    <col min="7" max="7" width="15.21875" bestFit="1" customWidth="1"/>
    <col min="8" max="9" width="7.88671875" bestFit="1" customWidth="1"/>
    <col min="10" max="10" width="10.21875" bestFit="1" customWidth="1"/>
    <col min="11" max="11" width="8.5546875" bestFit="1" customWidth="1"/>
    <col min="12" max="13" width="15.109375" bestFit="1" customWidth="1"/>
  </cols>
  <sheetData>
    <row r="1" spans="1:13" x14ac:dyDescent="0.3">
      <c r="A1" t="s">
        <v>34</v>
      </c>
      <c r="B1" t="s">
        <v>35</v>
      </c>
      <c r="C1" t="s">
        <v>36</v>
      </c>
      <c r="D1" t="s">
        <v>28</v>
      </c>
      <c r="E1" t="s">
        <v>37</v>
      </c>
      <c r="F1" t="s">
        <v>39</v>
      </c>
      <c r="G1" t="s">
        <v>42</v>
      </c>
      <c r="H1" t="s">
        <v>32</v>
      </c>
      <c r="I1" t="s">
        <v>0</v>
      </c>
      <c r="J1" t="s">
        <v>19</v>
      </c>
      <c r="K1" t="s">
        <v>1</v>
      </c>
      <c r="L1" t="s">
        <v>109</v>
      </c>
      <c r="M1" t="s">
        <v>377</v>
      </c>
    </row>
    <row r="2" spans="1:13" hidden="1" x14ac:dyDescent="0.3">
      <c r="D2" s="1"/>
      <c r="L2" t="s">
        <v>321</v>
      </c>
    </row>
    <row r="3" spans="1:13" hidden="1" x14ac:dyDescent="0.3">
      <c r="D3" s="1"/>
      <c r="L3" t="s">
        <v>321</v>
      </c>
    </row>
    <row r="4" spans="1:13" hidden="1" x14ac:dyDescent="0.3">
      <c r="D4" s="1"/>
      <c r="L4" t="s">
        <v>321</v>
      </c>
    </row>
    <row r="5" spans="1:13" hidden="1" x14ac:dyDescent="0.3">
      <c r="D5" s="1"/>
      <c r="L5" t="s">
        <v>321</v>
      </c>
    </row>
    <row r="6" spans="1:13" hidden="1" x14ac:dyDescent="0.3">
      <c r="D6" s="1"/>
      <c r="L6" t="s">
        <v>321</v>
      </c>
    </row>
    <row r="7" spans="1:13" hidden="1" x14ac:dyDescent="0.3">
      <c r="D7" s="1"/>
      <c r="L7" t="s">
        <v>321</v>
      </c>
    </row>
    <row r="8" spans="1:13" hidden="1" x14ac:dyDescent="0.3">
      <c r="D8" s="1"/>
      <c r="L8" t="s">
        <v>321</v>
      </c>
    </row>
    <row r="9" spans="1:13" hidden="1" x14ac:dyDescent="0.3">
      <c r="D9" s="1"/>
      <c r="L9" t="s">
        <v>321</v>
      </c>
    </row>
    <row r="10" spans="1:13" hidden="1" x14ac:dyDescent="0.3">
      <c r="D10" s="1"/>
      <c r="L10" t="s">
        <v>321</v>
      </c>
    </row>
    <row r="11" spans="1:13" hidden="1" x14ac:dyDescent="0.3">
      <c r="D11" s="1"/>
      <c r="L11" t="s">
        <v>321</v>
      </c>
    </row>
    <row r="12" spans="1:13" hidden="1" x14ac:dyDescent="0.3">
      <c r="D12" s="1"/>
      <c r="L12" t="s">
        <v>321</v>
      </c>
    </row>
    <row r="13" spans="1:13" hidden="1" x14ac:dyDescent="0.3">
      <c r="D13" s="1"/>
      <c r="L13" t="s">
        <v>321</v>
      </c>
    </row>
    <row r="14" spans="1:13" hidden="1" x14ac:dyDescent="0.3">
      <c r="D14" s="1"/>
      <c r="L14" t="s">
        <v>321</v>
      </c>
    </row>
    <row r="15" spans="1:13" hidden="1" x14ac:dyDescent="0.3">
      <c r="D15" s="1"/>
      <c r="L15" t="s">
        <v>321</v>
      </c>
    </row>
    <row r="16" spans="1:13" hidden="1" x14ac:dyDescent="0.3">
      <c r="D16" s="1"/>
      <c r="L16" t="s">
        <v>321</v>
      </c>
    </row>
    <row r="17" spans="4:12" hidden="1" x14ac:dyDescent="0.3">
      <c r="D17" s="1"/>
      <c r="L17" t="s">
        <v>321</v>
      </c>
    </row>
    <row r="18" spans="4:12" hidden="1" x14ac:dyDescent="0.3">
      <c r="D18" s="1"/>
      <c r="L18" t="s">
        <v>321</v>
      </c>
    </row>
    <row r="19" spans="4:12" hidden="1" x14ac:dyDescent="0.3">
      <c r="D19" s="1"/>
      <c r="L19" t="s">
        <v>321</v>
      </c>
    </row>
    <row r="20" spans="4:12" hidden="1" x14ac:dyDescent="0.3">
      <c r="D20" s="1"/>
      <c r="L20" t="s">
        <v>321</v>
      </c>
    </row>
    <row r="21" spans="4:12" hidden="1" x14ac:dyDescent="0.3">
      <c r="D21" s="1"/>
      <c r="L21" t="s">
        <v>321</v>
      </c>
    </row>
    <row r="22" spans="4:12" hidden="1" x14ac:dyDescent="0.3">
      <c r="D22" s="1"/>
      <c r="L22" t="s">
        <v>321</v>
      </c>
    </row>
    <row r="23" spans="4:12" hidden="1" x14ac:dyDescent="0.3">
      <c r="D23" s="1"/>
      <c r="L23" t="s">
        <v>321</v>
      </c>
    </row>
    <row r="24" spans="4:12" hidden="1" x14ac:dyDescent="0.3">
      <c r="D24" s="1"/>
      <c r="L24" t="s">
        <v>321</v>
      </c>
    </row>
    <row r="25" spans="4:12" hidden="1" x14ac:dyDescent="0.3">
      <c r="D25" s="1"/>
      <c r="L25" t="s">
        <v>321</v>
      </c>
    </row>
    <row r="26" spans="4:12" hidden="1" x14ac:dyDescent="0.3">
      <c r="D26" s="1"/>
      <c r="L26" t="s">
        <v>321</v>
      </c>
    </row>
    <row r="27" spans="4:12" hidden="1" x14ac:dyDescent="0.3">
      <c r="D27" s="1"/>
      <c r="L27" t="s">
        <v>321</v>
      </c>
    </row>
    <row r="28" spans="4:12" hidden="1" x14ac:dyDescent="0.3">
      <c r="D28" s="1"/>
      <c r="L28" t="s">
        <v>321</v>
      </c>
    </row>
    <row r="29" spans="4:12" hidden="1" x14ac:dyDescent="0.3">
      <c r="D29" s="1"/>
      <c r="L29" t="s">
        <v>321</v>
      </c>
    </row>
    <row r="30" spans="4:12" hidden="1" x14ac:dyDescent="0.3">
      <c r="D30" s="1"/>
      <c r="L30" t="s">
        <v>321</v>
      </c>
    </row>
    <row r="31" spans="4:12" hidden="1" x14ac:dyDescent="0.3">
      <c r="D31" s="1"/>
      <c r="L31" t="s">
        <v>321</v>
      </c>
    </row>
    <row r="32" spans="4:12" hidden="1" x14ac:dyDescent="0.3">
      <c r="D32" s="1"/>
      <c r="L32" t="s">
        <v>321</v>
      </c>
    </row>
    <row r="33" spans="4:12" hidden="1" x14ac:dyDescent="0.3">
      <c r="D33" s="1"/>
      <c r="L33" t="s">
        <v>321</v>
      </c>
    </row>
    <row r="34" spans="4:12" hidden="1" x14ac:dyDescent="0.3">
      <c r="D34" s="1"/>
      <c r="L34" t="s">
        <v>321</v>
      </c>
    </row>
    <row r="35" spans="4:12" hidden="1" x14ac:dyDescent="0.3">
      <c r="D35" s="1"/>
      <c r="L35" t="s">
        <v>321</v>
      </c>
    </row>
    <row r="36" spans="4:12" hidden="1" x14ac:dyDescent="0.3">
      <c r="D36" s="1"/>
      <c r="L36" t="s">
        <v>321</v>
      </c>
    </row>
    <row r="37" spans="4:12" hidden="1" x14ac:dyDescent="0.3">
      <c r="D37" s="1"/>
      <c r="L37" t="s">
        <v>321</v>
      </c>
    </row>
    <row r="38" spans="4:12" hidden="1" x14ac:dyDescent="0.3">
      <c r="D38" s="1"/>
      <c r="L38" t="s">
        <v>321</v>
      </c>
    </row>
    <row r="39" spans="4:12" hidden="1" x14ac:dyDescent="0.3">
      <c r="D39" s="1"/>
      <c r="L39" t="s">
        <v>321</v>
      </c>
    </row>
    <row r="40" spans="4:12" hidden="1" x14ac:dyDescent="0.3">
      <c r="D40" s="1"/>
      <c r="L40" t="s">
        <v>321</v>
      </c>
    </row>
    <row r="41" spans="4:12" hidden="1" x14ac:dyDescent="0.3">
      <c r="D41" s="1"/>
      <c r="L41" t="s">
        <v>321</v>
      </c>
    </row>
    <row r="42" spans="4:12" hidden="1" x14ac:dyDescent="0.3">
      <c r="D42" s="1"/>
      <c r="L42" t="s">
        <v>321</v>
      </c>
    </row>
    <row r="43" spans="4:12" hidden="1" x14ac:dyDescent="0.3">
      <c r="D43" s="1"/>
      <c r="L43" t="s">
        <v>321</v>
      </c>
    </row>
    <row r="44" spans="4:12" hidden="1" x14ac:dyDescent="0.3">
      <c r="D44" s="1"/>
      <c r="L44" t="s">
        <v>321</v>
      </c>
    </row>
    <row r="45" spans="4:12" hidden="1" x14ac:dyDescent="0.3">
      <c r="D45" s="1"/>
      <c r="L45" t="s">
        <v>321</v>
      </c>
    </row>
    <row r="46" spans="4:12" hidden="1" x14ac:dyDescent="0.3">
      <c r="D46" s="1"/>
      <c r="L46" t="s">
        <v>321</v>
      </c>
    </row>
    <row r="47" spans="4:12" hidden="1" x14ac:dyDescent="0.3">
      <c r="D47" s="1"/>
      <c r="L47" t="s">
        <v>321</v>
      </c>
    </row>
    <row r="48" spans="4:12" hidden="1" x14ac:dyDescent="0.3">
      <c r="D48" s="1"/>
      <c r="L48" t="s">
        <v>321</v>
      </c>
    </row>
    <row r="49" spans="4:12" hidden="1" x14ac:dyDescent="0.3">
      <c r="D49" s="1"/>
      <c r="L49" t="s">
        <v>321</v>
      </c>
    </row>
    <row r="50" spans="4:12" hidden="1" x14ac:dyDescent="0.3">
      <c r="D50" s="1"/>
      <c r="L50" t="s">
        <v>321</v>
      </c>
    </row>
    <row r="51" spans="4:12" hidden="1" x14ac:dyDescent="0.3">
      <c r="D51" s="1"/>
      <c r="L51" t="s">
        <v>321</v>
      </c>
    </row>
    <row r="52" spans="4:12" hidden="1" x14ac:dyDescent="0.3">
      <c r="D52" s="1"/>
      <c r="L52" t="s">
        <v>321</v>
      </c>
    </row>
    <row r="53" spans="4:12" hidden="1" x14ac:dyDescent="0.3">
      <c r="D53" s="1"/>
      <c r="L53" t="s">
        <v>321</v>
      </c>
    </row>
    <row r="54" spans="4:12" hidden="1" x14ac:dyDescent="0.3">
      <c r="D54" s="1"/>
      <c r="L54" t="s">
        <v>321</v>
      </c>
    </row>
    <row r="55" spans="4:12" hidden="1" x14ac:dyDescent="0.3">
      <c r="D55" s="1"/>
      <c r="L55" t="s">
        <v>321</v>
      </c>
    </row>
    <row r="56" spans="4:12" hidden="1" x14ac:dyDescent="0.3">
      <c r="D56" s="1"/>
      <c r="L56" t="s">
        <v>321</v>
      </c>
    </row>
    <row r="57" spans="4:12" hidden="1" x14ac:dyDescent="0.3">
      <c r="D57" s="1"/>
      <c r="L57" t="s">
        <v>321</v>
      </c>
    </row>
    <row r="58" spans="4:12" hidden="1" x14ac:dyDescent="0.3">
      <c r="D58" s="1"/>
      <c r="L58" t="s">
        <v>321</v>
      </c>
    </row>
    <row r="59" spans="4:12" hidden="1" x14ac:dyDescent="0.3">
      <c r="D59" s="1"/>
      <c r="L59" t="s">
        <v>321</v>
      </c>
    </row>
    <row r="60" spans="4:12" hidden="1" x14ac:dyDescent="0.3">
      <c r="D60" s="1"/>
      <c r="L60" t="s">
        <v>321</v>
      </c>
    </row>
    <row r="61" spans="4:12" hidden="1" x14ac:dyDescent="0.3">
      <c r="D61" s="1"/>
      <c r="L61" t="s">
        <v>321</v>
      </c>
    </row>
    <row r="62" spans="4:12" hidden="1" x14ac:dyDescent="0.3">
      <c r="D62" s="1"/>
      <c r="L62" t="s">
        <v>321</v>
      </c>
    </row>
    <row r="63" spans="4:12" hidden="1" x14ac:dyDescent="0.3">
      <c r="D63" s="1"/>
      <c r="L63" t="s">
        <v>321</v>
      </c>
    </row>
    <row r="64" spans="4:12" hidden="1" x14ac:dyDescent="0.3">
      <c r="D64" s="1"/>
      <c r="L64" t="s">
        <v>321</v>
      </c>
    </row>
    <row r="65" spans="4:12" hidden="1" x14ac:dyDescent="0.3">
      <c r="D65" s="1"/>
      <c r="L65" t="s">
        <v>321</v>
      </c>
    </row>
    <row r="66" spans="4:12" hidden="1" x14ac:dyDescent="0.3">
      <c r="D66" s="1"/>
      <c r="L66" t="s">
        <v>321</v>
      </c>
    </row>
    <row r="67" spans="4:12" hidden="1" x14ac:dyDescent="0.3">
      <c r="D67" s="1"/>
      <c r="L67" t="s">
        <v>321</v>
      </c>
    </row>
    <row r="68" spans="4:12" hidden="1" x14ac:dyDescent="0.3">
      <c r="D68" s="1"/>
      <c r="L68" t="s">
        <v>321</v>
      </c>
    </row>
    <row r="69" spans="4:12" hidden="1" x14ac:dyDescent="0.3">
      <c r="D69" s="1"/>
      <c r="L69" t="s">
        <v>321</v>
      </c>
    </row>
    <row r="70" spans="4:12" hidden="1" x14ac:dyDescent="0.3">
      <c r="D70" s="1"/>
      <c r="L70" t="s">
        <v>321</v>
      </c>
    </row>
    <row r="71" spans="4:12" hidden="1" x14ac:dyDescent="0.3">
      <c r="D71" s="1"/>
      <c r="L71" t="s">
        <v>321</v>
      </c>
    </row>
    <row r="72" spans="4:12" hidden="1" x14ac:dyDescent="0.3">
      <c r="D72" s="1"/>
      <c r="L72" t="s">
        <v>321</v>
      </c>
    </row>
    <row r="73" spans="4:12" hidden="1" x14ac:dyDescent="0.3">
      <c r="D73" s="1"/>
      <c r="L73" t="s">
        <v>321</v>
      </c>
    </row>
    <row r="74" spans="4:12" hidden="1" x14ac:dyDescent="0.3">
      <c r="D74" s="1"/>
      <c r="L74" t="s">
        <v>321</v>
      </c>
    </row>
    <row r="75" spans="4:12" hidden="1" x14ac:dyDescent="0.3">
      <c r="D75" s="1"/>
      <c r="L75" t="s">
        <v>321</v>
      </c>
    </row>
    <row r="76" spans="4:12" hidden="1" x14ac:dyDescent="0.3">
      <c r="D76" s="1"/>
      <c r="L76" t="s">
        <v>321</v>
      </c>
    </row>
    <row r="77" spans="4:12" hidden="1" x14ac:dyDescent="0.3">
      <c r="D77" s="1"/>
      <c r="L77" t="s">
        <v>321</v>
      </c>
    </row>
    <row r="78" spans="4:12" hidden="1" x14ac:dyDescent="0.3">
      <c r="D78" s="1"/>
      <c r="L78" t="s">
        <v>321</v>
      </c>
    </row>
    <row r="79" spans="4:12" hidden="1" x14ac:dyDescent="0.3">
      <c r="D79" s="1"/>
      <c r="L79" t="s">
        <v>321</v>
      </c>
    </row>
    <row r="80" spans="4:12" hidden="1" x14ac:dyDescent="0.3">
      <c r="D80" s="1"/>
      <c r="L80" t="s">
        <v>321</v>
      </c>
    </row>
    <row r="81" spans="4:12" hidden="1" x14ac:dyDescent="0.3">
      <c r="D81" s="1"/>
      <c r="L81" t="s">
        <v>321</v>
      </c>
    </row>
    <row r="82" spans="4:12" hidden="1" x14ac:dyDescent="0.3">
      <c r="D82" s="1"/>
      <c r="L82" t="s">
        <v>321</v>
      </c>
    </row>
    <row r="83" spans="4:12" hidden="1" x14ac:dyDescent="0.3">
      <c r="D83" s="1"/>
      <c r="L83" t="s">
        <v>321</v>
      </c>
    </row>
    <row r="84" spans="4:12" hidden="1" x14ac:dyDescent="0.3">
      <c r="D84" s="1"/>
      <c r="L84" t="s">
        <v>321</v>
      </c>
    </row>
    <row r="85" spans="4:12" hidden="1" x14ac:dyDescent="0.3">
      <c r="D85" s="1"/>
      <c r="L85" t="s">
        <v>321</v>
      </c>
    </row>
    <row r="86" spans="4:12" hidden="1" x14ac:dyDescent="0.3">
      <c r="D86" s="1"/>
      <c r="L86" t="s">
        <v>321</v>
      </c>
    </row>
    <row r="87" spans="4:12" hidden="1" x14ac:dyDescent="0.3">
      <c r="D87" s="1"/>
      <c r="L87" t="s">
        <v>321</v>
      </c>
    </row>
    <row r="88" spans="4:12" hidden="1" x14ac:dyDescent="0.3">
      <c r="D88" s="1"/>
      <c r="L88" t="s">
        <v>321</v>
      </c>
    </row>
    <row r="89" spans="4:12" hidden="1" x14ac:dyDescent="0.3">
      <c r="D89" s="1"/>
      <c r="L89" t="s">
        <v>321</v>
      </c>
    </row>
    <row r="90" spans="4:12" hidden="1" x14ac:dyDescent="0.3">
      <c r="D90" s="1"/>
      <c r="L90" t="s">
        <v>321</v>
      </c>
    </row>
    <row r="91" spans="4:12" hidden="1" x14ac:dyDescent="0.3">
      <c r="D91" s="1"/>
      <c r="L91" t="s">
        <v>321</v>
      </c>
    </row>
    <row r="92" spans="4:12" hidden="1" x14ac:dyDescent="0.3">
      <c r="D92" s="1"/>
      <c r="L92" t="s">
        <v>321</v>
      </c>
    </row>
    <row r="93" spans="4:12" hidden="1" x14ac:dyDescent="0.3">
      <c r="D93" s="1"/>
      <c r="L93" t="s">
        <v>321</v>
      </c>
    </row>
    <row r="94" spans="4:12" hidden="1" x14ac:dyDescent="0.3">
      <c r="D94" s="1"/>
      <c r="L94" t="s">
        <v>321</v>
      </c>
    </row>
    <row r="95" spans="4:12" hidden="1" x14ac:dyDescent="0.3">
      <c r="D95" s="1"/>
      <c r="L95" t="s">
        <v>321</v>
      </c>
    </row>
    <row r="96" spans="4:12" hidden="1" x14ac:dyDescent="0.3">
      <c r="D96" s="1"/>
      <c r="L96" t="s">
        <v>321</v>
      </c>
    </row>
    <row r="97" spans="4:12" hidden="1" x14ac:dyDescent="0.3">
      <c r="D97" s="1"/>
      <c r="L97" t="s">
        <v>321</v>
      </c>
    </row>
    <row r="98" spans="4:12" hidden="1" x14ac:dyDescent="0.3">
      <c r="D98" s="1"/>
      <c r="L98" t="s">
        <v>321</v>
      </c>
    </row>
    <row r="99" spans="4:12" hidden="1" x14ac:dyDescent="0.3">
      <c r="D99" s="1"/>
      <c r="L99" t="s">
        <v>321</v>
      </c>
    </row>
    <row r="100" spans="4:12" hidden="1" x14ac:dyDescent="0.3">
      <c r="D100" s="1"/>
      <c r="L100" t="s">
        <v>321</v>
      </c>
    </row>
    <row r="101" spans="4:12" hidden="1" x14ac:dyDescent="0.3">
      <c r="D101" s="1"/>
      <c r="L101" t="s">
        <v>321</v>
      </c>
    </row>
    <row r="102" spans="4:12" hidden="1" x14ac:dyDescent="0.3">
      <c r="D102" s="1"/>
      <c r="L102" t="s">
        <v>321</v>
      </c>
    </row>
    <row r="103" spans="4:12" hidden="1" x14ac:dyDescent="0.3">
      <c r="D103" s="1"/>
      <c r="L103" t="s">
        <v>321</v>
      </c>
    </row>
    <row r="104" spans="4:12" hidden="1" x14ac:dyDescent="0.3">
      <c r="D104" s="1"/>
      <c r="L104" t="s">
        <v>321</v>
      </c>
    </row>
    <row r="105" spans="4:12" hidden="1" x14ac:dyDescent="0.3">
      <c r="D105" s="1"/>
      <c r="L105" t="s">
        <v>321</v>
      </c>
    </row>
    <row r="106" spans="4:12" hidden="1" x14ac:dyDescent="0.3">
      <c r="D106" s="1"/>
      <c r="L106" t="s">
        <v>321</v>
      </c>
    </row>
    <row r="107" spans="4:12" hidden="1" x14ac:dyDescent="0.3">
      <c r="D107" s="1"/>
      <c r="L107" t="s">
        <v>321</v>
      </c>
    </row>
    <row r="108" spans="4:12" hidden="1" x14ac:dyDescent="0.3">
      <c r="D108" s="1"/>
      <c r="L108" t="s">
        <v>321</v>
      </c>
    </row>
    <row r="109" spans="4:12" hidden="1" x14ac:dyDescent="0.3">
      <c r="D109" s="1"/>
      <c r="L109" t="s">
        <v>321</v>
      </c>
    </row>
    <row r="110" spans="4:12" hidden="1" x14ac:dyDescent="0.3">
      <c r="D110" s="1"/>
      <c r="L110" t="s">
        <v>321</v>
      </c>
    </row>
    <row r="111" spans="4:12" hidden="1" x14ac:dyDescent="0.3">
      <c r="D111" s="1"/>
      <c r="L111" t="s">
        <v>321</v>
      </c>
    </row>
    <row r="112" spans="4:12" hidden="1" x14ac:dyDescent="0.3">
      <c r="D112" s="1"/>
      <c r="L112" t="s">
        <v>321</v>
      </c>
    </row>
    <row r="113" spans="4:12" hidden="1" x14ac:dyDescent="0.3">
      <c r="D113" s="1"/>
      <c r="L113" t="s">
        <v>321</v>
      </c>
    </row>
    <row r="114" spans="4:12" hidden="1" x14ac:dyDescent="0.3">
      <c r="D114" s="1"/>
      <c r="L114" t="s">
        <v>321</v>
      </c>
    </row>
    <row r="115" spans="4:12" hidden="1" x14ac:dyDescent="0.3">
      <c r="D115" s="1"/>
      <c r="L115" t="s">
        <v>321</v>
      </c>
    </row>
    <row r="116" spans="4:12" hidden="1" x14ac:dyDescent="0.3">
      <c r="D116" s="1"/>
      <c r="L116" t="s">
        <v>321</v>
      </c>
    </row>
    <row r="117" spans="4:12" hidden="1" x14ac:dyDescent="0.3">
      <c r="D117" s="1"/>
      <c r="L117" t="s">
        <v>321</v>
      </c>
    </row>
    <row r="118" spans="4:12" hidden="1" x14ac:dyDescent="0.3">
      <c r="D118" s="1"/>
      <c r="L118" t="s">
        <v>321</v>
      </c>
    </row>
    <row r="119" spans="4:12" hidden="1" x14ac:dyDescent="0.3">
      <c r="D119" s="1"/>
      <c r="L119" t="s">
        <v>321</v>
      </c>
    </row>
    <row r="120" spans="4:12" hidden="1" x14ac:dyDescent="0.3">
      <c r="D120" s="1"/>
      <c r="L120" t="s">
        <v>321</v>
      </c>
    </row>
    <row r="121" spans="4:12" hidden="1" x14ac:dyDescent="0.3">
      <c r="D121" s="1"/>
      <c r="L121" t="s">
        <v>321</v>
      </c>
    </row>
    <row r="122" spans="4:12" hidden="1" x14ac:dyDescent="0.3">
      <c r="D122" s="1"/>
      <c r="L122" t="s">
        <v>321</v>
      </c>
    </row>
    <row r="123" spans="4:12" hidden="1" x14ac:dyDescent="0.3">
      <c r="D123" s="1"/>
      <c r="L123" t="s">
        <v>321</v>
      </c>
    </row>
    <row r="124" spans="4:12" hidden="1" x14ac:dyDescent="0.3">
      <c r="D124" s="1"/>
      <c r="L124" t="s">
        <v>321</v>
      </c>
    </row>
    <row r="125" spans="4:12" hidden="1" x14ac:dyDescent="0.3">
      <c r="D125" s="1"/>
      <c r="L125" t="s">
        <v>321</v>
      </c>
    </row>
    <row r="126" spans="4:12" hidden="1" x14ac:dyDescent="0.3">
      <c r="D126" s="1"/>
      <c r="L126" t="s">
        <v>321</v>
      </c>
    </row>
    <row r="127" spans="4:12" hidden="1" x14ac:dyDescent="0.3">
      <c r="D127" s="1"/>
      <c r="L127" t="s">
        <v>321</v>
      </c>
    </row>
    <row r="128" spans="4:12" hidden="1" x14ac:dyDescent="0.3">
      <c r="D128" s="1"/>
      <c r="L128" t="s">
        <v>321</v>
      </c>
    </row>
    <row r="129" spans="4:12" hidden="1" x14ac:dyDescent="0.3">
      <c r="D129" s="1"/>
      <c r="L129" t="s">
        <v>321</v>
      </c>
    </row>
    <row r="130" spans="4:12" hidden="1" x14ac:dyDescent="0.3">
      <c r="D130" s="1"/>
      <c r="L130" t="s">
        <v>321</v>
      </c>
    </row>
    <row r="131" spans="4:12" hidden="1" x14ac:dyDescent="0.3">
      <c r="D131" s="1"/>
      <c r="L131" t="s">
        <v>321</v>
      </c>
    </row>
    <row r="132" spans="4:12" hidden="1" x14ac:dyDescent="0.3">
      <c r="D132" s="1"/>
      <c r="L132" t="s">
        <v>321</v>
      </c>
    </row>
    <row r="133" spans="4:12" hidden="1" x14ac:dyDescent="0.3">
      <c r="D133" s="1"/>
      <c r="L133" t="s">
        <v>321</v>
      </c>
    </row>
    <row r="134" spans="4:12" hidden="1" x14ac:dyDescent="0.3">
      <c r="D134" s="1"/>
      <c r="L134" t="s">
        <v>321</v>
      </c>
    </row>
    <row r="135" spans="4:12" hidden="1" x14ac:dyDescent="0.3">
      <c r="D135" s="1"/>
      <c r="L135" t="s">
        <v>321</v>
      </c>
    </row>
    <row r="136" spans="4:12" hidden="1" x14ac:dyDescent="0.3">
      <c r="D136" s="1"/>
      <c r="L136" t="s">
        <v>321</v>
      </c>
    </row>
    <row r="137" spans="4:12" hidden="1" x14ac:dyDescent="0.3">
      <c r="D137" s="1"/>
      <c r="L137" t="s">
        <v>321</v>
      </c>
    </row>
    <row r="138" spans="4:12" hidden="1" x14ac:dyDescent="0.3">
      <c r="D138" s="1"/>
      <c r="L138" t="s">
        <v>321</v>
      </c>
    </row>
    <row r="139" spans="4:12" hidden="1" x14ac:dyDescent="0.3">
      <c r="D139" s="1"/>
      <c r="L139" t="s">
        <v>321</v>
      </c>
    </row>
    <row r="140" spans="4:12" hidden="1" x14ac:dyDescent="0.3">
      <c r="D140" s="1"/>
      <c r="L140" t="s">
        <v>321</v>
      </c>
    </row>
    <row r="141" spans="4:12" hidden="1" x14ac:dyDescent="0.3">
      <c r="D141" s="1"/>
      <c r="L141" t="s">
        <v>321</v>
      </c>
    </row>
    <row r="142" spans="4:12" hidden="1" x14ac:dyDescent="0.3">
      <c r="D142" s="1"/>
      <c r="L142" t="s">
        <v>321</v>
      </c>
    </row>
    <row r="143" spans="4:12" hidden="1" x14ac:dyDescent="0.3">
      <c r="D143" s="1"/>
      <c r="L143" t="s">
        <v>321</v>
      </c>
    </row>
    <row r="144" spans="4:12" hidden="1" x14ac:dyDescent="0.3">
      <c r="D144" s="1"/>
      <c r="L144" t="s">
        <v>321</v>
      </c>
    </row>
    <row r="145" spans="4:12" hidden="1" x14ac:dyDescent="0.3">
      <c r="D145" s="1"/>
      <c r="L145" t="s">
        <v>321</v>
      </c>
    </row>
    <row r="146" spans="4:12" hidden="1" x14ac:dyDescent="0.3">
      <c r="D146" s="1"/>
      <c r="L146" t="s">
        <v>321</v>
      </c>
    </row>
    <row r="147" spans="4:12" hidden="1" x14ac:dyDescent="0.3">
      <c r="D147" s="1"/>
      <c r="L147" t="s">
        <v>321</v>
      </c>
    </row>
    <row r="148" spans="4:12" hidden="1" x14ac:dyDescent="0.3">
      <c r="D148" s="1"/>
      <c r="L148" t="s">
        <v>321</v>
      </c>
    </row>
    <row r="149" spans="4:12" hidden="1" x14ac:dyDescent="0.3">
      <c r="D149" s="1"/>
      <c r="L149" t="s">
        <v>321</v>
      </c>
    </row>
    <row r="150" spans="4:12" hidden="1" x14ac:dyDescent="0.3">
      <c r="D150" s="1"/>
      <c r="L150" t="s">
        <v>321</v>
      </c>
    </row>
    <row r="151" spans="4:12" hidden="1" x14ac:dyDescent="0.3">
      <c r="D151" s="1"/>
      <c r="L151" t="s">
        <v>321</v>
      </c>
    </row>
    <row r="152" spans="4:12" hidden="1" x14ac:dyDescent="0.3">
      <c r="D152" s="1"/>
      <c r="L152" t="s">
        <v>321</v>
      </c>
    </row>
    <row r="153" spans="4:12" hidden="1" x14ac:dyDescent="0.3">
      <c r="D153" s="1"/>
      <c r="L153" t="s">
        <v>321</v>
      </c>
    </row>
    <row r="154" spans="4:12" hidden="1" x14ac:dyDescent="0.3">
      <c r="D154" s="1"/>
      <c r="L154" t="s">
        <v>321</v>
      </c>
    </row>
    <row r="155" spans="4:12" hidden="1" x14ac:dyDescent="0.3">
      <c r="D155" s="1"/>
      <c r="L155" t="s">
        <v>321</v>
      </c>
    </row>
    <row r="156" spans="4:12" hidden="1" x14ac:dyDescent="0.3">
      <c r="D156" s="1"/>
      <c r="L156" t="s">
        <v>321</v>
      </c>
    </row>
    <row r="157" spans="4:12" hidden="1" x14ac:dyDescent="0.3">
      <c r="D157" s="1"/>
      <c r="L157" t="s">
        <v>321</v>
      </c>
    </row>
    <row r="158" spans="4:12" hidden="1" x14ac:dyDescent="0.3">
      <c r="D158" s="1"/>
      <c r="L158" t="s">
        <v>321</v>
      </c>
    </row>
    <row r="159" spans="4:12" hidden="1" x14ac:dyDescent="0.3">
      <c r="D159" s="1"/>
      <c r="L159" t="s">
        <v>321</v>
      </c>
    </row>
    <row r="160" spans="4:12" hidden="1" x14ac:dyDescent="0.3">
      <c r="D160" s="1"/>
      <c r="L160" t="s">
        <v>321</v>
      </c>
    </row>
    <row r="161" spans="4:12" hidden="1" x14ac:dyDescent="0.3">
      <c r="D161" s="1"/>
      <c r="L161" t="s">
        <v>321</v>
      </c>
    </row>
    <row r="162" spans="4:12" hidden="1" x14ac:dyDescent="0.3">
      <c r="D162" s="1"/>
      <c r="L162" t="s">
        <v>321</v>
      </c>
    </row>
    <row r="163" spans="4:12" hidden="1" x14ac:dyDescent="0.3">
      <c r="D163" s="1"/>
      <c r="L163" t="s">
        <v>321</v>
      </c>
    </row>
    <row r="164" spans="4:12" hidden="1" x14ac:dyDescent="0.3">
      <c r="D164" s="1"/>
      <c r="L164" t="s">
        <v>321</v>
      </c>
    </row>
    <row r="165" spans="4:12" hidden="1" x14ac:dyDescent="0.3">
      <c r="D165" s="1"/>
      <c r="L165" t="s">
        <v>321</v>
      </c>
    </row>
    <row r="166" spans="4:12" hidden="1" x14ac:dyDescent="0.3">
      <c r="D166" s="1"/>
      <c r="L166" t="s">
        <v>321</v>
      </c>
    </row>
    <row r="167" spans="4:12" hidden="1" x14ac:dyDescent="0.3">
      <c r="D167" s="1"/>
      <c r="L167" t="s">
        <v>321</v>
      </c>
    </row>
    <row r="168" spans="4:12" hidden="1" x14ac:dyDescent="0.3">
      <c r="D168" s="1"/>
      <c r="L168" t="s">
        <v>321</v>
      </c>
    </row>
    <row r="169" spans="4:12" hidden="1" x14ac:dyDescent="0.3">
      <c r="D169" s="1"/>
      <c r="L169" t="s">
        <v>321</v>
      </c>
    </row>
    <row r="170" spans="4:12" hidden="1" x14ac:dyDescent="0.3">
      <c r="D170" s="1"/>
      <c r="L170" t="s">
        <v>321</v>
      </c>
    </row>
    <row r="171" spans="4:12" hidden="1" x14ac:dyDescent="0.3">
      <c r="D171" s="1"/>
      <c r="L171" t="s">
        <v>321</v>
      </c>
    </row>
    <row r="172" spans="4:12" hidden="1" x14ac:dyDescent="0.3">
      <c r="D172" s="1"/>
      <c r="L172" t="s">
        <v>321</v>
      </c>
    </row>
    <row r="173" spans="4:12" hidden="1" x14ac:dyDescent="0.3">
      <c r="D173" s="1"/>
      <c r="L173" t="s">
        <v>321</v>
      </c>
    </row>
    <row r="174" spans="4:12" hidden="1" x14ac:dyDescent="0.3">
      <c r="D174" s="1"/>
      <c r="L174" t="s">
        <v>321</v>
      </c>
    </row>
    <row r="175" spans="4:12" hidden="1" x14ac:dyDescent="0.3">
      <c r="D175" s="1"/>
      <c r="L175" t="s">
        <v>321</v>
      </c>
    </row>
    <row r="176" spans="4:12" hidden="1" x14ac:dyDescent="0.3">
      <c r="D176" s="1"/>
      <c r="L176" t="s">
        <v>321</v>
      </c>
    </row>
    <row r="177" spans="4:12" hidden="1" x14ac:dyDescent="0.3">
      <c r="D177" s="1"/>
      <c r="L177" t="s">
        <v>321</v>
      </c>
    </row>
    <row r="178" spans="4:12" hidden="1" x14ac:dyDescent="0.3">
      <c r="D178" s="1"/>
      <c r="L178" t="s">
        <v>321</v>
      </c>
    </row>
    <row r="179" spans="4:12" hidden="1" x14ac:dyDescent="0.3">
      <c r="D179" s="1"/>
      <c r="L179" t="s">
        <v>321</v>
      </c>
    </row>
    <row r="180" spans="4:12" hidden="1" x14ac:dyDescent="0.3">
      <c r="D180" s="1"/>
      <c r="L180" t="s">
        <v>321</v>
      </c>
    </row>
    <row r="181" spans="4:12" hidden="1" x14ac:dyDescent="0.3">
      <c r="D181" s="1"/>
      <c r="L181" t="s">
        <v>321</v>
      </c>
    </row>
    <row r="182" spans="4:12" hidden="1" x14ac:dyDescent="0.3">
      <c r="D182" s="1"/>
      <c r="L182" t="s">
        <v>321</v>
      </c>
    </row>
    <row r="183" spans="4:12" hidden="1" x14ac:dyDescent="0.3">
      <c r="D183" s="1"/>
      <c r="L183" t="s">
        <v>321</v>
      </c>
    </row>
    <row r="184" spans="4:12" hidden="1" x14ac:dyDescent="0.3">
      <c r="D184" s="1"/>
      <c r="L184" t="s">
        <v>321</v>
      </c>
    </row>
    <row r="185" spans="4:12" hidden="1" x14ac:dyDescent="0.3">
      <c r="D185" s="1"/>
      <c r="L185" t="s">
        <v>321</v>
      </c>
    </row>
    <row r="186" spans="4:12" hidden="1" x14ac:dyDescent="0.3">
      <c r="D186" s="1"/>
      <c r="L186" t="s">
        <v>321</v>
      </c>
    </row>
    <row r="187" spans="4:12" hidden="1" x14ac:dyDescent="0.3">
      <c r="D187" s="1"/>
      <c r="L187" t="s">
        <v>321</v>
      </c>
    </row>
    <row r="188" spans="4:12" hidden="1" x14ac:dyDescent="0.3">
      <c r="D188" s="1"/>
      <c r="L188" t="s">
        <v>321</v>
      </c>
    </row>
    <row r="189" spans="4:12" hidden="1" x14ac:dyDescent="0.3">
      <c r="D189" s="1"/>
      <c r="L189" t="s">
        <v>321</v>
      </c>
    </row>
    <row r="190" spans="4:12" hidden="1" x14ac:dyDescent="0.3">
      <c r="D190" s="1"/>
      <c r="L190" t="s">
        <v>321</v>
      </c>
    </row>
    <row r="191" spans="4:12" hidden="1" x14ac:dyDescent="0.3">
      <c r="D191" s="1"/>
      <c r="L191" t="s">
        <v>321</v>
      </c>
    </row>
    <row r="192" spans="4:12" hidden="1" x14ac:dyDescent="0.3">
      <c r="D192" s="1"/>
      <c r="L192" t="s">
        <v>321</v>
      </c>
    </row>
    <row r="193" spans="4:12" hidden="1" x14ac:dyDescent="0.3">
      <c r="D193" s="1"/>
      <c r="L193" t="s">
        <v>321</v>
      </c>
    </row>
    <row r="194" spans="4:12" hidden="1" x14ac:dyDescent="0.3">
      <c r="D194" s="1"/>
      <c r="L194" t="s">
        <v>321</v>
      </c>
    </row>
    <row r="195" spans="4:12" hidden="1" x14ac:dyDescent="0.3">
      <c r="D195" s="1"/>
      <c r="L195" t="s">
        <v>321</v>
      </c>
    </row>
    <row r="196" spans="4:12" hidden="1" x14ac:dyDescent="0.3">
      <c r="D196" s="1"/>
      <c r="L196" t="s">
        <v>321</v>
      </c>
    </row>
    <row r="197" spans="4:12" hidden="1" x14ac:dyDescent="0.3">
      <c r="D197" s="1"/>
      <c r="L197" t="s">
        <v>321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40F1B-706A-4DCC-9A98-64F483E9B3C9}">
  <sheetPr codeName="Sheet7">
    <tabColor theme="5" tint="0.59999389629810485"/>
  </sheetPr>
  <dimension ref="A1:AA1200"/>
  <sheetViews>
    <sheetView zoomScale="85" zoomScaleNormal="85" workbookViewId="0">
      <pane xSplit="1" ySplit="2" topLeftCell="H767" activePane="bottomRight" state="frozen"/>
      <selection pane="topRight" activeCell="B1" sqref="B1"/>
      <selection pane="bottomLeft" activeCell="A3" sqref="A3"/>
      <selection pane="bottomRight" activeCell="T3" sqref="T3:W868"/>
    </sheetView>
  </sheetViews>
  <sheetFormatPr defaultRowHeight="14.4" x14ac:dyDescent="0.3"/>
  <cols>
    <col min="1" max="1" width="19.6640625" customWidth="1"/>
    <col min="2" max="3" width="19.6640625" style="4" customWidth="1"/>
    <col min="4" max="4" width="29.88671875" style="4" customWidth="1"/>
    <col min="5" max="5" width="16.33203125" style="2" customWidth="1"/>
    <col min="6" max="6" width="31.6640625" customWidth="1"/>
    <col min="7" max="7" width="28.44140625" customWidth="1"/>
    <col min="8" max="8" width="77.33203125" style="11" customWidth="1"/>
    <col min="9" max="9" width="13.33203125" customWidth="1"/>
    <col min="10" max="10" width="26.33203125" customWidth="1"/>
    <col min="11" max="11" width="15.109375" customWidth="1"/>
    <col min="12" max="12" width="28.33203125" style="11" customWidth="1"/>
    <col min="13" max="13" width="8.44140625" style="126" customWidth="1"/>
    <col min="15" max="15" width="8.109375" style="235" customWidth="1"/>
    <col min="16" max="16" width="11.109375" style="126" customWidth="1"/>
    <col min="17" max="17" width="11.44140625" style="4" customWidth="1"/>
    <col min="18" max="18" width="14.6640625" style="4" customWidth="1"/>
    <col min="19" max="19" width="14.109375" style="4" customWidth="1"/>
    <col min="20" max="20" width="15.109375" style="107" customWidth="1"/>
    <col min="21" max="21" width="21" customWidth="1"/>
    <col min="22" max="22" width="14.109375" customWidth="1"/>
    <col min="23" max="23" width="17.5546875" style="2" customWidth="1"/>
    <col min="24" max="27" width="19" hidden="1" customWidth="1"/>
    <col min="28" max="29" width="19" customWidth="1"/>
    <col min="30" max="30" width="11.88671875" customWidth="1"/>
  </cols>
  <sheetData>
    <row r="1" spans="1:27" ht="97.5" customHeight="1" x14ac:dyDescent="0.3">
      <c r="A1" s="181"/>
      <c r="B1" s="182"/>
      <c r="C1" s="182"/>
      <c r="D1" s="182"/>
      <c r="E1" s="19"/>
      <c r="F1" s="19"/>
      <c r="G1" s="221" t="str">
        <f>'CATEGORY TABLES'!AE2</f>
        <v>Project Name</v>
      </c>
      <c r="H1" s="221"/>
      <c r="I1" s="111"/>
      <c r="J1" s="111"/>
      <c r="K1" s="111"/>
      <c r="L1" s="195"/>
      <c r="M1" s="124"/>
      <c r="N1" s="111"/>
      <c r="O1" s="231"/>
      <c r="P1" s="111"/>
      <c r="Q1" s="111"/>
      <c r="R1" s="226">
        <f>SUM(S3:S1481)</f>
        <v>0</v>
      </c>
      <c r="S1" s="186">
        <f>SUM(T3:T1481)</f>
        <v>0</v>
      </c>
      <c r="T1" s="19"/>
      <c r="U1" s="19"/>
      <c r="V1" s="20"/>
      <c r="W1" s="95"/>
      <c r="X1" s="95"/>
      <c r="Y1" s="95"/>
      <c r="Z1" s="95"/>
      <c r="AA1" s="95"/>
    </row>
    <row r="2" spans="1:27" ht="84" customHeight="1" x14ac:dyDescent="0.3">
      <c r="A2" s="250" t="str">
        <f>'MAIN TABLE-1 AUTOMATED'!A1</f>
        <v>Version: v1.0</v>
      </c>
      <c r="B2" s="61" t="s">
        <v>55</v>
      </c>
      <c r="C2" s="62" t="s">
        <v>35</v>
      </c>
      <c r="D2" s="62" t="s">
        <v>36</v>
      </c>
      <c r="E2" s="16" t="s">
        <v>56</v>
      </c>
      <c r="F2" s="16" t="s">
        <v>57</v>
      </c>
      <c r="G2" s="16" t="s">
        <v>58</v>
      </c>
      <c r="H2" s="18" t="s">
        <v>40</v>
      </c>
      <c r="I2" s="18" t="s">
        <v>156</v>
      </c>
      <c r="J2" s="192" t="s">
        <v>73</v>
      </c>
      <c r="K2" s="192" t="s">
        <v>41</v>
      </c>
      <c r="L2" s="192" t="s">
        <v>42</v>
      </c>
      <c r="M2" s="125" t="s">
        <v>155</v>
      </c>
      <c r="N2" s="16" t="s">
        <v>53</v>
      </c>
      <c r="O2" s="94" t="s">
        <v>375</v>
      </c>
      <c r="P2" s="17" t="s">
        <v>150</v>
      </c>
      <c r="Q2" s="197" t="s">
        <v>353</v>
      </c>
      <c r="R2" s="18" t="s">
        <v>354</v>
      </c>
      <c r="S2" s="16" t="s">
        <v>32</v>
      </c>
      <c r="T2" s="16" t="s">
        <v>59</v>
      </c>
      <c r="U2" s="18" t="s">
        <v>60</v>
      </c>
      <c r="V2" s="18" t="s">
        <v>61</v>
      </c>
      <c r="W2" s="16" t="s">
        <v>126</v>
      </c>
      <c r="X2" s="30" t="s">
        <v>0</v>
      </c>
      <c r="Y2" s="30" t="s">
        <v>19</v>
      </c>
      <c r="Z2" s="30" t="s">
        <v>1</v>
      </c>
      <c r="AA2" s="30" t="s">
        <v>109</v>
      </c>
    </row>
    <row r="3" spans="1:27" x14ac:dyDescent="0.3">
      <c r="B3" s="68"/>
      <c r="C3" s="68"/>
      <c r="D3" s="68"/>
      <c r="E3" s="71"/>
      <c r="F3" s="72"/>
      <c r="G3" s="76"/>
      <c r="H3" s="74"/>
      <c r="I3" s="70"/>
      <c r="J3" s="70"/>
      <c r="K3" s="70"/>
      <c r="L3" s="74"/>
      <c r="M3" s="123"/>
      <c r="N3" s="73"/>
      <c r="O3" s="236"/>
      <c r="P3" s="117"/>
      <c r="Q3" s="117"/>
      <c r="R3" s="156" t="str">
        <f>IF(Table111[[#This Row],[Qty]]="","",Table111[[#This Row],[Qty]]*Table111[[#This Row],[Unit Price]])</f>
        <v/>
      </c>
      <c r="S3" s="156" t="str">
        <f>IF(Table111[[#This Row],[Qty]]="","",Table111[[#This Row],[Qty]]*Table111[[#This Row],[Unit Price]]+Table111[[#This Row],[Delivery Cost]])</f>
        <v/>
      </c>
      <c r="T3" s="72"/>
      <c r="U3" s="65"/>
      <c r="V3" s="72"/>
      <c r="W3" s="219"/>
      <c r="X3" s="63" t="str">
        <f t="shared" ref="X3:X66" si="0">IF(E3=0,"",YEAR(E3))</f>
        <v/>
      </c>
      <c r="Y3" s="63" t="str">
        <f t="shared" ref="Y3:Y66" si="1">IF(E3=0,"",MONTH(E3))</f>
        <v/>
      </c>
      <c r="Z3" s="63" t="str">
        <f t="shared" ref="Z3:Z66" si="2">IF(E3=0,"",WEEKNUM(E3))</f>
        <v/>
      </c>
      <c r="AA3" s="63" t="str">
        <f>TEXT(Table111[[#This Row],[YEAR]],"0000")&amp;"-"&amp;Table111[[#This Row],[MONTH]]</f>
        <v>-</v>
      </c>
    </row>
    <row r="4" spans="1:27" x14ac:dyDescent="0.3">
      <c r="B4" s="183"/>
      <c r="C4" s="183"/>
      <c r="D4" s="183"/>
      <c r="E4" s="71"/>
      <c r="F4" s="72"/>
      <c r="G4" s="65"/>
      <c r="H4" s="74"/>
      <c r="I4" s="70"/>
      <c r="J4" s="70"/>
      <c r="K4" s="70"/>
      <c r="L4" s="74"/>
      <c r="M4" s="123"/>
      <c r="N4" s="73"/>
      <c r="O4" s="236"/>
      <c r="P4" s="117"/>
      <c r="Q4" s="117"/>
      <c r="R4" s="156" t="str">
        <f>IF(Table111[[#This Row],[Qty]]="","",Table111[[#This Row],[Qty]]*Table111[[#This Row],[Unit Price]])</f>
        <v/>
      </c>
      <c r="S4" s="156" t="str">
        <f>IF(Table111[[#This Row],[Qty]]="","",Table111[[#This Row],[Qty]]*Table111[[#This Row],[Unit Price]]+Table111[[#This Row],[Delivery Cost]])</f>
        <v/>
      </c>
      <c r="T4" s="72"/>
      <c r="U4" s="65"/>
      <c r="V4" s="72"/>
      <c r="W4" s="65"/>
      <c r="X4" s="63" t="str">
        <f t="shared" si="0"/>
        <v/>
      </c>
      <c r="Y4" s="63" t="str">
        <f t="shared" si="1"/>
        <v/>
      </c>
      <c r="Z4" s="63" t="str">
        <f t="shared" si="2"/>
        <v/>
      </c>
      <c r="AA4" s="63" t="str">
        <f>TEXT(Table111[[#This Row],[YEAR]],"0000")&amp;"-"&amp;Table111[[#This Row],[MONTH]]</f>
        <v>-</v>
      </c>
    </row>
    <row r="5" spans="1:27" x14ac:dyDescent="0.3">
      <c r="B5" s="68"/>
      <c r="C5" s="68"/>
      <c r="D5" s="68"/>
      <c r="E5" s="71"/>
      <c r="F5" s="72"/>
      <c r="G5" s="76"/>
      <c r="H5" s="74"/>
      <c r="I5" s="70"/>
      <c r="J5" s="70"/>
      <c r="K5" s="70"/>
      <c r="L5" s="74"/>
      <c r="M5" s="123"/>
      <c r="N5" s="73"/>
      <c r="O5" s="236"/>
      <c r="P5" s="117"/>
      <c r="Q5" s="117"/>
      <c r="R5" s="156" t="str">
        <f>IF(Table111[[#This Row],[Qty]]="","",Table111[[#This Row],[Qty]]*Table111[[#This Row],[Unit Price]])</f>
        <v/>
      </c>
      <c r="S5" s="156" t="str">
        <f>IF(Table111[[#This Row],[Qty]]="","",Table111[[#This Row],[Qty]]*Table111[[#This Row],[Unit Price]]+Table111[[#This Row],[Delivery Cost]])</f>
        <v/>
      </c>
      <c r="T5" s="72"/>
      <c r="U5" s="65"/>
      <c r="V5" s="72"/>
      <c r="W5" s="219"/>
      <c r="X5" s="63" t="str">
        <f t="shared" si="0"/>
        <v/>
      </c>
      <c r="Y5" s="63" t="str">
        <f t="shared" si="1"/>
        <v/>
      </c>
      <c r="Z5" s="63" t="str">
        <f t="shared" si="2"/>
        <v/>
      </c>
      <c r="AA5" s="63" t="str">
        <f>TEXT(Table111[[#This Row],[YEAR]],"0000")&amp;"-"&amp;Table111[[#This Row],[MONTH]]</f>
        <v>-</v>
      </c>
    </row>
    <row r="6" spans="1:27" x14ac:dyDescent="0.3">
      <c r="B6" s="183"/>
      <c r="C6" s="183"/>
      <c r="D6" s="183"/>
      <c r="E6" s="71"/>
      <c r="F6" s="72"/>
      <c r="G6" s="76"/>
      <c r="H6" s="74"/>
      <c r="I6" s="70"/>
      <c r="J6" s="70"/>
      <c r="K6" s="70"/>
      <c r="L6" s="74"/>
      <c r="M6" s="123"/>
      <c r="N6" s="73"/>
      <c r="O6" s="236"/>
      <c r="P6" s="113"/>
      <c r="Q6" s="113"/>
      <c r="R6" s="156" t="str">
        <f>IF(Table111[[#This Row],[Qty]]="","",Table111[[#This Row],[Qty]]*Table111[[#This Row],[Unit Price]])</f>
        <v/>
      </c>
      <c r="S6" s="156" t="str">
        <f>IF(Table111[[#This Row],[Qty]]="","",Table111[[#This Row],[Qty]]*Table111[[#This Row],[Unit Price]]+Table111[[#This Row],[Delivery Cost]])</f>
        <v/>
      </c>
      <c r="T6" s="72"/>
      <c r="U6" s="65"/>
      <c r="V6" s="72"/>
      <c r="W6" s="65"/>
      <c r="X6" s="63" t="str">
        <f t="shared" si="0"/>
        <v/>
      </c>
      <c r="Y6" s="63" t="str">
        <f t="shared" si="1"/>
        <v/>
      </c>
      <c r="Z6" s="63" t="str">
        <f t="shared" si="2"/>
        <v/>
      </c>
      <c r="AA6" s="63" t="str">
        <f>TEXT(Table111[[#This Row],[YEAR]],"0000")&amp;"-"&amp;Table111[[#This Row],[MONTH]]</f>
        <v>-</v>
      </c>
    </row>
    <row r="7" spans="1:27" x14ac:dyDescent="0.3">
      <c r="B7" s="183"/>
      <c r="C7" s="183"/>
      <c r="D7" s="183"/>
      <c r="E7" s="71"/>
      <c r="F7" s="72"/>
      <c r="G7" s="76"/>
      <c r="H7" s="74"/>
      <c r="I7" s="70"/>
      <c r="J7" s="70"/>
      <c r="K7" s="70"/>
      <c r="L7" s="74"/>
      <c r="M7" s="123"/>
      <c r="N7" s="73"/>
      <c r="O7" s="236"/>
      <c r="P7" s="117"/>
      <c r="Q7" s="117"/>
      <c r="R7" s="156" t="str">
        <f>IF(Table111[[#This Row],[Qty]]="","",Table111[[#This Row],[Qty]]*Table111[[#This Row],[Unit Price]])</f>
        <v/>
      </c>
      <c r="S7" s="156" t="str">
        <f>IF(Table111[[#This Row],[Qty]]="","",Table111[[#This Row],[Qty]]*Table111[[#This Row],[Unit Price]]+Table111[[#This Row],[Delivery Cost]])</f>
        <v/>
      </c>
      <c r="T7" s="72"/>
      <c r="U7" s="65"/>
      <c r="V7" s="72"/>
      <c r="W7" s="16"/>
      <c r="X7" s="63" t="str">
        <f t="shared" si="0"/>
        <v/>
      </c>
      <c r="Y7" s="63" t="str">
        <f t="shared" si="1"/>
        <v/>
      </c>
      <c r="Z7" s="63" t="str">
        <f t="shared" si="2"/>
        <v/>
      </c>
      <c r="AA7" s="63" t="str">
        <f>TEXT(Table111[[#This Row],[YEAR]],"0000")&amp;"-"&amp;Table111[[#This Row],[MONTH]]</f>
        <v>-</v>
      </c>
    </row>
    <row r="8" spans="1:27" x14ac:dyDescent="0.3">
      <c r="B8" s="68"/>
      <c r="C8" s="68"/>
      <c r="D8" s="68"/>
      <c r="E8" s="71"/>
      <c r="F8" s="72"/>
      <c r="G8" s="76"/>
      <c r="H8" s="74"/>
      <c r="I8" s="70"/>
      <c r="J8" s="70"/>
      <c r="K8" s="70"/>
      <c r="L8" s="74"/>
      <c r="M8" s="123"/>
      <c r="N8" s="73"/>
      <c r="O8" s="236"/>
      <c r="P8" s="117"/>
      <c r="Q8" s="117"/>
      <c r="R8" s="156" t="str">
        <f>IF(Table111[[#This Row],[Qty]]="","",Table111[[#This Row],[Qty]]*Table111[[#This Row],[Unit Price]])</f>
        <v/>
      </c>
      <c r="S8" s="156" t="str">
        <f>IF(Table111[[#This Row],[Qty]]="","",Table111[[#This Row],[Qty]]*Table111[[#This Row],[Unit Price]]+Table111[[#This Row],[Delivery Cost]])</f>
        <v/>
      </c>
      <c r="T8" s="72"/>
      <c r="U8" s="65"/>
      <c r="V8" s="72"/>
      <c r="W8" s="220"/>
      <c r="X8" s="63" t="str">
        <f t="shared" si="0"/>
        <v/>
      </c>
      <c r="Y8" s="63" t="str">
        <f t="shared" si="1"/>
        <v/>
      </c>
      <c r="Z8" s="63" t="str">
        <f t="shared" si="2"/>
        <v/>
      </c>
      <c r="AA8" s="63" t="str">
        <f>TEXT(Table111[[#This Row],[YEAR]],"0000")&amp;"-"&amp;Table111[[#This Row],[MONTH]]</f>
        <v>-</v>
      </c>
    </row>
    <row r="9" spans="1:27" x14ac:dyDescent="0.3">
      <c r="B9" s="183"/>
      <c r="C9" s="183"/>
      <c r="D9" s="183"/>
      <c r="E9" s="71"/>
      <c r="F9" s="72"/>
      <c r="G9" s="72"/>
      <c r="H9" s="74"/>
      <c r="I9" s="70"/>
      <c r="J9" s="70"/>
      <c r="K9" s="70"/>
      <c r="L9" s="74"/>
      <c r="M9" s="123"/>
      <c r="N9" s="73"/>
      <c r="O9" s="236"/>
      <c r="P9" s="117"/>
      <c r="Q9" s="117"/>
      <c r="R9" s="156" t="str">
        <f>IF(Table111[[#This Row],[Qty]]="","",Table111[[#This Row],[Qty]]*Table111[[#This Row],[Unit Price]])</f>
        <v/>
      </c>
      <c r="S9" s="156" t="str">
        <f>IF(Table111[[#This Row],[Qty]]="","",Table111[[#This Row],[Qty]]*Table111[[#This Row],[Unit Price]]+Table111[[#This Row],[Delivery Cost]])</f>
        <v/>
      </c>
      <c r="T9" s="72"/>
      <c r="U9" s="65"/>
      <c r="V9" s="72"/>
      <c r="W9" s="16"/>
      <c r="X9" s="63" t="str">
        <f t="shared" si="0"/>
        <v/>
      </c>
      <c r="Y9" s="63" t="str">
        <f t="shared" si="1"/>
        <v/>
      </c>
      <c r="Z9" s="63" t="str">
        <f t="shared" si="2"/>
        <v/>
      </c>
      <c r="AA9" s="63" t="str">
        <f>TEXT(Table111[[#This Row],[YEAR]],"0000")&amp;"-"&amp;Table111[[#This Row],[MONTH]]</f>
        <v>-</v>
      </c>
    </row>
    <row r="10" spans="1:27" x14ac:dyDescent="0.3">
      <c r="B10" s="68"/>
      <c r="C10" s="68"/>
      <c r="D10" s="68"/>
      <c r="E10" s="71"/>
      <c r="F10" s="72"/>
      <c r="G10" s="72"/>
      <c r="H10" s="74"/>
      <c r="I10" s="70"/>
      <c r="J10" s="70"/>
      <c r="K10" s="70"/>
      <c r="L10" s="74"/>
      <c r="M10" s="123"/>
      <c r="N10" s="73"/>
      <c r="O10" s="236"/>
      <c r="P10" s="117"/>
      <c r="Q10" s="117"/>
      <c r="R10" s="156" t="str">
        <f>IF(Table111[[#This Row],[Qty]]="","",Table111[[#This Row],[Qty]]*Table111[[#This Row],[Unit Price]])</f>
        <v/>
      </c>
      <c r="S10" s="156" t="str">
        <f>IF(Table111[[#This Row],[Qty]]="","",Table111[[#This Row],[Qty]]*Table111[[#This Row],[Unit Price]]+Table111[[#This Row],[Delivery Cost]])</f>
        <v/>
      </c>
      <c r="T10" s="72"/>
      <c r="U10" s="65"/>
      <c r="V10" s="72"/>
      <c r="W10" s="220"/>
      <c r="X10" s="63" t="str">
        <f t="shared" si="0"/>
        <v/>
      </c>
      <c r="Y10" s="63" t="str">
        <f t="shared" si="1"/>
        <v/>
      </c>
      <c r="Z10" s="63" t="str">
        <f t="shared" si="2"/>
        <v/>
      </c>
      <c r="AA10" s="63" t="str">
        <f>TEXT(Table111[[#This Row],[YEAR]],"0000")&amp;"-"&amp;Table111[[#This Row],[MONTH]]</f>
        <v>-</v>
      </c>
    </row>
    <row r="11" spans="1:27" x14ac:dyDescent="0.3">
      <c r="B11" s="183"/>
      <c r="C11" s="183"/>
      <c r="D11" s="183"/>
      <c r="E11" s="71"/>
      <c r="F11" s="72"/>
      <c r="G11" s="72"/>
      <c r="H11" s="74"/>
      <c r="I11" s="70"/>
      <c r="J11" s="70"/>
      <c r="K11" s="70"/>
      <c r="L11" s="74"/>
      <c r="M11" s="123"/>
      <c r="N11" s="73"/>
      <c r="O11" s="236"/>
      <c r="P11" s="117"/>
      <c r="Q11" s="117"/>
      <c r="R11" s="156" t="str">
        <f>IF(Table111[[#This Row],[Qty]]="","",Table111[[#This Row],[Qty]]*Table111[[#This Row],[Unit Price]])</f>
        <v/>
      </c>
      <c r="S11" s="156" t="str">
        <f>IF(Table111[[#This Row],[Qty]]="","",Table111[[#This Row],[Qty]]*Table111[[#This Row],[Unit Price]]+Table111[[#This Row],[Delivery Cost]])</f>
        <v/>
      </c>
      <c r="T11" s="72"/>
      <c r="U11" s="65"/>
      <c r="V11" s="72"/>
      <c r="W11" s="16"/>
      <c r="X11" s="63" t="str">
        <f t="shared" si="0"/>
        <v/>
      </c>
      <c r="Y11" s="63" t="str">
        <f t="shared" si="1"/>
        <v/>
      </c>
      <c r="Z11" s="63" t="str">
        <f t="shared" si="2"/>
        <v/>
      </c>
      <c r="AA11" s="63" t="str">
        <f>TEXT(Table111[[#This Row],[YEAR]],"0000")&amp;"-"&amp;Table111[[#This Row],[MONTH]]</f>
        <v>-</v>
      </c>
    </row>
    <row r="12" spans="1:27" x14ac:dyDescent="0.3">
      <c r="B12" s="68"/>
      <c r="C12" s="68"/>
      <c r="D12" s="68"/>
      <c r="E12" s="71"/>
      <c r="F12" s="72"/>
      <c r="G12" s="76"/>
      <c r="H12" s="74"/>
      <c r="I12" s="70"/>
      <c r="J12" s="70"/>
      <c r="K12" s="70"/>
      <c r="L12" s="74"/>
      <c r="M12" s="123"/>
      <c r="N12" s="73"/>
      <c r="O12" s="236"/>
      <c r="P12" s="117"/>
      <c r="Q12" s="117"/>
      <c r="R12" s="156" t="str">
        <f>IF(Table111[[#This Row],[Qty]]="","",Table111[[#This Row],[Qty]]*Table111[[#This Row],[Unit Price]])</f>
        <v/>
      </c>
      <c r="S12" s="156" t="str">
        <f>IF(Table111[[#This Row],[Qty]]="","",Table111[[#This Row],[Qty]]*Table111[[#This Row],[Unit Price]]+Table111[[#This Row],[Delivery Cost]])</f>
        <v/>
      </c>
      <c r="T12" s="72"/>
      <c r="U12" s="65"/>
      <c r="V12" s="72"/>
      <c r="W12" s="220"/>
      <c r="X12" s="63" t="str">
        <f t="shared" si="0"/>
        <v/>
      </c>
      <c r="Y12" s="63" t="str">
        <f t="shared" si="1"/>
        <v/>
      </c>
      <c r="Z12" s="63" t="str">
        <f t="shared" si="2"/>
        <v/>
      </c>
      <c r="AA12" s="63" t="str">
        <f>TEXT(Table111[[#This Row],[YEAR]],"0000")&amp;"-"&amp;Table111[[#This Row],[MONTH]]</f>
        <v>-</v>
      </c>
    </row>
    <row r="13" spans="1:27" x14ac:dyDescent="0.3">
      <c r="B13" s="183"/>
      <c r="C13" s="183"/>
      <c r="D13" s="183"/>
      <c r="E13" s="71"/>
      <c r="F13" s="72"/>
      <c r="G13" s="72"/>
      <c r="H13" s="74"/>
      <c r="I13" s="70"/>
      <c r="J13" s="70"/>
      <c r="K13" s="70"/>
      <c r="L13" s="74"/>
      <c r="M13" s="123"/>
      <c r="N13" s="73"/>
      <c r="O13" s="236"/>
      <c r="P13" s="117"/>
      <c r="Q13" s="117"/>
      <c r="R13" s="156" t="str">
        <f>IF(Table111[[#This Row],[Qty]]="","",Table111[[#This Row],[Qty]]*Table111[[#This Row],[Unit Price]])</f>
        <v/>
      </c>
      <c r="S13" s="156" t="str">
        <f>IF(Table111[[#This Row],[Qty]]="","",Table111[[#This Row],[Qty]]*Table111[[#This Row],[Unit Price]]+Table111[[#This Row],[Delivery Cost]])</f>
        <v/>
      </c>
      <c r="T13" s="72"/>
      <c r="U13" s="65"/>
      <c r="V13" s="72"/>
      <c r="W13" s="16"/>
      <c r="X13" s="63" t="str">
        <f t="shared" si="0"/>
        <v/>
      </c>
      <c r="Y13" s="63" t="str">
        <f t="shared" si="1"/>
        <v/>
      </c>
      <c r="Z13" s="63" t="str">
        <f t="shared" si="2"/>
        <v/>
      </c>
      <c r="AA13" s="63" t="str">
        <f>TEXT(Table111[[#This Row],[YEAR]],"0000")&amp;"-"&amp;Table111[[#This Row],[MONTH]]</f>
        <v>-</v>
      </c>
    </row>
    <row r="14" spans="1:27" ht="15.6" customHeight="1" x14ac:dyDescent="0.3">
      <c r="B14" s="68"/>
      <c r="C14" s="68"/>
      <c r="D14" s="68"/>
      <c r="E14" s="71"/>
      <c r="F14" s="72"/>
      <c r="G14" s="72"/>
      <c r="H14" s="74"/>
      <c r="I14" s="70"/>
      <c r="J14" s="70"/>
      <c r="K14" s="70"/>
      <c r="L14" s="74"/>
      <c r="M14" s="123"/>
      <c r="N14" s="73"/>
      <c r="O14" s="236"/>
      <c r="P14" s="117"/>
      <c r="Q14" s="117"/>
      <c r="R14" s="156" t="str">
        <f>IF(Table111[[#This Row],[Qty]]="","",Table111[[#This Row],[Qty]]*Table111[[#This Row],[Unit Price]])</f>
        <v/>
      </c>
      <c r="S14" s="156" t="str">
        <f>IF(Table111[[#This Row],[Qty]]="","",Table111[[#This Row],[Qty]]*Table111[[#This Row],[Unit Price]]+Table111[[#This Row],[Delivery Cost]])</f>
        <v/>
      </c>
      <c r="T14" s="72"/>
      <c r="U14" s="65"/>
      <c r="V14" s="72"/>
      <c r="W14" s="220"/>
      <c r="X14" s="63" t="str">
        <f t="shared" si="0"/>
        <v/>
      </c>
      <c r="Y14" s="63" t="str">
        <f t="shared" si="1"/>
        <v/>
      </c>
      <c r="Z14" s="63" t="str">
        <f t="shared" si="2"/>
        <v/>
      </c>
      <c r="AA14" s="63" t="str">
        <f>TEXT(Table111[[#This Row],[YEAR]],"0000")&amp;"-"&amp;Table111[[#This Row],[MONTH]]</f>
        <v>-</v>
      </c>
    </row>
    <row r="15" spans="1:27" x14ac:dyDescent="0.3">
      <c r="B15" s="183"/>
      <c r="C15" s="183"/>
      <c r="D15" s="183"/>
      <c r="E15" s="71"/>
      <c r="F15" s="72"/>
      <c r="G15" s="72"/>
      <c r="H15" s="74"/>
      <c r="I15" s="70"/>
      <c r="J15" s="70"/>
      <c r="K15" s="70"/>
      <c r="L15" s="74"/>
      <c r="M15" s="123"/>
      <c r="N15" s="73"/>
      <c r="O15" s="236"/>
      <c r="P15" s="117"/>
      <c r="Q15" s="117"/>
      <c r="R15" s="156" t="str">
        <f>IF(Table111[[#This Row],[Qty]]="","",Table111[[#This Row],[Qty]]*Table111[[#This Row],[Unit Price]])</f>
        <v/>
      </c>
      <c r="S15" s="156" t="str">
        <f>IF(Table111[[#This Row],[Qty]]="","",Table111[[#This Row],[Qty]]*Table111[[#This Row],[Unit Price]]+Table111[[#This Row],[Delivery Cost]])</f>
        <v/>
      </c>
      <c r="T15" s="72"/>
      <c r="U15" s="65"/>
      <c r="V15" s="72"/>
      <c r="W15" s="16"/>
      <c r="X15" s="63" t="str">
        <f t="shared" si="0"/>
        <v/>
      </c>
      <c r="Y15" s="63" t="str">
        <f t="shared" si="1"/>
        <v/>
      </c>
      <c r="Z15" s="63" t="str">
        <f t="shared" si="2"/>
        <v/>
      </c>
      <c r="AA15" s="63" t="str">
        <f>TEXT(Table111[[#This Row],[YEAR]],"0000")&amp;"-"&amp;Table111[[#This Row],[MONTH]]</f>
        <v>-</v>
      </c>
    </row>
    <row r="16" spans="1:27" x14ac:dyDescent="0.3">
      <c r="B16" s="68"/>
      <c r="C16" s="68"/>
      <c r="D16" s="68"/>
      <c r="E16" s="71"/>
      <c r="F16" s="72"/>
      <c r="G16" s="65"/>
      <c r="H16" s="74"/>
      <c r="I16" s="70"/>
      <c r="J16" s="70"/>
      <c r="K16" s="70"/>
      <c r="L16" s="74"/>
      <c r="M16" s="123"/>
      <c r="N16" s="73"/>
      <c r="O16" s="236"/>
      <c r="P16" s="117"/>
      <c r="Q16" s="117"/>
      <c r="R16" s="156" t="str">
        <f>IF(Table111[[#This Row],[Qty]]="","",Table111[[#This Row],[Qty]]*Table111[[#This Row],[Unit Price]])</f>
        <v/>
      </c>
      <c r="S16" s="156" t="str">
        <f>IF(Table111[[#This Row],[Qty]]="","",Table111[[#This Row],[Qty]]*Table111[[#This Row],[Unit Price]]+Table111[[#This Row],[Delivery Cost]])</f>
        <v/>
      </c>
      <c r="T16" s="72"/>
      <c r="U16" s="65"/>
      <c r="V16" s="72"/>
      <c r="W16" s="220"/>
      <c r="X16" s="63" t="str">
        <f t="shared" si="0"/>
        <v/>
      </c>
      <c r="Y16" s="63" t="str">
        <f t="shared" si="1"/>
        <v/>
      </c>
      <c r="Z16" s="63" t="str">
        <f t="shared" si="2"/>
        <v/>
      </c>
      <c r="AA16" s="63" t="str">
        <f>TEXT(Table111[[#This Row],[YEAR]],"0000")&amp;"-"&amp;Table111[[#This Row],[MONTH]]</f>
        <v>-</v>
      </c>
    </row>
    <row r="17" spans="2:27" x14ac:dyDescent="0.3">
      <c r="B17" s="183"/>
      <c r="C17" s="183"/>
      <c r="D17" s="183"/>
      <c r="E17" s="71"/>
      <c r="F17" s="72"/>
      <c r="G17" s="72"/>
      <c r="H17" s="69"/>
      <c r="I17" s="73"/>
      <c r="J17" s="73"/>
      <c r="K17" s="73"/>
      <c r="L17" s="74"/>
      <c r="M17" s="123"/>
      <c r="N17" s="73"/>
      <c r="O17" s="236"/>
      <c r="P17" s="117"/>
      <c r="Q17" s="117"/>
      <c r="R17" s="156" t="str">
        <f>IF(Table111[[#This Row],[Qty]]="","",Table111[[#This Row],[Qty]]*Table111[[#This Row],[Unit Price]])</f>
        <v/>
      </c>
      <c r="S17" s="156" t="str">
        <f>IF(Table111[[#This Row],[Qty]]="","",Table111[[#This Row],[Qty]]*Table111[[#This Row],[Unit Price]]+Table111[[#This Row],[Delivery Cost]])</f>
        <v/>
      </c>
      <c r="T17" s="72"/>
      <c r="U17" s="65"/>
      <c r="V17" s="72"/>
      <c r="W17" s="16"/>
      <c r="X17" s="63" t="str">
        <f t="shared" si="0"/>
        <v/>
      </c>
      <c r="Y17" s="63" t="str">
        <f t="shared" si="1"/>
        <v/>
      </c>
      <c r="Z17" s="63" t="str">
        <f t="shared" si="2"/>
        <v/>
      </c>
      <c r="AA17" s="63" t="str">
        <f>TEXT(Table111[[#This Row],[YEAR]],"0000")&amp;"-"&amp;Table111[[#This Row],[MONTH]]</f>
        <v>-</v>
      </c>
    </row>
    <row r="18" spans="2:27" x14ac:dyDescent="0.3">
      <c r="B18" s="68"/>
      <c r="C18" s="68"/>
      <c r="D18" s="68"/>
      <c r="E18" s="71"/>
      <c r="F18" s="72"/>
      <c r="G18" s="72"/>
      <c r="H18" s="74"/>
      <c r="I18" s="70"/>
      <c r="J18" s="70"/>
      <c r="K18" s="70"/>
      <c r="L18" s="74"/>
      <c r="M18" s="123"/>
      <c r="N18" s="73"/>
      <c r="O18" s="236"/>
      <c r="P18" s="117"/>
      <c r="Q18" s="117"/>
      <c r="R18" s="156" t="str">
        <f>IF(Table111[[#This Row],[Qty]]="","",Table111[[#This Row],[Qty]]*Table111[[#This Row],[Unit Price]])</f>
        <v/>
      </c>
      <c r="S18" s="156" t="str">
        <f>IF(Table111[[#This Row],[Qty]]="","",Table111[[#This Row],[Qty]]*Table111[[#This Row],[Unit Price]]+Table111[[#This Row],[Delivery Cost]])</f>
        <v/>
      </c>
      <c r="T18" s="72"/>
      <c r="U18" s="65"/>
      <c r="V18" s="72"/>
      <c r="W18" s="220"/>
      <c r="X18" s="63" t="str">
        <f t="shared" si="0"/>
        <v/>
      </c>
      <c r="Y18" s="63" t="str">
        <f t="shared" si="1"/>
        <v/>
      </c>
      <c r="Z18" s="63" t="str">
        <f t="shared" si="2"/>
        <v/>
      </c>
      <c r="AA18" s="63" t="str">
        <f>TEXT(Table111[[#This Row],[YEAR]],"0000")&amp;"-"&amp;Table111[[#This Row],[MONTH]]</f>
        <v>-</v>
      </c>
    </row>
    <row r="19" spans="2:27" x14ac:dyDescent="0.3">
      <c r="B19" s="183"/>
      <c r="C19" s="183"/>
      <c r="D19" s="183"/>
      <c r="E19" s="71"/>
      <c r="F19" s="72"/>
      <c r="G19" s="72"/>
      <c r="H19" s="74"/>
      <c r="I19" s="70"/>
      <c r="J19" s="70"/>
      <c r="K19" s="70"/>
      <c r="L19" s="74"/>
      <c r="M19" s="123"/>
      <c r="N19" s="73"/>
      <c r="O19" s="236"/>
      <c r="P19" s="117"/>
      <c r="Q19" s="117"/>
      <c r="R19" s="156" t="str">
        <f>IF(Table111[[#This Row],[Qty]]="","",Table111[[#This Row],[Qty]]*Table111[[#This Row],[Unit Price]])</f>
        <v/>
      </c>
      <c r="S19" s="156" t="str">
        <f>IF(Table111[[#This Row],[Qty]]="","",Table111[[#This Row],[Qty]]*Table111[[#This Row],[Unit Price]]+Table111[[#This Row],[Delivery Cost]])</f>
        <v/>
      </c>
      <c r="T19" s="72"/>
      <c r="U19" s="65"/>
      <c r="V19" s="72"/>
      <c r="W19" s="16"/>
      <c r="X19" s="63" t="str">
        <f t="shared" si="0"/>
        <v/>
      </c>
      <c r="Y19" s="63" t="str">
        <f t="shared" si="1"/>
        <v/>
      </c>
      <c r="Z19" s="63" t="str">
        <f t="shared" si="2"/>
        <v/>
      </c>
      <c r="AA19" s="63" t="str">
        <f>TEXT(Table111[[#This Row],[YEAR]],"0000")&amp;"-"&amp;Table111[[#This Row],[MONTH]]</f>
        <v>-</v>
      </c>
    </row>
    <row r="20" spans="2:27" x14ac:dyDescent="0.3">
      <c r="B20" s="68"/>
      <c r="C20" s="68"/>
      <c r="D20" s="68"/>
      <c r="E20" s="71"/>
      <c r="F20" s="72"/>
      <c r="G20" s="72"/>
      <c r="H20" s="74"/>
      <c r="I20" s="70"/>
      <c r="J20" s="70"/>
      <c r="K20" s="70"/>
      <c r="L20" s="74"/>
      <c r="M20" s="123"/>
      <c r="N20" s="73"/>
      <c r="O20" s="236"/>
      <c r="P20" s="117"/>
      <c r="Q20" s="117"/>
      <c r="R20" s="156" t="str">
        <f>IF(Table111[[#This Row],[Qty]]="","",Table111[[#This Row],[Qty]]*Table111[[#This Row],[Unit Price]])</f>
        <v/>
      </c>
      <c r="S20" s="156" t="str">
        <f>IF(Table111[[#This Row],[Qty]]="","",Table111[[#This Row],[Qty]]*Table111[[#This Row],[Unit Price]]+Table111[[#This Row],[Delivery Cost]])</f>
        <v/>
      </c>
      <c r="T20" s="72"/>
      <c r="U20" s="65"/>
      <c r="V20" s="72"/>
      <c r="W20" s="220"/>
      <c r="X20" s="63" t="str">
        <f t="shared" si="0"/>
        <v/>
      </c>
      <c r="Y20" s="63" t="str">
        <f t="shared" si="1"/>
        <v/>
      </c>
      <c r="Z20" s="63" t="str">
        <f t="shared" si="2"/>
        <v/>
      </c>
      <c r="AA20" s="63" t="str">
        <f>TEXT(Table111[[#This Row],[YEAR]],"0000")&amp;"-"&amp;Table111[[#This Row],[MONTH]]</f>
        <v>-</v>
      </c>
    </row>
    <row r="21" spans="2:27" x14ac:dyDescent="0.3">
      <c r="B21" s="183"/>
      <c r="C21" s="183"/>
      <c r="D21" s="183"/>
      <c r="E21" s="71"/>
      <c r="F21" s="72"/>
      <c r="G21" s="72"/>
      <c r="H21" s="74"/>
      <c r="I21" s="70"/>
      <c r="J21" s="70"/>
      <c r="K21" s="70"/>
      <c r="L21" s="74"/>
      <c r="M21" s="123"/>
      <c r="N21" s="73"/>
      <c r="O21" s="236"/>
      <c r="P21" s="117"/>
      <c r="Q21" s="117"/>
      <c r="R21" s="156" t="str">
        <f>IF(Table111[[#This Row],[Qty]]="","",Table111[[#This Row],[Qty]]*Table111[[#This Row],[Unit Price]])</f>
        <v/>
      </c>
      <c r="S21" s="156" t="str">
        <f>IF(Table111[[#This Row],[Qty]]="","",Table111[[#This Row],[Qty]]*Table111[[#This Row],[Unit Price]]+Table111[[#This Row],[Delivery Cost]])</f>
        <v/>
      </c>
      <c r="T21" s="72"/>
      <c r="U21" s="65"/>
      <c r="V21" s="72"/>
      <c r="W21" s="16"/>
      <c r="X21" s="63" t="str">
        <f t="shared" si="0"/>
        <v/>
      </c>
      <c r="Y21" s="63" t="str">
        <f t="shared" si="1"/>
        <v/>
      </c>
      <c r="Z21" s="63" t="str">
        <f t="shared" si="2"/>
        <v/>
      </c>
      <c r="AA21" s="63" t="str">
        <f>TEXT(Table111[[#This Row],[YEAR]],"0000")&amp;"-"&amp;Table111[[#This Row],[MONTH]]</f>
        <v>-</v>
      </c>
    </row>
    <row r="22" spans="2:27" x14ac:dyDescent="0.3">
      <c r="B22" s="68"/>
      <c r="C22" s="68"/>
      <c r="D22" s="68"/>
      <c r="E22" s="71"/>
      <c r="F22" s="72"/>
      <c r="G22" s="72"/>
      <c r="H22" s="74"/>
      <c r="I22" s="70"/>
      <c r="J22" s="70"/>
      <c r="K22" s="70"/>
      <c r="L22" s="74"/>
      <c r="M22" s="123"/>
      <c r="N22" s="73"/>
      <c r="O22" s="236"/>
      <c r="P22" s="117"/>
      <c r="Q22" s="117"/>
      <c r="R22" s="156" t="str">
        <f>IF(Table111[[#This Row],[Qty]]="","",Table111[[#This Row],[Qty]]*Table111[[#This Row],[Unit Price]])</f>
        <v/>
      </c>
      <c r="S22" s="156" t="str">
        <f>IF(Table111[[#This Row],[Qty]]="","",Table111[[#This Row],[Qty]]*Table111[[#This Row],[Unit Price]]+Table111[[#This Row],[Delivery Cost]])</f>
        <v/>
      </c>
      <c r="T22" s="72"/>
      <c r="U22" s="65"/>
      <c r="V22" s="72"/>
      <c r="W22" s="220"/>
      <c r="X22" s="63" t="str">
        <f t="shared" si="0"/>
        <v/>
      </c>
      <c r="Y22" s="63" t="str">
        <f t="shared" si="1"/>
        <v/>
      </c>
      <c r="Z22" s="63" t="str">
        <f t="shared" si="2"/>
        <v/>
      </c>
      <c r="AA22" s="63" t="str">
        <f>TEXT(Table111[[#This Row],[YEAR]],"0000")&amp;"-"&amp;Table111[[#This Row],[MONTH]]</f>
        <v>-</v>
      </c>
    </row>
    <row r="23" spans="2:27" x14ac:dyDescent="0.3">
      <c r="B23" s="183"/>
      <c r="C23" s="183"/>
      <c r="D23" s="183"/>
      <c r="E23" s="71"/>
      <c r="F23" s="72"/>
      <c r="G23" s="72"/>
      <c r="H23" s="74"/>
      <c r="I23" s="70"/>
      <c r="J23" s="70"/>
      <c r="K23" s="70"/>
      <c r="L23" s="74"/>
      <c r="M23" s="123"/>
      <c r="N23" s="73"/>
      <c r="O23" s="236"/>
      <c r="P23" s="117"/>
      <c r="Q23" s="117"/>
      <c r="R23" s="156" t="str">
        <f>IF(Table111[[#This Row],[Qty]]="","",Table111[[#This Row],[Qty]]*Table111[[#This Row],[Unit Price]])</f>
        <v/>
      </c>
      <c r="S23" s="156" t="str">
        <f>IF(Table111[[#This Row],[Qty]]="","",Table111[[#This Row],[Qty]]*Table111[[#This Row],[Unit Price]]+Table111[[#This Row],[Delivery Cost]])</f>
        <v/>
      </c>
      <c r="T23" s="72"/>
      <c r="U23" s="65"/>
      <c r="V23" s="72"/>
      <c r="W23" s="16"/>
      <c r="X23" s="63" t="str">
        <f t="shared" si="0"/>
        <v/>
      </c>
      <c r="Y23" s="63" t="str">
        <f t="shared" si="1"/>
        <v/>
      </c>
      <c r="Z23" s="63" t="str">
        <f t="shared" si="2"/>
        <v/>
      </c>
      <c r="AA23" s="63" t="str">
        <f>TEXT(Table111[[#This Row],[YEAR]],"0000")&amp;"-"&amp;Table111[[#This Row],[MONTH]]</f>
        <v>-</v>
      </c>
    </row>
    <row r="24" spans="2:27" x14ac:dyDescent="0.3">
      <c r="B24" s="68"/>
      <c r="C24" s="68"/>
      <c r="D24" s="68"/>
      <c r="E24" s="71"/>
      <c r="F24" s="72"/>
      <c r="G24" s="72"/>
      <c r="H24" s="74"/>
      <c r="I24" s="70"/>
      <c r="J24" s="70"/>
      <c r="K24" s="70"/>
      <c r="L24" s="74"/>
      <c r="M24" s="123"/>
      <c r="N24" s="73"/>
      <c r="O24" s="236"/>
      <c r="P24" s="117"/>
      <c r="Q24" s="117"/>
      <c r="R24" s="156" t="str">
        <f>IF(Table111[[#This Row],[Qty]]="","",Table111[[#This Row],[Qty]]*Table111[[#This Row],[Unit Price]])</f>
        <v/>
      </c>
      <c r="S24" s="156" t="str">
        <f>IF(Table111[[#This Row],[Qty]]="","",Table111[[#This Row],[Qty]]*Table111[[#This Row],[Unit Price]]+Table111[[#This Row],[Delivery Cost]])</f>
        <v/>
      </c>
      <c r="T24" s="72"/>
      <c r="U24" s="65"/>
      <c r="V24" s="72"/>
      <c r="W24" s="220"/>
      <c r="X24" s="63" t="str">
        <f t="shared" si="0"/>
        <v/>
      </c>
      <c r="Y24" s="63" t="str">
        <f t="shared" si="1"/>
        <v/>
      </c>
      <c r="Z24" s="63" t="str">
        <f t="shared" si="2"/>
        <v/>
      </c>
      <c r="AA24" s="63" t="str">
        <f>TEXT(Table111[[#This Row],[YEAR]],"0000")&amp;"-"&amp;Table111[[#This Row],[MONTH]]</f>
        <v>-</v>
      </c>
    </row>
    <row r="25" spans="2:27" x14ac:dyDescent="0.3">
      <c r="B25" s="183"/>
      <c r="C25" s="183"/>
      <c r="D25" s="183"/>
      <c r="E25" s="71"/>
      <c r="F25" s="72"/>
      <c r="G25" s="72"/>
      <c r="H25" s="74"/>
      <c r="I25" s="70"/>
      <c r="J25" s="70"/>
      <c r="K25" s="70"/>
      <c r="L25" s="74"/>
      <c r="M25" s="123"/>
      <c r="N25" s="73"/>
      <c r="O25" s="236"/>
      <c r="P25" s="117"/>
      <c r="Q25" s="117"/>
      <c r="R25" s="156" t="str">
        <f>IF(Table111[[#This Row],[Qty]]="","",Table111[[#This Row],[Qty]]*Table111[[#This Row],[Unit Price]])</f>
        <v/>
      </c>
      <c r="S25" s="156" t="str">
        <f>IF(Table111[[#This Row],[Qty]]="","",Table111[[#This Row],[Qty]]*Table111[[#This Row],[Unit Price]]+Table111[[#This Row],[Delivery Cost]])</f>
        <v/>
      </c>
      <c r="T25" s="72"/>
      <c r="U25" s="65"/>
      <c r="V25" s="72"/>
      <c r="W25" s="16"/>
      <c r="X25" s="63" t="str">
        <f t="shared" si="0"/>
        <v/>
      </c>
      <c r="Y25" s="63" t="str">
        <f t="shared" si="1"/>
        <v/>
      </c>
      <c r="Z25" s="63" t="str">
        <f t="shared" si="2"/>
        <v/>
      </c>
      <c r="AA25" s="63" t="str">
        <f>TEXT(Table111[[#This Row],[YEAR]],"0000")&amp;"-"&amp;Table111[[#This Row],[MONTH]]</f>
        <v>-</v>
      </c>
    </row>
    <row r="26" spans="2:27" ht="15" x14ac:dyDescent="0.3">
      <c r="B26" s="68"/>
      <c r="C26" s="68"/>
      <c r="D26" s="68"/>
      <c r="E26" s="71"/>
      <c r="F26" s="72"/>
      <c r="G26" s="77"/>
      <c r="H26" s="74"/>
      <c r="I26" s="70"/>
      <c r="J26" s="70"/>
      <c r="K26" s="70"/>
      <c r="L26" s="74"/>
      <c r="M26" s="123"/>
      <c r="N26" s="73"/>
      <c r="O26" s="236"/>
      <c r="P26" s="117"/>
      <c r="Q26" s="117"/>
      <c r="R26" s="156" t="str">
        <f>IF(Table111[[#This Row],[Qty]]="","",Table111[[#This Row],[Qty]]*Table111[[#This Row],[Unit Price]])</f>
        <v/>
      </c>
      <c r="S26" s="156" t="str">
        <f>IF(Table111[[#This Row],[Qty]]="","",Table111[[#This Row],[Qty]]*Table111[[#This Row],[Unit Price]]+Table111[[#This Row],[Delivery Cost]])</f>
        <v/>
      </c>
      <c r="T26" s="72"/>
      <c r="U26" s="65"/>
      <c r="V26" s="72"/>
      <c r="W26" s="220"/>
      <c r="X26" s="63" t="str">
        <f t="shared" si="0"/>
        <v/>
      </c>
      <c r="Y26" s="63" t="str">
        <f t="shared" si="1"/>
        <v/>
      </c>
      <c r="Z26" s="63" t="str">
        <f t="shared" si="2"/>
        <v/>
      </c>
      <c r="AA26" s="63" t="str">
        <f>TEXT(Table111[[#This Row],[YEAR]],"0000")&amp;"-"&amp;Table111[[#This Row],[MONTH]]</f>
        <v>-</v>
      </c>
    </row>
    <row r="27" spans="2:27" x14ac:dyDescent="0.3">
      <c r="B27" s="183"/>
      <c r="C27" s="183"/>
      <c r="D27" s="183"/>
      <c r="E27" s="71"/>
      <c r="F27" s="72"/>
      <c r="G27" s="72"/>
      <c r="H27" s="136"/>
      <c r="I27" s="78"/>
      <c r="J27" s="78"/>
      <c r="K27" s="78"/>
      <c r="L27" s="74"/>
      <c r="M27" s="123"/>
      <c r="N27" s="118"/>
      <c r="O27" s="236"/>
      <c r="P27" s="133"/>
      <c r="Q27" s="133"/>
      <c r="R27" s="156" t="str">
        <f>IF(Table111[[#This Row],[Qty]]="","",Table111[[#This Row],[Qty]]*Table111[[#This Row],[Unit Price]])</f>
        <v/>
      </c>
      <c r="S27" s="156" t="str">
        <f>IF(Table111[[#This Row],[Qty]]="","",Table111[[#This Row],[Qty]]*Table111[[#This Row],[Unit Price]]+Table111[[#This Row],[Delivery Cost]])</f>
        <v/>
      </c>
      <c r="T27" s="72"/>
      <c r="U27" s="65"/>
      <c r="V27" s="72"/>
      <c r="W27" s="16"/>
      <c r="X27" s="63" t="str">
        <f t="shared" si="0"/>
        <v/>
      </c>
      <c r="Y27" s="63" t="str">
        <f t="shared" si="1"/>
        <v/>
      </c>
      <c r="Z27" s="63" t="str">
        <f t="shared" si="2"/>
        <v/>
      </c>
      <c r="AA27" s="63" t="str">
        <f>TEXT(Table111[[#This Row],[YEAR]],"0000")&amp;"-"&amp;Table111[[#This Row],[MONTH]]</f>
        <v>-</v>
      </c>
    </row>
    <row r="28" spans="2:27" x14ac:dyDescent="0.3">
      <c r="B28" s="68"/>
      <c r="C28" s="68"/>
      <c r="D28" s="68"/>
      <c r="E28" s="71"/>
      <c r="F28" s="72"/>
      <c r="G28" s="79"/>
      <c r="H28" s="74"/>
      <c r="I28" s="70"/>
      <c r="J28" s="70"/>
      <c r="K28" s="70"/>
      <c r="L28" s="74"/>
      <c r="M28" s="123"/>
      <c r="N28" s="73"/>
      <c r="O28" s="236"/>
      <c r="P28" s="117"/>
      <c r="Q28" s="117"/>
      <c r="R28" s="156" t="str">
        <f>IF(Table111[[#This Row],[Qty]]="","",Table111[[#This Row],[Qty]]*Table111[[#This Row],[Unit Price]])</f>
        <v/>
      </c>
      <c r="S28" s="156" t="str">
        <f>IF(Table111[[#This Row],[Qty]]="","",Table111[[#This Row],[Qty]]*Table111[[#This Row],[Unit Price]]+Table111[[#This Row],[Delivery Cost]])</f>
        <v/>
      </c>
      <c r="T28" s="72"/>
      <c r="U28" s="65"/>
      <c r="V28" s="72"/>
      <c r="W28" s="220"/>
      <c r="X28" s="63" t="str">
        <f t="shared" si="0"/>
        <v/>
      </c>
      <c r="Y28" s="63" t="str">
        <f t="shared" si="1"/>
        <v/>
      </c>
      <c r="Z28" s="63" t="str">
        <f t="shared" si="2"/>
        <v/>
      </c>
      <c r="AA28" s="63" t="str">
        <f>TEXT(Table111[[#This Row],[YEAR]],"0000")&amp;"-"&amp;Table111[[#This Row],[MONTH]]</f>
        <v>-</v>
      </c>
    </row>
    <row r="29" spans="2:27" x14ac:dyDescent="0.3">
      <c r="B29" s="183"/>
      <c r="C29" s="183"/>
      <c r="D29" s="183"/>
      <c r="E29" s="71"/>
      <c r="F29" s="72"/>
      <c r="G29" s="72"/>
      <c r="H29" s="74"/>
      <c r="I29" s="70"/>
      <c r="J29" s="70"/>
      <c r="K29" s="70"/>
      <c r="L29" s="74"/>
      <c r="M29" s="123"/>
      <c r="N29" s="73"/>
      <c r="O29" s="236"/>
      <c r="P29" s="117"/>
      <c r="Q29" s="117"/>
      <c r="R29" s="156" t="str">
        <f>IF(Table111[[#This Row],[Qty]]="","",Table111[[#This Row],[Qty]]*Table111[[#This Row],[Unit Price]])</f>
        <v/>
      </c>
      <c r="S29" s="156" t="str">
        <f>IF(Table111[[#This Row],[Qty]]="","",Table111[[#This Row],[Qty]]*Table111[[#This Row],[Unit Price]]+Table111[[#This Row],[Delivery Cost]])</f>
        <v/>
      </c>
      <c r="T29" s="72"/>
      <c r="U29" s="65"/>
      <c r="V29" s="72"/>
      <c r="W29" s="16"/>
      <c r="X29" s="63" t="str">
        <f t="shared" si="0"/>
        <v/>
      </c>
      <c r="Y29" s="63" t="str">
        <f t="shared" si="1"/>
        <v/>
      </c>
      <c r="Z29" s="63" t="str">
        <f t="shared" si="2"/>
        <v/>
      </c>
      <c r="AA29" s="63" t="str">
        <f>TEXT(Table111[[#This Row],[YEAR]],"0000")&amp;"-"&amp;Table111[[#This Row],[MONTH]]</f>
        <v>-</v>
      </c>
    </row>
    <row r="30" spans="2:27" x14ac:dyDescent="0.3">
      <c r="B30" s="68"/>
      <c r="C30" s="68"/>
      <c r="D30" s="68"/>
      <c r="E30" s="71"/>
      <c r="F30" s="72"/>
      <c r="G30" s="72"/>
      <c r="H30" s="74"/>
      <c r="I30" s="70"/>
      <c r="J30" s="70"/>
      <c r="K30" s="70"/>
      <c r="L30" s="74"/>
      <c r="M30" s="123"/>
      <c r="N30" s="73"/>
      <c r="O30" s="236"/>
      <c r="P30" s="117"/>
      <c r="Q30" s="117"/>
      <c r="R30" s="156" t="str">
        <f>IF(Table111[[#This Row],[Qty]]="","",Table111[[#This Row],[Qty]]*Table111[[#This Row],[Unit Price]])</f>
        <v/>
      </c>
      <c r="S30" s="156" t="str">
        <f>IF(Table111[[#This Row],[Qty]]="","",Table111[[#This Row],[Qty]]*Table111[[#This Row],[Unit Price]]+Table111[[#This Row],[Delivery Cost]])</f>
        <v/>
      </c>
      <c r="T30" s="72"/>
      <c r="U30" s="65"/>
      <c r="V30" s="72"/>
      <c r="W30" s="220"/>
      <c r="X30" s="63" t="str">
        <f t="shared" si="0"/>
        <v/>
      </c>
      <c r="Y30" s="63" t="str">
        <f t="shared" si="1"/>
        <v/>
      </c>
      <c r="Z30" s="63" t="str">
        <f t="shared" si="2"/>
        <v/>
      </c>
      <c r="AA30" s="63" t="str">
        <f>TEXT(Table111[[#This Row],[YEAR]],"0000")&amp;"-"&amp;Table111[[#This Row],[MONTH]]</f>
        <v>-</v>
      </c>
    </row>
    <row r="31" spans="2:27" x14ac:dyDescent="0.3">
      <c r="B31" s="183"/>
      <c r="C31" s="183"/>
      <c r="D31" s="183"/>
      <c r="E31" s="71"/>
      <c r="F31" s="72"/>
      <c r="G31" s="72"/>
      <c r="H31" s="74"/>
      <c r="I31" s="70"/>
      <c r="J31" s="70"/>
      <c r="K31" s="70"/>
      <c r="L31" s="74"/>
      <c r="M31" s="123"/>
      <c r="N31" s="73"/>
      <c r="O31" s="236"/>
      <c r="P31" s="117"/>
      <c r="Q31" s="117"/>
      <c r="R31" s="156" t="str">
        <f>IF(Table111[[#This Row],[Qty]]="","",Table111[[#This Row],[Qty]]*Table111[[#This Row],[Unit Price]])</f>
        <v/>
      </c>
      <c r="S31" s="156" t="str">
        <f>IF(Table111[[#This Row],[Qty]]="","",Table111[[#This Row],[Qty]]*Table111[[#This Row],[Unit Price]]+Table111[[#This Row],[Delivery Cost]])</f>
        <v/>
      </c>
      <c r="T31" s="72"/>
      <c r="U31" s="65"/>
      <c r="V31" s="72"/>
      <c r="W31" s="16"/>
      <c r="X31" s="63" t="str">
        <f t="shared" si="0"/>
        <v/>
      </c>
      <c r="Y31" s="63" t="str">
        <f t="shared" si="1"/>
        <v/>
      </c>
      <c r="Z31" s="63" t="str">
        <f t="shared" si="2"/>
        <v/>
      </c>
      <c r="AA31" s="63" t="str">
        <f>TEXT(Table111[[#This Row],[YEAR]],"0000")&amp;"-"&amp;Table111[[#This Row],[MONTH]]</f>
        <v>-</v>
      </c>
    </row>
    <row r="32" spans="2:27" x14ac:dyDescent="0.3">
      <c r="B32" s="68"/>
      <c r="C32" s="68"/>
      <c r="D32" s="68"/>
      <c r="E32" s="71"/>
      <c r="F32" s="72"/>
      <c r="G32" s="72"/>
      <c r="H32" s="74"/>
      <c r="I32" s="70"/>
      <c r="J32" s="70"/>
      <c r="K32" s="70"/>
      <c r="L32" s="74"/>
      <c r="M32" s="123"/>
      <c r="N32" s="73"/>
      <c r="O32" s="236"/>
      <c r="P32" s="117"/>
      <c r="Q32" s="117"/>
      <c r="R32" s="156" t="str">
        <f>IF(Table111[[#This Row],[Qty]]="","",Table111[[#This Row],[Qty]]*Table111[[#This Row],[Unit Price]])</f>
        <v/>
      </c>
      <c r="S32" s="156" t="str">
        <f>IF(Table111[[#This Row],[Qty]]="","",Table111[[#This Row],[Qty]]*Table111[[#This Row],[Unit Price]]+Table111[[#This Row],[Delivery Cost]])</f>
        <v/>
      </c>
      <c r="T32" s="72"/>
      <c r="U32" s="65"/>
      <c r="V32" s="72"/>
      <c r="W32" s="220"/>
      <c r="X32" s="63" t="str">
        <f t="shared" si="0"/>
        <v/>
      </c>
      <c r="Y32" s="63" t="str">
        <f t="shared" si="1"/>
        <v/>
      </c>
      <c r="Z32" s="63" t="str">
        <f t="shared" si="2"/>
        <v/>
      </c>
      <c r="AA32" s="63" t="str">
        <f>TEXT(Table111[[#This Row],[YEAR]],"0000")&amp;"-"&amp;Table111[[#This Row],[MONTH]]</f>
        <v>-</v>
      </c>
    </row>
    <row r="33" spans="2:27" x14ac:dyDescent="0.3">
      <c r="B33" s="183"/>
      <c r="C33" s="183"/>
      <c r="D33" s="183"/>
      <c r="E33" s="71"/>
      <c r="F33" s="72"/>
      <c r="G33" s="75"/>
      <c r="H33" s="74"/>
      <c r="I33" s="70"/>
      <c r="J33" s="70"/>
      <c r="K33" s="70"/>
      <c r="L33" s="74"/>
      <c r="M33" s="123"/>
      <c r="N33" s="73"/>
      <c r="O33" s="236"/>
      <c r="P33" s="117"/>
      <c r="Q33" s="117"/>
      <c r="R33" s="156" t="str">
        <f>IF(Table111[[#This Row],[Qty]]="","",Table111[[#This Row],[Qty]]*Table111[[#This Row],[Unit Price]])</f>
        <v/>
      </c>
      <c r="S33" s="156" t="str">
        <f>IF(Table111[[#This Row],[Qty]]="","",Table111[[#This Row],[Qty]]*Table111[[#This Row],[Unit Price]]+Table111[[#This Row],[Delivery Cost]])</f>
        <v/>
      </c>
      <c r="T33" s="72"/>
      <c r="U33" s="65"/>
      <c r="V33" s="72"/>
      <c r="W33" s="16"/>
      <c r="X33" s="63" t="str">
        <f t="shared" si="0"/>
        <v/>
      </c>
      <c r="Y33" s="63" t="str">
        <f t="shared" si="1"/>
        <v/>
      </c>
      <c r="Z33" s="63" t="str">
        <f t="shared" si="2"/>
        <v/>
      </c>
      <c r="AA33" s="63" t="str">
        <f>TEXT(Table111[[#This Row],[YEAR]],"0000")&amp;"-"&amp;Table111[[#This Row],[MONTH]]</f>
        <v>-</v>
      </c>
    </row>
    <row r="34" spans="2:27" x14ac:dyDescent="0.3">
      <c r="B34" s="68"/>
      <c r="C34" s="68"/>
      <c r="D34" s="68"/>
      <c r="E34" s="71"/>
      <c r="F34" s="72"/>
      <c r="G34" s="80"/>
      <c r="H34" s="74"/>
      <c r="I34" s="70"/>
      <c r="J34" s="70"/>
      <c r="K34" s="70"/>
      <c r="L34" s="74"/>
      <c r="M34" s="123"/>
      <c r="N34" s="73"/>
      <c r="O34" s="236"/>
      <c r="P34" s="117"/>
      <c r="Q34" s="117"/>
      <c r="R34" s="156" t="str">
        <f>IF(Table111[[#This Row],[Qty]]="","",Table111[[#This Row],[Qty]]*Table111[[#This Row],[Unit Price]])</f>
        <v/>
      </c>
      <c r="S34" s="156" t="str">
        <f>IF(Table111[[#This Row],[Qty]]="","",Table111[[#This Row],[Qty]]*Table111[[#This Row],[Unit Price]]+Table111[[#This Row],[Delivery Cost]])</f>
        <v/>
      </c>
      <c r="T34" s="72"/>
      <c r="U34" s="65"/>
      <c r="V34" s="72"/>
      <c r="W34" s="220"/>
      <c r="X34" s="63" t="str">
        <f t="shared" si="0"/>
        <v/>
      </c>
      <c r="Y34" s="63" t="str">
        <f t="shared" si="1"/>
        <v/>
      </c>
      <c r="Z34" s="63" t="str">
        <f t="shared" si="2"/>
        <v/>
      </c>
      <c r="AA34" s="63" t="str">
        <f>TEXT(Table111[[#This Row],[YEAR]],"0000")&amp;"-"&amp;Table111[[#This Row],[MONTH]]</f>
        <v>-</v>
      </c>
    </row>
    <row r="35" spans="2:27" x14ac:dyDescent="0.3">
      <c r="B35" s="183"/>
      <c r="C35" s="183"/>
      <c r="D35" s="183"/>
      <c r="E35" s="71"/>
      <c r="F35" s="72"/>
      <c r="G35" s="72"/>
      <c r="H35" s="74"/>
      <c r="I35" s="70"/>
      <c r="J35" s="70"/>
      <c r="K35" s="70"/>
      <c r="L35" s="74"/>
      <c r="M35" s="123"/>
      <c r="N35" s="73"/>
      <c r="O35" s="236"/>
      <c r="P35" s="117"/>
      <c r="Q35" s="117"/>
      <c r="R35" s="156" t="str">
        <f>IF(Table111[[#This Row],[Qty]]="","",Table111[[#This Row],[Qty]]*Table111[[#This Row],[Unit Price]])</f>
        <v/>
      </c>
      <c r="S35" s="156" t="str">
        <f>IF(Table111[[#This Row],[Qty]]="","",Table111[[#This Row],[Qty]]*Table111[[#This Row],[Unit Price]]+Table111[[#This Row],[Delivery Cost]])</f>
        <v/>
      </c>
      <c r="T35" s="72"/>
      <c r="U35" s="65"/>
      <c r="V35" s="72"/>
      <c r="W35" s="16"/>
      <c r="X35" s="63" t="str">
        <f t="shared" si="0"/>
        <v/>
      </c>
      <c r="Y35" s="63" t="str">
        <f t="shared" si="1"/>
        <v/>
      </c>
      <c r="Z35" s="63" t="str">
        <f t="shared" si="2"/>
        <v/>
      </c>
      <c r="AA35" s="63" t="str">
        <f>TEXT(Table111[[#This Row],[YEAR]],"0000")&amp;"-"&amp;Table111[[#This Row],[MONTH]]</f>
        <v>-</v>
      </c>
    </row>
    <row r="36" spans="2:27" x14ac:dyDescent="0.3">
      <c r="B36" s="68"/>
      <c r="C36" s="68"/>
      <c r="D36" s="68"/>
      <c r="E36" s="71"/>
      <c r="F36" s="72"/>
      <c r="G36" s="72"/>
      <c r="H36" s="74"/>
      <c r="I36" s="70"/>
      <c r="J36" s="70"/>
      <c r="K36" s="70"/>
      <c r="L36" s="74"/>
      <c r="M36" s="123"/>
      <c r="N36" s="73"/>
      <c r="O36" s="236"/>
      <c r="P36" s="117"/>
      <c r="Q36" s="117"/>
      <c r="R36" s="156" t="str">
        <f>IF(Table111[[#This Row],[Qty]]="","",Table111[[#This Row],[Qty]]*Table111[[#This Row],[Unit Price]])</f>
        <v/>
      </c>
      <c r="S36" s="156" t="str">
        <f>IF(Table111[[#This Row],[Qty]]="","",Table111[[#This Row],[Qty]]*Table111[[#This Row],[Unit Price]]+Table111[[#This Row],[Delivery Cost]])</f>
        <v/>
      </c>
      <c r="T36" s="72"/>
      <c r="U36" s="65"/>
      <c r="V36" s="72"/>
      <c r="W36" s="220"/>
      <c r="X36" s="63" t="str">
        <f t="shared" si="0"/>
        <v/>
      </c>
      <c r="Y36" s="63" t="str">
        <f t="shared" si="1"/>
        <v/>
      </c>
      <c r="Z36" s="63" t="str">
        <f t="shared" si="2"/>
        <v/>
      </c>
      <c r="AA36" s="63" t="str">
        <f>TEXT(Table111[[#This Row],[YEAR]],"0000")&amp;"-"&amp;Table111[[#This Row],[MONTH]]</f>
        <v>-</v>
      </c>
    </row>
    <row r="37" spans="2:27" x14ac:dyDescent="0.3">
      <c r="B37" s="183"/>
      <c r="C37" s="183"/>
      <c r="D37" s="183"/>
      <c r="E37" s="71"/>
      <c r="F37" s="72"/>
      <c r="G37" s="72"/>
      <c r="H37" s="74"/>
      <c r="I37" s="70"/>
      <c r="J37" s="70"/>
      <c r="K37" s="70"/>
      <c r="L37" s="74"/>
      <c r="M37" s="123"/>
      <c r="N37" s="73"/>
      <c r="O37" s="236"/>
      <c r="P37" s="117"/>
      <c r="Q37" s="117"/>
      <c r="R37" s="156" t="str">
        <f>IF(Table111[[#This Row],[Qty]]="","",Table111[[#This Row],[Qty]]*Table111[[#This Row],[Unit Price]])</f>
        <v/>
      </c>
      <c r="S37" s="156" t="str">
        <f>IF(Table111[[#This Row],[Qty]]="","",Table111[[#This Row],[Qty]]*Table111[[#This Row],[Unit Price]]+Table111[[#This Row],[Delivery Cost]])</f>
        <v/>
      </c>
      <c r="T37" s="72"/>
      <c r="U37" s="65"/>
      <c r="V37" s="72"/>
      <c r="W37" s="16"/>
      <c r="X37" s="63" t="str">
        <f t="shared" si="0"/>
        <v/>
      </c>
      <c r="Y37" s="63" t="str">
        <f t="shared" si="1"/>
        <v/>
      </c>
      <c r="Z37" s="63" t="str">
        <f t="shared" si="2"/>
        <v/>
      </c>
      <c r="AA37" s="63" t="str">
        <f>TEXT(Table111[[#This Row],[YEAR]],"0000")&amp;"-"&amp;Table111[[#This Row],[MONTH]]</f>
        <v>-</v>
      </c>
    </row>
    <row r="38" spans="2:27" x14ac:dyDescent="0.3">
      <c r="B38" s="68"/>
      <c r="C38" s="68"/>
      <c r="D38" s="68"/>
      <c r="E38" s="71"/>
      <c r="F38" s="72"/>
      <c r="G38" s="72"/>
      <c r="H38" s="74"/>
      <c r="I38" s="70"/>
      <c r="J38" s="70"/>
      <c r="K38" s="70"/>
      <c r="L38" s="74"/>
      <c r="M38" s="123"/>
      <c r="N38" s="73"/>
      <c r="O38" s="236"/>
      <c r="P38" s="117"/>
      <c r="Q38" s="117"/>
      <c r="R38" s="156" t="str">
        <f>IF(Table111[[#This Row],[Qty]]="","",Table111[[#This Row],[Qty]]*Table111[[#This Row],[Unit Price]])</f>
        <v/>
      </c>
      <c r="S38" s="156" t="str">
        <f>IF(Table111[[#This Row],[Qty]]="","",Table111[[#This Row],[Qty]]*Table111[[#This Row],[Unit Price]]+Table111[[#This Row],[Delivery Cost]])</f>
        <v/>
      </c>
      <c r="T38" s="72"/>
      <c r="U38" s="65"/>
      <c r="V38" s="72"/>
      <c r="W38" s="220"/>
      <c r="X38" s="63" t="str">
        <f t="shared" si="0"/>
        <v/>
      </c>
      <c r="Y38" s="63" t="str">
        <f t="shared" si="1"/>
        <v/>
      </c>
      <c r="Z38" s="63" t="str">
        <f t="shared" si="2"/>
        <v/>
      </c>
      <c r="AA38" s="63" t="str">
        <f>TEXT(Table111[[#This Row],[YEAR]],"0000")&amp;"-"&amp;Table111[[#This Row],[MONTH]]</f>
        <v>-</v>
      </c>
    </row>
    <row r="39" spans="2:27" x14ac:dyDescent="0.3">
      <c r="B39" s="183"/>
      <c r="C39" s="183"/>
      <c r="D39" s="183"/>
      <c r="E39" s="71"/>
      <c r="F39" s="72"/>
      <c r="G39" s="72"/>
      <c r="H39" s="74"/>
      <c r="I39" s="70"/>
      <c r="J39" s="70"/>
      <c r="K39" s="70"/>
      <c r="L39" s="74"/>
      <c r="M39" s="123"/>
      <c r="N39" s="73"/>
      <c r="O39" s="236"/>
      <c r="P39" s="117"/>
      <c r="Q39" s="117"/>
      <c r="R39" s="156" t="str">
        <f>IF(Table111[[#This Row],[Qty]]="","",Table111[[#This Row],[Qty]]*Table111[[#This Row],[Unit Price]])</f>
        <v/>
      </c>
      <c r="S39" s="156" t="str">
        <f>IF(Table111[[#This Row],[Qty]]="","",Table111[[#This Row],[Qty]]*Table111[[#This Row],[Unit Price]]+Table111[[#This Row],[Delivery Cost]])</f>
        <v/>
      </c>
      <c r="T39" s="72"/>
      <c r="U39" s="65"/>
      <c r="V39" s="72"/>
      <c r="W39" s="16"/>
      <c r="X39" s="63" t="str">
        <f t="shared" si="0"/>
        <v/>
      </c>
      <c r="Y39" s="63" t="str">
        <f t="shared" si="1"/>
        <v/>
      </c>
      <c r="Z39" s="63" t="str">
        <f t="shared" si="2"/>
        <v/>
      </c>
      <c r="AA39" s="63" t="str">
        <f>TEXT(Table111[[#This Row],[YEAR]],"0000")&amp;"-"&amp;Table111[[#This Row],[MONTH]]</f>
        <v>-</v>
      </c>
    </row>
    <row r="40" spans="2:27" x14ac:dyDescent="0.3">
      <c r="B40" s="68"/>
      <c r="C40" s="68"/>
      <c r="D40" s="68"/>
      <c r="E40" s="71"/>
      <c r="F40" s="72"/>
      <c r="G40" s="75"/>
      <c r="H40" s="74"/>
      <c r="I40" s="70"/>
      <c r="J40" s="70"/>
      <c r="K40" s="70"/>
      <c r="L40" s="74"/>
      <c r="M40" s="123"/>
      <c r="N40" s="73"/>
      <c r="O40" s="236"/>
      <c r="P40" s="117"/>
      <c r="Q40" s="117"/>
      <c r="R40" s="156" t="str">
        <f>IF(Table111[[#This Row],[Qty]]="","",Table111[[#This Row],[Qty]]*Table111[[#This Row],[Unit Price]])</f>
        <v/>
      </c>
      <c r="S40" s="156" t="str">
        <f>IF(Table111[[#This Row],[Qty]]="","",Table111[[#This Row],[Qty]]*Table111[[#This Row],[Unit Price]]+Table111[[#This Row],[Delivery Cost]])</f>
        <v/>
      </c>
      <c r="T40" s="72"/>
      <c r="U40" s="65"/>
      <c r="V40" s="72"/>
      <c r="W40" s="220"/>
      <c r="X40" s="63" t="str">
        <f t="shared" si="0"/>
        <v/>
      </c>
      <c r="Y40" s="63" t="str">
        <f t="shared" si="1"/>
        <v/>
      </c>
      <c r="Z40" s="63" t="str">
        <f t="shared" si="2"/>
        <v/>
      </c>
      <c r="AA40" s="63" t="str">
        <f>TEXT(Table111[[#This Row],[YEAR]],"0000")&amp;"-"&amp;Table111[[#This Row],[MONTH]]</f>
        <v>-</v>
      </c>
    </row>
    <row r="41" spans="2:27" x14ac:dyDescent="0.3">
      <c r="B41" s="183"/>
      <c r="C41" s="183"/>
      <c r="D41" s="183"/>
      <c r="E41" s="71"/>
      <c r="F41" s="72"/>
      <c r="G41" s="72"/>
      <c r="H41" s="74"/>
      <c r="I41" s="70"/>
      <c r="J41" s="70"/>
      <c r="K41" s="70"/>
      <c r="L41" s="74"/>
      <c r="M41" s="123"/>
      <c r="N41" s="73"/>
      <c r="O41" s="236"/>
      <c r="P41" s="117"/>
      <c r="Q41" s="117"/>
      <c r="R41" s="156" t="str">
        <f>IF(Table111[[#This Row],[Qty]]="","",Table111[[#This Row],[Qty]]*Table111[[#This Row],[Unit Price]])</f>
        <v/>
      </c>
      <c r="S41" s="156" t="str">
        <f>IF(Table111[[#This Row],[Qty]]="","",Table111[[#This Row],[Qty]]*Table111[[#This Row],[Unit Price]]+Table111[[#This Row],[Delivery Cost]])</f>
        <v/>
      </c>
      <c r="T41" s="72"/>
      <c r="U41" s="65"/>
      <c r="V41" s="72"/>
      <c r="W41" s="16"/>
      <c r="X41" s="63" t="str">
        <f t="shared" si="0"/>
        <v/>
      </c>
      <c r="Y41" s="63" t="str">
        <f t="shared" si="1"/>
        <v/>
      </c>
      <c r="Z41" s="63" t="str">
        <f t="shared" si="2"/>
        <v/>
      </c>
      <c r="AA41" s="63" t="str">
        <f>TEXT(Table111[[#This Row],[YEAR]],"0000")&amp;"-"&amp;Table111[[#This Row],[MONTH]]</f>
        <v>-</v>
      </c>
    </row>
    <row r="42" spans="2:27" x14ac:dyDescent="0.3">
      <c r="B42" s="68"/>
      <c r="C42" s="68"/>
      <c r="D42" s="68"/>
      <c r="E42" s="71"/>
      <c r="F42" s="72"/>
      <c r="G42" s="72"/>
      <c r="H42" s="74"/>
      <c r="I42" s="70"/>
      <c r="J42" s="70"/>
      <c r="K42" s="70"/>
      <c r="L42" s="74"/>
      <c r="M42" s="123"/>
      <c r="N42" s="73"/>
      <c r="O42" s="236"/>
      <c r="P42" s="117"/>
      <c r="Q42" s="117"/>
      <c r="R42" s="156" t="str">
        <f>IF(Table111[[#This Row],[Qty]]="","",Table111[[#This Row],[Qty]]*Table111[[#This Row],[Unit Price]])</f>
        <v/>
      </c>
      <c r="S42" s="156" t="str">
        <f>IF(Table111[[#This Row],[Qty]]="","",Table111[[#This Row],[Qty]]*Table111[[#This Row],[Unit Price]]+Table111[[#This Row],[Delivery Cost]])</f>
        <v/>
      </c>
      <c r="T42" s="72"/>
      <c r="U42" s="65"/>
      <c r="V42" s="72"/>
      <c r="W42" s="220"/>
      <c r="X42" s="63" t="str">
        <f t="shared" si="0"/>
        <v/>
      </c>
      <c r="Y42" s="63" t="str">
        <f t="shared" si="1"/>
        <v/>
      </c>
      <c r="Z42" s="63" t="str">
        <f t="shared" si="2"/>
        <v/>
      </c>
      <c r="AA42" s="63" t="str">
        <f>TEXT(Table111[[#This Row],[YEAR]],"0000")&amp;"-"&amp;Table111[[#This Row],[MONTH]]</f>
        <v>-</v>
      </c>
    </row>
    <row r="43" spans="2:27" x14ac:dyDescent="0.3">
      <c r="B43" s="183"/>
      <c r="C43" s="183"/>
      <c r="D43" s="183"/>
      <c r="E43" s="71"/>
      <c r="F43" s="72"/>
      <c r="G43" s="81"/>
      <c r="H43" s="74"/>
      <c r="I43" s="70"/>
      <c r="J43" s="70"/>
      <c r="K43" s="70"/>
      <c r="L43" s="74"/>
      <c r="M43" s="123"/>
      <c r="N43" s="73"/>
      <c r="O43" s="236"/>
      <c r="P43" s="117"/>
      <c r="Q43" s="117"/>
      <c r="R43" s="156" t="str">
        <f>IF(Table111[[#This Row],[Qty]]="","",Table111[[#This Row],[Qty]]*Table111[[#This Row],[Unit Price]])</f>
        <v/>
      </c>
      <c r="S43" s="156" t="str">
        <f>IF(Table111[[#This Row],[Qty]]="","",Table111[[#This Row],[Qty]]*Table111[[#This Row],[Unit Price]]+Table111[[#This Row],[Delivery Cost]])</f>
        <v/>
      </c>
      <c r="T43" s="72"/>
      <c r="U43" s="65"/>
      <c r="V43" s="72"/>
      <c r="W43" s="16"/>
      <c r="X43" s="63" t="str">
        <f t="shared" si="0"/>
        <v/>
      </c>
      <c r="Y43" s="63" t="str">
        <f t="shared" si="1"/>
        <v/>
      </c>
      <c r="Z43" s="63" t="str">
        <f t="shared" si="2"/>
        <v/>
      </c>
      <c r="AA43" s="63" t="str">
        <f>TEXT(Table111[[#This Row],[YEAR]],"0000")&amp;"-"&amp;Table111[[#This Row],[MONTH]]</f>
        <v>-</v>
      </c>
    </row>
    <row r="44" spans="2:27" ht="15" customHeight="1" x14ac:dyDescent="0.3">
      <c r="B44" s="68"/>
      <c r="C44" s="68"/>
      <c r="D44" s="68"/>
      <c r="E44" s="71"/>
      <c r="F44" s="72"/>
      <c r="G44" s="72"/>
      <c r="H44" s="74"/>
      <c r="I44" s="70"/>
      <c r="J44" s="70"/>
      <c r="K44" s="70"/>
      <c r="L44" s="74"/>
      <c r="M44" s="123"/>
      <c r="N44" s="73"/>
      <c r="O44" s="236"/>
      <c r="P44" s="117"/>
      <c r="Q44" s="117"/>
      <c r="R44" s="156" t="str">
        <f>IF(Table111[[#This Row],[Qty]]="","",Table111[[#This Row],[Qty]]*Table111[[#This Row],[Unit Price]])</f>
        <v/>
      </c>
      <c r="S44" s="156" t="str">
        <f>IF(Table111[[#This Row],[Qty]]="","",Table111[[#This Row],[Qty]]*Table111[[#This Row],[Unit Price]]+Table111[[#This Row],[Delivery Cost]])</f>
        <v/>
      </c>
      <c r="T44" s="72"/>
      <c r="U44" s="65"/>
      <c r="V44" s="72"/>
      <c r="W44" s="220"/>
      <c r="X44" s="63" t="str">
        <f t="shared" si="0"/>
        <v/>
      </c>
      <c r="Y44" s="63" t="str">
        <f t="shared" si="1"/>
        <v/>
      </c>
      <c r="Z44" s="63" t="str">
        <f t="shared" si="2"/>
        <v/>
      </c>
      <c r="AA44" s="63" t="str">
        <f>TEXT(Table111[[#This Row],[YEAR]],"0000")&amp;"-"&amp;Table111[[#This Row],[MONTH]]</f>
        <v>-</v>
      </c>
    </row>
    <row r="45" spans="2:27" ht="27" customHeight="1" x14ac:dyDescent="0.3">
      <c r="B45" s="183"/>
      <c r="C45" s="183"/>
      <c r="D45" s="183"/>
      <c r="E45" s="71"/>
      <c r="F45" s="72"/>
      <c r="G45" s="70"/>
      <c r="H45" s="74"/>
      <c r="I45" s="70"/>
      <c r="J45" s="70"/>
      <c r="K45" s="70"/>
      <c r="L45" s="74"/>
      <c r="M45" s="123"/>
      <c r="N45" s="73"/>
      <c r="O45" s="236"/>
      <c r="P45" s="117"/>
      <c r="Q45" s="117"/>
      <c r="R45" s="156" t="str">
        <f>IF(Table111[[#This Row],[Qty]]="","",Table111[[#This Row],[Qty]]*Table111[[#This Row],[Unit Price]])</f>
        <v/>
      </c>
      <c r="S45" s="156" t="str">
        <f>IF(Table111[[#This Row],[Qty]]="","",Table111[[#This Row],[Qty]]*Table111[[#This Row],[Unit Price]]+Table111[[#This Row],[Delivery Cost]])</f>
        <v/>
      </c>
      <c r="T45" s="72"/>
      <c r="U45" s="72"/>
      <c r="V45" s="72"/>
      <c r="W45" s="16"/>
      <c r="X45" s="63" t="str">
        <f t="shared" si="0"/>
        <v/>
      </c>
      <c r="Y45" s="63" t="str">
        <f t="shared" si="1"/>
        <v/>
      </c>
      <c r="Z45" s="63" t="str">
        <f t="shared" si="2"/>
        <v/>
      </c>
      <c r="AA45" s="63" t="str">
        <f>TEXT(Table111[[#This Row],[YEAR]],"0000")&amp;"-"&amp;Table111[[#This Row],[MONTH]]</f>
        <v>-</v>
      </c>
    </row>
    <row r="46" spans="2:27" x14ac:dyDescent="0.3">
      <c r="B46" s="183"/>
      <c r="C46" s="183"/>
      <c r="D46" s="183"/>
      <c r="E46" s="71"/>
      <c r="F46" s="72"/>
      <c r="G46" s="72"/>
      <c r="H46" s="74"/>
      <c r="I46" s="70"/>
      <c r="J46" s="70"/>
      <c r="K46" s="70"/>
      <c r="L46" s="74"/>
      <c r="M46" s="123"/>
      <c r="N46" s="73"/>
      <c r="O46" s="236"/>
      <c r="P46" s="117"/>
      <c r="Q46" s="117"/>
      <c r="R46" s="156" t="str">
        <f>IF(Table111[[#This Row],[Qty]]="","",Table111[[#This Row],[Qty]]*Table111[[#This Row],[Unit Price]])</f>
        <v/>
      </c>
      <c r="S46" s="156" t="str">
        <f>IF(Table111[[#This Row],[Qty]]="","",Table111[[#This Row],[Qty]]*Table111[[#This Row],[Unit Price]]+Table111[[#This Row],[Delivery Cost]])</f>
        <v/>
      </c>
      <c r="T46" s="72"/>
      <c r="U46" s="65"/>
      <c r="V46" s="72"/>
      <c r="W46" s="65"/>
      <c r="X46" s="63" t="str">
        <f t="shared" si="0"/>
        <v/>
      </c>
      <c r="Y46" s="63" t="str">
        <f t="shared" si="1"/>
        <v/>
      </c>
      <c r="Z46" s="63" t="str">
        <f t="shared" si="2"/>
        <v/>
      </c>
      <c r="AA46" s="63" t="str">
        <f>TEXT(Table111[[#This Row],[YEAR]],"0000")&amp;"-"&amp;Table111[[#This Row],[MONTH]]</f>
        <v>-</v>
      </c>
    </row>
    <row r="47" spans="2:27" x14ac:dyDescent="0.3">
      <c r="B47" s="68"/>
      <c r="C47" s="68"/>
      <c r="D47" s="68"/>
      <c r="E47" s="71"/>
      <c r="F47" s="72"/>
      <c r="G47" s="72"/>
      <c r="H47" s="74"/>
      <c r="I47" s="70"/>
      <c r="J47" s="70"/>
      <c r="K47" s="70"/>
      <c r="L47" s="74"/>
      <c r="M47" s="123"/>
      <c r="N47" s="73"/>
      <c r="O47" s="236"/>
      <c r="P47" s="117"/>
      <c r="Q47" s="117"/>
      <c r="R47" s="156" t="str">
        <f>IF(Table111[[#This Row],[Qty]]="","",Table111[[#This Row],[Qty]]*Table111[[#This Row],[Unit Price]])</f>
        <v/>
      </c>
      <c r="S47" s="156" t="str">
        <f>IF(Table111[[#This Row],[Qty]]="","",Table111[[#This Row],[Qty]]*Table111[[#This Row],[Unit Price]]+Table111[[#This Row],[Delivery Cost]])</f>
        <v/>
      </c>
      <c r="T47" s="72"/>
      <c r="U47" s="65"/>
      <c r="V47" s="72"/>
      <c r="W47" s="219"/>
      <c r="X47" s="63" t="str">
        <f t="shared" si="0"/>
        <v/>
      </c>
      <c r="Y47" s="63" t="str">
        <f t="shared" si="1"/>
        <v/>
      </c>
      <c r="Z47" s="63" t="str">
        <f t="shared" si="2"/>
        <v/>
      </c>
      <c r="AA47" s="63" t="str">
        <f>TEXT(Table111[[#This Row],[YEAR]],"0000")&amp;"-"&amp;Table111[[#This Row],[MONTH]]</f>
        <v>-</v>
      </c>
    </row>
    <row r="48" spans="2:27" x14ac:dyDescent="0.3">
      <c r="B48" s="183"/>
      <c r="C48" s="183"/>
      <c r="D48" s="183"/>
      <c r="E48" s="71"/>
      <c r="F48" s="72"/>
      <c r="G48" s="72"/>
      <c r="H48" s="74"/>
      <c r="I48" s="70"/>
      <c r="J48" s="70"/>
      <c r="K48" s="70"/>
      <c r="L48" s="74"/>
      <c r="M48" s="123"/>
      <c r="N48" s="73"/>
      <c r="O48" s="236"/>
      <c r="P48" s="117"/>
      <c r="Q48" s="117"/>
      <c r="R48" s="156" t="str">
        <f>IF(Table111[[#This Row],[Qty]]="","",Table111[[#This Row],[Qty]]*Table111[[#This Row],[Unit Price]])</f>
        <v/>
      </c>
      <c r="S48" s="156" t="str">
        <f>IF(Table111[[#This Row],[Qty]]="","",Table111[[#This Row],[Qty]]*Table111[[#This Row],[Unit Price]]+Table111[[#This Row],[Delivery Cost]])</f>
        <v/>
      </c>
      <c r="T48" s="72"/>
      <c r="U48" s="65"/>
      <c r="V48" s="72"/>
      <c r="W48" s="65"/>
      <c r="X48" s="63" t="str">
        <f t="shared" si="0"/>
        <v/>
      </c>
      <c r="Y48" s="63" t="str">
        <f t="shared" si="1"/>
        <v/>
      </c>
      <c r="Z48" s="63" t="str">
        <f t="shared" si="2"/>
        <v/>
      </c>
      <c r="AA48" s="63" t="str">
        <f>TEXT(Table111[[#This Row],[YEAR]],"0000")&amp;"-"&amp;Table111[[#This Row],[MONTH]]</f>
        <v>-</v>
      </c>
    </row>
    <row r="49" spans="2:27" x14ac:dyDescent="0.3">
      <c r="B49" s="68"/>
      <c r="C49" s="68"/>
      <c r="D49" s="68"/>
      <c r="E49" s="71"/>
      <c r="F49" s="72"/>
      <c r="G49" s="72"/>
      <c r="H49" s="74"/>
      <c r="I49" s="70"/>
      <c r="J49" s="70"/>
      <c r="K49" s="70"/>
      <c r="L49" s="74"/>
      <c r="M49" s="123"/>
      <c r="N49" s="73"/>
      <c r="O49" s="236"/>
      <c r="P49" s="117"/>
      <c r="Q49" s="117"/>
      <c r="R49" s="156" t="str">
        <f>IF(Table111[[#This Row],[Qty]]="","",Table111[[#This Row],[Qty]]*Table111[[#This Row],[Unit Price]])</f>
        <v/>
      </c>
      <c r="S49" s="156" t="str">
        <f>IF(Table111[[#This Row],[Qty]]="","",Table111[[#This Row],[Qty]]*Table111[[#This Row],[Unit Price]]+Table111[[#This Row],[Delivery Cost]])</f>
        <v/>
      </c>
      <c r="T49" s="72"/>
      <c r="U49" s="65"/>
      <c r="V49" s="72"/>
      <c r="W49" s="219"/>
      <c r="X49" s="63" t="str">
        <f t="shared" si="0"/>
        <v/>
      </c>
      <c r="Y49" s="63" t="str">
        <f t="shared" si="1"/>
        <v/>
      </c>
      <c r="Z49" s="63" t="str">
        <f t="shared" si="2"/>
        <v/>
      </c>
      <c r="AA49" s="63" t="str">
        <f>TEXT(Table111[[#This Row],[YEAR]],"0000")&amp;"-"&amp;Table111[[#This Row],[MONTH]]</f>
        <v>-</v>
      </c>
    </row>
    <row r="50" spans="2:27" x14ac:dyDescent="0.3">
      <c r="B50" s="183"/>
      <c r="C50" s="183"/>
      <c r="D50" s="183"/>
      <c r="E50" s="71"/>
      <c r="F50" s="72"/>
      <c r="G50" s="82"/>
      <c r="H50" s="74"/>
      <c r="I50" s="70"/>
      <c r="J50" s="70"/>
      <c r="K50" s="70"/>
      <c r="L50" s="74"/>
      <c r="M50" s="123"/>
      <c r="N50" s="73"/>
      <c r="O50" s="236"/>
      <c r="P50" s="117"/>
      <c r="Q50" s="117"/>
      <c r="R50" s="156" t="str">
        <f>IF(Table111[[#This Row],[Qty]]="","",Table111[[#This Row],[Qty]]*Table111[[#This Row],[Unit Price]])</f>
        <v/>
      </c>
      <c r="S50" s="156" t="str">
        <f>IF(Table111[[#This Row],[Qty]]="","",Table111[[#This Row],[Qty]]*Table111[[#This Row],[Unit Price]]+Table111[[#This Row],[Delivery Cost]])</f>
        <v/>
      </c>
      <c r="T50" s="72"/>
      <c r="U50" s="65"/>
      <c r="V50" s="72"/>
      <c r="W50" s="65"/>
      <c r="X50" s="63" t="str">
        <f t="shared" si="0"/>
        <v/>
      </c>
      <c r="Y50" s="63" t="str">
        <f t="shared" si="1"/>
        <v/>
      </c>
      <c r="Z50" s="63" t="str">
        <f t="shared" si="2"/>
        <v/>
      </c>
      <c r="AA50" s="63" t="str">
        <f>TEXT(Table111[[#This Row],[YEAR]],"0000")&amp;"-"&amp;Table111[[#This Row],[MONTH]]</f>
        <v>-</v>
      </c>
    </row>
    <row r="51" spans="2:27" x14ac:dyDescent="0.3">
      <c r="B51" s="68"/>
      <c r="C51" s="68"/>
      <c r="D51" s="68"/>
      <c r="E51" s="71"/>
      <c r="F51" s="72"/>
      <c r="G51" s="72"/>
      <c r="H51" s="74"/>
      <c r="I51" s="70"/>
      <c r="J51" s="70"/>
      <c r="K51" s="70"/>
      <c r="L51" s="74"/>
      <c r="M51" s="123"/>
      <c r="N51" s="73"/>
      <c r="O51" s="236"/>
      <c r="P51" s="117"/>
      <c r="Q51" s="117"/>
      <c r="R51" s="156" t="str">
        <f>IF(Table111[[#This Row],[Qty]]="","",Table111[[#This Row],[Qty]]*Table111[[#This Row],[Unit Price]])</f>
        <v/>
      </c>
      <c r="S51" s="156" t="str">
        <f>IF(Table111[[#This Row],[Qty]]="","",Table111[[#This Row],[Qty]]*Table111[[#This Row],[Unit Price]]+Table111[[#This Row],[Delivery Cost]])</f>
        <v/>
      </c>
      <c r="T51" s="72"/>
      <c r="U51" s="72"/>
      <c r="V51" s="72"/>
      <c r="W51" s="219"/>
      <c r="X51" s="63" t="str">
        <f t="shared" si="0"/>
        <v/>
      </c>
      <c r="Y51" s="63" t="str">
        <f t="shared" si="1"/>
        <v/>
      </c>
      <c r="Z51" s="63" t="str">
        <f t="shared" si="2"/>
        <v/>
      </c>
      <c r="AA51" s="63" t="str">
        <f>TEXT(Table111[[#This Row],[YEAR]],"0000")&amp;"-"&amp;Table111[[#This Row],[MONTH]]</f>
        <v>-</v>
      </c>
    </row>
    <row r="52" spans="2:27" x14ac:dyDescent="0.3">
      <c r="B52" s="183"/>
      <c r="C52" s="183"/>
      <c r="D52" s="183"/>
      <c r="E52" s="71"/>
      <c r="F52" s="72"/>
      <c r="G52" s="72"/>
      <c r="H52" s="74"/>
      <c r="I52" s="70"/>
      <c r="J52" s="70"/>
      <c r="K52" s="70"/>
      <c r="L52" s="74"/>
      <c r="M52" s="123"/>
      <c r="N52" s="73"/>
      <c r="O52" s="236"/>
      <c r="P52" s="117"/>
      <c r="Q52" s="117"/>
      <c r="R52" s="156" t="str">
        <f>IF(Table111[[#This Row],[Qty]]="","",Table111[[#This Row],[Qty]]*Table111[[#This Row],[Unit Price]])</f>
        <v/>
      </c>
      <c r="S52" s="156" t="str">
        <f>IF(Table111[[#This Row],[Qty]]="","",Table111[[#This Row],[Qty]]*Table111[[#This Row],[Unit Price]]+Table111[[#This Row],[Delivery Cost]])</f>
        <v/>
      </c>
      <c r="T52" s="72"/>
      <c r="U52" s="72"/>
      <c r="V52" s="72"/>
      <c r="W52" s="65"/>
      <c r="X52" s="63" t="str">
        <f t="shared" si="0"/>
        <v/>
      </c>
      <c r="Y52" s="63" t="str">
        <f t="shared" si="1"/>
        <v/>
      </c>
      <c r="Z52" s="63" t="str">
        <f t="shared" si="2"/>
        <v/>
      </c>
      <c r="AA52" s="63" t="str">
        <f>TEXT(Table111[[#This Row],[YEAR]],"0000")&amp;"-"&amp;Table111[[#This Row],[MONTH]]</f>
        <v>-</v>
      </c>
    </row>
    <row r="53" spans="2:27" x14ac:dyDescent="0.3">
      <c r="B53" s="68"/>
      <c r="C53" s="68"/>
      <c r="D53" s="68"/>
      <c r="E53" s="71"/>
      <c r="F53" s="72"/>
      <c r="G53" s="72"/>
      <c r="H53" s="74"/>
      <c r="I53" s="70"/>
      <c r="J53" s="70"/>
      <c r="K53" s="70"/>
      <c r="L53" s="74"/>
      <c r="M53" s="123"/>
      <c r="N53" s="73"/>
      <c r="O53" s="236"/>
      <c r="P53" s="117"/>
      <c r="Q53" s="117"/>
      <c r="R53" s="156" t="str">
        <f>IF(Table111[[#This Row],[Qty]]="","",Table111[[#This Row],[Qty]]*Table111[[#This Row],[Unit Price]])</f>
        <v/>
      </c>
      <c r="S53" s="156" t="str">
        <f>IF(Table111[[#This Row],[Qty]]="","",Table111[[#This Row],[Qty]]*Table111[[#This Row],[Unit Price]]+Table111[[#This Row],[Delivery Cost]])</f>
        <v/>
      </c>
      <c r="T53" s="72"/>
      <c r="U53" s="72"/>
      <c r="V53" s="72"/>
      <c r="W53" s="219"/>
      <c r="X53" s="63" t="str">
        <f t="shared" si="0"/>
        <v/>
      </c>
      <c r="Y53" s="63" t="str">
        <f t="shared" si="1"/>
        <v/>
      </c>
      <c r="Z53" s="63" t="str">
        <f t="shared" si="2"/>
        <v/>
      </c>
      <c r="AA53" s="63" t="str">
        <f>TEXT(Table111[[#This Row],[YEAR]],"0000")&amp;"-"&amp;Table111[[#This Row],[MONTH]]</f>
        <v>-</v>
      </c>
    </row>
    <row r="54" spans="2:27" x14ac:dyDescent="0.3">
      <c r="B54" s="183"/>
      <c r="C54" s="183"/>
      <c r="D54" s="183"/>
      <c r="E54" s="71"/>
      <c r="F54" s="72"/>
      <c r="G54" s="72"/>
      <c r="H54" s="74"/>
      <c r="I54" s="70"/>
      <c r="J54" s="70"/>
      <c r="K54" s="70"/>
      <c r="L54" s="74"/>
      <c r="M54" s="123"/>
      <c r="N54" s="73"/>
      <c r="O54" s="236"/>
      <c r="P54" s="117"/>
      <c r="Q54" s="117"/>
      <c r="R54" s="156" t="str">
        <f>IF(Table111[[#This Row],[Qty]]="","",Table111[[#This Row],[Qty]]*Table111[[#This Row],[Unit Price]])</f>
        <v/>
      </c>
      <c r="S54" s="156" t="str">
        <f>IF(Table111[[#This Row],[Qty]]="","",Table111[[#This Row],[Qty]]*Table111[[#This Row],[Unit Price]]+Table111[[#This Row],[Delivery Cost]])</f>
        <v/>
      </c>
      <c r="T54" s="72"/>
      <c r="U54" s="72"/>
      <c r="V54" s="72"/>
      <c r="W54" s="65"/>
      <c r="X54" s="63" t="str">
        <f t="shared" si="0"/>
        <v/>
      </c>
      <c r="Y54" s="63" t="str">
        <f t="shared" si="1"/>
        <v/>
      </c>
      <c r="Z54" s="63" t="str">
        <f t="shared" si="2"/>
        <v/>
      </c>
      <c r="AA54" s="63" t="str">
        <f>TEXT(Table111[[#This Row],[YEAR]],"0000")&amp;"-"&amp;Table111[[#This Row],[MONTH]]</f>
        <v>-</v>
      </c>
    </row>
    <row r="55" spans="2:27" x14ac:dyDescent="0.3">
      <c r="B55" s="68"/>
      <c r="C55" s="68"/>
      <c r="D55" s="68"/>
      <c r="E55" s="71"/>
      <c r="F55" s="72"/>
      <c r="G55" s="72"/>
      <c r="H55" s="74"/>
      <c r="I55" s="70"/>
      <c r="J55" s="70"/>
      <c r="K55" s="70"/>
      <c r="L55" s="74"/>
      <c r="M55" s="123"/>
      <c r="N55" s="73"/>
      <c r="O55" s="236"/>
      <c r="P55" s="117"/>
      <c r="Q55" s="117"/>
      <c r="R55" s="156" t="str">
        <f>IF(Table111[[#This Row],[Qty]]="","",Table111[[#This Row],[Qty]]*Table111[[#This Row],[Unit Price]])</f>
        <v/>
      </c>
      <c r="S55" s="156" t="str">
        <f>IF(Table111[[#This Row],[Qty]]="","",Table111[[#This Row],[Qty]]*Table111[[#This Row],[Unit Price]]+Table111[[#This Row],[Delivery Cost]])</f>
        <v/>
      </c>
      <c r="T55" s="72"/>
      <c r="U55" s="72"/>
      <c r="V55" s="72"/>
      <c r="W55" s="219"/>
      <c r="X55" s="63" t="str">
        <f t="shared" si="0"/>
        <v/>
      </c>
      <c r="Y55" s="63" t="str">
        <f t="shared" si="1"/>
        <v/>
      </c>
      <c r="Z55" s="63" t="str">
        <f t="shared" si="2"/>
        <v/>
      </c>
      <c r="AA55" s="63" t="str">
        <f>TEXT(Table111[[#This Row],[YEAR]],"0000")&amp;"-"&amp;Table111[[#This Row],[MONTH]]</f>
        <v>-</v>
      </c>
    </row>
    <row r="56" spans="2:27" x14ac:dyDescent="0.3">
      <c r="B56" s="183"/>
      <c r="C56" s="183"/>
      <c r="D56" s="183"/>
      <c r="E56" s="71"/>
      <c r="F56" s="72"/>
      <c r="G56" s="72"/>
      <c r="H56" s="74"/>
      <c r="I56" s="70"/>
      <c r="J56" s="70"/>
      <c r="K56" s="70"/>
      <c r="L56" s="74"/>
      <c r="M56" s="123"/>
      <c r="N56" s="73"/>
      <c r="O56" s="236"/>
      <c r="P56" s="117"/>
      <c r="Q56" s="117"/>
      <c r="R56" s="156" t="str">
        <f>IF(Table111[[#This Row],[Qty]]="","",Table111[[#This Row],[Qty]]*Table111[[#This Row],[Unit Price]])</f>
        <v/>
      </c>
      <c r="S56" s="156" t="str">
        <f>IF(Table111[[#This Row],[Qty]]="","",Table111[[#This Row],[Qty]]*Table111[[#This Row],[Unit Price]]+Table111[[#This Row],[Delivery Cost]])</f>
        <v/>
      </c>
      <c r="T56" s="72"/>
      <c r="U56" s="72"/>
      <c r="V56" s="72"/>
      <c r="W56" s="65"/>
      <c r="X56" s="63" t="str">
        <f t="shared" si="0"/>
        <v/>
      </c>
      <c r="Y56" s="63" t="str">
        <f t="shared" si="1"/>
        <v/>
      </c>
      <c r="Z56" s="63" t="str">
        <f t="shared" si="2"/>
        <v/>
      </c>
      <c r="AA56" s="63" t="str">
        <f>TEXT(Table111[[#This Row],[YEAR]],"0000")&amp;"-"&amp;Table111[[#This Row],[MONTH]]</f>
        <v>-</v>
      </c>
    </row>
    <row r="57" spans="2:27" x14ac:dyDescent="0.3">
      <c r="B57" s="68"/>
      <c r="C57" s="68"/>
      <c r="D57" s="68"/>
      <c r="E57" s="71"/>
      <c r="F57" s="72"/>
      <c r="G57" s="72"/>
      <c r="H57" s="74"/>
      <c r="I57" s="70"/>
      <c r="J57" s="70"/>
      <c r="K57" s="70"/>
      <c r="L57" s="74"/>
      <c r="M57" s="123"/>
      <c r="N57" s="73"/>
      <c r="O57" s="236"/>
      <c r="P57" s="117"/>
      <c r="Q57" s="117"/>
      <c r="R57" s="156" t="str">
        <f>IF(Table111[[#This Row],[Qty]]="","",Table111[[#This Row],[Qty]]*Table111[[#This Row],[Unit Price]])</f>
        <v/>
      </c>
      <c r="S57" s="156" t="str">
        <f>IF(Table111[[#This Row],[Qty]]="","",Table111[[#This Row],[Qty]]*Table111[[#This Row],[Unit Price]]+Table111[[#This Row],[Delivery Cost]])</f>
        <v/>
      </c>
      <c r="T57" s="72"/>
      <c r="U57" s="72"/>
      <c r="V57" s="72"/>
      <c r="W57" s="219"/>
      <c r="X57" s="63" t="str">
        <f t="shared" si="0"/>
        <v/>
      </c>
      <c r="Y57" s="63" t="str">
        <f t="shared" si="1"/>
        <v/>
      </c>
      <c r="Z57" s="63" t="str">
        <f t="shared" si="2"/>
        <v/>
      </c>
      <c r="AA57" s="63" t="str">
        <f>TEXT(Table111[[#This Row],[YEAR]],"0000")&amp;"-"&amp;Table111[[#This Row],[MONTH]]</f>
        <v>-</v>
      </c>
    </row>
    <row r="58" spans="2:27" x14ac:dyDescent="0.3">
      <c r="B58" s="183"/>
      <c r="C58" s="183"/>
      <c r="D58" s="183"/>
      <c r="E58" s="71"/>
      <c r="F58" s="72"/>
      <c r="G58" s="72"/>
      <c r="H58" s="74"/>
      <c r="I58" s="70"/>
      <c r="J58" s="70"/>
      <c r="K58" s="70"/>
      <c r="L58" s="74"/>
      <c r="M58" s="123"/>
      <c r="N58" s="73"/>
      <c r="O58" s="236"/>
      <c r="P58" s="117"/>
      <c r="Q58" s="117"/>
      <c r="R58" s="156" t="str">
        <f>IF(Table111[[#This Row],[Qty]]="","",Table111[[#This Row],[Qty]]*Table111[[#This Row],[Unit Price]])</f>
        <v/>
      </c>
      <c r="S58" s="156" t="str">
        <f>IF(Table111[[#This Row],[Qty]]="","",Table111[[#This Row],[Qty]]*Table111[[#This Row],[Unit Price]]+Table111[[#This Row],[Delivery Cost]])</f>
        <v/>
      </c>
      <c r="T58" s="72"/>
      <c r="U58" s="72"/>
      <c r="V58" s="72"/>
      <c r="W58" s="65"/>
      <c r="X58" s="63" t="str">
        <f t="shared" si="0"/>
        <v/>
      </c>
      <c r="Y58" s="63" t="str">
        <f t="shared" si="1"/>
        <v/>
      </c>
      <c r="Z58" s="63" t="str">
        <f t="shared" si="2"/>
        <v/>
      </c>
      <c r="AA58" s="63" t="str">
        <f>TEXT(Table111[[#This Row],[YEAR]],"0000")&amp;"-"&amp;Table111[[#This Row],[MONTH]]</f>
        <v>-</v>
      </c>
    </row>
    <row r="59" spans="2:27" x14ac:dyDescent="0.3">
      <c r="B59" s="68"/>
      <c r="C59" s="68"/>
      <c r="D59" s="68"/>
      <c r="E59" s="71"/>
      <c r="F59" s="72"/>
      <c r="G59" s="72"/>
      <c r="H59" s="74"/>
      <c r="I59" s="70"/>
      <c r="J59" s="70"/>
      <c r="K59" s="70"/>
      <c r="L59" s="74"/>
      <c r="M59" s="123"/>
      <c r="N59" s="73"/>
      <c r="O59" s="236"/>
      <c r="P59" s="117"/>
      <c r="Q59" s="117"/>
      <c r="R59" s="156" t="str">
        <f>IF(Table111[[#This Row],[Qty]]="","",Table111[[#This Row],[Qty]]*Table111[[#This Row],[Unit Price]])</f>
        <v/>
      </c>
      <c r="S59" s="156" t="str">
        <f>IF(Table111[[#This Row],[Qty]]="","",Table111[[#This Row],[Qty]]*Table111[[#This Row],[Unit Price]]+Table111[[#This Row],[Delivery Cost]])</f>
        <v/>
      </c>
      <c r="T59" s="72"/>
      <c r="U59" s="72"/>
      <c r="V59" s="72"/>
      <c r="W59" s="219"/>
      <c r="X59" s="63" t="str">
        <f t="shared" si="0"/>
        <v/>
      </c>
      <c r="Y59" s="63" t="str">
        <f t="shared" si="1"/>
        <v/>
      </c>
      <c r="Z59" s="63" t="str">
        <f t="shared" si="2"/>
        <v/>
      </c>
      <c r="AA59" s="63" t="str">
        <f>TEXT(Table111[[#This Row],[YEAR]],"0000")&amp;"-"&amp;Table111[[#This Row],[MONTH]]</f>
        <v>-</v>
      </c>
    </row>
    <row r="60" spans="2:27" x14ac:dyDescent="0.3">
      <c r="B60" s="183"/>
      <c r="C60" s="183"/>
      <c r="D60" s="183"/>
      <c r="E60" s="71"/>
      <c r="F60" s="72"/>
      <c r="G60" s="72"/>
      <c r="H60" s="74"/>
      <c r="I60" s="70"/>
      <c r="J60" s="70"/>
      <c r="K60" s="70"/>
      <c r="L60" s="74"/>
      <c r="M60" s="123"/>
      <c r="N60" s="73"/>
      <c r="O60" s="236"/>
      <c r="P60" s="117"/>
      <c r="Q60" s="117"/>
      <c r="R60" s="156" t="str">
        <f>IF(Table111[[#This Row],[Qty]]="","",Table111[[#This Row],[Qty]]*Table111[[#This Row],[Unit Price]])</f>
        <v/>
      </c>
      <c r="S60" s="156" t="str">
        <f>IF(Table111[[#This Row],[Qty]]="","",Table111[[#This Row],[Qty]]*Table111[[#This Row],[Unit Price]]+Table111[[#This Row],[Delivery Cost]])</f>
        <v/>
      </c>
      <c r="T60" s="72"/>
      <c r="U60" s="72"/>
      <c r="V60" s="72"/>
      <c r="W60" s="65"/>
      <c r="X60" s="63" t="str">
        <f t="shared" si="0"/>
        <v/>
      </c>
      <c r="Y60" s="63" t="str">
        <f t="shared" si="1"/>
        <v/>
      </c>
      <c r="Z60" s="63" t="str">
        <f t="shared" si="2"/>
        <v/>
      </c>
      <c r="AA60" s="63" t="str">
        <f>TEXT(Table111[[#This Row],[YEAR]],"0000")&amp;"-"&amp;Table111[[#This Row],[MONTH]]</f>
        <v>-</v>
      </c>
    </row>
    <row r="61" spans="2:27" x14ac:dyDescent="0.3">
      <c r="B61" s="68"/>
      <c r="C61" s="68"/>
      <c r="D61" s="68"/>
      <c r="E61" s="71"/>
      <c r="F61" s="72"/>
      <c r="G61" s="72"/>
      <c r="H61" s="74"/>
      <c r="I61" s="70"/>
      <c r="J61" s="70"/>
      <c r="K61" s="70"/>
      <c r="L61" s="74"/>
      <c r="M61" s="123"/>
      <c r="N61" s="73"/>
      <c r="O61" s="236"/>
      <c r="P61" s="117"/>
      <c r="Q61" s="117"/>
      <c r="R61" s="156" t="str">
        <f>IF(Table111[[#This Row],[Qty]]="","",Table111[[#This Row],[Qty]]*Table111[[#This Row],[Unit Price]])</f>
        <v/>
      </c>
      <c r="S61" s="156" t="str">
        <f>IF(Table111[[#This Row],[Qty]]="","",Table111[[#This Row],[Qty]]*Table111[[#This Row],[Unit Price]]+Table111[[#This Row],[Delivery Cost]])</f>
        <v/>
      </c>
      <c r="T61" s="72"/>
      <c r="U61" s="72"/>
      <c r="V61" s="72"/>
      <c r="W61" s="219"/>
      <c r="X61" s="63" t="str">
        <f t="shared" si="0"/>
        <v/>
      </c>
      <c r="Y61" s="63" t="str">
        <f t="shared" si="1"/>
        <v/>
      </c>
      <c r="Z61" s="63" t="str">
        <f t="shared" si="2"/>
        <v/>
      </c>
      <c r="AA61" s="63" t="str">
        <f>TEXT(Table111[[#This Row],[YEAR]],"0000")&amp;"-"&amp;Table111[[#This Row],[MONTH]]</f>
        <v>-</v>
      </c>
    </row>
    <row r="62" spans="2:27" x14ac:dyDescent="0.3">
      <c r="B62" s="183"/>
      <c r="C62" s="183"/>
      <c r="D62" s="183"/>
      <c r="E62" s="71"/>
      <c r="F62" s="72"/>
      <c r="G62" s="72"/>
      <c r="H62" s="74"/>
      <c r="I62" s="70"/>
      <c r="J62" s="70"/>
      <c r="K62" s="70"/>
      <c r="L62" s="74"/>
      <c r="M62" s="123"/>
      <c r="N62" s="73"/>
      <c r="O62" s="236"/>
      <c r="P62" s="117"/>
      <c r="Q62" s="117"/>
      <c r="R62" s="156" t="str">
        <f>IF(Table111[[#This Row],[Qty]]="","",Table111[[#This Row],[Qty]]*Table111[[#This Row],[Unit Price]])</f>
        <v/>
      </c>
      <c r="S62" s="156" t="str">
        <f>IF(Table111[[#This Row],[Qty]]="","",Table111[[#This Row],[Qty]]*Table111[[#This Row],[Unit Price]]+Table111[[#This Row],[Delivery Cost]])</f>
        <v/>
      </c>
      <c r="T62" s="72"/>
      <c r="U62" s="72"/>
      <c r="V62" s="72"/>
      <c r="W62" s="65"/>
      <c r="X62" s="63" t="str">
        <f t="shared" si="0"/>
        <v/>
      </c>
      <c r="Y62" s="63" t="str">
        <f t="shared" si="1"/>
        <v/>
      </c>
      <c r="Z62" s="63" t="str">
        <f t="shared" si="2"/>
        <v/>
      </c>
      <c r="AA62" s="63" t="str">
        <f>TEXT(Table111[[#This Row],[YEAR]],"0000")&amp;"-"&amp;Table111[[#This Row],[MONTH]]</f>
        <v>-</v>
      </c>
    </row>
    <row r="63" spans="2:27" x14ac:dyDescent="0.3">
      <c r="B63" s="68"/>
      <c r="C63" s="68"/>
      <c r="D63" s="68"/>
      <c r="E63" s="71"/>
      <c r="F63" s="72"/>
      <c r="G63" s="72"/>
      <c r="H63" s="74"/>
      <c r="I63" s="70"/>
      <c r="J63" s="70"/>
      <c r="K63" s="70"/>
      <c r="L63" s="74"/>
      <c r="M63" s="123"/>
      <c r="N63" s="73"/>
      <c r="O63" s="236"/>
      <c r="P63" s="117"/>
      <c r="Q63" s="117"/>
      <c r="R63" s="156" t="str">
        <f>IF(Table111[[#This Row],[Qty]]="","",Table111[[#This Row],[Qty]]*Table111[[#This Row],[Unit Price]])</f>
        <v/>
      </c>
      <c r="S63" s="156" t="str">
        <f>IF(Table111[[#This Row],[Qty]]="","",Table111[[#This Row],[Qty]]*Table111[[#This Row],[Unit Price]]+Table111[[#This Row],[Delivery Cost]])</f>
        <v/>
      </c>
      <c r="T63" s="72"/>
      <c r="U63" s="72"/>
      <c r="V63" s="72"/>
      <c r="W63" s="219"/>
      <c r="X63" s="63" t="str">
        <f t="shared" si="0"/>
        <v/>
      </c>
      <c r="Y63" s="63" t="str">
        <f t="shared" si="1"/>
        <v/>
      </c>
      <c r="Z63" s="63" t="str">
        <f t="shared" si="2"/>
        <v/>
      </c>
      <c r="AA63" s="63" t="str">
        <f>TEXT(Table111[[#This Row],[YEAR]],"0000")&amp;"-"&amp;Table111[[#This Row],[MONTH]]</f>
        <v>-</v>
      </c>
    </row>
    <row r="64" spans="2:27" x14ac:dyDescent="0.3">
      <c r="B64" s="183"/>
      <c r="C64" s="183"/>
      <c r="D64" s="183"/>
      <c r="E64" s="71"/>
      <c r="F64" s="72"/>
      <c r="G64" s="72"/>
      <c r="H64" s="74"/>
      <c r="I64" s="70"/>
      <c r="J64" s="70"/>
      <c r="K64" s="70"/>
      <c r="L64" s="74"/>
      <c r="M64" s="123"/>
      <c r="N64" s="73"/>
      <c r="O64" s="236"/>
      <c r="P64" s="117"/>
      <c r="Q64" s="117"/>
      <c r="R64" s="156" t="str">
        <f>IF(Table111[[#This Row],[Qty]]="","",Table111[[#This Row],[Qty]]*Table111[[#This Row],[Unit Price]])</f>
        <v/>
      </c>
      <c r="S64" s="156" t="str">
        <f>IF(Table111[[#This Row],[Qty]]="","",Table111[[#This Row],[Qty]]*Table111[[#This Row],[Unit Price]]+Table111[[#This Row],[Delivery Cost]])</f>
        <v/>
      </c>
      <c r="T64" s="72"/>
      <c r="U64" s="72"/>
      <c r="V64" s="72"/>
      <c r="W64" s="65"/>
      <c r="X64" s="63" t="str">
        <f t="shared" si="0"/>
        <v/>
      </c>
      <c r="Y64" s="63" t="str">
        <f t="shared" si="1"/>
        <v/>
      </c>
      <c r="Z64" s="63" t="str">
        <f t="shared" si="2"/>
        <v/>
      </c>
      <c r="AA64" s="63" t="str">
        <f>TEXT(Table111[[#This Row],[YEAR]],"0000")&amp;"-"&amp;Table111[[#This Row],[MONTH]]</f>
        <v>-</v>
      </c>
    </row>
    <row r="65" spans="2:27" x14ac:dyDescent="0.3">
      <c r="B65" s="68"/>
      <c r="C65" s="68"/>
      <c r="D65" s="68"/>
      <c r="E65" s="71"/>
      <c r="F65" s="72"/>
      <c r="G65" s="72"/>
      <c r="H65" s="74"/>
      <c r="I65" s="70"/>
      <c r="J65" s="70"/>
      <c r="K65" s="70"/>
      <c r="L65" s="74"/>
      <c r="M65" s="123"/>
      <c r="N65" s="73"/>
      <c r="O65" s="236"/>
      <c r="P65" s="117"/>
      <c r="Q65" s="117"/>
      <c r="R65" s="156" t="str">
        <f>IF(Table111[[#This Row],[Qty]]="","",Table111[[#This Row],[Qty]]*Table111[[#This Row],[Unit Price]])</f>
        <v/>
      </c>
      <c r="S65" s="156" t="str">
        <f>IF(Table111[[#This Row],[Qty]]="","",Table111[[#This Row],[Qty]]*Table111[[#This Row],[Unit Price]]+Table111[[#This Row],[Delivery Cost]])</f>
        <v/>
      </c>
      <c r="T65" s="72"/>
      <c r="U65" s="72"/>
      <c r="V65" s="72"/>
      <c r="W65" s="219"/>
      <c r="X65" s="63" t="str">
        <f t="shared" si="0"/>
        <v/>
      </c>
      <c r="Y65" s="63" t="str">
        <f t="shared" si="1"/>
        <v/>
      </c>
      <c r="Z65" s="63" t="str">
        <f t="shared" si="2"/>
        <v/>
      </c>
      <c r="AA65" s="63" t="str">
        <f>TEXT(Table111[[#This Row],[YEAR]],"0000")&amp;"-"&amp;Table111[[#This Row],[MONTH]]</f>
        <v>-</v>
      </c>
    </row>
    <row r="66" spans="2:27" x14ac:dyDescent="0.3">
      <c r="B66" s="183"/>
      <c r="C66" s="183"/>
      <c r="D66" s="183"/>
      <c r="E66" s="71"/>
      <c r="F66" s="72"/>
      <c r="G66" s="72"/>
      <c r="H66" s="74"/>
      <c r="I66" s="70"/>
      <c r="J66" s="70"/>
      <c r="K66" s="70"/>
      <c r="L66" s="74"/>
      <c r="M66" s="123"/>
      <c r="N66" s="73"/>
      <c r="O66" s="236"/>
      <c r="P66" s="117"/>
      <c r="Q66" s="117"/>
      <c r="R66" s="156" t="str">
        <f>IF(Table111[[#This Row],[Qty]]="","",Table111[[#This Row],[Qty]]*Table111[[#This Row],[Unit Price]])</f>
        <v/>
      </c>
      <c r="S66" s="156" t="str">
        <f>IF(Table111[[#This Row],[Qty]]="","",Table111[[#This Row],[Qty]]*Table111[[#This Row],[Unit Price]]+Table111[[#This Row],[Delivery Cost]])</f>
        <v/>
      </c>
      <c r="T66" s="72"/>
      <c r="U66" s="72"/>
      <c r="V66" s="72"/>
      <c r="W66" s="65"/>
      <c r="X66" s="63" t="str">
        <f t="shared" si="0"/>
        <v/>
      </c>
      <c r="Y66" s="63" t="str">
        <f t="shared" si="1"/>
        <v/>
      </c>
      <c r="Z66" s="63" t="str">
        <f t="shared" si="2"/>
        <v/>
      </c>
      <c r="AA66" s="63" t="str">
        <f>TEXT(Table111[[#This Row],[YEAR]],"0000")&amp;"-"&amp;Table111[[#This Row],[MONTH]]</f>
        <v>-</v>
      </c>
    </row>
    <row r="67" spans="2:27" x14ac:dyDescent="0.3">
      <c r="B67" s="68"/>
      <c r="C67" s="68"/>
      <c r="D67" s="68"/>
      <c r="E67" s="71"/>
      <c r="F67" s="72"/>
      <c r="G67" s="72"/>
      <c r="H67" s="74"/>
      <c r="I67" s="70"/>
      <c r="J67" s="70"/>
      <c r="K67" s="70"/>
      <c r="L67" s="74"/>
      <c r="M67" s="123"/>
      <c r="N67" s="73"/>
      <c r="O67" s="236"/>
      <c r="P67" s="117"/>
      <c r="Q67" s="117"/>
      <c r="R67" s="156" t="str">
        <f>IF(Table111[[#This Row],[Qty]]="","",Table111[[#This Row],[Qty]]*Table111[[#This Row],[Unit Price]])</f>
        <v/>
      </c>
      <c r="S67" s="156" t="str">
        <f>IF(Table111[[#This Row],[Qty]]="","",Table111[[#This Row],[Qty]]*Table111[[#This Row],[Unit Price]]+Table111[[#This Row],[Delivery Cost]])</f>
        <v/>
      </c>
      <c r="T67" s="72"/>
      <c r="U67" s="72"/>
      <c r="V67" s="72"/>
      <c r="W67" s="219"/>
      <c r="X67" s="63" t="str">
        <f t="shared" ref="X67:X130" si="3">IF(E67=0,"",YEAR(E67))</f>
        <v/>
      </c>
      <c r="Y67" s="63" t="str">
        <f t="shared" ref="Y67:Y130" si="4">IF(E67=0,"",MONTH(E67))</f>
        <v/>
      </c>
      <c r="Z67" s="63" t="str">
        <f t="shared" ref="Z67:Z130" si="5">IF(E67=0,"",WEEKNUM(E67))</f>
        <v/>
      </c>
      <c r="AA67" s="63" t="str">
        <f>TEXT(Table111[[#This Row],[YEAR]],"0000")&amp;"-"&amp;Table111[[#This Row],[MONTH]]</f>
        <v>-</v>
      </c>
    </row>
    <row r="68" spans="2:27" x14ac:dyDescent="0.3">
      <c r="B68" s="183"/>
      <c r="C68" s="183"/>
      <c r="D68" s="183"/>
      <c r="E68" s="71"/>
      <c r="F68" s="72"/>
      <c r="G68" s="72"/>
      <c r="H68" s="74"/>
      <c r="I68" s="70"/>
      <c r="J68" s="70"/>
      <c r="K68" s="70"/>
      <c r="L68" s="74"/>
      <c r="M68" s="123"/>
      <c r="N68" s="73"/>
      <c r="O68" s="236"/>
      <c r="P68" s="117"/>
      <c r="Q68" s="117"/>
      <c r="R68" s="156" t="str">
        <f>IF(Table111[[#This Row],[Qty]]="","",Table111[[#This Row],[Qty]]*Table111[[#This Row],[Unit Price]])</f>
        <v/>
      </c>
      <c r="S68" s="156" t="str">
        <f>IF(Table111[[#This Row],[Qty]]="","",Table111[[#This Row],[Qty]]*Table111[[#This Row],[Unit Price]]+Table111[[#This Row],[Delivery Cost]])</f>
        <v/>
      </c>
      <c r="T68" s="72"/>
      <c r="U68" s="72"/>
      <c r="V68" s="72"/>
      <c r="W68" s="65"/>
      <c r="X68" s="63" t="str">
        <f t="shared" si="3"/>
        <v/>
      </c>
      <c r="Y68" s="63" t="str">
        <f t="shared" si="4"/>
        <v/>
      </c>
      <c r="Z68" s="63" t="str">
        <f t="shared" si="5"/>
        <v/>
      </c>
      <c r="AA68" s="63" t="str">
        <f>TEXT(Table111[[#This Row],[YEAR]],"0000")&amp;"-"&amp;Table111[[#This Row],[MONTH]]</f>
        <v>-</v>
      </c>
    </row>
    <row r="69" spans="2:27" x14ac:dyDescent="0.3">
      <c r="B69" s="68"/>
      <c r="C69" s="68"/>
      <c r="D69" s="68"/>
      <c r="E69" s="71"/>
      <c r="F69" s="72"/>
      <c r="G69" s="72"/>
      <c r="H69" s="74"/>
      <c r="I69" s="70"/>
      <c r="J69" s="70"/>
      <c r="K69" s="70"/>
      <c r="L69" s="74"/>
      <c r="M69" s="123"/>
      <c r="N69" s="73"/>
      <c r="O69" s="236"/>
      <c r="P69" s="117"/>
      <c r="Q69" s="117"/>
      <c r="R69" s="156" t="str">
        <f>IF(Table111[[#This Row],[Qty]]="","",Table111[[#This Row],[Qty]]*Table111[[#This Row],[Unit Price]])</f>
        <v/>
      </c>
      <c r="S69" s="156" t="str">
        <f>IF(Table111[[#This Row],[Qty]]="","",Table111[[#This Row],[Qty]]*Table111[[#This Row],[Unit Price]]+Table111[[#This Row],[Delivery Cost]])</f>
        <v/>
      </c>
      <c r="T69" s="72"/>
      <c r="U69" s="72"/>
      <c r="V69" s="72"/>
      <c r="W69" s="219"/>
      <c r="X69" s="63" t="str">
        <f t="shared" si="3"/>
        <v/>
      </c>
      <c r="Y69" s="63" t="str">
        <f t="shared" si="4"/>
        <v/>
      </c>
      <c r="Z69" s="63" t="str">
        <f t="shared" si="5"/>
        <v/>
      </c>
      <c r="AA69" s="63" t="str">
        <f>TEXT(Table111[[#This Row],[YEAR]],"0000")&amp;"-"&amp;Table111[[#This Row],[MONTH]]</f>
        <v>-</v>
      </c>
    </row>
    <row r="70" spans="2:27" x14ac:dyDescent="0.3">
      <c r="B70" s="183"/>
      <c r="C70" s="183"/>
      <c r="D70" s="183"/>
      <c r="E70" s="71"/>
      <c r="F70" s="72"/>
      <c r="G70" s="72"/>
      <c r="H70" s="74"/>
      <c r="I70" s="70"/>
      <c r="J70" s="70"/>
      <c r="K70" s="70"/>
      <c r="L70" s="74"/>
      <c r="M70" s="123"/>
      <c r="N70" s="73"/>
      <c r="O70" s="236"/>
      <c r="P70" s="117"/>
      <c r="Q70" s="117"/>
      <c r="R70" s="156" t="str">
        <f>IF(Table111[[#This Row],[Qty]]="","",Table111[[#This Row],[Qty]]*Table111[[#This Row],[Unit Price]])</f>
        <v/>
      </c>
      <c r="S70" s="156" t="str">
        <f>IF(Table111[[#This Row],[Qty]]="","",Table111[[#This Row],[Qty]]*Table111[[#This Row],[Unit Price]]+Table111[[#This Row],[Delivery Cost]])</f>
        <v/>
      </c>
      <c r="T70" s="72"/>
      <c r="U70" s="72"/>
      <c r="V70" s="72"/>
      <c r="W70" s="65"/>
      <c r="X70" s="63" t="str">
        <f t="shared" si="3"/>
        <v/>
      </c>
      <c r="Y70" s="63" t="str">
        <f t="shared" si="4"/>
        <v/>
      </c>
      <c r="Z70" s="63" t="str">
        <f t="shared" si="5"/>
        <v/>
      </c>
      <c r="AA70" s="63" t="str">
        <f>TEXT(Table111[[#This Row],[YEAR]],"0000")&amp;"-"&amp;Table111[[#This Row],[MONTH]]</f>
        <v>-</v>
      </c>
    </row>
    <row r="71" spans="2:27" x14ac:dyDescent="0.3">
      <c r="B71" s="68"/>
      <c r="C71" s="68"/>
      <c r="D71" s="68"/>
      <c r="E71" s="71"/>
      <c r="F71" s="72"/>
      <c r="G71" s="72"/>
      <c r="H71" s="74"/>
      <c r="I71" s="70"/>
      <c r="J71" s="70"/>
      <c r="K71" s="70"/>
      <c r="L71" s="74"/>
      <c r="M71" s="123"/>
      <c r="N71" s="73"/>
      <c r="O71" s="236"/>
      <c r="P71" s="117"/>
      <c r="Q71" s="117"/>
      <c r="R71" s="156" t="str">
        <f>IF(Table111[[#This Row],[Qty]]="","",Table111[[#This Row],[Qty]]*Table111[[#This Row],[Unit Price]])</f>
        <v/>
      </c>
      <c r="S71" s="156" t="str">
        <f>IF(Table111[[#This Row],[Qty]]="","",Table111[[#This Row],[Qty]]*Table111[[#This Row],[Unit Price]]+Table111[[#This Row],[Delivery Cost]])</f>
        <v/>
      </c>
      <c r="T71" s="72"/>
      <c r="U71" s="72"/>
      <c r="V71" s="72"/>
      <c r="W71" s="219"/>
      <c r="X71" s="63" t="str">
        <f t="shared" si="3"/>
        <v/>
      </c>
      <c r="Y71" s="63" t="str">
        <f t="shared" si="4"/>
        <v/>
      </c>
      <c r="Z71" s="63" t="str">
        <f t="shared" si="5"/>
        <v/>
      </c>
      <c r="AA71" s="63" t="str">
        <f>TEXT(Table111[[#This Row],[YEAR]],"0000")&amp;"-"&amp;Table111[[#This Row],[MONTH]]</f>
        <v>-</v>
      </c>
    </row>
    <row r="72" spans="2:27" x14ac:dyDescent="0.3">
      <c r="B72" s="183"/>
      <c r="C72" s="183"/>
      <c r="D72" s="183"/>
      <c r="E72" s="71"/>
      <c r="F72" s="72"/>
      <c r="G72" s="72"/>
      <c r="H72" s="74"/>
      <c r="I72" s="70"/>
      <c r="J72" s="70"/>
      <c r="K72" s="70"/>
      <c r="L72" s="74"/>
      <c r="M72" s="123"/>
      <c r="N72" s="73"/>
      <c r="O72" s="236"/>
      <c r="P72" s="117"/>
      <c r="Q72" s="117"/>
      <c r="R72" s="156" t="str">
        <f>IF(Table111[[#This Row],[Qty]]="","",Table111[[#This Row],[Qty]]*Table111[[#This Row],[Unit Price]])</f>
        <v/>
      </c>
      <c r="S72" s="156" t="str">
        <f>IF(Table111[[#This Row],[Qty]]="","",Table111[[#This Row],[Qty]]*Table111[[#This Row],[Unit Price]]+Table111[[#This Row],[Delivery Cost]])</f>
        <v/>
      </c>
      <c r="T72" s="72"/>
      <c r="U72" s="72"/>
      <c r="V72" s="72"/>
      <c r="W72" s="65"/>
      <c r="X72" s="63" t="str">
        <f t="shared" si="3"/>
        <v/>
      </c>
      <c r="Y72" s="63" t="str">
        <f t="shared" si="4"/>
        <v/>
      </c>
      <c r="Z72" s="63" t="str">
        <f t="shared" si="5"/>
        <v/>
      </c>
      <c r="AA72" s="63" t="str">
        <f>TEXT(Table111[[#This Row],[YEAR]],"0000")&amp;"-"&amp;Table111[[#This Row],[MONTH]]</f>
        <v>-</v>
      </c>
    </row>
    <row r="73" spans="2:27" x14ac:dyDescent="0.3">
      <c r="B73" s="68"/>
      <c r="C73" s="68"/>
      <c r="D73" s="68"/>
      <c r="E73" s="71"/>
      <c r="F73" s="72"/>
      <c r="G73" s="72"/>
      <c r="H73" s="74"/>
      <c r="I73" s="70"/>
      <c r="J73" s="70"/>
      <c r="K73" s="70"/>
      <c r="L73" s="74"/>
      <c r="M73" s="123"/>
      <c r="N73" s="73"/>
      <c r="O73" s="236"/>
      <c r="P73" s="117"/>
      <c r="Q73" s="117"/>
      <c r="R73" s="156" t="str">
        <f>IF(Table111[[#This Row],[Qty]]="","",Table111[[#This Row],[Qty]]*Table111[[#This Row],[Unit Price]])</f>
        <v/>
      </c>
      <c r="S73" s="156" t="str">
        <f>IF(Table111[[#This Row],[Qty]]="","",Table111[[#This Row],[Qty]]*Table111[[#This Row],[Unit Price]]+Table111[[#This Row],[Delivery Cost]])</f>
        <v/>
      </c>
      <c r="T73" s="72"/>
      <c r="U73" s="72"/>
      <c r="V73" s="72"/>
      <c r="W73" s="219"/>
      <c r="X73" s="63" t="str">
        <f t="shared" si="3"/>
        <v/>
      </c>
      <c r="Y73" s="63" t="str">
        <f t="shared" si="4"/>
        <v/>
      </c>
      <c r="Z73" s="63" t="str">
        <f t="shared" si="5"/>
        <v/>
      </c>
      <c r="AA73" s="63" t="str">
        <f>TEXT(Table111[[#This Row],[YEAR]],"0000")&amp;"-"&amp;Table111[[#This Row],[MONTH]]</f>
        <v>-</v>
      </c>
    </row>
    <row r="74" spans="2:27" x14ac:dyDescent="0.3">
      <c r="B74" s="183"/>
      <c r="C74" s="183"/>
      <c r="D74" s="183"/>
      <c r="E74" s="71"/>
      <c r="F74" s="72"/>
      <c r="G74" s="72"/>
      <c r="H74" s="74"/>
      <c r="I74" s="70"/>
      <c r="J74" s="70"/>
      <c r="K74" s="70"/>
      <c r="L74" s="74"/>
      <c r="M74" s="123"/>
      <c r="N74" s="73"/>
      <c r="O74" s="236"/>
      <c r="P74" s="117"/>
      <c r="Q74" s="117"/>
      <c r="R74" s="156" t="str">
        <f>IF(Table111[[#This Row],[Qty]]="","",Table111[[#This Row],[Qty]]*Table111[[#This Row],[Unit Price]])</f>
        <v/>
      </c>
      <c r="S74" s="156" t="str">
        <f>IF(Table111[[#This Row],[Qty]]="","",Table111[[#This Row],[Qty]]*Table111[[#This Row],[Unit Price]]+Table111[[#This Row],[Delivery Cost]])</f>
        <v/>
      </c>
      <c r="T74" s="72"/>
      <c r="U74" s="72"/>
      <c r="V74" s="72"/>
      <c r="W74" s="65"/>
      <c r="X74" s="63" t="str">
        <f t="shared" si="3"/>
        <v/>
      </c>
      <c r="Y74" s="63" t="str">
        <f t="shared" si="4"/>
        <v/>
      </c>
      <c r="Z74" s="63" t="str">
        <f t="shared" si="5"/>
        <v/>
      </c>
      <c r="AA74" s="63" t="str">
        <f>TEXT(Table111[[#This Row],[YEAR]],"0000")&amp;"-"&amp;Table111[[#This Row],[MONTH]]</f>
        <v>-</v>
      </c>
    </row>
    <row r="75" spans="2:27" x14ac:dyDescent="0.3">
      <c r="B75" s="68"/>
      <c r="C75" s="68"/>
      <c r="D75" s="68"/>
      <c r="E75" s="71"/>
      <c r="F75" s="72"/>
      <c r="G75" s="72"/>
      <c r="H75" s="74"/>
      <c r="I75" s="70"/>
      <c r="J75" s="70"/>
      <c r="K75" s="70"/>
      <c r="L75" s="74"/>
      <c r="M75" s="123"/>
      <c r="N75" s="73"/>
      <c r="O75" s="236"/>
      <c r="P75" s="117"/>
      <c r="Q75" s="117"/>
      <c r="R75" s="156" t="str">
        <f>IF(Table111[[#This Row],[Qty]]="","",Table111[[#This Row],[Qty]]*Table111[[#This Row],[Unit Price]])</f>
        <v/>
      </c>
      <c r="S75" s="156" t="str">
        <f>IF(Table111[[#This Row],[Qty]]="","",Table111[[#This Row],[Qty]]*Table111[[#This Row],[Unit Price]]+Table111[[#This Row],[Delivery Cost]])</f>
        <v/>
      </c>
      <c r="T75" s="72"/>
      <c r="U75" s="72"/>
      <c r="V75" s="72"/>
      <c r="W75" s="219"/>
      <c r="X75" s="63" t="str">
        <f t="shared" si="3"/>
        <v/>
      </c>
      <c r="Y75" s="63" t="str">
        <f t="shared" si="4"/>
        <v/>
      </c>
      <c r="Z75" s="63" t="str">
        <f t="shared" si="5"/>
        <v/>
      </c>
      <c r="AA75" s="63" t="str">
        <f>TEXT(Table111[[#This Row],[YEAR]],"0000")&amp;"-"&amp;Table111[[#This Row],[MONTH]]</f>
        <v>-</v>
      </c>
    </row>
    <row r="76" spans="2:27" x14ac:dyDescent="0.3">
      <c r="B76" s="183"/>
      <c r="C76" s="183"/>
      <c r="D76" s="183"/>
      <c r="E76" s="71"/>
      <c r="F76" s="72"/>
      <c r="G76" s="72"/>
      <c r="H76" s="74"/>
      <c r="I76" s="70"/>
      <c r="J76" s="70"/>
      <c r="K76" s="70"/>
      <c r="L76" s="74"/>
      <c r="M76" s="123"/>
      <c r="N76" s="73"/>
      <c r="O76" s="236"/>
      <c r="P76" s="117"/>
      <c r="Q76" s="117"/>
      <c r="R76" s="156" t="str">
        <f>IF(Table111[[#This Row],[Qty]]="","",Table111[[#This Row],[Qty]]*Table111[[#This Row],[Unit Price]])</f>
        <v/>
      </c>
      <c r="S76" s="156" t="str">
        <f>IF(Table111[[#This Row],[Qty]]="","",Table111[[#This Row],[Qty]]*Table111[[#This Row],[Unit Price]]+Table111[[#This Row],[Delivery Cost]])</f>
        <v/>
      </c>
      <c r="T76" s="72"/>
      <c r="U76" s="72"/>
      <c r="V76" s="72"/>
      <c r="W76" s="65"/>
      <c r="X76" s="63" t="str">
        <f t="shared" si="3"/>
        <v/>
      </c>
      <c r="Y76" s="63" t="str">
        <f t="shared" si="4"/>
        <v/>
      </c>
      <c r="Z76" s="63" t="str">
        <f t="shared" si="5"/>
        <v/>
      </c>
      <c r="AA76" s="63" t="str">
        <f>TEXT(Table111[[#This Row],[YEAR]],"0000")&amp;"-"&amp;Table111[[#This Row],[MONTH]]</f>
        <v>-</v>
      </c>
    </row>
    <row r="77" spans="2:27" x14ac:dyDescent="0.3">
      <c r="B77" s="68"/>
      <c r="C77" s="68"/>
      <c r="D77" s="68"/>
      <c r="E77" s="71"/>
      <c r="F77" s="72"/>
      <c r="G77" s="72"/>
      <c r="H77" s="74"/>
      <c r="I77" s="70"/>
      <c r="J77" s="70"/>
      <c r="K77" s="70"/>
      <c r="L77" s="74"/>
      <c r="M77" s="123"/>
      <c r="N77" s="73"/>
      <c r="O77" s="236"/>
      <c r="P77" s="117"/>
      <c r="Q77" s="117"/>
      <c r="R77" s="156" t="str">
        <f>IF(Table111[[#This Row],[Qty]]="","",Table111[[#This Row],[Qty]]*Table111[[#This Row],[Unit Price]])</f>
        <v/>
      </c>
      <c r="S77" s="156" t="str">
        <f>IF(Table111[[#This Row],[Qty]]="","",Table111[[#This Row],[Qty]]*Table111[[#This Row],[Unit Price]]+Table111[[#This Row],[Delivery Cost]])</f>
        <v/>
      </c>
      <c r="T77" s="72"/>
      <c r="U77" s="72"/>
      <c r="V77" s="72"/>
      <c r="W77" s="219"/>
      <c r="X77" s="63" t="str">
        <f t="shared" si="3"/>
        <v/>
      </c>
      <c r="Y77" s="63" t="str">
        <f t="shared" si="4"/>
        <v/>
      </c>
      <c r="Z77" s="63" t="str">
        <f t="shared" si="5"/>
        <v/>
      </c>
      <c r="AA77" s="63" t="str">
        <f>TEXT(Table111[[#This Row],[YEAR]],"0000")&amp;"-"&amp;Table111[[#This Row],[MONTH]]</f>
        <v>-</v>
      </c>
    </row>
    <row r="78" spans="2:27" x14ac:dyDescent="0.3">
      <c r="B78" s="183"/>
      <c r="C78" s="183"/>
      <c r="D78" s="183"/>
      <c r="E78" s="71"/>
      <c r="F78" s="72"/>
      <c r="G78" s="72"/>
      <c r="H78" s="74"/>
      <c r="I78" s="70"/>
      <c r="J78" s="70"/>
      <c r="K78" s="70"/>
      <c r="L78" s="74"/>
      <c r="M78" s="123"/>
      <c r="N78" s="73"/>
      <c r="O78" s="236"/>
      <c r="P78" s="117"/>
      <c r="Q78" s="117"/>
      <c r="R78" s="156" t="str">
        <f>IF(Table111[[#This Row],[Qty]]="","",Table111[[#This Row],[Qty]]*Table111[[#This Row],[Unit Price]])</f>
        <v/>
      </c>
      <c r="S78" s="156" t="str">
        <f>IF(Table111[[#This Row],[Qty]]="","",Table111[[#This Row],[Qty]]*Table111[[#This Row],[Unit Price]]+Table111[[#This Row],[Delivery Cost]])</f>
        <v/>
      </c>
      <c r="T78" s="72"/>
      <c r="U78" s="72"/>
      <c r="V78" s="72"/>
      <c r="W78" s="65"/>
      <c r="X78" s="63" t="str">
        <f t="shared" si="3"/>
        <v/>
      </c>
      <c r="Y78" s="63" t="str">
        <f t="shared" si="4"/>
        <v/>
      </c>
      <c r="Z78" s="63" t="str">
        <f t="shared" si="5"/>
        <v/>
      </c>
      <c r="AA78" s="63" t="str">
        <f>TEXT(Table111[[#This Row],[YEAR]],"0000")&amp;"-"&amp;Table111[[#This Row],[MONTH]]</f>
        <v>-</v>
      </c>
    </row>
    <row r="79" spans="2:27" x14ac:dyDescent="0.3">
      <c r="B79" s="68"/>
      <c r="C79" s="68"/>
      <c r="D79" s="68"/>
      <c r="E79" s="71"/>
      <c r="F79" s="72"/>
      <c r="G79" s="72"/>
      <c r="H79" s="74"/>
      <c r="I79" s="70"/>
      <c r="J79" s="70"/>
      <c r="K79" s="70"/>
      <c r="L79" s="74"/>
      <c r="M79" s="123"/>
      <c r="N79" s="73"/>
      <c r="O79" s="236"/>
      <c r="P79" s="117"/>
      <c r="Q79" s="117"/>
      <c r="R79" s="156" t="str">
        <f>IF(Table111[[#This Row],[Qty]]="","",Table111[[#This Row],[Qty]]*Table111[[#This Row],[Unit Price]])</f>
        <v/>
      </c>
      <c r="S79" s="156" t="str">
        <f>IF(Table111[[#This Row],[Qty]]="","",Table111[[#This Row],[Qty]]*Table111[[#This Row],[Unit Price]]+Table111[[#This Row],[Delivery Cost]])</f>
        <v/>
      </c>
      <c r="T79" s="72"/>
      <c r="U79" s="72"/>
      <c r="V79" s="72"/>
      <c r="W79" s="219"/>
      <c r="X79" s="63" t="str">
        <f t="shared" si="3"/>
        <v/>
      </c>
      <c r="Y79" s="63" t="str">
        <f t="shared" si="4"/>
        <v/>
      </c>
      <c r="Z79" s="63" t="str">
        <f t="shared" si="5"/>
        <v/>
      </c>
      <c r="AA79" s="63" t="str">
        <f>TEXT(Table111[[#This Row],[YEAR]],"0000")&amp;"-"&amp;Table111[[#This Row],[MONTH]]</f>
        <v>-</v>
      </c>
    </row>
    <row r="80" spans="2:27" x14ac:dyDescent="0.3">
      <c r="B80" s="183"/>
      <c r="C80" s="183"/>
      <c r="D80" s="183"/>
      <c r="E80" s="71"/>
      <c r="F80" s="72"/>
      <c r="G80" s="72"/>
      <c r="H80" s="74"/>
      <c r="I80" s="70"/>
      <c r="J80" s="70"/>
      <c r="K80" s="70"/>
      <c r="L80" s="74"/>
      <c r="M80" s="123"/>
      <c r="N80" s="73"/>
      <c r="O80" s="236"/>
      <c r="P80" s="117"/>
      <c r="Q80" s="117"/>
      <c r="R80" s="156" t="str">
        <f>IF(Table111[[#This Row],[Qty]]="","",Table111[[#This Row],[Qty]]*Table111[[#This Row],[Unit Price]])</f>
        <v/>
      </c>
      <c r="S80" s="156" t="str">
        <f>IF(Table111[[#This Row],[Qty]]="","",Table111[[#This Row],[Qty]]*Table111[[#This Row],[Unit Price]]+Table111[[#This Row],[Delivery Cost]])</f>
        <v/>
      </c>
      <c r="T80" s="72"/>
      <c r="U80" s="72"/>
      <c r="V80" s="72"/>
      <c r="W80" s="65"/>
      <c r="X80" s="63" t="str">
        <f t="shared" si="3"/>
        <v/>
      </c>
      <c r="Y80" s="63" t="str">
        <f t="shared" si="4"/>
        <v/>
      </c>
      <c r="Z80" s="63" t="str">
        <f t="shared" si="5"/>
        <v/>
      </c>
      <c r="AA80" s="63" t="str">
        <f>TEXT(Table111[[#This Row],[YEAR]],"0000")&amp;"-"&amp;Table111[[#This Row],[MONTH]]</f>
        <v>-</v>
      </c>
    </row>
    <row r="81" spans="2:27" x14ac:dyDescent="0.3">
      <c r="B81" s="68"/>
      <c r="C81" s="68"/>
      <c r="D81" s="68"/>
      <c r="E81" s="71"/>
      <c r="F81" s="72"/>
      <c r="G81" s="72"/>
      <c r="H81" s="74"/>
      <c r="I81" s="70"/>
      <c r="J81" s="70"/>
      <c r="K81" s="70"/>
      <c r="L81" s="74"/>
      <c r="M81" s="123"/>
      <c r="N81" s="73"/>
      <c r="O81" s="236"/>
      <c r="P81" s="117"/>
      <c r="Q81" s="117"/>
      <c r="R81" s="156" t="str">
        <f>IF(Table111[[#This Row],[Qty]]="","",Table111[[#This Row],[Qty]]*Table111[[#This Row],[Unit Price]])</f>
        <v/>
      </c>
      <c r="S81" s="156" t="str">
        <f>IF(Table111[[#This Row],[Qty]]="","",Table111[[#This Row],[Qty]]*Table111[[#This Row],[Unit Price]]+Table111[[#This Row],[Delivery Cost]])</f>
        <v/>
      </c>
      <c r="T81" s="72"/>
      <c r="U81" s="72"/>
      <c r="V81" s="72"/>
      <c r="W81" s="219"/>
      <c r="X81" s="63" t="str">
        <f t="shared" si="3"/>
        <v/>
      </c>
      <c r="Y81" s="63" t="str">
        <f t="shared" si="4"/>
        <v/>
      </c>
      <c r="Z81" s="63" t="str">
        <f t="shared" si="5"/>
        <v/>
      </c>
      <c r="AA81" s="63" t="str">
        <f>TEXT(Table111[[#This Row],[YEAR]],"0000")&amp;"-"&amp;Table111[[#This Row],[MONTH]]</f>
        <v>-</v>
      </c>
    </row>
    <row r="82" spans="2:27" x14ac:dyDescent="0.3">
      <c r="B82" s="183"/>
      <c r="C82" s="183"/>
      <c r="D82" s="183"/>
      <c r="E82" s="71"/>
      <c r="F82" s="72"/>
      <c r="G82" s="72"/>
      <c r="H82" s="74"/>
      <c r="I82" s="70"/>
      <c r="J82" s="70"/>
      <c r="K82" s="70"/>
      <c r="L82" s="74"/>
      <c r="M82" s="123"/>
      <c r="N82" s="73"/>
      <c r="O82" s="236"/>
      <c r="P82" s="117"/>
      <c r="Q82" s="117"/>
      <c r="R82" s="156" t="str">
        <f>IF(Table111[[#This Row],[Qty]]="","",Table111[[#This Row],[Qty]]*Table111[[#This Row],[Unit Price]])</f>
        <v/>
      </c>
      <c r="S82" s="156" t="str">
        <f>IF(Table111[[#This Row],[Qty]]="","",Table111[[#This Row],[Qty]]*Table111[[#This Row],[Unit Price]]+Table111[[#This Row],[Delivery Cost]])</f>
        <v/>
      </c>
      <c r="T82" s="72"/>
      <c r="U82" s="72"/>
      <c r="V82" s="72"/>
      <c r="W82" s="65"/>
      <c r="X82" s="63" t="str">
        <f t="shared" si="3"/>
        <v/>
      </c>
      <c r="Y82" s="63" t="str">
        <f t="shared" si="4"/>
        <v/>
      </c>
      <c r="Z82" s="63" t="str">
        <f t="shared" si="5"/>
        <v/>
      </c>
      <c r="AA82" s="63" t="str">
        <f>TEXT(Table111[[#This Row],[YEAR]],"0000")&amp;"-"&amp;Table111[[#This Row],[MONTH]]</f>
        <v>-</v>
      </c>
    </row>
    <row r="83" spans="2:27" x14ac:dyDescent="0.3">
      <c r="B83" s="68"/>
      <c r="C83" s="68"/>
      <c r="D83" s="68"/>
      <c r="E83" s="71"/>
      <c r="F83" s="72"/>
      <c r="G83" s="72"/>
      <c r="H83" s="74"/>
      <c r="I83" s="70"/>
      <c r="J83" s="70"/>
      <c r="K83" s="70"/>
      <c r="L83" s="74"/>
      <c r="M83" s="123"/>
      <c r="N83" s="73"/>
      <c r="O83" s="236"/>
      <c r="P83" s="117"/>
      <c r="Q83" s="117"/>
      <c r="R83" s="156" t="str">
        <f>IF(Table111[[#This Row],[Qty]]="","",Table111[[#This Row],[Qty]]*Table111[[#This Row],[Unit Price]])</f>
        <v/>
      </c>
      <c r="S83" s="156" t="str">
        <f>IF(Table111[[#This Row],[Qty]]="","",Table111[[#This Row],[Qty]]*Table111[[#This Row],[Unit Price]]+Table111[[#This Row],[Delivery Cost]])</f>
        <v/>
      </c>
      <c r="T83" s="72"/>
      <c r="U83" s="72"/>
      <c r="V83" s="72"/>
      <c r="W83" s="219"/>
      <c r="X83" s="63" t="str">
        <f t="shared" si="3"/>
        <v/>
      </c>
      <c r="Y83" s="63" t="str">
        <f t="shared" si="4"/>
        <v/>
      </c>
      <c r="Z83" s="63" t="str">
        <f t="shared" si="5"/>
        <v/>
      </c>
      <c r="AA83" s="63" t="str">
        <f>TEXT(Table111[[#This Row],[YEAR]],"0000")&amp;"-"&amp;Table111[[#This Row],[MONTH]]</f>
        <v>-</v>
      </c>
    </row>
    <row r="84" spans="2:27" x14ac:dyDescent="0.3">
      <c r="B84" s="183"/>
      <c r="C84" s="183"/>
      <c r="D84" s="183"/>
      <c r="E84" s="71"/>
      <c r="F84" s="72"/>
      <c r="G84" s="72"/>
      <c r="H84" s="74"/>
      <c r="I84" s="70"/>
      <c r="J84" s="70"/>
      <c r="K84" s="70"/>
      <c r="L84" s="74"/>
      <c r="M84" s="123"/>
      <c r="N84" s="73"/>
      <c r="O84" s="236"/>
      <c r="P84" s="117"/>
      <c r="Q84" s="117"/>
      <c r="R84" s="156" t="str">
        <f>IF(Table111[[#This Row],[Qty]]="","",Table111[[#This Row],[Qty]]*Table111[[#This Row],[Unit Price]])</f>
        <v/>
      </c>
      <c r="S84" s="156" t="str">
        <f>IF(Table111[[#This Row],[Qty]]="","",Table111[[#This Row],[Qty]]*Table111[[#This Row],[Unit Price]]+Table111[[#This Row],[Delivery Cost]])</f>
        <v/>
      </c>
      <c r="T84" s="72"/>
      <c r="U84" s="72"/>
      <c r="V84" s="72"/>
      <c r="W84" s="65"/>
      <c r="X84" s="63" t="str">
        <f t="shared" si="3"/>
        <v/>
      </c>
      <c r="Y84" s="63" t="str">
        <f t="shared" si="4"/>
        <v/>
      </c>
      <c r="Z84" s="63" t="str">
        <f t="shared" si="5"/>
        <v/>
      </c>
      <c r="AA84" s="63" t="str">
        <f>TEXT(Table111[[#This Row],[YEAR]],"0000")&amp;"-"&amp;Table111[[#This Row],[MONTH]]</f>
        <v>-</v>
      </c>
    </row>
    <row r="85" spans="2:27" x14ac:dyDescent="0.3">
      <c r="B85" s="68"/>
      <c r="C85" s="68"/>
      <c r="D85" s="68"/>
      <c r="E85" s="71"/>
      <c r="F85" s="72"/>
      <c r="G85" s="72"/>
      <c r="H85" s="74"/>
      <c r="I85" s="70"/>
      <c r="J85" s="70"/>
      <c r="K85" s="70"/>
      <c r="L85" s="74"/>
      <c r="M85" s="123"/>
      <c r="N85" s="73"/>
      <c r="O85" s="236"/>
      <c r="P85" s="117"/>
      <c r="Q85" s="117"/>
      <c r="R85" s="156" t="str">
        <f>IF(Table111[[#This Row],[Qty]]="","",Table111[[#This Row],[Qty]]*Table111[[#This Row],[Unit Price]])</f>
        <v/>
      </c>
      <c r="S85" s="156" t="str">
        <f>IF(Table111[[#This Row],[Qty]]="","",Table111[[#This Row],[Qty]]*Table111[[#This Row],[Unit Price]]+Table111[[#This Row],[Delivery Cost]])</f>
        <v/>
      </c>
      <c r="T85" s="72"/>
      <c r="U85" s="72"/>
      <c r="V85" s="72"/>
      <c r="W85" s="219"/>
      <c r="X85" s="63" t="str">
        <f t="shared" si="3"/>
        <v/>
      </c>
      <c r="Y85" s="63" t="str">
        <f t="shared" si="4"/>
        <v/>
      </c>
      <c r="Z85" s="63" t="str">
        <f t="shared" si="5"/>
        <v/>
      </c>
      <c r="AA85" s="63" t="str">
        <f>TEXT(Table111[[#This Row],[YEAR]],"0000")&amp;"-"&amp;Table111[[#This Row],[MONTH]]</f>
        <v>-</v>
      </c>
    </row>
    <row r="86" spans="2:27" x14ac:dyDescent="0.3">
      <c r="B86" s="183"/>
      <c r="C86" s="183"/>
      <c r="D86" s="183"/>
      <c r="E86" s="71"/>
      <c r="F86" s="72"/>
      <c r="G86" s="72"/>
      <c r="H86" s="74"/>
      <c r="I86" s="70"/>
      <c r="J86" s="70"/>
      <c r="K86" s="70"/>
      <c r="L86" s="74"/>
      <c r="M86" s="123"/>
      <c r="N86" s="73"/>
      <c r="O86" s="236"/>
      <c r="P86" s="117"/>
      <c r="Q86" s="117"/>
      <c r="R86" s="156" t="str">
        <f>IF(Table111[[#This Row],[Qty]]="","",Table111[[#This Row],[Qty]]*Table111[[#This Row],[Unit Price]])</f>
        <v/>
      </c>
      <c r="S86" s="156" t="str">
        <f>IF(Table111[[#This Row],[Qty]]="","",Table111[[#This Row],[Qty]]*Table111[[#This Row],[Unit Price]]+Table111[[#This Row],[Delivery Cost]])</f>
        <v/>
      </c>
      <c r="T86" s="72"/>
      <c r="U86" s="72"/>
      <c r="V86" s="72"/>
      <c r="W86" s="65"/>
      <c r="X86" s="63" t="str">
        <f t="shared" si="3"/>
        <v/>
      </c>
      <c r="Y86" s="63" t="str">
        <f t="shared" si="4"/>
        <v/>
      </c>
      <c r="Z86" s="63" t="str">
        <f t="shared" si="5"/>
        <v/>
      </c>
      <c r="AA86" s="63" t="str">
        <f>TEXT(Table111[[#This Row],[YEAR]],"0000")&amp;"-"&amp;Table111[[#This Row],[MONTH]]</f>
        <v>-</v>
      </c>
    </row>
    <row r="87" spans="2:27" x14ac:dyDescent="0.3">
      <c r="B87" s="68"/>
      <c r="C87" s="68"/>
      <c r="D87" s="68"/>
      <c r="E87" s="71"/>
      <c r="F87" s="72"/>
      <c r="G87" s="72"/>
      <c r="H87" s="74"/>
      <c r="I87" s="70"/>
      <c r="J87" s="70"/>
      <c r="K87" s="70"/>
      <c r="L87" s="74"/>
      <c r="M87" s="123"/>
      <c r="N87" s="73"/>
      <c r="O87" s="236"/>
      <c r="P87" s="117"/>
      <c r="Q87" s="117"/>
      <c r="R87" s="156" t="str">
        <f>IF(Table111[[#This Row],[Qty]]="","",Table111[[#This Row],[Qty]]*Table111[[#This Row],[Unit Price]])</f>
        <v/>
      </c>
      <c r="S87" s="156" t="str">
        <f>IF(Table111[[#This Row],[Qty]]="","",Table111[[#This Row],[Qty]]*Table111[[#This Row],[Unit Price]]+Table111[[#This Row],[Delivery Cost]])</f>
        <v/>
      </c>
      <c r="T87" s="72"/>
      <c r="U87" s="72"/>
      <c r="V87" s="72"/>
      <c r="W87" s="219"/>
      <c r="X87" s="63" t="str">
        <f t="shared" si="3"/>
        <v/>
      </c>
      <c r="Y87" s="63" t="str">
        <f t="shared" si="4"/>
        <v/>
      </c>
      <c r="Z87" s="63" t="str">
        <f t="shared" si="5"/>
        <v/>
      </c>
      <c r="AA87" s="63" t="str">
        <f>TEXT(Table111[[#This Row],[YEAR]],"0000")&amp;"-"&amp;Table111[[#This Row],[MONTH]]</f>
        <v>-</v>
      </c>
    </row>
    <row r="88" spans="2:27" x14ac:dyDescent="0.3">
      <c r="B88" s="183"/>
      <c r="C88" s="183"/>
      <c r="D88" s="183"/>
      <c r="E88" s="71"/>
      <c r="F88" s="72"/>
      <c r="G88" s="72"/>
      <c r="H88" s="74"/>
      <c r="I88" s="70"/>
      <c r="J88" s="70"/>
      <c r="K88" s="70"/>
      <c r="L88" s="74"/>
      <c r="M88" s="123"/>
      <c r="N88" s="73"/>
      <c r="O88" s="236"/>
      <c r="P88" s="117"/>
      <c r="Q88" s="117"/>
      <c r="R88" s="156" t="str">
        <f>IF(Table111[[#This Row],[Qty]]="","",Table111[[#This Row],[Qty]]*Table111[[#This Row],[Unit Price]])</f>
        <v/>
      </c>
      <c r="S88" s="156" t="str">
        <f>IF(Table111[[#This Row],[Qty]]="","",Table111[[#This Row],[Qty]]*Table111[[#This Row],[Unit Price]]+Table111[[#This Row],[Delivery Cost]])</f>
        <v/>
      </c>
      <c r="T88" s="72"/>
      <c r="U88" s="72"/>
      <c r="V88" s="72"/>
      <c r="W88" s="65"/>
      <c r="X88" s="63" t="str">
        <f t="shared" si="3"/>
        <v/>
      </c>
      <c r="Y88" s="63" t="str">
        <f t="shared" si="4"/>
        <v/>
      </c>
      <c r="Z88" s="63" t="str">
        <f t="shared" si="5"/>
        <v/>
      </c>
      <c r="AA88" s="63" t="str">
        <f>TEXT(Table111[[#This Row],[YEAR]],"0000")&amp;"-"&amp;Table111[[#This Row],[MONTH]]</f>
        <v>-</v>
      </c>
    </row>
    <row r="89" spans="2:27" x14ac:dyDescent="0.3">
      <c r="B89" s="68"/>
      <c r="C89" s="68"/>
      <c r="D89" s="68"/>
      <c r="E89" s="71"/>
      <c r="F89" s="72"/>
      <c r="G89" s="72"/>
      <c r="H89" s="74"/>
      <c r="I89" s="70"/>
      <c r="J89" s="70"/>
      <c r="K89" s="70"/>
      <c r="L89" s="74"/>
      <c r="M89" s="123"/>
      <c r="N89" s="73"/>
      <c r="O89" s="236"/>
      <c r="P89" s="117"/>
      <c r="Q89" s="117"/>
      <c r="R89" s="156" t="str">
        <f>IF(Table111[[#This Row],[Qty]]="","",Table111[[#This Row],[Qty]]*Table111[[#This Row],[Unit Price]])</f>
        <v/>
      </c>
      <c r="S89" s="156" t="str">
        <f>IF(Table111[[#This Row],[Qty]]="","",Table111[[#This Row],[Qty]]*Table111[[#This Row],[Unit Price]]+Table111[[#This Row],[Delivery Cost]])</f>
        <v/>
      </c>
      <c r="T89" s="72"/>
      <c r="U89" s="72"/>
      <c r="V89" s="72"/>
      <c r="W89" s="219"/>
      <c r="X89" s="63" t="str">
        <f t="shared" si="3"/>
        <v/>
      </c>
      <c r="Y89" s="63" t="str">
        <f t="shared" si="4"/>
        <v/>
      </c>
      <c r="Z89" s="63" t="str">
        <f t="shared" si="5"/>
        <v/>
      </c>
      <c r="AA89" s="63" t="str">
        <f>TEXT(Table111[[#This Row],[YEAR]],"0000")&amp;"-"&amp;Table111[[#This Row],[MONTH]]</f>
        <v>-</v>
      </c>
    </row>
    <row r="90" spans="2:27" x14ac:dyDescent="0.3">
      <c r="B90" s="183"/>
      <c r="C90" s="183"/>
      <c r="D90" s="183"/>
      <c r="E90" s="71"/>
      <c r="F90" s="72"/>
      <c r="G90" s="72"/>
      <c r="H90" s="74"/>
      <c r="I90" s="70"/>
      <c r="J90" s="70"/>
      <c r="K90" s="70"/>
      <c r="L90" s="74"/>
      <c r="M90" s="123"/>
      <c r="N90" s="73"/>
      <c r="O90" s="236"/>
      <c r="P90" s="117"/>
      <c r="Q90" s="117"/>
      <c r="R90" s="156" t="str">
        <f>IF(Table111[[#This Row],[Qty]]="","",Table111[[#This Row],[Qty]]*Table111[[#This Row],[Unit Price]])</f>
        <v/>
      </c>
      <c r="S90" s="156" t="str">
        <f>IF(Table111[[#This Row],[Qty]]="","",Table111[[#This Row],[Qty]]*Table111[[#This Row],[Unit Price]]+Table111[[#This Row],[Delivery Cost]])</f>
        <v/>
      </c>
      <c r="T90" s="72"/>
      <c r="U90" s="72"/>
      <c r="V90" s="72"/>
      <c r="W90" s="65"/>
      <c r="X90" s="63" t="str">
        <f t="shared" si="3"/>
        <v/>
      </c>
      <c r="Y90" s="63" t="str">
        <f t="shared" si="4"/>
        <v/>
      </c>
      <c r="Z90" s="63" t="str">
        <f t="shared" si="5"/>
        <v/>
      </c>
      <c r="AA90" s="63" t="str">
        <f>TEXT(Table111[[#This Row],[YEAR]],"0000")&amp;"-"&amp;Table111[[#This Row],[MONTH]]</f>
        <v>-</v>
      </c>
    </row>
    <row r="91" spans="2:27" x14ac:dyDescent="0.3">
      <c r="B91" s="68"/>
      <c r="C91" s="68"/>
      <c r="D91" s="68"/>
      <c r="E91" s="71"/>
      <c r="F91" s="72"/>
      <c r="G91" s="72"/>
      <c r="H91" s="74"/>
      <c r="I91" s="70"/>
      <c r="J91" s="70"/>
      <c r="K91" s="70"/>
      <c r="L91" s="74"/>
      <c r="M91" s="123"/>
      <c r="N91" s="73"/>
      <c r="O91" s="236"/>
      <c r="P91" s="117"/>
      <c r="Q91" s="117"/>
      <c r="R91" s="156" t="str">
        <f>IF(Table111[[#This Row],[Qty]]="","",Table111[[#This Row],[Qty]]*Table111[[#This Row],[Unit Price]])</f>
        <v/>
      </c>
      <c r="S91" s="156" t="str">
        <f>IF(Table111[[#This Row],[Qty]]="","",Table111[[#This Row],[Qty]]*Table111[[#This Row],[Unit Price]]+Table111[[#This Row],[Delivery Cost]])</f>
        <v/>
      </c>
      <c r="T91" s="72"/>
      <c r="U91" s="72"/>
      <c r="V91" s="72"/>
      <c r="W91" s="219"/>
      <c r="X91" s="63" t="str">
        <f t="shared" si="3"/>
        <v/>
      </c>
      <c r="Y91" s="63" t="str">
        <f t="shared" si="4"/>
        <v/>
      </c>
      <c r="Z91" s="63" t="str">
        <f t="shared" si="5"/>
        <v/>
      </c>
      <c r="AA91" s="63" t="str">
        <f>TEXT(Table111[[#This Row],[YEAR]],"0000")&amp;"-"&amp;Table111[[#This Row],[MONTH]]</f>
        <v>-</v>
      </c>
    </row>
    <row r="92" spans="2:27" x14ac:dyDescent="0.3">
      <c r="B92" s="183"/>
      <c r="C92" s="183"/>
      <c r="D92" s="183"/>
      <c r="E92" s="71"/>
      <c r="F92" s="72"/>
      <c r="G92" s="72"/>
      <c r="H92" s="74"/>
      <c r="I92" s="70"/>
      <c r="J92" s="70"/>
      <c r="K92" s="70"/>
      <c r="L92" s="74"/>
      <c r="M92" s="123"/>
      <c r="N92" s="73"/>
      <c r="O92" s="236"/>
      <c r="P92" s="117"/>
      <c r="Q92" s="117"/>
      <c r="R92" s="156" t="str">
        <f>IF(Table111[[#This Row],[Qty]]="","",Table111[[#This Row],[Qty]]*Table111[[#This Row],[Unit Price]])</f>
        <v/>
      </c>
      <c r="S92" s="156" t="str">
        <f>IF(Table111[[#This Row],[Qty]]="","",Table111[[#This Row],[Qty]]*Table111[[#This Row],[Unit Price]]+Table111[[#This Row],[Delivery Cost]])</f>
        <v/>
      </c>
      <c r="T92" s="72"/>
      <c r="U92" s="72"/>
      <c r="V92" s="72"/>
      <c r="W92" s="65"/>
      <c r="X92" s="63" t="str">
        <f t="shared" si="3"/>
        <v/>
      </c>
      <c r="Y92" s="63" t="str">
        <f t="shared" si="4"/>
        <v/>
      </c>
      <c r="Z92" s="63" t="str">
        <f t="shared" si="5"/>
        <v/>
      </c>
      <c r="AA92" s="63" t="str">
        <f>TEXT(Table111[[#This Row],[YEAR]],"0000")&amp;"-"&amp;Table111[[#This Row],[MONTH]]</f>
        <v>-</v>
      </c>
    </row>
    <row r="93" spans="2:27" x14ac:dyDescent="0.3">
      <c r="B93" s="68"/>
      <c r="C93" s="68"/>
      <c r="D93" s="68"/>
      <c r="E93" s="71"/>
      <c r="F93" s="72"/>
      <c r="G93" s="72"/>
      <c r="H93" s="74"/>
      <c r="I93" s="70"/>
      <c r="J93" s="70"/>
      <c r="K93" s="70"/>
      <c r="L93" s="74"/>
      <c r="M93" s="123"/>
      <c r="N93" s="73"/>
      <c r="O93" s="236"/>
      <c r="P93" s="117"/>
      <c r="Q93" s="117"/>
      <c r="R93" s="156" t="str">
        <f>IF(Table111[[#This Row],[Qty]]="","",Table111[[#This Row],[Qty]]*Table111[[#This Row],[Unit Price]])</f>
        <v/>
      </c>
      <c r="S93" s="156" t="str">
        <f>IF(Table111[[#This Row],[Qty]]="","",Table111[[#This Row],[Qty]]*Table111[[#This Row],[Unit Price]]+Table111[[#This Row],[Delivery Cost]])</f>
        <v/>
      </c>
      <c r="T93" s="72"/>
      <c r="U93" s="72"/>
      <c r="V93" s="72"/>
      <c r="W93" s="219"/>
      <c r="X93" s="63" t="str">
        <f t="shared" si="3"/>
        <v/>
      </c>
      <c r="Y93" s="63" t="str">
        <f t="shared" si="4"/>
        <v/>
      </c>
      <c r="Z93" s="63" t="str">
        <f t="shared" si="5"/>
        <v/>
      </c>
      <c r="AA93" s="63" t="str">
        <f>TEXT(Table111[[#This Row],[YEAR]],"0000")&amp;"-"&amp;Table111[[#This Row],[MONTH]]</f>
        <v>-</v>
      </c>
    </row>
    <row r="94" spans="2:27" x14ac:dyDescent="0.3">
      <c r="B94" s="183"/>
      <c r="C94" s="183"/>
      <c r="D94" s="183"/>
      <c r="E94" s="71"/>
      <c r="F94" s="72"/>
      <c r="G94" s="72"/>
      <c r="H94" s="74"/>
      <c r="I94" s="70"/>
      <c r="J94" s="70"/>
      <c r="K94" s="70"/>
      <c r="L94" s="74"/>
      <c r="M94" s="123"/>
      <c r="N94" s="73"/>
      <c r="O94" s="236"/>
      <c r="P94" s="117"/>
      <c r="Q94" s="117"/>
      <c r="R94" s="156" t="str">
        <f>IF(Table111[[#This Row],[Qty]]="","",Table111[[#This Row],[Qty]]*Table111[[#This Row],[Unit Price]])</f>
        <v/>
      </c>
      <c r="S94" s="156" t="str">
        <f>IF(Table111[[#This Row],[Qty]]="","",Table111[[#This Row],[Qty]]*Table111[[#This Row],[Unit Price]]+Table111[[#This Row],[Delivery Cost]])</f>
        <v/>
      </c>
      <c r="T94" s="72"/>
      <c r="U94" s="72"/>
      <c r="V94" s="72"/>
      <c r="W94" s="65"/>
      <c r="X94" s="63" t="str">
        <f t="shared" si="3"/>
        <v/>
      </c>
      <c r="Y94" s="63" t="str">
        <f t="shared" si="4"/>
        <v/>
      </c>
      <c r="Z94" s="63" t="str">
        <f t="shared" si="5"/>
        <v/>
      </c>
      <c r="AA94" s="63" t="str">
        <f>TEXT(Table111[[#This Row],[YEAR]],"0000")&amp;"-"&amp;Table111[[#This Row],[MONTH]]</f>
        <v>-</v>
      </c>
    </row>
    <row r="95" spans="2:27" x14ac:dyDescent="0.3">
      <c r="B95" s="68"/>
      <c r="C95" s="68"/>
      <c r="D95" s="68"/>
      <c r="E95" s="71"/>
      <c r="F95" s="72"/>
      <c r="G95" s="72"/>
      <c r="H95" s="74"/>
      <c r="I95" s="70"/>
      <c r="J95" s="70"/>
      <c r="K95" s="70"/>
      <c r="L95" s="74"/>
      <c r="M95" s="123"/>
      <c r="N95" s="73"/>
      <c r="O95" s="236"/>
      <c r="P95" s="117"/>
      <c r="Q95" s="117"/>
      <c r="R95" s="156" t="str">
        <f>IF(Table111[[#This Row],[Qty]]="","",Table111[[#This Row],[Qty]]*Table111[[#This Row],[Unit Price]])</f>
        <v/>
      </c>
      <c r="S95" s="156" t="str">
        <f>IF(Table111[[#This Row],[Qty]]="","",Table111[[#This Row],[Qty]]*Table111[[#This Row],[Unit Price]]+Table111[[#This Row],[Delivery Cost]])</f>
        <v/>
      </c>
      <c r="T95" s="72"/>
      <c r="U95" s="72"/>
      <c r="V95" s="72"/>
      <c r="W95" s="219"/>
      <c r="X95" s="63" t="str">
        <f t="shared" si="3"/>
        <v/>
      </c>
      <c r="Y95" s="63" t="str">
        <f t="shared" si="4"/>
        <v/>
      </c>
      <c r="Z95" s="63" t="str">
        <f t="shared" si="5"/>
        <v/>
      </c>
      <c r="AA95" s="63" t="str">
        <f>TEXT(Table111[[#This Row],[YEAR]],"0000")&amp;"-"&amp;Table111[[#This Row],[MONTH]]</f>
        <v>-</v>
      </c>
    </row>
    <row r="96" spans="2:27" x14ac:dyDescent="0.3">
      <c r="B96" s="183"/>
      <c r="C96" s="183"/>
      <c r="D96" s="183"/>
      <c r="E96" s="71"/>
      <c r="F96" s="72"/>
      <c r="G96" s="72"/>
      <c r="H96" s="74"/>
      <c r="I96" s="70"/>
      <c r="J96" s="70"/>
      <c r="K96" s="70"/>
      <c r="L96" s="74"/>
      <c r="M96" s="123"/>
      <c r="N96" s="73"/>
      <c r="O96" s="236"/>
      <c r="P96" s="117"/>
      <c r="Q96" s="117"/>
      <c r="R96" s="156" t="str">
        <f>IF(Table111[[#This Row],[Qty]]="","",Table111[[#This Row],[Qty]]*Table111[[#This Row],[Unit Price]])</f>
        <v/>
      </c>
      <c r="S96" s="156" t="str">
        <f>IF(Table111[[#This Row],[Qty]]="","",Table111[[#This Row],[Qty]]*Table111[[#This Row],[Unit Price]]+Table111[[#This Row],[Delivery Cost]])</f>
        <v/>
      </c>
      <c r="T96" s="72"/>
      <c r="U96" s="72"/>
      <c r="V96" s="72"/>
      <c r="W96" s="65"/>
      <c r="X96" s="63" t="str">
        <f t="shared" si="3"/>
        <v/>
      </c>
      <c r="Y96" s="63" t="str">
        <f t="shared" si="4"/>
        <v/>
      </c>
      <c r="Z96" s="63" t="str">
        <f t="shared" si="5"/>
        <v/>
      </c>
      <c r="AA96" s="63" t="str">
        <f>TEXT(Table111[[#This Row],[YEAR]],"0000")&amp;"-"&amp;Table111[[#This Row],[MONTH]]</f>
        <v>-</v>
      </c>
    </row>
    <row r="97" spans="2:27" x14ac:dyDescent="0.3">
      <c r="B97" s="68"/>
      <c r="C97" s="68"/>
      <c r="D97" s="68"/>
      <c r="E97" s="71"/>
      <c r="F97" s="72"/>
      <c r="G97" s="72"/>
      <c r="H97" s="74"/>
      <c r="I97" s="70"/>
      <c r="J97" s="70"/>
      <c r="K97" s="70"/>
      <c r="L97" s="74"/>
      <c r="M97" s="123"/>
      <c r="N97" s="73"/>
      <c r="O97" s="236"/>
      <c r="P97" s="117"/>
      <c r="Q97" s="117"/>
      <c r="R97" s="156" t="str">
        <f>IF(Table111[[#This Row],[Qty]]="","",Table111[[#This Row],[Qty]]*Table111[[#This Row],[Unit Price]])</f>
        <v/>
      </c>
      <c r="S97" s="156" t="str">
        <f>IF(Table111[[#This Row],[Qty]]="","",Table111[[#This Row],[Qty]]*Table111[[#This Row],[Unit Price]]+Table111[[#This Row],[Delivery Cost]])</f>
        <v/>
      </c>
      <c r="T97" s="72"/>
      <c r="U97" s="72"/>
      <c r="V97" s="72"/>
      <c r="W97" s="219"/>
      <c r="X97" s="63" t="str">
        <f t="shared" si="3"/>
        <v/>
      </c>
      <c r="Y97" s="63" t="str">
        <f t="shared" si="4"/>
        <v/>
      </c>
      <c r="Z97" s="63" t="str">
        <f t="shared" si="5"/>
        <v/>
      </c>
      <c r="AA97" s="63" t="str">
        <f>TEXT(Table111[[#This Row],[YEAR]],"0000")&amp;"-"&amp;Table111[[#This Row],[MONTH]]</f>
        <v>-</v>
      </c>
    </row>
    <row r="98" spans="2:27" x14ac:dyDescent="0.3">
      <c r="B98" s="183"/>
      <c r="C98" s="183"/>
      <c r="D98" s="183"/>
      <c r="E98" s="71"/>
      <c r="F98" s="72"/>
      <c r="G98" s="72"/>
      <c r="H98" s="74"/>
      <c r="I98" s="70"/>
      <c r="J98" s="70"/>
      <c r="K98" s="70"/>
      <c r="L98" s="74"/>
      <c r="M98" s="123"/>
      <c r="N98" s="73"/>
      <c r="O98" s="236"/>
      <c r="P98" s="117"/>
      <c r="Q98" s="117"/>
      <c r="R98" s="156" t="str">
        <f>IF(Table111[[#This Row],[Qty]]="","",Table111[[#This Row],[Qty]]*Table111[[#This Row],[Unit Price]])</f>
        <v/>
      </c>
      <c r="S98" s="156" t="str">
        <f>IF(Table111[[#This Row],[Qty]]="","",Table111[[#This Row],[Qty]]*Table111[[#This Row],[Unit Price]]+Table111[[#This Row],[Delivery Cost]])</f>
        <v/>
      </c>
      <c r="T98" s="72"/>
      <c r="U98" s="72"/>
      <c r="V98" s="72"/>
      <c r="W98" s="65"/>
      <c r="X98" s="63" t="str">
        <f t="shared" si="3"/>
        <v/>
      </c>
      <c r="Y98" s="63" t="str">
        <f t="shared" si="4"/>
        <v/>
      </c>
      <c r="Z98" s="63" t="str">
        <f t="shared" si="5"/>
        <v/>
      </c>
      <c r="AA98" s="63" t="str">
        <f>TEXT(Table111[[#This Row],[YEAR]],"0000")&amp;"-"&amp;Table111[[#This Row],[MONTH]]</f>
        <v>-</v>
      </c>
    </row>
    <row r="99" spans="2:27" x14ac:dyDescent="0.3">
      <c r="B99" s="68"/>
      <c r="C99" s="68"/>
      <c r="D99" s="68"/>
      <c r="E99" s="71"/>
      <c r="F99" s="72"/>
      <c r="G99" s="72"/>
      <c r="H99" s="74"/>
      <c r="I99" s="70"/>
      <c r="J99" s="70"/>
      <c r="K99" s="70"/>
      <c r="L99" s="74"/>
      <c r="M99" s="123"/>
      <c r="N99" s="73"/>
      <c r="O99" s="236"/>
      <c r="P99" s="117"/>
      <c r="Q99" s="117"/>
      <c r="R99" s="156" t="str">
        <f>IF(Table111[[#This Row],[Qty]]="","",Table111[[#This Row],[Qty]]*Table111[[#This Row],[Unit Price]])</f>
        <v/>
      </c>
      <c r="S99" s="156" t="str">
        <f>IF(Table111[[#This Row],[Qty]]="","",Table111[[#This Row],[Qty]]*Table111[[#This Row],[Unit Price]]+Table111[[#This Row],[Delivery Cost]])</f>
        <v/>
      </c>
      <c r="T99" s="72"/>
      <c r="U99" s="72"/>
      <c r="V99" s="72"/>
      <c r="W99" s="219"/>
      <c r="X99" s="63" t="str">
        <f t="shared" si="3"/>
        <v/>
      </c>
      <c r="Y99" s="63" t="str">
        <f t="shared" si="4"/>
        <v/>
      </c>
      <c r="Z99" s="63" t="str">
        <f t="shared" si="5"/>
        <v/>
      </c>
      <c r="AA99" s="63" t="str">
        <f>TEXT(Table111[[#This Row],[YEAR]],"0000")&amp;"-"&amp;Table111[[#This Row],[MONTH]]</f>
        <v>-</v>
      </c>
    </row>
    <row r="100" spans="2:27" x14ac:dyDescent="0.3">
      <c r="B100" s="183"/>
      <c r="C100" s="183"/>
      <c r="D100" s="183"/>
      <c r="E100" s="71"/>
      <c r="F100" s="72"/>
      <c r="G100" s="72"/>
      <c r="H100" s="74"/>
      <c r="I100" s="70"/>
      <c r="J100" s="70"/>
      <c r="K100" s="70"/>
      <c r="L100" s="74"/>
      <c r="M100" s="123"/>
      <c r="N100" s="73"/>
      <c r="O100" s="236"/>
      <c r="P100" s="117"/>
      <c r="Q100" s="117"/>
      <c r="R100" s="156" t="str">
        <f>IF(Table111[[#This Row],[Qty]]="","",Table111[[#This Row],[Qty]]*Table111[[#This Row],[Unit Price]])</f>
        <v/>
      </c>
      <c r="S100" s="156" t="str">
        <f>IF(Table111[[#This Row],[Qty]]="","",Table111[[#This Row],[Qty]]*Table111[[#This Row],[Unit Price]]+Table111[[#This Row],[Delivery Cost]])</f>
        <v/>
      </c>
      <c r="T100" s="72"/>
      <c r="U100" s="72"/>
      <c r="V100" s="72"/>
      <c r="W100" s="65"/>
      <c r="X100" s="63" t="str">
        <f t="shared" si="3"/>
        <v/>
      </c>
      <c r="Y100" s="63" t="str">
        <f t="shared" si="4"/>
        <v/>
      </c>
      <c r="Z100" s="63" t="str">
        <f t="shared" si="5"/>
        <v/>
      </c>
      <c r="AA100" s="63" t="str">
        <f>TEXT(Table111[[#This Row],[YEAR]],"0000")&amp;"-"&amp;Table111[[#This Row],[MONTH]]</f>
        <v>-</v>
      </c>
    </row>
    <row r="101" spans="2:27" x14ac:dyDescent="0.3">
      <c r="B101" s="68"/>
      <c r="C101" s="68"/>
      <c r="D101" s="68"/>
      <c r="E101" s="71"/>
      <c r="F101" s="72"/>
      <c r="G101" s="72"/>
      <c r="H101" s="74"/>
      <c r="I101" s="70"/>
      <c r="J101" s="70"/>
      <c r="K101" s="70"/>
      <c r="L101" s="74"/>
      <c r="M101" s="123"/>
      <c r="N101" s="73"/>
      <c r="O101" s="236"/>
      <c r="P101" s="117"/>
      <c r="Q101" s="117"/>
      <c r="R101" s="156" t="str">
        <f>IF(Table111[[#This Row],[Qty]]="","",Table111[[#This Row],[Qty]]*Table111[[#This Row],[Unit Price]])</f>
        <v/>
      </c>
      <c r="S101" s="156" t="str">
        <f>IF(Table111[[#This Row],[Qty]]="","",Table111[[#This Row],[Qty]]*Table111[[#This Row],[Unit Price]]+Table111[[#This Row],[Delivery Cost]])</f>
        <v/>
      </c>
      <c r="T101" s="72"/>
      <c r="U101" s="72"/>
      <c r="V101" s="72"/>
      <c r="W101" s="219"/>
      <c r="X101" s="63" t="str">
        <f t="shared" si="3"/>
        <v/>
      </c>
      <c r="Y101" s="63" t="str">
        <f t="shared" si="4"/>
        <v/>
      </c>
      <c r="Z101" s="63" t="str">
        <f t="shared" si="5"/>
        <v/>
      </c>
      <c r="AA101" s="63" t="str">
        <f>TEXT(Table111[[#This Row],[YEAR]],"0000")&amp;"-"&amp;Table111[[#This Row],[MONTH]]</f>
        <v>-</v>
      </c>
    </row>
    <row r="102" spans="2:27" x14ac:dyDescent="0.3">
      <c r="B102" s="183"/>
      <c r="C102" s="183"/>
      <c r="D102" s="183"/>
      <c r="E102" s="71"/>
      <c r="F102" s="72"/>
      <c r="G102" s="72"/>
      <c r="H102" s="74"/>
      <c r="I102" s="70"/>
      <c r="J102" s="70"/>
      <c r="K102" s="70"/>
      <c r="L102" s="74"/>
      <c r="M102" s="123"/>
      <c r="N102" s="73"/>
      <c r="O102" s="236"/>
      <c r="P102" s="117"/>
      <c r="Q102" s="117"/>
      <c r="R102" s="156" t="str">
        <f>IF(Table111[[#This Row],[Qty]]="","",Table111[[#This Row],[Qty]]*Table111[[#This Row],[Unit Price]])</f>
        <v/>
      </c>
      <c r="S102" s="156" t="str">
        <f>IF(Table111[[#This Row],[Qty]]="","",Table111[[#This Row],[Qty]]*Table111[[#This Row],[Unit Price]]+Table111[[#This Row],[Delivery Cost]])</f>
        <v/>
      </c>
      <c r="T102" s="72"/>
      <c r="U102" s="72"/>
      <c r="V102" s="72"/>
      <c r="W102" s="65"/>
      <c r="X102" s="63" t="str">
        <f t="shared" si="3"/>
        <v/>
      </c>
      <c r="Y102" s="63" t="str">
        <f t="shared" si="4"/>
        <v/>
      </c>
      <c r="Z102" s="63" t="str">
        <f t="shared" si="5"/>
        <v/>
      </c>
      <c r="AA102" s="63" t="str">
        <f>TEXT(Table111[[#This Row],[YEAR]],"0000")&amp;"-"&amp;Table111[[#This Row],[MONTH]]</f>
        <v>-</v>
      </c>
    </row>
    <row r="103" spans="2:27" x14ac:dyDescent="0.3">
      <c r="B103" s="68"/>
      <c r="C103" s="68"/>
      <c r="D103" s="68"/>
      <c r="E103" s="71"/>
      <c r="F103" s="72"/>
      <c r="G103" s="72"/>
      <c r="H103" s="74"/>
      <c r="I103" s="70"/>
      <c r="J103" s="70"/>
      <c r="K103" s="70"/>
      <c r="L103" s="74"/>
      <c r="M103" s="123"/>
      <c r="N103" s="73"/>
      <c r="O103" s="236"/>
      <c r="P103" s="117"/>
      <c r="Q103" s="117"/>
      <c r="R103" s="156" t="str">
        <f>IF(Table111[[#This Row],[Qty]]="","",Table111[[#This Row],[Qty]]*Table111[[#This Row],[Unit Price]])</f>
        <v/>
      </c>
      <c r="S103" s="156" t="str">
        <f>IF(Table111[[#This Row],[Qty]]="","",Table111[[#This Row],[Qty]]*Table111[[#This Row],[Unit Price]]+Table111[[#This Row],[Delivery Cost]])</f>
        <v/>
      </c>
      <c r="T103" s="72"/>
      <c r="U103" s="72"/>
      <c r="V103" s="72"/>
      <c r="W103" s="219"/>
      <c r="X103" s="63" t="str">
        <f t="shared" si="3"/>
        <v/>
      </c>
      <c r="Y103" s="63" t="str">
        <f t="shared" si="4"/>
        <v/>
      </c>
      <c r="Z103" s="63" t="str">
        <f t="shared" si="5"/>
        <v/>
      </c>
      <c r="AA103" s="63" t="str">
        <f>TEXT(Table111[[#This Row],[YEAR]],"0000")&amp;"-"&amp;Table111[[#This Row],[MONTH]]</f>
        <v>-</v>
      </c>
    </row>
    <row r="104" spans="2:27" x14ac:dyDescent="0.3">
      <c r="B104" s="183"/>
      <c r="C104" s="183"/>
      <c r="D104" s="183"/>
      <c r="E104" s="71"/>
      <c r="F104" s="72"/>
      <c r="G104" s="72"/>
      <c r="H104" s="74"/>
      <c r="I104" s="70"/>
      <c r="J104" s="70"/>
      <c r="K104" s="70"/>
      <c r="L104" s="74"/>
      <c r="M104" s="123"/>
      <c r="N104" s="73"/>
      <c r="O104" s="236"/>
      <c r="P104" s="117"/>
      <c r="Q104" s="117"/>
      <c r="R104" s="156" t="str">
        <f>IF(Table111[[#This Row],[Qty]]="","",Table111[[#This Row],[Qty]]*Table111[[#This Row],[Unit Price]])</f>
        <v/>
      </c>
      <c r="S104" s="156" t="str">
        <f>IF(Table111[[#This Row],[Qty]]="","",Table111[[#This Row],[Qty]]*Table111[[#This Row],[Unit Price]]+Table111[[#This Row],[Delivery Cost]])</f>
        <v/>
      </c>
      <c r="T104" s="72"/>
      <c r="U104" s="72"/>
      <c r="V104" s="72"/>
      <c r="W104" s="65"/>
      <c r="X104" s="63" t="str">
        <f t="shared" si="3"/>
        <v/>
      </c>
      <c r="Y104" s="63" t="str">
        <f t="shared" si="4"/>
        <v/>
      </c>
      <c r="Z104" s="63" t="str">
        <f t="shared" si="5"/>
        <v/>
      </c>
      <c r="AA104" s="63" t="str">
        <f>TEXT(Table111[[#This Row],[YEAR]],"0000")&amp;"-"&amp;Table111[[#This Row],[MONTH]]</f>
        <v>-</v>
      </c>
    </row>
    <row r="105" spans="2:27" x14ac:dyDescent="0.3">
      <c r="B105" s="68"/>
      <c r="C105" s="68"/>
      <c r="D105" s="68"/>
      <c r="E105" s="71"/>
      <c r="F105" s="72"/>
      <c r="G105" s="72"/>
      <c r="H105" s="74"/>
      <c r="I105" s="70"/>
      <c r="J105" s="70"/>
      <c r="K105" s="70"/>
      <c r="L105" s="74"/>
      <c r="M105" s="123"/>
      <c r="N105" s="73"/>
      <c r="O105" s="236"/>
      <c r="P105" s="117"/>
      <c r="Q105" s="117"/>
      <c r="R105" s="156" t="str">
        <f>IF(Table111[[#This Row],[Qty]]="","",Table111[[#This Row],[Qty]]*Table111[[#This Row],[Unit Price]])</f>
        <v/>
      </c>
      <c r="S105" s="156" t="str">
        <f>IF(Table111[[#This Row],[Qty]]="","",Table111[[#This Row],[Qty]]*Table111[[#This Row],[Unit Price]]+Table111[[#This Row],[Delivery Cost]])</f>
        <v/>
      </c>
      <c r="T105" s="72"/>
      <c r="U105" s="72"/>
      <c r="V105" s="72"/>
      <c r="W105" s="219"/>
      <c r="X105" s="63" t="str">
        <f t="shared" si="3"/>
        <v/>
      </c>
      <c r="Y105" s="63" t="str">
        <f t="shared" si="4"/>
        <v/>
      </c>
      <c r="Z105" s="63" t="str">
        <f t="shared" si="5"/>
        <v/>
      </c>
      <c r="AA105" s="63" t="str">
        <f>TEXT(Table111[[#This Row],[YEAR]],"0000")&amp;"-"&amp;Table111[[#This Row],[MONTH]]</f>
        <v>-</v>
      </c>
    </row>
    <row r="106" spans="2:27" x14ac:dyDescent="0.3">
      <c r="B106" s="183"/>
      <c r="C106" s="183"/>
      <c r="D106" s="183"/>
      <c r="E106" s="71"/>
      <c r="F106" s="72"/>
      <c r="G106" s="72"/>
      <c r="H106" s="74"/>
      <c r="I106" s="70"/>
      <c r="J106" s="70"/>
      <c r="K106" s="70"/>
      <c r="L106" s="74"/>
      <c r="M106" s="123"/>
      <c r="N106" s="73"/>
      <c r="O106" s="236"/>
      <c r="P106" s="117"/>
      <c r="Q106" s="117"/>
      <c r="R106" s="156" t="str">
        <f>IF(Table111[[#This Row],[Qty]]="","",Table111[[#This Row],[Qty]]*Table111[[#This Row],[Unit Price]])</f>
        <v/>
      </c>
      <c r="S106" s="156" t="str">
        <f>IF(Table111[[#This Row],[Qty]]="","",Table111[[#This Row],[Qty]]*Table111[[#This Row],[Unit Price]]+Table111[[#This Row],[Delivery Cost]])</f>
        <v/>
      </c>
      <c r="T106" s="72"/>
      <c r="U106" s="72"/>
      <c r="V106" s="72"/>
      <c r="W106" s="65"/>
      <c r="X106" s="63" t="str">
        <f t="shared" si="3"/>
        <v/>
      </c>
      <c r="Y106" s="63" t="str">
        <f t="shared" si="4"/>
        <v/>
      </c>
      <c r="Z106" s="63" t="str">
        <f t="shared" si="5"/>
        <v/>
      </c>
      <c r="AA106" s="63" t="str">
        <f>TEXT(Table111[[#This Row],[YEAR]],"0000")&amp;"-"&amp;Table111[[#This Row],[MONTH]]</f>
        <v>-</v>
      </c>
    </row>
    <row r="107" spans="2:27" x14ac:dyDescent="0.3">
      <c r="B107" s="183"/>
      <c r="C107" s="183"/>
      <c r="D107" s="183"/>
      <c r="E107" s="71"/>
      <c r="F107" s="72"/>
      <c r="G107" s="72"/>
      <c r="H107" s="74"/>
      <c r="I107" s="70"/>
      <c r="J107" s="70"/>
      <c r="K107" s="70"/>
      <c r="L107" s="74"/>
      <c r="M107" s="123"/>
      <c r="N107" s="73"/>
      <c r="O107" s="236"/>
      <c r="P107" s="117"/>
      <c r="Q107" s="117"/>
      <c r="R107" s="156" t="str">
        <f>IF(Table111[[#This Row],[Qty]]="","",Table111[[#This Row],[Qty]]*Table111[[#This Row],[Unit Price]])</f>
        <v/>
      </c>
      <c r="S107" s="156" t="str">
        <f>IF(Table111[[#This Row],[Qty]]="","",Table111[[#This Row],[Qty]]*Table111[[#This Row],[Unit Price]]+Table111[[#This Row],[Delivery Cost]])</f>
        <v/>
      </c>
      <c r="T107" s="72"/>
      <c r="U107" s="65"/>
      <c r="V107" s="72"/>
      <c r="W107" s="16"/>
      <c r="X107" s="63" t="str">
        <f t="shared" si="3"/>
        <v/>
      </c>
      <c r="Y107" s="63" t="str">
        <f t="shared" si="4"/>
        <v/>
      </c>
      <c r="Z107" s="63" t="str">
        <f t="shared" si="5"/>
        <v/>
      </c>
      <c r="AA107" s="63" t="str">
        <f>TEXT(Table111[[#This Row],[YEAR]],"0000")&amp;"-"&amp;Table111[[#This Row],[MONTH]]</f>
        <v>-</v>
      </c>
    </row>
    <row r="108" spans="2:27" x14ac:dyDescent="0.3">
      <c r="B108" s="68"/>
      <c r="C108" s="68"/>
      <c r="D108" s="68"/>
      <c r="E108" s="71"/>
      <c r="F108" s="72"/>
      <c r="G108" s="72"/>
      <c r="H108" s="74"/>
      <c r="I108" s="70"/>
      <c r="J108" s="70"/>
      <c r="K108" s="70"/>
      <c r="L108" s="74"/>
      <c r="M108" s="123"/>
      <c r="N108" s="73"/>
      <c r="O108" s="236"/>
      <c r="P108" s="117"/>
      <c r="Q108" s="117"/>
      <c r="R108" s="156" t="str">
        <f>IF(Table111[[#This Row],[Qty]]="","",Table111[[#This Row],[Qty]]*Table111[[#This Row],[Unit Price]])</f>
        <v/>
      </c>
      <c r="S108" s="156" t="str">
        <f>IF(Table111[[#This Row],[Qty]]="","",Table111[[#This Row],[Qty]]*Table111[[#This Row],[Unit Price]]+Table111[[#This Row],[Delivery Cost]])</f>
        <v/>
      </c>
      <c r="T108" s="72"/>
      <c r="U108" s="65"/>
      <c r="V108" s="72"/>
      <c r="W108" s="220"/>
      <c r="X108" s="63" t="str">
        <f t="shared" si="3"/>
        <v/>
      </c>
      <c r="Y108" s="63" t="str">
        <f t="shared" si="4"/>
        <v/>
      </c>
      <c r="Z108" s="63" t="str">
        <f t="shared" si="5"/>
        <v/>
      </c>
      <c r="AA108" s="63" t="str">
        <f>TEXT(Table111[[#This Row],[YEAR]],"0000")&amp;"-"&amp;Table111[[#This Row],[MONTH]]</f>
        <v>-</v>
      </c>
    </row>
    <row r="109" spans="2:27" x14ac:dyDescent="0.3">
      <c r="B109" s="183"/>
      <c r="C109" s="183"/>
      <c r="D109" s="183"/>
      <c r="E109" s="71"/>
      <c r="F109" s="72"/>
      <c r="G109" s="72"/>
      <c r="H109" s="74"/>
      <c r="I109" s="70"/>
      <c r="J109" s="70"/>
      <c r="K109" s="70"/>
      <c r="L109" s="74"/>
      <c r="M109" s="123"/>
      <c r="N109" s="73"/>
      <c r="O109" s="236"/>
      <c r="P109" s="117"/>
      <c r="Q109" s="117"/>
      <c r="R109" s="156" t="str">
        <f>IF(Table111[[#This Row],[Qty]]="","",Table111[[#This Row],[Qty]]*Table111[[#This Row],[Unit Price]])</f>
        <v/>
      </c>
      <c r="S109" s="156" t="str">
        <f>IF(Table111[[#This Row],[Qty]]="","",Table111[[#This Row],[Qty]]*Table111[[#This Row],[Unit Price]]+Table111[[#This Row],[Delivery Cost]])</f>
        <v/>
      </c>
      <c r="T109" s="72"/>
      <c r="U109" s="65"/>
      <c r="V109" s="72"/>
      <c r="W109" s="16"/>
      <c r="X109" s="63" t="str">
        <f t="shared" si="3"/>
        <v/>
      </c>
      <c r="Y109" s="63" t="str">
        <f t="shared" si="4"/>
        <v/>
      </c>
      <c r="Z109" s="63" t="str">
        <f t="shared" si="5"/>
        <v/>
      </c>
      <c r="AA109" s="63" t="str">
        <f>TEXT(Table111[[#This Row],[YEAR]],"0000")&amp;"-"&amp;Table111[[#This Row],[MONTH]]</f>
        <v>-</v>
      </c>
    </row>
    <row r="110" spans="2:27" x14ac:dyDescent="0.3">
      <c r="B110" s="68"/>
      <c r="C110" s="68"/>
      <c r="D110" s="68"/>
      <c r="E110" s="71"/>
      <c r="F110" s="72"/>
      <c r="G110" s="72"/>
      <c r="H110" s="74"/>
      <c r="I110" s="70"/>
      <c r="J110" s="70"/>
      <c r="K110" s="70"/>
      <c r="L110" s="74"/>
      <c r="M110" s="123"/>
      <c r="N110" s="73"/>
      <c r="O110" s="236"/>
      <c r="P110" s="117"/>
      <c r="Q110" s="117"/>
      <c r="R110" s="156" t="str">
        <f>IF(Table111[[#This Row],[Qty]]="","",Table111[[#This Row],[Qty]]*Table111[[#This Row],[Unit Price]])</f>
        <v/>
      </c>
      <c r="S110" s="156" t="str">
        <f>IF(Table111[[#This Row],[Qty]]="","",Table111[[#This Row],[Qty]]*Table111[[#This Row],[Unit Price]]+Table111[[#This Row],[Delivery Cost]])</f>
        <v/>
      </c>
      <c r="T110" s="72"/>
      <c r="U110" s="65"/>
      <c r="V110" s="72"/>
      <c r="W110" s="220"/>
      <c r="X110" s="63" t="str">
        <f t="shared" si="3"/>
        <v/>
      </c>
      <c r="Y110" s="63" t="str">
        <f t="shared" si="4"/>
        <v/>
      </c>
      <c r="Z110" s="63" t="str">
        <f t="shared" si="5"/>
        <v/>
      </c>
      <c r="AA110" s="63" t="str">
        <f>TEXT(Table111[[#This Row],[YEAR]],"0000")&amp;"-"&amp;Table111[[#This Row],[MONTH]]</f>
        <v>-</v>
      </c>
    </row>
    <row r="111" spans="2:27" x14ac:dyDescent="0.3">
      <c r="B111" s="183"/>
      <c r="C111" s="183"/>
      <c r="D111" s="183"/>
      <c r="E111" s="71"/>
      <c r="F111" s="72"/>
      <c r="G111" s="72"/>
      <c r="H111" s="69"/>
      <c r="I111" s="73"/>
      <c r="J111" s="73"/>
      <c r="K111" s="73"/>
      <c r="L111" s="74"/>
      <c r="M111" s="123"/>
      <c r="N111" s="73"/>
      <c r="O111" s="236"/>
      <c r="P111" s="117"/>
      <c r="Q111" s="117"/>
      <c r="R111" s="156" t="str">
        <f>IF(Table111[[#This Row],[Qty]]="","",Table111[[#This Row],[Qty]]*Table111[[#This Row],[Unit Price]])</f>
        <v/>
      </c>
      <c r="S111" s="156" t="str">
        <f>IF(Table111[[#This Row],[Qty]]="","",Table111[[#This Row],[Qty]]*Table111[[#This Row],[Unit Price]]+Table111[[#This Row],[Delivery Cost]])</f>
        <v/>
      </c>
      <c r="T111" s="72"/>
      <c r="U111" s="65"/>
      <c r="V111" s="72"/>
      <c r="W111" s="16"/>
      <c r="X111" s="63" t="str">
        <f t="shared" si="3"/>
        <v/>
      </c>
      <c r="Y111" s="63" t="str">
        <f t="shared" si="4"/>
        <v/>
      </c>
      <c r="Z111" s="63" t="str">
        <f t="shared" si="5"/>
        <v/>
      </c>
      <c r="AA111" s="63" t="str">
        <f>TEXT(Table111[[#This Row],[YEAR]],"0000")&amp;"-"&amp;Table111[[#This Row],[MONTH]]</f>
        <v>-</v>
      </c>
    </row>
    <row r="112" spans="2:27" x14ac:dyDescent="0.3">
      <c r="B112" s="68"/>
      <c r="C112" s="68"/>
      <c r="D112" s="68"/>
      <c r="E112" s="71"/>
      <c r="F112" s="72"/>
      <c r="G112" s="72"/>
      <c r="H112" s="74"/>
      <c r="I112" s="70"/>
      <c r="J112" s="70"/>
      <c r="K112" s="70"/>
      <c r="L112" s="74"/>
      <c r="M112" s="123"/>
      <c r="N112" s="73"/>
      <c r="O112" s="236"/>
      <c r="P112" s="117"/>
      <c r="Q112" s="117"/>
      <c r="R112" s="156" t="str">
        <f>IF(Table111[[#This Row],[Qty]]="","",Table111[[#This Row],[Qty]]*Table111[[#This Row],[Unit Price]])</f>
        <v/>
      </c>
      <c r="S112" s="156" t="str">
        <f>IF(Table111[[#This Row],[Qty]]="","",Table111[[#This Row],[Qty]]*Table111[[#This Row],[Unit Price]]+Table111[[#This Row],[Delivery Cost]])</f>
        <v/>
      </c>
      <c r="T112" s="72"/>
      <c r="U112" s="65"/>
      <c r="V112" s="72"/>
      <c r="W112" s="220"/>
      <c r="X112" s="63" t="str">
        <f t="shared" si="3"/>
        <v/>
      </c>
      <c r="Y112" s="63" t="str">
        <f t="shared" si="4"/>
        <v/>
      </c>
      <c r="Z112" s="63" t="str">
        <f t="shared" si="5"/>
        <v/>
      </c>
      <c r="AA112" s="63" t="str">
        <f>TEXT(Table111[[#This Row],[YEAR]],"0000")&amp;"-"&amp;Table111[[#This Row],[MONTH]]</f>
        <v>-</v>
      </c>
    </row>
    <row r="113" spans="2:27" x14ac:dyDescent="0.3">
      <c r="B113" s="183"/>
      <c r="C113" s="183"/>
      <c r="D113" s="183"/>
      <c r="E113" s="71"/>
      <c r="F113" s="72"/>
      <c r="G113" s="72"/>
      <c r="H113" s="74"/>
      <c r="I113" s="70"/>
      <c r="J113" s="70"/>
      <c r="K113" s="70"/>
      <c r="L113" s="74"/>
      <c r="M113" s="123"/>
      <c r="N113" s="73"/>
      <c r="O113" s="236"/>
      <c r="P113" s="117"/>
      <c r="Q113" s="117"/>
      <c r="R113" s="156" t="str">
        <f>IF(Table111[[#This Row],[Qty]]="","",Table111[[#This Row],[Qty]]*Table111[[#This Row],[Unit Price]])</f>
        <v/>
      </c>
      <c r="S113" s="156" t="str">
        <f>IF(Table111[[#This Row],[Qty]]="","",Table111[[#This Row],[Qty]]*Table111[[#This Row],[Unit Price]]+Table111[[#This Row],[Delivery Cost]])</f>
        <v/>
      </c>
      <c r="T113" s="72"/>
      <c r="U113" s="65"/>
      <c r="V113" s="72"/>
      <c r="W113" s="16"/>
      <c r="X113" s="63" t="str">
        <f t="shared" si="3"/>
        <v/>
      </c>
      <c r="Y113" s="63" t="str">
        <f t="shared" si="4"/>
        <v/>
      </c>
      <c r="Z113" s="63" t="str">
        <f t="shared" si="5"/>
        <v/>
      </c>
      <c r="AA113" s="63" t="str">
        <f>TEXT(Table111[[#This Row],[YEAR]],"0000")&amp;"-"&amp;Table111[[#This Row],[MONTH]]</f>
        <v>-</v>
      </c>
    </row>
    <row r="114" spans="2:27" x14ac:dyDescent="0.3">
      <c r="B114" s="68"/>
      <c r="C114" s="68"/>
      <c r="D114" s="68"/>
      <c r="E114" s="71"/>
      <c r="F114" s="72"/>
      <c r="G114" s="72"/>
      <c r="H114" s="74"/>
      <c r="I114" s="70"/>
      <c r="J114" s="70"/>
      <c r="K114" s="70"/>
      <c r="L114" s="74"/>
      <c r="M114" s="123"/>
      <c r="N114" s="73"/>
      <c r="O114" s="236"/>
      <c r="P114" s="117"/>
      <c r="Q114" s="117"/>
      <c r="R114" s="156" t="str">
        <f>IF(Table111[[#This Row],[Qty]]="","",Table111[[#This Row],[Qty]]*Table111[[#This Row],[Unit Price]])</f>
        <v/>
      </c>
      <c r="S114" s="156" t="str">
        <f>IF(Table111[[#This Row],[Qty]]="","",Table111[[#This Row],[Qty]]*Table111[[#This Row],[Unit Price]]+Table111[[#This Row],[Delivery Cost]])</f>
        <v/>
      </c>
      <c r="T114" s="72"/>
      <c r="U114" s="65"/>
      <c r="V114" s="72"/>
      <c r="W114" s="220"/>
      <c r="X114" s="63" t="str">
        <f t="shared" si="3"/>
        <v/>
      </c>
      <c r="Y114" s="63" t="str">
        <f t="shared" si="4"/>
        <v/>
      </c>
      <c r="Z114" s="63" t="str">
        <f t="shared" si="5"/>
        <v/>
      </c>
      <c r="AA114" s="63" t="str">
        <f>TEXT(Table111[[#This Row],[YEAR]],"0000")&amp;"-"&amp;Table111[[#This Row],[MONTH]]</f>
        <v>-</v>
      </c>
    </row>
    <row r="115" spans="2:27" x14ac:dyDescent="0.3">
      <c r="B115" s="183"/>
      <c r="C115" s="183"/>
      <c r="D115" s="183"/>
      <c r="E115" s="71"/>
      <c r="F115" s="72"/>
      <c r="G115" s="72"/>
      <c r="H115" s="74"/>
      <c r="I115" s="70"/>
      <c r="J115" s="70"/>
      <c r="K115" s="70"/>
      <c r="L115" s="74"/>
      <c r="M115" s="123"/>
      <c r="N115" s="73"/>
      <c r="O115" s="236"/>
      <c r="P115" s="117"/>
      <c r="Q115" s="117"/>
      <c r="R115" s="156" t="str">
        <f>IF(Table111[[#This Row],[Qty]]="","",Table111[[#This Row],[Qty]]*Table111[[#This Row],[Unit Price]])</f>
        <v/>
      </c>
      <c r="S115" s="156" t="str">
        <f>IF(Table111[[#This Row],[Qty]]="","",Table111[[#This Row],[Qty]]*Table111[[#This Row],[Unit Price]]+Table111[[#This Row],[Delivery Cost]])</f>
        <v/>
      </c>
      <c r="T115" s="72"/>
      <c r="U115" s="65"/>
      <c r="V115" s="72"/>
      <c r="W115" s="16"/>
      <c r="X115" s="63" t="str">
        <f t="shared" si="3"/>
        <v/>
      </c>
      <c r="Y115" s="63" t="str">
        <f t="shared" si="4"/>
        <v/>
      </c>
      <c r="Z115" s="63" t="str">
        <f t="shared" si="5"/>
        <v/>
      </c>
      <c r="AA115" s="63" t="str">
        <f>TEXT(Table111[[#This Row],[YEAR]],"0000")&amp;"-"&amp;Table111[[#This Row],[MONTH]]</f>
        <v>-</v>
      </c>
    </row>
    <row r="116" spans="2:27" x14ac:dyDescent="0.3">
      <c r="B116" s="68"/>
      <c r="C116" s="68"/>
      <c r="D116" s="68"/>
      <c r="E116" s="71"/>
      <c r="F116" s="72"/>
      <c r="G116" s="72"/>
      <c r="H116" s="74"/>
      <c r="I116" s="70"/>
      <c r="J116" s="70"/>
      <c r="K116" s="70"/>
      <c r="L116" s="74"/>
      <c r="M116" s="123"/>
      <c r="N116" s="73"/>
      <c r="O116" s="236"/>
      <c r="P116" s="117"/>
      <c r="Q116" s="117"/>
      <c r="R116" s="156" t="str">
        <f>IF(Table111[[#This Row],[Qty]]="","",Table111[[#This Row],[Qty]]*Table111[[#This Row],[Unit Price]])</f>
        <v/>
      </c>
      <c r="S116" s="156" t="str">
        <f>IF(Table111[[#This Row],[Qty]]="","",Table111[[#This Row],[Qty]]*Table111[[#This Row],[Unit Price]]+Table111[[#This Row],[Delivery Cost]])</f>
        <v/>
      </c>
      <c r="T116" s="72"/>
      <c r="U116" s="65"/>
      <c r="V116" s="72"/>
      <c r="W116" s="220"/>
      <c r="X116" s="63" t="str">
        <f t="shared" si="3"/>
        <v/>
      </c>
      <c r="Y116" s="63" t="str">
        <f t="shared" si="4"/>
        <v/>
      </c>
      <c r="Z116" s="63" t="str">
        <f t="shared" si="5"/>
        <v/>
      </c>
      <c r="AA116" s="63" t="str">
        <f>TEXT(Table111[[#This Row],[YEAR]],"0000")&amp;"-"&amp;Table111[[#This Row],[MONTH]]</f>
        <v>-</v>
      </c>
    </row>
    <row r="117" spans="2:27" x14ac:dyDescent="0.3">
      <c r="B117" s="183"/>
      <c r="C117" s="183"/>
      <c r="D117" s="183"/>
      <c r="E117" s="71"/>
      <c r="F117" s="72"/>
      <c r="G117" s="72"/>
      <c r="H117" s="74"/>
      <c r="I117" s="70"/>
      <c r="J117" s="70"/>
      <c r="K117" s="70"/>
      <c r="L117" s="74"/>
      <c r="M117" s="123"/>
      <c r="N117" s="73"/>
      <c r="O117" s="236"/>
      <c r="P117" s="117"/>
      <c r="Q117" s="117"/>
      <c r="R117" s="156" t="str">
        <f>IF(Table111[[#This Row],[Qty]]="","",Table111[[#This Row],[Qty]]*Table111[[#This Row],[Unit Price]])</f>
        <v/>
      </c>
      <c r="S117" s="156" t="str">
        <f>IF(Table111[[#This Row],[Qty]]="","",Table111[[#This Row],[Qty]]*Table111[[#This Row],[Unit Price]]+Table111[[#This Row],[Delivery Cost]])</f>
        <v/>
      </c>
      <c r="T117" s="72"/>
      <c r="U117" s="65"/>
      <c r="V117" s="72"/>
      <c r="W117" s="16"/>
      <c r="X117" s="63" t="str">
        <f t="shared" si="3"/>
        <v/>
      </c>
      <c r="Y117" s="63" t="str">
        <f t="shared" si="4"/>
        <v/>
      </c>
      <c r="Z117" s="63" t="str">
        <f t="shared" si="5"/>
        <v/>
      </c>
      <c r="AA117" s="63" t="str">
        <f>TEXT(Table111[[#This Row],[YEAR]],"0000")&amp;"-"&amp;Table111[[#This Row],[MONTH]]</f>
        <v>-</v>
      </c>
    </row>
    <row r="118" spans="2:27" x14ac:dyDescent="0.3">
      <c r="B118" s="68"/>
      <c r="C118" s="68"/>
      <c r="D118" s="68"/>
      <c r="E118" s="71"/>
      <c r="F118" s="72"/>
      <c r="G118" s="72"/>
      <c r="H118" s="74"/>
      <c r="I118" s="70"/>
      <c r="J118" s="70"/>
      <c r="K118" s="70"/>
      <c r="L118" s="74"/>
      <c r="M118" s="123"/>
      <c r="N118" s="73"/>
      <c r="O118" s="236"/>
      <c r="P118" s="117"/>
      <c r="Q118" s="117"/>
      <c r="R118" s="156" t="str">
        <f>IF(Table111[[#This Row],[Qty]]="","",Table111[[#This Row],[Qty]]*Table111[[#This Row],[Unit Price]])</f>
        <v/>
      </c>
      <c r="S118" s="156" t="str">
        <f>IF(Table111[[#This Row],[Qty]]="","",Table111[[#This Row],[Qty]]*Table111[[#This Row],[Unit Price]]+Table111[[#This Row],[Delivery Cost]])</f>
        <v/>
      </c>
      <c r="T118" s="72"/>
      <c r="U118" s="65"/>
      <c r="V118" s="72"/>
      <c r="W118" s="220"/>
      <c r="X118" s="63" t="str">
        <f t="shared" si="3"/>
        <v/>
      </c>
      <c r="Y118" s="63" t="str">
        <f t="shared" si="4"/>
        <v/>
      </c>
      <c r="Z118" s="63" t="str">
        <f t="shared" si="5"/>
        <v/>
      </c>
      <c r="AA118" s="63" t="str">
        <f>TEXT(Table111[[#This Row],[YEAR]],"0000")&amp;"-"&amp;Table111[[#This Row],[MONTH]]</f>
        <v>-</v>
      </c>
    </row>
    <row r="119" spans="2:27" x14ac:dyDescent="0.3">
      <c r="B119" s="183"/>
      <c r="C119" s="183"/>
      <c r="D119" s="183"/>
      <c r="E119" s="71"/>
      <c r="F119" s="72"/>
      <c r="G119" s="72"/>
      <c r="H119" s="74"/>
      <c r="I119" s="70"/>
      <c r="J119" s="70"/>
      <c r="K119" s="70"/>
      <c r="L119" s="74"/>
      <c r="M119" s="123"/>
      <c r="N119" s="73"/>
      <c r="O119" s="236"/>
      <c r="P119" s="117"/>
      <c r="Q119" s="117"/>
      <c r="R119" s="156" t="str">
        <f>IF(Table111[[#This Row],[Qty]]="","",Table111[[#This Row],[Qty]]*Table111[[#This Row],[Unit Price]])</f>
        <v/>
      </c>
      <c r="S119" s="156" t="str">
        <f>IF(Table111[[#This Row],[Qty]]="","",Table111[[#This Row],[Qty]]*Table111[[#This Row],[Unit Price]]+Table111[[#This Row],[Delivery Cost]])</f>
        <v/>
      </c>
      <c r="T119" s="72"/>
      <c r="U119" s="65"/>
      <c r="V119" s="72"/>
      <c r="W119" s="16"/>
      <c r="X119" s="63" t="str">
        <f t="shared" si="3"/>
        <v/>
      </c>
      <c r="Y119" s="63" t="str">
        <f t="shared" si="4"/>
        <v/>
      </c>
      <c r="Z119" s="63" t="str">
        <f t="shared" si="5"/>
        <v/>
      </c>
      <c r="AA119" s="63" t="str">
        <f>TEXT(Table111[[#This Row],[YEAR]],"0000")&amp;"-"&amp;Table111[[#This Row],[MONTH]]</f>
        <v>-</v>
      </c>
    </row>
    <row r="120" spans="2:27" x14ac:dyDescent="0.3">
      <c r="B120" s="68"/>
      <c r="C120" s="68"/>
      <c r="D120" s="68"/>
      <c r="E120" s="71"/>
      <c r="F120" s="72"/>
      <c r="G120" s="72"/>
      <c r="H120" s="74"/>
      <c r="I120" s="70"/>
      <c r="J120" s="70"/>
      <c r="K120" s="70"/>
      <c r="L120" s="74"/>
      <c r="M120" s="123"/>
      <c r="N120" s="73"/>
      <c r="O120" s="236"/>
      <c r="P120" s="117"/>
      <c r="Q120" s="117"/>
      <c r="R120" s="156" t="str">
        <f>IF(Table111[[#This Row],[Qty]]="","",Table111[[#This Row],[Qty]]*Table111[[#This Row],[Unit Price]])</f>
        <v/>
      </c>
      <c r="S120" s="156" t="str">
        <f>IF(Table111[[#This Row],[Qty]]="","",Table111[[#This Row],[Qty]]*Table111[[#This Row],[Unit Price]]+Table111[[#This Row],[Delivery Cost]])</f>
        <v/>
      </c>
      <c r="T120" s="72"/>
      <c r="U120" s="65"/>
      <c r="V120" s="72"/>
      <c r="W120" s="220"/>
      <c r="X120" s="63" t="str">
        <f t="shared" si="3"/>
        <v/>
      </c>
      <c r="Y120" s="63" t="str">
        <f t="shared" si="4"/>
        <v/>
      </c>
      <c r="Z120" s="63" t="str">
        <f t="shared" si="5"/>
        <v/>
      </c>
      <c r="AA120" s="63" t="str">
        <f>TEXT(Table111[[#This Row],[YEAR]],"0000")&amp;"-"&amp;Table111[[#This Row],[MONTH]]</f>
        <v>-</v>
      </c>
    </row>
    <row r="121" spans="2:27" x14ac:dyDescent="0.3">
      <c r="B121" s="183"/>
      <c r="C121" s="183"/>
      <c r="D121" s="183"/>
      <c r="E121" s="71"/>
      <c r="F121" s="72"/>
      <c r="G121" s="72"/>
      <c r="H121" s="74"/>
      <c r="I121" s="70"/>
      <c r="J121" s="70"/>
      <c r="K121" s="70"/>
      <c r="L121" s="74"/>
      <c r="M121" s="123"/>
      <c r="N121" s="73"/>
      <c r="O121" s="236"/>
      <c r="P121" s="117"/>
      <c r="Q121" s="117"/>
      <c r="R121" s="156" t="str">
        <f>IF(Table111[[#This Row],[Qty]]="","",Table111[[#This Row],[Qty]]*Table111[[#This Row],[Unit Price]])</f>
        <v/>
      </c>
      <c r="S121" s="156" t="str">
        <f>IF(Table111[[#This Row],[Qty]]="","",Table111[[#This Row],[Qty]]*Table111[[#This Row],[Unit Price]]+Table111[[#This Row],[Delivery Cost]])</f>
        <v/>
      </c>
      <c r="T121" s="72"/>
      <c r="U121" s="65"/>
      <c r="V121" s="72"/>
      <c r="W121" s="16"/>
      <c r="X121" s="63" t="str">
        <f t="shared" si="3"/>
        <v/>
      </c>
      <c r="Y121" s="63" t="str">
        <f t="shared" si="4"/>
        <v/>
      </c>
      <c r="Z121" s="63" t="str">
        <f t="shared" si="5"/>
        <v/>
      </c>
      <c r="AA121" s="63" t="str">
        <f>TEXT(Table111[[#This Row],[YEAR]],"0000")&amp;"-"&amp;Table111[[#This Row],[MONTH]]</f>
        <v>-</v>
      </c>
    </row>
    <row r="122" spans="2:27" x14ac:dyDescent="0.3">
      <c r="B122" s="68"/>
      <c r="C122" s="68"/>
      <c r="D122" s="68"/>
      <c r="E122" s="71"/>
      <c r="F122" s="72"/>
      <c r="G122" s="72"/>
      <c r="H122" s="74"/>
      <c r="I122" s="70"/>
      <c r="J122" s="70"/>
      <c r="K122" s="70"/>
      <c r="L122" s="74"/>
      <c r="M122" s="123"/>
      <c r="N122" s="73"/>
      <c r="O122" s="236"/>
      <c r="P122" s="117"/>
      <c r="Q122" s="117"/>
      <c r="R122" s="156" t="str">
        <f>IF(Table111[[#This Row],[Qty]]="","",Table111[[#This Row],[Qty]]*Table111[[#This Row],[Unit Price]])</f>
        <v/>
      </c>
      <c r="S122" s="156" t="str">
        <f>IF(Table111[[#This Row],[Qty]]="","",Table111[[#This Row],[Qty]]*Table111[[#This Row],[Unit Price]]+Table111[[#This Row],[Delivery Cost]])</f>
        <v/>
      </c>
      <c r="T122" s="72"/>
      <c r="U122" s="65"/>
      <c r="V122" s="72"/>
      <c r="W122" s="220"/>
      <c r="X122" s="63" t="str">
        <f t="shared" si="3"/>
        <v/>
      </c>
      <c r="Y122" s="63" t="str">
        <f t="shared" si="4"/>
        <v/>
      </c>
      <c r="Z122" s="63" t="str">
        <f t="shared" si="5"/>
        <v/>
      </c>
      <c r="AA122" s="63" t="str">
        <f>TEXT(Table111[[#This Row],[YEAR]],"0000")&amp;"-"&amp;Table111[[#This Row],[MONTH]]</f>
        <v>-</v>
      </c>
    </row>
    <row r="123" spans="2:27" x14ac:dyDescent="0.3">
      <c r="B123" s="183"/>
      <c r="C123" s="183"/>
      <c r="D123" s="183"/>
      <c r="E123" s="71"/>
      <c r="F123" s="72"/>
      <c r="G123" s="72"/>
      <c r="H123" s="74"/>
      <c r="I123" s="70"/>
      <c r="J123" s="70"/>
      <c r="K123" s="70"/>
      <c r="L123" s="74"/>
      <c r="M123" s="123"/>
      <c r="N123" s="73"/>
      <c r="O123" s="236"/>
      <c r="P123" s="117"/>
      <c r="Q123" s="117"/>
      <c r="R123" s="156" t="str">
        <f>IF(Table111[[#This Row],[Qty]]="","",Table111[[#This Row],[Qty]]*Table111[[#This Row],[Unit Price]])</f>
        <v/>
      </c>
      <c r="S123" s="156" t="str">
        <f>IF(Table111[[#This Row],[Qty]]="","",Table111[[#This Row],[Qty]]*Table111[[#This Row],[Unit Price]]+Table111[[#This Row],[Delivery Cost]])</f>
        <v/>
      </c>
      <c r="T123" s="72"/>
      <c r="U123" s="65"/>
      <c r="V123" s="72"/>
      <c r="W123" s="16"/>
      <c r="X123" s="63" t="str">
        <f t="shared" si="3"/>
        <v/>
      </c>
      <c r="Y123" s="63" t="str">
        <f t="shared" si="4"/>
        <v/>
      </c>
      <c r="Z123" s="63" t="str">
        <f t="shared" si="5"/>
        <v/>
      </c>
      <c r="AA123" s="63" t="str">
        <f>TEXT(Table111[[#This Row],[YEAR]],"0000")&amp;"-"&amp;Table111[[#This Row],[MONTH]]</f>
        <v>-</v>
      </c>
    </row>
    <row r="124" spans="2:27" x14ac:dyDescent="0.3">
      <c r="B124" s="68"/>
      <c r="C124" s="68"/>
      <c r="D124" s="68"/>
      <c r="E124" s="71"/>
      <c r="F124" s="72"/>
      <c r="G124" s="72"/>
      <c r="H124" s="74"/>
      <c r="I124" s="70"/>
      <c r="J124" s="70"/>
      <c r="K124" s="70"/>
      <c r="L124" s="74"/>
      <c r="M124" s="123"/>
      <c r="N124" s="73"/>
      <c r="O124" s="236"/>
      <c r="P124" s="117"/>
      <c r="Q124" s="117"/>
      <c r="R124" s="156" t="str">
        <f>IF(Table111[[#This Row],[Qty]]="","",Table111[[#This Row],[Qty]]*Table111[[#This Row],[Unit Price]])</f>
        <v/>
      </c>
      <c r="S124" s="156" t="str">
        <f>IF(Table111[[#This Row],[Qty]]="","",Table111[[#This Row],[Qty]]*Table111[[#This Row],[Unit Price]]+Table111[[#This Row],[Delivery Cost]])</f>
        <v/>
      </c>
      <c r="T124" s="72"/>
      <c r="U124" s="65"/>
      <c r="V124" s="72"/>
      <c r="W124" s="220"/>
      <c r="X124" s="63" t="str">
        <f t="shared" si="3"/>
        <v/>
      </c>
      <c r="Y124" s="63" t="str">
        <f t="shared" si="4"/>
        <v/>
      </c>
      <c r="Z124" s="63" t="str">
        <f t="shared" si="5"/>
        <v/>
      </c>
      <c r="AA124" s="63" t="str">
        <f>TEXT(Table111[[#This Row],[YEAR]],"0000")&amp;"-"&amp;Table111[[#This Row],[MONTH]]</f>
        <v>-</v>
      </c>
    </row>
    <row r="125" spans="2:27" x14ac:dyDescent="0.3">
      <c r="B125" s="68"/>
      <c r="C125" s="68"/>
      <c r="D125" s="68"/>
      <c r="E125" s="71"/>
      <c r="F125" s="72"/>
      <c r="G125" s="72"/>
      <c r="H125" s="74"/>
      <c r="I125" s="70"/>
      <c r="J125" s="70"/>
      <c r="K125" s="70"/>
      <c r="L125" s="74"/>
      <c r="M125" s="123"/>
      <c r="N125" s="73"/>
      <c r="O125" s="236"/>
      <c r="P125" s="117"/>
      <c r="Q125" s="117"/>
      <c r="R125" s="156" t="str">
        <f>IF(Table111[[#This Row],[Qty]]="","",Table111[[#This Row],[Qty]]*Table111[[#This Row],[Unit Price]])</f>
        <v/>
      </c>
      <c r="S125" s="156" t="str">
        <f>IF(Table111[[#This Row],[Qty]]="","",Table111[[#This Row],[Qty]]*Table111[[#This Row],[Unit Price]]+Table111[[#This Row],[Delivery Cost]])</f>
        <v/>
      </c>
      <c r="T125" s="72"/>
      <c r="U125" s="65"/>
      <c r="V125" s="72"/>
      <c r="W125" s="219"/>
      <c r="X125" s="63" t="str">
        <f t="shared" si="3"/>
        <v/>
      </c>
      <c r="Y125" s="63" t="str">
        <f t="shared" si="4"/>
        <v/>
      </c>
      <c r="Z125" s="63" t="str">
        <f t="shared" si="5"/>
        <v/>
      </c>
      <c r="AA125" s="63" t="str">
        <f>TEXT(Table111[[#This Row],[YEAR]],"0000")&amp;"-"&amp;Table111[[#This Row],[MONTH]]</f>
        <v>-</v>
      </c>
    </row>
    <row r="126" spans="2:27" x14ac:dyDescent="0.3">
      <c r="B126" s="183"/>
      <c r="C126" s="183"/>
      <c r="D126" s="183"/>
      <c r="E126" s="71"/>
      <c r="F126" s="72"/>
      <c r="G126" s="83"/>
      <c r="H126" s="74"/>
      <c r="I126" s="70"/>
      <c r="J126" s="70"/>
      <c r="K126" s="70"/>
      <c r="L126" s="74"/>
      <c r="M126" s="123"/>
      <c r="N126" s="73"/>
      <c r="O126" s="236"/>
      <c r="P126" s="117"/>
      <c r="Q126" s="117"/>
      <c r="R126" s="156" t="str">
        <f>IF(Table111[[#This Row],[Qty]]="","",Table111[[#This Row],[Qty]]*Table111[[#This Row],[Unit Price]])</f>
        <v/>
      </c>
      <c r="S126" s="156" t="str">
        <f>IF(Table111[[#This Row],[Qty]]="","",Table111[[#This Row],[Qty]]*Table111[[#This Row],[Unit Price]]+Table111[[#This Row],[Delivery Cost]])</f>
        <v/>
      </c>
      <c r="T126" s="72"/>
      <c r="U126" s="65"/>
      <c r="V126" s="72"/>
      <c r="W126" s="65"/>
      <c r="X126" s="63" t="str">
        <f t="shared" si="3"/>
        <v/>
      </c>
      <c r="Y126" s="63" t="str">
        <f t="shared" si="4"/>
        <v/>
      </c>
      <c r="Z126" s="63" t="str">
        <f t="shared" si="5"/>
        <v/>
      </c>
      <c r="AA126" s="63" t="str">
        <f>TEXT(Table111[[#This Row],[YEAR]],"0000")&amp;"-"&amp;Table111[[#This Row],[MONTH]]</f>
        <v>-</v>
      </c>
    </row>
    <row r="127" spans="2:27" x14ac:dyDescent="0.3">
      <c r="B127" s="68"/>
      <c r="C127" s="68"/>
      <c r="D127" s="68"/>
      <c r="E127" s="71"/>
      <c r="F127" s="72"/>
      <c r="G127" s="72"/>
      <c r="H127" s="74"/>
      <c r="I127" s="70"/>
      <c r="J127" s="70"/>
      <c r="K127" s="70"/>
      <c r="L127" s="74"/>
      <c r="M127" s="123"/>
      <c r="N127" s="73"/>
      <c r="O127" s="236"/>
      <c r="P127" s="117"/>
      <c r="Q127" s="117"/>
      <c r="R127" s="156" t="str">
        <f>IF(Table111[[#This Row],[Qty]]="","",Table111[[#This Row],[Qty]]*Table111[[#This Row],[Unit Price]])</f>
        <v/>
      </c>
      <c r="S127" s="156" t="str">
        <f>IF(Table111[[#This Row],[Qty]]="","",Table111[[#This Row],[Qty]]*Table111[[#This Row],[Unit Price]]+Table111[[#This Row],[Delivery Cost]])</f>
        <v/>
      </c>
      <c r="T127" s="72"/>
      <c r="U127" s="65"/>
      <c r="V127" s="72"/>
      <c r="W127" s="219"/>
      <c r="X127" s="63" t="str">
        <f t="shared" si="3"/>
        <v/>
      </c>
      <c r="Y127" s="63" t="str">
        <f t="shared" si="4"/>
        <v/>
      </c>
      <c r="Z127" s="63" t="str">
        <f t="shared" si="5"/>
        <v/>
      </c>
      <c r="AA127" s="63" t="str">
        <f>TEXT(Table111[[#This Row],[YEAR]],"0000")&amp;"-"&amp;Table111[[#This Row],[MONTH]]</f>
        <v>-</v>
      </c>
    </row>
    <row r="128" spans="2:27" x14ac:dyDescent="0.3">
      <c r="B128" s="183"/>
      <c r="C128" s="183"/>
      <c r="D128" s="183"/>
      <c r="E128" s="71"/>
      <c r="F128" s="72"/>
      <c r="G128" s="65"/>
      <c r="H128" s="74"/>
      <c r="I128" s="70"/>
      <c r="J128" s="70"/>
      <c r="K128" s="70"/>
      <c r="L128" s="74"/>
      <c r="M128" s="123"/>
      <c r="N128" s="73"/>
      <c r="O128" s="236"/>
      <c r="P128" s="117"/>
      <c r="Q128" s="117"/>
      <c r="R128" s="156" t="str">
        <f>IF(Table111[[#This Row],[Qty]]="","",Table111[[#This Row],[Qty]]*Table111[[#This Row],[Unit Price]])</f>
        <v/>
      </c>
      <c r="S128" s="156" t="str">
        <f>IF(Table111[[#This Row],[Qty]]="","",Table111[[#This Row],[Qty]]*Table111[[#This Row],[Unit Price]]+Table111[[#This Row],[Delivery Cost]])</f>
        <v/>
      </c>
      <c r="T128" s="72"/>
      <c r="U128" s="65"/>
      <c r="V128" s="72"/>
      <c r="W128" s="65"/>
      <c r="X128" s="63" t="str">
        <f t="shared" si="3"/>
        <v/>
      </c>
      <c r="Y128" s="63" t="str">
        <f t="shared" si="4"/>
        <v/>
      </c>
      <c r="Z128" s="63" t="str">
        <f t="shared" si="5"/>
        <v/>
      </c>
      <c r="AA128" s="63" t="str">
        <f>TEXT(Table111[[#This Row],[YEAR]],"0000")&amp;"-"&amp;Table111[[#This Row],[MONTH]]</f>
        <v>-</v>
      </c>
    </row>
    <row r="129" spans="2:27" x14ac:dyDescent="0.3">
      <c r="B129" s="68"/>
      <c r="C129" s="68"/>
      <c r="D129" s="68"/>
      <c r="E129" s="71"/>
      <c r="F129" s="72"/>
      <c r="G129" s="65"/>
      <c r="H129" s="74"/>
      <c r="I129" s="70"/>
      <c r="J129" s="70"/>
      <c r="K129" s="70"/>
      <c r="L129" s="74"/>
      <c r="M129" s="123"/>
      <c r="N129" s="73"/>
      <c r="O129" s="236"/>
      <c r="P129" s="117"/>
      <c r="Q129" s="117"/>
      <c r="R129" s="156" t="str">
        <f>IF(Table111[[#This Row],[Qty]]="","",Table111[[#This Row],[Qty]]*Table111[[#This Row],[Unit Price]])</f>
        <v/>
      </c>
      <c r="S129" s="156" t="str">
        <f>IF(Table111[[#This Row],[Qty]]="","",Table111[[#This Row],[Qty]]*Table111[[#This Row],[Unit Price]]+Table111[[#This Row],[Delivery Cost]])</f>
        <v/>
      </c>
      <c r="T129" s="72"/>
      <c r="U129" s="65"/>
      <c r="V129" s="72"/>
      <c r="W129" s="219"/>
      <c r="X129" s="63" t="str">
        <f t="shared" si="3"/>
        <v/>
      </c>
      <c r="Y129" s="63" t="str">
        <f t="shared" si="4"/>
        <v/>
      </c>
      <c r="Z129" s="63" t="str">
        <f t="shared" si="5"/>
        <v/>
      </c>
      <c r="AA129" s="63" t="str">
        <f>TEXT(Table111[[#This Row],[YEAR]],"0000")&amp;"-"&amp;Table111[[#This Row],[MONTH]]</f>
        <v>-</v>
      </c>
    </row>
    <row r="130" spans="2:27" x14ac:dyDescent="0.3">
      <c r="B130" s="183"/>
      <c r="C130" s="183"/>
      <c r="D130" s="183"/>
      <c r="E130" s="71"/>
      <c r="F130" s="72"/>
      <c r="G130" s="72"/>
      <c r="H130" s="74"/>
      <c r="I130" s="70"/>
      <c r="J130" s="70"/>
      <c r="K130" s="70"/>
      <c r="L130" s="74"/>
      <c r="M130" s="123"/>
      <c r="N130" s="73"/>
      <c r="O130" s="236"/>
      <c r="P130" s="117"/>
      <c r="Q130" s="117"/>
      <c r="R130" s="156" t="str">
        <f>IF(Table111[[#This Row],[Qty]]="","",Table111[[#This Row],[Qty]]*Table111[[#This Row],[Unit Price]])</f>
        <v/>
      </c>
      <c r="S130" s="156" t="str">
        <f>IF(Table111[[#This Row],[Qty]]="","",Table111[[#This Row],[Qty]]*Table111[[#This Row],[Unit Price]]+Table111[[#This Row],[Delivery Cost]])</f>
        <v/>
      </c>
      <c r="T130" s="72"/>
      <c r="U130" s="65"/>
      <c r="V130" s="72"/>
      <c r="W130" s="65"/>
      <c r="X130" s="63" t="str">
        <f t="shared" si="3"/>
        <v/>
      </c>
      <c r="Y130" s="63" t="str">
        <f t="shared" si="4"/>
        <v/>
      </c>
      <c r="Z130" s="63" t="str">
        <f t="shared" si="5"/>
        <v/>
      </c>
      <c r="AA130" s="63" t="str">
        <f>TEXT(Table111[[#This Row],[YEAR]],"0000")&amp;"-"&amp;Table111[[#This Row],[MONTH]]</f>
        <v>-</v>
      </c>
    </row>
    <row r="131" spans="2:27" x14ac:dyDescent="0.3">
      <c r="B131" s="68"/>
      <c r="C131" s="68"/>
      <c r="D131" s="68"/>
      <c r="E131" s="71"/>
      <c r="F131" s="72"/>
      <c r="G131" s="72"/>
      <c r="H131" s="74"/>
      <c r="I131" s="70"/>
      <c r="J131" s="70"/>
      <c r="K131" s="70"/>
      <c r="L131" s="74"/>
      <c r="M131" s="123"/>
      <c r="N131" s="73"/>
      <c r="O131" s="236"/>
      <c r="P131" s="117"/>
      <c r="Q131" s="117"/>
      <c r="R131" s="156" t="str">
        <f>IF(Table111[[#This Row],[Qty]]="","",Table111[[#This Row],[Qty]]*Table111[[#This Row],[Unit Price]])</f>
        <v/>
      </c>
      <c r="S131" s="156" t="str">
        <f>IF(Table111[[#This Row],[Qty]]="","",Table111[[#This Row],[Qty]]*Table111[[#This Row],[Unit Price]]+Table111[[#This Row],[Delivery Cost]])</f>
        <v/>
      </c>
      <c r="T131" s="72"/>
      <c r="U131" s="65"/>
      <c r="V131" s="72"/>
      <c r="W131" s="219"/>
      <c r="X131" s="63" t="str">
        <f t="shared" ref="X131:X194" si="6">IF(E131=0,"",YEAR(E131))</f>
        <v/>
      </c>
      <c r="Y131" s="63" t="str">
        <f t="shared" ref="Y131:Y194" si="7">IF(E131=0,"",MONTH(E131))</f>
        <v/>
      </c>
      <c r="Z131" s="63" t="str">
        <f t="shared" ref="Z131:Z194" si="8">IF(E131=0,"",WEEKNUM(E131))</f>
        <v/>
      </c>
      <c r="AA131" s="63" t="str">
        <f>TEXT(Table111[[#This Row],[YEAR]],"0000")&amp;"-"&amp;Table111[[#This Row],[MONTH]]</f>
        <v>-</v>
      </c>
    </row>
    <row r="132" spans="2:27" x14ac:dyDescent="0.3">
      <c r="B132" s="183"/>
      <c r="C132" s="183"/>
      <c r="D132" s="183"/>
      <c r="E132" s="71"/>
      <c r="F132" s="72"/>
      <c r="G132" s="72"/>
      <c r="H132" s="74"/>
      <c r="I132" s="70"/>
      <c r="J132" s="70"/>
      <c r="K132" s="70"/>
      <c r="L132" s="74"/>
      <c r="M132" s="123"/>
      <c r="N132" s="73"/>
      <c r="O132" s="236"/>
      <c r="P132" s="117"/>
      <c r="Q132" s="117"/>
      <c r="R132" s="156" t="str">
        <f>IF(Table111[[#This Row],[Qty]]="","",Table111[[#This Row],[Qty]]*Table111[[#This Row],[Unit Price]])</f>
        <v/>
      </c>
      <c r="S132" s="156" t="str">
        <f>IF(Table111[[#This Row],[Qty]]="","",Table111[[#This Row],[Qty]]*Table111[[#This Row],[Unit Price]]+Table111[[#This Row],[Delivery Cost]])</f>
        <v/>
      </c>
      <c r="T132" s="72"/>
      <c r="U132" s="65"/>
      <c r="V132" s="72"/>
      <c r="W132" s="65"/>
      <c r="X132" s="63" t="str">
        <f t="shared" si="6"/>
        <v/>
      </c>
      <c r="Y132" s="63" t="str">
        <f t="shared" si="7"/>
        <v/>
      </c>
      <c r="Z132" s="63" t="str">
        <f t="shared" si="8"/>
        <v/>
      </c>
      <c r="AA132" s="63" t="str">
        <f>TEXT(Table111[[#This Row],[YEAR]],"0000")&amp;"-"&amp;Table111[[#This Row],[MONTH]]</f>
        <v>-</v>
      </c>
    </row>
    <row r="133" spans="2:27" x14ac:dyDescent="0.3">
      <c r="B133" s="68"/>
      <c r="C133" s="68"/>
      <c r="D133" s="68"/>
      <c r="E133" s="71"/>
      <c r="F133" s="72"/>
      <c r="G133" s="72"/>
      <c r="H133" s="74"/>
      <c r="I133" s="70"/>
      <c r="J133" s="70"/>
      <c r="K133" s="70"/>
      <c r="L133" s="74"/>
      <c r="M133" s="123"/>
      <c r="N133" s="73"/>
      <c r="O133" s="236"/>
      <c r="P133" s="117"/>
      <c r="Q133" s="117"/>
      <c r="R133" s="156" t="str">
        <f>IF(Table111[[#This Row],[Qty]]="","",Table111[[#This Row],[Qty]]*Table111[[#This Row],[Unit Price]])</f>
        <v/>
      </c>
      <c r="S133" s="156" t="str">
        <f>IF(Table111[[#This Row],[Qty]]="","",Table111[[#This Row],[Qty]]*Table111[[#This Row],[Unit Price]]+Table111[[#This Row],[Delivery Cost]])</f>
        <v/>
      </c>
      <c r="T133" s="72"/>
      <c r="U133" s="72"/>
      <c r="V133" s="72"/>
      <c r="W133" s="219"/>
      <c r="X133" s="63" t="str">
        <f t="shared" si="6"/>
        <v/>
      </c>
      <c r="Y133" s="63" t="str">
        <f t="shared" si="7"/>
        <v/>
      </c>
      <c r="Z133" s="63" t="str">
        <f t="shared" si="8"/>
        <v/>
      </c>
      <c r="AA133" s="63" t="str">
        <f>TEXT(Table111[[#This Row],[YEAR]],"0000")&amp;"-"&amp;Table111[[#This Row],[MONTH]]</f>
        <v>-</v>
      </c>
    </row>
    <row r="134" spans="2:27" x14ac:dyDescent="0.3">
      <c r="B134" s="183"/>
      <c r="C134" s="183"/>
      <c r="D134" s="183"/>
      <c r="E134" s="71"/>
      <c r="F134" s="72"/>
      <c r="G134" s="72"/>
      <c r="H134" s="74"/>
      <c r="I134" s="70"/>
      <c r="J134" s="70"/>
      <c r="K134" s="70"/>
      <c r="L134" s="74"/>
      <c r="M134" s="123"/>
      <c r="N134" s="73"/>
      <c r="O134" s="236"/>
      <c r="P134" s="117"/>
      <c r="Q134" s="117"/>
      <c r="R134" s="156" t="str">
        <f>IF(Table111[[#This Row],[Qty]]="","",Table111[[#This Row],[Qty]]*Table111[[#This Row],[Unit Price]])</f>
        <v/>
      </c>
      <c r="S134" s="156" t="str">
        <f>IF(Table111[[#This Row],[Qty]]="","",Table111[[#This Row],[Qty]]*Table111[[#This Row],[Unit Price]]+Table111[[#This Row],[Delivery Cost]])</f>
        <v/>
      </c>
      <c r="T134" s="72"/>
      <c r="U134" s="72"/>
      <c r="V134" s="72"/>
      <c r="W134" s="65"/>
      <c r="X134" s="63" t="str">
        <f t="shared" si="6"/>
        <v/>
      </c>
      <c r="Y134" s="63" t="str">
        <f t="shared" si="7"/>
        <v/>
      </c>
      <c r="Z134" s="63" t="str">
        <f t="shared" si="8"/>
        <v/>
      </c>
      <c r="AA134" s="63" t="str">
        <f>TEXT(Table111[[#This Row],[YEAR]],"0000")&amp;"-"&amp;Table111[[#This Row],[MONTH]]</f>
        <v>-</v>
      </c>
    </row>
    <row r="135" spans="2:27" x14ac:dyDescent="0.3">
      <c r="B135" s="68"/>
      <c r="C135" s="68"/>
      <c r="D135" s="68"/>
      <c r="E135" s="71"/>
      <c r="F135" s="72"/>
      <c r="G135" s="72"/>
      <c r="H135" s="74"/>
      <c r="I135" s="70"/>
      <c r="J135" s="70"/>
      <c r="K135" s="70"/>
      <c r="L135" s="74"/>
      <c r="M135" s="123"/>
      <c r="N135" s="73"/>
      <c r="O135" s="236"/>
      <c r="P135" s="117"/>
      <c r="Q135" s="117"/>
      <c r="R135" s="156" t="str">
        <f>IF(Table111[[#This Row],[Qty]]="","",Table111[[#This Row],[Qty]]*Table111[[#This Row],[Unit Price]])</f>
        <v/>
      </c>
      <c r="S135" s="156" t="str">
        <f>IF(Table111[[#This Row],[Qty]]="","",Table111[[#This Row],[Qty]]*Table111[[#This Row],[Unit Price]]+Table111[[#This Row],[Delivery Cost]])</f>
        <v/>
      </c>
      <c r="T135" s="72"/>
      <c r="U135" s="72"/>
      <c r="V135" s="72"/>
      <c r="W135" s="219"/>
      <c r="X135" s="63" t="str">
        <f t="shared" si="6"/>
        <v/>
      </c>
      <c r="Y135" s="63" t="str">
        <f t="shared" si="7"/>
        <v/>
      </c>
      <c r="Z135" s="63" t="str">
        <f t="shared" si="8"/>
        <v/>
      </c>
      <c r="AA135" s="63" t="str">
        <f>TEXT(Table111[[#This Row],[YEAR]],"0000")&amp;"-"&amp;Table111[[#This Row],[MONTH]]</f>
        <v>-</v>
      </c>
    </row>
    <row r="136" spans="2:27" x14ac:dyDescent="0.3">
      <c r="B136" s="183"/>
      <c r="C136" s="183"/>
      <c r="D136" s="183"/>
      <c r="E136" s="71"/>
      <c r="F136" s="72"/>
      <c r="G136" s="72"/>
      <c r="H136" s="74"/>
      <c r="I136" s="70"/>
      <c r="J136" s="70"/>
      <c r="K136" s="70"/>
      <c r="L136" s="74"/>
      <c r="M136" s="123"/>
      <c r="N136" s="73"/>
      <c r="O136" s="236"/>
      <c r="P136" s="117"/>
      <c r="Q136" s="117"/>
      <c r="R136" s="156" t="str">
        <f>IF(Table111[[#This Row],[Qty]]="","",Table111[[#This Row],[Qty]]*Table111[[#This Row],[Unit Price]])</f>
        <v/>
      </c>
      <c r="S136" s="156" t="str">
        <f>IF(Table111[[#This Row],[Qty]]="","",Table111[[#This Row],[Qty]]*Table111[[#This Row],[Unit Price]]+Table111[[#This Row],[Delivery Cost]])</f>
        <v/>
      </c>
      <c r="T136" s="72"/>
      <c r="U136" s="72"/>
      <c r="V136" s="72"/>
      <c r="W136" s="65"/>
      <c r="X136" s="63" t="str">
        <f t="shared" si="6"/>
        <v/>
      </c>
      <c r="Y136" s="63" t="str">
        <f t="shared" si="7"/>
        <v/>
      </c>
      <c r="Z136" s="63" t="str">
        <f t="shared" si="8"/>
        <v/>
      </c>
      <c r="AA136" s="63" t="str">
        <f>TEXT(Table111[[#This Row],[YEAR]],"0000")&amp;"-"&amp;Table111[[#This Row],[MONTH]]</f>
        <v>-</v>
      </c>
    </row>
    <row r="137" spans="2:27" x14ac:dyDescent="0.3">
      <c r="B137" s="68"/>
      <c r="C137" s="68"/>
      <c r="D137" s="68"/>
      <c r="E137" s="71"/>
      <c r="F137" s="72"/>
      <c r="G137" s="72"/>
      <c r="H137" s="74"/>
      <c r="I137" s="70"/>
      <c r="J137" s="70"/>
      <c r="K137" s="70"/>
      <c r="L137" s="74"/>
      <c r="M137" s="123"/>
      <c r="N137" s="73"/>
      <c r="O137" s="236"/>
      <c r="P137" s="117"/>
      <c r="Q137" s="117"/>
      <c r="R137" s="156" t="str">
        <f>IF(Table111[[#This Row],[Qty]]="","",Table111[[#This Row],[Qty]]*Table111[[#This Row],[Unit Price]])</f>
        <v/>
      </c>
      <c r="S137" s="156" t="str">
        <f>IF(Table111[[#This Row],[Qty]]="","",Table111[[#This Row],[Qty]]*Table111[[#This Row],[Unit Price]]+Table111[[#This Row],[Delivery Cost]])</f>
        <v/>
      </c>
      <c r="T137" s="72"/>
      <c r="U137" s="72"/>
      <c r="V137" s="72"/>
      <c r="W137" s="219"/>
      <c r="X137" s="63" t="str">
        <f t="shared" si="6"/>
        <v/>
      </c>
      <c r="Y137" s="63" t="str">
        <f t="shared" si="7"/>
        <v/>
      </c>
      <c r="Z137" s="63" t="str">
        <f t="shared" si="8"/>
        <v/>
      </c>
      <c r="AA137" s="63" t="str">
        <f>TEXT(Table111[[#This Row],[YEAR]],"0000")&amp;"-"&amp;Table111[[#This Row],[MONTH]]</f>
        <v>-</v>
      </c>
    </row>
    <row r="138" spans="2:27" x14ac:dyDescent="0.3">
      <c r="B138" s="183"/>
      <c r="C138" s="183"/>
      <c r="D138" s="183"/>
      <c r="E138" s="71"/>
      <c r="F138" s="72"/>
      <c r="G138" s="72"/>
      <c r="H138" s="74"/>
      <c r="I138" s="70"/>
      <c r="J138" s="70"/>
      <c r="K138" s="70"/>
      <c r="L138" s="74"/>
      <c r="M138" s="123"/>
      <c r="N138" s="73"/>
      <c r="O138" s="236"/>
      <c r="P138" s="117"/>
      <c r="Q138" s="117"/>
      <c r="R138" s="156" t="str">
        <f>IF(Table111[[#This Row],[Qty]]="","",Table111[[#This Row],[Qty]]*Table111[[#This Row],[Unit Price]])</f>
        <v/>
      </c>
      <c r="S138" s="156" t="str">
        <f>IF(Table111[[#This Row],[Qty]]="","",Table111[[#This Row],[Qty]]*Table111[[#This Row],[Unit Price]]+Table111[[#This Row],[Delivery Cost]])</f>
        <v/>
      </c>
      <c r="T138" s="72"/>
      <c r="U138" s="72"/>
      <c r="V138" s="72"/>
      <c r="W138" s="65"/>
      <c r="X138" s="63" t="str">
        <f t="shared" si="6"/>
        <v/>
      </c>
      <c r="Y138" s="63" t="str">
        <f t="shared" si="7"/>
        <v/>
      </c>
      <c r="Z138" s="63" t="str">
        <f t="shared" si="8"/>
        <v/>
      </c>
      <c r="AA138" s="63" t="str">
        <f>TEXT(Table111[[#This Row],[YEAR]],"0000")&amp;"-"&amp;Table111[[#This Row],[MONTH]]</f>
        <v>-</v>
      </c>
    </row>
    <row r="139" spans="2:27" x14ac:dyDescent="0.3">
      <c r="B139" s="68"/>
      <c r="C139" s="68"/>
      <c r="D139" s="68"/>
      <c r="E139" s="71"/>
      <c r="F139" s="72"/>
      <c r="G139" s="72"/>
      <c r="H139" s="74"/>
      <c r="I139" s="70"/>
      <c r="J139" s="70"/>
      <c r="K139" s="70"/>
      <c r="L139" s="74"/>
      <c r="M139" s="123"/>
      <c r="N139" s="73"/>
      <c r="O139" s="236"/>
      <c r="P139" s="117"/>
      <c r="Q139" s="117"/>
      <c r="R139" s="156" t="str">
        <f>IF(Table111[[#This Row],[Qty]]="","",Table111[[#This Row],[Qty]]*Table111[[#This Row],[Unit Price]])</f>
        <v/>
      </c>
      <c r="S139" s="156" t="str">
        <f>IF(Table111[[#This Row],[Qty]]="","",Table111[[#This Row],[Qty]]*Table111[[#This Row],[Unit Price]]+Table111[[#This Row],[Delivery Cost]])</f>
        <v/>
      </c>
      <c r="T139" s="72"/>
      <c r="U139" s="72"/>
      <c r="V139" s="72"/>
      <c r="W139" s="219"/>
      <c r="X139" s="63" t="str">
        <f t="shared" si="6"/>
        <v/>
      </c>
      <c r="Y139" s="63" t="str">
        <f t="shared" si="7"/>
        <v/>
      </c>
      <c r="Z139" s="63" t="str">
        <f t="shared" si="8"/>
        <v/>
      </c>
      <c r="AA139" s="63" t="str">
        <f>TEXT(Table111[[#This Row],[YEAR]],"0000")&amp;"-"&amp;Table111[[#This Row],[MONTH]]</f>
        <v>-</v>
      </c>
    </row>
    <row r="140" spans="2:27" x14ac:dyDescent="0.3">
      <c r="B140" s="183"/>
      <c r="C140" s="183"/>
      <c r="D140" s="183"/>
      <c r="E140" s="71"/>
      <c r="F140" s="72"/>
      <c r="G140" s="72"/>
      <c r="H140" s="74"/>
      <c r="I140" s="70"/>
      <c r="J140" s="70"/>
      <c r="K140" s="70"/>
      <c r="L140" s="74"/>
      <c r="M140" s="123"/>
      <c r="N140" s="73"/>
      <c r="O140" s="236"/>
      <c r="P140" s="117"/>
      <c r="Q140" s="117"/>
      <c r="R140" s="156" t="str">
        <f>IF(Table111[[#This Row],[Qty]]="","",Table111[[#This Row],[Qty]]*Table111[[#This Row],[Unit Price]])</f>
        <v/>
      </c>
      <c r="S140" s="156" t="str">
        <f>IF(Table111[[#This Row],[Qty]]="","",Table111[[#This Row],[Qty]]*Table111[[#This Row],[Unit Price]]+Table111[[#This Row],[Delivery Cost]])</f>
        <v/>
      </c>
      <c r="T140" s="72"/>
      <c r="U140" s="72"/>
      <c r="V140" s="72"/>
      <c r="W140" s="65"/>
      <c r="X140" s="63" t="str">
        <f t="shared" si="6"/>
        <v/>
      </c>
      <c r="Y140" s="63" t="str">
        <f t="shared" si="7"/>
        <v/>
      </c>
      <c r="Z140" s="63" t="str">
        <f t="shared" si="8"/>
        <v/>
      </c>
      <c r="AA140" s="63" t="str">
        <f>TEXT(Table111[[#This Row],[YEAR]],"0000")&amp;"-"&amp;Table111[[#This Row],[MONTH]]</f>
        <v>-</v>
      </c>
    </row>
    <row r="141" spans="2:27" x14ac:dyDescent="0.3">
      <c r="B141" s="68"/>
      <c r="C141" s="68"/>
      <c r="D141" s="68"/>
      <c r="E141" s="71"/>
      <c r="F141" s="72"/>
      <c r="G141" s="72"/>
      <c r="H141" s="74"/>
      <c r="I141" s="70"/>
      <c r="J141" s="70"/>
      <c r="K141" s="70"/>
      <c r="L141" s="74"/>
      <c r="M141" s="123"/>
      <c r="N141" s="73"/>
      <c r="O141" s="236"/>
      <c r="P141" s="117"/>
      <c r="Q141" s="117"/>
      <c r="R141" s="156" t="str">
        <f>IF(Table111[[#This Row],[Qty]]="","",Table111[[#This Row],[Qty]]*Table111[[#This Row],[Unit Price]])</f>
        <v/>
      </c>
      <c r="S141" s="156" t="str">
        <f>IF(Table111[[#This Row],[Qty]]="","",Table111[[#This Row],[Qty]]*Table111[[#This Row],[Unit Price]]+Table111[[#This Row],[Delivery Cost]])</f>
        <v/>
      </c>
      <c r="T141" s="72"/>
      <c r="U141" s="72"/>
      <c r="V141" s="72"/>
      <c r="W141" s="219"/>
      <c r="X141" s="63" t="str">
        <f t="shared" si="6"/>
        <v/>
      </c>
      <c r="Y141" s="63" t="str">
        <f t="shared" si="7"/>
        <v/>
      </c>
      <c r="Z141" s="63" t="str">
        <f t="shared" si="8"/>
        <v/>
      </c>
      <c r="AA141" s="63" t="str">
        <f>TEXT(Table111[[#This Row],[YEAR]],"0000")&amp;"-"&amp;Table111[[#This Row],[MONTH]]</f>
        <v>-</v>
      </c>
    </row>
    <row r="142" spans="2:27" x14ac:dyDescent="0.3">
      <c r="B142" s="183"/>
      <c r="C142" s="183"/>
      <c r="D142" s="183"/>
      <c r="E142" s="71"/>
      <c r="F142" s="72"/>
      <c r="G142" s="72"/>
      <c r="H142" s="74"/>
      <c r="I142" s="70"/>
      <c r="J142" s="70"/>
      <c r="K142" s="70"/>
      <c r="L142" s="74"/>
      <c r="M142" s="123"/>
      <c r="N142" s="73"/>
      <c r="O142" s="236"/>
      <c r="P142" s="117"/>
      <c r="Q142" s="117"/>
      <c r="R142" s="156" t="str">
        <f>IF(Table111[[#This Row],[Qty]]="","",Table111[[#This Row],[Qty]]*Table111[[#This Row],[Unit Price]])</f>
        <v/>
      </c>
      <c r="S142" s="156" t="str">
        <f>IF(Table111[[#This Row],[Qty]]="","",Table111[[#This Row],[Qty]]*Table111[[#This Row],[Unit Price]]+Table111[[#This Row],[Delivery Cost]])</f>
        <v/>
      </c>
      <c r="T142" s="72"/>
      <c r="U142" s="72"/>
      <c r="V142" s="72"/>
      <c r="W142" s="65"/>
      <c r="X142" s="63" t="str">
        <f t="shared" si="6"/>
        <v/>
      </c>
      <c r="Y142" s="63" t="str">
        <f t="shared" si="7"/>
        <v/>
      </c>
      <c r="Z142" s="63" t="str">
        <f t="shared" si="8"/>
        <v/>
      </c>
      <c r="AA142" s="63" t="str">
        <f>TEXT(Table111[[#This Row],[YEAR]],"0000")&amp;"-"&amp;Table111[[#This Row],[MONTH]]</f>
        <v>-</v>
      </c>
    </row>
    <row r="143" spans="2:27" x14ac:dyDescent="0.3">
      <c r="B143" s="68"/>
      <c r="C143" s="68"/>
      <c r="D143" s="68"/>
      <c r="E143" s="71"/>
      <c r="F143" s="72"/>
      <c r="G143" s="72"/>
      <c r="H143" s="74"/>
      <c r="I143" s="70"/>
      <c r="J143" s="70"/>
      <c r="K143" s="70"/>
      <c r="L143" s="74"/>
      <c r="M143" s="123"/>
      <c r="N143" s="73"/>
      <c r="O143" s="236"/>
      <c r="P143" s="117"/>
      <c r="Q143" s="117"/>
      <c r="R143" s="156" t="str">
        <f>IF(Table111[[#This Row],[Qty]]="","",Table111[[#This Row],[Qty]]*Table111[[#This Row],[Unit Price]])</f>
        <v/>
      </c>
      <c r="S143" s="156" t="str">
        <f>IF(Table111[[#This Row],[Qty]]="","",Table111[[#This Row],[Qty]]*Table111[[#This Row],[Unit Price]]+Table111[[#This Row],[Delivery Cost]])</f>
        <v/>
      </c>
      <c r="T143" s="72"/>
      <c r="U143" s="72"/>
      <c r="V143" s="72"/>
      <c r="W143" s="219"/>
      <c r="X143" s="63" t="str">
        <f t="shared" si="6"/>
        <v/>
      </c>
      <c r="Y143" s="63" t="str">
        <f t="shared" si="7"/>
        <v/>
      </c>
      <c r="Z143" s="63" t="str">
        <f t="shared" si="8"/>
        <v/>
      </c>
      <c r="AA143" s="63" t="str">
        <f>TEXT(Table111[[#This Row],[YEAR]],"0000")&amp;"-"&amp;Table111[[#This Row],[MONTH]]</f>
        <v>-</v>
      </c>
    </row>
    <row r="144" spans="2:27" x14ac:dyDescent="0.3">
      <c r="B144" s="183"/>
      <c r="C144" s="183"/>
      <c r="D144" s="183"/>
      <c r="E144" s="71"/>
      <c r="F144" s="72"/>
      <c r="G144" s="72"/>
      <c r="H144" s="74"/>
      <c r="I144" s="70"/>
      <c r="J144" s="70"/>
      <c r="K144" s="70"/>
      <c r="L144" s="74"/>
      <c r="M144" s="123"/>
      <c r="N144" s="73"/>
      <c r="O144" s="236"/>
      <c r="P144" s="117"/>
      <c r="Q144" s="117"/>
      <c r="R144" s="156" t="str">
        <f>IF(Table111[[#This Row],[Qty]]="","",Table111[[#This Row],[Qty]]*Table111[[#This Row],[Unit Price]])</f>
        <v/>
      </c>
      <c r="S144" s="156" t="str">
        <f>IF(Table111[[#This Row],[Qty]]="","",Table111[[#This Row],[Qty]]*Table111[[#This Row],[Unit Price]]+Table111[[#This Row],[Delivery Cost]])</f>
        <v/>
      </c>
      <c r="T144" s="72"/>
      <c r="U144" s="72"/>
      <c r="V144" s="72"/>
      <c r="W144" s="65"/>
      <c r="X144" s="63" t="str">
        <f t="shared" si="6"/>
        <v/>
      </c>
      <c r="Y144" s="63" t="str">
        <f t="shared" si="7"/>
        <v/>
      </c>
      <c r="Z144" s="63" t="str">
        <f t="shared" si="8"/>
        <v/>
      </c>
      <c r="AA144" s="63" t="str">
        <f>TEXT(Table111[[#This Row],[YEAR]],"0000")&amp;"-"&amp;Table111[[#This Row],[MONTH]]</f>
        <v>-</v>
      </c>
    </row>
    <row r="145" spans="2:27" x14ac:dyDescent="0.3">
      <c r="B145" s="68"/>
      <c r="C145" s="68"/>
      <c r="D145" s="68"/>
      <c r="E145" s="71"/>
      <c r="F145" s="72"/>
      <c r="G145" s="72"/>
      <c r="H145" s="74"/>
      <c r="I145" s="70"/>
      <c r="J145" s="70"/>
      <c r="K145" s="70"/>
      <c r="L145" s="74"/>
      <c r="M145" s="123"/>
      <c r="N145" s="73"/>
      <c r="O145" s="236"/>
      <c r="P145" s="117"/>
      <c r="Q145" s="117"/>
      <c r="R145" s="156" t="str">
        <f>IF(Table111[[#This Row],[Qty]]="","",Table111[[#This Row],[Qty]]*Table111[[#This Row],[Unit Price]])</f>
        <v/>
      </c>
      <c r="S145" s="156" t="str">
        <f>IF(Table111[[#This Row],[Qty]]="","",Table111[[#This Row],[Qty]]*Table111[[#This Row],[Unit Price]]+Table111[[#This Row],[Delivery Cost]])</f>
        <v/>
      </c>
      <c r="T145" s="72"/>
      <c r="U145" s="72"/>
      <c r="V145" s="72"/>
      <c r="W145" s="219"/>
      <c r="X145" s="63" t="str">
        <f t="shared" si="6"/>
        <v/>
      </c>
      <c r="Y145" s="63" t="str">
        <f t="shared" si="7"/>
        <v/>
      </c>
      <c r="Z145" s="63" t="str">
        <f t="shared" si="8"/>
        <v/>
      </c>
      <c r="AA145" s="63" t="str">
        <f>TEXT(Table111[[#This Row],[YEAR]],"0000")&amp;"-"&amp;Table111[[#This Row],[MONTH]]</f>
        <v>-</v>
      </c>
    </row>
    <row r="146" spans="2:27" x14ac:dyDescent="0.3">
      <c r="B146" s="183"/>
      <c r="C146" s="183"/>
      <c r="D146" s="183"/>
      <c r="E146" s="71"/>
      <c r="F146" s="72"/>
      <c r="G146" s="72"/>
      <c r="H146" s="74"/>
      <c r="I146" s="70"/>
      <c r="J146" s="70"/>
      <c r="K146" s="70"/>
      <c r="L146" s="74"/>
      <c r="M146" s="123"/>
      <c r="N146" s="73"/>
      <c r="O146" s="236"/>
      <c r="P146" s="117"/>
      <c r="Q146" s="117"/>
      <c r="R146" s="156" t="str">
        <f>IF(Table111[[#This Row],[Qty]]="","",Table111[[#This Row],[Qty]]*Table111[[#This Row],[Unit Price]])</f>
        <v/>
      </c>
      <c r="S146" s="156" t="str">
        <f>IF(Table111[[#This Row],[Qty]]="","",Table111[[#This Row],[Qty]]*Table111[[#This Row],[Unit Price]]+Table111[[#This Row],[Delivery Cost]])</f>
        <v/>
      </c>
      <c r="T146" s="72"/>
      <c r="U146" s="72"/>
      <c r="V146" s="72"/>
      <c r="W146" s="65"/>
      <c r="X146" s="63" t="str">
        <f t="shared" si="6"/>
        <v/>
      </c>
      <c r="Y146" s="63" t="str">
        <f t="shared" si="7"/>
        <v/>
      </c>
      <c r="Z146" s="63" t="str">
        <f t="shared" si="8"/>
        <v/>
      </c>
      <c r="AA146" s="63" t="str">
        <f>TEXT(Table111[[#This Row],[YEAR]],"0000")&amp;"-"&amp;Table111[[#This Row],[MONTH]]</f>
        <v>-</v>
      </c>
    </row>
    <row r="147" spans="2:27" x14ac:dyDescent="0.3">
      <c r="B147" s="68"/>
      <c r="C147" s="68"/>
      <c r="D147" s="68"/>
      <c r="E147" s="71"/>
      <c r="F147" s="72"/>
      <c r="G147" s="72"/>
      <c r="H147" s="74"/>
      <c r="I147" s="70"/>
      <c r="J147" s="70"/>
      <c r="K147" s="70"/>
      <c r="L147" s="74"/>
      <c r="M147" s="123"/>
      <c r="N147" s="73"/>
      <c r="O147" s="236"/>
      <c r="P147" s="117"/>
      <c r="Q147" s="117"/>
      <c r="R147" s="156" t="str">
        <f>IF(Table111[[#This Row],[Qty]]="","",Table111[[#This Row],[Qty]]*Table111[[#This Row],[Unit Price]])</f>
        <v/>
      </c>
      <c r="S147" s="156" t="str">
        <f>IF(Table111[[#This Row],[Qty]]="","",Table111[[#This Row],[Qty]]*Table111[[#This Row],[Unit Price]]+Table111[[#This Row],[Delivery Cost]])</f>
        <v/>
      </c>
      <c r="T147" s="72"/>
      <c r="U147" s="72"/>
      <c r="V147" s="72"/>
      <c r="W147" s="219"/>
      <c r="X147" s="63" t="str">
        <f t="shared" si="6"/>
        <v/>
      </c>
      <c r="Y147" s="63" t="str">
        <f t="shared" si="7"/>
        <v/>
      </c>
      <c r="Z147" s="63" t="str">
        <f t="shared" si="8"/>
        <v/>
      </c>
      <c r="AA147" s="63" t="str">
        <f>TEXT(Table111[[#This Row],[YEAR]],"0000")&amp;"-"&amp;Table111[[#This Row],[MONTH]]</f>
        <v>-</v>
      </c>
    </row>
    <row r="148" spans="2:27" x14ac:dyDescent="0.3">
      <c r="B148" s="183"/>
      <c r="C148" s="183"/>
      <c r="D148" s="183"/>
      <c r="E148" s="71"/>
      <c r="F148" s="72"/>
      <c r="G148" s="72"/>
      <c r="H148" s="74"/>
      <c r="I148" s="70"/>
      <c r="J148" s="70"/>
      <c r="K148" s="70"/>
      <c r="L148" s="74"/>
      <c r="M148" s="123"/>
      <c r="N148" s="73"/>
      <c r="O148" s="236"/>
      <c r="P148" s="117"/>
      <c r="Q148" s="117"/>
      <c r="R148" s="156" t="str">
        <f>IF(Table111[[#This Row],[Qty]]="","",Table111[[#This Row],[Qty]]*Table111[[#This Row],[Unit Price]])</f>
        <v/>
      </c>
      <c r="S148" s="156" t="str">
        <f>IF(Table111[[#This Row],[Qty]]="","",Table111[[#This Row],[Qty]]*Table111[[#This Row],[Unit Price]]+Table111[[#This Row],[Delivery Cost]])</f>
        <v/>
      </c>
      <c r="T148" s="72"/>
      <c r="U148" s="72"/>
      <c r="V148" s="72"/>
      <c r="W148" s="65"/>
      <c r="X148" s="63" t="str">
        <f t="shared" si="6"/>
        <v/>
      </c>
      <c r="Y148" s="63" t="str">
        <f t="shared" si="7"/>
        <v/>
      </c>
      <c r="Z148" s="63" t="str">
        <f t="shared" si="8"/>
        <v/>
      </c>
      <c r="AA148" s="63" t="str">
        <f>TEXT(Table111[[#This Row],[YEAR]],"0000")&amp;"-"&amp;Table111[[#This Row],[MONTH]]</f>
        <v>-</v>
      </c>
    </row>
    <row r="149" spans="2:27" x14ac:dyDescent="0.3">
      <c r="B149" s="68"/>
      <c r="C149" s="68"/>
      <c r="D149" s="68"/>
      <c r="E149" s="71"/>
      <c r="F149" s="72"/>
      <c r="G149" s="72"/>
      <c r="H149" s="74"/>
      <c r="I149" s="70"/>
      <c r="J149" s="70"/>
      <c r="K149" s="70"/>
      <c r="L149" s="74"/>
      <c r="M149" s="123"/>
      <c r="N149" s="73"/>
      <c r="O149" s="236"/>
      <c r="P149" s="117"/>
      <c r="Q149" s="117"/>
      <c r="R149" s="156" t="str">
        <f>IF(Table111[[#This Row],[Qty]]="","",Table111[[#This Row],[Qty]]*Table111[[#This Row],[Unit Price]])</f>
        <v/>
      </c>
      <c r="S149" s="156" t="str">
        <f>IF(Table111[[#This Row],[Qty]]="","",Table111[[#This Row],[Qty]]*Table111[[#This Row],[Unit Price]]+Table111[[#This Row],[Delivery Cost]])</f>
        <v/>
      </c>
      <c r="T149" s="72"/>
      <c r="U149" s="72"/>
      <c r="V149" s="72"/>
      <c r="W149" s="219"/>
      <c r="X149" s="63" t="str">
        <f t="shared" si="6"/>
        <v/>
      </c>
      <c r="Y149" s="63" t="str">
        <f t="shared" si="7"/>
        <v/>
      </c>
      <c r="Z149" s="63" t="str">
        <f t="shared" si="8"/>
        <v/>
      </c>
      <c r="AA149" s="63" t="str">
        <f>TEXT(Table111[[#This Row],[YEAR]],"0000")&amp;"-"&amp;Table111[[#This Row],[MONTH]]</f>
        <v>-</v>
      </c>
    </row>
    <row r="150" spans="2:27" x14ac:dyDescent="0.3">
      <c r="B150" s="183"/>
      <c r="C150" s="183"/>
      <c r="D150" s="183"/>
      <c r="E150" s="71"/>
      <c r="F150" s="72"/>
      <c r="G150" s="72"/>
      <c r="H150" s="74"/>
      <c r="I150" s="70"/>
      <c r="J150" s="70"/>
      <c r="K150" s="70"/>
      <c r="L150" s="74"/>
      <c r="M150" s="123"/>
      <c r="N150" s="73"/>
      <c r="O150" s="236"/>
      <c r="P150" s="117"/>
      <c r="Q150" s="117"/>
      <c r="R150" s="156" t="str">
        <f>IF(Table111[[#This Row],[Qty]]="","",Table111[[#This Row],[Qty]]*Table111[[#This Row],[Unit Price]])</f>
        <v/>
      </c>
      <c r="S150" s="156" t="str">
        <f>IF(Table111[[#This Row],[Qty]]="","",Table111[[#This Row],[Qty]]*Table111[[#This Row],[Unit Price]]+Table111[[#This Row],[Delivery Cost]])</f>
        <v/>
      </c>
      <c r="T150" s="72"/>
      <c r="U150" s="72"/>
      <c r="V150" s="72"/>
      <c r="W150" s="65"/>
      <c r="X150" s="63" t="str">
        <f t="shared" si="6"/>
        <v/>
      </c>
      <c r="Y150" s="63" t="str">
        <f t="shared" si="7"/>
        <v/>
      </c>
      <c r="Z150" s="63" t="str">
        <f t="shared" si="8"/>
        <v/>
      </c>
      <c r="AA150" s="63" t="str">
        <f>TEXT(Table111[[#This Row],[YEAR]],"0000")&amp;"-"&amp;Table111[[#This Row],[MONTH]]</f>
        <v>-</v>
      </c>
    </row>
    <row r="151" spans="2:27" x14ac:dyDescent="0.3">
      <c r="B151" s="68"/>
      <c r="C151" s="68"/>
      <c r="D151" s="68"/>
      <c r="E151" s="71"/>
      <c r="F151" s="72"/>
      <c r="G151" s="72"/>
      <c r="H151" s="74"/>
      <c r="I151" s="70"/>
      <c r="J151" s="70"/>
      <c r="K151" s="70"/>
      <c r="L151" s="74"/>
      <c r="M151" s="123"/>
      <c r="N151" s="73"/>
      <c r="O151" s="236"/>
      <c r="P151" s="117"/>
      <c r="Q151" s="117"/>
      <c r="R151" s="156" t="str">
        <f>IF(Table111[[#This Row],[Qty]]="","",Table111[[#This Row],[Qty]]*Table111[[#This Row],[Unit Price]])</f>
        <v/>
      </c>
      <c r="S151" s="156" t="str">
        <f>IF(Table111[[#This Row],[Qty]]="","",Table111[[#This Row],[Qty]]*Table111[[#This Row],[Unit Price]]+Table111[[#This Row],[Delivery Cost]])</f>
        <v/>
      </c>
      <c r="T151" s="72"/>
      <c r="U151" s="72"/>
      <c r="V151" s="72"/>
      <c r="W151" s="219"/>
      <c r="X151" s="63" t="str">
        <f t="shared" si="6"/>
        <v/>
      </c>
      <c r="Y151" s="63" t="str">
        <f t="shared" si="7"/>
        <v/>
      </c>
      <c r="Z151" s="63" t="str">
        <f t="shared" si="8"/>
        <v/>
      </c>
      <c r="AA151" s="63" t="str">
        <f>TEXT(Table111[[#This Row],[YEAR]],"0000")&amp;"-"&amp;Table111[[#This Row],[MONTH]]</f>
        <v>-</v>
      </c>
    </row>
    <row r="152" spans="2:27" x14ac:dyDescent="0.3">
      <c r="B152" s="183"/>
      <c r="C152" s="183"/>
      <c r="D152" s="183"/>
      <c r="E152" s="71"/>
      <c r="F152" s="72"/>
      <c r="G152" s="72"/>
      <c r="H152" s="74"/>
      <c r="I152" s="70"/>
      <c r="J152" s="70"/>
      <c r="K152" s="70"/>
      <c r="L152" s="74"/>
      <c r="M152" s="123"/>
      <c r="N152" s="73"/>
      <c r="O152" s="236"/>
      <c r="P152" s="117"/>
      <c r="Q152" s="117"/>
      <c r="R152" s="156" t="str">
        <f>IF(Table111[[#This Row],[Qty]]="","",Table111[[#This Row],[Qty]]*Table111[[#This Row],[Unit Price]])</f>
        <v/>
      </c>
      <c r="S152" s="156" t="str">
        <f>IF(Table111[[#This Row],[Qty]]="","",Table111[[#This Row],[Qty]]*Table111[[#This Row],[Unit Price]]+Table111[[#This Row],[Delivery Cost]])</f>
        <v/>
      </c>
      <c r="T152" s="72"/>
      <c r="U152" s="72"/>
      <c r="V152" s="72"/>
      <c r="W152" s="65"/>
      <c r="X152" s="63" t="str">
        <f t="shared" si="6"/>
        <v/>
      </c>
      <c r="Y152" s="63" t="str">
        <f t="shared" si="7"/>
        <v/>
      </c>
      <c r="Z152" s="63" t="str">
        <f t="shared" si="8"/>
        <v/>
      </c>
      <c r="AA152" s="63" t="str">
        <f>TEXT(Table111[[#This Row],[YEAR]],"0000")&amp;"-"&amp;Table111[[#This Row],[MONTH]]</f>
        <v>-</v>
      </c>
    </row>
    <row r="153" spans="2:27" x14ac:dyDescent="0.3">
      <c r="B153" s="68"/>
      <c r="C153" s="68"/>
      <c r="D153" s="68"/>
      <c r="E153" s="71"/>
      <c r="F153" s="72"/>
      <c r="G153" s="72"/>
      <c r="H153" s="74"/>
      <c r="I153" s="70"/>
      <c r="J153" s="70"/>
      <c r="K153" s="70"/>
      <c r="L153" s="74"/>
      <c r="M153" s="123"/>
      <c r="N153" s="73"/>
      <c r="O153" s="236"/>
      <c r="P153" s="117"/>
      <c r="Q153" s="117"/>
      <c r="R153" s="156" t="str">
        <f>IF(Table111[[#This Row],[Qty]]="","",Table111[[#This Row],[Qty]]*Table111[[#This Row],[Unit Price]])</f>
        <v/>
      </c>
      <c r="S153" s="156" t="str">
        <f>IF(Table111[[#This Row],[Qty]]="","",Table111[[#This Row],[Qty]]*Table111[[#This Row],[Unit Price]]+Table111[[#This Row],[Delivery Cost]])</f>
        <v/>
      </c>
      <c r="T153" s="72"/>
      <c r="U153" s="72"/>
      <c r="V153" s="72"/>
      <c r="W153" s="219"/>
      <c r="X153" s="63" t="str">
        <f t="shared" si="6"/>
        <v/>
      </c>
      <c r="Y153" s="63" t="str">
        <f t="shared" si="7"/>
        <v/>
      </c>
      <c r="Z153" s="63" t="str">
        <f t="shared" si="8"/>
        <v/>
      </c>
      <c r="AA153" s="63" t="str">
        <f>TEXT(Table111[[#This Row],[YEAR]],"0000")&amp;"-"&amp;Table111[[#This Row],[MONTH]]</f>
        <v>-</v>
      </c>
    </row>
    <row r="154" spans="2:27" x14ac:dyDescent="0.3">
      <c r="B154" s="183"/>
      <c r="C154" s="183"/>
      <c r="D154" s="183"/>
      <c r="E154" s="71"/>
      <c r="F154" s="72"/>
      <c r="G154" s="72"/>
      <c r="H154" s="74"/>
      <c r="I154" s="70"/>
      <c r="J154" s="70"/>
      <c r="K154" s="70"/>
      <c r="L154" s="74"/>
      <c r="M154" s="123"/>
      <c r="N154" s="73"/>
      <c r="O154" s="236"/>
      <c r="P154" s="117"/>
      <c r="Q154" s="117"/>
      <c r="R154" s="156" t="str">
        <f>IF(Table111[[#This Row],[Qty]]="","",Table111[[#This Row],[Qty]]*Table111[[#This Row],[Unit Price]])</f>
        <v/>
      </c>
      <c r="S154" s="156" t="str">
        <f>IF(Table111[[#This Row],[Qty]]="","",Table111[[#This Row],[Qty]]*Table111[[#This Row],[Unit Price]]+Table111[[#This Row],[Delivery Cost]])</f>
        <v/>
      </c>
      <c r="T154" s="72"/>
      <c r="U154" s="72"/>
      <c r="V154" s="72"/>
      <c r="W154" s="65"/>
      <c r="X154" s="63" t="str">
        <f t="shared" si="6"/>
        <v/>
      </c>
      <c r="Y154" s="63" t="str">
        <f t="shared" si="7"/>
        <v/>
      </c>
      <c r="Z154" s="63" t="str">
        <f t="shared" si="8"/>
        <v/>
      </c>
      <c r="AA154" s="63" t="str">
        <f>TEXT(Table111[[#This Row],[YEAR]],"0000")&amp;"-"&amp;Table111[[#This Row],[MONTH]]</f>
        <v>-</v>
      </c>
    </row>
    <row r="155" spans="2:27" x14ac:dyDescent="0.3">
      <c r="B155" s="68"/>
      <c r="C155" s="68"/>
      <c r="D155" s="68"/>
      <c r="E155" s="71"/>
      <c r="F155" s="72"/>
      <c r="G155" s="72"/>
      <c r="H155" s="74"/>
      <c r="I155" s="70"/>
      <c r="J155" s="70"/>
      <c r="K155" s="70"/>
      <c r="L155" s="74"/>
      <c r="M155" s="123"/>
      <c r="N155" s="73"/>
      <c r="O155" s="236"/>
      <c r="P155" s="117"/>
      <c r="Q155" s="117"/>
      <c r="R155" s="156" t="str">
        <f>IF(Table111[[#This Row],[Qty]]="","",Table111[[#This Row],[Qty]]*Table111[[#This Row],[Unit Price]])</f>
        <v/>
      </c>
      <c r="S155" s="156" t="str">
        <f>IF(Table111[[#This Row],[Qty]]="","",Table111[[#This Row],[Qty]]*Table111[[#This Row],[Unit Price]]+Table111[[#This Row],[Delivery Cost]])</f>
        <v/>
      </c>
      <c r="T155" s="72"/>
      <c r="U155" s="72"/>
      <c r="V155" s="72"/>
      <c r="W155" s="219"/>
      <c r="X155" s="63" t="str">
        <f t="shared" si="6"/>
        <v/>
      </c>
      <c r="Y155" s="63" t="str">
        <f t="shared" si="7"/>
        <v/>
      </c>
      <c r="Z155" s="63" t="str">
        <f t="shared" si="8"/>
        <v/>
      </c>
      <c r="AA155" s="63" t="str">
        <f>TEXT(Table111[[#This Row],[YEAR]],"0000")&amp;"-"&amp;Table111[[#This Row],[MONTH]]</f>
        <v>-</v>
      </c>
    </row>
    <row r="156" spans="2:27" x14ac:dyDescent="0.3">
      <c r="B156" s="183"/>
      <c r="C156" s="183"/>
      <c r="D156" s="183"/>
      <c r="E156" s="71"/>
      <c r="F156" s="72"/>
      <c r="G156" s="72"/>
      <c r="H156" s="74"/>
      <c r="I156" s="70"/>
      <c r="J156" s="70"/>
      <c r="K156" s="70"/>
      <c r="L156" s="74"/>
      <c r="M156" s="123"/>
      <c r="N156" s="73"/>
      <c r="O156" s="236"/>
      <c r="P156" s="117"/>
      <c r="Q156" s="117"/>
      <c r="R156" s="156" t="str">
        <f>IF(Table111[[#This Row],[Qty]]="","",Table111[[#This Row],[Qty]]*Table111[[#This Row],[Unit Price]])</f>
        <v/>
      </c>
      <c r="S156" s="156" t="str">
        <f>IF(Table111[[#This Row],[Qty]]="","",Table111[[#This Row],[Qty]]*Table111[[#This Row],[Unit Price]]+Table111[[#This Row],[Delivery Cost]])</f>
        <v/>
      </c>
      <c r="T156" s="72"/>
      <c r="U156" s="72"/>
      <c r="V156" s="72"/>
      <c r="W156" s="65"/>
      <c r="X156" s="63" t="str">
        <f t="shared" si="6"/>
        <v/>
      </c>
      <c r="Y156" s="63" t="str">
        <f t="shared" si="7"/>
        <v/>
      </c>
      <c r="Z156" s="63" t="str">
        <f t="shared" si="8"/>
        <v/>
      </c>
      <c r="AA156" s="63" t="str">
        <f>TEXT(Table111[[#This Row],[YEAR]],"0000")&amp;"-"&amp;Table111[[#This Row],[MONTH]]</f>
        <v>-</v>
      </c>
    </row>
    <row r="157" spans="2:27" x14ac:dyDescent="0.3">
      <c r="B157" s="68"/>
      <c r="C157" s="68"/>
      <c r="D157" s="68"/>
      <c r="E157" s="71"/>
      <c r="F157" s="72"/>
      <c r="G157" s="72"/>
      <c r="H157" s="74"/>
      <c r="I157" s="70"/>
      <c r="J157" s="70"/>
      <c r="K157" s="70"/>
      <c r="L157" s="74"/>
      <c r="M157" s="123"/>
      <c r="N157" s="73"/>
      <c r="O157" s="236"/>
      <c r="P157" s="117"/>
      <c r="Q157" s="117"/>
      <c r="R157" s="156" t="str">
        <f>IF(Table111[[#This Row],[Qty]]="","",Table111[[#This Row],[Qty]]*Table111[[#This Row],[Unit Price]])</f>
        <v/>
      </c>
      <c r="S157" s="156" t="str">
        <f>IF(Table111[[#This Row],[Qty]]="","",Table111[[#This Row],[Qty]]*Table111[[#This Row],[Unit Price]]+Table111[[#This Row],[Delivery Cost]])</f>
        <v/>
      </c>
      <c r="T157" s="72"/>
      <c r="U157" s="72"/>
      <c r="V157" s="72"/>
      <c r="W157" s="219"/>
      <c r="X157" s="63" t="str">
        <f t="shared" si="6"/>
        <v/>
      </c>
      <c r="Y157" s="63" t="str">
        <f t="shared" si="7"/>
        <v/>
      </c>
      <c r="Z157" s="63" t="str">
        <f t="shared" si="8"/>
        <v/>
      </c>
      <c r="AA157" s="63" t="str">
        <f>TEXT(Table111[[#This Row],[YEAR]],"0000")&amp;"-"&amp;Table111[[#This Row],[MONTH]]</f>
        <v>-</v>
      </c>
    </row>
    <row r="158" spans="2:27" x14ac:dyDescent="0.3">
      <c r="B158" s="68"/>
      <c r="C158" s="68"/>
      <c r="D158" s="68"/>
      <c r="E158" s="71"/>
      <c r="F158" s="72"/>
      <c r="G158" s="72"/>
      <c r="H158" s="74"/>
      <c r="I158" s="70"/>
      <c r="J158" s="70"/>
      <c r="K158" s="70"/>
      <c r="L158" s="74"/>
      <c r="M158" s="123"/>
      <c r="N158" s="73"/>
      <c r="O158" s="236"/>
      <c r="P158" s="113"/>
      <c r="Q158" s="113"/>
      <c r="R158" s="156" t="str">
        <f>IF(Table111[[#This Row],[Qty]]="","",Table111[[#This Row],[Qty]]*Table111[[#This Row],[Unit Price]])</f>
        <v/>
      </c>
      <c r="S158" s="156" t="str">
        <f>IF(Table111[[#This Row],[Qty]]="","",Table111[[#This Row],[Qty]]*Table111[[#This Row],[Unit Price]]+Table111[[#This Row],[Delivery Cost]])</f>
        <v/>
      </c>
      <c r="T158" s="67"/>
      <c r="U158" s="65"/>
      <c r="V158" s="72"/>
      <c r="W158" s="220"/>
      <c r="X158" s="63" t="str">
        <f t="shared" si="6"/>
        <v/>
      </c>
      <c r="Y158" s="63" t="str">
        <f t="shared" si="7"/>
        <v/>
      </c>
      <c r="Z158" s="63" t="str">
        <f t="shared" si="8"/>
        <v/>
      </c>
      <c r="AA158" s="63" t="str">
        <f>TEXT(Table111[[#This Row],[YEAR]],"0000")&amp;"-"&amp;Table111[[#This Row],[MONTH]]</f>
        <v>-</v>
      </c>
    </row>
    <row r="159" spans="2:27" x14ac:dyDescent="0.3">
      <c r="B159" s="183"/>
      <c r="C159" s="183"/>
      <c r="D159" s="183"/>
      <c r="E159" s="71"/>
      <c r="F159" s="72"/>
      <c r="G159" s="72"/>
      <c r="H159" s="74"/>
      <c r="I159" s="70"/>
      <c r="J159" s="70"/>
      <c r="K159" s="70"/>
      <c r="L159" s="74"/>
      <c r="M159" s="123"/>
      <c r="N159" s="73"/>
      <c r="O159" s="236"/>
      <c r="P159" s="113"/>
      <c r="Q159" s="113"/>
      <c r="R159" s="156" t="str">
        <f>IF(Table111[[#This Row],[Qty]]="","",Table111[[#This Row],[Qty]]*Table111[[#This Row],[Unit Price]])</f>
        <v/>
      </c>
      <c r="S159" s="156" t="str">
        <f>IF(Table111[[#This Row],[Qty]]="","",Table111[[#This Row],[Qty]]*Table111[[#This Row],[Unit Price]]+Table111[[#This Row],[Delivery Cost]])</f>
        <v/>
      </c>
      <c r="T159" s="67"/>
      <c r="U159" s="65"/>
      <c r="V159" s="72"/>
      <c r="W159" s="16"/>
      <c r="X159" s="63" t="str">
        <f t="shared" si="6"/>
        <v/>
      </c>
      <c r="Y159" s="63" t="str">
        <f t="shared" si="7"/>
        <v/>
      </c>
      <c r="Z159" s="63" t="str">
        <f t="shared" si="8"/>
        <v/>
      </c>
      <c r="AA159" s="63" t="str">
        <f>TEXT(Table111[[#This Row],[YEAR]],"0000")&amp;"-"&amp;Table111[[#This Row],[MONTH]]</f>
        <v>-</v>
      </c>
    </row>
    <row r="160" spans="2:27" x14ac:dyDescent="0.3">
      <c r="B160" s="68"/>
      <c r="C160" s="68"/>
      <c r="D160" s="68"/>
      <c r="E160" s="71"/>
      <c r="F160" s="72"/>
      <c r="G160" s="72"/>
      <c r="H160" s="69"/>
      <c r="I160" s="73"/>
      <c r="J160" s="73"/>
      <c r="K160" s="73"/>
      <c r="L160" s="74"/>
      <c r="M160" s="123"/>
      <c r="N160" s="73"/>
      <c r="O160" s="236"/>
      <c r="P160" s="113"/>
      <c r="Q160" s="113"/>
      <c r="R160" s="156" t="str">
        <f>IF(Table111[[#This Row],[Qty]]="","",Table111[[#This Row],[Qty]]*Table111[[#This Row],[Unit Price]])</f>
        <v/>
      </c>
      <c r="S160" s="156" t="str">
        <f>IF(Table111[[#This Row],[Qty]]="","",Table111[[#This Row],[Qty]]*Table111[[#This Row],[Unit Price]]+Table111[[#This Row],[Delivery Cost]])</f>
        <v/>
      </c>
      <c r="T160" s="67"/>
      <c r="U160" s="65"/>
      <c r="V160" s="72"/>
      <c r="W160" s="220"/>
      <c r="X160" s="63" t="str">
        <f t="shared" si="6"/>
        <v/>
      </c>
      <c r="Y160" s="63" t="str">
        <f t="shared" si="7"/>
        <v/>
      </c>
      <c r="Z160" s="63" t="str">
        <f t="shared" si="8"/>
        <v/>
      </c>
      <c r="AA160" s="63" t="str">
        <f>TEXT(Table111[[#This Row],[YEAR]],"0000")&amp;"-"&amp;Table111[[#This Row],[MONTH]]</f>
        <v>-</v>
      </c>
    </row>
    <row r="161" spans="2:27" x14ac:dyDescent="0.3">
      <c r="B161" s="183"/>
      <c r="C161" s="183"/>
      <c r="D161" s="183"/>
      <c r="E161" s="71"/>
      <c r="F161" s="72"/>
      <c r="G161" s="72"/>
      <c r="H161" s="74"/>
      <c r="I161" s="70"/>
      <c r="J161" s="70"/>
      <c r="K161" s="70"/>
      <c r="L161" s="74"/>
      <c r="M161" s="123"/>
      <c r="N161" s="73"/>
      <c r="O161" s="236"/>
      <c r="P161" s="113"/>
      <c r="Q161" s="113"/>
      <c r="R161" s="156" t="str">
        <f>IF(Table111[[#This Row],[Qty]]="","",Table111[[#This Row],[Qty]]*Table111[[#This Row],[Unit Price]])</f>
        <v/>
      </c>
      <c r="S161" s="156" t="str">
        <f>IF(Table111[[#This Row],[Qty]]="","",Table111[[#This Row],[Qty]]*Table111[[#This Row],[Unit Price]]+Table111[[#This Row],[Delivery Cost]])</f>
        <v/>
      </c>
      <c r="T161" s="67"/>
      <c r="U161" s="65"/>
      <c r="V161" s="72"/>
      <c r="W161" s="16"/>
      <c r="X161" s="63" t="str">
        <f t="shared" si="6"/>
        <v/>
      </c>
      <c r="Y161" s="63" t="str">
        <f t="shared" si="7"/>
        <v/>
      </c>
      <c r="Z161" s="63" t="str">
        <f t="shared" si="8"/>
        <v/>
      </c>
      <c r="AA161" s="63" t="str">
        <f>TEXT(Table111[[#This Row],[YEAR]],"0000")&amp;"-"&amp;Table111[[#This Row],[MONTH]]</f>
        <v>-</v>
      </c>
    </row>
    <row r="162" spans="2:27" x14ac:dyDescent="0.3">
      <c r="B162" s="68"/>
      <c r="C162" s="68"/>
      <c r="D162" s="68"/>
      <c r="E162" s="71"/>
      <c r="F162" s="72"/>
      <c r="G162" s="72"/>
      <c r="H162" s="69"/>
      <c r="I162" s="69"/>
      <c r="J162" s="69"/>
      <c r="K162" s="69"/>
      <c r="L162" s="74"/>
      <c r="M162" s="121"/>
      <c r="N162" s="69"/>
      <c r="O162" s="237"/>
      <c r="P162" s="113"/>
      <c r="Q162" s="113"/>
      <c r="R162" s="156" t="str">
        <f>IF(Table111[[#This Row],[Qty]]="","",Table111[[#This Row],[Qty]]*Table111[[#This Row],[Unit Price]])</f>
        <v/>
      </c>
      <c r="S162" s="156" t="str">
        <f>IF(Table111[[#This Row],[Qty]]="","",Table111[[#This Row],[Qty]]*Table111[[#This Row],[Unit Price]]+Table111[[#This Row],[Delivery Cost]])</f>
        <v/>
      </c>
      <c r="T162" s="67"/>
      <c r="U162" s="65"/>
      <c r="V162" s="72"/>
      <c r="W162" s="220"/>
      <c r="X162" s="63" t="str">
        <f t="shared" si="6"/>
        <v/>
      </c>
      <c r="Y162" s="63" t="str">
        <f t="shared" si="7"/>
        <v/>
      </c>
      <c r="Z162" s="63" t="str">
        <f t="shared" si="8"/>
        <v/>
      </c>
      <c r="AA162" s="63" t="str">
        <f>TEXT(Table111[[#This Row],[YEAR]],"0000")&amp;"-"&amp;Table111[[#This Row],[MONTH]]</f>
        <v>-</v>
      </c>
    </row>
    <row r="163" spans="2:27" x14ac:dyDescent="0.3">
      <c r="B163" s="183"/>
      <c r="C163" s="183"/>
      <c r="D163" s="183"/>
      <c r="E163" s="71"/>
      <c r="F163" s="72"/>
      <c r="G163" s="72"/>
      <c r="H163" s="74"/>
      <c r="I163" s="70"/>
      <c r="J163" s="70"/>
      <c r="K163" s="70"/>
      <c r="L163" s="74"/>
      <c r="M163" s="123"/>
      <c r="N163" s="73"/>
      <c r="O163" s="236"/>
      <c r="P163" s="113"/>
      <c r="Q163" s="113"/>
      <c r="R163" s="156" t="str">
        <f>IF(Table111[[#This Row],[Qty]]="","",Table111[[#This Row],[Qty]]*Table111[[#This Row],[Unit Price]])</f>
        <v/>
      </c>
      <c r="S163" s="156" t="str">
        <f>IF(Table111[[#This Row],[Qty]]="","",Table111[[#This Row],[Qty]]*Table111[[#This Row],[Unit Price]]+Table111[[#This Row],[Delivery Cost]])</f>
        <v/>
      </c>
      <c r="T163" s="67"/>
      <c r="U163" s="65"/>
      <c r="V163" s="72"/>
      <c r="W163" s="16"/>
      <c r="X163" s="63" t="str">
        <f t="shared" si="6"/>
        <v/>
      </c>
      <c r="Y163" s="63" t="str">
        <f t="shared" si="7"/>
        <v/>
      </c>
      <c r="Z163" s="63" t="str">
        <f t="shared" si="8"/>
        <v/>
      </c>
      <c r="AA163" s="63" t="str">
        <f>TEXT(Table111[[#This Row],[YEAR]],"0000")&amp;"-"&amp;Table111[[#This Row],[MONTH]]</f>
        <v>-</v>
      </c>
    </row>
    <row r="164" spans="2:27" x14ac:dyDescent="0.3">
      <c r="B164" s="68"/>
      <c r="C164" s="68"/>
      <c r="D164" s="68"/>
      <c r="E164" s="71"/>
      <c r="F164" s="72"/>
      <c r="G164" s="72"/>
      <c r="H164" s="74"/>
      <c r="I164" s="70"/>
      <c r="J164" s="70"/>
      <c r="K164" s="70"/>
      <c r="L164" s="74"/>
      <c r="M164" s="123"/>
      <c r="N164" s="73"/>
      <c r="O164" s="236"/>
      <c r="P164" s="113"/>
      <c r="Q164" s="113"/>
      <c r="R164" s="156" t="str">
        <f>IF(Table111[[#This Row],[Qty]]="","",Table111[[#This Row],[Qty]]*Table111[[#This Row],[Unit Price]])</f>
        <v/>
      </c>
      <c r="S164" s="156" t="str">
        <f>IF(Table111[[#This Row],[Qty]]="","",Table111[[#This Row],[Qty]]*Table111[[#This Row],[Unit Price]]+Table111[[#This Row],[Delivery Cost]])</f>
        <v/>
      </c>
      <c r="T164" s="67"/>
      <c r="U164" s="65"/>
      <c r="V164" s="72"/>
      <c r="W164" s="220"/>
      <c r="X164" s="63" t="str">
        <f t="shared" si="6"/>
        <v/>
      </c>
      <c r="Y164" s="63" t="str">
        <f t="shared" si="7"/>
        <v/>
      </c>
      <c r="Z164" s="63" t="str">
        <f t="shared" si="8"/>
        <v/>
      </c>
      <c r="AA164" s="63" t="str">
        <f>TEXT(Table111[[#This Row],[YEAR]],"0000")&amp;"-"&amp;Table111[[#This Row],[MONTH]]</f>
        <v>-</v>
      </c>
    </row>
    <row r="165" spans="2:27" x14ac:dyDescent="0.3">
      <c r="B165" s="183"/>
      <c r="C165" s="183"/>
      <c r="D165" s="183"/>
      <c r="E165" s="71"/>
      <c r="F165" s="72"/>
      <c r="G165" s="72"/>
      <c r="H165" s="74"/>
      <c r="I165" s="70"/>
      <c r="J165" s="70"/>
      <c r="K165" s="70"/>
      <c r="L165" s="74"/>
      <c r="M165" s="123"/>
      <c r="N165" s="73"/>
      <c r="O165" s="236"/>
      <c r="P165" s="113"/>
      <c r="Q165" s="113"/>
      <c r="R165" s="156" t="str">
        <f>IF(Table111[[#This Row],[Qty]]="","",Table111[[#This Row],[Qty]]*Table111[[#This Row],[Unit Price]])</f>
        <v/>
      </c>
      <c r="S165" s="156" t="str">
        <f>IF(Table111[[#This Row],[Qty]]="","",Table111[[#This Row],[Qty]]*Table111[[#This Row],[Unit Price]]+Table111[[#This Row],[Delivery Cost]])</f>
        <v/>
      </c>
      <c r="T165" s="67"/>
      <c r="U165" s="65"/>
      <c r="V165" s="72"/>
      <c r="W165" s="16"/>
      <c r="X165" s="63" t="str">
        <f t="shared" si="6"/>
        <v/>
      </c>
      <c r="Y165" s="63" t="str">
        <f t="shared" si="7"/>
        <v/>
      </c>
      <c r="Z165" s="63" t="str">
        <f t="shared" si="8"/>
        <v/>
      </c>
      <c r="AA165" s="63" t="str">
        <f>TEXT(Table111[[#This Row],[YEAR]],"0000")&amp;"-"&amp;Table111[[#This Row],[MONTH]]</f>
        <v>-</v>
      </c>
    </row>
    <row r="166" spans="2:27" x14ac:dyDescent="0.3">
      <c r="B166" s="68"/>
      <c r="C166" s="68"/>
      <c r="D166" s="68"/>
      <c r="E166" s="71"/>
      <c r="F166" s="72"/>
      <c r="G166" s="72"/>
      <c r="H166" s="74"/>
      <c r="I166" s="70"/>
      <c r="J166" s="70"/>
      <c r="K166" s="70"/>
      <c r="L166" s="74"/>
      <c r="M166" s="123"/>
      <c r="N166" s="73"/>
      <c r="O166" s="236"/>
      <c r="P166" s="113"/>
      <c r="Q166" s="113"/>
      <c r="R166" s="156" t="str">
        <f>IF(Table111[[#This Row],[Qty]]="","",Table111[[#This Row],[Qty]]*Table111[[#This Row],[Unit Price]])</f>
        <v/>
      </c>
      <c r="S166" s="156" t="str">
        <f>IF(Table111[[#This Row],[Qty]]="","",Table111[[#This Row],[Qty]]*Table111[[#This Row],[Unit Price]]+Table111[[#This Row],[Delivery Cost]])</f>
        <v/>
      </c>
      <c r="T166" s="67"/>
      <c r="U166" s="65"/>
      <c r="V166" s="72"/>
      <c r="W166" s="220"/>
      <c r="X166" s="63" t="str">
        <f t="shared" si="6"/>
        <v/>
      </c>
      <c r="Y166" s="63" t="str">
        <f t="shared" si="7"/>
        <v/>
      </c>
      <c r="Z166" s="63" t="str">
        <f t="shared" si="8"/>
        <v/>
      </c>
      <c r="AA166" s="63" t="str">
        <f>TEXT(Table111[[#This Row],[YEAR]],"0000")&amp;"-"&amp;Table111[[#This Row],[MONTH]]</f>
        <v>-</v>
      </c>
    </row>
    <row r="167" spans="2:27" x14ac:dyDescent="0.3">
      <c r="B167" s="183"/>
      <c r="C167" s="183"/>
      <c r="D167" s="183"/>
      <c r="E167" s="71"/>
      <c r="F167" s="72"/>
      <c r="G167" s="72"/>
      <c r="H167" s="74"/>
      <c r="I167" s="70"/>
      <c r="J167" s="70"/>
      <c r="K167" s="70"/>
      <c r="L167" s="74"/>
      <c r="M167" s="123"/>
      <c r="N167" s="73"/>
      <c r="O167" s="236"/>
      <c r="P167" s="113"/>
      <c r="Q167" s="113"/>
      <c r="R167" s="156" t="str">
        <f>IF(Table111[[#This Row],[Qty]]="","",Table111[[#This Row],[Qty]]*Table111[[#This Row],[Unit Price]])</f>
        <v/>
      </c>
      <c r="S167" s="156" t="str">
        <f>IF(Table111[[#This Row],[Qty]]="","",Table111[[#This Row],[Qty]]*Table111[[#This Row],[Unit Price]]+Table111[[#This Row],[Delivery Cost]])</f>
        <v/>
      </c>
      <c r="T167" s="67"/>
      <c r="U167" s="65"/>
      <c r="V167" s="72"/>
      <c r="W167" s="16"/>
      <c r="X167" s="63" t="str">
        <f t="shared" si="6"/>
        <v/>
      </c>
      <c r="Y167" s="63" t="str">
        <f t="shared" si="7"/>
        <v/>
      </c>
      <c r="Z167" s="63" t="str">
        <f t="shared" si="8"/>
        <v/>
      </c>
      <c r="AA167" s="63" t="str">
        <f>TEXT(Table111[[#This Row],[YEAR]],"0000")&amp;"-"&amp;Table111[[#This Row],[MONTH]]</f>
        <v>-</v>
      </c>
    </row>
    <row r="168" spans="2:27" x14ac:dyDescent="0.3">
      <c r="B168" s="68"/>
      <c r="C168" s="68"/>
      <c r="D168" s="68"/>
      <c r="E168" s="71"/>
      <c r="F168" s="72"/>
      <c r="G168" s="72"/>
      <c r="H168" s="74"/>
      <c r="I168" s="70"/>
      <c r="J168" s="70"/>
      <c r="K168" s="70"/>
      <c r="L168" s="74"/>
      <c r="M168" s="123"/>
      <c r="N168" s="73"/>
      <c r="O168" s="236"/>
      <c r="P168" s="113"/>
      <c r="Q168" s="113"/>
      <c r="R168" s="156" t="str">
        <f>IF(Table111[[#This Row],[Qty]]="","",Table111[[#This Row],[Qty]]*Table111[[#This Row],[Unit Price]])</f>
        <v/>
      </c>
      <c r="S168" s="156" t="str">
        <f>IF(Table111[[#This Row],[Qty]]="","",Table111[[#This Row],[Qty]]*Table111[[#This Row],[Unit Price]]+Table111[[#This Row],[Delivery Cost]])</f>
        <v/>
      </c>
      <c r="T168" s="67"/>
      <c r="U168" s="65"/>
      <c r="V168" s="72"/>
      <c r="W168" s="220"/>
      <c r="X168" s="63" t="str">
        <f t="shared" si="6"/>
        <v/>
      </c>
      <c r="Y168" s="63" t="str">
        <f t="shared" si="7"/>
        <v/>
      </c>
      <c r="Z168" s="63" t="str">
        <f t="shared" si="8"/>
        <v/>
      </c>
      <c r="AA168" s="63" t="str">
        <f>TEXT(Table111[[#This Row],[YEAR]],"0000")&amp;"-"&amp;Table111[[#This Row],[MONTH]]</f>
        <v>-</v>
      </c>
    </row>
    <row r="169" spans="2:27" x14ac:dyDescent="0.3">
      <c r="B169" s="183"/>
      <c r="C169" s="183"/>
      <c r="D169" s="183"/>
      <c r="E169" s="71"/>
      <c r="F169" s="72"/>
      <c r="G169" s="72"/>
      <c r="H169" s="74"/>
      <c r="I169" s="70"/>
      <c r="J169" s="70"/>
      <c r="K169" s="70"/>
      <c r="L169" s="74"/>
      <c r="M169" s="123"/>
      <c r="N169" s="73"/>
      <c r="O169" s="236"/>
      <c r="P169" s="117"/>
      <c r="Q169" s="117"/>
      <c r="R169" s="156" t="str">
        <f>IF(Table111[[#This Row],[Qty]]="","",Table111[[#This Row],[Qty]]*Table111[[#This Row],[Unit Price]])</f>
        <v/>
      </c>
      <c r="S169" s="156" t="str">
        <f>IF(Table111[[#This Row],[Qty]]="","",Table111[[#This Row],[Qty]]*Table111[[#This Row],[Unit Price]]+Table111[[#This Row],[Delivery Cost]])</f>
        <v/>
      </c>
      <c r="T169" s="72"/>
      <c r="U169" s="72"/>
      <c r="V169" s="72"/>
      <c r="W169" s="16"/>
      <c r="X169" s="63" t="str">
        <f t="shared" si="6"/>
        <v/>
      </c>
      <c r="Y169" s="63" t="str">
        <f t="shared" si="7"/>
        <v/>
      </c>
      <c r="Z169" s="63" t="str">
        <f t="shared" si="8"/>
        <v/>
      </c>
      <c r="AA169" s="63" t="str">
        <f>TEXT(Table111[[#This Row],[YEAR]],"0000")&amp;"-"&amp;Table111[[#This Row],[MONTH]]</f>
        <v>-</v>
      </c>
    </row>
    <row r="170" spans="2:27" x14ac:dyDescent="0.3">
      <c r="B170" s="68"/>
      <c r="C170" s="68"/>
      <c r="D170" s="68"/>
      <c r="E170" s="71"/>
      <c r="F170" s="72"/>
      <c r="G170" s="72"/>
      <c r="H170" s="74"/>
      <c r="I170" s="70"/>
      <c r="J170" s="70"/>
      <c r="K170" s="70"/>
      <c r="L170" s="74"/>
      <c r="M170" s="123"/>
      <c r="N170" s="73"/>
      <c r="O170" s="236"/>
      <c r="P170" s="117"/>
      <c r="Q170" s="117"/>
      <c r="R170" s="156" t="str">
        <f>IF(Table111[[#This Row],[Qty]]="","",Table111[[#This Row],[Qty]]*Table111[[#This Row],[Unit Price]])</f>
        <v/>
      </c>
      <c r="S170" s="156" t="str">
        <f>IF(Table111[[#This Row],[Qty]]="","",Table111[[#This Row],[Qty]]*Table111[[#This Row],[Unit Price]]+Table111[[#This Row],[Delivery Cost]])</f>
        <v/>
      </c>
      <c r="T170" s="72"/>
      <c r="U170" s="72"/>
      <c r="V170" s="72"/>
      <c r="W170" s="220"/>
      <c r="X170" s="63" t="str">
        <f t="shared" si="6"/>
        <v/>
      </c>
      <c r="Y170" s="63" t="str">
        <f t="shared" si="7"/>
        <v/>
      </c>
      <c r="Z170" s="63" t="str">
        <f t="shared" si="8"/>
        <v/>
      </c>
      <c r="AA170" s="63" t="str">
        <f>TEXT(Table111[[#This Row],[YEAR]],"0000")&amp;"-"&amp;Table111[[#This Row],[MONTH]]</f>
        <v>-</v>
      </c>
    </row>
    <row r="171" spans="2:27" x14ac:dyDescent="0.3">
      <c r="B171" s="183"/>
      <c r="C171" s="183"/>
      <c r="D171" s="183"/>
      <c r="E171" s="71"/>
      <c r="F171" s="72"/>
      <c r="G171" s="72"/>
      <c r="H171" s="74"/>
      <c r="I171" s="70"/>
      <c r="J171" s="70"/>
      <c r="K171" s="70"/>
      <c r="L171" s="74"/>
      <c r="M171" s="123"/>
      <c r="N171" s="73"/>
      <c r="O171" s="236"/>
      <c r="P171" s="117"/>
      <c r="Q171" s="117"/>
      <c r="R171" s="156" t="str">
        <f>IF(Table111[[#This Row],[Qty]]="","",Table111[[#This Row],[Qty]]*Table111[[#This Row],[Unit Price]])</f>
        <v/>
      </c>
      <c r="S171" s="156" t="str">
        <f>IF(Table111[[#This Row],[Qty]]="","",Table111[[#This Row],[Qty]]*Table111[[#This Row],[Unit Price]]+Table111[[#This Row],[Delivery Cost]])</f>
        <v/>
      </c>
      <c r="T171" s="72"/>
      <c r="U171" s="72"/>
      <c r="V171" s="72"/>
      <c r="W171" s="16"/>
      <c r="X171" s="63" t="str">
        <f t="shared" si="6"/>
        <v/>
      </c>
      <c r="Y171" s="63" t="str">
        <f t="shared" si="7"/>
        <v/>
      </c>
      <c r="Z171" s="63" t="str">
        <f t="shared" si="8"/>
        <v/>
      </c>
      <c r="AA171" s="63" t="str">
        <f>TEXT(Table111[[#This Row],[YEAR]],"0000")&amp;"-"&amp;Table111[[#This Row],[MONTH]]</f>
        <v>-</v>
      </c>
    </row>
    <row r="172" spans="2:27" x14ac:dyDescent="0.3">
      <c r="B172" s="68"/>
      <c r="C172" s="68"/>
      <c r="D172" s="68"/>
      <c r="E172" s="71"/>
      <c r="F172" s="72"/>
      <c r="G172" s="72"/>
      <c r="H172" s="74"/>
      <c r="I172" s="70"/>
      <c r="J172" s="70"/>
      <c r="K172" s="70"/>
      <c r="L172" s="74"/>
      <c r="M172" s="123"/>
      <c r="N172" s="73"/>
      <c r="O172" s="236"/>
      <c r="P172" s="117"/>
      <c r="Q172" s="117"/>
      <c r="R172" s="156" t="str">
        <f>IF(Table111[[#This Row],[Qty]]="","",Table111[[#This Row],[Qty]]*Table111[[#This Row],[Unit Price]])</f>
        <v/>
      </c>
      <c r="S172" s="156" t="str">
        <f>IF(Table111[[#This Row],[Qty]]="","",Table111[[#This Row],[Qty]]*Table111[[#This Row],[Unit Price]]+Table111[[#This Row],[Delivery Cost]])</f>
        <v/>
      </c>
      <c r="T172" s="72"/>
      <c r="U172" s="72"/>
      <c r="V172" s="72"/>
      <c r="W172" s="220"/>
      <c r="X172" s="63" t="str">
        <f t="shared" si="6"/>
        <v/>
      </c>
      <c r="Y172" s="63" t="str">
        <f t="shared" si="7"/>
        <v/>
      </c>
      <c r="Z172" s="63" t="str">
        <f t="shared" si="8"/>
        <v/>
      </c>
      <c r="AA172" s="63" t="str">
        <f>TEXT(Table111[[#This Row],[YEAR]],"0000")&amp;"-"&amp;Table111[[#This Row],[MONTH]]</f>
        <v>-</v>
      </c>
    </row>
    <row r="173" spans="2:27" x14ac:dyDescent="0.3">
      <c r="B173" s="183"/>
      <c r="C173" s="183"/>
      <c r="D173" s="183"/>
      <c r="E173" s="71"/>
      <c r="F173" s="72"/>
      <c r="G173" s="72"/>
      <c r="H173" s="74"/>
      <c r="I173" s="70"/>
      <c r="J173" s="70"/>
      <c r="K173" s="70"/>
      <c r="L173" s="74"/>
      <c r="M173" s="123"/>
      <c r="N173" s="73"/>
      <c r="O173" s="236"/>
      <c r="P173" s="117"/>
      <c r="Q173" s="117"/>
      <c r="R173" s="156" t="str">
        <f>IF(Table111[[#This Row],[Qty]]="","",Table111[[#This Row],[Qty]]*Table111[[#This Row],[Unit Price]])</f>
        <v/>
      </c>
      <c r="S173" s="156" t="str">
        <f>IF(Table111[[#This Row],[Qty]]="","",Table111[[#This Row],[Qty]]*Table111[[#This Row],[Unit Price]]+Table111[[#This Row],[Delivery Cost]])</f>
        <v/>
      </c>
      <c r="T173" s="72"/>
      <c r="U173" s="72"/>
      <c r="V173" s="72"/>
      <c r="W173" s="16"/>
      <c r="X173" s="63" t="str">
        <f t="shared" si="6"/>
        <v/>
      </c>
      <c r="Y173" s="63" t="str">
        <f t="shared" si="7"/>
        <v/>
      </c>
      <c r="Z173" s="63" t="str">
        <f t="shared" si="8"/>
        <v/>
      </c>
      <c r="AA173" s="63" t="str">
        <f>TEXT(Table111[[#This Row],[YEAR]],"0000")&amp;"-"&amp;Table111[[#This Row],[MONTH]]</f>
        <v>-</v>
      </c>
    </row>
    <row r="174" spans="2:27" x14ac:dyDescent="0.3">
      <c r="B174" s="68"/>
      <c r="C174" s="68"/>
      <c r="D174" s="68"/>
      <c r="E174" s="71"/>
      <c r="F174" s="72"/>
      <c r="G174" s="72"/>
      <c r="H174" s="74"/>
      <c r="I174" s="70"/>
      <c r="J174" s="70"/>
      <c r="K174" s="70"/>
      <c r="L174" s="74"/>
      <c r="M174" s="123"/>
      <c r="N174" s="73"/>
      <c r="O174" s="236"/>
      <c r="P174" s="117"/>
      <c r="Q174" s="117"/>
      <c r="R174" s="156" t="str">
        <f>IF(Table111[[#This Row],[Qty]]="","",Table111[[#This Row],[Qty]]*Table111[[#This Row],[Unit Price]])</f>
        <v/>
      </c>
      <c r="S174" s="156" t="str">
        <f>IF(Table111[[#This Row],[Qty]]="","",Table111[[#This Row],[Qty]]*Table111[[#This Row],[Unit Price]]+Table111[[#This Row],[Delivery Cost]])</f>
        <v/>
      </c>
      <c r="T174" s="72"/>
      <c r="U174" s="72"/>
      <c r="V174" s="72"/>
      <c r="W174" s="220"/>
      <c r="X174" s="63" t="str">
        <f t="shared" si="6"/>
        <v/>
      </c>
      <c r="Y174" s="63" t="str">
        <f t="shared" si="7"/>
        <v/>
      </c>
      <c r="Z174" s="63" t="str">
        <f t="shared" si="8"/>
        <v/>
      </c>
      <c r="AA174" s="63" t="str">
        <f>TEXT(Table111[[#This Row],[YEAR]],"0000")&amp;"-"&amp;Table111[[#This Row],[MONTH]]</f>
        <v>-</v>
      </c>
    </row>
    <row r="175" spans="2:27" x14ac:dyDescent="0.3">
      <c r="B175" s="183"/>
      <c r="C175" s="183"/>
      <c r="D175" s="183"/>
      <c r="E175" s="71"/>
      <c r="F175" s="72"/>
      <c r="G175" s="72"/>
      <c r="H175" s="74"/>
      <c r="I175" s="70"/>
      <c r="J175" s="70"/>
      <c r="K175" s="70"/>
      <c r="L175" s="74"/>
      <c r="M175" s="123"/>
      <c r="N175" s="73"/>
      <c r="O175" s="236"/>
      <c r="P175" s="117"/>
      <c r="Q175" s="117"/>
      <c r="R175" s="156" t="str">
        <f>IF(Table111[[#This Row],[Qty]]="","",Table111[[#This Row],[Qty]]*Table111[[#This Row],[Unit Price]])</f>
        <v/>
      </c>
      <c r="S175" s="156" t="str">
        <f>IF(Table111[[#This Row],[Qty]]="","",Table111[[#This Row],[Qty]]*Table111[[#This Row],[Unit Price]]+Table111[[#This Row],[Delivery Cost]])</f>
        <v/>
      </c>
      <c r="T175" s="72"/>
      <c r="U175" s="72"/>
      <c r="V175" s="72"/>
      <c r="W175" s="16"/>
      <c r="X175" s="63" t="str">
        <f t="shared" si="6"/>
        <v/>
      </c>
      <c r="Y175" s="63" t="str">
        <f t="shared" si="7"/>
        <v/>
      </c>
      <c r="Z175" s="63" t="str">
        <f t="shared" si="8"/>
        <v/>
      </c>
      <c r="AA175" s="63" t="str">
        <f>TEXT(Table111[[#This Row],[YEAR]],"0000")&amp;"-"&amp;Table111[[#This Row],[MONTH]]</f>
        <v>-</v>
      </c>
    </row>
    <row r="176" spans="2:27" x14ac:dyDescent="0.3">
      <c r="B176" s="68"/>
      <c r="C176" s="68"/>
      <c r="D176" s="68"/>
      <c r="E176" s="71"/>
      <c r="F176" s="72"/>
      <c r="G176" s="72"/>
      <c r="H176" s="74"/>
      <c r="I176" s="70"/>
      <c r="J176" s="70"/>
      <c r="K176" s="70"/>
      <c r="L176" s="74"/>
      <c r="M176" s="123"/>
      <c r="N176" s="73"/>
      <c r="O176" s="236"/>
      <c r="P176" s="117"/>
      <c r="Q176" s="117"/>
      <c r="R176" s="156" t="str">
        <f>IF(Table111[[#This Row],[Qty]]="","",Table111[[#This Row],[Qty]]*Table111[[#This Row],[Unit Price]])</f>
        <v/>
      </c>
      <c r="S176" s="156" t="str">
        <f>IF(Table111[[#This Row],[Qty]]="","",Table111[[#This Row],[Qty]]*Table111[[#This Row],[Unit Price]]+Table111[[#This Row],[Delivery Cost]])</f>
        <v/>
      </c>
      <c r="T176" s="72"/>
      <c r="U176" s="72"/>
      <c r="V176" s="72"/>
      <c r="W176" s="220"/>
      <c r="X176" s="63" t="str">
        <f t="shared" si="6"/>
        <v/>
      </c>
      <c r="Y176" s="63" t="str">
        <f t="shared" si="7"/>
        <v/>
      </c>
      <c r="Z176" s="63" t="str">
        <f t="shared" si="8"/>
        <v/>
      </c>
      <c r="AA176" s="63" t="str">
        <f>TEXT(Table111[[#This Row],[YEAR]],"0000")&amp;"-"&amp;Table111[[#This Row],[MONTH]]</f>
        <v>-</v>
      </c>
    </row>
    <row r="177" spans="2:27" x14ac:dyDescent="0.3">
      <c r="B177" s="183"/>
      <c r="C177" s="183"/>
      <c r="D177" s="183"/>
      <c r="E177" s="71"/>
      <c r="F177" s="72"/>
      <c r="G177" s="72"/>
      <c r="H177" s="74"/>
      <c r="I177" s="70"/>
      <c r="J177" s="70"/>
      <c r="K177" s="70"/>
      <c r="L177" s="74"/>
      <c r="M177" s="123"/>
      <c r="N177" s="73"/>
      <c r="O177" s="236"/>
      <c r="P177" s="117"/>
      <c r="Q177" s="117"/>
      <c r="R177" s="156" t="str">
        <f>IF(Table111[[#This Row],[Qty]]="","",Table111[[#This Row],[Qty]]*Table111[[#This Row],[Unit Price]])</f>
        <v/>
      </c>
      <c r="S177" s="156" t="str">
        <f>IF(Table111[[#This Row],[Qty]]="","",Table111[[#This Row],[Qty]]*Table111[[#This Row],[Unit Price]]+Table111[[#This Row],[Delivery Cost]])</f>
        <v/>
      </c>
      <c r="T177" s="72"/>
      <c r="U177" s="72"/>
      <c r="V177" s="72"/>
      <c r="W177" s="16"/>
      <c r="X177" s="63" t="str">
        <f t="shared" si="6"/>
        <v/>
      </c>
      <c r="Y177" s="63" t="str">
        <f t="shared" si="7"/>
        <v/>
      </c>
      <c r="Z177" s="63" t="str">
        <f t="shared" si="8"/>
        <v/>
      </c>
      <c r="AA177" s="63" t="str">
        <f>TEXT(Table111[[#This Row],[YEAR]],"0000")&amp;"-"&amp;Table111[[#This Row],[MONTH]]</f>
        <v>-</v>
      </c>
    </row>
    <row r="178" spans="2:27" x14ac:dyDescent="0.3">
      <c r="B178" s="68"/>
      <c r="C178" s="68"/>
      <c r="D178" s="68"/>
      <c r="E178" s="71"/>
      <c r="F178" s="72"/>
      <c r="G178" s="72"/>
      <c r="H178" s="74"/>
      <c r="I178" s="70"/>
      <c r="J178" s="70"/>
      <c r="K178" s="70"/>
      <c r="L178" s="74"/>
      <c r="M178" s="123"/>
      <c r="N178" s="73"/>
      <c r="O178" s="236"/>
      <c r="P178" s="117"/>
      <c r="Q178" s="117"/>
      <c r="R178" s="156" t="str">
        <f>IF(Table111[[#This Row],[Qty]]="","",Table111[[#This Row],[Qty]]*Table111[[#This Row],[Unit Price]])</f>
        <v/>
      </c>
      <c r="S178" s="156" t="str">
        <f>IF(Table111[[#This Row],[Qty]]="","",Table111[[#This Row],[Qty]]*Table111[[#This Row],[Unit Price]]+Table111[[#This Row],[Delivery Cost]])</f>
        <v/>
      </c>
      <c r="T178" s="72"/>
      <c r="U178" s="72"/>
      <c r="V178" s="72"/>
      <c r="W178" s="220"/>
      <c r="X178" s="63" t="str">
        <f t="shared" si="6"/>
        <v/>
      </c>
      <c r="Y178" s="63" t="str">
        <f t="shared" si="7"/>
        <v/>
      </c>
      <c r="Z178" s="63" t="str">
        <f t="shared" si="8"/>
        <v/>
      </c>
      <c r="AA178" s="63" t="str">
        <f>TEXT(Table111[[#This Row],[YEAR]],"0000")&amp;"-"&amp;Table111[[#This Row],[MONTH]]</f>
        <v>-</v>
      </c>
    </row>
    <row r="179" spans="2:27" x14ac:dyDescent="0.3">
      <c r="B179" s="183"/>
      <c r="C179" s="183"/>
      <c r="D179" s="183"/>
      <c r="E179" s="71"/>
      <c r="F179" s="72"/>
      <c r="G179" s="72"/>
      <c r="H179" s="74"/>
      <c r="I179" s="70"/>
      <c r="J179" s="70"/>
      <c r="K179" s="70"/>
      <c r="L179" s="74"/>
      <c r="M179" s="123"/>
      <c r="N179" s="73"/>
      <c r="O179" s="236"/>
      <c r="P179" s="117"/>
      <c r="Q179" s="117"/>
      <c r="R179" s="156" t="str">
        <f>IF(Table111[[#This Row],[Qty]]="","",Table111[[#This Row],[Qty]]*Table111[[#This Row],[Unit Price]])</f>
        <v/>
      </c>
      <c r="S179" s="156" t="str">
        <f>IF(Table111[[#This Row],[Qty]]="","",Table111[[#This Row],[Qty]]*Table111[[#This Row],[Unit Price]]+Table111[[#This Row],[Delivery Cost]])</f>
        <v/>
      </c>
      <c r="T179" s="72"/>
      <c r="U179" s="72"/>
      <c r="V179" s="72"/>
      <c r="W179" s="16"/>
      <c r="X179" s="63" t="str">
        <f t="shared" si="6"/>
        <v/>
      </c>
      <c r="Y179" s="63" t="str">
        <f t="shared" si="7"/>
        <v/>
      </c>
      <c r="Z179" s="63" t="str">
        <f t="shared" si="8"/>
        <v/>
      </c>
      <c r="AA179" s="63" t="str">
        <f>TEXT(Table111[[#This Row],[YEAR]],"0000")&amp;"-"&amp;Table111[[#This Row],[MONTH]]</f>
        <v>-</v>
      </c>
    </row>
    <row r="180" spans="2:27" x14ac:dyDescent="0.3">
      <c r="B180" s="68"/>
      <c r="C180" s="68"/>
      <c r="D180" s="68"/>
      <c r="E180" s="71"/>
      <c r="F180" s="72"/>
      <c r="G180" s="72"/>
      <c r="H180" s="74"/>
      <c r="I180" s="70"/>
      <c r="J180" s="70"/>
      <c r="K180" s="70"/>
      <c r="L180" s="74"/>
      <c r="M180" s="123"/>
      <c r="N180" s="73"/>
      <c r="O180" s="236"/>
      <c r="P180" s="117"/>
      <c r="Q180" s="117"/>
      <c r="R180" s="156" t="str">
        <f>IF(Table111[[#This Row],[Qty]]="","",Table111[[#This Row],[Qty]]*Table111[[#This Row],[Unit Price]])</f>
        <v/>
      </c>
      <c r="S180" s="156" t="str">
        <f>IF(Table111[[#This Row],[Qty]]="","",Table111[[#This Row],[Qty]]*Table111[[#This Row],[Unit Price]]+Table111[[#This Row],[Delivery Cost]])</f>
        <v/>
      </c>
      <c r="T180" s="72"/>
      <c r="U180" s="72"/>
      <c r="V180" s="72"/>
      <c r="W180" s="220"/>
      <c r="X180" s="63" t="str">
        <f t="shared" si="6"/>
        <v/>
      </c>
      <c r="Y180" s="63" t="str">
        <f t="shared" si="7"/>
        <v/>
      </c>
      <c r="Z180" s="63" t="str">
        <f t="shared" si="8"/>
        <v/>
      </c>
      <c r="AA180" s="63" t="str">
        <f>TEXT(Table111[[#This Row],[YEAR]],"0000")&amp;"-"&amp;Table111[[#This Row],[MONTH]]</f>
        <v>-</v>
      </c>
    </row>
    <row r="181" spans="2:27" x14ac:dyDescent="0.3">
      <c r="B181" s="183"/>
      <c r="C181" s="183"/>
      <c r="D181" s="183"/>
      <c r="E181" s="71"/>
      <c r="F181" s="72"/>
      <c r="G181" s="72"/>
      <c r="H181" s="74"/>
      <c r="I181" s="70"/>
      <c r="J181" s="70"/>
      <c r="K181" s="70"/>
      <c r="L181" s="74"/>
      <c r="M181" s="123"/>
      <c r="N181" s="73"/>
      <c r="O181" s="236"/>
      <c r="P181" s="117"/>
      <c r="Q181" s="117"/>
      <c r="R181" s="156" t="str">
        <f>IF(Table111[[#This Row],[Qty]]="","",Table111[[#This Row],[Qty]]*Table111[[#This Row],[Unit Price]])</f>
        <v/>
      </c>
      <c r="S181" s="156" t="str">
        <f>IF(Table111[[#This Row],[Qty]]="","",Table111[[#This Row],[Qty]]*Table111[[#This Row],[Unit Price]]+Table111[[#This Row],[Delivery Cost]])</f>
        <v/>
      </c>
      <c r="T181" s="72"/>
      <c r="U181" s="72"/>
      <c r="V181" s="72"/>
      <c r="W181" s="16"/>
      <c r="X181" s="63" t="str">
        <f t="shared" si="6"/>
        <v/>
      </c>
      <c r="Y181" s="63" t="str">
        <f t="shared" si="7"/>
        <v/>
      </c>
      <c r="Z181" s="63" t="str">
        <f t="shared" si="8"/>
        <v/>
      </c>
      <c r="AA181" s="63" t="str">
        <f>TEXT(Table111[[#This Row],[YEAR]],"0000")&amp;"-"&amp;Table111[[#This Row],[MONTH]]</f>
        <v>-</v>
      </c>
    </row>
    <row r="182" spans="2:27" x14ac:dyDescent="0.3">
      <c r="B182" s="68"/>
      <c r="C182" s="68"/>
      <c r="D182" s="68"/>
      <c r="E182" s="71"/>
      <c r="F182" s="72"/>
      <c r="G182" s="72"/>
      <c r="H182" s="74"/>
      <c r="I182" s="70"/>
      <c r="J182" s="70"/>
      <c r="K182" s="70"/>
      <c r="L182" s="74"/>
      <c r="M182" s="123"/>
      <c r="N182" s="73"/>
      <c r="O182" s="236"/>
      <c r="P182" s="117"/>
      <c r="Q182" s="117"/>
      <c r="R182" s="156" t="str">
        <f>IF(Table111[[#This Row],[Qty]]="","",Table111[[#This Row],[Qty]]*Table111[[#This Row],[Unit Price]])</f>
        <v/>
      </c>
      <c r="S182" s="156" t="str">
        <f>IF(Table111[[#This Row],[Qty]]="","",Table111[[#This Row],[Qty]]*Table111[[#This Row],[Unit Price]]+Table111[[#This Row],[Delivery Cost]])</f>
        <v/>
      </c>
      <c r="T182" s="72"/>
      <c r="U182" s="72"/>
      <c r="V182" s="72"/>
      <c r="W182" s="220"/>
      <c r="X182" s="63" t="str">
        <f t="shared" si="6"/>
        <v/>
      </c>
      <c r="Y182" s="63" t="str">
        <f t="shared" si="7"/>
        <v/>
      </c>
      <c r="Z182" s="63" t="str">
        <f t="shared" si="8"/>
        <v/>
      </c>
      <c r="AA182" s="63" t="str">
        <f>TEXT(Table111[[#This Row],[YEAR]],"0000")&amp;"-"&amp;Table111[[#This Row],[MONTH]]</f>
        <v>-</v>
      </c>
    </row>
    <row r="183" spans="2:27" x14ac:dyDescent="0.3">
      <c r="B183" s="183"/>
      <c r="C183" s="183"/>
      <c r="D183" s="183"/>
      <c r="E183" s="71"/>
      <c r="F183" s="72"/>
      <c r="G183" s="72"/>
      <c r="H183" s="74"/>
      <c r="I183" s="70"/>
      <c r="J183" s="70"/>
      <c r="K183" s="70"/>
      <c r="L183" s="74"/>
      <c r="M183" s="123"/>
      <c r="N183" s="73"/>
      <c r="O183" s="236"/>
      <c r="P183" s="117"/>
      <c r="Q183" s="117"/>
      <c r="R183" s="156" t="str">
        <f>IF(Table111[[#This Row],[Qty]]="","",Table111[[#This Row],[Qty]]*Table111[[#This Row],[Unit Price]])</f>
        <v/>
      </c>
      <c r="S183" s="156" t="str">
        <f>IF(Table111[[#This Row],[Qty]]="","",Table111[[#This Row],[Qty]]*Table111[[#This Row],[Unit Price]]+Table111[[#This Row],[Delivery Cost]])</f>
        <v/>
      </c>
      <c r="T183" s="72"/>
      <c r="U183" s="72"/>
      <c r="V183" s="72"/>
      <c r="W183" s="16"/>
      <c r="X183" s="63" t="str">
        <f t="shared" si="6"/>
        <v/>
      </c>
      <c r="Y183" s="63" t="str">
        <f t="shared" si="7"/>
        <v/>
      </c>
      <c r="Z183" s="63" t="str">
        <f t="shared" si="8"/>
        <v/>
      </c>
      <c r="AA183" s="63" t="str">
        <f>TEXT(Table111[[#This Row],[YEAR]],"0000")&amp;"-"&amp;Table111[[#This Row],[MONTH]]</f>
        <v>-</v>
      </c>
    </row>
    <row r="184" spans="2:27" x14ac:dyDescent="0.3">
      <c r="B184" s="183"/>
      <c r="C184" s="183"/>
      <c r="D184" s="183"/>
      <c r="E184" s="71"/>
      <c r="F184" s="72"/>
      <c r="G184" s="72"/>
      <c r="H184" s="74"/>
      <c r="I184" s="70"/>
      <c r="J184" s="70"/>
      <c r="K184" s="70"/>
      <c r="L184" s="74"/>
      <c r="M184" s="123"/>
      <c r="N184" s="73"/>
      <c r="O184" s="236"/>
      <c r="P184" s="113"/>
      <c r="Q184" s="113"/>
      <c r="R184" s="156" t="str">
        <f>IF(Table111[[#This Row],[Qty]]="","",Table111[[#This Row],[Qty]]*Table111[[#This Row],[Unit Price]])</f>
        <v/>
      </c>
      <c r="S184" s="156" t="str">
        <f>IF(Table111[[#This Row],[Qty]]="","",Table111[[#This Row],[Qty]]*Table111[[#This Row],[Unit Price]]+Table111[[#This Row],[Delivery Cost]])</f>
        <v/>
      </c>
      <c r="T184" s="67"/>
      <c r="U184" s="65"/>
      <c r="V184" s="72"/>
      <c r="W184" s="65"/>
      <c r="X184" s="63" t="str">
        <f t="shared" si="6"/>
        <v/>
      </c>
      <c r="Y184" s="63" t="str">
        <f t="shared" si="7"/>
        <v/>
      </c>
      <c r="Z184" s="63" t="str">
        <f t="shared" si="8"/>
        <v/>
      </c>
      <c r="AA184" s="63" t="str">
        <f>TEXT(Table111[[#This Row],[YEAR]],"0000")&amp;"-"&amp;Table111[[#This Row],[MONTH]]</f>
        <v>-</v>
      </c>
    </row>
    <row r="185" spans="2:27" x14ac:dyDescent="0.3">
      <c r="B185" s="68"/>
      <c r="C185" s="68"/>
      <c r="D185" s="68"/>
      <c r="E185" s="71"/>
      <c r="F185" s="72"/>
      <c r="G185" s="72"/>
      <c r="H185" s="74"/>
      <c r="I185" s="70"/>
      <c r="J185" s="70"/>
      <c r="K185" s="70"/>
      <c r="L185" s="74"/>
      <c r="M185" s="123"/>
      <c r="N185" s="73"/>
      <c r="O185" s="236"/>
      <c r="P185" s="117"/>
      <c r="Q185" s="117"/>
      <c r="R185" s="156" t="str">
        <f>IF(Table111[[#This Row],[Qty]]="","",Table111[[#This Row],[Qty]]*Table111[[#This Row],[Unit Price]])</f>
        <v/>
      </c>
      <c r="S185" s="156" t="str">
        <f>IF(Table111[[#This Row],[Qty]]="","",Table111[[#This Row],[Qty]]*Table111[[#This Row],[Unit Price]]+Table111[[#This Row],[Delivery Cost]])</f>
        <v/>
      </c>
      <c r="T185" s="72"/>
      <c r="U185" s="65"/>
      <c r="V185" s="72"/>
      <c r="W185" s="219"/>
      <c r="X185" s="63" t="str">
        <f t="shared" si="6"/>
        <v/>
      </c>
      <c r="Y185" s="63" t="str">
        <f t="shared" si="7"/>
        <v/>
      </c>
      <c r="Z185" s="63" t="str">
        <f t="shared" si="8"/>
        <v/>
      </c>
      <c r="AA185" s="63" t="str">
        <f>TEXT(Table111[[#This Row],[YEAR]],"0000")&amp;"-"&amp;Table111[[#This Row],[MONTH]]</f>
        <v>-</v>
      </c>
    </row>
    <row r="186" spans="2:27" x14ac:dyDescent="0.3">
      <c r="B186" s="183"/>
      <c r="C186" s="183"/>
      <c r="D186" s="183"/>
      <c r="E186" s="71"/>
      <c r="F186" s="72"/>
      <c r="G186" s="72"/>
      <c r="H186" s="74"/>
      <c r="I186" s="70"/>
      <c r="J186" s="70"/>
      <c r="K186" s="70"/>
      <c r="L186" s="74"/>
      <c r="M186" s="123"/>
      <c r="N186" s="73"/>
      <c r="O186" s="236"/>
      <c r="P186" s="117"/>
      <c r="Q186" s="117"/>
      <c r="R186" s="156" t="str">
        <f>IF(Table111[[#This Row],[Qty]]="","",Table111[[#This Row],[Qty]]*Table111[[#This Row],[Unit Price]])</f>
        <v/>
      </c>
      <c r="S186" s="156" t="str">
        <f>IF(Table111[[#This Row],[Qty]]="","",Table111[[#This Row],[Qty]]*Table111[[#This Row],[Unit Price]]+Table111[[#This Row],[Delivery Cost]])</f>
        <v/>
      </c>
      <c r="T186" s="72"/>
      <c r="U186" s="65"/>
      <c r="V186" s="72"/>
      <c r="W186" s="65"/>
      <c r="X186" s="63" t="str">
        <f t="shared" si="6"/>
        <v/>
      </c>
      <c r="Y186" s="63" t="str">
        <f t="shared" si="7"/>
        <v/>
      </c>
      <c r="Z186" s="63" t="str">
        <f t="shared" si="8"/>
        <v/>
      </c>
      <c r="AA186" s="63" t="str">
        <f>TEXT(Table111[[#This Row],[YEAR]],"0000")&amp;"-"&amp;Table111[[#This Row],[MONTH]]</f>
        <v>-</v>
      </c>
    </row>
    <row r="187" spans="2:27" x14ac:dyDescent="0.3">
      <c r="B187" s="68"/>
      <c r="C187" s="68"/>
      <c r="D187" s="68"/>
      <c r="E187" s="71"/>
      <c r="F187" s="72"/>
      <c r="G187" s="72"/>
      <c r="H187" s="74"/>
      <c r="I187" s="70"/>
      <c r="J187" s="70"/>
      <c r="K187" s="70"/>
      <c r="L187" s="74"/>
      <c r="M187" s="123"/>
      <c r="N187" s="73"/>
      <c r="O187" s="236"/>
      <c r="P187" s="117"/>
      <c r="Q187" s="117"/>
      <c r="R187" s="156" t="str">
        <f>IF(Table111[[#This Row],[Qty]]="","",Table111[[#This Row],[Qty]]*Table111[[#This Row],[Unit Price]])</f>
        <v/>
      </c>
      <c r="S187" s="156" t="str">
        <f>IF(Table111[[#This Row],[Qty]]="","",Table111[[#This Row],[Qty]]*Table111[[#This Row],[Unit Price]]+Table111[[#This Row],[Delivery Cost]])</f>
        <v/>
      </c>
      <c r="T187" s="72"/>
      <c r="U187" s="65"/>
      <c r="V187" s="72"/>
      <c r="W187" s="219"/>
      <c r="X187" s="63" t="str">
        <f t="shared" si="6"/>
        <v/>
      </c>
      <c r="Y187" s="63" t="str">
        <f t="shared" si="7"/>
        <v/>
      </c>
      <c r="Z187" s="63" t="str">
        <f t="shared" si="8"/>
        <v/>
      </c>
      <c r="AA187" s="63" t="str">
        <f>TEXT(Table111[[#This Row],[YEAR]],"0000")&amp;"-"&amp;Table111[[#This Row],[MONTH]]</f>
        <v>-</v>
      </c>
    </row>
    <row r="188" spans="2:27" x14ac:dyDescent="0.3">
      <c r="B188" s="183"/>
      <c r="C188" s="183"/>
      <c r="D188" s="183"/>
      <c r="E188" s="71"/>
      <c r="F188" s="72"/>
      <c r="G188" s="72"/>
      <c r="H188" s="74"/>
      <c r="I188" s="70"/>
      <c r="J188" s="70"/>
      <c r="K188" s="70"/>
      <c r="L188" s="74"/>
      <c r="M188" s="123"/>
      <c r="N188" s="73"/>
      <c r="O188" s="236"/>
      <c r="P188" s="117"/>
      <c r="Q188" s="117"/>
      <c r="R188" s="156" t="str">
        <f>IF(Table111[[#This Row],[Qty]]="","",Table111[[#This Row],[Qty]]*Table111[[#This Row],[Unit Price]])</f>
        <v/>
      </c>
      <c r="S188" s="156" t="str">
        <f>IF(Table111[[#This Row],[Qty]]="","",Table111[[#This Row],[Qty]]*Table111[[#This Row],[Unit Price]]+Table111[[#This Row],[Delivery Cost]])</f>
        <v/>
      </c>
      <c r="T188" s="72"/>
      <c r="U188" s="65"/>
      <c r="V188" s="72"/>
      <c r="W188" s="65"/>
      <c r="X188" s="63" t="str">
        <f t="shared" si="6"/>
        <v/>
      </c>
      <c r="Y188" s="63" t="str">
        <f t="shared" si="7"/>
        <v/>
      </c>
      <c r="Z188" s="63" t="str">
        <f t="shared" si="8"/>
        <v/>
      </c>
      <c r="AA188" s="63" t="str">
        <f>TEXT(Table111[[#This Row],[YEAR]],"0000")&amp;"-"&amp;Table111[[#This Row],[MONTH]]</f>
        <v>-</v>
      </c>
    </row>
    <row r="189" spans="2:27" x14ac:dyDescent="0.3">
      <c r="B189" s="68"/>
      <c r="C189" s="68"/>
      <c r="D189" s="68"/>
      <c r="E189" s="71"/>
      <c r="F189" s="72"/>
      <c r="G189" s="72"/>
      <c r="H189" s="74"/>
      <c r="I189" s="70"/>
      <c r="J189" s="70"/>
      <c r="K189" s="70"/>
      <c r="L189" s="74"/>
      <c r="M189" s="123"/>
      <c r="N189" s="73"/>
      <c r="O189" s="236"/>
      <c r="P189" s="117"/>
      <c r="Q189" s="117"/>
      <c r="R189" s="156" t="str">
        <f>IF(Table111[[#This Row],[Qty]]="","",Table111[[#This Row],[Qty]]*Table111[[#This Row],[Unit Price]])</f>
        <v/>
      </c>
      <c r="S189" s="156" t="str">
        <f>IF(Table111[[#This Row],[Qty]]="","",Table111[[#This Row],[Qty]]*Table111[[#This Row],[Unit Price]]+Table111[[#This Row],[Delivery Cost]])</f>
        <v/>
      </c>
      <c r="T189" s="72"/>
      <c r="U189" s="65"/>
      <c r="V189" s="72"/>
      <c r="W189" s="219"/>
      <c r="X189" s="63" t="str">
        <f t="shared" si="6"/>
        <v/>
      </c>
      <c r="Y189" s="63" t="str">
        <f t="shared" si="7"/>
        <v/>
      </c>
      <c r="Z189" s="63" t="str">
        <f t="shared" si="8"/>
        <v/>
      </c>
      <c r="AA189" s="63" t="str">
        <f>TEXT(Table111[[#This Row],[YEAR]],"0000")&amp;"-"&amp;Table111[[#This Row],[MONTH]]</f>
        <v>-</v>
      </c>
    </row>
    <row r="190" spans="2:27" x14ac:dyDescent="0.3">
      <c r="B190" s="68"/>
      <c r="C190" s="68"/>
      <c r="D190" s="68"/>
      <c r="E190" s="71"/>
      <c r="F190" s="72"/>
      <c r="G190" s="72"/>
      <c r="H190" s="74"/>
      <c r="I190" s="70"/>
      <c r="J190" s="70"/>
      <c r="K190" s="70"/>
      <c r="L190" s="74"/>
      <c r="M190" s="123"/>
      <c r="N190" s="73"/>
      <c r="O190" s="236"/>
      <c r="P190" s="117"/>
      <c r="Q190" s="117"/>
      <c r="R190" s="156" t="str">
        <f>IF(Table111[[#This Row],[Qty]]="","",Table111[[#This Row],[Qty]]*Table111[[#This Row],[Unit Price]])</f>
        <v/>
      </c>
      <c r="S190" s="156" t="str">
        <f>IF(Table111[[#This Row],[Qty]]="","",Table111[[#This Row],[Qty]]*Table111[[#This Row],[Unit Price]]+Table111[[#This Row],[Delivery Cost]])</f>
        <v/>
      </c>
      <c r="T190" s="72"/>
      <c r="U190" s="72"/>
      <c r="V190" s="72"/>
      <c r="W190" s="220"/>
      <c r="X190" s="63" t="str">
        <f t="shared" si="6"/>
        <v/>
      </c>
      <c r="Y190" s="63" t="str">
        <f t="shared" si="7"/>
        <v/>
      </c>
      <c r="Z190" s="63" t="str">
        <f t="shared" si="8"/>
        <v/>
      </c>
      <c r="AA190" s="63" t="str">
        <f>TEXT(Table111[[#This Row],[YEAR]],"0000")&amp;"-"&amp;Table111[[#This Row],[MONTH]]</f>
        <v>-</v>
      </c>
    </row>
    <row r="191" spans="2:27" x14ac:dyDescent="0.3">
      <c r="B191" s="183"/>
      <c r="C191" s="183"/>
      <c r="D191" s="183"/>
      <c r="E191" s="71"/>
      <c r="F191" s="72"/>
      <c r="G191" s="72"/>
      <c r="H191" s="74"/>
      <c r="I191" s="70"/>
      <c r="J191" s="70"/>
      <c r="K191" s="70"/>
      <c r="L191" s="74"/>
      <c r="M191" s="123"/>
      <c r="N191" s="73"/>
      <c r="O191" s="236"/>
      <c r="P191" s="117"/>
      <c r="Q191" s="117"/>
      <c r="R191" s="156" t="str">
        <f>IF(Table111[[#This Row],[Qty]]="","",Table111[[#This Row],[Qty]]*Table111[[#This Row],[Unit Price]])</f>
        <v/>
      </c>
      <c r="S191" s="156" t="str">
        <f>IF(Table111[[#This Row],[Qty]]="","",Table111[[#This Row],[Qty]]*Table111[[#This Row],[Unit Price]]+Table111[[#This Row],[Delivery Cost]])</f>
        <v/>
      </c>
      <c r="T191" s="72"/>
      <c r="U191" s="72"/>
      <c r="V191" s="72"/>
      <c r="W191" s="16"/>
      <c r="X191" s="63" t="str">
        <f t="shared" si="6"/>
        <v/>
      </c>
      <c r="Y191" s="63" t="str">
        <f t="shared" si="7"/>
        <v/>
      </c>
      <c r="Z191" s="63" t="str">
        <f t="shared" si="8"/>
        <v/>
      </c>
      <c r="AA191" s="63" t="str">
        <f>TEXT(Table111[[#This Row],[YEAR]],"0000")&amp;"-"&amp;Table111[[#This Row],[MONTH]]</f>
        <v>-</v>
      </c>
    </row>
    <row r="192" spans="2:27" x14ac:dyDescent="0.3">
      <c r="B192" s="68"/>
      <c r="C192" s="68"/>
      <c r="D192" s="68"/>
      <c r="E192" s="71"/>
      <c r="F192" s="72"/>
      <c r="G192" s="72"/>
      <c r="H192" s="74"/>
      <c r="I192" s="70"/>
      <c r="J192" s="70"/>
      <c r="K192" s="70"/>
      <c r="L192" s="74"/>
      <c r="M192" s="123"/>
      <c r="N192" s="73"/>
      <c r="O192" s="236"/>
      <c r="P192" s="117"/>
      <c r="Q192" s="117"/>
      <c r="R192" s="156" t="str">
        <f>IF(Table111[[#This Row],[Qty]]="","",Table111[[#This Row],[Qty]]*Table111[[#This Row],[Unit Price]])</f>
        <v/>
      </c>
      <c r="S192" s="156" t="str">
        <f>IF(Table111[[#This Row],[Qty]]="","",Table111[[#This Row],[Qty]]*Table111[[#This Row],[Unit Price]]+Table111[[#This Row],[Delivery Cost]])</f>
        <v/>
      </c>
      <c r="T192" s="72"/>
      <c r="U192" s="72"/>
      <c r="V192" s="72"/>
      <c r="W192" s="220"/>
      <c r="X192" s="63" t="str">
        <f t="shared" si="6"/>
        <v/>
      </c>
      <c r="Y192" s="63" t="str">
        <f t="shared" si="7"/>
        <v/>
      </c>
      <c r="Z192" s="63" t="str">
        <f t="shared" si="8"/>
        <v/>
      </c>
      <c r="AA192" s="63" t="str">
        <f>TEXT(Table111[[#This Row],[YEAR]],"0000")&amp;"-"&amp;Table111[[#This Row],[MONTH]]</f>
        <v>-</v>
      </c>
    </row>
    <row r="193" spans="2:27" x14ac:dyDescent="0.3">
      <c r="B193" s="183"/>
      <c r="C193" s="183"/>
      <c r="D193" s="183"/>
      <c r="E193" s="71"/>
      <c r="F193" s="72"/>
      <c r="G193" s="72"/>
      <c r="H193" s="74"/>
      <c r="I193" s="70"/>
      <c r="J193" s="70"/>
      <c r="K193" s="70"/>
      <c r="L193" s="74"/>
      <c r="M193" s="123"/>
      <c r="N193" s="73"/>
      <c r="O193" s="236"/>
      <c r="P193" s="117"/>
      <c r="Q193" s="117"/>
      <c r="R193" s="156" t="str">
        <f>IF(Table111[[#This Row],[Qty]]="","",Table111[[#This Row],[Qty]]*Table111[[#This Row],[Unit Price]])</f>
        <v/>
      </c>
      <c r="S193" s="156" t="str">
        <f>IF(Table111[[#This Row],[Qty]]="","",Table111[[#This Row],[Qty]]*Table111[[#This Row],[Unit Price]]+Table111[[#This Row],[Delivery Cost]])</f>
        <v/>
      </c>
      <c r="T193" s="72"/>
      <c r="U193" s="72"/>
      <c r="V193" s="72"/>
      <c r="W193" s="16"/>
      <c r="X193" s="63" t="str">
        <f t="shared" si="6"/>
        <v/>
      </c>
      <c r="Y193" s="63" t="str">
        <f t="shared" si="7"/>
        <v/>
      </c>
      <c r="Z193" s="63" t="str">
        <f t="shared" si="8"/>
        <v/>
      </c>
      <c r="AA193" s="63" t="str">
        <f>TEXT(Table111[[#This Row],[YEAR]],"0000")&amp;"-"&amp;Table111[[#This Row],[MONTH]]</f>
        <v>-</v>
      </c>
    </row>
    <row r="194" spans="2:27" x14ac:dyDescent="0.3">
      <c r="B194" s="68"/>
      <c r="C194" s="68"/>
      <c r="D194" s="68"/>
      <c r="E194" s="71"/>
      <c r="F194" s="72"/>
      <c r="G194" s="72"/>
      <c r="H194" s="74"/>
      <c r="I194" s="70"/>
      <c r="J194" s="70"/>
      <c r="K194" s="70"/>
      <c r="L194" s="74"/>
      <c r="M194" s="123"/>
      <c r="N194" s="73"/>
      <c r="O194" s="236"/>
      <c r="P194" s="117"/>
      <c r="Q194" s="117"/>
      <c r="R194" s="156" t="str">
        <f>IF(Table111[[#This Row],[Qty]]="","",Table111[[#This Row],[Qty]]*Table111[[#This Row],[Unit Price]])</f>
        <v/>
      </c>
      <c r="S194" s="156" t="str">
        <f>IF(Table111[[#This Row],[Qty]]="","",Table111[[#This Row],[Qty]]*Table111[[#This Row],[Unit Price]]+Table111[[#This Row],[Delivery Cost]])</f>
        <v/>
      </c>
      <c r="T194" s="72"/>
      <c r="U194" s="72"/>
      <c r="V194" s="72"/>
      <c r="W194" s="220"/>
      <c r="X194" s="63" t="str">
        <f t="shared" si="6"/>
        <v/>
      </c>
      <c r="Y194" s="63" t="str">
        <f t="shared" si="7"/>
        <v/>
      </c>
      <c r="Z194" s="63" t="str">
        <f t="shared" si="8"/>
        <v/>
      </c>
      <c r="AA194" s="63" t="str">
        <f>TEXT(Table111[[#This Row],[YEAR]],"0000")&amp;"-"&amp;Table111[[#This Row],[MONTH]]</f>
        <v>-</v>
      </c>
    </row>
    <row r="195" spans="2:27" x14ac:dyDescent="0.3">
      <c r="B195" s="183"/>
      <c r="C195" s="183"/>
      <c r="D195" s="183"/>
      <c r="E195" s="71"/>
      <c r="F195" s="72"/>
      <c r="G195" s="72"/>
      <c r="H195" s="74"/>
      <c r="I195" s="70"/>
      <c r="J195" s="70"/>
      <c r="K195" s="70"/>
      <c r="L195" s="74"/>
      <c r="M195" s="123"/>
      <c r="N195" s="73"/>
      <c r="O195" s="236"/>
      <c r="P195" s="117"/>
      <c r="Q195" s="117"/>
      <c r="R195" s="156" t="str">
        <f>IF(Table111[[#This Row],[Qty]]="","",Table111[[#This Row],[Qty]]*Table111[[#This Row],[Unit Price]])</f>
        <v/>
      </c>
      <c r="S195" s="156" t="str">
        <f>IF(Table111[[#This Row],[Qty]]="","",Table111[[#This Row],[Qty]]*Table111[[#This Row],[Unit Price]]+Table111[[#This Row],[Delivery Cost]])</f>
        <v/>
      </c>
      <c r="T195" s="72"/>
      <c r="U195" s="72"/>
      <c r="V195" s="72"/>
      <c r="W195" s="16"/>
      <c r="X195" s="63" t="str">
        <f t="shared" ref="X195:X258" si="9">IF(E195=0,"",YEAR(E195))</f>
        <v/>
      </c>
      <c r="Y195" s="63" t="str">
        <f t="shared" ref="Y195:Y258" si="10">IF(E195=0,"",MONTH(E195))</f>
        <v/>
      </c>
      <c r="Z195" s="63" t="str">
        <f t="shared" ref="Z195:Z258" si="11">IF(E195=0,"",WEEKNUM(E195))</f>
        <v/>
      </c>
      <c r="AA195" s="63" t="str">
        <f>TEXT(Table111[[#This Row],[YEAR]],"0000")&amp;"-"&amp;Table111[[#This Row],[MONTH]]</f>
        <v>-</v>
      </c>
    </row>
    <row r="196" spans="2:27" x14ac:dyDescent="0.3">
      <c r="B196" s="68"/>
      <c r="C196" s="68"/>
      <c r="D196" s="68"/>
      <c r="E196" s="71"/>
      <c r="F196" s="72"/>
      <c r="G196" s="72"/>
      <c r="H196" s="74"/>
      <c r="I196" s="70"/>
      <c r="J196" s="70"/>
      <c r="K196" s="70"/>
      <c r="L196" s="74"/>
      <c r="M196" s="123"/>
      <c r="N196" s="73"/>
      <c r="O196" s="236"/>
      <c r="P196" s="117"/>
      <c r="Q196" s="117"/>
      <c r="R196" s="156" t="str">
        <f>IF(Table111[[#This Row],[Qty]]="","",Table111[[#This Row],[Qty]]*Table111[[#This Row],[Unit Price]])</f>
        <v/>
      </c>
      <c r="S196" s="156" t="str">
        <f>IF(Table111[[#This Row],[Qty]]="","",Table111[[#This Row],[Qty]]*Table111[[#This Row],[Unit Price]]+Table111[[#This Row],[Delivery Cost]])</f>
        <v/>
      </c>
      <c r="T196" s="72"/>
      <c r="U196" s="72"/>
      <c r="V196" s="72"/>
      <c r="W196" s="220"/>
      <c r="X196" s="63" t="str">
        <f t="shared" si="9"/>
        <v/>
      </c>
      <c r="Y196" s="63" t="str">
        <f t="shared" si="10"/>
        <v/>
      </c>
      <c r="Z196" s="63" t="str">
        <f t="shared" si="11"/>
        <v/>
      </c>
      <c r="AA196" s="63" t="str">
        <f>TEXT(Table111[[#This Row],[YEAR]],"0000")&amp;"-"&amp;Table111[[#This Row],[MONTH]]</f>
        <v>-</v>
      </c>
    </row>
    <row r="197" spans="2:27" x14ac:dyDescent="0.3">
      <c r="B197" s="183"/>
      <c r="C197" s="183"/>
      <c r="D197" s="183"/>
      <c r="E197" s="71"/>
      <c r="F197" s="72"/>
      <c r="G197" s="72"/>
      <c r="H197" s="74"/>
      <c r="I197" s="70"/>
      <c r="J197" s="70"/>
      <c r="K197" s="70"/>
      <c r="L197" s="74"/>
      <c r="M197" s="123"/>
      <c r="N197" s="73"/>
      <c r="O197" s="236"/>
      <c r="P197" s="117"/>
      <c r="Q197" s="117"/>
      <c r="R197" s="156" t="str">
        <f>IF(Table111[[#This Row],[Qty]]="","",Table111[[#This Row],[Qty]]*Table111[[#This Row],[Unit Price]])</f>
        <v/>
      </c>
      <c r="S197" s="156" t="str">
        <f>IF(Table111[[#This Row],[Qty]]="","",Table111[[#This Row],[Qty]]*Table111[[#This Row],[Unit Price]]+Table111[[#This Row],[Delivery Cost]])</f>
        <v/>
      </c>
      <c r="T197" s="72"/>
      <c r="U197" s="72"/>
      <c r="V197" s="72"/>
      <c r="W197" s="16"/>
      <c r="X197" s="63" t="str">
        <f t="shared" si="9"/>
        <v/>
      </c>
      <c r="Y197" s="63" t="str">
        <f t="shared" si="10"/>
        <v/>
      </c>
      <c r="Z197" s="63" t="str">
        <f t="shared" si="11"/>
        <v/>
      </c>
      <c r="AA197" s="63" t="str">
        <f>TEXT(Table111[[#This Row],[YEAR]],"0000")&amp;"-"&amp;Table111[[#This Row],[MONTH]]</f>
        <v>-</v>
      </c>
    </row>
    <row r="198" spans="2:27" x14ac:dyDescent="0.3">
      <c r="B198" s="68"/>
      <c r="C198" s="68"/>
      <c r="D198" s="68"/>
      <c r="E198" s="71"/>
      <c r="F198" s="72"/>
      <c r="G198" s="72"/>
      <c r="H198" s="74"/>
      <c r="I198" s="70"/>
      <c r="J198" s="70"/>
      <c r="K198" s="70"/>
      <c r="L198" s="74"/>
      <c r="M198" s="123"/>
      <c r="N198" s="73"/>
      <c r="O198" s="236"/>
      <c r="P198" s="117"/>
      <c r="Q198" s="117"/>
      <c r="R198" s="156" t="str">
        <f>IF(Table111[[#This Row],[Qty]]="","",Table111[[#This Row],[Qty]]*Table111[[#This Row],[Unit Price]])</f>
        <v/>
      </c>
      <c r="S198" s="156" t="str">
        <f>IF(Table111[[#This Row],[Qty]]="","",Table111[[#This Row],[Qty]]*Table111[[#This Row],[Unit Price]]+Table111[[#This Row],[Delivery Cost]])</f>
        <v/>
      </c>
      <c r="T198" s="72"/>
      <c r="U198" s="72"/>
      <c r="V198" s="72"/>
      <c r="W198" s="220"/>
      <c r="X198" s="63" t="str">
        <f t="shared" si="9"/>
        <v/>
      </c>
      <c r="Y198" s="63" t="str">
        <f t="shared" si="10"/>
        <v/>
      </c>
      <c r="Z198" s="63" t="str">
        <f t="shared" si="11"/>
        <v/>
      </c>
      <c r="AA198" s="63" t="str">
        <f>TEXT(Table111[[#This Row],[YEAR]],"0000")&amp;"-"&amp;Table111[[#This Row],[MONTH]]</f>
        <v>-</v>
      </c>
    </row>
    <row r="199" spans="2:27" x14ac:dyDescent="0.3">
      <c r="B199" s="183"/>
      <c r="C199" s="183"/>
      <c r="D199" s="183"/>
      <c r="E199" s="71"/>
      <c r="F199" s="72"/>
      <c r="G199" s="72"/>
      <c r="H199" s="74"/>
      <c r="I199" s="70"/>
      <c r="J199" s="70"/>
      <c r="K199" s="70"/>
      <c r="L199" s="74"/>
      <c r="M199" s="123"/>
      <c r="N199" s="73"/>
      <c r="O199" s="236"/>
      <c r="P199" s="117"/>
      <c r="Q199" s="117"/>
      <c r="R199" s="156" t="str">
        <f>IF(Table111[[#This Row],[Qty]]="","",Table111[[#This Row],[Qty]]*Table111[[#This Row],[Unit Price]])</f>
        <v/>
      </c>
      <c r="S199" s="156" t="str">
        <f>IF(Table111[[#This Row],[Qty]]="","",Table111[[#This Row],[Qty]]*Table111[[#This Row],[Unit Price]]+Table111[[#This Row],[Delivery Cost]])</f>
        <v/>
      </c>
      <c r="T199" s="72"/>
      <c r="U199" s="72"/>
      <c r="V199" s="72"/>
      <c r="W199" s="16"/>
      <c r="X199" s="63" t="str">
        <f t="shared" si="9"/>
        <v/>
      </c>
      <c r="Y199" s="63" t="str">
        <f t="shared" si="10"/>
        <v/>
      </c>
      <c r="Z199" s="63" t="str">
        <f t="shared" si="11"/>
        <v/>
      </c>
      <c r="AA199" s="63" t="str">
        <f>TEXT(Table111[[#This Row],[YEAR]],"0000")&amp;"-"&amp;Table111[[#This Row],[MONTH]]</f>
        <v>-</v>
      </c>
    </row>
    <row r="200" spans="2:27" x14ac:dyDescent="0.3">
      <c r="B200" s="68"/>
      <c r="C200" s="68"/>
      <c r="D200" s="68"/>
      <c r="E200" s="71"/>
      <c r="F200" s="72"/>
      <c r="G200" s="72"/>
      <c r="H200" s="74"/>
      <c r="I200" s="70"/>
      <c r="J200" s="70"/>
      <c r="K200" s="70"/>
      <c r="L200" s="74"/>
      <c r="M200" s="123"/>
      <c r="N200" s="73"/>
      <c r="O200" s="236"/>
      <c r="P200" s="117"/>
      <c r="Q200" s="117"/>
      <c r="R200" s="156" t="str">
        <f>IF(Table111[[#This Row],[Qty]]="","",Table111[[#This Row],[Qty]]*Table111[[#This Row],[Unit Price]])</f>
        <v/>
      </c>
      <c r="S200" s="156" t="str">
        <f>IF(Table111[[#This Row],[Qty]]="","",Table111[[#This Row],[Qty]]*Table111[[#This Row],[Unit Price]]+Table111[[#This Row],[Delivery Cost]])</f>
        <v/>
      </c>
      <c r="T200" s="72"/>
      <c r="U200" s="72"/>
      <c r="V200" s="72"/>
      <c r="W200" s="220"/>
      <c r="X200" s="63" t="str">
        <f t="shared" si="9"/>
        <v/>
      </c>
      <c r="Y200" s="63" t="str">
        <f t="shared" si="10"/>
        <v/>
      </c>
      <c r="Z200" s="63" t="str">
        <f t="shared" si="11"/>
        <v/>
      </c>
      <c r="AA200" s="63" t="str">
        <f>TEXT(Table111[[#This Row],[YEAR]],"0000")&amp;"-"&amp;Table111[[#This Row],[MONTH]]</f>
        <v>-</v>
      </c>
    </row>
    <row r="201" spans="2:27" x14ac:dyDescent="0.3">
      <c r="B201" s="183"/>
      <c r="C201" s="183"/>
      <c r="D201" s="183"/>
      <c r="E201" s="71"/>
      <c r="F201" s="72"/>
      <c r="G201" s="72"/>
      <c r="H201" s="74"/>
      <c r="I201" s="70"/>
      <c r="J201" s="70"/>
      <c r="K201" s="70"/>
      <c r="L201" s="74"/>
      <c r="M201" s="123"/>
      <c r="N201" s="73"/>
      <c r="O201" s="236"/>
      <c r="P201" s="117"/>
      <c r="Q201" s="117"/>
      <c r="R201" s="156" t="str">
        <f>IF(Table111[[#This Row],[Qty]]="","",Table111[[#This Row],[Qty]]*Table111[[#This Row],[Unit Price]])</f>
        <v/>
      </c>
      <c r="S201" s="156" t="str">
        <f>IF(Table111[[#This Row],[Qty]]="","",Table111[[#This Row],[Qty]]*Table111[[#This Row],[Unit Price]]+Table111[[#This Row],[Delivery Cost]])</f>
        <v/>
      </c>
      <c r="T201" s="72"/>
      <c r="U201" s="72"/>
      <c r="V201" s="72"/>
      <c r="W201" s="16"/>
      <c r="X201" s="63" t="str">
        <f t="shared" si="9"/>
        <v/>
      </c>
      <c r="Y201" s="63" t="str">
        <f t="shared" si="10"/>
        <v/>
      </c>
      <c r="Z201" s="63" t="str">
        <f t="shared" si="11"/>
        <v/>
      </c>
      <c r="AA201" s="63" t="str">
        <f>TEXT(Table111[[#This Row],[YEAR]],"0000")&amp;"-"&amp;Table111[[#This Row],[MONTH]]</f>
        <v>-</v>
      </c>
    </row>
    <row r="202" spans="2:27" x14ac:dyDescent="0.3">
      <c r="B202" s="68"/>
      <c r="C202" s="68"/>
      <c r="D202" s="68"/>
      <c r="E202" s="71"/>
      <c r="F202" s="72"/>
      <c r="G202" s="72"/>
      <c r="H202" s="74"/>
      <c r="I202" s="70"/>
      <c r="J202" s="70"/>
      <c r="K202" s="70"/>
      <c r="L202" s="74"/>
      <c r="M202" s="123"/>
      <c r="N202" s="73"/>
      <c r="O202" s="236"/>
      <c r="P202" s="117"/>
      <c r="Q202" s="117"/>
      <c r="R202" s="156" t="str">
        <f>IF(Table111[[#This Row],[Qty]]="","",Table111[[#This Row],[Qty]]*Table111[[#This Row],[Unit Price]])</f>
        <v/>
      </c>
      <c r="S202" s="156" t="str">
        <f>IF(Table111[[#This Row],[Qty]]="","",Table111[[#This Row],[Qty]]*Table111[[#This Row],[Unit Price]]+Table111[[#This Row],[Delivery Cost]])</f>
        <v/>
      </c>
      <c r="T202" s="72"/>
      <c r="U202" s="72"/>
      <c r="V202" s="72"/>
      <c r="W202" s="220"/>
      <c r="X202" s="63" t="str">
        <f t="shared" si="9"/>
        <v/>
      </c>
      <c r="Y202" s="63" t="str">
        <f t="shared" si="10"/>
        <v/>
      </c>
      <c r="Z202" s="63" t="str">
        <f t="shared" si="11"/>
        <v/>
      </c>
      <c r="AA202" s="63" t="str">
        <f>TEXT(Table111[[#This Row],[YEAR]],"0000")&amp;"-"&amp;Table111[[#This Row],[MONTH]]</f>
        <v>-</v>
      </c>
    </row>
    <row r="203" spans="2:27" x14ac:dyDescent="0.3">
      <c r="B203" s="183"/>
      <c r="C203" s="183"/>
      <c r="D203" s="183"/>
      <c r="E203" s="71"/>
      <c r="F203" s="72"/>
      <c r="G203" s="72"/>
      <c r="H203" s="74"/>
      <c r="I203" s="70"/>
      <c r="J203" s="70"/>
      <c r="K203" s="70"/>
      <c r="L203" s="74"/>
      <c r="M203" s="123"/>
      <c r="N203" s="73"/>
      <c r="O203" s="236"/>
      <c r="P203" s="117"/>
      <c r="Q203" s="117"/>
      <c r="R203" s="156" t="str">
        <f>IF(Table111[[#This Row],[Qty]]="","",Table111[[#This Row],[Qty]]*Table111[[#This Row],[Unit Price]])</f>
        <v/>
      </c>
      <c r="S203" s="156" t="str">
        <f>IF(Table111[[#This Row],[Qty]]="","",Table111[[#This Row],[Qty]]*Table111[[#This Row],[Unit Price]]+Table111[[#This Row],[Delivery Cost]])</f>
        <v/>
      </c>
      <c r="T203" s="72"/>
      <c r="U203" s="72"/>
      <c r="V203" s="72"/>
      <c r="W203" s="16"/>
      <c r="X203" s="63" t="str">
        <f t="shared" si="9"/>
        <v/>
      </c>
      <c r="Y203" s="63" t="str">
        <f t="shared" si="10"/>
        <v/>
      </c>
      <c r="Z203" s="63" t="str">
        <f t="shared" si="11"/>
        <v/>
      </c>
      <c r="AA203" s="63" t="str">
        <f>TEXT(Table111[[#This Row],[YEAR]],"0000")&amp;"-"&amp;Table111[[#This Row],[MONTH]]</f>
        <v>-</v>
      </c>
    </row>
    <row r="204" spans="2:27" x14ac:dyDescent="0.3">
      <c r="B204" s="68"/>
      <c r="C204" s="68"/>
      <c r="D204" s="68"/>
      <c r="E204" s="71"/>
      <c r="F204" s="72"/>
      <c r="G204" s="72"/>
      <c r="H204" s="74"/>
      <c r="I204" s="70"/>
      <c r="J204" s="70"/>
      <c r="K204" s="70"/>
      <c r="L204" s="74"/>
      <c r="M204" s="123"/>
      <c r="N204" s="73"/>
      <c r="O204" s="236"/>
      <c r="P204" s="117"/>
      <c r="Q204" s="117"/>
      <c r="R204" s="156" t="str">
        <f>IF(Table111[[#This Row],[Qty]]="","",Table111[[#This Row],[Qty]]*Table111[[#This Row],[Unit Price]])</f>
        <v/>
      </c>
      <c r="S204" s="156" t="str">
        <f>IF(Table111[[#This Row],[Qty]]="","",Table111[[#This Row],[Qty]]*Table111[[#This Row],[Unit Price]]+Table111[[#This Row],[Delivery Cost]])</f>
        <v/>
      </c>
      <c r="T204" s="72"/>
      <c r="U204" s="72"/>
      <c r="V204" s="72"/>
      <c r="W204" s="220"/>
      <c r="X204" s="63" t="str">
        <f t="shared" si="9"/>
        <v/>
      </c>
      <c r="Y204" s="63" t="str">
        <f t="shared" si="10"/>
        <v/>
      </c>
      <c r="Z204" s="63" t="str">
        <f t="shared" si="11"/>
        <v/>
      </c>
      <c r="AA204" s="63" t="str">
        <f>TEXT(Table111[[#This Row],[YEAR]],"0000")&amp;"-"&amp;Table111[[#This Row],[MONTH]]</f>
        <v>-</v>
      </c>
    </row>
    <row r="205" spans="2:27" x14ac:dyDescent="0.3">
      <c r="B205" s="183"/>
      <c r="C205" s="183"/>
      <c r="D205" s="183"/>
      <c r="E205" s="71"/>
      <c r="F205" s="72"/>
      <c r="G205" s="72"/>
      <c r="H205" s="74"/>
      <c r="I205" s="70"/>
      <c r="J205" s="70"/>
      <c r="K205" s="70"/>
      <c r="L205" s="74"/>
      <c r="M205" s="123"/>
      <c r="N205" s="73"/>
      <c r="O205" s="236"/>
      <c r="P205" s="117"/>
      <c r="Q205" s="117"/>
      <c r="R205" s="156" t="str">
        <f>IF(Table111[[#This Row],[Qty]]="","",Table111[[#This Row],[Qty]]*Table111[[#This Row],[Unit Price]])</f>
        <v/>
      </c>
      <c r="S205" s="156" t="str">
        <f>IF(Table111[[#This Row],[Qty]]="","",Table111[[#This Row],[Qty]]*Table111[[#This Row],[Unit Price]]+Table111[[#This Row],[Delivery Cost]])</f>
        <v/>
      </c>
      <c r="T205" s="72"/>
      <c r="U205" s="72"/>
      <c r="V205" s="72"/>
      <c r="W205" s="16"/>
      <c r="X205" s="63" t="str">
        <f t="shared" si="9"/>
        <v/>
      </c>
      <c r="Y205" s="63" t="str">
        <f t="shared" si="10"/>
        <v/>
      </c>
      <c r="Z205" s="63" t="str">
        <f t="shared" si="11"/>
        <v/>
      </c>
      <c r="AA205" s="63" t="str">
        <f>TEXT(Table111[[#This Row],[YEAR]],"0000")&amp;"-"&amp;Table111[[#This Row],[MONTH]]</f>
        <v>-</v>
      </c>
    </row>
    <row r="206" spans="2:27" x14ac:dyDescent="0.3">
      <c r="B206" s="68"/>
      <c r="C206" s="68"/>
      <c r="D206" s="68"/>
      <c r="E206" s="71"/>
      <c r="F206" s="72"/>
      <c r="G206" s="72"/>
      <c r="H206" s="74"/>
      <c r="I206" s="70"/>
      <c r="J206" s="70"/>
      <c r="K206" s="70"/>
      <c r="L206" s="74"/>
      <c r="M206" s="123"/>
      <c r="N206" s="73"/>
      <c r="O206" s="236"/>
      <c r="P206" s="117"/>
      <c r="Q206" s="117"/>
      <c r="R206" s="156" t="str">
        <f>IF(Table111[[#This Row],[Qty]]="","",Table111[[#This Row],[Qty]]*Table111[[#This Row],[Unit Price]])</f>
        <v/>
      </c>
      <c r="S206" s="156" t="str">
        <f>IF(Table111[[#This Row],[Qty]]="","",Table111[[#This Row],[Qty]]*Table111[[#This Row],[Unit Price]]+Table111[[#This Row],[Delivery Cost]])</f>
        <v/>
      </c>
      <c r="T206" s="72"/>
      <c r="U206" s="72"/>
      <c r="V206" s="72"/>
      <c r="W206" s="220"/>
      <c r="X206" s="63" t="str">
        <f t="shared" si="9"/>
        <v/>
      </c>
      <c r="Y206" s="63" t="str">
        <f t="shared" si="10"/>
        <v/>
      </c>
      <c r="Z206" s="63" t="str">
        <f t="shared" si="11"/>
        <v/>
      </c>
      <c r="AA206" s="63" t="str">
        <f>TEXT(Table111[[#This Row],[YEAR]],"0000")&amp;"-"&amp;Table111[[#This Row],[MONTH]]</f>
        <v>-</v>
      </c>
    </row>
    <row r="207" spans="2:27" x14ac:dyDescent="0.3">
      <c r="B207" s="183"/>
      <c r="C207" s="183"/>
      <c r="D207" s="183"/>
      <c r="E207" s="71"/>
      <c r="F207" s="72"/>
      <c r="G207" s="72"/>
      <c r="H207" s="74"/>
      <c r="I207" s="70"/>
      <c r="J207" s="70"/>
      <c r="K207" s="70"/>
      <c r="L207" s="74"/>
      <c r="M207" s="123"/>
      <c r="N207" s="73"/>
      <c r="O207" s="236"/>
      <c r="P207" s="117"/>
      <c r="Q207" s="117"/>
      <c r="R207" s="156" t="str">
        <f>IF(Table111[[#This Row],[Qty]]="","",Table111[[#This Row],[Qty]]*Table111[[#This Row],[Unit Price]])</f>
        <v/>
      </c>
      <c r="S207" s="156" t="str">
        <f>IF(Table111[[#This Row],[Qty]]="","",Table111[[#This Row],[Qty]]*Table111[[#This Row],[Unit Price]]+Table111[[#This Row],[Delivery Cost]])</f>
        <v/>
      </c>
      <c r="T207" s="72"/>
      <c r="U207" s="72"/>
      <c r="V207" s="72"/>
      <c r="W207" s="16"/>
      <c r="X207" s="63" t="str">
        <f t="shared" si="9"/>
        <v/>
      </c>
      <c r="Y207" s="63" t="str">
        <f t="shared" si="10"/>
        <v/>
      </c>
      <c r="Z207" s="63" t="str">
        <f t="shared" si="11"/>
        <v/>
      </c>
      <c r="AA207" s="63" t="str">
        <f>TEXT(Table111[[#This Row],[YEAR]],"0000")&amp;"-"&amp;Table111[[#This Row],[MONTH]]</f>
        <v>-</v>
      </c>
    </row>
    <row r="208" spans="2:27" x14ac:dyDescent="0.3">
      <c r="B208" s="68"/>
      <c r="C208" s="68"/>
      <c r="D208" s="68"/>
      <c r="E208" s="71"/>
      <c r="F208" s="72"/>
      <c r="G208" s="72"/>
      <c r="H208" s="74"/>
      <c r="I208" s="70"/>
      <c r="J208" s="70"/>
      <c r="K208" s="70"/>
      <c r="L208" s="74"/>
      <c r="M208" s="123"/>
      <c r="N208" s="73"/>
      <c r="O208" s="236"/>
      <c r="P208" s="117"/>
      <c r="Q208" s="117"/>
      <c r="R208" s="156" t="str">
        <f>IF(Table111[[#This Row],[Qty]]="","",Table111[[#This Row],[Qty]]*Table111[[#This Row],[Unit Price]])</f>
        <v/>
      </c>
      <c r="S208" s="156" t="str">
        <f>IF(Table111[[#This Row],[Qty]]="","",Table111[[#This Row],[Qty]]*Table111[[#This Row],[Unit Price]]+Table111[[#This Row],[Delivery Cost]])</f>
        <v/>
      </c>
      <c r="T208" s="72"/>
      <c r="U208" s="72"/>
      <c r="V208" s="72"/>
      <c r="W208" s="220"/>
      <c r="X208" s="63" t="str">
        <f t="shared" si="9"/>
        <v/>
      </c>
      <c r="Y208" s="63" t="str">
        <f t="shared" si="10"/>
        <v/>
      </c>
      <c r="Z208" s="63" t="str">
        <f t="shared" si="11"/>
        <v/>
      </c>
      <c r="AA208" s="63" t="str">
        <f>TEXT(Table111[[#This Row],[YEAR]],"0000")&amp;"-"&amp;Table111[[#This Row],[MONTH]]</f>
        <v>-</v>
      </c>
    </row>
    <row r="209" spans="2:27" x14ac:dyDescent="0.3">
      <c r="B209" s="183"/>
      <c r="C209" s="183"/>
      <c r="D209" s="183"/>
      <c r="E209" s="71"/>
      <c r="F209" s="72"/>
      <c r="G209" s="72"/>
      <c r="H209" s="74"/>
      <c r="I209" s="70"/>
      <c r="J209" s="70"/>
      <c r="K209" s="70"/>
      <c r="L209" s="74"/>
      <c r="M209" s="123"/>
      <c r="N209" s="73"/>
      <c r="O209" s="236"/>
      <c r="P209" s="117"/>
      <c r="Q209" s="117"/>
      <c r="R209" s="156" t="str">
        <f>IF(Table111[[#This Row],[Qty]]="","",Table111[[#This Row],[Qty]]*Table111[[#This Row],[Unit Price]])</f>
        <v/>
      </c>
      <c r="S209" s="156" t="str">
        <f>IF(Table111[[#This Row],[Qty]]="","",Table111[[#This Row],[Qty]]*Table111[[#This Row],[Unit Price]]+Table111[[#This Row],[Delivery Cost]])</f>
        <v/>
      </c>
      <c r="T209" s="72"/>
      <c r="U209" s="72"/>
      <c r="V209" s="72"/>
      <c r="W209" s="16"/>
      <c r="X209" s="63" t="str">
        <f t="shared" si="9"/>
        <v/>
      </c>
      <c r="Y209" s="63" t="str">
        <f t="shared" si="10"/>
        <v/>
      </c>
      <c r="Z209" s="63" t="str">
        <f t="shared" si="11"/>
        <v/>
      </c>
      <c r="AA209" s="63" t="str">
        <f>TEXT(Table111[[#This Row],[YEAR]],"0000")&amp;"-"&amp;Table111[[#This Row],[MONTH]]</f>
        <v>-</v>
      </c>
    </row>
    <row r="210" spans="2:27" x14ac:dyDescent="0.3">
      <c r="B210" s="68"/>
      <c r="C210" s="68"/>
      <c r="D210" s="68"/>
      <c r="E210" s="71"/>
      <c r="F210" s="72"/>
      <c r="G210" s="72"/>
      <c r="H210" s="74"/>
      <c r="I210" s="70"/>
      <c r="J210" s="70"/>
      <c r="K210" s="70"/>
      <c r="L210" s="74"/>
      <c r="M210" s="123"/>
      <c r="N210" s="73"/>
      <c r="O210" s="236"/>
      <c r="P210" s="117"/>
      <c r="Q210" s="117"/>
      <c r="R210" s="156" t="str">
        <f>IF(Table111[[#This Row],[Qty]]="","",Table111[[#This Row],[Qty]]*Table111[[#This Row],[Unit Price]])</f>
        <v/>
      </c>
      <c r="S210" s="156" t="str">
        <f>IF(Table111[[#This Row],[Qty]]="","",Table111[[#This Row],[Qty]]*Table111[[#This Row],[Unit Price]]+Table111[[#This Row],[Delivery Cost]])</f>
        <v/>
      </c>
      <c r="T210" s="72"/>
      <c r="U210" s="72"/>
      <c r="V210" s="72"/>
      <c r="W210" s="220"/>
      <c r="X210" s="63" t="str">
        <f t="shared" si="9"/>
        <v/>
      </c>
      <c r="Y210" s="63" t="str">
        <f t="shared" si="10"/>
        <v/>
      </c>
      <c r="Z210" s="63" t="str">
        <f t="shared" si="11"/>
        <v/>
      </c>
      <c r="AA210" s="63" t="str">
        <f>TEXT(Table111[[#This Row],[YEAR]],"0000")&amp;"-"&amp;Table111[[#This Row],[MONTH]]</f>
        <v>-</v>
      </c>
    </row>
    <row r="211" spans="2:27" x14ac:dyDescent="0.3">
      <c r="B211" s="183"/>
      <c r="C211" s="183"/>
      <c r="D211" s="183"/>
      <c r="E211" s="71"/>
      <c r="F211" s="72"/>
      <c r="G211" s="72"/>
      <c r="H211" s="74"/>
      <c r="I211" s="70"/>
      <c r="J211" s="70"/>
      <c r="K211" s="70"/>
      <c r="L211" s="74"/>
      <c r="M211" s="123"/>
      <c r="N211" s="73"/>
      <c r="O211" s="236"/>
      <c r="P211" s="117"/>
      <c r="Q211" s="117"/>
      <c r="R211" s="156" t="str">
        <f>IF(Table111[[#This Row],[Qty]]="","",Table111[[#This Row],[Qty]]*Table111[[#This Row],[Unit Price]])</f>
        <v/>
      </c>
      <c r="S211" s="156" t="str">
        <f>IF(Table111[[#This Row],[Qty]]="","",Table111[[#This Row],[Qty]]*Table111[[#This Row],[Unit Price]]+Table111[[#This Row],[Delivery Cost]])</f>
        <v/>
      </c>
      <c r="T211" s="72"/>
      <c r="U211" s="72"/>
      <c r="V211" s="72"/>
      <c r="W211" s="16"/>
      <c r="X211" s="63" t="str">
        <f t="shared" si="9"/>
        <v/>
      </c>
      <c r="Y211" s="63" t="str">
        <f t="shared" si="10"/>
        <v/>
      </c>
      <c r="Z211" s="63" t="str">
        <f t="shared" si="11"/>
        <v/>
      </c>
      <c r="AA211" s="63" t="str">
        <f>TEXT(Table111[[#This Row],[YEAR]],"0000")&amp;"-"&amp;Table111[[#This Row],[MONTH]]</f>
        <v>-</v>
      </c>
    </row>
    <row r="212" spans="2:27" x14ac:dyDescent="0.3">
      <c r="B212" s="68"/>
      <c r="C212" s="68"/>
      <c r="D212" s="68"/>
      <c r="E212" s="71"/>
      <c r="F212" s="72"/>
      <c r="G212" s="72"/>
      <c r="H212" s="74"/>
      <c r="I212" s="70"/>
      <c r="J212" s="70"/>
      <c r="K212" s="70"/>
      <c r="L212" s="74"/>
      <c r="M212" s="123"/>
      <c r="N212" s="73"/>
      <c r="O212" s="236"/>
      <c r="P212" s="117"/>
      <c r="Q212" s="117"/>
      <c r="R212" s="156" t="str">
        <f>IF(Table111[[#This Row],[Qty]]="","",Table111[[#This Row],[Qty]]*Table111[[#This Row],[Unit Price]])</f>
        <v/>
      </c>
      <c r="S212" s="156" t="str">
        <f>IF(Table111[[#This Row],[Qty]]="","",Table111[[#This Row],[Qty]]*Table111[[#This Row],[Unit Price]]+Table111[[#This Row],[Delivery Cost]])</f>
        <v/>
      </c>
      <c r="T212" s="72"/>
      <c r="U212" s="72"/>
      <c r="V212" s="72"/>
      <c r="W212" s="220"/>
      <c r="X212" s="63" t="str">
        <f t="shared" si="9"/>
        <v/>
      </c>
      <c r="Y212" s="63" t="str">
        <f t="shared" si="10"/>
        <v/>
      </c>
      <c r="Z212" s="63" t="str">
        <f t="shared" si="11"/>
        <v/>
      </c>
      <c r="AA212" s="63" t="str">
        <f>TEXT(Table111[[#This Row],[YEAR]],"0000")&amp;"-"&amp;Table111[[#This Row],[MONTH]]</f>
        <v>-</v>
      </c>
    </row>
    <row r="213" spans="2:27" x14ac:dyDescent="0.3">
      <c r="B213" s="183"/>
      <c r="C213" s="183"/>
      <c r="D213" s="183"/>
      <c r="E213" s="71"/>
      <c r="F213" s="72"/>
      <c r="G213" s="72"/>
      <c r="H213" s="74"/>
      <c r="I213" s="70"/>
      <c r="J213" s="70"/>
      <c r="K213" s="70"/>
      <c r="L213" s="74"/>
      <c r="M213" s="123"/>
      <c r="N213" s="73"/>
      <c r="O213" s="236"/>
      <c r="P213" s="117"/>
      <c r="Q213" s="117"/>
      <c r="R213" s="156" t="str">
        <f>IF(Table111[[#This Row],[Qty]]="","",Table111[[#This Row],[Qty]]*Table111[[#This Row],[Unit Price]])</f>
        <v/>
      </c>
      <c r="S213" s="156" t="str">
        <f>IF(Table111[[#This Row],[Qty]]="","",Table111[[#This Row],[Qty]]*Table111[[#This Row],[Unit Price]]+Table111[[#This Row],[Delivery Cost]])</f>
        <v/>
      </c>
      <c r="T213" s="72"/>
      <c r="U213" s="72"/>
      <c r="V213" s="72"/>
      <c r="W213" s="16"/>
      <c r="X213" s="63" t="str">
        <f t="shared" si="9"/>
        <v/>
      </c>
      <c r="Y213" s="63" t="str">
        <f t="shared" si="10"/>
        <v/>
      </c>
      <c r="Z213" s="63" t="str">
        <f t="shared" si="11"/>
        <v/>
      </c>
      <c r="AA213" s="63" t="str">
        <f>TEXT(Table111[[#This Row],[YEAR]],"0000")&amp;"-"&amp;Table111[[#This Row],[MONTH]]</f>
        <v>-</v>
      </c>
    </row>
    <row r="214" spans="2:27" x14ac:dyDescent="0.3">
      <c r="B214" s="68"/>
      <c r="C214" s="68"/>
      <c r="D214" s="68"/>
      <c r="E214" s="71"/>
      <c r="F214" s="72"/>
      <c r="G214" s="72"/>
      <c r="H214" s="74"/>
      <c r="I214" s="70"/>
      <c r="J214" s="70"/>
      <c r="K214" s="70"/>
      <c r="L214" s="74"/>
      <c r="M214" s="123"/>
      <c r="N214" s="73"/>
      <c r="O214" s="236"/>
      <c r="P214" s="117"/>
      <c r="Q214" s="117"/>
      <c r="R214" s="156" t="str">
        <f>IF(Table111[[#This Row],[Qty]]="","",Table111[[#This Row],[Qty]]*Table111[[#This Row],[Unit Price]])</f>
        <v/>
      </c>
      <c r="S214" s="156" t="str">
        <f>IF(Table111[[#This Row],[Qty]]="","",Table111[[#This Row],[Qty]]*Table111[[#This Row],[Unit Price]]+Table111[[#This Row],[Delivery Cost]])</f>
        <v/>
      </c>
      <c r="T214" s="72"/>
      <c r="U214" s="72"/>
      <c r="V214" s="72"/>
      <c r="W214" s="220"/>
      <c r="X214" s="63" t="str">
        <f t="shared" si="9"/>
        <v/>
      </c>
      <c r="Y214" s="63" t="str">
        <f t="shared" si="10"/>
        <v/>
      </c>
      <c r="Z214" s="63" t="str">
        <f t="shared" si="11"/>
        <v/>
      </c>
      <c r="AA214" s="63" t="str">
        <f>TEXT(Table111[[#This Row],[YEAR]],"0000")&amp;"-"&amp;Table111[[#This Row],[MONTH]]</f>
        <v>-</v>
      </c>
    </row>
    <row r="215" spans="2:27" x14ac:dyDescent="0.3">
      <c r="B215" s="183"/>
      <c r="C215" s="183"/>
      <c r="D215" s="183"/>
      <c r="E215" s="71"/>
      <c r="F215" s="72"/>
      <c r="G215" s="72"/>
      <c r="H215" s="74"/>
      <c r="I215" s="70"/>
      <c r="J215" s="70"/>
      <c r="K215" s="70"/>
      <c r="L215" s="74"/>
      <c r="M215" s="123"/>
      <c r="N215" s="73"/>
      <c r="O215" s="236"/>
      <c r="P215" s="117"/>
      <c r="Q215" s="117"/>
      <c r="R215" s="156" t="str">
        <f>IF(Table111[[#This Row],[Qty]]="","",Table111[[#This Row],[Qty]]*Table111[[#This Row],[Unit Price]])</f>
        <v/>
      </c>
      <c r="S215" s="156" t="str">
        <f>IF(Table111[[#This Row],[Qty]]="","",Table111[[#This Row],[Qty]]*Table111[[#This Row],[Unit Price]]+Table111[[#This Row],[Delivery Cost]])</f>
        <v/>
      </c>
      <c r="T215" s="72"/>
      <c r="U215" s="72"/>
      <c r="V215" s="72"/>
      <c r="W215" s="16"/>
      <c r="X215" s="63" t="str">
        <f t="shared" si="9"/>
        <v/>
      </c>
      <c r="Y215" s="63" t="str">
        <f t="shared" si="10"/>
        <v/>
      </c>
      <c r="Z215" s="63" t="str">
        <f t="shared" si="11"/>
        <v/>
      </c>
      <c r="AA215" s="63" t="str">
        <f>TEXT(Table111[[#This Row],[YEAR]],"0000")&amp;"-"&amp;Table111[[#This Row],[MONTH]]</f>
        <v>-</v>
      </c>
    </row>
    <row r="216" spans="2:27" x14ac:dyDescent="0.3">
      <c r="B216" s="68"/>
      <c r="C216" s="68"/>
      <c r="D216" s="68"/>
      <c r="E216" s="71"/>
      <c r="F216" s="72"/>
      <c r="G216" s="72"/>
      <c r="H216" s="74"/>
      <c r="I216" s="70"/>
      <c r="J216" s="70"/>
      <c r="K216" s="70"/>
      <c r="L216" s="74"/>
      <c r="M216" s="123"/>
      <c r="N216" s="73"/>
      <c r="O216" s="236"/>
      <c r="P216" s="117"/>
      <c r="Q216" s="117"/>
      <c r="R216" s="156" t="str">
        <f>IF(Table111[[#This Row],[Qty]]="","",Table111[[#This Row],[Qty]]*Table111[[#This Row],[Unit Price]])</f>
        <v/>
      </c>
      <c r="S216" s="156" t="str">
        <f>IF(Table111[[#This Row],[Qty]]="","",Table111[[#This Row],[Qty]]*Table111[[#This Row],[Unit Price]]+Table111[[#This Row],[Delivery Cost]])</f>
        <v/>
      </c>
      <c r="T216" s="72"/>
      <c r="U216" s="72"/>
      <c r="V216" s="72"/>
      <c r="W216" s="220"/>
      <c r="X216" s="63" t="str">
        <f t="shared" si="9"/>
        <v/>
      </c>
      <c r="Y216" s="63" t="str">
        <f t="shared" si="10"/>
        <v/>
      </c>
      <c r="Z216" s="63" t="str">
        <f t="shared" si="11"/>
        <v/>
      </c>
      <c r="AA216" s="63" t="str">
        <f>TEXT(Table111[[#This Row],[YEAR]],"0000")&amp;"-"&amp;Table111[[#This Row],[MONTH]]</f>
        <v>-</v>
      </c>
    </row>
    <row r="217" spans="2:27" x14ac:dyDescent="0.3">
      <c r="B217" s="183"/>
      <c r="C217" s="183"/>
      <c r="D217" s="183"/>
      <c r="E217" s="71"/>
      <c r="F217" s="72"/>
      <c r="G217" s="72"/>
      <c r="H217" s="74"/>
      <c r="I217" s="70"/>
      <c r="J217" s="70"/>
      <c r="K217" s="70"/>
      <c r="L217" s="74"/>
      <c r="M217" s="123"/>
      <c r="N217" s="73"/>
      <c r="O217" s="236"/>
      <c r="P217" s="117"/>
      <c r="Q217" s="117"/>
      <c r="R217" s="156" t="str">
        <f>IF(Table111[[#This Row],[Qty]]="","",Table111[[#This Row],[Qty]]*Table111[[#This Row],[Unit Price]])</f>
        <v/>
      </c>
      <c r="S217" s="156" t="str">
        <f>IF(Table111[[#This Row],[Qty]]="","",Table111[[#This Row],[Qty]]*Table111[[#This Row],[Unit Price]]+Table111[[#This Row],[Delivery Cost]])</f>
        <v/>
      </c>
      <c r="T217" s="72"/>
      <c r="U217" s="72"/>
      <c r="V217" s="72"/>
      <c r="W217" s="16"/>
      <c r="X217" s="63" t="str">
        <f t="shared" si="9"/>
        <v/>
      </c>
      <c r="Y217" s="63" t="str">
        <f t="shared" si="10"/>
        <v/>
      </c>
      <c r="Z217" s="63" t="str">
        <f t="shared" si="11"/>
        <v/>
      </c>
      <c r="AA217" s="63" t="str">
        <f>TEXT(Table111[[#This Row],[YEAR]],"0000")&amp;"-"&amp;Table111[[#This Row],[MONTH]]</f>
        <v>-</v>
      </c>
    </row>
    <row r="218" spans="2:27" x14ac:dyDescent="0.3">
      <c r="B218" s="68"/>
      <c r="C218" s="68"/>
      <c r="D218" s="68"/>
      <c r="E218" s="71"/>
      <c r="F218" s="72"/>
      <c r="G218" s="72"/>
      <c r="H218" s="74"/>
      <c r="I218" s="70"/>
      <c r="J218" s="70"/>
      <c r="K218" s="70"/>
      <c r="L218" s="74"/>
      <c r="M218" s="123"/>
      <c r="N218" s="73"/>
      <c r="O218" s="236"/>
      <c r="P218" s="117"/>
      <c r="Q218" s="117"/>
      <c r="R218" s="156" t="str">
        <f>IF(Table111[[#This Row],[Qty]]="","",Table111[[#This Row],[Qty]]*Table111[[#This Row],[Unit Price]])</f>
        <v/>
      </c>
      <c r="S218" s="156" t="str">
        <f>IF(Table111[[#This Row],[Qty]]="","",Table111[[#This Row],[Qty]]*Table111[[#This Row],[Unit Price]]+Table111[[#This Row],[Delivery Cost]])</f>
        <v/>
      </c>
      <c r="T218" s="72"/>
      <c r="U218" s="72"/>
      <c r="V218" s="72"/>
      <c r="W218" s="220"/>
      <c r="X218" s="63" t="str">
        <f t="shared" si="9"/>
        <v/>
      </c>
      <c r="Y218" s="63" t="str">
        <f t="shared" si="10"/>
        <v/>
      </c>
      <c r="Z218" s="63" t="str">
        <f t="shared" si="11"/>
        <v/>
      </c>
      <c r="AA218" s="63" t="str">
        <f>TEXT(Table111[[#This Row],[YEAR]],"0000")&amp;"-"&amp;Table111[[#This Row],[MONTH]]</f>
        <v>-</v>
      </c>
    </row>
    <row r="219" spans="2:27" x14ac:dyDescent="0.3">
      <c r="B219" s="183"/>
      <c r="C219" s="183"/>
      <c r="D219" s="183"/>
      <c r="E219" s="71"/>
      <c r="F219" s="72"/>
      <c r="G219" s="72"/>
      <c r="H219" s="74"/>
      <c r="I219" s="70"/>
      <c r="J219" s="70"/>
      <c r="K219" s="70"/>
      <c r="L219" s="74"/>
      <c r="M219" s="123"/>
      <c r="N219" s="73"/>
      <c r="O219" s="236"/>
      <c r="P219" s="117"/>
      <c r="Q219" s="117"/>
      <c r="R219" s="156" t="str">
        <f>IF(Table111[[#This Row],[Qty]]="","",Table111[[#This Row],[Qty]]*Table111[[#This Row],[Unit Price]])</f>
        <v/>
      </c>
      <c r="S219" s="156" t="str">
        <f>IF(Table111[[#This Row],[Qty]]="","",Table111[[#This Row],[Qty]]*Table111[[#This Row],[Unit Price]]+Table111[[#This Row],[Delivery Cost]])</f>
        <v/>
      </c>
      <c r="T219" s="72"/>
      <c r="U219" s="72"/>
      <c r="V219" s="72"/>
      <c r="W219" s="16"/>
      <c r="X219" s="63" t="str">
        <f t="shared" si="9"/>
        <v/>
      </c>
      <c r="Y219" s="63" t="str">
        <f t="shared" si="10"/>
        <v/>
      </c>
      <c r="Z219" s="63" t="str">
        <f t="shared" si="11"/>
        <v/>
      </c>
      <c r="AA219" s="63" t="str">
        <f>TEXT(Table111[[#This Row],[YEAR]],"0000")&amp;"-"&amp;Table111[[#This Row],[MONTH]]</f>
        <v>-</v>
      </c>
    </row>
    <row r="220" spans="2:27" x14ac:dyDescent="0.3">
      <c r="B220" s="68"/>
      <c r="C220" s="68"/>
      <c r="D220" s="68"/>
      <c r="E220" s="71"/>
      <c r="F220" s="72"/>
      <c r="G220" s="72"/>
      <c r="H220" s="74"/>
      <c r="I220" s="70"/>
      <c r="J220" s="70"/>
      <c r="K220" s="70"/>
      <c r="L220" s="74"/>
      <c r="M220" s="123"/>
      <c r="N220" s="73"/>
      <c r="O220" s="236"/>
      <c r="P220" s="117"/>
      <c r="Q220" s="117"/>
      <c r="R220" s="156" t="str">
        <f>IF(Table111[[#This Row],[Qty]]="","",Table111[[#This Row],[Qty]]*Table111[[#This Row],[Unit Price]])</f>
        <v/>
      </c>
      <c r="S220" s="156" t="str">
        <f>IF(Table111[[#This Row],[Qty]]="","",Table111[[#This Row],[Qty]]*Table111[[#This Row],[Unit Price]]+Table111[[#This Row],[Delivery Cost]])</f>
        <v/>
      </c>
      <c r="T220" s="72"/>
      <c r="U220" s="72"/>
      <c r="V220" s="72"/>
      <c r="W220" s="220"/>
      <c r="X220" s="63" t="str">
        <f t="shared" si="9"/>
        <v/>
      </c>
      <c r="Y220" s="63" t="str">
        <f t="shared" si="10"/>
        <v/>
      </c>
      <c r="Z220" s="63" t="str">
        <f t="shared" si="11"/>
        <v/>
      </c>
      <c r="AA220" s="63" t="str">
        <f>TEXT(Table111[[#This Row],[YEAR]],"0000")&amp;"-"&amp;Table111[[#This Row],[MONTH]]</f>
        <v>-</v>
      </c>
    </row>
    <row r="221" spans="2:27" x14ac:dyDescent="0.3">
      <c r="B221" s="183"/>
      <c r="C221" s="183"/>
      <c r="D221" s="183"/>
      <c r="E221" s="71"/>
      <c r="F221" s="72"/>
      <c r="G221" s="72"/>
      <c r="H221" s="74"/>
      <c r="I221" s="70"/>
      <c r="J221" s="70"/>
      <c r="K221" s="70"/>
      <c r="L221" s="74"/>
      <c r="M221" s="123"/>
      <c r="N221" s="73"/>
      <c r="O221" s="236"/>
      <c r="P221" s="117"/>
      <c r="Q221" s="117"/>
      <c r="R221" s="156" t="str">
        <f>IF(Table111[[#This Row],[Qty]]="","",Table111[[#This Row],[Qty]]*Table111[[#This Row],[Unit Price]])</f>
        <v/>
      </c>
      <c r="S221" s="156" t="str">
        <f>IF(Table111[[#This Row],[Qty]]="","",Table111[[#This Row],[Qty]]*Table111[[#This Row],[Unit Price]]+Table111[[#This Row],[Delivery Cost]])</f>
        <v/>
      </c>
      <c r="T221" s="72"/>
      <c r="U221" s="72"/>
      <c r="V221" s="72"/>
      <c r="W221" s="16"/>
      <c r="X221" s="63" t="str">
        <f t="shared" si="9"/>
        <v/>
      </c>
      <c r="Y221" s="63" t="str">
        <f t="shared" si="10"/>
        <v/>
      </c>
      <c r="Z221" s="63" t="str">
        <f t="shared" si="11"/>
        <v/>
      </c>
      <c r="AA221" s="63" t="str">
        <f>TEXT(Table111[[#This Row],[YEAR]],"0000")&amp;"-"&amp;Table111[[#This Row],[MONTH]]</f>
        <v>-</v>
      </c>
    </row>
    <row r="222" spans="2:27" x14ac:dyDescent="0.3">
      <c r="B222" s="68"/>
      <c r="C222" s="68"/>
      <c r="D222" s="68"/>
      <c r="E222" s="71"/>
      <c r="F222" s="72"/>
      <c r="G222" s="72"/>
      <c r="H222" s="74"/>
      <c r="I222" s="70"/>
      <c r="J222" s="70"/>
      <c r="K222" s="70"/>
      <c r="L222" s="74"/>
      <c r="M222" s="123"/>
      <c r="N222" s="73"/>
      <c r="O222" s="236"/>
      <c r="P222" s="117"/>
      <c r="Q222" s="117"/>
      <c r="R222" s="156" t="str">
        <f>IF(Table111[[#This Row],[Qty]]="","",Table111[[#This Row],[Qty]]*Table111[[#This Row],[Unit Price]])</f>
        <v/>
      </c>
      <c r="S222" s="156" t="str">
        <f>IF(Table111[[#This Row],[Qty]]="","",Table111[[#This Row],[Qty]]*Table111[[#This Row],[Unit Price]]+Table111[[#This Row],[Delivery Cost]])</f>
        <v/>
      </c>
      <c r="T222" s="72"/>
      <c r="U222" s="72"/>
      <c r="V222" s="72"/>
      <c r="W222" s="220"/>
      <c r="X222" s="63" t="str">
        <f t="shared" si="9"/>
        <v/>
      </c>
      <c r="Y222" s="63" t="str">
        <f t="shared" si="10"/>
        <v/>
      </c>
      <c r="Z222" s="63" t="str">
        <f t="shared" si="11"/>
        <v/>
      </c>
      <c r="AA222" s="63" t="str">
        <f>TEXT(Table111[[#This Row],[YEAR]],"0000")&amp;"-"&amp;Table111[[#This Row],[MONTH]]</f>
        <v>-</v>
      </c>
    </row>
    <row r="223" spans="2:27" x14ac:dyDescent="0.3">
      <c r="B223" s="183"/>
      <c r="C223" s="183"/>
      <c r="D223" s="183"/>
      <c r="E223" s="71"/>
      <c r="F223" s="72"/>
      <c r="G223" s="72"/>
      <c r="H223" s="74"/>
      <c r="I223" s="70"/>
      <c r="J223" s="70"/>
      <c r="K223" s="70"/>
      <c r="L223" s="74"/>
      <c r="M223" s="123"/>
      <c r="N223" s="73"/>
      <c r="O223" s="236"/>
      <c r="P223" s="117"/>
      <c r="Q223" s="117"/>
      <c r="R223" s="156" t="str">
        <f>IF(Table111[[#This Row],[Qty]]="","",Table111[[#This Row],[Qty]]*Table111[[#This Row],[Unit Price]])</f>
        <v/>
      </c>
      <c r="S223" s="156" t="str">
        <f>IF(Table111[[#This Row],[Qty]]="","",Table111[[#This Row],[Qty]]*Table111[[#This Row],[Unit Price]]+Table111[[#This Row],[Delivery Cost]])</f>
        <v/>
      </c>
      <c r="T223" s="72"/>
      <c r="U223" s="72"/>
      <c r="V223" s="72"/>
      <c r="W223" s="16"/>
      <c r="X223" s="63" t="str">
        <f t="shared" si="9"/>
        <v/>
      </c>
      <c r="Y223" s="63" t="str">
        <f t="shared" si="10"/>
        <v/>
      </c>
      <c r="Z223" s="63" t="str">
        <f t="shared" si="11"/>
        <v/>
      </c>
      <c r="AA223" s="63" t="str">
        <f>TEXT(Table111[[#This Row],[YEAR]],"0000")&amp;"-"&amp;Table111[[#This Row],[MONTH]]</f>
        <v>-</v>
      </c>
    </row>
    <row r="224" spans="2:27" x14ac:dyDescent="0.3">
      <c r="B224" s="68"/>
      <c r="C224" s="68"/>
      <c r="D224" s="68"/>
      <c r="E224" s="71"/>
      <c r="F224" s="72"/>
      <c r="G224" s="72"/>
      <c r="H224" s="74"/>
      <c r="I224" s="70"/>
      <c r="J224" s="70"/>
      <c r="K224" s="70"/>
      <c r="L224" s="74"/>
      <c r="M224" s="123"/>
      <c r="N224" s="73"/>
      <c r="O224" s="236"/>
      <c r="P224" s="117"/>
      <c r="Q224" s="117"/>
      <c r="R224" s="156" t="str">
        <f>IF(Table111[[#This Row],[Qty]]="","",Table111[[#This Row],[Qty]]*Table111[[#This Row],[Unit Price]])</f>
        <v/>
      </c>
      <c r="S224" s="156" t="str">
        <f>IF(Table111[[#This Row],[Qty]]="","",Table111[[#This Row],[Qty]]*Table111[[#This Row],[Unit Price]]+Table111[[#This Row],[Delivery Cost]])</f>
        <v/>
      </c>
      <c r="T224" s="72"/>
      <c r="U224" s="72"/>
      <c r="V224" s="72"/>
      <c r="W224" s="220"/>
      <c r="X224" s="63" t="str">
        <f t="shared" si="9"/>
        <v/>
      </c>
      <c r="Y224" s="63" t="str">
        <f t="shared" si="10"/>
        <v/>
      </c>
      <c r="Z224" s="63" t="str">
        <f t="shared" si="11"/>
        <v/>
      </c>
      <c r="AA224" s="63" t="str">
        <f>TEXT(Table111[[#This Row],[YEAR]],"0000")&amp;"-"&amp;Table111[[#This Row],[MONTH]]</f>
        <v>-</v>
      </c>
    </row>
    <row r="225" spans="2:27" x14ac:dyDescent="0.3">
      <c r="B225" s="183"/>
      <c r="C225" s="183"/>
      <c r="D225" s="183"/>
      <c r="E225" s="71"/>
      <c r="F225" s="72"/>
      <c r="G225" s="72"/>
      <c r="H225" s="74"/>
      <c r="I225" s="70"/>
      <c r="J225" s="70"/>
      <c r="K225" s="70"/>
      <c r="L225" s="74"/>
      <c r="M225" s="123"/>
      <c r="N225" s="73"/>
      <c r="O225" s="236"/>
      <c r="P225" s="117"/>
      <c r="Q225" s="117"/>
      <c r="R225" s="156" t="str">
        <f>IF(Table111[[#This Row],[Qty]]="","",Table111[[#This Row],[Qty]]*Table111[[#This Row],[Unit Price]])</f>
        <v/>
      </c>
      <c r="S225" s="156" t="str">
        <f>IF(Table111[[#This Row],[Qty]]="","",Table111[[#This Row],[Qty]]*Table111[[#This Row],[Unit Price]]+Table111[[#This Row],[Delivery Cost]])</f>
        <v/>
      </c>
      <c r="T225" s="72"/>
      <c r="U225" s="72"/>
      <c r="V225" s="72"/>
      <c r="W225" s="16"/>
      <c r="X225" s="63" t="str">
        <f t="shared" si="9"/>
        <v/>
      </c>
      <c r="Y225" s="63" t="str">
        <f t="shared" si="10"/>
        <v/>
      </c>
      <c r="Z225" s="63" t="str">
        <f t="shared" si="11"/>
        <v/>
      </c>
      <c r="AA225" s="63" t="str">
        <f>TEXT(Table111[[#This Row],[YEAR]],"0000")&amp;"-"&amp;Table111[[#This Row],[MONTH]]</f>
        <v>-</v>
      </c>
    </row>
    <row r="226" spans="2:27" x14ac:dyDescent="0.3">
      <c r="B226" s="68"/>
      <c r="C226" s="68"/>
      <c r="D226" s="68"/>
      <c r="E226" s="71"/>
      <c r="F226" s="72"/>
      <c r="G226" s="72"/>
      <c r="H226" s="74"/>
      <c r="I226" s="70"/>
      <c r="J226" s="70"/>
      <c r="K226" s="70"/>
      <c r="L226" s="74"/>
      <c r="M226" s="123"/>
      <c r="N226" s="73"/>
      <c r="O226" s="236"/>
      <c r="P226" s="117"/>
      <c r="Q226" s="117"/>
      <c r="R226" s="156" t="str">
        <f>IF(Table111[[#This Row],[Qty]]="","",Table111[[#This Row],[Qty]]*Table111[[#This Row],[Unit Price]])</f>
        <v/>
      </c>
      <c r="S226" s="156" t="str">
        <f>IF(Table111[[#This Row],[Qty]]="","",Table111[[#This Row],[Qty]]*Table111[[#This Row],[Unit Price]]+Table111[[#This Row],[Delivery Cost]])</f>
        <v/>
      </c>
      <c r="T226" s="72"/>
      <c r="U226" s="72"/>
      <c r="V226" s="72"/>
      <c r="W226" s="220"/>
      <c r="X226" s="63" t="str">
        <f t="shared" si="9"/>
        <v/>
      </c>
      <c r="Y226" s="63" t="str">
        <f t="shared" si="10"/>
        <v/>
      </c>
      <c r="Z226" s="63" t="str">
        <f t="shared" si="11"/>
        <v/>
      </c>
      <c r="AA226" s="63" t="str">
        <f>TEXT(Table111[[#This Row],[YEAR]],"0000")&amp;"-"&amp;Table111[[#This Row],[MONTH]]</f>
        <v>-</v>
      </c>
    </row>
    <row r="227" spans="2:27" x14ac:dyDescent="0.3">
      <c r="B227" s="183"/>
      <c r="C227" s="183"/>
      <c r="D227" s="183"/>
      <c r="E227" s="71"/>
      <c r="F227" s="72"/>
      <c r="G227" s="72"/>
      <c r="H227" s="74"/>
      <c r="I227" s="70"/>
      <c r="J227" s="70"/>
      <c r="K227" s="70"/>
      <c r="L227" s="74"/>
      <c r="M227" s="123"/>
      <c r="N227" s="73"/>
      <c r="O227" s="236"/>
      <c r="P227" s="117"/>
      <c r="Q227" s="117"/>
      <c r="R227" s="156" t="str">
        <f>IF(Table111[[#This Row],[Qty]]="","",Table111[[#This Row],[Qty]]*Table111[[#This Row],[Unit Price]])</f>
        <v/>
      </c>
      <c r="S227" s="156" t="str">
        <f>IF(Table111[[#This Row],[Qty]]="","",Table111[[#This Row],[Qty]]*Table111[[#This Row],[Unit Price]]+Table111[[#This Row],[Delivery Cost]])</f>
        <v/>
      </c>
      <c r="T227" s="72"/>
      <c r="U227" s="72"/>
      <c r="V227" s="72"/>
      <c r="W227" s="16"/>
      <c r="X227" s="63" t="str">
        <f t="shared" si="9"/>
        <v/>
      </c>
      <c r="Y227" s="63" t="str">
        <f t="shared" si="10"/>
        <v/>
      </c>
      <c r="Z227" s="63" t="str">
        <f t="shared" si="11"/>
        <v/>
      </c>
      <c r="AA227" s="63" t="str">
        <f>TEXT(Table111[[#This Row],[YEAR]],"0000")&amp;"-"&amp;Table111[[#This Row],[MONTH]]</f>
        <v>-</v>
      </c>
    </row>
    <row r="228" spans="2:27" x14ac:dyDescent="0.3">
      <c r="B228" s="68"/>
      <c r="C228" s="68"/>
      <c r="D228" s="68"/>
      <c r="E228" s="71"/>
      <c r="F228" s="72"/>
      <c r="G228" s="72"/>
      <c r="H228" s="74"/>
      <c r="I228" s="70"/>
      <c r="J228" s="70"/>
      <c r="K228" s="70"/>
      <c r="L228" s="74"/>
      <c r="M228" s="123"/>
      <c r="N228" s="73"/>
      <c r="O228" s="236"/>
      <c r="P228" s="117"/>
      <c r="Q228" s="117"/>
      <c r="R228" s="156" t="str">
        <f>IF(Table111[[#This Row],[Qty]]="","",Table111[[#This Row],[Qty]]*Table111[[#This Row],[Unit Price]])</f>
        <v/>
      </c>
      <c r="S228" s="156" t="str">
        <f>IF(Table111[[#This Row],[Qty]]="","",Table111[[#This Row],[Qty]]*Table111[[#This Row],[Unit Price]]+Table111[[#This Row],[Delivery Cost]])</f>
        <v/>
      </c>
      <c r="T228" s="72"/>
      <c r="U228" s="72"/>
      <c r="V228" s="72"/>
      <c r="W228" s="220"/>
      <c r="X228" s="63" t="str">
        <f t="shared" si="9"/>
        <v/>
      </c>
      <c r="Y228" s="63" t="str">
        <f t="shared" si="10"/>
        <v/>
      </c>
      <c r="Z228" s="63" t="str">
        <f t="shared" si="11"/>
        <v/>
      </c>
      <c r="AA228" s="63" t="str">
        <f>TEXT(Table111[[#This Row],[YEAR]],"0000")&amp;"-"&amp;Table111[[#This Row],[MONTH]]</f>
        <v>-</v>
      </c>
    </row>
    <row r="229" spans="2:27" x14ac:dyDescent="0.3">
      <c r="B229" s="183"/>
      <c r="C229" s="183"/>
      <c r="D229" s="183"/>
      <c r="E229" s="71"/>
      <c r="F229" s="72"/>
      <c r="G229" s="72"/>
      <c r="H229" s="74"/>
      <c r="I229" s="70"/>
      <c r="J229" s="70"/>
      <c r="K229" s="70"/>
      <c r="L229" s="74"/>
      <c r="M229" s="123"/>
      <c r="N229" s="73"/>
      <c r="O229" s="236"/>
      <c r="P229" s="117"/>
      <c r="Q229" s="117"/>
      <c r="R229" s="156" t="str">
        <f>IF(Table111[[#This Row],[Qty]]="","",Table111[[#This Row],[Qty]]*Table111[[#This Row],[Unit Price]])</f>
        <v/>
      </c>
      <c r="S229" s="156" t="str">
        <f>IF(Table111[[#This Row],[Qty]]="","",Table111[[#This Row],[Qty]]*Table111[[#This Row],[Unit Price]]+Table111[[#This Row],[Delivery Cost]])</f>
        <v/>
      </c>
      <c r="T229" s="72"/>
      <c r="U229" s="72"/>
      <c r="V229" s="72"/>
      <c r="W229" s="16"/>
      <c r="X229" s="63" t="str">
        <f t="shared" si="9"/>
        <v/>
      </c>
      <c r="Y229" s="63" t="str">
        <f t="shared" si="10"/>
        <v/>
      </c>
      <c r="Z229" s="63" t="str">
        <f t="shared" si="11"/>
        <v/>
      </c>
      <c r="AA229" s="63" t="str">
        <f>TEXT(Table111[[#This Row],[YEAR]],"0000")&amp;"-"&amp;Table111[[#This Row],[MONTH]]</f>
        <v>-</v>
      </c>
    </row>
    <row r="230" spans="2:27" x14ac:dyDescent="0.3">
      <c r="B230" s="68"/>
      <c r="C230" s="68"/>
      <c r="D230" s="68"/>
      <c r="E230" s="71"/>
      <c r="F230" s="72"/>
      <c r="G230" s="72"/>
      <c r="H230" s="74"/>
      <c r="I230" s="70"/>
      <c r="J230" s="70"/>
      <c r="K230" s="70"/>
      <c r="L230" s="74"/>
      <c r="M230" s="123"/>
      <c r="N230" s="73"/>
      <c r="O230" s="236"/>
      <c r="P230" s="117"/>
      <c r="Q230" s="117"/>
      <c r="R230" s="156" t="str">
        <f>IF(Table111[[#This Row],[Qty]]="","",Table111[[#This Row],[Qty]]*Table111[[#This Row],[Unit Price]])</f>
        <v/>
      </c>
      <c r="S230" s="156" t="str">
        <f>IF(Table111[[#This Row],[Qty]]="","",Table111[[#This Row],[Qty]]*Table111[[#This Row],[Unit Price]]+Table111[[#This Row],[Delivery Cost]])</f>
        <v/>
      </c>
      <c r="T230" s="72"/>
      <c r="U230" s="72"/>
      <c r="V230" s="72"/>
      <c r="W230" s="220"/>
      <c r="X230" s="63" t="str">
        <f t="shared" si="9"/>
        <v/>
      </c>
      <c r="Y230" s="63" t="str">
        <f t="shared" si="10"/>
        <v/>
      </c>
      <c r="Z230" s="63" t="str">
        <f t="shared" si="11"/>
        <v/>
      </c>
      <c r="AA230" s="63" t="str">
        <f>TEXT(Table111[[#This Row],[YEAR]],"0000")&amp;"-"&amp;Table111[[#This Row],[MONTH]]</f>
        <v>-</v>
      </c>
    </row>
    <row r="231" spans="2:27" x14ac:dyDescent="0.3">
      <c r="B231" s="183"/>
      <c r="C231" s="183"/>
      <c r="D231" s="183"/>
      <c r="E231" s="71"/>
      <c r="F231" s="72"/>
      <c r="G231" s="72"/>
      <c r="H231" s="74"/>
      <c r="I231" s="70"/>
      <c r="J231" s="70"/>
      <c r="K231" s="70"/>
      <c r="L231" s="74"/>
      <c r="M231" s="123"/>
      <c r="N231" s="73"/>
      <c r="O231" s="236"/>
      <c r="P231" s="117"/>
      <c r="Q231" s="117"/>
      <c r="R231" s="156" t="str">
        <f>IF(Table111[[#This Row],[Qty]]="","",Table111[[#This Row],[Qty]]*Table111[[#This Row],[Unit Price]])</f>
        <v/>
      </c>
      <c r="S231" s="156" t="str">
        <f>IF(Table111[[#This Row],[Qty]]="","",Table111[[#This Row],[Qty]]*Table111[[#This Row],[Unit Price]]+Table111[[#This Row],[Delivery Cost]])</f>
        <v/>
      </c>
      <c r="T231" s="72"/>
      <c r="U231" s="72"/>
      <c r="V231" s="72"/>
      <c r="W231" s="16"/>
      <c r="X231" s="63" t="str">
        <f t="shared" si="9"/>
        <v/>
      </c>
      <c r="Y231" s="63" t="str">
        <f t="shared" si="10"/>
        <v/>
      </c>
      <c r="Z231" s="63" t="str">
        <f t="shared" si="11"/>
        <v/>
      </c>
      <c r="AA231" s="63" t="str">
        <f>TEXT(Table111[[#This Row],[YEAR]],"0000")&amp;"-"&amp;Table111[[#This Row],[MONTH]]</f>
        <v>-</v>
      </c>
    </row>
    <row r="232" spans="2:27" x14ac:dyDescent="0.3">
      <c r="B232" s="68"/>
      <c r="C232" s="68"/>
      <c r="D232" s="68"/>
      <c r="E232" s="71"/>
      <c r="F232" s="72"/>
      <c r="G232" s="72"/>
      <c r="H232" s="74"/>
      <c r="I232" s="70"/>
      <c r="J232" s="70"/>
      <c r="K232" s="70"/>
      <c r="L232" s="74"/>
      <c r="M232" s="123"/>
      <c r="N232" s="73"/>
      <c r="O232" s="236"/>
      <c r="P232" s="117"/>
      <c r="Q232" s="117"/>
      <c r="R232" s="156" t="str">
        <f>IF(Table111[[#This Row],[Qty]]="","",Table111[[#This Row],[Qty]]*Table111[[#This Row],[Unit Price]])</f>
        <v/>
      </c>
      <c r="S232" s="156" t="str">
        <f>IF(Table111[[#This Row],[Qty]]="","",Table111[[#This Row],[Qty]]*Table111[[#This Row],[Unit Price]]+Table111[[#This Row],[Delivery Cost]])</f>
        <v/>
      </c>
      <c r="T232" s="72"/>
      <c r="U232" s="72"/>
      <c r="V232" s="72"/>
      <c r="W232" s="220"/>
      <c r="X232" s="63" t="str">
        <f t="shared" si="9"/>
        <v/>
      </c>
      <c r="Y232" s="63" t="str">
        <f t="shared" si="10"/>
        <v/>
      </c>
      <c r="Z232" s="63" t="str">
        <f t="shared" si="11"/>
        <v/>
      </c>
      <c r="AA232" s="63" t="str">
        <f>TEXT(Table111[[#This Row],[YEAR]],"0000")&amp;"-"&amp;Table111[[#This Row],[MONTH]]</f>
        <v>-</v>
      </c>
    </row>
    <row r="233" spans="2:27" x14ac:dyDescent="0.3">
      <c r="B233" s="183"/>
      <c r="C233" s="183"/>
      <c r="D233" s="183"/>
      <c r="E233" s="71"/>
      <c r="F233" s="72"/>
      <c r="G233" s="72"/>
      <c r="H233" s="74"/>
      <c r="I233" s="70"/>
      <c r="J233" s="70"/>
      <c r="K233" s="70"/>
      <c r="L233" s="74"/>
      <c r="M233" s="123"/>
      <c r="N233" s="73"/>
      <c r="O233" s="236"/>
      <c r="P233" s="117"/>
      <c r="Q233" s="117"/>
      <c r="R233" s="156" t="str">
        <f>IF(Table111[[#This Row],[Qty]]="","",Table111[[#This Row],[Qty]]*Table111[[#This Row],[Unit Price]])</f>
        <v/>
      </c>
      <c r="S233" s="156" t="str">
        <f>IF(Table111[[#This Row],[Qty]]="","",Table111[[#This Row],[Qty]]*Table111[[#This Row],[Unit Price]]+Table111[[#This Row],[Delivery Cost]])</f>
        <v/>
      </c>
      <c r="T233" s="72"/>
      <c r="U233" s="72"/>
      <c r="V233" s="72"/>
      <c r="W233" s="16"/>
      <c r="X233" s="63" t="str">
        <f t="shared" si="9"/>
        <v/>
      </c>
      <c r="Y233" s="63" t="str">
        <f t="shared" si="10"/>
        <v/>
      </c>
      <c r="Z233" s="63" t="str">
        <f t="shared" si="11"/>
        <v/>
      </c>
      <c r="AA233" s="63" t="str">
        <f>TEXT(Table111[[#This Row],[YEAR]],"0000")&amp;"-"&amp;Table111[[#This Row],[MONTH]]</f>
        <v>-</v>
      </c>
    </row>
    <row r="234" spans="2:27" x14ac:dyDescent="0.3">
      <c r="B234" s="68"/>
      <c r="C234" s="68"/>
      <c r="D234" s="68"/>
      <c r="E234" s="71"/>
      <c r="F234" s="72"/>
      <c r="G234" s="72"/>
      <c r="H234" s="74"/>
      <c r="I234" s="70"/>
      <c r="J234" s="70"/>
      <c r="K234" s="70"/>
      <c r="L234" s="74"/>
      <c r="M234" s="123"/>
      <c r="N234" s="73"/>
      <c r="O234" s="236"/>
      <c r="P234" s="117"/>
      <c r="Q234" s="117"/>
      <c r="R234" s="156" t="str">
        <f>IF(Table111[[#This Row],[Qty]]="","",Table111[[#This Row],[Qty]]*Table111[[#This Row],[Unit Price]])</f>
        <v/>
      </c>
      <c r="S234" s="156" t="str">
        <f>IF(Table111[[#This Row],[Qty]]="","",Table111[[#This Row],[Qty]]*Table111[[#This Row],[Unit Price]]+Table111[[#This Row],[Delivery Cost]])</f>
        <v/>
      </c>
      <c r="T234" s="72"/>
      <c r="U234" s="72"/>
      <c r="V234" s="72"/>
      <c r="W234" s="220"/>
      <c r="X234" s="63" t="str">
        <f t="shared" si="9"/>
        <v/>
      </c>
      <c r="Y234" s="63" t="str">
        <f t="shared" si="10"/>
        <v/>
      </c>
      <c r="Z234" s="63" t="str">
        <f t="shared" si="11"/>
        <v/>
      </c>
      <c r="AA234" s="63" t="str">
        <f>TEXT(Table111[[#This Row],[YEAR]],"0000")&amp;"-"&amp;Table111[[#This Row],[MONTH]]</f>
        <v>-</v>
      </c>
    </row>
    <row r="235" spans="2:27" x14ac:dyDescent="0.3">
      <c r="B235" s="183"/>
      <c r="C235" s="183"/>
      <c r="D235" s="183"/>
      <c r="E235" s="71"/>
      <c r="F235" s="72"/>
      <c r="G235" s="72"/>
      <c r="H235" s="74"/>
      <c r="I235" s="70"/>
      <c r="J235" s="70"/>
      <c r="K235" s="70"/>
      <c r="L235" s="74"/>
      <c r="M235" s="123"/>
      <c r="N235" s="73"/>
      <c r="O235" s="236"/>
      <c r="P235" s="117"/>
      <c r="Q235" s="117"/>
      <c r="R235" s="156" t="str">
        <f>IF(Table111[[#This Row],[Qty]]="","",Table111[[#This Row],[Qty]]*Table111[[#This Row],[Unit Price]])</f>
        <v/>
      </c>
      <c r="S235" s="156" t="str">
        <f>IF(Table111[[#This Row],[Qty]]="","",Table111[[#This Row],[Qty]]*Table111[[#This Row],[Unit Price]]+Table111[[#This Row],[Delivery Cost]])</f>
        <v/>
      </c>
      <c r="T235" s="72"/>
      <c r="U235" s="72"/>
      <c r="V235" s="72"/>
      <c r="W235" s="16"/>
      <c r="X235" s="63" t="str">
        <f t="shared" si="9"/>
        <v/>
      </c>
      <c r="Y235" s="63" t="str">
        <f t="shared" si="10"/>
        <v/>
      </c>
      <c r="Z235" s="63" t="str">
        <f t="shared" si="11"/>
        <v/>
      </c>
      <c r="AA235" s="63" t="str">
        <f>TEXT(Table111[[#This Row],[YEAR]],"0000")&amp;"-"&amp;Table111[[#This Row],[MONTH]]</f>
        <v>-</v>
      </c>
    </row>
    <row r="236" spans="2:27" x14ac:dyDescent="0.3">
      <c r="B236" s="68"/>
      <c r="C236" s="68"/>
      <c r="D236" s="68"/>
      <c r="E236" s="71"/>
      <c r="F236" s="72"/>
      <c r="G236" s="72"/>
      <c r="H236" s="74"/>
      <c r="I236" s="70"/>
      <c r="J236" s="70"/>
      <c r="K236" s="70"/>
      <c r="L236" s="74"/>
      <c r="M236" s="123"/>
      <c r="N236" s="73"/>
      <c r="O236" s="236"/>
      <c r="P236" s="117"/>
      <c r="Q236" s="117"/>
      <c r="R236" s="156" t="str">
        <f>IF(Table111[[#This Row],[Qty]]="","",Table111[[#This Row],[Qty]]*Table111[[#This Row],[Unit Price]])</f>
        <v/>
      </c>
      <c r="S236" s="156" t="str">
        <f>IF(Table111[[#This Row],[Qty]]="","",Table111[[#This Row],[Qty]]*Table111[[#This Row],[Unit Price]]+Table111[[#This Row],[Delivery Cost]])</f>
        <v/>
      </c>
      <c r="T236" s="72"/>
      <c r="U236" s="72"/>
      <c r="V236" s="72"/>
      <c r="W236" s="220"/>
      <c r="X236" s="63" t="str">
        <f t="shared" si="9"/>
        <v/>
      </c>
      <c r="Y236" s="63" t="str">
        <f t="shared" si="10"/>
        <v/>
      </c>
      <c r="Z236" s="63" t="str">
        <f t="shared" si="11"/>
        <v/>
      </c>
      <c r="AA236" s="63" t="str">
        <f>TEXT(Table111[[#This Row],[YEAR]],"0000")&amp;"-"&amp;Table111[[#This Row],[MONTH]]</f>
        <v>-</v>
      </c>
    </row>
    <row r="237" spans="2:27" x14ac:dyDescent="0.3">
      <c r="B237" s="183"/>
      <c r="C237" s="183"/>
      <c r="D237" s="183"/>
      <c r="E237" s="128"/>
      <c r="F237" s="72"/>
      <c r="G237" s="129"/>
      <c r="H237" s="137"/>
      <c r="I237" s="130"/>
      <c r="J237" s="130"/>
      <c r="K237" s="130"/>
      <c r="L237" s="74"/>
      <c r="M237" s="131"/>
      <c r="N237" s="132"/>
      <c r="O237" s="238"/>
      <c r="P237" s="134"/>
      <c r="Q237" s="134"/>
      <c r="R237" s="156" t="str">
        <f>IF(Table111[[#This Row],[Qty]]="","",Table111[[#This Row],[Qty]]*Table111[[#This Row],[Unit Price]])</f>
        <v/>
      </c>
      <c r="S237" s="156" t="str">
        <f>IF(Table111[[#This Row],[Qty]]="","",Table111[[#This Row],[Qty]]*Table111[[#This Row],[Unit Price]]+Table111[[#This Row],[Delivery Cost]])</f>
        <v/>
      </c>
      <c r="T237" s="72"/>
      <c r="U237" s="72"/>
      <c r="V237" s="72"/>
      <c r="W237" s="16"/>
      <c r="X237" s="127" t="str">
        <f t="shared" si="9"/>
        <v/>
      </c>
      <c r="Y237" s="127" t="str">
        <f t="shared" si="10"/>
        <v/>
      </c>
      <c r="Z237" s="127" t="str">
        <f t="shared" si="11"/>
        <v/>
      </c>
      <c r="AA237" s="63" t="str">
        <f>TEXT(Table111[[#This Row],[YEAR]],"0000")&amp;"-"&amp;Table111[[#This Row],[MONTH]]</f>
        <v>-</v>
      </c>
    </row>
    <row r="238" spans="2:27" x14ac:dyDescent="0.3">
      <c r="B238" s="68"/>
      <c r="C238" s="68"/>
      <c r="D238" s="68"/>
      <c r="E238" s="71"/>
      <c r="F238" s="72"/>
      <c r="G238" s="72"/>
      <c r="H238" s="74"/>
      <c r="I238" s="70"/>
      <c r="J238" s="70"/>
      <c r="K238" s="70"/>
      <c r="L238" s="74"/>
      <c r="M238" s="123"/>
      <c r="N238" s="73"/>
      <c r="O238" s="236"/>
      <c r="P238" s="117"/>
      <c r="Q238" s="117"/>
      <c r="R238" s="156" t="str">
        <f>IF(Table111[[#This Row],[Qty]]="","",Table111[[#This Row],[Qty]]*Table111[[#This Row],[Unit Price]])</f>
        <v/>
      </c>
      <c r="S238" s="156" t="str">
        <f>IF(Table111[[#This Row],[Qty]]="","",Table111[[#This Row],[Qty]]*Table111[[#This Row],[Unit Price]]+Table111[[#This Row],[Delivery Cost]])</f>
        <v/>
      </c>
      <c r="T238" s="72"/>
      <c r="U238" s="72"/>
      <c r="V238" s="72"/>
      <c r="W238" s="220"/>
      <c r="X238" s="63" t="str">
        <f t="shared" si="9"/>
        <v/>
      </c>
      <c r="Y238" s="63" t="str">
        <f t="shared" si="10"/>
        <v/>
      </c>
      <c r="Z238" s="63" t="str">
        <f t="shared" si="11"/>
        <v/>
      </c>
      <c r="AA238" s="63" t="str">
        <f>TEXT(Table111[[#This Row],[YEAR]],"0000")&amp;"-"&amp;Table111[[#This Row],[MONTH]]</f>
        <v>-</v>
      </c>
    </row>
    <row r="239" spans="2:27" x14ac:dyDescent="0.3">
      <c r="B239" s="183"/>
      <c r="C239" s="183"/>
      <c r="D239" s="183"/>
      <c r="E239" s="71"/>
      <c r="F239" s="72"/>
      <c r="G239" s="72"/>
      <c r="H239" s="74"/>
      <c r="I239" s="70"/>
      <c r="J239" s="70"/>
      <c r="K239" s="70"/>
      <c r="L239" s="74"/>
      <c r="M239" s="123"/>
      <c r="N239" s="73"/>
      <c r="O239" s="236"/>
      <c r="P239" s="117"/>
      <c r="Q239" s="117"/>
      <c r="R239" s="156" t="str">
        <f>IF(Table111[[#This Row],[Qty]]="","",Table111[[#This Row],[Qty]]*Table111[[#This Row],[Unit Price]])</f>
        <v/>
      </c>
      <c r="S239" s="156" t="str">
        <f>IF(Table111[[#This Row],[Qty]]="","",Table111[[#This Row],[Qty]]*Table111[[#This Row],[Unit Price]]+Table111[[#This Row],[Delivery Cost]])</f>
        <v/>
      </c>
      <c r="T239" s="72"/>
      <c r="U239" s="65"/>
      <c r="V239" s="72"/>
      <c r="W239" s="16"/>
      <c r="X239" s="63" t="str">
        <f t="shared" si="9"/>
        <v/>
      </c>
      <c r="Y239" s="63" t="str">
        <f t="shared" si="10"/>
        <v/>
      </c>
      <c r="Z239" s="63" t="str">
        <f t="shared" si="11"/>
        <v/>
      </c>
      <c r="AA239" s="63" t="str">
        <f>TEXT(Table111[[#This Row],[YEAR]],"0000")&amp;"-"&amp;Table111[[#This Row],[MONTH]]</f>
        <v>-</v>
      </c>
    </row>
    <row r="240" spans="2:27" x14ac:dyDescent="0.3">
      <c r="B240" s="68"/>
      <c r="C240" s="68"/>
      <c r="D240" s="68"/>
      <c r="E240" s="71"/>
      <c r="F240" s="72"/>
      <c r="G240" s="72"/>
      <c r="H240" s="74"/>
      <c r="I240" s="70"/>
      <c r="J240" s="70"/>
      <c r="K240" s="70"/>
      <c r="L240" s="74"/>
      <c r="M240" s="123"/>
      <c r="N240" s="73"/>
      <c r="O240" s="236"/>
      <c r="P240" s="117"/>
      <c r="Q240" s="117"/>
      <c r="R240" s="156" t="str">
        <f>IF(Table111[[#This Row],[Qty]]="","",Table111[[#This Row],[Qty]]*Table111[[#This Row],[Unit Price]])</f>
        <v/>
      </c>
      <c r="S240" s="156" t="str">
        <f>IF(Table111[[#This Row],[Qty]]="","",Table111[[#This Row],[Qty]]*Table111[[#This Row],[Unit Price]]+Table111[[#This Row],[Delivery Cost]])</f>
        <v/>
      </c>
      <c r="T240" s="72"/>
      <c r="U240" s="65"/>
      <c r="V240" s="72"/>
      <c r="W240" s="220"/>
      <c r="X240" s="63" t="str">
        <f t="shared" si="9"/>
        <v/>
      </c>
      <c r="Y240" s="63" t="str">
        <f t="shared" si="10"/>
        <v/>
      </c>
      <c r="Z240" s="63" t="str">
        <f t="shared" si="11"/>
        <v/>
      </c>
      <c r="AA240" s="63" t="str">
        <f>TEXT(Table111[[#This Row],[YEAR]],"0000")&amp;"-"&amp;Table111[[#This Row],[MONTH]]</f>
        <v>-</v>
      </c>
    </row>
    <row r="241" spans="2:27" x14ac:dyDescent="0.3">
      <c r="B241" s="183"/>
      <c r="C241" s="183"/>
      <c r="D241" s="183"/>
      <c r="E241" s="71"/>
      <c r="F241" s="72"/>
      <c r="G241" s="72"/>
      <c r="H241" s="74"/>
      <c r="I241" s="70"/>
      <c r="J241" s="70"/>
      <c r="K241" s="70"/>
      <c r="L241" s="74"/>
      <c r="M241" s="123"/>
      <c r="N241" s="73"/>
      <c r="O241" s="236"/>
      <c r="P241" s="117"/>
      <c r="Q241" s="117"/>
      <c r="R241" s="156" t="str">
        <f>IF(Table111[[#This Row],[Qty]]="","",Table111[[#This Row],[Qty]]*Table111[[#This Row],[Unit Price]])</f>
        <v/>
      </c>
      <c r="S241" s="156" t="str">
        <f>IF(Table111[[#This Row],[Qty]]="","",Table111[[#This Row],[Qty]]*Table111[[#This Row],[Unit Price]]+Table111[[#This Row],[Delivery Cost]])</f>
        <v/>
      </c>
      <c r="T241" s="72"/>
      <c r="U241" s="65"/>
      <c r="V241" s="72"/>
      <c r="W241" s="16"/>
      <c r="X241" s="63" t="str">
        <f t="shared" si="9"/>
        <v/>
      </c>
      <c r="Y241" s="63" t="str">
        <f t="shared" si="10"/>
        <v/>
      </c>
      <c r="Z241" s="63" t="str">
        <f t="shared" si="11"/>
        <v/>
      </c>
      <c r="AA241" s="63" t="str">
        <f>TEXT(Table111[[#This Row],[YEAR]],"0000")&amp;"-"&amp;Table111[[#This Row],[MONTH]]</f>
        <v>-</v>
      </c>
    </row>
    <row r="242" spans="2:27" x14ac:dyDescent="0.3">
      <c r="B242" s="68"/>
      <c r="C242" s="68"/>
      <c r="D242" s="68"/>
      <c r="E242" s="71"/>
      <c r="F242" s="72"/>
      <c r="G242" s="72"/>
      <c r="H242" s="74"/>
      <c r="I242" s="70"/>
      <c r="J242" s="70"/>
      <c r="K242" s="70"/>
      <c r="L242" s="74"/>
      <c r="M242" s="123"/>
      <c r="N242" s="73"/>
      <c r="O242" s="236"/>
      <c r="P242" s="117"/>
      <c r="Q242" s="117"/>
      <c r="R242" s="156" t="str">
        <f>IF(Table111[[#This Row],[Qty]]="","",Table111[[#This Row],[Qty]]*Table111[[#This Row],[Unit Price]])</f>
        <v/>
      </c>
      <c r="S242" s="156" t="str">
        <f>IF(Table111[[#This Row],[Qty]]="","",Table111[[#This Row],[Qty]]*Table111[[#This Row],[Unit Price]]+Table111[[#This Row],[Delivery Cost]])</f>
        <v/>
      </c>
      <c r="T242" s="72"/>
      <c r="U242" s="65"/>
      <c r="V242" s="72"/>
      <c r="W242" s="220"/>
      <c r="X242" s="63" t="str">
        <f t="shared" si="9"/>
        <v/>
      </c>
      <c r="Y242" s="63" t="str">
        <f t="shared" si="10"/>
        <v/>
      </c>
      <c r="Z242" s="63" t="str">
        <f t="shared" si="11"/>
        <v/>
      </c>
      <c r="AA242" s="63" t="str">
        <f>TEXT(Table111[[#This Row],[YEAR]],"0000")&amp;"-"&amp;Table111[[#This Row],[MONTH]]</f>
        <v>-</v>
      </c>
    </row>
    <row r="243" spans="2:27" x14ac:dyDescent="0.3">
      <c r="B243" s="183"/>
      <c r="C243" s="183"/>
      <c r="D243" s="183"/>
      <c r="E243" s="71"/>
      <c r="F243" s="72"/>
      <c r="G243" s="72"/>
      <c r="H243" s="74"/>
      <c r="I243" s="70"/>
      <c r="J243" s="70"/>
      <c r="K243" s="70"/>
      <c r="L243" s="74"/>
      <c r="M243" s="123"/>
      <c r="N243" s="73"/>
      <c r="O243" s="236"/>
      <c r="P243" s="117"/>
      <c r="Q243" s="117"/>
      <c r="R243" s="156" t="str">
        <f>IF(Table111[[#This Row],[Qty]]="","",Table111[[#This Row],[Qty]]*Table111[[#This Row],[Unit Price]])</f>
        <v/>
      </c>
      <c r="S243" s="156" t="str">
        <f>IF(Table111[[#This Row],[Qty]]="","",Table111[[#This Row],[Qty]]*Table111[[#This Row],[Unit Price]]+Table111[[#This Row],[Delivery Cost]])</f>
        <v/>
      </c>
      <c r="T243" s="72"/>
      <c r="U243" s="65"/>
      <c r="V243" s="72"/>
      <c r="W243" s="16"/>
      <c r="X243" s="63" t="str">
        <f t="shared" si="9"/>
        <v/>
      </c>
      <c r="Y243" s="63" t="str">
        <f t="shared" si="10"/>
        <v/>
      </c>
      <c r="Z243" s="63" t="str">
        <f t="shared" si="11"/>
        <v/>
      </c>
      <c r="AA243" s="63" t="str">
        <f>TEXT(Table111[[#This Row],[YEAR]],"0000")&amp;"-"&amp;Table111[[#This Row],[MONTH]]</f>
        <v>-</v>
      </c>
    </row>
    <row r="244" spans="2:27" x14ac:dyDescent="0.3">
      <c r="B244" s="68"/>
      <c r="C244" s="68"/>
      <c r="D244" s="68"/>
      <c r="E244" s="71"/>
      <c r="F244" s="72"/>
      <c r="G244" s="72"/>
      <c r="H244" s="74"/>
      <c r="I244" s="70"/>
      <c r="J244" s="70"/>
      <c r="K244" s="70"/>
      <c r="L244" s="74"/>
      <c r="M244" s="123"/>
      <c r="N244" s="73"/>
      <c r="O244" s="236"/>
      <c r="P244" s="117"/>
      <c r="Q244" s="117"/>
      <c r="R244" s="156" t="str">
        <f>IF(Table111[[#This Row],[Qty]]="","",Table111[[#This Row],[Qty]]*Table111[[#This Row],[Unit Price]])</f>
        <v/>
      </c>
      <c r="S244" s="156" t="str">
        <f>IF(Table111[[#This Row],[Qty]]="","",Table111[[#This Row],[Qty]]*Table111[[#This Row],[Unit Price]]+Table111[[#This Row],[Delivery Cost]])</f>
        <v/>
      </c>
      <c r="T244" s="72"/>
      <c r="U244" s="65"/>
      <c r="V244" s="72"/>
      <c r="W244" s="220"/>
      <c r="X244" s="63" t="str">
        <f t="shared" si="9"/>
        <v/>
      </c>
      <c r="Y244" s="63" t="str">
        <f t="shared" si="10"/>
        <v/>
      </c>
      <c r="Z244" s="63" t="str">
        <f t="shared" si="11"/>
        <v/>
      </c>
      <c r="AA244" s="63" t="str">
        <f>TEXT(Table111[[#This Row],[YEAR]],"0000")&amp;"-"&amp;Table111[[#This Row],[MONTH]]</f>
        <v>-</v>
      </c>
    </row>
    <row r="245" spans="2:27" x14ac:dyDescent="0.3">
      <c r="B245" s="183"/>
      <c r="C245" s="183"/>
      <c r="D245" s="183"/>
      <c r="E245" s="71"/>
      <c r="F245" s="72"/>
      <c r="G245" s="72"/>
      <c r="H245" s="74"/>
      <c r="I245" s="70"/>
      <c r="J245" s="70"/>
      <c r="K245" s="70"/>
      <c r="L245" s="74"/>
      <c r="M245" s="123"/>
      <c r="N245" s="73"/>
      <c r="O245" s="236"/>
      <c r="P245" s="117"/>
      <c r="Q245" s="117"/>
      <c r="R245" s="156" t="str">
        <f>IF(Table111[[#This Row],[Qty]]="","",Table111[[#This Row],[Qty]]*Table111[[#This Row],[Unit Price]])</f>
        <v/>
      </c>
      <c r="S245" s="156" t="str">
        <f>IF(Table111[[#This Row],[Qty]]="","",Table111[[#This Row],[Qty]]*Table111[[#This Row],[Unit Price]]+Table111[[#This Row],[Delivery Cost]])</f>
        <v/>
      </c>
      <c r="T245" s="72"/>
      <c r="U245" s="65"/>
      <c r="V245" s="72"/>
      <c r="W245" s="16"/>
      <c r="X245" s="63" t="str">
        <f t="shared" si="9"/>
        <v/>
      </c>
      <c r="Y245" s="63" t="str">
        <f t="shared" si="10"/>
        <v/>
      </c>
      <c r="Z245" s="63" t="str">
        <f t="shared" si="11"/>
        <v/>
      </c>
      <c r="AA245" s="63" t="str">
        <f>TEXT(Table111[[#This Row],[YEAR]],"0000")&amp;"-"&amp;Table111[[#This Row],[MONTH]]</f>
        <v>-</v>
      </c>
    </row>
    <row r="246" spans="2:27" x14ac:dyDescent="0.3">
      <c r="B246" s="68"/>
      <c r="C246" s="68"/>
      <c r="D246" s="68"/>
      <c r="E246" s="71"/>
      <c r="F246" s="72"/>
      <c r="G246" s="72"/>
      <c r="H246" s="74"/>
      <c r="I246" s="70"/>
      <c r="J246" s="70"/>
      <c r="K246" s="70"/>
      <c r="L246" s="74"/>
      <c r="M246" s="123"/>
      <c r="N246" s="73"/>
      <c r="O246" s="236"/>
      <c r="P246" s="117"/>
      <c r="Q246" s="117"/>
      <c r="R246" s="156" t="str">
        <f>IF(Table111[[#This Row],[Qty]]="","",Table111[[#This Row],[Qty]]*Table111[[#This Row],[Unit Price]])</f>
        <v/>
      </c>
      <c r="S246" s="156" t="str">
        <f>IF(Table111[[#This Row],[Qty]]="","",Table111[[#This Row],[Qty]]*Table111[[#This Row],[Unit Price]]+Table111[[#This Row],[Delivery Cost]])</f>
        <v/>
      </c>
      <c r="T246" s="72"/>
      <c r="U246" s="65"/>
      <c r="V246" s="72"/>
      <c r="W246" s="220"/>
      <c r="X246" s="63" t="str">
        <f t="shared" si="9"/>
        <v/>
      </c>
      <c r="Y246" s="63" t="str">
        <f t="shared" si="10"/>
        <v/>
      </c>
      <c r="Z246" s="63" t="str">
        <f t="shared" si="11"/>
        <v/>
      </c>
      <c r="AA246" s="63" t="str">
        <f>TEXT(Table111[[#This Row],[YEAR]],"0000")&amp;"-"&amp;Table111[[#This Row],[MONTH]]</f>
        <v>-</v>
      </c>
    </row>
    <row r="247" spans="2:27" x14ac:dyDescent="0.3">
      <c r="B247" s="183"/>
      <c r="C247" s="183"/>
      <c r="D247" s="183"/>
      <c r="E247" s="71"/>
      <c r="F247" s="72"/>
      <c r="G247" s="72"/>
      <c r="H247" s="74"/>
      <c r="I247" s="70"/>
      <c r="J247" s="70"/>
      <c r="K247" s="70"/>
      <c r="L247" s="74"/>
      <c r="M247" s="123"/>
      <c r="N247" s="73"/>
      <c r="O247" s="236"/>
      <c r="P247" s="117"/>
      <c r="Q247" s="117"/>
      <c r="R247" s="156" t="str">
        <f>IF(Table111[[#This Row],[Qty]]="","",Table111[[#This Row],[Qty]]*Table111[[#This Row],[Unit Price]])</f>
        <v/>
      </c>
      <c r="S247" s="156" t="str">
        <f>IF(Table111[[#This Row],[Qty]]="","",Table111[[#This Row],[Qty]]*Table111[[#This Row],[Unit Price]]+Table111[[#This Row],[Delivery Cost]])</f>
        <v/>
      </c>
      <c r="T247" s="72"/>
      <c r="U247" s="65"/>
      <c r="V247" s="72"/>
      <c r="W247" s="16"/>
      <c r="X247" s="63" t="str">
        <f t="shared" si="9"/>
        <v/>
      </c>
      <c r="Y247" s="63" t="str">
        <f t="shared" si="10"/>
        <v/>
      </c>
      <c r="Z247" s="63" t="str">
        <f t="shared" si="11"/>
        <v/>
      </c>
      <c r="AA247" s="63" t="str">
        <f>TEXT(Table111[[#This Row],[YEAR]],"0000")&amp;"-"&amp;Table111[[#This Row],[MONTH]]</f>
        <v>-</v>
      </c>
    </row>
    <row r="248" spans="2:27" x14ac:dyDescent="0.3">
      <c r="B248" s="68"/>
      <c r="C248" s="68"/>
      <c r="D248" s="68"/>
      <c r="E248" s="71"/>
      <c r="F248" s="72"/>
      <c r="G248" s="72"/>
      <c r="H248" s="74"/>
      <c r="I248" s="70"/>
      <c r="J248" s="70"/>
      <c r="K248" s="70"/>
      <c r="L248" s="74"/>
      <c r="M248" s="123"/>
      <c r="N248" s="73"/>
      <c r="O248" s="236"/>
      <c r="P248" s="117"/>
      <c r="Q248" s="117"/>
      <c r="R248" s="156" t="str">
        <f>IF(Table111[[#This Row],[Qty]]="","",Table111[[#This Row],[Qty]]*Table111[[#This Row],[Unit Price]])</f>
        <v/>
      </c>
      <c r="S248" s="156" t="str">
        <f>IF(Table111[[#This Row],[Qty]]="","",Table111[[#This Row],[Qty]]*Table111[[#This Row],[Unit Price]]+Table111[[#This Row],[Delivery Cost]])</f>
        <v/>
      </c>
      <c r="T248" s="72"/>
      <c r="U248" s="65"/>
      <c r="V248" s="72"/>
      <c r="W248" s="220"/>
      <c r="X248" s="63" t="str">
        <f t="shared" si="9"/>
        <v/>
      </c>
      <c r="Y248" s="63" t="str">
        <f t="shared" si="10"/>
        <v/>
      </c>
      <c r="Z248" s="63" t="str">
        <f t="shared" si="11"/>
        <v/>
      </c>
      <c r="AA248" s="63" t="str">
        <f>TEXT(Table111[[#This Row],[YEAR]],"0000")&amp;"-"&amp;Table111[[#This Row],[MONTH]]</f>
        <v>-</v>
      </c>
    </row>
    <row r="249" spans="2:27" x14ac:dyDescent="0.3">
      <c r="B249" s="183"/>
      <c r="C249" s="183"/>
      <c r="D249" s="183"/>
      <c r="E249" s="71"/>
      <c r="F249" s="72"/>
      <c r="G249" s="72"/>
      <c r="H249" s="74"/>
      <c r="I249" s="70"/>
      <c r="J249" s="70"/>
      <c r="K249" s="70"/>
      <c r="L249" s="74"/>
      <c r="M249" s="123"/>
      <c r="N249" s="73"/>
      <c r="O249" s="236"/>
      <c r="P249" s="117"/>
      <c r="Q249" s="117"/>
      <c r="R249" s="156" t="str">
        <f>IF(Table111[[#This Row],[Qty]]="","",Table111[[#This Row],[Qty]]*Table111[[#This Row],[Unit Price]])</f>
        <v/>
      </c>
      <c r="S249" s="156" t="str">
        <f>IF(Table111[[#This Row],[Qty]]="","",Table111[[#This Row],[Qty]]*Table111[[#This Row],[Unit Price]]+Table111[[#This Row],[Delivery Cost]])</f>
        <v/>
      </c>
      <c r="T249" s="72"/>
      <c r="U249" s="65"/>
      <c r="V249" s="72"/>
      <c r="W249" s="16"/>
      <c r="X249" s="63" t="str">
        <f t="shared" si="9"/>
        <v/>
      </c>
      <c r="Y249" s="63" t="str">
        <f t="shared" si="10"/>
        <v/>
      </c>
      <c r="Z249" s="63" t="str">
        <f t="shared" si="11"/>
        <v/>
      </c>
      <c r="AA249" s="63" t="str">
        <f>TEXT(Table111[[#This Row],[YEAR]],"0000")&amp;"-"&amp;Table111[[#This Row],[MONTH]]</f>
        <v>-</v>
      </c>
    </row>
    <row r="250" spans="2:27" x14ac:dyDescent="0.3">
      <c r="B250" s="68"/>
      <c r="C250" s="68"/>
      <c r="D250" s="68"/>
      <c r="E250" s="71"/>
      <c r="F250" s="72"/>
      <c r="G250" s="72"/>
      <c r="H250" s="74"/>
      <c r="I250" s="70"/>
      <c r="J250" s="70"/>
      <c r="K250" s="70"/>
      <c r="L250" s="74"/>
      <c r="M250" s="123"/>
      <c r="N250" s="73"/>
      <c r="O250" s="236"/>
      <c r="P250" s="117"/>
      <c r="Q250" s="117"/>
      <c r="R250" s="156" t="str">
        <f>IF(Table111[[#This Row],[Qty]]="","",Table111[[#This Row],[Qty]]*Table111[[#This Row],[Unit Price]])</f>
        <v/>
      </c>
      <c r="S250" s="156" t="str">
        <f>IF(Table111[[#This Row],[Qty]]="","",Table111[[#This Row],[Qty]]*Table111[[#This Row],[Unit Price]]+Table111[[#This Row],[Delivery Cost]])</f>
        <v/>
      </c>
      <c r="T250" s="72"/>
      <c r="U250" s="65"/>
      <c r="V250" s="72"/>
      <c r="W250" s="220"/>
      <c r="X250" s="63" t="str">
        <f t="shared" si="9"/>
        <v/>
      </c>
      <c r="Y250" s="63" t="str">
        <f t="shared" si="10"/>
        <v/>
      </c>
      <c r="Z250" s="63" t="str">
        <f t="shared" si="11"/>
        <v/>
      </c>
      <c r="AA250" s="63" t="str">
        <f>TEXT(Table111[[#This Row],[YEAR]],"0000")&amp;"-"&amp;Table111[[#This Row],[MONTH]]</f>
        <v>-</v>
      </c>
    </row>
    <row r="251" spans="2:27" x14ac:dyDescent="0.3">
      <c r="B251" s="183"/>
      <c r="C251" s="183"/>
      <c r="D251" s="183"/>
      <c r="E251" s="71"/>
      <c r="F251" s="72"/>
      <c r="G251" s="72"/>
      <c r="H251" s="74"/>
      <c r="I251" s="70"/>
      <c r="J251" s="70"/>
      <c r="K251" s="70"/>
      <c r="L251" s="74"/>
      <c r="M251" s="123"/>
      <c r="N251" s="73"/>
      <c r="O251" s="236"/>
      <c r="P251" s="117"/>
      <c r="Q251" s="117"/>
      <c r="R251" s="156" t="str">
        <f>IF(Table111[[#This Row],[Qty]]="","",Table111[[#This Row],[Qty]]*Table111[[#This Row],[Unit Price]])</f>
        <v/>
      </c>
      <c r="S251" s="156" t="str">
        <f>IF(Table111[[#This Row],[Qty]]="","",Table111[[#This Row],[Qty]]*Table111[[#This Row],[Unit Price]]+Table111[[#This Row],[Delivery Cost]])</f>
        <v/>
      </c>
      <c r="T251" s="72"/>
      <c r="U251" s="65"/>
      <c r="V251" s="72"/>
      <c r="W251" s="16"/>
      <c r="X251" s="63" t="str">
        <f t="shared" si="9"/>
        <v/>
      </c>
      <c r="Y251" s="63" t="str">
        <f t="shared" si="10"/>
        <v/>
      </c>
      <c r="Z251" s="63" t="str">
        <f t="shared" si="11"/>
        <v/>
      </c>
      <c r="AA251" s="63" t="str">
        <f>TEXT(Table111[[#This Row],[YEAR]],"0000")&amp;"-"&amp;Table111[[#This Row],[MONTH]]</f>
        <v>-</v>
      </c>
    </row>
    <row r="252" spans="2:27" x14ac:dyDescent="0.3">
      <c r="B252" s="68"/>
      <c r="C252" s="68"/>
      <c r="D252" s="68"/>
      <c r="E252" s="71"/>
      <c r="F252" s="72"/>
      <c r="G252" s="72"/>
      <c r="H252" s="74"/>
      <c r="I252" s="70"/>
      <c r="J252" s="70"/>
      <c r="K252" s="70"/>
      <c r="L252" s="74"/>
      <c r="M252" s="123"/>
      <c r="N252" s="73"/>
      <c r="O252" s="236"/>
      <c r="P252" s="117"/>
      <c r="Q252" s="117"/>
      <c r="R252" s="156" t="str">
        <f>IF(Table111[[#This Row],[Qty]]="","",Table111[[#This Row],[Qty]]*Table111[[#This Row],[Unit Price]])</f>
        <v/>
      </c>
      <c r="S252" s="156" t="str">
        <f>IF(Table111[[#This Row],[Qty]]="","",Table111[[#This Row],[Qty]]*Table111[[#This Row],[Unit Price]]+Table111[[#This Row],[Delivery Cost]])</f>
        <v/>
      </c>
      <c r="T252" s="72"/>
      <c r="U252" s="65"/>
      <c r="V252" s="72"/>
      <c r="W252" s="220"/>
      <c r="X252" s="63" t="str">
        <f t="shared" si="9"/>
        <v/>
      </c>
      <c r="Y252" s="63" t="str">
        <f t="shared" si="10"/>
        <v/>
      </c>
      <c r="Z252" s="63" t="str">
        <f t="shared" si="11"/>
        <v/>
      </c>
      <c r="AA252" s="63" t="str">
        <f>TEXT(Table111[[#This Row],[YEAR]],"0000")&amp;"-"&amp;Table111[[#This Row],[MONTH]]</f>
        <v>-</v>
      </c>
    </row>
    <row r="253" spans="2:27" x14ac:dyDescent="0.3">
      <c r="B253" s="183"/>
      <c r="C253" s="183"/>
      <c r="D253" s="183"/>
      <c r="E253" s="128"/>
      <c r="F253" s="72"/>
      <c r="G253" s="129"/>
      <c r="H253" s="137"/>
      <c r="I253" s="130"/>
      <c r="J253" s="130"/>
      <c r="K253" s="130"/>
      <c r="L253" s="74"/>
      <c r="M253" s="131"/>
      <c r="N253" s="132"/>
      <c r="O253" s="238"/>
      <c r="P253" s="134"/>
      <c r="Q253" s="134"/>
      <c r="R253" s="156" t="str">
        <f>IF(Table111[[#This Row],[Qty]]="","",Table111[[#This Row],[Qty]]*Table111[[#This Row],[Unit Price]])</f>
        <v/>
      </c>
      <c r="S253" s="156" t="str">
        <f>IF(Table111[[#This Row],[Qty]]="","",Table111[[#This Row],[Qty]]*Table111[[#This Row],[Unit Price]]+Table111[[#This Row],[Delivery Cost]])</f>
        <v/>
      </c>
      <c r="T253" s="72"/>
      <c r="U253" s="65"/>
      <c r="V253" s="72"/>
      <c r="W253" s="16"/>
      <c r="X253" s="127" t="str">
        <f t="shared" si="9"/>
        <v/>
      </c>
      <c r="Y253" s="127" t="str">
        <f t="shared" si="10"/>
        <v/>
      </c>
      <c r="Z253" s="127" t="str">
        <f t="shared" si="11"/>
        <v/>
      </c>
      <c r="AA253" s="63" t="str">
        <f>TEXT(Table111[[#This Row],[YEAR]],"0000")&amp;"-"&amp;Table111[[#This Row],[MONTH]]</f>
        <v>-</v>
      </c>
    </row>
    <row r="254" spans="2:27" x14ac:dyDescent="0.3">
      <c r="B254" s="68"/>
      <c r="C254" s="68"/>
      <c r="D254" s="68"/>
      <c r="E254" s="71"/>
      <c r="F254" s="72"/>
      <c r="G254" s="72"/>
      <c r="H254" s="74"/>
      <c r="I254" s="70"/>
      <c r="J254" s="70"/>
      <c r="K254" s="70"/>
      <c r="L254" s="74"/>
      <c r="M254" s="123"/>
      <c r="N254" s="73"/>
      <c r="O254" s="236"/>
      <c r="P254" s="117"/>
      <c r="Q254" s="117"/>
      <c r="R254" s="156" t="str">
        <f>IF(Table111[[#This Row],[Qty]]="","",Table111[[#This Row],[Qty]]*Table111[[#This Row],[Unit Price]])</f>
        <v/>
      </c>
      <c r="S254" s="156" t="str">
        <f>IF(Table111[[#This Row],[Qty]]="","",Table111[[#This Row],[Qty]]*Table111[[#This Row],[Unit Price]]+Table111[[#This Row],[Delivery Cost]])</f>
        <v/>
      </c>
      <c r="T254" s="72"/>
      <c r="U254" s="65"/>
      <c r="V254" s="72"/>
      <c r="W254" s="220"/>
      <c r="X254" s="63" t="str">
        <f t="shared" si="9"/>
        <v/>
      </c>
      <c r="Y254" s="63" t="str">
        <f t="shared" si="10"/>
        <v/>
      </c>
      <c r="Z254" s="63" t="str">
        <f t="shared" si="11"/>
        <v/>
      </c>
      <c r="AA254" s="63" t="str">
        <f>TEXT(Table111[[#This Row],[YEAR]],"0000")&amp;"-"&amp;Table111[[#This Row],[MONTH]]</f>
        <v>-</v>
      </c>
    </row>
    <row r="255" spans="2:27" x14ac:dyDescent="0.3">
      <c r="B255" s="183"/>
      <c r="C255" s="183"/>
      <c r="D255" s="183"/>
      <c r="E255" s="71"/>
      <c r="F255" s="72"/>
      <c r="G255" s="72"/>
      <c r="H255" s="74"/>
      <c r="I255" s="70"/>
      <c r="J255" s="70"/>
      <c r="K255" s="70"/>
      <c r="L255" s="74"/>
      <c r="M255" s="123"/>
      <c r="N255" s="73"/>
      <c r="O255" s="236"/>
      <c r="P255" s="117"/>
      <c r="Q255" s="117"/>
      <c r="R255" s="156" t="str">
        <f>IF(Table111[[#This Row],[Qty]]="","",Table111[[#This Row],[Qty]]*Table111[[#This Row],[Unit Price]])</f>
        <v/>
      </c>
      <c r="S255" s="156" t="str">
        <f>IF(Table111[[#This Row],[Qty]]="","",Table111[[#This Row],[Qty]]*Table111[[#This Row],[Unit Price]]+Table111[[#This Row],[Delivery Cost]])</f>
        <v/>
      </c>
      <c r="T255" s="72"/>
      <c r="U255" s="65"/>
      <c r="V255" s="72"/>
      <c r="W255" s="16"/>
      <c r="X255" s="63" t="str">
        <f t="shared" si="9"/>
        <v/>
      </c>
      <c r="Y255" s="63" t="str">
        <f t="shared" si="10"/>
        <v/>
      </c>
      <c r="Z255" s="63" t="str">
        <f t="shared" si="11"/>
        <v/>
      </c>
      <c r="AA255" s="63" t="str">
        <f>TEXT(Table111[[#This Row],[YEAR]],"0000")&amp;"-"&amp;Table111[[#This Row],[MONTH]]</f>
        <v>-</v>
      </c>
    </row>
    <row r="256" spans="2:27" x14ac:dyDescent="0.3">
      <c r="B256" s="68"/>
      <c r="C256" s="68"/>
      <c r="D256" s="68"/>
      <c r="E256" s="71"/>
      <c r="F256" s="72"/>
      <c r="G256" s="72"/>
      <c r="H256" s="74"/>
      <c r="I256" s="70"/>
      <c r="J256" s="70"/>
      <c r="K256" s="70"/>
      <c r="L256" s="74"/>
      <c r="M256" s="123"/>
      <c r="N256" s="73"/>
      <c r="O256" s="236"/>
      <c r="P256" s="117"/>
      <c r="Q256" s="117"/>
      <c r="R256" s="156" t="str">
        <f>IF(Table111[[#This Row],[Qty]]="","",Table111[[#This Row],[Qty]]*Table111[[#This Row],[Unit Price]])</f>
        <v/>
      </c>
      <c r="S256" s="156" t="str">
        <f>IF(Table111[[#This Row],[Qty]]="","",Table111[[#This Row],[Qty]]*Table111[[#This Row],[Unit Price]]+Table111[[#This Row],[Delivery Cost]])</f>
        <v/>
      </c>
      <c r="T256" s="72"/>
      <c r="U256" s="65"/>
      <c r="V256" s="72"/>
      <c r="W256" s="220"/>
      <c r="X256" s="63" t="str">
        <f t="shared" si="9"/>
        <v/>
      </c>
      <c r="Y256" s="63" t="str">
        <f t="shared" si="10"/>
        <v/>
      </c>
      <c r="Z256" s="63" t="str">
        <f t="shared" si="11"/>
        <v/>
      </c>
      <c r="AA256" s="63" t="str">
        <f>TEXT(Table111[[#This Row],[YEAR]],"0000")&amp;"-"&amp;Table111[[#This Row],[MONTH]]</f>
        <v>-</v>
      </c>
    </row>
    <row r="257" spans="2:27" x14ac:dyDescent="0.3">
      <c r="B257" s="183"/>
      <c r="C257" s="183"/>
      <c r="D257" s="183"/>
      <c r="E257" s="71"/>
      <c r="F257" s="72"/>
      <c r="G257" s="72"/>
      <c r="H257" s="74"/>
      <c r="I257" s="70"/>
      <c r="J257" s="70"/>
      <c r="K257" s="70"/>
      <c r="L257" s="74"/>
      <c r="M257" s="123"/>
      <c r="N257" s="73"/>
      <c r="O257" s="236"/>
      <c r="P257" s="117"/>
      <c r="Q257" s="117"/>
      <c r="R257" s="156" t="str">
        <f>IF(Table111[[#This Row],[Qty]]="","",Table111[[#This Row],[Qty]]*Table111[[#This Row],[Unit Price]])</f>
        <v/>
      </c>
      <c r="S257" s="156" t="str">
        <f>IF(Table111[[#This Row],[Qty]]="","",Table111[[#This Row],[Qty]]*Table111[[#This Row],[Unit Price]]+Table111[[#This Row],[Delivery Cost]])</f>
        <v/>
      </c>
      <c r="T257" s="72"/>
      <c r="U257" s="65"/>
      <c r="V257" s="72"/>
      <c r="W257" s="16"/>
      <c r="X257" s="63" t="str">
        <f t="shared" si="9"/>
        <v/>
      </c>
      <c r="Y257" s="63" t="str">
        <f t="shared" si="10"/>
        <v/>
      </c>
      <c r="Z257" s="63" t="str">
        <f t="shared" si="11"/>
        <v/>
      </c>
      <c r="AA257" s="63" t="str">
        <f>TEXT(Table111[[#This Row],[YEAR]],"0000")&amp;"-"&amp;Table111[[#This Row],[MONTH]]</f>
        <v>-</v>
      </c>
    </row>
    <row r="258" spans="2:27" x14ac:dyDescent="0.3">
      <c r="B258" s="68"/>
      <c r="C258" s="68"/>
      <c r="D258" s="68"/>
      <c r="E258" s="128"/>
      <c r="F258" s="72"/>
      <c r="G258" s="129"/>
      <c r="H258" s="137"/>
      <c r="I258" s="130"/>
      <c r="J258" s="130"/>
      <c r="K258" s="130"/>
      <c r="L258" s="74"/>
      <c r="M258" s="131"/>
      <c r="N258" s="132"/>
      <c r="O258" s="238"/>
      <c r="P258" s="134"/>
      <c r="Q258" s="134"/>
      <c r="R258" s="156" t="str">
        <f>IF(Table111[[#This Row],[Qty]]="","",Table111[[#This Row],[Qty]]*Table111[[#This Row],[Unit Price]])</f>
        <v/>
      </c>
      <c r="S258" s="156" t="str">
        <f>IF(Table111[[#This Row],[Qty]]="","",Table111[[#This Row],[Qty]]*Table111[[#This Row],[Unit Price]]+Table111[[#This Row],[Delivery Cost]])</f>
        <v/>
      </c>
      <c r="T258" s="72"/>
      <c r="U258" s="65"/>
      <c r="V258" s="72"/>
      <c r="W258" s="220"/>
      <c r="X258" s="127" t="str">
        <f t="shared" si="9"/>
        <v/>
      </c>
      <c r="Y258" s="127" t="str">
        <f t="shared" si="10"/>
        <v/>
      </c>
      <c r="Z258" s="127" t="str">
        <f t="shared" si="11"/>
        <v/>
      </c>
      <c r="AA258" s="63" t="str">
        <f>TEXT(Table111[[#This Row],[YEAR]],"0000")&amp;"-"&amp;Table111[[#This Row],[MONTH]]</f>
        <v>-</v>
      </c>
    </row>
    <row r="259" spans="2:27" x14ac:dyDescent="0.3">
      <c r="B259" s="183"/>
      <c r="C259" s="183"/>
      <c r="D259" s="183"/>
      <c r="E259" s="71"/>
      <c r="F259" s="72"/>
      <c r="G259" s="72"/>
      <c r="H259" s="74"/>
      <c r="I259" s="70"/>
      <c r="J259" s="70"/>
      <c r="K259" s="70"/>
      <c r="L259" s="74"/>
      <c r="M259" s="123"/>
      <c r="N259" s="73"/>
      <c r="O259" s="236"/>
      <c r="P259" s="117"/>
      <c r="Q259" s="117"/>
      <c r="R259" s="156" t="str">
        <f>IF(Table111[[#This Row],[Qty]]="","",Table111[[#This Row],[Qty]]*Table111[[#This Row],[Unit Price]])</f>
        <v/>
      </c>
      <c r="S259" s="156" t="str">
        <f>IF(Table111[[#This Row],[Qty]]="","",Table111[[#This Row],[Qty]]*Table111[[#This Row],[Unit Price]]+Table111[[#This Row],[Delivery Cost]])</f>
        <v/>
      </c>
      <c r="T259" s="72"/>
      <c r="U259" s="65"/>
      <c r="V259" s="72"/>
      <c r="W259" s="16"/>
      <c r="X259" s="63" t="str">
        <f t="shared" ref="X259:X322" si="12">IF(E259=0,"",YEAR(E259))</f>
        <v/>
      </c>
      <c r="Y259" s="63" t="str">
        <f t="shared" ref="Y259:Y322" si="13">IF(E259=0,"",MONTH(E259))</f>
        <v/>
      </c>
      <c r="Z259" s="63" t="str">
        <f t="shared" ref="Z259:Z322" si="14">IF(E259=0,"",WEEKNUM(E259))</f>
        <v/>
      </c>
      <c r="AA259" s="63" t="str">
        <f>TEXT(Table111[[#This Row],[YEAR]],"0000")&amp;"-"&amp;Table111[[#This Row],[MONTH]]</f>
        <v>-</v>
      </c>
    </row>
    <row r="260" spans="2:27" x14ac:dyDescent="0.3">
      <c r="B260" s="68"/>
      <c r="C260" s="68"/>
      <c r="D260" s="68"/>
      <c r="E260" s="71"/>
      <c r="F260" s="72"/>
      <c r="G260" s="72"/>
      <c r="H260" s="74"/>
      <c r="I260" s="70"/>
      <c r="J260" s="70"/>
      <c r="K260" s="70"/>
      <c r="L260" s="74"/>
      <c r="M260" s="123"/>
      <c r="N260" s="73"/>
      <c r="O260" s="236"/>
      <c r="P260" s="117"/>
      <c r="Q260" s="117"/>
      <c r="R260" s="156" t="str">
        <f>IF(Table111[[#This Row],[Qty]]="","",Table111[[#This Row],[Qty]]*Table111[[#This Row],[Unit Price]])</f>
        <v/>
      </c>
      <c r="S260" s="156" t="str">
        <f>IF(Table111[[#This Row],[Qty]]="","",Table111[[#This Row],[Qty]]*Table111[[#This Row],[Unit Price]]+Table111[[#This Row],[Delivery Cost]])</f>
        <v/>
      </c>
      <c r="T260" s="72"/>
      <c r="U260" s="65"/>
      <c r="V260" s="72"/>
      <c r="W260" s="220"/>
      <c r="X260" s="63" t="str">
        <f t="shared" si="12"/>
        <v/>
      </c>
      <c r="Y260" s="63" t="str">
        <f t="shared" si="13"/>
        <v/>
      </c>
      <c r="Z260" s="63" t="str">
        <f t="shared" si="14"/>
        <v/>
      </c>
      <c r="AA260" s="63" t="str">
        <f>TEXT(Table111[[#This Row],[YEAR]],"0000")&amp;"-"&amp;Table111[[#This Row],[MONTH]]</f>
        <v>-</v>
      </c>
    </row>
    <row r="261" spans="2:27" x14ac:dyDescent="0.3">
      <c r="B261" s="183"/>
      <c r="C261" s="183"/>
      <c r="D261" s="183"/>
      <c r="E261" s="71"/>
      <c r="F261" s="72"/>
      <c r="G261" s="72"/>
      <c r="H261" s="74"/>
      <c r="I261" s="70"/>
      <c r="J261" s="70"/>
      <c r="K261" s="70"/>
      <c r="L261" s="74"/>
      <c r="M261" s="123"/>
      <c r="N261" s="73"/>
      <c r="O261" s="236"/>
      <c r="P261" s="117"/>
      <c r="Q261" s="117"/>
      <c r="R261" s="156" t="str">
        <f>IF(Table111[[#This Row],[Qty]]="","",Table111[[#This Row],[Qty]]*Table111[[#This Row],[Unit Price]])</f>
        <v/>
      </c>
      <c r="S261" s="156" t="str">
        <f>IF(Table111[[#This Row],[Qty]]="","",Table111[[#This Row],[Qty]]*Table111[[#This Row],[Unit Price]]+Table111[[#This Row],[Delivery Cost]])</f>
        <v/>
      </c>
      <c r="T261" s="72"/>
      <c r="U261" s="65"/>
      <c r="V261" s="72"/>
      <c r="W261" s="16"/>
      <c r="X261" s="63" t="str">
        <f t="shared" si="12"/>
        <v/>
      </c>
      <c r="Y261" s="63" t="str">
        <f t="shared" si="13"/>
        <v/>
      </c>
      <c r="Z261" s="63" t="str">
        <f t="shared" si="14"/>
        <v/>
      </c>
      <c r="AA261" s="63" t="str">
        <f>TEXT(Table111[[#This Row],[YEAR]],"0000")&amp;"-"&amp;Table111[[#This Row],[MONTH]]</f>
        <v>-</v>
      </c>
    </row>
    <row r="262" spans="2:27" x14ac:dyDescent="0.3">
      <c r="B262" s="68"/>
      <c r="C262" s="68"/>
      <c r="D262" s="68"/>
      <c r="E262" s="71"/>
      <c r="F262" s="72"/>
      <c r="G262" s="72"/>
      <c r="H262" s="74"/>
      <c r="I262" s="70"/>
      <c r="J262" s="70"/>
      <c r="K262" s="70"/>
      <c r="L262" s="74"/>
      <c r="M262" s="123"/>
      <c r="N262" s="73"/>
      <c r="O262" s="236"/>
      <c r="P262" s="117"/>
      <c r="Q262" s="117"/>
      <c r="R262" s="156" t="str">
        <f>IF(Table111[[#This Row],[Qty]]="","",Table111[[#This Row],[Qty]]*Table111[[#This Row],[Unit Price]])</f>
        <v/>
      </c>
      <c r="S262" s="156" t="str">
        <f>IF(Table111[[#This Row],[Qty]]="","",Table111[[#This Row],[Qty]]*Table111[[#This Row],[Unit Price]]+Table111[[#This Row],[Delivery Cost]])</f>
        <v/>
      </c>
      <c r="T262" s="72"/>
      <c r="U262" s="65"/>
      <c r="V262" s="72"/>
      <c r="W262" s="220"/>
      <c r="X262" s="63" t="str">
        <f t="shared" si="12"/>
        <v/>
      </c>
      <c r="Y262" s="63" t="str">
        <f t="shared" si="13"/>
        <v/>
      </c>
      <c r="Z262" s="63" t="str">
        <f t="shared" si="14"/>
        <v/>
      </c>
      <c r="AA262" s="63" t="str">
        <f>TEXT(Table111[[#This Row],[YEAR]],"0000")&amp;"-"&amp;Table111[[#This Row],[MONTH]]</f>
        <v>-</v>
      </c>
    </row>
    <row r="263" spans="2:27" x14ac:dyDescent="0.3">
      <c r="B263" s="183"/>
      <c r="C263" s="183"/>
      <c r="D263" s="183"/>
      <c r="E263" s="71"/>
      <c r="F263" s="72"/>
      <c r="G263" s="72"/>
      <c r="H263" s="74"/>
      <c r="I263" s="70"/>
      <c r="J263" s="70"/>
      <c r="K263" s="70"/>
      <c r="L263" s="74"/>
      <c r="M263" s="123"/>
      <c r="N263" s="73"/>
      <c r="O263" s="236"/>
      <c r="P263" s="117"/>
      <c r="Q263" s="117"/>
      <c r="R263" s="156" t="str">
        <f>IF(Table111[[#This Row],[Qty]]="","",Table111[[#This Row],[Qty]]*Table111[[#This Row],[Unit Price]])</f>
        <v/>
      </c>
      <c r="S263" s="156" t="str">
        <f>IF(Table111[[#This Row],[Qty]]="","",Table111[[#This Row],[Qty]]*Table111[[#This Row],[Unit Price]]+Table111[[#This Row],[Delivery Cost]])</f>
        <v/>
      </c>
      <c r="T263" s="72"/>
      <c r="U263" s="65"/>
      <c r="V263" s="72"/>
      <c r="W263" s="16"/>
      <c r="X263" s="63" t="str">
        <f t="shared" si="12"/>
        <v/>
      </c>
      <c r="Y263" s="63" t="str">
        <f t="shared" si="13"/>
        <v/>
      </c>
      <c r="Z263" s="63" t="str">
        <f t="shared" si="14"/>
        <v/>
      </c>
      <c r="AA263" s="63" t="str">
        <f>TEXT(Table111[[#This Row],[YEAR]],"0000")&amp;"-"&amp;Table111[[#This Row],[MONTH]]</f>
        <v>-</v>
      </c>
    </row>
    <row r="264" spans="2:27" x14ac:dyDescent="0.3">
      <c r="B264" s="68"/>
      <c r="C264" s="68"/>
      <c r="D264" s="68"/>
      <c r="E264" s="71"/>
      <c r="F264" s="72"/>
      <c r="G264" s="72"/>
      <c r="H264" s="74"/>
      <c r="I264" s="70"/>
      <c r="J264" s="70"/>
      <c r="K264" s="70"/>
      <c r="L264" s="74"/>
      <c r="M264" s="123"/>
      <c r="N264" s="73"/>
      <c r="O264" s="236"/>
      <c r="P264" s="117"/>
      <c r="Q264" s="117"/>
      <c r="R264" s="156" t="str">
        <f>IF(Table111[[#This Row],[Qty]]="","",Table111[[#This Row],[Qty]]*Table111[[#This Row],[Unit Price]])</f>
        <v/>
      </c>
      <c r="S264" s="156" t="str">
        <f>IF(Table111[[#This Row],[Qty]]="","",Table111[[#This Row],[Qty]]*Table111[[#This Row],[Unit Price]]+Table111[[#This Row],[Delivery Cost]])</f>
        <v/>
      </c>
      <c r="T264" s="72"/>
      <c r="U264" s="65"/>
      <c r="V264" s="72"/>
      <c r="W264" s="220"/>
      <c r="X264" s="63" t="str">
        <f t="shared" si="12"/>
        <v/>
      </c>
      <c r="Y264" s="63" t="str">
        <f t="shared" si="13"/>
        <v/>
      </c>
      <c r="Z264" s="63" t="str">
        <f t="shared" si="14"/>
        <v/>
      </c>
      <c r="AA264" s="63" t="str">
        <f>TEXT(Table111[[#This Row],[YEAR]],"0000")&amp;"-"&amp;Table111[[#This Row],[MONTH]]</f>
        <v>-</v>
      </c>
    </row>
    <row r="265" spans="2:27" x14ac:dyDescent="0.3">
      <c r="B265" s="183"/>
      <c r="C265" s="183"/>
      <c r="D265" s="183"/>
      <c r="E265" s="128"/>
      <c r="F265" s="72"/>
      <c r="G265" s="129"/>
      <c r="H265" s="137"/>
      <c r="I265" s="130"/>
      <c r="J265" s="130"/>
      <c r="K265" s="130"/>
      <c r="L265" s="74"/>
      <c r="M265" s="131"/>
      <c r="N265" s="132"/>
      <c r="O265" s="238"/>
      <c r="P265" s="134"/>
      <c r="Q265" s="134"/>
      <c r="R265" s="156" t="str">
        <f>IF(Table111[[#This Row],[Qty]]="","",Table111[[#This Row],[Qty]]*Table111[[#This Row],[Unit Price]])</f>
        <v/>
      </c>
      <c r="S265" s="156" t="str">
        <f>IF(Table111[[#This Row],[Qty]]="","",Table111[[#This Row],[Qty]]*Table111[[#This Row],[Unit Price]]+Table111[[#This Row],[Delivery Cost]])</f>
        <v/>
      </c>
      <c r="T265" s="72"/>
      <c r="U265" s="65"/>
      <c r="V265" s="72"/>
      <c r="W265" s="16"/>
      <c r="X265" s="127" t="str">
        <f t="shared" si="12"/>
        <v/>
      </c>
      <c r="Y265" s="127" t="str">
        <f t="shared" si="13"/>
        <v/>
      </c>
      <c r="Z265" s="127" t="str">
        <f t="shared" si="14"/>
        <v/>
      </c>
      <c r="AA265" s="63" t="str">
        <f>TEXT(Table111[[#This Row],[YEAR]],"0000")&amp;"-"&amp;Table111[[#This Row],[MONTH]]</f>
        <v>-</v>
      </c>
    </row>
    <row r="266" spans="2:27" x14ac:dyDescent="0.3">
      <c r="B266" s="68"/>
      <c r="C266" s="68"/>
      <c r="D266" s="68"/>
      <c r="E266" s="71"/>
      <c r="F266" s="72"/>
      <c r="G266" s="72"/>
      <c r="H266" s="74"/>
      <c r="I266" s="70"/>
      <c r="J266" s="70"/>
      <c r="K266" s="70"/>
      <c r="L266" s="74"/>
      <c r="M266" s="123"/>
      <c r="N266" s="73"/>
      <c r="O266" s="236"/>
      <c r="P266" s="117"/>
      <c r="Q266" s="117"/>
      <c r="R266" s="156" t="str">
        <f>IF(Table111[[#This Row],[Qty]]="","",Table111[[#This Row],[Qty]]*Table111[[#This Row],[Unit Price]])</f>
        <v/>
      </c>
      <c r="S266" s="156" t="str">
        <f>IF(Table111[[#This Row],[Qty]]="","",Table111[[#This Row],[Qty]]*Table111[[#This Row],[Unit Price]]+Table111[[#This Row],[Delivery Cost]])</f>
        <v/>
      </c>
      <c r="T266" s="72"/>
      <c r="U266" s="65"/>
      <c r="V266" s="72"/>
      <c r="W266" s="220"/>
      <c r="X266" s="63" t="str">
        <f t="shared" si="12"/>
        <v/>
      </c>
      <c r="Y266" s="63" t="str">
        <f t="shared" si="13"/>
        <v/>
      </c>
      <c r="Z266" s="63" t="str">
        <f t="shared" si="14"/>
        <v/>
      </c>
      <c r="AA266" s="63" t="str">
        <f>TEXT(Table111[[#This Row],[YEAR]],"0000")&amp;"-"&amp;Table111[[#This Row],[MONTH]]</f>
        <v>-</v>
      </c>
    </row>
    <row r="267" spans="2:27" x14ac:dyDescent="0.3">
      <c r="B267" s="183"/>
      <c r="C267" s="183"/>
      <c r="D267" s="183"/>
      <c r="E267" s="71"/>
      <c r="F267" s="72"/>
      <c r="G267" s="72"/>
      <c r="H267" s="74"/>
      <c r="I267" s="70"/>
      <c r="J267" s="70"/>
      <c r="K267" s="70"/>
      <c r="L267" s="74"/>
      <c r="M267" s="123"/>
      <c r="N267" s="73"/>
      <c r="O267" s="236"/>
      <c r="P267" s="117"/>
      <c r="Q267" s="117"/>
      <c r="R267" s="156" t="str">
        <f>IF(Table111[[#This Row],[Qty]]="","",Table111[[#This Row],[Qty]]*Table111[[#This Row],[Unit Price]])</f>
        <v/>
      </c>
      <c r="S267" s="156" t="str">
        <f>IF(Table111[[#This Row],[Qty]]="","",Table111[[#This Row],[Qty]]*Table111[[#This Row],[Unit Price]]+Table111[[#This Row],[Delivery Cost]])</f>
        <v/>
      </c>
      <c r="T267" s="72"/>
      <c r="U267" s="65"/>
      <c r="V267" s="72"/>
      <c r="W267" s="16"/>
      <c r="X267" s="63" t="str">
        <f t="shared" si="12"/>
        <v/>
      </c>
      <c r="Y267" s="63" t="str">
        <f t="shared" si="13"/>
        <v/>
      </c>
      <c r="Z267" s="63" t="str">
        <f t="shared" si="14"/>
        <v/>
      </c>
      <c r="AA267" s="63" t="str">
        <f>TEXT(Table111[[#This Row],[YEAR]],"0000")&amp;"-"&amp;Table111[[#This Row],[MONTH]]</f>
        <v>-</v>
      </c>
    </row>
    <row r="268" spans="2:27" x14ac:dyDescent="0.3">
      <c r="B268" s="68"/>
      <c r="C268" s="68"/>
      <c r="D268" s="68"/>
      <c r="E268" s="71"/>
      <c r="F268" s="72"/>
      <c r="G268" s="72"/>
      <c r="H268" s="74"/>
      <c r="I268" s="70"/>
      <c r="J268" s="70"/>
      <c r="K268" s="70"/>
      <c r="L268" s="74"/>
      <c r="M268" s="123"/>
      <c r="N268" s="73"/>
      <c r="O268" s="236"/>
      <c r="P268" s="117"/>
      <c r="Q268" s="117"/>
      <c r="R268" s="156" t="str">
        <f>IF(Table111[[#This Row],[Qty]]="","",Table111[[#This Row],[Qty]]*Table111[[#This Row],[Unit Price]])</f>
        <v/>
      </c>
      <c r="S268" s="156" t="str">
        <f>IF(Table111[[#This Row],[Qty]]="","",Table111[[#This Row],[Qty]]*Table111[[#This Row],[Unit Price]]+Table111[[#This Row],[Delivery Cost]])</f>
        <v/>
      </c>
      <c r="T268" s="72"/>
      <c r="U268" s="65"/>
      <c r="V268" s="72"/>
      <c r="W268" s="220"/>
      <c r="X268" s="63" t="str">
        <f t="shared" si="12"/>
        <v/>
      </c>
      <c r="Y268" s="63" t="str">
        <f t="shared" si="13"/>
        <v/>
      </c>
      <c r="Z268" s="63" t="str">
        <f t="shared" si="14"/>
        <v/>
      </c>
      <c r="AA268" s="63" t="str">
        <f>TEXT(Table111[[#This Row],[YEAR]],"0000")&amp;"-"&amp;Table111[[#This Row],[MONTH]]</f>
        <v>-</v>
      </c>
    </row>
    <row r="269" spans="2:27" x14ac:dyDescent="0.3">
      <c r="B269" s="183"/>
      <c r="C269" s="183"/>
      <c r="D269" s="183"/>
      <c r="E269" s="71"/>
      <c r="F269" s="72"/>
      <c r="G269" s="72"/>
      <c r="H269" s="74"/>
      <c r="I269" s="70"/>
      <c r="J269" s="70"/>
      <c r="K269" s="70"/>
      <c r="L269" s="74"/>
      <c r="M269" s="123"/>
      <c r="N269" s="73"/>
      <c r="O269" s="236"/>
      <c r="P269" s="117"/>
      <c r="Q269" s="117"/>
      <c r="R269" s="156" t="str">
        <f>IF(Table111[[#This Row],[Qty]]="","",Table111[[#This Row],[Qty]]*Table111[[#This Row],[Unit Price]])</f>
        <v/>
      </c>
      <c r="S269" s="156" t="str">
        <f>IF(Table111[[#This Row],[Qty]]="","",Table111[[#This Row],[Qty]]*Table111[[#This Row],[Unit Price]]+Table111[[#This Row],[Delivery Cost]])</f>
        <v/>
      </c>
      <c r="T269" s="72"/>
      <c r="U269" s="65"/>
      <c r="V269" s="72"/>
      <c r="W269" s="16"/>
      <c r="X269" s="63" t="str">
        <f t="shared" si="12"/>
        <v/>
      </c>
      <c r="Y269" s="63" t="str">
        <f t="shared" si="13"/>
        <v/>
      </c>
      <c r="Z269" s="63" t="str">
        <f t="shared" si="14"/>
        <v/>
      </c>
      <c r="AA269" s="63" t="str">
        <f>TEXT(Table111[[#This Row],[YEAR]],"0000")&amp;"-"&amp;Table111[[#This Row],[MONTH]]</f>
        <v>-</v>
      </c>
    </row>
    <row r="270" spans="2:27" x14ac:dyDescent="0.3">
      <c r="B270" s="183"/>
      <c r="C270" s="183"/>
      <c r="D270" s="183"/>
      <c r="E270" s="71"/>
      <c r="F270" s="72"/>
      <c r="G270" s="72"/>
      <c r="H270" s="74"/>
      <c r="I270" s="70"/>
      <c r="J270" s="70"/>
      <c r="K270" s="70"/>
      <c r="L270" s="74"/>
      <c r="M270" s="123"/>
      <c r="N270" s="73"/>
      <c r="O270" s="236"/>
      <c r="P270" s="117"/>
      <c r="Q270" s="117"/>
      <c r="R270" s="156" t="str">
        <f>IF(Table111[[#This Row],[Qty]]="","",Table111[[#This Row],[Qty]]*Table111[[#This Row],[Unit Price]])</f>
        <v/>
      </c>
      <c r="S270" s="156" t="str">
        <f>IF(Table111[[#This Row],[Qty]]="","",Table111[[#This Row],[Qty]]*Table111[[#This Row],[Unit Price]]+Table111[[#This Row],[Delivery Cost]])</f>
        <v/>
      </c>
      <c r="T270" s="72"/>
      <c r="U270" s="72"/>
      <c r="V270" s="72"/>
      <c r="W270" s="65"/>
      <c r="X270" s="63" t="str">
        <f t="shared" si="12"/>
        <v/>
      </c>
      <c r="Y270" s="63" t="str">
        <f t="shared" si="13"/>
        <v/>
      </c>
      <c r="Z270" s="63" t="str">
        <f t="shared" si="14"/>
        <v/>
      </c>
      <c r="AA270" s="63" t="str">
        <f>TEXT(Table111[[#This Row],[YEAR]],"0000")&amp;"-"&amp;Table111[[#This Row],[MONTH]]</f>
        <v>-</v>
      </c>
    </row>
    <row r="271" spans="2:27" x14ac:dyDescent="0.3">
      <c r="B271" s="183"/>
      <c r="C271" s="183"/>
      <c r="D271" s="183"/>
      <c r="E271" s="64"/>
      <c r="F271" s="65"/>
      <c r="G271" s="65"/>
      <c r="H271" s="66"/>
      <c r="I271" s="66"/>
      <c r="J271" s="66"/>
      <c r="K271" s="66"/>
      <c r="L271" s="74"/>
      <c r="M271" s="119"/>
      <c r="N271" s="66"/>
      <c r="O271" s="239"/>
      <c r="P271" s="113"/>
      <c r="Q271" s="113"/>
      <c r="R271" s="156" t="str">
        <f>IF(Table111[[#This Row],[Qty]]="","",Table111[[#This Row],[Qty]]*Table111[[#This Row],[Unit Price]])</f>
        <v/>
      </c>
      <c r="S271" s="156" t="str">
        <f>IF(Table111[[#This Row],[Qty]]="","",Table111[[#This Row],[Qty]]*Table111[[#This Row],[Unit Price]]+Table111[[#This Row],[Delivery Cost]])</f>
        <v/>
      </c>
      <c r="T271" s="67"/>
      <c r="U271" s="65"/>
      <c r="V271" s="72"/>
      <c r="W271" s="16"/>
      <c r="X271" s="63" t="str">
        <f t="shared" si="12"/>
        <v/>
      </c>
      <c r="Y271" s="63" t="str">
        <f t="shared" si="13"/>
        <v/>
      </c>
      <c r="Z271" s="63" t="str">
        <f t="shared" si="14"/>
        <v/>
      </c>
      <c r="AA271" s="63" t="str">
        <f>TEXT(Table111[[#This Row],[YEAR]],"0000")&amp;"-"&amp;Table111[[#This Row],[MONTH]]</f>
        <v>-</v>
      </c>
    </row>
    <row r="272" spans="2:27" x14ac:dyDescent="0.3">
      <c r="B272" s="68"/>
      <c r="C272" s="68"/>
      <c r="D272" s="68"/>
      <c r="E272" s="71"/>
      <c r="F272" s="72"/>
      <c r="G272" s="72"/>
      <c r="H272" s="74"/>
      <c r="I272" s="70"/>
      <c r="J272" s="70"/>
      <c r="K272" s="70"/>
      <c r="L272" s="74"/>
      <c r="M272" s="123"/>
      <c r="N272" s="73"/>
      <c r="O272" s="236"/>
      <c r="P272" s="117"/>
      <c r="Q272" s="117"/>
      <c r="R272" s="156" t="str">
        <f>IF(Table111[[#This Row],[Qty]]="","",Table111[[#This Row],[Qty]]*Table111[[#This Row],[Unit Price]])</f>
        <v/>
      </c>
      <c r="S272" s="156" t="str">
        <f>IF(Table111[[#This Row],[Qty]]="","",Table111[[#This Row],[Qty]]*Table111[[#This Row],[Unit Price]]+Table111[[#This Row],[Delivery Cost]])</f>
        <v/>
      </c>
      <c r="T272" s="72"/>
      <c r="U272" s="65"/>
      <c r="V272" s="72"/>
      <c r="W272" s="220"/>
      <c r="X272" s="63" t="str">
        <f t="shared" si="12"/>
        <v/>
      </c>
      <c r="Y272" s="63" t="str">
        <f t="shared" si="13"/>
        <v/>
      </c>
      <c r="Z272" s="63" t="str">
        <f t="shared" si="14"/>
        <v/>
      </c>
      <c r="AA272" s="63" t="str">
        <f>TEXT(Table111[[#This Row],[YEAR]],"0000")&amp;"-"&amp;Table111[[#This Row],[MONTH]]</f>
        <v>-</v>
      </c>
    </row>
    <row r="273" spans="2:27" x14ac:dyDescent="0.3">
      <c r="B273" s="183"/>
      <c r="C273" s="183"/>
      <c r="D273" s="183"/>
      <c r="E273" s="71"/>
      <c r="F273" s="72"/>
      <c r="G273" s="72"/>
      <c r="H273" s="74"/>
      <c r="I273" s="70"/>
      <c r="J273" s="70"/>
      <c r="K273" s="70"/>
      <c r="L273" s="74"/>
      <c r="M273" s="123"/>
      <c r="N273" s="73"/>
      <c r="O273" s="236"/>
      <c r="P273" s="117"/>
      <c r="Q273" s="117"/>
      <c r="R273" s="156" t="str">
        <f>IF(Table111[[#This Row],[Qty]]="","",Table111[[#This Row],[Qty]]*Table111[[#This Row],[Unit Price]])</f>
        <v/>
      </c>
      <c r="S273" s="156" t="str">
        <f>IF(Table111[[#This Row],[Qty]]="","",Table111[[#This Row],[Qty]]*Table111[[#This Row],[Unit Price]]+Table111[[#This Row],[Delivery Cost]])</f>
        <v/>
      </c>
      <c r="T273" s="72"/>
      <c r="U273" s="65"/>
      <c r="V273" s="72"/>
      <c r="W273" s="16"/>
      <c r="X273" s="63" t="str">
        <f t="shared" si="12"/>
        <v/>
      </c>
      <c r="Y273" s="63" t="str">
        <f t="shared" si="13"/>
        <v/>
      </c>
      <c r="Z273" s="63" t="str">
        <f t="shared" si="14"/>
        <v/>
      </c>
      <c r="AA273" s="63" t="str">
        <f>TEXT(Table111[[#This Row],[YEAR]],"0000")&amp;"-"&amp;Table111[[#This Row],[MONTH]]</f>
        <v>-</v>
      </c>
    </row>
    <row r="274" spans="2:27" x14ac:dyDescent="0.3">
      <c r="B274" s="183"/>
      <c r="C274" s="183"/>
      <c r="D274" s="183"/>
      <c r="E274" s="71"/>
      <c r="F274" s="72"/>
      <c r="G274" s="70"/>
      <c r="H274" s="74"/>
      <c r="I274" s="70"/>
      <c r="J274" s="70"/>
      <c r="K274" s="70"/>
      <c r="L274" s="74"/>
      <c r="M274" s="123"/>
      <c r="N274" s="73"/>
      <c r="O274" s="236"/>
      <c r="P274" s="117"/>
      <c r="Q274" s="117"/>
      <c r="R274" s="156" t="str">
        <f>IF(Table111[[#This Row],[Qty]]="","",Table111[[#This Row],[Qty]]*Table111[[#This Row],[Unit Price]])</f>
        <v/>
      </c>
      <c r="S274" s="156" t="str">
        <f>IF(Table111[[#This Row],[Qty]]="","",Table111[[#This Row],[Qty]]*Table111[[#This Row],[Unit Price]]+Table111[[#This Row],[Delivery Cost]])</f>
        <v/>
      </c>
      <c r="T274" s="72"/>
      <c r="U274" s="72"/>
      <c r="V274" s="72"/>
      <c r="W274" s="65"/>
      <c r="X274" s="63" t="str">
        <f t="shared" si="12"/>
        <v/>
      </c>
      <c r="Y274" s="63" t="str">
        <f t="shared" si="13"/>
        <v/>
      </c>
      <c r="Z274" s="63" t="str">
        <f t="shared" si="14"/>
        <v/>
      </c>
      <c r="AA274" s="63" t="str">
        <f>TEXT(Table111[[#This Row],[YEAR]],"0000")&amp;"-"&amp;Table111[[#This Row],[MONTH]]</f>
        <v>-</v>
      </c>
    </row>
    <row r="275" spans="2:27" x14ac:dyDescent="0.3">
      <c r="B275" s="68"/>
      <c r="C275" s="68"/>
      <c r="D275" s="68"/>
      <c r="E275" s="64"/>
      <c r="F275" s="65"/>
      <c r="G275" s="65"/>
      <c r="H275" s="66"/>
      <c r="I275" s="66"/>
      <c r="J275" s="66"/>
      <c r="K275" s="66"/>
      <c r="L275" s="74"/>
      <c r="M275" s="119"/>
      <c r="N275" s="66"/>
      <c r="O275" s="239"/>
      <c r="P275" s="113"/>
      <c r="Q275" s="113"/>
      <c r="R275" s="156" t="str">
        <f>IF(Table111[[#This Row],[Qty]]="","",Table111[[#This Row],[Qty]]*Table111[[#This Row],[Unit Price]])</f>
        <v/>
      </c>
      <c r="S275" s="156" t="str">
        <f>IF(Table111[[#This Row],[Qty]]="","",Table111[[#This Row],[Qty]]*Table111[[#This Row],[Unit Price]]+Table111[[#This Row],[Delivery Cost]])</f>
        <v/>
      </c>
      <c r="T275" s="67"/>
      <c r="U275" s="65"/>
      <c r="V275" s="65"/>
      <c r="W275" s="219"/>
      <c r="X275" s="63" t="str">
        <f t="shared" si="12"/>
        <v/>
      </c>
      <c r="Y275" s="63" t="str">
        <f t="shared" si="13"/>
        <v/>
      </c>
      <c r="Z275" s="63" t="str">
        <f t="shared" si="14"/>
        <v/>
      </c>
      <c r="AA275" s="63" t="str">
        <f>TEXT(Table111[[#This Row],[YEAR]],"0000")&amp;"-"&amp;Table111[[#This Row],[MONTH]]</f>
        <v>-</v>
      </c>
    </row>
    <row r="276" spans="2:27" x14ac:dyDescent="0.3">
      <c r="B276" s="68"/>
      <c r="C276" s="68"/>
      <c r="D276" s="68"/>
      <c r="E276" s="64"/>
      <c r="F276" s="65"/>
      <c r="G276" s="65"/>
      <c r="H276" s="66"/>
      <c r="I276" s="66"/>
      <c r="J276" s="66"/>
      <c r="K276" s="66"/>
      <c r="L276" s="74"/>
      <c r="M276" s="119"/>
      <c r="N276" s="66"/>
      <c r="O276" s="239"/>
      <c r="P276" s="113"/>
      <c r="Q276" s="113"/>
      <c r="R276" s="156" t="str">
        <f>IF(Table111[[#This Row],[Qty]]="","",Table111[[#This Row],[Qty]]*Table111[[#This Row],[Unit Price]])</f>
        <v/>
      </c>
      <c r="S276" s="156" t="str">
        <f>IF(Table111[[#This Row],[Qty]]="","",Table111[[#This Row],[Qty]]*Table111[[#This Row],[Unit Price]]+Table111[[#This Row],[Delivery Cost]])</f>
        <v/>
      </c>
      <c r="T276" s="67"/>
      <c r="U276" s="65"/>
      <c r="V276" s="65"/>
      <c r="W276" s="220"/>
      <c r="X276" s="63" t="str">
        <f t="shared" si="12"/>
        <v/>
      </c>
      <c r="Y276" s="63" t="str">
        <f t="shared" si="13"/>
        <v/>
      </c>
      <c r="Z276" s="63" t="str">
        <f t="shared" si="14"/>
        <v/>
      </c>
      <c r="AA276" s="63" t="str">
        <f>TEXT(Table111[[#This Row],[YEAR]],"0000")&amp;"-"&amp;Table111[[#This Row],[MONTH]]</f>
        <v>-</v>
      </c>
    </row>
    <row r="277" spans="2:27" x14ac:dyDescent="0.3">
      <c r="B277" s="183"/>
      <c r="C277" s="183"/>
      <c r="D277" s="183"/>
      <c r="E277" s="64"/>
      <c r="F277" s="65"/>
      <c r="G277" s="65"/>
      <c r="H277" s="66"/>
      <c r="I277" s="66"/>
      <c r="J277" s="66"/>
      <c r="K277" s="66"/>
      <c r="L277" s="74"/>
      <c r="M277" s="119"/>
      <c r="N277" s="66"/>
      <c r="O277" s="239"/>
      <c r="P277" s="113"/>
      <c r="Q277" s="113"/>
      <c r="R277" s="156" t="str">
        <f>IF(Table111[[#This Row],[Qty]]="","",Table111[[#This Row],[Qty]]*Table111[[#This Row],[Unit Price]])</f>
        <v/>
      </c>
      <c r="S277" s="156" t="str">
        <f>IF(Table111[[#This Row],[Qty]]="","",Table111[[#This Row],[Qty]]*Table111[[#This Row],[Unit Price]]+Table111[[#This Row],[Delivery Cost]])</f>
        <v/>
      </c>
      <c r="T277" s="67"/>
      <c r="U277" s="65"/>
      <c r="V277" s="65"/>
      <c r="W277" s="16"/>
      <c r="X277" s="63" t="str">
        <f t="shared" si="12"/>
        <v/>
      </c>
      <c r="Y277" s="63" t="str">
        <f t="shared" si="13"/>
        <v/>
      </c>
      <c r="Z277" s="63" t="str">
        <f t="shared" si="14"/>
        <v/>
      </c>
      <c r="AA277" s="63" t="str">
        <f>TEXT(Table111[[#This Row],[YEAR]],"0000")&amp;"-"&amp;Table111[[#This Row],[MONTH]]</f>
        <v>-</v>
      </c>
    </row>
    <row r="278" spans="2:27" x14ac:dyDescent="0.3">
      <c r="B278" s="183"/>
      <c r="C278" s="183"/>
      <c r="D278" s="183"/>
      <c r="E278" s="64"/>
      <c r="F278" s="65"/>
      <c r="G278" s="65"/>
      <c r="H278" s="108"/>
      <c r="I278" s="112"/>
      <c r="J278" s="112"/>
      <c r="K278" s="112"/>
      <c r="L278" s="74"/>
      <c r="M278" s="122"/>
      <c r="N278" s="66"/>
      <c r="O278" s="240"/>
      <c r="P278" s="116"/>
      <c r="Q278" s="116"/>
      <c r="R278" s="156" t="str">
        <f>IF(Table111[[#This Row],[Qty]]="","",Table111[[#This Row],[Qty]]*Table111[[#This Row],[Unit Price]])</f>
        <v/>
      </c>
      <c r="S278" s="156" t="str">
        <f>IF(Table111[[#This Row],[Qty]]="","",Table111[[#This Row],[Qty]]*Table111[[#This Row],[Unit Price]]+Table111[[#This Row],[Delivery Cost]])</f>
        <v/>
      </c>
      <c r="T278" s="67"/>
      <c r="U278" s="65"/>
      <c r="V278" s="72"/>
      <c r="W278" s="65"/>
      <c r="X278" s="63" t="str">
        <f t="shared" si="12"/>
        <v/>
      </c>
      <c r="Y278" s="63" t="str">
        <f t="shared" si="13"/>
        <v/>
      </c>
      <c r="Z278" s="63" t="str">
        <f t="shared" si="14"/>
        <v/>
      </c>
      <c r="AA278" s="63" t="str">
        <f>TEXT(Table111[[#This Row],[YEAR]],"0000")&amp;"-"&amp;Table111[[#This Row],[MONTH]]</f>
        <v>-</v>
      </c>
    </row>
    <row r="279" spans="2:27" x14ac:dyDescent="0.3">
      <c r="B279" s="68"/>
      <c r="C279" s="68"/>
      <c r="D279" s="68"/>
      <c r="E279" s="71"/>
      <c r="F279" s="72"/>
      <c r="G279" s="72"/>
      <c r="H279" s="74"/>
      <c r="I279" s="70"/>
      <c r="J279" s="70"/>
      <c r="K279" s="70"/>
      <c r="L279" s="74"/>
      <c r="M279" s="123"/>
      <c r="N279" s="73"/>
      <c r="O279" s="236"/>
      <c r="P279" s="117"/>
      <c r="Q279" s="117"/>
      <c r="R279" s="156" t="str">
        <f>IF(Table111[[#This Row],[Qty]]="","",Table111[[#This Row],[Qty]]*Table111[[#This Row],[Unit Price]])</f>
        <v/>
      </c>
      <c r="S279" s="156" t="str">
        <f>IF(Table111[[#This Row],[Qty]]="","",Table111[[#This Row],[Qty]]*Table111[[#This Row],[Unit Price]]+Table111[[#This Row],[Delivery Cost]])</f>
        <v/>
      </c>
      <c r="T279" s="72"/>
      <c r="U279" s="65"/>
      <c r="V279" s="72"/>
      <c r="W279" s="219"/>
      <c r="X279" s="63" t="str">
        <f t="shared" si="12"/>
        <v/>
      </c>
      <c r="Y279" s="63" t="str">
        <f t="shared" si="13"/>
        <v/>
      </c>
      <c r="Z279" s="63" t="str">
        <f t="shared" si="14"/>
        <v/>
      </c>
      <c r="AA279" s="63" t="str">
        <f>TEXT(Table111[[#This Row],[YEAR]],"0000")&amp;"-"&amp;Table111[[#This Row],[MONTH]]</f>
        <v>-</v>
      </c>
    </row>
    <row r="280" spans="2:27" x14ac:dyDescent="0.3">
      <c r="B280" s="183"/>
      <c r="C280" s="183"/>
      <c r="D280" s="183"/>
      <c r="E280" s="71"/>
      <c r="F280" s="72"/>
      <c r="G280" s="72"/>
      <c r="H280" s="74"/>
      <c r="I280" s="70"/>
      <c r="J280" s="70"/>
      <c r="K280" s="70"/>
      <c r="L280" s="74"/>
      <c r="M280" s="123"/>
      <c r="N280" s="73"/>
      <c r="O280" s="236"/>
      <c r="P280" s="117"/>
      <c r="Q280" s="117"/>
      <c r="R280" s="156" t="str">
        <f>IF(Table111[[#This Row],[Qty]]="","",Table111[[#This Row],[Qty]]*Table111[[#This Row],[Unit Price]])</f>
        <v/>
      </c>
      <c r="S280" s="156" t="str">
        <f>IF(Table111[[#This Row],[Qty]]="","",Table111[[#This Row],[Qty]]*Table111[[#This Row],[Unit Price]]+Table111[[#This Row],[Delivery Cost]])</f>
        <v/>
      </c>
      <c r="T280" s="72"/>
      <c r="U280" s="65"/>
      <c r="V280" s="72"/>
      <c r="W280" s="65"/>
      <c r="X280" s="63" t="str">
        <f t="shared" si="12"/>
        <v/>
      </c>
      <c r="Y280" s="63" t="str">
        <f t="shared" si="13"/>
        <v/>
      </c>
      <c r="Z280" s="63" t="str">
        <f t="shared" si="14"/>
        <v/>
      </c>
      <c r="AA280" s="63" t="str">
        <f>TEXT(Table111[[#This Row],[YEAR]],"0000")&amp;"-"&amp;Table111[[#This Row],[MONTH]]</f>
        <v>-</v>
      </c>
    </row>
    <row r="281" spans="2:27" x14ac:dyDescent="0.3">
      <c r="B281" s="68"/>
      <c r="C281" s="68"/>
      <c r="D281" s="68"/>
      <c r="E281" s="71"/>
      <c r="F281" s="72"/>
      <c r="G281" s="72"/>
      <c r="H281" s="74"/>
      <c r="I281" s="70"/>
      <c r="J281" s="70"/>
      <c r="K281" s="70"/>
      <c r="L281" s="74"/>
      <c r="M281" s="123"/>
      <c r="N281" s="73"/>
      <c r="O281" s="236"/>
      <c r="P281" s="117"/>
      <c r="Q281" s="117"/>
      <c r="R281" s="156" t="str">
        <f>IF(Table111[[#This Row],[Qty]]="","",Table111[[#This Row],[Qty]]*Table111[[#This Row],[Unit Price]])</f>
        <v/>
      </c>
      <c r="S281" s="156" t="str">
        <f>IF(Table111[[#This Row],[Qty]]="","",Table111[[#This Row],[Qty]]*Table111[[#This Row],[Unit Price]]+Table111[[#This Row],[Delivery Cost]])</f>
        <v/>
      </c>
      <c r="T281" s="72"/>
      <c r="U281" s="65"/>
      <c r="V281" s="72"/>
      <c r="W281" s="219"/>
      <c r="X281" s="63" t="str">
        <f t="shared" si="12"/>
        <v/>
      </c>
      <c r="Y281" s="63" t="str">
        <f t="shared" si="13"/>
        <v/>
      </c>
      <c r="Z281" s="63" t="str">
        <f t="shared" si="14"/>
        <v/>
      </c>
      <c r="AA281" s="63" t="str">
        <f>TEXT(Table111[[#This Row],[YEAR]],"0000")&amp;"-"&amp;Table111[[#This Row],[MONTH]]</f>
        <v>-</v>
      </c>
    </row>
    <row r="282" spans="2:27" x14ac:dyDescent="0.3">
      <c r="B282" s="183"/>
      <c r="C282" s="183"/>
      <c r="D282" s="183"/>
      <c r="E282" s="71"/>
      <c r="F282" s="72"/>
      <c r="G282" s="72"/>
      <c r="H282" s="74"/>
      <c r="I282" s="70"/>
      <c r="J282" s="70"/>
      <c r="K282" s="70"/>
      <c r="L282" s="74"/>
      <c r="M282" s="123"/>
      <c r="N282" s="73"/>
      <c r="O282" s="236"/>
      <c r="P282" s="117"/>
      <c r="Q282" s="117"/>
      <c r="R282" s="156" t="str">
        <f>IF(Table111[[#This Row],[Qty]]="","",Table111[[#This Row],[Qty]]*Table111[[#This Row],[Unit Price]])</f>
        <v/>
      </c>
      <c r="S282" s="156" t="str">
        <f>IF(Table111[[#This Row],[Qty]]="","",Table111[[#This Row],[Qty]]*Table111[[#This Row],[Unit Price]]+Table111[[#This Row],[Delivery Cost]])</f>
        <v/>
      </c>
      <c r="T282" s="72"/>
      <c r="U282" s="65"/>
      <c r="V282" s="72"/>
      <c r="W282" s="65"/>
      <c r="X282" s="63" t="str">
        <f t="shared" si="12"/>
        <v/>
      </c>
      <c r="Y282" s="63" t="str">
        <f t="shared" si="13"/>
        <v/>
      </c>
      <c r="Z282" s="63" t="str">
        <f t="shared" si="14"/>
        <v/>
      </c>
      <c r="AA282" s="63" t="str">
        <f>TEXT(Table111[[#This Row],[YEAR]],"0000")&amp;"-"&amp;Table111[[#This Row],[MONTH]]</f>
        <v>-</v>
      </c>
    </row>
    <row r="283" spans="2:27" x14ac:dyDescent="0.3">
      <c r="B283" s="68"/>
      <c r="C283" s="68"/>
      <c r="D283" s="68"/>
      <c r="E283" s="71"/>
      <c r="F283" s="72"/>
      <c r="G283" s="72"/>
      <c r="H283" s="74"/>
      <c r="I283" s="70"/>
      <c r="J283" s="70"/>
      <c r="K283" s="70"/>
      <c r="L283" s="74"/>
      <c r="M283" s="123"/>
      <c r="N283" s="73"/>
      <c r="O283" s="236"/>
      <c r="P283" s="117"/>
      <c r="Q283" s="117"/>
      <c r="R283" s="156" t="str">
        <f>IF(Table111[[#This Row],[Qty]]="","",Table111[[#This Row],[Qty]]*Table111[[#This Row],[Unit Price]])</f>
        <v/>
      </c>
      <c r="S283" s="156" t="str">
        <f>IF(Table111[[#This Row],[Qty]]="","",Table111[[#This Row],[Qty]]*Table111[[#This Row],[Unit Price]]+Table111[[#This Row],[Delivery Cost]])</f>
        <v/>
      </c>
      <c r="T283" s="72"/>
      <c r="U283" s="65"/>
      <c r="V283" s="72"/>
      <c r="W283" s="219"/>
      <c r="X283" s="63" t="str">
        <f t="shared" si="12"/>
        <v/>
      </c>
      <c r="Y283" s="63" t="str">
        <f t="shared" si="13"/>
        <v/>
      </c>
      <c r="Z283" s="63" t="str">
        <f t="shared" si="14"/>
        <v/>
      </c>
      <c r="AA283" s="63" t="str">
        <f>TEXT(Table111[[#This Row],[YEAR]],"0000")&amp;"-"&amp;Table111[[#This Row],[MONTH]]</f>
        <v>-</v>
      </c>
    </row>
    <row r="284" spans="2:27" x14ac:dyDescent="0.3">
      <c r="B284" s="183"/>
      <c r="C284" s="183"/>
      <c r="D284" s="183"/>
      <c r="E284" s="71"/>
      <c r="F284" s="72"/>
      <c r="G284" s="72"/>
      <c r="H284" s="74"/>
      <c r="I284" s="70"/>
      <c r="J284" s="70"/>
      <c r="K284" s="70"/>
      <c r="L284" s="74"/>
      <c r="M284" s="123"/>
      <c r="N284" s="73"/>
      <c r="O284" s="236"/>
      <c r="P284" s="117"/>
      <c r="Q284" s="117"/>
      <c r="R284" s="156" t="str">
        <f>IF(Table111[[#This Row],[Qty]]="","",Table111[[#This Row],[Qty]]*Table111[[#This Row],[Unit Price]])</f>
        <v/>
      </c>
      <c r="S284" s="156" t="str">
        <f>IF(Table111[[#This Row],[Qty]]="","",Table111[[#This Row],[Qty]]*Table111[[#This Row],[Unit Price]]+Table111[[#This Row],[Delivery Cost]])</f>
        <v/>
      </c>
      <c r="T284" s="72"/>
      <c r="U284" s="65"/>
      <c r="V284" s="72"/>
      <c r="W284" s="65"/>
      <c r="X284" s="63" t="str">
        <f t="shared" si="12"/>
        <v/>
      </c>
      <c r="Y284" s="63" t="str">
        <f t="shared" si="13"/>
        <v/>
      </c>
      <c r="Z284" s="63" t="str">
        <f t="shared" si="14"/>
        <v/>
      </c>
      <c r="AA284" s="63" t="str">
        <f>TEXT(Table111[[#This Row],[YEAR]],"0000")&amp;"-"&amp;Table111[[#This Row],[MONTH]]</f>
        <v>-</v>
      </c>
    </row>
    <row r="285" spans="2:27" x14ac:dyDescent="0.3">
      <c r="B285" s="68"/>
      <c r="C285" s="68"/>
      <c r="D285" s="68"/>
      <c r="E285" s="128"/>
      <c r="F285" s="72"/>
      <c r="G285" s="129"/>
      <c r="H285" s="137"/>
      <c r="I285" s="130"/>
      <c r="J285" s="130"/>
      <c r="K285" s="130"/>
      <c r="L285" s="74"/>
      <c r="M285" s="131"/>
      <c r="N285" s="132"/>
      <c r="O285" s="238"/>
      <c r="P285" s="134"/>
      <c r="Q285" s="134"/>
      <c r="R285" s="156" t="str">
        <f>IF(Table111[[#This Row],[Qty]]="","",Table111[[#This Row],[Qty]]*Table111[[#This Row],[Unit Price]])</f>
        <v/>
      </c>
      <c r="S285" s="156" t="str">
        <f>IF(Table111[[#This Row],[Qty]]="","",Table111[[#This Row],[Qty]]*Table111[[#This Row],[Unit Price]]+Table111[[#This Row],[Delivery Cost]])</f>
        <v/>
      </c>
      <c r="T285" s="72"/>
      <c r="U285" s="65"/>
      <c r="V285" s="72"/>
      <c r="W285" s="219"/>
      <c r="X285" s="127" t="str">
        <f t="shared" si="12"/>
        <v/>
      </c>
      <c r="Y285" s="127" t="str">
        <f t="shared" si="13"/>
        <v/>
      </c>
      <c r="Z285" s="127" t="str">
        <f t="shared" si="14"/>
        <v/>
      </c>
      <c r="AA285" s="63" t="str">
        <f>TEXT(Table111[[#This Row],[YEAR]],"0000")&amp;"-"&amp;Table111[[#This Row],[MONTH]]</f>
        <v>-</v>
      </c>
    </row>
    <row r="286" spans="2:27" x14ac:dyDescent="0.3">
      <c r="B286" s="183"/>
      <c r="C286" s="183"/>
      <c r="D286" s="183"/>
      <c r="E286" s="128"/>
      <c r="F286" s="72"/>
      <c r="G286" s="129"/>
      <c r="H286" s="137"/>
      <c r="I286" s="130"/>
      <c r="J286" s="130"/>
      <c r="K286" s="130"/>
      <c r="L286" s="74"/>
      <c r="M286" s="131"/>
      <c r="N286" s="132"/>
      <c r="O286" s="238"/>
      <c r="P286" s="134"/>
      <c r="Q286" s="134"/>
      <c r="R286" s="156" t="str">
        <f>IF(Table111[[#This Row],[Qty]]="","",Table111[[#This Row],[Qty]]*Table111[[#This Row],[Unit Price]])</f>
        <v/>
      </c>
      <c r="S286" s="156" t="str">
        <f>IF(Table111[[#This Row],[Qty]]="","",Table111[[#This Row],[Qty]]*Table111[[#This Row],[Unit Price]]+Table111[[#This Row],[Delivery Cost]])</f>
        <v/>
      </c>
      <c r="T286" s="72"/>
      <c r="U286" s="65"/>
      <c r="V286" s="72"/>
      <c r="W286" s="65"/>
      <c r="X286" s="127" t="str">
        <f t="shared" si="12"/>
        <v/>
      </c>
      <c r="Y286" s="127" t="str">
        <f t="shared" si="13"/>
        <v/>
      </c>
      <c r="Z286" s="127" t="str">
        <f t="shared" si="14"/>
        <v/>
      </c>
      <c r="AA286" s="63" t="str">
        <f>TEXT(Table111[[#This Row],[YEAR]],"0000")&amp;"-"&amp;Table111[[#This Row],[MONTH]]</f>
        <v>-</v>
      </c>
    </row>
    <row r="287" spans="2:27" x14ac:dyDescent="0.3">
      <c r="B287" s="68"/>
      <c r="C287" s="68"/>
      <c r="D287" s="68"/>
      <c r="E287" s="71"/>
      <c r="F287" s="72"/>
      <c r="G287" s="72"/>
      <c r="H287" s="74"/>
      <c r="I287" s="70"/>
      <c r="J287" s="70"/>
      <c r="K287" s="70"/>
      <c r="L287" s="74"/>
      <c r="M287" s="123"/>
      <c r="N287" s="73"/>
      <c r="O287" s="236"/>
      <c r="P287" s="117"/>
      <c r="Q287" s="117"/>
      <c r="R287" s="156" t="str">
        <f>IF(Table111[[#This Row],[Qty]]="","",Table111[[#This Row],[Qty]]*Table111[[#This Row],[Unit Price]])</f>
        <v/>
      </c>
      <c r="S287" s="156" t="str">
        <f>IF(Table111[[#This Row],[Qty]]="","",Table111[[#This Row],[Qty]]*Table111[[#This Row],[Unit Price]]+Table111[[#This Row],[Delivery Cost]])</f>
        <v/>
      </c>
      <c r="T287" s="72"/>
      <c r="U287" s="65"/>
      <c r="V287" s="72"/>
      <c r="W287" s="219"/>
      <c r="X287" s="63" t="str">
        <f t="shared" si="12"/>
        <v/>
      </c>
      <c r="Y287" s="63" t="str">
        <f t="shared" si="13"/>
        <v/>
      </c>
      <c r="Z287" s="63" t="str">
        <f t="shared" si="14"/>
        <v/>
      </c>
      <c r="AA287" s="63" t="str">
        <f>TEXT(Table111[[#This Row],[YEAR]],"0000")&amp;"-"&amp;Table111[[#This Row],[MONTH]]</f>
        <v>-</v>
      </c>
    </row>
    <row r="288" spans="2:27" x14ac:dyDescent="0.3">
      <c r="B288" s="183"/>
      <c r="C288" s="183"/>
      <c r="D288" s="183"/>
      <c r="E288" s="71"/>
      <c r="F288" s="72"/>
      <c r="G288" s="72"/>
      <c r="H288" s="74"/>
      <c r="I288" s="70"/>
      <c r="J288" s="70"/>
      <c r="K288" s="70"/>
      <c r="L288" s="74"/>
      <c r="M288" s="123"/>
      <c r="N288" s="73"/>
      <c r="O288" s="236"/>
      <c r="P288" s="117"/>
      <c r="Q288" s="117"/>
      <c r="R288" s="156" t="str">
        <f>IF(Table111[[#This Row],[Qty]]="","",Table111[[#This Row],[Qty]]*Table111[[#This Row],[Unit Price]])</f>
        <v/>
      </c>
      <c r="S288" s="156" t="str">
        <f>IF(Table111[[#This Row],[Qty]]="","",Table111[[#This Row],[Qty]]*Table111[[#This Row],[Unit Price]]+Table111[[#This Row],[Delivery Cost]])</f>
        <v/>
      </c>
      <c r="T288" s="72"/>
      <c r="U288" s="65"/>
      <c r="V288" s="72"/>
      <c r="W288" s="65"/>
      <c r="X288" s="63" t="str">
        <f t="shared" si="12"/>
        <v/>
      </c>
      <c r="Y288" s="63" t="str">
        <f t="shared" si="13"/>
        <v/>
      </c>
      <c r="Z288" s="63" t="str">
        <f t="shared" si="14"/>
        <v/>
      </c>
      <c r="AA288" s="63" t="str">
        <f>TEXT(Table111[[#This Row],[YEAR]],"0000")&amp;"-"&amp;Table111[[#This Row],[MONTH]]</f>
        <v>-</v>
      </c>
    </row>
    <row r="289" spans="2:27" x14ac:dyDescent="0.3">
      <c r="B289" s="68"/>
      <c r="C289" s="68"/>
      <c r="D289" s="68"/>
      <c r="E289" s="71"/>
      <c r="F289" s="72"/>
      <c r="G289" s="72"/>
      <c r="H289" s="74"/>
      <c r="I289" s="70"/>
      <c r="J289" s="70"/>
      <c r="K289" s="70"/>
      <c r="L289" s="74"/>
      <c r="M289" s="123"/>
      <c r="N289" s="73"/>
      <c r="O289" s="236"/>
      <c r="P289" s="117"/>
      <c r="Q289" s="117"/>
      <c r="R289" s="156" t="str">
        <f>IF(Table111[[#This Row],[Qty]]="","",Table111[[#This Row],[Qty]]*Table111[[#This Row],[Unit Price]])</f>
        <v/>
      </c>
      <c r="S289" s="156" t="str">
        <f>IF(Table111[[#This Row],[Qty]]="","",Table111[[#This Row],[Qty]]*Table111[[#This Row],[Unit Price]]+Table111[[#This Row],[Delivery Cost]])</f>
        <v/>
      </c>
      <c r="T289" s="72"/>
      <c r="U289" s="65"/>
      <c r="V289" s="72"/>
      <c r="W289" s="219"/>
      <c r="X289" s="63" t="str">
        <f t="shared" si="12"/>
        <v/>
      </c>
      <c r="Y289" s="63" t="str">
        <f t="shared" si="13"/>
        <v/>
      </c>
      <c r="Z289" s="63" t="str">
        <f t="shared" si="14"/>
        <v/>
      </c>
      <c r="AA289" s="63" t="str">
        <f>TEXT(Table111[[#This Row],[YEAR]],"0000")&amp;"-"&amp;Table111[[#This Row],[MONTH]]</f>
        <v>-</v>
      </c>
    </row>
    <row r="290" spans="2:27" x14ac:dyDescent="0.3">
      <c r="B290" s="183"/>
      <c r="C290" s="183"/>
      <c r="D290" s="183"/>
      <c r="E290" s="71"/>
      <c r="F290" s="72"/>
      <c r="G290" s="72"/>
      <c r="H290" s="74"/>
      <c r="I290" s="70"/>
      <c r="J290" s="70"/>
      <c r="K290" s="70"/>
      <c r="L290" s="74"/>
      <c r="M290" s="123"/>
      <c r="N290" s="73"/>
      <c r="O290" s="236"/>
      <c r="P290" s="117"/>
      <c r="Q290" s="117"/>
      <c r="R290" s="156" t="str">
        <f>IF(Table111[[#This Row],[Qty]]="","",Table111[[#This Row],[Qty]]*Table111[[#This Row],[Unit Price]])</f>
        <v/>
      </c>
      <c r="S290" s="156" t="str">
        <f>IF(Table111[[#This Row],[Qty]]="","",Table111[[#This Row],[Qty]]*Table111[[#This Row],[Unit Price]]+Table111[[#This Row],[Delivery Cost]])</f>
        <v/>
      </c>
      <c r="T290" s="72"/>
      <c r="U290" s="65"/>
      <c r="V290" s="72"/>
      <c r="W290" s="65"/>
      <c r="X290" s="63" t="str">
        <f t="shared" si="12"/>
        <v/>
      </c>
      <c r="Y290" s="63" t="str">
        <f t="shared" si="13"/>
        <v/>
      </c>
      <c r="Z290" s="63" t="str">
        <f t="shared" si="14"/>
        <v/>
      </c>
      <c r="AA290" s="63" t="str">
        <f>TEXT(Table111[[#This Row],[YEAR]],"0000")&amp;"-"&amp;Table111[[#This Row],[MONTH]]</f>
        <v>-</v>
      </c>
    </row>
    <row r="291" spans="2:27" x14ac:dyDescent="0.3">
      <c r="B291" s="68"/>
      <c r="C291" s="68"/>
      <c r="D291" s="68"/>
      <c r="E291" s="71"/>
      <c r="F291" s="72"/>
      <c r="G291" s="72"/>
      <c r="H291" s="74"/>
      <c r="I291" s="70"/>
      <c r="J291" s="70"/>
      <c r="K291" s="70"/>
      <c r="L291" s="74"/>
      <c r="M291" s="123"/>
      <c r="N291" s="73"/>
      <c r="O291" s="236"/>
      <c r="P291" s="117"/>
      <c r="Q291" s="117"/>
      <c r="R291" s="156" t="str">
        <f>IF(Table111[[#This Row],[Qty]]="","",Table111[[#This Row],[Qty]]*Table111[[#This Row],[Unit Price]])</f>
        <v/>
      </c>
      <c r="S291" s="156" t="str">
        <f>IF(Table111[[#This Row],[Qty]]="","",Table111[[#This Row],[Qty]]*Table111[[#This Row],[Unit Price]]+Table111[[#This Row],[Delivery Cost]])</f>
        <v/>
      </c>
      <c r="T291" s="72"/>
      <c r="U291" s="65"/>
      <c r="V291" s="72"/>
      <c r="W291" s="219"/>
      <c r="X291" s="63" t="str">
        <f t="shared" si="12"/>
        <v/>
      </c>
      <c r="Y291" s="63" t="str">
        <f t="shared" si="13"/>
        <v/>
      </c>
      <c r="Z291" s="63" t="str">
        <f t="shared" si="14"/>
        <v/>
      </c>
      <c r="AA291" s="63" t="str">
        <f>TEXT(Table111[[#This Row],[YEAR]],"0000")&amp;"-"&amp;Table111[[#This Row],[MONTH]]</f>
        <v>-</v>
      </c>
    </row>
    <row r="292" spans="2:27" x14ac:dyDescent="0.3">
      <c r="B292" s="68"/>
      <c r="C292" s="68"/>
      <c r="D292" s="68"/>
      <c r="E292" s="64"/>
      <c r="F292" s="65"/>
      <c r="G292" s="65"/>
      <c r="H292" s="66"/>
      <c r="I292" s="66"/>
      <c r="J292" s="66"/>
      <c r="K292" s="66"/>
      <c r="L292" s="74"/>
      <c r="M292" s="119"/>
      <c r="N292" s="66"/>
      <c r="O292" s="239"/>
      <c r="P292" s="113"/>
      <c r="Q292" s="113"/>
      <c r="R292" s="156" t="str">
        <f>IF(Table111[[#This Row],[Qty]]="","",Table111[[#This Row],[Qty]]*Table111[[#This Row],[Unit Price]])</f>
        <v/>
      </c>
      <c r="S292" s="156" t="str">
        <f>IF(Table111[[#This Row],[Qty]]="","",Table111[[#This Row],[Qty]]*Table111[[#This Row],[Unit Price]]+Table111[[#This Row],[Delivery Cost]])</f>
        <v/>
      </c>
      <c r="T292" s="67"/>
      <c r="U292" s="65"/>
      <c r="V292" s="65"/>
      <c r="W292" s="220"/>
      <c r="X292" s="63" t="str">
        <f t="shared" si="12"/>
        <v/>
      </c>
      <c r="Y292" s="63" t="str">
        <f t="shared" si="13"/>
        <v/>
      </c>
      <c r="Z292" s="63" t="str">
        <f t="shared" si="14"/>
        <v/>
      </c>
      <c r="AA292" s="63" t="str">
        <f>TEXT(Table111[[#This Row],[YEAR]],"0000")&amp;"-"&amp;Table111[[#This Row],[MONTH]]</f>
        <v>-</v>
      </c>
    </row>
    <row r="293" spans="2:27" x14ac:dyDescent="0.3">
      <c r="B293" s="183"/>
      <c r="C293" s="183"/>
      <c r="D293" s="183"/>
      <c r="E293" s="64"/>
      <c r="F293" s="65"/>
      <c r="G293" s="65"/>
      <c r="H293" s="66"/>
      <c r="I293" s="68"/>
      <c r="J293" s="68"/>
      <c r="K293" s="68"/>
      <c r="L293" s="74"/>
      <c r="M293" s="120"/>
      <c r="N293" s="66"/>
      <c r="O293" s="241"/>
      <c r="P293" s="114"/>
      <c r="Q293" s="114"/>
      <c r="R293" s="156" t="str">
        <f>IF(Table111[[#This Row],[Qty]]="","",Table111[[#This Row],[Qty]]*Table111[[#This Row],[Unit Price]])</f>
        <v/>
      </c>
      <c r="S293" s="156" t="str">
        <f>IF(Table111[[#This Row],[Qty]]="","",Table111[[#This Row],[Qty]]*Table111[[#This Row],[Unit Price]]+Table111[[#This Row],[Delivery Cost]])</f>
        <v/>
      </c>
      <c r="T293" s="67"/>
      <c r="U293" s="65"/>
      <c r="V293" s="65"/>
      <c r="W293" s="16"/>
      <c r="X293" s="63" t="str">
        <f t="shared" si="12"/>
        <v/>
      </c>
      <c r="Y293" s="63" t="str">
        <f t="shared" si="13"/>
        <v/>
      </c>
      <c r="Z293" s="63" t="str">
        <f t="shared" si="14"/>
        <v/>
      </c>
      <c r="AA293" s="63" t="str">
        <f>TEXT(Table111[[#This Row],[YEAR]],"0000")&amp;"-"&amp;Table111[[#This Row],[MONTH]]</f>
        <v>-</v>
      </c>
    </row>
    <row r="294" spans="2:27" x14ac:dyDescent="0.3">
      <c r="B294" s="68"/>
      <c r="C294" s="68"/>
      <c r="D294" s="68"/>
      <c r="E294" s="64"/>
      <c r="F294" s="65"/>
      <c r="G294" s="65"/>
      <c r="H294" s="66"/>
      <c r="I294" s="66"/>
      <c r="J294" s="66"/>
      <c r="K294" s="66"/>
      <c r="L294" s="74"/>
      <c r="M294" s="119"/>
      <c r="N294" s="66"/>
      <c r="O294" s="239"/>
      <c r="P294" s="113"/>
      <c r="Q294" s="113"/>
      <c r="R294" s="156" t="str">
        <f>IF(Table111[[#This Row],[Qty]]="","",Table111[[#This Row],[Qty]]*Table111[[#This Row],[Unit Price]])</f>
        <v/>
      </c>
      <c r="S294" s="156" t="str">
        <f>IF(Table111[[#This Row],[Qty]]="","",Table111[[#This Row],[Qty]]*Table111[[#This Row],[Unit Price]]+Table111[[#This Row],[Delivery Cost]])</f>
        <v/>
      </c>
      <c r="T294" s="67"/>
      <c r="U294" s="65"/>
      <c r="V294" s="65"/>
      <c r="W294" s="220"/>
      <c r="X294" s="63" t="str">
        <f t="shared" si="12"/>
        <v/>
      </c>
      <c r="Y294" s="63" t="str">
        <f t="shared" si="13"/>
        <v/>
      </c>
      <c r="Z294" s="63" t="str">
        <f t="shared" si="14"/>
        <v/>
      </c>
      <c r="AA294" s="63" t="str">
        <f>TEXT(Table111[[#This Row],[YEAR]],"0000")&amp;"-"&amp;Table111[[#This Row],[MONTH]]</f>
        <v>-</v>
      </c>
    </row>
    <row r="295" spans="2:27" x14ac:dyDescent="0.3">
      <c r="B295" s="68"/>
      <c r="C295" s="68"/>
      <c r="D295" s="68"/>
      <c r="E295" s="71"/>
      <c r="F295" s="72"/>
      <c r="G295" s="72"/>
      <c r="H295" s="74"/>
      <c r="I295" s="70"/>
      <c r="J295" s="70"/>
      <c r="K295" s="70"/>
      <c r="L295" s="74"/>
      <c r="M295" s="123"/>
      <c r="N295" s="73"/>
      <c r="O295" s="236"/>
      <c r="P295" s="113"/>
      <c r="Q295" s="113"/>
      <c r="R295" s="156" t="str">
        <f>IF(Table111[[#This Row],[Qty]]="","",Table111[[#This Row],[Qty]]*Table111[[#This Row],[Unit Price]])</f>
        <v/>
      </c>
      <c r="S295" s="156" t="str">
        <f>IF(Table111[[#This Row],[Qty]]="","",Table111[[#This Row],[Qty]]*Table111[[#This Row],[Unit Price]]+Table111[[#This Row],[Delivery Cost]])</f>
        <v/>
      </c>
      <c r="T295" s="67"/>
      <c r="U295" s="65"/>
      <c r="V295" s="72"/>
      <c r="W295" s="219"/>
      <c r="X295" s="63" t="str">
        <f t="shared" si="12"/>
        <v/>
      </c>
      <c r="Y295" s="63" t="str">
        <f t="shared" si="13"/>
        <v/>
      </c>
      <c r="Z295" s="63" t="str">
        <f t="shared" si="14"/>
        <v/>
      </c>
      <c r="AA295" s="63" t="str">
        <f>TEXT(Table111[[#This Row],[YEAR]],"0000")&amp;"-"&amp;Table111[[#This Row],[MONTH]]</f>
        <v>-</v>
      </c>
    </row>
    <row r="296" spans="2:27" x14ac:dyDescent="0.3">
      <c r="B296" s="183"/>
      <c r="C296" s="183"/>
      <c r="D296" s="183"/>
      <c r="E296" s="71"/>
      <c r="F296" s="72"/>
      <c r="G296" s="72"/>
      <c r="H296" s="74"/>
      <c r="I296" s="70"/>
      <c r="J296" s="70"/>
      <c r="K296" s="70"/>
      <c r="L296" s="74"/>
      <c r="M296" s="123"/>
      <c r="N296" s="73"/>
      <c r="O296" s="236"/>
      <c r="P296" s="113"/>
      <c r="Q296" s="113"/>
      <c r="R296" s="156" t="str">
        <f>IF(Table111[[#This Row],[Qty]]="","",Table111[[#This Row],[Qty]]*Table111[[#This Row],[Unit Price]])</f>
        <v/>
      </c>
      <c r="S296" s="156" t="str">
        <f>IF(Table111[[#This Row],[Qty]]="","",Table111[[#This Row],[Qty]]*Table111[[#This Row],[Unit Price]]+Table111[[#This Row],[Delivery Cost]])</f>
        <v/>
      </c>
      <c r="T296" s="67"/>
      <c r="U296" s="65"/>
      <c r="V296" s="72"/>
      <c r="W296" s="65"/>
      <c r="X296" s="63" t="str">
        <f t="shared" si="12"/>
        <v/>
      </c>
      <c r="Y296" s="63" t="str">
        <f t="shared" si="13"/>
        <v/>
      </c>
      <c r="Z296" s="63" t="str">
        <f t="shared" si="14"/>
        <v/>
      </c>
      <c r="AA296" s="63" t="str">
        <f>TEXT(Table111[[#This Row],[YEAR]],"0000")&amp;"-"&amp;Table111[[#This Row],[MONTH]]</f>
        <v>-</v>
      </c>
    </row>
    <row r="297" spans="2:27" x14ac:dyDescent="0.3">
      <c r="B297" s="68"/>
      <c r="C297" s="68"/>
      <c r="D297" s="68"/>
      <c r="E297" s="71"/>
      <c r="F297" s="72"/>
      <c r="G297" s="72"/>
      <c r="H297" s="74"/>
      <c r="I297" s="70"/>
      <c r="J297" s="70"/>
      <c r="K297" s="70"/>
      <c r="L297" s="74"/>
      <c r="M297" s="123"/>
      <c r="N297" s="73"/>
      <c r="O297" s="236"/>
      <c r="P297" s="113"/>
      <c r="Q297" s="113"/>
      <c r="R297" s="156" t="str">
        <f>IF(Table111[[#This Row],[Qty]]="","",Table111[[#This Row],[Qty]]*Table111[[#This Row],[Unit Price]])</f>
        <v/>
      </c>
      <c r="S297" s="156" t="str">
        <f>IF(Table111[[#This Row],[Qty]]="","",Table111[[#This Row],[Qty]]*Table111[[#This Row],[Unit Price]]+Table111[[#This Row],[Delivery Cost]])</f>
        <v/>
      </c>
      <c r="T297" s="67"/>
      <c r="U297" s="65"/>
      <c r="V297" s="72"/>
      <c r="W297" s="219"/>
      <c r="X297" s="63" t="str">
        <f t="shared" si="12"/>
        <v/>
      </c>
      <c r="Y297" s="63" t="str">
        <f t="shared" si="13"/>
        <v/>
      </c>
      <c r="Z297" s="63" t="str">
        <f t="shared" si="14"/>
        <v/>
      </c>
      <c r="AA297" s="63" t="str">
        <f>TEXT(Table111[[#This Row],[YEAR]],"0000")&amp;"-"&amp;Table111[[#This Row],[MONTH]]</f>
        <v>-</v>
      </c>
    </row>
    <row r="298" spans="2:27" x14ac:dyDescent="0.3">
      <c r="B298" s="183"/>
      <c r="C298" s="183"/>
      <c r="D298" s="183"/>
      <c r="E298" s="71"/>
      <c r="F298" s="72"/>
      <c r="G298" s="72"/>
      <c r="H298" s="74"/>
      <c r="I298" s="70"/>
      <c r="J298" s="70"/>
      <c r="K298" s="70"/>
      <c r="L298" s="74"/>
      <c r="M298" s="123"/>
      <c r="N298" s="73"/>
      <c r="O298" s="236"/>
      <c r="P298" s="113"/>
      <c r="Q298" s="113"/>
      <c r="R298" s="156" t="str">
        <f>IF(Table111[[#This Row],[Qty]]="","",Table111[[#This Row],[Qty]]*Table111[[#This Row],[Unit Price]])</f>
        <v/>
      </c>
      <c r="S298" s="156" t="str">
        <f>IF(Table111[[#This Row],[Qty]]="","",Table111[[#This Row],[Qty]]*Table111[[#This Row],[Unit Price]]+Table111[[#This Row],[Delivery Cost]])</f>
        <v/>
      </c>
      <c r="T298" s="67"/>
      <c r="U298" s="65"/>
      <c r="V298" s="72"/>
      <c r="W298" s="65"/>
      <c r="X298" s="63" t="str">
        <f t="shared" si="12"/>
        <v/>
      </c>
      <c r="Y298" s="63" t="str">
        <f t="shared" si="13"/>
        <v/>
      </c>
      <c r="Z298" s="63" t="str">
        <f t="shared" si="14"/>
        <v/>
      </c>
      <c r="AA298" s="63" t="str">
        <f>TEXT(Table111[[#This Row],[YEAR]],"0000")&amp;"-"&amp;Table111[[#This Row],[MONTH]]</f>
        <v>-</v>
      </c>
    </row>
    <row r="299" spans="2:27" x14ac:dyDescent="0.3">
      <c r="B299" s="68"/>
      <c r="C299" s="68"/>
      <c r="D299" s="68"/>
      <c r="E299" s="71"/>
      <c r="F299" s="72"/>
      <c r="G299" s="72"/>
      <c r="H299" s="74"/>
      <c r="I299" s="70"/>
      <c r="J299" s="70"/>
      <c r="K299" s="70"/>
      <c r="L299" s="74"/>
      <c r="M299" s="123"/>
      <c r="N299" s="73"/>
      <c r="O299" s="236"/>
      <c r="P299" s="113"/>
      <c r="Q299" s="113"/>
      <c r="R299" s="156" t="str">
        <f>IF(Table111[[#This Row],[Qty]]="","",Table111[[#This Row],[Qty]]*Table111[[#This Row],[Unit Price]])</f>
        <v/>
      </c>
      <c r="S299" s="156" t="str">
        <f>IF(Table111[[#This Row],[Qty]]="","",Table111[[#This Row],[Qty]]*Table111[[#This Row],[Unit Price]]+Table111[[#This Row],[Delivery Cost]])</f>
        <v/>
      </c>
      <c r="T299" s="67"/>
      <c r="U299" s="65"/>
      <c r="V299" s="72"/>
      <c r="W299" s="219"/>
      <c r="X299" s="63" t="str">
        <f t="shared" si="12"/>
        <v/>
      </c>
      <c r="Y299" s="63" t="str">
        <f t="shared" si="13"/>
        <v/>
      </c>
      <c r="Z299" s="63" t="str">
        <f t="shared" si="14"/>
        <v/>
      </c>
      <c r="AA299" s="63" t="str">
        <f>TEXT(Table111[[#This Row],[YEAR]],"0000")&amp;"-"&amp;Table111[[#This Row],[MONTH]]</f>
        <v>-</v>
      </c>
    </row>
    <row r="300" spans="2:27" x14ac:dyDescent="0.3">
      <c r="B300" s="183"/>
      <c r="C300" s="183"/>
      <c r="D300" s="183"/>
      <c r="E300" s="71"/>
      <c r="F300" s="72"/>
      <c r="G300" s="72"/>
      <c r="H300" s="74"/>
      <c r="I300" s="70"/>
      <c r="J300" s="70"/>
      <c r="K300" s="70"/>
      <c r="L300" s="74"/>
      <c r="M300" s="123"/>
      <c r="N300" s="73"/>
      <c r="O300" s="236"/>
      <c r="P300" s="113"/>
      <c r="Q300" s="113"/>
      <c r="R300" s="156" t="str">
        <f>IF(Table111[[#This Row],[Qty]]="","",Table111[[#This Row],[Qty]]*Table111[[#This Row],[Unit Price]])</f>
        <v/>
      </c>
      <c r="S300" s="156" t="str">
        <f>IF(Table111[[#This Row],[Qty]]="","",Table111[[#This Row],[Qty]]*Table111[[#This Row],[Unit Price]]+Table111[[#This Row],[Delivery Cost]])</f>
        <v/>
      </c>
      <c r="T300" s="67"/>
      <c r="U300" s="65"/>
      <c r="V300" s="72"/>
      <c r="W300" s="65"/>
      <c r="X300" s="63" t="str">
        <f t="shared" si="12"/>
        <v/>
      </c>
      <c r="Y300" s="63" t="str">
        <f t="shared" si="13"/>
        <v/>
      </c>
      <c r="Z300" s="63" t="str">
        <f t="shared" si="14"/>
        <v/>
      </c>
      <c r="AA300" s="63" t="str">
        <f>TEXT(Table111[[#This Row],[YEAR]],"0000")&amp;"-"&amp;Table111[[#This Row],[MONTH]]</f>
        <v>-</v>
      </c>
    </row>
    <row r="301" spans="2:27" x14ac:dyDescent="0.3">
      <c r="B301" s="68"/>
      <c r="C301" s="68"/>
      <c r="D301" s="68"/>
      <c r="E301" s="71"/>
      <c r="F301" s="72"/>
      <c r="G301" s="72"/>
      <c r="H301" s="74"/>
      <c r="I301" s="70"/>
      <c r="J301" s="70"/>
      <c r="K301" s="70"/>
      <c r="L301" s="74"/>
      <c r="M301" s="123"/>
      <c r="N301" s="73"/>
      <c r="O301" s="236"/>
      <c r="P301" s="113"/>
      <c r="Q301" s="113"/>
      <c r="R301" s="156" t="str">
        <f>IF(Table111[[#This Row],[Qty]]="","",Table111[[#This Row],[Qty]]*Table111[[#This Row],[Unit Price]])</f>
        <v/>
      </c>
      <c r="S301" s="156" t="str">
        <f>IF(Table111[[#This Row],[Qty]]="","",Table111[[#This Row],[Qty]]*Table111[[#This Row],[Unit Price]]+Table111[[#This Row],[Delivery Cost]])</f>
        <v/>
      </c>
      <c r="T301" s="67"/>
      <c r="U301" s="65"/>
      <c r="V301" s="72"/>
      <c r="W301" s="219"/>
      <c r="X301" s="63" t="str">
        <f t="shared" si="12"/>
        <v/>
      </c>
      <c r="Y301" s="63" t="str">
        <f t="shared" si="13"/>
        <v/>
      </c>
      <c r="Z301" s="63" t="str">
        <f t="shared" si="14"/>
        <v/>
      </c>
      <c r="AA301" s="63" t="str">
        <f>TEXT(Table111[[#This Row],[YEAR]],"0000")&amp;"-"&amp;Table111[[#This Row],[MONTH]]</f>
        <v>-</v>
      </c>
    </row>
    <row r="302" spans="2:27" x14ac:dyDescent="0.3">
      <c r="B302" s="183"/>
      <c r="C302" s="183"/>
      <c r="D302" s="183"/>
      <c r="E302" s="71"/>
      <c r="F302" s="72"/>
      <c r="G302" s="72"/>
      <c r="H302" s="74"/>
      <c r="I302" s="70"/>
      <c r="J302" s="70"/>
      <c r="K302" s="70"/>
      <c r="L302" s="74"/>
      <c r="M302" s="123"/>
      <c r="N302" s="73"/>
      <c r="O302" s="236"/>
      <c r="P302" s="113"/>
      <c r="Q302" s="113"/>
      <c r="R302" s="156" t="str">
        <f>IF(Table111[[#This Row],[Qty]]="","",Table111[[#This Row],[Qty]]*Table111[[#This Row],[Unit Price]])</f>
        <v/>
      </c>
      <c r="S302" s="156" t="str">
        <f>IF(Table111[[#This Row],[Qty]]="","",Table111[[#This Row],[Qty]]*Table111[[#This Row],[Unit Price]]+Table111[[#This Row],[Delivery Cost]])</f>
        <v/>
      </c>
      <c r="T302" s="67"/>
      <c r="U302" s="65"/>
      <c r="V302" s="72"/>
      <c r="W302" s="65"/>
      <c r="X302" s="63" t="str">
        <f t="shared" si="12"/>
        <v/>
      </c>
      <c r="Y302" s="63" t="str">
        <f t="shared" si="13"/>
        <v/>
      </c>
      <c r="Z302" s="63" t="str">
        <f t="shared" si="14"/>
        <v/>
      </c>
      <c r="AA302" s="63" t="str">
        <f>TEXT(Table111[[#This Row],[YEAR]],"0000")&amp;"-"&amp;Table111[[#This Row],[MONTH]]</f>
        <v>-</v>
      </c>
    </row>
    <row r="303" spans="2:27" x14ac:dyDescent="0.3">
      <c r="B303" s="68"/>
      <c r="C303" s="68"/>
      <c r="D303" s="68"/>
      <c r="E303" s="71"/>
      <c r="F303" s="72"/>
      <c r="G303" s="72"/>
      <c r="H303" s="74"/>
      <c r="I303" s="70"/>
      <c r="J303" s="70"/>
      <c r="K303" s="70"/>
      <c r="L303" s="74"/>
      <c r="M303" s="123"/>
      <c r="N303" s="73"/>
      <c r="O303" s="236"/>
      <c r="P303" s="113"/>
      <c r="Q303" s="113"/>
      <c r="R303" s="156" t="str">
        <f>IF(Table111[[#This Row],[Qty]]="","",Table111[[#This Row],[Qty]]*Table111[[#This Row],[Unit Price]])</f>
        <v/>
      </c>
      <c r="S303" s="156" t="str">
        <f>IF(Table111[[#This Row],[Qty]]="","",Table111[[#This Row],[Qty]]*Table111[[#This Row],[Unit Price]]+Table111[[#This Row],[Delivery Cost]])</f>
        <v/>
      </c>
      <c r="T303" s="67"/>
      <c r="U303" s="65"/>
      <c r="V303" s="72"/>
      <c r="W303" s="219"/>
      <c r="X303" s="63" t="str">
        <f t="shared" si="12"/>
        <v/>
      </c>
      <c r="Y303" s="63" t="str">
        <f t="shared" si="13"/>
        <v/>
      </c>
      <c r="Z303" s="63" t="str">
        <f t="shared" si="14"/>
        <v/>
      </c>
      <c r="AA303" s="63" t="str">
        <f>TEXT(Table111[[#This Row],[YEAR]],"0000")&amp;"-"&amp;Table111[[#This Row],[MONTH]]</f>
        <v>-</v>
      </c>
    </row>
    <row r="304" spans="2:27" x14ac:dyDescent="0.3">
      <c r="B304" s="183"/>
      <c r="C304" s="183"/>
      <c r="D304" s="183"/>
      <c r="E304" s="71"/>
      <c r="F304" s="72"/>
      <c r="G304" s="72"/>
      <c r="H304" s="74"/>
      <c r="I304" s="70"/>
      <c r="J304" s="70"/>
      <c r="K304" s="70"/>
      <c r="L304" s="74"/>
      <c r="M304" s="123"/>
      <c r="N304" s="73"/>
      <c r="O304" s="236"/>
      <c r="P304" s="113"/>
      <c r="Q304" s="113"/>
      <c r="R304" s="156" t="str">
        <f>IF(Table111[[#This Row],[Qty]]="","",Table111[[#This Row],[Qty]]*Table111[[#This Row],[Unit Price]])</f>
        <v/>
      </c>
      <c r="S304" s="156" t="str">
        <f>IF(Table111[[#This Row],[Qty]]="","",Table111[[#This Row],[Qty]]*Table111[[#This Row],[Unit Price]]+Table111[[#This Row],[Delivery Cost]])</f>
        <v/>
      </c>
      <c r="T304" s="67"/>
      <c r="U304" s="65"/>
      <c r="V304" s="72"/>
      <c r="W304" s="65"/>
      <c r="X304" s="63" t="str">
        <f t="shared" si="12"/>
        <v/>
      </c>
      <c r="Y304" s="63" t="str">
        <f t="shared" si="13"/>
        <v/>
      </c>
      <c r="Z304" s="63" t="str">
        <f t="shared" si="14"/>
        <v/>
      </c>
      <c r="AA304" s="63" t="str">
        <f>TEXT(Table111[[#This Row],[YEAR]],"0000")&amp;"-"&amp;Table111[[#This Row],[MONTH]]</f>
        <v>-</v>
      </c>
    </row>
    <row r="305" spans="2:27" x14ac:dyDescent="0.3">
      <c r="B305" s="68"/>
      <c r="C305" s="68"/>
      <c r="D305" s="68"/>
      <c r="E305" s="71"/>
      <c r="F305" s="72"/>
      <c r="G305" s="72"/>
      <c r="H305" s="74"/>
      <c r="I305" s="70"/>
      <c r="J305" s="70"/>
      <c r="K305" s="70"/>
      <c r="L305" s="74"/>
      <c r="M305" s="123"/>
      <c r="N305" s="73"/>
      <c r="O305" s="236"/>
      <c r="P305" s="113"/>
      <c r="Q305" s="113"/>
      <c r="R305" s="156" t="str">
        <f>IF(Table111[[#This Row],[Qty]]="","",Table111[[#This Row],[Qty]]*Table111[[#This Row],[Unit Price]])</f>
        <v/>
      </c>
      <c r="S305" s="156" t="str">
        <f>IF(Table111[[#This Row],[Qty]]="","",Table111[[#This Row],[Qty]]*Table111[[#This Row],[Unit Price]]+Table111[[#This Row],[Delivery Cost]])</f>
        <v/>
      </c>
      <c r="T305" s="67"/>
      <c r="U305" s="65"/>
      <c r="V305" s="72"/>
      <c r="W305" s="219"/>
      <c r="X305" s="63" t="str">
        <f t="shared" si="12"/>
        <v/>
      </c>
      <c r="Y305" s="63" t="str">
        <f t="shared" si="13"/>
        <v/>
      </c>
      <c r="Z305" s="63" t="str">
        <f t="shared" si="14"/>
        <v/>
      </c>
      <c r="AA305" s="63" t="str">
        <f>TEXT(Table111[[#This Row],[YEAR]],"0000")&amp;"-"&amp;Table111[[#This Row],[MONTH]]</f>
        <v>-</v>
      </c>
    </row>
    <row r="306" spans="2:27" x14ac:dyDescent="0.3">
      <c r="B306" s="183"/>
      <c r="C306" s="183"/>
      <c r="D306" s="183"/>
      <c r="E306" s="71"/>
      <c r="F306" s="72"/>
      <c r="G306" s="72"/>
      <c r="H306" s="74"/>
      <c r="I306" s="70"/>
      <c r="J306" s="70"/>
      <c r="K306" s="70"/>
      <c r="L306" s="74"/>
      <c r="M306" s="123"/>
      <c r="N306" s="73"/>
      <c r="O306" s="236"/>
      <c r="P306" s="113"/>
      <c r="Q306" s="113"/>
      <c r="R306" s="156" t="str">
        <f>IF(Table111[[#This Row],[Qty]]="","",Table111[[#This Row],[Qty]]*Table111[[#This Row],[Unit Price]])</f>
        <v/>
      </c>
      <c r="S306" s="156" t="str">
        <f>IF(Table111[[#This Row],[Qty]]="","",Table111[[#This Row],[Qty]]*Table111[[#This Row],[Unit Price]]+Table111[[#This Row],[Delivery Cost]])</f>
        <v/>
      </c>
      <c r="T306" s="67"/>
      <c r="U306" s="65"/>
      <c r="V306" s="72"/>
      <c r="W306" s="65"/>
      <c r="X306" s="63" t="str">
        <f t="shared" si="12"/>
        <v/>
      </c>
      <c r="Y306" s="63" t="str">
        <f t="shared" si="13"/>
        <v/>
      </c>
      <c r="Z306" s="63" t="str">
        <f t="shared" si="14"/>
        <v/>
      </c>
      <c r="AA306" s="63" t="str">
        <f>TEXT(Table111[[#This Row],[YEAR]],"0000")&amp;"-"&amp;Table111[[#This Row],[MONTH]]</f>
        <v>-</v>
      </c>
    </row>
    <row r="307" spans="2:27" x14ac:dyDescent="0.3">
      <c r="B307" s="68"/>
      <c r="C307" s="68"/>
      <c r="D307" s="68"/>
      <c r="E307" s="71"/>
      <c r="F307" s="72"/>
      <c r="G307" s="72"/>
      <c r="H307" s="74"/>
      <c r="I307" s="70"/>
      <c r="J307" s="70"/>
      <c r="K307" s="70"/>
      <c r="L307" s="74"/>
      <c r="M307" s="123"/>
      <c r="N307" s="73"/>
      <c r="O307" s="236"/>
      <c r="P307" s="117"/>
      <c r="Q307" s="117"/>
      <c r="R307" s="156" t="str">
        <f>IF(Table111[[#This Row],[Qty]]="","",Table111[[#This Row],[Qty]]*Table111[[#This Row],[Unit Price]])</f>
        <v/>
      </c>
      <c r="S307" s="156" t="str">
        <f>IF(Table111[[#This Row],[Qty]]="","",Table111[[#This Row],[Qty]]*Table111[[#This Row],[Unit Price]]+Table111[[#This Row],[Delivery Cost]])</f>
        <v/>
      </c>
      <c r="T307" s="72"/>
      <c r="U307" s="72"/>
      <c r="V307" s="72"/>
      <c r="W307" s="219"/>
      <c r="X307" s="63" t="str">
        <f t="shared" si="12"/>
        <v/>
      </c>
      <c r="Y307" s="63" t="str">
        <f t="shared" si="13"/>
        <v/>
      </c>
      <c r="Z307" s="63" t="str">
        <f t="shared" si="14"/>
        <v/>
      </c>
      <c r="AA307" s="63" t="str">
        <f>TEXT(Table111[[#This Row],[YEAR]],"0000")&amp;"-"&amp;Table111[[#This Row],[MONTH]]</f>
        <v>-</v>
      </c>
    </row>
    <row r="308" spans="2:27" x14ac:dyDescent="0.3">
      <c r="B308" s="68"/>
      <c r="C308" s="68"/>
      <c r="D308" s="68"/>
      <c r="E308" s="71"/>
      <c r="F308" s="72"/>
      <c r="G308" s="72"/>
      <c r="H308" s="69"/>
      <c r="I308" s="73"/>
      <c r="J308" s="73"/>
      <c r="K308" s="73"/>
      <c r="L308" s="74"/>
      <c r="M308" s="123"/>
      <c r="N308" s="66"/>
      <c r="O308" s="236"/>
      <c r="P308" s="117"/>
      <c r="Q308" s="117"/>
      <c r="R308" s="156" t="str">
        <f>IF(Table111[[#This Row],[Qty]]="","",Table111[[#This Row],[Qty]]*Table111[[#This Row],[Unit Price]])</f>
        <v/>
      </c>
      <c r="S308" s="156" t="str">
        <f>IF(Table111[[#This Row],[Qty]]="","",Table111[[#This Row],[Qty]]*Table111[[#This Row],[Unit Price]]+Table111[[#This Row],[Delivery Cost]])</f>
        <v/>
      </c>
      <c r="T308" s="67"/>
      <c r="U308" s="65"/>
      <c r="V308" s="65"/>
      <c r="W308" s="220"/>
      <c r="X308" s="63" t="str">
        <f t="shared" si="12"/>
        <v/>
      </c>
      <c r="Y308" s="63" t="str">
        <f t="shared" si="13"/>
        <v/>
      </c>
      <c r="Z308" s="63" t="str">
        <f t="shared" si="14"/>
        <v/>
      </c>
      <c r="AA308" s="63" t="str">
        <f>TEXT(Table111[[#This Row],[YEAR]],"0000")&amp;"-"&amp;Table111[[#This Row],[MONTH]]</f>
        <v>-</v>
      </c>
    </row>
    <row r="309" spans="2:27" x14ac:dyDescent="0.3">
      <c r="B309" s="183"/>
      <c r="C309" s="183"/>
      <c r="D309" s="183"/>
      <c r="E309" s="71"/>
      <c r="F309" s="72"/>
      <c r="G309" s="72"/>
      <c r="H309" s="69"/>
      <c r="I309" s="69"/>
      <c r="J309" s="69"/>
      <c r="K309" s="69"/>
      <c r="L309" s="74"/>
      <c r="M309" s="121"/>
      <c r="N309" s="66"/>
      <c r="O309" s="237"/>
      <c r="P309" s="115"/>
      <c r="Q309" s="115"/>
      <c r="R309" s="156" t="str">
        <f>IF(Table111[[#This Row],[Qty]]="","",Table111[[#This Row],[Qty]]*Table111[[#This Row],[Unit Price]])</f>
        <v/>
      </c>
      <c r="S309" s="156" t="str">
        <f>IF(Table111[[#This Row],[Qty]]="","",Table111[[#This Row],[Qty]]*Table111[[#This Row],[Unit Price]]+Table111[[#This Row],[Delivery Cost]])</f>
        <v/>
      </c>
      <c r="T309" s="67"/>
      <c r="U309" s="65"/>
      <c r="V309" s="72"/>
      <c r="W309" s="16"/>
      <c r="X309" s="63" t="str">
        <f t="shared" si="12"/>
        <v/>
      </c>
      <c r="Y309" s="63" t="str">
        <f t="shared" si="13"/>
        <v/>
      </c>
      <c r="Z309" s="63" t="str">
        <f t="shared" si="14"/>
        <v/>
      </c>
      <c r="AA309" s="63" t="str">
        <f>TEXT(Table111[[#This Row],[YEAR]],"0000")&amp;"-"&amp;Table111[[#This Row],[MONTH]]</f>
        <v>-</v>
      </c>
    </row>
    <row r="310" spans="2:27" x14ac:dyDescent="0.3">
      <c r="B310" s="183"/>
      <c r="C310" s="183"/>
      <c r="D310" s="183"/>
      <c r="E310" s="71"/>
      <c r="F310" s="72"/>
      <c r="G310" s="72"/>
      <c r="H310" s="74"/>
      <c r="I310" s="70"/>
      <c r="J310" s="70"/>
      <c r="K310" s="70"/>
      <c r="L310" s="74"/>
      <c r="M310" s="123"/>
      <c r="N310" s="73"/>
      <c r="O310" s="236"/>
      <c r="P310" s="117"/>
      <c r="Q310" s="117"/>
      <c r="R310" s="156" t="str">
        <f>IF(Table111[[#This Row],[Qty]]="","",Table111[[#This Row],[Qty]]*Table111[[#This Row],[Unit Price]])</f>
        <v/>
      </c>
      <c r="S310" s="156" t="str">
        <f>IF(Table111[[#This Row],[Qty]]="","",Table111[[#This Row],[Qty]]*Table111[[#This Row],[Unit Price]]+Table111[[#This Row],[Delivery Cost]])</f>
        <v/>
      </c>
      <c r="T310" s="72"/>
      <c r="U310" s="65"/>
      <c r="V310" s="72"/>
      <c r="W310" s="65"/>
      <c r="X310" s="63" t="str">
        <f t="shared" si="12"/>
        <v/>
      </c>
      <c r="Y310" s="63" t="str">
        <f t="shared" si="13"/>
        <v/>
      </c>
      <c r="Z310" s="63" t="str">
        <f t="shared" si="14"/>
        <v/>
      </c>
      <c r="AA310" s="63" t="str">
        <f>TEXT(Table111[[#This Row],[YEAR]],"0000")&amp;"-"&amp;Table111[[#This Row],[MONTH]]</f>
        <v>-</v>
      </c>
    </row>
    <row r="311" spans="2:27" x14ac:dyDescent="0.3">
      <c r="B311" s="68"/>
      <c r="C311" s="68"/>
      <c r="D311" s="68"/>
      <c r="E311" s="71"/>
      <c r="F311" s="72"/>
      <c r="G311" s="72"/>
      <c r="H311" s="74"/>
      <c r="I311" s="70"/>
      <c r="J311" s="70"/>
      <c r="K311" s="70"/>
      <c r="L311" s="74"/>
      <c r="M311" s="123"/>
      <c r="N311" s="73"/>
      <c r="O311" s="236"/>
      <c r="P311" s="117"/>
      <c r="Q311" s="117"/>
      <c r="R311" s="156" t="str">
        <f>IF(Table111[[#This Row],[Qty]]="","",Table111[[#This Row],[Qty]]*Table111[[#This Row],[Unit Price]])</f>
        <v/>
      </c>
      <c r="S311" s="156" t="str">
        <f>IF(Table111[[#This Row],[Qty]]="","",Table111[[#This Row],[Qty]]*Table111[[#This Row],[Unit Price]]+Table111[[#This Row],[Delivery Cost]])</f>
        <v/>
      </c>
      <c r="T311" s="72"/>
      <c r="U311" s="65"/>
      <c r="V311" s="72"/>
      <c r="W311" s="219"/>
      <c r="X311" s="63" t="str">
        <f t="shared" si="12"/>
        <v/>
      </c>
      <c r="Y311" s="63" t="str">
        <f t="shared" si="13"/>
        <v/>
      </c>
      <c r="Z311" s="63" t="str">
        <f t="shared" si="14"/>
        <v/>
      </c>
      <c r="AA311" s="63" t="str">
        <f>TEXT(Table111[[#This Row],[YEAR]],"0000")&amp;"-"&amp;Table111[[#This Row],[MONTH]]</f>
        <v>-</v>
      </c>
    </row>
    <row r="312" spans="2:27" x14ac:dyDescent="0.3">
      <c r="B312" s="183"/>
      <c r="C312" s="183"/>
      <c r="D312" s="183"/>
      <c r="E312" s="71"/>
      <c r="F312" s="72"/>
      <c r="G312" s="72"/>
      <c r="H312" s="74"/>
      <c r="I312" s="70"/>
      <c r="J312" s="70"/>
      <c r="K312" s="70"/>
      <c r="L312" s="74"/>
      <c r="M312" s="123"/>
      <c r="N312" s="73"/>
      <c r="O312" s="236"/>
      <c r="P312" s="117"/>
      <c r="Q312" s="117"/>
      <c r="R312" s="156" t="str">
        <f>IF(Table111[[#This Row],[Qty]]="","",Table111[[#This Row],[Qty]]*Table111[[#This Row],[Unit Price]])</f>
        <v/>
      </c>
      <c r="S312" s="156" t="str">
        <f>IF(Table111[[#This Row],[Qty]]="","",Table111[[#This Row],[Qty]]*Table111[[#This Row],[Unit Price]]+Table111[[#This Row],[Delivery Cost]])</f>
        <v/>
      </c>
      <c r="T312" s="72"/>
      <c r="U312" s="65"/>
      <c r="V312" s="72"/>
      <c r="W312" s="65"/>
      <c r="X312" s="63" t="str">
        <f t="shared" si="12"/>
        <v/>
      </c>
      <c r="Y312" s="63" t="str">
        <f t="shared" si="13"/>
        <v/>
      </c>
      <c r="Z312" s="63" t="str">
        <f t="shared" si="14"/>
        <v/>
      </c>
      <c r="AA312" s="63" t="str">
        <f>TEXT(Table111[[#This Row],[YEAR]],"0000")&amp;"-"&amp;Table111[[#This Row],[MONTH]]</f>
        <v>-</v>
      </c>
    </row>
    <row r="313" spans="2:27" x14ac:dyDescent="0.3">
      <c r="B313" s="68"/>
      <c r="C313" s="68"/>
      <c r="D313" s="68"/>
      <c r="E313" s="71"/>
      <c r="F313" s="72"/>
      <c r="G313" s="72"/>
      <c r="H313" s="74"/>
      <c r="I313" s="70"/>
      <c r="J313" s="70"/>
      <c r="K313" s="70"/>
      <c r="L313" s="74"/>
      <c r="M313" s="123"/>
      <c r="N313" s="73"/>
      <c r="O313" s="236"/>
      <c r="P313" s="117"/>
      <c r="Q313" s="117"/>
      <c r="R313" s="156" t="str">
        <f>IF(Table111[[#This Row],[Qty]]="","",Table111[[#This Row],[Qty]]*Table111[[#This Row],[Unit Price]])</f>
        <v/>
      </c>
      <c r="S313" s="156" t="str">
        <f>IF(Table111[[#This Row],[Qty]]="","",Table111[[#This Row],[Qty]]*Table111[[#This Row],[Unit Price]]+Table111[[#This Row],[Delivery Cost]])</f>
        <v/>
      </c>
      <c r="T313" s="72"/>
      <c r="U313" s="65"/>
      <c r="V313" s="72"/>
      <c r="W313" s="219"/>
      <c r="X313" s="63" t="str">
        <f t="shared" si="12"/>
        <v/>
      </c>
      <c r="Y313" s="63" t="str">
        <f t="shared" si="13"/>
        <v/>
      </c>
      <c r="Z313" s="63" t="str">
        <f t="shared" si="14"/>
        <v/>
      </c>
      <c r="AA313" s="63" t="str">
        <f>TEXT(Table111[[#This Row],[YEAR]],"0000")&amp;"-"&amp;Table111[[#This Row],[MONTH]]</f>
        <v>-</v>
      </c>
    </row>
    <row r="314" spans="2:27" x14ac:dyDescent="0.3">
      <c r="B314" s="183"/>
      <c r="C314" s="183"/>
      <c r="D314" s="183"/>
      <c r="E314" s="71"/>
      <c r="F314" s="72"/>
      <c r="G314" s="72"/>
      <c r="H314" s="74"/>
      <c r="I314" s="70"/>
      <c r="J314" s="70"/>
      <c r="K314" s="70"/>
      <c r="L314" s="74"/>
      <c r="M314" s="123"/>
      <c r="N314" s="73"/>
      <c r="O314" s="236"/>
      <c r="P314" s="117"/>
      <c r="Q314" s="117"/>
      <c r="R314" s="156" t="str">
        <f>IF(Table111[[#This Row],[Qty]]="","",Table111[[#This Row],[Qty]]*Table111[[#This Row],[Unit Price]])</f>
        <v/>
      </c>
      <c r="S314" s="156" t="str">
        <f>IF(Table111[[#This Row],[Qty]]="","",Table111[[#This Row],[Qty]]*Table111[[#This Row],[Unit Price]]+Table111[[#This Row],[Delivery Cost]])</f>
        <v/>
      </c>
      <c r="T314" s="72"/>
      <c r="U314" s="65"/>
      <c r="V314" s="72"/>
      <c r="W314" s="65"/>
      <c r="X314" s="63" t="str">
        <f t="shared" si="12"/>
        <v/>
      </c>
      <c r="Y314" s="63" t="str">
        <f t="shared" si="13"/>
        <v/>
      </c>
      <c r="Z314" s="63" t="str">
        <f t="shared" si="14"/>
        <v/>
      </c>
      <c r="AA314" s="63" t="str">
        <f>TEXT(Table111[[#This Row],[YEAR]],"0000")&amp;"-"&amp;Table111[[#This Row],[MONTH]]</f>
        <v>-</v>
      </c>
    </row>
    <row r="315" spans="2:27" x14ac:dyDescent="0.3">
      <c r="B315" s="68"/>
      <c r="C315" s="68"/>
      <c r="D315" s="68"/>
      <c r="E315" s="71"/>
      <c r="F315" s="72"/>
      <c r="G315" s="72"/>
      <c r="H315" s="74"/>
      <c r="I315" s="70"/>
      <c r="J315" s="70"/>
      <c r="K315" s="70"/>
      <c r="L315" s="74"/>
      <c r="M315" s="123"/>
      <c r="N315" s="73"/>
      <c r="O315" s="236"/>
      <c r="P315" s="117"/>
      <c r="Q315" s="117"/>
      <c r="R315" s="156" t="str">
        <f>IF(Table111[[#This Row],[Qty]]="","",Table111[[#This Row],[Qty]]*Table111[[#This Row],[Unit Price]])</f>
        <v/>
      </c>
      <c r="S315" s="156" t="str">
        <f>IF(Table111[[#This Row],[Qty]]="","",Table111[[#This Row],[Qty]]*Table111[[#This Row],[Unit Price]]+Table111[[#This Row],[Delivery Cost]])</f>
        <v/>
      </c>
      <c r="T315" s="72"/>
      <c r="U315" s="65"/>
      <c r="V315" s="72"/>
      <c r="W315" s="219"/>
      <c r="X315" s="63" t="str">
        <f t="shared" si="12"/>
        <v/>
      </c>
      <c r="Y315" s="63" t="str">
        <f t="shared" si="13"/>
        <v/>
      </c>
      <c r="Z315" s="63" t="str">
        <f t="shared" si="14"/>
        <v/>
      </c>
      <c r="AA315" s="63" t="str">
        <f>TEXT(Table111[[#This Row],[YEAR]],"0000")&amp;"-"&amp;Table111[[#This Row],[MONTH]]</f>
        <v>-</v>
      </c>
    </row>
    <row r="316" spans="2:27" x14ac:dyDescent="0.3">
      <c r="B316" s="183"/>
      <c r="C316" s="183"/>
      <c r="D316" s="183"/>
      <c r="E316" s="71"/>
      <c r="F316" s="72"/>
      <c r="G316" s="72"/>
      <c r="H316" s="74"/>
      <c r="I316" s="70"/>
      <c r="J316" s="70"/>
      <c r="K316" s="70"/>
      <c r="L316" s="74"/>
      <c r="M316" s="123"/>
      <c r="N316" s="73"/>
      <c r="O316" s="236"/>
      <c r="P316" s="117"/>
      <c r="Q316" s="117"/>
      <c r="R316" s="156" t="str">
        <f>IF(Table111[[#This Row],[Qty]]="","",Table111[[#This Row],[Qty]]*Table111[[#This Row],[Unit Price]])</f>
        <v/>
      </c>
      <c r="S316" s="156" t="str">
        <f>IF(Table111[[#This Row],[Qty]]="","",Table111[[#This Row],[Qty]]*Table111[[#This Row],[Unit Price]]+Table111[[#This Row],[Delivery Cost]])</f>
        <v/>
      </c>
      <c r="T316" s="72"/>
      <c r="U316" s="65"/>
      <c r="V316" s="72"/>
      <c r="W316" s="65"/>
      <c r="X316" s="63" t="str">
        <f t="shared" si="12"/>
        <v/>
      </c>
      <c r="Y316" s="63" t="str">
        <f t="shared" si="13"/>
        <v/>
      </c>
      <c r="Z316" s="63" t="str">
        <f t="shared" si="14"/>
        <v/>
      </c>
      <c r="AA316" s="63" t="str">
        <f>TEXT(Table111[[#This Row],[YEAR]],"0000")&amp;"-"&amp;Table111[[#This Row],[MONTH]]</f>
        <v>-</v>
      </c>
    </row>
    <row r="317" spans="2:27" x14ac:dyDescent="0.3">
      <c r="B317" s="68"/>
      <c r="C317" s="68"/>
      <c r="D317" s="68"/>
      <c r="E317" s="71"/>
      <c r="F317" s="72"/>
      <c r="G317" s="72"/>
      <c r="H317" s="74"/>
      <c r="I317" s="70"/>
      <c r="J317" s="70"/>
      <c r="K317" s="70"/>
      <c r="L317" s="74"/>
      <c r="M317" s="123"/>
      <c r="N317" s="73"/>
      <c r="O317" s="236"/>
      <c r="P317" s="117"/>
      <c r="Q317" s="117"/>
      <c r="R317" s="156" t="str">
        <f>IF(Table111[[#This Row],[Qty]]="","",Table111[[#This Row],[Qty]]*Table111[[#This Row],[Unit Price]])</f>
        <v/>
      </c>
      <c r="S317" s="156" t="str">
        <f>IF(Table111[[#This Row],[Qty]]="","",Table111[[#This Row],[Qty]]*Table111[[#This Row],[Unit Price]]+Table111[[#This Row],[Delivery Cost]])</f>
        <v/>
      </c>
      <c r="T317" s="72"/>
      <c r="U317" s="65"/>
      <c r="V317" s="72"/>
      <c r="W317" s="219"/>
      <c r="X317" s="63" t="str">
        <f t="shared" si="12"/>
        <v/>
      </c>
      <c r="Y317" s="63" t="str">
        <f t="shared" si="13"/>
        <v/>
      </c>
      <c r="Z317" s="63" t="str">
        <f t="shared" si="14"/>
        <v/>
      </c>
      <c r="AA317" s="63" t="str">
        <f>TEXT(Table111[[#This Row],[YEAR]],"0000")&amp;"-"&amp;Table111[[#This Row],[MONTH]]</f>
        <v>-</v>
      </c>
    </row>
    <row r="318" spans="2:27" x14ac:dyDescent="0.3">
      <c r="B318" s="183"/>
      <c r="C318" s="183"/>
      <c r="D318" s="183"/>
      <c r="E318" s="71"/>
      <c r="F318" s="72"/>
      <c r="G318" s="72"/>
      <c r="H318" s="74"/>
      <c r="I318" s="70"/>
      <c r="J318" s="70"/>
      <c r="K318" s="70"/>
      <c r="L318" s="74"/>
      <c r="M318" s="123"/>
      <c r="N318" s="73"/>
      <c r="O318" s="236"/>
      <c r="P318" s="117"/>
      <c r="Q318" s="117"/>
      <c r="R318" s="156" t="str">
        <f>IF(Table111[[#This Row],[Qty]]="","",Table111[[#This Row],[Qty]]*Table111[[#This Row],[Unit Price]])</f>
        <v/>
      </c>
      <c r="S318" s="156" t="str">
        <f>IF(Table111[[#This Row],[Qty]]="","",Table111[[#This Row],[Qty]]*Table111[[#This Row],[Unit Price]]+Table111[[#This Row],[Delivery Cost]])</f>
        <v/>
      </c>
      <c r="T318" s="72"/>
      <c r="U318" s="65"/>
      <c r="V318" s="72"/>
      <c r="W318" s="65"/>
      <c r="X318" s="63" t="str">
        <f t="shared" si="12"/>
        <v/>
      </c>
      <c r="Y318" s="63" t="str">
        <f t="shared" si="13"/>
        <v/>
      </c>
      <c r="Z318" s="63" t="str">
        <f t="shared" si="14"/>
        <v/>
      </c>
      <c r="AA318" s="63" t="str">
        <f>TEXT(Table111[[#This Row],[YEAR]],"0000")&amp;"-"&amp;Table111[[#This Row],[MONTH]]</f>
        <v>-</v>
      </c>
    </row>
    <row r="319" spans="2:27" x14ac:dyDescent="0.3">
      <c r="B319" s="68"/>
      <c r="C319" s="68"/>
      <c r="D319" s="68"/>
      <c r="E319" s="71"/>
      <c r="F319" s="72"/>
      <c r="G319" s="72"/>
      <c r="H319" s="74"/>
      <c r="I319" s="70"/>
      <c r="J319" s="70"/>
      <c r="K319" s="70"/>
      <c r="L319" s="74"/>
      <c r="M319" s="123"/>
      <c r="N319" s="73"/>
      <c r="O319" s="236"/>
      <c r="P319" s="117"/>
      <c r="Q319" s="117"/>
      <c r="R319" s="156" t="str">
        <f>IF(Table111[[#This Row],[Qty]]="","",Table111[[#This Row],[Qty]]*Table111[[#This Row],[Unit Price]])</f>
        <v/>
      </c>
      <c r="S319" s="156" t="str">
        <f>IF(Table111[[#This Row],[Qty]]="","",Table111[[#This Row],[Qty]]*Table111[[#This Row],[Unit Price]]+Table111[[#This Row],[Delivery Cost]])</f>
        <v/>
      </c>
      <c r="T319" s="72"/>
      <c r="U319" s="65"/>
      <c r="V319" s="72"/>
      <c r="W319" s="219"/>
      <c r="X319" s="63" t="str">
        <f t="shared" si="12"/>
        <v/>
      </c>
      <c r="Y319" s="63" t="str">
        <f t="shared" si="13"/>
        <v/>
      </c>
      <c r="Z319" s="63" t="str">
        <f t="shared" si="14"/>
        <v/>
      </c>
      <c r="AA319" s="63" t="str">
        <f>TEXT(Table111[[#This Row],[YEAR]],"0000")&amp;"-"&amp;Table111[[#This Row],[MONTH]]</f>
        <v>-</v>
      </c>
    </row>
    <row r="320" spans="2:27" x14ac:dyDescent="0.3">
      <c r="B320" s="183"/>
      <c r="C320" s="183"/>
      <c r="D320" s="183"/>
      <c r="E320" s="71"/>
      <c r="F320" s="72"/>
      <c r="G320" s="72"/>
      <c r="H320" s="74"/>
      <c r="I320" s="70"/>
      <c r="J320" s="70"/>
      <c r="K320" s="70"/>
      <c r="L320" s="74"/>
      <c r="M320" s="123"/>
      <c r="N320" s="73"/>
      <c r="O320" s="236"/>
      <c r="P320" s="117"/>
      <c r="Q320" s="117"/>
      <c r="R320" s="156" t="str">
        <f>IF(Table111[[#This Row],[Qty]]="","",Table111[[#This Row],[Qty]]*Table111[[#This Row],[Unit Price]])</f>
        <v/>
      </c>
      <c r="S320" s="156" t="str">
        <f>IF(Table111[[#This Row],[Qty]]="","",Table111[[#This Row],[Qty]]*Table111[[#This Row],[Unit Price]]+Table111[[#This Row],[Delivery Cost]])</f>
        <v/>
      </c>
      <c r="T320" s="72"/>
      <c r="U320" s="65"/>
      <c r="V320" s="72"/>
      <c r="W320" s="65"/>
      <c r="X320" s="63" t="str">
        <f t="shared" si="12"/>
        <v/>
      </c>
      <c r="Y320" s="63" t="str">
        <f t="shared" si="13"/>
        <v/>
      </c>
      <c r="Z320" s="63" t="str">
        <f t="shared" si="14"/>
        <v/>
      </c>
      <c r="AA320" s="63" t="str">
        <f>TEXT(Table111[[#This Row],[YEAR]],"0000")&amp;"-"&amp;Table111[[#This Row],[MONTH]]</f>
        <v>-</v>
      </c>
    </row>
    <row r="321" spans="2:27" x14ac:dyDescent="0.3">
      <c r="B321" s="68"/>
      <c r="C321" s="68"/>
      <c r="D321" s="68"/>
      <c r="E321" s="71"/>
      <c r="F321" s="72"/>
      <c r="G321" s="72"/>
      <c r="H321" s="74"/>
      <c r="I321" s="70"/>
      <c r="J321" s="70"/>
      <c r="K321" s="70"/>
      <c r="L321" s="74"/>
      <c r="M321" s="123"/>
      <c r="N321" s="73"/>
      <c r="O321" s="236"/>
      <c r="P321" s="117"/>
      <c r="Q321" s="117"/>
      <c r="R321" s="156" t="str">
        <f>IF(Table111[[#This Row],[Qty]]="","",Table111[[#This Row],[Qty]]*Table111[[#This Row],[Unit Price]])</f>
        <v/>
      </c>
      <c r="S321" s="156" t="str">
        <f>IF(Table111[[#This Row],[Qty]]="","",Table111[[#This Row],[Qty]]*Table111[[#This Row],[Unit Price]]+Table111[[#This Row],[Delivery Cost]])</f>
        <v/>
      </c>
      <c r="T321" s="72"/>
      <c r="U321" s="65"/>
      <c r="V321" s="72"/>
      <c r="W321" s="219"/>
      <c r="X321" s="63" t="str">
        <f t="shared" si="12"/>
        <v/>
      </c>
      <c r="Y321" s="63" t="str">
        <f t="shared" si="13"/>
        <v/>
      </c>
      <c r="Z321" s="63" t="str">
        <f t="shared" si="14"/>
        <v/>
      </c>
      <c r="AA321" s="63" t="str">
        <f>TEXT(Table111[[#This Row],[YEAR]],"0000")&amp;"-"&amp;Table111[[#This Row],[MONTH]]</f>
        <v>-</v>
      </c>
    </row>
    <row r="322" spans="2:27" x14ac:dyDescent="0.3">
      <c r="B322" s="183"/>
      <c r="C322" s="183"/>
      <c r="D322" s="183"/>
      <c r="E322" s="71"/>
      <c r="F322" s="72"/>
      <c r="G322" s="72"/>
      <c r="H322" s="74"/>
      <c r="I322" s="70"/>
      <c r="J322" s="70"/>
      <c r="K322" s="70"/>
      <c r="L322" s="74"/>
      <c r="M322" s="123"/>
      <c r="N322" s="73"/>
      <c r="O322" s="236"/>
      <c r="P322" s="117"/>
      <c r="Q322" s="117"/>
      <c r="R322" s="156" t="str">
        <f>IF(Table111[[#This Row],[Qty]]="","",Table111[[#This Row],[Qty]]*Table111[[#This Row],[Unit Price]])</f>
        <v/>
      </c>
      <c r="S322" s="156" t="str">
        <f>IF(Table111[[#This Row],[Qty]]="","",Table111[[#This Row],[Qty]]*Table111[[#This Row],[Unit Price]]+Table111[[#This Row],[Delivery Cost]])</f>
        <v/>
      </c>
      <c r="T322" s="72"/>
      <c r="U322" s="65"/>
      <c r="V322" s="72"/>
      <c r="W322" s="65"/>
      <c r="X322" s="63" t="str">
        <f t="shared" si="12"/>
        <v/>
      </c>
      <c r="Y322" s="63" t="str">
        <f t="shared" si="13"/>
        <v/>
      </c>
      <c r="Z322" s="63" t="str">
        <f t="shared" si="14"/>
        <v/>
      </c>
      <c r="AA322" s="63" t="str">
        <f>TEXT(Table111[[#This Row],[YEAR]],"0000")&amp;"-"&amp;Table111[[#This Row],[MONTH]]</f>
        <v>-</v>
      </c>
    </row>
    <row r="323" spans="2:27" x14ac:dyDescent="0.3">
      <c r="B323" s="68"/>
      <c r="C323" s="68"/>
      <c r="D323" s="68"/>
      <c r="E323" s="71"/>
      <c r="F323" s="72"/>
      <c r="G323" s="72"/>
      <c r="H323" s="74"/>
      <c r="I323" s="70"/>
      <c r="J323" s="70"/>
      <c r="K323" s="70"/>
      <c r="L323" s="74"/>
      <c r="M323" s="123"/>
      <c r="N323" s="73"/>
      <c r="O323" s="236"/>
      <c r="P323" s="117"/>
      <c r="Q323" s="117"/>
      <c r="R323" s="156" t="str">
        <f>IF(Table111[[#This Row],[Qty]]="","",Table111[[#This Row],[Qty]]*Table111[[#This Row],[Unit Price]])</f>
        <v/>
      </c>
      <c r="S323" s="156" t="str">
        <f>IF(Table111[[#This Row],[Qty]]="","",Table111[[#This Row],[Qty]]*Table111[[#This Row],[Unit Price]]+Table111[[#This Row],[Delivery Cost]])</f>
        <v/>
      </c>
      <c r="T323" s="72"/>
      <c r="U323" s="65"/>
      <c r="V323" s="72"/>
      <c r="W323" s="219"/>
      <c r="X323" s="63" t="str">
        <f t="shared" ref="X323:X386" si="15">IF(E323=0,"",YEAR(E323))</f>
        <v/>
      </c>
      <c r="Y323" s="63" t="str">
        <f t="shared" ref="Y323:Y386" si="16">IF(E323=0,"",MONTH(E323))</f>
        <v/>
      </c>
      <c r="Z323" s="63" t="str">
        <f t="shared" ref="Z323:Z386" si="17">IF(E323=0,"",WEEKNUM(E323))</f>
        <v/>
      </c>
      <c r="AA323" s="63" t="str">
        <f>TEXT(Table111[[#This Row],[YEAR]],"0000")&amp;"-"&amp;Table111[[#This Row],[MONTH]]</f>
        <v>-</v>
      </c>
    </row>
    <row r="324" spans="2:27" x14ac:dyDescent="0.3">
      <c r="B324" s="183"/>
      <c r="C324" s="183"/>
      <c r="D324" s="183"/>
      <c r="E324" s="71"/>
      <c r="F324" s="72"/>
      <c r="G324" s="72"/>
      <c r="H324" s="74"/>
      <c r="I324" s="70"/>
      <c r="J324" s="70"/>
      <c r="K324" s="70"/>
      <c r="L324" s="74"/>
      <c r="M324" s="123"/>
      <c r="N324" s="73"/>
      <c r="O324" s="236"/>
      <c r="P324" s="117"/>
      <c r="Q324" s="117"/>
      <c r="R324" s="156" t="str">
        <f>IF(Table111[[#This Row],[Qty]]="","",Table111[[#This Row],[Qty]]*Table111[[#This Row],[Unit Price]])</f>
        <v/>
      </c>
      <c r="S324" s="156" t="str">
        <f>IF(Table111[[#This Row],[Qty]]="","",Table111[[#This Row],[Qty]]*Table111[[#This Row],[Unit Price]]+Table111[[#This Row],[Delivery Cost]])</f>
        <v/>
      </c>
      <c r="T324" s="72"/>
      <c r="U324" s="65"/>
      <c r="V324" s="72"/>
      <c r="W324" s="65"/>
      <c r="X324" s="63" t="str">
        <f t="shared" si="15"/>
        <v/>
      </c>
      <c r="Y324" s="63" t="str">
        <f t="shared" si="16"/>
        <v/>
      </c>
      <c r="Z324" s="63" t="str">
        <f t="shared" si="17"/>
        <v/>
      </c>
      <c r="AA324" s="63" t="str">
        <f>TEXT(Table111[[#This Row],[YEAR]],"0000")&amp;"-"&amp;Table111[[#This Row],[MONTH]]</f>
        <v>-</v>
      </c>
    </row>
    <row r="325" spans="2:27" x14ac:dyDescent="0.3">
      <c r="B325" s="68"/>
      <c r="C325" s="68"/>
      <c r="D325" s="68"/>
      <c r="E325" s="128"/>
      <c r="F325" s="72"/>
      <c r="G325" s="129"/>
      <c r="H325" s="137"/>
      <c r="I325" s="130"/>
      <c r="J325" s="130"/>
      <c r="K325" s="130"/>
      <c r="L325" s="74"/>
      <c r="M325" s="131"/>
      <c r="N325" s="132"/>
      <c r="O325" s="238"/>
      <c r="P325" s="134"/>
      <c r="Q325" s="134"/>
      <c r="R325" s="156" t="str">
        <f>IF(Table111[[#This Row],[Qty]]="","",Table111[[#This Row],[Qty]]*Table111[[#This Row],[Unit Price]])</f>
        <v/>
      </c>
      <c r="S325" s="156" t="str">
        <f>IF(Table111[[#This Row],[Qty]]="","",Table111[[#This Row],[Qty]]*Table111[[#This Row],[Unit Price]]+Table111[[#This Row],[Delivery Cost]])</f>
        <v/>
      </c>
      <c r="T325" s="72"/>
      <c r="U325" s="65"/>
      <c r="V325" s="72"/>
      <c r="W325" s="219"/>
      <c r="X325" s="127" t="str">
        <f t="shared" si="15"/>
        <v/>
      </c>
      <c r="Y325" s="127" t="str">
        <f t="shared" si="16"/>
        <v/>
      </c>
      <c r="Z325" s="127" t="str">
        <f t="shared" si="17"/>
        <v/>
      </c>
      <c r="AA325" s="63" t="str">
        <f>TEXT(Table111[[#This Row],[YEAR]],"0000")&amp;"-"&amp;Table111[[#This Row],[MONTH]]</f>
        <v>-</v>
      </c>
    </row>
    <row r="326" spans="2:27" x14ac:dyDescent="0.3">
      <c r="B326" s="183"/>
      <c r="C326" s="183"/>
      <c r="D326" s="183"/>
      <c r="E326" s="201"/>
      <c r="F326" s="72"/>
      <c r="G326" s="194"/>
      <c r="H326" s="202"/>
      <c r="I326" s="202"/>
      <c r="J326" s="202"/>
      <c r="K326" s="202"/>
      <c r="L326" s="74"/>
      <c r="M326" s="203"/>
      <c r="N326" s="202"/>
      <c r="O326" s="242"/>
      <c r="P326" s="204"/>
      <c r="Q326" s="204"/>
      <c r="R326" s="156" t="str">
        <f>IF(Table111[[#This Row],[Qty]]="","",Table111[[#This Row],[Qty]]*Table111[[#This Row],[Unit Price]])</f>
        <v/>
      </c>
      <c r="S326" s="156" t="str">
        <f>IF(Table111[[#This Row],[Qty]]="","",Table111[[#This Row],[Qty]]*Table111[[#This Row],[Unit Price]]+Table111[[#This Row],[Delivery Cost]])</f>
        <v/>
      </c>
      <c r="T326" s="67"/>
      <c r="U326" s="65"/>
      <c r="V326" s="72"/>
      <c r="W326" s="65"/>
      <c r="X326" s="127" t="str">
        <f t="shared" si="15"/>
        <v/>
      </c>
      <c r="Y326" s="127" t="str">
        <f t="shared" si="16"/>
        <v/>
      </c>
      <c r="Z326" s="127" t="str">
        <f t="shared" si="17"/>
        <v/>
      </c>
      <c r="AA326" s="63" t="str">
        <f>TEXT(Table111[[#This Row],[YEAR]],"0000")&amp;"-"&amp;Table111[[#This Row],[MONTH]]</f>
        <v>-</v>
      </c>
    </row>
    <row r="327" spans="2:27" x14ac:dyDescent="0.3">
      <c r="B327" s="68"/>
      <c r="C327" s="68"/>
      <c r="D327" s="68"/>
      <c r="E327" s="64"/>
      <c r="F327" s="72"/>
      <c r="G327" s="65"/>
      <c r="H327" s="66"/>
      <c r="I327" s="68"/>
      <c r="J327" s="68"/>
      <c r="K327" s="68"/>
      <c r="L327" s="74"/>
      <c r="M327" s="120"/>
      <c r="N327" s="66"/>
      <c r="O327" s="241"/>
      <c r="P327" s="114"/>
      <c r="Q327" s="114"/>
      <c r="R327" s="156" t="str">
        <f>IF(Table111[[#This Row],[Qty]]="","",Table111[[#This Row],[Qty]]*Table111[[#This Row],[Unit Price]])</f>
        <v/>
      </c>
      <c r="S327" s="156" t="str">
        <f>IF(Table111[[#This Row],[Qty]]="","",Table111[[#This Row],[Qty]]*Table111[[#This Row],[Unit Price]]+Table111[[#This Row],[Delivery Cost]])</f>
        <v/>
      </c>
      <c r="T327" s="67"/>
      <c r="U327" s="65"/>
      <c r="V327" s="65"/>
      <c r="W327" s="219"/>
      <c r="X327" s="63" t="str">
        <f t="shared" si="15"/>
        <v/>
      </c>
      <c r="Y327" s="63" t="str">
        <f t="shared" si="16"/>
        <v/>
      </c>
      <c r="Z327" s="63" t="str">
        <f t="shared" si="17"/>
        <v/>
      </c>
      <c r="AA327" s="63" t="str">
        <f>TEXT(Table111[[#This Row],[YEAR]],"0000")&amp;"-"&amp;Table111[[#This Row],[MONTH]]</f>
        <v>-</v>
      </c>
    </row>
    <row r="328" spans="2:27" x14ac:dyDescent="0.3">
      <c r="B328" s="183"/>
      <c r="C328" s="183"/>
      <c r="D328" s="183"/>
      <c r="E328" s="71"/>
      <c r="F328" s="72"/>
      <c r="G328" s="72"/>
      <c r="H328" s="74"/>
      <c r="I328" s="70"/>
      <c r="J328" s="70"/>
      <c r="K328" s="70"/>
      <c r="L328" s="74"/>
      <c r="M328" s="123"/>
      <c r="N328" s="73"/>
      <c r="O328" s="236"/>
      <c r="P328" s="117"/>
      <c r="Q328" s="117"/>
      <c r="R328" s="156" t="str">
        <f>IF(Table111[[#This Row],[Qty]]="","",Table111[[#This Row],[Qty]]*Table111[[#This Row],[Unit Price]])</f>
        <v/>
      </c>
      <c r="S328" s="156" t="str">
        <f>IF(Table111[[#This Row],[Qty]]="","",Table111[[#This Row],[Qty]]*Table111[[#This Row],[Unit Price]]+Table111[[#This Row],[Delivery Cost]])</f>
        <v/>
      </c>
      <c r="T328" s="72"/>
      <c r="U328" s="72"/>
      <c r="V328" s="72"/>
      <c r="W328" s="65"/>
      <c r="X328" s="63" t="str">
        <f t="shared" si="15"/>
        <v/>
      </c>
      <c r="Y328" s="63" t="str">
        <f t="shared" si="16"/>
        <v/>
      </c>
      <c r="Z328" s="63" t="str">
        <f t="shared" si="17"/>
        <v/>
      </c>
      <c r="AA328" s="63" t="str">
        <f>TEXT(Table111[[#This Row],[YEAR]],"0000")&amp;"-"&amp;Table111[[#This Row],[MONTH]]</f>
        <v>-</v>
      </c>
    </row>
    <row r="329" spans="2:27" x14ac:dyDescent="0.3">
      <c r="B329" s="183"/>
      <c r="C329" s="183"/>
      <c r="D329" s="183"/>
      <c r="E329" s="71"/>
      <c r="F329" s="65"/>
      <c r="G329" s="72"/>
      <c r="H329" s="74"/>
      <c r="I329" s="74"/>
      <c r="J329" s="74"/>
      <c r="K329" s="74"/>
      <c r="L329" s="74"/>
      <c r="M329" s="121"/>
      <c r="N329" s="73"/>
      <c r="O329" s="237"/>
      <c r="P329" s="113"/>
      <c r="Q329" s="113"/>
      <c r="R329" s="156" t="str">
        <f>IF(Table111[[#This Row],[Qty]]="","",Table111[[#This Row],[Qty]]*Table111[[#This Row],[Unit Price]])</f>
        <v/>
      </c>
      <c r="S329" s="156" t="str">
        <f>IF(Table111[[#This Row],[Qty]]="","",Table111[[#This Row],[Qty]]*Table111[[#This Row],[Unit Price]]+Table111[[#This Row],[Delivery Cost]])</f>
        <v/>
      </c>
      <c r="T329" s="67"/>
      <c r="U329" s="65"/>
      <c r="V329" s="72"/>
      <c r="W329" s="16"/>
      <c r="X329" s="63" t="str">
        <f t="shared" si="15"/>
        <v/>
      </c>
      <c r="Y329" s="63" t="str">
        <f t="shared" si="16"/>
        <v/>
      </c>
      <c r="Z329" s="63" t="str">
        <f t="shared" si="17"/>
        <v/>
      </c>
      <c r="AA329" s="63" t="str">
        <f>TEXT(Table111[[#This Row],[YEAR]],"0000")&amp;"-"&amp;Table111[[#This Row],[MONTH]]</f>
        <v>-</v>
      </c>
    </row>
    <row r="330" spans="2:27" x14ac:dyDescent="0.3">
      <c r="B330" s="68"/>
      <c r="C330" s="68"/>
      <c r="D330" s="68"/>
      <c r="E330" s="128"/>
      <c r="F330" s="72"/>
      <c r="G330" s="129"/>
      <c r="H330" s="137"/>
      <c r="I330" s="130"/>
      <c r="J330" s="130"/>
      <c r="K330" s="130"/>
      <c r="L330" s="74"/>
      <c r="M330" s="131"/>
      <c r="N330" s="132"/>
      <c r="O330" s="238"/>
      <c r="P330" s="134"/>
      <c r="Q330" s="134"/>
      <c r="R330" s="156" t="str">
        <f>IF(Table111[[#This Row],[Qty]]="","",Table111[[#This Row],[Qty]]*Table111[[#This Row],[Unit Price]])</f>
        <v/>
      </c>
      <c r="S330" s="156" t="str">
        <f>IF(Table111[[#This Row],[Qty]]="","",Table111[[#This Row],[Qty]]*Table111[[#This Row],[Unit Price]]+Table111[[#This Row],[Delivery Cost]])</f>
        <v/>
      </c>
      <c r="T330" s="72"/>
      <c r="U330" s="72"/>
      <c r="V330" s="72"/>
      <c r="W330" s="220"/>
      <c r="X330" s="127" t="str">
        <f t="shared" si="15"/>
        <v/>
      </c>
      <c r="Y330" s="127" t="str">
        <f t="shared" si="16"/>
        <v/>
      </c>
      <c r="Z330" s="127" t="str">
        <f t="shared" si="17"/>
        <v/>
      </c>
      <c r="AA330" s="63" t="str">
        <f>TEXT(Table111[[#This Row],[YEAR]],"0000")&amp;"-"&amp;Table111[[#This Row],[MONTH]]</f>
        <v>-</v>
      </c>
    </row>
    <row r="331" spans="2:27" x14ac:dyDescent="0.3">
      <c r="B331" s="183"/>
      <c r="C331" s="183"/>
      <c r="D331" s="183"/>
      <c r="E331" s="128"/>
      <c r="F331" s="72"/>
      <c r="G331" s="72"/>
      <c r="H331" s="74"/>
      <c r="I331" s="70"/>
      <c r="J331" s="70"/>
      <c r="K331" s="70"/>
      <c r="L331" s="74"/>
      <c r="M331" s="123"/>
      <c r="N331" s="73"/>
      <c r="O331" s="236"/>
      <c r="P331" s="117"/>
      <c r="Q331" s="134"/>
      <c r="R331" s="156" t="str">
        <f>IF(Table111[[#This Row],[Qty]]="","",Table111[[#This Row],[Qty]]*Table111[[#This Row],[Unit Price]])</f>
        <v/>
      </c>
      <c r="S331" s="156" t="str">
        <f>IF(Table111[[#This Row],[Qty]]="","",Table111[[#This Row],[Qty]]*Table111[[#This Row],[Unit Price]]+Table111[[#This Row],[Delivery Cost]])</f>
        <v/>
      </c>
      <c r="T331" s="72"/>
      <c r="U331" s="72"/>
      <c r="V331" s="72"/>
      <c r="W331" s="16"/>
      <c r="X331" s="63" t="str">
        <f t="shared" si="15"/>
        <v/>
      </c>
      <c r="Y331" s="63" t="str">
        <f t="shared" si="16"/>
        <v/>
      </c>
      <c r="Z331" s="63" t="str">
        <f t="shared" si="17"/>
        <v/>
      </c>
      <c r="AA331" s="63" t="str">
        <f>TEXT(Table111[[#This Row],[YEAR]],"0000")&amp;"-"&amp;Table111[[#This Row],[MONTH]]</f>
        <v>-</v>
      </c>
    </row>
    <row r="332" spans="2:27" x14ac:dyDescent="0.3">
      <c r="B332" s="68"/>
      <c r="C332" s="68"/>
      <c r="D332" s="68"/>
      <c r="E332" s="71"/>
      <c r="F332" s="72"/>
      <c r="G332" s="72"/>
      <c r="H332" s="74"/>
      <c r="I332" s="70"/>
      <c r="J332" s="70"/>
      <c r="K332" s="70"/>
      <c r="L332" s="74"/>
      <c r="M332" s="123"/>
      <c r="N332" s="73"/>
      <c r="O332" s="236"/>
      <c r="P332" s="117"/>
      <c r="Q332" s="117"/>
      <c r="R332" s="156" t="str">
        <f>IF(Table111[[#This Row],[Qty]]="","",Table111[[#This Row],[Qty]]*Table111[[#This Row],[Unit Price]])</f>
        <v/>
      </c>
      <c r="S332" s="156" t="str">
        <f>IF(Table111[[#This Row],[Qty]]="","",Table111[[#This Row],[Qty]]*Table111[[#This Row],[Unit Price]]+Table111[[#This Row],[Delivery Cost]])</f>
        <v/>
      </c>
      <c r="T332" s="72"/>
      <c r="U332" s="72"/>
      <c r="V332" s="72"/>
      <c r="W332" s="220"/>
      <c r="X332" s="63" t="str">
        <f t="shared" si="15"/>
        <v/>
      </c>
      <c r="Y332" s="63" t="str">
        <f t="shared" si="16"/>
        <v/>
      </c>
      <c r="Z332" s="63" t="str">
        <f t="shared" si="17"/>
        <v/>
      </c>
      <c r="AA332" s="63" t="str">
        <f>TEXT(Table111[[#This Row],[YEAR]],"0000")&amp;"-"&amp;Table111[[#This Row],[MONTH]]</f>
        <v>-</v>
      </c>
    </row>
    <row r="333" spans="2:27" x14ac:dyDescent="0.3">
      <c r="B333" s="183"/>
      <c r="C333" s="183"/>
      <c r="D333" s="183"/>
      <c r="E333" s="71"/>
      <c r="F333" s="72"/>
      <c r="G333" s="72"/>
      <c r="H333" s="74"/>
      <c r="I333" s="70"/>
      <c r="J333" s="70"/>
      <c r="K333" s="70"/>
      <c r="L333" s="74"/>
      <c r="M333" s="123"/>
      <c r="N333" s="73"/>
      <c r="O333" s="236"/>
      <c r="P333" s="117"/>
      <c r="Q333" s="117"/>
      <c r="R333" s="156" t="str">
        <f>IF(Table111[[#This Row],[Qty]]="","",Table111[[#This Row],[Qty]]*Table111[[#This Row],[Unit Price]])</f>
        <v/>
      </c>
      <c r="S333" s="156" t="str">
        <f>IF(Table111[[#This Row],[Qty]]="","",Table111[[#This Row],[Qty]]*Table111[[#This Row],[Unit Price]]+Table111[[#This Row],[Delivery Cost]])</f>
        <v/>
      </c>
      <c r="T333" s="72"/>
      <c r="U333" s="72"/>
      <c r="V333" s="72"/>
      <c r="W333" s="16"/>
      <c r="X333" s="63" t="str">
        <f t="shared" si="15"/>
        <v/>
      </c>
      <c r="Y333" s="63" t="str">
        <f t="shared" si="16"/>
        <v/>
      </c>
      <c r="Z333" s="63" t="str">
        <f t="shared" si="17"/>
        <v/>
      </c>
      <c r="AA333" s="63" t="str">
        <f>TEXT(Table111[[#This Row],[YEAR]],"0000")&amp;"-"&amp;Table111[[#This Row],[MONTH]]</f>
        <v>-</v>
      </c>
    </row>
    <row r="334" spans="2:27" x14ac:dyDescent="0.3">
      <c r="B334" s="68"/>
      <c r="C334" s="68"/>
      <c r="D334" s="68"/>
      <c r="E334" s="71"/>
      <c r="F334" s="72"/>
      <c r="G334" s="72"/>
      <c r="H334" s="74"/>
      <c r="I334" s="70"/>
      <c r="J334" s="70"/>
      <c r="K334" s="70"/>
      <c r="L334" s="74"/>
      <c r="M334" s="123"/>
      <c r="N334" s="73"/>
      <c r="O334" s="236"/>
      <c r="P334" s="117"/>
      <c r="Q334" s="117"/>
      <c r="R334" s="156" t="str">
        <f>IF(Table111[[#This Row],[Qty]]="","",Table111[[#This Row],[Qty]]*Table111[[#This Row],[Unit Price]])</f>
        <v/>
      </c>
      <c r="S334" s="156" t="str">
        <f>IF(Table111[[#This Row],[Qty]]="","",Table111[[#This Row],[Qty]]*Table111[[#This Row],[Unit Price]]+Table111[[#This Row],[Delivery Cost]])</f>
        <v/>
      </c>
      <c r="T334" s="72"/>
      <c r="U334" s="72"/>
      <c r="V334" s="72"/>
      <c r="W334" s="220"/>
      <c r="X334" s="63" t="str">
        <f t="shared" si="15"/>
        <v/>
      </c>
      <c r="Y334" s="63" t="str">
        <f t="shared" si="16"/>
        <v/>
      </c>
      <c r="Z334" s="63" t="str">
        <f t="shared" si="17"/>
        <v/>
      </c>
      <c r="AA334" s="63" t="str">
        <f>TEXT(Table111[[#This Row],[YEAR]],"0000")&amp;"-"&amp;Table111[[#This Row],[MONTH]]</f>
        <v>-</v>
      </c>
    </row>
    <row r="335" spans="2:27" x14ac:dyDescent="0.3">
      <c r="B335" s="183"/>
      <c r="C335" s="183"/>
      <c r="D335" s="183"/>
      <c r="E335" s="71"/>
      <c r="F335" s="72"/>
      <c r="G335" s="72"/>
      <c r="H335" s="74"/>
      <c r="I335" s="70"/>
      <c r="J335" s="70"/>
      <c r="K335" s="70"/>
      <c r="L335" s="74"/>
      <c r="M335" s="123"/>
      <c r="N335" s="73"/>
      <c r="O335" s="236"/>
      <c r="P335" s="117"/>
      <c r="Q335" s="117"/>
      <c r="R335" s="156" t="str">
        <f>IF(Table111[[#This Row],[Qty]]="","",Table111[[#This Row],[Qty]]*Table111[[#This Row],[Unit Price]])</f>
        <v/>
      </c>
      <c r="S335" s="156" t="str">
        <f>IF(Table111[[#This Row],[Qty]]="","",Table111[[#This Row],[Qty]]*Table111[[#This Row],[Unit Price]]+Table111[[#This Row],[Delivery Cost]])</f>
        <v/>
      </c>
      <c r="T335" s="72"/>
      <c r="U335" s="72"/>
      <c r="V335" s="72"/>
      <c r="W335" s="16"/>
      <c r="X335" s="63" t="str">
        <f t="shared" si="15"/>
        <v/>
      </c>
      <c r="Y335" s="63" t="str">
        <f t="shared" si="16"/>
        <v/>
      </c>
      <c r="Z335" s="63" t="str">
        <f t="shared" si="17"/>
        <v/>
      </c>
      <c r="AA335" s="63" t="str">
        <f>TEXT(Table111[[#This Row],[YEAR]],"0000")&amp;"-"&amp;Table111[[#This Row],[MONTH]]</f>
        <v>-</v>
      </c>
    </row>
    <row r="336" spans="2:27" x14ac:dyDescent="0.3">
      <c r="B336" s="68"/>
      <c r="C336" s="68"/>
      <c r="D336" s="68"/>
      <c r="E336" s="71"/>
      <c r="F336" s="72"/>
      <c r="G336" s="72"/>
      <c r="H336" s="74"/>
      <c r="I336" s="70"/>
      <c r="J336" s="70"/>
      <c r="K336" s="70"/>
      <c r="L336" s="74"/>
      <c r="M336" s="123"/>
      <c r="N336" s="73"/>
      <c r="O336" s="236"/>
      <c r="P336" s="117"/>
      <c r="Q336" s="117"/>
      <c r="R336" s="156" t="str">
        <f>IF(Table111[[#This Row],[Qty]]="","",Table111[[#This Row],[Qty]]*Table111[[#This Row],[Unit Price]])</f>
        <v/>
      </c>
      <c r="S336" s="156" t="str">
        <f>IF(Table111[[#This Row],[Qty]]="","",Table111[[#This Row],[Qty]]*Table111[[#This Row],[Unit Price]]+Table111[[#This Row],[Delivery Cost]])</f>
        <v/>
      </c>
      <c r="T336" s="72"/>
      <c r="U336" s="72"/>
      <c r="V336" s="72"/>
      <c r="W336" s="220"/>
      <c r="X336" s="63" t="str">
        <f t="shared" si="15"/>
        <v/>
      </c>
      <c r="Y336" s="63" t="str">
        <f t="shared" si="16"/>
        <v/>
      </c>
      <c r="Z336" s="63" t="str">
        <f t="shared" si="17"/>
        <v/>
      </c>
      <c r="AA336" s="63" t="str">
        <f>TEXT(Table111[[#This Row],[YEAR]],"0000")&amp;"-"&amp;Table111[[#This Row],[MONTH]]</f>
        <v>-</v>
      </c>
    </row>
    <row r="337" spans="2:27" x14ac:dyDescent="0.3">
      <c r="B337" s="183"/>
      <c r="C337" s="183"/>
      <c r="D337" s="183"/>
      <c r="E337" s="71"/>
      <c r="F337" s="72"/>
      <c r="G337" s="72"/>
      <c r="H337" s="74"/>
      <c r="I337" s="70"/>
      <c r="J337" s="70"/>
      <c r="K337" s="70"/>
      <c r="L337" s="74"/>
      <c r="M337" s="123"/>
      <c r="N337" s="73"/>
      <c r="O337" s="236"/>
      <c r="P337" s="117"/>
      <c r="Q337" s="117"/>
      <c r="R337" s="156" t="str">
        <f>IF(Table111[[#This Row],[Qty]]="","",Table111[[#This Row],[Qty]]*Table111[[#This Row],[Unit Price]])</f>
        <v/>
      </c>
      <c r="S337" s="156" t="str">
        <f>IF(Table111[[#This Row],[Qty]]="","",Table111[[#This Row],[Qty]]*Table111[[#This Row],[Unit Price]]+Table111[[#This Row],[Delivery Cost]])</f>
        <v/>
      </c>
      <c r="T337" s="72"/>
      <c r="U337" s="72"/>
      <c r="V337" s="72"/>
      <c r="W337" s="16"/>
      <c r="X337" s="63" t="str">
        <f t="shared" si="15"/>
        <v/>
      </c>
      <c r="Y337" s="63" t="str">
        <f t="shared" si="16"/>
        <v/>
      </c>
      <c r="Z337" s="63" t="str">
        <f t="shared" si="17"/>
        <v/>
      </c>
      <c r="AA337" s="63" t="str">
        <f>TEXT(Table111[[#This Row],[YEAR]],"0000")&amp;"-"&amp;Table111[[#This Row],[MONTH]]</f>
        <v>-</v>
      </c>
    </row>
    <row r="338" spans="2:27" x14ac:dyDescent="0.3">
      <c r="B338" s="68"/>
      <c r="C338" s="68"/>
      <c r="D338" s="68"/>
      <c r="E338" s="71"/>
      <c r="F338" s="72"/>
      <c r="G338" s="72"/>
      <c r="H338" s="74"/>
      <c r="I338" s="70"/>
      <c r="J338" s="70"/>
      <c r="K338" s="70"/>
      <c r="L338" s="74"/>
      <c r="M338" s="123"/>
      <c r="N338" s="73"/>
      <c r="O338" s="236"/>
      <c r="P338" s="117"/>
      <c r="Q338" s="117"/>
      <c r="R338" s="156" t="str">
        <f>IF(Table111[[#This Row],[Qty]]="","",Table111[[#This Row],[Qty]]*Table111[[#This Row],[Unit Price]])</f>
        <v/>
      </c>
      <c r="S338" s="156" t="str">
        <f>IF(Table111[[#This Row],[Qty]]="","",Table111[[#This Row],[Qty]]*Table111[[#This Row],[Unit Price]]+Table111[[#This Row],[Delivery Cost]])</f>
        <v/>
      </c>
      <c r="T338" s="72"/>
      <c r="U338" s="72"/>
      <c r="V338" s="72"/>
      <c r="W338" s="220"/>
      <c r="X338" s="63" t="str">
        <f t="shared" si="15"/>
        <v/>
      </c>
      <c r="Y338" s="63" t="str">
        <f t="shared" si="16"/>
        <v/>
      </c>
      <c r="Z338" s="63" t="str">
        <f t="shared" si="17"/>
        <v/>
      </c>
      <c r="AA338" s="63" t="str">
        <f>TEXT(Table111[[#This Row],[YEAR]],"0000")&amp;"-"&amp;Table111[[#This Row],[MONTH]]</f>
        <v>-</v>
      </c>
    </row>
    <row r="339" spans="2:27" x14ac:dyDescent="0.3">
      <c r="B339" s="183"/>
      <c r="C339" s="183"/>
      <c r="D339" s="183"/>
      <c r="E339" s="71"/>
      <c r="F339" s="72"/>
      <c r="G339" s="72"/>
      <c r="H339" s="74"/>
      <c r="I339" s="70"/>
      <c r="J339" s="70"/>
      <c r="K339" s="70"/>
      <c r="L339" s="74"/>
      <c r="M339" s="123"/>
      <c r="N339" s="73"/>
      <c r="O339" s="236"/>
      <c r="P339" s="117"/>
      <c r="Q339" s="117"/>
      <c r="R339" s="156" t="str">
        <f>IF(Table111[[#This Row],[Qty]]="","",Table111[[#This Row],[Qty]]*Table111[[#This Row],[Unit Price]])</f>
        <v/>
      </c>
      <c r="S339" s="156" t="str">
        <f>IF(Table111[[#This Row],[Qty]]="","",Table111[[#This Row],[Qty]]*Table111[[#This Row],[Unit Price]]+Table111[[#This Row],[Delivery Cost]])</f>
        <v/>
      </c>
      <c r="T339" s="72"/>
      <c r="U339" s="72"/>
      <c r="V339" s="72"/>
      <c r="W339" s="16"/>
      <c r="X339" s="63" t="str">
        <f t="shared" si="15"/>
        <v/>
      </c>
      <c r="Y339" s="63" t="str">
        <f t="shared" si="16"/>
        <v/>
      </c>
      <c r="Z339" s="63" t="str">
        <f t="shared" si="17"/>
        <v/>
      </c>
      <c r="AA339" s="63" t="str">
        <f>TEXT(Table111[[#This Row],[YEAR]],"0000")&amp;"-"&amp;Table111[[#This Row],[MONTH]]</f>
        <v>-</v>
      </c>
    </row>
    <row r="340" spans="2:27" x14ac:dyDescent="0.3">
      <c r="B340" s="68"/>
      <c r="C340" s="68"/>
      <c r="D340" s="68"/>
      <c r="E340" s="71"/>
      <c r="F340" s="72"/>
      <c r="G340" s="72"/>
      <c r="H340" s="74"/>
      <c r="I340" s="70"/>
      <c r="J340" s="70"/>
      <c r="K340" s="70"/>
      <c r="L340" s="74"/>
      <c r="M340" s="123"/>
      <c r="N340" s="73"/>
      <c r="O340" s="236"/>
      <c r="P340" s="117"/>
      <c r="Q340" s="117"/>
      <c r="R340" s="156" t="str">
        <f>IF(Table111[[#This Row],[Qty]]="","",Table111[[#This Row],[Qty]]*Table111[[#This Row],[Unit Price]])</f>
        <v/>
      </c>
      <c r="S340" s="156" t="str">
        <f>IF(Table111[[#This Row],[Qty]]="","",Table111[[#This Row],[Qty]]*Table111[[#This Row],[Unit Price]]+Table111[[#This Row],[Delivery Cost]])</f>
        <v/>
      </c>
      <c r="T340" s="72"/>
      <c r="U340" s="72"/>
      <c r="V340" s="72"/>
      <c r="W340" s="220"/>
      <c r="X340" s="63" t="str">
        <f t="shared" si="15"/>
        <v/>
      </c>
      <c r="Y340" s="63" t="str">
        <f t="shared" si="16"/>
        <v/>
      </c>
      <c r="Z340" s="63" t="str">
        <f t="shared" si="17"/>
        <v/>
      </c>
      <c r="AA340" s="63" t="str">
        <f>TEXT(Table111[[#This Row],[YEAR]],"0000")&amp;"-"&amp;Table111[[#This Row],[MONTH]]</f>
        <v>-</v>
      </c>
    </row>
    <row r="341" spans="2:27" x14ac:dyDescent="0.3">
      <c r="B341" s="183"/>
      <c r="C341" s="183"/>
      <c r="D341" s="183"/>
      <c r="E341" s="71"/>
      <c r="F341" s="72"/>
      <c r="G341" s="72"/>
      <c r="H341" s="74"/>
      <c r="I341" s="70"/>
      <c r="J341" s="70"/>
      <c r="K341" s="70"/>
      <c r="L341" s="74"/>
      <c r="M341" s="123"/>
      <c r="N341" s="73"/>
      <c r="O341" s="236"/>
      <c r="P341" s="117"/>
      <c r="Q341" s="117"/>
      <c r="R341" s="156" t="str">
        <f>IF(Table111[[#This Row],[Qty]]="","",Table111[[#This Row],[Qty]]*Table111[[#This Row],[Unit Price]])</f>
        <v/>
      </c>
      <c r="S341" s="156" t="str">
        <f>IF(Table111[[#This Row],[Qty]]="","",Table111[[#This Row],[Qty]]*Table111[[#This Row],[Unit Price]]+Table111[[#This Row],[Delivery Cost]])</f>
        <v/>
      </c>
      <c r="T341" s="72"/>
      <c r="U341" s="72"/>
      <c r="V341" s="72"/>
      <c r="W341" s="16"/>
      <c r="X341" s="63" t="str">
        <f t="shared" si="15"/>
        <v/>
      </c>
      <c r="Y341" s="63" t="str">
        <f t="shared" si="16"/>
        <v/>
      </c>
      <c r="Z341" s="63" t="str">
        <f t="shared" si="17"/>
        <v/>
      </c>
      <c r="AA341" s="63" t="str">
        <f>TEXT(Table111[[#This Row],[YEAR]],"0000")&amp;"-"&amp;Table111[[#This Row],[MONTH]]</f>
        <v>-</v>
      </c>
    </row>
    <row r="342" spans="2:27" x14ac:dyDescent="0.3">
      <c r="B342" s="68"/>
      <c r="C342" s="68"/>
      <c r="D342" s="68"/>
      <c r="E342" s="71"/>
      <c r="F342" s="72"/>
      <c r="G342" s="72"/>
      <c r="H342" s="74"/>
      <c r="I342" s="70"/>
      <c r="J342" s="70"/>
      <c r="K342" s="70"/>
      <c r="L342" s="74"/>
      <c r="M342" s="123"/>
      <c r="N342" s="73"/>
      <c r="O342" s="236"/>
      <c r="P342" s="117"/>
      <c r="Q342" s="117"/>
      <c r="R342" s="156" t="str">
        <f>IF(Table111[[#This Row],[Qty]]="","",Table111[[#This Row],[Qty]]*Table111[[#This Row],[Unit Price]])</f>
        <v/>
      </c>
      <c r="S342" s="156" t="str">
        <f>IF(Table111[[#This Row],[Qty]]="","",Table111[[#This Row],[Qty]]*Table111[[#This Row],[Unit Price]]+Table111[[#This Row],[Delivery Cost]])</f>
        <v/>
      </c>
      <c r="T342" s="72"/>
      <c r="U342" s="72"/>
      <c r="V342" s="72"/>
      <c r="W342" s="220"/>
      <c r="X342" s="63" t="str">
        <f t="shared" si="15"/>
        <v/>
      </c>
      <c r="Y342" s="63" t="str">
        <f t="shared" si="16"/>
        <v/>
      </c>
      <c r="Z342" s="63" t="str">
        <f t="shared" si="17"/>
        <v/>
      </c>
      <c r="AA342" s="63" t="str">
        <f>TEXT(Table111[[#This Row],[YEAR]],"0000")&amp;"-"&amp;Table111[[#This Row],[MONTH]]</f>
        <v>-</v>
      </c>
    </row>
    <row r="343" spans="2:27" x14ac:dyDescent="0.3">
      <c r="B343" s="183"/>
      <c r="C343" s="183"/>
      <c r="D343" s="183"/>
      <c r="E343" s="71"/>
      <c r="F343" s="72"/>
      <c r="G343" s="72"/>
      <c r="H343" s="74"/>
      <c r="I343" s="70"/>
      <c r="J343" s="70"/>
      <c r="K343" s="70"/>
      <c r="L343" s="74"/>
      <c r="M343" s="123"/>
      <c r="N343" s="73"/>
      <c r="O343" s="236"/>
      <c r="P343" s="117"/>
      <c r="Q343" s="117"/>
      <c r="R343" s="156" t="str">
        <f>IF(Table111[[#This Row],[Qty]]="","",Table111[[#This Row],[Qty]]*Table111[[#This Row],[Unit Price]])</f>
        <v/>
      </c>
      <c r="S343" s="156" t="str">
        <f>IF(Table111[[#This Row],[Qty]]="","",Table111[[#This Row],[Qty]]*Table111[[#This Row],[Unit Price]]+Table111[[#This Row],[Delivery Cost]])</f>
        <v/>
      </c>
      <c r="T343" s="72"/>
      <c r="U343" s="72"/>
      <c r="V343" s="72"/>
      <c r="W343" s="16"/>
      <c r="X343" s="63" t="str">
        <f t="shared" si="15"/>
        <v/>
      </c>
      <c r="Y343" s="63" t="str">
        <f t="shared" si="16"/>
        <v/>
      </c>
      <c r="Z343" s="63" t="str">
        <f t="shared" si="17"/>
        <v/>
      </c>
      <c r="AA343" s="63" t="str">
        <f>TEXT(Table111[[#This Row],[YEAR]],"0000")&amp;"-"&amp;Table111[[#This Row],[MONTH]]</f>
        <v>-</v>
      </c>
    </row>
    <row r="344" spans="2:27" x14ac:dyDescent="0.3">
      <c r="B344" s="68"/>
      <c r="C344" s="68"/>
      <c r="D344" s="68"/>
      <c r="E344" s="71"/>
      <c r="F344" s="72"/>
      <c r="G344" s="72"/>
      <c r="H344" s="74"/>
      <c r="I344" s="70"/>
      <c r="J344" s="70"/>
      <c r="K344" s="70"/>
      <c r="L344" s="74"/>
      <c r="M344" s="123"/>
      <c r="N344" s="73"/>
      <c r="O344" s="236"/>
      <c r="P344" s="117"/>
      <c r="Q344" s="117"/>
      <c r="R344" s="156" t="str">
        <f>IF(Table111[[#This Row],[Qty]]="","",Table111[[#This Row],[Qty]]*Table111[[#This Row],[Unit Price]])</f>
        <v/>
      </c>
      <c r="S344" s="156" t="str">
        <f>IF(Table111[[#This Row],[Qty]]="","",Table111[[#This Row],[Qty]]*Table111[[#This Row],[Unit Price]]+Table111[[#This Row],[Delivery Cost]])</f>
        <v/>
      </c>
      <c r="T344" s="72"/>
      <c r="U344" s="72"/>
      <c r="V344" s="72"/>
      <c r="W344" s="220"/>
      <c r="X344" s="63" t="str">
        <f t="shared" si="15"/>
        <v/>
      </c>
      <c r="Y344" s="63" t="str">
        <f t="shared" si="16"/>
        <v/>
      </c>
      <c r="Z344" s="63" t="str">
        <f t="shared" si="17"/>
        <v/>
      </c>
      <c r="AA344" s="63" t="str">
        <f>TEXT(Table111[[#This Row],[YEAR]],"0000")&amp;"-"&amp;Table111[[#This Row],[MONTH]]</f>
        <v>-</v>
      </c>
    </row>
    <row r="345" spans="2:27" x14ac:dyDescent="0.3">
      <c r="B345" s="183"/>
      <c r="C345" s="183"/>
      <c r="D345" s="183"/>
      <c r="E345" s="71"/>
      <c r="F345" s="72"/>
      <c r="G345" s="72"/>
      <c r="H345" s="74"/>
      <c r="I345" s="70"/>
      <c r="J345" s="70"/>
      <c r="K345" s="70"/>
      <c r="L345" s="74"/>
      <c r="M345" s="123"/>
      <c r="N345" s="73"/>
      <c r="O345" s="236"/>
      <c r="P345" s="117"/>
      <c r="Q345" s="117"/>
      <c r="R345" s="156" t="str">
        <f>IF(Table111[[#This Row],[Qty]]="","",Table111[[#This Row],[Qty]]*Table111[[#This Row],[Unit Price]])</f>
        <v/>
      </c>
      <c r="S345" s="156" t="str">
        <f>IF(Table111[[#This Row],[Qty]]="","",Table111[[#This Row],[Qty]]*Table111[[#This Row],[Unit Price]]+Table111[[#This Row],[Delivery Cost]])</f>
        <v/>
      </c>
      <c r="T345" s="72"/>
      <c r="U345" s="72"/>
      <c r="V345" s="72"/>
      <c r="W345" s="16"/>
      <c r="X345" s="63" t="str">
        <f t="shared" si="15"/>
        <v/>
      </c>
      <c r="Y345" s="63" t="str">
        <f t="shared" si="16"/>
        <v/>
      </c>
      <c r="Z345" s="63" t="str">
        <f t="shared" si="17"/>
        <v/>
      </c>
      <c r="AA345" s="63" t="str">
        <f>TEXT(Table111[[#This Row],[YEAR]],"0000")&amp;"-"&amp;Table111[[#This Row],[MONTH]]</f>
        <v>-</v>
      </c>
    </row>
    <row r="346" spans="2:27" x14ac:dyDescent="0.3">
      <c r="B346" s="68"/>
      <c r="C346" s="68"/>
      <c r="D346" s="68"/>
      <c r="E346" s="71"/>
      <c r="F346" s="72"/>
      <c r="G346" s="72"/>
      <c r="H346" s="74"/>
      <c r="I346" s="70"/>
      <c r="J346" s="70"/>
      <c r="K346" s="70"/>
      <c r="L346" s="74"/>
      <c r="M346" s="123"/>
      <c r="N346" s="73"/>
      <c r="O346" s="236"/>
      <c r="P346" s="117"/>
      <c r="Q346" s="117"/>
      <c r="R346" s="156" t="str">
        <f>IF(Table111[[#This Row],[Qty]]="","",Table111[[#This Row],[Qty]]*Table111[[#This Row],[Unit Price]])</f>
        <v/>
      </c>
      <c r="S346" s="156" t="str">
        <f>IF(Table111[[#This Row],[Qty]]="","",Table111[[#This Row],[Qty]]*Table111[[#This Row],[Unit Price]]+Table111[[#This Row],[Delivery Cost]])</f>
        <v/>
      </c>
      <c r="T346" s="72"/>
      <c r="U346" s="72"/>
      <c r="V346" s="72"/>
      <c r="W346" s="220"/>
      <c r="X346" s="63" t="str">
        <f t="shared" si="15"/>
        <v/>
      </c>
      <c r="Y346" s="63" t="str">
        <f t="shared" si="16"/>
        <v/>
      </c>
      <c r="Z346" s="63" t="str">
        <f t="shared" si="17"/>
        <v/>
      </c>
      <c r="AA346" s="63" t="str">
        <f>TEXT(Table111[[#This Row],[YEAR]],"0000")&amp;"-"&amp;Table111[[#This Row],[MONTH]]</f>
        <v>-</v>
      </c>
    </row>
    <row r="347" spans="2:27" x14ac:dyDescent="0.3">
      <c r="B347" s="68"/>
      <c r="C347" s="68"/>
      <c r="D347" s="68"/>
      <c r="E347" s="71"/>
      <c r="F347" s="65"/>
      <c r="G347" s="72"/>
      <c r="H347" s="74"/>
      <c r="I347" s="74"/>
      <c r="J347" s="74"/>
      <c r="K347" s="74"/>
      <c r="L347" s="74"/>
      <c r="M347" s="121"/>
      <c r="N347" s="73"/>
      <c r="O347" s="237"/>
      <c r="P347" s="113"/>
      <c r="Q347" s="113"/>
      <c r="R347" s="156" t="str">
        <f>IF(Table111[[#This Row],[Qty]]="","",Table111[[#This Row],[Qty]]*Table111[[#This Row],[Unit Price]])</f>
        <v/>
      </c>
      <c r="S347" s="156" t="str">
        <f>IF(Table111[[#This Row],[Qty]]="","",Table111[[#This Row],[Qty]]*Table111[[#This Row],[Unit Price]]+Table111[[#This Row],[Delivery Cost]])</f>
        <v/>
      </c>
      <c r="T347" s="67"/>
      <c r="U347" s="65"/>
      <c r="V347" s="72"/>
      <c r="W347" s="219"/>
      <c r="X347" s="63" t="str">
        <f t="shared" si="15"/>
        <v/>
      </c>
      <c r="Y347" s="63" t="str">
        <f t="shared" si="16"/>
        <v/>
      </c>
      <c r="Z347" s="63" t="str">
        <f t="shared" si="17"/>
        <v/>
      </c>
      <c r="AA347" s="63" t="str">
        <f>TEXT(Table111[[#This Row],[YEAR]],"0000")&amp;"-"&amp;Table111[[#This Row],[MONTH]]</f>
        <v>-</v>
      </c>
    </row>
    <row r="348" spans="2:27" x14ac:dyDescent="0.3">
      <c r="B348" s="183"/>
      <c r="C348" s="183"/>
      <c r="D348" s="183"/>
      <c r="E348" s="71"/>
      <c r="F348" s="65"/>
      <c r="G348" s="72"/>
      <c r="H348" s="74"/>
      <c r="I348" s="74"/>
      <c r="J348" s="74"/>
      <c r="K348" s="74"/>
      <c r="L348" s="74"/>
      <c r="M348" s="121"/>
      <c r="N348" s="73"/>
      <c r="O348" s="237"/>
      <c r="P348" s="113"/>
      <c r="Q348" s="113"/>
      <c r="R348" s="156" t="str">
        <f>IF(Table111[[#This Row],[Qty]]="","",Table111[[#This Row],[Qty]]*Table111[[#This Row],[Unit Price]])</f>
        <v/>
      </c>
      <c r="S348" s="156" t="str">
        <f>IF(Table111[[#This Row],[Qty]]="","",Table111[[#This Row],[Qty]]*Table111[[#This Row],[Unit Price]]+Table111[[#This Row],[Delivery Cost]])</f>
        <v/>
      </c>
      <c r="T348" s="67"/>
      <c r="U348" s="65"/>
      <c r="V348" s="72"/>
      <c r="W348" s="65"/>
      <c r="X348" s="63" t="str">
        <f t="shared" si="15"/>
        <v/>
      </c>
      <c r="Y348" s="63" t="str">
        <f t="shared" si="16"/>
        <v/>
      </c>
      <c r="Z348" s="63" t="str">
        <f t="shared" si="17"/>
        <v/>
      </c>
      <c r="AA348" s="63" t="str">
        <f>TEXT(Table111[[#This Row],[YEAR]],"0000")&amp;"-"&amp;Table111[[#This Row],[MONTH]]</f>
        <v>-</v>
      </c>
    </row>
    <row r="349" spans="2:27" x14ac:dyDescent="0.3">
      <c r="B349" s="183"/>
      <c r="C349" s="183"/>
      <c r="D349" s="183"/>
      <c r="E349" s="71"/>
      <c r="F349" s="72"/>
      <c r="G349" s="72"/>
      <c r="H349" s="74"/>
      <c r="I349" s="70"/>
      <c r="J349" s="70"/>
      <c r="K349" s="70"/>
      <c r="L349" s="74"/>
      <c r="M349" s="123"/>
      <c r="N349" s="73"/>
      <c r="O349" s="236"/>
      <c r="P349" s="117"/>
      <c r="Q349" s="117"/>
      <c r="R349" s="156" t="str">
        <f>IF(Table111[[#This Row],[Qty]]="","",Table111[[#This Row],[Qty]]*Table111[[#This Row],[Unit Price]])</f>
        <v/>
      </c>
      <c r="S349" s="156" t="str">
        <f>IF(Table111[[#This Row],[Qty]]="","",Table111[[#This Row],[Qty]]*Table111[[#This Row],[Unit Price]]+Table111[[#This Row],[Delivery Cost]])</f>
        <v/>
      </c>
      <c r="T349" s="72"/>
      <c r="U349" s="65"/>
      <c r="V349" s="72"/>
      <c r="W349" s="16"/>
      <c r="X349" s="63" t="str">
        <f t="shared" si="15"/>
        <v/>
      </c>
      <c r="Y349" s="63" t="str">
        <f t="shared" si="16"/>
        <v/>
      </c>
      <c r="Z349" s="63" t="str">
        <f t="shared" si="17"/>
        <v/>
      </c>
      <c r="AA349" s="63" t="str">
        <f>TEXT(Table111[[#This Row],[YEAR]],"0000")&amp;"-"&amp;Table111[[#This Row],[MONTH]]</f>
        <v>-</v>
      </c>
    </row>
    <row r="350" spans="2:27" x14ac:dyDescent="0.3">
      <c r="B350" s="68"/>
      <c r="C350" s="68"/>
      <c r="D350" s="68"/>
      <c r="E350" s="71"/>
      <c r="F350" s="72"/>
      <c r="G350" s="72"/>
      <c r="H350" s="74"/>
      <c r="I350" s="70"/>
      <c r="J350" s="70"/>
      <c r="K350" s="70"/>
      <c r="L350" s="74"/>
      <c r="M350" s="123"/>
      <c r="N350" s="73"/>
      <c r="O350" s="236"/>
      <c r="P350" s="117"/>
      <c r="Q350" s="117"/>
      <c r="R350" s="156" t="str">
        <f>IF(Table111[[#This Row],[Qty]]="","",Table111[[#This Row],[Qty]]*Table111[[#This Row],[Unit Price]])</f>
        <v/>
      </c>
      <c r="S350" s="156" t="str">
        <f>IF(Table111[[#This Row],[Qty]]="","",Table111[[#This Row],[Qty]]*Table111[[#This Row],[Unit Price]]+Table111[[#This Row],[Delivery Cost]])</f>
        <v/>
      </c>
      <c r="T350" s="72"/>
      <c r="U350" s="65"/>
      <c r="V350" s="72"/>
      <c r="W350" s="220"/>
      <c r="X350" s="63" t="str">
        <f t="shared" si="15"/>
        <v/>
      </c>
      <c r="Y350" s="63" t="str">
        <f t="shared" si="16"/>
        <v/>
      </c>
      <c r="Z350" s="63" t="str">
        <f t="shared" si="17"/>
        <v/>
      </c>
      <c r="AA350" s="63" t="str">
        <f>TEXT(Table111[[#This Row],[YEAR]],"0000")&amp;"-"&amp;Table111[[#This Row],[MONTH]]</f>
        <v>-</v>
      </c>
    </row>
    <row r="351" spans="2:27" x14ac:dyDescent="0.3">
      <c r="B351" s="183"/>
      <c r="C351" s="183"/>
      <c r="D351" s="183"/>
      <c r="E351" s="71"/>
      <c r="F351" s="72"/>
      <c r="G351" s="72"/>
      <c r="H351" s="74"/>
      <c r="I351" s="70"/>
      <c r="J351" s="70"/>
      <c r="K351" s="70"/>
      <c r="L351" s="74"/>
      <c r="M351" s="123"/>
      <c r="N351" s="73"/>
      <c r="O351" s="236"/>
      <c r="P351" s="117"/>
      <c r="Q351" s="117"/>
      <c r="R351" s="156" t="str">
        <f>IF(Table111[[#This Row],[Qty]]="","",Table111[[#This Row],[Qty]]*Table111[[#This Row],[Unit Price]])</f>
        <v/>
      </c>
      <c r="S351" s="156" t="str">
        <f>IF(Table111[[#This Row],[Qty]]="","",Table111[[#This Row],[Qty]]*Table111[[#This Row],[Unit Price]]+Table111[[#This Row],[Delivery Cost]])</f>
        <v/>
      </c>
      <c r="T351" s="72"/>
      <c r="U351" s="65"/>
      <c r="V351" s="72"/>
      <c r="W351" s="16"/>
      <c r="X351" s="63" t="str">
        <f t="shared" si="15"/>
        <v/>
      </c>
      <c r="Y351" s="63" t="str">
        <f t="shared" si="16"/>
        <v/>
      </c>
      <c r="Z351" s="63" t="str">
        <f t="shared" si="17"/>
        <v/>
      </c>
      <c r="AA351" s="63" t="str">
        <f>TEXT(Table111[[#This Row],[YEAR]],"0000")&amp;"-"&amp;Table111[[#This Row],[MONTH]]</f>
        <v>-</v>
      </c>
    </row>
    <row r="352" spans="2:27" x14ac:dyDescent="0.3">
      <c r="B352" s="68"/>
      <c r="C352" s="68"/>
      <c r="D352" s="68"/>
      <c r="E352" s="71"/>
      <c r="F352" s="72"/>
      <c r="G352" s="72"/>
      <c r="H352" s="74"/>
      <c r="I352" s="70"/>
      <c r="J352" s="70"/>
      <c r="K352" s="70"/>
      <c r="L352" s="74"/>
      <c r="M352" s="123"/>
      <c r="N352" s="73"/>
      <c r="O352" s="236"/>
      <c r="P352" s="117"/>
      <c r="Q352" s="117"/>
      <c r="R352" s="156" t="str">
        <f>IF(Table111[[#This Row],[Qty]]="","",Table111[[#This Row],[Qty]]*Table111[[#This Row],[Unit Price]])</f>
        <v/>
      </c>
      <c r="S352" s="156" t="str">
        <f>IF(Table111[[#This Row],[Qty]]="","",Table111[[#This Row],[Qty]]*Table111[[#This Row],[Unit Price]]+Table111[[#This Row],[Delivery Cost]])</f>
        <v/>
      </c>
      <c r="T352" s="72"/>
      <c r="U352" s="65"/>
      <c r="V352" s="72"/>
      <c r="W352" s="220"/>
      <c r="X352" s="63" t="str">
        <f t="shared" si="15"/>
        <v/>
      </c>
      <c r="Y352" s="63" t="str">
        <f t="shared" si="16"/>
        <v/>
      </c>
      <c r="Z352" s="63" t="str">
        <f t="shared" si="17"/>
        <v/>
      </c>
      <c r="AA352" s="63" t="str">
        <f>TEXT(Table111[[#This Row],[YEAR]],"0000")&amp;"-"&amp;Table111[[#This Row],[MONTH]]</f>
        <v>-</v>
      </c>
    </row>
    <row r="353" spans="2:27" x14ac:dyDescent="0.3">
      <c r="B353" s="183"/>
      <c r="C353" s="183"/>
      <c r="D353" s="183"/>
      <c r="E353" s="71"/>
      <c r="F353" s="72"/>
      <c r="G353" s="72"/>
      <c r="H353" s="74"/>
      <c r="I353" s="70"/>
      <c r="J353" s="70"/>
      <c r="K353" s="70"/>
      <c r="L353" s="74"/>
      <c r="M353" s="123"/>
      <c r="N353" s="73"/>
      <c r="O353" s="236"/>
      <c r="P353" s="117"/>
      <c r="Q353" s="117"/>
      <c r="R353" s="156" t="str">
        <f>IF(Table111[[#This Row],[Qty]]="","",Table111[[#This Row],[Qty]]*Table111[[#This Row],[Unit Price]])</f>
        <v/>
      </c>
      <c r="S353" s="156" t="str">
        <f>IF(Table111[[#This Row],[Qty]]="","",Table111[[#This Row],[Qty]]*Table111[[#This Row],[Unit Price]]+Table111[[#This Row],[Delivery Cost]])</f>
        <v/>
      </c>
      <c r="T353" s="72"/>
      <c r="U353" s="65"/>
      <c r="V353" s="72"/>
      <c r="W353" s="16"/>
      <c r="X353" s="63" t="str">
        <f t="shared" si="15"/>
        <v/>
      </c>
      <c r="Y353" s="63" t="str">
        <f t="shared" si="16"/>
        <v/>
      </c>
      <c r="Z353" s="63" t="str">
        <f t="shared" si="17"/>
        <v/>
      </c>
      <c r="AA353" s="63" t="str">
        <f>TEXT(Table111[[#This Row],[YEAR]],"0000")&amp;"-"&amp;Table111[[#This Row],[MONTH]]</f>
        <v>-</v>
      </c>
    </row>
    <row r="354" spans="2:27" x14ac:dyDescent="0.3">
      <c r="B354" s="68"/>
      <c r="C354" s="68"/>
      <c r="D354" s="68"/>
      <c r="E354" s="71"/>
      <c r="F354" s="72"/>
      <c r="G354" s="72"/>
      <c r="H354" s="74"/>
      <c r="I354" s="70"/>
      <c r="J354" s="70"/>
      <c r="K354" s="70"/>
      <c r="L354" s="74"/>
      <c r="M354" s="123"/>
      <c r="N354" s="73"/>
      <c r="O354" s="236"/>
      <c r="P354" s="117"/>
      <c r="Q354" s="117"/>
      <c r="R354" s="156" t="str">
        <f>IF(Table111[[#This Row],[Qty]]="","",Table111[[#This Row],[Qty]]*Table111[[#This Row],[Unit Price]])</f>
        <v/>
      </c>
      <c r="S354" s="156" t="str">
        <f>IF(Table111[[#This Row],[Qty]]="","",Table111[[#This Row],[Qty]]*Table111[[#This Row],[Unit Price]]+Table111[[#This Row],[Delivery Cost]])</f>
        <v/>
      </c>
      <c r="T354" s="72"/>
      <c r="U354" s="72"/>
      <c r="V354" s="72"/>
      <c r="W354" s="220"/>
      <c r="X354" s="63" t="str">
        <f t="shared" si="15"/>
        <v/>
      </c>
      <c r="Y354" s="63" t="str">
        <f t="shared" si="16"/>
        <v/>
      </c>
      <c r="Z354" s="63" t="str">
        <f t="shared" si="17"/>
        <v/>
      </c>
      <c r="AA354" s="63" t="str">
        <f>TEXT(Table111[[#This Row],[YEAR]],"0000")&amp;"-"&amp;Table111[[#This Row],[MONTH]]</f>
        <v>-</v>
      </c>
    </row>
    <row r="355" spans="2:27" x14ac:dyDescent="0.3">
      <c r="B355" s="183"/>
      <c r="C355" s="183"/>
      <c r="D355" s="183"/>
      <c r="E355" s="64"/>
      <c r="F355" s="65"/>
      <c r="G355" s="65"/>
      <c r="H355" s="66"/>
      <c r="I355" s="66"/>
      <c r="J355" s="66"/>
      <c r="K355" s="66"/>
      <c r="L355" s="74"/>
      <c r="M355" s="119"/>
      <c r="N355" s="66"/>
      <c r="O355" s="239"/>
      <c r="P355" s="113"/>
      <c r="Q355" s="113"/>
      <c r="R355" s="156" t="str">
        <f>IF(Table111[[#This Row],[Qty]]="","",Table111[[#This Row],[Qty]]*Table111[[#This Row],[Unit Price]])</f>
        <v/>
      </c>
      <c r="S355" s="156" t="str">
        <f>IF(Table111[[#This Row],[Qty]]="","",Table111[[#This Row],[Qty]]*Table111[[#This Row],[Unit Price]]+Table111[[#This Row],[Delivery Cost]])</f>
        <v/>
      </c>
      <c r="T355" s="67"/>
      <c r="U355" s="65"/>
      <c r="V355" s="72"/>
      <c r="W355" s="16"/>
      <c r="X355" s="63" t="str">
        <f t="shared" si="15"/>
        <v/>
      </c>
      <c r="Y355" s="63" t="str">
        <f t="shared" si="16"/>
        <v/>
      </c>
      <c r="Z355" s="63" t="str">
        <f t="shared" si="17"/>
        <v/>
      </c>
      <c r="AA355" s="63" t="str">
        <f>TEXT(Table111[[#This Row],[YEAR]],"0000")&amp;"-"&amp;Table111[[#This Row],[MONTH]]</f>
        <v>-</v>
      </c>
    </row>
    <row r="356" spans="2:27" x14ac:dyDescent="0.3">
      <c r="B356" s="68"/>
      <c r="C356" s="68"/>
      <c r="D356" s="68"/>
      <c r="E356" s="71"/>
      <c r="F356" s="72"/>
      <c r="G356" s="72"/>
      <c r="H356" s="74"/>
      <c r="I356" s="70"/>
      <c r="J356" s="70"/>
      <c r="K356" s="70"/>
      <c r="L356" s="74"/>
      <c r="M356" s="123"/>
      <c r="N356" s="73"/>
      <c r="O356" s="236"/>
      <c r="P356" s="117"/>
      <c r="Q356" s="117"/>
      <c r="R356" s="156" t="str">
        <f>IF(Table111[[#This Row],[Qty]]="","",Table111[[#This Row],[Qty]]*Table111[[#This Row],[Unit Price]])</f>
        <v/>
      </c>
      <c r="S356" s="156" t="str">
        <f>IF(Table111[[#This Row],[Qty]]="","",Table111[[#This Row],[Qty]]*Table111[[#This Row],[Unit Price]]+Table111[[#This Row],[Delivery Cost]])</f>
        <v/>
      </c>
      <c r="T356" s="72"/>
      <c r="U356" s="65"/>
      <c r="V356" s="72"/>
      <c r="W356" s="220"/>
      <c r="X356" s="63" t="str">
        <f t="shared" si="15"/>
        <v/>
      </c>
      <c r="Y356" s="63" t="str">
        <f t="shared" si="16"/>
        <v/>
      </c>
      <c r="Z356" s="63" t="str">
        <f t="shared" si="17"/>
        <v/>
      </c>
      <c r="AA356" s="63" t="str">
        <f>TEXT(Table111[[#This Row],[YEAR]],"0000")&amp;"-"&amp;Table111[[#This Row],[MONTH]]</f>
        <v>-</v>
      </c>
    </row>
    <row r="357" spans="2:27" x14ac:dyDescent="0.3">
      <c r="B357" s="183"/>
      <c r="C357" s="183"/>
      <c r="D357" s="183"/>
      <c r="E357" s="71"/>
      <c r="F357" s="72"/>
      <c r="G357" s="72"/>
      <c r="H357" s="74"/>
      <c r="I357" s="70"/>
      <c r="J357" s="70"/>
      <c r="K357" s="70"/>
      <c r="L357" s="74"/>
      <c r="M357" s="123"/>
      <c r="N357" s="73"/>
      <c r="O357" s="236"/>
      <c r="P357" s="117"/>
      <c r="Q357" s="117"/>
      <c r="R357" s="156" t="str">
        <f>IF(Table111[[#This Row],[Qty]]="","",Table111[[#This Row],[Qty]]*Table111[[#This Row],[Unit Price]])</f>
        <v/>
      </c>
      <c r="S357" s="156" t="str">
        <f>IF(Table111[[#This Row],[Qty]]="","",Table111[[#This Row],[Qty]]*Table111[[#This Row],[Unit Price]]+Table111[[#This Row],[Delivery Cost]])</f>
        <v/>
      </c>
      <c r="T357" s="72"/>
      <c r="U357" s="65"/>
      <c r="V357" s="72"/>
      <c r="W357" s="16"/>
      <c r="X357" s="63" t="str">
        <f t="shared" si="15"/>
        <v/>
      </c>
      <c r="Y357" s="63" t="str">
        <f t="shared" si="16"/>
        <v/>
      </c>
      <c r="Z357" s="63" t="str">
        <f t="shared" si="17"/>
        <v/>
      </c>
      <c r="AA357" s="63" t="str">
        <f>TEXT(Table111[[#This Row],[YEAR]],"0000")&amp;"-"&amp;Table111[[#This Row],[MONTH]]</f>
        <v>-</v>
      </c>
    </row>
    <row r="358" spans="2:27" x14ac:dyDescent="0.3">
      <c r="B358" s="68"/>
      <c r="C358" s="68"/>
      <c r="D358" s="68"/>
      <c r="E358" s="71"/>
      <c r="F358" s="72"/>
      <c r="G358" s="72"/>
      <c r="H358" s="74"/>
      <c r="I358" s="70"/>
      <c r="J358" s="70"/>
      <c r="K358" s="70"/>
      <c r="L358" s="74"/>
      <c r="M358" s="123"/>
      <c r="N358" s="73"/>
      <c r="O358" s="236"/>
      <c r="P358" s="117"/>
      <c r="Q358" s="117"/>
      <c r="R358" s="156" t="str">
        <f>IF(Table111[[#This Row],[Qty]]="","",Table111[[#This Row],[Qty]]*Table111[[#This Row],[Unit Price]])</f>
        <v/>
      </c>
      <c r="S358" s="156" t="str">
        <f>IF(Table111[[#This Row],[Qty]]="","",Table111[[#This Row],[Qty]]*Table111[[#This Row],[Unit Price]]+Table111[[#This Row],[Delivery Cost]])</f>
        <v/>
      </c>
      <c r="T358" s="72"/>
      <c r="U358" s="65"/>
      <c r="V358" s="72"/>
      <c r="W358" s="220"/>
      <c r="X358" s="63" t="str">
        <f t="shared" si="15"/>
        <v/>
      </c>
      <c r="Y358" s="63" t="str">
        <f t="shared" si="16"/>
        <v/>
      </c>
      <c r="Z358" s="63" t="str">
        <f t="shared" si="17"/>
        <v/>
      </c>
      <c r="AA358" s="63" t="str">
        <f>TEXT(Table111[[#This Row],[YEAR]],"0000")&amp;"-"&amp;Table111[[#This Row],[MONTH]]</f>
        <v>-</v>
      </c>
    </row>
    <row r="359" spans="2:27" x14ac:dyDescent="0.3">
      <c r="B359" s="183"/>
      <c r="C359" s="183"/>
      <c r="D359" s="183"/>
      <c r="E359" s="71"/>
      <c r="F359" s="72"/>
      <c r="G359" s="72"/>
      <c r="H359" s="74"/>
      <c r="I359" s="70"/>
      <c r="J359" s="70"/>
      <c r="K359" s="70"/>
      <c r="L359" s="74"/>
      <c r="M359" s="123"/>
      <c r="N359" s="73"/>
      <c r="O359" s="236"/>
      <c r="P359" s="117"/>
      <c r="Q359" s="117"/>
      <c r="R359" s="156" t="str">
        <f>IF(Table111[[#This Row],[Qty]]="","",Table111[[#This Row],[Qty]]*Table111[[#This Row],[Unit Price]])</f>
        <v/>
      </c>
      <c r="S359" s="156" t="str">
        <f>IF(Table111[[#This Row],[Qty]]="","",Table111[[#This Row],[Qty]]*Table111[[#This Row],[Unit Price]]+Table111[[#This Row],[Delivery Cost]])</f>
        <v/>
      </c>
      <c r="T359" s="72"/>
      <c r="U359" s="65"/>
      <c r="V359" s="72"/>
      <c r="W359" s="16"/>
      <c r="X359" s="63" t="str">
        <f t="shared" si="15"/>
        <v/>
      </c>
      <c r="Y359" s="63" t="str">
        <f t="shared" si="16"/>
        <v/>
      </c>
      <c r="Z359" s="63" t="str">
        <f t="shared" si="17"/>
        <v/>
      </c>
      <c r="AA359" s="63" t="str">
        <f>TEXT(Table111[[#This Row],[YEAR]],"0000")&amp;"-"&amp;Table111[[#This Row],[MONTH]]</f>
        <v>-</v>
      </c>
    </row>
    <row r="360" spans="2:27" x14ac:dyDescent="0.3">
      <c r="B360" s="68"/>
      <c r="C360" s="68"/>
      <c r="D360" s="68"/>
      <c r="E360" s="71"/>
      <c r="F360" s="72"/>
      <c r="G360" s="72"/>
      <c r="H360" s="74"/>
      <c r="I360" s="70"/>
      <c r="J360" s="70"/>
      <c r="K360" s="70"/>
      <c r="L360" s="74"/>
      <c r="M360" s="123"/>
      <c r="N360" s="73"/>
      <c r="O360" s="236"/>
      <c r="P360" s="117"/>
      <c r="Q360" s="117"/>
      <c r="R360" s="156" t="str">
        <f>IF(Table111[[#This Row],[Qty]]="","",Table111[[#This Row],[Qty]]*Table111[[#This Row],[Unit Price]])</f>
        <v/>
      </c>
      <c r="S360" s="156" t="str">
        <f>IF(Table111[[#This Row],[Qty]]="","",Table111[[#This Row],[Qty]]*Table111[[#This Row],[Unit Price]]+Table111[[#This Row],[Delivery Cost]])</f>
        <v/>
      </c>
      <c r="T360" s="72"/>
      <c r="U360" s="65"/>
      <c r="V360" s="72"/>
      <c r="W360" s="220"/>
      <c r="X360" s="63" t="str">
        <f t="shared" si="15"/>
        <v/>
      </c>
      <c r="Y360" s="63" t="str">
        <f t="shared" si="16"/>
        <v/>
      </c>
      <c r="Z360" s="63" t="str">
        <f t="shared" si="17"/>
        <v/>
      </c>
      <c r="AA360" s="63" t="str">
        <f>TEXT(Table111[[#This Row],[YEAR]],"0000")&amp;"-"&amp;Table111[[#This Row],[MONTH]]</f>
        <v>-</v>
      </c>
    </row>
    <row r="361" spans="2:27" x14ac:dyDescent="0.3">
      <c r="B361" s="183"/>
      <c r="C361" s="183"/>
      <c r="D361" s="183"/>
      <c r="E361" s="71"/>
      <c r="F361" s="72"/>
      <c r="G361" s="72"/>
      <c r="H361" s="74"/>
      <c r="I361" s="70"/>
      <c r="J361" s="70"/>
      <c r="K361" s="70"/>
      <c r="L361" s="74"/>
      <c r="M361" s="123"/>
      <c r="N361" s="73"/>
      <c r="O361" s="236"/>
      <c r="P361" s="117"/>
      <c r="Q361" s="117"/>
      <c r="R361" s="156" t="str">
        <f>IF(Table111[[#This Row],[Qty]]="","",Table111[[#This Row],[Qty]]*Table111[[#This Row],[Unit Price]])</f>
        <v/>
      </c>
      <c r="S361" s="156" t="str">
        <f>IF(Table111[[#This Row],[Qty]]="","",Table111[[#This Row],[Qty]]*Table111[[#This Row],[Unit Price]]+Table111[[#This Row],[Delivery Cost]])</f>
        <v/>
      </c>
      <c r="T361" s="72"/>
      <c r="U361" s="65"/>
      <c r="V361" s="72"/>
      <c r="W361" s="16"/>
      <c r="X361" s="63" t="str">
        <f t="shared" si="15"/>
        <v/>
      </c>
      <c r="Y361" s="63" t="str">
        <f t="shared" si="16"/>
        <v/>
      </c>
      <c r="Z361" s="63" t="str">
        <f t="shared" si="17"/>
        <v/>
      </c>
      <c r="AA361" s="63" t="str">
        <f>TEXT(Table111[[#This Row],[YEAR]],"0000")&amp;"-"&amp;Table111[[#This Row],[MONTH]]</f>
        <v>-</v>
      </c>
    </row>
    <row r="362" spans="2:27" x14ac:dyDescent="0.3">
      <c r="B362" s="68"/>
      <c r="C362" s="68"/>
      <c r="D362" s="68"/>
      <c r="E362" s="71"/>
      <c r="F362" s="72"/>
      <c r="G362" s="72"/>
      <c r="H362" s="74"/>
      <c r="I362" s="70"/>
      <c r="J362" s="70"/>
      <c r="K362" s="70"/>
      <c r="L362" s="74"/>
      <c r="M362" s="123"/>
      <c r="N362" s="73"/>
      <c r="O362" s="236"/>
      <c r="P362" s="117"/>
      <c r="Q362" s="117"/>
      <c r="R362" s="156" t="str">
        <f>IF(Table111[[#This Row],[Qty]]="","",Table111[[#This Row],[Qty]]*Table111[[#This Row],[Unit Price]])</f>
        <v/>
      </c>
      <c r="S362" s="156" t="str">
        <f>IF(Table111[[#This Row],[Qty]]="","",Table111[[#This Row],[Qty]]*Table111[[#This Row],[Unit Price]]+Table111[[#This Row],[Delivery Cost]])</f>
        <v/>
      </c>
      <c r="T362" s="72"/>
      <c r="U362" s="65"/>
      <c r="V362" s="72"/>
      <c r="W362" s="220"/>
      <c r="X362" s="63" t="str">
        <f t="shared" si="15"/>
        <v/>
      </c>
      <c r="Y362" s="63" t="str">
        <f t="shared" si="16"/>
        <v/>
      </c>
      <c r="Z362" s="63" t="str">
        <f t="shared" si="17"/>
        <v/>
      </c>
      <c r="AA362" s="63" t="str">
        <f>TEXT(Table111[[#This Row],[YEAR]],"0000")&amp;"-"&amp;Table111[[#This Row],[MONTH]]</f>
        <v>-</v>
      </c>
    </row>
    <row r="363" spans="2:27" x14ac:dyDescent="0.3">
      <c r="B363" s="183"/>
      <c r="C363" s="183"/>
      <c r="D363" s="183"/>
      <c r="E363" s="71"/>
      <c r="F363" s="72"/>
      <c r="G363" s="72"/>
      <c r="H363" s="74"/>
      <c r="I363" s="70"/>
      <c r="J363" s="70"/>
      <c r="K363" s="70"/>
      <c r="L363" s="74"/>
      <c r="M363" s="123"/>
      <c r="N363" s="73"/>
      <c r="O363" s="236"/>
      <c r="P363" s="117"/>
      <c r="Q363" s="117"/>
      <c r="R363" s="156" t="str">
        <f>IF(Table111[[#This Row],[Qty]]="","",Table111[[#This Row],[Qty]]*Table111[[#This Row],[Unit Price]])</f>
        <v/>
      </c>
      <c r="S363" s="156" t="str">
        <f>IF(Table111[[#This Row],[Qty]]="","",Table111[[#This Row],[Qty]]*Table111[[#This Row],[Unit Price]]+Table111[[#This Row],[Delivery Cost]])</f>
        <v/>
      </c>
      <c r="T363" s="72"/>
      <c r="U363" s="72"/>
      <c r="V363" s="72"/>
      <c r="W363" s="16"/>
      <c r="X363" s="63" t="str">
        <f t="shared" si="15"/>
        <v/>
      </c>
      <c r="Y363" s="63" t="str">
        <f t="shared" si="16"/>
        <v/>
      </c>
      <c r="Z363" s="63" t="str">
        <f t="shared" si="17"/>
        <v/>
      </c>
      <c r="AA363" s="63" t="str">
        <f>TEXT(Table111[[#This Row],[YEAR]],"0000")&amp;"-"&amp;Table111[[#This Row],[MONTH]]</f>
        <v>-</v>
      </c>
    </row>
    <row r="364" spans="2:27" x14ac:dyDescent="0.3">
      <c r="B364" s="183"/>
      <c r="C364" s="183"/>
      <c r="D364" s="183"/>
      <c r="E364" s="71"/>
      <c r="F364" s="72"/>
      <c r="G364" s="65"/>
      <c r="H364" s="69"/>
      <c r="I364" s="73"/>
      <c r="J364" s="73"/>
      <c r="K364" s="73"/>
      <c r="L364" s="74"/>
      <c r="M364" s="123"/>
      <c r="N364" s="66"/>
      <c r="O364" s="236"/>
      <c r="P364" s="117"/>
      <c r="Q364" s="117"/>
      <c r="R364" s="156" t="str">
        <f>IF(Table111[[#This Row],[Qty]]="","",Table111[[#This Row],[Qty]]*Table111[[#This Row],[Unit Price]])</f>
        <v/>
      </c>
      <c r="S364" s="156" t="str">
        <f>IF(Table111[[#This Row],[Qty]]="","",Table111[[#This Row],[Qty]]*Table111[[#This Row],[Unit Price]]+Table111[[#This Row],[Delivery Cost]])</f>
        <v/>
      </c>
      <c r="T364" s="67"/>
      <c r="U364" s="65"/>
      <c r="V364" s="72"/>
      <c r="W364" s="65"/>
      <c r="X364" s="63" t="str">
        <f t="shared" si="15"/>
        <v/>
      </c>
      <c r="Y364" s="63" t="str">
        <f t="shared" si="16"/>
        <v/>
      </c>
      <c r="Z364" s="63" t="str">
        <f t="shared" si="17"/>
        <v/>
      </c>
      <c r="AA364" s="63" t="str">
        <f>TEXT(Table111[[#This Row],[YEAR]],"0000")&amp;"-"&amp;Table111[[#This Row],[MONTH]]</f>
        <v>-</v>
      </c>
    </row>
    <row r="365" spans="2:27" x14ac:dyDescent="0.3">
      <c r="B365" s="68"/>
      <c r="C365" s="68"/>
      <c r="D365" s="68"/>
      <c r="E365" s="64"/>
      <c r="F365" s="72"/>
      <c r="G365" s="65"/>
      <c r="H365" s="66"/>
      <c r="I365" s="68"/>
      <c r="J365" s="68"/>
      <c r="K365" s="68"/>
      <c r="L365" s="74"/>
      <c r="M365" s="120"/>
      <c r="N365" s="66"/>
      <c r="O365" s="241"/>
      <c r="P365" s="114"/>
      <c r="Q365" s="114"/>
      <c r="R365" s="156" t="str">
        <f>IF(Table111[[#This Row],[Qty]]="","",Table111[[#This Row],[Qty]]*Table111[[#This Row],[Unit Price]])</f>
        <v/>
      </c>
      <c r="S365" s="156" t="str">
        <f>IF(Table111[[#This Row],[Qty]]="","",Table111[[#This Row],[Qty]]*Table111[[#This Row],[Unit Price]]+Table111[[#This Row],[Delivery Cost]])</f>
        <v/>
      </c>
      <c r="T365" s="67"/>
      <c r="U365" s="65"/>
      <c r="V365" s="65"/>
      <c r="W365" s="219"/>
      <c r="X365" s="63" t="str">
        <f t="shared" si="15"/>
        <v/>
      </c>
      <c r="Y365" s="63" t="str">
        <f t="shared" si="16"/>
        <v/>
      </c>
      <c r="Z365" s="63" t="str">
        <f t="shared" si="17"/>
        <v/>
      </c>
      <c r="AA365" s="63" t="str">
        <f>TEXT(Table111[[#This Row],[YEAR]],"0000")&amp;"-"&amp;Table111[[#This Row],[MONTH]]</f>
        <v>-</v>
      </c>
    </row>
    <row r="366" spans="2:27" x14ac:dyDescent="0.3">
      <c r="B366" s="68"/>
      <c r="C366" s="68"/>
      <c r="D366" s="68"/>
      <c r="E366" s="71"/>
      <c r="F366" s="72"/>
      <c r="G366" s="72"/>
      <c r="H366" s="74"/>
      <c r="I366" s="70"/>
      <c r="J366" s="70"/>
      <c r="K366" s="70"/>
      <c r="L366" s="74"/>
      <c r="M366" s="123"/>
      <c r="N366" s="73"/>
      <c r="O366" s="236"/>
      <c r="P366" s="113"/>
      <c r="Q366" s="113"/>
      <c r="R366" s="156" t="str">
        <f>IF(Table111[[#This Row],[Qty]]="","",Table111[[#This Row],[Qty]]*Table111[[#This Row],[Unit Price]])</f>
        <v/>
      </c>
      <c r="S366" s="156" t="str">
        <f>IF(Table111[[#This Row],[Qty]]="","",Table111[[#This Row],[Qty]]*Table111[[#This Row],[Unit Price]]+Table111[[#This Row],[Delivery Cost]])</f>
        <v/>
      </c>
      <c r="T366" s="67"/>
      <c r="U366" s="65"/>
      <c r="V366" s="72"/>
      <c r="W366" s="220"/>
      <c r="X366" s="63" t="str">
        <f t="shared" si="15"/>
        <v/>
      </c>
      <c r="Y366" s="63" t="str">
        <f t="shared" si="16"/>
        <v/>
      </c>
      <c r="Z366" s="63" t="str">
        <f t="shared" si="17"/>
        <v/>
      </c>
      <c r="AA366" s="63" t="str">
        <f>TEXT(Table111[[#This Row],[YEAR]],"0000")&amp;"-"&amp;Table111[[#This Row],[MONTH]]</f>
        <v>-</v>
      </c>
    </row>
    <row r="367" spans="2:27" x14ac:dyDescent="0.3">
      <c r="B367" s="183"/>
      <c r="C367" s="183"/>
      <c r="D367" s="183"/>
      <c r="E367" s="71"/>
      <c r="F367" s="72"/>
      <c r="G367" s="72"/>
      <c r="H367" s="74"/>
      <c r="I367" s="70"/>
      <c r="J367" s="70"/>
      <c r="K367" s="70"/>
      <c r="L367" s="74"/>
      <c r="M367" s="123"/>
      <c r="N367" s="73"/>
      <c r="O367" s="236"/>
      <c r="P367" s="113"/>
      <c r="Q367" s="113"/>
      <c r="R367" s="156" t="str">
        <f>IF(Table111[[#This Row],[Qty]]="","",Table111[[#This Row],[Qty]]*Table111[[#This Row],[Unit Price]])</f>
        <v/>
      </c>
      <c r="S367" s="156" t="str">
        <f>IF(Table111[[#This Row],[Qty]]="","",Table111[[#This Row],[Qty]]*Table111[[#This Row],[Unit Price]]+Table111[[#This Row],[Delivery Cost]])</f>
        <v/>
      </c>
      <c r="T367" s="67"/>
      <c r="U367" s="65"/>
      <c r="V367" s="72"/>
      <c r="W367" s="16"/>
      <c r="X367" s="63" t="str">
        <f t="shared" si="15"/>
        <v/>
      </c>
      <c r="Y367" s="63" t="str">
        <f t="shared" si="16"/>
        <v/>
      </c>
      <c r="Z367" s="63" t="str">
        <f t="shared" si="17"/>
        <v/>
      </c>
      <c r="AA367" s="63" t="str">
        <f>TEXT(Table111[[#This Row],[YEAR]],"0000")&amp;"-"&amp;Table111[[#This Row],[MONTH]]</f>
        <v>-</v>
      </c>
    </row>
    <row r="368" spans="2:27" x14ac:dyDescent="0.3">
      <c r="B368" s="68"/>
      <c r="C368" s="68"/>
      <c r="D368" s="68"/>
      <c r="E368" s="71"/>
      <c r="F368" s="72"/>
      <c r="G368" s="72"/>
      <c r="H368" s="74"/>
      <c r="I368" s="70"/>
      <c r="J368" s="70"/>
      <c r="K368" s="70"/>
      <c r="L368" s="74"/>
      <c r="M368" s="123"/>
      <c r="N368" s="73"/>
      <c r="O368" s="236"/>
      <c r="P368" s="113"/>
      <c r="Q368" s="113"/>
      <c r="R368" s="156" t="str">
        <f>IF(Table111[[#This Row],[Qty]]="","",Table111[[#This Row],[Qty]]*Table111[[#This Row],[Unit Price]])</f>
        <v/>
      </c>
      <c r="S368" s="156" t="str">
        <f>IF(Table111[[#This Row],[Qty]]="","",Table111[[#This Row],[Qty]]*Table111[[#This Row],[Unit Price]]+Table111[[#This Row],[Delivery Cost]])</f>
        <v/>
      </c>
      <c r="T368" s="67"/>
      <c r="U368" s="65"/>
      <c r="V368" s="72"/>
      <c r="W368" s="220"/>
      <c r="X368" s="63" t="str">
        <f t="shared" si="15"/>
        <v/>
      </c>
      <c r="Y368" s="63" t="str">
        <f t="shared" si="16"/>
        <v/>
      </c>
      <c r="Z368" s="63" t="str">
        <f t="shared" si="17"/>
        <v/>
      </c>
      <c r="AA368" s="63" t="str">
        <f>TEXT(Table111[[#This Row],[YEAR]],"0000")&amp;"-"&amp;Table111[[#This Row],[MONTH]]</f>
        <v>-</v>
      </c>
    </row>
    <row r="369" spans="2:27" x14ac:dyDescent="0.3">
      <c r="B369" s="183"/>
      <c r="C369" s="183"/>
      <c r="D369" s="183"/>
      <c r="E369" s="71"/>
      <c r="F369" s="72"/>
      <c r="G369" s="72"/>
      <c r="H369" s="74"/>
      <c r="I369" s="70"/>
      <c r="J369" s="70"/>
      <c r="K369" s="70"/>
      <c r="L369" s="74"/>
      <c r="M369" s="123"/>
      <c r="N369" s="73"/>
      <c r="O369" s="236"/>
      <c r="P369" s="113"/>
      <c r="Q369" s="113"/>
      <c r="R369" s="156" t="str">
        <f>IF(Table111[[#This Row],[Qty]]="","",Table111[[#This Row],[Qty]]*Table111[[#This Row],[Unit Price]])</f>
        <v/>
      </c>
      <c r="S369" s="156" t="str">
        <f>IF(Table111[[#This Row],[Qty]]="","",Table111[[#This Row],[Qty]]*Table111[[#This Row],[Unit Price]]+Table111[[#This Row],[Delivery Cost]])</f>
        <v/>
      </c>
      <c r="T369" s="67"/>
      <c r="U369" s="65"/>
      <c r="V369" s="72"/>
      <c r="W369" s="16"/>
      <c r="X369" s="63" t="str">
        <f t="shared" si="15"/>
        <v/>
      </c>
      <c r="Y369" s="63" t="str">
        <f t="shared" si="16"/>
        <v/>
      </c>
      <c r="Z369" s="63" t="str">
        <f t="shared" si="17"/>
        <v/>
      </c>
      <c r="AA369" s="63" t="str">
        <f>TEXT(Table111[[#This Row],[YEAR]],"0000")&amp;"-"&amp;Table111[[#This Row],[MONTH]]</f>
        <v>-</v>
      </c>
    </row>
    <row r="370" spans="2:27" x14ac:dyDescent="0.3">
      <c r="B370" s="68"/>
      <c r="C370" s="68"/>
      <c r="D370" s="68"/>
      <c r="E370" s="71"/>
      <c r="F370" s="65"/>
      <c r="G370" s="72"/>
      <c r="H370" s="74"/>
      <c r="I370" s="74"/>
      <c r="J370" s="74"/>
      <c r="K370" s="74"/>
      <c r="L370" s="74"/>
      <c r="M370" s="121"/>
      <c r="N370" s="73"/>
      <c r="O370" s="237"/>
      <c r="P370" s="113"/>
      <c r="Q370" s="113"/>
      <c r="R370" s="156" t="str">
        <f>IF(Table111[[#This Row],[Qty]]="","",Table111[[#This Row],[Qty]]*Table111[[#This Row],[Unit Price]])</f>
        <v/>
      </c>
      <c r="S370" s="156" t="str">
        <f>IF(Table111[[#This Row],[Qty]]="","",Table111[[#This Row],[Qty]]*Table111[[#This Row],[Unit Price]]+Table111[[#This Row],[Delivery Cost]])</f>
        <v/>
      </c>
      <c r="T370" s="67"/>
      <c r="U370" s="65"/>
      <c r="V370" s="72"/>
      <c r="W370" s="220"/>
      <c r="X370" s="63" t="str">
        <f t="shared" si="15"/>
        <v/>
      </c>
      <c r="Y370" s="63" t="str">
        <f t="shared" si="16"/>
        <v/>
      </c>
      <c r="Z370" s="63" t="str">
        <f t="shared" si="17"/>
        <v/>
      </c>
      <c r="AA370" s="63" t="str">
        <f>TEXT(Table111[[#This Row],[YEAR]],"0000")&amp;"-"&amp;Table111[[#This Row],[MONTH]]</f>
        <v>-</v>
      </c>
    </row>
    <row r="371" spans="2:27" x14ac:dyDescent="0.3">
      <c r="B371" s="183"/>
      <c r="C371" s="183"/>
      <c r="D371" s="183"/>
      <c r="E371" s="71"/>
      <c r="F371" s="65"/>
      <c r="G371" s="72"/>
      <c r="H371" s="74"/>
      <c r="I371" s="74"/>
      <c r="J371" s="74"/>
      <c r="K371" s="74"/>
      <c r="L371" s="74"/>
      <c r="M371" s="121"/>
      <c r="N371" s="73"/>
      <c r="O371" s="237"/>
      <c r="P371" s="113"/>
      <c r="Q371" s="113"/>
      <c r="R371" s="156" t="str">
        <f>IF(Table111[[#This Row],[Qty]]="","",Table111[[#This Row],[Qty]]*Table111[[#This Row],[Unit Price]])</f>
        <v/>
      </c>
      <c r="S371" s="156" t="str">
        <f>IF(Table111[[#This Row],[Qty]]="","",Table111[[#This Row],[Qty]]*Table111[[#This Row],[Unit Price]]+Table111[[#This Row],[Delivery Cost]])</f>
        <v/>
      </c>
      <c r="T371" s="67"/>
      <c r="U371" s="65"/>
      <c r="V371" s="72"/>
      <c r="W371" s="16"/>
      <c r="X371" s="63" t="str">
        <f t="shared" si="15"/>
        <v/>
      </c>
      <c r="Y371" s="63" t="str">
        <f t="shared" si="16"/>
        <v/>
      </c>
      <c r="Z371" s="63" t="str">
        <f t="shared" si="17"/>
        <v/>
      </c>
      <c r="AA371" s="63" t="str">
        <f>TEXT(Table111[[#This Row],[YEAR]],"0000")&amp;"-"&amp;Table111[[#This Row],[MONTH]]</f>
        <v>-</v>
      </c>
    </row>
    <row r="372" spans="2:27" x14ac:dyDescent="0.3">
      <c r="B372" s="68"/>
      <c r="C372" s="68"/>
      <c r="D372" s="68"/>
      <c r="E372" s="71"/>
      <c r="F372" s="65"/>
      <c r="G372" s="72"/>
      <c r="H372" s="74"/>
      <c r="I372" s="74"/>
      <c r="J372" s="74"/>
      <c r="K372" s="74"/>
      <c r="L372" s="74"/>
      <c r="M372" s="121"/>
      <c r="N372" s="73"/>
      <c r="O372" s="237"/>
      <c r="P372" s="113"/>
      <c r="Q372" s="113"/>
      <c r="R372" s="156" t="str">
        <f>IF(Table111[[#This Row],[Qty]]="","",Table111[[#This Row],[Qty]]*Table111[[#This Row],[Unit Price]])</f>
        <v/>
      </c>
      <c r="S372" s="156" t="str">
        <f>IF(Table111[[#This Row],[Qty]]="","",Table111[[#This Row],[Qty]]*Table111[[#This Row],[Unit Price]]+Table111[[#This Row],[Delivery Cost]])</f>
        <v/>
      </c>
      <c r="T372" s="67"/>
      <c r="U372" s="65"/>
      <c r="V372" s="72"/>
      <c r="W372" s="220"/>
      <c r="X372" s="63" t="str">
        <f t="shared" si="15"/>
        <v/>
      </c>
      <c r="Y372" s="63" t="str">
        <f t="shared" si="16"/>
        <v/>
      </c>
      <c r="Z372" s="63" t="str">
        <f t="shared" si="17"/>
        <v/>
      </c>
      <c r="AA372" s="63" t="str">
        <f>TEXT(Table111[[#This Row],[YEAR]],"0000")&amp;"-"&amp;Table111[[#This Row],[MONTH]]</f>
        <v>-</v>
      </c>
    </row>
    <row r="373" spans="2:27" x14ac:dyDescent="0.3">
      <c r="B373" s="183"/>
      <c r="C373" s="183"/>
      <c r="D373" s="183"/>
      <c r="E373" s="71"/>
      <c r="F373" s="65"/>
      <c r="G373" s="72"/>
      <c r="H373" s="74"/>
      <c r="I373" s="74"/>
      <c r="J373" s="74"/>
      <c r="K373" s="74"/>
      <c r="L373" s="74"/>
      <c r="M373" s="121"/>
      <c r="N373" s="73"/>
      <c r="O373" s="237"/>
      <c r="P373" s="113"/>
      <c r="Q373" s="113"/>
      <c r="R373" s="156" t="str">
        <f>IF(Table111[[#This Row],[Qty]]="","",Table111[[#This Row],[Qty]]*Table111[[#This Row],[Unit Price]])</f>
        <v/>
      </c>
      <c r="S373" s="156" t="str">
        <f>IF(Table111[[#This Row],[Qty]]="","",Table111[[#This Row],[Qty]]*Table111[[#This Row],[Unit Price]]+Table111[[#This Row],[Delivery Cost]])</f>
        <v/>
      </c>
      <c r="T373" s="67"/>
      <c r="U373" s="65"/>
      <c r="V373" s="72"/>
      <c r="W373" s="16"/>
      <c r="X373" s="63" t="str">
        <f t="shared" si="15"/>
        <v/>
      </c>
      <c r="Y373" s="63" t="str">
        <f t="shared" si="16"/>
        <v/>
      </c>
      <c r="Z373" s="63" t="str">
        <f t="shared" si="17"/>
        <v/>
      </c>
      <c r="AA373" s="63" t="str">
        <f>TEXT(Table111[[#This Row],[YEAR]],"0000")&amp;"-"&amp;Table111[[#This Row],[MONTH]]</f>
        <v>-</v>
      </c>
    </row>
    <row r="374" spans="2:27" x14ac:dyDescent="0.3">
      <c r="B374" s="68"/>
      <c r="C374" s="68"/>
      <c r="D374" s="68"/>
      <c r="E374" s="71"/>
      <c r="F374" s="65"/>
      <c r="G374" s="72"/>
      <c r="H374" s="74"/>
      <c r="I374" s="74"/>
      <c r="J374" s="74"/>
      <c r="K374" s="74"/>
      <c r="L374" s="74"/>
      <c r="M374" s="121"/>
      <c r="N374" s="73"/>
      <c r="O374" s="237"/>
      <c r="P374" s="113"/>
      <c r="Q374" s="113"/>
      <c r="R374" s="156" t="str">
        <f>IF(Table111[[#This Row],[Qty]]="","",Table111[[#This Row],[Qty]]*Table111[[#This Row],[Unit Price]])</f>
        <v/>
      </c>
      <c r="S374" s="156" t="str">
        <f>IF(Table111[[#This Row],[Qty]]="","",Table111[[#This Row],[Qty]]*Table111[[#This Row],[Unit Price]]+Table111[[#This Row],[Delivery Cost]])</f>
        <v/>
      </c>
      <c r="T374" s="67"/>
      <c r="U374" s="65"/>
      <c r="V374" s="72"/>
      <c r="W374" s="220"/>
      <c r="X374" s="63" t="str">
        <f t="shared" si="15"/>
        <v/>
      </c>
      <c r="Y374" s="63" t="str">
        <f t="shared" si="16"/>
        <v/>
      </c>
      <c r="Z374" s="63" t="str">
        <f t="shared" si="17"/>
        <v/>
      </c>
      <c r="AA374" s="63" t="str">
        <f>TEXT(Table111[[#This Row],[YEAR]],"0000")&amp;"-"&amp;Table111[[#This Row],[MONTH]]</f>
        <v>-</v>
      </c>
    </row>
    <row r="375" spans="2:27" x14ac:dyDescent="0.3">
      <c r="B375" s="183"/>
      <c r="C375" s="183"/>
      <c r="D375" s="183"/>
      <c r="E375" s="71"/>
      <c r="F375" s="65"/>
      <c r="G375" s="72"/>
      <c r="H375" s="74"/>
      <c r="I375" s="74"/>
      <c r="J375" s="74"/>
      <c r="K375" s="74"/>
      <c r="L375" s="74"/>
      <c r="M375" s="121"/>
      <c r="N375" s="73"/>
      <c r="O375" s="237"/>
      <c r="P375" s="113"/>
      <c r="Q375" s="113"/>
      <c r="R375" s="156" t="str">
        <f>IF(Table111[[#This Row],[Qty]]="","",Table111[[#This Row],[Qty]]*Table111[[#This Row],[Unit Price]])</f>
        <v/>
      </c>
      <c r="S375" s="156" t="str">
        <f>IF(Table111[[#This Row],[Qty]]="","",Table111[[#This Row],[Qty]]*Table111[[#This Row],[Unit Price]]+Table111[[#This Row],[Delivery Cost]])</f>
        <v/>
      </c>
      <c r="T375" s="67"/>
      <c r="U375" s="65"/>
      <c r="V375" s="72"/>
      <c r="W375" s="16"/>
      <c r="X375" s="63" t="str">
        <f t="shared" si="15"/>
        <v/>
      </c>
      <c r="Y375" s="63" t="str">
        <f t="shared" si="16"/>
        <v/>
      </c>
      <c r="Z375" s="63" t="str">
        <f t="shared" si="17"/>
        <v/>
      </c>
      <c r="AA375" s="63" t="str">
        <f>TEXT(Table111[[#This Row],[YEAR]],"0000")&amp;"-"&amp;Table111[[#This Row],[MONTH]]</f>
        <v>-</v>
      </c>
    </row>
    <row r="376" spans="2:27" x14ac:dyDescent="0.3">
      <c r="B376" s="68"/>
      <c r="C376" s="68"/>
      <c r="D376" s="68"/>
      <c r="E376" s="71"/>
      <c r="F376" s="65"/>
      <c r="G376" s="72"/>
      <c r="H376" s="74"/>
      <c r="I376" s="74"/>
      <c r="J376" s="74"/>
      <c r="K376" s="74"/>
      <c r="L376" s="74"/>
      <c r="M376" s="121"/>
      <c r="N376" s="73"/>
      <c r="O376" s="237"/>
      <c r="P376" s="113"/>
      <c r="Q376" s="113"/>
      <c r="R376" s="156" t="str">
        <f>IF(Table111[[#This Row],[Qty]]="","",Table111[[#This Row],[Qty]]*Table111[[#This Row],[Unit Price]])</f>
        <v/>
      </c>
      <c r="S376" s="156" t="str">
        <f>IF(Table111[[#This Row],[Qty]]="","",Table111[[#This Row],[Qty]]*Table111[[#This Row],[Unit Price]]+Table111[[#This Row],[Delivery Cost]])</f>
        <v/>
      </c>
      <c r="T376" s="67"/>
      <c r="U376" s="65"/>
      <c r="V376" s="72"/>
      <c r="W376" s="220"/>
      <c r="X376" s="63" t="str">
        <f t="shared" si="15"/>
        <v/>
      </c>
      <c r="Y376" s="63" t="str">
        <f t="shared" si="16"/>
        <v/>
      </c>
      <c r="Z376" s="63" t="str">
        <f t="shared" si="17"/>
        <v/>
      </c>
      <c r="AA376" s="63" t="str">
        <f>TEXT(Table111[[#This Row],[YEAR]],"0000")&amp;"-"&amp;Table111[[#This Row],[MONTH]]</f>
        <v>-</v>
      </c>
    </row>
    <row r="377" spans="2:27" x14ac:dyDescent="0.3">
      <c r="B377" s="183"/>
      <c r="C377" s="183"/>
      <c r="D377" s="183"/>
      <c r="E377" s="64"/>
      <c r="F377" s="72"/>
      <c r="G377" s="65"/>
      <c r="H377" s="66"/>
      <c r="I377" s="66"/>
      <c r="J377" s="66"/>
      <c r="K377" s="66"/>
      <c r="L377" s="74"/>
      <c r="M377" s="119"/>
      <c r="N377" s="66"/>
      <c r="O377" s="239"/>
      <c r="P377" s="113"/>
      <c r="Q377" s="113"/>
      <c r="R377" s="156" t="str">
        <f>IF(Table111[[#This Row],[Qty]]="","",Table111[[#This Row],[Qty]]*Table111[[#This Row],[Unit Price]])</f>
        <v/>
      </c>
      <c r="S377" s="156" t="str">
        <f>IF(Table111[[#This Row],[Qty]]="","",Table111[[#This Row],[Qty]]*Table111[[#This Row],[Unit Price]]+Table111[[#This Row],[Delivery Cost]])</f>
        <v/>
      </c>
      <c r="T377" s="67"/>
      <c r="U377" s="65"/>
      <c r="V377" s="72"/>
      <c r="W377" s="16"/>
      <c r="X377" s="63" t="str">
        <f t="shared" si="15"/>
        <v/>
      </c>
      <c r="Y377" s="63" t="str">
        <f t="shared" si="16"/>
        <v/>
      </c>
      <c r="Z377" s="63" t="str">
        <f t="shared" si="17"/>
        <v/>
      </c>
      <c r="AA377" s="63" t="str">
        <f>TEXT(Table111[[#This Row],[YEAR]],"0000")&amp;"-"&amp;Table111[[#This Row],[MONTH]]</f>
        <v>-</v>
      </c>
    </row>
    <row r="378" spans="2:27" x14ac:dyDescent="0.3">
      <c r="B378" s="68"/>
      <c r="C378" s="68"/>
      <c r="D378" s="68"/>
      <c r="E378" s="64"/>
      <c r="F378" s="72"/>
      <c r="G378" s="65"/>
      <c r="H378" s="66"/>
      <c r="I378" s="66"/>
      <c r="J378" s="66"/>
      <c r="K378" s="66"/>
      <c r="L378" s="74"/>
      <c r="M378" s="119"/>
      <c r="N378" s="66"/>
      <c r="O378" s="239"/>
      <c r="P378" s="113"/>
      <c r="Q378" s="113"/>
      <c r="R378" s="156" t="str">
        <f>IF(Table111[[#This Row],[Qty]]="","",Table111[[#This Row],[Qty]]*Table111[[#This Row],[Unit Price]])</f>
        <v/>
      </c>
      <c r="S378" s="156" t="str">
        <f>IF(Table111[[#This Row],[Qty]]="","",Table111[[#This Row],[Qty]]*Table111[[#This Row],[Unit Price]]+Table111[[#This Row],[Delivery Cost]])</f>
        <v/>
      </c>
      <c r="T378" s="67"/>
      <c r="U378" s="65"/>
      <c r="V378" s="72"/>
      <c r="W378" s="220"/>
      <c r="X378" s="63" t="str">
        <f t="shared" si="15"/>
        <v/>
      </c>
      <c r="Y378" s="63" t="str">
        <f t="shared" si="16"/>
        <v/>
      </c>
      <c r="Z378" s="63" t="str">
        <f t="shared" si="17"/>
        <v/>
      </c>
      <c r="AA378" s="63" t="str">
        <f>TEXT(Table111[[#This Row],[YEAR]],"0000")&amp;"-"&amp;Table111[[#This Row],[MONTH]]</f>
        <v>-</v>
      </c>
    </row>
    <row r="379" spans="2:27" x14ac:dyDescent="0.3">
      <c r="B379" s="183"/>
      <c r="C379" s="183"/>
      <c r="D379" s="183"/>
      <c r="E379" s="71"/>
      <c r="F379" s="65"/>
      <c r="G379" s="72"/>
      <c r="H379" s="74"/>
      <c r="I379" s="74"/>
      <c r="J379" s="74"/>
      <c r="K379" s="74"/>
      <c r="L379" s="74"/>
      <c r="M379" s="121"/>
      <c r="N379" s="73"/>
      <c r="O379" s="237"/>
      <c r="P379" s="113"/>
      <c r="Q379" s="113"/>
      <c r="R379" s="156" t="str">
        <f>IF(Table111[[#This Row],[Qty]]="","",Table111[[#This Row],[Qty]]*Table111[[#This Row],[Unit Price]])</f>
        <v/>
      </c>
      <c r="S379" s="156" t="str">
        <f>IF(Table111[[#This Row],[Qty]]="","",Table111[[#This Row],[Qty]]*Table111[[#This Row],[Unit Price]]+Table111[[#This Row],[Delivery Cost]])</f>
        <v/>
      </c>
      <c r="T379" s="67"/>
      <c r="U379" s="65"/>
      <c r="V379" s="72"/>
      <c r="W379" s="16"/>
      <c r="X379" s="63" t="str">
        <f t="shared" si="15"/>
        <v/>
      </c>
      <c r="Y379" s="63" t="str">
        <f t="shared" si="16"/>
        <v/>
      </c>
      <c r="Z379" s="63" t="str">
        <f t="shared" si="17"/>
        <v/>
      </c>
      <c r="AA379" s="63" t="str">
        <f>TEXT(Table111[[#This Row],[YEAR]],"0000")&amp;"-"&amp;Table111[[#This Row],[MONTH]]</f>
        <v>-</v>
      </c>
    </row>
    <row r="380" spans="2:27" x14ac:dyDescent="0.3">
      <c r="B380" s="183"/>
      <c r="C380" s="183"/>
      <c r="D380" s="183"/>
      <c r="E380" s="71"/>
      <c r="F380" s="72"/>
      <c r="G380" s="72"/>
      <c r="H380" s="74"/>
      <c r="I380" s="70"/>
      <c r="J380" s="70"/>
      <c r="K380" s="70"/>
      <c r="L380" s="74"/>
      <c r="M380" s="123"/>
      <c r="N380" s="73"/>
      <c r="O380" s="236"/>
      <c r="P380" s="117"/>
      <c r="Q380" s="117"/>
      <c r="R380" s="156" t="str">
        <f>IF(Table111[[#This Row],[Qty]]="","",Table111[[#This Row],[Qty]]*Table111[[#This Row],[Unit Price]])</f>
        <v/>
      </c>
      <c r="S380" s="156" t="str">
        <f>IF(Table111[[#This Row],[Qty]]="","",Table111[[#This Row],[Qty]]*Table111[[#This Row],[Unit Price]]+Table111[[#This Row],[Delivery Cost]])</f>
        <v/>
      </c>
      <c r="T380" s="72"/>
      <c r="U380" s="65"/>
      <c r="V380" s="72"/>
      <c r="W380" s="65"/>
      <c r="X380" s="63" t="str">
        <f t="shared" si="15"/>
        <v/>
      </c>
      <c r="Y380" s="63" t="str">
        <f t="shared" si="16"/>
        <v/>
      </c>
      <c r="Z380" s="63" t="str">
        <f t="shared" si="17"/>
        <v/>
      </c>
      <c r="AA380" s="63" t="str">
        <f>TEXT(Table111[[#This Row],[YEAR]],"0000")&amp;"-"&amp;Table111[[#This Row],[MONTH]]</f>
        <v>-</v>
      </c>
    </row>
    <row r="381" spans="2:27" x14ac:dyDescent="0.3">
      <c r="B381" s="68"/>
      <c r="C381" s="68"/>
      <c r="D381" s="68"/>
      <c r="E381" s="71"/>
      <c r="F381" s="72"/>
      <c r="G381" s="72"/>
      <c r="H381" s="74"/>
      <c r="I381" s="70"/>
      <c r="J381" s="70"/>
      <c r="K381" s="70"/>
      <c r="L381" s="74"/>
      <c r="M381" s="123"/>
      <c r="N381" s="73"/>
      <c r="O381" s="236"/>
      <c r="P381" s="117"/>
      <c r="Q381" s="117"/>
      <c r="R381" s="156" t="str">
        <f>IF(Table111[[#This Row],[Qty]]="","",Table111[[#This Row],[Qty]]*Table111[[#This Row],[Unit Price]])</f>
        <v/>
      </c>
      <c r="S381" s="156" t="str">
        <f>IF(Table111[[#This Row],[Qty]]="","",Table111[[#This Row],[Qty]]*Table111[[#This Row],[Unit Price]]+Table111[[#This Row],[Delivery Cost]])</f>
        <v/>
      </c>
      <c r="T381" s="72"/>
      <c r="U381" s="65"/>
      <c r="V381" s="72"/>
      <c r="W381" s="219"/>
      <c r="X381" s="63" t="str">
        <f t="shared" si="15"/>
        <v/>
      </c>
      <c r="Y381" s="63" t="str">
        <f t="shared" si="16"/>
        <v/>
      </c>
      <c r="Z381" s="63" t="str">
        <f t="shared" si="17"/>
        <v/>
      </c>
      <c r="AA381" s="63" t="str">
        <f>TEXT(Table111[[#This Row],[YEAR]],"0000")&amp;"-"&amp;Table111[[#This Row],[MONTH]]</f>
        <v>-</v>
      </c>
    </row>
    <row r="382" spans="2:27" x14ac:dyDescent="0.3">
      <c r="B382" s="183"/>
      <c r="C382" s="183"/>
      <c r="D382" s="183"/>
      <c r="E382" s="71"/>
      <c r="F382" s="72"/>
      <c r="G382" s="72"/>
      <c r="H382" s="74"/>
      <c r="I382" s="70"/>
      <c r="J382" s="70"/>
      <c r="K382" s="70"/>
      <c r="L382" s="74"/>
      <c r="M382" s="123"/>
      <c r="N382" s="73"/>
      <c r="O382" s="236"/>
      <c r="P382" s="117"/>
      <c r="Q382" s="117"/>
      <c r="R382" s="156" t="str">
        <f>IF(Table111[[#This Row],[Qty]]="","",Table111[[#This Row],[Qty]]*Table111[[#This Row],[Unit Price]])</f>
        <v/>
      </c>
      <c r="S382" s="156" t="str">
        <f>IF(Table111[[#This Row],[Qty]]="","",Table111[[#This Row],[Qty]]*Table111[[#This Row],[Unit Price]]+Table111[[#This Row],[Delivery Cost]])</f>
        <v/>
      </c>
      <c r="T382" s="72"/>
      <c r="U382" s="65"/>
      <c r="V382" s="72"/>
      <c r="W382" s="65"/>
      <c r="X382" s="63" t="str">
        <f t="shared" si="15"/>
        <v/>
      </c>
      <c r="Y382" s="63" t="str">
        <f t="shared" si="16"/>
        <v/>
      </c>
      <c r="Z382" s="63" t="str">
        <f t="shared" si="17"/>
        <v/>
      </c>
      <c r="AA382" s="63" t="str">
        <f>TEXT(Table111[[#This Row],[YEAR]],"0000")&amp;"-"&amp;Table111[[#This Row],[MONTH]]</f>
        <v>-</v>
      </c>
    </row>
    <row r="383" spans="2:27" x14ac:dyDescent="0.3">
      <c r="B383" s="68"/>
      <c r="C383" s="68"/>
      <c r="D383" s="68"/>
      <c r="E383" s="71"/>
      <c r="F383" s="72"/>
      <c r="G383" s="72"/>
      <c r="H383" s="74"/>
      <c r="I383" s="70"/>
      <c r="J383" s="70"/>
      <c r="K383" s="70"/>
      <c r="L383" s="74"/>
      <c r="M383" s="123"/>
      <c r="N383" s="73"/>
      <c r="O383" s="236"/>
      <c r="P383" s="117"/>
      <c r="Q383" s="117"/>
      <c r="R383" s="156" t="str">
        <f>IF(Table111[[#This Row],[Qty]]="","",Table111[[#This Row],[Qty]]*Table111[[#This Row],[Unit Price]])</f>
        <v/>
      </c>
      <c r="S383" s="156" t="str">
        <f>IF(Table111[[#This Row],[Qty]]="","",Table111[[#This Row],[Qty]]*Table111[[#This Row],[Unit Price]]+Table111[[#This Row],[Delivery Cost]])</f>
        <v/>
      </c>
      <c r="T383" s="72"/>
      <c r="U383" s="65"/>
      <c r="V383" s="72"/>
      <c r="W383" s="219"/>
      <c r="X383" s="63" t="str">
        <f t="shared" si="15"/>
        <v/>
      </c>
      <c r="Y383" s="63" t="str">
        <f t="shared" si="16"/>
        <v/>
      </c>
      <c r="Z383" s="63" t="str">
        <f t="shared" si="17"/>
        <v/>
      </c>
      <c r="AA383" s="63" t="str">
        <f>TEXT(Table111[[#This Row],[YEAR]],"0000")&amp;"-"&amp;Table111[[#This Row],[MONTH]]</f>
        <v>-</v>
      </c>
    </row>
    <row r="384" spans="2:27" x14ac:dyDescent="0.3">
      <c r="B384" s="183"/>
      <c r="C384" s="183"/>
      <c r="D384" s="183"/>
      <c r="E384" s="71"/>
      <c r="F384" s="72"/>
      <c r="G384" s="72"/>
      <c r="H384" s="74"/>
      <c r="I384" s="70"/>
      <c r="J384" s="70"/>
      <c r="K384" s="70"/>
      <c r="L384" s="74"/>
      <c r="M384" s="123"/>
      <c r="N384" s="73"/>
      <c r="O384" s="236"/>
      <c r="P384" s="117"/>
      <c r="Q384" s="117"/>
      <c r="R384" s="156" t="str">
        <f>IF(Table111[[#This Row],[Qty]]="","",Table111[[#This Row],[Qty]]*Table111[[#This Row],[Unit Price]])</f>
        <v/>
      </c>
      <c r="S384" s="156" t="str">
        <f>IF(Table111[[#This Row],[Qty]]="","",Table111[[#This Row],[Qty]]*Table111[[#This Row],[Unit Price]]+Table111[[#This Row],[Delivery Cost]])</f>
        <v/>
      </c>
      <c r="T384" s="72"/>
      <c r="U384" s="65"/>
      <c r="V384" s="72"/>
      <c r="W384" s="65"/>
      <c r="X384" s="63" t="str">
        <f t="shared" si="15"/>
        <v/>
      </c>
      <c r="Y384" s="63" t="str">
        <f t="shared" si="16"/>
        <v/>
      </c>
      <c r="Z384" s="63" t="str">
        <f t="shared" si="17"/>
        <v/>
      </c>
      <c r="AA384" s="63" t="str">
        <f>TEXT(Table111[[#This Row],[YEAR]],"0000")&amp;"-"&amp;Table111[[#This Row],[MONTH]]</f>
        <v>-</v>
      </c>
    </row>
    <row r="385" spans="2:27" x14ac:dyDescent="0.3">
      <c r="B385" s="68"/>
      <c r="C385" s="68"/>
      <c r="D385" s="68"/>
      <c r="E385" s="71"/>
      <c r="F385" s="72"/>
      <c r="G385" s="72"/>
      <c r="H385" s="74"/>
      <c r="I385" s="70"/>
      <c r="J385" s="70"/>
      <c r="K385" s="70"/>
      <c r="L385" s="74"/>
      <c r="M385" s="123"/>
      <c r="N385" s="73"/>
      <c r="O385" s="236"/>
      <c r="P385" s="117"/>
      <c r="Q385" s="117"/>
      <c r="R385" s="156" t="str">
        <f>IF(Table111[[#This Row],[Qty]]="","",Table111[[#This Row],[Qty]]*Table111[[#This Row],[Unit Price]])</f>
        <v/>
      </c>
      <c r="S385" s="156" t="str">
        <f>IF(Table111[[#This Row],[Qty]]="","",Table111[[#This Row],[Qty]]*Table111[[#This Row],[Unit Price]]+Table111[[#This Row],[Delivery Cost]])</f>
        <v/>
      </c>
      <c r="T385" s="72"/>
      <c r="U385" s="65"/>
      <c r="V385" s="72"/>
      <c r="W385" s="219"/>
      <c r="X385" s="63" t="str">
        <f t="shared" si="15"/>
        <v/>
      </c>
      <c r="Y385" s="63" t="str">
        <f t="shared" si="16"/>
        <v/>
      </c>
      <c r="Z385" s="63" t="str">
        <f t="shared" si="17"/>
        <v/>
      </c>
      <c r="AA385" s="63" t="str">
        <f>TEXT(Table111[[#This Row],[YEAR]],"0000")&amp;"-"&amp;Table111[[#This Row],[MONTH]]</f>
        <v>-</v>
      </c>
    </row>
    <row r="386" spans="2:27" x14ac:dyDescent="0.3">
      <c r="B386" s="183"/>
      <c r="C386" s="183"/>
      <c r="D386" s="183"/>
      <c r="E386" s="71"/>
      <c r="F386" s="72"/>
      <c r="G386" s="72"/>
      <c r="H386" s="74"/>
      <c r="I386" s="70"/>
      <c r="J386" s="70"/>
      <c r="K386" s="70"/>
      <c r="L386" s="74"/>
      <c r="M386" s="123"/>
      <c r="N386" s="73"/>
      <c r="O386" s="236"/>
      <c r="P386" s="117"/>
      <c r="Q386" s="117"/>
      <c r="R386" s="156" t="str">
        <f>IF(Table111[[#This Row],[Qty]]="","",Table111[[#This Row],[Qty]]*Table111[[#This Row],[Unit Price]])</f>
        <v/>
      </c>
      <c r="S386" s="156" t="str">
        <f>IF(Table111[[#This Row],[Qty]]="","",Table111[[#This Row],[Qty]]*Table111[[#This Row],[Unit Price]]+Table111[[#This Row],[Delivery Cost]])</f>
        <v/>
      </c>
      <c r="T386" s="72"/>
      <c r="U386" s="65"/>
      <c r="V386" s="72"/>
      <c r="W386" s="65"/>
      <c r="X386" s="63" t="str">
        <f t="shared" si="15"/>
        <v/>
      </c>
      <c r="Y386" s="63" t="str">
        <f t="shared" si="16"/>
        <v/>
      </c>
      <c r="Z386" s="63" t="str">
        <f t="shared" si="17"/>
        <v/>
      </c>
      <c r="AA386" s="63" t="str">
        <f>TEXT(Table111[[#This Row],[YEAR]],"0000")&amp;"-"&amp;Table111[[#This Row],[MONTH]]</f>
        <v>-</v>
      </c>
    </row>
    <row r="387" spans="2:27" x14ac:dyDescent="0.3">
      <c r="B387" s="68"/>
      <c r="C387" s="68"/>
      <c r="D387" s="68"/>
      <c r="E387" s="71"/>
      <c r="F387" s="72"/>
      <c r="G387" s="72"/>
      <c r="H387" s="74"/>
      <c r="I387" s="70"/>
      <c r="J387" s="70"/>
      <c r="K387" s="70"/>
      <c r="L387" s="74"/>
      <c r="M387" s="123"/>
      <c r="N387" s="73"/>
      <c r="O387" s="236"/>
      <c r="P387" s="117"/>
      <c r="Q387" s="117"/>
      <c r="R387" s="156" t="str">
        <f>IF(Table111[[#This Row],[Qty]]="","",Table111[[#This Row],[Qty]]*Table111[[#This Row],[Unit Price]])</f>
        <v/>
      </c>
      <c r="S387" s="156" t="str">
        <f>IF(Table111[[#This Row],[Qty]]="","",Table111[[#This Row],[Qty]]*Table111[[#This Row],[Unit Price]]+Table111[[#This Row],[Delivery Cost]])</f>
        <v/>
      </c>
      <c r="T387" s="72"/>
      <c r="U387" s="65"/>
      <c r="V387" s="72"/>
      <c r="W387" s="219"/>
      <c r="X387" s="63" t="str">
        <f t="shared" ref="X387:X450" si="18">IF(E387=0,"",YEAR(E387))</f>
        <v/>
      </c>
      <c r="Y387" s="63" t="str">
        <f t="shared" ref="Y387:Y450" si="19">IF(E387=0,"",MONTH(E387))</f>
        <v/>
      </c>
      <c r="Z387" s="63" t="str">
        <f t="shared" ref="Z387:Z450" si="20">IF(E387=0,"",WEEKNUM(E387))</f>
        <v/>
      </c>
      <c r="AA387" s="63" t="str">
        <f>TEXT(Table111[[#This Row],[YEAR]],"0000")&amp;"-"&amp;Table111[[#This Row],[MONTH]]</f>
        <v>-</v>
      </c>
    </row>
    <row r="388" spans="2:27" x14ac:dyDescent="0.3">
      <c r="B388" s="183"/>
      <c r="C388" s="183"/>
      <c r="D388" s="183"/>
      <c r="E388" s="71"/>
      <c r="F388" s="72"/>
      <c r="G388" s="72"/>
      <c r="H388" s="74"/>
      <c r="I388" s="70"/>
      <c r="J388" s="70"/>
      <c r="K388" s="70"/>
      <c r="L388" s="74"/>
      <c r="M388" s="123"/>
      <c r="N388" s="73"/>
      <c r="O388" s="236"/>
      <c r="P388" s="117"/>
      <c r="Q388" s="117"/>
      <c r="R388" s="156" t="str">
        <f>IF(Table111[[#This Row],[Qty]]="","",Table111[[#This Row],[Qty]]*Table111[[#This Row],[Unit Price]])</f>
        <v/>
      </c>
      <c r="S388" s="156" t="str">
        <f>IF(Table111[[#This Row],[Qty]]="","",Table111[[#This Row],[Qty]]*Table111[[#This Row],[Unit Price]]+Table111[[#This Row],[Delivery Cost]])</f>
        <v/>
      </c>
      <c r="T388" s="72"/>
      <c r="U388" s="65"/>
      <c r="V388" s="72"/>
      <c r="W388" s="65"/>
      <c r="X388" s="63" t="str">
        <f t="shared" si="18"/>
        <v/>
      </c>
      <c r="Y388" s="63" t="str">
        <f t="shared" si="19"/>
        <v/>
      </c>
      <c r="Z388" s="63" t="str">
        <f t="shared" si="20"/>
        <v/>
      </c>
      <c r="AA388" s="63" t="str">
        <f>TEXT(Table111[[#This Row],[YEAR]],"0000")&amp;"-"&amp;Table111[[#This Row],[MONTH]]</f>
        <v>-</v>
      </c>
    </row>
    <row r="389" spans="2:27" x14ac:dyDescent="0.3">
      <c r="B389" s="68"/>
      <c r="C389" s="68"/>
      <c r="D389" s="68"/>
      <c r="E389" s="71"/>
      <c r="F389" s="72"/>
      <c r="G389" s="72"/>
      <c r="H389" s="74"/>
      <c r="I389" s="70"/>
      <c r="J389" s="70"/>
      <c r="K389" s="70"/>
      <c r="L389" s="74"/>
      <c r="M389" s="123"/>
      <c r="N389" s="73"/>
      <c r="O389" s="236"/>
      <c r="P389" s="117"/>
      <c r="Q389" s="117"/>
      <c r="R389" s="156" t="str">
        <f>IF(Table111[[#This Row],[Qty]]="","",Table111[[#This Row],[Qty]]*Table111[[#This Row],[Unit Price]])</f>
        <v/>
      </c>
      <c r="S389" s="156" t="str">
        <f>IF(Table111[[#This Row],[Qty]]="","",Table111[[#This Row],[Qty]]*Table111[[#This Row],[Unit Price]]+Table111[[#This Row],[Delivery Cost]])</f>
        <v/>
      </c>
      <c r="T389" s="72"/>
      <c r="U389" s="65"/>
      <c r="V389" s="72"/>
      <c r="W389" s="219"/>
      <c r="X389" s="63" t="str">
        <f t="shared" si="18"/>
        <v/>
      </c>
      <c r="Y389" s="63" t="str">
        <f t="shared" si="19"/>
        <v/>
      </c>
      <c r="Z389" s="63" t="str">
        <f t="shared" si="20"/>
        <v/>
      </c>
      <c r="AA389" s="63" t="str">
        <f>TEXT(Table111[[#This Row],[YEAR]],"0000")&amp;"-"&amp;Table111[[#This Row],[MONTH]]</f>
        <v>-</v>
      </c>
    </row>
    <row r="390" spans="2:27" x14ac:dyDescent="0.3">
      <c r="B390" s="183"/>
      <c r="C390" s="183"/>
      <c r="D390" s="183"/>
      <c r="E390" s="71"/>
      <c r="F390" s="72"/>
      <c r="G390" s="72"/>
      <c r="H390" s="74"/>
      <c r="I390" s="70"/>
      <c r="J390" s="70"/>
      <c r="K390" s="70"/>
      <c r="L390" s="74"/>
      <c r="M390" s="123"/>
      <c r="N390" s="73"/>
      <c r="O390" s="236"/>
      <c r="P390" s="117"/>
      <c r="Q390" s="117"/>
      <c r="R390" s="156" t="str">
        <f>IF(Table111[[#This Row],[Qty]]="","",Table111[[#This Row],[Qty]]*Table111[[#This Row],[Unit Price]])</f>
        <v/>
      </c>
      <c r="S390" s="156" t="str">
        <f>IF(Table111[[#This Row],[Qty]]="","",Table111[[#This Row],[Qty]]*Table111[[#This Row],[Unit Price]]+Table111[[#This Row],[Delivery Cost]])</f>
        <v/>
      </c>
      <c r="T390" s="72"/>
      <c r="U390" s="65"/>
      <c r="V390" s="72"/>
      <c r="W390" s="65"/>
      <c r="X390" s="63" t="str">
        <f t="shared" si="18"/>
        <v/>
      </c>
      <c r="Y390" s="63" t="str">
        <f t="shared" si="19"/>
        <v/>
      </c>
      <c r="Z390" s="63" t="str">
        <f t="shared" si="20"/>
        <v/>
      </c>
      <c r="AA390" s="63" t="str">
        <f>TEXT(Table111[[#This Row],[YEAR]],"0000")&amp;"-"&amp;Table111[[#This Row],[MONTH]]</f>
        <v>-</v>
      </c>
    </row>
    <row r="391" spans="2:27" x14ac:dyDescent="0.3">
      <c r="B391" s="68"/>
      <c r="C391" s="68"/>
      <c r="D391" s="68"/>
      <c r="E391" s="71"/>
      <c r="F391" s="72"/>
      <c r="G391" s="72"/>
      <c r="H391" s="74"/>
      <c r="I391" s="70"/>
      <c r="J391" s="70"/>
      <c r="K391" s="70"/>
      <c r="L391" s="74"/>
      <c r="M391" s="123"/>
      <c r="N391" s="73"/>
      <c r="O391" s="236"/>
      <c r="P391" s="117"/>
      <c r="Q391" s="117"/>
      <c r="R391" s="156" t="str">
        <f>IF(Table111[[#This Row],[Qty]]="","",Table111[[#This Row],[Qty]]*Table111[[#This Row],[Unit Price]])</f>
        <v/>
      </c>
      <c r="S391" s="156" t="str">
        <f>IF(Table111[[#This Row],[Qty]]="","",Table111[[#This Row],[Qty]]*Table111[[#This Row],[Unit Price]]+Table111[[#This Row],[Delivery Cost]])</f>
        <v/>
      </c>
      <c r="T391" s="72"/>
      <c r="U391" s="65"/>
      <c r="V391" s="72"/>
      <c r="W391" s="219"/>
      <c r="X391" s="63" t="str">
        <f t="shared" si="18"/>
        <v/>
      </c>
      <c r="Y391" s="63" t="str">
        <f t="shared" si="19"/>
        <v/>
      </c>
      <c r="Z391" s="63" t="str">
        <f t="shared" si="20"/>
        <v/>
      </c>
      <c r="AA391" s="63" t="str">
        <f>TEXT(Table111[[#This Row],[YEAR]],"0000")&amp;"-"&amp;Table111[[#This Row],[MONTH]]</f>
        <v>-</v>
      </c>
    </row>
    <row r="392" spans="2:27" x14ac:dyDescent="0.3">
      <c r="B392" s="183"/>
      <c r="C392" s="183"/>
      <c r="D392" s="183"/>
      <c r="E392" s="71"/>
      <c r="F392" s="72"/>
      <c r="G392" s="72"/>
      <c r="H392" s="74"/>
      <c r="I392" s="70"/>
      <c r="J392" s="70"/>
      <c r="K392" s="70"/>
      <c r="L392" s="74"/>
      <c r="M392" s="123"/>
      <c r="N392" s="73"/>
      <c r="O392" s="236"/>
      <c r="P392" s="117"/>
      <c r="Q392" s="117"/>
      <c r="R392" s="156" t="str">
        <f>IF(Table111[[#This Row],[Qty]]="","",Table111[[#This Row],[Qty]]*Table111[[#This Row],[Unit Price]])</f>
        <v/>
      </c>
      <c r="S392" s="156" t="str">
        <f>IF(Table111[[#This Row],[Qty]]="","",Table111[[#This Row],[Qty]]*Table111[[#This Row],[Unit Price]]+Table111[[#This Row],[Delivery Cost]])</f>
        <v/>
      </c>
      <c r="T392" s="72"/>
      <c r="U392" s="65"/>
      <c r="V392" s="72"/>
      <c r="W392" s="65"/>
      <c r="X392" s="63" t="str">
        <f t="shared" si="18"/>
        <v/>
      </c>
      <c r="Y392" s="63" t="str">
        <f t="shared" si="19"/>
        <v/>
      </c>
      <c r="Z392" s="63" t="str">
        <f t="shared" si="20"/>
        <v/>
      </c>
      <c r="AA392" s="63" t="str">
        <f>TEXT(Table111[[#This Row],[YEAR]],"0000")&amp;"-"&amp;Table111[[#This Row],[MONTH]]</f>
        <v>-</v>
      </c>
    </row>
    <row r="393" spans="2:27" x14ac:dyDescent="0.3">
      <c r="B393" s="68"/>
      <c r="C393" s="68"/>
      <c r="D393" s="68"/>
      <c r="E393" s="71"/>
      <c r="F393" s="72"/>
      <c r="G393" s="72"/>
      <c r="H393" s="74"/>
      <c r="I393" s="70"/>
      <c r="J393" s="70"/>
      <c r="K393" s="70"/>
      <c r="L393" s="74"/>
      <c r="M393" s="123"/>
      <c r="N393" s="73"/>
      <c r="O393" s="236"/>
      <c r="P393" s="117"/>
      <c r="Q393" s="117"/>
      <c r="R393" s="156" t="str">
        <f>IF(Table111[[#This Row],[Qty]]="","",Table111[[#This Row],[Qty]]*Table111[[#This Row],[Unit Price]])</f>
        <v/>
      </c>
      <c r="S393" s="156" t="str">
        <f>IF(Table111[[#This Row],[Qty]]="","",Table111[[#This Row],[Qty]]*Table111[[#This Row],[Unit Price]]+Table111[[#This Row],[Delivery Cost]])</f>
        <v/>
      </c>
      <c r="T393" s="72"/>
      <c r="U393" s="65"/>
      <c r="V393" s="72"/>
      <c r="W393" s="219"/>
      <c r="X393" s="63" t="str">
        <f t="shared" si="18"/>
        <v/>
      </c>
      <c r="Y393" s="63" t="str">
        <f t="shared" si="19"/>
        <v/>
      </c>
      <c r="Z393" s="63" t="str">
        <f t="shared" si="20"/>
        <v/>
      </c>
      <c r="AA393" s="63" t="str">
        <f>TEXT(Table111[[#This Row],[YEAR]],"0000")&amp;"-"&amp;Table111[[#This Row],[MONTH]]</f>
        <v>-</v>
      </c>
    </row>
    <row r="394" spans="2:27" x14ac:dyDescent="0.3">
      <c r="B394" s="183"/>
      <c r="C394" s="183"/>
      <c r="D394" s="183"/>
      <c r="E394" s="71"/>
      <c r="F394" s="72"/>
      <c r="G394" s="72"/>
      <c r="H394" s="74"/>
      <c r="I394" s="70"/>
      <c r="J394" s="70"/>
      <c r="K394" s="70"/>
      <c r="L394" s="74"/>
      <c r="M394" s="123"/>
      <c r="N394" s="73"/>
      <c r="O394" s="236"/>
      <c r="P394" s="117"/>
      <c r="Q394" s="117"/>
      <c r="R394" s="156" t="str">
        <f>IF(Table111[[#This Row],[Qty]]="","",Table111[[#This Row],[Qty]]*Table111[[#This Row],[Unit Price]])</f>
        <v/>
      </c>
      <c r="S394" s="156" t="str">
        <f>IF(Table111[[#This Row],[Qty]]="","",Table111[[#This Row],[Qty]]*Table111[[#This Row],[Unit Price]]+Table111[[#This Row],[Delivery Cost]])</f>
        <v/>
      </c>
      <c r="T394" s="72"/>
      <c r="U394" s="65"/>
      <c r="V394" s="72"/>
      <c r="W394" s="65"/>
      <c r="X394" s="63" t="str">
        <f t="shared" si="18"/>
        <v/>
      </c>
      <c r="Y394" s="63" t="str">
        <f t="shared" si="19"/>
        <v/>
      </c>
      <c r="Z394" s="63" t="str">
        <f t="shared" si="20"/>
        <v/>
      </c>
      <c r="AA394" s="63" t="str">
        <f>TEXT(Table111[[#This Row],[YEAR]],"0000")&amp;"-"&amp;Table111[[#This Row],[MONTH]]</f>
        <v>-</v>
      </c>
    </row>
    <row r="395" spans="2:27" x14ac:dyDescent="0.3">
      <c r="B395" s="68"/>
      <c r="C395" s="68"/>
      <c r="D395" s="68"/>
      <c r="E395" s="71"/>
      <c r="F395" s="72"/>
      <c r="G395" s="72"/>
      <c r="H395" s="74"/>
      <c r="I395" s="70"/>
      <c r="J395" s="70"/>
      <c r="K395" s="70"/>
      <c r="L395" s="74"/>
      <c r="M395" s="123"/>
      <c r="N395" s="73"/>
      <c r="O395" s="236"/>
      <c r="P395" s="117"/>
      <c r="Q395" s="117"/>
      <c r="R395" s="156" t="str">
        <f>IF(Table111[[#This Row],[Qty]]="","",Table111[[#This Row],[Qty]]*Table111[[#This Row],[Unit Price]])</f>
        <v/>
      </c>
      <c r="S395" s="156" t="str">
        <f>IF(Table111[[#This Row],[Qty]]="","",Table111[[#This Row],[Qty]]*Table111[[#This Row],[Unit Price]]+Table111[[#This Row],[Delivery Cost]])</f>
        <v/>
      </c>
      <c r="T395" s="72"/>
      <c r="U395" s="65"/>
      <c r="V395" s="72"/>
      <c r="W395" s="219"/>
      <c r="X395" s="63" t="str">
        <f t="shared" si="18"/>
        <v/>
      </c>
      <c r="Y395" s="63" t="str">
        <f t="shared" si="19"/>
        <v/>
      </c>
      <c r="Z395" s="63" t="str">
        <f t="shared" si="20"/>
        <v/>
      </c>
      <c r="AA395" s="63" t="str">
        <f>TEXT(Table111[[#This Row],[YEAR]],"0000")&amp;"-"&amp;Table111[[#This Row],[MONTH]]</f>
        <v>-</v>
      </c>
    </row>
    <row r="396" spans="2:27" x14ac:dyDescent="0.3">
      <c r="B396" s="183"/>
      <c r="C396" s="183"/>
      <c r="D396" s="183"/>
      <c r="E396" s="71"/>
      <c r="F396" s="72"/>
      <c r="G396" s="72"/>
      <c r="H396" s="74"/>
      <c r="I396" s="70"/>
      <c r="J396" s="70"/>
      <c r="K396" s="70"/>
      <c r="L396" s="74"/>
      <c r="M396" s="123"/>
      <c r="N396" s="73"/>
      <c r="O396" s="236"/>
      <c r="P396" s="117"/>
      <c r="Q396" s="117"/>
      <c r="R396" s="156" t="str">
        <f>IF(Table111[[#This Row],[Qty]]="","",Table111[[#This Row],[Qty]]*Table111[[#This Row],[Unit Price]])</f>
        <v/>
      </c>
      <c r="S396" s="156" t="str">
        <f>IF(Table111[[#This Row],[Qty]]="","",Table111[[#This Row],[Qty]]*Table111[[#This Row],[Unit Price]]+Table111[[#This Row],[Delivery Cost]])</f>
        <v/>
      </c>
      <c r="T396" s="72"/>
      <c r="U396" s="65"/>
      <c r="V396" s="72"/>
      <c r="W396" s="65"/>
      <c r="X396" s="63" t="str">
        <f t="shared" si="18"/>
        <v/>
      </c>
      <c r="Y396" s="63" t="str">
        <f t="shared" si="19"/>
        <v/>
      </c>
      <c r="Z396" s="63" t="str">
        <f t="shared" si="20"/>
        <v/>
      </c>
      <c r="AA396" s="63" t="str">
        <f>TEXT(Table111[[#This Row],[YEAR]],"0000")&amp;"-"&amp;Table111[[#This Row],[MONTH]]</f>
        <v>-</v>
      </c>
    </row>
    <row r="397" spans="2:27" x14ac:dyDescent="0.3">
      <c r="B397" s="68"/>
      <c r="C397" s="68"/>
      <c r="D397" s="68"/>
      <c r="E397" s="71"/>
      <c r="F397" s="72"/>
      <c r="G397" s="72"/>
      <c r="H397" s="74"/>
      <c r="I397" s="70"/>
      <c r="J397" s="70"/>
      <c r="K397" s="70"/>
      <c r="L397" s="74"/>
      <c r="M397" s="123"/>
      <c r="N397" s="73"/>
      <c r="O397" s="236"/>
      <c r="P397" s="117"/>
      <c r="Q397" s="117"/>
      <c r="R397" s="156" t="str">
        <f>IF(Table111[[#This Row],[Qty]]="","",Table111[[#This Row],[Qty]]*Table111[[#This Row],[Unit Price]])</f>
        <v/>
      </c>
      <c r="S397" s="156" t="str">
        <f>IF(Table111[[#This Row],[Qty]]="","",Table111[[#This Row],[Qty]]*Table111[[#This Row],[Unit Price]]+Table111[[#This Row],[Delivery Cost]])</f>
        <v/>
      </c>
      <c r="T397" s="72"/>
      <c r="U397" s="65"/>
      <c r="V397" s="72"/>
      <c r="W397" s="219"/>
      <c r="X397" s="63" t="str">
        <f t="shared" si="18"/>
        <v/>
      </c>
      <c r="Y397" s="63" t="str">
        <f t="shared" si="19"/>
        <v/>
      </c>
      <c r="Z397" s="63" t="str">
        <f t="shared" si="20"/>
        <v/>
      </c>
      <c r="AA397" s="63" t="str">
        <f>TEXT(Table111[[#This Row],[YEAR]],"0000")&amp;"-"&amp;Table111[[#This Row],[MONTH]]</f>
        <v>-</v>
      </c>
    </row>
    <row r="398" spans="2:27" x14ac:dyDescent="0.3">
      <c r="B398" s="183"/>
      <c r="C398" s="183"/>
      <c r="D398" s="183"/>
      <c r="E398" s="71"/>
      <c r="F398" s="72"/>
      <c r="G398" s="72"/>
      <c r="H398" s="74"/>
      <c r="I398" s="70"/>
      <c r="J398" s="70"/>
      <c r="K398" s="70"/>
      <c r="L398" s="74"/>
      <c r="M398" s="123"/>
      <c r="N398" s="73"/>
      <c r="O398" s="236"/>
      <c r="P398" s="117"/>
      <c r="Q398" s="117"/>
      <c r="R398" s="156" t="str">
        <f>IF(Table111[[#This Row],[Qty]]="","",Table111[[#This Row],[Qty]]*Table111[[#This Row],[Unit Price]])</f>
        <v/>
      </c>
      <c r="S398" s="156" t="str">
        <f>IF(Table111[[#This Row],[Qty]]="","",Table111[[#This Row],[Qty]]*Table111[[#This Row],[Unit Price]]+Table111[[#This Row],[Delivery Cost]])</f>
        <v/>
      </c>
      <c r="T398" s="72"/>
      <c r="U398" s="65"/>
      <c r="V398" s="72"/>
      <c r="W398" s="65"/>
      <c r="X398" s="63" t="str">
        <f t="shared" si="18"/>
        <v/>
      </c>
      <c r="Y398" s="63" t="str">
        <f t="shared" si="19"/>
        <v/>
      </c>
      <c r="Z398" s="63" t="str">
        <f t="shared" si="20"/>
        <v/>
      </c>
      <c r="AA398" s="63" t="str">
        <f>TEXT(Table111[[#This Row],[YEAR]],"0000")&amp;"-"&amp;Table111[[#This Row],[MONTH]]</f>
        <v>-</v>
      </c>
    </row>
    <row r="399" spans="2:27" x14ac:dyDescent="0.3">
      <c r="B399" s="183"/>
      <c r="C399" s="183"/>
      <c r="D399" s="183"/>
      <c r="E399" s="64"/>
      <c r="F399" s="65"/>
      <c r="G399" s="65"/>
      <c r="H399" s="69"/>
      <c r="I399" s="69"/>
      <c r="J399" s="69"/>
      <c r="K399" s="69"/>
      <c r="L399" s="74"/>
      <c r="M399" s="121"/>
      <c r="N399" s="66"/>
      <c r="O399" s="237"/>
      <c r="P399" s="115"/>
      <c r="Q399" s="115"/>
      <c r="R399" s="156" t="str">
        <f>IF(Table111[[#This Row],[Qty]]="","",Table111[[#This Row],[Qty]]*Table111[[#This Row],[Unit Price]])</f>
        <v/>
      </c>
      <c r="S399" s="156" t="str">
        <f>IF(Table111[[#This Row],[Qty]]="","",Table111[[#This Row],[Qty]]*Table111[[#This Row],[Unit Price]]+Table111[[#This Row],[Delivery Cost]])</f>
        <v/>
      </c>
      <c r="T399" s="67"/>
      <c r="U399" s="65"/>
      <c r="V399" s="65"/>
      <c r="W399" s="16"/>
      <c r="X399" s="63" t="str">
        <f t="shared" si="18"/>
        <v/>
      </c>
      <c r="Y399" s="63" t="str">
        <f t="shared" si="19"/>
        <v/>
      </c>
      <c r="Z399" s="63" t="str">
        <f t="shared" si="20"/>
        <v/>
      </c>
      <c r="AA399" s="63" t="str">
        <f>TEXT(Table111[[#This Row],[YEAR]],"0000")&amp;"-"&amp;Table111[[#This Row],[MONTH]]</f>
        <v>-</v>
      </c>
    </row>
    <row r="400" spans="2:27" x14ac:dyDescent="0.3">
      <c r="B400" s="68"/>
      <c r="C400" s="68"/>
      <c r="D400" s="68"/>
      <c r="E400" s="64"/>
      <c r="F400" s="65"/>
      <c r="G400" s="65"/>
      <c r="H400" s="66"/>
      <c r="I400" s="68"/>
      <c r="J400" s="68"/>
      <c r="K400" s="68"/>
      <c r="L400" s="74"/>
      <c r="M400" s="120"/>
      <c r="N400" s="66"/>
      <c r="O400" s="241"/>
      <c r="P400" s="114"/>
      <c r="Q400" s="114"/>
      <c r="R400" s="156" t="str">
        <f>IF(Table111[[#This Row],[Qty]]="","",Table111[[#This Row],[Qty]]*Table111[[#This Row],[Unit Price]])</f>
        <v/>
      </c>
      <c r="S400" s="156" t="str">
        <f>IF(Table111[[#This Row],[Qty]]="","",Table111[[#This Row],[Qty]]*Table111[[#This Row],[Unit Price]]+Table111[[#This Row],[Delivery Cost]])</f>
        <v/>
      </c>
      <c r="T400" s="67"/>
      <c r="U400" s="65"/>
      <c r="V400" s="65"/>
      <c r="W400" s="220"/>
      <c r="X400" s="63" t="str">
        <f t="shared" si="18"/>
        <v/>
      </c>
      <c r="Y400" s="63" t="str">
        <f t="shared" si="19"/>
        <v/>
      </c>
      <c r="Z400" s="63" t="str">
        <f t="shared" si="20"/>
        <v/>
      </c>
      <c r="AA400" s="63" t="str">
        <f>TEXT(Table111[[#This Row],[YEAR]],"0000")&amp;"-"&amp;Table111[[#This Row],[MONTH]]</f>
        <v>-</v>
      </c>
    </row>
    <row r="401" spans="2:27" x14ac:dyDescent="0.3">
      <c r="B401" s="183"/>
      <c r="C401" s="183"/>
      <c r="D401" s="183"/>
      <c r="E401" s="64"/>
      <c r="F401" s="72"/>
      <c r="G401" s="65"/>
      <c r="H401" s="66"/>
      <c r="I401" s="66"/>
      <c r="J401" s="66"/>
      <c r="K401" s="66"/>
      <c r="L401" s="74"/>
      <c r="M401" s="119"/>
      <c r="N401" s="66"/>
      <c r="O401" s="239"/>
      <c r="P401" s="113"/>
      <c r="Q401" s="113"/>
      <c r="R401" s="156" t="str">
        <f>IF(Table111[[#This Row],[Qty]]="","",Table111[[#This Row],[Qty]]*Table111[[#This Row],[Unit Price]])</f>
        <v/>
      </c>
      <c r="S401" s="156" t="str">
        <f>IF(Table111[[#This Row],[Qty]]="","",Table111[[#This Row],[Qty]]*Table111[[#This Row],[Unit Price]]+Table111[[#This Row],[Delivery Cost]])</f>
        <v/>
      </c>
      <c r="T401" s="67"/>
      <c r="U401" s="65"/>
      <c r="V401" s="72"/>
      <c r="W401" s="16"/>
      <c r="X401" s="63" t="str">
        <f t="shared" si="18"/>
        <v/>
      </c>
      <c r="Y401" s="63" t="str">
        <f t="shared" si="19"/>
        <v/>
      </c>
      <c r="Z401" s="63" t="str">
        <f t="shared" si="20"/>
        <v/>
      </c>
      <c r="AA401" s="63" t="str">
        <f>TEXT(Table111[[#This Row],[YEAR]],"0000")&amp;"-"&amp;Table111[[#This Row],[MONTH]]</f>
        <v>-</v>
      </c>
    </row>
    <row r="402" spans="2:27" x14ac:dyDescent="0.3">
      <c r="B402" s="183"/>
      <c r="C402" s="183"/>
      <c r="D402" s="183"/>
      <c r="E402" s="64"/>
      <c r="F402" s="65"/>
      <c r="G402" s="65"/>
      <c r="H402" s="66"/>
      <c r="I402" s="68"/>
      <c r="J402" s="68"/>
      <c r="K402" s="68"/>
      <c r="L402" s="74"/>
      <c r="M402" s="120"/>
      <c r="N402" s="66"/>
      <c r="O402" s="241"/>
      <c r="P402" s="114"/>
      <c r="Q402" s="114"/>
      <c r="R402" s="156" t="str">
        <f>IF(Table111[[#This Row],[Qty]]="","",Table111[[#This Row],[Qty]]*Table111[[#This Row],[Unit Price]])</f>
        <v/>
      </c>
      <c r="S402" s="156" t="str">
        <f>IF(Table111[[#This Row],[Qty]]="","",Table111[[#This Row],[Qty]]*Table111[[#This Row],[Unit Price]]+Table111[[#This Row],[Delivery Cost]])</f>
        <v/>
      </c>
      <c r="T402" s="67"/>
      <c r="U402" s="65"/>
      <c r="V402" s="65"/>
      <c r="W402" s="65"/>
      <c r="X402" s="63" t="str">
        <f t="shared" si="18"/>
        <v/>
      </c>
      <c r="Y402" s="63" t="str">
        <f t="shared" si="19"/>
        <v/>
      </c>
      <c r="Z402" s="63" t="str">
        <f t="shared" si="20"/>
        <v/>
      </c>
      <c r="AA402" s="63" t="str">
        <f>TEXT(Table111[[#This Row],[YEAR]],"0000")&amp;"-"&amp;Table111[[#This Row],[MONTH]]</f>
        <v>-</v>
      </c>
    </row>
    <row r="403" spans="2:27" x14ac:dyDescent="0.3">
      <c r="B403" s="68"/>
      <c r="C403" s="68"/>
      <c r="D403" s="68"/>
      <c r="E403" s="64"/>
      <c r="F403" s="65"/>
      <c r="G403" s="65"/>
      <c r="H403" s="66"/>
      <c r="I403" s="66"/>
      <c r="J403" s="66"/>
      <c r="K403" s="66"/>
      <c r="L403" s="74"/>
      <c r="M403" s="119"/>
      <c r="N403" s="66"/>
      <c r="O403" s="239"/>
      <c r="P403" s="113"/>
      <c r="Q403" s="113"/>
      <c r="R403" s="156" t="str">
        <f>IF(Table111[[#This Row],[Qty]]="","",Table111[[#This Row],[Qty]]*Table111[[#This Row],[Unit Price]])</f>
        <v/>
      </c>
      <c r="S403" s="156" t="str">
        <f>IF(Table111[[#This Row],[Qty]]="","",Table111[[#This Row],[Qty]]*Table111[[#This Row],[Unit Price]]+Table111[[#This Row],[Delivery Cost]])</f>
        <v/>
      </c>
      <c r="T403" s="67"/>
      <c r="U403" s="65"/>
      <c r="V403" s="72"/>
      <c r="W403" s="219"/>
      <c r="X403" s="63" t="str">
        <f t="shared" si="18"/>
        <v/>
      </c>
      <c r="Y403" s="63" t="str">
        <f t="shared" si="19"/>
        <v/>
      </c>
      <c r="Z403" s="63" t="str">
        <f t="shared" si="20"/>
        <v/>
      </c>
      <c r="AA403" s="63" t="str">
        <f>TEXT(Table111[[#This Row],[YEAR]],"0000")&amp;"-"&amp;Table111[[#This Row],[MONTH]]</f>
        <v>-</v>
      </c>
    </row>
    <row r="404" spans="2:27" x14ac:dyDescent="0.3">
      <c r="B404" s="68"/>
      <c r="C404" s="68"/>
      <c r="D404" s="68"/>
      <c r="E404" s="64"/>
      <c r="F404" s="72"/>
      <c r="G404" s="65"/>
      <c r="H404" s="66"/>
      <c r="I404" s="66"/>
      <c r="J404" s="66"/>
      <c r="K404" s="66"/>
      <c r="L404" s="74"/>
      <c r="M404" s="119"/>
      <c r="N404" s="66"/>
      <c r="O404" s="239"/>
      <c r="P404" s="113"/>
      <c r="Q404" s="113"/>
      <c r="R404" s="156" t="str">
        <f>IF(Table111[[#This Row],[Qty]]="","",Table111[[#This Row],[Qty]]*Table111[[#This Row],[Unit Price]])</f>
        <v/>
      </c>
      <c r="S404" s="156" t="str">
        <f>IF(Table111[[#This Row],[Qty]]="","",Table111[[#This Row],[Qty]]*Table111[[#This Row],[Unit Price]]+Table111[[#This Row],[Delivery Cost]])</f>
        <v/>
      </c>
      <c r="T404" s="67"/>
      <c r="U404" s="65"/>
      <c r="V404" s="72"/>
      <c r="W404" s="220"/>
      <c r="X404" s="63" t="str">
        <f t="shared" si="18"/>
        <v/>
      </c>
      <c r="Y404" s="63" t="str">
        <f t="shared" si="19"/>
        <v/>
      </c>
      <c r="Z404" s="63" t="str">
        <f t="shared" si="20"/>
        <v/>
      </c>
      <c r="AA404" s="63" t="str">
        <f>TEXT(Table111[[#This Row],[YEAR]],"0000")&amp;"-"&amp;Table111[[#This Row],[MONTH]]</f>
        <v>-</v>
      </c>
    </row>
    <row r="405" spans="2:27" x14ac:dyDescent="0.3">
      <c r="B405" s="68"/>
      <c r="C405" s="68"/>
      <c r="D405" s="68"/>
      <c r="E405" s="64"/>
      <c r="F405" s="65"/>
      <c r="G405" s="65"/>
      <c r="H405" s="66"/>
      <c r="I405" s="66"/>
      <c r="J405" s="66"/>
      <c r="K405" s="66"/>
      <c r="L405" s="74"/>
      <c r="M405" s="119"/>
      <c r="N405" s="66"/>
      <c r="O405" s="239"/>
      <c r="P405" s="113"/>
      <c r="Q405" s="113"/>
      <c r="R405" s="156" t="str">
        <f>IF(Table111[[#This Row],[Qty]]="","",Table111[[#This Row],[Qty]]*Table111[[#This Row],[Unit Price]])</f>
        <v/>
      </c>
      <c r="S405" s="156" t="str">
        <f>IF(Table111[[#This Row],[Qty]]="","",Table111[[#This Row],[Qty]]*Table111[[#This Row],[Unit Price]]+Table111[[#This Row],[Delivery Cost]])</f>
        <v/>
      </c>
      <c r="T405" s="67"/>
      <c r="U405" s="65"/>
      <c r="V405" s="72"/>
      <c r="W405" s="219"/>
      <c r="X405" s="63" t="str">
        <f t="shared" si="18"/>
        <v/>
      </c>
      <c r="Y405" s="63" t="str">
        <f t="shared" si="19"/>
        <v/>
      </c>
      <c r="Z405" s="63" t="str">
        <f t="shared" si="20"/>
        <v/>
      </c>
      <c r="AA405" s="63" t="str">
        <f>TEXT(Table111[[#This Row],[YEAR]],"0000")&amp;"-"&amp;Table111[[#This Row],[MONTH]]</f>
        <v>-</v>
      </c>
    </row>
    <row r="406" spans="2:27" x14ac:dyDescent="0.3">
      <c r="B406" s="183"/>
      <c r="C406" s="183"/>
      <c r="D406" s="183"/>
      <c r="E406" s="64"/>
      <c r="F406" s="72"/>
      <c r="G406" s="65"/>
      <c r="H406" s="66"/>
      <c r="I406" s="66"/>
      <c r="J406" s="66"/>
      <c r="K406" s="66"/>
      <c r="L406" s="74"/>
      <c r="M406" s="119"/>
      <c r="N406" s="66"/>
      <c r="O406" s="239"/>
      <c r="P406" s="113"/>
      <c r="Q406" s="113"/>
      <c r="R406" s="156" t="str">
        <f>IF(Table111[[#This Row],[Qty]]="","",Table111[[#This Row],[Qty]]*Table111[[#This Row],[Unit Price]])</f>
        <v/>
      </c>
      <c r="S406" s="156" t="str">
        <f>IF(Table111[[#This Row],[Qty]]="","",Table111[[#This Row],[Qty]]*Table111[[#This Row],[Unit Price]]+Table111[[#This Row],[Delivery Cost]])</f>
        <v/>
      </c>
      <c r="T406" s="67"/>
      <c r="U406" s="65"/>
      <c r="V406" s="72"/>
      <c r="W406" s="65"/>
      <c r="X406" s="63" t="str">
        <f t="shared" si="18"/>
        <v/>
      </c>
      <c r="Y406" s="63" t="str">
        <f t="shared" si="19"/>
        <v/>
      </c>
      <c r="Z406" s="63" t="str">
        <f t="shared" si="20"/>
        <v/>
      </c>
      <c r="AA406" s="63" t="str">
        <f>TEXT(Table111[[#This Row],[YEAR]],"0000")&amp;"-"&amp;Table111[[#This Row],[MONTH]]</f>
        <v>-</v>
      </c>
    </row>
    <row r="407" spans="2:27" x14ac:dyDescent="0.3">
      <c r="B407" s="183"/>
      <c r="C407" s="183"/>
      <c r="D407" s="183"/>
      <c r="E407" s="71"/>
      <c r="F407" s="72"/>
      <c r="G407" s="72"/>
      <c r="H407" s="74"/>
      <c r="I407" s="70"/>
      <c r="J407" s="70"/>
      <c r="K407" s="70"/>
      <c r="L407" s="74"/>
      <c r="M407" s="123"/>
      <c r="N407" s="73"/>
      <c r="O407" s="236"/>
      <c r="P407" s="117"/>
      <c r="Q407" s="117"/>
      <c r="R407" s="156" t="str">
        <f>IF(Table111[[#This Row],[Qty]]="","",Table111[[#This Row],[Qty]]*Table111[[#This Row],[Unit Price]])</f>
        <v/>
      </c>
      <c r="S407" s="156" t="str">
        <f>IF(Table111[[#This Row],[Qty]]="","",Table111[[#This Row],[Qty]]*Table111[[#This Row],[Unit Price]]+Table111[[#This Row],[Delivery Cost]])</f>
        <v/>
      </c>
      <c r="T407" s="72"/>
      <c r="U407" s="72"/>
      <c r="V407" s="72"/>
      <c r="W407" s="16"/>
      <c r="X407" s="63" t="str">
        <f t="shared" si="18"/>
        <v/>
      </c>
      <c r="Y407" s="63" t="str">
        <f t="shared" si="19"/>
        <v/>
      </c>
      <c r="Z407" s="63" t="str">
        <f t="shared" si="20"/>
        <v/>
      </c>
      <c r="AA407" s="63" t="str">
        <f>TEXT(Table111[[#This Row],[YEAR]],"0000")&amp;"-"&amp;Table111[[#This Row],[MONTH]]</f>
        <v>-</v>
      </c>
    </row>
    <row r="408" spans="2:27" x14ac:dyDescent="0.3">
      <c r="B408" s="183"/>
      <c r="C408" s="183"/>
      <c r="D408" s="183"/>
      <c r="E408" s="71"/>
      <c r="F408" s="72"/>
      <c r="G408" s="72"/>
      <c r="H408" s="74"/>
      <c r="I408" s="70"/>
      <c r="J408" s="70"/>
      <c r="K408" s="70"/>
      <c r="L408" s="74"/>
      <c r="M408" s="123"/>
      <c r="N408" s="73"/>
      <c r="O408" s="236"/>
      <c r="P408" s="117"/>
      <c r="Q408" s="117"/>
      <c r="R408" s="156" t="str">
        <f>IF(Table111[[#This Row],[Qty]]="","",Table111[[#This Row],[Qty]]*Table111[[#This Row],[Unit Price]])</f>
        <v/>
      </c>
      <c r="S408" s="156" t="str">
        <f>IF(Table111[[#This Row],[Qty]]="","",Table111[[#This Row],[Qty]]*Table111[[#This Row],[Unit Price]]+Table111[[#This Row],[Delivery Cost]])</f>
        <v/>
      </c>
      <c r="T408" s="72"/>
      <c r="U408" s="65"/>
      <c r="V408" s="72"/>
      <c r="W408" s="65"/>
      <c r="X408" s="63" t="str">
        <f t="shared" si="18"/>
        <v/>
      </c>
      <c r="Y408" s="63" t="str">
        <f t="shared" si="19"/>
        <v/>
      </c>
      <c r="Z408" s="63" t="str">
        <f t="shared" si="20"/>
        <v/>
      </c>
      <c r="AA408" s="63" t="str">
        <f>TEXT(Table111[[#This Row],[YEAR]],"0000")&amp;"-"&amp;Table111[[#This Row],[MONTH]]</f>
        <v>-</v>
      </c>
    </row>
    <row r="409" spans="2:27" x14ac:dyDescent="0.3">
      <c r="B409" s="68"/>
      <c r="C409" s="68"/>
      <c r="D409" s="68"/>
      <c r="E409" s="71"/>
      <c r="F409" s="72"/>
      <c r="G409" s="72"/>
      <c r="H409" s="74"/>
      <c r="I409" s="70"/>
      <c r="J409" s="70"/>
      <c r="K409" s="70"/>
      <c r="L409" s="74"/>
      <c r="M409" s="123"/>
      <c r="N409" s="73"/>
      <c r="O409" s="236"/>
      <c r="P409" s="117"/>
      <c r="Q409" s="117"/>
      <c r="R409" s="156" t="str">
        <f>IF(Table111[[#This Row],[Qty]]="","",Table111[[#This Row],[Qty]]*Table111[[#This Row],[Unit Price]])</f>
        <v/>
      </c>
      <c r="S409" s="156" t="str">
        <f>IF(Table111[[#This Row],[Qty]]="","",Table111[[#This Row],[Qty]]*Table111[[#This Row],[Unit Price]]+Table111[[#This Row],[Delivery Cost]])</f>
        <v/>
      </c>
      <c r="T409" s="72"/>
      <c r="U409" s="65"/>
      <c r="V409" s="72"/>
      <c r="W409" s="219"/>
      <c r="X409" s="63" t="str">
        <f t="shared" si="18"/>
        <v/>
      </c>
      <c r="Y409" s="63" t="str">
        <f t="shared" si="19"/>
        <v/>
      </c>
      <c r="Z409" s="63" t="str">
        <f t="shared" si="20"/>
        <v/>
      </c>
      <c r="AA409" s="63" t="str">
        <f>TEXT(Table111[[#This Row],[YEAR]],"0000")&amp;"-"&amp;Table111[[#This Row],[MONTH]]</f>
        <v>-</v>
      </c>
    </row>
    <row r="410" spans="2:27" x14ac:dyDescent="0.3">
      <c r="B410" s="183"/>
      <c r="C410" s="183"/>
      <c r="D410" s="183"/>
      <c r="E410" s="71"/>
      <c r="F410" s="72"/>
      <c r="G410" s="72"/>
      <c r="H410" s="74"/>
      <c r="I410" s="70"/>
      <c r="J410" s="70"/>
      <c r="K410" s="70"/>
      <c r="L410" s="74"/>
      <c r="M410" s="123"/>
      <c r="N410" s="73"/>
      <c r="O410" s="236"/>
      <c r="P410" s="117"/>
      <c r="Q410" s="117"/>
      <c r="R410" s="156" t="str">
        <f>IF(Table111[[#This Row],[Qty]]="","",Table111[[#This Row],[Qty]]*Table111[[#This Row],[Unit Price]])</f>
        <v/>
      </c>
      <c r="S410" s="156" t="str">
        <f>IF(Table111[[#This Row],[Qty]]="","",Table111[[#This Row],[Qty]]*Table111[[#This Row],[Unit Price]]+Table111[[#This Row],[Delivery Cost]])</f>
        <v/>
      </c>
      <c r="T410" s="72"/>
      <c r="U410" s="65"/>
      <c r="V410" s="72"/>
      <c r="W410" s="65"/>
      <c r="X410" s="63" t="str">
        <f t="shared" si="18"/>
        <v/>
      </c>
      <c r="Y410" s="63" t="str">
        <f t="shared" si="19"/>
        <v/>
      </c>
      <c r="Z410" s="63" t="str">
        <f t="shared" si="20"/>
        <v/>
      </c>
      <c r="AA410" s="63" t="str">
        <f>TEXT(Table111[[#This Row],[YEAR]],"0000")&amp;"-"&amp;Table111[[#This Row],[MONTH]]</f>
        <v>-</v>
      </c>
    </row>
    <row r="411" spans="2:27" x14ac:dyDescent="0.3">
      <c r="B411" s="68"/>
      <c r="C411" s="68"/>
      <c r="D411" s="68"/>
      <c r="E411" s="71"/>
      <c r="F411" s="72"/>
      <c r="G411" s="72"/>
      <c r="H411" s="74"/>
      <c r="I411" s="70"/>
      <c r="J411" s="70"/>
      <c r="K411" s="70"/>
      <c r="L411" s="74"/>
      <c r="M411" s="123"/>
      <c r="N411" s="73"/>
      <c r="O411" s="236"/>
      <c r="P411" s="117"/>
      <c r="Q411" s="117"/>
      <c r="R411" s="156" t="str">
        <f>IF(Table111[[#This Row],[Qty]]="","",Table111[[#This Row],[Qty]]*Table111[[#This Row],[Unit Price]])</f>
        <v/>
      </c>
      <c r="S411" s="156" t="str">
        <f>IF(Table111[[#This Row],[Qty]]="","",Table111[[#This Row],[Qty]]*Table111[[#This Row],[Unit Price]]+Table111[[#This Row],[Delivery Cost]])</f>
        <v/>
      </c>
      <c r="T411" s="72"/>
      <c r="U411" s="65"/>
      <c r="V411" s="72"/>
      <c r="W411" s="219"/>
      <c r="X411" s="63" t="str">
        <f t="shared" si="18"/>
        <v/>
      </c>
      <c r="Y411" s="63" t="str">
        <f t="shared" si="19"/>
        <v/>
      </c>
      <c r="Z411" s="63" t="str">
        <f t="shared" si="20"/>
        <v/>
      </c>
      <c r="AA411" s="63" t="str">
        <f>TEXT(Table111[[#This Row],[YEAR]],"0000")&amp;"-"&amp;Table111[[#This Row],[MONTH]]</f>
        <v>-</v>
      </c>
    </row>
    <row r="412" spans="2:27" x14ac:dyDescent="0.3">
      <c r="B412" s="183"/>
      <c r="C412" s="183"/>
      <c r="D412" s="183"/>
      <c r="E412" s="71"/>
      <c r="F412" s="72"/>
      <c r="G412" s="72"/>
      <c r="H412" s="74"/>
      <c r="I412" s="70"/>
      <c r="J412" s="70"/>
      <c r="K412" s="70"/>
      <c r="L412" s="74"/>
      <c r="M412" s="123"/>
      <c r="N412" s="73"/>
      <c r="O412" s="236"/>
      <c r="P412" s="117"/>
      <c r="Q412" s="117"/>
      <c r="R412" s="156" t="str">
        <f>IF(Table111[[#This Row],[Qty]]="","",Table111[[#This Row],[Qty]]*Table111[[#This Row],[Unit Price]])</f>
        <v/>
      </c>
      <c r="S412" s="156" t="str">
        <f>IF(Table111[[#This Row],[Qty]]="","",Table111[[#This Row],[Qty]]*Table111[[#This Row],[Unit Price]]+Table111[[#This Row],[Delivery Cost]])</f>
        <v/>
      </c>
      <c r="T412" s="72"/>
      <c r="U412" s="65"/>
      <c r="V412" s="72"/>
      <c r="W412" s="65"/>
      <c r="X412" s="63" t="str">
        <f t="shared" si="18"/>
        <v/>
      </c>
      <c r="Y412" s="63" t="str">
        <f t="shared" si="19"/>
        <v/>
      </c>
      <c r="Z412" s="63" t="str">
        <f t="shared" si="20"/>
        <v/>
      </c>
      <c r="AA412" s="63" t="str">
        <f>TEXT(Table111[[#This Row],[YEAR]],"0000")&amp;"-"&amp;Table111[[#This Row],[MONTH]]</f>
        <v>-</v>
      </c>
    </row>
    <row r="413" spans="2:27" x14ac:dyDescent="0.3">
      <c r="B413" s="68"/>
      <c r="C413" s="68"/>
      <c r="D413" s="68"/>
      <c r="E413" s="71"/>
      <c r="F413" s="72"/>
      <c r="G413" s="72"/>
      <c r="H413" s="74"/>
      <c r="I413" s="70"/>
      <c r="J413" s="70"/>
      <c r="K413" s="70"/>
      <c r="L413" s="74"/>
      <c r="M413" s="123"/>
      <c r="N413" s="73"/>
      <c r="O413" s="236"/>
      <c r="P413" s="117"/>
      <c r="Q413" s="117"/>
      <c r="R413" s="156" t="str">
        <f>IF(Table111[[#This Row],[Qty]]="","",Table111[[#This Row],[Qty]]*Table111[[#This Row],[Unit Price]])</f>
        <v/>
      </c>
      <c r="S413" s="156" t="str">
        <f>IF(Table111[[#This Row],[Qty]]="","",Table111[[#This Row],[Qty]]*Table111[[#This Row],[Unit Price]]+Table111[[#This Row],[Delivery Cost]])</f>
        <v/>
      </c>
      <c r="T413" s="72"/>
      <c r="U413" s="65"/>
      <c r="V413" s="72"/>
      <c r="W413" s="219"/>
      <c r="X413" s="63" t="str">
        <f t="shared" si="18"/>
        <v/>
      </c>
      <c r="Y413" s="63" t="str">
        <f t="shared" si="19"/>
        <v/>
      </c>
      <c r="Z413" s="63" t="str">
        <f t="shared" si="20"/>
        <v/>
      </c>
      <c r="AA413" s="63" t="str">
        <f>TEXT(Table111[[#This Row],[YEAR]],"0000")&amp;"-"&amp;Table111[[#This Row],[MONTH]]</f>
        <v>-</v>
      </c>
    </row>
    <row r="414" spans="2:27" x14ac:dyDescent="0.3">
      <c r="B414" s="183"/>
      <c r="C414" s="183"/>
      <c r="D414" s="183"/>
      <c r="E414" s="71"/>
      <c r="F414" s="72"/>
      <c r="G414" s="72"/>
      <c r="H414" s="74"/>
      <c r="I414" s="70"/>
      <c r="J414" s="70"/>
      <c r="K414" s="70"/>
      <c r="L414" s="74"/>
      <c r="M414" s="123"/>
      <c r="N414" s="73"/>
      <c r="O414" s="236"/>
      <c r="P414" s="117"/>
      <c r="Q414" s="117"/>
      <c r="R414" s="156" t="str">
        <f>IF(Table111[[#This Row],[Qty]]="","",Table111[[#This Row],[Qty]]*Table111[[#This Row],[Unit Price]])</f>
        <v/>
      </c>
      <c r="S414" s="156" t="str">
        <f>IF(Table111[[#This Row],[Qty]]="","",Table111[[#This Row],[Qty]]*Table111[[#This Row],[Unit Price]]+Table111[[#This Row],[Delivery Cost]])</f>
        <v/>
      </c>
      <c r="T414" s="72"/>
      <c r="U414" s="65"/>
      <c r="V414" s="72"/>
      <c r="W414" s="65"/>
      <c r="X414" s="63" t="str">
        <f t="shared" si="18"/>
        <v/>
      </c>
      <c r="Y414" s="63" t="str">
        <f t="shared" si="19"/>
        <v/>
      </c>
      <c r="Z414" s="63" t="str">
        <f t="shared" si="20"/>
        <v/>
      </c>
      <c r="AA414" s="63" t="str">
        <f>TEXT(Table111[[#This Row],[YEAR]],"0000")&amp;"-"&amp;Table111[[#This Row],[MONTH]]</f>
        <v>-</v>
      </c>
    </row>
    <row r="415" spans="2:27" x14ac:dyDescent="0.3">
      <c r="B415" s="68"/>
      <c r="C415" s="68"/>
      <c r="D415" s="68"/>
      <c r="E415" s="71"/>
      <c r="F415" s="72"/>
      <c r="G415" s="72"/>
      <c r="H415" s="74"/>
      <c r="I415" s="70"/>
      <c r="J415" s="70"/>
      <c r="K415" s="70"/>
      <c r="L415" s="74"/>
      <c r="M415" s="123"/>
      <c r="N415" s="73"/>
      <c r="O415" s="236"/>
      <c r="P415" s="117"/>
      <c r="Q415" s="117"/>
      <c r="R415" s="156" t="str">
        <f>IF(Table111[[#This Row],[Qty]]="","",Table111[[#This Row],[Qty]]*Table111[[#This Row],[Unit Price]])</f>
        <v/>
      </c>
      <c r="S415" s="156" t="str">
        <f>IF(Table111[[#This Row],[Qty]]="","",Table111[[#This Row],[Qty]]*Table111[[#This Row],[Unit Price]]+Table111[[#This Row],[Delivery Cost]])</f>
        <v/>
      </c>
      <c r="T415" s="72"/>
      <c r="U415" s="65"/>
      <c r="V415" s="72"/>
      <c r="W415" s="219"/>
      <c r="X415" s="63" t="str">
        <f t="shared" si="18"/>
        <v/>
      </c>
      <c r="Y415" s="63" t="str">
        <f t="shared" si="19"/>
        <v/>
      </c>
      <c r="Z415" s="63" t="str">
        <f t="shared" si="20"/>
        <v/>
      </c>
      <c r="AA415" s="63" t="str">
        <f>TEXT(Table111[[#This Row],[YEAR]],"0000")&amp;"-"&amp;Table111[[#This Row],[MONTH]]</f>
        <v>-</v>
      </c>
    </row>
    <row r="416" spans="2:27" x14ac:dyDescent="0.3">
      <c r="B416" s="183"/>
      <c r="C416" s="183"/>
      <c r="D416" s="183"/>
      <c r="E416" s="71"/>
      <c r="F416" s="72"/>
      <c r="G416" s="72"/>
      <c r="H416" s="74"/>
      <c r="I416" s="70"/>
      <c r="J416" s="70"/>
      <c r="K416" s="70"/>
      <c r="L416" s="74"/>
      <c r="M416" s="123"/>
      <c r="N416" s="73"/>
      <c r="O416" s="236"/>
      <c r="P416" s="117"/>
      <c r="Q416" s="117"/>
      <c r="R416" s="156" t="str">
        <f>IF(Table111[[#This Row],[Qty]]="","",Table111[[#This Row],[Qty]]*Table111[[#This Row],[Unit Price]])</f>
        <v/>
      </c>
      <c r="S416" s="156" t="str">
        <f>IF(Table111[[#This Row],[Qty]]="","",Table111[[#This Row],[Qty]]*Table111[[#This Row],[Unit Price]]+Table111[[#This Row],[Delivery Cost]])</f>
        <v/>
      </c>
      <c r="T416" s="72"/>
      <c r="U416" s="65"/>
      <c r="V416" s="72"/>
      <c r="W416" s="65"/>
      <c r="X416" s="63" t="str">
        <f t="shared" si="18"/>
        <v/>
      </c>
      <c r="Y416" s="63" t="str">
        <f t="shared" si="19"/>
        <v/>
      </c>
      <c r="Z416" s="63" t="str">
        <f t="shared" si="20"/>
        <v/>
      </c>
      <c r="AA416" s="63" t="str">
        <f>TEXT(Table111[[#This Row],[YEAR]],"0000")&amp;"-"&amp;Table111[[#This Row],[MONTH]]</f>
        <v>-</v>
      </c>
    </row>
    <row r="417" spans="2:27" x14ac:dyDescent="0.3">
      <c r="B417" s="68"/>
      <c r="C417" s="68"/>
      <c r="D417" s="68"/>
      <c r="E417" s="71"/>
      <c r="F417" s="72"/>
      <c r="G417" s="72"/>
      <c r="H417" s="74"/>
      <c r="I417" s="70"/>
      <c r="J417" s="70"/>
      <c r="K417" s="70"/>
      <c r="L417" s="74"/>
      <c r="M417" s="123"/>
      <c r="N417" s="73"/>
      <c r="O417" s="236"/>
      <c r="P417" s="117"/>
      <c r="Q417" s="117"/>
      <c r="R417" s="156" t="str">
        <f>IF(Table111[[#This Row],[Qty]]="","",Table111[[#This Row],[Qty]]*Table111[[#This Row],[Unit Price]])</f>
        <v/>
      </c>
      <c r="S417" s="156" t="str">
        <f>IF(Table111[[#This Row],[Qty]]="","",Table111[[#This Row],[Qty]]*Table111[[#This Row],[Unit Price]]+Table111[[#This Row],[Delivery Cost]])</f>
        <v/>
      </c>
      <c r="T417" s="72"/>
      <c r="U417" s="65"/>
      <c r="V417" s="72"/>
      <c r="W417" s="219"/>
      <c r="X417" s="63" t="str">
        <f t="shared" si="18"/>
        <v/>
      </c>
      <c r="Y417" s="63" t="str">
        <f t="shared" si="19"/>
        <v/>
      </c>
      <c r="Z417" s="63" t="str">
        <f t="shared" si="20"/>
        <v/>
      </c>
      <c r="AA417" s="63" t="str">
        <f>TEXT(Table111[[#This Row],[YEAR]],"0000")&amp;"-"&amp;Table111[[#This Row],[MONTH]]</f>
        <v>-</v>
      </c>
    </row>
    <row r="418" spans="2:27" x14ac:dyDescent="0.3">
      <c r="B418" s="183"/>
      <c r="C418" s="183"/>
      <c r="D418" s="183"/>
      <c r="E418" s="71"/>
      <c r="F418" s="72"/>
      <c r="G418" s="72"/>
      <c r="H418" s="74"/>
      <c r="I418" s="70"/>
      <c r="J418" s="70"/>
      <c r="K418" s="70"/>
      <c r="L418" s="74"/>
      <c r="M418" s="123"/>
      <c r="N418" s="73"/>
      <c r="O418" s="236"/>
      <c r="P418" s="117"/>
      <c r="Q418" s="117"/>
      <c r="R418" s="156" t="str">
        <f>IF(Table111[[#This Row],[Qty]]="","",Table111[[#This Row],[Qty]]*Table111[[#This Row],[Unit Price]])</f>
        <v/>
      </c>
      <c r="S418" s="156" t="str">
        <f>IF(Table111[[#This Row],[Qty]]="","",Table111[[#This Row],[Qty]]*Table111[[#This Row],[Unit Price]]+Table111[[#This Row],[Delivery Cost]])</f>
        <v/>
      </c>
      <c r="T418" s="72"/>
      <c r="U418" s="65"/>
      <c r="V418" s="72"/>
      <c r="W418" s="65"/>
      <c r="X418" s="63" t="str">
        <f t="shared" si="18"/>
        <v/>
      </c>
      <c r="Y418" s="63" t="str">
        <f t="shared" si="19"/>
        <v/>
      </c>
      <c r="Z418" s="63" t="str">
        <f t="shared" si="20"/>
        <v/>
      </c>
      <c r="AA418" s="63" t="str">
        <f>TEXT(Table111[[#This Row],[YEAR]],"0000")&amp;"-"&amp;Table111[[#This Row],[MONTH]]</f>
        <v>-</v>
      </c>
    </row>
    <row r="419" spans="2:27" x14ac:dyDescent="0.3">
      <c r="B419" s="68"/>
      <c r="C419" s="68"/>
      <c r="D419" s="68"/>
      <c r="E419" s="71"/>
      <c r="F419" s="72"/>
      <c r="G419" s="72"/>
      <c r="H419" s="74"/>
      <c r="I419" s="70"/>
      <c r="J419" s="70"/>
      <c r="K419" s="70"/>
      <c r="L419" s="74"/>
      <c r="M419" s="123"/>
      <c r="N419" s="73"/>
      <c r="O419" s="236"/>
      <c r="P419" s="117"/>
      <c r="Q419" s="117"/>
      <c r="R419" s="156" t="str">
        <f>IF(Table111[[#This Row],[Qty]]="","",Table111[[#This Row],[Qty]]*Table111[[#This Row],[Unit Price]])</f>
        <v/>
      </c>
      <c r="S419" s="156" t="str">
        <f>IF(Table111[[#This Row],[Qty]]="","",Table111[[#This Row],[Qty]]*Table111[[#This Row],[Unit Price]]+Table111[[#This Row],[Delivery Cost]])</f>
        <v/>
      </c>
      <c r="T419" s="72"/>
      <c r="U419" s="65"/>
      <c r="V419" s="72"/>
      <c r="W419" s="219"/>
      <c r="X419" s="63" t="str">
        <f t="shared" si="18"/>
        <v/>
      </c>
      <c r="Y419" s="63" t="str">
        <f t="shared" si="19"/>
        <v/>
      </c>
      <c r="Z419" s="63" t="str">
        <f t="shared" si="20"/>
        <v/>
      </c>
      <c r="AA419" s="63" t="str">
        <f>TEXT(Table111[[#This Row],[YEAR]],"0000")&amp;"-"&amp;Table111[[#This Row],[MONTH]]</f>
        <v>-</v>
      </c>
    </row>
    <row r="420" spans="2:27" x14ac:dyDescent="0.3">
      <c r="B420" s="183"/>
      <c r="C420" s="183"/>
      <c r="D420" s="183"/>
      <c r="E420" s="71"/>
      <c r="F420" s="72"/>
      <c r="G420" s="72"/>
      <c r="H420" s="74"/>
      <c r="I420" s="70"/>
      <c r="J420" s="70"/>
      <c r="K420" s="70"/>
      <c r="L420" s="74"/>
      <c r="M420" s="123"/>
      <c r="N420" s="73"/>
      <c r="O420" s="236"/>
      <c r="P420" s="117"/>
      <c r="Q420" s="117"/>
      <c r="R420" s="156" t="str">
        <f>IF(Table111[[#This Row],[Qty]]="","",Table111[[#This Row],[Qty]]*Table111[[#This Row],[Unit Price]])</f>
        <v/>
      </c>
      <c r="S420" s="156" t="str">
        <f>IF(Table111[[#This Row],[Qty]]="","",Table111[[#This Row],[Qty]]*Table111[[#This Row],[Unit Price]]+Table111[[#This Row],[Delivery Cost]])</f>
        <v/>
      </c>
      <c r="T420" s="72"/>
      <c r="U420" s="65"/>
      <c r="V420" s="72"/>
      <c r="W420" s="65"/>
      <c r="X420" s="63" t="str">
        <f t="shared" si="18"/>
        <v/>
      </c>
      <c r="Y420" s="63" t="str">
        <f t="shared" si="19"/>
        <v/>
      </c>
      <c r="Z420" s="63" t="str">
        <f t="shared" si="20"/>
        <v/>
      </c>
      <c r="AA420" s="63" t="str">
        <f>TEXT(Table111[[#This Row],[YEAR]],"0000")&amp;"-"&amp;Table111[[#This Row],[MONTH]]</f>
        <v>-</v>
      </c>
    </row>
    <row r="421" spans="2:27" x14ac:dyDescent="0.3">
      <c r="B421" s="68"/>
      <c r="C421" s="68"/>
      <c r="D421" s="68"/>
      <c r="E421" s="71"/>
      <c r="F421" s="72"/>
      <c r="G421" s="72"/>
      <c r="H421" s="74"/>
      <c r="I421" s="70"/>
      <c r="J421" s="70"/>
      <c r="K421" s="70"/>
      <c r="L421" s="74"/>
      <c r="M421" s="123"/>
      <c r="N421" s="73"/>
      <c r="O421" s="236"/>
      <c r="P421" s="117"/>
      <c r="Q421" s="117"/>
      <c r="R421" s="156" t="str">
        <f>IF(Table111[[#This Row],[Qty]]="","",Table111[[#This Row],[Qty]]*Table111[[#This Row],[Unit Price]])</f>
        <v/>
      </c>
      <c r="S421" s="156" t="str">
        <f>IF(Table111[[#This Row],[Qty]]="","",Table111[[#This Row],[Qty]]*Table111[[#This Row],[Unit Price]]+Table111[[#This Row],[Delivery Cost]])</f>
        <v/>
      </c>
      <c r="T421" s="72"/>
      <c r="U421" s="65"/>
      <c r="V421" s="72"/>
      <c r="W421" s="219"/>
      <c r="X421" s="63" t="str">
        <f t="shared" si="18"/>
        <v/>
      </c>
      <c r="Y421" s="63" t="str">
        <f t="shared" si="19"/>
        <v/>
      </c>
      <c r="Z421" s="63" t="str">
        <f t="shared" si="20"/>
        <v/>
      </c>
      <c r="AA421" s="63" t="str">
        <f>TEXT(Table111[[#This Row],[YEAR]],"0000")&amp;"-"&amp;Table111[[#This Row],[MONTH]]</f>
        <v>-</v>
      </c>
    </row>
    <row r="422" spans="2:27" x14ac:dyDescent="0.3">
      <c r="B422" s="183"/>
      <c r="C422" s="183"/>
      <c r="D422" s="183"/>
      <c r="E422" s="71"/>
      <c r="F422" s="72"/>
      <c r="G422" s="72"/>
      <c r="H422" s="74"/>
      <c r="I422" s="70"/>
      <c r="J422" s="70"/>
      <c r="K422" s="70"/>
      <c r="L422" s="74"/>
      <c r="M422" s="123"/>
      <c r="N422" s="73"/>
      <c r="O422" s="236"/>
      <c r="P422" s="117"/>
      <c r="Q422" s="117"/>
      <c r="R422" s="156" t="str">
        <f>IF(Table111[[#This Row],[Qty]]="","",Table111[[#This Row],[Qty]]*Table111[[#This Row],[Unit Price]])</f>
        <v/>
      </c>
      <c r="S422" s="156" t="str">
        <f>IF(Table111[[#This Row],[Qty]]="","",Table111[[#This Row],[Qty]]*Table111[[#This Row],[Unit Price]]+Table111[[#This Row],[Delivery Cost]])</f>
        <v/>
      </c>
      <c r="T422" s="72"/>
      <c r="U422" s="65"/>
      <c r="V422" s="72"/>
      <c r="W422" s="65"/>
      <c r="X422" s="63" t="str">
        <f t="shared" si="18"/>
        <v/>
      </c>
      <c r="Y422" s="63" t="str">
        <f t="shared" si="19"/>
        <v/>
      </c>
      <c r="Z422" s="63" t="str">
        <f t="shared" si="20"/>
        <v/>
      </c>
      <c r="AA422" s="63" t="str">
        <f>TEXT(Table111[[#This Row],[YEAR]],"0000")&amp;"-"&amp;Table111[[#This Row],[MONTH]]</f>
        <v>-</v>
      </c>
    </row>
    <row r="423" spans="2:27" x14ac:dyDescent="0.3">
      <c r="B423" s="68"/>
      <c r="C423" s="68"/>
      <c r="D423" s="68"/>
      <c r="E423" s="71"/>
      <c r="F423" s="72"/>
      <c r="G423" s="72"/>
      <c r="H423" s="74"/>
      <c r="I423" s="70"/>
      <c r="J423" s="70"/>
      <c r="K423" s="70"/>
      <c r="L423" s="74"/>
      <c r="M423" s="123"/>
      <c r="N423" s="73"/>
      <c r="O423" s="236"/>
      <c r="P423" s="117"/>
      <c r="Q423" s="117"/>
      <c r="R423" s="156" t="str">
        <f>IF(Table111[[#This Row],[Qty]]="","",Table111[[#This Row],[Qty]]*Table111[[#This Row],[Unit Price]])</f>
        <v/>
      </c>
      <c r="S423" s="156" t="str">
        <f>IF(Table111[[#This Row],[Qty]]="","",Table111[[#This Row],[Qty]]*Table111[[#This Row],[Unit Price]]+Table111[[#This Row],[Delivery Cost]])</f>
        <v/>
      </c>
      <c r="T423" s="72"/>
      <c r="U423" s="65"/>
      <c r="V423" s="72"/>
      <c r="W423" s="219"/>
      <c r="X423" s="63" t="str">
        <f t="shared" si="18"/>
        <v/>
      </c>
      <c r="Y423" s="63" t="str">
        <f t="shared" si="19"/>
        <v/>
      </c>
      <c r="Z423" s="63" t="str">
        <f t="shared" si="20"/>
        <v/>
      </c>
      <c r="AA423" s="63" t="str">
        <f>TEXT(Table111[[#This Row],[YEAR]],"0000")&amp;"-"&amp;Table111[[#This Row],[MONTH]]</f>
        <v>-</v>
      </c>
    </row>
    <row r="424" spans="2:27" x14ac:dyDescent="0.3">
      <c r="B424" s="183"/>
      <c r="C424" s="183"/>
      <c r="D424" s="183"/>
      <c r="E424" s="71"/>
      <c r="F424" s="72"/>
      <c r="G424" s="72"/>
      <c r="H424" s="74"/>
      <c r="I424" s="70"/>
      <c r="J424" s="70"/>
      <c r="K424" s="70"/>
      <c r="L424" s="74"/>
      <c r="M424" s="123"/>
      <c r="N424" s="73"/>
      <c r="O424" s="236"/>
      <c r="P424" s="117"/>
      <c r="Q424" s="117"/>
      <c r="R424" s="156" t="str">
        <f>IF(Table111[[#This Row],[Qty]]="","",Table111[[#This Row],[Qty]]*Table111[[#This Row],[Unit Price]])</f>
        <v/>
      </c>
      <c r="S424" s="156" t="str">
        <f>IF(Table111[[#This Row],[Qty]]="","",Table111[[#This Row],[Qty]]*Table111[[#This Row],[Unit Price]]+Table111[[#This Row],[Delivery Cost]])</f>
        <v/>
      </c>
      <c r="T424" s="72"/>
      <c r="U424" s="65"/>
      <c r="V424" s="72"/>
      <c r="W424" s="65"/>
      <c r="X424" s="63" t="str">
        <f t="shared" si="18"/>
        <v/>
      </c>
      <c r="Y424" s="63" t="str">
        <f t="shared" si="19"/>
        <v/>
      </c>
      <c r="Z424" s="63" t="str">
        <f t="shared" si="20"/>
        <v/>
      </c>
      <c r="AA424" s="63" t="str">
        <f>TEXT(Table111[[#This Row],[YEAR]],"0000")&amp;"-"&amp;Table111[[#This Row],[MONTH]]</f>
        <v>-</v>
      </c>
    </row>
    <row r="425" spans="2:27" x14ac:dyDescent="0.3">
      <c r="B425" s="68"/>
      <c r="C425" s="68"/>
      <c r="D425" s="68"/>
      <c r="E425" s="71"/>
      <c r="F425" s="72"/>
      <c r="G425" s="72"/>
      <c r="H425" s="74"/>
      <c r="I425" s="70"/>
      <c r="J425" s="70"/>
      <c r="K425" s="70"/>
      <c r="L425" s="74"/>
      <c r="M425" s="123"/>
      <c r="N425" s="73"/>
      <c r="O425" s="236"/>
      <c r="P425" s="117"/>
      <c r="Q425" s="117"/>
      <c r="R425" s="156" t="str">
        <f>IF(Table111[[#This Row],[Qty]]="","",Table111[[#This Row],[Qty]]*Table111[[#This Row],[Unit Price]])</f>
        <v/>
      </c>
      <c r="S425" s="156" t="str">
        <f>IF(Table111[[#This Row],[Qty]]="","",Table111[[#This Row],[Qty]]*Table111[[#This Row],[Unit Price]]+Table111[[#This Row],[Delivery Cost]])</f>
        <v/>
      </c>
      <c r="T425" s="72"/>
      <c r="U425" s="65"/>
      <c r="V425" s="72"/>
      <c r="W425" s="219"/>
      <c r="X425" s="63" t="str">
        <f t="shared" si="18"/>
        <v/>
      </c>
      <c r="Y425" s="63" t="str">
        <f t="shared" si="19"/>
        <v/>
      </c>
      <c r="Z425" s="63" t="str">
        <f t="shared" si="20"/>
        <v/>
      </c>
      <c r="AA425" s="63" t="str">
        <f>TEXT(Table111[[#This Row],[YEAR]],"0000")&amp;"-"&amp;Table111[[#This Row],[MONTH]]</f>
        <v>-</v>
      </c>
    </row>
    <row r="426" spans="2:27" x14ac:dyDescent="0.3">
      <c r="B426" s="183"/>
      <c r="C426" s="183"/>
      <c r="D426" s="183"/>
      <c r="E426" s="71"/>
      <c r="F426" s="72"/>
      <c r="G426" s="72"/>
      <c r="H426" s="74"/>
      <c r="I426" s="70"/>
      <c r="J426" s="70"/>
      <c r="K426" s="70"/>
      <c r="L426" s="74"/>
      <c r="M426" s="123"/>
      <c r="N426" s="73"/>
      <c r="O426" s="236"/>
      <c r="P426" s="117"/>
      <c r="Q426" s="117"/>
      <c r="R426" s="156" t="str">
        <f>IF(Table111[[#This Row],[Qty]]="","",Table111[[#This Row],[Qty]]*Table111[[#This Row],[Unit Price]])</f>
        <v/>
      </c>
      <c r="S426" s="156" t="str">
        <f>IF(Table111[[#This Row],[Qty]]="","",Table111[[#This Row],[Qty]]*Table111[[#This Row],[Unit Price]]+Table111[[#This Row],[Delivery Cost]])</f>
        <v/>
      </c>
      <c r="T426" s="72"/>
      <c r="U426" s="65"/>
      <c r="V426" s="72"/>
      <c r="W426" s="65"/>
      <c r="X426" s="63" t="str">
        <f t="shared" si="18"/>
        <v/>
      </c>
      <c r="Y426" s="63" t="str">
        <f t="shared" si="19"/>
        <v/>
      </c>
      <c r="Z426" s="63" t="str">
        <f t="shared" si="20"/>
        <v/>
      </c>
      <c r="AA426" s="63" t="str">
        <f>TEXT(Table111[[#This Row],[YEAR]],"0000")&amp;"-"&amp;Table111[[#This Row],[MONTH]]</f>
        <v>-</v>
      </c>
    </row>
    <row r="427" spans="2:27" x14ac:dyDescent="0.3">
      <c r="B427" s="68"/>
      <c r="C427" s="68"/>
      <c r="D427" s="68"/>
      <c r="E427" s="71"/>
      <c r="F427" s="72"/>
      <c r="G427" s="72"/>
      <c r="H427" s="74"/>
      <c r="I427" s="70"/>
      <c r="J427" s="70"/>
      <c r="K427" s="70"/>
      <c r="L427" s="74"/>
      <c r="M427" s="123"/>
      <c r="N427" s="73"/>
      <c r="O427" s="236"/>
      <c r="P427" s="117"/>
      <c r="Q427" s="117"/>
      <c r="R427" s="156" t="str">
        <f>IF(Table111[[#This Row],[Qty]]="","",Table111[[#This Row],[Qty]]*Table111[[#This Row],[Unit Price]])</f>
        <v/>
      </c>
      <c r="S427" s="156" t="str">
        <f>IF(Table111[[#This Row],[Qty]]="","",Table111[[#This Row],[Qty]]*Table111[[#This Row],[Unit Price]]+Table111[[#This Row],[Delivery Cost]])</f>
        <v/>
      </c>
      <c r="T427" s="72"/>
      <c r="U427" s="65"/>
      <c r="V427" s="72"/>
      <c r="W427" s="219"/>
      <c r="X427" s="63" t="str">
        <f t="shared" si="18"/>
        <v/>
      </c>
      <c r="Y427" s="63" t="str">
        <f t="shared" si="19"/>
        <v/>
      </c>
      <c r="Z427" s="63" t="str">
        <f t="shared" si="20"/>
        <v/>
      </c>
      <c r="AA427" s="63" t="str">
        <f>TEXT(Table111[[#This Row],[YEAR]],"0000")&amp;"-"&amp;Table111[[#This Row],[MONTH]]</f>
        <v>-</v>
      </c>
    </row>
    <row r="428" spans="2:27" x14ac:dyDescent="0.3">
      <c r="B428" s="183"/>
      <c r="C428" s="183"/>
      <c r="D428" s="183"/>
      <c r="E428" s="71"/>
      <c r="F428" s="72"/>
      <c r="G428" s="72"/>
      <c r="H428" s="74"/>
      <c r="I428" s="70"/>
      <c r="J428" s="70"/>
      <c r="K428" s="70"/>
      <c r="L428" s="74"/>
      <c r="M428" s="123"/>
      <c r="N428" s="73"/>
      <c r="O428" s="236"/>
      <c r="P428" s="117"/>
      <c r="Q428" s="117"/>
      <c r="R428" s="156" t="str">
        <f>IF(Table111[[#This Row],[Qty]]="","",Table111[[#This Row],[Qty]]*Table111[[#This Row],[Unit Price]])</f>
        <v/>
      </c>
      <c r="S428" s="156" t="str">
        <f>IF(Table111[[#This Row],[Qty]]="","",Table111[[#This Row],[Qty]]*Table111[[#This Row],[Unit Price]]+Table111[[#This Row],[Delivery Cost]])</f>
        <v/>
      </c>
      <c r="T428" s="72"/>
      <c r="U428" s="65"/>
      <c r="V428" s="72"/>
      <c r="W428" s="65"/>
      <c r="X428" s="63" t="str">
        <f t="shared" si="18"/>
        <v/>
      </c>
      <c r="Y428" s="63" t="str">
        <f t="shared" si="19"/>
        <v/>
      </c>
      <c r="Z428" s="63" t="str">
        <f t="shared" si="20"/>
        <v/>
      </c>
      <c r="AA428" s="63" t="str">
        <f>TEXT(Table111[[#This Row],[YEAR]],"0000")&amp;"-"&amp;Table111[[#This Row],[MONTH]]</f>
        <v>-</v>
      </c>
    </row>
    <row r="429" spans="2:27" x14ac:dyDescent="0.3">
      <c r="B429" s="68"/>
      <c r="C429" s="68"/>
      <c r="D429" s="68"/>
      <c r="E429" s="71"/>
      <c r="F429" s="72"/>
      <c r="G429" s="72"/>
      <c r="H429" s="74"/>
      <c r="I429" s="70"/>
      <c r="J429" s="70"/>
      <c r="K429" s="70"/>
      <c r="L429" s="74"/>
      <c r="M429" s="123"/>
      <c r="N429" s="73"/>
      <c r="O429" s="236"/>
      <c r="P429" s="117"/>
      <c r="Q429" s="117"/>
      <c r="R429" s="156" t="str">
        <f>IF(Table111[[#This Row],[Qty]]="","",Table111[[#This Row],[Qty]]*Table111[[#This Row],[Unit Price]])</f>
        <v/>
      </c>
      <c r="S429" s="156" t="str">
        <f>IF(Table111[[#This Row],[Qty]]="","",Table111[[#This Row],[Qty]]*Table111[[#This Row],[Unit Price]]+Table111[[#This Row],[Delivery Cost]])</f>
        <v/>
      </c>
      <c r="T429" s="72"/>
      <c r="U429" s="65"/>
      <c r="V429" s="72"/>
      <c r="W429" s="219"/>
      <c r="X429" s="63" t="str">
        <f t="shared" si="18"/>
        <v/>
      </c>
      <c r="Y429" s="63" t="str">
        <f t="shared" si="19"/>
        <v/>
      </c>
      <c r="Z429" s="63" t="str">
        <f t="shared" si="20"/>
        <v/>
      </c>
      <c r="AA429" s="63" t="str">
        <f>TEXT(Table111[[#This Row],[YEAR]],"0000")&amp;"-"&amp;Table111[[#This Row],[MONTH]]</f>
        <v>-</v>
      </c>
    </row>
    <row r="430" spans="2:27" x14ac:dyDescent="0.3">
      <c r="B430" s="183"/>
      <c r="C430" s="183"/>
      <c r="D430" s="183"/>
      <c r="E430" s="71"/>
      <c r="F430" s="72"/>
      <c r="G430" s="72"/>
      <c r="H430" s="74"/>
      <c r="I430" s="70"/>
      <c r="J430" s="70"/>
      <c r="K430" s="70"/>
      <c r="L430" s="74"/>
      <c r="M430" s="123"/>
      <c r="N430" s="73"/>
      <c r="O430" s="236"/>
      <c r="P430" s="117"/>
      <c r="Q430" s="117"/>
      <c r="R430" s="156" t="str">
        <f>IF(Table111[[#This Row],[Qty]]="","",Table111[[#This Row],[Qty]]*Table111[[#This Row],[Unit Price]])</f>
        <v/>
      </c>
      <c r="S430" s="156" t="str">
        <f>IF(Table111[[#This Row],[Qty]]="","",Table111[[#This Row],[Qty]]*Table111[[#This Row],[Unit Price]]+Table111[[#This Row],[Delivery Cost]])</f>
        <v/>
      </c>
      <c r="T430" s="72"/>
      <c r="U430" s="65"/>
      <c r="V430" s="72"/>
      <c r="W430" s="65"/>
      <c r="X430" s="63" t="str">
        <f t="shared" si="18"/>
        <v/>
      </c>
      <c r="Y430" s="63" t="str">
        <f t="shared" si="19"/>
        <v/>
      </c>
      <c r="Z430" s="63" t="str">
        <f t="shared" si="20"/>
        <v/>
      </c>
      <c r="AA430" s="63" t="str">
        <f>TEXT(Table111[[#This Row],[YEAR]],"0000")&amp;"-"&amp;Table111[[#This Row],[MONTH]]</f>
        <v>-</v>
      </c>
    </row>
    <row r="431" spans="2:27" x14ac:dyDescent="0.3">
      <c r="B431" s="68"/>
      <c r="C431" s="68"/>
      <c r="D431" s="68"/>
      <c r="E431" s="71"/>
      <c r="F431" s="72"/>
      <c r="G431" s="72"/>
      <c r="H431" s="74"/>
      <c r="I431" s="70"/>
      <c r="J431" s="70"/>
      <c r="K431" s="70"/>
      <c r="L431" s="74"/>
      <c r="M431" s="123"/>
      <c r="N431" s="73"/>
      <c r="O431" s="236"/>
      <c r="P431" s="117"/>
      <c r="Q431" s="117"/>
      <c r="R431" s="156" t="str">
        <f>IF(Table111[[#This Row],[Qty]]="","",Table111[[#This Row],[Qty]]*Table111[[#This Row],[Unit Price]])</f>
        <v/>
      </c>
      <c r="S431" s="156" t="str">
        <f>IF(Table111[[#This Row],[Qty]]="","",Table111[[#This Row],[Qty]]*Table111[[#This Row],[Unit Price]]+Table111[[#This Row],[Delivery Cost]])</f>
        <v/>
      </c>
      <c r="T431" s="72"/>
      <c r="U431" s="65"/>
      <c r="V431" s="72"/>
      <c r="W431" s="219"/>
      <c r="X431" s="63" t="str">
        <f t="shared" si="18"/>
        <v/>
      </c>
      <c r="Y431" s="63" t="str">
        <f t="shared" si="19"/>
        <v/>
      </c>
      <c r="Z431" s="63" t="str">
        <f t="shared" si="20"/>
        <v/>
      </c>
      <c r="AA431" s="63" t="str">
        <f>TEXT(Table111[[#This Row],[YEAR]],"0000")&amp;"-"&amp;Table111[[#This Row],[MONTH]]</f>
        <v>-</v>
      </c>
    </row>
    <row r="432" spans="2:27" x14ac:dyDescent="0.3">
      <c r="B432" s="183"/>
      <c r="C432" s="183"/>
      <c r="D432" s="183"/>
      <c r="E432" s="71"/>
      <c r="F432" s="72"/>
      <c r="G432" s="72"/>
      <c r="H432" s="74"/>
      <c r="I432" s="70"/>
      <c r="J432" s="70"/>
      <c r="K432" s="70"/>
      <c r="L432" s="74"/>
      <c r="M432" s="123"/>
      <c r="N432" s="73"/>
      <c r="O432" s="236"/>
      <c r="P432" s="117"/>
      <c r="Q432" s="117"/>
      <c r="R432" s="156" t="str">
        <f>IF(Table111[[#This Row],[Qty]]="","",Table111[[#This Row],[Qty]]*Table111[[#This Row],[Unit Price]])</f>
        <v/>
      </c>
      <c r="S432" s="156" t="str">
        <f>IF(Table111[[#This Row],[Qty]]="","",Table111[[#This Row],[Qty]]*Table111[[#This Row],[Unit Price]]+Table111[[#This Row],[Delivery Cost]])</f>
        <v/>
      </c>
      <c r="T432" s="72"/>
      <c r="U432" s="65"/>
      <c r="V432" s="72"/>
      <c r="W432" s="65"/>
      <c r="X432" s="63" t="str">
        <f t="shared" si="18"/>
        <v/>
      </c>
      <c r="Y432" s="63" t="str">
        <f t="shared" si="19"/>
        <v/>
      </c>
      <c r="Z432" s="63" t="str">
        <f t="shared" si="20"/>
        <v/>
      </c>
      <c r="AA432" s="63" t="str">
        <f>TEXT(Table111[[#This Row],[YEAR]],"0000")&amp;"-"&amp;Table111[[#This Row],[MONTH]]</f>
        <v>-</v>
      </c>
    </row>
    <row r="433" spans="2:27" x14ac:dyDescent="0.3">
      <c r="B433" s="68"/>
      <c r="C433" s="68"/>
      <c r="D433" s="68"/>
      <c r="E433" s="71"/>
      <c r="F433" s="72"/>
      <c r="G433" s="72"/>
      <c r="H433" s="74"/>
      <c r="I433" s="70"/>
      <c r="J433" s="70"/>
      <c r="K433" s="70"/>
      <c r="L433" s="74"/>
      <c r="M433" s="123"/>
      <c r="N433" s="73"/>
      <c r="O433" s="236"/>
      <c r="P433" s="117"/>
      <c r="Q433" s="117"/>
      <c r="R433" s="156" t="str">
        <f>IF(Table111[[#This Row],[Qty]]="","",Table111[[#This Row],[Qty]]*Table111[[#This Row],[Unit Price]])</f>
        <v/>
      </c>
      <c r="S433" s="156" t="str">
        <f>IF(Table111[[#This Row],[Qty]]="","",Table111[[#This Row],[Qty]]*Table111[[#This Row],[Unit Price]]+Table111[[#This Row],[Delivery Cost]])</f>
        <v/>
      </c>
      <c r="T433" s="72"/>
      <c r="U433" s="65"/>
      <c r="V433" s="72"/>
      <c r="W433" s="219"/>
      <c r="X433" s="63" t="str">
        <f t="shared" si="18"/>
        <v/>
      </c>
      <c r="Y433" s="63" t="str">
        <f t="shared" si="19"/>
        <v/>
      </c>
      <c r="Z433" s="63" t="str">
        <f t="shared" si="20"/>
        <v/>
      </c>
      <c r="AA433" s="63" t="str">
        <f>TEXT(Table111[[#This Row],[YEAR]],"0000")&amp;"-"&amp;Table111[[#This Row],[MONTH]]</f>
        <v>-</v>
      </c>
    </row>
    <row r="434" spans="2:27" x14ac:dyDescent="0.3">
      <c r="B434" s="183"/>
      <c r="C434" s="183"/>
      <c r="D434" s="183"/>
      <c r="E434" s="71"/>
      <c r="F434" s="72"/>
      <c r="G434" s="72"/>
      <c r="H434" s="74"/>
      <c r="I434" s="70"/>
      <c r="J434" s="70"/>
      <c r="K434" s="70"/>
      <c r="L434" s="74"/>
      <c r="M434" s="123"/>
      <c r="N434" s="73"/>
      <c r="O434" s="236"/>
      <c r="P434" s="117"/>
      <c r="Q434" s="117"/>
      <c r="R434" s="156" t="str">
        <f>IF(Table111[[#This Row],[Qty]]="","",Table111[[#This Row],[Qty]]*Table111[[#This Row],[Unit Price]])</f>
        <v/>
      </c>
      <c r="S434" s="156" t="str">
        <f>IF(Table111[[#This Row],[Qty]]="","",Table111[[#This Row],[Qty]]*Table111[[#This Row],[Unit Price]]+Table111[[#This Row],[Delivery Cost]])</f>
        <v/>
      </c>
      <c r="T434" s="72"/>
      <c r="U434" s="65"/>
      <c r="V434" s="72"/>
      <c r="W434" s="65"/>
      <c r="X434" s="63" t="str">
        <f t="shared" si="18"/>
        <v/>
      </c>
      <c r="Y434" s="63" t="str">
        <f t="shared" si="19"/>
        <v/>
      </c>
      <c r="Z434" s="63" t="str">
        <f t="shared" si="20"/>
        <v/>
      </c>
      <c r="AA434" s="63" t="str">
        <f>TEXT(Table111[[#This Row],[YEAR]],"0000")&amp;"-"&amp;Table111[[#This Row],[MONTH]]</f>
        <v>-</v>
      </c>
    </row>
    <row r="435" spans="2:27" x14ac:dyDescent="0.3">
      <c r="B435" s="68"/>
      <c r="C435" s="68"/>
      <c r="D435" s="68"/>
      <c r="E435" s="71"/>
      <c r="F435" s="72"/>
      <c r="G435" s="72"/>
      <c r="H435" s="74"/>
      <c r="I435" s="70"/>
      <c r="J435" s="70"/>
      <c r="K435" s="70"/>
      <c r="L435" s="74"/>
      <c r="M435" s="123"/>
      <c r="N435" s="73"/>
      <c r="O435" s="236"/>
      <c r="P435" s="117"/>
      <c r="Q435" s="117"/>
      <c r="R435" s="156" t="str">
        <f>IF(Table111[[#This Row],[Qty]]="","",Table111[[#This Row],[Qty]]*Table111[[#This Row],[Unit Price]])</f>
        <v/>
      </c>
      <c r="S435" s="156" t="str">
        <f>IF(Table111[[#This Row],[Qty]]="","",Table111[[#This Row],[Qty]]*Table111[[#This Row],[Unit Price]]+Table111[[#This Row],[Delivery Cost]])</f>
        <v/>
      </c>
      <c r="T435" s="72"/>
      <c r="U435" s="65"/>
      <c r="V435" s="72"/>
      <c r="W435" s="219"/>
      <c r="X435" s="63" t="str">
        <f t="shared" si="18"/>
        <v/>
      </c>
      <c r="Y435" s="63" t="str">
        <f t="shared" si="19"/>
        <v/>
      </c>
      <c r="Z435" s="63" t="str">
        <f t="shared" si="20"/>
        <v/>
      </c>
      <c r="AA435" s="63" t="str">
        <f>TEXT(Table111[[#This Row],[YEAR]],"0000")&amp;"-"&amp;Table111[[#This Row],[MONTH]]</f>
        <v>-</v>
      </c>
    </row>
    <row r="436" spans="2:27" x14ac:dyDescent="0.3">
      <c r="B436" s="183"/>
      <c r="C436" s="183"/>
      <c r="D436" s="183"/>
      <c r="E436" s="71"/>
      <c r="F436" s="72"/>
      <c r="G436" s="72"/>
      <c r="H436" s="74"/>
      <c r="I436" s="70"/>
      <c r="J436" s="70"/>
      <c r="K436" s="70"/>
      <c r="L436" s="74"/>
      <c r="M436" s="123"/>
      <c r="N436" s="73"/>
      <c r="O436" s="236"/>
      <c r="P436" s="117"/>
      <c r="Q436" s="117"/>
      <c r="R436" s="156" t="str">
        <f>IF(Table111[[#This Row],[Qty]]="","",Table111[[#This Row],[Qty]]*Table111[[#This Row],[Unit Price]])</f>
        <v/>
      </c>
      <c r="S436" s="156" t="str">
        <f>IF(Table111[[#This Row],[Qty]]="","",Table111[[#This Row],[Qty]]*Table111[[#This Row],[Unit Price]]+Table111[[#This Row],[Delivery Cost]])</f>
        <v/>
      </c>
      <c r="T436" s="72"/>
      <c r="U436" s="65"/>
      <c r="V436" s="72"/>
      <c r="W436" s="65"/>
      <c r="X436" s="63" t="str">
        <f t="shared" si="18"/>
        <v/>
      </c>
      <c r="Y436" s="63" t="str">
        <f t="shared" si="19"/>
        <v/>
      </c>
      <c r="Z436" s="63" t="str">
        <f t="shared" si="20"/>
        <v/>
      </c>
      <c r="AA436" s="63" t="str">
        <f>TEXT(Table111[[#This Row],[YEAR]],"0000")&amp;"-"&amp;Table111[[#This Row],[MONTH]]</f>
        <v>-</v>
      </c>
    </row>
    <row r="437" spans="2:27" x14ac:dyDescent="0.3">
      <c r="B437" s="68"/>
      <c r="C437" s="68"/>
      <c r="D437" s="68"/>
      <c r="E437" s="71"/>
      <c r="F437" s="72"/>
      <c r="G437" s="72"/>
      <c r="H437" s="74"/>
      <c r="I437" s="70"/>
      <c r="J437" s="70"/>
      <c r="K437" s="70"/>
      <c r="L437" s="74"/>
      <c r="M437" s="123"/>
      <c r="N437" s="73"/>
      <c r="O437" s="236"/>
      <c r="P437" s="117"/>
      <c r="Q437" s="117"/>
      <c r="R437" s="156" t="str">
        <f>IF(Table111[[#This Row],[Qty]]="","",Table111[[#This Row],[Qty]]*Table111[[#This Row],[Unit Price]])</f>
        <v/>
      </c>
      <c r="S437" s="156" t="str">
        <f>IF(Table111[[#This Row],[Qty]]="","",Table111[[#This Row],[Qty]]*Table111[[#This Row],[Unit Price]]+Table111[[#This Row],[Delivery Cost]])</f>
        <v/>
      </c>
      <c r="T437" s="72"/>
      <c r="U437" s="65"/>
      <c r="V437" s="72"/>
      <c r="W437" s="219"/>
      <c r="X437" s="63" t="str">
        <f t="shared" si="18"/>
        <v/>
      </c>
      <c r="Y437" s="63" t="str">
        <f t="shared" si="19"/>
        <v/>
      </c>
      <c r="Z437" s="63" t="str">
        <f t="shared" si="20"/>
        <v/>
      </c>
      <c r="AA437" s="63" t="str">
        <f>TEXT(Table111[[#This Row],[YEAR]],"0000")&amp;"-"&amp;Table111[[#This Row],[MONTH]]</f>
        <v>-</v>
      </c>
    </row>
    <row r="438" spans="2:27" x14ac:dyDescent="0.3">
      <c r="B438" s="183"/>
      <c r="C438" s="183"/>
      <c r="D438" s="183"/>
      <c r="E438" s="71"/>
      <c r="F438" s="72"/>
      <c r="G438" s="72"/>
      <c r="H438" s="74"/>
      <c r="I438" s="70"/>
      <c r="J438" s="70"/>
      <c r="K438" s="70"/>
      <c r="L438" s="74"/>
      <c r="M438" s="123"/>
      <c r="N438" s="73"/>
      <c r="O438" s="236"/>
      <c r="P438" s="117"/>
      <c r="Q438" s="117"/>
      <c r="R438" s="156" t="str">
        <f>IF(Table111[[#This Row],[Qty]]="","",Table111[[#This Row],[Qty]]*Table111[[#This Row],[Unit Price]])</f>
        <v/>
      </c>
      <c r="S438" s="156" t="str">
        <f>IF(Table111[[#This Row],[Qty]]="","",Table111[[#This Row],[Qty]]*Table111[[#This Row],[Unit Price]]+Table111[[#This Row],[Delivery Cost]])</f>
        <v/>
      </c>
      <c r="T438" s="72"/>
      <c r="U438" s="65"/>
      <c r="V438" s="72"/>
      <c r="W438" s="65"/>
      <c r="X438" s="63" t="str">
        <f t="shared" si="18"/>
        <v/>
      </c>
      <c r="Y438" s="63" t="str">
        <f t="shared" si="19"/>
        <v/>
      </c>
      <c r="Z438" s="63" t="str">
        <f t="shared" si="20"/>
        <v/>
      </c>
      <c r="AA438" s="63" t="str">
        <f>TEXT(Table111[[#This Row],[YEAR]],"0000")&amp;"-"&amp;Table111[[#This Row],[MONTH]]</f>
        <v>-</v>
      </c>
    </row>
    <row r="439" spans="2:27" x14ac:dyDescent="0.3">
      <c r="B439" s="68"/>
      <c r="C439" s="68"/>
      <c r="D439" s="68"/>
      <c r="E439" s="71"/>
      <c r="F439" s="72"/>
      <c r="G439" s="72"/>
      <c r="H439" s="74"/>
      <c r="I439" s="70"/>
      <c r="J439" s="70"/>
      <c r="K439" s="70"/>
      <c r="L439" s="74"/>
      <c r="M439" s="123"/>
      <c r="N439" s="73"/>
      <c r="O439" s="236"/>
      <c r="P439" s="117"/>
      <c r="Q439" s="117"/>
      <c r="R439" s="156" t="str">
        <f>IF(Table111[[#This Row],[Qty]]="","",Table111[[#This Row],[Qty]]*Table111[[#This Row],[Unit Price]])</f>
        <v/>
      </c>
      <c r="S439" s="156" t="str">
        <f>IF(Table111[[#This Row],[Qty]]="","",Table111[[#This Row],[Qty]]*Table111[[#This Row],[Unit Price]]+Table111[[#This Row],[Delivery Cost]])</f>
        <v/>
      </c>
      <c r="T439" s="72"/>
      <c r="U439" s="65"/>
      <c r="V439" s="72"/>
      <c r="W439" s="219"/>
      <c r="X439" s="63" t="str">
        <f t="shared" si="18"/>
        <v/>
      </c>
      <c r="Y439" s="63" t="str">
        <f t="shared" si="19"/>
        <v/>
      </c>
      <c r="Z439" s="63" t="str">
        <f t="shared" si="20"/>
        <v/>
      </c>
      <c r="AA439" s="63" t="str">
        <f>TEXT(Table111[[#This Row],[YEAR]],"0000")&amp;"-"&amp;Table111[[#This Row],[MONTH]]</f>
        <v>-</v>
      </c>
    </row>
    <row r="440" spans="2:27" x14ac:dyDescent="0.3">
      <c r="B440" s="183"/>
      <c r="C440" s="183"/>
      <c r="D440" s="183"/>
      <c r="E440" s="71"/>
      <c r="F440" s="72"/>
      <c r="G440" s="72"/>
      <c r="H440" s="74"/>
      <c r="I440" s="70"/>
      <c r="J440" s="70"/>
      <c r="K440" s="70"/>
      <c r="L440" s="74"/>
      <c r="M440" s="123"/>
      <c r="N440" s="73"/>
      <c r="O440" s="236"/>
      <c r="P440" s="117"/>
      <c r="Q440" s="117"/>
      <c r="R440" s="156" t="str">
        <f>IF(Table111[[#This Row],[Qty]]="","",Table111[[#This Row],[Qty]]*Table111[[#This Row],[Unit Price]])</f>
        <v/>
      </c>
      <c r="S440" s="156" t="str">
        <f>IF(Table111[[#This Row],[Qty]]="","",Table111[[#This Row],[Qty]]*Table111[[#This Row],[Unit Price]]+Table111[[#This Row],[Delivery Cost]])</f>
        <v/>
      </c>
      <c r="T440" s="72"/>
      <c r="U440" s="65"/>
      <c r="V440" s="72"/>
      <c r="W440" s="65"/>
      <c r="X440" s="63" t="str">
        <f t="shared" si="18"/>
        <v/>
      </c>
      <c r="Y440" s="63" t="str">
        <f t="shared" si="19"/>
        <v/>
      </c>
      <c r="Z440" s="63" t="str">
        <f t="shared" si="20"/>
        <v/>
      </c>
      <c r="AA440" s="63" t="str">
        <f>TEXT(Table111[[#This Row],[YEAR]],"0000")&amp;"-"&amp;Table111[[#This Row],[MONTH]]</f>
        <v>-</v>
      </c>
    </row>
    <row r="441" spans="2:27" x14ac:dyDescent="0.3">
      <c r="B441" s="68"/>
      <c r="C441" s="68"/>
      <c r="D441" s="68"/>
      <c r="E441" s="71"/>
      <c r="F441" s="72"/>
      <c r="G441" s="72"/>
      <c r="H441" s="74"/>
      <c r="I441" s="70"/>
      <c r="J441" s="70"/>
      <c r="K441" s="70"/>
      <c r="L441" s="74"/>
      <c r="M441" s="123"/>
      <c r="N441" s="73"/>
      <c r="O441" s="236"/>
      <c r="P441" s="117"/>
      <c r="Q441" s="117"/>
      <c r="R441" s="156" t="str">
        <f>IF(Table111[[#This Row],[Qty]]="","",Table111[[#This Row],[Qty]]*Table111[[#This Row],[Unit Price]])</f>
        <v/>
      </c>
      <c r="S441" s="156" t="str">
        <f>IF(Table111[[#This Row],[Qty]]="","",Table111[[#This Row],[Qty]]*Table111[[#This Row],[Unit Price]]+Table111[[#This Row],[Delivery Cost]])</f>
        <v/>
      </c>
      <c r="T441" s="72"/>
      <c r="U441" s="65"/>
      <c r="V441" s="72"/>
      <c r="W441" s="219"/>
      <c r="X441" s="63" t="str">
        <f t="shared" si="18"/>
        <v/>
      </c>
      <c r="Y441" s="63" t="str">
        <f t="shared" si="19"/>
        <v/>
      </c>
      <c r="Z441" s="63" t="str">
        <f t="shared" si="20"/>
        <v/>
      </c>
      <c r="AA441" s="63" t="str">
        <f>TEXT(Table111[[#This Row],[YEAR]],"0000")&amp;"-"&amp;Table111[[#This Row],[MONTH]]</f>
        <v>-</v>
      </c>
    </row>
    <row r="442" spans="2:27" x14ac:dyDescent="0.3">
      <c r="B442" s="183"/>
      <c r="C442" s="183"/>
      <c r="D442" s="183"/>
      <c r="E442" s="71"/>
      <c r="F442" s="72"/>
      <c r="G442" s="72"/>
      <c r="H442" s="74"/>
      <c r="I442" s="70"/>
      <c r="J442" s="70"/>
      <c r="K442" s="70"/>
      <c r="L442" s="74"/>
      <c r="M442" s="123"/>
      <c r="N442" s="73"/>
      <c r="O442" s="236"/>
      <c r="P442" s="117"/>
      <c r="Q442" s="117"/>
      <c r="R442" s="156" t="str">
        <f>IF(Table111[[#This Row],[Qty]]="","",Table111[[#This Row],[Qty]]*Table111[[#This Row],[Unit Price]])</f>
        <v/>
      </c>
      <c r="S442" s="156" t="str">
        <f>IF(Table111[[#This Row],[Qty]]="","",Table111[[#This Row],[Qty]]*Table111[[#This Row],[Unit Price]]+Table111[[#This Row],[Delivery Cost]])</f>
        <v/>
      </c>
      <c r="T442" s="72"/>
      <c r="U442" s="65"/>
      <c r="V442" s="72"/>
      <c r="W442" s="65"/>
      <c r="X442" s="63" t="str">
        <f t="shared" si="18"/>
        <v/>
      </c>
      <c r="Y442" s="63" t="str">
        <f t="shared" si="19"/>
        <v/>
      </c>
      <c r="Z442" s="63" t="str">
        <f t="shared" si="20"/>
        <v/>
      </c>
      <c r="AA442" s="63" t="str">
        <f>TEXT(Table111[[#This Row],[YEAR]],"0000")&amp;"-"&amp;Table111[[#This Row],[MONTH]]</f>
        <v>-</v>
      </c>
    </row>
    <row r="443" spans="2:27" x14ac:dyDescent="0.3">
      <c r="B443" s="68"/>
      <c r="C443" s="68"/>
      <c r="D443" s="68"/>
      <c r="E443" s="71"/>
      <c r="F443" s="72"/>
      <c r="G443" s="72"/>
      <c r="H443" s="74"/>
      <c r="I443" s="70"/>
      <c r="J443" s="70"/>
      <c r="K443" s="70"/>
      <c r="L443" s="74"/>
      <c r="M443" s="123"/>
      <c r="N443" s="73"/>
      <c r="O443" s="236"/>
      <c r="P443" s="117"/>
      <c r="Q443" s="117"/>
      <c r="R443" s="156" t="str">
        <f>IF(Table111[[#This Row],[Qty]]="","",Table111[[#This Row],[Qty]]*Table111[[#This Row],[Unit Price]])</f>
        <v/>
      </c>
      <c r="S443" s="156" t="str">
        <f>IF(Table111[[#This Row],[Qty]]="","",Table111[[#This Row],[Qty]]*Table111[[#This Row],[Unit Price]]+Table111[[#This Row],[Delivery Cost]])</f>
        <v/>
      </c>
      <c r="T443" s="72"/>
      <c r="U443" s="65"/>
      <c r="V443" s="72"/>
      <c r="W443" s="219"/>
      <c r="X443" s="63" t="str">
        <f t="shared" si="18"/>
        <v/>
      </c>
      <c r="Y443" s="63" t="str">
        <f t="shared" si="19"/>
        <v/>
      </c>
      <c r="Z443" s="63" t="str">
        <f t="shared" si="20"/>
        <v/>
      </c>
      <c r="AA443" s="63" t="str">
        <f>TEXT(Table111[[#This Row],[YEAR]],"0000")&amp;"-"&amp;Table111[[#This Row],[MONTH]]</f>
        <v>-</v>
      </c>
    </row>
    <row r="444" spans="2:27" x14ac:dyDescent="0.3">
      <c r="B444" s="183"/>
      <c r="C444" s="183"/>
      <c r="D444" s="183"/>
      <c r="E444" s="71"/>
      <c r="F444" s="72"/>
      <c r="G444" s="72"/>
      <c r="H444" s="74"/>
      <c r="I444" s="70"/>
      <c r="J444" s="70"/>
      <c r="K444" s="70"/>
      <c r="L444" s="74"/>
      <c r="M444" s="123"/>
      <c r="N444" s="73"/>
      <c r="O444" s="236"/>
      <c r="P444" s="117"/>
      <c r="Q444" s="117"/>
      <c r="R444" s="156" t="str">
        <f>IF(Table111[[#This Row],[Qty]]="","",Table111[[#This Row],[Qty]]*Table111[[#This Row],[Unit Price]])</f>
        <v/>
      </c>
      <c r="S444" s="156" t="str">
        <f>IF(Table111[[#This Row],[Qty]]="","",Table111[[#This Row],[Qty]]*Table111[[#This Row],[Unit Price]]+Table111[[#This Row],[Delivery Cost]])</f>
        <v/>
      </c>
      <c r="T444" s="72"/>
      <c r="U444" s="65"/>
      <c r="V444" s="72"/>
      <c r="W444" s="65"/>
      <c r="X444" s="63" t="str">
        <f t="shared" si="18"/>
        <v/>
      </c>
      <c r="Y444" s="63" t="str">
        <f t="shared" si="19"/>
        <v/>
      </c>
      <c r="Z444" s="63" t="str">
        <f t="shared" si="20"/>
        <v/>
      </c>
      <c r="AA444" s="63" t="str">
        <f>TEXT(Table111[[#This Row],[YEAR]],"0000")&amp;"-"&amp;Table111[[#This Row],[MONTH]]</f>
        <v>-</v>
      </c>
    </row>
    <row r="445" spans="2:27" x14ac:dyDescent="0.3">
      <c r="B445" s="68"/>
      <c r="C445" s="68"/>
      <c r="D445" s="68"/>
      <c r="E445" s="71"/>
      <c r="F445" s="72"/>
      <c r="G445" s="72"/>
      <c r="H445" s="74"/>
      <c r="I445" s="70"/>
      <c r="J445" s="70"/>
      <c r="K445" s="70"/>
      <c r="L445" s="74"/>
      <c r="M445" s="123"/>
      <c r="N445" s="73"/>
      <c r="O445" s="236"/>
      <c r="P445" s="117"/>
      <c r="Q445" s="117"/>
      <c r="R445" s="156" t="str">
        <f>IF(Table111[[#This Row],[Qty]]="","",Table111[[#This Row],[Qty]]*Table111[[#This Row],[Unit Price]])</f>
        <v/>
      </c>
      <c r="S445" s="156" t="str">
        <f>IF(Table111[[#This Row],[Qty]]="","",Table111[[#This Row],[Qty]]*Table111[[#This Row],[Unit Price]]+Table111[[#This Row],[Delivery Cost]])</f>
        <v/>
      </c>
      <c r="T445" s="72"/>
      <c r="U445" s="65"/>
      <c r="V445" s="72"/>
      <c r="W445" s="219"/>
      <c r="X445" s="63" t="str">
        <f t="shared" si="18"/>
        <v/>
      </c>
      <c r="Y445" s="63" t="str">
        <f t="shared" si="19"/>
        <v/>
      </c>
      <c r="Z445" s="63" t="str">
        <f t="shared" si="20"/>
        <v/>
      </c>
      <c r="AA445" s="63" t="str">
        <f>TEXT(Table111[[#This Row],[YEAR]],"0000")&amp;"-"&amp;Table111[[#This Row],[MONTH]]</f>
        <v>-</v>
      </c>
    </row>
    <row r="446" spans="2:27" x14ac:dyDescent="0.3">
      <c r="B446" s="183"/>
      <c r="C446" s="183"/>
      <c r="D446" s="183"/>
      <c r="E446" s="71"/>
      <c r="F446" s="72"/>
      <c r="G446" s="72"/>
      <c r="H446" s="74"/>
      <c r="I446" s="70"/>
      <c r="J446" s="70"/>
      <c r="K446" s="70"/>
      <c r="L446" s="74"/>
      <c r="M446" s="123"/>
      <c r="N446" s="73"/>
      <c r="O446" s="236"/>
      <c r="P446" s="117"/>
      <c r="Q446" s="117"/>
      <c r="R446" s="156" t="str">
        <f>IF(Table111[[#This Row],[Qty]]="","",Table111[[#This Row],[Qty]]*Table111[[#This Row],[Unit Price]])</f>
        <v/>
      </c>
      <c r="S446" s="156" t="str">
        <f>IF(Table111[[#This Row],[Qty]]="","",Table111[[#This Row],[Qty]]*Table111[[#This Row],[Unit Price]]+Table111[[#This Row],[Delivery Cost]])</f>
        <v/>
      </c>
      <c r="T446" s="72"/>
      <c r="U446" s="65"/>
      <c r="V446" s="72"/>
      <c r="W446" s="65"/>
      <c r="X446" s="63" t="str">
        <f t="shared" si="18"/>
        <v/>
      </c>
      <c r="Y446" s="63" t="str">
        <f t="shared" si="19"/>
        <v/>
      </c>
      <c r="Z446" s="63" t="str">
        <f t="shared" si="20"/>
        <v/>
      </c>
      <c r="AA446" s="63" t="str">
        <f>TEXT(Table111[[#This Row],[YEAR]],"0000")&amp;"-"&amp;Table111[[#This Row],[MONTH]]</f>
        <v>-</v>
      </c>
    </row>
    <row r="447" spans="2:27" x14ac:dyDescent="0.3">
      <c r="B447" s="68"/>
      <c r="C447" s="68"/>
      <c r="D447" s="68"/>
      <c r="E447" s="71"/>
      <c r="F447" s="72"/>
      <c r="G447" s="72"/>
      <c r="H447" s="74"/>
      <c r="I447" s="70"/>
      <c r="J447" s="70"/>
      <c r="K447" s="70"/>
      <c r="L447" s="74"/>
      <c r="M447" s="123"/>
      <c r="N447" s="73"/>
      <c r="O447" s="236"/>
      <c r="P447" s="117"/>
      <c r="Q447" s="117"/>
      <c r="R447" s="156" t="str">
        <f>IF(Table111[[#This Row],[Qty]]="","",Table111[[#This Row],[Qty]]*Table111[[#This Row],[Unit Price]])</f>
        <v/>
      </c>
      <c r="S447" s="156" t="str">
        <f>IF(Table111[[#This Row],[Qty]]="","",Table111[[#This Row],[Qty]]*Table111[[#This Row],[Unit Price]]+Table111[[#This Row],[Delivery Cost]])</f>
        <v/>
      </c>
      <c r="T447" s="72"/>
      <c r="U447" s="65"/>
      <c r="V447" s="72"/>
      <c r="W447" s="219"/>
      <c r="X447" s="63" t="str">
        <f t="shared" si="18"/>
        <v/>
      </c>
      <c r="Y447" s="63" t="str">
        <f t="shared" si="19"/>
        <v/>
      </c>
      <c r="Z447" s="63" t="str">
        <f t="shared" si="20"/>
        <v/>
      </c>
      <c r="AA447" s="63" t="str">
        <f>TEXT(Table111[[#This Row],[YEAR]],"0000")&amp;"-"&amp;Table111[[#This Row],[MONTH]]</f>
        <v>-</v>
      </c>
    </row>
    <row r="448" spans="2:27" x14ac:dyDescent="0.3">
      <c r="B448" s="183"/>
      <c r="C448" s="183"/>
      <c r="D448" s="183"/>
      <c r="E448" s="71"/>
      <c r="F448" s="72"/>
      <c r="G448" s="72"/>
      <c r="H448" s="74"/>
      <c r="I448" s="70"/>
      <c r="J448" s="70"/>
      <c r="K448" s="70"/>
      <c r="L448" s="74"/>
      <c r="M448" s="123"/>
      <c r="N448" s="73"/>
      <c r="O448" s="236"/>
      <c r="P448" s="117"/>
      <c r="Q448" s="117"/>
      <c r="R448" s="156" t="str">
        <f>IF(Table111[[#This Row],[Qty]]="","",Table111[[#This Row],[Qty]]*Table111[[#This Row],[Unit Price]])</f>
        <v/>
      </c>
      <c r="S448" s="156" t="str">
        <f>IF(Table111[[#This Row],[Qty]]="","",Table111[[#This Row],[Qty]]*Table111[[#This Row],[Unit Price]]+Table111[[#This Row],[Delivery Cost]])</f>
        <v/>
      </c>
      <c r="T448" s="72"/>
      <c r="U448" s="65"/>
      <c r="V448" s="72"/>
      <c r="W448" s="65"/>
      <c r="X448" s="63" t="str">
        <f t="shared" si="18"/>
        <v/>
      </c>
      <c r="Y448" s="63" t="str">
        <f t="shared" si="19"/>
        <v/>
      </c>
      <c r="Z448" s="63" t="str">
        <f t="shared" si="20"/>
        <v/>
      </c>
      <c r="AA448" s="63" t="str">
        <f>TEXT(Table111[[#This Row],[YEAR]],"0000")&amp;"-"&amp;Table111[[#This Row],[MONTH]]</f>
        <v>-</v>
      </c>
    </row>
    <row r="449" spans="2:27" x14ac:dyDescent="0.3">
      <c r="B449" s="68"/>
      <c r="C449" s="68"/>
      <c r="D449" s="68"/>
      <c r="E449" s="71"/>
      <c r="F449" s="72"/>
      <c r="G449" s="72"/>
      <c r="H449" s="74"/>
      <c r="I449" s="70"/>
      <c r="J449" s="70"/>
      <c r="K449" s="70"/>
      <c r="L449" s="74"/>
      <c r="M449" s="123"/>
      <c r="N449" s="73"/>
      <c r="O449" s="236"/>
      <c r="P449" s="117"/>
      <c r="Q449" s="117"/>
      <c r="R449" s="156" t="str">
        <f>IF(Table111[[#This Row],[Qty]]="","",Table111[[#This Row],[Qty]]*Table111[[#This Row],[Unit Price]])</f>
        <v/>
      </c>
      <c r="S449" s="156" t="str">
        <f>IF(Table111[[#This Row],[Qty]]="","",Table111[[#This Row],[Qty]]*Table111[[#This Row],[Unit Price]]+Table111[[#This Row],[Delivery Cost]])</f>
        <v/>
      </c>
      <c r="T449" s="72"/>
      <c r="U449" s="72"/>
      <c r="V449" s="72"/>
      <c r="W449" s="219"/>
      <c r="X449" s="63" t="str">
        <f t="shared" si="18"/>
        <v/>
      </c>
      <c r="Y449" s="63" t="str">
        <f t="shared" si="19"/>
        <v/>
      </c>
      <c r="Z449" s="63" t="str">
        <f t="shared" si="20"/>
        <v/>
      </c>
      <c r="AA449" s="63" t="str">
        <f>TEXT(Table111[[#This Row],[YEAR]],"0000")&amp;"-"&amp;Table111[[#This Row],[MONTH]]</f>
        <v>-</v>
      </c>
    </row>
    <row r="450" spans="2:27" x14ac:dyDescent="0.3">
      <c r="B450" s="183"/>
      <c r="C450" s="183"/>
      <c r="D450" s="183"/>
      <c r="E450" s="71"/>
      <c r="F450" s="72"/>
      <c r="G450" s="72"/>
      <c r="H450" s="74"/>
      <c r="I450" s="70"/>
      <c r="J450" s="70"/>
      <c r="K450" s="70"/>
      <c r="L450" s="74"/>
      <c r="M450" s="123"/>
      <c r="N450" s="73"/>
      <c r="O450" s="236"/>
      <c r="P450" s="117"/>
      <c r="Q450" s="117"/>
      <c r="R450" s="156" t="str">
        <f>IF(Table111[[#This Row],[Qty]]="","",Table111[[#This Row],[Qty]]*Table111[[#This Row],[Unit Price]])</f>
        <v/>
      </c>
      <c r="S450" s="156" t="str">
        <f>IF(Table111[[#This Row],[Qty]]="","",Table111[[#This Row],[Qty]]*Table111[[#This Row],[Unit Price]]+Table111[[#This Row],[Delivery Cost]])</f>
        <v/>
      </c>
      <c r="T450" s="72"/>
      <c r="U450" s="72"/>
      <c r="V450" s="72"/>
      <c r="W450" s="65"/>
      <c r="X450" s="63" t="str">
        <f t="shared" si="18"/>
        <v/>
      </c>
      <c r="Y450" s="63" t="str">
        <f t="shared" si="19"/>
        <v/>
      </c>
      <c r="Z450" s="63" t="str">
        <f t="shared" si="20"/>
        <v/>
      </c>
      <c r="AA450" s="63" t="str">
        <f>TEXT(Table111[[#This Row],[YEAR]],"0000")&amp;"-"&amp;Table111[[#This Row],[MONTH]]</f>
        <v>-</v>
      </c>
    </row>
    <row r="451" spans="2:27" x14ac:dyDescent="0.3">
      <c r="B451" s="68"/>
      <c r="C451" s="68"/>
      <c r="D451" s="68"/>
      <c r="E451" s="71"/>
      <c r="F451" s="72"/>
      <c r="G451" s="72"/>
      <c r="H451" s="74"/>
      <c r="I451" s="70"/>
      <c r="J451" s="70"/>
      <c r="K451" s="70"/>
      <c r="L451" s="74"/>
      <c r="M451" s="123"/>
      <c r="N451" s="73"/>
      <c r="O451" s="236"/>
      <c r="P451" s="117"/>
      <c r="Q451" s="117"/>
      <c r="R451" s="156" t="str">
        <f>IF(Table111[[#This Row],[Qty]]="","",Table111[[#This Row],[Qty]]*Table111[[#This Row],[Unit Price]])</f>
        <v/>
      </c>
      <c r="S451" s="156" t="str">
        <f>IF(Table111[[#This Row],[Qty]]="","",Table111[[#This Row],[Qty]]*Table111[[#This Row],[Unit Price]]+Table111[[#This Row],[Delivery Cost]])</f>
        <v/>
      </c>
      <c r="T451" s="72"/>
      <c r="U451" s="72"/>
      <c r="V451" s="72"/>
      <c r="W451" s="219"/>
      <c r="X451" s="63" t="str">
        <f t="shared" ref="X451:X514" si="21">IF(E451=0,"",YEAR(E451))</f>
        <v/>
      </c>
      <c r="Y451" s="63" t="str">
        <f t="shared" ref="Y451:Y514" si="22">IF(E451=0,"",MONTH(E451))</f>
        <v/>
      </c>
      <c r="Z451" s="63" t="str">
        <f t="shared" ref="Z451:Z514" si="23">IF(E451=0,"",WEEKNUM(E451))</f>
        <v/>
      </c>
      <c r="AA451" s="63" t="str">
        <f>TEXT(Table111[[#This Row],[YEAR]],"0000")&amp;"-"&amp;Table111[[#This Row],[MONTH]]</f>
        <v>-</v>
      </c>
    </row>
    <row r="452" spans="2:27" x14ac:dyDescent="0.3">
      <c r="B452" s="183"/>
      <c r="C452" s="183"/>
      <c r="D452" s="183"/>
      <c r="E452" s="71"/>
      <c r="F452" s="72"/>
      <c r="G452" s="72"/>
      <c r="H452" s="74"/>
      <c r="I452" s="70"/>
      <c r="J452" s="70"/>
      <c r="K452" s="70"/>
      <c r="L452" s="74"/>
      <c r="M452" s="123"/>
      <c r="N452" s="73"/>
      <c r="O452" s="236"/>
      <c r="P452" s="117"/>
      <c r="Q452" s="117"/>
      <c r="R452" s="156" t="str">
        <f>IF(Table111[[#This Row],[Qty]]="","",Table111[[#This Row],[Qty]]*Table111[[#This Row],[Unit Price]])</f>
        <v/>
      </c>
      <c r="S452" s="156" t="str">
        <f>IF(Table111[[#This Row],[Qty]]="","",Table111[[#This Row],[Qty]]*Table111[[#This Row],[Unit Price]]+Table111[[#This Row],[Delivery Cost]])</f>
        <v/>
      </c>
      <c r="T452" s="72"/>
      <c r="U452" s="72"/>
      <c r="V452" s="72"/>
      <c r="W452" s="65"/>
      <c r="X452" s="63" t="str">
        <f t="shared" si="21"/>
        <v/>
      </c>
      <c r="Y452" s="63" t="str">
        <f t="shared" si="22"/>
        <v/>
      </c>
      <c r="Z452" s="63" t="str">
        <f t="shared" si="23"/>
        <v/>
      </c>
      <c r="AA452" s="63" t="str">
        <f>TEXT(Table111[[#This Row],[YEAR]],"0000")&amp;"-"&amp;Table111[[#This Row],[MONTH]]</f>
        <v>-</v>
      </c>
    </row>
    <row r="453" spans="2:27" x14ac:dyDescent="0.3">
      <c r="B453" s="68"/>
      <c r="C453" s="68"/>
      <c r="D453" s="68"/>
      <c r="E453" s="71"/>
      <c r="F453" s="72"/>
      <c r="G453" s="72"/>
      <c r="H453" s="74"/>
      <c r="I453" s="70"/>
      <c r="J453" s="70"/>
      <c r="K453" s="70"/>
      <c r="L453" s="74"/>
      <c r="M453" s="123"/>
      <c r="N453" s="73"/>
      <c r="O453" s="236"/>
      <c r="P453" s="117"/>
      <c r="Q453" s="117"/>
      <c r="R453" s="156" t="str">
        <f>IF(Table111[[#This Row],[Qty]]="","",Table111[[#This Row],[Qty]]*Table111[[#This Row],[Unit Price]])</f>
        <v/>
      </c>
      <c r="S453" s="156" t="str">
        <f>IF(Table111[[#This Row],[Qty]]="","",Table111[[#This Row],[Qty]]*Table111[[#This Row],[Unit Price]]+Table111[[#This Row],[Delivery Cost]])</f>
        <v/>
      </c>
      <c r="T453" s="72"/>
      <c r="U453" s="72"/>
      <c r="V453" s="72"/>
      <c r="W453" s="219"/>
      <c r="X453" s="63" t="str">
        <f t="shared" si="21"/>
        <v/>
      </c>
      <c r="Y453" s="63" t="str">
        <f t="shared" si="22"/>
        <v/>
      </c>
      <c r="Z453" s="63" t="str">
        <f t="shared" si="23"/>
        <v/>
      </c>
      <c r="AA453" s="63" t="str">
        <f>TEXT(Table111[[#This Row],[YEAR]],"0000")&amp;"-"&amp;Table111[[#This Row],[MONTH]]</f>
        <v>-</v>
      </c>
    </row>
    <row r="454" spans="2:27" x14ac:dyDescent="0.3">
      <c r="B454" s="183"/>
      <c r="C454" s="183"/>
      <c r="D454" s="183"/>
      <c r="E454" s="71"/>
      <c r="F454" s="72"/>
      <c r="G454" s="72"/>
      <c r="H454" s="74"/>
      <c r="I454" s="70"/>
      <c r="J454" s="70"/>
      <c r="K454" s="70"/>
      <c r="L454" s="74"/>
      <c r="M454" s="123"/>
      <c r="N454" s="73"/>
      <c r="O454" s="236"/>
      <c r="P454" s="117"/>
      <c r="Q454" s="117"/>
      <c r="R454" s="156" t="str">
        <f>IF(Table111[[#This Row],[Qty]]="","",Table111[[#This Row],[Qty]]*Table111[[#This Row],[Unit Price]])</f>
        <v/>
      </c>
      <c r="S454" s="156" t="str">
        <f>IF(Table111[[#This Row],[Qty]]="","",Table111[[#This Row],[Qty]]*Table111[[#This Row],[Unit Price]]+Table111[[#This Row],[Delivery Cost]])</f>
        <v/>
      </c>
      <c r="T454" s="72"/>
      <c r="U454" s="72"/>
      <c r="V454" s="72"/>
      <c r="W454" s="65"/>
      <c r="X454" s="63" t="str">
        <f t="shared" si="21"/>
        <v/>
      </c>
      <c r="Y454" s="63" t="str">
        <f t="shared" si="22"/>
        <v/>
      </c>
      <c r="Z454" s="63" t="str">
        <f t="shared" si="23"/>
        <v/>
      </c>
      <c r="AA454" s="63" t="str">
        <f>TEXT(Table111[[#This Row],[YEAR]],"0000")&amp;"-"&amp;Table111[[#This Row],[MONTH]]</f>
        <v>-</v>
      </c>
    </row>
    <row r="455" spans="2:27" x14ac:dyDescent="0.3">
      <c r="B455" s="68"/>
      <c r="C455" s="68"/>
      <c r="D455" s="68"/>
      <c r="E455" s="71"/>
      <c r="F455" s="72"/>
      <c r="G455" s="72"/>
      <c r="H455" s="74"/>
      <c r="I455" s="70"/>
      <c r="J455" s="70"/>
      <c r="K455" s="70"/>
      <c r="L455" s="74"/>
      <c r="M455" s="123"/>
      <c r="N455" s="73"/>
      <c r="O455" s="236"/>
      <c r="P455" s="117"/>
      <c r="Q455" s="117"/>
      <c r="R455" s="156" t="str">
        <f>IF(Table111[[#This Row],[Qty]]="","",Table111[[#This Row],[Qty]]*Table111[[#This Row],[Unit Price]])</f>
        <v/>
      </c>
      <c r="S455" s="156" t="str">
        <f>IF(Table111[[#This Row],[Qty]]="","",Table111[[#This Row],[Qty]]*Table111[[#This Row],[Unit Price]]+Table111[[#This Row],[Delivery Cost]])</f>
        <v/>
      </c>
      <c r="T455" s="72"/>
      <c r="U455" s="72"/>
      <c r="V455" s="72"/>
      <c r="W455" s="219"/>
      <c r="X455" s="63" t="str">
        <f t="shared" si="21"/>
        <v/>
      </c>
      <c r="Y455" s="63" t="str">
        <f t="shared" si="22"/>
        <v/>
      </c>
      <c r="Z455" s="63" t="str">
        <f t="shared" si="23"/>
        <v/>
      </c>
      <c r="AA455" s="63" t="str">
        <f>TEXT(Table111[[#This Row],[YEAR]],"0000")&amp;"-"&amp;Table111[[#This Row],[MONTH]]</f>
        <v>-</v>
      </c>
    </row>
    <row r="456" spans="2:27" x14ac:dyDescent="0.3">
      <c r="B456" s="183"/>
      <c r="C456" s="183"/>
      <c r="D456" s="183"/>
      <c r="E456" s="71"/>
      <c r="F456" s="72"/>
      <c r="G456" s="72"/>
      <c r="H456" s="74"/>
      <c r="I456" s="70"/>
      <c r="J456" s="70"/>
      <c r="K456" s="70"/>
      <c r="L456" s="74"/>
      <c r="M456" s="123"/>
      <c r="N456" s="73"/>
      <c r="O456" s="236"/>
      <c r="P456" s="117"/>
      <c r="Q456" s="117"/>
      <c r="R456" s="156" t="str">
        <f>IF(Table111[[#This Row],[Qty]]="","",Table111[[#This Row],[Qty]]*Table111[[#This Row],[Unit Price]])</f>
        <v/>
      </c>
      <c r="S456" s="156" t="str">
        <f>IF(Table111[[#This Row],[Qty]]="","",Table111[[#This Row],[Qty]]*Table111[[#This Row],[Unit Price]]+Table111[[#This Row],[Delivery Cost]])</f>
        <v/>
      </c>
      <c r="T456" s="72"/>
      <c r="U456" s="72"/>
      <c r="V456" s="72"/>
      <c r="W456" s="65"/>
      <c r="X456" s="63" t="str">
        <f t="shared" si="21"/>
        <v/>
      </c>
      <c r="Y456" s="63" t="str">
        <f t="shared" si="22"/>
        <v/>
      </c>
      <c r="Z456" s="63" t="str">
        <f t="shared" si="23"/>
        <v/>
      </c>
      <c r="AA456" s="63" t="str">
        <f>TEXT(Table111[[#This Row],[YEAR]],"0000")&amp;"-"&amp;Table111[[#This Row],[MONTH]]</f>
        <v>-</v>
      </c>
    </row>
    <row r="457" spans="2:27" x14ac:dyDescent="0.3">
      <c r="B457" s="68"/>
      <c r="C457" s="68"/>
      <c r="D457" s="68"/>
      <c r="E457" s="71"/>
      <c r="F457" s="72"/>
      <c r="G457" s="72"/>
      <c r="H457" s="74"/>
      <c r="I457" s="70"/>
      <c r="J457" s="70"/>
      <c r="K457" s="70"/>
      <c r="L457" s="74"/>
      <c r="M457" s="123"/>
      <c r="N457" s="73"/>
      <c r="O457" s="236"/>
      <c r="P457" s="117"/>
      <c r="Q457" s="117"/>
      <c r="R457" s="156" t="str">
        <f>IF(Table111[[#This Row],[Qty]]="","",Table111[[#This Row],[Qty]]*Table111[[#This Row],[Unit Price]])</f>
        <v/>
      </c>
      <c r="S457" s="156" t="str">
        <f>IF(Table111[[#This Row],[Qty]]="","",Table111[[#This Row],[Qty]]*Table111[[#This Row],[Unit Price]]+Table111[[#This Row],[Delivery Cost]])</f>
        <v/>
      </c>
      <c r="T457" s="72"/>
      <c r="U457" s="72"/>
      <c r="V457" s="72"/>
      <c r="W457" s="219"/>
      <c r="X457" s="63" t="str">
        <f t="shared" si="21"/>
        <v/>
      </c>
      <c r="Y457" s="63" t="str">
        <f t="shared" si="22"/>
        <v/>
      </c>
      <c r="Z457" s="63" t="str">
        <f t="shared" si="23"/>
        <v/>
      </c>
      <c r="AA457" s="63" t="str">
        <f>TEXT(Table111[[#This Row],[YEAR]],"0000")&amp;"-"&amp;Table111[[#This Row],[MONTH]]</f>
        <v>-</v>
      </c>
    </row>
    <row r="458" spans="2:27" x14ac:dyDescent="0.3">
      <c r="B458" s="183"/>
      <c r="C458" s="183"/>
      <c r="D458" s="183"/>
      <c r="E458" s="71"/>
      <c r="F458" s="72"/>
      <c r="G458" s="72"/>
      <c r="H458" s="74"/>
      <c r="I458" s="70"/>
      <c r="J458" s="70"/>
      <c r="K458" s="70"/>
      <c r="L458" s="74"/>
      <c r="M458" s="123"/>
      <c r="N458" s="73"/>
      <c r="O458" s="236"/>
      <c r="P458" s="117"/>
      <c r="Q458" s="117"/>
      <c r="R458" s="156" t="str">
        <f>IF(Table111[[#This Row],[Qty]]="","",Table111[[#This Row],[Qty]]*Table111[[#This Row],[Unit Price]])</f>
        <v/>
      </c>
      <c r="S458" s="156" t="str">
        <f>IF(Table111[[#This Row],[Qty]]="","",Table111[[#This Row],[Qty]]*Table111[[#This Row],[Unit Price]]+Table111[[#This Row],[Delivery Cost]])</f>
        <v/>
      </c>
      <c r="T458" s="72"/>
      <c r="U458" s="72"/>
      <c r="V458" s="72"/>
      <c r="W458" s="65"/>
      <c r="X458" s="63" t="str">
        <f t="shared" si="21"/>
        <v/>
      </c>
      <c r="Y458" s="63" t="str">
        <f t="shared" si="22"/>
        <v/>
      </c>
      <c r="Z458" s="63" t="str">
        <f t="shared" si="23"/>
        <v/>
      </c>
      <c r="AA458" s="63" t="str">
        <f>TEXT(Table111[[#This Row],[YEAR]],"0000")&amp;"-"&amp;Table111[[#This Row],[MONTH]]</f>
        <v>-</v>
      </c>
    </row>
    <row r="459" spans="2:27" x14ac:dyDescent="0.3">
      <c r="B459" s="68"/>
      <c r="C459" s="68"/>
      <c r="D459" s="68"/>
      <c r="E459" s="71"/>
      <c r="F459" s="72"/>
      <c r="G459" s="72"/>
      <c r="H459" s="74"/>
      <c r="I459" s="70"/>
      <c r="J459" s="70"/>
      <c r="K459" s="70"/>
      <c r="L459" s="74"/>
      <c r="M459" s="123"/>
      <c r="N459" s="73"/>
      <c r="O459" s="236"/>
      <c r="P459" s="117"/>
      <c r="Q459" s="117"/>
      <c r="R459" s="156" t="str">
        <f>IF(Table111[[#This Row],[Qty]]="","",Table111[[#This Row],[Qty]]*Table111[[#This Row],[Unit Price]])</f>
        <v/>
      </c>
      <c r="S459" s="156" t="str">
        <f>IF(Table111[[#This Row],[Qty]]="","",Table111[[#This Row],[Qty]]*Table111[[#This Row],[Unit Price]]+Table111[[#This Row],[Delivery Cost]])</f>
        <v/>
      </c>
      <c r="T459" s="72"/>
      <c r="U459" s="72"/>
      <c r="V459" s="72"/>
      <c r="W459" s="219"/>
      <c r="X459" s="63" t="str">
        <f t="shared" si="21"/>
        <v/>
      </c>
      <c r="Y459" s="63" t="str">
        <f t="shared" si="22"/>
        <v/>
      </c>
      <c r="Z459" s="63" t="str">
        <f t="shared" si="23"/>
        <v/>
      </c>
      <c r="AA459" s="63" t="str">
        <f>TEXT(Table111[[#This Row],[YEAR]],"0000")&amp;"-"&amp;Table111[[#This Row],[MONTH]]</f>
        <v>-</v>
      </c>
    </row>
    <row r="460" spans="2:27" x14ac:dyDescent="0.3">
      <c r="B460" s="183"/>
      <c r="C460" s="183"/>
      <c r="D460" s="183"/>
      <c r="E460" s="71"/>
      <c r="F460" s="72"/>
      <c r="G460" s="72"/>
      <c r="H460" s="74"/>
      <c r="I460" s="70"/>
      <c r="J460" s="70"/>
      <c r="K460" s="70"/>
      <c r="L460" s="74"/>
      <c r="M460" s="123"/>
      <c r="N460" s="73"/>
      <c r="O460" s="236"/>
      <c r="P460" s="117"/>
      <c r="Q460" s="117"/>
      <c r="R460" s="156" t="str">
        <f>IF(Table111[[#This Row],[Qty]]="","",Table111[[#This Row],[Qty]]*Table111[[#This Row],[Unit Price]])</f>
        <v/>
      </c>
      <c r="S460" s="156" t="str">
        <f>IF(Table111[[#This Row],[Qty]]="","",Table111[[#This Row],[Qty]]*Table111[[#This Row],[Unit Price]]+Table111[[#This Row],[Delivery Cost]])</f>
        <v/>
      </c>
      <c r="T460" s="72"/>
      <c r="U460" s="72"/>
      <c r="V460" s="72"/>
      <c r="W460" s="65"/>
      <c r="X460" s="63" t="str">
        <f t="shared" si="21"/>
        <v/>
      </c>
      <c r="Y460" s="63" t="str">
        <f t="shared" si="22"/>
        <v/>
      </c>
      <c r="Z460" s="63" t="str">
        <f t="shared" si="23"/>
        <v/>
      </c>
      <c r="AA460" s="63" t="str">
        <f>TEXT(Table111[[#This Row],[YEAR]],"0000")&amp;"-"&amp;Table111[[#This Row],[MONTH]]</f>
        <v>-</v>
      </c>
    </row>
    <row r="461" spans="2:27" x14ac:dyDescent="0.3">
      <c r="B461" s="68"/>
      <c r="C461" s="68"/>
      <c r="D461" s="68"/>
      <c r="E461" s="71"/>
      <c r="F461" s="72"/>
      <c r="G461" s="72"/>
      <c r="H461" s="74"/>
      <c r="I461" s="70"/>
      <c r="J461" s="70"/>
      <c r="K461" s="70"/>
      <c r="L461" s="74"/>
      <c r="M461" s="123"/>
      <c r="N461" s="73"/>
      <c r="O461" s="236"/>
      <c r="P461" s="117"/>
      <c r="Q461" s="117"/>
      <c r="R461" s="156" t="str">
        <f>IF(Table111[[#This Row],[Qty]]="","",Table111[[#This Row],[Qty]]*Table111[[#This Row],[Unit Price]])</f>
        <v/>
      </c>
      <c r="S461" s="156" t="str">
        <f>IF(Table111[[#This Row],[Qty]]="","",Table111[[#This Row],[Qty]]*Table111[[#This Row],[Unit Price]]+Table111[[#This Row],[Delivery Cost]])</f>
        <v/>
      </c>
      <c r="T461" s="72"/>
      <c r="U461" s="72"/>
      <c r="V461" s="72"/>
      <c r="W461" s="219"/>
      <c r="X461" s="63" t="str">
        <f t="shared" si="21"/>
        <v/>
      </c>
      <c r="Y461" s="63" t="str">
        <f t="shared" si="22"/>
        <v/>
      </c>
      <c r="Z461" s="63" t="str">
        <f t="shared" si="23"/>
        <v/>
      </c>
      <c r="AA461" s="63" t="str">
        <f>TEXT(Table111[[#This Row],[YEAR]],"0000")&amp;"-"&amp;Table111[[#This Row],[MONTH]]</f>
        <v>-</v>
      </c>
    </row>
    <row r="462" spans="2:27" x14ac:dyDescent="0.3">
      <c r="B462" s="183"/>
      <c r="C462" s="183"/>
      <c r="D462" s="183"/>
      <c r="E462" s="71"/>
      <c r="F462" s="72"/>
      <c r="G462" s="72"/>
      <c r="H462" s="74"/>
      <c r="I462" s="70"/>
      <c r="J462" s="70"/>
      <c r="K462" s="70"/>
      <c r="L462" s="74"/>
      <c r="M462" s="123"/>
      <c r="N462" s="73"/>
      <c r="O462" s="236"/>
      <c r="P462" s="117"/>
      <c r="Q462" s="117"/>
      <c r="R462" s="156" t="str">
        <f>IF(Table111[[#This Row],[Qty]]="","",Table111[[#This Row],[Qty]]*Table111[[#This Row],[Unit Price]])</f>
        <v/>
      </c>
      <c r="S462" s="156" t="str">
        <f>IF(Table111[[#This Row],[Qty]]="","",Table111[[#This Row],[Qty]]*Table111[[#This Row],[Unit Price]]+Table111[[#This Row],[Delivery Cost]])</f>
        <v/>
      </c>
      <c r="T462" s="72"/>
      <c r="U462" s="72"/>
      <c r="V462" s="72"/>
      <c r="W462" s="65"/>
      <c r="X462" s="63" t="str">
        <f t="shared" si="21"/>
        <v/>
      </c>
      <c r="Y462" s="63" t="str">
        <f t="shared" si="22"/>
        <v/>
      </c>
      <c r="Z462" s="63" t="str">
        <f t="shared" si="23"/>
        <v/>
      </c>
      <c r="AA462" s="63" t="str">
        <f>TEXT(Table111[[#This Row],[YEAR]],"0000")&amp;"-"&amp;Table111[[#This Row],[MONTH]]</f>
        <v>-</v>
      </c>
    </row>
    <row r="463" spans="2:27" x14ac:dyDescent="0.3">
      <c r="B463" s="68"/>
      <c r="C463" s="68"/>
      <c r="D463" s="68"/>
      <c r="E463" s="71"/>
      <c r="F463" s="72"/>
      <c r="G463" s="72"/>
      <c r="H463" s="74"/>
      <c r="I463" s="70"/>
      <c r="J463" s="70"/>
      <c r="K463" s="70"/>
      <c r="L463" s="74"/>
      <c r="M463" s="123"/>
      <c r="N463" s="73"/>
      <c r="O463" s="236"/>
      <c r="P463" s="117"/>
      <c r="Q463" s="117"/>
      <c r="R463" s="156" t="str">
        <f>IF(Table111[[#This Row],[Qty]]="","",Table111[[#This Row],[Qty]]*Table111[[#This Row],[Unit Price]])</f>
        <v/>
      </c>
      <c r="S463" s="156" t="str">
        <f>IF(Table111[[#This Row],[Qty]]="","",Table111[[#This Row],[Qty]]*Table111[[#This Row],[Unit Price]]+Table111[[#This Row],[Delivery Cost]])</f>
        <v/>
      </c>
      <c r="T463" s="72"/>
      <c r="U463" s="72"/>
      <c r="V463" s="72"/>
      <c r="W463" s="219"/>
      <c r="X463" s="63" t="str">
        <f t="shared" si="21"/>
        <v/>
      </c>
      <c r="Y463" s="63" t="str">
        <f t="shared" si="22"/>
        <v/>
      </c>
      <c r="Z463" s="63" t="str">
        <f t="shared" si="23"/>
        <v/>
      </c>
      <c r="AA463" s="63" t="str">
        <f>TEXT(Table111[[#This Row],[YEAR]],"0000")&amp;"-"&amp;Table111[[#This Row],[MONTH]]</f>
        <v>-</v>
      </c>
    </row>
    <row r="464" spans="2:27" x14ac:dyDescent="0.3">
      <c r="B464" s="183"/>
      <c r="C464" s="183"/>
      <c r="D464" s="183"/>
      <c r="E464" s="71"/>
      <c r="F464" s="72"/>
      <c r="G464" s="72"/>
      <c r="H464" s="74"/>
      <c r="I464" s="70"/>
      <c r="J464" s="70"/>
      <c r="K464" s="70"/>
      <c r="L464" s="74"/>
      <c r="M464" s="123"/>
      <c r="N464" s="73"/>
      <c r="O464" s="236"/>
      <c r="P464" s="117"/>
      <c r="Q464" s="117"/>
      <c r="R464" s="156" t="str">
        <f>IF(Table111[[#This Row],[Qty]]="","",Table111[[#This Row],[Qty]]*Table111[[#This Row],[Unit Price]])</f>
        <v/>
      </c>
      <c r="S464" s="156" t="str">
        <f>IF(Table111[[#This Row],[Qty]]="","",Table111[[#This Row],[Qty]]*Table111[[#This Row],[Unit Price]]+Table111[[#This Row],[Delivery Cost]])</f>
        <v/>
      </c>
      <c r="T464" s="72"/>
      <c r="U464" s="72"/>
      <c r="V464" s="72"/>
      <c r="W464" s="65"/>
      <c r="X464" s="63" t="str">
        <f t="shared" si="21"/>
        <v/>
      </c>
      <c r="Y464" s="63" t="str">
        <f t="shared" si="22"/>
        <v/>
      </c>
      <c r="Z464" s="63" t="str">
        <f t="shared" si="23"/>
        <v/>
      </c>
      <c r="AA464" s="63" t="str">
        <f>TEXT(Table111[[#This Row],[YEAR]],"0000")&amp;"-"&amp;Table111[[#This Row],[MONTH]]</f>
        <v>-</v>
      </c>
    </row>
    <row r="465" spans="2:27" x14ac:dyDescent="0.3">
      <c r="B465" s="68"/>
      <c r="C465" s="68"/>
      <c r="D465" s="68"/>
      <c r="E465" s="71"/>
      <c r="F465" s="72"/>
      <c r="G465" s="72"/>
      <c r="H465" s="74"/>
      <c r="I465" s="70"/>
      <c r="J465" s="70"/>
      <c r="K465" s="70"/>
      <c r="L465" s="74"/>
      <c r="M465" s="123"/>
      <c r="N465" s="73"/>
      <c r="O465" s="236"/>
      <c r="P465" s="117"/>
      <c r="Q465" s="117"/>
      <c r="R465" s="156" t="str">
        <f>IF(Table111[[#This Row],[Qty]]="","",Table111[[#This Row],[Qty]]*Table111[[#This Row],[Unit Price]])</f>
        <v/>
      </c>
      <c r="S465" s="156" t="str">
        <f>IF(Table111[[#This Row],[Qty]]="","",Table111[[#This Row],[Qty]]*Table111[[#This Row],[Unit Price]]+Table111[[#This Row],[Delivery Cost]])</f>
        <v/>
      </c>
      <c r="T465" s="72"/>
      <c r="U465" s="72"/>
      <c r="V465" s="72"/>
      <c r="W465" s="219"/>
      <c r="X465" s="63" t="str">
        <f t="shared" si="21"/>
        <v/>
      </c>
      <c r="Y465" s="63" t="str">
        <f t="shared" si="22"/>
        <v/>
      </c>
      <c r="Z465" s="63" t="str">
        <f t="shared" si="23"/>
        <v/>
      </c>
      <c r="AA465" s="63" t="str">
        <f>TEXT(Table111[[#This Row],[YEAR]],"0000")&amp;"-"&amp;Table111[[#This Row],[MONTH]]</f>
        <v>-</v>
      </c>
    </row>
    <row r="466" spans="2:27" x14ac:dyDescent="0.3">
      <c r="B466" s="183"/>
      <c r="C466" s="183"/>
      <c r="D466" s="183"/>
      <c r="E466" s="71"/>
      <c r="F466" s="72"/>
      <c r="G466" s="72"/>
      <c r="H466" s="74"/>
      <c r="I466" s="70"/>
      <c r="J466" s="70"/>
      <c r="K466" s="70"/>
      <c r="L466" s="74"/>
      <c r="M466" s="123"/>
      <c r="N466" s="73"/>
      <c r="O466" s="236"/>
      <c r="P466" s="117"/>
      <c r="Q466" s="117"/>
      <c r="R466" s="156" t="str">
        <f>IF(Table111[[#This Row],[Qty]]="","",Table111[[#This Row],[Qty]]*Table111[[#This Row],[Unit Price]])</f>
        <v/>
      </c>
      <c r="S466" s="156" t="str">
        <f>IF(Table111[[#This Row],[Qty]]="","",Table111[[#This Row],[Qty]]*Table111[[#This Row],[Unit Price]]+Table111[[#This Row],[Delivery Cost]])</f>
        <v/>
      </c>
      <c r="T466" s="72"/>
      <c r="U466" s="72"/>
      <c r="V466" s="72"/>
      <c r="W466" s="65"/>
      <c r="X466" s="63" t="str">
        <f t="shared" si="21"/>
        <v/>
      </c>
      <c r="Y466" s="63" t="str">
        <f t="shared" si="22"/>
        <v/>
      </c>
      <c r="Z466" s="63" t="str">
        <f t="shared" si="23"/>
        <v/>
      </c>
      <c r="AA466" s="63" t="str">
        <f>TEXT(Table111[[#This Row],[YEAR]],"0000")&amp;"-"&amp;Table111[[#This Row],[MONTH]]</f>
        <v>-</v>
      </c>
    </row>
    <row r="467" spans="2:27" x14ac:dyDescent="0.3">
      <c r="B467" s="183"/>
      <c r="C467" s="183"/>
      <c r="D467" s="183"/>
      <c r="E467" s="71"/>
      <c r="F467" s="72"/>
      <c r="G467" s="73"/>
      <c r="H467" s="74"/>
      <c r="I467" s="70"/>
      <c r="J467" s="70"/>
      <c r="K467" s="70"/>
      <c r="L467" s="74"/>
      <c r="M467" s="123"/>
      <c r="N467" s="73"/>
      <c r="O467" s="236"/>
      <c r="P467" s="117"/>
      <c r="Q467" s="117"/>
      <c r="R467" s="156" t="str">
        <f>IF(Table111[[#This Row],[Qty]]="","",Table111[[#This Row],[Qty]]*Table111[[#This Row],[Unit Price]])</f>
        <v/>
      </c>
      <c r="S467" s="156" t="str">
        <f>IF(Table111[[#This Row],[Qty]]="","",Table111[[#This Row],[Qty]]*Table111[[#This Row],[Unit Price]]+Table111[[#This Row],[Delivery Cost]])</f>
        <v/>
      </c>
      <c r="T467" s="72"/>
      <c r="U467" s="72"/>
      <c r="V467" s="72"/>
      <c r="W467" s="16"/>
      <c r="X467" s="63" t="str">
        <f t="shared" si="21"/>
        <v/>
      </c>
      <c r="Y467" s="63" t="str">
        <f t="shared" si="22"/>
        <v/>
      </c>
      <c r="Z467" s="63" t="str">
        <f t="shared" si="23"/>
        <v/>
      </c>
      <c r="AA467" s="63" t="str">
        <f>TEXT(Table111[[#This Row],[YEAR]],"0000")&amp;"-"&amp;Table111[[#This Row],[MONTH]]</f>
        <v>-</v>
      </c>
    </row>
    <row r="468" spans="2:27" x14ac:dyDescent="0.3">
      <c r="B468" s="68"/>
      <c r="C468" s="68"/>
      <c r="D468" s="68"/>
      <c r="E468" s="71"/>
      <c r="F468" s="72"/>
      <c r="G468" s="72"/>
      <c r="H468" s="74"/>
      <c r="I468" s="70"/>
      <c r="J468" s="70"/>
      <c r="K468" s="70"/>
      <c r="L468" s="74"/>
      <c r="M468" s="123"/>
      <c r="N468" s="73"/>
      <c r="O468" s="236"/>
      <c r="P468" s="117"/>
      <c r="Q468" s="117"/>
      <c r="R468" s="156" t="str">
        <f>IF(Table111[[#This Row],[Qty]]="","",Table111[[#This Row],[Qty]]*Table111[[#This Row],[Unit Price]])</f>
        <v/>
      </c>
      <c r="S468" s="156" t="str">
        <f>IF(Table111[[#This Row],[Qty]]="","",Table111[[#This Row],[Qty]]*Table111[[#This Row],[Unit Price]]+Table111[[#This Row],[Delivery Cost]])</f>
        <v/>
      </c>
      <c r="T468" s="72"/>
      <c r="U468" s="65"/>
      <c r="V468" s="72"/>
      <c r="W468" s="220"/>
      <c r="X468" s="63" t="str">
        <f t="shared" si="21"/>
        <v/>
      </c>
      <c r="Y468" s="63" t="str">
        <f t="shared" si="22"/>
        <v/>
      </c>
      <c r="Z468" s="63" t="str">
        <f t="shared" si="23"/>
        <v/>
      </c>
      <c r="AA468" s="63" t="str">
        <f>TEXT(Table111[[#This Row],[YEAR]],"0000")&amp;"-"&amp;Table111[[#This Row],[MONTH]]</f>
        <v>-</v>
      </c>
    </row>
    <row r="469" spans="2:27" x14ac:dyDescent="0.3">
      <c r="B469" s="68"/>
      <c r="C469" s="68"/>
      <c r="D469" s="68"/>
      <c r="E469" s="71"/>
      <c r="F469" s="72"/>
      <c r="G469" s="72"/>
      <c r="H469" s="74"/>
      <c r="I469" s="70"/>
      <c r="J469" s="70"/>
      <c r="K469" s="70"/>
      <c r="L469" s="74"/>
      <c r="M469" s="123"/>
      <c r="N469" s="73"/>
      <c r="O469" s="236"/>
      <c r="P469" s="117"/>
      <c r="Q469" s="117"/>
      <c r="R469" s="156" t="str">
        <f>IF(Table111[[#This Row],[Qty]]="","",Table111[[#This Row],[Qty]]*Table111[[#This Row],[Unit Price]])</f>
        <v/>
      </c>
      <c r="S469" s="156" t="str">
        <f>IF(Table111[[#This Row],[Qty]]="","",Table111[[#This Row],[Qty]]*Table111[[#This Row],[Unit Price]]+Table111[[#This Row],[Delivery Cost]])</f>
        <v/>
      </c>
      <c r="T469" s="72"/>
      <c r="U469" s="65"/>
      <c r="V469" s="72"/>
      <c r="W469" s="219"/>
      <c r="X469" s="63" t="str">
        <f t="shared" si="21"/>
        <v/>
      </c>
      <c r="Y469" s="63" t="str">
        <f t="shared" si="22"/>
        <v/>
      </c>
      <c r="Z469" s="63" t="str">
        <f t="shared" si="23"/>
        <v/>
      </c>
      <c r="AA469" s="63" t="str">
        <f>TEXT(Table111[[#This Row],[YEAR]],"0000")&amp;"-"&amp;Table111[[#This Row],[MONTH]]</f>
        <v>-</v>
      </c>
    </row>
    <row r="470" spans="2:27" x14ac:dyDescent="0.3">
      <c r="B470" s="183"/>
      <c r="C470" s="183"/>
      <c r="D470" s="183"/>
      <c r="E470" s="71"/>
      <c r="F470" s="72"/>
      <c r="G470" s="72"/>
      <c r="H470" s="74"/>
      <c r="I470" s="70"/>
      <c r="J470" s="70"/>
      <c r="K470" s="70"/>
      <c r="L470" s="74"/>
      <c r="M470" s="123"/>
      <c r="N470" s="73"/>
      <c r="O470" s="236"/>
      <c r="P470" s="117"/>
      <c r="Q470" s="117"/>
      <c r="R470" s="156" t="str">
        <f>IF(Table111[[#This Row],[Qty]]="","",Table111[[#This Row],[Qty]]*Table111[[#This Row],[Unit Price]])</f>
        <v/>
      </c>
      <c r="S470" s="156" t="str">
        <f>IF(Table111[[#This Row],[Qty]]="","",Table111[[#This Row],[Qty]]*Table111[[#This Row],[Unit Price]]+Table111[[#This Row],[Delivery Cost]])</f>
        <v/>
      </c>
      <c r="T470" s="72"/>
      <c r="U470" s="65"/>
      <c r="V470" s="72"/>
      <c r="W470" s="65"/>
      <c r="X470" s="63" t="str">
        <f t="shared" si="21"/>
        <v/>
      </c>
      <c r="Y470" s="63" t="str">
        <f t="shared" si="22"/>
        <v/>
      </c>
      <c r="Z470" s="63" t="str">
        <f t="shared" si="23"/>
        <v/>
      </c>
      <c r="AA470" s="63" t="str">
        <f>TEXT(Table111[[#This Row],[YEAR]],"0000")&amp;"-"&amp;Table111[[#This Row],[MONTH]]</f>
        <v>-</v>
      </c>
    </row>
    <row r="471" spans="2:27" x14ac:dyDescent="0.3">
      <c r="B471" s="183"/>
      <c r="C471" s="183"/>
      <c r="D471" s="183"/>
      <c r="E471" s="64"/>
      <c r="F471" s="65"/>
      <c r="G471" s="65"/>
      <c r="H471" s="66"/>
      <c r="I471" s="66"/>
      <c r="J471" s="66"/>
      <c r="K471" s="66"/>
      <c r="L471" s="74"/>
      <c r="M471" s="119"/>
      <c r="N471" s="66"/>
      <c r="O471" s="239"/>
      <c r="P471" s="113"/>
      <c r="Q471" s="113"/>
      <c r="R471" s="156" t="str">
        <f>IF(Table111[[#This Row],[Qty]]="","",Table111[[#This Row],[Qty]]*Table111[[#This Row],[Unit Price]])</f>
        <v/>
      </c>
      <c r="S471" s="156" t="str">
        <f>IF(Table111[[#This Row],[Qty]]="","",Table111[[#This Row],[Qty]]*Table111[[#This Row],[Unit Price]]+Table111[[#This Row],[Delivery Cost]])</f>
        <v/>
      </c>
      <c r="T471" s="67"/>
      <c r="U471" s="65"/>
      <c r="V471" s="65"/>
      <c r="W471" s="16"/>
      <c r="X471" s="63" t="str">
        <f t="shared" si="21"/>
        <v/>
      </c>
      <c r="Y471" s="63" t="str">
        <f t="shared" si="22"/>
        <v/>
      </c>
      <c r="Z471" s="63" t="str">
        <f t="shared" si="23"/>
        <v/>
      </c>
      <c r="AA471" s="63" t="str">
        <f>TEXT(Table111[[#This Row],[YEAR]],"0000")&amp;"-"&amp;Table111[[#This Row],[MONTH]]</f>
        <v>-</v>
      </c>
    </row>
    <row r="472" spans="2:27" x14ac:dyDescent="0.3">
      <c r="B472" s="68"/>
      <c r="C472" s="68"/>
      <c r="D472" s="68"/>
      <c r="E472" s="64"/>
      <c r="F472" s="65"/>
      <c r="G472" s="65"/>
      <c r="H472" s="69"/>
      <c r="I472" s="69"/>
      <c r="J472" s="69"/>
      <c r="K472" s="69"/>
      <c r="L472" s="74"/>
      <c r="M472" s="121"/>
      <c r="N472" s="69"/>
      <c r="O472" s="237"/>
      <c r="P472" s="113"/>
      <c r="Q472" s="113"/>
      <c r="R472" s="156" t="str">
        <f>IF(Table111[[#This Row],[Qty]]="","",Table111[[#This Row],[Qty]]*Table111[[#This Row],[Unit Price]])</f>
        <v/>
      </c>
      <c r="S472" s="156" t="str">
        <f>IF(Table111[[#This Row],[Qty]]="","",Table111[[#This Row],[Qty]]*Table111[[#This Row],[Unit Price]]+Table111[[#This Row],[Delivery Cost]])</f>
        <v/>
      </c>
      <c r="T472" s="67"/>
      <c r="U472" s="65"/>
      <c r="V472" s="65"/>
      <c r="W472" s="220"/>
      <c r="X472" s="63" t="str">
        <f t="shared" si="21"/>
        <v/>
      </c>
      <c r="Y472" s="63" t="str">
        <f t="shared" si="22"/>
        <v/>
      </c>
      <c r="Z472" s="63" t="str">
        <f t="shared" si="23"/>
        <v/>
      </c>
      <c r="AA472" s="63" t="str">
        <f>TEXT(Table111[[#This Row],[YEAR]],"0000")&amp;"-"&amp;Table111[[#This Row],[MONTH]]</f>
        <v>-</v>
      </c>
    </row>
    <row r="473" spans="2:27" x14ac:dyDescent="0.3">
      <c r="B473" s="68"/>
      <c r="C473" s="68"/>
      <c r="D473" s="68"/>
      <c r="E473" s="71"/>
      <c r="F473" s="72"/>
      <c r="G473" s="72"/>
      <c r="H473" s="74"/>
      <c r="I473" s="70"/>
      <c r="J473" s="70"/>
      <c r="K473" s="70"/>
      <c r="L473" s="74"/>
      <c r="M473" s="123"/>
      <c r="N473" s="73"/>
      <c r="O473" s="236"/>
      <c r="P473" s="113"/>
      <c r="Q473" s="113"/>
      <c r="R473" s="156" t="str">
        <f>IF(Table111[[#This Row],[Qty]]="","",Table111[[#This Row],[Qty]]*Table111[[#This Row],[Unit Price]])</f>
        <v/>
      </c>
      <c r="S473" s="156" t="str">
        <f>IF(Table111[[#This Row],[Qty]]="","",Table111[[#This Row],[Qty]]*Table111[[#This Row],[Unit Price]]+Table111[[#This Row],[Delivery Cost]])</f>
        <v/>
      </c>
      <c r="T473" s="67"/>
      <c r="U473" s="65"/>
      <c r="V473" s="72"/>
      <c r="W473" s="219"/>
      <c r="X473" s="63" t="str">
        <f t="shared" si="21"/>
        <v/>
      </c>
      <c r="Y473" s="63" t="str">
        <f t="shared" si="22"/>
        <v/>
      </c>
      <c r="Z473" s="63" t="str">
        <f t="shared" si="23"/>
        <v/>
      </c>
      <c r="AA473" s="63" t="str">
        <f>TEXT(Table111[[#This Row],[YEAR]],"0000")&amp;"-"&amp;Table111[[#This Row],[MONTH]]</f>
        <v>-</v>
      </c>
    </row>
    <row r="474" spans="2:27" x14ac:dyDescent="0.3">
      <c r="B474" s="183"/>
      <c r="C474" s="183"/>
      <c r="D474" s="183"/>
      <c r="E474" s="71"/>
      <c r="F474" s="72"/>
      <c r="G474" s="72"/>
      <c r="H474" s="74"/>
      <c r="I474" s="70"/>
      <c r="J474" s="70"/>
      <c r="K474" s="70"/>
      <c r="L474" s="74"/>
      <c r="M474" s="123"/>
      <c r="N474" s="73"/>
      <c r="O474" s="236"/>
      <c r="P474" s="113"/>
      <c r="Q474" s="113"/>
      <c r="R474" s="156" t="str">
        <f>IF(Table111[[#This Row],[Qty]]="","",Table111[[#This Row],[Qty]]*Table111[[#This Row],[Unit Price]])</f>
        <v/>
      </c>
      <c r="S474" s="156" t="str">
        <f>IF(Table111[[#This Row],[Qty]]="","",Table111[[#This Row],[Qty]]*Table111[[#This Row],[Unit Price]]+Table111[[#This Row],[Delivery Cost]])</f>
        <v/>
      </c>
      <c r="T474" s="67"/>
      <c r="U474" s="65"/>
      <c r="V474" s="72"/>
      <c r="W474" s="65"/>
      <c r="X474" s="63" t="str">
        <f t="shared" si="21"/>
        <v/>
      </c>
      <c r="Y474" s="63" t="str">
        <f t="shared" si="22"/>
        <v/>
      </c>
      <c r="Z474" s="63" t="str">
        <f t="shared" si="23"/>
        <v/>
      </c>
      <c r="AA474" s="63" t="str">
        <f>TEXT(Table111[[#This Row],[YEAR]],"0000")&amp;"-"&amp;Table111[[#This Row],[MONTH]]</f>
        <v>-</v>
      </c>
    </row>
    <row r="475" spans="2:27" x14ac:dyDescent="0.3">
      <c r="B475" s="68"/>
      <c r="C475" s="68"/>
      <c r="D475" s="68"/>
      <c r="E475" s="71"/>
      <c r="F475" s="72"/>
      <c r="G475" s="72"/>
      <c r="H475" s="74"/>
      <c r="I475" s="70"/>
      <c r="J475" s="70"/>
      <c r="K475" s="70"/>
      <c r="L475" s="74"/>
      <c r="M475" s="123"/>
      <c r="N475" s="73"/>
      <c r="O475" s="236"/>
      <c r="P475" s="113"/>
      <c r="Q475" s="113"/>
      <c r="R475" s="156" t="str">
        <f>IF(Table111[[#This Row],[Qty]]="","",Table111[[#This Row],[Qty]]*Table111[[#This Row],[Unit Price]])</f>
        <v/>
      </c>
      <c r="S475" s="156" t="str">
        <f>IF(Table111[[#This Row],[Qty]]="","",Table111[[#This Row],[Qty]]*Table111[[#This Row],[Unit Price]]+Table111[[#This Row],[Delivery Cost]])</f>
        <v/>
      </c>
      <c r="T475" s="67"/>
      <c r="U475" s="65"/>
      <c r="V475" s="72"/>
      <c r="W475" s="219"/>
      <c r="X475" s="63" t="str">
        <f t="shared" si="21"/>
        <v/>
      </c>
      <c r="Y475" s="63" t="str">
        <f t="shared" si="22"/>
        <v/>
      </c>
      <c r="Z475" s="63" t="str">
        <f t="shared" si="23"/>
        <v/>
      </c>
      <c r="AA475" s="63" t="str">
        <f>TEXT(Table111[[#This Row],[YEAR]],"0000")&amp;"-"&amp;Table111[[#This Row],[MONTH]]</f>
        <v>-</v>
      </c>
    </row>
    <row r="476" spans="2:27" x14ac:dyDescent="0.3">
      <c r="B476" s="183"/>
      <c r="C476" s="183"/>
      <c r="D476" s="183"/>
      <c r="E476" s="71"/>
      <c r="F476" s="72"/>
      <c r="G476" s="72"/>
      <c r="H476" s="74"/>
      <c r="I476" s="70"/>
      <c r="J476" s="70"/>
      <c r="K476" s="70"/>
      <c r="L476" s="74"/>
      <c r="M476" s="123"/>
      <c r="N476" s="73"/>
      <c r="O476" s="236"/>
      <c r="P476" s="113"/>
      <c r="Q476" s="113"/>
      <c r="R476" s="156" t="str">
        <f>IF(Table111[[#This Row],[Qty]]="","",Table111[[#This Row],[Qty]]*Table111[[#This Row],[Unit Price]])</f>
        <v/>
      </c>
      <c r="S476" s="156" t="str">
        <f>IF(Table111[[#This Row],[Qty]]="","",Table111[[#This Row],[Qty]]*Table111[[#This Row],[Unit Price]]+Table111[[#This Row],[Delivery Cost]])</f>
        <v/>
      </c>
      <c r="T476" s="67"/>
      <c r="U476" s="65"/>
      <c r="V476" s="72"/>
      <c r="W476" s="65"/>
      <c r="X476" s="63" t="str">
        <f t="shared" si="21"/>
        <v/>
      </c>
      <c r="Y476" s="63" t="str">
        <f t="shared" si="22"/>
        <v/>
      </c>
      <c r="Z476" s="63" t="str">
        <f t="shared" si="23"/>
        <v/>
      </c>
      <c r="AA476" s="63" t="str">
        <f>TEXT(Table111[[#This Row],[YEAR]],"0000")&amp;"-"&amp;Table111[[#This Row],[MONTH]]</f>
        <v>-</v>
      </c>
    </row>
    <row r="477" spans="2:27" x14ac:dyDescent="0.3">
      <c r="B477" s="68"/>
      <c r="C477" s="68"/>
      <c r="D477" s="68"/>
      <c r="E477" s="71"/>
      <c r="F477" s="72"/>
      <c r="G477" s="72"/>
      <c r="H477" s="74"/>
      <c r="I477" s="70"/>
      <c r="J477" s="70"/>
      <c r="K477" s="70"/>
      <c r="L477" s="74"/>
      <c r="M477" s="123"/>
      <c r="N477" s="73"/>
      <c r="O477" s="236"/>
      <c r="P477" s="117"/>
      <c r="Q477" s="117"/>
      <c r="R477" s="156" t="str">
        <f>IF(Table111[[#This Row],[Qty]]="","",Table111[[#This Row],[Qty]]*Table111[[#This Row],[Unit Price]])</f>
        <v/>
      </c>
      <c r="S477" s="156" t="str">
        <f>IF(Table111[[#This Row],[Qty]]="","",Table111[[#This Row],[Qty]]*Table111[[#This Row],[Unit Price]]+Table111[[#This Row],[Delivery Cost]])</f>
        <v/>
      </c>
      <c r="T477" s="72"/>
      <c r="U477" s="65"/>
      <c r="V477" s="72"/>
      <c r="W477" s="219"/>
      <c r="X477" s="63" t="str">
        <f t="shared" si="21"/>
        <v/>
      </c>
      <c r="Y477" s="63" t="str">
        <f t="shared" si="22"/>
        <v/>
      </c>
      <c r="Z477" s="63" t="str">
        <f t="shared" si="23"/>
        <v/>
      </c>
      <c r="AA477" s="63" t="str">
        <f>TEXT(Table111[[#This Row],[YEAR]],"0000")&amp;"-"&amp;Table111[[#This Row],[MONTH]]</f>
        <v>-</v>
      </c>
    </row>
    <row r="478" spans="2:27" x14ac:dyDescent="0.3">
      <c r="B478" s="183"/>
      <c r="C478" s="183"/>
      <c r="D478" s="183"/>
      <c r="E478" s="71"/>
      <c r="F478" s="72"/>
      <c r="G478" s="72"/>
      <c r="H478" s="74"/>
      <c r="I478" s="70"/>
      <c r="J478" s="70"/>
      <c r="K478" s="70"/>
      <c r="L478" s="74"/>
      <c r="M478" s="123"/>
      <c r="N478" s="73"/>
      <c r="O478" s="236"/>
      <c r="P478" s="117"/>
      <c r="Q478" s="117"/>
      <c r="R478" s="156" t="str">
        <f>IF(Table111[[#This Row],[Qty]]="","",Table111[[#This Row],[Qty]]*Table111[[#This Row],[Unit Price]])</f>
        <v/>
      </c>
      <c r="S478" s="156" t="str">
        <f>IF(Table111[[#This Row],[Qty]]="","",Table111[[#This Row],[Qty]]*Table111[[#This Row],[Unit Price]]+Table111[[#This Row],[Delivery Cost]])</f>
        <v/>
      </c>
      <c r="T478" s="72"/>
      <c r="U478" s="65"/>
      <c r="V478" s="72"/>
      <c r="W478" s="65"/>
      <c r="X478" s="63" t="str">
        <f t="shared" si="21"/>
        <v/>
      </c>
      <c r="Y478" s="63" t="str">
        <f t="shared" si="22"/>
        <v/>
      </c>
      <c r="Z478" s="63" t="str">
        <f t="shared" si="23"/>
        <v/>
      </c>
      <c r="AA478" s="63" t="str">
        <f>TEXT(Table111[[#This Row],[YEAR]],"0000")&amp;"-"&amp;Table111[[#This Row],[MONTH]]</f>
        <v>-</v>
      </c>
    </row>
    <row r="479" spans="2:27" x14ac:dyDescent="0.3">
      <c r="B479" s="68"/>
      <c r="C479" s="68"/>
      <c r="D479" s="68"/>
      <c r="E479" s="71"/>
      <c r="F479" s="72"/>
      <c r="G479" s="70"/>
      <c r="H479" s="74"/>
      <c r="I479" s="70"/>
      <c r="J479" s="70"/>
      <c r="K479" s="70"/>
      <c r="L479" s="74"/>
      <c r="M479" s="123"/>
      <c r="N479" s="73"/>
      <c r="O479" s="236"/>
      <c r="P479" s="117"/>
      <c r="Q479" s="117"/>
      <c r="R479" s="156" t="str">
        <f>IF(Table111[[#This Row],[Qty]]="","",Table111[[#This Row],[Qty]]*Table111[[#This Row],[Unit Price]])</f>
        <v/>
      </c>
      <c r="S479" s="156" t="str">
        <f>IF(Table111[[#This Row],[Qty]]="","",Table111[[#This Row],[Qty]]*Table111[[#This Row],[Unit Price]]+Table111[[#This Row],[Delivery Cost]])</f>
        <v/>
      </c>
      <c r="T479" s="72"/>
      <c r="U479" s="65"/>
      <c r="V479" s="72"/>
      <c r="W479" s="219"/>
      <c r="X479" s="63" t="str">
        <f t="shared" si="21"/>
        <v/>
      </c>
      <c r="Y479" s="63" t="str">
        <f t="shared" si="22"/>
        <v/>
      </c>
      <c r="Z479" s="63" t="str">
        <f t="shared" si="23"/>
        <v/>
      </c>
      <c r="AA479" s="63" t="str">
        <f>TEXT(Table111[[#This Row],[YEAR]],"0000")&amp;"-"&amp;Table111[[#This Row],[MONTH]]</f>
        <v>-</v>
      </c>
    </row>
    <row r="480" spans="2:27" x14ac:dyDescent="0.3">
      <c r="B480" s="183"/>
      <c r="C480" s="183"/>
      <c r="D480" s="183"/>
      <c r="E480" s="64"/>
      <c r="F480" s="65"/>
      <c r="G480" s="65"/>
      <c r="H480" s="66"/>
      <c r="I480" s="66"/>
      <c r="J480" s="66"/>
      <c r="K480" s="66"/>
      <c r="L480" s="74"/>
      <c r="M480" s="119"/>
      <c r="N480" s="66"/>
      <c r="O480" s="239"/>
      <c r="P480" s="113"/>
      <c r="Q480" s="113"/>
      <c r="R480" s="156" t="str">
        <f>IF(Table111[[#This Row],[Qty]]="","",Table111[[#This Row],[Qty]]*Table111[[#This Row],[Unit Price]])</f>
        <v/>
      </c>
      <c r="S480" s="156" t="str">
        <f>IF(Table111[[#This Row],[Qty]]="","",Table111[[#This Row],[Qty]]*Table111[[#This Row],[Unit Price]]+Table111[[#This Row],[Delivery Cost]])</f>
        <v/>
      </c>
      <c r="T480" s="67"/>
      <c r="U480" s="65"/>
      <c r="V480" s="72"/>
      <c r="W480" s="65"/>
      <c r="X480" s="63" t="str">
        <f t="shared" si="21"/>
        <v/>
      </c>
      <c r="Y480" s="63" t="str">
        <f t="shared" si="22"/>
        <v/>
      </c>
      <c r="Z480" s="63" t="str">
        <f t="shared" si="23"/>
        <v/>
      </c>
      <c r="AA480" s="63" t="str">
        <f>TEXT(Table111[[#This Row],[YEAR]],"0000")&amp;"-"&amp;Table111[[#This Row],[MONTH]]</f>
        <v>-</v>
      </c>
    </row>
    <row r="481" spans="2:27" x14ac:dyDescent="0.3">
      <c r="B481" s="68"/>
      <c r="C481" s="68"/>
      <c r="D481" s="68"/>
      <c r="E481" s="64"/>
      <c r="F481" s="72"/>
      <c r="G481" s="65"/>
      <c r="H481" s="66"/>
      <c r="I481" s="66"/>
      <c r="J481" s="66"/>
      <c r="K481" s="66"/>
      <c r="L481" s="74"/>
      <c r="M481" s="119"/>
      <c r="N481" s="66"/>
      <c r="O481" s="239"/>
      <c r="P481" s="113"/>
      <c r="Q481" s="113"/>
      <c r="R481" s="156" t="str">
        <f>IF(Table111[[#This Row],[Qty]]="","",Table111[[#This Row],[Qty]]*Table111[[#This Row],[Unit Price]])</f>
        <v/>
      </c>
      <c r="S481" s="156" t="str">
        <f>IF(Table111[[#This Row],[Qty]]="","",Table111[[#This Row],[Qty]]*Table111[[#This Row],[Unit Price]]+Table111[[#This Row],[Delivery Cost]])</f>
        <v/>
      </c>
      <c r="T481" s="67"/>
      <c r="U481" s="65"/>
      <c r="V481" s="72"/>
      <c r="W481" s="219"/>
      <c r="X481" s="63" t="str">
        <f t="shared" si="21"/>
        <v/>
      </c>
      <c r="Y481" s="63" t="str">
        <f t="shared" si="22"/>
        <v/>
      </c>
      <c r="Z481" s="63" t="str">
        <f t="shared" si="23"/>
        <v/>
      </c>
      <c r="AA481" s="63" t="str">
        <f>TEXT(Table111[[#This Row],[YEAR]],"0000")&amp;"-"&amp;Table111[[#This Row],[MONTH]]</f>
        <v>-</v>
      </c>
    </row>
    <row r="482" spans="2:27" x14ac:dyDescent="0.3">
      <c r="B482" s="68"/>
      <c r="C482" s="68"/>
      <c r="D482" s="68"/>
      <c r="E482" s="71"/>
      <c r="F482" s="65"/>
      <c r="G482" s="72"/>
      <c r="H482" s="74"/>
      <c r="I482" s="74"/>
      <c r="J482" s="74"/>
      <c r="K482" s="74"/>
      <c r="L482" s="74"/>
      <c r="M482" s="121"/>
      <c r="N482" s="73"/>
      <c r="O482" s="237"/>
      <c r="P482" s="113"/>
      <c r="Q482" s="113"/>
      <c r="R482" s="156" t="str">
        <f>IF(Table111[[#This Row],[Qty]]="","",Table111[[#This Row],[Qty]]*Table111[[#This Row],[Unit Price]])</f>
        <v/>
      </c>
      <c r="S482" s="156" t="str">
        <f>IF(Table111[[#This Row],[Qty]]="","",Table111[[#This Row],[Qty]]*Table111[[#This Row],[Unit Price]]+Table111[[#This Row],[Delivery Cost]])</f>
        <v/>
      </c>
      <c r="T482" s="67"/>
      <c r="U482" s="65"/>
      <c r="V482" s="72"/>
      <c r="W482" s="220"/>
      <c r="X482" s="63" t="str">
        <f t="shared" si="21"/>
        <v/>
      </c>
      <c r="Y482" s="63" t="str">
        <f t="shared" si="22"/>
        <v/>
      </c>
      <c r="Z482" s="63" t="str">
        <f t="shared" si="23"/>
        <v/>
      </c>
      <c r="AA482" s="63" t="str">
        <f>TEXT(Table111[[#This Row],[YEAR]],"0000")&amp;"-"&amp;Table111[[#This Row],[MONTH]]</f>
        <v>-</v>
      </c>
    </row>
    <row r="483" spans="2:27" x14ac:dyDescent="0.3">
      <c r="B483" s="183"/>
      <c r="C483" s="183"/>
      <c r="D483" s="183"/>
      <c r="E483" s="71"/>
      <c r="F483" s="65"/>
      <c r="G483" s="72"/>
      <c r="H483" s="74"/>
      <c r="I483" s="74"/>
      <c r="J483" s="74"/>
      <c r="K483" s="74"/>
      <c r="L483" s="74"/>
      <c r="M483" s="121"/>
      <c r="N483" s="73"/>
      <c r="O483" s="237"/>
      <c r="P483" s="113"/>
      <c r="Q483" s="113"/>
      <c r="R483" s="156" t="str">
        <f>IF(Table111[[#This Row],[Qty]]="","",Table111[[#This Row],[Qty]]*Table111[[#This Row],[Unit Price]])</f>
        <v/>
      </c>
      <c r="S483" s="156" t="str">
        <f>IF(Table111[[#This Row],[Qty]]="","",Table111[[#This Row],[Qty]]*Table111[[#This Row],[Unit Price]]+Table111[[#This Row],[Delivery Cost]])</f>
        <v/>
      </c>
      <c r="T483" s="67"/>
      <c r="U483" s="65"/>
      <c r="V483" s="72"/>
      <c r="W483" s="16"/>
      <c r="X483" s="63" t="str">
        <f t="shared" si="21"/>
        <v/>
      </c>
      <c r="Y483" s="63" t="str">
        <f t="shared" si="22"/>
        <v/>
      </c>
      <c r="Z483" s="63" t="str">
        <f t="shared" si="23"/>
        <v/>
      </c>
      <c r="AA483" s="63" t="str">
        <f>TEXT(Table111[[#This Row],[YEAR]],"0000")&amp;"-"&amp;Table111[[#This Row],[MONTH]]</f>
        <v>-</v>
      </c>
    </row>
    <row r="484" spans="2:27" x14ac:dyDescent="0.3">
      <c r="B484" s="68"/>
      <c r="C484" s="68"/>
      <c r="D484" s="68"/>
      <c r="E484" s="64"/>
      <c r="F484" s="65"/>
      <c r="G484" s="65"/>
      <c r="H484" s="66"/>
      <c r="I484" s="66"/>
      <c r="J484" s="66"/>
      <c r="K484" s="66"/>
      <c r="L484" s="74"/>
      <c r="M484" s="119"/>
      <c r="N484" s="66"/>
      <c r="O484" s="239"/>
      <c r="P484" s="113"/>
      <c r="Q484" s="113"/>
      <c r="R484" s="156" t="str">
        <f>IF(Table111[[#This Row],[Qty]]="","",Table111[[#This Row],[Qty]]*Table111[[#This Row],[Unit Price]])</f>
        <v/>
      </c>
      <c r="S484" s="156" t="str">
        <f>IF(Table111[[#This Row],[Qty]]="","",Table111[[#This Row],[Qty]]*Table111[[#This Row],[Unit Price]]+Table111[[#This Row],[Delivery Cost]])</f>
        <v/>
      </c>
      <c r="T484" s="67"/>
      <c r="U484" s="65"/>
      <c r="V484" s="65"/>
      <c r="W484" s="220"/>
      <c r="X484" s="63" t="str">
        <f t="shared" si="21"/>
        <v/>
      </c>
      <c r="Y484" s="63" t="str">
        <f t="shared" si="22"/>
        <v/>
      </c>
      <c r="Z484" s="63" t="str">
        <f t="shared" si="23"/>
        <v/>
      </c>
      <c r="AA484" s="63" t="str">
        <f>TEXT(Table111[[#This Row],[YEAR]],"0000")&amp;"-"&amp;Table111[[#This Row],[MONTH]]</f>
        <v>-</v>
      </c>
    </row>
    <row r="485" spans="2:27" x14ac:dyDescent="0.3">
      <c r="B485" s="68"/>
      <c r="C485" s="68"/>
      <c r="D485" s="68"/>
      <c r="E485" s="64"/>
      <c r="F485" s="65"/>
      <c r="G485" s="65"/>
      <c r="H485" s="66"/>
      <c r="I485" s="66"/>
      <c r="J485" s="66"/>
      <c r="K485" s="66"/>
      <c r="L485" s="74"/>
      <c r="M485" s="119"/>
      <c r="N485" s="66"/>
      <c r="O485" s="239"/>
      <c r="P485" s="113"/>
      <c r="Q485" s="113"/>
      <c r="R485" s="156" t="str">
        <f>IF(Table111[[#This Row],[Qty]]="","",Table111[[#This Row],[Qty]]*Table111[[#This Row],[Unit Price]])</f>
        <v/>
      </c>
      <c r="S485" s="156" t="str">
        <f>IF(Table111[[#This Row],[Qty]]="","",Table111[[#This Row],[Qty]]*Table111[[#This Row],[Unit Price]]+Table111[[#This Row],[Delivery Cost]])</f>
        <v/>
      </c>
      <c r="T485" s="67"/>
      <c r="U485" s="65"/>
      <c r="V485" s="65"/>
      <c r="W485" s="219"/>
      <c r="X485" s="63" t="str">
        <f t="shared" si="21"/>
        <v/>
      </c>
      <c r="Y485" s="63" t="str">
        <f t="shared" si="22"/>
        <v/>
      </c>
      <c r="Z485" s="63" t="str">
        <f t="shared" si="23"/>
        <v/>
      </c>
      <c r="AA485" s="63" t="str">
        <f>TEXT(Table111[[#This Row],[YEAR]],"0000")&amp;"-"&amp;Table111[[#This Row],[MONTH]]</f>
        <v>-</v>
      </c>
    </row>
    <row r="486" spans="2:27" x14ac:dyDescent="0.3">
      <c r="B486" s="183"/>
      <c r="C486" s="183"/>
      <c r="D486" s="183"/>
      <c r="E486" s="64"/>
      <c r="F486" s="65"/>
      <c r="G486" s="65"/>
      <c r="H486" s="66"/>
      <c r="I486" s="66"/>
      <c r="J486" s="66"/>
      <c r="K486" s="66"/>
      <c r="L486" s="74"/>
      <c r="M486" s="119"/>
      <c r="N486" s="66"/>
      <c r="O486" s="239"/>
      <c r="P486" s="113"/>
      <c r="Q486" s="113"/>
      <c r="R486" s="156" t="str">
        <f>IF(Table111[[#This Row],[Qty]]="","",Table111[[#This Row],[Qty]]*Table111[[#This Row],[Unit Price]])</f>
        <v/>
      </c>
      <c r="S486" s="156" t="str">
        <f>IF(Table111[[#This Row],[Qty]]="","",Table111[[#This Row],[Qty]]*Table111[[#This Row],[Unit Price]]+Table111[[#This Row],[Delivery Cost]])</f>
        <v/>
      </c>
      <c r="T486" s="67"/>
      <c r="U486" s="65"/>
      <c r="V486" s="65"/>
      <c r="W486" s="65"/>
      <c r="X486" s="63" t="str">
        <f t="shared" si="21"/>
        <v/>
      </c>
      <c r="Y486" s="63" t="str">
        <f t="shared" si="22"/>
        <v/>
      </c>
      <c r="Z486" s="63" t="str">
        <f t="shared" si="23"/>
        <v/>
      </c>
      <c r="AA486" s="63" t="str">
        <f>TEXT(Table111[[#This Row],[YEAR]],"0000")&amp;"-"&amp;Table111[[#This Row],[MONTH]]</f>
        <v>-</v>
      </c>
    </row>
    <row r="487" spans="2:27" x14ac:dyDescent="0.3">
      <c r="B487" s="68"/>
      <c r="C487" s="68"/>
      <c r="D487" s="68"/>
      <c r="E487" s="64"/>
      <c r="F487" s="65"/>
      <c r="G487" s="65"/>
      <c r="H487" s="66"/>
      <c r="I487" s="66"/>
      <c r="J487" s="66"/>
      <c r="K487" s="66"/>
      <c r="L487" s="74"/>
      <c r="M487" s="119"/>
      <c r="N487" s="66"/>
      <c r="O487" s="239"/>
      <c r="P487" s="113"/>
      <c r="Q487" s="113"/>
      <c r="R487" s="156" t="str">
        <f>IF(Table111[[#This Row],[Qty]]="","",Table111[[#This Row],[Qty]]*Table111[[#This Row],[Unit Price]])</f>
        <v/>
      </c>
      <c r="S487" s="156" t="str">
        <f>IF(Table111[[#This Row],[Qty]]="","",Table111[[#This Row],[Qty]]*Table111[[#This Row],[Unit Price]]+Table111[[#This Row],[Delivery Cost]])</f>
        <v/>
      </c>
      <c r="T487" s="67"/>
      <c r="U487" s="65"/>
      <c r="V487" s="65"/>
      <c r="W487" s="219"/>
      <c r="X487" s="63" t="str">
        <f t="shared" si="21"/>
        <v/>
      </c>
      <c r="Y487" s="63" t="str">
        <f t="shared" si="22"/>
        <v/>
      </c>
      <c r="Z487" s="63" t="str">
        <f t="shared" si="23"/>
        <v/>
      </c>
      <c r="AA487" s="63" t="str">
        <f>TEXT(Table111[[#This Row],[YEAR]],"0000")&amp;"-"&amp;Table111[[#This Row],[MONTH]]</f>
        <v>-</v>
      </c>
    </row>
    <row r="488" spans="2:27" x14ac:dyDescent="0.3">
      <c r="B488" s="68"/>
      <c r="C488" s="68"/>
      <c r="D488" s="68"/>
      <c r="E488" s="71"/>
      <c r="F488" s="72"/>
      <c r="G488" s="72"/>
      <c r="H488" s="74"/>
      <c r="I488" s="70"/>
      <c r="J488" s="70"/>
      <c r="K488" s="70"/>
      <c r="L488" s="74"/>
      <c r="M488" s="123"/>
      <c r="N488" s="73"/>
      <c r="O488" s="236"/>
      <c r="P488" s="117"/>
      <c r="Q488" s="117"/>
      <c r="R488" s="156" t="str">
        <f>IF(Table111[[#This Row],[Qty]]="","",Table111[[#This Row],[Qty]]*Table111[[#This Row],[Unit Price]])</f>
        <v/>
      </c>
      <c r="S488" s="156" t="str">
        <f>IF(Table111[[#This Row],[Qty]]="","",Table111[[#This Row],[Qty]]*Table111[[#This Row],[Unit Price]]+Table111[[#This Row],[Delivery Cost]])</f>
        <v/>
      </c>
      <c r="T488" s="72"/>
      <c r="U488" s="72"/>
      <c r="V488" s="72"/>
      <c r="W488" s="220"/>
      <c r="X488" s="63" t="str">
        <f t="shared" si="21"/>
        <v/>
      </c>
      <c r="Y488" s="63" t="str">
        <f t="shared" si="22"/>
        <v/>
      </c>
      <c r="Z488" s="63" t="str">
        <f t="shared" si="23"/>
        <v/>
      </c>
      <c r="AA488" s="63" t="str">
        <f>TEXT(Table111[[#This Row],[YEAR]],"0000")&amp;"-"&amp;Table111[[#This Row],[MONTH]]</f>
        <v>-</v>
      </c>
    </row>
    <row r="489" spans="2:27" x14ac:dyDescent="0.3">
      <c r="B489" s="183"/>
      <c r="C489" s="183"/>
      <c r="D489" s="183"/>
      <c r="E489" s="71"/>
      <c r="F489" s="72"/>
      <c r="G489" s="72"/>
      <c r="H489" s="74"/>
      <c r="I489" s="70"/>
      <c r="J489" s="70"/>
      <c r="K489" s="70"/>
      <c r="L489" s="74"/>
      <c r="M489" s="123"/>
      <c r="N489" s="73"/>
      <c r="O489" s="236"/>
      <c r="P489" s="117"/>
      <c r="Q489" s="117"/>
      <c r="R489" s="156" t="str">
        <f>IF(Table111[[#This Row],[Qty]]="","",Table111[[#This Row],[Qty]]*Table111[[#This Row],[Unit Price]])</f>
        <v/>
      </c>
      <c r="S489" s="156" t="str">
        <f>IF(Table111[[#This Row],[Qty]]="","",Table111[[#This Row],[Qty]]*Table111[[#This Row],[Unit Price]]+Table111[[#This Row],[Delivery Cost]])</f>
        <v/>
      </c>
      <c r="T489" s="72"/>
      <c r="U489" s="72"/>
      <c r="V489" s="72"/>
      <c r="W489" s="16"/>
      <c r="X489" s="63" t="str">
        <f t="shared" si="21"/>
        <v/>
      </c>
      <c r="Y489" s="63" t="str">
        <f t="shared" si="22"/>
        <v/>
      </c>
      <c r="Z489" s="63" t="str">
        <f t="shared" si="23"/>
        <v/>
      </c>
      <c r="AA489" s="63" t="str">
        <f>TEXT(Table111[[#This Row],[YEAR]],"0000")&amp;"-"&amp;Table111[[#This Row],[MONTH]]</f>
        <v>-</v>
      </c>
    </row>
    <row r="490" spans="2:27" x14ac:dyDescent="0.3">
      <c r="B490" s="68"/>
      <c r="C490" s="68"/>
      <c r="D490" s="68"/>
      <c r="E490" s="71"/>
      <c r="F490" s="72"/>
      <c r="G490" s="72"/>
      <c r="H490" s="74"/>
      <c r="I490" s="70"/>
      <c r="J490" s="70"/>
      <c r="K490" s="70"/>
      <c r="L490" s="74"/>
      <c r="M490" s="123"/>
      <c r="N490" s="73"/>
      <c r="O490" s="236"/>
      <c r="P490" s="117"/>
      <c r="Q490" s="117"/>
      <c r="R490" s="156" t="str">
        <f>IF(Table111[[#This Row],[Qty]]="","",Table111[[#This Row],[Qty]]*Table111[[#This Row],[Unit Price]])</f>
        <v/>
      </c>
      <c r="S490" s="156" t="str">
        <f>IF(Table111[[#This Row],[Qty]]="","",Table111[[#This Row],[Qty]]*Table111[[#This Row],[Unit Price]]+Table111[[#This Row],[Delivery Cost]])</f>
        <v/>
      </c>
      <c r="T490" s="72"/>
      <c r="U490" s="72"/>
      <c r="V490" s="72"/>
      <c r="W490" s="220"/>
      <c r="X490" s="63" t="str">
        <f t="shared" si="21"/>
        <v/>
      </c>
      <c r="Y490" s="63" t="str">
        <f t="shared" si="22"/>
        <v/>
      </c>
      <c r="Z490" s="63" t="str">
        <f t="shared" si="23"/>
        <v/>
      </c>
      <c r="AA490" s="63" t="str">
        <f>TEXT(Table111[[#This Row],[YEAR]],"0000")&amp;"-"&amp;Table111[[#This Row],[MONTH]]</f>
        <v>-</v>
      </c>
    </row>
    <row r="491" spans="2:27" x14ac:dyDescent="0.3">
      <c r="B491" s="183"/>
      <c r="C491" s="183"/>
      <c r="D491" s="183"/>
      <c r="E491" s="71"/>
      <c r="F491" s="72"/>
      <c r="G491" s="72"/>
      <c r="H491" s="74"/>
      <c r="I491" s="70"/>
      <c r="J491" s="70"/>
      <c r="K491" s="70"/>
      <c r="L491" s="74"/>
      <c r="M491" s="123"/>
      <c r="N491" s="73"/>
      <c r="O491" s="236"/>
      <c r="P491" s="117"/>
      <c r="Q491" s="117"/>
      <c r="R491" s="156" t="str">
        <f>IF(Table111[[#This Row],[Qty]]="","",Table111[[#This Row],[Qty]]*Table111[[#This Row],[Unit Price]])</f>
        <v/>
      </c>
      <c r="S491" s="156" t="str">
        <f>IF(Table111[[#This Row],[Qty]]="","",Table111[[#This Row],[Qty]]*Table111[[#This Row],[Unit Price]]+Table111[[#This Row],[Delivery Cost]])</f>
        <v/>
      </c>
      <c r="T491" s="72"/>
      <c r="U491" s="72"/>
      <c r="V491" s="72"/>
      <c r="W491" s="16"/>
      <c r="X491" s="63" t="str">
        <f t="shared" si="21"/>
        <v/>
      </c>
      <c r="Y491" s="63" t="str">
        <f t="shared" si="22"/>
        <v/>
      </c>
      <c r="Z491" s="63" t="str">
        <f t="shared" si="23"/>
        <v/>
      </c>
      <c r="AA491" s="63" t="str">
        <f>TEXT(Table111[[#This Row],[YEAR]],"0000")&amp;"-"&amp;Table111[[#This Row],[MONTH]]</f>
        <v>-</v>
      </c>
    </row>
    <row r="492" spans="2:27" x14ac:dyDescent="0.3">
      <c r="B492" s="68"/>
      <c r="C492" s="68"/>
      <c r="D492" s="68"/>
      <c r="E492" s="71"/>
      <c r="F492" s="72"/>
      <c r="G492" s="72"/>
      <c r="H492" s="74"/>
      <c r="I492" s="70"/>
      <c r="J492" s="70"/>
      <c r="K492" s="70"/>
      <c r="L492" s="74"/>
      <c r="M492" s="123"/>
      <c r="N492" s="73"/>
      <c r="O492" s="236"/>
      <c r="P492" s="117"/>
      <c r="Q492" s="117"/>
      <c r="R492" s="156" t="str">
        <f>IF(Table111[[#This Row],[Qty]]="","",Table111[[#This Row],[Qty]]*Table111[[#This Row],[Unit Price]])</f>
        <v/>
      </c>
      <c r="S492" s="156" t="str">
        <f>IF(Table111[[#This Row],[Qty]]="","",Table111[[#This Row],[Qty]]*Table111[[#This Row],[Unit Price]]+Table111[[#This Row],[Delivery Cost]])</f>
        <v/>
      </c>
      <c r="T492" s="72"/>
      <c r="U492" s="72"/>
      <c r="V492" s="72"/>
      <c r="W492" s="220"/>
      <c r="X492" s="63" t="str">
        <f t="shared" si="21"/>
        <v/>
      </c>
      <c r="Y492" s="63" t="str">
        <f t="shared" si="22"/>
        <v/>
      </c>
      <c r="Z492" s="63" t="str">
        <f t="shared" si="23"/>
        <v/>
      </c>
      <c r="AA492" s="63" t="str">
        <f>TEXT(Table111[[#This Row],[YEAR]],"0000")&amp;"-"&amp;Table111[[#This Row],[MONTH]]</f>
        <v>-</v>
      </c>
    </row>
    <row r="493" spans="2:27" x14ac:dyDescent="0.3">
      <c r="B493" s="183"/>
      <c r="C493" s="183"/>
      <c r="D493" s="183"/>
      <c r="E493" s="71"/>
      <c r="F493" s="72"/>
      <c r="G493" s="72"/>
      <c r="H493" s="74"/>
      <c r="I493" s="70"/>
      <c r="J493" s="70"/>
      <c r="K493" s="70"/>
      <c r="L493" s="74"/>
      <c r="M493" s="123"/>
      <c r="N493" s="73"/>
      <c r="O493" s="236"/>
      <c r="P493" s="117"/>
      <c r="Q493" s="117"/>
      <c r="R493" s="156" t="str">
        <f>IF(Table111[[#This Row],[Qty]]="","",Table111[[#This Row],[Qty]]*Table111[[#This Row],[Unit Price]])</f>
        <v/>
      </c>
      <c r="S493" s="156" t="str">
        <f>IF(Table111[[#This Row],[Qty]]="","",Table111[[#This Row],[Qty]]*Table111[[#This Row],[Unit Price]]+Table111[[#This Row],[Delivery Cost]])</f>
        <v/>
      </c>
      <c r="T493" s="72"/>
      <c r="U493" s="72"/>
      <c r="V493" s="72"/>
      <c r="W493" s="16"/>
      <c r="X493" s="63" t="str">
        <f t="shared" si="21"/>
        <v/>
      </c>
      <c r="Y493" s="63" t="str">
        <f t="shared" si="22"/>
        <v/>
      </c>
      <c r="Z493" s="63" t="str">
        <f t="shared" si="23"/>
        <v/>
      </c>
      <c r="AA493" s="63" t="str">
        <f>TEXT(Table111[[#This Row],[YEAR]],"0000")&amp;"-"&amp;Table111[[#This Row],[MONTH]]</f>
        <v>-</v>
      </c>
    </row>
    <row r="494" spans="2:27" x14ac:dyDescent="0.3">
      <c r="B494" s="68"/>
      <c r="C494" s="68"/>
      <c r="D494" s="68"/>
      <c r="E494" s="71"/>
      <c r="F494" s="72"/>
      <c r="G494" s="72"/>
      <c r="H494" s="74"/>
      <c r="I494" s="70"/>
      <c r="J494" s="70"/>
      <c r="K494" s="70"/>
      <c r="L494" s="74"/>
      <c r="M494" s="123"/>
      <c r="N494" s="73"/>
      <c r="O494" s="236"/>
      <c r="P494" s="117"/>
      <c r="Q494" s="117"/>
      <c r="R494" s="156" t="str">
        <f>IF(Table111[[#This Row],[Qty]]="","",Table111[[#This Row],[Qty]]*Table111[[#This Row],[Unit Price]])</f>
        <v/>
      </c>
      <c r="S494" s="156" t="str">
        <f>IF(Table111[[#This Row],[Qty]]="","",Table111[[#This Row],[Qty]]*Table111[[#This Row],[Unit Price]]+Table111[[#This Row],[Delivery Cost]])</f>
        <v/>
      </c>
      <c r="T494" s="72"/>
      <c r="U494" s="72"/>
      <c r="V494" s="72"/>
      <c r="W494" s="220"/>
      <c r="X494" s="63" t="str">
        <f t="shared" si="21"/>
        <v/>
      </c>
      <c r="Y494" s="63" t="str">
        <f t="shared" si="22"/>
        <v/>
      </c>
      <c r="Z494" s="63" t="str">
        <f t="shared" si="23"/>
        <v/>
      </c>
      <c r="AA494" s="63" t="str">
        <f>TEXT(Table111[[#This Row],[YEAR]],"0000")&amp;"-"&amp;Table111[[#This Row],[MONTH]]</f>
        <v>-</v>
      </c>
    </row>
    <row r="495" spans="2:27" x14ac:dyDescent="0.3">
      <c r="B495" s="183"/>
      <c r="C495" s="183"/>
      <c r="D495" s="183"/>
      <c r="E495" s="71"/>
      <c r="F495" s="72"/>
      <c r="G495" s="72"/>
      <c r="H495" s="74"/>
      <c r="I495" s="70"/>
      <c r="J495" s="70"/>
      <c r="K495" s="70"/>
      <c r="L495" s="74"/>
      <c r="M495" s="123"/>
      <c r="N495" s="73"/>
      <c r="O495" s="236"/>
      <c r="P495" s="117"/>
      <c r="Q495" s="117"/>
      <c r="R495" s="156" t="str">
        <f>IF(Table111[[#This Row],[Qty]]="","",Table111[[#This Row],[Qty]]*Table111[[#This Row],[Unit Price]])</f>
        <v/>
      </c>
      <c r="S495" s="156" t="str">
        <f>IF(Table111[[#This Row],[Qty]]="","",Table111[[#This Row],[Qty]]*Table111[[#This Row],[Unit Price]]+Table111[[#This Row],[Delivery Cost]])</f>
        <v/>
      </c>
      <c r="T495" s="72"/>
      <c r="U495" s="72"/>
      <c r="V495" s="72"/>
      <c r="W495" s="16"/>
      <c r="X495" s="63" t="str">
        <f t="shared" si="21"/>
        <v/>
      </c>
      <c r="Y495" s="63" t="str">
        <f t="shared" si="22"/>
        <v/>
      </c>
      <c r="Z495" s="63" t="str">
        <f t="shared" si="23"/>
        <v/>
      </c>
      <c r="AA495" s="63" t="str">
        <f>TEXT(Table111[[#This Row],[YEAR]],"0000")&amp;"-"&amp;Table111[[#This Row],[MONTH]]</f>
        <v>-</v>
      </c>
    </row>
    <row r="496" spans="2:27" x14ac:dyDescent="0.3">
      <c r="B496" s="68"/>
      <c r="C496" s="68"/>
      <c r="D496" s="68"/>
      <c r="E496" s="71"/>
      <c r="F496" s="72"/>
      <c r="G496" s="72"/>
      <c r="H496" s="74"/>
      <c r="I496" s="70"/>
      <c r="J496" s="70"/>
      <c r="K496" s="70"/>
      <c r="L496" s="74"/>
      <c r="M496" s="123"/>
      <c r="N496" s="73"/>
      <c r="O496" s="236"/>
      <c r="P496" s="117"/>
      <c r="Q496" s="117"/>
      <c r="R496" s="156" t="str">
        <f>IF(Table111[[#This Row],[Qty]]="","",Table111[[#This Row],[Qty]]*Table111[[#This Row],[Unit Price]])</f>
        <v/>
      </c>
      <c r="S496" s="156" t="str">
        <f>IF(Table111[[#This Row],[Qty]]="","",Table111[[#This Row],[Qty]]*Table111[[#This Row],[Unit Price]]+Table111[[#This Row],[Delivery Cost]])</f>
        <v/>
      </c>
      <c r="T496" s="72"/>
      <c r="U496" s="72"/>
      <c r="V496" s="72"/>
      <c r="W496" s="220"/>
      <c r="X496" s="63" t="str">
        <f t="shared" si="21"/>
        <v/>
      </c>
      <c r="Y496" s="63" t="str">
        <f t="shared" si="22"/>
        <v/>
      </c>
      <c r="Z496" s="63" t="str">
        <f t="shared" si="23"/>
        <v/>
      </c>
      <c r="AA496" s="63" t="str">
        <f>TEXT(Table111[[#This Row],[YEAR]],"0000")&amp;"-"&amp;Table111[[#This Row],[MONTH]]</f>
        <v>-</v>
      </c>
    </row>
    <row r="497" spans="2:27" x14ac:dyDescent="0.3">
      <c r="B497" s="183"/>
      <c r="C497" s="183"/>
      <c r="D497" s="183"/>
      <c r="E497" s="71"/>
      <c r="F497" s="72"/>
      <c r="G497" s="72"/>
      <c r="H497" s="74"/>
      <c r="I497" s="70"/>
      <c r="J497" s="70"/>
      <c r="K497" s="70"/>
      <c r="L497" s="74"/>
      <c r="M497" s="123"/>
      <c r="N497" s="73"/>
      <c r="O497" s="236"/>
      <c r="P497" s="117"/>
      <c r="Q497" s="117"/>
      <c r="R497" s="156" t="str">
        <f>IF(Table111[[#This Row],[Qty]]="","",Table111[[#This Row],[Qty]]*Table111[[#This Row],[Unit Price]])</f>
        <v/>
      </c>
      <c r="S497" s="156" t="str">
        <f>IF(Table111[[#This Row],[Qty]]="","",Table111[[#This Row],[Qty]]*Table111[[#This Row],[Unit Price]]+Table111[[#This Row],[Delivery Cost]])</f>
        <v/>
      </c>
      <c r="T497" s="72"/>
      <c r="U497" s="72"/>
      <c r="V497" s="72"/>
      <c r="W497" s="16"/>
      <c r="X497" s="63" t="str">
        <f t="shared" si="21"/>
        <v/>
      </c>
      <c r="Y497" s="63" t="str">
        <f t="shared" si="22"/>
        <v/>
      </c>
      <c r="Z497" s="63" t="str">
        <f t="shared" si="23"/>
        <v/>
      </c>
      <c r="AA497" s="63" t="str">
        <f>TEXT(Table111[[#This Row],[YEAR]],"0000")&amp;"-"&amp;Table111[[#This Row],[MONTH]]</f>
        <v>-</v>
      </c>
    </row>
    <row r="498" spans="2:27" x14ac:dyDescent="0.3">
      <c r="B498" s="68"/>
      <c r="C498" s="68"/>
      <c r="D498" s="68"/>
      <c r="E498" s="71"/>
      <c r="F498" s="72"/>
      <c r="G498" s="72"/>
      <c r="H498" s="74"/>
      <c r="I498" s="70"/>
      <c r="J498" s="70"/>
      <c r="K498" s="70"/>
      <c r="L498" s="74"/>
      <c r="M498" s="123"/>
      <c r="N498" s="73"/>
      <c r="O498" s="236"/>
      <c r="P498" s="117"/>
      <c r="Q498" s="117"/>
      <c r="R498" s="156" t="str">
        <f>IF(Table111[[#This Row],[Qty]]="","",Table111[[#This Row],[Qty]]*Table111[[#This Row],[Unit Price]])</f>
        <v/>
      </c>
      <c r="S498" s="156" t="str">
        <f>IF(Table111[[#This Row],[Qty]]="","",Table111[[#This Row],[Qty]]*Table111[[#This Row],[Unit Price]]+Table111[[#This Row],[Delivery Cost]])</f>
        <v/>
      </c>
      <c r="T498" s="72"/>
      <c r="U498" s="72"/>
      <c r="V498" s="72"/>
      <c r="W498" s="220"/>
      <c r="X498" s="63" t="str">
        <f t="shared" si="21"/>
        <v/>
      </c>
      <c r="Y498" s="63" t="str">
        <f t="shared" si="22"/>
        <v/>
      </c>
      <c r="Z498" s="63" t="str">
        <f t="shared" si="23"/>
        <v/>
      </c>
      <c r="AA498" s="63" t="str">
        <f>TEXT(Table111[[#This Row],[YEAR]],"0000")&amp;"-"&amp;Table111[[#This Row],[MONTH]]</f>
        <v>-</v>
      </c>
    </row>
    <row r="499" spans="2:27" x14ac:dyDescent="0.3">
      <c r="B499" s="183"/>
      <c r="C499" s="183"/>
      <c r="D499" s="183"/>
      <c r="E499" s="71"/>
      <c r="F499" s="72"/>
      <c r="G499" s="72"/>
      <c r="H499" s="74"/>
      <c r="I499" s="70"/>
      <c r="J499" s="70"/>
      <c r="K499" s="70"/>
      <c r="L499" s="74"/>
      <c r="M499" s="123"/>
      <c r="N499" s="73"/>
      <c r="O499" s="236"/>
      <c r="P499" s="117"/>
      <c r="Q499" s="117"/>
      <c r="R499" s="156" t="str">
        <f>IF(Table111[[#This Row],[Qty]]="","",Table111[[#This Row],[Qty]]*Table111[[#This Row],[Unit Price]])</f>
        <v/>
      </c>
      <c r="S499" s="156" t="str">
        <f>IF(Table111[[#This Row],[Qty]]="","",Table111[[#This Row],[Qty]]*Table111[[#This Row],[Unit Price]]+Table111[[#This Row],[Delivery Cost]])</f>
        <v/>
      </c>
      <c r="T499" s="72"/>
      <c r="U499" s="72"/>
      <c r="V499" s="72"/>
      <c r="W499" s="16"/>
      <c r="X499" s="63" t="str">
        <f t="shared" si="21"/>
        <v/>
      </c>
      <c r="Y499" s="63" t="str">
        <f t="shared" si="22"/>
        <v/>
      </c>
      <c r="Z499" s="63" t="str">
        <f t="shared" si="23"/>
        <v/>
      </c>
      <c r="AA499" s="63" t="str">
        <f>TEXT(Table111[[#This Row],[YEAR]],"0000")&amp;"-"&amp;Table111[[#This Row],[MONTH]]</f>
        <v>-</v>
      </c>
    </row>
    <row r="500" spans="2:27" x14ac:dyDescent="0.3">
      <c r="B500" s="68"/>
      <c r="C500" s="68"/>
      <c r="D500" s="68"/>
      <c r="E500" s="71"/>
      <c r="F500" s="72"/>
      <c r="G500" s="72"/>
      <c r="H500" s="74"/>
      <c r="I500" s="70"/>
      <c r="J500" s="70"/>
      <c r="K500" s="70"/>
      <c r="L500" s="74"/>
      <c r="M500" s="123"/>
      <c r="N500" s="73"/>
      <c r="O500" s="236"/>
      <c r="P500" s="117"/>
      <c r="Q500" s="117"/>
      <c r="R500" s="156" t="str">
        <f>IF(Table111[[#This Row],[Qty]]="","",Table111[[#This Row],[Qty]]*Table111[[#This Row],[Unit Price]])</f>
        <v/>
      </c>
      <c r="S500" s="156" t="str">
        <f>IF(Table111[[#This Row],[Qty]]="","",Table111[[#This Row],[Qty]]*Table111[[#This Row],[Unit Price]]+Table111[[#This Row],[Delivery Cost]])</f>
        <v/>
      </c>
      <c r="T500" s="72"/>
      <c r="U500" s="72"/>
      <c r="V500" s="72"/>
      <c r="W500" s="65"/>
      <c r="X500" s="63" t="str">
        <f t="shared" si="21"/>
        <v/>
      </c>
      <c r="Y500" s="63" t="str">
        <f t="shared" si="22"/>
        <v/>
      </c>
      <c r="Z500" s="63" t="str">
        <f t="shared" si="23"/>
        <v/>
      </c>
      <c r="AA500" s="63" t="str">
        <f>TEXT(Table111[[#This Row],[YEAR]],"0000")&amp;"-"&amp;Table111[[#This Row],[MONTH]]</f>
        <v>-</v>
      </c>
    </row>
    <row r="501" spans="2:27" x14ac:dyDescent="0.3">
      <c r="B501" s="183"/>
      <c r="C501" s="183"/>
      <c r="D501" s="183"/>
      <c r="E501" s="64"/>
      <c r="F501" s="65"/>
      <c r="G501" s="65"/>
      <c r="H501" s="66"/>
      <c r="I501" s="66"/>
      <c r="J501" s="66"/>
      <c r="K501" s="66"/>
      <c r="L501" s="74"/>
      <c r="M501" s="119"/>
      <c r="N501" s="66"/>
      <c r="O501" s="239"/>
      <c r="P501" s="113"/>
      <c r="Q501" s="113"/>
      <c r="R501" s="156" t="str">
        <f>IF(Table111[[#This Row],[Qty]]="","",Table111[[#This Row],[Qty]]*Table111[[#This Row],[Unit Price]])</f>
        <v/>
      </c>
      <c r="S501" s="156" t="str">
        <f>IF(Table111[[#This Row],[Qty]]="","",Table111[[#This Row],[Qty]]*Table111[[#This Row],[Unit Price]]+Table111[[#This Row],[Delivery Cost]])</f>
        <v/>
      </c>
      <c r="T501" s="67"/>
      <c r="U501" s="65"/>
      <c r="V501" s="72"/>
      <c r="W501" s="16"/>
      <c r="X501" s="63" t="str">
        <f t="shared" si="21"/>
        <v/>
      </c>
      <c r="Y501" s="63" t="str">
        <f t="shared" si="22"/>
        <v/>
      </c>
      <c r="Z501" s="63" t="str">
        <f t="shared" si="23"/>
        <v/>
      </c>
      <c r="AA501" s="63" t="str">
        <f>TEXT(Table111[[#This Row],[YEAR]],"0000")&amp;"-"&amp;Table111[[#This Row],[MONTH]]</f>
        <v>-</v>
      </c>
    </row>
    <row r="502" spans="2:27" x14ac:dyDescent="0.3">
      <c r="B502" s="68"/>
      <c r="C502" s="68"/>
      <c r="D502" s="68"/>
      <c r="E502" s="64"/>
      <c r="F502" s="65"/>
      <c r="G502" s="65"/>
      <c r="H502" s="66"/>
      <c r="I502" s="68"/>
      <c r="J502" s="68"/>
      <c r="K502" s="68"/>
      <c r="L502" s="74"/>
      <c r="M502" s="120"/>
      <c r="N502" s="68"/>
      <c r="O502" s="241"/>
      <c r="P502" s="113"/>
      <c r="Q502" s="113"/>
      <c r="R502" s="156" t="str">
        <f>IF(Table111[[#This Row],[Qty]]="","",Table111[[#This Row],[Qty]]*Table111[[#This Row],[Unit Price]])</f>
        <v/>
      </c>
      <c r="S502" s="156" t="str">
        <f>IF(Table111[[#This Row],[Qty]]="","",Table111[[#This Row],[Qty]]*Table111[[#This Row],[Unit Price]]+Table111[[#This Row],[Delivery Cost]])</f>
        <v/>
      </c>
      <c r="T502" s="67"/>
      <c r="U502" s="65"/>
      <c r="V502" s="72"/>
      <c r="W502" s="220"/>
      <c r="X502" s="63" t="str">
        <f t="shared" si="21"/>
        <v/>
      </c>
      <c r="Y502" s="63" t="str">
        <f t="shared" si="22"/>
        <v/>
      </c>
      <c r="Z502" s="63" t="str">
        <f t="shared" si="23"/>
        <v/>
      </c>
      <c r="AA502" s="63" t="str">
        <f>TEXT(Table111[[#This Row],[YEAR]],"0000")&amp;"-"&amp;Table111[[#This Row],[MONTH]]</f>
        <v>-</v>
      </c>
    </row>
    <row r="503" spans="2:27" x14ac:dyDescent="0.3">
      <c r="B503" s="183"/>
      <c r="C503" s="183"/>
      <c r="D503" s="183"/>
      <c r="E503" s="64"/>
      <c r="F503" s="65"/>
      <c r="G503" s="65"/>
      <c r="H503" s="66"/>
      <c r="I503" s="68"/>
      <c r="J503" s="68"/>
      <c r="K503" s="68"/>
      <c r="L503" s="74"/>
      <c r="M503" s="120"/>
      <c r="N503" s="68"/>
      <c r="O503" s="241"/>
      <c r="P503" s="113"/>
      <c r="Q503" s="113"/>
      <c r="R503" s="156" t="str">
        <f>IF(Table111[[#This Row],[Qty]]="","",Table111[[#This Row],[Qty]]*Table111[[#This Row],[Unit Price]])</f>
        <v/>
      </c>
      <c r="S503" s="156" t="str">
        <f>IF(Table111[[#This Row],[Qty]]="","",Table111[[#This Row],[Qty]]*Table111[[#This Row],[Unit Price]]+Table111[[#This Row],[Delivery Cost]])</f>
        <v/>
      </c>
      <c r="T503" s="67"/>
      <c r="U503" s="65"/>
      <c r="V503" s="72"/>
      <c r="W503" s="16"/>
      <c r="X503" s="63" t="str">
        <f t="shared" si="21"/>
        <v/>
      </c>
      <c r="Y503" s="63" t="str">
        <f t="shared" si="22"/>
        <v/>
      </c>
      <c r="Z503" s="63" t="str">
        <f t="shared" si="23"/>
        <v/>
      </c>
      <c r="AA503" s="63" t="str">
        <f>TEXT(Table111[[#This Row],[YEAR]],"0000")&amp;"-"&amp;Table111[[#This Row],[MONTH]]</f>
        <v>-</v>
      </c>
    </row>
    <row r="504" spans="2:27" x14ac:dyDescent="0.3">
      <c r="B504" s="68"/>
      <c r="C504" s="68"/>
      <c r="D504" s="68"/>
      <c r="E504" s="64"/>
      <c r="F504" s="65"/>
      <c r="G504" s="65"/>
      <c r="H504" s="66"/>
      <c r="I504" s="66"/>
      <c r="J504" s="66"/>
      <c r="K504" s="66"/>
      <c r="L504" s="74"/>
      <c r="M504" s="119"/>
      <c r="N504" s="66"/>
      <c r="O504" s="239"/>
      <c r="P504" s="113"/>
      <c r="Q504" s="113"/>
      <c r="R504" s="156" t="str">
        <f>IF(Table111[[#This Row],[Qty]]="","",Table111[[#This Row],[Qty]]*Table111[[#This Row],[Unit Price]])</f>
        <v/>
      </c>
      <c r="S504" s="156" t="str">
        <f>IF(Table111[[#This Row],[Qty]]="","",Table111[[#This Row],[Qty]]*Table111[[#This Row],[Unit Price]]+Table111[[#This Row],[Delivery Cost]])</f>
        <v/>
      </c>
      <c r="T504" s="67"/>
      <c r="U504" s="65"/>
      <c r="V504" s="72"/>
      <c r="W504" s="220"/>
      <c r="X504" s="63" t="str">
        <f t="shared" si="21"/>
        <v/>
      </c>
      <c r="Y504" s="63" t="str">
        <f t="shared" si="22"/>
        <v/>
      </c>
      <c r="Z504" s="63" t="str">
        <f t="shared" si="23"/>
        <v/>
      </c>
      <c r="AA504" s="63" t="str">
        <f>TEXT(Table111[[#This Row],[YEAR]],"0000")&amp;"-"&amp;Table111[[#This Row],[MONTH]]</f>
        <v>-</v>
      </c>
    </row>
    <row r="505" spans="2:27" x14ac:dyDescent="0.3">
      <c r="B505" s="183"/>
      <c r="C505" s="183"/>
      <c r="D505" s="183"/>
      <c r="E505" s="64"/>
      <c r="F505" s="65"/>
      <c r="G505" s="65"/>
      <c r="H505" s="69"/>
      <c r="I505" s="69"/>
      <c r="J505" s="69"/>
      <c r="K505" s="69"/>
      <c r="L505" s="74"/>
      <c r="M505" s="121"/>
      <c r="N505" s="69"/>
      <c r="O505" s="237"/>
      <c r="P505" s="113"/>
      <c r="Q505" s="113"/>
      <c r="R505" s="156" t="str">
        <f>IF(Table111[[#This Row],[Qty]]="","",Table111[[#This Row],[Qty]]*Table111[[#This Row],[Unit Price]])</f>
        <v/>
      </c>
      <c r="S505" s="156" t="str">
        <f>IF(Table111[[#This Row],[Qty]]="","",Table111[[#This Row],[Qty]]*Table111[[#This Row],[Unit Price]]+Table111[[#This Row],[Delivery Cost]])</f>
        <v/>
      </c>
      <c r="T505" s="67"/>
      <c r="U505" s="65"/>
      <c r="V505" s="72"/>
      <c r="W505" s="16"/>
      <c r="X505" s="63" t="str">
        <f t="shared" si="21"/>
        <v/>
      </c>
      <c r="Y505" s="63" t="str">
        <f t="shared" si="22"/>
        <v/>
      </c>
      <c r="Z505" s="63" t="str">
        <f t="shared" si="23"/>
        <v/>
      </c>
      <c r="AA505" s="63" t="str">
        <f>TEXT(Table111[[#This Row],[YEAR]],"0000")&amp;"-"&amp;Table111[[#This Row],[MONTH]]</f>
        <v>-</v>
      </c>
    </row>
    <row r="506" spans="2:27" x14ac:dyDescent="0.3">
      <c r="B506" s="68"/>
      <c r="C506" s="68"/>
      <c r="D506" s="68"/>
      <c r="E506" s="64"/>
      <c r="F506" s="65"/>
      <c r="G506" s="65"/>
      <c r="H506" s="66"/>
      <c r="I506" s="66"/>
      <c r="J506" s="66"/>
      <c r="K506" s="66"/>
      <c r="L506" s="74"/>
      <c r="M506" s="119"/>
      <c r="N506" s="66"/>
      <c r="O506" s="239"/>
      <c r="P506" s="113"/>
      <c r="Q506" s="113"/>
      <c r="R506" s="156" t="str">
        <f>IF(Table111[[#This Row],[Qty]]="","",Table111[[#This Row],[Qty]]*Table111[[#This Row],[Unit Price]])</f>
        <v/>
      </c>
      <c r="S506" s="156" t="str">
        <f>IF(Table111[[#This Row],[Qty]]="","",Table111[[#This Row],[Qty]]*Table111[[#This Row],[Unit Price]]+Table111[[#This Row],[Delivery Cost]])</f>
        <v/>
      </c>
      <c r="T506" s="67"/>
      <c r="U506" s="65"/>
      <c r="V506" s="72"/>
      <c r="W506" s="220"/>
      <c r="X506" s="63" t="str">
        <f t="shared" si="21"/>
        <v/>
      </c>
      <c r="Y506" s="63" t="str">
        <f t="shared" si="22"/>
        <v/>
      </c>
      <c r="Z506" s="63" t="str">
        <f t="shared" si="23"/>
        <v/>
      </c>
      <c r="AA506" s="63" t="str">
        <f>TEXT(Table111[[#This Row],[YEAR]],"0000")&amp;"-"&amp;Table111[[#This Row],[MONTH]]</f>
        <v>-</v>
      </c>
    </row>
    <row r="507" spans="2:27" x14ac:dyDescent="0.3">
      <c r="B507" s="183"/>
      <c r="C507" s="183"/>
      <c r="D507" s="183"/>
      <c r="E507" s="64"/>
      <c r="F507" s="65"/>
      <c r="G507" s="65"/>
      <c r="H507" s="66"/>
      <c r="I507" s="68"/>
      <c r="J507" s="68"/>
      <c r="K507" s="68"/>
      <c r="L507" s="74"/>
      <c r="M507" s="120"/>
      <c r="N507" s="68"/>
      <c r="O507" s="241"/>
      <c r="P507" s="113"/>
      <c r="Q507" s="113"/>
      <c r="R507" s="156" t="str">
        <f>IF(Table111[[#This Row],[Qty]]="","",Table111[[#This Row],[Qty]]*Table111[[#This Row],[Unit Price]])</f>
        <v/>
      </c>
      <c r="S507" s="156" t="str">
        <f>IF(Table111[[#This Row],[Qty]]="","",Table111[[#This Row],[Qty]]*Table111[[#This Row],[Unit Price]]+Table111[[#This Row],[Delivery Cost]])</f>
        <v/>
      </c>
      <c r="T507" s="67"/>
      <c r="U507" s="65"/>
      <c r="V507" s="72"/>
      <c r="W507" s="16"/>
      <c r="X507" s="63" t="str">
        <f t="shared" si="21"/>
        <v/>
      </c>
      <c r="Y507" s="63" t="str">
        <f t="shared" si="22"/>
        <v/>
      </c>
      <c r="Z507" s="63" t="str">
        <f t="shared" si="23"/>
        <v/>
      </c>
      <c r="AA507" s="63" t="str">
        <f>TEXT(Table111[[#This Row],[YEAR]],"0000")&amp;"-"&amp;Table111[[#This Row],[MONTH]]</f>
        <v>-</v>
      </c>
    </row>
    <row r="508" spans="2:27" x14ac:dyDescent="0.3">
      <c r="B508" s="68"/>
      <c r="C508" s="68"/>
      <c r="D508" s="68"/>
      <c r="E508" s="64"/>
      <c r="F508" s="65"/>
      <c r="G508" s="65"/>
      <c r="H508" s="66"/>
      <c r="I508" s="66"/>
      <c r="J508" s="66"/>
      <c r="K508" s="66"/>
      <c r="L508" s="74"/>
      <c r="M508" s="119"/>
      <c r="N508" s="66"/>
      <c r="O508" s="239"/>
      <c r="P508" s="113"/>
      <c r="Q508" s="113"/>
      <c r="R508" s="156" t="str">
        <f>IF(Table111[[#This Row],[Qty]]="","",Table111[[#This Row],[Qty]]*Table111[[#This Row],[Unit Price]])</f>
        <v/>
      </c>
      <c r="S508" s="156" t="str">
        <f>IF(Table111[[#This Row],[Qty]]="","",Table111[[#This Row],[Qty]]*Table111[[#This Row],[Unit Price]]+Table111[[#This Row],[Delivery Cost]])</f>
        <v/>
      </c>
      <c r="T508" s="67"/>
      <c r="U508" s="65"/>
      <c r="V508" s="72"/>
      <c r="W508" s="220"/>
      <c r="X508" s="63" t="str">
        <f t="shared" si="21"/>
        <v/>
      </c>
      <c r="Y508" s="63" t="str">
        <f t="shared" si="22"/>
        <v/>
      </c>
      <c r="Z508" s="63" t="str">
        <f t="shared" si="23"/>
        <v/>
      </c>
      <c r="AA508" s="63" t="str">
        <f>TEXT(Table111[[#This Row],[YEAR]],"0000")&amp;"-"&amp;Table111[[#This Row],[MONTH]]</f>
        <v>-</v>
      </c>
    </row>
    <row r="509" spans="2:27" x14ac:dyDescent="0.3">
      <c r="B509" s="183"/>
      <c r="C509" s="183"/>
      <c r="D509" s="183"/>
      <c r="E509" s="64"/>
      <c r="F509" s="65"/>
      <c r="G509" s="65"/>
      <c r="H509" s="69"/>
      <c r="I509" s="69"/>
      <c r="J509" s="69"/>
      <c r="K509" s="69"/>
      <c r="L509" s="74"/>
      <c r="M509" s="121"/>
      <c r="N509" s="69"/>
      <c r="O509" s="237"/>
      <c r="P509" s="113"/>
      <c r="Q509" s="113"/>
      <c r="R509" s="156" t="str">
        <f>IF(Table111[[#This Row],[Qty]]="","",Table111[[#This Row],[Qty]]*Table111[[#This Row],[Unit Price]])</f>
        <v/>
      </c>
      <c r="S509" s="156" t="str">
        <f>IF(Table111[[#This Row],[Qty]]="","",Table111[[#This Row],[Qty]]*Table111[[#This Row],[Unit Price]]+Table111[[#This Row],[Delivery Cost]])</f>
        <v/>
      </c>
      <c r="T509" s="67"/>
      <c r="U509" s="65"/>
      <c r="V509" s="72"/>
      <c r="W509" s="16"/>
      <c r="X509" s="63" t="str">
        <f t="shared" si="21"/>
        <v/>
      </c>
      <c r="Y509" s="63" t="str">
        <f t="shared" si="22"/>
        <v/>
      </c>
      <c r="Z509" s="63" t="str">
        <f t="shared" si="23"/>
        <v/>
      </c>
      <c r="AA509" s="63" t="str">
        <f>TEXT(Table111[[#This Row],[YEAR]],"0000")&amp;"-"&amp;Table111[[#This Row],[MONTH]]</f>
        <v>-</v>
      </c>
    </row>
    <row r="510" spans="2:27" x14ac:dyDescent="0.3">
      <c r="B510" s="68"/>
      <c r="C510" s="68"/>
      <c r="D510" s="68"/>
      <c r="E510" s="64"/>
      <c r="F510" s="65"/>
      <c r="G510" s="65"/>
      <c r="H510" s="66"/>
      <c r="I510" s="66"/>
      <c r="J510" s="66"/>
      <c r="K510" s="66"/>
      <c r="L510" s="74"/>
      <c r="M510" s="119"/>
      <c r="N510" s="66"/>
      <c r="O510" s="239"/>
      <c r="P510" s="113"/>
      <c r="Q510" s="113"/>
      <c r="R510" s="156" t="str">
        <f>IF(Table111[[#This Row],[Qty]]="","",Table111[[#This Row],[Qty]]*Table111[[#This Row],[Unit Price]])</f>
        <v/>
      </c>
      <c r="S510" s="156" t="str">
        <f>IF(Table111[[#This Row],[Qty]]="","",Table111[[#This Row],[Qty]]*Table111[[#This Row],[Unit Price]]+Table111[[#This Row],[Delivery Cost]])</f>
        <v/>
      </c>
      <c r="T510" s="67"/>
      <c r="U510" s="65"/>
      <c r="V510" s="72"/>
      <c r="W510" s="220"/>
      <c r="X510" s="63" t="str">
        <f t="shared" si="21"/>
        <v/>
      </c>
      <c r="Y510" s="63" t="str">
        <f t="shared" si="22"/>
        <v/>
      </c>
      <c r="Z510" s="63" t="str">
        <f t="shared" si="23"/>
        <v/>
      </c>
      <c r="AA510" s="63" t="str">
        <f>TEXT(Table111[[#This Row],[YEAR]],"0000")&amp;"-"&amp;Table111[[#This Row],[MONTH]]</f>
        <v>-</v>
      </c>
    </row>
    <row r="511" spans="2:27" x14ac:dyDescent="0.3">
      <c r="B511" s="183"/>
      <c r="C511" s="183"/>
      <c r="D511" s="183"/>
      <c r="E511" s="64"/>
      <c r="F511" s="65"/>
      <c r="G511" s="65"/>
      <c r="H511" s="66"/>
      <c r="I511" s="66"/>
      <c r="J511" s="66"/>
      <c r="K511" s="66"/>
      <c r="L511" s="74"/>
      <c r="M511" s="119"/>
      <c r="N511" s="66"/>
      <c r="O511" s="239"/>
      <c r="P511" s="113"/>
      <c r="Q511" s="113"/>
      <c r="R511" s="156" t="str">
        <f>IF(Table111[[#This Row],[Qty]]="","",Table111[[#This Row],[Qty]]*Table111[[#This Row],[Unit Price]])</f>
        <v/>
      </c>
      <c r="S511" s="156" t="str">
        <f>IF(Table111[[#This Row],[Qty]]="","",Table111[[#This Row],[Qty]]*Table111[[#This Row],[Unit Price]]+Table111[[#This Row],[Delivery Cost]])</f>
        <v/>
      </c>
      <c r="T511" s="67"/>
      <c r="U511" s="65"/>
      <c r="V511" s="72"/>
      <c r="W511" s="16"/>
      <c r="X511" s="63" t="str">
        <f t="shared" si="21"/>
        <v/>
      </c>
      <c r="Y511" s="63" t="str">
        <f t="shared" si="22"/>
        <v/>
      </c>
      <c r="Z511" s="63" t="str">
        <f t="shared" si="23"/>
        <v/>
      </c>
      <c r="AA511" s="63" t="str">
        <f>TEXT(Table111[[#This Row],[YEAR]],"0000")&amp;"-"&amp;Table111[[#This Row],[MONTH]]</f>
        <v>-</v>
      </c>
    </row>
    <row r="512" spans="2:27" x14ac:dyDescent="0.3">
      <c r="B512" s="68"/>
      <c r="C512" s="68"/>
      <c r="D512" s="68"/>
      <c r="E512" s="64"/>
      <c r="F512" s="65"/>
      <c r="G512" s="65"/>
      <c r="H512" s="69"/>
      <c r="I512" s="69"/>
      <c r="J512" s="69"/>
      <c r="K512" s="69"/>
      <c r="L512" s="74"/>
      <c r="M512" s="121"/>
      <c r="N512" s="69"/>
      <c r="O512" s="237"/>
      <c r="P512" s="113"/>
      <c r="Q512" s="113"/>
      <c r="R512" s="156" t="str">
        <f>IF(Table111[[#This Row],[Qty]]="","",Table111[[#This Row],[Qty]]*Table111[[#This Row],[Unit Price]])</f>
        <v/>
      </c>
      <c r="S512" s="156" t="str">
        <f>IF(Table111[[#This Row],[Qty]]="","",Table111[[#This Row],[Qty]]*Table111[[#This Row],[Unit Price]]+Table111[[#This Row],[Delivery Cost]])</f>
        <v/>
      </c>
      <c r="T512" s="67"/>
      <c r="U512" s="65"/>
      <c r="V512" s="72"/>
      <c r="W512" s="220"/>
      <c r="X512" s="63" t="str">
        <f t="shared" si="21"/>
        <v/>
      </c>
      <c r="Y512" s="63" t="str">
        <f t="shared" si="22"/>
        <v/>
      </c>
      <c r="Z512" s="63" t="str">
        <f t="shared" si="23"/>
        <v/>
      </c>
      <c r="AA512" s="63" t="str">
        <f>TEXT(Table111[[#This Row],[YEAR]],"0000")&amp;"-"&amp;Table111[[#This Row],[MONTH]]</f>
        <v>-</v>
      </c>
    </row>
    <row r="513" spans="2:27" x14ac:dyDescent="0.3">
      <c r="B513" s="183"/>
      <c r="C513" s="183"/>
      <c r="D513" s="183"/>
      <c r="E513" s="64"/>
      <c r="F513" s="65"/>
      <c r="G513" s="65"/>
      <c r="H513" s="69"/>
      <c r="I513" s="69"/>
      <c r="J513" s="69"/>
      <c r="K513" s="69"/>
      <c r="L513" s="74"/>
      <c r="M513" s="121"/>
      <c r="N513" s="69"/>
      <c r="O513" s="237"/>
      <c r="P513" s="113"/>
      <c r="Q513" s="113"/>
      <c r="R513" s="156" t="str">
        <f>IF(Table111[[#This Row],[Qty]]="","",Table111[[#This Row],[Qty]]*Table111[[#This Row],[Unit Price]])</f>
        <v/>
      </c>
      <c r="S513" s="156" t="str">
        <f>IF(Table111[[#This Row],[Qty]]="","",Table111[[#This Row],[Qty]]*Table111[[#This Row],[Unit Price]]+Table111[[#This Row],[Delivery Cost]])</f>
        <v/>
      </c>
      <c r="T513" s="67"/>
      <c r="U513" s="65"/>
      <c r="V513" s="72"/>
      <c r="W513" s="16"/>
      <c r="X513" s="63" t="str">
        <f t="shared" si="21"/>
        <v/>
      </c>
      <c r="Y513" s="63" t="str">
        <f t="shared" si="22"/>
        <v/>
      </c>
      <c r="Z513" s="63" t="str">
        <f t="shared" si="23"/>
        <v/>
      </c>
      <c r="AA513" s="63" t="str">
        <f>TEXT(Table111[[#This Row],[YEAR]],"0000")&amp;"-"&amp;Table111[[#This Row],[MONTH]]</f>
        <v>-</v>
      </c>
    </row>
    <row r="514" spans="2:27" x14ac:dyDescent="0.3">
      <c r="B514" s="68"/>
      <c r="C514" s="68"/>
      <c r="D514" s="68"/>
      <c r="E514" s="64"/>
      <c r="F514" s="65"/>
      <c r="G514" s="65"/>
      <c r="H514" s="66"/>
      <c r="I514" s="66"/>
      <c r="J514" s="66"/>
      <c r="K514" s="66"/>
      <c r="L514" s="74"/>
      <c r="M514" s="119"/>
      <c r="N514" s="66"/>
      <c r="O514" s="239"/>
      <c r="P514" s="113"/>
      <c r="Q514" s="113"/>
      <c r="R514" s="156" t="str">
        <f>IF(Table111[[#This Row],[Qty]]="","",Table111[[#This Row],[Qty]]*Table111[[#This Row],[Unit Price]])</f>
        <v/>
      </c>
      <c r="S514" s="156" t="str">
        <f>IF(Table111[[#This Row],[Qty]]="","",Table111[[#This Row],[Qty]]*Table111[[#This Row],[Unit Price]]+Table111[[#This Row],[Delivery Cost]])</f>
        <v/>
      </c>
      <c r="T514" s="67"/>
      <c r="U514" s="65"/>
      <c r="V514" s="72"/>
      <c r="W514" s="220"/>
      <c r="X514" s="63" t="str">
        <f t="shared" si="21"/>
        <v/>
      </c>
      <c r="Y514" s="63" t="str">
        <f t="shared" si="22"/>
        <v/>
      </c>
      <c r="Z514" s="63" t="str">
        <f t="shared" si="23"/>
        <v/>
      </c>
      <c r="AA514" s="63" t="str">
        <f>TEXT(Table111[[#This Row],[YEAR]],"0000")&amp;"-"&amp;Table111[[#This Row],[MONTH]]</f>
        <v>-</v>
      </c>
    </row>
    <row r="515" spans="2:27" x14ac:dyDescent="0.3">
      <c r="B515" s="183"/>
      <c r="C515" s="183"/>
      <c r="D515" s="183"/>
      <c r="E515" s="64"/>
      <c r="F515" s="65"/>
      <c r="G515" s="65"/>
      <c r="H515" s="69"/>
      <c r="I515" s="69"/>
      <c r="J515" s="69"/>
      <c r="K515" s="69"/>
      <c r="L515" s="74"/>
      <c r="M515" s="121"/>
      <c r="N515" s="69"/>
      <c r="O515" s="237"/>
      <c r="P515" s="113"/>
      <c r="Q515" s="113"/>
      <c r="R515" s="156" t="str">
        <f>IF(Table111[[#This Row],[Qty]]="","",Table111[[#This Row],[Qty]]*Table111[[#This Row],[Unit Price]])</f>
        <v/>
      </c>
      <c r="S515" s="156" t="str">
        <f>IF(Table111[[#This Row],[Qty]]="","",Table111[[#This Row],[Qty]]*Table111[[#This Row],[Unit Price]]+Table111[[#This Row],[Delivery Cost]])</f>
        <v/>
      </c>
      <c r="T515" s="67"/>
      <c r="U515" s="65"/>
      <c r="V515" s="72"/>
      <c r="W515" s="16"/>
      <c r="X515" s="63" t="str">
        <f t="shared" ref="X515:X578" si="24">IF(E515=0,"",YEAR(E515))</f>
        <v/>
      </c>
      <c r="Y515" s="63" t="str">
        <f t="shared" ref="Y515:Y578" si="25">IF(E515=0,"",MONTH(E515))</f>
        <v/>
      </c>
      <c r="Z515" s="63" t="str">
        <f t="shared" ref="Z515:Z578" si="26">IF(E515=0,"",WEEKNUM(E515))</f>
        <v/>
      </c>
      <c r="AA515" s="63" t="str">
        <f>TEXT(Table111[[#This Row],[YEAR]],"0000")&amp;"-"&amp;Table111[[#This Row],[MONTH]]</f>
        <v>-</v>
      </c>
    </row>
    <row r="516" spans="2:27" x14ac:dyDescent="0.3">
      <c r="B516" s="68"/>
      <c r="C516" s="68"/>
      <c r="D516" s="68"/>
      <c r="E516" s="64"/>
      <c r="F516" s="65"/>
      <c r="G516" s="65"/>
      <c r="H516" s="66"/>
      <c r="I516" s="66"/>
      <c r="J516" s="66"/>
      <c r="K516" s="66"/>
      <c r="L516" s="74"/>
      <c r="M516" s="119"/>
      <c r="N516" s="66"/>
      <c r="O516" s="239"/>
      <c r="P516" s="113"/>
      <c r="Q516" s="113"/>
      <c r="R516" s="156" t="str">
        <f>IF(Table111[[#This Row],[Qty]]="","",Table111[[#This Row],[Qty]]*Table111[[#This Row],[Unit Price]])</f>
        <v/>
      </c>
      <c r="S516" s="156" t="str">
        <f>IF(Table111[[#This Row],[Qty]]="","",Table111[[#This Row],[Qty]]*Table111[[#This Row],[Unit Price]]+Table111[[#This Row],[Delivery Cost]])</f>
        <v/>
      </c>
      <c r="T516" s="67"/>
      <c r="U516" s="65"/>
      <c r="V516" s="72"/>
      <c r="W516" s="220"/>
      <c r="X516" s="63" t="str">
        <f t="shared" si="24"/>
        <v/>
      </c>
      <c r="Y516" s="63" t="str">
        <f t="shared" si="25"/>
        <v/>
      </c>
      <c r="Z516" s="63" t="str">
        <f t="shared" si="26"/>
        <v/>
      </c>
      <c r="AA516" s="63" t="str">
        <f>TEXT(Table111[[#This Row],[YEAR]],"0000")&amp;"-"&amp;Table111[[#This Row],[MONTH]]</f>
        <v>-</v>
      </c>
    </row>
    <row r="517" spans="2:27" x14ac:dyDescent="0.3">
      <c r="B517" s="183"/>
      <c r="C517" s="183"/>
      <c r="D517" s="183"/>
      <c r="E517" s="64"/>
      <c r="F517" s="65"/>
      <c r="G517" s="65"/>
      <c r="H517" s="66"/>
      <c r="I517" s="66"/>
      <c r="J517" s="66"/>
      <c r="K517" s="66"/>
      <c r="L517" s="74"/>
      <c r="M517" s="119"/>
      <c r="N517" s="66"/>
      <c r="O517" s="239"/>
      <c r="P517" s="113"/>
      <c r="Q517" s="113"/>
      <c r="R517" s="156" t="str">
        <f>IF(Table111[[#This Row],[Qty]]="","",Table111[[#This Row],[Qty]]*Table111[[#This Row],[Unit Price]])</f>
        <v/>
      </c>
      <c r="S517" s="156" t="str">
        <f>IF(Table111[[#This Row],[Qty]]="","",Table111[[#This Row],[Qty]]*Table111[[#This Row],[Unit Price]]+Table111[[#This Row],[Delivery Cost]])</f>
        <v/>
      </c>
      <c r="T517" s="67"/>
      <c r="U517" s="65"/>
      <c r="V517" s="72"/>
      <c r="W517" s="16"/>
      <c r="X517" s="63" t="str">
        <f t="shared" si="24"/>
        <v/>
      </c>
      <c r="Y517" s="63" t="str">
        <f t="shared" si="25"/>
        <v/>
      </c>
      <c r="Z517" s="63" t="str">
        <f t="shared" si="26"/>
        <v/>
      </c>
      <c r="AA517" s="63" t="str">
        <f>TEXT(Table111[[#This Row],[YEAR]],"0000")&amp;"-"&amp;Table111[[#This Row],[MONTH]]</f>
        <v>-</v>
      </c>
    </row>
    <row r="518" spans="2:27" x14ac:dyDescent="0.3">
      <c r="B518" s="68"/>
      <c r="C518" s="68"/>
      <c r="D518" s="68"/>
      <c r="E518" s="64"/>
      <c r="F518" s="65"/>
      <c r="G518" s="65"/>
      <c r="H518" s="66"/>
      <c r="I518" s="68"/>
      <c r="J518" s="68"/>
      <c r="K518" s="68"/>
      <c r="L518" s="74"/>
      <c r="M518" s="120"/>
      <c r="N518" s="68"/>
      <c r="O518" s="241"/>
      <c r="P518" s="113"/>
      <c r="Q518" s="113"/>
      <c r="R518" s="156" t="str">
        <f>IF(Table111[[#This Row],[Qty]]="","",Table111[[#This Row],[Qty]]*Table111[[#This Row],[Unit Price]])</f>
        <v/>
      </c>
      <c r="S518" s="156" t="str">
        <f>IF(Table111[[#This Row],[Qty]]="","",Table111[[#This Row],[Qty]]*Table111[[#This Row],[Unit Price]]+Table111[[#This Row],[Delivery Cost]])</f>
        <v/>
      </c>
      <c r="T518" s="67"/>
      <c r="U518" s="65"/>
      <c r="V518" s="72"/>
      <c r="W518" s="220"/>
      <c r="X518" s="63" t="str">
        <f t="shared" si="24"/>
        <v/>
      </c>
      <c r="Y518" s="63" t="str">
        <f t="shared" si="25"/>
        <v/>
      </c>
      <c r="Z518" s="63" t="str">
        <f t="shared" si="26"/>
        <v/>
      </c>
      <c r="AA518" s="63" t="str">
        <f>TEXT(Table111[[#This Row],[YEAR]],"0000")&amp;"-"&amp;Table111[[#This Row],[MONTH]]</f>
        <v>-</v>
      </c>
    </row>
    <row r="519" spans="2:27" x14ac:dyDescent="0.3">
      <c r="B519" s="183"/>
      <c r="C519" s="183"/>
      <c r="D519" s="183"/>
      <c r="E519" s="64"/>
      <c r="F519" s="65"/>
      <c r="G519" s="65"/>
      <c r="H519" s="66"/>
      <c r="I519" s="66"/>
      <c r="J519" s="66"/>
      <c r="K519" s="66"/>
      <c r="L519" s="74"/>
      <c r="M519" s="119"/>
      <c r="N519" s="66"/>
      <c r="O519" s="239"/>
      <c r="P519" s="113"/>
      <c r="Q519" s="113"/>
      <c r="R519" s="156" t="str">
        <f>IF(Table111[[#This Row],[Qty]]="","",Table111[[#This Row],[Qty]]*Table111[[#This Row],[Unit Price]])</f>
        <v/>
      </c>
      <c r="S519" s="156" t="str">
        <f>IF(Table111[[#This Row],[Qty]]="","",Table111[[#This Row],[Qty]]*Table111[[#This Row],[Unit Price]]+Table111[[#This Row],[Delivery Cost]])</f>
        <v/>
      </c>
      <c r="T519" s="67"/>
      <c r="U519" s="65"/>
      <c r="V519" s="72"/>
      <c r="W519" s="16"/>
      <c r="X519" s="63" t="str">
        <f t="shared" si="24"/>
        <v/>
      </c>
      <c r="Y519" s="63" t="str">
        <f t="shared" si="25"/>
        <v/>
      </c>
      <c r="Z519" s="63" t="str">
        <f t="shared" si="26"/>
        <v/>
      </c>
      <c r="AA519" s="63" t="str">
        <f>TEXT(Table111[[#This Row],[YEAR]],"0000")&amp;"-"&amp;Table111[[#This Row],[MONTH]]</f>
        <v>-</v>
      </c>
    </row>
    <row r="520" spans="2:27" x14ac:dyDescent="0.3">
      <c r="B520" s="68"/>
      <c r="C520" s="68"/>
      <c r="D520" s="68"/>
      <c r="E520" s="64"/>
      <c r="F520" s="65"/>
      <c r="G520" s="65"/>
      <c r="H520" s="66"/>
      <c r="I520" s="66"/>
      <c r="J520" s="66"/>
      <c r="K520" s="66"/>
      <c r="L520" s="74"/>
      <c r="M520" s="119"/>
      <c r="N520" s="66"/>
      <c r="O520" s="239"/>
      <c r="P520" s="113"/>
      <c r="Q520" s="113"/>
      <c r="R520" s="156" t="str">
        <f>IF(Table111[[#This Row],[Qty]]="","",Table111[[#This Row],[Qty]]*Table111[[#This Row],[Unit Price]])</f>
        <v/>
      </c>
      <c r="S520" s="156" t="str">
        <f>IF(Table111[[#This Row],[Qty]]="","",Table111[[#This Row],[Qty]]*Table111[[#This Row],[Unit Price]]+Table111[[#This Row],[Delivery Cost]])</f>
        <v/>
      </c>
      <c r="T520" s="67"/>
      <c r="U520" s="65"/>
      <c r="V520" s="72"/>
      <c r="W520" s="220"/>
      <c r="X520" s="63" t="str">
        <f t="shared" si="24"/>
        <v/>
      </c>
      <c r="Y520" s="63" t="str">
        <f t="shared" si="25"/>
        <v/>
      </c>
      <c r="Z520" s="63" t="str">
        <f t="shared" si="26"/>
        <v/>
      </c>
      <c r="AA520" s="63" t="str">
        <f>TEXT(Table111[[#This Row],[YEAR]],"0000")&amp;"-"&amp;Table111[[#This Row],[MONTH]]</f>
        <v>-</v>
      </c>
    </row>
    <row r="521" spans="2:27" x14ac:dyDescent="0.3">
      <c r="B521" s="183"/>
      <c r="C521" s="183"/>
      <c r="D521" s="183"/>
      <c r="E521" s="64"/>
      <c r="F521" s="65"/>
      <c r="G521" s="65"/>
      <c r="H521" s="66"/>
      <c r="I521" s="66"/>
      <c r="J521" s="66"/>
      <c r="K521" s="66"/>
      <c r="L521" s="74"/>
      <c r="M521" s="119"/>
      <c r="N521" s="66"/>
      <c r="O521" s="239"/>
      <c r="P521" s="113"/>
      <c r="Q521" s="113"/>
      <c r="R521" s="156" t="str">
        <f>IF(Table111[[#This Row],[Qty]]="","",Table111[[#This Row],[Qty]]*Table111[[#This Row],[Unit Price]])</f>
        <v/>
      </c>
      <c r="S521" s="156" t="str">
        <f>IF(Table111[[#This Row],[Qty]]="","",Table111[[#This Row],[Qty]]*Table111[[#This Row],[Unit Price]]+Table111[[#This Row],[Delivery Cost]])</f>
        <v/>
      </c>
      <c r="T521" s="67"/>
      <c r="U521" s="65"/>
      <c r="V521" s="72"/>
      <c r="W521" s="16"/>
      <c r="X521" s="63" t="str">
        <f t="shared" si="24"/>
        <v/>
      </c>
      <c r="Y521" s="63" t="str">
        <f t="shared" si="25"/>
        <v/>
      </c>
      <c r="Z521" s="63" t="str">
        <f t="shared" si="26"/>
        <v/>
      </c>
      <c r="AA521" s="63" t="str">
        <f>TEXT(Table111[[#This Row],[YEAR]],"0000")&amp;"-"&amp;Table111[[#This Row],[MONTH]]</f>
        <v>-</v>
      </c>
    </row>
    <row r="522" spans="2:27" x14ac:dyDescent="0.3">
      <c r="B522" s="68"/>
      <c r="C522" s="68"/>
      <c r="D522" s="68"/>
      <c r="E522" s="64"/>
      <c r="F522" s="65"/>
      <c r="G522" s="65"/>
      <c r="H522" s="66"/>
      <c r="I522" s="66"/>
      <c r="J522" s="66"/>
      <c r="K522" s="66"/>
      <c r="L522" s="74"/>
      <c r="M522" s="119"/>
      <c r="N522" s="66"/>
      <c r="O522" s="239"/>
      <c r="P522" s="113"/>
      <c r="Q522" s="113"/>
      <c r="R522" s="156" t="str">
        <f>IF(Table111[[#This Row],[Qty]]="","",Table111[[#This Row],[Qty]]*Table111[[#This Row],[Unit Price]])</f>
        <v/>
      </c>
      <c r="S522" s="156" t="str">
        <f>IF(Table111[[#This Row],[Qty]]="","",Table111[[#This Row],[Qty]]*Table111[[#This Row],[Unit Price]]+Table111[[#This Row],[Delivery Cost]])</f>
        <v/>
      </c>
      <c r="T522" s="67"/>
      <c r="U522" s="65"/>
      <c r="V522" s="72"/>
      <c r="W522" s="220"/>
      <c r="X522" s="63" t="str">
        <f t="shared" si="24"/>
        <v/>
      </c>
      <c r="Y522" s="63" t="str">
        <f t="shared" si="25"/>
        <v/>
      </c>
      <c r="Z522" s="63" t="str">
        <f t="shared" si="26"/>
        <v/>
      </c>
      <c r="AA522" s="63" t="str">
        <f>TEXT(Table111[[#This Row],[YEAR]],"0000")&amp;"-"&amp;Table111[[#This Row],[MONTH]]</f>
        <v>-</v>
      </c>
    </row>
    <row r="523" spans="2:27" x14ac:dyDescent="0.3">
      <c r="B523" s="183"/>
      <c r="C523" s="183"/>
      <c r="D523" s="183"/>
      <c r="E523" s="64"/>
      <c r="F523" s="65"/>
      <c r="G523" s="65"/>
      <c r="H523" s="66"/>
      <c r="I523" s="66"/>
      <c r="J523" s="66"/>
      <c r="K523" s="66"/>
      <c r="L523" s="74"/>
      <c r="M523" s="119"/>
      <c r="N523" s="66"/>
      <c r="O523" s="239"/>
      <c r="P523" s="113"/>
      <c r="Q523" s="113"/>
      <c r="R523" s="156" t="str">
        <f>IF(Table111[[#This Row],[Qty]]="","",Table111[[#This Row],[Qty]]*Table111[[#This Row],[Unit Price]])</f>
        <v/>
      </c>
      <c r="S523" s="156" t="str">
        <f>IF(Table111[[#This Row],[Qty]]="","",Table111[[#This Row],[Qty]]*Table111[[#This Row],[Unit Price]]+Table111[[#This Row],[Delivery Cost]])</f>
        <v/>
      </c>
      <c r="T523" s="67"/>
      <c r="U523" s="65"/>
      <c r="V523" s="72"/>
      <c r="W523" s="16"/>
      <c r="X523" s="63" t="str">
        <f t="shared" si="24"/>
        <v/>
      </c>
      <c r="Y523" s="63" t="str">
        <f t="shared" si="25"/>
        <v/>
      </c>
      <c r="Z523" s="63" t="str">
        <f t="shared" si="26"/>
        <v/>
      </c>
      <c r="AA523" s="63" t="str">
        <f>TEXT(Table111[[#This Row],[YEAR]],"0000")&amp;"-"&amp;Table111[[#This Row],[MONTH]]</f>
        <v>-</v>
      </c>
    </row>
    <row r="524" spans="2:27" x14ac:dyDescent="0.3">
      <c r="B524" s="68"/>
      <c r="C524" s="68"/>
      <c r="D524" s="68"/>
      <c r="E524" s="64"/>
      <c r="F524" s="65"/>
      <c r="G524" s="65"/>
      <c r="H524" s="69"/>
      <c r="I524" s="69"/>
      <c r="J524" s="69"/>
      <c r="K524" s="69"/>
      <c r="L524" s="74"/>
      <c r="M524" s="121"/>
      <c r="N524" s="69"/>
      <c r="O524" s="237"/>
      <c r="P524" s="113"/>
      <c r="Q524" s="113"/>
      <c r="R524" s="156" t="str">
        <f>IF(Table111[[#This Row],[Qty]]="","",Table111[[#This Row],[Qty]]*Table111[[#This Row],[Unit Price]])</f>
        <v/>
      </c>
      <c r="S524" s="156" t="str">
        <f>IF(Table111[[#This Row],[Qty]]="","",Table111[[#This Row],[Qty]]*Table111[[#This Row],[Unit Price]]+Table111[[#This Row],[Delivery Cost]])</f>
        <v/>
      </c>
      <c r="T524" s="67"/>
      <c r="U524" s="65"/>
      <c r="V524" s="72"/>
      <c r="W524" s="220"/>
      <c r="X524" s="63" t="str">
        <f t="shared" si="24"/>
        <v/>
      </c>
      <c r="Y524" s="63" t="str">
        <f t="shared" si="25"/>
        <v/>
      </c>
      <c r="Z524" s="63" t="str">
        <f t="shared" si="26"/>
        <v/>
      </c>
      <c r="AA524" s="63" t="str">
        <f>TEXT(Table111[[#This Row],[YEAR]],"0000")&amp;"-"&amp;Table111[[#This Row],[MONTH]]</f>
        <v>-</v>
      </c>
    </row>
    <row r="525" spans="2:27" x14ac:dyDescent="0.3">
      <c r="B525" s="183"/>
      <c r="C525" s="183"/>
      <c r="D525" s="183"/>
      <c r="E525" s="71"/>
      <c r="F525" s="65"/>
      <c r="G525" s="72"/>
      <c r="H525" s="74"/>
      <c r="I525" s="70"/>
      <c r="J525" s="70"/>
      <c r="K525" s="70"/>
      <c r="L525" s="74"/>
      <c r="M525" s="123"/>
      <c r="N525" s="73"/>
      <c r="O525" s="236"/>
      <c r="P525" s="113"/>
      <c r="Q525" s="113"/>
      <c r="R525" s="156" t="str">
        <f>IF(Table111[[#This Row],[Qty]]="","",Table111[[#This Row],[Qty]]*Table111[[#This Row],[Unit Price]])</f>
        <v/>
      </c>
      <c r="S525" s="156" t="str">
        <f>IF(Table111[[#This Row],[Qty]]="","",Table111[[#This Row],[Qty]]*Table111[[#This Row],[Unit Price]]+Table111[[#This Row],[Delivery Cost]])</f>
        <v/>
      </c>
      <c r="T525" s="67"/>
      <c r="U525" s="65"/>
      <c r="V525" s="72"/>
      <c r="W525" s="16"/>
      <c r="X525" s="63" t="str">
        <f t="shared" si="24"/>
        <v/>
      </c>
      <c r="Y525" s="63" t="str">
        <f t="shared" si="25"/>
        <v/>
      </c>
      <c r="Z525" s="63" t="str">
        <f t="shared" si="26"/>
        <v/>
      </c>
      <c r="AA525" s="63" t="str">
        <f>TEXT(Table111[[#This Row],[YEAR]],"0000")&amp;"-"&amp;Table111[[#This Row],[MONTH]]</f>
        <v>-</v>
      </c>
    </row>
    <row r="526" spans="2:27" x14ac:dyDescent="0.3">
      <c r="B526" s="68"/>
      <c r="C526" s="68"/>
      <c r="D526" s="68"/>
      <c r="E526" s="71"/>
      <c r="F526" s="65"/>
      <c r="G526" s="72"/>
      <c r="H526" s="74"/>
      <c r="I526" s="74"/>
      <c r="J526" s="74"/>
      <c r="K526" s="74"/>
      <c r="L526" s="74"/>
      <c r="M526" s="121"/>
      <c r="N526" s="69"/>
      <c r="O526" s="237"/>
      <c r="P526" s="113"/>
      <c r="Q526" s="113"/>
      <c r="R526" s="156" t="str">
        <f>IF(Table111[[#This Row],[Qty]]="","",Table111[[#This Row],[Qty]]*Table111[[#This Row],[Unit Price]])</f>
        <v/>
      </c>
      <c r="S526" s="156" t="str">
        <f>IF(Table111[[#This Row],[Qty]]="","",Table111[[#This Row],[Qty]]*Table111[[#This Row],[Unit Price]]+Table111[[#This Row],[Delivery Cost]])</f>
        <v/>
      </c>
      <c r="T526" s="67"/>
      <c r="U526" s="65"/>
      <c r="V526" s="72"/>
      <c r="W526" s="220"/>
      <c r="X526" s="63" t="str">
        <f t="shared" si="24"/>
        <v/>
      </c>
      <c r="Y526" s="63" t="str">
        <f t="shared" si="25"/>
        <v/>
      </c>
      <c r="Z526" s="63" t="str">
        <f t="shared" si="26"/>
        <v/>
      </c>
      <c r="AA526" s="63" t="str">
        <f>TEXT(Table111[[#This Row],[YEAR]],"0000")&amp;"-"&amp;Table111[[#This Row],[MONTH]]</f>
        <v>-</v>
      </c>
    </row>
    <row r="527" spans="2:27" x14ac:dyDescent="0.3">
      <c r="B527" s="183"/>
      <c r="C527" s="183"/>
      <c r="D527" s="183"/>
      <c r="E527" s="71"/>
      <c r="F527" s="65"/>
      <c r="G527" s="72"/>
      <c r="H527" s="74"/>
      <c r="I527" s="70"/>
      <c r="J527" s="70"/>
      <c r="K527" s="70"/>
      <c r="L527" s="74"/>
      <c r="M527" s="123"/>
      <c r="N527" s="73"/>
      <c r="O527" s="236"/>
      <c r="P527" s="113"/>
      <c r="Q527" s="113"/>
      <c r="R527" s="156" t="str">
        <f>IF(Table111[[#This Row],[Qty]]="","",Table111[[#This Row],[Qty]]*Table111[[#This Row],[Unit Price]])</f>
        <v/>
      </c>
      <c r="S527" s="156" t="str">
        <f>IF(Table111[[#This Row],[Qty]]="","",Table111[[#This Row],[Qty]]*Table111[[#This Row],[Unit Price]]+Table111[[#This Row],[Delivery Cost]])</f>
        <v/>
      </c>
      <c r="T527" s="67"/>
      <c r="U527" s="65"/>
      <c r="V527" s="72"/>
      <c r="W527" s="16"/>
      <c r="X527" s="63" t="str">
        <f t="shared" si="24"/>
        <v/>
      </c>
      <c r="Y527" s="63" t="str">
        <f t="shared" si="25"/>
        <v/>
      </c>
      <c r="Z527" s="63" t="str">
        <f t="shared" si="26"/>
        <v/>
      </c>
      <c r="AA527" s="63" t="str">
        <f>TEXT(Table111[[#This Row],[YEAR]],"0000")&amp;"-"&amp;Table111[[#This Row],[MONTH]]</f>
        <v>-</v>
      </c>
    </row>
    <row r="528" spans="2:27" x14ac:dyDescent="0.3">
      <c r="B528" s="68"/>
      <c r="C528" s="68"/>
      <c r="D528" s="68"/>
      <c r="E528" s="71"/>
      <c r="F528" s="65"/>
      <c r="G528" s="72"/>
      <c r="H528" s="74"/>
      <c r="I528" s="70"/>
      <c r="J528" s="70"/>
      <c r="K528" s="70"/>
      <c r="L528" s="74"/>
      <c r="M528" s="123"/>
      <c r="N528" s="73"/>
      <c r="O528" s="236"/>
      <c r="P528" s="113"/>
      <c r="Q528" s="113"/>
      <c r="R528" s="156" t="str">
        <f>IF(Table111[[#This Row],[Qty]]="","",Table111[[#This Row],[Qty]]*Table111[[#This Row],[Unit Price]])</f>
        <v/>
      </c>
      <c r="S528" s="156" t="str">
        <f>IF(Table111[[#This Row],[Qty]]="","",Table111[[#This Row],[Qty]]*Table111[[#This Row],[Unit Price]]+Table111[[#This Row],[Delivery Cost]])</f>
        <v/>
      </c>
      <c r="T528" s="67"/>
      <c r="U528" s="65"/>
      <c r="V528" s="72"/>
      <c r="W528" s="220"/>
      <c r="X528" s="63" t="str">
        <f t="shared" si="24"/>
        <v/>
      </c>
      <c r="Y528" s="63" t="str">
        <f t="shared" si="25"/>
        <v/>
      </c>
      <c r="Z528" s="63" t="str">
        <f t="shared" si="26"/>
        <v/>
      </c>
      <c r="AA528" s="63" t="str">
        <f>TEXT(Table111[[#This Row],[YEAR]],"0000")&amp;"-"&amp;Table111[[#This Row],[MONTH]]</f>
        <v>-</v>
      </c>
    </row>
    <row r="529" spans="2:27" x14ac:dyDescent="0.3">
      <c r="B529" s="183"/>
      <c r="C529" s="183"/>
      <c r="D529" s="183"/>
      <c r="E529" s="71"/>
      <c r="F529" s="65"/>
      <c r="G529" s="72"/>
      <c r="H529" s="74"/>
      <c r="I529" s="70"/>
      <c r="J529" s="70"/>
      <c r="K529" s="70"/>
      <c r="L529" s="74"/>
      <c r="M529" s="123"/>
      <c r="N529" s="73"/>
      <c r="O529" s="236"/>
      <c r="P529" s="113"/>
      <c r="Q529" s="113"/>
      <c r="R529" s="156" t="str">
        <f>IF(Table111[[#This Row],[Qty]]="","",Table111[[#This Row],[Qty]]*Table111[[#This Row],[Unit Price]])</f>
        <v/>
      </c>
      <c r="S529" s="156" t="str">
        <f>IF(Table111[[#This Row],[Qty]]="","",Table111[[#This Row],[Qty]]*Table111[[#This Row],[Unit Price]]+Table111[[#This Row],[Delivery Cost]])</f>
        <v/>
      </c>
      <c r="T529" s="67"/>
      <c r="U529" s="65"/>
      <c r="V529" s="72"/>
      <c r="W529" s="16"/>
      <c r="X529" s="63" t="str">
        <f t="shared" si="24"/>
        <v/>
      </c>
      <c r="Y529" s="63" t="str">
        <f t="shared" si="25"/>
        <v/>
      </c>
      <c r="Z529" s="63" t="str">
        <f t="shared" si="26"/>
        <v/>
      </c>
      <c r="AA529" s="63" t="str">
        <f>TEXT(Table111[[#This Row],[YEAR]],"0000")&amp;"-"&amp;Table111[[#This Row],[MONTH]]</f>
        <v>-</v>
      </c>
    </row>
    <row r="530" spans="2:27" x14ac:dyDescent="0.3">
      <c r="B530" s="68"/>
      <c r="C530" s="68"/>
      <c r="D530" s="68"/>
      <c r="E530" s="71"/>
      <c r="F530" s="65"/>
      <c r="G530" s="72"/>
      <c r="H530" s="74"/>
      <c r="I530" s="70"/>
      <c r="J530" s="70"/>
      <c r="K530" s="70"/>
      <c r="L530" s="74"/>
      <c r="M530" s="123"/>
      <c r="N530" s="73"/>
      <c r="O530" s="236"/>
      <c r="P530" s="113"/>
      <c r="Q530" s="113"/>
      <c r="R530" s="156" t="str">
        <f>IF(Table111[[#This Row],[Qty]]="","",Table111[[#This Row],[Qty]]*Table111[[#This Row],[Unit Price]])</f>
        <v/>
      </c>
      <c r="S530" s="156" t="str">
        <f>IF(Table111[[#This Row],[Qty]]="","",Table111[[#This Row],[Qty]]*Table111[[#This Row],[Unit Price]]+Table111[[#This Row],[Delivery Cost]])</f>
        <v/>
      </c>
      <c r="T530" s="67"/>
      <c r="U530" s="65"/>
      <c r="V530" s="72"/>
      <c r="W530" s="220"/>
      <c r="X530" s="63" t="str">
        <f t="shared" si="24"/>
        <v/>
      </c>
      <c r="Y530" s="63" t="str">
        <f t="shared" si="25"/>
        <v/>
      </c>
      <c r="Z530" s="63" t="str">
        <f t="shared" si="26"/>
        <v/>
      </c>
      <c r="AA530" s="63" t="str">
        <f>TEXT(Table111[[#This Row],[YEAR]],"0000")&amp;"-"&amp;Table111[[#This Row],[MONTH]]</f>
        <v>-</v>
      </c>
    </row>
    <row r="531" spans="2:27" x14ac:dyDescent="0.3">
      <c r="B531" s="183"/>
      <c r="C531" s="183"/>
      <c r="D531" s="183"/>
      <c r="E531" s="71"/>
      <c r="F531" s="65"/>
      <c r="G531" s="72"/>
      <c r="H531" s="74"/>
      <c r="I531" s="70"/>
      <c r="J531" s="70"/>
      <c r="K531" s="70"/>
      <c r="L531" s="74"/>
      <c r="M531" s="123"/>
      <c r="N531" s="73"/>
      <c r="O531" s="236"/>
      <c r="P531" s="113"/>
      <c r="Q531" s="113"/>
      <c r="R531" s="156" t="str">
        <f>IF(Table111[[#This Row],[Qty]]="","",Table111[[#This Row],[Qty]]*Table111[[#This Row],[Unit Price]])</f>
        <v/>
      </c>
      <c r="S531" s="156" t="str">
        <f>IF(Table111[[#This Row],[Qty]]="","",Table111[[#This Row],[Qty]]*Table111[[#This Row],[Unit Price]]+Table111[[#This Row],[Delivery Cost]])</f>
        <v/>
      </c>
      <c r="T531" s="67"/>
      <c r="U531" s="65"/>
      <c r="V531" s="72"/>
      <c r="W531" s="16"/>
      <c r="X531" s="63" t="str">
        <f t="shared" si="24"/>
        <v/>
      </c>
      <c r="Y531" s="63" t="str">
        <f t="shared" si="25"/>
        <v/>
      </c>
      <c r="Z531" s="63" t="str">
        <f t="shared" si="26"/>
        <v/>
      </c>
      <c r="AA531" s="63" t="str">
        <f>TEXT(Table111[[#This Row],[YEAR]],"0000")&amp;"-"&amp;Table111[[#This Row],[MONTH]]</f>
        <v>-</v>
      </c>
    </row>
    <row r="532" spans="2:27" ht="16.95" customHeight="1" x14ac:dyDescent="0.3">
      <c r="B532" s="68"/>
      <c r="C532" s="68"/>
      <c r="D532" s="68"/>
      <c r="E532" s="71"/>
      <c r="F532" s="65"/>
      <c r="G532" s="72"/>
      <c r="H532" s="74"/>
      <c r="I532" s="70"/>
      <c r="J532" s="70"/>
      <c r="K532" s="70"/>
      <c r="L532" s="74"/>
      <c r="M532" s="123"/>
      <c r="N532" s="73"/>
      <c r="O532" s="236"/>
      <c r="P532" s="113"/>
      <c r="Q532" s="113"/>
      <c r="R532" s="156" t="str">
        <f>IF(Table111[[#This Row],[Qty]]="","",Table111[[#This Row],[Qty]]*Table111[[#This Row],[Unit Price]])</f>
        <v/>
      </c>
      <c r="S532" s="156" t="str">
        <f>IF(Table111[[#This Row],[Qty]]="","",Table111[[#This Row],[Qty]]*Table111[[#This Row],[Unit Price]]+Table111[[#This Row],[Delivery Cost]])</f>
        <v/>
      </c>
      <c r="T532" s="67"/>
      <c r="U532" s="65"/>
      <c r="V532" s="72"/>
      <c r="W532" s="220"/>
      <c r="X532" s="63" t="str">
        <f t="shared" si="24"/>
        <v/>
      </c>
      <c r="Y532" s="63" t="str">
        <f t="shared" si="25"/>
        <v/>
      </c>
      <c r="Z532" s="63" t="str">
        <f t="shared" si="26"/>
        <v/>
      </c>
      <c r="AA532" s="63" t="str">
        <f>TEXT(Table111[[#This Row],[YEAR]],"0000")&amp;"-"&amp;Table111[[#This Row],[MONTH]]</f>
        <v>-</v>
      </c>
    </row>
    <row r="533" spans="2:27" ht="16.95" customHeight="1" x14ac:dyDescent="0.3">
      <c r="B533" s="68"/>
      <c r="C533" s="68"/>
      <c r="D533" s="68"/>
      <c r="E533" s="71"/>
      <c r="F533" s="72"/>
      <c r="G533" s="72"/>
      <c r="H533" s="74"/>
      <c r="I533" s="70"/>
      <c r="J533" s="70"/>
      <c r="K533" s="70"/>
      <c r="L533" s="74"/>
      <c r="M533" s="123"/>
      <c r="N533" s="73"/>
      <c r="O533" s="236"/>
      <c r="P533" s="113"/>
      <c r="Q533" s="113"/>
      <c r="R533" s="156" t="str">
        <f>IF(Table111[[#This Row],[Qty]]="","",Table111[[#This Row],[Qty]]*Table111[[#This Row],[Unit Price]])</f>
        <v/>
      </c>
      <c r="S533" s="156" t="str">
        <f>IF(Table111[[#This Row],[Qty]]="","",Table111[[#This Row],[Qty]]*Table111[[#This Row],[Unit Price]]+Table111[[#This Row],[Delivery Cost]])</f>
        <v/>
      </c>
      <c r="T533" s="72"/>
      <c r="U533" s="65"/>
      <c r="V533" s="72"/>
      <c r="W533" s="219"/>
      <c r="X533" s="63" t="str">
        <f t="shared" si="24"/>
        <v/>
      </c>
      <c r="Y533" s="63" t="str">
        <f t="shared" si="25"/>
        <v/>
      </c>
      <c r="Z533" s="63" t="str">
        <f t="shared" si="26"/>
        <v/>
      </c>
      <c r="AA533" s="63" t="str">
        <f>TEXT(Table111[[#This Row],[YEAR]],"0000")&amp;"-"&amp;Table111[[#This Row],[MONTH]]</f>
        <v>-</v>
      </c>
    </row>
    <row r="534" spans="2:27" ht="16.95" customHeight="1" x14ac:dyDescent="0.3">
      <c r="B534" s="68"/>
      <c r="C534" s="68"/>
      <c r="D534" s="68"/>
      <c r="E534" s="71"/>
      <c r="F534" s="72"/>
      <c r="G534" s="72"/>
      <c r="H534" s="74"/>
      <c r="I534" s="70"/>
      <c r="J534" s="223"/>
      <c r="K534" s="70"/>
      <c r="L534" s="74"/>
      <c r="M534" s="123"/>
      <c r="N534" s="73"/>
      <c r="O534" s="236"/>
      <c r="P534" s="117"/>
      <c r="Q534" s="117"/>
      <c r="R534" s="156" t="str">
        <f>IF(Table111[[#This Row],[Qty]]="","",Table111[[#This Row],[Qty]]*Table111[[#This Row],[Unit Price]])</f>
        <v/>
      </c>
      <c r="S534" s="156" t="str">
        <f>IF(Table111[[#This Row],[Qty]]="","",Table111[[#This Row],[Qty]]*Table111[[#This Row],[Unit Price]]+Table111[[#This Row],[Delivery Cost]])</f>
        <v/>
      </c>
      <c r="T534" s="72"/>
      <c r="U534" s="72"/>
      <c r="V534" s="72"/>
      <c r="W534" s="220"/>
      <c r="X534" s="63" t="str">
        <f t="shared" si="24"/>
        <v/>
      </c>
      <c r="Y534" s="63" t="str">
        <f t="shared" si="25"/>
        <v/>
      </c>
      <c r="Z534" s="63" t="str">
        <f t="shared" si="26"/>
        <v/>
      </c>
      <c r="AA534" s="63" t="str">
        <f>TEXT(Table111[[#This Row],[YEAR]],"0000")&amp;"-"&amp;Table111[[#This Row],[MONTH]]</f>
        <v>-</v>
      </c>
    </row>
    <row r="535" spans="2:27" ht="16.95" customHeight="1" x14ac:dyDescent="0.3">
      <c r="B535" s="68"/>
      <c r="C535" s="68"/>
      <c r="D535" s="68"/>
      <c r="E535" s="71"/>
      <c r="F535" s="72"/>
      <c r="G535" s="72"/>
      <c r="H535" s="74"/>
      <c r="I535" s="70"/>
      <c r="J535" s="70"/>
      <c r="K535" s="70"/>
      <c r="L535" s="74"/>
      <c r="M535" s="123"/>
      <c r="N535" s="73"/>
      <c r="O535" s="236"/>
      <c r="P535" s="113"/>
      <c r="Q535" s="113"/>
      <c r="R535" s="156" t="str">
        <f>IF(Table111[[#This Row],[Qty]]="","",Table111[[#This Row],[Qty]]*Table111[[#This Row],[Unit Price]])</f>
        <v/>
      </c>
      <c r="S535" s="156" t="str">
        <f>IF(Table111[[#This Row],[Qty]]="","",Table111[[#This Row],[Qty]]*Table111[[#This Row],[Unit Price]]+Table111[[#This Row],[Delivery Cost]])</f>
        <v/>
      </c>
      <c r="T535" s="72"/>
      <c r="U535" s="72"/>
      <c r="V535" s="72"/>
      <c r="W535" s="219"/>
      <c r="X535" s="63" t="str">
        <f t="shared" si="24"/>
        <v/>
      </c>
      <c r="Y535" s="63" t="str">
        <f t="shared" si="25"/>
        <v/>
      </c>
      <c r="Z535" s="63" t="str">
        <f t="shared" si="26"/>
        <v/>
      </c>
      <c r="AA535" s="63" t="str">
        <f>TEXT(Table111[[#This Row],[YEAR]],"0000")&amp;"-"&amp;Table111[[#This Row],[MONTH]]</f>
        <v>-</v>
      </c>
    </row>
    <row r="536" spans="2:27" ht="16.95" customHeight="1" x14ac:dyDescent="0.3">
      <c r="B536" s="68"/>
      <c r="C536" s="68"/>
      <c r="D536" s="68"/>
      <c r="E536" s="71"/>
      <c r="F536" s="72"/>
      <c r="G536" s="72"/>
      <c r="H536" s="74"/>
      <c r="I536" s="70"/>
      <c r="J536" s="70"/>
      <c r="K536" s="70"/>
      <c r="L536" s="74"/>
      <c r="M536" s="123"/>
      <c r="N536" s="73"/>
      <c r="O536" s="236"/>
      <c r="P536" s="117"/>
      <c r="Q536" s="117"/>
      <c r="R536" s="156" t="str">
        <f>IF(Table111[[#This Row],[Qty]]="","",Table111[[#This Row],[Qty]]*Table111[[#This Row],[Unit Price]])</f>
        <v/>
      </c>
      <c r="S536" s="156" t="str">
        <f>IF(Table111[[#This Row],[Qty]]="","",Table111[[#This Row],[Qty]]*Table111[[#This Row],[Unit Price]]+Table111[[#This Row],[Delivery Cost]])</f>
        <v/>
      </c>
      <c r="T536" s="72"/>
      <c r="U536" s="72"/>
      <c r="V536" s="72"/>
      <c r="W536" s="220"/>
      <c r="X536" s="63" t="str">
        <f t="shared" si="24"/>
        <v/>
      </c>
      <c r="Y536" s="63" t="str">
        <f t="shared" si="25"/>
        <v/>
      </c>
      <c r="Z536" s="63" t="str">
        <f t="shared" si="26"/>
        <v/>
      </c>
      <c r="AA536" s="63" t="str">
        <f>TEXT(Table111[[#This Row],[YEAR]],"0000")&amp;"-"&amp;Table111[[#This Row],[MONTH]]</f>
        <v>-</v>
      </c>
    </row>
    <row r="537" spans="2:27" ht="16.95" customHeight="1" x14ac:dyDescent="0.3">
      <c r="B537" s="68"/>
      <c r="C537" s="68"/>
      <c r="D537" s="183"/>
      <c r="E537" s="71"/>
      <c r="F537" s="72"/>
      <c r="G537" s="72"/>
      <c r="H537" s="74"/>
      <c r="I537" s="70"/>
      <c r="J537" s="70"/>
      <c r="K537" s="70"/>
      <c r="L537" s="74"/>
      <c r="M537" s="123"/>
      <c r="N537" s="73"/>
      <c r="O537" s="236"/>
      <c r="P537" s="117"/>
      <c r="Q537" s="117"/>
      <c r="R537" s="156" t="str">
        <f>IF(Table111[[#This Row],[Qty]]="","",Table111[[#This Row],[Qty]]*Table111[[#This Row],[Unit Price]])</f>
        <v/>
      </c>
      <c r="S537" s="156" t="str">
        <f>IF(Table111[[#This Row],[Qty]]="","",Table111[[#This Row],[Qty]]*Table111[[#This Row],[Unit Price]]+Table111[[#This Row],[Delivery Cost]])</f>
        <v/>
      </c>
      <c r="T537" s="72"/>
      <c r="U537" s="72"/>
      <c r="V537" s="72"/>
      <c r="W537" s="16"/>
      <c r="X537" s="63" t="str">
        <f t="shared" si="24"/>
        <v/>
      </c>
      <c r="Y537" s="63" t="str">
        <f t="shared" si="25"/>
        <v/>
      </c>
      <c r="Z537" s="63" t="str">
        <f t="shared" si="26"/>
        <v/>
      </c>
      <c r="AA537" s="63" t="str">
        <f>TEXT(Table111[[#This Row],[YEAR]],"0000")&amp;"-"&amp;Table111[[#This Row],[MONTH]]</f>
        <v>-</v>
      </c>
    </row>
    <row r="538" spans="2:27" ht="16.95" customHeight="1" x14ac:dyDescent="0.3">
      <c r="B538" s="68"/>
      <c r="C538" s="68"/>
      <c r="D538" s="68"/>
      <c r="E538" s="71"/>
      <c r="F538" s="72"/>
      <c r="G538" s="72"/>
      <c r="H538" s="74"/>
      <c r="I538" s="70"/>
      <c r="J538" s="70"/>
      <c r="K538" s="70"/>
      <c r="L538" s="74"/>
      <c r="M538" s="123"/>
      <c r="N538" s="73"/>
      <c r="O538" s="236"/>
      <c r="P538" s="117"/>
      <c r="Q538" s="117"/>
      <c r="R538" s="156" t="str">
        <f>IF(Table111[[#This Row],[Qty]]="","",Table111[[#This Row],[Qty]]*Table111[[#This Row],[Unit Price]])</f>
        <v/>
      </c>
      <c r="S538" s="156" t="str">
        <f>IF(Table111[[#This Row],[Qty]]="","",Table111[[#This Row],[Qty]]*Table111[[#This Row],[Unit Price]]+Table111[[#This Row],[Delivery Cost]])</f>
        <v/>
      </c>
      <c r="T538" s="72"/>
      <c r="U538" s="72"/>
      <c r="V538" s="72"/>
      <c r="W538" s="220"/>
      <c r="X538" s="63" t="str">
        <f t="shared" si="24"/>
        <v/>
      </c>
      <c r="Y538" s="63" t="str">
        <f t="shared" si="25"/>
        <v/>
      </c>
      <c r="Z538" s="63" t="str">
        <f t="shared" si="26"/>
        <v/>
      </c>
      <c r="AA538" s="63" t="str">
        <f>TEXT(Table111[[#This Row],[YEAR]],"0000")&amp;"-"&amp;Table111[[#This Row],[MONTH]]</f>
        <v>-</v>
      </c>
    </row>
    <row r="539" spans="2:27" ht="16.95" customHeight="1" x14ac:dyDescent="0.3">
      <c r="B539" s="68"/>
      <c r="C539" s="68"/>
      <c r="D539" s="68"/>
      <c r="E539" s="71"/>
      <c r="F539" s="72"/>
      <c r="G539" s="72"/>
      <c r="H539" s="74"/>
      <c r="I539" s="70"/>
      <c r="J539" s="70"/>
      <c r="K539" s="70"/>
      <c r="L539" s="74"/>
      <c r="M539" s="123"/>
      <c r="N539" s="73"/>
      <c r="O539" s="236"/>
      <c r="P539" s="117"/>
      <c r="Q539" s="117"/>
      <c r="R539" s="156" t="str">
        <f>IF(Table111[[#This Row],[Qty]]="","",Table111[[#This Row],[Qty]]*Table111[[#This Row],[Unit Price]])</f>
        <v/>
      </c>
      <c r="S539" s="156" t="str">
        <f>IF(Table111[[#This Row],[Qty]]="","",Table111[[#This Row],[Qty]]*Table111[[#This Row],[Unit Price]]+Table111[[#This Row],[Delivery Cost]])</f>
        <v/>
      </c>
      <c r="T539" s="72"/>
      <c r="U539" s="72"/>
      <c r="V539" s="72"/>
      <c r="W539" s="16"/>
      <c r="X539" s="63" t="str">
        <f t="shared" si="24"/>
        <v/>
      </c>
      <c r="Y539" s="63" t="str">
        <f t="shared" si="25"/>
        <v/>
      </c>
      <c r="Z539" s="63" t="str">
        <f t="shared" si="26"/>
        <v/>
      </c>
      <c r="AA539" s="63" t="str">
        <f>TEXT(Table111[[#This Row],[YEAR]],"0000")&amp;"-"&amp;Table111[[#This Row],[MONTH]]</f>
        <v>-</v>
      </c>
    </row>
    <row r="540" spans="2:27" ht="16.95" customHeight="1" x14ac:dyDescent="0.3">
      <c r="B540" s="68"/>
      <c r="C540" s="68"/>
      <c r="D540" s="68"/>
      <c r="E540" s="71"/>
      <c r="F540" s="72"/>
      <c r="G540" s="72"/>
      <c r="H540" s="74"/>
      <c r="I540" s="70"/>
      <c r="J540" s="70"/>
      <c r="K540" s="70"/>
      <c r="L540" s="74"/>
      <c r="M540" s="123"/>
      <c r="N540" s="73"/>
      <c r="O540" s="236"/>
      <c r="P540" s="117"/>
      <c r="Q540" s="117"/>
      <c r="R540" s="156" t="str">
        <f>IF(Table111[[#This Row],[Qty]]="","",Table111[[#This Row],[Qty]]*Table111[[#This Row],[Unit Price]])</f>
        <v/>
      </c>
      <c r="S540" s="156" t="str">
        <f>IF(Table111[[#This Row],[Qty]]="","",Table111[[#This Row],[Qty]]*Table111[[#This Row],[Unit Price]]+Table111[[#This Row],[Delivery Cost]])</f>
        <v/>
      </c>
      <c r="T540" s="72"/>
      <c r="U540" s="72"/>
      <c r="V540" s="72"/>
      <c r="W540" s="220"/>
      <c r="X540" s="63" t="str">
        <f t="shared" si="24"/>
        <v/>
      </c>
      <c r="Y540" s="63" t="str">
        <f t="shared" si="25"/>
        <v/>
      </c>
      <c r="Z540" s="63" t="str">
        <f t="shared" si="26"/>
        <v/>
      </c>
      <c r="AA540" s="63" t="str">
        <f>TEXT(Table111[[#This Row],[YEAR]],"0000")&amp;"-"&amp;Table111[[#This Row],[MONTH]]</f>
        <v>-</v>
      </c>
    </row>
    <row r="541" spans="2:27" ht="17.399999999999999" customHeight="1" x14ac:dyDescent="0.3">
      <c r="B541" s="68"/>
      <c r="C541" s="68"/>
      <c r="D541" s="68"/>
      <c r="E541" s="71"/>
      <c r="F541" s="72"/>
      <c r="G541" s="72"/>
      <c r="H541" s="74"/>
      <c r="I541" s="70"/>
      <c r="J541" s="70"/>
      <c r="K541" s="70"/>
      <c r="L541" s="74"/>
      <c r="M541" s="123"/>
      <c r="N541" s="73"/>
      <c r="O541" s="236"/>
      <c r="P541" s="196"/>
      <c r="Q541" s="117"/>
      <c r="R541" s="156" t="str">
        <f>IF(Table111[[#This Row],[Qty]]="","",Table111[[#This Row],[Qty]]*Table111[[#This Row],[Unit Price]])</f>
        <v/>
      </c>
      <c r="S541" s="156" t="str">
        <f>IF(Table111[[#This Row],[Qty]]="","",Table111[[#This Row],[Qty]]*Table111[[#This Row],[Unit Price]]+Table111[[#This Row],[Delivery Cost]])</f>
        <v/>
      </c>
      <c r="T541" s="72"/>
      <c r="U541" s="72"/>
      <c r="V541" s="72"/>
      <c r="W541" s="219"/>
      <c r="X541" s="63" t="str">
        <f t="shared" si="24"/>
        <v/>
      </c>
      <c r="Y541" s="63" t="str">
        <f t="shared" si="25"/>
        <v/>
      </c>
      <c r="Z541" s="63" t="str">
        <f t="shared" si="26"/>
        <v/>
      </c>
      <c r="AA541" s="63" t="str">
        <f>TEXT(Table111[[#This Row],[YEAR]],"0000")&amp;"-"&amp;Table111[[#This Row],[MONTH]]</f>
        <v>-</v>
      </c>
    </row>
    <row r="542" spans="2:27" ht="17.399999999999999" customHeight="1" x14ac:dyDescent="0.3">
      <c r="B542" s="68"/>
      <c r="C542" s="68"/>
      <c r="D542" s="68"/>
      <c r="E542" s="71"/>
      <c r="F542" s="72"/>
      <c r="G542" s="72"/>
      <c r="H542" s="74"/>
      <c r="I542" s="70"/>
      <c r="J542" s="70"/>
      <c r="K542" s="70"/>
      <c r="L542" s="74"/>
      <c r="M542" s="123"/>
      <c r="N542" s="73"/>
      <c r="O542" s="236"/>
      <c r="P542" s="196"/>
      <c r="Q542" s="117"/>
      <c r="R542" s="156" t="str">
        <f>IF(Table111[[#This Row],[Qty]]="","",Table111[[#This Row],[Qty]]*Table111[[#This Row],[Unit Price]])</f>
        <v/>
      </c>
      <c r="S542" s="156" t="str">
        <f>IF(Table111[[#This Row],[Qty]]="","",Table111[[#This Row],[Qty]]*Table111[[#This Row],[Unit Price]]+Table111[[#This Row],[Delivery Cost]])</f>
        <v/>
      </c>
      <c r="T542" s="72"/>
      <c r="U542" s="72"/>
      <c r="V542" s="72"/>
      <c r="W542" s="65"/>
      <c r="X542" s="63" t="str">
        <f t="shared" si="24"/>
        <v/>
      </c>
      <c r="Y542" s="63" t="str">
        <f t="shared" si="25"/>
        <v/>
      </c>
      <c r="Z542" s="63" t="str">
        <f t="shared" si="26"/>
        <v/>
      </c>
      <c r="AA542" s="63" t="str">
        <f>TEXT(Table111[[#This Row],[YEAR]],"0000")&amp;"-"&amp;Table111[[#This Row],[MONTH]]</f>
        <v>-</v>
      </c>
    </row>
    <row r="543" spans="2:27" ht="17.399999999999999" customHeight="1" x14ac:dyDescent="0.3">
      <c r="B543" s="68"/>
      <c r="C543" s="68"/>
      <c r="D543" s="68"/>
      <c r="E543" s="71"/>
      <c r="F543" s="72"/>
      <c r="G543" s="72"/>
      <c r="H543" s="74"/>
      <c r="I543" s="70"/>
      <c r="J543" s="70"/>
      <c r="K543" s="70"/>
      <c r="L543" s="74"/>
      <c r="M543" s="123"/>
      <c r="N543" s="73"/>
      <c r="O543" s="236"/>
      <c r="P543" s="196"/>
      <c r="Q543" s="117"/>
      <c r="R543" s="156" t="str">
        <f>IF(Table111[[#This Row],[Qty]]="","",Table111[[#This Row],[Qty]]*Table111[[#This Row],[Unit Price]])</f>
        <v/>
      </c>
      <c r="S543" s="156" t="str">
        <f>IF(Table111[[#This Row],[Qty]]="","",Table111[[#This Row],[Qty]]*Table111[[#This Row],[Unit Price]]+Table111[[#This Row],[Delivery Cost]])</f>
        <v/>
      </c>
      <c r="T543" s="72"/>
      <c r="U543" s="72"/>
      <c r="V543" s="72"/>
      <c r="W543" s="219"/>
      <c r="X543" s="63" t="str">
        <f t="shared" si="24"/>
        <v/>
      </c>
      <c r="Y543" s="63" t="str">
        <f t="shared" si="25"/>
        <v/>
      </c>
      <c r="Z543" s="63" t="str">
        <f t="shared" si="26"/>
        <v/>
      </c>
      <c r="AA543" s="63" t="str">
        <f>TEXT(Table111[[#This Row],[YEAR]],"0000")&amp;"-"&amp;Table111[[#This Row],[MONTH]]</f>
        <v>-</v>
      </c>
    </row>
    <row r="544" spans="2:27" ht="17.399999999999999" customHeight="1" x14ac:dyDescent="0.3">
      <c r="B544" s="68"/>
      <c r="C544" s="68"/>
      <c r="D544" s="68"/>
      <c r="E544" s="71"/>
      <c r="F544" s="72"/>
      <c r="G544" s="72"/>
      <c r="H544" s="74"/>
      <c r="I544" s="70"/>
      <c r="J544" s="70"/>
      <c r="K544" s="70"/>
      <c r="L544" s="74"/>
      <c r="M544" s="123"/>
      <c r="N544" s="73"/>
      <c r="O544" s="236"/>
      <c r="P544" s="196"/>
      <c r="Q544" s="117"/>
      <c r="R544" s="156" t="str">
        <f>IF(Table111[[#This Row],[Qty]]="","",Table111[[#This Row],[Qty]]*Table111[[#This Row],[Unit Price]])</f>
        <v/>
      </c>
      <c r="S544" s="156" t="str">
        <f>IF(Table111[[#This Row],[Qty]]="","",Table111[[#This Row],[Qty]]*Table111[[#This Row],[Unit Price]]+Table111[[#This Row],[Delivery Cost]])</f>
        <v/>
      </c>
      <c r="T544" s="72"/>
      <c r="U544" s="72"/>
      <c r="V544" s="72"/>
      <c r="W544" s="65"/>
      <c r="X544" s="63" t="str">
        <f t="shared" si="24"/>
        <v/>
      </c>
      <c r="Y544" s="63" t="str">
        <f t="shared" si="25"/>
        <v/>
      </c>
      <c r="Z544" s="63" t="str">
        <f t="shared" si="26"/>
        <v/>
      </c>
      <c r="AA544" s="63" t="str">
        <f>TEXT(Table111[[#This Row],[YEAR]],"0000")&amp;"-"&amp;Table111[[#This Row],[MONTH]]</f>
        <v>-</v>
      </c>
    </row>
    <row r="545" spans="2:27" ht="17.399999999999999" customHeight="1" x14ac:dyDescent="0.3">
      <c r="B545" s="68"/>
      <c r="C545" s="68"/>
      <c r="D545" s="68"/>
      <c r="E545" s="71"/>
      <c r="F545" s="72"/>
      <c r="G545" s="72"/>
      <c r="H545" s="74"/>
      <c r="I545" s="70"/>
      <c r="J545" s="70"/>
      <c r="K545" s="70"/>
      <c r="L545" s="74"/>
      <c r="M545" s="123"/>
      <c r="N545" s="73"/>
      <c r="O545" s="236"/>
      <c r="P545" s="196"/>
      <c r="Q545" s="117"/>
      <c r="R545" s="156" t="str">
        <f>IF(Table111[[#This Row],[Qty]]="","",Table111[[#This Row],[Qty]]*Table111[[#This Row],[Unit Price]])</f>
        <v/>
      </c>
      <c r="S545" s="156" t="str">
        <f>IF(Table111[[#This Row],[Qty]]="","",Table111[[#This Row],[Qty]]*Table111[[#This Row],[Unit Price]]+Table111[[#This Row],[Delivery Cost]])</f>
        <v/>
      </c>
      <c r="T545" s="72"/>
      <c r="U545" s="72"/>
      <c r="V545" s="72"/>
      <c r="W545" s="219"/>
      <c r="X545" s="63" t="str">
        <f t="shared" si="24"/>
        <v/>
      </c>
      <c r="Y545" s="63" t="str">
        <f t="shared" si="25"/>
        <v/>
      </c>
      <c r="Z545" s="63" t="str">
        <f t="shared" si="26"/>
        <v/>
      </c>
      <c r="AA545" s="63" t="str">
        <f>TEXT(Table111[[#This Row],[YEAR]],"0000")&amp;"-"&amp;Table111[[#This Row],[MONTH]]</f>
        <v>-</v>
      </c>
    </row>
    <row r="546" spans="2:27" ht="17.399999999999999" customHeight="1" x14ac:dyDescent="0.3">
      <c r="B546" s="68"/>
      <c r="C546" s="68"/>
      <c r="D546" s="68"/>
      <c r="E546" s="71"/>
      <c r="F546" s="72"/>
      <c r="G546" s="72"/>
      <c r="H546" s="74"/>
      <c r="I546" s="70"/>
      <c r="J546" s="70"/>
      <c r="K546" s="70"/>
      <c r="L546" s="74"/>
      <c r="M546" s="123"/>
      <c r="N546" s="73"/>
      <c r="O546" s="236"/>
      <c r="P546" s="196"/>
      <c r="Q546" s="117"/>
      <c r="R546" s="156" t="str">
        <f>IF(Table111[[#This Row],[Qty]]="","",Table111[[#This Row],[Qty]]*Table111[[#This Row],[Unit Price]])</f>
        <v/>
      </c>
      <c r="S546" s="156" t="str">
        <f>IF(Table111[[#This Row],[Qty]]="","",Table111[[#This Row],[Qty]]*Table111[[#This Row],[Unit Price]]+Table111[[#This Row],[Delivery Cost]])</f>
        <v/>
      </c>
      <c r="T546" s="72"/>
      <c r="U546" s="72"/>
      <c r="V546" s="72"/>
      <c r="W546" s="65"/>
      <c r="X546" s="63" t="str">
        <f t="shared" si="24"/>
        <v/>
      </c>
      <c r="Y546" s="63" t="str">
        <f t="shared" si="25"/>
        <v/>
      </c>
      <c r="Z546" s="63" t="str">
        <f t="shared" si="26"/>
        <v/>
      </c>
      <c r="AA546" s="63" t="str">
        <f>TEXT(Table111[[#This Row],[YEAR]],"0000")&amp;"-"&amp;Table111[[#This Row],[MONTH]]</f>
        <v>-</v>
      </c>
    </row>
    <row r="547" spans="2:27" ht="17.399999999999999" customHeight="1" x14ac:dyDescent="0.3">
      <c r="B547" s="68"/>
      <c r="C547" s="68"/>
      <c r="D547" s="68"/>
      <c r="E547" s="71"/>
      <c r="F547" s="72"/>
      <c r="G547" s="72"/>
      <c r="H547" s="74"/>
      <c r="I547" s="70"/>
      <c r="J547" s="70"/>
      <c r="K547" s="70"/>
      <c r="L547" s="74"/>
      <c r="M547" s="123"/>
      <c r="N547" s="73"/>
      <c r="O547" s="236"/>
      <c r="P547" s="196"/>
      <c r="Q547" s="117"/>
      <c r="R547" s="156" t="str">
        <f>IF(Table111[[#This Row],[Qty]]="","",Table111[[#This Row],[Qty]]*Table111[[#This Row],[Unit Price]])</f>
        <v/>
      </c>
      <c r="S547" s="156" t="str">
        <f>IF(Table111[[#This Row],[Qty]]="","",Table111[[#This Row],[Qty]]*Table111[[#This Row],[Unit Price]]+Table111[[#This Row],[Delivery Cost]])</f>
        <v/>
      </c>
      <c r="T547" s="72"/>
      <c r="U547" s="72"/>
      <c r="V547" s="72"/>
      <c r="W547" s="219"/>
      <c r="X547" s="63" t="str">
        <f t="shared" si="24"/>
        <v/>
      </c>
      <c r="Y547" s="63" t="str">
        <f t="shared" si="25"/>
        <v/>
      </c>
      <c r="Z547" s="63" t="str">
        <f t="shared" si="26"/>
        <v/>
      </c>
      <c r="AA547" s="63" t="str">
        <f>TEXT(Table111[[#This Row],[YEAR]],"0000")&amp;"-"&amp;Table111[[#This Row],[MONTH]]</f>
        <v>-</v>
      </c>
    </row>
    <row r="548" spans="2:27" ht="17.399999999999999" customHeight="1" x14ac:dyDescent="0.3">
      <c r="B548" s="68"/>
      <c r="C548" s="68"/>
      <c r="D548" s="68"/>
      <c r="E548" s="71"/>
      <c r="F548" s="72"/>
      <c r="G548" s="72"/>
      <c r="H548" s="74"/>
      <c r="I548" s="70"/>
      <c r="J548" s="70"/>
      <c r="K548" s="70"/>
      <c r="L548" s="74"/>
      <c r="M548" s="123"/>
      <c r="N548" s="73"/>
      <c r="O548" s="236"/>
      <c r="P548" s="196"/>
      <c r="Q548" s="117"/>
      <c r="R548" s="156" t="str">
        <f>IF(Table111[[#This Row],[Qty]]="","",Table111[[#This Row],[Qty]]*Table111[[#This Row],[Unit Price]])</f>
        <v/>
      </c>
      <c r="S548" s="156" t="str">
        <f>IF(Table111[[#This Row],[Qty]]="","",Table111[[#This Row],[Qty]]*Table111[[#This Row],[Unit Price]]+Table111[[#This Row],[Delivery Cost]])</f>
        <v/>
      </c>
      <c r="T548" s="72"/>
      <c r="U548" s="72"/>
      <c r="V548" s="72"/>
      <c r="W548" s="65"/>
      <c r="X548" s="63" t="str">
        <f t="shared" si="24"/>
        <v/>
      </c>
      <c r="Y548" s="63" t="str">
        <f t="shared" si="25"/>
        <v/>
      </c>
      <c r="Z548" s="63" t="str">
        <f t="shared" si="26"/>
        <v/>
      </c>
      <c r="AA548" s="63" t="str">
        <f>TEXT(Table111[[#This Row],[YEAR]],"0000")&amp;"-"&amp;Table111[[#This Row],[MONTH]]</f>
        <v>-</v>
      </c>
    </row>
    <row r="549" spans="2:27" ht="17.399999999999999" customHeight="1" x14ac:dyDescent="0.3">
      <c r="B549" s="68"/>
      <c r="C549" s="68"/>
      <c r="D549" s="68"/>
      <c r="E549" s="71"/>
      <c r="F549" s="72"/>
      <c r="G549" s="72"/>
      <c r="H549" s="74"/>
      <c r="I549" s="70"/>
      <c r="J549" s="70"/>
      <c r="K549" s="70"/>
      <c r="L549" s="74"/>
      <c r="M549" s="123"/>
      <c r="N549" s="73"/>
      <c r="O549" s="236"/>
      <c r="P549" s="196"/>
      <c r="Q549" s="117"/>
      <c r="R549" s="156" t="str">
        <f>IF(Table111[[#This Row],[Qty]]="","",Table111[[#This Row],[Qty]]*Table111[[#This Row],[Unit Price]])</f>
        <v/>
      </c>
      <c r="S549" s="156" t="str">
        <f>IF(Table111[[#This Row],[Qty]]="","",Table111[[#This Row],[Qty]]*Table111[[#This Row],[Unit Price]]+Table111[[#This Row],[Delivery Cost]])</f>
        <v/>
      </c>
      <c r="T549" s="72"/>
      <c r="U549" s="72"/>
      <c r="V549" s="72"/>
      <c r="W549" s="219"/>
      <c r="X549" s="63" t="str">
        <f t="shared" si="24"/>
        <v/>
      </c>
      <c r="Y549" s="63" t="str">
        <f t="shared" si="25"/>
        <v/>
      </c>
      <c r="Z549" s="63" t="str">
        <f t="shared" si="26"/>
        <v/>
      </c>
      <c r="AA549" s="63" t="str">
        <f>TEXT(Table111[[#This Row],[YEAR]],"0000")&amp;"-"&amp;Table111[[#This Row],[MONTH]]</f>
        <v>-</v>
      </c>
    </row>
    <row r="550" spans="2:27" ht="17.399999999999999" customHeight="1" x14ac:dyDescent="0.3">
      <c r="B550" s="68"/>
      <c r="C550" s="68"/>
      <c r="D550" s="68"/>
      <c r="E550" s="71"/>
      <c r="F550" s="72"/>
      <c r="G550" s="72"/>
      <c r="H550" s="74"/>
      <c r="I550" s="70"/>
      <c r="J550" s="70"/>
      <c r="K550" s="70"/>
      <c r="L550" s="74"/>
      <c r="M550" s="123"/>
      <c r="N550" s="73"/>
      <c r="O550" s="236"/>
      <c r="P550" s="196"/>
      <c r="Q550" s="117"/>
      <c r="R550" s="156" t="str">
        <f>IF(Table111[[#This Row],[Qty]]="","",Table111[[#This Row],[Qty]]*Table111[[#This Row],[Unit Price]])</f>
        <v/>
      </c>
      <c r="S550" s="156" t="str">
        <f>IF(Table111[[#This Row],[Qty]]="","",Table111[[#This Row],[Qty]]*Table111[[#This Row],[Unit Price]]+Table111[[#This Row],[Delivery Cost]])</f>
        <v/>
      </c>
      <c r="T550" s="72"/>
      <c r="U550" s="72"/>
      <c r="V550" s="72"/>
      <c r="W550" s="65"/>
      <c r="X550" s="63" t="str">
        <f t="shared" si="24"/>
        <v/>
      </c>
      <c r="Y550" s="63" t="str">
        <f t="shared" si="25"/>
        <v/>
      </c>
      <c r="Z550" s="63" t="str">
        <f t="shared" si="26"/>
        <v/>
      </c>
      <c r="AA550" s="63" t="str">
        <f>TEXT(Table111[[#This Row],[YEAR]],"0000")&amp;"-"&amp;Table111[[#This Row],[MONTH]]</f>
        <v>-</v>
      </c>
    </row>
    <row r="551" spans="2:27" x14ac:dyDescent="0.3">
      <c r="B551" s="68"/>
      <c r="C551" s="68"/>
      <c r="D551" s="68"/>
      <c r="E551" s="71"/>
      <c r="F551" s="72"/>
      <c r="G551" s="72"/>
      <c r="H551" s="74"/>
      <c r="I551" s="70"/>
      <c r="J551" s="70"/>
      <c r="K551" s="70"/>
      <c r="L551" s="74"/>
      <c r="M551" s="123"/>
      <c r="N551" s="73"/>
      <c r="O551" s="236"/>
      <c r="P551" s="117"/>
      <c r="Q551" s="117"/>
      <c r="R551" s="156" t="str">
        <f>IF(Table111[[#This Row],[Qty]]="","",Table111[[#This Row],[Qty]]*Table111[[#This Row],[Unit Price]])</f>
        <v/>
      </c>
      <c r="S551" s="156" t="str">
        <f>IF(Table111[[#This Row],[Qty]]="","",Table111[[#This Row],[Qty]]*Table111[[#This Row],[Unit Price]]+Table111[[#This Row],[Delivery Cost]])</f>
        <v/>
      </c>
      <c r="T551" s="72"/>
      <c r="U551" s="72"/>
      <c r="V551" s="72"/>
      <c r="W551" s="219"/>
      <c r="X551" s="63" t="str">
        <f t="shared" si="24"/>
        <v/>
      </c>
      <c r="Y551" s="63" t="str">
        <f t="shared" si="25"/>
        <v/>
      </c>
      <c r="Z551" s="63" t="str">
        <f t="shared" si="26"/>
        <v/>
      </c>
      <c r="AA551" s="63" t="str">
        <f>TEXT(Table111[[#This Row],[YEAR]],"0000")&amp;"-"&amp;Table111[[#This Row],[MONTH]]</f>
        <v>-</v>
      </c>
    </row>
    <row r="552" spans="2:27" x14ac:dyDescent="0.3">
      <c r="B552" s="68"/>
      <c r="C552" s="183"/>
      <c r="D552" s="183"/>
      <c r="E552" s="71"/>
      <c r="F552" s="72"/>
      <c r="G552" s="72"/>
      <c r="H552" s="74"/>
      <c r="I552" s="70"/>
      <c r="J552" s="70"/>
      <c r="K552" s="70"/>
      <c r="L552" s="74"/>
      <c r="M552" s="123"/>
      <c r="N552" s="73"/>
      <c r="O552" s="236"/>
      <c r="P552" s="117"/>
      <c r="Q552" s="117"/>
      <c r="R552" s="156" t="str">
        <f>IF(Table111[[#This Row],[Qty]]="","",Table111[[#This Row],[Qty]]*Table111[[#This Row],[Unit Price]])</f>
        <v/>
      </c>
      <c r="S552" s="156" t="str">
        <f>IF(Table111[[#This Row],[Qty]]="","",Table111[[#This Row],[Qty]]*Table111[[#This Row],[Unit Price]]+Table111[[#This Row],[Delivery Cost]])</f>
        <v/>
      </c>
      <c r="T552" s="72"/>
      <c r="U552" s="72"/>
      <c r="V552" s="72"/>
      <c r="W552" s="65"/>
      <c r="X552" s="63" t="str">
        <f t="shared" si="24"/>
        <v/>
      </c>
      <c r="Y552" s="63" t="str">
        <f t="shared" si="25"/>
        <v/>
      </c>
      <c r="Z552" s="63" t="str">
        <f t="shared" si="26"/>
        <v/>
      </c>
      <c r="AA552" s="63" t="str">
        <f>TEXT(Table111[[#This Row],[YEAR]],"0000")&amp;"-"&amp;Table111[[#This Row],[MONTH]]</f>
        <v>-</v>
      </c>
    </row>
    <row r="553" spans="2:27" x14ac:dyDescent="0.3">
      <c r="B553" s="68"/>
      <c r="C553" s="68"/>
      <c r="D553" s="68"/>
      <c r="E553" s="71"/>
      <c r="F553" s="72"/>
      <c r="G553" s="70"/>
      <c r="H553" s="74"/>
      <c r="I553" s="70"/>
      <c r="J553" s="70"/>
      <c r="K553" s="70"/>
      <c r="L553" s="74"/>
      <c r="M553" s="123"/>
      <c r="N553" s="73"/>
      <c r="O553" s="236"/>
      <c r="P553" s="73"/>
      <c r="Q553" s="117"/>
      <c r="R553" s="156" t="str">
        <f>IF(Table111[[#This Row],[Qty]]="","",Table111[[#This Row],[Qty]]*Table111[[#This Row],[Unit Price]])</f>
        <v/>
      </c>
      <c r="S553" s="156" t="str">
        <f>IF(Table111[[#This Row],[Qty]]="","",Table111[[#This Row],[Qty]]*Table111[[#This Row],[Unit Price]]+Table111[[#This Row],[Delivery Cost]])</f>
        <v/>
      </c>
      <c r="T553" s="72"/>
      <c r="U553" s="72"/>
      <c r="V553" s="72"/>
      <c r="W553" s="219"/>
      <c r="X553" s="63" t="str">
        <f t="shared" si="24"/>
        <v/>
      </c>
      <c r="Y553" s="63" t="str">
        <f t="shared" si="25"/>
        <v/>
      </c>
      <c r="Z553" s="63" t="str">
        <f t="shared" si="26"/>
        <v/>
      </c>
      <c r="AA553" s="63" t="str">
        <f>TEXT(Table111[[#This Row],[YEAR]],"0000")&amp;"-"&amp;Table111[[#This Row],[MONTH]]</f>
        <v>-</v>
      </c>
    </row>
    <row r="554" spans="2:27" x14ac:dyDescent="0.3">
      <c r="B554" s="68"/>
      <c r="C554" s="68"/>
      <c r="D554" s="68"/>
      <c r="E554" s="71"/>
      <c r="F554" s="72"/>
      <c r="G554" s="72"/>
      <c r="H554" s="74"/>
      <c r="I554" s="70"/>
      <c r="J554" s="70"/>
      <c r="K554" s="70"/>
      <c r="L554" s="74"/>
      <c r="M554" s="123"/>
      <c r="N554" s="73"/>
      <c r="O554" s="236"/>
      <c r="P554" s="117"/>
      <c r="Q554" s="117"/>
      <c r="R554" s="156" t="str">
        <f>IF(Table111[[#This Row],[Qty]]="","",Table111[[#This Row],[Qty]]*Table111[[#This Row],[Unit Price]])</f>
        <v/>
      </c>
      <c r="S554" s="156" t="str">
        <f>IF(Table111[[#This Row],[Qty]]="","",Table111[[#This Row],[Qty]]*Table111[[#This Row],[Unit Price]]+Table111[[#This Row],[Delivery Cost]])</f>
        <v/>
      </c>
      <c r="T554" s="72"/>
      <c r="U554" s="72"/>
      <c r="V554" s="72"/>
      <c r="W554" s="65"/>
      <c r="X554" s="63" t="str">
        <f t="shared" si="24"/>
        <v/>
      </c>
      <c r="Y554" s="63" t="str">
        <f t="shared" si="25"/>
        <v/>
      </c>
      <c r="Z554" s="63" t="str">
        <f t="shared" si="26"/>
        <v/>
      </c>
      <c r="AA554" s="63" t="str">
        <f>TEXT(Table111[[#This Row],[YEAR]],"0000")&amp;"-"&amp;Table111[[#This Row],[MONTH]]</f>
        <v>-</v>
      </c>
    </row>
    <row r="555" spans="2:27" x14ac:dyDescent="0.3">
      <c r="B555" s="183"/>
      <c r="C555" s="183"/>
      <c r="D555" s="183"/>
      <c r="E555" s="71"/>
      <c r="F555" s="72"/>
      <c r="G555" s="70"/>
      <c r="H555" s="74"/>
      <c r="I555" s="70"/>
      <c r="J555" s="70"/>
      <c r="K555" s="70"/>
      <c r="L555" s="74"/>
      <c r="M555" s="123"/>
      <c r="N555" s="73"/>
      <c r="O555" s="236"/>
      <c r="P555" s="117"/>
      <c r="Q555" s="117"/>
      <c r="R555" s="156" t="str">
        <f>IF(Table111[[#This Row],[Qty]]="","",Table111[[#This Row],[Qty]]*Table111[[#This Row],[Unit Price]])</f>
        <v/>
      </c>
      <c r="S555" s="156" t="str">
        <f>IF(Table111[[#This Row],[Qty]]="","",Table111[[#This Row],[Qty]]*Table111[[#This Row],[Unit Price]]+Table111[[#This Row],[Delivery Cost]])</f>
        <v/>
      </c>
      <c r="T555" s="72"/>
      <c r="U555" s="72"/>
      <c r="V555" s="72"/>
      <c r="W555" s="16"/>
      <c r="X555" s="63" t="str">
        <f t="shared" si="24"/>
        <v/>
      </c>
      <c r="Y555" s="63" t="str">
        <f t="shared" si="25"/>
        <v/>
      </c>
      <c r="Z555" s="63" t="str">
        <f t="shared" si="26"/>
        <v/>
      </c>
      <c r="AA555" s="63" t="str">
        <f>TEXT(Table111[[#This Row],[YEAR]],"0000")&amp;"-"&amp;Table111[[#This Row],[MONTH]]</f>
        <v>-</v>
      </c>
    </row>
    <row r="556" spans="2:27" x14ac:dyDescent="0.3">
      <c r="B556" s="68"/>
      <c r="C556" s="68"/>
      <c r="D556" s="68"/>
      <c r="E556" s="71"/>
      <c r="F556" s="72"/>
      <c r="G556" s="70"/>
      <c r="H556" s="74"/>
      <c r="I556" s="70"/>
      <c r="J556" s="70"/>
      <c r="K556" s="70"/>
      <c r="L556" s="74"/>
      <c r="M556" s="123"/>
      <c r="N556" s="73"/>
      <c r="O556" s="236"/>
      <c r="P556" s="117"/>
      <c r="Q556" s="117"/>
      <c r="R556" s="156" t="str">
        <f>IF(Table111[[#This Row],[Qty]]="","",Table111[[#This Row],[Qty]]*Table111[[#This Row],[Unit Price]])</f>
        <v/>
      </c>
      <c r="S556" s="156" t="str">
        <f>IF(Table111[[#This Row],[Qty]]="","",Table111[[#This Row],[Qty]]*Table111[[#This Row],[Unit Price]]+Table111[[#This Row],[Delivery Cost]])</f>
        <v/>
      </c>
      <c r="T556" s="72"/>
      <c r="U556" s="72"/>
      <c r="V556" s="72"/>
      <c r="W556" s="225"/>
      <c r="X556" s="63" t="str">
        <f t="shared" si="24"/>
        <v/>
      </c>
      <c r="Y556" s="63" t="str">
        <f t="shared" si="25"/>
        <v/>
      </c>
      <c r="Z556" s="63" t="str">
        <f t="shared" si="26"/>
        <v/>
      </c>
      <c r="AA556" s="63" t="str">
        <f>TEXT(Table111[[#This Row],[YEAR]],"0000")&amp;"-"&amp;Table111[[#This Row],[MONTH]]</f>
        <v>-</v>
      </c>
    </row>
    <row r="557" spans="2:27" x14ac:dyDescent="0.3">
      <c r="B557" s="183"/>
      <c r="C557" s="183"/>
      <c r="D557" s="183"/>
      <c r="E557" s="71"/>
      <c r="F557" s="72"/>
      <c r="G557" s="70"/>
      <c r="H557" s="74"/>
      <c r="I557" s="70"/>
      <c r="J557" s="70"/>
      <c r="K557" s="70"/>
      <c r="L557" s="74"/>
      <c r="M557" s="123"/>
      <c r="N557" s="73"/>
      <c r="O557" s="236"/>
      <c r="P557" s="117"/>
      <c r="Q557" s="117"/>
      <c r="R557" s="156" t="str">
        <f>IF(Table111[[#This Row],[Qty]]="","",Table111[[#This Row],[Qty]]*Table111[[#This Row],[Unit Price]])</f>
        <v/>
      </c>
      <c r="S557" s="156" t="str">
        <f>IF(Table111[[#This Row],[Qty]]="","",Table111[[#This Row],[Qty]]*Table111[[#This Row],[Unit Price]]+Table111[[#This Row],[Delivery Cost]])</f>
        <v/>
      </c>
      <c r="T557" s="72"/>
      <c r="U557" s="72"/>
      <c r="V557" s="72"/>
      <c r="W557" s="16"/>
      <c r="X557" s="63" t="str">
        <f t="shared" si="24"/>
        <v/>
      </c>
      <c r="Y557" s="63" t="str">
        <f t="shared" si="25"/>
        <v/>
      </c>
      <c r="Z557" s="63" t="str">
        <f t="shared" si="26"/>
        <v/>
      </c>
      <c r="AA557" s="63" t="str">
        <f>TEXT(Table111[[#This Row],[YEAR]],"0000")&amp;"-"&amp;Table111[[#This Row],[MONTH]]</f>
        <v>-</v>
      </c>
    </row>
    <row r="558" spans="2:27" x14ac:dyDescent="0.3">
      <c r="B558" s="68"/>
      <c r="C558" s="183"/>
      <c r="D558" s="68"/>
      <c r="E558" s="71"/>
      <c r="F558" s="72"/>
      <c r="G558" s="70"/>
      <c r="H558" s="74"/>
      <c r="I558" s="70"/>
      <c r="J558" s="70"/>
      <c r="K558" s="70"/>
      <c r="L558" s="74"/>
      <c r="M558" s="123"/>
      <c r="N558" s="73"/>
      <c r="O558" s="236"/>
      <c r="P558" s="117"/>
      <c r="Q558" s="117"/>
      <c r="R558" s="156" t="str">
        <f>IF(Table111[[#This Row],[Qty]]="","",Table111[[#This Row],[Qty]]*Table111[[#This Row],[Unit Price]])</f>
        <v/>
      </c>
      <c r="S558" s="156" t="str">
        <f>IF(Table111[[#This Row],[Qty]]="","",Table111[[#This Row],[Qty]]*Table111[[#This Row],[Unit Price]]+Table111[[#This Row],[Delivery Cost]])</f>
        <v/>
      </c>
      <c r="T558" s="72"/>
      <c r="U558" s="72"/>
      <c r="V558" s="72"/>
      <c r="W558" s="220"/>
      <c r="X558" s="63" t="str">
        <f t="shared" si="24"/>
        <v/>
      </c>
      <c r="Y558" s="63" t="str">
        <f t="shared" si="25"/>
        <v/>
      </c>
      <c r="Z558" s="63" t="str">
        <f t="shared" si="26"/>
        <v/>
      </c>
      <c r="AA558" s="63" t="str">
        <f>TEXT(Table111[[#This Row],[YEAR]],"0000")&amp;"-"&amp;Table111[[#This Row],[MONTH]]</f>
        <v>-</v>
      </c>
    </row>
    <row r="559" spans="2:27" x14ac:dyDescent="0.3">
      <c r="B559" s="68"/>
      <c r="C559" s="68"/>
      <c r="D559" s="68"/>
      <c r="E559" s="71"/>
      <c r="F559" s="72"/>
      <c r="G559" s="70"/>
      <c r="H559" s="74"/>
      <c r="I559" s="70"/>
      <c r="J559" s="70"/>
      <c r="K559" s="70"/>
      <c r="L559" s="74"/>
      <c r="M559" s="123"/>
      <c r="N559" s="73"/>
      <c r="O559" s="236"/>
      <c r="P559" s="117"/>
      <c r="Q559" s="117"/>
      <c r="R559" s="156" t="str">
        <f>IF(Table111[[#This Row],[Qty]]="","",Table111[[#This Row],[Qty]]*Table111[[#This Row],[Unit Price]])</f>
        <v/>
      </c>
      <c r="S559" s="156" t="str">
        <f>IF(Table111[[#This Row],[Qty]]="","",Table111[[#This Row],[Qty]]*Table111[[#This Row],[Unit Price]]+Table111[[#This Row],[Delivery Cost]])</f>
        <v/>
      </c>
      <c r="T559" s="72"/>
      <c r="U559" s="72"/>
      <c r="V559" s="72"/>
      <c r="W559" s="16"/>
      <c r="X559" s="63" t="str">
        <f t="shared" si="24"/>
        <v/>
      </c>
      <c r="Y559" s="63" t="str">
        <f t="shared" si="25"/>
        <v/>
      </c>
      <c r="Z559" s="63" t="str">
        <f t="shared" si="26"/>
        <v/>
      </c>
      <c r="AA559" s="63" t="str">
        <f>TEXT(Table111[[#This Row],[YEAR]],"0000")&amp;"-"&amp;Table111[[#This Row],[MONTH]]</f>
        <v>-</v>
      </c>
    </row>
    <row r="560" spans="2:27" x14ac:dyDescent="0.3">
      <c r="B560" s="68"/>
      <c r="C560" s="68"/>
      <c r="D560" s="68"/>
      <c r="E560" s="71"/>
      <c r="F560" s="72"/>
      <c r="G560" s="70"/>
      <c r="H560" s="74"/>
      <c r="I560" s="70"/>
      <c r="J560" s="70"/>
      <c r="K560" s="70"/>
      <c r="L560" s="74"/>
      <c r="M560" s="123"/>
      <c r="N560" s="73"/>
      <c r="O560" s="236"/>
      <c r="P560" s="117"/>
      <c r="Q560" s="117"/>
      <c r="R560" s="156" t="str">
        <f>IF(Table111[[#This Row],[Qty]]="","",Table111[[#This Row],[Qty]]*Table111[[#This Row],[Unit Price]])</f>
        <v/>
      </c>
      <c r="S560" s="156" t="str">
        <f>IF(Table111[[#This Row],[Qty]]="","",Table111[[#This Row],[Qty]]*Table111[[#This Row],[Unit Price]]+Table111[[#This Row],[Delivery Cost]])</f>
        <v/>
      </c>
      <c r="T560" s="72"/>
      <c r="U560" s="72"/>
      <c r="V560" s="72"/>
      <c r="W560" s="220"/>
      <c r="X560" s="63" t="str">
        <f t="shared" si="24"/>
        <v/>
      </c>
      <c r="Y560" s="63" t="str">
        <f t="shared" si="25"/>
        <v/>
      </c>
      <c r="Z560" s="63" t="str">
        <f t="shared" si="26"/>
        <v/>
      </c>
      <c r="AA560" s="63" t="str">
        <f>TEXT(Table111[[#This Row],[YEAR]],"0000")&amp;"-"&amp;Table111[[#This Row],[MONTH]]</f>
        <v>-</v>
      </c>
    </row>
    <row r="561" spans="2:27" x14ac:dyDescent="0.3">
      <c r="B561" s="68"/>
      <c r="C561" s="68"/>
      <c r="D561" s="183"/>
      <c r="E561" s="71"/>
      <c r="F561" s="72"/>
      <c r="G561" s="70"/>
      <c r="H561" s="74"/>
      <c r="I561" s="70"/>
      <c r="J561" s="70"/>
      <c r="K561" s="70"/>
      <c r="L561" s="74"/>
      <c r="M561" s="123"/>
      <c r="N561" s="73"/>
      <c r="O561" s="236"/>
      <c r="P561" s="117"/>
      <c r="Q561" s="117"/>
      <c r="R561" s="156" t="str">
        <f>IF(Table111[[#This Row],[Qty]]="","",Table111[[#This Row],[Qty]]*Table111[[#This Row],[Unit Price]])</f>
        <v/>
      </c>
      <c r="S561" s="156" t="str">
        <f>IF(Table111[[#This Row],[Qty]]="","",Table111[[#This Row],[Qty]]*Table111[[#This Row],[Unit Price]]+Table111[[#This Row],[Delivery Cost]])</f>
        <v/>
      </c>
      <c r="T561" s="72"/>
      <c r="U561" s="72"/>
      <c r="V561" s="72"/>
      <c r="W561" s="16"/>
      <c r="X561" s="63" t="str">
        <f t="shared" si="24"/>
        <v/>
      </c>
      <c r="Y561" s="63" t="str">
        <f t="shared" si="25"/>
        <v/>
      </c>
      <c r="Z561" s="63" t="str">
        <f t="shared" si="26"/>
        <v/>
      </c>
      <c r="AA561" s="63" t="str">
        <f>TEXT(Table111[[#This Row],[YEAR]],"0000")&amp;"-"&amp;Table111[[#This Row],[MONTH]]</f>
        <v>-</v>
      </c>
    </row>
    <row r="562" spans="2:27" x14ac:dyDescent="0.3">
      <c r="B562" s="68"/>
      <c r="C562" s="68"/>
      <c r="D562" s="68"/>
      <c r="E562" s="71"/>
      <c r="F562" s="72"/>
      <c r="G562" s="70"/>
      <c r="H562" s="74"/>
      <c r="I562" s="70"/>
      <c r="J562" s="70"/>
      <c r="K562" s="70"/>
      <c r="L562" s="74"/>
      <c r="M562" s="123"/>
      <c r="N562" s="73"/>
      <c r="O562" s="236"/>
      <c r="P562" s="117"/>
      <c r="Q562" s="117"/>
      <c r="R562" s="156" t="str">
        <f>IF(Table111[[#This Row],[Qty]]="","",Table111[[#This Row],[Qty]]*Table111[[#This Row],[Unit Price]])</f>
        <v/>
      </c>
      <c r="S562" s="156" t="str">
        <f>IF(Table111[[#This Row],[Qty]]="","",Table111[[#This Row],[Qty]]*Table111[[#This Row],[Unit Price]]+Table111[[#This Row],[Delivery Cost]])</f>
        <v/>
      </c>
      <c r="T562" s="72"/>
      <c r="U562" s="72"/>
      <c r="V562" s="72"/>
      <c r="W562" s="220"/>
      <c r="X562" s="63" t="str">
        <f t="shared" si="24"/>
        <v/>
      </c>
      <c r="Y562" s="63" t="str">
        <f t="shared" si="25"/>
        <v/>
      </c>
      <c r="Z562" s="63" t="str">
        <f t="shared" si="26"/>
        <v/>
      </c>
      <c r="AA562" s="63" t="str">
        <f>TEXT(Table111[[#This Row],[YEAR]],"0000")&amp;"-"&amp;Table111[[#This Row],[MONTH]]</f>
        <v>-</v>
      </c>
    </row>
    <row r="563" spans="2:27" x14ac:dyDescent="0.3">
      <c r="B563" s="68"/>
      <c r="C563" s="68"/>
      <c r="D563" s="183"/>
      <c r="E563" s="71"/>
      <c r="F563" s="72"/>
      <c r="G563" s="70"/>
      <c r="H563" s="74"/>
      <c r="I563" s="70"/>
      <c r="J563" s="70"/>
      <c r="K563" s="70"/>
      <c r="L563" s="74"/>
      <c r="M563" s="123"/>
      <c r="N563" s="73"/>
      <c r="O563" s="236"/>
      <c r="P563" s="117"/>
      <c r="Q563" s="117"/>
      <c r="R563" s="156" t="str">
        <f>IF(Table111[[#This Row],[Qty]]="","",Table111[[#This Row],[Qty]]*Table111[[#This Row],[Unit Price]])</f>
        <v/>
      </c>
      <c r="S563" s="156" t="str">
        <f>IF(Table111[[#This Row],[Qty]]="","",Table111[[#This Row],[Qty]]*Table111[[#This Row],[Unit Price]]+Table111[[#This Row],[Delivery Cost]])</f>
        <v/>
      </c>
      <c r="T563" s="72"/>
      <c r="U563" s="72"/>
      <c r="V563" s="72"/>
      <c r="W563" s="16"/>
      <c r="X563" s="63" t="str">
        <f t="shared" si="24"/>
        <v/>
      </c>
      <c r="Y563" s="63" t="str">
        <f t="shared" si="25"/>
        <v/>
      </c>
      <c r="Z563" s="63" t="str">
        <f t="shared" si="26"/>
        <v/>
      </c>
      <c r="AA563" s="63" t="str">
        <f>TEXT(Table111[[#This Row],[YEAR]],"0000")&amp;"-"&amp;Table111[[#This Row],[MONTH]]</f>
        <v>-</v>
      </c>
    </row>
    <row r="564" spans="2:27" x14ac:dyDescent="0.3">
      <c r="B564" s="183"/>
      <c r="C564" s="183"/>
      <c r="D564" s="183"/>
      <c r="E564" s="71"/>
      <c r="F564" s="72"/>
      <c r="G564" s="70"/>
      <c r="H564" s="74"/>
      <c r="I564" s="70"/>
      <c r="J564" s="70"/>
      <c r="K564" s="70"/>
      <c r="L564" s="74"/>
      <c r="M564" s="123"/>
      <c r="N564" s="73"/>
      <c r="O564" s="236"/>
      <c r="P564" s="117"/>
      <c r="Q564" s="117"/>
      <c r="R564" s="156" t="str">
        <f>IF(Table111[[#This Row],[Qty]]="","",Table111[[#This Row],[Qty]]*Table111[[#This Row],[Unit Price]])</f>
        <v/>
      </c>
      <c r="S564" s="156" t="str">
        <f>IF(Table111[[#This Row],[Qty]]="","",Table111[[#This Row],[Qty]]*Table111[[#This Row],[Unit Price]]+Table111[[#This Row],[Delivery Cost]])</f>
        <v/>
      </c>
      <c r="T564" s="72"/>
      <c r="U564" s="72"/>
      <c r="V564" s="72"/>
      <c r="W564" s="65"/>
      <c r="X564" s="63" t="str">
        <f t="shared" si="24"/>
        <v/>
      </c>
      <c r="Y564" s="63" t="str">
        <f t="shared" si="25"/>
        <v/>
      </c>
      <c r="Z564" s="63" t="str">
        <f t="shared" si="26"/>
        <v/>
      </c>
      <c r="AA564" s="63" t="str">
        <f>TEXT(Table111[[#This Row],[YEAR]],"0000")&amp;"-"&amp;Table111[[#This Row],[MONTH]]</f>
        <v>-</v>
      </c>
    </row>
    <row r="565" spans="2:27" x14ac:dyDescent="0.3">
      <c r="B565" s="68"/>
      <c r="C565" s="68"/>
      <c r="D565" s="68"/>
      <c r="E565" s="71"/>
      <c r="F565" s="72"/>
      <c r="G565" s="73"/>
      <c r="H565" s="74"/>
      <c r="I565" s="70"/>
      <c r="J565" s="70"/>
      <c r="K565" s="70"/>
      <c r="L565" s="74"/>
      <c r="M565" s="123"/>
      <c r="N565" s="73"/>
      <c r="O565" s="236"/>
      <c r="P565" s="117"/>
      <c r="Q565" s="117"/>
      <c r="R565" s="156" t="str">
        <f>IF(Table111[[#This Row],[Qty]]="","",Table111[[#This Row],[Qty]]*Table111[[#This Row],[Unit Price]])</f>
        <v/>
      </c>
      <c r="S565" s="156" t="str">
        <f>IF(Table111[[#This Row],[Qty]]="","",Table111[[#This Row],[Qty]]*Table111[[#This Row],[Unit Price]]+Table111[[#This Row],[Delivery Cost]])</f>
        <v/>
      </c>
      <c r="T565" s="72"/>
      <c r="U565" s="72"/>
      <c r="V565" s="72"/>
      <c r="W565" s="219"/>
      <c r="X565" s="63" t="str">
        <f t="shared" si="24"/>
        <v/>
      </c>
      <c r="Y565" s="63" t="str">
        <f t="shared" si="25"/>
        <v/>
      </c>
      <c r="Z565" s="63" t="str">
        <f t="shared" si="26"/>
        <v/>
      </c>
      <c r="AA565" s="63" t="str">
        <f>TEXT(Table111[[#This Row],[YEAR]],"0000")&amp;"-"&amp;Table111[[#This Row],[MONTH]]</f>
        <v>-</v>
      </c>
    </row>
    <row r="566" spans="2:27" x14ac:dyDescent="0.3">
      <c r="B566" s="68"/>
      <c r="C566" s="68"/>
      <c r="D566" s="68"/>
      <c r="E566" s="71"/>
      <c r="F566" s="72"/>
      <c r="G566" s="70"/>
      <c r="H566" s="74"/>
      <c r="I566" s="70"/>
      <c r="J566" s="70"/>
      <c r="K566" s="70"/>
      <c r="L566" s="74"/>
      <c r="M566" s="123"/>
      <c r="N566" s="73"/>
      <c r="O566" s="236"/>
      <c r="P566" s="117"/>
      <c r="Q566" s="117"/>
      <c r="R566" s="156" t="str">
        <f>IF(Table111[[#This Row],[Qty]]="","",Table111[[#This Row],[Qty]]*Table111[[#This Row],[Unit Price]])</f>
        <v/>
      </c>
      <c r="S566" s="156" t="str">
        <f>IF(Table111[[#This Row],[Qty]]="","",Table111[[#This Row],[Qty]]*Table111[[#This Row],[Unit Price]]+Table111[[#This Row],[Delivery Cost]])</f>
        <v/>
      </c>
      <c r="T566" s="72"/>
      <c r="U566" s="72"/>
      <c r="V566" s="72"/>
      <c r="W566" s="220"/>
      <c r="X566" s="63" t="str">
        <f t="shared" si="24"/>
        <v/>
      </c>
      <c r="Y566" s="63" t="str">
        <f t="shared" si="25"/>
        <v/>
      </c>
      <c r="Z566" s="63" t="str">
        <f t="shared" si="26"/>
        <v/>
      </c>
      <c r="AA566" s="63" t="str">
        <f>TEXT(Table111[[#This Row],[YEAR]],"0000")&amp;"-"&amp;Table111[[#This Row],[MONTH]]</f>
        <v>-</v>
      </c>
    </row>
    <row r="567" spans="2:27" x14ac:dyDescent="0.3">
      <c r="B567" s="183"/>
      <c r="C567" s="183"/>
      <c r="D567" s="183"/>
      <c r="E567" s="71"/>
      <c r="F567" s="72"/>
      <c r="G567" s="70"/>
      <c r="H567" s="74"/>
      <c r="I567" s="70"/>
      <c r="J567" s="70"/>
      <c r="K567" s="70"/>
      <c r="L567" s="74"/>
      <c r="M567" s="123"/>
      <c r="N567" s="73"/>
      <c r="O567" s="236"/>
      <c r="P567" s="117"/>
      <c r="Q567" s="117"/>
      <c r="R567" s="156" t="str">
        <f>IF(Table111[[#This Row],[Qty]]="","",Table111[[#This Row],[Qty]]*Table111[[#This Row],[Unit Price]])</f>
        <v/>
      </c>
      <c r="S567" s="156" t="str">
        <f>IF(Table111[[#This Row],[Qty]]="","",Table111[[#This Row],[Qty]]*Table111[[#This Row],[Unit Price]]+Table111[[#This Row],[Delivery Cost]])</f>
        <v/>
      </c>
      <c r="T567" s="72"/>
      <c r="U567" s="72"/>
      <c r="V567" s="72"/>
      <c r="W567" s="16"/>
      <c r="X567" s="63" t="str">
        <f t="shared" si="24"/>
        <v/>
      </c>
      <c r="Y567" s="63" t="str">
        <f t="shared" si="25"/>
        <v/>
      </c>
      <c r="Z567" s="63" t="str">
        <f t="shared" si="26"/>
        <v/>
      </c>
      <c r="AA567" s="63" t="str">
        <f>TEXT(Table111[[#This Row],[YEAR]],"0000")&amp;"-"&amp;Table111[[#This Row],[MONTH]]</f>
        <v>-</v>
      </c>
    </row>
    <row r="568" spans="2:27" x14ac:dyDescent="0.3">
      <c r="B568" s="68"/>
      <c r="C568" s="68"/>
      <c r="D568" s="68"/>
      <c r="E568" s="71"/>
      <c r="F568" s="72"/>
      <c r="G568" s="70"/>
      <c r="H568" s="74"/>
      <c r="I568" s="70"/>
      <c r="J568" s="70"/>
      <c r="K568" s="70"/>
      <c r="L568" s="74"/>
      <c r="M568" s="123"/>
      <c r="N568" s="73"/>
      <c r="O568" s="236"/>
      <c r="P568" s="117"/>
      <c r="Q568" s="117"/>
      <c r="R568" s="156" t="str">
        <f>IF(Table111[[#This Row],[Qty]]="","",Table111[[#This Row],[Qty]]*Table111[[#This Row],[Unit Price]])</f>
        <v/>
      </c>
      <c r="S568" s="156" t="str">
        <f>IF(Table111[[#This Row],[Qty]]="","",Table111[[#This Row],[Qty]]*Table111[[#This Row],[Unit Price]]+Table111[[#This Row],[Delivery Cost]])</f>
        <v/>
      </c>
      <c r="T568" s="72"/>
      <c r="U568" s="72"/>
      <c r="V568" s="72"/>
      <c r="W568" s="220"/>
      <c r="X568" s="63" t="str">
        <f t="shared" si="24"/>
        <v/>
      </c>
      <c r="Y568" s="63" t="str">
        <f t="shared" si="25"/>
        <v/>
      </c>
      <c r="Z568" s="63" t="str">
        <f t="shared" si="26"/>
        <v/>
      </c>
      <c r="AA568" s="63" t="str">
        <f>TEXT(Table111[[#This Row],[YEAR]],"0000")&amp;"-"&amp;Table111[[#This Row],[MONTH]]</f>
        <v>-</v>
      </c>
    </row>
    <row r="569" spans="2:27" x14ac:dyDescent="0.3">
      <c r="B569" s="183"/>
      <c r="C569" s="183"/>
      <c r="D569" s="183"/>
      <c r="E569" s="71"/>
      <c r="F569" s="72"/>
      <c r="G569" s="70"/>
      <c r="H569" s="74"/>
      <c r="I569" s="70"/>
      <c r="J569" s="70"/>
      <c r="K569" s="70"/>
      <c r="L569" s="74"/>
      <c r="M569" s="123"/>
      <c r="N569" s="73"/>
      <c r="O569" s="236"/>
      <c r="P569" s="117"/>
      <c r="Q569" s="117"/>
      <c r="R569" s="156" t="str">
        <f>IF(Table111[[#This Row],[Qty]]="","",Table111[[#This Row],[Qty]]*Table111[[#This Row],[Unit Price]])</f>
        <v/>
      </c>
      <c r="S569" s="156" t="str">
        <f>IF(Table111[[#This Row],[Qty]]="","",Table111[[#This Row],[Qty]]*Table111[[#This Row],[Unit Price]]+Table111[[#This Row],[Delivery Cost]])</f>
        <v/>
      </c>
      <c r="T569" s="72"/>
      <c r="U569" s="72"/>
      <c r="V569" s="72"/>
      <c r="W569" s="16"/>
      <c r="X569" s="63" t="str">
        <f t="shared" si="24"/>
        <v/>
      </c>
      <c r="Y569" s="63" t="str">
        <f t="shared" si="25"/>
        <v/>
      </c>
      <c r="Z569" s="63" t="str">
        <f t="shared" si="26"/>
        <v/>
      </c>
      <c r="AA569" s="63" t="str">
        <f>TEXT(Table111[[#This Row],[YEAR]],"0000")&amp;"-"&amp;Table111[[#This Row],[MONTH]]</f>
        <v>-</v>
      </c>
    </row>
    <row r="570" spans="2:27" x14ac:dyDescent="0.3">
      <c r="B570" s="68"/>
      <c r="C570" s="68"/>
      <c r="D570" s="68"/>
      <c r="E570" s="71"/>
      <c r="F570" s="72"/>
      <c r="G570" s="70"/>
      <c r="H570" s="74"/>
      <c r="I570" s="70"/>
      <c r="J570" s="70"/>
      <c r="K570" s="70"/>
      <c r="L570" s="74"/>
      <c r="M570" s="123"/>
      <c r="N570" s="73"/>
      <c r="O570" s="236"/>
      <c r="P570" s="117"/>
      <c r="Q570" s="117"/>
      <c r="R570" s="156" t="str">
        <f>IF(Table111[[#This Row],[Qty]]="","",Table111[[#This Row],[Qty]]*Table111[[#This Row],[Unit Price]])</f>
        <v/>
      </c>
      <c r="S570" s="156" t="str">
        <f>IF(Table111[[#This Row],[Qty]]="","",Table111[[#This Row],[Qty]]*Table111[[#This Row],[Unit Price]]+Table111[[#This Row],[Delivery Cost]])</f>
        <v/>
      </c>
      <c r="T570" s="72"/>
      <c r="U570" s="72"/>
      <c r="V570" s="72"/>
      <c r="W570" s="220"/>
      <c r="X570" s="63" t="str">
        <f t="shared" si="24"/>
        <v/>
      </c>
      <c r="Y570" s="63" t="str">
        <f t="shared" si="25"/>
        <v/>
      </c>
      <c r="Z570" s="63" t="str">
        <f t="shared" si="26"/>
        <v/>
      </c>
      <c r="AA570" s="63" t="str">
        <f>TEXT(Table111[[#This Row],[YEAR]],"0000")&amp;"-"&amp;Table111[[#This Row],[MONTH]]</f>
        <v>-</v>
      </c>
    </row>
    <row r="571" spans="2:27" x14ac:dyDescent="0.3">
      <c r="B571" s="183"/>
      <c r="C571" s="183"/>
      <c r="D571" s="183"/>
      <c r="E571" s="71"/>
      <c r="F571" s="72"/>
      <c r="G571" s="70"/>
      <c r="H571" s="74"/>
      <c r="I571" s="70"/>
      <c r="J571" s="70"/>
      <c r="K571" s="70"/>
      <c r="L571" s="74"/>
      <c r="M571" s="123"/>
      <c r="N571" s="73"/>
      <c r="O571" s="236"/>
      <c r="P571" s="117"/>
      <c r="Q571" s="117"/>
      <c r="R571" s="156" t="str">
        <f>IF(Table111[[#This Row],[Qty]]="","",Table111[[#This Row],[Qty]]*Table111[[#This Row],[Unit Price]])</f>
        <v/>
      </c>
      <c r="S571" s="156" t="str">
        <f>IF(Table111[[#This Row],[Qty]]="","",Table111[[#This Row],[Qty]]*Table111[[#This Row],[Unit Price]]+Table111[[#This Row],[Delivery Cost]])</f>
        <v/>
      </c>
      <c r="T571" s="72"/>
      <c r="U571" s="72"/>
      <c r="V571" s="72"/>
      <c r="W571" s="16"/>
      <c r="X571" s="63" t="str">
        <f t="shared" si="24"/>
        <v/>
      </c>
      <c r="Y571" s="63" t="str">
        <f t="shared" si="25"/>
        <v/>
      </c>
      <c r="Z571" s="63" t="str">
        <f t="shared" si="26"/>
        <v/>
      </c>
      <c r="AA571" s="63" t="str">
        <f>TEXT(Table111[[#This Row],[YEAR]],"0000")&amp;"-"&amp;Table111[[#This Row],[MONTH]]</f>
        <v>-</v>
      </c>
    </row>
    <row r="572" spans="2:27" x14ac:dyDescent="0.3">
      <c r="B572" s="68"/>
      <c r="C572" s="68"/>
      <c r="D572" s="68"/>
      <c r="E572" s="71"/>
      <c r="F572" s="72"/>
      <c r="G572" s="70"/>
      <c r="H572" s="74"/>
      <c r="I572" s="70"/>
      <c r="J572" s="70"/>
      <c r="K572" s="70"/>
      <c r="L572" s="74"/>
      <c r="M572" s="123"/>
      <c r="N572" s="73"/>
      <c r="O572" s="236"/>
      <c r="P572" s="117"/>
      <c r="Q572" s="117"/>
      <c r="R572" s="156" t="str">
        <f>IF(Table111[[#This Row],[Qty]]="","",Table111[[#This Row],[Qty]]*Table111[[#This Row],[Unit Price]])</f>
        <v/>
      </c>
      <c r="S572" s="156" t="str">
        <f>IF(Table111[[#This Row],[Qty]]="","",Table111[[#This Row],[Qty]]*Table111[[#This Row],[Unit Price]]+Table111[[#This Row],[Delivery Cost]])</f>
        <v/>
      </c>
      <c r="T572" s="72"/>
      <c r="U572" s="72"/>
      <c r="V572" s="72"/>
      <c r="W572" s="220"/>
      <c r="X572" s="63" t="str">
        <f t="shared" si="24"/>
        <v/>
      </c>
      <c r="Y572" s="63" t="str">
        <f t="shared" si="25"/>
        <v/>
      </c>
      <c r="Z572" s="63" t="str">
        <f t="shared" si="26"/>
        <v/>
      </c>
      <c r="AA572" s="63" t="str">
        <f>TEXT(Table111[[#This Row],[YEAR]],"0000")&amp;"-"&amp;Table111[[#This Row],[MONTH]]</f>
        <v>-</v>
      </c>
    </row>
    <row r="573" spans="2:27" x14ac:dyDescent="0.3">
      <c r="B573" s="183"/>
      <c r="C573" s="183"/>
      <c r="D573" s="183"/>
      <c r="E573" s="71"/>
      <c r="F573" s="72"/>
      <c r="G573" s="70"/>
      <c r="H573" s="74"/>
      <c r="I573" s="70"/>
      <c r="J573" s="70"/>
      <c r="K573" s="70"/>
      <c r="L573" s="74"/>
      <c r="M573" s="123"/>
      <c r="N573" s="73"/>
      <c r="O573" s="236"/>
      <c r="P573" s="117"/>
      <c r="Q573" s="117"/>
      <c r="R573" s="156" t="str">
        <f>IF(Table111[[#This Row],[Qty]]="","",Table111[[#This Row],[Qty]]*Table111[[#This Row],[Unit Price]])</f>
        <v/>
      </c>
      <c r="S573" s="156" t="str">
        <f>IF(Table111[[#This Row],[Qty]]="","",Table111[[#This Row],[Qty]]*Table111[[#This Row],[Unit Price]]+Table111[[#This Row],[Delivery Cost]])</f>
        <v/>
      </c>
      <c r="T573" s="72"/>
      <c r="U573" s="72"/>
      <c r="V573" s="72"/>
      <c r="W573" s="16"/>
      <c r="X573" s="63" t="str">
        <f t="shared" si="24"/>
        <v/>
      </c>
      <c r="Y573" s="63" t="str">
        <f t="shared" si="25"/>
        <v/>
      </c>
      <c r="Z573" s="63" t="str">
        <f t="shared" si="26"/>
        <v/>
      </c>
      <c r="AA573" s="63" t="str">
        <f>TEXT(Table111[[#This Row],[YEAR]],"0000")&amp;"-"&amp;Table111[[#This Row],[MONTH]]</f>
        <v>-</v>
      </c>
    </row>
    <row r="574" spans="2:27" x14ac:dyDescent="0.3">
      <c r="B574" s="68"/>
      <c r="C574" s="68"/>
      <c r="D574" s="68"/>
      <c r="E574" s="71"/>
      <c r="F574" s="72"/>
      <c r="G574" s="70"/>
      <c r="H574" s="74"/>
      <c r="I574" s="70"/>
      <c r="J574" s="70"/>
      <c r="K574" s="70"/>
      <c r="L574" s="74"/>
      <c r="M574" s="123"/>
      <c r="N574" s="73"/>
      <c r="O574" s="236"/>
      <c r="P574" s="117"/>
      <c r="Q574" s="117"/>
      <c r="R574" s="156" t="str">
        <f>IF(Table111[[#This Row],[Qty]]="","",Table111[[#This Row],[Qty]]*Table111[[#This Row],[Unit Price]])</f>
        <v/>
      </c>
      <c r="S574" s="156" t="str">
        <f>IF(Table111[[#This Row],[Qty]]="","",Table111[[#This Row],[Qty]]*Table111[[#This Row],[Unit Price]]+Table111[[#This Row],[Delivery Cost]])</f>
        <v/>
      </c>
      <c r="T574" s="72"/>
      <c r="U574" s="72"/>
      <c r="V574" s="72"/>
      <c r="W574" s="220"/>
      <c r="X574" s="63" t="str">
        <f t="shared" si="24"/>
        <v/>
      </c>
      <c r="Y574" s="63" t="str">
        <f t="shared" si="25"/>
        <v/>
      </c>
      <c r="Z574" s="63" t="str">
        <f t="shared" si="26"/>
        <v/>
      </c>
      <c r="AA574" s="63" t="str">
        <f>TEXT(Table111[[#This Row],[YEAR]],"0000")&amp;"-"&amp;Table111[[#This Row],[MONTH]]</f>
        <v>-</v>
      </c>
    </row>
    <row r="575" spans="2:27" x14ac:dyDescent="0.3">
      <c r="B575" s="68"/>
      <c r="C575" s="68"/>
      <c r="D575" s="68"/>
      <c r="E575" s="71"/>
      <c r="F575" s="72"/>
      <c r="G575" s="70"/>
      <c r="H575" s="74"/>
      <c r="I575" s="70"/>
      <c r="J575" s="70"/>
      <c r="K575" s="70"/>
      <c r="L575" s="74"/>
      <c r="M575" s="123"/>
      <c r="N575" s="73"/>
      <c r="O575" s="236"/>
      <c r="P575" s="117"/>
      <c r="Q575" s="117"/>
      <c r="R575" s="156" t="str">
        <f>IF(Table111[[#This Row],[Qty]]="","",Table111[[#This Row],[Qty]]*Table111[[#This Row],[Unit Price]])</f>
        <v/>
      </c>
      <c r="S575" s="156" t="str">
        <f>IF(Table111[[#This Row],[Qty]]="","",Table111[[#This Row],[Qty]]*Table111[[#This Row],[Unit Price]]+Table111[[#This Row],[Delivery Cost]])</f>
        <v/>
      </c>
      <c r="T575" s="72"/>
      <c r="U575" s="72"/>
      <c r="V575" s="72"/>
      <c r="W575" s="219"/>
      <c r="X575" s="63" t="str">
        <f t="shared" si="24"/>
        <v/>
      </c>
      <c r="Y575" s="63" t="str">
        <f t="shared" si="25"/>
        <v/>
      </c>
      <c r="Z575" s="63" t="str">
        <f t="shared" si="26"/>
        <v/>
      </c>
      <c r="AA575" s="63" t="str">
        <f>TEXT(Table111[[#This Row],[YEAR]],"0000")&amp;"-"&amp;Table111[[#This Row],[MONTH]]</f>
        <v>-</v>
      </c>
    </row>
    <row r="576" spans="2:27" x14ac:dyDescent="0.3">
      <c r="B576" s="183"/>
      <c r="C576" s="183"/>
      <c r="D576" s="68"/>
      <c r="E576" s="71"/>
      <c r="F576" s="72"/>
      <c r="G576" s="70"/>
      <c r="H576" s="74"/>
      <c r="I576" s="70"/>
      <c r="J576" s="70"/>
      <c r="K576" s="70"/>
      <c r="L576" s="74"/>
      <c r="M576" s="123"/>
      <c r="N576" s="73"/>
      <c r="O576" s="236"/>
      <c r="P576" s="117"/>
      <c r="Q576" s="117"/>
      <c r="R576" s="156" t="str">
        <f>IF(Table111[[#This Row],[Qty]]="","",Table111[[#This Row],[Qty]]*Table111[[#This Row],[Unit Price]])</f>
        <v/>
      </c>
      <c r="S576" s="156" t="str">
        <f>IF(Table111[[#This Row],[Qty]]="","",Table111[[#This Row],[Qty]]*Table111[[#This Row],[Unit Price]]+Table111[[#This Row],[Delivery Cost]])</f>
        <v/>
      </c>
      <c r="T576" s="72"/>
      <c r="U576" s="72"/>
      <c r="V576" s="72"/>
      <c r="W576" s="65"/>
      <c r="X576" s="63" t="str">
        <f t="shared" si="24"/>
        <v/>
      </c>
      <c r="Y576" s="63" t="str">
        <f t="shared" si="25"/>
        <v/>
      </c>
      <c r="Z576" s="63" t="str">
        <f t="shared" si="26"/>
        <v/>
      </c>
      <c r="AA576" s="63" t="str">
        <f>TEXT(Table111[[#This Row],[YEAR]],"0000")&amp;"-"&amp;Table111[[#This Row],[MONTH]]</f>
        <v>-</v>
      </c>
    </row>
    <row r="577" spans="2:27" x14ac:dyDescent="0.3">
      <c r="B577" s="68"/>
      <c r="C577" s="68"/>
      <c r="D577" s="68"/>
      <c r="E577" s="71"/>
      <c r="F577" s="72"/>
      <c r="G577" s="70"/>
      <c r="H577" s="74"/>
      <c r="I577" s="70"/>
      <c r="J577" s="70"/>
      <c r="K577" s="70"/>
      <c r="L577" s="74"/>
      <c r="M577" s="123"/>
      <c r="N577" s="73"/>
      <c r="O577" s="236"/>
      <c r="P577" s="117"/>
      <c r="Q577" s="117"/>
      <c r="R577" s="156" t="str">
        <f>IF(Table111[[#This Row],[Qty]]="","",Table111[[#This Row],[Qty]]*Table111[[#This Row],[Unit Price]])</f>
        <v/>
      </c>
      <c r="S577" s="156" t="str">
        <f>IF(Table111[[#This Row],[Qty]]="","",Table111[[#This Row],[Qty]]*Table111[[#This Row],[Unit Price]]+Table111[[#This Row],[Delivery Cost]])</f>
        <v/>
      </c>
      <c r="T577" s="72"/>
      <c r="U577" s="72"/>
      <c r="V577" s="72"/>
      <c r="W577" s="219"/>
      <c r="X577" s="63" t="str">
        <f t="shared" si="24"/>
        <v/>
      </c>
      <c r="Y577" s="63" t="str">
        <f t="shared" si="25"/>
        <v/>
      </c>
      <c r="Z577" s="63" t="str">
        <f t="shared" si="26"/>
        <v/>
      </c>
      <c r="AA577" s="63" t="str">
        <f>TEXT(Table111[[#This Row],[YEAR]],"0000")&amp;"-"&amp;Table111[[#This Row],[MONTH]]</f>
        <v>-</v>
      </c>
    </row>
    <row r="578" spans="2:27" x14ac:dyDescent="0.3">
      <c r="B578" s="183"/>
      <c r="C578" s="183"/>
      <c r="D578" s="68"/>
      <c r="E578" s="71"/>
      <c r="F578" s="72"/>
      <c r="G578" s="70"/>
      <c r="H578" s="74"/>
      <c r="I578" s="70"/>
      <c r="J578" s="70"/>
      <c r="K578" s="70"/>
      <c r="L578" s="74"/>
      <c r="M578" s="123"/>
      <c r="N578" s="73"/>
      <c r="O578" s="236"/>
      <c r="P578" s="117"/>
      <c r="Q578" s="117"/>
      <c r="R578" s="156" t="str">
        <f>IF(Table111[[#This Row],[Qty]]="","",Table111[[#This Row],[Qty]]*Table111[[#This Row],[Unit Price]])</f>
        <v/>
      </c>
      <c r="S578" s="156" t="str">
        <f>IF(Table111[[#This Row],[Qty]]="","",Table111[[#This Row],[Qty]]*Table111[[#This Row],[Unit Price]]+Table111[[#This Row],[Delivery Cost]])</f>
        <v/>
      </c>
      <c r="T578" s="72"/>
      <c r="U578" s="72"/>
      <c r="V578" s="72"/>
      <c r="W578" s="65"/>
      <c r="X578" s="63" t="str">
        <f t="shared" si="24"/>
        <v/>
      </c>
      <c r="Y578" s="63" t="str">
        <f t="shared" si="25"/>
        <v/>
      </c>
      <c r="Z578" s="63" t="str">
        <f t="shared" si="26"/>
        <v/>
      </c>
      <c r="AA578" s="63" t="str">
        <f>TEXT(Table111[[#This Row],[YEAR]],"0000")&amp;"-"&amp;Table111[[#This Row],[MONTH]]</f>
        <v>-</v>
      </c>
    </row>
    <row r="579" spans="2:27" x14ac:dyDescent="0.3">
      <c r="B579" s="68"/>
      <c r="C579" s="68"/>
      <c r="D579" s="183"/>
      <c r="E579" s="71"/>
      <c r="F579" s="72"/>
      <c r="G579" s="70"/>
      <c r="H579" s="74"/>
      <c r="I579" s="70"/>
      <c r="J579" s="70"/>
      <c r="K579" s="70"/>
      <c r="L579" s="74"/>
      <c r="M579" s="123"/>
      <c r="N579" s="73"/>
      <c r="O579" s="236"/>
      <c r="P579" s="117"/>
      <c r="Q579" s="117"/>
      <c r="R579" s="156" t="str">
        <f>IF(Table111[[#This Row],[Qty]]="","",Table111[[#This Row],[Qty]]*Table111[[#This Row],[Unit Price]])</f>
        <v/>
      </c>
      <c r="S579" s="156" t="str">
        <f>IF(Table111[[#This Row],[Qty]]="","",Table111[[#This Row],[Qty]]*Table111[[#This Row],[Unit Price]]+Table111[[#This Row],[Delivery Cost]])</f>
        <v/>
      </c>
      <c r="T579" s="72"/>
      <c r="U579" s="72"/>
      <c r="V579" s="72"/>
      <c r="W579" s="219"/>
      <c r="X579" s="63" t="str">
        <f t="shared" ref="X579:X642" si="27">IF(E579=0,"",YEAR(E579))</f>
        <v/>
      </c>
      <c r="Y579" s="63" t="str">
        <f t="shared" ref="Y579:Y642" si="28">IF(E579=0,"",MONTH(E579))</f>
        <v/>
      </c>
      <c r="Z579" s="63" t="str">
        <f t="shared" ref="Z579:Z642" si="29">IF(E579=0,"",WEEKNUM(E579))</f>
        <v/>
      </c>
      <c r="AA579" s="63" t="str">
        <f>TEXT(Table111[[#This Row],[YEAR]],"0000")&amp;"-"&amp;Table111[[#This Row],[MONTH]]</f>
        <v>-</v>
      </c>
    </row>
    <row r="580" spans="2:27" x14ac:dyDescent="0.3">
      <c r="B580" s="183"/>
      <c r="C580" s="183"/>
      <c r="D580" s="183"/>
      <c r="E580" s="71"/>
      <c r="F580" s="72"/>
      <c r="G580" s="70"/>
      <c r="H580" s="74"/>
      <c r="I580" s="70"/>
      <c r="J580" s="70"/>
      <c r="K580" s="70"/>
      <c r="L580" s="74"/>
      <c r="M580" s="123"/>
      <c r="N580" s="73"/>
      <c r="O580" s="236"/>
      <c r="P580" s="117"/>
      <c r="Q580" s="117"/>
      <c r="R580" s="156" t="str">
        <f>IF(Table111[[#This Row],[Qty]]="","",Table111[[#This Row],[Qty]]*Table111[[#This Row],[Unit Price]])</f>
        <v/>
      </c>
      <c r="S580" s="156" t="str">
        <f>IF(Table111[[#This Row],[Qty]]="","",Table111[[#This Row],[Qty]]*Table111[[#This Row],[Unit Price]]+Table111[[#This Row],[Delivery Cost]])</f>
        <v/>
      </c>
      <c r="T580" s="72"/>
      <c r="U580" s="72"/>
      <c r="V580" s="72"/>
      <c r="W580" s="65"/>
      <c r="X580" s="63" t="str">
        <f t="shared" si="27"/>
        <v/>
      </c>
      <c r="Y580" s="63" t="str">
        <f t="shared" si="28"/>
        <v/>
      </c>
      <c r="Z580" s="63" t="str">
        <f t="shared" si="29"/>
        <v/>
      </c>
      <c r="AA580" s="63" t="str">
        <f>TEXT(Table111[[#This Row],[YEAR]],"0000")&amp;"-"&amp;Table111[[#This Row],[MONTH]]</f>
        <v>-</v>
      </c>
    </row>
    <row r="581" spans="2:27" x14ac:dyDescent="0.3">
      <c r="B581" s="183"/>
      <c r="C581" s="183"/>
      <c r="D581" s="183"/>
      <c r="E581" s="71"/>
      <c r="F581" s="72"/>
      <c r="G581" s="70"/>
      <c r="H581" s="74"/>
      <c r="I581" s="70"/>
      <c r="J581" s="70"/>
      <c r="K581" s="70"/>
      <c r="L581" s="74"/>
      <c r="M581" s="123"/>
      <c r="N581" s="73"/>
      <c r="O581" s="236"/>
      <c r="P581" s="117"/>
      <c r="Q581" s="117"/>
      <c r="R581" s="156" t="str">
        <f>IF(Table111[[#This Row],[Qty]]="","",Table111[[#This Row],[Qty]]*Table111[[#This Row],[Unit Price]])</f>
        <v/>
      </c>
      <c r="S581" s="156" t="str">
        <f>IF(Table111[[#This Row],[Qty]]="","",Table111[[#This Row],[Qty]]*Table111[[#This Row],[Unit Price]]+Table111[[#This Row],[Delivery Cost]])</f>
        <v/>
      </c>
      <c r="T581" s="72"/>
      <c r="U581" s="72"/>
      <c r="V581" s="72"/>
      <c r="W581" s="16"/>
      <c r="X581" s="63" t="str">
        <f t="shared" si="27"/>
        <v/>
      </c>
      <c r="Y581" s="63" t="str">
        <f t="shared" si="28"/>
        <v/>
      </c>
      <c r="Z581" s="63" t="str">
        <f t="shared" si="29"/>
        <v/>
      </c>
      <c r="AA581" s="63" t="str">
        <f>TEXT(Table111[[#This Row],[YEAR]],"0000")&amp;"-"&amp;Table111[[#This Row],[MONTH]]</f>
        <v>-</v>
      </c>
    </row>
    <row r="582" spans="2:27" x14ac:dyDescent="0.3">
      <c r="B582" s="183"/>
      <c r="C582" s="183"/>
      <c r="D582" s="183"/>
      <c r="E582" s="71"/>
      <c r="F582" s="72"/>
      <c r="G582" s="70"/>
      <c r="H582" s="74"/>
      <c r="I582" s="70"/>
      <c r="J582" s="70"/>
      <c r="K582" s="70"/>
      <c r="L582" s="74"/>
      <c r="M582" s="123"/>
      <c r="N582" s="73"/>
      <c r="O582" s="236"/>
      <c r="P582" s="117"/>
      <c r="Q582" s="117"/>
      <c r="R582" s="156" t="str">
        <f>IF(Table111[[#This Row],[Qty]]="","",Table111[[#This Row],[Qty]]*Table111[[#This Row],[Unit Price]])</f>
        <v/>
      </c>
      <c r="S582" s="156" t="str">
        <f>IF(Table111[[#This Row],[Qty]]="","",Table111[[#This Row],[Qty]]*Table111[[#This Row],[Unit Price]]+Table111[[#This Row],[Delivery Cost]])</f>
        <v/>
      </c>
      <c r="T582" s="72"/>
      <c r="U582" s="72"/>
      <c r="V582" s="72"/>
      <c r="W582" s="65"/>
      <c r="X582" s="63" t="str">
        <f t="shared" si="27"/>
        <v/>
      </c>
      <c r="Y582" s="63" t="str">
        <f t="shared" si="28"/>
        <v/>
      </c>
      <c r="Z582" s="63" t="str">
        <f t="shared" si="29"/>
        <v/>
      </c>
      <c r="AA582" s="63" t="str">
        <f>TEXT(Table111[[#This Row],[YEAR]],"0000")&amp;"-"&amp;Table111[[#This Row],[MONTH]]</f>
        <v>-</v>
      </c>
    </row>
    <row r="583" spans="2:27" x14ac:dyDescent="0.3">
      <c r="B583" s="68"/>
      <c r="C583" s="68"/>
      <c r="D583" s="68"/>
      <c r="E583" s="71"/>
      <c r="F583" s="72"/>
      <c r="G583" s="70"/>
      <c r="H583" s="74"/>
      <c r="I583" s="70"/>
      <c r="J583" s="70"/>
      <c r="K583" s="70"/>
      <c r="L583" s="74"/>
      <c r="M583" s="123"/>
      <c r="N583" s="73"/>
      <c r="O583" s="236"/>
      <c r="P583" s="117"/>
      <c r="Q583" s="117"/>
      <c r="R583" s="156" t="str">
        <f>IF(Table111[[#This Row],[Qty]]="","",Table111[[#This Row],[Qty]]*Table111[[#This Row],[Unit Price]])</f>
        <v/>
      </c>
      <c r="S583" s="156" t="str">
        <f>IF(Table111[[#This Row],[Qty]]="","",Table111[[#This Row],[Qty]]*Table111[[#This Row],[Unit Price]]+Table111[[#This Row],[Delivery Cost]])</f>
        <v/>
      </c>
      <c r="T583" s="72"/>
      <c r="U583" s="72"/>
      <c r="V583" s="72"/>
      <c r="W583" s="219"/>
      <c r="X583" s="63" t="str">
        <f t="shared" si="27"/>
        <v/>
      </c>
      <c r="Y583" s="63" t="str">
        <f t="shared" si="28"/>
        <v/>
      </c>
      <c r="Z583" s="63" t="str">
        <f t="shared" si="29"/>
        <v/>
      </c>
      <c r="AA583" s="63" t="str">
        <f>TEXT(Table111[[#This Row],[YEAR]],"0000")&amp;"-"&amp;Table111[[#This Row],[MONTH]]</f>
        <v>-</v>
      </c>
    </row>
    <row r="584" spans="2:27" x14ac:dyDescent="0.3">
      <c r="B584" s="183"/>
      <c r="C584" s="183"/>
      <c r="D584" s="183"/>
      <c r="E584" s="71"/>
      <c r="F584" s="72"/>
      <c r="G584" s="70"/>
      <c r="H584" s="74"/>
      <c r="I584" s="70"/>
      <c r="J584" s="70"/>
      <c r="K584" s="70"/>
      <c r="L584" s="74"/>
      <c r="M584" s="123"/>
      <c r="N584" s="73"/>
      <c r="O584" s="236"/>
      <c r="P584" s="117"/>
      <c r="Q584" s="117"/>
      <c r="R584" s="156" t="str">
        <f>IF(Table111[[#This Row],[Qty]]="","",Table111[[#This Row],[Qty]]*Table111[[#This Row],[Unit Price]])</f>
        <v/>
      </c>
      <c r="S584" s="156" t="str">
        <f>IF(Table111[[#This Row],[Qty]]="","",Table111[[#This Row],[Qty]]*Table111[[#This Row],[Unit Price]]+Table111[[#This Row],[Delivery Cost]])</f>
        <v/>
      </c>
      <c r="T584" s="72"/>
      <c r="U584" s="72"/>
      <c r="V584" s="72"/>
      <c r="W584" s="65"/>
      <c r="X584" s="63" t="str">
        <f t="shared" si="27"/>
        <v/>
      </c>
      <c r="Y584" s="63" t="str">
        <f t="shared" si="28"/>
        <v/>
      </c>
      <c r="Z584" s="63" t="str">
        <f t="shared" si="29"/>
        <v/>
      </c>
      <c r="AA584" s="63" t="str">
        <f>TEXT(Table111[[#This Row],[YEAR]],"0000")&amp;"-"&amp;Table111[[#This Row],[MONTH]]</f>
        <v>-</v>
      </c>
    </row>
    <row r="585" spans="2:27" x14ac:dyDescent="0.3">
      <c r="B585" s="68"/>
      <c r="C585" s="68"/>
      <c r="D585" s="68"/>
      <c r="E585" s="71"/>
      <c r="F585" s="72"/>
      <c r="G585" s="70"/>
      <c r="H585" s="74"/>
      <c r="I585" s="70"/>
      <c r="J585" s="70"/>
      <c r="K585" s="70"/>
      <c r="L585" s="74"/>
      <c r="M585" s="123"/>
      <c r="N585" s="73"/>
      <c r="O585" s="236"/>
      <c r="P585" s="196"/>
      <c r="Q585" s="117"/>
      <c r="R585" s="156" t="str">
        <f>IF(Table111[[#This Row],[Qty]]="","",Table111[[#This Row],[Qty]]*Table111[[#This Row],[Unit Price]])</f>
        <v/>
      </c>
      <c r="S585" s="156" t="str">
        <f>IF(Table111[[#This Row],[Qty]]="","",Table111[[#This Row],[Qty]]*Table111[[#This Row],[Unit Price]]+Table111[[#This Row],[Delivery Cost]])</f>
        <v/>
      </c>
      <c r="T585" s="72"/>
      <c r="U585" s="72"/>
      <c r="V585" s="72"/>
      <c r="W585" s="219"/>
      <c r="X585" s="63" t="str">
        <f t="shared" si="27"/>
        <v/>
      </c>
      <c r="Y585" s="63" t="str">
        <f t="shared" si="28"/>
        <v/>
      </c>
      <c r="Z585" s="63" t="str">
        <f t="shared" si="29"/>
        <v/>
      </c>
      <c r="AA585" s="63" t="str">
        <f>TEXT(Table111[[#This Row],[YEAR]],"0000")&amp;"-"&amp;Table111[[#This Row],[MONTH]]</f>
        <v>-</v>
      </c>
    </row>
    <row r="586" spans="2:27" x14ac:dyDescent="0.3">
      <c r="B586" s="183"/>
      <c r="C586" s="183"/>
      <c r="D586" s="68"/>
      <c r="E586" s="71"/>
      <c r="F586" s="72"/>
      <c r="G586" s="70"/>
      <c r="H586" s="74"/>
      <c r="I586" s="70"/>
      <c r="J586" s="70"/>
      <c r="K586" s="70"/>
      <c r="L586" s="74"/>
      <c r="M586" s="123"/>
      <c r="N586" s="73"/>
      <c r="O586" s="236"/>
      <c r="P586" s="196"/>
      <c r="Q586" s="117"/>
      <c r="R586" s="156" t="str">
        <f>IF(Table111[[#This Row],[Qty]]="","",Table111[[#This Row],[Qty]]*Table111[[#This Row],[Unit Price]])</f>
        <v/>
      </c>
      <c r="S586" s="156" t="str">
        <f>IF(Table111[[#This Row],[Qty]]="","",Table111[[#This Row],[Qty]]*Table111[[#This Row],[Unit Price]]+Table111[[#This Row],[Delivery Cost]])</f>
        <v/>
      </c>
      <c r="T586" s="72"/>
      <c r="U586" s="72"/>
      <c r="V586" s="72"/>
      <c r="W586" s="65"/>
      <c r="X586" s="63" t="str">
        <f t="shared" si="27"/>
        <v/>
      </c>
      <c r="Y586" s="63" t="str">
        <f t="shared" si="28"/>
        <v/>
      </c>
      <c r="Z586" s="63" t="str">
        <f t="shared" si="29"/>
        <v/>
      </c>
      <c r="AA586" s="63" t="str">
        <f>TEXT(Table111[[#This Row],[YEAR]],"0000")&amp;"-"&amp;Table111[[#This Row],[MONTH]]</f>
        <v>-</v>
      </c>
    </row>
    <row r="587" spans="2:27" x14ac:dyDescent="0.3">
      <c r="B587" s="68"/>
      <c r="C587" s="68"/>
      <c r="D587" s="68"/>
      <c r="E587" s="71"/>
      <c r="F587" s="72"/>
      <c r="G587" s="70"/>
      <c r="H587" s="74"/>
      <c r="I587" s="70"/>
      <c r="J587" s="70"/>
      <c r="K587" s="70"/>
      <c r="L587" s="74"/>
      <c r="M587" s="123"/>
      <c r="N587" s="73"/>
      <c r="O587" s="236"/>
      <c r="P587" s="196"/>
      <c r="Q587" s="117"/>
      <c r="R587" s="156" t="str">
        <f>IF(Table111[[#This Row],[Qty]]="","",Table111[[#This Row],[Qty]]*Table111[[#This Row],[Unit Price]])</f>
        <v/>
      </c>
      <c r="S587" s="156" t="str">
        <f>IF(Table111[[#This Row],[Qty]]="","",Table111[[#This Row],[Qty]]*Table111[[#This Row],[Unit Price]]+Table111[[#This Row],[Delivery Cost]])</f>
        <v/>
      </c>
      <c r="T587" s="72"/>
      <c r="U587" s="72"/>
      <c r="V587" s="72"/>
      <c r="W587" s="219"/>
      <c r="X587" s="63" t="str">
        <f t="shared" si="27"/>
        <v/>
      </c>
      <c r="Y587" s="63" t="str">
        <f t="shared" si="28"/>
        <v/>
      </c>
      <c r="Z587" s="63" t="str">
        <f t="shared" si="29"/>
        <v/>
      </c>
      <c r="AA587" s="63" t="str">
        <f>TEXT(Table111[[#This Row],[YEAR]],"0000")&amp;"-"&amp;Table111[[#This Row],[MONTH]]</f>
        <v>-</v>
      </c>
    </row>
    <row r="588" spans="2:27" x14ac:dyDescent="0.3">
      <c r="B588" s="183"/>
      <c r="C588" s="183"/>
      <c r="D588" s="68"/>
      <c r="E588" s="71"/>
      <c r="F588" s="72"/>
      <c r="G588" s="70"/>
      <c r="H588" s="74"/>
      <c r="I588" s="70"/>
      <c r="J588" s="70"/>
      <c r="K588" s="70"/>
      <c r="L588" s="74"/>
      <c r="M588" s="123"/>
      <c r="N588" s="73"/>
      <c r="O588" s="236"/>
      <c r="P588" s="196"/>
      <c r="Q588" s="117"/>
      <c r="R588" s="156" t="str">
        <f>IF(Table111[[#This Row],[Qty]]="","",Table111[[#This Row],[Qty]]*Table111[[#This Row],[Unit Price]])</f>
        <v/>
      </c>
      <c r="S588" s="156" t="str">
        <f>IF(Table111[[#This Row],[Qty]]="","",Table111[[#This Row],[Qty]]*Table111[[#This Row],[Unit Price]]+Table111[[#This Row],[Delivery Cost]])</f>
        <v/>
      </c>
      <c r="T588" s="72"/>
      <c r="U588" s="72"/>
      <c r="V588" s="72"/>
      <c r="W588" s="65"/>
      <c r="X588" s="63" t="str">
        <f t="shared" si="27"/>
        <v/>
      </c>
      <c r="Y588" s="63" t="str">
        <f t="shared" si="28"/>
        <v/>
      </c>
      <c r="Z588" s="63" t="str">
        <f t="shared" si="29"/>
        <v/>
      </c>
      <c r="AA588" s="63" t="str">
        <f>TEXT(Table111[[#This Row],[YEAR]],"0000")&amp;"-"&amp;Table111[[#This Row],[MONTH]]</f>
        <v>-</v>
      </c>
    </row>
    <row r="589" spans="2:27" x14ac:dyDescent="0.3">
      <c r="B589" s="68"/>
      <c r="C589" s="68"/>
      <c r="D589" s="68"/>
      <c r="E589" s="71"/>
      <c r="F589" s="72"/>
      <c r="G589" s="70"/>
      <c r="H589" s="74"/>
      <c r="I589" s="70"/>
      <c r="J589" s="70"/>
      <c r="K589" s="70"/>
      <c r="L589" s="74"/>
      <c r="M589" s="123"/>
      <c r="N589" s="73"/>
      <c r="O589" s="236"/>
      <c r="P589" s="196"/>
      <c r="Q589" s="117"/>
      <c r="R589" s="156" t="str">
        <f>IF(Table111[[#This Row],[Qty]]="","",Table111[[#This Row],[Qty]]*Table111[[#This Row],[Unit Price]])</f>
        <v/>
      </c>
      <c r="S589" s="156" t="str">
        <f>IF(Table111[[#This Row],[Qty]]="","",Table111[[#This Row],[Qty]]*Table111[[#This Row],[Unit Price]]+Table111[[#This Row],[Delivery Cost]])</f>
        <v/>
      </c>
      <c r="T589" s="72"/>
      <c r="U589" s="72"/>
      <c r="V589" s="72"/>
      <c r="W589" s="219"/>
      <c r="X589" s="63" t="str">
        <f t="shared" si="27"/>
        <v/>
      </c>
      <c r="Y589" s="63" t="str">
        <f t="shared" si="28"/>
        <v/>
      </c>
      <c r="Z589" s="63" t="str">
        <f t="shared" si="29"/>
        <v/>
      </c>
      <c r="AA589" s="63" t="str">
        <f>TEXT(Table111[[#This Row],[YEAR]],"0000")&amp;"-"&amp;Table111[[#This Row],[MONTH]]</f>
        <v>-</v>
      </c>
    </row>
    <row r="590" spans="2:27" x14ac:dyDescent="0.3">
      <c r="B590" s="183"/>
      <c r="C590" s="183"/>
      <c r="D590" s="183"/>
      <c r="E590" s="71"/>
      <c r="F590" s="72"/>
      <c r="G590" s="70"/>
      <c r="H590" s="74"/>
      <c r="I590" s="70"/>
      <c r="J590" s="70"/>
      <c r="K590" s="70"/>
      <c r="L590" s="74"/>
      <c r="M590" s="123"/>
      <c r="N590" s="73"/>
      <c r="O590" s="236"/>
      <c r="P590" s="196"/>
      <c r="Q590" s="117"/>
      <c r="R590" s="156" t="str">
        <f>IF(Table111[[#This Row],[Qty]]="","",Table111[[#This Row],[Qty]]*Table111[[#This Row],[Unit Price]])</f>
        <v/>
      </c>
      <c r="S590" s="156" t="str">
        <f>IF(Table111[[#This Row],[Qty]]="","",Table111[[#This Row],[Qty]]*Table111[[#This Row],[Unit Price]]+Table111[[#This Row],[Delivery Cost]])</f>
        <v/>
      </c>
      <c r="T590" s="72"/>
      <c r="U590" s="72"/>
      <c r="V590" s="72"/>
      <c r="W590" s="65"/>
      <c r="X590" s="63" t="str">
        <f t="shared" si="27"/>
        <v/>
      </c>
      <c r="Y590" s="63" t="str">
        <f t="shared" si="28"/>
        <v/>
      </c>
      <c r="Z590" s="63" t="str">
        <f t="shared" si="29"/>
        <v/>
      </c>
      <c r="AA590" s="63" t="str">
        <f>TEXT(Table111[[#This Row],[YEAR]],"0000")&amp;"-"&amp;Table111[[#This Row],[MONTH]]</f>
        <v>-</v>
      </c>
    </row>
    <row r="591" spans="2:27" x14ac:dyDescent="0.3">
      <c r="B591" s="68"/>
      <c r="C591" s="68"/>
      <c r="D591" s="183"/>
      <c r="E591" s="71"/>
      <c r="F591" s="72"/>
      <c r="G591" s="70"/>
      <c r="H591" s="74"/>
      <c r="I591" s="70"/>
      <c r="J591" s="70"/>
      <c r="K591" s="70"/>
      <c r="L591" s="74"/>
      <c r="M591" s="123"/>
      <c r="N591" s="73"/>
      <c r="O591" s="236"/>
      <c r="P591" s="196"/>
      <c r="Q591" s="117"/>
      <c r="R591" s="156" t="str">
        <f>IF(Table111[[#This Row],[Qty]]="","",Table111[[#This Row],[Qty]]*Table111[[#This Row],[Unit Price]])</f>
        <v/>
      </c>
      <c r="S591" s="156" t="str">
        <f>IF(Table111[[#This Row],[Qty]]="","",Table111[[#This Row],[Qty]]*Table111[[#This Row],[Unit Price]]+Table111[[#This Row],[Delivery Cost]])</f>
        <v/>
      </c>
      <c r="T591" s="72"/>
      <c r="U591" s="72"/>
      <c r="V591" s="72"/>
      <c r="W591" s="219"/>
      <c r="X591" s="63" t="str">
        <f t="shared" si="27"/>
        <v/>
      </c>
      <c r="Y591" s="63" t="str">
        <f t="shared" si="28"/>
        <v/>
      </c>
      <c r="Z591" s="63" t="str">
        <f t="shared" si="29"/>
        <v/>
      </c>
      <c r="AA591" s="63" t="str">
        <f>TEXT(Table111[[#This Row],[YEAR]],"0000")&amp;"-"&amp;Table111[[#This Row],[MONTH]]</f>
        <v>-</v>
      </c>
    </row>
    <row r="592" spans="2:27" x14ac:dyDescent="0.3">
      <c r="B592" s="183"/>
      <c r="C592" s="183"/>
      <c r="D592" s="183"/>
      <c r="E592" s="71"/>
      <c r="F592" s="72"/>
      <c r="G592" s="70"/>
      <c r="H592" s="74"/>
      <c r="I592" s="70"/>
      <c r="J592" s="70"/>
      <c r="K592" s="70"/>
      <c r="L592" s="74"/>
      <c r="M592" s="123"/>
      <c r="N592" s="73"/>
      <c r="O592" s="236"/>
      <c r="P592" s="117"/>
      <c r="Q592" s="117"/>
      <c r="R592" s="156" t="str">
        <f>IF(Table111[[#This Row],[Qty]]="","",Table111[[#This Row],[Qty]]*Table111[[#This Row],[Unit Price]])</f>
        <v/>
      </c>
      <c r="S592" s="156" t="str">
        <f>IF(Table111[[#This Row],[Qty]]="","",Table111[[#This Row],[Qty]]*Table111[[#This Row],[Unit Price]]+Table111[[#This Row],[Delivery Cost]])</f>
        <v/>
      </c>
      <c r="T592" s="72"/>
      <c r="U592" s="72"/>
      <c r="V592" s="72"/>
      <c r="W592" s="65"/>
      <c r="X592" s="63" t="str">
        <f t="shared" si="27"/>
        <v/>
      </c>
      <c r="Y592" s="63" t="str">
        <f t="shared" si="28"/>
        <v/>
      </c>
      <c r="Z592" s="63" t="str">
        <f t="shared" si="29"/>
        <v/>
      </c>
      <c r="AA592" s="63" t="str">
        <f>TEXT(Table111[[#This Row],[YEAR]],"0000")&amp;"-"&amp;Table111[[#This Row],[MONTH]]</f>
        <v>-</v>
      </c>
    </row>
    <row r="593" spans="2:27" x14ac:dyDescent="0.3">
      <c r="B593" s="68"/>
      <c r="C593" s="68"/>
      <c r="D593" s="68"/>
      <c r="E593" s="71"/>
      <c r="F593" s="72"/>
      <c r="G593" s="70"/>
      <c r="H593" s="74"/>
      <c r="I593" s="70"/>
      <c r="J593" s="70"/>
      <c r="K593" s="70"/>
      <c r="L593" s="74"/>
      <c r="M593" s="123"/>
      <c r="N593" s="73"/>
      <c r="O593" s="236"/>
      <c r="P593" s="117"/>
      <c r="Q593" s="117"/>
      <c r="R593" s="156" t="str">
        <f>IF(Table111[[#This Row],[Qty]]="","",Table111[[#This Row],[Qty]]*Table111[[#This Row],[Unit Price]])</f>
        <v/>
      </c>
      <c r="S593" s="156" t="str">
        <f>IF(Table111[[#This Row],[Qty]]="","",Table111[[#This Row],[Qty]]*Table111[[#This Row],[Unit Price]]+Table111[[#This Row],[Delivery Cost]])</f>
        <v/>
      </c>
      <c r="T593" s="72"/>
      <c r="U593" s="72"/>
      <c r="V593" s="72"/>
      <c r="W593" s="219"/>
      <c r="X593" s="63" t="str">
        <f t="shared" si="27"/>
        <v/>
      </c>
      <c r="Y593" s="63" t="str">
        <f t="shared" si="28"/>
        <v/>
      </c>
      <c r="Z593" s="63" t="str">
        <f t="shared" si="29"/>
        <v/>
      </c>
      <c r="AA593" s="63" t="str">
        <f>TEXT(Table111[[#This Row],[YEAR]],"0000")&amp;"-"&amp;Table111[[#This Row],[MONTH]]</f>
        <v>-</v>
      </c>
    </row>
    <row r="594" spans="2:27" x14ac:dyDescent="0.3">
      <c r="B594" s="183"/>
      <c r="C594" s="183"/>
      <c r="D594" s="183"/>
      <c r="E594" s="71"/>
      <c r="F594" s="72"/>
      <c r="G594" s="70"/>
      <c r="H594" s="74"/>
      <c r="I594" s="70"/>
      <c r="J594" s="70"/>
      <c r="K594" s="70"/>
      <c r="L594" s="74"/>
      <c r="M594" s="123"/>
      <c r="N594" s="73"/>
      <c r="O594" s="236"/>
      <c r="P594" s="117"/>
      <c r="Q594" s="117"/>
      <c r="R594" s="156" t="str">
        <f>IF(Table111[[#This Row],[Qty]]="","",Table111[[#This Row],[Qty]]*Table111[[#This Row],[Unit Price]])</f>
        <v/>
      </c>
      <c r="S594" s="156" t="str">
        <f>IF(Table111[[#This Row],[Qty]]="","",Table111[[#This Row],[Qty]]*Table111[[#This Row],[Unit Price]]+Table111[[#This Row],[Delivery Cost]])</f>
        <v/>
      </c>
      <c r="T594" s="72"/>
      <c r="U594" s="72"/>
      <c r="V594" s="72"/>
      <c r="W594" s="65"/>
      <c r="X594" s="63" t="str">
        <f t="shared" si="27"/>
        <v/>
      </c>
      <c r="Y594" s="63" t="str">
        <f t="shared" si="28"/>
        <v/>
      </c>
      <c r="Z594" s="63" t="str">
        <f t="shared" si="29"/>
        <v/>
      </c>
      <c r="AA594" s="63" t="str">
        <f>TEXT(Table111[[#This Row],[YEAR]],"0000")&amp;"-"&amp;Table111[[#This Row],[MONTH]]</f>
        <v>-</v>
      </c>
    </row>
    <row r="595" spans="2:27" x14ac:dyDescent="0.3">
      <c r="B595" s="68"/>
      <c r="C595" s="68"/>
      <c r="D595" s="68"/>
      <c r="E595" s="71"/>
      <c r="F595" s="72"/>
      <c r="G595" s="70"/>
      <c r="H595" s="74"/>
      <c r="I595" s="70"/>
      <c r="J595" s="70"/>
      <c r="K595" s="70"/>
      <c r="L595" s="74"/>
      <c r="M595" s="123"/>
      <c r="N595" s="73"/>
      <c r="O595" s="236"/>
      <c r="P595" s="117"/>
      <c r="Q595" s="117"/>
      <c r="R595" s="156" t="str">
        <f>IF(Table111[[#This Row],[Qty]]="","",Table111[[#This Row],[Qty]]*Table111[[#This Row],[Unit Price]])</f>
        <v/>
      </c>
      <c r="S595" s="156" t="str">
        <f>IF(Table111[[#This Row],[Qty]]="","",Table111[[#This Row],[Qty]]*Table111[[#This Row],[Unit Price]]+Table111[[#This Row],[Delivery Cost]])</f>
        <v/>
      </c>
      <c r="T595" s="72"/>
      <c r="U595" s="72"/>
      <c r="V595" s="72"/>
      <c r="W595" s="219"/>
      <c r="X595" s="63" t="str">
        <f t="shared" si="27"/>
        <v/>
      </c>
      <c r="Y595" s="63" t="str">
        <f t="shared" si="28"/>
        <v/>
      </c>
      <c r="Z595" s="63" t="str">
        <f t="shared" si="29"/>
        <v/>
      </c>
      <c r="AA595" s="63" t="str">
        <f>TEXT(Table111[[#This Row],[YEAR]],"0000")&amp;"-"&amp;Table111[[#This Row],[MONTH]]</f>
        <v>-</v>
      </c>
    </row>
    <row r="596" spans="2:27" x14ac:dyDescent="0.3">
      <c r="B596" s="183"/>
      <c r="C596" s="183"/>
      <c r="D596" s="183"/>
      <c r="E596" s="71"/>
      <c r="F596" s="72"/>
      <c r="G596" s="70"/>
      <c r="H596" s="74"/>
      <c r="I596" s="70"/>
      <c r="J596" s="70"/>
      <c r="K596" s="70"/>
      <c r="L596" s="74"/>
      <c r="M596" s="123"/>
      <c r="N596" s="73"/>
      <c r="O596" s="236"/>
      <c r="P596" s="117"/>
      <c r="Q596" s="117"/>
      <c r="R596" s="156" t="str">
        <f>IF(Table111[[#This Row],[Qty]]="","",Table111[[#This Row],[Qty]]*Table111[[#This Row],[Unit Price]])</f>
        <v/>
      </c>
      <c r="S596" s="156" t="str">
        <f>IF(Table111[[#This Row],[Qty]]="","",Table111[[#This Row],[Qty]]*Table111[[#This Row],[Unit Price]]+Table111[[#This Row],[Delivery Cost]])</f>
        <v/>
      </c>
      <c r="T596" s="72"/>
      <c r="U596" s="72"/>
      <c r="V596" s="72"/>
      <c r="W596" s="65"/>
      <c r="X596" s="63" t="str">
        <f t="shared" si="27"/>
        <v/>
      </c>
      <c r="Y596" s="63" t="str">
        <f t="shared" si="28"/>
        <v/>
      </c>
      <c r="Z596" s="63" t="str">
        <f t="shared" si="29"/>
        <v/>
      </c>
      <c r="AA596" s="63" t="str">
        <f>TEXT(Table111[[#This Row],[YEAR]],"0000")&amp;"-"&amp;Table111[[#This Row],[MONTH]]</f>
        <v>-</v>
      </c>
    </row>
    <row r="597" spans="2:27" x14ac:dyDescent="0.3">
      <c r="B597" s="68"/>
      <c r="C597" s="68"/>
      <c r="D597" s="68"/>
      <c r="E597" s="71"/>
      <c r="F597" s="72"/>
      <c r="G597" s="70"/>
      <c r="H597" s="74"/>
      <c r="I597" s="70"/>
      <c r="J597" s="70"/>
      <c r="K597" s="70"/>
      <c r="L597" s="74"/>
      <c r="M597" s="123"/>
      <c r="N597" s="73"/>
      <c r="O597" s="236"/>
      <c r="P597" s="117"/>
      <c r="Q597" s="117"/>
      <c r="R597" s="156" t="str">
        <f>IF(Table111[[#This Row],[Qty]]="","",Table111[[#This Row],[Qty]]*Table111[[#This Row],[Unit Price]])</f>
        <v/>
      </c>
      <c r="S597" s="156" t="str">
        <f>IF(Table111[[#This Row],[Qty]]="","",Table111[[#This Row],[Qty]]*Table111[[#This Row],[Unit Price]]+Table111[[#This Row],[Delivery Cost]])</f>
        <v/>
      </c>
      <c r="T597" s="72"/>
      <c r="U597" s="72"/>
      <c r="V597" s="72"/>
      <c r="W597" s="219"/>
      <c r="X597" s="63" t="str">
        <f t="shared" si="27"/>
        <v/>
      </c>
      <c r="Y597" s="63" t="str">
        <f t="shared" si="28"/>
        <v/>
      </c>
      <c r="Z597" s="63" t="str">
        <f t="shared" si="29"/>
        <v/>
      </c>
      <c r="AA597" s="63" t="str">
        <f>TEXT(Table111[[#This Row],[YEAR]],"0000")&amp;"-"&amp;Table111[[#This Row],[MONTH]]</f>
        <v>-</v>
      </c>
    </row>
    <row r="598" spans="2:27" x14ac:dyDescent="0.3">
      <c r="B598" s="183"/>
      <c r="C598" s="183"/>
      <c r="D598" s="183"/>
      <c r="E598" s="71"/>
      <c r="F598" s="72"/>
      <c r="G598" s="70"/>
      <c r="H598" s="74"/>
      <c r="I598" s="70"/>
      <c r="J598" s="70"/>
      <c r="K598" s="70"/>
      <c r="L598" s="74"/>
      <c r="M598" s="123"/>
      <c r="N598" s="73"/>
      <c r="O598" s="236"/>
      <c r="P598" s="117"/>
      <c r="Q598" s="117"/>
      <c r="R598" s="156" t="str">
        <f>IF(Table111[[#This Row],[Qty]]="","",Table111[[#This Row],[Qty]]*Table111[[#This Row],[Unit Price]])</f>
        <v/>
      </c>
      <c r="S598" s="156" t="str">
        <f>IF(Table111[[#This Row],[Qty]]="","",Table111[[#This Row],[Qty]]*Table111[[#This Row],[Unit Price]]+Table111[[#This Row],[Delivery Cost]])</f>
        <v/>
      </c>
      <c r="T598" s="72"/>
      <c r="U598" s="72"/>
      <c r="V598" s="72"/>
      <c r="W598" s="65"/>
      <c r="X598" s="63" t="str">
        <f t="shared" si="27"/>
        <v/>
      </c>
      <c r="Y598" s="63" t="str">
        <f t="shared" si="28"/>
        <v/>
      </c>
      <c r="Z598" s="63" t="str">
        <f t="shared" si="29"/>
        <v/>
      </c>
      <c r="AA598" s="63" t="str">
        <f>TEXT(Table111[[#This Row],[YEAR]],"0000")&amp;"-"&amp;Table111[[#This Row],[MONTH]]</f>
        <v>-</v>
      </c>
    </row>
    <row r="599" spans="2:27" x14ac:dyDescent="0.3">
      <c r="B599" s="68"/>
      <c r="C599" s="68"/>
      <c r="D599" s="68"/>
      <c r="E599" s="71"/>
      <c r="F599" s="72"/>
      <c r="G599" s="70"/>
      <c r="H599" s="74"/>
      <c r="I599" s="70"/>
      <c r="J599" s="70"/>
      <c r="K599" s="70"/>
      <c r="L599" s="74"/>
      <c r="M599" s="123"/>
      <c r="N599" s="73"/>
      <c r="O599" s="236"/>
      <c r="P599" s="117"/>
      <c r="Q599" s="117"/>
      <c r="R599" s="156" t="str">
        <f>IF(Table111[[#This Row],[Qty]]="","",Table111[[#This Row],[Qty]]*Table111[[#This Row],[Unit Price]])</f>
        <v/>
      </c>
      <c r="S599" s="156" t="str">
        <f>IF(Table111[[#This Row],[Qty]]="","",Table111[[#This Row],[Qty]]*Table111[[#This Row],[Unit Price]]+Table111[[#This Row],[Delivery Cost]])</f>
        <v/>
      </c>
      <c r="T599" s="72"/>
      <c r="U599" s="72"/>
      <c r="V599" s="72"/>
      <c r="W599" s="219"/>
      <c r="X599" s="63" t="str">
        <f t="shared" si="27"/>
        <v/>
      </c>
      <c r="Y599" s="63" t="str">
        <f t="shared" si="28"/>
        <v/>
      </c>
      <c r="Z599" s="63" t="str">
        <f t="shared" si="29"/>
        <v/>
      </c>
      <c r="AA599" s="63" t="str">
        <f>TEXT(Table111[[#This Row],[YEAR]],"0000")&amp;"-"&amp;Table111[[#This Row],[MONTH]]</f>
        <v>-</v>
      </c>
    </row>
    <row r="600" spans="2:27" x14ac:dyDescent="0.3">
      <c r="B600" s="183"/>
      <c r="C600" s="183"/>
      <c r="D600" s="183"/>
      <c r="E600" s="71"/>
      <c r="F600" s="72"/>
      <c r="G600" s="70"/>
      <c r="H600" s="74"/>
      <c r="I600" s="70"/>
      <c r="J600" s="70"/>
      <c r="K600" s="70"/>
      <c r="L600" s="74"/>
      <c r="M600" s="123"/>
      <c r="N600" s="73"/>
      <c r="O600" s="236"/>
      <c r="P600" s="117"/>
      <c r="Q600" s="117"/>
      <c r="R600" s="156" t="str">
        <f>IF(Table111[[#This Row],[Qty]]="","",Table111[[#This Row],[Qty]]*Table111[[#This Row],[Unit Price]])</f>
        <v/>
      </c>
      <c r="S600" s="156" t="str">
        <f>IF(Table111[[#This Row],[Qty]]="","",Table111[[#This Row],[Qty]]*Table111[[#This Row],[Unit Price]]+Table111[[#This Row],[Delivery Cost]])</f>
        <v/>
      </c>
      <c r="T600" s="72"/>
      <c r="U600" s="72"/>
      <c r="V600" s="72"/>
      <c r="W600" s="65"/>
      <c r="X600" s="63" t="str">
        <f t="shared" si="27"/>
        <v/>
      </c>
      <c r="Y600" s="63" t="str">
        <f t="shared" si="28"/>
        <v/>
      </c>
      <c r="Z600" s="63" t="str">
        <f t="shared" si="29"/>
        <v/>
      </c>
      <c r="AA600" s="63" t="str">
        <f>TEXT(Table111[[#This Row],[YEAR]],"0000")&amp;"-"&amp;Table111[[#This Row],[MONTH]]</f>
        <v>-</v>
      </c>
    </row>
    <row r="601" spans="2:27" x14ac:dyDescent="0.3">
      <c r="B601" s="68"/>
      <c r="C601" s="68"/>
      <c r="D601" s="68"/>
      <c r="E601" s="71"/>
      <c r="F601" s="72"/>
      <c r="G601" s="70"/>
      <c r="H601" s="74"/>
      <c r="I601" s="70"/>
      <c r="J601" s="70"/>
      <c r="K601" s="70"/>
      <c r="L601" s="74"/>
      <c r="M601" s="123"/>
      <c r="N601" s="73"/>
      <c r="O601" s="236"/>
      <c r="P601" s="117"/>
      <c r="Q601" s="117"/>
      <c r="R601" s="156" t="str">
        <f>IF(Table111[[#This Row],[Qty]]="","",Table111[[#This Row],[Qty]]*Table111[[#This Row],[Unit Price]])</f>
        <v/>
      </c>
      <c r="S601" s="156" t="str">
        <f>IF(Table111[[#This Row],[Qty]]="","",Table111[[#This Row],[Qty]]*Table111[[#This Row],[Unit Price]]+Table111[[#This Row],[Delivery Cost]])</f>
        <v/>
      </c>
      <c r="T601" s="72"/>
      <c r="U601" s="72"/>
      <c r="V601" s="72"/>
      <c r="W601" s="219"/>
      <c r="X601" s="63" t="str">
        <f t="shared" si="27"/>
        <v/>
      </c>
      <c r="Y601" s="63" t="str">
        <f t="shared" si="28"/>
        <v/>
      </c>
      <c r="Z601" s="63" t="str">
        <f t="shared" si="29"/>
        <v/>
      </c>
      <c r="AA601" s="63" t="str">
        <f>TEXT(Table111[[#This Row],[YEAR]],"0000")&amp;"-"&amp;Table111[[#This Row],[MONTH]]</f>
        <v>-</v>
      </c>
    </row>
    <row r="602" spans="2:27" x14ac:dyDescent="0.3">
      <c r="B602" s="183"/>
      <c r="C602" s="183"/>
      <c r="D602" s="183"/>
      <c r="E602" s="71"/>
      <c r="F602" s="72"/>
      <c r="G602" s="70"/>
      <c r="H602" s="74"/>
      <c r="I602" s="70"/>
      <c r="J602" s="70"/>
      <c r="K602" s="70"/>
      <c r="L602" s="74"/>
      <c r="M602" s="123"/>
      <c r="N602" s="73"/>
      <c r="O602" s="236"/>
      <c r="P602" s="117"/>
      <c r="Q602" s="117"/>
      <c r="R602" s="156" t="str">
        <f>IF(Table111[[#This Row],[Qty]]="","",Table111[[#This Row],[Qty]]*Table111[[#This Row],[Unit Price]])</f>
        <v/>
      </c>
      <c r="S602" s="156" t="str">
        <f>IF(Table111[[#This Row],[Qty]]="","",Table111[[#This Row],[Qty]]*Table111[[#This Row],[Unit Price]]+Table111[[#This Row],[Delivery Cost]])</f>
        <v/>
      </c>
      <c r="T602" s="72"/>
      <c r="U602" s="72"/>
      <c r="V602" s="72"/>
      <c r="W602" s="65"/>
      <c r="X602" s="63" t="str">
        <f t="shared" si="27"/>
        <v/>
      </c>
      <c r="Y602" s="63" t="str">
        <f t="shared" si="28"/>
        <v/>
      </c>
      <c r="Z602" s="63" t="str">
        <f t="shared" si="29"/>
        <v/>
      </c>
      <c r="AA602" s="63" t="str">
        <f>TEXT(Table111[[#This Row],[YEAR]],"0000")&amp;"-"&amp;Table111[[#This Row],[MONTH]]</f>
        <v>-</v>
      </c>
    </row>
    <row r="603" spans="2:27" x14ac:dyDescent="0.3">
      <c r="B603" s="68"/>
      <c r="C603" s="68"/>
      <c r="D603" s="68"/>
      <c r="E603" s="71"/>
      <c r="F603" s="72"/>
      <c r="G603" s="70"/>
      <c r="H603" s="74"/>
      <c r="I603" s="70"/>
      <c r="J603" s="70"/>
      <c r="K603" s="70"/>
      <c r="L603" s="74"/>
      <c r="M603" s="123"/>
      <c r="N603" s="73"/>
      <c r="O603" s="236"/>
      <c r="P603" s="117"/>
      <c r="Q603" s="117"/>
      <c r="R603" s="156" t="str">
        <f>IF(Table111[[#This Row],[Qty]]="","",Table111[[#This Row],[Qty]]*Table111[[#This Row],[Unit Price]])</f>
        <v/>
      </c>
      <c r="S603" s="156" t="str">
        <f>IF(Table111[[#This Row],[Qty]]="","",Table111[[#This Row],[Qty]]*Table111[[#This Row],[Unit Price]]+Table111[[#This Row],[Delivery Cost]])</f>
        <v/>
      </c>
      <c r="T603" s="72"/>
      <c r="U603" s="72"/>
      <c r="V603" s="72"/>
      <c r="W603" s="219"/>
      <c r="X603" s="63" t="str">
        <f t="shared" si="27"/>
        <v/>
      </c>
      <c r="Y603" s="63" t="str">
        <f t="shared" si="28"/>
        <v/>
      </c>
      <c r="Z603" s="63" t="str">
        <f t="shared" si="29"/>
        <v/>
      </c>
      <c r="AA603" s="63" t="str">
        <f>TEXT(Table111[[#This Row],[YEAR]],"0000")&amp;"-"&amp;Table111[[#This Row],[MONTH]]</f>
        <v>-</v>
      </c>
    </row>
    <row r="604" spans="2:27" x14ac:dyDescent="0.3">
      <c r="B604" s="183"/>
      <c r="C604" s="183"/>
      <c r="D604" s="183"/>
      <c r="E604" s="71"/>
      <c r="F604" s="72"/>
      <c r="G604" s="70"/>
      <c r="H604" s="74"/>
      <c r="I604" s="70"/>
      <c r="J604" s="70"/>
      <c r="K604" s="70"/>
      <c r="L604" s="74"/>
      <c r="M604" s="123"/>
      <c r="N604" s="73"/>
      <c r="O604" s="236"/>
      <c r="P604" s="117"/>
      <c r="Q604" s="117"/>
      <c r="R604" s="156" t="str">
        <f>IF(Table111[[#This Row],[Qty]]="","",Table111[[#This Row],[Qty]]*Table111[[#This Row],[Unit Price]])</f>
        <v/>
      </c>
      <c r="S604" s="156" t="str">
        <f>IF(Table111[[#This Row],[Qty]]="","",Table111[[#This Row],[Qty]]*Table111[[#This Row],[Unit Price]]+Table111[[#This Row],[Delivery Cost]])</f>
        <v/>
      </c>
      <c r="T604" s="72"/>
      <c r="U604" s="72"/>
      <c r="V604" s="72"/>
      <c r="W604" s="65"/>
      <c r="X604" s="63" t="str">
        <f t="shared" si="27"/>
        <v/>
      </c>
      <c r="Y604" s="63" t="str">
        <f t="shared" si="28"/>
        <v/>
      </c>
      <c r="Z604" s="63" t="str">
        <f t="shared" si="29"/>
        <v/>
      </c>
      <c r="AA604" s="63" t="str">
        <f>TEXT(Table111[[#This Row],[YEAR]],"0000")&amp;"-"&amp;Table111[[#This Row],[MONTH]]</f>
        <v>-</v>
      </c>
    </row>
    <row r="605" spans="2:27" x14ac:dyDescent="0.3">
      <c r="B605" s="68"/>
      <c r="C605" s="68"/>
      <c r="D605" s="68"/>
      <c r="E605" s="71"/>
      <c r="F605" s="72"/>
      <c r="G605" s="70"/>
      <c r="H605" s="74"/>
      <c r="I605" s="70"/>
      <c r="J605" s="70"/>
      <c r="K605" s="70"/>
      <c r="L605" s="74"/>
      <c r="M605" s="123"/>
      <c r="N605" s="73"/>
      <c r="O605" s="236"/>
      <c r="P605" s="117"/>
      <c r="Q605" s="117"/>
      <c r="R605" s="156" t="str">
        <f>IF(Table111[[#This Row],[Qty]]="","",Table111[[#This Row],[Qty]]*Table111[[#This Row],[Unit Price]])</f>
        <v/>
      </c>
      <c r="S605" s="156" t="str">
        <f>IF(Table111[[#This Row],[Qty]]="","",Table111[[#This Row],[Qty]]*Table111[[#This Row],[Unit Price]]+Table111[[#This Row],[Delivery Cost]])</f>
        <v/>
      </c>
      <c r="T605" s="72"/>
      <c r="U605" s="72"/>
      <c r="V605" s="72"/>
      <c r="W605" s="219"/>
      <c r="X605" s="63" t="str">
        <f t="shared" si="27"/>
        <v/>
      </c>
      <c r="Y605" s="63" t="str">
        <f t="shared" si="28"/>
        <v/>
      </c>
      <c r="Z605" s="63" t="str">
        <f t="shared" si="29"/>
        <v/>
      </c>
      <c r="AA605" s="63" t="str">
        <f>TEXT(Table111[[#This Row],[YEAR]],"0000")&amp;"-"&amp;Table111[[#This Row],[MONTH]]</f>
        <v>-</v>
      </c>
    </row>
    <row r="606" spans="2:27" x14ac:dyDescent="0.3">
      <c r="B606" s="183"/>
      <c r="C606" s="183"/>
      <c r="D606" s="183"/>
      <c r="E606" s="71"/>
      <c r="F606" s="72"/>
      <c r="G606" s="70"/>
      <c r="H606" s="74"/>
      <c r="I606" s="70"/>
      <c r="J606" s="70"/>
      <c r="K606" s="70"/>
      <c r="L606" s="74"/>
      <c r="M606" s="123"/>
      <c r="N606" s="73"/>
      <c r="O606" s="236"/>
      <c r="P606" s="117"/>
      <c r="Q606" s="117"/>
      <c r="R606" s="156" t="str">
        <f>IF(Table111[[#This Row],[Qty]]="","",Table111[[#This Row],[Qty]]*Table111[[#This Row],[Unit Price]])</f>
        <v/>
      </c>
      <c r="S606" s="156" t="str">
        <f>IF(Table111[[#This Row],[Qty]]="","",Table111[[#This Row],[Qty]]*Table111[[#This Row],[Unit Price]]+Table111[[#This Row],[Delivery Cost]])</f>
        <v/>
      </c>
      <c r="T606" s="72"/>
      <c r="U606" s="72"/>
      <c r="V606" s="72"/>
      <c r="W606" s="65"/>
      <c r="X606" s="63" t="str">
        <f t="shared" si="27"/>
        <v/>
      </c>
      <c r="Y606" s="63" t="str">
        <f t="shared" si="28"/>
        <v/>
      </c>
      <c r="Z606" s="63" t="str">
        <f t="shared" si="29"/>
        <v/>
      </c>
      <c r="AA606" s="63" t="str">
        <f>TEXT(Table111[[#This Row],[YEAR]],"0000")&amp;"-"&amp;Table111[[#This Row],[MONTH]]</f>
        <v>-</v>
      </c>
    </row>
    <row r="607" spans="2:27" x14ac:dyDescent="0.3">
      <c r="B607" s="68"/>
      <c r="C607" s="68"/>
      <c r="D607" s="68"/>
      <c r="E607" s="71"/>
      <c r="F607" s="72"/>
      <c r="G607" s="70"/>
      <c r="H607" s="74"/>
      <c r="I607" s="70"/>
      <c r="J607" s="70"/>
      <c r="K607" s="70"/>
      <c r="L607" s="74"/>
      <c r="M607" s="123"/>
      <c r="N607" s="73"/>
      <c r="O607" s="236"/>
      <c r="P607" s="117"/>
      <c r="Q607" s="117"/>
      <c r="R607" s="156" t="str">
        <f>IF(Table111[[#This Row],[Qty]]="","",Table111[[#This Row],[Qty]]*Table111[[#This Row],[Unit Price]])</f>
        <v/>
      </c>
      <c r="S607" s="156" t="str">
        <f>IF(Table111[[#This Row],[Qty]]="","",Table111[[#This Row],[Qty]]*Table111[[#This Row],[Unit Price]]+Table111[[#This Row],[Delivery Cost]])</f>
        <v/>
      </c>
      <c r="T607" s="72"/>
      <c r="U607" s="72"/>
      <c r="V607" s="72"/>
      <c r="W607" s="219"/>
      <c r="X607" s="63" t="str">
        <f t="shared" si="27"/>
        <v/>
      </c>
      <c r="Y607" s="63" t="str">
        <f t="shared" si="28"/>
        <v/>
      </c>
      <c r="Z607" s="63" t="str">
        <f t="shared" si="29"/>
        <v/>
      </c>
      <c r="AA607" s="63" t="str">
        <f>TEXT(Table111[[#This Row],[YEAR]],"0000")&amp;"-"&amp;Table111[[#This Row],[MONTH]]</f>
        <v>-</v>
      </c>
    </row>
    <row r="608" spans="2:27" x14ac:dyDescent="0.3">
      <c r="B608" s="183"/>
      <c r="C608" s="183"/>
      <c r="D608" s="183"/>
      <c r="E608" s="71"/>
      <c r="F608" s="72"/>
      <c r="G608" s="70"/>
      <c r="H608" s="74"/>
      <c r="I608" s="70"/>
      <c r="J608" s="70"/>
      <c r="K608" s="70"/>
      <c r="L608" s="74"/>
      <c r="M608" s="123"/>
      <c r="N608" s="73"/>
      <c r="O608" s="236"/>
      <c r="P608" s="117"/>
      <c r="Q608" s="117"/>
      <c r="R608" s="156" t="str">
        <f>IF(Table111[[#This Row],[Qty]]="","",Table111[[#This Row],[Qty]]*Table111[[#This Row],[Unit Price]])</f>
        <v/>
      </c>
      <c r="S608" s="156" t="str">
        <f>IF(Table111[[#This Row],[Qty]]="","",Table111[[#This Row],[Qty]]*Table111[[#This Row],[Unit Price]]+Table111[[#This Row],[Delivery Cost]])</f>
        <v/>
      </c>
      <c r="T608" s="72"/>
      <c r="U608" s="72"/>
      <c r="V608" s="72"/>
      <c r="W608" s="65"/>
      <c r="X608" s="63" t="str">
        <f t="shared" si="27"/>
        <v/>
      </c>
      <c r="Y608" s="63" t="str">
        <f t="shared" si="28"/>
        <v/>
      </c>
      <c r="Z608" s="63" t="str">
        <f t="shared" si="29"/>
        <v/>
      </c>
      <c r="AA608" s="63" t="str">
        <f>TEXT(Table111[[#This Row],[YEAR]],"0000")&amp;"-"&amp;Table111[[#This Row],[MONTH]]</f>
        <v>-</v>
      </c>
    </row>
    <row r="609" spans="2:27" x14ac:dyDescent="0.3">
      <c r="B609" s="183"/>
      <c r="C609" s="183"/>
      <c r="D609" s="183"/>
      <c r="E609" s="71"/>
      <c r="F609" s="72"/>
      <c r="G609" s="72"/>
      <c r="H609" s="74"/>
      <c r="I609" s="70"/>
      <c r="J609" s="223"/>
      <c r="K609" s="70"/>
      <c r="L609" s="74"/>
      <c r="M609" s="123"/>
      <c r="N609" s="73"/>
      <c r="O609" s="236"/>
      <c r="P609" s="117"/>
      <c r="Q609" s="117"/>
      <c r="R609" s="156" t="str">
        <f>IF(Table111[[#This Row],[Qty]]="","",Table111[[#This Row],[Qty]]*Table111[[#This Row],[Unit Price]])</f>
        <v/>
      </c>
      <c r="S609" s="156" t="str">
        <f>IF(Table111[[#This Row],[Qty]]="","",Table111[[#This Row],[Qty]]*Table111[[#This Row],[Unit Price]]+Table111[[#This Row],[Delivery Cost]])</f>
        <v/>
      </c>
      <c r="T609" s="72"/>
      <c r="U609" s="72"/>
      <c r="V609" s="72"/>
      <c r="W609" s="16"/>
      <c r="X609" s="63" t="str">
        <f t="shared" si="27"/>
        <v/>
      </c>
      <c r="Y609" s="63" t="str">
        <f t="shared" si="28"/>
        <v/>
      </c>
      <c r="Z609" s="63" t="str">
        <f t="shared" si="29"/>
        <v/>
      </c>
      <c r="AA609" s="63" t="str">
        <f>TEXT(Table111[[#This Row],[YEAR]],"0000")&amp;"-"&amp;Table111[[#This Row],[MONTH]]</f>
        <v>-</v>
      </c>
    </row>
    <row r="610" spans="2:27" x14ac:dyDescent="0.3">
      <c r="B610" s="68"/>
      <c r="C610" s="68"/>
      <c r="D610" s="183"/>
      <c r="E610" s="71"/>
      <c r="F610" s="72"/>
      <c r="G610" s="72"/>
      <c r="H610" s="74"/>
      <c r="I610" s="70"/>
      <c r="J610" s="223"/>
      <c r="K610" s="70"/>
      <c r="L610" s="74"/>
      <c r="M610" s="123"/>
      <c r="N610" s="73"/>
      <c r="O610" s="236"/>
      <c r="P610" s="117"/>
      <c r="Q610" s="117"/>
      <c r="R610" s="156" t="str">
        <f>IF(Table111[[#This Row],[Qty]]="","",Table111[[#This Row],[Qty]]*Table111[[#This Row],[Unit Price]])</f>
        <v/>
      </c>
      <c r="S610" s="156" t="str">
        <f>IF(Table111[[#This Row],[Qty]]="","",Table111[[#This Row],[Qty]]*Table111[[#This Row],[Unit Price]]+Table111[[#This Row],[Delivery Cost]])</f>
        <v/>
      </c>
      <c r="T610" s="72"/>
      <c r="U610" s="72"/>
      <c r="V610" s="72"/>
      <c r="W610" s="16"/>
      <c r="X610" s="63" t="str">
        <f t="shared" si="27"/>
        <v/>
      </c>
      <c r="Y610" s="63" t="str">
        <f t="shared" si="28"/>
        <v/>
      </c>
      <c r="Z610" s="63" t="str">
        <f t="shared" si="29"/>
        <v/>
      </c>
      <c r="AA610" s="63" t="str">
        <f>TEXT(Table111[[#This Row],[YEAR]],"0000")&amp;"-"&amp;Table111[[#This Row],[MONTH]]</f>
        <v>-</v>
      </c>
    </row>
    <row r="611" spans="2:27" x14ac:dyDescent="0.3">
      <c r="B611" s="183"/>
      <c r="C611" s="183"/>
      <c r="D611" s="183"/>
      <c r="E611" s="71"/>
      <c r="F611" s="72"/>
      <c r="G611" s="72"/>
      <c r="H611" s="74"/>
      <c r="I611" s="70"/>
      <c r="J611" s="223"/>
      <c r="K611" s="70"/>
      <c r="L611" s="74"/>
      <c r="M611" s="123"/>
      <c r="N611" s="73"/>
      <c r="O611" s="236"/>
      <c r="P611" s="117"/>
      <c r="Q611" s="117"/>
      <c r="R611" s="156" t="str">
        <f>IF(Table111[[#This Row],[Qty]]="","",Table111[[#This Row],[Qty]]*Table111[[#This Row],[Unit Price]])</f>
        <v/>
      </c>
      <c r="S611" s="156" t="str">
        <f>IF(Table111[[#This Row],[Qty]]="","",Table111[[#This Row],[Qty]]*Table111[[#This Row],[Unit Price]]+Table111[[#This Row],[Delivery Cost]])</f>
        <v/>
      </c>
      <c r="T611" s="72"/>
      <c r="U611" s="72"/>
      <c r="V611" s="72"/>
      <c r="W611" s="16"/>
      <c r="X611" s="63" t="str">
        <f t="shared" si="27"/>
        <v/>
      </c>
      <c r="Y611" s="63" t="str">
        <f t="shared" si="28"/>
        <v/>
      </c>
      <c r="Z611" s="63" t="str">
        <f t="shared" si="29"/>
        <v/>
      </c>
      <c r="AA611" s="63" t="str">
        <f>TEXT(Table111[[#This Row],[YEAR]],"0000")&amp;"-"&amp;Table111[[#This Row],[MONTH]]</f>
        <v>-</v>
      </c>
    </row>
    <row r="612" spans="2:27" x14ac:dyDescent="0.3">
      <c r="B612" s="68"/>
      <c r="C612" s="68"/>
      <c r="D612" s="183"/>
      <c r="E612" s="71"/>
      <c r="F612" s="72"/>
      <c r="G612" s="72"/>
      <c r="H612" s="74"/>
      <c r="I612" s="70"/>
      <c r="J612" s="223"/>
      <c r="K612" s="70"/>
      <c r="L612" s="74"/>
      <c r="M612" s="123"/>
      <c r="N612" s="73"/>
      <c r="O612" s="236"/>
      <c r="P612" s="117"/>
      <c r="Q612" s="117"/>
      <c r="R612" s="156" t="str">
        <f>IF(Table111[[#This Row],[Qty]]="","",Table111[[#This Row],[Qty]]*Table111[[#This Row],[Unit Price]])</f>
        <v/>
      </c>
      <c r="S612" s="156" t="str">
        <f>IF(Table111[[#This Row],[Qty]]="","",Table111[[#This Row],[Qty]]*Table111[[#This Row],[Unit Price]]+Table111[[#This Row],[Delivery Cost]])</f>
        <v/>
      </c>
      <c r="T612" s="72"/>
      <c r="U612" s="72"/>
      <c r="V612" s="72"/>
      <c r="W612" s="16"/>
      <c r="X612" s="63" t="str">
        <f t="shared" si="27"/>
        <v/>
      </c>
      <c r="Y612" s="63" t="str">
        <f t="shared" si="28"/>
        <v/>
      </c>
      <c r="Z612" s="63" t="str">
        <f t="shared" si="29"/>
        <v/>
      </c>
      <c r="AA612" s="63" t="str">
        <f>TEXT(Table111[[#This Row],[YEAR]],"0000")&amp;"-"&amp;Table111[[#This Row],[MONTH]]</f>
        <v>-</v>
      </c>
    </row>
    <row r="613" spans="2:27" x14ac:dyDescent="0.3">
      <c r="B613" s="68"/>
      <c r="C613" s="68"/>
      <c r="D613" s="68"/>
      <c r="E613" s="71"/>
      <c r="F613" s="72"/>
      <c r="G613" s="70"/>
      <c r="H613" s="74"/>
      <c r="I613" s="70"/>
      <c r="J613" s="70"/>
      <c r="K613" s="70"/>
      <c r="L613" s="74"/>
      <c r="M613" s="123"/>
      <c r="N613" s="73"/>
      <c r="O613" s="236"/>
      <c r="P613" s="117"/>
      <c r="Q613" s="117"/>
      <c r="R613" s="156" t="str">
        <f>IF(Table111[[#This Row],[Qty]]="","",Table111[[#This Row],[Qty]]*Table111[[#This Row],[Unit Price]])</f>
        <v/>
      </c>
      <c r="S613" s="156" t="str">
        <f>IF(Table111[[#This Row],[Qty]]="","",Table111[[#This Row],[Qty]]*Table111[[#This Row],[Unit Price]]+Table111[[#This Row],[Delivery Cost]])</f>
        <v/>
      </c>
      <c r="T613" s="72"/>
      <c r="U613" s="72"/>
      <c r="V613" s="72"/>
      <c r="W613" s="219"/>
      <c r="X613" s="63" t="str">
        <f t="shared" si="27"/>
        <v/>
      </c>
      <c r="Y613" s="63" t="str">
        <f t="shared" si="28"/>
        <v/>
      </c>
      <c r="Z613" s="63" t="str">
        <f t="shared" si="29"/>
        <v/>
      </c>
      <c r="AA613" s="63" t="str">
        <f>TEXT(Table111[[#This Row],[YEAR]],"0000")&amp;"-"&amp;Table111[[#This Row],[MONTH]]</f>
        <v>-</v>
      </c>
    </row>
    <row r="614" spans="2:27" x14ac:dyDescent="0.3">
      <c r="B614" s="68"/>
      <c r="C614" s="68"/>
      <c r="D614" s="68"/>
      <c r="E614" s="71"/>
      <c r="F614" s="72"/>
      <c r="G614" s="70"/>
      <c r="H614" s="74"/>
      <c r="I614" s="70"/>
      <c r="J614" s="70"/>
      <c r="K614" s="70"/>
      <c r="L614" s="74"/>
      <c r="M614" s="123"/>
      <c r="N614" s="73"/>
      <c r="O614" s="236"/>
      <c r="P614" s="117"/>
      <c r="Q614" s="117"/>
      <c r="R614" s="156" t="str">
        <f>IF(Table111[[#This Row],[Qty]]="","",Table111[[#This Row],[Qty]]*Table111[[#This Row],[Unit Price]])</f>
        <v/>
      </c>
      <c r="S614" s="156" t="str">
        <f>IF(Table111[[#This Row],[Qty]]="","",Table111[[#This Row],[Qty]]*Table111[[#This Row],[Unit Price]]+Table111[[#This Row],[Delivery Cost]])</f>
        <v/>
      </c>
      <c r="T614" s="72"/>
      <c r="U614" s="72"/>
      <c r="V614" s="72"/>
      <c r="W614" s="220"/>
      <c r="X614" s="63" t="str">
        <f t="shared" si="27"/>
        <v/>
      </c>
      <c r="Y614" s="63" t="str">
        <f t="shared" si="28"/>
        <v/>
      </c>
      <c r="Z614" s="63" t="str">
        <f t="shared" si="29"/>
        <v/>
      </c>
      <c r="AA614" s="63" t="str">
        <f>TEXT(Table111[[#This Row],[YEAR]],"0000")&amp;"-"&amp;Table111[[#This Row],[MONTH]]</f>
        <v>-</v>
      </c>
    </row>
    <row r="615" spans="2:27" x14ac:dyDescent="0.3">
      <c r="B615" s="183"/>
      <c r="C615" s="183"/>
      <c r="D615" s="183"/>
      <c r="E615" s="71"/>
      <c r="F615" s="72"/>
      <c r="G615" s="70"/>
      <c r="H615" s="74"/>
      <c r="I615" s="70"/>
      <c r="J615" s="70"/>
      <c r="K615" s="70"/>
      <c r="L615" s="74"/>
      <c r="M615" s="123"/>
      <c r="N615" s="73"/>
      <c r="O615" s="236"/>
      <c r="P615" s="117"/>
      <c r="Q615" s="117"/>
      <c r="R615" s="156" t="str">
        <f>IF(Table111[[#This Row],[Qty]]="","",Table111[[#This Row],[Qty]]*Table111[[#This Row],[Unit Price]])</f>
        <v/>
      </c>
      <c r="S615" s="156" t="str">
        <f>IF(Table111[[#This Row],[Qty]]="","",Table111[[#This Row],[Qty]]*Table111[[#This Row],[Unit Price]]+Table111[[#This Row],[Delivery Cost]])</f>
        <v/>
      </c>
      <c r="T615" s="72"/>
      <c r="U615" s="72"/>
      <c r="V615" s="72"/>
      <c r="W615" s="16"/>
      <c r="X615" s="63" t="str">
        <f t="shared" si="27"/>
        <v/>
      </c>
      <c r="Y615" s="63" t="str">
        <f t="shared" si="28"/>
        <v/>
      </c>
      <c r="Z615" s="63" t="str">
        <f t="shared" si="29"/>
        <v/>
      </c>
      <c r="AA615" s="63" t="str">
        <f>TEXT(Table111[[#This Row],[YEAR]],"0000")&amp;"-"&amp;Table111[[#This Row],[MONTH]]</f>
        <v>-</v>
      </c>
    </row>
    <row r="616" spans="2:27" x14ac:dyDescent="0.3">
      <c r="B616" s="68"/>
      <c r="C616" s="68"/>
      <c r="D616" s="68"/>
      <c r="E616" s="71"/>
      <c r="F616" s="72"/>
      <c r="G616" s="70"/>
      <c r="H616" s="74"/>
      <c r="I616" s="70"/>
      <c r="J616" s="70"/>
      <c r="K616" s="70"/>
      <c r="L616" s="74"/>
      <c r="M616" s="123"/>
      <c r="N616" s="73"/>
      <c r="O616" s="236"/>
      <c r="P616" s="117"/>
      <c r="Q616" s="117"/>
      <c r="R616" s="156" t="str">
        <f>IF(Table111[[#This Row],[Qty]]="","",Table111[[#This Row],[Qty]]*Table111[[#This Row],[Unit Price]])</f>
        <v/>
      </c>
      <c r="S616" s="156" t="str">
        <f>IF(Table111[[#This Row],[Qty]]="","",Table111[[#This Row],[Qty]]*Table111[[#This Row],[Unit Price]]+Table111[[#This Row],[Delivery Cost]])</f>
        <v/>
      </c>
      <c r="T616" s="72"/>
      <c r="U616" s="72"/>
      <c r="V616" s="72"/>
      <c r="W616" s="220"/>
      <c r="X616" s="63" t="str">
        <f t="shared" si="27"/>
        <v/>
      </c>
      <c r="Y616" s="63" t="str">
        <f t="shared" si="28"/>
        <v/>
      </c>
      <c r="Z616" s="63" t="str">
        <f t="shared" si="29"/>
        <v/>
      </c>
      <c r="AA616" s="63" t="str">
        <f>TEXT(Table111[[#This Row],[YEAR]],"0000")&amp;"-"&amp;Table111[[#This Row],[MONTH]]</f>
        <v>-</v>
      </c>
    </row>
    <row r="617" spans="2:27" x14ac:dyDescent="0.3">
      <c r="B617" s="68"/>
      <c r="C617" s="68"/>
      <c r="D617" s="68"/>
      <c r="E617" s="71"/>
      <c r="F617" s="72"/>
      <c r="G617" s="70"/>
      <c r="H617" s="74"/>
      <c r="I617" s="70"/>
      <c r="J617" s="70"/>
      <c r="K617" s="70"/>
      <c r="L617" s="74"/>
      <c r="M617" s="123"/>
      <c r="N617" s="73"/>
      <c r="O617" s="236"/>
      <c r="P617" s="117"/>
      <c r="Q617" s="117"/>
      <c r="R617" s="156" t="str">
        <f>IF(Table111[[#This Row],[Qty]]="","",Table111[[#This Row],[Qty]]*Table111[[#This Row],[Unit Price]])</f>
        <v/>
      </c>
      <c r="S617" s="156" t="str">
        <f>IF(Table111[[#This Row],[Qty]]="","",Table111[[#This Row],[Qty]]*Table111[[#This Row],[Unit Price]]+Table111[[#This Row],[Delivery Cost]])</f>
        <v/>
      </c>
      <c r="T617" s="72"/>
      <c r="U617" s="72"/>
      <c r="V617" s="72"/>
      <c r="W617" s="219"/>
      <c r="X617" s="63" t="str">
        <f t="shared" si="27"/>
        <v/>
      </c>
      <c r="Y617" s="63" t="str">
        <f t="shared" si="28"/>
        <v/>
      </c>
      <c r="Z617" s="63" t="str">
        <f t="shared" si="29"/>
        <v/>
      </c>
      <c r="AA617" s="63" t="str">
        <f>TEXT(Table111[[#This Row],[YEAR]],"0000")&amp;"-"&amp;Table111[[#This Row],[MONTH]]</f>
        <v>-</v>
      </c>
    </row>
    <row r="618" spans="2:27" x14ac:dyDescent="0.3">
      <c r="B618" s="183"/>
      <c r="C618" s="183"/>
      <c r="D618" s="183"/>
      <c r="E618" s="71"/>
      <c r="F618" s="72"/>
      <c r="G618" s="70"/>
      <c r="H618" s="70"/>
      <c r="I618" s="70"/>
      <c r="J618" s="223"/>
      <c r="K618" s="70"/>
      <c r="L618" s="74"/>
      <c r="M618" s="123"/>
      <c r="N618" s="73"/>
      <c r="O618" s="236"/>
      <c r="P618" s="117"/>
      <c r="Q618" s="117"/>
      <c r="R618" s="156" t="str">
        <f>IF(Table111[[#This Row],[Qty]]="","",Table111[[#This Row],[Qty]]*Table111[[#This Row],[Unit Price]])</f>
        <v/>
      </c>
      <c r="S618" s="156" t="str">
        <f>IF(Table111[[#This Row],[Qty]]="","",Table111[[#This Row],[Qty]]*Table111[[#This Row],[Unit Price]]+Table111[[#This Row],[Delivery Cost]])</f>
        <v/>
      </c>
      <c r="T618" s="72"/>
      <c r="U618" s="72"/>
      <c r="V618" s="72"/>
      <c r="W618" s="65"/>
      <c r="X618" s="63" t="str">
        <f t="shared" si="27"/>
        <v/>
      </c>
      <c r="Y618" s="63" t="str">
        <f t="shared" si="28"/>
        <v/>
      </c>
      <c r="Z618" s="63" t="str">
        <f t="shared" si="29"/>
        <v/>
      </c>
      <c r="AA618" s="63" t="str">
        <f>TEXT(Table111[[#This Row],[YEAR]],"0000")&amp;"-"&amp;Table111[[#This Row],[MONTH]]</f>
        <v>-</v>
      </c>
    </row>
    <row r="619" spans="2:27" x14ac:dyDescent="0.3">
      <c r="B619" s="68"/>
      <c r="C619" s="68"/>
      <c r="D619" s="68"/>
      <c r="E619" s="71"/>
      <c r="F619" s="72"/>
      <c r="G619" s="70"/>
      <c r="H619" s="70"/>
      <c r="I619" s="70"/>
      <c r="J619" s="70"/>
      <c r="K619" s="70"/>
      <c r="L619" s="74"/>
      <c r="M619" s="123"/>
      <c r="N619" s="73"/>
      <c r="O619" s="236"/>
      <c r="P619" s="117"/>
      <c r="Q619" s="117"/>
      <c r="R619" s="156" t="str">
        <f>IF(Table111[[#This Row],[Qty]]="","",Table111[[#This Row],[Qty]]*Table111[[#This Row],[Unit Price]])</f>
        <v/>
      </c>
      <c r="S619" s="156" t="str">
        <f>IF(Table111[[#This Row],[Qty]]="","",Table111[[#This Row],[Qty]]*Table111[[#This Row],[Unit Price]]+Table111[[#This Row],[Delivery Cost]])</f>
        <v/>
      </c>
      <c r="T619" s="72"/>
      <c r="U619" s="72"/>
      <c r="V619" s="72"/>
      <c r="W619" s="219"/>
      <c r="X619" s="63" t="str">
        <f t="shared" si="27"/>
        <v/>
      </c>
      <c r="Y619" s="63" t="str">
        <f t="shared" si="28"/>
        <v/>
      </c>
      <c r="Z619" s="63" t="str">
        <f t="shared" si="29"/>
        <v/>
      </c>
      <c r="AA619" s="63" t="str">
        <f>TEXT(Table111[[#This Row],[YEAR]],"0000")&amp;"-"&amp;Table111[[#This Row],[MONTH]]</f>
        <v>-</v>
      </c>
    </row>
    <row r="620" spans="2:27" x14ac:dyDescent="0.3">
      <c r="B620" s="183"/>
      <c r="C620" s="183"/>
      <c r="D620" s="183"/>
      <c r="E620" s="71"/>
      <c r="F620" s="72"/>
      <c r="G620" s="70"/>
      <c r="H620" s="70"/>
      <c r="I620" s="70"/>
      <c r="J620" s="274"/>
      <c r="K620" s="70"/>
      <c r="L620" s="74"/>
      <c r="M620" s="123"/>
      <c r="N620" s="73"/>
      <c r="O620" s="236"/>
      <c r="P620" s="117"/>
      <c r="Q620" s="117"/>
      <c r="R620" s="156" t="str">
        <f>IF(Table111[[#This Row],[Qty]]="","",Table111[[#This Row],[Qty]]*Table111[[#This Row],[Unit Price]])</f>
        <v/>
      </c>
      <c r="S620" s="156" t="str">
        <f>IF(Table111[[#This Row],[Qty]]="","",Table111[[#This Row],[Qty]]*Table111[[#This Row],[Unit Price]]+Table111[[#This Row],[Delivery Cost]])</f>
        <v/>
      </c>
      <c r="T620" s="72"/>
      <c r="U620" s="72"/>
      <c r="V620" s="72"/>
      <c r="W620" s="65"/>
      <c r="X620" s="63" t="str">
        <f t="shared" si="27"/>
        <v/>
      </c>
      <c r="Y620" s="63" t="str">
        <f t="shared" si="28"/>
        <v/>
      </c>
      <c r="Z620" s="63" t="str">
        <f t="shared" si="29"/>
        <v/>
      </c>
      <c r="AA620" s="63" t="str">
        <f>TEXT(Table111[[#This Row],[YEAR]],"0000")&amp;"-"&amp;Table111[[#This Row],[MONTH]]</f>
        <v>-</v>
      </c>
    </row>
    <row r="621" spans="2:27" x14ac:dyDescent="0.3">
      <c r="B621" s="68"/>
      <c r="C621" s="68"/>
      <c r="D621" s="68"/>
      <c r="E621" s="71"/>
      <c r="F621" s="72"/>
      <c r="G621" s="70"/>
      <c r="H621" s="70"/>
      <c r="I621" s="70"/>
      <c r="J621" s="70"/>
      <c r="K621" s="70"/>
      <c r="L621" s="74"/>
      <c r="M621" s="123"/>
      <c r="N621" s="73"/>
      <c r="O621" s="236"/>
      <c r="P621" s="117"/>
      <c r="Q621" s="117"/>
      <c r="R621" s="156" t="str">
        <f>IF(Table111[[#This Row],[Qty]]="","",Table111[[#This Row],[Qty]]*Table111[[#This Row],[Unit Price]])</f>
        <v/>
      </c>
      <c r="S621" s="156" t="str">
        <f>IF(Table111[[#This Row],[Qty]]="","",Table111[[#This Row],[Qty]]*Table111[[#This Row],[Unit Price]]+Table111[[#This Row],[Delivery Cost]])</f>
        <v/>
      </c>
      <c r="T621" s="72"/>
      <c r="U621" s="72"/>
      <c r="V621" s="72"/>
      <c r="W621" s="219"/>
      <c r="X621" s="63" t="str">
        <f t="shared" si="27"/>
        <v/>
      </c>
      <c r="Y621" s="63" t="str">
        <f t="shared" si="28"/>
        <v/>
      </c>
      <c r="Z621" s="63" t="str">
        <f t="shared" si="29"/>
        <v/>
      </c>
      <c r="AA621" s="63" t="str">
        <f>TEXT(Table111[[#This Row],[YEAR]],"0000")&amp;"-"&amp;Table111[[#This Row],[MONTH]]</f>
        <v>-</v>
      </c>
    </row>
    <row r="622" spans="2:27" x14ac:dyDescent="0.3">
      <c r="B622" s="183"/>
      <c r="C622" s="183"/>
      <c r="D622" s="183"/>
      <c r="E622" s="71"/>
      <c r="F622" s="72"/>
      <c r="G622" s="70"/>
      <c r="H622" s="70"/>
      <c r="I622" s="70"/>
      <c r="J622" s="274"/>
      <c r="K622" s="70"/>
      <c r="L622" s="74"/>
      <c r="M622" s="123"/>
      <c r="N622" s="73"/>
      <c r="O622" s="236"/>
      <c r="P622" s="117"/>
      <c r="Q622" s="117"/>
      <c r="R622" s="156" t="str">
        <f>IF(Table111[[#This Row],[Qty]]="","",Table111[[#This Row],[Qty]]*Table111[[#This Row],[Unit Price]])</f>
        <v/>
      </c>
      <c r="S622" s="156" t="str">
        <f>IF(Table111[[#This Row],[Qty]]="","",Table111[[#This Row],[Qty]]*Table111[[#This Row],[Unit Price]]+Table111[[#This Row],[Delivery Cost]])</f>
        <v/>
      </c>
      <c r="T622" s="72"/>
      <c r="U622" s="72"/>
      <c r="V622" s="72"/>
      <c r="W622" s="65"/>
      <c r="X622" s="63" t="str">
        <f t="shared" si="27"/>
        <v/>
      </c>
      <c r="Y622" s="63" t="str">
        <f t="shared" si="28"/>
        <v/>
      </c>
      <c r="Z622" s="63" t="str">
        <f t="shared" si="29"/>
        <v/>
      </c>
      <c r="AA622" s="63" t="str">
        <f>TEXT(Table111[[#This Row],[YEAR]],"0000")&amp;"-"&amp;Table111[[#This Row],[MONTH]]</f>
        <v>-</v>
      </c>
    </row>
    <row r="623" spans="2:27" x14ac:dyDescent="0.3">
      <c r="B623" s="68"/>
      <c r="C623" s="68"/>
      <c r="D623" s="68"/>
      <c r="E623" s="71"/>
      <c r="F623" s="72"/>
      <c r="G623" s="70"/>
      <c r="H623" s="70"/>
      <c r="I623" s="70"/>
      <c r="J623" s="70"/>
      <c r="K623" s="70"/>
      <c r="L623" s="74"/>
      <c r="M623" s="123"/>
      <c r="N623" s="73"/>
      <c r="O623" s="236"/>
      <c r="P623" s="117"/>
      <c r="Q623" s="117"/>
      <c r="R623" s="156" t="str">
        <f>IF(Table111[[#This Row],[Qty]]="","",Table111[[#This Row],[Qty]]*Table111[[#This Row],[Unit Price]])</f>
        <v/>
      </c>
      <c r="S623" s="156" t="str">
        <f>IF(Table111[[#This Row],[Qty]]="","",Table111[[#This Row],[Qty]]*Table111[[#This Row],[Unit Price]]+Table111[[#This Row],[Delivery Cost]])</f>
        <v/>
      </c>
      <c r="T623" s="72"/>
      <c r="U623" s="72"/>
      <c r="V623" s="72"/>
      <c r="W623" s="219"/>
      <c r="X623" s="63" t="str">
        <f t="shared" si="27"/>
        <v/>
      </c>
      <c r="Y623" s="63" t="str">
        <f t="shared" si="28"/>
        <v/>
      </c>
      <c r="Z623" s="63" t="str">
        <f t="shared" si="29"/>
        <v/>
      </c>
      <c r="AA623" s="63" t="str">
        <f>TEXT(Table111[[#This Row],[YEAR]],"0000")&amp;"-"&amp;Table111[[#This Row],[MONTH]]</f>
        <v>-</v>
      </c>
    </row>
    <row r="624" spans="2:27" x14ac:dyDescent="0.3">
      <c r="B624" s="183"/>
      <c r="C624" s="183"/>
      <c r="D624" s="68"/>
      <c r="E624" s="71"/>
      <c r="F624" s="72"/>
      <c r="G624" s="70"/>
      <c r="H624" s="70"/>
      <c r="I624" s="70"/>
      <c r="J624" s="274"/>
      <c r="K624" s="70"/>
      <c r="L624" s="74"/>
      <c r="M624" s="123"/>
      <c r="N624" s="73"/>
      <c r="O624" s="236"/>
      <c r="P624" s="117"/>
      <c r="Q624" s="117"/>
      <c r="R624" s="156" t="str">
        <f>IF(Table111[[#This Row],[Qty]]="","",Table111[[#This Row],[Qty]]*Table111[[#This Row],[Unit Price]])</f>
        <v/>
      </c>
      <c r="S624" s="156" t="str">
        <f>IF(Table111[[#This Row],[Qty]]="","",Table111[[#This Row],[Qty]]*Table111[[#This Row],[Unit Price]]+Table111[[#This Row],[Delivery Cost]])</f>
        <v/>
      </c>
      <c r="T624" s="72"/>
      <c r="U624" s="72"/>
      <c r="V624" s="72"/>
      <c r="W624" s="65"/>
      <c r="X624" s="63" t="str">
        <f t="shared" si="27"/>
        <v/>
      </c>
      <c r="Y624" s="63" t="str">
        <f t="shared" si="28"/>
        <v/>
      </c>
      <c r="Z624" s="63" t="str">
        <f t="shared" si="29"/>
        <v/>
      </c>
      <c r="AA624" s="63" t="str">
        <f>TEXT(Table111[[#This Row],[YEAR]],"0000")&amp;"-"&amp;Table111[[#This Row],[MONTH]]</f>
        <v>-</v>
      </c>
    </row>
    <row r="625" spans="2:27" x14ac:dyDescent="0.3">
      <c r="B625" s="68"/>
      <c r="C625" s="68"/>
      <c r="D625" s="68"/>
      <c r="E625" s="71"/>
      <c r="F625" s="72"/>
      <c r="G625" s="70"/>
      <c r="H625" s="70"/>
      <c r="I625" s="70"/>
      <c r="J625" s="70"/>
      <c r="K625" s="70"/>
      <c r="L625" s="74"/>
      <c r="M625" s="123"/>
      <c r="N625" s="73"/>
      <c r="O625" s="236"/>
      <c r="P625" s="117"/>
      <c r="Q625" s="117"/>
      <c r="R625" s="156" t="str">
        <f>IF(Table111[[#This Row],[Qty]]="","",Table111[[#This Row],[Qty]]*Table111[[#This Row],[Unit Price]])</f>
        <v/>
      </c>
      <c r="S625" s="156" t="str">
        <f>IF(Table111[[#This Row],[Qty]]="","",Table111[[#This Row],[Qty]]*Table111[[#This Row],[Unit Price]]+Table111[[#This Row],[Delivery Cost]])</f>
        <v/>
      </c>
      <c r="T625" s="72"/>
      <c r="U625" s="72"/>
      <c r="V625" s="72"/>
      <c r="W625" s="219"/>
      <c r="X625" s="63" t="str">
        <f t="shared" si="27"/>
        <v/>
      </c>
      <c r="Y625" s="63" t="str">
        <f t="shared" si="28"/>
        <v/>
      </c>
      <c r="Z625" s="63" t="str">
        <f t="shared" si="29"/>
        <v/>
      </c>
      <c r="AA625" s="63" t="str">
        <f>TEXT(Table111[[#This Row],[YEAR]],"0000")&amp;"-"&amp;Table111[[#This Row],[MONTH]]</f>
        <v>-</v>
      </c>
    </row>
    <row r="626" spans="2:27" x14ac:dyDescent="0.3">
      <c r="B626" s="183"/>
      <c r="C626" s="183"/>
      <c r="D626" s="183"/>
      <c r="E626" s="71"/>
      <c r="F626" s="72"/>
      <c r="G626" s="70"/>
      <c r="H626" s="70"/>
      <c r="I626" s="70"/>
      <c r="J626" s="274"/>
      <c r="K626" s="70"/>
      <c r="L626" s="74"/>
      <c r="M626" s="123"/>
      <c r="N626" s="73"/>
      <c r="O626" s="236"/>
      <c r="P626" s="117"/>
      <c r="Q626" s="117"/>
      <c r="R626" s="156" t="str">
        <f>IF(Table111[[#This Row],[Qty]]="","",Table111[[#This Row],[Qty]]*Table111[[#This Row],[Unit Price]])</f>
        <v/>
      </c>
      <c r="S626" s="156" t="str">
        <f>IF(Table111[[#This Row],[Qty]]="","",Table111[[#This Row],[Qty]]*Table111[[#This Row],[Unit Price]]+Table111[[#This Row],[Delivery Cost]])</f>
        <v/>
      </c>
      <c r="T626" s="72"/>
      <c r="U626" s="72"/>
      <c r="V626" s="72"/>
      <c r="W626" s="65"/>
      <c r="X626" s="63" t="str">
        <f t="shared" si="27"/>
        <v/>
      </c>
      <c r="Y626" s="63" t="str">
        <f t="shared" si="28"/>
        <v/>
      </c>
      <c r="Z626" s="63" t="str">
        <f t="shared" si="29"/>
        <v/>
      </c>
      <c r="AA626" s="63" t="str">
        <f>TEXT(Table111[[#This Row],[YEAR]],"0000")&amp;"-"&amp;Table111[[#This Row],[MONTH]]</f>
        <v>-</v>
      </c>
    </row>
    <row r="627" spans="2:27" x14ac:dyDescent="0.3">
      <c r="B627" s="68"/>
      <c r="C627" s="68"/>
      <c r="D627" s="68"/>
      <c r="E627" s="71"/>
      <c r="F627" s="72"/>
      <c r="G627" s="70"/>
      <c r="H627" s="70"/>
      <c r="I627" s="70"/>
      <c r="J627" s="70"/>
      <c r="K627" s="70"/>
      <c r="L627" s="74"/>
      <c r="M627" s="123"/>
      <c r="N627" s="73"/>
      <c r="O627" s="236"/>
      <c r="P627" s="117"/>
      <c r="Q627" s="117"/>
      <c r="R627" s="156" t="str">
        <f>IF(Table111[[#This Row],[Qty]]="","",Table111[[#This Row],[Qty]]*Table111[[#This Row],[Unit Price]])</f>
        <v/>
      </c>
      <c r="S627" s="156" t="str">
        <f>IF(Table111[[#This Row],[Qty]]="","",Table111[[#This Row],[Qty]]*Table111[[#This Row],[Unit Price]]+Table111[[#This Row],[Delivery Cost]])</f>
        <v/>
      </c>
      <c r="T627" s="72"/>
      <c r="U627" s="72"/>
      <c r="V627" s="72"/>
      <c r="W627" s="219"/>
      <c r="X627" s="63" t="str">
        <f t="shared" si="27"/>
        <v/>
      </c>
      <c r="Y627" s="63" t="str">
        <f t="shared" si="28"/>
        <v/>
      </c>
      <c r="Z627" s="63" t="str">
        <f t="shared" si="29"/>
        <v/>
      </c>
      <c r="AA627" s="63" t="str">
        <f>TEXT(Table111[[#This Row],[YEAR]],"0000")&amp;"-"&amp;Table111[[#This Row],[MONTH]]</f>
        <v>-</v>
      </c>
    </row>
    <row r="628" spans="2:27" x14ac:dyDescent="0.3">
      <c r="B628" s="183"/>
      <c r="C628" s="183"/>
      <c r="D628" s="183"/>
      <c r="E628" s="71"/>
      <c r="F628" s="72"/>
      <c r="G628" s="70"/>
      <c r="H628" s="70"/>
      <c r="I628" s="70"/>
      <c r="J628" s="274"/>
      <c r="K628" s="70"/>
      <c r="L628" s="74"/>
      <c r="M628" s="123"/>
      <c r="N628" s="73"/>
      <c r="O628" s="236"/>
      <c r="P628" s="117"/>
      <c r="Q628" s="117"/>
      <c r="R628" s="156" t="str">
        <f>IF(Table111[[#This Row],[Qty]]="","",Table111[[#This Row],[Qty]]*Table111[[#This Row],[Unit Price]])</f>
        <v/>
      </c>
      <c r="S628" s="156" t="str">
        <f>IF(Table111[[#This Row],[Qty]]="","",Table111[[#This Row],[Qty]]*Table111[[#This Row],[Unit Price]]+Table111[[#This Row],[Delivery Cost]])</f>
        <v/>
      </c>
      <c r="T628" s="72"/>
      <c r="U628" s="72"/>
      <c r="V628" s="72"/>
      <c r="W628" s="65"/>
      <c r="X628" s="63" t="str">
        <f t="shared" si="27"/>
        <v/>
      </c>
      <c r="Y628" s="63" t="str">
        <f t="shared" si="28"/>
        <v/>
      </c>
      <c r="Z628" s="63" t="str">
        <f t="shared" si="29"/>
        <v/>
      </c>
      <c r="AA628" s="63" t="str">
        <f>TEXT(Table111[[#This Row],[YEAR]],"0000")&amp;"-"&amp;Table111[[#This Row],[MONTH]]</f>
        <v>-</v>
      </c>
    </row>
    <row r="629" spans="2:27" x14ac:dyDescent="0.3">
      <c r="B629" s="68"/>
      <c r="C629" s="68"/>
      <c r="D629" s="68"/>
      <c r="E629" s="71"/>
      <c r="F629" s="72"/>
      <c r="G629" s="70"/>
      <c r="H629" s="70"/>
      <c r="I629" s="70"/>
      <c r="J629" s="70"/>
      <c r="K629" s="70"/>
      <c r="L629" s="74"/>
      <c r="M629" s="123"/>
      <c r="N629" s="73"/>
      <c r="O629" s="236"/>
      <c r="P629" s="117"/>
      <c r="Q629" s="117"/>
      <c r="R629" s="156" t="str">
        <f>IF(Table111[[#This Row],[Qty]]="","",Table111[[#This Row],[Qty]]*Table111[[#This Row],[Unit Price]])</f>
        <v/>
      </c>
      <c r="S629" s="156" t="str">
        <f>IF(Table111[[#This Row],[Qty]]="","",Table111[[#This Row],[Qty]]*Table111[[#This Row],[Unit Price]]+Table111[[#This Row],[Delivery Cost]])</f>
        <v/>
      </c>
      <c r="T629" s="72"/>
      <c r="U629" s="72"/>
      <c r="V629" s="72"/>
      <c r="W629" s="219"/>
      <c r="X629" s="63" t="str">
        <f t="shared" si="27"/>
        <v/>
      </c>
      <c r="Y629" s="63" t="str">
        <f t="shared" si="28"/>
        <v/>
      </c>
      <c r="Z629" s="63" t="str">
        <f t="shared" si="29"/>
        <v/>
      </c>
      <c r="AA629" s="63" t="str">
        <f>TEXT(Table111[[#This Row],[YEAR]],"0000")&amp;"-"&amp;Table111[[#This Row],[MONTH]]</f>
        <v>-</v>
      </c>
    </row>
    <row r="630" spans="2:27" x14ac:dyDescent="0.3">
      <c r="B630" s="183"/>
      <c r="C630" s="183"/>
      <c r="D630" s="183"/>
      <c r="E630" s="71"/>
      <c r="F630" s="72"/>
      <c r="G630" s="70"/>
      <c r="H630" s="70"/>
      <c r="I630" s="70"/>
      <c r="J630" s="274"/>
      <c r="K630" s="70"/>
      <c r="L630" s="74"/>
      <c r="M630" s="123"/>
      <c r="N630" s="73"/>
      <c r="O630" s="236"/>
      <c r="P630" s="117"/>
      <c r="Q630" s="117"/>
      <c r="R630" s="156" t="str">
        <f>IF(Table111[[#This Row],[Qty]]="","",Table111[[#This Row],[Qty]]*Table111[[#This Row],[Unit Price]])</f>
        <v/>
      </c>
      <c r="S630" s="156" t="str">
        <f>IF(Table111[[#This Row],[Qty]]="","",Table111[[#This Row],[Qty]]*Table111[[#This Row],[Unit Price]]+Table111[[#This Row],[Delivery Cost]])</f>
        <v/>
      </c>
      <c r="T630" s="72"/>
      <c r="U630" s="72"/>
      <c r="V630" s="72"/>
      <c r="W630" s="65"/>
      <c r="X630" s="63" t="str">
        <f t="shared" si="27"/>
        <v/>
      </c>
      <c r="Y630" s="63" t="str">
        <f t="shared" si="28"/>
        <v/>
      </c>
      <c r="Z630" s="63" t="str">
        <f t="shared" si="29"/>
        <v/>
      </c>
      <c r="AA630" s="63" t="str">
        <f>TEXT(Table111[[#This Row],[YEAR]],"0000")&amp;"-"&amp;Table111[[#This Row],[MONTH]]</f>
        <v>-</v>
      </c>
    </row>
    <row r="631" spans="2:27" x14ac:dyDescent="0.3">
      <c r="B631" s="68"/>
      <c r="C631" s="68"/>
      <c r="D631" s="68"/>
      <c r="E631" s="71"/>
      <c r="F631" s="72"/>
      <c r="G631" s="70"/>
      <c r="H631" s="70"/>
      <c r="I631" s="70"/>
      <c r="J631" s="70"/>
      <c r="K631" s="70"/>
      <c r="L631" s="74"/>
      <c r="M631" s="123"/>
      <c r="N631" s="73"/>
      <c r="O631" s="236"/>
      <c r="P631" s="117"/>
      <c r="Q631" s="117"/>
      <c r="R631" s="156" t="str">
        <f>IF(Table111[[#This Row],[Qty]]="","",Table111[[#This Row],[Qty]]*Table111[[#This Row],[Unit Price]])</f>
        <v/>
      </c>
      <c r="S631" s="156" t="str">
        <f>IF(Table111[[#This Row],[Qty]]="","",Table111[[#This Row],[Qty]]*Table111[[#This Row],[Unit Price]]+Table111[[#This Row],[Delivery Cost]])</f>
        <v/>
      </c>
      <c r="T631" s="72"/>
      <c r="U631" s="72"/>
      <c r="V631" s="72"/>
      <c r="W631" s="219"/>
      <c r="X631" s="63" t="str">
        <f t="shared" si="27"/>
        <v/>
      </c>
      <c r="Y631" s="63" t="str">
        <f t="shared" si="28"/>
        <v/>
      </c>
      <c r="Z631" s="63" t="str">
        <f t="shared" si="29"/>
        <v/>
      </c>
      <c r="AA631" s="63" t="str">
        <f>TEXT(Table111[[#This Row],[YEAR]],"0000")&amp;"-"&amp;Table111[[#This Row],[MONTH]]</f>
        <v>-</v>
      </c>
    </row>
    <row r="632" spans="2:27" x14ac:dyDescent="0.3">
      <c r="B632" s="183"/>
      <c r="C632" s="183"/>
      <c r="D632" s="183"/>
      <c r="E632" s="71"/>
      <c r="F632" s="72"/>
      <c r="G632" s="70"/>
      <c r="H632" s="70"/>
      <c r="I632" s="70"/>
      <c r="J632" s="274"/>
      <c r="K632" s="70"/>
      <c r="L632" s="74"/>
      <c r="M632" s="123"/>
      <c r="N632" s="73"/>
      <c r="O632" s="236"/>
      <c r="P632" s="117"/>
      <c r="Q632" s="117"/>
      <c r="R632" s="156" t="str">
        <f>IF(Table111[[#This Row],[Qty]]="","",Table111[[#This Row],[Qty]]*Table111[[#This Row],[Unit Price]])</f>
        <v/>
      </c>
      <c r="S632" s="156" t="str">
        <f>IF(Table111[[#This Row],[Qty]]="","",Table111[[#This Row],[Qty]]*Table111[[#This Row],[Unit Price]]+Table111[[#This Row],[Delivery Cost]])</f>
        <v/>
      </c>
      <c r="T632" s="72"/>
      <c r="U632" s="72"/>
      <c r="V632" s="72"/>
      <c r="W632" s="65"/>
      <c r="X632" s="63" t="str">
        <f t="shared" si="27"/>
        <v/>
      </c>
      <c r="Y632" s="63" t="str">
        <f t="shared" si="28"/>
        <v/>
      </c>
      <c r="Z632" s="63" t="str">
        <f t="shared" si="29"/>
        <v/>
      </c>
      <c r="AA632" s="63" t="str">
        <f>TEXT(Table111[[#This Row],[YEAR]],"0000")&amp;"-"&amp;Table111[[#This Row],[MONTH]]</f>
        <v>-</v>
      </c>
    </row>
    <row r="633" spans="2:27" x14ac:dyDescent="0.3">
      <c r="B633" s="68"/>
      <c r="C633" s="68"/>
      <c r="D633" s="68"/>
      <c r="E633" s="71"/>
      <c r="F633" s="72"/>
      <c r="G633" s="70"/>
      <c r="H633" s="70"/>
      <c r="I633" s="70"/>
      <c r="J633" s="70"/>
      <c r="K633" s="70"/>
      <c r="L633" s="74"/>
      <c r="M633" s="123"/>
      <c r="N633" s="73"/>
      <c r="O633" s="236"/>
      <c r="P633" s="117"/>
      <c r="Q633" s="117"/>
      <c r="R633" s="156" t="str">
        <f>IF(Table111[[#This Row],[Qty]]="","",Table111[[#This Row],[Qty]]*Table111[[#This Row],[Unit Price]])</f>
        <v/>
      </c>
      <c r="S633" s="156" t="str">
        <f>IF(Table111[[#This Row],[Qty]]="","",Table111[[#This Row],[Qty]]*Table111[[#This Row],[Unit Price]]+Table111[[#This Row],[Delivery Cost]])</f>
        <v/>
      </c>
      <c r="T633" s="72"/>
      <c r="U633" s="72"/>
      <c r="V633" s="72"/>
      <c r="W633" s="219"/>
      <c r="X633" s="63" t="str">
        <f t="shared" si="27"/>
        <v/>
      </c>
      <c r="Y633" s="63" t="str">
        <f t="shared" si="28"/>
        <v/>
      </c>
      <c r="Z633" s="63" t="str">
        <f t="shared" si="29"/>
        <v/>
      </c>
      <c r="AA633" s="63" t="str">
        <f>TEXT(Table111[[#This Row],[YEAR]],"0000")&amp;"-"&amp;Table111[[#This Row],[MONTH]]</f>
        <v>-</v>
      </c>
    </row>
    <row r="634" spans="2:27" x14ac:dyDescent="0.3">
      <c r="B634" s="183"/>
      <c r="C634" s="183"/>
      <c r="D634" s="183"/>
      <c r="E634" s="71"/>
      <c r="F634" s="72"/>
      <c r="G634" s="70"/>
      <c r="H634" s="70"/>
      <c r="I634" s="70"/>
      <c r="J634" s="274"/>
      <c r="K634" s="70"/>
      <c r="L634" s="74"/>
      <c r="M634" s="123"/>
      <c r="N634" s="73"/>
      <c r="O634" s="236"/>
      <c r="P634" s="117"/>
      <c r="Q634" s="117"/>
      <c r="R634" s="156" t="str">
        <f>IF(Table111[[#This Row],[Qty]]="","",Table111[[#This Row],[Qty]]*Table111[[#This Row],[Unit Price]])</f>
        <v/>
      </c>
      <c r="S634" s="156" t="str">
        <f>IF(Table111[[#This Row],[Qty]]="","",Table111[[#This Row],[Qty]]*Table111[[#This Row],[Unit Price]]+Table111[[#This Row],[Delivery Cost]])</f>
        <v/>
      </c>
      <c r="T634" s="72"/>
      <c r="U634" s="72"/>
      <c r="V634" s="72"/>
      <c r="W634" s="65"/>
      <c r="X634" s="63" t="str">
        <f t="shared" si="27"/>
        <v/>
      </c>
      <c r="Y634" s="63" t="str">
        <f t="shared" si="28"/>
        <v/>
      </c>
      <c r="Z634" s="63" t="str">
        <f t="shared" si="29"/>
        <v/>
      </c>
      <c r="AA634" s="63" t="str">
        <f>TEXT(Table111[[#This Row],[YEAR]],"0000")&amp;"-"&amp;Table111[[#This Row],[MONTH]]</f>
        <v>-</v>
      </c>
    </row>
    <row r="635" spans="2:27" x14ac:dyDescent="0.3">
      <c r="B635" s="68"/>
      <c r="C635" s="68"/>
      <c r="D635" s="68"/>
      <c r="E635" s="71"/>
      <c r="F635" s="72"/>
      <c r="G635" s="70"/>
      <c r="H635" s="70"/>
      <c r="I635" s="70"/>
      <c r="J635" s="70"/>
      <c r="K635" s="70"/>
      <c r="L635" s="74"/>
      <c r="M635" s="123"/>
      <c r="N635" s="73"/>
      <c r="O635" s="236"/>
      <c r="P635" s="117"/>
      <c r="Q635" s="117"/>
      <c r="R635" s="156" t="str">
        <f>IF(Table111[[#This Row],[Qty]]="","",Table111[[#This Row],[Qty]]*Table111[[#This Row],[Unit Price]])</f>
        <v/>
      </c>
      <c r="S635" s="156" t="str">
        <f>IF(Table111[[#This Row],[Qty]]="","",Table111[[#This Row],[Qty]]*Table111[[#This Row],[Unit Price]]+Table111[[#This Row],[Delivery Cost]])</f>
        <v/>
      </c>
      <c r="T635" s="72"/>
      <c r="U635" s="72"/>
      <c r="V635" s="72"/>
      <c r="W635" s="219"/>
      <c r="X635" s="63" t="str">
        <f t="shared" si="27"/>
        <v/>
      </c>
      <c r="Y635" s="63" t="str">
        <f t="shared" si="28"/>
        <v/>
      </c>
      <c r="Z635" s="63" t="str">
        <f t="shared" si="29"/>
        <v/>
      </c>
      <c r="AA635" s="63" t="str">
        <f>TEXT(Table111[[#This Row],[YEAR]],"0000")&amp;"-"&amp;Table111[[#This Row],[MONTH]]</f>
        <v>-</v>
      </c>
    </row>
    <row r="636" spans="2:27" x14ac:dyDescent="0.3">
      <c r="B636" s="183"/>
      <c r="C636" s="183"/>
      <c r="D636" s="183"/>
      <c r="E636" s="71"/>
      <c r="F636" s="72"/>
      <c r="G636" s="70"/>
      <c r="H636" s="70"/>
      <c r="I636" s="70"/>
      <c r="J636" s="274"/>
      <c r="K636" s="70"/>
      <c r="L636" s="74"/>
      <c r="M636" s="123"/>
      <c r="N636" s="73"/>
      <c r="O636" s="236"/>
      <c r="P636" s="117"/>
      <c r="Q636" s="117"/>
      <c r="R636" s="156" t="str">
        <f>IF(Table111[[#This Row],[Qty]]="","",Table111[[#This Row],[Qty]]*Table111[[#This Row],[Unit Price]])</f>
        <v/>
      </c>
      <c r="S636" s="156" t="str">
        <f>IF(Table111[[#This Row],[Qty]]="","",Table111[[#This Row],[Qty]]*Table111[[#This Row],[Unit Price]]+Table111[[#This Row],[Delivery Cost]])</f>
        <v/>
      </c>
      <c r="T636" s="72"/>
      <c r="U636" s="72"/>
      <c r="V636" s="72"/>
      <c r="W636" s="65"/>
      <c r="X636" s="63" t="str">
        <f t="shared" si="27"/>
        <v/>
      </c>
      <c r="Y636" s="63" t="str">
        <f t="shared" si="28"/>
        <v/>
      </c>
      <c r="Z636" s="63" t="str">
        <f t="shared" si="29"/>
        <v/>
      </c>
      <c r="AA636" s="63" t="str">
        <f>TEXT(Table111[[#This Row],[YEAR]],"0000")&amp;"-"&amp;Table111[[#This Row],[MONTH]]</f>
        <v>-</v>
      </c>
    </row>
    <row r="637" spans="2:27" x14ac:dyDescent="0.3">
      <c r="B637" s="68"/>
      <c r="C637" s="68"/>
      <c r="D637" s="68"/>
      <c r="E637" s="71"/>
      <c r="F637" s="72"/>
      <c r="G637" s="70"/>
      <c r="H637" s="70"/>
      <c r="I637" s="70"/>
      <c r="J637" s="70"/>
      <c r="K637" s="70"/>
      <c r="L637" s="74"/>
      <c r="M637" s="123"/>
      <c r="N637" s="73"/>
      <c r="O637" s="236"/>
      <c r="P637" s="117"/>
      <c r="Q637" s="117"/>
      <c r="R637" s="156" t="str">
        <f>IF(Table111[[#This Row],[Qty]]="","",Table111[[#This Row],[Qty]]*Table111[[#This Row],[Unit Price]])</f>
        <v/>
      </c>
      <c r="S637" s="156" t="str">
        <f>IF(Table111[[#This Row],[Qty]]="","",Table111[[#This Row],[Qty]]*Table111[[#This Row],[Unit Price]]+Table111[[#This Row],[Delivery Cost]])</f>
        <v/>
      </c>
      <c r="T637" s="72"/>
      <c r="U637" s="72"/>
      <c r="V637" s="72"/>
      <c r="W637" s="219"/>
      <c r="X637" s="63" t="str">
        <f t="shared" si="27"/>
        <v/>
      </c>
      <c r="Y637" s="63" t="str">
        <f t="shared" si="28"/>
        <v/>
      </c>
      <c r="Z637" s="63" t="str">
        <f t="shared" si="29"/>
        <v/>
      </c>
      <c r="AA637" s="63" t="str">
        <f>TEXT(Table111[[#This Row],[YEAR]],"0000")&amp;"-"&amp;Table111[[#This Row],[MONTH]]</f>
        <v>-</v>
      </c>
    </row>
    <row r="638" spans="2:27" x14ac:dyDescent="0.3">
      <c r="B638" s="183"/>
      <c r="C638" s="183"/>
      <c r="D638" s="183"/>
      <c r="E638" s="71"/>
      <c r="F638" s="72"/>
      <c r="G638" s="70"/>
      <c r="H638" s="70"/>
      <c r="I638" s="70"/>
      <c r="J638" s="274"/>
      <c r="K638" s="70"/>
      <c r="L638" s="74"/>
      <c r="M638" s="123"/>
      <c r="N638" s="73"/>
      <c r="O638" s="236"/>
      <c r="P638" s="117"/>
      <c r="Q638" s="117"/>
      <c r="R638" s="156" t="str">
        <f>IF(Table111[[#This Row],[Qty]]="","",Table111[[#This Row],[Qty]]*Table111[[#This Row],[Unit Price]])</f>
        <v/>
      </c>
      <c r="S638" s="156" t="str">
        <f>IF(Table111[[#This Row],[Qty]]="","",Table111[[#This Row],[Qty]]*Table111[[#This Row],[Unit Price]]+Table111[[#This Row],[Delivery Cost]])</f>
        <v/>
      </c>
      <c r="T638" s="72"/>
      <c r="U638" s="72"/>
      <c r="V638" s="72"/>
      <c r="W638" s="65"/>
      <c r="X638" s="63" t="str">
        <f t="shared" si="27"/>
        <v/>
      </c>
      <c r="Y638" s="63" t="str">
        <f t="shared" si="28"/>
        <v/>
      </c>
      <c r="Z638" s="63" t="str">
        <f t="shared" si="29"/>
        <v/>
      </c>
      <c r="AA638" s="63" t="str">
        <f>TEXT(Table111[[#This Row],[YEAR]],"0000")&amp;"-"&amp;Table111[[#This Row],[MONTH]]</f>
        <v>-</v>
      </c>
    </row>
    <row r="639" spans="2:27" x14ac:dyDescent="0.3">
      <c r="B639" s="68"/>
      <c r="C639" s="68"/>
      <c r="D639" s="68"/>
      <c r="E639" s="71"/>
      <c r="F639" s="72"/>
      <c r="G639" s="70"/>
      <c r="H639" s="74"/>
      <c r="I639" s="70"/>
      <c r="J639" s="70"/>
      <c r="K639" s="70"/>
      <c r="L639" s="74"/>
      <c r="M639" s="123"/>
      <c r="N639" s="73"/>
      <c r="O639" s="236"/>
      <c r="P639" s="117"/>
      <c r="Q639" s="117"/>
      <c r="R639" s="156" t="str">
        <f>IF(Table111[[#This Row],[Qty]]="","",Table111[[#This Row],[Qty]]*Table111[[#This Row],[Unit Price]])</f>
        <v/>
      </c>
      <c r="S639" s="156" t="str">
        <f>IF(Table111[[#This Row],[Qty]]="","",Table111[[#This Row],[Qty]]*Table111[[#This Row],[Unit Price]]+Table111[[#This Row],[Delivery Cost]])</f>
        <v/>
      </c>
      <c r="T639" s="72"/>
      <c r="U639" s="72"/>
      <c r="V639" s="72"/>
      <c r="W639" s="219"/>
      <c r="X639" s="63" t="str">
        <f t="shared" si="27"/>
        <v/>
      </c>
      <c r="Y639" s="63" t="str">
        <f t="shared" si="28"/>
        <v/>
      </c>
      <c r="Z639" s="63" t="str">
        <f t="shared" si="29"/>
        <v/>
      </c>
      <c r="AA639" s="63" t="str">
        <f>TEXT(Table111[[#This Row],[YEAR]],"0000")&amp;"-"&amp;Table111[[#This Row],[MONTH]]</f>
        <v>-</v>
      </c>
    </row>
    <row r="640" spans="2:27" x14ac:dyDescent="0.3">
      <c r="B640" s="183"/>
      <c r="C640" s="183"/>
      <c r="D640" s="183"/>
      <c r="E640" s="71"/>
      <c r="F640" s="72"/>
      <c r="G640" s="70"/>
      <c r="H640" s="74"/>
      <c r="I640" s="70"/>
      <c r="J640" s="70"/>
      <c r="K640" s="70"/>
      <c r="L640" s="74"/>
      <c r="M640" s="123"/>
      <c r="N640" s="73"/>
      <c r="O640" s="236"/>
      <c r="P640" s="117"/>
      <c r="Q640" s="117"/>
      <c r="R640" s="156" t="str">
        <f>IF(Table111[[#This Row],[Qty]]="","",Table111[[#This Row],[Qty]]*Table111[[#This Row],[Unit Price]])</f>
        <v/>
      </c>
      <c r="S640" s="156" t="str">
        <f>IF(Table111[[#This Row],[Qty]]="","",Table111[[#This Row],[Qty]]*Table111[[#This Row],[Unit Price]]+Table111[[#This Row],[Delivery Cost]])</f>
        <v/>
      </c>
      <c r="T640" s="72"/>
      <c r="U640" s="72"/>
      <c r="V640" s="72"/>
      <c r="W640" s="65"/>
      <c r="X640" s="63" t="str">
        <f t="shared" si="27"/>
        <v/>
      </c>
      <c r="Y640" s="63" t="str">
        <f t="shared" si="28"/>
        <v/>
      </c>
      <c r="Z640" s="63" t="str">
        <f t="shared" si="29"/>
        <v/>
      </c>
      <c r="AA640" s="63" t="str">
        <f>TEXT(Table111[[#This Row],[YEAR]],"0000")&amp;"-"&amp;Table111[[#This Row],[MONTH]]</f>
        <v>-</v>
      </c>
    </row>
    <row r="641" spans="2:27" x14ac:dyDescent="0.3">
      <c r="B641" s="68"/>
      <c r="C641" s="68"/>
      <c r="D641" s="68"/>
      <c r="E641" s="71"/>
      <c r="F641" s="72"/>
      <c r="G641" s="70"/>
      <c r="H641" s="74"/>
      <c r="I641" s="70"/>
      <c r="J641" s="70"/>
      <c r="K641" s="70"/>
      <c r="L641" s="74"/>
      <c r="M641" s="123"/>
      <c r="N641" s="73"/>
      <c r="O641" s="236"/>
      <c r="P641" s="117"/>
      <c r="Q641" s="117"/>
      <c r="R641" s="156" t="str">
        <f>IF(Table111[[#This Row],[Qty]]="","",Table111[[#This Row],[Qty]]*Table111[[#This Row],[Unit Price]])</f>
        <v/>
      </c>
      <c r="S641" s="156" t="str">
        <f>IF(Table111[[#This Row],[Qty]]="","",Table111[[#This Row],[Qty]]*Table111[[#This Row],[Unit Price]]+Table111[[#This Row],[Delivery Cost]])</f>
        <v/>
      </c>
      <c r="T641" s="72"/>
      <c r="U641" s="72"/>
      <c r="V641" s="72"/>
      <c r="W641" s="219"/>
      <c r="X641" s="63" t="str">
        <f t="shared" si="27"/>
        <v/>
      </c>
      <c r="Y641" s="63" t="str">
        <f t="shared" si="28"/>
        <v/>
      </c>
      <c r="Z641" s="63" t="str">
        <f t="shared" si="29"/>
        <v/>
      </c>
      <c r="AA641" s="63" t="str">
        <f>TEXT(Table111[[#This Row],[YEAR]],"0000")&amp;"-"&amp;Table111[[#This Row],[MONTH]]</f>
        <v>-</v>
      </c>
    </row>
    <row r="642" spans="2:27" x14ac:dyDescent="0.3">
      <c r="B642" s="183"/>
      <c r="C642" s="183"/>
      <c r="D642" s="183"/>
      <c r="E642" s="71"/>
      <c r="F642" s="72"/>
      <c r="G642" s="70"/>
      <c r="H642" s="74"/>
      <c r="I642" s="70"/>
      <c r="J642" s="70"/>
      <c r="K642" s="70"/>
      <c r="L642" s="74"/>
      <c r="M642" s="123"/>
      <c r="N642" s="73"/>
      <c r="O642" s="236"/>
      <c r="P642" s="117"/>
      <c r="Q642" s="117"/>
      <c r="R642" s="156" t="str">
        <f>IF(Table111[[#This Row],[Qty]]="","",Table111[[#This Row],[Qty]]*Table111[[#This Row],[Unit Price]])</f>
        <v/>
      </c>
      <c r="S642" s="156" t="str">
        <f>IF(Table111[[#This Row],[Qty]]="","",Table111[[#This Row],[Qty]]*Table111[[#This Row],[Unit Price]]+Table111[[#This Row],[Delivery Cost]])</f>
        <v/>
      </c>
      <c r="T642" s="72"/>
      <c r="U642" s="72"/>
      <c r="V642" s="72"/>
      <c r="W642" s="65"/>
      <c r="X642" s="63" t="str">
        <f t="shared" si="27"/>
        <v/>
      </c>
      <c r="Y642" s="63" t="str">
        <f t="shared" si="28"/>
        <v/>
      </c>
      <c r="Z642" s="63" t="str">
        <f t="shared" si="29"/>
        <v/>
      </c>
      <c r="AA642" s="63" t="str">
        <f>TEXT(Table111[[#This Row],[YEAR]],"0000")&amp;"-"&amp;Table111[[#This Row],[MONTH]]</f>
        <v>-</v>
      </c>
    </row>
    <row r="643" spans="2:27" ht="15.6" x14ac:dyDescent="0.3">
      <c r="B643" s="68"/>
      <c r="C643" s="68"/>
      <c r="D643" s="68"/>
      <c r="E643" s="71"/>
      <c r="F643" s="72"/>
      <c r="G643" s="70"/>
      <c r="H643" s="74"/>
      <c r="I643" s="70"/>
      <c r="J643" s="70"/>
      <c r="K643" s="70"/>
      <c r="L643" s="74"/>
      <c r="M643" s="123"/>
      <c r="N643" s="73"/>
      <c r="O643" s="236"/>
      <c r="P643" s="117"/>
      <c r="Q643" s="117"/>
      <c r="R643" s="156" t="str">
        <f>IF(Table111[[#This Row],[Qty]]="","",Table111[[#This Row],[Qty]]*Table111[[#This Row],[Unit Price]])</f>
        <v/>
      </c>
      <c r="S643" s="156" t="str">
        <f>IF(Table111[[#This Row],[Qty]]="","",Table111[[#This Row],[Qty]]*Table111[[#This Row],[Unit Price]]+Table111[[#This Row],[Delivery Cost]])</f>
        <v/>
      </c>
      <c r="T643" s="72"/>
      <c r="U643" s="72"/>
      <c r="V643" s="72"/>
      <c r="W643" s="227"/>
      <c r="X643" s="63" t="str">
        <f t="shared" ref="X643:X706" si="30">IF(E643=0,"",YEAR(E643))</f>
        <v/>
      </c>
      <c r="Y643" s="63" t="str">
        <f t="shared" ref="Y643:Y706" si="31">IF(E643=0,"",MONTH(E643))</f>
        <v/>
      </c>
      <c r="Z643" s="63" t="str">
        <f t="shared" ref="Z643:Z706" si="32">IF(E643=0,"",WEEKNUM(E643))</f>
        <v/>
      </c>
      <c r="AA643" s="63" t="str">
        <f>TEXT(Table111[[#This Row],[YEAR]],"0000")&amp;"-"&amp;Table111[[#This Row],[MONTH]]</f>
        <v>-</v>
      </c>
    </row>
    <row r="644" spans="2:27" x14ac:dyDescent="0.3">
      <c r="B644" s="68"/>
      <c r="C644" s="68"/>
      <c r="D644" s="68"/>
      <c r="E644" s="71"/>
      <c r="F644" s="72"/>
      <c r="G644" s="70"/>
      <c r="H644" s="74"/>
      <c r="I644" s="70"/>
      <c r="J644" s="70"/>
      <c r="K644" s="70"/>
      <c r="L644" s="74"/>
      <c r="M644" s="123"/>
      <c r="N644" s="73"/>
      <c r="O644" s="236"/>
      <c r="P644" s="117"/>
      <c r="Q644" s="117"/>
      <c r="R644" s="156" t="str">
        <f>IF(Table111[[#This Row],[Qty]]="","",Table111[[#This Row],[Qty]]*Table111[[#This Row],[Unit Price]])</f>
        <v/>
      </c>
      <c r="S644" s="156" t="str">
        <f>IF(Table111[[#This Row],[Qty]]="","",Table111[[#This Row],[Qty]]*Table111[[#This Row],[Unit Price]]+Table111[[#This Row],[Delivery Cost]])</f>
        <v/>
      </c>
      <c r="T644" s="72"/>
      <c r="U644" s="72"/>
      <c r="V644" s="72"/>
      <c r="W644" s="65"/>
      <c r="X644" s="63" t="str">
        <f t="shared" si="30"/>
        <v/>
      </c>
      <c r="Y644" s="63" t="str">
        <f t="shared" si="31"/>
        <v/>
      </c>
      <c r="Z644" s="63" t="str">
        <f t="shared" si="32"/>
        <v/>
      </c>
      <c r="AA644" s="63" t="str">
        <f>TEXT(Table111[[#This Row],[YEAR]],"0000")&amp;"-"&amp;Table111[[#This Row],[MONTH]]</f>
        <v>-</v>
      </c>
    </row>
    <row r="645" spans="2:27" x14ac:dyDescent="0.3">
      <c r="B645" s="68"/>
      <c r="C645" s="68"/>
      <c r="D645" s="68"/>
      <c r="E645" s="71"/>
      <c r="F645" s="72"/>
      <c r="G645" s="70"/>
      <c r="H645" s="74"/>
      <c r="I645" s="70"/>
      <c r="J645" s="70"/>
      <c r="K645" s="70"/>
      <c r="L645" s="74"/>
      <c r="M645" s="123"/>
      <c r="N645" s="73"/>
      <c r="O645" s="236"/>
      <c r="P645" s="117"/>
      <c r="Q645" s="117"/>
      <c r="R645" s="156" t="str">
        <f>IF(Table111[[#This Row],[Qty]]="","",Table111[[#This Row],[Qty]]*Table111[[#This Row],[Unit Price]])</f>
        <v/>
      </c>
      <c r="S645" s="156" t="str">
        <f>IF(Table111[[#This Row],[Qty]]="","",Table111[[#This Row],[Qty]]*Table111[[#This Row],[Unit Price]]+Table111[[#This Row],[Delivery Cost]])</f>
        <v/>
      </c>
      <c r="T645" s="72"/>
      <c r="U645" s="72"/>
      <c r="V645" s="72"/>
      <c r="W645" s="219"/>
      <c r="X645" s="63" t="str">
        <f t="shared" si="30"/>
        <v/>
      </c>
      <c r="Y645" s="63" t="str">
        <f t="shared" si="31"/>
        <v/>
      </c>
      <c r="Z645" s="63" t="str">
        <f t="shared" si="32"/>
        <v/>
      </c>
      <c r="AA645" s="63" t="str">
        <f>TEXT(Table111[[#This Row],[YEAR]],"0000")&amp;"-"&amp;Table111[[#This Row],[MONTH]]</f>
        <v>-</v>
      </c>
    </row>
    <row r="646" spans="2:27" x14ac:dyDescent="0.3">
      <c r="B646" s="183"/>
      <c r="C646" s="68"/>
      <c r="D646" s="183"/>
      <c r="E646" s="71"/>
      <c r="F646" s="72"/>
      <c r="G646" s="70"/>
      <c r="H646" s="74"/>
      <c r="I646" s="70"/>
      <c r="J646" s="70"/>
      <c r="K646" s="70"/>
      <c r="L646" s="74"/>
      <c r="M646" s="123"/>
      <c r="N646" s="73"/>
      <c r="O646" s="236"/>
      <c r="P646" s="117"/>
      <c r="Q646" s="117"/>
      <c r="R646" s="156" t="str">
        <f>IF(Table111[[#This Row],[Qty]]="","",Table111[[#This Row],[Qty]]*Table111[[#This Row],[Unit Price]])</f>
        <v/>
      </c>
      <c r="S646" s="156" t="str">
        <f>IF(Table111[[#This Row],[Qty]]="","",Table111[[#This Row],[Qty]]*Table111[[#This Row],[Unit Price]]+Table111[[#This Row],[Delivery Cost]])</f>
        <v/>
      </c>
      <c r="T646" s="72"/>
      <c r="U646" s="72"/>
      <c r="V646" s="72"/>
      <c r="W646" s="65"/>
      <c r="X646" s="63" t="str">
        <f t="shared" si="30"/>
        <v/>
      </c>
      <c r="Y646" s="63" t="str">
        <f t="shared" si="31"/>
        <v/>
      </c>
      <c r="Z646" s="63" t="str">
        <f t="shared" si="32"/>
        <v/>
      </c>
      <c r="AA646" s="63" t="str">
        <f>TEXT(Table111[[#This Row],[YEAR]],"0000")&amp;"-"&amp;Table111[[#This Row],[MONTH]]</f>
        <v>-</v>
      </c>
    </row>
    <row r="647" spans="2:27" x14ac:dyDescent="0.3">
      <c r="B647" s="68"/>
      <c r="C647" s="68"/>
      <c r="D647" s="68"/>
      <c r="E647" s="71"/>
      <c r="F647" s="72"/>
      <c r="G647" s="70"/>
      <c r="H647" s="74"/>
      <c r="I647" s="70"/>
      <c r="J647" s="70"/>
      <c r="K647" s="70"/>
      <c r="L647" s="74"/>
      <c r="M647" s="123"/>
      <c r="N647" s="73"/>
      <c r="O647" s="236"/>
      <c r="P647" s="117"/>
      <c r="Q647" s="117"/>
      <c r="R647" s="156" t="str">
        <f>IF(Table111[[#This Row],[Qty]]="","",Table111[[#This Row],[Qty]]*Table111[[#This Row],[Unit Price]])</f>
        <v/>
      </c>
      <c r="S647" s="156" t="str">
        <f>IF(Table111[[#This Row],[Qty]]="","",Table111[[#This Row],[Qty]]*Table111[[#This Row],[Unit Price]]+Table111[[#This Row],[Delivery Cost]])</f>
        <v/>
      </c>
      <c r="T647" s="72"/>
      <c r="U647" s="72"/>
      <c r="V647" s="72"/>
      <c r="W647" s="219"/>
      <c r="X647" s="63" t="str">
        <f t="shared" si="30"/>
        <v/>
      </c>
      <c r="Y647" s="63" t="str">
        <f t="shared" si="31"/>
        <v/>
      </c>
      <c r="Z647" s="63" t="str">
        <f t="shared" si="32"/>
        <v/>
      </c>
      <c r="AA647" s="63" t="str">
        <f>TEXT(Table111[[#This Row],[YEAR]],"0000")&amp;"-"&amp;Table111[[#This Row],[MONTH]]</f>
        <v>-</v>
      </c>
    </row>
    <row r="648" spans="2:27" x14ac:dyDescent="0.3">
      <c r="B648" s="183"/>
      <c r="C648" s="68"/>
      <c r="D648" s="183"/>
      <c r="E648" s="71"/>
      <c r="F648" s="72"/>
      <c r="G648" s="70"/>
      <c r="H648" s="74"/>
      <c r="I648" s="70"/>
      <c r="J648" s="70"/>
      <c r="K648" s="70"/>
      <c r="L648" s="74"/>
      <c r="M648" s="123"/>
      <c r="N648" s="73"/>
      <c r="O648" s="236"/>
      <c r="P648" s="117"/>
      <c r="Q648" s="117"/>
      <c r="R648" s="156" t="str">
        <f>IF(Table111[[#This Row],[Qty]]="","",Table111[[#This Row],[Qty]]*Table111[[#This Row],[Unit Price]])</f>
        <v/>
      </c>
      <c r="S648" s="156" t="str">
        <f>IF(Table111[[#This Row],[Qty]]="","",Table111[[#This Row],[Qty]]*Table111[[#This Row],[Unit Price]]+Table111[[#This Row],[Delivery Cost]])</f>
        <v/>
      </c>
      <c r="T648" s="72"/>
      <c r="U648" s="72"/>
      <c r="V648" s="72"/>
      <c r="W648" s="65"/>
      <c r="X648" s="63" t="str">
        <f t="shared" si="30"/>
        <v/>
      </c>
      <c r="Y648" s="63" t="str">
        <f t="shared" si="31"/>
        <v/>
      </c>
      <c r="Z648" s="63" t="str">
        <f t="shared" si="32"/>
        <v/>
      </c>
      <c r="AA648" s="63" t="str">
        <f>TEXT(Table111[[#This Row],[YEAR]],"0000")&amp;"-"&amp;Table111[[#This Row],[MONTH]]</f>
        <v>-</v>
      </c>
    </row>
    <row r="649" spans="2:27" x14ac:dyDescent="0.3">
      <c r="B649" s="68"/>
      <c r="C649" s="68"/>
      <c r="D649" s="68"/>
      <c r="E649" s="71"/>
      <c r="F649" s="72"/>
      <c r="G649" s="70"/>
      <c r="H649" s="74"/>
      <c r="I649" s="70"/>
      <c r="J649" s="70"/>
      <c r="K649" s="70"/>
      <c r="L649" s="74"/>
      <c r="M649" s="123"/>
      <c r="N649" s="73"/>
      <c r="O649" s="236"/>
      <c r="P649" s="117"/>
      <c r="Q649" s="117"/>
      <c r="R649" s="156" t="str">
        <f>IF(Table111[[#This Row],[Qty]]="","",Table111[[#This Row],[Qty]]*Table111[[#This Row],[Unit Price]])</f>
        <v/>
      </c>
      <c r="S649" s="156" t="str">
        <f>IF(Table111[[#This Row],[Qty]]="","",Table111[[#This Row],[Qty]]*Table111[[#This Row],[Unit Price]]+Table111[[#This Row],[Delivery Cost]])</f>
        <v/>
      </c>
      <c r="T649" s="72"/>
      <c r="U649" s="72"/>
      <c r="V649" s="72"/>
      <c r="W649" s="219"/>
      <c r="X649" s="63" t="str">
        <f t="shared" si="30"/>
        <v/>
      </c>
      <c r="Y649" s="63" t="str">
        <f t="shared" si="31"/>
        <v/>
      </c>
      <c r="Z649" s="63" t="str">
        <f t="shared" si="32"/>
        <v/>
      </c>
      <c r="AA649" s="63" t="str">
        <f>TEXT(Table111[[#This Row],[YEAR]],"0000")&amp;"-"&amp;Table111[[#This Row],[MONTH]]</f>
        <v>-</v>
      </c>
    </row>
    <row r="650" spans="2:27" x14ac:dyDescent="0.3">
      <c r="B650" s="183"/>
      <c r="C650" s="68"/>
      <c r="D650" s="183"/>
      <c r="E650" s="71"/>
      <c r="F650" s="72"/>
      <c r="G650" s="70"/>
      <c r="H650" s="74"/>
      <c r="I650" s="70"/>
      <c r="J650" s="70"/>
      <c r="K650" s="70"/>
      <c r="L650" s="74"/>
      <c r="M650" s="123"/>
      <c r="N650" s="73"/>
      <c r="O650" s="236"/>
      <c r="P650" s="117"/>
      <c r="Q650" s="117"/>
      <c r="R650" s="156" t="str">
        <f>IF(Table111[[#This Row],[Qty]]="","",Table111[[#This Row],[Qty]]*Table111[[#This Row],[Unit Price]])</f>
        <v/>
      </c>
      <c r="S650" s="156" t="str">
        <f>IF(Table111[[#This Row],[Qty]]="","",Table111[[#This Row],[Qty]]*Table111[[#This Row],[Unit Price]]+Table111[[#This Row],[Delivery Cost]])</f>
        <v/>
      </c>
      <c r="T650" s="72"/>
      <c r="U650" s="72"/>
      <c r="V650" s="72"/>
      <c r="W650" s="65"/>
      <c r="X650" s="63" t="str">
        <f t="shared" si="30"/>
        <v/>
      </c>
      <c r="Y650" s="63" t="str">
        <f t="shared" si="31"/>
        <v/>
      </c>
      <c r="Z650" s="63" t="str">
        <f t="shared" si="32"/>
        <v/>
      </c>
      <c r="AA650" s="63" t="str">
        <f>TEXT(Table111[[#This Row],[YEAR]],"0000")&amp;"-"&amp;Table111[[#This Row],[MONTH]]</f>
        <v>-</v>
      </c>
    </row>
    <row r="651" spans="2:27" x14ac:dyDescent="0.3">
      <c r="B651" s="68"/>
      <c r="C651" s="68"/>
      <c r="D651" s="68"/>
      <c r="E651" s="71"/>
      <c r="F651" s="72"/>
      <c r="G651" s="70"/>
      <c r="H651" s="74"/>
      <c r="I651" s="70"/>
      <c r="J651" s="70"/>
      <c r="K651" s="70"/>
      <c r="L651" s="74"/>
      <c r="M651" s="123"/>
      <c r="N651" s="73"/>
      <c r="O651" s="236"/>
      <c r="P651" s="117"/>
      <c r="Q651" s="117"/>
      <c r="R651" s="156" t="str">
        <f>IF(Table111[[#This Row],[Qty]]="","",Table111[[#This Row],[Qty]]*Table111[[#This Row],[Unit Price]])</f>
        <v/>
      </c>
      <c r="S651" s="156" t="str">
        <f>IF(Table111[[#This Row],[Qty]]="","",Table111[[#This Row],[Qty]]*Table111[[#This Row],[Unit Price]]+Table111[[#This Row],[Delivery Cost]])</f>
        <v/>
      </c>
      <c r="T651" s="72"/>
      <c r="U651" s="72"/>
      <c r="V651" s="72"/>
      <c r="W651" s="219"/>
      <c r="X651" s="63" t="str">
        <f t="shared" si="30"/>
        <v/>
      </c>
      <c r="Y651" s="63" t="str">
        <f t="shared" si="31"/>
        <v/>
      </c>
      <c r="Z651" s="63" t="str">
        <f t="shared" si="32"/>
        <v/>
      </c>
      <c r="AA651" s="63" t="str">
        <f>TEXT(Table111[[#This Row],[YEAR]],"0000")&amp;"-"&amp;Table111[[#This Row],[MONTH]]</f>
        <v>-</v>
      </c>
    </row>
    <row r="652" spans="2:27" x14ac:dyDescent="0.3">
      <c r="B652" s="183"/>
      <c r="C652" s="68"/>
      <c r="D652" s="68"/>
      <c r="E652" s="71"/>
      <c r="F652" s="72"/>
      <c r="G652" s="70"/>
      <c r="H652" s="74"/>
      <c r="I652" s="70"/>
      <c r="J652" s="70"/>
      <c r="K652" s="70"/>
      <c r="L652" s="74"/>
      <c r="M652" s="123"/>
      <c r="N652" s="73"/>
      <c r="O652" s="236"/>
      <c r="P652" s="117"/>
      <c r="Q652" s="117"/>
      <c r="R652" s="156" t="str">
        <f>IF(Table111[[#This Row],[Qty]]="","",Table111[[#This Row],[Qty]]*Table111[[#This Row],[Unit Price]])</f>
        <v/>
      </c>
      <c r="S652" s="156" t="str">
        <f>IF(Table111[[#This Row],[Qty]]="","",Table111[[#This Row],[Qty]]*Table111[[#This Row],[Unit Price]]+Table111[[#This Row],[Delivery Cost]])</f>
        <v/>
      </c>
      <c r="T652" s="72"/>
      <c r="U652" s="72"/>
      <c r="V652" s="72"/>
      <c r="W652" s="65"/>
      <c r="X652" s="63" t="str">
        <f t="shared" si="30"/>
        <v/>
      </c>
      <c r="Y652" s="63" t="str">
        <f t="shared" si="31"/>
        <v/>
      </c>
      <c r="Z652" s="63" t="str">
        <f t="shared" si="32"/>
        <v/>
      </c>
      <c r="AA652" s="63" t="str">
        <f>TEXT(Table111[[#This Row],[YEAR]],"0000")&amp;"-"&amp;Table111[[#This Row],[MONTH]]</f>
        <v>-</v>
      </c>
    </row>
    <row r="653" spans="2:27" x14ac:dyDescent="0.3">
      <c r="B653" s="68"/>
      <c r="C653" s="68"/>
      <c r="D653" s="68"/>
      <c r="E653" s="71"/>
      <c r="F653" s="72"/>
      <c r="G653" s="70"/>
      <c r="H653" s="74"/>
      <c r="I653" s="70"/>
      <c r="J653" s="70"/>
      <c r="K653" s="70"/>
      <c r="L653" s="74"/>
      <c r="M653" s="123"/>
      <c r="N653" s="73"/>
      <c r="O653" s="236"/>
      <c r="P653" s="117"/>
      <c r="Q653" s="117"/>
      <c r="R653" s="156" t="str">
        <f>IF(Table111[[#This Row],[Qty]]="","",Table111[[#This Row],[Qty]]*Table111[[#This Row],[Unit Price]])</f>
        <v/>
      </c>
      <c r="S653" s="156" t="str">
        <f>IF(Table111[[#This Row],[Qty]]="","",Table111[[#This Row],[Qty]]*Table111[[#This Row],[Unit Price]]+Table111[[#This Row],[Delivery Cost]])</f>
        <v/>
      </c>
      <c r="T653" s="72"/>
      <c r="U653" s="72"/>
      <c r="V653" s="72"/>
      <c r="W653" s="219"/>
      <c r="X653" s="63" t="str">
        <f t="shared" si="30"/>
        <v/>
      </c>
      <c r="Y653" s="63" t="str">
        <f t="shared" si="31"/>
        <v/>
      </c>
      <c r="Z653" s="63" t="str">
        <f t="shared" si="32"/>
        <v/>
      </c>
      <c r="AA653" s="63" t="str">
        <f>TEXT(Table111[[#This Row],[YEAR]],"0000")&amp;"-"&amp;Table111[[#This Row],[MONTH]]</f>
        <v>-</v>
      </c>
    </row>
    <row r="654" spans="2:27" x14ac:dyDescent="0.3">
      <c r="B654" s="183"/>
      <c r="C654" s="68"/>
      <c r="D654" s="68"/>
      <c r="E654" s="71"/>
      <c r="F654" s="72"/>
      <c r="G654" s="70"/>
      <c r="H654" s="74"/>
      <c r="I654" s="70"/>
      <c r="J654" s="70"/>
      <c r="K654" s="70"/>
      <c r="L654" s="74"/>
      <c r="M654" s="123"/>
      <c r="N654" s="73"/>
      <c r="O654" s="236"/>
      <c r="P654" s="117"/>
      <c r="Q654" s="117"/>
      <c r="R654" s="156" t="str">
        <f>IF(Table111[[#This Row],[Qty]]="","",Table111[[#This Row],[Qty]]*Table111[[#This Row],[Unit Price]])</f>
        <v/>
      </c>
      <c r="S654" s="156" t="str">
        <f>IF(Table111[[#This Row],[Qty]]="","",Table111[[#This Row],[Qty]]*Table111[[#This Row],[Unit Price]]+Table111[[#This Row],[Delivery Cost]])</f>
        <v/>
      </c>
      <c r="T654" s="72"/>
      <c r="U654" s="72"/>
      <c r="V654" s="72"/>
      <c r="W654" s="65"/>
      <c r="X654" s="63" t="str">
        <f t="shared" si="30"/>
        <v/>
      </c>
      <c r="Y654" s="63" t="str">
        <f t="shared" si="31"/>
        <v/>
      </c>
      <c r="Z654" s="63" t="str">
        <f t="shared" si="32"/>
        <v/>
      </c>
      <c r="AA654" s="63" t="str">
        <f>TEXT(Table111[[#This Row],[YEAR]],"0000")&amp;"-"&amp;Table111[[#This Row],[MONTH]]</f>
        <v>-</v>
      </c>
    </row>
    <row r="655" spans="2:27" x14ac:dyDescent="0.3">
      <c r="B655" s="68"/>
      <c r="C655" s="68"/>
      <c r="D655" s="68"/>
      <c r="E655" s="71"/>
      <c r="F655" s="72"/>
      <c r="G655" s="70"/>
      <c r="H655" s="74"/>
      <c r="I655" s="70"/>
      <c r="J655" s="70"/>
      <c r="K655" s="70"/>
      <c r="L655" s="74"/>
      <c r="M655" s="123"/>
      <c r="N655" s="73"/>
      <c r="O655" s="236"/>
      <c r="P655" s="117"/>
      <c r="Q655" s="117"/>
      <c r="R655" s="156" t="str">
        <f>IF(Table111[[#This Row],[Qty]]="","",Table111[[#This Row],[Qty]]*Table111[[#This Row],[Unit Price]])</f>
        <v/>
      </c>
      <c r="S655" s="156" t="str">
        <f>IF(Table111[[#This Row],[Qty]]="","",Table111[[#This Row],[Qty]]*Table111[[#This Row],[Unit Price]]+Table111[[#This Row],[Delivery Cost]])</f>
        <v/>
      </c>
      <c r="T655" s="72"/>
      <c r="U655" s="72"/>
      <c r="V655" s="72"/>
      <c r="W655" s="219"/>
      <c r="X655" s="63" t="str">
        <f t="shared" si="30"/>
        <v/>
      </c>
      <c r="Y655" s="63" t="str">
        <f t="shared" si="31"/>
        <v/>
      </c>
      <c r="Z655" s="63" t="str">
        <f t="shared" si="32"/>
        <v/>
      </c>
      <c r="AA655" s="63" t="str">
        <f>TEXT(Table111[[#This Row],[YEAR]],"0000")&amp;"-"&amp;Table111[[#This Row],[MONTH]]</f>
        <v>-</v>
      </c>
    </row>
    <row r="656" spans="2:27" x14ac:dyDescent="0.3">
      <c r="B656" s="183"/>
      <c r="C656" s="68"/>
      <c r="D656" s="183"/>
      <c r="E656" s="71"/>
      <c r="F656" s="72"/>
      <c r="G656" s="70"/>
      <c r="H656" s="74"/>
      <c r="I656" s="70"/>
      <c r="J656" s="70"/>
      <c r="K656" s="70"/>
      <c r="L656" s="74"/>
      <c r="M656" s="123"/>
      <c r="N656" s="73"/>
      <c r="O656" s="236"/>
      <c r="P656" s="117"/>
      <c r="Q656" s="117"/>
      <c r="R656" s="156" t="str">
        <f>IF(Table111[[#This Row],[Qty]]="","",Table111[[#This Row],[Qty]]*Table111[[#This Row],[Unit Price]])</f>
        <v/>
      </c>
      <c r="S656" s="156" t="str">
        <f>IF(Table111[[#This Row],[Qty]]="","",Table111[[#This Row],[Qty]]*Table111[[#This Row],[Unit Price]]+Table111[[#This Row],[Delivery Cost]])</f>
        <v/>
      </c>
      <c r="T656" s="72"/>
      <c r="U656" s="72"/>
      <c r="V656" s="72"/>
      <c r="W656" s="65"/>
      <c r="X656" s="63" t="str">
        <f t="shared" si="30"/>
        <v/>
      </c>
      <c r="Y656" s="63" t="str">
        <f t="shared" si="31"/>
        <v/>
      </c>
      <c r="Z656" s="63" t="str">
        <f t="shared" si="32"/>
        <v/>
      </c>
      <c r="AA656" s="63" t="str">
        <f>TEXT(Table111[[#This Row],[YEAR]],"0000")&amp;"-"&amp;Table111[[#This Row],[MONTH]]</f>
        <v>-</v>
      </c>
    </row>
    <row r="657" spans="2:27" x14ac:dyDescent="0.3">
      <c r="B657" s="68"/>
      <c r="C657" s="68"/>
      <c r="D657" s="68"/>
      <c r="E657" s="71"/>
      <c r="F657" s="72"/>
      <c r="G657" s="70"/>
      <c r="H657" s="74"/>
      <c r="I657" s="70"/>
      <c r="J657" s="70"/>
      <c r="K657" s="70"/>
      <c r="L657" s="74"/>
      <c r="M657" s="123"/>
      <c r="N657" s="73"/>
      <c r="O657" s="236"/>
      <c r="P657" s="117"/>
      <c r="Q657" s="117"/>
      <c r="R657" s="156" t="str">
        <f>IF(Table111[[#This Row],[Qty]]="","",Table111[[#This Row],[Qty]]*Table111[[#This Row],[Unit Price]])</f>
        <v/>
      </c>
      <c r="S657" s="156" t="str">
        <f>IF(Table111[[#This Row],[Qty]]="","",Table111[[#This Row],[Qty]]*Table111[[#This Row],[Unit Price]]+Table111[[#This Row],[Delivery Cost]])</f>
        <v/>
      </c>
      <c r="T657" s="72"/>
      <c r="U657" s="72"/>
      <c r="V657" s="72"/>
      <c r="W657" s="219"/>
      <c r="X657" s="63" t="str">
        <f t="shared" si="30"/>
        <v/>
      </c>
      <c r="Y657" s="63" t="str">
        <f t="shared" si="31"/>
        <v/>
      </c>
      <c r="Z657" s="63" t="str">
        <f t="shared" si="32"/>
        <v/>
      </c>
      <c r="AA657" s="63" t="str">
        <f>TEXT(Table111[[#This Row],[YEAR]],"0000")&amp;"-"&amp;Table111[[#This Row],[MONTH]]</f>
        <v>-</v>
      </c>
    </row>
    <row r="658" spans="2:27" x14ac:dyDescent="0.3">
      <c r="B658" s="183"/>
      <c r="C658" s="68"/>
      <c r="D658" s="183"/>
      <c r="E658" s="71"/>
      <c r="F658" s="72"/>
      <c r="G658" s="70"/>
      <c r="H658" s="74"/>
      <c r="I658" s="70"/>
      <c r="J658" s="70"/>
      <c r="K658" s="70"/>
      <c r="L658" s="74"/>
      <c r="M658" s="123"/>
      <c r="N658" s="73"/>
      <c r="O658" s="236"/>
      <c r="P658" s="117"/>
      <c r="Q658" s="117"/>
      <c r="R658" s="156" t="str">
        <f>IF(Table111[[#This Row],[Qty]]="","",Table111[[#This Row],[Qty]]*Table111[[#This Row],[Unit Price]])</f>
        <v/>
      </c>
      <c r="S658" s="156" t="str">
        <f>IF(Table111[[#This Row],[Qty]]="","",Table111[[#This Row],[Qty]]*Table111[[#This Row],[Unit Price]]+Table111[[#This Row],[Delivery Cost]])</f>
        <v/>
      </c>
      <c r="T658" s="72"/>
      <c r="U658" s="72"/>
      <c r="V658" s="72"/>
      <c r="W658" s="65"/>
      <c r="X658" s="63" t="str">
        <f t="shared" si="30"/>
        <v/>
      </c>
      <c r="Y658" s="63" t="str">
        <f t="shared" si="31"/>
        <v/>
      </c>
      <c r="Z658" s="63" t="str">
        <f t="shared" si="32"/>
        <v/>
      </c>
      <c r="AA658" s="63" t="str">
        <f>TEXT(Table111[[#This Row],[YEAR]],"0000")&amp;"-"&amp;Table111[[#This Row],[MONTH]]</f>
        <v>-</v>
      </c>
    </row>
    <row r="659" spans="2:27" x14ac:dyDescent="0.3">
      <c r="B659" s="68"/>
      <c r="C659" s="68"/>
      <c r="D659" s="68"/>
      <c r="E659" s="71"/>
      <c r="F659" s="72"/>
      <c r="G659" s="70"/>
      <c r="H659" s="74"/>
      <c r="I659" s="70"/>
      <c r="J659" s="70"/>
      <c r="K659" s="70"/>
      <c r="L659" s="74"/>
      <c r="M659" s="123"/>
      <c r="N659" s="73"/>
      <c r="O659" s="236"/>
      <c r="P659" s="117"/>
      <c r="Q659" s="117"/>
      <c r="R659" s="156" t="str">
        <f>IF(Table111[[#This Row],[Qty]]="","",Table111[[#This Row],[Qty]]*Table111[[#This Row],[Unit Price]])</f>
        <v/>
      </c>
      <c r="S659" s="156" t="str">
        <f>IF(Table111[[#This Row],[Qty]]="","",Table111[[#This Row],[Qty]]*Table111[[#This Row],[Unit Price]]+Table111[[#This Row],[Delivery Cost]])</f>
        <v/>
      </c>
      <c r="T659" s="72"/>
      <c r="U659" s="72"/>
      <c r="V659" s="72"/>
      <c r="W659" s="219"/>
      <c r="X659" s="63" t="str">
        <f t="shared" si="30"/>
        <v/>
      </c>
      <c r="Y659" s="63" t="str">
        <f t="shared" si="31"/>
        <v/>
      </c>
      <c r="Z659" s="63" t="str">
        <f t="shared" si="32"/>
        <v/>
      </c>
      <c r="AA659" s="63" t="str">
        <f>TEXT(Table111[[#This Row],[YEAR]],"0000")&amp;"-"&amp;Table111[[#This Row],[MONTH]]</f>
        <v>-</v>
      </c>
    </row>
    <row r="660" spans="2:27" x14ac:dyDescent="0.3">
      <c r="B660" s="183"/>
      <c r="C660" s="68"/>
      <c r="D660" s="183"/>
      <c r="E660" s="71"/>
      <c r="F660" s="72"/>
      <c r="G660" s="70"/>
      <c r="H660" s="74"/>
      <c r="I660" s="70"/>
      <c r="J660" s="70"/>
      <c r="K660" s="70"/>
      <c r="L660" s="74"/>
      <c r="M660" s="123"/>
      <c r="N660" s="73"/>
      <c r="O660" s="236"/>
      <c r="P660" s="117"/>
      <c r="Q660" s="117"/>
      <c r="R660" s="156" t="str">
        <f>IF(Table111[[#This Row],[Qty]]="","",Table111[[#This Row],[Qty]]*Table111[[#This Row],[Unit Price]])</f>
        <v/>
      </c>
      <c r="S660" s="156" t="str">
        <f>IF(Table111[[#This Row],[Qty]]="","",Table111[[#This Row],[Qty]]*Table111[[#This Row],[Unit Price]]+Table111[[#This Row],[Delivery Cost]])</f>
        <v/>
      </c>
      <c r="T660" s="72"/>
      <c r="U660" s="72"/>
      <c r="V660" s="72"/>
      <c r="W660" s="65"/>
      <c r="X660" s="63" t="str">
        <f t="shared" si="30"/>
        <v/>
      </c>
      <c r="Y660" s="63" t="str">
        <f t="shared" si="31"/>
        <v/>
      </c>
      <c r="Z660" s="63" t="str">
        <f t="shared" si="32"/>
        <v/>
      </c>
      <c r="AA660" s="63" t="str">
        <f>TEXT(Table111[[#This Row],[YEAR]],"0000")&amp;"-"&amp;Table111[[#This Row],[MONTH]]</f>
        <v>-</v>
      </c>
    </row>
    <row r="661" spans="2:27" x14ac:dyDescent="0.3">
      <c r="B661" s="68"/>
      <c r="C661" s="68"/>
      <c r="D661" s="68"/>
      <c r="E661" s="71"/>
      <c r="F661" s="72"/>
      <c r="G661" s="70"/>
      <c r="H661" s="74"/>
      <c r="I661" s="70"/>
      <c r="J661" s="70"/>
      <c r="K661" s="70"/>
      <c r="L661" s="74"/>
      <c r="M661" s="123"/>
      <c r="N661" s="73"/>
      <c r="O661" s="236"/>
      <c r="P661" s="117"/>
      <c r="Q661" s="117"/>
      <c r="R661" s="156" t="str">
        <f>IF(Table111[[#This Row],[Qty]]="","",Table111[[#This Row],[Qty]]*Table111[[#This Row],[Unit Price]])</f>
        <v/>
      </c>
      <c r="S661" s="156" t="str">
        <f>IF(Table111[[#This Row],[Qty]]="","",Table111[[#This Row],[Qty]]*Table111[[#This Row],[Unit Price]]+Table111[[#This Row],[Delivery Cost]])</f>
        <v/>
      </c>
      <c r="T661" s="72"/>
      <c r="U661" s="72"/>
      <c r="V661" s="72"/>
      <c r="W661" s="219"/>
      <c r="X661" s="63" t="str">
        <f t="shared" si="30"/>
        <v/>
      </c>
      <c r="Y661" s="63" t="str">
        <f t="shared" si="31"/>
        <v/>
      </c>
      <c r="Z661" s="63" t="str">
        <f t="shared" si="32"/>
        <v/>
      </c>
      <c r="AA661" s="63" t="str">
        <f>TEXT(Table111[[#This Row],[YEAR]],"0000")&amp;"-"&amp;Table111[[#This Row],[MONTH]]</f>
        <v>-</v>
      </c>
    </row>
    <row r="662" spans="2:27" x14ac:dyDescent="0.3">
      <c r="B662" s="183"/>
      <c r="C662" s="68"/>
      <c r="D662" s="183"/>
      <c r="E662" s="71"/>
      <c r="F662" s="72"/>
      <c r="G662" s="70"/>
      <c r="H662" s="74"/>
      <c r="I662" s="70"/>
      <c r="J662" s="70"/>
      <c r="K662" s="70"/>
      <c r="L662" s="74"/>
      <c r="M662" s="123"/>
      <c r="N662" s="73"/>
      <c r="O662" s="236"/>
      <c r="P662" s="117"/>
      <c r="Q662" s="117"/>
      <c r="R662" s="156" t="str">
        <f>IF(Table111[[#This Row],[Qty]]="","",Table111[[#This Row],[Qty]]*Table111[[#This Row],[Unit Price]])</f>
        <v/>
      </c>
      <c r="S662" s="156" t="str">
        <f>IF(Table111[[#This Row],[Qty]]="","",Table111[[#This Row],[Qty]]*Table111[[#This Row],[Unit Price]]+Table111[[#This Row],[Delivery Cost]])</f>
        <v/>
      </c>
      <c r="T662" s="72"/>
      <c r="U662" s="72"/>
      <c r="V662" s="72"/>
      <c r="W662" s="65"/>
      <c r="X662" s="63" t="str">
        <f t="shared" si="30"/>
        <v/>
      </c>
      <c r="Y662" s="63" t="str">
        <f t="shared" si="31"/>
        <v/>
      </c>
      <c r="Z662" s="63" t="str">
        <f t="shared" si="32"/>
        <v/>
      </c>
      <c r="AA662" s="63" t="str">
        <f>TEXT(Table111[[#This Row],[YEAR]],"0000")&amp;"-"&amp;Table111[[#This Row],[MONTH]]</f>
        <v>-</v>
      </c>
    </row>
    <row r="663" spans="2:27" x14ac:dyDescent="0.3">
      <c r="B663" s="68"/>
      <c r="C663" s="68"/>
      <c r="D663" s="68"/>
      <c r="E663" s="71"/>
      <c r="F663" s="72"/>
      <c r="G663" s="70"/>
      <c r="H663" s="74"/>
      <c r="I663" s="70"/>
      <c r="J663" s="70"/>
      <c r="K663" s="70"/>
      <c r="L663" s="74"/>
      <c r="M663" s="123"/>
      <c r="N663" s="73"/>
      <c r="O663" s="236"/>
      <c r="P663" s="117"/>
      <c r="Q663" s="117"/>
      <c r="R663" s="156" t="str">
        <f>IF(Table111[[#This Row],[Qty]]="","",Table111[[#This Row],[Qty]]*Table111[[#This Row],[Unit Price]])</f>
        <v/>
      </c>
      <c r="S663" s="156" t="str">
        <f>IF(Table111[[#This Row],[Qty]]="","",Table111[[#This Row],[Qty]]*Table111[[#This Row],[Unit Price]]+Table111[[#This Row],[Delivery Cost]])</f>
        <v/>
      </c>
      <c r="T663" s="72"/>
      <c r="U663" s="72"/>
      <c r="V663" s="72"/>
      <c r="W663" s="219"/>
      <c r="X663" s="63" t="str">
        <f t="shared" si="30"/>
        <v/>
      </c>
      <c r="Y663" s="63" t="str">
        <f t="shared" si="31"/>
        <v/>
      </c>
      <c r="Z663" s="63" t="str">
        <f t="shared" si="32"/>
        <v/>
      </c>
      <c r="AA663" s="63" t="str">
        <f>TEXT(Table111[[#This Row],[YEAR]],"0000")&amp;"-"&amp;Table111[[#This Row],[MONTH]]</f>
        <v>-</v>
      </c>
    </row>
    <row r="664" spans="2:27" x14ac:dyDescent="0.3">
      <c r="B664" s="183"/>
      <c r="C664" s="68"/>
      <c r="D664" s="68"/>
      <c r="E664" s="71"/>
      <c r="F664" s="72"/>
      <c r="G664" s="70"/>
      <c r="H664" s="74"/>
      <c r="I664" s="70"/>
      <c r="J664" s="70"/>
      <c r="K664" s="70"/>
      <c r="L664" s="74"/>
      <c r="M664" s="123"/>
      <c r="N664" s="73"/>
      <c r="O664" s="236"/>
      <c r="P664" s="117"/>
      <c r="Q664" s="117"/>
      <c r="R664" s="156" t="str">
        <f>IF(Table111[[#This Row],[Qty]]="","",Table111[[#This Row],[Qty]]*Table111[[#This Row],[Unit Price]])</f>
        <v/>
      </c>
      <c r="S664" s="156" t="str">
        <f>IF(Table111[[#This Row],[Qty]]="","",Table111[[#This Row],[Qty]]*Table111[[#This Row],[Unit Price]]+Table111[[#This Row],[Delivery Cost]])</f>
        <v/>
      </c>
      <c r="T664" s="72"/>
      <c r="U664" s="72"/>
      <c r="V664" s="72"/>
      <c r="W664" s="65"/>
      <c r="X664" s="63" t="str">
        <f t="shared" si="30"/>
        <v/>
      </c>
      <c r="Y664" s="63" t="str">
        <f t="shared" si="31"/>
        <v/>
      </c>
      <c r="Z664" s="63" t="str">
        <f t="shared" si="32"/>
        <v/>
      </c>
      <c r="AA664" s="63" t="str">
        <f>TEXT(Table111[[#This Row],[YEAR]],"0000")&amp;"-"&amp;Table111[[#This Row],[MONTH]]</f>
        <v>-</v>
      </c>
    </row>
    <row r="665" spans="2:27" x14ac:dyDescent="0.3">
      <c r="B665" s="68"/>
      <c r="C665" s="68"/>
      <c r="D665" s="68"/>
      <c r="E665" s="71"/>
      <c r="F665" s="72"/>
      <c r="G665" s="70"/>
      <c r="H665" s="74"/>
      <c r="I665" s="70"/>
      <c r="J665" s="70"/>
      <c r="K665" s="70"/>
      <c r="L665" s="74"/>
      <c r="M665" s="123"/>
      <c r="N665" s="73"/>
      <c r="O665" s="236"/>
      <c r="P665" s="117"/>
      <c r="Q665" s="117"/>
      <c r="R665" s="156" t="str">
        <f>IF(Table111[[#This Row],[Qty]]="","",Table111[[#This Row],[Qty]]*Table111[[#This Row],[Unit Price]])</f>
        <v/>
      </c>
      <c r="S665" s="156" t="str">
        <f>IF(Table111[[#This Row],[Qty]]="","",Table111[[#This Row],[Qty]]*Table111[[#This Row],[Unit Price]]+Table111[[#This Row],[Delivery Cost]])</f>
        <v/>
      </c>
      <c r="T665" s="72"/>
      <c r="U665" s="72"/>
      <c r="V665" s="72"/>
      <c r="W665" s="219"/>
      <c r="X665" s="63" t="str">
        <f t="shared" si="30"/>
        <v/>
      </c>
      <c r="Y665" s="63" t="str">
        <f t="shared" si="31"/>
        <v/>
      </c>
      <c r="Z665" s="63" t="str">
        <f t="shared" si="32"/>
        <v/>
      </c>
      <c r="AA665" s="63" t="str">
        <f>TEXT(Table111[[#This Row],[YEAR]],"0000")&amp;"-"&amp;Table111[[#This Row],[MONTH]]</f>
        <v>-</v>
      </c>
    </row>
    <row r="666" spans="2:27" x14ac:dyDescent="0.3">
      <c r="B666" s="183"/>
      <c r="C666" s="68"/>
      <c r="D666" s="68"/>
      <c r="E666" s="71"/>
      <c r="F666" s="72"/>
      <c r="G666" s="70"/>
      <c r="H666" s="74"/>
      <c r="I666" s="70"/>
      <c r="J666" s="70"/>
      <c r="K666" s="70"/>
      <c r="L666" s="74"/>
      <c r="M666" s="123"/>
      <c r="N666" s="73"/>
      <c r="O666" s="236"/>
      <c r="P666" s="117"/>
      <c r="Q666" s="117"/>
      <c r="R666" s="156" t="str">
        <f>IF(Table111[[#This Row],[Qty]]="","",Table111[[#This Row],[Qty]]*Table111[[#This Row],[Unit Price]])</f>
        <v/>
      </c>
      <c r="S666" s="156" t="str">
        <f>IF(Table111[[#This Row],[Qty]]="","",Table111[[#This Row],[Qty]]*Table111[[#This Row],[Unit Price]]+Table111[[#This Row],[Delivery Cost]])</f>
        <v/>
      </c>
      <c r="T666" s="72"/>
      <c r="U666" s="72"/>
      <c r="V666" s="72"/>
      <c r="W666" s="65"/>
      <c r="X666" s="63" t="str">
        <f t="shared" si="30"/>
        <v/>
      </c>
      <c r="Y666" s="63" t="str">
        <f t="shared" si="31"/>
        <v/>
      </c>
      <c r="Z666" s="63" t="str">
        <f t="shared" si="32"/>
        <v/>
      </c>
      <c r="AA666" s="63" t="str">
        <f>TEXT(Table111[[#This Row],[YEAR]],"0000")&amp;"-"&amp;Table111[[#This Row],[MONTH]]</f>
        <v>-</v>
      </c>
    </row>
    <row r="667" spans="2:27" x14ac:dyDescent="0.3">
      <c r="B667" s="68"/>
      <c r="C667" s="68"/>
      <c r="D667" s="68"/>
      <c r="E667" s="71"/>
      <c r="F667" s="72"/>
      <c r="G667" s="70"/>
      <c r="H667" s="74"/>
      <c r="I667" s="70"/>
      <c r="J667" s="70"/>
      <c r="K667" s="70"/>
      <c r="L667" s="74"/>
      <c r="M667" s="123"/>
      <c r="N667" s="73"/>
      <c r="O667" s="236"/>
      <c r="P667" s="117"/>
      <c r="Q667" s="117"/>
      <c r="R667" s="156" t="str">
        <f>IF(Table111[[#This Row],[Qty]]="","",Table111[[#This Row],[Qty]]*Table111[[#This Row],[Unit Price]])</f>
        <v/>
      </c>
      <c r="S667" s="156" t="str">
        <f>IF(Table111[[#This Row],[Qty]]="","",Table111[[#This Row],[Qty]]*Table111[[#This Row],[Unit Price]]+Table111[[#This Row],[Delivery Cost]])</f>
        <v/>
      </c>
      <c r="T667" s="72"/>
      <c r="U667" s="72"/>
      <c r="V667" s="72"/>
      <c r="W667" s="219"/>
      <c r="X667" s="63" t="str">
        <f t="shared" si="30"/>
        <v/>
      </c>
      <c r="Y667" s="63" t="str">
        <f t="shared" si="31"/>
        <v/>
      </c>
      <c r="Z667" s="63" t="str">
        <f t="shared" si="32"/>
        <v/>
      </c>
      <c r="AA667" s="63" t="str">
        <f>TEXT(Table111[[#This Row],[YEAR]],"0000")&amp;"-"&amp;Table111[[#This Row],[MONTH]]</f>
        <v>-</v>
      </c>
    </row>
    <row r="668" spans="2:27" x14ac:dyDescent="0.3">
      <c r="B668" s="183"/>
      <c r="C668" s="68"/>
      <c r="D668" s="183"/>
      <c r="E668" s="71"/>
      <c r="F668" s="72"/>
      <c r="G668" s="70"/>
      <c r="H668" s="74"/>
      <c r="I668" s="70"/>
      <c r="J668" s="70"/>
      <c r="K668" s="70"/>
      <c r="L668" s="74"/>
      <c r="M668" s="123"/>
      <c r="N668" s="73"/>
      <c r="O668" s="236"/>
      <c r="P668" s="117"/>
      <c r="Q668" s="117"/>
      <c r="R668" s="156" t="str">
        <f>IF(Table111[[#This Row],[Qty]]="","",Table111[[#This Row],[Qty]]*Table111[[#This Row],[Unit Price]])</f>
        <v/>
      </c>
      <c r="S668" s="156" t="str">
        <f>IF(Table111[[#This Row],[Qty]]="","",Table111[[#This Row],[Qty]]*Table111[[#This Row],[Unit Price]]+Table111[[#This Row],[Delivery Cost]])</f>
        <v/>
      </c>
      <c r="T668" s="72"/>
      <c r="U668" s="72"/>
      <c r="V668" s="72"/>
      <c r="W668" s="65"/>
      <c r="X668" s="63" t="str">
        <f t="shared" si="30"/>
        <v/>
      </c>
      <c r="Y668" s="63" t="str">
        <f t="shared" si="31"/>
        <v/>
      </c>
      <c r="Z668" s="63" t="str">
        <f t="shared" si="32"/>
        <v/>
      </c>
      <c r="AA668" s="63" t="str">
        <f>TEXT(Table111[[#This Row],[YEAR]],"0000")&amp;"-"&amp;Table111[[#This Row],[MONTH]]</f>
        <v>-</v>
      </c>
    </row>
    <row r="669" spans="2:27" x14ac:dyDescent="0.3">
      <c r="B669" s="68"/>
      <c r="C669" s="68"/>
      <c r="D669" s="68"/>
      <c r="E669" s="71"/>
      <c r="F669" s="72"/>
      <c r="G669" s="70"/>
      <c r="H669" s="74"/>
      <c r="I669" s="70"/>
      <c r="J669" s="70"/>
      <c r="K669" s="70"/>
      <c r="L669" s="74"/>
      <c r="M669" s="123"/>
      <c r="N669" s="73"/>
      <c r="O669" s="236"/>
      <c r="P669" s="117"/>
      <c r="Q669" s="117"/>
      <c r="R669" s="156" t="str">
        <f>IF(Table111[[#This Row],[Qty]]="","",Table111[[#This Row],[Qty]]*Table111[[#This Row],[Unit Price]])</f>
        <v/>
      </c>
      <c r="S669" s="156" t="str">
        <f>IF(Table111[[#This Row],[Qty]]="","",Table111[[#This Row],[Qty]]*Table111[[#This Row],[Unit Price]]+Table111[[#This Row],[Delivery Cost]])</f>
        <v/>
      </c>
      <c r="T669" s="72"/>
      <c r="U669" s="72"/>
      <c r="V669" s="72"/>
      <c r="W669" s="219"/>
      <c r="X669" s="63" t="str">
        <f t="shared" si="30"/>
        <v/>
      </c>
      <c r="Y669" s="63" t="str">
        <f t="shared" si="31"/>
        <v/>
      </c>
      <c r="Z669" s="63" t="str">
        <f t="shared" si="32"/>
        <v/>
      </c>
      <c r="AA669" s="63" t="str">
        <f>TEXT(Table111[[#This Row],[YEAR]],"0000")&amp;"-"&amp;Table111[[#This Row],[MONTH]]</f>
        <v>-</v>
      </c>
    </row>
    <row r="670" spans="2:27" x14ac:dyDescent="0.3">
      <c r="B670" s="183"/>
      <c r="C670" s="68"/>
      <c r="D670" s="183"/>
      <c r="E670" s="71"/>
      <c r="F670" s="72"/>
      <c r="G670" s="70"/>
      <c r="H670" s="74"/>
      <c r="I670" s="70"/>
      <c r="J670" s="70"/>
      <c r="K670" s="70"/>
      <c r="L670" s="74"/>
      <c r="M670" s="123"/>
      <c r="N670" s="73"/>
      <c r="O670" s="236"/>
      <c r="P670" s="117"/>
      <c r="Q670" s="117"/>
      <c r="R670" s="156" t="str">
        <f>IF(Table111[[#This Row],[Qty]]="","",Table111[[#This Row],[Qty]]*Table111[[#This Row],[Unit Price]])</f>
        <v/>
      </c>
      <c r="S670" s="156" t="str">
        <f>IF(Table111[[#This Row],[Qty]]="","",Table111[[#This Row],[Qty]]*Table111[[#This Row],[Unit Price]]+Table111[[#This Row],[Delivery Cost]])</f>
        <v/>
      </c>
      <c r="T670" s="72"/>
      <c r="U670" s="72"/>
      <c r="V670" s="72"/>
      <c r="W670" s="65"/>
      <c r="X670" s="63" t="str">
        <f t="shared" si="30"/>
        <v/>
      </c>
      <c r="Y670" s="63" t="str">
        <f t="shared" si="31"/>
        <v/>
      </c>
      <c r="Z670" s="63" t="str">
        <f t="shared" si="32"/>
        <v/>
      </c>
      <c r="AA670" s="63" t="str">
        <f>TEXT(Table111[[#This Row],[YEAR]],"0000")&amp;"-"&amp;Table111[[#This Row],[MONTH]]</f>
        <v>-</v>
      </c>
    </row>
    <row r="671" spans="2:27" x14ac:dyDescent="0.3">
      <c r="B671" s="68"/>
      <c r="C671" s="68"/>
      <c r="D671" s="68"/>
      <c r="E671" s="71"/>
      <c r="F671" s="72"/>
      <c r="G671" s="70"/>
      <c r="H671" s="74"/>
      <c r="I671" s="70"/>
      <c r="J671" s="70"/>
      <c r="K671" s="70"/>
      <c r="L671" s="74"/>
      <c r="M671" s="123"/>
      <c r="N671" s="73"/>
      <c r="O671" s="236"/>
      <c r="P671" s="117"/>
      <c r="Q671" s="117"/>
      <c r="R671" s="156" t="str">
        <f>IF(Table111[[#This Row],[Qty]]="","",Table111[[#This Row],[Qty]]*Table111[[#This Row],[Unit Price]])</f>
        <v/>
      </c>
      <c r="S671" s="156" t="str">
        <f>IF(Table111[[#This Row],[Qty]]="","",Table111[[#This Row],[Qty]]*Table111[[#This Row],[Unit Price]]+Table111[[#This Row],[Delivery Cost]])</f>
        <v/>
      </c>
      <c r="T671" s="72"/>
      <c r="U671" s="72"/>
      <c r="V671" s="72"/>
      <c r="W671" s="219"/>
      <c r="X671" s="63" t="str">
        <f t="shared" si="30"/>
        <v/>
      </c>
      <c r="Y671" s="63" t="str">
        <f t="shared" si="31"/>
        <v/>
      </c>
      <c r="Z671" s="63" t="str">
        <f t="shared" si="32"/>
        <v/>
      </c>
      <c r="AA671" s="63" t="str">
        <f>TEXT(Table111[[#This Row],[YEAR]],"0000")&amp;"-"&amp;Table111[[#This Row],[MONTH]]</f>
        <v>-</v>
      </c>
    </row>
    <row r="672" spans="2:27" x14ac:dyDescent="0.3">
      <c r="B672" s="183"/>
      <c r="C672" s="68"/>
      <c r="D672" s="183"/>
      <c r="E672" s="71"/>
      <c r="F672" s="72"/>
      <c r="G672" s="70"/>
      <c r="H672" s="74"/>
      <c r="I672" s="70"/>
      <c r="J672" s="70"/>
      <c r="K672" s="70"/>
      <c r="L672" s="74"/>
      <c r="M672" s="123"/>
      <c r="N672" s="73"/>
      <c r="O672" s="236"/>
      <c r="P672" s="117"/>
      <c r="Q672" s="117"/>
      <c r="R672" s="156" t="str">
        <f>IF(Table111[[#This Row],[Qty]]="","",Table111[[#This Row],[Qty]]*Table111[[#This Row],[Unit Price]])</f>
        <v/>
      </c>
      <c r="S672" s="156" t="str">
        <f>IF(Table111[[#This Row],[Qty]]="","",Table111[[#This Row],[Qty]]*Table111[[#This Row],[Unit Price]]+Table111[[#This Row],[Delivery Cost]])</f>
        <v/>
      </c>
      <c r="T672" s="72"/>
      <c r="U672" s="72"/>
      <c r="V672" s="72"/>
      <c r="W672" s="65"/>
      <c r="X672" s="63" t="str">
        <f t="shared" si="30"/>
        <v/>
      </c>
      <c r="Y672" s="63" t="str">
        <f t="shared" si="31"/>
        <v/>
      </c>
      <c r="Z672" s="63" t="str">
        <f t="shared" si="32"/>
        <v/>
      </c>
      <c r="AA672" s="63" t="str">
        <f>TEXT(Table111[[#This Row],[YEAR]],"0000")&amp;"-"&amp;Table111[[#This Row],[MONTH]]</f>
        <v>-</v>
      </c>
    </row>
    <row r="673" spans="2:27" x14ac:dyDescent="0.3">
      <c r="B673" s="68"/>
      <c r="C673" s="68"/>
      <c r="D673" s="68"/>
      <c r="E673" s="71"/>
      <c r="F673" s="72"/>
      <c r="G673" s="70"/>
      <c r="H673" s="74"/>
      <c r="I673" s="70"/>
      <c r="J673" s="70"/>
      <c r="K673" s="70"/>
      <c r="L673" s="74"/>
      <c r="M673" s="123"/>
      <c r="N673" s="73"/>
      <c r="O673" s="236"/>
      <c r="P673" s="117"/>
      <c r="Q673" s="117"/>
      <c r="R673" s="156" t="str">
        <f>IF(Table111[[#This Row],[Qty]]="","",Table111[[#This Row],[Qty]]*Table111[[#This Row],[Unit Price]])</f>
        <v/>
      </c>
      <c r="S673" s="156" t="str">
        <f>IF(Table111[[#This Row],[Qty]]="","",Table111[[#This Row],[Qty]]*Table111[[#This Row],[Unit Price]]+Table111[[#This Row],[Delivery Cost]])</f>
        <v/>
      </c>
      <c r="T673" s="72"/>
      <c r="U673" s="72"/>
      <c r="V673" s="72"/>
      <c r="W673" s="219"/>
      <c r="X673" s="63" t="str">
        <f t="shared" si="30"/>
        <v/>
      </c>
      <c r="Y673" s="63" t="str">
        <f t="shared" si="31"/>
        <v/>
      </c>
      <c r="Z673" s="63" t="str">
        <f t="shared" si="32"/>
        <v/>
      </c>
      <c r="AA673" s="63" t="str">
        <f>TEXT(Table111[[#This Row],[YEAR]],"0000")&amp;"-"&amp;Table111[[#This Row],[MONTH]]</f>
        <v>-</v>
      </c>
    </row>
    <row r="674" spans="2:27" x14ac:dyDescent="0.3">
      <c r="B674" s="183"/>
      <c r="C674" s="183"/>
      <c r="D674" s="183"/>
      <c r="E674" s="71"/>
      <c r="F674" s="72"/>
      <c r="G674" s="70"/>
      <c r="H674" s="74"/>
      <c r="I674" s="70"/>
      <c r="J674" s="70"/>
      <c r="K674" s="70"/>
      <c r="L674" s="74"/>
      <c r="M674" s="123"/>
      <c r="N674" s="73"/>
      <c r="O674" s="236"/>
      <c r="P674" s="117"/>
      <c r="Q674" s="117"/>
      <c r="R674" s="156" t="str">
        <f>IF(Table111[[#This Row],[Qty]]="","",Table111[[#This Row],[Qty]]*Table111[[#This Row],[Unit Price]])</f>
        <v/>
      </c>
      <c r="S674" s="156" t="str">
        <f>IF(Table111[[#This Row],[Qty]]="","",Table111[[#This Row],[Qty]]*Table111[[#This Row],[Unit Price]]+Table111[[#This Row],[Delivery Cost]])</f>
        <v/>
      </c>
      <c r="T674" s="72"/>
      <c r="U674" s="72"/>
      <c r="V674" s="72"/>
      <c r="W674" s="65"/>
      <c r="X674" s="63" t="str">
        <f t="shared" si="30"/>
        <v/>
      </c>
      <c r="Y674" s="63" t="str">
        <f t="shared" si="31"/>
        <v/>
      </c>
      <c r="Z674" s="63" t="str">
        <f t="shared" si="32"/>
        <v/>
      </c>
      <c r="AA674" s="63" t="str">
        <f>TEXT(Table111[[#This Row],[YEAR]],"0000")&amp;"-"&amp;Table111[[#This Row],[MONTH]]</f>
        <v>-</v>
      </c>
    </row>
    <row r="675" spans="2:27" x14ac:dyDescent="0.3">
      <c r="B675" s="68"/>
      <c r="C675" s="68"/>
      <c r="D675" s="68"/>
      <c r="E675" s="71"/>
      <c r="F675" s="72"/>
      <c r="G675" s="70"/>
      <c r="H675" s="74"/>
      <c r="I675" s="70"/>
      <c r="J675" s="70"/>
      <c r="K675" s="70"/>
      <c r="L675" s="74"/>
      <c r="M675" s="123"/>
      <c r="N675" s="73"/>
      <c r="O675" s="236"/>
      <c r="P675" s="117"/>
      <c r="Q675" s="117"/>
      <c r="R675" s="156" t="str">
        <f>IF(Table111[[#This Row],[Qty]]="","",Table111[[#This Row],[Qty]]*Table111[[#This Row],[Unit Price]])</f>
        <v/>
      </c>
      <c r="S675" s="156" t="str">
        <f>IF(Table111[[#This Row],[Qty]]="","",Table111[[#This Row],[Qty]]*Table111[[#This Row],[Unit Price]]+Table111[[#This Row],[Delivery Cost]])</f>
        <v/>
      </c>
      <c r="T675" s="72"/>
      <c r="U675" s="72"/>
      <c r="V675" s="72"/>
      <c r="W675" s="219"/>
      <c r="X675" s="63" t="str">
        <f t="shared" si="30"/>
        <v/>
      </c>
      <c r="Y675" s="63" t="str">
        <f t="shared" si="31"/>
        <v/>
      </c>
      <c r="Z675" s="63" t="str">
        <f t="shared" si="32"/>
        <v/>
      </c>
      <c r="AA675" s="63" t="str">
        <f>TEXT(Table111[[#This Row],[YEAR]],"0000")&amp;"-"&amp;Table111[[#This Row],[MONTH]]</f>
        <v>-</v>
      </c>
    </row>
    <row r="676" spans="2:27" x14ac:dyDescent="0.3">
      <c r="B676" s="183"/>
      <c r="C676" s="68"/>
      <c r="D676" s="68"/>
      <c r="E676" s="71"/>
      <c r="F676" s="72"/>
      <c r="G676" s="70"/>
      <c r="H676" s="74"/>
      <c r="I676" s="70"/>
      <c r="J676" s="70"/>
      <c r="K676" s="70"/>
      <c r="L676" s="74"/>
      <c r="M676" s="123"/>
      <c r="N676" s="73"/>
      <c r="O676" s="236"/>
      <c r="P676" s="117"/>
      <c r="Q676" s="117"/>
      <c r="R676" s="156" t="str">
        <f>IF(Table111[[#This Row],[Qty]]="","",Table111[[#This Row],[Qty]]*Table111[[#This Row],[Unit Price]])</f>
        <v/>
      </c>
      <c r="S676" s="156" t="str">
        <f>IF(Table111[[#This Row],[Qty]]="","",Table111[[#This Row],[Qty]]*Table111[[#This Row],[Unit Price]]+Table111[[#This Row],[Delivery Cost]])</f>
        <v/>
      </c>
      <c r="T676" s="72"/>
      <c r="U676" s="72"/>
      <c r="V676" s="72"/>
      <c r="W676" s="65"/>
      <c r="X676" s="63" t="str">
        <f t="shared" si="30"/>
        <v/>
      </c>
      <c r="Y676" s="63" t="str">
        <f t="shared" si="31"/>
        <v/>
      </c>
      <c r="Z676" s="63" t="str">
        <f t="shared" si="32"/>
        <v/>
      </c>
      <c r="AA676" s="63" t="str">
        <f>TEXT(Table111[[#This Row],[YEAR]],"0000")&amp;"-"&amp;Table111[[#This Row],[MONTH]]</f>
        <v>-</v>
      </c>
    </row>
    <row r="677" spans="2:27" x14ac:dyDescent="0.3">
      <c r="B677" s="68"/>
      <c r="C677" s="68"/>
      <c r="D677" s="68"/>
      <c r="E677" s="71"/>
      <c r="F677" s="72"/>
      <c r="G677" s="70"/>
      <c r="H677" s="74"/>
      <c r="I677" s="70"/>
      <c r="J677" s="70"/>
      <c r="K677" s="70"/>
      <c r="L677" s="74"/>
      <c r="M677" s="123"/>
      <c r="N677" s="73"/>
      <c r="O677" s="236"/>
      <c r="P677" s="117"/>
      <c r="Q677" s="117"/>
      <c r="R677" s="156" t="str">
        <f>IF(Table111[[#This Row],[Qty]]="","",Table111[[#This Row],[Qty]]*Table111[[#This Row],[Unit Price]])</f>
        <v/>
      </c>
      <c r="S677" s="156" t="str">
        <f>IF(Table111[[#This Row],[Qty]]="","",Table111[[#This Row],[Qty]]*Table111[[#This Row],[Unit Price]]+Table111[[#This Row],[Delivery Cost]])</f>
        <v/>
      </c>
      <c r="T677" s="72"/>
      <c r="U677" s="72"/>
      <c r="V677" s="72"/>
      <c r="W677" s="219"/>
      <c r="X677" s="63" t="str">
        <f t="shared" si="30"/>
        <v/>
      </c>
      <c r="Y677" s="63" t="str">
        <f t="shared" si="31"/>
        <v/>
      </c>
      <c r="Z677" s="63" t="str">
        <f t="shared" si="32"/>
        <v/>
      </c>
      <c r="AA677" s="63" t="str">
        <f>TEXT(Table111[[#This Row],[YEAR]],"0000")&amp;"-"&amp;Table111[[#This Row],[MONTH]]</f>
        <v>-</v>
      </c>
    </row>
    <row r="678" spans="2:27" x14ac:dyDescent="0.3">
      <c r="B678" s="183"/>
      <c r="C678" s="183"/>
      <c r="D678" s="183"/>
      <c r="E678" s="71"/>
      <c r="F678" s="72"/>
      <c r="G678" s="72"/>
      <c r="H678" s="74"/>
      <c r="I678" s="70"/>
      <c r="J678" s="70"/>
      <c r="K678" s="70"/>
      <c r="L678" s="74"/>
      <c r="M678" s="123"/>
      <c r="N678" s="73"/>
      <c r="O678" s="236"/>
      <c r="P678" s="117"/>
      <c r="Q678" s="117"/>
      <c r="R678" s="156" t="str">
        <f>IF(Table111[[#This Row],[Qty]]="","",Table111[[#This Row],[Qty]]*Table111[[#This Row],[Unit Price]])</f>
        <v/>
      </c>
      <c r="S678" s="156" t="str">
        <f>IF(Table111[[#This Row],[Qty]]="","",Table111[[#This Row],[Qty]]*Table111[[#This Row],[Unit Price]]+Table111[[#This Row],[Delivery Cost]])</f>
        <v/>
      </c>
      <c r="T678" s="72"/>
      <c r="U678" s="72"/>
      <c r="V678" s="72"/>
      <c r="W678"/>
      <c r="X678" s="63" t="str">
        <f t="shared" si="30"/>
        <v/>
      </c>
      <c r="Y678" s="63" t="str">
        <f t="shared" si="31"/>
        <v/>
      </c>
      <c r="Z678" s="63" t="str">
        <f t="shared" si="32"/>
        <v/>
      </c>
      <c r="AA678" s="63" t="str">
        <f>TEXT(Table111[[#This Row],[YEAR]],"0000")&amp;"-"&amp;Table111[[#This Row],[MONTH]]</f>
        <v>-</v>
      </c>
    </row>
    <row r="679" spans="2:27" x14ac:dyDescent="0.3">
      <c r="B679" s="68"/>
      <c r="C679" s="68"/>
      <c r="D679" s="68"/>
      <c r="E679" s="71"/>
      <c r="F679" s="72"/>
      <c r="G679" s="72"/>
      <c r="H679" s="74"/>
      <c r="I679" s="70"/>
      <c r="J679" s="70"/>
      <c r="K679" s="70"/>
      <c r="L679" s="74"/>
      <c r="M679" s="123"/>
      <c r="N679" s="73"/>
      <c r="O679" s="236"/>
      <c r="P679" s="117"/>
      <c r="Q679" s="117"/>
      <c r="R679" s="156" t="str">
        <f>IF(Table111[[#This Row],[Qty]]="","",Table111[[#This Row],[Qty]]*Table111[[#This Row],[Unit Price]])</f>
        <v/>
      </c>
      <c r="S679" s="156" t="str">
        <f>IF(Table111[[#This Row],[Qty]]="","",Table111[[#This Row],[Qty]]*Table111[[#This Row],[Unit Price]]+Table111[[#This Row],[Delivery Cost]])</f>
        <v/>
      </c>
      <c r="T679" s="72"/>
      <c r="U679" s="72"/>
      <c r="V679" s="72"/>
      <c r="W679"/>
      <c r="X679" s="63" t="str">
        <f t="shared" si="30"/>
        <v/>
      </c>
      <c r="Y679" s="63" t="str">
        <f t="shared" si="31"/>
        <v/>
      </c>
      <c r="Z679" s="63" t="str">
        <f t="shared" si="32"/>
        <v/>
      </c>
      <c r="AA679" s="63" t="str">
        <f>TEXT(Table111[[#This Row],[YEAR]],"0000")&amp;"-"&amp;Table111[[#This Row],[MONTH]]</f>
        <v>-</v>
      </c>
    </row>
    <row r="680" spans="2:27" x14ac:dyDescent="0.3">
      <c r="B680" s="183"/>
      <c r="C680" s="183"/>
      <c r="D680" s="183"/>
      <c r="E680" s="71"/>
      <c r="F680" s="72"/>
      <c r="G680" s="72"/>
      <c r="H680" s="74"/>
      <c r="I680" s="70"/>
      <c r="J680" s="70"/>
      <c r="K680" s="70"/>
      <c r="L680" s="74"/>
      <c r="M680" s="123"/>
      <c r="N680" s="73"/>
      <c r="O680" s="236"/>
      <c r="P680" s="117"/>
      <c r="Q680" s="117"/>
      <c r="R680" s="156" t="str">
        <f>IF(Table111[[#This Row],[Qty]]="","",Table111[[#This Row],[Qty]]*Table111[[#This Row],[Unit Price]])</f>
        <v/>
      </c>
      <c r="S680" s="156" t="str">
        <f>IF(Table111[[#This Row],[Qty]]="","",Table111[[#This Row],[Qty]]*Table111[[#This Row],[Unit Price]]+Table111[[#This Row],[Delivery Cost]])</f>
        <v/>
      </c>
      <c r="T680" s="72"/>
      <c r="U680" s="72"/>
      <c r="V680" s="72"/>
      <c r="W680"/>
      <c r="X680" s="63" t="str">
        <f t="shared" si="30"/>
        <v/>
      </c>
      <c r="Y680" s="63" t="str">
        <f t="shared" si="31"/>
        <v/>
      </c>
      <c r="Z680" s="63" t="str">
        <f t="shared" si="32"/>
        <v/>
      </c>
      <c r="AA680" s="63" t="str">
        <f>TEXT(Table111[[#This Row],[YEAR]],"0000")&amp;"-"&amp;Table111[[#This Row],[MONTH]]</f>
        <v>-</v>
      </c>
    </row>
    <row r="681" spans="2:27" x14ac:dyDescent="0.3">
      <c r="B681" s="68"/>
      <c r="C681" s="68"/>
      <c r="D681" s="68"/>
      <c r="E681" s="71"/>
      <c r="F681" s="72"/>
      <c r="G681" s="72"/>
      <c r="H681" s="74"/>
      <c r="I681" s="70"/>
      <c r="J681" s="70"/>
      <c r="K681" s="70"/>
      <c r="L681" s="74"/>
      <c r="M681" s="123"/>
      <c r="N681" s="73"/>
      <c r="O681" s="236"/>
      <c r="P681" s="117"/>
      <c r="Q681" s="117"/>
      <c r="R681" s="156" t="str">
        <f>IF(Table111[[#This Row],[Qty]]="","",Table111[[#This Row],[Qty]]*Table111[[#This Row],[Unit Price]])</f>
        <v/>
      </c>
      <c r="S681" s="156" t="str">
        <f>IF(Table111[[#This Row],[Qty]]="","",Table111[[#This Row],[Qty]]*Table111[[#This Row],[Unit Price]]+Table111[[#This Row],[Delivery Cost]])</f>
        <v/>
      </c>
      <c r="T681" s="72"/>
      <c r="U681" s="72"/>
      <c r="V681" s="72"/>
      <c r="W681"/>
      <c r="X681" s="63" t="str">
        <f t="shared" si="30"/>
        <v/>
      </c>
      <c r="Y681" s="63" t="str">
        <f t="shared" si="31"/>
        <v/>
      </c>
      <c r="Z681" s="63" t="str">
        <f t="shared" si="32"/>
        <v/>
      </c>
      <c r="AA681" s="63" t="str">
        <f>TEXT(Table111[[#This Row],[YEAR]],"0000")&amp;"-"&amp;Table111[[#This Row],[MONTH]]</f>
        <v>-</v>
      </c>
    </row>
    <row r="682" spans="2:27" x14ac:dyDescent="0.3">
      <c r="B682" s="183"/>
      <c r="C682" s="183"/>
      <c r="D682" s="183"/>
      <c r="E682" s="71"/>
      <c r="F682" s="72"/>
      <c r="G682" s="70"/>
      <c r="H682" s="74"/>
      <c r="I682" s="70"/>
      <c r="J682" s="70"/>
      <c r="K682" s="70"/>
      <c r="L682" s="74"/>
      <c r="M682" s="123"/>
      <c r="N682" s="73"/>
      <c r="O682" s="236"/>
      <c r="P682" s="117"/>
      <c r="Q682" s="117"/>
      <c r="R682" s="156" t="str">
        <f>IF(Table111[[#This Row],[Qty]]="","",Table111[[#This Row],[Qty]]*Table111[[#This Row],[Unit Price]])</f>
        <v/>
      </c>
      <c r="S682" s="156" t="str">
        <f>IF(Table111[[#This Row],[Qty]]="","",Table111[[#This Row],[Qty]]*Table111[[#This Row],[Unit Price]]+Table111[[#This Row],[Delivery Cost]])</f>
        <v/>
      </c>
      <c r="T682" s="72"/>
      <c r="U682" s="72"/>
      <c r="V682" s="72"/>
      <c r="W682"/>
      <c r="X682" s="63" t="str">
        <f t="shared" si="30"/>
        <v/>
      </c>
      <c r="Y682" s="63" t="str">
        <f t="shared" si="31"/>
        <v/>
      </c>
      <c r="Z682" s="63" t="str">
        <f t="shared" si="32"/>
        <v/>
      </c>
      <c r="AA682" s="63" t="str">
        <f>TEXT(Table111[[#This Row],[YEAR]],"0000")&amp;"-"&amp;Table111[[#This Row],[MONTH]]</f>
        <v>-</v>
      </c>
    </row>
    <row r="683" spans="2:27" x14ac:dyDescent="0.3">
      <c r="B683" s="68"/>
      <c r="C683" s="68"/>
      <c r="D683" s="68"/>
      <c r="E683" s="71"/>
      <c r="F683" s="72"/>
      <c r="G683" s="70"/>
      <c r="H683" s="74"/>
      <c r="I683" s="70"/>
      <c r="J683" s="70"/>
      <c r="K683" s="70"/>
      <c r="L683" s="74"/>
      <c r="M683" s="123"/>
      <c r="N683" s="73"/>
      <c r="O683" s="236"/>
      <c r="P683" s="117"/>
      <c r="Q683" s="117"/>
      <c r="R683" s="156" t="str">
        <f>IF(Table111[[#This Row],[Qty]]="","",Table111[[#This Row],[Qty]]*Table111[[#This Row],[Unit Price]])</f>
        <v/>
      </c>
      <c r="S683" s="156" t="str">
        <f>IF(Table111[[#This Row],[Qty]]="","",Table111[[#This Row],[Qty]]*Table111[[#This Row],[Unit Price]]+Table111[[#This Row],[Delivery Cost]])</f>
        <v/>
      </c>
      <c r="T683" s="72"/>
      <c r="U683" s="72"/>
      <c r="V683" s="72"/>
      <c r="W683"/>
      <c r="X683" s="63" t="str">
        <f t="shared" si="30"/>
        <v/>
      </c>
      <c r="Y683" s="63" t="str">
        <f t="shared" si="31"/>
        <v/>
      </c>
      <c r="Z683" s="63" t="str">
        <f t="shared" si="32"/>
        <v/>
      </c>
      <c r="AA683" s="63" t="str">
        <f>TEXT(Table111[[#This Row],[YEAR]],"0000")&amp;"-"&amp;Table111[[#This Row],[MONTH]]</f>
        <v>-</v>
      </c>
    </row>
    <row r="684" spans="2:27" x14ac:dyDescent="0.3">
      <c r="B684" s="183"/>
      <c r="C684" s="183"/>
      <c r="D684" s="183"/>
      <c r="E684" s="71"/>
      <c r="F684" s="72"/>
      <c r="G684" s="70"/>
      <c r="H684" s="74"/>
      <c r="I684" s="70"/>
      <c r="J684" s="70"/>
      <c r="K684" s="70"/>
      <c r="L684" s="74"/>
      <c r="M684" s="123"/>
      <c r="N684" s="73"/>
      <c r="O684" s="236"/>
      <c r="P684" s="117"/>
      <c r="Q684" s="117"/>
      <c r="R684" s="156" t="str">
        <f>IF(Table111[[#This Row],[Qty]]="","",Table111[[#This Row],[Qty]]*Table111[[#This Row],[Unit Price]])</f>
        <v/>
      </c>
      <c r="S684" s="156" t="str">
        <f>IF(Table111[[#This Row],[Qty]]="","",Table111[[#This Row],[Qty]]*Table111[[#This Row],[Unit Price]]+Table111[[#This Row],[Delivery Cost]])</f>
        <v/>
      </c>
      <c r="T684" s="72"/>
      <c r="U684" s="72"/>
      <c r="V684" s="72"/>
      <c r="W684"/>
      <c r="X684" s="63" t="str">
        <f t="shared" si="30"/>
        <v/>
      </c>
      <c r="Y684" s="63" t="str">
        <f t="shared" si="31"/>
        <v/>
      </c>
      <c r="Z684" s="63" t="str">
        <f t="shared" si="32"/>
        <v/>
      </c>
      <c r="AA684" s="63" t="str">
        <f>TEXT(Table111[[#This Row],[YEAR]],"0000")&amp;"-"&amp;Table111[[#This Row],[MONTH]]</f>
        <v>-</v>
      </c>
    </row>
    <row r="685" spans="2:27" x14ac:dyDescent="0.3">
      <c r="B685" s="68"/>
      <c r="C685" s="68"/>
      <c r="D685" s="68"/>
      <c r="E685" s="71"/>
      <c r="F685" s="72"/>
      <c r="G685" s="70"/>
      <c r="H685" s="74"/>
      <c r="I685" s="70"/>
      <c r="J685" s="70"/>
      <c r="K685" s="70"/>
      <c r="L685" s="74"/>
      <c r="M685" s="123"/>
      <c r="N685" s="73"/>
      <c r="O685" s="236"/>
      <c r="P685" s="117"/>
      <c r="Q685" s="117"/>
      <c r="R685" s="156" t="str">
        <f>IF(Table111[[#This Row],[Qty]]="","",Table111[[#This Row],[Qty]]*Table111[[#This Row],[Unit Price]])</f>
        <v/>
      </c>
      <c r="S685" s="156" t="str">
        <f>IF(Table111[[#This Row],[Qty]]="","",Table111[[#This Row],[Qty]]*Table111[[#This Row],[Unit Price]]+Table111[[#This Row],[Delivery Cost]])</f>
        <v/>
      </c>
      <c r="T685" s="72"/>
      <c r="U685" s="72"/>
      <c r="V685" s="72"/>
      <c r="W685"/>
      <c r="X685" s="63" t="str">
        <f t="shared" si="30"/>
        <v/>
      </c>
      <c r="Y685" s="63" t="str">
        <f t="shared" si="31"/>
        <v/>
      </c>
      <c r="Z685" s="63" t="str">
        <f t="shared" si="32"/>
        <v/>
      </c>
      <c r="AA685" s="63" t="str">
        <f>TEXT(Table111[[#This Row],[YEAR]],"0000")&amp;"-"&amp;Table111[[#This Row],[MONTH]]</f>
        <v>-</v>
      </c>
    </row>
    <row r="686" spans="2:27" x14ac:dyDescent="0.3">
      <c r="B686" s="183"/>
      <c r="C686" s="183"/>
      <c r="D686" s="183"/>
      <c r="E686" s="71"/>
      <c r="F686" s="72"/>
      <c r="G686" s="70"/>
      <c r="H686" s="74"/>
      <c r="I686" s="70"/>
      <c r="J686" s="70"/>
      <c r="K686" s="70"/>
      <c r="L686" s="74"/>
      <c r="M686" s="123"/>
      <c r="N686" s="73"/>
      <c r="O686" s="236"/>
      <c r="P686" s="117"/>
      <c r="Q686" s="117"/>
      <c r="R686" s="156" t="str">
        <f>IF(Table111[[#This Row],[Qty]]="","",Table111[[#This Row],[Qty]]*Table111[[#This Row],[Unit Price]])</f>
        <v/>
      </c>
      <c r="S686" s="156" t="str">
        <f>IF(Table111[[#This Row],[Qty]]="","",Table111[[#This Row],[Qty]]*Table111[[#This Row],[Unit Price]]+Table111[[#This Row],[Delivery Cost]])</f>
        <v/>
      </c>
      <c r="T686" s="72"/>
      <c r="U686" s="72"/>
      <c r="V686" s="72"/>
      <c r="W686"/>
      <c r="X686" s="63" t="str">
        <f t="shared" si="30"/>
        <v/>
      </c>
      <c r="Y686" s="63" t="str">
        <f t="shared" si="31"/>
        <v/>
      </c>
      <c r="Z686" s="63" t="str">
        <f t="shared" si="32"/>
        <v/>
      </c>
      <c r="AA686" s="63" t="str">
        <f>TEXT(Table111[[#This Row],[YEAR]],"0000")&amp;"-"&amp;Table111[[#This Row],[MONTH]]</f>
        <v>-</v>
      </c>
    </row>
    <row r="687" spans="2:27" x14ac:dyDescent="0.3">
      <c r="B687" s="68"/>
      <c r="C687" s="68"/>
      <c r="D687" s="183"/>
      <c r="E687" s="71"/>
      <c r="F687" s="72"/>
      <c r="G687" s="70"/>
      <c r="H687" s="74"/>
      <c r="I687" s="70"/>
      <c r="J687" s="70"/>
      <c r="K687" s="70"/>
      <c r="L687" s="74"/>
      <c r="M687" s="123"/>
      <c r="N687" s="73"/>
      <c r="O687" s="236"/>
      <c r="P687" s="117"/>
      <c r="Q687" s="117"/>
      <c r="R687" s="156" t="str">
        <f>IF(Table111[[#This Row],[Qty]]="","",Table111[[#This Row],[Qty]]*Table111[[#This Row],[Unit Price]])</f>
        <v/>
      </c>
      <c r="S687" s="156" t="str">
        <f>IF(Table111[[#This Row],[Qty]]="","",Table111[[#This Row],[Qty]]*Table111[[#This Row],[Unit Price]]+Table111[[#This Row],[Delivery Cost]])</f>
        <v/>
      </c>
      <c r="T687" s="72"/>
      <c r="U687" s="72"/>
      <c r="V687" s="72"/>
      <c r="W687"/>
      <c r="X687" s="63" t="str">
        <f t="shared" si="30"/>
        <v/>
      </c>
      <c r="Y687" s="63" t="str">
        <f t="shared" si="31"/>
        <v/>
      </c>
      <c r="Z687" s="63" t="str">
        <f t="shared" si="32"/>
        <v/>
      </c>
      <c r="AA687" s="63" t="str">
        <f>TEXT(Table111[[#This Row],[YEAR]],"0000")&amp;"-"&amp;Table111[[#This Row],[MONTH]]</f>
        <v>-</v>
      </c>
    </row>
    <row r="688" spans="2:27" x14ac:dyDescent="0.3">
      <c r="B688" s="183"/>
      <c r="C688" s="183"/>
      <c r="D688" s="183"/>
      <c r="E688" s="71"/>
      <c r="F688" s="72"/>
      <c r="G688" s="70"/>
      <c r="H688" s="74"/>
      <c r="I688" s="70"/>
      <c r="J688" s="70"/>
      <c r="K688" s="70"/>
      <c r="L688" s="74"/>
      <c r="M688" s="123"/>
      <c r="N688" s="73"/>
      <c r="O688" s="236"/>
      <c r="P688" s="117"/>
      <c r="Q688" s="117"/>
      <c r="R688" s="156" t="str">
        <f>IF(Table111[[#This Row],[Qty]]="","",Table111[[#This Row],[Qty]]*Table111[[#This Row],[Unit Price]])</f>
        <v/>
      </c>
      <c r="S688" s="156" t="str">
        <f>IF(Table111[[#This Row],[Qty]]="","",Table111[[#This Row],[Qty]]*Table111[[#This Row],[Unit Price]]+Table111[[#This Row],[Delivery Cost]])</f>
        <v/>
      </c>
      <c r="T688" s="72"/>
      <c r="U688" s="72"/>
      <c r="V688" s="72"/>
      <c r="W688"/>
      <c r="X688" s="63" t="str">
        <f t="shared" si="30"/>
        <v/>
      </c>
      <c r="Y688" s="63" t="str">
        <f t="shared" si="31"/>
        <v/>
      </c>
      <c r="Z688" s="63" t="str">
        <f t="shared" si="32"/>
        <v/>
      </c>
      <c r="AA688" s="63" t="str">
        <f>TEXT(Table111[[#This Row],[YEAR]],"0000")&amp;"-"&amp;Table111[[#This Row],[MONTH]]</f>
        <v>-</v>
      </c>
    </row>
    <row r="689" spans="2:27" x14ac:dyDescent="0.3">
      <c r="B689" s="68"/>
      <c r="C689" s="68"/>
      <c r="D689" s="68"/>
      <c r="E689" s="71"/>
      <c r="F689" s="72"/>
      <c r="G689" s="70"/>
      <c r="H689" s="74"/>
      <c r="I689" s="70"/>
      <c r="J689" s="70"/>
      <c r="K689" s="70"/>
      <c r="L689" s="74"/>
      <c r="M689" s="123"/>
      <c r="N689" s="73"/>
      <c r="O689" s="236"/>
      <c r="P689" s="117"/>
      <c r="Q689" s="117"/>
      <c r="R689" s="156" t="str">
        <f>IF(Table111[[#This Row],[Qty]]="","",Table111[[#This Row],[Qty]]*Table111[[#This Row],[Unit Price]])</f>
        <v/>
      </c>
      <c r="S689" s="156" t="str">
        <f>IF(Table111[[#This Row],[Qty]]="","",Table111[[#This Row],[Qty]]*Table111[[#This Row],[Unit Price]]+Table111[[#This Row],[Delivery Cost]])</f>
        <v/>
      </c>
      <c r="T689" s="72"/>
      <c r="U689" s="72"/>
      <c r="V689" s="72"/>
      <c r="W689"/>
      <c r="X689" s="63" t="str">
        <f t="shared" si="30"/>
        <v/>
      </c>
      <c r="Y689" s="63" t="str">
        <f t="shared" si="31"/>
        <v/>
      </c>
      <c r="Z689" s="63" t="str">
        <f t="shared" si="32"/>
        <v/>
      </c>
      <c r="AA689" s="63" t="str">
        <f>TEXT(Table111[[#This Row],[YEAR]],"0000")&amp;"-"&amp;Table111[[#This Row],[MONTH]]</f>
        <v>-</v>
      </c>
    </row>
    <row r="690" spans="2:27" x14ac:dyDescent="0.3">
      <c r="B690" s="183"/>
      <c r="C690" s="183"/>
      <c r="D690" s="183"/>
      <c r="E690" s="71"/>
      <c r="F690" s="72"/>
      <c r="G690" s="70"/>
      <c r="H690" s="74"/>
      <c r="I690" s="70"/>
      <c r="J690" s="70"/>
      <c r="K690" s="70"/>
      <c r="L690" s="74"/>
      <c r="M690" s="123"/>
      <c r="N690" s="73"/>
      <c r="O690" s="236"/>
      <c r="P690" s="117"/>
      <c r="Q690" s="117"/>
      <c r="R690" s="156" t="str">
        <f>IF(Table111[[#This Row],[Qty]]="","",Table111[[#This Row],[Qty]]*Table111[[#This Row],[Unit Price]])</f>
        <v/>
      </c>
      <c r="S690" s="156" t="str">
        <f>IF(Table111[[#This Row],[Qty]]="","",Table111[[#This Row],[Qty]]*Table111[[#This Row],[Unit Price]]+Table111[[#This Row],[Delivery Cost]])</f>
        <v/>
      </c>
      <c r="T690" s="72"/>
      <c r="U690" s="72"/>
      <c r="V690" s="72"/>
      <c r="W690"/>
      <c r="X690" s="63" t="str">
        <f t="shared" si="30"/>
        <v/>
      </c>
      <c r="Y690" s="63" t="str">
        <f t="shared" si="31"/>
        <v/>
      </c>
      <c r="Z690" s="63" t="str">
        <f t="shared" si="32"/>
        <v/>
      </c>
      <c r="AA690" s="63" t="str">
        <f>TEXT(Table111[[#This Row],[YEAR]],"0000")&amp;"-"&amp;Table111[[#This Row],[MONTH]]</f>
        <v>-</v>
      </c>
    </row>
    <row r="691" spans="2:27" x14ac:dyDescent="0.3">
      <c r="B691" s="68"/>
      <c r="C691" s="68"/>
      <c r="D691" s="68"/>
      <c r="E691" s="71"/>
      <c r="F691" s="72"/>
      <c r="G691" s="70"/>
      <c r="H691" s="74"/>
      <c r="I691" s="70"/>
      <c r="J691" s="70"/>
      <c r="K691" s="70"/>
      <c r="L691" s="74"/>
      <c r="M691" s="123"/>
      <c r="N691" s="73"/>
      <c r="O691" s="236"/>
      <c r="P691" s="117"/>
      <c r="Q691" s="117"/>
      <c r="R691" s="156" t="str">
        <f>IF(Table111[[#This Row],[Qty]]="","",Table111[[#This Row],[Qty]]*Table111[[#This Row],[Unit Price]])</f>
        <v/>
      </c>
      <c r="S691" s="156" t="str">
        <f>IF(Table111[[#This Row],[Qty]]="","",Table111[[#This Row],[Qty]]*Table111[[#This Row],[Unit Price]]+Table111[[#This Row],[Delivery Cost]])</f>
        <v/>
      </c>
      <c r="T691" s="72"/>
      <c r="U691" s="72"/>
      <c r="V691" s="72"/>
      <c r="W691" s="219"/>
      <c r="X691" s="63" t="str">
        <f t="shared" si="30"/>
        <v/>
      </c>
      <c r="Y691" s="63" t="str">
        <f t="shared" si="31"/>
        <v/>
      </c>
      <c r="Z691" s="63" t="str">
        <f t="shared" si="32"/>
        <v/>
      </c>
      <c r="AA691" s="63" t="str">
        <f>TEXT(Table111[[#This Row],[YEAR]],"0000")&amp;"-"&amp;Table111[[#This Row],[MONTH]]</f>
        <v>-</v>
      </c>
    </row>
    <row r="692" spans="2:27" x14ac:dyDescent="0.3">
      <c r="B692" s="183"/>
      <c r="C692" s="183"/>
      <c r="D692" s="183"/>
      <c r="E692" s="71"/>
      <c r="F692" s="72"/>
      <c r="G692" s="70"/>
      <c r="H692" s="74"/>
      <c r="I692" s="70"/>
      <c r="J692" s="70"/>
      <c r="K692" s="70"/>
      <c r="L692" s="74"/>
      <c r="M692" s="123"/>
      <c r="N692" s="73"/>
      <c r="O692" s="236"/>
      <c r="P692" s="117"/>
      <c r="Q692" s="117"/>
      <c r="R692" s="156" t="str">
        <f>IF(Table111[[#This Row],[Qty]]="","",Table111[[#This Row],[Qty]]*Table111[[#This Row],[Unit Price]])</f>
        <v/>
      </c>
      <c r="S692" s="156" t="str">
        <f>IF(Table111[[#This Row],[Qty]]="","",Table111[[#This Row],[Qty]]*Table111[[#This Row],[Unit Price]]+Table111[[#This Row],[Delivery Cost]])</f>
        <v/>
      </c>
      <c r="T692" s="72"/>
      <c r="U692" s="72"/>
      <c r="V692" s="72"/>
      <c r="W692" s="65"/>
      <c r="X692" s="63" t="str">
        <f t="shared" si="30"/>
        <v/>
      </c>
      <c r="Y692" s="63" t="str">
        <f t="shared" si="31"/>
        <v/>
      </c>
      <c r="Z692" s="63" t="str">
        <f t="shared" si="32"/>
        <v/>
      </c>
      <c r="AA692" s="63" t="str">
        <f>TEXT(Table111[[#This Row],[YEAR]],"0000")&amp;"-"&amp;Table111[[#This Row],[MONTH]]</f>
        <v>-</v>
      </c>
    </row>
    <row r="693" spans="2:27" x14ac:dyDescent="0.3">
      <c r="B693" s="68"/>
      <c r="C693" s="68"/>
      <c r="D693" s="68"/>
      <c r="E693" s="71"/>
      <c r="F693" s="72"/>
      <c r="G693" s="70"/>
      <c r="H693" s="74"/>
      <c r="I693" s="70"/>
      <c r="J693" s="70"/>
      <c r="K693" s="70"/>
      <c r="L693" s="74"/>
      <c r="M693" s="123"/>
      <c r="N693" s="73"/>
      <c r="O693" s="236"/>
      <c r="P693" s="117"/>
      <c r="Q693" s="117"/>
      <c r="R693" s="156" t="str">
        <f>IF(Table111[[#This Row],[Qty]]="","",Table111[[#This Row],[Qty]]*Table111[[#This Row],[Unit Price]])</f>
        <v/>
      </c>
      <c r="S693" s="156" t="str">
        <f>IF(Table111[[#This Row],[Qty]]="","",Table111[[#This Row],[Qty]]*Table111[[#This Row],[Unit Price]]+Table111[[#This Row],[Delivery Cost]])</f>
        <v/>
      </c>
      <c r="T693" s="72"/>
      <c r="U693" s="72"/>
      <c r="V693" s="72"/>
      <c r="W693" s="219"/>
      <c r="X693" s="63" t="str">
        <f t="shared" si="30"/>
        <v/>
      </c>
      <c r="Y693" s="63" t="str">
        <f t="shared" si="31"/>
        <v/>
      </c>
      <c r="Z693" s="63" t="str">
        <f t="shared" si="32"/>
        <v/>
      </c>
      <c r="AA693" s="63" t="str">
        <f>TEXT(Table111[[#This Row],[YEAR]],"0000")&amp;"-"&amp;Table111[[#This Row],[MONTH]]</f>
        <v>-</v>
      </c>
    </row>
    <row r="694" spans="2:27" x14ac:dyDescent="0.3">
      <c r="B694" s="183"/>
      <c r="C694" s="183"/>
      <c r="D694" s="183"/>
      <c r="E694" s="71"/>
      <c r="F694" s="72"/>
      <c r="G694" s="70"/>
      <c r="H694" s="74"/>
      <c r="I694" s="70"/>
      <c r="J694" s="223"/>
      <c r="K694" s="70"/>
      <c r="L694" s="74"/>
      <c r="M694" s="123"/>
      <c r="N694" s="73"/>
      <c r="O694" s="236"/>
      <c r="P694" s="117"/>
      <c r="Q694" s="117"/>
      <c r="R694" s="156" t="str">
        <f>IF(Table111[[#This Row],[Qty]]="","",Table111[[#This Row],[Qty]]*Table111[[#This Row],[Unit Price]])</f>
        <v/>
      </c>
      <c r="S694" s="156" t="str">
        <f>IF(Table111[[#This Row],[Qty]]="","",Table111[[#This Row],[Qty]]*Table111[[#This Row],[Unit Price]]+Table111[[#This Row],[Delivery Cost]])</f>
        <v/>
      </c>
      <c r="T694" s="72"/>
      <c r="U694" s="72"/>
      <c r="V694" s="72"/>
      <c r="W694" s="65"/>
      <c r="X694" s="63" t="str">
        <f t="shared" si="30"/>
        <v/>
      </c>
      <c r="Y694" s="63" t="str">
        <f t="shared" si="31"/>
        <v/>
      </c>
      <c r="Z694" s="63" t="str">
        <f t="shared" si="32"/>
        <v/>
      </c>
      <c r="AA694" s="63" t="str">
        <f>TEXT(Table111[[#This Row],[YEAR]],"0000")&amp;"-"&amp;Table111[[#This Row],[MONTH]]</f>
        <v>-</v>
      </c>
    </row>
    <row r="695" spans="2:27" x14ac:dyDescent="0.3">
      <c r="B695" s="68"/>
      <c r="C695" s="68"/>
      <c r="D695" s="68"/>
      <c r="E695" s="71"/>
      <c r="F695" s="72"/>
      <c r="G695" s="70"/>
      <c r="H695" s="74"/>
      <c r="I695" s="70"/>
      <c r="J695" s="70"/>
      <c r="K695" s="70"/>
      <c r="L695" s="74"/>
      <c r="M695" s="123"/>
      <c r="N695" s="73"/>
      <c r="O695" s="236"/>
      <c r="P695" s="117"/>
      <c r="Q695" s="117"/>
      <c r="R695" s="156" t="str">
        <f>IF(Table111[[#This Row],[Qty]]="","",Table111[[#This Row],[Qty]]*Table111[[#This Row],[Unit Price]])</f>
        <v/>
      </c>
      <c r="S695" s="156" t="str">
        <f>IF(Table111[[#This Row],[Qty]]="","",Table111[[#This Row],[Qty]]*Table111[[#This Row],[Unit Price]]+Table111[[#This Row],[Delivery Cost]])</f>
        <v/>
      </c>
      <c r="T695" s="72"/>
      <c r="U695" s="72"/>
      <c r="V695" s="72"/>
      <c r="W695" s="219"/>
      <c r="X695" s="63" t="str">
        <f t="shared" si="30"/>
        <v/>
      </c>
      <c r="Y695" s="63" t="str">
        <f t="shared" si="31"/>
        <v/>
      </c>
      <c r="Z695" s="63" t="str">
        <f t="shared" si="32"/>
        <v/>
      </c>
      <c r="AA695" s="63" t="str">
        <f>TEXT(Table111[[#This Row],[YEAR]],"0000")&amp;"-"&amp;Table111[[#This Row],[MONTH]]</f>
        <v>-</v>
      </c>
    </row>
    <row r="696" spans="2:27" x14ac:dyDescent="0.3">
      <c r="B696" s="183"/>
      <c r="C696" s="183"/>
      <c r="D696" s="183"/>
      <c r="E696" s="71"/>
      <c r="F696" s="72"/>
      <c r="G696" s="70"/>
      <c r="H696" s="74"/>
      <c r="I696" s="70"/>
      <c r="J696" s="70"/>
      <c r="K696" s="70"/>
      <c r="L696" s="74"/>
      <c r="M696" s="123"/>
      <c r="N696" s="73"/>
      <c r="O696" s="236"/>
      <c r="P696" s="117"/>
      <c r="Q696" s="117"/>
      <c r="R696" s="156" t="str">
        <f>IF(Table111[[#This Row],[Qty]]="","",Table111[[#This Row],[Qty]]*Table111[[#This Row],[Unit Price]])</f>
        <v/>
      </c>
      <c r="S696" s="156" t="str">
        <f>IF(Table111[[#This Row],[Qty]]="","",Table111[[#This Row],[Qty]]*Table111[[#This Row],[Unit Price]]+Table111[[#This Row],[Delivery Cost]])</f>
        <v/>
      </c>
      <c r="T696" s="72"/>
      <c r="U696" s="72"/>
      <c r="V696" s="72"/>
      <c r="W696" s="65"/>
      <c r="X696" s="63" t="str">
        <f t="shared" si="30"/>
        <v/>
      </c>
      <c r="Y696" s="63" t="str">
        <f t="shared" si="31"/>
        <v/>
      </c>
      <c r="Z696" s="63" t="str">
        <f t="shared" si="32"/>
        <v/>
      </c>
      <c r="AA696" s="63" t="str">
        <f>TEXT(Table111[[#This Row],[YEAR]],"0000")&amp;"-"&amp;Table111[[#This Row],[MONTH]]</f>
        <v>-</v>
      </c>
    </row>
    <row r="697" spans="2:27" x14ac:dyDescent="0.3">
      <c r="B697" s="68"/>
      <c r="C697" s="68"/>
      <c r="D697" s="68"/>
      <c r="E697" s="71"/>
      <c r="F697" s="72"/>
      <c r="G697" s="70"/>
      <c r="H697" s="74"/>
      <c r="I697" s="70"/>
      <c r="J697" s="70"/>
      <c r="K697" s="70"/>
      <c r="L697" s="74"/>
      <c r="M697" s="123"/>
      <c r="N697" s="73"/>
      <c r="O697" s="236"/>
      <c r="P697" s="117"/>
      <c r="Q697" s="117"/>
      <c r="R697" s="156" t="str">
        <f>IF(Table111[[#This Row],[Qty]]="","",Table111[[#This Row],[Qty]]*Table111[[#This Row],[Unit Price]])</f>
        <v/>
      </c>
      <c r="S697" s="156" t="str">
        <f>IF(Table111[[#This Row],[Qty]]="","",Table111[[#This Row],[Qty]]*Table111[[#This Row],[Unit Price]]+Table111[[#This Row],[Delivery Cost]])</f>
        <v/>
      </c>
      <c r="T697" s="72"/>
      <c r="U697" s="72"/>
      <c r="V697" s="72"/>
      <c r="W697" s="219"/>
      <c r="X697" s="63" t="str">
        <f t="shared" si="30"/>
        <v/>
      </c>
      <c r="Y697" s="63" t="str">
        <f t="shared" si="31"/>
        <v/>
      </c>
      <c r="Z697" s="63" t="str">
        <f t="shared" si="32"/>
        <v/>
      </c>
      <c r="AA697" s="63" t="str">
        <f>TEXT(Table111[[#This Row],[YEAR]],"0000")&amp;"-"&amp;Table111[[#This Row],[MONTH]]</f>
        <v>-</v>
      </c>
    </row>
    <row r="698" spans="2:27" x14ac:dyDescent="0.3">
      <c r="B698" s="183"/>
      <c r="C698" s="183"/>
      <c r="D698" s="183"/>
      <c r="E698" s="71"/>
      <c r="F698" s="72"/>
      <c r="G698" s="70"/>
      <c r="H698" s="74"/>
      <c r="I698" s="70"/>
      <c r="J698" s="70"/>
      <c r="K698" s="70"/>
      <c r="L698" s="74"/>
      <c r="M698" s="123"/>
      <c r="N698" s="73"/>
      <c r="O698" s="236"/>
      <c r="P698" s="117"/>
      <c r="Q698" s="117"/>
      <c r="R698" s="156" t="str">
        <f>IF(Table111[[#This Row],[Qty]]="","",Table111[[#This Row],[Qty]]*Table111[[#This Row],[Unit Price]])</f>
        <v/>
      </c>
      <c r="S698" s="156" t="str">
        <f>IF(Table111[[#This Row],[Qty]]="","",Table111[[#This Row],[Qty]]*Table111[[#This Row],[Unit Price]]+Table111[[#This Row],[Delivery Cost]])</f>
        <v/>
      </c>
      <c r="T698" s="72"/>
      <c r="U698" s="72"/>
      <c r="V698" s="72"/>
      <c r="W698" s="65"/>
      <c r="X698" s="63" t="str">
        <f t="shared" si="30"/>
        <v/>
      </c>
      <c r="Y698" s="63" t="str">
        <f t="shared" si="31"/>
        <v/>
      </c>
      <c r="Z698" s="63" t="str">
        <f t="shared" si="32"/>
        <v/>
      </c>
      <c r="AA698" s="63" t="str">
        <f>TEXT(Table111[[#This Row],[YEAR]],"0000")&amp;"-"&amp;Table111[[#This Row],[MONTH]]</f>
        <v>-</v>
      </c>
    </row>
    <row r="699" spans="2:27" x14ac:dyDescent="0.3">
      <c r="B699" s="68"/>
      <c r="C699" s="68"/>
      <c r="D699" s="68"/>
      <c r="E699" s="71"/>
      <c r="F699" s="72"/>
      <c r="G699" s="70"/>
      <c r="H699" s="74"/>
      <c r="I699" s="70"/>
      <c r="J699" s="70"/>
      <c r="K699" s="70"/>
      <c r="L699" s="74"/>
      <c r="M699" s="123"/>
      <c r="N699" s="73"/>
      <c r="O699" s="236"/>
      <c r="P699" s="117"/>
      <c r="Q699" s="117"/>
      <c r="R699" s="156" t="str">
        <f>IF(Table111[[#This Row],[Qty]]="","",Table111[[#This Row],[Qty]]*Table111[[#This Row],[Unit Price]])</f>
        <v/>
      </c>
      <c r="S699" s="156" t="str">
        <f>IF(Table111[[#This Row],[Qty]]="","",Table111[[#This Row],[Qty]]*Table111[[#This Row],[Unit Price]]+Table111[[#This Row],[Delivery Cost]])</f>
        <v/>
      </c>
      <c r="T699" s="72"/>
      <c r="U699" s="72"/>
      <c r="V699" s="72"/>
      <c r="W699" s="219"/>
      <c r="X699" s="63" t="str">
        <f t="shared" si="30"/>
        <v/>
      </c>
      <c r="Y699" s="63" t="str">
        <f t="shared" si="31"/>
        <v/>
      </c>
      <c r="Z699" s="63" t="str">
        <f t="shared" si="32"/>
        <v/>
      </c>
      <c r="AA699" s="63" t="str">
        <f>TEXT(Table111[[#This Row],[YEAR]],"0000")&amp;"-"&amp;Table111[[#This Row],[MONTH]]</f>
        <v>-</v>
      </c>
    </row>
    <row r="700" spans="2:27" x14ac:dyDescent="0.3">
      <c r="B700" s="183"/>
      <c r="C700" s="183"/>
      <c r="D700" s="183"/>
      <c r="E700" s="71"/>
      <c r="F700" s="72"/>
      <c r="G700" s="70"/>
      <c r="H700" s="74"/>
      <c r="I700" s="70"/>
      <c r="J700" s="70"/>
      <c r="K700" s="70"/>
      <c r="L700" s="74"/>
      <c r="M700" s="123"/>
      <c r="N700" s="73"/>
      <c r="O700" s="236"/>
      <c r="P700" s="117"/>
      <c r="Q700" s="117"/>
      <c r="R700" s="156" t="str">
        <f>IF(Table111[[#This Row],[Qty]]="","",Table111[[#This Row],[Qty]]*Table111[[#This Row],[Unit Price]])</f>
        <v/>
      </c>
      <c r="S700" s="156" t="str">
        <f>IF(Table111[[#This Row],[Qty]]="","",Table111[[#This Row],[Qty]]*Table111[[#This Row],[Unit Price]]+Table111[[#This Row],[Delivery Cost]])</f>
        <v/>
      </c>
      <c r="T700" s="72"/>
      <c r="U700" s="72"/>
      <c r="V700" s="72"/>
      <c r="W700" s="219"/>
      <c r="X700" s="63" t="str">
        <f t="shared" si="30"/>
        <v/>
      </c>
      <c r="Y700" s="63" t="str">
        <f t="shared" si="31"/>
        <v/>
      </c>
      <c r="Z700" s="63" t="str">
        <f t="shared" si="32"/>
        <v/>
      </c>
      <c r="AA700" s="63" t="str">
        <f>TEXT(Table111[[#This Row],[YEAR]],"0000")&amp;"-"&amp;Table111[[#This Row],[MONTH]]</f>
        <v>-</v>
      </c>
    </row>
    <row r="701" spans="2:27" x14ac:dyDescent="0.3">
      <c r="B701" s="68"/>
      <c r="C701" s="68"/>
      <c r="D701" s="68"/>
      <c r="E701" s="71"/>
      <c r="F701" s="72"/>
      <c r="G701" s="70"/>
      <c r="H701" s="74"/>
      <c r="I701" s="70"/>
      <c r="J701" s="70"/>
      <c r="K701" s="70"/>
      <c r="L701" s="74"/>
      <c r="M701" s="123"/>
      <c r="N701" s="73"/>
      <c r="O701" s="236"/>
      <c r="P701" s="117"/>
      <c r="Q701" s="117"/>
      <c r="R701" s="156" t="str">
        <f>IF(Table111[[#This Row],[Qty]]="","",Table111[[#This Row],[Qty]]*Table111[[#This Row],[Unit Price]])</f>
        <v/>
      </c>
      <c r="S701" s="156" t="str">
        <f>IF(Table111[[#This Row],[Qty]]="","",Table111[[#This Row],[Qty]]*Table111[[#This Row],[Unit Price]]+Table111[[#This Row],[Delivery Cost]])</f>
        <v/>
      </c>
      <c r="T701" s="72"/>
      <c r="U701" s="72"/>
      <c r="V701" s="72"/>
      <c r="W701" s="219"/>
      <c r="X701" s="63" t="str">
        <f t="shared" si="30"/>
        <v/>
      </c>
      <c r="Y701" s="63" t="str">
        <f t="shared" si="31"/>
        <v/>
      </c>
      <c r="Z701" s="63" t="str">
        <f t="shared" si="32"/>
        <v/>
      </c>
      <c r="AA701" s="63" t="str">
        <f>TEXT(Table111[[#This Row],[YEAR]],"0000")&amp;"-"&amp;Table111[[#This Row],[MONTH]]</f>
        <v>-</v>
      </c>
    </row>
    <row r="702" spans="2:27" x14ac:dyDescent="0.3">
      <c r="B702" s="183"/>
      <c r="C702" s="183"/>
      <c r="D702" s="183"/>
      <c r="E702" s="71"/>
      <c r="F702" s="72"/>
      <c r="G702" s="70"/>
      <c r="H702" s="74"/>
      <c r="I702" s="70"/>
      <c r="J702" s="70"/>
      <c r="K702" s="70"/>
      <c r="L702" s="74"/>
      <c r="M702" s="123"/>
      <c r="N702" s="73"/>
      <c r="O702" s="236"/>
      <c r="P702" s="117"/>
      <c r="Q702" s="117"/>
      <c r="R702" s="156" t="str">
        <f>IF(Table111[[#This Row],[Qty]]="","",Table111[[#This Row],[Qty]]*Table111[[#This Row],[Unit Price]])</f>
        <v/>
      </c>
      <c r="S702" s="156" t="str">
        <f>IF(Table111[[#This Row],[Qty]]="","",Table111[[#This Row],[Qty]]*Table111[[#This Row],[Unit Price]]+Table111[[#This Row],[Delivery Cost]])</f>
        <v/>
      </c>
      <c r="T702" s="72"/>
      <c r="U702" s="72"/>
      <c r="V702" s="72"/>
      <c r="W702" s="65"/>
      <c r="X702" s="63" t="str">
        <f t="shared" si="30"/>
        <v/>
      </c>
      <c r="Y702" s="63" t="str">
        <f t="shared" si="31"/>
        <v/>
      </c>
      <c r="Z702" s="63" t="str">
        <f t="shared" si="32"/>
        <v/>
      </c>
      <c r="AA702" s="63" t="str">
        <f>TEXT(Table111[[#This Row],[YEAR]],"0000")&amp;"-"&amp;Table111[[#This Row],[MONTH]]</f>
        <v>-</v>
      </c>
    </row>
    <row r="703" spans="2:27" x14ac:dyDescent="0.3">
      <c r="B703" s="68"/>
      <c r="C703" s="68"/>
      <c r="D703" s="68"/>
      <c r="E703" s="71"/>
      <c r="F703" s="72"/>
      <c r="G703" s="70"/>
      <c r="H703" s="74"/>
      <c r="I703" s="70"/>
      <c r="J703" s="70"/>
      <c r="K703" s="70"/>
      <c r="L703" s="74"/>
      <c r="M703" s="123"/>
      <c r="N703" s="73"/>
      <c r="O703" s="236"/>
      <c r="P703" s="117"/>
      <c r="Q703" s="117"/>
      <c r="R703" s="156" t="str">
        <f>IF(Table111[[#This Row],[Qty]]="","",Table111[[#This Row],[Qty]]*Table111[[#This Row],[Unit Price]])</f>
        <v/>
      </c>
      <c r="S703" s="156" t="str">
        <f>IF(Table111[[#This Row],[Qty]]="","",Table111[[#This Row],[Qty]]*Table111[[#This Row],[Unit Price]]+Table111[[#This Row],[Delivery Cost]])</f>
        <v/>
      </c>
      <c r="T703" s="72"/>
      <c r="U703" s="72"/>
      <c r="V703" s="72"/>
      <c r="W703" s="219"/>
      <c r="X703" s="63" t="str">
        <f t="shared" si="30"/>
        <v/>
      </c>
      <c r="Y703" s="63" t="str">
        <f t="shared" si="31"/>
        <v/>
      </c>
      <c r="Z703" s="63" t="str">
        <f t="shared" si="32"/>
        <v/>
      </c>
      <c r="AA703" s="63" t="str">
        <f>TEXT(Table111[[#This Row],[YEAR]],"0000")&amp;"-"&amp;Table111[[#This Row],[MONTH]]</f>
        <v>-</v>
      </c>
    </row>
    <row r="704" spans="2:27" x14ac:dyDescent="0.3">
      <c r="B704" s="183"/>
      <c r="C704" s="183"/>
      <c r="D704" s="183"/>
      <c r="E704" s="71"/>
      <c r="F704" s="72"/>
      <c r="G704" s="70"/>
      <c r="H704" s="74"/>
      <c r="I704" s="70"/>
      <c r="J704" s="70"/>
      <c r="K704" s="70"/>
      <c r="L704" s="74"/>
      <c r="M704" s="123"/>
      <c r="N704" s="73"/>
      <c r="O704" s="236"/>
      <c r="P704" s="117"/>
      <c r="Q704" s="117"/>
      <c r="R704" s="156" t="str">
        <f>IF(Table111[[#This Row],[Qty]]="","",Table111[[#This Row],[Qty]]*Table111[[#This Row],[Unit Price]])</f>
        <v/>
      </c>
      <c r="S704" s="156" t="str">
        <f>IF(Table111[[#This Row],[Qty]]="","",Table111[[#This Row],[Qty]]*Table111[[#This Row],[Unit Price]]+Table111[[#This Row],[Delivery Cost]])</f>
        <v/>
      </c>
      <c r="T704" s="72"/>
      <c r="U704" s="72"/>
      <c r="V704" s="72"/>
      <c r="W704" s="65"/>
      <c r="X704" s="63" t="str">
        <f t="shared" si="30"/>
        <v/>
      </c>
      <c r="Y704" s="63" t="str">
        <f t="shared" si="31"/>
        <v/>
      </c>
      <c r="Z704" s="63" t="str">
        <f t="shared" si="32"/>
        <v/>
      </c>
      <c r="AA704" s="63" t="str">
        <f>TEXT(Table111[[#This Row],[YEAR]],"0000")&amp;"-"&amp;Table111[[#This Row],[MONTH]]</f>
        <v>-</v>
      </c>
    </row>
    <row r="705" spans="2:27" x14ac:dyDescent="0.3">
      <c r="B705" s="68"/>
      <c r="C705" s="68"/>
      <c r="D705" s="68"/>
      <c r="E705" s="71"/>
      <c r="F705" s="72"/>
      <c r="G705" s="70"/>
      <c r="H705" s="74"/>
      <c r="I705" s="70"/>
      <c r="J705" s="70"/>
      <c r="K705" s="70"/>
      <c r="L705" s="74"/>
      <c r="M705" s="123"/>
      <c r="N705" s="73"/>
      <c r="O705" s="236"/>
      <c r="P705" s="117"/>
      <c r="Q705" s="117"/>
      <c r="R705" s="156" t="str">
        <f>IF(Table111[[#This Row],[Qty]]="","",Table111[[#This Row],[Qty]]*Table111[[#This Row],[Unit Price]])</f>
        <v/>
      </c>
      <c r="S705" s="156" t="str">
        <f>IF(Table111[[#This Row],[Qty]]="","",Table111[[#This Row],[Qty]]*Table111[[#This Row],[Unit Price]]+Table111[[#This Row],[Delivery Cost]])</f>
        <v/>
      </c>
      <c r="T705" s="72"/>
      <c r="U705" s="72"/>
      <c r="V705" s="72"/>
      <c r="W705" s="219"/>
      <c r="X705" s="63" t="str">
        <f t="shared" si="30"/>
        <v/>
      </c>
      <c r="Y705" s="63" t="str">
        <f t="shared" si="31"/>
        <v/>
      </c>
      <c r="Z705" s="63" t="str">
        <f t="shared" si="32"/>
        <v/>
      </c>
      <c r="AA705" s="63" t="str">
        <f>TEXT(Table111[[#This Row],[YEAR]],"0000")&amp;"-"&amp;Table111[[#This Row],[MONTH]]</f>
        <v>-</v>
      </c>
    </row>
    <row r="706" spans="2:27" x14ac:dyDescent="0.3">
      <c r="B706" s="183"/>
      <c r="C706" s="183"/>
      <c r="D706" s="183"/>
      <c r="E706" s="71"/>
      <c r="F706" s="72"/>
      <c r="G706" s="70"/>
      <c r="H706" s="74"/>
      <c r="I706" s="70"/>
      <c r="J706" s="70"/>
      <c r="K706" s="70"/>
      <c r="L706" s="74"/>
      <c r="M706" s="123"/>
      <c r="N706" s="73"/>
      <c r="O706" s="236"/>
      <c r="P706" s="117"/>
      <c r="Q706" s="117"/>
      <c r="R706" s="156" t="str">
        <f>IF(Table111[[#This Row],[Qty]]="","",Table111[[#This Row],[Qty]]*Table111[[#This Row],[Unit Price]])</f>
        <v/>
      </c>
      <c r="S706" s="156" t="str">
        <f>IF(Table111[[#This Row],[Qty]]="","",Table111[[#This Row],[Qty]]*Table111[[#This Row],[Unit Price]]+Table111[[#This Row],[Delivery Cost]])</f>
        <v/>
      </c>
      <c r="T706" s="72"/>
      <c r="U706" s="72"/>
      <c r="V706" s="72"/>
      <c r="W706" s="65"/>
      <c r="X706" s="63" t="str">
        <f t="shared" si="30"/>
        <v/>
      </c>
      <c r="Y706" s="63" t="str">
        <f t="shared" si="31"/>
        <v/>
      </c>
      <c r="Z706" s="63" t="str">
        <f t="shared" si="32"/>
        <v/>
      </c>
      <c r="AA706" s="63" t="str">
        <f>TEXT(Table111[[#This Row],[YEAR]],"0000")&amp;"-"&amp;Table111[[#This Row],[MONTH]]</f>
        <v>-</v>
      </c>
    </row>
    <row r="707" spans="2:27" x14ac:dyDescent="0.3">
      <c r="B707" s="68"/>
      <c r="C707" s="68"/>
      <c r="D707" s="68"/>
      <c r="E707" s="71"/>
      <c r="F707" s="72"/>
      <c r="G707" s="70"/>
      <c r="H707" s="74"/>
      <c r="I707" s="70"/>
      <c r="J707" s="70"/>
      <c r="K707" s="70"/>
      <c r="L707" s="74"/>
      <c r="M707" s="123"/>
      <c r="N707" s="73"/>
      <c r="O707" s="236"/>
      <c r="P707" s="117"/>
      <c r="Q707" s="117"/>
      <c r="R707" s="156" t="str">
        <f>IF(Table111[[#This Row],[Qty]]="","",Table111[[#This Row],[Qty]]*Table111[[#This Row],[Unit Price]])</f>
        <v/>
      </c>
      <c r="S707" s="156" t="str">
        <f>IF(Table111[[#This Row],[Qty]]="","",Table111[[#This Row],[Qty]]*Table111[[#This Row],[Unit Price]]+Table111[[#This Row],[Delivery Cost]])</f>
        <v/>
      </c>
      <c r="T707" s="72"/>
      <c r="U707" s="72"/>
      <c r="V707" s="72"/>
      <c r="W707" s="219"/>
      <c r="X707" s="63" t="str">
        <f t="shared" ref="X707:X770" si="33">IF(E707=0,"",YEAR(E707))</f>
        <v/>
      </c>
      <c r="Y707" s="63" t="str">
        <f t="shared" ref="Y707:Y770" si="34">IF(E707=0,"",MONTH(E707))</f>
        <v/>
      </c>
      <c r="Z707" s="63" t="str">
        <f t="shared" ref="Z707:Z770" si="35">IF(E707=0,"",WEEKNUM(E707))</f>
        <v/>
      </c>
      <c r="AA707" s="63" t="str">
        <f>TEXT(Table111[[#This Row],[YEAR]],"0000")&amp;"-"&amp;Table111[[#This Row],[MONTH]]</f>
        <v>-</v>
      </c>
    </row>
    <row r="708" spans="2:27" x14ac:dyDescent="0.3">
      <c r="B708" s="183"/>
      <c r="C708" s="183"/>
      <c r="D708" s="183"/>
      <c r="E708" s="71"/>
      <c r="F708" s="72"/>
      <c r="G708" s="70"/>
      <c r="H708" s="74"/>
      <c r="I708" s="70"/>
      <c r="J708" s="70"/>
      <c r="K708" s="70"/>
      <c r="L708" s="74"/>
      <c r="M708" s="123"/>
      <c r="N708" s="73"/>
      <c r="O708" s="236"/>
      <c r="P708" s="117"/>
      <c r="Q708" s="117"/>
      <c r="R708" s="156" t="str">
        <f>IF(Table111[[#This Row],[Qty]]="","",Table111[[#This Row],[Qty]]*Table111[[#This Row],[Unit Price]])</f>
        <v/>
      </c>
      <c r="S708" s="156" t="str">
        <f>IF(Table111[[#This Row],[Qty]]="","",Table111[[#This Row],[Qty]]*Table111[[#This Row],[Unit Price]]+Table111[[#This Row],[Delivery Cost]])</f>
        <v/>
      </c>
      <c r="T708" s="72"/>
      <c r="U708" s="72"/>
      <c r="V708" s="72"/>
      <c r="W708" s="219"/>
      <c r="X708" s="63" t="str">
        <f t="shared" si="33"/>
        <v/>
      </c>
      <c r="Y708" s="63" t="str">
        <f t="shared" si="34"/>
        <v/>
      </c>
      <c r="Z708" s="63" t="str">
        <f t="shared" si="35"/>
        <v/>
      </c>
      <c r="AA708" s="63" t="str">
        <f>TEXT(Table111[[#This Row],[YEAR]],"0000")&amp;"-"&amp;Table111[[#This Row],[MONTH]]</f>
        <v>-</v>
      </c>
    </row>
    <row r="709" spans="2:27" x14ac:dyDescent="0.3">
      <c r="B709" s="68"/>
      <c r="C709" s="68"/>
      <c r="D709" s="183"/>
      <c r="E709" s="71"/>
      <c r="F709" s="72"/>
      <c r="G709" s="70"/>
      <c r="H709" s="74"/>
      <c r="I709" s="70"/>
      <c r="J709" s="70"/>
      <c r="K709" s="70"/>
      <c r="L709" s="74"/>
      <c r="M709" s="123"/>
      <c r="N709" s="73"/>
      <c r="O709" s="236"/>
      <c r="P709" s="117"/>
      <c r="Q709" s="117"/>
      <c r="R709" s="156" t="str">
        <f>IF(Table111[[#This Row],[Qty]]="","",Table111[[#This Row],[Qty]]*Table111[[#This Row],[Unit Price]])</f>
        <v/>
      </c>
      <c r="S709" s="156" t="str">
        <f>IF(Table111[[#This Row],[Qty]]="","",Table111[[#This Row],[Qty]]*Table111[[#This Row],[Unit Price]]+Table111[[#This Row],[Delivery Cost]])</f>
        <v/>
      </c>
      <c r="T709" s="72"/>
      <c r="U709" s="72"/>
      <c r="V709" s="72"/>
      <c r="W709" s="219"/>
      <c r="X709" s="63" t="str">
        <f t="shared" si="33"/>
        <v/>
      </c>
      <c r="Y709" s="63" t="str">
        <f t="shared" si="34"/>
        <v/>
      </c>
      <c r="Z709" s="63" t="str">
        <f t="shared" si="35"/>
        <v/>
      </c>
      <c r="AA709" s="63" t="str">
        <f>TEXT(Table111[[#This Row],[YEAR]],"0000")&amp;"-"&amp;Table111[[#This Row],[MONTH]]</f>
        <v>-</v>
      </c>
    </row>
    <row r="710" spans="2:27" x14ac:dyDescent="0.3">
      <c r="B710" s="183"/>
      <c r="C710" s="183"/>
      <c r="D710" s="183"/>
      <c r="E710" s="71"/>
      <c r="F710" s="72"/>
      <c r="G710" s="70"/>
      <c r="H710" s="74"/>
      <c r="I710" s="70"/>
      <c r="J710" s="223"/>
      <c r="K710" s="70"/>
      <c r="L710" s="74"/>
      <c r="M710" s="123"/>
      <c r="N710" s="73"/>
      <c r="O710" s="236"/>
      <c r="P710" s="117"/>
      <c r="Q710" s="117"/>
      <c r="R710" s="156" t="str">
        <f>IF(Table111[[#This Row],[Qty]]="","",Table111[[#This Row],[Qty]]*Table111[[#This Row],[Unit Price]])</f>
        <v/>
      </c>
      <c r="S710" s="156" t="str">
        <f>IF(Table111[[#This Row],[Qty]]="","",Table111[[#This Row],[Qty]]*Table111[[#This Row],[Unit Price]]+Table111[[#This Row],[Delivery Cost]])</f>
        <v/>
      </c>
      <c r="T710" s="72"/>
      <c r="U710" s="72"/>
      <c r="V710" s="72"/>
      <c r="W710" s="219"/>
      <c r="X710" s="63" t="str">
        <f t="shared" si="33"/>
        <v/>
      </c>
      <c r="Y710" s="63" t="str">
        <f t="shared" si="34"/>
        <v/>
      </c>
      <c r="Z710" s="63" t="str">
        <f t="shared" si="35"/>
        <v/>
      </c>
      <c r="AA710" s="63" t="str">
        <f>TEXT(Table111[[#This Row],[YEAR]],"0000")&amp;"-"&amp;Table111[[#This Row],[MONTH]]</f>
        <v>-</v>
      </c>
    </row>
    <row r="711" spans="2:27" x14ac:dyDescent="0.3">
      <c r="B711" s="68"/>
      <c r="C711" s="68"/>
      <c r="D711" s="68"/>
      <c r="E711" s="71"/>
      <c r="F711" s="72"/>
      <c r="G711" s="70"/>
      <c r="H711" s="74"/>
      <c r="I711" s="70"/>
      <c r="J711" s="223"/>
      <c r="K711" s="70"/>
      <c r="L711" s="74"/>
      <c r="M711" s="123"/>
      <c r="N711" s="73"/>
      <c r="O711" s="236"/>
      <c r="P711" s="117"/>
      <c r="Q711" s="117"/>
      <c r="R711" s="156" t="str">
        <f>IF(Table111[[#This Row],[Qty]]="","",Table111[[#This Row],[Qty]]*Table111[[#This Row],[Unit Price]])</f>
        <v/>
      </c>
      <c r="S711" s="156" t="str">
        <f>IF(Table111[[#This Row],[Qty]]="","",Table111[[#This Row],[Qty]]*Table111[[#This Row],[Unit Price]]+Table111[[#This Row],[Delivery Cost]])</f>
        <v/>
      </c>
      <c r="T711" s="72"/>
      <c r="U711" s="72"/>
      <c r="V711" s="72"/>
      <c r="W711" s="219"/>
      <c r="X711" s="63" t="str">
        <f t="shared" si="33"/>
        <v/>
      </c>
      <c r="Y711" s="63" t="str">
        <f t="shared" si="34"/>
        <v/>
      </c>
      <c r="Z711" s="63" t="str">
        <f t="shared" si="35"/>
        <v/>
      </c>
      <c r="AA711" s="63" t="str">
        <f>TEXT(Table111[[#This Row],[YEAR]],"0000")&amp;"-"&amp;Table111[[#This Row],[MONTH]]</f>
        <v>-</v>
      </c>
    </row>
    <row r="712" spans="2:27" x14ac:dyDescent="0.3">
      <c r="B712" s="183"/>
      <c r="C712" s="183"/>
      <c r="D712" s="183"/>
      <c r="E712" s="71"/>
      <c r="F712" s="72"/>
      <c r="G712" s="70"/>
      <c r="H712" s="74"/>
      <c r="I712" s="70"/>
      <c r="J712" s="223"/>
      <c r="K712" s="70"/>
      <c r="L712" s="74"/>
      <c r="M712" s="123"/>
      <c r="N712" s="73"/>
      <c r="O712" s="236"/>
      <c r="P712" s="117"/>
      <c r="Q712" s="117"/>
      <c r="R712" s="156" t="str">
        <f>IF(Table111[[#This Row],[Qty]]="","",Table111[[#This Row],[Qty]]*Table111[[#This Row],[Unit Price]])</f>
        <v/>
      </c>
      <c r="S712" s="156" t="str">
        <f>IF(Table111[[#This Row],[Qty]]="","",Table111[[#This Row],[Qty]]*Table111[[#This Row],[Unit Price]]+Table111[[#This Row],[Delivery Cost]])</f>
        <v/>
      </c>
      <c r="T712" s="72"/>
      <c r="U712" s="72"/>
      <c r="V712" s="72"/>
      <c r="W712" s="219"/>
      <c r="X712" s="63" t="str">
        <f t="shared" si="33"/>
        <v/>
      </c>
      <c r="Y712" s="63" t="str">
        <f t="shared" si="34"/>
        <v/>
      </c>
      <c r="Z712" s="63" t="str">
        <f t="shared" si="35"/>
        <v/>
      </c>
      <c r="AA712" s="63" t="str">
        <f>TEXT(Table111[[#This Row],[YEAR]],"0000")&amp;"-"&amp;Table111[[#This Row],[MONTH]]</f>
        <v>-</v>
      </c>
    </row>
    <row r="713" spans="2:27" x14ac:dyDescent="0.3">
      <c r="B713" s="68"/>
      <c r="C713" s="68"/>
      <c r="D713" s="68"/>
      <c r="E713" s="71"/>
      <c r="F713" s="72"/>
      <c r="G713" s="70"/>
      <c r="H713" s="74"/>
      <c r="I713" s="70"/>
      <c r="J713" s="223"/>
      <c r="K713" s="70"/>
      <c r="L713" s="74"/>
      <c r="M713" s="123"/>
      <c r="N713" s="73"/>
      <c r="O713" s="236"/>
      <c r="P713" s="117"/>
      <c r="Q713" s="117"/>
      <c r="R713" s="156" t="str">
        <f>IF(Table111[[#This Row],[Qty]]="","",Table111[[#This Row],[Qty]]*Table111[[#This Row],[Unit Price]])</f>
        <v/>
      </c>
      <c r="S713" s="156" t="str">
        <f>IF(Table111[[#This Row],[Qty]]="","",Table111[[#This Row],[Qty]]*Table111[[#This Row],[Unit Price]]+Table111[[#This Row],[Delivery Cost]])</f>
        <v/>
      </c>
      <c r="T713" s="72"/>
      <c r="U713" s="72"/>
      <c r="V713" s="72"/>
      <c r="W713" s="219"/>
      <c r="X713" s="63" t="str">
        <f t="shared" si="33"/>
        <v/>
      </c>
      <c r="Y713" s="63" t="str">
        <f t="shared" si="34"/>
        <v/>
      </c>
      <c r="Z713" s="63" t="str">
        <f t="shared" si="35"/>
        <v/>
      </c>
      <c r="AA713" s="63" t="str">
        <f>TEXT(Table111[[#This Row],[YEAR]],"0000")&amp;"-"&amp;Table111[[#This Row],[MONTH]]</f>
        <v>-</v>
      </c>
    </row>
    <row r="714" spans="2:27" x14ac:dyDescent="0.3">
      <c r="B714" s="183"/>
      <c r="C714" s="183"/>
      <c r="D714" s="183"/>
      <c r="E714" s="71"/>
      <c r="F714" s="72"/>
      <c r="G714" s="70"/>
      <c r="H714" s="74"/>
      <c r="I714" s="70"/>
      <c r="J714" s="223"/>
      <c r="K714" s="70"/>
      <c r="L714" s="74"/>
      <c r="M714" s="123"/>
      <c r="N714" s="73"/>
      <c r="O714" s="236"/>
      <c r="P714" s="117"/>
      <c r="Q714" s="117"/>
      <c r="R714" s="156" t="str">
        <f>IF(Table111[[#This Row],[Qty]]="","",Table111[[#This Row],[Qty]]*Table111[[#This Row],[Unit Price]])</f>
        <v/>
      </c>
      <c r="S714" s="156" t="str">
        <f>IF(Table111[[#This Row],[Qty]]="","",Table111[[#This Row],[Qty]]*Table111[[#This Row],[Unit Price]]+Table111[[#This Row],[Delivery Cost]])</f>
        <v/>
      </c>
      <c r="T714" s="72"/>
      <c r="U714" s="72"/>
      <c r="V714" s="72"/>
      <c r="W714" s="219"/>
      <c r="X714" s="63" t="str">
        <f t="shared" si="33"/>
        <v/>
      </c>
      <c r="Y714" s="63" t="str">
        <f t="shared" si="34"/>
        <v/>
      </c>
      <c r="Z714" s="63" t="str">
        <f t="shared" si="35"/>
        <v/>
      </c>
      <c r="AA714" s="63" t="str">
        <f>TEXT(Table111[[#This Row],[YEAR]],"0000")&amp;"-"&amp;Table111[[#This Row],[MONTH]]</f>
        <v>-</v>
      </c>
    </row>
    <row r="715" spans="2:27" x14ac:dyDescent="0.3">
      <c r="B715" s="68"/>
      <c r="C715" s="68"/>
      <c r="D715" s="68"/>
      <c r="E715" s="71"/>
      <c r="F715" s="72"/>
      <c r="G715" s="70"/>
      <c r="H715" s="74"/>
      <c r="I715" s="70"/>
      <c r="J715" s="223"/>
      <c r="K715" s="70"/>
      <c r="L715" s="74"/>
      <c r="M715" s="123"/>
      <c r="N715" s="73"/>
      <c r="O715" s="236"/>
      <c r="P715" s="117"/>
      <c r="Q715" s="117"/>
      <c r="R715" s="156" t="str">
        <f>IF(Table111[[#This Row],[Qty]]="","",Table111[[#This Row],[Qty]]*Table111[[#This Row],[Unit Price]])</f>
        <v/>
      </c>
      <c r="S715" s="156" t="str">
        <f>IF(Table111[[#This Row],[Qty]]="","",Table111[[#This Row],[Qty]]*Table111[[#This Row],[Unit Price]]+Table111[[#This Row],[Delivery Cost]])</f>
        <v/>
      </c>
      <c r="T715" s="72"/>
      <c r="U715" s="72"/>
      <c r="V715" s="72"/>
      <c r="W715" s="219"/>
      <c r="X715" s="63" t="str">
        <f t="shared" si="33"/>
        <v/>
      </c>
      <c r="Y715" s="63" t="str">
        <f t="shared" si="34"/>
        <v/>
      </c>
      <c r="Z715" s="63" t="str">
        <f t="shared" si="35"/>
        <v/>
      </c>
      <c r="AA715" s="63" t="str">
        <f>TEXT(Table111[[#This Row],[YEAR]],"0000")&amp;"-"&amp;Table111[[#This Row],[MONTH]]</f>
        <v>-</v>
      </c>
    </row>
    <row r="716" spans="2:27" x14ac:dyDescent="0.3">
      <c r="B716" s="183"/>
      <c r="C716" s="183"/>
      <c r="D716" s="183"/>
      <c r="E716" s="71"/>
      <c r="F716" s="72"/>
      <c r="G716" s="70"/>
      <c r="H716" s="74"/>
      <c r="I716" s="70"/>
      <c r="J716" s="223"/>
      <c r="K716" s="70"/>
      <c r="L716" s="74"/>
      <c r="M716" s="123"/>
      <c r="N716" s="73"/>
      <c r="O716" s="236"/>
      <c r="P716" s="117"/>
      <c r="Q716" s="117"/>
      <c r="R716" s="156" t="str">
        <f>IF(Table111[[#This Row],[Qty]]="","",Table111[[#This Row],[Qty]]*Table111[[#This Row],[Unit Price]])</f>
        <v/>
      </c>
      <c r="S716" s="156" t="str">
        <f>IF(Table111[[#This Row],[Qty]]="","",Table111[[#This Row],[Qty]]*Table111[[#This Row],[Unit Price]]+Table111[[#This Row],[Delivery Cost]])</f>
        <v/>
      </c>
      <c r="T716" s="72"/>
      <c r="U716" s="72"/>
      <c r="V716" s="72"/>
      <c r="W716" s="219"/>
      <c r="X716" s="63" t="str">
        <f t="shared" si="33"/>
        <v/>
      </c>
      <c r="Y716" s="63" t="str">
        <f t="shared" si="34"/>
        <v/>
      </c>
      <c r="Z716" s="63" t="str">
        <f t="shared" si="35"/>
        <v/>
      </c>
      <c r="AA716" s="63" t="str">
        <f>TEXT(Table111[[#This Row],[YEAR]],"0000")&amp;"-"&amp;Table111[[#This Row],[MONTH]]</f>
        <v>-</v>
      </c>
    </row>
    <row r="717" spans="2:27" x14ac:dyDescent="0.3">
      <c r="B717" s="68"/>
      <c r="C717" s="68"/>
      <c r="D717" s="68"/>
      <c r="E717" s="71"/>
      <c r="F717" s="72"/>
      <c r="G717" s="70"/>
      <c r="H717" s="74"/>
      <c r="I717" s="70"/>
      <c r="J717" s="223"/>
      <c r="K717" s="70"/>
      <c r="L717" s="74"/>
      <c r="M717" s="123"/>
      <c r="N717" s="73"/>
      <c r="O717" s="236"/>
      <c r="P717" s="117"/>
      <c r="Q717" s="117"/>
      <c r="R717" s="156" t="str">
        <f>IF(Table111[[#This Row],[Qty]]="","",Table111[[#This Row],[Qty]]*Table111[[#This Row],[Unit Price]])</f>
        <v/>
      </c>
      <c r="S717" s="156" t="str">
        <f>IF(Table111[[#This Row],[Qty]]="","",Table111[[#This Row],[Qty]]*Table111[[#This Row],[Unit Price]]+Table111[[#This Row],[Delivery Cost]])</f>
        <v/>
      </c>
      <c r="T717" s="72"/>
      <c r="U717" s="72"/>
      <c r="V717" s="72"/>
      <c r="W717" s="219"/>
      <c r="X717" s="63" t="str">
        <f t="shared" si="33"/>
        <v/>
      </c>
      <c r="Y717" s="63" t="str">
        <f t="shared" si="34"/>
        <v/>
      </c>
      <c r="Z717" s="63" t="str">
        <f t="shared" si="35"/>
        <v/>
      </c>
      <c r="AA717" s="63" t="str">
        <f>TEXT(Table111[[#This Row],[YEAR]],"0000")&amp;"-"&amp;Table111[[#This Row],[MONTH]]</f>
        <v>-</v>
      </c>
    </row>
    <row r="718" spans="2:27" x14ac:dyDescent="0.3">
      <c r="B718" s="183"/>
      <c r="C718" s="183"/>
      <c r="D718" s="183"/>
      <c r="E718" s="71"/>
      <c r="F718" s="72"/>
      <c r="G718" s="70"/>
      <c r="H718" s="74"/>
      <c r="I718" s="70"/>
      <c r="J718" s="223"/>
      <c r="K718" s="70"/>
      <c r="L718" s="74"/>
      <c r="M718" s="123"/>
      <c r="N718" s="73"/>
      <c r="O718" s="236"/>
      <c r="P718" s="117"/>
      <c r="Q718" s="117"/>
      <c r="R718" s="156" t="str">
        <f>IF(Table111[[#This Row],[Qty]]="","",Table111[[#This Row],[Qty]]*Table111[[#This Row],[Unit Price]])</f>
        <v/>
      </c>
      <c r="S718" s="156" t="str">
        <f>IF(Table111[[#This Row],[Qty]]="","",Table111[[#This Row],[Qty]]*Table111[[#This Row],[Unit Price]]+Table111[[#This Row],[Delivery Cost]])</f>
        <v/>
      </c>
      <c r="T718" s="72"/>
      <c r="U718" s="72"/>
      <c r="V718" s="72"/>
      <c r="W718" s="219"/>
      <c r="X718" s="63" t="str">
        <f t="shared" si="33"/>
        <v/>
      </c>
      <c r="Y718" s="63" t="str">
        <f t="shared" si="34"/>
        <v/>
      </c>
      <c r="Z718" s="63" t="str">
        <f t="shared" si="35"/>
        <v/>
      </c>
      <c r="AA718" s="63" t="str">
        <f>TEXT(Table111[[#This Row],[YEAR]],"0000")&amp;"-"&amp;Table111[[#This Row],[MONTH]]</f>
        <v>-</v>
      </c>
    </row>
    <row r="719" spans="2:27" x14ac:dyDescent="0.3">
      <c r="B719" s="68"/>
      <c r="C719" s="68"/>
      <c r="D719" s="68"/>
      <c r="E719" s="71"/>
      <c r="F719" s="72"/>
      <c r="G719" s="70"/>
      <c r="H719" s="74"/>
      <c r="I719" s="70"/>
      <c r="J719" s="223"/>
      <c r="K719" s="70"/>
      <c r="L719" s="74"/>
      <c r="M719" s="123"/>
      <c r="N719" s="73"/>
      <c r="O719" s="236"/>
      <c r="P719" s="117"/>
      <c r="Q719" s="117"/>
      <c r="R719" s="156" t="str">
        <f>IF(Table111[[#This Row],[Qty]]="","",Table111[[#This Row],[Qty]]*Table111[[#This Row],[Unit Price]])</f>
        <v/>
      </c>
      <c r="S719" s="156" t="str">
        <f>IF(Table111[[#This Row],[Qty]]="","",Table111[[#This Row],[Qty]]*Table111[[#This Row],[Unit Price]]+Table111[[#This Row],[Delivery Cost]])</f>
        <v/>
      </c>
      <c r="T719" s="72"/>
      <c r="U719" s="72"/>
      <c r="V719" s="72"/>
      <c r="W719" s="219"/>
      <c r="X719" s="63" t="str">
        <f t="shared" si="33"/>
        <v/>
      </c>
      <c r="Y719" s="63" t="str">
        <f t="shared" si="34"/>
        <v/>
      </c>
      <c r="Z719" s="63" t="str">
        <f t="shared" si="35"/>
        <v/>
      </c>
      <c r="AA719" s="63" t="str">
        <f>TEXT(Table111[[#This Row],[YEAR]],"0000")&amp;"-"&amp;Table111[[#This Row],[MONTH]]</f>
        <v>-</v>
      </c>
    </row>
    <row r="720" spans="2:27" x14ac:dyDescent="0.3">
      <c r="B720" s="183"/>
      <c r="C720" s="183"/>
      <c r="D720" s="183"/>
      <c r="E720" s="71"/>
      <c r="F720" s="72"/>
      <c r="G720" s="70"/>
      <c r="H720" s="74"/>
      <c r="I720" s="70"/>
      <c r="J720" s="70"/>
      <c r="K720" s="70"/>
      <c r="L720" s="74"/>
      <c r="M720" s="123"/>
      <c r="N720" s="73"/>
      <c r="O720" s="236"/>
      <c r="P720" s="117"/>
      <c r="Q720" s="117"/>
      <c r="R720" s="156" t="str">
        <f>IF(Table111[[#This Row],[Qty]]="","",Table111[[#This Row],[Qty]]*Table111[[#This Row],[Unit Price]])</f>
        <v/>
      </c>
      <c r="S720" s="156" t="str">
        <f>IF(Table111[[#This Row],[Qty]]="","",Table111[[#This Row],[Qty]]*Table111[[#This Row],[Unit Price]]+Table111[[#This Row],[Delivery Cost]])</f>
        <v/>
      </c>
      <c r="T720" s="72"/>
      <c r="U720" s="72"/>
      <c r="V720" s="72"/>
      <c r="W720" s="65"/>
      <c r="X720" s="63" t="str">
        <f t="shared" si="33"/>
        <v/>
      </c>
      <c r="Y720" s="63" t="str">
        <f t="shared" si="34"/>
        <v/>
      </c>
      <c r="Z720" s="63" t="str">
        <f t="shared" si="35"/>
        <v/>
      </c>
      <c r="AA720" s="63" t="str">
        <f>TEXT(Table111[[#This Row],[YEAR]],"0000")&amp;"-"&amp;Table111[[#This Row],[MONTH]]</f>
        <v>-</v>
      </c>
    </row>
    <row r="721" spans="1:27" x14ac:dyDescent="0.3">
      <c r="B721" s="68"/>
      <c r="C721" s="68"/>
      <c r="D721" s="183"/>
      <c r="E721" s="71"/>
      <c r="F721" s="72"/>
      <c r="G721" s="70"/>
      <c r="H721" s="74"/>
      <c r="I721" s="70"/>
      <c r="J721" s="70"/>
      <c r="K721" s="70"/>
      <c r="L721" s="74"/>
      <c r="M721" s="123"/>
      <c r="N721" s="73"/>
      <c r="O721" s="236"/>
      <c r="P721" s="117"/>
      <c r="Q721" s="117"/>
      <c r="R721" s="156" t="str">
        <f>IF(Table111[[#This Row],[Qty]]="","",Table111[[#This Row],[Qty]]*Table111[[#This Row],[Unit Price]])</f>
        <v/>
      </c>
      <c r="S721" s="156" t="str">
        <f>IF(Table111[[#This Row],[Qty]]="","",Table111[[#This Row],[Qty]]*Table111[[#This Row],[Unit Price]]+Table111[[#This Row],[Delivery Cost]])</f>
        <v/>
      </c>
      <c r="T721" s="72"/>
      <c r="U721" s="72"/>
      <c r="V721" s="72"/>
      <c r="W721" s="219"/>
      <c r="X721" s="63" t="str">
        <f t="shared" si="33"/>
        <v/>
      </c>
      <c r="Y721" s="63" t="str">
        <f t="shared" si="34"/>
        <v/>
      </c>
      <c r="Z721" s="63" t="str">
        <f t="shared" si="35"/>
        <v/>
      </c>
      <c r="AA721" s="63" t="str">
        <f>TEXT(Table111[[#This Row],[YEAR]],"0000")&amp;"-"&amp;Table111[[#This Row],[MONTH]]</f>
        <v>-</v>
      </c>
    </row>
    <row r="722" spans="1:27" x14ac:dyDescent="0.3">
      <c r="B722" s="183"/>
      <c r="C722" s="183"/>
      <c r="D722" s="183"/>
      <c r="E722" s="71"/>
      <c r="F722" s="72"/>
      <c r="G722" s="70"/>
      <c r="H722" s="74"/>
      <c r="I722" s="70"/>
      <c r="J722" s="70"/>
      <c r="K722" s="70"/>
      <c r="L722" s="74"/>
      <c r="M722" s="123"/>
      <c r="N722" s="73"/>
      <c r="O722" s="236"/>
      <c r="P722" s="117"/>
      <c r="Q722" s="117"/>
      <c r="R722" s="156" t="str">
        <f>IF(Table111[[#This Row],[Qty]]="","",Table111[[#This Row],[Qty]]*Table111[[#This Row],[Unit Price]])</f>
        <v/>
      </c>
      <c r="S722" s="156" t="str">
        <f>IF(Table111[[#This Row],[Qty]]="","",Table111[[#This Row],[Qty]]*Table111[[#This Row],[Unit Price]]+Table111[[#This Row],[Delivery Cost]])</f>
        <v/>
      </c>
      <c r="T722" s="72"/>
      <c r="U722" s="72"/>
      <c r="V722" s="72"/>
      <c r="W722" s="65"/>
      <c r="X722" s="63" t="str">
        <f t="shared" si="33"/>
        <v/>
      </c>
      <c r="Y722" s="63" t="str">
        <f t="shared" si="34"/>
        <v/>
      </c>
      <c r="Z722" s="63" t="str">
        <f t="shared" si="35"/>
        <v/>
      </c>
      <c r="AA722" s="63" t="str">
        <f>TEXT(Table111[[#This Row],[YEAR]],"0000")&amp;"-"&amp;Table111[[#This Row],[MONTH]]</f>
        <v>-</v>
      </c>
    </row>
    <row r="723" spans="1:27" x14ac:dyDescent="0.3">
      <c r="B723" s="68"/>
      <c r="C723" s="68"/>
      <c r="D723" s="68"/>
      <c r="E723" s="71"/>
      <c r="F723" s="72"/>
      <c r="G723" s="70"/>
      <c r="H723" s="74"/>
      <c r="I723" s="70"/>
      <c r="J723" s="70"/>
      <c r="K723" s="70"/>
      <c r="L723" s="74"/>
      <c r="M723" s="123"/>
      <c r="N723" s="73"/>
      <c r="O723" s="236"/>
      <c r="P723" s="117"/>
      <c r="Q723" s="117"/>
      <c r="R723" s="156" t="str">
        <f>IF(Table111[[#This Row],[Qty]]="","",Table111[[#This Row],[Qty]]*Table111[[#This Row],[Unit Price]])</f>
        <v/>
      </c>
      <c r="S723" s="156" t="str">
        <f>IF(Table111[[#This Row],[Qty]]="","",Table111[[#This Row],[Qty]]*Table111[[#This Row],[Unit Price]]+Table111[[#This Row],[Delivery Cost]])</f>
        <v/>
      </c>
      <c r="T723" s="72"/>
      <c r="U723" s="72"/>
      <c r="V723" s="72"/>
      <c r="W723" s="219"/>
      <c r="X723" s="63" t="str">
        <f t="shared" si="33"/>
        <v/>
      </c>
      <c r="Y723" s="63" t="str">
        <f t="shared" si="34"/>
        <v/>
      </c>
      <c r="Z723" s="63" t="str">
        <f t="shared" si="35"/>
        <v/>
      </c>
      <c r="AA723" s="63" t="str">
        <f>TEXT(Table111[[#This Row],[YEAR]],"0000")&amp;"-"&amp;Table111[[#This Row],[MONTH]]</f>
        <v>-</v>
      </c>
    </row>
    <row r="724" spans="1:27" x14ac:dyDescent="0.3">
      <c r="B724" s="183"/>
      <c r="C724" s="183"/>
      <c r="D724" s="183"/>
      <c r="E724" s="71"/>
      <c r="F724" s="72"/>
      <c r="G724" s="70"/>
      <c r="H724" s="74"/>
      <c r="I724" s="70"/>
      <c r="J724" s="70"/>
      <c r="K724" s="70"/>
      <c r="L724" s="74"/>
      <c r="M724" s="123"/>
      <c r="N724" s="73"/>
      <c r="O724" s="236"/>
      <c r="P724" s="117"/>
      <c r="Q724" s="117"/>
      <c r="R724" s="156" t="str">
        <f>IF(Table111[[#This Row],[Qty]]="","",Table111[[#This Row],[Qty]]*Table111[[#This Row],[Unit Price]])</f>
        <v/>
      </c>
      <c r="S724" s="156" t="str">
        <f>IF(Table111[[#This Row],[Qty]]="","",Table111[[#This Row],[Qty]]*Table111[[#This Row],[Unit Price]]+Table111[[#This Row],[Delivery Cost]])</f>
        <v/>
      </c>
      <c r="T724" s="72"/>
      <c r="U724" s="72"/>
      <c r="V724" s="72"/>
      <c r="W724" s="65"/>
      <c r="X724" s="63" t="str">
        <f t="shared" si="33"/>
        <v/>
      </c>
      <c r="Y724" s="63" t="str">
        <f t="shared" si="34"/>
        <v/>
      </c>
      <c r="Z724" s="63" t="str">
        <f t="shared" si="35"/>
        <v/>
      </c>
      <c r="AA724" s="63" t="str">
        <f>TEXT(Table111[[#This Row],[YEAR]],"0000")&amp;"-"&amp;Table111[[#This Row],[MONTH]]</f>
        <v>-</v>
      </c>
    </row>
    <row r="725" spans="1:27" x14ac:dyDescent="0.3">
      <c r="B725" s="68"/>
      <c r="C725" s="68"/>
      <c r="D725" s="68"/>
      <c r="E725" s="71"/>
      <c r="F725" s="72"/>
      <c r="G725" s="70"/>
      <c r="H725" s="74"/>
      <c r="I725" s="70"/>
      <c r="J725" s="70"/>
      <c r="K725" s="70"/>
      <c r="L725" s="74"/>
      <c r="M725" s="123"/>
      <c r="N725" s="73"/>
      <c r="O725" s="236"/>
      <c r="P725" s="117"/>
      <c r="Q725" s="117"/>
      <c r="R725" s="156" t="str">
        <f>IF(Table111[[#This Row],[Qty]]="","",Table111[[#This Row],[Qty]]*Table111[[#This Row],[Unit Price]])</f>
        <v/>
      </c>
      <c r="S725" s="156" t="str">
        <f>IF(Table111[[#This Row],[Qty]]="","",Table111[[#This Row],[Qty]]*Table111[[#This Row],[Unit Price]]+Table111[[#This Row],[Delivery Cost]])</f>
        <v/>
      </c>
      <c r="T725" s="72"/>
      <c r="U725" s="72"/>
      <c r="V725" s="72"/>
      <c r="W725" s="65"/>
      <c r="X725" s="63" t="str">
        <f t="shared" si="33"/>
        <v/>
      </c>
      <c r="Y725" s="63" t="str">
        <f t="shared" si="34"/>
        <v/>
      </c>
      <c r="Z725" s="63" t="str">
        <f t="shared" si="35"/>
        <v/>
      </c>
      <c r="AA725" s="63" t="str">
        <f>TEXT(Table111[[#This Row],[YEAR]],"0000")&amp;"-"&amp;Table111[[#This Row],[MONTH]]</f>
        <v>-</v>
      </c>
    </row>
    <row r="726" spans="1:27" x14ac:dyDescent="0.3">
      <c r="B726" s="183"/>
      <c r="C726" s="183"/>
      <c r="D726" s="183"/>
      <c r="E726" s="71"/>
      <c r="F726" s="72"/>
      <c r="G726" s="70"/>
      <c r="H726" s="74"/>
      <c r="I726" s="70"/>
      <c r="J726" s="70"/>
      <c r="K726" s="70"/>
      <c r="L726" s="74"/>
      <c r="M726" s="123"/>
      <c r="N726" s="73"/>
      <c r="O726" s="236"/>
      <c r="P726" s="117"/>
      <c r="Q726" s="117"/>
      <c r="R726" s="156" t="str">
        <f>IF(Table111[[#This Row],[Qty]]="","",Table111[[#This Row],[Qty]]*Table111[[#This Row],[Unit Price]])</f>
        <v/>
      </c>
      <c r="S726" s="156" t="str">
        <f>IF(Table111[[#This Row],[Qty]]="","",Table111[[#This Row],[Qty]]*Table111[[#This Row],[Unit Price]]+Table111[[#This Row],[Delivery Cost]])</f>
        <v/>
      </c>
      <c r="T726" s="72"/>
      <c r="U726" s="72"/>
      <c r="V726" s="72"/>
      <c r="W726" s="65"/>
      <c r="X726" s="63" t="str">
        <f t="shared" si="33"/>
        <v/>
      </c>
      <c r="Y726" s="63" t="str">
        <f t="shared" si="34"/>
        <v/>
      </c>
      <c r="Z726" s="63" t="str">
        <f t="shared" si="35"/>
        <v/>
      </c>
      <c r="AA726" s="63" t="str">
        <f>TEXT(Table111[[#This Row],[YEAR]],"0000")&amp;"-"&amp;Table111[[#This Row],[MONTH]]</f>
        <v>-</v>
      </c>
    </row>
    <row r="727" spans="1:27" x14ac:dyDescent="0.3">
      <c r="B727" s="68"/>
      <c r="C727" s="68"/>
      <c r="D727" s="68"/>
      <c r="E727" s="71"/>
      <c r="F727" s="72"/>
      <c r="G727" s="70"/>
      <c r="H727" s="74"/>
      <c r="I727" s="70"/>
      <c r="J727" s="223"/>
      <c r="K727" s="70"/>
      <c r="L727" s="74"/>
      <c r="M727" s="123"/>
      <c r="N727" s="73"/>
      <c r="O727" s="236"/>
      <c r="P727" s="117"/>
      <c r="Q727" s="117"/>
      <c r="R727" s="156" t="str">
        <f>IF(Table111[[#This Row],[Qty]]="","",Table111[[#This Row],[Qty]]*Table111[[#This Row],[Unit Price]])</f>
        <v/>
      </c>
      <c r="S727" s="156" t="str">
        <f>IF(Table111[[#This Row],[Qty]]="","",Table111[[#This Row],[Qty]]*Table111[[#This Row],[Unit Price]]+Table111[[#This Row],[Delivery Cost]])</f>
        <v/>
      </c>
      <c r="T727" s="72"/>
      <c r="U727" s="72"/>
      <c r="V727" s="72"/>
      <c r="W727" s="228"/>
      <c r="X727" s="63" t="str">
        <f t="shared" si="33"/>
        <v/>
      </c>
      <c r="Y727" s="63" t="str">
        <f t="shared" si="34"/>
        <v/>
      </c>
      <c r="Z727" s="63" t="str">
        <f t="shared" si="35"/>
        <v/>
      </c>
      <c r="AA727" s="63" t="str">
        <f>TEXT(Table111[[#This Row],[YEAR]],"0000")&amp;"-"&amp;Table111[[#This Row],[MONTH]]</f>
        <v>-</v>
      </c>
    </row>
    <row r="728" spans="1:27" x14ac:dyDescent="0.3">
      <c r="A728" s="101" t="s">
        <v>382</v>
      </c>
      <c r="B728" s="183"/>
      <c r="C728" s="183"/>
      <c r="D728" s="183"/>
      <c r="E728" s="71"/>
      <c r="F728" s="72"/>
      <c r="G728" s="70"/>
      <c r="H728" s="74"/>
      <c r="I728" s="70"/>
      <c r="J728" s="223"/>
      <c r="K728" s="70"/>
      <c r="L728" s="74"/>
      <c r="M728" s="123"/>
      <c r="N728" s="73"/>
      <c r="O728" s="236"/>
      <c r="P728" s="117"/>
      <c r="Q728" s="117"/>
      <c r="R728" s="156" t="str">
        <f>IF(Table111[[#This Row],[Qty]]="","",Table111[[#This Row],[Qty]]*Table111[[#This Row],[Unit Price]])</f>
        <v/>
      </c>
      <c r="S728" s="156" t="str">
        <f>IF(Table111[[#This Row],[Qty]]="","",Table111[[#This Row],[Qty]]*Table111[[#This Row],[Unit Price]]+Table111[[#This Row],[Delivery Cost]])</f>
        <v/>
      </c>
      <c r="T728" s="72"/>
      <c r="U728" s="72"/>
      <c r="V728" s="72"/>
      <c r="W728" s="65"/>
      <c r="X728" s="63" t="str">
        <f t="shared" si="33"/>
        <v/>
      </c>
      <c r="Y728" s="63" t="str">
        <f t="shared" si="34"/>
        <v/>
      </c>
      <c r="Z728" s="63" t="str">
        <f t="shared" si="35"/>
        <v/>
      </c>
      <c r="AA728" s="63" t="str">
        <f>TEXT(Table111[[#This Row],[YEAR]],"0000")&amp;"-"&amp;Table111[[#This Row],[MONTH]]</f>
        <v>-</v>
      </c>
    </row>
    <row r="729" spans="1:27" x14ac:dyDescent="0.3">
      <c r="B729" s="68"/>
      <c r="C729" s="68"/>
      <c r="D729" s="68"/>
      <c r="E729" s="71"/>
      <c r="F729" s="72"/>
      <c r="G729" s="70"/>
      <c r="H729" s="74"/>
      <c r="I729" s="70"/>
      <c r="J729" s="223"/>
      <c r="K729" s="70"/>
      <c r="L729" s="74"/>
      <c r="M729" s="123"/>
      <c r="N729" s="73"/>
      <c r="O729" s="236"/>
      <c r="P729" s="236"/>
      <c r="Q729" s="117"/>
      <c r="R729" s="156" t="str">
        <f>IF(Table111[[#This Row],[Qty]]="","",Table111[[#This Row],[Qty]]*Table111[[#This Row],[Unit Price]])</f>
        <v/>
      </c>
      <c r="S729" s="156" t="str">
        <f>IF(Table111[[#This Row],[Qty]]="","",Table111[[#This Row],[Qty]]*Table111[[#This Row],[Unit Price]]+Table111[[#This Row],[Delivery Cost]])</f>
        <v/>
      </c>
      <c r="T729" s="72"/>
      <c r="U729" s="72"/>
      <c r="V729" s="72"/>
      <c r="W729" s="219"/>
      <c r="X729" s="63" t="str">
        <f t="shared" si="33"/>
        <v/>
      </c>
      <c r="Y729" s="63" t="str">
        <f t="shared" si="34"/>
        <v/>
      </c>
      <c r="Z729" s="63" t="str">
        <f t="shared" si="35"/>
        <v/>
      </c>
      <c r="AA729" s="63" t="str">
        <f>TEXT(Table111[[#This Row],[YEAR]],"0000")&amp;"-"&amp;Table111[[#This Row],[MONTH]]</f>
        <v>-</v>
      </c>
    </row>
    <row r="730" spans="1:27" x14ac:dyDescent="0.3">
      <c r="B730" s="183"/>
      <c r="C730" s="183"/>
      <c r="D730" s="183"/>
      <c r="E730" s="71"/>
      <c r="F730" s="72"/>
      <c r="G730" s="70"/>
      <c r="H730" s="74"/>
      <c r="I730" s="70"/>
      <c r="J730" s="223"/>
      <c r="K730" s="70"/>
      <c r="L730" s="74"/>
      <c r="M730" s="123"/>
      <c r="N730" s="73"/>
      <c r="O730" s="236"/>
      <c r="P730" s="236"/>
      <c r="Q730" s="117"/>
      <c r="R730" s="156" t="str">
        <f>IF(Table111[[#This Row],[Qty]]="","",Table111[[#This Row],[Qty]]*Table111[[#This Row],[Unit Price]])</f>
        <v/>
      </c>
      <c r="S730" s="156" t="str">
        <f>IF(Table111[[#This Row],[Qty]]="","",Table111[[#This Row],[Qty]]*Table111[[#This Row],[Unit Price]]+Table111[[#This Row],[Delivery Cost]])</f>
        <v/>
      </c>
      <c r="T730" s="72"/>
      <c r="U730" s="72"/>
      <c r="V730" s="72"/>
      <c r="W730" s="65"/>
      <c r="X730" s="63" t="str">
        <f t="shared" si="33"/>
        <v/>
      </c>
      <c r="Y730" s="63" t="str">
        <f t="shared" si="34"/>
        <v/>
      </c>
      <c r="Z730" s="63" t="str">
        <f t="shared" si="35"/>
        <v/>
      </c>
      <c r="AA730" s="63" t="str">
        <f>TEXT(Table111[[#This Row],[YEAR]],"0000")&amp;"-"&amp;Table111[[#This Row],[MONTH]]</f>
        <v>-</v>
      </c>
    </row>
    <row r="731" spans="1:27" x14ac:dyDescent="0.3">
      <c r="B731" s="68"/>
      <c r="C731" s="68"/>
      <c r="D731" s="68"/>
      <c r="E731" s="71"/>
      <c r="F731" s="72"/>
      <c r="G731" s="70"/>
      <c r="H731" s="74"/>
      <c r="I731" s="70"/>
      <c r="J731" s="70"/>
      <c r="K731" s="70"/>
      <c r="L731" s="74"/>
      <c r="M731" s="123"/>
      <c r="N731" s="73"/>
      <c r="O731" s="236"/>
      <c r="P731" s="117"/>
      <c r="Q731" s="117"/>
      <c r="R731" s="156" t="str">
        <f>IF(Table111[[#This Row],[Qty]]="","",Table111[[#This Row],[Qty]]*Table111[[#This Row],[Unit Price]])</f>
        <v/>
      </c>
      <c r="S731" s="156" t="str">
        <f>IF(Table111[[#This Row],[Qty]]="","",Table111[[#This Row],[Qty]]*Table111[[#This Row],[Unit Price]]+Table111[[#This Row],[Delivery Cost]])</f>
        <v/>
      </c>
      <c r="T731" s="72"/>
      <c r="U731" s="72"/>
      <c r="V731" s="72"/>
      <c r="W731" s="219"/>
      <c r="X731" s="63" t="str">
        <f t="shared" si="33"/>
        <v/>
      </c>
      <c r="Y731" s="63" t="str">
        <f t="shared" si="34"/>
        <v/>
      </c>
      <c r="Z731" s="63" t="str">
        <f t="shared" si="35"/>
        <v/>
      </c>
      <c r="AA731" s="63" t="str">
        <f>TEXT(Table111[[#This Row],[YEAR]],"0000")&amp;"-"&amp;Table111[[#This Row],[MONTH]]</f>
        <v>-</v>
      </c>
    </row>
    <row r="732" spans="1:27" x14ac:dyDescent="0.3">
      <c r="B732" s="183"/>
      <c r="C732" s="183"/>
      <c r="D732" s="183"/>
      <c r="E732" s="71"/>
      <c r="F732" s="72"/>
      <c r="G732" s="70"/>
      <c r="H732" s="74"/>
      <c r="I732" s="70"/>
      <c r="J732" s="70"/>
      <c r="K732" s="70"/>
      <c r="L732" s="74"/>
      <c r="M732" s="123"/>
      <c r="N732" s="73"/>
      <c r="O732" s="236"/>
      <c r="P732" s="117"/>
      <c r="Q732" s="117"/>
      <c r="R732" s="156" t="str">
        <f>IF(Table111[[#This Row],[Qty]]="","",Table111[[#This Row],[Qty]]*Table111[[#This Row],[Unit Price]])</f>
        <v/>
      </c>
      <c r="S732" s="156" t="str">
        <f>IF(Table111[[#This Row],[Qty]]="","",Table111[[#This Row],[Qty]]*Table111[[#This Row],[Unit Price]]+Table111[[#This Row],[Delivery Cost]])</f>
        <v/>
      </c>
      <c r="T732" s="72"/>
      <c r="U732" s="72"/>
      <c r="V732" s="72"/>
      <c r="W732" s="219"/>
      <c r="X732" s="63" t="str">
        <f t="shared" si="33"/>
        <v/>
      </c>
      <c r="Y732" s="63" t="str">
        <f t="shared" si="34"/>
        <v/>
      </c>
      <c r="Z732" s="63" t="str">
        <f t="shared" si="35"/>
        <v/>
      </c>
      <c r="AA732" s="63" t="str">
        <f>TEXT(Table111[[#This Row],[YEAR]],"0000")&amp;"-"&amp;Table111[[#This Row],[MONTH]]</f>
        <v>-</v>
      </c>
    </row>
    <row r="733" spans="1:27" x14ac:dyDescent="0.3">
      <c r="B733" s="68"/>
      <c r="C733" s="68"/>
      <c r="D733" s="68"/>
      <c r="E733" s="71"/>
      <c r="F733" s="72"/>
      <c r="G733" s="70"/>
      <c r="H733" s="74"/>
      <c r="I733" s="70"/>
      <c r="J733" s="70"/>
      <c r="K733" s="70"/>
      <c r="L733" s="74"/>
      <c r="M733" s="123"/>
      <c r="N733" s="73"/>
      <c r="O733" s="236"/>
      <c r="P733" s="236"/>
      <c r="Q733" s="117"/>
      <c r="R733" s="156" t="str">
        <f>IF(Table111[[#This Row],[Qty]]="","",Table111[[#This Row],[Qty]]*Table111[[#This Row],[Unit Price]])</f>
        <v/>
      </c>
      <c r="S733" s="156" t="str">
        <f>IF(Table111[[#This Row],[Qty]]="","",Table111[[#This Row],[Qty]]*Table111[[#This Row],[Unit Price]]+Table111[[#This Row],[Delivery Cost]])</f>
        <v/>
      </c>
      <c r="T733" s="72"/>
      <c r="U733" s="72"/>
      <c r="V733" s="72"/>
      <c r="W733" s="219"/>
      <c r="X733" s="63" t="str">
        <f t="shared" si="33"/>
        <v/>
      </c>
      <c r="Y733" s="63" t="str">
        <f t="shared" si="34"/>
        <v/>
      </c>
      <c r="Z733" s="63" t="str">
        <f t="shared" si="35"/>
        <v/>
      </c>
      <c r="AA733" s="63" t="str">
        <f>TEXT(Table111[[#This Row],[YEAR]],"0000")&amp;"-"&amp;Table111[[#This Row],[MONTH]]</f>
        <v>-</v>
      </c>
    </row>
    <row r="734" spans="1:27" x14ac:dyDescent="0.3">
      <c r="B734" s="183"/>
      <c r="C734" s="183"/>
      <c r="D734" s="183"/>
      <c r="E734" s="71"/>
      <c r="F734" s="72"/>
      <c r="G734" s="70"/>
      <c r="H734" s="74"/>
      <c r="I734" s="70"/>
      <c r="J734" s="70"/>
      <c r="K734" s="70"/>
      <c r="L734" s="74"/>
      <c r="M734" s="123"/>
      <c r="N734" s="73"/>
      <c r="O734" s="236"/>
      <c r="P734" s="236"/>
      <c r="Q734" s="117"/>
      <c r="R734" s="156" t="str">
        <f>IF(Table111[[#This Row],[Qty]]="","",Table111[[#This Row],[Qty]]*Table111[[#This Row],[Unit Price]])</f>
        <v/>
      </c>
      <c r="S734" s="156" t="str">
        <f>IF(Table111[[#This Row],[Qty]]="","",Table111[[#This Row],[Qty]]*Table111[[#This Row],[Unit Price]]+Table111[[#This Row],[Delivery Cost]])</f>
        <v/>
      </c>
      <c r="T734" s="72"/>
      <c r="U734" s="72"/>
      <c r="V734" s="72"/>
      <c r="W734" s="70"/>
      <c r="X734" s="63" t="str">
        <f t="shared" si="33"/>
        <v/>
      </c>
      <c r="Y734" s="63" t="str">
        <f t="shared" si="34"/>
        <v/>
      </c>
      <c r="Z734" s="63" t="str">
        <f t="shared" si="35"/>
        <v/>
      </c>
      <c r="AA734" s="63" t="str">
        <f>TEXT(Table111[[#This Row],[YEAR]],"0000")&amp;"-"&amp;Table111[[#This Row],[MONTH]]</f>
        <v>-</v>
      </c>
    </row>
    <row r="735" spans="1:27" x14ac:dyDescent="0.3">
      <c r="B735" s="68"/>
      <c r="C735" s="68"/>
      <c r="D735" s="68"/>
      <c r="E735" s="71"/>
      <c r="F735" s="72"/>
      <c r="G735" s="70"/>
      <c r="H735" s="74"/>
      <c r="I735" s="70"/>
      <c r="J735" s="70"/>
      <c r="K735" s="70"/>
      <c r="L735" s="74"/>
      <c r="M735" s="123"/>
      <c r="N735" s="73"/>
      <c r="O735" s="236"/>
      <c r="P735" s="236"/>
      <c r="Q735" s="117"/>
      <c r="R735" s="156" t="str">
        <f>IF(Table111[[#This Row],[Qty]]="","",Table111[[#This Row],[Qty]]*Table111[[#This Row],[Unit Price]])</f>
        <v/>
      </c>
      <c r="S735" s="156" t="str">
        <f>IF(Table111[[#This Row],[Qty]]="","",Table111[[#This Row],[Qty]]*Table111[[#This Row],[Unit Price]]+Table111[[#This Row],[Delivery Cost]])</f>
        <v/>
      </c>
      <c r="T735" s="72"/>
      <c r="U735" s="72"/>
      <c r="V735" s="72"/>
      <c r="W735" s="70"/>
      <c r="X735" s="63" t="str">
        <f t="shared" si="33"/>
        <v/>
      </c>
      <c r="Y735" s="63" t="str">
        <f t="shared" si="34"/>
        <v/>
      </c>
      <c r="Z735" s="63" t="str">
        <f t="shared" si="35"/>
        <v/>
      </c>
      <c r="AA735" s="63" t="str">
        <f>TEXT(Table111[[#This Row],[YEAR]],"0000")&amp;"-"&amp;Table111[[#This Row],[MONTH]]</f>
        <v>-</v>
      </c>
    </row>
    <row r="736" spans="1:27" x14ac:dyDescent="0.3">
      <c r="B736" s="183"/>
      <c r="C736" s="183"/>
      <c r="D736" s="183"/>
      <c r="E736" s="71"/>
      <c r="F736" s="72"/>
      <c r="G736" s="70"/>
      <c r="H736" s="74"/>
      <c r="I736" s="70"/>
      <c r="J736" s="70"/>
      <c r="K736" s="70"/>
      <c r="L736" s="74"/>
      <c r="M736" s="123"/>
      <c r="N736" s="73"/>
      <c r="O736" s="236"/>
      <c r="P736" s="236"/>
      <c r="Q736" s="117"/>
      <c r="R736" s="156" t="str">
        <f>IF(Table111[[#This Row],[Qty]]="","",Table111[[#This Row],[Qty]]*Table111[[#This Row],[Unit Price]])</f>
        <v/>
      </c>
      <c r="S736" s="156" t="str">
        <f>IF(Table111[[#This Row],[Qty]]="","",Table111[[#This Row],[Qty]]*Table111[[#This Row],[Unit Price]]+Table111[[#This Row],[Delivery Cost]])</f>
        <v/>
      </c>
      <c r="T736" s="72"/>
      <c r="U736" s="72"/>
      <c r="V736" s="72"/>
      <c r="W736" s="70"/>
      <c r="X736" s="63" t="str">
        <f t="shared" si="33"/>
        <v/>
      </c>
      <c r="Y736" s="63" t="str">
        <f t="shared" si="34"/>
        <v/>
      </c>
      <c r="Z736" s="63" t="str">
        <f t="shared" si="35"/>
        <v/>
      </c>
      <c r="AA736" s="63" t="str">
        <f>TEXT(Table111[[#This Row],[YEAR]],"0000")&amp;"-"&amp;Table111[[#This Row],[MONTH]]</f>
        <v>-</v>
      </c>
    </row>
    <row r="737" spans="2:27" x14ac:dyDescent="0.3">
      <c r="B737" s="68"/>
      <c r="C737" s="68"/>
      <c r="D737" s="68"/>
      <c r="E737" s="71"/>
      <c r="F737" s="72"/>
      <c r="G737" s="70"/>
      <c r="H737" s="74"/>
      <c r="I737" s="70"/>
      <c r="J737" s="70"/>
      <c r="K737" s="70"/>
      <c r="L737" s="74"/>
      <c r="M737" s="123"/>
      <c r="N737" s="73"/>
      <c r="O737" s="236"/>
      <c r="P737" s="236"/>
      <c r="Q737" s="117"/>
      <c r="R737" s="156" t="str">
        <f>IF(Table111[[#This Row],[Qty]]="","",Table111[[#This Row],[Qty]]*Table111[[#This Row],[Unit Price]])</f>
        <v/>
      </c>
      <c r="S737" s="156" t="str">
        <f>IF(Table111[[#This Row],[Qty]]="","",Table111[[#This Row],[Qty]]*Table111[[#This Row],[Unit Price]]+Table111[[#This Row],[Delivery Cost]])</f>
        <v/>
      </c>
      <c r="T737" s="72"/>
      <c r="U737" s="72"/>
      <c r="V737" s="72"/>
      <c r="W737" s="70"/>
      <c r="X737" s="63" t="str">
        <f t="shared" si="33"/>
        <v/>
      </c>
      <c r="Y737" s="63" t="str">
        <f t="shared" si="34"/>
        <v/>
      </c>
      <c r="Z737" s="63" t="str">
        <f t="shared" si="35"/>
        <v/>
      </c>
      <c r="AA737" s="63" t="str">
        <f>TEXT(Table111[[#This Row],[YEAR]],"0000")&amp;"-"&amp;Table111[[#This Row],[MONTH]]</f>
        <v>-</v>
      </c>
    </row>
    <row r="738" spans="2:27" x14ac:dyDescent="0.3">
      <c r="B738" s="183"/>
      <c r="C738" s="183"/>
      <c r="D738" s="183"/>
      <c r="E738" s="71"/>
      <c r="F738" s="72"/>
      <c r="G738" s="70"/>
      <c r="H738" s="74"/>
      <c r="I738" s="70"/>
      <c r="J738" s="70"/>
      <c r="K738" s="70"/>
      <c r="L738" s="74"/>
      <c r="M738" s="123"/>
      <c r="N738" s="73"/>
      <c r="O738" s="236"/>
      <c r="P738" s="236"/>
      <c r="Q738" s="117"/>
      <c r="R738" s="156" t="str">
        <f>IF(Table111[[#This Row],[Qty]]="","",Table111[[#This Row],[Qty]]*Table111[[#This Row],[Unit Price]])</f>
        <v/>
      </c>
      <c r="S738" s="156" t="str">
        <f>IF(Table111[[#This Row],[Qty]]="","",Table111[[#This Row],[Qty]]*Table111[[#This Row],[Unit Price]]+Table111[[#This Row],[Delivery Cost]])</f>
        <v/>
      </c>
      <c r="T738" s="72"/>
      <c r="U738" s="72"/>
      <c r="V738" s="72"/>
      <c r="W738" s="70"/>
      <c r="X738" s="63" t="str">
        <f t="shared" si="33"/>
        <v/>
      </c>
      <c r="Y738" s="63" t="str">
        <f t="shared" si="34"/>
        <v/>
      </c>
      <c r="Z738" s="63" t="str">
        <f t="shared" si="35"/>
        <v/>
      </c>
      <c r="AA738" s="63" t="str">
        <f>TEXT(Table111[[#This Row],[YEAR]],"0000")&amp;"-"&amp;Table111[[#This Row],[MONTH]]</f>
        <v>-</v>
      </c>
    </row>
    <row r="739" spans="2:27" x14ac:dyDescent="0.3">
      <c r="B739" s="68"/>
      <c r="C739" s="68"/>
      <c r="D739" s="68"/>
      <c r="E739" s="71"/>
      <c r="F739" s="72"/>
      <c r="G739" s="70"/>
      <c r="H739" s="74"/>
      <c r="I739" s="70"/>
      <c r="J739" s="70"/>
      <c r="K739" s="70"/>
      <c r="L739" s="74"/>
      <c r="M739" s="123"/>
      <c r="N739" s="73"/>
      <c r="O739" s="236"/>
      <c r="P739" s="236"/>
      <c r="Q739" s="117"/>
      <c r="R739" s="156" t="str">
        <f>IF(Table111[[#This Row],[Qty]]="","",Table111[[#This Row],[Qty]]*Table111[[#This Row],[Unit Price]])</f>
        <v/>
      </c>
      <c r="S739" s="156" t="str">
        <f>IF(Table111[[#This Row],[Qty]]="","",Table111[[#This Row],[Qty]]*Table111[[#This Row],[Unit Price]]+Table111[[#This Row],[Delivery Cost]])</f>
        <v/>
      </c>
      <c r="T739" s="72"/>
      <c r="U739" s="72"/>
      <c r="V739" s="72"/>
      <c r="W739" s="70"/>
      <c r="X739" s="63" t="str">
        <f t="shared" si="33"/>
        <v/>
      </c>
      <c r="Y739" s="63" t="str">
        <f t="shared" si="34"/>
        <v/>
      </c>
      <c r="Z739" s="63" t="str">
        <f t="shared" si="35"/>
        <v/>
      </c>
      <c r="AA739" s="63" t="str">
        <f>TEXT(Table111[[#This Row],[YEAR]],"0000")&amp;"-"&amp;Table111[[#This Row],[MONTH]]</f>
        <v>-</v>
      </c>
    </row>
    <row r="740" spans="2:27" x14ac:dyDescent="0.3">
      <c r="B740" s="183"/>
      <c r="C740" s="183"/>
      <c r="D740" s="183"/>
      <c r="E740" s="71"/>
      <c r="F740" s="72"/>
      <c r="G740" s="70"/>
      <c r="H740" s="74"/>
      <c r="I740" s="70"/>
      <c r="J740" s="70"/>
      <c r="K740" s="70"/>
      <c r="L740" s="74"/>
      <c r="M740" s="123"/>
      <c r="N740" s="73"/>
      <c r="O740" s="236"/>
      <c r="P740" s="117"/>
      <c r="Q740" s="117"/>
      <c r="R740" s="156" t="str">
        <f>IF(Table111[[#This Row],[Qty]]="","",Table111[[#This Row],[Qty]]*Table111[[#This Row],[Unit Price]])</f>
        <v/>
      </c>
      <c r="S740" s="156" t="str">
        <f>IF(Table111[[#This Row],[Qty]]="","",Table111[[#This Row],[Qty]]*Table111[[#This Row],[Unit Price]]+Table111[[#This Row],[Delivery Cost]])</f>
        <v/>
      </c>
      <c r="T740" s="72"/>
      <c r="U740" s="72"/>
      <c r="V740" s="72"/>
      <c r="W740" s="70"/>
      <c r="X740" s="63" t="str">
        <f t="shared" si="33"/>
        <v/>
      </c>
      <c r="Y740" s="63" t="str">
        <f t="shared" si="34"/>
        <v/>
      </c>
      <c r="Z740" s="63" t="str">
        <f t="shared" si="35"/>
        <v/>
      </c>
      <c r="AA740" s="63" t="str">
        <f>TEXT(Table111[[#This Row],[YEAR]],"0000")&amp;"-"&amp;Table111[[#This Row],[MONTH]]</f>
        <v>-</v>
      </c>
    </row>
    <row r="741" spans="2:27" x14ac:dyDescent="0.3">
      <c r="B741" s="68"/>
      <c r="C741" s="68"/>
      <c r="D741" s="68"/>
      <c r="E741" s="71"/>
      <c r="F741" s="72"/>
      <c r="G741" s="70"/>
      <c r="H741" s="74"/>
      <c r="I741" s="70"/>
      <c r="J741" s="70"/>
      <c r="K741" s="70"/>
      <c r="L741" s="74"/>
      <c r="M741" s="123"/>
      <c r="N741" s="73"/>
      <c r="O741" s="236"/>
      <c r="P741" s="117"/>
      <c r="Q741" s="117"/>
      <c r="R741" s="156" t="str">
        <f>IF(Table111[[#This Row],[Qty]]="","",Table111[[#This Row],[Qty]]*Table111[[#This Row],[Unit Price]])</f>
        <v/>
      </c>
      <c r="S741" s="156" t="str">
        <f>IF(Table111[[#This Row],[Qty]]="","",Table111[[#This Row],[Qty]]*Table111[[#This Row],[Unit Price]]+Table111[[#This Row],[Delivery Cost]])</f>
        <v/>
      </c>
      <c r="T741" s="72"/>
      <c r="U741" s="72"/>
      <c r="V741" s="72"/>
      <c r="W741" s="219"/>
      <c r="X741" s="63" t="str">
        <f t="shared" si="33"/>
        <v/>
      </c>
      <c r="Y741" s="63" t="str">
        <f t="shared" si="34"/>
        <v/>
      </c>
      <c r="Z741" s="63" t="str">
        <f t="shared" si="35"/>
        <v/>
      </c>
      <c r="AA741" s="63" t="str">
        <f>TEXT(Table111[[#This Row],[YEAR]],"0000")&amp;"-"&amp;Table111[[#This Row],[MONTH]]</f>
        <v>-</v>
      </c>
    </row>
    <row r="742" spans="2:27" x14ac:dyDescent="0.3">
      <c r="B742" s="183"/>
      <c r="C742" s="183"/>
      <c r="D742" s="183"/>
      <c r="E742" s="71"/>
      <c r="F742" s="72"/>
      <c r="G742" s="70"/>
      <c r="H742" s="74"/>
      <c r="I742" s="70"/>
      <c r="J742" s="70"/>
      <c r="K742" s="70"/>
      <c r="L742" s="74"/>
      <c r="M742" s="123"/>
      <c r="N742" s="73"/>
      <c r="O742" s="236"/>
      <c r="P742" s="117"/>
      <c r="Q742" s="117"/>
      <c r="R742" s="156" t="str">
        <f>IF(Table111[[#This Row],[Qty]]="","",Table111[[#This Row],[Qty]]*Table111[[#This Row],[Unit Price]])</f>
        <v/>
      </c>
      <c r="S742" s="156" t="str">
        <f>IF(Table111[[#This Row],[Qty]]="","",Table111[[#This Row],[Qty]]*Table111[[#This Row],[Unit Price]]+Table111[[#This Row],[Delivery Cost]])</f>
        <v/>
      </c>
      <c r="T742" s="72"/>
      <c r="U742" s="72"/>
      <c r="V742" s="72"/>
      <c r="W742" s="65"/>
      <c r="X742" s="63" t="str">
        <f t="shared" si="33"/>
        <v/>
      </c>
      <c r="Y742" s="63" t="str">
        <f t="shared" si="34"/>
        <v/>
      </c>
      <c r="Z742" s="63" t="str">
        <f t="shared" si="35"/>
        <v/>
      </c>
      <c r="AA742" s="63" t="str">
        <f>TEXT(Table111[[#This Row],[YEAR]],"0000")&amp;"-"&amp;Table111[[#This Row],[MONTH]]</f>
        <v>-</v>
      </c>
    </row>
    <row r="743" spans="2:27" x14ac:dyDescent="0.3">
      <c r="B743" s="68"/>
      <c r="C743" s="68"/>
      <c r="D743" s="68"/>
      <c r="E743" s="71"/>
      <c r="F743" s="72"/>
      <c r="G743" s="70"/>
      <c r="H743" s="74"/>
      <c r="I743" s="70"/>
      <c r="J743" s="70"/>
      <c r="K743" s="70"/>
      <c r="L743" s="74"/>
      <c r="M743" s="123"/>
      <c r="N743" s="73"/>
      <c r="O743" s="236"/>
      <c r="P743" s="236"/>
      <c r="Q743" s="117"/>
      <c r="R743" s="156" t="str">
        <f>IF(Table111[[#This Row],[Qty]]="","",Table111[[#This Row],[Qty]]*Table111[[#This Row],[Unit Price]])</f>
        <v/>
      </c>
      <c r="S743" s="156" t="str">
        <f>IF(Table111[[#This Row],[Qty]]="","",Table111[[#This Row],[Qty]]*Table111[[#This Row],[Unit Price]]+Table111[[#This Row],[Delivery Cost]])</f>
        <v/>
      </c>
      <c r="T743" s="72"/>
      <c r="U743" s="72"/>
      <c r="V743" s="72"/>
      <c r="W743" s="219"/>
      <c r="X743" s="63" t="str">
        <f t="shared" si="33"/>
        <v/>
      </c>
      <c r="Y743" s="63" t="str">
        <f t="shared" si="34"/>
        <v/>
      </c>
      <c r="Z743" s="63" t="str">
        <f t="shared" si="35"/>
        <v/>
      </c>
      <c r="AA743" s="63" t="str">
        <f>TEXT(Table111[[#This Row],[YEAR]],"0000")&amp;"-"&amp;Table111[[#This Row],[MONTH]]</f>
        <v>-</v>
      </c>
    </row>
    <row r="744" spans="2:27" x14ac:dyDescent="0.3">
      <c r="B744" s="183"/>
      <c r="C744" s="183"/>
      <c r="D744" s="183"/>
      <c r="E744" s="71"/>
      <c r="F744" s="72"/>
      <c r="G744" s="70"/>
      <c r="H744" s="74"/>
      <c r="I744" s="70"/>
      <c r="J744" s="70"/>
      <c r="K744" s="70"/>
      <c r="L744" s="74"/>
      <c r="M744" s="123"/>
      <c r="N744" s="73"/>
      <c r="O744" s="236"/>
      <c r="P744" s="117"/>
      <c r="Q744" s="117"/>
      <c r="R744" s="156" t="str">
        <f>IF(Table111[[#This Row],[Qty]]="","",Table111[[#This Row],[Qty]]*Table111[[#This Row],[Unit Price]])</f>
        <v/>
      </c>
      <c r="S744" s="156" t="str">
        <f>IF(Table111[[#This Row],[Qty]]="","",Table111[[#This Row],[Qty]]*Table111[[#This Row],[Unit Price]]+Table111[[#This Row],[Delivery Cost]])</f>
        <v/>
      </c>
      <c r="T744" s="72"/>
      <c r="U744" s="72"/>
      <c r="V744" s="72"/>
      <c r="W744" s="65"/>
      <c r="X744" s="63" t="str">
        <f t="shared" si="33"/>
        <v/>
      </c>
      <c r="Y744" s="63" t="str">
        <f t="shared" si="34"/>
        <v/>
      </c>
      <c r="Z744" s="63" t="str">
        <f t="shared" si="35"/>
        <v/>
      </c>
      <c r="AA744" s="63" t="str">
        <f>TEXT(Table111[[#This Row],[YEAR]],"0000")&amp;"-"&amp;Table111[[#This Row],[MONTH]]</f>
        <v>-</v>
      </c>
    </row>
    <row r="745" spans="2:27" x14ac:dyDescent="0.3">
      <c r="B745" s="68"/>
      <c r="C745" s="68"/>
      <c r="D745" s="68"/>
      <c r="E745" s="71"/>
      <c r="F745" s="72"/>
      <c r="G745" s="70"/>
      <c r="H745" s="74"/>
      <c r="I745" s="70"/>
      <c r="J745" s="70"/>
      <c r="K745" s="70"/>
      <c r="L745" s="74"/>
      <c r="M745" s="123"/>
      <c r="N745" s="73"/>
      <c r="O745" s="236"/>
      <c r="P745" s="236"/>
      <c r="Q745" s="117"/>
      <c r="R745" s="156" t="str">
        <f>IF(Table111[[#This Row],[Qty]]="","",Table111[[#This Row],[Qty]]*Table111[[#This Row],[Unit Price]])</f>
        <v/>
      </c>
      <c r="S745" s="156" t="str">
        <f>IF(Table111[[#This Row],[Qty]]="","",Table111[[#This Row],[Qty]]*Table111[[#This Row],[Unit Price]]+Table111[[#This Row],[Delivery Cost]])</f>
        <v/>
      </c>
      <c r="T745" s="72"/>
      <c r="U745" s="72"/>
      <c r="V745" s="72"/>
      <c r="W745" s="219"/>
      <c r="X745" s="63" t="str">
        <f t="shared" si="33"/>
        <v/>
      </c>
      <c r="Y745" s="63" t="str">
        <f t="shared" si="34"/>
        <v/>
      </c>
      <c r="Z745" s="63" t="str">
        <f t="shared" si="35"/>
        <v/>
      </c>
      <c r="AA745" s="63" t="str">
        <f>TEXT(Table111[[#This Row],[YEAR]],"0000")&amp;"-"&amp;Table111[[#This Row],[MONTH]]</f>
        <v>-</v>
      </c>
    </row>
    <row r="746" spans="2:27" x14ac:dyDescent="0.3">
      <c r="B746" s="183"/>
      <c r="C746" s="183"/>
      <c r="D746" s="183"/>
      <c r="E746" s="71"/>
      <c r="F746" s="72"/>
      <c r="G746" s="70"/>
      <c r="H746" s="74"/>
      <c r="I746" s="70"/>
      <c r="J746" s="70"/>
      <c r="K746" s="70"/>
      <c r="L746" s="74"/>
      <c r="M746" s="123"/>
      <c r="N746" s="73"/>
      <c r="O746" s="236"/>
      <c r="P746" s="236"/>
      <c r="Q746" s="117"/>
      <c r="R746" s="156" t="str">
        <f>IF(Table111[[#This Row],[Qty]]="","",Table111[[#This Row],[Qty]]*Table111[[#This Row],[Unit Price]])</f>
        <v/>
      </c>
      <c r="S746" s="156" t="str">
        <f>IF(Table111[[#This Row],[Qty]]="","",Table111[[#This Row],[Qty]]*Table111[[#This Row],[Unit Price]]+Table111[[#This Row],[Delivery Cost]])</f>
        <v/>
      </c>
      <c r="T746" s="72"/>
      <c r="U746" s="72"/>
      <c r="V746" s="72"/>
      <c r="W746" s="65"/>
      <c r="X746" s="63" t="str">
        <f t="shared" si="33"/>
        <v/>
      </c>
      <c r="Y746" s="63" t="str">
        <f t="shared" si="34"/>
        <v/>
      </c>
      <c r="Z746" s="63" t="str">
        <f t="shared" si="35"/>
        <v/>
      </c>
      <c r="AA746" s="63" t="str">
        <f>TEXT(Table111[[#This Row],[YEAR]],"0000")&amp;"-"&amp;Table111[[#This Row],[MONTH]]</f>
        <v>-</v>
      </c>
    </row>
    <row r="747" spans="2:27" x14ac:dyDescent="0.3">
      <c r="B747" s="68"/>
      <c r="C747" s="68"/>
      <c r="D747" s="68"/>
      <c r="E747" s="71"/>
      <c r="F747" s="72"/>
      <c r="G747" s="70"/>
      <c r="H747" s="74"/>
      <c r="I747" s="70"/>
      <c r="J747" s="70"/>
      <c r="K747" s="70"/>
      <c r="L747" s="74"/>
      <c r="M747" s="123"/>
      <c r="N747" s="73"/>
      <c r="O747" s="236"/>
      <c r="P747" s="117"/>
      <c r="Q747" s="117"/>
      <c r="R747" s="156" t="str">
        <f>IF(Table111[[#This Row],[Qty]]="","",Table111[[#This Row],[Qty]]*Table111[[#This Row],[Unit Price]])</f>
        <v/>
      </c>
      <c r="S747" s="156" t="str">
        <f>IF(Table111[[#This Row],[Qty]]="","",Table111[[#This Row],[Qty]]*Table111[[#This Row],[Unit Price]]+Table111[[#This Row],[Delivery Cost]])</f>
        <v/>
      </c>
      <c r="T747" s="72"/>
      <c r="U747" s="72"/>
      <c r="V747" s="72"/>
      <c r="W747" s="219"/>
      <c r="X747" s="63" t="str">
        <f t="shared" si="33"/>
        <v/>
      </c>
      <c r="Y747" s="63" t="str">
        <f t="shared" si="34"/>
        <v/>
      </c>
      <c r="Z747" s="63" t="str">
        <f t="shared" si="35"/>
        <v/>
      </c>
      <c r="AA747" s="63" t="str">
        <f>TEXT(Table111[[#This Row],[YEAR]],"0000")&amp;"-"&amp;Table111[[#This Row],[MONTH]]</f>
        <v>-</v>
      </c>
    </row>
    <row r="748" spans="2:27" x14ac:dyDescent="0.3">
      <c r="B748" s="183"/>
      <c r="C748" s="183"/>
      <c r="D748" s="183"/>
      <c r="E748" s="71"/>
      <c r="F748" s="72"/>
      <c r="G748" s="70"/>
      <c r="H748" s="74"/>
      <c r="I748" s="70"/>
      <c r="J748" s="70"/>
      <c r="K748" s="70"/>
      <c r="L748" s="74"/>
      <c r="M748" s="123"/>
      <c r="N748" s="73"/>
      <c r="O748" s="236"/>
      <c r="P748" s="236"/>
      <c r="Q748" s="117"/>
      <c r="R748" s="156" t="str">
        <f>IF(Table111[[#This Row],[Qty]]="","",Table111[[#This Row],[Qty]]*Table111[[#This Row],[Unit Price]])</f>
        <v/>
      </c>
      <c r="S748" s="156" t="str">
        <f>IF(Table111[[#This Row],[Qty]]="","",Table111[[#This Row],[Qty]]*Table111[[#This Row],[Unit Price]]+Table111[[#This Row],[Delivery Cost]])</f>
        <v/>
      </c>
      <c r="T748" s="72"/>
      <c r="U748" s="72"/>
      <c r="V748" s="72"/>
      <c r="W748" s="65"/>
      <c r="X748" s="63" t="str">
        <f t="shared" si="33"/>
        <v/>
      </c>
      <c r="Y748" s="63" t="str">
        <f t="shared" si="34"/>
        <v/>
      </c>
      <c r="Z748" s="63" t="str">
        <f t="shared" si="35"/>
        <v/>
      </c>
      <c r="AA748" s="63" t="str">
        <f>TEXT(Table111[[#This Row],[YEAR]],"0000")&amp;"-"&amp;Table111[[#This Row],[MONTH]]</f>
        <v>-</v>
      </c>
    </row>
    <row r="749" spans="2:27" x14ac:dyDescent="0.3">
      <c r="B749" s="68"/>
      <c r="C749" s="68"/>
      <c r="D749" s="68"/>
      <c r="E749" s="71"/>
      <c r="F749" s="72"/>
      <c r="G749" s="70"/>
      <c r="H749" s="74"/>
      <c r="I749" s="70"/>
      <c r="J749" s="70"/>
      <c r="K749" s="70"/>
      <c r="L749" s="74"/>
      <c r="M749" s="123"/>
      <c r="N749" s="73"/>
      <c r="O749" s="236"/>
      <c r="P749" s="117"/>
      <c r="Q749" s="117"/>
      <c r="R749" s="156" t="str">
        <f>IF(Table111[[#This Row],[Qty]]="","",Table111[[#This Row],[Qty]]*Table111[[#This Row],[Unit Price]])</f>
        <v/>
      </c>
      <c r="S749" s="156" t="str">
        <f>IF(Table111[[#This Row],[Qty]]="","",Table111[[#This Row],[Qty]]*Table111[[#This Row],[Unit Price]]+Table111[[#This Row],[Delivery Cost]])</f>
        <v/>
      </c>
      <c r="T749" s="72"/>
      <c r="U749" s="72"/>
      <c r="V749" s="72"/>
      <c r="W749" s="219"/>
      <c r="X749" s="63" t="str">
        <f t="shared" si="33"/>
        <v/>
      </c>
      <c r="Y749" s="63" t="str">
        <f t="shared" si="34"/>
        <v/>
      </c>
      <c r="Z749" s="63" t="str">
        <f t="shared" si="35"/>
        <v/>
      </c>
      <c r="AA749" s="63" t="str">
        <f>TEXT(Table111[[#This Row],[YEAR]],"0000")&amp;"-"&amp;Table111[[#This Row],[MONTH]]</f>
        <v>-</v>
      </c>
    </row>
    <row r="750" spans="2:27" x14ac:dyDescent="0.3">
      <c r="B750" s="183"/>
      <c r="C750" s="183"/>
      <c r="D750" s="183"/>
      <c r="E750" s="71"/>
      <c r="F750" s="72"/>
      <c r="G750" s="70"/>
      <c r="H750" s="74"/>
      <c r="I750" s="70"/>
      <c r="J750" s="70"/>
      <c r="K750" s="70"/>
      <c r="L750" s="74"/>
      <c r="M750" s="123"/>
      <c r="N750" s="73"/>
      <c r="O750" s="236"/>
      <c r="P750" s="117"/>
      <c r="Q750" s="117"/>
      <c r="R750" s="156" t="str">
        <f>IF(Table111[[#This Row],[Qty]]="","",Table111[[#This Row],[Qty]]*Table111[[#This Row],[Unit Price]])</f>
        <v/>
      </c>
      <c r="S750" s="156" t="str">
        <f>IF(Table111[[#This Row],[Qty]]="","",Table111[[#This Row],[Qty]]*Table111[[#This Row],[Unit Price]]+Table111[[#This Row],[Delivery Cost]])</f>
        <v/>
      </c>
      <c r="T750" s="72"/>
      <c r="U750" s="72"/>
      <c r="V750" s="72"/>
      <c r="W750" s="65"/>
      <c r="X750" s="63" t="str">
        <f t="shared" si="33"/>
        <v/>
      </c>
      <c r="Y750" s="63" t="str">
        <f t="shared" si="34"/>
        <v/>
      </c>
      <c r="Z750" s="63" t="str">
        <f t="shared" si="35"/>
        <v/>
      </c>
      <c r="AA750" s="63" t="str">
        <f>TEXT(Table111[[#This Row],[YEAR]],"0000")&amp;"-"&amp;Table111[[#This Row],[MONTH]]</f>
        <v>-</v>
      </c>
    </row>
    <row r="751" spans="2:27" x14ac:dyDescent="0.3">
      <c r="B751" s="68"/>
      <c r="C751" s="68"/>
      <c r="D751" s="68"/>
      <c r="E751" s="71"/>
      <c r="F751" s="72"/>
      <c r="G751" s="70"/>
      <c r="H751" s="74"/>
      <c r="I751" s="70"/>
      <c r="J751" s="70"/>
      <c r="K751" s="70"/>
      <c r="L751" s="74"/>
      <c r="M751" s="123"/>
      <c r="N751" s="73"/>
      <c r="O751" s="236"/>
      <c r="P751" s="117"/>
      <c r="Q751" s="117"/>
      <c r="R751" s="156" t="str">
        <f>IF(Table111[[#This Row],[Qty]]="","",Table111[[#This Row],[Qty]]*Table111[[#This Row],[Unit Price]])</f>
        <v/>
      </c>
      <c r="S751" s="156" t="str">
        <f>IF(Table111[[#This Row],[Qty]]="","",Table111[[#This Row],[Qty]]*Table111[[#This Row],[Unit Price]]+Table111[[#This Row],[Delivery Cost]])</f>
        <v/>
      </c>
      <c r="T751" s="72"/>
      <c r="U751" s="72"/>
      <c r="V751" s="72"/>
      <c r="W751" s="219"/>
      <c r="X751" s="63" t="str">
        <f t="shared" si="33"/>
        <v/>
      </c>
      <c r="Y751" s="63" t="str">
        <f t="shared" si="34"/>
        <v/>
      </c>
      <c r="Z751" s="63" t="str">
        <f t="shared" si="35"/>
        <v/>
      </c>
      <c r="AA751" s="63" t="str">
        <f>TEXT(Table111[[#This Row],[YEAR]],"0000")&amp;"-"&amp;Table111[[#This Row],[MONTH]]</f>
        <v>-</v>
      </c>
    </row>
    <row r="752" spans="2:27" x14ac:dyDescent="0.3">
      <c r="B752" s="183"/>
      <c r="C752" s="183"/>
      <c r="D752" s="183"/>
      <c r="E752" s="71"/>
      <c r="F752" s="72"/>
      <c r="G752" s="70"/>
      <c r="H752" s="74"/>
      <c r="I752" s="70"/>
      <c r="J752" s="70"/>
      <c r="K752" s="70"/>
      <c r="L752" s="74"/>
      <c r="M752" s="123"/>
      <c r="N752" s="73"/>
      <c r="O752" s="236"/>
      <c r="P752" s="117"/>
      <c r="Q752" s="117"/>
      <c r="R752" s="156" t="str">
        <f>IF(Table111[[#This Row],[Qty]]="","",Table111[[#This Row],[Qty]]*Table111[[#This Row],[Unit Price]])</f>
        <v/>
      </c>
      <c r="S752" s="156" t="str">
        <f>IF(Table111[[#This Row],[Qty]]="","",Table111[[#This Row],[Qty]]*Table111[[#This Row],[Unit Price]]+Table111[[#This Row],[Delivery Cost]])</f>
        <v/>
      </c>
      <c r="T752" s="72"/>
      <c r="U752" s="72"/>
      <c r="V752" s="72"/>
      <c r="W752" s="65"/>
      <c r="X752" s="63" t="str">
        <f t="shared" si="33"/>
        <v/>
      </c>
      <c r="Y752" s="63" t="str">
        <f t="shared" si="34"/>
        <v/>
      </c>
      <c r="Z752" s="63" t="str">
        <f t="shared" si="35"/>
        <v/>
      </c>
      <c r="AA752" s="63" t="str">
        <f>TEXT(Table111[[#This Row],[YEAR]],"0000")&amp;"-"&amp;Table111[[#This Row],[MONTH]]</f>
        <v>-</v>
      </c>
    </row>
    <row r="753" spans="2:27" x14ac:dyDescent="0.3">
      <c r="B753" s="68"/>
      <c r="C753" s="68"/>
      <c r="D753" s="68"/>
      <c r="E753" s="71"/>
      <c r="F753" s="72"/>
      <c r="G753" s="70"/>
      <c r="H753" s="74"/>
      <c r="I753" s="70"/>
      <c r="J753" s="70"/>
      <c r="K753" s="70"/>
      <c r="L753" s="74"/>
      <c r="M753" s="123"/>
      <c r="N753" s="73"/>
      <c r="O753" s="236"/>
      <c r="P753" s="117"/>
      <c r="Q753" s="117"/>
      <c r="R753" s="156" t="str">
        <f>IF(Table111[[#This Row],[Qty]]="","",Table111[[#This Row],[Qty]]*Table111[[#This Row],[Unit Price]])</f>
        <v/>
      </c>
      <c r="S753" s="156" t="str">
        <f>IF(Table111[[#This Row],[Qty]]="","",Table111[[#This Row],[Qty]]*Table111[[#This Row],[Unit Price]]+Table111[[#This Row],[Delivery Cost]])</f>
        <v/>
      </c>
      <c r="T753" s="72"/>
      <c r="U753" s="72"/>
      <c r="V753" s="72"/>
      <c r="W753" s="219"/>
      <c r="X753" s="63" t="str">
        <f t="shared" si="33"/>
        <v/>
      </c>
      <c r="Y753" s="63" t="str">
        <f t="shared" si="34"/>
        <v/>
      </c>
      <c r="Z753" s="63" t="str">
        <f t="shared" si="35"/>
        <v/>
      </c>
      <c r="AA753" s="63" t="str">
        <f>TEXT(Table111[[#This Row],[YEAR]],"0000")&amp;"-"&amp;Table111[[#This Row],[MONTH]]</f>
        <v>-</v>
      </c>
    </row>
    <row r="754" spans="2:27" x14ac:dyDescent="0.3">
      <c r="B754" s="183"/>
      <c r="C754" s="183"/>
      <c r="D754" s="183"/>
      <c r="E754" s="71"/>
      <c r="F754" s="72"/>
      <c r="G754" s="70"/>
      <c r="H754" s="74"/>
      <c r="I754" s="70"/>
      <c r="J754" s="70"/>
      <c r="K754" s="70"/>
      <c r="L754" s="74"/>
      <c r="M754" s="123"/>
      <c r="N754" s="73"/>
      <c r="O754" s="236"/>
      <c r="P754" s="117"/>
      <c r="Q754" s="117"/>
      <c r="R754" s="156" t="str">
        <f>IF(Table111[[#This Row],[Qty]]="","",Table111[[#This Row],[Qty]]*Table111[[#This Row],[Unit Price]])</f>
        <v/>
      </c>
      <c r="S754" s="156" t="str">
        <f>IF(Table111[[#This Row],[Qty]]="","",Table111[[#This Row],[Qty]]*Table111[[#This Row],[Unit Price]]+Table111[[#This Row],[Delivery Cost]])</f>
        <v/>
      </c>
      <c r="T754" s="72"/>
      <c r="U754" s="72"/>
      <c r="V754" s="72"/>
      <c r="W754" s="65"/>
      <c r="X754" s="63" t="str">
        <f t="shared" si="33"/>
        <v/>
      </c>
      <c r="Y754" s="63" t="str">
        <f t="shared" si="34"/>
        <v/>
      </c>
      <c r="Z754" s="63" t="str">
        <f t="shared" si="35"/>
        <v/>
      </c>
      <c r="AA754" s="63" t="str">
        <f>TEXT(Table111[[#This Row],[YEAR]],"0000")&amp;"-"&amp;Table111[[#This Row],[MONTH]]</f>
        <v>-</v>
      </c>
    </row>
    <row r="755" spans="2:27" x14ac:dyDescent="0.3">
      <c r="B755" s="68"/>
      <c r="C755" s="68"/>
      <c r="D755" s="68"/>
      <c r="E755" s="71"/>
      <c r="F755" s="72"/>
      <c r="G755" s="70"/>
      <c r="H755" s="74"/>
      <c r="I755" s="70"/>
      <c r="J755" s="70"/>
      <c r="K755" s="70"/>
      <c r="L755" s="74"/>
      <c r="M755" s="123"/>
      <c r="N755" s="73"/>
      <c r="O755" s="236"/>
      <c r="P755" s="117"/>
      <c r="Q755" s="117"/>
      <c r="R755" s="156" t="str">
        <f>IF(Table111[[#This Row],[Qty]]="","",Table111[[#This Row],[Qty]]*Table111[[#This Row],[Unit Price]])</f>
        <v/>
      </c>
      <c r="S755" s="156" t="str">
        <f>IF(Table111[[#This Row],[Qty]]="","",Table111[[#This Row],[Qty]]*Table111[[#This Row],[Unit Price]]+Table111[[#This Row],[Delivery Cost]])</f>
        <v/>
      </c>
      <c r="T755" s="72"/>
      <c r="U755" s="72"/>
      <c r="V755" s="72"/>
      <c r="W755" s="219"/>
      <c r="X755" s="63" t="str">
        <f t="shared" si="33"/>
        <v/>
      </c>
      <c r="Y755" s="63" t="str">
        <f t="shared" si="34"/>
        <v/>
      </c>
      <c r="Z755" s="63" t="str">
        <f t="shared" si="35"/>
        <v/>
      </c>
      <c r="AA755" s="63" t="str">
        <f>TEXT(Table111[[#This Row],[YEAR]],"0000")&amp;"-"&amp;Table111[[#This Row],[MONTH]]</f>
        <v>-</v>
      </c>
    </row>
    <row r="756" spans="2:27" x14ac:dyDescent="0.3">
      <c r="B756" s="183"/>
      <c r="C756" s="183"/>
      <c r="D756" s="183"/>
      <c r="E756" s="71"/>
      <c r="F756" s="72"/>
      <c r="G756" s="70"/>
      <c r="H756" s="74"/>
      <c r="I756" s="70"/>
      <c r="J756" s="70"/>
      <c r="K756" s="70"/>
      <c r="L756" s="74"/>
      <c r="M756" s="123"/>
      <c r="N756" s="73"/>
      <c r="O756" s="236"/>
      <c r="P756" s="117"/>
      <c r="Q756" s="117"/>
      <c r="R756" s="156" t="str">
        <f>IF(Table111[[#This Row],[Qty]]="","",Table111[[#This Row],[Qty]]*Table111[[#This Row],[Unit Price]])</f>
        <v/>
      </c>
      <c r="S756" s="156" t="str">
        <f>IF(Table111[[#This Row],[Qty]]="","",Table111[[#This Row],[Qty]]*Table111[[#This Row],[Unit Price]]+Table111[[#This Row],[Delivery Cost]])</f>
        <v/>
      </c>
      <c r="T756" s="72"/>
      <c r="U756" s="72"/>
      <c r="V756" s="72"/>
      <c r="W756" s="65"/>
      <c r="X756" s="63" t="str">
        <f t="shared" si="33"/>
        <v/>
      </c>
      <c r="Y756" s="63" t="str">
        <f t="shared" si="34"/>
        <v/>
      </c>
      <c r="Z756" s="63" t="str">
        <f t="shared" si="35"/>
        <v/>
      </c>
      <c r="AA756" s="63" t="str">
        <f>TEXT(Table111[[#This Row],[YEAR]],"0000")&amp;"-"&amp;Table111[[#This Row],[MONTH]]</f>
        <v>-</v>
      </c>
    </row>
    <row r="757" spans="2:27" x14ac:dyDescent="0.3">
      <c r="B757" s="68"/>
      <c r="C757" s="68"/>
      <c r="D757" s="68"/>
      <c r="E757" s="71"/>
      <c r="F757" s="72"/>
      <c r="G757" s="70"/>
      <c r="H757" s="74"/>
      <c r="I757" s="70"/>
      <c r="J757" s="70"/>
      <c r="K757" s="70"/>
      <c r="L757" s="74"/>
      <c r="M757" s="123"/>
      <c r="N757" s="73"/>
      <c r="O757" s="236"/>
      <c r="P757" s="117"/>
      <c r="Q757" s="117"/>
      <c r="R757" s="156" t="str">
        <f>IF(Table111[[#This Row],[Qty]]="","",Table111[[#This Row],[Qty]]*Table111[[#This Row],[Unit Price]])</f>
        <v/>
      </c>
      <c r="S757" s="156" t="str">
        <f>IF(Table111[[#This Row],[Qty]]="","",Table111[[#This Row],[Qty]]*Table111[[#This Row],[Unit Price]]+Table111[[#This Row],[Delivery Cost]])</f>
        <v/>
      </c>
      <c r="T757" s="72"/>
      <c r="U757" s="72"/>
      <c r="V757" s="72"/>
      <c r="W757" s="219"/>
      <c r="X757" s="63" t="str">
        <f t="shared" si="33"/>
        <v/>
      </c>
      <c r="Y757" s="63" t="str">
        <f t="shared" si="34"/>
        <v/>
      </c>
      <c r="Z757" s="63" t="str">
        <f t="shared" si="35"/>
        <v/>
      </c>
      <c r="AA757" s="63" t="str">
        <f>TEXT(Table111[[#This Row],[YEAR]],"0000")&amp;"-"&amp;Table111[[#This Row],[MONTH]]</f>
        <v>-</v>
      </c>
    </row>
    <row r="758" spans="2:27" x14ac:dyDescent="0.3">
      <c r="B758" s="183"/>
      <c r="C758" s="183"/>
      <c r="D758" s="183"/>
      <c r="E758" s="71"/>
      <c r="F758" s="72"/>
      <c r="G758" s="70"/>
      <c r="H758" s="74"/>
      <c r="I758" s="70"/>
      <c r="J758" s="70"/>
      <c r="K758" s="70"/>
      <c r="L758" s="74"/>
      <c r="M758" s="123"/>
      <c r="N758" s="73"/>
      <c r="O758" s="236"/>
      <c r="P758" s="117"/>
      <c r="Q758" s="117"/>
      <c r="R758" s="156" t="str">
        <f>IF(Table111[[#This Row],[Qty]]="","",Table111[[#This Row],[Qty]]*Table111[[#This Row],[Unit Price]])</f>
        <v/>
      </c>
      <c r="S758" s="156" t="str">
        <f>IF(Table111[[#This Row],[Qty]]="","",Table111[[#This Row],[Qty]]*Table111[[#This Row],[Unit Price]]+Table111[[#This Row],[Delivery Cost]])</f>
        <v/>
      </c>
      <c r="T758" s="72"/>
      <c r="U758" s="72"/>
      <c r="V758" s="72"/>
      <c r="W758" s="65"/>
      <c r="X758" s="63" t="str">
        <f t="shared" si="33"/>
        <v/>
      </c>
      <c r="Y758" s="63" t="str">
        <f t="shared" si="34"/>
        <v/>
      </c>
      <c r="Z758" s="63" t="str">
        <f t="shared" si="35"/>
        <v/>
      </c>
      <c r="AA758" s="63" t="str">
        <f>TEXT(Table111[[#This Row],[YEAR]],"0000")&amp;"-"&amp;Table111[[#This Row],[MONTH]]</f>
        <v>-</v>
      </c>
    </row>
    <row r="759" spans="2:27" x14ac:dyDescent="0.3">
      <c r="B759" s="68"/>
      <c r="C759" s="68"/>
      <c r="D759" s="68"/>
      <c r="E759" s="71"/>
      <c r="F759" s="72"/>
      <c r="G759" s="70"/>
      <c r="H759" s="74"/>
      <c r="I759" s="70"/>
      <c r="J759" s="70"/>
      <c r="K759" s="70"/>
      <c r="L759" s="74"/>
      <c r="M759" s="123"/>
      <c r="N759" s="73"/>
      <c r="O759" s="236"/>
      <c r="P759" s="117"/>
      <c r="Q759" s="117"/>
      <c r="R759" s="156" t="str">
        <f>IF(Table111[[#This Row],[Qty]]="","",Table111[[#This Row],[Qty]]*Table111[[#This Row],[Unit Price]])</f>
        <v/>
      </c>
      <c r="S759" s="156" t="str">
        <f>IF(Table111[[#This Row],[Qty]]="","",Table111[[#This Row],[Qty]]*Table111[[#This Row],[Unit Price]]+Table111[[#This Row],[Delivery Cost]])</f>
        <v/>
      </c>
      <c r="T759" s="72"/>
      <c r="U759" s="72"/>
      <c r="V759" s="72"/>
      <c r="W759" s="219"/>
      <c r="X759" s="63" t="str">
        <f t="shared" si="33"/>
        <v/>
      </c>
      <c r="Y759" s="63" t="str">
        <f t="shared" si="34"/>
        <v/>
      </c>
      <c r="Z759" s="63" t="str">
        <f t="shared" si="35"/>
        <v/>
      </c>
      <c r="AA759" s="63" t="str">
        <f>TEXT(Table111[[#This Row],[YEAR]],"0000")&amp;"-"&amp;Table111[[#This Row],[MONTH]]</f>
        <v>-</v>
      </c>
    </row>
    <row r="760" spans="2:27" x14ac:dyDescent="0.3">
      <c r="B760" s="183"/>
      <c r="C760" s="183"/>
      <c r="D760" s="183"/>
      <c r="E760" s="71"/>
      <c r="F760" s="72"/>
      <c r="G760" s="70"/>
      <c r="H760" s="74"/>
      <c r="I760" s="70"/>
      <c r="J760" s="70"/>
      <c r="K760" s="70"/>
      <c r="L760" s="74"/>
      <c r="M760" s="123"/>
      <c r="N760" s="73"/>
      <c r="O760" s="236"/>
      <c r="P760" s="117"/>
      <c r="Q760" s="117"/>
      <c r="R760" s="156" t="str">
        <f>IF(Table111[[#This Row],[Qty]]="","",Table111[[#This Row],[Qty]]*Table111[[#This Row],[Unit Price]])</f>
        <v/>
      </c>
      <c r="S760" s="156" t="str">
        <f>IF(Table111[[#This Row],[Qty]]="","",Table111[[#This Row],[Qty]]*Table111[[#This Row],[Unit Price]]+Table111[[#This Row],[Delivery Cost]])</f>
        <v/>
      </c>
      <c r="T760" s="72"/>
      <c r="U760" s="72"/>
      <c r="V760" s="72"/>
      <c r="W760" s="65"/>
      <c r="X760" s="63" t="str">
        <f t="shared" si="33"/>
        <v/>
      </c>
      <c r="Y760" s="63" t="str">
        <f t="shared" si="34"/>
        <v/>
      </c>
      <c r="Z760" s="63" t="str">
        <f t="shared" si="35"/>
        <v/>
      </c>
      <c r="AA760" s="63" t="str">
        <f>TEXT(Table111[[#This Row],[YEAR]],"0000")&amp;"-"&amp;Table111[[#This Row],[MONTH]]</f>
        <v>-</v>
      </c>
    </row>
    <row r="761" spans="2:27" x14ac:dyDescent="0.3">
      <c r="B761" s="68"/>
      <c r="C761" s="68"/>
      <c r="D761" s="68"/>
      <c r="E761" s="71"/>
      <c r="F761" s="72"/>
      <c r="G761" s="70"/>
      <c r="H761" s="74"/>
      <c r="I761" s="70"/>
      <c r="J761" s="70"/>
      <c r="K761" s="70"/>
      <c r="L761" s="74"/>
      <c r="M761" s="123"/>
      <c r="N761" s="73"/>
      <c r="O761" s="236"/>
      <c r="P761" s="117"/>
      <c r="Q761" s="117"/>
      <c r="R761" s="156" t="str">
        <f>IF(Table111[[#This Row],[Qty]]="","",Table111[[#This Row],[Qty]]*Table111[[#This Row],[Unit Price]])</f>
        <v/>
      </c>
      <c r="S761" s="156" t="str">
        <f>IF(Table111[[#This Row],[Qty]]="","",Table111[[#This Row],[Qty]]*Table111[[#This Row],[Unit Price]]+Table111[[#This Row],[Delivery Cost]])</f>
        <v/>
      </c>
      <c r="T761" s="72"/>
      <c r="U761" s="72"/>
      <c r="V761" s="72"/>
      <c r="W761" s="219"/>
      <c r="X761" s="63" t="str">
        <f t="shared" si="33"/>
        <v/>
      </c>
      <c r="Y761" s="63" t="str">
        <f t="shared" si="34"/>
        <v/>
      </c>
      <c r="Z761" s="63" t="str">
        <f t="shared" si="35"/>
        <v/>
      </c>
      <c r="AA761" s="63" t="str">
        <f>TEXT(Table111[[#This Row],[YEAR]],"0000")&amp;"-"&amp;Table111[[#This Row],[MONTH]]</f>
        <v>-</v>
      </c>
    </row>
    <row r="762" spans="2:27" x14ac:dyDescent="0.3">
      <c r="B762" s="183"/>
      <c r="C762" s="183"/>
      <c r="D762" s="183"/>
      <c r="E762" s="71"/>
      <c r="F762" s="72"/>
      <c r="G762" s="70"/>
      <c r="H762" s="74"/>
      <c r="I762" s="70"/>
      <c r="J762" s="70"/>
      <c r="K762" s="70"/>
      <c r="L762" s="74"/>
      <c r="M762" s="123"/>
      <c r="N762" s="73"/>
      <c r="O762" s="236"/>
      <c r="P762" s="117"/>
      <c r="Q762" s="117"/>
      <c r="R762" s="156" t="str">
        <f>IF(Table111[[#This Row],[Qty]]="","",Table111[[#This Row],[Qty]]*Table111[[#This Row],[Unit Price]])</f>
        <v/>
      </c>
      <c r="S762" s="156" t="str">
        <f>IF(Table111[[#This Row],[Qty]]="","",Table111[[#This Row],[Qty]]*Table111[[#This Row],[Unit Price]]+Table111[[#This Row],[Delivery Cost]])</f>
        <v/>
      </c>
      <c r="T762" s="72"/>
      <c r="U762" s="72"/>
      <c r="V762" s="72"/>
      <c r="W762" s="65"/>
      <c r="X762" s="63" t="str">
        <f t="shared" si="33"/>
        <v/>
      </c>
      <c r="Y762" s="63" t="str">
        <f t="shared" si="34"/>
        <v/>
      </c>
      <c r="Z762" s="63" t="str">
        <f t="shared" si="35"/>
        <v/>
      </c>
      <c r="AA762" s="63" t="str">
        <f>TEXT(Table111[[#This Row],[YEAR]],"0000")&amp;"-"&amp;Table111[[#This Row],[MONTH]]</f>
        <v>-</v>
      </c>
    </row>
    <row r="763" spans="2:27" x14ac:dyDescent="0.3">
      <c r="B763" s="68"/>
      <c r="C763" s="68"/>
      <c r="D763" s="68"/>
      <c r="E763" s="71"/>
      <c r="F763" s="72"/>
      <c r="G763" s="70"/>
      <c r="H763" s="74"/>
      <c r="I763" s="70"/>
      <c r="J763" s="70"/>
      <c r="K763" s="70"/>
      <c r="L763" s="74"/>
      <c r="M763" s="123"/>
      <c r="N763" s="73"/>
      <c r="O763" s="236"/>
      <c r="P763" s="117"/>
      <c r="Q763" s="117"/>
      <c r="R763" s="156" t="str">
        <f>IF(Table111[[#This Row],[Qty]]="","",Table111[[#This Row],[Qty]]*Table111[[#This Row],[Unit Price]])</f>
        <v/>
      </c>
      <c r="S763" s="156" t="str">
        <f>IF(Table111[[#This Row],[Qty]]="","",Table111[[#This Row],[Qty]]*Table111[[#This Row],[Unit Price]]+Table111[[#This Row],[Delivery Cost]])</f>
        <v/>
      </c>
      <c r="T763" s="72"/>
      <c r="U763" s="72"/>
      <c r="V763" s="72"/>
      <c r="W763" s="219"/>
      <c r="X763" s="63" t="str">
        <f t="shared" si="33"/>
        <v/>
      </c>
      <c r="Y763" s="63" t="str">
        <f t="shared" si="34"/>
        <v/>
      </c>
      <c r="Z763" s="63" t="str">
        <f t="shared" si="35"/>
        <v/>
      </c>
      <c r="AA763" s="63" t="str">
        <f>TEXT(Table111[[#This Row],[YEAR]],"0000")&amp;"-"&amp;Table111[[#This Row],[MONTH]]</f>
        <v>-</v>
      </c>
    </row>
    <row r="764" spans="2:27" x14ac:dyDescent="0.3">
      <c r="B764" s="183"/>
      <c r="C764" s="183"/>
      <c r="D764" s="183"/>
      <c r="E764" s="71"/>
      <c r="F764" s="72"/>
      <c r="G764" s="70"/>
      <c r="H764" s="74"/>
      <c r="I764" s="70"/>
      <c r="J764" s="70"/>
      <c r="K764" s="70"/>
      <c r="L764" s="74"/>
      <c r="M764" s="123"/>
      <c r="N764" s="73"/>
      <c r="O764" s="236"/>
      <c r="P764" s="117"/>
      <c r="Q764" s="117"/>
      <c r="R764" s="156" t="str">
        <f>IF(Table111[[#This Row],[Qty]]="","",Table111[[#This Row],[Qty]]*Table111[[#This Row],[Unit Price]])</f>
        <v/>
      </c>
      <c r="S764" s="156" t="str">
        <f>IF(Table111[[#This Row],[Qty]]="","",Table111[[#This Row],[Qty]]*Table111[[#This Row],[Unit Price]]+Table111[[#This Row],[Delivery Cost]])</f>
        <v/>
      </c>
      <c r="T764" s="72"/>
      <c r="U764" s="72"/>
      <c r="V764" s="72"/>
      <c r="W764" s="65"/>
      <c r="X764" s="63" t="str">
        <f t="shared" si="33"/>
        <v/>
      </c>
      <c r="Y764" s="63" t="str">
        <f t="shared" si="34"/>
        <v/>
      </c>
      <c r="Z764" s="63" t="str">
        <f t="shared" si="35"/>
        <v/>
      </c>
      <c r="AA764" s="63" t="str">
        <f>TEXT(Table111[[#This Row],[YEAR]],"0000")&amp;"-"&amp;Table111[[#This Row],[MONTH]]</f>
        <v>-</v>
      </c>
    </row>
    <row r="765" spans="2:27" x14ac:dyDescent="0.3">
      <c r="B765" s="68"/>
      <c r="C765" s="68"/>
      <c r="D765" s="68"/>
      <c r="E765" s="71"/>
      <c r="F765" s="72"/>
      <c r="G765" s="70"/>
      <c r="H765" s="74"/>
      <c r="I765" s="70"/>
      <c r="J765" s="70"/>
      <c r="K765" s="70"/>
      <c r="L765" s="74"/>
      <c r="M765" s="123"/>
      <c r="N765" s="73"/>
      <c r="O765" s="236"/>
      <c r="P765" s="117"/>
      <c r="Q765" s="117"/>
      <c r="R765" s="156" t="str">
        <f>IF(Table111[[#This Row],[Qty]]="","",Table111[[#This Row],[Qty]]*Table111[[#This Row],[Unit Price]])</f>
        <v/>
      </c>
      <c r="S765" s="156" t="str">
        <f>IF(Table111[[#This Row],[Qty]]="","",Table111[[#This Row],[Qty]]*Table111[[#This Row],[Unit Price]]+Table111[[#This Row],[Delivery Cost]])</f>
        <v/>
      </c>
      <c r="T765" s="72"/>
      <c r="U765" s="72"/>
      <c r="V765" s="72"/>
      <c r="W765" s="219"/>
      <c r="X765" s="63" t="str">
        <f t="shared" si="33"/>
        <v/>
      </c>
      <c r="Y765" s="63" t="str">
        <f t="shared" si="34"/>
        <v/>
      </c>
      <c r="Z765" s="63" t="str">
        <f t="shared" si="35"/>
        <v/>
      </c>
      <c r="AA765" s="63" t="str">
        <f>TEXT(Table111[[#This Row],[YEAR]],"0000")&amp;"-"&amp;Table111[[#This Row],[MONTH]]</f>
        <v>-</v>
      </c>
    </row>
    <row r="766" spans="2:27" x14ac:dyDescent="0.3">
      <c r="B766" s="183"/>
      <c r="C766" s="183"/>
      <c r="D766" s="183"/>
      <c r="E766" s="71"/>
      <c r="F766" s="72"/>
      <c r="G766" s="70"/>
      <c r="H766" s="74"/>
      <c r="I766" s="70"/>
      <c r="J766" s="70"/>
      <c r="K766" s="70"/>
      <c r="L766" s="74"/>
      <c r="M766" s="123"/>
      <c r="N766" s="73"/>
      <c r="O766" s="236"/>
      <c r="P766" s="117"/>
      <c r="Q766" s="117"/>
      <c r="R766" s="156" t="str">
        <f>IF(Table111[[#This Row],[Qty]]="","",Table111[[#This Row],[Qty]]*Table111[[#This Row],[Unit Price]])</f>
        <v/>
      </c>
      <c r="S766" s="156" t="str">
        <f>IF(Table111[[#This Row],[Qty]]="","",Table111[[#This Row],[Qty]]*Table111[[#This Row],[Unit Price]]+Table111[[#This Row],[Delivery Cost]])</f>
        <v/>
      </c>
      <c r="T766" s="72"/>
      <c r="U766" s="72"/>
      <c r="V766" s="72"/>
      <c r="W766" s="65"/>
      <c r="X766" s="63" t="str">
        <f t="shared" si="33"/>
        <v/>
      </c>
      <c r="Y766" s="63" t="str">
        <f t="shared" si="34"/>
        <v/>
      </c>
      <c r="Z766" s="63" t="str">
        <f t="shared" si="35"/>
        <v/>
      </c>
      <c r="AA766" s="63" t="str">
        <f>TEXT(Table111[[#This Row],[YEAR]],"0000")&amp;"-"&amp;Table111[[#This Row],[MONTH]]</f>
        <v>-</v>
      </c>
    </row>
    <row r="767" spans="2:27" x14ac:dyDescent="0.3">
      <c r="B767" s="68"/>
      <c r="C767" s="68"/>
      <c r="D767" s="68"/>
      <c r="E767" s="71"/>
      <c r="F767" s="72"/>
      <c r="G767" s="70"/>
      <c r="H767" s="74"/>
      <c r="I767" s="70"/>
      <c r="J767" s="70"/>
      <c r="K767" s="70"/>
      <c r="L767" s="74"/>
      <c r="M767" s="123"/>
      <c r="N767" s="73"/>
      <c r="O767" s="236"/>
      <c r="P767" s="117"/>
      <c r="Q767" s="117"/>
      <c r="R767" s="156" t="str">
        <f>IF(Table111[[#This Row],[Qty]]="","",Table111[[#This Row],[Qty]]*Table111[[#This Row],[Unit Price]])</f>
        <v/>
      </c>
      <c r="S767" s="156" t="str">
        <f>IF(Table111[[#This Row],[Qty]]="","",Table111[[#This Row],[Qty]]*Table111[[#This Row],[Unit Price]]+Table111[[#This Row],[Delivery Cost]])</f>
        <v/>
      </c>
      <c r="T767" s="72"/>
      <c r="U767" s="72"/>
      <c r="V767" s="72"/>
      <c r="W767" s="219"/>
      <c r="X767" s="63" t="str">
        <f t="shared" si="33"/>
        <v/>
      </c>
      <c r="Y767" s="63" t="str">
        <f t="shared" si="34"/>
        <v/>
      </c>
      <c r="Z767" s="63" t="str">
        <f t="shared" si="35"/>
        <v/>
      </c>
      <c r="AA767" s="63" t="str">
        <f>TEXT(Table111[[#This Row],[YEAR]],"0000")&amp;"-"&amp;Table111[[#This Row],[MONTH]]</f>
        <v>-</v>
      </c>
    </row>
    <row r="768" spans="2:27" x14ac:dyDescent="0.3">
      <c r="B768" s="183"/>
      <c r="C768" s="183"/>
      <c r="D768" s="183"/>
      <c r="E768" s="71"/>
      <c r="F768" s="72"/>
      <c r="G768" s="70"/>
      <c r="H768" s="74"/>
      <c r="I768" s="70"/>
      <c r="J768" s="70"/>
      <c r="K768" s="70"/>
      <c r="L768" s="74"/>
      <c r="M768" s="123"/>
      <c r="N768" s="73"/>
      <c r="O768" s="236"/>
      <c r="P768" s="117"/>
      <c r="Q768" s="117"/>
      <c r="R768" s="156" t="str">
        <f>IF(Table111[[#This Row],[Qty]]="","",Table111[[#This Row],[Qty]]*Table111[[#This Row],[Unit Price]])</f>
        <v/>
      </c>
      <c r="S768" s="156" t="str">
        <f>IF(Table111[[#This Row],[Qty]]="","",Table111[[#This Row],[Qty]]*Table111[[#This Row],[Unit Price]]+Table111[[#This Row],[Delivery Cost]])</f>
        <v/>
      </c>
      <c r="T768" s="72"/>
      <c r="U768" s="72"/>
      <c r="V768" s="72"/>
      <c r="W768" s="65"/>
      <c r="X768" s="63" t="str">
        <f t="shared" si="33"/>
        <v/>
      </c>
      <c r="Y768" s="63" t="str">
        <f t="shared" si="34"/>
        <v/>
      </c>
      <c r="Z768" s="63" t="str">
        <f t="shared" si="35"/>
        <v/>
      </c>
      <c r="AA768" s="63" t="str">
        <f>TEXT(Table111[[#This Row],[YEAR]],"0000")&amp;"-"&amp;Table111[[#This Row],[MONTH]]</f>
        <v>-</v>
      </c>
    </row>
    <row r="769" spans="2:27" x14ac:dyDescent="0.3">
      <c r="B769" s="68"/>
      <c r="C769" s="68"/>
      <c r="D769" s="68"/>
      <c r="E769" s="71"/>
      <c r="F769" s="72"/>
      <c r="G769" s="70"/>
      <c r="H769" s="74"/>
      <c r="I769" s="70"/>
      <c r="J769" s="70"/>
      <c r="K769" s="70"/>
      <c r="L769" s="74"/>
      <c r="M769" s="123"/>
      <c r="N769" s="73"/>
      <c r="O769" s="236"/>
      <c r="P769" s="117"/>
      <c r="Q769" s="117"/>
      <c r="R769" s="156" t="str">
        <f>IF(Table111[[#This Row],[Qty]]="","",Table111[[#This Row],[Qty]]*Table111[[#This Row],[Unit Price]])</f>
        <v/>
      </c>
      <c r="S769" s="156" t="str">
        <f>IF(Table111[[#This Row],[Qty]]="","",Table111[[#This Row],[Qty]]*Table111[[#This Row],[Unit Price]]+Table111[[#This Row],[Delivery Cost]])</f>
        <v/>
      </c>
      <c r="T769" s="72"/>
      <c r="U769" s="72"/>
      <c r="V769" s="72"/>
      <c r="W769" s="219"/>
      <c r="X769" s="63" t="str">
        <f t="shared" si="33"/>
        <v/>
      </c>
      <c r="Y769" s="63" t="str">
        <f t="shared" si="34"/>
        <v/>
      </c>
      <c r="Z769" s="63" t="str">
        <f t="shared" si="35"/>
        <v/>
      </c>
      <c r="AA769" s="63" t="str">
        <f>TEXT(Table111[[#This Row],[YEAR]],"0000")&amp;"-"&amp;Table111[[#This Row],[MONTH]]</f>
        <v>-</v>
      </c>
    </row>
    <row r="770" spans="2:27" x14ac:dyDescent="0.3">
      <c r="B770" s="183"/>
      <c r="C770" s="183"/>
      <c r="D770" s="183"/>
      <c r="E770" s="71"/>
      <c r="F770" s="72"/>
      <c r="G770" s="70"/>
      <c r="H770" s="74"/>
      <c r="I770" s="70"/>
      <c r="J770" s="70"/>
      <c r="K770" s="70"/>
      <c r="L770" s="74"/>
      <c r="M770" s="123"/>
      <c r="N770" s="73"/>
      <c r="O770" s="236"/>
      <c r="P770" s="117"/>
      <c r="Q770" s="117"/>
      <c r="R770" s="156" t="str">
        <f>IF(Table111[[#This Row],[Qty]]="","",Table111[[#This Row],[Qty]]*Table111[[#This Row],[Unit Price]])</f>
        <v/>
      </c>
      <c r="S770" s="156" t="str">
        <f>IF(Table111[[#This Row],[Qty]]="","",Table111[[#This Row],[Qty]]*Table111[[#This Row],[Unit Price]]+Table111[[#This Row],[Delivery Cost]])</f>
        <v/>
      </c>
      <c r="T770" s="72"/>
      <c r="U770" s="72"/>
      <c r="V770" s="72"/>
      <c r="W770" s="65"/>
      <c r="X770" s="63" t="str">
        <f t="shared" si="33"/>
        <v/>
      </c>
      <c r="Y770" s="63" t="str">
        <f t="shared" si="34"/>
        <v/>
      </c>
      <c r="Z770" s="63" t="str">
        <f t="shared" si="35"/>
        <v/>
      </c>
      <c r="AA770" s="63" t="str">
        <f>TEXT(Table111[[#This Row],[YEAR]],"0000")&amp;"-"&amp;Table111[[#This Row],[MONTH]]</f>
        <v>-</v>
      </c>
    </row>
    <row r="771" spans="2:27" x14ac:dyDescent="0.3">
      <c r="B771" s="68"/>
      <c r="C771" s="68"/>
      <c r="D771" s="68"/>
      <c r="E771" s="71"/>
      <c r="F771" s="72"/>
      <c r="G771" s="70"/>
      <c r="H771" s="74"/>
      <c r="I771" s="70"/>
      <c r="J771" s="70"/>
      <c r="K771" s="70"/>
      <c r="L771" s="74"/>
      <c r="M771" s="123"/>
      <c r="N771" s="73"/>
      <c r="O771" s="236"/>
      <c r="P771" s="117"/>
      <c r="Q771" s="117"/>
      <c r="R771" s="156" t="str">
        <f>IF(Table111[[#This Row],[Qty]]="","",Table111[[#This Row],[Qty]]*Table111[[#This Row],[Unit Price]])</f>
        <v/>
      </c>
      <c r="S771" s="156" t="str">
        <f>IF(Table111[[#This Row],[Qty]]="","",Table111[[#This Row],[Qty]]*Table111[[#This Row],[Unit Price]]+Table111[[#This Row],[Delivery Cost]])</f>
        <v/>
      </c>
      <c r="T771" s="72"/>
      <c r="U771" s="72"/>
      <c r="V771" s="72"/>
      <c r="W771" s="219"/>
      <c r="X771" s="63" t="str">
        <f t="shared" ref="X771:X834" si="36">IF(E771=0,"",YEAR(E771))</f>
        <v/>
      </c>
      <c r="Y771" s="63" t="str">
        <f t="shared" ref="Y771:Y834" si="37">IF(E771=0,"",MONTH(E771))</f>
        <v/>
      </c>
      <c r="Z771" s="63" t="str">
        <f t="shared" ref="Z771:Z834" si="38">IF(E771=0,"",WEEKNUM(E771))</f>
        <v/>
      </c>
      <c r="AA771" s="63" t="str">
        <f>TEXT(Table111[[#This Row],[YEAR]],"0000")&amp;"-"&amp;Table111[[#This Row],[MONTH]]</f>
        <v>-</v>
      </c>
    </row>
    <row r="772" spans="2:27" x14ac:dyDescent="0.3">
      <c r="B772" s="183"/>
      <c r="C772" s="183"/>
      <c r="D772" s="183"/>
      <c r="E772" s="71"/>
      <c r="F772" s="72"/>
      <c r="G772" s="70"/>
      <c r="H772" s="74"/>
      <c r="I772" s="70"/>
      <c r="J772" s="70"/>
      <c r="K772" s="70"/>
      <c r="L772" s="74"/>
      <c r="M772" s="123"/>
      <c r="N772" s="73"/>
      <c r="O772" s="236"/>
      <c r="P772" s="117"/>
      <c r="Q772" s="117"/>
      <c r="R772" s="156" t="str">
        <f>IF(Table111[[#This Row],[Qty]]="","",Table111[[#This Row],[Qty]]*Table111[[#This Row],[Unit Price]])</f>
        <v/>
      </c>
      <c r="S772" s="156" t="str">
        <f>IF(Table111[[#This Row],[Qty]]="","",Table111[[#This Row],[Qty]]*Table111[[#This Row],[Unit Price]]+Table111[[#This Row],[Delivery Cost]])</f>
        <v/>
      </c>
      <c r="T772" s="72"/>
      <c r="U772" s="72"/>
      <c r="V772" s="72"/>
      <c r="W772" s="65"/>
      <c r="X772" s="63" t="str">
        <f t="shared" si="36"/>
        <v/>
      </c>
      <c r="Y772" s="63" t="str">
        <f t="shared" si="37"/>
        <v/>
      </c>
      <c r="Z772" s="63" t="str">
        <f t="shared" si="38"/>
        <v/>
      </c>
      <c r="AA772" s="63" t="str">
        <f>TEXT(Table111[[#This Row],[YEAR]],"0000")&amp;"-"&amp;Table111[[#This Row],[MONTH]]</f>
        <v>-</v>
      </c>
    </row>
    <row r="773" spans="2:27" x14ac:dyDescent="0.3">
      <c r="B773" s="68"/>
      <c r="C773" s="68"/>
      <c r="D773" s="68"/>
      <c r="E773" s="71"/>
      <c r="F773" s="72"/>
      <c r="G773" s="70"/>
      <c r="H773" s="74"/>
      <c r="I773" s="70"/>
      <c r="J773" s="70"/>
      <c r="K773" s="70"/>
      <c r="L773" s="74"/>
      <c r="M773" s="123"/>
      <c r="N773" s="73"/>
      <c r="O773" s="236"/>
      <c r="P773" s="117"/>
      <c r="Q773" s="117"/>
      <c r="R773" s="156" t="str">
        <f>IF(Table111[[#This Row],[Qty]]="","",Table111[[#This Row],[Qty]]*Table111[[#This Row],[Unit Price]])</f>
        <v/>
      </c>
      <c r="S773" s="156" t="str">
        <f>IF(Table111[[#This Row],[Qty]]="","",Table111[[#This Row],[Qty]]*Table111[[#This Row],[Unit Price]]+Table111[[#This Row],[Delivery Cost]])</f>
        <v/>
      </c>
      <c r="T773" s="72"/>
      <c r="U773" s="72"/>
      <c r="V773" s="72"/>
      <c r="W773" s="219"/>
      <c r="X773" s="63" t="str">
        <f t="shared" si="36"/>
        <v/>
      </c>
      <c r="Y773" s="63" t="str">
        <f t="shared" si="37"/>
        <v/>
      </c>
      <c r="Z773" s="63" t="str">
        <f t="shared" si="38"/>
        <v/>
      </c>
      <c r="AA773" s="63" t="str">
        <f>TEXT(Table111[[#This Row],[YEAR]],"0000")&amp;"-"&amp;Table111[[#This Row],[MONTH]]</f>
        <v>-</v>
      </c>
    </row>
    <row r="774" spans="2:27" x14ac:dyDescent="0.3">
      <c r="B774" s="183"/>
      <c r="C774" s="183"/>
      <c r="D774" s="183"/>
      <c r="E774" s="71"/>
      <c r="F774" s="72"/>
      <c r="G774" s="70"/>
      <c r="H774" s="74"/>
      <c r="I774" s="70"/>
      <c r="J774" s="70"/>
      <c r="K774" s="70"/>
      <c r="L774" s="74"/>
      <c r="M774" s="123"/>
      <c r="N774" s="73"/>
      <c r="O774" s="236"/>
      <c r="P774" s="117"/>
      <c r="Q774" s="117"/>
      <c r="R774" s="156" t="str">
        <f>IF(Table111[[#This Row],[Qty]]="","",Table111[[#This Row],[Qty]]*Table111[[#This Row],[Unit Price]])</f>
        <v/>
      </c>
      <c r="S774" s="156" t="str">
        <f>IF(Table111[[#This Row],[Qty]]="","",Table111[[#This Row],[Qty]]*Table111[[#This Row],[Unit Price]]+Table111[[#This Row],[Delivery Cost]])</f>
        <v/>
      </c>
      <c r="T774" s="72"/>
      <c r="U774" s="72"/>
      <c r="V774" s="72"/>
      <c r="W774" s="65"/>
      <c r="X774" s="63" t="str">
        <f t="shared" si="36"/>
        <v/>
      </c>
      <c r="Y774" s="63" t="str">
        <f t="shared" si="37"/>
        <v/>
      </c>
      <c r="Z774" s="63" t="str">
        <f t="shared" si="38"/>
        <v/>
      </c>
      <c r="AA774" s="63" t="str">
        <f>TEXT(Table111[[#This Row],[YEAR]],"0000")&amp;"-"&amp;Table111[[#This Row],[MONTH]]</f>
        <v>-</v>
      </c>
    </row>
    <row r="775" spans="2:27" x14ac:dyDescent="0.3">
      <c r="B775" s="68"/>
      <c r="C775" s="68"/>
      <c r="D775" s="68"/>
      <c r="E775" s="71"/>
      <c r="F775" s="72"/>
      <c r="G775" s="70"/>
      <c r="H775" s="74"/>
      <c r="I775" s="70"/>
      <c r="J775" s="70"/>
      <c r="K775" s="70"/>
      <c r="L775" s="74"/>
      <c r="M775" s="123"/>
      <c r="N775" s="73"/>
      <c r="O775" s="236"/>
      <c r="P775" s="117"/>
      <c r="Q775" s="117"/>
      <c r="R775" s="156" t="str">
        <f>IF(Table111[[#This Row],[Qty]]="","",Table111[[#This Row],[Qty]]*Table111[[#This Row],[Unit Price]])</f>
        <v/>
      </c>
      <c r="S775" s="156" t="str">
        <f>IF(Table111[[#This Row],[Qty]]="","",Table111[[#This Row],[Qty]]*Table111[[#This Row],[Unit Price]]+Table111[[#This Row],[Delivery Cost]])</f>
        <v/>
      </c>
      <c r="T775" s="72"/>
      <c r="U775" s="72"/>
      <c r="V775" s="72"/>
      <c r="W775" s="219"/>
      <c r="X775" s="63" t="str">
        <f t="shared" si="36"/>
        <v/>
      </c>
      <c r="Y775" s="63" t="str">
        <f t="shared" si="37"/>
        <v/>
      </c>
      <c r="Z775" s="63" t="str">
        <f t="shared" si="38"/>
        <v/>
      </c>
      <c r="AA775" s="63" t="str">
        <f>TEXT(Table111[[#This Row],[YEAR]],"0000")&amp;"-"&amp;Table111[[#This Row],[MONTH]]</f>
        <v>-</v>
      </c>
    </row>
    <row r="776" spans="2:27" x14ac:dyDescent="0.3">
      <c r="B776" s="183"/>
      <c r="C776" s="183"/>
      <c r="D776" s="183"/>
      <c r="E776" s="71"/>
      <c r="F776" s="72"/>
      <c r="G776" s="70"/>
      <c r="H776" s="74"/>
      <c r="I776" s="70"/>
      <c r="J776" s="70"/>
      <c r="K776" s="70"/>
      <c r="L776" s="74"/>
      <c r="M776" s="123"/>
      <c r="N776" s="73"/>
      <c r="O776" s="236"/>
      <c r="P776" s="117"/>
      <c r="Q776" s="117"/>
      <c r="R776" s="156" t="str">
        <f>IF(Table111[[#This Row],[Qty]]="","",Table111[[#This Row],[Qty]]*Table111[[#This Row],[Unit Price]])</f>
        <v/>
      </c>
      <c r="S776" s="156" t="str">
        <f>IF(Table111[[#This Row],[Qty]]="","",Table111[[#This Row],[Qty]]*Table111[[#This Row],[Unit Price]]+Table111[[#This Row],[Delivery Cost]])</f>
        <v/>
      </c>
      <c r="T776" s="72"/>
      <c r="U776" s="72"/>
      <c r="V776" s="72"/>
      <c r="W776" s="65"/>
      <c r="X776" s="63" t="str">
        <f t="shared" si="36"/>
        <v/>
      </c>
      <c r="Y776" s="63" t="str">
        <f t="shared" si="37"/>
        <v/>
      </c>
      <c r="Z776" s="63" t="str">
        <f t="shared" si="38"/>
        <v/>
      </c>
      <c r="AA776" s="63" t="str">
        <f>TEXT(Table111[[#This Row],[YEAR]],"0000")&amp;"-"&amp;Table111[[#This Row],[MONTH]]</f>
        <v>-</v>
      </c>
    </row>
    <row r="777" spans="2:27" x14ac:dyDescent="0.3">
      <c r="B777" s="68"/>
      <c r="C777" s="68"/>
      <c r="D777" s="68"/>
      <c r="E777" s="71"/>
      <c r="F777" s="72"/>
      <c r="G777" s="70"/>
      <c r="H777" s="74"/>
      <c r="I777" s="70"/>
      <c r="J777" s="70"/>
      <c r="K777" s="70"/>
      <c r="L777" s="74"/>
      <c r="M777" s="123"/>
      <c r="N777" s="73"/>
      <c r="O777" s="236"/>
      <c r="P777" s="117"/>
      <c r="Q777" s="117"/>
      <c r="R777" s="156" t="str">
        <f>IF(Table111[[#This Row],[Qty]]="","",Table111[[#This Row],[Qty]]*Table111[[#This Row],[Unit Price]])</f>
        <v/>
      </c>
      <c r="S777" s="156" t="str">
        <f>IF(Table111[[#This Row],[Qty]]="","",Table111[[#This Row],[Qty]]*Table111[[#This Row],[Unit Price]]+Table111[[#This Row],[Delivery Cost]])</f>
        <v/>
      </c>
      <c r="T777" s="72"/>
      <c r="U777" s="72"/>
      <c r="V777" s="72"/>
      <c r="W777" s="219"/>
      <c r="X777" s="63" t="str">
        <f t="shared" si="36"/>
        <v/>
      </c>
      <c r="Y777" s="63" t="str">
        <f t="shared" si="37"/>
        <v/>
      </c>
      <c r="Z777" s="63" t="str">
        <f t="shared" si="38"/>
        <v/>
      </c>
      <c r="AA777" s="63" t="str">
        <f>TEXT(Table111[[#This Row],[YEAR]],"0000")&amp;"-"&amp;Table111[[#This Row],[MONTH]]</f>
        <v>-</v>
      </c>
    </row>
    <row r="778" spans="2:27" x14ac:dyDescent="0.3">
      <c r="B778" s="183"/>
      <c r="C778" s="183"/>
      <c r="D778" s="183"/>
      <c r="E778" s="71"/>
      <c r="F778" s="72"/>
      <c r="G778" s="70"/>
      <c r="H778" s="74"/>
      <c r="I778" s="70"/>
      <c r="J778" s="70"/>
      <c r="K778" s="70"/>
      <c r="L778" s="74"/>
      <c r="M778" s="123"/>
      <c r="N778" s="73"/>
      <c r="O778" s="236"/>
      <c r="P778" s="117"/>
      <c r="Q778" s="117"/>
      <c r="R778" s="156" t="str">
        <f>IF(Table111[[#This Row],[Qty]]="","",Table111[[#This Row],[Qty]]*Table111[[#This Row],[Unit Price]])</f>
        <v/>
      </c>
      <c r="S778" s="156" t="str">
        <f>IF(Table111[[#This Row],[Qty]]="","",Table111[[#This Row],[Qty]]*Table111[[#This Row],[Unit Price]]+Table111[[#This Row],[Delivery Cost]])</f>
        <v/>
      </c>
      <c r="T778" s="72"/>
      <c r="U778" s="72"/>
      <c r="V778" s="72"/>
      <c r="W778" s="65"/>
      <c r="X778" s="63" t="str">
        <f t="shared" si="36"/>
        <v/>
      </c>
      <c r="Y778" s="63" t="str">
        <f t="shared" si="37"/>
        <v/>
      </c>
      <c r="Z778" s="63" t="str">
        <f t="shared" si="38"/>
        <v/>
      </c>
      <c r="AA778" s="63" t="str">
        <f>TEXT(Table111[[#This Row],[YEAR]],"0000")&amp;"-"&amp;Table111[[#This Row],[MONTH]]</f>
        <v>-</v>
      </c>
    </row>
    <row r="779" spans="2:27" x14ac:dyDescent="0.3">
      <c r="B779" s="68"/>
      <c r="C779" s="68"/>
      <c r="D779" s="68"/>
      <c r="E779" s="71"/>
      <c r="F779" s="72"/>
      <c r="G779" s="70"/>
      <c r="H779" s="74"/>
      <c r="I779" s="70"/>
      <c r="J779" s="70"/>
      <c r="K779" s="70"/>
      <c r="L779" s="74"/>
      <c r="M779" s="123"/>
      <c r="N779" s="73"/>
      <c r="O779" s="236"/>
      <c r="P779" s="117"/>
      <c r="Q779" s="117"/>
      <c r="R779" s="156" t="str">
        <f>IF(Table111[[#This Row],[Qty]]="","",Table111[[#This Row],[Qty]]*Table111[[#This Row],[Unit Price]])</f>
        <v/>
      </c>
      <c r="S779" s="156" t="str">
        <f>IF(Table111[[#This Row],[Qty]]="","",Table111[[#This Row],[Qty]]*Table111[[#This Row],[Unit Price]]+Table111[[#This Row],[Delivery Cost]])</f>
        <v/>
      </c>
      <c r="T779" s="72"/>
      <c r="U779" s="72"/>
      <c r="V779" s="72"/>
      <c r="W779" s="219"/>
      <c r="X779" s="63" t="str">
        <f t="shared" si="36"/>
        <v/>
      </c>
      <c r="Y779" s="63" t="str">
        <f t="shared" si="37"/>
        <v/>
      </c>
      <c r="Z779" s="63" t="str">
        <f t="shared" si="38"/>
        <v/>
      </c>
      <c r="AA779" s="63" t="str">
        <f>TEXT(Table111[[#This Row],[YEAR]],"0000")&amp;"-"&amp;Table111[[#This Row],[MONTH]]</f>
        <v>-</v>
      </c>
    </row>
    <row r="780" spans="2:27" x14ac:dyDescent="0.3">
      <c r="B780" s="183"/>
      <c r="C780" s="183"/>
      <c r="D780" s="183"/>
      <c r="E780" s="71"/>
      <c r="F780" s="72"/>
      <c r="G780" s="70"/>
      <c r="H780" s="74"/>
      <c r="I780" s="70"/>
      <c r="J780" s="70"/>
      <c r="K780" s="70"/>
      <c r="L780" s="74"/>
      <c r="M780" s="123"/>
      <c r="N780" s="73"/>
      <c r="O780" s="236"/>
      <c r="P780" s="117"/>
      <c r="Q780" s="117"/>
      <c r="R780" s="156" t="str">
        <f>IF(Table111[[#This Row],[Qty]]="","",Table111[[#This Row],[Qty]]*Table111[[#This Row],[Unit Price]])</f>
        <v/>
      </c>
      <c r="S780" s="156" t="str">
        <f>IF(Table111[[#This Row],[Qty]]="","",Table111[[#This Row],[Qty]]*Table111[[#This Row],[Unit Price]]+Table111[[#This Row],[Delivery Cost]])</f>
        <v/>
      </c>
      <c r="T780" s="72"/>
      <c r="U780" s="72"/>
      <c r="V780" s="72"/>
      <c r="W780" s="65"/>
      <c r="X780" s="63" t="str">
        <f t="shared" si="36"/>
        <v/>
      </c>
      <c r="Y780" s="63" t="str">
        <f t="shared" si="37"/>
        <v/>
      </c>
      <c r="Z780" s="63" t="str">
        <f t="shared" si="38"/>
        <v/>
      </c>
      <c r="AA780" s="63" t="str">
        <f>TEXT(Table111[[#This Row],[YEAR]],"0000")&amp;"-"&amp;Table111[[#This Row],[MONTH]]</f>
        <v>-</v>
      </c>
    </row>
    <row r="781" spans="2:27" x14ac:dyDescent="0.3">
      <c r="B781" s="68"/>
      <c r="C781" s="68"/>
      <c r="D781" s="68"/>
      <c r="E781" s="71"/>
      <c r="F781" s="72"/>
      <c r="G781" s="70"/>
      <c r="H781" s="74"/>
      <c r="I781" s="70"/>
      <c r="J781" s="70"/>
      <c r="K781" s="70"/>
      <c r="L781" s="74"/>
      <c r="M781" s="123"/>
      <c r="N781" s="73"/>
      <c r="O781" s="236"/>
      <c r="P781" s="117"/>
      <c r="Q781" s="117"/>
      <c r="R781" s="156" t="str">
        <f>IF(Table111[[#This Row],[Qty]]="","",Table111[[#This Row],[Qty]]*Table111[[#This Row],[Unit Price]])</f>
        <v/>
      </c>
      <c r="S781" s="156" t="str">
        <f>IF(Table111[[#This Row],[Qty]]="","",Table111[[#This Row],[Qty]]*Table111[[#This Row],[Unit Price]]+Table111[[#This Row],[Delivery Cost]])</f>
        <v/>
      </c>
      <c r="T781" s="72"/>
      <c r="U781" s="72"/>
      <c r="V781" s="72"/>
      <c r="W781" s="219"/>
      <c r="X781" s="63" t="str">
        <f t="shared" si="36"/>
        <v/>
      </c>
      <c r="Y781" s="63" t="str">
        <f t="shared" si="37"/>
        <v/>
      </c>
      <c r="Z781" s="63" t="str">
        <f t="shared" si="38"/>
        <v/>
      </c>
      <c r="AA781" s="63" t="str">
        <f>TEXT(Table111[[#This Row],[YEAR]],"0000")&amp;"-"&amp;Table111[[#This Row],[MONTH]]</f>
        <v>-</v>
      </c>
    </row>
    <row r="782" spans="2:27" x14ac:dyDescent="0.3">
      <c r="B782" s="183"/>
      <c r="C782" s="183"/>
      <c r="D782" s="183"/>
      <c r="E782" s="71"/>
      <c r="F782" s="72"/>
      <c r="G782" s="70"/>
      <c r="H782" s="74"/>
      <c r="I782" s="70"/>
      <c r="J782" s="70"/>
      <c r="K782" s="70"/>
      <c r="L782" s="74"/>
      <c r="M782" s="123"/>
      <c r="N782" s="73"/>
      <c r="O782" s="236"/>
      <c r="P782" s="117"/>
      <c r="Q782" s="117"/>
      <c r="R782" s="156" t="str">
        <f>IF(Table111[[#This Row],[Qty]]="","",Table111[[#This Row],[Qty]]*Table111[[#This Row],[Unit Price]])</f>
        <v/>
      </c>
      <c r="S782" s="156" t="str">
        <f>IF(Table111[[#This Row],[Qty]]="","",Table111[[#This Row],[Qty]]*Table111[[#This Row],[Unit Price]]+Table111[[#This Row],[Delivery Cost]])</f>
        <v/>
      </c>
      <c r="T782" s="72"/>
      <c r="U782" s="72"/>
      <c r="V782" s="72"/>
      <c r="W782" s="65"/>
      <c r="X782" s="63" t="str">
        <f t="shared" si="36"/>
        <v/>
      </c>
      <c r="Y782" s="63" t="str">
        <f t="shared" si="37"/>
        <v/>
      </c>
      <c r="Z782" s="63" t="str">
        <f t="shared" si="38"/>
        <v/>
      </c>
      <c r="AA782" s="63" t="str">
        <f>TEXT(Table111[[#This Row],[YEAR]],"0000")&amp;"-"&amp;Table111[[#This Row],[MONTH]]</f>
        <v>-</v>
      </c>
    </row>
    <row r="783" spans="2:27" x14ac:dyDescent="0.3">
      <c r="B783" s="68"/>
      <c r="C783" s="68"/>
      <c r="D783" s="68"/>
      <c r="E783" s="71"/>
      <c r="F783" s="72"/>
      <c r="G783" s="70"/>
      <c r="H783" s="74"/>
      <c r="I783" s="70"/>
      <c r="J783" s="70"/>
      <c r="K783" s="70"/>
      <c r="L783" s="74"/>
      <c r="M783" s="123"/>
      <c r="N783" s="73"/>
      <c r="O783" s="236"/>
      <c r="P783" s="117"/>
      <c r="Q783" s="117"/>
      <c r="R783" s="156" t="str">
        <f>IF(Table111[[#This Row],[Qty]]="","",Table111[[#This Row],[Qty]]*Table111[[#This Row],[Unit Price]])</f>
        <v/>
      </c>
      <c r="S783" s="156" t="str">
        <f>IF(Table111[[#This Row],[Qty]]="","",Table111[[#This Row],[Qty]]*Table111[[#This Row],[Unit Price]]+Table111[[#This Row],[Delivery Cost]])</f>
        <v/>
      </c>
      <c r="T783" s="72"/>
      <c r="U783" s="72"/>
      <c r="V783" s="72"/>
      <c r="W783" s="219"/>
      <c r="X783" s="63" t="str">
        <f t="shared" si="36"/>
        <v/>
      </c>
      <c r="Y783" s="63" t="str">
        <f t="shared" si="37"/>
        <v/>
      </c>
      <c r="Z783" s="63" t="str">
        <f t="shared" si="38"/>
        <v/>
      </c>
      <c r="AA783" s="63" t="str">
        <f>TEXT(Table111[[#This Row],[YEAR]],"0000")&amp;"-"&amp;Table111[[#This Row],[MONTH]]</f>
        <v>-</v>
      </c>
    </row>
    <row r="784" spans="2:27" x14ac:dyDescent="0.3">
      <c r="B784" s="183"/>
      <c r="C784" s="183"/>
      <c r="D784" s="183"/>
      <c r="E784" s="71"/>
      <c r="F784" s="72"/>
      <c r="G784" s="70"/>
      <c r="H784" s="74"/>
      <c r="I784" s="70"/>
      <c r="J784" s="70"/>
      <c r="K784" s="70"/>
      <c r="L784" s="74"/>
      <c r="M784" s="123"/>
      <c r="N784" s="73"/>
      <c r="O784" s="236"/>
      <c r="P784" s="117"/>
      <c r="Q784" s="117"/>
      <c r="R784" s="156" t="str">
        <f>IF(Table111[[#This Row],[Qty]]="","",Table111[[#This Row],[Qty]]*Table111[[#This Row],[Unit Price]])</f>
        <v/>
      </c>
      <c r="S784" s="156" t="str">
        <f>IF(Table111[[#This Row],[Qty]]="","",Table111[[#This Row],[Qty]]*Table111[[#This Row],[Unit Price]]+Table111[[#This Row],[Delivery Cost]])</f>
        <v/>
      </c>
      <c r="T784" s="72"/>
      <c r="U784" s="72"/>
      <c r="V784" s="72"/>
      <c r="W784" s="65"/>
      <c r="X784" s="63" t="str">
        <f t="shared" si="36"/>
        <v/>
      </c>
      <c r="Y784" s="63" t="str">
        <f t="shared" si="37"/>
        <v/>
      </c>
      <c r="Z784" s="63" t="str">
        <f t="shared" si="38"/>
        <v/>
      </c>
      <c r="AA784" s="63" t="str">
        <f>TEXT(Table111[[#This Row],[YEAR]],"0000")&amp;"-"&amp;Table111[[#This Row],[MONTH]]</f>
        <v>-</v>
      </c>
    </row>
    <row r="785" spans="2:27" x14ac:dyDescent="0.3">
      <c r="B785" s="68"/>
      <c r="C785" s="68"/>
      <c r="D785" s="68"/>
      <c r="E785" s="71"/>
      <c r="F785" s="72"/>
      <c r="G785" s="70"/>
      <c r="H785" s="74"/>
      <c r="I785" s="70"/>
      <c r="J785" s="70"/>
      <c r="K785" s="70"/>
      <c r="L785" s="74"/>
      <c r="M785" s="123"/>
      <c r="N785" s="73"/>
      <c r="O785" s="236"/>
      <c r="P785" s="117"/>
      <c r="Q785" s="117"/>
      <c r="R785" s="156" t="str">
        <f>IF(Table111[[#This Row],[Qty]]="","",Table111[[#This Row],[Qty]]*Table111[[#This Row],[Unit Price]])</f>
        <v/>
      </c>
      <c r="S785" s="156" t="str">
        <f>IF(Table111[[#This Row],[Qty]]="","",Table111[[#This Row],[Qty]]*Table111[[#This Row],[Unit Price]]+Table111[[#This Row],[Delivery Cost]])</f>
        <v/>
      </c>
      <c r="T785" s="72"/>
      <c r="U785" s="72"/>
      <c r="V785" s="72"/>
      <c r="W785" s="219"/>
      <c r="X785" s="63" t="str">
        <f t="shared" si="36"/>
        <v/>
      </c>
      <c r="Y785" s="63" t="str">
        <f t="shared" si="37"/>
        <v/>
      </c>
      <c r="Z785" s="63" t="str">
        <f t="shared" si="38"/>
        <v/>
      </c>
      <c r="AA785" s="63" t="str">
        <f>TEXT(Table111[[#This Row],[YEAR]],"0000")&amp;"-"&amp;Table111[[#This Row],[MONTH]]</f>
        <v>-</v>
      </c>
    </row>
    <row r="786" spans="2:27" x14ac:dyDescent="0.3">
      <c r="B786" s="183"/>
      <c r="C786" s="183"/>
      <c r="D786" s="183"/>
      <c r="E786" s="71"/>
      <c r="F786" s="72"/>
      <c r="G786" s="70"/>
      <c r="H786" s="74"/>
      <c r="I786" s="70"/>
      <c r="J786" s="70"/>
      <c r="K786" s="70"/>
      <c r="L786" s="74"/>
      <c r="M786" s="123"/>
      <c r="N786" s="73"/>
      <c r="O786" s="236"/>
      <c r="P786" s="117"/>
      <c r="Q786" s="117"/>
      <c r="R786" s="156" t="str">
        <f>IF(Table111[[#This Row],[Qty]]="","",Table111[[#This Row],[Qty]]*Table111[[#This Row],[Unit Price]])</f>
        <v/>
      </c>
      <c r="S786" s="156" t="str">
        <f>IF(Table111[[#This Row],[Qty]]="","",Table111[[#This Row],[Qty]]*Table111[[#This Row],[Unit Price]]+Table111[[#This Row],[Delivery Cost]])</f>
        <v/>
      </c>
      <c r="T786" s="72"/>
      <c r="U786" s="72"/>
      <c r="V786" s="72"/>
      <c r="W786" s="65"/>
      <c r="X786" s="63" t="str">
        <f t="shared" si="36"/>
        <v/>
      </c>
      <c r="Y786" s="63" t="str">
        <f t="shared" si="37"/>
        <v/>
      </c>
      <c r="Z786" s="63" t="str">
        <f t="shared" si="38"/>
        <v/>
      </c>
      <c r="AA786" s="63" t="str">
        <f>TEXT(Table111[[#This Row],[YEAR]],"0000")&amp;"-"&amp;Table111[[#This Row],[MONTH]]</f>
        <v>-</v>
      </c>
    </row>
    <row r="787" spans="2:27" x14ac:dyDescent="0.3">
      <c r="B787" s="68"/>
      <c r="C787" s="68"/>
      <c r="D787" s="68"/>
      <c r="E787" s="71"/>
      <c r="F787" s="72"/>
      <c r="G787" s="70"/>
      <c r="H787" s="74"/>
      <c r="I787" s="70"/>
      <c r="J787" s="70"/>
      <c r="K787" s="70"/>
      <c r="L787" s="74"/>
      <c r="M787" s="123"/>
      <c r="N787" s="73"/>
      <c r="O787" s="236"/>
      <c r="P787" s="117"/>
      <c r="Q787" s="117"/>
      <c r="R787" s="156" t="str">
        <f>IF(Table111[[#This Row],[Qty]]="","",Table111[[#This Row],[Qty]]*Table111[[#This Row],[Unit Price]])</f>
        <v/>
      </c>
      <c r="S787" s="156" t="str">
        <f>IF(Table111[[#This Row],[Qty]]="","",Table111[[#This Row],[Qty]]*Table111[[#This Row],[Unit Price]]+Table111[[#This Row],[Delivery Cost]])</f>
        <v/>
      </c>
      <c r="T787" s="72"/>
      <c r="U787" s="72"/>
      <c r="V787" s="72"/>
      <c r="W787" s="219"/>
      <c r="X787" s="63" t="str">
        <f t="shared" si="36"/>
        <v/>
      </c>
      <c r="Y787" s="63" t="str">
        <f t="shared" si="37"/>
        <v/>
      </c>
      <c r="Z787" s="63" t="str">
        <f t="shared" si="38"/>
        <v/>
      </c>
      <c r="AA787" s="63" t="str">
        <f>TEXT(Table111[[#This Row],[YEAR]],"0000")&amp;"-"&amp;Table111[[#This Row],[MONTH]]</f>
        <v>-</v>
      </c>
    </row>
    <row r="788" spans="2:27" x14ac:dyDescent="0.3">
      <c r="B788" s="183"/>
      <c r="C788" s="183"/>
      <c r="D788" s="183"/>
      <c r="E788" s="71"/>
      <c r="F788" s="72"/>
      <c r="G788" s="70"/>
      <c r="H788" s="74"/>
      <c r="I788" s="70"/>
      <c r="J788" s="70"/>
      <c r="K788" s="70"/>
      <c r="L788" s="74"/>
      <c r="M788" s="123"/>
      <c r="N788" s="73"/>
      <c r="O788" s="236"/>
      <c r="P788" s="117"/>
      <c r="Q788" s="117"/>
      <c r="R788" s="156" t="str">
        <f>IF(Table111[[#This Row],[Qty]]="","",Table111[[#This Row],[Qty]]*Table111[[#This Row],[Unit Price]])</f>
        <v/>
      </c>
      <c r="S788" s="156" t="str">
        <f>IF(Table111[[#This Row],[Qty]]="","",Table111[[#This Row],[Qty]]*Table111[[#This Row],[Unit Price]]+Table111[[#This Row],[Delivery Cost]])</f>
        <v/>
      </c>
      <c r="T788" s="72"/>
      <c r="U788" s="72"/>
      <c r="V788" s="72"/>
      <c r="W788" s="65"/>
      <c r="X788" s="63" t="str">
        <f t="shared" si="36"/>
        <v/>
      </c>
      <c r="Y788" s="63" t="str">
        <f t="shared" si="37"/>
        <v/>
      </c>
      <c r="Z788" s="63" t="str">
        <f t="shared" si="38"/>
        <v/>
      </c>
      <c r="AA788" s="63" t="str">
        <f>TEXT(Table111[[#This Row],[YEAR]],"0000")&amp;"-"&amp;Table111[[#This Row],[MONTH]]</f>
        <v>-</v>
      </c>
    </row>
    <row r="789" spans="2:27" x14ac:dyDescent="0.3">
      <c r="B789" s="68"/>
      <c r="C789" s="68"/>
      <c r="D789" s="68"/>
      <c r="E789" s="71"/>
      <c r="F789" s="72"/>
      <c r="G789" s="70"/>
      <c r="H789" s="74"/>
      <c r="I789" s="70"/>
      <c r="J789" s="70"/>
      <c r="K789" s="70"/>
      <c r="L789" s="74"/>
      <c r="M789" s="123"/>
      <c r="N789" s="73"/>
      <c r="O789" s="236"/>
      <c r="P789" s="117"/>
      <c r="Q789" s="117"/>
      <c r="R789" s="156" t="str">
        <f>IF(Table111[[#This Row],[Qty]]="","",Table111[[#This Row],[Qty]]*Table111[[#This Row],[Unit Price]])</f>
        <v/>
      </c>
      <c r="S789" s="156" t="str">
        <f>IF(Table111[[#This Row],[Qty]]="","",Table111[[#This Row],[Qty]]*Table111[[#This Row],[Unit Price]]+Table111[[#This Row],[Delivery Cost]])</f>
        <v/>
      </c>
      <c r="T789" s="72"/>
      <c r="U789" s="72"/>
      <c r="V789" s="72"/>
      <c r="W789" s="219"/>
      <c r="X789" s="63" t="str">
        <f t="shared" si="36"/>
        <v/>
      </c>
      <c r="Y789" s="63" t="str">
        <f t="shared" si="37"/>
        <v/>
      </c>
      <c r="Z789" s="63" t="str">
        <f t="shared" si="38"/>
        <v/>
      </c>
      <c r="AA789" s="63" t="str">
        <f>TEXT(Table111[[#This Row],[YEAR]],"0000")&amp;"-"&amp;Table111[[#This Row],[MONTH]]</f>
        <v>-</v>
      </c>
    </row>
    <row r="790" spans="2:27" x14ac:dyDescent="0.3">
      <c r="B790" s="183"/>
      <c r="C790" s="183"/>
      <c r="D790" s="183"/>
      <c r="E790" s="71"/>
      <c r="F790" s="72"/>
      <c r="G790" s="70"/>
      <c r="H790" s="74"/>
      <c r="I790" s="70"/>
      <c r="J790" s="70"/>
      <c r="K790" s="70"/>
      <c r="L790" s="74"/>
      <c r="M790" s="123"/>
      <c r="N790" s="73"/>
      <c r="O790" s="236"/>
      <c r="P790" s="117"/>
      <c r="Q790" s="117"/>
      <c r="R790" s="156" t="str">
        <f>IF(Table111[[#This Row],[Qty]]="","",Table111[[#This Row],[Qty]]*Table111[[#This Row],[Unit Price]])</f>
        <v/>
      </c>
      <c r="S790" s="156" t="str">
        <f>IF(Table111[[#This Row],[Qty]]="","",Table111[[#This Row],[Qty]]*Table111[[#This Row],[Unit Price]]+Table111[[#This Row],[Delivery Cost]])</f>
        <v/>
      </c>
      <c r="T790" s="72"/>
      <c r="U790" s="72"/>
      <c r="V790" s="72"/>
      <c r="W790" s="65"/>
      <c r="X790" s="63" t="str">
        <f t="shared" si="36"/>
        <v/>
      </c>
      <c r="Y790" s="63" t="str">
        <f t="shared" si="37"/>
        <v/>
      </c>
      <c r="Z790" s="63" t="str">
        <f t="shared" si="38"/>
        <v/>
      </c>
      <c r="AA790" s="63" t="str">
        <f>TEXT(Table111[[#This Row],[YEAR]],"0000")&amp;"-"&amp;Table111[[#This Row],[MONTH]]</f>
        <v>-</v>
      </c>
    </row>
    <row r="791" spans="2:27" x14ac:dyDescent="0.3">
      <c r="B791" s="68"/>
      <c r="C791" s="68"/>
      <c r="D791" s="68"/>
      <c r="E791" s="71"/>
      <c r="F791" s="72"/>
      <c r="G791" s="70"/>
      <c r="H791" s="74"/>
      <c r="I791" s="70"/>
      <c r="J791" s="70"/>
      <c r="K791" s="70"/>
      <c r="L791" s="74"/>
      <c r="M791" s="123"/>
      <c r="N791" s="73"/>
      <c r="O791" s="236"/>
      <c r="P791" s="117"/>
      <c r="Q791" s="117"/>
      <c r="R791" s="156" t="str">
        <f>IF(Table111[[#This Row],[Qty]]="","",Table111[[#This Row],[Qty]]*Table111[[#This Row],[Unit Price]])</f>
        <v/>
      </c>
      <c r="S791" s="156" t="str">
        <f>IF(Table111[[#This Row],[Qty]]="","",Table111[[#This Row],[Qty]]*Table111[[#This Row],[Unit Price]]+Table111[[#This Row],[Delivery Cost]])</f>
        <v/>
      </c>
      <c r="T791" s="72"/>
      <c r="U791" s="72"/>
      <c r="V791" s="72"/>
      <c r="W791" s="219"/>
      <c r="X791" s="63" t="str">
        <f t="shared" si="36"/>
        <v/>
      </c>
      <c r="Y791" s="63" t="str">
        <f t="shared" si="37"/>
        <v/>
      </c>
      <c r="Z791" s="63" t="str">
        <f t="shared" si="38"/>
        <v/>
      </c>
      <c r="AA791" s="63" t="str">
        <f>TEXT(Table111[[#This Row],[YEAR]],"0000")&amp;"-"&amp;Table111[[#This Row],[MONTH]]</f>
        <v>-</v>
      </c>
    </row>
    <row r="792" spans="2:27" x14ac:dyDescent="0.3">
      <c r="B792" s="183"/>
      <c r="C792" s="183"/>
      <c r="D792" s="183"/>
      <c r="E792" s="71"/>
      <c r="F792" s="72"/>
      <c r="G792" s="70"/>
      <c r="H792" s="74"/>
      <c r="I792" s="70"/>
      <c r="J792" s="70"/>
      <c r="K792" s="70"/>
      <c r="L792" s="74"/>
      <c r="M792" s="123"/>
      <c r="N792" s="73"/>
      <c r="O792" s="236"/>
      <c r="P792" s="117"/>
      <c r="Q792" s="117"/>
      <c r="R792" s="156" t="str">
        <f>IF(Table111[[#This Row],[Qty]]="","",Table111[[#This Row],[Qty]]*Table111[[#This Row],[Unit Price]])</f>
        <v/>
      </c>
      <c r="S792" s="156" t="str">
        <f>IF(Table111[[#This Row],[Qty]]="","",Table111[[#This Row],[Qty]]*Table111[[#This Row],[Unit Price]]+Table111[[#This Row],[Delivery Cost]])</f>
        <v/>
      </c>
      <c r="T792" s="72"/>
      <c r="U792" s="72"/>
      <c r="V792" s="72"/>
      <c r="W792" s="65"/>
      <c r="X792" s="63" t="str">
        <f t="shared" si="36"/>
        <v/>
      </c>
      <c r="Y792" s="63" t="str">
        <f t="shared" si="37"/>
        <v/>
      </c>
      <c r="Z792" s="63" t="str">
        <f t="shared" si="38"/>
        <v/>
      </c>
      <c r="AA792" s="63" t="str">
        <f>TEXT(Table111[[#This Row],[YEAR]],"0000")&amp;"-"&amp;Table111[[#This Row],[MONTH]]</f>
        <v>-</v>
      </c>
    </row>
    <row r="793" spans="2:27" x14ac:dyDescent="0.3">
      <c r="B793" s="68"/>
      <c r="C793" s="68"/>
      <c r="D793" s="68"/>
      <c r="E793" s="71"/>
      <c r="F793" s="72"/>
      <c r="G793" s="70"/>
      <c r="H793" s="74"/>
      <c r="I793" s="70"/>
      <c r="J793" s="70"/>
      <c r="K793" s="70"/>
      <c r="L793" s="74"/>
      <c r="M793" s="123"/>
      <c r="N793" s="73"/>
      <c r="O793" s="236"/>
      <c r="P793" s="117"/>
      <c r="Q793" s="117"/>
      <c r="R793" s="156" t="str">
        <f>IF(Table111[[#This Row],[Qty]]="","",Table111[[#This Row],[Qty]]*Table111[[#This Row],[Unit Price]])</f>
        <v/>
      </c>
      <c r="S793" s="156" t="str">
        <f>IF(Table111[[#This Row],[Qty]]="","",Table111[[#This Row],[Qty]]*Table111[[#This Row],[Unit Price]]+Table111[[#This Row],[Delivery Cost]])</f>
        <v/>
      </c>
      <c r="T793" s="72"/>
      <c r="U793" s="72"/>
      <c r="V793" s="72"/>
      <c r="W793" s="219"/>
      <c r="X793" s="63" t="str">
        <f t="shared" si="36"/>
        <v/>
      </c>
      <c r="Y793" s="63" t="str">
        <f t="shared" si="37"/>
        <v/>
      </c>
      <c r="Z793" s="63" t="str">
        <f t="shared" si="38"/>
        <v/>
      </c>
      <c r="AA793" s="63" t="str">
        <f>TEXT(Table111[[#This Row],[YEAR]],"0000")&amp;"-"&amp;Table111[[#This Row],[MONTH]]</f>
        <v>-</v>
      </c>
    </row>
    <row r="794" spans="2:27" x14ac:dyDescent="0.3">
      <c r="B794" s="183"/>
      <c r="C794" s="183"/>
      <c r="D794" s="183"/>
      <c r="E794" s="71"/>
      <c r="F794" s="72"/>
      <c r="G794" s="70"/>
      <c r="H794" s="74"/>
      <c r="I794" s="70"/>
      <c r="J794" s="70"/>
      <c r="K794" s="70"/>
      <c r="L794" s="74"/>
      <c r="M794" s="123"/>
      <c r="N794" s="73"/>
      <c r="O794" s="236"/>
      <c r="P794" s="117"/>
      <c r="Q794" s="117"/>
      <c r="R794" s="156" t="str">
        <f>IF(Table111[[#This Row],[Qty]]="","",Table111[[#This Row],[Qty]]*Table111[[#This Row],[Unit Price]])</f>
        <v/>
      </c>
      <c r="S794" s="156" t="str">
        <f>IF(Table111[[#This Row],[Qty]]="","",Table111[[#This Row],[Qty]]*Table111[[#This Row],[Unit Price]]+Table111[[#This Row],[Delivery Cost]])</f>
        <v/>
      </c>
      <c r="T794" s="72"/>
      <c r="U794" s="72"/>
      <c r="V794" s="72"/>
      <c r="W794" s="65"/>
      <c r="X794" s="63" t="str">
        <f t="shared" si="36"/>
        <v/>
      </c>
      <c r="Y794" s="63" t="str">
        <f t="shared" si="37"/>
        <v/>
      </c>
      <c r="Z794" s="63" t="str">
        <f t="shared" si="38"/>
        <v/>
      </c>
      <c r="AA794" s="63" t="str">
        <f>TEXT(Table111[[#This Row],[YEAR]],"0000")&amp;"-"&amp;Table111[[#This Row],[MONTH]]</f>
        <v>-</v>
      </c>
    </row>
    <row r="795" spans="2:27" x14ac:dyDescent="0.3">
      <c r="B795" s="68"/>
      <c r="C795" s="68"/>
      <c r="D795" s="68"/>
      <c r="E795" s="71"/>
      <c r="F795" s="72"/>
      <c r="G795" s="70"/>
      <c r="H795" s="74"/>
      <c r="I795" s="70"/>
      <c r="J795" s="70"/>
      <c r="K795" s="70"/>
      <c r="L795" s="74"/>
      <c r="M795" s="123"/>
      <c r="N795" s="73"/>
      <c r="O795" s="236"/>
      <c r="P795" s="117"/>
      <c r="Q795" s="117"/>
      <c r="R795" s="156" t="str">
        <f>IF(Table111[[#This Row],[Qty]]="","",Table111[[#This Row],[Qty]]*Table111[[#This Row],[Unit Price]])</f>
        <v/>
      </c>
      <c r="S795" s="156" t="str">
        <f>IF(Table111[[#This Row],[Qty]]="","",Table111[[#This Row],[Qty]]*Table111[[#This Row],[Unit Price]]+Table111[[#This Row],[Delivery Cost]])</f>
        <v/>
      </c>
      <c r="T795" s="72"/>
      <c r="U795" s="72"/>
      <c r="V795" s="72"/>
      <c r="W795" s="219"/>
      <c r="X795" s="63" t="str">
        <f t="shared" si="36"/>
        <v/>
      </c>
      <c r="Y795" s="63" t="str">
        <f t="shared" si="37"/>
        <v/>
      </c>
      <c r="Z795" s="63" t="str">
        <f t="shared" si="38"/>
        <v/>
      </c>
      <c r="AA795" s="63" t="str">
        <f>TEXT(Table111[[#This Row],[YEAR]],"0000")&amp;"-"&amp;Table111[[#This Row],[MONTH]]</f>
        <v>-</v>
      </c>
    </row>
    <row r="796" spans="2:27" x14ac:dyDescent="0.3">
      <c r="B796" s="183"/>
      <c r="C796" s="183"/>
      <c r="D796" s="183"/>
      <c r="E796" s="71"/>
      <c r="F796" s="72"/>
      <c r="G796" s="70"/>
      <c r="H796" s="74"/>
      <c r="I796" s="70"/>
      <c r="J796" s="70"/>
      <c r="K796" s="70"/>
      <c r="L796" s="74"/>
      <c r="M796" s="123"/>
      <c r="N796" s="73"/>
      <c r="O796" s="236"/>
      <c r="P796" s="117"/>
      <c r="Q796" s="117"/>
      <c r="R796" s="156" t="str">
        <f>IF(Table111[[#This Row],[Qty]]="","",Table111[[#This Row],[Qty]]*Table111[[#This Row],[Unit Price]])</f>
        <v/>
      </c>
      <c r="S796" s="156" t="str">
        <f>IF(Table111[[#This Row],[Qty]]="","",Table111[[#This Row],[Qty]]*Table111[[#This Row],[Unit Price]]+Table111[[#This Row],[Delivery Cost]])</f>
        <v/>
      </c>
      <c r="T796" s="72"/>
      <c r="U796" s="72"/>
      <c r="V796" s="72"/>
      <c r="W796" s="65"/>
      <c r="X796" s="63" t="str">
        <f t="shared" si="36"/>
        <v/>
      </c>
      <c r="Y796" s="63" t="str">
        <f t="shared" si="37"/>
        <v/>
      </c>
      <c r="Z796" s="63" t="str">
        <f t="shared" si="38"/>
        <v/>
      </c>
      <c r="AA796" s="63" t="str">
        <f>TEXT(Table111[[#This Row],[YEAR]],"0000")&amp;"-"&amp;Table111[[#This Row],[MONTH]]</f>
        <v>-</v>
      </c>
    </row>
    <row r="797" spans="2:27" x14ac:dyDescent="0.3">
      <c r="B797" s="68"/>
      <c r="C797" s="68"/>
      <c r="D797" s="68"/>
      <c r="E797" s="71"/>
      <c r="F797" s="72"/>
      <c r="G797" s="70"/>
      <c r="H797" s="74"/>
      <c r="I797" s="70"/>
      <c r="J797" s="70"/>
      <c r="K797" s="70"/>
      <c r="L797" s="74"/>
      <c r="M797" s="123"/>
      <c r="N797" s="73"/>
      <c r="O797" s="236"/>
      <c r="P797" s="117"/>
      <c r="Q797" s="117"/>
      <c r="R797" s="156" t="str">
        <f>IF(Table111[[#This Row],[Qty]]="","",Table111[[#This Row],[Qty]]*Table111[[#This Row],[Unit Price]])</f>
        <v/>
      </c>
      <c r="S797" s="156" t="str">
        <f>IF(Table111[[#This Row],[Qty]]="","",Table111[[#This Row],[Qty]]*Table111[[#This Row],[Unit Price]]+Table111[[#This Row],[Delivery Cost]])</f>
        <v/>
      </c>
      <c r="T797" s="72"/>
      <c r="U797" s="72"/>
      <c r="V797" s="72"/>
      <c r="W797" s="219"/>
      <c r="X797" s="63" t="str">
        <f t="shared" si="36"/>
        <v/>
      </c>
      <c r="Y797" s="63" t="str">
        <f t="shared" si="37"/>
        <v/>
      </c>
      <c r="Z797" s="63" t="str">
        <f t="shared" si="38"/>
        <v/>
      </c>
      <c r="AA797" s="63" t="str">
        <f>TEXT(Table111[[#This Row],[YEAR]],"0000")&amp;"-"&amp;Table111[[#This Row],[MONTH]]</f>
        <v>-</v>
      </c>
    </row>
    <row r="798" spans="2:27" x14ac:dyDescent="0.3">
      <c r="B798" s="183"/>
      <c r="C798" s="183"/>
      <c r="D798" s="183"/>
      <c r="E798" s="71"/>
      <c r="F798" s="72"/>
      <c r="G798" s="70"/>
      <c r="H798" s="74"/>
      <c r="I798" s="70"/>
      <c r="J798" s="70"/>
      <c r="K798" s="70"/>
      <c r="L798" s="74"/>
      <c r="M798" s="123"/>
      <c r="N798" s="73"/>
      <c r="O798" s="236"/>
      <c r="P798" s="117"/>
      <c r="Q798" s="117"/>
      <c r="R798" s="156" t="str">
        <f>IF(Table111[[#This Row],[Qty]]="","",Table111[[#This Row],[Qty]]*Table111[[#This Row],[Unit Price]])</f>
        <v/>
      </c>
      <c r="S798" s="156" t="str">
        <f>IF(Table111[[#This Row],[Qty]]="","",Table111[[#This Row],[Qty]]*Table111[[#This Row],[Unit Price]]+Table111[[#This Row],[Delivery Cost]])</f>
        <v/>
      </c>
      <c r="T798" s="72"/>
      <c r="U798" s="72"/>
      <c r="V798" s="72"/>
      <c r="W798" s="65"/>
      <c r="X798" s="63" t="str">
        <f t="shared" si="36"/>
        <v/>
      </c>
      <c r="Y798" s="63" t="str">
        <f t="shared" si="37"/>
        <v/>
      </c>
      <c r="Z798" s="63" t="str">
        <f t="shared" si="38"/>
        <v/>
      </c>
      <c r="AA798" s="63" t="str">
        <f>TEXT(Table111[[#This Row],[YEAR]],"0000")&amp;"-"&amp;Table111[[#This Row],[MONTH]]</f>
        <v>-</v>
      </c>
    </row>
    <row r="799" spans="2:27" x14ac:dyDescent="0.3">
      <c r="B799" s="68"/>
      <c r="C799" s="68"/>
      <c r="D799" s="68"/>
      <c r="E799" s="71"/>
      <c r="F799" s="72"/>
      <c r="G799" s="70"/>
      <c r="H799" s="74"/>
      <c r="I799" s="70"/>
      <c r="J799" s="70"/>
      <c r="K799" s="70"/>
      <c r="L799" s="74"/>
      <c r="M799" s="123"/>
      <c r="N799" s="73"/>
      <c r="O799" s="236"/>
      <c r="P799" s="117"/>
      <c r="Q799" s="117"/>
      <c r="R799" s="156" t="str">
        <f>IF(Table111[[#This Row],[Qty]]="","",Table111[[#This Row],[Qty]]*Table111[[#This Row],[Unit Price]])</f>
        <v/>
      </c>
      <c r="S799" s="156" t="str">
        <f>IF(Table111[[#This Row],[Qty]]="","",Table111[[#This Row],[Qty]]*Table111[[#This Row],[Unit Price]]+Table111[[#This Row],[Delivery Cost]])</f>
        <v/>
      </c>
      <c r="T799" s="72"/>
      <c r="U799" s="72"/>
      <c r="V799" s="72"/>
      <c r="W799" s="219"/>
      <c r="X799" s="63" t="str">
        <f t="shared" si="36"/>
        <v/>
      </c>
      <c r="Y799" s="63" t="str">
        <f t="shared" si="37"/>
        <v/>
      </c>
      <c r="Z799" s="63" t="str">
        <f t="shared" si="38"/>
        <v/>
      </c>
      <c r="AA799" s="63" t="str">
        <f>TEXT(Table111[[#This Row],[YEAR]],"0000")&amp;"-"&amp;Table111[[#This Row],[MONTH]]</f>
        <v>-</v>
      </c>
    </row>
    <row r="800" spans="2:27" x14ac:dyDescent="0.3">
      <c r="B800" s="183"/>
      <c r="C800" s="183"/>
      <c r="D800" s="183"/>
      <c r="E800" s="71"/>
      <c r="F800" s="72"/>
      <c r="G800" s="70"/>
      <c r="H800" s="74"/>
      <c r="I800" s="70"/>
      <c r="J800" s="70"/>
      <c r="K800" s="70"/>
      <c r="L800" s="74"/>
      <c r="M800" s="123"/>
      <c r="N800" s="73"/>
      <c r="O800" s="236"/>
      <c r="P800" s="117"/>
      <c r="Q800" s="117"/>
      <c r="R800" s="156" t="str">
        <f>IF(Table111[[#This Row],[Qty]]="","",Table111[[#This Row],[Qty]]*Table111[[#This Row],[Unit Price]])</f>
        <v/>
      </c>
      <c r="S800" s="156" t="str">
        <f>IF(Table111[[#This Row],[Qty]]="","",Table111[[#This Row],[Qty]]*Table111[[#This Row],[Unit Price]]+Table111[[#This Row],[Delivery Cost]])</f>
        <v/>
      </c>
      <c r="T800" s="72"/>
      <c r="U800" s="72"/>
      <c r="V800" s="72"/>
      <c r="W800" s="65"/>
      <c r="X800" s="63" t="str">
        <f t="shared" si="36"/>
        <v/>
      </c>
      <c r="Y800" s="63" t="str">
        <f t="shared" si="37"/>
        <v/>
      </c>
      <c r="Z800" s="63" t="str">
        <f t="shared" si="38"/>
        <v/>
      </c>
      <c r="AA800" s="63" t="str">
        <f>TEXT(Table111[[#This Row],[YEAR]],"0000")&amp;"-"&amp;Table111[[#This Row],[MONTH]]</f>
        <v>-</v>
      </c>
    </row>
    <row r="801" spans="2:27" x14ac:dyDescent="0.3">
      <c r="B801" s="68"/>
      <c r="C801" s="68"/>
      <c r="D801" s="68"/>
      <c r="E801" s="71"/>
      <c r="F801" s="72"/>
      <c r="G801" s="70"/>
      <c r="H801" s="74"/>
      <c r="I801" s="70"/>
      <c r="J801" s="70"/>
      <c r="K801" s="70"/>
      <c r="L801" s="74"/>
      <c r="M801" s="123"/>
      <c r="N801" s="73"/>
      <c r="O801" s="236"/>
      <c r="P801" s="117"/>
      <c r="Q801" s="117"/>
      <c r="R801" s="156" t="str">
        <f>IF(Table111[[#This Row],[Qty]]="","",Table111[[#This Row],[Qty]]*Table111[[#This Row],[Unit Price]])</f>
        <v/>
      </c>
      <c r="S801" s="156" t="str">
        <f>IF(Table111[[#This Row],[Qty]]="","",Table111[[#This Row],[Qty]]*Table111[[#This Row],[Unit Price]]+Table111[[#This Row],[Delivery Cost]])</f>
        <v/>
      </c>
      <c r="T801" s="72"/>
      <c r="U801" s="72"/>
      <c r="V801" s="72"/>
      <c r="W801" s="219"/>
      <c r="X801" s="63" t="str">
        <f t="shared" si="36"/>
        <v/>
      </c>
      <c r="Y801" s="63" t="str">
        <f t="shared" si="37"/>
        <v/>
      </c>
      <c r="Z801" s="63" t="str">
        <f t="shared" si="38"/>
        <v/>
      </c>
      <c r="AA801" s="63" t="str">
        <f>TEXT(Table111[[#This Row],[YEAR]],"0000")&amp;"-"&amp;Table111[[#This Row],[MONTH]]</f>
        <v>-</v>
      </c>
    </row>
    <row r="802" spans="2:27" x14ac:dyDescent="0.3">
      <c r="B802" s="183"/>
      <c r="C802" s="183"/>
      <c r="D802" s="183"/>
      <c r="E802" s="71"/>
      <c r="F802" s="72"/>
      <c r="G802" s="70"/>
      <c r="H802" s="74"/>
      <c r="I802" s="70"/>
      <c r="J802" s="70"/>
      <c r="K802" s="70"/>
      <c r="L802" s="74"/>
      <c r="M802" s="123"/>
      <c r="N802" s="73"/>
      <c r="O802" s="236"/>
      <c r="P802" s="117"/>
      <c r="Q802" s="117"/>
      <c r="R802" s="156" t="str">
        <f>IF(Table111[[#This Row],[Qty]]="","",Table111[[#This Row],[Qty]]*Table111[[#This Row],[Unit Price]])</f>
        <v/>
      </c>
      <c r="S802" s="156" t="str">
        <f>IF(Table111[[#This Row],[Qty]]="","",Table111[[#This Row],[Qty]]*Table111[[#This Row],[Unit Price]]+Table111[[#This Row],[Delivery Cost]])</f>
        <v/>
      </c>
      <c r="T802" s="72"/>
      <c r="U802" s="72"/>
      <c r="V802" s="72"/>
      <c r="W802" s="65"/>
      <c r="X802" s="63" t="str">
        <f t="shared" si="36"/>
        <v/>
      </c>
      <c r="Y802" s="63" t="str">
        <f t="shared" si="37"/>
        <v/>
      </c>
      <c r="Z802" s="63" t="str">
        <f t="shared" si="38"/>
        <v/>
      </c>
      <c r="AA802" s="63" t="str">
        <f>TEXT(Table111[[#This Row],[YEAR]],"0000")&amp;"-"&amp;Table111[[#This Row],[MONTH]]</f>
        <v>-</v>
      </c>
    </row>
    <row r="803" spans="2:27" x14ac:dyDescent="0.3">
      <c r="B803" s="68"/>
      <c r="C803" s="68"/>
      <c r="D803" s="68"/>
      <c r="E803" s="71"/>
      <c r="F803" s="72"/>
      <c r="G803" s="70"/>
      <c r="H803" s="74"/>
      <c r="I803" s="70"/>
      <c r="J803" s="70"/>
      <c r="K803" s="70"/>
      <c r="L803" s="74"/>
      <c r="M803" s="123"/>
      <c r="N803" s="73"/>
      <c r="O803" s="236"/>
      <c r="P803" s="117"/>
      <c r="Q803" s="117"/>
      <c r="R803" s="156" t="str">
        <f>IF(Table111[[#This Row],[Qty]]="","",Table111[[#This Row],[Qty]]*Table111[[#This Row],[Unit Price]])</f>
        <v/>
      </c>
      <c r="S803" s="156" t="str">
        <f>IF(Table111[[#This Row],[Qty]]="","",Table111[[#This Row],[Qty]]*Table111[[#This Row],[Unit Price]]+Table111[[#This Row],[Delivery Cost]])</f>
        <v/>
      </c>
      <c r="T803" s="72"/>
      <c r="U803" s="72"/>
      <c r="V803" s="72"/>
      <c r="W803" s="219"/>
      <c r="X803" s="63" t="str">
        <f t="shared" si="36"/>
        <v/>
      </c>
      <c r="Y803" s="63" t="str">
        <f t="shared" si="37"/>
        <v/>
      </c>
      <c r="Z803" s="63" t="str">
        <f t="shared" si="38"/>
        <v/>
      </c>
      <c r="AA803" s="63" t="str">
        <f>TEXT(Table111[[#This Row],[YEAR]],"0000")&amp;"-"&amp;Table111[[#This Row],[MONTH]]</f>
        <v>-</v>
      </c>
    </row>
    <row r="804" spans="2:27" x14ac:dyDescent="0.3">
      <c r="B804" s="183"/>
      <c r="C804" s="183"/>
      <c r="D804" s="183"/>
      <c r="E804" s="71"/>
      <c r="F804" s="72"/>
      <c r="G804" s="70"/>
      <c r="H804" s="74"/>
      <c r="I804" s="70"/>
      <c r="J804" s="70"/>
      <c r="K804" s="70"/>
      <c r="L804" s="74"/>
      <c r="M804" s="123"/>
      <c r="N804" s="73"/>
      <c r="O804" s="236"/>
      <c r="P804" s="117"/>
      <c r="Q804" s="117"/>
      <c r="R804" s="156" t="str">
        <f>IF(Table111[[#This Row],[Qty]]="","",Table111[[#This Row],[Qty]]*Table111[[#This Row],[Unit Price]])</f>
        <v/>
      </c>
      <c r="S804" s="156" t="str">
        <f>IF(Table111[[#This Row],[Qty]]="","",Table111[[#This Row],[Qty]]*Table111[[#This Row],[Unit Price]]+Table111[[#This Row],[Delivery Cost]])</f>
        <v/>
      </c>
      <c r="T804" s="72"/>
      <c r="U804" s="72"/>
      <c r="V804" s="72"/>
      <c r="W804" s="65"/>
      <c r="X804" s="63" t="str">
        <f t="shared" si="36"/>
        <v/>
      </c>
      <c r="Y804" s="63" t="str">
        <f t="shared" si="37"/>
        <v/>
      </c>
      <c r="Z804" s="63" t="str">
        <f t="shared" si="38"/>
        <v/>
      </c>
      <c r="AA804" s="63" t="str">
        <f>TEXT(Table111[[#This Row],[YEAR]],"0000")&amp;"-"&amp;Table111[[#This Row],[MONTH]]</f>
        <v>-</v>
      </c>
    </row>
    <row r="805" spans="2:27" x14ac:dyDescent="0.3">
      <c r="B805" s="68"/>
      <c r="C805" s="68"/>
      <c r="D805" s="68"/>
      <c r="E805" s="71"/>
      <c r="F805" s="72"/>
      <c r="G805" s="70"/>
      <c r="H805" s="74"/>
      <c r="I805" s="70"/>
      <c r="J805" s="70"/>
      <c r="K805" s="70"/>
      <c r="L805" s="74"/>
      <c r="M805" s="123"/>
      <c r="N805" s="73"/>
      <c r="O805" s="236"/>
      <c r="P805" s="117"/>
      <c r="Q805" s="117"/>
      <c r="R805" s="156" t="str">
        <f>IF(Table111[[#This Row],[Qty]]="","",Table111[[#This Row],[Qty]]*Table111[[#This Row],[Unit Price]])</f>
        <v/>
      </c>
      <c r="S805" s="156" t="str">
        <f>IF(Table111[[#This Row],[Qty]]="","",Table111[[#This Row],[Qty]]*Table111[[#This Row],[Unit Price]]+Table111[[#This Row],[Delivery Cost]])</f>
        <v/>
      </c>
      <c r="T805" s="72"/>
      <c r="U805" s="72"/>
      <c r="V805" s="72"/>
      <c r="W805" s="219"/>
      <c r="X805" s="63" t="str">
        <f t="shared" si="36"/>
        <v/>
      </c>
      <c r="Y805" s="63" t="str">
        <f t="shared" si="37"/>
        <v/>
      </c>
      <c r="Z805" s="63" t="str">
        <f t="shared" si="38"/>
        <v/>
      </c>
      <c r="AA805" s="63" t="str">
        <f>TEXT(Table111[[#This Row],[YEAR]],"0000")&amp;"-"&amp;Table111[[#This Row],[MONTH]]</f>
        <v>-</v>
      </c>
    </row>
    <row r="806" spans="2:27" x14ac:dyDescent="0.3">
      <c r="B806" s="183"/>
      <c r="C806" s="183"/>
      <c r="D806" s="183"/>
      <c r="E806" s="71"/>
      <c r="F806" s="72"/>
      <c r="G806" s="70"/>
      <c r="H806" s="74"/>
      <c r="I806" s="70"/>
      <c r="J806" s="70"/>
      <c r="K806" s="70"/>
      <c r="L806" s="74"/>
      <c r="M806" s="123"/>
      <c r="N806" s="73"/>
      <c r="O806" s="236"/>
      <c r="P806" s="117"/>
      <c r="Q806" s="117"/>
      <c r="R806" s="156" t="str">
        <f>IF(Table111[[#This Row],[Qty]]="","",Table111[[#This Row],[Qty]]*Table111[[#This Row],[Unit Price]])</f>
        <v/>
      </c>
      <c r="S806" s="156" t="str">
        <f>IF(Table111[[#This Row],[Qty]]="","",Table111[[#This Row],[Qty]]*Table111[[#This Row],[Unit Price]]+Table111[[#This Row],[Delivery Cost]])</f>
        <v/>
      </c>
      <c r="T806" s="72"/>
      <c r="U806" s="72"/>
      <c r="V806" s="72"/>
      <c r="W806" s="65"/>
      <c r="X806" s="63" t="str">
        <f t="shared" si="36"/>
        <v/>
      </c>
      <c r="Y806" s="63" t="str">
        <f t="shared" si="37"/>
        <v/>
      </c>
      <c r="Z806" s="63" t="str">
        <f t="shared" si="38"/>
        <v/>
      </c>
      <c r="AA806" s="63" t="str">
        <f>TEXT(Table111[[#This Row],[YEAR]],"0000")&amp;"-"&amp;Table111[[#This Row],[MONTH]]</f>
        <v>-</v>
      </c>
    </row>
    <row r="807" spans="2:27" x14ac:dyDescent="0.3">
      <c r="B807" s="68"/>
      <c r="C807" s="68"/>
      <c r="D807" s="68"/>
      <c r="E807" s="71"/>
      <c r="F807" s="72"/>
      <c r="G807" s="70"/>
      <c r="H807" s="74"/>
      <c r="I807" s="70"/>
      <c r="J807" s="70"/>
      <c r="K807" s="70"/>
      <c r="L807" s="74"/>
      <c r="M807" s="123"/>
      <c r="N807" s="73"/>
      <c r="O807" s="236"/>
      <c r="P807" s="117"/>
      <c r="Q807" s="117"/>
      <c r="R807" s="156" t="str">
        <f>IF(Table111[[#This Row],[Qty]]="","",Table111[[#This Row],[Qty]]*Table111[[#This Row],[Unit Price]])</f>
        <v/>
      </c>
      <c r="S807" s="156" t="str">
        <f>IF(Table111[[#This Row],[Qty]]="","",Table111[[#This Row],[Qty]]*Table111[[#This Row],[Unit Price]]+Table111[[#This Row],[Delivery Cost]])</f>
        <v/>
      </c>
      <c r="T807" s="72"/>
      <c r="U807" s="72"/>
      <c r="V807" s="72"/>
      <c r="W807" s="219"/>
      <c r="X807" s="63" t="str">
        <f t="shared" si="36"/>
        <v/>
      </c>
      <c r="Y807" s="63" t="str">
        <f t="shared" si="37"/>
        <v/>
      </c>
      <c r="Z807" s="63" t="str">
        <f t="shared" si="38"/>
        <v/>
      </c>
      <c r="AA807" s="63" t="str">
        <f>TEXT(Table111[[#This Row],[YEAR]],"0000")&amp;"-"&amp;Table111[[#This Row],[MONTH]]</f>
        <v>-</v>
      </c>
    </row>
    <row r="808" spans="2:27" x14ac:dyDescent="0.3">
      <c r="B808" s="183"/>
      <c r="C808" s="183"/>
      <c r="D808" s="183"/>
      <c r="E808" s="71"/>
      <c r="F808" s="72"/>
      <c r="G808" s="70"/>
      <c r="H808" s="74"/>
      <c r="I808" s="70"/>
      <c r="J808" s="70"/>
      <c r="K808" s="70"/>
      <c r="L808" s="74"/>
      <c r="M808" s="123"/>
      <c r="N808" s="73"/>
      <c r="O808" s="236"/>
      <c r="P808" s="117"/>
      <c r="Q808" s="117"/>
      <c r="R808" s="156" t="str">
        <f>IF(Table111[[#This Row],[Qty]]="","",Table111[[#This Row],[Qty]]*Table111[[#This Row],[Unit Price]])</f>
        <v/>
      </c>
      <c r="S808" s="156" t="str">
        <f>IF(Table111[[#This Row],[Qty]]="","",Table111[[#This Row],[Qty]]*Table111[[#This Row],[Unit Price]]+Table111[[#This Row],[Delivery Cost]])</f>
        <v/>
      </c>
      <c r="T808" s="72"/>
      <c r="U808" s="72"/>
      <c r="V808" s="72"/>
      <c r="W808" s="65"/>
      <c r="X808" s="63" t="str">
        <f t="shared" si="36"/>
        <v/>
      </c>
      <c r="Y808" s="63" t="str">
        <f t="shared" si="37"/>
        <v/>
      </c>
      <c r="Z808" s="63" t="str">
        <f t="shared" si="38"/>
        <v/>
      </c>
      <c r="AA808" s="63" t="str">
        <f>TEXT(Table111[[#This Row],[YEAR]],"0000")&amp;"-"&amp;Table111[[#This Row],[MONTH]]</f>
        <v>-</v>
      </c>
    </row>
    <row r="809" spans="2:27" x14ac:dyDescent="0.3">
      <c r="B809" s="68"/>
      <c r="C809" s="68"/>
      <c r="D809" s="68"/>
      <c r="E809" s="71"/>
      <c r="F809" s="72"/>
      <c r="G809" s="70"/>
      <c r="H809" s="74"/>
      <c r="I809" s="70"/>
      <c r="J809" s="70"/>
      <c r="K809" s="70"/>
      <c r="L809" s="74"/>
      <c r="M809" s="123"/>
      <c r="N809" s="73"/>
      <c r="O809" s="236"/>
      <c r="P809" s="117"/>
      <c r="Q809" s="117"/>
      <c r="R809" s="156" t="str">
        <f>IF(Table111[[#This Row],[Qty]]="","",Table111[[#This Row],[Qty]]*Table111[[#This Row],[Unit Price]])</f>
        <v/>
      </c>
      <c r="S809" s="156" t="str">
        <f>IF(Table111[[#This Row],[Qty]]="","",Table111[[#This Row],[Qty]]*Table111[[#This Row],[Unit Price]]+Table111[[#This Row],[Delivery Cost]])</f>
        <v/>
      </c>
      <c r="T809" s="72"/>
      <c r="U809" s="72"/>
      <c r="V809" s="72"/>
      <c r="W809" s="219"/>
      <c r="X809" s="63" t="str">
        <f t="shared" si="36"/>
        <v/>
      </c>
      <c r="Y809" s="63" t="str">
        <f t="shared" si="37"/>
        <v/>
      </c>
      <c r="Z809" s="63" t="str">
        <f t="shared" si="38"/>
        <v/>
      </c>
      <c r="AA809" s="63" t="str">
        <f>TEXT(Table111[[#This Row],[YEAR]],"0000")&amp;"-"&amp;Table111[[#This Row],[MONTH]]</f>
        <v>-</v>
      </c>
    </row>
    <row r="810" spans="2:27" x14ac:dyDescent="0.3">
      <c r="B810" s="183"/>
      <c r="C810" s="183"/>
      <c r="D810" s="183"/>
      <c r="E810" s="71"/>
      <c r="F810" s="72"/>
      <c r="G810" s="70"/>
      <c r="H810" s="74"/>
      <c r="I810" s="70"/>
      <c r="J810" s="70"/>
      <c r="K810" s="70"/>
      <c r="L810" s="74"/>
      <c r="M810" s="123"/>
      <c r="N810" s="73"/>
      <c r="O810" s="236"/>
      <c r="P810" s="117"/>
      <c r="Q810" s="117"/>
      <c r="R810" s="156" t="str">
        <f>IF(Table111[[#This Row],[Qty]]="","",Table111[[#This Row],[Qty]]*Table111[[#This Row],[Unit Price]])</f>
        <v/>
      </c>
      <c r="S810" s="156" t="str">
        <f>IF(Table111[[#This Row],[Qty]]="","",Table111[[#This Row],[Qty]]*Table111[[#This Row],[Unit Price]]+Table111[[#This Row],[Delivery Cost]])</f>
        <v/>
      </c>
      <c r="T810" s="72"/>
      <c r="U810" s="72"/>
      <c r="V810" s="72"/>
      <c r="W810" s="65"/>
      <c r="X810" s="63" t="str">
        <f t="shared" si="36"/>
        <v/>
      </c>
      <c r="Y810" s="63" t="str">
        <f t="shared" si="37"/>
        <v/>
      </c>
      <c r="Z810" s="63" t="str">
        <f t="shared" si="38"/>
        <v/>
      </c>
      <c r="AA810" s="63" t="str">
        <f>TEXT(Table111[[#This Row],[YEAR]],"0000")&amp;"-"&amp;Table111[[#This Row],[MONTH]]</f>
        <v>-</v>
      </c>
    </row>
    <row r="811" spans="2:27" x14ac:dyDescent="0.3">
      <c r="B811" s="68"/>
      <c r="C811" s="68"/>
      <c r="D811" s="68"/>
      <c r="E811" s="71"/>
      <c r="F811" s="72"/>
      <c r="G811" s="70"/>
      <c r="H811" s="74"/>
      <c r="I811" s="70"/>
      <c r="J811" s="70"/>
      <c r="K811" s="70"/>
      <c r="L811" s="74"/>
      <c r="M811" s="123"/>
      <c r="N811" s="73"/>
      <c r="O811" s="236"/>
      <c r="P811" s="117"/>
      <c r="Q811" s="117"/>
      <c r="R811" s="156" t="str">
        <f>IF(Table111[[#This Row],[Qty]]="","",Table111[[#This Row],[Qty]]*Table111[[#This Row],[Unit Price]])</f>
        <v/>
      </c>
      <c r="S811" s="156" t="str">
        <f>IF(Table111[[#This Row],[Qty]]="","",Table111[[#This Row],[Qty]]*Table111[[#This Row],[Unit Price]]+Table111[[#This Row],[Delivery Cost]])</f>
        <v/>
      </c>
      <c r="T811" s="72"/>
      <c r="U811" s="72"/>
      <c r="V811" s="72"/>
      <c r="W811" s="219"/>
      <c r="X811" s="63" t="str">
        <f t="shared" si="36"/>
        <v/>
      </c>
      <c r="Y811" s="63" t="str">
        <f t="shared" si="37"/>
        <v/>
      </c>
      <c r="Z811" s="63" t="str">
        <f t="shared" si="38"/>
        <v/>
      </c>
      <c r="AA811" s="63" t="str">
        <f>TEXT(Table111[[#This Row],[YEAR]],"0000")&amp;"-"&amp;Table111[[#This Row],[MONTH]]</f>
        <v>-</v>
      </c>
    </row>
    <row r="812" spans="2:27" x14ac:dyDescent="0.3">
      <c r="B812" s="183"/>
      <c r="C812" s="183"/>
      <c r="D812" s="183"/>
      <c r="E812" s="71"/>
      <c r="F812" s="72"/>
      <c r="G812" s="70"/>
      <c r="H812" s="74"/>
      <c r="I812" s="70"/>
      <c r="J812" s="70"/>
      <c r="K812" s="70"/>
      <c r="L812" s="74"/>
      <c r="M812" s="123"/>
      <c r="N812" s="73"/>
      <c r="O812" s="236"/>
      <c r="P812" s="117"/>
      <c r="Q812" s="117"/>
      <c r="R812" s="156" t="str">
        <f>IF(Table111[[#This Row],[Qty]]="","",Table111[[#This Row],[Qty]]*Table111[[#This Row],[Unit Price]])</f>
        <v/>
      </c>
      <c r="S812" s="156" t="str">
        <f>IF(Table111[[#This Row],[Qty]]="","",Table111[[#This Row],[Qty]]*Table111[[#This Row],[Unit Price]]+Table111[[#This Row],[Delivery Cost]])</f>
        <v/>
      </c>
      <c r="T812" s="72"/>
      <c r="U812" s="72"/>
      <c r="V812" s="72"/>
      <c r="W812" s="65"/>
      <c r="X812" s="63" t="str">
        <f t="shared" si="36"/>
        <v/>
      </c>
      <c r="Y812" s="63" t="str">
        <f t="shared" si="37"/>
        <v/>
      </c>
      <c r="Z812" s="63" t="str">
        <f t="shared" si="38"/>
        <v/>
      </c>
      <c r="AA812" s="63" t="str">
        <f>TEXT(Table111[[#This Row],[YEAR]],"0000")&amp;"-"&amp;Table111[[#This Row],[MONTH]]</f>
        <v>-</v>
      </c>
    </row>
    <row r="813" spans="2:27" x14ac:dyDescent="0.3">
      <c r="B813" s="68"/>
      <c r="C813" s="68"/>
      <c r="D813" s="68"/>
      <c r="E813" s="71"/>
      <c r="F813" s="72"/>
      <c r="G813" s="70"/>
      <c r="H813" s="74"/>
      <c r="I813" s="70"/>
      <c r="J813" s="70"/>
      <c r="K813" s="70"/>
      <c r="L813" s="74"/>
      <c r="M813" s="123"/>
      <c r="N813" s="73"/>
      <c r="O813" s="236"/>
      <c r="P813" s="117"/>
      <c r="Q813" s="117"/>
      <c r="R813" s="156" t="str">
        <f>IF(Table111[[#This Row],[Qty]]="","",Table111[[#This Row],[Qty]]*Table111[[#This Row],[Unit Price]])</f>
        <v/>
      </c>
      <c r="S813" s="156" t="str">
        <f>IF(Table111[[#This Row],[Qty]]="","",Table111[[#This Row],[Qty]]*Table111[[#This Row],[Unit Price]]+Table111[[#This Row],[Delivery Cost]])</f>
        <v/>
      </c>
      <c r="T813" s="72"/>
      <c r="U813" s="72"/>
      <c r="V813" s="72"/>
      <c r="W813" s="219"/>
      <c r="X813" s="63" t="str">
        <f t="shared" si="36"/>
        <v/>
      </c>
      <c r="Y813" s="63" t="str">
        <f t="shared" si="37"/>
        <v/>
      </c>
      <c r="Z813" s="63" t="str">
        <f t="shared" si="38"/>
        <v/>
      </c>
      <c r="AA813" s="63" t="str">
        <f>TEXT(Table111[[#This Row],[YEAR]],"0000")&amp;"-"&amp;Table111[[#This Row],[MONTH]]</f>
        <v>-</v>
      </c>
    </row>
    <row r="814" spans="2:27" x14ac:dyDescent="0.3">
      <c r="B814" s="183"/>
      <c r="C814" s="183"/>
      <c r="D814" s="183"/>
      <c r="E814" s="71"/>
      <c r="F814" s="72"/>
      <c r="G814" s="70"/>
      <c r="H814" s="74"/>
      <c r="I814" s="70"/>
      <c r="J814" s="70"/>
      <c r="K814" s="70"/>
      <c r="L814" s="74"/>
      <c r="M814" s="123"/>
      <c r="N814" s="73"/>
      <c r="O814" s="236"/>
      <c r="P814" s="117"/>
      <c r="Q814" s="117"/>
      <c r="R814" s="156" t="str">
        <f>IF(Table111[[#This Row],[Qty]]="","",Table111[[#This Row],[Qty]]*Table111[[#This Row],[Unit Price]])</f>
        <v/>
      </c>
      <c r="S814" s="156" t="str">
        <f>IF(Table111[[#This Row],[Qty]]="","",Table111[[#This Row],[Qty]]*Table111[[#This Row],[Unit Price]]+Table111[[#This Row],[Delivery Cost]])</f>
        <v/>
      </c>
      <c r="T814" s="72"/>
      <c r="U814" s="72"/>
      <c r="V814" s="72"/>
      <c r="W814" s="65"/>
      <c r="X814" s="63" t="str">
        <f t="shared" si="36"/>
        <v/>
      </c>
      <c r="Y814" s="63" t="str">
        <f t="shared" si="37"/>
        <v/>
      </c>
      <c r="Z814" s="63" t="str">
        <f t="shared" si="38"/>
        <v/>
      </c>
      <c r="AA814" s="63" t="str">
        <f>TEXT(Table111[[#This Row],[YEAR]],"0000")&amp;"-"&amp;Table111[[#This Row],[MONTH]]</f>
        <v>-</v>
      </c>
    </row>
    <row r="815" spans="2:27" x14ac:dyDescent="0.3">
      <c r="B815" s="68"/>
      <c r="C815" s="68"/>
      <c r="D815" s="68"/>
      <c r="E815" s="71"/>
      <c r="F815" s="72"/>
      <c r="G815" s="70"/>
      <c r="H815" s="74"/>
      <c r="I815" s="70"/>
      <c r="J815" s="70"/>
      <c r="K815" s="70"/>
      <c r="L815" s="74"/>
      <c r="M815" s="123"/>
      <c r="N815" s="73"/>
      <c r="O815" s="236"/>
      <c r="P815" s="117"/>
      <c r="Q815" s="117"/>
      <c r="R815" s="156" t="str">
        <f>IF(Table111[[#This Row],[Qty]]="","",Table111[[#This Row],[Qty]]*Table111[[#This Row],[Unit Price]])</f>
        <v/>
      </c>
      <c r="S815" s="156" t="str">
        <f>IF(Table111[[#This Row],[Qty]]="","",Table111[[#This Row],[Qty]]*Table111[[#This Row],[Unit Price]]+Table111[[#This Row],[Delivery Cost]])</f>
        <v/>
      </c>
      <c r="T815" s="72"/>
      <c r="U815" s="72"/>
      <c r="V815" s="72"/>
      <c r="W815" s="219"/>
      <c r="X815" s="63" t="str">
        <f t="shared" si="36"/>
        <v/>
      </c>
      <c r="Y815" s="63" t="str">
        <f t="shared" si="37"/>
        <v/>
      </c>
      <c r="Z815" s="63" t="str">
        <f t="shared" si="38"/>
        <v/>
      </c>
      <c r="AA815" s="63" t="str">
        <f>TEXT(Table111[[#This Row],[YEAR]],"0000")&amp;"-"&amp;Table111[[#This Row],[MONTH]]</f>
        <v>-</v>
      </c>
    </row>
    <row r="816" spans="2:27" x14ac:dyDescent="0.3">
      <c r="B816" s="183"/>
      <c r="C816" s="183"/>
      <c r="D816" s="183"/>
      <c r="E816" s="71"/>
      <c r="F816" s="72"/>
      <c r="G816" s="70"/>
      <c r="H816" s="74"/>
      <c r="I816" s="70"/>
      <c r="J816" s="70"/>
      <c r="K816" s="70"/>
      <c r="L816" s="74"/>
      <c r="M816" s="123"/>
      <c r="N816" s="73"/>
      <c r="O816" s="236"/>
      <c r="P816" s="117"/>
      <c r="Q816" s="117"/>
      <c r="R816" s="156" t="str">
        <f>IF(Table111[[#This Row],[Qty]]="","",Table111[[#This Row],[Qty]]*Table111[[#This Row],[Unit Price]])</f>
        <v/>
      </c>
      <c r="S816" s="156" t="str">
        <f>IF(Table111[[#This Row],[Qty]]="","",Table111[[#This Row],[Qty]]*Table111[[#This Row],[Unit Price]]+Table111[[#This Row],[Delivery Cost]])</f>
        <v/>
      </c>
      <c r="T816" s="72"/>
      <c r="U816" s="72"/>
      <c r="V816" s="72"/>
      <c r="W816" s="65"/>
      <c r="X816" s="63" t="str">
        <f t="shared" si="36"/>
        <v/>
      </c>
      <c r="Y816" s="63" t="str">
        <f t="shared" si="37"/>
        <v/>
      </c>
      <c r="Z816" s="63" t="str">
        <f t="shared" si="38"/>
        <v/>
      </c>
      <c r="AA816" s="63" t="str">
        <f>TEXT(Table111[[#This Row],[YEAR]],"0000")&amp;"-"&amp;Table111[[#This Row],[MONTH]]</f>
        <v>-</v>
      </c>
    </row>
    <row r="817" spans="2:27" x14ac:dyDescent="0.3">
      <c r="B817" s="68"/>
      <c r="C817" s="68"/>
      <c r="D817" s="68"/>
      <c r="E817" s="71"/>
      <c r="F817" s="72"/>
      <c r="G817" s="70"/>
      <c r="H817" s="74"/>
      <c r="I817" s="70"/>
      <c r="J817" s="70"/>
      <c r="K817" s="70"/>
      <c r="L817" s="74"/>
      <c r="M817" s="123"/>
      <c r="N817" s="73"/>
      <c r="O817" s="236"/>
      <c r="P817" s="117"/>
      <c r="Q817" s="117"/>
      <c r="R817" s="156" t="str">
        <f>IF(Table111[[#This Row],[Qty]]="","",Table111[[#This Row],[Qty]]*Table111[[#This Row],[Unit Price]])</f>
        <v/>
      </c>
      <c r="S817" s="156" t="str">
        <f>IF(Table111[[#This Row],[Qty]]="","",Table111[[#This Row],[Qty]]*Table111[[#This Row],[Unit Price]]+Table111[[#This Row],[Delivery Cost]])</f>
        <v/>
      </c>
      <c r="T817" s="72"/>
      <c r="U817" s="72"/>
      <c r="V817" s="72"/>
      <c r="W817" s="219"/>
      <c r="X817" s="63" t="str">
        <f t="shared" si="36"/>
        <v/>
      </c>
      <c r="Y817" s="63" t="str">
        <f t="shared" si="37"/>
        <v/>
      </c>
      <c r="Z817" s="63" t="str">
        <f t="shared" si="38"/>
        <v/>
      </c>
      <c r="AA817" s="63" t="str">
        <f>TEXT(Table111[[#This Row],[YEAR]],"0000")&amp;"-"&amp;Table111[[#This Row],[MONTH]]</f>
        <v>-</v>
      </c>
    </row>
    <row r="818" spans="2:27" x14ac:dyDescent="0.3">
      <c r="B818" s="183"/>
      <c r="C818" s="183"/>
      <c r="D818" s="183"/>
      <c r="E818" s="71"/>
      <c r="F818" s="72"/>
      <c r="G818" s="70"/>
      <c r="H818" s="74"/>
      <c r="I818" s="70"/>
      <c r="J818" s="70"/>
      <c r="K818" s="70"/>
      <c r="L818" s="74"/>
      <c r="M818" s="123"/>
      <c r="N818" s="73"/>
      <c r="O818" s="236"/>
      <c r="P818" s="117"/>
      <c r="Q818" s="117"/>
      <c r="R818" s="156" t="str">
        <f>IF(Table111[[#This Row],[Qty]]="","",Table111[[#This Row],[Qty]]*Table111[[#This Row],[Unit Price]])</f>
        <v/>
      </c>
      <c r="S818" s="156" t="str">
        <f>IF(Table111[[#This Row],[Qty]]="","",Table111[[#This Row],[Qty]]*Table111[[#This Row],[Unit Price]]+Table111[[#This Row],[Delivery Cost]])</f>
        <v/>
      </c>
      <c r="T818" s="72"/>
      <c r="U818" s="72"/>
      <c r="V818" s="72"/>
      <c r="W818" s="65"/>
      <c r="X818" s="63" t="str">
        <f t="shared" si="36"/>
        <v/>
      </c>
      <c r="Y818" s="63" t="str">
        <f t="shared" si="37"/>
        <v/>
      </c>
      <c r="Z818" s="63" t="str">
        <f t="shared" si="38"/>
        <v/>
      </c>
      <c r="AA818" s="63" t="str">
        <f>TEXT(Table111[[#This Row],[YEAR]],"0000")&amp;"-"&amp;Table111[[#This Row],[MONTH]]</f>
        <v>-</v>
      </c>
    </row>
    <row r="819" spans="2:27" x14ac:dyDescent="0.3">
      <c r="B819" s="68"/>
      <c r="C819" s="68"/>
      <c r="D819" s="68"/>
      <c r="E819" s="71"/>
      <c r="F819" s="72"/>
      <c r="G819" s="70"/>
      <c r="H819" s="74"/>
      <c r="I819" s="70"/>
      <c r="J819" s="70"/>
      <c r="K819" s="70"/>
      <c r="L819" s="74"/>
      <c r="M819" s="123"/>
      <c r="N819" s="73"/>
      <c r="O819" s="236"/>
      <c r="P819" s="117"/>
      <c r="Q819" s="117"/>
      <c r="R819" s="156" t="str">
        <f>IF(Table111[[#This Row],[Qty]]="","",Table111[[#This Row],[Qty]]*Table111[[#This Row],[Unit Price]])</f>
        <v/>
      </c>
      <c r="S819" s="156" t="str">
        <f>IF(Table111[[#This Row],[Qty]]="","",Table111[[#This Row],[Qty]]*Table111[[#This Row],[Unit Price]]+Table111[[#This Row],[Delivery Cost]])</f>
        <v/>
      </c>
      <c r="T819" s="72"/>
      <c r="U819" s="72"/>
      <c r="V819" s="72"/>
      <c r="W819" s="219"/>
      <c r="X819" s="63" t="str">
        <f t="shared" si="36"/>
        <v/>
      </c>
      <c r="Y819" s="63" t="str">
        <f t="shared" si="37"/>
        <v/>
      </c>
      <c r="Z819" s="63" t="str">
        <f t="shared" si="38"/>
        <v/>
      </c>
      <c r="AA819" s="63" t="str">
        <f>TEXT(Table111[[#This Row],[YEAR]],"0000")&amp;"-"&amp;Table111[[#This Row],[MONTH]]</f>
        <v>-</v>
      </c>
    </row>
    <row r="820" spans="2:27" x14ac:dyDescent="0.3">
      <c r="B820" s="183"/>
      <c r="C820" s="183"/>
      <c r="D820" s="183"/>
      <c r="E820" s="71"/>
      <c r="F820" s="72"/>
      <c r="G820" s="70"/>
      <c r="H820" s="74"/>
      <c r="I820" s="70"/>
      <c r="J820" s="70"/>
      <c r="K820" s="70"/>
      <c r="L820" s="74"/>
      <c r="M820" s="123"/>
      <c r="N820" s="73"/>
      <c r="O820" s="236"/>
      <c r="P820" s="117"/>
      <c r="Q820" s="117"/>
      <c r="R820" s="156" t="str">
        <f>IF(Table111[[#This Row],[Qty]]="","",Table111[[#This Row],[Qty]]*Table111[[#This Row],[Unit Price]])</f>
        <v/>
      </c>
      <c r="S820" s="156" t="str">
        <f>IF(Table111[[#This Row],[Qty]]="","",Table111[[#This Row],[Qty]]*Table111[[#This Row],[Unit Price]]+Table111[[#This Row],[Delivery Cost]])</f>
        <v/>
      </c>
      <c r="T820" s="72"/>
      <c r="U820" s="72"/>
      <c r="V820" s="72"/>
      <c r="W820" s="65"/>
      <c r="X820" s="63" t="str">
        <f t="shared" si="36"/>
        <v/>
      </c>
      <c r="Y820" s="63" t="str">
        <f t="shared" si="37"/>
        <v/>
      </c>
      <c r="Z820" s="63" t="str">
        <f t="shared" si="38"/>
        <v/>
      </c>
      <c r="AA820" s="63" t="str">
        <f>TEXT(Table111[[#This Row],[YEAR]],"0000")&amp;"-"&amp;Table111[[#This Row],[MONTH]]</f>
        <v>-</v>
      </c>
    </row>
    <row r="821" spans="2:27" x14ac:dyDescent="0.3">
      <c r="B821" s="68"/>
      <c r="C821" s="68"/>
      <c r="D821" s="68"/>
      <c r="E821" s="71"/>
      <c r="F821" s="72"/>
      <c r="G821" s="70"/>
      <c r="H821" s="74"/>
      <c r="I821" s="70"/>
      <c r="J821" s="70"/>
      <c r="K821" s="70"/>
      <c r="L821" s="74"/>
      <c r="M821" s="123"/>
      <c r="N821" s="73"/>
      <c r="O821" s="236"/>
      <c r="P821" s="117"/>
      <c r="Q821" s="117"/>
      <c r="R821" s="156" t="str">
        <f>IF(Table111[[#This Row],[Qty]]="","",Table111[[#This Row],[Qty]]*Table111[[#This Row],[Unit Price]])</f>
        <v/>
      </c>
      <c r="S821" s="156" t="str">
        <f>IF(Table111[[#This Row],[Qty]]="","",Table111[[#This Row],[Qty]]*Table111[[#This Row],[Unit Price]]+Table111[[#This Row],[Delivery Cost]])</f>
        <v/>
      </c>
      <c r="T821" s="72"/>
      <c r="U821" s="72"/>
      <c r="V821" s="72"/>
      <c r="W821" s="219"/>
      <c r="X821" s="63" t="str">
        <f t="shared" si="36"/>
        <v/>
      </c>
      <c r="Y821" s="63" t="str">
        <f t="shared" si="37"/>
        <v/>
      </c>
      <c r="Z821" s="63" t="str">
        <f t="shared" si="38"/>
        <v/>
      </c>
      <c r="AA821" s="63" t="str">
        <f>TEXT(Table111[[#This Row],[YEAR]],"0000")&amp;"-"&amp;Table111[[#This Row],[MONTH]]</f>
        <v>-</v>
      </c>
    </row>
    <row r="822" spans="2:27" x14ac:dyDescent="0.3">
      <c r="B822" s="183"/>
      <c r="C822" s="183"/>
      <c r="D822" s="183"/>
      <c r="E822" s="71"/>
      <c r="F822" s="72"/>
      <c r="G822" s="70"/>
      <c r="H822" s="74"/>
      <c r="I822" s="70"/>
      <c r="J822" s="70"/>
      <c r="K822" s="70"/>
      <c r="L822" s="74"/>
      <c r="M822" s="123"/>
      <c r="N822" s="73"/>
      <c r="O822" s="236"/>
      <c r="P822" s="117"/>
      <c r="Q822" s="117"/>
      <c r="R822" s="156" t="str">
        <f>IF(Table111[[#This Row],[Qty]]="","",Table111[[#This Row],[Qty]]*Table111[[#This Row],[Unit Price]])</f>
        <v/>
      </c>
      <c r="S822" s="156" t="str">
        <f>IF(Table111[[#This Row],[Qty]]="","",Table111[[#This Row],[Qty]]*Table111[[#This Row],[Unit Price]]+Table111[[#This Row],[Delivery Cost]])</f>
        <v/>
      </c>
      <c r="T822" s="72"/>
      <c r="U822" s="72"/>
      <c r="V822" s="72"/>
      <c r="W822" s="65"/>
      <c r="X822" s="63" t="str">
        <f t="shared" si="36"/>
        <v/>
      </c>
      <c r="Y822" s="63" t="str">
        <f t="shared" si="37"/>
        <v/>
      </c>
      <c r="Z822" s="63" t="str">
        <f t="shared" si="38"/>
        <v/>
      </c>
      <c r="AA822" s="63" t="str">
        <f>TEXT(Table111[[#This Row],[YEAR]],"0000")&amp;"-"&amp;Table111[[#This Row],[MONTH]]</f>
        <v>-</v>
      </c>
    </row>
    <row r="823" spans="2:27" x14ac:dyDescent="0.3">
      <c r="B823" s="68"/>
      <c r="C823" s="68"/>
      <c r="D823" s="68"/>
      <c r="E823" s="71"/>
      <c r="F823" s="72"/>
      <c r="G823" s="70"/>
      <c r="H823" s="74"/>
      <c r="I823" s="70"/>
      <c r="J823" s="70"/>
      <c r="K823" s="70"/>
      <c r="L823" s="74"/>
      <c r="M823" s="123"/>
      <c r="N823" s="73"/>
      <c r="O823" s="236"/>
      <c r="P823" s="117"/>
      <c r="Q823" s="117"/>
      <c r="R823" s="156" t="str">
        <f>IF(Table111[[#This Row],[Qty]]="","",Table111[[#This Row],[Qty]]*Table111[[#This Row],[Unit Price]])</f>
        <v/>
      </c>
      <c r="S823" s="156" t="str">
        <f>IF(Table111[[#This Row],[Qty]]="","",Table111[[#This Row],[Qty]]*Table111[[#This Row],[Unit Price]]+Table111[[#This Row],[Delivery Cost]])</f>
        <v/>
      </c>
      <c r="T823" s="72"/>
      <c r="U823" s="72"/>
      <c r="V823" s="72"/>
      <c r="W823" s="219"/>
      <c r="X823" s="63" t="str">
        <f t="shared" si="36"/>
        <v/>
      </c>
      <c r="Y823" s="63" t="str">
        <f t="shared" si="37"/>
        <v/>
      </c>
      <c r="Z823" s="63" t="str">
        <f t="shared" si="38"/>
        <v/>
      </c>
      <c r="AA823" s="63" t="str">
        <f>TEXT(Table111[[#This Row],[YEAR]],"0000")&amp;"-"&amp;Table111[[#This Row],[MONTH]]</f>
        <v>-</v>
      </c>
    </row>
    <row r="824" spans="2:27" x14ac:dyDescent="0.3">
      <c r="B824" s="183"/>
      <c r="C824" s="183"/>
      <c r="D824" s="183"/>
      <c r="E824" s="71"/>
      <c r="F824" s="72"/>
      <c r="G824" s="70"/>
      <c r="H824" s="74"/>
      <c r="I824" s="70"/>
      <c r="J824" s="70"/>
      <c r="K824" s="70"/>
      <c r="L824" s="74"/>
      <c r="M824" s="123"/>
      <c r="N824" s="73"/>
      <c r="O824" s="236"/>
      <c r="P824" s="117"/>
      <c r="Q824" s="117"/>
      <c r="R824" s="156" t="str">
        <f>IF(Table111[[#This Row],[Qty]]="","",Table111[[#This Row],[Qty]]*Table111[[#This Row],[Unit Price]])</f>
        <v/>
      </c>
      <c r="S824" s="156" t="str">
        <f>IF(Table111[[#This Row],[Qty]]="","",Table111[[#This Row],[Qty]]*Table111[[#This Row],[Unit Price]]+Table111[[#This Row],[Delivery Cost]])</f>
        <v/>
      </c>
      <c r="T824" s="72"/>
      <c r="U824" s="72"/>
      <c r="V824" s="72"/>
      <c r="W824" s="65"/>
      <c r="X824" s="63" t="str">
        <f t="shared" si="36"/>
        <v/>
      </c>
      <c r="Y824" s="63" t="str">
        <f t="shared" si="37"/>
        <v/>
      </c>
      <c r="Z824" s="63" t="str">
        <f t="shared" si="38"/>
        <v/>
      </c>
      <c r="AA824" s="63" t="str">
        <f>TEXT(Table111[[#This Row],[YEAR]],"0000")&amp;"-"&amp;Table111[[#This Row],[MONTH]]</f>
        <v>-</v>
      </c>
    </row>
    <row r="825" spans="2:27" x14ac:dyDescent="0.3">
      <c r="B825" s="68"/>
      <c r="C825" s="68"/>
      <c r="D825" s="68"/>
      <c r="E825" s="71"/>
      <c r="F825" s="72"/>
      <c r="G825" s="70"/>
      <c r="H825" s="74"/>
      <c r="I825" s="70"/>
      <c r="J825" s="70"/>
      <c r="K825" s="70"/>
      <c r="L825" s="74"/>
      <c r="M825" s="123"/>
      <c r="N825" s="73"/>
      <c r="O825" s="236"/>
      <c r="P825" s="117"/>
      <c r="Q825" s="117"/>
      <c r="R825" s="156" t="str">
        <f>IF(Table111[[#This Row],[Qty]]="","",Table111[[#This Row],[Qty]]*Table111[[#This Row],[Unit Price]])</f>
        <v/>
      </c>
      <c r="S825" s="156" t="str">
        <f>IF(Table111[[#This Row],[Qty]]="","",Table111[[#This Row],[Qty]]*Table111[[#This Row],[Unit Price]]+Table111[[#This Row],[Delivery Cost]])</f>
        <v/>
      </c>
      <c r="T825" s="72"/>
      <c r="U825" s="72"/>
      <c r="V825" s="72"/>
      <c r="W825" s="219"/>
      <c r="X825" s="63" t="str">
        <f t="shared" si="36"/>
        <v/>
      </c>
      <c r="Y825" s="63" t="str">
        <f t="shared" si="37"/>
        <v/>
      </c>
      <c r="Z825" s="63" t="str">
        <f t="shared" si="38"/>
        <v/>
      </c>
      <c r="AA825" s="63" t="str">
        <f>TEXT(Table111[[#This Row],[YEAR]],"0000")&amp;"-"&amp;Table111[[#This Row],[MONTH]]</f>
        <v>-</v>
      </c>
    </row>
    <row r="826" spans="2:27" x14ac:dyDescent="0.3">
      <c r="B826" s="183"/>
      <c r="C826" s="183"/>
      <c r="D826" s="183"/>
      <c r="E826" s="71"/>
      <c r="F826" s="72"/>
      <c r="G826" s="70"/>
      <c r="H826" s="74"/>
      <c r="I826" s="70"/>
      <c r="J826" s="70"/>
      <c r="K826" s="70"/>
      <c r="L826" s="74"/>
      <c r="M826" s="123"/>
      <c r="N826" s="73"/>
      <c r="O826" s="236"/>
      <c r="P826" s="117"/>
      <c r="Q826" s="117"/>
      <c r="R826" s="156" t="str">
        <f>IF(Table111[[#This Row],[Qty]]="","",Table111[[#This Row],[Qty]]*Table111[[#This Row],[Unit Price]])</f>
        <v/>
      </c>
      <c r="S826" s="156" t="str">
        <f>IF(Table111[[#This Row],[Qty]]="","",Table111[[#This Row],[Qty]]*Table111[[#This Row],[Unit Price]]+Table111[[#This Row],[Delivery Cost]])</f>
        <v/>
      </c>
      <c r="T826" s="72"/>
      <c r="U826" s="72"/>
      <c r="V826" s="72"/>
      <c r="W826" s="65"/>
      <c r="X826" s="63" t="str">
        <f t="shared" si="36"/>
        <v/>
      </c>
      <c r="Y826" s="63" t="str">
        <f t="shared" si="37"/>
        <v/>
      </c>
      <c r="Z826" s="63" t="str">
        <f t="shared" si="38"/>
        <v/>
      </c>
      <c r="AA826" s="63" t="str">
        <f>TEXT(Table111[[#This Row],[YEAR]],"0000")&amp;"-"&amp;Table111[[#This Row],[MONTH]]</f>
        <v>-</v>
      </c>
    </row>
    <row r="827" spans="2:27" x14ac:dyDescent="0.3">
      <c r="B827" s="68"/>
      <c r="C827" s="68"/>
      <c r="D827" s="68"/>
      <c r="E827" s="71"/>
      <c r="F827" s="72"/>
      <c r="G827" s="70"/>
      <c r="H827" s="74"/>
      <c r="I827" s="70"/>
      <c r="J827" s="70"/>
      <c r="K827" s="70"/>
      <c r="L827" s="74"/>
      <c r="M827" s="123"/>
      <c r="N827" s="73"/>
      <c r="O827" s="236"/>
      <c r="P827" s="117"/>
      <c r="Q827" s="117"/>
      <c r="R827" s="156" t="str">
        <f>IF(Table111[[#This Row],[Qty]]="","",Table111[[#This Row],[Qty]]*Table111[[#This Row],[Unit Price]])</f>
        <v/>
      </c>
      <c r="S827" s="156" t="str">
        <f>IF(Table111[[#This Row],[Qty]]="","",Table111[[#This Row],[Qty]]*Table111[[#This Row],[Unit Price]]+Table111[[#This Row],[Delivery Cost]])</f>
        <v/>
      </c>
      <c r="T827" s="72"/>
      <c r="U827" s="72"/>
      <c r="V827" s="72"/>
      <c r="W827" s="219"/>
      <c r="X827" s="63" t="str">
        <f t="shared" si="36"/>
        <v/>
      </c>
      <c r="Y827" s="63" t="str">
        <f t="shared" si="37"/>
        <v/>
      </c>
      <c r="Z827" s="63" t="str">
        <f t="shared" si="38"/>
        <v/>
      </c>
      <c r="AA827" s="63" t="str">
        <f>TEXT(Table111[[#This Row],[YEAR]],"0000")&amp;"-"&amp;Table111[[#This Row],[MONTH]]</f>
        <v>-</v>
      </c>
    </row>
    <row r="828" spans="2:27" x14ac:dyDescent="0.3">
      <c r="B828" s="183"/>
      <c r="C828" s="183"/>
      <c r="D828" s="183"/>
      <c r="E828" s="71"/>
      <c r="F828" s="72"/>
      <c r="G828" s="70"/>
      <c r="H828" s="74"/>
      <c r="I828" s="70"/>
      <c r="J828" s="70"/>
      <c r="K828" s="70"/>
      <c r="L828" s="74"/>
      <c r="M828" s="123"/>
      <c r="N828" s="73"/>
      <c r="O828" s="236"/>
      <c r="P828" s="117"/>
      <c r="Q828" s="117"/>
      <c r="R828" s="156" t="str">
        <f>IF(Table111[[#This Row],[Qty]]="","",Table111[[#This Row],[Qty]]*Table111[[#This Row],[Unit Price]])</f>
        <v/>
      </c>
      <c r="S828" s="156" t="str">
        <f>IF(Table111[[#This Row],[Qty]]="","",Table111[[#This Row],[Qty]]*Table111[[#This Row],[Unit Price]]+Table111[[#This Row],[Delivery Cost]])</f>
        <v/>
      </c>
      <c r="T828" s="72"/>
      <c r="U828" s="72"/>
      <c r="V828" s="72"/>
      <c r="W828" s="65"/>
      <c r="X828" s="63" t="str">
        <f t="shared" si="36"/>
        <v/>
      </c>
      <c r="Y828" s="63" t="str">
        <f t="shared" si="37"/>
        <v/>
      </c>
      <c r="Z828" s="63" t="str">
        <f t="shared" si="38"/>
        <v/>
      </c>
      <c r="AA828" s="63" t="str">
        <f>TEXT(Table111[[#This Row],[YEAR]],"0000")&amp;"-"&amp;Table111[[#This Row],[MONTH]]</f>
        <v>-</v>
      </c>
    </row>
    <row r="829" spans="2:27" x14ac:dyDescent="0.3">
      <c r="B829" s="68"/>
      <c r="C829" s="68"/>
      <c r="D829" s="68"/>
      <c r="E829" s="71"/>
      <c r="F829" s="72"/>
      <c r="G829" s="70"/>
      <c r="H829" s="74"/>
      <c r="I829" s="70"/>
      <c r="J829" s="70"/>
      <c r="K829" s="70"/>
      <c r="L829" s="74"/>
      <c r="M829" s="123"/>
      <c r="N829" s="73"/>
      <c r="O829" s="236"/>
      <c r="P829" s="117"/>
      <c r="Q829" s="117"/>
      <c r="R829" s="156" t="str">
        <f>IF(Table111[[#This Row],[Qty]]="","",Table111[[#This Row],[Qty]]*Table111[[#This Row],[Unit Price]])</f>
        <v/>
      </c>
      <c r="S829" s="156" t="str">
        <f>IF(Table111[[#This Row],[Qty]]="","",Table111[[#This Row],[Qty]]*Table111[[#This Row],[Unit Price]]+Table111[[#This Row],[Delivery Cost]])</f>
        <v/>
      </c>
      <c r="T829" s="72"/>
      <c r="U829" s="72"/>
      <c r="V829" s="72"/>
      <c r="W829" s="219"/>
      <c r="X829" s="63" t="str">
        <f t="shared" si="36"/>
        <v/>
      </c>
      <c r="Y829" s="63" t="str">
        <f t="shared" si="37"/>
        <v/>
      </c>
      <c r="Z829" s="63" t="str">
        <f t="shared" si="38"/>
        <v/>
      </c>
      <c r="AA829" s="63" t="str">
        <f>TEXT(Table111[[#This Row],[YEAR]],"0000")&amp;"-"&amp;Table111[[#This Row],[MONTH]]</f>
        <v>-</v>
      </c>
    </row>
    <row r="830" spans="2:27" x14ac:dyDescent="0.3">
      <c r="B830" s="183"/>
      <c r="C830" s="183"/>
      <c r="D830" s="183"/>
      <c r="E830" s="71"/>
      <c r="F830" s="72"/>
      <c r="G830" s="70"/>
      <c r="H830" s="74"/>
      <c r="I830" s="70"/>
      <c r="J830" s="70"/>
      <c r="K830" s="70"/>
      <c r="L830" s="74"/>
      <c r="M830" s="123"/>
      <c r="N830" s="73"/>
      <c r="O830" s="236"/>
      <c r="P830" s="117"/>
      <c r="Q830" s="117"/>
      <c r="R830" s="156" t="str">
        <f>IF(Table111[[#This Row],[Qty]]="","",Table111[[#This Row],[Qty]]*Table111[[#This Row],[Unit Price]])</f>
        <v/>
      </c>
      <c r="S830" s="156" t="str">
        <f>IF(Table111[[#This Row],[Qty]]="","",Table111[[#This Row],[Qty]]*Table111[[#This Row],[Unit Price]]+Table111[[#This Row],[Delivery Cost]])</f>
        <v/>
      </c>
      <c r="T830" s="72"/>
      <c r="U830" s="72"/>
      <c r="V830" s="72"/>
      <c r="W830" s="65"/>
      <c r="X830" s="63" t="str">
        <f t="shared" si="36"/>
        <v/>
      </c>
      <c r="Y830" s="63" t="str">
        <f t="shared" si="37"/>
        <v/>
      </c>
      <c r="Z830" s="63" t="str">
        <f t="shared" si="38"/>
        <v/>
      </c>
      <c r="AA830" s="63" t="str">
        <f>TEXT(Table111[[#This Row],[YEAR]],"0000")&amp;"-"&amp;Table111[[#This Row],[MONTH]]</f>
        <v>-</v>
      </c>
    </row>
    <row r="831" spans="2:27" x14ac:dyDescent="0.3">
      <c r="B831" s="68"/>
      <c r="C831" s="68"/>
      <c r="D831" s="68"/>
      <c r="E831" s="71"/>
      <c r="F831" s="72"/>
      <c r="G831" s="70"/>
      <c r="H831" s="74"/>
      <c r="I831" s="70"/>
      <c r="J831" s="70"/>
      <c r="K831" s="70"/>
      <c r="L831" s="74"/>
      <c r="M831" s="123"/>
      <c r="N831" s="73"/>
      <c r="O831" s="236"/>
      <c r="P831" s="117"/>
      <c r="Q831" s="117"/>
      <c r="R831" s="156" t="str">
        <f>IF(Table111[[#This Row],[Qty]]="","",Table111[[#This Row],[Qty]]*Table111[[#This Row],[Unit Price]])</f>
        <v/>
      </c>
      <c r="S831" s="156" t="str">
        <f>IF(Table111[[#This Row],[Qty]]="","",Table111[[#This Row],[Qty]]*Table111[[#This Row],[Unit Price]]+Table111[[#This Row],[Delivery Cost]])</f>
        <v/>
      </c>
      <c r="T831" s="72"/>
      <c r="U831" s="72"/>
      <c r="V831" s="72"/>
      <c r="W831" s="219"/>
      <c r="X831" s="63" t="str">
        <f t="shared" si="36"/>
        <v/>
      </c>
      <c r="Y831" s="63" t="str">
        <f t="shared" si="37"/>
        <v/>
      </c>
      <c r="Z831" s="63" t="str">
        <f t="shared" si="38"/>
        <v/>
      </c>
      <c r="AA831" s="63" t="str">
        <f>TEXT(Table111[[#This Row],[YEAR]],"0000")&amp;"-"&amp;Table111[[#This Row],[MONTH]]</f>
        <v>-</v>
      </c>
    </row>
    <row r="832" spans="2:27" x14ac:dyDescent="0.3">
      <c r="B832" s="183"/>
      <c r="C832" s="183"/>
      <c r="D832" s="183"/>
      <c r="E832" s="71"/>
      <c r="F832" s="72"/>
      <c r="G832" s="70"/>
      <c r="H832" s="74"/>
      <c r="I832" s="70"/>
      <c r="J832" s="70"/>
      <c r="K832" s="70"/>
      <c r="L832" s="74"/>
      <c r="M832" s="123"/>
      <c r="N832" s="73"/>
      <c r="O832" s="236"/>
      <c r="P832" s="117"/>
      <c r="Q832" s="117"/>
      <c r="R832" s="156" t="str">
        <f>IF(Table111[[#This Row],[Qty]]="","",Table111[[#This Row],[Qty]]*Table111[[#This Row],[Unit Price]])</f>
        <v/>
      </c>
      <c r="S832" s="156" t="str">
        <f>IF(Table111[[#This Row],[Qty]]="","",Table111[[#This Row],[Qty]]*Table111[[#This Row],[Unit Price]]+Table111[[#This Row],[Delivery Cost]])</f>
        <v/>
      </c>
      <c r="T832" s="72"/>
      <c r="U832" s="72"/>
      <c r="V832" s="72"/>
      <c r="W832" s="65"/>
      <c r="X832" s="63" t="str">
        <f t="shared" si="36"/>
        <v/>
      </c>
      <c r="Y832" s="63" t="str">
        <f t="shared" si="37"/>
        <v/>
      </c>
      <c r="Z832" s="63" t="str">
        <f t="shared" si="38"/>
        <v/>
      </c>
      <c r="AA832" s="63" t="str">
        <f>TEXT(Table111[[#This Row],[YEAR]],"0000")&amp;"-"&amp;Table111[[#This Row],[MONTH]]</f>
        <v>-</v>
      </c>
    </row>
    <row r="833" spans="2:27" x14ac:dyDescent="0.3">
      <c r="B833" s="68"/>
      <c r="C833" s="68"/>
      <c r="D833" s="68"/>
      <c r="E833" s="71"/>
      <c r="F833" s="72"/>
      <c r="G833" s="70"/>
      <c r="H833" s="74"/>
      <c r="I833" s="70"/>
      <c r="J833" s="70"/>
      <c r="K833" s="70"/>
      <c r="L833" s="74"/>
      <c r="M833" s="123"/>
      <c r="N833" s="73"/>
      <c r="O833" s="236"/>
      <c r="P833" s="117"/>
      <c r="Q833" s="117"/>
      <c r="R833" s="156" t="str">
        <f>IF(Table111[[#This Row],[Qty]]="","",Table111[[#This Row],[Qty]]*Table111[[#This Row],[Unit Price]])</f>
        <v/>
      </c>
      <c r="S833" s="156" t="str">
        <f>IF(Table111[[#This Row],[Qty]]="","",Table111[[#This Row],[Qty]]*Table111[[#This Row],[Unit Price]]+Table111[[#This Row],[Delivery Cost]])</f>
        <v/>
      </c>
      <c r="T833" s="72"/>
      <c r="U833" s="72"/>
      <c r="V833" s="72"/>
      <c r="W833" s="219"/>
      <c r="X833" s="63" t="str">
        <f t="shared" si="36"/>
        <v/>
      </c>
      <c r="Y833" s="63" t="str">
        <f t="shared" si="37"/>
        <v/>
      </c>
      <c r="Z833" s="63" t="str">
        <f t="shared" si="38"/>
        <v/>
      </c>
      <c r="AA833" s="63" t="str">
        <f>TEXT(Table111[[#This Row],[YEAR]],"0000")&amp;"-"&amp;Table111[[#This Row],[MONTH]]</f>
        <v>-</v>
      </c>
    </row>
    <row r="834" spans="2:27" x14ac:dyDescent="0.3">
      <c r="B834" s="183"/>
      <c r="C834" s="183"/>
      <c r="D834" s="183"/>
      <c r="E834" s="71"/>
      <c r="F834" s="72"/>
      <c r="G834" s="70"/>
      <c r="H834" s="74"/>
      <c r="I834" s="70"/>
      <c r="J834" s="70"/>
      <c r="K834" s="70"/>
      <c r="L834" s="74"/>
      <c r="M834" s="123"/>
      <c r="N834" s="73"/>
      <c r="O834" s="236"/>
      <c r="P834" s="117"/>
      <c r="Q834" s="117"/>
      <c r="R834" s="156" t="str">
        <f>IF(Table111[[#This Row],[Qty]]="","",Table111[[#This Row],[Qty]]*Table111[[#This Row],[Unit Price]])</f>
        <v/>
      </c>
      <c r="S834" s="156" t="str">
        <f>IF(Table111[[#This Row],[Qty]]="","",Table111[[#This Row],[Qty]]*Table111[[#This Row],[Unit Price]]+Table111[[#This Row],[Delivery Cost]])</f>
        <v/>
      </c>
      <c r="T834" s="72"/>
      <c r="U834" s="72"/>
      <c r="V834" s="72"/>
      <c r="W834" s="65"/>
      <c r="X834" s="63" t="str">
        <f t="shared" si="36"/>
        <v/>
      </c>
      <c r="Y834" s="63" t="str">
        <f t="shared" si="37"/>
        <v/>
      </c>
      <c r="Z834" s="63" t="str">
        <f t="shared" si="38"/>
        <v/>
      </c>
      <c r="AA834" s="63" t="str">
        <f>TEXT(Table111[[#This Row],[YEAR]],"0000")&amp;"-"&amp;Table111[[#This Row],[MONTH]]</f>
        <v>-</v>
      </c>
    </row>
    <row r="835" spans="2:27" x14ac:dyDescent="0.3">
      <c r="B835" s="68"/>
      <c r="C835" s="68"/>
      <c r="D835" s="68"/>
      <c r="E835" s="71"/>
      <c r="F835" s="72"/>
      <c r="G835" s="70"/>
      <c r="H835" s="74"/>
      <c r="I835" s="70"/>
      <c r="J835" s="70"/>
      <c r="K835" s="70"/>
      <c r="L835" s="74"/>
      <c r="M835" s="123"/>
      <c r="N835" s="73"/>
      <c r="O835" s="236"/>
      <c r="P835" s="117"/>
      <c r="Q835" s="117"/>
      <c r="R835" s="156" t="str">
        <f>IF(Table111[[#This Row],[Qty]]="","",Table111[[#This Row],[Qty]]*Table111[[#This Row],[Unit Price]])</f>
        <v/>
      </c>
      <c r="S835" s="156" t="str">
        <f>IF(Table111[[#This Row],[Qty]]="","",Table111[[#This Row],[Qty]]*Table111[[#This Row],[Unit Price]]+Table111[[#This Row],[Delivery Cost]])</f>
        <v/>
      </c>
      <c r="T835" s="72"/>
      <c r="U835" s="72"/>
      <c r="V835" s="72"/>
      <c r="W835" s="219"/>
      <c r="X835" s="63" t="str">
        <f t="shared" ref="X835:X898" si="39">IF(E835=0,"",YEAR(E835))</f>
        <v/>
      </c>
      <c r="Y835" s="63" t="str">
        <f t="shared" ref="Y835:Y898" si="40">IF(E835=0,"",MONTH(E835))</f>
        <v/>
      </c>
      <c r="Z835" s="63" t="str">
        <f t="shared" ref="Z835:Z898" si="41">IF(E835=0,"",WEEKNUM(E835))</f>
        <v/>
      </c>
      <c r="AA835" s="63" t="str">
        <f>TEXT(Table111[[#This Row],[YEAR]],"0000")&amp;"-"&amp;Table111[[#This Row],[MONTH]]</f>
        <v>-</v>
      </c>
    </row>
    <row r="836" spans="2:27" x14ac:dyDescent="0.3">
      <c r="B836" s="183"/>
      <c r="C836" s="183"/>
      <c r="D836" s="183"/>
      <c r="E836" s="71"/>
      <c r="F836" s="72"/>
      <c r="G836" s="70"/>
      <c r="H836" s="74"/>
      <c r="I836" s="70"/>
      <c r="J836" s="70"/>
      <c r="K836" s="70"/>
      <c r="L836" s="74"/>
      <c r="M836" s="123"/>
      <c r="N836" s="73"/>
      <c r="O836" s="236"/>
      <c r="P836" s="117"/>
      <c r="Q836" s="117"/>
      <c r="R836" s="156" t="str">
        <f>IF(Table111[[#This Row],[Qty]]="","",Table111[[#This Row],[Qty]]*Table111[[#This Row],[Unit Price]])</f>
        <v/>
      </c>
      <c r="S836" s="156" t="str">
        <f>IF(Table111[[#This Row],[Qty]]="","",Table111[[#This Row],[Qty]]*Table111[[#This Row],[Unit Price]]+Table111[[#This Row],[Delivery Cost]])</f>
        <v/>
      </c>
      <c r="T836" s="72"/>
      <c r="U836" s="72"/>
      <c r="V836" s="72"/>
      <c r="W836" s="65"/>
      <c r="X836" s="63" t="str">
        <f t="shared" si="39"/>
        <v/>
      </c>
      <c r="Y836" s="63" t="str">
        <f t="shared" si="40"/>
        <v/>
      </c>
      <c r="Z836" s="63" t="str">
        <f t="shared" si="41"/>
        <v/>
      </c>
      <c r="AA836" s="63" t="str">
        <f>TEXT(Table111[[#This Row],[YEAR]],"0000")&amp;"-"&amp;Table111[[#This Row],[MONTH]]</f>
        <v>-</v>
      </c>
    </row>
    <row r="837" spans="2:27" x14ac:dyDescent="0.3">
      <c r="B837" s="68"/>
      <c r="C837" s="68"/>
      <c r="D837" s="68"/>
      <c r="E837" s="71"/>
      <c r="F837" s="72"/>
      <c r="G837" s="70"/>
      <c r="H837" s="74"/>
      <c r="I837" s="70"/>
      <c r="J837" s="70"/>
      <c r="K837" s="70"/>
      <c r="L837" s="74"/>
      <c r="M837" s="123"/>
      <c r="N837" s="73"/>
      <c r="O837" s="236"/>
      <c r="P837" s="117"/>
      <c r="Q837" s="117"/>
      <c r="R837" s="156" t="str">
        <f>IF(Table111[[#This Row],[Qty]]="","",Table111[[#This Row],[Qty]]*Table111[[#This Row],[Unit Price]])</f>
        <v/>
      </c>
      <c r="S837" s="156" t="str">
        <f>IF(Table111[[#This Row],[Qty]]="","",Table111[[#This Row],[Qty]]*Table111[[#This Row],[Unit Price]]+Table111[[#This Row],[Delivery Cost]])</f>
        <v/>
      </c>
      <c r="T837" s="72"/>
      <c r="U837" s="72"/>
      <c r="V837" s="72"/>
      <c r="W837" s="219"/>
      <c r="X837" s="63" t="str">
        <f t="shared" si="39"/>
        <v/>
      </c>
      <c r="Y837" s="63" t="str">
        <f t="shared" si="40"/>
        <v/>
      </c>
      <c r="Z837" s="63" t="str">
        <f t="shared" si="41"/>
        <v/>
      </c>
      <c r="AA837" s="63" t="str">
        <f>TEXT(Table111[[#This Row],[YEAR]],"0000")&amp;"-"&amp;Table111[[#This Row],[MONTH]]</f>
        <v>-</v>
      </c>
    </row>
    <row r="838" spans="2:27" x14ac:dyDescent="0.3">
      <c r="B838" s="183"/>
      <c r="C838" s="183"/>
      <c r="D838" s="183"/>
      <c r="E838" s="71"/>
      <c r="F838" s="72"/>
      <c r="G838" s="70"/>
      <c r="H838" s="74"/>
      <c r="I838" s="70"/>
      <c r="J838" s="70"/>
      <c r="K838" s="70"/>
      <c r="L838" s="74"/>
      <c r="M838" s="123"/>
      <c r="N838" s="73"/>
      <c r="O838" s="236"/>
      <c r="P838" s="117"/>
      <c r="Q838" s="117"/>
      <c r="R838" s="156" t="str">
        <f>IF(Table111[[#This Row],[Qty]]="","",Table111[[#This Row],[Qty]]*Table111[[#This Row],[Unit Price]])</f>
        <v/>
      </c>
      <c r="S838" s="156" t="str">
        <f>IF(Table111[[#This Row],[Qty]]="","",Table111[[#This Row],[Qty]]*Table111[[#This Row],[Unit Price]]+Table111[[#This Row],[Delivery Cost]])</f>
        <v/>
      </c>
      <c r="T838" s="72"/>
      <c r="U838" s="72"/>
      <c r="V838" s="72"/>
      <c r="W838" s="65"/>
      <c r="X838" s="63" t="str">
        <f t="shared" si="39"/>
        <v/>
      </c>
      <c r="Y838" s="63" t="str">
        <f t="shared" si="40"/>
        <v/>
      </c>
      <c r="Z838" s="63" t="str">
        <f t="shared" si="41"/>
        <v/>
      </c>
      <c r="AA838" s="63" t="str">
        <f>TEXT(Table111[[#This Row],[YEAR]],"0000")&amp;"-"&amp;Table111[[#This Row],[MONTH]]</f>
        <v>-</v>
      </c>
    </row>
    <row r="839" spans="2:27" x14ac:dyDescent="0.3">
      <c r="B839" s="68"/>
      <c r="C839" s="68"/>
      <c r="D839" s="68"/>
      <c r="E839" s="71"/>
      <c r="F839" s="72"/>
      <c r="G839" s="70"/>
      <c r="H839" s="74"/>
      <c r="I839" s="70"/>
      <c r="J839" s="70"/>
      <c r="K839" s="70"/>
      <c r="L839" s="74"/>
      <c r="M839" s="123"/>
      <c r="N839" s="73"/>
      <c r="O839" s="236"/>
      <c r="P839" s="117"/>
      <c r="Q839" s="117"/>
      <c r="R839" s="156" t="str">
        <f>IF(Table111[[#This Row],[Qty]]="","",Table111[[#This Row],[Qty]]*Table111[[#This Row],[Unit Price]])</f>
        <v/>
      </c>
      <c r="S839" s="156" t="str">
        <f>IF(Table111[[#This Row],[Qty]]="","",Table111[[#This Row],[Qty]]*Table111[[#This Row],[Unit Price]]+Table111[[#This Row],[Delivery Cost]])</f>
        <v/>
      </c>
      <c r="T839" s="72"/>
      <c r="U839" s="72"/>
      <c r="V839" s="72"/>
      <c r="W839" s="219"/>
      <c r="X839" s="63" t="str">
        <f t="shared" si="39"/>
        <v/>
      </c>
      <c r="Y839" s="63" t="str">
        <f t="shared" si="40"/>
        <v/>
      </c>
      <c r="Z839" s="63" t="str">
        <f t="shared" si="41"/>
        <v/>
      </c>
      <c r="AA839" s="63" t="str">
        <f>TEXT(Table111[[#This Row],[YEAR]],"0000")&amp;"-"&amp;Table111[[#This Row],[MONTH]]</f>
        <v>-</v>
      </c>
    </row>
    <row r="840" spans="2:27" x14ac:dyDescent="0.3">
      <c r="B840" s="183"/>
      <c r="C840" s="183"/>
      <c r="D840" s="183"/>
      <c r="E840" s="71"/>
      <c r="F840" s="72"/>
      <c r="G840" s="70"/>
      <c r="H840" s="74"/>
      <c r="I840" s="70"/>
      <c r="J840" s="70"/>
      <c r="K840" s="70"/>
      <c r="L840" s="74"/>
      <c r="M840" s="123"/>
      <c r="N840" s="73"/>
      <c r="O840" s="236"/>
      <c r="P840" s="117"/>
      <c r="Q840" s="117"/>
      <c r="R840" s="156" t="str">
        <f>IF(Table111[[#This Row],[Qty]]="","",Table111[[#This Row],[Qty]]*Table111[[#This Row],[Unit Price]])</f>
        <v/>
      </c>
      <c r="S840" s="156" t="str">
        <f>IF(Table111[[#This Row],[Qty]]="","",Table111[[#This Row],[Qty]]*Table111[[#This Row],[Unit Price]]+Table111[[#This Row],[Delivery Cost]])</f>
        <v/>
      </c>
      <c r="T840" s="72"/>
      <c r="U840" s="72"/>
      <c r="V840" s="72"/>
      <c r="W840" s="65"/>
      <c r="X840" s="63" t="str">
        <f t="shared" si="39"/>
        <v/>
      </c>
      <c r="Y840" s="63" t="str">
        <f t="shared" si="40"/>
        <v/>
      </c>
      <c r="Z840" s="63" t="str">
        <f t="shared" si="41"/>
        <v/>
      </c>
      <c r="AA840" s="63" t="str">
        <f>TEXT(Table111[[#This Row],[YEAR]],"0000")&amp;"-"&amp;Table111[[#This Row],[MONTH]]</f>
        <v>-</v>
      </c>
    </row>
    <row r="841" spans="2:27" x14ac:dyDescent="0.3">
      <c r="B841" s="68"/>
      <c r="C841" s="68"/>
      <c r="D841" s="68"/>
      <c r="E841" s="71"/>
      <c r="F841" s="72"/>
      <c r="G841" s="70"/>
      <c r="H841" s="74"/>
      <c r="I841" s="70"/>
      <c r="J841" s="70"/>
      <c r="K841" s="70"/>
      <c r="L841" s="74"/>
      <c r="M841" s="123"/>
      <c r="N841" s="73"/>
      <c r="O841" s="236"/>
      <c r="P841" s="117"/>
      <c r="Q841" s="117"/>
      <c r="R841" s="156" t="str">
        <f>IF(Table111[[#This Row],[Qty]]="","",Table111[[#This Row],[Qty]]*Table111[[#This Row],[Unit Price]])</f>
        <v/>
      </c>
      <c r="S841" s="156" t="str">
        <f>IF(Table111[[#This Row],[Qty]]="","",Table111[[#This Row],[Qty]]*Table111[[#This Row],[Unit Price]]+Table111[[#This Row],[Delivery Cost]])</f>
        <v/>
      </c>
      <c r="T841" s="72"/>
      <c r="U841" s="72"/>
      <c r="V841" s="72"/>
      <c r="W841" s="219"/>
      <c r="X841" s="63" t="str">
        <f t="shared" si="39"/>
        <v/>
      </c>
      <c r="Y841" s="63" t="str">
        <f t="shared" si="40"/>
        <v/>
      </c>
      <c r="Z841" s="63" t="str">
        <f t="shared" si="41"/>
        <v/>
      </c>
      <c r="AA841" s="63" t="str">
        <f>TEXT(Table111[[#This Row],[YEAR]],"0000")&amp;"-"&amp;Table111[[#This Row],[MONTH]]</f>
        <v>-</v>
      </c>
    </row>
    <row r="842" spans="2:27" x14ac:dyDescent="0.3">
      <c r="B842" s="183"/>
      <c r="C842" s="183"/>
      <c r="D842" s="183"/>
      <c r="E842" s="71"/>
      <c r="F842" s="72"/>
      <c r="G842" s="70"/>
      <c r="H842" s="74"/>
      <c r="I842" s="70"/>
      <c r="J842" s="70"/>
      <c r="K842" s="70"/>
      <c r="L842" s="74"/>
      <c r="M842" s="123"/>
      <c r="N842" s="73"/>
      <c r="O842" s="236"/>
      <c r="P842" s="117"/>
      <c r="Q842" s="117"/>
      <c r="R842" s="156" t="str">
        <f>IF(Table111[[#This Row],[Qty]]="","",Table111[[#This Row],[Qty]]*Table111[[#This Row],[Unit Price]])</f>
        <v/>
      </c>
      <c r="S842" s="156" t="str">
        <f>IF(Table111[[#This Row],[Qty]]="","",Table111[[#This Row],[Qty]]*Table111[[#This Row],[Unit Price]]+Table111[[#This Row],[Delivery Cost]])</f>
        <v/>
      </c>
      <c r="T842" s="72"/>
      <c r="U842" s="72"/>
      <c r="V842" s="72"/>
      <c r="W842" s="65"/>
      <c r="X842" s="63" t="str">
        <f t="shared" si="39"/>
        <v/>
      </c>
      <c r="Y842" s="63" t="str">
        <f t="shared" si="40"/>
        <v/>
      </c>
      <c r="Z842" s="63" t="str">
        <f t="shared" si="41"/>
        <v/>
      </c>
      <c r="AA842" s="63" t="str">
        <f>TEXT(Table111[[#This Row],[YEAR]],"0000")&amp;"-"&amp;Table111[[#This Row],[MONTH]]</f>
        <v>-</v>
      </c>
    </row>
    <row r="843" spans="2:27" x14ac:dyDescent="0.3">
      <c r="B843" s="68"/>
      <c r="C843" s="68"/>
      <c r="D843" s="68"/>
      <c r="E843" s="71"/>
      <c r="F843" s="72"/>
      <c r="G843" s="70"/>
      <c r="H843" s="74"/>
      <c r="I843" s="70"/>
      <c r="J843" s="70"/>
      <c r="K843" s="70"/>
      <c r="L843" s="74"/>
      <c r="M843" s="123"/>
      <c r="N843" s="73"/>
      <c r="O843" s="236"/>
      <c r="P843" s="117"/>
      <c r="Q843" s="117"/>
      <c r="R843" s="156" t="str">
        <f>IF(Table111[[#This Row],[Qty]]="","",Table111[[#This Row],[Qty]]*Table111[[#This Row],[Unit Price]])</f>
        <v/>
      </c>
      <c r="S843" s="156" t="str">
        <f>IF(Table111[[#This Row],[Qty]]="","",Table111[[#This Row],[Qty]]*Table111[[#This Row],[Unit Price]]+Table111[[#This Row],[Delivery Cost]])</f>
        <v/>
      </c>
      <c r="T843" s="72"/>
      <c r="U843" s="72"/>
      <c r="V843" s="72"/>
      <c r="W843" s="219"/>
      <c r="X843" s="63" t="str">
        <f t="shared" si="39"/>
        <v/>
      </c>
      <c r="Y843" s="63" t="str">
        <f t="shared" si="40"/>
        <v/>
      </c>
      <c r="Z843" s="63" t="str">
        <f t="shared" si="41"/>
        <v/>
      </c>
      <c r="AA843" s="63" t="str">
        <f>TEXT(Table111[[#This Row],[YEAR]],"0000")&amp;"-"&amp;Table111[[#This Row],[MONTH]]</f>
        <v>-</v>
      </c>
    </row>
    <row r="844" spans="2:27" x14ac:dyDescent="0.3">
      <c r="B844" s="183"/>
      <c r="C844" s="183"/>
      <c r="D844" s="183"/>
      <c r="E844" s="71"/>
      <c r="F844" s="72"/>
      <c r="G844" s="70"/>
      <c r="H844" s="74"/>
      <c r="I844" s="70"/>
      <c r="J844" s="70"/>
      <c r="K844" s="70"/>
      <c r="L844" s="74"/>
      <c r="M844" s="123"/>
      <c r="N844" s="73"/>
      <c r="O844" s="236"/>
      <c r="P844" s="117"/>
      <c r="Q844" s="117"/>
      <c r="R844" s="156" t="str">
        <f>IF(Table111[[#This Row],[Qty]]="","",Table111[[#This Row],[Qty]]*Table111[[#This Row],[Unit Price]])</f>
        <v/>
      </c>
      <c r="S844" s="156" t="str">
        <f>IF(Table111[[#This Row],[Qty]]="","",Table111[[#This Row],[Qty]]*Table111[[#This Row],[Unit Price]]+Table111[[#This Row],[Delivery Cost]])</f>
        <v/>
      </c>
      <c r="T844" s="72"/>
      <c r="U844" s="72"/>
      <c r="V844" s="72"/>
      <c r="W844" s="65"/>
      <c r="X844" s="63" t="str">
        <f t="shared" si="39"/>
        <v/>
      </c>
      <c r="Y844" s="63" t="str">
        <f t="shared" si="40"/>
        <v/>
      </c>
      <c r="Z844" s="63" t="str">
        <f t="shared" si="41"/>
        <v/>
      </c>
      <c r="AA844" s="63" t="str">
        <f>TEXT(Table111[[#This Row],[YEAR]],"0000")&amp;"-"&amp;Table111[[#This Row],[MONTH]]</f>
        <v>-</v>
      </c>
    </row>
    <row r="845" spans="2:27" x14ac:dyDescent="0.3">
      <c r="B845" s="68"/>
      <c r="C845" s="68"/>
      <c r="D845" s="68"/>
      <c r="E845" s="71"/>
      <c r="F845" s="72"/>
      <c r="G845" s="70"/>
      <c r="H845" s="74"/>
      <c r="I845" s="70"/>
      <c r="J845" s="70"/>
      <c r="K845" s="70"/>
      <c r="L845" s="74"/>
      <c r="M845" s="123"/>
      <c r="N845" s="73"/>
      <c r="O845" s="236"/>
      <c r="P845" s="117"/>
      <c r="Q845" s="117"/>
      <c r="R845" s="156" t="str">
        <f>IF(Table111[[#This Row],[Qty]]="","",Table111[[#This Row],[Qty]]*Table111[[#This Row],[Unit Price]])</f>
        <v/>
      </c>
      <c r="S845" s="156" t="str">
        <f>IF(Table111[[#This Row],[Qty]]="","",Table111[[#This Row],[Qty]]*Table111[[#This Row],[Unit Price]]+Table111[[#This Row],[Delivery Cost]])</f>
        <v/>
      </c>
      <c r="T845" s="72"/>
      <c r="U845" s="72"/>
      <c r="V845" s="72"/>
      <c r="W845" s="219"/>
      <c r="X845" s="63" t="str">
        <f t="shared" si="39"/>
        <v/>
      </c>
      <c r="Y845" s="63" t="str">
        <f t="shared" si="40"/>
        <v/>
      </c>
      <c r="Z845" s="63" t="str">
        <f t="shared" si="41"/>
        <v/>
      </c>
      <c r="AA845" s="63" t="str">
        <f>TEXT(Table111[[#This Row],[YEAR]],"0000")&amp;"-"&amp;Table111[[#This Row],[MONTH]]</f>
        <v>-</v>
      </c>
    </row>
    <row r="846" spans="2:27" x14ac:dyDescent="0.3">
      <c r="B846" s="183"/>
      <c r="C846" s="183"/>
      <c r="D846" s="183"/>
      <c r="E846" s="71"/>
      <c r="F846" s="72"/>
      <c r="G846" s="70"/>
      <c r="H846" s="74"/>
      <c r="I846" s="70"/>
      <c r="J846" s="70"/>
      <c r="K846" s="70"/>
      <c r="L846" s="74"/>
      <c r="M846" s="123"/>
      <c r="N846" s="73"/>
      <c r="O846" s="236"/>
      <c r="P846" s="117"/>
      <c r="Q846" s="117"/>
      <c r="R846" s="156" t="str">
        <f>IF(Table111[[#This Row],[Qty]]="","",Table111[[#This Row],[Qty]]*Table111[[#This Row],[Unit Price]])</f>
        <v/>
      </c>
      <c r="S846" s="156" t="str">
        <f>IF(Table111[[#This Row],[Qty]]="","",Table111[[#This Row],[Qty]]*Table111[[#This Row],[Unit Price]]+Table111[[#This Row],[Delivery Cost]])</f>
        <v/>
      </c>
      <c r="T846" s="72"/>
      <c r="U846" s="72"/>
      <c r="V846" s="72"/>
      <c r="W846" s="65"/>
      <c r="X846" s="63" t="str">
        <f t="shared" si="39"/>
        <v/>
      </c>
      <c r="Y846" s="63" t="str">
        <f t="shared" si="40"/>
        <v/>
      </c>
      <c r="Z846" s="63" t="str">
        <f t="shared" si="41"/>
        <v/>
      </c>
      <c r="AA846" s="63" t="str">
        <f>TEXT(Table111[[#This Row],[YEAR]],"0000")&amp;"-"&amp;Table111[[#This Row],[MONTH]]</f>
        <v>-</v>
      </c>
    </row>
    <row r="847" spans="2:27" x14ac:dyDescent="0.3">
      <c r="B847" s="68"/>
      <c r="C847" s="68"/>
      <c r="D847" s="68"/>
      <c r="E847" s="71"/>
      <c r="F847" s="72"/>
      <c r="G847" s="70"/>
      <c r="H847" s="74"/>
      <c r="I847" s="70"/>
      <c r="J847" s="70"/>
      <c r="K847" s="70"/>
      <c r="L847" s="74"/>
      <c r="M847" s="123"/>
      <c r="N847" s="73"/>
      <c r="O847" s="236"/>
      <c r="P847" s="117"/>
      <c r="Q847" s="117"/>
      <c r="R847" s="156" t="str">
        <f>IF(Table111[[#This Row],[Qty]]="","",Table111[[#This Row],[Qty]]*Table111[[#This Row],[Unit Price]])</f>
        <v/>
      </c>
      <c r="S847" s="156" t="str">
        <f>IF(Table111[[#This Row],[Qty]]="","",Table111[[#This Row],[Qty]]*Table111[[#This Row],[Unit Price]]+Table111[[#This Row],[Delivery Cost]])</f>
        <v/>
      </c>
      <c r="T847" s="72"/>
      <c r="U847" s="72"/>
      <c r="V847" s="72"/>
      <c r="W847" s="219"/>
      <c r="X847" s="63" t="str">
        <f t="shared" si="39"/>
        <v/>
      </c>
      <c r="Y847" s="63" t="str">
        <f t="shared" si="40"/>
        <v/>
      </c>
      <c r="Z847" s="63" t="str">
        <f t="shared" si="41"/>
        <v/>
      </c>
      <c r="AA847" s="63" t="str">
        <f>TEXT(Table111[[#This Row],[YEAR]],"0000")&amp;"-"&amp;Table111[[#This Row],[MONTH]]</f>
        <v>-</v>
      </c>
    </row>
    <row r="848" spans="2:27" x14ac:dyDescent="0.3">
      <c r="B848" s="183"/>
      <c r="C848" s="183"/>
      <c r="D848" s="183"/>
      <c r="E848" s="71"/>
      <c r="F848" s="72"/>
      <c r="G848" s="70"/>
      <c r="H848" s="74"/>
      <c r="I848" s="70"/>
      <c r="J848" s="70"/>
      <c r="K848" s="70"/>
      <c r="L848" s="74"/>
      <c r="M848" s="123"/>
      <c r="N848" s="73"/>
      <c r="O848" s="236"/>
      <c r="P848" s="117"/>
      <c r="Q848" s="117"/>
      <c r="R848" s="156" t="str">
        <f>IF(Table111[[#This Row],[Qty]]="","",Table111[[#This Row],[Qty]]*Table111[[#This Row],[Unit Price]])</f>
        <v/>
      </c>
      <c r="S848" s="156" t="str">
        <f>IF(Table111[[#This Row],[Qty]]="","",Table111[[#This Row],[Qty]]*Table111[[#This Row],[Unit Price]]+Table111[[#This Row],[Delivery Cost]])</f>
        <v/>
      </c>
      <c r="T848" s="72"/>
      <c r="U848" s="72"/>
      <c r="V848" s="72"/>
      <c r="W848" s="65"/>
      <c r="X848" s="63" t="str">
        <f t="shared" si="39"/>
        <v/>
      </c>
      <c r="Y848" s="63" t="str">
        <f t="shared" si="40"/>
        <v/>
      </c>
      <c r="Z848" s="63" t="str">
        <f t="shared" si="41"/>
        <v/>
      </c>
      <c r="AA848" s="63" t="str">
        <f>TEXT(Table111[[#This Row],[YEAR]],"0000")&amp;"-"&amp;Table111[[#This Row],[MONTH]]</f>
        <v>-</v>
      </c>
    </row>
    <row r="849" spans="2:27" x14ac:dyDescent="0.3">
      <c r="B849" s="68"/>
      <c r="C849" s="68"/>
      <c r="D849" s="68"/>
      <c r="E849" s="71"/>
      <c r="F849" s="72"/>
      <c r="G849" s="70"/>
      <c r="H849" s="74"/>
      <c r="I849" s="70"/>
      <c r="J849" s="70"/>
      <c r="K849" s="70"/>
      <c r="L849" s="74"/>
      <c r="M849" s="123"/>
      <c r="N849" s="73"/>
      <c r="O849" s="236"/>
      <c r="P849" s="117"/>
      <c r="Q849" s="117"/>
      <c r="R849" s="156" t="str">
        <f>IF(Table111[[#This Row],[Qty]]="","",Table111[[#This Row],[Qty]]*Table111[[#This Row],[Unit Price]])</f>
        <v/>
      </c>
      <c r="S849" s="156" t="str">
        <f>IF(Table111[[#This Row],[Qty]]="","",Table111[[#This Row],[Qty]]*Table111[[#This Row],[Unit Price]]+Table111[[#This Row],[Delivery Cost]])</f>
        <v/>
      </c>
      <c r="T849" s="72"/>
      <c r="U849" s="72"/>
      <c r="V849" s="72"/>
      <c r="W849" s="219"/>
      <c r="X849" s="63" t="str">
        <f t="shared" si="39"/>
        <v/>
      </c>
      <c r="Y849" s="63" t="str">
        <f t="shared" si="40"/>
        <v/>
      </c>
      <c r="Z849" s="63" t="str">
        <f t="shared" si="41"/>
        <v/>
      </c>
      <c r="AA849" s="63" t="str">
        <f>TEXT(Table111[[#This Row],[YEAR]],"0000")&amp;"-"&amp;Table111[[#This Row],[MONTH]]</f>
        <v>-</v>
      </c>
    </row>
    <row r="850" spans="2:27" x14ac:dyDescent="0.3">
      <c r="B850" s="183"/>
      <c r="C850" s="183"/>
      <c r="D850" s="183"/>
      <c r="E850" s="71"/>
      <c r="F850" s="72"/>
      <c r="G850" s="70"/>
      <c r="H850" s="74"/>
      <c r="I850" s="70"/>
      <c r="J850" s="70"/>
      <c r="K850" s="70"/>
      <c r="L850" s="74"/>
      <c r="M850" s="123"/>
      <c r="N850" s="73"/>
      <c r="O850" s="236"/>
      <c r="P850" s="117"/>
      <c r="Q850" s="117"/>
      <c r="R850" s="156" t="str">
        <f>IF(Table111[[#This Row],[Qty]]="","",Table111[[#This Row],[Qty]]*Table111[[#This Row],[Unit Price]])</f>
        <v/>
      </c>
      <c r="S850" s="156" t="str">
        <f>IF(Table111[[#This Row],[Qty]]="","",Table111[[#This Row],[Qty]]*Table111[[#This Row],[Unit Price]]+Table111[[#This Row],[Delivery Cost]])</f>
        <v/>
      </c>
      <c r="T850" s="72"/>
      <c r="U850" s="72"/>
      <c r="V850" s="72"/>
      <c r="W850" s="65"/>
      <c r="X850" s="63" t="str">
        <f t="shared" si="39"/>
        <v/>
      </c>
      <c r="Y850" s="63" t="str">
        <f t="shared" si="40"/>
        <v/>
      </c>
      <c r="Z850" s="63" t="str">
        <f t="shared" si="41"/>
        <v/>
      </c>
      <c r="AA850" s="63" t="str">
        <f>TEXT(Table111[[#This Row],[YEAR]],"0000")&amp;"-"&amp;Table111[[#This Row],[MONTH]]</f>
        <v>-</v>
      </c>
    </row>
    <row r="851" spans="2:27" x14ac:dyDescent="0.3">
      <c r="B851" s="68"/>
      <c r="C851" s="68"/>
      <c r="D851" s="68"/>
      <c r="E851" s="71"/>
      <c r="F851" s="72"/>
      <c r="G851" s="70"/>
      <c r="H851" s="74"/>
      <c r="I851" s="70"/>
      <c r="J851" s="70"/>
      <c r="K851" s="70"/>
      <c r="L851" s="74"/>
      <c r="M851" s="123"/>
      <c r="N851" s="73"/>
      <c r="O851" s="236"/>
      <c r="P851" s="117"/>
      <c r="Q851" s="117"/>
      <c r="R851" s="156" t="str">
        <f>IF(Table111[[#This Row],[Qty]]="","",Table111[[#This Row],[Qty]]*Table111[[#This Row],[Unit Price]])</f>
        <v/>
      </c>
      <c r="S851" s="156" t="str">
        <f>IF(Table111[[#This Row],[Qty]]="","",Table111[[#This Row],[Qty]]*Table111[[#This Row],[Unit Price]]+Table111[[#This Row],[Delivery Cost]])</f>
        <v/>
      </c>
      <c r="T851" s="72"/>
      <c r="U851" s="72"/>
      <c r="V851" s="72"/>
      <c r="W851" s="219"/>
      <c r="X851" s="63" t="str">
        <f t="shared" si="39"/>
        <v/>
      </c>
      <c r="Y851" s="63" t="str">
        <f t="shared" si="40"/>
        <v/>
      </c>
      <c r="Z851" s="63" t="str">
        <f t="shared" si="41"/>
        <v/>
      </c>
      <c r="AA851" s="63" t="str">
        <f>TEXT(Table111[[#This Row],[YEAR]],"0000")&amp;"-"&amp;Table111[[#This Row],[MONTH]]</f>
        <v>-</v>
      </c>
    </row>
    <row r="852" spans="2:27" x14ac:dyDescent="0.3">
      <c r="B852" s="183"/>
      <c r="C852" s="183"/>
      <c r="D852" s="183"/>
      <c r="E852" s="71"/>
      <c r="F852" s="72"/>
      <c r="G852" s="70"/>
      <c r="H852" s="74"/>
      <c r="I852" s="70"/>
      <c r="J852" s="70"/>
      <c r="K852" s="70"/>
      <c r="L852" s="74"/>
      <c r="M852" s="123"/>
      <c r="N852" s="73"/>
      <c r="O852" s="236"/>
      <c r="P852" s="117"/>
      <c r="Q852" s="117"/>
      <c r="R852" s="156" t="str">
        <f>IF(Table111[[#This Row],[Qty]]="","",Table111[[#This Row],[Qty]]*Table111[[#This Row],[Unit Price]])</f>
        <v/>
      </c>
      <c r="S852" s="156" t="str">
        <f>IF(Table111[[#This Row],[Qty]]="","",Table111[[#This Row],[Qty]]*Table111[[#This Row],[Unit Price]]+Table111[[#This Row],[Delivery Cost]])</f>
        <v/>
      </c>
      <c r="T852" s="72"/>
      <c r="U852" s="72"/>
      <c r="V852" s="72"/>
      <c r="W852" s="65"/>
      <c r="X852" s="63" t="str">
        <f t="shared" si="39"/>
        <v/>
      </c>
      <c r="Y852" s="63" t="str">
        <f t="shared" si="40"/>
        <v/>
      </c>
      <c r="Z852" s="63" t="str">
        <f t="shared" si="41"/>
        <v/>
      </c>
      <c r="AA852" s="63" t="str">
        <f>TEXT(Table111[[#This Row],[YEAR]],"0000")&amp;"-"&amp;Table111[[#This Row],[MONTH]]</f>
        <v>-</v>
      </c>
    </row>
    <row r="853" spans="2:27" x14ac:dyDescent="0.3">
      <c r="B853" s="68"/>
      <c r="C853" s="68"/>
      <c r="D853" s="68"/>
      <c r="E853" s="71"/>
      <c r="F853" s="72"/>
      <c r="G853" s="70"/>
      <c r="H853" s="74"/>
      <c r="I853" s="70"/>
      <c r="J853" s="70"/>
      <c r="K853" s="70"/>
      <c r="L853" s="74"/>
      <c r="M853" s="123"/>
      <c r="N853" s="73"/>
      <c r="O853" s="236"/>
      <c r="P853" s="117"/>
      <c r="Q853" s="117"/>
      <c r="R853" s="156" t="str">
        <f>IF(Table111[[#This Row],[Qty]]="","",Table111[[#This Row],[Qty]]*Table111[[#This Row],[Unit Price]])</f>
        <v/>
      </c>
      <c r="S853" s="156" t="str">
        <f>IF(Table111[[#This Row],[Qty]]="","",Table111[[#This Row],[Qty]]*Table111[[#This Row],[Unit Price]]+Table111[[#This Row],[Delivery Cost]])</f>
        <v/>
      </c>
      <c r="T853" s="72"/>
      <c r="U853" s="72"/>
      <c r="V853" s="72"/>
      <c r="W853" s="219"/>
      <c r="X853" s="63" t="str">
        <f t="shared" si="39"/>
        <v/>
      </c>
      <c r="Y853" s="63" t="str">
        <f t="shared" si="40"/>
        <v/>
      </c>
      <c r="Z853" s="63" t="str">
        <f t="shared" si="41"/>
        <v/>
      </c>
      <c r="AA853" s="63" t="str">
        <f>TEXT(Table111[[#This Row],[YEAR]],"0000")&amp;"-"&amp;Table111[[#This Row],[MONTH]]</f>
        <v>-</v>
      </c>
    </row>
    <row r="854" spans="2:27" x14ac:dyDescent="0.3">
      <c r="B854" s="183"/>
      <c r="C854" s="183"/>
      <c r="D854" s="183"/>
      <c r="E854" s="71"/>
      <c r="F854" s="72"/>
      <c r="G854" s="70"/>
      <c r="H854" s="74"/>
      <c r="I854" s="70"/>
      <c r="J854" s="70"/>
      <c r="K854" s="70"/>
      <c r="L854" s="74"/>
      <c r="M854" s="123"/>
      <c r="N854" s="73"/>
      <c r="O854" s="236"/>
      <c r="P854" s="117"/>
      <c r="Q854" s="117"/>
      <c r="R854" s="156" t="str">
        <f>IF(Table111[[#This Row],[Qty]]="","",Table111[[#This Row],[Qty]]*Table111[[#This Row],[Unit Price]])</f>
        <v/>
      </c>
      <c r="S854" s="156" t="str">
        <f>IF(Table111[[#This Row],[Qty]]="","",Table111[[#This Row],[Qty]]*Table111[[#This Row],[Unit Price]]+Table111[[#This Row],[Delivery Cost]])</f>
        <v/>
      </c>
      <c r="T854" s="72"/>
      <c r="U854" s="72"/>
      <c r="V854" s="72"/>
      <c r="W854" s="65"/>
      <c r="X854" s="63" t="str">
        <f t="shared" si="39"/>
        <v/>
      </c>
      <c r="Y854" s="63" t="str">
        <f t="shared" si="40"/>
        <v/>
      </c>
      <c r="Z854" s="63" t="str">
        <f t="shared" si="41"/>
        <v/>
      </c>
      <c r="AA854" s="63" t="str">
        <f>TEXT(Table111[[#This Row],[YEAR]],"0000")&amp;"-"&amp;Table111[[#This Row],[MONTH]]</f>
        <v>-</v>
      </c>
    </row>
    <row r="855" spans="2:27" x14ac:dyDescent="0.3">
      <c r="B855" s="68"/>
      <c r="C855" s="68"/>
      <c r="D855" s="68"/>
      <c r="E855" s="71"/>
      <c r="F855" s="72"/>
      <c r="G855" s="70"/>
      <c r="H855" s="74"/>
      <c r="I855" s="70"/>
      <c r="J855" s="70"/>
      <c r="K855" s="70"/>
      <c r="L855" s="74"/>
      <c r="M855" s="123"/>
      <c r="N855" s="73"/>
      <c r="O855" s="236"/>
      <c r="P855" s="117"/>
      <c r="Q855" s="117"/>
      <c r="R855" s="156" t="str">
        <f>IF(Table111[[#This Row],[Qty]]="","",Table111[[#This Row],[Qty]]*Table111[[#This Row],[Unit Price]])</f>
        <v/>
      </c>
      <c r="S855" s="156" t="str">
        <f>IF(Table111[[#This Row],[Qty]]="","",Table111[[#This Row],[Qty]]*Table111[[#This Row],[Unit Price]]+Table111[[#This Row],[Delivery Cost]])</f>
        <v/>
      </c>
      <c r="T855" s="72"/>
      <c r="U855" s="72"/>
      <c r="V855" s="72"/>
      <c r="W855" s="219"/>
      <c r="X855" s="63" t="str">
        <f t="shared" si="39"/>
        <v/>
      </c>
      <c r="Y855" s="63" t="str">
        <f t="shared" si="40"/>
        <v/>
      </c>
      <c r="Z855" s="63" t="str">
        <f t="shared" si="41"/>
        <v/>
      </c>
      <c r="AA855" s="63" t="str">
        <f>TEXT(Table111[[#This Row],[YEAR]],"0000")&amp;"-"&amp;Table111[[#This Row],[MONTH]]</f>
        <v>-</v>
      </c>
    </row>
    <row r="856" spans="2:27" x14ac:dyDescent="0.3">
      <c r="B856" s="183"/>
      <c r="C856" s="183"/>
      <c r="D856" s="183"/>
      <c r="E856" s="71"/>
      <c r="F856" s="72"/>
      <c r="G856" s="70"/>
      <c r="H856" s="74"/>
      <c r="I856" s="70"/>
      <c r="J856" s="70"/>
      <c r="K856" s="70"/>
      <c r="L856" s="74"/>
      <c r="M856" s="123"/>
      <c r="N856" s="73"/>
      <c r="O856" s="236"/>
      <c r="P856" s="117"/>
      <c r="Q856" s="117"/>
      <c r="R856" s="156" t="str">
        <f>IF(Table111[[#This Row],[Qty]]="","",Table111[[#This Row],[Qty]]*Table111[[#This Row],[Unit Price]])</f>
        <v/>
      </c>
      <c r="S856" s="156" t="str">
        <f>IF(Table111[[#This Row],[Qty]]="","",Table111[[#This Row],[Qty]]*Table111[[#This Row],[Unit Price]]+Table111[[#This Row],[Delivery Cost]])</f>
        <v/>
      </c>
      <c r="T856" s="72"/>
      <c r="U856" s="72"/>
      <c r="V856" s="72"/>
      <c r="W856" s="65"/>
      <c r="X856" s="63" t="str">
        <f t="shared" si="39"/>
        <v/>
      </c>
      <c r="Y856" s="63" t="str">
        <f t="shared" si="40"/>
        <v/>
      </c>
      <c r="Z856" s="63" t="str">
        <f t="shared" si="41"/>
        <v/>
      </c>
      <c r="AA856" s="63" t="str">
        <f>TEXT(Table111[[#This Row],[YEAR]],"0000")&amp;"-"&amp;Table111[[#This Row],[MONTH]]</f>
        <v>-</v>
      </c>
    </row>
    <row r="857" spans="2:27" x14ac:dyDescent="0.3">
      <c r="B857" s="68"/>
      <c r="C857" s="68"/>
      <c r="D857" s="68"/>
      <c r="E857" s="71"/>
      <c r="F857" s="72"/>
      <c r="G857" s="70"/>
      <c r="H857" s="74"/>
      <c r="I857" s="70"/>
      <c r="J857" s="70"/>
      <c r="K857" s="70"/>
      <c r="L857" s="74"/>
      <c r="M857" s="123"/>
      <c r="N857" s="73"/>
      <c r="O857" s="236"/>
      <c r="P857" s="117"/>
      <c r="Q857" s="117"/>
      <c r="R857" s="156" t="str">
        <f>IF(Table111[[#This Row],[Qty]]="","",Table111[[#This Row],[Qty]]*Table111[[#This Row],[Unit Price]])</f>
        <v/>
      </c>
      <c r="S857" s="156" t="str">
        <f>IF(Table111[[#This Row],[Qty]]="","",Table111[[#This Row],[Qty]]*Table111[[#This Row],[Unit Price]]+Table111[[#This Row],[Delivery Cost]])</f>
        <v/>
      </c>
      <c r="T857" s="72"/>
      <c r="U857" s="72"/>
      <c r="V857" s="72"/>
      <c r="W857" s="219"/>
      <c r="X857" s="63" t="str">
        <f t="shared" si="39"/>
        <v/>
      </c>
      <c r="Y857" s="63" t="str">
        <f t="shared" si="40"/>
        <v/>
      </c>
      <c r="Z857" s="63" t="str">
        <f t="shared" si="41"/>
        <v/>
      </c>
      <c r="AA857" s="63" t="str">
        <f>TEXT(Table111[[#This Row],[YEAR]],"0000")&amp;"-"&amp;Table111[[#This Row],[MONTH]]</f>
        <v>-</v>
      </c>
    </row>
    <row r="858" spans="2:27" x14ac:dyDescent="0.3">
      <c r="B858" s="183"/>
      <c r="C858" s="183"/>
      <c r="D858" s="183"/>
      <c r="E858" s="71"/>
      <c r="F858" s="72"/>
      <c r="G858" s="70"/>
      <c r="H858" s="74"/>
      <c r="I858" s="70"/>
      <c r="J858" s="70"/>
      <c r="K858" s="70"/>
      <c r="L858" s="74"/>
      <c r="M858" s="123"/>
      <c r="N858" s="73"/>
      <c r="O858" s="236"/>
      <c r="P858" s="117"/>
      <c r="Q858" s="117"/>
      <c r="R858" s="156" t="str">
        <f>IF(Table111[[#This Row],[Qty]]="","",Table111[[#This Row],[Qty]]*Table111[[#This Row],[Unit Price]])</f>
        <v/>
      </c>
      <c r="S858" s="156" t="str">
        <f>IF(Table111[[#This Row],[Qty]]="","",Table111[[#This Row],[Qty]]*Table111[[#This Row],[Unit Price]]+Table111[[#This Row],[Delivery Cost]])</f>
        <v/>
      </c>
      <c r="T858" s="72"/>
      <c r="U858" s="72"/>
      <c r="V858" s="72"/>
      <c r="W858" s="65"/>
      <c r="X858" s="63" t="str">
        <f t="shared" si="39"/>
        <v/>
      </c>
      <c r="Y858" s="63" t="str">
        <f t="shared" si="40"/>
        <v/>
      </c>
      <c r="Z858" s="63" t="str">
        <f t="shared" si="41"/>
        <v/>
      </c>
      <c r="AA858" s="63" t="str">
        <f>TEXT(Table111[[#This Row],[YEAR]],"0000")&amp;"-"&amp;Table111[[#This Row],[MONTH]]</f>
        <v>-</v>
      </c>
    </row>
    <row r="859" spans="2:27" x14ac:dyDescent="0.3">
      <c r="B859" s="68"/>
      <c r="C859" s="68"/>
      <c r="D859" s="68"/>
      <c r="E859" s="71"/>
      <c r="F859" s="72"/>
      <c r="G859" s="70"/>
      <c r="H859" s="74"/>
      <c r="I859" s="70"/>
      <c r="J859" s="70"/>
      <c r="K859" s="70"/>
      <c r="L859" s="74"/>
      <c r="M859" s="123"/>
      <c r="N859" s="73"/>
      <c r="O859" s="236"/>
      <c r="P859" s="117"/>
      <c r="Q859" s="117"/>
      <c r="R859" s="156" t="str">
        <f>IF(Table111[[#This Row],[Qty]]="","",Table111[[#This Row],[Qty]]*Table111[[#This Row],[Unit Price]])</f>
        <v/>
      </c>
      <c r="S859" s="156" t="str">
        <f>IF(Table111[[#This Row],[Qty]]="","",Table111[[#This Row],[Qty]]*Table111[[#This Row],[Unit Price]]+Table111[[#This Row],[Delivery Cost]])</f>
        <v/>
      </c>
      <c r="T859" s="72"/>
      <c r="U859" s="72"/>
      <c r="V859" s="72"/>
      <c r="W859" s="219"/>
      <c r="X859" s="63" t="str">
        <f t="shared" si="39"/>
        <v/>
      </c>
      <c r="Y859" s="63" t="str">
        <f t="shared" si="40"/>
        <v/>
      </c>
      <c r="Z859" s="63" t="str">
        <f t="shared" si="41"/>
        <v/>
      </c>
      <c r="AA859" s="63" t="str">
        <f>TEXT(Table111[[#This Row],[YEAR]],"0000")&amp;"-"&amp;Table111[[#This Row],[MONTH]]</f>
        <v>-</v>
      </c>
    </row>
    <row r="860" spans="2:27" x14ac:dyDescent="0.3">
      <c r="B860" s="183"/>
      <c r="C860" s="183"/>
      <c r="D860" s="183"/>
      <c r="E860" s="71"/>
      <c r="F860" s="72"/>
      <c r="G860" s="70"/>
      <c r="H860" s="74"/>
      <c r="I860" s="70"/>
      <c r="J860" s="70"/>
      <c r="K860" s="70"/>
      <c r="L860" s="74"/>
      <c r="M860" s="123"/>
      <c r="N860" s="73"/>
      <c r="O860" s="236"/>
      <c r="P860" s="117"/>
      <c r="Q860" s="117"/>
      <c r="R860" s="156" t="str">
        <f>IF(Table111[[#This Row],[Qty]]="","",Table111[[#This Row],[Qty]]*Table111[[#This Row],[Unit Price]])</f>
        <v/>
      </c>
      <c r="S860" s="156" t="str">
        <f>IF(Table111[[#This Row],[Qty]]="","",Table111[[#This Row],[Qty]]*Table111[[#This Row],[Unit Price]]+Table111[[#This Row],[Delivery Cost]])</f>
        <v/>
      </c>
      <c r="T860" s="72"/>
      <c r="U860" s="72"/>
      <c r="V860" s="72"/>
      <c r="W860" s="65"/>
      <c r="X860" s="63" t="str">
        <f t="shared" si="39"/>
        <v/>
      </c>
      <c r="Y860" s="63" t="str">
        <f t="shared" si="40"/>
        <v/>
      </c>
      <c r="Z860" s="63" t="str">
        <f t="shared" si="41"/>
        <v/>
      </c>
      <c r="AA860" s="63" t="str">
        <f>TEXT(Table111[[#This Row],[YEAR]],"0000")&amp;"-"&amp;Table111[[#This Row],[MONTH]]</f>
        <v>-</v>
      </c>
    </row>
    <row r="861" spans="2:27" x14ac:dyDescent="0.3">
      <c r="B861" s="68"/>
      <c r="C861" s="68"/>
      <c r="D861" s="68"/>
      <c r="E861" s="71"/>
      <c r="F861" s="72"/>
      <c r="G861" s="70"/>
      <c r="H861" s="74"/>
      <c r="I861" s="70"/>
      <c r="J861" s="70"/>
      <c r="K861" s="70"/>
      <c r="L861" s="74"/>
      <c r="M861" s="123"/>
      <c r="N861" s="73"/>
      <c r="O861" s="236"/>
      <c r="P861" s="117"/>
      <c r="Q861" s="117"/>
      <c r="R861" s="156" t="str">
        <f>IF(Table111[[#This Row],[Qty]]="","",Table111[[#This Row],[Qty]]*Table111[[#This Row],[Unit Price]])</f>
        <v/>
      </c>
      <c r="S861" s="156" t="str">
        <f>IF(Table111[[#This Row],[Qty]]="","",Table111[[#This Row],[Qty]]*Table111[[#This Row],[Unit Price]]+Table111[[#This Row],[Delivery Cost]])</f>
        <v/>
      </c>
      <c r="T861" s="72"/>
      <c r="U861" s="72"/>
      <c r="V861" s="72"/>
      <c r="W861" s="219"/>
      <c r="X861" s="63" t="str">
        <f t="shared" si="39"/>
        <v/>
      </c>
      <c r="Y861" s="63" t="str">
        <f t="shared" si="40"/>
        <v/>
      </c>
      <c r="Z861" s="63" t="str">
        <f t="shared" si="41"/>
        <v/>
      </c>
      <c r="AA861" s="63" t="str">
        <f>TEXT(Table111[[#This Row],[YEAR]],"0000")&amp;"-"&amp;Table111[[#This Row],[MONTH]]</f>
        <v>-</v>
      </c>
    </row>
    <row r="862" spans="2:27" x14ac:dyDescent="0.3">
      <c r="B862" s="183"/>
      <c r="C862" s="183"/>
      <c r="D862" s="183"/>
      <c r="E862" s="71"/>
      <c r="F862" s="72"/>
      <c r="G862" s="70"/>
      <c r="H862" s="74"/>
      <c r="I862" s="70"/>
      <c r="J862" s="70"/>
      <c r="K862" s="70"/>
      <c r="L862" s="74"/>
      <c r="M862" s="123"/>
      <c r="N862" s="73"/>
      <c r="O862" s="236"/>
      <c r="P862" s="117"/>
      <c r="Q862" s="117"/>
      <c r="R862" s="156" t="str">
        <f>IF(Table111[[#This Row],[Qty]]="","",Table111[[#This Row],[Qty]]*Table111[[#This Row],[Unit Price]])</f>
        <v/>
      </c>
      <c r="S862" s="156" t="str">
        <f>IF(Table111[[#This Row],[Qty]]="","",Table111[[#This Row],[Qty]]*Table111[[#This Row],[Unit Price]]+Table111[[#This Row],[Delivery Cost]])</f>
        <v/>
      </c>
      <c r="T862" s="72"/>
      <c r="U862" s="72"/>
      <c r="V862" s="72"/>
      <c r="W862" s="65"/>
      <c r="X862" s="63" t="str">
        <f t="shared" si="39"/>
        <v/>
      </c>
      <c r="Y862" s="63" t="str">
        <f t="shared" si="40"/>
        <v/>
      </c>
      <c r="Z862" s="63" t="str">
        <f t="shared" si="41"/>
        <v/>
      </c>
      <c r="AA862" s="63" t="str">
        <f>TEXT(Table111[[#This Row],[YEAR]],"0000")&amp;"-"&amp;Table111[[#This Row],[MONTH]]</f>
        <v>-</v>
      </c>
    </row>
    <row r="863" spans="2:27" x14ac:dyDescent="0.3">
      <c r="B863" s="68"/>
      <c r="C863" s="68"/>
      <c r="D863" s="68"/>
      <c r="E863" s="71"/>
      <c r="F863" s="72"/>
      <c r="G863" s="70"/>
      <c r="H863" s="74"/>
      <c r="I863" s="70"/>
      <c r="J863" s="70"/>
      <c r="K863" s="70"/>
      <c r="L863" s="74"/>
      <c r="M863" s="123"/>
      <c r="N863" s="73"/>
      <c r="O863" s="236"/>
      <c r="P863" s="117"/>
      <c r="Q863" s="117"/>
      <c r="R863" s="156" t="str">
        <f>IF(Table111[[#This Row],[Qty]]="","",Table111[[#This Row],[Qty]]*Table111[[#This Row],[Unit Price]])</f>
        <v/>
      </c>
      <c r="S863" s="156" t="str">
        <f>IF(Table111[[#This Row],[Qty]]="","",Table111[[#This Row],[Qty]]*Table111[[#This Row],[Unit Price]]+Table111[[#This Row],[Delivery Cost]])</f>
        <v/>
      </c>
      <c r="T863" s="72"/>
      <c r="U863" s="72"/>
      <c r="V863" s="72"/>
      <c r="W863" s="219"/>
      <c r="X863" s="63" t="str">
        <f t="shared" si="39"/>
        <v/>
      </c>
      <c r="Y863" s="63" t="str">
        <f t="shared" si="40"/>
        <v/>
      </c>
      <c r="Z863" s="63" t="str">
        <f t="shared" si="41"/>
        <v/>
      </c>
      <c r="AA863" s="63" t="str">
        <f>TEXT(Table111[[#This Row],[YEAR]],"0000")&amp;"-"&amp;Table111[[#This Row],[MONTH]]</f>
        <v>-</v>
      </c>
    </row>
    <row r="864" spans="2:27" x14ac:dyDescent="0.3">
      <c r="B864" s="183"/>
      <c r="C864" s="183"/>
      <c r="D864" s="183"/>
      <c r="E864" s="71"/>
      <c r="F864" s="72"/>
      <c r="G864" s="70"/>
      <c r="H864" s="74"/>
      <c r="I864" s="70"/>
      <c r="J864" s="70"/>
      <c r="K864" s="70"/>
      <c r="L864" s="74"/>
      <c r="M864" s="123"/>
      <c r="N864" s="73"/>
      <c r="O864" s="236"/>
      <c r="P864" s="117"/>
      <c r="Q864" s="117"/>
      <c r="R864" s="156" t="str">
        <f>IF(Table111[[#This Row],[Qty]]="","",Table111[[#This Row],[Qty]]*Table111[[#This Row],[Unit Price]])</f>
        <v/>
      </c>
      <c r="S864" s="156" t="str">
        <f>IF(Table111[[#This Row],[Qty]]="","",Table111[[#This Row],[Qty]]*Table111[[#This Row],[Unit Price]]+Table111[[#This Row],[Delivery Cost]])</f>
        <v/>
      </c>
      <c r="T864" s="72"/>
      <c r="U864" s="72"/>
      <c r="V864" s="72"/>
      <c r="W864" s="65"/>
      <c r="X864" s="63" t="str">
        <f t="shared" si="39"/>
        <v/>
      </c>
      <c r="Y864" s="63" t="str">
        <f t="shared" si="40"/>
        <v/>
      </c>
      <c r="Z864" s="63" t="str">
        <f t="shared" si="41"/>
        <v/>
      </c>
      <c r="AA864" s="63" t="str">
        <f>TEXT(Table111[[#This Row],[YEAR]],"0000")&amp;"-"&amp;Table111[[#This Row],[MONTH]]</f>
        <v>-</v>
      </c>
    </row>
    <row r="865" spans="2:27" x14ac:dyDescent="0.3">
      <c r="B865" s="68"/>
      <c r="C865" s="68"/>
      <c r="D865" s="68"/>
      <c r="E865" s="71"/>
      <c r="F865" s="72"/>
      <c r="G865" s="70"/>
      <c r="H865" s="74"/>
      <c r="I865" s="70"/>
      <c r="J865" s="70"/>
      <c r="K865" s="70"/>
      <c r="L865" s="74"/>
      <c r="M865" s="123"/>
      <c r="N865" s="73"/>
      <c r="O865" s="236"/>
      <c r="P865" s="117"/>
      <c r="Q865" s="117"/>
      <c r="R865" s="156" t="str">
        <f>IF(Table111[[#This Row],[Qty]]="","",Table111[[#This Row],[Qty]]*Table111[[#This Row],[Unit Price]])</f>
        <v/>
      </c>
      <c r="S865" s="156" t="str">
        <f>IF(Table111[[#This Row],[Qty]]="","",Table111[[#This Row],[Qty]]*Table111[[#This Row],[Unit Price]]+Table111[[#This Row],[Delivery Cost]])</f>
        <v/>
      </c>
      <c r="T865" s="72"/>
      <c r="U865" s="72"/>
      <c r="V865" s="72"/>
      <c r="W865" s="219"/>
      <c r="X865" s="63" t="str">
        <f t="shared" si="39"/>
        <v/>
      </c>
      <c r="Y865" s="63" t="str">
        <f t="shared" si="40"/>
        <v/>
      </c>
      <c r="Z865" s="63" t="str">
        <f t="shared" si="41"/>
        <v/>
      </c>
      <c r="AA865" s="63" t="str">
        <f>TEXT(Table111[[#This Row],[YEAR]],"0000")&amp;"-"&amp;Table111[[#This Row],[MONTH]]</f>
        <v>-</v>
      </c>
    </row>
    <row r="866" spans="2:27" x14ac:dyDescent="0.3">
      <c r="B866" s="183"/>
      <c r="C866" s="183"/>
      <c r="D866" s="183"/>
      <c r="E866" s="71"/>
      <c r="F866" s="72"/>
      <c r="G866" s="70"/>
      <c r="H866" s="74"/>
      <c r="I866" s="70"/>
      <c r="J866" s="70"/>
      <c r="K866" s="70"/>
      <c r="L866" s="74"/>
      <c r="M866" s="123"/>
      <c r="N866" s="73"/>
      <c r="O866" s="236"/>
      <c r="P866" s="117"/>
      <c r="Q866" s="117"/>
      <c r="R866" s="156" t="str">
        <f>IF(Table111[[#This Row],[Qty]]="","",Table111[[#This Row],[Qty]]*Table111[[#This Row],[Unit Price]])</f>
        <v/>
      </c>
      <c r="S866" s="156" t="str">
        <f>IF(Table111[[#This Row],[Qty]]="","",Table111[[#This Row],[Qty]]*Table111[[#This Row],[Unit Price]]+Table111[[#This Row],[Delivery Cost]])</f>
        <v/>
      </c>
      <c r="T866" s="72"/>
      <c r="U866" s="72"/>
      <c r="V866" s="72"/>
      <c r="W866" s="65"/>
      <c r="X866" s="63" t="str">
        <f t="shared" si="39"/>
        <v/>
      </c>
      <c r="Y866" s="63" t="str">
        <f t="shared" si="40"/>
        <v/>
      </c>
      <c r="Z866" s="63" t="str">
        <f t="shared" si="41"/>
        <v/>
      </c>
      <c r="AA866" s="63" t="str">
        <f>TEXT(Table111[[#This Row],[YEAR]],"0000")&amp;"-"&amp;Table111[[#This Row],[MONTH]]</f>
        <v>-</v>
      </c>
    </row>
    <row r="867" spans="2:27" x14ac:dyDescent="0.3">
      <c r="B867" s="68"/>
      <c r="C867" s="68"/>
      <c r="D867" s="68"/>
      <c r="E867" s="71"/>
      <c r="F867" s="72"/>
      <c r="G867" s="70"/>
      <c r="H867" s="74"/>
      <c r="I867" s="70"/>
      <c r="J867" s="70"/>
      <c r="K867" s="70"/>
      <c r="L867" s="74"/>
      <c r="M867" s="123"/>
      <c r="N867" s="73"/>
      <c r="O867" s="236"/>
      <c r="P867" s="117"/>
      <c r="Q867" s="117"/>
      <c r="R867" s="156" t="str">
        <f>IF(Table111[[#This Row],[Qty]]="","",Table111[[#This Row],[Qty]]*Table111[[#This Row],[Unit Price]])</f>
        <v/>
      </c>
      <c r="S867" s="156" t="str">
        <f>IF(Table111[[#This Row],[Qty]]="","",Table111[[#This Row],[Qty]]*Table111[[#This Row],[Unit Price]]+Table111[[#This Row],[Delivery Cost]])</f>
        <v/>
      </c>
      <c r="T867" s="72"/>
      <c r="U867" s="72"/>
      <c r="V867" s="72"/>
      <c r="W867" s="219"/>
      <c r="X867" s="63" t="str">
        <f t="shared" si="39"/>
        <v/>
      </c>
      <c r="Y867" s="63" t="str">
        <f t="shared" si="40"/>
        <v/>
      </c>
      <c r="Z867" s="63" t="str">
        <f t="shared" si="41"/>
        <v/>
      </c>
      <c r="AA867" s="63" t="str">
        <f>TEXT(Table111[[#This Row],[YEAR]],"0000")&amp;"-"&amp;Table111[[#This Row],[MONTH]]</f>
        <v>-</v>
      </c>
    </row>
    <row r="868" spans="2:27" x14ac:dyDescent="0.3">
      <c r="B868" s="183"/>
      <c r="C868" s="183"/>
      <c r="D868" s="183"/>
      <c r="E868" s="71"/>
      <c r="F868" s="72"/>
      <c r="G868" s="70"/>
      <c r="H868" s="74"/>
      <c r="I868" s="70"/>
      <c r="J868" s="70"/>
      <c r="K868" s="70"/>
      <c r="L868" s="74"/>
      <c r="M868" s="123"/>
      <c r="N868" s="73"/>
      <c r="O868" s="236"/>
      <c r="P868" s="117"/>
      <c r="Q868" s="117"/>
      <c r="R868" s="156" t="str">
        <f>IF(Table111[[#This Row],[Qty]]="","",Table111[[#This Row],[Qty]]*Table111[[#This Row],[Unit Price]])</f>
        <v/>
      </c>
      <c r="S868" s="156" t="str">
        <f>IF(Table111[[#This Row],[Qty]]="","",Table111[[#This Row],[Qty]]*Table111[[#This Row],[Unit Price]]+Table111[[#This Row],[Delivery Cost]])</f>
        <v/>
      </c>
      <c r="T868" s="72"/>
      <c r="U868" s="72"/>
      <c r="V868" s="72"/>
      <c r="W868" s="65"/>
      <c r="X868" s="63" t="str">
        <f t="shared" si="39"/>
        <v/>
      </c>
      <c r="Y868" s="63" t="str">
        <f t="shared" si="40"/>
        <v/>
      </c>
      <c r="Z868" s="63" t="str">
        <f t="shared" si="41"/>
        <v/>
      </c>
      <c r="AA868" s="63" t="str">
        <f>TEXT(Table111[[#This Row],[YEAR]],"0000")&amp;"-"&amp;Table111[[#This Row],[MONTH]]</f>
        <v>-</v>
      </c>
    </row>
    <row r="869" spans="2:27" x14ac:dyDescent="0.3">
      <c r="B869" s="68"/>
      <c r="C869" s="68"/>
      <c r="D869" s="68"/>
      <c r="E869" s="71"/>
      <c r="F869" s="72"/>
      <c r="G869" s="70"/>
      <c r="H869" s="74"/>
      <c r="I869" s="70"/>
      <c r="J869" s="70"/>
      <c r="K869" s="70"/>
      <c r="L869" s="74"/>
      <c r="M869" s="123"/>
      <c r="N869" s="73"/>
      <c r="O869" s="236"/>
      <c r="P869" s="117"/>
      <c r="Q869" s="117"/>
      <c r="R869" s="156" t="str">
        <f>IF(Table111[[#This Row],[Qty]]="","",Table111[[#This Row],[Qty]]*Table111[[#This Row],[Unit Price]])</f>
        <v/>
      </c>
      <c r="S869" s="156" t="str">
        <f>IF(Table111[[#This Row],[Qty]]="","",Table111[[#This Row],[Qty]]*Table111[[#This Row],[Unit Price]]+Table111[[#This Row],[Delivery Cost]])</f>
        <v/>
      </c>
      <c r="T869" s="72"/>
      <c r="U869" s="72"/>
      <c r="V869" s="72"/>
      <c r="W869" s="219"/>
      <c r="X869" s="63" t="str">
        <f t="shared" si="39"/>
        <v/>
      </c>
      <c r="Y869" s="63" t="str">
        <f t="shared" si="40"/>
        <v/>
      </c>
      <c r="Z869" s="63" t="str">
        <f t="shared" si="41"/>
        <v/>
      </c>
      <c r="AA869" s="63" t="str">
        <f>TEXT(Table111[[#This Row],[YEAR]],"0000")&amp;"-"&amp;Table111[[#This Row],[MONTH]]</f>
        <v>-</v>
      </c>
    </row>
    <row r="870" spans="2:27" x14ac:dyDescent="0.3">
      <c r="B870" s="183"/>
      <c r="C870" s="183"/>
      <c r="D870" s="183"/>
      <c r="E870" s="71"/>
      <c r="F870" s="72"/>
      <c r="G870" s="70"/>
      <c r="H870" s="74"/>
      <c r="I870" s="70"/>
      <c r="J870" s="70"/>
      <c r="K870" s="70"/>
      <c r="L870" s="74"/>
      <c r="M870" s="123"/>
      <c r="N870" s="73"/>
      <c r="O870" s="236"/>
      <c r="P870" s="117"/>
      <c r="Q870" s="117"/>
      <c r="R870" s="156" t="str">
        <f>IF(Table111[[#This Row],[Qty]]="","",Table111[[#This Row],[Qty]]*Table111[[#This Row],[Unit Price]])</f>
        <v/>
      </c>
      <c r="S870" s="156" t="str">
        <f>IF(Table111[[#This Row],[Qty]]="","",Table111[[#This Row],[Qty]]*Table111[[#This Row],[Unit Price]]+Table111[[#This Row],[Delivery Cost]])</f>
        <v/>
      </c>
      <c r="T870" s="72"/>
      <c r="U870" s="72"/>
      <c r="V870" s="72"/>
      <c r="W870" s="65"/>
      <c r="X870" s="63" t="str">
        <f t="shared" si="39"/>
        <v/>
      </c>
      <c r="Y870" s="63" t="str">
        <f t="shared" si="40"/>
        <v/>
      </c>
      <c r="Z870" s="63" t="str">
        <f t="shared" si="41"/>
        <v/>
      </c>
      <c r="AA870" s="63" t="str">
        <f>TEXT(Table111[[#This Row],[YEAR]],"0000")&amp;"-"&amp;Table111[[#This Row],[MONTH]]</f>
        <v>-</v>
      </c>
    </row>
    <row r="871" spans="2:27" x14ac:dyDescent="0.3">
      <c r="B871" s="68"/>
      <c r="C871" s="68"/>
      <c r="D871" s="68"/>
      <c r="E871" s="71"/>
      <c r="F871" s="72"/>
      <c r="G871" s="70"/>
      <c r="H871" s="74"/>
      <c r="I871" s="70"/>
      <c r="J871" s="70"/>
      <c r="K871" s="70"/>
      <c r="L871" s="74"/>
      <c r="M871" s="123"/>
      <c r="N871" s="73"/>
      <c r="O871" s="236"/>
      <c r="P871" s="117"/>
      <c r="Q871" s="117"/>
      <c r="R871" s="156" t="str">
        <f>IF(Table111[[#This Row],[Qty]]="","",Table111[[#This Row],[Qty]]*Table111[[#This Row],[Unit Price]])</f>
        <v/>
      </c>
      <c r="S871" s="156" t="str">
        <f>IF(Table111[[#This Row],[Qty]]="","",Table111[[#This Row],[Qty]]*Table111[[#This Row],[Unit Price]]+Table111[[#This Row],[Delivery Cost]])</f>
        <v/>
      </c>
      <c r="T871" s="72"/>
      <c r="U871" s="72"/>
      <c r="V871" s="72"/>
      <c r="W871" s="219"/>
      <c r="X871" s="63" t="str">
        <f t="shared" si="39"/>
        <v/>
      </c>
      <c r="Y871" s="63" t="str">
        <f t="shared" si="40"/>
        <v/>
      </c>
      <c r="Z871" s="63" t="str">
        <f t="shared" si="41"/>
        <v/>
      </c>
      <c r="AA871" s="63" t="str">
        <f>TEXT(Table111[[#This Row],[YEAR]],"0000")&amp;"-"&amp;Table111[[#This Row],[MONTH]]</f>
        <v>-</v>
      </c>
    </row>
    <row r="872" spans="2:27" x14ac:dyDescent="0.3">
      <c r="B872" s="183"/>
      <c r="C872" s="183"/>
      <c r="D872" s="183"/>
      <c r="E872" s="71"/>
      <c r="F872" s="72"/>
      <c r="G872" s="70"/>
      <c r="H872" s="74"/>
      <c r="I872" s="70"/>
      <c r="J872" s="70"/>
      <c r="K872" s="70"/>
      <c r="L872" s="74"/>
      <c r="M872" s="123"/>
      <c r="N872" s="73"/>
      <c r="O872" s="236"/>
      <c r="P872" s="117"/>
      <c r="Q872" s="117"/>
      <c r="R872" s="156" t="str">
        <f>IF(Table111[[#This Row],[Qty]]="","",Table111[[#This Row],[Qty]]*Table111[[#This Row],[Unit Price]])</f>
        <v/>
      </c>
      <c r="S872" s="156" t="str">
        <f>IF(Table111[[#This Row],[Qty]]="","",Table111[[#This Row],[Qty]]*Table111[[#This Row],[Unit Price]]+Table111[[#This Row],[Delivery Cost]])</f>
        <v/>
      </c>
      <c r="T872" s="72"/>
      <c r="U872" s="72"/>
      <c r="V872" s="72"/>
      <c r="W872" s="65"/>
      <c r="X872" s="63" t="str">
        <f t="shared" si="39"/>
        <v/>
      </c>
      <c r="Y872" s="63" t="str">
        <f t="shared" si="40"/>
        <v/>
      </c>
      <c r="Z872" s="63" t="str">
        <f t="shared" si="41"/>
        <v/>
      </c>
      <c r="AA872" s="63" t="str">
        <f>TEXT(Table111[[#This Row],[YEAR]],"0000")&amp;"-"&amp;Table111[[#This Row],[MONTH]]</f>
        <v>-</v>
      </c>
    </row>
    <row r="873" spans="2:27" x14ac:dyDescent="0.3">
      <c r="B873" s="68"/>
      <c r="C873" s="68"/>
      <c r="D873" s="68"/>
      <c r="E873" s="71"/>
      <c r="F873" s="72"/>
      <c r="G873" s="70"/>
      <c r="H873" s="74"/>
      <c r="I873" s="70"/>
      <c r="J873" s="70"/>
      <c r="K873" s="70"/>
      <c r="L873" s="74"/>
      <c r="M873" s="123"/>
      <c r="N873" s="73"/>
      <c r="O873" s="236"/>
      <c r="P873" s="117"/>
      <c r="Q873" s="117"/>
      <c r="R873" s="156" t="str">
        <f>IF(Table111[[#This Row],[Qty]]="","",Table111[[#This Row],[Qty]]*Table111[[#This Row],[Unit Price]])</f>
        <v/>
      </c>
      <c r="S873" s="156" t="str">
        <f>IF(Table111[[#This Row],[Qty]]="","",Table111[[#This Row],[Qty]]*Table111[[#This Row],[Unit Price]]+Table111[[#This Row],[Delivery Cost]])</f>
        <v/>
      </c>
      <c r="T873" s="72"/>
      <c r="U873" s="72"/>
      <c r="V873" s="72"/>
      <c r="W873" s="219"/>
      <c r="X873" s="63" t="str">
        <f t="shared" si="39"/>
        <v/>
      </c>
      <c r="Y873" s="63" t="str">
        <f t="shared" si="40"/>
        <v/>
      </c>
      <c r="Z873" s="63" t="str">
        <f t="shared" si="41"/>
        <v/>
      </c>
      <c r="AA873" s="63" t="str">
        <f>TEXT(Table111[[#This Row],[YEAR]],"0000")&amp;"-"&amp;Table111[[#This Row],[MONTH]]</f>
        <v>-</v>
      </c>
    </row>
    <row r="874" spans="2:27" x14ac:dyDescent="0.3">
      <c r="B874" s="183"/>
      <c r="C874" s="183"/>
      <c r="D874" s="183"/>
      <c r="E874" s="71"/>
      <c r="F874" s="72"/>
      <c r="G874" s="70"/>
      <c r="H874" s="74"/>
      <c r="I874" s="70"/>
      <c r="J874" s="70"/>
      <c r="K874" s="70"/>
      <c r="L874" s="74"/>
      <c r="M874" s="123"/>
      <c r="N874" s="73"/>
      <c r="O874" s="236"/>
      <c r="P874" s="117"/>
      <c r="Q874" s="117"/>
      <c r="R874" s="156" t="str">
        <f>IF(Table111[[#This Row],[Qty]]="","",Table111[[#This Row],[Qty]]*Table111[[#This Row],[Unit Price]])</f>
        <v/>
      </c>
      <c r="S874" s="156" t="str">
        <f>IF(Table111[[#This Row],[Qty]]="","",Table111[[#This Row],[Qty]]*Table111[[#This Row],[Unit Price]]+Table111[[#This Row],[Delivery Cost]])</f>
        <v/>
      </c>
      <c r="T874" s="72"/>
      <c r="U874" s="72"/>
      <c r="V874" s="72"/>
      <c r="W874" s="65"/>
      <c r="X874" s="63" t="str">
        <f t="shared" si="39"/>
        <v/>
      </c>
      <c r="Y874" s="63" t="str">
        <f t="shared" si="40"/>
        <v/>
      </c>
      <c r="Z874" s="63" t="str">
        <f t="shared" si="41"/>
        <v/>
      </c>
      <c r="AA874" s="63" t="str">
        <f>TEXT(Table111[[#This Row],[YEAR]],"0000")&amp;"-"&amp;Table111[[#This Row],[MONTH]]</f>
        <v>-</v>
      </c>
    </row>
    <row r="875" spans="2:27" x14ac:dyDescent="0.3">
      <c r="B875" s="68"/>
      <c r="C875" s="68"/>
      <c r="D875" s="68"/>
      <c r="E875" s="71"/>
      <c r="F875" s="72"/>
      <c r="G875" s="70"/>
      <c r="H875" s="74"/>
      <c r="I875" s="70"/>
      <c r="J875" s="70"/>
      <c r="K875" s="70"/>
      <c r="L875" s="74"/>
      <c r="M875" s="123"/>
      <c r="N875" s="73"/>
      <c r="O875" s="236"/>
      <c r="P875" s="117"/>
      <c r="Q875" s="117"/>
      <c r="R875" s="156" t="str">
        <f>IF(Table111[[#This Row],[Qty]]="","",Table111[[#This Row],[Qty]]*Table111[[#This Row],[Unit Price]])</f>
        <v/>
      </c>
      <c r="S875" s="156" t="str">
        <f>IF(Table111[[#This Row],[Qty]]="","",Table111[[#This Row],[Qty]]*Table111[[#This Row],[Unit Price]]+Table111[[#This Row],[Delivery Cost]])</f>
        <v/>
      </c>
      <c r="T875" s="72"/>
      <c r="U875" s="72"/>
      <c r="V875" s="72"/>
      <c r="W875" s="219"/>
      <c r="X875" s="63" t="str">
        <f t="shared" si="39"/>
        <v/>
      </c>
      <c r="Y875" s="63" t="str">
        <f t="shared" si="40"/>
        <v/>
      </c>
      <c r="Z875" s="63" t="str">
        <f t="shared" si="41"/>
        <v/>
      </c>
      <c r="AA875" s="63" t="str">
        <f>TEXT(Table111[[#This Row],[YEAR]],"0000")&amp;"-"&amp;Table111[[#This Row],[MONTH]]</f>
        <v>-</v>
      </c>
    </row>
    <row r="876" spans="2:27" x14ac:dyDescent="0.3">
      <c r="B876" s="183"/>
      <c r="C876" s="183"/>
      <c r="D876" s="183"/>
      <c r="E876" s="71"/>
      <c r="F876" s="72"/>
      <c r="G876" s="70"/>
      <c r="H876" s="74"/>
      <c r="I876" s="70"/>
      <c r="J876" s="70"/>
      <c r="K876" s="70"/>
      <c r="L876" s="74"/>
      <c r="M876" s="123"/>
      <c r="N876" s="73"/>
      <c r="O876" s="236"/>
      <c r="P876" s="117"/>
      <c r="Q876" s="117"/>
      <c r="R876" s="156" t="str">
        <f>IF(Table111[[#This Row],[Qty]]="","",Table111[[#This Row],[Qty]]*Table111[[#This Row],[Unit Price]])</f>
        <v/>
      </c>
      <c r="S876" s="156" t="str">
        <f>IF(Table111[[#This Row],[Qty]]="","",Table111[[#This Row],[Qty]]*Table111[[#This Row],[Unit Price]]+Table111[[#This Row],[Delivery Cost]])</f>
        <v/>
      </c>
      <c r="T876" s="72"/>
      <c r="U876" s="72"/>
      <c r="V876" s="72"/>
      <c r="W876" s="65"/>
      <c r="X876" s="63" t="str">
        <f t="shared" si="39"/>
        <v/>
      </c>
      <c r="Y876" s="63" t="str">
        <f t="shared" si="40"/>
        <v/>
      </c>
      <c r="Z876" s="63" t="str">
        <f t="shared" si="41"/>
        <v/>
      </c>
      <c r="AA876" s="63" t="str">
        <f>TEXT(Table111[[#This Row],[YEAR]],"0000")&amp;"-"&amp;Table111[[#This Row],[MONTH]]</f>
        <v>-</v>
      </c>
    </row>
    <row r="877" spans="2:27" x14ac:dyDescent="0.3">
      <c r="B877" s="68"/>
      <c r="C877" s="68"/>
      <c r="D877" s="68"/>
      <c r="E877" s="71"/>
      <c r="F877" s="72"/>
      <c r="G877" s="70"/>
      <c r="H877" s="74"/>
      <c r="I877" s="70"/>
      <c r="J877" s="70"/>
      <c r="K877" s="70"/>
      <c r="L877" s="74"/>
      <c r="M877" s="123"/>
      <c r="N877" s="73"/>
      <c r="O877" s="236"/>
      <c r="P877" s="117"/>
      <c r="Q877" s="117"/>
      <c r="R877" s="156" t="str">
        <f>IF(Table111[[#This Row],[Qty]]="","",Table111[[#This Row],[Qty]]*Table111[[#This Row],[Unit Price]])</f>
        <v/>
      </c>
      <c r="S877" s="156" t="str">
        <f>IF(Table111[[#This Row],[Qty]]="","",Table111[[#This Row],[Qty]]*Table111[[#This Row],[Unit Price]]+Table111[[#This Row],[Delivery Cost]])</f>
        <v/>
      </c>
      <c r="T877" s="72"/>
      <c r="U877" s="72"/>
      <c r="V877" s="72"/>
      <c r="W877" s="219"/>
      <c r="X877" s="63" t="str">
        <f t="shared" si="39"/>
        <v/>
      </c>
      <c r="Y877" s="63" t="str">
        <f t="shared" si="40"/>
        <v/>
      </c>
      <c r="Z877" s="63" t="str">
        <f t="shared" si="41"/>
        <v/>
      </c>
      <c r="AA877" s="63" t="str">
        <f>TEXT(Table111[[#This Row],[YEAR]],"0000")&amp;"-"&amp;Table111[[#This Row],[MONTH]]</f>
        <v>-</v>
      </c>
    </row>
    <row r="878" spans="2:27" x14ac:dyDescent="0.3">
      <c r="B878" s="183"/>
      <c r="C878" s="183"/>
      <c r="D878" s="183"/>
      <c r="E878" s="71"/>
      <c r="F878" s="72"/>
      <c r="G878" s="70"/>
      <c r="H878" s="74"/>
      <c r="I878" s="70"/>
      <c r="J878" s="70"/>
      <c r="K878" s="70"/>
      <c r="L878" s="74"/>
      <c r="M878" s="123"/>
      <c r="N878" s="73"/>
      <c r="O878" s="236"/>
      <c r="P878" s="117"/>
      <c r="Q878" s="117"/>
      <c r="R878" s="156" t="str">
        <f>IF(Table111[[#This Row],[Qty]]="","",Table111[[#This Row],[Qty]]*Table111[[#This Row],[Unit Price]])</f>
        <v/>
      </c>
      <c r="S878" s="156" t="str">
        <f>IF(Table111[[#This Row],[Qty]]="","",Table111[[#This Row],[Qty]]*Table111[[#This Row],[Unit Price]]+Table111[[#This Row],[Delivery Cost]])</f>
        <v/>
      </c>
      <c r="T878" s="72"/>
      <c r="U878" s="72"/>
      <c r="V878" s="72"/>
      <c r="W878" s="65"/>
      <c r="X878" s="63" t="str">
        <f t="shared" si="39"/>
        <v/>
      </c>
      <c r="Y878" s="63" t="str">
        <f t="shared" si="40"/>
        <v/>
      </c>
      <c r="Z878" s="63" t="str">
        <f t="shared" si="41"/>
        <v/>
      </c>
      <c r="AA878" s="63" t="str">
        <f>TEXT(Table111[[#This Row],[YEAR]],"0000")&amp;"-"&amp;Table111[[#This Row],[MONTH]]</f>
        <v>-</v>
      </c>
    </row>
    <row r="879" spans="2:27" x14ac:dyDescent="0.3">
      <c r="B879" s="68"/>
      <c r="C879" s="68"/>
      <c r="D879" s="68"/>
      <c r="E879" s="71"/>
      <c r="F879" s="72"/>
      <c r="G879" s="70"/>
      <c r="H879" s="74"/>
      <c r="I879" s="70"/>
      <c r="J879" s="70"/>
      <c r="K879" s="70"/>
      <c r="L879" s="74"/>
      <c r="M879" s="123"/>
      <c r="N879" s="73"/>
      <c r="O879" s="236"/>
      <c r="P879" s="117"/>
      <c r="Q879" s="117"/>
      <c r="R879" s="156" t="str">
        <f>IF(Table111[[#This Row],[Qty]]="","",Table111[[#This Row],[Qty]]*Table111[[#This Row],[Unit Price]])</f>
        <v/>
      </c>
      <c r="S879" s="156" t="str">
        <f>IF(Table111[[#This Row],[Qty]]="","",Table111[[#This Row],[Qty]]*Table111[[#This Row],[Unit Price]]+Table111[[#This Row],[Delivery Cost]])</f>
        <v/>
      </c>
      <c r="T879" s="72"/>
      <c r="U879" s="72"/>
      <c r="V879" s="72"/>
      <c r="W879" s="219"/>
      <c r="X879" s="63" t="str">
        <f t="shared" si="39"/>
        <v/>
      </c>
      <c r="Y879" s="63" t="str">
        <f t="shared" si="40"/>
        <v/>
      </c>
      <c r="Z879" s="63" t="str">
        <f t="shared" si="41"/>
        <v/>
      </c>
      <c r="AA879" s="63" t="str">
        <f>TEXT(Table111[[#This Row],[YEAR]],"0000")&amp;"-"&amp;Table111[[#This Row],[MONTH]]</f>
        <v>-</v>
      </c>
    </row>
    <row r="880" spans="2:27" x14ac:dyDescent="0.3">
      <c r="B880" s="183"/>
      <c r="C880" s="183"/>
      <c r="D880" s="183"/>
      <c r="E880" s="71"/>
      <c r="F880" s="72"/>
      <c r="G880" s="70"/>
      <c r="H880" s="74"/>
      <c r="I880" s="70"/>
      <c r="J880" s="70"/>
      <c r="K880" s="70"/>
      <c r="L880" s="74"/>
      <c r="M880" s="123"/>
      <c r="N880" s="73"/>
      <c r="O880" s="236"/>
      <c r="P880" s="117"/>
      <c r="Q880" s="117"/>
      <c r="R880" s="156" t="str">
        <f>IF(Table111[[#This Row],[Qty]]="","",Table111[[#This Row],[Qty]]*Table111[[#This Row],[Unit Price]])</f>
        <v/>
      </c>
      <c r="S880" s="156" t="str">
        <f>IF(Table111[[#This Row],[Qty]]="","",Table111[[#This Row],[Qty]]*Table111[[#This Row],[Unit Price]]+Table111[[#This Row],[Delivery Cost]])</f>
        <v/>
      </c>
      <c r="T880" s="72"/>
      <c r="U880" s="72"/>
      <c r="V880" s="72"/>
      <c r="W880" s="65"/>
      <c r="X880" s="63" t="str">
        <f t="shared" si="39"/>
        <v/>
      </c>
      <c r="Y880" s="63" t="str">
        <f t="shared" si="40"/>
        <v/>
      </c>
      <c r="Z880" s="63" t="str">
        <f t="shared" si="41"/>
        <v/>
      </c>
      <c r="AA880" s="63" t="str">
        <f>TEXT(Table111[[#This Row],[YEAR]],"0000")&amp;"-"&amp;Table111[[#This Row],[MONTH]]</f>
        <v>-</v>
      </c>
    </row>
    <row r="881" spans="2:27" x14ac:dyDescent="0.3">
      <c r="B881" s="68"/>
      <c r="C881" s="68"/>
      <c r="D881" s="68"/>
      <c r="E881" s="71"/>
      <c r="F881" s="72"/>
      <c r="G881" s="70"/>
      <c r="H881" s="74"/>
      <c r="I881" s="70"/>
      <c r="J881" s="70"/>
      <c r="K881" s="70"/>
      <c r="L881" s="74"/>
      <c r="M881" s="123"/>
      <c r="N881" s="73"/>
      <c r="O881" s="236"/>
      <c r="P881" s="117"/>
      <c r="Q881" s="117"/>
      <c r="R881" s="156" t="str">
        <f>IF(Table111[[#This Row],[Qty]]="","",Table111[[#This Row],[Qty]]*Table111[[#This Row],[Unit Price]])</f>
        <v/>
      </c>
      <c r="S881" s="156" t="str">
        <f>IF(Table111[[#This Row],[Qty]]="","",Table111[[#This Row],[Qty]]*Table111[[#This Row],[Unit Price]]+Table111[[#This Row],[Delivery Cost]])</f>
        <v/>
      </c>
      <c r="T881" s="72"/>
      <c r="U881" s="72"/>
      <c r="V881" s="72"/>
      <c r="W881" s="219"/>
      <c r="X881" s="63" t="str">
        <f t="shared" si="39"/>
        <v/>
      </c>
      <c r="Y881" s="63" t="str">
        <f t="shared" si="40"/>
        <v/>
      </c>
      <c r="Z881" s="63" t="str">
        <f t="shared" si="41"/>
        <v/>
      </c>
      <c r="AA881" s="63" t="str">
        <f>TEXT(Table111[[#This Row],[YEAR]],"0000")&amp;"-"&amp;Table111[[#This Row],[MONTH]]</f>
        <v>-</v>
      </c>
    </row>
    <row r="882" spans="2:27" x14ac:dyDescent="0.3">
      <c r="B882" s="183"/>
      <c r="C882" s="183"/>
      <c r="D882" s="183"/>
      <c r="E882" s="71"/>
      <c r="F882" s="72"/>
      <c r="G882" s="70"/>
      <c r="H882" s="74"/>
      <c r="I882" s="70"/>
      <c r="J882" s="70"/>
      <c r="K882" s="70"/>
      <c r="L882" s="74"/>
      <c r="M882" s="123"/>
      <c r="N882" s="73"/>
      <c r="O882" s="236"/>
      <c r="P882" s="117"/>
      <c r="Q882" s="117"/>
      <c r="R882" s="156" t="str">
        <f>IF(Table111[[#This Row],[Qty]]="","",Table111[[#This Row],[Qty]]*Table111[[#This Row],[Unit Price]])</f>
        <v/>
      </c>
      <c r="S882" s="156" t="str">
        <f>IF(Table111[[#This Row],[Qty]]="","",Table111[[#This Row],[Qty]]*Table111[[#This Row],[Unit Price]]+Table111[[#This Row],[Delivery Cost]])</f>
        <v/>
      </c>
      <c r="T882" s="72"/>
      <c r="U882" s="72"/>
      <c r="V882" s="72"/>
      <c r="W882" s="65"/>
      <c r="X882" s="63" t="str">
        <f t="shared" si="39"/>
        <v/>
      </c>
      <c r="Y882" s="63" t="str">
        <f t="shared" si="40"/>
        <v/>
      </c>
      <c r="Z882" s="63" t="str">
        <f t="shared" si="41"/>
        <v/>
      </c>
      <c r="AA882" s="63" t="str">
        <f>TEXT(Table111[[#This Row],[YEAR]],"0000")&amp;"-"&amp;Table111[[#This Row],[MONTH]]</f>
        <v>-</v>
      </c>
    </row>
    <row r="883" spans="2:27" x14ac:dyDescent="0.3">
      <c r="B883" s="68"/>
      <c r="C883" s="68"/>
      <c r="D883" s="68"/>
      <c r="E883" s="71"/>
      <c r="F883" s="72"/>
      <c r="G883" s="70"/>
      <c r="H883" s="74"/>
      <c r="I883" s="70"/>
      <c r="J883" s="70"/>
      <c r="K883" s="70"/>
      <c r="L883" s="74"/>
      <c r="M883" s="123"/>
      <c r="N883" s="73"/>
      <c r="O883" s="236"/>
      <c r="P883" s="117"/>
      <c r="Q883" s="117"/>
      <c r="R883" s="156" t="str">
        <f>IF(Table111[[#This Row],[Qty]]="","",Table111[[#This Row],[Qty]]*Table111[[#This Row],[Unit Price]])</f>
        <v/>
      </c>
      <c r="S883" s="156" t="str">
        <f>IF(Table111[[#This Row],[Qty]]="","",Table111[[#This Row],[Qty]]*Table111[[#This Row],[Unit Price]]+Table111[[#This Row],[Delivery Cost]])</f>
        <v/>
      </c>
      <c r="T883" s="72"/>
      <c r="U883" s="72"/>
      <c r="V883" s="72"/>
      <c r="W883" s="219"/>
      <c r="X883" s="63" t="str">
        <f t="shared" si="39"/>
        <v/>
      </c>
      <c r="Y883" s="63" t="str">
        <f t="shared" si="40"/>
        <v/>
      </c>
      <c r="Z883" s="63" t="str">
        <f t="shared" si="41"/>
        <v/>
      </c>
      <c r="AA883" s="63" t="str">
        <f>TEXT(Table111[[#This Row],[YEAR]],"0000")&amp;"-"&amp;Table111[[#This Row],[MONTH]]</f>
        <v>-</v>
      </c>
    </row>
    <row r="884" spans="2:27" x14ac:dyDescent="0.3">
      <c r="B884" s="183"/>
      <c r="C884" s="183"/>
      <c r="D884" s="183"/>
      <c r="E884" s="71"/>
      <c r="F884" s="72"/>
      <c r="G884" s="70"/>
      <c r="H884" s="74"/>
      <c r="I884" s="70"/>
      <c r="J884" s="70"/>
      <c r="K884" s="70"/>
      <c r="L884" s="74"/>
      <c r="M884" s="123"/>
      <c r="N884" s="73"/>
      <c r="O884" s="236"/>
      <c r="P884" s="117"/>
      <c r="Q884" s="117"/>
      <c r="R884" s="156" t="str">
        <f>IF(Table111[[#This Row],[Qty]]="","",Table111[[#This Row],[Qty]]*Table111[[#This Row],[Unit Price]])</f>
        <v/>
      </c>
      <c r="S884" s="156" t="str">
        <f>IF(Table111[[#This Row],[Qty]]="","",Table111[[#This Row],[Qty]]*Table111[[#This Row],[Unit Price]]+Table111[[#This Row],[Delivery Cost]])</f>
        <v/>
      </c>
      <c r="T884" s="72"/>
      <c r="U884" s="72"/>
      <c r="V884" s="72"/>
      <c r="W884" s="65"/>
      <c r="X884" s="63" t="str">
        <f t="shared" si="39"/>
        <v/>
      </c>
      <c r="Y884" s="63" t="str">
        <f t="shared" si="40"/>
        <v/>
      </c>
      <c r="Z884" s="63" t="str">
        <f t="shared" si="41"/>
        <v/>
      </c>
      <c r="AA884" s="63" t="str">
        <f>TEXT(Table111[[#This Row],[YEAR]],"0000")&amp;"-"&amp;Table111[[#This Row],[MONTH]]</f>
        <v>-</v>
      </c>
    </row>
    <row r="885" spans="2:27" x14ac:dyDescent="0.3">
      <c r="B885" s="68"/>
      <c r="C885" s="68"/>
      <c r="D885" s="68"/>
      <c r="E885" s="71"/>
      <c r="F885" s="72"/>
      <c r="G885" s="70"/>
      <c r="H885" s="74"/>
      <c r="I885" s="70"/>
      <c r="J885" s="70"/>
      <c r="K885" s="70"/>
      <c r="L885" s="74"/>
      <c r="M885" s="123"/>
      <c r="N885" s="73"/>
      <c r="O885" s="236"/>
      <c r="P885" s="117"/>
      <c r="Q885" s="117"/>
      <c r="R885" s="156" t="str">
        <f>IF(Table111[[#This Row],[Qty]]="","",Table111[[#This Row],[Qty]]*Table111[[#This Row],[Unit Price]])</f>
        <v/>
      </c>
      <c r="S885" s="156" t="str">
        <f>IF(Table111[[#This Row],[Qty]]="","",Table111[[#This Row],[Qty]]*Table111[[#This Row],[Unit Price]]+Table111[[#This Row],[Delivery Cost]])</f>
        <v/>
      </c>
      <c r="T885" s="72"/>
      <c r="U885" s="72"/>
      <c r="V885" s="72"/>
      <c r="W885" s="219"/>
      <c r="X885" s="63" t="str">
        <f t="shared" si="39"/>
        <v/>
      </c>
      <c r="Y885" s="63" t="str">
        <f t="shared" si="40"/>
        <v/>
      </c>
      <c r="Z885" s="63" t="str">
        <f t="shared" si="41"/>
        <v/>
      </c>
      <c r="AA885" s="63" t="str">
        <f>TEXT(Table111[[#This Row],[YEAR]],"0000")&amp;"-"&amp;Table111[[#This Row],[MONTH]]</f>
        <v>-</v>
      </c>
    </row>
    <row r="886" spans="2:27" x14ac:dyDescent="0.3">
      <c r="B886" s="183"/>
      <c r="C886" s="183"/>
      <c r="D886" s="183"/>
      <c r="E886" s="71"/>
      <c r="F886" s="72"/>
      <c r="G886" s="70"/>
      <c r="H886" s="74"/>
      <c r="I886" s="70"/>
      <c r="J886" s="70"/>
      <c r="K886" s="70"/>
      <c r="L886" s="74"/>
      <c r="M886" s="123"/>
      <c r="N886" s="73"/>
      <c r="O886" s="236"/>
      <c r="P886" s="117"/>
      <c r="Q886" s="117"/>
      <c r="R886" s="156" t="str">
        <f>IF(Table111[[#This Row],[Qty]]="","",Table111[[#This Row],[Qty]]*Table111[[#This Row],[Unit Price]])</f>
        <v/>
      </c>
      <c r="S886" s="156" t="str">
        <f>IF(Table111[[#This Row],[Qty]]="","",Table111[[#This Row],[Qty]]*Table111[[#This Row],[Unit Price]]+Table111[[#This Row],[Delivery Cost]])</f>
        <v/>
      </c>
      <c r="T886" s="72"/>
      <c r="U886" s="72"/>
      <c r="V886" s="72"/>
      <c r="W886" s="65"/>
      <c r="X886" s="63" t="str">
        <f t="shared" si="39"/>
        <v/>
      </c>
      <c r="Y886" s="63" t="str">
        <f t="shared" si="40"/>
        <v/>
      </c>
      <c r="Z886" s="63" t="str">
        <f t="shared" si="41"/>
        <v/>
      </c>
      <c r="AA886" s="63" t="str">
        <f>TEXT(Table111[[#This Row],[YEAR]],"0000")&amp;"-"&amp;Table111[[#This Row],[MONTH]]</f>
        <v>-</v>
      </c>
    </row>
    <row r="887" spans="2:27" x14ac:dyDescent="0.3">
      <c r="B887" s="68"/>
      <c r="C887" s="68"/>
      <c r="D887" s="68"/>
      <c r="E887" s="71"/>
      <c r="F887" s="72"/>
      <c r="G887" s="70"/>
      <c r="H887" s="74"/>
      <c r="I887" s="70"/>
      <c r="J887" s="70"/>
      <c r="K887" s="70"/>
      <c r="L887" s="74"/>
      <c r="M887" s="123"/>
      <c r="N887" s="73"/>
      <c r="O887" s="236"/>
      <c r="P887" s="117"/>
      <c r="Q887" s="117"/>
      <c r="R887" s="156" t="str">
        <f>IF(Table111[[#This Row],[Qty]]="","",Table111[[#This Row],[Qty]]*Table111[[#This Row],[Unit Price]])</f>
        <v/>
      </c>
      <c r="S887" s="156" t="str">
        <f>IF(Table111[[#This Row],[Qty]]="","",Table111[[#This Row],[Qty]]*Table111[[#This Row],[Unit Price]]+Table111[[#This Row],[Delivery Cost]])</f>
        <v/>
      </c>
      <c r="T887" s="72"/>
      <c r="U887" s="72"/>
      <c r="V887" s="72"/>
      <c r="W887" s="219"/>
      <c r="X887" s="63" t="str">
        <f t="shared" si="39"/>
        <v/>
      </c>
      <c r="Y887" s="63" t="str">
        <f t="shared" si="40"/>
        <v/>
      </c>
      <c r="Z887" s="63" t="str">
        <f t="shared" si="41"/>
        <v/>
      </c>
      <c r="AA887" s="63" t="str">
        <f>TEXT(Table111[[#This Row],[YEAR]],"0000")&amp;"-"&amp;Table111[[#This Row],[MONTH]]</f>
        <v>-</v>
      </c>
    </row>
    <row r="888" spans="2:27" x14ac:dyDescent="0.3">
      <c r="B888" s="183"/>
      <c r="C888" s="183"/>
      <c r="D888" s="183"/>
      <c r="E888" s="71"/>
      <c r="F888" s="72"/>
      <c r="G888" s="70"/>
      <c r="H888" s="74"/>
      <c r="I888" s="70"/>
      <c r="J888" s="70"/>
      <c r="K888" s="70"/>
      <c r="L888" s="74"/>
      <c r="M888" s="123"/>
      <c r="N888" s="73"/>
      <c r="O888" s="236"/>
      <c r="P888" s="117"/>
      <c r="Q888" s="117"/>
      <c r="R888" s="156" t="str">
        <f>IF(Table111[[#This Row],[Qty]]="","",Table111[[#This Row],[Qty]]*Table111[[#This Row],[Unit Price]])</f>
        <v/>
      </c>
      <c r="S888" s="156" t="str">
        <f>IF(Table111[[#This Row],[Qty]]="","",Table111[[#This Row],[Qty]]*Table111[[#This Row],[Unit Price]]+Table111[[#This Row],[Delivery Cost]])</f>
        <v/>
      </c>
      <c r="T888" s="72"/>
      <c r="U888" s="72"/>
      <c r="V888" s="72"/>
      <c r="W888" s="65"/>
      <c r="X888" s="63" t="str">
        <f t="shared" si="39"/>
        <v/>
      </c>
      <c r="Y888" s="63" t="str">
        <f t="shared" si="40"/>
        <v/>
      </c>
      <c r="Z888" s="63" t="str">
        <f t="shared" si="41"/>
        <v/>
      </c>
      <c r="AA888" s="63" t="str">
        <f>TEXT(Table111[[#This Row],[YEAR]],"0000")&amp;"-"&amp;Table111[[#This Row],[MONTH]]</f>
        <v>-</v>
      </c>
    </row>
    <row r="889" spans="2:27" x14ac:dyDescent="0.3">
      <c r="B889" s="68"/>
      <c r="C889" s="68"/>
      <c r="D889" s="68"/>
      <c r="E889" s="71"/>
      <c r="F889" s="72"/>
      <c r="G889" s="70"/>
      <c r="H889" s="74"/>
      <c r="I889" s="70"/>
      <c r="J889" s="70"/>
      <c r="K889" s="70"/>
      <c r="L889" s="74"/>
      <c r="M889" s="123"/>
      <c r="N889" s="73"/>
      <c r="O889" s="236"/>
      <c r="P889" s="117"/>
      <c r="Q889" s="117"/>
      <c r="R889" s="156" t="str">
        <f>IF(Table111[[#This Row],[Qty]]="","",Table111[[#This Row],[Qty]]*Table111[[#This Row],[Unit Price]])</f>
        <v/>
      </c>
      <c r="S889" s="156" t="str">
        <f>IF(Table111[[#This Row],[Qty]]="","",Table111[[#This Row],[Qty]]*Table111[[#This Row],[Unit Price]]+Table111[[#This Row],[Delivery Cost]])</f>
        <v/>
      </c>
      <c r="T889" s="72"/>
      <c r="U889" s="72"/>
      <c r="V889" s="72"/>
      <c r="W889" s="219"/>
      <c r="X889" s="63" t="str">
        <f t="shared" si="39"/>
        <v/>
      </c>
      <c r="Y889" s="63" t="str">
        <f t="shared" si="40"/>
        <v/>
      </c>
      <c r="Z889" s="63" t="str">
        <f t="shared" si="41"/>
        <v/>
      </c>
      <c r="AA889" s="63" t="str">
        <f>TEXT(Table111[[#This Row],[YEAR]],"0000")&amp;"-"&amp;Table111[[#This Row],[MONTH]]</f>
        <v>-</v>
      </c>
    </row>
    <row r="890" spans="2:27" x14ac:dyDescent="0.3">
      <c r="B890" s="183"/>
      <c r="C890" s="183"/>
      <c r="D890" s="183"/>
      <c r="E890" s="71"/>
      <c r="F890" s="72"/>
      <c r="G890" s="70"/>
      <c r="H890" s="74"/>
      <c r="I890" s="70"/>
      <c r="J890" s="70"/>
      <c r="K890" s="70"/>
      <c r="L890" s="74"/>
      <c r="M890" s="123"/>
      <c r="N890" s="73"/>
      <c r="O890" s="236"/>
      <c r="P890" s="117"/>
      <c r="Q890" s="117"/>
      <c r="R890" s="156" t="str">
        <f>IF(Table111[[#This Row],[Qty]]="","",Table111[[#This Row],[Qty]]*Table111[[#This Row],[Unit Price]])</f>
        <v/>
      </c>
      <c r="S890" s="156" t="str">
        <f>IF(Table111[[#This Row],[Qty]]="","",Table111[[#This Row],[Qty]]*Table111[[#This Row],[Unit Price]]+Table111[[#This Row],[Delivery Cost]])</f>
        <v/>
      </c>
      <c r="T890" s="72"/>
      <c r="U890" s="72"/>
      <c r="V890" s="72"/>
      <c r="W890" s="65"/>
      <c r="X890" s="63" t="str">
        <f t="shared" si="39"/>
        <v/>
      </c>
      <c r="Y890" s="63" t="str">
        <f t="shared" si="40"/>
        <v/>
      </c>
      <c r="Z890" s="63" t="str">
        <f t="shared" si="41"/>
        <v/>
      </c>
      <c r="AA890" s="63" t="str">
        <f>TEXT(Table111[[#This Row],[YEAR]],"0000")&amp;"-"&amp;Table111[[#This Row],[MONTH]]</f>
        <v>-</v>
      </c>
    </row>
    <row r="891" spans="2:27" x14ac:dyDescent="0.3">
      <c r="B891" s="68"/>
      <c r="C891" s="68"/>
      <c r="D891" s="68"/>
      <c r="E891" s="71"/>
      <c r="F891" s="72"/>
      <c r="G891" s="70"/>
      <c r="H891" s="74"/>
      <c r="I891" s="70"/>
      <c r="J891" s="70"/>
      <c r="K891" s="70"/>
      <c r="L891" s="74"/>
      <c r="M891" s="123"/>
      <c r="N891" s="73"/>
      <c r="O891" s="236"/>
      <c r="P891" s="117"/>
      <c r="Q891" s="117"/>
      <c r="R891" s="156" t="str">
        <f>IF(Table111[[#This Row],[Qty]]="","",Table111[[#This Row],[Qty]]*Table111[[#This Row],[Unit Price]])</f>
        <v/>
      </c>
      <c r="S891" s="156" t="str">
        <f>IF(Table111[[#This Row],[Qty]]="","",Table111[[#This Row],[Qty]]*Table111[[#This Row],[Unit Price]]+Table111[[#This Row],[Delivery Cost]])</f>
        <v/>
      </c>
      <c r="T891" s="72"/>
      <c r="U891" s="72"/>
      <c r="V891" s="72"/>
      <c r="W891" s="219"/>
      <c r="X891" s="63" t="str">
        <f t="shared" si="39"/>
        <v/>
      </c>
      <c r="Y891" s="63" t="str">
        <f t="shared" si="40"/>
        <v/>
      </c>
      <c r="Z891" s="63" t="str">
        <f t="shared" si="41"/>
        <v/>
      </c>
      <c r="AA891" s="63" t="str">
        <f>TEXT(Table111[[#This Row],[YEAR]],"0000")&amp;"-"&amp;Table111[[#This Row],[MONTH]]</f>
        <v>-</v>
      </c>
    </row>
    <row r="892" spans="2:27" x14ac:dyDescent="0.3">
      <c r="B892" s="183"/>
      <c r="C892" s="183"/>
      <c r="D892" s="183"/>
      <c r="E892" s="71"/>
      <c r="F892" s="72"/>
      <c r="G892" s="70"/>
      <c r="H892" s="74"/>
      <c r="I892" s="70"/>
      <c r="J892" s="70"/>
      <c r="K892" s="70"/>
      <c r="L892" s="74"/>
      <c r="M892" s="123"/>
      <c r="N892" s="73"/>
      <c r="O892" s="236"/>
      <c r="P892" s="117"/>
      <c r="Q892" s="117"/>
      <c r="R892" s="156" t="str">
        <f>IF(Table111[[#This Row],[Qty]]="","",Table111[[#This Row],[Qty]]*Table111[[#This Row],[Unit Price]])</f>
        <v/>
      </c>
      <c r="S892" s="156" t="str">
        <f>IF(Table111[[#This Row],[Qty]]="","",Table111[[#This Row],[Qty]]*Table111[[#This Row],[Unit Price]]+Table111[[#This Row],[Delivery Cost]])</f>
        <v/>
      </c>
      <c r="T892" s="72"/>
      <c r="U892" s="72"/>
      <c r="V892" s="72"/>
      <c r="W892" s="65"/>
      <c r="X892" s="63" t="str">
        <f t="shared" si="39"/>
        <v/>
      </c>
      <c r="Y892" s="63" t="str">
        <f t="shared" si="40"/>
        <v/>
      </c>
      <c r="Z892" s="63" t="str">
        <f t="shared" si="41"/>
        <v/>
      </c>
      <c r="AA892" s="63" t="str">
        <f>TEXT(Table111[[#This Row],[YEAR]],"0000")&amp;"-"&amp;Table111[[#This Row],[MONTH]]</f>
        <v>-</v>
      </c>
    </row>
    <row r="893" spans="2:27" x14ac:dyDescent="0.3">
      <c r="B893" s="68"/>
      <c r="C893" s="68"/>
      <c r="D893" s="68"/>
      <c r="E893" s="71"/>
      <c r="F893" s="72"/>
      <c r="G893" s="70"/>
      <c r="H893" s="74"/>
      <c r="I893" s="70"/>
      <c r="J893" s="70"/>
      <c r="K893" s="70"/>
      <c r="L893" s="74"/>
      <c r="M893" s="123"/>
      <c r="N893" s="73"/>
      <c r="O893" s="236"/>
      <c r="P893" s="117"/>
      <c r="Q893" s="117"/>
      <c r="R893" s="156" t="str">
        <f>IF(Table111[[#This Row],[Qty]]="","",Table111[[#This Row],[Qty]]*Table111[[#This Row],[Unit Price]])</f>
        <v/>
      </c>
      <c r="S893" s="156" t="str">
        <f>IF(Table111[[#This Row],[Qty]]="","",Table111[[#This Row],[Qty]]*Table111[[#This Row],[Unit Price]]+Table111[[#This Row],[Delivery Cost]])</f>
        <v/>
      </c>
      <c r="T893" s="72"/>
      <c r="U893" s="72"/>
      <c r="V893" s="72"/>
      <c r="W893" s="219"/>
      <c r="X893" s="63" t="str">
        <f t="shared" si="39"/>
        <v/>
      </c>
      <c r="Y893" s="63" t="str">
        <f t="shared" si="40"/>
        <v/>
      </c>
      <c r="Z893" s="63" t="str">
        <f t="shared" si="41"/>
        <v/>
      </c>
      <c r="AA893" s="63" t="str">
        <f>TEXT(Table111[[#This Row],[YEAR]],"0000")&amp;"-"&amp;Table111[[#This Row],[MONTH]]</f>
        <v>-</v>
      </c>
    </row>
    <row r="894" spans="2:27" x14ac:dyDescent="0.3">
      <c r="B894" s="183"/>
      <c r="C894" s="183"/>
      <c r="D894" s="183"/>
      <c r="E894" s="71"/>
      <c r="F894" s="72"/>
      <c r="G894" s="70"/>
      <c r="H894" s="74"/>
      <c r="I894" s="70"/>
      <c r="J894" s="70"/>
      <c r="K894" s="70"/>
      <c r="L894" s="74"/>
      <c r="M894" s="123"/>
      <c r="N894" s="73"/>
      <c r="O894" s="236"/>
      <c r="P894" s="117"/>
      <c r="Q894" s="117"/>
      <c r="R894" s="156" t="str">
        <f>IF(Table111[[#This Row],[Qty]]="","",Table111[[#This Row],[Qty]]*Table111[[#This Row],[Unit Price]])</f>
        <v/>
      </c>
      <c r="S894" s="156" t="str">
        <f>IF(Table111[[#This Row],[Qty]]="","",Table111[[#This Row],[Qty]]*Table111[[#This Row],[Unit Price]]+Table111[[#This Row],[Delivery Cost]])</f>
        <v/>
      </c>
      <c r="T894" s="72"/>
      <c r="U894" s="72"/>
      <c r="V894" s="72"/>
      <c r="W894" s="65"/>
      <c r="X894" s="63" t="str">
        <f t="shared" si="39"/>
        <v/>
      </c>
      <c r="Y894" s="63" t="str">
        <f t="shared" si="40"/>
        <v/>
      </c>
      <c r="Z894" s="63" t="str">
        <f t="shared" si="41"/>
        <v/>
      </c>
      <c r="AA894" s="63" t="str">
        <f>TEXT(Table111[[#This Row],[YEAR]],"0000")&amp;"-"&amp;Table111[[#This Row],[MONTH]]</f>
        <v>-</v>
      </c>
    </row>
    <row r="895" spans="2:27" x14ac:dyDescent="0.3">
      <c r="B895" s="68"/>
      <c r="C895" s="68"/>
      <c r="D895" s="68"/>
      <c r="E895" s="71"/>
      <c r="F895" s="72"/>
      <c r="G895" s="70"/>
      <c r="H895" s="74"/>
      <c r="I895" s="70"/>
      <c r="J895" s="70"/>
      <c r="K895" s="70"/>
      <c r="L895" s="74"/>
      <c r="M895" s="123"/>
      <c r="N895" s="73"/>
      <c r="O895" s="236"/>
      <c r="P895" s="117"/>
      <c r="Q895" s="117"/>
      <c r="R895" s="156" t="str">
        <f>IF(Table111[[#This Row],[Qty]]="","",Table111[[#This Row],[Qty]]*Table111[[#This Row],[Unit Price]])</f>
        <v/>
      </c>
      <c r="S895" s="156" t="str">
        <f>IF(Table111[[#This Row],[Qty]]="","",Table111[[#This Row],[Qty]]*Table111[[#This Row],[Unit Price]]+Table111[[#This Row],[Delivery Cost]])</f>
        <v/>
      </c>
      <c r="T895" s="72"/>
      <c r="U895" s="72"/>
      <c r="V895" s="72"/>
      <c r="W895" s="219"/>
      <c r="X895" s="63" t="str">
        <f t="shared" si="39"/>
        <v/>
      </c>
      <c r="Y895" s="63" t="str">
        <f t="shared" si="40"/>
        <v/>
      </c>
      <c r="Z895" s="63" t="str">
        <f t="shared" si="41"/>
        <v/>
      </c>
      <c r="AA895" s="63" t="str">
        <f>TEXT(Table111[[#This Row],[YEAR]],"0000")&amp;"-"&amp;Table111[[#This Row],[MONTH]]</f>
        <v>-</v>
      </c>
    </row>
    <row r="896" spans="2:27" x14ac:dyDescent="0.3">
      <c r="B896" s="183"/>
      <c r="C896" s="183"/>
      <c r="D896" s="183"/>
      <c r="E896" s="71"/>
      <c r="F896" s="72"/>
      <c r="G896" s="70"/>
      <c r="H896" s="74"/>
      <c r="I896" s="70"/>
      <c r="J896" s="70"/>
      <c r="K896" s="70"/>
      <c r="L896" s="74"/>
      <c r="M896" s="123"/>
      <c r="N896" s="73"/>
      <c r="O896" s="236"/>
      <c r="P896" s="117"/>
      <c r="Q896" s="117"/>
      <c r="R896" s="156" t="str">
        <f>IF(Table111[[#This Row],[Qty]]="","",Table111[[#This Row],[Qty]]*Table111[[#This Row],[Unit Price]])</f>
        <v/>
      </c>
      <c r="S896" s="156" t="str">
        <f>IF(Table111[[#This Row],[Qty]]="","",Table111[[#This Row],[Qty]]*Table111[[#This Row],[Unit Price]]+Table111[[#This Row],[Delivery Cost]])</f>
        <v/>
      </c>
      <c r="T896" s="72"/>
      <c r="U896" s="72"/>
      <c r="V896" s="72"/>
      <c r="W896" s="65"/>
      <c r="X896" s="63" t="str">
        <f t="shared" si="39"/>
        <v/>
      </c>
      <c r="Y896" s="63" t="str">
        <f t="shared" si="40"/>
        <v/>
      </c>
      <c r="Z896" s="63" t="str">
        <f t="shared" si="41"/>
        <v/>
      </c>
      <c r="AA896" s="63" t="str">
        <f>TEXT(Table111[[#This Row],[YEAR]],"0000")&amp;"-"&amp;Table111[[#This Row],[MONTH]]</f>
        <v>-</v>
      </c>
    </row>
    <row r="897" spans="2:27" x14ac:dyDescent="0.3">
      <c r="B897" s="68"/>
      <c r="C897" s="68"/>
      <c r="D897" s="68"/>
      <c r="E897" s="71"/>
      <c r="F897" s="72"/>
      <c r="G897" s="70"/>
      <c r="H897" s="74"/>
      <c r="I897" s="70"/>
      <c r="J897" s="70"/>
      <c r="K897" s="70"/>
      <c r="L897" s="74"/>
      <c r="M897" s="123"/>
      <c r="N897" s="73"/>
      <c r="O897" s="236"/>
      <c r="P897" s="117"/>
      <c r="Q897" s="117"/>
      <c r="R897" s="156" t="str">
        <f>IF(Table111[[#This Row],[Qty]]="","",Table111[[#This Row],[Qty]]*Table111[[#This Row],[Unit Price]])</f>
        <v/>
      </c>
      <c r="S897" s="156" t="str">
        <f>IF(Table111[[#This Row],[Qty]]="","",Table111[[#This Row],[Qty]]*Table111[[#This Row],[Unit Price]]+Table111[[#This Row],[Delivery Cost]])</f>
        <v/>
      </c>
      <c r="T897" s="72"/>
      <c r="U897" s="72"/>
      <c r="V897" s="72"/>
      <c r="W897" s="219"/>
      <c r="X897" s="63" t="str">
        <f t="shared" si="39"/>
        <v/>
      </c>
      <c r="Y897" s="63" t="str">
        <f t="shared" si="40"/>
        <v/>
      </c>
      <c r="Z897" s="63" t="str">
        <f t="shared" si="41"/>
        <v/>
      </c>
      <c r="AA897" s="63" t="str">
        <f>TEXT(Table111[[#This Row],[YEAR]],"0000")&amp;"-"&amp;Table111[[#This Row],[MONTH]]</f>
        <v>-</v>
      </c>
    </row>
    <row r="898" spans="2:27" x14ac:dyDescent="0.3">
      <c r="B898" s="183"/>
      <c r="C898" s="183"/>
      <c r="D898" s="183"/>
      <c r="E898" s="71"/>
      <c r="F898" s="72"/>
      <c r="G898" s="70"/>
      <c r="H898" s="74"/>
      <c r="I898" s="70"/>
      <c r="J898" s="70"/>
      <c r="K898" s="70"/>
      <c r="L898" s="74"/>
      <c r="M898" s="123"/>
      <c r="N898" s="73"/>
      <c r="O898" s="236"/>
      <c r="P898" s="117"/>
      <c r="Q898" s="117"/>
      <c r="R898" s="156" t="str">
        <f>IF(Table111[[#This Row],[Qty]]="","",Table111[[#This Row],[Qty]]*Table111[[#This Row],[Unit Price]])</f>
        <v/>
      </c>
      <c r="S898" s="156" t="str">
        <f>IF(Table111[[#This Row],[Qty]]="","",Table111[[#This Row],[Qty]]*Table111[[#This Row],[Unit Price]]+Table111[[#This Row],[Delivery Cost]])</f>
        <v/>
      </c>
      <c r="T898" s="72"/>
      <c r="U898" s="72"/>
      <c r="V898" s="72"/>
      <c r="W898" s="65"/>
      <c r="X898" s="63" t="str">
        <f t="shared" si="39"/>
        <v/>
      </c>
      <c r="Y898" s="63" t="str">
        <f t="shared" si="40"/>
        <v/>
      </c>
      <c r="Z898" s="63" t="str">
        <f t="shared" si="41"/>
        <v/>
      </c>
      <c r="AA898" s="63" t="str">
        <f>TEXT(Table111[[#This Row],[YEAR]],"0000")&amp;"-"&amp;Table111[[#This Row],[MONTH]]</f>
        <v>-</v>
      </c>
    </row>
    <row r="899" spans="2:27" x14ac:dyDescent="0.3">
      <c r="B899" s="68"/>
      <c r="C899" s="68"/>
      <c r="D899" s="68"/>
      <c r="E899" s="71"/>
      <c r="F899" s="72"/>
      <c r="G899" s="70"/>
      <c r="H899" s="74"/>
      <c r="I899" s="70"/>
      <c r="J899" s="70"/>
      <c r="K899" s="70"/>
      <c r="L899" s="74"/>
      <c r="M899" s="123"/>
      <c r="N899" s="73"/>
      <c r="O899" s="236"/>
      <c r="P899" s="117"/>
      <c r="Q899" s="117"/>
      <c r="R899" s="156" t="str">
        <f>IF(Table111[[#This Row],[Qty]]="","",Table111[[#This Row],[Qty]]*Table111[[#This Row],[Unit Price]])</f>
        <v/>
      </c>
      <c r="S899" s="156" t="str">
        <f>IF(Table111[[#This Row],[Qty]]="","",Table111[[#This Row],[Qty]]*Table111[[#This Row],[Unit Price]]+Table111[[#This Row],[Delivery Cost]])</f>
        <v/>
      </c>
      <c r="T899" s="72"/>
      <c r="U899" s="72"/>
      <c r="V899" s="72"/>
      <c r="W899" s="219"/>
      <c r="X899" s="63" t="str">
        <f t="shared" ref="X899:X962" si="42">IF(E899=0,"",YEAR(E899))</f>
        <v/>
      </c>
      <c r="Y899" s="63" t="str">
        <f t="shared" ref="Y899:Y962" si="43">IF(E899=0,"",MONTH(E899))</f>
        <v/>
      </c>
      <c r="Z899" s="63" t="str">
        <f t="shared" ref="Z899:Z962" si="44">IF(E899=0,"",WEEKNUM(E899))</f>
        <v/>
      </c>
      <c r="AA899" s="63" t="str">
        <f>TEXT(Table111[[#This Row],[YEAR]],"0000")&amp;"-"&amp;Table111[[#This Row],[MONTH]]</f>
        <v>-</v>
      </c>
    </row>
    <row r="900" spans="2:27" x14ac:dyDescent="0.3">
      <c r="B900" s="183"/>
      <c r="C900" s="183"/>
      <c r="D900" s="183"/>
      <c r="E900" s="71"/>
      <c r="F900" s="72"/>
      <c r="G900" s="70"/>
      <c r="H900" s="74"/>
      <c r="I900" s="70"/>
      <c r="J900" s="70"/>
      <c r="K900" s="70"/>
      <c r="L900" s="74"/>
      <c r="M900" s="123"/>
      <c r="N900" s="73"/>
      <c r="O900" s="236"/>
      <c r="P900" s="117"/>
      <c r="Q900" s="117"/>
      <c r="R900" s="156" t="str">
        <f>IF(Table111[[#This Row],[Qty]]="","",Table111[[#This Row],[Qty]]*Table111[[#This Row],[Unit Price]])</f>
        <v/>
      </c>
      <c r="S900" s="156" t="str">
        <f>IF(Table111[[#This Row],[Qty]]="","",Table111[[#This Row],[Qty]]*Table111[[#This Row],[Unit Price]]+Table111[[#This Row],[Delivery Cost]])</f>
        <v/>
      </c>
      <c r="T900" s="72"/>
      <c r="U900" s="72"/>
      <c r="V900" s="72"/>
      <c r="W900" s="65"/>
      <c r="X900" s="63" t="str">
        <f t="shared" si="42"/>
        <v/>
      </c>
      <c r="Y900" s="63" t="str">
        <f t="shared" si="43"/>
        <v/>
      </c>
      <c r="Z900" s="63" t="str">
        <f t="shared" si="44"/>
        <v/>
      </c>
      <c r="AA900" s="63" t="str">
        <f>TEXT(Table111[[#This Row],[YEAR]],"0000")&amp;"-"&amp;Table111[[#This Row],[MONTH]]</f>
        <v>-</v>
      </c>
    </row>
    <row r="901" spans="2:27" x14ac:dyDescent="0.3">
      <c r="B901" s="68"/>
      <c r="C901" s="68"/>
      <c r="D901" s="68"/>
      <c r="E901" s="71"/>
      <c r="F901" s="72"/>
      <c r="G901" s="70"/>
      <c r="H901" s="74"/>
      <c r="I901" s="70"/>
      <c r="J901" s="70"/>
      <c r="K901" s="70"/>
      <c r="L901" s="74"/>
      <c r="M901" s="123"/>
      <c r="N901" s="73"/>
      <c r="O901" s="236"/>
      <c r="P901" s="117"/>
      <c r="Q901" s="117"/>
      <c r="R901" s="156" t="str">
        <f>IF(Table111[[#This Row],[Qty]]="","",Table111[[#This Row],[Qty]]*Table111[[#This Row],[Unit Price]])</f>
        <v/>
      </c>
      <c r="S901" s="156" t="str">
        <f>IF(Table111[[#This Row],[Qty]]="","",Table111[[#This Row],[Qty]]*Table111[[#This Row],[Unit Price]]+Table111[[#This Row],[Delivery Cost]])</f>
        <v/>
      </c>
      <c r="T901" s="72"/>
      <c r="U901" s="72"/>
      <c r="V901" s="72"/>
      <c r="W901" s="219"/>
      <c r="X901" s="63" t="str">
        <f t="shared" si="42"/>
        <v/>
      </c>
      <c r="Y901" s="63" t="str">
        <f t="shared" si="43"/>
        <v/>
      </c>
      <c r="Z901" s="63" t="str">
        <f t="shared" si="44"/>
        <v/>
      </c>
      <c r="AA901" s="63" t="str">
        <f>TEXT(Table111[[#This Row],[YEAR]],"0000")&amp;"-"&amp;Table111[[#This Row],[MONTH]]</f>
        <v>-</v>
      </c>
    </row>
    <row r="902" spans="2:27" x14ac:dyDescent="0.3">
      <c r="B902" s="183"/>
      <c r="C902" s="183"/>
      <c r="D902" s="183"/>
      <c r="E902" s="71"/>
      <c r="F902" s="72"/>
      <c r="G902" s="70"/>
      <c r="H902" s="74"/>
      <c r="I902" s="70"/>
      <c r="J902" s="70"/>
      <c r="K902" s="70"/>
      <c r="L902" s="74"/>
      <c r="M902" s="123"/>
      <c r="N902" s="73"/>
      <c r="O902" s="236"/>
      <c r="P902" s="117"/>
      <c r="Q902" s="117"/>
      <c r="R902" s="156" t="str">
        <f>IF(Table111[[#This Row],[Qty]]="","",Table111[[#This Row],[Qty]]*Table111[[#This Row],[Unit Price]])</f>
        <v/>
      </c>
      <c r="S902" s="156" t="str">
        <f>IF(Table111[[#This Row],[Qty]]="","",Table111[[#This Row],[Qty]]*Table111[[#This Row],[Unit Price]]+Table111[[#This Row],[Delivery Cost]])</f>
        <v/>
      </c>
      <c r="T902" s="72"/>
      <c r="U902" s="72"/>
      <c r="V902" s="72"/>
      <c r="W902" s="65"/>
      <c r="X902" s="63" t="str">
        <f t="shared" si="42"/>
        <v/>
      </c>
      <c r="Y902" s="63" t="str">
        <f t="shared" si="43"/>
        <v/>
      </c>
      <c r="Z902" s="63" t="str">
        <f t="shared" si="44"/>
        <v/>
      </c>
      <c r="AA902" s="63" t="str">
        <f>TEXT(Table111[[#This Row],[YEAR]],"0000")&amp;"-"&amp;Table111[[#This Row],[MONTH]]</f>
        <v>-</v>
      </c>
    </row>
    <row r="903" spans="2:27" x14ac:dyDescent="0.3">
      <c r="B903" s="68"/>
      <c r="C903" s="68"/>
      <c r="D903" s="68"/>
      <c r="E903" s="71"/>
      <c r="F903" s="72"/>
      <c r="G903" s="70"/>
      <c r="H903" s="74"/>
      <c r="I903" s="70"/>
      <c r="J903" s="70"/>
      <c r="K903" s="70"/>
      <c r="L903" s="74"/>
      <c r="M903" s="123"/>
      <c r="N903" s="73"/>
      <c r="O903" s="236"/>
      <c r="P903" s="117"/>
      <c r="Q903" s="117"/>
      <c r="R903" s="156" t="str">
        <f>IF(Table111[[#This Row],[Qty]]="","",Table111[[#This Row],[Qty]]*Table111[[#This Row],[Unit Price]])</f>
        <v/>
      </c>
      <c r="S903" s="156" t="str">
        <f>IF(Table111[[#This Row],[Qty]]="","",Table111[[#This Row],[Qty]]*Table111[[#This Row],[Unit Price]]+Table111[[#This Row],[Delivery Cost]])</f>
        <v/>
      </c>
      <c r="T903" s="72"/>
      <c r="U903" s="72"/>
      <c r="V903" s="72"/>
      <c r="W903" s="219"/>
      <c r="X903" s="63" t="str">
        <f t="shared" si="42"/>
        <v/>
      </c>
      <c r="Y903" s="63" t="str">
        <f t="shared" si="43"/>
        <v/>
      </c>
      <c r="Z903" s="63" t="str">
        <f t="shared" si="44"/>
        <v/>
      </c>
      <c r="AA903" s="63" t="str">
        <f>TEXT(Table111[[#This Row],[YEAR]],"0000")&amp;"-"&amp;Table111[[#This Row],[MONTH]]</f>
        <v>-</v>
      </c>
    </row>
    <row r="904" spans="2:27" x14ac:dyDescent="0.3">
      <c r="B904" s="183"/>
      <c r="C904" s="183"/>
      <c r="D904" s="183"/>
      <c r="E904" s="71"/>
      <c r="F904" s="72"/>
      <c r="G904" s="70"/>
      <c r="H904" s="74"/>
      <c r="I904" s="70"/>
      <c r="J904" s="70"/>
      <c r="K904" s="70"/>
      <c r="L904" s="74"/>
      <c r="M904" s="123"/>
      <c r="N904" s="73"/>
      <c r="O904" s="236"/>
      <c r="P904" s="117"/>
      <c r="Q904" s="117"/>
      <c r="R904" s="156" t="str">
        <f>IF(Table111[[#This Row],[Qty]]="","",Table111[[#This Row],[Qty]]*Table111[[#This Row],[Unit Price]])</f>
        <v/>
      </c>
      <c r="S904" s="156" t="str">
        <f>IF(Table111[[#This Row],[Qty]]="","",Table111[[#This Row],[Qty]]*Table111[[#This Row],[Unit Price]]+Table111[[#This Row],[Delivery Cost]])</f>
        <v/>
      </c>
      <c r="T904" s="72"/>
      <c r="U904" s="72"/>
      <c r="V904" s="72"/>
      <c r="W904" s="65"/>
      <c r="X904" s="63" t="str">
        <f t="shared" si="42"/>
        <v/>
      </c>
      <c r="Y904" s="63" t="str">
        <f t="shared" si="43"/>
        <v/>
      </c>
      <c r="Z904" s="63" t="str">
        <f t="shared" si="44"/>
        <v/>
      </c>
      <c r="AA904" s="63" t="str">
        <f>TEXT(Table111[[#This Row],[YEAR]],"0000")&amp;"-"&amp;Table111[[#This Row],[MONTH]]</f>
        <v>-</v>
      </c>
    </row>
    <row r="905" spans="2:27" x14ac:dyDescent="0.3">
      <c r="B905" s="68"/>
      <c r="C905" s="68"/>
      <c r="D905" s="68"/>
      <c r="E905" s="71"/>
      <c r="F905" s="72"/>
      <c r="G905" s="70"/>
      <c r="H905" s="74"/>
      <c r="I905" s="70"/>
      <c r="J905" s="70"/>
      <c r="K905" s="70"/>
      <c r="L905" s="74"/>
      <c r="M905" s="123"/>
      <c r="N905" s="73"/>
      <c r="O905" s="236"/>
      <c r="P905" s="117"/>
      <c r="Q905" s="117"/>
      <c r="R905" s="156" t="str">
        <f>IF(Table111[[#This Row],[Qty]]="","",Table111[[#This Row],[Qty]]*Table111[[#This Row],[Unit Price]])</f>
        <v/>
      </c>
      <c r="S905" s="156" t="str">
        <f>IF(Table111[[#This Row],[Qty]]="","",Table111[[#This Row],[Qty]]*Table111[[#This Row],[Unit Price]]+Table111[[#This Row],[Delivery Cost]])</f>
        <v/>
      </c>
      <c r="T905" s="72"/>
      <c r="U905" s="72"/>
      <c r="V905" s="72"/>
      <c r="W905" s="219"/>
      <c r="X905" s="63" t="str">
        <f t="shared" si="42"/>
        <v/>
      </c>
      <c r="Y905" s="63" t="str">
        <f t="shared" si="43"/>
        <v/>
      </c>
      <c r="Z905" s="63" t="str">
        <f t="shared" si="44"/>
        <v/>
      </c>
      <c r="AA905" s="63" t="str">
        <f>TEXT(Table111[[#This Row],[YEAR]],"0000")&amp;"-"&amp;Table111[[#This Row],[MONTH]]</f>
        <v>-</v>
      </c>
    </row>
    <row r="906" spans="2:27" x14ac:dyDescent="0.3">
      <c r="B906" s="183"/>
      <c r="C906" s="183"/>
      <c r="D906" s="183"/>
      <c r="E906" s="71"/>
      <c r="F906" s="72"/>
      <c r="G906" s="70"/>
      <c r="H906" s="74"/>
      <c r="I906" s="70"/>
      <c r="J906" s="70"/>
      <c r="K906" s="70"/>
      <c r="L906" s="74"/>
      <c r="M906" s="123"/>
      <c r="N906" s="73"/>
      <c r="O906" s="236"/>
      <c r="P906" s="117"/>
      <c r="Q906" s="117"/>
      <c r="R906" s="156" t="str">
        <f>IF(Table111[[#This Row],[Qty]]="","",Table111[[#This Row],[Qty]]*Table111[[#This Row],[Unit Price]])</f>
        <v/>
      </c>
      <c r="S906" s="156" t="str">
        <f>IF(Table111[[#This Row],[Qty]]="","",Table111[[#This Row],[Qty]]*Table111[[#This Row],[Unit Price]]+Table111[[#This Row],[Delivery Cost]])</f>
        <v/>
      </c>
      <c r="T906" s="72"/>
      <c r="U906" s="72"/>
      <c r="V906" s="72"/>
      <c r="W906" s="65"/>
      <c r="X906" s="63" t="str">
        <f t="shared" si="42"/>
        <v/>
      </c>
      <c r="Y906" s="63" t="str">
        <f t="shared" si="43"/>
        <v/>
      </c>
      <c r="Z906" s="63" t="str">
        <f t="shared" si="44"/>
        <v/>
      </c>
      <c r="AA906" s="63" t="str">
        <f>TEXT(Table111[[#This Row],[YEAR]],"0000")&amp;"-"&amp;Table111[[#This Row],[MONTH]]</f>
        <v>-</v>
      </c>
    </row>
    <row r="907" spans="2:27" x14ac:dyDescent="0.3">
      <c r="B907" s="68"/>
      <c r="C907" s="68"/>
      <c r="D907" s="68"/>
      <c r="E907" s="71"/>
      <c r="F907" s="72"/>
      <c r="G907" s="70"/>
      <c r="H907" s="74"/>
      <c r="I907" s="70"/>
      <c r="J907" s="70"/>
      <c r="K907" s="70"/>
      <c r="L907" s="74"/>
      <c r="M907" s="123"/>
      <c r="N907" s="73"/>
      <c r="O907" s="236"/>
      <c r="P907" s="117"/>
      <c r="Q907" s="117"/>
      <c r="R907" s="156" t="str">
        <f>IF(Table111[[#This Row],[Qty]]="","",Table111[[#This Row],[Qty]]*Table111[[#This Row],[Unit Price]])</f>
        <v/>
      </c>
      <c r="S907" s="156" t="str">
        <f>IF(Table111[[#This Row],[Qty]]="","",Table111[[#This Row],[Qty]]*Table111[[#This Row],[Unit Price]]+Table111[[#This Row],[Delivery Cost]])</f>
        <v/>
      </c>
      <c r="T907" s="72"/>
      <c r="U907" s="72"/>
      <c r="V907" s="72"/>
      <c r="W907" s="219"/>
      <c r="X907" s="63" t="str">
        <f t="shared" si="42"/>
        <v/>
      </c>
      <c r="Y907" s="63" t="str">
        <f t="shared" si="43"/>
        <v/>
      </c>
      <c r="Z907" s="63" t="str">
        <f t="shared" si="44"/>
        <v/>
      </c>
      <c r="AA907" s="63" t="str">
        <f>TEXT(Table111[[#This Row],[YEAR]],"0000")&amp;"-"&amp;Table111[[#This Row],[MONTH]]</f>
        <v>-</v>
      </c>
    </row>
    <row r="908" spans="2:27" x14ac:dyDescent="0.3">
      <c r="B908" s="183"/>
      <c r="C908" s="183"/>
      <c r="D908" s="183"/>
      <c r="E908" s="71"/>
      <c r="F908" s="72"/>
      <c r="G908" s="70"/>
      <c r="H908" s="74"/>
      <c r="I908" s="70"/>
      <c r="J908" s="70"/>
      <c r="K908" s="70"/>
      <c r="L908" s="74"/>
      <c r="M908" s="123"/>
      <c r="N908" s="73"/>
      <c r="O908" s="236"/>
      <c r="P908" s="117"/>
      <c r="Q908" s="117"/>
      <c r="R908" s="156" t="str">
        <f>IF(Table111[[#This Row],[Qty]]="","",Table111[[#This Row],[Qty]]*Table111[[#This Row],[Unit Price]])</f>
        <v/>
      </c>
      <c r="S908" s="156" t="str">
        <f>IF(Table111[[#This Row],[Qty]]="","",Table111[[#This Row],[Qty]]*Table111[[#This Row],[Unit Price]]+Table111[[#This Row],[Delivery Cost]])</f>
        <v/>
      </c>
      <c r="T908" s="72"/>
      <c r="U908" s="72"/>
      <c r="V908" s="72"/>
      <c r="W908" s="65"/>
      <c r="X908" s="63" t="str">
        <f t="shared" si="42"/>
        <v/>
      </c>
      <c r="Y908" s="63" t="str">
        <f t="shared" si="43"/>
        <v/>
      </c>
      <c r="Z908" s="63" t="str">
        <f t="shared" si="44"/>
        <v/>
      </c>
      <c r="AA908" s="63" t="str">
        <f>TEXT(Table111[[#This Row],[YEAR]],"0000")&amp;"-"&amp;Table111[[#This Row],[MONTH]]</f>
        <v>-</v>
      </c>
    </row>
    <row r="909" spans="2:27" x14ac:dyDescent="0.3">
      <c r="B909" s="68"/>
      <c r="C909" s="68"/>
      <c r="D909" s="68"/>
      <c r="E909" s="71"/>
      <c r="F909" s="72"/>
      <c r="G909" s="70"/>
      <c r="H909" s="74"/>
      <c r="I909" s="70"/>
      <c r="J909" s="70"/>
      <c r="K909" s="70"/>
      <c r="L909" s="74"/>
      <c r="M909" s="123"/>
      <c r="N909" s="73"/>
      <c r="O909" s="236"/>
      <c r="P909" s="117"/>
      <c r="Q909" s="117"/>
      <c r="R909" s="156" t="str">
        <f>IF(Table111[[#This Row],[Qty]]="","",Table111[[#This Row],[Qty]]*Table111[[#This Row],[Unit Price]])</f>
        <v/>
      </c>
      <c r="S909" s="156" t="str">
        <f>IF(Table111[[#This Row],[Qty]]="","",Table111[[#This Row],[Qty]]*Table111[[#This Row],[Unit Price]]+Table111[[#This Row],[Delivery Cost]])</f>
        <v/>
      </c>
      <c r="T909" s="72"/>
      <c r="U909" s="72"/>
      <c r="V909" s="72"/>
      <c r="W909" s="219"/>
      <c r="X909" s="63" t="str">
        <f t="shared" si="42"/>
        <v/>
      </c>
      <c r="Y909" s="63" t="str">
        <f t="shared" si="43"/>
        <v/>
      </c>
      <c r="Z909" s="63" t="str">
        <f t="shared" si="44"/>
        <v/>
      </c>
      <c r="AA909" s="63" t="str">
        <f>TEXT(Table111[[#This Row],[YEAR]],"0000")&amp;"-"&amp;Table111[[#This Row],[MONTH]]</f>
        <v>-</v>
      </c>
    </row>
    <row r="910" spans="2:27" x14ac:dyDescent="0.3">
      <c r="B910" s="183"/>
      <c r="C910" s="183"/>
      <c r="D910" s="183"/>
      <c r="E910" s="71"/>
      <c r="F910" s="72"/>
      <c r="G910" s="70"/>
      <c r="H910" s="74"/>
      <c r="I910" s="70"/>
      <c r="J910" s="70"/>
      <c r="K910" s="70"/>
      <c r="L910" s="74"/>
      <c r="M910" s="123"/>
      <c r="N910" s="73"/>
      <c r="O910" s="236"/>
      <c r="P910" s="117"/>
      <c r="Q910" s="117"/>
      <c r="R910" s="156" t="str">
        <f>IF(Table111[[#This Row],[Qty]]="","",Table111[[#This Row],[Qty]]*Table111[[#This Row],[Unit Price]])</f>
        <v/>
      </c>
      <c r="S910" s="156" t="str">
        <f>IF(Table111[[#This Row],[Qty]]="","",Table111[[#This Row],[Qty]]*Table111[[#This Row],[Unit Price]]+Table111[[#This Row],[Delivery Cost]])</f>
        <v/>
      </c>
      <c r="T910" s="72"/>
      <c r="U910" s="72"/>
      <c r="V910" s="72"/>
      <c r="W910" s="65"/>
      <c r="X910" s="63" t="str">
        <f t="shared" si="42"/>
        <v/>
      </c>
      <c r="Y910" s="63" t="str">
        <f t="shared" si="43"/>
        <v/>
      </c>
      <c r="Z910" s="63" t="str">
        <f t="shared" si="44"/>
        <v/>
      </c>
      <c r="AA910" s="63" t="str">
        <f>TEXT(Table111[[#This Row],[YEAR]],"0000")&amp;"-"&amp;Table111[[#This Row],[MONTH]]</f>
        <v>-</v>
      </c>
    </row>
    <row r="911" spans="2:27" x14ac:dyDescent="0.3">
      <c r="B911" s="68"/>
      <c r="C911" s="68"/>
      <c r="D911" s="68"/>
      <c r="E911" s="71"/>
      <c r="F911" s="72"/>
      <c r="G911" s="70"/>
      <c r="H911" s="74"/>
      <c r="I911" s="70"/>
      <c r="J911" s="70"/>
      <c r="K911" s="70"/>
      <c r="L911" s="74"/>
      <c r="M911" s="123"/>
      <c r="N911" s="73"/>
      <c r="O911" s="236"/>
      <c r="P911" s="117"/>
      <c r="Q911" s="117"/>
      <c r="R911" s="156" t="str">
        <f>IF(Table111[[#This Row],[Qty]]="","",Table111[[#This Row],[Qty]]*Table111[[#This Row],[Unit Price]])</f>
        <v/>
      </c>
      <c r="S911" s="156" t="str">
        <f>IF(Table111[[#This Row],[Qty]]="","",Table111[[#This Row],[Qty]]*Table111[[#This Row],[Unit Price]]+Table111[[#This Row],[Delivery Cost]])</f>
        <v/>
      </c>
      <c r="T911" s="72"/>
      <c r="U911" s="72"/>
      <c r="V911" s="72"/>
      <c r="W911" s="219"/>
      <c r="X911" s="63" t="str">
        <f t="shared" si="42"/>
        <v/>
      </c>
      <c r="Y911" s="63" t="str">
        <f t="shared" si="43"/>
        <v/>
      </c>
      <c r="Z911" s="63" t="str">
        <f t="shared" si="44"/>
        <v/>
      </c>
      <c r="AA911" s="63" t="str">
        <f>TEXT(Table111[[#This Row],[YEAR]],"0000")&amp;"-"&amp;Table111[[#This Row],[MONTH]]</f>
        <v>-</v>
      </c>
    </row>
    <row r="912" spans="2:27" x14ac:dyDescent="0.3">
      <c r="B912" s="183"/>
      <c r="C912" s="183"/>
      <c r="D912" s="183"/>
      <c r="E912" s="71"/>
      <c r="F912" s="72"/>
      <c r="G912" s="70"/>
      <c r="H912" s="74"/>
      <c r="I912" s="70"/>
      <c r="J912" s="70"/>
      <c r="K912" s="70"/>
      <c r="L912" s="74"/>
      <c r="M912" s="123"/>
      <c r="N912" s="73"/>
      <c r="O912" s="236"/>
      <c r="P912" s="117"/>
      <c r="Q912" s="117"/>
      <c r="R912" s="156" t="str">
        <f>IF(Table111[[#This Row],[Qty]]="","",Table111[[#This Row],[Qty]]*Table111[[#This Row],[Unit Price]])</f>
        <v/>
      </c>
      <c r="S912" s="156" t="str">
        <f>IF(Table111[[#This Row],[Qty]]="","",Table111[[#This Row],[Qty]]*Table111[[#This Row],[Unit Price]]+Table111[[#This Row],[Delivery Cost]])</f>
        <v/>
      </c>
      <c r="T912" s="72"/>
      <c r="U912" s="72"/>
      <c r="V912" s="72"/>
      <c r="W912" s="65"/>
      <c r="X912" s="63" t="str">
        <f t="shared" si="42"/>
        <v/>
      </c>
      <c r="Y912" s="63" t="str">
        <f t="shared" si="43"/>
        <v/>
      </c>
      <c r="Z912" s="63" t="str">
        <f t="shared" si="44"/>
        <v/>
      </c>
      <c r="AA912" s="63" t="str">
        <f>TEXT(Table111[[#This Row],[YEAR]],"0000")&amp;"-"&amp;Table111[[#This Row],[MONTH]]</f>
        <v>-</v>
      </c>
    </row>
    <row r="913" spans="2:27" x14ac:dyDescent="0.3">
      <c r="B913" s="68"/>
      <c r="C913" s="68"/>
      <c r="D913" s="68"/>
      <c r="E913" s="71"/>
      <c r="F913" s="72"/>
      <c r="G913" s="70"/>
      <c r="H913" s="74"/>
      <c r="I913" s="70"/>
      <c r="J913" s="70"/>
      <c r="K913" s="70"/>
      <c r="L913" s="74"/>
      <c r="M913" s="123"/>
      <c r="N913" s="73"/>
      <c r="O913" s="236"/>
      <c r="P913" s="117"/>
      <c r="Q913" s="117"/>
      <c r="R913" s="156" t="str">
        <f>IF(Table111[[#This Row],[Qty]]="","",Table111[[#This Row],[Qty]]*Table111[[#This Row],[Unit Price]])</f>
        <v/>
      </c>
      <c r="S913" s="156" t="str">
        <f>IF(Table111[[#This Row],[Qty]]="","",Table111[[#This Row],[Qty]]*Table111[[#This Row],[Unit Price]]+Table111[[#This Row],[Delivery Cost]])</f>
        <v/>
      </c>
      <c r="T913" s="72"/>
      <c r="U913" s="72"/>
      <c r="V913" s="72"/>
      <c r="W913" s="219"/>
      <c r="X913" s="63" t="str">
        <f t="shared" si="42"/>
        <v/>
      </c>
      <c r="Y913" s="63" t="str">
        <f t="shared" si="43"/>
        <v/>
      </c>
      <c r="Z913" s="63" t="str">
        <f t="shared" si="44"/>
        <v/>
      </c>
      <c r="AA913" s="63" t="str">
        <f>TEXT(Table111[[#This Row],[YEAR]],"0000")&amp;"-"&amp;Table111[[#This Row],[MONTH]]</f>
        <v>-</v>
      </c>
    </row>
    <row r="914" spans="2:27" x14ac:dyDescent="0.3">
      <c r="B914" s="183"/>
      <c r="C914" s="183"/>
      <c r="D914" s="183"/>
      <c r="E914" s="71"/>
      <c r="F914" s="72"/>
      <c r="G914" s="70"/>
      <c r="H914" s="74"/>
      <c r="I914" s="70"/>
      <c r="J914" s="70"/>
      <c r="K914" s="70"/>
      <c r="L914" s="74"/>
      <c r="M914" s="123"/>
      <c r="N914" s="73"/>
      <c r="O914" s="236"/>
      <c r="P914" s="117"/>
      <c r="Q914" s="117"/>
      <c r="R914" s="156" t="str">
        <f>IF(Table111[[#This Row],[Qty]]="","",Table111[[#This Row],[Qty]]*Table111[[#This Row],[Unit Price]])</f>
        <v/>
      </c>
      <c r="S914" s="156" t="str">
        <f>IF(Table111[[#This Row],[Qty]]="","",Table111[[#This Row],[Qty]]*Table111[[#This Row],[Unit Price]]+Table111[[#This Row],[Delivery Cost]])</f>
        <v/>
      </c>
      <c r="T914" s="72"/>
      <c r="U914" s="72"/>
      <c r="V914" s="72"/>
      <c r="W914" s="65"/>
      <c r="X914" s="63" t="str">
        <f t="shared" si="42"/>
        <v/>
      </c>
      <c r="Y914" s="63" t="str">
        <f t="shared" si="43"/>
        <v/>
      </c>
      <c r="Z914" s="63" t="str">
        <f t="shared" si="44"/>
        <v/>
      </c>
      <c r="AA914" s="63" t="str">
        <f>TEXT(Table111[[#This Row],[YEAR]],"0000")&amp;"-"&amp;Table111[[#This Row],[MONTH]]</f>
        <v>-</v>
      </c>
    </row>
    <row r="915" spans="2:27" x14ac:dyDescent="0.3">
      <c r="B915" s="68"/>
      <c r="C915" s="68"/>
      <c r="D915" s="68"/>
      <c r="E915" s="71"/>
      <c r="F915" s="72"/>
      <c r="G915" s="70"/>
      <c r="H915" s="74"/>
      <c r="I915" s="70"/>
      <c r="J915" s="70"/>
      <c r="K915" s="70"/>
      <c r="L915" s="74"/>
      <c r="M915" s="123"/>
      <c r="N915" s="73"/>
      <c r="O915" s="236"/>
      <c r="P915" s="117"/>
      <c r="Q915" s="117"/>
      <c r="R915" s="156" t="str">
        <f>IF(Table111[[#This Row],[Qty]]="","",Table111[[#This Row],[Qty]]*Table111[[#This Row],[Unit Price]])</f>
        <v/>
      </c>
      <c r="S915" s="156" t="str">
        <f>IF(Table111[[#This Row],[Qty]]="","",Table111[[#This Row],[Qty]]*Table111[[#This Row],[Unit Price]]+Table111[[#This Row],[Delivery Cost]])</f>
        <v/>
      </c>
      <c r="T915" s="72"/>
      <c r="U915" s="72"/>
      <c r="V915" s="72"/>
      <c r="W915" s="219"/>
      <c r="X915" s="63" t="str">
        <f t="shared" si="42"/>
        <v/>
      </c>
      <c r="Y915" s="63" t="str">
        <f t="shared" si="43"/>
        <v/>
      </c>
      <c r="Z915" s="63" t="str">
        <f t="shared" si="44"/>
        <v/>
      </c>
      <c r="AA915" s="63" t="str">
        <f>TEXT(Table111[[#This Row],[YEAR]],"0000")&amp;"-"&amp;Table111[[#This Row],[MONTH]]</f>
        <v>-</v>
      </c>
    </row>
    <row r="916" spans="2:27" x14ac:dyDescent="0.3">
      <c r="B916" s="183"/>
      <c r="C916" s="183"/>
      <c r="D916" s="183"/>
      <c r="E916" s="71"/>
      <c r="F916" s="72"/>
      <c r="G916" s="70"/>
      <c r="H916" s="74"/>
      <c r="I916" s="70"/>
      <c r="J916" s="70"/>
      <c r="K916" s="70"/>
      <c r="L916" s="74"/>
      <c r="M916" s="123"/>
      <c r="N916" s="73"/>
      <c r="O916" s="236"/>
      <c r="P916" s="117"/>
      <c r="Q916" s="117"/>
      <c r="R916" s="156" t="str">
        <f>IF(Table111[[#This Row],[Qty]]="","",Table111[[#This Row],[Qty]]*Table111[[#This Row],[Unit Price]])</f>
        <v/>
      </c>
      <c r="S916" s="156" t="str">
        <f>IF(Table111[[#This Row],[Qty]]="","",Table111[[#This Row],[Qty]]*Table111[[#This Row],[Unit Price]]+Table111[[#This Row],[Delivery Cost]])</f>
        <v/>
      </c>
      <c r="T916" s="72"/>
      <c r="U916" s="72"/>
      <c r="V916" s="72"/>
      <c r="W916" s="65"/>
      <c r="X916" s="63" t="str">
        <f t="shared" si="42"/>
        <v/>
      </c>
      <c r="Y916" s="63" t="str">
        <f t="shared" si="43"/>
        <v/>
      </c>
      <c r="Z916" s="63" t="str">
        <f t="shared" si="44"/>
        <v/>
      </c>
      <c r="AA916" s="63" t="str">
        <f>TEXT(Table111[[#This Row],[YEAR]],"0000")&amp;"-"&amp;Table111[[#This Row],[MONTH]]</f>
        <v>-</v>
      </c>
    </row>
    <row r="917" spans="2:27" x14ac:dyDescent="0.3">
      <c r="B917" s="68"/>
      <c r="C917" s="68"/>
      <c r="D917" s="68"/>
      <c r="E917" s="71"/>
      <c r="F917" s="72"/>
      <c r="G917" s="70"/>
      <c r="H917" s="74"/>
      <c r="I917" s="70"/>
      <c r="J917" s="70"/>
      <c r="K917" s="70"/>
      <c r="L917" s="74"/>
      <c r="M917" s="123"/>
      <c r="N917" s="73"/>
      <c r="O917" s="236"/>
      <c r="P917" s="117"/>
      <c r="Q917" s="117"/>
      <c r="R917" s="156" t="str">
        <f>IF(Table111[[#This Row],[Qty]]="","",Table111[[#This Row],[Qty]]*Table111[[#This Row],[Unit Price]])</f>
        <v/>
      </c>
      <c r="S917" s="156" t="str">
        <f>IF(Table111[[#This Row],[Qty]]="","",Table111[[#This Row],[Qty]]*Table111[[#This Row],[Unit Price]]+Table111[[#This Row],[Delivery Cost]])</f>
        <v/>
      </c>
      <c r="T917" s="72"/>
      <c r="U917" s="72"/>
      <c r="V917" s="72"/>
      <c r="W917" s="219"/>
      <c r="X917" s="63" t="str">
        <f t="shared" si="42"/>
        <v/>
      </c>
      <c r="Y917" s="63" t="str">
        <f t="shared" si="43"/>
        <v/>
      </c>
      <c r="Z917" s="63" t="str">
        <f t="shared" si="44"/>
        <v/>
      </c>
      <c r="AA917" s="63" t="str">
        <f>TEXT(Table111[[#This Row],[YEAR]],"0000")&amp;"-"&amp;Table111[[#This Row],[MONTH]]</f>
        <v>-</v>
      </c>
    </row>
    <row r="918" spans="2:27" x14ac:dyDescent="0.3">
      <c r="B918" s="183"/>
      <c r="C918" s="183"/>
      <c r="D918" s="183"/>
      <c r="E918" s="71"/>
      <c r="F918" s="72"/>
      <c r="G918" s="70"/>
      <c r="H918" s="74"/>
      <c r="I918" s="70"/>
      <c r="J918" s="70"/>
      <c r="K918" s="70"/>
      <c r="L918" s="74"/>
      <c r="M918" s="123"/>
      <c r="N918" s="73"/>
      <c r="O918" s="236"/>
      <c r="P918" s="117"/>
      <c r="Q918" s="117"/>
      <c r="R918" s="156" t="str">
        <f>IF(Table111[[#This Row],[Qty]]="","",Table111[[#This Row],[Qty]]*Table111[[#This Row],[Unit Price]])</f>
        <v/>
      </c>
      <c r="S918" s="156" t="str">
        <f>IF(Table111[[#This Row],[Qty]]="","",Table111[[#This Row],[Qty]]*Table111[[#This Row],[Unit Price]]+Table111[[#This Row],[Delivery Cost]])</f>
        <v/>
      </c>
      <c r="T918" s="72"/>
      <c r="U918" s="72"/>
      <c r="V918" s="72"/>
      <c r="W918" s="65"/>
      <c r="X918" s="63" t="str">
        <f t="shared" si="42"/>
        <v/>
      </c>
      <c r="Y918" s="63" t="str">
        <f t="shared" si="43"/>
        <v/>
      </c>
      <c r="Z918" s="63" t="str">
        <f t="shared" si="44"/>
        <v/>
      </c>
      <c r="AA918" s="63" t="str">
        <f>TEXT(Table111[[#This Row],[YEAR]],"0000")&amp;"-"&amp;Table111[[#This Row],[MONTH]]</f>
        <v>-</v>
      </c>
    </row>
    <row r="919" spans="2:27" x14ac:dyDescent="0.3">
      <c r="B919" s="68"/>
      <c r="C919" s="68"/>
      <c r="D919" s="68"/>
      <c r="E919" s="71"/>
      <c r="F919" s="72"/>
      <c r="G919" s="70"/>
      <c r="H919" s="74"/>
      <c r="I919" s="70"/>
      <c r="J919" s="70"/>
      <c r="K919" s="70"/>
      <c r="L919" s="74"/>
      <c r="M919" s="123"/>
      <c r="N919" s="73"/>
      <c r="O919" s="236"/>
      <c r="P919" s="117"/>
      <c r="Q919" s="117"/>
      <c r="R919" s="156" t="str">
        <f>IF(Table111[[#This Row],[Qty]]="","",Table111[[#This Row],[Qty]]*Table111[[#This Row],[Unit Price]])</f>
        <v/>
      </c>
      <c r="S919" s="156" t="str">
        <f>IF(Table111[[#This Row],[Qty]]="","",Table111[[#This Row],[Qty]]*Table111[[#This Row],[Unit Price]]+Table111[[#This Row],[Delivery Cost]])</f>
        <v/>
      </c>
      <c r="T919" s="72"/>
      <c r="U919" s="72"/>
      <c r="V919" s="72"/>
      <c r="W919" s="219"/>
      <c r="X919" s="63" t="str">
        <f t="shared" si="42"/>
        <v/>
      </c>
      <c r="Y919" s="63" t="str">
        <f t="shared" si="43"/>
        <v/>
      </c>
      <c r="Z919" s="63" t="str">
        <f t="shared" si="44"/>
        <v/>
      </c>
      <c r="AA919" s="63" t="str">
        <f>TEXT(Table111[[#This Row],[YEAR]],"0000")&amp;"-"&amp;Table111[[#This Row],[MONTH]]</f>
        <v>-</v>
      </c>
    </row>
    <row r="920" spans="2:27" x14ac:dyDescent="0.3">
      <c r="B920" s="183"/>
      <c r="C920" s="183"/>
      <c r="D920" s="183"/>
      <c r="E920" s="71"/>
      <c r="F920" s="72"/>
      <c r="G920" s="70"/>
      <c r="H920" s="74"/>
      <c r="I920" s="70"/>
      <c r="J920" s="70"/>
      <c r="K920" s="70"/>
      <c r="L920" s="74"/>
      <c r="M920" s="123"/>
      <c r="N920" s="73"/>
      <c r="O920" s="236"/>
      <c r="P920" s="117"/>
      <c r="Q920" s="117"/>
      <c r="R920" s="156" t="str">
        <f>IF(Table111[[#This Row],[Qty]]="","",Table111[[#This Row],[Qty]]*Table111[[#This Row],[Unit Price]])</f>
        <v/>
      </c>
      <c r="S920" s="156" t="str">
        <f>IF(Table111[[#This Row],[Qty]]="","",Table111[[#This Row],[Qty]]*Table111[[#This Row],[Unit Price]]+Table111[[#This Row],[Delivery Cost]])</f>
        <v/>
      </c>
      <c r="T920" s="72"/>
      <c r="U920" s="72"/>
      <c r="V920" s="72"/>
      <c r="W920" s="65"/>
      <c r="X920" s="63" t="str">
        <f t="shared" si="42"/>
        <v/>
      </c>
      <c r="Y920" s="63" t="str">
        <f t="shared" si="43"/>
        <v/>
      </c>
      <c r="Z920" s="63" t="str">
        <f t="shared" si="44"/>
        <v/>
      </c>
      <c r="AA920" s="63" t="str">
        <f>TEXT(Table111[[#This Row],[YEAR]],"0000")&amp;"-"&amp;Table111[[#This Row],[MONTH]]</f>
        <v>-</v>
      </c>
    </row>
    <row r="921" spans="2:27" x14ac:dyDescent="0.3">
      <c r="B921" s="68"/>
      <c r="C921" s="68"/>
      <c r="D921" s="68"/>
      <c r="E921" s="71"/>
      <c r="F921" s="72"/>
      <c r="G921" s="70"/>
      <c r="H921" s="74"/>
      <c r="I921" s="70"/>
      <c r="J921" s="70"/>
      <c r="K921" s="70"/>
      <c r="L921" s="74"/>
      <c r="M921" s="123"/>
      <c r="N921" s="73"/>
      <c r="O921" s="236"/>
      <c r="P921" s="117"/>
      <c r="Q921" s="117"/>
      <c r="R921" s="156" t="str">
        <f>IF(Table111[[#This Row],[Qty]]="","",Table111[[#This Row],[Qty]]*Table111[[#This Row],[Unit Price]])</f>
        <v/>
      </c>
      <c r="S921" s="156" t="str">
        <f>IF(Table111[[#This Row],[Qty]]="","",Table111[[#This Row],[Qty]]*Table111[[#This Row],[Unit Price]]+Table111[[#This Row],[Delivery Cost]])</f>
        <v/>
      </c>
      <c r="T921" s="72"/>
      <c r="U921" s="72"/>
      <c r="V921" s="72"/>
      <c r="W921" s="219"/>
      <c r="X921" s="63" t="str">
        <f t="shared" si="42"/>
        <v/>
      </c>
      <c r="Y921" s="63" t="str">
        <f t="shared" si="43"/>
        <v/>
      </c>
      <c r="Z921" s="63" t="str">
        <f t="shared" si="44"/>
        <v/>
      </c>
      <c r="AA921" s="63" t="str">
        <f>TEXT(Table111[[#This Row],[YEAR]],"0000")&amp;"-"&amp;Table111[[#This Row],[MONTH]]</f>
        <v>-</v>
      </c>
    </row>
    <row r="922" spans="2:27" x14ac:dyDescent="0.3">
      <c r="B922" s="183"/>
      <c r="C922" s="183"/>
      <c r="D922" s="183"/>
      <c r="E922" s="71"/>
      <c r="F922" s="72"/>
      <c r="G922" s="70"/>
      <c r="H922" s="74"/>
      <c r="I922" s="70"/>
      <c r="J922" s="70"/>
      <c r="K922" s="70"/>
      <c r="L922" s="74"/>
      <c r="M922" s="123"/>
      <c r="N922" s="73"/>
      <c r="O922" s="236"/>
      <c r="P922" s="117"/>
      <c r="Q922" s="117"/>
      <c r="R922" s="156" t="str">
        <f>IF(Table111[[#This Row],[Qty]]="","",Table111[[#This Row],[Qty]]*Table111[[#This Row],[Unit Price]])</f>
        <v/>
      </c>
      <c r="S922" s="156" t="str">
        <f>IF(Table111[[#This Row],[Qty]]="","",Table111[[#This Row],[Qty]]*Table111[[#This Row],[Unit Price]]+Table111[[#This Row],[Delivery Cost]])</f>
        <v/>
      </c>
      <c r="T922" s="72"/>
      <c r="U922" s="72"/>
      <c r="V922" s="72"/>
      <c r="W922" s="65"/>
      <c r="X922" s="63" t="str">
        <f t="shared" si="42"/>
        <v/>
      </c>
      <c r="Y922" s="63" t="str">
        <f t="shared" si="43"/>
        <v/>
      </c>
      <c r="Z922" s="63" t="str">
        <f t="shared" si="44"/>
        <v/>
      </c>
      <c r="AA922" s="63" t="str">
        <f>TEXT(Table111[[#This Row],[YEAR]],"0000")&amp;"-"&amp;Table111[[#This Row],[MONTH]]</f>
        <v>-</v>
      </c>
    </row>
    <row r="923" spans="2:27" x14ac:dyDescent="0.3">
      <c r="B923" s="68"/>
      <c r="C923" s="68"/>
      <c r="D923" s="68"/>
      <c r="E923" s="71"/>
      <c r="F923" s="72"/>
      <c r="G923" s="70"/>
      <c r="H923" s="74"/>
      <c r="I923" s="70"/>
      <c r="J923" s="70"/>
      <c r="K923" s="70"/>
      <c r="L923" s="74"/>
      <c r="M923" s="123"/>
      <c r="N923" s="73"/>
      <c r="O923" s="236"/>
      <c r="P923" s="117"/>
      <c r="Q923" s="117"/>
      <c r="R923" s="156" t="str">
        <f>IF(Table111[[#This Row],[Qty]]="","",Table111[[#This Row],[Qty]]*Table111[[#This Row],[Unit Price]])</f>
        <v/>
      </c>
      <c r="S923" s="156" t="str">
        <f>IF(Table111[[#This Row],[Qty]]="","",Table111[[#This Row],[Qty]]*Table111[[#This Row],[Unit Price]]+Table111[[#This Row],[Delivery Cost]])</f>
        <v/>
      </c>
      <c r="T923" s="72"/>
      <c r="U923" s="72"/>
      <c r="V923" s="72"/>
      <c r="W923" s="219"/>
      <c r="X923" s="63" t="str">
        <f t="shared" si="42"/>
        <v/>
      </c>
      <c r="Y923" s="63" t="str">
        <f t="shared" si="43"/>
        <v/>
      </c>
      <c r="Z923" s="63" t="str">
        <f t="shared" si="44"/>
        <v/>
      </c>
      <c r="AA923" s="63" t="str">
        <f>TEXT(Table111[[#This Row],[YEAR]],"0000")&amp;"-"&amp;Table111[[#This Row],[MONTH]]</f>
        <v>-</v>
      </c>
    </row>
    <row r="924" spans="2:27" x14ac:dyDescent="0.3">
      <c r="B924" s="183"/>
      <c r="C924" s="183"/>
      <c r="D924" s="183"/>
      <c r="E924" s="71"/>
      <c r="F924" s="72"/>
      <c r="G924" s="70"/>
      <c r="H924" s="74"/>
      <c r="I924" s="70"/>
      <c r="J924" s="70"/>
      <c r="K924" s="70"/>
      <c r="L924" s="74"/>
      <c r="M924" s="123"/>
      <c r="N924" s="73"/>
      <c r="O924" s="236"/>
      <c r="P924" s="117"/>
      <c r="Q924" s="117"/>
      <c r="R924" s="156" t="str">
        <f>IF(Table111[[#This Row],[Qty]]="","",Table111[[#This Row],[Qty]]*Table111[[#This Row],[Unit Price]])</f>
        <v/>
      </c>
      <c r="S924" s="156" t="str">
        <f>IF(Table111[[#This Row],[Qty]]="","",Table111[[#This Row],[Qty]]*Table111[[#This Row],[Unit Price]]+Table111[[#This Row],[Delivery Cost]])</f>
        <v/>
      </c>
      <c r="T924" s="72"/>
      <c r="U924" s="72"/>
      <c r="V924" s="72"/>
      <c r="W924" s="65"/>
      <c r="X924" s="63" t="str">
        <f t="shared" si="42"/>
        <v/>
      </c>
      <c r="Y924" s="63" t="str">
        <f t="shared" si="43"/>
        <v/>
      </c>
      <c r="Z924" s="63" t="str">
        <f t="shared" si="44"/>
        <v/>
      </c>
      <c r="AA924" s="63" t="str">
        <f>TEXT(Table111[[#This Row],[YEAR]],"0000")&amp;"-"&amp;Table111[[#This Row],[MONTH]]</f>
        <v>-</v>
      </c>
    </row>
    <row r="925" spans="2:27" x14ac:dyDescent="0.3">
      <c r="B925" s="68"/>
      <c r="C925" s="68"/>
      <c r="D925" s="68"/>
      <c r="E925" s="71"/>
      <c r="F925" s="72"/>
      <c r="G925" s="70"/>
      <c r="H925" s="74"/>
      <c r="I925" s="70"/>
      <c r="J925" s="70"/>
      <c r="K925" s="70"/>
      <c r="L925" s="74"/>
      <c r="M925" s="123"/>
      <c r="N925" s="73"/>
      <c r="O925" s="236"/>
      <c r="P925" s="117"/>
      <c r="Q925" s="117"/>
      <c r="R925" s="156" t="str">
        <f>IF(Table111[[#This Row],[Qty]]="","",Table111[[#This Row],[Qty]]*Table111[[#This Row],[Unit Price]])</f>
        <v/>
      </c>
      <c r="S925" s="156" t="str">
        <f>IF(Table111[[#This Row],[Qty]]="","",Table111[[#This Row],[Qty]]*Table111[[#This Row],[Unit Price]]+Table111[[#This Row],[Delivery Cost]])</f>
        <v/>
      </c>
      <c r="T925" s="72"/>
      <c r="U925" s="72"/>
      <c r="V925" s="72"/>
      <c r="W925" s="219"/>
      <c r="X925" s="63" t="str">
        <f t="shared" si="42"/>
        <v/>
      </c>
      <c r="Y925" s="63" t="str">
        <f t="shared" si="43"/>
        <v/>
      </c>
      <c r="Z925" s="63" t="str">
        <f t="shared" si="44"/>
        <v/>
      </c>
      <c r="AA925" s="63" t="str">
        <f>TEXT(Table111[[#This Row],[YEAR]],"0000")&amp;"-"&amp;Table111[[#This Row],[MONTH]]</f>
        <v>-</v>
      </c>
    </row>
    <row r="926" spans="2:27" x14ac:dyDescent="0.3">
      <c r="B926" s="183"/>
      <c r="C926" s="183"/>
      <c r="D926" s="183"/>
      <c r="E926" s="71"/>
      <c r="F926" s="72"/>
      <c r="G926" s="70"/>
      <c r="H926" s="74"/>
      <c r="I926" s="70"/>
      <c r="J926" s="70"/>
      <c r="K926" s="70"/>
      <c r="L926" s="74"/>
      <c r="M926" s="123"/>
      <c r="N926" s="73"/>
      <c r="O926" s="236"/>
      <c r="P926" s="117"/>
      <c r="Q926" s="117"/>
      <c r="R926" s="156" t="str">
        <f>IF(Table111[[#This Row],[Qty]]="","",Table111[[#This Row],[Qty]]*Table111[[#This Row],[Unit Price]])</f>
        <v/>
      </c>
      <c r="S926" s="156" t="str">
        <f>IF(Table111[[#This Row],[Qty]]="","",Table111[[#This Row],[Qty]]*Table111[[#This Row],[Unit Price]]+Table111[[#This Row],[Delivery Cost]])</f>
        <v/>
      </c>
      <c r="T926" s="72"/>
      <c r="U926" s="72"/>
      <c r="V926" s="72"/>
      <c r="W926" s="65"/>
      <c r="X926" s="63" t="str">
        <f t="shared" si="42"/>
        <v/>
      </c>
      <c r="Y926" s="63" t="str">
        <f t="shared" si="43"/>
        <v/>
      </c>
      <c r="Z926" s="63" t="str">
        <f t="shared" si="44"/>
        <v/>
      </c>
      <c r="AA926" s="63" t="str">
        <f>TEXT(Table111[[#This Row],[YEAR]],"0000")&amp;"-"&amp;Table111[[#This Row],[MONTH]]</f>
        <v>-</v>
      </c>
    </row>
    <row r="927" spans="2:27" x14ac:dyDescent="0.3">
      <c r="B927" s="68"/>
      <c r="C927" s="68"/>
      <c r="D927" s="68"/>
      <c r="E927" s="71"/>
      <c r="F927" s="72"/>
      <c r="G927" s="70"/>
      <c r="H927" s="74"/>
      <c r="I927" s="70"/>
      <c r="J927" s="70"/>
      <c r="K927" s="70"/>
      <c r="L927" s="74"/>
      <c r="M927" s="123"/>
      <c r="N927" s="73"/>
      <c r="O927" s="236"/>
      <c r="P927" s="117"/>
      <c r="Q927" s="117"/>
      <c r="R927" s="156" t="str">
        <f>IF(Table111[[#This Row],[Qty]]="","",Table111[[#This Row],[Qty]]*Table111[[#This Row],[Unit Price]])</f>
        <v/>
      </c>
      <c r="S927" s="156" t="str">
        <f>IF(Table111[[#This Row],[Qty]]="","",Table111[[#This Row],[Qty]]*Table111[[#This Row],[Unit Price]]+Table111[[#This Row],[Delivery Cost]])</f>
        <v/>
      </c>
      <c r="T927" s="72"/>
      <c r="U927" s="72"/>
      <c r="V927" s="72"/>
      <c r="W927" s="219"/>
      <c r="X927" s="63" t="str">
        <f t="shared" si="42"/>
        <v/>
      </c>
      <c r="Y927" s="63" t="str">
        <f t="shared" si="43"/>
        <v/>
      </c>
      <c r="Z927" s="63" t="str">
        <f t="shared" si="44"/>
        <v/>
      </c>
      <c r="AA927" s="63" t="str">
        <f>TEXT(Table111[[#This Row],[YEAR]],"0000")&amp;"-"&amp;Table111[[#This Row],[MONTH]]</f>
        <v>-</v>
      </c>
    </row>
    <row r="928" spans="2:27" x14ac:dyDescent="0.3">
      <c r="B928" s="183"/>
      <c r="C928" s="183"/>
      <c r="D928" s="183"/>
      <c r="E928" s="71"/>
      <c r="F928" s="72"/>
      <c r="G928" s="70"/>
      <c r="H928" s="74"/>
      <c r="I928" s="70"/>
      <c r="J928" s="70"/>
      <c r="K928" s="70"/>
      <c r="L928" s="74"/>
      <c r="M928" s="123"/>
      <c r="N928" s="73"/>
      <c r="O928" s="236"/>
      <c r="P928" s="117"/>
      <c r="Q928" s="117"/>
      <c r="R928" s="156" t="str">
        <f>IF(Table111[[#This Row],[Qty]]="","",Table111[[#This Row],[Qty]]*Table111[[#This Row],[Unit Price]])</f>
        <v/>
      </c>
      <c r="S928" s="156" t="str">
        <f>IF(Table111[[#This Row],[Qty]]="","",Table111[[#This Row],[Qty]]*Table111[[#This Row],[Unit Price]]+Table111[[#This Row],[Delivery Cost]])</f>
        <v/>
      </c>
      <c r="T928" s="72"/>
      <c r="U928" s="72"/>
      <c r="V928" s="72"/>
      <c r="W928" s="65"/>
      <c r="X928" s="63" t="str">
        <f t="shared" si="42"/>
        <v/>
      </c>
      <c r="Y928" s="63" t="str">
        <f t="shared" si="43"/>
        <v/>
      </c>
      <c r="Z928" s="63" t="str">
        <f t="shared" si="44"/>
        <v/>
      </c>
      <c r="AA928" s="63" t="str">
        <f>TEXT(Table111[[#This Row],[YEAR]],"0000")&amp;"-"&amp;Table111[[#This Row],[MONTH]]</f>
        <v>-</v>
      </c>
    </row>
    <row r="929" spans="2:27" x14ac:dyDescent="0.3">
      <c r="B929" s="68"/>
      <c r="C929" s="68"/>
      <c r="D929" s="68"/>
      <c r="E929" s="71"/>
      <c r="F929" s="72"/>
      <c r="G929" s="70"/>
      <c r="H929" s="74"/>
      <c r="I929" s="70"/>
      <c r="J929" s="70"/>
      <c r="K929" s="70"/>
      <c r="L929" s="74"/>
      <c r="M929" s="123"/>
      <c r="N929" s="73"/>
      <c r="O929" s="236"/>
      <c r="P929" s="117"/>
      <c r="Q929" s="117"/>
      <c r="R929" s="156" t="str">
        <f>IF(Table111[[#This Row],[Qty]]="","",Table111[[#This Row],[Qty]]*Table111[[#This Row],[Unit Price]])</f>
        <v/>
      </c>
      <c r="S929" s="156" t="str">
        <f>IF(Table111[[#This Row],[Qty]]="","",Table111[[#This Row],[Qty]]*Table111[[#This Row],[Unit Price]]+Table111[[#This Row],[Delivery Cost]])</f>
        <v/>
      </c>
      <c r="T929" s="72"/>
      <c r="U929" s="72"/>
      <c r="V929" s="72"/>
      <c r="W929" s="219"/>
      <c r="X929" s="63" t="str">
        <f t="shared" si="42"/>
        <v/>
      </c>
      <c r="Y929" s="63" t="str">
        <f t="shared" si="43"/>
        <v/>
      </c>
      <c r="Z929" s="63" t="str">
        <f t="shared" si="44"/>
        <v/>
      </c>
      <c r="AA929" s="63" t="str">
        <f>TEXT(Table111[[#This Row],[YEAR]],"0000")&amp;"-"&amp;Table111[[#This Row],[MONTH]]</f>
        <v>-</v>
      </c>
    </row>
    <row r="930" spans="2:27" x14ac:dyDescent="0.3">
      <c r="B930" s="183"/>
      <c r="C930" s="183"/>
      <c r="D930" s="183"/>
      <c r="E930" s="71"/>
      <c r="F930" s="72"/>
      <c r="G930" s="70"/>
      <c r="H930" s="74"/>
      <c r="I930" s="70"/>
      <c r="J930" s="70"/>
      <c r="K930" s="70"/>
      <c r="L930" s="74"/>
      <c r="M930" s="123"/>
      <c r="N930" s="73"/>
      <c r="O930" s="236"/>
      <c r="P930" s="117"/>
      <c r="Q930" s="117"/>
      <c r="R930" s="156" t="str">
        <f>IF(Table111[[#This Row],[Qty]]="","",Table111[[#This Row],[Qty]]*Table111[[#This Row],[Unit Price]])</f>
        <v/>
      </c>
      <c r="S930" s="156" t="str">
        <f>IF(Table111[[#This Row],[Qty]]="","",Table111[[#This Row],[Qty]]*Table111[[#This Row],[Unit Price]]+Table111[[#This Row],[Delivery Cost]])</f>
        <v/>
      </c>
      <c r="T930" s="72"/>
      <c r="U930" s="72"/>
      <c r="V930" s="72"/>
      <c r="W930" s="65"/>
      <c r="X930" s="63" t="str">
        <f t="shared" si="42"/>
        <v/>
      </c>
      <c r="Y930" s="63" t="str">
        <f t="shared" si="43"/>
        <v/>
      </c>
      <c r="Z930" s="63" t="str">
        <f t="shared" si="44"/>
        <v/>
      </c>
      <c r="AA930" s="63" t="str">
        <f>TEXT(Table111[[#This Row],[YEAR]],"0000")&amp;"-"&amp;Table111[[#This Row],[MONTH]]</f>
        <v>-</v>
      </c>
    </row>
    <row r="931" spans="2:27" x14ac:dyDescent="0.3">
      <c r="B931" s="68"/>
      <c r="C931" s="68"/>
      <c r="D931" s="68"/>
      <c r="E931" s="71"/>
      <c r="F931" s="72"/>
      <c r="G931" s="70"/>
      <c r="H931" s="74"/>
      <c r="I931" s="70"/>
      <c r="J931" s="70"/>
      <c r="K931" s="70"/>
      <c r="L931" s="74"/>
      <c r="M931" s="123"/>
      <c r="N931" s="73"/>
      <c r="O931" s="236"/>
      <c r="P931" s="117"/>
      <c r="Q931" s="117"/>
      <c r="R931" s="156" t="str">
        <f>IF(Table111[[#This Row],[Qty]]="","",Table111[[#This Row],[Qty]]*Table111[[#This Row],[Unit Price]])</f>
        <v/>
      </c>
      <c r="S931" s="156" t="str">
        <f>IF(Table111[[#This Row],[Qty]]="","",Table111[[#This Row],[Qty]]*Table111[[#This Row],[Unit Price]]+Table111[[#This Row],[Delivery Cost]])</f>
        <v/>
      </c>
      <c r="T931" s="72"/>
      <c r="U931" s="72"/>
      <c r="V931" s="72"/>
      <c r="W931" s="219"/>
      <c r="X931" s="63" t="str">
        <f t="shared" si="42"/>
        <v/>
      </c>
      <c r="Y931" s="63" t="str">
        <f t="shared" si="43"/>
        <v/>
      </c>
      <c r="Z931" s="63" t="str">
        <f t="shared" si="44"/>
        <v/>
      </c>
      <c r="AA931" s="63" t="str">
        <f>TEXT(Table111[[#This Row],[YEAR]],"0000")&amp;"-"&amp;Table111[[#This Row],[MONTH]]</f>
        <v>-</v>
      </c>
    </row>
    <row r="932" spans="2:27" x14ac:dyDescent="0.3">
      <c r="B932" s="183"/>
      <c r="C932" s="183"/>
      <c r="D932" s="183"/>
      <c r="E932" s="71"/>
      <c r="F932" s="72"/>
      <c r="G932" s="70"/>
      <c r="H932" s="74"/>
      <c r="I932" s="70"/>
      <c r="J932" s="70"/>
      <c r="K932" s="70"/>
      <c r="L932" s="74"/>
      <c r="M932" s="123"/>
      <c r="N932" s="73"/>
      <c r="O932" s="236"/>
      <c r="P932" s="117"/>
      <c r="Q932" s="117"/>
      <c r="R932" s="156" t="str">
        <f>IF(Table111[[#This Row],[Qty]]="","",Table111[[#This Row],[Qty]]*Table111[[#This Row],[Unit Price]])</f>
        <v/>
      </c>
      <c r="S932" s="156" t="str">
        <f>IF(Table111[[#This Row],[Qty]]="","",Table111[[#This Row],[Qty]]*Table111[[#This Row],[Unit Price]]+Table111[[#This Row],[Delivery Cost]])</f>
        <v/>
      </c>
      <c r="T932" s="72"/>
      <c r="U932" s="72"/>
      <c r="V932" s="72"/>
      <c r="W932" s="65"/>
      <c r="X932" s="63" t="str">
        <f t="shared" si="42"/>
        <v/>
      </c>
      <c r="Y932" s="63" t="str">
        <f t="shared" si="43"/>
        <v/>
      </c>
      <c r="Z932" s="63" t="str">
        <f t="shared" si="44"/>
        <v/>
      </c>
      <c r="AA932" s="63" t="str">
        <f>TEXT(Table111[[#This Row],[YEAR]],"0000")&amp;"-"&amp;Table111[[#This Row],[MONTH]]</f>
        <v>-</v>
      </c>
    </row>
    <row r="933" spans="2:27" x14ac:dyDescent="0.3">
      <c r="B933" s="68"/>
      <c r="C933" s="68"/>
      <c r="D933" s="68"/>
      <c r="E933" s="71"/>
      <c r="F933" s="72"/>
      <c r="G933" s="70"/>
      <c r="H933" s="74"/>
      <c r="I933" s="70"/>
      <c r="J933" s="70"/>
      <c r="K933" s="70"/>
      <c r="L933" s="74"/>
      <c r="M933" s="123"/>
      <c r="N933" s="73"/>
      <c r="O933" s="236"/>
      <c r="P933" s="117"/>
      <c r="Q933" s="117"/>
      <c r="R933" s="156" t="str">
        <f>IF(Table111[[#This Row],[Qty]]="","",Table111[[#This Row],[Qty]]*Table111[[#This Row],[Unit Price]])</f>
        <v/>
      </c>
      <c r="S933" s="156" t="str">
        <f>IF(Table111[[#This Row],[Qty]]="","",Table111[[#This Row],[Qty]]*Table111[[#This Row],[Unit Price]]+Table111[[#This Row],[Delivery Cost]])</f>
        <v/>
      </c>
      <c r="T933" s="72"/>
      <c r="U933" s="72"/>
      <c r="V933" s="72"/>
      <c r="W933" s="219"/>
      <c r="X933" s="63" t="str">
        <f t="shared" si="42"/>
        <v/>
      </c>
      <c r="Y933" s="63" t="str">
        <f t="shared" si="43"/>
        <v/>
      </c>
      <c r="Z933" s="63" t="str">
        <f t="shared" si="44"/>
        <v/>
      </c>
      <c r="AA933" s="63" t="str">
        <f>TEXT(Table111[[#This Row],[YEAR]],"0000")&amp;"-"&amp;Table111[[#This Row],[MONTH]]</f>
        <v>-</v>
      </c>
    </row>
    <row r="934" spans="2:27" x14ac:dyDescent="0.3">
      <c r="B934" s="183"/>
      <c r="C934" s="183"/>
      <c r="D934" s="183"/>
      <c r="E934" s="71"/>
      <c r="F934" s="72"/>
      <c r="G934" s="70"/>
      <c r="H934" s="74"/>
      <c r="I934" s="70"/>
      <c r="J934" s="70"/>
      <c r="K934" s="70"/>
      <c r="L934" s="74"/>
      <c r="M934" s="123"/>
      <c r="N934" s="73"/>
      <c r="O934" s="236"/>
      <c r="P934" s="117"/>
      <c r="Q934" s="117"/>
      <c r="R934" s="156" t="str">
        <f>IF(Table111[[#This Row],[Qty]]="","",Table111[[#This Row],[Qty]]*Table111[[#This Row],[Unit Price]])</f>
        <v/>
      </c>
      <c r="S934" s="156" t="str">
        <f>IF(Table111[[#This Row],[Qty]]="","",Table111[[#This Row],[Qty]]*Table111[[#This Row],[Unit Price]]+Table111[[#This Row],[Delivery Cost]])</f>
        <v/>
      </c>
      <c r="T934" s="72"/>
      <c r="U934" s="72"/>
      <c r="V934" s="72"/>
      <c r="W934" s="65"/>
      <c r="X934" s="63" t="str">
        <f t="shared" si="42"/>
        <v/>
      </c>
      <c r="Y934" s="63" t="str">
        <f t="shared" si="43"/>
        <v/>
      </c>
      <c r="Z934" s="63" t="str">
        <f t="shared" si="44"/>
        <v/>
      </c>
      <c r="AA934" s="63" t="str">
        <f>TEXT(Table111[[#This Row],[YEAR]],"0000")&amp;"-"&amp;Table111[[#This Row],[MONTH]]</f>
        <v>-</v>
      </c>
    </row>
    <row r="935" spans="2:27" x14ac:dyDescent="0.3">
      <c r="B935" s="68"/>
      <c r="C935" s="68"/>
      <c r="D935" s="68"/>
      <c r="E935" s="71"/>
      <c r="F935" s="72"/>
      <c r="G935" s="70"/>
      <c r="H935" s="74"/>
      <c r="I935" s="70"/>
      <c r="J935" s="70"/>
      <c r="K935" s="70"/>
      <c r="L935" s="74"/>
      <c r="M935" s="123"/>
      <c r="N935" s="73"/>
      <c r="O935" s="236"/>
      <c r="P935" s="117"/>
      <c r="Q935" s="117"/>
      <c r="R935" s="156" t="str">
        <f>IF(Table111[[#This Row],[Qty]]="","",Table111[[#This Row],[Qty]]*Table111[[#This Row],[Unit Price]])</f>
        <v/>
      </c>
      <c r="S935" s="156" t="str">
        <f>IF(Table111[[#This Row],[Qty]]="","",Table111[[#This Row],[Qty]]*Table111[[#This Row],[Unit Price]]+Table111[[#This Row],[Delivery Cost]])</f>
        <v/>
      </c>
      <c r="T935" s="72"/>
      <c r="U935" s="72"/>
      <c r="V935" s="72"/>
      <c r="W935" s="219"/>
      <c r="X935" s="63" t="str">
        <f t="shared" si="42"/>
        <v/>
      </c>
      <c r="Y935" s="63" t="str">
        <f t="shared" si="43"/>
        <v/>
      </c>
      <c r="Z935" s="63" t="str">
        <f t="shared" si="44"/>
        <v/>
      </c>
      <c r="AA935" s="63" t="str">
        <f>TEXT(Table111[[#This Row],[YEAR]],"0000")&amp;"-"&amp;Table111[[#This Row],[MONTH]]</f>
        <v>-</v>
      </c>
    </row>
    <row r="936" spans="2:27" x14ac:dyDescent="0.3">
      <c r="B936" s="183"/>
      <c r="C936" s="183"/>
      <c r="D936" s="183"/>
      <c r="E936" s="71"/>
      <c r="F936" s="72"/>
      <c r="G936" s="70"/>
      <c r="H936" s="74"/>
      <c r="I936" s="70"/>
      <c r="J936" s="70"/>
      <c r="K936" s="70"/>
      <c r="L936" s="74"/>
      <c r="M936" s="123"/>
      <c r="N936" s="73"/>
      <c r="O936" s="236"/>
      <c r="P936" s="117"/>
      <c r="Q936" s="117"/>
      <c r="R936" s="156" t="str">
        <f>IF(Table111[[#This Row],[Qty]]="","",Table111[[#This Row],[Qty]]*Table111[[#This Row],[Unit Price]])</f>
        <v/>
      </c>
      <c r="S936" s="156" t="str">
        <f>IF(Table111[[#This Row],[Qty]]="","",Table111[[#This Row],[Qty]]*Table111[[#This Row],[Unit Price]]+Table111[[#This Row],[Delivery Cost]])</f>
        <v/>
      </c>
      <c r="T936" s="72"/>
      <c r="U936" s="72"/>
      <c r="V936" s="72"/>
      <c r="W936" s="65"/>
      <c r="X936" s="63" t="str">
        <f t="shared" si="42"/>
        <v/>
      </c>
      <c r="Y936" s="63" t="str">
        <f t="shared" si="43"/>
        <v/>
      </c>
      <c r="Z936" s="63" t="str">
        <f t="shared" si="44"/>
        <v/>
      </c>
      <c r="AA936" s="63" t="str">
        <f>TEXT(Table111[[#This Row],[YEAR]],"0000")&amp;"-"&amp;Table111[[#This Row],[MONTH]]</f>
        <v>-</v>
      </c>
    </row>
    <row r="937" spans="2:27" x14ac:dyDescent="0.3">
      <c r="B937" s="68"/>
      <c r="C937" s="68"/>
      <c r="D937" s="68"/>
      <c r="E937" s="71"/>
      <c r="F937" s="72"/>
      <c r="G937" s="70"/>
      <c r="H937" s="74"/>
      <c r="I937" s="70"/>
      <c r="J937" s="70"/>
      <c r="K937" s="70"/>
      <c r="L937" s="74"/>
      <c r="M937" s="123"/>
      <c r="N937" s="73"/>
      <c r="O937" s="236"/>
      <c r="P937" s="117"/>
      <c r="Q937" s="117"/>
      <c r="R937" s="156" t="str">
        <f>IF(Table111[[#This Row],[Qty]]="","",Table111[[#This Row],[Qty]]*Table111[[#This Row],[Unit Price]])</f>
        <v/>
      </c>
      <c r="S937" s="156" t="str">
        <f>IF(Table111[[#This Row],[Qty]]="","",Table111[[#This Row],[Qty]]*Table111[[#This Row],[Unit Price]]+Table111[[#This Row],[Delivery Cost]])</f>
        <v/>
      </c>
      <c r="T937" s="72"/>
      <c r="U937" s="72"/>
      <c r="V937" s="72"/>
      <c r="W937" s="219"/>
      <c r="X937" s="63" t="str">
        <f t="shared" si="42"/>
        <v/>
      </c>
      <c r="Y937" s="63" t="str">
        <f t="shared" si="43"/>
        <v/>
      </c>
      <c r="Z937" s="63" t="str">
        <f t="shared" si="44"/>
        <v/>
      </c>
      <c r="AA937" s="63" t="str">
        <f>TEXT(Table111[[#This Row],[YEAR]],"0000")&amp;"-"&amp;Table111[[#This Row],[MONTH]]</f>
        <v>-</v>
      </c>
    </row>
    <row r="938" spans="2:27" x14ac:dyDescent="0.3">
      <c r="B938" s="183"/>
      <c r="C938" s="183"/>
      <c r="D938" s="183"/>
      <c r="E938" s="71"/>
      <c r="F938" s="72"/>
      <c r="G938" s="70"/>
      <c r="H938" s="74"/>
      <c r="I938" s="70"/>
      <c r="J938" s="70"/>
      <c r="K938" s="70"/>
      <c r="L938" s="74"/>
      <c r="M938" s="123"/>
      <c r="N938" s="73"/>
      <c r="O938" s="236"/>
      <c r="P938" s="117"/>
      <c r="Q938" s="117"/>
      <c r="R938" s="156" t="str">
        <f>IF(Table111[[#This Row],[Qty]]="","",Table111[[#This Row],[Qty]]*Table111[[#This Row],[Unit Price]])</f>
        <v/>
      </c>
      <c r="S938" s="156" t="str">
        <f>IF(Table111[[#This Row],[Qty]]="","",Table111[[#This Row],[Qty]]*Table111[[#This Row],[Unit Price]]+Table111[[#This Row],[Delivery Cost]])</f>
        <v/>
      </c>
      <c r="T938" s="72"/>
      <c r="U938" s="72"/>
      <c r="V938" s="72"/>
      <c r="W938" s="65"/>
      <c r="X938" s="63" t="str">
        <f t="shared" si="42"/>
        <v/>
      </c>
      <c r="Y938" s="63" t="str">
        <f t="shared" si="43"/>
        <v/>
      </c>
      <c r="Z938" s="63" t="str">
        <f t="shared" si="44"/>
        <v/>
      </c>
      <c r="AA938" s="63" t="str">
        <f>TEXT(Table111[[#This Row],[YEAR]],"0000")&amp;"-"&amp;Table111[[#This Row],[MONTH]]</f>
        <v>-</v>
      </c>
    </row>
    <row r="939" spans="2:27" x14ac:dyDescent="0.3">
      <c r="B939" s="68"/>
      <c r="C939" s="68"/>
      <c r="D939" s="68"/>
      <c r="E939" s="71"/>
      <c r="F939" s="72"/>
      <c r="G939" s="70"/>
      <c r="H939" s="74"/>
      <c r="I939" s="70"/>
      <c r="J939" s="70"/>
      <c r="K939" s="70"/>
      <c r="L939" s="74"/>
      <c r="M939" s="123"/>
      <c r="N939" s="73"/>
      <c r="O939" s="236"/>
      <c r="P939" s="117"/>
      <c r="Q939" s="117"/>
      <c r="R939" s="156" t="str">
        <f>IF(Table111[[#This Row],[Qty]]="","",Table111[[#This Row],[Qty]]*Table111[[#This Row],[Unit Price]])</f>
        <v/>
      </c>
      <c r="S939" s="156" t="str">
        <f>IF(Table111[[#This Row],[Qty]]="","",Table111[[#This Row],[Qty]]*Table111[[#This Row],[Unit Price]]+Table111[[#This Row],[Delivery Cost]])</f>
        <v/>
      </c>
      <c r="T939" s="72"/>
      <c r="U939" s="72"/>
      <c r="V939" s="72"/>
      <c r="W939" s="219"/>
      <c r="X939" s="63" t="str">
        <f t="shared" si="42"/>
        <v/>
      </c>
      <c r="Y939" s="63" t="str">
        <f t="shared" si="43"/>
        <v/>
      </c>
      <c r="Z939" s="63" t="str">
        <f t="shared" si="44"/>
        <v/>
      </c>
      <c r="AA939" s="63" t="str">
        <f>TEXT(Table111[[#This Row],[YEAR]],"0000")&amp;"-"&amp;Table111[[#This Row],[MONTH]]</f>
        <v>-</v>
      </c>
    </row>
    <row r="940" spans="2:27" x14ac:dyDescent="0.3">
      <c r="B940" s="183"/>
      <c r="C940" s="183"/>
      <c r="D940" s="183"/>
      <c r="E940" s="71"/>
      <c r="F940" s="72"/>
      <c r="G940" s="70"/>
      <c r="H940" s="74"/>
      <c r="I940" s="70"/>
      <c r="J940" s="70"/>
      <c r="K940" s="70"/>
      <c r="L940" s="74"/>
      <c r="M940" s="123"/>
      <c r="N940" s="73"/>
      <c r="O940" s="236"/>
      <c r="P940" s="117"/>
      <c r="Q940" s="117"/>
      <c r="R940" s="156" t="str">
        <f>IF(Table111[[#This Row],[Qty]]="","",Table111[[#This Row],[Qty]]*Table111[[#This Row],[Unit Price]])</f>
        <v/>
      </c>
      <c r="S940" s="156" t="str">
        <f>IF(Table111[[#This Row],[Qty]]="","",Table111[[#This Row],[Qty]]*Table111[[#This Row],[Unit Price]]+Table111[[#This Row],[Delivery Cost]])</f>
        <v/>
      </c>
      <c r="T940" s="72"/>
      <c r="U940" s="72"/>
      <c r="V940" s="72"/>
      <c r="W940" s="65"/>
      <c r="X940" s="63" t="str">
        <f t="shared" si="42"/>
        <v/>
      </c>
      <c r="Y940" s="63" t="str">
        <f t="shared" si="43"/>
        <v/>
      </c>
      <c r="Z940" s="63" t="str">
        <f t="shared" si="44"/>
        <v/>
      </c>
      <c r="AA940" s="63" t="str">
        <f>TEXT(Table111[[#This Row],[YEAR]],"0000")&amp;"-"&amp;Table111[[#This Row],[MONTH]]</f>
        <v>-</v>
      </c>
    </row>
    <row r="941" spans="2:27" x14ac:dyDescent="0.3">
      <c r="B941" s="68"/>
      <c r="C941" s="68"/>
      <c r="D941" s="68"/>
      <c r="E941" s="71"/>
      <c r="F941" s="72"/>
      <c r="G941" s="70"/>
      <c r="H941" s="74"/>
      <c r="I941" s="70"/>
      <c r="J941" s="70"/>
      <c r="K941" s="70"/>
      <c r="L941" s="74"/>
      <c r="M941" s="123"/>
      <c r="N941" s="73"/>
      <c r="O941" s="236"/>
      <c r="P941" s="117"/>
      <c r="Q941" s="117"/>
      <c r="R941" s="156" t="str">
        <f>IF(Table111[[#This Row],[Qty]]="","",Table111[[#This Row],[Qty]]*Table111[[#This Row],[Unit Price]])</f>
        <v/>
      </c>
      <c r="S941" s="156" t="str">
        <f>IF(Table111[[#This Row],[Qty]]="","",Table111[[#This Row],[Qty]]*Table111[[#This Row],[Unit Price]]+Table111[[#This Row],[Delivery Cost]])</f>
        <v/>
      </c>
      <c r="T941" s="72"/>
      <c r="U941" s="72"/>
      <c r="V941" s="72"/>
      <c r="W941" s="219"/>
      <c r="X941" s="63" t="str">
        <f t="shared" si="42"/>
        <v/>
      </c>
      <c r="Y941" s="63" t="str">
        <f t="shared" si="43"/>
        <v/>
      </c>
      <c r="Z941" s="63" t="str">
        <f t="shared" si="44"/>
        <v/>
      </c>
      <c r="AA941" s="63" t="str">
        <f>TEXT(Table111[[#This Row],[YEAR]],"0000")&amp;"-"&amp;Table111[[#This Row],[MONTH]]</f>
        <v>-</v>
      </c>
    </row>
    <row r="942" spans="2:27" x14ac:dyDescent="0.3">
      <c r="B942" s="183"/>
      <c r="C942" s="183"/>
      <c r="D942" s="183"/>
      <c r="E942" s="71"/>
      <c r="F942" s="72"/>
      <c r="G942" s="70"/>
      <c r="H942" s="74"/>
      <c r="I942" s="70"/>
      <c r="J942" s="70"/>
      <c r="K942" s="70"/>
      <c r="L942" s="74"/>
      <c r="M942" s="123"/>
      <c r="N942" s="73"/>
      <c r="O942" s="236"/>
      <c r="P942" s="117"/>
      <c r="Q942" s="117"/>
      <c r="R942" s="156" t="str">
        <f>IF(Table111[[#This Row],[Qty]]="","",Table111[[#This Row],[Qty]]*Table111[[#This Row],[Unit Price]])</f>
        <v/>
      </c>
      <c r="S942" s="156" t="str">
        <f>IF(Table111[[#This Row],[Qty]]="","",Table111[[#This Row],[Qty]]*Table111[[#This Row],[Unit Price]]+Table111[[#This Row],[Delivery Cost]])</f>
        <v/>
      </c>
      <c r="T942" s="72"/>
      <c r="U942" s="72"/>
      <c r="V942" s="72"/>
      <c r="W942" s="65"/>
      <c r="X942" s="63" t="str">
        <f t="shared" si="42"/>
        <v/>
      </c>
      <c r="Y942" s="63" t="str">
        <f t="shared" si="43"/>
        <v/>
      </c>
      <c r="Z942" s="63" t="str">
        <f t="shared" si="44"/>
        <v/>
      </c>
      <c r="AA942" s="63" t="str">
        <f>TEXT(Table111[[#This Row],[YEAR]],"0000")&amp;"-"&amp;Table111[[#This Row],[MONTH]]</f>
        <v>-</v>
      </c>
    </row>
    <row r="943" spans="2:27" x14ac:dyDescent="0.3">
      <c r="B943" s="68"/>
      <c r="C943" s="68"/>
      <c r="D943" s="68"/>
      <c r="E943" s="71"/>
      <c r="F943" s="72"/>
      <c r="G943" s="70"/>
      <c r="H943" s="74"/>
      <c r="I943" s="70"/>
      <c r="J943" s="70"/>
      <c r="K943" s="70"/>
      <c r="L943" s="74"/>
      <c r="M943" s="123"/>
      <c r="N943" s="73"/>
      <c r="O943" s="236"/>
      <c r="P943" s="117"/>
      <c r="Q943" s="117"/>
      <c r="R943" s="156" t="str">
        <f>IF(Table111[[#This Row],[Qty]]="","",Table111[[#This Row],[Qty]]*Table111[[#This Row],[Unit Price]])</f>
        <v/>
      </c>
      <c r="S943" s="156" t="str">
        <f>IF(Table111[[#This Row],[Qty]]="","",Table111[[#This Row],[Qty]]*Table111[[#This Row],[Unit Price]]+Table111[[#This Row],[Delivery Cost]])</f>
        <v/>
      </c>
      <c r="T943" s="72"/>
      <c r="U943" s="72"/>
      <c r="V943" s="72"/>
      <c r="W943" s="219"/>
      <c r="X943" s="63" t="str">
        <f t="shared" si="42"/>
        <v/>
      </c>
      <c r="Y943" s="63" t="str">
        <f t="shared" si="43"/>
        <v/>
      </c>
      <c r="Z943" s="63" t="str">
        <f t="shared" si="44"/>
        <v/>
      </c>
      <c r="AA943" s="63" t="str">
        <f>TEXT(Table111[[#This Row],[YEAR]],"0000")&amp;"-"&amp;Table111[[#This Row],[MONTH]]</f>
        <v>-</v>
      </c>
    </row>
    <row r="944" spans="2:27" x14ac:dyDescent="0.3">
      <c r="B944" s="183"/>
      <c r="C944" s="183"/>
      <c r="D944" s="183"/>
      <c r="E944" s="71"/>
      <c r="F944" s="72"/>
      <c r="G944" s="70"/>
      <c r="H944" s="74"/>
      <c r="I944" s="70"/>
      <c r="J944" s="70"/>
      <c r="K944" s="70"/>
      <c r="L944" s="74"/>
      <c r="M944" s="123"/>
      <c r="N944" s="73"/>
      <c r="O944" s="236"/>
      <c r="P944" s="117"/>
      <c r="Q944" s="117"/>
      <c r="R944" s="156" t="str">
        <f>IF(Table111[[#This Row],[Qty]]="","",Table111[[#This Row],[Qty]]*Table111[[#This Row],[Unit Price]])</f>
        <v/>
      </c>
      <c r="S944" s="156" t="str">
        <f>IF(Table111[[#This Row],[Qty]]="","",Table111[[#This Row],[Qty]]*Table111[[#This Row],[Unit Price]]+Table111[[#This Row],[Delivery Cost]])</f>
        <v/>
      </c>
      <c r="T944" s="72"/>
      <c r="U944" s="72"/>
      <c r="V944" s="72"/>
      <c r="W944" s="65"/>
      <c r="X944" s="63" t="str">
        <f t="shared" si="42"/>
        <v/>
      </c>
      <c r="Y944" s="63" t="str">
        <f t="shared" si="43"/>
        <v/>
      </c>
      <c r="Z944" s="63" t="str">
        <f t="shared" si="44"/>
        <v/>
      </c>
      <c r="AA944" s="63" t="str">
        <f>TEXT(Table111[[#This Row],[YEAR]],"0000")&amp;"-"&amp;Table111[[#This Row],[MONTH]]</f>
        <v>-</v>
      </c>
    </row>
    <row r="945" spans="2:27" x14ac:dyDescent="0.3">
      <c r="B945" s="68"/>
      <c r="C945" s="68"/>
      <c r="D945" s="68"/>
      <c r="E945" s="71"/>
      <c r="F945" s="72"/>
      <c r="G945" s="70"/>
      <c r="H945" s="74"/>
      <c r="I945" s="70"/>
      <c r="J945" s="70"/>
      <c r="K945" s="70"/>
      <c r="L945" s="74"/>
      <c r="M945" s="123"/>
      <c r="N945" s="73"/>
      <c r="O945" s="236"/>
      <c r="P945" s="117"/>
      <c r="Q945" s="117"/>
      <c r="R945" s="156" t="str">
        <f>IF(Table111[[#This Row],[Qty]]="","",Table111[[#This Row],[Qty]]*Table111[[#This Row],[Unit Price]])</f>
        <v/>
      </c>
      <c r="S945" s="156" t="str">
        <f>IF(Table111[[#This Row],[Qty]]="","",Table111[[#This Row],[Qty]]*Table111[[#This Row],[Unit Price]]+Table111[[#This Row],[Delivery Cost]])</f>
        <v/>
      </c>
      <c r="T945" s="72"/>
      <c r="U945" s="72"/>
      <c r="V945" s="72"/>
      <c r="W945" s="219"/>
      <c r="X945" s="63" t="str">
        <f t="shared" si="42"/>
        <v/>
      </c>
      <c r="Y945" s="63" t="str">
        <f t="shared" si="43"/>
        <v/>
      </c>
      <c r="Z945" s="63" t="str">
        <f t="shared" si="44"/>
        <v/>
      </c>
      <c r="AA945" s="63" t="str">
        <f>TEXT(Table111[[#This Row],[YEAR]],"0000")&amp;"-"&amp;Table111[[#This Row],[MONTH]]</f>
        <v>-</v>
      </c>
    </row>
    <row r="946" spans="2:27" x14ac:dyDescent="0.3">
      <c r="B946" s="183"/>
      <c r="C946" s="183"/>
      <c r="D946" s="183"/>
      <c r="E946" s="71"/>
      <c r="F946" s="72"/>
      <c r="G946" s="70"/>
      <c r="H946" s="74"/>
      <c r="I946" s="70"/>
      <c r="J946" s="70"/>
      <c r="K946" s="70"/>
      <c r="L946" s="74"/>
      <c r="M946" s="123"/>
      <c r="N946" s="73"/>
      <c r="O946" s="236"/>
      <c r="P946" s="117"/>
      <c r="Q946" s="117"/>
      <c r="R946" s="156" t="str">
        <f>IF(Table111[[#This Row],[Qty]]="","",Table111[[#This Row],[Qty]]*Table111[[#This Row],[Unit Price]])</f>
        <v/>
      </c>
      <c r="S946" s="156" t="str">
        <f>IF(Table111[[#This Row],[Qty]]="","",Table111[[#This Row],[Qty]]*Table111[[#This Row],[Unit Price]]+Table111[[#This Row],[Delivery Cost]])</f>
        <v/>
      </c>
      <c r="T946" s="72"/>
      <c r="U946" s="72"/>
      <c r="V946" s="72"/>
      <c r="W946" s="65"/>
      <c r="X946" s="63" t="str">
        <f t="shared" si="42"/>
        <v/>
      </c>
      <c r="Y946" s="63" t="str">
        <f t="shared" si="43"/>
        <v/>
      </c>
      <c r="Z946" s="63" t="str">
        <f t="shared" si="44"/>
        <v/>
      </c>
      <c r="AA946" s="63" t="str">
        <f>TEXT(Table111[[#This Row],[YEAR]],"0000")&amp;"-"&amp;Table111[[#This Row],[MONTH]]</f>
        <v>-</v>
      </c>
    </row>
    <row r="947" spans="2:27" x14ac:dyDescent="0.3">
      <c r="B947" s="68"/>
      <c r="C947" s="68"/>
      <c r="D947" s="68"/>
      <c r="E947" s="71"/>
      <c r="F947" s="72"/>
      <c r="G947" s="70"/>
      <c r="H947" s="74"/>
      <c r="I947" s="70"/>
      <c r="J947" s="70"/>
      <c r="K947" s="70"/>
      <c r="L947" s="74"/>
      <c r="M947" s="123"/>
      <c r="N947" s="73"/>
      <c r="O947" s="236"/>
      <c r="P947" s="117"/>
      <c r="Q947" s="117"/>
      <c r="R947" s="156" t="str">
        <f>IF(Table111[[#This Row],[Qty]]="","",Table111[[#This Row],[Qty]]*Table111[[#This Row],[Unit Price]])</f>
        <v/>
      </c>
      <c r="S947" s="156" t="str">
        <f>IF(Table111[[#This Row],[Qty]]="","",Table111[[#This Row],[Qty]]*Table111[[#This Row],[Unit Price]]+Table111[[#This Row],[Delivery Cost]])</f>
        <v/>
      </c>
      <c r="T947" s="72"/>
      <c r="U947" s="72"/>
      <c r="V947" s="72"/>
      <c r="W947" s="219"/>
      <c r="X947" s="63" t="str">
        <f t="shared" si="42"/>
        <v/>
      </c>
      <c r="Y947" s="63" t="str">
        <f t="shared" si="43"/>
        <v/>
      </c>
      <c r="Z947" s="63" t="str">
        <f t="shared" si="44"/>
        <v/>
      </c>
      <c r="AA947" s="63" t="str">
        <f>TEXT(Table111[[#This Row],[YEAR]],"0000")&amp;"-"&amp;Table111[[#This Row],[MONTH]]</f>
        <v>-</v>
      </c>
    </row>
    <row r="948" spans="2:27" x14ac:dyDescent="0.3">
      <c r="B948" s="183"/>
      <c r="C948" s="183"/>
      <c r="D948" s="183"/>
      <c r="E948" s="71"/>
      <c r="F948" s="72"/>
      <c r="G948" s="70"/>
      <c r="H948" s="74"/>
      <c r="I948" s="70"/>
      <c r="J948" s="70"/>
      <c r="K948" s="70"/>
      <c r="L948" s="74"/>
      <c r="M948" s="123"/>
      <c r="N948" s="73"/>
      <c r="O948" s="236"/>
      <c r="P948" s="117"/>
      <c r="Q948" s="117"/>
      <c r="R948" s="156" t="str">
        <f>IF(Table111[[#This Row],[Qty]]="","",Table111[[#This Row],[Qty]]*Table111[[#This Row],[Unit Price]])</f>
        <v/>
      </c>
      <c r="S948" s="156" t="str">
        <f>IF(Table111[[#This Row],[Qty]]="","",Table111[[#This Row],[Qty]]*Table111[[#This Row],[Unit Price]]+Table111[[#This Row],[Delivery Cost]])</f>
        <v/>
      </c>
      <c r="T948" s="72"/>
      <c r="U948" s="72"/>
      <c r="V948" s="72"/>
      <c r="W948" s="65"/>
      <c r="X948" s="63" t="str">
        <f t="shared" si="42"/>
        <v/>
      </c>
      <c r="Y948" s="63" t="str">
        <f t="shared" si="43"/>
        <v/>
      </c>
      <c r="Z948" s="63" t="str">
        <f t="shared" si="44"/>
        <v/>
      </c>
      <c r="AA948" s="63" t="str">
        <f>TEXT(Table111[[#This Row],[YEAR]],"0000")&amp;"-"&amp;Table111[[#This Row],[MONTH]]</f>
        <v>-</v>
      </c>
    </row>
    <row r="949" spans="2:27" x14ac:dyDescent="0.3">
      <c r="B949" s="68"/>
      <c r="C949" s="68"/>
      <c r="D949" s="68"/>
      <c r="E949" s="71"/>
      <c r="F949" s="72"/>
      <c r="G949" s="70"/>
      <c r="H949" s="74"/>
      <c r="I949" s="70"/>
      <c r="J949" s="70"/>
      <c r="K949" s="70"/>
      <c r="L949" s="74"/>
      <c r="M949" s="123"/>
      <c r="N949" s="73"/>
      <c r="O949" s="236"/>
      <c r="P949" s="117"/>
      <c r="Q949" s="117"/>
      <c r="R949" s="156" t="str">
        <f>IF(Table111[[#This Row],[Qty]]="","",Table111[[#This Row],[Qty]]*Table111[[#This Row],[Unit Price]])</f>
        <v/>
      </c>
      <c r="S949" s="156" t="str">
        <f>IF(Table111[[#This Row],[Qty]]="","",Table111[[#This Row],[Qty]]*Table111[[#This Row],[Unit Price]]+Table111[[#This Row],[Delivery Cost]])</f>
        <v/>
      </c>
      <c r="T949" s="72"/>
      <c r="U949" s="72"/>
      <c r="V949" s="72"/>
      <c r="W949" s="219"/>
      <c r="X949" s="63" t="str">
        <f t="shared" si="42"/>
        <v/>
      </c>
      <c r="Y949" s="63" t="str">
        <f t="shared" si="43"/>
        <v/>
      </c>
      <c r="Z949" s="63" t="str">
        <f t="shared" si="44"/>
        <v/>
      </c>
      <c r="AA949" s="63" t="str">
        <f>TEXT(Table111[[#This Row],[YEAR]],"0000")&amp;"-"&amp;Table111[[#This Row],[MONTH]]</f>
        <v>-</v>
      </c>
    </row>
    <row r="950" spans="2:27" x14ac:dyDescent="0.3">
      <c r="B950" s="183"/>
      <c r="C950" s="183"/>
      <c r="D950" s="183"/>
      <c r="E950" s="71"/>
      <c r="F950" s="72"/>
      <c r="G950" s="70"/>
      <c r="H950" s="74"/>
      <c r="I950" s="70"/>
      <c r="J950" s="70"/>
      <c r="K950" s="70"/>
      <c r="L950" s="74"/>
      <c r="M950" s="123"/>
      <c r="N950" s="73"/>
      <c r="O950" s="236"/>
      <c r="P950" s="117"/>
      <c r="Q950" s="117"/>
      <c r="R950" s="156" t="str">
        <f>IF(Table111[[#This Row],[Qty]]="","",Table111[[#This Row],[Qty]]*Table111[[#This Row],[Unit Price]])</f>
        <v/>
      </c>
      <c r="S950" s="156" t="str">
        <f>IF(Table111[[#This Row],[Qty]]="","",Table111[[#This Row],[Qty]]*Table111[[#This Row],[Unit Price]]+Table111[[#This Row],[Delivery Cost]])</f>
        <v/>
      </c>
      <c r="T950" s="72"/>
      <c r="U950" s="72"/>
      <c r="V950" s="72"/>
      <c r="W950" s="65"/>
      <c r="X950" s="63" t="str">
        <f t="shared" si="42"/>
        <v/>
      </c>
      <c r="Y950" s="63" t="str">
        <f t="shared" si="43"/>
        <v/>
      </c>
      <c r="Z950" s="63" t="str">
        <f t="shared" si="44"/>
        <v/>
      </c>
      <c r="AA950" s="63" t="str">
        <f>TEXT(Table111[[#This Row],[YEAR]],"0000")&amp;"-"&amp;Table111[[#This Row],[MONTH]]</f>
        <v>-</v>
      </c>
    </row>
    <row r="951" spans="2:27" x14ac:dyDescent="0.3">
      <c r="B951" s="68"/>
      <c r="C951" s="68"/>
      <c r="D951" s="68"/>
      <c r="E951" s="71"/>
      <c r="F951" s="72"/>
      <c r="G951" s="70"/>
      <c r="H951" s="74"/>
      <c r="I951" s="70"/>
      <c r="J951" s="70"/>
      <c r="K951" s="70"/>
      <c r="L951" s="74"/>
      <c r="M951" s="123"/>
      <c r="N951" s="73"/>
      <c r="O951" s="236"/>
      <c r="P951" s="117"/>
      <c r="Q951" s="117"/>
      <c r="R951" s="156" t="str">
        <f>IF(Table111[[#This Row],[Qty]]="","",Table111[[#This Row],[Qty]]*Table111[[#This Row],[Unit Price]])</f>
        <v/>
      </c>
      <c r="S951" s="156" t="str">
        <f>IF(Table111[[#This Row],[Qty]]="","",Table111[[#This Row],[Qty]]*Table111[[#This Row],[Unit Price]]+Table111[[#This Row],[Delivery Cost]])</f>
        <v/>
      </c>
      <c r="T951" s="72"/>
      <c r="U951" s="72"/>
      <c r="V951" s="72"/>
      <c r="W951" s="219"/>
      <c r="X951" s="63" t="str">
        <f t="shared" si="42"/>
        <v/>
      </c>
      <c r="Y951" s="63" t="str">
        <f t="shared" si="43"/>
        <v/>
      </c>
      <c r="Z951" s="63" t="str">
        <f t="shared" si="44"/>
        <v/>
      </c>
      <c r="AA951" s="63" t="str">
        <f>TEXT(Table111[[#This Row],[YEAR]],"0000")&amp;"-"&amp;Table111[[#This Row],[MONTH]]</f>
        <v>-</v>
      </c>
    </row>
    <row r="952" spans="2:27" x14ac:dyDescent="0.3">
      <c r="B952" s="183"/>
      <c r="C952" s="183"/>
      <c r="D952" s="183"/>
      <c r="E952" s="71"/>
      <c r="F952" s="72"/>
      <c r="G952" s="70"/>
      <c r="H952" s="74"/>
      <c r="I952" s="70"/>
      <c r="J952" s="70"/>
      <c r="K952" s="70"/>
      <c r="L952" s="74"/>
      <c r="M952" s="123"/>
      <c r="N952" s="73"/>
      <c r="O952" s="236"/>
      <c r="P952" s="117"/>
      <c r="Q952" s="117"/>
      <c r="R952" s="156" t="str">
        <f>IF(Table111[[#This Row],[Qty]]="","",Table111[[#This Row],[Qty]]*Table111[[#This Row],[Unit Price]])</f>
        <v/>
      </c>
      <c r="S952" s="156" t="str">
        <f>IF(Table111[[#This Row],[Qty]]="","",Table111[[#This Row],[Qty]]*Table111[[#This Row],[Unit Price]]+Table111[[#This Row],[Delivery Cost]])</f>
        <v/>
      </c>
      <c r="T952" s="72"/>
      <c r="U952" s="72"/>
      <c r="V952" s="72"/>
      <c r="W952" s="65"/>
      <c r="X952" s="63" t="str">
        <f t="shared" si="42"/>
        <v/>
      </c>
      <c r="Y952" s="63" t="str">
        <f t="shared" si="43"/>
        <v/>
      </c>
      <c r="Z952" s="63" t="str">
        <f t="shared" si="44"/>
        <v/>
      </c>
      <c r="AA952" s="63" t="str">
        <f>TEXT(Table111[[#This Row],[YEAR]],"0000")&amp;"-"&amp;Table111[[#This Row],[MONTH]]</f>
        <v>-</v>
      </c>
    </row>
    <row r="953" spans="2:27" x14ac:dyDescent="0.3">
      <c r="B953" s="68"/>
      <c r="C953" s="68"/>
      <c r="D953" s="68"/>
      <c r="E953" s="71"/>
      <c r="F953" s="72"/>
      <c r="G953" s="70"/>
      <c r="H953" s="74"/>
      <c r="I953" s="70"/>
      <c r="J953" s="70"/>
      <c r="K953" s="70"/>
      <c r="L953" s="74"/>
      <c r="M953" s="123"/>
      <c r="N953" s="73"/>
      <c r="O953" s="236"/>
      <c r="P953" s="117"/>
      <c r="Q953" s="117"/>
      <c r="R953" s="156" t="str">
        <f>IF(Table111[[#This Row],[Qty]]="","",Table111[[#This Row],[Qty]]*Table111[[#This Row],[Unit Price]])</f>
        <v/>
      </c>
      <c r="S953" s="156" t="str">
        <f>IF(Table111[[#This Row],[Qty]]="","",Table111[[#This Row],[Qty]]*Table111[[#This Row],[Unit Price]]+Table111[[#This Row],[Delivery Cost]])</f>
        <v/>
      </c>
      <c r="T953" s="72"/>
      <c r="U953" s="72"/>
      <c r="V953" s="72"/>
      <c r="W953" s="219"/>
      <c r="X953" s="63" t="str">
        <f t="shared" si="42"/>
        <v/>
      </c>
      <c r="Y953" s="63" t="str">
        <f t="shared" si="43"/>
        <v/>
      </c>
      <c r="Z953" s="63" t="str">
        <f t="shared" si="44"/>
        <v/>
      </c>
      <c r="AA953" s="63" t="str">
        <f>TEXT(Table111[[#This Row],[YEAR]],"0000")&amp;"-"&amp;Table111[[#This Row],[MONTH]]</f>
        <v>-</v>
      </c>
    </row>
    <row r="954" spans="2:27" x14ac:dyDescent="0.3">
      <c r="B954" s="183"/>
      <c r="C954" s="183"/>
      <c r="D954" s="183"/>
      <c r="E954" s="71"/>
      <c r="F954" s="72"/>
      <c r="G954" s="70"/>
      <c r="H954" s="74"/>
      <c r="I954" s="70"/>
      <c r="J954" s="70"/>
      <c r="K954" s="70"/>
      <c r="L954" s="74"/>
      <c r="M954" s="123"/>
      <c r="N954" s="73"/>
      <c r="O954" s="236"/>
      <c r="P954" s="117"/>
      <c r="Q954" s="117"/>
      <c r="R954" s="156" t="str">
        <f>IF(Table111[[#This Row],[Qty]]="","",Table111[[#This Row],[Qty]]*Table111[[#This Row],[Unit Price]])</f>
        <v/>
      </c>
      <c r="S954" s="156" t="str">
        <f>IF(Table111[[#This Row],[Qty]]="","",Table111[[#This Row],[Qty]]*Table111[[#This Row],[Unit Price]]+Table111[[#This Row],[Delivery Cost]])</f>
        <v/>
      </c>
      <c r="T954" s="72"/>
      <c r="U954" s="72"/>
      <c r="V954" s="72"/>
      <c r="W954" s="65"/>
      <c r="X954" s="63" t="str">
        <f t="shared" si="42"/>
        <v/>
      </c>
      <c r="Y954" s="63" t="str">
        <f t="shared" si="43"/>
        <v/>
      </c>
      <c r="Z954" s="63" t="str">
        <f t="shared" si="44"/>
        <v/>
      </c>
      <c r="AA954" s="63" t="str">
        <f>TEXT(Table111[[#This Row],[YEAR]],"0000")&amp;"-"&amp;Table111[[#This Row],[MONTH]]</f>
        <v>-</v>
      </c>
    </row>
    <row r="955" spans="2:27" x14ac:dyDescent="0.3">
      <c r="B955" s="68"/>
      <c r="C955" s="68"/>
      <c r="D955" s="68"/>
      <c r="E955" s="71"/>
      <c r="F955" s="72"/>
      <c r="G955" s="70"/>
      <c r="H955" s="74"/>
      <c r="I955" s="70"/>
      <c r="J955" s="70"/>
      <c r="K955" s="70"/>
      <c r="L955" s="74"/>
      <c r="M955" s="123"/>
      <c r="N955" s="73"/>
      <c r="O955" s="236"/>
      <c r="P955" s="117"/>
      <c r="Q955" s="117"/>
      <c r="R955" s="156" t="str">
        <f>IF(Table111[[#This Row],[Qty]]="","",Table111[[#This Row],[Qty]]*Table111[[#This Row],[Unit Price]])</f>
        <v/>
      </c>
      <c r="S955" s="156" t="str">
        <f>IF(Table111[[#This Row],[Qty]]="","",Table111[[#This Row],[Qty]]*Table111[[#This Row],[Unit Price]]+Table111[[#This Row],[Delivery Cost]])</f>
        <v/>
      </c>
      <c r="T955" s="72"/>
      <c r="U955" s="72"/>
      <c r="V955" s="72"/>
      <c r="W955" s="219"/>
      <c r="X955" s="63" t="str">
        <f t="shared" si="42"/>
        <v/>
      </c>
      <c r="Y955" s="63" t="str">
        <f t="shared" si="43"/>
        <v/>
      </c>
      <c r="Z955" s="63" t="str">
        <f t="shared" si="44"/>
        <v/>
      </c>
      <c r="AA955" s="63" t="str">
        <f>TEXT(Table111[[#This Row],[YEAR]],"0000")&amp;"-"&amp;Table111[[#This Row],[MONTH]]</f>
        <v>-</v>
      </c>
    </row>
    <row r="956" spans="2:27" x14ac:dyDescent="0.3">
      <c r="B956" s="183"/>
      <c r="C956" s="183"/>
      <c r="D956" s="183"/>
      <c r="E956" s="71"/>
      <c r="F956" s="72"/>
      <c r="G956" s="70"/>
      <c r="H956" s="74"/>
      <c r="I956" s="70"/>
      <c r="J956" s="70"/>
      <c r="K956" s="70"/>
      <c r="L956" s="74"/>
      <c r="M956" s="123"/>
      <c r="N956" s="73"/>
      <c r="O956" s="236"/>
      <c r="P956" s="117"/>
      <c r="Q956" s="117"/>
      <c r="R956" s="156" t="str">
        <f>IF(Table111[[#This Row],[Qty]]="","",Table111[[#This Row],[Qty]]*Table111[[#This Row],[Unit Price]])</f>
        <v/>
      </c>
      <c r="S956" s="156" t="str">
        <f>IF(Table111[[#This Row],[Qty]]="","",Table111[[#This Row],[Qty]]*Table111[[#This Row],[Unit Price]]+Table111[[#This Row],[Delivery Cost]])</f>
        <v/>
      </c>
      <c r="T956" s="72"/>
      <c r="U956" s="72"/>
      <c r="V956" s="72"/>
      <c r="W956" s="65"/>
      <c r="X956" s="63" t="str">
        <f t="shared" si="42"/>
        <v/>
      </c>
      <c r="Y956" s="63" t="str">
        <f t="shared" si="43"/>
        <v/>
      </c>
      <c r="Z956" s="63" t="str">
        <f t="shared" si="44"/>
        <v/>
      </c>
      <c r="AA956" s="63" t="str">
        <f>TEXT(Table111[[#This Row],[YEAR]],"0000")&amp;"-"&amp;Table111[[#This Row],[MONTH]]</f>
        <v>-</v>
      </c>
    </row>
    <row r="957" spans="2:27" x14ac:dyDescent="0.3">
      <c r="B957" s="68"/>
      <c r="C957" s="68"/>
      <c r="D957" s="68"/>
      <c r="E957" s="71"/>
      <c r="F957" s="72"/>
      <c r="G957" s="70"/>
      <c r="H957" s="74"/>
      <c r="I957" s="70"/>
      <c r="J957" s="70"/>
      <c r="K957" s="70"/>
      <c r="L957" s="74"/>
      <c r="M957" s="123"/>
      <c r="N957" s="73"/>
      <c r="O957" s="236"/>
      <c r="P957" s="117"/>
      <c r="Q957" s="117"/>
      <c r="R957" s="156" t="str">
        <f>IF(Table111[[#This Row],[Qty]]="","",Table111[[#This Row],[Qty]]*Table111[[#This Row],[Unit Price]])</f>
        <v/>
      </c>
      <c r="S957" s="156" t="str">
        <f>IF(Table111[[#This Row],[Qty]]="","",Table111[[#This Row],[Qty]]*Table111[[#This Row],[Unit Price]]+Table111[[#This Row],[Delivery Cost]])</f>
        <v/>
      </c>
      <c r="T957" s="72"/>
      <c r="U957" s="72"/>
      <c r="V957" s="72"/>
      <c r="W957" s="219"/>
      <c r="X957" s="63" t="str">
        <f t="shared" si="42"/>
        <v/>
      </c>
      <c r="Y957" s="63" t="str">
        <f t="shared" si="43"/>
        <v/>
      </c>
      <c r="Z957" s="63" t="str">
        <f t="shared" si="44"/>
        <v/>
      </c>
      <c r="AA957" s="63" t="str">
        <f>TEXT(Table111[[#This Row],[YEAR]],"0000")&amp;"-"&amp;Table111[[#This Row],[MONTH]]</f>
        <v>-</v>
      </c>
    </row>
    <row r="958" spans="2:27" x14ac:dyDescent="0.3">
      <c r="B958" s="183"/>
      <c r="C958" s="183"/>
      <c r="D958" s="183"/>
      <c r="E958" s="71"/>
      <c r="F958" s="72"/>
      <c r="G958" s="70"/>
      <c r="H958" s="74"/>
      <c r="I958" s="70"/>
      <c r="J958" s="70"/>
      <c r="K958" s="70"/>
      <c r="L958" s="74"/>
      <c r="M958" s="123"/>
      <c r="N958" s="73"/>
      <c r="O958" s="236"/>
      <c r="P958" s="117"/>
      <c r="Q958" s="117"/>
      <c r="R958" s="156" t="str">
        <f>IF(Table111[[#This Row],[Qty]]="","",Table111[[#This Row],[Qty]]*Table111[[#This Row],[Unit Price]])</f>
        <v/>
      </c>
      <c r="S958" s="156" t="str">
        <f>IF(Table111[[#This Row],[Qty]]="","",Table111[[#This Row],[Qty]]*Table111[[#This Row],[Unit Price]]+Table111[[#This Row],[Delivery Cost]])</f>
        <v/>
      </c>
      <c r="T958" s="72"/>
      <c r="U958" s="72"/>
      <c r="V958" s="72"/>
      <c r="W958" s="65"/>
      <c r="X958" s="63" t="str">
        <f t="shared" si="42"/>
        <v/>
      </c>
      <c r="Y958" s="63" t="str">
        <f t="shared" si="43"/>
        <v/>
      </c>
      <c r="Z958" s="63" t="str">
        <f t="shared" si="44"/>
        <v/>
      </c>
      <c r="AA958" s="63" t="str">
        <f>TEXT(Table111[[#This Row],[YEAR]],"0000")&amp;"-"&amp;Table111[[#This Row],[MONTH]]</f>
        <v>-</v>
      </c>
    </row>
    <row r="959" spans="2:27" x14ac:dyDescent="0.3">
      <c r="B959" s="68"/>
      <c r="C959" s="68"/>
      <c r="D959" s="68"/>
      <c r="E959" s="71"/>
      <c r="F959" s="72"/>
      <c r="G959" s="70"/>
      <c r="H959" s="74"/>
      <c r="I959" s="70"/>
      <c r="J959" s="70"/>
      <c r="K959" s="70"/>
      <c r="L959" s="74"/>
      <c r="M959" s="123"/>
      <c r="N959" s="73"/>
      <c r="O959" s="236"/>
      <c r="P959" s="117"/>
      <c r="Q959" s="117"/>
      <c r="R959" s="156" t="str">
        <f>IF(Table111[[#This Row],[Qty]]="","",Table111[[#This Row],[Qty]]*Table111[[#This Row],[Unit Price]])</f>
        <v/>
      </c>
      <c r="S959" s="156" t="str">
        <f>IF(Table111[[#This Row],[Qty]]="","",Table111[[#This Row],[Qty]]*Table111[[#This Row],[Unit Price]]+Table111[[#This Row],[Delivery Cost]])</f>
        <v/>
      </c>
      <c r="T959" s="72"/>
      <c r="U959" s="72"/>
      <c r="V959" s="72"/>
      <c r="W959" s="219"/>
      <c r="X959" s="63" t="str">
        <f t="shared" si="42"/>
        <v/>
      </c>
      <c r="Y959" s="63" t="str">
        <f t="shared" si="43"/>
        <v/>
      </c>
      <c r="Z959" s="63" t="str">
        <f t="shared" si="44"/>
        <v/>
      </c>
      <c r="AA959" s="63" t="str">
        <f>TEXT(Table111[[#This Row],[YEAR]],"0000")&amp;"-"&amp;Table111[[#This Row],[MONTH]]</f>
        <v>-</v>
      </c>
    </row>
    <row r="960" spans="2:27" x14ac:dyDescent="0.3">
      <c r="B960" s="183"/>
      <c r="C960" s="183"/>
      <c r="D960" s="183"/>
      <c r="E960" s="71"/>
      <c r="F960" s="72"/>
      <c r="G960" s="70"/>
      <c r="H960" s="74"/>
      <c r="I960" s="70"/>
      <c r="J960" s="70"/>
      <c r="K960" s="70"/>
      <c r="L960" s="74"/>
      <c r="M960" s="123"/>
      <c r="N960" s="73"/>
      <c r="O960" s="236"/>
      <c r="P960" s="117"/>
      <c r="Q960" s="117"/>
      <c r="R960" s="156" t="str">
        <f>IF(Table111[[#This Row],[Qty]]="","",Table111[[#This Row],[Qty]]*Table111[[#This Row],[Unit Price]])</f>
        <v/>
      </c>
      <c r="S960" s="156" t="str">
        <f>IF(Table111[[#This Row],[Qty]]="","",Table111[[#This Row],[Qty]]*Table111[[#This Row],[Unit Price]]+Table111[[#This Row],[Delivery Cost]])</f>
        <v/>
      </c>
      <c r="T960" s="72"/>
      <c r="U960" s="72"/>
      <c r="V960" s="72"/>
      <c r="W960" s="65"/>
      <c r="X960" s="63" t="str">
        <f t="shared" si="42"/>
        <v/>
      </c>
      <c r="Y960" s="63" t="str">
        <f t="shared" si="43"/>
        <v/>
      </c>
      <c r="Z960" s="63" t="str">
        <f t="shared" si="44"/>
        <v/>
      </c>
      <c r="AA960" s="63" t="str">
        <f>TEXT(Table111[[#This Row],[YEAR]],"0000")&amp;"-"&amp;Table111[[#This Row],[MONTH]]</f>
        <v>-</v>
      </c>
    </row>
    <row r="961" spans="2:27" x14ac:dyDescent="0.3">
      <c r="B961" s="68"/>
      <c r="C961" s="68"/>
      <c r="D961" s="68"/>
      <c r="E961" s="71"/>
      <c r="F961" s="72"/>
      <c r="G961" s="70"/>
      <c r="H961" s="74"/>
      <c r="I961" s="70"/>
      <c r="J961" s="70"/>
      <c r="K961" s="70"/>
      <c r="L961" s="74"/>
      <c r="M961" s="123"/>
      <c r="N961" s="73"/>
      <c r="O961" s="236"/>
      <c r="P961" s="117"/>
      <c r="Q961" s="117"/>
      <c r="R961" s="156" t="str">
        <f>IF(Table111[[#This Row],[Qty]]="","",Table111[[#This Row],[Qty]]*Table111[[#This Row],[Unit Price]])</f>
        <v/>
      </c>
      <c r="S961" s="156" t="str">
        <f>IF(Table111[[#This Row],[Qty]]="","",Table111[[#This Row],[Qty]]*Table111[[#This Row],[Unit Price]]+Table111[[#This Row],[Delivery Cost]])</f>
        <v/>
      </c>
      <c r="T961" s="72"/>
      <c r="U961" s="72"/>
      <c r="V961" s="72"/>
      <c r="W961" s="219"/>
      <c r="X961" s="63" t="str">
        <f t="shared" si="42"/>
        <v/>
      </c>
      <c r="Y961" s="63" t="str">
        <f t="shared" si="43"/>
        <v/>
      </c>
      <c r="Z961" s="63" t="str">
        <f t="shared" si="44"/>
        <v/>
      </c>
      <c r="AA961" s="63" t="str">
        <f>TEXT(Table111[[#This Row],[YEAR]],"0000")&amp;"-"&amp;Table111[[#This Row],[MONTH]]</f>
        <v>-</v>
      </c>
    </row>
    <row r="962" spans="2:27" x14ac:dyDescent="0.3">
      <c r="B962" s="183"/>
      <c r="C962" s="183"/>
      <c r="D962" s="183"/>
      <c r="E962" s="71"/>
      <c r="F962" s="72"/>
      <c r="G962" s="70"/>
      <c r="H962" s="74"/>
      <c r="I962" s="70"/>
      <c r="J962" s="70"/>
      <c r="K962" s="70"/>
      <c r="L962" s="74"/>
      <c r="M962" s="123"/>
      <c r="N962" s="73"/>
      <c r="O962" s="236"/>
      <c r="P962" s="117"/>
      <c r="Q962" s="117"/>
      <c r="R962" s="156" t="str">
        <f>IF(Table111[[#This Row],[Qty]]="","",Table111[[#This Row],[Qty]]*Table111[[#This Row],[Unit Price]])</f>
        <v/>
      </c>
      <c r="S962" s="156" t="str">
        <f>IF(Table111[[#This Row],[Qty]]="","",Table111[[#This Row],[Qty]]*Table111[[#This Row],[Unit Price]]+Table111[[#This Row],[Delivery Cost]])</f>
        <v/>
      </c>
      <c r="T962" s="72"/>
      <c r="U962" s="72"/>
      <c r="V962" s="72"/>
      <c r="W962" s="65"/>
      <c r="X962" s="63" t="str">
        <f t="shared" si="42"/>
        <v/>
      </c>
      <c r="Y962" s="63" t="str">
        <f t="shared" si="43"/>
        <v/>
      </c>
      <c r="Z962" s="63" t="str">
        <f t="shared" si="44"/>
        <v/>
      </c>
      <c r="AA962" s="63" t="str">
        <f>TEXT(Table111[[#This Row],[YEAR]],"0000")&amp;"-"&amp;Table111[[#This Row],[MONTH]]</f>
        <v>-</v>
      </c>
    </row>
    <row r="963" spans="2:27" x14ac:dyDescent="0.3">
      <c r="B963" s="68"/>
      <c r="C963" s="68"/>
      <c r="D963" s="68"/>
      <c r="E963" s="71"/>
      <c r="F963" s="72"/>
      <c r="G963" s="70"/>
      <c r="H963" s="74"/>
      <c r="I963" s="70"/>
      <c r="J963" s="70"/>
      <c r="K963" s="70"/>
      <c r="L963" s="74"/>
      <c r="M963" s="123"/>
      <c r="N963" s="73"/>
      <c r="O963" s="236"/>
      <c r="P963" s="117"/>
      <c r="Q963" s="117"/>
      <c r="R963" s="156" t="str">
        <f>IF(Table111[[#This Row],[Qty]]="","",Table111[[#This Row],[Qty]]*Table111[[#This Row],[Unit Price]])</f>
        <v/>
      </c>
      <c r="S963" s="156" t="str">
        <f>IF(Table111[[#This Row],[Qty]]="","",Table111[[#This Row],[Qty]]*Table111[[#This Row],[Unit Price]]+Table111[[#This Row],[Delivery Cost]])</f>
        <v/>
      </c>
      <c r="T963" s="72"/>
      <c r="U963" s="72"/>
      <c r="V963" s="72"/>
      <c r="W963" s="219"/>
      <c r="X963" s="63" t="str">
        <f t="shared" ref="X963:X1026" si="45">IF(E963=0,"",YEAR(E963))</f>
        <v/>
      </c>
      <c r="Y963" s="63" t="str">
        <f t="shared" ref="Y963:Y1026" si="46">IF(E963=0,"",MONTH(E963))</f>
        <v/>
      </c>
      <c r="Z963" s="63" t="str">
        <f t="shared" ref="Z963:Z1026" si="47">IF(E963=0,"",WEEKNUM(E963))</f>
        <v/>
      </c>
      <c r="AA963" s="63" t="str">
        <f>TEXT(Table111[[#This Row],[YEAR]],"0000")&amp;"-"&amp;Table111[[#This Row],[MONTH]]</f>
        <v>-</v>
      </c>
    </row>
    <row r="964" spans="2:27" x14ac:dyDescent="0.3">
      <c r="B964" s="183"/>
      <c r="C964" s="183"/>
      <c r="D964" s="183"/>
      <c r="E964" s="71"/>
      <c r="F964" s="72"/>
      <c r="G964" s="70"/>
      <c r="H964" s="74"/>
      <c r="I964" s="70"/>
      <c r="J964" s="70"/>
      <c r="K964" s="70"/>
      <c r="L964" s="74"/>
      <c r="M964" s="123"/>
      <c r="N964" s="73"/>
      <c r="O964" s="236"/>
      <c r="P964" s="117"/>
      <c r="Q964" s="117"/>
      <c r="R964" s="156" t="str">
        <f>IF(Table111[[#This Row],[Qty]]="","",Table111[[#This Row],[Qty]]*Table111[[#This Row],[Unit Price]])</f>
        <v/>
      </c>
      <c r="S964" s="156" t="str">
        <f>IF(Table111[[#This Row],[Qty]]="","",Table111[[#This Row],[Qty]]*Table111[[#This Row],[Unit Price]]+Table111[[#This Row],[Delivery Cost]])</f>
        <v/>
      </c>
      <c r="T964" s="72"/>
      <c r="U964" s="72"/>
      <c r="V964" s="72"/>
      <c r="W964" s="65"/>
      <c r="X964" s="63" t="str">
        <f t="shared" si="45"/>
        <v/>
      </c>
      <c r="Y964" s="63" t="str">
        <f t="shared" si="46"/>
        <v/>
      </c>
      <c r="Z964" s="63" t="str">
        <f t="shared" si="47"/>
        <v/>
      </c>
      <c r="AA964" s="63" t="str">
        <f>TEXT(Table111[[#This Row],[YEAR]],"0000")&amp;"-"&amp;Table111[[#This Row],[MONTH]]</f>
        <v>-</v>
      </c>
    </row>
    <row r="965" spans="2:27" x14ac:dyDescent="0.3">
      <c r="B965" s="68"/>
      <c r="C965" s="68"/>
      <c r="D965" s="68"/>
      <c r="E965" s="71"/>
      <c r="F965" s="72"/>
      <c r="G965" s="70"/>
      <c r="H965" s="74"/>
      <c r="I965" s="70"/>
      <c r="J965" s="70"/>
      <c r="K965" s="70"/>
      <c r="L965" s="74"/>
      <c r="M965" s="123"/>
      <c r="N965" s="73"/>
      <c r="O965" s="236"/>
      <c r="P965" s="117"/>
      <c r="Q965" s="117"/>
      <c r="R965" s="156" t="str">
        <f>IF(Table111[[#This Row],[Qty]]="","",Table111[[#This Row],[Qty]]*Table111[[#This Row],[Unit Price]])</f>
        <v/>
      </c>
      <c r="S965" s="156" t="str">
        <f>IF(Table111[[#This Row],[Qty]]="","",Table111[[#This Row],[Qty]]*Table111[[#This Row],[Unit Price]]+Table111[[#This Row],[Delivery Cost]])</f>
        <v/>
      </c>
      <c r="T965" s="72"/>
      <c r="U965" s="72"/>
      <c r="V965" s="72"/>
      <c r="W965" s="219"/>
      <c r="X965" s="63" t="str">
        <f t="shared" si="45"/>
        <v/>
      </c>
      <c r="Y965" s="63" t="str">
        <f t="shared" si="46"/>
        <v/>
      </c>
      <c r="Z965" s="63" t="str">
        <f t="shared" si="47"/>
        <v/>
      </c>
      <c r="AA965" s="63" t="str">
        <f>TEXT(Table111[[#This Row],[YEAR]],"0000")&amp;"-"&amp;Table111[[#This Row],[MONTH]]</f>
        <v>-</v>
      </c>
    </row>
    <row r="966" spans="2:27" x14ac:dyDescent="0.3">
      <c r="B966" s="183"/>
      <c r="C966" s="183"/>
      <c r="D966" s="183"/>
      <c r="E966" s="71"/>
      <c r="F966" s="72"/>
      <c r="G966" s="70"/>
      <c r="H966" s="74"/>
      <c r="I966" s="70"/>
      <c r="J966" s="70"/>
      <c r="K966" s="70"/>
      <c r="L966" s="74"/>
      <c r="M966" s="123"/>
      <c r="N966" s="73"/>
      <c r="O966" s="236"/>
      <c r="P966" s="117"/>
      <c r="Q966" s="117"/>
      <c r="R966" s="156" t="str">
        <f>IF(Table111[[#This Row],[Qty]]="","",Table111[[#This Row],[Qty]]*Table111[[#This Row],[Unit Price]])</f>
        <v/>
      </c>
      <c r="S966" s="156" t="str">
        <f>IF(Table111[[#This Row],[Qty]]="","",Table111[[#This Row],[Qty]]*Table111[[#This Row],[Unit Price]]+Table111[[#This Row],[Delivery Cost]])</f>
        <v/>
      </c>
      <c r="T966" s="72"/>
      <c r="U966" s="72"/>
      <c r="V966" s="72"/>
      <c r="W966" s="65"/>
      <c r="X966" s="63" t="str">
        <f t="shared" si="45"/>
        <v/>
      </c>
      <c r="Y966" s="63" t="str">
        <f t="shared" si="46"/>
        <v/>
      </c>
      <c r="Z966" s="63" t="str">
        <f t="shared" si="47"/>
        <v/>
      </c>
      <c r="AA966" s="63" t="str">
        <f>TEXT(Table111[[#This Row],[YEAR]],"0000")&amp;"-"&amp;Table111[[#This Row],[MONTH]]</f>
        <v>-</v>
      </c>
    </row>
    <row r="967" spans="2:27" x14ac:dyDescent="0.3">
      <c r="B967" s="68"/>
      <c r="C967" s="68"/>
      <c r="D967" s="68"/>
      <c r="E967" s="71"/>
      <c r="F967" s="72"/>
      <c r="G967" s="70"/>
      <c r="H967" s="74"/>
      <c r="I967" s="70"/>
      <c r="J967" s="70"/>
      <c r="K967" s="70"/>
      <c r="L967" s="74"/>
      <c r="M967" s="123"/>
      <c r="N967" s="73"/>
      <c r="O967" s="236"/>
      <c r="P967" s="117"/>
      <c r="Q967" s="117"/>
      <c r="R967" s="156" t="str">
        <f>IF(Table111[[#This Row],[Qty]]="","",Table111[[#This Row],[Qty]]*Table111[[#This Row],[Unit Price]])</f>
        <v/>
      </c>
      <c r="S967" s="156" t="str">
        <f>IF(Table111[[#This Row],[Qty]]="","",Table111[[#This Row],[Qty]]*Table111[[#This Row],[Unit Price]]+Table111[[#This Row],[Delivery Cost]])</f>
        <v/>
      </c>
      <c r="T967" s="72"/>
      <c r="U967" s="72"/>
      <c r="V967" s="72"/>
      <c r="W967" s="219"/>
      <c r="X967" s="63" t="str">
        <f t="shared" si="45"/>
        <v/>
      </c>
      <c r="Y967" s="63" t="str">
        <f t="shared" si="46"/>
        <v/>
      </c>
      <c r="Z967" s="63" t="str">
        <f t="shared" si="47"/>
        <v/>
      </c>
      <c r="AA967" s="63" t="str">
        <f>TEXT(Table111[[#This Row],[YEAR]],"0000")&amp;"-"&amp;Table111[[#This Row],[MONTH]]</f>
        <v>-</v>
      </c>
    </row>
    <row r="968" spans="2:27" x14ac:dyDescent="0.3">
      <c r="B968" s="183"/>
      <c r="C968" s="183"/>
      <c r="D968" s="183"/>
      <c r="E968" s="71"/>
      <c r="F968" s="72"/>
      <c r="G968" s="70"/>
      <c r="H968" s="74"/>
      <c r="I968" s="70"/>
      <c r="J968" s="70"/>
      <c r="K968" s="70"/>
      <c r="L968" s="74"/>
      <c r="M968" s="123"/>
      <c r="N968" s="73"/>
      <c r="O968" s="236"/>
      <c r="P968" s="117"/>
      <c r="Q968" s="117"/>
      <c r="R968" s="156" t="str">
        <f>IF(Table111[[#This Row],[Qty]]="","",Table111[[#This Row],[Qty]]*Table111[[#This Row],[Unit Price]])</f>
        <v/>
      </c>
      <c r="S968" s="156" t="str">
        <f>IF(Table111[[#This Row],[Qty]]="","",Table111[[#This Row],[Qty]]*Table111[[#This Row],[Unit Price]]+Table111[[#This Row],[Delivery Cost]])</f>
        <v/>
      </c>
      <c r="T968" s="72"/>
      <c r="U968" s="72"/>
      <c r="V968" s="72"/>
      <c r="W968" s="65"/>
      <c r="X968" s="63" t="str">
        <f t="shared" si="45"/>
        <v/>
      </c>
      <c r="Y968" s="63" t="str">
        <f t="shared" si="46"/>
        <v/>
      </c>
      <c r="Z968" s="63" t="str">
        <f t="shared" si="47"/>
        <v/>
      </c>
      <c r="AA968" s="63" t="str">
        <f>TEXT(Table111[[#This Row],[YEAR]],"0000")&amp;"-"&amp;Table111[[#This Row],[MONTH]]</f>
        <v>-</v>
      </c>
    </row>
    <row r="969" spans="2:27" x14ac:dyDescent="0.3">
      <c r="B969" s="68"/>
      <c r="C969" s="68"/>
      <c r="D969" s="68"/>
      <c r="E969" s="71"/>
      <c r="F969" s="72"/>
      <c r="G969" s="70"/>
      <c r="H969" s="74"/>
      <c r="I969" s="70"/>
      <c r="J969" s="70"/>
      <c r="K969" s="70"/>
      <c r="L969" s="74"/>
      <c r="M969" s="123"/>
      <c r="N969" s="73"/>
      <c r="O969" s="236"/>
      <c r="P969" s="117"/>
      <c r="Q969" s="117"/>
      <c r="R969" s="156" t="str">
        <f>IF(Table111[[#This Row],[Qty]]="","",Table111[[#This Row],[Qty]]*Table111[[#This Row],[Unit Price]])</f>
        <v/>
      </c>
      <c r="S969" s="156" t="str">
        <f>IF(Table111[[#This Row],[Qty]]="","",Table111[[#This Row],[Qty]]*Table111[[#This Row],[Unit Price]]+Table111[[#This Row],[Delivery Cost]])</f>
        <v/>
      </c>
      <c r="T969" s="72"/>
      <c r="U969" s="72"/>
      <c r="V969" s="72"/>
      <c r="W969" s="219"/>
      <c r="X969" s="63" t="str">
        <f t="shared" si="45"/>
        <v/>
      </c>
      <c r="Y969" s="63" t="str">
        <f t="shared" si="46"/>
        <v/>
      </c>
      <c r="Z969" s="63" t="str">
        <f t="shared" si="47"/>
        <v/>
      </c>
      <c r="AA969" s="63" t="str">
        <f>TEXT(Table111[[#This Row],[YEAR]],"0000")&amp;"-"&amp;Table111[[#This Row],[MONTH]]</f>
        <v>-</v>
      </c>
    </row>
    <row r="970" spans="2:27" x14ac:dyDescent="0.3">
      <c r="B970" s="183"/>
      <c r="C970" s="183"/>
      <c r="D970" s="183"/>
      <c r="E970" s="71"/>
      <c r="F970" s="72"/>
      <c r="G970" s="70"/>
      <c r="H970" s="74"/>
      <c r="I970" s="70"/>
      <c r="J970" s="70"/>
      <c r="K970" s="70"/>
      <c r="L970" s="74"/>
      <c r="M970" s="123"/>
      <c r="N970" s="73"/>
      <c r="O970" s="236"/>
      <c r="P970" s="117"/>
      <c r="Q970" s="117"/>
      <c r="R970" s="156" t="str">
        <f>IF(Table111[[#This Row],[Qty]]="","",Table111[[#This Row],[Qty]]*Table111[[#This Row],[Unit Price]])</f>
        <v/>
      </c>
      <c r="S970" s="156" t="str">
        <f>IF(Table111[[#This Row],[Qty]]="","",Table111[[#This Row],[Qty]]*Table111[[#This Row],[Unit Price]]+Table111[[#This Row],[Delivery Cost]])</f>
        <v/>
      </c>
      <c r="T970" s="72"/>
      <c r="U970" s="72"/>
      <c r="V970" s="72"/>
      <c r="W970" s="65"/>
      <c r="X970" s="63" t="str">
        <f t="shared" si="45"/>
        <v/>
      </c>
      <c r="Y970" s="63" t="str">
        <f t="shared" si="46"/>
        <v/>
      </c>
      <c r="Z970" s="63" t="str">
        <f t="shared" si="47"/>
        <v/>
      </c>
      <c r="AA970" s="63" t="str">
        <f>TEXT(Table111[[#This Row],[YEAR]],"0000")&amp;"-"&amp;Table111[[#This Row],[MONTH]]</f>
        <v>-</v>
      </c>
    </row>
    <row r="971" spans="2:27" x14ac:dyDescent="0.3">
      <c r="B971" s="68"/>
      <c r="C971" s="68"/>
      <c r="D971" s="68"/>
      <c r="E971" s="71"/>
      <c r="F971" s="72"/>
      <c r="G971" s="70"/>
      <c r="H971" s="74"/>
      <c r="I971" s="70"/>
      <c r="J971" s="70"/>
      <c r="K971" s="70"/>
      <c r="L971" s="74"/>
      <c r="M971" s="123"/>
      <c r="N971" s="73"/>
      <c r="O971" s="236"/>
      <c r="P971" s="117"/>
      <c r="Q971" s="117"/>
      <c r="R971" s="156" t="str">
        <f>IF(Table111[[#This Row],[Qty]]="","",Table111[[#This Row],[Qty]]*Table111[[#This Row],[Unit Price]])</f>
        <v/>
      </c>
      <c r="S971" s="156" t="str">
        <f>IF(Table111[[#This Row],[Qty]]="","",Table111[[#This Row],[Qty]]*Table111[[#This Row],[Unit Price]]+Table111[[#This Row],[Delivery Cost]])</f>
        <v/>
      </c>
      <c r="T971" s="72"/>
      <c r="U971" s="72"/>
      <c r="V971" s="72"/>
      <c r="W971" s="219"/>
      <c r="X971" s="63" t="str">
        <f t="shared" si="45"/>
        <v/>
      </c>
      <c r="Y971" s="63" t="str">
        <f t="shared" si="46"/>
        <v/>
      </c>
      <c r="Z971" s="63" t="str">
        <f t="shared" si="47"/>
        <v/>
      </c>
      <c r="AA971" s="63" t="str">
        <f>TEXT(Table111[[#This Row],[YEAR]],"0000")&amp;"-"&amp;Table111[[#This Row],[MONTH]]</f>
        <v>-</v>
      </c>
    </row>
    <row r="972" spans="2:27" x14ac:dyDescent="0.3">
      <c r="B972" s="183"/>
      <c r="C972" s="183"/>
      <c r="D972" s="183"/>
      <c r="E972" s="71"/>
      <c r="F972" s="72"/>
      <c r="G972" s="70"/>
      <c r="H972" s="74"/>
      <c r="I972" s="70"/>
      <c r="J972" s="70"/>
      <c r="K972" s="70"/>
      <c r="L972" s="74"/>
      <c r="M972" s="123"/>
      <c r="N972" s="73"/>
      <c r="O972" s="236"/>
      <c r="P972" s="117"/>
      <c r="Q972" s="117"/>
      <c r="R972" s="156" t="str">
        <f>IF(Table111[[#This Row],[Qty]]="","",Table111[[#This Row],[Qty]]*Table111[[#This Row],[Unit Price]])</f>
        <v/>
      </c>
      <c r="S972" s="156" t="str">
        <f>IF(Table111[[#This Row],[Qty]]="","",Table111[[#This Row],[Qty]]*Table111[[#This Row],[Unit Price]]+Table111[[#This Row],[Delivery Cost]])</f>
        <v/>
      </c>
      <c r="T972" s="72"/>
      <c r="U972" s="72"/>
      <c r="V972" s="72"/>
      <c r="W972" s="65"/>
      <c r="X972" s="63" t="str">
        <f t="shared" si="45"/>
        <v/>
      </c>
      <c r="Y972" s="63" t="str">
        <f t="shared" si="46"/>
        <v/>
      </c>
      <c r="Z972" s="63" t="str">
        <f t="shared" si="47"/>
        <v/>
      </c>
      <c r="AA972" s="63" t="str">
        <f>TEXT(Table111[[#This Row],[YEAR]],"0000")&amp;"-"&amp;Table111[[#This Row],[MONTH]]</f>
        <v>-</v>
      </c>
    </row>
    <row r="973" spans="2:27" x14ac:dyDescent="0.3">
      <c r="B973" s="68"/>
      <c r="C973" s="68"/>
      <c r="D973" s="68"/>
      <c r="E973" s="71"/>
      <c r="F973" s="72"/>
      <c r="G973" s="70"/>
      <c r="H973" s="74"/>
      <c r="I973" s="70"/>
      <c r="J973" s="70"/>
      <c r="K973" s="70"/>
      <c r="L973" s="74"/>
      <c r="M973" s="123"/>
      <c r="N973" s="73"/>
      <c r="O973" s="236"/>
      <c r="P973" s="117"/>
      <c r="Q973" s="117"/>
      <c r="R973" s="156" t="str">
        <f>IF(Table111[[#This Row],[Qty]]="","",Table111[[#This Row],[Qty]]*Table111[[#This Row],[Unit Price]])</f>
        <v/>
      </c>
      <c r="S973" s="156" t="str">
        <f>IF(Table111[[#This Row],[Qty]]="","",Table111[[#This Row],[Qty]]*Table111[[#This Row],[Unit Price]]+Table111[[#This Row],[Delivery Cost]])</f>
        <v/>
      </c>
      <c r="T973" s="72"/>
      <c r="U973" s="72"/>
      <c r="V973" s="72"/>
      <c r="W973" s="219"/>
      <c r="X973" s="63" t="str">
        <f t="shared" si="45"/>
        <v/>
      </c>
      <c r="Y973" s="63" t="str">
        <f t="shared" si="46"/>
        <v/>
      </c>
      <c r="Z973" s="63" t="str">
        <f t="shared" si="47"/>
        <v/>
      </c>
      <c r="AA973" s="63" t="str">
        <f>TEXT(Table111[[#This Row],[YEAR]],"0000")&amp;"-"&amp;Table111[[#This Row],[MONTH]]</f>
        <v>-</v>
      </c>
    </row>
    <row r="974" spans="2:27" x14ac:dyDescent="0.3">
      <c r="B974" s="183"/>
      <c r="C974" s="183"/>
      <c r="D974" s="183"/>
      <c r="E974" s="71"/>
      <c r="F974" s="72"/>
      <c r="G974" s="70"/>
      <c r="H974" s="74"/>
      <c r="I974" s="70"/>
      <c r="J974" s="70"/>
      <c r="K974" s="70"/>
      <c r="L974" s="74"/>
      <c r="M974" s="123"/>
      <c r="N974" s="73"/>
      <c r="O974" s="236"/>
      <c r="P974" s="117"/>
      <c r="Q974" s="117"/>
      <c r="R974" s="156" t="str">
        <f>IF(Table111[[#This Row],[Qty]]="","",Table111[[#This Row],[Qty]]*Table111[[#This Row],[Unit Price]])</f>
        <v/>
      </c>
      <c r="S974" s="156" t="str">
        <f>IF(Table111[[#This Row],[Qty]]="","",Table111[[#This Row],[Qty]]*Table111[[#This Row],[Unit Price]]+Table111[[#This Row],[Delivery Cost]])</f>
        <v/>
      </c>
      <c r="T974" s="72"/>
      <c r="U974" s="72"/>
      <c r="V974" s="72"/>
      <c r="W974" s="65"/>
      <c r="X974" s="63" t="str">
        <f t="shared" si="45"/>
        <v/>
      </c>
      <c r="Y974" s="63" t="str">
        <f t="shared" si="46"/>
        <v/>
      </c>
      <c r="Z974" s="63" t="str">
        <f t="shared" si="47"/>
        <v/>
      </c>
      <c r="AA974" s="63" t="str">
        <f>TEXT(Table111[[#This Row],[YEAR]],"0000")&amp;"-"&amp;Table111[[#This Row],[MONTH]]</f>
        <v>-</v>
      </c>
    </row>
    <row r="975" spans="2:27" x14ac:dyDescent="0.3">
      <c r="B975" s="68"/>
      <c r="C975" s="68"/>
      <c r="D975" s="68"/>
      <c r="E975" s="71"/>
      <c r="F975" s="72"/>
      <c r="G975" s="70"/>
      <c r="H975" s="74"/>
      <c r="I975" s="70"/>
      <c r="J975" s="70"/>
      <c r="K975" s="70"/>
      <c r="L975" s="74"/>
      <c r="M975" s="123"/>
      <c r="N975" s="73"/>
      <c r="O975" s="236"/>
      <c r="P975" s="117"/>
      <c r="Q975" s="117"/>
      <c r="R975" s="156" t="str">
        <f>IF(Table111[[#This Row],[Qty]]="","",Table111[[#This Row],[Qty]]*Table111[[#This Row],[Unit Price]])</f>
        <v/>
      </c>
      <c r="S975" s="156" t="str">
        <f>IF(Table111[[#This Row],[Qty]]="","",Table111[[#This Row],[Qty]]*Table111[[#This Row],[Unit Price]]+Table111[[#This Row],[Delivery Cost]])</f>
        <v/>
      </c>
      <c r="T975" s="72"/>
      <c r="U975" s="72"/>
      <c r="V975" s="72"/>
      <c r="W975" s="219"/>
      <c r="X975" s="63" t="str">
        <f t="shared" si="45"/>
        <v/>
      </c>
      <c r="Y975" s="63" t="str">
        <f t="shared" si="46"/>
        <v/>
      </c>
      <c r="Z975" s="63" t="str">
        <f t="shared" si="47"/>
        <v/>
      </c>
      <c r="AA975" s="63" t="str">
        <f>TEXT(Table111[[#This Row],[YEAR]],"0000")&amp;"-"&amp;Table111[[#This Row],[MONTH]]</f>
        <v>-</v>
      </c>
    </row>
    <row r="976" spans="2:27" x14ac:dyDescent="0.3">
      <c r="B976" s="183"/>
      <c r="C976" s="183"/>
      <c r="D976" s="183"/>
      <c r="E976" s="71"/>
      <c r="F976" s="72"/>
      <c r="G976" s="70"/>
      <c r="H976" s="74"/>
      <c r="I976" s="70"/>
      <c r="J976" s="70"/>
      <c r="K976" s="70"/>
      <c r="L976" s="74"/>
      <c r="M976" s="123"/>
      <c r="N976" s="73"/>
      <c r="O976" s="236"/>
      <c r="P976" s="117"/>
      <c r="Q976" s="117"/>
      <c r="R976" s="156" t="str">
        <f>IF(Table111[[#This Row],[Qty]]="","",Table111[[#This Row],[Qty]]*Table111[[#This Row],[Unit Price]])</f>
        <v/>
      </c>
      <c r="S976" s="156" t="str">
        <f>IF(Table111[[#This Row],[Qty]]="","",Table111[[#This Row],[Qty]]*Table111[[#This Row],[Unit Price]]+Table111[[#This Row],[Delivery Cost]])</f>
        <v/>
      </c>
      <c r="T976" s="72"/>
      <c r="U976" s="72"/>
      <c r="V976" s="72"/>
      <c r="W976" s="65"/>
      <c r="X976" s="63" t="str">
        <f t="shared" si="45"/>
        <v/>
      </c>
      <c r="Y976" s="63" t="str">
        <f t="shared" si="46"/>
        <v/>
      </c>
      <c r="Z976" s="63" t="str">
        <f t="shared" si="47"/>
        <v/>
      </c>
      <c r="AA976" s="63" t="str">
        <f>TEXT(Table111[[#This Row],[YEAR]],"0000")&amp;"-"&amp;Table111[[#This Row],[MONTH]]</f>
        <v>-</v>
      </c>
    </row>
    <row r="977" spans="2:27" x14ac:dyDescent="0.3">
      <c r="B977" s="68"/>
      <c r="C977" s="68"/>
      <c r="D977" s="68"/>
      <c r="E977" s="71"/>
      <c r="F977" s="72"/>
      <c r="G977" s="70"/>
      <c r="H977" s="74"/>
      <c r="I977" s="70"/>
      <c r="J977" s="70"/>
      <c r="K977" s="70"/>
      <c r="L977" s="74"/>
      <c r="M977" s="123"/>
      <c r="N977" s="73"/>
      <c r="O977" s="236"/>
      <c r="P977" s="117"/>
      <c r="Q977" s="117"/>
      <c r="R977" s="156" t="str">
        <f>IF(Table111[[#This Row],[Qty]]="","",Table111[[#This Row],[Qty]]*Table111[[#This Row],[Unit Price]])</f>
        <v/>
      </c>
      <c r="S977" s="156" t="str">
        <f>IF(Table111[[#This Row],[Qty]]="","",Table111[[#This Row],[Qty]]*Table111[[#This Row],[Unit Price]]+Table111[[#This Row],[Delivery Cost]])</f>
        <v/>
      </c>
      <c r="T977" s="72"/>
      <c r="U977" s="72"/>
      <c r="V977" s="72"/>
      <c r="W977" s="219"/>
      <c r="X977" s="63" t="str">
        <f t="shared" si="45"/>
        <v/>
      </c>
      <c r="Y977" s="63" t="str">
        <f t="shared" si="46"/>
        <v/>
      </c>
      <c r="Z977" s="63" t="str">
        <f t="shared" si="47"/>
        <v/>
      </c>
      <c r="AA977" s="63" t="str">
        <f>TEXT(Table111[[#This Row],[YEAR]],"0000")&amp;"-"&amp;Table111[[#This Row],[MONTH]]</f>
        <v>-</v>
      </c>
    </row>
    <row r="978" spans="2:27" x14ac:dyDescent="0.3">
      <c r="B978" s="183"/>
      <c r="C978" s="183"/>
      <c r="D978" s="183"/>
      <c r="E978" s="71"/>
      <c r="F978" s="72"/>
      <c r="G978" s="70"/>
      <c r="H978" s="74"/>
      <c r="I978" s="70"/>
      <c r="J978" s="70"/>
      <c r="K978" s="70"/>
      <c r="L978" s="74"/>
      <c r="M978" s="123"/>
      <c r="N978" s="73"/>
      <c r="O978" s="236"/>
      <c r="P978" s="117"/>
      <c r="Q978" s="117"/>
      <c r="R978" s="156" t="str">
        <f>IF(Table111[[#This Row],[Qty]]="","",Table111[[#This Row],[Qty]]*Table111[[#This Row],[Unit Price]])</f>
        <v/>
      </c>
      <c r="S978" s="156" t="str">
        <f>IF(Table111[[#This Row],[Qty]]="","",Table111[[#This Row],[Qty]]*Table111[[#This Row],[Unit Price]]+Table111[[#This Row],[Delivery Cost]])</f>
        <v/>
      </c>
      <c r="T978" s="72"/>
      <c r="U978" s="72"/>
      <c r="V978" s="72"/>
      <c r="W978" s="65"/>
      <c r="X978" s="63" t="str">
        <f t="shared" si="45"/>
        <v/>
      </c>
      <c r="Y978" s="63" t="str">
        <f t="shared" si="46"/>
        <v/>
      </c>
      <c r="Z978" s="63" t="str">
        <f t="shared" si="47"/>
        <v/>
      </c>
      <c r="AA978" s="63" t="str">
        <f>TEXT(Table111[[#This Row],[YEAR]],"0000")&amp;"-"&amp;Table111[[#This Row],[MONTH]]</f>
        <v>-</v>
      </c>
    </row>
    <row r="979" spans="2:27" x14ac:dyDescent="0.3">
      <c r="B979" s="68"/>
      <c r="C979" s="68"/>
      <c r="D979" s="68"/>
      <c r="E979" s="71"/>
      <c r="F979" s="72"/>
      <c r="G979" s="70"/>
      <c r="H979" s="74"/>
      <c r="I979" s="70"/>
      <c r="J979" s="70"/>
      <c r="K979" s="70"/>
      <c r="L979" s="74"/>
      <c r="M979" s="123"/>
      <c r="N979" s="73"/>
      <c r="O979" s="236"/>
      <c r="P979" s="117"/>
      <c r="Q979" s="117"/>
      <c r="R979" s="156" t="str">
        <f>IF(Table111[[#This Row],[Qty]]="","",Table111[[#This Row],[Qty]]*Table111[[#This Row],[Unit Price]])</f>
        <v/>
      </c>
      <c r="S979" s="156" t="str">
        <f>IF(Table111[[#This Row],[Qty]]="","",Table111[[#This Row],[Qty]]*Table111[[#This Row],[Unit Price]]+Table111[[#This Row],[Delivery Cost]])</f>
        <v/>
      </c>
      <c r="T979" s="72"/>
      <c r="U979" s="72"/>
      <c r="V979" s="72"/>
      <c r="W979" s="219"/>
      <c r="X979" s="63" t="str">
        <f t="shared" si="45"/>
        <v/>
      </c>
      <c r="Y979" s="63" t="str">
        <f t="shared" si="46"/>
        <v/>
      </c>
      <c r="Z979" s="63" t="str">
        <f t="shared" si="47"/>
        <v/>
      </c>
      <c r="AA979" s="63" t="str">
        <f>TEXT(Table111[[#This Row],[YEAR]],"0000")&amp;"-"&amp;Table111[[#This Row],[MONTH]]</f>
        <v>-</v>
      </c>
    </row>
    <row r="980" spans="2:27" x14ac:dyDescent="0.3">
      <c r="B980" s="183"/>
      <c r="C980" s="183"/>
      <c r="D980" s="183"/>
      <c r="E980" s="71"/>
      <c r="F980" s="72"/>
      <c r="G980" s="70"/>
      <c r="H980" s="74"/>
      <c r="I980" s="70"/>
      <c r="J980" s="70"/>
      <c r="K980" s="70"/>
      <c r="L980" s="74"/>
      <c r="M980" s="123"/>
      <c r="N980" s="73"/>
      <c r="O980" s="236"/>
      <c r="P980" s="117"/>
      <c r="Q980" s="117"/>
      <c r="R980" s="156" t="str">
        <f>IF(Table111[[#This Row],[Qty]]="","",Table111[[#This Row],[Qty]]*Table111[[#This Row],[Unit Price]])</f>
        <v/>
      </c>
      <c r="S980" s="156" t="str">
        <f>IF(Table111[[#This Row],[Qty]]="","",Table111[[#This Row],[Qty]]*Table111[[#This Row],[Unit Price]]+Table111[[#This Row],[Delivery Cost]])</f>
        <v/>
      </c>
      <c r="T980" s="72"/>
      <c r="U980" s="72"/>
      <c r="V980" s="72"/>
      <c r="W980" s="65"/>
      <c r="X980" s="63" t="str">
        <f t="shared" si="45"/>
        <v/>
      </c>
      <c r="Y980" s="63" t="str">
        <f t="shared" si="46"/>
        <v/>
      </c>
      <c r="Z980" s="63" t="str">
        <f t="shared" si="47"/>
        <v/>
      </c>
      <c r="AA980" s="63" t="str">
        <f>TEXT(Table111[[#This Row],[YEAR]],"0000")&amp;"-"&amp;Table111[[#This Row],[MONTH]]</f>
        <v>-</v>
      </c>
    </row>
    <row r="981" spans="2:27" x14ac:dyDescent="0.3">
      <c r="B981" s="68"/>
      <c r="C981" s="68"/>
      <c r="D981" s="68"/>
      <c r="E981" s="71"/>
      <c r="F981" s="72"/>
      <c r="G981" s="70"/>
      <c r="H981" s="74"/>
      <c r="I981" s="70"/>
      <c r="J981" s="70"/>
      <c r="K981" s="70"/>
      <c r="L981" s="74"/>
      <c r="M981" s="123"/>
      <c r="N981" s="73"/>
      <c r="O981" s="236"/>
      <c r="P981" s="117"/>
      <c r="Q981" s="117"/>
      <c r="R981" s="156" t="str">
        <f>IF(Table111[[#This Row],[Qty]]="","",Table111[[#This Row],[Qty]]*Table111[[#This Row],[Unit Price]])</f>
        <v/>
      </c>
      <c r="S981" s="156" t="str">
        <f>IF(Table111[[#This Row],[Qty]]="","",Table111[[#This Row],[Qty]]*Table111[[#This Row],[Unit Price]]+Table111[[#This Row],[Delivery Cost]])</f>
        <v/>
      </c>
      <c r="T981" s="72"/>
      <c r="U981" s="72"/>
      <c r="V981" s="72"/>
      <c r="W981" s="219"/>
      <c r="X981" s="63" t="str">
        <f t="shared" si="45"/>
        <v/>
      </c>
      <c r="Y981" s="63" t="str">
        <f t="shared" si="46"/>
        <v/>
      </c>
      <c r="Z981" s="63" t="str">
        <f t="shared" si="47"/>
        <v/>
      </c>
      <c r="AA981" s="63" t="str">
        <f>TEXT(Table111[[#This Row],[YEAR]],"0000")&amp;"-"&amp;Table111[[#This Row],[MONTH]]</f>
        <v>-</v>
      </c>
    </row>
    <row r="982" spans="2:27" x14ac:dyDescent="0.3">
      <c r="B982" s="183"/>
      <c r="C982" s="183"/>
      <c r="D982" s="183"/>
      <c r="E982" s="71"/>
      <c r="F982" s="72"/>
      <c r="G982" s="70"/>
      <c r="H982" s="74"/>
      <c r="I982" s="70"/>
      <c r="J982" s="70"/>
      <c r="K982" s="70"/>
      <c r="L982" s="74"/>
      <c r="M982" s="123"/>
      <c r="N982" s="73"/>
      <c r="O982" s="236"/>
      <c r="P982" s="117"/>
      <c r="Q982" s="117"/>
      <c r="R982" s="156" t="str">
        <f>IF(Table111[[#This Row],[Qty]]="","",Table111[[#This Row],[Qty]]*Table111[[#This Row],[Unit Price]])</f>
        <v/>
      </c>
      <c r="S982" s="156" t="str">
        <f>IF(Table111[[#This Row],[Qty]]="","",Table111[[#This Row],[Qty]]*Table111[[#This Row],[Unit Price]]+Table111[[#This Row],[Delivery Cost]])</f>
        <v/>
      </c>
      <c r="T982" s="72"/>
      <c r="U982" s="72"/>
      <c r="V982" s="72"/>
      <c r="W982" s="65"/>
      <c r="X982" s="63" t="str">
        <f t="shared" si="45"/>
        <v/>
      </c>
      <c r="Y982" s="63" t="str">
        <f t="shared" si="46"/>
        <v/>
      </c>
      <c r="Z982" s="63" t="str">
        <f t="shared" si="47"/>
        <v/>
      </c>
      <c r="AA982" s="63" t="str">
        <f>TEXT(Table111[[#This Row],[YEAR]],"0000")&amp;"-"&amp;Table111[[#This Row],[MONTH]]</f>
        <v>-</v>
      </c>
    </row>
    <row r="983" spans="2:27" x14ac:dyDescent="0.3">
      <c r="B983" s="68"/>
      <c r="C983" s="68"/>
      <c r="D983" s="68"/>
      <c r="E983" s="71"/>
      <c r="F983" s="72"/>
      <c r="G983" s="70"/>
      <c r="H983" s="74"/>
      <c r="I983" s="70"/>
      <c r="J983" s="70"/>
      <c r="K983" s="70"/>
      <c r="L983" s="74"/>
      <c r="M983" s="123"/>
      <c r="N983" s="73"/>
      <c r="O983" s="236"/>
      <c r="P983" s="117"/>
      <c r="Q983" s="117"/>
      <c r="R983" s="156" t="str">
        <f>IF(Table111[[#This Row],[Qty]]="","",Table111[[#This Row],[Qty]]*Table111[[#This Row],[Unit Price]])</f>
        <v/>
      </c>
      <c r="S983" s="156" t="str">
        <f>IF(Table111[[#This Row],[Qty]]="","",Table111[[#This Row],[Qty]]*Table111[[#This Row],[Unit Price]]+Table111[[#This Row],[Delivery Cost]])</f>
        <v/>
      </c>
      <c r="T983" s="72"/>
      <c r="U983" s="72"/>
      <c r="V983" s="72"/>
      <c r="W983" s="219"/>
      <c r="X983" s="63" t="str">
        <f t="shared" si="45"/>
        <v/>
      </c>
      <c r="Y983" s="63" t="str">
        <f t="shared" si="46"/>
        <v/>
      </c>
      <c r="Z983" s="63" t="str">
        <f t="shared" si="47"/>
        <v/>
      </c>
      <c r="AA983" s="63" t="str">
        <f>TEXT(Table111[[#This Row],[YEAR]],"0000")&amp;"-"&amp;Table111[[#This Row],[MONTH]]</f>
        <v>-</v>
      </c>
    </row>
    <row r="984" spans="2:27" x14ac:dyDescent="0.3">
      <c r="B984" s="183"/>
      <c r="C984" s="183"/>
      <c r="D984" s="183"/>
      <c r="E984" s="71"/>
      <c r="F984" s="72"/>
      <c r="G984" s="70"/>
      <c r="H984" s="74"/>
      <c r="I984" s="70"/>
      <c r="J984" s="70"/>
      <c r="K984" s="70"/>
      <c r="L984" s="74"/>
      <c r="M984" s="123"/>
      <c r="N984" s="73"/>
      <c r="O984" s="236"/>
      <c r="P984" s="117"/>
      <c r="Q984" s="117"/>
      <c r="R984" s="156" t="str">
        <f>IF(Table111[[#This Row],[Qty]]="","",Table111[[#This Row],[Qty]]*Table111[[#This Row],[Unit Price]])</f>
        <v/>
      </c>
      <c r="S984" s="156" t="str">
        <f>IF(Table111[[#This Row],[Qty]]="","",Table111[[#This Row],[Qty]]*Table111[[#This Row],[Unit Price]]+Table111[[#This Row],[Delivery Cost]])</f>
        <v/>
      </c>
      <c r="T984" s="72"/>
      <c r="U984" s="72"/>
      <c r="V984" s="72"/>
      <c r="W984" s="65"/>
      <c r="X984" s="63" t="str">
        <f t="shared" si="45"/>
        <v/>
      </c>
      <c r="Y984" s="63" t="str">
        <f t="shared" si="46"/>
        <v/>
      </c>
      <c r="Z984" s="63" t="str">
        <f t="shared" si="47"/>
        <v/>
      </c>
      <c r="AA984" s="63" t="str">
        <f>TEXT(Table111[[#This Row],[YEAR]],"0000")&amp;"-"&amp;Table111[[#This Row],[MONTH]]</f>
        <v>-</v>
      </c>
    </row>
    <row r="985" spans="2:27" x14ac:dyDescent="0.3">
      <c r="B985" s="68"/>
      <c r="C985" s="68"/>
      <c r="D985" s="68"/>
      <c r="E985" s="71"/>
      <c r="F985" s="72"/>
      <c r="G985" s="70"/>
      <c r="H985" s="74"/>
      <c r="I985" s="70"/>
      <c r="J985" s="70"/>
      <c r="K985" s="70"/>
      <c r="L985" s="74"/>
      <c r="M985" s="123"/>
      <c r="N985" s="73"/>
      <c r="O985" s="236"/>
      <c r="P985" s="117"/>
      <c r="Q985" s="117"/>
      <c r="R985" s="156" t="str">
        <f>IF(Table111[[#This Row],[Qty]]="","",Table111[[#This Row],[Qty]]*Table111[[#This Row],[Unit Price]])</f>
        <v/>
      </c>
      <c r="S985" s="156" t="str">
        <f>IF(Table111[[#This Row],[Qty]]="","",Table111[[#This Row],[Qty]]*Table111[[#This Row],[Unit Price]]+Table111[[#This Row],[Delivery Cost]])</f>
        <v/>
      </c>
      <c r="T985" s="72"/>
      <c r="U985" s="72"/>
      <c r="V985" s="72"/>
      <c r="W985" s="219"/>
      <c r="X985" s="63" t="str">
        <f t="shared" si="45"/>
        <v/>
      </c>
      <c r="Y985" s="63" t="str">
        <f t="shared" si="46"/>
        <v/>
      </c>
      <c r="Z985" s="63" t="str">
        <f t="shared" si="47"/>
        <v/>
      </c>
      <c r="AA985" s="63" t="str">
        <f>TEXT(Table111[[#This Row],[YEAR]],"0000")&amp;"-"&amp;Table111[[#This Row],[MONTH]]</f>
        <v>-</v>
      </c>
    </row>
    <row r="986" spans="2:27" x14ac:dyDescent="0.3">
      <c r="B986" s="183"/>
      <c r="C986" s="183"/>
      <c r="D986" s="183"/>
      <c r="E986" s="71"/>
      <c r="F986" s="72"/>
      <c r="G986" s="70"/>
      <c r="H986" s="74"/>
      <c r="I986" s="70"/>
      <c r="J986" s="70"/>
      <c r="K986" s="70"/>
      <c r="L986" s="74"/>
      <c r="M986" s="123"/>
      <c r="N986" s="73"/>
      <c r="O986" s="236"/>
      <c r="P986" s="117"/>
      <c r="Q986" s="117"/>
      <c r="R986" s="156" t="str">
        <f>IF(Table111[[#This Row],[Qty]]="","",Table111[[#This Row],[Qty]]*Table111[[#This Row],[Unit Price]])</f>
        <v/>
      </c>
      <c r="S986" s="156" t="str">
        <f>IF(Table111[[#This Row],[Qty]]="","",Table111[[#This Row],[Qty]]*Table111[[#This Row],[Unit Price]]+Table111[[#This Row],[Delivery Cost]])</f>
        <v/>
      </c>
      <c r="T986" s="72"/>
      <c r="U986" s="72"/>
      <c r="V986" s="72"/>
      <c r="W986" s="65"/>
      <c r="X986" s="63" t="str">
        <f t="shared" si="45"/>
        <v/>
      </c>
      <c r="Y986" s="63" t="str">
        <f t="shared" si="46"/>
        <v/>
      </c>
      <c r="Z986" s="63" t="str">
        <f t="shared" si="47"/>
        <v/>
      </c>
      <c r="AA986" s="63" t="str">
        <f>TEXT(Table111[[#This Row],[YEAR]],"0000")&amp;"-"&amp;Table111[[#This Row],[MONTH]]</f>
        <v>-</v>
      </c>
    </row>
    <row r="987" spans="2:27" x14ac:dyDescent="0.3">
      <c r="B987" s="68"/>
      <c r="C987" s="68"/>
      <c r="D987" s="68"/>
      <c r="E987" s="71"/>
      <c r="F987" s="72"/>
      <c r="G987" s="70"/>
      <c r="H987" s="74"/>
      <c r="I987" s="70"/>
      <c r="J987" s="70"/>
      <c r="K987" s="70"/>
      <c r="L987" s="74"/>
      <c r="M987" s="123"/>
      <c r="N987" s="73"/>
      <c r="O987" s="236"/>
      <c r="P987" s="117"/>
      <c r="Q987" s="117"/>
      <c r="R987" s="156" t="str">
        <f>IF(Table111[[#This Row],[Qty]]="","",Table111[[#This Row],[Qty]]*Table111[[#This Row],[Unit Price]])</f>
        <v/>
      </c>
      <c r="S987" s="156" t="str">
        <f>IF(Table111[[#This Row],[Qty]]="","",Table111[[#This Row],[Qty]]*Table111[[#This Row],[Unit Price]]+Table111[[#This Row],[Delivery Cost]])</f>
        <v/>
      </c>
      <c r="T987" s="72"/>
      <c r="U987" s="72"/>
      <c r="V987" s="72"/>
      <c r="W987" s="219"/>
      <c r="X987" s="63" t="str">
        <f t="shared" si="45"/>
        <v/>
      </c>
      <c r="Y987" s="63" t="str">
        <f t="shared" si="46"/>
        <v/>
      </c>
      <c r="Z987" s="63" t="str">
        <f t="shared" si="47"/>
        <v/>
      </c>
      <c r="AA987" s="63" t="str">
        <f>TEXT(Table111[[#This Row],[YEAR]],"0000")&amp;"-"&amp;Table111[[#This Row],[MONTH]]</f>
        <v>-</v>
      </c>
    </row>
    <row r="988" spans="2:27" x14ac:dyDescent="0.3">
      <c r="B988" s="183"/>
      <c r="C988" s="183"/>
      <c r="D988" s="183"/>
      <c r="E988" s="71"/>
      <c r="F988" s="72"/>
      <c r="G988" s="70"/>
      <c r="H988" s="74"/>
      <c r="I988" s="70"/>
      <c r="J988" s="70"/>
      <c r="K988" s="70"/>
      <c r="L988" s="74"/>
      <c r="M988" s="123"/>
      <c r="N988" s="73"/>
      <c r="O988" s="236"/>
      <c r="P988" s="117"/>
      <c r="Q988" s="117"/>
      <c r="R988" s="156" t="str">
        <f>IF(Table111[[#This Row],[Qty]]="","",Table111[[#This Row],[Qty]]*Table111[[#This Row],[Unit Price]])</f>
        <v/>
      </c>
      <c r="S988" s="156" t="str">
        <f>IF(Table111[[#This Row],[Qty]]="","",Table111[[#This Row],[Qty]]*Table111[[#This Row],[Unit Price]]+Table111[[#This Row],[Delivery Cost]])</f>
        <v/>
      </c>
      <c r="T988" s="72"/>
      <c r="U988" s="72"/>
      <c r="V988" s="72"/>
      <c r="W988" s="65"/>
      <c r="X988" s="63" t="str">
        <f t="shared" si="45"/>
        <v/>
      </c>
      <c r="Y988" s="63" t="str">
        <f t="shared" si="46"/>
        <v/>
      </c>
      <c r="Z988" s="63" t="str">
        <f t="shared" si="47"/>
        <v/>
      </c>
      <c r="AA988" s="63" t="str">
        <f>TEXT(Table111[[#This Row],[YEAR]],"0000")&amp;"-"&amp;Table111[[#This Row],[MONTH]]</f>
        <v>-</v>
      </c>
    </row>
    <row r="989" spans="2:27" x14ac:dyDescent="0.3">
      <c r="B989" s="68"/>
      <c r="C989" s="68"/>
      <c r="D989" s="68"/>
      <c r="E989" s="71"/>
      <c r="F989" s="72"/>
      <c r="G989" s="70"/>
      <c r="H989" s="74"/>
      <c r="I989" s="70"/>
      <c r="J989" s="70"/>
      <c r="K989" s="70"/>
      <c r="L989" s="74"/>
      <c r="M989" s="123"/>
      <c r="N989" s="73"/>
      <c r="O989" s="236"/>
      <c r="P989" s="117"/>
      <c r="Q989" s="117"/>
      <c r="R989" s="156" t="str">
        <f>IF(Table111[[#This Row],[Qty]]="","",Table111[[#This Row],[Qty]]*Table111[[#This Row],[Unit Price]])</f>
        <v/>
      </c>
      <c r="S989" s="156" t="str">
        <f>IF(Table111[[#This Row],[Qty]]="","",Table111[[#This Row],[Qty]]*Table111[[#This Row],[Unit Price]]+Table111[[#This Row],[Delivery Cost]])</f>
        <v/>
      </c>
      <c r="T989" s="72"/>
      <c r="U989" s="72"/>
      <c r="V989" s="72"/>
      <c r="W989" s="219"/>
      <c r="X989" s="63" t="str">
        <f t="shared" si="45"/>
        <v/>
      </c>
      <c r="Y989" s="63" t="str">
        <f t="shared" si="46"/>
        <v/>
      </c>
      <c r="Z989" s="63" t="str">
        <f t="shared" si="47"/>
        <v/>
      </c>
      <c r="AA989" s="63" t="str">
        <f>TEXT(Table111[[#This Row],[YEAR]],"0000")&amp;"-"&amp;Table111[[#This Row],[MONTH]]</f>
        <v>-</v>
      </c>
    </row>
    <row r="990" spans="2:27" x14ac:dyDescent="0.3">
      <c r="B990" s="183"/>
      <c r="C990" s="183"/>
      <c r="D990" s="183"/>
      <c r="E990" s="71"/>
      <c r="F990" s="72"/>
      <c r="G990" s="70"/>
      <c r="H990" s="74"/>
      <c r="I990" s="70"/>
      <c r="J990" s="70"/>
      <c r="K990" s="70"/>
      <c r="L990" s="74"/>
      <c r="M990" s="123"/>
      <c r="N990" s="73"/>
      <c r="O990" s="236"/>
      <c r="P990" s="117"/>
      <c r="Q990" s="117"/>
      <c r="R990" s="156" t="str">
        <f>IF(Table111[[#This Row],[Qty]]="","",Table111[[#This Row],[Qty]]*Table111[[#This Row],[Unit Price]])</f>
        <v/>
      </c>
      <c r="S990" s="156" t="str">
        <f>IF(Table111[[#This Row],[Qty]]="","",Table111[[#This Row],[Qty]]*Table111[[#This Row],[Unit Price]]+Table111[[#This Row],[Delivery Cost]])</f>
        <v/>
      </c>
      <c r="T990" s="72"/>
      <c r="U990" s="72"/>
      <c r="V990" s="72"/>
      <c r="W990" s="65"/>
      <c r="X990" s="63" t="str">
        <f t="shared" si="45"/>
        <v/>
      </c>
      <c r="Y990" s="63" t="str">
        <f t="shared" si="46"/>
        <v/>
      </c>
      <c r="Z990" s="63" t="str">
        <f t="shared" si="47"/>
        <v/>
      </c>
      <c r="AA990" s="63" t="str">
        <f>TEXT(Table111[[#This Row],[YEAR]],"0000")&amp;"-"&amp;Table111[[#This Row],[MONTH]]</f>
        <v>-</v>
      </c>
    </row>
    <row r="991" spans="2:27" x14ac:dyDescent="0.3">
      <c r="B991" s="68"/>
      <c r="C991" s="68"/>
      <c r="D991" s="68"/>
      <c r="E991" s="71"/>
      <c r="F991" s="72"/>
      <c r="G991" s="70"/>
      <c r="H991" s="74"/>
      <c r="I991" s="70"/>
      <c r="J991" s="70"/>
      <c r="K991" s="70"/>
      <c r="L991" s="74"/>
      <c r="M991" s="123"/>
      <c r="N991" s="73"/>
      <c r="O991" s="236"/>
      <c r="P991" s="117"/>
      <c r="Q991" s="117"/>
      <c r="R991" s="156" t="str">
        <f>IF(Table111[[#This Row],[Qty]]="","",Table111[[#This Row],[Qty]]*Table111[[#This Row],[Unit Price]])</f>
        <v/>
      </c>
      <c r="S991" s="156" t="str">
        <f>IF(Table111[[#This Row],[Qty]]="","",Table111[[#This Row],[Qty]]*Table111[[#This Row],[Unit Price]]+Table111[[#This Row],[Delivery Cost]])</f>
        <v/>
      </c>
      <c r="T991" s="72"/>
      <c r="U991" s="72"/>
      <c r="V991" s="72"/>
      <c r="W991" s="219"/>
      <c r="X991" s="63" t="str">
        <f t="shared" si="45"/>
        <v/>
      </c>
      <c r="Y991" s="63" t="str">
        <f t="shared" si="46"/>
        <v/>
      </c>
      <c r="Z991" s="63" t="str">
        <f t="shared" si="47"/>
        <v/>
      </c>
      <c r="AA991" s="63" t="str">
        <f>TEXT(Table111[[#This Row],[YEAR]],"0000")&amp;"-"&amp;Table111[[#This Row],[MONTH]]</f>
        <v>-</v>
      </c>
    </row>
    <row r="992" spans="2:27" x14ac:dyDescent="0.3">
      <c r="B992" s="183"/>
      <c r="C992" s="183"/>
      <c r="D992" s="183"/>
      <c r="E992" s="71"/>
      <c r="F992" s="72"/>
      <c r="G992" s="70"/>
      <c r="H992" s="74"/>
      <c r="I992" s="70"/>
      <c r="J992" s="70"/>
      <c r="K992" s="70"/>
      <c r="L992" s="74"/>
      <c r="M992" s="123"/>
      <c r="N992" s="73"/>
      <c r="O992" s="236"/>
      <c r="P992" s="117"/>
      <c r="Q992" s="117"/>
      <c r="R992" s="156" t="str">
        <f>IF(Table111[[#This Row],[Qty]]="","",Table111[[#This Row],[Qty]]*Table111[[#This Row],[Unit Price]])</f>
        <v/>
      </c>
      <c r="S992" s="156" t="str">
        <f>IF(Table111[[#This Row],[Qty]]="","",Table111[[#This Row],[Qty]]*Table111[[#This Row],[Unit Price]]+Table111[[#This Row],[Delivery Cost]])</f>
        <v/>
      </c>
      <c r="T992" s="72"/>
      <c r="U992" s="72"/>
      <c r="V992" s="72"/>
      <c r="W992" s="65"/>
      <c r="X992" s="63" t="str">
        <f t="shared" si="45"/>
        <v/>
      </c>
      <c r="Y992" s="63" t="str">
        <f t="shared" si="46"/>
        <v/>
      </c>
      <c r="Z992" s="63" t="str">
        <f t="shared" si="47"/>
        <v/>
      </c>
      <c r="AA992" s="63" t="str">
        <f>TEXT(Table111[[#This Row],[YEAR]],"0000")&amp;"-"&amp;Table111[[#This Row],[MONTH]]</f>
        <v>-</v>
      </c>
    </row>
    <row r="993" spans="2:27" x14ac:dyDescent="0.3">
      <c r="B993" s="68"/>
      <c r="C993" s="68"/>
      <c r="D993" s="68"/>
      <c r="E993" s="71"/>
      <c r="F993" s="72"/>
      <c r="G993" s="70"/>
      <c r="H993" s="74"/>
      <c r="I993" s="70"/>
      <c r="J993" s="70"/>
      <c r="K993" s="70"/>
      <c r="L993" s="74"/>
      <c r="M993" s="123"/>
      <c r="N993" s="73"/>
      <c r="O993" s="236"/>
      <c r="P993" s="117"/>
      <c r="Q993" s="117"/>
      <c r="R993" s="156" t="str">
        <f>IF(Table111[[#This Row],[Qty]]="","",Table111[[#This Row],[Qty]]*Table111[[#This Row],[Unit Price]])</f>
        <v/>
      </c>
      <c r="S993" s="156" t="str">
        <f>IF(Table111[[#This Row],[Qty]]="","",Table111[[#This Row],[Qty]]*Table111[[#This Row],[Unit Price]]+Table111[[#This Row],[Delivery Cost]])</f>
        <v/>
      </c>
      <c r="T993" s="72"/>
      <c r="U993" s="72"/>
      <c r="V993" s="72"/>
      <c r="W993" s="219"/>
      <c r="X993" s="63" t="str">
        <f t="shared" si="45"/>
        <v/>
      </c>
      <c r="Y993" s="63" t="str">
        <f t="shared" si="46"/>
        <v/>
      </c>
      <c r="Z993" s="63" t="str">
        <f t="shared" si="47"/>
        <v/>
      </c>
      <c r="AA993" s="63" t="str">
        <f>TEXT(Table111[[#This Row],[YEAR]],"0000")&amp;"-"&amp;Table111[[#This Row],[MONTH]]</f>
        <v>-</v>
      </c>
    </row>
    <row r="994" spans="2:27" x14ac:dyDescent="0.3">
      <c r="B994" s="183"/>
      <c r="C994" s="183"/>
      <c r="D994" s="183"/>
      <c r="E994" s="71"/>
      <c r="F994" s="72"/>
      <c r="G994" s="70"/>
      <c r="H994" s="74"/>
      <c r="I994" s="70"/>
      <c r="J994" s="70"/>
      <c r="K994" s="70"/>
      <c r="L994" s="74"/>
      <c r="M994" s="123"/>
      <c r="N994" s="73"/>
      <c r="O994" s="236"/>
      <c r="P994" s="117"/>
      <c r="Q994" s="117"/>
      <c r="R994" s="156" t="str">
        <f>IF(Table111[[#This Row],[Qty]]="","",Table111[[#This Row],[Qty]]*Table111[[#This Row],[Unit Price]])</f>
        <v/>
      </c>
      <c r="S994" s="156" t="str">
        <f>IF(Table111[[#This Row],[Qty]]="","",Table111[[#This Row],[Qty]]*Table111[[#This Row],[Unit Price]]+Table111[[#This Row],[Delivery Cost]])</f>
        <v/>
      </c>
      <c r="T994" s="72"/>
      <c r="U994" s="72"/>
      <c r="V994" s="72"/>
      <c r="W994" s="65"/>
      <c r="X994" s="63" t="str">
        <f t="shared" si="45"/>
        <v/>
      </c>
      <c r="Y994" s="63" t="str">
        <f t="shared" si="46"/>
        <v/>
      </c>
      <c r="Z994" s="63" t="str">
        <f t="shared" si="47"/>
        <v/>
      </c>
      <c r="AA994" s="63" t="str">
        <f>TEXT(Table111[[#This Row],[YEAR]],"0000")&amp;"-"&amp;Table111[[#This Row],[MONTH]]</f>
        <v>-</v>
      </c>
    </row>
    <row r="995" spans="2:27" x14ac:dyDescent="0.3">
      <c r="B995" s="68"/>
      <c r="C995" s="68"/>
      <c r="D995" s="68"/>
      <c r="E995" s="71"/>
      <c r="F995" s="72"/>
      <c r="G995" s="70"/>
      <c r="H995" s="74"/>
      <c r="I995" s="70"/>
      <c r="J995" s="70"/>
      <c r="K995" s="70"/>
      <c r="L995" s="74"/>
      <c r="M995" s="123"/>
      <c r="N995" s="73"/>
      <c r="O995" s="236"/>
      <c r="P995" s="117"/>
      <c r="Q995" s="117"/>
      <c r="R995" s="156" t="str">
        <f>IF(Table111[[#This Row],[Qty]]="","",Table111[[#This Row],[Qty]]*Table111[[#This Row],[Unit Price]])</f>
        <v/>
      </c>
      <c r="S995" s="156" t="str">
        <f>IF(Table111[[#This Row],[Qty]]="","",Table111[[#This Row],[Qty]]*Table111[[#This Row],[Unit Price]]+Table111[[#This Row],[Delivery Cost]])</f>
        <v/>
      </c>
      <c r="T995" s="72"/>
      <c r="U995" s="72"/>
      <c r="V995" s="72"/>
      <c r="W995" s="219"/>
      <c r="X995" s="63" t="str">
        <f t="shared" si="45"/>
        <v/>
      </c>
      <c r="Y995" s="63" t="str">
        <f t="shared" si="46"/>
        <v/>
      </c>
      <c r="Z995" s="63" t="str">
        <f t="shared" si="47"/>
        <v/>
      </c>
      <c r="AA995" s="63" t="str">
        <f>TEXT(Table111[[#This Row],[YEAR]],"0000")&amp;"-"&amp;Table111[[#This Row],[MONTH]]</f>
        <v>-</v>
      </c>
    </row>
    <row r="996" spans="2:27" x14ac:dyDescent="0.3">
      <c r="B996" s="183"/>
      <c r="C996" s="183"/>
      <c r="D996" s="183"/>
      <c r="E996" s="71"/>
      <c r="F996" s="72"/>
      <c r="G996" s="70"/>
      <c r="H996" s="74"/>
      <c r="I996" s="70"/>
      <c r="J996" s="70"/>
      <c r="K996" s="70"/>
      <c r="L996" s="74"/>
      <c r="M996" s="123"/>
      <c r="N996" s="73"/>
      <c r="O996" s="236"/>
      <c r="P996" s="117"/>
      <c r="Q996" s="117"/>
      <c r="R996" s="156" t="str">
        <f>IF(Table111[[#This Row],[Qty]]="","",Table111[[#This Row],[Qty]]*Table111[[#This Row],[Unit Price]])</f>
        <v/>
      </c>
      <c r="S996" s="156" t="str">
        <f>IF(Table111[[#This Row],[Qty]]="","",Table111[[#This Row],[Qty]]*Table111[[#This Row],[Unit Price]]+Table111[[#This Row],[Delivery Cost]])</f>
        <v/>
      </c>
      <c r="T996" s="72"/>
      <c r="U996" s="72"/>
      <c r="V996" s="72"/>
      <c r="W996" s="65"/>
      <c r="X996" s="63" t="str">
        <f t="shared" si="45"/>
        <v/>
      </c>
      <c r="Y996" s="63" t="str">
        <f t="shared" si="46"/>
        <v/>
      </c>
      <c r="Z996" s="63" t="str">
        <f t="shared" si="47"/>
        <v/>
      </c>
      <c r="AA996" s="63" t="str">
        <f>TEXT(Table111[[#This Row],[YEAR]],"0000")&amp;"-"&amp;Table111[[#This Row],[MONTH]]</f>
        <v>-</v>
      </c>
    </row>
    <row r="997" spans="2:27" x14ac:dyDescent="0.3">
      <c r="B997" s="68"/>
      <c r="C997" s="68"/>
      <c r="D997" s="68"/>
      <c r="E997" s="71"/>
      <c r="F997" s="72"/>
      <c r="G997" s="70"/>
      <c r="H997" s="74"/>
      <c r="I997" s="70"/>
      <c r="J997" s="70"/>
      <c r="K997" s="70"/>
      <c r="L997" s="74"/>
      <c r="M997" s="123"/>
      <c r="N997" s="73"/>
      <c r="O997" s="236"/>
      <c r="P997" s="117"/>
      <c r="Q997" s="117"/>
      <c r="R997" s="156" t="str">
        <f>IF(Table111[[#This Row],[Qty]]="","",Table111[[#This Row],[Qty]]*Table111[[#This Row],[Unit Price]])</f>
        <v/>
      </c>
      <c r="S997" s="156" t="str">
        <f>IF(Table111[[#This Row],[Qty]]="","",Table111[[#This Row],[Qty]]*Table111[[#This Row],[Unit Price]]+Table111[[#This Row],[Delivery Cost]])</f>
        <v/>
      </c>
      <c r="T997" s="72"/>
      <c r="U997" s="72"/>
      <c r="V997" s="72"/>
      <c r="W997" s="219"/>
      <c r="X997" s="63" t="str">
        <f t="shared" si="45"/>
        <v/>
      </c>
      <c r="Y997" s="63" t="str">
        <f t="shared" si="46"/>
        <v/>
      </c>
      <c r="Z997" s="63" t="str">
        <f t="shared" si="47"/>
        <v/>
      </c>
      <c r="AA997" s="63" t="str">
        <f>TEXT(Table111[[#This Row],[YEAR]],"0000")&amp;"-"&amp;Table111[[#This Row],[MONTH]]</f>
        <v>-</v>
      </c>
    </row>
    <row r="998" spans="2:27" x14ac:dyDescent="0.3">
      <c r="B998" s="183"/>
      <c r="C998" s="183"/>
      <c r="D998" s="183"/>
      <c r="E998" s="71"/>
      <c r="F998" s="72"/>
      <c r="G998" s="70"/>
      <c r="H998" s="74"/>
      <c r="I998" s="70"/>
      <c r="J998" s="70"/>
      <c r="K998" s="70"/>
      <c r="L998" s="74"/>
      <c r="M998" s="123"/>
      <c r="N998" s="73"/>
      <c r="O998" s="236"/>
      <c r="P998" s="117"/>
      <c r="Q998" s="117"/>
      <c r="R998" s="156" t="str">
        <f>IF(Table111[[#This Row],[Qty]]="","",Table111[[#This Row],[Qty]]*Table111[[#This Row],[Unit Price]])</f>
        <v/>
      </c>
      <c r="S998" s="156" t="str">
        <f>IF(Table111[[#This Row],[Qty]]="","",Table111[[#This Row],[Qty]]*Table111[[#This Row],[Unit Price]]+Table111[[#This Row],[Delivery Cost]])</f>
        <v/>
      </c>
      <c r="T998" s="72"/>
      <c r="U998" s="72"/>
      <c r="V998" s="72"/>
      <c r="W998" s="65"/>
      <c r="X998" s="63" t="str">
        <f t="shared" si="45"/>
        <v/>
      </c>
      <c r="Y998" s="63" t="str">
        <f t="shared" si="46"/>
        <v/>
      </c>
      <c r="Z998" s="63" t="str">
        <f t="shared" si="47"/>
        <v/>
      </c>
      <c r="AA998" s="63" t="str">
        <f>TEXT(Table111[[#This Row],[YEAR]],"0000")&amp;"-"&amp;Table111[[#This Row],[MONTH]]</f>
        <v>-</v>
      </c>
    </row>
    <row r="999" spans="2:27" x14ac:dyDescent="0.3">
      <c r="B999" s="68"/>
      <c r="C999" s="68"/>
      <c r="D999" s="68"/>
      <c r="E999" s="71"/>
      <c r="F999" s="72"/>
      <c r="G999" s="70"/>
      <c r="H999" s="74"/>
      <c r="I999" s="70"/>
      <c r="J999" s="70"/>
      <c r="K999" s="70"/>
      <c r="L999" s="74"/>
      <c r="M999" s="123"/>
      <c r="N999" s="73"/>
      <c r="O999" s="236"/>
      <c r="P999" s="117"/>
      <c r="Q999" s="117"/>
      <c r="R999" s="156" t="str">
        <f>IF(Table111[[#This Row],[Qty]]="","",Table111[[#This Row],[Qty]]*Table111[[#This Row],[Unit Price]])</f>
        <v/>
      </c>
      <c r="S999" s="156" t="str">
        <f>IF(Table111[[#This Row],[Qty]]="","",Table111[[#This Row],[Qty]]*Table111[[#This Row],[Unit Price]]+Table111[[#This Row],[Delivery Cost]])</f>
        <v/>
      </c>
      <c r="T999" s="72"/>
      <c r="U999" s="72"/>
      <c r="V999" s="72"/>
      <c r="W999" s="219"/>
      <c r="X999" s="63" t="str">
        <f t="shared" si="45"/>
        <v/>
      </c>
      <c r="Y999" s="63" t="str">
        <f t="shared" si="46"/>
        <v/>
      </c>
      <c r="Z999" s="63" t="str">
        <f t="shared" si="47"/>
        <v/>
      </c>
      <c r="AA999" s="63" t="str">
        <f>TEXT(Table111[[#This Row],[YEAR]],"0000")&amp;"-"&amp;Table111[[#This Row],[MONTH]]</f>
        <v>-</v>
      </c>
    </row>
    <row r="1000" spans="2:27" x14ac:dyDescent="0.3">
      <c r="B1000" s="183"/>
      <c r="C1000" s="183"/>
      <c r="D1000" s="183"/>
      <c r="E1000" s="71"/>
      <c r="F1000" s="72"/>
      <c r="G1000" s="70"/>
      <c r="H1000" s="74"/>
      <c r="I1000" s="70"/>
      <c r="J1000" s="70"/>
      <c r="K1000" s="70"/>
      <c r="L1000" s="74"/>
      <c r="M1000" s="123"/>
      <c r="N1000" s="73"/>
      <c r="O1000" s="236"/>
      <c r="P1000" s="117"/>
      <c r="Q1000" s="117"/>
      <c r="R1000" s="156" t="str">
        <f>IF(Table111[[#This Row],[Qty]]="","",Table111[[#This Row],[Qty]]*Table111[[#This Row],[Unit Price]])</f>
        <v/>
      </c>
      <c r="S1000" s="156" t="str">
        <f>IF(Table111[[#This Row],[Qty]]="","",Table111[[#This Row],[Qty]]*Table111[[#This Row],[Unit Price]]+Table111[[#This Row],[Delivery Cost]])</f>
        <v/>
      </c>
      <c r="T1000" s="72"/>
      <c r="U1000" s="72"/>
      <c r="V1000" s="72"/>
      <c r="W1000" s="65"/>
      <c r="X1000" s="63" t="str">
        <f t="shared" si="45"/>
        <v/>
      </c>
      <c r="Y1000" s="63" t="str">
        <f t="shared" si="46"/>
        <v/>
      </c>
      <c r="Z1000" s="63" t="str">
        <f t="shared" si="47"/>
        <v/>
      </c>
      <c r="AA1000" s="63" t="str">
        <f>TEXT(Table111[[#This Row],[YEAR]],"0000")&amp;"-"&amp;Table111[[#This Row],[MONTH]]</f>
        <v>-</v>
      </c>
    </row>
    <row r="1001" spans="2:27" x14ac:dyDescent="0.3">
      <c r="B1001" s="68"/>
      <c r="C1001" s="68"/>
      <c r="D1001" s="68"/>
      <c r="E1001" s="71"/>
      <c r="F1001" s="72"/>
      <c r="G1001" s="70"/>
      <c r="H1001" s="74"/>
      <c r="I1001" s="70"/>
      <c r="J1001" s="70"/>
      <c r="K1001" s="70"/>
      <c r="L1001" s="74"/>
      <c r="M1001" s="123"/>
      <c r="N1001" s="73"/>
      <c r="O1001" s="236"/>
      <c r="P1001" s="117"/>
      <c r="Q1001" s="117"/>
      <c r="R1001" s="156" t="str">
        <f>IF(Table111[[#This Row],[Qty]]="","",Table111[[#This Row],[Qty]]*Table111[[#This Row],[Unit Price]])</f>
        <v/>
      </c>
      <c r="S1001" s="156" t="str">
        <f>IF(Table111[[#This Row],[Qty]]="","",Table111[[#This Row],[Qty]]*Table111[[#This Row],[Unit Price]]+Table111[[#This Row],[Delivery Cost]])</f>
        <v/>
      </c>
      <c r="T1001" s="72"/>
      <c r="U1001" s="72"/>
      <c r="V1001" s="72"/>
      <c r="W1001" s="219"/>
      <c r="X1001" s="63" t="str">
        <f t="shared" si="45"/>
        <v/>
      </c>
      <c r="Y1001" s="63" t="str">
        <f t="shared" si="46"/>
        <v/>
      </c>
      <c r="Z1001" s="63" t="str">
        <f t="shared" si="47"/>
        <v/>
      </c>
      <c r="AA1001" s="63" t="str">
        <f>TEXT(Table111[[#This Row],[YEAR]],"0000")&amp;"-"&amp;Table111[[#This Row],[MONTH]]</f>
        <v>-</v>
      </c>
    </row>
    <row r="1002" spans="2:27" x14ac:dyDescent="0.3">
      <c r="B1002" s="183"/>
      <c r="C1002" s="183"/>
      <c r="D1002" s="183"/>
      <c r="E1002" s="71"/>
      <c r="F1002" s="72"/>
      <c r="G1002" s="70"/>
      <c r="H1002" s="74"/>
      <c r="I1002" s="70"/>
      <c r="J1002" s="70"/>
      <c r="K1002" s="70"/>
      <c r="L1002" s="74"/>
      <c r="M1002" s="123"/>
      <c r="N1002" s="73"/>
      <c r="O1002" s="236"/>
      <c r="P1002" s="117"/>
      <c r="Q1002" s="117"/>
      <c r="R1002" s="156" t="str">
        <f>IF(Table111[[#This Row],[Qty]]="","",Table111[[#This Row],[Qty]]*Table111[[#This Row],[Unit Price]])</f>
        <v/>
      </c>
      <c r="S1002" s="156" t="str">
        <f>IF(Table111[[#This Row],[Qty]]="","",Table111[[#This Row],[Qty]]*Table111[[#This Row],[Unit Price]]+Table111[[#This Row],[Delivery Cost]])</f>
        <v/>
      </c>
      <c r="T1002" s="72"/>
      <c r="U1002" s="72"/>
      <c r="V1002" s="72"/>
      <c r="W1002" s="65"/>
      <c r="X1002" s="63" t="str">
        <f t="shared" si="45"/>
        <v/>
      </c>
      <c r="Y1002" s="63" t="str">
        <f t="shared" si="46"/>
        <v/>
      </c>
      <c r="Z1002" s="63" t="str">
        <f t="shared" si="47"/>
        <v/>
      </c>
      <c r="AA1002" s="63" t="str">
        <f>TEXT(Table111[[#This Row],[YEAR]],"0000")&amp;"-"&amp;Table111[[#This Row],[MONTH]]</f>
        <v>-</v>
      </c>
    </row>
    <row r="1003" spans="2:27" x14ac:dyDescent="0.3">
      <c r="B1003" s="68"/>
      <c r="C1003" s="68"/>
      <c r="D1003" s="68"/>
      <c r="E1003" s="71"/>
      <c r="F1003" s="72"/>
      <c r="G1003" s="70"/>
      <c r="H1003" s="74"/>
      <c r="I1003" s="70"/>
      <c r="J1003" s="70"/>
      <c r="K1003" s="70"/>
      <c r="L1003" s="74"/>
      <c r="M1003" s="123"/>
      <c r="N1003" s="73"/>
      <c r="O1003" s="236"/>
      <c r="P1003" s="117"/>
      <c r="Q1003" s="117"/>
      <c r="R1003" s="156" t="str">
        <f>IF(Table111[[#This Row],[Qty]]="","",Table111[[#This Row],[Qty]]*Table111[[#This Row],[Unit Price]])</f>
        <v/>
      </c>
      <c r="S1003" s="156" t="str">
        <f>IF(Table111[[#This Row],[Qty]]="","",Table111[[#This Row],[Qty]]*Table111[[#This Row],[Unit Price]]+Table111[[#This Row],[Delivery Cost]])</f>
        <v/>
      </c>
      <c r="T1003" s="72"/>
      <c r="U1003" s="72"/>
      <c r="V1003" s="72"/>
      <c r="W1003" s="219"/>
      <c r="X1003" s="63" t="str">
        <f t="shared" si="45"/>
        <v/>
      </c>
      <c r="Y1003" s="63" t="str">
        <f t="shared" si="46"/>
        <v/>
      </c>
      <c r="Z1003" s="63" t="str">
        <f t="shared" si="47"/>
        <v/>
      </c>
      <c r="AA1003" s="63" t="str">
        <f>TEXT(Table111[[#This Row],[YEAR]],"0000")&amp;"-"&amp;Table111[[#This Row],[MONTH]]</f>
        <v>-</v>
      </c>
    </row>
    <row r="1004" spans="2:27" x14ac:dyDescent="0.3">
      <c r="B1004" s="183"/>
      <c r="C1004" s="183"/>
      <c r="D1004" s="183"/>
      <c r="E1004" s="71"/>
      <c r="F1004" s="72"/>
      <c r="G1004" s="70"/>
      <c r="H1004" s="74"/>
      <c r="I1004" s="70"/>
      <c r="J1004" s="70"/>
      <c r="K1004" s="70"/>
      <c r="L1004" s="74"/>
      <c r="M1004" s="123"/>
      <c r="N1004" s="73"/>
      <c r="O1004" s="236"/>
      <c r="P1004" s="117"/>
      <c r="Q1004" s="117"/>
      <c r="R1004" s="156" t="str">
        <f>IF(Table111[[#This Row],[Qty]]="","",Table111[[#This Row],[Qty]]*Table111[[#This Row],[Unit Price]])</f>
        <v/>
      </c>
      <c r="S1004" s="156" t="str">
        <f>IF(Table111[[#This Row],[Qty]]="","",Table111[[#This Row],[Qty]]*Table111[[#This Row],[Unit Price]]+Table111[[#This Row],[Delivery Cost]])</f>
        <v/>
      </c>
      <c r="T1004" s="72"/>
      <c r="U1004" s="72"/>
      <c r="V1004" s="72"/>
      <c r="W1004" s="65"/>
      <c r="X1004" s="63" t="str">
        <f t="shared" si="45"/>
        <v/>
      </c>
      <c r="Y1004" s="63" t="str">
        <f t="shared" si="46"/>
        <v/>
      </c>
      <c r="Z1004" s="63" t="str">
        <f t="shared" si="47"/>
        <v/>
      </c>
      <c r="AA1004" s="63" t="str">
        <f>TEXT(Table111[[#This Row],[YEAR]],"0000")&amp;"-"&amp;Table111[[#This Row],[MONTH]]</f>
        <v>-</v>
      </c>
    </row>
    <row r="1005" spans="2:27" x14ac:dyDescent="0.3">
      <c r="B1005" s="68"/>
      <c r="C1005" s="68"/>
      <c r="D1005" s="68"/>
      <c r="E1005" s="71"/>
      <c r="F1005" s="72"/>
      <c r="G1005" s="70"/>
      <c r="H1005" s="74"/>
      <c r="I1005" s="70"/>
      <c r="J1005" s="70"/>
      <c r="K1005" s="70"/>
      <c r="L1005" s="74"/>
      <c r="M1005" s="123"/>
      <c r="N1005" s="73"/>
      <c r="O1005" s="236"/>
      <c r="P1005" s="117"/>
      <c r="Q1005" s="117"/>
      <c r="R1005" s="156" t="str">
        <f>IF(Table111[[#This Row],[Qty]]="","",Table111[[#This Row],[Qty]]*Table111[[#This Row],[Unit Price]])</f>
        <v/>
      </c>
      <c r="S1005" s="156" t="str">
        <f>IF(Table111[[#This Row],[Qty]]="","",Table111[[#This Row],[Qty]]*Table111[[#This Row],[Unit Price]]+Table111[[#This Row],[Delivery Cost]])</f>
        <v/>
      </c>
      <c r="T1005" s="72"/>
      <c r="U1005" s="72"/>
      <c r="V1005" s="72"/>
      <c r="W1005" s="219"/>
      <c r="X1005" s="63" t="str">
        <f t="shared" si="45"/>
        <v/>
      </c>
      <c r="Y1005" s="63" t="str">
        <f t="shared" si="46"/>
        <v/>
      </c>
      <c r="Z1005" s="63" t="str">
        <f t="shared" si="47"/>
        <v/>
      </c>
      <c r="AA1005" s="63" t="str">
        <f>TEXT(Table111[[#This Row],[YEAR]],"0000")&amp;"-"&amp;Table111[[#This Row],[MONTH]]</f>
        <v>-</v>
      </c>
    </row>
    <row r="1006" spans="2:27" x14ac:dyDescent="0.3">
      <c r="B1006" s="183"/>
      <c r="C1006" s="183"/>
      <c r="D1006" s="183"/>
      <c r="E1006" s="71"/>
      <c r="F1006" s="72"/>
      <c r="G1006" s="70"/>
      <c r="H1006" s="74"/>
      <c r="I1006" s="70"/>
      <c r="J1006" s="70"/>
      <c r="K1006" s="70"/>
      <c r="L1006" s="74"/>
      <c r="M1006" s="123"/>
      <c r="N1006" s="73"/>
      <c r="O1006" s="236"/>
      <c r="P1006" s="117"/>
      <c r="Q1006" s="117"/>
      <c r="R1006" s="156" t="str">
        <f>IF(Table111[[#This Row],[Qty]]="","",Table111[[#This Row],[Qty]]*Table111[[#This Row],[Unit Price]])</f>
        <v/>
      </c>
      <c r="S1006" s="156" t="str">
        <f>IF(Table111[[#This Row],[Qty]]="","",Table111[[#This Row],[Qty]]*Table111[[#This Row],[Unit Price]]+Table111[[#This Row],[Delivery Cost]])</f>
        <v/>
      </c>
      <c r="T1006" s="72"/>
      <c r="U1006" s="72"/>
      <c r="V1006" s="72"/>
      <c r="W1006" s="65"/>
      <c r="X1006" s="63" t="str">
        <f t="shared" si="45"/>
        <v/>
      </c>
      <c r="Y1006" s="63" t="str">
        <f t="shared" si="46"/>
        <v/>
      </c>
      <c r="Z1006" s="63" t="str">
        <f t="shared" si="47"/>
        <v/>
      </c>
      <c r="AA1006" s="63" t="str">
        <f>TEXT(Table111[[#This Row],[YEAR]],"0000")&amp;"-"&amp;Table111[[#This Row],[MONTH]]</f>
        <v>-</v>
      </c>
    </row>
    <row r="1007" spans="2:27" x14ac:dyDescent="0.3">
      <c r="B1007" s="68"/>
      <c r="C1007" s="68"/>
      <c r="D1007" s="68"/>
      <c r="E1007" s="71"/>
      <c r="F1007" s="72"/>
      <c r="G1007" s="70"/>
      <c r="H1007" s="74"/>
      <c r="I1007" s="70"/>
      <c r="J1007" s="70"/>
      <c r="K1007" s="70"/>
      <c r="L1007" s="74"/>
      <c r="M1007" s="123"/>
      <c r="N1007" s="73"/>
      <c r="O1007" s="236"/>
      <c r="P1007" s="117"/>
      <c r="Q1007" s="117"/>
      <c r="R1007" s="156" t="str">
        <f>IF(Table111[[#This Row],[Qty]]="","",Table111[[#This Row],[Qty]]*Table111[[#This Row],[Unit Price]])</f>
        <v/>
      </c>
      <c r="S1007" s="156" t="str">
        <f>IF(Table111[[#This Row],[Qty]]="","",Table111[[#This Row],[Qty]]*Table111[[#This Row],[Unit Price]]+Table111[[#This Row],[Delivery Cost]])</f>
        <v/>
      </c>
      <c r="T1007" s="72"/>
      <c r="U1007" s="72"/>
      <c r="V1007" s="72"/>
      <c r="W1007" s="219"/>
      <c r="X1007" s="63" t="str">
        <f t="shared" si="45"/>
        <v/>
      </c>
      <c r="Y1007" s="63" t="str">
        <f t="shared" si="46"/>
        <v/>
      </c>
      <c r="Z1007" s="63" t="str">
        <f t="shared" si="47"/>
        <v/>
      </c>
      <c r="AA1007" s="63" t="str">
        <f>TEXT(Table111[[#This Row],[YEAR]],"0000")&amp;"-"&amp;Table111[[#This Row],[MONTH]]</f>
        <v>-</v>
      </c>
    </row>
    <row r="1008" spans="2:27" x14ac:dyDescent="0.3">
      <c r="B1008" s="183"/>
      <c r="C1008" s="183"/>
      <c r="D1008" s="183"/>
      <c r="E1008" s="71"/>
      <c r="F1008" s="72"/>
      <c r="G1008" s="70"/>
      <c r="H1008" s="74"/>
      <c r="I1008" s="70"/>
      <c r="J1008" s="70"/>
      <c r="K1008" s="70"/>
      <c r="L1008" s="74"/>
      <c r="M1008" s="123"/>
      <c r="N1008" s="73"/>
      <c r="O1008" s="236"/>
      <c r="P1008" s="117"/>
      <c r="Q1008" s="117"/>
      <c r="R1008" s="156" t="str">
        <f>IF(Table111[[#This Row],[Qty]]="","",Table111[[#This Row],[Qty]]*Table111[[#This Row],[Unit Price]])</f>
        <v/>
      </c>
      <c r="S1008" s="156" t="str">
        <f>IF(Table111[[#This Row],[Qty]]="","",Table111[[#This Row],[Qty]]*Table111[[#This Row],[Unit Price]]+Table111[[#This Row],[Delivery Cost]])</f>
        <v/>
      </c>
      <c r="T1008" s="72"/>
      <c r="U1008" s="72"/>
      <c r="V1008" s="72"/>
      <c r="W1008" s="65"/>
      <c r="X1008" s="63" t="str">
        <f t="shared" si="45"/>
        <v/>
      </c>
      <c r="Y1008" s="63" t="str">
        <f t="shared" si="46"/>
        <v/>
      </c>
      <c r="Z1008" s="63" t="str">
        <f t="shared" si="47"/>
        <v/>
      </c>
      <c r="AA1008" s="63" t="str">
        <f>TEXT(Table111[[#This Row],[YEAR]],"0000")&amp;"-"&amp;Table111[[#This Row],[MONTH]]</f>
        <v>-</v>
      </c>
    </row>
    <row r="1009" spans="2:27" x14ac:dyDescent="0.3">
      <c r="B1009" s="68"/>
      <c r="C1009" s="68"/>
      <c r="D1009" s="68"/>
      <c r="E1009" s="71"/>
      <c r="F1009" s="72"/>
      <c r="G1009" s="70"/>
      <c r="H1009" s="74"/>
      <c r="I1009" s="70"/>
      <c r="J1009" s="70"/>
      <c r="K1009" s="70"/>
      <c r="L1009" s="74"/>
      <c r="M1009" s="123"/>
      <c r="N1009" s="73"/>
      <c r="O1009" s="236"/>
      <c r="P1009" s="117"/>
      <c r="Q1009" s="117"/>
      <c r="R1009" s="156" t="str">
        <f>IF(Table111[[#This Row],[Qty]]="","",Table111[[#This Row],[Qty]]*Table111[[#This Row],[Unit Price]])</f>
        <v/>
      </c>
      <c r="S1009" s="156" t="str">
        <f>IF(Table111[[#This Row],[Qty]]="","",Table111[[#This Row],[Qty]]*Table111[[#This Row],[Unit Price]]+Table111[[#This Row],[Delivery Cost]])</f>
        <v/>
      </c>
      <c r="T1009" s="72"/>
      <c r="U1009" s="72"/>
      <c r="V1009" s="72"/>
      <c r="W1009" s="219"/>
      <c r="X1009" s="63" t="str">
        <f t="shared" si="45"/>
        <v/>
      </c>
      <c r="Y1009" s="63" t="str">
        <f t="shared" si="46"/>
        <v/>
      </c>
      <c r="Z1009" s="63" t="str">
        <f t="shared" si="47"/>
        <v/>
      </c>
      <c r="AA1009" s="63" t="str">
        <f>TEXT(Table111[[#This Row],[YEAR]],"0000")&amp;"-"&amp;Table111[[#This Row],[MONTH]]</f>
        <v>-</v>
      </c>
    </row>
    <row r="1010" spans="2:27" x14ac:dyDescent="0.3">
      <c r="B1010" s="183"/>
      <c r="C1010" s="183"/>
      <c r="D1010" s="183"/>
      <c r="E1010" s="71"/>
      <c r="F1010" s="72"/>
      <c r="G1010" s="70"/>
      <c r="H1010" s="74"/>
      <c r="I1010" s="70"/>
      <c r="J1010" s="70"/>
      <c r="K1010" s="70"/>
      <c r="L1010" s="74"/>
      <c r="M1010" s="123"/>
      <c r="N1010" s="73"/>
      <c r="O1010" s="236"/>
      <c r="P1010" s="117"/>
      <c r="Q1010" s="117"/>
      <c r="R1010" s="156" t="str">
        <f>IF(Table111[[#This Row],[Qty]]="","",Table111[[#This Row],[Qty]]*Table111[[#This Row],[Unit Price]])</f>
        <v/>
      </c>
      <c r="S1010" s="156" t="str">
        <f>IF(Table111[[#This Row],[Qty]]="","",Table111[[#This Row],[Qty]]*Table111[[#This Row],[Unit Price]]+Table111[[#This Row],[Delivery Cost]])</f>
        <v/>
      </c>
      <c r="T1010" s="72"/>
      <c r="U1010" s="72"/>
      <c r="V1010" s="72"/>
      <c r="W1010" s="65"/>
      <c r="X1010" s="63" t="str">
        <f t="shared" si="45"/>
        <v/>
      </c>
      <c r="Y1010" s="63" t="str">
        <f t="shared" si="46"/>
        <v/>
      </c>
      <c r="Z1010" s="63" t="str">
        <f t="shared" si="47"/>
        <v/>
      </c>
      <c r="AA1010" s="63" t="str">
        <f>TEXT(Table111[[#This Row],[YEAR]],"0000")&amp;"-"&amp;Table111[[#This Row],[MONTH]]</f>
        <v>-</v>
      </c>
    </row>
    <row r="1011" spans="2:27" x14ac:dyDescent="0.3">
      <c r="B1011" s="68"/>
      <c r="C1011" s="68"/>
      <c r="D1011" s="68"/>
      <c r="E1011" s="71"/>
      <c r="F1011" s="72"/>
      <c r="G1011" s="70"/>
      <c r="H1011" s="74"/>
      <c r="I1011" s="70"/>
      <c r="J1011" s="70"/>
      <c r="K1011" s="70"/>
      <c r="L1011" s="74"/>
      <c r="M1011" s="123"/>
      <c r="N1011" s="73"/>
      <c r="O1011" s="236"/>
      <c r="P1011" s="117"/>
      <c r="Q1011" s="117"/>
      <c r="R1011" s="156" t="str">
        <f>IF(Table111[[#This Row],[Qty]]="","",Table111[[#This Row],[Qty]]*Table111[[#This Row],[Unit Price]])</f>
        <v/>
      </c>
      <c r="S1011" s="156" t="str">
        <f>IF(Table111[[#This Row],[Qty]]="","",Table111[[#This Row],[Qty]]*Table111[[#This Row],[Unit Price]]+Table111[[#This Row],[Delivery Cost]])</f>
        <v/>
      </c>
      <c r="T1011" s="72"/>
      <c r="U1011" s="72"/>
      <c r="V1011" s="72"/>
      <c r="W1011" s="219"/>
      <c r="X1011" s="63" t="str">
        <f t="shared" si="45"/>
        <v/>
      </c>
      <c r="Y1011" s="63" t="str">
        <f t="shared" si="46"/>
        <v/>
      </c>
      <c r="Z1011" s="63" t="str">
        <f t="shared" si="47"/>
        <v/>
      </c>
      <c r="AA1011" s="63" t="str">
        <f>TEXT(Table111[[#This Row],[YEAR]],"0000")&amp;"-"&amp;Table111[[#This Row],[MONTH]]</f>
        <v>-</v>
      </c>
    </row>
    <row r="1012" spans="2:27" x14ac:dyDescent="0.3">
      <c r="B1012" s="183"/>
      <c r="C1012" s="183"/>
      <c r="D1012" s="183"/>
      <c r="E1012" s="71"/>
      <c r="F1012" s="72"/>
      <c r="G1012" s="70"/>
      <c r="H1012" s="74"/>
      <c r="I1012" s="70"/>
      <c r="J1012" s="70"/>
      <c r="K1012" s="70"/>
      <c r="L1012" s="74"/>
      <c r="M1012" s="123"/>
      <c r="N1012" s="73"/>
      <c r="O1012" s="236"/>
      <c r="P1012" s="117"/>
      <c r="Q1012" s="117"/>
      <c r="R1012" s="156" t="str">
        <f>IF(Table111[[#This Row],[Qty]]="","",Table111[[#This Row],[Qty]]*Table111[[#This Row],[Unit Price]])</f>
        <v/>
      </c>
      <c r="S1012" s="156" t="str">
        <f>IF(Table111[[#This Row],[Qty]]="","",Table111[[#This Row],[Qty]]*Table111[[#This Row],[Unit Price]]+Table111[[#This Row],[Delivery Cost]])</f>
        <v/>
      </c>
      <c r="T1012" s="72"/>
      <c r="U1012" s="72"/>
      <c r="V1012" s="72"/>
      <c r="W1012" s="65"/>
      <c r="X1012" s="63" t="str">
        <f t="shared" si="45"/>
        <v/>
      </c>
      <c r="Y1012" s="63" t="str">
        <f t="shared" si="46"/>
        <v/>
      </c>
      <c r="Z1012" s="63" t="str">
        <f t="shared" si="47"/>
        <v/>
      </c>
      <c r="AA1012" s="63" t="str">
        <f>TEXT(Table111[[#This Row],[YEAR]],"0000")&amp;"-"&amp;Table111[[#This Row],[MONTH]]</f>
        <v>-</v>
      </c>
    </row>
    <row r="1013" spans="2:27" x14ac:dyDescent="0.3">
      <c r="B1013" s="68"/>
      <c r="C1013" s="68"/>
      <c r="D1013" s="68"/>
      <c r="E1013" s="71"/>
      <c r="F1013" s="72"/>
      <c r="G1013" s="70"/>
      <c r="H1013" s="74"/>
      <c r="I1013" s="70"/>
      <c r="J1013" s="70"/>
      <c r="K1013" s="70"/>
      <c r="L1013" s="74"/>
      <c r="M1013" s="123"/>
      <c r="N1013" s="73"/>
      <c r="O1013" s="236"/>
      <c r="P1013" s="117"/>
      <c r="Q1013" s="117"/>
      <c r="R1013" s="156" t="str">
        <f>IF(Table111[[#This Row],[Qty]]="","",Table111[[#This Row],[Qty]]*Table111[[#This Row],[Unit Price]])</f>
        <v/>
      </c>
      <c r="S1013" s="156" t="str">
        <f>IF(Table111[[#This Row],[Qty]]="","",Table111[[#This Row],[Qty]]*Table111[[#This Row],[Unit Price]]+Table111[[#This Row],[Delivery Cost]])</f>
        <v/>
      </c>
      <c r="T1013" s="72"/>
      <c r="U1013" s="72"/>
      <c r="V1013" s="72"/>
      <c r="W1013" s="219"/>
      <c r="X1013" s="63" t="str">
        <f t="shared" si="45"/>
        <v/>
      </c>
      <c r="Y1013" s="63" t="str">
        <f t="shared" si="46"/>
        <v/>
      </c>
      <c r="Z1013" s="63" t="str">
        <f t="shared" si="47"/>
        <v/>
      </c>
      <c r="AA1013" s="63" t="str">
        <f>TEXT(Table111[[#This Row],[YEAR]],"0000")&amp;"-"&amp;Table111[[#This Row],[MONTH]]</f>
        <v>-</v>
      </c>
    </row>
    <row r="1014" spans="2:27" x14ac:dyDescent="0.3">
      <c r="B1014" s="183"/>
      <c r="C1014" s="183"/>
      <c r="D1014" s="183"/>
      <c r="E1014" s="71"/>
      <c r="F1014" s="72"/>
      <c r="G1014" s="70"/>
      <c r="H1014" s="74"/>
      <c r="I1014" s="70"/>
      <c r="J1014" s="70"/>
      <c r="K1014" s="70"/>
      <c r="L1014" s="74"/>
      <c r="M1014" s="123"/>
      <c r="N1014" s="73"/>
      <c r="O1014" s="236"/>
      <c r="P1014" s="117"/>
      <c r="Q1014" s="117"/>
      <c r="R1014" s="156" t="str">
        <f>IF(Table111[[#This Row],[Qty]]="","",Table111[[#This Row],[Qty]]*Table111[[#This Row],[Unit Price]])</f>
        <v/>
      </c>
      <c r="S1014" s="156" t="str">
        <f>IF(Table111[[#This Row],[Qty]]="","",Table111[[#This Row],[Qty]]*Table111[[#This Row],[Unit Price]]+Table111[[#This Row],[Delivery Cost]])</f>
        <v/>
      </c>
      <c r="T1014" s="72"/>
      <c r="U1014" s="72"/>
      <c r="V1014" s="72"/>
      <c r="W1014" s="65"/>
      <c r="X1014" s="63" t="str">
        <f t="shared" si="45"/>
        <v/>
      </c>
      <c r="Y1014" s="63" t="str">
        <f t="shared" si="46"/>
        <v/>
      </c>
      <c r="Z1014" s="63" t="str">
        <f t="shared" si="47"/>
        <v/>
      </c>
      <c r="AA1014" s="63" t="str">
        <f>TEXT(Table111[[#This Row],[YEAR]],"0000")&amp;"-"&amp;Table111[[#This Row],[MONTH]]</f>
        <v>-</v>
      </c>
    </row>
    <row r="1015" spans="2:27" x14ac:dyDescent="0.3">
      <c r="B1015" s="68"/>
      <c r="C1015" s="68"/>
      <c r="D1015" s="68"/>
      <c r="E1015" s="71"/>
      <c r="F1015" s="72"/>
      <c r="G1015" s="70"/>
      <c r="H1015" s="74"/>
      <c r="I1015" s="70"/>
      <c r="J1015" s="70"/>
      <c r="K1015" s="70"/>
      <c r="L1015" s="74"/>
      <c r="M1015" s="123"/>
      <c r="N1015" s="73"/>
      <c r="O1015" s="236"/>
      <c r="P1015" s="117"/>
      <c r="Q1015" s="117"/>
      <c r="R1015" s="156" t="str">
        <f>IF(Table111[[#This Row],[Qty]]="","",Table111[[#This Row],[Qty]]*Table111[[#This Row],[Unit Price]])</f>
        <v/>
      </c>
      <c r="S1015" s="156" t="str">
        <f>IF(Table111[[#This Row],[Qty]]="","",Table111[[#This Row],[Qty]]*Table111[[#This Row],[Unit Price]]+Table111[[#This Row],[Delivery Cost]])</f>
        <v/>
      </c>
      <c r="T1015" s="72"/>
      <c r="U1015" s="72"/>
      <c r="V1015" s="72"/>
      <c r="W1015" s="219"/>
      <c r="X1015" s="63" t="str">
        <f t="shared" si="45"/>
        <v/>
      </c>
      <c r="Y1015" s="63" t="str">
        <f t="shared" si="46"/>
        <v/>
      </c>
      <c r="Z1015" s="63" t="str">
        <f t="shared" si="47"/>
        <v/>
      </c>
      <c r="AA1015" s="63" t="str">
        <f>TEXT(Table111[[#This Row],[YEAR]],"0000")&amp;"-"&amp;Table111[[#This Row],[MONTH]]</f>
        <v>-</v>
      </c>
    </row>
    <row r="1016" spans="2:27" x14ac:dyDescent="0.3">
      <c r="B1016" s="183"/>
      <c r="C1016" s="183"/>
      <c r="D1016" s="183"/>
      <c r="E1016" s="71"/>
      <c r="F1016" s="72"/>
      <c r="G1016" s="70"/>
      <c r="H1016" s="74"/>
      <c r="I1016" s="70"/>
      <c r="J1016" s="70"/>
      <c r="K1016" s="70"/>
      <c r="L1016" s="74"/>
      <c r="M1016" s="123"/>
      <c r="N1016" s="73"/>
      <c r="O1016" s="236"/>
      <c r="P1016" s="117"/>
      <c r="Q1016" s="117"/>
      <c r="R1016" s="156" t="str">
        <f>IF(Table111[[#This Row],[Qty]]="","",Table111[[#This Row],[Qty]]*Table111[[#This Row],[Unit Price]])</f>
        <v/>
      </c>
      <c r="S1016" s="156" t="str">
        <f>IF(Table111[[#This Row],[Qty]]="","",Table111[[#This Row],[Qty]]*Table111[[#This Row],[Unit Price]]+Table111[[#This Row],[Delivery Cost]])</f>
        <v/>
      </c>
      <c r="T1016" s="72"/>
      <c r="U1016" s="72"/>
      <c r="V1016" s="72"/>
      <c r="W1016" s="65"/>
      <c r="X1016" s="63" t="str">
        <f t="shared" si="45"/>
        <v/>
      </c>
      <c r="Y1016" s="63" t="str">
        <f t="shared" si="46"/>
        <v/>
      </c>
      <c r="Z1016" s="63" t="str">
        <f t="shared" si="47"/>
        <v/>
      </c>
      <c r="AA1016" s="63" t="str">
        <f>TEXT(Table111[[#This Row],[YEAR]],"0000")&amp;"-"&amp;Table111[[#This Row],[MONTH]]</f>
        <v>-</v>
      </c>
    </row>
    <row r="1017" spans="2:27" x14ac:dyDescent="0.3">
      <c r="B1017" s="68"/>
      <c r="C1017" s="68"/>
      <c r="D1017" s="68"/>
      <c r="E1017" s="71"/>
      <c r="F1017" s="72"/>
      <c r="G1017" s="70"/>
      <c r="H1017" s="74"/>
      <c r="I1017" s="70"/>
      <c r="J1017" s="70"/>
      <c r="K1017" s="70"/>
      <c r="L1017" s="74"/>
      <c r="M1017" s="123"/>
      <c r="N1017" s="73"/>
      <c r="O1017" s="236"/>
      <c r="P1017" s="117"/>
      <c r="Q1017" s="117"/>
      <c r="R1017" s="156" t="str">
        <f>IF(Table111[[#This Row],[Qty]]="","",Table111[[#This Row],[Qty]]*Table111[[#This Row],[Unit Price]])</f>
        <v/>
      </c>
      <c r="S1017" s="156" t="str">
        <f>IF(Table111[[#This Row],[Qty]]="","",Table111[[#This Row],[Qty]]*Table111[[#This Row],[Unit Price]]+Table111[[#This Row],[Delivery Cost]])</f>
        <v/>
      </c>
      <c r="T1017" s="72"/>
      <c r="U1017" s="72"/>
      <c r="V1017" s="72"/>
      <c r="W1017" s="219"/>
      <c r="X1017" s="63" t="str">
        <f t="shared" si="45"/>
        <v/>
      </c>
      <c r="Y1017" s="63" t="str">
        <f t="shared" si="46"/>
        <v/>
      </c>
      <c r="Z1017" s="63" t="str">
        <f t="shared" si="47"/>
        <v/>
      </c>
      <c r="AA1017" s="63" t="str">
        <f>TEXT(Table111[[#This Row],[YEAR]],"0000")&amp;"-"&amp;Table111[[#This Row],[MONTH]]</f>
        <v>-</v>
      </c>
    </row>
    <row r="1018" spans="2:27" x14ac:dyDescent="0.3">
      <c r="B1018" s="183"/>
      <c r="C1018" s="183"/>
      <c r="D1018" s="183"/>
      <c r="E1018" s="71"/>
      <c r="F1018" s="72"/>
      <c r="G1018" s="70"/>
      <c r="H1018" s="74"/>
      <c r="I1018" s="70"/>
      <c r="J1018" s="70"/>
      <c r="K1018" s="70"/>
      <c r="L1018" s="74"/>
      <c r="M1018" s="123"/>
      <c r="N1018" s="73"/>
      <c r="O1018" s="236"/>
      <c r="P1018" s="117"/>
      <c r="Q1018" s="117"/>
      <c r="R1018" s="156" t="str">
        <f>IF(Table111[[#This Row],[Qty]]="","",Table111[[#This Row],[Qty]]*Table111[[#This Row],[Unit Price]])</f>
        <v/>
      </c>
      <c r="S1018" s="156" t="str">
        <f>IF(Table111[[#This Row],[Qty]]="","",Table111[[#This Row],[Qty]]*Table111[[#This Row],[Unit Price]]+Table111[[#This Row],[Delivery Cost]])</f>
        <v/>
      </c>
      <c r="T1018" s="72"/>
      <c r="U1018" s="72"/>
      <c r="V1018" s="72"/>
      <c r="W1018" s="65"/>
      <c r="X1018" s="63" t="str">
        <f t="shared" si="45"/>
        <v/>
      </c>
      <c r="Y1018" s="63" t="str">
        <f t="shared" si="46"/>
        <v/>
      </c>
      <c r="Z1018" s="63" t="str">
        <f t="shared" si="47"/>
        <v/>
      </c>
      <c r="AA1018" s="63" t="str">
        <f>TEXT(Table111[[#This Row],[YEAR]],"0000")&amp;"-"&amp;Table111[[#This Row],[MONTH]]</f>
        <v>-</v>
      </c>
    </row>
    <row r="1019" spans="2:27" x14ac:dyDescent="0.3">
      <c r="B1019" s="68"/>
      <c r="C1019" s="68"/>
      <c r="D1019" s="68"/>
      <c r="E1019" s="71"/>
      <c r="F1019" s="72"/>
      <c r="G1019" s="70"/>
      <c r="H1019" s="74"/>
      <c r="I1019" s="70"/>
      <c r="J1019" s="70"/>
      <c r="K1019" s="70"/>
      <c r="L1019" s="74"/>
      <c r="M1019" s="123"/>
      <c r="N1019" s="73"/>
      <c r="O1019" s="236"/>
      <c r="P1019" s="117"/>
      <c r="Q1019" s="117"/>
      <c r="R1019" s="156" t="str">
        <f>IF(Table111[[#This Row],[Qty]]="","",Table111[[#This Row],[Qty]]*Table111[[#This Row],[Unit Price]])</f>
        <v/>
      </c>
      <c r="S1019" s="156" t="str">
        <f>IF(Table111[[#This Row],[Qty]]="","",Table111[[#This Row],[Qty]]*Table111[[#This Row],[Unit Price]]+Table111[[#This Row],[Delivery Cost]])</f>
        <v/>
      </c>
      <c r="T1019" s="72"/>
      <c r="U1019" s="72"/>
      <c r="V1019" s="72"/>
      <c r="W1019" s="219"/>
      <c r="X1019" s="63" t="str">
        <f t="shared" si="45"/>
        <v/>
      </c>
      <c r="Y1019" s="63" t="str">
        <f t="shared" si="46"/>
        <v/>
      </c>
      <c r="Z1019" s="63" t="str">
        <f t="shared" si="47"/>
        <v/>
      </c>
      <c r="AA1019" s="63" t="str">
        <f>TEXT(Table111[[#This Row],[YEAR]],"0000")&amp;"-"&amp;Table111[[#This Row],[MONTH]]</f>
        <v>-</v>
      </c>
    </row>
    <row r="1020" spans="2:27" x14ac:dyDescent="0.3">
      <c r="B1020" s="183"/>
      <c r="C1020" s="183"/>
      <c r="D1020" s="183"/>
      <c r="E1020" s="71"/>
      <c r="F1020" s="72"/>
      <c r="G1020" s="70"/>
      <c r="H1020" s="74"/>
      <c r="I1020" s="70"/>
      <c r="J1020" s="70"/>
      <c r="K1020" s="70"/>
      <c r="L1020" s="74"/>
      <c r="M1020" s="123"/>
      <c r="N1020" s="73"/>
      <c r="O1020" s="236"/>
      <c r="P1020" s="117"/>
      <c r="Q1020" s="117"/>
      <c r="R1020" s="156" t="str">
        <f>IF(Table111[[#This Row],[Qty]]="","",Table111[[#This Row],[Qty]]*Table111[[#This Row],[Unit Price]])</f>
        <v/>
      </c>
      <c r="S1020" s="156" t="str">
        <f>IF(Table111[[#This Row],[Qty]]="","",Table111[[#This Row],[Qty]]*Table111[[#This Row],[Unit Price]]+Table111[[#This Row],[Delivery Cost]])</f>
        <v/>
      </c>
      <c r="T1020" s="72"/>
      <c r="U1020" s="72"/>
      <c r="V1020" s="72"/>
      <c r="W1020" s="65"/>
      <c r="X1020" s="63" t="str">
        <f t="shared" si="45"/>
        <v/>
      </c>
      <c r="Y1020" s="63" t="str">
        <f t="shared" si="46"/>
        <v/>
      </c>
      <c r="Z1020" s="63" t="str">
        <f t="shared" si="47"/>
        <v/>
      </c>
      <c r="AA1020" s="63" t="str">
        <f>TEXT(Table111[[#This Row],[YEAR]],"0000")&amp;"-"&amp;Table111[[#This Row],[MONTH]]</f>
        <v>-</v>
      </c>
    </row>
    <row r="1021" spans="2:27" x14ac:dyDescent="0.3">
      <c r="B1021" s="68"/>
      <c r="C1021" s="68"/>
      <c r="D1021" s="68"/>
      <c r="E1021" s="71"/>
      <c r="F1021" s="72"/>
      <c r="G1021" s="70"/>
      <c r="H1021" s="74"/>
      <c r="I1021" s="70"/>
      <c r="J1021" s="70"/>
      <c r="K1021" s="70"/>
      <c r="L1021" s="74"/>
      <c r="M1021" s="123"/>
      <c r="N1021" s="73"/>
      <c r="O1021" s="236"/>
      <c r="P1021" s="117"/>
      <c r="Q1021" s="117"/>
      <c r="R1021" s="156" t="str">
        <f>IF(Table111[[#This Row],[Qty]]="","",Table111[[#This Row],[Qty]]*Table111[[#This Row],[Unit Price]])</f>
        <v/>
      </c>
      <c r="S1021" s="156" t="str">
        <f>IF(Table111[[#This Row],[Qty]]="","",Table111[[#This Row],[Qty]]*Table111[[#This Row],[Unit Price]]+Table111[[#This Row],[Delivery Cost]])</f>
        <v/>
      </c>
      <c r="T1021" s="72"/>
      <c r="U1021" s="72"/>
      <c r="V1021" s="72"/>
      <c r="W1021" s="219"/>
      <c r="X1021" s="63" t="str">
        <f t="shared" si="45"/>
        <v/>
      </c>
      <c r="Y1021" s="63" t="str">
        <f t="shared" si="46"/>
        <v/>
      </c>
      <c r="Z1021" s="63" t="str">
        <f t="shared" si="47"/>
        <v/>
      </c>
      <c r="AA1021" s="63" t="str">
        <f>TEXT(Table111[[#This Row],[YEAR]],"0000")&amp;"-"&amp;Table111[[#This Row],[MONTH]]</f>
        <v>-</v>
      </c>
    </row>
    <row r="1022" spans="2:27" x14ac:dyDescent="0.3">
      <c r="B1022" s="183"/>
      <c r="C1022" s="183"/>
      <c r="D1022" s="183"/>
      <c r="E1022" s="71"/>
      <c r="F1022" s="72"/>
      <c r="G1022" s="70"/>
      <c r="H1022" s="74"/>
      <c r="I1022" s="70"/>
      <c r="J1022" s="70"/>
      <c r="K1022" s="70"/>
      <c r="L1022" s="74"/>
      <c r="M1022" s="123"/>
      <c r="N1022" s="73"/>
      <c r="O1022" s="236"/>
      <c r="P1022" s="117"/>
      <c r="Q1022" s="117"/>
      <c r="R1022" s="156" t="str">
        <f>IF(Table111[[#This Row],[Qty]]="","",Table111[[#This Row],[Qty]]*Table111[[#This Row],[Unit Price]])</f>
        <v/>
      </c>
      <c r="S1022" s="156" t="str">
        <f>IF(Table111[[#This Row],[Qty]]="","",Table111[[#This Row],[Qty]]*Table111[[#This Row],[Unit Price]]+Table111[[#This Row],[Delivery Cost]])</f>
        <v/>
      </c>
      <c r="T1022" s="72"/>
      <c r="U1022" s="72"/>
      <c r="V1022" s="72"/>
      <c r="W1022" s="65"/>
      <c r="X1022" s="63" t="str">
        <f t="shared" si="45"/>
        <v/>
      </c>
      <c r="Y1022" s="63" t="str">
        <f t="shared" si="46"/>
        <v/>
      </c>
      <c r="Z1022" s="63" t="str">
        <f t="shared" si="47"/>
        <v/>
      </c>
      <c r="AA1022" s="63" t="str">
        <f>TEXT(Table111[[#This Row],[YEAR]],"0000")&amp;"-"&amp;Table111[[#This Row],[MONTH]]</f>
        <v>-</v>
      </c>
    </row>
    <row r="1023" spans="2:27" x14ac:dyDescent="0.3">
      <c r="B1023" s="68"/>
      <c r="C1023" s="68"/>
      <c r="D1023" s="68"/>
      <c r="E1023" s="71"/>
      <c r="F1023" s="72"/>
      <c r="G1023" s="70"/>
      <c r="H1023" s="74"/>
      <c r="I1023" s="70"/>
      <c r="J1023" s="70"/>
      <c r="K1023" s="70"/>
      <c r="L1023" s="74"/>
      <c r="M1023" s="123"/>
      <c r="N1023" s="73"/>
      <c r="O1023" s="236"/>
      <c r="P1023" s="117"/>
      <c r="Q1023" s="117"/>
      <c r="R1023" s="156" t="str">
        <f>IF(Table111[[#This Row],[Qty]]="","",Table111[[#This Row],[Qty]]*Table111[[#This Row],[Unit Price]])</f>
        <v/>
      </c>
      <c r="S1023" s="156" t="str">
        <f>IF(Table111[[#This Row],[Qty]]="","",Table111[[#This Row],[Qty]]*Table111[[#This Row],[Unit Price]]+Table111[[#This Row],[Delivery Cost]])</f>
        <v/>
      </c>
      <c r="T1023" s="72"/>
      <c r="U1023" s="72"/>
      <c r="V1023" s="72"/>
      <c r="W1023" s="219"/>
      <c r="X1023" s="63" t="str">
        <f t="shared" si="45"/>
        <v/>
      </c>
      <c r="Y1023" s="63" t="str">
        <f t="shared" si="46"/>
        <v/>
      </c>
      <c r="Z1023" s="63" t="str">
        <f t="shared" si="47"/>
        <v/>
      </c>
      <c r="AA1023" s="63" t="str">
        <f>TEXT(Table111[[#This Row],[YEAR]],"0000")&amp;"-"&amp;Table111[[#This Row],[MONTH]]</f>
        <v>-</v>
      </c>
    </row>
    <row r="1024" spans="2:27" x14ac:dyDescent="0.3">
      <c r="B1024" s="183"/>
      <c r="C1024" s="183"/>
      <c r="D1024" s="183"/>
      <c r="E1024" s="71"/>
      <c r="F1024" s="72"/>
      <c r="G1024" s="70"/>
      <c r="H1024" s="74"/>
      <c r="I1024" s="70"/>
      <c r="J1024" s="70"/>
      <c r="K1024" s="70"/>
      <c r="L1024" s="74"/>
      <c r="M1024" s="123"/>
      <c r="N1024" s="73"/>
      <c r="O1024" s="236"/>
      <c r="P1024" s="117"/>
      <c r="Q1024" s="117"/>
      <c r="R1024" s="156" t="str">
        <f>IF(Table111[[#This Row],[Qty]]="","",Table111[[#This Row],[Qty]]*Table111[[#This Row],[Unit Price]])</f>
        <v/>
      </c>
      <c r="S1024" s="156" t="str">
        <f>IF(Table111[[#This Row],[Qty]]="","",Table111[[#This Row],[Qty]]*Table111[[#This Row],[Unit Price]]+Table111[[#This Row],[Delivery Cost]])</f>
        <v/>
      </c>
      <c r="T1024" s="72"/>
      <c r="U1024" s="72"/>
      <c r="V1024" s="72"/>
      <c r="W1024" s="65"/>
      <c r="X1024" s="63" t="str">
        <f t="shared" si="45"/>
        <v/>
      </c>
      <c r="Y1024" s="63" t="str">
        <f t="shared" si="46"/>
        <v/>
      </c>
      <c r="Z1024" s="63" t="str">
        <f t="shared" si="47"/>
        <v/>
      </c>
      <c r="AA1024" s="63" t="str">
        <f>TEXT(Table111[[#This Row],[YEAR]],"0000")&amp;"-"&amp;Table111[[#This Row],[MONTH]]</f>
        <v>-</v>
      </c>
    </row>
    <row r="1025" spans="2:27" x14ac:dyDescent="0.3">
      <c r="B1025" s="68"/>
      <c r="C1025" s="68"/>
      <c r="D1025" s="68"/>
      <c r="E1025" s="71"/>
      <c r="F1025" s="72"/>
      <c r="G1025" s="70"/>
      <c r="H1025" s="74"/>
      <c r="I1025" s="70"/>
      <c r="J1025" s="70"/>
      <c r="K1025" s="70"/>
      <c r="L1025" s="74"/>
      <c r="M1025" s="123"/>
      <c r="N1025" s="73"/>
      <c r="O1025" s="236"/>
      <c r="P1025" s="117"/>
      <c r="Q1025" s="117"/>
      <c r="R1025" s="156" t="str">
        <f>IF(Table111[[#This Row],[Qty]]="","",Table111[[#This Row],[Qty]]*Table111[[#This Row],[Unit Price]])</f>
        <v/>
      </c>
      <c r="S1025" s="156" t="str">
        <f>IF(Table111[[#This Row],[Qty]]="","",Table111[[#This Row],[Qty]]*Table111[[#This Row],[Unit Price]]+Table111[[#This Row],[Delivery Cost]])</f>
        <v/>
      </c>
      <c r="T1025" s="72"/>
      <c r="U1025" s="72"/>
      <c r="V1025" s="72"/>
      <c r="W1025" s="219"/>
      <c r="X1025" s="63" t="str">
        <f t="shared" si="45"/>
        <v/>
      </c>
      <c r="Y1025" s="63" t="str">
        <f t="shared" si="46"/>
        <v/>
      </c>
      <c r="Z1025" s="63" t="str">
        <f t="shared" si="47"/>
        <v/>
      </c>
      <c r="AA1025" s="63" t="str">
        <f>TEXT(Table111[[#This Row],[YEAR]],"0000")&amp;"-"&amp;Table111[[#This Row],[MONTH]]</f>
        <v>-</v>
      </c>
    </row>
    <row r="1026" spans="2:27" x14ac:dyDescent="0.3">
      <c r="B1026" s="183"/>
      <c r="C1026" s="183"/>
      <c r="D1026" s="183"/>
      <c r="E1026" s="71"/>
      <c r="F1026" s="72"/>
      <c r="G1026" s="70"/>
      <c r="H1026" s="74"/>
      <c r="I1026" s="70"/>
      <c r="J1026" s="70"/>
      <c r="K1026" s="70"/>
      <c r="L1026" s="74"/>
      <c r="M1026" s="123"/>
      <c r="N1026" s="73"/>
      <c r="O1026" s="236"/>
      <c r="P1026" s="117"/>
      <c r="Q1026" s="117"/>
      <c r="R1026" s="156" t="str">
        <f>IF(Table111[[#This Row],[Qty]]="","",Table111[[#This Row],[Qty]]*Table111[[#This Row],[Unit Price]])</f>
        <v/>
      </c>
      <c r="S1026" s="156" t="str">
        <f>IF(Table111[[#This Row],[Qty]]="","",Table111[[#This Row],[Qty]]*Table111[[#This Row],[Unit Price]]+Table111[[#This Row],[Delivery Cost]])</f>
        <v/>
      </c>
      <c r="T1026" s="72"/>
      <c r="U1026" s="72"/>
      <c r="V1026" s="72"/>
      <c r="W1026" s="65"/>
      <c r="X1026" s="63" t="str">
        <f t="shared" si="45"/>
        <v/>
      </c>
      <c r="Y1026" s="63" t="str">
        <f t="shared" si="46"/>
        <v/>
      </c>
      <c r="Z1026" s="63" t="str">
        <f t="shared" si="47"/>
        <v/>
      </c>
      <c r="AA1026" s="63" t="str">
        <f>TEXT(Table111[[#This Row],[YEAR]],"0000")&amp;"-"&amp;Table111[[#This Row],[MONTH]]</f>
        <v>-</v>
      </c>
    </row>
    <row r="1027" spans="2:27" x14ac:dyDescent="0.3">
      <c r="B1027" s="68"/>
      <c r="C1027" s="68"/>
      <c r="D1027" s="68"/>
      <c r="E1027" s="71"/>
      <c r="F1027" s="72"/>
      <c r="G1027" s="70"/>
      <c r="H1027" s="74"/>
      <c r="I1027" s="70"/>
      <c r="J1027" s="70"/>
      <c r="K1027" s="70"/>
      <c r="L1027" s="74"/>
      <c r="M1027" s="123"/>
      <c r="N1027" s="73"/>
      <c r="O1027" s="236"/>
      <c r="P1027" s="117"/>
      <c r="Q1027" s="117"/>
      <c r="R1027" s="156" t="str">
        <f>IF(Table111[[#This Row],[Qty]]="","",Table111[[#This Row],[Qty]]*Table111[[#This Row],[Unit Price]])</f>
        <v/>
      </c>
      <c r="S1027" s="156" t="str">
        <f>IF(Table111[[#This Row],[Qty]]="","",Table111[[#This Row],[Qty]]*Table111[[#This Row],[Unit Price]]+Table111[[#This Row],[Delivery Cost]])</f>
        <v/>
      </c>
      <c r="T1027" s="72"/>
      <c r="U1027" s="72"/>
      <c r="V1027" s="72"/>
      <c r="W1027" s="219"/>
      <c r="X1027" s="63" t="str">
        <f t="shared" ref="X1027:X1090" si="48">IF(E1027=0,"",YEAR(E1027))</f>
        <v/>
      </c>
      <c r="Y1027" s="63" t="str">
        <f t="shared" ref="Y1027:Y1090" si="49">IF(E1027=0,"",MONTH(E1027))</f>
        <v/>
      </c>
      <c r="Z1027" s="63" t="str">
        <f t="shared" ref="Z1027:Z1090" si="50">IF(E1027=0,"",WEEKNUM(E1027))</f>
        <v/>
      </c>
      <c r="AA1027" s="63" t="str">
        <f>TEXT(Table111[[#This Row],[YEAR]],"0000")&amp;"-"&amp;Table111[[#This Row],[MONTH]]</f>
        <v>-</v>
      </c>
    </row>
    <row r="1028" spans="2:27" x14ac:dyDescent="0.3">
      <c r="B1028" s="183"/>
      <c r="C1028" s="183"/>
      <c r="D1028" s="183"/>
      <c r="E1028" s="71"/>
      <c r="F1028" s="72"/>
      <c r="G1028" s="70"/>
      <c r="H1028" s="74"/>
      <c r="I1028" s="70"/>
      <c r="J1028" s="70"/>
      <c r="K1028" s="70"/>
      <c r="L1028" s="74"/>
      <c r="M1028" s="123"/>
      <c r="N1028" s="73"/>
      <c r="O1028" s="236"/>
      <c r="P1028" s="117"/>
      <c r="Q1028" s="117"/>
      <c r="R1028" s="156" t="str">
        <f>IF(Table111[[#This Row],[Qty]]="","",Table111[[#This Row],[Qty]]*Table111[[#This Row],[Unit Price]])</f>
        <v/>
      </c>
      <c r="S1028" s="156" t="str">
        <f>IF(Table111[[#This Row],[Qty]]="","",Table111[[#This Row],[Qty]]*Table111[[#This Row],[Unit Price]]+Table111[[#This Row],[Delivery Cost]])</f>
        <v/>
      </c>
      <c r="T1028" s="72"/>
      <c r="U1028" s="72"/>
      <c r="V1028" s="72"/>
      <c r="W1028" s="65"/>
      <c r="X1028" s="63" t="str">
        <f t="shared" si="48"/>
        <v/>
      </c>
      <c r="Y1028" s="63" t="str">
        <f t="shared" si="49"/>
        <v/>
      </c>
      <c r="Z1028" s="63" t="str">
        <f t="shared" si="50"/>
        <v/>
      </c>
      <c r="AA1028" s="63" t="str">
        <f>TEXT(Table111[[#This Row],[YEAR]],"0000")&amp;"-"&amp;Table111[[#This Row],[MONTH]]</f>
        <v>-</v>
      </c>
    </row>
    <row r="1029" spans="2:27" x14ac:dyDescent="0.3">
      <c r="B1029" s="68"/>
      <c r="C1029" s="68"/>
      <c r="D1029" s="68"/>
      <c r="E1029" s="71"/>
      <c r="F1029" s="72"/>
      <c r="G1029" s="70"/>
      <c r="H1029" s="74"/>
      <c r="I1029" s="70"/>
      <c r="J1029" s="70"/>
      <c r="K1029" s="70"/>
      <c r="L1029" s="74"/>
      <c r="M1029" s="123"/>
      <c r="N1029" s="73"/>
      <c r="O1029" s="236"/>
      <c r="P1029" s="117"/>
      <c r="Q1029" s="117"/>
      <c r="R1029" s="156" t="str">
        <f>IF(Table111[[#This Row],[Qty]]="","",Table111[[#This Row],[Qty]]*Table111[[#This Row],[Unit Price]])</f>
        <v/>
      </c>
      <c r="S1029" s="156" t="str">
        <f>IF(Table111[[#This Row],[Qty]]="","",Table111[[#This Row],[Qty]]*Table111[[#This Row],[Unit Price]]+Table111[[#This Row],[Delivery Cost]])</f>
        <v/>
      </c>
      <c r="T1029" s="72"/>
      <c r="U1029" s="72"/>
      <c r="V1029" s="72"/>
      <c r="W1029" s="219"/>
      <c r="X1029" s="63" t="str">
        <f t="shared" si="48"/>
        <v/>
      </c>
      <c r="Y1029" s="63" t="str">
        <f t="shared" si="49"/>
        <v/>
      </c>
      <c r="Z1029" s="63" t="str">
        <f t="shared" si="50"/>
        <v/>
      </c>
      <c r="AA1029" s="63" t="str">
        <f>TEXT(Table111[[#This Row],[YEAR]],"0000")&amp;"-"&amp;Table111[[#This Row],[MONTH]]</f>
        <v>-</v>
      </c>
    </row>
    <row r="1030" spans="2:27" x14ac:dyDescent="0.3">
      <c r="B1030" s="183"/>
      <c r="C1030" s="183"/>
      <c r="D1030" s="183"/>
      <c r="E1030" s="71"/>
      <c r="F1030" s="72"/>
      <c r="G1030" s="70"/>
      <c r="H1030" s="74"/>
      <c r="I1030" s="70"/>
      <c r="J1030" s="70"/>
      <c r="K1030" s="70"/>
      <c r="L1030" s="74"/>
      <c r="M1030" s="123"/>
      <c r="N1030" s="73"/>
      <c r="O1030" s="236"/>
      <c r="P1030" s="117"/>
      <c r="Q1030" s="117"/>
      <c r="R1030" s="156" t="str">
        <f>IF(Table111[[#This Row],[Qty]]="","",Table111[[#This Row],[Qty]]*Table111[[#This Row],[Unit Price]])</f>
        <v/>
      </c>
      <c r="S1030" s="156" t="str">
        <f>IF(Table111[[#This Row],[Qty]]="","",Table111[[#This Row],[Qty]]*Table111[[#This Row],[Unit Price]]+Table111[[#This Row],[Delivery Cost]])</f>
        <v/>
      </c>
      <c r="T1030" s="72"/>
      <c r="U1030" s="72"/>
      <c r="V1030" s="72"/>
      <c r="W1030" s="65"/>
      <c r="X1030" s="63" t="str">
        <f t="shared" si="48"/>
        <v/>
      </c>
      <c r="Y1030" s="63" t="str">
        <f t="shared" si="49"/>
        <v/>
      </c>
      <c r="Z1030" s="63" t="str">
        <f t="shared" si="50"/>
        <v/>
      </c>
      <c r="AA1030" s="63" t="str">
        <f>TEXT(Table111[[#This Row],[YEAR]],"0000")&amp;"-"&amp;Table111[[#This Row],[MONTH]]</f>
        <v>-</v>
      </c>
    </row>
    <row r="1031" spans="2:27" x14ac:dyDescent="0.3">
      <c r="B1031" s="68"/>
      <c r="C1031" s="68"/>
      <c r="D1031" s="68"/>
      <c r="E1031" s="71"/>
      <c r="F1031" s="72"/>
      <c r="G1031" s="70"/>
      <c r="H1031" s="74"/>
      <c r="I1031" s="70"/>
      <c r="J1031" s="70"/>
      <c r="K1031" s="70"/>
      <c r="L1031" s="74"/>
      <c r="M1031" s="123"/>
      <c r="N1031" s="73"/>
      <c r="O1031" s="236"/>
      <c r="P1031" s="117"/>
      <c r="Q1031" s="117"/>
      <c r="R1031" s="156" t="str">
        <f>IF(Table111[[#This Row],[Qty]]="","",Table111[[#This Row],[Qty]]*Table111[[#This Row],[Unit Price]])</f>
        <v/>
      </c>
      <c r="S1031" s="156" t="str">
        <f>IF(Table111[[#This Row],[Qty]]="","",Table111[[#This Row],[Qty]]*Table111[[#This Row],[Unit Price]]+Table111[[#This Row],[Delivery Cost]])</f>
        <v/>
      </c>
      <c r="T1031" s="72"/>
      <c r="U1031" s="72"/>
      <c r="V1031" s="72"/>
      <c r="W1031" s="219"/>
      <c r="X1031" s="63" t="str">
        <f t="shared" si="48"/>
        <v/>
      </c>
      <c r="Y1031" s="63" t="str">
        <f t="shared" si="49"/>
        <v/>
      </c>
      <c r="Z1031" s="63" t="str">
        <f t="shared" si="50"/>
        <v/>
      </c>
      <c r="AA1031" s="63" t="str">
        <f>TEXT(Table111[[#This Row],[YEAR]],"0000")&amp;"-"&amp;Table111[[#This Row],[MONTH]]</f>
        <v>-</v>
      </c>
    </row>
    <row r="1032" spans="2:27" x14ac:dyDescent="0.3">
      <c r="B1032" s="183"/>
      <c r="C1032" s="183"/>
      <c r="D1032" s="183"/>
      <c r="E1032" s="71"/>
      <c r="F1032" s="72"/>
      <c r="G1032" s="70"/>
      <c r="H1032" s="74"/>
      <c r="I1032" s="70"/>
      <c r="J1032" s="70"/>
      <c r="K1032" s="70"/>
      <c r="L1032" s="74"/>
      <c r="M1032" s="123"/>
      <c r="N1032" s="73"/>
      <c r="O1032" s="236"/>
      <c r="P1032" s="117"/>
      <c r="Q1032" s="117"/>
      <c r="R1032" s="156" t="str">
        <f>IF(Table111[[#This Row],[Qty]]="","",Table111[[#This Row],[Qty]]*Table111[[#This Row],[Unit Price]])</f>
        <v/>
      </c>
      <c r="S1032" s="156" t="str">
        <f>IF(Table111[[#This Row],[Qty]]="","",Table111[[#This Row],[Qty]]*Table111[[#This Row],[Unit Price]]+Table111[[#This Row],[Delivery Cost]])</f>
        <v/>
      </c>
      <c r="T1032" s="72"/>
      <c r="U1032" s="72"/>
      <c r="V1032" s="72"/>
      <c r="W1032" s="65"/>
      <c r="X1032" s="63" t="str">
        <f t="shared" si="48"/>
        <v/>
      </c>
      <c r="Y1032" s="63" t="str">
        <f t="shared" si="49"/>
        <v/>
      </c>
      <c r="Z1032" s="63" t="str">
        <f t="shared" si="50"/>
        <v/>
      </c>
      <c r="AA1032" s="63" t="str">
        <f>TEXT(Table111[[#This Row],[YEAR]],"0000")&amp;"-"&amp;Table111[[#This Row],[MONTH]]</f>
        <v>-</v>
      </c>
    </row>
    <row r="1033" spans="2:27" x14ac:dyDescent="0.3">
      <c r="B1033" s="68"/>
      <c r="C1033" s="68"/>
      <c r="D1033" s="68"/>
      <c r="E1033" s="71"/>
      <c r="F1033" s="72"/>
      <c r="G1033" s="70"/>
      <c r="H1033" s="74"/>
      <c r="I1033" s="70"/>
      <c r="J1033" s="70"/>
      <c r="K1033" s="70"/>
      <c r="L1033" s="74"/>
      <c r="M1033" s="123"/>
      <c r="N1033" s="73"/>
      <c r="O1033" s="236"/>
      <c r="P1033" s="117"/>
      <c r="Q1033" s="117"/>
      <c r="R1033" s="156" t="str">
        <f>IF(Table111[[#This Row],[Qty]]="","",Table111[[#This Row],[Qty]]*Table111[[#This Row],[Unit Price]])</f>
        <v/>
      </c>
      <c r="S1033" s="156" t="str">
        <f>IF(Table111[[#This Row],[Qty]]="","",Table111[[#This Row],[Qty]]*Table111[[#This Row],[Unit Price]]+Table111[[#This Row],[Delivery Cost]])</f>
        <v/>
      </c>
      <c r="T1033" s="72"/>
      <c r="U1033" s="72"/>
      <c r="V1033" s="72"/>
      <c r="W1033" s="219"/>
      <c r="X1033" s="63" t="str">
        <f t="shared" si="48"/>
        <v/>
      </c>
      <c r="Y1033" s="63" t="str">
        <f t="shared" si="49"/>
        <v/>
      </c>
      <c r="Z1033" s="63" t="str">
        <f t="shared" si="50"/>
        <v/>
      </c>
      <c r="AA1033" s="63" t="str">
        <f>TEXT(Table111[[#This Row],[YEAR]],"0000")&amp;"-"&amp;Table111[[#This Row],[MONTH]]</f>
        <v>-</v>
      </c>
    </row>
    <row r="1034" spans="2:27" x14ac:dyDescent="0.3">
      <c r="B1034" s="183"/>
      <c r="C1034" s="183"/>
      <c r="D1034" s="183"/>
      <c r="E1034" s="71"/>
      <c r="F1034" s="72"/>
      <c r="G1034" s="70"/>
      <c r="H1034" s="74"/>
      <c r="I1034" s="70"/>
      <c r="J1034" s="70"/>
      <c r="K1034" s="70"/>
      <c r="L1034" s="74"/>
      <c r="M1034" s="123"/>
      <c r="N1034" s="73"/>
      <c r="O1034" s="236"/>
      <c r="P1034" s="117"/>
      <c r="Q1034" s="117"/>
      <c r="R1034" s="156" t="str">
        <f>IF(Table111[[#This Row],[Qty]]="","",Table111[[#This Row],[Qty]]*Table111[[#This Row],[Unit Price]])</f>
        <v/>
      </c>
      <c r="S1034" s="156" t="str">
        <f>IF(Table111[[#This Row],[Qty]]="","",Table111[[#This Row],[Qty]]*Table111[[#This Row],[Unit Price]]+Table111[[#This Row],[Delivery Cost]])</f>
        <v/>
      </c>
      <c r="T1034" s="72"/>
      <c r="U1034" s="72"/>
      <c r="V1034" s="72"/>
      <c r="W1034" s="65"/>
      <c r="X1034" s="63" t="str">
        <f t="shared" si="48"/>
        <v/>
      </c>
      <c r="Y1034" s="63" t="str">
        <f t="shared" si="49"/>
        <v/>
      </c>
      <c r="Z1034" s="63" t="str">
        <f t="shared" si="50"/>
        <v/>
      </c>
      <c r="AA1034" s="63" t="str">
        <f>TEXT(Table111[[#This Row],[YEAR]],"0000")&amp;"-"&amp;Table111[[#This Row],[MONTH]]</f>
        <v>-</v>
      </c>
    </row>
    <row r="1035" spans="2:27" x14ac:dyDescent="0.3">
      <c r="B1035" s="68"/>
      <c r="C1035" s="68"/>
      <c r="D1035" s="68"/>
      <c r="E1035" s="71"/>
      <c r="F1035" s="72"/>
      <c r="G1035" s="70"/>
      <c r="H1035" s="74"/>
      <c r="I1035" s="70"/>
      <c r="J1035" s="70"/>
      <c r="K1035" s="70"/>
      <c r="L1035" s="74"/>
      <c r="M1035" s="123"/>
      <c r="N1035" s="73"/>
      <c r="O1035" s="236"/>
      <c r="P1035" s="117"/>
      <c r="Q1035" s="117"/>
      <c r="R1035" s="156" t="str">
        <f>IF(Table111[[#This Row],[Qty]]="","",Table111[[#This Row],[Qty]]*Table111[[#This Row],[Unit Price]])</f>
        <v/>
      </c>
      <c r="S1035" s="156" t="str">
        <f>IF(Table111[[#This Row],[Qty]]="","",Table111[[#This Row],[Qty]]*Table111[[#This Row],[Unit Price]]+Table111[[#This Row],[Delivery Cost]])</f>
        <v/>
      </c>
      <c r="T1035" s="72"/>
      <c r="U1035" s="72"/>
      <c r="V1035" s="72"/>
      <c r="W1035" s="219"/>
      <c r="X1035" s="63" t="str">
        <f t="shared" si="48"/>
        <v/>
      </c>
      <c r="Y1035" s="63" t="str">
        <f t="shared" si="49"/>
        <v/>
      </c>
      <c r="Z1035" s="63" t="str">
        <f t="shared" si="50"/>
        <v/>
      </c>
      <c r="AA1035" s="63" t="str">
        <f>TEXT(Table111[[#This Row],[YEAR]],"0000")&amp;"-"&amp;Table111[[#This Row],[MONTH]]</f>
        <v>-</v>
      </c>
    </row>
    <row r="1036" spans="2:27" x14ac:dyDescent="0.3">
      <c r="B1036" s="183"/>
      <c r="C1036" s="183"/>
      <c r="D1036" s="183"/>
      <c r="E1036" s="71"/>
      <c r="F1036" s="72"/>
      <c r="G1036" s="70"/>
      <c r="H1036" s="74"/>
      <c r="I1036" s="70"/>
      <c r="J1036" s="70"/>
      <c r="K1036" s="70"/>
      <c r="L1036" s="74"/>
      <c r="M1036" s="123"/>
      <c r="N1036" s="73"/>
      <c r="O1036" s="236"/>
      <c r="P1036" s="117"/>
      <c r="Q1036" s="117"/>
      <c r="R1036" s="156" t="str">
        <f>IF(Table111[[#This Row],[Qty]]="","",Table111[[#This Row],[Qty]]*Table111[[#This Row],[Unit Price]])</f>
        <v/>
      </c>
      <c r="S1036" s="156" t="str">
        <f>IF(Table111[[#This Row],[Qty]]="","",Table111[[#This Row],[Qty]]*Table111[[#This Row],[Unit Price]]+Table111[[#This Row],[Delivery Cost]])</f>
        <v/>
      </c>
      <c r="T1036" s="72"/>
      <c r="U1036" s="72"/>
      <c r="V1036" s="72"/>
      <c r="W1036" s="65"/>
      <c r="X1036" s="63" t="str">
        <f t="shared" si="48"/>
        <v/>
      </c>
      <c r="Y1036" s="63" t="str">
        <f t="shared" si="49"/>
        <v/>
      </c>
      <c r="Z1036" s="63" t="str">
        <f t="shared" si="50"/>
        <v/>
      </c>
      <c r="AA1036" s="63" t="str">
        <f>TEXT(Table111[[#This Row],[YEAR]],"0000")&amp;"-"&amp;Table111[[#This Row],[MONTH]]</f>
        <v>-</v>
      </c>
    </row>
    <row r="1037" spans="2:27" x14ac:dyDescent="0.3">
      <c r="B1037" s="68"/>
      <c r="C1037" s="68"/>
      <c r="D1037" s="68"/>
      <c r="E1037" s="71"/>
      <c r="F1037" s="72"/>
      <c r="G1037" s="70"/>
      <c r="H1037" s="74"/>
      <c r="I1037" s="70"/>
      <c r="J1037" s="70"/>
      <c r="K1037" s="70"/>
      <c r="L1037" s="74"/>
      <c r="M1037" s="123"/>
      <c r="N1037" s="73"/>
      <c r="O1037" s="236"/>
      <c r="P1037" s="117"/>
      <c r="Q1037" s="117"/>
      <c r="R1037" s="156" t="str">
        <f>IF(Table111[[#This Row],[Qty]]="","",Table111[[#This Row],[Qty]]*Table111[[#This Row],[Unit Price]])</f>
        <v/>
      </c>
      <c r="S1037" s="156" t="str">
        <f>IF(Table111[[#This Row],[Qty]]="","",Table111[[#This Row],[Qty]]*Table111[[#This Row],[Unit Price]]+Table111[[#This Row],[Delivery Cost]])</f>
        <v/>
      </c>
      <c r="T1037" s="72"/>
      <c r="U1037" s="72"/>
      <c r="V1037" s="72"/>
      <c r="W1037" s="219"/>
      <c r="X1037" s="63" t="str">
        <f t="shared" si="48"/>
        <v/>
      </c>
      <c r="Y1037" s="63" t="str">
        <f t="shared" si="49"/>
        <v/>
      </c>
      <c r="Z1037" s="63" t="str">
        <f t="shared" si="50"/>
        <v/>
      </c>
      <c r="AA1037" s="63" t="str">
        <f>TEXT(Table111[[#This Row],[YEAR]],"0000")&amp;"-"&amp;Table111[[#This Row],[MONTH]]</f>
        <v>-</v>
      </c>
    </row>
    <row r="1038" spans="2:27" x14ac:dyDescent="0.3">
      <c r="B1038" s="183"/>
      <c r="C1038" s="183"/>
      <c r="D1038" s="183"/>
      <c r="E1038" s="71"/>
      <c r="F1038" s="72"/>
      <c r="G1038" s="70"/>
      <c r="H1038" s="74"/>
      <c r="I1038" s="70"/>
      <c r="J1038" s="70"/>
      <c r="K1038" s="70"/>
      <c r="L1038" s="74"/>
      <c r="M1038" s="123"/>
      <c r="N1038" s="73"/>
      <c r="O1038" s="236"/>
      <c r="P1038" s="117"/>
      <c r="Q1038" s="117"/>
      <c r="R1038" s="156" t="str">
        <f>IF(Table111[[#This Row],[Qty]]="","",Table111[[#This Row],[Qty]]*Table111[[#This Row],[Unit Price]])</f>
        <v/>
      </c>
      <c r="S1038" s="156" t="str">
        <f>IF(Table111[[#This Row],[Qty]]="","",Table111[[#This Row],[Qty]]*Table111[[#This Row],[Unit Price]]+Table111[[#This Row],[Delivery Cost]])</f>
        <v/>
      </c>
      <c r="T1038" s="72"/>
      <c r="U1038" s="72"/>
      <c r="V1038" s="72"/>
      <c r="W1038" s="65"/>
      <c r="X1038" s="63" t="str">
        <f t="shared" si="48"/>
        <v/>
      </c>
      <c r="Y1038" s="63" t="str">
        <f t="shared" si="49"/>
        <v/>
      </c>
      <c r="Z1038" s="63" t="str">
        <f t="shared" si="50"/>
        <v/>
      </c>
      <c r="AA1038" s="63" t="str">
        <f>TEXT(Table111[[#This Row],[YEAR]],"0000")&amp;"-"&amp;Table111[[#This Row],[MONTH]]</f>
        <v>-</v>
      </c>
    </row>
    <row r="1039" spans="2:27" x14ac:dyDescent="0.3">
      <c r="B1039" s="68"/>
      <c r="C1039" s="68"/>
      <c r="D1039" s="68"/>
      <c r="E1039" s="71"/>
      <c r="F1039" s="72"/>
      <c r="G1039" s="70"/>
      <c r="H1039" s="74"/>
      <c r="I1039" s="70"/>
      <c r="J1039" s="70"/>
      <c r="K1039" s="70"/>
      <c r="L1039" s="74"/>
      <c r="M1039" s="123"/>
      <c r="N1039" s="73"/>
      <c r="O1039" s="236"/>
      <c r="P1039" s="117"/>
      <c r="Q1039" s="117"/>
      <c r="R1039" s="156" t="str">
        <f>IF(Table111[[#This Row],[Qty]]="","",Table111[[#This Row],[Qty]]*Table111[[#This Row],[Unit Price]])</f>
        <v/>
      </c>
      <c r="S1039" s="156" t="str">
        <f>IF(Table111[[#This Row],[Qty]]="","",Table111[[#This Row],[Qty]]*Table111[[#This Row],[Unit Price]]+Table111[[#This Row],[Delivery Cost]])</f>
        <v/>
      </c>
      <c r="T1039" s="72"/>
      <c r="U1039" s="72"/>
      <c r="V1039" s="72"/>
      <c r="W1039" s="219"/>
      <c r="X1039" s="63" t="str">
        <f t="shared" si="48"/>
        <v/>
      </c>
      <c r="Y1039" s="63" t="str">
        <f t="shared" si="49"/>
        <v/>
      </c>
      <c r="Z1039" s="63" t="str">
        <f t="shared" si="50"/>
        <v/>
      </c>
      <c r="AA1039" s="63" t="str">
        <f>TEXT(Table111[[#This Row],[YEAR]],"0000")&amp;"-"&amp;Table111[[#This Row],[MONTH]]</f>
        <v>-</v>
      </c>
    </row>
    <row r="1040" spans="2:27" x14ac:dyDescent="0.3">
      <c r="B1040" s="183"/>
      <c r="C1040" s="183"/>
      <c r="D1040" s="183"/>
      <c r="E1040" s="71"/>
      <c r="F1040" s="72"/>
      <c r="G1040" s="70"/>
      <c r="H1040" s="74"/>
      <c r="I1040" s="70"/>
      <c r="J1040" s="70"/>
      <c r="K1040" s="70"/>
      <c r="L1040" s="74"/>
      <c r="M1040" s="123"/>
      <c r="N1040" s="73"/>
      <c r="O1040" s="236"/>
      <c r="P1040" s="117"/>
      <c r="Q1040" s="117"/>
      <c r="R1040" s="156" t="str">
        <f>IF(Table111[[#This Row],[Qty]]="","",Table111[[#This Row],[Qty]]*Table111[[#This Row],[Unit Price]])</f>
        <v/>
      </c>
      <c r="S1040" s="156" t="str">
        <f>IF(Table111[[#This Row],[Qty]]="","",Table111[[#This Row],[Qty]]*Table111[[#This Row],[Unit Price]]+Table111[[#This Row],[Delivery Cost]])</f>
        <v/>
      </c>
      <c r="T1040" s="72"/>
      <c r="U1040" s="72"/>
      <c r="V1040" s="72"/>
      <c r="W1040" s="65"/>
      <c r="X1040" s="63" t="str">
        <f t="shared" si="48"/>
        <v/>
      </c>
      <c r="Y1040" s="63" t="str">
        <f t="shared" si="49"/>
        <v/>
      </c>
      <c r="Z1040" s="63" t="str">
        <f t="shared" si="50"/>
        <v/>
      </c>
      <c r="AA1040" s="63" t="str">
        <f>TEXT(Table111[[#This Row],[YEAR]],"0000")&amp;"-"&amp;Table111[[#This Row],[MONTH]]</f>
        <v>-</v>
      </c>
    </row>
    <row r="1041" spans="2:27" x14ac:dyDescent="0.3">
      <c r="B1041" s="68"/>
      <c r="C1041" s="68"/>
      <c r="D1041" s="68"/>
      <c r="E1041" s="71"/>
      <c r="F1041" s="72"/>
      <c r="G1041" s="70"/>
      <c r="H1041" s="74"/>
      <c r="I1041" s="70"/>
      <c r="J1041" s="70"/>
      <c r="K1041" s="70"/>
      <c r="L1041" s="74"/>
      <c r="M1041" s="123"/>
      <c r="N1041" s="73"/>
      <c r="O1041" s="236"/>
      <c r="P1041" s="117"/>
      <c r="Q1041" s="117"/>
      <c r="R1041" s="156" t="str">
        <f>IF(Table111[[#This Row],[Qty]]="","",Table111[[#This Row],[Qty]]*Table111[[#This Row],[Unit Price]])</f>
        <v/>
      </c>
      <c r="S1041" s="156" t="str">
        <f>IF(Table111[[#This Row],[Qty]]="","",Table111[[#This Row],[Qty]]*Table111[[#This Row],[Unit Price]]+Table111[[#This Row],[Delivery Cost]])</f>
        <v/>
      </c>
      <c r="T1041" s="72"/>
      <c r="U1041" s="72"/>
      <c r="V1041" s="72"/>
      <c r="W1041" s="219"/>
      <c r="X1041" s="63" t="str">
        <f t="shared" si="48"/>
        <v/>
      </c>
      <c r="Y1041" s="63" t="str">
        <f t="shared" si="49"/>
        <v/>
      </c>
      <c r="Z1041" s="63" t="str">
        <f t="shared" si="50"/>
        <v/>
      </c>
      <c r="AA1041" s="63" t="str">
        <f>TEXT(Table111[[#This Row],[YEAR]],"0000")&amp;"-"&amp;Table111[[#This Row],[MONTH]]</f>
        <v>-</v>
      </c>
    </row>
    <row r="1042" spans="2:27" x14ac:dyDescent="0.3">
      <c r="B1042" s="183"/>
      <c r="C1042" s="183"/>
      <c r="D1042" s="183"/>
      <c r="E1042" s="71"/>
      <c r="F1042" s="72"/>
      <c r="G1042" s="70"/>
      <c r="H1042" s="74"/>
      <c r="I1042" s="70"/>
      <c r="J1042" s="70"/>
      <c r="K1042" s="70"/>
      <c r="L1042" s="74"/>
      <c r="M1042" s="123"/>
      <c r="N1042" s="73"/>
      <c r="O1042" s="236"/>
      <c r="P1042" s="117"/>
      <c r="Q1042" s="117"/>
      <c r="R1042" s="156" t="str">
        <f>IF(Table111[[#This Row],[Qty]]="","",Table111[[#This Row],[Qty]]*Table111[[#This Row],[Unit Price]])</f>
        <v/>
      </c>
      <c r="S1042" s="156" t="str">
        <f>IF(Table111[[#This Row],[Qty]]="","",Table111[[#This Row],[Qty]]*Table111[[#This Row],[Unit Price]]+Table111[[#This Row],[Delivery Cost]])</f>
        <v/>
      </c>
      <c r="T1042" s="72"/>
      <c r="U1042" s="72"/>
      <c r="V1042" s="72"/>
      <c r="W1042" s="65"/>
      <c r="X1042" s="63" t="str">
        <f t="shared" si="48"/>
        <v/>
      </c>
      <c r="Y1042" s="63" t="str">
        <f t="shared" si="49"/>
        <v/>
      </c>
      <c r="Z1042" s="63" t="str">
        <f t="shared" si="50"/>
        <v/>
      </c>
      <c r="AA1042" s="63" t="str">
        <f>TEXT(Table111[[#This Row],[YEAR]],"0000")&amp;"-"&amp;Table111[[#This Row],[MONTH]]</f>
        <v>-</v>
      </c>
    </row>
    <row r="1043" spans="2:27" x14ac:dyDescent="0.3">
      <c r="B1043" s="68"/>
      <c r="C1043" s="68"/>
      <c r="D1043" s="68"/>
      <c r="E1043" s="71"/>
      <c r="F1043" s="72"/>
      <c r="G1043" s="70"/>
      <c r="H1043" s="74"/>
      <c r="I1043" s="70"/>
      <c r="J1043" s="70"/>
      <c r="K1043" s="70"/>
      <c r="L1043" s="74"/>
      <c r="M1043" s="123"/>
      <c r="N1043" s="73"/>
      <c r="O1043" s="236"/>
      <c r="P1043" s="117"/>
      <c r="Q1043" s="117"/>
      <c r="R1043" s="156" t="str">
        <f>IF(Table111[[#This Row],[Qty]]="","",Table111[[#This Row],[Qty]]*Table111[[#This Row],[Unit Price]])</f>
        <v/>
      </c>
      <c r="S1043" s="156" t="str">
        <f>IF(Table111[[#This Row],[Qty]]="","",Table111[[#This Row],[Qty]]*Table111[[#This Row],[Unit Price]]+Table111[[#This Row],[Delivery Cost]])</f>
        <v/>
      </c>
      <c r="T1043" s="72"/>
      <c r="U1043" s="72"/>
      <c r="V1043" s="72"/>
      <c r="W1043" s="219"/>
      <c r="X1043" s="63" t="str">
        <f t="shared" si="48"/>
        <v/>
      </c>
      <c r="Y1043" s="63" t="str">
        <f t="shared" si="49"/>
        <v/>
      </c>
      <c r="Z1043" s="63" t="str">
        <f t="shared" si="50"/>
        <v/>
      </c>
      <c r="AA1043" s="63" t="str">
        <f>TEXT(Table111[[#This Row],[YEAR]],"0000")&amp;"-"&amp;Table111[[#This Row],[MONTH]]</f>
        <v>-</v>
      </c>
    </row>
    <row r="1044" spans="2:27" x14ac:dyDescent="0.3">
      <c r="B1044" s="183"/>
      <c r="C1044" s="183"/>
      <c r="D1044" s="183"/>
      <c r="E1044" s="71"/>
      <c r="F1044" s="72"/>
      <c r="G1044" s="70"/>
      <c r="H1044" s="74"/>
      <c r="I1044" s="70"/>
      <c r="J1044" s="70"/>
      <c r="K1044" s="70"/>
      <c r="L1044" s="74"/>
      <c r="M1044" s="123"/>
      <c r="N1044" s="73"/>
      <c r="O1044" s="236"/>
      <c r="P1044" s="117"/>
      <c r="Q1044" s="117"/>
      <c r="R1044" s="156" t="str">
        <f>IF(Table111[[#This Row],[Qty]]="","",Table111[[#This Row],[Qty]]*Table111[[#This Row],[Unit Price]])</f>
        <v/>
      </c>
      <c r="S1044" s="156" t="str">
        <f>IF(Table111[[#This Row],[Qty]]="","",Table111[[#This Row],[Qty]]*Table111[[#This Row],[Unit Price]]+Table111[[#This Row],[Delivery Cost]])</f>
        <v/>
      </c>
      <c r="T1044" s="72"/>
      <c r="U1044" s="72"/>
      <c r="V1044" s="72"/>
      <c r="W1044" s="65"/>
      <c r="X1044" s="63" t="str">
        <f t="shared" si="48"/>
        <v/>
      </c>
      <c r="Y1044" s="63" t="str">
        <f t="shared" si="49"/>
        <v/>
      </c>
      <c r="Z1044" s="63" t="str">
        <f t="shared" si="50"/>
        <v/>
      </c>
      <c r="AA1044" s="63" t="str">
        <f>TEXT(Table111[[#This Row],[YEAR]],"0000")&amp;"-"&amp;Table111[[#This Row],[MONTH]]</f>
        <v>-</v>
      </c>
    </row>
    <row r="1045" spans="2:27" x14ac:dyDescent="0.3">
      <c r="B1045" s="68"/>
      <c r="C1045" s="68"/>
      <c r="D1045" s="68"/>
      <c r="E1045" s="71"/>
      <c r="F1045" s="72"/>
      <c r="G1045" s="70"/>
      <c r="H1045" s="74"/>
      <c r="I1045" s="70"/>
      <c r="J1045" s="70"/>
      <c r="K1045" s="70"/>
      <c r="L1045" s="74"/>
      <c r="M1045" s="123"/>
      <c r="N1045" s="73"/>
      <c r="O1045" s="236"/>
      <c r="P1045" s="117"/>
      <c r="Q1045" s="117"/>
      <c r="R1045" s="156" t="str">
        <f>IF(Table111[[#This Row],[Qty]]="","",Table111[[#This Row],[Qty]]*Table111[[#This Row],[Unit Price]])</f>
        <v/>
      </c>
      <c r="S1045" s="156" t="str">
        <f>IF(Table111[[#This Row],[Qty]]="","",Table111[[#This Row],[Qty]]*Table111[[#This Row],[Unit Price]]+Table111[[#This Row],[Delivery Cost]])</f>
        <v/>
      </c>
      <c r="T1045" s="72"/>
      <c r="U1045" s="72"/>
      <c r="V1045" s="72"/>
      <c r="W1045" s="219"/>
      <c r="X1045" s="63" t="str">
        <f t="shared" si="48"/>
        <v/>
      </c>
      <c r="Y1045" s="63" t="str">
        <f t="shared" si="49"/>
        <v/>
      </c>
      <c r="Z1045" s="63" t="str">
        <f t="shared" si="50"/>
        <v/>
      </c>
      <c r="AA1045" s="63" t="str">
        <f>TEXT(Table111[[#This Row],[YEAR]],"0000")&amp;"-"&amp;Table111[[#This Row],[MONTH]]</f>
        <v>-</v>
      </c>
    </row>
    <row r="1046" spans="2:27" x14ac:dyDescent="0.3">
      <c r="B1046" s="183"/>
      <c r="C1046" s="183"/>
      <c r="D1046" s="183"/>
      <c r="E1046" s="71"/>
      <c r="F1046" s="72"/>
      <c r="G1046" s="70"/>
      <c r="H1046" s="74"/>
      <c r="I1046" s="70"/>
      <c r="J1046" s="70"/>
      <c r="K1046" s="70"/>
      <c r="L1046" s="74"/>
      <c r="M1046" s="123"/>
      <c r="N1046" s="73"/>
      <c r="O1046" s="236"/>
      <c r="P1046" s="117"/>
      <c r="Q1046" s="117"/>
      <c r="R1046" s="156" t="str">
        <f>IF(Table111[[#This Row],[Qty]]="","",Table111[[#This Row],[Qty]]*Table111[[#This Row],[Unit Price]])</f>
        <v/>
      </c>
      <c r="S1046" s="156" t="str">
        <f>IF(Table111[[#This Row],[Qty]]="","",Table111[[#This Row],[Qty]]*Table111[[#This Row],[Unit Price]]+Table111[[#This Row],[Delivery Cost]])</f>
        <v/>
      </c>
      <c r="T1046" s="72"/>
      <c r="U1046" s="72"/>
      <c r="V1046" s="72"/>
      <c r="W1046" s="65"/>
      <c r="X1046" s="63" t="str">
        <f t="shared" si="48"/>
        <v/>
      </c>
      <c r="Y1046" s="63" t="str">
        <f t="shared" si="49"/>
        <v/>
      </c>
      <c r="Z1046" s="63" t="str">
        <f t="shared" si="50"/>
        <v/>
      </c>
      <c r="AA1046" s="63" t="str">
        <f>TEXT(Table111[[#This Row],[YEAR]],"0000")&amp;"-"&amp;Table111[[#This Row],[MONTH]]</f>
        <v>-</v>
      </c>
    </row>
    <row r="1047" spans="2:27" x14ac:dyDescent="0.3">
      <c r="B1047" s="68"/>
      <c r="C1047" s="68"/>
      <c r="D1047" s="68"/>
      <c r="E1047" s="71"/>
      <c r="F1047" s="72"/>
      <c r="G1047" s="70"/>
      <c r="H1047" s="74"/>
      <c r="I1047" s="70"/>
      <c r="J1047" s="70"/>
      <c r="K1047" s="70"/>
      <c r="L1047" s="74"/>
      <c r="M1047" s="123"/>
      <c r="N1047" s="73"/>
      <c r="O1047" s="236"/>
      <c r="P1047" s="117"/>
      <c r="Q1047" s="117"/>
      <c r="R1047" s="156" t="str">
        <f>IF(Table111[[#This Row],[Qty]]="","",Table111[[#This Row],[Qty]]*Table111[[#This Row],[Unit Price]])</f>
        <v/>
      </c>
      <c r="S1047" s="156" t="str">
        <f>IF(Table111[[#This Row],[Qty]]="","",Table111[[#This Row],[Qty]]*Table111[[#This Row],[Unit Price]]+Table111[[#This Row],[Delivery Cost]])</f>
        <v/>
      </c>
      <c r="T1047" s="72"/>
      <c r="U1047" s="72"/>
      <c r="V1047" s="72"/>
      <c r="W1047" s="219"/>
      <c r="X1047" s="63" t="str">
        <f t="shared" si="48"/>
        <v/>
      </c>
      <c r="Y1047" s="63" t="str">
        <f t="shared" si="49"/>
        <v/>
      </c>
      <c r="Z1047" s="63" t="str">
        <f t="shared" si="50"/>
        <v/>
      </c>
      <c r="AA1047" s="63" t="str">
        <f>TEXT(Table111[[#This Row],[YEAR]],"0000")&amp;"-"&amp;Table111[[#This Row],[MONTH]]</f>
        <v>-</v>
      </c>
    </row>
    <row r="1048" spans="2:27" x14ac:dyDescent="0.3">
      <c r="B1048" s="183"/>
      <c r="C1048" s="183"/>
      <c r="D1048" s="183"/>
      <c r="E1048" s="71"/>
      <c r="F1048" s="72"/>
      <c r="G1048" s="70"/>
      <c r="H1048" s="74"/>
      <c r="I1048" s="70"/>
      <c r="J1048" s="70"/>
      <c r="K1048" s="70"/>
      <c r="L1048" s="74"/>
      <c r="M1048" s="123"/>
      <c r="N1048" s="73"/>
      <c r="O1048" s="236"/>
      <c r="P1048" s="117"/>
      <c r="Q1048" s="117"/>
      <c r="R1048" s="156" t="str">
        <f>IF(Table111[[#This Row],[Qty]]="","",Table111[[#This Row],[Qty]]*Table111[[#This Row],[Unit Price]])</f>
        <v/>
      </c>
      <c r="S1048" s="156" t="str">
        <f>IF(Table111[[#This Row],[Qty]]="","",Table111[[#This Row],[Qty]]*Table111[[#This Row],[Unit Price]]+Table111[[#This Row],[Delivery Cost]])</f>
        <v/>
      </c>
      <c r="T1048" s="72"/>
      <c r="U1048" s="72"/>
      <c r="V1048" s="72"/>
      <c r="W1048" s="65"/>
      <c r="X1048" s="63" t="str">
        <f t="shared" si="48"/>
        <v/>
      </c>
      <c r="Y1048" s="63" t="str">
        <f t="shared" si="49"/>
        <v/>
      </c>
      <c r="Z1048" s="63" t="str">
        <f t="shared" si="50"/>
        <v/>
      </c>
      <c r="AA1048" s="63" t="str">
        <f>TEXT(Table111[[#This Row],[YEAR]],"0000")&amp;"-"&amp;Table111[[#This Row],[MONTH]]</f>
        <v>-</v>
      </c>
    </row>
    <row r="1049" spans="2:27" x14ac:dyDescent="0.3">
      <c r="B1049" s="68"/>
      <c r="C1049" s="68"/>
      <c r="D1049" s="68"/>
      <c r="E1049" s="71"/>
      <c r="F1049" s="72"/>
      <c r="G1049" s="70"/>
      <c r="H1049" s="74"/>
      <c r="I1049" s="70"/>
      <c r="J1049" s="70"/>
      <c r="K1049" s="70"/>
      <c r="L1049" s="74"/>
      <c r="M1049" s="123"/>
      <c r="N1049" s="73"/>
      <c r="O1049" s="236"/>
      <c r="P1049" s="117"/>
      <c r="Q1049" s="117"/>
      <c r="R1049" s="156" t="str">
        <f>IF(Table111[[#This Row],[Qty]]="","",Table111[[#This Row],[Qty]]*Table111[[#This Row],[Unit Price]])</f>
        <v/>
      </c>
      <c r="S1049" s="156" t="str">
        <f>IF(Table111[[#This Row],[Qty]]="","",Table111[[#This Row],[Qty]]*Table111[[#This Row],[Unit Price]]+Table111[[#This Row],[Delivery Cost]])</f>
        <v/>
      </c>
      <c r="T1049" s="72"/>
      <c r="U1049" s="72"/>
      <c r="V1049" s="72"/>
      <c r="W1049" s="219"/>
      <c r="X1049" s="63" t="str">
        <f t="shared" si="48"/>
        <v/>
      </c>
      <c r="Y1049" s="63" t="str">
        <f t="shared" si="49"/>
        <v/>
      </c>
      <c r="Z1049" s="63" t="str">
        <f t="shared" si="50"/>
        <v/>
      </c>
      <c r="AA1049" s="63" t="str">
        <f>TEXT(Table111[[#This Row],[YEAR]],"0000")&amp;"-"&amp;Table111[[#This Row],[MONTH]]</f>
        <v>-</v>
      </c>
    </row>
    <row r="1050" spans="2:27" x14ac:dyDescent="0.3">
      <c r="B1050" s="183"/>
      <c r="C1050" s="183"/>
      <c r="D1050" s="183"/>
      <c r="E1050" s="71"/>
      <c r="F1050" s="72"/>
      <c r="G1050" s="70"/>
      <c r="H1050" s="74"/>
      <c r="I1050" s="70"/>
      <c r="J1050" s="70"/>
      <c r="K1050" s="70"/>
      <c r="L1050" s="74"/>
      <c r="M1050" s="123"/>
      <c r="N1050" s="73"/>
      <c r="O1050" s="236"/>
      <c r="P1050" s="117"/>
      <c r="Q1050" s="117"/>
      <c r="R1050" s="156" t="str">
        <f>IF(Table111[[#This Row],[Qty]]="","",Table111[[#This Row],[Qty]]*Table111[[#This Row],[Unit Price]])</f>
        <v/>
      </c>
      <c r="S1050" s="156" t="str">
        <f>IF(Table111[[#This Row],[Qty]]="","",Table111[[#This Row],[Qty]]*Table111[[#This Row],[Unit Price]]+Table111[[#This Row],[Delivery Cost]])</f>
        <v/>
      </c>
      <c r="T1050" s="72"/>
      <c r="U1050" s="72"/>
      <c r="V1050" s="72"/>
      <c r="W1050" s="65"/>
      <c r="X1050" s="63" t="str">
        <f t="shared" si="48"/>
        <v/>
      </c>
      <c r="Y1050" s="63" t="str">
        <f t="shared" si="49"/>
        <v/>
      </c>
      <c r="Z1050" s="63" t="str">
        <f t="shared" si="50"/>
        <v/>
      </c>
      <c r="AA1050" s="63" t="str">
        <f>TEXT(Table111[[#This Row],[YEAR]],"0000")&amp;"-"&amp;Table111[[#This Row],[MONTH]]</f>
        <v>-</v>
      </c>
    </row>
    <row r="1051" spans="2:27" x14ac:dyDescent="0.3">
      <c r="B1051" s="68"/>
      <c r="C1051" s="68"/>
      <c r="D1051" s="68"/>
      <c r="E1051" s="71"/>
      <c r="F1051" s="72"/>
      <c r="G1051" s="70"/>
      <c r="H1051" s="74"/>
      <c r="I1051" s="70"/>
      <c r="J1051" s="70"/>
      <c r="K1051" s="70"/>
      <c r="L1051" s="74"/>
      <c r="M1051" s="123"/>
      <c r="N1051" s="73"/>
      <c r="O1051" s="236"/>
      <c r="P1051" s="117"/>
      <c r="Q1051" s="117"/>
      <c r="R1051" s="156" t="str">
        <f>IF(Table111[[#This Row],[Qty]]="","",Table111[[#This Row],[Qty]]*Table111[[#This Row],[Unit Price]])</f>
        <v/>
      </c>
      <c r="S1051" s="156" t="str">
        <f>IF(Table111[[#This Row],[Qty]]="","",Table111[[#This Row],[Qty]]*Table111[[#This Row],[Unit Price]]+Table111[[#This Row],[Delivery Cost]])</f>
        <v/>
      </c>
      <c r="T1051" s="72"/>
      <c r="U1051" s="72"/>
      <c r="V1051" s="72"/>
      <c r="W1051" s="219"/>
      <c r="X1051" s="63" t="str">
        <f t="shared" si="48"/>
        <v/>
      </c>
      <c r="Y1051" s="63" t="str">
        <f t="shared" si="49"/>
        <v/>
      </c>
      <c r="Z1051" s="63" t="str">
        <f t="shared" si="50"/>
        <v/>
      </c>
      <c r="AA1051" s="63" t="str">
        <f>TEXT(Table111[[#This Row],[YEAR]],"0000")&amp;"-"&amp;Table111[[#This Row],[MONTH]]</f>
        <v>-</v>
      </c>
    </row>
    <row r="1052" spans="2:27" x14ac:dyDescent="0.3">
      <c r="B1052" s="183"/>
      <c r="C1052" s="183"/>
      <c r="D1052" s="183"/>
      <c r="E1052" s="71"/>
      <c r="F1052" s="72"/>
      <c r="G1052" s="70"/>
      <c r="H1052" s="74"/>
      <c r="I1052" s="70"/>
      <c r="J1052" s="70"/>
      <c r="K1052" s="70"/>
      <c r="L1052" s="74"/>
      <c r="M1052" s="123"/>
      <c r="N1052" s="73"/>
      <c r="O1052" s="236"/>
      <c r="P1052" s="117"/>
      <c r="Q1052" s="117"/>
      <c r="R1052" s="156" t="str">
        <f>IF(Table111[[#This Row],[Qty]]="","",Table111[[#This Row],[Qty]]*Table111[[#This Row],[Unit Price]])</f>
        <v/>
      </c>
      <c r="S1052" s="156" t="str">
        <f>IF(Table111[[#This Row],[Qty]]="","",Table111[[#This Row],[Qty]]*Table111[[#This Row],[Unit Price]]+Table111[[#This Row],[Delivery Cost]])</f>
        <v/>
      </c>
      <c r="T1052" s="72"/>
      <c r="U1052" s="72"/>
      <c r="V1052" s="72"/>
      <c r="W1052" s="65"/>
      <c r="X1052" s="63" t="str">
        <f t="shared" si="48"/>
        <v/>
      </c>
      <c r="Y1052" s="63" t="str">
        <f t="shared" si="49"/>
        <v/>
      </c>
      <c r="Z1052" s="63" t="str">
        <f t="shared" si="50"/>
        <v/>
      </c>
      <c r="AA1052" s="63" t="str">
        <f>TEXT(Table111[[#This Row],[YEAR]],"0000")&amp;"-"&amp;Table111[[#This Row],[MONTH]]</f>
        <v>-</v>
      </c>
    </row>
    <row r="1053" spans="2:27" x14ac:dyDescent="0.3">
      <c r="B1053" s="68"/>
      <c r="C1053" s="68"/>
      <c r="D1053" s="68"/>
      <c r="E1053" s="71"/>
      <c r="F1053" s="72"/>
      <c r="G1053" s="70"/>
      <c r="H1053" s="74"/>
      <c r="I1053" s="70"/>
      <c r="J1053" s="70"/>
      <c r="K1053" s="70"/>
      <c r="L1053" s="74"/>
      <c r="M1053" s="123"/>
      <c r="N1053" s="73"/>
      <c r="O1053" s="236"/>
      <c r="P1053" s="117"/>
      <c r="Q1053" s="117"/>
      <c r="R1053" s="156" t="str">
        <f>IF(Table111[[#This Row],[Qty]]="","",Table111[[#This Row],[Qty]]*Table111[[#This Row],[Unit Price]])</f>
        <v/>
      </c>
      <c r="S1053" s="156" t="str">
        <f>IF(Table111[[#This Row],[Qty]]="","",Table111[[#This Row],[Qty]]*Table111[[#This Row],[Unit Price]]+Table111[[#This Row],[Delivery Cost]])</f>
        <v/>
      </c>
      <c r="T1053" s="72"/>
      <c r="U1053" s="72"/>
      <c r="V1053" s="72"/>
      <c r="W1053" s="219"/>
      <c r="X1053" s="63" t="str">
        <f t="shared" si="48"/>
        <v/>
      </c>
      <c r="Y1053" s="63" t="str">
        <f t="shared" si="49"/>
        <v/>
      </c>
      <c r="Z1053" s="63" t="str">
        <f t="shared" si="50"/>
        <v/>
      </c>
      <c r="AA1053" s="63" t="str">
        <f>TEXT(Table111[[#This Row],[YEAR]],"0000")&amp;"-"&amp;Table111[[#This Row],[MONTH]]</f>
        <v>-</v>
      </c>
    </row>
    <row r="1054" spans="2:27" x14ac:dyDescent="0.3">
      <c r="B1054" s="183"/>
      <c r="C1054" s="183"/>
      <c r="D1054" s="183"/>
      <c r="E1054" s="71"/>
      <c r="F1054" s="72"/>
      <c r="G1054" s="70"/>
      <c r="H1054" s="74"/>
      <c r="I1054" s="70"/>
      <c r="J1054" s="70"/>
      <c r="K1054" s="70"/>
      <c r="L1054" s="74"/>
      <c r="M1054" s="123"/>
      <c r="N1054" s="73"/>
      <c r="O1054" s="236"/>
      <c r="P1054" s="117"/>
      <c r="Q1054" s="117"/>
      <c r="R1054" s="156" t="str">
        <f>IF(Table111[[#This Row],[Qty]]="","",Table111[[#This Row],[Qty]]*Table111[[#This Row],[Unit Price]])</f>
        <v/>
      </c>
      <c r="S1054" s="156" t="str">
        <f>IF(Table111[[#This Row],[Qty]]="","",Table111[[#This Row],[Qty]]*Table111[[#This Row],[Unit Price]]+Table111[[#This Row],[Delivery Cost]])</f>
        <v/>
      </c>
      <c r="T1054" s="72"/>
      <c r="U1054" s="72"/>
      <c r="V1054" s="72"/>
      <c r="W1054" s="65"/>
      <c r="X1054" s="63" t="str">
        <f t="shared" si="48"/>
        <v/>
      </c>
      <c r="Y1054" s="63" t="str">
        <f t="shared" si="49"/>
        <v/>
      </c>
      <c r="Z1054" s="63" t="str">
        <f t="shared" si="50"/>
        <v/>
      </c>
      <c r="AA1054" s="63" t="str">
        <f>TEXT(Table111[[#This Row],[YEAR]],"0000")&amp;"-"&amp;Table111[[#This Row],[MONTH]]</f>
        <v>-</v>
      </c>
    </row>
    <row r="1055" spans="2:27" x14ac:dyDescent="0.3">
      <c r="B1055" s="68"/>
      <c r="C1055" s="68"/>
      <c r="D1055" s="68"/>
      <c r="E1055" s="71"/>
      <c r="F1055" s="72"/>
      <c r="G1055" s="70"/>
      <c r="H1055" s="74"/>
      <c r="I1055" s="70"/>
      <c r="J1055" s="70"/>
      <c r="K1055" s="70"/>
      <c r="L1055" s="74"/>
      <c r="M1055" s="123"/>
      <c r="N1055" s="73"/>
      <c r="O1055" s="236"/>
      <c r="P1055" s="117"/>
      <c r="Q1055" s="117"/>
      <c r="R1055" s="156" t="str">
        <f>IF(Table111[[#This Row],[Qty]]="","",Table111[[#This Row],[Qty]]*Table111[[#This Row],[Unit Price]])</f>
        <v/>
      </c>
      <c r="S1055" s="156" t="str">
        <f>IF(Table111[[#This Row],[Qty]]="","",Table111[[#This Row],[Qty]]*Table111[[#This Row],[Unit Price]]+Table111[[#This Row],[Delivery Cost]])</f>
        <v/>
      </c>
      <c r="T1055" s="72"/>
      <c r="U1055" s="72"/>
      <c r="V1055" s="72"/>
      <c r="W1055" s="219"/>
      <c r="X1055" s="63" t="str">
        <f t="shared" si="48"/>
        <v/>
      </c>
      <c r="Y1055" s="63" t="str">
        <f t="shared" si="49"/>
        <v/>
      </c>
      <c r="Z1055" s="63" t="str">
        <f t="shared" si="50"/>
        <v/>
      </c>
      <c r="AA1055" s="63" t="str">
        <f>TEXT(Table111[[#This Row],[YEAR]],"0000")&amp;"-"&amp;Table111[[#This Row],[MONTH]]</f>
        <v>-</v>
      </c>
    </row>
    <row r="1056" spans="2:27" x14ac:dyDescent="0.3">
      <c r="B1056" s="183"/>
      <c r="C1056" s="183"/>
      <c r="D1056" s="183"/>
      <c r="E1056" s="71"/>
      <c r="F1056" s="72"/>
      <c r="G1056" s="70"/>
      <c r="H1056" s="74"/>
      <c r="I1056" s="70"/>
      <c r="J1056" s="70"/>
      <c r="K1056" s="70"/>
      <c r="L1056" s="74"/>
      <c r="M1056" s="123"/>
      <c r="N1056" s="73"/>
      <c r="O1056" s="236"/>
      <c r="P1056" s="117"/>
      <c r="Q1056" s="117"/>
      <c r="R1056" s="156" t="str">
        <f>IF(Table111[[#This Row],[Qty]]="","",Table111[[#This Row],[Qty]]*Table111[[#This Row],[Unit Price]])</f>
        <v/>
      </c>
      <c r="S1056" s="156" t="str">
        <f>IF(Table111[[#This Row],[Qty]]="","",Table111[[#This Row],[Qty]]*Table111[[#This Row],[Unit Price]]+Table111[[#This Row],[Delivery Cost]])</f>
        <v/>
      </c>
      <c r="T1056" s="72"/>
      <c r="U1056" s="72"/>
      <c r="V1056" s="72"/>
      <c r="W1056" s="65"/>
      <c r="X1056" s="63" t="str">
        <f t="shared" si="48"/>
        <v/>
      </c>
      <c r="Y1056" s="63" t="str">
        <f t="shared" si="49"/>
        <v/>
      </c>
      <c r="Z1056" s="63" t="str">
        <f t="shared" si="50"/>
        <v/>
      </c>
      <c r="AA1056" s="63" t="str">
        <f>TEXT(Table111[[#This Row],[YEAR]],"0000")&amp;"-"&amp;Table111[[#This Row],[MONTH]]</f>
        <v>-</v>
      </c>
    </row>
    <row r="1057" spans="2:27" x14ac:dyDescent="0.3">
      <c r="B1057" s="68"/>
      <c r="C1057" s="68"/>
      <c r="D1057" s="68"/>
      <c r="E1057" s="71"/>
      <c r="F1057" s="72"/>
      <c r="G1057" s="70"/>
      <c r="H1057" s="74"/>
      <c r="I1057" s="70"/>
      <c r="J1057" s="70"/>
      <c r="K1057" s="70"/>
      <c r="L1057" s="74"/>
      <c r="M1057" s="123"/>
      <c r="N1057" s="73"/>
      <c r="O1057" s="236"/>
      <c r="P1057" s="117"/>
      <c r="Q1057" s="117"/>
      <c r="R1057" s="156" t="str">
        <f>IF(Table111[[#This Row],[Qty]]="","",Table111[[#This Row],[Qty]]*Table111[[#This Row],[Unit Price]])</f>
        <v/>
      </c>
      <c r="S1057" s="156" t="str">
        <f>IF(Table111[[#This Row],[Qty]]="","",Table111[[#This Row],[Qty]]*Table111[[#This Row],[Unit Price]]+Table111[[#This Row],[Delivery Cost]])</f>
        <v/>
      </c>
      <c r="T1057" s="72"/>
      <c r="U1057" s="72"/>
      <c r="V1057" s="72"/>
      <c r="W1057" s="219"/>
      <c r="X1057" s="63" t="str">
        <f t="shared" si="48"/>
        <v/>
      </c>
      <c r="Y1057" s="63" t="str">
        <f t="shared" si="49"/>
        <v/>
      </c>
      <c r="Z1057" s="63" t="str">
        <f t="shared" si="50"/>
        <v/>
      </c>
      <c r="AA1057" s="63" t="str">
        <f>TEXT(Table111[[#This Row],[YEAR]],"0000")&amp;"-"&amp;Table111[[#This Row],[MONTH]]</f>
        <v>-</v>
      </c>
    </row>
    <row r="1058" spans="2:27" x14ac:dyDescent="0.3">
      <c r="B1058" s="183"/>
      <c r="C1058" s="183"/>
      <c r="D1058" s="183"/>
      <c r="E1058" s="71"/>
      <c r="F1058" s="72"/>
      <c r="G1058" s="70"/>
      <c r="H1058" s="74"/>
      <c r="I1058" s="70"/>
      <c r="J1058" s="70"/>
      <c r="K1058" s="70"/>
      <c r="L1058" s="74"/>
      <c r="M1058" s="123"/>
      <c r="N1058" s="73"/>
      <c r="O1058" s="236"/>
      <c r="P1058" s="117"/>
      <c r="Q1058" s="117"/>
      <c r="R1058" s="156" t="str">
        <f>IF(Table111[[#This Row],[Qty]]="","",Table111[[#This Row],[Qty]]*Table111[[#This Row],[Unit Price]])</f>
        <v/>
      </c>
      <c r="S1058" s="156" t="str">
        <f>IF(Table111[[#This Row],[Qty]]="","",Table111[[#This Row],[Qty]]*Table111[[#This Row],[Unit Price]]+Table111[[#This Row],[Delivery Cost]])</f>
        <v/>
      </c>
      <c r="T1058" s="72"/>
      <c r="U1058" s="72"/>
      <c r="V1058" s="72"/>
      <c r="W1058" s="65"/>
      <c r="X1058" s="63" t="str">
        <f t="shared" si="48"/>
        <v/>
      </c>
      <c r="Y1058" s="63" t="str">
        <f t="shared" si="49"/>
        <v/>
      </c>
      <c r="Z1058" s="63" t="str">
        <f t="shared" si="50"/>
        <v/>
      </c>
      <c r="AA1058" s="63" t="str">
        <f>TEXT(Table111[[#This Row],[YEAR]],"0000")&amp;"-"&amp;Table111[[#This Row],[MONTH]]</f>
        <v>-</v>
      </c>
    </row>
    <row r="1059" spans="2:27" x14ac:dyDescent="0.3">
      <c r="B1059" s="68"/>
      <c r="C1059" s="68"/>
      <c r="D1059" s="68"/>
      <c r="E1059" s="71"/>
      <c r="F1059" s="72"/>
      <c r="G1059" s="70"/>
      <c r="H1059" s="74"/>
      <c r="I1059" s="70"/>
      <c r="J1059" s="70"/>
      <c r="K1059" s="70"/>
      <c r="L1059" s="74"/>
      <c r="M1059" s="123"/>
      <c r="N1059" s="73"/>
      <c r="O1059" s="236"/>
      <c r="P1059" s="117"/>
      <c r="Q1059" s="117"/>
      <c r="R1059" s="156" t="str">
        <f>IF(Table111[[#This Row],[Qty]]="","",Table111[[#This Row],[Qty]]*Table111[[#This Row],[Unit Price]])</f>
        <v/>
      </c>
      <c r="S1059" s="156" t="str">
        <f>IF(Table111[[#This Row],[Qty]]="","",Table111[[#This Row],[Qty]]*Table111[[#This Row],[Unit Price]]+Table111[[#This Row],[Delivery Cost]])</f>
        <v/>
      </c>
      <c r="T1059" s="72"/>
      <c r="U1059" s="72"/>
      <c r="V1059" s="72"/>
      <c r="W1059" s="219"/>
      <c r="X1059" s="63" t="str">
        <f t="shared" si="48"/>
        <v/>
      </c>
      <c r="Y1059" s="63" t="str">
        <f t="shared" si="49"/>
        <v/>
      </c>
      <c r="Z1059" s="63" t="str">
        <f t="shared" si="50"/>
        <v/>
      </c>
      <c r="AA1059" s="63" t="str">
        <f>TEXT(Table111[[#This Row],[YEAR]],"0000")&amp;"-"&amp;Table111[[#This Row],[MONTH]]</f>
        <v>-</v>
      </c>
    </row>
    <row r="1060" spans="2:27" x14ac:dyDescent="0.3">
      <c r="B1060" s="183"/>
      <c r="C1060" s="183"/>
      <c r="D1060" s="183"/>
      <c r="E1060" s="71"/>
      <c r="F1060" s="72"/>
      <c r="G1060" s="70"/>
      <c r="H1060" s="74"/>
      <c r="I1060" s="70"/>
      <c r="J1060" s="70"/>
      <c r="K1060" s="70"/>
      <c r="L1060" s="74"/>
      <c r="M1060" s="123"/>
      <c r="N1060" s="73"/>
      <c r="O1060" s="236"/>
      <c r="P1060" s="117"/>
      <c r="Q1060" s="117"/>
      <c r="R1060" s="156" t="str">
        <f>IF(Table111[[#This Row],[Qty]]="","",Table111[[#This Row],[Qty]]*Table111[[#This Row],[Unit Price]])</f>
        <v/>
      </c>
      <c r="S1060" s="156" t="str">
        <f>IF(Table111[[#This Row],[Qty]]="","",Table111[[#This Row],[Qty]]*Table111[[#This Row],[Unit Price]]+Table111[[#This Row],[Delivery Cost]])</f>
        <v/>
      </c>
      <c r="T1060" s="72"/>
      <c r="U1060" s="72"/>
      <c r="V1060" s="72"/>
      <c r="W1060" s="65"/>
      <c r="X1060" s="63" t="str">
        <f t="shared" si="48"/>
        <v/>
      </c>
      <c r="Y1060" s="63" t="str">
        <f t="shared" si="49"/>
        <v/>
      </c>
      <c r="Z1060" s="63" t="str">
        <f t="shared" si="50"/>
        <v/>
      </c>
      <c r="AA1060" s="63" t="str">
        <f>TEXT(Table111[[#This Row],[YEAR]],"0000")&amp;"-"&amp;Table111[[#This Row],[MONTH]]</f>
        <v>-</v>
      </c>
    </row>
    <row r="1061" spans="2:27" x14ac:dyDescent="0.3">
      <c r="B1061" s="68"/>
      <c r="C1061" s="68"/>
      <c r="D1061" s="68"/>
      <c r="E1061" s="71"/>
      <c r="F1061" s="72"/>
      <c r="G1061" s="70"/>
      <c r="H1061" s="74"/>
      <c r="I1061" s="70"/>
      <c r="J1061" s="70"/>
      <c r="K1061" s="70"/>
      <c r="L1061" s="74"/>
      <c r="M1061" s="123"/>
      <c r="N1061" s="73"/>
      <c r="O1061" s="236"/>
      <c r="P1061" s="117"/>
      <c r="Q1061" s="117"/>
      <c r="R1061" s="156" t="str">
        <f>IF(Table111[[#This Row],[Qty]]="","",Table111[[#This Row],[Qty]]*Table111[[#This Row],[Unit Price]])</f>
        <v/>
      </c>
      <c r="S1061" s="156" t="str">
        <f>IF(Table111[[#This Row],[Qty]]="","",Table111[[#This Row],[Qty]]*Table111[[#This Row],[Unit Price]]+Table111[[#This Row],[Delivery Cost]])</f>
        <v/>
      </c>
      <c r="T1061" s="72"/>
      <c r="U1061" s="72"/>
      <c r="V1061" s="72"/>
      <c r="W1061" s="219"/>
      <c r="X1061" s="63" t="str">
        <f t="shared" si="48"/>
        <v/>
      </c>
      <c r="Y1061" s="63" t="str">
        <f t="shared" si="49"/>
        <v/>
      </c>
      <c r="Z1061" s="63" t="str">
        <f t="shared" si="50"/>
        <v/>
      </c>
      <c r="AA1061" s="63" t="str">
        <f>TEXT(Table111[[#This Row],[YEAR]],"0000")&amp;"-"&amp;Table111[[#This Row],[MONTH]]</f>
        <v>-</v>
      </c>
    </row>
    <row r="1062" spans="2:27" x14ac:dyDescent="0.3">
      <c r="B1062" s="183"/>
      <c r="C1062" s="183"/>
      <c r="D1062" s="183"/>
      <c r="E1062" s="71"/>
      <c r="F1062" s="72"/>
      <c r="G1062" s="70"/>
      <c r="H1062" s="74"/>
      <c r="I1062" s="70"/>
      <c r="J1062" s="70"/>
      <c r="K1062" s="70"/>
      <c r="L1062" s="74"/>
      <c r="M1062" s="123"/>
      <c r="N1062" s="73"/>
      <c r="O1062" s="236"/>
      <c r="P1062" s="117"/>
      <c r="Q1062" s="117"/>
      <c r="R1062" s="156" t="str">
        <f>IF(Table111[[#This Row],[Qty]]="","",Table111[[#This Row],[Qty]]*Table111[[#This Row],[Unit Price]])</f>
        <v/>
      </c>
      <c r="S1062" s="156" t="str">
        <f>IF(Table111[[#This Row],[Qty]]="","",Table111[[#This Row],[Qty]]*Table111[[#This Row],[Unit Price]]+Table111[[#This Row],[Delivery Cost]])</f>
        <v/>
      </c>
      <c r="T1062" s="72"/>
      <c r="U1062" s="72"/>
      <c r="V1062" s="72"/>
      <c r="W1062" s="65"/>
      <c r="X1062" s="63" t="str">
        <f t="shared" si="48"/>
        <v/>
      </c>
      <c r="Y1062" s="63" t="str">
        <f t="shared" si="49"/>
        <v/>
      </c>
      <c r="Z1062" s="63" t="str">
        <f t="shared" si="50"/>
        <v/>
      </c>
      <c r="AA1062" s="63" t="str">
        <f>TEXT(Table111[[#This Row],[YEAR]],"0000")&amp;"-"&amp;Table111[[#This Row],[MONTH]]</f>
        <v>-</v>
      </c>
    </row>
    <row r="1063" spans="2:27" x14ac:dyDescent="0.3">
      <c r="B1063" s="68"/>
      <c r="C1063" s="68"/>
      <c r="D1063" s="68"/>
      <c r="E1063" s="71"/>
      <c r="F1063" s="72"/>
      <c r="G1063" s="70"/>
      <c r="H1063" s="74"/>
      <c r="I1063" s="70"/>
      <c r="J1063" s="70"/>
      <c r="K1063" s="70"/>
      <c r="L1063" s="74"/>
      <c r="M1063" s="123"/>
      <c r="N1063" s="73"/>
      <c r="O1063" s="236"/>
      <c r="P1063" s="117"/>
      <c r="Q1063" s="117"/>
      <c r="R1063" s="156" t="str">
        <f>IF(Table111[[#This Row],[Qty]]="","",Table111[[#This Row],[Qty]]*Table111[[#This Row],[Unit Price]])</f>
        <v/>
      </c>
      <c r="S1063" s="156" t="str">
        <f>IF(Table111[[#This Row],[Qty]]="","",Table111[[#This Row],[Qty]]*Table111[[#This Row],[Unit Price]]+Table111[[#This Row],[Delivery Cost]])</f>
        <v/>
      </c>
      <c r="T1063" s="72"/>
      <c r="U1063" s="72"/>
      <c r="V1063" s="72"/>
      <c r="W1063" s="219"/>
      <c r="X1063" s="63" t="str">
        <f t="shared" si="48"/>
        <v/>
      </c>
      <c r="Y1063" s="63" t="str">
        <f t="shared" si="49"/>
        <v/>
      </c>
      <c r="Z1063" s="63" t="str">
        <f t="shared" si="50"/>
        <v/>
      </c>
      <c r="AA1063" s="63" t="str">
        <f>TEXT(Table111[[#This Row],[YEAR]],"0000")&amp;"-"&amp;Table111[[#This Row],[MONTH]]</f>
        <v>-</v>
      </c>
    </row>
    <row r="1064" spans="2:27" x14ac:dyDescent="0.3">
      <c r="B1064" s="183"/>
      <c r="C1064" s="183"/>
      <c r="D1064" s="183"/>
      <c r="E1064" s="71"/>
      <c r="F1064" s="72"/>
      <c r="G1064" s="70"/>
      <c r="H1064" s="74"/>
      <c r="I1064" s="70"/>
      <c r="J1064" s="70"/>
      <c r="K1064" s="70"/>
      <c r="L1064" s="74"/>
      <c r="M1064" s="123"/>
      <c r="N1064" s="73"/>
      <c r="O1064" s="236"/>
      <c r="P1064" s="117"/>
      <c r="Q1064" s="117"/>
      <c r="R1064" s="156" t="str">
        <f>IF(Table111[[#This Row],[Qty]]="","",Table111[[#This Row],[Qty]]*Table111[[#This Row],[Unit Price]])</f>
        <v/>
      </c>
      <c r="S1064" s="156" t="str">
        <f>IF(Table111[[#This Row],[Qty]]="","",Table111[[#This Row],[Qty]]*Table111[[#This Row],[Unit Price]]+Table111[[#This Row],[Delivery Cost]])</f>
        <v/>
      </c>
      <c r="T1064" s="72"/>
      <c r="U1064" s="72"/>
      <c r="V1064" s="72"/>
      <c r="W1064" s="65"/>
      <c r="X1064" s="63" t="str">
        <f t="shared" si="48"/>
        <v/>
      </c>
      <c r="Y1064" s="63" t="str">
        <f t="shared" si="49"/>
        <v/>
      </c>
      <c r="Z1064" s="63" t="str">
        <f t="shared" si="50"/>
        <v/>
      </c>
      <c r="AA1064" s="63" t="str">
        <f>TEXT(Table111[[#This Row],[YEAR]],"0000")&amp;"-"&amp;Table111[[#This Row],[MONTH]]</f>
        <v>-</v>
      </c>
    </row>
    <row r="1065" spans="2:27" x14ac:dyDescent="0.3">
      <c r="B1065" s="68"/>
      <c r="C1065" s="68"/>
      <c r="D1065" s="68"/>
      <c r="E1065" s="71"/>
      <c r="F1065" s="72"/>
      <c r="G1065" s="70"/>
      <c r="H1065" s="74"/>
      <c r="I1065" s="70"/>
      <c r="J1065" s="70"/>
      <c r="K1065" s="70"/>
      <c r="L1065" s="74"/>
      <c r="M1065" s="123"/>
      <c r="N1065" s="73"/>
      <c r="O1065" s="236"/>
      <c r="P1065" s="117"/>
      <c r="Q1065" s="117"/>
      <c r="R1065" s="156" t="str">
        <f>IF(Table111[[#This Row],[Qty]]="","",Table111[[#This Row],[Qty]]*Table111[[#This Row],[Unit Price]])</f>
        <v/>
      </c>
      <c r="S1065" s="156" t="str">
        <f>IF(Table111[[#This Row],[Qty]]="","",Table111[[#This Row],[Qty]]*Table111[[#This Row],[Unit Price]]+Table111[[#This Row],[Delivery Cost]])</f>
        <v/>
      </c>
      <c r="T1065" s="72"/>
      <c r="U1065" s="72"/>
      <c r="V1065" s="72"/>
      <c r="W1065" s="219"/>
      <c r="X1065" s="63" t="str">
        <f t="shared" si="48"/>
        <v/>
      </c>
      <c r="Y1065" s="63" t="str">
        <f t="shared" si="49"/>
        <v/>
      </c>
      <c r="Z1065" s="63" t="str">
        <f t="shared" si="50"/>
        <v/>
      </c>
      <c r="AA1065" s="63" t="str">
        <f>TEXT(Table111[[#This Row],[YEAR]],"0000")&amp;"-"&amp;Table111[[#This Row],[MONTH]]</f>
        <v>-</v>
      </c>
    </row>
    <row r="1066" spans="2:27" x14ac:dyDescent="0.3">
      <c r="B1066" s="183"/>
      <c r="C1066" s="183"/>
      <c r="D1066" s="183"/>
      <c r="E1066" s="71"/>
      <c r="F1066" s="72"/>
      <c r="G1066" s="70"/>
      <c r="H1066" s="74"/>
      <c r="I1066" s="70"/>
      <c r="J1066" s="70"/>
      <c r="K1066" s="70"/>
      <c r="L1066" s="74"/>
      <c r="M1066" s="123"/>
      <c r="N1066" s="73"/>
      <c r="O1066" s="236"/>
      <c r="P1066" s="117"/>
      <c r="Q1066" s="117"/>
      <c r="R1066" s="156" t="str">
        <f>IF(Table111[[#This Row],[Qty]]="","",Table111[[#This Row],[Qty]]*Table111[[#This Row],[Unit Price]])</f>
        <v/>
      </c>
      <c r="S1066" s="156" t="str">
        <f>IF(Table111[[#This Row],[Qty]]="","",Table111[[#This Row],[Qty]]*Table111[[#This Row],[Unit Price]]+Table111[[#This Row],[Delivery Cost]])</f>
        <v/>
      </c>
      <c r="T1066" s="72"/>
      <c r="U1066" s="72"/>
      <c r="V1066" s="72"/>
      <c r="W1066" s="65"/>
      <c r="X1066" s="63" t="str">
        <f t="shared" si="48"/>
        <v/>
      </c>
      <c r="Y1066" s="63" t="str">
        <f t="shared" si="49"/>
        <v/>
      </c>
      <c r="Z1066" s="63" t="str">
        <f t="shared" si="50"/>
        <v/>
      </c>
      <c r="AA1066" s="63" t="str">
        <f>TEXT(Table111[[#This Row],[YEAR]],"0000")&amp;"-"&amp;Table111[[#This Row],[MONTH]]</f>
        <v>-</v>
      </c>
    </row>
    <row r="1067" spans="2:27" x14ac:dyDescent="0.3">
      <c r="B1067" s="68"/>
      <c r="C1067" s="68"/>
      <c r="D1067" s="68"/>
      <c r="E1067" s="71"/>
      <c r="F1067" s="72"/>
      <c r="G1067" s="70"/>
      <c r="H1067" s="74"/>
      <c r="I1067" s="70"/>
      <c r="J1067" s="70"/>
      <c r="K1067" s="70"/>
      <c r="L1067" s="74"/>
      <c r="M1067" s="123"/>
      <c r="N1067" s="73"/>
      <c r="O1067" s="236"/>
      <c r="P1067" s="117"/>
      <c r="Q1067" s="117"/>
      <c r="R1067" s="156" t="str">
        <f>IF(Table111[[#This Row],[Qty]]="","",Table111[[#This Row],[Qty]]*Table111[[#This Row],[Unit Price]])</f>
        <v/>
      </c>
      <c r="S1067" s="156" t="str">
        <f>IF(Table111[[#This Row],[Qty]]="","",Table111[[#This Row],[Qty]]*Table111[[#This Row],[Unit Price]]+Table111[[#This Row],[Delivery Cost]])</f>
        <v/>
      </c>
      <c r="T1067" s="72"/>
      <c r="U1067" s="72"/>
      <c r="V1067" s="72"/>
      <c r="W1067" s="219"/>
      <c r="X1067" s="63" t="str">
        <f t="shared" si="48"/>
        <v/>
      </c>
      <c r="Y1067" s="63" t="str">
        <f t="shared" si="49"/>
        <v/>
      </c>
      <c r="Z1067" s="63" t="str">
        <f t="shared" si="50"/>
        <v/>
      </c>
      <c r="AA1067" s="63" t="str">
        <f>TEXT(Table111[[#This Row],[YEAR]],"0000")&amp;"-"&amp;Table111[[#This Row],[MONTH]]</f>
        <v>-</v>
      </c>
    </row>
    <row r="1068" spans="2:27" x14ac:dyDescent="0.3">
      <c r="B1068" s="183"/>
      <c r="C1068" s="183"/>
      <c r="D1068" s="183"/>
      <c r="E1068" s="71"/>
      <c r="F1068" s="72"/>
      <c r="G1068" s="70"/>
      <c r="H1068" s="74"/>
      <c r="I1068" s="70"/>
      <c r="J1068" s="70"/>
      <c r="K1068" s="70"/>
      <c r="L1068" s="74"/>
      <c r="M1068" s="123"/>
      <c r="N1068" s="73"/>
      <c r="O1068" s="236"/>
      <c r="P1068" s="117"/>
      <c r="Q1068" s="117"/>
      <c r="R1068" s="156" t="str">
        <f>IF(Table111[[#This Row],[Qty]]="","",Table111[[#This Row],[Qty]]*Table111[[#This Row],[Unit Price]])</f>
        <v/>
      </c>
      <c r="S1068" s="156" t="str">
        <f>IF(Table111[[#This Row],[Qty]]="","",Table111[[#This Row],[Qty]]*Table111[[#This Row],[Unit Price]]+Table111[[#This Row],[Delivery Cost]])</f>
        <v/>
      </c>
      <c r="T1068" s="72"/>
      <c r="U1068" s="72"/>
      <c r="V1068" s="72"/>
      <c r="W1068" s="65"/>
      <c r="X1068" s="63" t="str">
        <f t="shared" si="48"/>
        <v/>
      </c>
      <c r="Y1068" s="63" t="str">
        <f t="shared" si="49"/>
        <v/>
      </c>
      <c r="Z1068" s="63" t="str">
        <f t="shared" si="50"/>
        <v/>
      </c>
      <c r="AA1068" s="63" t="str">
        <f>TEXT(Table111[[#This Row],[YEAR]],"0000")&amp;"-"&amp;Table111[[#This Row],[MONTH]]</f>
        <v>-</v>
      </c>
    </row>
    <row r="1069" spans="2:27" x14ac:dyDescent="0.3">
      <c r="B1069" s="68"/>
      <c r="C1069" s="68"/>
      <c r="D1069" s="68"/>
      <c r="E1069" s="71"/>
      <c r="F1069" s="72"/>
      <c r="G1069" s="70"/>
      <c r="H1069" s="74"/>
      <c r="I1069" s="70"/>
      <c r="J1069" s="70"/>
      <c r="K1069" s="70"/>
      <c r="L1069" s="74"/>
      <c r="M1069" s="123"/>
      <c r="N1069" s="73"/>
      <c r="O1069" s="236"/>
      <c r="P1069" s="117"/>
      <c r="Q1069" s="117"/>
      <c r="R1069" s="156" t="str">
        <f>IF(Table111[[#This Row],[Qty]]="","",Table111[[#This Row],[Qty]]*Table111[[#This Row],[Unit Price]])</f>
        <v/>
      </c>
      <c r="S1069" s="156" t="str">
        <f>IF(Table111[[#This Row],[Qty]]="","",Table111[[#This Row],[Qty]]*Table111[[#This Row],[Unit Price]]+Table111[[#This Row],[Delivery Cost]])</f>
        <v/>
      </c>
      <c r="T1069" s="72"/>
      <c r="U1069" s="72"/>
      <c r="V1069" s="72"/>
      <c r="W1069" s="219"/>
      <c r="X1069" s="63" t="str">
        <f t="shared" si="48"/>
        <v/>
      </c>
      <c r="Y1069" s="63" t="str">
        <f t="shared" si="49"/>
        <v/>
      </c>
      <c r="Z1069" s="63" t="str">
        <f t="shared" si="50"/>
        <v/>
      </c>
      <c r="AA1069" s="63" t="str">
        <f>TEXT(Table111[[#This Row],[YEAR]],"0000")&amp;"-"&amp;Table111[[#This Row],[MONTH]]</f>
        <v>-</v>
      </c>
    </row>
    <row r="1070" spans="2:27" x14ac:dyDescent="0.3">
      <c r="B1070" s="183"/>
      <c r="C1070" s="183"/>
      <c r="D1070" s="183"/>
      <c r="E1070" s="71"/>
      <c r="F1070" s="72"/>
      <c r="G1070" s="70"/>
      <c r="H1070" s="74"/>
      <c r="I1070" s="70"/>
      <c r="J1070" s="70"/>
      <c r="K1070" s="70"/>
      <c r="L1070" s="74"/>
      <c r="M1070" s="123"/>
      <c r="N1070" s="73"/>
      <c r="O1070" s="236"/>
      <c r="P1070" s="117"/>
      <c r="Q1070" s="117"/>
      <c r="R1070" s="156" t="str">
        <f>IF(Table111[[#This Row],[Qty]]="","",Table111[[#This Row],[Qty]]*Table111[[#This Row],[Unit Price]])</f>
        <v/>
      </c>
      <c r="S1070" s="156" t="str">
        <f>IF(Table111[[#This Row],[Qty]]="","",Table111[[#This Row],[Qty]]*Table111[[#This Row],[Unit Price]]+Table111[[#This Row],[Delivery Cost]])</f>
        <v/>
      </c>
      <c r="T1070" s="72"/>
      <c r="U1070" s="72"/>
      <c r="V1070" s="72"/>
      <c r="W1070" s="65"/>
      <c r="X1070" s="63" t="str">
        <f t="shared" si="48"/>
        <v/>
      </c>
      <c r="Y1070" s="63" t="str">
        <f t="shared" si="49"/>
        <v/>
      </c>
      <c r="Z1070" s="63" t="str">
        <f t="shared" si="50"/>
        <v/>
      </c>
      <c r="AA1070" s="63" t="str">
        <f>TEXT(Table111[[#This Row],[YEAR]],"0000")&amp;"-"&amp;Table111[[#This Row],[MONTH]]</f>
        <v>-</v>
      </c>
    </row>
    <row r="1071" spans="2:27" x14ac:dyDescent="0.3">
      <c r="B1071" s="68"/>
      <c r="C1071" s="68"/>
      <c r="D1071" s="68"/>
      <c r="E1071" s="71"/>
      <c r="F1071" s="72"/>
      <c r="G1071" s="70"/>
      <c r="H1071" s="74"/>
      <c r="I1071" s="70"/>
      <c r="J1071" s="70"/>
      <c r="K1071" s="70"/>
      <c r="L1071" s="74"/>
      <c r="M1071" s="123"/>
      <c r="N1071" s="73"/>
      <c r="O1071" s="236"/>
      <c r="P1071" s="117"/>
      <c r="Q1071" s="117"/>
      <c r="R1071" s="156" t="str">
        <f>IF(Table111[[#This Row],[Qty]]="","",Table111[[#This Row],[Qty]]*Table111[[#This Row],[Unit Price]])</f>
        <v/>
      </c>
      <c r="S1071" s="156" t="str">
        <f>IF(Table111[[#This Row],[Qty]]="","",Table111[[#This Row],[Qty]]*Table111[[#This Row],[Unit Price]]+Table111[[#This Row],[Delivery Cost]])</f>
        <v/>
      </c>
      <c r="T1071" s="72"/>
      <c r="U1071" s="72"/>
      <c r="V1071" s="72"/>
      <c r="W1071" s="219"/>
      <c r="X1071" s="63" t="str">
        <f t="shared" si="48"/>
        <v/>
      </c>
      <c r="Y1071" s="63" t="str">
        <f t="shared" si="49"/>
        <v/>
      </c>
      <c r="Z1071" s="63" t="str">
        <f t="shared" si="50"/>
        <v/>
      </c>
      <c r="AA1071" s="63" t="str">
        <f>TEXT(Table111[[#This Row],[YEAR]],"0000")&amp;"-"&amp;Table111[[#This Row],[MONTH]]</f>
        <v>-</v>
      </c>
    </row>
    <row r="1072" spans="2:27" x14ac:dyDescent="0.3">
      <c r="B1072" s="183"/>
      <c r="C1072" s="183"/>
      <c r="D1072" s="183"/>
      <c r="E1072" s="71"/>
      <c r="F1072" s="72"/>
      <c r="G1072" s="70"/>
      <c r="H1072" s="74"/>
      <c r="I1072" s="70"/>
      <c r="J1072" s="70"/>
      <c r="K1072" s="70"/>
      <c r="L1072" s="74"/>
      <c r="M1072" s="123"/>
      <c r="N1072" s="73"/>
      <c r="O1072" s="236"/>
      <c r="P1072" s="117"/>
      <c r="Q1072" s="117"/>
      <c r="R1072" s="156" t="str">
        <f>IF(Table111[[#This Row],[Qty]]="","",Table111[[#This Row],[Qty]]*Table111[[#This Row],[Unit Price]])</f>
        <v/>
      </c>
      <c r="S1072" s="156" t="str">
        <f>IF(Table111[[#This Row],[Qty]]="","",Table111[[#This Row],[Qty]]*Table111[[#This Row],[Unit Price]]+Table111[[#This Row],[Delivery Cost]])</f>
        <v/>
      </c>
      <c r="T1072" s="72"/>
      <c r="U1072" s="72"/>
      <c r="V1072" s="72"/>
      <c r="W1072" s="65"/>
      <c r="X1072" s="63" t="str">
        <f t="shared" si="48"/>
        <v/>
      </c>
      <c r="Y1072" s="63" t="str">
        <f t="shared" si="49"/>
        <v/>
      </c>
      <c r="Z1072" s="63" t="str">
        <f t="shared" si="50"/>
        <v/>
      </c>
      <c r="AA1072" s="63" t="str">
        <f>TEXT(Table111[[#This Row],[YEAR]],"0000")&amp;"-"&amp;Table111[[#This Row],[MONTH]]</f>
        <v>-</v>
      </c>
    </row>
    <row r="1073" spans="2:27" x14ac:dyDescent="0.3">
      <c r="B1073" s="68"/>
      <c r="C1073" s="68"/>
      <c r="D1073" s="68"/>
      <c r="E1073" s="71"/>
      <c r="F1073" s="72"/>
      <c r="G1073" s="70"/>
      <c r="H1073" s="74"/>
      <c r="I1073" s="70"/>
      <c r="J1073" s="70"/>
      <c r="K1073" s="70"/>
      <c r="L1073" s="74"/>
      <c r="M1073" s="123"/>
      <c r="N1073" s="73"/>
      <c r="O1073" s="236"/>
      <c r="P1073" s="117"/>
      <c r="Q1073" s="117"/>
      <c r="R1073" s="156" t="str">
        <f>IF(Table111[[#This Row],[Qty]]="","",Table111[[#This Row],[Qty]]*Table111[[#This Row],[Unit Price]])</f>
        <v/>
      </c>
      <c r="S1073" s="156" t="str">
        <f>IF(Table111[[#This Row],[Qty]]="","",Table111[[#This Row],[Qty]]*Table111[[#This Row],[Unit Price]]+Table111[[#This Row],[Delivery Cost]])</f>
        <v/>
      </c>
      <c r="T1073" s="72"/>
      <c r="U1073" s="72"/>
      <c r="V1073" s="72"/>
      <c r="W1073" s="219"/>
      <c r="X1073" s="63" t="str">
        <f t="shared" si="48"/>
        <v/>
      </c>
      <c r="Y1073" s="63" t="str">
        <f t="shared" si="49"/>
        <v/>
      </c>
      <c r="Z1073" s="63" t="str">
        <f t="shared" si="50"/>
        <v/>
      </c>
      <c r="AA1073" s="63" t="str">
        <f>TEXT(Table111[[#This Row],[YEAR]],"0000")&amp;"-"&amp;Table111[[#This Row],[MONTH]]</f>
        <v>-</v>
      </c>
    </row>
    <row r="1074" spans="2:27" x14ac:dyDescent="0.3">
      <c r="B1074" s="183"/>
      <c r="C1074" s="183"/>
      <c r="D1074" s="183"/>
      <c r="E1074" s="71"/>
      <c r="F1074" s="72"/>
      <c r="G1074" s="70"/>
      <c r="H1074" s="74"/>
      <c r="I1074" s="70"/>
      <c r="J1074" s="70"/>
      <c r="K1074" s="70"/>
      <c r="L1074" s="74"/>
      <c r="M1074" s="123"/>
      <c r="N1074" s="73"/>
      <c r="O1074" s="236"/>
      <c r="P1074" s="117"/>
      <c r="Q1074" s="117"/>
      <c r="R1074" s="156" t="str">
        <f>IF(Table111[[#This Row],[Qty]]="","",Table111[[#This Row],[Qty]]*Table111[[#This Row],[Unit Price]])</f>
        <v/>
      </c>
      <c r="S1074" s="156" t="str">
        <f>IF(Table111[[#This Row],[Qty]]="","",Table111[[#This Row],[Qty]]*Table111[[#This Row],[Unit Price]]+Table111[[#This Row],[Delivery Cost]])</f>
        <v/>
      </c>
      <c r="T1074" s="72"/>
      <c r="U1074" s="72"/>
      <c r="V1074" s="72"/>
      <c r="W1074" s="65"/>
      <c r="X1074" s="63" t="str">
        <f t="shared" si="48"/>
        <v/>
      </c>
      <c r="Y1074" s="63" t="str">
        <f t="shared" si="49"/>
        <v/>
      </c>
      <c r="Z1074" s="63" t="str">
        <f t="shared" si="50"/>
        <v/>
      </c>
      <c r="AA1074" s="63" t="str">
        <f>TEXT(Table111[[#This Row],[YEAR]],"0000")&amp;"-"&amp;Table111[[#This Row],[MONTH]]</f>
        <v>-</v>
      </c>
    </row>
    <row r="1075" spans="2:27" x14ac:dyDescent="0.3">
      <c r="B1075" s="68"/>
      <c r="C1075" s="68"/>
      <c r="D1075" s="68"/>
      <c r="E1075" s="71"/>
      <c r="F1075" s="72"/>
      <c r="G1075" s="70"/>
      <c r="H1075" s="74"/>
      <c r="I1075" s="70"/>
      <c r="J1075" s="70"/>
      <c r="K1075" s="70"/>
      <c r="L1075" s="74"/>
      <c r="M1075" s="123"/>
      <c r="N1075" s="73"/>
      <c r="O1075" s="236"/>
      <c r="P1075" s="117"/>
      <c r="Q1075" s="117"/>
      <c r="R1075" s="156" t="str">
        <f>IF(Table111[[#This Row],[Qty]]="","",Table111[[#This Row],[Qty]]*Table111[[#This Row],[Unit Price]])</f>
        <v/>
      </c>
      <c r="S1075" s="156" t="str">
        <f>IF(Table111[[#This Row],[Qty]]="","",Table111[[#This Row],[Qty]]*Table111[[#This Row],[Unit Price]]+Table111[[#This Row],[Delivery Cost]])</f>
        <v/>
      </c>
      <c r="T1075" s="72"/>
      <c r="U1075" s="72"/>
      <c r="V1075" s="72"/>
      <c r="W1075" s="219"/>
      <c r="X1075" s="63" t="str">
        <f t="shared" si="48"/>
        <v/>
      </c>
      <c r="Y1075" s="63" t="str">
        <f t="shared" si="49"/>
        <v/>
      </c>
      <c r="Z1075" s="63" t="str">
        <f t="shared" si="50"/>
        <v/>
      </c>
      <c r="AA1075" s="63" t="str">
        <f>TEXT(Table111[[#This Row],[YEAR]],"0000")&amp;"-"&amp;Table111[[#This Row],[MONTH]]</f>
        <v>-</v>
      </c>
    </row>
    <row r="1076" spans="2:27" x14ac:dyDescent="0.3">
      <c r="B1076" s="183"/>
      <c r="C1076" s="183"/>
      <c r="D1076" s="183"/>
      <c r="E1076" s="71"/>
      <c r="F1076" s="72"/>
      <c r="G1076" s="70"/>
      <c r="H1076" s="74"/>
      <c r="I1076" s="70"/>
      <c r="J1076" s="70"/>
      <c r="K1076" s="70"/>
      <c r="L1076" s="74"/>
      <c r="M1076" s="123"/>
      <c r="N1076" s="73"/>
      <c r="O1076" s="236"/>
      <c r="P1076" s="117"/>
      <c r="Q1076" s="117"/>
      <c r="R1076" s="156" t="str">
        <f>IF(Table111[[#This Row],[Qty]]="","",Table111[[#This Row],[Qty]]*Table111[[#This Row],[Unit Price]])</f>
        <v/>
      </c>
      <c r="S1076" s="156" t="str">
        <f>IF(Table111[[#This Row],[Qty]]="","",Table111[[#This Row],[Qty]]*Table111[[#This Row],[Unit Price]]+Table111[[#This Row],[Delivery Cost]])</f>
        <v/>
      </c>
      <c r="T1076" s="72"/>
      <c r="U1076" s="72"/>
      <c r="V1076" s="72"/>
      <c r="W1076" s="65"/>
      <c r="X1076" s="63" t="str">
        <f t="shared" si="48"/>
        <v/>
      </c>
      <c r="Y1076" s="63" t="str">
        <f t="shared" si="49"/>
        <v/>
      </c>
      <c r="Z1076" s="63" t="str">
        <f t="shared" si="50"/>
        <v/>
      </c>
      <c r="AA1076" s="63" t="str">
        <f>TEXT(Table111[[#This Row],[YEAR]],"0000")&amp;"-"&amp;Table111[[#This Row],[MONTH]]</f>
        <v>-</v>
      </c>
    </row>
    <row r="1077" spans="2:27" x14ac:dyDescent="0.3">
      <c r="B1077" s="68"/>
      <c r="C1077" s="68"/>
      <c r="D1077" s="68"/>
      <c r="E1077" s="71"/>
      <c r="F1077" s="72"/>
      <c r="G1077" s="70"/>
      <c r="H1077" s="74"/>
      <c r="I1077" s="70"/>
      <c r="J1077" s="70"/>
      <c r="K1077" s="70"/>
      <c r="L1077" s="74"/>
      <c r="M1077" s="123"/>
      <c r="N1077" s="73"/>
      <c r="O1077" s="236"/>
      <c r="P1077" s="117"/>
      <c r="Q1077" s="117"/>
      <c r="R1077" s="156" t="str">
        <f>IF(Table111[[#This Row],[Qty]]="","",Table111[[#This Row],[Qty]]*Table111[[#This Row],[Unit Price]])</f>
        <v/>
      </c>
      <c r="S1077" s="156" t="str">
        <f>IF(Table111[[#This Row],[Qty]]="","",Table111[[#This Row],[Qty]]*Table111[[#This Row],[Unit Price]]+Table111[[#This Row],[Delivery Cost]])</f>
        <v/>
      </c>
      <c r="T1077" s="72"/>
      <c r="U1077" s="72"/>
      <c r="V1077" s="72"/>
      <c r="W1077" s="219"/>
      <c r="X1077" s="63" t="str">
        <f t="shared" si="48"/>
        <v/>
      </c>
      <c r="Y1077" s="63" t="str">
        <f t="shared" si="49"/>
        <v/>
      </c>
      <c r="Z1077" s="63" t="str">
        <f t="shared" si="50"/>
        <v/>
      </c>
      <c r="AA1077" s="63" t="str">
        <f>TEXT(Table111[[#This Row],[YEAR]],"0000")&amp;"-"&amp;Table111[[#This Row],[MONTH]]</f>
        <v>-</v>
      </c>
    </row>
    <row r="1078" spans="2:27" x14ac:dyDescent="0.3">
      <c r="B1078" s="183"/>
      <c r="C1078" s="183"/>
      <c r="D1078" s="183"/>
      <c r="E1078" s="71"/>
      <c r="F1078" s="72"/>
      <c r="G1078" s="70"/>
      <c r="H1078" s="74"/>
      <c r="I1078" s="70"/>
      <c r="J1078" s="70"/>
      <c r="K1078" s="70"/>
      <c r="L1078" s="74"/>
      <c r="M1078" s="123"/>
      <c r="N1078" s="73"/>
      <c r="O1078" s="236"/>
      <c r="P1078" s="117"/>
      <c r="Q1078" s="117"/>
      <c r="R1078" s="156" t="str">
        <f>IF(Table111[[#This Row],[Qty]]="","",Table111[[#This Row],[Qty]]*Table111[[#This Row],[Unit Price]])</f>
        <v/>
      </c>
      <c r="S1078" s="156" t="str">
        <f>IF(Table111[[#This Row],[Qty]]="","",Table111[[#This Row],[Qty]]*Table111[[#This Row],[Unit Price]]+Table111[[#This Row],[Delivery Cost]])</f>
        <v/>
      </c>
      <c r="T1078" s="72"/>
      <c r="U1078" s="72"/>
      <c r="V1078" s="72"/>
      <c r="W1078" s="65"/>
      <c r="X1078" s="63" t="str">
        <f t="shared" si="48"/>
        <v/>
      </c>
      <c r="Y1078" s="63" t="str">
        <f t="shared" si="49"/>
        <v/>
      </c>
      <c r="Z1078" s="63" t="str">
        <f t="shared" si="50"/>
        <v/>
      </c>
      <c r="AA1078" s="63" t="str">
        <f>TEXT(Table111[[#This Row],[YEAR]],"0000")&amp;"-"&amp;Table111[[#This Row],[MONTH]]</f>
        <v>-</v>
      </c>
    </row>
    <row r="1079" spans="2:27" x14ac:dyDescent="0.3">
      <c r="B1079" s="68"/>
      <c r="C1079" s="68"/>
      <c r="D1079" s="68"/>
      <c r="E1079" s="71"/>
      <c r="F1079" s="72"/>
      <c r="G1079" s="70"/>
      <c r="H1079" s="74"/>
      <c r="I1079" s="70"/>
      <c r="J1079" s="70"/>
      <c r="K1079" s="70"/>
      <c r="L1079" s="74"/>
      <c r="M1079" s="123"/>
      <c r="N1079" s="73"/>
      <c r="O1079" s="236"/>
      <c r="P1079" s="117"/>
      <c r="Q1079" s="117"/>
      <c r="R1079" s="156" t="str">
        <f>IF(Table111[[#This Row],[Qty]]="","",Table111[[#This Row],[Qty]]*Table111[[#This Row],[Unit Price]])</f>
        <v/>
      </c>
      <c r="S1079" s="156" t="str">
        <f>IF(Table111[[#This Row],[Qty]]="","",Table111[[#This Row],[Qty]]*Table111[[#This Row],[Unit Price]]+Table111[[#This Row],[Delivery Cost]])</f>
        <v/>
      </c>
      <c r="T1079" s="72"/>
      <c r="U1079" s="72"/>
      <c r="V1079" s="72"/>
      <c r="W1079" s="219"/>
      <c r="X1079" s="63" t="str">
        <f t="shared" si="48"/>
        <v/>
      </c>
      <c r="Y1079" s="63" t="str">
        <f t="shared" si="49"/>
        <v/>
      </c>
      <c r="Z1079" s="63" t="str">
        <f t="shared" si="50"/>
        <v/>
      </c>
      <c r="AA1079" s="63" t="str">
        <f>TEXT(Table111[[#This Row],[YEAR]],"0000")&amp;"-"&amp;Table111[[#This Row],[MONTH]]</f>
        <v>-</v>
      </c>
    </row>
    <row r="1080" spans="2:27" x14ac:dyDescent="0.3">
      <c r="B1080" s="183"/>
      <c r="C1080" s="183"/>
      <c r="D1080" s="183"/>
      <c r="E1080" s="71"/>
      <c r="F1080" s="72"/>
      <c r="G1080" s="70"/>
      <c r="H1080" s="74"/>
      <c r="I1080" s="70"/>
      <c r="J1080" s="70"/>
      <c r="K1080" s="70"/>
      <c r="L1080" s="74"/>
      <c r="M1080" s="123"/>
      <c r="N1080" s="73"/>
      <c r="O1080" s="236"/>
      <c r="P1080" s="117"/>
      <c r="Q1080" s="117"/>
      <c r="R1080" s="156" t="str">
        <f>IF(Table111[[#This Row],[Qty]]="","",Table111[[#This Row],[Qty]]*Table111[[#This Row],[Unit Price]])</f>
        <v/>
      </c>
      <c r="S1080" s="156" t="str">
        <f>IF(Table111[[#This Row],[Qty]]="","",Table111[[#This Row],[Qty]]*Table111[[#This Row],[Unit Price]]+Table111[[#This Row],[Delivery Cost]])</f>
        <v/>
      </c>
      <c r="T1080" s="72"/>
      <c r="U1080" s="72"/>
      <c r="V1080" s="72"/>
      <c r="W1080" s="65"/>
      <c r="X1080" s="63" t="str">
        <f t="shared" si="48"/>
        <v/>
      </c>
      <c r="Y1080" s="63" t="str">
        <f t="shared" si="49"/>
        <v/>
      </c>
      <c r="Z1080" s="63" t="str">
        <f t="shared" si="50"/>
        <v/>
      </c>
      <c r="AA1080" s="63" t="str">
        <f>TEXT(Table111[[#This Row],[YEAR]],"0000")&amp;"-"&amp;Table111[[#This Row],[MONTH]]</f>
        <v>-</v>
      </c>
    </row>
    <row r="1081" spans="2:27" x14ac:dyDescent="0.3">
      <c r="B1081" s="68"/>
      <c r="C1081" s="68"/>
      <c r="D1081" s="68"/>
      <c r="E1081" s="71"/>
      <c r="F1081" s="72"/>
      <c r="G1081" s="70"/>
      <c r="H1081" s="74"/>
      <c r="I1081" s="70"/>
      <c r="J1081" s="70"/>
      <c r="K1081" s="70"/>
      <c r="L1081" s="74"/>
      <c r="M1081" s="123"/>
      <c r="N1081" s="73"/>
      <c r="O1081" s="236"/>
      <c r="P1081" s="117"/>
      <c r="Q1081" s="117"/>
      <c r="R1081" s="156" t="str">
        <f>IF(Table111[[#This Row],[Qty]]="","",Table111[[#This Row],[Qty]]*Table111[[#This Row],[Unit Price]])</f>
        <v/>
      </c>
      <c r="S1081" s="156" t="str">
        <f>IF(Table111[[#This Row],[Qty]]="","",Table111[[#This Row],[Qty]]*Table111[[#This Row],[Unit Price]]+Table111[[#This Row],[Delivery Cost]])</f>
        <v/>
      </c>
      <c r="T1081" s="72"/>
      <c r="U1081" s="72"/>
      <c r="V1081" s="72"/>
      <c r="W1081" s="219"/>
      <c r="X1081" s="63" t="str">
        <f t="shared" si="48"/>
        <v/>
      </c>
      <c r="Y1081" s="63" t="str">
        <f t="shared" si="49"/>
        <v/>
      </c>
      <c r="Z1081" s="63" t="str">
        <f t="shared" si="50"/>
        <v/>
      </c>
      <c r="AA1081" s="63" t="str">
        <f>TEXT(Table111[[#This Row],[YEAR]],"0000")&amp;"-"&amp;Table111[[#This Row],[MONTH]]</f>
        <v>-</v>
      </c>
    </row>
    <row r="1082" spans="2:27" x14ac:dyDescent="0.3">
      <c r="B1082" s="183"/>
      <c r="C1082" s="183"/>
      <c r="D1082" s="183"/>
      <c r="E1082" s="71"/>
      <c r="F1082" s="72"/>
      <c r="G1082" s="70"/>
      <c r="H1082" s="74"/>
      <c r="I1082" s="70"/>
      <c r="J1082" s="70"/>
      <c r="K1082" s="70"/>
      <c r="L1082" s="74"/>
      <c r="M1082" s="123"/>
      <c r="N1082" s="73"/>
      <c r="O1082" s="236"/>
      <c r="P1082" s="117"/>
      <c r="Q1082" s="117"/>
      <c r="R1082" s="156" t="str">
        <f>IF(Table111[[#This Row],[Qty]]="","",Table111[[#This Row],[Qty]]*Table111[[#This Row],[Unit Price]])</f>
        <v/>
      </c>
      <c r="S1082" s="156" t="str">
        <f>IF(Table111[[#This Row],[Qty]]="","",Table111[[#This Row],[Qty]]*Table111[[#This Row],[Unit Price]]+Table111[[#This Row],[Delivery Cost]])</f>
        <v/>
      </c>
      <c r="T1082" s="72"/>
      <c r="U1082" s="72"/>
      <c r="V1082" s="72"/>
      <c r="W1082" s="65"/>
      <c r="X1082" s="63" t="str">
        <f t="shared" si="48"/>
        <v/>
      </c>
      <c r="Y1082" s="63" t="str">
        <f t="shared" si="49"/>
        <v/>
      </c>
      <c r="Z1082" s="63" t="str">
        <f t="shared" si="50"/>
        <v/>
      </c>
      <c r="AA1082" s="63" t="str">
        <f>TEXT(Table111[[#This Row],[YEAR]],"0000")&amp;"-"&amp;Table111[[#This Row],[MONTH]]</f>
        <v>-</v>
      </c>
    </row>
    <row r="1083" spans="2:27" x14ac:dyDescent="0.3">
      <c r="B1083" s="68"/>
      <c r="C1083" s="68"/>
      <c r="D1083" s="68"/>
      <c r="E1083" s="71"/>
      <c r="F1083" s="72"/>
      <c r="G1083" s="70"/>
      <c r="H1083" s="74"/>
      <c r="I1083" s="70"/>
      <c r="J1083" s="70"/>
      <c r="K1083" s="70"/>
      <c r="L1083" s="74"/>
      <c r="M1083" s="123"/>
      <c r="N1083" s="73"/>
      <c r="O1083" s="236"/>
      <c r="P1083" s="117"/>
      <c r="Q1083" s="117"/>
      <c r="R1083" s="156" t="str">
        <f>IF(Table111[[#This Row],[Qty]]="","",Table111[[#This Row],[Qty]]*Table111[[#This Row],[Unit Price]])</f>
        <v/>
      </c>
      <c r="S1083" s="156" t="str">
        <f>IF(Table111[[#This Row],[Qty]]="","",Table111[[#This Row],[Qty]]*Table111[[#This Row],[Unit Price]]+Table111[[#This Row],[Delivery Cost]])</f>
        <v/>
      </c>
      <c r="T1083" s="72"/>
      <c r="U1083" s="72"/>
      <c r="V1083" s="72"/>
      <c r="W1083" s="219"/>
      <c r="X1083" s="63" t="str">
        <f t="shared" si="48"/>
        <v/>
      </c>
      <c r="Y1083" s="63" t="str">
        <f t="shared" si="49"/>
        <v/>
      </c>
      <c r="Z1083" s="63" t="str">
        <f t="shared" si="50"/>
        <v/>
      </c>
      <c r="AA1083" s="63" t="str">
        <f>TEXT(Table111[[#This Row],[YEAR]],"0000")&amp;"-"&amp;Table111[[#This Row],[MONTH]]</f>
        <v>-</v>
      </c>
    </row>
    <row r="1084" spans="2:27" x14ac:dyDescent="0.3">
      <c r="B1084" s="183"/>
      <c r="C1084" s="183"/>
      <c r="D1084" s="183"/>
      <c r="E1084" s="71"/>
      <c r="F1084" s="72"/>
      <c r="G1084" s="70"/>
      <c r="H1084" s="74"/>
      <c r="I1084" s="70"/>
      <c r="J1084" s="70"/>
      <c r="K1084" s="70"/>
      <c r="L1084" s="74"/>
      <c r="M1084" s="123"/>
      <c r="N1084" s="73"/>
      <c r="O1084" s="236"/>
      <c r="P1084" s="117"/>
      <c r="Q1084" s="117"/>
      <c r="R1084" s="156" t="str">
        <f>IF(Table111[[#This Row],[Qty]]="","",Table111[[#This Row],[Qty]]*Table111[[#This Row],[Unit Price]])</f>
        <v/>
      </c>
      <c r="S1084" s="156" t="str">
        <f>IF(Table111[[#This Row],[Qty]]="","",Table111[[#This Row],[Qty]]*Table111[[#This Row],[Unit Price]]+Table111[[#This Row],[Delivery Cost]])</f>
        <v/>
      </c>
      <c r="T1084" s="72"/>
      <c r="U1084" s="72"/>
      <c r="V1084" s="72"/>
      <c r="W1084" s="65"/>
      <c r="X1084" s="63" t="str">
        <f t="shared" si="48"/>
        <v/>
      </c>
      <c r="Y1084" s="63" t="str">
        <f t="shared" si="49"/>
        <v/>
      </c>
      <c r="Z1084" s="63" t="str">
        <f t="shared" si="50"/>
        <v/>
      </c>
      <c r="AA1084" s="63" t="str">
        <f>TEXT(Table111[[#This Row],[YEAR]],"0000")&amp;"-"&amp;Table111[[#This Row],[MONTH]]</f>
        <v>-</v>
      </c>
    </row>
    <row r="1085" spans="2:27" x14ac:dyDescent="0.3">
      <c r="B1085" s="68"/>
      <c r="C1085" s="68"/>
      <c r="D1085" s="68"/>
      <c r="E1085" s="71"/>
      <c r="F1085" s="72"/>
      <c r="G1085" s="70"/>
      <c r="H1085" s="74"/>
      <c r="I1085" s="70"/>
      <c r="J1085" s="70"/>
      <c r="K1085" s="70"/>
      <c r="L1085" s="74"/>
      <c r="M1085" s="123"/>
      <c r="N1085" s="73"/>
      <c r="O1085" s="236"/>
      <c r="P1085" s="117"/>
      <c r="Q1085" s="117"/>
      <c r="R1085" s="156" t="str">
        <f>IF(Table111[[#This Row],[Qty]]="","",Table111[[#This Row],[Qty]]*Table111[[#This Row],[Unit Price]])</f>
        <v/>
      </c>
      <c r="S1085" s="156" t="str">
        <f>IF(Table111[[#This Row],[Qty]]="","",Table111[[#This Row],[Qty]]*Table111[[#This Row],[Unit Price]]+Table111[[#This Row],[Delivery Cost]])</f>
        <v/>
      </c>
      <c r="T1085" s="72"/>
      <c r="U1085" s="72"/>
      <c r="V1085" s="72"/>
      <c r="W1085" s="219"/>
      <c r="X1085" s="63" t="str">
        <f t="shared" si="48"/>
        <v/>
      </c>
      <c r="Y1085" s="63" t="str">
        <f t="shared" si="49"/>
        <v/>
      </c>
      <c r="Z1085" s="63" t="str">
        <f t="shared" si="50"/>
        <v/>
      </c>
      <c r="AA1085" s="63" t="str">
        <f>TEXT(Table111[[#This Row],[YEAR]],"0000")&amp;"-"&amp;Table111[[#This Row],[MONTH]]</f>
        <v>-</v>
      </c>
    </row>
    <row r="1086" spans="2:27" x14ac:dyDescent="0.3">
      <c r="B1086" s="183"/>
      <c r="C1086" s="183"/>
      <c r="D1086" s="183"/>
      <c r="E1086" s="71"/>
      <c r="F1086" s="72"/>
      <c r="G1086" s="70"/>
      <c r="H1086" s="74"/>
      <c r="I1086" s="70"/>
      <c r="J1086" s="70"/>
      <c r="K1086" s="70"/>
      <c r="L1086" s="74"/>
      <c r="M1086" s="123"/>
      <c r="N1086" s="73"/>
      <c r="O1086" s="236"/>
      <c r="P1086" s="117"/>
      <c r="Q1086" s="117"/>
      <c r="R1086" s="156" t="str">
        <f>IF(Table111[[#This Row],[Qty]]="","",Table111[[#This Row],[Qty]]*Table111[[#This Row],[Unit Price]])</f>
        <v/>
      </c>
      <c r="S1086" s="156" t="str">
        <f>IF(Table111[[#This Row],[Qty]]="","",Table111[[#This Row],[Qty]]*Table111[[#This Row],[Unit Price]]+Table111[[#This Row],[Delivery Cost]])</f>
        <v/>
      </c>
      <c r="T1086" s="72"/>
      <c r="U1086" s="72"/>
      <c r="V1086" s="72"/>
      <c r="W1086" s="65"/>
      <c r="X1086" s="63" t="str">
        <f t="shared" si="48"/>
        <v/>
      </c>
      <c r="Y1086" s="63" t="str">
        <f t="shared" si="49"/>
        <v/>
      </c>
      <c r="Z1086" s="63" t="str">
        <f t="shared" si="50"/>
        <v/>
      </c>
      <c r="AA1086" s="63" t="str">
        <f>TEXT(Table111[[#This Row],[YEAR]],"0000")&amp;"-"&amp;Table111[[#This Row],[MONTH]]</f>
        <v>-</v>
      </c>
    </row>
    <row r="1087" spans="2:27" x14ac:dyDescent="0.3">
      <c r="B1087" s="68"/>
      <c r="C1087" s="68"/>
      <c r="D1087" s="68"/>
      <c r="E1087" s="71"/>
      <c r="F1087" s="72"/>
      <c r="G1087" s="70"/>
      <c r="H1087" s="74"/>
      <c r="I1087" s="70"/>
      <c r="J1087" s="70"/>
      <c r="K1087" s="70"/>
      <c r="L1087" s="74"/>
      <c r="M1087" s="123"/>
      <c r="N1087" s="73"/>
      <c r="O1087" s="236"/>
      <c r="P1087" s="117"/>
      <c r="Q1087" s="117"/>
      <c r="R1087" s="156" t="str">
        <f>IF(Table111[[#This Row],[Qty]]="","",Table111[[#This Row],[Qty]]*Table111[[#This Row],[Unit Price]])</f>
        <v/>
      </c>
      <c r="S1087" s="156" t="str">
        <f>IF(Table111[[#This Row],[Qty]]="","",Table111[[#This Row],[Qty]]*Table111[[#This Row],[Unit Price]]+Table111[[#This Row],[Delivery Cost]])</f>
        <v/>
      </c>
      <c r="T1087" s="72"/>
      <c r="U1087" s="72"/>
      <c r="V1087" s="72"/>
      <c r="W1087" s="219"/>
      <c r="X1087" s="63" t="str">
        <f t="shared" si="48"/>
        <v/>
      </c>
      <c r="Y1087" s="63" t="str">
        <f t="shared" si="49"/>
        <v/>
      </c>
      <c r="Z1087" s="63" t="str">
        <f t="shared" si="50"/>
        <v/>
      </c>
      <c r="AA1087" s="63" t="str">
        <f>TEXT(Table111[[#This Row],[YEAR]],"0000")&amp;"-"&amp;Table111[[#This Row],[MONTH]]</f>
        <v>-</v>
      </c>
    </row>
    <row r="1088" spans="2:27" x14ac:dyDescent="0.3">
      <c r="B1088" s="183"/>
      <c r="C1088" s="183"/>
      <c r="D1088" s="183"/>
      <c r="E1088" s="71"/>
      <c r="F1088" s="72"/>
      <c r="G1088" s="70"/>
      <c r="H1088" s="74"/>
      <c r="I1088" s="70"/>
      <c r="J1088" s="70"/>
      <c r="K1088" s="70"/>
      <c r="L1088" s="74"/>
      <c r="M1088" s="123"/>
      <c r="N1088" s="73"/>
      <c r="O1088" s="236"/>
      <c r="P1088" s="117"/>
      <c r="Q1088" s="117"/>
      <c r="R1088" s="156" t="str">
        <f>IF(Table111[[#This Row],[Qty]]="","",Table111[[#This Row],[Qty]]*Table111[[#This Row],[Unit Price]])</f>
        <v/>
      </c>
      <c r="S1088" s="156" t="str">
        <f>IF(Table111[[#This Row],[Qty]]="","",Table111[[#This Row],[Qty]]*Table111[[#This Row],[Unit Price]]+Table111[[#This Row],[Delivery Cost]])</f>
        <v/>
      </c>
      <c r="T1088" s="72"/>
      <c r="U1088" s="72"/>
      <c r="V1088" s="72"/>
      <c r="W1088" s="65"/>
      <c r="X1088" s="63" t="str">
        <f t="shared" si="48"/>
        <v/>
      </c>
      <c r="Y1088" s="63" t="str">
        <f t="shared" si="49"/>
        <v/>
      </c>
      <c r="Z1088" s="63" t="str">
        <f t="shared" si="50"/>
        <v/>
      </c>
      <c r="AA1088" s="63" t="str">
        <f>TEXT(Table111[[#This Row],[YEAR]],"0000")&amp;"-"&amp;Table111[[#This Row],[MONTH]]</f>
        <v>-</v>
      </c>
    </row>
    <row r="1089" spans="2:27" x14ac:dyDescent="0.3">
      <c r="B1089" s="68"/>
      <c r="C1089" s="68"/>
      <c r="D1089" s="68"/>
      <c r="E1089" s="71"/>
      <c r="F1089" s="72"/>
      <c r="G1089" s="70"/>
      <c r="H1089" s="74"/>
      <c r="I1089" s="70"/>
      <c r="J1089" s="70"/>
      <c r="K1089" s="70"/>
      <c r="L1089" s="74"/>
      <c r="M1089" s="123"/>
      <c r="N1089" s="73"/>
      <c r="O1089" s="236"/>
      <c r="P1089" s="117"/>
      <c r="Q1089" s="117"/>
      <c r="R1089" s="156" t="str">
        <f>IF(Table111[[#This Row],[Qty]]="","",Table111[[#This Row],[Qty]]*Table111[[#This Row],[Unit Price]])</f>
        <v/>
      </c>
      <c r="S1089" s="156" t="str">
        <f>IF(Table111[[#This Row],[Qty]]="","",Table111[[#This Row],[Qty]]*Table111[[#This Row],[Unit Price]]+Table111[[#This Row],[Delivery Cost]])</f>
        <v/>
      </c>
      <c r="T1089" s="72"/>
      <c r="U1089" s="72"/>
      <c r="V1089" s="72"/>
      <c r="W1089" s="219"/>
      <c r="X1089" s="63" t="str">
        <f t="shared" si="48"/>
        <v/>
      </c>
      <c r="Y1089" s="63" t="str">
        <f t="shared" si="49"/>
        <v/>
      </c>
      <c r="Z1089" s="63" t="str">
        <f t="shared" si="50"/>
        <v/>
      </c>
      <c r="AA1089" s="63" t="str">
        <f>TEXT(Table111[[#This Row],[YEAR]],"0000")&amp;"-"&amp;Table111[[#This Row],[MONTH]]</f>
        <v>-</v>
      </c>
    </row>
    <row r="1090" spans="2:27" x14ac:dyDescent="0.3">
      <c r="B1090" s="183"/>
      <c r="C1090" s="183"/>
      <c r="D1090" s="183"/>
      <c r="E1090" s="71"/>
      <c r="F1090" s="72"/>
      <c r="G1090" s="70"/>
      <c r="H1090" s="74"/>
      <c r="I1090" s="70"/>
      <c r="J1090" s="70"/>
      <c r="K1090" s="70"/>
      <c r="L1090" s="74"/>
      <c r="M1090" s="123"/>
      <c r="N1090" s="73"/>
      <c r="O1090" s="236"/>
      <c r="P1090" s="117"/>
      <c r="Q1090" s="117"/>
      <c r="R1090" s="156" t="str">
        <f>IF(Table111[[#This Row],[Qty]]="","",Table111[[#This Row],[Qty]]*Table111[[#This Row],[Unit Price]])</f>
        <v/>
      </c>
      <c r="S1090" s="156" t="str">
        <f>IF(Table111[[#This Row],[Qty]]="","",Table111[[#This Row],[Qty]]*Table111[[#This Row],[Unit Price]]+Table111[[#This Row],[Delivery Cost]])</f>
        <v/>
      </c>
      <c r="T1090" s="72"/>
      <c r="U1090" s="72"/>
      <c r="V1090" s="72"/>
      <c r="W1090" s="65"/>
      <c r="X1090" s="63" t="str">
        <f t="shared" si="48"/>
        <v/>
      </c>
      <c r="Y1090" s="63" t="str">
        <f t="shared" si="49"/>
        <v/>
      </c>
      <c r="Z1090" s="63" t="str">
        <f t="shared" si="50"/>
        <v/>
      </c>
      <c r="AA1090" s="63" t="str">
        <f>TEXT(Table111[[#This Row],[YEAR]],"0000")&amp;"-"&amp;Table111[[#This Row],[MONTH]]</f>
        <v>-</v>
      </c>
    </row>
    <row r="1091" spans="2:27" x14ac:dyDescent="0.3">
      <c r="B1091" s="68"/>
      <c r="C1091" s="68"/>
      <c r="D1091" s="68"/>
      <c r="E1091" s="71"/>
      <c r="F1091" s="72"/>
      <c r="G1091" s="70"/>
      <c r="H1091" s="74"/>
      <c r="I1091" s="70"/>
      <c r="J1091" s="70"/>
      <c r="K1091" s="70"/>
      <c r="L1091" s="74"/>
      <c r="M1091" s="123"/>
      <c r="N1091" s="73"/>
      <c r="O1091" s="236"/>
      <c r="P1091" s="117"/>
      <c r="Q1091" s="117"/>
      <c r="R1091" s="156" t="str">
        <f>IF(Table111[[#This Row],[Qty]]="","",Table111[[#This Row],[Qty]]*Table111[[#This Row],[Unit Price]])</f>
        <v/>
      </c>
      <c r="S1091" s="156" t="str">
        <f>IF(Table111[[#This Row],[Qty]]="","",Table111[[#This Row],[Qty]]*Table111[[#This Row],[Unit Price]]+Table111[[#This Row],[Delivery Cost]])</f>
        <v/>
      </c>
      <c r="T1091" s="72"/>
      <c r="U1091" s="72"/>
      <c r="V1091" s="72"/>
      <c r="W1091" s="219"/>
      <c r="X1091" s="63" t="str">
        <f t="shared" ref="X1091:X1154" si="51">IF(E1091=0,"",YEAR(E1091))</f>
        <v/>
      </c>
      <c r="Y1091" s="63" t="str">
        <f t="shared" ref="Y1091:Y1154" si="52">IF(E1091=0,"",MONTH(E1091))</f>
        <v/>
      </c>
      <c r="Z1091" s="63" t="str">
        <f t="shared" ref="Z1091:Z1154" si="53">IF(E1091=0,"",WEEKNUM(E1091))</f>
        <v/>
      </c>
      <c r="AA1091" s="63" t="str">
        <f>TEXT(Table111[[#This Row],[YEAR]],"0000")&amp;"-"&amp;Table111[[#This Row],[MONTH]]</f>
        <v>-</v>
      </c>
    </row>
    <row r="1092" spans="2:27" x14ac:dyDescent="0.3">
      <c r="B1092" s="183"/>
      <c r="C1092" s="183"/>
      <c r="D1092" s="183"/>
      <c r="E1092" s="71"/>
      <c r="F1092" s="72"/>
      <c r="G1092" s="70"/>
      <c r="H1092" s="74"/>
      <c r="I1092" s="70"/>
      <c r="J1092" s="70"/>
      <c r="K1092" s="70"/>
      <c r="L1092" s="74"/>
      <c r="M1092" s="123"/>
      <c r="N1092" s="73"/>
      <c r="O1092" s="236"/>
      <c r="P1092" s="117"/>
      <c r="Q1092" s="117"/>
      <c r="R1092" s="156" t="str">
        <f>IF(Table111[[#This Row],[Qty]]="","",Table111[[#This Row],[Qty]]*Table111[[#This Row],[Unit Price]])</f>
        <v/>
      </c>
      <c r="S1092" s="156" t="str">
        <f>IF(Table111[[#This Row],[Qty]]="","",Table111[[#This Row],[Qty]]*Table111[[#This Row],[Unit Price]]+Table111[[#This Row],[Delivery Cost]])</f>
        <v/>
      </c>
      <c r="T1092" s="72"/>
      <c r="U1092" s="72"/>
      <c r="V1092" s="72"/>
      <c r="W1092" s="65"/>
      <c r="X1092" s="63" t="str">
        <f t="shared" si="51"/>
        <v/>
      </c>
      <c r="Y1092" s="63" t="str">
        <f t="shared" si="52"/>
        <v/>
      </c>
      <c r="Z1092" s="63" t="str">
        <f t="shared" si="53"/>
        <v/>
      </c>
      <c r="AA1092" s="63" t="str">
        <f>TEXT(Table111[[#This Row],[YEAR]],"0000")&amp;"-"&amp;Table111[[#This Row],[MONTH]]</f>
        <v>-</v>
      </c>
    </row>
    <row r="1093" spans="2:27" x14ac:dyDescent="0.3">
      <c r="B1093" s="68"/>
      <c r="C1093" s="68"/>
      <c r="D1093" s="68"/>
      <c r="E1093" s="71"/>
      <c r="F1093" s="72"/>
      <c r="G1093" s="70"/>
      <c r="H1093" s="74"/>
      <c r="I1093" s="70"/>
      <c r="J1093" s="70"/>
      <c r="K1093" s="70"/>
      <c r="L1093" s="74"/>
      <c r="M1093" s="123"/>
      <c r="N1093" s="73"/>
      <c r="O1093" s="236"/>
      <c r="P1093" s="117"/>
      <c r="Q1093" s="117"/>
      <c r="R1093" s="156" t="str">
        <f>IF(Table111[[#This Row],[Qty]]="","",Table111[[#This Row],[Qty]]*Table111[[#This Row],[Unit Price]])</f>
        <v/>
      </c>
      <c r="S1093" s="156" t="str">
        <f>IF(Table111[[#This Row],[Qty]]="","",Table111[[#This Row],[Qty]]*Table111[[#This Row],[Unit Price]]+Table111[[#This Row],[Delivery Cost]])</f>
        <v/>
      </c>
      <c r="T1093" s="72"/>
      <c r="U1093" s="72"/>
      <c r="V1093" s="72"/>
      <c r="W1093" s="219"/>
      <c r="X1093" s="63" t="str">
        <f t="shared" si="51"/>
        <v/>
      </c>
      <c r="Y1093" s="63" t="str">
        <f t="shared" si="52"/>
        <v/>
      </c>
      <c r="Z1093" s="63" t="str">
        <f t="shared" si="53"/>
        <v/>
      </c>
      <c r="AA1093" s="63" t="str">
        <f>TEXT(Table111[[#This Row],[YEAR]],"0000")&amp;"-"&amp;Table111[[#This Row],[MONTH]]</f>
        <v>-</v>
      </c>
    </row>
    <row r="1094" spans="2:27" x14ac:dyDescent="0.3">
      <c r="B1094" s="183"/>
      <c r="C1094" s="183"/>
      <c r="D1094" s="183"/>
      <c r="E1094" s="71"/>
      <c r="F1094" s="72"/>
      <c r="G1094" s="70"/>
      <c r="H1094" s="74"/>
      <c r="I1094" s="70"/>
      <c r="J1094" s="70"/>
      <c r="K1094" s="70"/>
      <c r="L1094" s="74"/>
      <c r="M1094" s="123"/>
      <c r="N1094" s="73"/>
      <c r="O1094" s="236"/>
      <c r="P1094" s="117"/>
      <c r="Q1094" s="117"/>
      <c r="R1094" s="156" t="str">
        <f>IF(Table111[[#This Row],[Qty]]="","",Table111[[#This Row],[Qty]]*Table111[[#This Row],[Unit Price]])</f>
        <v/>
      </c>
      <c r="S1094" s="156" t="str">
        <f>IF(Table111[[#This Row],[Qty]]="","",Table111[[#This Row],[Qty]]*Table111[[#This Row],[Unit Price]]+Table111[[#This Row],[Delivery Cost]])</f>
        <v/>
      </c>
      <c r="T1094" s="72"/>
      <c r="U1094" s="72"/>
      <c r="V1094" s="72"/>
      <c r="W1094" s="65"/>
      <c r="X1094" s="63" t="str">
        <f t="shared" si="51"/>
        <v/>
      </c>
      <c r="Y1094" s="63" t="str">
        <f t="shared" si="52"/>
        <v/>
      </c>
      <c r="Z1094" s="63" t="str">
        <f t="shared" si="53"/>
        <v/>
      </c>
      <c r="AA1094" s="63" t="str">
        <f>TEXT(Table111[[#This Row],[YEAR]],"0000")&amp;"-"&amp;Table111[[#This Row],[MONTH]]</f>
        <v>-</v>
      </c>
    </row>
    <row r="1095" spans="2:27" x14ac:dyDescent="0.3">
      <c r="B1095" s="68"/>
      <c r="C1095" s="68"/>
      <c r="D1095" s="68"/>
      <c r="E1095" s="71"/>
      <c r="F1095" s="72"/>
      <c r="G1095" s="70"/>
      <c r="H1095" s="74"/>
      <c r="I1095" s="70"/>
      <c r="J1095" s="70"/>
      <c r="K1095" s="70"/>
      <c r="L1095" s="74"/>
      <c r="M1095" s="123"/>
      <c r="N1095" s="73"/>
      <c r="O1095" s="236"/>
      <c r="P1095" s="117"/>
      <c r="Q1095" s="117"/>
      <c r="R1095" s="156" t="str">
        <f>IF(Table111[[#This Row],[Qty]]="","",Table111[[#This Row],[Qty]]*Table111[[#This Row],[Unit Price]])</f>
        <v/>
      </c>
      <c r="S1095" s="156" t="str">
        <f>IF(Table111[[#This Row],[Qty]]="","",Table111[[#This Row],[Qty]]*Table111[[#This Row],[Unit Price]]+Table111[[#This Row],[Delivery Cost]])</f>
        <v/>
      </c>
      <c r="T1095" s="72"/>
      <c r="U1095" s="72"/>
      <c r="V1095" s="72"/>
      <c r="W1095" s="219"/>
      <c r="X1095" s="63" t="str">
        <f t="shared" si="51"/>
        <v/>
      </c>
      <c r="Y1095" s="63" t="str">
        <f t="shared" si="52"/>
        <v/>
      </c>
      <c r="Z1095" s="63" t="str">
        <f t="shared" si="53"/>
        <v/>
      </c>
      <c r="AA1095" s="63" t="str">
        <f>TEXT(Table111[[#This Row],[YEAR]],"0000")&amp;"-"&amp;Table111[[#This Row],[MONTH]]</f>
        <v>-</v>
      </c>
    </row>
    <row r="1096" spans="2:27" x14ac:dyDescent="0.3">
      <c r="B1096" s="183"/>
      <c r="C1096" s="183"/>
      <c r="D1096" s="183"/>
      <c r="E1096" s="71"/>
      <c r="F1096" s="72"/>
      <c r="G1096" s="70"/>
      <c r="H1096" s="74"/>
      <c r="I1096" s="70"/>
      <c r="J1096" s="70"/>
      <c r="K1096" s="70"/>
      <c r="L1096" s="74"/>
      <c r="M1096" s="123"/>
      <c r="N1096" s="73"/>
      <c r="O1096" s="236"/>
      <c r="P1096" s="117"/>
      <c r="Q1096" s="117"/>
      <c r="R1096" s="156" t="str">
        <f>IF(Table111[[#This Row],[Qty]]="","",Table111[[#This Row],[Qty]]*Table111[[#This Row],[Unit Price]])</f>
        <v/>
      </c>
      <c r="S1096" s="156" t="str">
        <f>IF(Table111[[#This Row],[Qty]]="","",Table111[[#This Row],[Qty]]*Table111[[#This Row],[Unit Price]]+Table111[[#This Row],[Delivery Cost]])</f>
        <v/>
      </c>
      <c r="T1096" s="72"/>
      <c r="U1096" s="72"/>
      <c r="V1096" s="72"/>
      <c r="W1096" s="65"/>
      <c r="X1096" s="63" t="str">
        <f t="shared" si="51"/>
        <v/>
      </c>
      <c r="Y1096" s="63" t="str">
        <f t="shared" si="52"/>
        <v/>
      </c>
      <c r="Z1096" s="63" t="str">
        <f t="shared" si="53"/>
        <v/>
      </c>
      <c r="AA1096" s="63" t="str">
        <f>TEXT(Table111[[#This Row],[YEAR]],"0000")&amp;"-"&amp;Table111[[#This Row],[MONTH]]</f>
        <v>-</v>
      </c>
    </row>
    <row r="1097" spans="2:27" x14ac:dyDescent="0.3">
      <c r="B1097" s="68"/>
      <c r="C1097" s="68"/>
      <c r="D1097" s="68"/>
      <c r="E1097" s="71"/>
      <c r="F1097" s="72"/>
      <c r="G1097" s="70"/>
      <c r="H1097" s="74"/>
      <c r="I1097" s="70"/>
      <c r="J1097" s="70"/>
      <c r="K1097" s="70"/>
      <c r="L1097" s="74"/>
      <c r="M1097" s="123"/>
      <c r="N1097" s="73"/>
      <c r="O1097" s="236"/>
      <c r="P1097" s="117"/>
      <c r="Q1097" s="117"/>
      <c r="R1097" s="156" t="str">
        <f>IF(Table111[[#This Row],[Qty]]="","",Table111[[#This Row],[Qty]]*Table111[[#This Row],[Unit Price]])</f>
        <v/>
      </c>
      <c r="S1097" s="156" t="str">
        <f>IF(Table111[[#This Row],[Qty]]="","",Table111[[#This Row],[Qty]]*Table111[[#This Row],[Unit Price]]+Table111[[#This Row],[Delivery Cost]])</f>
        <v/>
      </c>
      <c r="T1097" s="72"/>
      <c r="U1097" s="72"/>
      <c r="V1097" s="72"/>
      <c r="W1097" s="219"/>
      <c r="X1097" s="63" t="str">
        <f t="shared" si="51"/>
        <v/>
      </c>
      <c r="Y1097" s="63" t="str">
        <f t="shared" si="52"/>
        <v/>
      </c>
      <c r="Z1097" s="63" t="str">
        <f t="shared" si="53"/>
        <v/>
      </c>
      <c r="AA1097" s="63" t="str">
        <f>TEXT(Table111[[#This Row],[YEAR]],"0000")&amp;"-"&amp;Table111[[#This Row],[MONTH]]</f>
        <v>-</v>
      </c>
    </row>
    <row r="1098" spans="2:27" x14ac:dyDescent="0.3">
      <c r="B1098" s="183"/>
      <c r="C1098" s="183"/>
      <c r="D1098" s="183"/>
      <c r="E1098" s="71"/>
      <c r="F1098" s="72"/>
      <c r="G1098" s="70"/>
      <c r="H1098" s="74"/>
      <c r="I1098" s="70"/>
      <c r="J1098" s="70"/>
      <c r="K1098" s="70"/>
      <c r="L1098" s="74"/>
      <c r="M1098" s="123"/>
      <c r="N1098" s="73"/>
      <c r="O1098" s="236"/>
      <c r="P1098" s="117"/>
      <c r="Q1098" s="117"/>
      <c r="R1098" s="156" t="str">
        <f>IF(Table111[[#This Row],[Qty]]="","",Table111[[#This Row],[Qty]]*Table111[[#This Row],[Unit Price]])</f>
        <v/>
      </c>
      <c r="S1098" s="156" t="str">
        <f>IF(Table111[[#This Row],[Qty]]="","",Table111[[#This Row],[Qty]]*Table111[[#This Row],[Unit Price]]+Table111[[#This Row],[Delivery Cost]])</f>
        <v/>
      </c>
      <c r="T1098" s="72"/>
      <c r="U1098" s="72"/>
      <c r="V1098" s="72"/>
      <c r="W1098" s="65"/>
      <c r="X1098" s="63" t="str">
        <f t="shared" si="51"/>
        <v/>
      </c>
      <c r="Y1098" s="63" t="str">
        <f t="shared" si="52"/>
        <v/>
      </c>
      <c r="Z1098" s="63" t="str">
        <f t="shared" si="53"/>
        <v/>
      </c>
      <c r="AA1098" s="63" t="str">
        <f>TEXT(Table111[[#This Row],[YEAR]],"0000")&amp;"-"&amp;Table111[[#This Row],[MONTH]]</f>
        <v>-</v>
      </c>
    </row>
    <row r="1099" spans="2:27" x14ac:dyDescent="0.3">
      <c r="B1099" s="68"/>
      <c r="C1099" s="68"/>
      <c r="D1099" s="68"/>
      <c r="E1099" s="71"/>
      <c r="F1099" s="72"/>
      <c r="G1099" s="70"/>
      <c r="H1099" s="74"/>
      <c r="I1099" s="70"/>
      <c r="J1099" s="70"/>
      <c r="K1099" s="70"/>
      <c r="L1099" s="74"/>
      <c r="M1099" s="123"/>
      <c r="N1099" s="73"/>
      <c r="O1099" s="236"/>
      <c r="P1099" s="117"/>
      <c r="Q1099" s="117"/>
      <c r="R1099" s="156" t="str">
        <f>IF(Table111[[#This Row],[Qty]]="","",Table111[[#This Row],[Qty]]*Table111[[#This Row],[Unit Price]])</f>
        <v/>
      </c>
      <c r="S1099" s="156" t="str">
        <f>IF(Table111[[#This Row],[Qty]]="","",Table111[[#This Row],[Qty]]*Table111[[#This Row],[Unit Price]]+Table111[[#This Row],[Delivery Cost]])</f>
        <v/>
      </c>
      <c r="T1099" s="72"/>
      <c r="U1099" s="72"/>
      <c r="V1099" s="72"/>
      <c r="W1099" s="219"/>
      <c r="X1099" s="63" t="str">
        <f t="shared" si="51"/>
        <v/>
      </c>
      <c r="Y1099" s="63" t="str">
        <f t="shared" si="52"/>
        <v/>
      </c>
      <c r="Z1099" s="63" t="str">
        <f t="shared" si="53"/>
        <v/>
      </c>
      <c r="AA1099" s="63" t="str">
        <f>TEXT(Table111[[#This Row],[YEAR]],"0000")&amp;"-"&amp;Table111[[#This Row],[MONTH]]</f>
        <v>-</v>
      </c>
    </row>
    <row r="1100" spans="2:27" x14ac:dyDescent="0.3">
      <c r="B1100" s="183"/>
      <c r="C1100" s="183"/>
      <c r="D1100" s="183"/>
      <c r="E1100" s="71"/>
      <c r="F1100" s="72"/>
      <c r="G1100" s="70"/>
      <c r="H1100" s="74"/>
      <c r="I1100" s="70"/>
      <c r="J1100" s="70"/>
      <c r="K1100" s="70"/>
      <c r="L1100" s="74"/>
      <c r="M1100" s="123"/>
      <c r="N1100" s="73"/>
      <c r="O1100" s="236"/>
      <c r="P1100" s="117"/>
      <c r="Q1100" s="117"/>
      <c r="R1100" s="156" t="str">
        <f>IF(Table111[[#This Row],[Qty]]="","",Table111[[#This Row],[Qty]]*Table111[[#This Row],[Unit Price]])</f>
        <v/>
      </c>
      <c r="S1100" s="156" t="str">
        <f>IF(Table111[[#This Row],[Qty]]="","",Table111[[#This Row],[Qty]]*Table111[[#This Row],[Unit Price]]+Table111[[#This Row],[Delivery Cost]])</f>
        <v/>
      </c>
      <c r="T1100" s="72"/>
      <c r="U1100" s="72"/>
      <c r="V1100" s="72"/>
      <c r="W1100" s="65"/>
      <c r="X1100" s="63" t="str">
        <f t="shared" si="51"/>
        <v/>
      </c>
      <c r="Y1100" s="63" t="str">
        <f t="shared" si="52"/>
        <v/>
      </c>
      <c r="Z1100" s="63" t="str">
        <f t="shared" si="53"/>
        <v/>
      </c>
      <c r="AA1100" s="63" t="str">
        <f>TEXT(Table111[[#This Row],[YEAR]],"0000")&amp;"-"&amp;Table111[[#This Row],[MONTH]]</f>
        <v>-</v>
      </c>
    </row>
    <row r="1101" spans="2:27" x14ac:dyDescent="0.3">
      <c r="B1101" s="68"/>
      <c r="C1101" s="68"/>
      <c r="D1101" s="68"/>
      <c r="E1101" s="71"/>
      <c r="F1101" s="72"/>
      <c r="G1101" s="70"/>
      <c r="H1101" s="74"/>
      <c r="I1101" s="70"/>
      <c r="J1101" s="70"/>
      <c r="K1101" s="70"/>
      <c r="L1101" s="74"/>
      <c r="M1101" s="123"/>
      <c r="N1101" s="73"/>
      <c r="O1101" s="236"/>
      <c r="P1101" s="117"/>
      <c r="Q1101" s="117"/>
      <c r="R1101" s="156" t="str">
        <f>IF(Table111[[#This Row],[Qty]]="","",Table111[[#This Row],[Qty]]*Table111[[#This Row],[Unit Price]])</f>
        <v/>
      </c>
      <c r="S1101" s="156" t="str">
        <f>IF(Table111[[#This Row],[Qty]]="","",Table111[[#This Row],[Qty]]*Table111[[#This Row],[Unit Price]]+Table111[[#This Row],[Delivery Cost]])</f>
        <v/>
      </c>
      <c r="T1101" s="72"/>
      <c r="U1101" s="72"/>
      <c r="V1101" s="72"/>
      <c r="W1101" s="219"/>
      <c r="X1101" s="63" t="str">
        <f t="shared" si="51"/>
        <v/>
      </c>
      <c r="Y1101" s="63" t="str">
        <f t="shared" si="52"/>
        <v/>
      </c>
      <c r="Z1101" s="63" t="str">
        <f t="shared" si="53"/>
        <v/>
      </c>
      <c r="AA1101" s="63" t="str">
        <f>TEXT(Table111[[#This Row],[YEAR]],"0000")&amp;"-"&amp;Table111[[#This Row],[MONTH]]</f>
        <v>-</v>
      </c>
    </row>
    <row r="1102" spans="2:27" x14ac:dyDescent="0.3">
      <c r="B1102" s="183"/>
      <c r="C1102" s="183"/>
      <c r="D1102" s="183"/>
      <c r="E1102" s="71"/>
      <c r="F1102" s="72"/>
      <c r="G1102" s="70"/>
      <c r="H1102" s="74"/>
      <c r="I1102" s="70"/>
      <c r="J1102" s="70"/>
      <c r="K1102" s="70"/>
      <c r="L1102" s="74"/>
      <c r="M1102" s="123"/>
      <c r="N1102" s="73"/>
      <c r="O1102" s="236"/>
      <c r="P1102" s="117"/>
      <c r="Q1102" s="117"/>
      <c r="R1102" s="156" t="str">
        <f>IF(Table111[[#This Row],[Qty]]="","",Table111[[#This Row],[Qty]]*Table111[[#This Row],[Unit Price]])</f>
        <v/>
      </c>
      <c r="S1102" s="156" t="str">
        <f>IF(Table111[[#This Row],[Qty]]="","",Table111[[#This Row],[Qty]]*Table111[[#This Row],[Unit Price]]+Table111[[#This Row],[Delivery Cost]])</f>
        <v/>
      </c>
      <c r="T1102" s="72"/>
      <c r="U1102" s="72"/>
      <c r="V1102" s="72"/>
      <c r="W1102" s="65"/>
      <c r="X1102" s="63" t="str">
        <f t="shared" si="51"/>
        <v/>
      </c>
      <c r="Y1102" s="63" t="str">
        <f t="shared" si="52"/>
        <v/>
      </c>
      <c r="Z1102" s="63" t="str">
        <f t="shared" si="53"/>
        <v/>
      </c>
      <c r="AA1102" s="63" t="str">
        <f>TEXT(Table111[[#This Row],[YEAR]],"0000")&amp;"-"&amp;Table111[[#This Row],[MONTH]]</f>
        <v>-</v>
      </c>
    </row>
    <row r="1103" spans="2:27" x14ac:dyDescent="0.3">
      <c r="B1103" s="68"/>
      <c r="C1103" s="68"/>
      <c r="D1103" s="68"/>
      <c r="E1103" s="71"/>
      <c r="F1103" s="72"/>
      <c r="G1103" s="70"/>
      <c r="H1103" s="74"/>
      <c r="I1103" s="70"/>
      <c r="J1103" s="70"/>
      <c r="K1103" s="70"/>
      <c r="L1103" s="74"/>
      <c r="M1103" s="123"/>
      <c r="N1103" s="73"/>
      <c r="O1103" s="236"/>
      <c r="P1103" s="117"/>
      <c r="Q1103" s="117"/>
      <c r="R1103" s="156" t="str">
        <f>IF(Table111[[#This Row],[Qty]]="","",Table111[[#This Row],[Qty]]*Table111[[#This Row],[Unit Price]])</f>
        <v/>
      </c>
      <c r="S1103" s="156" t="str">
        <f>IF(Table111[[#This Row],[Qty]]="","",Table111[[#This Row],[Qty]]*Table111[[#This Row],[Unit Price]]+Table111[[#This Row],[Delivery Cost]])</f>
        <v/>
      </c>
      <c r="T1103" s="72"/>
      <c r="U1103" s="72"/>
      <c r="V1103" s="72"/>
      <c r="W1103" s="219"/>
      <c r="X1103" s="63" t="str">
        <f t="shared" si="51"/>
        <v/>
      </c>
      <c r="Y1103" s="63" t="str">
        <f t="shared" si="52"/>
        <v/>
      </c>
      <c r="Z1103" s="63" t="str">
        <f t="shared" si="53"/>
        <v/>
      </c>
      <c r="AA1103" s="63" t="str">
        <f>TEXT(Table111[[#This Row],[YEAR]],"0000")&amp;"-"&amp;Table111[[#This Row],[MONTH]]</f>
        <v>-</v>
      </c>
    </row>
    <row r="1104" spans="2:27" x14ac:dyDescent="0.3">
      <c r="B1104" s="183"/>
      <c r="C1104" s="183"/>
      <c r="D1104" s="183"/>
      <c r="E1104" s="71"/>
      <c r="F1104" s="72"/>
      <c r="G1104" s="70"/>
      <c r="H1104" s="74"/>
      <c r="I1104" s="70"/>
      <c r="J1104" s="70"/>
      <c r="K1104" s="70"/>
      <c r="L1104" s="74"/>
      <c r="M1104" s="123"/>
      <c r="N1104" s="73"/>
      <c r="O1104" s="236"/>
      <c r="P1104" s="117"/>
      <c r="Q1104" s="117"/>
      <c r="R1104" s="156" t="str">
        <f>IF(Table111[[#This Row],[Qty]]="","",Table111[[#This Row],[Qty]]*Table111[[#This Row],[Unit Price]])</f>
        <v/>
      </c>
      <c r="S1104" s="156" t="str">
        <f>IF(Table111[[#This Row],[Qty]]="","",Table111[[#This Row],[Qty]]*Table111[[#This Row],[Unit Price]]+Table111[[#This Row],[Delivery Cost]])</f>
        <v/>
      </c>
      <c r="T1104" s="72"/>
      <c r="U1104" s="72"/>
      <c r="V1104" s="72"/>
      <c r="W1104" s="65"/>
      <c r="X1104" s="63" t="str">
        <f t="shared" si="51"/>
        <v/>
      </c>
      <c r="Y1104" s="63" t="str">
        <f t="shared" si="52"/>
        <v/>
      </c>
      <c r="Z1104" s="63" t="str">
        <f t="shared" si="53"/>
        <v/>
      </c>
      <c r="AA1104" s="63" t="str">
        <f>TEXT(Table111[[#This Row],[YEAR]],"0000")&amp;"-"&amp;Table111[[#This Row],[MONTH]]</f>
        <v>-</v>
      </c>
    </row>
    <row r="1105" spans="2:27" x14ac:dyDescent="0.3">
      <c r="B1105" s="68"/>
      <c r="C1105" s="68"/>
      <c r="D1105" s="68"/>
      <c r="E1105" s="71"/>
      <c r="F1105" s="72"/>
      <c r="G1105" s="70"/>
      <c r="H1105" s="74"/>
      <c r="I1105" s="70"/>
      <c r="J1105" s="70"/>
      <c r="K1105" s="70"/>
      <c r="L1105" s="74"/>
      <c r="M1105" s="123"/>
      <c r="N1105" s="73"/>
      <c r="O1105" s="236"/>
      <c r="P1105" s="117"/>
      <c r="Q1105" s="117"/>
      <c r="R1105" s="156" t="str">
        <f>IF(Table111[[#This Row],[Qty]]="","",Table111[[#This Row],[Qty]]*Table111[[#This Row],[Unit Price]])</f>
        <v/>
      </c>
      <c r="S1105" s="156" t="str">
        <f>IF(Table111[[#This Row],[Qty]]="","",Table111[[#This Row],[Qty]]*Table111[[#This Row],[Unit Price]]+Table111[[#This Row],[Delivery Cost]])</f>
        <v/>
      </c>
      <c r="T1105" s="72"/>
      <c r="U1105" s="72"/>
      <c r="V1105" s="72"/>
      <c r="W1105" s="219"/>
      <c r="X1105" s="63" t="str">
        <f t="shared" si="51"/>
        <v/>
      </c>
      <c r="Y1105" s="63" t="str">
        <f t="shared" si="52"/>
        <v/>
      </c>
      <c r="Z1105" s="63" t="str">
        <f t="shared" si="53"/>
        <v/>
      </c>
      <c r="AA1105" s="63" t="str">
        <f>TEXT(Table111[[#This Row],[YEAR]],"0000")&amp;"-"&amp;Table111[[#This Row],[MONTH]]</f>
        <v>-</v>
      </c>
    </row>
    <row r="1106" spans="2:27" x14ac:dyDescent="0.3">
      <c r="B1106" s="183"/>
      <c r="C1106" s="183"/>
      <c r="D1106" s="183"/>
      <c r="E1106" s="71"/>
      <c r="F1106" s="72"/>
      <c r="G1106" s="70"/>
      <c r="H1106" s="74"/>
      <c r="I1106" s="70"/>
      <c r="J1106" s="70"/>
      <c r="K1106" s="70"/>
      <c r="L1106" s="74"/>
      <c r="M1106" s="123"/>
      <c r="N1106" s="73"/>
      <c r="O1106" s="236"/>
      <c r="P1106" s="117"/>
      <c r="Q1106" s="117"/>
      <c r="R1106" s="156" t="str">
        <f>IF(Table111[[#This Row],[Qty]]="","",Table111[[#This Row],[Qty]]*Table111[[#This Row],[Unit Price]])</f>
        <v/>
      </c>
      <c r="S1106" s="156" t="str">
        <f>IF(Table111[[#This Row],[Qty]]="","",Table111[[#This Row],[Qty]]*Table111[[#This Row],[Unit Price]]+Table111[[#This Row],[Delivery Cost]])</f>
        <v/>
      </c>
      <c r="T1106" s="72"/>
      <c r="U1106" s="72"/>
      <c r="V1106" s="72"/>
      <c r="W1106" s="65"/>
      <c r="X1106" s="63" t="str">
        <f t="shared" si="51"/>
        <v/>
      </c>
      <c r="Y1106" s="63" t="str">
        <f t="shared" si="52"/>
        <v/>
      </c>
      <c r="Z1106" s="63" t="str">
        <f t="shared" si="53"/>
        <v/>
      </c>
      <c r="AA1106" s="63" t="str">
        <f>TEXT(Table111[[#This Row],[YEAR]],"0000")&amp;"-"&amp;Table111[[#This Row],[MONTH]]</f>
        <v>-</v>
      </c>
    </row>
    <row r="1107" spans="2:27" x14ac:dyDescent="0.3">
      <c r="B1107" s="68"/>
      <c r="C1107" s="68"/>
      <c r="D1107" s="68"/>
      <c r="E1107" s="71"/>
      <c r="F1107" s="72"/>
      <c r="G1107" s="70"/>
      <c r="H1107" s="74"/>
      <c r="I1107" s="70"/>
      <c r="J1107" s="70"/>
      <c r="K1107" s="70"/>
      <c r="L1107" s="74"/>
      <c r="M1107" s="123"/>
      <c r="N1107" s="73"/>
      <c r="O1107" s="236"/>
      <c r="P1107" s="117"/>
      <c r="Q1107" s="117"/>
      <c r="R1107" s="156" t="str">
        <f>IF(Table111[[#This Row],[Qty]]="","",Table111[[#This Row],[Qty]]*Table111[[#This Row],[Unit Price]])</f>
        <v/>
      </c>
      <c r="S1107" s="156" t="str">
        <f>IF(Table111[[#This Row],[Qty]]="","",Table111[[#This Row],[Qty]]*Table111[[#This Row],[Unit Price]]+Table111[[#This Row],[Delivery Cost]])</f>
        <v/>
      </c>
      <c r="T1107" s="72"/>
      <c r="U1107" s="72"/>
      <c r="V1107" s="72"/>
      <c r="W1107" s="219"/>
      <c r="X1107" s="63" t="str">
        <f t="shared" si="51"/>
        <v/>
      </c>
      <c r="Y1107" s="63" t="str">
        <f t="shared" si="52"/>
        <v/>
      </c>
      <c r="Z1107" s="63" t="str">
        <f t="shared" si="53"/>
        <v/>
      </c>
      <c r="AA1107" s="63" t="str">
        <f>TEXT(Table111[[#This Row],[YEAR]],"0000")&amp;"-"&amp;Table111[[#This Row],[MONTH]]</f>
        <v>-</v>
      </c>
    </row>
    <row r="1108" spans="2:27" x14ac:dyDescent="0.3">
      <c r="B1108" s="183"/>
      <c r="C1108" s="183"/>
      <c r="D1108" s="183"/>
      <c r="E1108" s="71"/>
      <c r="F1108" s="72"/>
      <c r="G1108" s="70"/>
      <c r="H1108" s="74"/>
      <c r="I1108" s="70"/>
      <c r="J1108" s="70"/>
      <c r="K1108" s="70"/>
      <c r="L1108" s="74"/>
      <c r="M1108" s="123"/>
      <c r="N1108" s="73"/>
      <c r="O1108" s="236"/>
      <c r="P1108" s="117"/>
      <c r="Q1108" s="117"/>
      <c r="R1108" s="156" t="str">
        <f>IF(Table111[[#This Row],[Qty]]="","",Table111[[#This Row],[Qty]]*Table111[[#This Row],[Unit Price]])</f>
        <v/>
      </c>
      <c r="S1108" s="156" t="str">
        <f>IF(Table111[[#This Row],[Qty]]="","",Table111[[#This Row],[Qty]]*Table111[[#This Row],[Unit Price]]+Table111[[#This Row],[Delivery Cost]])</f>
        <v/>
      </c>
      <c r="T1108" s="72"/>
      <c r="U1108" s="72"/>
      <c r="V1108" s="72"/>
      <c r="W1108" s="65"/>
      <c r="X1108" s="63" t="str">
        <f t="shared" si="51"/>
        <v/>
      </c>
      <c r="Y1108" s="63" t="str">
        <f t="shared" si="52"/>
        <v/>
      </c>
      <c r="Z1108" s="63" t="str">
        <f t="shared" si="53"/>
        <v/>
      </c>
      <c r="AA1108" s="63" t="str">
        <f>TEXT(Table111[[#This Row],[YEAR]],"0000")&amp;"-"&amp;Table111[[#This Row],[MONTH]]</f>
        <v>-</v>
      </c>
    </row>
    <row r="1109" spans="2:27" x14ac:dyDescent="0.3">
      <c r="B1109" s="68"/>
      <c r="C1109" s="68"/>
      <c r="D1109" s="68"/>
      <c r="E1109" s="71"/>
      <c r="F1109" s="72"/>
      <c r="G1109" s="70"/>
      <c r="H1109" s="74"/>
      <c r="I1109" s="70"/>
      <c r="J1109" s="70"/>
      <c r="K1109" s="70"/>
      <c r="L1109" s="74"/>
      <c r="M1109" s="123"/>
      <c r="N1109" s="73"/>
      <c r="O1109" s="236"/>
      <c r="P1109" s="117"/>
      <c r="Q1109" s="117"/>
      <c r="R1109" s="156" t="str">
        <f>IF(Table111[[#This Row],[Qty]]="","",Table111[[#This Row],[Qty]]*Table111[[#This Row],[Unit Price]])</f>
        <v/>
      </c>
      <c r="S1109" s="156" t="str">
        <f>IF(Table111[[#This Row],[Qty]]="","",Table111[[#This Row],[Qty]]*Table111[[#This Row],[Unit Price]]+Table111[[#This Row],[Delivery Cost]])</f>
        <v/>
      </c>
      <c r="T1109" s="72"/>
      <c r="U1109" s="72"/>
      <c r="V1109" s="72"/>
      <c r="W1109" s="219"/>
      <c r="X1109" s="63" t="str">
        <f t="shared" si="51"/>
        <v/>
      </c>
      <c r="Y1109" s="63" t="str">
        <f t="shared" si="52"/>
        <v/>
      </c>
      <c r="Z1109" s="63" t="str">
        <f t="shared" si="53"/>
        <v/>
      </c>
      <c r="AA1109" s="63" t="str">
        <f>TEXT(Table111[[#This Row],[YEAR]],"0000")&amp;"-"&amp;Table111[[#This Row],[MONTH]]</f>
        <v>-</v>
      </c>
    </row>
    <row r="1110" spans="2:27" x14ac:dyDescent="0.3">
      <c r="B1110" s="183"/>
      <c r="C1110" s="183"/>
      <c r="D1110" s="183"/>
      <c r="E1110" s="71"/>
      <c r="F1110" s="72"/>
      <c r="G1110" s="70"/>
      <c r="H1110" s="74"/>
      <c r="I1110" s="70"/>
      <c r="J1110" s="70"/>
      <c r="K1110" s="70"/>
      <c r="L1110" s="74"/>
      <c r="M1110" s="123"/>
      <c r="N1110" s="73"/>
      <c r="O1110" s="236"/>
      <c r="P1110" s="117"/>
      <c r="Q1110" s="117"/>
      <c r="R1110" s="156" t="str">
        <f>IF(Table111[[#This Row],[Qty]]="","",Table111[[#This Row],[Qty]]*Table111[[#This Row],[Unit Price]])</f>
        <v/>
      </c>
      <c r="S1110" s="156" t="str">
        <f>IF(Table111[[#This Row],[Qty]]="","",Table111[[#This Row],[Qty]]*Table111[[#This Row],[Unit Price]]+Table111[[#This Row],[Delivery Cost]])</f>
        <v/>
      </c>
      <c r="T1110" s="72"/>
      <c r="U1110" s="72"/>
      <c r="V1110" s="72"/>
      <c r="W1110" s="65"/>
      <c r="X1110" s="63" t="str">
        <f t="shared" si="51"/>
        <v/>
      </c>
      <c r="Y1110" s="63" t="str">
        <f t="shared" si="52"/>
        <v/>
      </c>
      <c r="Z1110" s="63" t="str">
        <f t="shared" si="53"/>
        <v/>
      </c>
      <c r="AA1110" s="63" t="str">
        <f>TEXT(Table111[[#This Row],[YEAR]],"0000")&amp;"-"&amp;Table111[[#This Row],[MONTH]]</f>
        <v>-</v>
      </c>
    </row>
    <row r="1111" spans="2:27" x14ac:dyDescent="0.3">
      <c r="B1111" s="68"/>
      <c r="C1111" s="68"/>
      <c r="D1111" s="68"/>
      <c r="E1111" s="71"/>
      <c r="F1111" s="72"/>
      <c r="G1111" s="70"/>
      <c r="H1111" s="74"/>
      <c r="I1111" s="70"/>
      <c r="J1111" s="70"/>
      <c r="K1111" s="70"/>
      <c r="L1111" s="74"/>
      <c r="M1111" s="123"/>
      <c r="N1111" s="73"/>
      <c r="O1111" s="236"/>
      <c r="P1111" s="117"/>
      <c r="Q1111" s="117"/>
      <c r="R1111" s="156" t="str">
        <f>IF(Table111[[#This Row],[Qty]]="","",Table111[[#This Row],[Qty]]*Table111[[#This Row],[Unit Price]])</f>
        <v/>
      </c>
      <c r="S1111" s="156" t="str">
        <f>IF(Table111[[#This Row],[Qty]]="","",Table111[[#This Row],[Qty]]*Table111[[#This Row],[Unit Price]]+Table111[[#This Row],[Delivery Cost]])</f>
        <v/>
      </c>
      <c r="T1111" s="72"/>
      <c r="U1111" s="72"/>
      <c r="V1111" s="72"/>
      <c r="W1111" s="219"/>
      <c r="X1111" s="63" t="str">
        <f t="shared" si="51"/>
        <v/>
      </c>
      <c r="Y1111" s="63" t="str">
        <f t="shared" si="52"/>
        <v/>
      </c>
      <c r="Z1111" s="63" t="str">
        <f t="shared" si="53"/>
        <v/>
      </c>
      <c r="AA1111" s="63" t="str">
        <f>TEXT(Table111[[#This Row],[YEAR]],"0000")&amp;"-"&amp;Table111[[#This Row],[MONTH]]</f>
        <v>-</v>
      </c>
    </row>
    <row r="1112" spans="2:27" x14ac:dyDescent="0.3">
      <c r="B1112" s="183"/>
      <c r="C1112" s="183"/>
      <c r="D1112" s="183"/>
      <c r="E1112" s="71"/>
      <c r="F1112" s="72"/>
      <c r="G1112" s="70"/>
      <c r="H1112" s="74"/>
      <c r="I1112" s="70"/>
      <c r="J1112" s="70"/>
      <c r="K1112" s="70"/>
      <c r="L1112" s="74"/>
      <c r="M1112" s="123"/>
      <c r="N1112" s="73"/>
      <c r="O1112" s="236"/>
      <c r="P1112" s="117"/>
      <c r="Q1112" s="117"/>
      <c r="R1112" s="156" t="str">
        <f>IF(Table111[[#This Row],[Qty]]="","",Table111[[#This Row],[Qty]]*Table111[[#This Row],[Unit Price]])</f>
        <v/>
      </c>
      <c r="S1112" s="156" t="str">
        <f>IF(Table111[[#This Row],[Qty]]="","",Table111[[#This Row],[Qty]]*Table111[[#This Row],[Unit Price]]+Table111[[#This Row],[Delivery Cost]])</f>
        <v/>
      </c>
      <c r="T1112" s="72"/>
      <c r="U1112" s="72"/>
      <c r="V1112" s="72"/>
      <c r="W1112" s="65"/>
      <c r="X1112" s="63" t="str">
        <f t="shared" si="51"/>
        <v/>
      </c>
      <c r="Y1112" s="63" t="str">
        <f t="shared" si="52"/>
        <v/>
      </c>
      <c r="Z1112" s="63" t="str">
        <f t="shared" si="53"/>
        <v/>
      </c>
      <c r="AA1112" s="63" t="str">
        <f>TEXT(Table111[[#This Row],[YEAR]],"0000")&amp;"-"&amp;Table111[[#This Row],[MONTH]]</f>
        <v>-</v>
      </c>
    </row>
    <row r="1113" spans="2:27" x14ac:dyDescent="0.3">
      <c r="B1113" s="68"/>
      <c r="C1113" s="68"/>
      <c r="D1113" s="68"/>
      <c r="E1113" s="71"/>
      <c r="F1113" s="72"/>
      <c r="G1113" s="70"/>
      <c r="H1113" s="74"/>
      <c r="I1113" s="70"/>
      <c r="J1113" s="70"/>
      <c r="K1113" s="70"/>
      <c r="L1113" s="74"/>
      <c r="M1113" s="123"/>
      <c r="N1113" s="73"/>
      <c r="O1113" s="236"/>
      <c r="P1113" s="117"/>
      <c r="Q1113" s="117"/>
      <c r="R1113" s="156" t="str">
        <f>IF(Table111[[#This Row],[Qty]]="","",Table111[[#This Row],[Qty]]*Table111[[#This Row],[Unit Price]])</f>
        <v/>
      </c>
      <c r="S1113" s="156" t="str">
        <f>IF(Table111[[#This Row],[Qty]]="","",Table111[[#This Row],[Qty]]*Table111[[#This Row],[Unit Price]]+Table111[[#This Row],[Delivery Cost]])</f>
        <v/>
      </c>
      <c r="T1113" s="72"/>
      <c r="U1113" s="72"/>
      <c r="V1113" s="72"/>
      <c r="W1113" s="219"/>
      <c r="X1113" s="63" t="str">
        <f t="shared" si="51"/>
        <v/>
      </c>
      <c r="Y1113" s="63" t="str">
        <f t="shared" si="52"/>
        <v/>
      </c>
      <c r="Z1113" s="63" t="str">
        <f t="shared" si="53"/>
        <v/>
      </c>
      <c r="AA1113" s="63" t="str">
        <f>TEXT(Table111[[#This Row],[YEAR]],"0000")&amp;"-"&amp;Table111[[#This Row],[MONTH]]</f>
        <v>-</v>
      </c>
    </row>
    <row r="1114" spans="2:27" x14ac:dyDescent="0.3">
      <c r="B1114" s="183"/>
      <c r="C1114" s="183"/>
      <c r="D1114" s="183"/>
      <c r="E1114" s="71"/>
      <c r="F1114" s="72"/>
      <c r="G1114" s="70"/>
      <c r="H1114" s="74"/>
      <c r="I1114" s="70"/>
      <c r="J1114" s="70"/>
      <c r="K1114" s="70"/>
      <c r="L1114" s="74"/>
      <c r="M1114" s="123"/>
      <c r="N1114" s="73"/>
      <c r="O1114" s="236"/>
      <c r="P1114" s="117"/>
      <c r="Q1114" s="117"/>
      <c r="R1114" s="156" t="str">
        <f>IF(Table111[[#This Row],[Qty]]="","",Table111[[#This Row],[Qty]]*Table111[[#This Row],[Unit Price]])</f>
        <v/>
      </c>
      <c r="S1114" s="156" t="str">
        <f>IF(Table111[[#This Row],[Qty]]="","",Table111[[#This Row],[Qty]]*Table111[[#This Row],[Unit Price]]+Table111[[#This Row],[Delivery Cost]])</f>
        <v/>
      </c>
      <c r="T1114" s="72"/>
      <c r="U1114" s="72"/>
      <c r="V1114" s="72"/>
      <c r="W1114" s="65"/>
      <c r="X1114" s="63" t="str">
        <f t="shared" si="51"/>
        <v/>
      </c>
      <c r="Y1114" s="63" t="str">
        <f t="shared" si="52"/>
        <v/>
      </c>
      <c r="Z1114" s="63" t="str">
        <f t="shared" si="53"/>
        <v/>
      </c>
      <c r="AA1114" s="63" t="str">
        <f>TEXT(Table111[[#This Row],[YEAR]],"0000")&amp;"-"&amp;Table111[[#This Row],[MONTH]]</f>
        <v>-</v>
      </c>
    </row>
    <row r="1115" spans="2:27" x14ac:dyDescent="0.3">
      <c r="B1115" s="68"/>
      <c r="C1115" s="68"/>
      <c r="D1115" s="68"/>
      <c r="E1115" s="71"/>
      <c r="F1115" s="72"/>
      <c r="G1115" s="70"/>
      <c r="H1115" s="74"/>
      <c r="I1115" s="70"/>
      <c r="J1115" s="70"/>
      <c r="K1115" s="70"/>
      <c r="L1115" s="74"/>
      <c r="M1115" s="123"/>
      <c r="N1115" s="73"/>
      <c r="O1115" s="236"/>
      <c r="P1115" s="117"/>
      <c r="Q1115" s="117"/>
      <c r="R1115" s="156" t="str">
        <f>IF(Table111[[#This Row],[Qty]]="","",Table111[[#This Row],[Qty]]*Table111[[#This Row],[Unit Price]])</f>
        <v/>
      </c>
      <c r="S1115" s="156" t="str">
        <f>IF(Table111[[#This Row],[Qty]]="","",Table111[[#This Row],[Qty]]*Table111[[#This Row],[Unit Price]]+Table111[[#This Row],[Delivery Cost]])</f>
        <v/>
      </c>
      <c r="T1115" s="72"/>
      <c r="U1115" s="72"/>
      <c r="V1115" s="72"/>
      <c r="W1115" s="219"/>
      <c r="X1115" s="63" t="str">
        <f t="shared" si="51"/>
        <v/>
      </c>
      <c r="Y1115" s="63" t="str">
        <f t="shared" si="52"/>
        <v/>
      </c>
      <c r="Z1115" s="63" t="str">
        <f t="shared" si="53"/>
        <v/>
      </c>
      <c r="AA1115" s="63" t="str">
        <f>TEXT(Table111[[#This Row],[YEAR]],"0000")&amp;"-"&amp;Table111[[#This Row],[MONTH]]</f>
        <v>-</v>
      </c>
    </row>
    <row r="1116" spans="2:27" x14ac:dyDescent="0.3">
      <c r="B1116" s="183"/>
      <c r="C1116" s="183"/>
      <c r="D1116" s="183"/>
      <c r="E1116" s="71"/>
      <c r="F1116" s="72"/>
      <c r="G1116" s="70"/>
      <c r="H1116" s="74"/>
      <c r="I1116" s="70"/>
      <c r="J1116" s="70"/>
      <c r="K1116" s="70"/>
      <c r="L1116" s="74"/>
      <c r="M1116" s="123"/>
      <c r="N1116" s="73"/>
      <c r="O1116" s="236"/>
      <c r="P1116" s="117"/>
      <c r="Q1116" s="117"/>
      <c r="R1116" s="156" t="str">
        <f>IF(Table111[[#This Row],[Qty]]="","",Table111[[#This Row],[Qty]]*Table111[[#This Row],[Unit Price]])</f>
        <v/>
      </c>
      <c r="S1116" s="156" t="str">
        <f>IF(Table111[[#This Row],[Qty]]="","",Table111[[#This Row],[Qty]]*Table111[[#This Row],[Unit Price]]+Table111[[#This Row],[Delivery Cost]])</f>
        <v/>
      </c>
      <c r="T1116" s="72"/>
      <c r="U1116" s="72"/>
      <c r="V1116" s="72"/>
      <c r="W1116" s="65"/>
      <c r="X1116" s="63" t="str">
        <f t="shared" si="51"/>
        <v/>
      </c>
      <c r="Y1116" s="63" t="str">
        <f t="shared" si="52"/>
        <v/>
      </c>
      <c r="Z1116" s="63" t="str">
        <f t="shared" si="53"/>
        <v/>
      </c>
      <c r="AA1116" s="63" t="str">
        <f>TEXT(Table111[[#This Row],[YEAR]],"0000")&amp;"-"&amp;Table111[[#This Row],[MONTH]]</f>
        <v>-</v>
      </c>
    </row>
    <row r="1117" spans="2:27" x14ac:dyDescent="0.3">
      <c r="B1117" s="68"/>
      <c r="C1117" s="68"/>
      <c r="D1117" s="68"/>
      <c r="E1117" s="71"/>
      <c r="F1117" s="72"/>
      <c r="G1117" s="70"/>
      <c r="H1117" s="74"/>
      <c r="I1117" s="70"/>
      <c r="J1117" s="70"/>
      <c r="K1117" s="70"/>
      <c r="L1117" s="74"/>
      <c r="M1117" s="123"/>
      <c r="N1117" s="73"/>
      <c r="O1117" s="236"/>
      <c r="P1117" s="117"/>
      <c r="Q1117" s="117"/>
      <c r="R1117" s="156" t="str">
        <f>IF(Table111[[#This Row],[Qty]]="","",Table111[[#This Row],[Qty]]*Table111[[#This Row],[Unit Price]])</f>
        <v/>
      </c>
      <c r="S1117" s="156" t="str">
        <f>IF(Table111[[#This Row],[Qty]]="","",Table111[[#This Row],[Qty]]*Table111[[#This Row],[Unit Price]]+Table111[[#This Row],[Delivery Cost]])</f>
        <v/>
      </c>
      <c r="T1117" s="72"/>
      <c r="U1117" s="72"/>
      <c r="V1117" s="72"/>
      <c r="W1117" s="219"/>
      <c r="X1117" s="63" t="str">
        <f t="shared" si="51"/>
        <v/>
      </c>
      <c r="Y1117" s="63" t="str">
        <f t="shared" si="52"/>
        <v/>
      </c>
      <c r="Z1117" s="63" t="str">
        <f t="shared" si="53"/>
        <v/>
      </c>
      <c r="AA1117" s="63" t="str">
        <f>TEXT(Table111[[#This Row],[YEAR]],"0000")&amp;"-"&amp;Table111[[#This Row],[MONTH]]</f>
        <v>-</v>
      </c>
    </row>
    <row r="1118" spans="2:27" x14ac:dyDescent="0.3">
      <c r="B1118" s="183"/>
      <c r="C1118" s="183"/>
      <c r="D1118" s="183"/>
      <c r="E1118" s="71"/>
      <c r="F1118" s="72"/>
      <c r="G1118" s="70"/>
      <c r="H1118" s="74"/>
      <c r="I1118" s="70"/>
      <c r="J1118" s="70"/>
      <c r="K1118" s="70"/>
      <c r="L1118" s="74"/>
      <c r="M1118" s="123"/>
      <c r="N1118" s="73"/>
      <c r="O1118" s="236"/>
      <c r="P1118" s="117"/>
      <c r="Q1118" s="117"/>
      <c r="R1118" s="156" t="str">
        <f>IF(Table111[[#This Row],[Qty]]="","",Table111[[#This Row],[Qty]]*Table111[[#This Row],[Unit Price]])</f>
        <v/>
      </c>
      <c r="S1118" s="156" t="str">
        <f>IF(Table111[[#This Row],[Qty]]="","",Table111[[#This Row],[Qty]]*Table111[[#This Row],[Unit Price]]+Table111[[#This Row],[Delivery Cost]])</f>
        <v/>
      </c>
      <c r="T1118" s="72"/>
      <c r="U1118" s="72"/>
      <c r="V1118" s="72"/>
      <c r="W1118" s="65"/>
      <c r="X1118" s="63" t="str">
        <f t="shared" si="51"/>
        <v/>
      </c>
      <c r="Y1118" s="63" t="str">
        <f t="shared" si="52"/>
        <v/>
      </c>
      <c r="Z1118" s="63" t="str">
        <f t="shared" si="53"/>
        <v/>
      </c>
      <c r="AA1118" s="63" t="str">
        <f>TEXT(Table111[[#This Row],[YEAR]],"0000")&amp;"-"&amp;Table111[[#This Row],[MONTH]]</f>
        <v>-</v>
      </c>
    </row>
    <row r="1119" spans="2:27" x14ac:dyDescent="0.3">
      <c r="B1119" s="68"/>
      <c r="C1119" s="68"/>
      <c r="D1119" s="68"/>
      <c r="E1119" s="71"/>
      <c r="F1119" s="72"/>
      <c r="G1119" s="70"/>
      <c r="H1119" s="74"/>
      <c r="I1119" s="70"/>
      <c r="J1119" s="70"/>
      <c r="K1119" s="70"/>
      <c r="L1119" s="74"/>
      <c r="M1119" s="123"/>
      <c r="N1119" s="73"/>
      <c r="O1119" s="236"/>
      <c r="P1119" s="117"/>
      <c r="Q1119" s="117"/>
      <c r="R1119" s="156" t="str">
        <f>IF(Table111[[#This Row],[Qty]]="","",Table111[[#This Row],[Qty]]*Table111[[#This Row],[Unit Price]])</f>
        <v/>
      </c>
      <c r="S1119" s="156" t="str">
        <f>IF(Table111[[#This Row],[Qty]]="","",Table111[[#This Row],[Qty]]*Table111[[#This Row],[Unit Price]]+Table111[[#This Row],[Delivery Cost]])</f>
        <v/>
      </c>
      <c r="T1119" s="72"/>
      <c r="U1119" s="72"/>
      <c r="V1119" s="72"/>
      <c r="W1119" s="219"/>
      <c r="X1119" s="63" t="str">
        <f t="shared" si="51"/>
        <v/>
      </c>
      <c r="Y1119" s="63" t="str">
        <f t="shared" si="52"/>
        <v/>
      </c>
      <c r="Z1119" s="63" t="str">
        <f t="shared" si="53"/>
        <v/>
      </c>
      <c r="AA1119" s="63" t="str">
        <f>TEXT(Table111[[#This Row],[YEAR]],"0000")&amp;"-"&amp;Table111[[#This Row],[MONTH]]</f>
        <v>-</v>
      </c>
    </row>
    <row r="1120" spans="2:27" x14ac:dyDescent="0.3">
      <c r="B1120" s="183"/>
      <c r="C1120" s="183"/>
      <c r="D1120" s="183"/>
      <c r="E1120" s="71"/>
      <c r="F1120" s="72"/>
      <c r="G1120" s="70"/>
      <c r="H1120" s="74"/>
      <c r="I1120" s="70"/>
      <c r="J1120" s="70"/>
      <c r="K1120" s="70"/>
      <c r="L1120" s="74"/>
      <c r="M1120" s="123"/>
      <c r="N1120" s="73"/>
      <c r="O1120" s="236"/>
      <c r="P1120" s="117"/>
      <c r="Q1120" s="117"/>
      <c r="R1120" s="156" t="str">
        <f>IF(Table111[[#This Row],[Qty]]="","",Table111[[#This Row],[Qty]]*Table111[[#This Row],[Unit Price]])</f>
        <v/>
      </c>
      <c r="S1120" s="156" t="str">
        <f>IF(Table111[[#This Row],[Qty]]="","",Table111[[#This Row],[Qty]]*Table111[[#This Row],[Unit Price]]+Table111[[#This Row],[Delivery Cost]])</f>
        <v/>
      </c>
      <c r="T1120" s="72"/>
      <c r="U1120" s="72"/>
      <c r="V1120" s="72"/>
      <c r="W1120" s="65"/>
      <c r="X1120" s="63" t="str">
        <f t="shared" si="51"/>
        <v/>
      </c>
      <c r="Y1120" s="63" t="str">
        <f t="shared" si="52"/>
        <v/>
      </c>
      <c r="Z1120" s="63" t="str">
        <f t="shared" si="53"/>
        <v/>
      </c>
      <c r="AA1120" s="63" t="str">
        <f>TEXT(Table111[[#This Row],[YEAR]],"0000")&amp;"-"&amp;Table111[[#This Row],[MONTH]]</f>
        <v>-</v>
      </c>
    </row>
    <row r="1121" spans="2:27" x14ac:dyDescent="0.3">
      <c r="B1121" s="68"/>
      <c r="C1121" s="68"/>
      <c r="D1121" s="68"/>
      <c r="E1121" s="71"/>
      <c r="F1121" s="72"/>
      <c r="G1121" s="70"/>
      <c r="H1121" s="74"/>
      <c r="I1121" s="70"/>
      <c r="J1121" s="70"/>
      <c r="K1121" s="70"/>
      <c r="L1121" s="74"/>
      <c r="M1121" s="123"/>
      <c r="N1121" s="73"/>
      <c r="O1121" s="236"/>
      <c r="P1121" s="117"/>
      <c r="Q1121" s="117"/>
      <c r="R1121" s="156" t="str">
        <f>IF(Table111[[#This Row],[Qty]]="","",Table111[[#This Row],[Qty]]*Table111[[#This Row],[Unit Price]])</f>
        <v/>
      </c>
      <c r="S1121" s="156" t="str">
        <f>IF(Table111[[#This Row],[Qty]]="","",Table111[[#This Row],[Qty]]*Table111[[#This Row],[Unit Price]]+Table111[[#This Row],[Delivery Cost]])</f>
        <v/>
      </c>
      <c r="T1121" s="72"/>
      <c r="U1121" s="72"/>
      <c r="V1121" s="72"/>
      <c r="W1121" s="219"/>
      <c r="X1121" s="63" t="str">
        <f t="shared" si="51"/>
        <v/>
      </c>
      <c r="Y1121" s="63" t="str">
        <f t="shared" si="52"/>
        <v/>
      </c>
      <c r="Z1121" s="63" t="str">
        <f t="shared" si="53"/>
        <v/>
      </c>
      <c r="AA1121" s="63" t="str">
        <f>TEXT(Table111[[#This Row],[YEAR]],"0000")&amp;"-"&amp;Table111[[#This Row],[MONTH]]</f>
        <v>-</v>
      </c>
    </row>
    <row r="1122" spans="2:27" x14ac:dyDescent="0.3">
      <c r="B1122" s="183"/>
      <c r="C1122" s="183"/>
      <c r="D1122" s="183"/>
      <c r="E1122" s="71"/>
      <c r="F1122" s="72"/>
      <c r="G1122" s="70"/>
      <c r="H1122" s="74"/>
      <c r="I1122" s="70"/>
      <c r="J1122" s="70"/>
      <c r="K1122" s="70"/>
      <c r="L1122" s="74"/>
      <c r="M1122" s="123"/>
      <c r="N1122" s="73"/>
      <c r="O1122" s="236"/>
      <c r="P1122" s="117"/>
      <c r="Q1122" s="117"/>
      <c r="R1122" s="156" t="str">
        <f>IF(Table111[[#This Row],[Qty]]="","",Table111[[#This Row],[Qty]]*Table111[[#This Row],[Unit Price]])</f>
        <v/>
      </c>
      <c r="S1122" s="156" t="str">
        <f>IF(Table111[[#This Row],[Qty]]="","",Table111[[#This Row],[Qty]]*Table111[[#This Row],[Unit Price]]+Table111[[#This Row],[Delivery Cost]])</f>
        <v/>
      </c>
      <c r="T1122" s="72"/>
      <c r="U1122" s="72"/>
      <c r="V1122" s="72"/>
      <c r="W1122" s="65"/>
      <c r="X1122" s="63" t="str">
        <f t="shared" si="51"/>
        <v/>
      </c>
      <c r="Y1122" s="63" t="str">
        <f t="shared" si="52"/>
        <v/>
      </c>
      <c r="Z1122" s="63" t="str">
        <f t="shared" si="53"/>
        <v/>
      </c>
      <c r="AA1122" s="63" t="str">
        <f>TEXT(Table111[[#This Row],[YEAR]],"0000")&amp;"-"&amp;Table111[[#This Row],[MONTH]]</f>
        <v>-</v>
      </c>
    </row>
    <row r="1123" spans="2:27" x14ac:dyDescent="0.3">
      <c r="B1123" s="68"/>
      <c r="C1123" s="68"/>
      <c r="D1123" s="68"/>
      <c r="E1123" s="71"/>
      <c r="F1123" s="72"/>
      <c r="G1123" s="70"/>
      <c r="H1123" s="74"/>
      <c r="I1123" s="70"/>
      <c r="J1123" s="70"/>
      <c r="K1123" s="70"/>
      <c r="L1123" s="74"/>
      <c r="M1123" s="123"/>
      <c r="N1123" s="73"/>
      <c r="O1123" s="236"/>
      <c r="P1123" s="117"/>
      <c r="Q1123" s="117"/>
      <c r="R1123" s="156" t="str">
        <f>IF(Table111[[#This Row],[Qty]]="","",Table111[[#This Row],[Qty]]*Table111[[#This Row],[Unit Price]])</f>
        <v/>
      </c>
      <c r="S1123" s="156" t="str">
        <f>IF(Table111[[#This Row],[Qty]]="","",Table111[[#This Row],[Qty]]*Table111[[#This Row],[Unit Price]]+Table111[[#This Row],[Delivery Cost]])</f>
        <v/>
      </c>
      <c r="T1123" s="72"/>
      <c r="U1123" s="72"/>
      <c r="V1123" s="72"/>
      <c r="W1123" s="219"/>
      <c r="X1123" s="63" t="str">
        <f t="shared" si="51"/>
        <v/>
      </c>
      <c r="Y1123" s="63" t="str">
        <f t="shared" si="52"/>
        <v/>
      </c>
      <c r="Z1123" s="63" t="str">
        <f t="shared" si="53"/>
        <v/>
      </c>
      <c r="AA1123" s="63" t="str">
        <f>TEXT(Table111[[#This Row],[YEAR]],"0000")&amp;"-"&amp;Table111[[#This Row],[MONTH]]</f>
        <v>-</v>
      </c>
    </row>
    <row r="1124" spans="2:27" x14ac:dyDescent="0.3">
      <c r="B1124" s="183"/>
      <c r="C1124" s="183"/>
      <c r="D1124" s="183"/>
      <c r="E1124" s="71"/>
      <c r="F1124" s="72"/>
      <c r="G1124" s="70"/>
      <c r="H1124" s="74"/>
      <c r="I1124" s="70"/>
      <c r="J1124" s="70"/>
      <c r="K1124" s="70"/>
      <c r="L1124" s="74"/>
      <c r="M1124" s="123"/>
      <c r="N1124" s="73"/>
      <c r="O1124" s="236"/>
      <c r="P1124" s="117"/>
      <c r="Q1124" s="117"/>
      <c r="R1124" s="156" t="str">
        <f>IF(Table111[[#This Row],[Qty]]="","",Table111[[#This Row],[Qty]]*Table111[[#This Row],[Unit Price]])</f>
        <v/>
      </c>
      <c r="S1124" s="156" t="str">
        <f>IF(Table111[[#This Row],[Qty]]="","",Table111[[#This Row],[Qty]]*Table111[[#This Row],[Unit Price]]+Table111[[#This Row],[Delivery Cost]])</f>
        <v/>
      </c>
      <c r="T1124" s="72"/>
      <c r="U1124" s="72"/>
      <c r="V1124" s="72"/>
      <c r="W1124" s="65"/>
      <c r="X1124" s="63" t="str">
        <f t="shared" si="51"/>
        <v/>
      </c>
      <c r="Y1124" s="63" t="str">
        <f t="shared" si="52"/>
        <v/>
      </c>
      <c r="Z1124" s="63" t="str">
        <f t="shared" si="53"/>
        <v/>
      </c>
      <c r="AA1124" s="63" t="str">
        <f>TEXT(Table111[[#This Row],[YEAR]],"0000")&amp;"-"&amp;Table111[[#This Row],[MONTH]]</f>
        <v>-</v>
      </c>
    </row>
    <row r="1125" spans="2:27" x14ac:dyDescent="0.3">
      <c r="B1125" s="68"/>
      <c r="C1125" s="68"/>
      <c r="D1125" s="68"/>
      <c r="E1125" s="71"/>
      <c r="F1125" s="72"/>
      <c r="G1125" s="70"/>
      <c r="H1125" s="74"/>
      <c r="I1125" s="70"/>
      <c r="J1125" s="70"/>
      <c r="K1125" s="70"/>
      <c r="L1125" s="74"/>
      <c r="M1125" s="123"/>
      <c r="N1125" s="73"/>
      <c r="O1125" s="236"/>
      <c r="P1125" s="117"/>
      <c r="Q1125" s="117"/>
      <c r="R1125" s="156" t="str">
        <f>IF(Table111[[#This Row],[Qty]]="","",Table111[[#This Row],[Qty]]*Table111[[#This Row],[Unit Price]])</f>
        <v/>
      </c>
      <c r="S1125" s="156" t="str">
        <f>IF(Table111[[#This Row],[Qty]]="","",Table111[[#This Row],[Qty]]*Table111[[#This Row],[Unit Price]]+Table111[[#This Row],[Delivery Cost]])</f>
        <v/>
      </c>
      <c r="T1125" s="72"/>
      <c r="U1125" s="72"/>
      <c r="V1125" s="72"/>
      <c r="W1125" s="219"/>
      <c r="X1125" s="63" t="str">
        <f t="shared" si="51"/>
        <v/>
      </c>
      <c r="Y1125" s="63" t="str">
        <f t="shared" si="52"/>
        <v/>
      </c>
      <c r="Z1125" s="63" t="str">
        <f t="shared" si="53"/>
        <v/>
      </c>
      <c r="AA1125" s="63" t="str">
        <f>TEXT(Table111[[#This Row],[YEAR]],"0000")&amp;"-"&amp;Table111[[#This Row],[MONTH]]</f>
        <v>-</v>
      </c>
    </row>
    <row r="1126" spans="2:27" x14ac:dyDescent="0.3">
      <c r="B1126" s="183"/>
      <c r="C1126" s="183"/>
      <c r="D1126" s="183"/>
      <c r="E1126" s="71"/>
      <c r="F1126" s="72"/>
      <c r="G1126" s="70"/>
      <c r="H1126" s="74"/>
      <c r="I1126" s="70"/>
      <c r="J1126" s="70"/>
      <c r="K1126" s="70"/>
      <c r="L1126" s="74"/>
      <c r="M1126" s="123"/>
      <c r="N1126" s="73"/>
      <c r="O1126" s="236"/>
      <c r="P1126" s="117"/>
      <c r="Q1126" s="117"/>
      <c r="R1126" s="156" t="str">
        <f>IF(Table111[[#This Row],[Qty]]="","",Table111[[#This Row],[Qty]]*Table111[[#This Row],[Unit Price]])</f>
        <v/>
      </c>
      <c r="S1126" s="156" t="str">
        <f>IF(Table111[[#This Row],[Qty]]="","",Table111[[#This Row],[Qty]]*Table111[[#This Row],[Unit Price]]+Table111[[#This Row],[Delivery Cost]])</f>
        <v/>
      </c>
      <c r="T1126" s="72"/>
      <c r="U1126" s="72"/>
      <c r="V1126" s="72"/>
      <c r="W1126" s="65"/>
      <c r="X1126" s="63" t="str">
        <f t="shared" si="51"/>
        <v/>
      </c>
      <c r="Y1126" s="63" t="str">
        <f t="shared" si="52"/>
        <v/>
      </c>
      <c r="Z1126" s="63" t="str">
        <f t="shared" si="53"/>
        <v/>
      </c>
      <c r="AA1126" s="63" t="str">
        <f>TEXT(Table111[[#This Row],[YEAR]],"0000")&amp;"-"&amp;Table111[[#This Row],[MONTH]]</f>
        <v>-</v>
      </c>
    </row>
    <row r="1127" spans="2:27" x14ac:dyDescent="0.3">
      <c r="B1127" s="68"/>
      <c r="C1127" s="68"/>
      <c r="D1127" s="68"/>
      <c r="E1127" s="71"/>
      <c r="F1127" s="72"/>
      <c r="G1127" s="70"/>
      <c r="H1127" s="74"/>
      <c r="I1127" s="70"/>
      <c r="J1127" s="70"/>
      <c r="K1127" s="70"/>
      <c r="L1127" s="74"/>
      <c r="M1127" s="123"/>
      <c r="N1127" s="73"/>
      <c r="O1127" s="236"/>
      <c r="P1127" s="117"/>
      <c r="Q1127" s="117"/>
      <c r="R1127" s="156" t="str">
        <f>IF(Table111[[#This Row],[Qty]]="","",Table111[[#This Row],[Qty]]*Table111[[#This Row],[Unit Price]])</f>
        <v/>
      </c>
      <c r="S1127" s="156" t="str">
        <f>IF(Table111[[#This Row],[Qty]]="","",Table111[[#This Row],[Qty]]*Table111[[#This Row],[Unit Price]]+Table111[[#This Row],[Delivery Cost]])</f>
        <v/>
      </c>
      <c r="T1127" s="72"/>
      <c r="U1127" s="72"/>
      <c r="V1127" s="72"/>
      <c r="W1127" s="219"/>
      <c r="X1127" s="63" t="str">
        <f t="shared" si="51"/>
        <v/>
      </c>
      <c r="Y1127" s="63" t="str">
        <f t="shared" si="52"/>
        <v/>
      </c>
      <c r="Z1127" s="63" t="str">
        <f t="shared" si="53"/>
        <v/>
      </c>
      <c r="AA1127" s="63" t="str">
        <f>TEXT(Table111[[#This Row],[YEAR]],"0000")&amp;"-"&amp;Table111[[#This Row],[MONTH]]</f>
        <v>-</v>
      </c>
    </row>
    <row r="1128" spans="2:27" x14ac:dyDescent="0.3">
      <c r="B1128" s="183"/>
      <c r="C1128" s="183"/>
      <c r="D1128" s="183"/>
      <c r="E1128" s="71"/>
      <c r="F1128" s="72"/>
      <c r="G1128" s="70"/>
      <c r="H1128" s="74"/>
      <c r="I1128" s="70"/>
      <c r="J1128" s="70"/>
      <c r="K1128" s="70"/>
      <c r="L1128" s="74"/>
      <c r="M1128" s="123"/>
      <c r="N1128" s="73"/>
      <c r="O1128" s="236"/>
      <c r="P1128" s="117"/>
      <c r="Q1128" s="117"/>
      <c r="R1128" s="156" t="str">
        <f>IF(Table111[[#This Row],[Qty]]="","",Table111[[#This Row],[Qty]]*Table111[[#This Row],[Unit Price]])</f>
        <v/>
      </c>
      <c r="S1128" s="156" t="str">
        <f>IF(Table111[[#This Row],[Qty]]="","",Table111[[#This Row],[Qty]]*Table111[[#This Row],[Unit Price]]+Table111[[#This Row],[Delivery Cost]])</f>
        <v/>
      </c>
      <c r="T1128" s="72"/>
      <c r="U1128" s="72"/>
      <c r="V1128" s="72"/>
      <c r="W1128" s="65"/>
      <c r="X1128" s="63" t="str">
        <f t="shared" si="51"/>
        <v/>
      </c>
      <c r="Y1128" s="63" t="str">
        <f t="shared" si="52"/>
        <v/>
      </c>
      <c r="Z1128" s="63" t="str">
        <f t="shared" si="53"/>
        <v/>
      </c>
      <c r="AA1128" s="63" t="str">
        <f>TEXT(Table111[[#This Row],[YEAR]],"0000")&amp;"-"&amp;Table111[[#This Row],[MONTH]]</f>
        <v>-</v>
      </c>
    </row>
    <row r="1129" spans="2:27" x14ac:dyDescent="0.3">
      <c r="B1129" s="68"/>
      <c r="C1129" s="68"/>
      <c r="D1129" s="68"/>
      <c r="E1129" s="71"/>
      <c r="F1129" s="72"/>
      <c r="G1129" s="70"/>
      <c r="H1129" s="74"/>
      <c r="I1129" s="70"/>
      <c r="J1129" s="70"/>
      <c r="K1129" s="70"/>
      <c r="L1129" s="74"/>
      <c r="M1129" s="123"/>
      <c r="N1129" s="73"/>
      <c r="O1129" s="236"/>
      <c r="P1129" s="117"/>
      <c r="Q1129" s="117"/>
      <c r="R1129" s="156" t="str">
        <f>IF(Table111[[#This Row],[Qty]]="","",Table111[[#This Row],[Qty]]*Table111[[#This Row],[Unit Price]])</f>
        <v/>
      </c>
      <c r="S1129" s="156" t="str">
        <f>IF(Table111[[#This Row],[Qty]]="","",Table111[[#This Row],[Qty]]*Table111[[#This Row],[Unit Price]]+Table111[[#This Row],[Delivery Cost]])</f>
        <v/>
      </c>
      <c r="T1129" s="72"/>
      <c r="U1129" s="72"/>
      <c r="V1129" s="72"/>
      <c r="W1129" s="219"/>
      <c r="X1129" s="63" t="str">
        <f t="shared" si="51"/>
        <v/>
      </c>
      <c r="Y1129" s="63" t="str">
        <f t="shared" si="52"/>
        <v/>
      </c>
      <c r="Z1129" s="63" t="str">
        <f t="shared" si="53"/>
        <v/>
      </c>
      <c r="AA1129" s="63" t="str">
        <f>TEXT(Table111[[#This Row],[YEAR]],"0000")&amp;"-"&amp;Table111[[#This Row],[MONTH]]</f>
        <v>-</v>
      </c>
    </row>
    <row r="1130" spans="2:27" x14ac:dyDescent="0.3">
      <c r="B1130" s="183"/>
      <c r="C1130" s="183"/>
      <c r="D1130" s="183"/>
      <c r="E1130" s="71"/>
      <c r="F1130" s="72"/>
      <c r="G1130" s="70"/>
      <c r="H1130" s="74"/>
      <c r="I1130" s="70"/>
      <c r="J1130" s="70"/>
      <c r="K1130" s="70"/>
      <c r="L1130" s="74"/>
      <c r="M1130" s="123"/>
      <c r="N1130" s="73"/>
      <c r="O1130" s="236"/>
      <c r="P1130" s="117"/>
      <c r="Q1130" s="117"/>
      <c r="R1130" s="156" t="str">
        <f>IF(Table111[[#This Row],[Qty]]="","",Table111[[#This Row],[Qty]]*Table111[[#This Row],[Unit Price]])</f>
        <v/>
      </c>
      <c r="S1130" s="156" t="str">
        <f>IF(Table111[[#This Row],[Qty]]="","",Table111[[#This Row],[Qty]]*Table111[[#This Row],[Unit Price]]+Table111[[#This Row],[Delivery Cost]])</f>
        <v/>
      </c>
      <c r="T1130" s="72"/>
      <c r="U1130" s="72"/>
      <c r="V1130" s="72"/>
      <c r="W1130" s="65"/>
      <c r="X1130" s="63" t="str">
        <f t="shared" si="51"/>
        <v/>
      </c>
      <c r="Y1130" s="63" t="str">
        <f t="shared" si="52"/>
        <v/>
      </c>
      <c r="Z1130" s="63" t="str">
        <f t="shared" si="53"/>
        <v/>
      </c>
      <c r="AA1130" s="63" t="str">
        <f>TEXT(Table111[[#This Row],[YEAR]],"0000")&amp;"-"&amp;Table111[[#This Row],[MONTH]]</f>
        <v>-</v>
      </c>
    </row>
    <row r="1131" spans="2:27" x14ac:dyDescent="0.3">
      <c r="B1131" s="68"/>
      <c r="C1131" s="68"/>
      <c r="D1131" s="68"/>
      <c r="E1131" s="71"/>
      <c r="F1131" s="72"/>
      <c r="G1131" s="70"/>
      <c r="H1131" s="74"/>
      <c r="I1131" s="70"/>
      <c r="J1131" s="70"/>
      <c r="K1131" s="70"/>
      <c r="L1131" s="74"/>
      <c r="M1131" s="123"/>
      <c r="N1131" s="73"/>
      <c r="O1131" s="236"/>
      <c r="P1131" s="117"/>
      <c r="Q1131" s="117"/>
      <c r="R1131" s="156" t="str">
        <f>IF(Table111[[#This Row],[Qty]]="","",Table111[[#This Row],[Qty]]*Table111[[#This Row],[Unit Price]])</f>
        <v/>
      </c>
      <c r="S1131" s="156" t="str">
        <f>IF(Table111[[#This Row],[Qty]]="","",Table111[[#This Row],[Qty]]*Table111[[#This Row],[Unit Price]]+Table111[[#This Row],[Delivery Cost]])</f>
        <v/>
      </c>
      <c r="T1131" s="72"/>
      <c r="U1131" s="72"/>
      <c r="V1131" s="72"/>
      <c r="W1131" s="219"/>
      <c r="X1131" s="63" t="str">
        <f t="shared" si="51"/>
        <v/>
      </c>
      <c r="Y1131" s="63" t="str">
        <f t="shared" si="52"/>
        <v/>
      </c>
      <c r="Z1131" s="63" t="str">
        <f t="shared" si="53"/>
        <v/>
      </c>
      <c r="AA1131" s="63" t="str">
        <f>TEXT(Table111[[#This Row],[YEAR]],"0000")&amp;"-"&amp;Table111[[#This Row],[MONTH]]</f>
        <v>-</v>
      </c>
    </row>
    <row r="1132" spans="2:27" x14ac:dyDescent="0.3">
      <c r="B1132" s="183"/>
      <c r="C1132" s="183"/>
      <c r="D1132" s="183"/>
      <c r="E1132" s="71"/>
      <c r="F1132" s="72"/>
      <c r="G1132" s="70"/>
      <c r="H1132" s="74"/>
      <c r="I1132" s="70"/>
      <c r="J1132" s="70"/>
      <c r="K1132" s="70"/>
      <c r="L1132" s="74"/>
      <c r="M1132" s="123"/>
      <c r="N1132" s="73"/>
      <c r="O1132" s="236"/>
      <c r="P1132" s="117"/>
      <c r="Q1132" s="117"/>
      <c r="R1132" s="156" t="str">
        <f>IF(Table111[[#This Row],[Qty]]="","",Table111[[#This Row],[Qty]]*Table111[[#This Row],[Unit Price]])</f>
        <v/>
      </c>
      <c r="S1132" s="156" t="str">
        <f>IF(Table111[[#This Row],[Qty]]="","",Table111[[#This Row],[Qty]]*Table111[[#This Row],[Unit Price]]+Table111[[#This Row],[Delivery Cost]])</f>
        <v/>
      </c>
      <c r="T1132" s="72"/>
      <c r="U1132" s="72"/>
      <c r="V1132" s="72"/>
      <c r="W1132" s="65"/>
      <c r="X1132" s="63" t="str">
        <f t="shared" si="51"/>
        <v/>
      </c>
      <c r="Y1132" s="63" t="str">
        <f t="shared" si="52"/>
        <v/>
      </c>
      <c r="Z1132" s="63" t="str">
        <f t="shared" si="53"/>
        <v/>
      </c>
      <c r="AA1132" s="63" t="str">
        <f>TEXT(Table111[[#This Row],[YEAR]],"0000")&amp;"-"&amp;Table111[[#This Row],[MONTH]]</f>
        <v>-</v>
      </c>
    </row>
    <row r="1133" spans="2:27" x14ac:dyDescent="0.3">
      <c r="B1133" s="68"/>
      <c r="C1133" s="68"/>
      <c r="D1133" s="68"/>
      <c r="E1133" s="71"/>
      <c r="F1133" s="72"/>
      <c r="G1133" s="70"/>
      <c r="H1133" s="74"/>
      <c r="I1133" s="70"/>
      <c r="J1133" s="70"/>
      <c r="K1133" s="70"/>
      <c r="L1133" s="74"/>
      <c r="M1133" s="123"/>
      <c r="N1133" s="73"/>
      <c r="O1133" s="236"/>
      <c r="P1133" s="117"/>
      <c r="Q1133" s="117"/>
      <c r="R1133" s="156" t="str">
        <f>IF(Table111[[#This Row],[Qty]]="","",Table111[[#This Row],[Qty]]*Table111[[#This Row],[Unit Price]])</f>
        <v/>
      </c>
      <c r="S1133" s="156" t="str">
        <f>IF(Table111[[#This Row],[Qty]]="","",Table111[[#This Row],[Qty]]*Table111[[#This Row],[Unit Price]]+Table111[[#This Row],[Delivery Cost]])</f>
        <v/>
      </c>
      <c r="T1133" s="72"/>
      <c r="U1133" s="72"/>
      <c r="V1133" s="72"/>
      <c r="W1133" s="219"/>
      <c r="X1133" s="63" t="str">
        <f t="shared" si="51"/>
        <v/>
      </c>
      <c r="Y1133" s="63" t="str">
        <f t="shared" si="52"/>
        <v/>
      </c>
      <c r="Z1133" s="63" t="str">
        <f t="shared" si="53"/>
        <v/>
      </c>
      <c r="AA1133" s="63" t="str">
        <f>TEXT(Table111[[#This Row],[YEAR]],"0000")&amp;"-"&amp;Table111[[#This Row],[MONTH]]</f>
        <v>-</v>
      </c>
    </row>
    <row r="1134" spans="2:27" x14ac:dyDescent="0.3">
      <c r="B1134" s="183"/>
      <c r="C1134" s="183"/>
      <c r="D1134" s="183"/>
      <c r="E1134" s="71"/>
      <c r="F1134" s="72"/>
      <c r="G1134" s="70"/>
      <c r="H1134" s="74"/>
      <c r="I1134" s="70"/>
      <c r="J1134" s="70"/>
      <c r="K1134" s="70"/>
      <c r="L1134" s="74"/>
      <c r="M1134" s="123"/>
      <c r="N1134" s="73"/>
      <c r="O1134" s="236"/>
      <c r="P1134" s="117"/>
      <c r="Q1134" s="117"/>
      <c r="R1134" s="156" t="str">
        <f>IF(Table111[[#This Row],[Qty]]="","",Table111[[#This Row],[Qty]]*Table111[[#This Row],[Unit Price]])</f>
        <v/>
      </c>
      <c r="S1134" s="156" t="str">
        <f>IF(Table111[[#This Row],[Qty]]="","",Table111[[#This Row],[Qty]]*Table111[[#This Row],[Unit Price]]+Table111[[#This Row],[Delivery Cost]])</f>
        <v/>
      </c>
      <c r="T1134" s="72"/>
      <c r="U1134" s="72"/>
      <c r="V1134" s="72"/>
      <c r="W1134" s="65"/>
      <c r="X1134" s="63" t="str">
        <f t="shared" si="51"/>
        <v/>
      </c>
      <c r="Y1134" s="63" t="str">
        <f t="shared" si="52"/>
        <v/>
      </c>
      <c r="Z1134" s="63" t="str">
        <f t="shared" si="53"/>
        <v/>
      </c>
      <c r="AA1134" s="63" t="str">
        <f>TEXT(Table111[[#This Row],[YEAR]],"0000")&amp;"-"&amp;Table111[[#This Row],[MONTH]]</f>
        <v>-</v>
      </c>
    </row>
    <row r="1135" spans="2:27" x14ac:dyDescent="0.3">
      <c r="B1135" s="68"/>
      <c r="C1135" s="68"/>
      <c r="D1135" s="68"/>
      <c r="E1135" s="71"/>
      <c r="F1135" s="72"/>
      <c r="G1135" s="70"/>
      <c r="H1135" s="74"/>
      <c r="I1135" s="70"/>
      <c r="J1135" s="70"/>
      <c r="K1135" s="70"/>
      <c r="L1135" s="74"/>
      <c r="M1135" s="123"/>
      <c r="N1135" s="73"/>
      <c r="O1135" s="236"/>
      <c r="P1135" s="117"/>
      <c r="Q1135" s="117"/>
      <c r="R1135" s="156" t="str">
        <f>IF(Table111[[#This Row],[Qty]]="","",Table111[[#This Row],[Qty]]*Table111[[#This Row],[Unit Price]])</f>
        <v/>
      </c>
      <c r="S1135" s="156" t="str">
        <f>IF(Table111[[#This Row],[Qty]]="","",Table111[[#This Row],[Qty]]*Table111[[#This Row],[Unit Price]]+Table111[[#This Row],[Delivery Cost]])</f>
        <v/>
      </c>
      <c r="T1135" s="72"/>
      <c r="U1135" s="72"/>
      <c r="V1135" s="72"/>
      <c r="W1135" s="219"/>
      <c r="X1135" s="63" t="str">
        <f t="shared" si="51"/>
        <v/>
      </c>
      <c r="Y1135" s="63" t="str">
        <f t="shared" si="52"/>
        <v/>
      </c>
      <c r="Z1135" s="63" t="str">
        <f t="shared" si="53"/>
        <v/>
      </c>
      <c r="AA1135" s="63" t="str">
        <f>TEXT(Table111[[#This Row],[YEAR]],"0000")&amp;"-"&amp;Table111[[#This Row],[MONTH]]</f>
        <v>-</v>
      </c>
    </row>
    <row r="1136" spans="2:27" x14ac:dyDescent="0.3">
      <c r="B1136" s="183"/>
      <c r="C1136" s="183"/>
      <c r="D1136" s="183"/>
      <c r="E1136" s="71"/>
      <c r="F1136" s="72"/>
      <c r="G1136" s="70"/>
      <c r="H1136" s="74"/>
      <c r="I1136" s="70"/>
      <c r="J1136" s="70"/>
      <c r="K1136" s="70"/>
      <c r="L1136" s="74"/>
      <c r="M1136" s="123"/>
      <c r="N1136" s="73"/>
      <c r="O1136" s="236"/>
      <c r="P1136" s="117"/>
      <c r="Q1136" s="117"/>
      <c r="R1136" s="156" t="str">
        <f>IF(Table111[[#This Row],[Qty]]="","",Table111[[#This Row],[Qty]]*Table111[[#This Row],[Unit Price]])</f>
        <v/>
      </c>
      <c r="S1136" s="156" t="str">
        <f>IF(Table111[[#This Row],[Qty]]="","",Table111[[#This Row],[Qty]]*Table111[[#This Row],[Unit Price]]+Table111[[#This Row],[Delivery Cost]])</f>
        <v/>
      </c>
      <c r="T1136" s="72"/>
      <c r="U1136" s="72"/>
      <c r="V1136" s="72"/>
      <c r="W1136" s="65"/>
      <c r="X1136" s="63" t="str">
        <f t="shared" si="51"/>
        <v/>
      </c>
      <c r="Y1136" s="63" t="str">
        <f t="shared" si="52"/>
        <v/>
      </c>
      <c r="Z1136" s="63" t="str">
        <f t="shared" si="53"/>
        <v/>
      </c>
      <c r="AA1136" s="63" t="str">
        <f>TEXT(Table111[[#This Row],[YEAR]],"0000")&amp;"-"&amp;Table111[[#This Row],[MONTH]]</f>
        <v>-</v>
      </c>
    </row>
    <row r="1137" spans="2:27" x14ac:dyDescent="0.3">
      <c r="B1137" s="68"/>
      <c r="C1137" s="68"/>
      <c r="D1137" s="68"/>
      <c r="E1137" s="71"/>
      <c r="F1137" s="72"/>
      <c r="G1137" s="70"/>
      <c r="H1137" s="74"/>
      <c r="I1137" s="70"/>
      <c r="J1137" s="70"/>
      <c r="K1137" s="70"/>
      <c r="L1137" s="74"/>
      <c r="M1137" s="123"/>
      <c r="N1137" s="73"/>
      <c r="O1137" s="236"/>
      <c r="P1137" s="117"/>
      <c r="Q1137" s="117"/>
      <c r="R1137" s="156" t="str">
        <f>IF(Table111[[#This Row],[Qty]]="","",Table111[[#This Row],[Qty]]*Table111[[#This Row],[Unit Price]])</f>
        <v/>
      </c>
      <c r="S1137" s="156" t="str">
        <f>IF(Table111[[#This Row],[Qty]]="","",Table111[[#This Row],[Qty]]*Table111[[#This Row],[Unit Price]]+Table111[[#This Row],[Delivery Cost]])</f>
        <v/>
      </c>
      <c r="T1137" s="72"/>
      <c r="U1137" s="72"/>
      <c r="V1137" s="72"/>
      <c r="W1137" s="219"/>
      <c r="X1137" s="63" t="str">
        <f t="shared" si="51"/>
        <v/>
      </c>
      <c r="Y1137" s="63" t="str">
        <f t="shared" si="52"/>
        <v/>
      </c>
      <c r="Z1137" s="63" t="str">
        <f t="shared" si="53"/>
        <v/>
      </c>
      <c r="AA1137" s="63" t="str">
        <f>TEXT(Table111[[#This Row],[YEAR]],"0000")&amp;"-"&amp;Table111[[#This Row],[MONTH]]</f>
        <v>-</v>
      </c>
    </row>
    <row r="1138" spans="2:27" x14ac:dyDescent="0.3">
      <c r="B1138" s="183"/>
      <c r="C1138" s="183"/>
      <c r="D1138" s="183"/>
      <c r="E1138" s="71"/>
      <c r="F1138" s="72"/>
      <c r="G1138" s="70"/>
      <c r="H1138" s="74"/>
      <c r="I1138" s="70"/>
      <c r="J1138" s="70"/>
      <c r="K1138" s="70"/>
      <c r="L1138" s="74"/>
      <c r="M1138" s="123"/>
      <c r="N1138" s="73"/>
      <c r="O1138" s="236"/>
      <c r="P1138" s="117"/>
      <c r="Q1138" s="117"/>
      <c r="R1138" s="156" t="str">
        <f>IF(Table111[[#This Row],[Qty]]="","",Table111[[#This Row],[Qty]]*Table111[[#This Row],[Unit Price]])</f>
        <v/>
      </c>
      <c r="S1138" s="156" t="str">
        <f>IF(Table111[[#This Row],[Qty]]="","",Table111[[#This Row],[Qty]]*Table111[[#This Row],[Unit Price]]+Table111[[#This Row],[Delivery Cost]])</f>
        <v/>
      </c>
      <c r="T1138" s="72"/>
      <c r="U1138" s="72"/>
      <c r="V1138" s="72"/>
      <c r="W1138" s="65"/>
      <c r="X1138" s="63" t="str">
        <f t="shared" si="51"/>
        <v/>
      </c>
      <c r="Y1138" s="63" t="str">
        <f t="shared" si="52"/>
        <v/>
      </c>
      <c r="Z1138" s="63" t="str">
        <f t="shared" si="53"/>
        <v/>
      </c>
      <c r="AA1138" s="63" t="str">
        <f>TEXT(Table111[[#This Row],[YEAR]],"0000")&amp;"-"&amp;Table111[[#This Row],[MONTH]]</f>
        <v>-</v>
      </c>
    </row>
    <row r="1139" spans="2:27" x14ac:dyDescent="0.3">
      <c r="B1139" s="68"/>
      <c r="C1139" s="68"/>
      <c r="D1139" s="68"/>
      <c r="E1139" s="71"/>
      <c r="F1139" s="72"/>
      <c r="G1139" s="70"/>
      <c r="H1139" s="74"/>
      <c r="I1139" s="70"/>
      <c r="J1139" s="70"/>
      <c r="K1139" s="70"/>
      <c r="L1139" s="74"/>
      <c r="M1139" s="123"/>
      <c r="N1139" s="73"/>
      <c r="O1139" s="236"/>
      <c r="P1139" s="117"/>
      <c r="Q1139" s="117"/>
      <c r="R1139" s="156" t="str">
        <f>IF(Table111[[#This Row],[Qty]]="","",Table111[[#This Row],[Qty]]*Table111[[#This Row],[Unit Price]])</f>
        <v/>
      </c>
      <c r="S1139" s="156" t="str">
        <f>IF(Table111[[#This Row],[Qty]]="","",Table111[[#This Row],[Qty]]*Table111[[#This Row],[Unit Price]]+Table111[[#This Row],[Delivery Cost]])</f>
        <v/>
      </c>
      <c r="T1139" s="72"/>
      <c r="U1139" s="72"/>
      <c r="V1139" s="72"/>
      <c r="W1139" s="219"/>
      <c r="X1139" s="63" t="str">
        <f t="shared" si="51"/>
        <v/>
      </c>
      <c r="Y1139" s="63" t="str">
        <f t="shared" si="52"/>
        <v/>
      </c>
      <c r="Z1139" s="63" t="str">
        <f t="shared" si="53"/>
        <v/>
      </c>
      <c r="AA1139" s="63" t="str">
        <f>TEXT(Table111[[#This Row],[YEAR]],"0000")&amp;"-"&amp;Table111[[#This Row],[MONTH]]</f>
        <v>-</v>
      </c>
    </row>
    <row r="1140" spans="2:27" x14ac:dyDescent="0.3">
      <c r="B1140" s="183"/>
      <c r="C1140" s="183"/>
      <c r="D1140" s="183"/>
      <c r="E1140" s="71"/>
      <c r="F1140" s="72"/>
      <c r="G1140" s="70"/>
      <c r="H1140" s="74"/>
      <c r="I1140" s="70"/>
      <c r="J1140" s="70"/>
      <c r="K1140" s="70"/>
      <c r="L1140" s="74"/>
      <c r="M1140" s="123"/>
      <c r="N1140" s="73"/>
      <c r="O1140" s="236"/>
      <c r="P1140" s="117"/>
      <c r="Q1140" s="117"/>
      <c r="R1140" s="156" t="str">
        <f>IF(Table111[[#This Row],[Qty]]="","",Table111[[#This Row],[Qty]]*Table111[[#This Row],[Unit Price]])</f>
        <v/>
      </c>
      <c r="S1140" s="156" t="str">
        <f>IF(Table111[[#This Row],[Qty]]="","",Table111[[#This Row],[Qty]]*Table111[[#This Row],[Unit Price]]+Table111[[#This Row],[Delivery Cost]])</f>
        <v/>
      </c>
      <c r="T1140" s="72"/>
      <c r="U1140" s="72"/>
      <c r="V1140" s="72"/>
      <c r="W1140" s="65"/>
      <c r="X1140" s="63" t="str">
        <f t="shared" si="51"/>
        <v/>
      </c>
      <c r="Y1140" s="63" t="str">
        <f t="shared" si="52"/>
        <v/>
      </c>
      <c r="Z1140" s="63" t="str">
        <f t="shared" si="53"/>
        <v/>
      </c>
      <c r="AA1140" s="63" t="str">
        <f>TEXT(Table111[[#This Row],[YEAR]],"0000")&amp;"-"&amp;Table111[[#This Row],[MONTH]]</f>
        <v>-</v>
      </c>
    </row>
    <row r="1141" spans="2:27" x14ac:dyDescent="0.3">
      <c r="B1141" s="68"/>
      <c r="C1141" s="68"/>
      <c r="D1141" s="68"/>
      <c r="E1141" s="71"/>
      <c r="F1141" s="72"/>
      <c r="G1141" s="70"/>
      <c r="H1141" s="74"/>
      <c r="I1141" s="70"/>
      <c r="J1141" s="70"/>
      <c r="K1141" s="70"/>
      <c r="L1141" s="74"/>
      <c r="M1141" s="123"/>
      <c r="N1141" s="73"/>
      <c r="O1141" s="236"/>
      <c r="P1141" s="117"/>
      <c r="Q1141" s="117"/>
      <c r="R1141" s="156" t="str">
        <f>IF(Table111[[#This Row],[Qty]]="","",Table111[[#This Row],[Qty]]*Table111[[#This Row],[Unit Price]])</f>
        <v/>
      </c>
      <c r="S1141" s="156" t="str">
        <f>IF(Table111[[#This Row],[Qty]]="","",Table111[[#This Row],[Qty]]*Table111[[#This Row],[Unit Price]]+Table111[[#This Row],[Delivery Cost]])</f>
        <v/>
      </c>
      <c r="T1141" s="72"/>
      <c r="U1141" s="72"/>
      <c r="V1141" s="72"/>
      <c r="W1141" s="219"/>
      <c r="X1141" s="63" t="str">
        <f t="shared" si="51"/>
        <v/>
      </c>
      <c r="Y1141" s="63" t="str">
        <f t="shared" si="52"/>
        <v/>
      </c>
      <c r="Z1141" s="63" t="str">
        <f t="shared" si="53"/>
        <v/>
      </c>
      <c r="AA1141" s="63" t="str">
        <f>TEXT(Table111[[#This Row],[YEAR]],"0000")&amp;"-"&amp;Table111[[#This Row],[MONTH]]</f>
        <v>-</v>
      </c>
    </row>
    <row r="1142" spans="2:27" x14ac:dyDescent="0.3">
      <c r="B1142" s="183"/>
      <c r="C1142" s="183"/>
      <c r="D1142" s="183"/>
      <c r="E1142" s="71"/>
      <c r="F1142" s="72"/>
      <c r="G1142" s="70"/>
      <c r="H1142" s="74"/>
      <c r="I1142" s="70"/>
      <c r="J1142" s="70"/>
      <c r="K1142" s="70"/>
      <c r="L1142" s="74"/>
      <c r="M1142" s="123"/>
      <c r="N1142" s="73"/>
      <c r="O1142" s="236"/>
      <c r="P1142" s="117"/>
      <c r="Q1142" s="117"/>
      <c r="R1142" s="156" t="str">
        <f>IF(Table111[[#This Row],[Qty]]="","",Table111[[#This Row],[Qty]]*Table111[[#This Row],[Unit Price]])</f>
        <v/>
      </c>
      <c r="S1142" s="156" t="str">
        <f>IF(Table111[[#This Row],[Qty]]="","",Table111[[#This Row],[Qty]]*Table111[[#This Row],[Unit Price]]+Table111[[#This Row],[Delivery Cost]])</f>
        <v/>
      </c>
      <c r="T1142" s="72"/>
      <c r="U1142" s="72"/>
      <c r="V1142" s="72"/>
      <c r="W1142" s="65"/>
      <c r="X1142" s="63" t="str">
        <f t="shared" si="51"/>
        <v/>
      </c>
      <c r="Y1142" s="63" t="str">
        <f t="shared" si="52"/>
        <v/>
      </c>
      <c r="Z1142" s="63" t="str">
        <f t="shared" si="53"/>
        <v/>
      </c>
      <c r="AA1142" s="63" t="str">
        <f>TEXT(Table111[[#This Row],[YEAR]],"0000")&amp;"-"&amp;Table111[[#This Row],[MONTH]]</f>
        <v>-</v>
      </c>
    </row>
    <row r="1143" spans="2:27" x14ac:dyDescent="0.3">
      <c r="B1143" s="68"/>
      <c r="C1143" s="68"/>
      <c r="D1143" s="68"/>
      <c r="E1143" s="71"/>
      <c r="F1143" s="72"/>
      <c r="G1143" s="70"/>
      <c r="H1143" s="74"/>
      <c r="I1143" s="70"/>
      <c r="J1143" s="70"/>
      <c r="K1143" s="70"/>
      <c r="L1143" s="74"/>
      <c r="M1143" s="123"/>
      <c r="N1143" s="73"/>
      <c r="O1143" s="236"/>
      <c r="P1143" s="117"/>
      <c r="Q1143" s="117"/>
      <c r="R1143" s="156" t="str">
        <f>IF(Table111[[#This Row],[Qty]]="","",Table111[[#This Row],[Qty]]*Table111[[#This Row],[Unit Price]])</f>
        <v/>
      </c>
      <c r="S1143" s="156" t="str">
        <f>IF(Table111[[#This Row],[Qty]]="","",Table111[[#This Row],[Qty]]*Table111[[#This Row],[Unit Price]]+Table111[[#This Row],[Delivery Cost]])</f>
        <v/>
      </c>
      <c r="T1143" s="72"/>
      <c r="U1143" s="72"/>
      <c r="V1143" s="72"/>
      <c r="W1143" s="219"/>
      <c r="X1143" s="63" t="str">
        <f t="shared" si="51"/>
        <v/>
      </c>
      <c r="Y1143" s="63" t="str">
        <f t="shared" si="52"/>
        <v/>
      </c>
      <c r="Z1143" s="63" t="str">
        <f t="shared" si="53"/>
        <v/>
      </c>
      <c r="AA1143" s="63" t="str">
        <f>TEXT(Table111[[#This Row],[YEAR]],"0000")&amp;"-"&amp;Table111[[#This Row],[MONTH]]</f>
        <v>-</v>
      </c>
    </row>
    <row r="1144" spans="2:27" x14ac:dyDescent="0.3">
      <c r="B1144" s="183"/>
      <c r="C1144" s="183"/>
      <c r="D1144" s="183"/>
      <c r="E1144" s="71"/>
      <c r="F1144" s="72"/>
      <c r="G1144" s="70"/>
      <c r="H1144" s="74"/>
      <c r="I1144" s="70"/>
      <c r="J1144" s="70"/>
      <c r="K1144" s="70"/>
      <c r="L1144" s="74"/>
      <c r="M1144" s="123"/>
      <c r="N1144" s="73"/>
      <c r="O1144" s="236"/>
      <c r="P1144" s="117"/>
      <c r="Q1144" s="117"/>
      <c r="R1144" s="156" t="str">
        <f>IF(Table111[[#This Row],[Qty]]="","",Table111[[#This Row],[Qty]]*Table111[[#This Row],[Unit Price]])</f>
        <v/>
      </c>
      <c r="S1144" s="156" t="str">
        <f>IF(Table111[[#This Row],[Qty]]="","",Table111[[#This Row],[Qty]]*Table111[[#This Row],[Unit Price]]+Table111[[#This Row],[Delivery Cost]])</f>
        <v/>
      </c>
      <c r="T1144" s="72"/>
      <c r="U1144" s="72"/>
      <c r="V1144" s="72"/>
      <c r="W1144" s="65"/>
      <c r="X1144" s="63" t="str">
        <f t="shared" si="51"/>
        <v/>
      </c>
      <c r="Y1144" s="63" t="str">
        <f t="shared" si="52"/>
        <v/>
      </c>
      <c r="Z1144" s="63" t="str">
        <f t="shared" si="53"/>
        <v/>
      </c>
      <c r="AA1144" s="63" t="str">
        <f>TEXT(Table111[[#This Row],[YEAR]],"0000")&amp;"-"&amp;Table111[[#This Row],[MONTH]]</f>
        <v>-</v>
      </c>
    </row>
    <row r="1145" spans="2:27" x14ac:dyDescent="0.3">
      <c r="B1145" s="68"/>
      <c r="C1145" s="68"/>
      <c r="D1145" s="68"/>
      <c r="E1145" s="71"/>
      <c r="F1145" s="72"/>
      <c r="G1145" s="70"/>
      <c r="H1145" s="74"/>
      <c r="I1145" s="70"/>
      <c r="J1145" s="70"/>
      <c r="K1145" s="70"/>
      <c r="L1145" s="74"/>
      <c r="M1145" s="123"/>
      <c r="N1145" s="73"/>
      <c r="O1145" s="236"/>
      <c r="P1145" s="117"/>
      <c r="Q1145" s="117"/>
      <c r="R1145" s="156" t="str">
        <f>IF(Table111[[#This Row],[Qty]]="","",Table111[[#This Row],[Qty]]*Table111[[#This Row],[Unit Price]])</f>
        <v/>
      </c>
      <c r="S1145" s="156" t="str">
        <f>IF(Table111[[#This Row],[Qty]]="","",Table111[[#This Row],[Qty]]*Table111[[#This Row],[Unit Price]]+Table111[[#This Row],[Delivery Cost]])</f>
        <v/>
      </c>
      <c r="T1145" s="72"/>
      <c r="U1145" s="72"/>
      <c r="V1145" s="72"/>
      <c r="W1145" s="219"/>
      <c r="X1145" s="63" t="str">
        <f t="shared" si="51"/>
        <v/>
      </c>
      <c r="Y1145" s="63" t="str">
        <f t="shared" si="52"/>
        <v/>
      </c>
      <c r="Z1145" s="63" t="str">
        <f t="shared" si="53"/>
        <v/>
      </c>
      <c r="AA1145" s="63" t="str">
        <f>TEXT(Table111[[#This Row],[YEAR]],"0000")&amp;"-"&amp;Table111[[#This Row],[MONTH]]</f>
        <v>-</v>
      </c>
    </row>
    <row r="1146" spans="2:27" x14ac:dyDescent="0.3">
      <c r="B1146" s="183"/>
      <c r="C1146" s="183"/>
      <c r="D1146" s="183"/>
      <c r="E1146" s="71"/>
      <c r="F1146" s="72"/>
      <c r="G1146" s="70"/>
      <c r="H1146" s="74"/>
      <c r="I1146" s="70"/>
      <c r="J1146" s="70"/>
      <c r="K1146" s="70"/>
      <c r="L1146" s="74"/>
      <c r="M1146" s="123"/>
      <c r="N1146" s="73"/>
      <c r="O1146" s="236"/>
      <c r="P1146" s="117"/>
      <c r="Q1146" s="117"/>
      <c r="R1146" s="156" t="str">
        <f>IF(Table111[[#This Row],[Qty]]="","",Table111[[#This Row],[Qty]]*Table111[[#This Row],[Unit Price]])</f>
        <v/>
      </c>
      <c r="S1146" s="156" t="str">
        <f>IF(Table111[[#This Row],[Qty]]="","",Table111[[#This Row],[Qty]]*Table111[[#This Row],[Unit Price]]+Table111[[#This Row],[Delivery Cost]])</f>
        <v/>
      </c>
      <c r="T1146" s="72"/>
      <c r="U1146" s="72"/>
      <c r="V1146" s="72"/>
      <c r="W1146" s="65"/>
      <c r="X1146" s="63" t="str">
        <f t="shared" si="51"/>
        <v/>
      </c>
      <c r="Y1146" s="63" t="str">
        <f t="shared" si="52"/>
        <v/>
      </c>
      <c r="Z1146" s="63" t="str">
        <f t="shared" si="53"/>
        <v/>
      </c>
      <c r="AA1146" s="63" t="str">
        <f>TEXT(Table111[[#This Row],[YEAR]],"0000")&amp;"-"&amp;Table111[[#This Row],[MONTH]]</f>
        <v>-</v>
      </c>
    </row>
    <row r="1147" spans="2:27" x14ac:dyDescent="0.3">
      <c r="B1147" s="68"/>
      <c r="C1147" s="68"/>
      <c r="D1147" s="68"/>
      <c r="E1147" s="71"/>
      <c r="F1147" s="72"/>
      <c r="G1147" s="70"/>
      <c r="H1147" s="74"/>
      <c r="I1147" s="70"/>
      <c r="J1147" s="70"/>
      <c r="K1147" s="70"/>
      <c r="L1147" s="74"/>
      <c r="M1147" s="123"/>
      <c r="N1147" s="73"/>
      <c r="O1147" s="236"/>
      <c r="P1147" s="117"/>
      <c r="Q1147" s="117"/>
      <c r="R1147" s="156" t="str">
        <f>IF(Table111[[#This Row],[Qty]]="","",Table111[[#This Row],[Qty]]*Table111[[#This Row],[Unit Price]])</f>
        <v/>
      </c>
      <c r="S1147" s="156" t="str">
        <f>IF(Table111[[#This Row],[Qty]]="","",Table111[[#This Row],[Qty]]*Table111[[#This Row],[Unit Price]]+Table111[[#This Row],[Delivery Cost]])</f>
        <v/>
      </c>
      <c r="T1147" s="72"/>
      <c r="U1147" s="72"/>
      <c r="V1147" s="72"/>
      <c r="W1147" s="219"/>
      <c r="X1147" s="63" t="str">
        <f t="shared" si="51"/>
        <v/>
      </c>
      <c r="Y1147" s="63" t="str">
        <f t="shared" si="52"/>
        <v/>
      </c>
      <c r="Z1147" s="63" t="str">
        <f t="shared" si="53"/>
        <v/>
      </c>
      <c r="AA1147" s="63" t="str">
        <f>TEXT(Table111[[#This Row],[YEAR]],"0000")&amp;"-"&amp;Table111[[#This Row],[MONTH]]</f>
        <v>-</v>
      </c>
    </row>
    <row r="1148" spans="2:27" x14ac:dyDescent="0.3">
      <c r="B1148" s="183"/>
      <c r="C1148" s="183"/>
      <c r="D1148" s="183"/>
      <c r="E1148" s="71"/>
      <c r="F1148" s="72"/>
      <c r="G1148" s="70"/>
      <c r="H1148" s="74"/>
      <c r="I1148" s="70"/>
      <c r="J1148" s="70"/>
      <c r="K1148" s="70"/>
      <c r="L1148" s="74"/>
      <c r="M1148" s="123"/>
      <c r="N1148" s="73"/>
      <c r="O1148" s="236"/>
      <c r="P1148" s="117"/>
      <c r="Q1148" s="117"/>
      <c r="R1148" s="156" t="str">
        <f>IF(Table111[[#This Row],[Qty]]="","",Table111[[#This Row],[Qty]]*Table111[[#This Row],[Unit Price]])</f>
        <v/>
      </c>
      <c r="S1148" s="156" t="str">
        <f>IF(Table111[[#This Row],[Qty]]="","",Table111[[#This Row],[Qty]]*Table111[[#This Row],[Unit Price]]+Table111[[#This Row],[Delivery Cost]])</f>
        <v/>
      </c>
      <c r="T1148" s="72"/>
      <c r="U1148" s="72"/>
      <c r="V1148" s="72"/>
      <c r="W1148" s="65"/>
      <c r="X1148" s="63" t="str">
        <f t="shared" si="51"/>
        <v/>
      </c>
      <c r="Y1148" s="63" t="str">
        <f t="shared" si="52"/>
        <v/>
      </c>
      <c r="Z1148" s="63" t="str">
        <f t="shared" si="53"/>
        <v/>
      </c>
      <c r="AA1148" s="63" t="str">
        <f>TEXT(Table111[[#This Row],[YEAR]],"0000")&amp;"-"&amp;Table111[[#This Row],[MONTH]]</f>
        <v>-</v>
      </c>
    </row>
    <row r="1149" spans="2:27" x14ac:dyDescent="0.3">
      <c r="B1149" s="68"/>
      <c r="C1149" s="68"/>
      <c r="D1149" s="68"/>
      <c r="E1149" s="71"/>
      <c r="F1149" s="72"/>
      <c r="G1149" s="70"/>
      <c r="H1149" s="74"/>
      <c r="I1149" s="70"/>
      <c r="J1149" s="70"/>
      <c r="K1149" s="70"/>
      <c r="L1149" s="74"/>
      <c r="M1149" s="123"/>
      <c r="N1149" s="73"/>
      <c r="O1149" s="236"/>
      <c r="P1149" s="117"/>
      <c r="Q1149" s="117"/>
      <c r="R1149" s="156" t="str">
        <f>IF(Table111[[#This Row],[Qty]]="","",Table111[[#This Row],[Qty]]*Table111[[#This Row],[Unit Price]])</f>
        <v/>
      </c>
      <c r="S1149" s="156" t="str">
        <f>IF(Table111[[#This Row],[Qty]]="","",Table111[[#This Row],[Qty]]*Table111[[#This Row],[Unit Price]]+Table111[[#This Row],[Delivery Cost]])</f>
        <v/>
      </c>
      <c r="T1149" s="72"/>
      <c r="U1149" s="72"/>
      <c r="V1149" s="72"/>
      <c r="W1149" s="219"/>
      <c r="X1149" s="63" t="str">
        <f t="shared" si="51"/>
        <v/>
      </c>
      <c r="Y1149" s="63" t="str">
        <f t="shared" si="52"/>
        <v/>
      </c>
      <c r="Z1149" s="63" t="str">
        <f t="shared" si="53"/>
        <v/>
      </c>
      <c r="AA1149" s="63" t="str">
        <f>TEXT(Table111[[#This Row],[YEAR]],"0000")&amp;"-"&amp;Table111[[#This Row],[MONTH]]</f>
        <v>-</v>
      </c>
    </row>
    <row r="1150" spans="2:27" x14ac:dyDescent="0.3">
      <c r="B1150" s="183"/>
      <c r="C1150" s="183"/>
      <c r="D1150" s="183"/>
      <c r="E1150" s="71"/>
      <c r="F1150" s="72"/>
      <c r="G1150" s="70"/>
      <c r="H1150" s="74"/>
      <c r="I1150" s="70"/>
      <c r="J1150" s="70"/>
      <c r="K1150" s="70"/>
      <c r="L1150" s="74"/>
      <c r="M1150" s="123"/>
      <c r="N1150" s="73"/>
      <c r="O1150" s="236"/>
      <c r="P1150" s="117"/>
      <c r="Q1150" s="117"/>
      <c r="R1150" s="156" t="str">
        <f>IF(Table111[[#This Row],[Qty]]="","",Table111[[#This Row],[Qty]]*Table111[[#This Row],[Unit Price]])</f>
        <v/>
      </c>
      <c r="S1150" s="156" t="str">
        <f>IF(Table111[[#This Row],[Qty]]="","",Table111[[#This Row],[Qty]]*Table111[[#This Row],[Unit Price]]+Table111[[#This Row],[Delivery Cost]])</f>
        <v/>
      </c>
      <c r="T1150" s="72"/>
      <c r="U1150" s="72"/>
      <c r="V1150" s="72"/>
      <c r="W1150" s="65"/>
      <c r="X1150" s="63" t="str">
        <f t="shared" si="51"/>
        <v/>
      </c>
      <c r="Y1150" s="63" t="str">
        <f t="shared" si="52"/>
        <v/>
      </c>
      <c r="Z1150" s="63" t="str">
        <f t="shared" si="53"/>
        <v/>
      </c>
      <c r="AA1150" s="63" t="str">
        <f>TEXT(Table111[[#This Row],[YEAR]],"0000")&amp;"-"&amp;Table111[[#This Row],[MONTH]]</f>
        <v>-</v>
      </c>
    </row>
    <row r="1151" spans="2:27" x14ac:dyDescent="0.3">
      <c r="B1151" s="68"/>
      <c r="C1151" s="68"/>
      <c r="D1151" s="68"/>
      <c r="E1151" s="71"/>
      <c r="F1151" s="72"/>
      <c r="G1151" s="70"/>
      <c r="H1151" s="74"/>
      <c r="I1151" s="70"/>
      <c r="J1151" s="70"/>
      <c r="K1151" s="70"/>
      <c r="L1151" s="74"/>
      <c r="M1151" s="123"/>
      <c r="N1151" s="73"/>
      <c r="O1151" s="236"/>
      <c r="P1151" s="117"/>
      <c r="Q1151" s="117"/>
      <c r="R1151" s="156" t="str">
        <f>IF(Table111[[#This Row],[Qty]]="","",Table111[[#This Row],[Qty]]*Table111[[#This Row],[Unit Price]])</f>
        <v/>
      </c>
      <c r="S1151" s="156" t="str">
        <f>IF(Table111[[#This Row],[Qty]]="","",Table111[[#This Row],[Qty]]*Table111[[#This Row],[Unit Price]]+Table111[[#This Row],[Delivery Cost]])</f>
        <v/>
      </c>
      <c r="T1151" s="72"/>
      <c r="U1151" s="72"/>
      <c r="V1151" s="72"/>
      <c r="W1151" s="219"/>
      <c r="X1151" s="63" t="str">
        <f t="shared" si="51"/>
        <v/>
      </c>
      <c r="Y1151" s="63" t="str">
        <f t="shared" si="52"/>
        <v/>
      </c>
      <c r="Z1151" s="63" t="str">
        <f t="shared" si="53"/>
        <v/>
      </c>
      <c r="AA1151" s="63" t="str">
        <f>TEXT(Table111[[#This Row],[YEAR]],"0000")&amp;"-"&amp;Table111[[#This Row],[MONTH]]</f>
        <v>-</v>
      </c>
    </row>
    <row r="1152" spans="2:27" x14ac:dyDescent="0.3">
      <c r="B1152" s="183"/>
      <c r="C1152" s="183"/>
      <c r="D1152" s="183"/>
      <c r="E1152" s="71"/>
      <c r="F1152" s="72"/>
      <c r="G1152" s="70"/>
      <c r="H1152" s="74"/>
      <c r="I1152" s="70"/>
      <c r="J1152" s="70"/>
      <c r="K1152" s="70"/>
      <c r="L1152" s="74"/>
      <c r="M1152" s="123"/>
      <c r="N1152" s="73"/>
      <c r="O1152" s="236"/>
      <c r="P1152" s="117"/>
      <c r="Q1152" s="117"/>
      <c r="R1152" s="156" t="str">
        <f>IF(Table111[[#This Row],[Qty]]="","",Table111[[#This Row],[Qty]]*Table111[[#This Row],[Unit Price]])</f>
        <v/>
      </c>
      <c r="S1152" s="156" t="str">
        <f>IF(Table111[[#This Row],[Qty]]="","",Table111[[#This Row],[Qty]]*Table111[[#This Row],[Unit Price]]+Table111[[#This Row],[Delivery Cost]])</f>
        <v/>
      </c>
      <c r="T1152" s="72"/>
      <c r="U1152" s="72"/>
      <c r="V1152" s="72"/>
      <c r="W1152" s="65"/>
      <c r="X1152" s="63" t="str">
        <f t="shared" si="51"/>
        <v/>
      </c>
      <c r="Y1152" s="63" t="str">
        <f t="shared" si="52"/>
        <v/>
      </c>
      <c r="Z1152" s="63" t="str">
        <f t="shared" si="53"/>
        <v/>
      </c>
      <c r="AA1152" s="63" t="str">
        <f>TEXT(Table111[[#This Row],[YEAR]],"0000")&amp;"-"&amp;Table111[[#This Row],[MONTH]]</f>
        <v>-</v>
      </c>
    </row>
    <row r="1153" spans="2:27" x14ac:dyDescent="0.3">
      <c r="B1153" s="68"/>
      <c r="C1153" s="68"/>
      <c r="D1153" s="68"/>
      <c r="E1153" s="71"/>
      <c r="F1153" s="72"/>
      <c r="G1153" s="70"/>
      <c r="H1153" s="74"/>
      <c r="I1153" s="70"/>
      <c r="J1153" s="70"/>
      <c r="K1153" s="70"/>
      <c r="L1153" s="74"/>
      <c r="M1153" s="123"/>
      <c r="N1153" s="73"/>
      <c r="O1153" s="236"/>
      <c r="P1153" s="117"/>
      <c r="Q1153" s="117"/>
      <c r="R1153" s="156" t="str">
        <f>IF(Table111[[#This Row],[Qty]]="","",Table111[[#This Row],[Qty]]*Table111[[#This Row],[Unit Price]])</f>
        <v/>
      </c>
      <c r="S1153" s="156" t="str">
        <f>IF(Table111[[#This Row],[Qty]]="","",Table111[[#This Row],[Qty]]*Table111[[#This Row],[Unit Price]]+Table111[[#This Row],[Delivery Cost]])</f>
        <v/>
      </c>
      <c r="T1153" s="72"/>
      <c r="U1153" s="72"/>
      <c r="V1153" s="72"/>
      <c r="W1153" s="219"/>
      <c r="X1153" s="63" t="str">
        <f t="shared" si="51"/>
        <v/>
      </c>
      <c r="Y1153" s="63" t="str">
        <f t="shared" si="52"/>
        <v/>
      </c>
      <c r="Z1153" s="63" t="str">
        <f t="shared" si="53"/>
        <v/>
      </c>
      <c r="AA1153" s="63" t="str">
        <f>TEXT(Table111[[#This Row],[YEAR]],"0000")&amp;"-"&amp;Table111[[#This Row],[MONTH]]</f>
        <v>-</v>
      </c>
    </row>
    <row r="1154" spans="2:27" x14ac:dyDescent="0.3">
      <c r="B1154" s="183"/>
      <c r="C1154" s="183"/>
      <c r="D1154" s="183"/>
      <c r="E1154" s="71"/>
      <c r="F1154" s="72"/>
      <c r="G1154" s="70"/>
      <c r="H1154" s="74"/>
      <c r="I1154" s="70"/>
      <c r="J1154" s="70"/>
      <c r="K1154" s="70"/>
      <c r="L1154" s="74"/>
      <c r="M1154" s="123"/>
      <c r="N1154" s="73"/>
      <c r="O1154" s="236"/>
      <c r="P1154" s="117"/>
      <c r="Q1154" s="117"/>
      <c r="R1154" s="156" t="str">
        <f>IF(Table111[[#This Row],[Qty]]="","",Table111[[#This Row],[Qty]]*Table111[[#This Row],[Unit Price]])</f>
        <v/>
      </c>
      <c r="S1154" s="156" t="str">
        <f>IF(Table111[[#This Row],[Qty]]="","",Table111[[#This Row],[Qty]]*Table111[[#This Row],[Unit Price]]+Table111[[#This Row],[Delivery Cost]])</f>
        <v/>
      </c>
      <c r="T1154" s="72"/>
      <c r="U1154" s="72"/>
      <c r="V1154" s="72"/>
      <c r="W1154" s="65"/>
      <c r="X1154" s="63" t="str">
        <f t="shared" si="51"/>
        <v/>
      </c>
      <c r="Y1154" s="63" t="str">
        <f t="shared" si="52"/>
        <v/>
      </c>
      <c r="Z1154" s="63" t="str">
        <f t="shared" si="53"/>
        <v/>
      </c>
      <c r="AA1154" s="63" t="str">
        <f>TEXT(Table111[[#This Row],[YEAR]],"0000")&amp;"-"&amp;Table111[[#This Row],[MONTH]]</f>
        <v>-</v>
      </c>
    </row>
    <row r="1155" spans="2:27" x14ac:dyDescent="0.3">
      <c r="B1155" s="68"/>
      <c r="C1155" s="68"/>
      <c r="D1155" s="68"/>
      <c r="E1155" s="71"/>
      <c r="F1155" s="72"/>
      <c r="G1155" s="70"/>
      <c r="H1155" s="74"/>
      <c r="I1155" s="70"/>
      <c r="J1155" s="70"/>
      <c r="K1155" s="70"/>
      <c r="L1155" s="74"/>
      <c r="M1155" s="123"/>
      <c r="N1155" s="73"/>
      <c r="O1155" s="236"/>
      <c r="P1155" s="117"/>
      <c r="Q1155" s="117"/>
      <c r="R1155" s="156" t="str">
        <f>IF(Table111[[#This Row],[Qty]]="","",Table111[[#This Row],[Qty]]*Table111[[#This Row],[Unit Price]])</f>
        <v/>
      </c>
      <c r="S1155" s="156" t="str">
        <f>IF(Table111[[#This Row],[Qty]]="","",Table111[[#This Row],[Qty]]*Table111[[#This Row],[Unit Price]]+Table111[[#This Row],[Delivery Cost]])</f>
        <v/>
      </c>
      <c r="T1155" s="72"/>
      <c r="U1155" s="72"/>
      <c r="V1155" s="72"/>
      <c r="W1155" s="219"/>
      <c r="X1155" s="63" t="str">
        <f t="shared" ref="X1155:X1200" si="54">IF(E1155=0,"",YEAR(E1155))</f>
        <v/>
      </c>
      <c r="Y1155" s="63" t="str">
        <f t="shared" ref="Y1155:Y1200" si="55">IF(E1155=0,"",MONTH(E1155))</f>
        <v/>
      </c>
      <c r="Z1155" s="63" t="str">
        <f t="shared" ref="Z1155:Z1200" si="56">IF(E1155=0,"",WEEKNUM(E1155))</f>
        <v/>
      </c>
      <c r="AA1155" s="63" t="str">
        <f>TEXT(Table111[[#This Row],[YEAR]],"0000")&amp;"-"&amp;Table111[[#This Row],[MONTH]]</f>
        <v>-</v>
      </c>
    </row>
    <row r="1156" spans="2:27" x14ac:dyDescent="0.3">
      <c r="B1156" s="183"/>
      <c r="C1156" s="183"/>
      <c r="D1156" s="183"/>
      <c r="E1156" s="71"/>
      <c r="F1156" s="72"/>
      <c r="G1156" s="70"/>
      <c r="H1156" s="74"/>
      <c r="I1156" s="70"/>
      <c r="J1156" s="70"/>
      <c r="K1156" s="70"/>
      <c r="L1156" s="74"/>
      <c r="M1156" s="123"/>
      <c r="N1156" s="73"/>
      <c r="O1156" s="236"/>
      <c r="P1156" s="117"/>
      <c r="Q1156" s="117"/>
      <c r="R1156" s="156" t="str">
        <f>IF(Table111[[#This Row],[Qty]]="","",Table111[[#This Row],[Qty]]*Table111[[#This Row],[Unit Price]])</f>
        <v/>
      </c>
      <c r="S1156" s="156" t="str">
        <f>IF(Table111[[#This Row],[Qty]]="","",Table111[[#This Row],[Qty]]*Table111[[#This Row],[Unit Price]]+Table111[[#This Row],[Delivery Cost]])</f>
        <v/>
      </c>
      <c r="T1156" s="72"/>
      <c r="U1156" s="72"/>
      <c r="V1156" s="72"/>
      <c r="W1156" s="65"/>
      <c r="X1156" s="63" t="str">
        <f t="shared" si="54"/>
        <v/>
      </c>
      <c r="Y1156" s="63" t="str">
        <f t="shared" si="55"/>
        <v/>
      </c>
      <c r="Z1156" s="63" t="str">
        <f t="shared" si="56"/>
        <v/>
      </c>
      <c r="AA1156" s="63" t="str">
        <f>TEXT(Table111[[#This Row],[YEAR]],"0000")&amp;"-"&amp;Table111[[#This Row],[MONTH]]</f>
        <v>-</v>
      </c>
    </row>
    <row r="1157" spans="2:27" x14ac:dyDescent="0.3">
      <c r="B1157" s="68"/>
      <c r="C1157" s="68"/>
      <c r="D1157" s="68"/>
      <c r="E1157" s="71"/>
      <c r="F1157" s="72"/>
      <c r="G1157" s="70"/>
      <c r="H1157" s="74"/>
      <c r="I1157" s="70"/>
      <c r="J1157" s="70"/>
      <c r="K1157" s="70"/>
      <c r="L1157" s="74"/>
      <c r="M1157" s="123"/>
      <c r="N1157" s="73"/>
      <c r="O1157" s="236"/>
      <c r="P1157" s="117"/>
      <c r="Q1157" s="117"/>
      <c r="R1157" s="156" t="str">
        <f>IF(Table111[[#This Row],[Qty]]="","",Table111[[#This Row],[Qty]]*Table111[[#This Row],[Unit Price]])</f>
        <v/>
      </c>
      <c r="S1157" s="156" t="str">
        <f>IF(Table111[[#This Row],[Qty]]="","",Table111[[#This Row],[Qty]]*Table111[[#This Row],[Unit Price]]+Table111[[#This Row],[Delivery Cost]])</f>
        <v/>
      </c>
      <c r="T1157" s="72"/>
      <c r="U1157" s="72"/>
      <c r="V1157" s="72"/>
      <c r="W1157" s="219"/>
      <c r="X1157" s="63" t="str">
        <f t="shared" si="54"/>
        <v/>
      </c>
      <c r="Y1157" s="63" t="str">
        <f t="shared" si="55"/>
        <v/>
      </c>
      <c r="Z1157" s="63" t="str">
        <f t="shared" si="56"/>
        <v/>
      </c>
      <c r="AA1157" s="63" t="str">
        <f>TEXT(Table111[[#This Row],[YEAR]],"0000")&amp;"-"&amp;Table111[[#This Row],[MONTH]]</f>
        <v>-</v>
      </c>
    </row>
    <row r="1158" spans="2:27" x14ac:dyDescent="0.3">
      <c r="B1158" s="183"/>
      <c r="C1158" s="183"/>
      <c r="D1158" s="183"/>
      <c r="E1158" s="71"/>
      <c r="F1158" s="72"/>
      <c r="G1158" s="70"/>
      <c r="H1158" s="74"/>
      <c r="I1158" s="70"/>
      <c r="J1158" s="70"/>
      <c r="K1158" s="70"/>
      <c r="L1158" s="74"/>
      <c r="M1158" s="123"/>
      <c r="N1158" s="73"/>
      <c r="O1158" s="236"/>
      <c r="P1158" s="117"/>
      <c r="Q1158" s="117"/>
      <c r="R1158" s="156" t="str">
        <f>IF(Table111[[#This Row],[Qty]]="","",Table111[[#This Row],[Qty]]*Table111[[#This Row],[Unit Price]])</f>
        <v/>
      </c>
      <c r="S1158" s="156" t="str">
        <f>IF(Table111[[#This Row],[Qty]]="","",Table111[[#This Row],[Qty]]*Table111[[#This Row],[Unit Price]]+Table111[[#This Row],[Delivery Cost]])</f>
        <v/>
      </c>
      <c r="T1158" s="72"/>
      <c r="U1158" s="72"/>
      <c r="V1158" s="72"/>
      <c r="W1158" s="65"/>
      <c r="X1158" s="63" t="str">
        <f t="shared" si="54"/>
        <v/>
      </c>
      <c r="Y1158" s="63" t="str">
        <f t="shared" si="55"/>
        <v/>
      </c>
      <c r="Z1158" s="63" t="str">
        <f t="shared" si="56"/>
        <v/>
      </c>
      <c r="AA1158" s="63" t="str">
        <f>TEXT(Table111[[#This Row],[YEAR]],"0000")&amp;"-"&amp;Table111[[#This Row],[MONTH]]</f>
        <v>-</v>
      </c>
    </row>
    <row r="1159" spans="2:27" x14ac:dyDescent="0.3">
      <c r="B1159" s="68"/>
      <c r="C1159" s="68"/>
      <c r="D1159" s="68"/>
      <c r="E1159" s="71"/>
      <c r="F1159" s="72"/>
      <c r="G1159" s="70"/>
      <c r="H1159" s="74"/>
      <c r="I1159" s="70"/>
      <c r="J1159" s="70"/>
      <c r="K1159" s="70"/>
      <c r="L1159" s="74"/>
      <c r="M1159" s="123"/>
      <c r="N1159" s="73"/>
      <c r="O1159" s="236"/>
      <c r="P1159" s="117"/>
      <c r="Q1159" s="117"/>
      <c r="R1159" s="156" t="str">
        <f>IF(Table111[[#This Row],[Qty]]="","",Table111[[#This Row],[Qty]]*Table111[[#This Row],[Unit Price]])</f>
        <v/>
      </c>
      <c r="S1159" s="156" t="str">
        <f>IF(Table111[[#This Row],[Qty]]="","",Table111[[#This Row],[Qty]]*Table111[[#This Row],[Unit Price]]+Table111[[#This Row],[Delivery Cost]])</f>
        <v/>
      </c>
      <c r="T1159" s="72"/>
      <c r="U1159" s="72"/>
      <c r="V1159" s="72"/>
      <c r="W1159" s="219"/>
      <c r="X1159" s="63" t="str">
        <f t="shared" si="54"/>
        <v/>
      </c>
      <c r="Y1159" s="63" t="str">
        <f t="shared" si="55"/>
        <v/>
      </c>
      <c r="Z1159" s="63" t="str">
        <f t="shared" si="56"/>
        <v/>
      </c>
      <c r="AA1159" s="63" t="str">
        <f>TEXT(Table111[[#This Row],[YEAR]],"0000")&amp;"-"&amp;Table111[[#This Row],[MONTH]]</f>
        <v>-</v>
      </c>
    </row>
    <row r="1160" spans="2:27" x14ac:dyDescent="0.3">
      <c r="B1160" s="183"/>
      <c r="C1160" s="183"/>
      <c r="D1160" s="183"/>
      <c r="E1160" s="71"/>
      <c r="F1160" s="72"/>
      <c r="G1160" s="70"/>
      <c r="H1160" s="74"/>
      <c r="I1160" s="70"/>
      <c r="J1160" s="70"/>
      <c r="K1160" s="70"/>
      <c r="L1160" s="74"/>
      <c r="M1160" s="123"/>
      <c r="N1160" s="73"/>
      <c r="O1160" s="236"/>
      <c r="P1160" s="117"/>
      <c r="Q1160" s="117"/>
      <c r="R1160" s="156" t="str">
        <f>IF(Table111[[#This Row],[Qty]]="","",Table111[[#This Row],[Qty]]*Table111[[#This Row],[Unit Price]])</f>
        <v/>
      </c>
      <c r="S1160" s="156" t="str">
        <f>IF(Table111[[#This Row],[Qty]]="","",Table111[[#This Row],[Qty]]*Table111[[#This Row],[Unit Price]]+Table111[[#This Row],[Delivery Cost]])</f>
        <v/>
      </c>
      <c r="T1160" s="72"/>
      <c r="U1160" s="72"/>
      <c r="V1160" s="72"/>
      <c r="W1160" s="65"/>
      <c r="X1160" s="63" t="str">
        <f t="shared" si="54"/>
        <v/>
      </c>
      <c r="Y1160" s="63" t="str">
        <f t="shared" si="55"/>
        <v/>
      </c>
      <c r="Z1160" s="63" t="str">
        <f t="shared" si="56"/>
        <v/>
      </c>
      <c r="AA1160" s="63" t="str">
        <f>TEXT(Table111[[#This Row],[YEAR]],"0000")&amp;"-"&amp;Table111[[#This Row],[MONTH]]</f>
        <v>-</v>
      </c>
    </row>
    <row r="1161" spans="2:27" x14ac:dyDescent="0.3">
      <c r="B1161" s="68"/>
      <c r="C1161" s="68"/>
      <c r="D1161" s="68"/>
      <c r="E1161" s="71"/>
      <c r="F1161" s="72"/>
      <c r="G1161" s="70"/>
      <c r="H1161" s="74"/>
      <c r="I1161" s="70"/>
      <c r="J1161" s="70"/>
      <c r="K1161" s="70"/>
      <c r="L1161" s="74"/>
      <c r="M1161" s="123"/>
      <c r="N1161" s="73"/>
      <c r="O1161" s="236"/>
      <c r="P1161" s="117"/>
      <c r="Q1161" s="117"/>
      <c r="R1161" s="156" t="str">
        <f>IF(Table111[[#This Row],[Qty]]="","",Table111[[#This Row],[Qty]]*Table111[[#This Row],[Unit Price]])</f>
        <v/>
      </c>
      <c r="S1161" s="156" t="str">
        <f>IF(Table111[[#This Row],[Qty]]="","",Table111[[#This Row],[Qty]]*Table111[[#This Row],[Unit Price]]+Table111[[#This Row],[Delivery Cost]])</f>
        <v/>
      </c>
      <c r="T1161" s="72"/>
      <c r="U1161" s="72"/>
      <c r="V1161" s="72"/>
      <c r="W1161" s="219"/>
      <c r="X1161" s="63" t="str">
        <f t="shared" si="54"/>
        <v/>
      </c>
      <c r="Y1161" s="63" t="str">
        <f t="shared" si="55"/>
        <v/>
      </c>
      <c r="Z1161" s="63" t="str">
        <f t="shared" si="56"/>
        <v/>
      </c>
      <c r="AA1161" s="63" t="str">
        <f>TEXT(Table111[[#This Row],[YEAR]],"0000")&amp;"-"&amp;Table111[[#This Row],[MONTH]]</f>
        <v>-</v>
      </c>
    </row>
    <row r="1162" spans="2:27" x14ac:dyDescent="0.3">
      <c r="B1162" s="183"/>
      <c r="C1162" s="183"/>
      <c r="D1162" s="183"/>
      <c r="E1162" s="71"/>
      <c r="F1162" s="72"/>
      <c r="G1162" s="70"/>
      <c r="H1162" s="74"/>
      <c r="I1162" s="70"/>
      <c r="J1162" s="70"/>
      <c r="K1162" s="70"/>
      <c r="L1162" s="74"/>
      <c r="M1162" s="123"/>
      <c r="N1162" s="73"/>
      <c r="O1162" s="236"/>
      <c r="P1162" s="117"/>
      <c r="Q1162" s="117"/>
      <c r="R1162" s="156" t="str">
        <f>IF(Table111[[#This Row],[Qty]]="","",Table111[[#This Row],[Qty]]*Table111[[#This Row],[Unit Price]])</f>
        <v/>
      </c>
      <c r="S1162" s="156" t="str">
        <f>IF(Table111[[#This Row],[Qty]]="","",Table111[[#This Row],[Qty]]*Table111[[#This Row],[Unit Price]]+Table111[[#This Row],[Delivery Cost]])</f>
        <v/>
      </c>
      <c r="T1162" s="72"/>
      <c r="U1162" s="72"/>
      <c r="V1162" s="72"/>
      <c r="W1162" s="65"/>
      <c r="X1162" s="63" t="str">
        <f t="shared" si="54"/>
        <v/>
      </c>
      <c r="Y1162" s="63" t="str">
        <f t="shared" si="55"/>
        <v/>
      </c>
      <c r="Z1162" s="63" t="str">
        <f t="shared" si="56"/>
        <v/>
      </c>
      <c r="AA1162" s="63" t="str">
        <f>TEXT(Table111[[#This Row],[YEAR]],"0000")&amp;"-"&amp;Table111[[#This Row],[MONTH]]</f>
        <v>-</v>
      </c>
    </row>
    <row r="1163" spans="2:27" x14ac:dyDescent="0.3">
      <c r="B1163" s="68"/>
      <c r="C1163" s="68"/>
      <c r="D1163" s="68"/>
      <c r="E1163" s="71"/>
      <c r="F1163" s="72"/>
      <c r="G1163" s="70"/>
      <c r="H1163" s="74"/>
      <c r="I1163" s="70"/>
      <c r="J1163" s="70"/>
      <c r="K1163" s="70"/>
      <c r="L1163" s="74"/>
      <c r="M1163" s="123"/>
      <c r="N1163" s="73"/>
      <c r="O1163" s="236"/>
      <c r="P1163" s="117"/>
      <c r="Q1163" s="117"/>
      <c r="R1163" s="156" t="str">
        <f>IF(Table111[[#This Row],[Qty]]="","",Table111[[#This Row],[Qty]]*Table111[[#This Row],[Unit Price]])</f>
        <v/>
      </c>
      <c r="S1163" s="156" t="str">
        <f>IF(Table111[[#This Row],[Qty]]="","",Table111[[#This Row],[Qty]]*Table111[[#This Row],[Unit Price]]+Table111[[#This Row],[Delivery Cost]])</f>
        <v/>
      </c>
      <c r="T1163" s="72"/>
      <c r="U1163" s="72"/>
      <c r="V1163" s="72"/>
      <c r="W1163" s="219"/>
      <c r="X1163" s="63" t="str">
        <f t="shared" si="54"/>
        <v/>
      </c>
      <c r="Y1163" s="63" t="str">
        <f t="shared" si="55"/>
        <v/>
      </c>
      <c r="Z1163" s="63" t="str">
        <f t="shared" si="56"/>
        <v/>
      </c>
      <c r="AA1163" s="63" t="str">
        <f>TEXT(Table111[[#This Row],[YEAR]],"0000")&amp;"-"&amp;Table111[[#This Row],[MONTH]]</f>
        <v>-</v>
      </c>
    </row>
    <row r="1164" spans="2:27" x14ac:dyDescent="0.3">
      <c r="B1164" s="183"/>
      <c r="C1164" s="183"/>
      <c r="D1164" s="183"/>
      <c r="E1164" s="71"/>
      <c r="F1164" s="72"/>
      <c r="G1164" s="70"/>
      <c r="H1164" s="74"/>
      <c r="I1164" s="70"/>
      <c r="J1164" s="70"/>
      <c r="K1164" s="70"/>
      <c r="L1164" s="74"/>
      <c r="M1164" s="123"/>
      <c r="N1164" s="73"/>
      <c r="O1164" s="236"/>
      <c r="P1164" s="117"/>
      <c r="Q1164" s="117"/>
      <c r="R1164" s="156" t="str">
        <f>IF(Table111[[#This Row],[Qty]]="","",Table111[[#This Row],[Qty]]*Table111[[#This Row],[Unit Price]])</f>
        <v/>
      </c>
      <c r="S1164" s="156" t="str">
        <f>IF(Table111[[#This Row],[Qty]]="","",Table111[[#This Row],[Qty]]*Table111[[#This Row],[Unit Price]]+Table111[[#This Row],[Delivery Cost]])</f>
        <v/>
      </c>
      <c r="T1164" s="72"/>
      <c r="U1164" s="72"/>
      <c r="V1164" s="72"/>
      <c r="W1164" s="65"/>
      <c r="X1164" s="63" t="str">
        <f t="shared" si="54"/>
        <v/>
      </c>
      <c r="Y1164" s="63" t="str">
        <f t="shared" si="55"/>
        <v/>
      </c>
      <c r="Z1164" s="63" t="str">
        <f t="shared" si="56"/>
        <v/>
      </c>
      <c r="AA1164" s="63" t="str">
        <f>TEXT(Table111[[#This Row],[YEAR]],"0000")&amp;"-"&amp;Table111[[#This Row],[MONTH]]</f>
        <v>-</v>
      </c>
    </row>
    <row r="1165" spans="2:27" x14ac:dyDescent="0.3">
      <c r="B1165" s="68"/>
      <c r="C1165" s="68"/>
      <c r="D1165" s="68"/>
      <c r="E1165" s="71"/>
      <c r="F1165" s="72"/>
      <c r="G1165" s="70"/>
      <c r="H1165" s="74"/>
      <c r="I1165" s="70"/>
      <c r="J1165" s="70"/>
      <c r="K1165" s="70"/>
      <c r="L1165" s="74"/>
      <c r="M1165" s="123"/>
      <c r="N1165" s="73"/>
      <c r="O1165" s="236"/>
      <c r="P1165" s="117"/>
      <c r="Q1165" s="117"/>
      <c r="R1165" s="156" t="str">
        <f>IF(Table111[[#This Row],[Qty]]="","",Table111[[#This Row],[Qty]]*Table111[[#This Row],[Unit Price]])</f>
        <v/>
      </c>
      <c r="S1165" s="156" t="str">
        <f>IF(Table111[[#This Row],[Qty]]="","",Table111[[#This Row],[Qty]]*Table111[[#This Row],[Unit Price]]+Table111[[#This Row],[Delivery Cost]])</f>
        <v/>
      </c>
      <c r="T1165" s="72"/>
      <c r="U1165" s="72"/>
      <c r="V1165" s="72"/>
      <c r="W1165" s="219"/>
      <c r="X1165" s="63" t="str">
        <f t="shared" si="54"/>
        <v/>
      </c>
      <c r="Y1165" s="63" t="str">
        <f t="shared" si="55"/>
        <v/>
      </c>
      <c r="Z1165" s="63" t="str">
        <f t="shared" si="56"/>
        <v/>
      </c>
      <c r="AA1165" s="63" t="str">
        <f>TEXT(Table111[[#This Row],[YEAR]],"0000")&amp;"-"&amp;Table111[[#This Row],[MONTH]]</f>
        <v>-</v>
      </c>
    </row>
    <row r="1166" spans="2:27" x14ac:dyDescent="0.3">
      <c r="B1166" s="183"/>
      <c r="C1166" s="183"/>
      <c r="D1166" s="183"/>
      <c r="E1166" s="71"/>
      <c r="F1166" s="72"/>
      <c r="G1166" s="70"/>
      <c r="H1166" s="74"/>
      <c r="I1166" s="70"/>
      <c r="J1166" s="70"/>
      <c r="K1166" s="70"/>
      <c r="L1166" s="74"/>
      <c r="M1166" s="123"/>
      <c r="N1166" s="73"/>
      <c r="O1166" s="236"/>
      <c r="P1166" s="117"/>
      <c r="Q1166" s="117"/>
      <c r="R1166" s="156" t="str">
        <f>IF(Table111[[#This Row],[Qty]]="","",Table111[[#This Row],[Qty]]*Table111[[#This Row],[Unit Price]])</f>
        <v/>
      </c>
      <c r="S1166" s="156" t="str">
        <f>IF(Table111[[#This Row],[Qty]]="","",Table111[[#This Row],[Qty]]*Table111[[#This Row],[Unit Price]]+Table111[[#This Row],[Delivery Cost]])</f>
        <v/>
      </c>
      <c r="T1166" s="72"/>
      <c r="U1166" s="72"/>
      <c r="V1166" s="72"/>
      <c r="W1166" s="65"/>
      <c r="X1166" s="63" t="str">
        <f t="shared" si="54"/>
        <v/>
      </c>
      <c r="Y1166" s="63" t="str">
        <f t="shared" si="55"/>
        <v/>
      </c>
      <c r="Z1166" s="63" t="str">
        <f t="shared" si="56"/>
        <v/>
      </c>
      <c r="AA1166" s="63" t="str">
        <f>TEXT(Table111[[#This Row],[YEAR]],"0000")&amp;"-"&amp;Table111[[#This Row],[MONTH]]</f>
        <v>-</v>
      </c>
    </row>
    <row r="1167" spans="2:27" x14ac:dyDescent="0.3">
      <c r="B1167" s="68"/>
      <c r="C1167" s="68"/>
      <c r="D1167" s="68"/>
      <c r="E1167" s="71"/>
      <c r="F1167" s="72"/>
      <c r="G1167" s="70"/>
      <c r="H1167" s="74"/>
      <c r="I1167" s="70"/>
      <c r="J1167" s="70"/>
      <c r="K1167" s="70"/>
      <c r="L1167" s="74"/>
      <c r="M1167" s="123"/>
      <c r="N1167" s="73"/>
      <c r="O1167" s="236"/>
      <c r="P1167" s="117"/>
      <c r="Q1167" s="117"/>
      <c r="R1167" s="156" t="str">
        <f>IF(Table111[[#This Row],[Qty]]="","",Table111[[#This Row],[Qty]]*Table111[[#This Row],[Unit Price]])</f>
        <v/>
      </c>
      <c r="S1167" s="156" t="str">
        <f>IF(Table111[[#This Row],[Qty]]="","",Table111[[#This Row],[Qty]]*Table111[[#This Row],[Unit Price]]+Table111[[#This Row],[Delivery Cost]])</f>
        <v/>
      </c>
      <c r="T1167" s="72"/>
      <c r="U1167" s="72"/>
      <c r="V1167" s="72"/>
      <c r="W1167" s="219"/>
      <c r="X1167" s="63" t="str">
        <f t="shared" si="54"/>
        <v/>
      </c>
      <c r="Y1167" s="63" t="str">
        <f t="shared" si="55"/>
        <v/>
      </c>
      <c r="Z1167" s="63" t="str">
        <f t="shared" si="56"/>
        <v/>
      </c>
      <c r="AA1167" s="63" t="str">
        <f>TEXT(Table111[[#This Row],[YEAR]],"0000")&amp;"-"&amp;Table111[[#This Row],[MONTH]]</f>
        <v>-</v>
      </c>
    </row>
    <row r="1168" spans="2:27" x14ac:dyDescent="0.3">
      <c r="B1168" s="183"/>
      <c r="C1168" s="183"/>
      <c r="D1168" s="183"/>
      <c r="E1168" s="71"/>
      <c r="F1168" s="72"/>
      <c r="G1168" s="70"/>
      <c r="H1168" s="74"/>
      <c r="I1168" s="70"/>
      <c r="J1168" s="70"/>
      <c r="K1168" s="70"/>
      <c r="L1168" s="74"/>
      <c r="M1168" s="123"/>
      <c r="N1168" s="73"/>
      <c r="O1168" s="236"/>
      <c r="P1168" s="117"/>
      <c r="Q1168" s="117"/>
      <c r="R1168" s="156" t="str">
        <f>IF(Table111[[#This Row],[Qty]]="","",Table111[[#This Row],[Qty]]*Table111[[#This Row],[Unit Price]])</f>
        <v/>
      </c>
      <c r="S1168" s="156" t="str">
        <f>IF(Table111[[#This Row],[Qty]]="","",Table111[[#This Row],[Qty]]*Table111[[#This Row],[Unit Price]]+Table111[[#This Row],[Delivery Cost]])</f>
        <v/>
      </c>
      <c r="T1168" s="72"/>
      <c r="U1168" s="72"/>
      <c r="V1168" s="72"/>
      <c r="W1168" s="65"/>
      <c r="X1168" s="63" t="str">
        <f t="shared" si="54"/>
        <v/>
      </c>
      <c r="Y1168" s="63" t="str">
        <f t="shared" si="55"/>
        <v/>
      </c>
      <c r="Z1168" s="63" t="str">
        <f t="shared" si="56"/>
        <v/>
      </c>
      <c r="AA1168" s="63" t="str">
        <f>TEXT(Table111[[#This Row],[YEAR]],"0000")&amp;"-"&amp;Table111[[#This Row],[MONTH]]</f>
        <v>-</v>
      </c>
    </row>
    <row r="1169" spans="2:27" x14ac:dyDescent="0.3">
      <c r="B1169" s="68"/>
      <c r="C1169" s="68"/>
      <c r="D1169" s="68"/>
      <c r="E1169" s="71"/>
      <c r="F1169" s="72"/>
      <c r="G1169" s="70"/>
      <c r="H1169" s="74"/>
      <c r="I1169" s="70"/>
      <c r="J1169" s="70"/>
      <c r="K1169" s="70"/>
      <c r="L1169" s="74"/>
      <c r="M1169" s="123"/>
      <c r="N1169" s="73"/>
      <c r="O1169" s="236"/>
      <c r="P1169" s="117"/>
      <c r="Q1169" s="117"/>
      <c r="R1169" s="156" t="str">
        <f>IF(Table111[[#This Row],[Qty]]="","",Table111[[#This Row],[Qty]]*Table111[[#This Row],[Unit Price]])</f>
        <v/>
      </c>
      <c r="S1169" s="156" t="str">
        <f>IF(Table111[[#This Row],[Qty]]="","",Table111[[#This Row],[Qty]]*Table111[[#This Row],[Unit Price]]+Table111[[#This Row],[Delivery Cost]])</f>
        <v/>
      </c>
      <c r="T1169" s="72"/>
      <c r="U1169" s="72"/>
      <c r="V1169" s="72"/>
      <c r="W1169" s="219"/>
      <c r="X1169" s="63" t="str">
        <f t="shared" si="54"/>
        <v/>
      </c>
      <c r="Y1169" s="63" t="str">
        <f t="shared" si="55"/>
        <v/>
      </c>
      <c r="Z1169" s="63" t="str">
        <f t="shared" si="56"/>
        <v/>
      </c>
      <c r="AA1169" s="63" t="str">
        <f>TEXT(Table111[[#This Row],[YEAR]],"0000")&amp;"-"&amp;Table111[[#This Row],[MONTH]]</f>
        <v>-</v>
      </c>
    </row>
    <row r="1170" spans="2:27" x14ac:dyDescent="0.3">
      <c r="B1170" s="183"/>
      <c r="C1170" s="183"/>
      <c r="D1170" s="183"/>
      <c r="E1170" s="71"/>
      <c r="F1170" s="72"/>
      <c r="G1170" s="70"/>
      <c r="H1170" s="74"/>
      <c r="I1170" s="70"/>
      <c r="J1170" s="70"/>
      <c r="K1170" s="70"/>
      <c r="L1170" s="74"/>
      <c r="M1170" s="123"/>
      <c r="N1170" s="73"/>
      <c r="O1170" s="236"/>
      <c r="P1170" s="117"/>
      <c r="Q1170" s="117"/>
      <c r="R1170" s="156" t="str">
        <f>IF(Table111[[#This Row],[Qty]]="","",Table111[[#This Row],[Qty]]*Table111[[#This Row],[Unit Price]])</f>
        <v/>
      </c>
      <c r="S1170" s="156" t="str">
        <f>IF(Table111[[#This Row],[Qty]]="","",Table111[[#This Row],[Qty]]*Table111[[#This Row],[Unit Price]]+Table111[[#This Row],[Delivery Cost]])</f>
        <v/>
      </c>
      <c r="T1170" s="72"/>
      <c r="U1170" s="72"/>
      <c r="V1170" s="72"/>
      <c r="W1170" s="65"/>
      <c r="X1170" s="63" t="str">
        <f t="shared" si="54"/>
        <v/>
      </c>
      <c r="Y1170" s="63" t="str">
        <f t="shared" si="55"/>
        <v/>
      </c>
      <c r="Z1170" s="63" t="str">
        <f t="shared" si="56"/>
        <v/>
      </c>
      <c r="AA1170" s="63" t="str">
        <f>TEXT(Table111[[#This Row],[YEAR]],"0000")&amp;"-"&amp;Table111[[#This Row],[MONTH]]</f>
        <v>-</v>
      </c>
    </row>
    <row r="1171" spans="2:27" x14ac:dyDescent="0.3">
      <c r="B1171" s="68"/>
      <c r="C1171" s="68"/>
      <c r="D1171" s="68"/>
      <c r="E1171" s="71"/>
      <c r="F1171" s="72"/>
      <c r="G1171" s="70"/>
      <c r="H1171" s="74"/>
      <c r="I1171" s="70"/>
      <c r="J1171" s="70"/>
      <c r="K1171" s="70"/>
      <c r="L1171" s="74"/>
      <c r="M1171" s="123"/>
      <c r="N1171" s="73"/>
      <c r="O1171" s="236"/>
      <c r="P1171" s="117"/>
      <c r="Q1171" s="117"/>
      <c r="R1171" s="156" t="str">
        <f>IF(Table111[[#This Row],[Qty]]="","",Table111[[#This Row],[Qty]]*Table111[[#This Row],[Unit Price]])</f>
        <v/>
      </c>
      <c r="S1171" s="156" t="str">
        <f>IF(Table111[[#This Row],[Qty]]="","",Table111[[#This Row],[Qty]]*Table111[[#This Row],[Unit Price]]+Table111[[#This Row],[Delivery Cost]])</f>
        <v/>
      </c>
      <c r="T1171" s="72"/>
      <c r="U1171" s="72"/>
      <c r="V1171" s="72"/>
      <c r="W1171" s="219"/>
      <c r="X1171" s="63" t="str">
        <f t="shared" si="54"/>
        <v/>
      </c>
      <c r="Y1171" s="63" t="str">
        <f t="shared" si="55"/>
        <v/>
      </c>
      <c r="Z1171" s="63" t="str">
        <f t="shared" si="56"/>
        <v/>
      </c>
      <c r="AA1171" s="63" t="str">
        <f>TEXT(Table111[[#This Row],[YEAR]],"0000")&amp;"-"&amp;Table111[[#This Row],[MONTH]]</f>
        <v>-</v>
      </c>
    </row>
    <row r="1172" spans="2:27" x14ac:dyDescent="0.3">
      <c r="B1172" s="183"/>
      <c r="C1172" s="183"/>
      <c r="D1172" s="183"/>
      <c r="E1172" s="71"/>
      <c r="F1172" s="72"/>
      <c r="G1172" s="70"/>
      <c r="H1172" s="74"/>
      <c r="I1172" s="70"/>
      <c r="J1172" s="70"/>
      <c r="K1172" s="70"/>
      <c r="L1172" s="74"/>
      <c r="M1172" s="123"/>
      <c r="N1172" s="73"/>
      <c r="O1172" s="236"/>
      <c r="P1172" s="117"/>
      <c r="Q1172" s="117"/>
      <c r="R1172" s="156" t="str">
        <f>IF(Table111[[#This Row],[Qty]]="","",Table111[[#This Row],[Qty]]*Table111[[#This Row],[Unit Price]])</f>
        <v/>
      </c>
      <c r="S1172" s="156" t="str">
        <f>IF(Table111[[#This Row],[Qty]]="","",Table111[[#This Row],[Qty]]*Table111[[#This Row],[Unit Price]]+Table111[[#This Row],[Delivery Cost]])</f>
        <v/>
      </c>
      <c r="T1172" s="72"/>
      <c r="U1172" s="72"/>
      <c r="V1172" s="72"/>
      <c r="W1172" s="65"/>
      <c r="X1172" s="63" t="str">
        <f t="shared" si="54"/>
        <v/>
      </c>
      <c r="Y1172" s="63" t="str">
        <f t="shared" si="55"/>
        <v/>
      </c>
      <c r="Z1172" s="63" t="str">
        <f t="shared" si="56"/>
        <v/>
      </c>
      <c r="AA1172" s="63" t="str">
        <f>TEXT(Table111[[#This Row],[YEAR]],"0000")&amp;"-"&amp;Table111[[#This Row],[MONTH]]</f>
        <v>-</v>
      </c>
    </row>
    <row r="1173" spans="2:27" x14ac:dyDescent="0.3">
      <c r="B1173" s="68"/>
      <c r="C1173" s="68"/>
      <c r="D1173" s="68"/>
      <c r="E1173" s="71"/>
      <c r="F1173" s="72"/>
      <c r="G1173" s="70"/>
      <c r="H1173" s="74"/>
      <c r="I1173" s="70"/>
      <c r="J1173" s="70"/>
      <c r="K1173" s="70"/>
      <c r="L1173" s="74"/>
      <c r="M1173" s="123"/>
      <c r="N1173" s="73"/>
      <c r="O1173" s="236"/>
      <c r="P1173" s="117"/>
      <c r="Q1173" s="117"/>
      <c r="R1173" s="156" t="str">
        <f>IF(Table111[[#This Row],[Qty]]="","",Table111[[#This Row],[Qty]]*Table111[[#This Row],[Unit Price]])</f>
        <v/>
      </c>
      <c r="S1173" s="156" t="str">
        <f>IF(Table111[[#This Row],[Qty]]="","",Table111[[#This Row],[Qty]]*Table111[[#This Row],[Unit Price]]+Table111[[#This Row],[Delivery Cost]])</f>
        <v/>
      </c>
      <c r="T1173" s="72"/>
      <c r="U1173" s="72"/>
      <c r="V1173" s="72"/>
      <c r="W1173" s="219"/>
      <c r="X1173" s="63" t="str">
        <f t="shared" si="54"/>
        <v/>
      </c>
      <c r="Y1173" s="63" t="str">
        <f t="shared" si="55"/>
        <v/>
      </c>
      <c r="Z1173" s="63" t="str">
        <f t="shared" si="56"/>
        <v/>
      </c>
      <c r="AA1173" s="63" t="str">
        <f>TEXT(Table111[[#This Row],[YEAR]],"0000")&amp;"-"&amp;Table111[[#This Row],[MONTH]]</f>
        <v>-</v>
      </c>
    </row>
    <row r="1174" spans="2:27" x14ac:dyDescent="0.3">
      <c r="B1174" s="183"/>
      <c r="C1174" s="183"/>
      <c r="D1174" s="183"/>
      <c r="E1174" s="71"/>
      <c r="F1174" s="72"/>
      <c r="G1174" s="70"/>
      <c r="H1174" s="74"/>
      <c r="I1174" s="70"/>
      <c r="J1174" s="70"/>
      <c r="K1174" s="70"/>
      <c r="L1174" s="74"/>
      <c r="M1174" s="123"/>
      <c r="N1174" s="73"/>
      <c r="O1174" s="236"/>
      <c r="P1174" s="117"/>
      <c r="Q1174" s="117"/>
      <c r="R1174" s="156" t="str">
        <f>IF(Table111[[#This Row],[Qty]]="","",Table111[[#This Row],[Qty]]*Table111[[#This Row],[Unit Price]])</f>
        <v/>
      </c>
      <c r="S1174" s="156" t="str">
        <f>IF(Table111[[#This Row],[Qty]]="","",Table111[[#This Row],[Qty]]*Table111[[#This Row],[Unit Price]]+Table111[[#This Row],[Delivery Cost]])</f>
        <v/>
      </c>
      <c r="T1174" s="72"/>
      <c r="U1174" s="72"/>
      <c r="V1174" s="72"/>
      <c r="W1174" s="65"/>
      <c r="X1174" s="63" t="str">
        <f t="shared" si="54"/>
        <v/>
      </c>
      <c r="Y1174" s="63" t="str">
        <f t="shared" si="55"/>
        <v/>
      </c>
      <c r="Z1174" s="63" t="str">
        <f t="shared" si="56"/>
        <v/>
      </c>
      <c r="AA1174" s="63" t="str">
        <f>TEXT(Table111[[#This Row],[YEAR]],"0000")&amp;"-"&amp;Table111[[#This Row],[MONTH]]</f>
        <v>-</v>
      </c>
    </row>
    <row r="1175" spans="2:27" x14ac:dyDescent="0.3">
      <c r="B1175" s="68"/>
      <c r="C1175" s="68"/>
      <c r="D1175" s="68"/>
      <c r="E1175" s="71"/>
      <c r="F1175" s="72"/>
      <c r="G1175" s="70"/>
      <c r="H1175" s="74"/>
      <c r="I1175" s="70"/>
      <c r="J1175" s="70"/>
      <c r="K1175" s="70"/>
      <c r="L1175" s="74"/>
      <c r="M1175" s="123"/>
      <c r="N1175" s="73"/>
      <c r="O1175" s="236"/>
      <c r="P1175" s="117"/>
      <c r="Q1175" s="117"/>
      <c r="R1175" s="156" t="str">
        <f>IF(Table111[[#This Row],[Qty]]="","",Table111[[#This Row],[Qty]]*Table111[[#This Row],[Unit Price]])</f>
        <v/>
      </c>
      <c r="S1175" s="156" t="str">
        <f>IF(Table111[[#This Row],[Qty]]="","",Table111[[#This Row],[Qty]]*Table111[[#This Row],[Unit Price]]+Table111[[#This Row],[Delivery Cost]])</f>
        <v/>
      </c>
      <c r="T1175" s="72"/>
      <c r="U1175" s="72"/>
      <c r="V1175" s="72"/>
      <c r="W1175" s="219"/>
      <c r="X1175" s="63" t="str">
        <f t="shared" si="54"/>
        <v/>
      </c>
      <c r="Y1175" s="63" t="str">
        <f t="shared" si="55"/>
        <v/>
      </c>
      <c r="Z1175" s="63" t="str">
        <f t="shared" si="56"/>
        <v/>
      </c>
      <c r="AA1175" s="63" t="str">
        <f>TEXT(Table111[[#This Row],[YEAR]],"0000")&amp;"-"&amp;Table111[[#This Row],[MONTH]]</f>
        <v>-</v>
      </c>
    </row>
    <row r="1176" spans="2:27" x14ac:dyDescent="0.3">
      <c r="B1176" s="183"/>
      <c r="C1176" s="183"/>
      <c r="D1176" s="183"/>
      <c r="E1176" s="71"/>
      <c r="F1176" s="72"/>
      <c r="G1176" s="70"/>
      <c r="H1176" s="74"/>
      <c r="I1176" s="70"/>
      <c r="J1176" s="70"/>
      <c r="K1176" s="70"/>
      <c r="L1176" s="74"/>
      <c r="M1176" s="123"/>
      <c r="N1176" s="73"/>
      <c r="O1176" s="236"/>
      <c r="P1176" s="117"/>
      <c r="Q1176" s="117"/>
      <c r="R1176" s="156" t="str">
        <f>IF(Table111[[#This Row],[Qty]]="","",Table111[[#This Row],[Qty]]*Table111[[#This Row],[Unit Price]])</f>
        <v/>
      </c>
      <c r="S1176" s="156" t="str">
        <f>IF(Table111[[#This Row],[Qty]]="","",Table111[[#This Row],[Qty]]*Table111[[#This Row],[Unit Price]]+Table111[[#This Row],[Delivery Cost]])</f>
        <v/>
      </c>
      <c r="T1176" s="72"/>
      <c r="U1176" s="72"/>
      <c r="V1176" s="72"/>
      <c r="W1176" s="65"/>
      <c r="X1176" s="63" t="str">
        <f t="shared" si="54"/>
        <v/>
      </c>
      <c r="Y1176" s="63" t="str">
        <f t="shared" si="55"/>
        <v/>
      </c>
      <c r="Z1176" s="63" t="str">
        <f t="shared" si="56"/>
        <v/>
      </c>
      <c r="AA1176" s="63" t="str">
        <f>TEXT(Table111[[#This Row],[YEAR]],"0000")&amp;"-"&amp;Table111[[#This Row],[MONTH]]</f>
        <v>-</v>
      </c>
    </row>
    <row r="1177" spans="2:27" x14ac:dyDescent="0.3">
      <c r="B1177" s="68"/>
      <c r="C1177" s="68"/>
      <c r="D1177" s="68"/>
      <c r="E1177" s="71"/>
      <c r="F1177" s="72"/>
      <c r="G1177" s="70"/>
      <c r="H1177" s="74"/>
      <c r="I1177" s="70"/>
      <c r="J1177" s="70"/>
      <c r="K1177" s="70"/>
      <c r="L1177" s="74"/>
      <c r="M1177" s="123"/>
      <c r="N1177" s="73"/>
      <c r="O1177" s="236"/>
      <c r="P1177" s="117"/>
      <c r="Q1177" s="117"/>
      <c r="R1177" s="156" t="str">
        <f>IF(Table111[[#This Row],[Qty]]="","",Table111[[#This Row],[Qty]]*Table111[[#This Row],[Unit Price]])</f>
        <v/>
      </c>
      <c r="S1177" s="156" t="str">
        <f>IF(Table111[[#This Row],[Qty]]="","",Table111[[#This Row],[Qty]]*Table111[[#This Row],[Unit Price]]+Table111[[#This Row],[Delivery Cost]])</f>
        <v/>
      </c>
      <c r="T1177" s="72"/>
      <c r="U1177" s="72"/>
      <c r="V1177" s="72"/>
      <c r="W1177" s="219"/>
      <c r="X1177" s="63" t="str">
        <f t="shared" si="54"/>
        <v/>
      </c>
      <c r="Y1177" s="63" t="str">
        <f t="shared" si="55"/>
        <v/>
      </c>
      <c r="Z1177" s="63" t="str">
        <f t="shared" si="56"/>
        <v/>
      </c>
      <c r="AA1177" s="63" t="str">
        <f>TEXT(Table111[[#This Row],[YEAR]],"0000")&amp;"-"&amp;Table111[[#This Row],[MONTH]]</f>
        <v>-</v>
      </c>
    </row>
    <row r="1178" spans="2:27" x14ac:dyDescent="0.3">
      <c r="B1178" s="183"/>
      <c r="C1178" s="183"/>
      <c r="D1178" s="183"/>
      <c r="E1178" s="71"/>
      <c r="F1178" s="72"/>
      <c r="G1178" s="70"/>
      <c r="H1178" s="74"/>
      <c r="I1178" s="70"/>
      <c r="J1178" s="70"/>
      <c r="K1178" s="70"/>
      <c r="L1178" s="74"/>
      <c r="M1178" s="123"/>
      <c r="N1178" s="73"/>
      <c r="O1178" s="236"/>
      <c r="P1178" s="117"/>
      <c r="Q1178" s="117"/>
      <c r="R1178" s="156" t="str">
        <f>IF(Table111[[#This Row],[Qty]]="","",Table111[[#This Row],[Qty]]*Table111[[#This Row],[Unit Price]])</f>
        <v/>
      </c>
      <c r="S1178" s="156" t="str">
        <f>IF(Table111[[#This Row],[Qty]]="","",Table111[[#This Row],[Qty]]*Table111[[#This Row],[Unit Price]]+Table111[[#This Row],[Delivery Cost]])</f>
        <v/>
      </c>
      <c r="T1178" s="72"/>
      <c r="U1178" s="72"/>
      <c r="V1178" s="72"/>
      <c r="W1178" s="65"/>
      <c r="X1178" s="63" t="str">
        <f t="shared" si="54"/>
        <v/>
      </c>
      <c r="Y1178" s="63" t="str">
        <f t="shared" si="55"/>
        <v/>
      </c>
      <c r="Z1178" s="63" t="str">
        <f t="shared" si="56"/>
        <v/>
      </c>
      <c r="AA1178" s="63" t="str">
        <f>TEXT(Table111[[#This Row],[YEAR]],"0000")&amp;"-"&amp;Table111[[#This Row],[MONTH]]</f>
        <v>-</v>
      </c>
    </row>
    <row r="1179" spans="2:27" x14ac:dyDescent="0.3">
      <c r="B1179" s="68"/>
      <c r="C1179" s="68"/>
      <c r="D1179" s="68"/>
      <c r="E1179" s="71"/>
      <c r="F1179" s="72"/>
      <c r="G1179" s="70"/>
      <c r="H1179" s="74"/>
      <c r="I1179" s="70"/>
      <c r="J1179" s="70"/>
      <c r="K1179" s="70"/>
      <c r="L1179" s="74"/>
      <c r="M1179" s="123"/>
      <c r="N1179" s="73"/>
      <c r="O1179" s="236"/>
      <c r="P1179" s="117"/>
      <c r="Q1179" s="117"/>
      <c r="R1179" s="156" t="str">
        <f>IF(Table111[[#This Row],[Qty]]="","",Table111[[#This Row],[Qty]]*Table111[[#This Row],[Unit Price]])</f>
        <v/>
      </c>
      <c r="S1179" s="156" t="str">
        <f>IF(Table111[[#This Row],[Qty]]="","",Table111[[#This Row],[Qty]]*Table111[[#This Row],[Unit Price]]+Table111[[#This Row],[Delivery Cost]])</f>
        <v/>
      </c>
      <c r="T1179" s="72"/>
      <c r="U1179" s="72"/>
      <c r="V1179" s="72"/>
      <c r="W1179" s="219"/>
      <c r="X1179" s="63" t="str">
        <f t="shared" si="54"/>
        <v/>
      </c>
      <c r="Y1179" s="63" t="str">
        <f t="shared" si="55"/>
        <v/>
      </c>
      <c r="Z1179" s="63" t="str">
        <f t="shared" si="56"/>
        <v/>
      </c>
      <c r="AA1179" s="63" t="str">
        <f>TEXT(Table111[[#This Row],[YEAR]],"0000")&amp;"-"&amp;Table111[[#This Row],[MONTH]]</f>
        <v>-</v>
      </c>
    </row>
    <row r="1180" spans="2:27" x14ac:dyDescent="0.3">
      <c r="B1180" s="183"/>
      <c r="C1180" s="183"/>
      <c r="D1180" s="183"/>
      <c r="E1180" s="71"/>
      <c r="F1180" s="72"/>
      <c r="G1180" s="70"/>
      <c r="H1180" s="74"/>
      <c r="I1180" s="70"/>
      <c r="J1180" s="70"/>
      <c r="K1180" s="70"/>
      <c r="L1180" s="74"/>
      <c r="M1180" s="123"/>
      <c r="N1180" s="73"/>
      <c r="O1180" s="236"/>
      <c r="P1180" s="117"/>
      <c r="Q1180" s="117"/>
      <c r="R1180" s="156" t="str">
        <f>IF(Table111[[#This Row],[Qty]]="","",Table111[[#This Row],[Qty]]*Table111[[#This Row],[Unit Price]])</f>
        <v/>
      </c>
      <c r="S1180" s="156" t="str">
        <f>IF(Table111[[#This Row],[Qty]]="","",Table111[[#This Row],[Qty]]*Table111[[#This Row],[Unit Price]]+Table111[[#This Row],[Delivery Cost]])</f>
        <v/>
      </c>
      <c r="T1180" s="72"/>
      <c r="U1180" s="72"/>
      <c r="V1180" s="72"/>
      <c r="W1180" s="65"/>
      <c r="X1180" s="63" t="str">
        <f t="shared" si="54"/>
        <v/>
      </c>
      <c r="Y1180" s="63" t="str">
        <f t="shared" si="55"/>
        <v/>
      </c>
      <c r="Z1180" s="63" t="str">
        <f t="shared" si="56"/>
        <v/>
      </c>
      <c r="AA1180" s="63" t="str">
        <f>TEXT(Table111[[#This Row],[YEAR]],"0000")&amp;"-"&amp;Table111[[#This Row],[MONTH]]</f>
        <v>-</v>
      </c>
    </row>
    <row r="1181" spans="2:27" x14ac:dyDescent="0.3">
      <c r="B1181" s="68"/>
      <c r="C1181" s="68"/>
      <c r="D1181" s="68"/>
      <c r="E1181" s="71"/>
      <c r="F1181" s="72"/>
      <c r="G1181" s="70"/>
      <c r="H1181" s="74"/>
      <c r="I1181" s="70"/>
      <c r="J1181" s="70"/>
      <c r="K1181" s="70"/>
      <c r="L1181" s="74"/>
      <c r="M1181" s="123"/>
      <c r="N1181" s="73"/>
      <c r="O1181" s="236"/>
      <c r="P1181" s="117"/>
      <c r="Q1181" s="117"/>
      <c r="R1181" s="156" t="str">
        <f>IF(Table111[[#This Row],[Qty]]="","",Table111[[#This Row],[Qty]]*Table111[[#This Row],[Unit Price]])</f>
        <v/>
      </c>
      <c r="S1181" s="156" t="str">
        <f>IF(Table111[[#This Row],[Qty]]="","",Table111[[#This Row],[Qty]]*Table111[[#This Row],[Unit Price]]+Table111[[#This Row],[Delivery Cost]])</f>
        <v/>
      </c>
      <c r="T1181" s="72"/>
      <c r="U1181" s="72"/>
      <c r="V1181" s="72"/>
      <c r="W1181" s="219"/>
      <c r="X1181" s="63" t="str">
        <f t="shared" si="54"/>
        <v/>
      </c>
      <c r="Y1181" s="63" t="str">
        <f t="shared" si="55"/>
        <v/>
      </c>
      <c r="Z1181" s="63" t="str">
        <f t="shared" si="56"/>
        <v/>
      </c>
      <c r="AA1181" s="63" t="str">
        <f>TEXT(Table111[[#This Row],[YEAR]],"0000")&amp;"-"&amp;Table111[[#This Row],[MONTH]]</f>
        <v>-</v>
      </c>
    </row>
    <row r="1182" spans="2:27" x14ac:dyDescent="0.3">
      <c r="B1182" s="183"/>
      <c r="C1182" s="183"/>
      <c r="D1182" s="183"/>
      <c r="E1182" s="71"/>
      <c r="F1182" s="72"/>
      <c r="G1182" s="70"/>
      <c r="H1182" s="74"/>
      <c r="I1182" s="70"/>
      <c r="J1182" s="70"/>
      <c r="K1182" s="70"/>
      <c r="L1182" s="74"/>
      <c r="M1182" s="123"/>
      <c r="N1182" s="73"/>
      <c r="O1182" s="236"/>
      <c r="P1182" s="117"/>
      <c r="Q1182" s="117"/>
      <c r="R1182" s="156" t="str">
        <f>IF(Table111[[#This Row],[Qty]]="","",Table111[[#This Row],[Qty]]*Table111[[#This Row],[Unit Price]])</f>
        <v/>
      </c>
      <c r="S1182" s="156" t="str">
        <f>IF(Table111[[#This Row],[Qty]]="","",Table111[[#This Row],[Qty]]*Table111[[#This Row],[Unit Price]]+Table111[[#This Row],[Delivery Cost]])</f>
        <v/>
      </c>
      <c r="T1182" s="72"/>
      <c r="U1182" s="72"/>
      <c r="V1182" s="72"/>
      <c r="W1182" s="65"/>
      <c r="X1182" s="63" t="str">
        <f t="shared" si="54"/>
        <v/>
      </c>
      <c r="Y1182" s="63" t="str">
        <f t="shared" si="55"/>
        <v/>
      </c>
      <c r="Z1182" s="63" t="str">
        <f t="shared" si="56"/>
        <v/>
      </c>
      <c r="AA1182" s="63" t="str">
        <f>TEXT(Table111[[#This Row],[YEAR]],"0000")&amp;"-"&amp;Table111[[#This Row],[MONTH]]</f>
        <v>-</v>
      </c>
    </row>
    <row r="1183" spans="2:27" x14ac:dyDescent="0.3">
      <c r="B1183" s="68"/>
      <c r="C1183" s="68"/>
      <c r="D1183" s="68"/>
      <c r="E1183" s="71"/>
      <c r="F1183" s="72"/>
      <c r="G1183" s="70"/>
      <c r="H1183" s="74"/>
      <c r="I1183" s="70"/>
      <c r="J1183" s="70"/>
      <c r="K1183" s="70"/>
      <c r="L1183" s="74"/>
      <c r="M1183" s="123"/>
      <c r="N1183" s="73"/>
      <c r="O1183" s="236"/>
      <c r="P1183" s="117"/>
      <c r="Q1183" s="117"/>
      <c r="R1183" s="156" t="str">
        <f>IF(Table111[[#This Row],[Qty]]="","",Table111[[#This Row],[Qty]]*Table111[[#This Row],[Unit Price]])</f>
        <v/>
      </c>
      <c r="S1183" s="156" t="str">
        <f>IF(Table111[[#This Row],[Qty]]="","",Table111[[#This Row],[Qty]]*Table111[[#This Row],[Unit Price]]+Table111[[#This Row],[Delivery Cost]])</f>
        <v/>
      </c>
      <c r="T1183" s="72"/>
      <c r="U1183" s="72"/>
      <c r="V1183" s="72"/>
      <c r="W1183" s="219"/>
      <c r="X1183" s="63" t="str">
        <f t="shared" si="54"/>
        <v/>
      </c>
      <c r="Y1183" s="63" t="str">
        <f t="shared" si="55"/>
        <v/>
      </c>
      <c r="Z1183" s="63" t="str">
        <f t="shared" si="56"/>
        <v/>
      </c>
      <c r="AA1183" s="63" t="str">
        <f>TEXT(Table111[[#This Row],[YEAR]],"0000")&amp;"-"&amp;Table111[[#This Row],[MONTH]]</f>
        <v>-</v>
      </c>
    </row>
    <row r="1184" spans="2:27" x14ac:dyDescent="0.3">
      <c r="B1184" s="183"/>
      <c r="C1184" s="183"/>
      <c r="D1184" s="183"/>
      <c r="E1184" s="71"/>
      <c r="F1184" s="72"/>
      <c r="G1184" s="70"/>
      <c r="H1184" s="74"/>
      <c r="I1184" s="70"/>
      <c r="J1184" s="70"/>
      <c r="K1184" s="70"/>
      <c r="L1184" s="74"/>
      <c r="M1184" s="123"/>
      <c r="N1184" s="73"/>
      <c r="O1184" s="236"/>
      <c r="P1184" s="117"/>
      <c r="Q1184" s="117"/>
      <c r="R1184" s="156" t="str">
        <f>IF(Table111[[#This Row],[Qty]]="","",Table111[[#This Row],[Qty]]*Table111[[#This Row],[Unit Price]])</f>
        <v/>
      </c>
      <c r="S1184" s="156" t="str">
        <f>IF(Table111[[#This Row],[Qty]]="","",Table111[[#This Row],[Qty]]*Table111[[#This Row],[Unit Price]]+Table111[[#This Row],[Delivery Cost]])</f>
        <v/>
      </c>
      <c r="T1184" s="72"/>
      <c r="U1184" s="72"/>
      <c r="V1184" s="72"/>
      <c r="W1184" s="65"/>
      <c r="X1184" s="63" t="str">
        <f t="shared" si="54"/>
        <v/>
      </c>
      <c r="Y1184" s="63" t="str">
        <f t="shared" si="55"/>
        <v/>
      </c>
      <c r="Z1184" s="63" t="str">
        <f t="shared" si="56"/>
        <v/>
      </c>
      <c r="AA1184" s="63" t="str">
        <f>TEXT(Table111[[#This Row],[YEAR]],"0000")&amp;"-"&amp;Table111[[#This Row],[MONTH]]</f>
        <v>-</v>
      </c>
    </row>
    <row r="1185" spans="2:27" x14ac:dyDescent="0.3">
      <c r="B1185" s="68"/>
      <c r="C1185" s="68"/>
      <c r="D1185" s="68"/>
      <c r="E1185" s="71"/>
      <c r="F1185" s="72"/>
      <c r="G1185" s="70"/>
      <c r="H1185" s="74"/>
      <c r="I1185" s="70"/>
      <c r="J1185" s="70"/>
      <c r="K1185" s="70"/>
      <c r="L1185" s="74"/>
      <c r="M1185" s="123"/>
      <c r="N1185" s="73"/>
      <c r="O1185" s="236"/>
      <c r="P1185" s="117"/>
      <c r="Q1185" s="117"/>
      <c r="R1185" s="156" t="str">
        <f>IF(Table111[[#This Row],[Qty]]="","",Table111[[#This Row],[Qty]]*Table111[[#This Row],[Unit Price]])</f>
        <v/>
      </c>
      <c r="S1185" s="156" t="str">
        <f>IF(Table111[[#This Row],[Qty]]="","",Table111[[#This Row],[Qty]]*Table111[[#This Row],[Unit Price]]+Table111[[#This Row],[Delivery Cost]])</f>
        <v/>
      </c>
      <c r="T1185" s="72"/>
      <c r="U1185" s="72"/>
      <c r="V1185" s="72"/>
      <c r="W1185" s="219"/>
      <c r="X1185" s="63" t="str">
        <f t="shared" si="54"/>
        <v/>
      </c>
      <c r="Y1185" s="63" t="str">
        <f t="shared" si="55"/>
        <v/>
      </c>
      <c r="Z1185" s="63" t="str">
        <f t="shared" si="56"/>
        <v/>
      </c>
      <c r="AA1185" s="63" t="str">
        <f>TEXT(Table111[[#This Row],[YEAR]],"0000")&amp;"-"&amp;Table111[[#This Row],[MONTH]]</f>
        <v>-</v>
      </c>
    </row>
    <row r="1186" spans="2:27" x14ac:dyDescent="0.3">
      <c r="B1186" s="183"/>
      <c r="C1186" s="183"/>
      <c r="D1186" s="183"/>
      <c r="E1186" s="71"/>
      <c r="F1186" s="72"/>
      <c r="G1186" s="70"/>
      <c r="H1186" s="74"/>
      <c r="I1186" s="70"/>
      <c r="J1186" s="70"/>
      <c r="K1186" s="70"/>
      <c r="L1186" s="74"/>
      <c r="M1186" s="123"/>
      <c r="N1186" s="73"/>
      <c r="O1186" s="236"/>
      <c r="P1186" s="117"/>
      <c r="Q1186" s="117"/>
      <c r="R1186" s="156" t="str">
        <f>IF(Table111[[#This Row],[Qty]]="","",Table111[[#This Row],[Qty]]*Table111[[#This Row],[Unit Price]])</f>
        <v/>
      </c>
      <c r="S1186" s="156" t="str">
        <f>IF(Table111[[#This Row],[Qty]]="","",Table111[[#This Row],[Qty]]*Table111[[#This Row],[Unit Price]]+Table111[[#This Row],[Delivery Cost]])</f>
        <v/>
      </c>
      <c r="T1186" s="72"/>
      <c r="U1186" s="72"/>
      <c r="V1186" s="72"/>
      <c r="W1186" s="65"/>
      <c r="X1186" s="63" t="str">
        <f t="shared" si="54"/>
        <v/>
      </c>
      <c r="Y1186" s="63" t="str">
        <f t="shared" si="55"/>
        <v/>
      </c>
      <c r="Z1186" s="63" t="str">
        <f t="shared" si="56"/>
        <v/>
      </c>
      <c r="AA1186" s="63" t="str">
        <f>TEXT(Table111[[#This Row],[YEAR]],"0000")&amp;"-"&amp;Table111[[#This Row],[MONTH]]</f>
        <v>-</v>
      </c>
    </row>
    <row r="1187" spans="2:27" x14ac:dyDescent="0.3">
      <c r="B1187" s="68"/>
      <c r="C1187" s="68"/>
      <c r="D1187" s="68"/>
      <c r="E1187" s="71"/>
      <c r="F1187" s="72"/>
      <c r="G1187" s="70"/>
      <c r="H1187" s="74"/>
      <c r="I1187" s="70"/>
      <c r="J1187" s="70"/>
      <c r="K1187" s="70"/>
      <c r="L1187" s="74"/>
      <c r="M1187" s="123"/>
      <c r="N1187" s="73"/>
      <c r="O1187" s="236"/>
      <c r="P1187" s="117"/>
      <c r="Q1187" s="117"/>
      <c r="R1187" s="156" t="str">
        <f>IF(Table111[[#This Row],[Qty]]="","",Table111[[#This Row],[Qty]]*Table111[[#This Row],[Unit Price]])</f>
        <v/>
      </c>
      <c r="S1187" s="156" t="str">
        <f>IF(Table111[[#This Row],[Qty]]="","",Table111[[#This Row],[Qty]]*Table111[[#This Row],[Unit Price]]+Table111[[#This Row],[Delivery Cost]])</f>
        <v/>
      </c>
      <c r="T1187" s="72"/>
      <c r="U1187" s="72"/>
      <c r="V1187" s="72"/>
      <c r="W1187" s="219"/>
      <c r="X1187" s="63" t="str">
        <f t="shared" si="54"/>
        <v/>
      </c>
      <c r="Y1187" s="63" t="str">
        <f t="shared" si="55"/>
        <v/>
      </c>
      <c r="Z1187" s="63" t="str">
        <f t="shared" si="56"/>
        <v/>
      </c>
      <c r="AA1187" s="63" t="str">
        <f>TEXT(Table111[[#This Row],[YEAR]],"0000")&amp;"-"&amp;Table111[[#This Row],[MONTH]]</f>
        <v>-</v>
      </c>
    </row>
    <row r="1188" spans="2:27" x14ac:dyDescent="0.3">
      <c r="B1188" s="183"/>
      <c r="C1188" s="183"/>
      <c r="D1188" s="183"/>
      <c r="E1188" s="71"/>
      <c r="F1188" s="72"/>
      <c r="G1188" s="70"/>
      <c r="H1188" s="74"/>
      <c r="I1188" s="70"/>
      <c r="J1188" s="70"/>
      <c r="K1188" s="70"/>
      <c r="L1188" s="74"/>
      <c r="M1188" s="123"/>
      <c r="N1188" s="73"/>
      <c r="O1188" s="236"/>
      <c r="P1188" s="117"/>
      <c r="Q1188" s="117"/>
      <c r="R1188" s="156" t="str">
        <f>IF(Table111[[#This Row],[Qty]]="","",Table111[[#This Row],[Qty]]*Table111[[#This Row],[Unit Price]])</f>
        <v/>
      </c>
      <c r="S1188" s="156" t="str">
        <f>IF(Table111[[#This Row],[Qty]]="","",Table111[[#This Row],[Qty]]*Table111[[#This Row],[Unit Price]]+Table111[[#This Row],[Delivery Cost]])</f>
        <v/>
      </c>
      <c r="T1188" s="72"/>
      <c r="U1188" s="72"/>
      <c r="V1188" s="72"/>
      <c r="W1188" s="65"/>
      <c r="X1188" s="63" t="str">
        <f t="shared" si="54"/>
        <v/>
      </c>
      <c r="Y1188" s="63" t="str">
        <f t="shared" si="55"/>
        <v/>
      </c>
      <c r="Z1188" s="63" t="str">
        <f t="shared" si="56"/>
        <v/>
      </c>
      <c r="AA1188" s="63" t="str">
        <f>TEXT(Table111[[#This Row],[YEAR]],"0000")&amp;"-"&amp;Table111[[#This Row],[MONTH]]</f>
        <v>-</v>
      </c>
    </row>
    <row r="1189" spans="2:27" x14ac:dyDescent="0.3">
      <c r="B1189" s="68"/>
      <c r="C1189" s="68"/>
      <c r="D1189" s="68"/>
      <c r="E1189" s="71"/>
      <c r="F1189" s="72"/>
      <c r="G1189" s="70"/>
      <c r="H1189" s="74"/>
      <c r="I1189" s="70"/>
      <c r="J1189" s="70"/>
      <c r="K1189" s="70"/>
      <c r="L1189" s="74"/>
      <c r="M1189" s="123"/>
      <c r="N1189" s="73"/>
      <c r="O1189" s="236"/>
      <c r="P1189" s="117"/>
      <c r="Q1189" s="117"/>
      <c r="R1189" s="156" t="str">
        <f>IF(Table111[[#This Row],[Qty]]="","",Table111[[#This Row],[Qty]]*Table111[[#This Row],[Unit Price]])</f>
        <v/>
      </c>
      <c r="S1189" s="156" t="str">
        <f>IF(Table111[[#This Row],[Qty]]="","",Table111[[#This Row],[Qty]]*Table111[[#This Row],[Unit Price]]+Table111[[#This Row],[Delivery Cost]])</f>
        <v/>
      </c>
      <c r="T1189" s="72"/>
      <c r="U1189" s="72"/>
      <c r="V1189" s="72"/>
      <c r="W1189" s="219"/>
      <c r="X1189" s="63" t="str">
        <f t="shared" si="54"/>
        <v/>
      </c>
      <c r="Y1189" s="63" t="str">
        <f t="shared" si="55"/>
        <v/>
      </c>
      <c r="Z1189" s="63" t="str">
        <f t="shared" si="56"/>
        <v/>
      </c>
      <c r="AA1189" s="63" t="str">
        <f>TEXT(Table111[[#This Row],[YEAR]],"0000")&amp;"-"&amp;Table111[[#This Row],[MONTH]]</f>
        <v>-</v>
      </c>
    </row>
    <row r="1190" spans="2:27" x14ac:dyDescent="0.3">
      <c r="B1190" s="183"/>
      <c r="C1190" s="183"/>
      <c r="D1190" s="183"/>
      <c r="E1190" s="71"/>
      <c r="F1190" s="72"/>
      <c r="G1190" s="70"/>
      <c r="H1190" s="74"/>
      <c r="I1190" s="70"/>
      <c r="J1190" s="70"/>
      <c r="K1190" s="70"/>
      <c r="L1190" s="74"/>
      <c r="M1190" s="123"/>
      <c r="N1190" s="73"/>
      <c r="O1190" s="236"/>
      <c r="P1190" s="117"/>
      <c r="Q1190" s="117"/>
      <c r="R1190" s="156" t="str">
        <f>IF(Table111[[#This Row],[Qty]]="","",Table111[[#This Row],[Qty]]*Table111[[#This Row],[Unit Price]])</f>
        <v/>
      </c>
      <c r="S1190" s="156" t="str">
        <f>IF(Table111[[#This Row],[Qty]]="","",Table111[[#This Row],[Qty]]*Table111[[#This Row],[Unit Price]]+Table111[[#This Row],[Delivery Cost]])</f>
        <v/>
      </c>
      <c r="T1190" s="72"/>
      <c r="U1190" s="72"/>
      <c r="V1190" s="72"/>
      <c r="W1190" s="65"/>
      <c r="X1190" s="63" t="str">
        <f t="shared" si="54"/>
        <v/>
      </c>
      <c r="Y1190" s="63" t="str">
        <f t="shared" si="55"/>
        <v/>
      </c>
      <c r="Z1190" s="63" t="str">
        <f t="shared" si="56"/>
        <v/>
      </c>
      <c r="AA1190" s="63" t="str">
        <f>TEXT(Table111[[#This Row],[YEAR]],"0000")&amp;"-"&amp;Table111[[#This Row],[MONTH]]</f>
        <v>-</v>
      </c>
    </row>
    <row r="1191" spans="2:27" x14ac:dyDescent="0.3">
      <c r="B1191" s="68"/>
      <c r="C1191" s="68"/>
      <c r="D1191" s="68"/>
      <c r="E1191" s="71"/>
      <c r="F1191" s="72"/>
      <c r="G1191" s="70"/>
      <c r="H1191" s="74"/>
      <c r="I1191" s="70"/>
      <c r="J1191" s="70"/>
      <c r="K1191" s="70"/>
      <c r="L1191" s="74"/>
      <c r="M1191" s="123"/>
      <c r="N1191" s="73"/>
      <c r="O1191" s="236"/>
      <c r="P1191" s="117"/>
      <c r="Q1191" s="117"/>
      <c r="R1191" s="156" t="str">
        <f>IF(Table111[[#This Row],[Qty]]="","",Table111[[#This Row],[Qty]]*Table111[[#This Row],[Unit Price]])</f>
        <v/>
      </c>
      <c r="S1191" s="156" t="str">
        <f>IF(Table111[[#This Row],[Qty]]="","",Table111[[#This Row],[Qty]]*Table111[[#This Row],[Unit Price]]+Table111[[#This Row],[Delivery Cost]])</f>
        <v/>
      </c>
      <c r="T1191" s="72"/>
      <c r="U1191" s="72"/>
      <c r="V1191" s="72"/>
      <c r="W1191" s="219"/>
      <c r="X1191" s="63" t="str">
        <f t="shared" si="54"/>
        <v/>
      </c>
      <c r="Y1191" s="63" t="str">
        <f t="shared" si="55"/>
        <v/>
      </c>
      <c r="Z1191" s="63" t="str">
        <f t="shared" si="56"/>
        <v/>
      </c>
      <c r="AA1191" s="63" t="str">
        <f>TEXT(Table111[[#This Row],[YEAR]],"0000")&amp;"-"&amp;Table111[[#This Row],[MONTH]]</f>
        <v>-</v>
      </c>
    </row>
    <row r="1192" spans="2:27" x14ac:dyDescent="0.3">
      <c r="B1192" s="183"/>
      <c r="C1192" s="183"/>
      <c r="D1192" s="183"/>
      <c r="E1192" s="71"/>
      <c r="F1192" s="72"/>
      <c r="G1192" s="70"/>
      <c r="H1192" s="74"/>
      <c r="I1192" s="70"/>
      <c r="J1192" s="70"/>
      <c r="K1192" s="70"/>
      <c r="L1192" s="74"/>
      <c r="M1192" s="123"/>
      <c r="N1192" s="73"/>
      <c r="O1192" s="236"/>
      <c r="P1192" s="117"/>
      <c r="Q1192" s="117"/>
      <c r="R1192" s="156" t="str">
        <f>IF(Table111[[#This Row],[Qty]]="","",Table111[[#This Row],[Qty]]*Table111[[#This Row],[Unit Price]])</f>
        <v/>
      </c>
      <c r="S1192" s="156" t="str">
        <f>IF(Table111[[#This Row],[Qty]]="","",Table111[[#This Row],[Qty]]*Table111[[#This Row],[Unit Price]]+Table111[[#This Row],[Delivery Cost]])</f>
        <v/>
      </c>
      <c r="T1192" s="72"/>
      <c r="U1192" s="72"/>
      <c r="V1192" s="72"/>
      <c r="W1192" s="65"/>
      <c r="X1192" s="63" t="str">
        <f t="shared" si="54"/>
        <v/>
      </c>
      <c r="Y1192" s="63" t="str">
        <f t="shared" si="55"/>
        <v/>
      </c>
      <c r="Z1192" s="63" t="str">
        <f t="shared" si="56"/>
        <v/>
      </c>
      <c r="AA1192" s="63" t="str">
        <f>TEXT(Table111[[#This Row],[YEAR]],"0000")&amp;"-"&amp;Table111[[#This Row],[MONTH]]</f>
        <v>-</v>
      </c>
    </row>
    <row r="1193" spans="2:27" x14ac:dyDescent="0.3">
      <c r="B1193" s="68"/>
      <c r="C1193" s="68"/>
      <c r="D1193" s="68"/>
      <c r="E1193" s="71"/>
      <c r="F1193" s="72"/>
      <c r="G1193" s="70"/>
      <c r="H1193" s="74"/>
      <c r="I1193" s="70"/>
      <c r="J1193" s="70"/>
      <c r="K1193" s="70"/>
      <c r="L1193" s="74"/>
      <c r="M1193" s="123"/>
      <c r="N1193" s="73"/>
      <c r="O1193" s="236"/>
      <c r="P1193" s="117"/>
      <c r="Q1193" s="117"/>
      <c r="R1193" s="156" t="str">
        <f>IF(Table111[[#This Row],[Qty]]="","",Table111[[#This Row],[Qty]]*Table111[[#This Row],[Unit Price]])</f>
        <v/>
      </c>
      <c r="S1193" s="156" t="str">
        <f>IF(Table111[[#This Row],[Qty]]="","",Table111[[#This Row],[Qty]]*Table111[[#This Row],[Unit Price]]+Table111[[#This Row],[Delivery Cost]])</f>
        <v/>
      </c>
      <c r="T1193" s="72"/>
      <c r="U1193" s="72"/>
      <c r="V1193" s="72"/>
      <c r="W1193" s="219"/>
      <c r="X1193" s="63" t="str">
        <f t="shared" si="54"/>
        <v/>
      </c>
      <c r="Y1193" s="63" t="str">
        <f t="shared" si="55"/>
        <v/>
      </c>
      <c r="Z1193" s="63" t="str">
        <f t="shared" si="56"/>
        <v/>
      </c>
      <c r="AA1193" s="63" t="str">
        <f>TEXT(Table111[[#This Row],[YEAR]],"0000")&amp;"-"&amp;Table111[[#This Row],[MONTH]]</f>
        <v>-</v>
      </c>
    </row>
    <row r="1194" spans="2:27" x14ac:dyDescent="0.3">
      <c r="B1194" s="183"/>
      <c r="C1194" s="183"/>
      <c r="D1194" s="183"/>
      <c r="E1194" s="71"/>
      <c r="F1194" s="72"/>
      <c r="G1194" s="70"/>
      <c r="H1194" s="74"/>
      <c r="I1194" s="70"/>
      <c r="J1194" s="70"/>
      <c r="K1194" s="70"/>
      <c r="L1194" s="74"/>
      <c r="M1194" s="123"/>
      <c r="N1194" s="73"/>
      <c r="O1194" s="236"/>
      <c r="P1194" s="117"/>
      <c r="Q1194" s="117"/>
      <c r="R1194" s="156" t="str">
        <f>IF(Table111[[#This Row],[Qty]]="","",Table111[[#This Row],[Qty]]*Table111[[#This Row],[Unit Price]])</f>
        <v/>
      </c>
      <c r="S1194" s="156" t="str">
        <f>IF(Table111[[#This Row],[Qty]]="","",Table111[[#This Row],[Qty]]*Table111[[#This Row],[Unit Price]]+Table111[[#This Row],[Delivery Cost]])</f>
        <v/>
      </c>
      <c r="T1194" s="72"/>
      <c r="U1194" s="72"/>
      <c r="V1194" s="72"/>
      <c r="W1194" s="65"/>
      <c r="X1194" s="63" t="str">
        <f t="shared" si="54"/>
        <v/>
      </c>
      <c r="Y1194" s="63" t="str">
        <f t="shared" si="55"/>
        <v/>
      </c>
      <c r="Z1194" s="63" t="str">
        <f t="shared" si="56"/>
        <v/>
      </c>
      <c r="AA1194" s="63" t="str">
        <f>TEXT(Table111[[#This Row],[YEAR]],"0000")&amp;"-"&amp;Table111[[#This Row],[MONTH]]</f>
        <v>-</v>
      </c>
    </row>
    <row r="1195" spans="2:27" x14ac:dyDescent="0.3">
      <c r="B1195" s="68"/>
      <c r="C1195" s="68"/>
      <c r="D1195" s="68"/>
      <c r="E1195" s="71"/>
      <c r="F1195" s="72"/>
      <c r="G1195" s="70"/>
      <c r="H1195" s="74"/>
      <c r="I1195" s="70"/>
      <c r="J1195" s="70"/>
      <c r="K1195" s="70"/>
      <c r="L1195" s="74"/>
      <c r="M1195" s="123"/>
      <c r="N1195" s="73"/>
      <c r="O1195" s="236"/>
      <c r="P1195" s="117"/>
      <c r="Q1195" s="117"/>
      <c r="R1195" s="156" t="str">
        <f>IF(Table111[[#This Row],[Qty]]="","",Table111[[#This Row],[Qty]]*Table111[[#This Row],[Unit Price]])</f>
        <v/>
      </c>
      <c r="S1195" s="156" t="str">
        <f>IF(Table111[[#This Row],[Qty]]="","",Table111[[#This Row],[Qty]]*Table111[[#This Row],[Unit Price]]+Table111[[#This Row],[Delivery Cost]])</f>
        <v/>
      </c>
      <c r="T1195" s="72"/>
      <c r="U1195" s="72"/>
      <c r="V1195" s="72"/>
      <c r="W1195" s="219"/>
      <c r="X1195" s="63" t="str">
        <f t="shared" si="54"/>
        <v/>
      </c>
      <c r="Y1195" s="63" t="str">
        <f t="shared" si="55"/>
        <v/>
      </c>
      <c r="Z1195" s="63" t="str">
        <f t="shared" si="56"/>
        <v/>
      </c>
      <c r="AA1195" s="63" t="str">
        <f>TEXT(Table111[[#This Row],[YEAR]],"0000")&amp;"-"&amp;Table111[[#This Row],[MONTH]]</f>
        <v>-</v>
      </c>
    </row>
    <row r="1196" spans="2:27" x14ac:dyDescent="0.3">
      <c r="B1196" s="183"/>
      <c r="C1196" s="183"/>
      <c r="D1196" s="183"/>
      <c r="E1196" s="71"/>
      <c r="F1196" s="72"/>
      <c r="G1196" s="70"/>
      <c r="H1196" s="74"/>
      <c r="I1196" s="70"/>
      <c r="J1196" s="70"/>
      <c r="K1196" s="70"/>
      <c r="L1196" s="74"/>
      <c r="M1196" s="123"/>
      <c r="N1196" s="73"/>
      <c r="O1196" s="236"/>
      <c r="P1196" s="117"/>
      <c r="Q1196" s="117"/>
      <c r="R1196" s="156" t="str">
        <f>IF(Table111[[#This Row],[Qty]]="","",Table111[[#This Row],[Qty]]*Table111[[#This Row],[Unit Price]])</f>
        <v/>
      </c>
      <c r="S1196" s="156" t="str">
        <f>IF(Table111[[#This Row],[Qty]]="","",Table111[[#This Row],[Qty]]*Table111[[#This Row],[Unit Price]]+Table111[[#This Row],[Delivery Cost]])</f>
        <v/>
      </c>
      <c r="T1196" s="72"/>
      <c r="U1196" s="72"/>
      <c r="V1196" s="72"/>
      <c r="W1196" s="65"/>
      <c r="X1196" s="63" t="str">
        <f t="shared" si="54"/>
        <v/>
      </c>
      <c r="Y1196" s="63" t="str">
        <f t="shared" si="55"/>
        <v/>
      </c>
      <c r="Z1196" s="63" t="str">
        <f t="shared" si="56"/>
        <v/>
      </c>
      <c r="AA1196" s="63" t="str">
        <f>TEXT(Table111[[#This Row],[YEAR]],"0000")&amp;"-"&amp;Table111[[#This Row],[MONTH]]</f>
        <v>-</v>
      </c>
    </row>
    <row r="1197" spans="2:27" x14ac:dyDescent="0.3">
      <c r="B1197" s="68"/>
      <c r="C1197" s="68"/>
      <c r="D1197" s="68"/>
      <c r="E1197" s="71"/>
      <c r="F1197" s="72"/>
      <c r="G1197" s="70"/>
      <c r="H1197" s="74"/>
      <c r="I1197" s="70"/>
      <c r="J1197" s="70"/>
      <c r="K1197" s="70"/>
      <c r="L1197" s="74"/>
      <c r="M1197" s="123"/>
      <c r="N1197" s="73"/>
      <c r="O1197" s="236"/>
      <c r="P1197" s="117"/>
      <c r="Q1197" s="117"/>
      <c r="R1197" s="156" t="str">
        <f>IF(Table111[[#This Row],[Qty]]="","",Table111[[#This Row],[Qty]]*Table111[[#This Row],[Unit Price]])</f>
        <v/>
      </c>
      <c r="S1197" s="156" t="str">
        <f>IF(Table111[[#This Row],[Qty]]="","",Table111[[#This Row],[Qty]]*Table111[[#This Row],[Unit Price]]+Table111[[#This Row],[Delivery Cost]])</f>
        <v/>
      </c>
      <c r="T1197" s="72"/>
      <c r="U1197" s="72"/>
      <c r="V1197" s="72"/>
      <c r="W1197" s="219"/>
      <c r="X1197" s="63" t="str">
        <f t="shared" si="54"/>
        <v/>
      </c>
      <c r="Y1197" s="63" t="str">
        <f t="shared" si="55"/>
        <v/>
      </c>
      <c r="Z1197" s="63" t="str">
        <f t="shared" si="56"/>
        <v/>
      </c>
      <c r="AA1197" s="63" t="str">
        <f>TEXT(Table111[[#This Row],[YEAR]],"0000")&amp;"-"&amp;Table111[[#This Row],[MONTH]]</f>
        <v>-</v>
      </c>
    </row>
    <row r="1198" spans="2:27" x14ac:dyDescent="0.3">
      <c r="B1198" s="183"/>
      <c r="C1198" s="183"/>
      <c r="D1198" s="183"/>
      <c r="E1198" s="71"/>
      <c r="F1198" s="72"/>
      <c r="G1198" s="70"/>
      <c r="H1198" s="74"/>
      <c r="I1198" s="70"/>
      <c r="J1198" s="70"/>
      <c r="K1198" s="70"/>
      <c r="L1198" s="74"/>
      <c r="M1198" s="123"/>
      <c r="N1198" s="73"/>
      <c r="O1198" s="236"/>
      <c r="P1198" s="117"/>
      <c r="Q1198" s="117"/>
      <c r="R1198" s="156" t="str">
        <f>IF(Table111[[#This Row],[Qty]]="","",Table111[[#This Row],[Qty]]*Table111[[#This Row],[Unit Price]])</f>
        <v/>
      </c>
      <c r="S1198" s="156" t="str">
        <f>IF(Table111[[#This Row],[Qty]]="","",Table111[[#This Row],[Qty]]*Table111[[#This Row],[Unit Price]]+Table111[[#This Row],[Delivery Cost]])</f>
        <v/>
      </c>
      <c r="T1198" s="72"/>
      <c r="U1198" s="72"/>
      <c r="V1198" s="72"/>
      <c r="W1198" s="65"/>
      <c r="X1198" s="63" t="str">
        <f t="shared" si="54"/>
        <v/>
      </c>
      <c r="Y1198" s="63" t="str">
        <f t="shared" si="55"/>
        <v/>
      </c>
      <c r="Z1198" s="63" t="str">
        <f t="shared" si="56"/>
        <v/>
      </c>
      <c r="AA1198" s="63" t="str">
        <f>TEXT(Table111[[#This Row],[YEAR]],"0000")&amp;"-"&amp;Table111[[#This Row],[MONTH]]</f>
        <v>-</v>
      </c>
    </row>
    <row r="1199" spans="2:27" x14ac:dyDescent="0.3">
      <c r="B1199" s="68"/>
      <c r="C1199" s="68"/>
      <c r="D1199" s="68"/>
      <c r="E1199" s="71"/>
      <c r="F1199" s="72"/>
      <c r="G1199" s="70"/>
      <c r="H1199" s="74"/>
      <c r="I1199" s="70"/>
      <c r="J1199" s="70"/>
      <c r="K1199" s="70"/>
      <c r="L1199" s="74"/>
      <c r="M1199" s="123"/>
      <c r="N1199" s="73"/>
      <c r="O1199" s="236"/>
      <c r="P1199" s="117"/>
      <c r="Q1199" s="117"/>
      <c r="R1199" s="156" t="str">
        <f>IF(Table111[[#This Row],[Qty]]="","",Table111[[#This Row],[Qty]]*Table111[[#This Row],[Unit Price]])</f>
        <v/>
      </c>
      <c r="S1199" s="156" t="str">
        <f>IF(Table111[[#This Row],[Qty]]="","",Table111[[#This Row],[Qty]]*Table111[[#This Row],[Unit Price]]+Table111[[#This Row],[Delivery Cost]])</f>
        <v/>
      </c>
      <c r="T1199" s="72"/>
      <c r="U1199" s="72"/>
      <c r="V1199" s="72"/>
      <c r="W1199" s="219"/>
      <c r="X1199" s="63" t="str">
        <f t="shared" si="54"/>
        <v/>
      </c>
      <c r="Y1199" s="63" t="str">
        <f t="shared" si="55"/>
        <v/>
      </c>
      <c r="Z1199" s="63" t="str">
        <f t="shared" si="56"/>
        <v/>
      </c>
      <c r="AA1199" s="63" t="str">
        <f>TEXT(Table111[[#This Row],[YEAR]],"0000")&amp;"-"&amp;Table111[[#This Row],[MONTH]]</f>
        <v>-</v>
      </c>
    </row>
    <row r="1200" spans="2:27" x14ac:dyDescent="0.3">
      <c r="B1200" s="183"/>
      <c r="C1200" s="183"/>
      <c r="D1200" s="183"/>
      <c r="E1200" s="128"/>
      <c r="F1200" s="129"/>
      <c r="G1200" s="130"/>
      <c r="H1200" s="137"/>
      <c r="I1200" s="130"/>
      <c r="J1200" s="130"/>
      <c r="K1200" s="130"/>
      <c r="L1200" s="137"/>
      <c r="M1200" s="131"/>
      <c r="N1200" s="132"/>
      <c r="O1200" s="238"/>
      <c r="P1200" s="134"/>
      <c r="Q1200" s="134"/>
      <c r="R1200" s="156" t="str">
        <f>IF(Table111[[#This Row],[Qty]]="","",Table111[[#This Row],[Qty]]*Table111[[#This Row],[Unit Price]])</f>
        <v/>
      </c>
      <c r="S1200" s="156" t="str">
        <f>IF(Table111[[#This Row],[Qty]]="","",Table111[[#This Row],[Qty]]*Table111[[#This Row],[Unit Price]]+Table111[[#This Row],[Delivery Cost]])</f>
        <v/>
      </c>
      <c r="T1200" s="129"/>
      <c r="U1200" s="129"/>
      <c r="V1200" s="129"/>
      <c r="W1200" s="65"/>
      <c r="X1200" s="127" t="str">
        <f t="shared" si="54"/>
        <v/>
      </c>
      <c r="Y1200" s="127" t="str">
        <f t="shared" si="55"/>
        <v/>
      </c>
      <c r="Z1200" s="127" t="str">
        <f t="shared" si="56"/>
        <v/>
      </c>
      <c r="AA1200" s="63" t="str">
        <f>TEXT(Table111[[#This Row],[YEAR]],"0000")&amp;"-"&amp;Table111[[#This Row],[MONTH]]</f>
        <v>-</v>
      </c>
    </row>
  </sheetData>
  <phoneticPr fontId="16" type="noConversion"/>
  <conditionalFormatting sqref="J3">
    <cfRule type="expression" dxfId="22" priority="4">
      <formula>" =$J3=""INVOICE CHECKED"""</formula>
    </cfRule>
  </conditionalFormatting>
  <conditionalFormatting sqref="J619">
    <cfRule type="expression" dxfId="21" priority="3">
      <formula>$J619="INVOICE CHECKED"</formula>
    </cfRule>
  </conditionalFormatting>
  <conditionalFormatting sqref="J3:J1048576">
    <cfRule type="expression" dxfId="20" priority="1">
      <formula>$J$3</formula>
    </cfRule>
  </conditionalFormatting>
  <dataValidations count="1">
    <dataValidation type="decimal" operator="lessThanOrEqual" allowBlank="1" showInputMessage="1" showErrorMessage="1" errorTitle="Cost limit exceed" error="Delivery costs over £100 must be entered on a separate line as &quot;Logistic and Operational Cost&quot;." sqref="Q3:Q1200 P731:P732 P742" xr:uid="{D1C0C86C-5F0A-4965-BDFA-580F5ABC594A}">
      <formula1>100</formula1>
    </dataValidation>
  </dataValidations>
  <pageMargins left="0" right="0" top="0" bottom="0" header="0.31496062992125984" footer="0.31496062992125984"/>
  <pageSetup paperSize="8" scale="90" orientation="landscape" horizontalDpi="300" verticalDpi="300" r:id="rId1"/>
  <headerFooter>
    <oddHeader>&amp;L&amp;"Calibri"&amp;10&amp;K0000FF [RESTRICTED INTERNAL]&amp;1#_x000D_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Alculate">
                <anchor moveWithCells="1" sizeWithCells="1">
                  <from>
                    <xdr:col>0</xdr:col>
                    <xdr:colOff>137160</xdr:colOff>
                    <xdr:row>0</xdr:row>
                    <xdr:rowOff>99060</xdr:rowOff>
                  </from>
                  <to>
                    <xdr:col>0</xdr:col>
                    <xdr:colOff>1280160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Button 8">
              <controlPr defaultSize="0" print="0" autoFill="0" autoPict="0" macro="[0]!ClearFiltersReceiptSheet">
                <anchor moveWithCells="1" sizeWithCells="1">
                  <from>
                    <xdr:col>0</xdr:col>
                    <xdr:colOff>137160</xdr:colOff>
                    <xdr:row>0</xdr:row>
                    <xdr:rowOff>403860</xdr:rowOff>
                  </from>
                  <to>
                    <xdr:col>0</xdr:col>
                    <xdr:colOff>1264920</xdr:colOff>
                    <xdr:row>0</xdr:row>
                    <xdr:rowOff>830580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5DA1A91-EAF3-42AD-8EDB-3D2133DD75AF}">
          <x14:formula1>
            <xm:f>'CATEGORY TABLES'!$G$2:$G$22</xm:f>
          </x14:formula1>
          <xm:sqref>B3:B1200</xm:sqref>
        </x14:dataValidation>
        <x14:dataValidation type="list" allowBlank="1" showInputMessage="1" showErrorMessage="1" xr:uid="{16958022-7AC4-444D-9AA0-D9C510DA926D}">
          <x14:formula1>
            <xm:f>SUPPLIERS!$B$11:$B$100</xm:f>
          </x14:formula1>
          <xm:sqref>F3:F1200</xm:sqref>
        </x14:dataValidation>
        <x14:dataValidation type="list" allowBlank="1" showInputMessage="1" showErrorMessage="1" xr:uid="{CEDE7A7F-45E9-4077-9BC9-8721CCB29045}">
          <x14:formula1>
            <xm:f>'CATEGORY TABLES'!$I$2:$I$18</xm:f>
          </x14:formula1>
          <xm:sqref>K3:K1200 T3:T1200</xm:sqref>
        </x14:dataValidation>
        <x14:dataValidation type="list" allowBlank="1" showInputMessage="1" showErrorMessage="1" xr:uid="{A5B54A05-0E1A-4722-A382-72557D1A1ABB}">
          <x14:formula1>
            <xm:f>'CATEGORY TABLES'!$U$2:$U$6</xm:f>
          </x14:formula1>
          <xm:sqref>V3:V1200</xm:sqref>
        </x14:dataValidation>
        <x14:dataValidation type="list" allowBlank="1" showInputMessage="1" showErrorMessage="1" xr:uid="{0DD2D73F-9A38-47E4-B734-D1E779A5974A}">
          <x14:formula1>
            <xm:f>'CATEGORY TABLES'!$W$2:$W$17</xm:f>
          </x14:formula1>
          <xm:sqref>I3:I1200</xm:sqref>
        </x14:dataValidation>
        <x14:dataValidation type="list" allowBlank="1" showInputMessage="1" showErrorMessage="1" xr:uid="{0A54945B-3E9B-4DDC-AA79-E8C607005F99}">
          <x14:formula1>
            <xm:f>'CATEGORY TABLES'!$Q$2:$Q$10</xm:f>
          </x14:formula1>
          <xm:sqref>J3:J1200</xm:sqref>
        </x14:dataValidation>
        <x14:dataValidation type="list" allowBlank="1" showInputMessage="1" showErrorMessage="1" xr:uid="{47183054-D916-4830-8255-5F7ADF2FA5C1}">
          <x14:formula1>
            <xm:f>'CATEGORY TABLES'!$K$2:$K$27</xm:f>
          </x14:formula1>
          <xm:sqref>C3:C1200</xm:sqref>
        </x14:dataValidation>
        <x14:dataValidation type="list" allowBlank="1" showInputMessage="1" showErrorMessage="1" xr:uid="{56D185B7-4467-4E1E-BF6B-3045852E0138}">
          <x14:formula1>
            <xm:f>'CATEGORY TABLES'!$O$2:$O$5</xm:f>
          </x14:formula1>
          <xm:sqref>L3:L1200</xm:sqref>
        </x14:dataValidation>
        <x14:dataValidation type="list" allowBlank="1" showInputMessage="1" showErrorMessage="1" xr:uid="{F742992F-E2D4-4AA6-B259-2AA86BE14252}">
          <x14:formula1>
            <xm:f>'CATEGORY TABLES'!$E$2:$E$30</xm:f>
          </x14:formula1>
          <xm:sqref>D3:D1200</xm:sqref>
        </x14:dataValidation>
        <x14:dataValidation type="list" allowBlank="1" showInputMessage="1" showErrorMessage="1" xr:uid="{624F5A5E-39DB-4173-B265-974C6D0D5430}">
          <x14:formula1>
            <xm:f>'CATEGORY TABLES'!$S$2:$S$6</xm:f>
          </x14:formula1>
          <xm:sqref>U3:U1200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7C305-5592-42FE-A71F-0A0F072259B1}">
  <sheetPr codeName="Sheet6">
    <tabColor rgb="FF7030A0"/>
  </sheetPr>
  <dimension ref="A1:AV186"/>
  <sheetViews>
    <sheetView zoomScale="85" zoomScaleNormal="85" workbookViewId="0">
      <pane xSplit="1" ySplit="2" topLeftCell="S192" activePane="bottomRight" state="frozen"/>
      <selection activeCell="AC1" sqref="AC1"/>
      <selection pane="topRight" activeCell="AD1" sqref="AD1"/>
      <selection pane="bottomLeft" activeCell="AC3" sqref="AC3"/>
      <selection pane="bottomRight" activeCell="K108" sqref="K108"/>
    </sheetView>
  </sheetViews>
  <sheetFormatPr defaultRowHeight="14.4" x14ac:dyDescent="0.3"/>
  <cols>
    <col min="1" max="1" width="19.88671875" customWidth="1"/>
    <col min="2" max="2" width="24.44140625" customWidth="1"/>
    <col min="3" max="3" width="22.5546875" customWidth="1"/>
    <col min="4" max="4" width="30.5546875" customWidth="1"/>
    <col min="5" max="5" width="17.88671875" customWidth="1"/>
    <col min="6" max="6" width="13.109375" customWidth="1"/>
    <col min="7" max="7" width="12.33203125" customWidth="1"/>
    <col min="8" max="8" width="14" customWidth="1"/>
    <col min="9" max="9" width="34.6640625" customWidth="1"/>
    <col min="10" max="10" width="40.6640625" customWidth="1"/>
    <col min="11" max="11" width="20.6640625" customWidth="1"/>
    <col min="12" max="14" width="24" customWidth="1"/>
    <col min="15" max="16" width="16.109375" customWidth="1"/>
    <col min="17" max="17" width="14.33203125" customWidth="1"/>
    <col min="18" max="18" width="23.33203125" customWidth="1"/>
    <col min="19" max="20" width="25.33203125" customWidth="1"/>
    <col min="21" max="22" width="13.33203125" customWidth="1"/>
    <col min="23" max="23" width="11" customWidth="1"/>
    <col min="24" max="30" width="17.33203125" customWidth="1"/>
    <col min="31" max="34" width="13.33203125" customWidth="1"/>
    <col min="35" max="35" width="14" customWidth="1"/>
    <col min="36" max="36" width="10.44140625" hidden="1" customWidth="1"/>
    <col min="37" max="37" width="12.109375" hidden="1" customWidth="1"/>
    <col min="38" max="38" width="10.109375" hidden="1" customWidth="1"/>
    <col min="39" max="39" width="12.6640625" hidden="1" customWidth="1"/>
    <col min="40" max="42" width="9.109375" hidden="1" customWidth="1"/>
    <col min="43" max="43" width="12.6640625" hidden="1" customWidth="1"/>
    <col min="44" max="46" width="9.109375" hidden="1" customWidth="1"/>
    <col min="47" max="48" width="10.44140625" hidden="1" customWidth="1"/>
  </cols>
  <sheetData>
    <row r="1" spans="1:48" ht="24" customHeight="1" thickBot="1" x14ac:dyDescent="0.35">
      <c r="A1" s="150">
        <f ca="1">TODAY()</f>
        <v>46214</v>
      </c>
      <c r="B1" t="str">
        <f>'AUX. TABLE-2 MANUEL'!A2</f>
        <v>Version: v1.0</v>
      </c>
      <c r="AE1" s="171">
        <f ca="1">SUM(Table13[TOTAL HIRE COST])</f>
        <v>0</v>
      </c>
      <c r="AF1" s="171">
        <f>SUM(Table13[TOTAL HIRE WEEKLY COST])</f>
        <v>0</v>
      </c>
      <c r="AG1" s="172"/>
      <c r="AH1" s="172"/>
      <c r="AI1" s="171">
        <f ca="1">SUM(Table13[TOTAL COST])</f>
        <v>0</v>
      </c>
      <c r="AJ1" s="283" t="s">
        <v>54</v>
      </c>
      <c r="AK1" s="283"/>
      <c r="AL1" s="283"/>
      <c r="AM1" s="284"/>
      <c r="AN1" s="282" t="s">
        <v>191</v>
      </c>
      <c r="AO1" s="283"/>
      <c r="AP1" s="283"/>
      <c r="AQ1" s="284"/>
      <c r="AR1" s="282" t="s">
        <v>203</v>
      </c>
      <c r="AS1" s="283"/>
      <c r="AT1" s="283"/>
      <c r="AU1" s="284"/>
      <c r="AV1" s="178" t="s">
        <v>285</v>
      </c>
    </row>
    <row r="2" spans="1:48" ht="108.6" customHeight="1" x14ac:dyDescent="0.3">
      <c r="A2" s="181"/>
      <c r="B2" s="138" t="s">
        <v>34</v>
      </c>
      <c r="C2" s="139" t="s">
        <v>35</v>
      </c>
      <c r="D2" s="140" t="s">
        <v>36</v>
      </c>
      <c r="E2" s="141" t="s">
        <v>204</v>
      </c>
      <c r="F2" s="148" t="s">
        <v>217</v>
      </c>
      <c r="G2" s="148" t="s">
        <v>205</v>
      </c>
      <c r="H2" s="168" t="s">
        <v>224</v>
      </c>
      <c r="I2" s="142" t="s">
        <v>37</v>
      </c>
      <c r="J2" s="142" t="s">
        <v>141</v>
      </c>
      <c r="K2" s="142" t="s">
        <v>222</v>
      </c>
      <c r="L2" s="142" t="s">
        <v>223</v>
      </c>
      <c r="M2" s="142" t="s">
        <v>289</v>
      </c>
      <c r="N2" s="142" t="s">
        <v>291</v>
      </c>
      <c r="O2" s="151" t="s">
        <v>192</v>
      </c>
      <c r="P2" s="151" t="s">
        <v>193</v>
      </c>
      <c r="Q2" s="143" t="s">
        <v>194</v>
      </c>
      <c r="R2" s="28" t="s">
        <v>73</v>
      </c>
      <c r="S2" s="28" t="s">
        <v>41</v>
      </c>
      <c r="T2" s="28" t="s">
        <v>42</v>
      </c>
      <c r="U2" s="144" t="s">
        <v>44</v>
      </c>
      <c r="V2" s="144" t="s">
        <v>45</v>
      </c>
      <c r="W2" s="145" t="s">
        <v>46</v>
      </c>
      <c r="X2" s="145" t="s">
        <v>47</v>
      </c>
      <c r="Y2" s="145" t="s">
        <v>206</v>
      </c>
      <c r="Z2" s="145" t="s">
        <v>207</v>
      </c>
      <c r="AA2" s="145" t="s">
        <v>208</v>
      </c>
      <c r="AB2" s="145" t="s">
        <v>209</v>
      </c>
      <c r="AC2" s="145" t="s">
        <v>253</v>
      </c>
      <c r="AD2" s="152" t="s">
        <v>210</v>
      </c>
      <c r="AE2" s="167" t="s">
        <v>254</v>
      </c>
      <c r="AF2" s="169" t="s">
        <v>255</v>
      </c>
      <c r="AG2" s="167" t="s">
        <v>256</v>
      </c>
      <c r="AH2" s="167" t="s">
        <v>257</v>
      </c>
      <c r="AI2" s="170" t="s">
        <v>4</v>
      </c>
      <c r="AJ2" s="146" t="s">
        <v>0</v>
      </c>
      <c r="AK2" s="146" t="s">
        <v>19</v>
      </c>
      <c r="AL2" s="146" t="s">
        <v>1</v>
      </c>
      <c r="AM2" s="162" t="s">
        <v>109</v>
      </c>
      <c r="AN2" s="149" t="s">
        <v>195</v>
      </c>
      <c r="AO2" s="149" t="s">
        <v>198</v>
      </c>
      <c r="AP2" s="149" t="s">
        <v>199</v>
      </c>
      <c r="AQ2" s="161" t="s">
        <v>200</v>
      </c>
      <c r="AR2" s="142" t="s">
        <v>197</v>
      </c>
      <c r="AS2" s="142" t="s">
        <v>196</v>
      </c>
      <c r="AT2" s="142" t="s">
        <v>201</v>
      </c>
      <c r="AU2" s="163" t="s">
        <v>202</v>
      </c>
      <c r="AV2" s="179" t="s">
        <v>284</v>
      </c>
    </row>
    <row r="3" spans="1:48" x14ac:dyDescent="0.3">
      <c r="A3" s="23"/>
      <c r="E3" s="1"/>
      <c r="F3" s="1"/>
      <c r="G3" s="1"/>
      <c r="H3" s="164" t="str">
        <f>IF(E3="","",IF(G3&lt;&gt;"","OFF-HIRED","ON HIRE"))</f>
        <v/>
      </c>
      <c r="P3" s="153" t="str">
        <f>IF(O3=0,"",IF(G3&lt;&gt;"",O3,""))</f>
        <v/>
      </c>
      <c r="Q3" s="155">
        <f>IF(Table13[[#This Row],[HGVs (Collection)]]="",O3,Table13[[#This Row],[HGVs (Delivery)]]+Table13[[#This Row],[HGVs (Collection)]])</f>
        <v>0</v>
      </c>
      <c r="W3" s="153" t="str" cm="1">
        <f t="array" ref="W3">IF(Table13[[#This Row],[QUANTITY]]="","",IFERROR(IF(V3&lt;&gt;"",_xlfn.XLOOKUP(I3&amp;J3,PRICES!C:C&amp;PRICES!B:B,IF(PRICES!F:F&lt;&gt;"",PRICES!F:F,PRICES!E:E),"")),""))</f>
        <v/>
      </c>
      <c r="X3" s="154" t="str" cm="1">
        <f t="array" ref="X3">IF(Table13[[#This Row],[QUANTITY]]="","",IFERROR(IF(U3&lt;&gt;"",_xlfn.XLOOKUP(I3&amp;J3&amp;V3,PRICES!C:C&amp;PRICES!B:B&amp;PRICES!D:D,PRICES!G:G,"")),""))</f>
        <v/>
      </c>
      <c r="Y3" s="154" t="str">
        <f ca="1">IF(LOWER(W3)="hourly",IF(G3&lt;&gt;"",IF(G3&gt;=F3,FLOOR((G3-E3)*24,1),FLOOR((F3-E3)*24,1)),FLOOR((TODAY()-E3)*24,1))*U3*X3,"")</f>
        <v/>
      </c>
      <c r="Z3" s="154" t="str">
        <f ca="1">IF(LOWER(W3)="daily",IF(G3&lt;&gt;"",IF(G3&gt;=F3,(G3-E3),(F3-E3)),TODAY()-E3)*U3*X3,"")</f>
        <v/>
      </c>
      <c r="AA3" s="154" t="str">
        <f ca="1">IF(LOWER(W3)="weekly",IF(G3&lt;&gt;"",IF(G3&gt;=F3,FLOOR((G3-E3)/7,1),FLOOR((F3-E3)/7,1)),FLOOR((TODAY()-E3)/7,1))*U3*X3,"")</f>
        <v/>
      </c>
      <c r="AB3" s="154" t="str">
        <f ca="1">IF(LOWER(W3)="monthly",IF(G3&lt;&gt;"",IF(G3&gt;=F3,FLOOR((G3-E3)/30,1),FLOOR((F3-E3)/30,1)),FLOOR((TODAY()-E3)/30,1))*U3*X3,"")</f>
        <v/>
      </c>
      <c r="AC3" s="154" t="str">
        <f t="shared" ref="AC3:AC66" ca="1" si="0">IF(LOWER(W3)="yearly",
  IF(G3&lt;&gt;"",
    IF(G3&gt;=F3, FLOOR((G3-E3)/365,1), FLOOR((F3-E3)/365,1)),
    FLOOR((TODAY()-E3)/365,1)
  )*U3*V3*X3,
"")</f>
        <v/>
      </c>
      <c r="AD3" s="154" t="str">
        <f>IF(Table13[[#This Row],[QUANTITY]]="","",
  IF(AND(Y3="",Z3="",AA3="",AB3="",AC3=""),
    U3*X3,
  ""))</f>
        <v/>
      </c>
      <c r="AE3" s="154" t="str">
        <f ca="1">IF(Y3&lt;&gt;"",Y3,IF(Z3&lt;&gt;"",Z3,IF(AA3&lt;&gt;"",AA3,IF(AB3&lt;&gt;"",AB3,IF(AC3&lt;&gt;"",AC3,IF(AD3&lt;&gt;"",AD3,""))))))</f>
        <v/>
      </c>
      <c r="AF3" s="154" t="str">
        <f>IF(E3="","",
IF(OR(G3="",A$1&lt;G3),
IF(LOWER(W3)="hourly", X3*U3*8*7,
IF(LOWER(W3)="daily", X3*U3*7,
IF(LOWER(W3)="weekly", X3*U3,
IF(LOWER(W3)="monthly", X3*U3*12/52,
IF(LOWER(W3)="yearly", X3*U3/52,
IF(LOWER(W3)="one-off", X3*U3,
"")))))),
""))</f>
        <v/>
      </c>
      <c r="AG3" s="154" t="str" cm="1">
        <f t="array" aca="1" ref="AG3" ca="1">IF(Table13[[#This Row],[TOTAL HIRE COST]]="","",IFERROR(IF(U3&lt;&gt;"",_xlfn.XLOOKUP(J3&amp;I3&amp;V3,PRICES!B:B&amp;PRICES!C:C&amp;PRICES!D:D,PRICES!H:H,"")),""))</f>
        <v/>
      </c>
      <c r="AH3" s="154" t="str" cm="1">
        <f t="array" aca="1" ref="AH3" ca="1">IF(Table13[[#This Row],[TOTAL HIRE COST]]="","",IFERROR(IF(U3&lt;&gt;"",_xlfn.XLOOKUP(J3&amp;I3&amp;V3,PRICES!B:B&amp;PRICES!C:C&amp;PRICES!D:D,PRICES!I:I,"")),""))</f>
        <v/>
      </c>
      <c r="AI3" s="154" t="str">
        <f ca="1">IF(Table13[[#This Row],[TOTAL HIRE COST]]="","",Table13[[#This Row],[TOTAL HIRE COST]]+Table13[[#This Row],[DELIVERY COST]]+Table13[[#This Row],[COLLECTION COST]])</f>
        <v/>
      </c>
      <c r="AJ3" s="153" t="str">
        <f>IF(Table13[[#This Row],[Date to Hire (DH)]]="","",YEAR(Table13[[#This Row],[Date to Hire (DH)]]))</f>
        <v/>
      </c>
      <c r="AK3" s="153" t="str">
        <f>IF(Table13[[#This Row],[Date to Hire (DH)]]="","",MONTH(Table13[[#This Row],[Date to Hire (DH)]]))</f>
        <v/>
      </c>
      <c r="AL3" s="153" t="str">
        <f>IF(Table13[[#This Row],[Date to Hire (DH)]]="","",WEEKNUM(Table13[[#This Row],[Date to Hire (DH)]]))</f>
        <v/>
      </c>
      <c r="AM3" s="153" t="str">
        <f>TEXT(Table13[[#This Row],[YEAR]],"0000")&amp;"-"&amp;Table13[[#This Row],[MONTH]]</f>
        <v>-</v>
      </c>
      <c r="AN3" s="153" t="str">
        <f>IF(Table13[[#This Row],[Date of Planned Offhire (DoPO) / If Applicable]]="","",YEAR(Table13[[#This Row],[Date of Planned Offhire (DoPO) / If Applicable]]))</f>
        <v/>
      </c>
      <c r="AO3" s="153" t="str">
        <f>IF(Table13[[#This Row],[Date of Planned Offhire (DoPO) / If Applicable]]="","",MONTH(Table13[[#This Row],[Date of Planned Offhire (DoPO) / If Applicable]]))</f>
        <v/>
      </c>
      <c r="AP3" s="153" t="str">
        <f>IF(Table13[[#This Row],[Date of Planned Offhire (DoPO) / If Applicable]]="","",WEEKNUM(Table13[[#This Row],[Date of Planned Offhire (DoPO) / If Applicable]]))</f>
        <v/>
      </c>
      <c r="AQ3" s="153" t="str">
        <f>TEXT(Table13[[#This Row],[YEAR2]],"0000")&amp;"-"&amp;Table13[[#This Row],[MONTH2]]</f>
        <v>-</v>
      </c>
      <c r="AR3" s="153" t="str">
        <f>IF(Table13[[#This Row],[Actual Date to Offhire (ADtO)]]="","",YEAR(Table13[[#This Row],[Actual Date to Offhire (ADtO)]]))</f>
        <v/>
      </c>
      <c r="AS3" s="153" t="str">
        <f>IF(Table13[[#This Row],[Actual Date to Offhire (ADtO)]]="","",MONTH(Table13[[#This Row],[Actual Date to Offhire (ADtO)]]))</f>
        <v/>
      </c>
      <c r="AT3" s="153" t="str">
        <f>IF(Table13[[#This Row],[Actual Date to Offhire (ADtO)]]="","",WEEKNUM(Table13[[#This Row],[Actual Date to Offhire (ADtO)]]))</f>
        <v/>
      </c>
      <c r="AU3" s="153" t="str">
        <f>TEXT(Table13[[#This Row],[YEAR3]],"0000")&amp;"-"&amp;Table13[[#This Row],[MONTH3]]</f>
        <v>-</v>
      </c>
      <c r="AV3" s="153">
        <f>IF(E3="",0,
  IF('Delivery Report'!A$2*100+'Delivery Report'!A$5 &lt; YEAR(E3)*100+WEEKNUM(E3), 0,
    IF(OR(G3="", 'Delivery Report'!A$2*100+'Delivery Report'!A$5 &lt;= YEAR(G3)*100+WEEKNUM(G3)),
      IF(LOWER(W3)="hourly", U3*X3*56,
      IF(LOWER(W3)="daily", U3*X3*7,
      IF(LOWER(W3)="weekly", U3*X3,
      IF(LOWER(W3)="monthly", U3*X3*12/52,
      IF(LOWER(W3)="yearly", U3*X3/52,
      IF(LOWER(W3)="one-off", U3*X3,
      0)))))),
    0)))</f>
        <v>0</v>
      </c>
    </row>
    <row r="4" spans="1:48" x14ac:dyDescent="0.3">
      <c r="E4" s="1"/>
      <c r="F4" s="1"/>
      <c r="G4" s="1"/>
      <c r="H4" s="164" t="str">
        <f t="shared" ref="H4:H5" si="1">IF(E4="","",IF(G4&lt;&gt;"","OFF-HIRED","ON HIRE"))</f>
        <v/>
      </c>
      <c r="P4" s="153"/>
      <c r="Q4" s="155">
        <f>IF(Table13[[#This Row],[HGVs (Collection)]]="",O4,Table13[[#This Row],[HGVs (Delivery)]]+Table13[[#This Row],[HGVs (Collection)]])</f>
        <v>0</v>
      </c>
      <c r="W4" s="153" t="str" cm="1">
        <f t="array" ref="W4">IF(Table13[[#This Row],[QUANTITY]]="","",IFERROR(IF(V4&lt;&gt;"",_xlfn.XLOOKUP(I4&amp;J4,PRICES!C:C&amp;PRICES!B:B,IF(PRICES!F:F&lt;&gt;"",PRICES!F:F,PRICES!E:E),"")),""))</f>
        <v/>
      </c>
      <c r="X4" s="154" t="str" cm="1">
        <f t="array" ref="X4">IF(Table13[[#This Row],[QUANTITY]]="","",IFERROR(IF(U4&lt;&gt;"",_xlfn.XLOOKUP(I4&amp;J4&amp;V4,PRICES!C:C&amp;PRICES!B:B&amp;PRICES!D:D,PRICES!G:G,"")),""))</f>
        <v/>
      </c>
      <c r="Y4" s="154" t="str">
        <f t="shared" ref="Y4:Y67" ca="1" si="2">IF(LOWER(W4)="hourly",IF(G4&lt;&gt;"",IF(G4&gt;=F4,FLOOR((G4-E4)*24,1),FLOOR((F4-E4)*24,1)),FLOOR((TODAY()-E4)*24,1))*U4*X4,"")</f>
        <v/>
      </c>
      <c r="Z4" s="154" t="str">
        <f t="shared" ref="Z4:Z67" ca="1" si="3">IF(LOWER(W4)="daily",IF(G4&lt;&gt;"",IF(G4&gt;=F4,(G4-E4),(F4-E4)),TODAY()-E4)*U4*X4,"")</f>
        <v/>
      </c>
      <c r="AA4" s="154" t="str">
        <f t="shared" ref="AA4:AA67" ca="1" si="4">IF(LOWER(W4)="weekly",IF(G4&lt;&gt;"",IF(G4&gt;=F4,FLOOR((G4-E4)/7,1),FLOOR((F4-E4)/7,1)),FLOOR((TODAY()-E4)/7,1))*U4*X4,"")</f>
        <v/>
      </c>
      <c r="AB4" s="154" t="str">
        <f t="shared" ref="AB4:AB67" ca="1" si="5">IF(LOWER(W4)="monthly",IF(G4&lt;&gt;"",IF(G4&gt;=F4,FLOOR((G4-E4)/30,1),FLOOR((F4-E4)/30,1)),FLOOR((TODAY()-E4)/30,1))*U4*X4,"")</f>
        <v/>
      </c>
      <c r="AC4" s="154" t="str">
        <f t="shared" ca="1" si="0"/>
        <v/>
      </c>
      <c r="AD4" s="154" t="str">
        <f>IF(Table13[[#This Row],[QUANTITY]]="","",
  IF(AND(Y4="",Z4="",AA4="",AB4="",AC4=""),
    U4*X4,
  ""))</f>
        <v/>
      </c>
      <c r="AE4" s="154" t="str">
        <f t="shared" ref="AE4:AE67" ca="1" si="6">IF(Y4&lt;&gt;"",Y4,IF(Z4&lt;&gt;"",Z4,IF(AA4&lt;&gt;"",AA4,IF(AB4&lt;&gt;"",AB4,IF(AC4&lt;&gt;"",AC4,IF(AD4&lt;&gt;"",AD4,""))))))</f>
        <v/>
      </c>
      <c r="AF4" s="154" t="str">
        <f t="shared" ref="AF4:AF67" si="7">IF(E4="","",
IF(OR(G4="",A$1&lt;G4),
IF(LOWER(W4)="hourly", X4*U4*8*7,
IF(LOWER(W4)="daily", X4*U4*7,
IF(LOWER(W4)="weekly", X4*U4,
IF(LOWER(W4)="monthly", X4*U4*12/52,
IF(LOWER(W4)="yearly", X4*U4/52,
IF(LOWER(W4)="one-off", X4*U4,
"")))))),
""))</f>
        <v/>
      </c>
      <c r="AG4" s="154" t="str" cm="1">
        <f t="array" aca="1" ref="AG4" ca="1">IF(Table13[[#This Row],[TOTAL HIRE COST]]="","",IFERROR(IF(U4&lt;&gt;"",_xlfn.XLOOKUP(J4&amp;I4&amp;V4,PRICES!B:B&amp;PRICES!C:C&amp;PRICES!D:D,PRICES!H:H,"")),""))</f>
        <v/>
      </c>
      <c r="AH4" s="154" t="str" cm="1">
        <f t="array" aca="1" ref="AH4" ca="1">IF(Table13[[#This Row],[TOTAL HIRE COST]]="","",IFERROR(IF(U4&lt;&gt;"",_xlfn.XLOOKUP(J4&amp;I4&amp;V4,PRICES!B:B&amp;PRICES!C:C&amp;PRICES!D:D,PRICES!I:I,"")),""))</f>
        <v/>
      </c>
      <c r="AI4" s="154" t="str">
        <f ca="1">IF(Table13[[#This Row],[TOTAL HIRE COST]]="","",Table13[[#This Row],[TOTAL HIRE COST]]+Table13[[#This Row],[DELIVERY COST]]+Table13[[#This Row],[COLLECTION COST]])</f>
        <v/>
      </c>
      <c r="AJ4" s="153" t="str">
        <f>IF(Table13[[#This Row],[Date to Hire (DH)]]="","",YEAR(Table13[[#This Row],[Date to Hire (DH)]]))</f>
        <v/>
      </c>
      <c r="AK4" s="153" t="str">
        <f>IF(Table13[[#This Row],[Date to Hire (DH)]]="","",MONTH(Table13[[#This Row],[Date to Hire (DH)]]))</f>
        <v/>
      </c>
      <c r="AL4" s="153" t="str">
        <f>IF(Table13[[#This Row],[Date to Hire (DH)]]="","",WEEKNUM(Table13[[#This Row],[Date to Hire (DH)]]))</f>
        <v/>
      </c>
      <c r="AM4" s="153" t="str">
        <f>TEXT(Table13[[#This Row],[YEAR]],"0000")&amp;"-"&amp;Table13[[#This Row],[MONTH]]</f>
        <v>-</v>
      </c>
      <c r="AN4" s="153" t="str">
        <f>IF(Table13[[#This Row],[Date of Planned Offhire (DoPO) / If Applicable]]="","",YEAR(Table13[[#This Row],[Date of Planned Offhire (DoPO) / If Applicable]]))</f>
        <v/>
      </c>
      <c r="AO4" s="153" t="str">
        <f>IF(Table13[[#This Row],[Date of Planned Offhire (DoPO) / If Applicable]]="","",MONTH(Table13[[#This Row],[Date of Planned Offhire (DoPO) / If Applicable]]))</f>
        <v/>
      </c>
      <c r="AP4" s="153" t="str">
        <f>IF(Table13[[#This Row],[Date of Planned Offhire (DoPO) / If Applicable]]="","",WEEKNUM(Table13[[#This Row],[Date of Planned Offhire (DoPO) / If Applicable]]))</f>
        <v/>
      </c>
      <c r="AQ4" s="153" t="str">
        <f>TEXT(Table13[[#This Row],[YEAR2]],"0000")&amp;"-"&amp;Table13[[#This Row],[MONTH2]]</f>
        <v>-</v>
      </c>
      <c r="AR4" s="153" t="str">
        <f>IF(Table13[[#This Row],[Actual Date to Offhire (ADtO)]]="","",YEAR(Table13[[#This Row],[Actual Date to Offhire (ADtO)]]))</f>
        <v/>
      </c>
      <c r="AS4" s="153" t="str">
        <f>IF(Table13[[#This Row],[Actual Date to Offhire (ADtO)]]="","",MONTH(Table13[[#This Row],[Actual Date to Offhire (ADtO)]]))</f>
        <v/>
      </c>
      <c r="AT4" s="153" t="str">
        <f>IF(Table13[[#This Row],[Actual Date to Offhire (ADtO)]]="","",WEEKNUM(Table13[[#This Row],[Actual Date to Offhire (ADtO)]]))</f>
        <v/>
      </c>
      <c r="AU4" s="153" t="str">
        <f>TEXT(Table13[[#This Row],[YEAR3]],"0000")&amp;"-"&amp;Table13[[#This Row],[MONTH3]]</f>
        <v>-</v>
      </c>
      <c r="AV4" s="153">
        <f>IF(E4="",0,
  IF('Delivery Report'!A$2*100+'Delivery Report'!A$5 &lt; YEAR(E4)*100+WEEKNUM(E4), 0,
    IF(OR(G4="", 'Delivery Report'!A$2*100+'Delivery Report'!A$5 &lt;= YEAR(G4)*100+WEEKNUM(G4)),
      IF(LOWER(W4)="hourly", U4*X4*56,
      IF(LOWER(W4)="daily", U4*X4*7,
      IF(LOWER(W4)="weekly", U4*X4,
      IF(LOWER(W4)="monthly", U4*X4*12/52,
      IF(LOWER(W4)="yearly", U4*X4/52,
      IF(LOWER(W4)="one-off", U4*X4,
      0)))))),
    0)))</f>
        <v>0</v>
      </c>
    </row>
    <row r="5" spans="1:48" x14ac:dyDescent="0.3">
      <c r="E5" s="1"/>
      <c r="F5" s="1"/>
      <c r="G5" s="1"/>
      <c r="H5" s="164" t="str">
        <f t="shared" si="1"/>
        <v/>
      </c>
      <c r="P5" s="153" t="str">
        <f t="shared" ref="P5:P16" si="8">IF(O5=0,"",IF(G5&lt;&gt;"",O5,""))</f>
        <v/>
      </c>
      <c r="Q5" s="155">
        <f>IF(Table13[[#This Row],[HGVs (Collection)]]="",O5,Table13[[#This Row],[HGVs (Delivery)]]+Table13[[#This Row],[HGVs (Collection)]])</f>
        <v>0</v>
      </c>
      <c r="W5" s="153" t="str" cm="1">
        <f t="array" ref="W5">IF(Table13[[#This Row],[QUANTITY]]="","",IFERROR(IF(V5&lt;&gt;"",_xlfn.XLOOKUP(I5&amp;J5,PRICES!C:C&amp;PRICES!B:B,IF(PRICES!F:F&lt;&gt;"",PRICES!F:F,PRICES!E:E),"")),""))</f>
        <v/>
      </c>
      <c r="X5" s="154" t="str" cm="1">
        <f t="array" ref="X5">IF(Table13[[#This Row],[QUANTITY]]="","",IFERROR(IF(U5&lt;&gt;"",_xlfn.XLOOKUP(I5&amp;J5&amp;V5,PRICES!C:C&amp;PRICES!B:B&amp;PRICES!D:D,PRICES!G:G,"")),""))</f>
        <v/>
      </c>
      <c r="Y5" s="154" t="str">
        <f t="shared" ca="1" si="2"/>
        <v/>
      </c>
      <c r="Z5" s="154" t="str">
        <f t="shared" ca="1" si="3"/>
        <v/>
      </c>
      <c r="AA5" s="154" t="str">
        <f t="shared" ca="1" si="4"/>
        <v/>
      </c>
      <c r="AB5" s="154" t="str">
        <f t="shared" ca="1" si="5"/>
        <v/>
      </c>
      <c r="AC5" s="154" t="str">
        <f t="shared" ca="1" si="0"/>
        <v/>
      </c>
      <c r="AD5" s="154" t="str">
        <f>IF(Table13[[#This Row],[QUANTITY]]="","",
  IF(AND(Y5="",Z5="",AA5="",AB5="",AC5=""),
    U5*X5,
  ""))</f>
        <v/>
      </c>
      <c r="AE5" s="154" t="str">
        <f t="shared" ca="1" si="6"/>
        <v/>
      </c>
      <c r="AF5" s="154" t="str">
        <f t="shared" si="7"/>
        <v/>
      </c>
      <c r="AG5" s="154" t="str" cm="1">
        <f t="array" aca="1" ref="AG5" ca="1">IF(Table13[[#This Row],[TOTAL HIRE COST]]="","",IFERROR(IF(U5&lt;&gt;"",_xlfn.XLOOKUP(J5&amp;I5&amp;V5,PRICES!B:B&amp;PRICES!C:C&amp;PRICES!D:D,PRICES!H:H,"")),""))</f>
        <v/>
      </c>
      <c r="AH5" s="154" t="str" cm="1">
        <f t="array" aca="1" ref="AH5" ca="1">IF(Table13[[#This Row],[TOTAL HIRE COST]]="","",IFERROR(IF(U5&lt;&gt;"",_xlfn.XLOOKUP(J5&amp;I5&amp;V5,PRICES!B:B&amp;PRICES!C:C&amp;PRICES!D:D,PRICES!I:I,"")),""))</f>
        <v/>
      </c>
      <c r="AI5" s="154" t="str">
        <f ca="1">IF(Table13[[#This Row],[TOTAL HIRE COST]]="","",Table13[[#This Row],[TOTAL HIRE COST]]+Table13[[#This Row],[DELIVERY COST]]+Table13[[#This Row],[COLLECTION COST]])</f>
        <v/>
      </c>
      <c r="AJ5" s="153" t="str">
        <f>IF(Table13[[#This Row],[Date to Hire (DH)]]="","",YEAR(Table13[[#This Row],[Date to Hire (DH)]]))</f>
        <v/>
      </c>
      <c r="AK5" s="153" t="str">
        <f>IF(Table13[[#This Row],[Date to Hire (DH)]]="","",MONTH(Table13[[#This Row],[Date to Hire (DH)]]))</f>
        <v/>
      </c>
      <c r="AL5" s="153" t="str">
        <f>IF(Table13[[#This Row],[Date to Hire (DH)]]="","",WEEKNUM(Table13[[#This Row],[Date to Hire (DH)]]))</f>
        <v/>
      </c>
      <c r="AM5" s="153" t="str">
        <f>TEXT(Table13[[#This Row],[YEAR]],"0000")&amp;"-"&amp;Table13[[#This Row],[MONTH]]</f>
        <v>-</v>
      </c>
      <c r="AN5" s="153" t="str">
        <f>IF(Table13[[#This Row],[Date of Planned Offhire (DoPO) / If Applicable]]="","",YEAR(Table13[[#This Row],[Date of Planned Offhire (DoPO) / If Applicable]]))</f>
        <v/>
      </c>
      <c r="AO5" s="153" t="str">
        <f>IF(Table13[[#This Row],[Date of Planned Offhire (DoPO) / If Applicable]]="","",MONTH(Table13[[#This Row],[Date of Planned Offhire (DoPO) / If Applicable]]))</f>
        <v/>
      </c>
      <c r="AP5" s="153" t="str">
        <f>IF(Table13[[#This Row],[Date of Planned Offhire (DoPO) / If Applicable]]="","",WEEKNUM(Table13[[#This Row],[Date of Planned Offhire (DoPO) / If Applicable]]))</f>
        <v/>
      </c>
      <c r="AQ5" s="153" t="str">
        <f>TEXT(Table13[[#This Row],[YEAR2]],"0000")&amp;"-"&amp;Table13[[#This Row],[MONTH2]]</f>
        <v>-</v>
      </c>
      <c r="AR5" s="153" t="str">
        <f>IF(Table13[[#This Row],[Actual Date to Offhire (ADtO)]]="","",YEAR(Table13[[#This Row],[Actual Date to Offhire (ADtO)]]))</f>
        <v/>
      </c>
      <c r="AS5" s="153" t="str">
        <f>IF(Table13[[#This Row],[Actual Date to Offhire (ADtO)]]="","",MONTH(Table13[[#This Row],[Actual Date to Offhire (ADtO)]]))</f>
        <v/>
      </c>
      <c r="AT5" s="153" t="str">
        <f>IF(Table13[[#This Row],[Actual Date to Offhire (ADtO)]]="","",WEEKNUM(Table13[[#This Row],[Actual Date to Offhire (ADtO)]]))</f>
        <v/>
      </c>
      <c r="AU5" s="153" t="str">
        <f>TEXT(Table13[[#This Row],[YEAR3]],"0000")&amp;"-"&amp;Table13[[#This Row],[MONTH3]]</f>
        <v>-</v>
      </c>
      <c r="AV5" s="153">
        <f>IF(E5="",0,
  IF('Delivery Report'!A$2*100+'Delivery Report'!A$5 &lt; YEAR(E5)*100+WEEKNUM(E5), 0,
    IF(OR(G5="", 'Delivery Report'!A$2*100+'Delivery Report'!A$5 &lt;= YEAR(G5)*100+WEEKNUM(G5)),
      IF(LOWER(W5)="hourly", U5*X5*56,
      IF(LOWER(W5)="daily", U5*X5*7,
      IF(LOWER(W5)="weekly", U5*X5,
      IF(LOWER(W5)="monthly", U5*X5*12/52,
      IF(LOWER(W5)="yearly", U5*X5/52,
      IF(LOWER(W5)="one-off", U5*X5,
      0)))))),
    0)))</f>
        <v>0</v>
      </c>
    </row>
    <row r="6" spans="1:48" x14ac:dyDescent="0.3">
      <c r="E6" s="1"/>
      <c r="F6" s="1"/>
      <c r="G6" s="177"/>
      <c r="H6" s="164" t="str">
        <f t="shared" ref="H6:H8" si="9">IF(E6="","",IF(G6&lt;&gt;"","OFF-HIRED","ON HIRE"))</f>
        <v/>
      </c>
      <c r="P6" s="153" t="str">
        <f t="shared" si="8"/>
        <v/>
      </c>
      <c r="Q6" s="155">
        <f>IF(Table13[[#This Row],[HGVs (Collection)]]="",O6,Table13[[#This Row],[HGVs (Delivery)]]+Table13[[#This Row],[HGVs (Collection)]])</f>
        <v>0</v>
      </c>
      <c r="W6" s="153" t="str" cm="1">
        <f t="array" ref="W6">IF(Table13[[#This Row],[QUANTITY]]="","",IFERROR(IF(V6&lt;&gt;"",_xlfn.XLOOKUP(I6&amp;J6,PRICES!C:C&amp;PRICES!B:B,IF(PRICES!F:F&lt;&gt;"",PRICES!F:F,PRICES!E:E),"")),""))</f>
        <v/>
      </c>
      <c r="X6" s="154" t="str" cm="1">
        <f t="array" ref="X6">IF(Table13[[#This Row],[QUANTITY]]="","",IFERROR(IF(U6&lt;&gt;"",_xlfn.XLOOKUP(I6&amp;J6&amp;V6,PRICES!C:C&amp;PRICES!B:B&amp;PRICES!D:D,PRICES!G:G,"")),""))</f>
        <v/>
      </c>
      <c r="Y6" s="154" t="str">
        <f t="shared" ca="1" si="2"/>
        <v/>
      </c>
      <c r="Z6" s="154" t="str">
        <f t="shared" ca="1" si="3"/>
        <v/>
      </c>
      <c r="AA6" s="154" t="str">
        <f t="shared" ca="1" si="4"/>
        <v/>
      </c>
      <c r="AB6" s="154" t="str">
        <f t="shared" ca="1" si="5"/>
        <v/>
      </c>
      <c r="AC6" s="154" t="str">
        <f t="shared" ca="1" si="0"/>
        <v/>
      </c>
      <c r="AD6" s="154" t="str">
        <f>IF(Table13[[#This Row],[QUANTITY]]="","",
  IF(AND(Y6="",Z6="",AA6="",AB6="",AC6=""),
    U6*X6,
  ""))</f>
        <v/>
      </c>
      <c r="AE6" s="154" t="str">
        <f t="shared" ca="1" si="6"/>
        <v/>
      </c>
      <c r="AF6" s="154" t="str">
        <f t="shared" si="7"/>
        <v/>
      </c>
      <c r="AG6" s="154" t="str" cm="1">
        <f t="array" aca="1" ref="AG6" ca="1">IF(Table13[[#This Row],[TOTAL HIRE COST]]="","",IFERROR(IF(U6&lt;&gt;"",_xlfn.XLOOKUP(J6&amp;I6&amp;V6,PRICES!B:B&amp;PRICES!C:C&amp;PRICES!D:D,PRICES!H:H,"")),""))</f>
        <v/>
      </c>
      <c r="AH6" s="154" t="str" cm="1">
        <f t="array" aca="1" ref="AH6" ca="1">IF(Table13[[#This Row],[TOTAL HIRE COST]]="","",IFERROR(IF(U6&lt;&gt;"",_xlfn.XLOOKUP(J6&amp;I6&amp;V6,PRICES!B:B&amp;PRICES!C:C&amp;PRICES!D:D,PRICES!I:I,"")),""))</f>
        <v/>
      </c>
      <c r="AI6" s="154" t="str">
        <f ca="1">IF(Table13[[#This Row],[TOTAL HIRE COST]]="","",Table13[[#This Row],[TOTAL HIRE COST]]+Table13[[#This Row],[DELIVERY COST]]+Table13[[#This Row],[COLLECTION COST]])</f>
        <v/>
      </c>
      <c r="AJ6" s="153" t="str">
        <f>IF(Table13[[#This Row],[Date to Hire (DH)]]="","",YEAR(Table13[[#This Row],[Date to Hire (DH)]]))</f>
        <v/>
      </c>
      <c r="AK6" s="153" t="str">
        <f>IF(Table13[[#This Row],[Date to Hire (DH)]]="","",MONTH(Table13[[#This Row],[Date to Hire (DH)]]))</f>
        <v/>
      </c>
      <c r="AL6" s="153" t="str">
        <f>IF(Table13[[#This Row],[Date to Hire (DH)]]="","",WEEKNUM(Table13[[#This Row],[Date to Hire (DH)]]))</f>
        <v/>
      </c>
      <c r="AM6" s="153" t="str">
        <f>TEXT(Table13[[#This Row],[YEAR]],"0000")&amp;"-"&amp;Table13[[#This Row],[MONTH]]</f>
        <v>-</v>
      </c>
      <c r="AN6" s="153" t="str">
        <f>IF(Table13[[#This Row],[Date of Planned Offhire (DoPO) / If Applicable]]="","",YEAR(Table13[[#This Row],[Date of Planned Offhire (DoPO) / If Applicable]]))</f>
        <v/>
      </c>
      <c r="AO6" s="153" t="str">
        <f>IF(Table13[[#This Row],[Date of Planned Offhire (DoPO) / If Applicable]]="","",MONTH(Table13[[#This Row],[Date of Planned Offhire (DoPO) / If Applicable]]))</f>
        <v/>
      </c>
      <c r="AP6" s="153" t="str">
        <f>IF(Table13[[#This Row],[Date of Planned Offhire (DoPO) / If Applicable]]="","",WEEKNUM(Table13[[#This Row],[Date of Planned Offhire (DoPO) / If Applicable]]))</f>
        <v/>
      </c>
      <c r="AQ6" s="153" t="str">
        <f>TEXT(Table13[[#This Row],[YEAR2]],"0000")&amp;"-"&amp;Table13[[#This Row],[MONTH2]]</f>
        <v>-</v>
      </c>
      <c r="AR6" s="153" t="str">
        <f>IF(Table13[[#This Row],[Actual Date to Offhire (ADtO)]]="","",YEAR(Table13[[#This Row],[Actual Date to Offhire (ADtO)]]))</f>
        <v/>
      </c>
      <c r="AS6" s="153" t="str">
        <f>IF(Table13[[#This Row],[Actual Date to Offhire (ADtO)]]="","",MONTH(Table13[[#This Row],[Actual Date to Offhire (ADtO)]]))</f>
        <v/>
      </c>
      <c r="AT6" s="153" t="str">
        <f>IF(Table13[[#This Row],[Actual Date to Offhire (ADtO)]]="","",WEEKNUM(Table13[[#This Row],[Actual Date to Offhire (ADtO)]]))</f>
        <v/>
      </c>
      <c r="AU6" s="153" t="str">
        <f>TEXT(Table13[[#This Row],[YEAR3]],"0000")&amp;"-"&amp;Table13[[#This Row],[MONTH3]]</f>
        <v>-</v>
      </c>
      <c r="AV6" s="153">
        <f>IF(E6="",0,
  IF('Delivery Report'!A$2*100+'Delivery Report'!A$5 &lt; YEAR(E6)*100+WEEKNUM(E6), 0,
    IF(OR(G6="", 'Delivery Report'!A$2*100+'Delivery Report'!A$5 &lt;= YEAR(G6)*100+WEEKNUM(G6)),
      IF(LOWER(W6)="hourly", U6*X6*56,
      IF(LOWER(W6)="daily", U6*X6*7,
      IF(LOWER(W6)="weekly", U6*X6,
      IF(LOWER(W6)="monthly", U6*X6*12/52,
      IF(LOWER(W6)="yearly", U6*X6/52,
      IF(LOWER(W6)="one-off", U6*X6,
      0)))))),
    0)))</f>
        <v>0</v>
      </c>
    </row>
    <row r="7" spans="1:48" x14ac:dyDescent="0.3">
      <c r="A7" s="24"/>
      <c r="E7" s="1"/>
      <c r="F7" s="1"/>
      <c r="G7" s="1"/>
      <c r="H7" s="164" t="str">
        <f t="shared" si="9"/>
        <v/>
      </c>
      <c r="P7" s="153" t="str">
        <f t="shared" si="8"/>
        <v/>
      </c>
      <c r="Q7" s="155">
        <f>IF(Table13[[#This Row],[HGVs (Collection)]]="",O7,Table13[[#This Row],[HGVs (Delivery)]]+Table13[[#This Row],[HGVs (Collection)]])</f>
        <v>0</v>
      </c>
      <c r="W7" s="153" t="str" cm="1">
        <f t="array" ref="W7">IF(Table13[[#This Row],[QUANTITY]]="","",IFERROR(IF(V7&lt;&gt;"",_xlfn.XLOOKUP(I7&amp;J7,PRICES!C:C&amp;PRICES!B:B,IF(PRICES!F:F&lt;&gt;"",PRICES!F:F,PRICES!E:E),"")),""))</f>
        <v/>
      </c>
      <c r="X7" s="154" t="str" cm="1">
        <f t="array" ref="X7">IF(Table13[[#This Row],[QUANTITY]]="","",IFERROR(IF(U7&lt;&gt;"",_xlfn.XLOOKUP(I7&amp;J7&amp;V7,PRICES!C:C&amp;PRICES!B:B&amp;PRICES!D:D,PRICES!G:G,"")),""))</f>
        <v/>
      </c>
      <c r="Y7" s="154" t="str">
        <f t="shared" ca="1" si="2"/>
        <v/>
      </c>
      <c r="Z7" s="154" t="str">
        <f t="shared" ca="1" si="3"/>
        <v/>
      </c>
      <c r="AA7" s="154" t="str">
        <f t="shared" ca="1" si="4"/>
        <v/>
      </c>
      <c r="AB7" s="154" t="str">
        <f t="shared" ca="1" si="5"/>
        <v/>
      </c>
      <c r="AC7" s="154" t="str">
        <f t="shared" ca="1" si="0"/>
        <v/>
      </c>
      <c r="AD7" s="154" t="str">
        <f>IF(Table13[[#This Row],[QUANTITY]]="","",
  IF(AND(Y7="",Z7="",AA7="",AB7="",AC7=""),
    U7*X7,
  ""))</f>
        <v/>
      </c>
      <c r="AE7" s="154" t="str">
        <f t="shared" ca="1" si="6"/>
        <v/>
      </c>
      <c r="AF7" s="154" t="str">
        <f t="shared" si="7"/>
        <v/>
      </c>
      <c r="AG7" s="154" t="str" cm="1">
        <f t="array" aca="1" ref="AG7" ca="1">IF(Table13[[#This Row],[TOTAL HIRE COST]]="","",IFERROR(IF(U7&lt;&gt;"",_xlfn.XLOOKUP(J7&amp;I7&amp;V7,PRICES!B:B&amp;PRICES!C:C&amp;PRICES!D:D,PRICES!H:H,"")),""))</f>
        <v/>
      </c>
      <c r="AH7" s="154" t="str" cm="1">
        <f t="array" aca="1" ref="AH7" ca="1">IF(Table13[[#This Row],[TOTAL HIRE COST]]="","",IFERROR(IF(U7&lt;&gt;"",_xlfn.XLOOKUP(J7&amp;I7&amp;V7,PRICES!B:B&amp;PRICES!C:C&amp;PRICES!D:D,PRICES!I:I,"")),""))</f>
        <v/>
      </c>
      <c r="AI7" s="154" t="str">
        <f ca="1">IF(Table13[[#This Row],[TOTAL HIRE COST]]="","",Table13[[#This Row],[TOTAL HIRE COST]]+Table13[[#This Row],[DELIVERY COST]]+Table13[[#This Row],[COLLECTION COST]])</f>
        <v/>
      </c>
      <c r="AJ7" s="153" t="str">
        <f>IF(Table13[[#This Row],[Date to Hire (DH)]]="","",YEAR(Table13[[#This Row],[Date to Hire (DH)]]))</f>
        <v/>
      </c>
      <c r="AK7" s="153" t="str">
        <f>IF(Table13[[#This Row],[Date to Hire (DH)]]="","",MONTH(Table13[[#This Row],[Date to Hire (DH)]]))</f>
        <v/>
      </c>
      <c r="AL7" s="153" t="str">
        <f>IF(Table13[[#This Row],[Date to Hire (DH)]]="","",WEEKNUM(Table13[[#This Row],[Date to Hire (DH)]]))</f>
        <v/>
      </c>
      <c r="AM7" s="153" t="str">
        <f>TEXT(Table13[[#This Row],[YEAR]],"0000")&amp;"-"&amp;Table13[[#This Row],[MONTH]]</f>
        <v>-</v>
      </c>
      <c r="AN7" s="153" t="str">
        <f>IF(Table13[[#This Row],[Date of Planned Offhire (DoPO) / If Applicable]]="","",YEAR(Table13[[#This Row],[Date of Planned Offhire (DoPO) / If Applicable]]))</f>
        <v/>
      </c>
      <c r="AO7" s="153" t="str">
        <f>IF(Table13[[#This Row],[Date of Planned Offhire (DoPO) / If Applicable]]="","",MONTH(Table13[[#This Row],[Date of Planned Offhire (DoPO) / If Applicable]]))</f>
        <v/>
      </c>
      <c r="AP7" s="153" t="str">
        <f>IF(Table13[[#This Row],[Date of Planned Offhire (DoPO) / If Applicable]]="","",WEEKNUM(Table13[[#This Row],[Date of Planned Offhire (DoPO) / If Applicable]]))</f>
        <v/>
      </c>
      <c r="AQ7" s="153" t="str">
        <f>TEXT(Table13[[#This Row],[YEAR2]],"0000")&amp;"-"&amp;Table13[[#This Row],[MONTH2]]</f>
        <v>-</v>
      </c>
      <c r="AR7" s="153" t="str">
        <f>IF(Table13[[#This Row],[Actual Date to Offhire (ADtO)]]="","",YEAR(Table13[[#This Row],[Actual Date to Offhire (ADtO)]]))</f>
        <v/>
      </c>
      <c r="AS7" s="153" t="str">
        <f>IF(Table13[[#This Row],[Actual Date to Offhire (ADtO)]]="","",MONTH(Table13[[#This Row],[Actual Date to Offhire (ADtO)]]))</f>
        <v/>
      </c>
      <c r="AT7" s="153" t="str">
        <f>IF(Table13[[#This Row],[Actual Date to Offhire (ADtO)]]="","",WEEKNUM(Table13[[#This Row],[Actual Date to Offhire (ADtO)]]))</f>
        <v/>
      </c>
      <c r="AU7" s="153" t="str">
        <f>TEXT(Table13[[#This Row],[YEAR3]],"0000")&amp;"-"&amp;Table13[[#This Row],[MONTH3]]</f>
        <v>-</v>
      </c>
      <c r="AV7" s="153">
        <f>IF(E7="",0,
  IF('Delivery Report'!A$2*100+'Delivery Report'!A$5 &lt; YEAR(E7)*100+WEEKNUM(E7), 0,
    IF(OR(G7="", 'Delivery Report'!A$2*100+'Delivery Report'!A$5 &lt;= YEAR(G7)*100+WEEKNUM(G7)),
      IF(LOWER(W7)="hourly", U7*X7*56,
      IF(LOWER(W7)="daily", U7*X7*7,
      IF(LOWER(W7)="weekly", U7*X7,
      IF(LOWER(W7)="monthly", U7*X7*12/52,
      IF(LOWER(W7)="yearly", U7*X7/52,
      IF(LOWER(W7)="one-off", U7*X7,
      0)))))),
    0)))</f>
        <v>0</v>
      </c>
    </row>
    <row r="8" spans="1:48" s="22" customFormat="1" x14ac:dyDescent="0.3">
      <c r="A8" s="180"/>
      <c r="B8"/>
      <c r="C8"/>
      <c r="D8"/>
      <c r="E8" s="1"/>
      <c r="F8" s="1"/>
      <c r="G8" s="1"/>
      <c r="H8" s="164" t="str">
        <f t="shared" si="9"/>
        <v/>
      </c>
      <c r="I8"/>
      <c r="J8"/>
      <c r="K8"/>
      <c r="L8"/>
      <c r="M8"/>
      <c r="N8"/>
      <c r="O8"/>
      <c r="P8" s="153" t="str">
        <f t="shared" si="8"/>
        <v/>
      </c>
      <c r="Q8" s="155">
        <f>IF(Table13[[#This Row],[HGVs (Collection)]]="",O8,Table13[[#This Row],[HGVs (Delivery)]]+Table13[[#This Row],[HGVs (Collection)]])</f>
        <v>0</v>
      </c>
      <c r="S8"/>
      <c r="T8"/>
      <c r="U8" s="176"/>
      <c r="V8" s="176"/>
      <c r="W8" s="153" t="str" cm="1">
        <f t="array" ref="W8">IF(Table13[[#This Row],[QUANTITY]]="","",IFERROR(IF(V8&lt;&gt;"",_xlfn.XLOOKUP(I8&amp;J8,PRICES!C:C&amp;PRICES!B:B,IF(PRICES!F:F&lt;&gt;"",PRICES!F:F,PRICES!E:E),"")),""))</f>
        <v/>
      </c>
      <c r="X8" s="154" t="str" cm="1">
        <f t="array" ref="X8">IF(Table13[[#This Row],[QUANTITY]]="","",IFERROR(IF(U8&lt;&gt;"",_xlfn.XLOOKUP(I8&amp;J8&amp;V8,PRICES!C:C&amp;PRICES!B:B&amp;PRICES!D:D,PRICES!G:G,"")),""))</f>
        <v/>
      </c>
      <c r="Y8" s="154" t="str">
        <f t="shared" ca="1" si="2"/>
        <v/>
      </c>
      <c r="Z8" s="154" t="str">
        <f t="shared" ca="1" si="3"/>
        <v/>
      </c>
      <c r="AA8" s="154" t="str">
        <f t="shared" ca="1" si="4"/>
        <v/>
      </c>
      <c r="AB8" s="154" t="str">
        <f t="shared" ca="1" si="5"/>
        <v/>
      </c>
      <c r="AC8" s="154" t="str">
        <f ca="1">IF(LOWER(W8)="yearly",
  IF(G8&lt;&gt;"",
    IF(G8&gt;=F8, FLOOR((G8-E8)/365,1), FLOOR((F8-E8)/365,1)),
    FLOOR((TODAY()-E8)/365,1)
  )*U8*V8*X8,
"")</f>
        <v/>
      </c>
      <c r="AD8" s="154" t="str">
        <f>IF(Table13[[#This Row],[QUANTITY]]="","",
  IF(AND(Y8="",Z8="",AA8="",AB8="",AC8=""),
    U8*X8,
  ""))</f>
        <v/>
      </c>
      <c r="AE8" s="154" t="str">
        <f t="shared" ca="1" si="6"/>
        <v/>
      </c>
      <c r="AF8" s="154" t="str">
        <f t="shared" si="7"/>
        <v/>
      </c>
      <c r="AG8" s="154" t="str" cm="1">
        <f t="array" aca="1" ref="AG8" ca="1">IF(Table13[[#This Row],[TOTAL HIRE COST]]="","",IFERROR(IF(U8&lt;&gt;"",_xlfn.XLOOKUP(J8&amp;I8&amp;V8,PRICES!B:B&amp;PRICES!C:C&amp;PRICES!D:D,PRICES!H:H,"")),""))</f>
        <v/>
      </c>
      <c r="AH8" s="154" t="str" cm="1">
        <f t="array" aca="1" ref="AH8" ca="1">IF(Table13[[#This Row],[TOTAL HIRE COST]]="","",IFERROR(IF(U8&lt;&gt;"",_xlfn.XLOOKUP(J8&amp;I8&amp;V8,PRICES!B:B&amp;PRICES!C:C&amp;PRICES!D:D,PRICES!I:I,"")),""))</f>
        <v/>
      </c>
      <c r="AI8" s="154" t="str">
        <f ca="1">IF(Table13[[#This Row],[TOTAL HIRE COST]]="","",Table13[[#This Row],[TOTAL HIRE COST]]+Table13[[#This Row],[DELIVERY COST]]+Table13[[#This Row],[COLLECTION COST]])</f>
        <v/>
      </c>
      <c r="AJ8" s="153" t="str">
        <f>IF(Table13[[#This Row],[Date to Hire (DH)]]="","",YEAR(Table13[[#This Row],[Date to Hire (DH)]]))</f>
        <v/>
      </c>
      <c r="AK8" s="153" t="str">
        <f>IF(Table13[[#This Row],[Date to Hire (DH)]]="","",MONTH(Table13[[#This Row],[Date to Hire (DH)]]))</f>
        <v/>
      </c>
      <c r="AL8" s="153" t="str">
        <f>IF(Table13[[#This Row],[Date to Hire (DH)]]="","",WEEKNUM(Table13[[#This Row],[Date to Hire (DH)]]))</f>
        <v/>
      </c>
      <c r="AM8" s="153" t="str">
        <f>TEXT(Table13[[#This Row],[YEAR]],"0000")&amp;"-"&amp;Table13[[#This Row],[MONTH]]</f>
        <v>-</v>
      </c>
      <c r="AN8" s="153" t="str">
        <f>IF(Table13[[#This Row],[Date of Planned Offhire (DoPO) / If Applicable]]="","",YEAR(Table13[[#This Row],[Date of Planned Offhire (DoPO) / If Applicable]]))</f>
        <v/>
      </c>
      <c r="AO8" s="153" t="str">
        <f>IF(Table13[[#This Row],[Date of Planned Offhire (DoPO) / If Applicable]]="","",MONTH(Table13[[#This Row],[Date of Planned Offhire (DoPO) / If Applicable]]))</f>
        <v/>
      </c>
      <c r="AP8" s="153" t="str">
        <f>IF(Table13[[#This Row],[Date of Planned Offhire (DoPO) / If Applicable]]="","",WEEKNUM(Table13[[#This Row],[Date of Planned Offhire (DoPO) / If Applicable]]))</f>
        <v/>
      </c>
      <c r="AQ8" s="153" t="str">
        <f>TEXT(Table13[[#This Row],[YEAR2]],"0000")&amp;"-"&amp;Table13[[#This Row],[MONTH2]]</f>
        <v>-</v>
      </c>
      <c r="AR8" s="153" t="str">
        <f>IF(Table13[[#This Row],[Actual Date to Offhire (ADtO)]]="","",YEAR(Table13[[#This Row],[Actual Date to Offhire (ADtO)]]))</f>
        <v/>
      </c>
      <c r="AS8" s="153" t="str">
        <f>IF(Table13[[#This Row],[Actual Date to Offhire (ADtO)]]="","",MONTH(Table13[[#This Row],[Actual Date to Offhire (ADtO)]]))</f>
        <v/>
      </c>
      <c r="AT8" s="153" t="str">
        <f>IF(Table13[[#This Row],[Actual Date to Offhire (ADtO)]]="","",WEEKNUM(Table13[[#This Row],[Actual Date to Offhire (ADtO)]]))</f>
        <v/>
      </c>
      <c r="AU8" s="153" t="str">
        <f>TEXT(Table13[[#This Row],[YEAR3]],"0000")&amp;"-"&amp;Table13[[#This Row],[MONTH3]]</f>
        <v>-</v>
      </c>
      <c r="AV8" s="153">
        <f>IF(E8="",0,
  IF('Delivery Report'!A$2*100+'Delivery Report'!A$5 &lt; YEAR(E8)*100+WEEKNUM(E8), 0,
    IF(OR(G8="", 'Delivery Report'!A$2*100+'Delivery Report'!A$5 &lt;= YEAR(G8)*100+WEEKNUM(G8)),
      IF(LOWER(W8)="hourly", U8*X8*56,
      IF(LOWER(W8)="daily", U8*X8*7,
      IF(LOWER(W8)="weekly", U8*X8,
      IF(LOWER(W8)="monthly", U8*X8*12/52,
      IF(LOWER(W8)="yearly", U8*X8/52,
      IF(LOWER(W8)="one-off", U8*X8,
      0)))))),
    0)))</f>
        <v>0</v>
      </c>
    </row>
    <row r="9" spans="1:48" x14ac:dyDescent="0.3">
      <c r="C9" s="176"/>
      <c r="D9" s="176"/>
      <c r="E9" s="177"/>
      <c r="F9" s="1"/>
      <c r="G9" s="177"/>
      <c r="H9" s="164" t="s">
        <v>315</v>
      </c>
      <c r="P9" s="153" t="str">
        <f t="shared" si="8"/>
        <v/>
      </c>
      <c r="Q9" s="155">
        <f>IF(Table13[[#This Row],[HGVs (Collection)]]="",O9,Table13[[#This Row],[HGVs (Delivery)]]+Table13[[#This Row],[HGVs (Collection)]])</f>
        <v>0</v>
      </c>
      <c r="U9" s="176"/>
      <c r="W9" s="153" t="str" cm="1">
        <f t="array" ref="W9">IF(Table13[[#This Row],[QUANTITY]]="","",IFERROR(IF(V9&lt;&gt;"",_xlfn.XLOOKUP(I9&amp;J9,PRICES!C:C&amp;PRICES!B:B,IF(PRICES!F:F&lt;&gt;"",PRICES!F:F,PRICES!E:E),"")),""))</f>
        <v/>
      </c>
      <c r="X9" s="154" t="str" cm="1">
        <f t="array" ref="X9">IF(Table13[[#This Row],[QUANTITY]]="","",IFERROR(IF(U9&lt;&gt;"",_xlfn.XLOOKUP(I9&amp;J9&amp;V9,PRICES!C:C&amp;PRICES!B:B&amp;PRICES!D:D,PRICES!G:G,"")),""))</f>
        <v/>
      </c>
      <c r="Y9" s="154" t="str">
        <f t="shared" ca="1" si="2"/>
        <v/>
      </c>
      <c r="Z9" s="154" t="str">
        <f t="shared" ca="1" si="3"/>
        <v/>
      </c>
      <c r="AA9" s="154" t="str">
        <f t="shared" ca="1" si="4"/>
        <v/>
      </c>
      <c r="AB9" s="154" t="str">
        <f t="shared" ca="1" si="5"/>
        <v/>
      </c>
      <c r="AC9" s="154" t="str">
        <f t="shared" ca="1" si="0"/>
        <v/>
      </c>
      <c r="AD9" s="154" t="str">
        <f>IF(Table13[[#This Row],[QUANTITY]]="","",
  IF(AND(Y9="",Z9="",AA9="",AB9="",AC9=""),
    U9*X9,
  ""))</f>
        <v/>
      </c>
      <c r="AE9" s="154" t="str">
        <f t="shared" ca="1" si="6"/>
        <v/>
      </c>
      <c r="AF9" s="154" t="str">
        <f t="shared" si="7"/>
        <v/>
      </c>
      <c r="AG9" s="154" t="str" cm="1">
        <f t="array" aca="1" ref="AG9" ca="1">IF(Table13[[#This Row],[TOTAL HIRE COST]]="","",IFERROR(IF(U9&lt;&gt;"",_xlfn.XLOOKUP(J9&amp;I9&amp;V9,PRICES!B:B&amp;PRICES!C:C&amp;PRICES!D:D,PRICES!H:H,"")),""))</f>
        <v/>
      </c>
      <c r="AH9" s="154" t="str" cm="1">
        <f t="array" aca="1" ref="AH9" ca="1">IF(Table13[[#This Row],[TOTAL HIRE COST]]="","",IFERROR(IF(U9&lt;&gt;"",_xlfn.XLOOKUP(J9&amp;I9&amp;V9,PRICES!B:B&amp;PRICES!C:C&amp;PRICES!D:D,PRICES!I:I,"")),""))</f>
        <v/>
      </c>
      <c r="AI9" s="154" t="str">
        <f ca="1">IF(Table13[[#This Row],[TOTAL HIRE COST]]="","",Table13[[#This Row],[TOTAL HIRE COST]]+Table13[[#This Row],[DELIVERY COST]]+Table13[[#This Row],[COLLECTION COST]])</f>
        <v/>
      </c>
      <c r="AJ9" s="153" t="str">
        <f>IF(Table13[[#This Row],[Date to Hire (DH)]]="","",YEAR(Table13[[#This Row],[Date to Hire (DH)]]))</f>
        <v/>
      </c>
      <c r="AK9" s="153" t="str">
        <f>IF(Table13[[#This Row],[Date to Hire (DH)]]="","",MONTH(Table13[[#This Row],[Date to Hire (DH)]]))</f>
        <v/>
      </c>
      <c r="AL9" s="153" t="str">
        <f>IF(Table13[[#This Row],[Date to Hire (DH)]]="","",WEEKNUM(Table13[[#This Row],[Date to Hire (DH)]]))</f>
        <v/>
      </c>
      <c r="AM9" s="153" t="str">
        <f>TEXT(Table13[[#This Row],[YEAR]],"0000")&amp;"-"&amp;Table13[[#This Row],[MONTH]]</f>
        <v>-</v>
      </c>
      <c r="AN9" s="153" t="str">
        <f>IF(Table13[[#This Row],[Date of Planned Offhire (DoPO) / If Applicable]]="","",YEAR(Table13[[#This Row],[Date of Planned Offhire (DoPO) / If Applicable]]))</f>
        <v/>
      </c>
      <c r="AO9" s="153" t="str">
        <f>IF(Table13[[#This Row],[Date of Planned Offhire (DoPO) / If Applicable]]="","",MONTH(Table13[[#This Row],[Date of Planned Offhire (DoPO) / If Applicable]]))</f>
        <v/>
      </c>
      <c r="AP9" s="153" t="str">
        <f>IF(Table13[[#This Row],[Date of Planned Offhire (DoPO) / If Applicable]]="","",WEEKNUM(Table13[[#This Row],[Date of Planned Offhire (DoPO) / If Applicable]]))</f>
        <v/>
      </c>
      <c r="AQ9" s="153" t="str">
        <f>TEXT(Table13[[#This Row],[YEAR2]],"0000")&amp;"-"&amp;Table13[[#This Row],[MONTH2]]</f>
        <v>-</v>
      </c>
      <c r="AR9" s="153" t="str">
        <f>IF(Table13[[#This Row],[Actual Date to Offhire (ADtO)]]="","",YEAR(Table13[[#This Row],[Actual Date to Offhire (ADtO)]]))</f>
        <v/>
      </c>
      <c r="AS9" s="153" t="str">
        <f>IF(Table13[[#This Row],[Actual Date to Offhire (ADtO)]]="","",MONTH(Table13[[#This Row],[Actual Date to Offhire (ADtO)]]))</f>
        <v/>
      </c>
      <c r="AT9" s="153" t="str">
        <f>IF(Table13[[#This Row],[Actual Date to Offhire (ADtO)]]="","",WEEKNUM(Table13[[#This Row],[Actual Date to Offhire (ADtO)]]))</f>
        <v/>
      </c>
      <c r="AU9" s="153" t="str">
        <f>TEXT(Table13[[#This Row],[YEAR3]],"0000")&amp;"-"&amp;Table13[[#This Row],[MONTH3]]</f>
        <v>-</v>
      </c>
      <c r="AV9" s="153">
        <f>IF(E9="",0,
  IF('Delivery Report'!A$2*100+'Delivery Report'!A$5 &lt; YEAR(E9)*100+WEEKNUM(E9), 0,
    IF(OR(G9="", 'Delivery Report'!A$2*100+'Delivery Report'!A$5 &lt;= YEAR(G9)*100+WEEKNUM(G9)),
      IF(LOWER(W9)="hourly", U9*X9*56,
      IF(LOWER(W9)="daily", U9*X9*7,
      IF(LOWER(W9)="weekly", U9*X9,
      IF(LOWER(W9)="monthly", U9*X9*12/52,
      IF(LOWER(W9)="yearly", U9*X9/52,
      IF(LOWER(W9)="one-off", U9*X9,
      0)))))),
    0)))</f>
        <v>0</v>
      </c>
    </row>
    <row r="10" spans="1:48" x14ac:dyDescent="0.3">
      <c r="E10" s="1"/>
      <c r="F10" s="1"/>
      <c r="G10" s="177"/>
      <c r="H10" s="164" t="s">
        <v>315</v>
      </c>
      <c r="P10" s="153" t="str">
        <f t="shared" si="8"/>
        <v/>
      </c>
      <c r="Q10" s="155">
        <f>IF(Table13[[#This Row],[HGVs (Collection)]]="",O10,Table13[[#This Row],[HGVs (Delivery)]]+Table13[[#This Row],[HGVs (Collection)]])</f>
        <v>0</v>
      </c>
      <c r="W10" s="153" t="str" cm="1">
        <f t="array" ref="W10">IF(Table13[[#This Row],[QUANTITY]]="","",IFERROR(IF(V10&lt;&gt;"",_xlfn.XLOOKUP(I10&amp;J10,PRICES!C:C&amp;PRICES!B:B,IF(PRICES!F:F&lt;&gt;"",PRICES!F:F,PRICES!E:E),"")),""))</f>
        <v/>
      </c>
      <c r="X10" s="154" t="str" cm="1">
        <f t="array" ref="X10">IF(Table13[[#This Row],[QUANTITY]]="","",IFERROR(IF(U10&lt;&gt;"",_xlfn.XLOOKUP(I10&amp;J10&amp;V10,PRICES!C:C&amp;PRICES!B:B&amp;PRICES!D:D,PRICES!G:G,"")),""))</f>
        <v/>
      </c>
      <c r="Y10" s="154" t="str">
        <f t="shared" ca="1" si="2"/>
        <v/>
      </c>
      <c r="Z10" s="154" t="str">
        <f t="shared" ca="1" si="3"/>
        <v/>
      </c>
      <c r="AA10" s="154" t="str">
        <f t="shared" ca="1" si="4"/>
        <v/>
      </c>
      <c r="AB10" s="154" t="str">
        <f t="shared" ca="1" si="5"/>
        <v/>
      </c>
      <c r="AC10" s="154" t="str">
        <f t="shared" ca="1" si="0"/>
        <v/>
      </c>
      <c r="AD10" s="154" t="str">
        <f>IF(Table13[[#This Row],[QUANTITY]]="","",
  IF(AND(Y10="",Z10="",AA10="",AB10="",AC10=""),
    U10*X10,
  ""))</f>
        <v/>
      </c>
      <c r="AE10" s="154" t="str">
        <f t="shared" ca="1" si="6"/>
        <v/>
      </c>
      <c r="AF10" s="154" t="str">
        <f t="shared" si="7"/>
        <v/>
      </c>
      <c r="AG10" s="154" t="str" cm="1">
        <f t="array" aca="1" ref="AG10" ca="1">IF(Table13[[#This Row],[TOTAL HIRE COST]]="","",IFERROR(IF(U10&lt;&gt;"",_xlfn.XLOOKUP(J10&amp;I10&amp;V10,PRICES!B:B&amp;PRICES!C:C&amp;PRICES!D:D,PRICES!H:H,"")),""))</f>
        <v/>
      </c>
      <c r="AH10" s="154" t="str" cm="1">
        <f t="array" aca="1" ref="AH10" ca="1">IF(Table13[[#This Row],[TOTAL HIRE COST]]="","",IFERROR(IF(U10&lt;&gt;"",_xlfn.XLOOKUP(J10&amp;I10&amp;V10,PRICES!B:B&amp;PRICES!C:C&amp;PRICES!D:D,PRICES!I:I,"")),""))</f>
        <v/>
      </c>
      <c r="AI10" s="154" t="str">
        <f ca="1">IF(Table13[[#This Row],[TOTAL HIRE COST]]="","",Table13[[#This Row],[TOTAL HIRE COST]]+Table13[[#This Row],[DELIVERY COST]]+Table13[[#This Row],[COLLECTION COST]])</f>
        <v/>
      </c>
      <c r="AJ10" s="153" t="str">
        <f>IF(Table13[[#This Row],[Date to Hire (DH)]]="","",YEAR(Table13[[#This Row],[Date to Hire (DH)]]))</f>
        <v/>
      </c>
      <c r="AK10" s="153" t="str">
        <f>IF(Table13[[#This Row],[Date to Hire (DH)]]="","",MONTH(Table13[[#This Row],[Date to Hire (DH)]]))</f>
        <v/>
      </c>
      <c r="AL10" s="153" t="str">
        <f>IF(Table13[[#This Row],[Date to Hire (DH)]]="","",WEEKNUM(Table13[[#This Row],[Date to Hire (DH)]]))</f>
        <v/>
      </c>
      <c r="AM10" s="153" t="str">
        <f>TEXT(Table13[[#This Row],[YEAR]],"0000")&amp;"-"&amp;Table13[[#This Row],[MONTH]]</f>
        <v>-</v>
      </c>
      <c r="AN10" s="153" t="str">
        <f>IF(Table13[[#This Row],[Date of Planned Offhire (DoPO) / If Applicable]]="","",YEAR(Table13[[#This Row],[Date of Planned Offhire (DoPO) / If Applicable]]))</f>
        <v/>
      </c>
      <c r="AO10" s="153" t="str">
        <f>IF(Table13[[#This Row],[Date of Planned Offhire (DoPO) / If Applicable]]="","",MONTH(Table13[[#This Row],[Date of Planned Offhire (DoPO) / If Applicable]]))</f>
        <v/>
      </c>
      <c r="AP10" s="153" t="str">
        <f>IF(Table13[[#This Row],[Date of Planned Offhire (DoPO) / If Applicable]]="","",WEEKNUM(Table13[[#This Row],[Date of Planned Offhire (DoPO) / If Applicable]]))</f>
        <v/>
      </c>
      <c r="AQ10" s="153" t="str">
        <f>TEXT(Table13[[#This Row],[YEAR2]],"0000")&amp;"-"&amp;Table13[[#This Row],[MONTH2]]</f>
        <v>-</v>
      </c>
      <c r="AR10" s="153" t="str">
        <f>IF(Table13[[#This Row],[Actual Date to Offhire (ADtO)]]="","",YEAR(Table13[[#This Row],[Actual Date to Offhire (ADtO)]]))</f>
        <v/>
      </c>
      <c r="AS10" s="153" t="str">
        <f>IF(Table13[[#This Row],[Actual Date to Offhire (ADtO)]]="","",MONTH(Table13[[#This Row],[Actual Date to Offhire (ADtO)]]))</f>
        <v/>
      </c>
      <c r="AT10" s="153" t="str">
        <f>IF(Table13[[#This Row],[Actual Date to Offhire (ADtO)]]="","",WEEKNUM(Table13[[#This Row],[Actual Date to Offhire (ADtO)]]))</f>
        <v/>
      </c>
      <c r="AU10" s="153" t="str">
        <f>TEXT(Table13[[#This Row],[YEAR3]],"0000")&amp;"-"&amp;Table13[[#This Row],[MONTH3]]</f>
        <v>-</v>
      </c>
      <c r="AV10" s="153">
        <f>IF(E10="",0,
  IF('Delivery Report'!A$2*100+'Delivery Report'!A$5 &lt; YEAR(E10)*100+WEEKNUM(E10), 0,
    IF(OR(G10="", 'Delivery Report'!A$2*100+'Delivery Report'!A$5 &lt;= YEAR(G10)*100+WEEKNUM(G10)),
      IF(LOWER(W10)="hourly", U10*X10*56,
      IF(LOWER(W10)="daily", U10*X10*7,
      IF(LOWER(W10)="weekly", U10*X10,
      IF(LOWER(W10)="monthly", U10*X10*12/52,
      IF(LOWER(W10)="yearly", U10*X10/52,
      IF(LOWER(W10)="one-off", U10*X10,
      0)))))),
    0)))</f>
        <v>0</v>
      </c>
    </row>
    <row r="11" spans="1:48" x14ac:dyDescent="0.3">
      <c r="E11" s="1"/>
      <c r="F11" s="1"/>
      <c r="G11" s="1"/>
      <c r="H11" s="164" t="s">
        <v>315</v>
      </c>
      <c r="P11" s="153" t="str">
        <f t="shared" si="8"/>
        <v/>
      </c>
      <c r="Q11" s="155">
        <f>IF(Table13[[#This Row],[HGVs (Collection)]]="",O11,Table13[[#This Row],[HGVs (Delivery)]]+Table13[[#This Row],[HGVs (Collection)]])</f>
        <v>0</v>
      </c>
      <c r="W11" s="153" t="str" cm="1">
        <f t="array" ref="W11">IF(Table13[[#This Row],[QUANTITY]]="","",IFERROR(IF(V11&lt;&gt;"",_xlfn.XLOOKUP(I11&amp;J11,PRICES!C:C&amp;PRICES!B:B,IF(PRICES!F:F&lt;&gt;"",PRICES!F:F,PRICES!E:E),"")),""))</f>
        <v/>
      </c>
      <c r="X11" s="154" t="str" cm="1">
        <f t="array" ref="X11">IF(Table13[[#This Row],[QUANTITY]]="","",IFERROR(IF(U11&lt;&gt;"",_xlfn.XLOOKUP(I11&amp;J11&amp;V11,PRICES!C:C&amp;PRICES!B:B&amp;PRICES!D:D,PRICES!G:G,"")),""))</f>
        <v/>
      </c>
      <c r="Y11" s="154" t="str">
        <f t="shared" ca="1" si="2"/>
        <v/>
      </c>
      <c r="Z11" s="154" t="str">
        <f t="shared" ca="1" si="3"/>
        <v/>
      </c>
      <c r="AA11" s="154" t="str">
        <f t="shared" ca="1" si="4"/>
        <v/>
      </c>
      <c r="AB11" s="154" t="str">
        <f t="shared" ca="1" si="5"/>
        <v/>
      </c>
      <c r="AC11" s="154" t="str">
        <f t="shared" ca="1" si="0"/>
        <v/>
      </c>
      <c r="AD11" s="154" t="str">
        <f>IF(Table13[[#This Row],[QUANTITY]]="","",
  IF(AND(Y11="",Z11="",AA11="",AB11="",AC11=""),
    U11*X11,
  ""))</f>
        <v/>
      </c>
      <c r="AE11" s="154" t="str">
        <f t="shared" ca="1" si="6"/>
        <v/>
      </c>
      <c r="AF11" s="154" t="str">
        <f t="shared" si="7"/>
        <v/>
      </c>
      <c r="AG11" s="154" t="str" cm="1">
        <f t="array" aca="1" ref="AG11" ca="1">IF(Table13[[#This Row],[TOTAL HIRE COST]]="","",IFERROR(IF(U11&lt;&gt;"",_xlfn.XLOOKUP(J11&amp;I11&amp;V11,PRICES!B:B&amp;PRICES!C:C&amp;PRICES!D:D,PRICES!H:H,"")),""))</f>
        <v/>
      </c>
      <c r="AH11" s="154" t="str" cm="1">
        <f t="array" aca="1" ref="AH11" ca="1">IF(Table13[[#This Row],[TOTAL HIRE COST]]="","",IFERROR(IF(U11&lt;&gt;"",_xlfn.XLOOKUP(J11&amp;I11&amp;V11,PRICES!B:B&amp;PRICES!C:C&amp;PRICES!D:D,PRICES!I:I,"")),""))</f>
        <v/>
      </c>
      <c r="AI11" s="154" t="str">
        <f ca="1">IF(Table13[[#This Row],[TOTAL HIRE COST]]="","",Table13[[#This Row],[TOTAL HIRE COST]]+Table13[[#This Row],[DELIVERY COST]]+Table13[[#This Row],[COLLECTION COST]])</f>
        <v/>
      </c>
      <c r="AJ11" s="153" t="str">
        <f>IF(Table13[[#This Row],[Date to Hire (DH)]]="","",YEAR(Table13[[#This Row],[Date to Hire (DH)]]))</f>
        <v/>
      </c>
      <c r="AK11" s="153" t="str">
        <f>IF(Table13[[#This Row],[Date to Hire (DH)]]="","",MONTH(Table13[[#This Row],[Date to Hire (DH)]]))</f>
        <v/>
      </c>
      <c r="AL11" s="153" t="str">
        <f>IF(Table13[[#This Row],[Date to Hire (DH)]]="","",WEEKNUM(Table13[[#This Row],[Date to Hire (DH)]]))</f>
        <v/>
      </c>
      <c r="AM11" s="153" t="str">
        <f>TEXT(Table13[[#This Row],[YEAR]],"0000")&amp;"-"&amp;Table13[[#This Row],[MONTH]]</f>
        <v>-</v>
      </c>
      <c r="AN11" s="153" t="str">
        <f>IF(Table13[[#This Row],[Date of Planned Offhire (DoPO) / If Applicable]]="","",YEAR(Table13[[#This Row],[Date of Planned Offhire (DoPO) / If Applicable]]))</f>
        <v/>
      </c>
      <c r="AO11" s="153" t="str">
        <f>IF(Table13[[#This Row],[Date of Planned Offhire (DoPO) / If Applicable]]="","",MONTH(Table13[[#This Row],[Date of Planned Offhire (DoPO) / If Applicable]]))</f>
        <v/>
      </c>
      <c r="AP11" s="153" t="str">
        <f>IF(Table13[[#This Row],[Date of Planned Offhire (DoPO) / If Applicable]]="","",WEEKNUM(Table13[[#This Row],[Date of Planned Offhire (DoPO) / If Applicable]]))</f>
        <v/>
      </c>
      <c r="AQ11" s="153" t="str">
        <f>TEXT(Table13[[#This Row],[YEAR2]],"0000")&amp;"-"&amp;Table13[[#This Row],[MONTH2]]</f>
        <v>-</v>
      </c>
      <c r="AR11" s="153" t="str">
        <f>IF(Table13[[#This Row],[Actual Date to Offhire (ADtO)]]="","",YEAR(Table13[[#This Row],[Actual Date to Offhire (ADtO)]]))</f>
        <v/>
      </c>
      <c r="AS11" s="153" t="str">
        <f>IF(Table13[[#This Row],[Actual Date to Offhire (ADtO)]]="","",MONTH(Table13[[#This Row],[Actual Date to Offhire (ADtO)]]))</f>
        <v/>
      </c>
      <c r="AT11" s="153" t="str">
        <f>IF(Table13[[#This Row],[Actual Date to Offhire (ADtO)]]="","",WEEKNUM(Table13[[#This Row],[Actual Date to Offhire (ADtO)]]))</f>
        <v/>
      </c>
      <c r="AU11" s="153" t="str">
        <f>TEXT(Table13[[#This Row],[YEAR3]],"0000")&amp;"-"&amp;Table13[[#This Row],[MONTH3]]</f>
        <v>-</v>
      </c>
      <c r="AV11" s="153">
        <f>IF(E11="",0,
  IF('Delivery Report'!A$2*100+'Delivery Report'!A$5 &lt; YEAR(E11)*100+WEEKNUM(E11), 0,
    IF(OR(G11="", 'Delivery Report'!A$2*100+'Delivery Report'!A$5 &lt;= YEAR(G11)*100+WEEKNUM(G11)),
      IF(LOWER(W11)="hourly", U11*X11*56,
      IF(LOWER(W11)="daily", U11*X11*7,
      IF(LOWER(W11)="weekly", U11*X11,
      IF(LOWER(W11)="monthly", U11*X11*12/52,
      IF(LOWER(W11)="yearly", U11*X11/52,
      IF(LOWER(W11)="one-off", U11*X11,
      0)))))),
    0)))</f>
        <v>0</v>
      </c>
    </row>
    <row r="12" spans="1:48" x14ac:dyDescent="0.3">
      <c r="E12" s="1"/>
      <c r="F12" s="1"/>
      <c r="G12" s="1"/>
      <c r="H12" s="164" t="str">
        <f t="shared" ref="H12:H16" si="10">IF(E12="","",IF(G12&lt;&gt;"","OFF-HIRED","ON HIRE"))</f>
        <v/>
      </c>
      <c r="P12" s="153" t="str">
        <f t="shared" si="8"/>
        <v/>
      </c>
      <c r="Q12" s="155">
        <f>IF(Table13[[#This Row],[HGVs (Collection)]]="",O12,Table13[[#This Row],[HGVs (Delivery)]]+Table13[[#This Row],[HGVs (Collection)]])</f>
        <v>0</v>
      </c>
      <c r="W12" s="153" t="str" cm="1">
        <f t="array" ref="W12">IF(Table13[[#This Row],[QUANTITY]]="","",IFERROR(IF(V12&lt;&gt;"",_xlfn.XLOOKUP(I12&amp;J12,PRICES!C:C&amp;PRICES!B:B,IF(PRICES!F:F&lt;&gt;"",PRICES!F:F,PRICES!E:E),"")),""))</f>
        <v/>
      </c>
      <c r="X12" s="154" t="str" cm="1">
        <f t="array" ref="X12">IF(Table13[[#This Row],[QUANTITY]]="","",IFERROR(IF(U12&lt;&gt;"",_xlfn.XLOOKUP(I12&amp;J12&amp;V12,PRICES!C:C&amp;PRICES!B:B&amp;PRICES!D:D,PRICES!G:G,"")),""))</f>
        <v/>
      </c>
      <c r="Y12" s="154" t="str">
        <f t="shared" ca="1" si="2"/>
        <v/>
      </c>
      <c r="Z12" s="154" t="str">
        <f t="shared" ca="1" si="3"/>
        <v/>
      </c>
      <c r="AA12" s="154" t="str">
        <f t="shared" ca="1" si="4"/>
        <v/>
      </c>
      <c r="AB12" s="154" t="str">
        <f t="shared" ca="1" si="5"/>
        <v/>
      </c>
      <c r="AC12" s="154" t="str">
        <f t="shared" ca="1" si="0"/>
        <v/>
      </c>
      <c r="AD12" s="154" t="str">
        <f>IF(Table13[[#This Row],[QUANTITY]]="","",
  IF(AND(Y12="",Z12="",AA12="",AB12="",AC12=""),
    U12*X12,
  ""))</f>
        <v/>
      </c>
      <c r="AE12" s="154" t="str">
        <f t="shared" ca="1" si="6"/>
        <v/>
      </c>
      <c r="AF12" s="154" t="str">
        <f t="shared" si="7"/>
        <v/>
      </c>
      <c r="AG12" s="154" t="str" cm="1">
        <f t="array" aca="1" ref="AG12" ca="1">IF(Table13[[#This Row],[TOTAL HIRE COST]]="","",IFERROR(IF(U12&lt;&gt;"",_xlfn.XLOOKUP(J12&amp;I12&amp;V12,PRICES!B:B&amp;PRICES!C:C&amp;PRICES!D:D,PRICES!H:H,"")),""))</f>
        <v/>
      </c>
      <c r="AH12" s="154" t="str" cm="1">
        <f t="array" aca="1" ref="AH12" ca="1">IF(Table13[[#This Row],[TOTAL HIRE COST]]="","",IFERROR(IF(U12&lt;&gt;"",_xlfn.XLOOKUP(J12&amp;I12&amp;V12,PRICES!B:B&amp;PRICES!C:C&amp;PRICES!D:D,PRICES!I:I,"")),""))</f>
        <v/>
      </c>
      <c r="AI12" s="154" t="str">
        <f ca="1">IF(Table13[[#This Row],[TOTAL HIRE COST]]="","",Table13[[#This Row],[TOTAL HIRE COST]]+Table13[[#This Row],[DELIVERY COST]]+Table13[[#This Row],[COLLECTION COST]])</f>
        <v/>
      </c>
      <c r="AJ12" s="153" t="str">
        <f>IF(Table13[[#This Row],[Date to Hire (DH)]]="","",YEAR(Table13[[#This Row],[Date to Hire (DH)]]))</f>
        <v/>
      </c>
      <c r="AK12" s="153" t="str">
        <f>IF(Table13[[#This Row],[Date to Hire (DH)]]="","",MONTH(Table13[[#This Row],[Date to Hire (DH)]]))</f>
        <v/>
      </c>
      <c r="AL12" s="153" t="str">
        <f>IF(Table13[[#This Row],[Date to Hire (DH)]]="","",WEEKNUM(Table13[[#This Row],[Date to Hire (DH)]]))</f>
        <v/>
      </c>
      <c r="AM12" s="153" t="str">
        <f>TEXT(Table13[[#This Row],[YEAR]],"0000")&amp;"-"&amp;Table13[[#This Row],[MONTH]]</f>
        <v>-</v>
      </c>
      <c r="AN12" s="153" t="str">
        <f>IF(Table13[[#This Row],[Date of Planned Offhire (DoPO) / If Applicable]]="","",YEAR(Table13[[#This Row],[Date of Planned Offhire (DoPO) / If Applicable]]))</f>
        <v/>
      </c>
      <c r="AO12" s="153" t="str">
        <f>IF(Table13[[#This Row],[Date of Planned Offhire (DoPO) / If Applicable]]="","",MONTH(Table13[[#This Row],[Date of Planned Offhire (DoPO) / If Applicable]]))</f>
        <v/>
      </c>
      <c r="AP12" s="153" t="str">
        <f>IF(Table13[[#This Row],[Date of Planned Offhire (DoPO) / If Applicable]]="","",WEEKNUM(Table13[[#This Row],[Date of Planned Offhire (DoPO) / If Applicable]]))</f>
        <v/>
      </c>
      <c r="AQ12" s="153" t="str">
        <f>TEXT(Table13[[#This Row],[YEAR2]],"0000")&amp;"-"&amp;Table13[[#This Row],[MONTH2]]</f>
        <v>-</v>
      </c>
      <c r="AR12" s="153" t="str">
        <f>IF(Table13[[#This Row],[Actual Date to Offhire (ADtO)]]="","",YEAR(Table13[[#This Row],[Actual Date to Offhire (ADtO)]]))</f>
        <v/>
      </c>
      <c r="AS12" s="153" t="str">
        <f>IF(Table13[[#This Row],[Actual Date to Offhire (ADtO)]]="","",MONTH(Table13[[#This Row],[Actual Date to Offhire (ADtO)]]))</f>
        <v/>
      </c>
      <c r="AT12" s="153" t="str">
        <f>IF(Table13[[#This Row],[Actual Date to Offhire (ADtO)]]="","",WEEKNUM(Table13[[#This Row],[Actual Date to Offhire (ADtO)]]))</f>
        <v/>
      </c>
      <c r="AU12" s="153" t="str">
        <f>TEXT(Table13[[#This Row],[YEAR3]],"0000")&amp;"-"&amp;Table13[[#This Row],[MONTH3]]</f>
        <v>-</v>
      </c>
      <c r="AV12" s="153">
        <f>IF(E12="",0,
  IF('Delivery Report'!A$2*100+'Delivery Report'!A$5 &lt; YEAR(E12)*100+WEEKNUM(E12), 0,
    IF(OR(G12="", 'Delivery Report'!A$2*100+'Delivery Report'!A$5 &lt;= YEAR(G12)*100+WEEKNUM(G12)),
      IF(LOWER(W12)="hourly", U12*X12*56,
      IF(LOWER(W12)="daily", U12*X12*7,
      IF(LOWER(W12)="weekly", U12*X12,
      IF(LOWER(W12)="monthly", U12*X12*12/52,
      IF(LOWER(W12)="yearly", U12*X12/52,
      IF(LOWER(W12)="one-off", U12*X12,
      0)))))),
    0)))</f>
        <v>0</v>
      </c>
    </row>
    <row r="13" spans="1:48" x14ac:dyDescent="0.3">
      <c r="E13" s="1"/>
      <c r="F13" s="1"/>
      <c r="G13" s="1"/>
      <c r="H13" s="164" t="str">
        <f t="shared" si="10"/>
        <v/>
      </c>
      <c r="P13" s="153" t="str">
        <f t="shared" si="8"/>
        <v/>
      </c>
      <c r="Q13" s="155">
        <f>IF(Table13[[#This Row],[HGVs (Collection)]]="",O13,Table13[[#This Row],[HGVs (Delivery)]]+Table13[[#This Row],[HGVs (Collection)]])</f>
        <v>0</v>
      </c>
      <c r="W13" s="153" t="str" cm="1">
        <f t="array" ref="W13">IF(Table13[[#This Row],[QUANTITY]]="","",IFERROR(IF(V13&lt;&gt;"",_xlfn.XLOOKUP(I13&amp;J13,PRICES!C:C&amp;PRICES!B:B,IF(PRICES!F:F&lt;&gt;"",PRICES!F:F,PRICES!E:E),"")),""))</f>
        <v/>
      </c>
      <c r="X13" s="154" t="str" cm="1">
        <f t="array" ref="X13">IF(Table13[[#This Row],[QUANTITY]]="","",IFERROR(IF(U13&lt;&gt;"",_xlfn.XLOOKUP(I13&amp;J13&amp;V13,PRICES!C:C&amp;PRICES!B:B&amp;PRICES!D:D,PRICES!G:G,"")),""))</f>
        <v/>
      </c>
      <c r="Y13" s="154" t="str">
        <f t="shared" ca="1" si="2"/>
        <v/>
      </c>
      <c r="Z13" s="154" t="str">
        <f t="shared" ca="1" si="3"/>
        <v/>
      </c>
      <c r="AA13" s="154" t="str">
        <f t="shared" ca="1" si="4"/>
        <v/>
      </c>
      <c r="AB13" s="154" t="str">
        <f t="shared" ca="1" si="5"/>
        <v/>
      </c>
      <c r="AC13" s="154" t="str">
        <f t="shared" ca="1" si="0"/>
        <v/>
      </c>
      <c r="AD13" s="154" t="str">
        <f>IF(Table13[[#This Row],[QUANTITY]]="","",
  IF(AND(Y13="",Z13="",AA13="",AB13="",AC13=""),
    U13*X13,
  ""))</f>
        <v/>
      </c>
      <c r="AE13" s="154" t="str">
        <f t="shared" ca="1" si="6"/>
        <v/>
      </c>
      <c r="AF13" s="154" t="str">
        <f t="shared" si="7"/>
        <v/>
      </c>
      <c r="AG13" s="154" t="str" cm="1">
        <f t="array" aca="1" ref="AG13" ca="1">IF(Table13[[#This Row],[TOTAL HIRE COST]]="","",IFERROR(IF(U13&lt;&gt;"",_xlfn.XLOOKUP(J13&amp;I13&amp;V13,PRICES!B:B&amp;PRICES!C:C&amp;PRICES!D:D,PRICES!H:H,"")),""))</f>
        <v/>
      </c>
      <c r="AH13" s="154" t="str" cm="1">
        <f t="array" aca="1" ref="AH13" ca="1">IF(Table13[[#This Row],[TOTAL HIRE COST]]="","",IFERROR(IF(U13&lt;&gt;"",_xlfn.XLOOKUP(J13&amp;I13&amp;V13,PRICES!B:B&amp;PRICES!C:C&amp;PRICES!D:D,PRICES!I:I,"")),""))</f>
        <v/>
      </c>
      <c r="AI13" s="154" t="str">
        <f ca="1">IF(Table13[[#This Row],[TOTAL HIRE COST]]="","",Table13[[#This Row],[TOTAL HIRE COST]]+Table13[[#This Row],[DELIVERY COST]]+Table13[[#This Row],[COLLECTION COST]])</f>
        <v/>
      </c>
      <c r="AJ13" s="153" t="str">
        <f>IF(Table13[[#This Row],[Date to Hire (DH)]]="","",YEAR(Table13[[#This Row],[Date to Hire (DH)]]))</f>
        <v/>
      </c>
      <c r="AK13" s="153" t="str">
        <f>IF(Table13[[#This Row],[Date to Hire (DH)]]="","",MONTH(Table13[[#This Row],[Date to Hire (DH)]]))</f>
        <v/>
      </c>
      <c r="AL13" s="153" t="str">
        <f>IF(Table13[[#This Row],[Date to Hire (DH)]]="","",WEEKNUM(Table13[[#This Row],[Date to Hire (DH)]]))</f>
        <v/>
      </c>
      <c r="AM13" s="153" t="str">
        <f>TEXT(Table13[[#This Row],[YEAR]],"0000")&amp;"-"&amp;Table13[[#This Row],[MONTH]]</f>
        <v>-</v>
      </c>
      <c r="AN13" s="153" t="str">
        <f>IF(Table13[[#This Row],[Date of Planned Offhire (DoPO) / If Applicable]]="","",YEAR(Table13[[#This Row],[Date of Planned Offhire (DoPO) / If Applicable]]))</f>
        <v/>
      </c>
      <c r="AO13" s="153" t="str">
        <f>IF(Table13[[#This Row],[Date of Planned Offhire (DoPO) / If Applicable]]="","",MONTH(Table13[[#This Row],[Date of Planned Offhire (DoPO) / If Applicable]]))</f>
        <v/>
      </c>
      <c r="AP13" s="153" t="str">
        <f>IF(Table13[[#This Row],[Date of Planned Offhire (DoPO) / If Applicable]]="","",WEEKNUM(Table13[[#This Row],[Date of Planned Offhire (DoPO) / If Applicable]]))</f>
        <v/>
      </c>
      <c r="AQ13" s="153" t="str">
        <f>TEXT(Table13[[#This Row],[YEAR2]],"0000")&amp;"-"&amp;Table13[[#This Row],[MONTH2]]</f>
        <v>-</v>
      </c>
      <c r="AR13" s="153" t="str">
        <f>IF(Table13[[#This Row],[Actual Date to Offhire (ADtO)]]="","",YEAR(Table13[[#This Row],[Actual Date to Offhire (ADtO)]]))</f>
        <v/>
      </c>
      <c r="AS13" s="153" t="str">
        <f>IF(Table13[[#This Row],[Actual Date to Offhire (ADtO)]]="","",MONTH(Table13[[#This Row],[Actual Date to Offhire (ADtO)]]))</f>
        <v/>
      </c>
      <c r="AT13" s="153" t="str">
        <f>IF(Table13[[#This Row],[Actual Date to Offhire (ADtO)]]="","",WEEKNUM(Table13[[#This Row],[Actual Date to Offhire (ADtO)]]))</f>
        <v/>
      </c>
      <c r="AU13" s="153" t="str">
        <f>TEXT(Table13[[#This Row],[YEAR3]],"0000")&amp;"-"&amp;Table13[[#This Row],[MONTH3]]</f>
        <v>-</v>
      </c>
      <c r="AV13" s="153">
        <f>IF(E13="",0,
  IF('Delivery Report'!A$2*100+'Delivery Report'!A$5 &lt; YEAR(E13)*100+WEEKNUM(E13), 0,
    IF(OR(G13="", 'Delivery Report'!A$2*100+'Delivery Report'!A$5 &lt;= YEAR(G13)*100+WEEKNUM(G13)),
      IF(LOWER(W13)="hourly", U13*X13*56,
      IF(LOWER(W13)="daily", U13*X13*7,
      IF(LOWER(W13)="weekly", U13*X13,
      IF(LOWER(W13)="monthly", U13*X13*12/52,
      IF(LOWER(W13)="yearly", U13*X13/52,
      IF(LOWER(W13)="one-off", U13*X13,
      0)))))),
    0)))</f>
        <v>0</v>
      </c>
    </row>
    <row r="14" spans="1:48" x14ac:dyDescent="0.3">
      <c r="E14" s="1"/>
      <c r="F14" s="1"/>
      <c r="G14" s="1"/>
      <c r="H14" s="164" t="str">
        <f t="shared" si="10"/>
        <v/>
      </c>
      <c r="P14" s="153" t="str">
        <f t="shared" si="8"/>
        <v/>
      </c>
      <c r="Q14" s="155">
        <f>IF(Table13[[#This Row],[HGVs (Collection)]]="",O14,Table13[[#This Row],[HGVs (Delivery)]]+Table13[[#This Row],[HGVs (Collection)]])</f>
        <v>0</v>
      </c>
      <c r="W14" s="153" t="str" cm="1">
        <f t="array" ref="W14">IF(Table13[[#This Row],[QUANTITY]]="","",IFERROR(IF(V14&lt;&gt;"",_xlfn.XLOOKUP(I14&amp;J14,PRICES!C:C&amp;PRICES!B:B,IF(PRICES!F:F&lt;&gt;"",PRICES!F:F,PRICES!E:E),"")),""))</f>
        <v/>
      </c>
      <c r="X14" s="154" t="str" cm="1">
        <f t="array" ref="X14">IF(Table13[[#This Row],[QUANTITY]]="","",IFERROR(IF(U14&lt;&gt;"",_xlfn.XLOOKUP(I14&amp;J14&amp;V14,PRICES!C:C&amp;PRICES!B:B&amp;PRICES!D:D,PRICES!G:G,"")),""))</f>
        <v/>
      </c>
      <c r="Y14" s="154" t="str">
        <f t="shared" ca="1" si="2"/>
        <v/>
      </c>
      <c r="Z14" s="154" t="str">
        <f t="shared" ca="1" si="3"/>
        <v/>
      </c>
      <c r="AA14" s="154" t="str">
        <f t="shared" ca="1" si="4"/>
        <v/>
      </c>
      <c r="AB14" s="154" t="str">
        <f t="shared" ca="1" si="5"/>
        <v/>
      </c>
      <c r="AC14" s="154" t="str">
        <f t="shared" ca="1" si="0"/>
        <v/>
      </c>
      <c r="AD14" s="154" t="str">
        <f>IF(Table13[[#This Row],[QUANTITY]]="","",
  IF(AND(Y14="",Z14="",AA14="",AB14="",AC14=""),
    U14*X14,
  ""))</f>
        <v/>
      </c>
      <c r="AE14" s="154" t="str">
        <f t="shared" ca="1" si="6"/>
        <v/>
      </c>
      <c r="AF14" s="154" t="str">
        <f t="shared" si="7"/>
        <v/>
      </c>
      <c r="AG14" s="154" t="str" cm="1">
        <f t="array" aca="1" ref="AG14" ca="1">IF(Table13[[#This Row],[TOTAL HIRE COST]]="","",IFERROR(IF(U14&lt;&gt;"",_xlfn.XLOOKUP(J14&amp;I14&amp;V14,PRICES!B:B&amp;PRICES!C:C&amp;PRICES!D:D,PRICES!H:H,"")),""))</f>
        <v/>
      </c>
      <c r="AH14" s="154" t="str" cm="1">
        <f t="array" aca="1" ref="AH14" ca="1">IF(Table13[[#This Row],[TOTAL HIRE COST]]="","",IFERROR(IF(U14&lt;&gt;"",_xlfn.XLOOKUP(J14&amp;I14&amp;V14,PRICES!B:B&amp;PRICES!C:C&amp;PRICES!D:D,PRICES!I:I,"")),""))</f>
        <v/>
      </c>
      <c r="AI14" s="154" t="str">
        <f ca="1">IF(Table13[[#This Row],[TOTAL HIRE COST]]="","",Table13[[#This Row],[TOTAL HIRE COST]]+Table13[[#This Row],[DELIVERY COST]]+Table13[[#This Row],[COLLECTION COST]])</f>
        <v/>
      </c>
      <c r="AJ14" s="153" t="str">
        <f>IF(Table13[[#This Row],[Date to Hire (DH)]]="","",YEAR(Table13[[#This Row],[Date to Hire (DH)]]))</f>
        <v/>
      </c>
      <c r="AK14" s="153" t="str">
        <f>IF(Table13[[#This Row],[Date to Hire (DH)]]="","",MONTH(Table13[[#This Row],[Date to Hire (DH)]]))</f>
        <v/>
      </c>
      <c r="AL14" s="153" t="str">
        <f>IF(Table13[[#This Row],[Date to Hire (DH)]]="","",WEEKNUM(Table13[[#This Row],[Date to Hire (DH)]]))</f>
        <v/>
      </c>
      <c r="AM14" s="153" t="str">
        <f>TEXT(Table13[[#This Row],[YEAR]],"0000")&amp;"-"&amp;Table13[[#This Row],[MONTH]]</f>
        <v>-</v>
      </c>
      <c r="AN14" s="153" t="str">
        <f>IF(Table13[[#This Row],[Date of Planned Offhire (DoPO) / If Applicable]]="","",YEAR(Table13[[#This Row],[Date of Planned Offhire (DoPO) / If Applicable]]))</f>
        <v/>
      </c>
      <c r="AO14" s="153" t="str">
        <f>IF(Table13[[#This Row],[Date of Planned Offhire (DoPO) / If Applicable]]="","",MONTH(Table13[[#This Row],[Date of Planned Offhire (DoPO) / If Applicable]]))</f>
        <v/>
      </c>
      <c r="AP14" s="153" t="str">
        <f>IF(Table13[[#This Row],[Date of Planned Offhire (DoPO) / If Applicable]]="","",WEEKNUM(Table13[[#This Row],[Date of Planned Offhire (DoPO) / If Applicable]]))</f>
        <v/>
      </c>
      <c r="AQ14" s="153" t="str">
        <f>TEXT(Table13[[#This Row],[YEAR2]],"0000")&amp;"-"&amp;Table13[[#This Row],[MONTH2]]</f>
        <v>-</v>
      </c>
      <c r="AR14" s="153" t="str">
        <f>IF(Table13[[#This Row],[Actual Date to Offhire (ADtO)]]="","",YEAR(Table13[[#This Row],[Actual Date to Offhire (ADtO)]]))</f>
        <v/>
      </c>
      <c r="AS14" s="153" t="str">
        <f>IF(Table13[[#This Row],[Actual Date to Offhire (ADtO)]]="","",MONTH(Table13[[#This Row],[Actual Date to Offhire (ADtO)]]))</f>
        <v/>
      </c>
      <c r="AT14" s="153" t="str">
        <f>IF(Table13[[#This Row],[Actual Date to Offhire (ADtO)]]="","",WEEKNUM(Table13[[#This Row],[Actual Date to Offhire (ADtO)]]))</f>
        <v/>
      </c>
      <c r="AU14" s="153" t="str">
        <f>TEXT(Table13[[#This Row],[YEAR3]],"0000")&amp;"-"&amp;Table13[[#This Row],[MONTH3]]</f>
        <v>-</v>
      </c>
      <c r="AV14" s="153">
        <f>IF(E14="",0,
  IF('Delivery Report'!A$2*100+'Delivery Report'!A$5 &lt; YEAR(E14)*100+WEEKNUM(E14), 0,
    IF(OR(G14="", 'Delivery Report'!A$2*100+'Delivery Report'!A$5 &lt;= YEAR(G14)*100+WEEKNUM(G14)),
      IF(LOWER(W14)="hourly", U14*X14*56,
      IF(LOWER(W14)="daily", U14*X14*7,
      IF(LOWER(W14)="weekly", U14*X14,
      IF(LOWER(W14)="monthly", U14*X14*12/52,
      IF(LOWER(W14)="yearly", U14*X14/52,
      IF(LOWER(W14)="one-off", U14*X14,
      0)))))),
    0)))</f>
        <v>0</v>
      </c>
    </row>
    <row r="15" spans="1:48" x14ac:dyDescent="0.3">
      <c r="E15" s="1"/>
      <c r="F15" s="1"/>
      <c r="G15" s="1"/>
      <c r="H15" s="164" t="str">
        <f t="shared" si="10"/>
        <v/>
      </c>
      <c r="P15" s="153" t="str">
        <f t="shared" si="8"/>
        <v/>
      </c>
      <c r="Q15" s="155">
        <f>IF(Table13[[#This Row],[HGVs (Collection)]]="",O15,Table13[[#This Row],[HGVs (Delivery)]]+Table13[[#This Row],[HGVs (Collection)]])</f>
        <v>0</v>
      </c>
      <c r="W15" s="153" t="str" cm="1">
        <f t="array" ref="W15">IF(Table13[[#This Row],[QUANTITY]]="","",IFERROR(IF(V15&lt;&gt;"",_xlfn.XLOOKUP(I15&amp;J15,PRICES!C:C&amp;PRICES!B:B,IF(PRICES!F:F&lt;&gt;"",PRICES!F:F,PRICES!E:E),"")),""))</f>
        <v/>
      </c>
      <c r="X15" s="154" t="str" cm="1">
        <f t="array" ref="X15">IF(Table13[[#This Row],[QUANTITY]]="","",IFERROR(IF(U15&lt;&gt;"",_xlfn.XLOOKUP(I15&amp;J15&amp;V15,PRICES!C:C&amp;PRICES!B:B&amp;PRICES!D:D,PRICES!G:G,"")),""))</f>
        <v/>
      </c>
      <c r="Y15" s="154" t="str">
        <f t="shared" ca="1" si="2"/>
        <v/>
      </c>
      <c r="Z15" s="154" t="str">
        <f t="shared" ca="1" si="3"/>
        <v/>
      </c>
      <c r="AA15" s="154" t="str">
        <f t="shared" ca="1" si="4"/>
        <v/>
      </c>
      <c r="AB15" s="154" t="str">
        <f t="shared" ca="1" si="5"/>
        <v/>
      </c>
      <c r="AC15" s="154" t="str">
        <f t="shared" ca="1" si="0"/>
        <v/>
      </c>
      <c r="AD15" s="154" t="str">
        <f>IF(Table13[[#This Row],[QUANTITY]]="","",
  IF(AND(Y15="",Z15="",AA15="",AB15="",AC15=""),
    U15*X15,
  ""))</f>
        <v/>
      </c>
      <c r="AE15" s="154" t="str">
        <f t="shared" ca="1" si="6"/>
        <v/>
      </c>
      <c r="AF15" s="154" t="str">
        <f t="shared" si="7"/>
        <v/>
      </c>
      <c r="AG15" s="154" t="str" cm="1">
        <f t="array" aca="1" ref="AG15" ca="1">IF(Table13[[#This Row],[TOTAL HIRE COST]]="","",IFERROR(IF(U15&lt;&gt;"",_xlfn.XLOOKUP(J15&amp;I15&amp;V15,PRICES!B:B&amp;PRICES!C:C&amp;PRICES!D:D,PRICES!H:H,"")),""))</f>
        <v/>
      </c>
      <c r="AH15" s="154" t="str" cm="1">
        <f t="array" aca="1" ref="AH15" ca="1">IF(Table13[[#This Row],[TOTAL HIRE COST]]="","",IFERROR(IF(U15&lt;&gt;"",_xlfn.XLOOKUP(J15&amp;I15&amp;V15,PRICES!B:B&amp;PRICES!C:C&amp;PRICES!D:D,PRICES!I:I,"")),""))</f>
        <v/>
      </c>
      <c r="AI15" s="154" t="str">
        <f ca="1">IF(Table13[[#This Row],[TOTAL HIRE COST]]="","",Table13[[#This Row],[TOTAL HIRE COST]]+Table13[[#This Row],[DELIVERY COST]]+Table13[[#This Row],[COLLECTION COST]])</f>
        <v/>
      </c>
      <c r="AJ15" s="153" t="str">
        <f>IF(Table13[[#This Row],[Date to Hire (DH)]]="","",YEAR(Table13[[#This Row],[Date to Hire (DH)]]))</f>
        <v/>
      </c>
      <c r="AK15" s="153" t="str">
        <f>IF(Table13[[#This Row],[Date to Hire (DH)]]="","",MONTH(Table13[[#This Row],[Date to Hire (DH)]]))</f>
        <v/>
      </c>
      <c r="AL15" s="153" t="str">
        <f>IF(Table13[[#This Row],[Date to Hire (DH)]]="","",WEEKNUM(Table13[[#This Row],[Date to Hire (DH)]]))</f>
        <v/>
      </c>
      <c r="AM15" s="153" t="str">
        <f>TEXT(Table13[[#This Row],[YEAR]],"0000")&amp;"-"&amp;Table13[[#This Row],[MONTH]]</f>
        <v>-</v>
      </c>
      <c r="AN15" s="153" t="str">
        <f>IF(Table13[[#This Row],[Date of Planned Offhire (DoPO) / If Applicable]]="","",YEAR(Table13[[#This Row],[Date of Planned Offhire (DoPO) / If Applicable]]))</f>
        <v/>
      </c>
      <c r="AO15" s="153" t="str">
        <f>IF(Table13[[#This Row],[Date of Planned Offhire (DoPO) / If Applicable]]="","",MONTH(Table13[[#This Row],[Date of Planned Offhire (DoPO) / If Applicable]]))</f>
        <v/>
      </c>
      <c r="AP15" s="153" t="str">
        <f>IF(Table13[[#This Row],[Date of Planned Offhire (DoPO) / If Applicable]]="","",WEEKNUM(Table13[[#This Row],[Date of Planned Offhire (DoPO) / If Applicable]]))</f>
        <v/>
      </c>
      <c r="AQ15" s="153" t="str">
        <f>TEXT(Table13[[#This Row],[YEAR2]],"0000")&amp;"-"&amp;Table13[[#This Row],[MONTH2]]</f>
        <v>-</v>
      </c>
      <c r="AR15" s="153" t="str">
        <f>IF(Table13[[#This Row],[Actual Date to Offhire (ADtO)]]="","",YEAR(Table13[[#This Row],[Actual Date to Offhire (ADtO)]]))</f>
        <v/>
      </c>
      <c r="AS15" s="153" t="str">
        <f>IF(Table13[[#This Row],[Actual Date to Offhire (ADtO)]]="","",MONTH(Table13[[#This Row],[Actual Date to Offhire (ADtO)]]))</f>
        <v/>
      </c>
      <c r="AT15" s="153" t="str">
        <f>IF(Table13[[#This Row],[Actual Date to Offhire (ADtO)]]="","",WEEKNUM(Table13[[#This Row],[Actual Date to Offhire (ADtO)]]))</f>
        <v/>
      </c>
      <c r="AU15" s="153" t="str">
        <f>TEXT(Table13[[#This Row],[YEAR3]],"0000")&amp;"-"&amp;Table13[[#This Row],[MONTH3]]</f>
        <v>-</v>
      </c>
      <c r="AV15" s="153">
        <f>IF(E15="",0,
  IF('Delivery Report'!A$2*100+'Delivery Report'!A$5 &lt; YEAR(E15)*100+WEEKNUM(E15), 0,
    IF(OR(G15="", 'Delivery Report'!A$2*100+'Delivery Report'!A$5 &lt;= YEAR(G15)*100+WEEKNUM(G15)),
      IF(LOWER(W15)="hourly", U15*X15*56,
      IF(LOWER(W15)="daily", U15*X15*7,
      IF(LOWER(W15)="weekly", U15*X15,
      IF(LOWER(W15)="monthly", U15*X15*12/52,
      IF(LOWER(W15)="yearly", U15*X15/52,
      IF(LOWER(W15)="one-off", U15*X15,
      0)))))),
    0)))</f>
        <v>0</v>
      </c>
    </row>
    <row r="16" spans="1:48" x14ac:dyDescent="0.3">
      <c r="E16" s="1"/>
      <c r="F16" s="1"/>
      <c r="G16" s="1"/>
      <c r="H16" s="164" t="str">
        <f t="shared" si="10"/>
        <v/>
      </c>
      <c r="P16" s="153" t="str">
        <f t="shared" si="8"/>
        <v/>
      </c>
      <c r="Q16" s="155">
        <f>IF(Table13[[#This Row],[HGVs (Collection)]]="",O16,Table13[[#This Row],[HGVs (Delivery)]]+Table13[[#This Row],[HGVs (Collection)]])</f>
        <v>0</v>
      </c>
      <c r="W16" s="153" t="str" cm="1">
        <f t="array" ref="W16">IF(Table13[[#This Row],[QUANTITY]]="","",IFERROR(IF(V16&lt;&gt;"",_xlfn.XLOOKUP(I16&amp;J16,PRICES!C:C&amp;PRICES!B:B,IF(PRICES!F:F&lt;&gt;"",PRICES!F:F,PRICES!E:E),"")),""))</f>
        <v/>
      </c>
      <c r="X16" s="154" t="str" cm="1">
        <f t="array" ref="X16">IF(Table13[[#This Row],[QUANTITY]]="","",IFERROR(IF(U16&lt;&gt;"",_xlfn.XLOOKUP(I16&amp;J16&amp;V16,PRICES!C:C&amp;PRICES!B:B&amp;PRICES!D:D,PRICES!G:G,"")),""))</f>
        <v/>
      </c>
      <c r="Y16" s="154" t="str">
        <f t="shared" ca="1" si="2"/>
        <v/>
      </c>
      <c r="Z16" s="154" t="str">
        <f t="shared" ca="1" si="3"/>
        <v/>
      </c>
      <c r="AA16" s="154" t="str">
        <f t="shared" ca="1" si="4"/>
        <v/>
      </c>
      <c r="AB16" s="154" t="str">
        <f t="shared" ca="1" si="5"/>
        <v/>
      </c>
      <c r="AC16" s="154" t="str">
        <f t="shared" ca="1" si="0"/>
        <v/>
      </c>
      <c r="AD16" s="154" t="str">
        <f>IF(Table13[[#This Row],[QUANTITY]]="","",
  IF(AND(Y16="",Z16="",AA16="",AB16="",AC16=""),
    U16*X16,
  ""))</f>
        <v/>
      </c>
      <c r="AE16" s="154" t="str">
        <f t="shared" ca="1" si="6"/>
        <v/>
      </c>
      <c r="AF16" s="154" t="str">
        <f t="shared" si="7"/>
        <v/>
      </c>
      <c r="AG16" s="154" t="str" cm="1">
        <f t="array" aca="1" ref="AG16" ca="1">IF(Table13[[#This Row],[TOTAL HIRE COST]]="","",IFERROR(IF(U16&lt;&gt;"",_xlfn.XLOOKUP(J16&amp;I16&amp;V16,PRICES!B:B&amp;PRICES!C:C&amp;PRICES!D:D,PRICES!H:H,"")),""))</f>
        <v/>
      </c>
      <c r="AH16" s="154" t="str" cm="1">
        <f t="array" aca="1" ref="AH16" ca="1">IF(Table13[[#This Row],[TOTAL HIRE COST]]="","",IFERROR(IF(U16&lt;&gt;"",_xlfn.XLOOKUP(J16&amp;I16&amp;V16,PRICES!B:B&amp;PRICES!C:C&amp;PRICES!D:D,PRICES!I:I,"")),""))</f>
        <v/>
      </c>
      <c r="AI16" s="154" t="str">
        <f ca="1">IF(Table13[[#This Row],[TOTAL HIRE COST]]="","",Table13[[#This Row],[TOTAL HIRE COST]]+Table13[[#This Row],[DELIVERY COST]]+Table13[[#This Row],[COLLECTION COST]])</f>
        <v/>
      </c>
      <c r="AJ16" s="153" t="str">
        <f>IF(Table13[[#This Row],[Date to Hire (DH)]]="","",YEAR(Table13[[#This Row],[Date to Hire (DH)]]))</f>
        <v/>
      </c>
      <c r="AK16" s="153" t="str">
        <f>IF(Table13[[#This Row],[Date to Hire (DH)]]="","",MONTH(Table13[[#This Row],[Date to Hire (DH)]]))</f>
        <v/>
      </c>
      <c r="AL16" s="153" t="str">
        <f>IF(Table13[[#This Row],[Date to Hire (DH)]]="","",WEEKNUM(Table13[[#This Row],[Date to Hire (DH)]]))</f>
        <v/>
      </c>
      <c r="AM16" s="153" t="str">
        <f>TEXT(Table13[[#This Row],[YEAR]],"0000")&amp;"-"&amp;Table13[[#This Row],[MONTH]]</f>
        <v>-</v>
      </c>
      <c r="AN16" s="153" t="str">
        <f>IF(Table13[[#This Row],[Date of Planned Offhire (DoPO) / If Applicable]]="","",YEAR(Table13[[#This Row],[Date of Planned Offhire (DoPO) / If Applicable]]))</f>
        <v/>
      </c>
      <c r="AO16" s="153" t="str">
        <f>IF(Table13[[#This Row],[Date of Planned Offhire (DoPO) / If Applicable]]="","",MONTH(Table13[[#This Row],[Date of Planned Offhire (DoPO) / If Applicable]]))</f>
        <v/>
      </c>
      <c r="AP16" s="153" t="str">
        <f>IF(Table13[[#This Row],[Date of Planned Offhire (DoPO) / If Applicable]]="","",WEEKNUM(Table13[[#This Row],[Date of Planned Offhire (DoPO) / If Applicable]]))</f>
        <v/>
      </c>
      <c r="AQ16" s="153" t="str">
        <f>TEXT(Table13[[#This Row],[YEAR2]],"0000")&amp;"-"&amp;Table13[[#This Row],[MONTH2]]</f>
        <v>-</v>
      </c>
      <c r="AR16" s="153" t="str">
        <f>IF(Table13[[#This Row],[Actual Date to Offhire (ADtO)]]="","",YEAR(Table13[[#This Row],[Actual Date to Offhire (ADtO)]]))</f>
        <v/>
      </c>
      <c r="AS16" s="153" t="str">
        <f>IF(Table13[[#This Row],[Actual Date to Offhire (ADtO)]]="","",MONTH(Table13[[#This Row],[Actual Date to Offhire (ADtO)]]))</f>
        <v/>
      </c>
      <c r="AT16" s="153" t="str">
        <f>IF(Table13[[#This Row],[Actual Date to Offhire (ADtO)]]="","",WEEKNUM(Table13[[#This Row],[Actual Date to Offhire (ADtO)]]))</f>
        <v/>
      </c>
      <c r="AU16" s="153" t="str">
        <f>TEXT(Table13[[#This Row],[YEAR3]],"0000")&amp;"-"&amp;Table13[[#This Row],[MONTH3]]</f>
        <v>-</v>
      </c>
      <c r="AV16" s="153">
        <f>IF(E16="",0,
  IF('Delivery Report'!A$2*100+'Delivery Report'!A$5 &lt; YEAR(E16)*100+WEEKNUM(E16), 0,
    IF(OR(G16="", 'Delivery Report'!A$2*100+'Delivery Report'!A$5 &lt;= YEAR(G16)*100+WEEKNUM(G16)),
      IF(LOWER(W16)="hourly", U16*X16*56,
      IF(LOWER(W16)="daily", U16*X16*7,
      IF(LOWER(W16)="weekly", U16*X16,
      IF(LOWER(W16)="monthly", U16*X16*12/52,
      IF(LOWER(W16)="yearly", U16*X16/52,
      IF(LOWER(W16)="one-off", U16*X16,
      0)))))),
    0)))</f>
        <v>0</v>
      </c>
    </row>
    <row r="17" spans="2:48" x14ac:dyDescent="0.3">
      <c r="E17" s="1"/>
      <c r="F17" s="1"/>
      <c r="G17" s="1"/>
      <c r="H17" s="164" t="s">
        <v>315</v>
      </c>
      <c r="P17" s="153"/>
      <c r="Q17" s="155">
        <v>1</v>
      </c>
      <c r="W17" s="153" t="str" cm="1">
        <f t="array" ref="W17">IF(Table13[[#This Row],[QUANTITY]]="","",IFERROR(IF(V17&lt;&gt;"",_xlfn.XLOOKUP(I17&amp;J17,PRICES!C:C&amp;PRICES!B:B,IF(PRICES!F:F&lt;&gt;"",PRICES!F:F,PRICES!E:E),"")),""))</f>
        <v/>
      </c>
      <c r="X17" s="154" t="str" cm="1">
        <f t="array" ref="X17">IF(Table13[[#This Row],[QUANTITY]]="","",IFERROR(IF(U17&lt;&gt;"",_xlfn.XLOOKUP(I17&amp;J17&amp;V17,PRICES!C:C&amp;PRICES!B:B&amp;PRICES!D:D,PRICES!G:G,"")),""))</f>
        <v/>
      </c>
      <c r="Y17" s="154" t="str">
        <f t="shared" ca="1" si="2"/>
        <v/>
      </c>
      <c r="Z17" s="154" t="str">
        <f t="shared" ca="1" si="3"/>
        <v/>
      </c>
      <c r="AA17" s="154" t="str">
        <f t="shared" ca="1" si="4"/>
        <v/>
      </c>
      <c r="AB17" s="154" t="str">
        <f t="shared" ca="1" si="5"/>
        <v/>
      </c>
      <c r="AC17" s="154" t="str">
        <f t="shared" ca="1" si="0"/>
        <v/>
      </c>
      <c r="AD17" s="154" t="str">
        <f>IF(Table13[[#This Row],[QUANTITY]]="","",
  IF(AND(Y17="",Z17="",AA17="",AB17="",AC17=""),
    U17*X17,
  ""))</f>
        <v/>
      </c>
      <c r="AE17" s="154" t="str">
        <f t="shared" ca="1" si="6"/>
        <v/>
      </c>
      <c r="AF17" s="154" t="str">
        <f t="shared" si="7"/>
        <v/>
      </c>
      <c r="AG17" s="154" t="str" cm="1">
        <f t="array" aca="1" ref="AG17" ca="1">IF(Table13[[#This Row],[TOTAL HIRE COST]]="","",IFERROR(IF(U17&lt;&gt;"",_xlfn.XLOOKUP(J17&amp;I17&amp;V17,PRICES!B:B&amp;PRICES!C:C&amp;PRICES!D:D,PRICES!H:H,"")),""))</f>
        <v/>
      </c>
      <c r="AH17" s="154" t="str" cm="1">
        <f t="array" aca="1" ref="AH17" ca="1">IF(Table13[[#This Row],[TOTAL HIRE COST]]="","",IFERROR(IF(U17&lt;&gt;"",_xlfn.XLOOKUP(J17&amp;I17&amp;V17,PRICES!B:B&amp;PRICES!C:C&amp;PRICES!D:D,PRICES!I:I,"")),""))</f>
        <v/>
      </c>
      <c r="AI17" s="154" t="str">
        <f ca="1">IF(Table13[[#This Row],[TOTAL HIRE COST]]="","",Table13[[#This Row],[TOTAL HIRE COST]]+Table13[[#This Row],[DELIVERY COST]]+Table13[[#This Row],[COLLECTION COST]])</f>
        <v/>
      </c>
      <c r="AJ17" s="153" t="str">
        <f>IF(Table13[[#This Row],[Date to Hire (DH)]]="","",YEAR(Table13[[#This Row],[Date to Hire (DH)]]))</f>
        <v/>
      </c>
      <c r="AK17" s="153" t="str">
        <f>IF(Table13[[#This Row],[Date to Hire (DH)]]="","",MONTH(Table13[[#This Row],[Date to Hire (DH)]]))</f>
        <v/>
      </c>
      <c r="AL17" s="153" t="str">
        <f>IF(Table13[[#This Row],[Date to Hire (DH)]]="","",WEEKNUM(Table13[[#This Row],[Date to Hire (DH)]]))</f>
        <v/>
      </c>
      <c r="AM17" s="153" t="str">
        <f>TEXT(Table13[[#This Row],[YEAR]],"0000")&amp;"-"&amp;Table13[[#This Row],[MONTH]]</f>
        <v>-</v>
      </c>
      <c r="AN17" s="153" t="str">
        <f>IF(Table13[[#This Row],[Date of Planned Offhire (DoPO) / If Applicable]]="","",YEAR(Table13[[#This Row],[Date of Planned Offhire (DoPO) / If Applicable]]))</f>
        <v/>
      </c>
      <c r="AO17" s="153" t="str">
        <f>IF(Table13[[#This Row],[Date of Planned Offhire (DoPO) / If Applicable]]="","",MONTH(Table13[[#This Row],[Date of Planned Offhire (DoPO) / If Applicable]]))</f>
        <v/>
      </c>
      <c r="AP17" s="153" t="str">
        <f>IF(Table13[[#This Row],[Date of Planned Offhire (DoPO) / If Applicable]]="","",WEEKNUM(Table13[[#This Row],[Date of Planned Offhire (DoPO) / If Applicable]]))</f>
        <v/>
      </c>
      <c r="AQ17" s="153" t="str">
        <f>TEXT(Table13[[#This Row],[YEAR2]],"0000")&amp;"-"&amp;Table13[[#This Row],[MONTH2]]</f>
        <v>-</v>
      </c>
      <c r="AR17" s="153" t="str">
        <f>IF(Table13[[#This Row],[Actual Date to Offhire (ADtO)]]="","",YEAR(Table13[[#This Row],[Actual Date to Offhire (ADtO)]]))</f>
        <v/>
      </c>
      <c r="AS17" s="153" t="str">
        <f>IF(Table13[[#This Row],[Actual Date to Offhire (ADtO)]]="","",MONTH(Table13[[#This Row],[Actual Date to Offhire (ADtO)]]))</f>
        <v/>
      </c>
      <c r="AT17" s="153" t="str">
        <f>IF(Table13[[#This Row],[Actual Date to Offhire (ADtO)]]="","",WEEKNUM(Table13[[#This Row],[Actual Date to Offhire (ADtO)]]))</f>
        <v/>
      </c>
      <c r="AU17" s="153" t="str">
        <f>TEXT(Table13[[#This Row],[YEAR3]],"0000")&amp;"-"&amp;Table13[[#This Row],[MONTH3]]</f>
        <v>-</v>
      </c>
      <c r="AV17" s="153">
        <f>IF(E17="",0,
  IF('Delivery Report'!A$2*100+'Delivery Report'!A$5 &lt; YEAR(E17)*100+WEEKNUM(E17), 0,
    IF(OR(G17="", 'Delivery Report'!A$2*100+'Delivery Report'!A$5 &lt;= YEAR(G17)*100+WEEKNUM(G17)),
      IF(LOWER(W17)="hourly", U17*X17*56,
      IF(LOWER(W17)="daily", U17*X17*7,
      IF(LOWER(W17)="weekly", U17*X17,
      IF(LOWER(W17)="monthly", U17*X17*12/52,
      IF(LOWER(W17)="yearly", U17*X17/52,
      IF(LOWER(W17)="one-off", U17*X17,
      0)))))),
    0)))</f>
        <v>0</v>
      </c>
    </row>
    <row r="18" spans="2:48" x14ac:dyDescent="0.3">
      <c r="E18" s="1"/>
      <c r="F18" s="1"/>
      <c r="G18" s="1"/>
      <c r="H18" s="164" t="s">
        <v>315</v>
      </c>
      <c r="P18" s="153"/>
      <c r="Q18" s="155">
        <v>1</v>
      </c>
      <c r="W18" s="153" t="str" cm="1">
        <f t="array" ref="W18">IF(Table13[[#This Row],[QUANTITY]]="","",IFERROR(IF(V18&lt;&gt;"",_xlfn.XLOOKUP(I18&amp;J18,PRICES!C:C&amp;PRICES!B:B,IF(PRICES!F:F&lt;&gt;"",PRICES!F:F,PRICES!E:E),"")),""))</f>
        <v/>
      </c>
      <c r="X18" s="154" t="str" cm="1">
        <f t="array" ref="X18">IF(Table13[[#This Row],[QUANTITY]]="","",IFERROR(IF(U18&lt;&gt;"",_xlfn.XLOOKUP(I18&amp;J18&amp;V18,PRICES!C:C&amp;PRICES!B:B&amp;PRICES!D:D,PRICES!G:G,"")),""))</f>
        <v/>
      </c>
      <c r="Y18" s="154" t="str">
        <f t="shared" ca="1" si="2"/>
        <v/>
      </c>
      <c r="Z18" s="154" t="str">
        <f t="shared" ca="1" si="3"/>
        <v/>
      </c>
      <c r="AA18" s="154" t="str">
        <f t="shared" ca="1" si="4"/>
        <v/>
      </c>
      <c r="AB18" s="154" t="str">
        <f t="shared" ca="1" si="5"/>
        <v/>
      </c>
      <c r="AC18" s="154" t="str">
        <f t="shared" ca="1" si="0"/>
        <v/>
      </c>
      <c r="AD18" s="154" t="str">
        <f>IF(Table13[[#This Row],[QUANTITY]]="","",
  IF(AND(Y18="",Z18="",AA18="",AB18="",AC18=""),
    U18*X18,
  ""))</f>
        <v/>
      </c>
      <c r="AE18" s="154" t="str">
        <f t="shared" ca="1" si="6"/>
        <v/>
      </c>
      <c r="AF18" s="154" t="str">
        <f t="shared" si="7"/>
        <v/>
      </c>
      <c r="AG18" s="154" t="str" cm="1">
        <f t="array" aca="1" ref="AG18" ca="1">IF(Table13[[#This Row],[TOTAL HIRE COST]]="","",IFERROR(IF(U18&lt;&gt;"",_xlfn.XLOOKUP(J18&amp;I18&amp;V18,PRICES!B:B&amp;PRICES!C:C&amp;PRICES!D:D,PRICES!H:H,"")),""))</f>
        <v/>
      </c>
      <c r="AH18" s="154" t="str" cm="1">
        <f t="array" aca="1" ref="AH18" ca="1">IF(Table13[[#This Row],[TOTAL HIRE COST]]="","",IFERROR(IF(U18&lt;&gt;"",_xlfn.XLOOKUP(J18&amp;I18&amp;V18,PRICES!B:B&amp;PRICES!C:C&amp;PRICES!D:D,PRICES!I:I,"")),""))</f>
        <v/>
      </c>
      <c r="AI18" s="154" t="str">
        <f ca="1">IF(Table13[[#This Row],[TOTAL HIRE COST]]="","",Table13[[#This Row],[TOTAL HIRE COST]]+Table13[[#This Row],[DELIVERY COST]]+Table13[[#This Row],[COLLECTION COST]])</f>
        <v/>
      </c>
      <c r="AJ18" s="153" t="str">
        <f>IF(Table13[[#This Row],[Date to Hire (DH)]]="","",YEAR(Table13[[#This Row],[Date to Hire (DH)]]))</f>
        <v/>
      </c>
      <c r="AK18" s="153" t="str">
        <f>IF(Table13[[#This Row],[Date to Hire (DH)]]="","",MONTH(Table13[[#This Row],[Date to Hire (DH)]]))</f>
        <v/>
      </c>
      <c r="AL18" s="153" t="str">
        <f>IF(Table13[[#This Row],[Date to Hire (DH)]]="","",WEEKNUM(Table13[[#This Row],[Date to Hire (DH)]]))</f>
        <v/>
      </c>
      <c r="AM18" s="153" t="str">
        <f>TEXT(Table13[[#This Row],[YEAR]],"0000")&amp;"-"&amp;Table13[[#This Row],[MONTH]]</f>
        <v>-</v>
      </c>
      <c r="AN18" s="153" t="str">
        <f>IF(Table13[[#This Row],[Date of Planned Offhire (DoPO) / If Applicable]]="","",YEAR(Table13[[#This Row],[Date of Planned Offhire (DoPO) / If Applicable]]))</f>
        <v/>
      </c>
      <c r="AO18" s="153" t="str">
        <f>IF(Table13[[#This Row],[Date of Planned Offhire (DoPO) / If Applicable]]="","",MONTH(Table13[[#This Row],[Date of Planned Offhire (DoPO) / If Applicable]]))</f>
        <v/>
      </c>
      <c r="AP18" s="153" t="str">
        <f>IF(Table13[[#This Row],[Date of Planned Offhire (DoPO) / If Applicable]]="","",WEEKNUM(Table13[[#This Row],[Date of Planned Offhire (DoPO) / If Applicable]]))</f>
        <v/>
      </c>
      <c r="AQ18" s="153" t="str">
        <f>TEXT(Table13[[#This Row],[YEAR2]],"0000")&amp;"-"&amp;Table13[[#This Row],[MONTH2]]</f>
        <v>-</v>
      </c>
      <c r="AR18" s="153" t="str">
        <f>IF(Table13[[#This Row],[Actual Date to Offhire (ADtO)]]="","",YEAR(Table13[[#This Row],[Actual Date to Offhire (ADtO)]]))</f>
        <v/>
      </c>
      <c r="AS18" s="153" t="str">
        <f>IF(Table13[[#This Row],[Actual Date to Offhire (ADtO)]]="","",MONTH(Table13[[#This Row],[Actual Date to Offhire (ADtO)]]))</f>
        <v/>
      </c>
      <c r="AT18" s="153" t="str">
        <f>IF(Table13[[#This Row],[Actual Date to Offhire (ADtO)]]="","",WEEKNUM(Table13[[#This Row],[Actual Date to Offhire (ADtO)]]))</f>
        <v/>
      </c>
      <c r="AU18" s="153" t="str">
        <f>TEXT(Table13[[#This Row],[YEAR3]],"0000")&amp;"-"&amp;Table13[[#This Row],[MONTH3]]</f>
        <v>-</v>
      </c>
      <c r="AV18" s="153">
        <f>IF(E18="",0,
  IF('Delivery Report'!A$2*100+'Delivery Report'!A$5 &lt; YEAR(E18)*100+WEEKNUM(E18), 0,
    IF(OR(G18="", 'Delivery Report'!A$2*100+'Delivery Report'!A$5 &lt;= YEAR(G18)*100+WEEKNUM(G18)),
      IF(LOWER(W18)="hourly", U18*X18*56,
      IF(LOWER(W18)="daily", U18*X18*7,
      IF(LOWER(W18)="weekly", U18*X18,
      IF(LOWER(W18)="monthly", U18*X18*12/52,
      IF(LOWER(W18)="yearly", U18*X18/52,
      IF(LOWER(W18)="one-off", U18*X18,
      0)))))),
    0)))</f>
        <v>0</v>
      </c>
    </row>
    <row r="19" spans="2:48" x14ac:dyDescent="0.3">
      <c r="E19" s="1"/>
      <c r="F19" s="1"/>
      <c r="G19" s="1"/>
      <c r="H19" s="164" t="s">
        <v>317</v>
      </c>
      <c r="P19" s="153"/>
      <c r="Q19" s="155">
        <v>1</v>
      </c>
      <c r="W19" s="153" t="str" cm="1">
        <f t="array" ref="W19">IF(Table13[[#This Row],[QUANTITY]]="","",IFERROR(IF(V19&lt;&gt;"",_xlfn.XLOOKUP(I19&amp;J19,PRICES!C:C&amp;PRICES!B:B,IF(PRICES!F:F&lt;&gt;"",PRICES!F:F,PRICES!E:E),"")),""))</f>
        <v/>
      </c>
      <c r="X19" s="154" t="str" cm="1">
        <f t="array" ref="X19">IF(Table13[[#This Row],[QUANTITY]]="","",IFERROR(IF(U19&lt;&gt;"",_xlfn.XLOOKUP(I19&amp;J19&amp;V19,PRICES!C:C&amp;PRICES!B:B&amp;PRICES!D:D,PRICES!G:G,"")),""))</f>
        <v/>
      </c>
      <c r="Y19" s="154" t="str">
        <f t="shared" ca="1" si="2"/>
        <v/>
      </c>
      <c r="Z19" s="154" t="str">
        <f t="shared" ca="1" si="3"/>
        <v/>
      </c>
      <c r="AA19" s="154" t="str">
        <f t="shared" ca="1" si="4"/>
        <v/>
      </c>
      <c r="AB19" s="154" t="str">
        <f t="shared" ca="1" si="5"/>
        <v/>
      </c>
      <c r="AC19" s="154" t="str">
        <f t="shared" ca="1" si="0"/>
        <v/>
      </c>
      <c r="AD19" s="154" t="str">
        <f>IF(Table13[[#This Row],[QUANTITY]]="","",
  IF(AND(Y19="",Z19="",AA19="",AB19="",AC19=""),
    U19*X19,
  ""))</f>
        <v/>
      </c>
      <c r="AE19" s="154" t="str">
        <f t="shared" ca="1" si="6"/>
        <v/>
      </c>
      <c r="AF19" s="154" t="str">
        <f t="shared" si="7"/>
        <v/>
      </c>
      <c r="AG19" s="154" t="str" cm="1">
        <f t="array" aca="1" ref="AG19" ca="1">IF(Table13[[#This Row],[TOTAL HIRE COST]]="","",IFERROR(IF(U19&lt;&gt;"",_xlfn.XLOOKUP(J19&amp;I19&amp;V19,PRICES!B:B&amp;PRICES!C:C&amp;PRICES!D:D,PRICES!H:H,"")),""))</f>
        <v/>
      </c>
      <c r="AH19" s="154" t="str" cm="1">
        <f t="array" aca="1" ref="AH19" ca="1">IF(Table13[[#This Row],[TOTAL HIRE COST]]="","",IFERROR(IF(U19&lt;&gt;"",_xlfn.XLOOKUP(J19&amp;I19&amp;V19,PRICES!B:B&amp;PRICES!C:C&amp;PRICES!D:D,PRICES!I:I,"")),""))</f>
        <v/>
      </c>
      <c r="AI19" s="154" t="str">
        <f ca="1">IF(Table13[[#This Row],[TOTAL HIRE COST]]="","",Table13[[#This Row],[TOTAL HIRE COST]]+Table13[[#This Row],[DELIVERY COST]]+Table13[[#This Row],[COLLECTION COST]])</f>
        <v/>
      </c>
      <c r="AJ19" s="153" t="str">
        <f>IF(Table13[[#This Row],[Date to Hire (DH)]]="","",YEAR(Table13[[#This Row],[Date to Hire (DH)]]))</f>
        <v/>
      </c>
      <c r="AK19" s="153" t="str">
        <f>IF(Table13[[#This Row],[Date to Hire (DH)]]="","",MONTH(Table13[[#This Row],[Date to Hire (DH)]]))</f>
        <v/>
      </c>
      <c r="AL19" s="153" t="str">
        <f>IF(Table13[[#This Row],[Date to Hire (DH)]]="","",WEEKNUM(Table13[[#This Row],[Date to Hire (DH)]]))</f>
        <v/>
      </c>
      <c r="AM19" s="153" t="str">
        <f>TEXT(Table13[[#This Row],[YEAR]],"0000")&amp;"-"&amp;Table13[[#This Row],[MONTH]]</f>
        <v>-</v>
      </c>
      <c r="AN19" s="153" t="str">
        <f>IF(Table13[[#This Row],[Date of Planned Offhire (DoPO) / If Applicable]]="","",YEAR(Table13[[#This Row],[Date of Planned Offhire (DoPO) / If Applicable]]))</f>
        <v/>
      </c>
      <c r="AO19" s="153" t="str">
        <f>IF(Table13[[#This Row],[Date of Planned Offhire (DoPO) / If Applicable]]="","",MONTH(Table13[[#This Row],[Date of Planned Offhire (DoPO) / If Applicable]]))</f>
        <v/>
      </c>
      <c r="AP19" s="153" t="str">
        <f>IF(Table13[[#This Row],[Date of Planned Offhire (DoPO) / If Applicable]]="","",WEEKNUM(Table13[[#This Row],[Date of Planned Offhire (DoPO) / If Applicable]]))</f>
        <v/>
      </c>
      <c r="AQ19" s="153" t="str">
        <f>TEXT(Table13[[#This Row],[YEAR2]],"0000")&amp;"-"&amp;Table13[[#This Row],[MONTH2]]</f>
        <v>-</v>
      </c>
      <c r="AR19" s="153" t="str">
        <f>IF(Table13[[#This Row],[Actual Date to Offhire (ADtO)]]="","",YEAR(Table13[[#This Row],[Actual Date to Offhire (ADtO)]]))</f>
        <v/>
      </c>
      <c r="AS19" s="153" t="str">
        <f>IF(Table13[[#This Row],[Actual Date to Offhire (ADtO)]]="","",MONTH(Table13[[#This Row],[Actual Date to Offhire (ADtO)]]))</f>
        <v/>
      </c>
      <c r="AT19" s="153" t="str">
        <f>IF(Table13[[#This Row],[Actual Date to Offhire (ADtO)]]="","",WEEKNUM(Table13[[#This Row],[Actual Date to Offhire (ADtO)]]))</f>
        <v/>
      </c>
      <c r="AU19" s="153" t="str">
        <f>TEXT(Table13[[#This Row],[YEAR3]],"0000")&amp;"-"&amp;Table13[[#This Row],[MONTH3]]</f>
        <v>-</v>
      </c>
      <c r="AV19" s="153">
        <f>IF(E19="",0,
  IF('Delivery Report'!A$2*100+'Delivery Report'!A$5 &lt; YEAR(E19)*100+WEEKNUM(E19), 0,
    IF(OR(G19="", 'Delivery Report'!A$2*100+'Delivery Report'!A$5 &lt;= YEAR(G19)*100+WEEKNUM(G19)),
      IF(LOWER(W19)="hourly", U19*X19*56,
      IF(LOWER(W19)="daily", U19*X19*7,
      IF(LOWER(W19)="weekly", U19*X19,
      IF(LOWER(W19)="monthly", U19*X19*12/52,
      IF(LOWER(W19)="yearly", U19*X19/52,
      IF(LOWER(W19)="one-off", U19*X19,
      0)))))),
    0)))</f>
        <v>0</v>
      </c>
    </row>
    <row r="20" spans="2:48" x14ac:dyDescent="0.3">
      <c r="E20" s="1"/>
      <c r="F20" s="1"/>
      <c r="G20" s="1"/>
      <c r="H20" s="164" t="s">
        <v>315</v>
      </c>
      <c r="P20" s="153"/>
      <c r="Q20" s="155">
        <v>1</v>
      </c>
      <c r="W20" s="153" t="str" cm="1">
        <f t="array" ref="W20">IF(Table13[[#This Row],[QUANTITY]]="","",IFERROR(IF(V20&lt;&gt;"",_xlfn.XLOOKUP(I20&amp;J20,PRICES!C:C&amp;PRICES!B:B,IF(PRICES!F:F&lt;&gt;"",PRICES!F:F,PRICES!E:E),"")),""))</f>
        <v/>
      </c>
      <c r="X20" s="154" t="str" cm="1">
        <f t="array" ref="X20">IF(Table13[[#This Row],[QUANTITY]]="","",IFERROR(IF(U20&lt;&gt;"",_xlfn.XLOOKUP(I20&amp;J20&amp;V20,PRICES!C:C&amp;PRICES!B:B&amp;PRICES!D:D,PRICES!G:G,"")),""))</f>
        <v/>
      </c>
      <c r="Y20" s="154" t="str">
        <f t="shared" ca="1" si="2"/>
        <v/>
      </c>
      <c r="Z20" s="154" t="str">
        <f t="shared" ca="1" si="3"/>
        <v/>
      </c>
      <c r="AA20" s="154" t="str">
        <f t="shared" ca="1" si="4"/>
        <v/>
      </c>
      <c r="AB20" s="154" t="str">
        <f t="shared" ca="1" si="5"/>
        <v/>
      </c>
      <c r="AC20" s="154" t="str">
        <f t="shared" ca="1" si="0"/>
        <v/>
      </c>
      <c r="AD20" s="154" t="str">
        <f>IF(Table13[[#This Row],[QUANTITY]]="","",
  IF(AND(Y20="",Z20="",AA20="",AB20="",AC20=""),
    U20*X20,
  ""))</f>
        <v/>
      </c>
      <c r="AE20" s="154" t="str">
        <f t="shared" ca="1" si="6"/>
        <v/>
      </c>
      <c r="AF20" s="154" t="str">
        <f t="shared" si="7"/>
        <v/>
      </c>
      <c r="AG20" s="154" t="str" cm="1">
        <f t="array" aca="1" ref="AG20" ca="1">IF(Table13[[#This Row],[TOTAL HIRE COST]]="","",IFERROR(IF(U20&lt;&gt;"",_xlfn.XLOOKUP(J20&amp;I20&amp;V20,PRICES!B:B&amp;PRICES!C:C&amp;PRICES!D:D,PRICES!H:H,"")),""))</f>
        <v/>
      </c>
      <c r="AH20" s="154" t="str" cm="1">
        <f t="array" aca="1" ref="AH20" ca="1">IF(Table13[[#This Row],[TOTAL HIRE COST]]="","",IFERROR(IF(U20&lt;&gt;"",_xlfn.XLOOKUP(J20&amp;I20&amp;V20,PRICES!B:B&amp;PRICES!C:C&amp;PRICES!D:D,PRICES!I:I,"")),""))</f>
        <v/>
      </c>
      <c r="AI20" s="154" t="str">
        <f ca="1">IF(Table13[[#This Row],[TOTAL HIRE COST]]="","",Table13[[#This Row],[TOTAL HIRE COST]]+Table13[[#This Row],[DELIVERY COST]]+Table13[[#This Row],[COLLECTION COST]])</f>
        <v/>
      </c>
      <c r="AJ20" s="153" t="str">
        <f>IF(Table13[[#This Row],[Date to Hire (DH)]]="","",YEAR(Table13[[#This Row],[Date to Hire (DH)]]))</f>
        <v/>
      </c>
      <c r="AK20" s="153" t="str">
        <f>IF(Table13[[#This Row],[Date to Hire (DH)]]="","",MONTH(Table13[[#This Row],[Date to Hire (DH)]]))</f>
        <v/>
      </c>
      <c r="AL20" s="153" t="str">
        <f>IF(Table13[[#This Row],[Date to Hire (DH)]]="","",WEEKNUM(Table13[[#This Row],[Date to Hire (DH)]]))</f>
        <v/>
      </c>
      <c r="AM20" s="153" t="str">
        <f>TEXT(Table13[[#This Row],[YEAR]],"0000")&amp;"-"&amp;Table13[[#This Row],[MONTH]]</f>
        <v>-</v>
      </c>
      <c r="AN20" s="153" t="str">
        <f>IF(Table13[[#This Row],[Date of Planned Offhire (DoPO) / If Applicable]]="","",YEAR(Table13[[#This Row],[Date of Planned Offhire (DoPO) / If Applicable]]))</f>
        <v/>
      </c>
      <c r="AO20" s="153" t="str">
        <f>IF(Table13[[#This Row],[Date of Planned Offhire (DoPO) / If Applicable]]="","",MONTH(Table13[[#This Row],[Date of Planned Offhire (DoPO) / If Applicable]]))</f>
        <v/>
      </c>
      <c r="AP20" s="153" t="str">
        <f>IF(Table13[[#This Row],[Date of Planned Offhire (DoPO) / If Applicable]]="","",WEEKNUM(Table13[[#This Row],[Date of Planned Offhire (DoPO) / If Applicable]]))</f>
        <v/>
      </c>
      <c r="AQ20" s="153" t="str">
        <f>TEXT(Table13[[#This Row],[YEAR2]],"0000")&amp;"-"&amp;Table13[[#This Row],[MONTH2]]</f>
        <v>-</v>
      </c>
      <c r="AR20" s="153" t="str">
        <f>IF(Table13[[#This Row],[Actual Date to Offhire (ADtO)]]="","",YEAR(Table13[[#This Row],[Actual Date to Offhire (ADtO)]]))</f>
        <v/>
      </c>
      <c r="AS20" s="153" t="str">
        <f>IF(Table13[[#This Row],[Actual Date to Offhire (ADtO)]]="","",MONTH(Table13[[#This Row],[Actual Date to Offhire (ADtO)]]))</f>
        <v/>
      </c>
      <c r="AT20" s="153" t="str">
        <f>IF(Table13[[#This Row],[Actual Date to Offhire (ADtO)]]="","",WEEKNUM(Table13[[#This Row],[Actual Date to Offhire (ADtO)]]))</f>
        <v/>
      </c>
      <c r="AU20" s="153" t="str">
        <f>TEXT(Table13[[#This Row],[YEAR3]],"0000")&amp;"-"&amp;Table13[[#This Row],[MONTH3]]</f>
        <v>-</v>
      </c>
      <c r="AV20" s="153">
        <f>IF(E20="",0,
  IF('Delivery Report'!A$2*100+'Delivery Report'!A$5 &lt; YEAR(E20)*100+WEEKNUM(E20), 0,
    IF(OR(G20="", 'Delivery Report'!A$2*100+'Delivery Report'!A$5 &lt;= YEAR(G20)*100+WEEKNUM(G20)),
      IF(LOWER(W20)="hourly", U20*X20*56,
      IF(LOWER(W20)="daily", U20*X20*7,
      IF(LOWER(W20)="weekly", U20*X20,
      IF(LOWER(W20)="monthly", U20*X20*12/52,
      IF(LOWER(W20)="yearly", U20*X20/52,
      IF(LOWER(W20)="one-off", U20*X20,
      0)))))),
    0)))</f>
        <v>0</v>
      </c>
    </row>
    <row r="21" spans="2:48" x14ac:dyDescent="0.3">
      <c r="E21" s="1"/>
      <c r="F21" s="1"/>
      <c r="G21" s="1"/>
      <c r="H21" s="164" t="s">
        <v>317</v>
      </c>
      <c r="P21" s="153"/>
      <c r="Q21" s="155">
        <v>1</v>
      </c>
      <c r="W21" s="153" t="str" cm="1">
        <f t="array" ref="W21">IF(Table13[[#This Row],[QUANTITY]]="","",IFERROR(IF(V21&lt;&gt;"",_xlfn.XLOOKUP(I21&amp;J21,PRICES!C:C&amp;PRICES!B:B,IF(PRICES!F:F&lt;&gt;"",PRICES!F:F,PRICES!E:E),"")),""))</f>
        <v/>
      </c>
      <c r="X21" s="154" t="str" cm="1">
        <f t="array" ref="X21">IF(Table13[[#This Row],[QUANTITY]]="","",IFERROR(IF(U21&lt;&gt;"",_xlfn.XLOOKUP(I21&amp;J21&amp;V21,PRICES!C:C&amp;PRICES!B:B&amp;PRICES!D:D,PRICES!G:G,"")),""))</f>
        <v/>
      </c>
      <c r="Y21" s="154" t="str">
        <f t="shared" ca="1" si="2"/>
        <v/>
      </c>
      <c r="Z21" s="154" t="str">
        <f t="shared" ca="1" si="3"/>
        <v/>
      </c>
      <c r="AA21" s="154" t="str">
        <f t="shared" ca="1" si="4"/>
        <v/>
      </c>
      <c r="AB21" s="154" t="str">
        <f t="shared" ca="1" si="5"/>
        <v/>
      </c>
      <c r="AC21" s="154" t="str">
        <f t="shared" ca="1" si="0"/>
        <v/>
      </c>
      <c r="AD21" s="154" t="str">
        <f>IF(Table13[[#This Row],[QUANTITY]]="","",
  IF(AND(Y21="",Z21="",AA21="",AB21="",AC21=""),
    U21*X21,
  ""))</f>
        <v/>
      </c>
      <c r="AE21" s="154" t="str">
        <f t="shared" ca="1" si="6"/>
        <v/>
      </c>
      <c r="AF21" s="154" t="str">
        <f t="shared" si="7"/>
        <v/>
      </c>
      <c r="AG21" s="154" t="str" cm="1">
        <f t="array" aca="1" ref="AG21" ca="1">IF(Table13[[#This Row],[TOTAL HIRE COST]]="","",IFERROR(IF(U21&lt;&gt;"",_xlfn.XLOOKUP(J21&amp;I21&amp;V21,PRICES!B:B&amp;PRICES!C:C&amp;PRICES!D:D,PRICES!H:H,"")),""))</f>
        <v/>
      </c>
      <c r="AH21" s="154" t="str" cm="1">
        <f t="array" aca="1" ref="AH21" ca="1">IF(Table13[[#This Row],[TOTAL HIRE COST]]="","",IFERROR(IF(U21&lt;&gt;"",_xlfn.XLOOKUP(J21&amp;I21&amp;V21,PRICES!B:B&amp;PRICES!C:C&amp;PRICES!D:D,PRICES!I:I,"")),""))</f>
        <v/>
      </c>
      <c r="AI21" s="154" t="str">
        <f ca="1">IF(Table13[[#This Row],[TOTAL HIRE COST]]="","",Table13[[#This Row],[TOTAL HIRE COST]]+Table13[[#This Row],[DELIVERY COST]]+Table13[[#This Row],[COLLECTION COST]])</f>
        <v/>
      </c>
      <c r="AJ21" s="153" t="str">
        <f>IF(Table13[[#This Row],[Date to Hire (DH)]]="","",YEAR(Table13[[#This Row],[Date to Hire (DH)]]))</f>
        <v/>
      </c>
      <c r="AK21" s="153" t="str">
        <f>IF(Table13[[#This Row],[Date to Hire (DH)]]="","",MONTH(Table13[[#This Row],[Date to Hire (DH)]]))</f>
        <v/>
      </c>
      <c r="AL21" s="153" t="str">
        <f>IF(Table13[[#This Row],[Date to Hire (DH)]]="","",WEEKNUM(Table13[[#This Row],[Date to Hire (DH)]]))</f>
        <v/>
      </c>
      <c r="AM21" s="153" t="str">
        <f>TEXT(Table13[[#This Row],[YEAR]],"0000")&amp;"-"&amp;Table13[[#This Row],[MONTH]]</f>
        <v>-</v>
      </c>
      <c r="AN21" s="153" t="str">
        <f>IF(Table13[[#This Row],[Date of Planned Offhire (DoPO) / If Applicable]]="","",YEAR(Table13[[#This Row],[Date of Planned Offhire (DoPO) / If Applicable]]))</f>
        <v/>
      </c>
      <c r="AO21" s="153" t="str">
        <f>IF(Table13[[#This Row],[Date of Planned Offhire (DoPO) / If Applicable]]="","",MONTH(Table13[[#This Row],[Date of Planned Offhire (DoPO) / If Applicable]]))</f>
        <v/>
      </c>
      <c r="AP21" s="153" t="str">
        <f>IF(Table13[[#This Row],[Date of Planned Offhire (DoPO) / If Applicable]]="","",WEEKNUM(Table13[[#This Row],[Date of Planned Offhire (DoPO) / If Applicable]]))</f>
        <v/>
      </c>
      <c r="AQ21" s="153" t="str">
        <f>TEXT(Table13[[#This Row],[YEAR2]],"0000")&amp;"-"&amp;Table13[[#This Row],[MONTH2]]</f>
        <v>-</v>
      </c>
      <c r="AR21" s="153" t="str">
        <f>IF(Table13[[#This Row],[Actual Date to Offhire (ADtO)]]="","",YEAR(Table13[[#This Row],[Actual Date to Offhire (ADtO)]]))</f>
        <v/>
      </c>
      <c r="AS21" s="153" t="str">
        <f>IF(Table13[[#This Row],[Actual Date to Offhire (ADtO)]]="","",MONTH(Table13[[#This Row],[Actual Date to Offhire (ADtO)]]))</f>
        <v/>
      </c>
      <c r="AT21" s="153" t="str">
        <f>IF(Table13[[#This Row],[Actual Date to Offhire (ADtO)]]="","",WEEKNUM(Table13[[#This Row],[Actual Date to Offhire (ADtO)]]))</f>
        <v/>
      </c>
      <c r="AU21" s="153" t="str">
        <f>TEXT(Table13[[#This Row],[YEAR3]],"0000")&amp;"-"&amp;Table13[[#This Row],[MONTH3]]</f>
        <v>-</v>
      </c>
      <c r="AV21" s="153">
        <f>IF(E21="",0,
  IF('Delivery Report'!A$2*100+'Delivery Report'!A$5 &lt; YEAR(E21)*100+WEEKNUM(E21), 0,
    IF(OR(G21="", 'Delivery Report'!A$2*100+'Delivery Report'!A$5 &lt;= YEAR(G21)*100+WEEKNUM(G21)),
      IF(LOWER(W21)="hourly", U21*X21*56,
      IF(LOWER(W21)="daily", U21*X21*7,
      IF(LOWER(W21)="weekly", U21*X21,
      IF(LOWER(W21)="monthly", U21*X21*12/52,
      IF(LOWER(W21)="yearly", U21*X21/52,
      IF(LOWER(W21)="one-off", U21*X21,
      0)))))),
    0)))</f>
        <v>0</v>
      </c>
    </row>
    <row r="22" spans="2:48" x14ac:dyDescent="0.3">
      <c r="E22" s="1"/>
      <c r="F22" s="1"/>
      <c r="G22" s="1"/>
      <c r="H22" s="164" t="s">
        <v>317</v>
      </c>
      <c r="P22" s="153"/>
      <c r="Q22" s="155">
        <v>1</v>
      </c>
      <c r="W22" s="153" t="str" cm="1">
        <f t="array" ref="W22">IF(Table13[[#This Row],[QUANTITY]]="","",IFERROR(IF(V22&lt;&gt;"",_xlfn.XLOOKUP(I22&amp;J22,PRICES!C:C&amp;PRICES!B:B,IF(PRICES!F:F&lt;&gt;"",PRICES!F:F,PRICES!E:E),"")),""))</f>
        <v/>
      </c>
      <c r="X22" s="154" t="str" cm="1">
        <f t="array" ref="X22">IF(Table13[[#This Row],[QUANTITY]]="","",IFERROR(IF(U22&lt;&gt;"",_xlfn.XLOOKUP(I22&amp;J22&amp;V22,PRICES!C:C&amp;PRICES!B:B&amp;PRICES!D:D,PRICES!G:G,"")),""))</f>
        <v/>
      </c>
      <c r="Y22" s="154" t="str">
        <f t="shared" ca="1" si="2"/>
        <v/>
      </c>
      <c r="Z22" s="154" t="str">
        <f t="shared" ca="1" si="3"/>
        <v/>
      </c>
      <c r="AA22" s="154" t="str">
        <f t="shared" ca="1" si="4"/>
        <v/>
      </c>
      <c r="AB22" s="154" t="str">
        <f t="shared" ca="1" si="5"/>
        <v/>
      </c>
      <c r="AC22" s="154" t="str">
        <f t="shared" ca="1" si="0"/>
        <v/>
      </c>
      <c r="AD22" s="154" t="str">
        <f>IF(Table13[[#This Row],[QUANTITY]]="","",
  IF(AND(Y22="",Z22="",AA22="",AB22="",AC22=""),
    U22*X22,
  ""))</f>
        <v/>
      </c>
      <c r="AE22" s="154" t="str">
        <f t="shared" ca="1" si="6"/>
        <v/>
      </c>
      <c r="AF22" s="154" t="str">
        <f t="shared" si="7"/>
        <v/>
      </c>
      <c r="AG22" s="154" t="str" cm="1">
        <f t="array" aca="1" ref="AG22" ca="1">IF(Table13[[#This Row],[TOTAL HIRE COST]]="","",IFERROR(IF(U22&lt;&gt;"",_xlfn.XLOOKUP(J22&amp;I22&amp;V22,PRICES!B:B&amp;PRICES!C:C&amp;PRICES!D:D,PRICES!H:H,"")),""))</f>
        <v/>
      </c>
      <c r="AH22" s="154" t="str" cm="1">
        <f t="array" aca="1" ref="AH22" ca="1">IF(Table13[[#This Row],[TOTAL HIRE COST]]="","",IFERROR(IF(U22&lt;&gt;"",_xlfn.XLOOKUP(J22&amp;I22&amp;V22,PRICES!B:B&amp;PRICES!C:C&amp;PRICES!D:D,PRICES!I:I,"")),""))</f>
        <v/>
      </c>
      <c r="AI22" s="154" t="str">
        <f ca="1">IF(Table13[[#This Row],[TOTAL HIRE COST]]="","",Table13[[#This Row],[TOTAL HIRE COST]]+Table13[[#This Row],[DELIVERY COST]]+Table13[[#This Row],[COLLECTION COST]])</f>
        <v/>
      </c>
      <c r="AJ22" s="153" t="str">
        <f>IF(Table13[[#This Row],[Date to Hire (DH)]]="","",YEAR(Table13[[#This Row],[Date to Hire (DH)]]))</f>
        <v/>
      </c>
      <c r="AK22" s="153" t="str">
        <f>IF(Table13[[#This Row],[Date to Hire (DH)]]="","",MONTH(Table13[[#This Row],[Date to Hire (DH)]]))</f>
        <v/>
      </c>
      <c r="AL22" s="153" t="str">
        <f>IF(Table13[[#This Row],[Date to Hire (DH)]]="","",WEEKNUM(Table13[[#This Row],[Date to Hire (DH)]]))</f>
        <v/>
      </c>
      <c r="AM22" s="153" t="str">
        <f>TEXT(Table13[[#This Row],[YEAR]],"0000")&amp;"-"&amp;Table13[[#This Row],[MONTH]]</f>
        <v>-</v>
      </c>
      <c r="AN22" s="153" t="str">
        <f>IF(Table13[[#This Row],[Date of Planned Offhire (DoPO) / If Applicable]]="","",YEAR(Table13[[#This Row],[Date of Planned Offhire (DoPO) / If Applicable]]))</f>
        <v/>
      </c>
      <c r="AO22" s="153" t="str">
        <f>IF(Table13[[#This Row],[Date of Planned Offhire (DoPO) / If Applicable]]="","",MONTH(Table13[[#This Row],[Date of Planned Offhire (DoPO) / If Applicable]]))</f>
        <v/>
      </c>
      <c r="AP22" s="153" t="str">
        <f>IF(Table13[[#This Row],[Date of Planned Offhire (DoPO) / If Applicable]]="","",WEEKNUM(Table13[[#This Row],[Date of Planned Offhire (DoPO) / If Applicable]]))</f>
        <v/>
      </c>
      <c r="AQ22" s="153" t="str">
        <f>TEXT(Table13[[#This Row],[YEAR2]],"0000")&amp;"-"&amp;Table13[[#This Row],[MONTH2]]</f>
        <v>-</v>
      </c>
      <c r="AR22" s="153" t="str">
        <f>IF(Table13[[#This Row],[Actual Date to Offhire (ADtO)]]="","",YEAR(Table13[[#This Row],[Actual Date to Offhire (ADtO)]]))</f>
        <v/>
      </c>
      <c r="AS22" s="153" t="str">
        <f>IF(Table13[[#This Row],[Actual Date to Offhire (ADtO)]]="","",MONTH(Table13[[#This Row],[Actual Date to Offhire (ADtO)]]))</f>
        <v/>
      </c>
      <c r="AT22" s="153" t="str">
        <f>IF(Table13[[#This Row],[Actual Date to Offhire (ADtO)]]="","",WEEKNUM(Table13[[#This Row],[Actual Date to Offhire (ADtO)]]))</f>
        <v/>
      </c>
      <c r="AU22" s="153" t="str">
        <f>TEXT(Table13[[#This Row],[YEAR3]],"0000")&amp;"-"&amp;Table13[[#This Row],[MONTH3]]</f>
        <v>-</v>
      </c>
      <c r="AV22" s="153">
        <f>IF(E22="",0,
  IF('Delivery Report'!A$2*100+'Delivery Report'!A$5 &lt; YEAR(E22)*100+WEEKNUM(E22), 0,
    IF(OR(G22="", 'Delivery Report'!A$2*100+'Delivery Report'!A$5 &lt;= YEAR(G22)*100+WEEKNUM(G22)),
      IF(LOWER(W22)="hourly", U22*X22*56,
      IF(LOWER(W22)="daily", U22*X22*7,
      IF(LOWER(W22)="weekly", U22*X22,
      IF(LOWER(W22)="monthly", U22*X22*12/52,
      IF(LOWER(W22)="yearly", U22*X22/52,
      IF(LOWER(W22)="one-off", U22*X22,
      0)))))),
    0)))</f>
        <v>0</v>
      </c>
    </row>
    <row r="23" spans="2:48" x14ac:dyDescent="0.3">
      <c r="E23" s="1"/>
      <c r="F23" s="1"/>
      <c r="G23" s="1"/>
      <c r="H23" s="164" t="s">
        <v>315</v>
      </c>
      <c r="P23" s="153"/>
      <c r="Q23" s="155">
        <v>1</v>
      </c>
      <c r="W23" s="153" t="str" cm="1">
        <f t="array" ref="W23">IF(Table13[[#This Row],[QUANTITY]]="","",IFERROR(IF(V23&lt;&gt;"",_xlfn.XLOOKUP(I23&amp;J23,PRICES!C:C&amp;PRICES!B:B,IF(PRICES!F:F&lt;&gt;"",PRICES!F:F,PRICES!E:E),"")),""))</f>
        <v/>
      </c>
      <c r="X23" s="154" t="str" cm="1">
        <f t="array" ref="X23">IF(Table13[[#This Row],[QUANTITY]]="","",IFERROR(IF(U23&lt;&gt;"",_xlfn.XLOOKUP(I23&amp;J23&amp;V23,PRICES!C:C&amp;PRICES!B:B&amp;PRICES!D:D,PRICES!G:G,"")),""))</f>
        <v/>
      </c>
      <c r="Y23" s="154" t="str">
        <f t="shared" ca="1" si="2"/>
        <v/>
      </c>
      <c r="Z23" s="154" t="str">
        <f t="shared" ca="1" si="3"/>
        <v/>
      </c>
      <c r="AA23" s="154" t="str">
        <f t="shared" ca="1" si="4"/>
        <v/>
      </c>
      <c r="AB23" s="154" t="str">
        <f t="shared" ca="1" si="5"/>
        <v/>
      </c>
      <c r="AC23" s="154" t="str">
        <f t="shared" ca="1" si="0"/>
        <v/>
      </c>
      <c r="AD23" s="154" t="str">
        <f>IF(Table13[[#This Row],[QUANTITY]]="","",
  IF(AND(Y23="",Z23="",AA23="",AB23="",AC23=""),
    U23*X23,
  ""))</f>
        <v/>
      </c>
      <c r="AE23" s="154" t="str">
        <f t="shared" ca="1" si="6"/>
        <v/>
      </c>
      <c r="AF23" s="154" t="str">
        <f t="shared" si="7"/>
        <v/>
      </c>
      <c r="AG23" s="154" t="str" cm="1">
        <f t="array" aca="1" ref="AG23" ca="1">IF(Table13[[#This Row],[TOTAL HIRE COST]]="","",IFERROR(IF(U23&lt;&gt;"",_xlfn.XLOOKUP(J23&amp;I23&amp;V23,PRICES!B:B&amp;PRICES!C:C&amp;PRICES!D:D,PRICES!H:H,"")),""))</f>
        <v/>
      </c>
      <c r="AH23" s="154" t="str" cm="1">
        <f t="array" aca="1" ref="AH23" ca="1">IF(Table13[[#This Row],[TOTAL HIRE COST]]="","",IFERROR(IF(U23&lt;&gt;"",_xlfn.XLOOKUP(J23&amp;I23&amp;V23,PRICES!B:B&amp;PRICES!C:C&amp;PRICES!D:D,PRICES!I:I,"")),""))</f>
        <v/>
      </c>
      <c r="AI23" s="154" t="str">
        <f ca="1">IF(Table13[[#This Row],[TOTAL HIRE COST]]="","",Table13[[#This Row],[TOTAL HIRE COST]]+Table13[[#This Row],[DELIVERY COST]]+Table13[[#This Row],[COLLECTION COST]])</f>
        <v/>
      </c>
      <c r="AJ23" s="153" t="str">
        <f>IF(Table13[[#This Row],[Date to Hire (DH)]]="","",YEAR(Table13[[#This Row],[Date to Hire (DH)]]))</f>
        <v/>
      </c>
      <c r="AK23" s="153" t="str">
        <f>IF(Table13[[#This Row],[Date to Hire (DH)]]="","",MONTH(Table13[[#This Row],[Date to Hire (DH)]]))</f>
        <v/>
      </c>
      <c r="AL23" s="153" t="str">
        <f>IF(Table13[[#This Row],[Date to Hire (DH)]]="","",WEEKNUM(Table13[[#This Row],[Date to Hire (DH)]]))</f>
        <v/>
      </c>
      <c r="AM23" s="153" t="str">
        <f>TEXT(Table13[[#This Row],[YEAR]],"0000")&amp;"-"&amp;Table13[[#This Row],[MONTH]]</f>
        <v>-</v>
      </c>
      <c r="AN23" s="153" t="str">
        <f>IF(Table13[[#This Row],[Date of Planned Offhire (DoPO) / If Applicable]]="","",YEAR(Table13[[#This Row],[Date of Planned Offhire (DoPO) / If Applicable]]))</f>
        <v/>
      </c>
      <c r="AO23" s="153" t="str">
        <f>IF(Table13[[#This Row],[Date of Planned Offhire (DoPO) / If Applicable]]="","",MONTH(Table13[[#This Row],[Date of Planned Offhire (DoPO) / If Applicable]]))</f>
        <v/>
      </c>
      <c r="AP23" s="153" t="str">
        <f>IF(Table13[[#This Row],[Date of Planned Offhire (DoPO) / If Applicable]]="","",WEEKNUM(Table13[[#This Row],[Date of Planned Offhire (DoPO) / If Applicable]]))</f>
        <v/>
      </c>
      <c r="AQ23" s="153" t="str">
        <f>TEXT(Table13[[#This Row],[YEAR2]],"0000")&amp;"-"&amp;Table13[[#This Row],[MONTH2]]</f>
        <v>-</v>
      </c>
      <c r="AR23" s="153" t="str">
        <f>IF(Table13[[#This Row],[Actual Date to Offhire (ADtO)]]="","",YEAR(Table13[[#This Row],[Actual Date to Offhire (ADtO)]]))</f>
        <v/>
      </c>
      <c r="AS23" s="153" t="str">
        <f>IF(Table13[[#This Row],[Actual Date to Offhire (ADtO)]]="","",MONTH(Table13[[#This Row],[Actual Date to Offhire (ADtO)]]))</f>
        <v/>
      </c>
      <c r="AT23" s="153" t="str">
        <f>IF(Table13[[#This Row],[Actual Date to Offhire (ADtO)]]="","",WEEKNUM(Table13[[#This Row],[Actual Date to Offhire (ADtO)]]))</f>
        <v/>
      </c>
      <c r="AU23" s="153" t="str">
        <f>TEXT(Table13[[#This Row],[YEAR3]],"0000")&amp;"-"&amp;Table13[[#This Row],[MONTH3]]</f>
        <v>-</v>
      </c>
      <c r="AV23" s="153">
        <f>IF(E23="",0,
  IF('Delivery Report'!A$2*100+'Delivery Report'!A$5 &lt; YEAR(E23)*100+WEEKNUM(E23), 0,
    IF(OR(G23="", 'Delivery Report'!A$2*100+'Delivery Report'!A$5 &lt;= YEAR(G23)*100+WEEKNUM(G23)),
      IF(LOWER(W23)="hourly", U23*X23*56,
      IF(LOWER(W23)="daily", U23*X23*7,
      IF(LOWER(W23)="weekly", U23*X23,
      IF(LOWER(W23)="monthly", U23*X23*12/52,
      IF(LOWER(W23)="yearly", U23*X23/52,
      IF(LOWER(W23)="one-off", U23*X23,
      0)))))),
    0)))</f>
        <v>0</v>
      </c>
    </row>
    <row r="24" spans="2:48" x14ac:dyDescent="0.3">
      <c r="E24" s="1"/>
      <c r="F24" s="1"/>
      <c r="G24" s="1"/>
      <c r="H24" s="164" t="s">
        <v>317</v>
      </c>
      <c r="P24" s="153"/>
      <c r="Q24" s="155">
        <v>1</v>
      </c>
      <c r="W24" s="153" t="str" cm="1">
        <f t="array" ref="W24">IF(Table13[[#This Row],[QUANTITY]]="","",IFERROR(IF(V24&lt;&gt;"",_xlfn.XLOOKUP(I24&amp;J24,PRICES!C:C&amp;PRICES!B:B,IF(PRICES!F:F&lt;&gt;"",PRICES!F:F,PRICES!E:E),"")),""))</f>
        <v/>
      </c>
      <c r="X24" s="154" t="str" cm="1">
        <f t="array" ref="X24">IF(Table13[[#This Row],[QUANTITY]]="","",IFERROR(IF(U24&lt;&gt;"",_xlfn.XLOOKUP(I24&amp;J24&amp;V24,PRICES!C:C&amp;PRICES!B:B&amp;PRICES!D:D,PRICES!G:G,"")),""))</f>
        <v/>
      </c>
      <c r="Y24" s="154" t="str">
        <f t="shared" ca="1" si="2"/>
        <v/>
      </c>
      <c r="Z24" s="154" t="str">
        <f t="shared" ca="1" si="3"/>
        <v/>
      </c>
      <c r="AA24" s="154" t="str">
        <f t="shared" ca="1" si="4"/>
        <v/>
      </c>
      <c r="AB24" s="154" t="str">
        <f t="shared" ca="1" si="5"/>
        <v/>
      </c>
      <c r="AC24" s="154" t="str">
        <f t="shared" ca="1" si="0"/>
        <v/>
      </c>
      <c r="AD24" s="154" t="str">
        <f>IF(Table13[[#This Row],[QUANTITY]]="","",
  IF(AND(Y24="",Z24="",AA24="",AB24="",AC24=""),
    U24*X24,
  ""))</f>
        <v/>
      </c>
      <c r="AE24" s="154" t="str">
        <f t="shared" ca="1" si="6"/>
        <v/>
      </c>
      <c r="AF24" s="154" t="str">
        <f t="shared" si="7"/>
        <v/>
      </c>
      <c r="AG24" s="154" t="str" cm="1">
        <f t="array" aca="1" ref="AG24" ca="1">IF(Table13[[#This Row],[TOTAL HIRE COST]]="","",IFERROR(IF(U24&lt;&gt;"",_xlfn.XLOOKUP(J24&amp;I24&amp;V24,PRICES!B:B&amp;PRICES!C:C&amp;PRICES!D:D,PRICES!H:H,"")),""))</f>
        <v/>
      </c>
      <c r="AH24" s="154" t="str" cm="1">
        <f t="array" aca="1" ref="AH24" ca="1">IF(Table13[[#This Row],[TOTAL HIRE COST]]="","",IFERROR(IF(U24&lt;&gt;"",_xlfn.XLOOKUP(J24&amp;I24&amp;V24,PRICES!B:B&amp;PRICES!C:C&amp;PRICES!D:D,PRICES!I:I,"")),""))</f>
        <v/>
      </c>
      <c r="AI24" s="154" t="str">
        <f ca="1">IF(Table13[[#This Row],[TOTAL HIRE COST]]="","",Table13[[#This Row],[TOTAL HIRE COST]]+Table13[[#This Row],[DELIVERY COST]]+Table13[[#This Row],[COLLECTION COST]])</f>
        <v/>
      </c>
      <c r="AJ24" s="153" t="str">
        <f>IF(Table13[[#This Row],[Date to Hire (DH)]]="","",YEAR(Table13[[#This Row],[Date to Hire (DH)]]))</f>
        <v/>
      </c>
      <c r="AK24" s="153" t="str">
        <f>IF(Table13[[#This Row],[Date to Hire (DH)]]="","",MONTH(Table13[[#This Row],[Date to Hire (DH)]]))</f>
        <v/>
      </c>
      <c r="AL24" s="153" t="str">
        <f>IF(Table13[[#This Row],[Date to Hire (DH)]]="","",WEEKNUM(Table13[[#This Row],[Date to Hire (DH)]]))</f>
        <v/>
      </c>
      <c r="AM24" s="153" t="str">
        <f>TEXT(Table13[[#This Row],[YEAR]],"0000")&amp;"-"&amp;Table13[[#This Row],[MONTH]]</f>
        <v>-</v>
      </c>
      <c r="AN24" s="153" t="str">
        <f>IF(Table13[[#This Row],[Date of Planned Offhire (DoPO) / If Applicable]]="","",YEAR(Table13[[#This Row],[Date of Planned Offhire (DoPO) / If Applicable]]))</f>
        <v/>
      </c>
      <c r="AO24" s="153" t="str">
        <f>IF(Table13[[#This Row],[Date of Planned Offhire (DoPO) / If Applicable]]="","",MONTH(Table13[[#This Row],[Date of Planned Offhire (DoPO) / If Applicable]]))</f>
        <v/>
      </c>
      <c r="AP24" s="153" t="str">
        <f>IF(Table13[[#This Row],[Date of Planned Offhire (DoPO) / If Applicable]]="","",WEEKNUM(Table13[[#This Row],[Date of Planned Offhire (DoPO) / If Applicable]]))</f>
        <v/>
      </c>
      <c r="AQ24" s="153" t="str">
        <f>TEXT(Table13[[#This Row],[YEAR2]],"0000")&amp;"-"&amp;Table13[[#This Row],[MONTH2]]</f>
        <v>-</v>
      </c>
      <c r="AR24" s="153" t="str">
        <f>IF(Table13[[#This Row],[Actual Date to Offhire (ADtO)]]="","",YEAR(Table13[[#This Row],[Actual Date to Offhire (ADtO)]]))</f>
        <v/>
      </c>
      <c r="AS24" s="153" t="str">
        <f>IF(Table13[[#This Row],[Actual Date to Offhire (ADtO)]]="","",MONTH(Table13[[#This Row],[Actual Date to Offhire (ADtO)]]))</f>
        <v/>
      </c>
      <c r="AT24" s="153" t="str">
        <f>IF(Table13[[#This Row],[Actual Date to Offhire (ADtO)]]="","",WEEKNUM(Table13[[#This Row],[Actual Date to Offhire (ADtO)]]))</f>
        <v/>
      </c>
      <c r="AU24" s="153" t="str">
        <f>TEXT(Table13[[#This Row],[YEAR3]],"0000")&amp;"-"&amp;Table13[[#This Row],[MONTH3]]</f>
        <v>-</v>
      </c>
      <c r="AV24" s="153">
        <f>IF(E24="",0,
  IF('Delivery Report'!A$2*100+'Delivery Report'!A$5 &lt; YEAR(E24)*100+WEEKNUM(E24), 0,
    IF(OR(G24="", 'Delivery Report'!A$2*100+'Delivery Report'!A$5 &lt;= YEAR(G24)*100+WEEKNUM(G24)),
      IF(LOWER(W24)="hourly", U24*X24*56,
      IF(LOWER(W24)="daily", U24*X24*7,
      IF(LOWER(W24)="weekly", U24*X24,
      IF(LOWER(W24)="monthly", U24*X24*12/52,
      IF(LOWER(W24)="yearly", U24*X24/52,
      IF(LOWER(W24)="one-off", U24*X24,
      0)))))),
    0)))</f>
        <v>0</v>
      </c>
    </row>
    <row r="25" spans="2:48" x14ac:dyDescent="0.3">
      <c r="E25" s="1"/>
      <c r="F25" s="1"/>
      <c r="G25" s="1"/>
      <c r="H25" s="164" t="s">
        <v>315</v>
      </c>
      <c r="P25" s="153"/>
      <c r="Q25" s="155">
        <v>1</v>
      </c>
      <c r="W25" s="153" t="str" cm="1">
        <f t="array" ref="W25">IF(Table13[[#This Row],[QUANTITY]]="","",IFERROR(IF(V25&lt;&gt;"",_xlfn.XLOOKUP(I25&amp;J25,PRICES!C:C&amp;PRICES!B:B,IF(PRICES!F:F&lt;&gt;"",PRICES!F:F,PRICES!E:E),"")),""))</f>
        <v/>
      </c>
      <c r="X25" s="154" t="str" cm="1">
        <f t="array" ref="X25">IF(Table13[[#This Row],[QUANTITY]]="","",IFERROR(IF(U25&lt;&gt;"",_xlfn.XLOOKUP(I25&amp;J25&amp;V25,PRICES!C:C&amp;PRICES!B:B&amp;PRICES!D:D,PRICES!G:G,"")),""))</f>
        <v/>
      </c>
      <c r="Y25" s="154" t="str">
        <f t="shared" ca="1" si="2"/>
        <v/>
      </c>
      <c r="Z25" s="154" t="str">
        <f t="shared" ca="1" si="3"/>
        <v/>
      </c>
      <c r="AA25" s="154" t="str">
        <f t="shared" ca="1" si="4"/>
        <v/>
      </c>
      <c r="AB25" s="154" t="str">
        <f t="shared" ca="1" si="5"/>
        <v/>
      </c>
      <c r="AC25" s="154" t="str">
        <f t="shared" ca="1" si="0"/>
        <v/>
      </c>
      <c r="AD25" s="154" t="str">
        <f>IF(Table13[[#This Row],[QUANTITY]]="","",
  IF(AND(Y25="",Z25="",AA25="",AB25="",AC25=""),
    U25*X25,
  ""))</f>
        <v/>
      </c>
      <c r="AE25" s="154" t="str">
        <f t="shared" ca="1" si="6"/>
        <v/>
      </c>
      <c r="AF25" s="154" t="str">
        <f t="shared" si="7"/>
        <v/>
      </c>
      <c r="AG25" s="154" t="str" cm="1">
        <f t="array" aca="1" ref="AG25" ca="1">IF(Table13[[#This Row],[TOTAL HIRE COST]]="","",IFERROR(IF(U25&lt;&gt;"",_xlfn.XLOOKUP(J25&amp;I25&amp;V25,PRICES!B:B&amp;PRICES!C:C&amp;PRICES!D:D,PRICES!H:H,"")),""))</f>
        <v/>
      </c>
      <c r="AH25" s="154" t="str" cm="1">
        <f t="array" aca="1" ref="AH25" ca="1">IF(Table13[[#This Row],[TOTAL HIRE COST]]="","",IFERROR(IF(U25&lt;&gt;"",_xlfn.XLOOKUP(J25&amp;I25&amp;V25,PRICES!B:B&amp;PRICES!C:C&amp;PRICES!D:D,PRICES!I:I,"")),""))</f>
        <v/>
      </c>
      <c r="AI25" s="154" t="str">
        <f ca="1">IF(Table13[[#This Row],[TOTAL HIRE COST]]="","",Table13[[#This Row],[TOTAL HIRE COST]]+Table13[[#This Row],[DELIVERY COST]]+Table13[[#This Row],[COLLECTION COST]])</f>
        <v/>
      </c>
      <c r="AJ25" s="153" t="str">
        <f>IF(Table13[[#This Row],[Date to Hire (DH)]]="","",YEAR(Table13[[#This Row],[Date to Hire (DH)]]))</f>
        <v/>
      </c>
      <c r="AK25" s="153" t="str">
        <f>IF(Table13[[#This Row],[Date to Hire (DH)]]="","",MONTH(Table13[[#This Row],[Date to Hire (DH)]]))</f>
        <v/>
      </c>
      <c r="AL25" s="153" t="str">
        <f>IF(Table13[[#This Row],[Date to Hire (DH)]]="","",WEEKNUM(Table13[[#This Row],[Date to Hire (DH)]]))</f>
        <v/>
      </c>
      <c r="AM25" s="153" t="str">
        <f>TEXT(Table13[[#This Row],[YEAR]],"0000")&amp;"-"&amp;Table13[[#This Row],[MONTH]]</f>
        <v>-</v>
      </c>
      <c r="AN25" s="153" t="str">
        <f>IF(Table13[[#This Row],[Date of Planned Offhire (DoPO) / If Applicable]]="","",YEAR(Table13[[#This Row],[Date of Planned Offhire (DoPO) / If Applicable]]))</f>
        <v/>
      </c>
      <c r="AO25" s="153" t="str">
        <f>IF(Table13[[#This Row],[Date of Planned Offhire (DoPO) / If Applicable]]="","",MONTH(Table13[[#This Row],[Date of Planned Offhire (DoPO) / If Applicable]]))</f>
        <v/>
      </c>
      <c r="AP25" s="153" t="str">
        <f>IF(Table13[[#This Row],[Date of Planned Offhire (DoPO) / If Applicable]]="","",WEEKNUM(Table13[[#This Row],[Date of Planned Offhire (DoPO) / If Applicable]]))</f>
        <v/>
      </c>
      <c r="AQ25" s="153" t="str">
        <f>TEXT(Table13[[#This Row],[YEAR2]],"0000")&amp;"-"&amp;Table13[[#This Row],[MONTH2]]</f>
        <v>-</v>
      </c>
      <c r="AR25" s="153" t="str">
        <f>IF(Table13[[#This Row],[Actual Date to Offhire (ADtO)]]="","",YEAR(Table13[[#This Row],[Actual Date to Offhire (ADtO)]]))</f>
        <v/>
      </c>
      <c r="AS25" s="153" t="str">
        <f>IF(Table13[[#This Row],[Actual Date to Offhire (ADtO)]]="","",MONTH(Table13[[#This Row],[Actual Date to Offhire (ADtO)]]))</f>
        <v/>
      </c>
      <c r="AT25" s="153" t="str">
        <f>IF(Table13[[#This Row],[Actual Date to Offhire (ADtO)]]="","",WEEKNUM(Table13[[#This Row],[Actual Date to Offhire (ADtO)]]))</f>
        <v/>
      </c>
      <c r="AU25" s="153" t="str">
        <f>TEXT(Table13[[#This Row],[YEAR3]],"0000")&amp;"-"&amp;Table13[[#This Row],[MONTH3]]</f>
        <v>-</v>
      </c>
      <c r="AV25" s="153">
        <f>IF(E25="",0,
  IF('Delivery Report'!A$2*100+'Delivery Report'!A$5 &lt; YEAR(E25)*100+WEEKNUM(E25), 0,
    IF(OR(G25="", 'Delivery Report'!A$2*100+'Delivery Report'!A$5 &lt;= YEAR(G25)*100+WEEKNUM(G25)),
      IF(LOWER(W25)="hourly", U25*X25*56,
      IF(LOWER(W25)="daily", U25*X25*7,
      IF(LOWER(W25)="weekly", U25*X25,
      IF(LOWER(W25)="monthly", U25*X25*12/52,
      IF(LOWER(W25)="yearly", U25*X25/52,
      IF(LOWER(W25)="one-off", U25*X25,
      0)))))),
    0)))</f>
        <v>0</v>
      </c>
    </row>
    <row r="26" spans="2:48" x14ac:dyDescent="0.3">
      <c r="E26" s="1"/>
      <c r="F26" s="1"/>
      <c r="G26" s="1"/>
      <c r="H26" s="164" t="s">
        <v>315</v>
      </c>
      <c r="P26" s="153"/>
      <c r="Q26" s="155">
        <v>1</v>
      </c>
      <c r="W26" s="153" t="str" cm="1">
        <f t="array" ref="W26">IF(Table13[[#This Row],[QUANTITY]]="","",IFERROR(IF(V26&lt;&gt;"",_xlfn.XLOOKUP(I26&amp;J26,PRICES!C:C&amp;PRICES!B:B,IF(PRICES!F:F&lt;&gt;"",PRICES!F:F,PRICES!E:E),"")),""))</f>
        <v/>
      </c>
      <c r="X26" s="154" t="str" cm="1">
        <f t="array" ref="X26">IF(Table13[[#This Row],[QUANTITY]]="","",IFERROR(IF(U26&lt;&gt;"",_xlfn.XLOOKUP(I26&amp;J26&amp;V26,PRICES!C:C&amp;PRICES!B:B&amp;PRICES!D:D,PRICES!G:G,"")),""))</f>
        <v/>
      </c>
      <c r="Y26" s="154" t="str">
        <f t="shared" ca="1" si="2"/>
        <v/>
      </c>
      <c r="Z26" s="154" t="str">
        <f t="shared" ca="1" si="3"/>
        <v/>
      </c>
      <c r="AA26" s="154" t="str">
        <f t="shared" ca="1" si="4"/>
        <v/>
      </c>
      <c r="AB26" s="154" t="str">
        <f t="shared" ca="1" si="5"/>
        <v/>
      </c>
      <c r="AC26" s="154" t="str">
        <f t="shared" ca="1" si="0"/>
        <v/>
      </c>
      <c r="AD26" s="154" t="str">
        <f>IF(Table13[[#This Row],[QUANTITY]]="","",
  IF(AND(Y26="",Z26="",AA26="",AB26="",AC26=""),
    U26*X26,
  ""))</f>
        <v/>
      </c>
      <c r="AE26" s="154" t="str">
        <f t="shared" ca="1" si="6"/>
        <v/>
      </c>
      <c r="AF26" s="154" t="str">
        <f t="shared" si="7"/>
        <v/>
      </c>
      <c r="AG26" s="154" t="str" cm="1">
        <f t="array" aca="1" ref="AG26" ca="1">IF(Table13[[#This Row],[TOTAL HIRE COST]]="","",IFERROR(IF(U26&lt;&gt;"",_xlfn.XLOOKUP(J26&amp;I26&amp;V26,PRICES!B:B&amp;PRICES!C:C&amp;PRICES!D:D,PRICES!H:H,"")),""))</f>
        <v/>
      </c>
      <c r="AH26" s="154" t="str" cm="1">
        <f t="array" aca="1" ref="AH26" ca="1">IF(Table13[[#This Row],[TOTAL HIRE COST]]="","",IFERROR(IF(U26&lt;&gt;"",_xlfn.XLOOKUP(J26&amp;I26&amp;V26,PRICES!B:B&amp;PRICES!C:C&amp;PRICES!D:D,PRICES!I:I,"")),""))</f>
        <v/>
      </c>
      <c r="AI26" s="154" t="str">
        <f ca="1">IF(Table13[[#This Row],[TOTAL HIRE COST]]="","",Table13[[#This Row],[TOTAL HIRE COST]]+Table13[[#This Row],[DELIVERY COST]]+Table13[[#This Row],[COLLECTION COST]])</f>
        <v/>
      </c>
      <c r="AJ26" s="153" t="str">
        <f>IF(Table13[[#This Row],[Date to Hire (DH)]]="","",YEAR(Table13[[#This Row],[Date to Hire (DH)]]))</f>
        <v/>
      </c>
      <c r="AK26" s="153" t="str">
        <f>IF(Table13[[#This Row],[Date to Hire (DH)]]="","",MONTH(Table13[[#This Row],[Date to Hire (DH)]]))</f>
        <v/>
      </c>
      <c r="AL26" s="153" t="str">
        <f>IF(Table13[[#This Row],[Date to Hire (DH)]]="","",WEEKNUM(Table13[[#This Row],[Date to Hire (DH)]]))</f>
        <v/>
      </c>
      <c r="AM26" s="153" t="str">
        <f>TEXT(Table13[[#This Row],[YEAR]],"0000")&amp;"-"&amp;Table13[[#This Row],[MONTH]]</f>
        <v>-</v>
      </c>
      <c r="AN26" s="153" t="str">
        <f>IF(Table13[[#This Row],[Date of Planned Offhire (DoPO) / If Applicable]]="","",YEAR(Table13[[#This Row],[Date of Planned Offhire (DoPO) / If Applicable]]))</f>
        <v/>
      </c>
      <c r="AO26" s="153" t="str">
        <f>IF(Table13[[#This Row],[Date of Planned Offhire (DoPO) / If Applicable]]="","",MONTH(Table13[[#This Row],[Date of Planned Offhire (DoPO) / If Applicable]]))</f>
        <v/>
      </c>
      <c r="AP26" s="153" t="str">
        <f>IF(Table13[[#This Row],[Date of Planned Offhire (DoPO) / If Applicable]]="","",WEEKNUM(Table13[[#This Row],[Date of Planned Offhire (DoPO) / If Applicable]]))</f>
        <v/>
      </c>
      <c r="AQ26" s="153" t="str">
        <f>TEXT(Table13[[#This Row],[YEAR2]],"0000")&amp;"-"&amp;Table13[[#This Row],[MONTH2]]</f>
        <v>-</v>
      </c>
      <c r="AR26" s="153" t="str">
        <f>IF(Table13[[#This Row],[Actual Date to Offhire (ADtO)]]="","",YEAR(Table13[[#This Row],[Actual Date to Offhire (ADtO)]]))</f>
        <v/>
      </c>
      <c r="AS26" s="153" t="str">
        <f>IF(Table13[[#This Row],[Actual Date to Offhire (ADtO)]]="","",MONTH(Table13[[#This Row],[Actual Date to Offhire (ADtO)]]))</f>
        <v/>
      </c>
      <c r="AT26" s="153" t="str">
        <f>IF(Table13[[#This Row],[Actual Date to Offhire (ADtO)]]="","",WEEKNUM(Table13[[#This Row],[Actual Date to Offhire (ADtO)]]))</f>
        <v/>
      </c>
      <c r="AU26" s="153" t="str">
        <f>TEXT(Table13[[#This Row],[YEAR3]],"0000")&amp;"-"&amp;Table13[[#This Row],[MONTH3]]</f>
        <v>-</v>
      </c>
      <c r="AV26" s="153">
        <f>IF(E26="",0,
  IF('Delivery Report'!A$2*100+'Delivery Report'!A$5 &lt; YEAR(E26)*100+WEEKNUM(E26), 0,
    IF(OR(G26="", 'Delivery Report'!A$2*100+'Delivery Report'!A$5 &lt;= YEAR(G26)*100+WEEKNUM(G26)),
      IF(LOWER(W26)="hourly", U26*X26*56,
      IF(LOWER(W26)="daily", U26*X26*7,
      IF(LOWER(W26)="weekly", U26*X26,
      IF(LOWER(W26)="monthly", U26*X26*12/52,
      IF(LOWER(W26)="yearly", U26*X26/52,
      IF(LOWER(W26)="one-off", U26*X26,
      0)))))),
    0)))</f>
        <v>0</v>
      </c>
    </row>
    <row r="27" spans="2:48" x14ac:dyDescent="0.3">
      <c r="E27" s="1"/>
      <c r="F27" s="1"/>
      <c r="G27" s="1"/>
      <c r="H27" s="164" t="s">
        <v>315</v>
      </c>
      <c r="P27" s="153"/>
      <c r="Q27" s="155">
        <v>1</v>
      </c>
      <c r="W27" s="153" t="str" cm="1">
        <f t="array" ref="W27">IF(Table13[[#This Row],[QUANTITY]]="","",IFERROR(IF(V27&lt;&gt;"",_xlfn.XLOOKUP(I27&amp;J27,PRICES!C:C&amp;PRICES!B:B,IF(PRICES!F:F&lt;&gt;"",PRICES!F:F,PRICES!E:E),"")),""))</f>
        <v/>
      </c>
      <c r="X27" s="154" t="str" cm="1">
        <f t="array" ref="X27">IF(Table13[[#This Row],[QUANTITY]]="","",IFERROR(IF(U27&lt;&gt;"",_xlfn.XLOOKUP(I27&amp;J27&amp;V27,PRICES!C:C&amp;PRICES!B:B&amp;PRICES!D:D,PRICES!G:G,"")),""))</f>
        <v/>
      </c>
      <c r="Y27" s="154" t="str">
        <f t="shared" ca="1" si="2"/>
        <v/>
      </c>
      <c r="Z27" s="154" t="str">
        <f t="shared" ca="1" si="3"/>
        <v/>
      </c>
      <c r="AA27" s="154" t="str">
        <f t="shared" ca="1" si="4"/>
        <v/>
      </c>
      <c r="AB27" s="154" t="str">
        <f t="shared" ca="1" si="5"/>
        <v/>
      </c>
      <c r="AC27" s="154" t="str">
        <f t="shared" ca="1" si="0"/>
        <v/>
      </c>
      <c r="AD27" s="154" t="str">
        <f>IF(Table13[[#This Row],[QUANTITY]]="","",
  IF(AND(Y27="",Z27="",AA27="",AB27="",AC27=""),
    U27*X27,
  ""))</f>
        <v/>
      </c>
      <c r="AE27" s="154" t="str">
        <f t="shared" ca="1" si="6"/>
        <v/>
      </c>
      <c r="AF27" s="154" t="str">
        <f t="shared" si="7"/>
        <v/>
      </c>
      <c r="AG27" s="154" t="str" cm="1">
        <f t="array" aca="1" ref="AG27" ca="1">IF(Table13[[#This Row],[TOTAL HIRE COST]]="","",IFERROR(IF(U27&lt;&gt;"",_xlfn.XLOOKUP(J27&amp;I27&amp;V27,PRICES!B:B&amp;PRICES!C:C&amp;PRICES!D:D,PRICES!H:H,"")),""))</f>
        <v/>
      </c>
      <c r="AH27" s="154" t="str" cm="1">
        <f t="array" aca="1" ref="AH27" ca="1">IF(Table13[[#This Row],[TOTAL HIRE COST]]="","",IFERROR(IF(U27&lt;&gt;"",_xlfn.XLOOKUP(J27&amp;I27&amp;V27,PRICES!B:B&amp;PRICES!C:C&amp;PRICES!D:D,PRICES!I:I,"")),""))</f>
        <v/>
      </c>
      <c r="AI27" s="154" t="str">
        <f ca="1">IF(Table13[[#This Row],[TOTAL HIRE COST]]="","",Table13[[#This Row],[TOTAL HIRE COST]]+Table13[[#This Row],[DELIVERY COST]]+Table13[[#This Row],[COLLECTION COST]])</f>
        <v/>
      </c>
      <c r="AJ27" s="153" t="str">
        <f>IF(Table13[[#This Row],[Date to Hire (DH)]]="","",YEAR(Table13[[#This Row],[Date to Hire (DH)]]))</f>
        <v/>
      </c>
      <c r="AK27" s="153" t="str">
        <f>IF(Table13[[#This Row],[Date to Hire (DH)]]="","",MONTH(Table13[[#This Row],[Date to Hire (DH)]]))</f>
        <v/>
      </c>
      <c r="AL27" s="153" t="str">
        <f>IF(Table13[[#This Row],[Date to Hire (DH)]]="","",WEEKNUM(Table13[[#This Row],[Date to Hire (DH)]]))</f>
        <v/>
      </c>
      <c r="AM27" s="153" t="str">
        <f>TEXT(Table13[[#This Row],[YEAR]],"0000")&amp;"-"&amp;Table13[[#This Row],[MONTH]]</f>
        <v>-</v>
      </c>
      <c r="AN27" s="153" t="str">
        <f>IF(Table13[[#This Row],[Date of Planned Offhire (DoPO) / If Applicable]]="","",YEAR(Table13[[#This Row],[Date of Planned Offhire (DoPO) / If Applicable]]))</f>
        <v/>
      </c>
      <c r="AO27" s="153" t="str">
        <f>IF(Table13[[#This Row],[Date of Planned Offhire (DoPO) / If Applicable]]="","",MONTH(Table13[[#This Row],[Date of Planned Offhire (DoPO) / If Applicable]]))</f>
        <v/>
      </c>
      <c r="AP27" s="153" t="str">
        <f>IF(Table13[[#This Row],[Date of Planned Offhire (DoPO) / If Applicable]]="","",WEEKNUM(Table13[[#This Row],[Date of Planned Offhire (DoPO) / If Applicable]]))</f>
        <v/>
      </c>
      <c r="AQ27" s="153" t="str">
        <f>TEXT(Table13[[#This Row],[YEAR2]],"0000")&amp;"-"&amp;Table13[[#This Row],[MONTH2]]</f>
        <v>-</v>
      </c>
      <c r="AR27" s="153" t="str">
        <f>IF(Table13[[#This Row],[Actual Date to Offhire (ADtO)]]="","",YEAR(Table13[[#This Row],[Actual Date to Offhire (ADtO)]]))</f>
        <v/>
      </c>
      <c r="AS27" s="153" t="str">
        <f>IF(Table13[[#This Row],[Actual Date to Offhire (ADtO)]]="","",MONTH(Table13[[#This Row],[Actual Date to Offhire (ADtO)]]))</f>
        <v/>
      </c>
      <c r="AT27" s="153" t="str">
        <f>IF(Table13[[#This Row],[Actual Date to Offhire (ADtO)]]="","",WEEKNUM(Table13[[#This Row],[Actual Date to Offhire (ADtO)]]))</f>
        <v/>
      </c>
      <c r="AU27" s="153" t="str">
        <f>TEXT(Table13[[#This Row],[YEAR3]],"0000")&amp;"-"&amp;Table13[[#This Row],[MONTH3]]</f>
        <v>-</v>
      </c>
      <c r="AV27" s="153">
        <f>IF(E27="",0,
  IF('Delivery Report'!A$2*100+'Delivery Report'!A$5 &lt; YEAR(E27)*100+WEEKNUM(E27), 0,
    IF(OR(G27="", 'Delivery Report'!A$2*100+'Delivery Report'!A$5 &lt;= YEAR(G27)*100+WEEKNUM(G27)),
      IF(LOWER(W27)="hourly", U27*X27*56,
      IF(LOWER(W27)="daily", U27*X27*7,
      IF(LOWER(W27)="weekly", U27*X27,
      IF(LOWER(W27)="monthly", U27*X27*12/52,
      IF(LOWER(W27)="yearly", U27*X27/52,
      IF(LOWER(W27)="one-off", U27*X27,
      0)))))),
    0)))</f>
        <v>0</v>
      </c>
    </row>
    <row r="28" spans="2:48" x14ac:dyDescent="0.3">
      <c r="E28" s="1"/>
      <c r="F28" s="1"/>
      <c r="G28" s="1"/>
      <c r="H28" s="164" t="s">
        <v>317</v>
      </c>
      <c r="P28" s="153"/>
      <c r="Q28" s="155">
        <v>1</v>
      </c>
      <c r="W28" s="153" t="str" cm="1">
        <f t="array" ref="W28">IF(Table13[[#This Row],[QUANTITY]]="","",IFERROR(IF(V28&lt;&gt;"",_xlfn.XLOOKUP(I28&amp;J28,PRICES!C:C&amp;PRICES!B:B,IF(PRICES!F:F&lt;&gt;"",PRICES!F:F,PRICES!E:E),"")),""))</f>
        <v/>
      </c>
      <c r="X28" s="154" t="str" cm="1">
        <f t="array" ref="X28">IF(Table13[[#This Row],[QUANTITY]]="","",IFERROR(IF(U28&lt;&gt;"",_xlfn.XLOOKUP(I28&amp;J28&amp;V28,PRICES!C:C&amp;PRICES!B:B&amp;PRICES!D:D,PRICES!G:G,"")),""))</f>
        <v/>
      </c>
      <c r="Y28" s="154" t="str">
        <f t="shared" ca="1" si="2"/>
        <v/>
      </c>
      <c r="Z28" s="154" t="str">
        <f t="shared" ca="1" si="3"/>
        <v/>
      </c>
      <c r="AA28" s="154" t="str">
        <f t="shared" ca="1" si="4"/>
        <v/>
      </c>
      <c r="AB28" s="154" t="str">
        <f t="shared" ca="1" si="5"/>
        <v/>
      </c>
      <c r="AC28" s="154" t="str">
        <f t="shared" ca="1" si="0"/>
        <v/>
      </c>
      <c r="AD28" s="154" t="str">
        <f>IF(Table13[[#This Row],[QUANTITY]]="","",
  IF(AND(Y28="",Z28="",AA28="",AB28="",AC28=""),
    U28*X28,
  ""))</f>
        <v/>
      </c>
      <c r="AE28" s="154" t="str">
        <f t="shared" ca="1" si="6"/>
        <v/>
      </c>
      <c r="AF28" s="154" t="str">
        <f t="shared" si="7"/>
        <v/>
      </c>
      <c r="AG28" s="154" t="str" cm="1">
        <f t="array" aca="1" ref="AG28" ca="1">IF(Table13[[#This Row],[TOTAL HIRE COST]]="","",IFERROR(IF(U28&lt;&gt;"",_xlfn.XLOOKUP(J28&amp;I28&amp;V28,PRICES!B:B&amp;PRICES!C:C&amp;PRICES!D:D,PRICES!H:H,"")),""))</f>
        <v/>
      </c>
      <c r="AH28" s="154" t="str" cm="1">
        <f t="array" aca="1" ref="AH28" ca="1">IF(Table13[[#This Row],[TOTAL HIRE COST]]="","",IFERROR(IF(U28&lt;&gt;"",_xlfn.XLOOKUP(J28&amp;I28&amp;V28,PRICES!B:B&amp;PRICES!C:C&amp;PRICES!D:D,PRICES!I:I,"")),""))</f>
        <v/>
      </c>
      <c r="AI28" s="154" t="str">
        <f ca="1">IF(Table13[[#This Row],[TOTAL HIRE COST]]="","",Table13[[#This Row],[TOTAL HIRE COST]]+Table13[[#This Row],[DELIVERY COST]]+Table13[[#This Row],[COLLECTION COST]])</f>
        <v/>
      </c>
      <c r="AJ28" s="153" t="str">
        <f>IF(Table13[[#This Row],[Date to Hire (DH)]]="","",YEAR(Table13[[#This Row],[Date to Hire (DH)]]))</f>
        <v/>
      </c>
      <c r="AK28" s="153" t="str">
        <f>IF(Table13[[#This Row],[Date to Hire (DH)]]="","",MONTH(Table13[[#This Row],[Date to Hire (DH)]]))</f>
        <v/>
      </c>
      <c r="AL28" s="153" t="str">
        <f>IF(Table13[[#This Row],[Date to Hire (DH)]]="","",WEEKNUM(Table13[[#This Row],[Date to Hire (DH)]]))</f>
        <v/>
      </c>
      <c r="AM28" s="153" t="str">
        <f>TEXT(Table13[[#This Row],[YEAR]],"0000")&amp;"-"&amp;Table13[[#This Row],[MONTH]]</f>
        <v>-</v>
      </c>
      <c r="AN28" s="153" t="str">
        <f>IF(Table13[[#This Row],[Date of Planned Offhire (DoPO) / If Applicable]]="","",YEAR(Table13[[#This Row],[Date of Planned Offhire (DoPO) / If Applicable]]))</f>
        <v/>
      </c>
      <c r="AO28" s="153" t="str">
        <f>IF(Table13[[#This Row],[Date of Planned Offhire (DoPO) / If Applicable]]="","",MONTH(Table13[[#This Row],[Date of Planned Offhire (DoPO) / If Applicable]]))</f>
        <v/>
      </c>
      <c r="AP28" s="153" t="str">
        <f>IF(Table13[[#This Row],[Date of Planned Offhire (DoPO) / If Applicable]]="","",WEEKNUM(Table13[[#This Row],[Date of Planned Offhire (DoPO) / If Applicable]]))</f>
        <v/>
      </c>
      <c r="AQ28" s="153" t="str">
        <f>TEXT(Table13[[#This Row],[YEAR2]],"0000")&amp;"-"&amp;Table13[[#This Row],[MONTH2]]</f>
        <v>-</v>
      </c>
      <c r="AR28" s="153" t="str">
        <f>IF(Table13[[#This Row],[Actual Date to Offhire (ADtO)]]="","",YEAR(Table13[[#This Row],[Actual Date to Offhire (ADtO)]]))</f>
        <v/>
      </c>
      <c r="AS28" s="153" t="str">
        <f>IF(Table13[[#This Row],[Actual Date to Offhire (ADtO)]]="","",MONTH(Table13[[#This Row],[Actual Date to Offhire (ADtO)]]))</f>
        <v/>
      </c>
      <c r="AT28" s="153" t="str">
        <f>IF(Table13[[#This Row],[Actual Date to Offhire (ADtO)]]="","",WEEKNUM(Table13[[#This Row],[Actual Date to Offhire (ADtO)]]))</f>
        <v/>
      </c>
      <c r="AU28" s="153" t="str">
        <f>TEXT(Table13[[#This Row],[YEAR3]],"0000")&amp;"-"&amp;Table13[[#This Row],[MONTH3]]</f>
        <v>-</v>
      </c>
      <c r="AV28" s="153">
        <f>IF(E28="",0,
  IF('Delivery Report'!A$2*100+'Delivery Report'!A$5 &lt; YEAR(E28)*100+WEEKNUM(E28), 0,
    IF(OR(G28="", 'Delivery Report'!A$2*100+'Delivery Report'!A$5 &lt;= YEAR(G28)*100+WEEKNUM(G28)),
      IF(LOWER(W28)="hourly", U28*X28*56,
      IF(LOWER(W28)="daily", U28*X28*7,
      IF(LOWER(W28)="weekly", U28*X28,
      IF(LOWER(W28)="monthly", U28*X28*12/52,
      IF(LOWER(W28)="yearly", U28*X28/52,
      IF(LOWER(W28)="one-off", U28*X28,
      0)))))),
    0)))</f>
        <v>0</v>
      </c>
    </row>
    <row r="29" spans="2:48" x14ac:dyDescent="0.3">
      <c r="E29" s="1"/>
      <c r="F29" s="1"/>
      <c r="G29" s="1"/>
      <c r="H29" s="164" t="s">
        <v>317</v>
      </c>
      <c r="P29" s="153"/>
      <c r="Q29" s="155">
        <v>1</v>
      </c>
      <c r="W29" s="153" t="str" cm="1">
        <f t="array" ref="W29">IF(Table13[[#This Row],[QUANTITY]]="","",IFERROR(IF(V29&lt;&gt;"",_xlfn.XLOOKUP(I29&amp;J29,PRICES!C:C&amp;PRICES!B:B,IF(PRICES!F:F&lt;&gt;"",PRICES!F:F,PRICES!E:E),"")),""))</f>
        <v/>
      </c>
      <c r="X29" s="154" t="str" cm="1">
        <f t="array" ref="X29">IF(Table13[[#This Row],[QUANTITY]]="","",IFERROR(IF(U29&lt;&gt;"",_xlfn.XLOOKUP(I29&amp;J29&amp;V29,PRICES!C:C&amp;PRICES!B:B&amp;PRICES!D:D,PRICES!G:G,"")),""))</f>
        <v/>
      </c>
      <c r="Y29" s="154" t="str">
        <f t="shared" ca="1" si="2"/>
        <v/>
      </c>
      <c r="Z29" s="154" t="str">
        <f t="shared" ca="1" si="3"/>
        <v/>
      </c>
      <c r="AA29" s="154" t="str">
        <f t="shared" ca="1" si="4"/>
        <v/>
      </c>
      <c r="AB29" s="154" t="str">
        <f t="shared" ca="1" si="5"/>
        <v/>
      </c>
      <c r="AC29" s="154" t="str">
        <f t="shared" ca="1" si="0"/>
        <v/>
      </c>
      <c r="AD29" s="154" t="str">
        <f>IF(Table13[[#This Row],[QUANTITY]]="","",
  IF(AND(Y29="",Z29="",AA29="",AB29="",AC29=""),
    U29*X29,
  ""))</f>
        <v/>
      </c>
      <c r="AE29" s="154" t="str">
        <f t="shared" ca="1" si="6"/>
        <v/>
      </c>
      <c r="AF29" s="154" t="str">
        <f t="shared" si="7"/>
        <v/>
      </c>
      <c r="AG29" s="154" t="str" cm="1">
        <f t="array" aca="1" ref="AG29" ca="1">IF(Table13[[#This Row],[TOTAL HIRE COST]]="","",IFERROR(IF(U29&lt;&gt;"",_xlfn.XLOOKUP(J29&amp;I29&amp;V29,PRICES!B:B&amp;PRICES!C:C&amp;PRICES!D:D,PRICES!H:H,"")),""))</f>
        <v/>
      </c>
      <c r="AH29" s="154" t="str" cm="1">
        <f t="array" aca="1" ref="AH29" ca="1">IF(Table13[[#This Row],[TOTAL HIRE COST]]="","",IFERROR(IF(U29&lt;&gt;"",_xlfn.XLOOKUP(J29&amp;I29&amp;V29,PRICES!B:B&amp;PRICES!C:C&amp;PRICES!D:D,PRICES!I:I,"")),""))</f>
        <v/>
      </c>
      <c r="AI29" s="154" t="str">
        <f ca="1">IF(Table13[[#This Row],[TOTAL HIRE COST]]="","",Table13[[#This Row],[TOTAL HIRE COST]]+Table13[[#This Row],[DELIVERY COST]]+Table13[[#This Row],[COLLECTION COST]])</f>
        <v/>
      </c>
      <c r="AJ29" s="153" t="str">
        <f>IF(Table13[[#This Row],[Date to Hire (DH)]]="","",YEAR(Table13[[#This Row],[Date to Hire (DH)]]))</f>
        <v/>
      </c>
      <c r="AK29" s="153" t="str">
        <f>IF(Table13[[#This Row],[Date to Hire (DH)]]="","",MONTH(Table13[[#This Row],[Date to Hire (DH)]]))</f>
        <v/>
      </c>
      <c r="AL29" s="153" t="str">
        <f>IF(Table13[[#This Row],[Date to Hire (DH)]]="","",WEEKNUM(Table13[[#This Row],[Date to Hire (DH)]]))</f>
        <v/>
      </c>
      <c r="AM29" s="153" t="str">
        <f>TEXT(Table13[[#This Row],[YEAR]],"0000")&amp;"-"&amp;Table13[[#This Row],[MONTH]]</f>
        <v>-</v>
      </c>
      <c r="AN29" s="153" t="str">
        <f>IF(Table13[[#This Row],[Date of Planned Offhire (DoPO) / If Applicable]]="","",YEAR(Table13[[#This Row],[Date of Planned Offhire (DoPO) / If Applicable]]))</f>
        <v/>
      </c>
      <c r="AO29" s="153" t="str">
        <f>IF(Table13[[#This Row],[Date of Planned Offhire (DoPO) / If Applicable]]="","",MONTH(Table13[[#This Row],[Date of Planned Offhire (DoPO) / If Applicable]]))</f>
        <v/>
      </c>
      <c r="AP29" s="153" t="str">
        <f>IF(Table13[[#This Row],[Date of Planned Offhire (DoPO) / If Applicable]]="","",WEEKNUM(Table13[[#This Row],[Date of Planned Offhire (DoPO) / If Applicable]]))</f>
        <v/>
      </c>
      <c r="AQ29" s="153" t="str">
        <f>TEXT(Table13[[#This Row],[YEAR2]],"0000")&amp;"-"&amp;Table13[[#This Row],[MONTH2]]</f>
        <v>-</v>
      </c>
      <c r="AR29" s="153" t="str">
        <f>IF(Table13[[#This Row],[Actual Date to Offhire (ADtO)]]="","",YEAR(Table13[[#This Row],[Actual Date to Offhire (ADtO)]]))</f>
        <v/>
      </c>
      <c r="AS29" s="153" t="str">
        <f>IF(Table13[[#This Row],[Actual Date to Offhire (ADtO)]]="","",MONTH(Table13[[#This Row],[Actual Date to Offhire (ADtO)]]))</f>
        <v/>
      </c>
      <c r="AT29" s="153" t="str">
        <f>IF(Table13[[#This Row],[Actual Date to Offhire (ADtO)]]="","",WEEKNUM(Table13[[#This Row],[Actual Date to Offhire (ADtO)]]))</f>
        <v/>
      </c>
      <c r="AU29" s="153" t="str">
        <f>TEXT(Table13[[#This Row],[YEAR3]],"0000")&amp;"-"&amp;Table13[[#This Row],[MONTH3]]</f>
        <v>-</v>
      </c>
      <c r="AV29" s="153">
        <f>IF(E29="",0,
  IF('Delivery Report'!A$2*100+'Delivery Report'!A$5 &lt; YEAR(E29)*100+WEEKNUM(E29), 0,
    IF(OR(G29="", 'Delivery Report'!A$2*100+'Delivery Report'!A$5 &lt;= YEAR(G29)*100+WEEKNUM(G29)),
      IF(LOWER(W29)="hourly", U29*X29*56,
      IF(LOWER(W29)="daily", U29*X29*7,
      IF(LOWER(W29)="weekly", U29*X29,
      IF(LOWER(W29)="monthly", U29*X29*12/52,
      IF(LOWER(W29)="yearly", U29*X29/52,
      IF(LOWER(W29)="one-off", U29*X29,
      0)))))),
    0)))</f>
        <v>0</v>
      </c>
    </row>
    <row r="30" spans="2:48" x14ac:dyDescent="0.3">
      <c r="E30" s="1"/>
      <c r="F30" s="1"/>
      <c r="G30" s="1"/>
      <c r="H30" s="164" t="s">
        <v>317</v>
      </c>
      <c r="P30" s="153"/>
      <c r="Q30" s="155">
        <v>1</v>
      </c>
      <c r="W30" s="153" t="str" cm="1">
        <f t="array" ref="W30">IF(Table13[[#This Row],[QUANTITY]]="","",IFERROR(IF(V30&lt;&gt;"",_xlfn.XLOOKUP(I30&amp;J30,PRICES!C:C&amp;PRICES!B:B,IF(PRICES!F:F&lt;&gt;"",PRICES!F:F,PRICES!E:E),"")),""))</f>
        <v/>
      </c>
      <c r="X30" s="154" t="str" cm="1">
        <f t="array" ref="X30">IF(Table13[[#This Row],[QUANTITY]]="","",IFERROR(IF(U30&lt;&gt;"",_xlfn.XLOOKUP(I30&amp;J30&amp;V30,PRICES!C:C&amp;PRICES!B:B&amp;PRICES!D:D,PRICES!G:G,"")),""))</f>
        <v/>
      </c>
      <c r="Y30" s="154" t="str">
        <f t="shared" ca="1" si="2"/>
        <v/>
      </c>
      <c r="Z30" s="154" t="str">
        <f t="shared" ca="1" si="3"/>
        <v/>
      </c>
      <c r="AA30" s="154" t="str">
        <f t="shared" ca="1" si="4"/>
        <v/>
      </c>
      <c r="AB30" s="154" t="str">
        <f t="shared" ca="1" si="5"/>
        <v/>
      </c>
      <c r="AC30" s="154" t="str">
        <f t="shared" ca="1" si="0"/>
        <v/>
      </c>
      <c r="AD30" s="154" t="str">
        <f>IF(Table13[[#This Row],[QUANTITY]]="","",
  IF(AND(Y30="",Z30="",AA30="",AB30="",AC30=""),
    U30*X30,
  ""))</f>
        <v/>
      </c>
      <c r="AE30" s="154" t="str">
        <f t="shared" ca="1" si="6"/>
        <v/>
      </c>
      <c r="AF30" s="154" t="str">
        <f t="shared" si="7"/>
        <v/>
      </c>
      <c r="AG30" s="154" t="str" cm="1">
        <f t="array" aca="1" ref="AG30" ca="1">IF(Table13[[#This Row],[TOTAL HIRE COST]]="","",IFERROR(IF(U30&lt;&gt;"",_xlfn.XLOOKUP(J30&amp;I30&amp;V30,PRICES!B:B&amp;PRICES!C:C&amp;PRICES!D:D,PRICES!H:H,"")),""))</f>
        <v/>
      </c>
      <c r="AH30" s="154" t="str" cm="1">
        <f t="array" aca="1" ref="AH30" ca="1">IF(Table13[[#This Row],[TOTAL HIRE COST]]="","",IFERROR(IF(U30&lt;&gt;"",_xlfn.XLOOKUP(J30&amp;I30&amp;V30,PRICES!B:B&amp;PRICES!C:C&amp;PRICES!D:D,PRICES!I:I,"")),""))</f>
        <v/>
      </c>
      <c r="AI30" s="154" t="str">
        <f ca="1">IF(Table13[[#This Row],[TOTAL HIRE COST]]="","",Table13[[#This Row],[TOTAL HIRE COST]]+Table13[[#This Row],[DELIVERY COST]]+Table13[[#This Row],[COLLECTION COST]])</f>
        <v/>
      </c>
      <c r="AJ30" s="153" t="str">
        <f>IF(Table13[[#This Row],[Date to Hire (DH)]]="","",YEAR(Table13[[#This Row],[Date to Hire (DH)]]))</f>
        <v/>
      </c>
      <c r="AK30" s="153" t="str">
        <f>IF(Table13[[#This Row],[Date to Hire (DH)]]="","",MONTH(Table13[[#This Row],[Date to Hire (DH)]]))</f>
        <v/>
      </c>
      <c r="AL30" s="153" t="str">
        <f>IF(Table13[[#This Row],[Date to Hire (DH)]]="","",WEEKNUM(Table13[[#This Row],[Date to Hire (DH)]]))</f>
        <v/>
      </c>
      <c r="AM30" s="153" t="str">
        <f>TEXT(Table13[[#This Row],[YEAR]],"0000")&amp;"-"&amp;Table13[[#This Row],[MONTH]]</f>
        <v>-</v>
      </c>
      <c r="AN30" s="153" t="str">
        <f>IF(Table13[[#This Row],[Date of Planned Offhire (DoPO) / If Applicable]]="","",YEAR(Table13[[#This Row],[Date of Planned Offhire (DoPO) / If Applicable]]))</f>
        <v/>
      </c>
      <c r="AO30" s="153" t="str">
        <f>IF(Table13[[#This Row],[Date of Planned Offhire (DoPO) / If Applicable]]="","",MONTH(Table13[[#This Row],[Date of Planned Offhire (DoPO) / If Applicable]]))</f>
        <v/>
      </c>
      <c r="AP30" s="153" t="str">
        <f>IF(Table13[[#This Row],[Date of Planned Offhire (DoPO) / If Applicable]]="","",WEEKNUM(Table13[[#This Row],[Date of Planned Offhire (DoPO) / If Applicable]]))</f>
        <v/>
      </c>
      <c r="AQ30" s="153" t="str">
        <f>TEXT(Table13[[#This Row],[YEAR2]],"0000")&amp;"-"&amp;Table13[[#This Row],[MONTH2]]</f>
        <v>-</v>
      </c>
      <c r="AR30" s="153" t="str">
        <f>IF(Table13[[#This Row],[Actual Date to Offhire (ADtO)]]="","",YEAR(Table13[[#This Row],[Actual Date to Offhire (ADtO)]]))</f>
        <v/>
      </c>
      <c r="AS30" s="153" t="str">
        <f>IF(Table13[[#This Row],[Actual Date to Offhire (ADtO)]]="","",MONTH(Table13[[#This Row],[Actual Date to Offhire (ADtO)]]))</f>
        <v/>
      </c>
      <c r="AT30" s="153" t="str">
        <f>IF(Table13[[#This Row],[Actual Date to Offhire (ADtO)]]="","",WEEKNUM(Table13[[#This Row],[Actual Date to Offhire (ADtO)]]))</f>
        <v/>
      </c>
      <c r="AU30" s="153" t="str">
        <f>TEXT(Table13[[#This Row],[YEAR3]],"0000")&amp;"-"&amp;Table13[[#This Row],[MONTH3]]</f>
        <v>-</v>
      </c>
      <c r="AV30" s="153">
        <f>IF(E30="",0,
  IF('Delivery Report'!A$2*100+'Delivery Report'!A$5 &lt; YEAR(E30)*100+WEEKNUM(E30), 0,
    IF(OR(G30="", 'Delivery Report'!A$2*100+'Delivery Report'!A$5 &lt;= YEAR(G30)*100+WEEKNUM(G30)),
      IF(LOWER(W30)="hourly", U30*X30*56,
      IF(LOWER(W30)="daily", U30*X30*7,
      IF(LOWER(W30)="weekly", U30*X30,
      IF(LOWER(W30)="monthly", U30*X30*12/52,
      IF(LOWER(W30)="yearly", U30*X30/52,
      IF(LOWER(W30)="one-off", U30*X30,
      0)))))),
    0)))</f>
        <v>0</v>
      </c>
    </row>
    <row r="31" spans="2:48" x14ac:dyDescent="0.3">
      <c r="B31" s="176"/>
      <c r="C31" s="176"/>
      <c r="D31" s="176"/>
      <c r="E31" s="177"/>
      <c r="F31" s="177"/>
      <c r="G31" s="177"/>
      <c r="H31" s="164" t="s">
        <v>317</v>
      </c>
      <c r="P31" s="153"/>
      <c r="Q31" s="155">
        <v>1</v>
      </c>
      <c r="W31" s="153" t="str" cm="1">
        <f t="array" ref="W31">IF(Table13[[#This Row],[QUANTITY]]="","",IFERROR(IF(V31&lt;&gt;"",_xlfn.XLOOKUP(I31&amp;J31,PRICES!C:C&amp;PRICES!B:B,IF(PRICES!F:F&lt;&gt;"",PRICES!F:F,PRICES!E:E),"")),""))</f>
        <v/>
      </c>
      <c r="X31" s="154" t="str" cm="1">
        <f t="array" ref="X31">IF(Table13[[#This Row],[QUANTITY]]="","",IFERROR(IF(U31&lt;&gt;"",_xlfn.XLOOKUP(I31&amp;J31&amp;V31,PRICES!C:C&amp;PRICES!B:B&amp;PRICES!D:D,PRICES!G:G,"")),""))</f>
        <v/>
      </c>
      <c r="Y31" s="154" t="str">
        <f t="shared" ca="1" si="2"/>
        <v/>
      </c>
      <c r="Z31" s="154" t="str">
        <f t="shared" ca="1" si="3"/>
        <v/>
      </c>
      <c r="AA31" s="154" t="str">
        <f t="shared" ca="1" si="4"/>
        <v/>
      </c>
      <c r="AB31" s="154" t="str">
        <f t="shared" ca="1" si="5"/>
        <v/>
      </c>
      <c r="AC31" s="154" t="str">
        <f t="shared" ca="1" si="0"/>
        <v/>
      </c>
      <c r="AD31" s="154" t="str">
        <f>IF(Table13[[#This Row],[QUANTITY]]="","",
  IF(AND(Y31="",Z31="",AA31="",AB31="",AC31=""),
    U31*X31,
  ""))</f>
        <v/>
      </c>
      <c r="AE31" s="154" t="str">
        <f t="shared" ca="1" si="6"/>
        <v/>
      </c>
      <c r="AF31" s="154" t="str">
        <f t="shared" si="7"/>
        <v/>
      </c>
      <c r="AG31" s="154" t="str" cm="1">
        <f t="array" aca="1" ref="AG31" ca="1">IF(Table13[[#This Row],[TOTAL HIRE COST]]="","",IFERROR(IF(U31&lt;&gt;"",_xlfn.XLOOKUP(J31&amp;I31&amp;V31,PRICES!B:B&amp;PRICES!C:C&amp;PRICES!D:D,PRICES!H:H,"")),""))</f>
        <v/>
      </c>
      <c r="AH31" s="154" t="str" cm="1">
        <f t="array" aca="1" ref="AH31" ca="1">IF(Table13[[#This Row],[TOTAL HIRE COST]]="","",IFERROR(IF(U31&lt;&gt;"",_xlfn.XLOOKUP(J31&amp;I31&amp;V31,PRICES!B:B&amp;PRICES!C:C&amp;PRICES!D:D,PRICES!I:I,"")),""))</f>
        <v/>
      </c>
      <c r="AI31" s="154" t="str">
        <f ca="1">IF(Table13[[#This Row],[TOTAL HIRE COST]]="","",Table13[[#This Row],[TOTAL HIRE COST]]+Table13[[#This Row],[DELIVERY COST]]+Table13[[#This Row],[COLLECTION COST]])</f>
        <v/>
      </c>
      <c r="AJ31" s="153" t="str">
        <f>IF(Table13[[#This Row],[Date to Hire (DH)]]="","",YEAR(Table13[[#This Row],[Date to Hire (DH)]]))</f>
        <v/>
      </c>
      <c r="AK31" s="153" t="str">
        <f>IF(Table13[[#This Row],[Date to Hire (DH)]]="","",MONTH(Table13[[#This Row],[Date to Hire (DH)]]))</f>
        <v/>
      </c>
      <c r="AL31" s="153" t="str">
        <f>IF(Table13[[#This Row],[Date to Hire (DH)]]="","",WEEKNUM(Table13[[#This Row],[Date to Hire (DH)]]))</f>
        <v/>
      </c>
      <c r="AM31" s="153" t="str">
        <f>TEXT(Table13[[#This Row],[YEAR]],"0000")&amp;"-"&amp;Table13[[#This Row],[MONTH]]</f>
        <v>-</v>
      </c>
      <c r="AN31" s="153" t="str">
        <f>IF(Table13[[#This Row],[Date of Planned Offhire (DoPO) / If Applicable]]="","",YEAR(Table13[[#This Row],[Date of Planned Offhire (DoPO) / If Applicable]]))</f>
        <v/>
      </c>
      <c r="AO31" s="153" t="str">
        <f>IF(Table13[[#This Row],[Date of Planned Offhire (DoPO) / If Applicable]]="","",MONTH(Table13[[#This Row],[Date of Planned Offhire (DoPO) / If Applicable]]))</f>
        <v/>
      </c>
      <c r="AP31" s="153" t="str">
        <f>IF(Table13[[#This Row],[Date of Planned Offhire (DoPO) / If Applicable]]="","",WEEKNUM(Table13[[#This Row],[Date of Planned Offhire (DoPO) / If Applicable]]))</f>
        <v/>
      </c>
      <c r="AQ31" s="153" t="str">
        <f>TEXT(Table13[[#This Row],[YEAR2]],"0000")&amp;"-"&amp;Table13[[#This Row],[MONTH2]]</f>
        <v>-</v>
      </c>
      <c r="AR31" s="153" t="str">
        <f>IF(Table13[[#This Row],[Actual Date to Offhire (ADtO)]]="","",YEAR(Table13[[#This Row],[Actual Date to Offhire (ADtO)]]))</f>
        <v/>
      </c>
      <c r="AS31" s="153" t="str">
        <f>IF(Table13[[#This Row],[Actual Date to Offhire (ADtO)]]="","",MONTH(Table13[[#This Row],[Actual Date to Offhire (ADtO)]]))</f>
        <v/>
      </c>
      <c r="AT31" s="153" t="str">
        <f>IF(Table13[[#This Row],[Actual Date to Offhire (ADtO)]]="","",WEEKNUM(Table13[[#This Row],[Actual Date to Offhire (ADtO)]]))</f>
        <v/>
      </c>
      <c r="AU31" s="153" t="str">
        <f>TEXT(Table13[[#This Row],[YEAR3]],"0000")&amp;"-"&amp;Table13[[#This Row],[MONTH3]]</f>
        <v>-</v>
      </c>
      <c r="AV31" s="153">
        <f>IF(E31="",0,
  IF('Delivery Report'!A$2*100+'Delivery Report'!A$5 &lt; YEAR(E31)*100+WEEKNUM(E31), 0,
    IF(OR(G31="", 'Delivery Report'!A$2*100+'Delivery Report'!A$5 &lt;= YEAR(G31)*100+WEEKNUM(G31)),
      IF(LOWER(W31)="hourly", U31*X31*56,
      IF(LOWER(W31)="daily", U31*X31*7,
      IF(LOWER(W31)="weekly", U31*X31,
      IF(LOWER(W31)="monthly", U31*X31*12/52,
      IF(LOWER(W31)="yearly", U31*X31/52,
      IF(LOWER(W31)="one-off", U31*X31,
      0)))))),
    0)))</f>
        <v>0</v>
      </c>
    </row>
    <row r="32" spans="2:48" s="22" customFormat="1" x14ac:dyDescent="0.3">
      <c r="B32" s="176"/>
      <c r="C32" s="176"/>
      <c r="D32" s="176"/>
      <c r="E32" s="177"/>
      <c r="F32" s="177"/>
      <c r="G32" s="177"/>
      <c r="H32" s="164" t="s">
        <v>317</v>
      </c>
      <c r="M32"/>
      <c r="N32"/>
      <c r="P32" s="153"/>
      <c r="Q32" s="155">
        <v>1</v>
      </c>
      <c r="R32"/>
      <c r="S32"/>
      <c r="T32"/>
      <c r="U32"/>
      <c r="V32"/>
      <c r="W32" s="153" t="str" cm="1">
        <f t="array" ref="W32">IF(Table13[[#This Row],[QUANTITY]]="","",IFERROR(IF(V32&lt;&gt;"",_xlfn.XLOOKUP(I32&amp;J32,PRICES!C:C&amp;PRICES!B:B,IF(PRICES!F:F&lt;&gt;"",PRICES!F:F,PRICES!E:E),"")),""))</f>
        <v/>
      </c>
      <c r="X32" s="154" t="str" cm="1">
        <f t="array" ref="X32">IF(Table13[[#This Row],[QUANTITY]]="","",IFERROR(IF(U32&lt;&gt;"",_xlfn.XLOOKUP(I32&amp;J32&amp;V32,PRICES!C:C&amp;PRICES!B:B&amp;PRICES!D:D,PRICES!G:G,"")),""))</f>
        <v/>
      </c>
      <c r="Y32" s="154" t="str">
        <f t="shared" ca="1" si="2"/>
        <v/>
      </c>
      <c r="Z32" s="154" t="str">
        <f t="shared" ca="1" si="3"/>
        <v/>
      </c>
      <c r="AA32" s="154" t="str">
        <f t="shared" ca="1" si="4"/>
        <v/>
      </c>
      <c r="AB32" s="154" t="str">
        <f t="shared" ca="1" si="5"/>
        <v/>
      </c>
      <c r="AC32" s="154" t="str">
        <f t="shared" ca="1" si="0"/>
        <v/>
      </c>
      <c r="AD32" s="154" t="str">
        <f>IF(Table13[[#This Row],[QUANTITY]]="","",
  IF(AND(Y32="",Z32="",AA32="",AB32="",AC32=""),
    U32*X32,
  ""))</f>
        <v/>
      </c>
      <c r="AE32" s="154" t="str">
        <f t="shared" ca="1" si="6"/>
        <v/>
      </c>
      <c r="AF32" s="154" t="str">
        <f t="shared" si="7"/>
        <v/>
      </c>
      <c r="AG32" s="154" t="str" cm="1">
        <f t="array" aca="1" ref="AG32" ca="1">IF(Table13[[#This Row],[TOTAL HIRE COST]]="","",IFERROR(IF(U32&lt;&gt;"",_xlfn.XLOOKUP(J32&amp;I32&amp;V32,PRICES!B:B&amp;PRICES!C:C&amp;PRICES!D:D,PRICES!H:H,"")),""))</f>
        <v/>
      </c>
      <c r="AH32" s="154" t="str" cm="1">
        <f t="array" aca="1" ref="AH32" ca="1">IF(Table13[[#This Row],[TOTAL HIRE COST]]="","",IFERROR(IF(U32&lt;&gt;"",_xlfn.XLOOKUP(J32&amp;I32&amp;V32,PRICES!B:B&amp;PRICES!C:C&amp;PRICES!D:D,PRICES!I:I,"")),""))</f>
        <v/>
      </c>
      <c r="AI32" s="154" t="str">
        <f ca="1">IF(Table13[[#This Row],[TOTAL HIRE COST]]="","",Table13[[#This Row],[TOTAL HIRE COST]]+Table13[[#This Row],[DELIVERY COST]]+Table13[[#This Row],[COLLECTION COST]])</f>
        <v/>
      </c>
      <c r="AJ32" s="153" t="str">
        <f>IF(Table13[[#This Row],[Date to Hire (DH)]]="","",YEAR(Table13[[#This Row],[Date to Hire (DH)]]))</f>
        <v/>
      </c>
      <c r="AK32" s="153" t="str">
        <f>IF(Table13[[#This Row],[Date to Hire (DH)]]="","",MONTH(Table13[[#This Row],[Date to Hire (DH)]]))</f>
        <v/>
      </c>
      <c r="AL32" s="153" t="str">
        <f>IF(Table13[[#This Row],[Date to Hire (DH)]]="","",WEEKNUM(Table13[[#This Row],[Date to Hire (DH)]]))</f>
        <v/>
      </c>
      <c r="AM32" s="153" t="str">
        <f>TEXT(Table13[[#This Row],[YEAR]],"0000")&amp;"-"&amp;Table13[[#This Row],[MONTH]]</f>
        <v>-</v>
      </c>
      <c r="AN32" s="153" t="str">
        <f>IF(Table13[[#This Row],[Date of Planned Offhire (DoPO) / If Applicable]]="","",YEAR(Table13[[#This Row],[Date of Planned Offhire (DoPO) / If Applicable]]))</f>
        <v/>
      </c>
      <c r="AO32" s="153" t="str">
        <f>IF(Table13[[#This Row],[Date of Planned Offhire (DoPO) / If Applicable]]="","",MONTH(Table13[[#This Row],[Date of Planned Offhire (DoPO) / If Applicable]]))</f>
        <v/>
      </c>
      <c r="AP32" s="153" t="str">
        <f>IF(Table13[[#This Row],[Date of Planned Offhire (DoPO) / If Applicable]]="","",WEEKNUM(Table13[[#This Row],[Date of Planned Offhire (DoPO) / If Applicable]]))</f>
        <v/>
      </c>
      <c r="AQ32" s="153" t="str">
        <f>TEXT(Table13[[#This Row],[YEAR2]],"0000")&amp;"-"&amp;Table13[[#This Row],[MONTH2]]</f>
        <v>-</v>
      </c>
      <c r="AR32" s="153" t="str">
        <f>IF(Table13[[#This Row],[Actual Date to Offhire (ADtO)]]="","",YEAR(Table13[[#This Row],[Actual Date to Offhire (ADtO)]]))</f>
        <v/>
      </c>
      <c r="AS32" s="153" t="str">
        <f>IF(Table13[[#This Row],[Actual Date to Offhire (ADtO)]]="","",MONTH(Table13[[#This Row],[Actual Date to Offhire (ADtO)]]))</f>
        <v/>
      </c>
      <c r="AT32" s="153" t="str">
        <f>IF(Table13[[#This Row],[Actual Date to Offhire (ADtO)]]="","",WEEKNUM(Table13[[#This Row],[Actual Date to Offhire (ADtO)]]))</f>
        <v/>
      </c>
      <c r="AU32" s="153" t="str">
        <f>TEXT(Table13[[#This Row],[YEAR3]],"0000")&amp;"-"&amp;Table13[[#This Row],[MONTH3]]</f>
        <v>-</v>
      </c>
      <c r="AV32" s="153">
        <f>IF(E32="",0,
  IF('Delivery Report'!A$2*100+'Delivery Report'!A$5 &lt; YEAR(E32)*100+WEEKNUM(E32), 0,
    IF(OR(G32="", 'Delivery Report'!A$2*100+'Delivery Report'!A$5 &lt;= YEAR(G32)*100+WEEKNUM(G32)),
      IF(LOWER(W32)="hourly", U32*X32*56,
      IF(LOWER(W32)="daily", U32*X32*7,
      IF(LOWER(W32)="weekly", U32*X32,
      IF(LOWER(W32)="monthly", U32*X32*12/52,
      IF(LOWER(W32)="yearly", U32*X32/52,
      IF(LOWER(W32)="one-off", U32*X32,
      0)))))),
    0)))</f>
        <v>0</v>
      </c>
    </row>
    <row r="33" spans="2:48" s="22" customFormat="1" x14ac:dyDescent="0.3">
      <c r="B33" s="176"/>
      <c r="C33" s="176"/>
      <c r="D33" s="176"/>
      <c r="E33" s="177"/>
      <c r="F33" s="177"/>
      <c r="G33" s="177"/>
      <c r="H33" s="164" t="s">
        <v>317</v>
      </c>
      <c r="M33"/>
      <c r="N33"/>
      <c r="P33" s="153"/>
      <c r="Q33" s="155">
        <v>1</v>
      </c>
      <c r="R33"/>
      <c r="S33"/>
      <c r="T33"/>
      <c r="U33"/>
      <c r="V33"/>
      <c r="W33" s="153" t="str" cm="1">
        <f t="array" ref="W33">IF(Table13[[#This Row],[QUANTITY]]="","",IFERROR(IF(V33&lt;&gt;"",_xlfn.XLOOKUP(I33&amp;J33,PRICES!C:C&amp;PRICES!B:B,IF(PRICES!F:F&lt;&gt;"",PRICES!F:F,PRICES!E:E),"")),""))</f>
        <v/>
      </c>
      <c r="X33" s="154" t="str" cm="1">
        <f t="array" ref="X33">IF(Table13[[#This Row],[QUANTITY]]="","",IFERROR(IF(U33&lt;&gt;"",_xlfn.XLOOKUP(I33&amp;J33&amp;V33,PRICES!C:C&amp;PRICES!B:B&amp;PRICES!D:D,PRICES!G:G,"")),""))</f>
        <v/>
      </c>
      <c r="Y33" s="154" t="str">
        <f t="shared" ca="1" si="2"/>
        <v/>
      </c>
      <c r="Z33" s="154" t="str">
        <f t="shared" ca="1" si="3"/>
        <v/>
      </c>
      <c r="AA33" s="154" t="str">
        <f t="shared" ca="1" si="4"/>
        <v/>
      </c>
      <c r="AB33" s="154" t="str">
        <f t="shared" ca="1" si="5"/>
        <v/>
      </c>
      <c r="AC33" s="154" t="str">
        <f t="shared" ca="1" si="0"/>
        <v/>
      </c>
      <c r="AD33" s="154" t="str">
        <f>IF(Table13[[#This Row],[QUANTITY]]="","",
  IF(AND(Y33="",Z33="",AA33="",AB33="",AC33=""),
    U33*X33,
  ""))</f>
        <v/>
      </c>
      <c r="AE33" s="154" t="str">
        <f t="shared" ca="1" si="6"/>
        <v/>
      </c>
      <c r="AF33" s="154" t="str">
        <f t="shared" si="7"/>
        <v/>
      </c>
      <c r="AG33" s="154" t="str" cm="1">
        <f t="array" aca="1" ref="AG33" ca="1">IF(Table13[[#This Row],[TOTAL HIRE COST]]="","",IFERROR(IF(U33&lt;&gt;"",_xlfn.XLOOKUP(J33&amp;I33&amp;V33,PRICES!B:B&amp;PRICES!C:C&amp;PRICES!D:D,PRICES!H:H,"")),""))</f>
        <v/>
      </c>
      <c r="AH33" s="154" t="str" cm="1">
        <f t="array" aca="1" ref="AH33" ca="1">IF(Table13[[#This Row],[TOTAL HIRE COST]]="","",IFERROR(IF(U33&lt;&gt;"",_xlfn.XLOOKUP(J33&amp;I33&amp;V33,PRICES!B:B&amp;PRICES!C:C&amp;PRICES!D:D,PRICES!I:I,"")),""))</f>
        <v/>
      </c>
      <c r="AI33" s="154" t="str">
        <f ca="1">IF(Table13[[#This Row],[TOTAL HIRE COST]]="","",Table13[[#This Row],[TOTAL HIRE COST]]+Table13[[#This Row],[DELIVERY COST]]+Table13[[#This Row],[COLLECTION COST]])</f>
        <v/>
      </c>
      <c r="AJ33" s="153" t="str">
        <f>IF(Table13[[#This Row],[Date to Hire (DH)]]="","",YEAR(Table13[[#This Row],[Date to Hire (DH)]]))</f>
        <v/>
      </c>
      <c r="AK33" s="153" t="str">
        <f>IF(Table13[[#This Row],[Date to Hire (DH)]]="","",MONTH(Table13[[#This Row],[Date to Hire (DH)]]))</f>
        <v/>
      </c>
      <c r="AL33" s="153" t="str">
        <f>IF(Table13[[#This Row],[Date to Hire (DH)]]="","",WEEKNUM(Table13[[#This Row],[Date to Hire (DH)]]))</f>
        <v/>
      </c>
      <c r="AM33" s="153" t="str">
        <f>TEXT(Table13[[#This Row],[YEAR]],"0000")&amp;"-"&amp;Table13[[#This Row],[MONTH]]</f>
        <v>-</v>
      </c>
      <c r="AN33" s="153" t="str">
        <f>IF(Table13[[#This Row],[Date of Planned Offhire (DoPO) / If Applicable]]="","",YEAR(Table13[[#This Row],[Date of Planned Offhire (DoPO) / If Applicable]]))</f>
        <v/>
      </c>
      <c r="AO33" s="153" t="str">
        <f>IF(Table13[[#This Row],[Date of Planned Offhire (DoPO) / If Applicable]]="","",MONTH(Table13[[#This Row],[Date of Planned Offhire (DoPO) / If Applicable]]))</f>
        <v/>
      </c>
      <c r="AP33" s="153" t="str">
        <f>IF(Table13[[#This Row],[Date of Planned Offhire (DoPO) / If Applicable]]="","",WEEKNUM(Table13[[#This Row],[Date of Planned Offhire (DoPO) / If Applicable]]))</f>
        <v/>
      </c>
      <c r="AQ33" s="153" t="str">
        <f>TEXT(Table13[[#This Row],[YEAR2]],"0000")&amp;"-"&amp;Table13[[#This Row],[MONTH2]]</f>
        <v>-</v>
      </c>
      <c r="AR33" s="153" t="str">
        <f>IF(Table13[[#This Row],[Actual Date to Offhire (ADtO)]]="","",YEAR(Table13[[#This Row],[Actual Date to Offhire (ADtO)]]))</f>
        <v/>
      </c>
      <c r="AS33" s="153" t="str">
        <f>IF(Table13[[#This Row],[Actual Date to Offhire (ADtO)]]="","",MONTH(Table13[[#This Row],[Actual Date to Offhire (ADtO)]]))</f>
        <v/>
      </c>
      <c r="AT33" s="153" t="str">
        <f>IF(Table13[[#This Row],[Actual Date to Offhire (ADtO)]]="","",WEEKNUM(Table13[[#This Row],[Actual Date to Offhire (ADtO)]]))</f>
        <v/>
      </c>
      <c r="AU33" s="153" t="str">
        <f>TEXT(Table13[[#This Row],[YEAR3]],"0000")&amp;"-"&amp;Table13[[#This Row],[MONTH3]]</f>
        <v>-</v>
      </c>
      <c r="AV33" s="153">
        <f>IF(E33="",0,
  IF('Delivery Report'!A$2*100+'Delivery Report'!A$5 &lt; YEAR(E33)*100+WEEKNUM(E33), 0,
    IF(OR(G33="", 'Delivery Report'!A$2*100+'Delivery Report'!A$5 &lt;= YEAR(G33)*100+WEEKNUM(G33)),
      IF(LOWER(W33)="hourly", U33*X33*56,
      IF(LOWER(W33)="daily", U33*X33*7,
      IF(LOWER(W33)="weekly", U33*X33,
      IF(LOWER(W33)="monthly", U33*X33*12/52,
      IF(LOWER(W33)="yearly", U33*X33/52,
      IF(LOWER(W33)="one-off", U33*X33,
      0)))))),
    0)))</f>
        <v>0</v>
      </c>
    </row>
    <row r="34" spans="2:48" x14ac:dyDescent="0.3">
      <c r="B34" s="176"/>
      <c r="C34" s="176"/>
      <c r="D34" s="176"/>
      <c r="E34" s="177"/>
      <c r="F34" s="177"/>
      <c r="G34" s="177"/>
      <c r="H34" s="164" t="s">
        <v>317</v>
      </c>
      <c r="P34" s="153"/>
      <c r="Q34" s="155">
        <v>1</v>
      </c>
      <c r="W34" s="153" t="str" cm="1">
        <f t="array" ref="W34">IF(Table13[[#This Row],[QUANTITY]]="","",IFERROR(IF(V34&lt;&gt;"",_xlfn.XLOOKUP(I34&amp;J34,PRICES!C:C&amp;PRICES!B:B,IF(PRICES!F:F&lt;&gt;"",PRICES!F:F,PRICES!E:E),"")),""))</f>
        <v/>
      </c>
      <c r="X34" s="154" t="str" cm="1">
        <f t="array" ref="X34">IF(Table13[[#This Row],[QUANTITY]]="","",IFERROR(IF(U34&lt;&gt;"",_xlfn.XLOOKUP(I34&amp;J34&amp;V34,PRICES!C:C&amp;PRICES!B:B&amp;PRICES!D:D,PRICES!G:G,"")),""))</f>
        <v/>
      </c>
      <c r="Y34" s="154" t="str">
        <f t="shared" ca="1" si="2"/>
        <v/>
      </c>
      <c r="Z34" s="154" t="str">
        <f t="shared" ca="1" si="3"/>
        <v/>
      </c>
      <c r="AA34" s="154" t="str">
        <f t="shared" ca="1" si="4"/>
        <v/>
      </c>
      <c r="AB34" s="154" t="str">
        <f t="shared" ca="1" si="5"/>
        <v/>
      </c>
      <c r="AC34" s="154" t="str">
        <f t="shared" ca="1" si="0"/>
        <v/>
      </c>
      <c r="AD34" s="154" t="str">
        <f>IF(Table13[[#This Row],[QUANTITY]]="","",
  IF(AND(Y34="",Z34="",AA34="",AB34="",AC34=""),
    U34*X34,
  ""))</f>
        <v/>
      </c>
      <c r="AE34" s="154" t="str">
        <f t="shared" ca="1" si="6"/>
        <v/>
      </c>
      <c r="AF34" s="154" t="str">
        <f t="shared" si="7"/>
        <v/>
      </c>
      <c r="AG34" s="154" t="str" cm="1">
        <f t="array" aca="1" ref="AG34" ca="1">IF(Table13[[#This Row],[TOTAL HIRE COST]]="","",IFERROR(IF(U34&lt;&gt;"",_xlfn.XLOOKUP(J34&amp;I34&amp;V34,PRICES!B:B&amp;PRICES!C:C&amp;PRICES!D:D,PRICES!H:H,"")),""))</f>
        <v/>
      </c>
      <c r="AH34" s="154" t="str" cm="1">
        <f t="array" aca="1" ref="AH34" ca="1">IF(Table13[[#This Row],[TOTAL HIRE COST]]="","",IFERROR(IF(U34&lt;&gt;"",_xlfn.XLOOKUP(J34&amp;I34&amp;V34,PRICES!B:B&amp;PRICES!C:C&amp;PRICES!D:D,PRICES!I:I,"")),""))</f>
        <v/>
      </c>
      <c r="AI34" s="154" t="str">
        <f ca="1">IF(Table13[[#This Row],[TOTAL HIRE COST]]="","",Table13[[#This Row],[TOTAL HIRE COST]]+Table13[[#This Row],[DELIVERY COST]]+Table13[[#This Row],[COLLECTION COST]])</f>
        <v/>
      </c>
      <c r="AJ34" s="153" t="str">
        <f>IF(Table13[[#This Row],[Date to Hire (DH)]]="","",YEAR(Table13[[#This Row],[Date to Hire (DH)]]))</f>
        <v/>
      </c>
      <c r="AK34" s="153" t="str">
        <f>IF(Table13[[#This Row],[Date to Hire (DH)]]="","",MONTH(Table13[[#This Row],[Date to Hire (DH)]]))</f>
        <v/>
      </c>
      <c r="AL34" s="153" t="str">
        <f>IF(Table13[[#This Row],[Date to Hire (DH)]]="","",WEEKNUM(Table13[[#This Row],[Date to Hire (DH)]]))</f>
        <v/>
      </c>
      <c r="AM34" s="153" t="str">
        <f>TEXT(Table13[[#This Row],[YEAR]],"0000")&amp;"-"&amp;Table13[[#This Row],[MONTH]]</f>
        <v>-</v>
      </c>
      <c r="AN34" s="153" t="str">
        <f>IF(Table13[[#This Row],[Date of Planned Offhire (DoPO) / If Applicable]]="","",YEAR(Table13[[#This Row],[Date of Planned Offhire (DoPO) / If Applicable]]))</f>
        <v/>
      </c>
      <c r="AO34" s="153" t="str">
        <f>IF(Table13[[#This Row],[Date of Planned Offhire (DoPO) / If Applicable]]="","",MONTH(Table13[[#This Row],[Date of Planned Offhire (DoPO) / If Applicable]]))</f>
        <v/>
      </c>
      <c r="AP34" s="153" t="str">
        <f>IF(Table13[[#This Row],[Date of Planned Offhire (DoPO) / If Applicable]]="","",WEEKNUM(Table13[[#This Row],[Date of Planned Offhire (DoPO) / If Applicable]]))</f>
        <v/>
      </c>
      <c r="AQ34" s="153" t="str">
        <f>TEXT(Table13[[#This Row],[YEAR2]],"0000")&amp;"-"&amp;Table13[[#This Row],[MONTH2]]</f>
        <v>-</v>
      </c>
      <c r="AR34" s="153" t="str">
        <f>IF(Table13[[#This Row],[Actual Date to Offhire (ADtO)]]="","",YEAR(Table13[[#This Row],[Actual Date to Offhire (ADtO)]]))</f>
        <v/>
      </c>
      <c r="AS34" s="153" t="str">
        <f>IF(Table13[[#This Row],[Actual Date to Offhire (ADtO)]]="","",MONTH(Table13[[#This Row],[Actual Date to Offhire (ADtO)]]))</f>
        <v/>
      </c>
      <c r="AT34" s="153" t="str">
        <f>IF(Table13[[#This Row],[Actual Date to Offhire (ADtO)]]="","",WEEKNUM(Table13[[#This Row],[Actual Date to Offhire (ADtO)]]))</f>
        <v/>
      </c>
      <c r="AU34" s="153" t="str">
        <f>TEXT(Table13[[#This Row],[YEAR3]],"0000")&amp;"-"&amp;Table13[[#This Row],[MONTH3]]</f>
        <v>-</v>
      </c>
      <c r="AV34" s="153">
        <f>IF(E34="",0,
  IF('Delivery Report'!A$2*100+'Delivery Report'!A$5 &lt; YEAR(E34)*100+WEEKNUM(E34), 0,
    IF(OR(G34="", 'Delivery Report'!A$2*100+'Delivery Report'!A$5 &lt;= YEAR(G34)*100+WEEKNUM(G34)),
      IF(LOWER(W34)="hourly", U34*X34*56,
      IF(LOWER(W34)="daily", U34*X34*7,
      IF(LOWER(W34)="weekly", U34*X34,
      IF(LOWER(W34)="monthly", U34*X34*12/52,
      IF(LOWER(W34)="yearly", U34*X34/52,
      IF(LOWER(W34)="one-off", U34*X34,
      0)))))),
    0)))</f>
        <v>0</v>
      </c>
    </row>
    <row r="35" spans="2:48" x14ac:dyDescent="0.3">
      <c r="B35" s="176"/>
      <c r="C35" s="176"/>
      <c r="D35" s="176"/>
      <c r="E35" s="177"/>
      <c r="F35" s="177"/>
      <c r="G35" s="177"/>
      <c r="H35" s="164" t="s">
        <v>317</v>
      </c>
      <c r="P35" s="153"/>
      <c r="Q35" s="155">
        <v>1</v>
      </c>
      <c r="W35" s="153" t="str" cm="1">
        <f t="array" ref="W35">IF(Table13[[#This Row],[QUANTITY]]="","",IFERROR(IF(V35&lt;&gt;"",_xlfn.XLOOKUP(I35&amp;J35,PRICES!C:C&amp;PRICES!B:B,IF(PRICES!F:F&lt;&gt;"",PRICES!F:F,PRICES!E:E),"")),""))</f>
        <v/>
      </c>
      <c r="X35" s="154" t="str" cm="1">
        <f t="array" ref="X35">IF(Table13[[#This Row],[QUANTITY]]="","",IFERROR(IF(U35&lt;&gt;"",_xlfn.XLOOKUP(I35&amp;J35&amp;V35,PRICES!C:C&amp;PRICES!B:B&amp;PRICES!D:D,PRICES!G:G,"")),""))</f>
        <v/>
      </c>
      <c r="Y35" s="154" t="str">
        <f t="shared" ca="1" si="2"/>
        <v/>
      </c>
      <c r="Z35" s="154" t="str">
        <f t="shared" ca="1" si="3"/>
        <v/>
      </c>
      <c r="AA35" s="154" t="str">
        <f t="shared" ca="1" si="4"/>
        <v/>
      </c>
      <c r="AB35" s="154" t="str">
        <f t="shared" ca="1" si="5"/>
        <v/>
      </c>
      <c r="AC35" s="154" t="str">
        <f t="shared" ca="1" si="0"/>
        <v/>
      </c>
      <c r="AD35" s="154" t="str">
        <f>IF(Table13[[#This Row],[QUANTITY]]="","",
  IF(AND(Y35="",Z35="",AA35="",AB35="",AC35=""),
    U35*X35,
  ""))</f>
        <v/>
      </c>
      <c r="AE35" s="154" t="str">
        <f t="shared" ca="1" si="6"/>
        <v/>
      </c>
      <c r="AF35" s="154" t="str">
        <f t="shared" si="7"/>
        <v/>
      </c>
      <c r="AG35" s="154" t="str" cm="1">
        <f t="array" aca="1" ref="AG35" ca="1">IF(Table13[[#This Row],[TOTAL HIRE COST]]="","",IFERROR(IF(U35&lt;&gt;"",_xlfn.XLOOKUP(J35&amp;I35&amp;V35,PRICES!B:B&amp;PRICES!C:C&amp;PRICES!D:D,PRICES!H:H,"")),""))</f>
        <v/>
      </c>
      <c r="AH35" s="154" t="str" cm="1">
        <f t="array" aca="1" ref="AH35" ca="1">IF(Table13[[#This Row],[TOTAL HIRE COST]]="","",IFERROR(IF(U35&lt;&gt;"",_xlfn.XLOOKUP(J35&amp;I35&amp;V35,PRICES!B:B&amp;PRICES!C:C&amp;PRICES!D:D,PRICES!I:I,"")),""))</f>
        <v/>
      </c>
      <c r="AI35" s="154" t="str">
        <f ca="1">IF(Table13[[#This Row],[TOTAL HIRE COST]]="","",Table13[[#This Row],[TOTAL HIRE COST]]+Table13[[#This Row],[DELIVERY COST]]+Table13[[#This Row],[COLLECTION COST]])</f>
        <v/>
      </c>
      <c r="AJ35" s="153" t="str">
        <f>IF(Table13[[#This Row],[Date to Hire (DH)]]="","",YEAR(Table13[[#This Row],[Date to Hire (DH)]]))</f>
        <v/>
      </c>
      <c r="AK35" s="153" t="str">
        <f>IF(Table13[[#This Row],[Date to Hire (DH)]]="","",MONTH(Table13[[#This Row],[Date to Hire (DH)]]))</f>
        <v/>
      </c>
      <c r="AL35" s="153" t="str">
        <f>IF(Table13[[#This Row],[Date to Hire (DH)]]="","",WEEKNUM(Table13[[#This Row],[Date to Hire (DH)]]))</f>
        <v/>
      </c>
      <c r="AM35" s="153" t="str">
        <f>TEXT(Table13[[#This Row],[YEAR]],"0000")&amp;"-"&amp;Table13[[#This Row],[MONTH]]</f>
        <v>-</v>
      </c>
      <c r="AN35" s="153" t="str">
        <f>IF(Table13[[#This Row],[Date of Planned Offhire (DoPO) / If Applicable]]="","",YEAR(Table13[[#This Row],[Date of Planned Offhire (DoPO) / If Applicable]]))</f>
        <v/>
      </c>
      <c r="AO35" s="153" t="str">
        <f>IF(Table13[[#This Row],[Date of Planned Offhire (DoPO) / If Applicable]]="","",MONTH(Table13[[#This Row],[Date of Planned Offhire (DoPO) / If Applicable]]))</f>
        <v/>
      </c>
      <c r="AP35" s="153" t="str">
        <f>IF(Table13[[#This Row],[Date of Planned Offhire (DoPO) / If Applicable]]="","",WEEKNUM(Table13[[#This Row],[Date of Planned Offhire (DoPO) / If Applicable]]))</f>
        <v/>
      </c>
      <c r="AQ35" s="153" t="str">
        <f>TEXT(Table13[[#This Row],[YEAR2]],"0000")&amp;"-"&amp;Table13[[#This Row],[MONTH2]]</f>
        <v>-</v>
      </c>
      <c r="AR35" s="153" t="str">
        <f>IF(Table13[[#This Row],[Actual Date to Offhire (ADtO)]]="","",YEAR(Table13[[#This Row],[Actual Date to Offhire (ADtO)]]))</f>
        <v/>
      </c>
      <c r="AS35" s="153" t="str">
        <f>IF(Table13[[#This Row],[Actual Date to Offhire (ADtO)]]="","",MONTH(Table13[[#This Row],[Actual Date to Offhire (ADtO)]]))</f>
        <v/>
      </c>
      <c r="AT35" s="153" t="str">
        <f>IF(Table13[[#This Row],[Actual Date to Offhire (ADtO)]]="","",WEEKNUM(Table13[[#This Row],[Actual Date to Offhire (ADtO)]]))</f>
        <v/>
      </c>
      <c r="AU35" s="153" t="str">
        <f>TEXT(Table13[[#This Row],[YEAR3]],"0000")&amp;"-"&amp;Table13[[#This Row],[MONTH3]]</f>
        <v>-</v>
      </c>
      <c r="AV35" s="153">
        <f>IF(E35="",0,
  IF('Delivery Report'!A$2*100+'Delivery Report'!A$5 &lt; YEAR(E35)*100+WEEKNUM(E35), 0,
    IF(OR(G35="", 'Delivery Report'!A$2*100+'Delivery Report'!A$5 &lt;= YEAR(G35)*100+WEEKNUM(G35)),
      IF(LOWER(W35)="hourly", U35*X35*56,
      IF(LOWER(W35)="daily", U35*X35*7,
      IF(LOWER(W35)="weekly", U35*X35,
      IF(LOWER(W35)="monthly", U35*X35*12/52,
      IF(LOWER(W35)="yearly", U35*X35/52,
      IF(LOWER(W35)="one-off", U35*X35,
      0)))))),
    0)))</f>
        <v>0</v>
      </c>
    </row>
    <row r="36" spans="2:48" x14ac:dyDescent="0.3">
      <c r="B36" s="176"/>
      <c r="C36" s="176"/>
      <c r="D36" s="176"/>
      <c r="E36" s="177"/>
      <c r="F36" s="177"/>
      <c r="G36" s="177"/>
      <c r="H36" s="164" t="s">
        <v>317</v>
      </c>
      <c r="P36" s="153"/>
      <c r="Q36" s="155">
        <v>1</v>
      </c>
      <c r="W36" s="153" t="str" cm="1">
        <f t="array" ref="W36">IF(Table13[[#This Row],[QUANTITY]]="","",IFERROR(IF(V36&lt;&gt;"",_xlfn.XLOOKUP(I36&amp;J36,PRICES!C:C&amp;PRICES!B:B,IF(PRICES!F:F&lt;&gt;"",PRICES!F:F,PRICES!E:E),"")),""))</f>
        <v/>
      </c>
      <c r="X36" s="154" t="str" cm="1">
        <f t="array" ref="X36">IF(Table13[[#This Row],[QUANTITY]]="","",IFERROR(IF(U36&lt;&gt;"",_xlfn.XLOOKUP(I36&amp;J36&amp;V36,PRICES!C:C&amp;PRICES!B:B&amp;PRICES!D:D,PRICES!G:G,"")),""))</f>
        <v/>
      </c>
      <c r="Y36" s="154" t="str">
        <f t="shared" ca="1" si="2"/>
        <v/>
      </c>
      <c r="Z36" s="154" t="str">
        <f t="shared" ca="1" si="3"/>
        <v/>
      </c>
      <c r="AA36" s="154" t="str">
        <f t="shared" ca="1" si="4"/>
        <v/>
      </c>
      <c r="AB36" s="154" t="str">
        <f t="shared" ca="1" si="5"/>
        <v/>
      </c>
      <c r="AC36" s="154" t="str">
        <f t="shared" ca="1" si="0"/>
        <v/>
      </c>
      <c r="AD36" s="154" t="str">
        <f>IF(Table13[[#This Row],[QUANTITY]]="","",
  IF(AND(Y36="",Z36="",AA36="",AB36="",AC36=""),
    U36*X36,
  ""))</f>
        <v/>
      </c>
      <c r="AE36" s="154" t="str">
        <f t="shared" ca="1" si="6"/>
        <v/>
      </c>
      <c r="AF36" s="154" t="str">
        <f t="shared" si="7"/>
        <v/>
      </c>
      <c r="AG36" s="154" t="str" cm="1">
        <f t="array" aca="1" ref="AG36" ca="1">IF(Table13[[#This Row],[TOTAL HIRE COST]]="","",IFERROR(IF(U36&lt;&gt;"",_xlfn.XLOOKUP(J36&amp;I36&amp;V36,PRICES!B:B&amp;PRICES!C:C&amp;PRICES!D:D,PRICES!H:H,"")),""))</f>
        <v/>
      </c>
      <c r="AH36" s="154" t="str" cm="1">
        <f t="array" aca="1" ref="AH36" ca="1">IF(Table13[[#This Row],[TOTAL HIRE COST]]="","",IFERROR(IF(U36&lt;&gt;"",_xlfn.XLOOKUP(J36&amp;I36&amp;V36,PRICES!B:B&amp;PRICES!C:C&amp;PRICES!D:D,PRICES!I:I,"")),""))</f>
        <v/>
      </c>
      <c r="AI36" s="154" t="str">
        <f ca="1">IF(Table13[[#This Row],[TOTAL HIRE COST]]="","",Table13[[#This Row],[TOTAL HIRE COST]]+Table13[[#This Row],[DELIVERY COST]]+Table13[[#This Row],[COLLECTION COST]])</f>
        <v/>
      </c>
      <c r="AJ36" s="153" t="str">
        <f>IF(Table13[[#This Row],[Date to Hire (DH)]]="","",YEAR(Table13[[#This Row],[Date to Hire (DH)]]))</f>
        <v/>
      </c>
      <c r="AK36" s="153" t="str">
        <f>IF(Table13[[#This Row],[Date to Hire (DH)]]="","",MONTH(Table13[[#This Row],[Date to Hire (DH)]]))</f>
        <v/>
      </c>
      <c r="AL36" s="153" t="str">
        <f>IF(Table13[[#This Row],[Date to Hire (DH)]]="","",WEEKNUM(Table13[[#This Row],[Date to Hire (DH)]]))</f>
        <v/>
      </c>
      <c r="AM36" s="153" t="str">
        <f>TEXT(Table13[[#This Row],[YEAR]],"0000")&amp;"-"&amp;Table13[[#This Row],[MONTH]]</f>
        <v>-</v>
      </c>
      <c r="AN36" s="153" t="str">
        <f>IF(Table13[[#This Row],[Date of Planned Offhire (DoPO) / If Applicable]]="","",YEAR(Table13[[#This Row],[Date of Planned Offhire (DoPO) / If Applicable]]))</f>
        <v/>
      </c>
      <c r="AO36" s="153" t="str">
        <f>IF(Table13[[#This Row],[Date of Planned Offhire (DoPO) / If Applicable]]="","",MONTH(Table13[[#This Row],[Date of Planned Offhire (DoPO) / If Applicable]]))</f>
        <v/>
      </c>
      <c r="AP36" s="153" t="str">
        <f>IF(Table13[[#This Row],[Date of Planned Offhire (DoPO) / If Applicable]]="","",WEEKNUM(Table13[[#This Row],[Date of Planned Offhire (DoPO) / If Applicable]]))</f>
        <v/>
      </c>
      <c r="AQ36" s="153" t="str">
        <f>TEXT(Table13[[#This Row],[YEAR2]],"0000")&amp;"-"&amp;Table13[[#This Row],[MONTH2]]</f>
        <v>-</v>
      </c>
      <c r="AR36" s="153" t="str">
        <f>IF(Table13[[#This Row],[Actual Date to Offhire (ADtO)]]="","",YEAR(Table13[[#This Row],[Actual Date to Offhire (ADtO)]]))</f>
        <v/>
      </c>
      <c r="AS36" s="153" t="str">
        <f>IF(Table13[[#This Row],[Actual Date to Offhire (ADtO)]]="","",MONTH(Table13[[#This Row],[Actual Date to Offhire (ADtO)]]))</f>
        <v/>
      </c>
      <c r="AT36" s="153" t="str">
        <f>IF(Table13[[#This Row],[Actual Date to Offhire (ADtO)]]="","",WEEKNUM(Table13[[#This Row],[Actual Date to Offhire (ADtO)]]))</f>
        <v/>
      </c>
      <c r="AU36" s="153" t="str">
        <f>TEXT(Table13[[#This Row],[YEAR3]],"0000")&amp;"-"&amp;Table13[[#This Row],[MONTH3]]</f>
        <v>-</v>
      </c>
      <c r="AV36" s="153">
        <f>IF(E36="",0,
  IF('Delivery Report'!A$2*100+'Delivery Report'!A$5 &lt; YEAR(E36)*100+WEEKNUM(E36), 0,
    IF(OR(G36="", 'Delivery Report'!A$2*100+'Delivery Report'!A$5 &lt;= YEAR(G36)*100+WEEKNUM(G36)),
      IF(LOWER(W36)="hourly", U36*X36*56,
      IF(LOWER(W36)="daily", U36*X36*7,
      IF(LOWER(W36)="weekly", U36*X36,
      IF(LOWER(W36)="monthly", U36*X36*12/52,
      IF(LOWER(W36)="yearly", U36*X36/52,
      IF(LOWER(W36)="one-off", U36*X36,
      0)))))),
    0)))</f>
        <v>0</v>
      </c>
    </row>
    <row r="37" spans="2:48" s="22" customFormat="1" x14ac:dyDescent="0.3">
      <c r="B37" s="176"/>
      <c r="C37" s="176"/>
      <c r="D37" s="176"/>
      <c r="E37" s="177"/>
      <c r="F37" s="177"/>
      <c r="G37" s="177"/>
      <c r="H37" s="164" t="s">
        <v>317</v>
      </c>
      <c r="M37"/>
      <c r="N37"/>
      <c r="P37" s="153"/>
      <c r="Q37" s="155">
        <v>1</v>
      </c>
      <c r="R37"/>
      <c r="S37"/>
      <c r="T37"/>
      <c r="U37"/>
      <c r="V37"/>
      <c r="W37" s="153" t="str" cm="1">
        <f t="array" ref="W37">IF(Table13[[#This Row],[QUANTITY]]="","",IFERROR(IF(V37&lt;&gt;"",_xlfn.XLOOKUP(I37&amp;J37,PRICES!C:C&amp;PRICES!B:B,IF(PRICES!F:F&lt;&gt;"",PRICES!F:F,PRICES!E:E),"")),""))</f>
        <v/>
      </c>
      <c r="X37" s="154" t="str" cm="1">
        <f t="array" ref="X37">IF(Table13[[#This Row],[QUANTITY]]="","",IFERROR(IF(U37&lt;&gt;"",_xlfn.XLOOKUP(I37&amp;J37&amp;V37,PRICES!C:C&amp;PRICES!B:B&amp;PRICES!D:D,PRICES!G:G,"")),""))</f>
        <v/>
      </c>
      <c r="Y37" s="154" t="str">
        <f t="shared" ca="1" si="2"/>
        <v/>
      </c>
      <c r="Z37" s="154" t="str">
        <f t="shared" ca="1" si="3"/>
        <v/>
      </c>
      <c r="AA37" s="154" t="str">
        <f t="shared" ca="1" si="4"/>
        <v/>
      </c>
      <c r="AB37" s="154" t="str">
        <f t="shared" ca="1" si="5"/>
        <v/>
      </c>
      <c r="AC37" s="154" t="str">
        <f t="shared" ca="1" si="0"/>
        <v/>
      </c>
      <c r="AD37" s="154" t="str">
        <f>IF(Table13[[#This Row],[QUANTITY]]="","",
  IF(AND(Y37="",Z37="",AA37="",AB37="",AC37=""),
    U37*X37,
  ""))</f>
        <v/>
      </c>
      <c r="AE37" s="154" t="str">
        <f t="shared" ca="1" si="6"/>
        <v/>
      </c>
      <c r="AF37" s="154" t="str">
        <f t="shared" si="7"/>
        <v/>
      </c>
      <c r="AG37" s="154" t="str" cm="1">
        <f t="array" aca="1" ref="AG37" ca="1">IF(Table13[[#This Row],[TOTAL HIRE COST]]="","",IFERROR(IF(U37&lt;&gt;"",_xlfn.XLOOKUP(J37&amp;I37&amp;V37,PRICES!B:B&amp;PRICES!C:C&amp;PRICES!D:D,PRICES!H:H,"")),""))</f>
        <v/>
      </c>
      <c r="AH37" s="154" t="str" cm="1">
        <f t="array" aca="1" ref="AH37" ca="1">IF(Table13[[#This Row],[TOTAL HIRE COST]]="","",IFERROR(IF(U37&lt;&gt;"",_xlfn.XLOOKUP(J37&amp;I37&amp;V37,PRICES!B:B&amp;PRICES!C:C&amp;PRICES!D:D,PRICES!I:I,"")),""))</f>
        <v/>
      </c>
      <c r="AI37" s="154" t="str">
        <f ca="1">IF(Table13[[#This Row],[TOTAL HIRE COST]]="","",Table13[[#This Row],[TOTAL HIRE COST]]+Table13[[#This Row],[DELIVERY COST]]+Table13[[#This Row],[COLLECTION COST]])</f>
        <v/>
      </c>
      <c r="AJ37" s="153" t="str">
        <f>IF(Table13[[#This Row],[Date to Hire (DH)]]="","",YEAR(Table13[[#This Row],[Date to Hire (DH)]]))</f>
        <v/>
      </c>
      <c r="AK37" s="153" t="str">
        <f>IF(Table13[[#This Row],[Date to Hire (DH)]]="","",MONTH(Table13[[#This Row],[Date to Hire (DH)]]))</f>
        <v/>
      </c>
      <c r="AL37" s="153" t="str">
        <f>IF(Table13[[#This Row],[Date to Hire (DH)]]="","",WEEKNUM(Table13[[#This Row],[Date to Hire (DH)]]))</f>
        <v/>
      </c>
      <c r="AM37" s="153" t="str">
        <f>TEXT(Table13[[#This Row],[YEAR]],"0000")&amp;"-"&amp;Table13[[#This Row],[MONTH]]</f>
        <v>-</v>
      </c>
      <c r="AN37" s="153" t="str">
        <f>IF(Table13[[#This Row],[Date of Planned Offhire (DoPO) / If Applicable]]="","",YEAR(Table13[[#This Row],[Date of Planned Offhire (DoPO) / If Applicable]]))</f>
        <v/>
      </c>
      <c r="AO37" s="153" t="str">
        <f>IF(Table13[[#This Row],[Date of Planned Offhire (DoPO) / If Applicable]]="","",MONTH(Table13[[#This Row],[Date of Planned Offhire (DoPO) / If Applicable]]))</f>
        <v/>
      </c>
      <c r="AP37" s="153" t="str">
        <f>IF(Table13[[#This Row],[Date of Planned Offhire (DoPO) / If Applicable]]="","",WEEKNUM(Table13[[#This Row],[Date of Planned Offhire (DoPO) / If Applicable]]))</f>
        <v/>
      </c>
      <c r="AQ37" s="153" t="str">
        <f>TEXT(Table13[[#This Row],[YEAR2]],"0000")&amp;"-"&amp;Table13[[#This Row],[MONTH2]]</f>
        <v>-</v>
      </c>
      <c r="AR37" s="153" t="str">
        <f>IF(Table13[[#This Row],[Actual Date to Offhire (ADtO)]]="","",YEAR(Table13[[#This Row],[Actual Date to Offhire (ADtO)]]))</f>
        <v/>
      </c>
      <c r="AS37" s="153" t="str">
        <f>IF(Table13[[#This Row],[Actual Date to Offhire (ADtO)]]="","",MONTH(Table13[[#This Row],[Actual Date to Offhire (ADtO)]]))</f>
        <v/>
      </c>
      <c r="AT37" s="153" t="str">
        <f>IF(Table13[[#This Row],[Actual Date to Offhire (ADtO)]]="","",WEEKNUM(Table13[[#This Row],[Actual Date to Offhire (ADtO)]]))</f>
        <v/>
      </c>
      <c r="AU37" s="153" t="str">
        <f>TEXT(Table13[[#This Row],[YEAR3]],"0000")&amp;"-"&amp;Table13[[#This Row],[MONTH3]]</f>
        <v>-</v>
      </c>
      <c r="AV37" s="153">
        <f>IF(E37="",0,
  IF('Delivery Report'!A$2*100+'Delivery Report'!A$5 &lt; YEAR(E37)*100+WEEKNUM(E37), 0,
    IF(OR(G37="", 'Delivery Report'!A$2*100+'Delivery Report'!A$5 &lt;= YEAR(G37)*100+WEEKNUM(G37)),
      IF(LOWER(W37)="hourly", U37*X37*56,
      IF(LOWER(W37)="daily", U37*X37*7,
      IF(LOWER(W37)="weekly", U37*X37,
      IF(LOWER(W37)="monthly", U37*X37*12/52,
      IF(LOWER(W37)="yearly", U37*X37/52,
      IF(LOWER(W37)="one-off", U37*X37,
      0)))))),
    0)))</f>
        <v>0</v>
      </c>
    </row>
    <row r="38" spans="2:48" x14ac:dyDescent="0.3">
      <c r="B38" s="176"/>
      <c r="C38" s="176"/>
      <c r="D38" s="176"/>
      <c r="E38" s="177"/>
      <c r="F38" s="177"/>
      <c r="G38" s="177"/>
      <c r="H38" s="164" t="s">
        <v>317</v>
      </c>
      <c r="P38" s="153"/>
      <c r="Q38" s="155">
        <v>1</v>
      </c>
      <c r="W38" s="153" t="str" cm="1">
        <f t="array" ref="W38">IF(Table13[[#This Row],[QUANTITY]]="","",IFERROR(IF(V38&lt;&gt;"",_xlfn.XLOOKUP(I38&amp;J38,PRICES!C:C&amp;PRICES!B:B,IF(PRICES!F:F&lt;&gt;"",PRICES!F:F,PRICES!E:E),"")),""))</f>
        <v/>
      </c>
      <c r="X38" s="154" t="str" cm="1">
        <f t="array" ref="X38">IF(Table13[[#This Row],[QUANTITY]]="","",IFERROR(IF(U38&lt;&gt;"",_xlfn.XLOOKUP(I38&amp;J38&amp;V38,PRICES!C:C&amp;PRICES!B:B&amp;PRICES!D:D,PRICES!G:G,"")),""))</f>
        <v/>
      </c>
      <c r="Y38" s="154" t="str">
        <f t="shared" ca="1" si="2"/>
        <v/>
      </c>
      <c r="Z38" s="154" t="str">
        <f t="shared" ca="1" si="3"/>
        <v/>
      </c>
      <c r="AA38" s="154" t="str">
        <f t="shared" ca="1" si="4"/>
        <v/>
      </c>
      <c r="AB38" s="154" t="str">
        <f t="shared" ca="1" si="5"/>
        <v/>
      </c>
      <c r="AC38" s="154" t="str">
        <f t="shared" ca="1" si="0"/>
        <v/>
      </c>
      <c r="AD38" s="154" t="str">
        <f>IF(Table13[[#This Row],[QUANTITY]]="","",
  IF(AND(Y38="",Z38="",AA38="",AB38="",AC38=""),
    U38*X38,
  ""))</f>
        <v/>
      </c>
      <c r="AE38" s="154" t="str">
        <f t="shared" ca="1" si="6"/>
        <v/>
      </c>
      <c r="AF38" s="154" t="str">
        <f t="shared" si="7"/>
        <v/>
      </c>
      <c r="AG38" s="154" t="str" cm="1">
        <f t="array" aca="1" ref="AG38" ca="1">IF(Table13[[#This Row],[TOTAL HIRE COST]]="","",IFERROR(IF(U38&lt;&gt;"",_xlfn.XLOOKUP(J38&amp;I38&amp;V38,PRICES!B:B&amp;PRICES!C:C&amp;PRICES!D:D,PRICES!H:H,"")),""))</f>
        <v/>
      </c>
      <c r="AH38" s="154" t="str" cm="1">
        <f t="array" aca="1" ref="AH38" ca="1">IF(Table13[[#This Row],[TOTAL HIRE COST]]="","",IFERROR(IF(U38&lt;&gt;"",_xlfn.XLOOKUP(J38&amp;I38&amp;V38,PRICES!B:B&amp;PRICES!C:C&amp;PRICES!D:D,PRICES!I:I,"")),""))</f>
        <v/>
      </c>
      <c r="AI38" s="154" t="str">
        <f ca="1">IF(Table13[[#This Row],[TOTAL HIRE COST]]="","",Table13[[#This Row],[TOTAL HIRE COST]]+Table13[[#This Row],[DELIVERY COST]]+Table13[[#This Row],[COLLECTION COST]])</f>
        <v/>
      </c>
      <c r="AJ38" s="153" t="str">
        <f>IF(Table13[[#This Row],[Date to Hire (DH)]]="","",YEAR(Table13[[#This Row],[Date to Hire (DH)]]))</f>
        <v/>
      </c>
      <c r="AK38" s="153" t="str">
        <f>IF(Table13[[#This Row],[Date to Hire (DH)]]="","",MONTH(Table13[[#This Row],[Date to Hire (DH)]]))</f>
        <v/>
      </c>
      <c r="AL38" s="153" t="str">
        <f>IF(Table13[[#This Row],[Date to Hire (DH)]]="","",WEEKNUM(Table13[[#This Row],[Date to Hire (DH)]]))</f>
        <v/>
      </c>
      <c r="AM38" s="153" t="str">
        <f>TEXT(Table13[[#This Row],[YEAR]],"0000")&amp;"-"&amp;Table13[[#This Row],[MONTH]]</f>
        <v>-</v>
      </c>
      <c r="AN38" s="153" t="str">
        <f>IF(Table13[[#This Row],[Date of Planned Offhire (DoPO) / If Applicable]]="","",YEAR(Table13[[#This Row],[Date of Planned Offhire (DoPO) / If Applicable]]))</f>
        <v/>
      </c>
      <c r="AO38" s="153" t="str">
        <f>IF(Table13[[#This Row],[Date of Planned Offhire (DoPO) / If Applicable]]="","",MONTH(Table13[[#This Row],[Date of Planned Offhire (DoPO) / If Applicable]]))</f>
        <v/>
      </c>
      <c r="AP38" s="153" t="str">
        <f>IF(Table13[[#This Row],[Date of Planned Offhire (DoPO) / If Applicable]]="","",WEEKNUM(Table13[[#This Row],[Date of Planned Offhire (DoPO) / If Applicable]]))</f>
        <v/>
      </c>
      <c r="AQ38" s="153" t="str">
        <f>TEXT(Table13[[#This Row],[YEAR2]],"0000")&amp;"-"&amp;Table13[[#This Row],[MONTH2]]</f>
        <v>-</v>
      </c>
      <c r="AR38" s="153" t="str">
        <f>IF(Table13[[#This Row],[Actual Date to Offhire (ADtO)]]="","",YEAR(Table13[[#This Row],[Actual Date to Offhire (ADtO)]]))</f>
        <v/>
      </c>
      <c r="AS38" s="153" t="str">
        <f>IF(Table13[[#This Row],[Actual Date to Offhire (ADtO)]]="","",MONTH(Table13[[#This Row],[Actual Date to Offhire (ADtO)]]))</f>
        <v/>
      </c>
      <c r="AT38" s="153" t="str">
        <f>IF(Table13[[#This Row],[Actual Date to Offhire (ADtO)]]="","",WEEKNUM(Table13[[#This Row],[Actual Date to Offhire (ADtO)]]))</f>
        <v/>
      </c>
      <c r="AU38" s="153" t="str">
        <f>TEXT(Table13[[#This Row],[YEAR3]],"0000")&amp;"-"&amp;Table13[[#This Row],[MONTH3]]</f>
        <v>-</v>
      </c>
      <c r="AV38" s="153">
        <f>IF(E38="",0,
  IF('Delivery Report'!A$2*100+'Delivery Report'!A$5 &lt; YEAR(E38)*100+WEEKNUM(E38), 0,
    IF(OR(G38="", 'Delivery Report'!A$2*100+'Delivery Report'!A$5 &lt;= YEAR(G38)*100+WEEKNUM(G38)),
      IF(LOWER(W38)="hourly", U38*X38*56,
      IF(LOWER(W38)="daily", U38*X38*7,
      IF(LOWER(W38)="weekly", U38*X38,
      IF(LOWER(W38)="monthly", U38*X38*12/52,
      IF(LOWER(W38)="yearly", U38*X38/52,
      IF(LOWER(W38)="one-off", U38*X38,
      0)))))),
    0)))</f>
        <v>0</v>
      </c>
    </row>
    <row r="39" spans="2:48" x14ac:dyDescent="0.3">
      <c r="B39" s="176"/>
      <c r="C39" s="176"/>
      <c r="D39" s="176"/>
      <c r="E39" s="177"/>
      <c r="F39" s="177"/>
      <c r="G39" s="177"/>
      <c r="H39" s="164" t="s">
        <v>317</v>
      </c>
      <c r="P39" s="153"/>
      <c r="Q39" s="155">
        <v>1</v>
      </c>
      <c r="W39" s="153" t="str" cm="1">
        <f t="array" ref="W39">IF(Table13[[#This Row],[QUANTITY]]="","",IFERROR(IF(V39&lt;&gt;"",_xlfn.XLOOKUP(I39&amp;J39,PRICES!C:C&amp;PRICES!B:B,IF(PRICES!F:F&lt;&gt;"",PRICES!F:F,PRICES!E:E),"")),""))</f>
        <v/>
      </c>
      <c r="X39" s="154" t="str" cm="1">
        <f t="array" ref="X39">IF(Table13[[#This Row],[QUANTITY]]="","",IFERROR(IF(U39&lt;&gt;"",_xlfn.XLOOKUP(I39&amp;J39&amp;V39,PRICES!C:C&amp;PRICES!B:B&amp;PRICES!D:D,PRICES!G:G,"")),""))</f>
        <v/>
      </c>
      <c r="Y39" s="154" t="str">
        <f t="shared" ca="1" si="2"/>
        <v/>
      </c>
      <c r="Z39" s="154" t="str">
        <f t="shared" ca="1" si="3"/>
        <v/>
      </c>
      <c r="AA39" s="154" t="str">
        <f t="shared" ca="1" si="4"/>
        <v/>
      </c>
      <c r="AB39" s="154" t="str">
        <f t="shared" ca="1" si="5"/>
        <v/>
      </c>
      <c r="AC39" s="154" t="str">
        <f t="shared" ca="1" si="0"/>
        <v/>
      </c>
      <c r="AD39" s="154" t="str">
        <f>IF(Table13[[#This Row],[QUANTITY]]="","",
  IF(AND(Y39="",Z39="",AA39="",AB39="",AC39=""),
    U39*X39,
  ""))</f>
        <v/>
      </c>
      <c r="AE39" s="154" t="str">
        <f t="shared" ca="1" si="6"/>
        <v/>
      </c>
      <c r="AF39" s="154" t="str">
        <f t="shared" si="7"/>
        <v/>
      </c>
      <c r="AG39" s="154" t="str" cm="1">
        <f t="array" aca="1" ref="AG39" ca="1">IF(Table13[[#This Row],[TOTAL HIRE COST]]="","",IFERROR(IF(U39&lt;&gt;"",_xlfn.XLOOKUP(J39&amp;I39&amp;V39,PRICES!B:B&amp;PRICES!C:C&amp;PRICES!D:D,PRICES!H:H,"")),""))</f>
        <v/>
      </c>
      <c r="AH39" s="154" t="str" cm="1">
        <f t="array" aca="1" ref="AH39" ca="1">IF(Table13[[#This Row],[TOTAL HIRE COST]]="","",IFERROR(IF(U39&lt;&gt;"",_xlfn.XLOOKUP(J39&amp;I39&amp;V39,PRICES!B:B&amp;PRICES!C:C&amp;PRICES!D:D,PRICES!I:I,"")),""))</f>
        <v/>
      </c>
      <c r="AI39" s="154" t="str">
        <f ca="1">IF(Table13[[#This Row],[TOTAL HIRE COST]]="","",Table13[[#This Row],[TOTAL HIRE COST]]+Table13[[#This Row],[DELIVERY COST]]+Table13[[#This Row],[COLLECTION COST]])</f>
        <v/>
      </c>
      <c r="AJ39" s="153" t="str">
        <f>IF(Table13[[#This Row],[Date to Hire (DH)]]="","",YEAR(Table13[[#This Row],[Date to Hire (DH)]]))</f>
        <v/>
      </c>
      <c r="AK39" s="153" t="str">
        <f>IF(Table13[[#This Row],[Date to Hire (DH)]]="","",MONTH(Table13[[#This Row],[Date to Hire (DH)]]))</f>
        <v/>
      </c>
      <c r="AL39" s="153" t="str">
        <f>IF(Table13[[#This Row],[Date to Hire (DH)]]="","",WEEKNUM(Table13[[#This Row],[Date to Hire (DH)]]))</f>
        <v/>
      </c>
      <c r="AM39" s="153" t="str">
        <f>TEXT(Table13[[#This Row],[YEAR]],"0000")&amp;"-"&amp;Table13[[#This Row],[MONTH]]</f>
        <v>-</v>
      </c>
      <c r="AN39" s="153" t="str">
        <f>IF(Table13[[#This Row],[Date of Planned Offhire (DoPO) / If Applicable]]="","",YEAR(Table13[[#This Row],[Date of Planned Offhire (DoPO) / If Applicable]]))</f>
        <v/>
      </c>
      <c r="AO39" s="153" t="str">
        <f>IF(Table13[[#This Row],[Date of Planned Offhire (DoPO) / If Applicable]]="","",MONTH(Table13[[#This Row],[Date of Planned Offhire (DoPO) / If Applicable]]))</f>
        <v/>
      </c>
      <c r="AP39" s="153" t="str">
        <f>IF(Table13[[#This Row],[Date of Planned Offhire (DoPO) / If Applicable]]="","",WEEKNUM(Table13[[#This Row],[Date of Planned Offhire (DoPO) / If Applicable]]))</f>
        <v/>
      </c>
      <c r="AQ39" s="153" t="str">
        <f>TEXT(Table13[[#This Row],[YEAR2]],"0000")&amp;"-"&amp;Table13[[#This Row],[MONTH2]]</f>
        <v>-</v>
      </c>
      <c r="AR39" s="153" t="str">
        <f>IF(Table13[[#This Row],[Actual Date to Offhire (ADtO)]]="","",YEAR(Table13[[#This Row],[Actual Date to Offhire (ADtO)]]))</f>
        <v/>
      </c>
      <c r="AS39" s="153" t="str">
        <f>IF(Table13[[#This Row],[Actual Date to Offhire (ADtO)]]="","",MONTH(Table13[[#This Row],[Actual Date to Offhire (ADtO)]]))</f>
        <v/>
      </c>
      <c r="AT39" s="153" t="str">
        <f>IF(Table13[[#This Row],[Actual Date to Offhire (ADtO)]]="","",WEEKNUM(Table13[[#This Row],[Actual Date to Offhire (ADtO)]]))</f>
        <v/>
      </c>
      <c r="AU39" s="153" t="str">
        <f>TEXT(Table13[[#This Row],[YEAR3]],"0000")&amp;"-"&amp;Table13[[#This Row],[MONTH3]]</f>
        <v>-</v>
      </c>
      <c r="AV39" s="153">
        <f>IF(E39="",0,
  IF('Delivery Report'!A$2*100+'Delivery Report'!A$5 &lt; YEAR(E39)*100+WEEKNUM(E39), 0,
    IF(OR(G39="", 'Delivery Report'!A$2*100+'Delivery Report'!A$5 &lt;= YEAR(G39)*100+WEEKNUM(G39)),
      IF(LOWER(W39)="hourly", U39*X39*56,
      IF(LOWER(W39)="daily", U39*X39*7,
      IF(LOWER(W39)="weekly", U39*X39,
      IF(LOWER(W39)="monthly", U39*X39*12/52,
      IF(LOWER(W39)="yearly", U39*X39/52,
      IF(LOWER(W39)="one-off", U39*X39,
      0)))))),
    0)))</f>
        <v>0</v>
      </c>
    </row>
    <row r="40" spans="2:48" x14ac:dyDescent="0.3">
      <c r="B40" s="176"/>
      <c r="C40" s="176"/>
      <c r="D40" s="176"/>
      <c r="E40" s="177"/>
      <c r="F40" s="177"/>
      <c r="G40" s="177"/>
      <c r="H40" s="164" t="s">
        <v>317</v>
      </c>
      <c r="P40" s="153"/>
      <c r="Q40" s="155">
        <v>1</v>
      </c>
      <c r="W40" s="153" t="str" cm="1">
        <f t="array" ref="W40">IF(Table13[[#This Row],[QUANTITY]]="","",IFERROR(IF(V40&lt;&gt;"",_xlfn.XLOOKUP(I40&amp;J40,PRICES!C:C&amp;PRICES!B:B,IF(PRICES!F:F&lt;&gt;"",PRICES!F:F,PRICES!E:E),"")),""))</f>
        <v/>
      </c>
      <c r="X40" s="154" t="str" cm="1">
        <f t="array" ref="X40">IF(Table13[[#This Row],[QUANTITY]]="","",IFERROR(IF(U40&lt;&gt;"",_xlfn.XLOOKUP(I40&amp;J40&amp;V40,PRICES!C:C&amp;PRICES!B:B&amp;PRICES!D:D,PRICES!G:G,"")),""))</f>
        <v/>
      </c>
      <c r="Y40" s="154" t="str">
        <f t="shared" ca="1" si="2"/>
        <v/>
      </c>
      <c r="Z40" s="154" t="str">
        <f t="shared" ca="1" si="3"/>
        <v/>
      </c>
      <c r="AA40" s="154" t="str">
        <f t="shared" ca="1" si="4"/>
        <v/>
      </c>
      <c r="AB40" s="154" t="str">
        <f t="shared" ca="1" si="5"/>
        <v/>
      </c>
      <c r="AC40" s="154" t="str">
        <f t="shared" ca="1" si="0"/>
        <v/>
      </c>
      <c r="AD40" s="154" t="str">
        <f>IF(Table13[[#This Row],[QUANTITY]]="","",
  IF(AND(Y40="",Z40="",AA40="",AB40="",AC40=""),
    U40*X40,
  ""))</f>
        <v/>
      </c>
      <c r="AE40" s="154" t="str">
        <f t="shared" ca="1" si="6"/>
        <v/>
      </c>
      <c r="AF40" s="154" t="str">
        <f t="shared" si="7"/>
        <v/>
      </c>
      <c r="AG40" s="154" t="str" cm="1">
        <f t="array" aca="1" ref="AG40" ca="1">IF(Table13[[#This Row],[TOTAL HIRE COST]]="","",IFERROR(IF(U40&lt;&gt;"",_xlfn.XLOOKUP(J40&amp;I40&amp;V40,PRICES!B:B&amp;PRICES!C:C&amp;PRICES!D:D,PRICES!H:H,"")),""))</f>
        <v/>
      </c>
      <c r="AH40" s="154" t="str" cm="1">
        <f t="array" aca="1" ref="AH40" ca="1">IF(Table13[[#This Row],[TOTAL HIRE COST]]="","",IFERROR(IF(U40&lt;&gt;"",_xlfn.XLOOKUP(J40&amp;I40&amp;V40,PRICES!B:B&amp;PRICES!C:C&amp;PRICES!D:D,PRICES!I:I,"")),""))</f>
        <v/>
      </c>
      <c r="AI40" s="154" t="str">
        <f ca="1">IF(Table13[[#This Row],[TOTAL HIRE COST]]="","",Table13[[#This Row],[TOTAL HIRE COST]]+Table13[[#This Row],[DELIVERY COST]]+Table13[[#This Row],[COLLECTION COST]])</f>
        <v/>
      </c>
      <c r="AJ40" s="153" t="str">
        <f>IF(Table13[[#This Row],[Date to Hire (DH)]]="","",YEAR(Table13[[#This Row],[Date to Hire (DH)]]))</f>
        <v/>
      </c>
      <c r="AK40" s="153" t="str">
        <f>IF(Table13[[#This Row],[Date to Hire (DH)]]="","",MONTH(Table13[[#This Row],[Date to Hire (DH)]]))</f>
        <v/>
      </c>
      <c r="AL40" s="153" t="str">
        <f>IF(Table13[[#This Row],[Date to Hire (DH)]]="","",WEEKNUM(Table13[[#This Row],[Date to Hire (DH)]]))</f>
        <v/>
      </c>
      <c r="AM40" s="153" t="str">
        <f>TEXT(Table13[[#This Row],[YEAR]],"0000")&amp;"-"&amp;Table13[[#This Row],[MONTH]]</f>
        <v>-</v>
      </c>
      <c r="AN40" s="153" t="str">
        <f>IF(Table13[[#This Row],[Date of Planned Offhire (DoPO) / If Applicable]]="","",YEAR(Table13[[#This Row],[Date of Planned Offhire (DoPO) / If Applicable]]))</f>
        <v/>
      </c>
      <c r="AO40" s="153" t="str">
        <f>IF(Table13[[#This Row],[Date of Planned Offhire (DoPO) / If Applicable]]="","",MONTH(Table13[[#This Row],[Date of Planned Offhire (DoPO) / If Applicable]]))</f>
        <v/>
      </c>
      <c r="AP40" s="153" t="str">
        <f>IF(Table13[[#This Row],[Date of Planned Offhire (DoPO) / If Applicable]]="","",WEEKNUM(Table13[[#This Row],[Date of Planned Offhire (DoPO) / If Applicable]]))</f>
        <v/>
      </c>
      <c r="AQ40" s="153" t="str">
        <f>TEXT(Table13[[#This Row],[YEAR2]],"0000")&amp;"-"&amp;Table13[[#This Row],[MONTH2]]</f>
        <v>-</v>
      </c>
      <c r="AR40" s="153" t="str">
        <f>IF(Table13[[#This Row],[Actual Date to Offhire (ADtO)]]="","",YEAR(Table13[[#This Row],[Actual Date to Offhire (ADtO)]]))</f>
        <v/>
      </c>
      <c r="AS40" s="153" t="str">
        <f>IF(Table13[[#This Row],[Actual Date to Offhire (ADtO)]]="","",MONTH(Table13[[#This Row],[Actual Date to Offhire (ADtO)]]))</f>
        <v/>
      </c>
      <c r="AT40" s="153" t="str">
        <f>IF(Table13[[#This Row],[Actual Date to Offhire (ADtO)]]="","",WEEKNUM(Table13[[#This Row],[Actual Date to Offhire (ADtO)]]))</f>
        <v/>
      </c>
      <c r="AU40" s="153" t="str">
        <f>TEXT(Table13[[#This Row],[YEAR3]],"0000")&amp;"-"&amp;Table13[[#This Row],[MONTH3]]</f>
        <v>-</v>
      </c>
      <c r="AV40" s="153">
        <f>IF(E40="",0,
  IF('Delivery Report'!A$2*100+'Delivery Report'!A$5 &lt; YEAR(E40)*100+WEEKNUM(E40), 0,
    IF(OR(G40="", 'Delivery Report'!A$2*100+'Delivery Report'!A$5 &lt;= YEAR(G40)*100+WEEKNUM(G40)),
      IF(LOWER(W40)="hourly", U40*X40*56,
      IF(LOWER(W40)="daily", U40*X40*7,
      IF(LOWER(W40)="weekly", U40*X40,
      IF(LOWER(W40)="monthly", U40*X40*12/52,
      IF(LOWER(W40)="yearly", U40*X40/52,
      IF(LOWER(W40)="one-off", U40*X40,
      0)))))),
    0)))</f>
        <v>0</v>
      </c>
    </row>
    <row r="41" spans="2:48" s="22" customFormat="1" x14ac:dyDescent="0.3">
      <c r="B41" s="176"/>
      <c r="C41" s="176"/>
      <c r="D41" s="176"/>
      <c r="E41" s="177"/>
      <c r="F41" s="177"/>
      <c r="G41" s="177"/>
      <c r="H41" s="164" t="s">
        <v>317</v>
      </c>
      <c r="M41"/>
      <c r="N41"/>
      <c r="P41" s="153"/>
      <c r="Q41" s="155">
        <v>1</v>
      </c>
      <c r="R41"/>
      <c r="S41"/>
      <c r="T41"/>
      <c r="U41"/>
      <c r="V41"/>
      <c r="W41" s="153" t="str" cm="1">
        <f t="array" ref="W41">IF(Table13[[#This Row],[QUANTITY]]="","",IFERROR(IF(V41&lt;&gt;"",_xlfn.XLOOKUP(I41&amp;J41,PRICES!C:C&amp;PRICES!B:B,IF(PRICES!F:F&lt;&gt;"",PRICES!F:F,PRICES!E:E),"")),""))</f>
        <v/>
      </c>
      <c r="X41" s="154" t="str" cm="1">
        <f t="array" ref="X41">IF(Table13[[#This Row],[QUANTITY]]="","",IFERROR(IF(U41&lt;&gt;"",_xlfn.XLOOKUP(I41&amp;J41&amp;V41,PRICES!C:C&amp;PRICES!B:B&amp;PRICES!D:D,PRICES!G:G,"")),""))</f>
        <v/>
      </c>
      <c r="Y41" s="154" t="str">
        <f t="shared" ca="1" si="2"/>
        <v/>
      </c>
      <c r="Z41" s="154" t="str">
        <f t="shared" ca="1" si="3"/>
        <v/>
      </c>
      <c r="AA41" s="154" t="str">
        <f t="shared" ca="1" si="4"/>
        <v/>
      </c>
      <c r="AB41" s="154" t="str">
        <f t="shared" ca="1" si="5"/>
        <v/>
      </c>
      <c r="AC41" s="154" t="str">
        <f t="shared" ca="1" si="0"/>
        <v/>
      </c>
      <c r="AD41" s="154" t="str">
        <f>IF(Table13[[#This Row],[QUANTITY]]="","",
  IF(AND(Y41="",Z41="",AA41="",AB41="",AC41=""),
    U41*X41,
  ""))</f>
        <v/>
      </c>
      <c r="AE41" s="154" t="str">
        <f t="shared" ca="1" si="6"/>
        <v/>
      </c>
      <c r="AF41" s="154" t="str">
        <f t="shared" si="7"/>
        <v/>
      </c>
      <c r="AG41" s="154" t="str" cm="1">
        <f t="array" aca="1" ref="AG41" ca="1">IF(Table13[[#This Row],[TOTAL HIRE COST]]="","",IFERROR(IF(U41&lt;&gt;"",_xlfn.XLOOKUP(J41&amp;I41&amp;V41,PRICES!B:B&amp;PRICES!C:C&amp;PRICES!D:D,PRICES!H:H,"")),""))</f>
        <v/>
      </c>
      <c r="AH41" s="154" t="str" cm="1">
        <f t="array" aca="1" ref="AH41" ca="1">IF(Table13[[#This Row],[TOTAL HIRE COST]]="","",IFERROR(IF(U41&lt;&gt;"",_xlfn.XLOOKUP(J41&amp;I41&amp;V41,PRICES!B:B&amp;PRICES!C:C&amp;PRICES!D:D,PRICES!I:I,"")),""))</f>
        <v/>
      </c>
      <c r="AI41" s="154" t="str">
        <f ca="1">IF(Table13[[#This Row],[TOTAL HIRE COST]]="","",Table13[[#This Row],[TOTAL HIRE COST]]+Table13[[#This Row],[DELIVERY COST]]+Table13[[#This Row],[COLLECTION COST]])</f>
        <v/>
      </c>
      <c r="AJ41" s="153" t="str">
        <f>IF(Table13[[#This Row],[Date to Hire (DH)]]="","",YEAR(Table13[[#This Row],[Date to Hire (DH)]]))</f>
        <v/>
      </c>
      <c r="AK41" s="153" t="str">
        <f>IF(Table13[[#This Row],[Date to Hire (DH)]]="","",MONTH(Table13[[#This Row],[Date to Hire (DH)]]))</f>
        <v/>
      </c>
      <c r="AL41" s="153" t="str">
        <f>IF(Table13[[#This Row],[Date to Hire (DH)]]="","",WEEKNUM(Table13[[#This Row],[Date to Hire (DH)]]))</f>
        <v/>
      </c>
      <c r="AM41" s="153" t="str">
        <f>TEXT(Table13[[#This Row],[YEAR]],"0000")&amp;"-"&amp;Table13[[#This Row],[MONTH]]</f>
        <v>-</v>
      </c>
      <c r="AN41" s="153" t="str">
        <f>IF(Table13[[#This Row],[Date of Planned Offhire (DoPO) / If Applicable]]="","",YEAR(Table13[[#This Row],[Date of Planned Offhire (DoPO) / If Applicable]]))</f>
        <v/>
      </c>
      <c r="AO41" s="153" t="str">
        <f>IF(Table13[[#This Row],[Date of Planned Offhire (DoPO) / If Applicable]]="","",MONTH(Table13[[#This Row],[Date of Planned Offhire (DoPO) / If Applicable]]))</f>
        <v/>
      </c>
      <c r="AP41" s="153" t="str">
        <f>IF(Table13[[#This Row],[Date of Planned Offhire (DoPO) / If Applicable]]="","",WEEKNUM(Table13[[#This Row],[Date of Planned Offhire (DoPO) / If Applicable]]))</f>
        <v/>
      </c>
      <c r="AQ41" s="153" t="str">
        <f>TEXT(Table13[[#This Row],[YEAR2]],"0000")&amp;"-"&amp;Table13[[#This Row],[MONTH2]]</f>
        <v>-</v>
      </c>
      <c r="AR41" s="153" t="str">
        <f>IF(Table13[[#This Row],[Actual Date to Offhire (ADtO)]]="","",YEAR(Table13[[#This Row],[Actual Date to Offhire (ADtO)]]))</f>
        <v/>
      </c>
      <c r="AS41" s="153" t="str">
        <f>IF(Table13[[#This Row],[Actual Date to Offhire (ADtO)]]="","",MONTH(Table13[[#This Row],[Actual Date to Offhire (ADtO)]]))</f>
        <v/>
      </c>
      <c r="AT41" s="153" t="str">
        <f>IF(Table13[[#This Row],[Actual Date to Offhire (ADtO)]]="","",WEEKNUM(Table13[[#This Row],[Actual Date to Offhire (ADtO)]]))</f>
        <v/>
      </c>
      <c r="AU41" s="153" t="str">
        <f>TEXT(Table13[[#This Row],[YEAR3]],"0000")&amp;"-"&amp;Table13[[#This Row],[MONTH3]]</f>
        <v>-</v>
      </c>
      <c r="AV41" s="153">
        <f>IF(E41="",0,
  IF('Delivery Report'!A$2*100+'Delivery Report'!A$5 &lt; YEAR(E41)*100+WEEKNUM(E41), 0,
    IF(OR(G41="", 'Delivery Report'!A$2*100+'Delivery Report'!A$5 &lt;= YEAR(G41)*100+WEEKNUM(G41)),
      IF(LOWER(W41)="hourly", U41*X41*56,
      IF(LOWER(W41)="daily", U41*X41*7,
      IF(LOWER(W41)="weekly", U41*X41,
      IF(LOWER(W41)="monthly", U41*X41*12/52,
      IF(LOWER(W41)="yearly", U41*X41/52,
      IF(LOWER(W41)="one-off", U41*X41,
      0)))))),
    0)))</f>
        <v>0</v>
      </c>
    </row>
    <row r="42" spans="2:48" s="22" customFormat="1" x14ac:dyDescent="0.3">
      <c r="B42" s="176"/>
      <c r="C42" s="176"/>
      <c r="D42" s="176"/>
      <c r="E42" s="177"/>
      <c r="F42" s="177"/>
      <c r="G42" s="177"/>
      <c r="H42" s="164" t="s">
        <v>317</v>
      </c>
      <c r="M42"/>
      <c r="N42"/>
      <c r="P42" s="153"/>
      <c r="Q42" s="155">
        <v>1</v>
      </c>
      <c r="R42"/>
      <c r="S42"/>
      <c r="T42"/>
      <c r="U42"/>
      <c r="V42"/>
      <c r="W42" s="153" t="str" cm="1">
        <f t="array" ref="W42">IF(Table13[[#This Row],[QUANTITY]]="","",IFERROR(IF(V42&lt;&gt;"",_xlfn.XLOOKUP(I42&amp;J42,PRICES!C:C&amp;PRICES!B:B,IF(PRICES!F:F&lt;&gt;"",PRICES!F:F,PRICES!E:E),"")),""))</f>
        <v/>
      </c>
      <c r="X42" s="154" t="str" cm="1">
        <f t="array" ref="X42">IF(Table13[[#This Row],[QUANTITY]]="","",IFERROR(IF(U42&lt;&gt;"",_xlfn.XLOOKUP(I42&amp;J42&amp;V42,PRICES!C:C&amp;PRICES!B:B&amp;PRICES!D:D,PRICES!G:G,"")),""))</f>
        <v/>
      </c>
      <c r="Y42" s="154" t="str">
        <f t="shared" ca="1" si="2"/>
        <v/>
      </c>
      <c r="Z42" s="154" t="str">
        <f t="shared" ca="1" si="3"/>
        <v/>
      </c>
      <c r="AA42" s="154" t="str">
        <f t="shared" ca="1" si="4"/>
        <v/>
      </c>
      <c r="AB42" s="154" t="str">
        <f t="shared" ca="1" si="5"/>
        <v/>
      </c>
      <c r="AC42" s="154" t="str">
        <f t="shared" ca="1" si="0"/>
        <v/>
      </c>
      <c r="AD42" s="154" t="str">
        <f>IF(Table13[[#This Row],[QUANTITY]]="","",
  IF(AND(Y42="",Z42="",AA42="",AB42="",AC42=""),
    U42*X42,
  ""))</f>
        <v/>
      </c>
      <c r="AE42" s="154" t="str">
        <f t="shared" ca="1" si="6"/>
        <v/>
      </c>
      <c r="AF42" s="154" t="str">
        <f t="shared" si="7"/>
        <v/>
      </c>
      <c r="AG42" s="154" t="str" cm="1">
        <f t="array" aca="1" ref="AG42" ca="1">IF(Table13[[#This Row],[TOTAL HIRE COST]]="","",IFERROR(IF(U42&lt;&gt;"",_xlfn.XLOOKUP(J42&amp;I42&amp;V42,PRICES!B:B&amp;PRICES!C:C&amp;PRICES!D:D,PRICES!H:H,"")),""))</f>
        <v/>
      </c>
      <c r="AH42" s="154" t="str" cm="1">
        <f t="array" aca="1" ref="AH42" ca="1">IF(Table13[[#This Row],[TOTAL HIRE COST]]="","",IFERROR(IF(U42&lt;&gt;"",_xlfn.XLOOKUP(J42&amp;I42&amp;V42,PRICES!B:B&amp;PRICES!C:C&amp;PRICES!D:D,PRICES!I:I,"")),""))</f>
        <v/>
      </c>
      <c r="AI42" s="154" t="str">
        <f ca="1">IF(Table13[[#This Row],[TOTAL HIRE COST]]="","",Table13[[#This Row],[TOTAL HIRE COST]]+Table13[[#This Row],[DELIVERY COST]]+Table13[[#This Row],[COLLECTION COST]])</f>
        <v/>
      </c>
      <c r="AJ42" s="153" t="str">
        <f>IF(Table13[[#This Row],[Date to Hire (DH)]]="","",YEAR(Table13[[#This Row],[Date to Hire (DH)]]))</f>
        <v/>
      </c>
      <c r="AK42" s="153" t="str">
        <f>IF(Table13[[#This Row],[Date to Hire (DH)]]="","",MONTH(Table13[[#This Row],[Date to Hire (DH)]]))</f>
        <v/>
      </c>
      <c r="AL42" s="153" t="str">
        <f>IF(Table13[[#This Row],[Date to Hire (DH)]]="","",WEEKNUM(Table13[[#This Row],[Date to Hire (DH)]]))</f>
        <v/>
      </c>
      <c r="AM42" s="153" t="str">
        <f>TEXT(Table13[[#This Row],[YEAR]],"0000")&amp;"-"&amp;Table13[[#This Row],[MONTH]]</f>
        <v>-</v>
      </c>
      <c r="AN42" s="153" t="str">
        <f>IF(Table13[[#This Row],[Date of Planned Offhire (DoPO) / If Applicable]]="","",YEAR(Table13[[#This Row],[Date of Planned Offhire (DoPO) / If Applicable]]))</f>
        <v/>
      </c>
      <c r="AO42" s="153" t="str">
        <f>IF(Table13[[#This Row],[Date of Planned Offhire (DoPO) / If Applicable]]="","",MONTH(Table13[[#This Row],[Date of Planned Offhire (DoPO) / If Applicable]]))</f>
        <v/>
      </c>
      <c r="AP42" s="153" t="str">
        <f>IF(Table13[[#This Row],[Date of Planned Offhire (DoPO) / If Applicable]]="","",WEEKNUM(Table13[[#This Row],[Date of Planned Offhire (DoPO) / If Applicable]]))</f>
        <v/>
      </c>
      <c r="AQ42" s="153" t="str">
        <f>TEXT(Table13[[#This Row],[YEAR2]],"0000")&amp;"-"&amp;Table13[[#This Row],[MONTH2]]</f>
        <v>-</v>
      </c>
      <c r="AR42" s="153" t="str">
        <f>IF(Table13[[#This Row],[Actual Date to Offhire (ADtO)]]="","",YEAR(Table13[[#This Row],[Actual Date to Offhire (ADtO)]]))</f>
        <v/>
      </c>
      <c r="AS42" s="153" t="str">
        <f>IF(Table13[[#This Row],[Actual Date to Offhire (ADtO)]]="","",MONTH(Table13[[#This Row],[Actual Date to Offhire (ADtO)]]))</f>
        <v/>
      </c>
      <c r="AT42" s="153" t="str">
        <f>IF(Table13[[#This Row],[Actual Date to Offhire (ADtO)]]="","",WEEKNUM(Table13[[#This Row],[Actual Date to Offhire (ADtO)]]))</f>
        <v/>
      </c>
      <c r="AU42" s="153" t="str">
        <f>TEXT(Table13[[#This Row],[YEAR3]],"0000")&amp;"-"&amp;Table13[[#This Row],[MONTH3]]</f>
        <v>-</v>
      </c>
      <c r="AV42" s="153">
        <f>IF(E42="",0,
  IF('Delivery Report'!A$2*100+'Delivery Report'!A$5 &lt; YEAR(E42)*100+WEEKNUM(E42), 0,
    IF(OR(G42="", 'Delivery Report'!A$2*100+'Delivery Report'!A$5 &lt;= YEAR(G42)*100+WEEKNUM(G42)),
      IF(LOWER(W42)="hourly", U42*X42*56,
      IF(LOWER(W42)="daily", U42*X42*7,
      IF(LOWER(W42)="weekly", U42*X42,
      IF(LOWER(W42)="monthly", U42*X42*12/52,
      IF(LOWER(W42)="yearly", U42*X42/52,
      IF(LOWER(W42)="one-off", U42*X42,
      0)))))),
    0)))</f>
        <v>0</v>
      </c>
    </row>
    <row r="43" spans="2:48" s="22" customFormat="1" x14ac:dyDescent="0.3">
      <c r="B43" s="176"/>
      <c r="C43" s="176"/>
      <c r="D43" s="176"/>
      <c r="E43" s="177"/>
      <c r="F43" s="177"/>
      <c r="G43" s="177"/>
      <c r="H43" s="164" t="s">
        <v>317</v>
      </c>
      <c r="M43"/>
      <c r="N43"/>
      <c r="P43" s="153"/>
      <c r="Q43" s="155">
        <v>1</v>
      </c>
      <c r="R43"/>
      <c r="S43"/>
      <c r="T43"/>
      <c r="U43"/>
      <c r="V43"/>
      <c r="W43" s="153" t="str" cm="1">
        <f t="array" ref="W43">IF(Table13[[#This Row],[QUANTITY]]="","",IFERROR(IF(V43&lt;&gt;"",_xlfn.XLOOKUP(I43&amp;J43,PRICES!C:C&amp;PRICES!B:B,IF(PRICES!F:F&lt;&gt;"",PRICES!F:F,PRICES!E:E),"")),""))</f>
        <v/>
      </c>
      <c r="X43" s="154" t="str" cm="1">
        <f t="array" ref="X43">IF(Table13[[#This Row],[QUANTITY]]="","",IFERROR(IF(U43&lt;&gt;"",_xlfn.XLOOKUP(I43&amp;J43&amp;V43,PRICES!C:C&amp;PRICES!B:B&amp;PRICES!D:D,PRICES!G:G,"")),""))</f>
        <v/>
      </c>
      <c r="Y43" s="154" t="str">
        <f t="shared" ca="1" si="2"/>
        <v/>
      </c>
      <c r="Z43" s="154" t="str">
        <f t="shared" ca="1" si="3"/>
        <v/>
      </c>
      <c r="AA43" s="154" t="str">
        <f t="shared" ca="1" si="4"/>
        <v/>
      </c>
      <c r="AB43" s="154" t="str">
        <f t="shared" ca="1" si="5"/>
        <v/>
      </c>
      <c r="AC43" s="154" t="str">
        <f t="shared" ca="1" si="0"/>
        <v/>
      </c>
      <c r="AD43" s="154" t="str">
        <f>IF(Table13[[#This Row],[QUANTITY]]="","",
  IF(AND(Y43="",Z43="",AA43="",AB43="",AC43=""),
    U43*X43,
  ""))</f>
        <v/>
      </c>
      <c r="AE43" s="154" t="str">
        <f t="shared" ca="1" si="6"/>
        <v/>
      </c>
      <c r="AF43" s="154" t="str">
        <f t="shared" si="7"/>
        <v/>
      </c>
      <c r="AG43" s="154" t="str" cm="1">
        <f t="array" aca="1" ref="AG43" ca="1">IF(Table13[[#This Row],[TOTAL HIRE COST]]="","",IFERROR(IF(U43&lt;&gt;"",_xlfn.XLOOKUP(J43&amp;I43&amp;V43,PRICES!B:B&amp;PRICES!C:C&amp;PRICES!D:D,PRICES!H:H,"")),""))</f>
        <v/>
      </c>
      <c r="AH43" s="154" t="str" cm="1">
        <f t="array" aca="1" ref="AH43" ca="1">IF(Table13[[#This Row],[TOTAL HIRE COST]]="","",IFERROR(IF(U43&lt;&gt;"",_xlfn.XLOOKUP(J43&amp;I43&amp;V43,PRICES!B:B&amp;PRICES!C:C&amp;PRICES!D:D,PRICES!I:I,"")),""))</f>
        <v/>
      </c>
      <c r="AI43" s="154" t="str">
        <f ca="1">IF(Table13[[#This Row],[TOTAL HIRE COST]]="","",Table13[[#This Row],[TOTAL HIRE COST]]+Table13[[#This Row],[DELIVERY COST]]+Table13[[#This Row],[COLLECTION COST]])</f>
        <v/>
      </c>
      <c r="AJ43" s="153" t="str">
        <f>IF(Table13[[#This Row],[Date to Hire (DH)]]="","",YEAR(Table13[[#This Row],[Date to Hire (DH)]]))</f>
        <v/>
      </c>
      <c r="AK43" s="153" t="str">
        <f>IF(Table13[[#This Row],[Date to Hire (DH)]]="","",MONTH(Table13[[#This Row],[Date to Hire (DH)]]))</f>
        <v/>
      </c>
      <c r="AL43" s="153" t="str">
        <f>IF(Table13[[#This Row],[Date to Hire (DH)]]="","",WEEKNUM(Table13[[#This Row],[Date to Hire (DH)]]))</f>
        <v/>
      </c>
      <c r="AM43" s="153" t="str">
        <f>TEXT(Table13[[#This Row],[YEAR]],"0000")&amp;"-"&amp;Table13[[#This Row],[MONTH]]</f>
        <v>-</v>
      </c>
      <c r="AN43" s="153" t="str">
        <f>IF(Table13[[#This Row],[Date of Planned Offhire (DoPO) / If Applicable]]="","",YEAR(Table13[[#This Row],[Date of Planned Offhire (DoPO) / If Applicable]]))</f>
        <v/>
      </c>
      <c r="AO43" s="153" t="str">
        <f>IF(Table13[[#This Row],[Date of Planned Offhire (DoPO) / If Applicable]]="","",MONTH(Table13[[#This Row],[Date of Planned Offhire (DoPO) / If Applicable]]))</f>
        <v/>
      </c>
      <c r="AP43" s="153" t="str">
        <f>IF(Table13[[#This Row],[Date of Planned Offhire (DoPO) / If Applicable]]="","",WEEKNUM(Table13[[#This Row],[Date of Planned Offhire (DoPO) / If Applicable]]))</f>
        <v/>
      </c>
      <c r="AQ43" s="153" t="str">
        <f>TEXT(Table13[[#This Row],[YEAR2]],"0000")&amp;"-"&amp;Table13[[#This Row],[MONTH2]]</f>
        <v>-</v>
      </c>
      <c r="AR43" s="153" t="str">
        <f>IF(Table13[[#This Row],[Actual Date to Offhire (ADtO)]]="","",YEAR(Table13[[#This Row],[Actual Date to Offhire (ADtO)]]))</f>
        <v/>
      </c>
      <c r="AS43" s="153" t="str">
        <f>IF(Table13[[#This Row],[Actual Date to Offhire (ADtO)]]="","",MONTH(Table13[[#This Row],[Actual Date to Offhire (ADtO)]]))</f>
        <v/>
      </c>
      <c r="AT43" s="153" t="str">
        <f>IF(Table13[[#This Row],[Actual Date to Offhire (ADtO)]]="","",WEEKNUM(Table13[[#This Row],[Actual Date to Offhire (ADtO)]]))</f>
        <v/>
      </c>
      <c r="AU43" s="153" t="str">
        <f>TEXT(Table13[[#This Row],[YEAR3]],"0000")&amp;"-"&amp;Table13[[#This Row],[MONTH3]]</f>
        <v>-</v>
      </c>
      <c r="AV43" s="153">
        <f>IF(E43="",0,
  IF('Delivery Report'!A$2*100+'Delivery Report'!A$5 &lt; YEAR(E43)*100+WEEKNUM(E43), 0,
    IF(OR(G43="", 'Delivery Report'!A$2*100+'Delivery Report'!A$5 &lt;= YEAR(G43)*100+WEEKNUM(G43)),
      IF(LOWER(W43)="hourly", U43*X43*56,
      IF(LOWER(W43)="daily", U43*X43*7,
      IF(LOWER(W43)="weekly", U43*X43,
      IF(LOWER(W43)="monthly", U43*X43*12/52,
      IF(LOWER(W43)="yearly", U43*X43/52,
      IF(LOWER(W43)="one-off", U43*X43,
      0)))))),
    0)))</f>
        <v>0</v>
      </c>
    </row>
    <row r="44" spans="2:48" x14ac:dyDescent="0.3">
      <c r="B44" s="176"/>
      <c r="C44" s="176"/>
      <c r="D44" s="176"/>
      <c r="E44" s="177"/>
      <c r="F44" s="177"/>
      <c r="G44" s="177"/>
      <c r="H44" s="164" t="s">
        <v>317</v>
      </c>
      <c r="P44" s="153"/>
      <c r="Q44" s="155">
        <v>1</v>
      </c>
      <c r="W44" s="153" t="str" cm="1">
        <f t="array" ref="W44">IF(Table13[[#This Row],[QUANTITY]]="","",IFERROR(IF(V44&lt;&gt;"",_xlfn.XLOOKUP(I44&amp;J44,PRICES!C:C&amp;PRICES!B:B,IF(PRICES!F:F&lt;&gt;"",PRICES!F:F,PRICES!E:E),"")),""))</f>
        <v/>
      </c>
      <c r="X44" s="154" t="str" cm="1">
        <f t="array" ref="X44">IF(Table13[[#This Row],[QUANTITY]]="","",IFERROR(IF(U44&lt;&gt;"",_xlfn.XLOOKUP(I44&amp;J44&amp;V44,PRICES!C:C&amp;PRICES!B:B&amp;PRICES!D:D,PRICES!G:G,"")),""))</f>
        <v/>
      </c>
      <c r="Y44" s="154" t="str">
        <f t="shared" ca="1" si="2"/>
        <v/>
      </c>
      <c r="Z44" s="154" t="str">
        <f t="shared" ca="1" si="3"/>
        <v/>
      </c>
      <c r="AA44" s="154" t="str">
        <f t="shared" ca="1" si="4"/>
        <v/>
      </c>
      <c r="AB44" s="154" t="str">
        <f t="shared" ca="1" si="5"/>
        <v/>
      </c>
      <c r="AC44" s="154" t="str">
        <f t="shared" ca="1" si="0"/>
        <v/>
      </c>
      <c r="AD44" s="154" t="str">
        <f>IF(Table13[[#This Row],[QUANTITY]]="","",
  IF(AND(Y44="",Z44="",AA44="",AB44="",AC44=""),
    U44*X44,
  ""))</f>
        <v/>
      </c>
      <c r="AE44" s="154" t="str">
        <f t="shared" ca="1" si="6"/>
        <v/>
      </c>
      <c r="AF44" s="154" t="str">
        <f t="shared" si="7"/>
        <v/>
      </c>
      <c r="AG44" s="154" t="str" cm="1">
        <f t="array" aca="1" ref="AG44" ca="1">IF(Table13[[#This Row],[TOTAL HIRE COST]]="","",IFERROR(IF(U44&lt;&gt;"",_xlfn.XLOOKUP(J44&amp;I44&amp;V44,PRICES!B:B&amp;PRICES!C:C&amp;PRICES!D:D,PRICES!H:H,"")),""))</f>
        <v/>
      </c>
      <c r="AH44" s="154" t="str" cm="1">
        <f t="array" aca="1" ref="AH44" ca="1">IF(Table13[[#This Row],[TOTAL HIRE COST]]="","",IFERROR(IF(U44&lt;&gt;"",_xlfn.XLOOKUP(J44&amp;I44&amp;V44,PRICES!B:B&amp;PRICES!C:C&amp;PRICES!D:D,PRICES!I:I,"")),""))</f>
        <v/>
      </c>
      <c r="AI44" s="154" t="str">
        <f ca="1">IF(Table13[[#This Row],[TOTAL HIRE COST]]="","",Table13[[#This Row],[TOTAL HIRE COST]]+Table13[[#This Row],[DELIVERY COST]]+Table13[[#This Row],[COLLECTION COST]])</f>
        <v/>
      </c>
      <c r="AJ44" s="153" t="str">
        <f>IF(Table13[[#This Row],[Date to Hire (DH)]]="","",YEAR(Table13[[#This Row],[Date to Hire (DH)]]))</f>
        <v/>
      </c>
      <c r="AK44" s="153" t="str">
        <f>IF(Table13[[#This Row],[Date to Hire (DH)]]="","",MONTH(Table13[[#This Row],[Date to Hire (DH)]]))</f>
        <v/>
      </c>
      <c r="AL44" s="153" t="str">
        <f>IF(Table13[[#This Row],[Date to Hire (DH)]]="","",WEEKNUM(Table13[[#This Row],[Date to Hire (DH)]]))</f>
        <v/>
      </c>
      <c r="AM44" s="153" t="str">
        <f>TEXT(Table13[[#This Row],[YEAR]],"0000")&amp;"-"&amp;Table13[[#This Row],[MONTH]]</f>
        <v>-</v>
      </c>
      <c r="AN44" s="153" t="str">
        <f>IF(Table13[[#This Row],[Date of Planned Offhire (DoPO) / If Applicable]]="","",YEAR(Table13[[#This Row],[Date of Planned Offhire (DoPO) / If Applicable]]))</f>
        <v/>
      </c>
      <c r="AO44" s="153" t="str">
        <f>IF(Table13[[#This Row],[Date of Planned Offhire (DoPO) / If Applicable]]="","",MONTH(Table13[[#This Row],[Date of Planned Offhire (DoPO) / If Applicable]]))</f>
        <v/>
      </c>
      <c r="AP44" s="153" t="str">
        <f>IF(Table13[[#This Row],[Date of Planned Offhire (DoPO) / If Applicable]]="","",WEEKNUM(Table13[[#This Row],[Date of Planned Offhire (DoPO) / If Applicable]]))</f>
        <v/>
      </c>
      <c r="AQ44" s="153" t="str">
        <f>TEXT(Table13[[#This Row],[YEAR2]],"0000")&amp;"-"&amp;Table13[[#This Row],[MONTH2]]</f>
        <v>-</v>
      </c>
      <c r="AR44" s="153" t="str">
        <f>IF(Table13[[#This Row],[Actual Date to Offhire (ADtO)]]="","",YEAR(Table13[[#This Row],[Actual Date to Offhire (ADtO)]]))</f>
        <v/>
      </c>
      <c r="AS44" s="153" t="str">
        <f>IF(Table13[[#This Row],[Actual Date to Offhire (ADtO)]]="","",MONTH(Table13[[#This Row],[Actual Date to Offhire (ADtO)]]))</f>
        <v/>
      </c>
      <c r="AT44" s="153" t="str">
        <f>IF(Table13[[#This Row],[Actual Date to Offhire (ADtO)]]="","",WEEKNUM(Table13[[#This Row],[Actual Date to Offhire (ADtO)]]))</f>
        <v/>
      </c>
      <c r="AU44" s="153" t="str">
        <f>TEXT(Table13[[#This Row],[YEAR3]],"0000")&amp;"-"&amp;Table13[[#This Row],[MONTH3]]</f>
        <v>-</v>
      </c>
      <c r="AV44" s="153">
        <f>IF(E44="",0,
  IF('Delivery Report'!A$2*100+'Delivery Report'!A$5 &lt; YEAR(E44)*100+WEEKNUM(E44), 0,
    IF(OR(G44="", 'Delivery Report'!A$2*100+'Delivery Report'!A$5 &lt;= YEAR(G44)*100+WEEKNUM(G44)),
      IF(LOWER(W44)="hourly", U44*X44*56,
      IF(LOWER(W44)="daily", U44*X44*7,
      IF(LOWER(W44)="weekly", U44*X44,
      IF(LOWER(W44)="monthly", U44*X44*12/52,
      IF(LOWER(W44)="yearly", U44*X44/52,
      IF(LOWER(W44)="one-off", U44*X44,
      0)))))),
    0)))</f>
        <v>0</v>
      </c>
    </row>
    <row r="45" spans="2:48" x14ac:dyDescent="0.3">
      <c r="B45" s="176"/>
      <c r="C45" s="176"/>
      <c r="D45" s="176"/>
      <c r="E45" s="177"/>
      <c r="F45" s="177"/>
      <c r="G45" s="177"/>
      <c r="H45" s="164" t="s">
        <v>317</v>
      </c>
      <c r="P45" s="153"/>
      <c r="Q45" s="155">
        <v>1</v>
      </c>
      <c r="W45" s="153" t="str" cm="1">
        <f t="array" ref="W45">IF(Table13[[#This Row],[QUANTITY]]="","",IFERROR(IF(V45&lt;&gt;"",_xlfn.XLOOKUP(I45&amp;J45,PRICES!C:C&amp;PRICES!B:B,IF(PRICES!F:F&lt;&gt;"",PRICES!F:F,PRICES!E:E),"")),""))</f>
        <v/>
      </c>
      <c r="X45" s="154" t="str" cm="1">
        <f t="array" ref="X45">IF(Table13[[#This Row],[QUANTITY]]="","",IFERROR(IF(U45&lt;&gt;"",_xlfn.XLOOKUP(I45&amp;J45&amp;V45,PRICES!C:C&amp;PRICES!B:B&amp;PRICES!D:D,PRICES!G:G,"")),""))</f>
        <v/>
      </c>
      <c r="Y45" s="154" t="str">
        <f t="shared" ca="1" si="2"/>
        <v/>
      </c>
      <c r="Z45" s="154" t="str">
        <f t="shared" ca="1" si="3"/>
        <v/>
      </c>
      <c r="AA45" s="154" t="str">
        <f t="shared" ca="1" si="4"/>
        <v/>
      </c>
      <c r="AB45" s="154" t="str">
        <f t="shared" ca="1" si="5"/>
        <v/>
      </c>
      <c r="AC45" s="154" t="str">
        <f t="shared" ca="1" si="0"/>
        <v/>
      </c>
      <c r="AD45" s="154" t="str">
        <f>IF(Table13[[#This Row],[QUANTITY]]="","",
  IF(AND(Y45="",Z45="",AA45="",AB45="",AC45=""),
    U45*X45,
  ""))</f>
        <v/>
      </c>
      <c r="AE45" s="154" t="str">
        <f t="shared" ca="1" si="6"/>
        <v/>
      </c>
      <c r="AF45" s="154" t="str">
        <f t="shared" si="7"/>
        <v/>
      </c>
      <c r="AG45" s="154" t="str" cm="1">
        <f t="array" aca="1" ref="AG45" ca="1">IF(Table13[[#This Row],[TOTAL HIRE COST]]="","",IFERROR(IF(U45&lt;&gt;"",_xlfn.XLOOKUP(J45&amp;I45&amp;V45,PRICES!B:B&amp;PRICES!C:C&amp;PRICES!D:D,PRICES!H:H,"")),""))</f>
        <v/>
      </c>
      <c r="AH45" s="154" t="str" cm="1">
        <f t="array" aca="1" ref="AH45" ca="1">IF(Table13[[#This Row],[TOTAL HIRE COST]]="","",IFERROR(IF(U45&lt;&gt;"",_xlfn.XLOOKUP(J45&amp;I45&amp;V45,PRICES!B:B&amp;PRICES!C:C&amp;PRICES!D:D,PRICES!I:I,"")),""))</f>
        <v/>
      </c>
      <c r="AI45" s="154" t="str">
        <f ca="1">IF(Table13[[#This Row],[TOTAL HIRE COST]]="","",Table13[[#This Row],[TOTAL HIRE COST]]+Table13[[#This Row],[DELIVERY COST]]+Table13[[#This Row],[COLLECTION COST]])</f>
        <v/>
      </c>
      <c r="AJ45" s="153" t="str">
        <f>IF(Table13[[#This Row],[Date to Hire (DH)]]="","",YEAR(Table13[[#This Row],[Date to Hire (DH)]]))</f>
        <v/>
      </c>
      <c r="AK45" s="153" t="str">
        <f>IF(Table13[[#This Row],[Date to Hire (DH)]]="","",MONTH(Table13[[#This Row],[Date to Hire (DH)]]))</f>
        <v/>
      </c>
      <c r="AL45" s="153" t="str">
        <f>IF(Table13[[#This Row],[Date to Hire (DH)]]="","",WEEKNUM(Table13[[#This Row],[Date to Hire (DH)]]))</f>
        <v/>
      </c>
      <c r="AM45" s="153" t="str">
        <f>TEXT(Table13[[#This Row],[YEAR]],"0000")&amp;"-"&amp;Table13[[#This Row],[MONTH]]</f>
        <v>-</v>
      </c>
      <c r="AN45" s="153" t="str">
        <f>IF(Table13[[#This Row],[Date of Planned Offhire (DoPO) / If Applicable]]="","",YEAR(Table13[[#This Row],[Date of Planned Offhire (DoPO) / If Applicable]]))</f>
        <v/>
      </c>
      <c r="AO45" s="153" t="str">
        <f>IF(Table13[[#This Row],[Date of Planned Offhire (DoPO) / If Applicable]]="","",MONTH(Table13[[#This Row],[Date of Planned Offhire (DoPO) / If Applicable]]))</f>
        <v/>
      </c>
      <c r="AP45" s="153" t="str">
        <f>IF(Table13[[#This Row],[Date of Planned Offhire (DoPO) / If Applicable]]="","",WEEKNUM(Table13[[#This Row],[Date of Planned Offhire (DoPO) / If Applicable]]))</f>
        <v/>
      </c>
      <c r="AQ45" s="153" t="str">
        <f>TEXT(Table13[[#This Row],[YEAR2]],"0000")&amp;"-"&amp;Table13[[#This Row],[MONTH2]]</f>
        <v>-</v>
      </c>
      <c r="AR45" s="153" t="str">
        <f>IF(Table13[[#This Row],[Actual Date to Offhire (ADtO)]]="","",YEAR(Table13[[#This Row],[Actual Date to Offhire (ADtO)]]))</f>
        <v/>
      </c>
      <c r="AS45" s="153" t="str">
        <f>IF(Table13[[#This Row],[Actual Date to Offhire (ADtO)]]="","",MONTH(Table13[[#This Row],[Actual Date to Offhire (ADtO)]]))</f>
        <v/>
      </c>
      <c r="AT45" s="153" t="str">
        <f>IF(Table13[[#This Row],[Actual Date to Offhire (ADtO)]]="","",WEEKNUM(Table13[[#This Row],[Actual Date to Offhire (ADtO)]]))</f>
        <v/>
      </c>
      <c r="AU45" s="153" t="str">
        <f>TEXT(Table13[[#This Row],[YEAR3]],"0000")&amp;"-"&amp;Table13[[#This Row],[MONTH3]]</f>
        <v>-</v>
      </c>
      <c r="AV45" s="153">
        <f>IF(E45="",0,
  IF('Delivery Report'!A$2*100+'Delivery Report'!A$5 &lt; YEAR(E45)*100+WEEKNUM(E45), 0,
    IF(OR(G45="", 'Delivery Report'!A$2*100+'Delivery Report'!A$5 &lt;= YEAR(G45)*100+WEEKNUM(G45)),
      IF(LOWER(W45)="hourly", U45*X45*56,
      IF(LOWER(W45)="daily", U45*X45*7,
      IF(LOWER(W45)="weekly", U45*X45,
      IF(LOWER(W45)="monthly", U45*X45*12/52,
      IF(LOWER(W45)="yearly", U45*X45/52,
      IF(LOWER(W45)="one-off", U45*X45,
      0)))))),
    0)))</f>
        <v>0</v>
      </c>
    </row>
    <row r="46" spans="2:48" x14ac:dyDescent="0.3">
      <c r="B46" s="176"/>
      <c r="C46" s="176"/>
      <c r="D46" s="176"/>
      <c r="E46" s="177"/>
      <c r="F46" s="177"/>
      <c r="G46" s="177"/>
      <c r="H46" s="164" t="s">
        <v>317</v>
      </c>
      <c r="P46" s="153" t="str">
        <f t="shared" ref="P46:P67" si="11">IF(O46=0,"",IF(G46&lt;&gt;"",O46,""))</f>
        <v/>
      </c>
      <c r="Q46" s="155">
        <f>IF(Table13[[#This Row],[HGVs (Collection)]]="",O46,Table13[[#This Row],[HGVs (Delivery)]]+Table13[[#This Row],[HGVs (Collection)]])</f>
        <v>0</v>
      </c>
      <c r="W46" s="153" t="str" cm="1">
        <f t="array" ref="W46">IF(Table13[[#This Row],[QUANTITY]]="","",IFERROR(IF(V46&lt;&gt;"",_xlfn.XLOOKUP(I46&amp;J46,PRICES!C:C&amp;PRICES!B:B,IF(PRICES!F:F&lt;&gt;"",PRICES!F:F,PRICES!E:E),"")),""))</f>
        <v/>
      </c>
      <c r="X46" s="154" t="str" cm="1">
        <f t="array" ref="X46">IF(Table13[[#This Row],[QUANTITY]]="","",IFERROR(IF(U46&lt;&gt;"",_xlfn.XLOOKUP(I46&amp;J46&amp;V46,PRICES!C:C&amp;PRICES!B:B&amp;PRICES!D:D,PRICES!G:G,"")),""))</f>
        <v/>
      </c>
      <c r="Y46" s="154" t="str">
        <f t="shared" ca="1" si="2"/>
        <v/>
      </c>
      <c r="Z46" s="154" t="str">
        <f t="shared" ca="1" si="3"/>
        <v/>
      </c>
      <c r="AA46" s="154" t="str">
        <f t="shared" ca="1" si="4"/>
        <v/>
      </c>
      <c r="AB46" s="154" t="str">
        <f t="shared" ca="1" si="5"/>
        <v/>
      </c>
      <c r="AC46" s="154" t="str">
        <f t="shared" ca="1" si="0"/>
        <v/>
      </c>
      <c r="AD46" s="154" t="str">
        <f>IF(Table13[[#This Row],[QUANTITY]]="","",
  IF(AND(Y46="",Z46="",AA46="",AB46="",AC46=""),
    U46*X46,
  ""))</f>
        <v/>
      </c>
      <c r="AE46" s="154" t="str">
        <f t="shared" ca="1" si="6"/>
        <v/>
      </c>
      <c r="AF46" s="154" t="str">
        <f t="shared" si="7"/>
        <v/>
      </c>
      <c r="AG46" s="154" t="str" cm="1">
        <f t="array" aca="1" ref="AG46" ca="1">IF(Table13[[#This Row],[TOTAL HIRE COST]]="","",IFERROR(IF(U46&lt;&gt;"",_xlfn.XLOOKUP(J46&amp;I46&amp;V46,PRICES!B:B&amp;PRICES!C:C&amp;PRICES!D:D,PRICES!H:H,"")),""))</f>
        <v/>
      </c>
      <c r="AH46" s="154" t="str" cm="1">
        <f t="array" aca="1" ref="AH46" ca="1">IF(Table13[[#This Row],[TOTAL HIRE COST]]="","",IFERROR(IF(U46&lt;&gt;"",_xlfn.XLOOKUP(J46&amp;I46&amp;V46,PRICES!B:B&amp;PRICES!C:C&amp;PRICES!D:D,PRICES!I:I,"")),""))</f>
        <v/>
      </c>
      <c r="AI46" s="154" t="str">
        <f ca="1">IF(Table13[[#This Row],[TOTAL HIRE COST]]="","",Table13[[#This Row],[TOTAL HIRE COST]]+Table13[[#This Row],[DELIVERY COST]]+Table13[[#This Row],[COLLECTION COST]])</f>
        <v/>
      </c>
      <c r="AJ46" s="153" t="str">
        <f>IF(Table13[[#This Row],[Date to Hire (DH)]]="","",YEAR(Table13[[#This Row],[Date to Hire (DH)]]))</f>
        <v/>
      </c>
      <c r="AK46" s="153" t="str">
        <f>IF(Table13[[#This Row],[Date to Hire (DH)]]="","",MONTH(Table13[[#This Row],[Date to Hire (DH)]]))</f>
        <v/>
      </c>
      <c r="AL46" s="153" t="str">
        <f>IF(Table13[[#This Row],[Date to Hire (DH)]]="","",WEEKNUM(Table13[[#This Row],[Date to Hire (DH)]]))</f>
        <v/>
      </c>
      <c r="AM46" s="153" t="str">
        <f>TEXT(Table13[[#This Row],[YEAR]],"0000")&amp;"-"&amp;Table13[[#This Row],[MONTH]]</f>
        <v>-</v>
      </c>
      <c r="AN46" s="153" t="str">
        <f>IF(Table13[[#This Row],[Date of Planned Offhire (DoPO) / If Applicable]]="","",YEAR(Table13[[#This Row],[Date of Planned Offhire (DoPO) / If Applicable]]))</f>
        <v/>
      </c>
      <c r="AO46" s="153" t="str">
        <f>IF(Table13[[#This Row],[Date of Planned Offhire (DoPO) / If Applicable]]="","",MONTH(Table13[[#This Row],[Date of Planned Offhire (DoPO) / If Applicable]]))</f>
        <v/>
      </c>
      <c r="AP46" s="153" t="str">
        <f>IF(Table13[[#This Row],[Date of Planned Offhire (DoPO) / If Applicable]]="","",WEEKNUM(Table13[[#This Row],[Date of Planned Offhire (DoPO) / If Applicable]]))</f>
        <v/>
      </c>
      <c r="AQ46" s="153" t="str">
        <f>TEXT(Table13[[#This Row],[YEAR2]],"0000")&amp;"-"&amp;Table13[[#This Row],[MONTH2]]</f>
        <v>-</v>
      </c>
      <c r="AR46" s="153" t="str">
        <f>IF(Table13[[#This Row],[Actual Date to Offhire (ADtO)]]="","",YEAR(Table13[[#This Row],[Actual Date to Offhire (ADtO)]]))</f>
        <v/>
      </c>
      <c r="AS46" s="153" t="str">
        <f>IF(Table13[[#This Row],[Actual Date to Offhire (ADtO)]]="","",MONTH(Table13[[#This Row],[Actual Date to Offhire (ADtO)]]))</f>
        <v/>
      </c>
      <c r="AT46" s="153" t="str">
        <f>IF(Table13[[#This Row],[Actual Date to Offhire (ADtO)]]="","",WEEKNUM(Table13[[#This Row],[Actual Date to Offhire (ADtO)]]))</f>
        <v/>
      </c>
      <c r="AU46" s="153" t="str">
        <f>TEXT(Table13[[#This Row],[YEAR3]],"0000")&amp;"-"&amp;Table13[[#This Row],[MONTH3]]</f>
        <v>-</v>
      </c>
      <c r="AV46" s="153">
        <f>IF(E46="",0,
  IF('Delivery Report'!A$2*100+'Delivery Report'!A$5 &lt; YEAR(E46)*100+WEEKNUM(E46), 0,
    IF(OR(G46="", 'Delivery Report'!A$2*100+'Delivery Report'!A$5 &lt;= YEAR(G46)*100+WEEKNUM(G46)),
      IF(LOWER(W46)="hourly", U46*X46*56,
      IF(LOWER(W46)="daily", U46*X46*7,
      IF(LOWER(W46)="weekly", U46*X46,
      IF(LOWER(W46)="monthly", U46*X46*12/52,
      IF(LOWER(W46)="yearly", U46*X46/52,
      IF(LOWER(W46)="one-off", U46*X46,
      0)))))),
    0)))</f>
        <v>0</v>
      </c>
    </row>
    <row r="47" spans="2:48" x14ac:dyDescent="0.3">
      <c r="B47" s="176"/>
      <c r="C47" s="176"/>
      <c r="D47" s="176"/>
      <c r="E47" s="177"/>
      <c r="F47" s="177"/>
      <c r="G47" s="177"/>
      <c r="H47" s="164" t="s">
        <v>317</v>
      </c>
      <c r="P47" s="153" t="str">
        <f t="shared" si="11"/>
        <v/>
      </c>
      <c r="Q47" s="155">
        <f>IF(Table13[[#This Row],[HGVs (Collection)]]="",O47,Table13[[#This Row],[HGVs (Delivery)]]+Table13[[#This Row],[HGVs (Collection)]])</f>
        <v>0</v>
      </c>
      <c r="W47" s="153" t="str" cm="1">
        <f t="array" ref="W47">IF(Table13[[#This Row],[QUANTITY]]="","",IFERROR(IF(V47&lt;&gt;"",_xlfn.XLOOKUP(I47&amp;J47,PRICES!C:C&amp;PRICES!B:B,IF(PRICES!F:F&lt;&gt;"",PRICES!F:F,PRICES!E:E),"")),""))</f>
        <v/>
      </c>
      <c r="X47" s="154" t="str" cm="1">
        <f t="array" ref="X47">IF(Table13[[#This Row],[QUANTITY]]="","",IFERROR(IF(U47&lt;&gt;"",_xlfn.XLOOKUP(I47&amp;J47&amp;V47,PRICES!C:C&amp;PRICES!B:B&amp;PRICES!D:D,PRICES!G:G,"")),""))</f>
        <v/>
      </c>
      <c r="Y47" s="154" t="str">
        <f t="shared" ca="1" si="2"/>
        <v/>
      </c>
      <c r="Z47" s="154" t="str">
        <f t="shared" ca="1" si="3"/>
        <v/>
      </c>
      <c r="AA47" s="154" t="str">
        <f t="shared" ca="1" si="4"/>
        <v/>
      </c>
      <c r="AB47" s="154" t="str">
        <f t="shared" ca="1" si="5"/>
        <v/>
      </c>
      <c r="AC47" s="154" t="str">
        <f t="shared" ca="1" si="0"/>
        <v/>
      </c>
      <c r="AD47" s="154" t="str">
        <f>IF(Table13[[#This Row],[QUANTITY]]="","",
  IF(AND(Y47="",Z47="",AA47="",AB47="",AC47=""),
    U47*X47,
  ""))</f>
        <v/>
      </c>
      <c r="AE47" s="154" t="str">
        <f t="shared" ca="1" si="6"/>
        <v/>
      </c>
      <c r="AF47" s="154" t="str">
        <f t="shared" si="7"/>
        <v/>
      </c>
      <c r="AG47" s="154" t="str" cm="1">
        <f t="array" aca="1" ref="AG47" ca="1">IF(Table13[[#This Row],[TOTAL HIRE COST]]="","",IFERROR(IF(U47&lt;&gt;"",_xlfn.XLOOKUP(J47&amp;I47&amp;V47,PRICES!B:B&amp;PRICES!C:C&amp;PRICES!D:D,PRICES!H:H,"")),""))</f>
        <v/>
      </c>
      <c r="AH47" s="154" t="str" cm="1">
        <f t="array" aca="1" ref="AH47" ca="1">IF(Table13[[#This Row],[TOTAL HIRE COST]]="","",IFERROR(IF(U47&lt;&gt;"",_xlfn.XLOOKUP(J47&amp;I47&amp;V47,PRICES!B:B&amp;PRICES!C:C&amp;PRICES!D:D,PRICES!I:I,"")),""))</f>
        <v/>
      </c>
      <c r="AI47" s="154" t="str">
        <f ca="1">IF(Table13[[#This Row],[TOTAL HIRE COST]]="","",Table13[[#This Row],[TOTAL HIRE COST]]+Table13[[#This Row],[DELIVERY COST]]+Table13[[#This Row],[COLLECTION COST]])</f>
        <v/>
      </c>
      <c r="AJ47" s="153" t="str">
        <f>IF(Table13[[#This Row],[Date to Hire (DH)]]="","",YEAR(Table13[[#This Row],[Date to Hire (DH)]]))</f>
        <v/>
      </c>
      <c r="AK47" s="153" t="str">
        <f>IF(Table13[[#This Row],[Date to Hire (DH)]]="","",MONTH(Table13[[#This Row],[Date to Hire (DH)]]))</f>
        <v/>
      </c>
      <c r="AL47" s="153" t="str">
        <f>IF(Table13[[#This Row],[Date to Hire (DH)]]="","",WEEKNUM(Table13[[#This Row],[Date to Hire (DH)]]))</f>
        <v/>
      </c>
      <c r="AM47" s="153" t="str">
        <f>TEXT(Table13[[#This Row],[YEAR]],"0000")&amp;"-"&amp;Table13[[#This Row],[MONTH]]</f>
        <v>-</v>
      </c>
      <c r="AN47" s="153" t="str">
        <f>IF(Table13[[#This Row],[Date of Planned Offhire (DoPO) / If Applicable]]="","",YEAR(Table13[[#This Row],[Date of Planned Offhire (DoPO) / If Applicable]]))</f>
        <v/>
      </c>
      <c r="AO47" s="153" t="str">
        <f>IF(Table13[[#This Row],[Date of Planned Offhire (DoPO) / If Applicable]]="","",MONTH(Table13[[#This Row],[Date of Planned Offhire (DoPO) / If Applicable]]))</f>
        <v/>
      </c>
      <c r="AP47" s="153" t="str">
        <f>IF(Table13[[#This Row],[Date of Planned Offhire (DoPO) / If Applicable]]="","",WEEKNUM(Table13[[#This Row],[Date of Planned Offhire (DoPO) / If Applicable]]))</f>
        <v/>
      </c>
      <c r="AQ47" s="153" t="str">
        <f>TEXT(Table13[[#This Row],[YEAR2]],"0000")&amp;"-"&amp;Table13[[#This Row],[MONTH2]]</f>
        <v>-</v>
      </c>
      <c r="AR47" s="153" t="str">
        <f>IF(Table13[[#This Row],[Actual Date to Offhire (ADtO)]]="","",YEAR(Table13[[#This Row],[Actual Date to Offhire (ADtO)]]))</f>
        <v/>
      </c>
      <c r="AS47" s="153" t="str">
        <f>IF(Table13[[#This Row],[Actual Date to Offhire (ADtO)]]="","",MONTH(Table13[[#This Row],[Actual Date to Offhire (ADtO)]]))</f>
        <v/>
      </c>
      <c r="AT47" s="153" t="str">
        <f>IF(Table13[[#This Row],[Actual Date to Offhire (ADtO)]]="","",WEEKNUM(Table13[[#This Row],[Actual Date to Offhire (ADtO)]]))</f>
        <v/>
      </c>
      <c r="AU47" s="153" t="str">
        <f>TEXT(Table13[[#This Row],[YEAR3]],"0000")&amp;"-"&amp;Table13[[#This Row],[MONTH3]]</f>
        <v>-</v>
      </c>
      <c r="AV47" s="153">
        <f>IF(E47="",0,
  IF('Delivery Report'!A$2*100+'Delivery Report'!A$5 &lt; YEAR(E47)*100+WEEKNUM(E47), 0,
    IF(OR(G47="", 'Delivery Report'!A$2*100+'Delivery Report'!A$5 &lt;= YEAR(G47)*100+WEEKNUM(G47)),
      IF(LOWER(W47)="hourly", U47*X47*56,
      IF(LOWER(W47)="daily", U47*X47*7,
      IF(LOWER(W47)="weekly", U47*X47,
      IF(LOWER(W47)="monthly", U47*X47*12/52,
      IF(LOWER(W47)="yearly", U47*X47/52,
      IF(LOWER(W47)="one-off", U47*X47,
      0)))))),
    0)))</f>
        <v>0</v>
      </c>
    </row>
    <row r="48" spans="2:48" x14ac:dyDescent="0.3">
      <c r="B48" s="176"/>
      <c r="C48" s="176"/>
      <c r="D48" s="176"/>
      <c r="E48" s="177"/>
      <c r="F48" s="177"/>
      <c r="G48" s="177"/>
      <c r="H48" s="164" t="s">
        <v>317</v>
      </c>
      <c r="P48" s="153" t="str">
        <f t="shared" si="11"/>
        <v/>
      </c>
      <c r="Q48" s="155">
        <f>IF(Table13[[#This Row],[HGVs (Collection)]]="",O48,Table13[[#This Row],[HGVs (Delivery)]]+Table13[[#This Row],[HGVs (Collection)]])</f>
        <v>0</v>
      </c>
      <c r="W48" s="153" t="str" cm="1">
        <f t="array" ref="W48">IF(Table13[[#This Row],[QUANTITY]]="","",IFERROR(IF(V48&lt;&gt;"",_xlfn.XLOOKUP(I48&amp;J48,PRICES!C:C&amp;PRICES!B:B,IF(PRICES!F:F&lt;&gt;"",PRICES!F:F,PRICES!E:E),"")),""))</f>
        <v/>
      </c>
      <c r="X48" s="154" t="str" cm="1">
        <f t="array" ref="X48">IF(Table13[[#This Row],[QUANTITY]]="","",IFERROR(IF(U48&lt;&gt;"",_xlfn.XLOOKUP(I48&amp;J48&amp;V48,PRICES!C:C&amp;PRICES!B:B&amp;PRICES!D:D,PRICES!G:G,"")),""))</f>
        <v/>
      </c>
      <c r="Y48" s="154" t="str">
        <f t="shared" ca="1" si="2"/>
        <v/>
      </c>
      <c r="Z48" s="154" t="str">
        <f t="shared" ca="1" si="3"/>
        <v/>
      </c>
      <c r="AA48" s="154" t="str">
        <f t="shared" ca="1" si="4"/>
        <v/>
      </c>
      <c r="AB48" s="154" t="str">
        <f t="shared" ca="1" si="5"/>
        <v/>
      </c>
      <c r="AC48" s="154" t="str">
        <f t="shared" ca="1" si="0"/>
        <v/>
      </c>
      <c r="AD48" s="154" t="str">
        <f>IF(Table13[[#This Row],[QUANTITY]]="","",
  IF(AND(Y48="",Z48="",AA48="",AB48="",AC48=""),
    U48*X48,
  ""))</f>
        <v/>
      </c>
      <c r="AE48" s="154" t="str">
        <f t="shared" ca="1" si="6"/>
        <v/>
      </c>
      <c r="AF48" s="154" t="str">
        <f t="shared" si="7"/>
        <v/>
      </c>
      <c r="AG48" s="154" t="str" cm="1">
        <f t="array" aca="1" ref="AG48" ca="1">IF(Table13[[#This Row],[TOTAL HIRE COST]]="","",IFERROR(IF(U48&lt;&gt;"",_xlfn.XLOOKUP(J48&amp;I48&amp;V48,PRICES!B:B&amp;PRICES!C:C&amp;PRICES!D:D,PRICES!H:H,"")),""))</f>
        <v/>
      </c>
      <c r="AH48" s="154" t="str" cm="1">
        <f t="array" aca="1" ref="AH48" ca="1">IF(Table13[[#This Row],[TOTAL HIRE COST]]="","",IFERROR(IF(U48&lt;&gt;"",_xlfn.XLOOKUP(J48&amp;I48&amp;V48,PRICES!B:B&amp;PRICES!C:C&amp;PRICES!D:D,PRICES!I:I,"")),""))</f>
        <v/>
      </c>
      <c r="AI48" s="154" t="str">
        <f ca="1">IF(Table13[[#This Row],[TOTAL HIRE COST]]="","",Table13[[#This Row],[TOTAL HIRE COST]]+Table13[[#This Row],[DELIVERY COST]]+Table13[[#This Row],[COLLECTION COST]])</f>
        <v/>
      </c>
      <c r="AJ48" s="153" t="str">
        <f>IF(Table13[[#This Row],[Date to Hire (DH)]]="","",YEAR(Table13[[#This Row],[Date to Hire (DH)]]))</f>
        <v/>
      </c>
      <c r="AK48" s="153" t="str">
        <f>IF(Table13[[#This Row],[Date to Hire (DH)]]="","",MONTH(Table13[[#This Row],[Date to Hire (DH)]]))</f>
        <v/>
      </c>
      <c r="AL48" s="153" t="str">
        <f>IF(Table13[[#This Row],[Date to Hire (DH)]]="","",WEEKNUM(Table13[[#This Row],[Date to Hire (DH)]]))</f>
        <v/>
      </c>
      <c r="AM48" s="153" t="str">
        <f>TEXT(Table13[[#This Row],[YEAR]],"0000")&amp;"-"&amp;Table13[[#This Row],[MONTH]]</f>
        <v>-</v>
      </c>
      <c r="AN48" s="153" t="str">
        <f>IF(Table13[[#This Row],[Date of Planned Offhire (DoPO) / If Applicable]]="","",YEAR(Table13[[#This Row],[Date of Planned Offhire (DoPO) / If Applicable]]))</f>
        <v/>
      </c>
      <c r="AO48" s="153" t="str">
        <f>IF(Table13[[#This Row],[Date of Planned Offhire (DoPO) / If Applicable]]="","",MONTH(Table13[[#This Row],[Date of Planned Offhire (DoPO) / If Applicable]]))</f>
        <v/>
      </c>
      <c r="AP48" s="153" t="str">
        <f>IF(Table13[[#This Row],[Date of Planned Offhire (DoPO) / If Applicable]]="","",WEEKNUM(Table13[[#This Row],[Date of Planned Offhire (DoPO) / If Applicable]]))</f>
        <v/>
      </c>
      <c r="AQ48" s="153" t="str">
        <f>TEXT(Table13[[#This Row],[YEAR2]],"0000")&amp;"-"&amp;Table13[[#This Row],[MONTH2]]</f>
        <v>-</v>
      </c>
      <c r="AR48" s="153" t="str">
        <f>IF(Table13[[#This Row],[Actual Date to Offhire (ADtO)]]="","",YEAR(Table13[[#This Row],[Actual Date to Offhire (ADtO)]]))</f>
        <v/>
      </c>
      <c r="AS48" s="153" t="str">
        <f>IF(Table13[[#This Row],[Actual Date to Offhire (ADtO)]]="","",MONTH(Table13[[#This Row],[Actual Date to Offhire (ADtO)]]))</f>
        <v/>
      </c>
      <c r="AT48" s="153" t="str">
        <f>IF(Table13[[#This Row],[Actual Date to Offhire (ADtO)]]="","",WEEKNUM(Table13[[#This Row],[Actual Date to Offhire (ADtO)]]))</f>
        <v/>
      </c>
      <c r="AU48" s="153" t="str">
        <f>TEXT(Table13[[#This Row],[YEAR3]],"0000")&amp;"-"&amp;Table13[[#This Row],[MONTH3]]</f>
        <v>-</v>
      </c>
      <c r="AV48" s="153">
        <f>IF(E48="",0,
  IF('Delivery Report'!A$2*100+'Delivery Report'!A$5 &lt; YEAR(E48)*100+WEEKNUM(E48), 0,
    IF(OR(G48="", 'Delivery Report'!A$2*100+'Delivery Report'!A$5 &lt;= YEAR(G48)*100+WEEKNUM(G48)),
      IF(LOWER(W48)="hourly", U48*X48*56,
      IF(LOWER(W48)="daily", U48*X48*7,
      IF(LOWER(W48)="weekly", U48*X48,
      IF(LOWER(W48)="monthly", U48*X48*12/52,
      IF(LOWER(W48)="yearly", U48*X48/52,
      IF(LOWER(W48)="one-off", U48*X48,
      0)))))),
    0)))</f>
        <v>0</v>
      </c>
    </row>
    <row r="49" spans="5:48" x14ac:dyDescent="0.3">
      <c r="E49" s="1"/>
      <c r="F49" s="1"/>
      <c r="G49" s="1"/>
      <c r="H49" s="164" t="s">
        <v>317</v>
      </c>
      <c r="P49" s="153" t="str">
        <f t="shared" si="11"/>
        <v/>
      </c>
      <c r="Q49" s="155">
        <f>IF(Table13[[#This Row],[HGVs (Collection)]]="",O49,Table13[[#This Row],[HGVs (Delivery)]]+Table13[[#This Row],[HGVs (Collection)]])</f>
        <v>0</v>
      </c>
      <c r="W49" s="153" t="str" cm="1">
        <f t="array" ref="W49">IF(Table13[[#This Row],[QUANTITY]]="","",IFERROR(IF(V49&lt;&gt;"",_xlfn.XLOOKUP(I49&amp;J49,PRICES!C:C&amp;PRICES!B:B,IF(PRICES!F:F&lt;&gt;"",PRICES!F:F,PRICES!E:E),"")),""))</f>
        <v/>
      </c>
      <c r="X49" s="154" t="str" cm="1">
        <f t="array" ref="X49">IF(Table13[[#This Row],[QUANTITY]]="","",IFERROR(IF(U49&lt;&gt;"",_xlfn.XLOOKUP(I49&amp;J49&amp;V49,PRICES!C:C&amp;PRICES!B:B&amp;PRICES!D:D,PRICES!G:G,"")),""))</f>
        <v/>
      </c>
      <c r="Y49" s="154" t="str">
        <f t="shared" ca="1" si="2"/>
        <v/>
      </c>
      <c r="Z49" s="154" t="str">
        <f t="shared" ca="1" si="3"/>
        <v/>
      </c>
      <c r="AA49" s="154" t="str">
        <f t="shared" ca="1" si="4"/>
        <v/>
      </c>
      <c r="AB49" s="154" t="str">
        <f t="shared" ca="1" si="5"/>
        <v/>
      </c>
      <c r="AC49" s="154" t="str">
        <f t="shared" ca="1" si="0"/>
        <v/>
      </c>
      <c r="AD49" s="154" t="str">
        <f>IF(Table13[[#This Row],[QUANTITY]]="","",
  IF(AND(Y49="",Z49="",AA49="",AB49="",AC49=""),
    U49*X49,
  ""))</f>
        <v/>
      </c>
      <c r="AE49" s="154" t="str">
        <f t="shared" ca="1" si="6"/>
        <v/>
      </c>
      <c r="AF49" s="154" t="str">
        <f t="shared" si="7"/>
        <v/>
      </c>
      <c r="AG49" s="154" t="str" cm="1">
        <f t="array" aca="1" ref="AG49" ca="1">IF(Table13[[#This Row],[TOTAL HIRE COST]]="","",IFERROR(IF(U49&lt;&gt;"",_xlfn.XLOOKUP(J49&amp;I49&amp;V49,PRICES!B:B&amp;PRICES!C:C&amp;PRICES!D:D,PRICES!H:H,"")),""))</f>
        <v/>
      </c>
      <c r="AH49" s="154" t="str" cm="1">
        <f t="array" aca="1" ref="AH49" ca="1">IF(Table13[[#This Row],[TOTAL HIRE COST]]="","",IFERROR(IF(U49&lt;&gt;"",_xlfn.XLOOKUP(J49&amp;I49&amp;V49,PRICES!B:B&amp;PRICES!C:C&amp;PRICES!D:D,PRICES!I:I,"")),""))</f>
        <v/>
      </c>
      <c r="AI49" s="154" t="str">
        <f ca="1">IF(Table13[[#This Row],[TOTAL HIRE COST]]="","",Table13[[#This Row],[TOTAL HIRE COST]]+Table13[[#This Row],[DELIVERY COST]]+Table13[[#This Row],[COLLECTION COST]])</f>
        <v/>
      </c>
      <c r="AJ49" s="153" t="str">
        <f>IF(Table13[[#This Row],[Date to Hire (DH)]]="","",YEAR(Table13[[#This Row],[Date to Hire (DH)]]))</f>
        <v/>
      </c>
      <c r="AK49" s="153" t="str">
        <f>IF(Table13[[#This Row],[Date to Hire (DH)]]="","",MONTH(Table13[[#This Row],[Date to Hire (DH)]]))</f>
        <v/>
      </c>
      <c r="AL49" s="153" t="str">
        <f>IF(Table13[[#This Row],[Date to Hire (DH)]]="","",WEEKNUM(Table13[[#This Row],[Date to Hire (DH)]]))</f>
        <v/>
      </c>
      <c r="AM49" s="153" t="str">
        <f>TEXT(Table13[[#This Row],[YEAR]],"0000")&amp;"-"&amp;Table13[[#This Row],[MONTH]]</f>
        <v>-</v>
      </c>
      <c r="AN49" s="153" t="str">
        <f>IF(Table13[[#This Row],[Date of Planned Offhire (DoPO) / If Applicable]]="","",YEAR(Table13[[#This Row],[Date of Planned Offhire (DoPO) / If Applicable]]))</f>
        <v/>
      </c>
      <c r="AO49" s="153" t="str">
        <f>IF(Table13[[#This Row],[Date of Planned Offhire (DoPO) / If Applicable]]="","",MONTH(Table13[[#This Row],[Date of Planned Offhire (DoPO) / If Applicable]]))</f>
        <v/>
      </c>
      <c r="AP49" s="153" t="str">
        <f>IF(Table13[[#This Row],[Date of Planned Offhire (DoPO) / If Applicable]]="","",WEEKNUM(Table13[[#This Row],[Date of Planned Offhire (DoPO) / If Applicable]]))</f>
        <v/>
      </c>
      <c r="AQ49" s="153" t="str">
        <f>TEXT(Table13[[#This Row],[YEAR2]],"0000")&amp;"-"&amp;Table13[[#This Row],[MONTH2]]</f>
        <v>-</v>
      </c>
      <c r="AR49" s="153" t="str">
        <f>IF(Table13[[#This Row],[Actual Date to Offhire (ADtO)]]="","",YEAR(Table13[[#This Row],[Actual Date to Offhire (ADtO)]]))</f>
        <v/>
      </c>
      <c r="AS49" s="153" t="str">
        <f>IF(Table13[[#This Row],[Actual Date to Offhire (ADtO)]]="","",MONTH(Table13[[#This Row],[Actual Date to Offhire (ADtO)]]))</f>
        <v/>
      </c>
      <c r="AT49" s="153" t="str">
        <f>IF(Table13[[#This Row],[Actual Date to Offhire (ADtO)]]="","",WEEKNUM(Table13[[#This Row],[Actual Date to Offhire (ADtO)]]))</f>
        <v/>
      </c>
      <c r="AU49" s="153" t="str">
        <f>TEXT(Table13[[#This Row],[YEAR3]],"0000")&amp;"-"&amp;Table13[[#This Row],[MONTH3]]</f>
        <v>-</v>
      </c>
      <c r="AV49" s="153">
        <f>IF(E49="",0,
  IF('Delivery Report'!A$2*100+'Delivery Report'!A$5 &lt; YEAR(E49)*100+WEEKNUM(E49), 0,
    IF(OR(G49="", 'Delivery Report'!A$2*100+'Delivery Report'!A$5 &lt;= YEAR(G49)*100+WEEKNUM(G49)),
      IF(LOWER(W49)="hourly", U49*X49*56,
      IF(LOWER(W49)="daily", U49*X49*7,
      IF(LOWER(W49)="weekly", U49*X49,
      IF(LOWER(W49)="monthly", U49*X49*12/52,
      IF(LOWER(W49)="yearly", U49*X49/52,
      IF(LOWER(W49)="one-off", U49*X49,
      0)))))),
    0)))</f>
        <v>0</v>
      </c>
    </row>
    <row r="50" spans="5:48" x14ac:dyDescent="0.3">
      <c r="E50" s="1"/>
      <c r="F50" s="1"/>
      <c r="G50" s="1"/>
      <c r="H50" s="164" t="s">
        <v>317</v>
      </c>
      <c r="P50" s="153" t="str">
        <f t="shared" si="11"/>
        <v/>
      </c>
      <c r="Q50" s="155">
        <f>IF(Table13[[#This Row],[HGVs (Collection)]]="",O50,Table13[[#This Row],[HGVs (Delivery)]]+Table13[[#This Row],[HGVs (Collection)]])</f>
        <v>0</v>
      </c>
      <c r="W50" s="153" t="str" cm="1">
        <f t="array" ref="W50">IF(Table13[[#This Row],[QUANTITY]]="","",IFERROR(IF(V50&lt;&gt;"",_xlfn.XLOOKUP(I50&amp;J50,PRICES!C:C&amp;PRICES!B:B,IF(PRICES!F:F&lt;&gt;"",PRICES!F:F,PRICES!E:E),"")),""))</f>
        <v/>
      </c>
      <c r="X50" s="154" t="str" cm="1">
        <f t="array" ref="X50">IF(Table13[[#This Row],[QUANTITY]]="","",IFERROR(IF(U50&lt;&gt;"",_xlfn.XLOOKUP(I50&amp;J50&amp;V50,PRICES!C:C&amp;PRICES!B:B&amp;PRICES!D:D,PRICES!G:G,"")),""))</f>
        <v/>
      </c>
      <c r="Y50" s="154" t="str">
        <f t="shared" ca="1" si="2"/>
        <v/>
      </c>
      <c r="Z50" s="154" t="str">
        <f t="shared" ca="1" si="3"/>
        <v/>
      </c>
      <c r="AA50" s="154" t="str">
        <f t="shared" ca="1" si="4"/>
        <v/>
      </c>
      <c r="AB50" s="154" t="str">
        <f t="shared" ca="1" si="5"/>
        <v/>
      </c>
      <c r="AC50" s="154" t="str">
        <f t="shared" ca="1" si="0"/>
        <v/>
      </c>
      <c r="AD50" s="154" t="str">
        <f>IF(Table13[[#This Row],[QUANTITY]]="","",
  IF(AND(Y50="",Z50="",AA50="",AB50="",AC50=""),
    U50*X50,
  ""))</f>
        <v/>
      </c>
      <c r="AE50" s="154" t="str">
        <f t="shared" ca="1" si="6"/>
        <v/>
      </c>
      <c r="AF50" s="154" t="str">
        <f t="shared" si="7"/>
        <v/>
      </c>
      <c r="AG50" s="154" t="str" cm="1">
        <f t="array" aca="1" ref="AG50" ca="1">IF(Table13[[#This Row],[TOTAL HIRE COST]]="","",IFERROR(IF(U50&lt;&gt;"",_xlfn.XLOOKUP(J50&amp;I50&amp;V50,PRICES!B:B&amp;PRICES!C:C&amp;PRICES!D:D,PRICES!H:H,"")),""))</f>
        <v/>
      </c>
      <c r="AH50" s="154" t="str" cm="1">
        <f t="array" aca="1" ref="AH50" ca="1">IF(Table13[[#This Row],[TOTAL HIRE COST]]="","",IFERROR(IF(U50&lt;&gt;"",_xlfn.XLOOKUP(J50&amp;I50&amp;V50,PRICES!B:B&amp;PRICES!C:C&amp;PRICES!D:D,PRICES!I:I,"")),""))</f>
        <v/>
      </c>
      <c r="AI50" s="154" t="str">
        <f ca="1">IF(Table13[[#This Row],[TOTAL HIRE COST]]="","",Table13[[#This Row],[TOTAL HIRE COST]]+Table13[[#This Row],[DELIVERY COST]]+Table13[[#This Row],[COLLECTION COST]])</f>
        <v/>
      </c>
      <c r="AJ50" s="153" t="str">
        <f>IF(Table13[[#This Row],[Date to Hire (DH)]]="","",YEAR(Table13[[#This Row],[Date to Hire (DH)]]))</f>
        <v/>
      </c>
      <c r="AK50" s="153" t="str">
        <f>IF(Table13[[#This Row],[Date to Hire (DH)]]="","",MONTH(Table13[[#This Row],[Date to Hire (DH)]]))</f>
        <v/>
      </c>
      <c r="AL50" s="153" t="str">
        <f>IF(Table13[[#This Row],[Date to Hire (DH)]]="","",WEEKNUM(Table13[[#This Row],[Date to Hire (DH)]]))</f>
        <v/>
      </c>
      <c r="AM50" s="153" t="str">
        <f>TEXT(Table13[[#This Row],[YEAR]],"0000")&amp;"-"&amp;Table13[[#This Row],[MONTH]]</f>
        <v>-</v>
      </c>
      <c r="AN50" s="153" t="str">
        <f>IF(Table13[[#This Row],[Date of Planned Offhire (DoPO) / If Applicable]]="","",YEAR(Table13[[#This Row],[Date of Planned Offhire (DoPO) / If Applicable]]))</f>
        <v/>
      </c>
      <c r="AO50" s="153" t="str">
        <f>IF(Table13[[#This Row],[Date of Planned Offhire (DoPO) / If Applicable]]="","",MONTH(Table13[[#This Row],[Date of Planned Offhire (DoPO) / If Applicable]]))</f>
        <v/>
      </c>
      <c r="AP50" s="153" t="str">
        <f>IF(Table13[[#This Row],[Date of Planned Offhire (DoPO) / If Applicable]]="","",WEEKNUM(Table13[[#This Row],[Date of Planned Offhire (DoPO) / If Applicable]]))</f>
        <v/>
      </c>
      <c r="AQ50" s="153" t="str">
        <f>TEXT(Table13[[#This Row],[YEAR2]],"0000")&amp;"-"&amp;Table13[[#This Row],[MONTH2]]</f>
        <v>-</v>
      </c>
      <c r="AR50" s="153" t="str">
        <f>IF(Table13[[#This Row],[Actual Date to Offhire (ADtO)]]="","",YEAR(Table13[[#This Row],[Actual Date to Offhire (ADtO)]]))</f>
        <v/>
      </c>
      <c r="AS50" s="153" t="str">
        <f>IF(Table13[[#This Row],[Actual Date to Offhire (ADtO)]]="","",MONTH(Table13[[#This Row],[Actual Date to Offhire (ADtO)]]))</f>
        <v/>
      </c>
      <c r="AT50" s="153" t="str">
        <f>IF(Table13[[#This Row],[Actual Date to Offhire (ADtO)]]="","",WEEKNUM(Table13[[#This Row],[Actual Date to Offhire (ADtO)]]))</f>
        <v/>
      </c>
      <c r="AU50" s="153" t="str">
        <f>TEXT(Table13[[#This Row],[YEAR3]],"0000")&amp;"-"&amp;Table13[[#This Row],[MONTH3]]</f>
        <v>-</v>
      </c>
      <c r="AV50" s="153">
        <f>IF(E50="",0,
  IF('Delivery Report'!A$2*100+'Delivery Report'!A$5 &lt; YEAR(E50)*100+WEEKNUM(E50), 0,
    IF(OR(G50="", 'Delivery Report'!A$2*100+'Delivery Report'!A$5 &lt;= YEAR(G50)*100+WEEKNUM(G50)),
      IF(LOWER(W50)="hourly", U50*X50*56,
      IF(LOWER(W50)="daily", U50*X50*7,
      IF(LOWER(W50)="weekly", U50*X50,
      IF(LOWER(W50)="monthly", U50*X50*12/52,
      IF(LOWER(W50)="yearly", U50*X50/52,
      IF(LOWER(W50)="one-off", U50*X50,
      0)))))),
    0)))</f>
        <v>0</v>
      </c>
    </row>
    <row r="51" spans="5:48" x14ac:dyDescent="0.3">
      <c r="E51" s="1"/>
      <c r="F51" s="1"/>
      <c r="G51" s="1"/>
      <c r="H51" s="164" t="s">
        <v>317</v>
      </c>
      <c r="P51" s="153" t="str">
        <f t="shared" si="11"/>
        <v/>
      </c>
      <c r="Q51" s="155">
        <f>IF(Table13[[#This Row],[HGVs (Collection)]]="",O51,Table13[[#This Row],[HGVs (Delivery)]]+Table13[[#This Row],[HGVs (Collection)]])</f>
        <v>0</v>
      </c>
      <c r="W51" s="153" t="str" cm="1">
        <f t="array" ref="W51">IF(Table13[[#This Row],[QUANTITY]]="","",IFERROR(IF(V51&lt;&gt;"",_xlfn.XLOOKUP(I51&amp;J51,PRICES!C:C&amp;PRICES!B:B,IF(PRICES!F:F&lt;&gt;"",PRICES!F:F,PRICES!E:E),"")),""))</f>
        <v/>
      </c>
      <c r="X51" s="154" t="str" cm="1">
        <f t="array" ref="X51">IF(Table13[[#This Row],[QUANTITY]]="","",IFERROR(IF(U51&lt;&gt;"",_xlfn.XLOOKUP(I51&amp;J51&amp;V51,PRICES!C:C&amp;PRICES!B:B&amp;PRICES!D:D,PRICES!G:G,"")),""))</f>
        <v/>
      </c>
      <c r="Y51" s="154" t="str">
        <f t="shared" ca="1" si="2"/>
        <v/>
      </c>
      <c r="Z51" s="154" t="str">
        <f t="shared" ca="1" si="3"/>
        <v/>
      </c>
      <c r="AA51" s="154" t="str">
        <f t="shared" ca="1" si="4"/>
        <v/>
      </c>
      <c r="AB51" s="154" t="str">
        <f t="shared" ca="1" si="5"/>
        <v/>
      </c>
      <c r="AC51" s="154" t="str">
        <f t="shared" ca="1" si="0"/>
        <v/>
      </c>
      <c r="AD51" s="154" t="str">
        <f>IF(Table13[[#This Row],[QUANTITY]]="","",
  IF(AND(Y51="",Z51="",AA51="",AB51="",AC51=""),
    U51*X51,
  ""))</f>
        <v/>
      </c>
      <c r="AE51" s="154" t="str">
        <f t="shared" ca="1" si="6"/>
        <v/>
      </c>
      <c r="AF51" s="154" t="str">
        <f t="shared" si="7"/>
        <v/>
      </c>
      <c r="AG51" s="154" t="str" cm="1">
        <f t="array" aca="1" ref="AG51" ca="1">IF(Table13[[#This Row],[TOTAL HIRE COST]]="","",IFERROR(IF(U51&lt;&gt;"",_xlfn.XLOOKUP(J51&amp;I51&amp;V51,PRICES!B:B&amp;PRICES!C:C&amp;PRICES!D:D,PRICES!H:H,"")),""))</f>
        <v/>
      </c>
      <c r="AH51" s="154" t="str" cm="1">
        <f t="array" aca="1" ref="AH51" ca="1">IF(Table13[[#This Row],[TOTAL HIRE COST]]="","",IFERROR(IF(U51&lt;&gt;"",_xlfn.XLOOKUP(J51&amp;I51&amp;V51,PRICES!B:B&amp;PRICES!C:C&amp;PRICES!D:D,PRICES!I:I,"")),""))</f>
        <v/>
      </c>
      <c r="AI51" s="154" t="str">
        <f ca="1">IF(Table13[[#This Row],[TOTAL HIRE COST]]="","",Table13[[#This Row],[TOTAL HIRE COST]]+Table13[[#This Row],[DELIVERY COST]]+Table13[[#This Row],[COLLECTION COST]])</f>
        <v/>
      </c>
      <c r="AJ51" s="153" t="str">
        <f>IF(Table13[[#This Row],[Date to Hire (DH)]]="","",YEAR(Table13[[#This Row],[Date to Hire (DH)]]))</f>
        <v/>
      </c>
      <c r="AK51" s="153" t="str">
        <f>IF(Table13[[#This Row],[Date to Hire (DH)]]="","",MONTH(Table13[[#This Row],[Date to Hire (DH)]]))</f>
        <v/>
      </c>
      <c r="AL51" s="153" t="str">
        <f>IF(Table13[[#This Row],[Date to Hire (DH)]]="","",WEEKNUM(Table13[[#This Row],[Date to Hire (DH)]]))</f>
        <v/>
      </c>
      <c r="AM51" s="153" t="str">
        <f>TEXT(Table13[[#This Row],[YEAR]],"0000")&amp;"-"&amp;Table13[[#This Row],[MONTH]]</f>
        <v>-</v>
      </c>
      <c r="AN51" s="153" t="str">
        <f>IF(Table13[[#This Row],[Date of Planned Offhire (DoPO) / If Applicable]]="","",YEAR(Table13[[#This Row],[Date of Planned Offhire (DoPO) / If Applicable]]))</f>
        <v/>
      </c>
      <c r="AO51" s="153" t="str">
        <f>IF(Table13[[#This Row],[Date of Planned Offhire (DoPO) / If Applicable]]="","",MONTH(Table13[[#This Row],[Date of Planned Offhire (DoPO) / If Applicable]]))</f>
        <v/>
      </c>
      <c r="AP51" s="153" t="str">
        <f>IF(Table13[[#This Row],[Date of Planned Offhire (DoPO) / If Applicable]]="","",WEEKNUM(Table13[[#This Row],[Date of Planned Offhire (DoPO) / If Applicable]]))</f>
        <v/>
      </c>
      <c r="AQ51" s="153" t="str">
        <f>TEXT(Table13[[#This Row],[YEAR2]],"0000")&amp;"-"&amp;Table13[[#This Row],[MONTH2]]</f>
        <v>-</v>
      </c>
      <c r="AR51" s="153" t="str">
        <f>IF(Table13[[#This Row],[Actual Date to Offhire (ADtO)]]="","",YEAR(Table13[[#This Row],[Actual Date to Offhire (ADtO)]]))</f>
        <v/>
      </c>
      <c r="AS51" s="153" t="str">
        <f>IF(Table13[[#This Row],[Actual Date to Offhire (ADtO)]]="","",MONTH(Table13[[#This Row],[Actual Date to Offhire (ADtO)]]))</f>
        <v/>
      </c>
      <c r="AT51" s="153" t="str">
        <f>IF(Table13[[#This Row],[Actual Date to Offhire (ADtO)]]="","",WEEKNUM(Table13[[#This Row],[Actual Date to Offhire (ADtO)]]))</f>
        <v/>
      </c>
      <c r="AU51" s="153" t="str">
        <f>TEXT(Table13[[#This Row],[YEAR3]],"0000")&amp;"-"&amp;Table13[[#This Row],[MONTH3]]</f>
        <v>-</v>
      </c>
      <c r="AV51" s="153">
        <f>IF(E51="",0,
  IF('Delivery Report'!A$2*100+'Delivery Report'!A$5 &lt; YEAR(E51)*100+WEEKNUM(E51), 0,
    IF(OR(G51="", 'Delivery Report'!A$2*100+'Delivery Report'!A$5 &lt;= YEAR(G51)*100+WEEKNUM(G51)),
      IF(LOWER(W51)="hourly", U51*X51*56,
      IF(LOWER(W51)="daily", U51*X51*7,
      IF(LOWER(W51)="weekly", U51*X51,
      IF(LOWER(W51)="monthly", U51*X51*12/52,
      IF(LOWER(W51)="yearly", U51*X51/52,
      IF(LOWER(W51)="one-off", U51*X51,
      0)))))),
    0)))</f>
        <v>0</v>
      </c>
    </row>
    <row r="52" spans="5:48" x14ac:dyDescent="0.3">
      <c r="E52" s="1"/>
      <c r="F52" s="1"/>
      <c r="G52" s="1"/>
      <c r="H52" s="164" t="s">
        <v>317</v>
      </c>
      <c r="P52" s="153" t="str">
        <f t="shared" si="11"/>
        <v/>
      </c>
      <c r="Q52" s="155">
        <f>IF(Table13[[#This Row],[HGVs (Collection)]]="",O52,Table13[[#This Row],[HGVs (Delivery)]]+Table13[[#This Row],[HGVs (Collection)]])</f>
        <v>0</v>
      </c>
      <c r="W52" s="153" t="str" cm="1">
        <f t="array" ref="W52">IF(Table13[[#This Row],[QUANTITY]]="","",IFERROR(IF(V52&lt;&gt;"",_xlfn.XLOOKUP(I52&amp;J52,PRICES!C:C&amp;PRICES!B:B,IF(PRICES!F:F&lt;&gt;"",PRICES!F:F,PRICES!E:E),"")),""))</f>
        <v/>
      </c>
      <c r="X52" s="154" t="str" cm="1">
        <f t="array" ref="X52">IF(Table13[[#This Row],[QUANTITY]]="","",IFERROR(IF(U52&lt;&gt;"",_xlfn.XLOOKUP(I52&amp;J52&amp;V52,PRICES!C:C&amp;PRICES!B:B&amp;PRICES!D:D,PRICES!G:G,"")),""))</f>
        <v/>
      </c>
      <c r="Y52" s="154" t="str">
        <f t="shared" ca="1" si="2"/>
        <v/>
      </c>
      <c r="Z52" s="154" t="str">
        <f t="shared" ca="1" si="3"/>
        <v/>
      </c>
      <c r="AA52" s="154" t="str">
        <f t="shared" ca="1" si="4"/>
        <v/>
      </c>
      <c r="AB52" s="154" t="str">
        <f t="shared" ca="1" si="5"/>
        <v/>
      </c>
      <c r="AC52" s="154" t="str">
        <f t="shared" ca="1" si="0"/>
        <v/>
      </c>
      <c r="AD52" s="154" t="str">
        <f>IF(Table13[[#This Row],[QUANTITY]]="","",
  IF(AND(Y52="",Z52="",AA52="",AB52="",AC52=""),
    U52*X52,
  ""))</f>
        <v/>
      </c>
      <c r="AE52" s="154" t="str">
        <f t="shared" ca="1" si="6"/>
        <v/>
      </c>
      <c r="AF52" s="154" t="str">
        <f t="shared" si="7"/>
        <v/>
      </c>
      <c r="AG52" s="154" t="str" cm="1">
        <f t="array" aca="1" ref="AG52" ca="1">IF(Table13[[#This Row],[TOTAL HIRE COST]]="","",IFERROR(IF(U52&lt;&gt;"",_xlfn.XLOOKUP(J52&amp;I52&amp;V52,PRICES!B:B&amp;PRICES!C:C&amp;PRICES!D:D,PRICES!H:H,"")),""))</f>
        <v/>
      </c>
      <c r="AH52" s="154" t="str" cm="1">
        <f t="array" aca="1" ref="AH52" ca="1">IF(Table13[[#This Row],[TOTAL HIRE COST]]="","",IFERROR(IF(U52&lt;&gt;"",_xlfn.XLOOKUP(J52&amp;I52&amp;V52,PRICES!B:B&amp;PRICES!C:C&amp;PRICES!D:D,PRICES!I:I,"")),""))</f>
        <v/>
      </c>
      <c r="AI52" s="154" t="str">
        <f ca="1">IF(Table13[[#This Row],[TOTAL HIRE COST]]="","",Table13[[#This Row],[TOTAL HIRE COST]]+Table13[[#This Row],[DELIVERY COST]]+Table13[[#This Row],[COLLECTION COST]])</f>
        <v/>
      </c>
      <c r="AJ52" s="153" t="str">
        <f>IF(Table13[[#This Row],[Date to Hire (DH)]]="","",YEAR(Table13[[#This Row],[Date to Hire (DH)]]))</f>
        <v/>
      </c>
      <c r="AK52" s="153" t="str">
        <f>IF(Table13[[#This Row],[Date to Hire (DH)]]="","",MONTH(Table13[[#This Row],[Date to Hire (DH)]]))</f>
        <v/>
      </c>
      <c r="AL52" s="153" t="str">
        <f>IF(Table13[[#This Row],[Date to Hire (DH)]]="","",WEEKNUM(Table13[[#This Row],[Date to Hire (DH)]]))</f>
        <v/>
      </c>
      <c r="AM52" s="153" t="str">
        <f>TEXT(Table13[[#This Row],[YEAR]],"0000")&amp;"-"&amp;Table13[[#This Row],[MONTH]]</f>
        <v>-</v>
      </c>
      <c r="AN52" s="153" t="str">
        <f>IF(Table13[[#This Row],[Date of Planned Offhire (DoPO) / If Applicable]]="","",YEAR(Table13[[#This Row],[Date of Planned Offhire (DoPO) / If Applicable]]))</f>
        <v/>
      </c>
      <c r="AO52" s="153" t="str">
        <f>IF(Table13[[#This Row],[Date of Planned Offhire (DoPO) / If Applicable]]="","",MONTH(Table13[[#This Row],[Date of Planned Offhire (DoPO) / If Applicable]]))</f>
        <v/>
      </c>
      <c r="AP52" s="153" t="str">
        <f>IF(Table13[[#This Row],[Date of Planned Offhire (DoPO) / If Applicable]]="","",WEEKNUM(Table13[[#This Row],[Date of Planned Offhire (DoPO) / If Applicable]]))</f>
        <v/>
      </c>
      <c r="AQ52" s="153" t="str">
        <f>TEXT(Table13[[#This Row],[YEAR2]],"0000")&amp;"-"&amp;Table13[[#This Row],[MONTH2]]</f>
        <v>-</v>
      </c>
      <c r="AR52" s="153" t="str">
        <f>IF(Table13[[#This Row],[Actual Date to Offhire (ADtO)]]="","",YEAR(Table13[[#This Row],[Actual Date to Offhire (ADtO)]]))</f>
        <v/>
      </c>
      <c r="AS52" s="153" t="str">
        <f>IF(Table13[[#This Row],[Actual Date to Offhire (ADtO)]]="","",MONTH(Table13[[#This Row],[Actual Date to Offhire (ADtO)]]))</f>
        <v/>
      </c>
      <c r="AT52" s="153" t="str">
        <f>IF(Table13[[#This Row],[Actual Date to Offhire (ADtO)]]="","",WEEKNUM(Table13[[#This Row],[Actual Date to Offhire (ADtO)]]))</f>
        <v/>
      </c>
      <c r="AU52" s="153" t="str">
        <f>TEXT(Table13[[#This Row],[YEAR3]],"0000")&amp;"-"&amp;Table13[[#This Row],[MONTH3]]</f>
        <v>-</v>
      </c>
      <c r="AV52" s="153">
        <f>IF(E52="",0,
  IF('Delivery Report'!A$2*100+'Delivery Report'!A$5 &lt; YEAR(E52)*100+WEEKNUM(E52), 0,
    IF(OR(G52="", 'Delivery Report'!A$2*100+'Delivery Report'!A$5 &lt;= YEAR(G52)*100+WEEKNUM(G52)),
      IF(LOWER(W52)="hourly", U52*X52*56,
      IF(LOWER(W52)="daily", U52*X52*7,
      IF(LOWER(W52)="weekly", U52*X52,
      IF(LOWER(W52)="monthly", U52*X52*12/52,
      IF(LOWER(W52)="yearly", U52*X52/52,
      IF(LOWER(W52)="one-off", U52*X52,
      0)))))),
    0)))</f>
        <v>0</v>
      </c>
    </row>
    <row r="53" spans="5:48" x14ac:dyDescent="0.3">
      <c r="E53" s="1"/>
      <c r="F53" s="1"/>
      <c r="G53" s="1"/>
      <c r="H53" s="164" t="s">
        <v>317</v>
      </c>
      <c r="P53" s="153" t="str">
        <f t="shared" si="11"/>
        <v/>
      </c>
      <c r="Q53" s="155">
        <f>IF(Table13[[#This Row],[HGVs (Collection)]]="",O53,Table13[[#This Row],[HGVs (Delivery)]]+Table13[[#This Row],[HGVs (Collection)]])</f>
        <v>0</v>
      </c>
      <c r="W53" s="153" t="str" cm="1">
        <f t="array" ref="W53">IF(Table13[[#This Row],[QUANTITY]]="","",IFERROR(IF(V53&lt;&gt;"",_xlfn.XLOOKUP(I53&amp;J53,PRICES!C:C&amp;PRICES!B:B,IF(PRICES!F:F&lt;&gt;"",PRICES!F:F,PRICES!E:E),"")),""))</f>
        <v/>
      </c>
      <c r="X53" s="154" t="str" cm="1">
        <f t="array" ref="X53">IF(Table13[[#This Row],[QUANTITY]]="","",IFERROR(IF(U53&lt;&gt;"",_xlfn.XLOOKUP(I53&amp;J53&amp;V53,PRICES!C:C&amp;PRICES!B:B&amp;PRICES!D:D,PRICES!G:G,"")),""))</f>
        <v/>
      </c>
      <c r="Y53" s="154" t="str">
        <f t="shared" ca="1" si="2"/>
        <v/>
      </c>
      <c r="Z53" s="154" t="str">
        <f t="shared" ca="1" si="3"/>
        <v/>
      </c>
      <c r="AA53" s="154" t="str">
        <f t="shared" ca="1" si="4"/>
        <v/>
      </c>
      <c r="AB53" s="154" t="str">
        <f t="shared" ca="1" si="5"/>
        <v/>
      </c>
      <c r="AC53" s="154" t="str">
        <f t="shared" ca="1" si="0"/>
        <v/>
      </c>
      <c r="AD53" s="154" t="str">
        <f>IF(Table13[[#This Row],[QUANTITY]]="","",
  IF(AND(Y53="",Z53="",AA53="",AB53="",AC53=""),
    U53*X53,
  ""))</f>
        <v/>
      </c>
      <c r="AE53" s="154" t="str">
        <f t="shared" ca="1" si="6"/>
        <v/>
      </c>
      <c r="AF53" s="154" t="str">
        <f t="shared" si="7"/>
        <v/>
      </c>
      <c r="AG53" s="154" t="str" cm="1">
        <f t="array" aca="1" ref="AG53" ca="1">IF(Table13[[#This Row],[TOTAL HIRE COST]]="","",IFERROR(IF(U53&lt;&gt;"",_xlfn.XLOOKUP(J53&amp;I53&amp;V53,PRICES!B:B&amp;PRICES!C:C&amp;PRICES!D:D,PRICES!H:H,"")),""))</f>
        <v/>
      </c>
      <c r="AH53" s="154" t="str" cm="1">
        <f t="array" aca="1" ref="AH53" ca="1">IF(Table13[[#This Row],[TOTAL HIRE COST]]="","",IFERROR(IF(U53&lt;&gt;"",_xlfn.XLOOKUP(J53&amp;I53&amp;V53,PRICES!B:B&amp;PRICES!C:C&amp;PRICES!D:D,PRICES!I:I,"")),""))</f>
        <v/>
      </c>
      <c r="AI53" s="154" t="str">
        <f ca="1">IF(Table13[[#This Row],[TOTAL HIRE COST]]="","",Table13[[#This Row],[TOTAL HIRE COST]]+Table13[[#This Row],[DELIVERY COST]]+Table13[[#This Row],[COLLECTION COST]])</f>
        <v/>
      </c>
      <c r="AJ53" s="153" t="str">
        <f>IF(Table13[[#This Row],[Date to Hire (DH)]]="","",YEAR(Table13[[#This Row],[Date to Hire (DH)]]))</f>
        <v/>
      </c>
      <c r="AK53" s="153" t="str">
        <f>IF(Table13[[#This Row],[Date to Hire (DH)]]="","",MONTH(Table13[[#This Row],[Date to Hire (DH)]]))</f>
        <v/>
      </c>
      <c r="AL53" s="153" t="str">
        <f>IF(Table13[[#This Row],[Date to Hire (DH)]]="","",WEEKNUM(Table13[[#This Row],[Date to Hire (DH)]]))</f>
        <v/>
      </c>
      <c r="AM53" s="153" t="str">
        <f>TEXT(Table13[[#This Row],[YEAR]],"0000")&amp;"-"&amp;Table13[[#This Row],[MONTH]]</f>
        <v>-</v>
      </c>
      <c r="AN53" s="153" t="str">
        <f>IF(Table13[[#This Row],[Date of Planned Offhire (DoPO) / If Applicable]]="","",YEAR(Table13[[#This Row],[Date of Planned Offhire (DoPO) / If Applicable]]))</f>
        <v/>
      </c>
      <c r="AO53" s="153" t="str">
        <f>IF(Table13[[#This Row],[Date of Planned Offhire (DoPO) / If Applicable]]="","",MONTH(Table13[[#This Row],[Date of Planned Offhire (DoPO) / If Applicable]]))</f>
        <v/>
      </c>
      <c r="AP53" s="153" t="str">
        <f>IF(Table13[[#This Row],[Date of Planned Offhire (DoPO) / If Applicable]]="","",WEEKNUM(Table13[[#This Row],[Date of Planned Offhire (DoPO) / If Applicable]]))</f>
        <v/>
      </c>
      <c r="AQ53" s="153" t="str">
        <f>TEXT(Table13[[#This Row],[YEAR2]],"0000")&amp;"-"&amp;Table13[[#This Row],[MONTH2]]</f>
        <v>-</v>
      </c>
      <c r="AR53" s="153" t="str">
        <f>IF(Table13[[#This Row],[Actual Date to Offhire (ADtO)]]="","",YEAR(Table13[[#This Row],[Actual Date to Offhire (ADtO)]]))</f>
        <v/>
      </c>
      <c r="AS53" s="153" t="str">
        <f>IF(Table13[[#This Row],[Actual Date to Offhire (ADtO)]]="","",MONTH(Table13[[#This Row],[Actual Date to Offhire (ADtO)]]))</f>
        <v/>
      </c>
      <c r="AT53" s="153" t="str">
        <f>IF(Table13[[#This Row],[Actual Date to Offhire (ADtO)]]="","",WEEKNUM(Table13[[#This Row],[Actual Date to Offhire (ADtO)]]))</f>
        <v/>
      </c>
      <c r="AU53" s="153" t="str">
        <f>TEXT(Table13[[#This Row],[YEAR3]],"0000")&amp;"-"&amp;Table13[[#This Row],[MONTH3]]</f>
        <v>-</v>
      </c>
      <c r="AV53" s="153">
        <f>IF(E53="",0,
  IF('Delivery Report'!A$2*100+'Delivery Report'!A$5 &lt; YEAR(E53)*100+WEEKNUM(E53), 0,
    IF(OR(G53="", 'Delivery Report'!A$2*100+'Delivery Report'!A$5 &lt;= YEAR(G53)*100+WEEKNUM(G53)),
      IF(LOWER(W53)="hourly", U53*X53*56,
      IF(LOWER(W53)="daily", U53*X53*7,
      IF(LOWER(W53)="weekly", U53*X53,
      IF(LOWER(W53)="monthly", U53*X53*12/52,
      IF(LOWER(W53)="yearly", U53*X53/52,
      IF(LOWER(W53)="one-off", U53*X53,
      0)))))),
    0)))</f>
        <v>0</v>
      </c>
    </row>
    <row r="54" spans="5:48" x14ac:dyDescent="0.3">
      <c r="E54" s="1"/>
      <c r="F54" s="1"/>
      <c r="G54" s="1"/>
      <c r="H54" s="164" t="s">
        <v>317</v>
      </c>
      <c r="P54" s="153" t="str">
        <f t="shared" si="11"/>
        <v/>
      </c>
      <c r="Q54" s="155">
        <f>IF(Table13[[#This Row],[HGVs (Collection)]]="",O54,Table13[[#This Row],[HGVs (Delivery)]]+Table13[[#This Row],[HGVs (Collection)]])</f>
        <v>0</v>
      </c>
      <c r="W54" s="153" t="str" cm="1">
        <f t="array" ref="W54">IF(Table13[[#This Row],[QUANTITY]]="","",IFERROR(IF(V54&lt;&gt;"",_xlfn.XLOOKUP(I54&amp;J54,PRICES!C:C&amp;PRICES!B:B,IF(PRICES!F:F&lt;&gt;"",PRICES!F:F,PRICES!E:E),"")),""))</f>
        <v/>
      </c>
      <c r="X54" s="154" t="str" cm="1">
        <f t="array" ref="X54">IF(Table13[[#This Row],[QUANTITY]]="","",IFERROR(IF(U54&lt;&gt;"",_xlfn.XLOOKUP(I54&amp;J54&amp;V54,PRICES!C:C&amp;PRICES!B:B&amp;PRICES!D:D,PRICES!G:G,"")),""))</f>
        <v/>
      </c>
      <c r="Y54" s="154" t="str">
        <f t="shared" ca="1" si="2"/>
        <v/>
      </c>
      <c r="Z54" s="154" t="str">
        <f t="shared" ca="1" si="3"/>
        <v/>
      </c>
      <c r="AA54" s="154" t="str">
        <f t="shared" ca="1" si="4"/>
        <v/>
      </c>
      <c r="AB54" s="154" t="str">
        <f t="shared" ca="1" si="5"/>
        <v/>
      </c>
      <c r="AC54" s="154" t="str">
        <f t="shared" ca="1" si="0"/>
        <v/>
      </c>
      <c r="AD54" s="154" t="str">
        <f>IF(Table13[[#This Row],[QUANTITY]]="","",
  IF(AND(Y54="",Z54="",AA54="",AB54="",AC54=""),
    U54*X54,
  ""))</f>
        <v/>
      </c>
      <c r="AE54" s="154" t="str">
        <f t="shared" ca="1" si="6"/>
        <v/>
      </c>
      <c r="AF54" s="154" t="str">
        <f t="shared" si="7"/>
        <v/>
      </c>
      <c r="AG54" s="154" t="str" cm="1">
        <f t="array" aca="1" ref="AG54" ca="1">IF(Table13[[#This Row],[TOTAL HIRE COST]]="","",IFERROR(IF(U54&lt;&gt;"",_xlfn.XLOOKUP(J54&amp;I54&amp;V54,PRICES!B:B&amp;PRICES!C:C&amp;PRICES!D:D,PRICES!H:H,"")),""))</f>
        <v/>
      </c>
      <c r="AH54" s="154" t="str" cm="1">
        <f t="array" aca="1" ref="AH54" ca="1">IF(Table13[[#This Row],[TOTAL HIRE COST]]="","",IFERROR(IF(U54&lt;&gt;"",_xlfn.XLOOKUP(J54&amp;I54&amp;V54,PRICES!B:B&amp;PRICES!C:C&amp;PRICES!D:D,PRICES!I:I,"")),""))</f>
        <v/>
      </c>
      <c r="AI54" s="154" t="str">
        <f ca="1">IF(Table13[[#This Row],[TOTAL HIRE COST]]="","",Table13[[#This Row],[TOTAL HIRE COST]]+Table13[[#This Row],[DELIVERY COST]]+Table13[[#This Row],[COLLECTION COST]])</f>
        <v/>
      </c>
      <c r="AJ54" s="153" t="str">
        <f>IF(Table13[[#This Row],[Date to Hire (DH)]]="","",YEAR(Table13[[#This Row],[Date to Hire (DH)]]))</f>
        <v/>
      </c>
      <c r="AK54" s="153" t="str">
        <f>IF(Table13[[#This Row],[Date to Hire (DH)]]="","",MONTH(Table13[[#This Row],[Date to Hire (DH)]]))</f>
        <v/>
      </c>
      <c r="AL54" s="153" t="str">
        <f>IF(Table13[[#This Row],[Date to Hire (DH)]]="","",WEEKNUM(Table13[[#This Row],[Date to Hire (DH)]]))</f>
        <v/>
      </c>
      <c r="AM54" s="153" t="str">
        <f>TEXT(Table13[[#This Row],[YEAR]],"0000")&amp;"-"&amp;Table13[[#This Row],[MONTH]]</f>
        <v>-</v>
      </c>
      <c r="AN54" s="153" t="str">
        <f>IF(Table13[[#This Row],[Date of Planned Offhire (DoPO) / If Applicable]]="","",YEAR(Table13[[#This Row],[Date of Planned Offhire (DoPO) / If Applicable]]))</f>
        <v/>
      </c>
      <c r="AO54" s="153" t="str">
        <f>IF(Table13[[#This Row],[Date of Planned Offhire (DoPO) / If Applicable]]="","",MONTH(Table13[[#This Row],[Date of Planned Offhire (DoPO) / If Applicable]]))</f>
        <v/>
      </c>
      <c r="AP54" s="153" t="str">
        <f>IF(Table13[[#This Row],[Date of Planned Offhire (DoPO) / If Applicable]]="","",WEEKNUM(Table13[[#This Row],[Date of Planned Offhire (DoPO) / If Applicable]]))</f>
        <v/>
      </c>
      <c r="AQ54" s="153" t="str">
        <f>TEXT(Table13[[#This Row],[YEAR2]],"0000")&amp;"-"&amp;Table13[[#This Row],[MONTH2]]</f>
        <v>-</v>
      </c>
      <c r="AR54" s="153" t="str">
        <f>IF(Table13[[#This Row],[Actual Date to Offhire (ADtO)]]="","",YEAR(Table13[[#This Row],[Actual Date to Offhire (ADtO)]]))</f>
        <v/>
      </c>
      <c r="AS54" s="153" t="str">
        <f>IF(Table13[[#This Row],[Actual Date to Offhire (ADtO)]]="","",MONTH(Table13[[#This Row],[Actual Date to Offhire (ADtO)]]))</f>
        <v/>
      </c>
      <c r="AT54" s="153" t="str">
        <f>IF(Table13[[#This Row],[Actual Date to Offhire (ADtO)]]="","",WEEKNUM(Table13[[#This Row],[Actual Date to Offhire (ADtO)]]))</f>
        <v/>
      </c>
      <c r="AU54" s="153" t="str">
        <f>TEXT(Table13[[#This Row],[YEAR3]],"0000")&amp;"-"&amp;Table13[[#This Row],[MONTH3]]</f>
        <v>-</v>
      </c>
      <c r="AV54" s="153">
        <f>IF(E54="",0,
  IF('Delivery Report'!A$2*100+'Delivery Report'!A$5 &lt; YEAR(E54)*100+WEEKNUM(E54), 0,
    IF(OR(G54="", 'Delivery Report'!A$2*100+'Delivery Report'!A$5 &lt;= YEAR(G54)*100+WEEKNUM(G54)),
      IF(LOWER(W54)="hourly", U54*X54*56,
      IF(LOWER(W54)="daily", U54*X54*7,
      IF(LOWER(W54)="weekly", U54*X54,
      IF(LOWER(W54)="monthly", U54*X54*12/52,
      IF(LOWER(W54)="yearly", U54*X54/52,
      IF(LOWER(W54)="one-off", U54*X54,
      0)))))),
    0)))</f>
        <v>0</v>
      </c>
    </row>
    <row r="55" spans="5:48" x14ac:dyDescent="0.3">
      <c r="E55" s="1"/>
      <c r="F55" s="1"/>
      <c r="G55" s="1"/>
      <c r="H55" s="164" t="s">
        <v>317</v>
      </c>
      <c r="P55" s="153" t="str">
        <f t="shared" si="11"/>
        <v/>
      </c>
      <c r="Q55" s="155">
        <f>IF(Table13[[#This Row],[HGVs (Collection)]]="",O55,Table13[[#This Row],[HGVs (Delivery)]]+Table13[[#This Row],[HGVs (Collection)]])</f>
        <v>0</v>
      </c>
      <c r="W55" s="153" t="str" cm="1">
        <f t="array" ref="W55">IF(Table13[[#This Row],[QUANTITY]]="","",IFERROR(IF(V55&lt;&gt;"",_xlfn.XLOOKUP(I55&amp;J55,PRICES!C:C&amp;PRICES!B:B,IF(PRICES!F:F&lt;&gt;"",PRICES!F:F,PRICES!E:E),"")),""))</f>
        <v/>
      </c>
      <c r="X55" s="154" t="str" cm="1">
        <f t="array" ref="X55">IF(Table13[[#This Row],[QUANTITY]]="","",IFERROR(IF(U55&lt;&gt;"",_xlfn.XLOOKUP(I55&amp;J55&amp;V55,PRICES!C:C&amp;PRICES!B:B&amp;PRICES!D:D,PRICES!G:G,"")),""))</f>
        <v/>
      </c>
      <c r="Y55" s="154" t="str">
        <f t="shared" ca="1" si="2"/>
        <v/>
      </c>
      <c r="Z55" s="154" t="str">
        <f t="shared" ca="1" si="3"/>
        <v/>
      </c>
      <c r="AA55" s="154" t="str">
        <f t="shared" ca="1" si="4"/>
        <v/>
      </c>
      <c r="AB55" s="154" t="str">
        <f t="shared" ca="1" si="5"/>
        <v/>
      </c>
      <c r="AC55" s="154" t="str">
        <f t="shared" ca="1" si="0"/>
        <v/>
      </c>
      <c r="AD55" s="154" t="str">
        <f>IF(Table13[[#This Row],[QUANTITY]]="","",
  IF(AND(Y55="",Z55="",AA55="",AB55="",AC55=""),
    U55*X55,
  ""))</f>
        <v/>
      </c>
      <c r="AE55" s="154" t="str">
        <f t="shared" ca="1" si="6"/>
        <v/>
      </c>
      <c r="AF55" s="154" t="str">
        <f t="shared" si="7"/>
        <v/>
      </c>
      <c r="AG55" s="154" t="str" cm="1">
        <f t="array" aca="1" ref="AG55" ca="1">IF(Table13[[#This Row],[TOTAL HIRE COST]]="","",IFERROR(IF(U55&lt;&gt;"",_xlfn.XLOOKUP(J55&amp;I55&amp;V55,PRICES!B:B&amp;PRICES!C:C&amp;PRICES!D:D,PRICES!H:H,"")),""))</f>
        <v/>
      </c>
      <c r="AH55" s="154" t="str" cm="1">
        <f t="array" aca="1" ref="AH55" ca="1">IF(Table13[[#This Row],[TOTAL HIRE COST]]="","",IFERROR(IF(U55&lt;&gt;"",_xlfn.XLOOKUP(J55&amp;I55&amp;V55,PRICES!B:B&amp;PRICES!C:C&amp;PRICES!D:D,PRICES!I:I,"")),""))</f>
        <v/>
      </c>
      <c r="AI55" s="154" t="str">
        <f ca="1">IF(Table13[[#This Row],[TOTAL HIRE COST]]="","",Table13[[#This Row],[TOTAL HIRE COST]]+Table13[[#This Row],[DELIVERY COST]]+Table13[[#This Row],[COLLECTION COST]])</f>
        <v/>
      </c>
      <c r="AJ55" s="153" t="str">
        <f>IF(Table13[[#This Row],[Date to Hire (DH)]]="","",YEAR(Table13[[#This Row],[Date to Hire (DH)]]))</f>
        <v/>
      </c>
      <c r="AK55" s="153" t="str">
        <f>IF(Table13[[#This Row],[Date to Hire (DH)]]="","",MONTH(Table13[[#This Row],[Date to Hire (DH)]]))</f>
        <v/>
      </c>
      <c r="AL55" s="153" t="str">
        <f>IF(Table13[[#This Row],[Date to Hire (DH)]]="","",WEEKNUM(Table13[[#This Row],[Date to Hire (DH)]]))</f>
        <v/>
      </c>
      <c r="AM55" s="153" t="str">
        <f>TEXT(Table13[[#This Row],[YEAR]],"0000")&amp;"-"&amp;Table13[[#This Row],[MONTH]]</f>
        <v>-</v>
      </c>
      <c r="AN55" s="153" t="str">
        <f>IF(Table13[[#This Row],[Date of Planned Offhire (DoPO) / If Applicable]]="","",YEAR(Table13[[#This Row],[Date of Planned Offhire (DoPO) / If Applicable]]))</f>
        <v/>
      </c>
      <c r="AO55" s="153" t="str">
        <f>IF(Table13[[#This Row],[Date of Planned Offhire (DoPO) / If Applicable]]="","",MONTH(Table13[[#This Row],[Date of Planned Offhire (DoPO) / If Applicable]]))</f>
        <v/>
      </c>
      <c r="AP55" s="153" t="str">
        <f>IF(Table13[[#This Row],[Date of Planned Offhire (DoPO) / If Applicable]]="","",WEEKNUM(Table13[[#This Row],[Date of Planned Offhire (DoPO) / If Applicable]]))</f>
        <v/>
      </c>
      <c r="AQ55" s="153" t="str">
        <f>TEXT(Table13[[#This Row],[YEAR2]],"0000")&amp;"-"&amp;Table13[[#This Row],[MONTH2]]</f>
        <v>-</v>
      </c>
      <c r="AR55" s="153" t="str">
        <f>IF(Table13[[#This Row],[Actual Date to Offhire (ADtO)]]="","",YEAR(Table13[[#This Row],[Actual Date to Offhire (ADtO)]]))</f>
        <v/>
      </c>
      <c r="AS55" s="153" t="str">
        <f>IF(Table13[[#This Row],[Actual Date to Offhire (ADtO)]]="","",MONTH(Table13[[#This Row],[Actual Date to Offhire (ADtO)]]))</f>
        <v/>
      </c>
      <c r="AT55" s="153" t="str">
        <f>IF(Table13[[#This Row],[Actual Date to Offhire (ADtO)]]="","",WEEKNUM(Table13[[#This Row],[Actual Date to Offhire (ADtO)]]))</f>
        <v/>
      </c>
      <c r="AU55" s="153" t="str">
        <f>TEXT(Table13[[#This Row],[YEAR3]],"0000")&amp;"-"&amp;Table13[[#This Row],[MONTH3]]</f>
        <v>-</v>
      </c>
      <c r="AV55" s="153">
        <f>IF(E55="",0,
  IF('Delivery Report'!A$2*100+'Delivery Report'!A$5 &lt; YEAR(E55)*100+WEEKNUM(E55), 0,
    IF(OR(G55="", 'Delivery Report'!A$2*100+'Delivery Report'!A$5 &lt;= YEAR(G55)*100+WEEKNUM(G55)),
      IF(LOWER(W55)="hourly", U55*X55*56,
      IF(LOWER(W55)="daily", U55*X55*7,
      IF(LOWER(W55)="weekly", U55*X55,
      IF(LOWER(W55)="monthly", U55*X55*12/52,
      IF(LOWER(W55)="yearly", U55*X55/52,
      IF(LOWER(W55)="one-off", U55*X55,
      0)))))),
    0)))</f>
        <v>0</v>
      </c>
    </row>
    <row r="56" spans="5:48" x14ac:dyDescent="0.3">
      <c r="E56" s="1"/>
      <c r="F56" s="1"/>
      <c r="G56" s="1"/>
      <c r="H56" s="164" t="s">
        <v>317</v>
      </c>
      <c r="P56" s="153" t="str">
        <f t="shared" si="11"/>
        <v/>
      </c>
      <c r="Q56" s="155">
        <f>IF(Table13[[#This Row],[HGVs (Collection)]]="",O56,Table13[[#This Row],[HGVs (Delivery)]]+Table13[[#This Row],[HGVs (Collection)]])</f>
        <v>0</v>
      </c>
      <c r="W56" s="153" t="str" cm="1">
        <f t="array" ref="W56">IF(Table13[[#This Row],[QUANTITY]]="","",IFERROR(IF(V56&lt;&gt;"",_xlfn.XLOOKUP(I56&amp;J56,PRICES!C:C&amp;PRICES!B:B,IF(PRICES!F:F&lt;&gt;"",PRICES!F:F,PRICES!E:E),"")),""))</f>
        <v/>
      </c>
      <c r="X56" s="154" t="str" cm="1">
        <f t="array" ref="X56">IF(Table13[[#This Row],[QUANTITY]]="","",IFERROR(IF(U56&lt;&gt;"",_xlfn.XLOOKUP(I56&amp;J56&amp;V56,PRICES!C:C&amp;PRICES!B:B&amp;PRICES!D:D,PRICES!G:G,"")),""))</f>
        <v/>
      </c>
      <c r="Y56" s="154" t="str">
        <f t="shared" ca="1" si="2"/>
        <v/>
      </c>
      <c r="Z56" s="154" t="str">
        <f t="shared" ca="1" si="3"/>
        <v/>
      </c>
      <c r="AA56" s="154" t="str">
        <f t="shared" ca="1" si="4"/>
        <v/>
      </c>
      <c r="AB56" s="154" t="str">
        <f t="shared" ca="1" si="5"/>
        <v/>
      </c>
      <c r="AC56" s="154" t="str">
        <f t="shared" ca="1" si="0"/>
        <v/>
      </c>
      <c r="AD56" s="154" t="str">
        <f>IF(Table13[[#This Row],[QUANTITY]]="","",
  IF(AND(Y56="",Z56="",AA56="",AB56="",AC56=""),
    U56*X56,
  ""))</f>
        <v/>
      </c>
      <c r="AE56" s="154" t="str">
        <f t="shared" ca="1" si="6"/>
        <v/>
      </c>
      <c r="AF56" s="154" t="str">
        <f t="shared" si="7"/>
        <v/>
      </c>
      <c r="AG56" s="154" t="str" cm="1">
        <f t="array" aca="1" ref="AG56" ca="1">IF(Table13[[#This Row],[TOTAL HIRE COST]]="","",IFERROR(IF(U56&lt;&gt;"",_xlfn.XLOOKUP(J56&amp;I56&amp;V56,PRICES!B:B&amp;PRICES!C:C&amp;PRICES!D:D,PRICES!H:H,"")),""))</f>
        <v/>
      </c>
      <c r="AH56" s="154" t="str" cm="1">
        <f t="array" aca="1" ref="AH56" ca="1">IF(Table13[[#This Row],[TOTAL HIRE COST]]="","",IFERROR(IF(U56&lt;&gt;"",_xlfn.XLOOKUP(J56&amp;I56&amp;V56,PRICES!B:B&amp;PRICES!C:C&amp;PRICES!D:D,PRICES!I:I,"")),""))</f>
        <v/>
      </c>
      <c r="AI56" s="154" t="str">
        <f ca="1">IF(Table13[[#This Row],[TOTAL HIRE COST]]="","",Table13[[#This Row],[TOTAL HIRE COST]]+Table13[[#This Row],[DELIVERY COST]]+Table13[[#This Row],[COLLECTION COST]])</f>
        <v/>
      </c>
      <c r="AJ56" s="153" t="str">
        <f>IF(Table13[[#This Row],[Date to Hire (DH)]]="","",YEAR(Table13[[#This Row],[Date to Hire (DH)]]))</f>
        <v/>
      </c>
      <c r="AK56" s="153" t="str">
        <f>IF(Table13[[#This Row],[Date to Hire (DH)]]="","",MONTH(Table13[[#This Row],[Date to Hire (DH)]]))</f>
        <v/>
      </c>
      <c r="AL56" s="153" t="str">
        <f>IF(Table13[[#This Row],[Date to Hire (DH)]]="","",WEEKNUM(Table13[[#This Row],[Date to Hire (DH)]]))</f>
        <v/>
      </c>
      <c r="AM56" s="153" t="str">
        <f>TEXT(Table13[[#This Row],[YEAR]],"0000")&amp;"-"&amp;Table13[[#This Row],[MONTH]]</f>
        <v>-</v>
      </c>
      <c r="AN56" s="153" t="str">
        <f>IF(Table13[[#This Row],[Date of Planned Offhire (DoPO) / If Applicable]]="","",YEAR(Table13[[#This Row],[Date of Planned Offhire (DoPO) / If Applicable]]))</f>
        <v/>
      </c>
      <c r="AO56" s="153" t="str">
        <f>IF(Table13[[#This Row],[Date of Planned Offhire (DoPO) / If Applicable]]="","",MONTH(Table13[[#This Row],[Date of Planned Offhire (DoPO) / If Applicable]]))</f>
        <v/>
      </c>
      <c r="AP56" s="153" t="str">
        <f>IF(Table13[[#This Row],[Date of Planned Offhire (DoPO) / If Applicable]]="","",WEEKNUM(Table13[[#This Row],[Date of Planned Offhire (DoPO) / If Applicable]]))</f>
        <v/>
      </c>
      <c r="AQ56" s="153" t="str">
        <f>TEXT(Table13[[#This Row],[YEAR2]],"0000")&amp;"-"&amp;Table13[[#This Row],[MONTH2]]</f>
        <v>-</v>
      </c>
      <c r="AR56" s="153" t="str">
        <f>IF(Table13[[#This Row],[Actual Date to Offhire (ADtO)]]="","",YEAR(Table13[[#This Row],[Actual Date to Offhire (ADtO)]]))</f>
        <v/>
      </c>
      <c r="AS56" s="153" t="str">
        <f>IF(Table13[[#This Row],[Actual Date to Offhire (ADtO)]]="","",MONTH(Table13[[#This Row],[Actual Date to Offhire (ADtO)]]))</f>
        <v/>
      </c>
      <c r="AT56" s="153" t="str">
        <f>IF(Table13[[#This Row],[Actual Date to Offhire (ADtO)]]="","",WEEKNUM(Table13[[#This Row],[Actual Date to Offhire (ADtO)]]))</f>
        <v/>
      </c>
      <c r="AU56" s="153" t="str">
        <f>TEXT(Table13[[#This Row],[YEAR3]],"0000")&amp;"-"&amp;Table13[[#This Row],[MONTH3]]</f>
        <v>-</v>
      </c>
      <c r="AV56" s="153">
        <f>IF(E56="",0,
  IF('Delivery Report'!A$2*100+'Delivery Report'!A$5 &lt; YEAR(E56)*100+WEEKNUM(E56), 0,
    IF(OR(G56="", 'Delivery Report'!A$2*100+'Delivery Report'!A$5 &lt;= YEAR(G56)*100+WEEKNUM(G56)),
      IF(LOWER(W56)="hourly", U56*X56*56,
      IF(LOWER(W56)="daily", U56*X56*7,
      IF(LOWER(W56)="weekly", U56*X56,
      IF(LOWER(W56)="monthly", U56*X56*12/52,
      IF(LOWER(W56)="yearly", U56*X56/52,
      IF(LOWER(W56)="one-off", U56*X56,
      0)))))),
    0)))</f>
        <v>0</v>
      </c>
    </row>
    <row r="57" spans="5:48" x14ac:dyDescent="0.3">
      <c r="E57" s="1"/>
      <c r="F57" s="1"/>
      <c r="G57" s="1"/>
      <c r="H57" s="164" t="s">
        <v>317</v>
      </c>
      <c r="P57" s="153" t="str">
        <f t="shared" si="11"/>
        <v/>
      </c>
      <c r="Q57" s="155">
        <f>IF(Table13[[#This Row],[HGVs (Collection)]]="",O57,Table13[[#This Row],[HGVs (Delivery)]]+Table13[[#This Row],[HGVs (Collection)]])</f>
        <v>0</v>
      </c>
      <c r="W57" s="153" t="str" cm="1">
        <f t="array" ref="W57">IF(Table13[[#This Row],[QUANTITY]]="","",IFERROR(IF(V57&lt;&gt;"",_xlfn.XLOOKUP(I57&amp;J57,PRICES!C:C&amp;PRICES!B:B,IF(PRICES!F:F&lt;&gt;"",PRICES!F:F,PRICES!E:E),"")),""))</f>
        <v/>
      </c>
      <c r="X57" s="154" t="str" cm="1">
        <f t="array" ref="X57">IF(Table13[[#This Row],[QUANTITY]]="","",IFERROR(IF(U57&lt;&gt;"",_xlfn.XLOOKUP(I57&amp;J57&amp;V57,PRICES!C:C&amp;PRICES!B:B&amp;PRICES!D:D,PRICES!G:G,"")),""))</f>
        <v/>
      </c>
      <c r="Y57" s="154" t="str">
        <f t="shared" ca="1" si="2"/>
        <v/>
      </c>
      <c r="Z57" s="154" t="str">
        <f t="shared" ca="1" si="3"/>
        <v/>
      </c>
      <c r="AA57" s="154" t="str">
        <f t="shared" ca="1" si="4"/>
        <v/>
      </c>
      <c r="AB57" s="154" t="str">
        <f t="shared" ca="1" si="5"/>
        <v/>
      </c>
      <c r="AC57" s="154" t="str">
        <f t="shared" ca="1" si="0"/>
        <v/>
      </c>
      <c r="AD57" s="154" t="str">
        <f>IF(Table13[[#This Row],[QUANTITY]]="","",
  IF(AND(Y57="",Z57="",AA57="",AB57="",AC57=""),
    U57*X57,
  ""))</f>
        <v/>
      </c>
      <c r="AE57" s="154" t="str">
        <f t="shared" ca="1" si="6"/>
        <v/>
      </c>
      <c r="AF57" s="154" t="str">
        <f t="shared" si="7"/>
        <v/>
      </c>
      <c r="AG57" s="154" t="str" cm="1">
        <f t="array" aca="1" ref="AG57" ca="1">IF(Table13[[#This Row],[TOTAL HIRE COST]]="","",IFERROR(IF(U57&lt;&gt;"",_xlfn.XLOOKUP(J57&amp;I57&amp;V57,PRICES!B:B&amp;PRICES!C:C&amp;PRICES!D:D,PRICES!H:H,"")),""))</f>
        <v/>
      </c>
      <c r="AH57" s="154" t="str" cm="1">
        <f t="array" aca="1" ref="AH57" ca="1">IF(Table13[[#This Row],[TOTAL HIRE COST]]="","",IFERROR(IF(U57&lt;&gt;"",_xlfn.XLOOKUP(J57&amp;I57&amp;V57,PRICES!B:B&amp;PRICES!C:C&amp;PRICES!D:D,PRICES!I:I,"")),""))</f>
        <v/>
      </c>
      <c r="AI57" s="154" t="str">
        <f ca="1">IF(Table13[[#This Row],[TOTAL HIRE COST]]="","",Table13[[#This Row],[TOTAL HIRE COST]]+Table13[[#This Row],[DELIVERY COST]]+Table13[[#This Row],[COLLECTION COST]])</f>
        <v/>
      </c>
      <c r="AJ57" s="153" t="str">
        <f>IF(Table13[[#This Row],[Date to Hire (DH)]]="","",YEAR(Table13[[#This Row],[Date to Hire (DH)]]))</f>
        <v/>
      </c>
      <c r="AK57" s="153" t="str">
        <f>IF(Table13[[#This Row],[Date to Hire (DH)]]="","",MONTH(Table13[[#This Row],[Date to Hire (DH)]]))</f>
        <v/>
      </c>
      <c r="AL57" s="153" t="str">
        <f>IF(Table13[[#This Row],[Date to Hire (DH)]]="","",WEEKNUM(Table13[[#This Row],[Date to Hire (DH)]]))</f>
        <v/>
      </c>
      <c r="AM57" s="153" t="str">
        <f>TEXT(Table13[[#This Row],[YEAR]],"0000")&amp;"-"&amp;Table13[[#This Row],[MONTH]]</f>
        <v>-</v>
      </c>
      <c r="AN57" s="153" t="str">
        <f>IF(Table13[[#This Row],[Date of Planned Offhire (DoPO) / If Applicable]]="","",YEAR(Table13[[#This Row],[Date of Planned Offhire (DoPO) / If Applicable]]))</f>
        <v/>
      </c>
      <c r="AO57" s="153" t="str">
        <f>IF(Table13[[#This Row],[Date of Planned Offhire (DoPO) / If Applicable]]="","",MONTH(Table13[[#This Row],[Date of Planned Offhire (DoPO) / If Applicable]]))</f>
        <v/>
      </c>
      <c r="AP57" s="153" t="str">
        <f>IF(Table13[[#This Row],[Date of Planned Offhire (DoPO) / If Applicable]]="","",WEEKNUM(Table13[[#This Row],[Date of Planned Offhire (DoPO) / If Applicable]]))</f>
        <v/>
      </c>
      <c r="AQ57" s="153" t="str">
        <f>TEXT(Table13[[#This Row],[YEAR2]],"0000")&amp;"-"&amp;Table13[[#This Row],[MONTH2]]</f>
        <v>-</v>
      </c>
      <c r="AR57" s="153" t="str">
        <f>IF(Table13[[#This Row],[Actual Date to Offhire (ADtO)]]="","",YEAR(Table13[[#This Row],[Actual Date to Offhire (ADtO)]]))</f>
        <v/>
      </c>
      <c r="AS57" s="153" t="str">
        <f>IF(Table13[[#This Row],[Actual Date to Offhire (ADtO)]]="","",MONTH(Table13[[#This Row],[Actual Date to Offhire (ADtO)]]))</f>
        <v/>
      </c>
      <c r="AT57" s="153" t="str">
        <f>IF(Table13[[#This Row],[Actual Date to Offhire (ADtO)]]="","",WEEKNUM(Table13[[#This Row],[Actual Date to Offhire (ADtO)]]))</f>
        <v/>
      </c>
      <c r="AU57" s="153" t="str">
        <f>TEXT(Table13[[#This Row],[YEAR3]],"0000")&amp;"-"&amp;Table13[[#This Row],[MONTH3]]</f>
        <v>-</v>
      </c>
      <c r="AV57" s="153">
        <f>IF(E57="",0,
  IF('Delivery Report'!A$2*100+'Delivery Report'!A$5 &lt; YEAR(E57)*100+WEEKNUM(E57), 0,
    IF(OR(G57="", 'Delivery Report'!A$2*100+'Delivery Report'!A$5 &lt;= YEAR(G57)*100+WEEKNUM(G57)),
      IF(LOWER(W57)="hourly", U57*X57*56,
      IF(LOWER(W57)="daily", U57*X57*7,
      IF(LOWER(W57)="weekly", U57*X57,
      IF(LOWER(W57)="monthly", U57*X57*12/52,
      IF(LOWER(W57)="yearly", U57*X57/52,
      IF(LOWER(W57)="one-off", U57*X57,
      0)))))),
    0)))</f>
        <v>0</v>
      </c>
    </row>
    <row r="58" spans="5:48" x14ac:dyDescent="0.3">
      <c r="E58" s="1"/>
      <c r="F58" s="1"/>
      <c r="G58" s="1"/>
      <c r="H58" s="164" t="s">
        <v>317</v>
      </c>
      <c r="P58" s="153" t="str">
        <f t="shared" si="11"/>
        <v/>
      </c>
      <c r="Q58" s="155">
        <f>IF(Table13[[#This Row],[HGVs (Collection)]]="",O58,Table13[[#This Row],[HGVs (Delivery)]]+Table13[[#This Row],[HGVs (Collection)]])</f>
        <v>0</v>
      </c>
      <c r="W58" s="153" t="str" cm="1">
        <f t="array" ref="W58">IF(Table13[[#This Row],[QUANTITY]]="","",IFERROR(IF(V58&lt;&gt;"",_xlfn.XLOOKUP(I58&amp;J58,PRICES!C:C&amp;PRICES!B:B,IF(PRICES!F:F&lt;&gt;"",PRICES!F:F,PRICES!E:E),"")),""))</f>
        <v/>
      </c>
      <c r="X58" s="154" t="str" cm="1">
        <f t="array" ref="X58">IF(Table13[[#This Row],[QUANTITY]]="","",IFERROR(IF(U58&lt;&gt;"",_xlfn.XLOOKUP(I58&amp;J58&amp;V58,PRICES!C:C&amp;PRICES!B:B&amp;PRICES!D:D,PRICES!G:G,"")),""))</f>
        <v/>
      </c>
      <c r="Y58" s="154" t="str">
        <f t="shared" ca="1" si="2"/>
        <v/>
      </c>
      <c r="Z58" s="154" t="str">
        <f t="shared" ca="1" si="3"/>
        <v/>
      </c>
      <c r="AA58" s="154" t="str">
        <f t="shared" ca="1" si="4"/>
        <v/>
      </c>
      <c r="AB58" s="154" t="str">
        <f t="shared" ca="1" si="5"/>
        <v/>
      </c>
      <c r="AC58" s="154" t="str">
        <f t="shared" ca="1" si="0"/>
        <v/>
      </c>
      <c r="AD58" s="154" t="str">
        <f>IF(Table13[[#This Row],[QUANTITY]]="","",
  IF(AND(Y58="",Z58="",AA58="",AB58="",AC58=""),
    U58*X58,
  ""))</f>
        <v/>
      </c>
      <c r="AE58" s="154" t="str">
        <f t="shared" ca="1" si="6"/>
        <v/>
      </c>
      <c r="AF58" s="154" t="str">
        <f t="shared" si="7"/>
        <v/>
      </c>
      <c r="AG58" s="154" t="str" cm="1">
        <f t="array" aca="1" ref="AG58" ca="1">IF(Table13[[#This Row],[TOTAL HIRE COST]]="","",IFERROR(IF(U58&lt;&gt;"",_xlfn.XLOOKUP(J58&amp;I58&amp;V58,PRICES!B:B&amp;PRICES!C:C&amp;PRICES!D:D,PRICES!H:H,"")),""))</f>
        <v/>
      </c>
      <c r="AH58" s="154" t="str" cm="1">
        <f t="array" aca="1" ref="AH58" ca="1">IF(Table13[[#This Row],[TOTAL HIRE COST]]="","",IFERROR(IF(U58&lt;&gt;"",_xlfn.XLOOKUP(J58&amp;I58&amp;V58,PRICES!B:B&amp;PRICES!C:C&amp;PRICES!D:D,PRICES!I:I,"")),""))</f>
        <v/>
      </c>
      <c r="AI58" s="154" t="str">
        <f ca="1">IF(Table13[[#This Row],[TOTAL HIRE COST]]="","",Table13[[#This Row],[TOTAL HIRE COST]]+Table13[[#This Row],[DELIVERY COST]]+Table13[[#This Row],[COLLECTION COST]])</f>
        <v/>
      </c>
      <c r="AJ58" s="153" t="str">
        <f>IF(Table13[[#This Row],[Date to Hire (DH)]]="","",YEAR(Table13[[#This Row],[Date to Hire (DH)]]))</f>
        <v/>
      </c>
      <c r="AK58" s="153" t="str">
        <f>IF(Table13[[#This Row],[Date to Hire (DH)]]="","",MONTH(Table13[[#This Row],[Date to Hire (DH)]]))</f>
        <v/>
      </c>
      <c r="AL58" s="153" t="str">
        <f>IF(Table13[[#This Row],[Date to Hire (DH)]]="","",WEEKNUM(Table13[[#This Row],[Date to Hire (DH)]]))</f>
        <v/>
      </c>
      <c r="AM58" s="153" t="str">
        <f>TEXT(Table13[[#This Row],[YEAR]],"0000")&amp;"-"&amp;Table13[[#This Row],[MONTH]]</f>
        <v>-</v>
      </c>
      <c r="AN58" s="153" t="str">
        <f>IF(Table13[[#This Row],[Date of Planned Offhire (DoPO) / If Applicable]]="","",YEAR(Table13[[#This Row],[Date of Planned Offhire (DoPO) / If Applicable]]))</f>
        <v/>
      </c>
      <c r="AO58" s="153" t="str">
        <f>IF(Table13[[#This Row],[Date of Planned Offhire (DoPO) / If Applicable]]="","",MONTH(Table13[[#This Row],[Date of Planned Offhire (DoPO) / If Applicable]]))</f>
        <v/>
      </c>
      <c r="AP58" s="153" t="str">
        <f>IF(Table13[[#This Row],[Date of Planned Offhire (DoPO) / If Applicable]]="","",WEEKNUM(Table13[[#This Row],[Date of Planned Offhire (DoPO) / If Applicable]]))</f>
        <v/>
      </c>
      <c r="AQ58" s="153" t="str">
        <f>TEXT(Table13[[#This Row],[YEAR2]],"0000")&amp;"-"&amp;Table13[[#This Row],[MONTH2]]</f>
        <v>-</v>
      </c>
      <c r="AR58" s="153" t="str">
        <f>IF(Table13[[#This Row],[Actual Date to Offhire (ADtO)]]="","",YEAR(Table13[[#This Row],[Actual Date to Offhire (ADtO)]]))</f>
        <v/>
      </c>
      <c r="AS58" s="153" t="str">
        <f>IF(Table13[[#This Row],[Actual Date to Offhire (ADtO)]]="","",MONTH(Table13[[#This Row],[Actual Date to Offhire (ADtO)]]))</f>
        <v/>
      </c>
      <c r="AT58" s="153" t="str">
        <f>IF(Table13[[#This Row],[Actual Date to Offhire (ADtO)]]="","",WEEKNUM(Table13[[#This Row],[Actual Date to Offhire (ADtO)]]))</f>
        <v/>
      </c>
      <c r="AU58" s="153" t="str">
        <f>TEXT(Table13[[#This Row],[YEAR3]],"0000")&amp;"-"&amp;Table13[[#This Row],[MONTH3]]</f>
        <v>-</v>
      </c>
      <c r="AV58" s="153">
        <f>IF(E58="",0,
  IF('Delivery Report'!A$2*100+'Delivery Report'!A$5 &lt; YEAR(E58)*100+WEEKNUM(E58), 0,
    IF(OR(G58="", 'Delivery Report'!A$2*100+'Delivery Report'!A$5 &lt;= YEAR(G58)*100+WEEKNUM(G58)),
      IF(LOWER(W58)="hourly", U58*X58*56,
      IF(LOWER(W58)="daily", U58*X58*7,
      IF(LOWER(W58)="weekly", U58*X58,
      IF(LOWER(W58)="monthly", U58*X58*12/52,
      IF(LOWER(W58)="yearly", U58*X58/52,
      IF(LOWER(W58)="one-off", U58*X58,
      0)))))),
    0)))</f>
        <v>0</v>
      </c>
    </row>
    <row r="59" spans="5:48" x14ac:dyDescent="0.3">
      <c r="E59" s="1"/>
      <c r="F59" s="1"/>
      <c r="G59" s="1"/>
      <c r="H59" s="164" t="s">
        <v>317</v>
      </c>
      <c r="P59" s="153" t="str">
        <f t="shared" si="11"/>
        <v/>
      </c>
      <c r="Q59" s="155">
        <f>IF(Table13[[#This Row],[HGVs (Collection)]]="",O59,Table13[[#This Row],[HGVs (Delivery)]]+Table13[[#This Row],[HGVs (Collection)]])</f>
        <v>0</v>
      </c>
      <c r="W59" s="153" t="str" cm="1">
        <f t="array" ref="W59">IF(Table13[[#This Row],[QUANTITY]]="","",IFERROR(IF(V59&lt;&gt;"",_xlfn.XLOOKUP(I59&amp;J59,PRICES!C:C&amp;PRICES!B:B,IF(PRICES!F:F&lt;&gt;"",PRICES!F:F,PRICES!E:E),"")),""))</f>
        <v/>
      </c>
      <c r="X59" s="154" t="str" cm="1">
        <f t="array" ref="X59">IF(Table13[[#This Row],[QUANTITY]]="","",IFERROR(IF(U59&lt;&gt;"",_xlfn.XLOOKUP(I59&amp;J59&amp;V59,PRICES!C:C&amp;PRICES!B:B&amp;PRICES!D:D,PRICES!G:G,"")),""))</f>
        <v/>
      </c>
      <c r="Y59" s="154" t="str">
        <f t="shared" ca="1" si="2"/>
        <v/>
      </c>
      <c r="Z59" s="154" t="str">
        <f t="shared" ca="1" si="3"/>
        <v/>
      </c>
      <c r="AA59" s="154" t="str">
        <f t="shared" ca="1" si="4"/>
        <v/>
      </c>
      <c r="AB59" s="154" t="str">
        <f t="shared" ca="1" si="5"/>
        <v/>
      </c>
      <c r="AC59" s="154" t="str">
        <f t="shared" ca="1" si="0"/>
        <v/>
      </c>
      <c r="AD59" s="154" t="str">
        <f>IF(Table13[[#This Row],[QUANTITY]]="","",
  IF(AND(Y59="",Z59="",AA59="",AB59="",AC59=""),
    U59*X59,
  ""))</f>
        <v/>
      </c>
      <c r="AE59" s="154" t="str">
        <f t="shared" ca="1" si="6"/>
        <v/>
      </c>
      <c r="AF59" s="154" t="str">
        <f t="shared" si="7"/>
        <v/>
      </c>
      <c r="AG59" s="154" t="str" cm="1">
        <f t="array" aca="1" ref="AG59" ca="1">IF(Table13[[#This Row],[TOTAL HIRE COST]]="","",IFERROR(IF(U59&lt;&gt;"",_xlfn.XLOOKUP(J59&amp;I59&amp;V59,PRICES!B:B&amp;PRICES!C:C&amp;PRICES!D:D,PRICES!H:H,"")),""))</f>
        <v/>
      </c>
      <c r="AH59" s="154" t="str" cm="1">
        <f t="array" aca="1" ref="AH59" ca="1">IF(Table13[[#This Row],[TOTAL HIRE COST]]="","",IFERROR(IF(U59&lt;&gt;"",_xlfn.XLOOKUP(J59&amp;I59&amp;V59,PRICES!B:B&amp;PRICES!C:C&amp;PRICES!D:D,PRICES!I:I,"")),""))</f>
        <v/>
      </c>
      <c r="AI59" s="154" t="str">
        <f ca="1">IF(Table13[[#This Row],[TOTAL HIRE COST]]="","",Table13[[#This Row],[TOTAL HIRE COST]]+Table13[[#This Row],[DELIVERY COST]]+Table13[[#This Row],[COLLECTION COST]])</f>
        <v/>
      </c>
      <c r="AJ59" s="153" t="str">
        <f>IF(Table13[[#This Row],[Date to Hire (DH)]]="","",YEAR(Table13[[#This Row],[Date to Hire (DH)]]))</f>
        <v/>
      </c>
      <c r="AK59" s="153" t="str">
        <f>IF(Table13[[#This Row],[Date to Hire (DH)]]="","",MONTH(Table13[[#This Row],[Date to Hire (DH)]]))</f>
        <v/>
      </c>
      <c r="AL59" s="153" t="str">
        <f>IF(Table13[[#This Row],[Date to Hire (DH)]]="","",WEEKNUM(Table13[[#This Row],[Date to Hire (DH)]]))</f>
        <v/>
      </c>
      <c r="AM59" s="153" t="str">
        <f>TEXT(Table13[[#This Row],[YEAR]],"0000")&amp;"-"&amp;Table13[[#This Row],[MONTH]]</f>
        <v>-</v>
      </c>
      <c r="AN59" s="153" t="str">
        <f>IF(Table13[[#This Row],[Date of Planned Offhire (DoPO) / If Applicable]]="","",YEAR(Table13[[#This Row],[Date of Planned Offhire (DoPO) / If Applicable]]))</f>
        <v/>
      </c>
      <c r="AO59" s="153" t="str">
        <f>IF(Table13[[#This Row],[Date of Planned Offhire (DoPO) / If Applicable]]="","",MONTH(Table13[[#This Row],[Date of Planned Offhire (DoPO) / If Applicable]]))</f>
        <v/>
      </c>
      <c r="AP59" s="153" t="str">
        <f>IF(Table13[[#This Row],[Date of Planned Offhire (DoPO) / If Applicable]]="","",WEEKNUM(Table13[[#This Row],[Date of Planned Offhire (DoPO) / If Applicable]]))</f>
        <v/>
      </c>
      <c r="AQ59" s="153" t="str">
        <f>TEXT(Table13[[#This Row],[YEAR2]],"0000")&amp;"-"&amp;Table13[[#This Row],[MONTH2]]</f>
        <v>-</v>
      </c>
      <c r="AR59" s="153" t="str">
        <f>IF(Table13[[#This Row],[Actual Date to Offhire (ADtO)]]="","",YEAR(Table13[[#This Row],[Actual Date to Offhire (ADtO)]]))</f>
        <v/>
      </c>
      <c r="AS59" s="153" t="str">
        <f>IF(Table13[[#This Row],[Actual Date to Offhire (ADtO)]]="","",MONTH(Table13[[#This Row],[Actual Date to Offhire (ADtO)]]))</f>
        <v/>
      </c>
      <c r="AT59" s="153" t="str">
        <f>IF(Table13[[#This Row],[Actual Date to Offhire (ADtO)]]="","",WEEKNUM(Table13[[#This Row],[Actual Date to Offhire (ADtO)]]))</f>
        <v/>
      </c>
      <c r="AU59" s="153" t="str">
        <f>TEXT(Table13[[#This Row],[YEAR3]],"0000")&amp;"-"&amp;Table13[[#This Row],[MONTH3]]</f>
        <v>-</v>
      </c>
      <c r="AV59" s="153">
        <f>IF(E59="",0,
  IF('Delivery Report'!A$2*100+'Delivery Report'!A$5 &lt; YEAR(E59)*100+WEEKNUM(E59), 0,
    IF(OR(G59="", 'Delivery Report'!A$2*100+'Delivery Report'!A$5 &lt;= YEAR(G59)*100+WEEKNUM(G59)),
      IF(LOWER(W59)="hourly", U59*X59*56,
      IF(LOWER(W59)="daily", U59*X59*7,
      IF(LOWER(W59)="weekly", U59*X59,
      IF(LOWER(W59)="monthly", U59*X59*12/52,
      IF(LOWER(W59)="yearly", U59*X59/52,
      IF(LOWER(W59)="one-off", U59*X59,
      0)))))),
    0)))</f>
        <v>0</v>
      </c>
    </row>
    <row r="60" spans="5:48" x14ac:dyDescent="0.3">
      <c r="E60" s="1"/>
      <c r="F60" s="1"/>
      <c r="G60" s="1"/>
      <c r="H60" s="164" t="s">
        <v>317</v>
      </c>
      <c r="P60" s="153" t="str">
        <f t="shared" si="11"/>
        <v/>
      </c>
      <c r="Q60" s="155">
        <f>IF(Table13[[#This Row],[HGVs (Collection)]]="",O60,Table13[[#This Row],[HGVs (Delivery)]]+Table13[[#This Row],[HGVs (Collection)]])</f>
        <v>0</v>
      </c>
      <c r="W60" s="153" t="str" cm="1">
        <f t="array" ref="W60">IF(Table13[[#This Row],[QUANTITY]]="","",IFERROR(IF(V60&lt;&gt;"",_xlfn.XLOOKUP(I60&amp;J60,PRICES!C:C&amp;PRICES!B:B,IF(PRICES!F:F&lt;&gt;"",PRICES!F:F,PRICES!E:E),"")),""))</f>
        <v/>
      </c>
      <c r="X60" s="154" t="str" cm="1">
        <f t="array" ref="X60">IF(Table13[[#This Row],[QUANTITY]]="","",IFERROR(IF(U60&lt;&gt;"",_xlfn.XLOOKUP(I60&amp;J60&amp;V60,PRICES!C:C&amp;PRICES!B:B&amp;PRICES!D:D,PRICES!G:G,"")),""))</f>
        <v/>
      </c>
      <c r="Y60" s="154" t="str">
        <f t="shared" ca="1" si="2"/>
        <v/>
      </c>
      <c r="Z60" s="154" t="str">
        <f t="shared" ca="1" si="3"/>
        <v/>
      </c>
      <c r="AA60" s="154" t="str">
        <f t="shared" ca="1" si="4"/>
        <v/>
      </c>
      <c r="AB60" s="154" t="str">
        <f t="shared" ca="1" si="5"/>
        <v/>
      </c>
      <c r="AC60" s="154" t="str">
        <f t="shared" ca="1" si="0"/>
        <v/>
      </c>
      <c r="AD60" s="154" t="str">
        <f>IF(Table13[[#This Row],[QUANTITY]]="","",
  IF(AND(Y60="",Z60="",AA60="",AB60="",AC60=""),
    U60*X60,
  ""))</f>
        <v/>
      </c>
      <c r="AE60" s="154" t="str">
        <f t="shared" ca="1" si="6"/>
        <v/>
      </c>
      <c r="AF60" s="154" t="str">
        <f t="shared" si="7"/>
        <v/>
      </c>
      <c r="AG60" s="154" t="str" cm="1">
        <f t="array" aca="1" ref="AG60" ca="1">IF(Table13[[#This Row],[TOTAL HIRE COST]]="","",IFERROR(IF(U60&lt;&gt;"",_xlfn.XLOOKUP(J60&amp;I60&amp;V60,PRICES!B:B&amp;PRICES!C:C&amp;PRICES!D:D,PRICES!H:H,"")),""))</f>
        <v/>
      </c>
      <c r="AH60" s="154" t="str" cm="1">
        <f t="array" aca="1" ref="AH60" ca="1">IF(Table13[[#This Row],[TOTAL HIRE COST]]="","",IFERROR(IF(U60&lt;&gt;"",_xlfn.XLOOKUP(J60&amp;I60&amp;V60,PRICES!B:B&amp;PRICES!C:C&amp;PRICES!D:D,PRICES!I:I,"")),""))</f>
        <v/>
      </c>
      <c r="AI60" s="154" t="str">
        <f ca="1">IF(Table13[[#This Row],[TOTAL HIRE COST]]="","",Table13[[#This Row],[TOTAL HIRE COST]]+Table13[[#This Row],[DELIVERY COST]]+Table13[[#This Row],[COLLECTION COST]])</f>
        <v/>
      </c>
      <c r="AJ60" s="153" t="str">
        <f>IF(Table13[[#This Row],[Date to Hire (DH)]]="","",YEAR(Table13[[#This Row],[Date to Hire (DH)]]))</f>
        <v/>
      </c>
      <c r="AK60" s="153" t="str">
        <f>IF(Table13[[#This Row],[Date to Hire (DH)]]="","",MONTH(Table13[[#This Row],[Date to Hire (DH)]]))</f>
        <v/>
      </c>
      <c r="AL60" s="153" t="str">
        <f>IF(Table13[[#This Row],[Date to Hire (DH)]]="","",WEEKNUM(Table13[[#This Row],[Date to Hire (DH)]]))</f>
        <v/>
      </c>
      <c r="AM60" s="153" t="str">
        <f>TEXT(Table13[[#This Row],[YEAR]],"0000")&amp;"-"&amp;Table13[[#This Row],[MONTH]]</f>
        <v>-</v>
      </c>
      <c r="AN60" s="153" t="str">
        <f>IF(Table13[[#This Row],[Date of Planned Offhire (DoPO) / If Applicable]]="","",YEAR(Table13[[#This Row],[Date of Planned Offhire (DoPO) / If Applicable]]))</f>
        <v/>
      </c>
      <c r="AO60" s="153" t="str">
        <f>IF(Table13[[#This Row],[Date of Planned Offhire (DoPO) / If Applicable]]="","",MONTH(Table13[[#This Row],[Date of Planned Offhire (DoPO) / If Applicable]]))</f>
        <v/>
      </c>
      <c r="AP60" s="153" t="str">
        <f>IF(Table13[[#This Row],[Date of Planned Offhire (DoPO) / If Applicable]]="","",WEEKNUM(Table13[[#This Row],[Date of Planned Offhire (DoPO) / If Applicable]]))</f>
        <v/>
      </c>
      <c r="AQ60" s="153" t="str">
        <f>TEXT(Table13[[#This Row],[YEAR2]],"0000")&amp;"-"&amp;Table13[[#This Row],[MONTH2]]</f>
        <v>-</v>
      </c>
      <c r="AR60" s="153" t="str">
        <f>IF(Table13[[#This Row],[Actual Date to Offhire (ADtO)]]="","",YEAR(Table13[[#This Row],[Actual Date to Offhire (ADtO)]]))</f>
        <v/>
      </c>
      <c r="AS60" s="153" t="str">
        <f>IF(Table13[[#This Row],[Actual Date to Offhire (ADtO)]]="","",MONTH(Table13[[#This Row],[Actual Date to Offhire (ADtO)]]))</f>
        <v/>
      </c>
      <c r="AT60" s="153" t="str">
        <f>IF(Table13[[#This Row],[Actual Date to Offhire (ADtO)]]="","",WEEKNUM(Table13[[#This Row],[Actual Date to Offhire (ADtO)]]))</f>
        <v/>
      </c>
      <c r="AU60" s="153" t="str">
        <f>TEXT(Table13[[#This Row],[YEAR3]],"0000")&amp;"-"&amp;Table13[[#This Row],[MONTH3]]</f>
        <v>-</v>
      </c>
      <c r="AV60" s="153">
        <f>IF(E60="",0,
  IF('Delivery Report'!A$2*100+'Delivery Report'!A$5 &lt; YEAR(E60)*100+WEEKNUM(E60), 0,
    IF(OR(G60="", 'Delivery Report'!A$2*100+'Delivery Report'!A$5 &lt;= YEAR(G60)*100+WEEKNUM(G60)),
      IF(LOWER(W60)="hourly", U60*X60*56,
      IF(LOWER(W60)="daily", U60*X60*7,
      IF(LOWER(W60)="weekly", U60*X60,
      IF(LOWER(W60)="monthly", U60*X60*12/52,
      IF(LOWER(W60)="yearly", U60*X60/52,
      IF(LOWER(W60)="one-off", U60*X60,
      0)))))),
    0)))</f>
        <v>0</v>
      </c>
    </row>
    <row r="61" spans="5:48" x14ac:dyDescent="0.3">
      <c r="E61" s="1"/>
      <c r="F61" s="1"/>
      <c r="G61" s="1"/>
      <c r="H61" s="164" t="s">
        <v>315</v>
      </c>
      <c r="P61" s="153" t="str">
        <f t="shared" si="11"/>
        <v/>
      </c>
      <c r="Q61" s="155">
        <f>IF(Table13[[#This Row],[HGVs (Collection)]]="",O61,Table13[[#This Row],[HGVs (Delivery)]]+Table13[[#This Row],[HGVs (Collection)]])</f>
        <v>0</v>
      </c>
      <c r="W61" s="153" t="str" cm="1">
        <f t="array" ref="W61">IF(Table13[[#This Row],[QUANTITY]]="","",IFERROR(IF(V61&lt;&gt;"",_xlfn.XLOOKUP(I61&amp;J61,PRICES!C:C&amp;PRICES!B:B,IF(PRICES!F:F&lt;&gt;"",PRICES!F:F,PRICES!E:E),"")),""))</f>
        <v/>
      </c>
      <c r="X61" s="154" t="str" cm="1">
        <f t="array" ref="X61">IF(Table13[[#This Row],[QUANTITY]]="","",IFERROR(IF(U61&lt;&gt;"",_xlfn.XLOOKUP(I61&amp;J61&amp;V61,PRICES!C:C&amp;PRICES!B:B&amp;PRICES!D:D,PRICES!G:G,"")),""))</f>
        <v/>
      </c>
      <c r="Y61" s="154" t="str">
        <f t="shared" ca="1" si="2"/>
        <v/>
      </c>
      <c r="Z61" s="154" t="str">
        <f t="shared" ca="1" si="3"/>
        <v/>
      </c>
      <c r="AA61" s="154" t="str">
        <f t="shared" ca="1" si="4"/>
        <v/>
      </c>
      <c r="AB61" s="154" t="str">
        <f t="shared" ca="1" si="5"/>
        <v/>
      </c>
      <c r="AC61" s="154" t="str">
        <f t="shared" ca="1" si="0"/>
        <v/>
      </c>
      <c r="AD61" s="154" t="str">
        <f>IF(Table13[[#This Row],[QUANTITY]]="","",
  IF(AND(Y61="",Z61="",AA61="",AB61="",AC61=""),
    U61*X61,
  ""))</f>
        <v/>
      </c>
      <c r="AE61" s="154" t="str">
        <f t="shared" ca="1" si="6"/>
        <v/>
      </c>
      <c r="AF61" s="154" t="str">
        <f t="shared" si="7"/>
        <v/>
      </c>
      <c r="AG61" s="154" t="str" cm="1">
        <f t="array" aca="1" ref="AG61" ca="1">IF(Table13[[#This Row],[TOTAL HIRE COST]]="","",IFERROR(IF(U61&lt;&gt;"",_xlfn.XLOOKUP(J61&amp;I61&amp;V61,PRICES!B:B&amp;PRICES!C:C&amp;PRICES!D:D,PRICES!H:H,"")),""))</f>
        <v/>
      </c>
      <c r="AH61" s="154" t="str" cm="1">
        <f t="array" aca="1" ref="AH61" ca="1">IF(Table13[[#This Row],[TOTAL HIRE COST]]="","",IFERROR(IF(U61&lt;&gt;"",_xlfn.XLOOKUP(J61&amp;I61&amp;V61,PRICES!B:B&amp;PRICES!C:C&amp;PRICES!D:D,PRICES!I:I,"")),""))</f>
        <v/>
      </c>
      <c r="AI61" s="154" t="str">
        <f ca="1">IF(Table13[[#This Row],[TOTAL HIRE COST]]="","",Table13[[#This Row],[TOTAL HIRE COST]]+Table13[[#This Row],[DELIVERY COST]]+Table13[[#This Row],[COLLECTION COST]])</f>
        <v/>
      </c>
      <c r="AJ61" s="153" t="str">
        <f>IF(Table13[[#This Row],[Date to Hire (DH)]]="","",YEAR(Table13[[#This Row],[Date to Hire (DH)]]))</f>
        <v/>
      </c>
      <c r="AK61" s="153" t="str">
        <f>IF(Table13[[#This Row],[Date to Hire (DH)]]="","",MONTH(Table13[[#This Row],[Date to Hire (DH)]]))</f>
        <v/>
      </c>
      <c r="AL61" s="153" t="str">
        <f>IF(Table13[[#This Row],[Date to Hire (DH)]]="","",WEEKNUM(Table13[[#This Row],[Date to Hire (DH)]]))</f>
        <v/>
      </c>
      <c r="AM61" s="153" t="str">
        <f>TEXT(Table13[[#This Row],[YEAR]],"0000")&amp;"-"&amp;Table13[[#This Row],[MONTH]]</f>
        <v>-</v>
      </c>
      <c r="AN61" s="153" t="str">
        <f>IF(Table13[[#This Row],[Date of Planned Offhire (DoPO) / If Applicable]]="","",YEAR(Table13[[#This Row],[Date of Planned Offhire (DoPO) / If Applicable]]))</f>
        <v/>
      </c>
      <c r="AO61" s="153" t="str">
        <f>IF(Table13[[#This Row],[Date of Planned Offhire (DoPO) / If Applicable]]="","",MONTH(Table13[[#This Row],[Date of Planned Offhire (DoPO) / If Applicable]]))</f>
        <v/>
      </c>
      <c r="AP61" s="153" t="str">
        <f>IF(Table13[[#This Row],[Date of Planned Offhire (DoPO) / If Applicable]]="","",WEEKNUM(Table13[[#This Row],[Date of Planned Offhire (DoPO) / If Applicable]]))</f>
        <v/>
      </c>
      <c r="AQ61" s="153" t="str">
        <f>TEXT(Table13[[#This Row],[YEAR2]],"0000")&amp;"-"&amp;Table13[[#This Row],[MONTH2]]</f>
        <v>-</v>
      </c>
      <c r="AR61" s="153" t="str">
        <f>IF(Table13[[#This Row],[Actual Date to Offhire (ADtO)]]="","",YEAR(Table13[[#This Row],[Actual Date to Offhire (ADtO)]]))</f>
        <v/>
      </c>
      <c r="AS61" s="153" t="str">
        <f>IF(Table13[[#This Row],[Actual Date to Offhire (ADtO)]]="","",MONTH(Table13[[#This Row],[Actual Date to Offhire (ADtO)]]))</f>
        <v/>
      </c>
      <c r="AT61" s="153" t="str">
        <f>IF(Table13[[#This Row],[Actual Date to Offhire (ADtO)]]="","",WEEKNUM(Table13[[#This Row],[Actual Date to Offhire (ADtO)]]))</f>
        <v/>
      </c>
      <c r="AU61" s="153" t="str">
        <f>TEXT(Table13[[#This Row],[YEAR3]],"0000")&amp;"-"&amp;Table13[[#This Row],[MONTH3]]</f>
        <v>-</v>
      </c>
      <c r="AV61" s="153">
        <f>IF(E61="",0,
  IF('Delivery Report'!A$2*100+'Delivery Report'!A$5 &lt; YEAR(E61)*100+WEEKNUM(E61), 0,
    IF(OR(G61="", 'Delivery Report'!A$2*100+'Delivery Report'!A$5 &lt;= YEAR(G61)*100+WEEKNUM(G61)),
      IF(LOWER(W61)="hourly", U61*X61*56,
      IF(LOWER(W61)="daily", U61*X61*7,
      IF(LOWER(W61)="weekly", U61*X61,
      IF(LOWER(W61)="monthly", U61*X61*12/52,
      IF(LOWER(W61)="yearly", U61*X61/52,
      IF(LOWER(W61)="one-off", U61*X61,
      0)))))),
    0)))</f>
        <v>0</v>
      </c>
    </row>
    <row r="62" spans="5:48" x14ac:dyDescent="0.3">
      <c r="E62" s="1"/>
      <c r="F62" s="1"/>
      <c r="G62" s="1"/>
      <c r="H62" s="164" t="s">
        <v>315</v>
      </c>
      <c r="P62" s="153" t="str">
        <f t="shared" si="11"/>
        <v/>
      </c>
      <c r="Q62" s="155">
        <f>IF(Table13[[#This Row],[HGVs (Collection)]]="",O62,Table13[[#This Row],[HGVs (Delivery)]]+Table13[[#This Row],[HGVs (Collection)]])</f>
        <v>0</v>
      </c>
      <c r="W62" s="153" t="str" cm="1">
        <f t="array" ref="W62">IF(Table13[[#This Row],[QUANTITY]]="","",IFERROR(IF(V62&lt;&gt;"",_xlfn.XLOOKUP(I62&amp;J62,PRICES!C:C&amp;PRICES!B:B,IF(PRICES!F:F&lt;&gt;"",PRICES!F:F,PRICES!E:E),"")),""))</f>
        <v/>
      </c>
      <c r="X62" s="154" t="str" cm="1">
        <f t="array" ref="X62">IF(Table13[[#This Row],[QUANTITY]]="","",IFERROR(IF(U62&lt;&gt;"",_xlfn.XLOOKUP(I62&amp;J62&amp;V62,PRICES!C:C&amp;PRICES!B:B&amp;PRICES!D:D,PRICES!G:G,"")),""))</f>
        <v/>
      </c>
      <c r="Y62" s="154" t="str">
        <f t="shared" ca="1" si="2"/>
        <v/>
      </c>
      <c r="Z62" s="154" t="str">
        <f t="shared" ca="1" si="3"/>
        <v/>
      </c>
      <c r="AA62" s="154" t="str">
        <f t="shared" ca="1" si="4"/>
        <v/>
      </c>
      <c r="AB62" s="154" t="str">
        <f t="shared" ca="1" si="5"/>
        <v/>
      </c>
      <c r="AC62" s="154" t="str">
        <f t="shared" ca="1" si="0"/>
        <v/>
      </c>
      <c r="AD62" s="154" t="str">
        <f>IF(Table13[[#This Row],[QUANTITY]]="","",
  IF(AND(Y62="",Z62="",AA62="",AB62="",AC62=""),
    U62*X62,
  ""))</f>
        <v/>
      </c>
      <c r="AE62" s="154" t="str">
        <f t="shared" ca="1" si="6"/>
        <v/>
      </c>
      <c r="AF62" s="154" t="str">
        <f t="shared" si="7"/>
        <v/>
      </c>
      <c r="AG62" s="154" t="str" cm="1">
        <f t="array" aca="1" ref="AG62" ca="1">IF(Table13[[#This Row],[TOTAL HIRE COST]]="","",IFERROR(IF(U62&lt;&gt;"",_xlfn.XLOOKUP(J62&amp;I62&amp;V62,PRICES!B:B&amp;PRICES!C:C&amp;PRICES!D:D,PRICES!H:H,"")),""))</f>
        <v/>
      </c>
      <c r="AH62" s="154" t="str" cm="1">
        <f t="array" aca="1" ref="AH62" ca="1">IF(Table13[[#This Row],[TOTAL HIRE COST]]="","",IFERROR(IF(U62&lt;&gt;"",_xlfn.XLOOKUP(J62&amp;I62&amp;V62,PRICES!B:B&amp;PRICES!C:C&amp;PRICES!D:D,PRICES!I:I,"")),""))</f>
        <v/>
      </c>
      <c r="AI62" s="154" t="str">
        <f ca="1">IF(Table13[[#This Row],[TOTAL HIRE COST]]="","",Table13[[#This Row],[TOTAL HIRE COST]]+Table13[[#This Row],[DELIVERY COST]]+Table13[[#This Row],[COLLECTION COST]])</f>
        <v/>
      </c>
      <c r="AJ62" s="153" t="str">
        <f>IF(Table13[[#This Row],[Date to Hire (DH)]]="","",YEAR(Table13[[#This Row],[Date to Hire (DH)]]))</f>
        <v/>
      </c>
      <c r="AK62" s="153" t="str">
        <f>IF(Table13[[#This Row],[Date to Hire (DH)]]="","",MONTH(Table13[[#This Row],[Date to Hire (DH)]]))</f>
        <v/>
      </c>
      <c r="AL62" s="153" t="str">
        <f>IF(Table13[[#This Row],[Date to Hire (DH)]]="","",WEEKNUM(Table13[[#This Row],[Date to Hire (DH)]]))</f>
        <v/>
      </c>
      <c r="AM62" s="153" t="str">
        <f>TEXT(Table13[[#This Row],[YEAR]],"0000")&amp;"-"&amp;Table13[[#This Row],[MONTH]]</f>
        <v>-</v>
      </c>
      <c r="AN62" s="153" t="str">
        <f>IF(Table13[[#This Row],[Date of Planned Offhire (DoPO) / If Applicable]]="","",YEAR(Table13[[#This Row],[Date of Planned Offhire (DoPO) / If Applicable]]))</f>
        <v/>
      </c>
      <c r="AO62" s="153" t="str">
        <f>IF(Table13[[#This Row],[Date of Planned Offhire (DoPO) / If Applicable]]="","",MONTH(Table13[[#This Row],[Date of Planned Offhire (DoPO) / If Applicable]]))</f>
        <v/>
      </c>
      <c r="AP62" s="153" t="str">
        <f>IF(Table13[[#This Row],[Date of Planned Offhire (DoPO) / If Applicable]]="","",WEEKNUM(Table13[[#This Row],[Date of Planned Offhire (DoPO) / If Applicable]]))</f>
        <v/>
      </c>
      <c r="AQ62" s="153" t="str">
        <f>TEXT(Table13[[#This Row],[YEAR2]],"0000")&amp;"-"&amp;Table13[[#This Row],[MONTH2]]</f>
        <v>-</v>
      </c>
      <c r="AR62" s="153" t="str">
        <f>IF(Table13[[#This Row],[Actual Date to Offhire (ADtO)]]="","",YEAR(Table13[[#This Row],[Actual Date to Offhire (ADtO)]]))</f>
        <v/>
      </c>
      <c r="AS62" s="153" t="str">
        <f>IF(Table13[[#This Row],[Actual Date to Offhire (ADtO)]]="","",MONTH(Table13[[#This Row],[Actual Date to Offhire (ADtO)]]))</f>
        <v/>
      </c>
      <c r="AT62" s="153" t="str">
        <f>IF(Table13[[#This Row],[Actual Date to Offhire (ADtO)]]="","",WEEKNUM(Table13[[#This Row],[Actual Date to Offhire (ADtO)]]))</f>
        <v/>
      </c>
      <c r="AU62" s="153" t="str">
        <f>TEXT(Table13[[#This Row],[YEAR3]],"0000")&amp;"-"&amp;Table13[[#This Row],[MONTH3]]</f>
        <v>-</v>
      </c>
      <c r="AV62" s="153">
        <f>IF(E62="",0,
  IF('Delivery Report'!A$2*100+'Delivery Report'!A$5 &lt; YEAR(E62)*100+WEEKNUM(E62), 0,
    IF(OR(G62="", 'Delivery Report'!A$2*100+'Delivery Report'!A$5 &lt;= YEAR(G62)*100+WEEKNUM(G62)),
      IF(LOWER(W62)="hourly", U62*X62*56,
      IF(LOWER(W62)="daily", U62*X62*7,
      IF(LOWER(W62)="weekly", U62*X62,
      IF(LOWER(W62)="monthly", U62*X62*12/52,
      IF(LOWER(W62)="yearly", U62*X62/52,
      IF(LOWER(W62)="one-off", U62*X62,
      0)))))),
    0)))</f>
        <v>0</v>
      </c>
    </row>
    <row r="63" spans="5:48" x14ac:dyDescent="0.3">
      <c r="E63" s="1"/>
      <c r="F63" s="1"/>
      <c r="G63" s="1"/>
      <c r="H63" s="164" t="s">
        <v>317</v>
      </c>
      <c r="P63" s="153" t="str">
        <f t="shared" si="11"/>
        <v/>
      </c>
      <c r="Q63" s="155">
        <f>IF(Table13[[#This Row],[HGVs (Collection)]]="",O63,Table13[[#This Row],[HGVs (Delivery)]]+Table13[[#This Row],[HGVs (Collection)]])</f>
        <v>0</v>
      </c>
      <c r="W63" s="153" t="str" cm="1">
        <f t="array" ref="W63">IF(Table13[[#This Row],[QUANTITY]]="","",IFERROR(IF(V63&lt;&gt;"",_xlfn.XLOOKUP(I63&amp;J63,PRICES!C:C&amp;PRICES!B:B,IF(PRICES!F:F&lt;&gt;"",PRICES!F:F,PRICES!E:E),"")),""))</f>
        <v/>
      </c>
      <c r="X63" s="154" t="str" cm="1">
        <f t="array" ref="X63">IF(Table13[[#This Row],[QUANTITY]]="","",IFERROR(IF(U63&lt;&gt;"",_xlfn.XLOOKUP(I63&amp;J63&amp;V63,PRICES!C:C&amp;PRICES!B:B&amp;PRICES!D:D,PRICES!G:G,"")),""))</f>
        <v/>
      </c>
      <c r="Y63" s="154" t="str">
        <f t="shared" ca="1" si="2"/>
        <v/>
      </c>
      <c r="Z63" s="154" t="str">
        <f t="shared" ca="1" si="3"/>
        <v/>
      </c>
      <c r="AA63" s="154" t="str">
        <f t="shared" ca="1" si="4"/>
        <v/>
      </c>
      <c r="AB63" s="154" t="str">
        <f t="shared" ca="1" si="5"/>
        <v/>
      </c>
      <c r="AC63" s="154" t="str">
        <f t="shared" ca="1" si="0"/>
        <v/>
      </c>
      <c r="AD63" s="154" t="str">
        <f>IF(Table13[[#This Row],[QUANTITY]]="","",
  IF(AND(Y63="",Z63="",AA63="",AB63="",AC63=""),
    U63*X63,
  ""))</f>
        <v/>
      </c>
      <c r="AE63" s="154" t="str">
        <f t="shared" ca="1" si="6"/>
        <v/>
      </c>
      <c r="AF63" s="154" t="str">
        <f t="shared" si="7"/>
        <v/>
      </c>
      <c r="AG63" s="154" t="str" cm="1">
        <f t="array" aca="1" ref="AG63" ca="1">IF(Table13[[#This Row],[TOTAL HIRE COST]]="","",IFERROR(IF(U63&lt;&gt;"",_xlfn.XLOOKUP(J63&amp;I63&amp;V63,PRICES!B:B&amp;PRICES!C:C&amp;PRICES!D:D,PRICES!H:H,"")),""))</f>
        <v/>
      </c>
      <c r="AH63" s="154" t="str" cm="1">
        <f t="array" aca="1" ref="AH63" ca="1">IF(Table13[[#This Row],[TOTAL HIRE COST]]="","",IFERROR(IF(U63&lt;&gt;"",_xlfn.XLOOKUP(J63&amp;I63&amp;V63,PRICES!B:B&amp;PRICES!C:C&amp;PRICES!D:D,PRICES!I:I,"")),""))</f>
        <v/>
      </c>
      <c r="AI63" s="154" t="str">
        <f ca="1">IF(Table13[[#This Row],[TOTAL HIRE COST]]="","",Table13[[#This Row],[TOTAL HIRE COST]]+Table13[[#This Row],[DELIVERY COST]]+Table13[[#This Row],[COLLECTION COST]])</f>
        <v/>
      </c>
      <c r="AJ63" s="153" t="str">
        <f>IF(Table13[[#This Row],[Date to Hire (DH)]]="","",YEAR(Table13[[#This Row],[Date to Hire (DH)]]))</f>
        <v/>
      </c>
      <c r="AK63" s="153" t="str">
        <f>IF(Table13[[#This Row],[Date to Hire (DH)]]="","",MONTH(Table13[[#This Row],[Date to Hire (DH)]]))</f>
        <v/>
      </c>
      <c r="AL63" s="153" t="str">
        <f>IF(Table13[[#This Row],[Date to Hire (DH)]]="","",WEEKNUM(Table13[[#This Row],[Date to Hire (DH)]]))</f>
        <v/>
      </c>
      <c r="AM63" s="153" t="str">
        <f>TEXT(Table13[[#This Row],[YEAR]],"0000")&amp;"-"&amp;Table13[[#This Row],[MONTH]]</f>
        <v>-</v>
      </c>
      <c r="AN63" s="153" t="str">
        <f>IF(Table13[[#This Row],[Date of Planned Offhire (DoPO) / If Applicable]]="","",YEAR(Table13[[#This Row],[Date of Planned Offhire (DoPO) / If Applicable]]))</f>
        <v/>
      </c>
      <c r="AO63" s="153" t="str">
        <f>IF(Table13[[#This Row],[Date of Planned Offhire (DoPO) / If Applicable]]="","",MONTH(Table13[[#This Row],[Date of Planned Offhire (DoPO) / If Applicable]]))</f>
        <v/>
      </c>
      <c r="AP63" s="153" t="str">
        <f>IF(Table13[[#This Row],[Date of Planned Offhire (DoPO) / If Applicable]]="","",WEEKNUM(Table13[[#This Row],[Date of Planned Offhire (DoPO) / If Applicable]]))</f>
        <v/>
      </c>
      <c r="AQ63" s="153" t="str">
        <f>TEXT(Table13[[#This Row],[YEAR2]],"0000")&amp;"-"&amp;Table13[[#This Row],[MONTH2]]</f>
        <v>-</v>
      </c>
      <c r="AR63" s="153" t="str">
        <f>IF(Table13[[#This Row],[Actual Date to Offhire (ADtO)]]="","",YEAR(Table13[[#This Row],[Actual Date to Offhire (ADtO)]]))</f>
        <v/>
      </c>
      <c r="AS63" s="153" t="str">
        <f>IF(Table13[[#This Row],[Actual Date to Offhire (ADtO)]]="","",MONTH(Table13[[#This Row],[Actual Date to Offhire (ADtO)]]))</f>
        <v/>
      </c>
      <c r="AT63" s="153" t="str">
        <f>IF(Table13[[#This Row],[Actual Date to Offhire (ADtO)]]="","",WEEKNUM(Table13[[#This Row],[Actual Date to Offhire (ADtO)]]))</f>
        <v/>
      </c>
      <c r="AU63" s="153" t="str">
        <f>TEXT(Table13[[#This Row],[YEAR3]],"0000")&amp;"-"&amp;Table13[[#This Row],[MONTH3]]</f>
        <v>-</v>
      </c>
      <c r="AV63" s="153">
        <f>IF(E63="",0,
  IF('Delivery Report'!A$2*100+'Delivery Report'!A$5 &lt; YEAR(E63)*100+WEEKNUM(E63), 0,
    IF(OR(G63="", 'Delivery Report'!A$2*100+'Delivery Report'!A$5 &lt;= YEAR(G63)*100+WEEKNUM(G63)),
      IF(LOWER(W63)="hourly", U63*X63*56,
      IF(LOWER(W63)="daily", U63*X63*7,
      IF(LOWER(W63)="weekly", U63*X63,
      IF(LOWER(W63)="monthly", U63*X63*12/52,
      IF(LOWER(W63)="yearly", U63*X63/52,
      IF(LOWER(W63)="one-off", U63*X63,
      0)))))),
    0)))</f>
        <v>0</v>
      </c>
    </row>
    <row r="64" spans="5:48" x14ac:dyDescent="0.3">
      <c r="E64" s="1"/>
      <c r="F64" s="1"/>
      <c r="G64" s="1"/>
      <c r="H64" s="164" t="s">
        <v>317</v>
      </c>
      <c r="P64" s="153" t="str">
        <f t="shared" si="11"/>
        <v/>
      </c>
      <c r="Q64" s="155">
        <f>IF(Table13[[#This Row],[HGVs (Collection)]]="",O64,Table13[[#This Row],[HGVs (Delivery)]]+Table13[[#This Row],[HGVs (Collection)]])</f>
        <v>0</v>
      </c>
      <c r="W64" s="153" t="str" cm="1">
        <f t="array" ref="W64">IF(Table13[[#This Row],[QUANTITY]]="","",IFERROR(IF(V64&lt;&gt;"",_xlfn.XLOOKUP(I64&amp;J64,PRICES!C:C&amp;PRICES!B:B,IF(PRICES!F:F&lt;&gt;"",PRICES!F:F,PRICES!E:E),"")),""))</f>
        <v/>
      </c>
      <c r="X64" s="154" t="str" cm="1">
        <f t="array" ref="X64">IF(Table13[[#This Row],[QUANTITY]]="","",IFERROR(IF(U64&lt;&gt;"",_xlfn.XLOOKUP(I64&amp;J64&amp;V64,PRICES!C:C&amp;PRICES!B:B&amp;PRICES!D:D,PRICES!G:G,"")),""))</f>
        <v/>
      </c>
      <c r="Y64" s="154" t="str">
        <f t="shared" ca="1" si="2"/>
        <v/>
      </c>
      <c r="Z64" s="154" t="str">
        <f t="shared" ca="1" si="3"/>
        <v/>
      </c>
      <c r="AA64" s="154" t="str">
        <f t="shared" ca="1" si="4"/>
        <v/>
      </c>
      <c r="AB64" s="154" t="str">
        <f t="shared" ca="1" si="5"/>
        <v/>
      </c>
      <c r="AC64" s="154" t="str">
        <f t="shared" ca="1" si="0"/>
        <v/>
      </c>
      <c r="AD64" s="154" t="str">
        <f>IF(Table13[[#This Row],[QUANTITY]]="","",
  IF(AND(Y64="",Z64="",AA64="",AB64="",AC64=""),
    U64*X64,
  ""))</f>
        <v/>
      </c>
      <c r="AE64" s="154" t="str">
        <f t="shared" ca="1" si="6"/>
        <v/>
      </c>
      <c r="AF64" s="154" t="str">
        <f t="shared" si="7"/>
        <v/>
      </c>
      <c r="AG64" s="154" t="str" cm="1">
        <f t="array" aca="1" ref="AG64" ca="1">IF(Table13[[#This Row],[TOTAL HIRE COST]]="","",IFERROR(IF(U64&lt;&gt;"",_xlfn.XLOOKUP(J64&amp;I64&amp;V64,PRICES!B:B&amp;PRICES!C:C&amp;PRICES!D:D,PRICES!H:H,"")),""))</f>
        <v/>
      </c>
      <c r="AH64" s="154" t="str" cm="1">
        <f t="array" aca="1" ref="AH64" ca="1">IF(Table13[[#This Row],[TOTAL HIRE COST]]="","",IFERROR(IF(U64&lt;&gt;"",_xlfn.XLOOKUP(J64&amp;I64&amp;V64,PRICES!B:B&amp;PRICES!C:C&amp;PRICES!D:D,PRICES!I:I,"")),""))</f>
        <v/>
      </c>
      <c r="AI64" s="154" t="str">
        <f ca="1">IF(Table13[[#This Row],[TOTAL HIRE COST]]="","",Table13[[#This Row],[TOTAL HIRE COST]]+Table13[[#This Row],[DELIVERY COST]]+Table13[[#This Row],[COLLECTION COST]])</f>
        <v/>
      </c>
      <c r="AJ64" s="153" t="str">
        <f>IF(Table13[[#This Row],[Date to Hire (DH)]]="","",YEAR(Table13[[#This Row],[Date to Hire (DH)]]))</f>
        <v/>
      </c>
      <c r="AK64" s="153" t="str">
        <f>IF(Table13[[#This Row],[Date to Hire (DH)]]="","",MONTH(Table13[[#This Row],[Date to Hire (DH)]]))</f>
        <v/>
      </c>
      <c r="AL64" s="153" t="str">
        <f>IF(Table13[[#This Row],[Date to Hire (DH)]]="","",WEEKNUM(Table13[[#This Row],[Date to Hire (DH)]]))</f>
        <v/>
      </c>
      <c r="AM64" s="153" t="str">
        <f>TEXT(Table13[[#This Row],[YEAR]],"0000")&amp;"-"&amp;Table13[[#This Row],[MONTH]]</f>
        <v>-</v>
      </c>
      <c r="AN64" s="153" t="str">
        <f>IF(Table13[[#This Row],[Date of Planned Offhire (DoPO) / If Applicable]]="","",YEAR(Table13[[#This Row],[Date of Planned Offhire (DoPO) / If Applicable]]))</f>
        <v/>
      </c>
      <c r="AO64" s="153" t="str">
        <f>IF(Table13[[#This Row],[Date of Planned Offhire (DoPO) / If Applicable]]="","",MONTH(Table13[[#This Row],[Date of Planned Offhire (DoPO) / If Applicable]]))</f>
        <v/>
      </c>
      <c r="AP64" s="153" t="str">
        <f>IF(Table13[[#This Row],[Date of Planned Offhire (DoPO) / If Applicable]]="","",WEEKNUM(Table13[[#This Row],[Date of Planned Offhire (DoPO) / If Applicable]]))</f>
        <v/>
      </c>
      <c r="AQ64" s="153" t="str">
        <f>TEXT(Table13[[#This Row],[YEAR2]],"0000")&amp;"-"&amp;Table13[[#This Row],[MONTH2]]</f>
        <v>-</v>
      </c>
      <c r="AR64" s="153" t="str">
        <f>IF(Table13[[#This Row],[Actual Date to Offhire (ADtO)]]="","",YEAR(Table13[[#This Row],[Actual Date to Offhire (ADtO)]]))</f>
        <v/>
      </c>
      <c r="AS64" s="153" t="str">
        <f>IF(Table13[[#This Row],[Actual Date to Offhire (ADtO)]]="","",MONTH(Table13[[#This Row],[Actual Date to Offhire (ADtO)]]))</f>
        <v/>
      </c>
      <c r="AT64" s="153" t="str">
        <f>IF(Table13[[#This Row],[Actual Date to Offhire (ADtO)]]="","",WEEKNUM(Table13[[#This Row],[Actual Date to Offhire (ADtO)]]))</f>
        <v/>
      </c>
      <c r="AU64" s="153" t="str">
        <f>TEXT(Table13[[#This Row],[YEAR3]],"0000")&amp;"-"&amp;Table13[[#This Row],[MONTH3]]</f>
        <v>-</v>
      </c>
      <c r="AV64" s="153">
        <f>IF(E64="",0,
  IF('Delivery Report'!A$2*100+'Delivery Report'!A$5 &lt; YEAR(E64)*100+WEEKNUM(E64), 0,
    IF(OR(G64="", 'Delivery Report'!A$2*100+'Delivery Report'!A$5 &lt;= YEAR(G64)*100+WEEKNUM(G64)),
      IF(LOWER(W64)="hourly", U64*X64*56,
      IF(LOWER(W64)="daily", U64*X64*7,
      IF(LOWER(W64)="weekly", U64*X64,
      IF(LOWER(W64)="monthly", U64*X64*12/52,
      IF(LOWER(W64)="yearly", U64*X64/52,
      IF(LOWER(W64)="one-off", U64*X64,
      0)))))),
    0)))</f>
        <v>0</v>
      </c>
    </row>
    <row r="65" spans="3:48" x14ac:dyDescent="0.3">
      <c r="E65" s="1"/>
      <c r="F65" s="1"/>
      <c r="G65" s="1"/>
      <c r="H65" s="164" t="s">
        <v>317</v>
      </c>
      <c r="P65" s="153" t="str">
        <f t="shared" si="11"/>
        <v/>
      </c>
      <c r="Q65" s="155">
        <f>IF(Table13[[#This Row],[HGVs (Collection)]]="",O65,Table13[[#This Row],[HGVs (Delivery)]]+Table13[[#This Row],[HGVs (Collection)]])</f>
        <v>0</v>
      </c>
      <c r="W65" s="153" t="str" cm="1">
        <f t="array" ref="W65">IF(Table13[[#This Row],[QUANTITY]]="","",IFERROR(IF(V65&lt;&gt;"",_xlfn.XLOOKUP(I65&amp;J65,PRICES!C:C&amp;PRICES!B:B,IF(PRICES!F:F&lt;&gt;"",PRICES!F:F,PRICES!E:E),"")),""))</f>
        <v/>
      </c>
      <c r="X65" s="154" t="str" cm="1">
        <f t="array" ref="X65">IF(Table13[[#This Row],[QUANTITY]]="","",IFERROR(IF(U65&lt;&gt;"",_xlfn.XLOOKUP(I65&amp;J65&amp;V65,PRICES!C:C&amp;PRICES!B:B&amp;PRICES!D:D,PRICES!G:G,"")),""))</f>
        <v/>
      </c>
      <c r="Y65" s="154" t="str">
        <f t="shared" ca="1" si="2"/>
        <v/>
      </c>
      <c r="Z65" s="154" t="str">
        <f t="shared" ca="1" si="3"/>
        <v/>
      </c>
      <c r="AA65" s="154" t="str">
        <f t="shared" ca="1" si="4"/>
        <v/>
      </c>
      <c r="AB65" s="154" t="str">
        <f t="shared" ca="1" si="5"/>
        <v/>
      </c>
      <c r="AC65" s="154" t="str">
        <f t="shared" ca="1" si="0"/>
        <v/>
      </c>
      <c r="AD65" s="154" t="str">
        <f>IF(Table13[[#This Row],[QUANTITY]]="","",
  IF(AND(Y65="",Z65="",AA65="",AB65="",AC65=""),
    U65*X65,
  ""))</f>
        <v/>
      </c>
      <c r="AE65" s="154" t="str">
        <f t="shared" ca="1" si="6"/>
        <v/>
      </c>
      <c r="AF65" s="154" t="str">
        <f t="shared" si="7"/>
        <v/>
      </c>
      <c r="AG65" s="154" t="str" cm="1">
        <f t="array" aca="1" ref="AG65" ca="1">IF(Table13[[#This Row],[TOTAL HIRE COST]]="","",IFERROR(IF(U65&lt;&gt;"",_xlfn.XLOOKUP(J65&amp;I65&amp;V65,PRICES!B:B&amp;PRICES!C:C&amp;PRICES!D:D,PRICES!H:H,"")),""))</f>
        <v/>
      </c>
      <c r="AH65" s="154" t="str" cm="1">
        <f t="array" aca="1" ref="AH65" ca="1">IF(Table13[[#This Row],[TOTAL HIRE COST]]="","",IFERROR(IF(U65&lt;&gt;"",_xlfn.XLOOKUP(J65&amp;I65&amp;V65,PRICES!B:B&amp;PRICES!C:C&amp;PRICES!D:D,PRICES!I:I,"")),""))</f>
        <v/>
      </c>
      <c r="AI65" s="154" t="str">
        <f ca="1">IF(Table13[[#This Row],[TOTAL HIRE COST]]="","",Table13[[#This Row],[TOTAL HIRE COST]]+Table13[[#This Row],[DELIVERY COST]]+Table13[[#This Row],[COLLECTION COST]])</f>
        <v/>
      </c>
      <c r="AJ65" s="153" t="str">
        <f>IF(Table13[[#This Row],[Date to Hire (DH)]]="","",YEAR(Table13[[#This Row],[Date to Hire (DH)]]))</f>
        <v/>
      </c>
      <c r="AK65" s="153" t="str">
        <f>IF(Table13[[#This Row],[Date to Hire (DH)]]="","",MONTH(Table13[[#This Row],[Date to Hire (DH)]]))</f>
        <v/>
      </c>
      <c r="AL65" s="153" t="str">
        <f>IF(Table13[[#This Row],[Date to Hire (DH)]]="","",WEEKNUM(Table13[[#This Row],[Date to Hire (DH)]]))</f>
        <v/>
      </c>
      <c r="AM65" s="153" t="str">
        <f>TEXT(Table13[[#This Row],[YEAR]],"0000")&amp;"-"&amp;Table13[[#This Row],[MONTH]]</f>
        <v>-</v>
      </c>
      <c r="AN65" s="153" t="str">
        <f>IF(Table13[[#This Row],[Date of Planned Offhire (DoPO) / If Applicable]]="","",YEAR(Table13[[#This Row],[Date of Planned Offhire (DoPO) / If Applicable]]))</f>
        <v/>
      </c>
      <c r="AO65" s="153" t="str">
        <f>IF(Table13[[#This Row],[Date of Planned Offhire (DoPO) / If Applicable]]="","",MONTH(Table13[[#This Row],[Date of Planned Offhire (DoPO) / If Applicable]]))</f>
        <v/>
      </c>
      <c r="AP65" s="153" t="str">
        <f>IF(Table13[[#This Row],[Date of Planned Offhire (DoPO) / If Applicable]]="","",WEEKNUM(Table13[[#This Row],[Date of Planned Offhire (DoPO) / If Applicable]]))</f>
        <v/>
      </c>
      <c r="AQ65" s="153" t="str">
        <f>TEXT(Table13[[#This Row],[YEAR2]],"0000")&amp;"-"&amp;Table13[[#This Row],[MONTH2]]</f>
        <v>-</v>
      </c>
      <c r="AR65" s="153" t="str">
        <f>IF(Table13[[#This Row],[Actual Date to Offhire (ADtO)]]="","",YEAR(Table13[[#This Row],[Actual Date to Offhire (ADtO)]]))</f>
        <v/>
      </c>
      <c r="AS65" s="153" t="str">
        <f>IF(Table13[[#This Row],[Actual Date to Offhire (ADtO)]]="","",MONTH(Table13[[#This Row],[Actual Date to Offhire (ADtO)]]))</f>
        <v/>
      </c>
      <c r="AT65" s="153" t="str">
        <f>IF(Table13[[#This Row],[Actual Date to Offhire (ADtO)]]="","",WEEKNUM(Table13[[#This Row],[Actual Date to Offhire (ADtO)]]))</f>
        <v/>
      </c>
      <c r="AU65" s="153" t="str">
        <f>TEXT(Table13[[#This Row],[YEAR3]],"0000")&amp;"-"&amp;Table13[[#This Row],[MONTH3]]</f>
        <v>-</v>
      </c>
      <c r="AV65" s="153">
        <f>IF(E65="",0,
  IF('Delivery Report'!A$2*100+'Delivery Report'!A$5 &lt; YEAR(E65)*100+WEEKNUM(E65), 0,
    IF(OR(G65="", 'Delivery Report'!A$2*100+'Delivery Report'!A$5 &lt;= YEAR(G65)*100+WEEKNUM(G65)),
      IF(LOWER(W65)="hourly", U65*X65*56,
      IF(LOWER(W65)="daily", U65*X65*7,
      IF(LOWER(W65)="weekly", U65*X65,
      IF(LOWER(W65)="monthly", U65*X65*12/52,
      IF(LOWER(W65)="yearly", U65*X65/52,
      IF(LOWER(W65)="one-off", U65*X65,
      0)))))),
    0)))</f>
        <v>0</v>
      </c>
    </row>
    <row r="66" spans="3:48" x14ac:dyDescent="0.3">
      <c r="E66" s="1"/>
      <c r="F66" s="1"/>
      <c r="G66" s="1"/>
      <c r="H66" s="164" t="s">
        <v>317</v>
      </c>
      <c r="P66" s="153" t="str">
        <f t="shared" si="11"/>
        <v/>
      </c>
      <c r="Q66" s="155">
        <f>IF(Table13[[#This Row],[HGVs (Collection)]]="",O66,Table13[[#This Row],[HGVs (Delivery)]]+Table13[[#This Row],[HGVs (Collection)]])</f>
        <v>0</v>
      </c>
      <c r="W66" s="153" t="str" cm="1">
        <f t="array" ref="W66">IF(Table13[[#This Row],[QUANTITY]]="","",IFERROR(IF(V66&lt;&gt;"",_xlfn.XLOOKUP(I66&amp;J66,PRICES!C:C&amp;PRICES!B:B,IF(PRICES!F:F&lt;&gt;"",PRICES!F:F,PRICES!E:E),"")),""))</f>
        <v/>
      </c>
      <c r="X66" s="154" t="str" cm="1">
        <f t="array" ref="X66">IF(Table13[[#This Row],[QUANTITY]]="","",IFERROR(IF(U66&lt;&gt;"",_xlfn.XLOOKUP(I66&amp;J66&amp;V66,PRICES!C:C&amp;PRICES!B:B&amp;PRICES!D:D,PRICES!G:G,"")),""))</f>
        <v/>
      </c>
      <c r="Y66" s="154" t="str">
        <f t="shared" ca="1" si="2"/>
        <v/>
      </c>
      <c r="Z66" s="154" t="str">
        <f t="shared" ca="1" si="3"/>
        <v/>
      </c>
      <c r="AA66" s="154" t="str">
        <f t="shared" ca="1" si="4"/>
        <v/>
      </c>
      <c r="AB66" s="154" t="str">
        <f t="shared" ca="1" si="5"/>
        <v/>
      </c>
      <c r="AC66" s="154" t="str">
        <f t="shared" ca="1" si="0"/>
        <v/>
      </c>
      <c r="AD66" s="154" t="str">
        <f>IF(Table13[[#This Row],[QUANTITY]]="","",
  IF(AND(Y66="",Z66="",AA66="",AB66="",AC66=""),
    U66*X66,
  ""))</f>
        <v/>
      </c>
      <c r="AE66" s="154" t="str">
        <f t="shared" ca="1" si="6"/>
        <v/>
      </c>
      <c r="AF66" s="154" t="str">
        <f t="shared" si="7"/>
        <v/>
      </c>
      <c r="AG66" s="154" t="str" cm="1">
        <f t="array" aca="1" ref="AG66" ca="1">IF(Table13[[#This Row],[TOTAL HIRE COST]]="","",IFERROR(IF(U66&lt;&gt;"",_xlfn.XLOOKUP(J66&amp;I66&amp;V66,PRICES!B:B&amp;PRICES!C:C&amp;PRICES!D:D,PRICES!H:H,"")),""))</f>
        <v/>
      </c>
      <c r="AH66" s="154" t="str" cm="1">
        <f t="array" aca="1" ref="AH66" ca="1">IF(Table13[[#This Row],[TOTAL HIRE COST]]="","",IFERROR(IF(U66&lt;&gt;"",_xlfn.XLOOKUP(J66&amp;I66&amp;V66,PRICES!B:B&amp;PRICES!C:C&amp;PRICES!D:D,PRICES!I:I,"")),""))</f>
        <v/>
      </c>
      <c r="AI66" s="154" t="str">
        <f ca="1">IF(Table13[[#This Row],[TOTAL HIRE COST]]="","",Table13[[#This Row],[TOTAL HIRE COST]]+Table13[[#This Row],[DELIVERY COST]]+Table13[[#This Row],[COLLECTION COST]])</f>
        <v/>
      </c>
      <c r="AJ66" s="153" t="str">
        <f>IF(Table13[[#This Row],[Date to Hire (DH)]]="","",YEAR(Table13[[#This Row],[Date to Hire (DH)]]))</f>
        <v/>
      </c>
      <c r="AK66" s="153" t="str">
        <f>IF(Table13[[#This Row],[Date to Hire (DH)]]="","",MONTH(Table13[[#This Row],[Date to Hire (DH)]]))</f>
        <v/>
      </c>
      <c r="AL66" s="153" t="str">
        <f>IF(Table13[[#This Row],[Date to Hire (DH)]]="","",WEEKNUM(Table13[[#This Row],[Date to Hire (DH)]]))</f>
        <v/>
      </c>
      <c r="AM66" s="153" t="str">
        <f>TEXT(Table13[[#This Row],[YEAR]],"0000")&amp;"-"&amp;Table13[[#This Row],[MONTH]]</f>
        <v>-</v>
      </c>
      <c r="AN66" s="153" t="str">
        <f>IF(Table13[[#This Row],[Date of Planned Offhire (DoPO) / If Applicable]]="","",YEAR(Table13[[#This Row],[Date of Planned Offhire (DoPO) / If Applicable]]))</f>
        <v/>
      </c>
      <c r="AO66" s="153" t="str">
        <f>IF(Table13[[#This Row],[Date of Planned Offhire (DoPO) / If Applicable]]="","",MONTH(Table13[[#This Row],[Date of Planned Offhire (DoPO) / If Applicable]]))</f>
        <v/>
      </c>
      <c r="AP66" s="153" t="str">
        <f>IF(Table13[[#This Row],[Date of Planned Offhire (DoPO) / If Applicable]]="","",WEEKNUM(Table13[[#This Row],[Date of Planned Offhire (DoPO) / If Applicable]]))</f>
        <v/>
      </c>
      <c r="AQ66" s="153" t="str">
        <f>TEXT(Table13[[#This Row],[YEAR2]],"0000")&amp;"-"&amp;Table13[[#This Row],[MONTH2]]</f>
        <v>-</v>
      </c>
      <c r="AR66" s="153" t="str">
        <f>IF(Table13[[#This Row],[Actual Date to Offhire (ADtO)]]="","",YEAR(Table13[[#This Row],[Actual Date to Offhire (ADtO)]]))</f>
        <v/>
      </c>
      <c r="AS66" s="153" t="str">
        <f>IF(Table13[[#This Row],[Actual Date to Offhire (ADtO)]]="","",MONTH(Table13[[#This Row],[Actual Date to Offhire (ADtO)]]))</f>
        <v/>
      </c>
      <c r="AT66" s="153" t="str">
        <f>IF(Table13[[#This Row],[Actual Date to Offhire (ADtO)]]="","",WEEKNUM(Table13[[#This Row],[Actual Date to Offhire (ADtO)]]))</f>
        <v/>
      </c>
      <c r="AU66" s="153" t="str">
        <f>TEXT(Table13[[#This Row],[YEAR3]],"0000")&amp;"-"&amp;Table13[[#This Row],[MONTH3]]</f>
        <v>-</v>
      </c>
      <c r="AV66" s="153">
        <f>IF(E66="",0,
  IF('Delivery Report'!A$2*100+'Delivery Report'!A$5 &lt; YEAR(E66)*100+WEEKNUM(E66), 0,
    IF(OR(G66="", 'Delivery Report'!A$2*100+'Delivery Report'!A$5 &lt;= YEAR(G66)*100+WEEKNUM(G66)),
      IF(LOWER(W66)="hourly", U66*X66*56,
      IF(LOWER(W66)="daily", U66*X66*7,
      IF(LOWER(W66)="weekly", U66*X66,
      IF(LOWER(W66)="monthly", U66*X66*12/52,
      IF(LOWER(W66)="yearly", U66*X66/52,
      IF(LOWER(W66)="one-off", U66*X66,
      0)))))),
    0)))</f>
        <v>0</v>
      </c>
    </row>
    <row r="67" spans="3:48" x14ac:dyDescent="0.3">
      <c r="E67" s="1"/>
      <c r="F67" s="1"/>
      <c r="G67" s="1"/>
      <c r="H67" s="164" t="s">
        <v>317</v>
      </c>
      <c r="P67" s="153" t="str">
        <f t="shared" si="11"/>
        <v/>
      </c>
      <c r="Q67" s="155">
        <f>IF(Table13[[#This Row],[HGVs (Collection)]]="",O67,Table13[[#This Row],[HGVs (Delivery)]]+Table13[[#This Row],[HGVs (Collection)]])</f>
        <v>0</v>
      </c>
      <c r="W67" s="153" t="str" cm="1">
        <f t="array" ref="W67">IF(Table13[[#This Row],[QUANTITY]]="","",IFERROR(IF(V67&lt;&gt;"",_xlfn.XLOOKUP(I67&amp;J67,PRICES!C:C&amp;PRICES!B:B,IF(PRICES!F:F&lt;&gt;"",PRICES!F:F,PRICES!E:E),"")),""))</f>
        <v/>
      </c>
      <c r="X67" s="154" t="str" cm="1">
        <f t="array" ref="X67">IF(Table13[[#This Row],[QUANTITY]]="","",IFERROR(IF(U67&lt;&gt;"",_xlfn.XLOOKUP(I67&amp;J67&amp;V67,PRICES!C:C&amp;PRICES!B:B&amp;PRICES!D:D,PRICES!G:G,"")),""))</f>
        <v/>
      </c>
      <c r="Y67" s="154" t="str">
        <f t="shared" ca="1" si="2"/>
        <v/>
      </c>
      <c r="Z67" s="154" t="str">
        <f t="shared" ca="1" si="3"/>
        <v/>
      </c>
      <c r="AA67" s="154" t="str">
        <f t="shared" ca="1" si="4"/>
        <v/>
      </c>
      <c r="AB67" s="154" t="str">
        <f t="shared" ca="1" si="5"/>
        <v/>
      </c>
      <c r="AC67" s="154" t="str">
        <f t="shared" ref="AC67:AC130" ca="1" si="12">IF(LOWER(W67)="yearly",
  IF(G67&lt;&gt;"",
    IF(G67&gt;=F67, FLOOR((G67-E67)/365,1), FLOOR((F67-E67)/365,1)),
    FLOOR((TODAY()-E67)/365,1)
  )*U67*V67*X67,
"")</f>
        <v/>
      </c>
      <c r="AD67" s="154" t="str">
        <f>IF(Table13[[#This Row],[QUANTITY]]="","",
  IF(AND(Y67="",Z67="",AA67="",AB67="",AC67=""),
    U67*X67,
  ""))</f>
        <v/>
      </c>
      <c r="AE67" s="154" t="str">
        <f t="shared" ca="1" si="6"/>
        <v/>
      </c>
      <c r="AF67" s="154" t="str">
        <f t="shared" si="7"/>
        <v/>
      </c>
      <c r="AG67" s="154" t="str" cm="1">
        <f t="array" aca="1" ref="AG67" ca="1">IF(Table13[[#This Row],[TOTAL HIRE COST]]="","",IFERROR(IF(U67&lt;&gt;"",_xlfn.XLOOKUP(J67&amp;I67&amp;V67,PRICES!B:B&amp;PRICES!C:C&amp;PRICES!D:D,PRICES!H:H,"")),""))</f>
        <v/>
      </c>
      <c r="AH67" s="154" t="str" cm="1">
        <f t="array" aca="1" ref="AH67" ca="1">IF(Table13[[#This Row],[TOTAL HIRE COST]]="","",IFERROR(IF(U67&lt;&gt;"",_xlfn.XLOOKUP(J67&amp;I67&amp;V67,PRICES!B:B&amp;PRICES!C:C&amp;PRICES!D:D,PRICES!I:I,"")),""))</f>
        <v/>
      </c>
      <c r="AI67" s="154" t="str">
        <f ca="1">IF(Table13[[#This Row],[TOTAL HIRE COST]]="","",Table13[[#This Row],[TOTAL HIRE COST]]+Table13[[#This Row],[DELIVERY COST]]+Table13[[#This Row],[COLLECTION COST]])</f>
        <v/>
      </c>
      <c r="AJ67" s="153" t="str">
        <f>IF(Table13[[#This Row],[Date to Hire (DH)]]="","",YEAR(Table13[[#This Row],[Date to Hire (DH)]]))</f>
        <v/>
      </c>
      <c r="AK67" s="153" t="str">
        <f>IF(Table13[[#This Row],[Date to Hire (DH)]]="","",MONTH(Table13[[#This Row],[Date to Hire (DH)]]))</f>
        <v/>
      </c>
      <c r="AL67" s="153" t="str">
        <f>IF(Table13[[#This Row],[Date to Hire (DH)]]="","",WEEKNUM(Table13[[#This Row],[Date to Hire (DH)]]))</f>
        <v/>
      </c>
      <c r="AM67" s="153" t="str">
        <f>TEXT(Table13[[#This Row],[YEAR]],"0000")&amp;"-"&amp;Table13[[#This Row],[MONTH]]</f>
        <v>-</v>
      </c>
      <c r="AN67" s="153" t="str">
        <f>IF(Table13[[#This Row],[Date of Planned Offhire (DoPO) / If Applicable]]="","",YEAR(Table13[[#This Row],[Date of Planned Offhire (DoPO) / If Applicable]]))</f>
        <v/>
      </c>
      <c r="AO67" s="153" t="str">
        <f>IF(Table13[[#This Row],[Date of Planned Offhire (DoPO) / If Applicable]]="","",MONTH(Table13[[#This Row],[Date of Planned Offhire (DoPO) / If Applicable]]))</f>
        <v/>
      </c>
      <c r="AP67" s="153" t="str">
        <f>IF(Table13[[#This Row],[Date of Planned Offhire (DoPO) / If Applicable]]="","",WEEKNUM(Table13[[#This Row],[Date of Planned Offhire (DoPO) / If Applicable]]))</f>
        <v/>
      </c>
      <c r="AQ67" s="153" t="str">
        <f>TEXT(Table13[[#This Row],[YEAR2]],"0000")&amp;"-"&amp;Table13[[#This Row],[MONTH2]]</f>
        <v>-</v>
      </c>
      <c r="AR67" s="153" t="str">
        <f>IF(Table13[[#This Row],[Actual Date to Offhire (ADtO)]]="","",YEAR(Table13[[#This Row],[Actual Date to Offhire (ADtO)]]))</f>
        <v/>
      </c>
      <c r="AS67" s="153" t="str">
        <f>IF(Table13[[#This Row],[Actual Date to Offhire (ADtO)]]="","",MONTH(Table13[[#This Row],[Actual Date to Offhire (ADtO)]]))</f>
        <v/>
      </c>
      <c r="AT67" s="153" t="str">
        <f>IF(Table13[[#This Row],[Actual Date to Offhire (ADtO)]]="","",WEEKNUM(Table13[[#This Row],[Actual Date to Offhire (ADtO)]]))</f>
        <v/>
      </c>
      <c r="AU67" s="153" t="str">
        <f>TEXT(Table13[[#This Row],[YEAR3]],"0000")&amp;"-"&amp;Table13[[#This Row],[MONTH3]]</f>
        <v>-</v>
      </c>
      <c r="AV67" s="153">
        <f>IF(E67="",0,
  IF('Delivery Report'!A$2*100+'Delivery Report'!A$5 &lt; YEAR(E67)*100+WEEKNUM(E67), 0,
    IF(OR(G67="", 'Delivery Report'!A$2*100+'Delivery Report'!A$5 &lt;= YEAR(G67)*100+WEEKNUM(G67)),
      IF(LOWER(W67)="hourly", U67*X67*56,
      IF(LOWER(W67)="daily", U67*X67*7,
      IF(LOWER(W67)="weekly", U67*X67,
      IF(LOWER(W67)="monthly", U67*X67*12/52,
      IF(LOWER(W67)="yearly", U67*X67/52,
      IF(LOWER(W67)="one-off", U67*X67,
      0)))))),
    0)))</f>
        <v>0</v>
      </c>
    </row>
    <row r="68" spans="3:48" x14ac:dyDescent="0.3">
      <c r="C68" s="176"/>
      <c r="E68" s="1"/>
      <c r="F68" s="1"/>
      <c r="G68" s="1"/>
      <c r="H68" s="164" t="s">
        <v>317</v>
      </c>
      <c r="P68" s="153" t="str">
        <f t="shared" ref="P68:P131" si="13">IF(O68=0,"",IF(G68&lt;&gt;"",O68,""))</f>
        <v/>
      </c>
      <c r="Q68" s="155">
        <f>IF(Table13[[#This Row],[HGVs (Collection)]]="",O68,Table13[[#This Row],[HGVs (Delivery)]]+Table13[[#This Row],[HGVs (Collection)]])</f>
        <v>0</v>
      </c>
      <c r="W68" s="153" t="str" cm="1">
        <f t="array" ref="W68">IF(Table13[[#This Row],[QUANTITY]]="","",IFERROR(IF(V68&lt;&gt;"",_xlfn.XLOOKUP(I68&amp;J68,PRICES!C:C&amp;PRICES!B:B,IF(PRICES!F:F&lt;&gt;"",PRICES!F:F,PRICES!E:E),"")),""))</f>
        <v/>
      </c>
      <c r="X68" s="154" t="str" cm="1">
        <f t="array" ref="X68">IF(Table13[[#This Row],[QUANTITY]]="","",IFERROR(IF(U68&lt;&gt;"",_xlfn.XLOOKUP(I68&amp;J68&amp;V68,PRICES!C:C&amp;PRICES!B:B&amp;PRICES!D:D,PRICES!G:G,"")),""))</f>
        <v/>
      </c>
      <c r="Y68" s="154" t="str">
        <f t="shared" ref="Y68:Y131" ca="1" si="14">IF(LOWER(W68)="hourly",IF(G68&lt;&gt;"",IF(G68&gt;=F68,FLOOR((G68-E68)*24,1),FLOOR((F68-E68)*24,1)),FLOOR((TODAY()-E68)*24,1))*U68*X68,"")</f>
        <v/>
      </c>
      <c r="Z68" s="154" t="str">
        <f t="shared" ref="Z68:Z131" ca="1" si="15">IF(LOWER(W68)="daily",IF(G68&lt;&gt;"",IF(G68&gt;=F68,(G68-E68),(F68-E68)),TODAY()-E68)*U68*X68,"")</f>
        <v/>
      </c>
      <c r="AA68" s="154" t="str">
        <f t="shared" ref="AA68:AA131" ca="1" si="16">IF(LOWER(W68)="weekly",IF(G68&lt;&gt;"",IF(G68&gt;=F68,FLOOR((G68-E68)/7,1),FLOOR((F68-E68)/7,1)),FLOOR((TODAY()-E68)/7,1))*U68*X68,"")</f>
        <v/>
      </c>
      <c r="AB68" s="154" t="str">
        <f t="shared" ref="AB68:AB131" ca="1" si="17">IF(LOWER(W68)="monthly",IF(G68&lt;&gt;"",IF(G68&gt;=F68,FLOOR((G68-E68)/30,1),FLOOR((F68-E68)/30,1)),FLOOR((TODAY()-E68)/30,1))*U68*X68,"")</f>
        <v/>
      </c>
      <c r="AC68" s="154" t="str">
        <f t="shared" ca="1" si="12"/>
        <v/>
      </c>
      <c r="AD68" s="154" t="str">
        <f>IF(Table13[[#This Row],[QUANTITY]]="","",
  IF(AND(Y68="",Z68="",AA68="",AB68="",AC68=""),
    U68*X68,
  ""))</f>
        <v/>
      </c>
      <c r="AE68" s="154" t="str">
        <f t="shared" ref="AE68:AE131" ca="1" si="18">IF(Y68&lt;&gt;"",Y68,IF(Z68&lt;&gt;"",Z68,IF(AA68&lt;&gt;"",AA68,IF(AB68&lt;&gt;"",AB68,IF(AC68&lt;&gt;"",AC68,IF(AD68&lt;&gt;"",AD68,""))))))</f>
        <v/>
      </c>
      <c r="AF68" s="154" t="str">
        <f t="shared" ref="AF68:AF131" si="19">IF(E68="","",
IF(OR(G68="",A$1&lt;G68),
IF(LOWER(W68)="hourly", X68*U68*8*7,
IF(LOWER(W68)="daily", X68*U68*7,
IF(LOWER(W68)="weekly", X68*U68,
IF(LOWER(W68)="monthly", X68*U68*12/52,
IF(LOWER(W68)="yearly", X68*U68/52,
IF(LOWER(W68)="one-off", X68*U68,
"")))))),
""))</f>
        <v/>
      </c>
      <c r="AG68" s="154" t="str" cm="1">
        <f t="array" aca="1" ref="AG68" ca="1">IF(Table13[[#This Row],[TOTAL HIRE COST]]="","",IFERROR(IF(U68&lt;&gt;"",_xlfn.XLOOKUP(J68&amp;I68&amp;V68,PRICES!B:B&amp;PRICES!C:C&amp;PRICES!D:D,PRICES!H:H,"")),""))</f>
        <v/>
      </c>
      <c r="AH68" s="154" t="str" cm="1">
        <f t="array" aca="1" ref="AH68" ca="1">IF(Table13[[#This Row],[TOTAL HIRE COST]]="","",IFERROR(IF(U68&lt;&gt;"",_xlfn.XLOOKUP(J68&amp;I68&amp;V68,PRICES!B:B&amp;PRICES!C:C&amp;PRICES!D:D,PRICES!I:I,"")),""))</f>
        <v/>
      </c>
      <c r="AI68" s="154" t="str">
        <f ca="1">IF(Table13[[#This Row],[TOTAL HIRE COST]]="","",Table13[[#This Row],[TOTAL HIRE COST]]+Table13[[#This Row],[DELIVERY COST]]+Table13[[#This Row],[COLLECTION COST]])</f>
        <v/>
      </c>
      <c r="AJ68" s="153" t="str">
        <f>IF(Table13[[#This Row],[Date to Hire (DH)]]="","",YEAR(Table13[[#This Row],[Date to Hire (DH)]]))</f>
        <v/>
      </c>
      <c r="AK68" s="153" t="str">
        <f>IF(Table13[[#This Row],[Date to Hire (DH)]]="","",MONTH(Table13[[#This Row],[Date to Hire (DH)]]))</f>
        <v/>
      </c>
      <c r="AL68" s="153" t="str">
        <f>IF(Table13[[#This Row],[Date to Hire (DH)]]="","",WEEKNUM(Table13[[#This Row],[Date to Hire (DH)]]))</f>
        <v/>
      </c>
      <c r="AM68" s="153" t="str">
        <f>TEXT(Table13[[#This Row],[YEAR]],"0000")&amp;"-"&amp;Table13[[#This Row],[MONTH]]</f>
        <v>-</v>
      </c>
      <c r="AN68" s="153" t="str">
        <f>IF(Table13[[#This Row],[Date of Planned Offhire (DoPO) / If Applicable]]="","",YEAR(Table13[[#This Row],[Date of Planned Offhire (DoPO) / If Applicable]]))</f>
        <v/>
      </c>
      <c r="AO68" s="153" t="str">
        <f>IF(Table13[[#This Row],[Date of Planned Offhire (DoPO) / If Applicable]]="","",MONTH(Table13[[#This Row],[Date of Planned Offhire (DoPO) / If Applicable]]))</f>
        <v/>
      </c>
      <c r="AP68" s="153" t="str">
        <f>IF(Table13[[#This Row],[Date of Planned Offhire (DoPO) / If Applicable]]="","",WEEKNUM(Table13[[#This Row],[Date of Planned Offhire (DoPO) / If Applicable]]))</f>
        <v/>
      </c>
      <c r="AQ68" s="153" t="str">
        <f>TEXT(Table13[[#This Row],[YEAR2]],"0000")&amp;"-"&amp;Table13[[#This Row],[MONTH2]]</f>
        <v>-</v>
      </c>
      <c r="AR68" s="153" t="str">
        <f>IF(Table13[[#This Row],[Actual Date to Offhire (ADtO)]]="","",YEAR(Table13[[#This Row],[Actual Date to Offhire (ADtO)]]))</f>
        <v/>
      </c>
      <c r="AS68" s="153" t="str">
        <f>IF(Table13[[#This Row],[Actual Date to Offhire (ADtO)]]="","",MONTH(Table13[[#This Row],[Actual Date to Offhire (ADtO)]]))</f>
        <v/>
      </c>
      <c r="AT68" s="153" t="str">
        <f>IF(Table13[[#This Row],[Actual Date to Offhire (ADtO)]]="","",WEEKNUM(Table13[[#This Row],[Actual Date to Offhire (ADtO)]]))</f>
        <v/>
      </c>
      <c r="AU68" s="153" t="str">
        <f>TEXT(Table13[[#This Row],[YEAR3]],"0000")&amp;"-"&amp;Table13[[#This Row],[MONTH3]]</f>
        <v>-</v>
      </c>
      <c r="AV68" s="153">
        <f>IF(E68="",0,
  IF('Delivery Report'!A$2*100+'Delivery Report'!A$5 &lt; YEAR(E68)*100+WEEKNUM(E68), 0,
    IF(OR(G68="", 'Delivery Report'!A$2*100+'Delivery Report'!A$5 &lt;= YEAR(G68)*100+WEEKNUM(G68)),
      IF(LOWER(W68)="hourly", U68*X68*56,
      IF(LOWER(W68)="daily", U68*X68*7,
      IF(LOWER(W68)="weekly", U68*X68,
      IF(LOWER(W68)="monthly", U68*X68*12/52,
      IF(LOWER(W68)="yearly", U68*X68/52,
      IF(LOWER(W68)="one-off", U68*X68,
      0)))))),
    0)))</f>
        <v>0</v>
      </c>
    </row>
    <row r="69" spans="3:48" x14ac:dyDescent="0.3">
      <c r="E69" s="1"/>
      <c r="F69" s="1"/>
      <c r="G69" s="1"/>
      <c r="H69" s="164" t="s">
        <v>317</v>
      </c>
      <c r="P69" s="153" t="str">
        <f t="shared" si="13"/>
        <v/>
      </c>
      <c r="Q69" s="155">
        <f>IF(Table13[[#This Row],[HGVs (Collection)]]="",O69,Table13[[#This Row],[HGVs (Delivery)]]+Table13[[#This Row],[HGVs (Collection)]])</f>
        <v>0</v>
      </c>
      <c r="W69" s="153" t="str" cm="1">
        <f t="array" ref="W69">IF(Table13[[#This Row],[QUANTITY]]="","",IFERROR(IF(V69&lt;&gt;"",_xlfn.XLOOKUP(I69&amp;J69,PRICES!C:C&amp;PRICES!B:B,IF(PRICES!F:F&lt;&gt;"",PRICES!F:F,PRICES!E:E),"")),""))</f>
        <v/>
      </c>
      <c r="X69" s="154" t="str" cm="1">
        <f t="array" ref="X69">IF(Table13[[#This Row],[QUANTITY]]="","",IFERROR(IF(U69&lt;&gt;"",_xlfn.XLOOKUP(I69&amp;J69&amp;V69,PRICES!C:C&amp;PRICES!B:B&amp;PRICES!D:D,PRICES!G:G,"")),""))</f>
        <v/>
      </c>
      <c r="Y69" s="154" t="str">
        <f t="shared" ca="1" si="14"/>
        <v/>
      </c>
      <c r="Z69" s="154" t="str">
        <f t="shared" ca="1" si="15"/>
        <v/>
      </c>
      <c r="AA69" s="154" t="str">
        <f t="shared" ca="1" si="16"/>
        <v/>
      </c>
      <c r="AB69" s="154" t="str">
        <f t="shared" ca="1" si="17"/>
        <v/>
      </c>
      <c r="AC69" s="154" t="str">
        <f t="shared" ca="1" si="12"/>
        <v/>
      </c>
      <c r="AD69" s="154" t="str">
        <f>IF(Table13[[#This Row],[QUANTITY]]="","",
  IF(AND(Y69="",Z69="",AA69="",AB69="",AC69=""),
    U69*X69,
  ""))</f>
        <v/>
      </c>
      <c r="AE69" s="154" t="str">
        <f t="shared" ca="1" si="18"/>
        <v/>
      </c>
      <c r="AF69" s="154" t="str">
        <f t="shared" si="19"/>
        <v/>
      </c>
      <c r="AG69" s="154" t="str" cm="1">
        <f t="array" aca="1" ref="AG69" ca="1">IF(Table13[[#This Row],[TOTAL HIRE COST]]="","",IFERROR(IF(U69&lt;&gt;"",_xlfn.XLOOKUP(J69&amp;I69&amp;V69,PRICES!B:B&amp;PRICES!C:C&amp;PRICES!D:D,PRICES!H:H,"")),""))</f>
        <v/>
      </c>
      <c r="AH69" s="154" t="str" cm="1">
        <f t="array" aca="1" ref="AH69" ca="1">IF(Table13[[#This Row],[TOTAL HIRE COST]]="","",IFERROR(IF(U69&lt;&gt;"",_xlfn.XLOOKUP(J69&amp;I69&amp;V69,PRICES!B:B&amp;PRICES!C:C&amp;PRICES!D:D,PRICES!I:I,"")),""))</f>
        <v/>
      </c>
      <c r="AI69" s="154" t="str">
        <f ca="1">IF(Table13[[#This Row],[TOTAL HIRE COST]]="","",Table13[[#This Row],[TOTAL HIRE COST]]+Table13[[#This Row],[DELIVERY COST]]+Table13[[#This Row],[COLLECTION COST]])</f>
        <v/>
      </c>
      <c r="AJ69" s="153" t="str">
        <f>IF(Table13[[#This Row],[Date to Hire (DH)]]="","",YEAR(Table13[[#This Row],[Date to Hire (DH)]]))</f>
        <v/>
      </c>
      <c r="AK69" s="153" t="str">
        <f>IF(Table13[[#This Row],[Date to Hire (DH)]]="","",MONTH(Table13[[#This Row],[Date to Hire (DH)]]))</f>
        <v/>
      </c>
      <c r="AL69" s="153" t="str">
        <f>IF(Table13[[#This Row],[Date to Hire (DH)]]="","",WEEKNUM(Table13[[#This Row],[Date to Hire (DH)]]))</f>
        <v/>
      </c>
      <c r="AM69" s="153" t="str">
        <f>TEXT(Table13[[#This Row],[YEAR]],"0000")&amp;"-"&amp;Table13[[#This Row],[MONTH]]</f>
        <v>-</v>
      </c>
      <c r="AN69" s="153" t="str">
        <f>IF(Table13[[#This Row],[Date of Planned Offhire (DoPO) / If Applicable]]="","",YEAR(Table13[[#This Row],[Date of Planned Offhire (DoPO) / If Applicable]]))</f>
        <v/>
      </c>
      <c r="AO69" s="153" t="str">
        <f>IF(Table13[[#This Row],[Date of Planned Offhire (DoPO) / If Applicable]]="","",MONTH(Table13[[#This Row],[Date of Planned Offhire (DoPO) / If Applicable]]))</f>
        <v/>
      </c>
      <c r="AP69" s="153" t="str">
        <f>IF(Table13[[#This Row],[Date of Planned Offhire (DoPO) / If Applicable]]="","",WEEKNUM(Table13[[#This Row],[Date of Planned Offhire (DoPO) / If Applicable]]))</f>
        <v/>
      </c>
      <c r="AQ69" s="153" t="str">
        <f>TEXT(Table13[[#This Row],[YEAR2]],"0000")&amp;"-"&amp;Table13[[#This Row],[MONTH2]]</f>
        <v>-</v>
      </c>
      <c r="AR69" s="153" t="str">
        <f>IF(Table13[[#This Row],[Actual Date to Offhire (ADtO)]]="","",YEAR(Table13[[#This Row],[Actual Date to Offhire (ADtO)]]))</f>
        <v/>
      </c>
      <c r="AS69" s="153" t="str">
        <f>IF(Table13[[#This Row],[Actual Date to Offhire (ADtO)]]="","",MONTH(Table13[[#This Row],[Actual Date to Offhire (ADtO)]]))</f>
        <v/>
      </c>
      <c r="AT69" s="153" t="str">
        <f>IF(Table13[[#This Row],[Actual Date to Offhire (ADtO)]]="","",WEEKNUM(Table13[[#This Row],[Actual Date to Offhire (ADtO)]]))</f>
        <v/>
      </c>
      <c r="AU69" s="153" t="str">
        <f>TEXT(Table13[[#This Row],[YEAR3]],"0000")&amp;"-"&amp;Table13[[#This Row],[MONTH3]]</f>
        <v>-</v>
      </c>
      <c r="AV69" s="153">
        <f>IF(E69="",0,
  IF('Delivery Report'!A$2*100+'Delivery Report'!A$5 &lt; YEAR(E69)*100+WEEKNUM(E69), 0,
    IF(OR(G69="", 'Delivery Report'!A$2*100+'Delivery Report'!A$5 &lt;= YEAR(G69)*100+WEEKNUM(G69)),
      IF(LOWER(W69)="hourly", U69*X69*56,
      IF(LOWER(W69)="daily", U69*X69*7,
      IF(LOWER(W69)="weekly", U69*X69,
      IF(LOWER(W69)="monthly", U69*X69*12/52,
      IF(LOWER(W69)="yearly", U69*X69/52,
      IF(LOWER(W69)="one-off", U69*X69,
      0)))))),
    0)))</f>
        <v>0</v>
      </c>
    </row>
    <row r="70" spans="3:48" x14ac:dyDescent="0.3">
      <c r="E70" s="1"/>
      <c r="F70" s="1"/>
      <c r="G70" s="1"/>
      <c r="H70" s="164" t="s">
        <v>317</v>
      </c>
      <c r="P70" s="153" t="str">
        <f t="shared" si="13"/>
        <v/>
      </c>
      <c r="Q70" s="155">
        <f>IF(Table13[[#This Row],[HGVs (Collection)]]="",O70,Table13[[#This Row],[HGVs (Delivery)]]+Table13[[#This Row],[HGVs (Collection)]])</f>
        <v>0</v>
      </c>
      <c r="W70" s="153" t="str" cm="1">
        <f t="array" ref="W70">IF(Table13[[#This Row],[QUANTITY]]="","",IFERROR(IF(V70&lt;&gt;"",_xlfn.XLOOKUP(I70&amp;J70,PRICES!C:C&amp;PRICES!B:B,IF(PRICES!F:F&lt;&gt;"",PRICES!F:F,PRICES!E:E),"")),""))</f>
        <v/>
      </c>
      <c r="X70" s="154" t="str" cm="1">
        <f t="array" ref="X70">IF(Table13[[#This Row],[QUANTITY]]="","",IFERROR(IF(U70&lt;&gt;"",_xlfn.XLOOKUP(I70&amp;J70&amp;V70,PRICES!C:C&amp;PRICES!B:B&amp;PRICES!D:D,PRICES!G:G,"")),""))</f>
        <v/>
      </c>
      <c r="Y70" s="154" t="str">
        <f t="shared" ca="1" si="14"/>
        <v/>
      </c>
      <c r="Z70" s="154" t="str">
        <f t="shared" ca="1" si="15"/>
        <v/>
      </c>
      <c r="AA70" s="154" t="str">
        <f t="shared" ca="1" si="16"/>
        <v/>
      </c>
      <c r="AB70" s="154" t="str">
        <f t="shared" ca="1" si="17"/>
        <v/>
      </c>
      <c r="AC70" s="154" t="str">
        <f t="shared" ca="1" si="12"/>
        <v/>
      </c>
      <c r="AD70" s="154" t="str">
        <f>IF(Table13[[#This Row],[QUANTITY]]="","",
  IF(AND(Y70="",Z70="",AA70="",AB70="",AC70=""),
    U70*X70,
  ""))</f>
        <v/>
      </c>
      <c r="AE70" s="154" t="str">
        <f t="shared" ca="1" si="18"/>
        <v/>
      </c>
      <c r="AF70" s="154" t="str">
        <f t="shared" si="19"/>
        <v/>
      </c>
      <c r="AG70" s="154" t="str" cm="1">
        <f t="array" aca="1" ref="AG70" ca="1">IF(Table13[[#This Row],[TOTAL HIRE COST]]="","",IFERROR(IF(U70&lt;&gt;"",_xlfn.XLOOKUP(J70&amp;I70&amp;V70,PRICES!B:B&amp;PRICES!C:C&amp;PRICES!D:D,PRICES!H:H,"")),""))</f>
        <v/>
      </c>
      <c r="AH70" s="154" t="str" cm="1">
        <f t="array" aca="1" ref="AH70" ca="1">IF(Table13[[#This Row],[TOTAL HIRE COST]]="","",IFERROR(IF(U70&lt;&gt;"",_xlfn.XLOOKUP(J70&amp;I70&amp;V70,PRICES!B:B&amp;PRICES!C:C&amp;PRICES!D:D,PRICES!I:I,"")),""))</f>
        <v/>
      </c>
      <c r="AI70" s="154" t="str">
        <f ca="1">IF(Table13[[#This Row],[TOTAL HIRE COST]]="","",Table13[[#This Row],[TOTAL HIRE COST]]+Table13[[#This Row],[DELIVERY COST]]+Table13[[#This Row],[COLLECTION COST]])</f>
        <v/>
      </c>
      <c r="AJ70" s="153" t="str">
        <f>IF(Table13[[#This Row],[Date to Hire (DH)]]="","",YEAR(Table13[[#This Row],[Date to Hire (DH)]]))</f>
        <v/>
      </c>
      <c r="AK70" s="153" t="str">
        <f>IF(Table13[[#This Row],[Date to Hire (DH)]]="","",MONTH(Table13[[#This Row],[Date to Hire (DH)]]))</f>
        <v/>
      </c>
      <c r="AL70" s="153" t="str">
        <f>IF(Table13[[#This Row],[Date to Hire (DH)]]="","",WEEKNUM(Table13[[#This Row],[Date to Hire (DH)]]))</f>
        <v/>
      </c>
      <c r="AM70" s="153" t="str">
        <f>TEXT(Table13[[#This Row],[YEAR]],"0000")&amp;"-"&amp;Table13[[#This Row],[MONTH]]</f>
        <v>-</v>
      </c>
      <c r="AN70" s="153" t="str">
        <f>IF(Table13[[#This Row],[Date of Planned Offhire (DoPO) / If Applicable]]="","",YEAR(Table13[[#This Row],[Date of Planned Offhire (DoPO) / If Applicable]]))</f>
        <v/>
      </c>
      <c r="AO70" s="153" t="str">
        <f>IF(Table13[[#This Row],[Date of Planned Offhire (DoPO) / If Applicable]]="","",MONTH(Table13[[#This Row],[Date of Planned Offhire (DoPO) / If Applicable]]))</f>
        <v/>
      </c>
      <c r="AP70" s="153" t="str">
        <f>IF(Table13[[#This Row],[Date of Planned Offhire (DoPO) / If Applicable]]="","",WEEKNUM(Table13[[#This Row],[Date of Planned Offhire (DoPO) / If Applicable]]))</f>
        <v/>
      </c>
      <c r="AQ70" s="153" t="str">
        <f>TEXT(Table13[[#This Row],[YEAR2]],"0000")&amp;"-"&amp;Table13[[#This Row],[MONTH2]]</f>
        <v>-</v>
      </c>
      <c r="AR70" s="153" t="str">
        <f>IF(Table13[[#This Row],[Actual Date to Offhire (ADtO)]]="","",YEAR(Table13[[#This Row],[Actual Date to Offhire (ADtO)]]))</f>
        <v/>
      </c>
      <c r="AS70" s="153" t="str">
        <f>IF(Table13[[#This Row],[Actual Date to Offhire (ADtO)]]="","",MONTH(Table13[[#This Row],[Actual Date to Offhire (ADtO)]]))</f>
        <v/>
      </c>
      <c r="AT70" s="153" t="str">
        <f>IF(Table13[[#This Row],[Actual Date to Offhire (ADtO)]]="","",WEEKNUM(Table13[[#This Row],[Actual Date to Offhire (ADtO)]]))</f>
        <v/>
      </c>
      <c r="AU70" s="153" t="str">
        <f>TEXT(Table13[[#This Row],[YEAR3]],"0000")&amp;"-"&amp;Table13[[#This Row],[MONTH3]]</f>
        <v>-</v>
      </c>
      <c r="AV70" s="153">
        <f>IF(E70="",0,
  IF('Delivery Report'!A$2*100+'Delivery Report'!A$5 &lt; YEAR(E70)*100+WEEKNUM(E70), 0,
    IF(OR(G70="", 'Delivery Report'!A$2*100+'Delivery Report'!A$5 &lt;= YEAR(G70)*100+WEEKNUM(G70)),
      IF(LOWER(W70)="hourly", U70*X70*56,
      IF(LOWER(W70)="daily", U70*X70*7,
      IF(LOWER(W70)="weekly", U70*X70,
      IF(LOWER(W70)="monthly", U70*X70*12/52,
      IF(LOWER(W70)="yearly", U70*X70/52,
      IF(LOWER(W70)="one-off", U70*X70,
      0)))))),
    0)))</f>
        <v>0</v>
      </c>
    </row>
    <row r="71" spans="3:48" x14ac:dyDescent="0.3">
      <c r="E71" s="1"/>
      <c r="F71" s="1"/>
      <c r="G71" s="1"/>
      <c r="H71" s="164" t="s">
        <v>317</v>
      </c>
      <c r="P71" s="153" t="str">
        <f t="shared" si="13"/>
        <v/>
      </c>
      <c r="Q71" s="155">
        <f>IF(Table13[[#This Row],[HGVs (Collection)]]="",O71,Table13[[#This Row],[HGVs (Delivery)]]+Table13[[#This Row],[HGVs (Collection)]])</f>
        <v>0</v>
      </c>
      <c r="W71" s="153" t="str" cm="1">
        <f t="array" ref="W71">IF(Table13[[#This Row],[QUANTITY]]="","",IFERROR(IF(V71&lt;&gt;"",_xlfn.XLOOKUP(I71&amp;J71,PRICES!C:C&amp;PRICES!B:B,IF(PRICES!F:F&lt;&gt;"",PRICES!F:F,PRICES!E:E),"")),""))</f>
        <v/>
      </c>
      <c r="X71" s="154" t="str" cm="1">
        <f t="array" ref="X71">IF(Table13[[#This Row],[QUANTITY]]="","",IFERROR(IF(U71&lt;&gt;"",_xlfn.XLOOKUP(I71&amp;J71&amp;V71,PRICES!C:C&amp;PRICES!B:B&amp;PRICES!D:D,PRICES!G:G,"")),""))</f>
        <v/>
      </c>
      <c r="Y71" s="154" t="str">
        <f t="shared" ca="1" si="14"/>
        <v/>
      </c>
      <c r="Z71" s="154" t="str">
        <f t="shared" ca="1" si="15"/>
        <v/>
      </c>
      <c r="AA71" s="154" t="str">
        <f t="shared" ca="1" si="16"/>
        <v/>
      </c>
      <c r="AB71" s="154" t="str">
        <f t="shared" ca="1" si="17"/>
        <v/>
      </c>
      <c r="AC71" s="154" t="str">
        <f t="shared" ca="1" si="12"/>
        <v/>
      </c>
      <c r="AD71" s="154" t="str">
        <f>IF(Table13[[#This Row],[QUANTITY]]="","",
  IF(AND(Y71="",Z71="",AA71="",AB71="",AC71=""),
    U71*X71,
  ""))</f>
        <v/>
      </c>
      <c r="AE71" s="154" t="str">
        <f t="shared" ca="1" si="18"/>
        <v/>
      </c>
      <c r="AF71" s="154" t="str">
        <f t="shared" si="19"/>
        <v/>
      </c>
      <c r="AG71" s="154" t="str" cm="1">
        <f t="array" aca="1" ref="AG71" ca="1">IF(Table13[[#This Row],[TOTAL HIRE COST]]="","",IFERROR(IF(U71&lt;&gt;"",_xlfn.XLOOKUP(J71&amp;I71&amp;V71,PRICES!B:B&amp;PRICES!C:C&amp;PRICES!D:D,PRICES!H:H,"")),""))</f>
        <v/>
      </c>
      <c r="AH71" s="154" t="str" cm="1">
        <f t="array" aca="1" ref="AH71" ca="1">IF(Table13[[#This Row],[TOTAL HIRE COST]]="","",IFERROR(IF(U71&lt;&gt;"",_xlfn.XLOOKUP(J71&amp;I71&amp;V71,PRICES!B:B&amp;PRICES!C:C&amp;PRICES!D:D,PRICES!I:I,"")),""))</f>
        <v/>
      </c>
      <c r="AI71" s="154" t="str">
        <f ca="1">IF(Table13[[#This Row],[TOTAL HIRE COST]]="","",Table13[[#This Row],[TOTAL HIRE COST]]+Table13[[#This Row],[DELIVERY COST]]+Table13[[#This Row],[COLLECTION COST]])</f>
        <v/>
      </c>
      <c r="AJ71" s="153" t="str">
        <f>IF(Table13[[#This Row],[Date to Hire (DH)]]="","",YEAR(Table13[[#This Row],[Date to Hire (DH)]]))</f>
        <v/>
      </c>
      <c r="AK71" s="153" t="str">
        <f>IF(Table13[[#This Row],[Date to Hire (DH)]]="","",MONTH(Table13[[#This Row],[Date to Hire (DH)]]))</f>
        <v/>
      </c>
      <c r="AL71" s="153" t="str">
        <f>IF(Table13[[#This Row],[Date to Hire (DH)]]="","",WEEKNUM(Table13[[#This Row],[Date to Hire (DH)]]))</f>
        <v/>
      </c>
      <c r="AM71" s="153" t="str">
        <f>TEXT(Table13[[#This Row],[YEAR]],"0000")&amp;"-"&amp;Table13[[#This Row],[MONTH]]</f>
        <v>-</v>
      </c>
      <c r="AN71" s="153" t="str">
        <f>IF(Table13[[#This Row],[Date of Planned Offhire (DoPO) / If Applicable]]="","",YEAR(Table13[[#This Row],[Date of Planned Offhire (DoPO) / If Applicable]]))</f>
        <v/>
      </c>
      <c r="AO71" s="153" t="str">
        <f>IF(Table13[[#This Row],[Date of Planned Offhire (DoPO) / If Applicable]]="","",MONTH(Table13[[#This Row],[Date of Planned Offhire (DoPO) / If Applicable]]))</f>
        <v/>
      </c>
      <c r="AP71" s="153" t="str">
        <f>IF(Table13[[#This Row],[Date of Planned Offhire (DoPO) / If Applicable]]="","",WEEKNUM(Table13[[#This Row],[Date of Planned Offhire (DoPO) / If Applicable]]))</f>
        <v/>
      </c>
      <c r="AQ71" s="153" t="str">
        <f>TEXT(Table13[[#This Row],[YEAR2]],"0000")&amp;"-"&amp;Table13[[#This Row],[MONTH2]]</f>
        <v>-</v>
      </c>
      <c r="AR71" s="153" t="str">
        <f>IF(Table13[[#This Row],[Actual Date to Offhire (ADtO)]]="","",YEAR(Table13[[#This Row],[Actual Date to Offhire (ADtO)]]))</f>
        <v/>
      </c>
      <c r="AS71" s="153" t="str">
        <f>IF(Table13[[#This Row],[Actual Date to Offhire (ADtO)]]="","",MONTH(Table13[[#This Row],[Actual Date to Offhire (ADtO)]]))</f>
        <v/>
      </c>
      <c r="AT71" s="153" t="str">
        <f>IF(Table13[[#This Row],[Actual Date to Offhire (ADtO)]]="","",WEEKNUM(Table13[[#This Row],[Actual Date to Offhire (ADtO)]]))</f>
        <v/>
      </c>
      <c r="AU71" s="153" t="str">
        <f>TEXT(Table13[[#This Row],[YEAR3]],"0000")&amp;"-"&amp;Table13[[#This Row],[MONTH3]]</f>
        <v>-</v>
      </c>
      <c r="AV71" s="153">
        <f>IF(E71="",0,
  IF('Delivery Report'!A$2*100+'Delivery Report'!A$5 &lt; YEAR(E71)*100+WEEKNUM(E71), 0,
    IF(OR(G71="", 'Delivery Report'!A$2*100+'Delivery Report'!A$5 &lt;= YEAR(G71)*100+WEEKNUM(G71)),
      IF(LOWER(W71)="hourly", U71*X71*56,
      IF(LOWER(W71)="daily", U71*X71*7,
      IF(LOWER(W71)="weekly", U71*X71,
      IF(LOWER(W71)="monthly", U71*X71*12/52,
      IF(LOWER(W71)="yearly", U71*X71/52,
      IF(LOWER(W71)="one-off", U71*X71,
      0)))))),
    0)))</f>
        <v>0</v>
      </c>
    </row>
    <row r="72" spans="3:48" x14ac:dyDescent="0.3">
      <c r="E72" s="1"/>
      <c r="F72" s="1"/>
      <c r="G72" s="1"/>
      <c r="H72" s="164" t="s">
        <v>317</v>
      </c>
      <c r="P72" s="153" t="str">
        <f t="shared" si="13"/>
        <v/>
      </c>
      <c r="Q72" s="155">
        <f>IF(Table13[[#This Row],[HGVs (Collection)]]="",O72,Table13[[#This Row],[HGVs (Delivery)]]+Table13[[#This Row],[HGVs (Collection)]])</f>
        <v>0</v>
      </c>
      <c r="W72" s="153" t="str" cm="1">
        <f t="array" ref="W72">IF(Table13[[#This Row],[QUANTITY]]="","",IFERROR(IF(V72&lt;&gt;"",_xlfn.XLOOKUP(I72&amp;J72,PRICES!C:C&amp;PRICES!B:B,IF(PRICES!F:F&lt;&gt;"",PRICES!F:F,PRICES!E:E),"")),""))</f>
        <v/>
      </c>
      <c r="X72" s="154" t="str" cm="1">
        <f t="array" ref="X72">IF(Table13[[#This Row],[QUANTITY]]="","",IFERROR(IF(U72&lt;&gt;"",_xlfn.XLOOKUP(I72&amp;J72&amp;V72,PRICES!C:C&amp;PRICES!B:B&amp;PRICES!D:D,PRICES!G:G,"")),""))</f>
        <v/>
      </c>
      <c r="Y72" s="154" t="str">
        <f t="shared" ca="1" si="14"/>
        <v/>
      </c>
      <c r="Z72" s="154" t="str">
        <f t="shared" ca="1" si="15"/>
        <v/>
      </c>
      <c r="AA72" s="154" t="str">
        <f t="shared" ca="1" si="16"/>
        <v/>
      </c>
      <c r="AB72" s="154" t="str">
        <f t="shared" ca="1" si="17"/>
        <v/>
      </c>
      <c r="AC72" s="154" t="str">
        <f t="shared" ca="1" si="12"/>
        <v/>
      </c>
      <c r="AD72" s="154" t="str">
        <f>IF(Table13[[#This Row],[QUANTITY]]="","",
  IF(AND(Y72="",Z72="",AA72="",AB72="",AC72=""),
    U72*X72,
  ""))</f>
        <v/>
      </c>
      <c r="AE72" s="154" t="str">
        <f t="shared" ca="1" si="18"/>
        <v/>
      </c>
      <c r="AF72" s="154" t="str">
        <f t="shared" si="19"/>
        <v/>
      </c>
      <c r="AG72" s="154" t="str" cm="1">
        <f t="array" aca="1" ref="AG72" ca="1">IF(Table13[[#This Row],[TOTAL HIRE COST]]="","",IFERROR(IF(U72&lt;&gt;"",_xlfn.XLOOKUP(J72&amp;I72&amp;V72,PRICES!B:B&amp;PRICES!C:C&amp;PRICES!D:D,PRICES!H:H,"")),""))</f>
        <v/>
      </c>
      <c r="AH72" s="154" t="str" cm="1">
        <f t="array" aca="1" ref="AH72" ca="1">IF(Table13[[#This Row],[TOTAL HIRE COST]]="","",IFERROR(IF(U72&lt;&gt;"",_xlfn.XLOOKUP(J72&amp;I72&amp;V72,PRICES!B:B&amp;PRICES!C:C&amp;PRICES!D:D,PRICES!I:I,"")),""))</f>
        <v/>
      </c>
      <c r="AI72" s="154" t="str">
        <f ca="1">IF(Table13[[#This Row],[TOTAL HIRE COST]]="","",Table13[[#This Row],[TOTAL HIRE COST]]+Table13[[#This Row],[DELIVERY COST]]+Table13[[#This Row],[COLLECTION COST]])</f>
        <v/>
      </c>
      <c r="AJ72" s="153" t="str">
        <f>IF(Table13[[#This Row],[Date to Hire (DH)]]="","",YEAR(Table13[[#This Row],[Date to Hire (DH)]]))</f>
        <v/>
      </c>
      <c r="AK72" s="153" t="str">
        <f>IF(Table13[[#This Row],[Date to Hire (DH)]]="","",MONTH(Table13[[#This Row],[Date to Hire (DH)]]))</f>
        <v/>
      </c>
      <c r="AL72" s="153" t="str">
        <f>IF(Table13[[#This Row],[Date to Hire (DH)]]="","",WEEKNUM(Table13[[#This Row],[Date to Hire (DH)]]))</f>
        <v/>
      </c>
      <c r="AM72" s="153" t="str">
        <f>TEXT(Table13[[#This Row],[YEAR]],"0000")&amp;"-"&amp;Table13[[#This Row],[MONTH]]</f>
        <v>-</v>
      </c>
      <c r="AN72" s="153" t="str">
        <f>IF(Table13[[#This Row],[Date of Planned Offhire (DoPO) / If Applicable]]="","",YEAR(Table13[[#This Row],[Date of Planned Offhire (DoPO) / If Applicable]]))</f>
        <v/>
      </c>
      <c r="AO72" s="153" t="str">
        <f>IF(Table13[[#This Row],[Date of Planned Offhire (DoPO) / If Applicable]]="","",MONTH(Table13[[#This Row],[Date of Planned Offhire (DoPO) / If Applicable]]))</f>
        <v/>
      </c>
      <c r="AP72" s="153" t="str">
        <f>IF(Table13[[#This Row],[Date of Planned Offhire (DoPO) / If Applicable]]="","",WEEKNUM(Table13[[#This Row],[Date of Planned Offhire (DoPO) / If Applicable]]))</f>
        <v/>
      </c>
      <c r="AQ72" s="153" t="str">
        <f>TEXT(Table13[[#This Row],[YEAR2]],"0000")&amp;"-"&amp;Table13[[#This Row],[MONTH2]]</f>
        <v>-</v>
      </c>
      <c r="AR72" s="153" t="str">
        <f>IF(Table13[[#This Row],[Actual Date to Offhire (ADtO)]]="","",YEAR(Table13[[#This Row],[Actual Date to Offhire (ADtO)]]))</f>
        <v/>
      </c>
      <c r="AS72" s="153" t="str">
        <f>IF(Table13[[#This Row],[Actual Date to Offhire (ADtO)]]="","",MONTH(Table13[[#This Row],[Actual Date to Offhire (ADtO)]]))</f>
        <v/>
      </c>
      <c r="AT72" s="153" t="str">
        <f>IF(Table13[[#This Row],[Actual Date to Offhire (ADtO)]]="","",WEEKNUM(Table13[[#This Row],[Actual Date to Offhire (ADtO)]]))</f>
        <v/>
      </c>
      <c r="AU72" s="153" t="str">
        <f>TEXT(Table13[[#This Row],[YEAR3]],"0000")&amp;"-"&amp;Table13[[#This Row],[MONTH3]]</f>
        <v>-</v>
      </c>
      <c r="AV72" s="153">
        <f>IF(E72="",0,
  IF('Delivery Report'!A$2*100+'Delivery Report'!A$5 &lt; YEAR(E72)*100+WEEKNUM(E72), 0,
    IF(OR(G72="", 'Delivery Report'!A$2*100+'Delivery Report'!A$5 &lt;= YEAR(G72)*100+WEEKNUM(G72)),
      IF(LOWER(W72)="hourly", U72*X72*56,
      IF(LOWER(W72)="daily", U72*X72*7,
      IF(LOWER(W72)="weekly", U72*X72,
      IF(LOWER(W72)="monthly", U72*X72*12/52,
      IF(LOWER(W72)="yearly", U72*X72/52,
      IF(LOWER(W72)="one-off", U72*X72,
      0)))))),
    0)))</f>
        <v>0</v>
      </c>
    </row>
    <row r="73" spans="3:48" x14ac:dyDescent="0.3">
      <c r="E73" s="1"/>
      <c r="F73" s="1"/>
      <c r="G73" s="1"/>
      <c r="H73" s="164" t="s">
        <v>317</v>
      </c>
      <c r="P73" s="153" t="str">
        <f t="shared" si="13"/>
        <v/>
      </c>
      <c r="Q73" s="155">
        <f>IF(Table13[[#This Row],[HGVs (Collection)]]="",O73,Table13[[#This Row],[HGVs (Delivery)]]+Table13[[#This Row],[HGVs (Collection)]])</f>
        <v>0</v>
      </c>
      <c r="W73" s="153" t="str" cm="1">
        <f t="array" ref="W73">IF(Table13[[#This Row],[QUANTITY]]="","",IFERROR(IF(V73&lt;&gt;"",_xlfn.XLOOKUP(I73&amp;J73,PRICES!C:C&amp;PRICES!B:B,IF(PRICES!F:F&lt;&gt;"",PRICES!F:F,PRICES!E:E),"")),""))</f>
        <v/>
      </c>
      <c r="X73" s="154" t="str" cm="1">
        <f t="array" ref="X73">IF(Table13[[#This Row],[QUANTITY]]="","",IFERROR(IF(U73&lt;&gt;"",_xlfn.XLOOKUP(I73&amp;J73&amp;V73,PRICES!C:C&amp;PRICES!B:B&amp;PRICES!D:D,PRICES!G:G,"")),""))</f>
        <v/>
      </c>
      <c r="Y73" s="154" t="str">
        <f t="shared" ca="1" si="14"/>
        <v/>
      </c>
      <c r="Z73" s="154" t="str">
        <f t="shared" ca="1" si="15"/>
        <v/>
      </c>
      <c r="AA73" s="154" t="str">
        <f t="shared" ca="1" si="16"/>
        <v/>
      </c>
      <c r="AB73" s="154" t="str">
        <f t="shared" ca="1" si="17"/>
        <v/>
      </c>
      <c r="AC73" s="154" t="str">
        <f t="shared" ca="1" si="12"/>
        <v/>
      </c>
      <c r="AD73" s="154" t="str">
        <f>IF(Table13[[#This Row],[QUANTITY]]="","",
  IF(AND(Y73="",Z73="",AA73="",AB73="",AC73=""),
    U73*X73,
  ""))</f>
        <v/>
      </c>
      <c r="AE73" s="154" t="str">
        <f t="shared" ca="1" si="18"/>
        <v/>
      </c>
      <c r="AF73" s="154" t="str">
        <f t="shared" si="19"/>
        <v/>
      </c>
      <c r="AG73" s="154" t="str" cm="1">
        <f t="array" aca="1" ref="AG73" ca="1">IF(Table13[[#This Row],[TOTAL HIRE COST]]="","",IFERROR(IF(U73&lt;&gt;"",_xlfn.XLOOKUP(J73&amp;I73&amp;V73,PRICES!B:B&amp;PRICES!C:C&amp;PRICES!D:D,PRICES!H:H,"")),""))</f>
        <v/>
      </c>
      <c r="AH73" s="154" t="str" cm="1">
        <f t="array" aca="1" ref="AH73" ca="1">IF(Table13[[#This Row],[TOTAL HIRE COST]]="","",IFERROR(IF(U73&lt;&gt;"",_xlfn.XLOOKUP(J73&amp;I73&amp;V73,PRICES!B:B&amp;PRICES!C:C&amp;PRICES!D:D,PRICES!I:I,"")),""))</f>
        <v/>
      </c>
      <c r="AI73" s="154" t="str">
        <f ca="1">IF(Table13[[#This Row],[TOTAL HIRE COST]]="","",Table13[[#This Row],[TOTAL HIRE COST]]+Table13[[#This Row],[DELIVERY COST]]+Table13[[#This Row],[COLLECTION COST]])</f>
        <v/>
      </c>
      <c r="AJ73" s="153" t="str">
        <f>IF(Table13[[#This Row],[Date to Hire (DH)]]="","",YEAR(Table13[[#This Row],[Date to Hire (DH)]]))</f>
        <v/>
      </c>
      <c r="AK73" s="153" t="str">
        <f>IF(Table13[[#This Row],[Date to Hire (DH)]]="","",MONTH(Table13[[#This Row],[Date to Hire (DH)]]))</f>
        <v/>
      </c>
      <c r="AL73" s="153" t="str">
        <f>IF(Table13[[#This Row],[Date to Hire (DH)]]="","",WEEKNUM(Table13[[#This Row],[Date to Hire (DH)]]))</f>
        <v/>
      </c>
      <c r="AM73" s="153" t="str">
        <f>TEXT(Table13[[#This Row],[YEAR]],"0000")&amp;"-"&amp;Table13[[#This Row],[MONTH]]</f>
        <v>-</v>
      </c>
      <c r="AN73" s="153" t="str">
        <f>IF(Table13[[#This Row],[Date of Planned Offhire (DoPO) / If Applicable]]="","",YEAR(Table13[[#This Row],[Date of Planned Offhire (DoPO) / If Applicable]]))</f>
        <v/>
      </c>
      <c r="AO73" s="153" t="str">
        <f>IF(Table13[[#This Row],[Date of Planned Offhire (DoPO) / If Applicable]]="","",MONTH(Table13[[#This Row],[Date of Planned Offhire (DoPO) / If Applicable]]))</f>
        <v/>
      </c>
      <c r="AP73" s="153" t="str">
        <f>IF(Table13[[#This Row],[Date of Planned Offhire (DoPO) / If Applicable]]="","",WEEKNUM(Table13[[#This Row],[Date of Planned Offhire (DoPO) / If Applicable]]))</f>
        <v/>
      </c>
      <c r="AQ73" s="153" t="str">
        <f>TEXT(Table13[[#This Row],[YEAR2]],"0000")&amp;"-"&amp;Table13[[#This Row],[MONTH2]]</f>
        <v>-</v>
      </c>
      <c r="AR73" s="153" t="str">
        <f>IF(Table13[[#This Row],[Actual Date to Offhire (ADtO)]]="","",YEAR(Table13[[#This Row],[Actual Date to Offhire (ADtO)]]))</f>
        <v/>
      </c>
      <c r="AS73" s="153" t="str">
        <f>IF(Table13[[#This Row],[Actual Date to Offhire (ADtO)]]="","",MONTH(Table13[[#This Row],[Actual Date to Offhire (ADtO)]]))</f>
        <v/>
      </c>
      <c r="AT73" s="153" t="str">
        <f>IF(Table13[[#This Row],[Actual Date to Offhire (ADtO)]]="","",WEEKNUM(Table13[[#This Row],[Actual Date to Offhire (ADtO)]]))</f>
        <v/>
      </c>
      <c r="AU73" s="153" t="str">
        <f>TEXT(Table13[[#This Row],[YEAR3]],"0000")&amp;"-"&amp;Table13[[#This Row],[MONTH3]]</f>
        <v>-</v>
      </c>
      <c r="AV73" s="153">
        <f>IF(E73="",0,
  IF('Delivery Report'!A$2*100+'Delivery Report'!A$5 &lt; YEAR(E73)*100+WEEKNUM(E73), 0,
    IF(OR(G73="", 'Delivery Report'!A$2*100+'Delivery Report'!A$5 &lt;= YEAR(G73)*100+WEEKNUM(G73)),
      IF(LOWER(W73)="hourly", U73*X73*56,
      IF(LOWER(W73)="daily", U73*X73*7,
      IF(LOWER(W73)="weekly", U73*X73,
      IF(LOWER(W73)="monthly", U73*X73*12/52,
      IF(LOWER(W73)="yearly", U73*X73/52,
      IF(LOWER(W73)="one-off", U73*X73,
      0)))))),
    0)))</f>
        <v>0</v>
      </c>
    </row>
    <row r="74" spans="3:48" x14ac:dyDescent="0.3">
      <c r="E74" s="1"/>
      <c r="F74" s="1"/>
      <c r="G74" s="1"/>
      <c r="H74" s="164" t="s">
        <v>317</v>
      </c>
      <c r="P74" s="153" t="str">
        <f t="shared" si="13"/>
        <v/>
      </c>
      <c r="Q74" s="155">
        <f>IF(Table13[[#This Row],[HGVs (Collection)]]="",O74,Table13[[#This Row],[HGVs (Delivery)]]+Table13[[#This Row],[HGVs (Collection)]])</f>
        <v>0</v>
      </c>
      <c r="W74" s="153" t="str" cm="1">
        <f t="array" ref="W74">IF(Table13[[#This Row],[QUANTITY]]="","",IFERROR(IF(V74&lt;&gt;"",_xlfn.XLOOKUP(I74&amp;J74,PRICES!C:C&amp;PRICES!B:B,IF(PRICES!F:F&lt;&gt;"",PRICES!F:F,PRICES!E:E),"")),""))</f>
        <v/>
      </c>
      <c r="X74" s="154" t="str" cm="1">
        <f t="array" ref="X74">IF(Table13[[#This Row],[QUANTITY]]="","",IFERROR(IF(U74&lt;&gt;"",_xlfn.XLOOKUP(I74&amp;J74&amp;V74,PRICES!C:C&amp;PRICES!B:B&amp;PRICES!D:D,PRICES!G:G,"")),""))</f>
        <v/>
      </c>
      <c r="Y74" s="154" t="str">
        <f t="shared" ca="1" si="14"/>
        <v/>
      </c>
      <c r="Z74" s="154" t="str">
        <f t="shared" ca="1" si="15"/>
        <v/>
      </c>
      <c r="AA74" s="154" t="str">
        <f t="shared" ca="1" si="16"/>
        <v/>
      </c>
      <c r="AB74" s="154" t="str">
        <f t="shared" ca="1" si="17"/>
        <v/>
      </c>
      <c r="AC74" s="154" t="str">
        <f t="shared" ca="1" si="12"/>
        <v/>
      </c>
      <c r="AD74" s="154" t="str">
        <f>IF(Table13[[#This Row],[QUANTITY]]="","",
  IF(AND(Y74="",Z74="",AA74="",AB74="",AC74=""),
    U74*X74,
  ""))</f>
        <v/>
      </c>
      <c r="AE74" s="154" t="str">
        <f t="shared" ca="1" si="18"/>
        <v/>
      </c>
      <c r="AF74" s="154" t="str">
        <f t="shared" si="19"/>
        <v/>
      </c>
      <c r="AG74" s="154" t="str" cm="1">
        <f t="array" aca="1" ref="AG74" ca="1">IF(Table13[[#This Row],[TOTAL HIRE COST]]="","",IFERROR(IF(U74&lt;&gt;"",_xlfn.XLOOKUP(J74&amp;I74&amp;V74,PRICES!B:B&amp;PRICES!C:C&amp;PRICES!D:D,PRICES!H:H,"")),""))</f>
        <v/>
      </c>
      <c r="AH74" s="154" t="str" cm="1">
        <f t="array" aca="1" ref="AH74" ca="1">IF(Table13[[#This Row],[TOTAL HIRE COST]]="","",IFERROR(IF(U74&lt;&gt;"",_xlfn.XLOOKUP(J74&amp;I74&amp;V74,PRICES!B:B&amp;PRICES!C:C&amp;PRICES!D:D,PRICES!I:I,"")),""))</f>
        <v/>
      </c>
      <c r="AI74" s="154" t="str">
        <f ca="1">IF(Table13[[#This Row],[TOTAL HIRE COST]]="","",Table13[[#This Row],[TOTAL HIRE COST]]+Table13[[#This Row],[DELIVERY COST]]+Table13[[#This Row],[COLLECTION COST]])</f>
        <v/>
      </c>
      <c r="AJ74" s="153" t="str">
        <f>IF(Table13[[#This Row],[Date to Hire (DH)]]="","",YEAR(Table13[[#This Row],[Date to Hire (DH)]]))</f>
        <v/>
      </c>
      <c r="AK74" s="153" t="str">
        <f>IF(Table13[[#This Row],[Date to Hire (DH)]]="","",MONTH(Table13[[#This Row],[Date to Hire (DH)]]))</f>
        <v/>
      </c>
      <c r="AL74" s="153" t="str">
        <f>IF(Table13[[#This Row],[Date to Hire (DH)]]="","",WEEKNUM(Table13[[#This Row],[Date to Hire (DH)]]))</f>
        <v/>
      </c>
      <c r="AM74" s="153" t="str">
        <f>TEXT(Table13[[#This Row],[YEAR]],"0000")&amp;"-"&amp;Table13[[#This Row],[MONTH]]</f>
        <v>-</v>
      </c>
      <c r="AN74" s="153" t="str">
        <f>IF(Table13[[#This Row],[Date of Planned Offhire (DoPO) / If Applicable]]="","",YEAR(Table13[[#This Row],[Date of Planned Offhire (DoPO) / If Applicable]]))</f>
        <v/>
      </c>
      <c r="AO74" s="153" t="str">
        <f>IF(Table13[[#This Row],[Date of Planned Offhire (DoPO) / If Applicable]]="","",MONTH(Table13[[#This Row],[Date of Planned Offhire (DoPO) / If Applicable]]))</f>
        <v/>
      </c>
      <c r="AP74" s="153" t="str">
        <f>IF(Table13[[#This Row],[Date of Planned Offhire (DoPO) / If Applicable]]="","",WEEKNUM(Table13[[#This Row],[Date of Planned Offhire (DoPO) / If Applicable]]))</f>
        <v/>
      </c>
      <c r="AQ74" s="153" t="str">
        <f>TEXT(Table13[[#This Row],[YEAR2]],"0000")&amp;"-"&amp;Table13[[#This Row],[MONTH2]]</f>
        <v>-</v>
      </c>
      <c r="AR74" s="153" t="str">
        <f>IF(Table13[[#This Row],[Actual Date to Offhire (ADtO)]]="","",YEAR(Table13[[#This Row],[Actual Date to Offhire (ADtO)]]))</f>
        <v/>
      </c>
      <c r="AS74" s="153" t="str">
        <f>IF(Table13[[#This Row],[Actual Date to Offhire (ADtO)]]="","",MONTH(Table13[[#This Row],[Actual Date to Offhire (ADtO)]]))</f>
        <v/>
      </c>
      <c r="AT74" s="153" t="str">
        <f>IF(Table13[[#This Row],[Actual Date to Offhire (ADtO)]]="","",WEEKNUM(Table13[[#This Row],[Actual Date to Offhire (ADtO)]]))</f>
        <v/>
      </c>
      <c r="AU74" s="153" t="str">
        <f>TEXT(Table13[[#This Row],[YEAR3]],"0000")&amp;"-"&amp;Table13[[#This Row],[MONTH3]]</f>
        <v>-</v>
      </c>
      <c r="AV74" s="153">
        <f>IF(E74="",0,
  IF('Delivery Report'!A$2*100+'Delivery Report'!A$5 &lt; YEAR(E74)*100+WEEKNUM(E74), 0,
    IF(OR(G74="", 'Delivery Report'!A$2*100+'Delivery Report'!A$5 &lt;= YEAR(G74)*100+WEEKNUM(G74)),
      IF(LOWER(W74)="hourly", U74*X74*56,
      IF(LOWER(W74)="daily", U74*X74*7,
      IF(LOWER(W74)="weekly", U74*X74,
      IF(LOWER(W74)="monthly", U74*X74*12/52,
      IF(LOWER(W74)="yearly", U74*X74/52,
      IF(LOWER(W74)="one-off", U74*X74,
      0)))))),
    0)))</f>
        <v>0</v>
      </c>
    </row>
    <row r="75" spans="3:48" x14ac:dyDescent="0.3">
      <c r="E75" s="1"/>
      <c r="F75" s="1"/>
      <c r="G75" s="1"/>
      <c r="H75" s="164" t="s">
        <v>317</v>
      </c>
      <c r="P75" s="153" t="str">
        <f t="shared" si="13"/>
        <v/>
      </c>
      <c r="Q75" s="155">
        <f>IF(Table13[[#This Row],[HGVs (Collection)]]="",O75,Table13[[#This Row],[HGVs (Delivery)]]+Table13[[#This Row],[HGVs (Collection)]])</f>
        <v>0</v>
      </c>
      <c r="W75" s="153" t="str" cm="1">
        <f t="array" ref="W75">IF(Table13[[#This Row],[QUANTITY]]="","",IFERROR(IF(V75&lt;&gt;"",_xlfn.XLOOKUP(I75&amp;J75,PRICES!C:C&amp;PRICES!B:B,IF(PRICES!F:F&lt;&gt;"",PRICES!F:F,PRICES!E:E),"")),""))</f>
        <v/>
      </c>
      <c r="X75" s="154" t="str" cm="1">
        <f t="array" ref="X75">IF(Table13[[#This Row],[QUANTITY]]="","",IFERROR(IF(U75&lt;&gt;"",_xlfn.XLOOKUP(I75&amp;J75&amp;V75,PRICES!C:C&amp;PRICES!B:B&amp;PRICES!D:D,PRICES!G:G,"")),""))</f>
        <v/>
      </c>
      <c r="Y75" s="154" t="str">
        <f t="shared" ca="1" si="14"/>
        <v/>
      </c>
      <c r="Z75" s="154" t="str">
        <f t="shared" ca="1" si="15"/>
        <v/>
      </c>
      <c r="AA75" s="154" t="str">
        <f t="shared" ca="1" si="16"/>
        <v/>
      </c>
      <c r="AB75" s="154" t="str">
        <f t="shared" ca="1" si="17"/>
        <v/>
      </c>
      <c r="AC75" s="154" t="str">
        <f t="shared" ca="1" si="12"/>
        <v/>
      </c>
      <c r="AD75" s="154" t="str">
        <f>IF(Table13[[#This Row],[QUANTITY]]="","",
  IF(AND(Y75="",Z75="",AA75="",AB75="",AC75=""),
    U75*X75,
  ""))</f>
        <v/>
      </c>
      <c r="AE75" s="154" t="str">
        <f t="shared" ca="1" si="18"/>
        <v/>
      </c>
      <c r="AF75" s="154" t="str">
        <f t="shared" si="19"/>
        <v/>
      </c>
      <c r="AG75" s="154" t="str" cm="1">
        <f t="array" aca="1" ref="AG75" ca="1">IF(Table13[[#This Row],[TOTAL HIRE COST]]="","",IFERROR(IF(U75&lt;&gt;"",_xlfn.XLOOKUP(J75&amp;I75&amp;V75,PRICES!B:B&amp;PRICES!C:C&amp;PRICES!D:D,PRICES!H:H,"")),""))</f>
        <v/>
      </c>
      <c r="AH75" s="154" t="str" cm="1">
        <f t="array" aca="1" ref="AH75" ca="1">IF(Table13[[#This Row],[TOTAL HIRE COST]]="","",IFERROR(IF(U75&lt;&gt;"",_xlfn.XLOOKUP(J75&amp;I75&amp;V75,PRICES!B:B&amp;PRICES!C:C&amp;PRICES!D:D,PRICES!I:I,"")),""))</f>
        <v/>
      </c>
      <c r="AI75" s="154" t="str">
        <f ca="1">IF(Table13[[#This Row],[TOTAL HIRE COST]]="","",Table13[[#This Row],[TOTAL HIRE COST]]+Table13[[#This Row],[DELIVERY COST]]+Table13[[#This Row],[COLLECTION COST]])</f>
        <v/>
      </c>
      <c r="AJ75" s="153" t="str">
        <f>IF(Table13[[#This Row],[Date to Hire (DH)]]="","",YEAR(Table13[[#This Row],[Date to Hire (DH)]]))</f>
        <v/>
      </c>
      <c r="AK75" s="153" t="str">
        <f>IF(Table13[[#This Row],[Date to Hire (DH)]]="","",MONTH(Table13[[#This Row],[Date to Hire (DH)]]))</f>
        <v/>
      </c>
      <c r="AL75" s="153" t="str">
        <f>IF(Table13[[#This Row],[Date to Hire (DH)]]="","",WEEKNUM(Table13[[#This Row],[Date to Hire (DH)]]))</f>
        <v/>
      </c>
      <c r="AM75" s="153" t="str">
        <f>TEXT(Table13[[#This Row],[YEAR]],"0000")&amp;"-"&amp;Table13[[#This Row],[MONTH]]</f>
        <v>-</v>
      </c>
      <c r="AN75" s="153" t="str">
        <f>IF(Table13[[#This Row],[Date of Planned Offhire (DoPO) / If Applicable]]="","",YEAR(Table13[[#This Row],[Date of Planned Offhire (DoPO) / If Applicable]]))</f>
        <v/>
      </c>
      <c r="AO75" s="153" t="str">
        <f>IF(Table13[[#This Row],[Date of Planned Offhire (DoPO) / If Applicable]]="","",MONTH(Table13[[#This Row],[Date of Planned Offhire (DoPO) / If Applicable]]))</f>
        <v/>
      </c>
      <c r="AP75" s="153" t="str">
        <f>IF(Table13[[#This Row],[Date of Planned Offhire (DoPO) / If Applicable]]="","",WEEKNUM(Table13[[#This Row],[Date of Planned Offhire (DoPO) / If Applicable]]))</f>
        <v/>
      </c>
      <c r="AQ75" s="153" t="str">
        <f>TEXT(Table13[[#This Row],[YEAR2]],"0000")&amp;"-"&amp;Table13[[#This Row],[MONTH2]]</f>
        <v>-</v>
      </c>
      <c r="AR75" s="153" t="str">
        <f>IF(Table13[[#This Row],[Actual Date to Offhire (ADtO)]]="","",YEAR(Table13[[#This Row],[Actual Date to Offhire (ADtO)]]))</f>
        <v/>
      </c>
      <c r="AS75" s="153" t="str">
        <f>IF(Table13[[#This Row],[Actual Date to Offhire (ADtO)]]="","",MONTH(Table13[[#This Row],[Actual Date to Offhire (ADtO)]]))</f>
        <v/>
      </c>
      <c r="AT75" s="153" t="str">
        <f>IF(Table13[[#This Row],[Actual Date to Offhire (ADtO)]]="","",WEEKNUM(Table13[[#This Row],[Actual Date to Offhire (ADtO)]]))</f>
        <v/>
      </c>
      <c r="AU75" s="153" t="str">
        <f>TEXT(Table13[[#This Row],[YEAR3]],"0000")&amp;"-"&amp;Table13[[#This Row],[MONTH3]]</f>
        <v>-</v>
      </c>
      <c r="AV75" s="153">
        <f>IF(E75="",0,
  IF('Delivery Report'!A$2*100+'Delivery Report'!A$5 &lt; YEAR(E75)*100+WEEKNUM(E75), 0,
    IF(OR(G75="", 'Delivery Report'!A$2*100+'Delivery Report'!A$5 &lt;= YEAR(G75)*100+WEEKNUM(G75)),
      IF(LOWER(W75)="hourly", U75*X75*56,
      IF(LOWER(W75)="daily", U75*X75*7,
      IF(LOWER(W75)="weekly", U75*X75,
      IF(LOWER(W75)="monthly", U75*X75*12/52,
      IF(LOWER(W75)="yearly", U75*X75/52,
      IF(LOWER(W75)="one-off", U75*X75,
      0)))))),
    0)))</f>
        <v>0</v>
      </c>
    </row>
    <row r="76" spans="3:48" x14ac:dyDescent="0.3">
      <c r="E76" s="1"/>
      <c r="F76" s="1"/>
      <c r="G76" s="1"/>
      <c r="H76" s="164" t="s">
        <v>317</v>
      </c>
      <c r="P76" s="153" t="str">
        <f t="shared" si="13"/>
        <v/>
      </c>
      <c r="Q76" s="155">
        <f>IF(Table13[[#This Row],[HGVs (Collection)]]="",O76,Table13[[#This Row],[HGVs (Delivery)]]+Table13[[#This Row],[HGVs (Collection)]])</f>
        <v>0</v>
      </c>
      <c r="W76" s="153" t="str" cm="1">
        <f t="array" ref="W76">IF(Table13[[#This Row],[QUANTITY]]="","",IFERROR(IF(V76&lt;&gt;"",_xlfn.XLOOKUP(I76&amp;J76,PRICES!C:C&amp;PRICES!B:B,IF(PRICES!F:F&lt;&gt;"",PRICES!F:F,PRICES!E:E),"")),""))</f>
        <v/>
      </c>
      <c r="X76" s="154" t="str" cm="1">
        <f t="array" ref="X76">IF(Table13[[#This Row],[QUANTITY]]="","",IFERROR(IF(U76&lt;&gt;"",_xlfn.XLOOKUP(I76&amp;J76&amp;V76,PRICES!C:C&amp;PRICES!B:B&amp;PRICES!D:D,PRICES!G:G,"")),""))</f>
        <v/>
      </c>
      <c r="Y76" s="154" t="str">
        <f t="shared" ca="1" si="14"/>
        <v/>
      </c>
      <c r="Z76" s="154" t="str">
        <f t="shared" ca="1" si="15"/>
        <v/>
      </c>
      <c r="AA76" s="154" t="str">
        <f t="shared" ca="1" si="16"/>
        <v/>
      </c>
      <c r="AB76" s="154" t="str">
        <f t="shared" ca="1" si="17"/>
        <v/>
      </c>
      <c r="AC76" s="154" t="str">
        <f t="shared" ca="1" si="12"/>
        <v/>
      </c>
      <c r="AD76" s="154" t="str">
        <f>IF(Table13[[#This Row],[QUANTITY]]="","",
  IF(AND(Y76="",Z76="",AA76="",AB76="",AC76=""),
    U76*X76,
  ""))</f>
        <v/>
      </c>
      <c r="AE76" s="154" t="str">
        <f t="shared" ca="1" si="18"/>
        <v/>
      </c>
      <c r="AF76" s="154" t="str">
        <f t="shared" si="19"/>
        <v/>
      </c>
      <c r="AG76" s="154" t="str" cm="1">
        <f t="array" aca="1" ref="AG76" ca="1">IF(Table13[[#This Row],[TOTAL HIRE COST]]="","",IFERROR(IF(U76&lt;&gt;"",_xlfn.XLOOKUP(J76&amp;I76&amp;V76,PRICES!B:B&amp;PRICES!C:C&amp;PRICES!D:D,PRICES!H:H,"")),""))</f>
        <v/>
      </c>
      <c r="AH76" s="154" t="str" cm="1">
        <f t="array" aca="1" ref="AH76" ca="1">IF(Table13[[#This Row],[TOTAL HIRE COST]]="","",IFERROR(IF(U76&lt;&gt;"",_xlfn.XLOOKUP(J76&amp;I76&amp;V76,PRICES!B:B&amp;PRICES!C:C&amp;PRICES!D:D,PRICES!I:I,"")),""))</f>
        <v/>
      </c>
      <c r="AI76" s="154" t="str">
        <f ca="1">IF(Table13[[#This Row],[TOTAL HIRE COST]]="","",Table13[[#This Row],[TOTAL HIRE COST]]+Table13[[#This Row],[DELIVERY COST]]+Table13[[#This Row],[COLLECTION COST]])</f>
        <v/>
      </c>
      <c r="AJ76" s="153" t="str">
        <f>IF(Table13[[#This Row],[Date to Hire (DH)]]="","",YEAR(Table13[[#This Row],[Date to Hire (DH)]]))</f>
        <v/>
      </c>
      <c r="AK76" s="153" t="str">
        <f>IF(Table13[[#This Row],[Date to Hire (DH)]]="","",MONTH(Table13[[#This Row],[Date to Hire (DH)]]))</f>
        <v/>
      </c>
      <c r="AL76" s="153" t="str">
        <f>IF(Table13[[#This Row],[Date to Hire (DH)]]="","",WEEKNUM(Table13[[#This Row],[Date to Hire (DH)]]))</f>
        <v/>
      </c>
      <c r="AM76" s="153" t="str">
        <f>TEXT(Table13[[#This Row],[YEAR]],"0000")&amp;"-"&amp;Table13[[#This Row],[MONTH]]</f>
        <v>-</v>
      </c>
      <c r="AN76" s="153" t="str">
        <f>IF(Table13[[#This Row],[Date of Planned Offhire (DoPO) / If Applicable]]="","",YEAR(Table13[[#This Row],[Date of Planned Offhire (DoPO) / If Applicable]]))</f>
        <v/>
      </c>
      <c r="AO76" s="153" t="str">
        <f>IF(Table13[[#This Row],[Date of Planned Offhire (DoPO) / If Applicable]]="","",MONTH(Table13[[#This Row],[Date of Planned Offhire (DoPO) / If Applicable]]))</f>
        <v/>
      </c>
      <c r="AP76" s="153" t="str">
        <f>IF(Table13[[#This Row],[Date of Planned Offhire (DoPO) / If Applicable]]="","",WEEKNUM(Table13[[#This Row],[Date of Planned Offhire (DoPO) / If Applicable]]))</f>
        <v/>
      </c>
      <c r="AQ76" s="153" t="str">
        <f>TEXT(Table13[[#This Row],[YEAR2]],"0000")&amp;"-"&amp;Table13[[#This Row],[MONTH2]]</f>
        <v>-</v>
      </c>
      <c r="AR76" s="153" t="str">
        <f>IF(Table13[[#This Row],[Actual Date to Offhire (ADtO)]]="","",YEAR(Table13[[#This Row],[Actual Date to Offhire (ADtO)]]))</f>
        <v/>
      </c>
      <c r="AS76" s="153" t="str">
        <f>IF(Table13[[#This Row],[Actual Date to Offhire (ADtO)]]="","",MONTH(Table13[[#This Row],[Actual Date to Offhire (ADtO)]]))</f>
        <v/>
      </c>
      <c r="AT76" s="153" t="str">
        <f>IF(Table13[[#This Row],[Actual Date to Offhire (ADtO)]]="","",WEEKNUM(Table13[[#This Row],[Actual Date to Offhire (ADtO)]]))</f>
        <v/>
      </c>
      <c r="AU76" s="153" t="str">
        <f>TEXT(Table13[[#This Row],[YEAR3]],"0000")&amp;"-"&amp;Table13[[#This Row],[MONTH3]]</f>
        <v>-</v>
      </c>
      <c r="AV76" s="153">
        <f>IF(E76="",0,
  IF('Delivery Report'!A$2*100+'Delivery Report'!A$5 &lt; YEAR(E76)*100+WEEKNUM(E76), 0,
    IF(OR(G76="", 'Delivery Report'!A$2*100+'Delivery Report'!A$5 &lt;= YEAR(G76)*100+WEEKNUM(G76)),
      IF(LOWER(W76)="hourly", U76*X76*56,
      IF(LOWER(W76)="daily", U76*X76*7,
      IF(LOWER(W76)="weekly", U76*X76,
      IF(LOWER(W76)="monthly", U76*X76*12/52,
      IF(LOWER(W76)="yearly", U76*X76/52,
      IF(LOWER(W76)="one-off", U76*X76,
      0)))))),
    0)))</f>
        <v>0</v>
      </c>
    </row>
    <row r="77" spans="3:48" x14ac:dyDescent="0.3">
      <c r="E77" s="1"/>
      <c r="F77" s="1"/>
      <c r="G77" s="1"/>
      <c r="H77" s="164" t="s">
        <v>317</v>
      </c>
      <c r="P77" s="153" t="str">
        <f t="shared" si="13"/>
        <v/>
      </c>
      <c r="Q77" s="155">
        <f>IF(Table13[[#This Row],[HGVs (Collection)]]="",O77,Table13[[#This Row],[HGVs (Delivery)]]+Table13[[#This Row],[HGVs (Collection)]])</f>
        <v>0</v>
      </c>
      <c r="W77" s="153" t="str" cm="1">
        <f t="array" ref="W77">IF(Table13[[#This Row],[QUANTITY]]="","",IFERROR(IF(V77&lt;&gt;"",_xlfn.XLOOKUP(I77&amp;J77,PRICES!C:C&amp;PRICES!B:B,IF(PRICES!F:F&lt;&gt;"",PRICES!F:F,PRICES!E:E),"")),""))</f>
        <v/>
      </c>
      <c r="X77" s="154" t="str" cm="1">
        <f t="array" ref="X77">IF(Table13[[#This Row],[QUANTITY]]="","",IFERROR(IF(U77&lt;&gt;"",_xlfn.XLOOKUP(I77&amp;J77&amp;V77,PRICES!C:C&amp;PRICES!B:B&amp;PRICES!D:D,PRICES!G:G,"")),""))</f>
        <v/>
      </c>
      <c r="Y77" s="154" t="str">
        <f t="shared" ca="1" si="14"/>
        <v/>
      </c>
      <c r="Z77" s="154" t="str">
        <f t="shared" ca="1" si="15"/>
        <v/>
      </c>
      <c r="AA77" s="154" t="str">
        <f t="shared" ca="1" si="16"/>
        <v/>
      </c>
      <c r="AB77" s="154" t="str">
        <f t="shared" ca="1" si="17"/>
        <v/>
      </c>
      <c r="AC77" s="154" t="str">
        <f t="shared" ca="1" si="12"/>
        <v/>
      </c>
      <c r="AD77" s="154" t="str">
        <f>IF(Table13[[#This Row],[QUANTITY]]="","",
  IF(AND(Y77="",Z77="",AA77="",AB77="",AC77=""),
    U77*X77,
  ""))</f>
        <v/>
      </c>
      <c r="AE77" s="154" t="str">
        <f t="shared" ca="1" si="18"/>
        <v/>
      </c>
      <c r="AF77" s="154" t="str">
        <f t="shared" si="19"/>
        <v/>
      </c>
      <c r="AG77" s="154" t="str" cm="1">
        <f t="array" aca="1" ref="AG77" ca="1">IF(Table13[[#This Row],[TOTAL HIRE COST]]="","",IFERROR(IF(U77&lt;&gt;"",_xlfn.XLOOKUP(J77&amp;I77&amp;V77,PRICES!B:B&amp;PRICES!C:C&amp;PRICES!D:D,PRICES!H:H,"")),""))</f>
        <v/>
      </c>
      <c r="AH77" s="154" t="str" cm="1">
        <f t="array" aca="1" ref="AH77" ca="1">IF(Table13[[#This Row],[TOTAL HIRE COST]]="","",IFERROR(IF(U77&lt;&gt;"",_xlfn.XLOOKUP(J77&amp;I77&amp;V77,PRICES!B:B&amp;PRICES!C:C&amp;PRICES!D:D,PRICES!I:I,"")),""))</f>
        <v/>
      </c>
      <c r="AI77" s="154" t="str">
        <f ca="1">IF(Table13[[#This Row],[TOTAL HIRE COST]]="","",Table13[[#This Row],[TOTAL HIRE COST]]+Table13[[#This Row],[DELIVERY COST]]+Table13[[#This Row],[COLLECTION COST]])</f>
        <v/>
      </c>
      <c r="AJ77" s="153" t="str">
        <f>IF(Table13[[#This Row],[Date to Hire (DH)]]="","",YEAR(Table13[[#This Row],[Date to Hire (DH)]]))</f>
        <v/>
      </c>
      <c r="AK77" s="153" t="str">
        <f>IF(Table13[[#This Row],[Date to Hire (DH)]]="","",MONTH(Table13[[#This Row],[Date to Hire (DH)]]))</f>
        <v/>
      </c>
      <c r="AL77" s="153" t="str">
        <f>IF(Table13[[#This Row],[Date to Hire (DH)]]="","",WEEKNUM(Table13[[#This Row],[Date to Hire (DH)]]))</f>
        <v/>
      </c>
      <c r="AM77" s="153" t="str">
        <f>TEXT(Table13[[#This Row],[YEAR]],"0000")&amp;"-"&amp;Table13[[#This Row],[MONTH]]</f>
        <v>-</v>
      </c>
      <c r="AN77" s="153" t="str">
        <f>IF(Table13[[#This Row],[Date of Planned Offhire (DoPO) / If Applicable]]="","",YEAR(Table13[[#This Row],[Date of Planned Offhire (DoPO) / If Applicable]]))</f>
        <v/>
      </c>
      <c r="AO77" s="153" t="str">
        <f>IF(Table13[[#This Row],[Date of Planned Offhire (DoPO) / If Applicable]]="","",MONTH(Table13[[#This Row],[Date of Planned Offhire (DoPO) / If Applicable]]))</f>
        <v/>
      </c>
      <c r="AP77" s="153" t="str">
        <f>IF(Table13[[#This Row],[Date of Planned Offhire (DoPO) / If Applicable]]="","",WEEKNUM(Table13[[#This Row],[Date of Planned Offhire (DoPO) / If Applicable]]))</f>
        <v/>
      </c>
      <c r="AQ77" s="153" t="str">
        <f>TEXT(Table13[[#This Row],[YEAR2]],"0000")&amp;"-"&amp;Table13[[#This Row],[MONTH2]]</f>
        <v>-</v>
      </c>
      <c r="AR77" s="153" t="str">
        <f>IF(Table13[[#This Row],[Actual Date to Offhire (ADtO)]]="","",YEAR(Table13[[#This Row],[Actual Date to Offhire (ADtO)]]))</f>
        <v/>
      </c>
      <c r="AS77" s="153" t="str">
        <f>IF(Table13[[#This Row],[Actual Date to Offhire (ADtO)]]="","",MONTH(Table13[[#This Row],[Actual Date to Offhire (ADtO)]]))</f>
        <v/>
      </c>
      <c r="AT77" s="153" t="str">
        <f>IF(Table13[[#This Row],[Actual Date to Offhire (ADtO)]]="","",WEEKNUM(Table13[[#This Row],[Actual Date to Offhire (ADtO)]]))</f>
        <v/>
      </c>
      <c r="AU77" s="153" t="str">
        <f>TEXT(Table13[[#This Row],[YEAR3]],"0000")&amp;"-"&amp;Table13[[#This Row],[MONTH3]]</f>
        <v>-</v>
      </c>
      <c r="AV77" s="153">
        <f>IF(E77="",0,
  IF('Delivery Report'!A$2*100+'Delivery Report'!A$5 &lt; YEAR(E77)*100+WEEKNUM(E77), 0,
    IF(OR(G77="", 'Delivery Report'!A$2*100+'Delivery Report'!A$5 &lt;= YEAR(G77)*100+WEEKNUM(G77)),
      IF(LOWER(W77)="hourly", U77*X77*56,
      IF(LOWER(W77)="daily", U77*X77*7,
      IF(LOWER(W77)="weekly", U77*X77,
      IF(LOWER(W77)="monthly", U77*X77*12/52,
      IF(LOWER(W77)="yearly", U77*X77/52,
      IF(LOWER(W77)="one-off", U77*X77,
      0)))))),
    0)))</f>
        <v>0</v>
      </c>
    </row>
    <row r="78" spans="3:48" x14ac:dyDescent="0.3">
      <c r="E78" s="1"/>
      <c r="F78" s="1"/>
      <c r="G78" s="1"/>
      <c r="H78" s="164" t="s">
        <v>317</v>
      </c>
      <c r="P78" s="153" t="str">
        <f t="shared" si="13"/>
        <v/>
      </c>
      <c r="Q78" s="155">
        <f>IF(Table13[[#This Row],[HGVs (Collection)]]="",O78,Table13[[#This Row],[HGVs (Delivery)]]+Table13[[#This Row],[HGVs (Collection)]])</f>
        <v>0</v>
      </c>
      <c r="W78" s="153" t="str" cm="1">
        <f t="array" ref="W78">IF(Table13[[#This Row],[QUANTITY]]="","",IFERROR(IF(V78&lt;&gt;"",_xlfn.XLOOKUP(I78&amp;J78,PRICES!C:C&amp;PRICES!B:B,IF(PRICES!F:F&lt;&gt;"",PRICES!F:F,PRICES!E:E),"")),""))</f>
        <v/>
      </c>
      <c r="X78" s="154" t="str" cm="1">
        <f t="array" ref="X78">IF(Table13[[#This Row],[QUANTITY]]="","",IFERROR(IF(U78&lt;&gt;"",_xlfn.XLOOKUP(I78&amp;J78&amp;V78,PRICES!C:C&amp;PRICES!B:B&amp;PRICES!D:D,PRICES!G:G,"")),""))</f>
        <v/>
      </c>
      <c r="Y78" s="154" t="str">
        <f t="shared" ca="1" si="14"/>
        <v/>
      </c>
      <c r="Z78" s="154" t="str">
        <f t="shared" ca="1" si="15"/>
        <v/>
      </c>
      <c r="AA78" s="154" t="str">
        <f t="shared" ca="1" si="16"/>
        <v/>
      </c>
      <c r="AB78" s="154" t="str">
        <f t="shared" ca="1" si="17"/>
        <v/>
      </c>
      <c r="AC78" s="154" t="str">
        <f t="shared" ca="1" si="12"/>
        <v/>
      </c>
      <c r="AD78" s="154" t="str">
        <f>IF(Table13[[#This Row],[QUANTITY]]="","",
  IF(AND(Y78="",Z78="",AA78="",AB78="",AC78=""),
    U78*X78,
  ""))</f>
        <v/>
      </c>
      <c r="AE78" s="154" t="str">
        <f t="shared" ca="1" si="18"/>
        <v/>
      </c>
      <c r="AF78" s="154" t="str">
        <f t="shared" si="19"/>
        <v/>
      </c>
      <c r="AG78" s="154" t="str" cm="1">
        <f t="array" aca="1" ref="AG78" ca="1">IF(Table13[[#This Row],[TOTAL HIRE COST]]="","",IFERROR(IF(U78&lt;&gt;"",_xlfn.XLOOKUP(J78&amp;I78&amp;V78,PRICES!B:B&amp;PRICES!C:C&amp;PRICES!D:D,PRICES!H:H,"")),""))</f>
        <v/>
      </c>
      <c r="AH78" s="154" t="str" cm="1">
        <f t="array" aca="1" ref="AH78" ca="1">IF(Table13[[#This Row],[TOTAL HIRE COST]]="","",IFERROR(IF(U78&lt;&gt;"",_xlfn.XLOOKUP(J78&amp;I78&amp;V78,PRICES!B:B&amp;PRICES!C:C&amp;PRICES!D:D,PRICES!I:I,"")),""))</f>
        <v/>
      </c>
      <c r="AI78" s="154" t="str">
        <f ca="1">IF(Table13[[#This Row],[TOTAL HIRE COST]]="","",Table13[[#This Row],[TOTAL HIRE COST]]+Table13[[#This Row],[DELIVERY COST]]+Table13[[#This Row],[COLLECTION COST]])</f>
        <v/>
      </c>
      <c r="AJ78" s="153" t="str">
        <f>IF(Table13[[#This Row],[Date to Hire (DH)]]="","",YEAR(Table13[[#This Row],[Date to Hire (DH)]]))</f>
        <v/>
      </c>
      <c r="AK78" s="153" t="str">
        <f>IF(Table13[[#This Row],[Date to Hire (DH)]]="","",MONTH(Table13[[#This Row],[Date to Hire (DH)]]))</f>
        <v/>
      </c>
      <c r="AL78" s="153" t="str">
        <f>IF(Table13[[#This Row],[Date to Hire (DH)]]="","",WEEKNUM(Table13[[#This Row],[Date to Hire (DH)]]))</f>
        <v/>
      </c>
      <c r="AM78" s="153" t="str">
        <f>TEXT(Table13[[#This Row],[YEAR]],"0000")&amp;"-"&amp;Table13[[#This Row],[MONTH]]</f>
        <v>-</v>
      </c>
      <c r="AN78" s="153" t="str">
        <f>IF(Table13[[#This Row],[Date of Planned Offhire (DoPO) / If Applicable]]="","",YEAR(Table13[[#This Row],[Date of Planned Offhire (DoPO) / If Applicable]]))</f>
        <v/>
      </c>
      <c r="AO78" s="153" t="str">
        <f>IF(Table13[[#This Row],[Date of Planned Offhire (DoPO) / If Applicable]]="","",MONTH(Table13[[#This Row],[Date of Planned Offhire (DoPO) / If Applicable]]))</f>
        <v/>
      </c>
      <c r="AP78" s="153" t="str">
        <f>IF(Table13[[#This Row],[Date of Planned Offhire (DoPO) / If Applicable]]="","",WEEKNUM(Table13[[#This Row],[Date of Planned Offhire (DoPO) / If Applicable]]))</f>
        <v/>
      </c>
      <c r="AQ78" s="153" t="str">
        <f>TEXT(Table13[[#This Row],[YEAR2]],"0000")&amp;"-"&amp;Table13[[#This Row],[MONTH2]]</f>
        <v>-</v>
      </c>
      <c r="AR78" s="153" t="str">
        <f>IF(Table13[[#This Row],[Actual Date to Offhire (ADtO)]]="","",YEAR(Table13[[#This Row],[Actual Date to Offhire (ADtO)]]))</f>
        <v/>
      </c>
      <c r="AS78" s="153" t="str">
        <f>IF(Table13[[#This Row],[Actual Date to Offhire (ADtO)]]="","",MONTH(Table13[[#This Row],[Actual Date to Offhire (ADtO)]]))</f>
        <v/>
      </c>
      <c r="AT78" s="153" t="str">
        <f>IF(Table13[[#This Row],[Actual Date to Offhire (ADtO)]]="","",WEEKNUM(Table13[[#This Row],[Actual Date to Offhire (ADtO)]]))</f>
        <v/>
      </c>
      <c r="AU78" s="153" t="str">
        <f>TEXT(Table13[[#This Row],[YEAR3]],"0000")&amp;"-"&amp;Table13[[#This Row],[MONTH3]]</f>
        <v>-</v>
      </c>
      <c r="AV78" s="153">
        <f>IF(E78="",0,
  IF('Delivery Report'!A$2*100+'Delivery Report'!A$5 &lt; YEAR(E78)*100+WEEKNUM(E78), 0,
    IF(OR(G78="", 'Delivery Report'!A$2*100+'Delivery Report'!A$5 &lt;= YEAR(G78)*100+WEEKNUM(G78)),
      IF(LOWER(W78)="hourly", U78*X78*56,
      IF(LOWER(W78)="daily", U78*X78*7,
      IF(LOWER(W78)="weekly", U78*X78,
      IF(LOWER(W78)="monthly", U78*X78*12/52,
      IF(LOWER(W78)="yearly", U78*X78/52,
      IF(LOWER(W78)="one-off", U78*X78,
      0)))))),
    0)))</f>
        <v>0</v>
      </c>
    </row>
    <row r="79" spans="3:48" x14ac:dyDescent="0.3">
      <c r="E79" s="1"/>
      <c r="F79" s="1"/>
      <c r="G79" s="1"/>
      <c r="H79" s="164" t="s">
        <v>317</v>
      </c>
      <c r="P79" s="153" t="str">
        <f t="shared" si="13"/>
        <v/>
      </c>
      <c r="Q79" s="155">
        <f>IF(Table13[[#This Row],[HGVs (Collection)]]="",O79,Table13[[#This Row],[HGVs (Delivery)]]+Table13[[#This Row],[HGVs (Collection)]])</f>
        <v>0</v>
      </c>
      <c r="W79" s="153" t="str" cm="1">
        <f t="array" ref="W79">IF(Table13[[#This Row],[QUANTITY]]="","",IFERROR(IF(V79&lt;&gt;"",_xlfn.XLOOKUP(I79&amp;J79,PRICES!C:C&amp;PRICES!B:B,IF(PRICES!F:F&lt;&gt;"",PRICES!F:F,PRICES!E:E),"")),""))</f>
        <v/>
      </c>
      <c r="X79" s="154" t="str" cm="1">
        <f t="array" ref="X79">IF(Table13[[#This Row],[QUANTITY]]="","",IFERROR(IF(U79&lt;&gt;"",_xlfn.XLOOKUP(I79&amp;J79&amp;V79,PRICES!C:C&amp;PRICES!B:B&amp;PRICES!D:D,PRICES!G:G,"")),""))</f>
        <v/>
      </c>
      <c r="Y79" s="154" t="str">
        <f t="shared" ca="1" si="14"/>
        <v/>
      </c>
      <c r="Z79" s="154" t="str">
        <f t="shared" ca="1" si="15"/>
        <v/>
      </c>
      <c r="AA79" s="154" t="str">
        <f t="shared" ca="1" si="16"/>
        <v/>
      </c>
      <c r="AB79" s="154" t="str">
        <f t="shared" ca="1" si="17"/>
        <v/>
      </c>
      <c r="AC79" s="154" t="str">
        <f t="shared" ca="1" si="12"/>
        <v/>
      </c>
      <c r="AD79" s="154" t="str">
        <f>IF(Table13[[#This Row],[QUANTITY]]="","",
  IF(AND(Y79="",Z79="",AA79="",AB79="",AC79=""),
    U79*X79,
  ""))</f>
        <v/>
      </c>
      <c r="AE79" s="154" t="str">
        <f t="shared" ca="1" si="18"/>
        <v/>
      </c>
      <c r="AF79" s="154" t="str">
        <f t="shared" si="19"/>
        <v/>
      </c>
      <c r="AG79" s="154" t="str" cm="1">
        <f t="array" aca="1" ref="AG79" ca="1">IF(Table13[[#This Row],[TOTAL HIRE COST]]="","",IFERROR(IF(U79&lt;&gt;"",_xlfn.XLOOKUP(J79&amp;I79&amp;V79,PRICES!B:B&amp;PRICES!C:C&amp;PRICES!D:D,PRICES!H:H,"")),""))</f>
        <v/>
      </c>
      <c r="AH79" s="154" t="str" cm="1">
        <f t="array" aca="1" ref="AH79" ca="1">IF(Table13[[#This Row],[TOTAL HIRE COST]]="","",IFERROR(IF(U79&lt;&gt;"",_xlfn.XLOOKUP(J79&amp;I79&amp;V79,PRICES!B:B&amp;PRICES!C:C&amp;PRICES!D:D,PRICES!I:I,"")),""))</f>
        <v/>
      </c>
      <c r="AI79" s="154" t="str">
        <f ca="1">IF(Table13[[#This Row],[TOTAL HIRE COST]]="","",Table13[[#This Row],[TOTAL HIRE COST]]+Table13[[#This Row],[DELIVERY COST]]+Table13[[#This Row],[COLLECTION COST]])</f>
        <v/>
      </c>
      <c r="AJ79" s="153" t="str">
        <f>IF(Table13[[#This Row],[Date to Hire (DH)]]="","",YEAR(Table13[[#This Row],[Date to Hire (DH)]]))</f>
        <v/>
      </c>
      <c r="AK79" s="153" t="str">
        <f>IF(Table13[[#This Row],[Date to Hire (DH)]]="","",MONTH(Table13[[#This Row],[Date to Hire (DH)]]))</f>
        <v/>
      </c>
      <c r="AL79" s="153" t="str">
        <f>IF(Table13[[#This Row],[Date to Hire (DH)]]="","",WEEKNUM(Table13[[#This Row],[Date to Hire (DH)]]))</f>
        <v/>
      </c>
      <c r="AM79" s="153" t="str">
        <f>TEXT(Table13[[#This Row],[YEAR]],"0000")&amp;"-"&amp;Table13[[#This Row],[MONTH]]</f>
        <v>-</v>
      </c>
      <c r="AN79" s="153" t="str">
        <f>IF(Table13[[#This Row],[Date of Planned Offhire (DoPO) / If Applicable]]="","",YEAR(Table13[[#This Row],[Date of Planned Offhire (DoPO) / If Applicable]]))</f>
        <v/>
      </c>
      <c r="AO79" s="153" t="str">
        <f>IF(Table13[[#This Row],[Date of Planned Offhire (DoPO) / If Applicable]]="","",MONTH(Table13[[#This Row],[Date of Planned Offhire (DoPO) / If Applicable]]))</f>
        <v/>
      </c>
      <c r="AP79" s="153" t="str">
        <f>IF(Table13[[#This Row],[Date of Planned Offhire (DoPO) / If Applicable]]="","",WEEKNUM(Table13[[#This Row],[Date of Planned Offhire (DoPO) / If Applicable]]))</f>
        <v/>
      </c>
      <c r="AQ79" s="153" t="str">
        <f>TEXT(Table13[[#This Row],[YEAR2]],"0000")&amp;"-"&amp;Table13[[#This Row],[MONTH2]]</f>
        <v>-</v>
      </c>
      <c r="AR79" s="153" t="str">
        <f>IF(Table13[[#This Row],[Actual Date to Offhire (ADtO)]]="","",YEAR(Table13[[#This Row],[Actual Date to Offhire (ADtO)]]))</f>
        <v/>
      </c>
      <c r="AS79" s="153" t="str">
        <f>IF(Table13[[#This Row],[Actual Date to Offhire (ADtO)]]="","",MONTH(Table13[[#This Row],[Actual Date to Offhire (ADtO)]]))</f>
        <v/>
      </c>
      <c r="AT79" s="153" t="str">
        <f>IF(Table13[[#This Row],[Actual Date to Offhire (ADtO)]]="","",WEEKNUM(Table13[[#This Row],[Actual Date to Offhire (ADtO)]]))</f>
        <v/>
      </c>
      <c r="AU79" s="153" t="str">
        <f>TEXT(Table13[[#This Row],[YEAR3]],"0000")&amp;"-"&amp;Table13[[#This Row],[MONTH3]]</f>
        <v>-</v>
      </c>
      <c r="AV79" s="153">
        <f>IF(E79="",0,
  IF('Delivery Report'!A$2*100+'Delivery Report'!A$5 &lt; YEAR(E79)*100+WEEKNUM(E79), 0,
    IF(OR(G79="", 'Delivery Report'!A$2*100+'Delivery Report'!A$5 &lt;= YEAR(G79)*100+WEEKNUM(G79)),
      IF(LOWER(W79)="hourly", U79*X79*56,
      IF(LOWER(W79)="daily", U79*X79*7,
      IF(LOWER(W79)="weekly", U79*X79,
      IF(LOWER(W79)="monthly", U79*X79*12/52,
      IF(LOWER(W79)="yearly", U79*X79/52,
      IF(LOWER(W79)="one-off", U79*X79,
      0)))))),
    0)))</f>
        <v>0</v>
      </c>
    </row>
    <row r="80" spans="3:48" x14ac:dyDescent="0.3">
      <c r="E80" s="1"/>
      <c r="F80" s="1"/>
      <c r="G80" s="1"/>
      <c r="H80" s="164" t="s">
        <v>317</v>
      </c>
      <c r="P80" s="153" t="str">
        <f t="shared" si="13"/>
        <v/>
      </c>
      <c r="Q80" s="155">
        <f>IF(Table13[[#This Row],[HGVs (Collection)]]="",O80,Table13[[#This Row],[HGVs (Delivery)]]+Table13[[#This Row],[HGVs (Collection)]])</f>
        <v>0</v>
      </c>
      <c r="W80" s="153" t="str" cm="1">
        <f t="array" ref="W80">IF(Table13[[#This Row],[QUANTITY]]="","",IFERROR(IF(V80&lt;&gt;"",_xlfn.XLOOKUP(I80&amp;J80,PRICES!C:C&amp;PRICES!B:B,IF(PRICES!F:F&lt;&gt;"",PRICES!F:F,PRICES!E:E),"")),""))</f>
        <v/>
      </c>
      <c r="X80" s="154" t="str" cm="1">
        <f t="array" ref="X80">IF(Table13[[#This Row],[QUANTITY]]="","",IFERROR(IF(U80&lt;&gt;"",_xlfn.XLOOKUP(I80&amp;J80&amp;V80,PRICES!C:C&amp;PRICES!B:B&amp;PRICES!D:D,PRICES!G:G,"")),""))</f>
        <v/>
      </c>
      <c r="Y80" s="154" t="str">
        <f t="shared" ca="1" si="14"/>
        <v/>
      </c>
      <c r="Z80" s="154" t="str">
        <f t="shared" ca="1" si="15"/>
        <v/>
      </c>
      <c r="AA80" s="154" t="str">
        <f t="shared" ca="1" si="16"/>
        <v/>
      </c>
      <c r="AB80" s="154" t="str">
        <f t="shared" ca="1" si="17"/>
        <v/>
      </c>
      <c r="AC80" s="154" t="str">
        <f t="shared" ca="1" si="12"/>
        <v/>
      </c>
      <c r="AD80" s="154" t="str">
        <f>IF(Table13[[#This Row],[QUANTITY]]="","",
  IF(AND(Y80="",Z80="",AA80="",AB80="",AC80=""),
    U80*X80,
  ""))</f>
        <v/>
      </c>
      <c r="AE80" s="154" t="str">
        <f t="shared" ca="1" si="18"/>
        <v/>
      </c>
      <c r="AF80" s="154" t="str">
        <f t="shared" si="19"/>
        <v/>
      </c>
      <c r="AG80" s="154" t="str" cm="1">
        <f t="array" aca="1" ref="AG80" ca="1">IF(Table13[[#This Row],[TOTAL HIRE COST]]="","",IFERROR(IF(U80&lt;&gt;"",_xlfn.XLOOKUP(J80&amp;I80&amp;V80,PRICES!B:B&amp;PRICES!C:C&amp;PRICES!D:D,PRICES!H:H,"")),""))</f>
        <v/>
      </c>
      <c r="AH80" s="154" t="str" cm="1">
        <f t="array" aca="1" ref="AH80" ca="1">IF(Table13[[#This Row],[TOTAL HIRE COST]]="","",IFERROR(IF(U80&lt;&gt;"",_xlfn.XLOOKUP(J80&amp;I80&amp;V80,PRICES!B:B&amp;PRICES!C:C&amp;PRICES!D:D,PRICES!I:I,"")),""))</f>
        <v/>
      </c>
      <c r="AI80" s="154" t="str">
        <f ca="1">IF(Table13[[#This Row],[TOTAL HIRE COST]]="","",Table13[[#This Row],[TOTAL HIRE COST]]+Table13[[#This Row],[DELIVERY COST]]+Table13[[#This Row],[COLLECTION COST]])</f>
        <v/>
      </c>
      <c r="AJ80" s="153" t="str">
        <f>IF(Table13[[#This Row],[Date to Hire (DH)]]="","",YEAR(Table13[[#This Row],[Date to Hire (DH)]]))</f>
        <v/>
      </c>
      <c r="AK80" s="153" t="str">
        <f>IF(Table13[[#This Row],[Date to Hire (DH)]]="","",MONTH(Table13[[#This Row],[Date to Hire (DH)]]))</f>
        <v/>
      </c>
      <c r="AL80" s="153" t="str">
        <f>IF(Table13[[#This Row],[Date to Hire (DH)]]="","",WEEKNUM(Table13[[#This Row],[Date to Hire (DH)]]))</f>
        <v/>
      </c>
      <c r="AM80" s="153" t="str">
        <f>TEXT(Table13[[#This Row],[YEAR]],"0000")&amp;"-"&amp;Table13[[#This Row],[MONTH]]</f>
        <v>-</v>
      </c>
      <c r="AN80" s="153" t="str">
        <f>IF(Table13[[#This Row],[Date of Planned Offhire (DoPO) / If Applicable]]="","",YEAR(Table13[[#This Row],[Date of Planned Offhire (DoPO) / If Applicable]]))</f>
        <v/>
      </c>
      <c r="AO80" s="153" t="str">
        <f>IF(Table13[[#This Row],[Date of Planned Offhire (DoPO) / If Applicable]]="","",MONTH(Table13[[#This Row],[Date of Planned Offhire (DoPO) / If Applicable]]))</f>
        <v/>
      </c>
      <c r="AP80" s="153" t="str">
        <f>IF(Table13[[#This Row],[Date of Planned Offhire (DoPO) / If Applicable]]="","",WEEKNUM(Table13[[#This Row],[Date of Planned Offhire (DoPO) / If Applicable]]))</f>
        <v/>
      </c>
      <c r="AQ80" s="153" t="str">
        <f>TEXT(Table13[[#This Row],[YEAR2]],"0000")&amp;"-"&amp;Table13[[#This Row],[MONTH2]]</f>
        <v>-</v>
      </c>
      <c r="AR80" s="153" t="str">
        <f>IF(Table13[[#This Row],[Actual Date to Offhire (ADtO)]]="","",YEAR(Table13[[#This Row],[Actual Date to Offhire (ADtO)]]))</f>
        <v/>
      </c>
      <c r="AS80" s="153" t="str">
        <f>IF(Table13[[#This Row],[Actual Date to Offhire (ADtO)]]="","",MONTH(Table13[[#This Row],[Actual Date to Offhire (ADtO)]]))</f>
        <v/>
      </c>
      <c r="AT80" s="153" t="str">
        <f>IF(Table13[[#This Row],[Actual Date to Offhire (ADtO)]]="","",WEEKNUM(Table13[[#This Row],[Actual Date to Offhire (ADtO)]]))</f>
        <v/>
      </c>
      <c r="AU80" s="153" t="str">
        <f>TEXT(Table13[[#This Row],[YEAR3]],"0000")&amp;"-"&amp;Table13[[#This Row],[MONTH3]]</f>
        <v>-</v>
      </c>
      <c r="AV80" s="153">
        <f>IF(E80="",0,
  IF('Delivery Report'!A$2*100+'Delivery Report'!A$5 &lt; YEAR(E80)*100+WEEKNUM(E80), 0,
    IF(OR(G80="", 'Delivery Report'!A$2*100+'Delivery Report'!A$5 &lt;= YEAR(G80)*100+WEEKNUM(G80)),
      IF(LOWER(W80)="hourly", U80*X80*56,
      IF(LOWER(W80)="daily", U80*X80*7,
      IF(LOWER(W80)="weekly", U80*X80,
      IF(LOWER(W80)="monthly", U80*X80*12/52,
      IF(LOWER(W80)="yearly", U80*X80/52,
      IF(LOWER(W80)="one-off", U80*X80,
      0)))))),
    0)))</f>
        <v>0</v>
      </c>
    </row>
    <row r="81" spans="1:48" x14ac:dyDescent="0.3">
      <c r="E81" s="1"/>
      <c r="F81" s="1"/>
      <c r="G81" s="1"/>
      <c r="H81" s="164" t="s">
        <v>317</v>
      </c>
      <c r="P81" s="153" t="str">
        <f t="shared" si="13"/>
        <v/>
      </c>
      <c r="Q81" s="155">
        <f>IF(Table13[[#This Row],[HGVs (Collection)]]="",O81,Table13[[#This Row],[HGVs (Delivery)]]+Table13[[#This Row],[HGVs (Collection)]])</f>
        <v>0</v>
      </c>
      <c r="W81" s="153" t="str" cm="1">
        <f t="array" ref="W81">IF(Table13[[#This Row],[QUANTITY]]="","",IFERROR(IF(V81&lt;&gt;"",_xlfn.XLOOKUP(I81&amp;J81,PRICES!C:C&amp;PRICES!B:B,IF(PRICES!F:F&lt;&gt;"",PRICES!F:F,PRICES!E:E),"")),""))</f>
        <v/>
      </c>
      <c r="X81" s="154" t="str" cm="1">
        <f t="array" ref="X81">IF(Table13[[#This Row],[QUANTITY]]="","",IFERROR(IF(U81&lt;&gt;"",_xlfn.XLOOKUP(I81&amp;J81&amp;V81,PRICES!C:C&amp;PRICES!B:B&amp;PRICES!D:D,PRICES!G:G,"")),""))</f>
        <v/>
      </c>
      <c r="Y81" s="154" t="str">
        <f t="shared" ca="1" si="14"/>
        <v/>
      </c>
      <c r="Z81" s="154" t="str">
        <f t="shared" ca="1" si="15"/>
        <v/>
      </c>
      <c r="AA81" s="154" t="str">
        <f t="shared" ca="1" si="16"/>
        <v/>
      </c>
      <c r="AB81" s="154" t="str">
        <f t="shared" ca="1" si="17"/>
        <v/>
      </c>
      <c r="AC81" s="154" t="str">
        <f t="shared" ca="1" si="12"/>
        <v/>
      </c>
      <c r="AD81" s="154" t="str">
        <f>IF(Table13[[#This Row],[QUANTITY]]="","",
  IF(AND(Y81="",Z81="",AA81="",AB81="",AC81=""),
    U81*X81,
  ""))</f>
        <v/>
      </c>
      <c r="AE81" s="154" t="str">
        <f t="shared" ca="1" si="18"/>
        <v/>
      </c>
      <c r="AF81" s="154" t="str">
        <f t="shared" si="19"/>
        <v/>
      </c>
      <c r="AG81" s="154" t="str" cm="1">
        <f t="array" aca="1" ref="AG81" ca="1">IF(Table13[[#This Row],[TOTAL HIRE COST]]="","",IFERROR(IF(U81&lt;&gt;"",_xlfn.XLOOKUP(J81&amp;I81&amp;V81,PRICES!B:B&amp;PRICES!C:C&amp;PRICES!D:D,PRICES!H:H,"")),""))</f>
        <v/>
      </c>
      <c r="AH81" s="154" t="str" cm="1">
        <f t="array" aca="1" ref="AH81" ca="1">IF(Table13[[#This Row],[TOTAL HIRE COST]]="","",IFERROR(IF(U81&lt;&gt;"",_xlfn.XLOOKUP(J81&amp;I81&amp;V81,PRICES!B:B&amp;PRICES!C:C&amp;PRICES!D:D,PRICES!I:I,"")),""))</f>
        <v/>
      </c>
      <c r="AI81" s="154" t="str">
        <f ca="1">IF(Table13[[#This Row],[TOTAL HIRE COST]]="","",Table13[[#This Row],[TOTAL HIRE COST]]+Table13[[#This Row],[DELIVERY COST]]+Table13[[#This Row],[COLLECTION COST]])</f>
        <v/>
      </c>
      <c r="AJ81" s="153" t="str">
        <f>IF(Table13[[#This Row],[Date to Hire (DH)]]="","",YEAR(Table13[[#This Row],[Date to Hire (DH)]]))</f>
        <v/>
      </c>
      <c r="AK81" s="153" t="str">
        <f>IF(Table13[[#This Row],[Date to Hire (DH)]]="","",MONTH(Table13[[#This Row],[Date to Hire (DH)]]))</f>
        <v/>
      </c>
      <c r="AL81" s="153" t="str">
        <f>IF(Table13[[#This Row],[Date to Hire (DH)]]="","",WEEKNUM(Table13[[#This Row],[Date to Hire (DH)]]))</f>
        <v/>
      </c>
      <c r="AM81" s="153" t="str">
        <f>TEXT(Table13[[#This Row],[YEAR]],"0000")&amp;"-"&amp;Table13[[#This Row],[MONTH]]</f>
        <v>-</v>
      </c>
      <c r="AN81" s="153" t="str">
        <f>IF(Table13[[#This Row],[Date of Planned Offhire (DoPO) / If Applicable]]="","",YEAR(Table13[[#This Row],[Date of Planned Offhire (DoPO) / If Applicable]]))</f>
        <v/>
      </c>
      <c r="AO81" s="153" t="str">
        <f>IF(Table13[[#This Row],[Date of Planned Offhire (DoPO) / If Applicable]]="","",MONTH(Table13[[#This Row],[Date of Planned Offhire (DoPO) / If Applicable]]))</f>
        <v/>
      </c>
      <c r="AP81" s="153" t="str">
        <f>IF(Table13[[#This Row],[Date of Planned Offhire (DoPO) / If Applicable]]="","",WEEKNUM(Table13[[#This Row],[Date of Planned Offhire (DoPO) / If Applicable]]))</f>
        <v/>
      </c>
      <c r="AQ81" s="153" t="str">
        <f>TEXT(Table13[[#This Row],[YEAR2]],"0000")&amp;"-"&amp;Table13[[#This Row],[MONTH2]]</f>
        <v>-</v>
      </c>
      <c r="AR81" s="153" t="str">
        <f>IF(Table13[[#This Row],[Actual Date to Offhire (ADtO)]]="","",YEAR(Table13[[#This Row],[Actual Date to Offhire (ADtO)]]))</f>
        <v/>
      </c>
      <c r="AS81" s="153" t="str">
        <f>IF(Table13[[#This Row],[Actual Date to Offhire (ADtO)]]="","",MONTH(Table13[[#This Row],[Actual Date to Offhire (ADtO)]]))</f>
        <v/>
      </c>
      <c r="AT81" s="153" t="str">
        <f>IF(Table13[[#This Row],[Actual Date to Offhire (ADtO)]]="","",WEEKNUM(Table13[[#This Row],[Actual Date to Offhire (ADtO)]]))</f>
        <v/>
      </c>
      <c r="AU81" s="153" t="str">
        <f>TEXT(Table13[[#This Row],[YEAR3]],"0000")&amp;"-"&amp;Table13[[#This Row],[MONTH3]]</f>
        <v>-</v>
      </c>
      <c r="AV81" s="153">
        <f>IF(E81="",0,
  IF('Delivery Report'!A$2*100+'Delivery Report'!A$5 &lt; YEAR(E81)*100+WEEKNUM(E81), 0,
    IF(OR(G81="", 'Delivery Report'!A$2*100+'Delivery Report'!A$5 &lt;= YEAR(G81)*100+WEEKNUM(G81)),
      IF(LOWER(W81)="hourly", U81*X81*56,
      IF(LOWER(W81)="daily", U81*X81*7,
      IF(LOWER(W81)="weekly", U81*X81,
      IF(LOWER(W81)="monthly", U81*X81*12/52,
      IF(LOWER(W81)="yearly", U81*X81/52,
      IF(LOWER(W81)="one-off", U81*X81,
      0)))))),
    0)))</f>
        <v>0</v>
      </c>
    </row>
    <row r="82" spans="1:48" x14ac:dyDescent="0.3">
      <c r="E82" s="1"/>
      <c r="F82" s="1"/>
      <c r="G82" s="1"/>
      <c r="H82" s="164" t="s">
        <v>317</v>
      </c>
      <c r="P82" s="153" t="str">
        <f t="shared" si="13"/>
        <v/>
      </c>
      <c r="Q82" s="155">
        <f>IF(Table13[[#This Row],[HGVs (Collection)]]="",O82,Table13[[#This Row],[HGVs (Delivery)]]+Table13[[#This Row],[HGVs (Collection)]])</f>
        <v>0</v>
      </c>
      <c r="W82" s="153" t="str" cm="1">
        <f t="array" ref="W82">IF(Table13[[#This Row],[QUANTITY]]="","",IFERROR(IF(V82&lt;&gt;"",_xlfn.XLOOKUP(I82&amp;J82,PRICES!C:C&amp;PRICES!B:B,IF(PRICES!F:F&lt;&gt;"",PRICES!F:F,PRICES!E:E),"")),""))</f>
        <v/>
      </c>
      <c r="X82" s="154" t="str" cm="1">
        <f t="array" ref="X82">IF(Table13[[#This Row],[QUANTITY]]="","",IFERROR(IF(U82&lt;&gt;"",_xlfn.XLOOKUP(I82&amp;J82&amp;V82,PRICES!C:C&amp;PRICES!B:B&amp;PRICES!D:D,PRICES!G:G,"")),""))</f>
        <v/>
      </c>
      <c r="Y82" s="154" t="str">
        <f t="shared" ca="1" si="14"/>
        <v/>
      </c>
      <c r="Z82" s="154" t="str">
        <f t="shared" ca="1" si="15"/>
        <v/>
      </c>
      <c r="AA82" s="154" t="str">
        <f t="shared" ca="1" si="16"/>
        <v/>
      </c>
      <c r="AB82" s="154" t="str">
        <f t="shared" ca="1" si="17"/>
        <v/>
      </c>
      <c r="AC82" s="154" t="str">
        <f t="shared" ca="1" si="12"/>
        <v/>
      </c>
      <c r="AD82" s="154" t="str">
        <f>IF(Table13[[#This Row],[QUANTITY]]="","",
  IF(AND(Y82="",Z82="",AA82="",AB82="",AC82=""),
    U82*X82,
  ""))</f>
        <v/>
      </c>
      <c r="AE82" s="154" t="str">
        <f t="shared" ca="1" si="18"/>
        <v/>
      </c>
      <c r="AF82" s="154" t="str">
        <f t="shared" si="19"/>
        <v/>
      </c>
      <c r="AG82" s="154" t="str" cm="1">
        <f t="array" aca="1" ref="AG82" ca="1">IF(Table13[[#This Row],[TOTAL HIRE COST]]="","",IFERROR(IF(U82&lt;&gt;"",_xlfn.XLOOKUP(J82&amp;I82&amp;V82,PRICES!B:B&amp;PRICES!C:C&amp;PRICES!D:D,PRICES!H:H,"")),""))</f>
        <v/>
      </c>
      <c r="AH82" s="154" t="str" cm="1">
        <f t="array" aca="1" ref="AH82" ca="1">IF(Table13[[#This Row],[TOTAL HIRE COST]]="","",IFERROR(IF(U82&lt;&gt;"",_xlfn.XLOOKUP(J82&amp;I82&amp;V82,PRICES!B:B&amp;PRICES!C:C&amp;PRICES!D:D,PRICES!I:I,"")),""))</f>
        <v/>
      </c>
      <c r="AI82" s="154" t="str">
        <f ca="1">IF(Table13[[#This Row],[TOTAL HIRE COST]]="","",Table13[[#This Row],[TOTAL HIRE COST]]+Table13[[#This Row],[DELIVERY COST]]+Table13[[#This Row],[COLLECTION COST]])</f>
        <v/>
      </c>
      <c r="AJ82" s="153" t="str">
        <f>IF(Table13[[#This Row],[Date to Hire (DH)]]="","",YEAR(Table13[[#This Row],[Date to Hire (DH)]]))</f>
        <v/>
      </c>
      <c r="AK82" s="153" t="str">
        <f>IF(Table13[[#This Row],[Date to Hire (DH)]]="","",MONTH(Table13[[#This Row],[Date to Hire (DH)]]))</f>
        <v/>
      </c>
      <c r="AL82" s="153" t="str">
        <f>IF(Table13[[#This Row],[Date to Hire (DH)]]="","",WEEKNUM(Table13[[#This Row],[Date to Hire (DH)]]))</f>
        <v/>
      </c>
      <c r="AM82" s="153" t="str">
        <f>TEXT(Table13[[#This Row],[YEAR]],"0000")&amp;"-"&amp;Table13[[#This Row],[MONTH]]</f>
        <v>-</v>
      </c>
      <c r="AN82" s="153" t="str">
        <f>IF(Table13[[#This Row],[Date of Planned Offhire (DoPO) / If Applicable]]="","",YEAR(Table13[[#This Row],[Date of Planned Offhire (DoPO) / If Applicable]]))</f>
        <v/>
      </c>
      <c r="AO82" s="153" t="str">
        <f>IF(Table13[[#This Row],[Date of Planned Offhire (DoPO) / If Applicable]]="","",MONTH(Table13[[#This Row],[Date of Planned Offhire (DoPO) / If Applicable]]))</f>
        <v/>
      </c>
      <c r="AP82" s="153" t="str">
        <f>IF(Table13[[#This Row],[Date of Planned Offhire (DoPO) / If Applicable]]="","",WEEKNUM(Table13[[#This Row],[Date of Planned Offhire (DoPO) / If Applicable]]))</f>
        <v/>
      </c>
      <c r="AQ82" s="153" t="str">
        <f>TEXT(Table13[[#This Row],[YEAR2]],"0000")&amp;"-"&amp;Table13[[#This Row],[MONTH2]]</f>
        <v>-</v>
      </c>
      <c r="AR82" s="153" t="str">
        <f>IF(Table13[[#This Row],[Actual Date to Offhire (ADtO)]]="","",YEAR(Table13[[#This Row],[Actual Date to Offhire (ADtO)]]))</f>
        <v/>
      </c>
      <c r="AS82" s="153" t="str">
        <f>IF(Table13[[#This Row],[Actual Date to Offhire (ADtO)]]="","",MONTH(Table13[[#This Row],[Actual Date to Offhire (ADtO)]]))</f>
        <v/>
      </c>
      <c r="AT82" s="153" t="str">
        <f>IF(Table13[[#This Row],[Actual Date to Offhire (ADtO)]]="","",WEEKNUM(Table13[[#This Row],[Actual Date to Offhire (ADtO)]]))</f>
        <v/>
      </c>
      <c r="AU82" s="153" t="str">
        <f>TEXT(Table13[[#This Row],[YEAR3]],"0000")&amp;"-"&amp;Table13[[#This Row],[MONTH3]]</f>
        <v>-</v>
      </c>
      <c r="AV82" s="153">
        <f>IF(E82="",0,
  IF('Delivery Report'!A$2*100+'Delivery Report'!A$5 &lt; YEAR(E82)*100+WEEKNUM(E82), 0,
    IF(OR(G82="", 'Delivery Report'!A$2*100+'Delivery Report'!A$5 &lt;= YEAR(G82)*100+WEEKNUM(G82)),
      IF(LOWER(W82)="hourly", U82*X82*56,
      IF(LOWER(W82)="daily", U82*X82*7,
      IF(LOWER(W82)="weekly", U82*X82,
      IF(LOWER(W82)="monthly", U82*X82*12/52,
      IF(LOWER(W82)="yearly", U82*X82/52,
      IF(LOWER(W82)="one-off", U82*X82,
      0)))))),
    0)))</f>
        <v>0</v>
      </c>
    </row>
    <row r="83" spans="1:48" x14ac:dyDescent="0.3">
      <c r="E83" s="1"/>
      <c r="F83" s="1"/>
      <c r="G83" s="1"/>
      <c r="H83" s="164" t="s">
        <v>315</v>
      </c>
      <c r="P83" s="153" t="str">
        <f t="shared" si="13"/>
        <v/>
      </c>
      <c r="Q83" s="155">
        <f>IF(Table13[[#This Row],[HGVs (Collection)]]="",O83,Table13[[#This Row],[HGVs (Delivery)]]+Table13[[#This Row],[HGVs (Collection)]])</f>
        <v>0</v>
      </c>
      <c r="W83" s="153" t="str" cm="1">
        <f t="array" ref="W83">IF(Table13[[#This Row],[QUANTITY]]="","",IFERROR(IF(V83&lt;&gt;"",_xlfn.XLOOKUP(I83&amp;J83,PRICES!C:C&amp;PRICES!B:B,IF(PRICES!F:F&lt;&gt;"",PRICES!F:F,PRICES!E:E),"")),""))</f>
        <v/>
      </c>
      <c r="X83" s="154" t="str" cm="1">
        <f t="array" ref="X83">IF(Table13[[#This Row],[QUANTITY]]="","",IFERROR(IF(U83&lt;&gt;"",_xlfn.XLOOKUP(I83&amp;J83&amp;V83,PRICES!C:C&amp;PRICES!B:B&amp;PRICES!D:D,PRICES!G:G,"")),""))</f>
        <v/>
      </c>
      <c r="Y83" s="154" t="str">
        <f t="shared" ca="1" si="14"/>
        <v/>
      </c>
      <c r="Z83" s="154" t="str">
        <f t="shared" ca="1" si="15"/>
        <v/>
      </c>
      <c r="AA83" s="154" t="str">
        <f t="shared" ca="1" si="16"/>
        <v/>
      </c>
      <c r="AB83" s="154" t="str">
        <f t="shared" ca="1" si="17"/>
        <v/>
      </c>
      <c r="AC83" s="154" t="str">
        <f t="shared" ca="1" si="12"/>
        <v/>
      </c>
      <c r="AD83" s="154" t="str">
        <f>IF(Table13[[#This Row],[QUANTITY]]="","",
  IF(AND(Y83="",Z83="",AA83="",AB83="",AC83=""),
    U83*X83,
  ""))</f>
        <v/>
      </c>
      <c r="AE83" s="154" t="str">
        <f t="shared" ca="1" si="18"/>
        <v/>
      </c>
      <c r="AF83" s="154" t="str">
        <f t="shared" si="19"/>
        <v/>
      </c>
      <c r="AG83" s="154" t="str" cm="1">
        <f t="array" aca="1" ref="AG83" ca="1">IF(Table13[[#This Row],[TOTAL HIRE COST]]="","",IFERROR(IF(U83&lt;&gt;"",_xlfn.XLOOKUP(J83&amp;I83&amp;V83,PRICES!B:B&amp;PRICES!C:C&amp;PRICES!D:D,PRICES!H:H,"")),""))</f>
        <v/>
      </c>
      <c r="AH83" s="154" t="str" cm="1">
        <f t="array" aca="1" ref="AH83" ca="1">IF(Table13[[#This Row],[TOTAL HIRE COST]]="","",IFERROR(IF(U83&lt;&gt;"",_xlfn.XLOOKUP(J83&amp;I83&amp;V83,PRICES!B:B&amp;PRICES!C:C&amp;PRICES!D:D,PRICES!I:I,"")),""))</f>
        <v/>
      </c>
      <c r="AI83" s="154" t="str">
        <f ca="1">IF(Table13[[#This Row],[TOTAL HIRE COST]]="","",Table13[[#This Row],[TOTAL HIRE COST]]+Table13[[#This Row],[DELIVERY COST]]+Table13[[#This Row],[COLLECTION COST]])</f>
        <v/>
      </c>
      <c r="AJ83" s="153" t="str">
        <f>IF(Table13[[#This Row],[Date to Hire (DH)]]="","",YEAR(Table13[[#This Row],[Date to Hire (DH)]]))</f>
        <v/>
      </c>
      <c r="AK83" s="153" t="str">
        <f>IF(Table13[[#This Row],[Date to Hire (DH)]]="","",MONTH(Table13[[#This Row],[Date to Hire (DH)]]))</f>
        <v/>
      </c>
      <c r="AL83" s="153" t="str">
        <f>IF(Table13[[#This Row],[Date to Hire (DH)]]="","",WEEKNUM(Table13[[#This Row],[Date to Hire (DH)]]))</f>
        <v/>
      </c>
      <c r="AM83" s="153" t="str">
        <f>TEXT(Table13[[#This Row],[YEAR]],"0000")&amp;"-"&amp;Table13[[#This Row],[MONTH]]</f>
        <v>-</v>
      </c>
      <c r="AN83" s="153" t="str">
        <f>IF(Table13[[#This Row],[Date of Planned Offhire (DoPO) / If Applicable]]="","",YEAR(Table13[[#This Row],[Date of Planned Offhire (DoPO) / If Applicable]]))</f>
        <v/>
      </c>
      <c r="AO83" s="153" t="str">
        <f>IF(Table13[[#This Row],[Date of Planned Offhire (DoPO) / If Applicable]]="","",MONTH(Table13[[#This Row],[Date of Planned Offhire (DoPO) / If Applicable]]))</f>
        <v/>
      </c>
      <c r="AP83" s="153" t="str">
        <f>IF(Table13[[#This Row],[Date of Planned Offhire (DoPO) / If Applicable]]="","",WEEKNUM(Table13[[#This Row],[Date of Planned Offhire (DoPO) / If Applicable]]))</f>
        <v/>
      </c>
      <c r="AQ83" s="153" t="str">
        <f>TEXT(Table13[[#This Row],[YEAR2]],"0000")&amp;"-"&amp;Table13[[#This Row],[MONTH2]]</f>
        <v>-</v>
      </c>
      <c r="AR83" s="153" t="str">
        <f>IF(Table13[[#This Row],[Actual Date to Offhire (ADtO)]]="","",YEAR(Table13[[#This Row],[Actual Date to Offhire (ADtO)]]))</f>
        <v/>
      </c>
      <c r="AS83" s="153" t="str">
        <f>IF(Table13[[#This Row],[Actual Date to Offhire (ADtO)]]="","",MONTH(Table13[[#This Row],[Actual Date to Offhire (ADtO)]]))</f>
        <v/>
      </c>
      <c r="AT83" s="153" t="str">
        <f>IF(Table13[[#This Row],[Actual Date to Offhire (ADtO)]]="","",WEEKNUM(Table13[[#This Row],[Actual Date to Offhire (ADtO)]]))</f>
        <v/>
      </c>
      <c r="AU83" s="153" t="str">
        <f>TEXT(Table13[[#This Row],[YEAR3]],"0000")&amp;"-"&amp;Table13[[#This Row],[MONTH3]]</f>
        <v>-</v>
      </c>
      <c r="AV83" s="153">
        <f>IF(E83="",0,
  IF('Delivery Report'!A$2*100+'Delivery Report'!A$5 &lt; YEAR(E83)*100+WEEKNUM(E83), 0,
    IF(OR(G83="", 'Delivery Report'!A$2*100+'Delivery Report'!A$5 &lt;= YEAR(G83)*100+WEEKNUM(G83)),
      IF(LOWER(W83)="hourly", U83*X83*56,
      IF(LOWER(W83)="daily", U83*X83*7,
      IF(LOWER(W83)="weekly", U83*X83,
      IF(LOWER(W83)="monthly", U83*X83*12/52,
      IF(LOWER(W83)="yearly", U83*X83/52,
      IF(LOWER(W83)="one-off", U83*X83,
      0)))))),
    0)))</f>
        <v>0</v>
      </c>
    </row>
    <row r="84" spans="1:48" x14ac:dyDescent="0.3">
      <c r="E84" s="1"/>
      <c r="F84" s="1"/>
      <c r="G84" s="1"/>
      <c r="H84" s="164" t="s">
        <v>315</v>
      </c>
      <c r="P84" s="153" t="str">
        <f t="shared" si="13"/>
        <v/>
      </c>
      <c r="Q84" s="155">
        <f>IF(Table13[[#This Row],[HGVs (Collection)]]="",O84,Table13[[#This Row],[HGVs (Delivery)]]+Table13[[#This Row],[HGVs (Collection)]])</f>
        <v>0</v>
      </c>
      <c r="W84" s="153" t="str" cm="1">
        <f t="array" ref="W84">IF(Table13[[#This Row],[QUANTITY]]="","",IFERROR(IF(V84&lt;&gt;"",_xlfn.XLOOKUP(I84&amp;J84,PRICES!C:C&amp;PRICES!B:B,IF(PRICES!F:F&lt;&gt;"",PRICES!F:F,PRICES!E:E),"")),""))</f>
        <v/>
      </c>
      <c r="X84" s="154" t="str" cm="1">
        <f t="array" ref="X84">IF(Table13[[#This Row],[QUANTITY]]="","",IFERROR(IF(U84&lt;&gt;"",_xlfn.XLOOKUP(I84&amp;J84&amp;V84,PRICES!C:C&amp;PRICES!B:B&amp;PRICES!D:D,PRICES!G:G,"")),""))</f>
        <v/>
      </c>
      <c r="Y84" s="154" t="str">
        <f t="shared" ca="1" si="14"/>
        <v/>
      </c>
      <c r="Z84" s="154" t="str">
        <f t="shared" ca="1" si="15"/>
        <v/>
      </c>
      <c r="AA84" s="154" t="str">
        <f t="shared" ca="1" si="16"/>
        <v/>
      </c>
      <c r="AB84" s="154" t="str">
        <f t="shared" ca="1" si="17"/>
        <v/>
      </c>
      <c r="AC84" s="154" t="str">
        <f t="shared" ca="1" si="12"/>
        <v/>
      </c>
      <c r="AD84" s="154" t="str">
        <f>IF(Table13[[#This Row],[QUANTITY]]="","",
  IF(AND(Y84="",Z84="",AA84="",AB84="",AC84=""),
    U84*X84,
  ""))</f>
        <v/>
      </c>
      <c r="AE84" s="154" t="str">
        <f t="shared" ca="1" si="18"/>
        <v/>
      </c>
      <c r="AF84" s="154" t="str">
        <f t="shared" si="19"/>
        <v/>
      </c>
      <c r="AG84" s="154" t="str" cm="1">
        <f t="array" aca="1" ref="AG84" ca="1">IF(Table13[[#This Row],[TOTAL HIRE COST]]="","",IFERROR(IF(U84&lt;&gt;"",_xlfn.XLOOKUP(J84&amp;I84&amp;V84,PRICES!B:B&amp;PRICES!C:C&amp;PRICES!D:D,PRICES!H:H,"")),""))</f>
        <v/>
      </c>
      <c r="AH84" s="154" t="str" cm="1">
        <f t="array" aca="1" ref="AH84" ca="1">IF(Table13[[#This Row],[TOTAL HIRE COST]]="","",IFERROR(IF(U84&lt;&gt;"",_xlfn.XLOOKUP(J84&amp;I84&amp;V84,PRICES!B:B&amp;PRICES!C:C&amp;PRICES!D:D,PRICES!I:I,"")),""))</f>
        <v/>
      </c>
      <c r="AI84" s="154" t="str">
        <f ca="1">IF(Table13[[#This Row],[TOTAL HIRE COST]]="","",Table13[[#This Row],[TOTAL HIRE COST]]+Table13[[#This Row],[DELIVERY COST]]+Table13[[#This Row],[COLLECTION COST]])</f>
        <v/>
      </c>
      <c r="AJ84" s="153" t="str">
        <f>IF(Table13[[#This Row],[Date to Hire (DH)]]="","",YEAR(Table13[[#This Row],[Date to Hire (DH)]]))</f>
        <v/>
      </c>
      <c r="AK84" s="153" t="str">
        <f>IF(Table13[[#This Row],[Date to Hire (DH)]]="","",MONTH(Table13[[#This Row],[Date to Hire (DH)]]))</f>
        <v/>
      </c>
      <c r="AL84" s="153" t="str">
        <f>IF(Table13[[#This Row],[Date to Hire (DH)]]="","",WEEKNUM(Table13[[#This Row],[Date to Hire (DH)]]))</f>
        <v/>
      </c>
      <c r="AM84" s="153" t="str">
        <f>TEXT(Table13[[#This Row],[YEAR]],"0000")&amp;"-"&amp;Table13[[#This Row],[MONTH]]</f>
        <v>-</v>
      </c>
      <c r="AN84" s="153" t="str">
        <f>IF(Table13[[#This Row],[Date of Planned Offhire (DoPO) / If Applicable]]="","",YEAR(Table13[[#This Row],[Date of Planned Offhire (DoPO) / If Applicable]]))</f>
        <v/>
      </c>
      <c r="AO84" s="153" t="str">
        <f>IF(Table13[[#This Row],[Date of Planned Offhire (DoPO) / If Applicable]]="","",MONTH(Table13[[#This Row],[Date of Planned Offhire (DoPO) / If Applicable]]))</f>
        <v/>
      </c>
      <c r="AP84" s="153" t="str">
        <f>IF(Table13[[#This Row],[Date of Planned Offhire (DoPO) / If Applicable]]="","",WEEKNUM(Table13[[#This Row],[Date of Planned Offhire (DoPO) / If Applicable]]))</f>
        <v/>
      </c>
      <c r="AQ84" s="153" t="str">
        <f>TEXT(Table13[[#This Row],[YEAR2]],"0000")&amp;"-"&amp;Table13[[#This Row],[MONTH2]]</f>
        <v>-</v>
      </c>
      <c r="AR84" s="153" t="str">
        <f>IF(Table13[[#This Row],[Actual Date to Offhire (ADtO)]]="","",YEAR(Table13[[#This Row],[Actual Date to Offhire (ADtO)]]))</f>
        <v/>
      </c>
      <c r="AS84" s="153" t="str">
        <f>IF(Table13[[#This Row],[Actual Date to Offhire (ADtO)]]="","",MONTH(Table13[[#This Row],[Actual Date to Offhire (ADtO)]]))</f>
        <v/>
      </c>
      <c r="AT84" s="153" t="str">
        <f>IF(Table13[[#This Row],[Actual Date to Offhire (ADtO)]]="","",WEEKNUM(Table13[[#This Row],[Actual Date to Offhire (ADtO)]]))</f>
        <v/>
      </c>
      <c r="AU84" s="153" t="str">
        <f>TEXT(Table13[[#This Row],[YEAR3]],"0000")&amp;"-"&amp;Table13[[#This Row],[MONTH3]]</f>
        <v>-</v>
      </c>
      <c r="AV84" s="153">
        <f>IF(E84="",0,
  IF('Delivery Report'!A$2*100+'Delivery Report'!A$5 &lt; YEAR(E84)*100+WEEKNUM(E84), 0,
    IF(OR(G84="", 'Delivery Report'!A$2*100+'Delivery Report'!A$5 &lt;= YEAR(G84)*100+WEEKNUM(G84)),
      IF(LOWER(W84)="hourly", U84*X84*56,
      IF(LOWER(W84)="daily", U84*X84*7,
      IF(LOWER(W84)="weekly", U84*X84,
      IF(LOWER(W84)="monthly", U84*X84*12/52,
      IF(LOWER(W84)="yearly", U84*X84/52,
      IF(LOWER(W84)="one-off", U84*X84,
      0)))))),
    0)))</f>
        <v>0</v>
      </c>
    </row>
    <row r="85" spans="1:48" x14ac:dyDescent="0.3">
      <c r="E85" s="1"/>
      <c r="F85" s="1"/>
      <c r="G85" s="1"/>
      <c r="H85" s="164" t="s">
        <v>315</v>
      </c>
      <c r="P85" s="153" t="str">
        <f t="shared" si="13"/>
        <v/>
      </c>
      <c r="Q85" s="155">
        <f>IF(Table13[[#This Row],[HGVs (Collection)]]="",O85,Table13[[#This Row],[HGVs (Delivery)]]+Table13[[#This Row],[HGVs (Collection)]])</f>
        <v>0</v>
      </c>
      <c r="W85" s="153" t="str" cm="1">
        <f t="array" ref="W85">IF(Table13[[#This Row],[QUANTITY]]="","",IFERROR(IF(V85&lt;&gt;"",_xlfn.XLOOKUP(I85&amp;J85,PRICES!C:C&amp;PRICES!B:B,IF(PRICES!F:F&lt;&gt;"",PRICES!F:F,PRICES!E:E),"")),""))</f>
        <v/>
      </c>
      <c r="X85" s="154" t="str" cm="1">
        <f t="array" ref="X85">IF(Table13[[#This Row],[QUANTITY]]="","",IFERROR(IF(U85&lt;&gt;"",_xlfn.XLOOKUP(I85&amp;J85&amp;V85,PRICES!C:C&amp;PRICES!B:B&amp;PRICES!D:D,PRICES!G:G,"")),""))</f>
        <v/>
      </c>
      <c r="Y85" s="154" t="str">
        <f t="shared" ca="1" si="14"/>
        <v/>
      </c>
      <c r="Z85" s="154" t="str">
        <f t="shared" ca="1" si="15"/>
        <v/>
      </c>
      <c r="AA85" s="154" t="str">
        <f t="shared" ca="1" si="16"/>
        <v/>
      </c>
      <c r="AB85" s="154" t="str">
        <f t="shared" ca="1" si="17"/>
        <v/>
      </c>
      <c r="AC85" s="154" t="str">
        <f t="shared" ca="1" si="12"/>
        <v/>
      </c>
      <c r="AD85" s="154" t="str">
        <f>IF(Table13[[#This Row],[QUANTITY]]="","",
  IF(AND(Y85="",Z85="",AA85="",AB85="",AC85=""),
    U85*X85,
  ""))</f>
        <v/>
      </c>
      <c r="AE85" s="154" t="str">
        <f t="shared" ca="1" si="18"/>
        <v/>
      </c>
      <c r="AF85" s="154" t="str">
        <f t="shared" si="19"/>
        <v/>
      </c>
      <c r="AG85" s="154" t="str" cm="1">
        <f t="array" aca="1" ref="AG85" ca="1">IF(Table13[[#This Row],[TOTAL HIRE COST]]="","",IFERROR(IF(U85&lt;&gt;"",_xlfn.XLOOKUP(J85&amp;I85&amp;V85,PRICES!B:B&amp;PRICES!C:C&amp;PRICES!D:D,PRICES!H:H,"")),""))</f>
        <v/>
      </c>
      <c r="AH85" s="154" t="str" cm="1">
        <f t="array" aca="1" ref="AH85" ca="1">IF(Table13[[#This Row],[TOTAL HIRE COST]]="","",IFERROR(IF(U85&lt;&gt;"",_xlfn.XLOOKUP(J85&amp;I85&amp;V85,PRICES!B:B&amp;PRICES!C:C&amp;PRICES!D:D,PRICES!I:I,"")),""))</f>
        <v/>
      </c>
      <c r="AI85" s="154" t="str">
        <f ca="1">IF(Table13[[#This Row],[TOTAL HIRE COST]]="","",Table13[[#This Row],[TOTAL HIRE COST]]+Table13[[#This Row],[DELIVERY COST]]+Table13[[#This Row],[COLLECTION COST]])</f>
        <v/>
      </c>
      <c r="AJ85" s="153" t="str">
        <f>IF(Table13[[#This Row],[Date to Hire (DH)]]="","",YEAR(Table13[[#This Row],[Date to Hire (DH)]]))</f>
        <v/>
      </c>
      <c r="AK85" s="153" t="str">
        <f>IF(Table13[[#This Row],[Date to Hire (DH)]]="","",MONTH(Table13[[#This Row],[Date to Hire (DH)]]))</f>
        <v/>
      </c>
      <c r="AL85" s="153" t="str">
        <f>IF(Table13[[#This Row],[Date to Hire (DH)]]="","",WEEKNUM(Table13[[#This Row],[Date to Hire (DH)]]))</f>
        <v/>
      </c>
      <c r="AM85" s="153" t="str">
        <f>TEXT(Table13[[#This Row],[YEAR]],"0000")&amp;"-"&amp;Table13[[#This Row],[MONTH]]</f>
        <v>-</v>
      </c>
      <c r="AN85" s="153" t="str">
        <f>IF(Table13[[#This Row],[Date of Planned Offhire (DoPO) / If Applicable]]="","",YEAR(Table13[[#This Row],[Date of Planned Offhire (DoPO) / If Applicable]]))</f>
        <v/>
      </c>
      <c r="AO85" s="153" t="str">
        <f>IF(Table13[[#This Row],[Date of Planned Offhire (DoPO) / If Applicable]]="","",MONTH(Table13[[#This Row],[Date of Planned Offhire (DoPO) / If Applicable]]))</f>
        <v/>
      </c>
      <c r="AP85" s="153" t="str">
        <f>IF(Table13[[#This Row],[Date of Planned Offhire (DoPO) / If Applicable]]="","",WEEKNUM(Table13[[#This Row],[Date of Planned Offhire (DoPO) / If Applicable]]))</f>
        <v/>
      </c>
      <c r="AQ85" s="153" t="str">
        <f>TEXT(Table13[[#This Row],[YEAR2]],"0000")&amp;"-"&amp;Table13[[#This Row],[MONTH2]]</f>
        <v>-</v>
      </c>
      <c r="AR85" s="153" t="str">
        <f>IF(Table13[[#This Row],[Actual Date to Offhire (ADtO)]]="","",YEAR(Table13[[#This Row],[Actual Date to Offhire (ADtO)]]))</f>
        <v/>
      </c>
      <c r="AS85" s="153" t="str">
        <f>IF(Table13[[#This Row],[Actual Date to Offhire (ADtO)]]="","",MONTH(Table13[[#This Row],[Actual Date to Offhire (ADtO)]]))</f>
        <v/>
      </c>
      <c r="AT85" s="153" t="str">
        <f>IF(Table13[[#This Row],[Actual Date to Offhire (ADtO)]]="","",WEEKNUM(Table13[[#This Row],[Actual Date to Offhire (ADtO)]]))</f>
        <v/>
      </c>
      <c r="AU85" s="153" t="str">
        <f>TEXT(Table13[[#This Row],[YEAR3]],"0000")&amp;"-"&amp;Table13[[#This Row],[MONTH3]]</f>
        <v>-</v>
      </c>
      <c r="AV85" s="153">
        <f>IF(E85="",0,
  IF('Delivery Report'!A$2*100+'Delivery Report'!A$5 &lt; YEAR(E85)*100+WEEKNUM(E85), 0,
    IF(OR(G85="", 'Delivery Report'!A$2*100+'Delivery Report'!A$5 &lt;= YEAR(G85)*100+WEEKNUM(G85)),
      IF(LOWER(W85)="hourly", U85*X85*56,
      IF(LOWER(W85)="daily", U85*X85*7,
      IF(LOWER(W85)="weekly", U85*X85,
      IF(LOWER(W85)="monthly", U85*X85*12/52,
      IF(LOWER(W85)="yearly", U85*X85/52,
      IF(LOWER(W85)="one-off", U85*X85,
      0)))))),
    0)))</f>
        <v>0</v>
      </c>
    </row>
    <row r="86" spans="1:48" x14ac:dyDescent="0.3">
      <c r="A86" s="24"/>
      <c r="E86" s="1"/>
      <c r="F86" s="1"/>
      <c r="G86" s="1"/>
      <c r="H86" s="164" t="s">
        <v>317</v>
      </c>
      <c r="P86" s="153" t="str">
        <f t="shared" si="13"/>
        <v/>
      </c>
      <c r="Q86" s="155">
        <f>IF(Table13[[#This Row],[HGVs (Collection)]]="",O86,Table13[[#This Row],[HGVs (Delivery)]]+Table13[[#This Row],[HGVs (Collection)]])</f>
        <v>0</v>
      </c>
      <c r="W86" s="153" t="str" cm="1">
        <f t="array" ref="W86">IF(Table13[[#This Row],[QUANTITY]]="","",IFERROR(IF(V86&lt;&gt;"",_xlfn.XLOOKUP(I86&amp;J86,PRICES!C:C&amp;PRICES!B:B,IF(PRICES!F:F&lt;&gt;"",PRICES!F:F,PRICES!E:E),"")),""))</f>
        <v/>
      </c>
      <c r="X86" s="154" t="str" cm="1">
        <f t="array" ref="X86">IF(Table13[[#This Row],[QUANTITY]]="","",IFERROR(IF(U86&lt;&gt;"",_xlfn.XLOOKUP(I86&amp;J86&amp;V86,PRICES!C:C&amp;PRICES!B:B&amp;PRICES!D:D,PRICES!G:G,"")),""))</f>
        <v/>
      </c>
      <c r="Y86" s="154" t="str">
        <f t="shared" ca="1" si="14"/>
        <v/>
      </c>
      <c r="Z86" s="154" t="str">
        <f t="shared" ca="1" si="15"/>
        <v/>
      </c>
      <c r="AA86" s="154" t="str">
        <f t="shared" ca="1" si="16"/>
        <v/>
      </c>
      <c r="AB86" s="154" t="str">
        <f t="shared" ca="1" si="17"/>
        <v/>
      </c>
      <c r="AC86" s="154" t="str">
        <f t="shared" ca="1" si="12"/>
        <v/>
      </c>
      <c r="AD86" s="154" t="str">
        <f>IF(Table13[[#This Row],[QUANTITY]]="","",
  IF(AND(Y86="",Z86="",AA86="",AB86="",AC86=""),
    U86*X86,
  ""))</f>
        <v/>
      </c>
      <c r="AE86" s="154" t="str">
        <f t="shared" ca="1" si="18"/>
        <v/>
      </c>
      <c r="AF86" s="154" t="str">
        <f t="shared" si="19"/>
        <v/>
      </c>
      <c r="AG86" s="154" t="str" cm="1">
        <f t="array" aca="1" ref="AG86" ca="1">IF(Table13[[#This Row],[TOTAL HIRE COST]]="","",IFERROR(IF(U86&lt;&gt;"",_xlfn.XLOOKUP(J86&amp;I86&amp;V86,PRICES!B:B&amp;PRICES!C:C&amp;PRICES!D:D,PRICES!H:H,"")),""))</f>
        <v/>
      </c>
      <c r="AH86" s="154" t="str" cm="1">
        <f t="array" aca="1" ref="AH86" ca="1">IF(Table13[[#This Row],[TOTAL HIRE COST]]="","",IFERROR(IF(U86&lt;&gt;"",_xlfn.XLOOKUP(J86&amp;I86&amp;V86,PRICES!B:B&amp;PRICES!C:C&amp;PRICES!D:D,PRICES!I:I,"")),""))</f>
        <v/>
      </c>
      <c r="AI86" s="154" t="str">
        <f ca="1">IF(Table13[[#This Row],[TOTAL HIRE COST]]="","",Table13[[#This Row],[TOTAL HIRE COST]]+Table13[[#This Row],[DELIVERY COST]]+Table13[[#This Row],[COLLECTION COST]])</f>
        <v/>
      </c>
      <c r="AJ86" s="153" t="str">
        <f>IF(Table13[[#This Row],[Date to Hire (DH)]]="","",YEAR(Table13[[#This Row],[Date to Hire (DH)]]))</f>
        <v/>
      </c>
      <c r="AK86" s="153" t="str">
        <f>IF(Table13[[#This Row],[Date to Hire (DH)]]="","",MONTH(Table13[[#This Row],[Date to Hire (DH)]]))</f>
        <v/>
      </c>
      <c r="AL86" s="153" t="str">
        <f>IF(Table13[[#This Row],[Date to Hire (DH)]]="","",WEEKNUM(Table13[[#This Row],[Date to Hire (DH)]]))</f>
        <v/>
      </c>
      <c r="AM86" s="153" t="str">
        <f>TEXT(Table13[[#This Row],[YEAR]],"0000")&amp;"-"&amp;Table13[[#This Row],[MONTH]]</f>
        <v>-</v>
      </c>
      <c r="AN86" s="153" t="str">
        <f>IF(Table13[[#This Row],[Date of Planned Offhire (DoPO) / If Applicable]]="","",YEAR(Table13[[#This Row],[Date of Planned Offhire (DoPO) / If Applicable]]))</f>
        <v/>
      </c>
      <c r="AO86" s="153" t="str">
        <f>IF(Table13[[#This Row],[Date of Planned Offhire (DoPO) / If Applicable]]="","",MONTH(Table13[[#This Row],[Date of Planned Offhire (DoPO) / If Applicable]]))</f>
        <v/>
      </c>
      <c r="AP86" s="153" t="str">
        <f>IF(Table13[[#This Row],[Date of Planned Offhire (DoPO) / If Applicable]]="","",WEEKNUM(Table13[[#This Row],[Date of Planned Offhire (DoPO) / If Applicable]]))</f>
        <v/>
      </c>
      <c r="AQ86" s="153" t="str">
        <f>TEXT(Table13[[#This Row],[YEAR2]],"0000")&amp;"-"&amp;Table13[[#This Row],[MONTH2]]</f>
        <v>-</v>
      </c>
      <c r="AR86" s="153" t="str">
        <f>IF(Table13[[#This Row],[Actual Date to Offhire (ADtO)]]="","",YEAR(Table13[[#This Row],[Actual Date to Offhire (ADtO)]]))</f>
        <v/>
      </c>
      <c r="AS86" s="153" t="str">
        <f>IF(Table13[[#This Row],[Actual Date to Offhire (ADtO)]]="","",MONTH(Table13[[#This Row],[Actual Date to Offhire (ADtO)]]))</f>
        <v/>
      </c>
      <c r="AT86" s="153" t="str">
        <f>IF(Table13[[#This Row],[Actual Date to Offhire (ADtO)]]="","",WEEKNUM(Table13[[#This Row],[Actual Date to Offhire (ADtO)]]))</f>
        <v/>
      </c>
      <c r="AU86" s="153" t="str">
        <f>TEXT(Table13[[#This Row],[YEAR3]],"0000")&amp;"-"&amp;Table13[[#This Row],[MONTH3]]</f>
        <v>-</v>
      </c>
      <c r="AV86" s="153">
        <f>IF(E86="",0,
  IF('Delivery Report'!A$2*100+'Delivery Report'!A$5 &lt; YEAR(E86)*100+WEEKNUM(E86), 0,
    IF(OR(G86="", 'Delivery Report'!A$2*100+'Delivery Report'!A$5 &lt;= YEAR(G86)*100+WEEKNUM(G86)),
      IF(LOWER(W86)="hourly", U86*X86*56,
      IF(LOWER(W86)="daily", U86*X86*7,
      IF(LOWER(W86)="weekly", U86*X86,
      IF(LOWER(W86)="monthly", U86*X86*12/52,
      IF(LOWER(W86)="yearly", U86*X86/52,
      IF(LOWER(W86)="one-off", U86*X86,
      0)))))),
    0)))</f>
        <v>0</v>
      </c>
    </row>
    <row r="87" spans="1:48" x14ac:dyDescent="0.3">
      <c r="A87" s="24"/>
      <c r="E87" s="1"/>
      <c r="F87" s="1"/>
      <c r="G87" s="1"/>
      <c r="H87" s="164" t="s">
        <v>317</v>
      </c>
      <c r="P87" s="153" t="str">
        <f t="shared" si="13"/>
        <v/>
      </c>
      <c r="Q87" s="155">
        <f>IF(Table13[[#This Row],[HGVs (Collection)]]="",O87,Table13[[#This Row],[HGVs (Delivery)]]+Table13[[#This Row],[HGVs (Collection)]])</f>
        <v>0</v>
      </c>
      <c r="W87" s="153" t="str" cm="1">
        <f t="array" ref="W87">IF(Table13[[#This Row],[QUANTITY]]="","",IFERROR(IF(V87&lt;&gt;"",_xlfn.XLOOKUP(I87&amp;J87,PRICES!C:C&amp;PRICES!B:B,IF(PRICES!F:F&lt;&gt;"",PRICES!F:F,PRICES!E:E),"")),""))</f>
        <v/>
      </c>
      <c r="X87" s="154" t="str" cm="1">
        <f t="array" ref="X87">IF(Table13[[#This Row],[QUANTITY]]="","",IFERROR(IF(U87&lt;&gt;"",_xlfn.XLOOKUP(I87&amp;J87&amp;V87,PRICES!C:C&amp;PRICES!B:B&amp;PRICES!D:D,PRICES!G:G,"")),""))</f>
        <v/>
      </c>
      <c r="Y87" s="154" t="str">
        <f t="shared" ca="1" si="14"/>
        <v/>
      </c>
      <c r="Z87" s="154" t="str">
        <f t="shared" ca="1" si="15"/>
        <v/>
      </c>
      <c r="AA87" s="154" t="str">
        <f t="shared" ca="1" si="16"/>
        <v/>
      </c>
      <c r="AB87" s="154" t="str">
        <f t="shared" ca="1" si="17"/>
        <v/>
      </c>
      <c r="AC87" s="154" t="str">
        <f t="shared" ca="1" si="12"/>
        <v/>
      </c>
      <c r="AD87" s="154" t="str">
        <f>IF(Table13[[#This Row],[QUANTITY]]="","",
  IF(AND(Y87="",Z87="",AA87="",AB87="",AC87=""),
    U87*X87,
  ""))</f>
        <v/>
      </c>
      <c r="AE87" s="154" t="str">
        <f t="shared" ca="1" si="18"/>
        <v/>
      </c>
      <c r="AF87" s="154" t="str">
        <f t="shared" si="19"/>
        <v/>
      </c>
      <c r="AG87" s="154" t="str" cm="1">
        <f t="array" aca="1" ref="AG87" ca="1">IF(Table13[[#This Row],[TOTAL HIRE COST]]="","",IFERROR(IF(U87&lt;&gt;"",_xlfn.XLOOKUP(J87&amp;I87&amp;V87,PRICES!B:B&amp;PRICES!C:C&amp;PRICES!D:D,PRICES!H:H,"")),""))</f>
        <v/>
      </c>
      <c r="AH87" s="154" t="str" cm="1">
        <f t="array" aca="1" ref="AH87" ca="1">IF(Table13[[#This Row],[TOTAL HIRE COST]]="","",IFERROR(IF(U87&lt;&gt;"",_xlfn.XLOOKUP(J87&amp;I87&amp;V87,PRICES!B:B&amp;PRICES!C:C&amp;PRICES!D:D,PRICES!I:I,"")),""))</f>
        <v/>
      </c>
      <c r="AI87" s="154" t="str">
        <f ca="1">IF(Table13[[#This Row],[TOTAL HIRE COST]]="","",Table13[[#This Row],[TOTAL HIRE COST]]+Table13[[#This Row],[DELIVERY COST]]+Table13[[#This Row],[COLLECTION COST]])</f>
        <v/>
      </c>
      <c r="AJ87" s="153" t="str">
        <f>IF(Table13[[#This Row],[Date to Hire (DH)]]="","",YEAR(Table13[[#This Row],[Date to Hire (DH)]]))</f>
        <v/>
      </c>
      <c r="AK87" s="153" t="str">
        <f>IF(Table13[[#This Row],[Date to Hire (DH)]]="","",MONTH(Table13[[#This Row],[Date to Hire (DH)]]))</f>
        <v/>
      </c>
      <c r="AL87" s="153" t="str">
        <f>IF(Table13[[#This Row],[Date to Hire (DH)]]="","",WEEKNUM(Table13[[#This Row],[Date to Hire (DH)]]))</f>
        <v/>
      </c>
      <c r="AM87" s="153" t="str">
        <f>TEXT(Table13[[#This Row],[YEAR]],"0000")&amp;"-"&amp;Table13[[#This Row],[MONTH]]</f>
        <v>-</v>
      </c>
      <c r="AN87" s="153" t="str">
        <f>IF(Table13[[#This Row],[Date of Planned Offhire (DoPO) / If Applicable]]="","",YEAR(Table13[[#This Row],[Date of Planned Offhire (DoPO) / If Applicable]]))</f>
        <v/>
      </c>
      <c r="AO87" s="153" t="str">
        <f>IF(Table13[[#This Row],[Date of Planned Offhire (DoPO) / If Applicable]]="","",MONTH(Table13[[#This Row],[Date of Planned Offhire (DoPO) / If Applicable]]))</f>
        <v/>
      </c>
      <c r="AP87" s="153" t="str">
        <f>IF(Table13[[#This Row],[Date of Planned Offhire (DoPO) / If Applicable]]="","",WEEKNUM(Table13[[#This Row],[Date of Planned Offhire (DoPO) / If Applicable]]))</f>
        <v/>
      </c>
      <c r="AQ87" s="153" t="str">
        <f>TEXT(Table13[[#This Row],[YEAR2]],"0000")&amp;"-"&amp;Table13[[#This Row],[MONTH2]]</f>
        <v>-</v>
      </c>
      <c r="AR87" s="153" t="str">
        <f>IF(Table13[[#This Row],[Actual Date to Offhire (ADtO)]]="","",YEAR(Table13[[#This Row],[Actual Date to Offhire (ADtO)]]))</f>
        <v/>
      </c>
      <c r="AS87" s="153" t="str">
        <f>IF(Table13[[#This Row],[Actual Date to Offhire (ADtO)]]="","",MONTH(Table13[[#This Row],[Actual Date to Offhire (ADtO)]]))</f>
        <v/>
      </c>
      <c r="AT87" s="153" t="str">
        <f>IF(Table13[[#This Row],[Actual Date to Offhire (ADtO)]]="","",WEEKNUM(Table13[[#This Row],[Actual Date to Offhire (ADtO)]]))</f>
        <v/>
      </c>
      <c r="AU87" s="153" t="str">
        <f>TEXT(Table13[[#This Row],[YEAR3]],"0000")&amp;"-"&amp;Table13[[#This Row],[MONTH3]]</f>
        <v>-</v>
      </c>
      <c r="AV87" s="153">
        <f>IF(E87="",0,
  IF('Delivery Report'!A$2*100+'Delivery Report'!A$5 &lt; YEAR(E87)*100+WEEKNUM(E87), 0,
    IF(OR(G87="", 'Delivery Report'!A$2*100+'Delivery Report'!A$5 &lt;= YEAR(G87)*100+WEEKNUM(G87)),
      IF(LOWER(W87)="hourly", U87*X87*56,
      IF(LOWER(W87)="daily", U87*X87*7,
      IF(LOWER(W87)="weekly", U87*X87,
      IF(LOWER(W87)="monthly", U87*X87*12/52,
      IF(LOWER(W87)="yearly", U87*X87/52,
      IF(LOWER(W87)="one-off", U87*X87,
      0)))))),
    0)))</f>
        <v>0</v>
      </c>
    </row>
    <row r="88" spans="1:48" x14ac:dyDescent="0.3">
      <c r="A88" s="24"/>
      <c r="E88" s="1"/>
      <c r="F88" s="1"/>
      <c r="G88" s="1"/>
      <c r="H88" s="164" t="s">
        <v>317</v>
      </c>
      <c r="P88" s="153" t="str">
        <f t="shared" si="13"/>
        <v/>
      </c>
      <c r="Q88" s="155">
        <f>IF(Table13[[#This Row],[HGVs (Collection)]]="",O88,Table13[[#This Row],[HGVs (Delivery)]]+Table13[[#This Row],[HGVs (Collection)]])</f>
        <v>0</v>
      </c>
      <c r="W88" s="153" t="str" cm="1">
        <f t="array" ref="W88">IF(Table13[[#This Row],[QUANTITY]]="","",IFERROR(IF(V88&lt;&gt;"",_xlfn.XLOOKUP(I88&amp;J88,PRICES!C:C&amp;PRICES!B:B,IF(PRICES!F:F&lt;&gt;"",PRICES!F:F,PRICES!E:E),"")),""))</f>
        <v/>
      </c>
      <c r="X88" s="154" t="str" cm="1">
        <f t="array" ref="X88">IF(Table13[[#This Row],[QUANTITY]]="","",IFERROR(IF(U88&lt;&gt;"",_xlfn.XLOOKUP(I88&amp;J88&amp;V88,PRICES!C:C&amp;PRICES!B:B&amp;PRICES!D:D,PRICES!G:G,"")),""))</f>
        <v/>
      </c>
      <c r="Y88" s="154" t="str">
        <f t="shared" ca="1" si="14"/>
        <v/>
      </c>
      <c r="Z88" s="154" t="str">
        <f t="shared" ca="1" si="15"/>
        <v/>
      </c>
      <c r="AA88" s="154" t="str">
        <f t="shared" ca="1" si="16"/>
        <v/>
      </c>
      <c r="AB88" s="154" t="str">
        <f t="shared" ca="1" si="17"/>
        <v/>
      </c>
      <c r="AC88" s="154" t="str">
        <f t="shared" ca="1" si="12"/>
        <v/>
      </c>
      <c r="AD88" s="154" t="str">
        <f>IF(Table13[[#This Row],[QUANTITY]]="","",
  IF(AND(Y88="",Z88="",AA88="",AB88="",AC88=""),
    U88*X88,
  ""))</f>
        <v/>
      </c>
      <c r="AE88" s="154" t="str">
        <f t="shared" ca="1" si="18"/>
        <v/>
      </c>
      <c r="AF88" s="154" t="str">
        <f t="shared" si="19"/>
        <v/>
      </c>
      <c r="AG88" s="154" t="str" cm="1">
        <f t="array" aca="1" ref="AG88" ca="1">IF(Table13[[#This Row],[TOTAL HIRE COST]]="","",IFERROR(IF(U88&lt;&gt;"",_xlfn.XLOOKUP(J88&amp;I88&amp;V88,PRICES!B:B&amp;PRICES!C:C&amp;PRICES!D:D,PRICES!H:H,"")),""))</f>
        <v/>
      </c>
      <c r="AH88" s="154" t="str" cm="1">
        <f t="array" aca="1" ref="AH88" ca="1">IF(Table13[[#This Row],[TOTAL HIRE COST]]="","",IFERROR(IF(U88&lt;&gt;"",_xlfn.XLOOKUP(J88&amp;I88&amp;V88,PRICES!B:B&amp;PRICES!C:C&amp;PRICES!D:D,PRICES!I:I,"")),""))</f>
        <v/>
      </c>
      <c r="AI88" s="154" t="str">
        <f ca="1">IF(Table13[[#This Row],[TOTAL HIRE COST]]="","",Table13[[#This Row],[TOTAL HIRE COST]]+Table13[[#This Row],[DELIVERY COST]]+Table13[[#This Row],[COLLECTION COST]])</f>
        <v/>
      </c>
      <c r="AJ88" s="153" t="str">
        <f>IF(Table13[[#This Row],[Date to Hire (DH)]]="","",YEAR(Table13[[#This Row],[Date to Hire (DH)]]))</f>
        <v/>
      </c>
      <c r="AK88" s="153" t="str">
        <f>IF(Table13[[#This Row],[Date to Hire (DH)]]="","",MONTH(Table13[[#This Row],[Date to Hire (DH)]]))</f>
        <v/>
      </c>
      <c r="AL88" s="153" t="str">
        <f>IF(Table13[[#This Row],[Date to Hire (DH)]]="","",WEEKNUM(Table13[[#This Row],[Date to Hire (DH)]]))</f>
        <v/>
      </c>
      <c r="AM88" s="153" t="str">
        <f>TEXT(Table13[[#This Row],[YEAR]],"0000")&amp;"-"&amp;Table13[[#This Row],[MONTH]]</f>
        <v>-</v>
      </c>
      <c r="AN88" s="153" t="str">
        <f>IF(Table13[[#This Row],[Date of Planned Offhire (DoPO) / If Applicable]]="","",YEAR(Table13[[#This Row],[Date of Planned Offhire (DoPO) / If Applicable]]))</f>
        <v/>
      </c>
      <c r="AO88" s="153" t="str">
        <f>IF(Table13[[#This Row],[Date of Planned Offhire (DoPO) / If Applicable]]="","",MONTH(Table13[[#This Row],[Date of Planned Offhire (DoPO) / If Applicable]]))</f>
        <v/>
      </c>
      <c r="AP88" s="153" t="str">
        <f>IF(Table13[[#This Row],[Date of Planned Offhire (DoPO) / If Applicable]]="","",WEEKNUM(Table13[[#This Row],[Date of Planned Offhire (DoPO) / If Applicable]]))</f>
        <v/>
      </c>
      <c r="AQ88" s="153" t="str">
        <f>TEXT(Table13[[#This Row],[YEAR2]],"0000")&amp;"-"&amp;Table13[[#This Row],[MONTH2]]</f>
        <v>-</v>
      </c>
      <c r="AR88" s="153" t="str">
        <f>IF(Table13[[#This Row],[Actual Date to Offhire (ADtO)]]="","",YEAR(Table13[[#This Row],[Actual Date to Offhire (ADtO)]]))</f>
        <v/>
      </c>
      <c r="AS88" s="153" t="str">
        <f>IF(Table13[[#This Row],[Actual Date to Offhire (ADtO)]]="","",MONTH(Table13[[#This Row],[Actual Date to Offhire (ADtO)]]))</f>
        <v/>
      </c>
      <c r="AT88" s="153" t="str">
        <f>IF(Table13[[#This Row],[Actual Date to Offhire (ADtO)]]="","",WEEKNUM(Table13[[#This Row],[Actual Date to Offhire (ADtO)]]))</f>
        <v/>
      </c>
      <c r="AU88" s="153" t="str">
        <f>TEXT(Table13[[#This Row],[YEAR3]],"0000")&amp;"-"&amp;Table13[[#This Row],[MONTH3]]</f>
        <v>-</v>
      </c>
      <c r="AV88" s="153">
        <f>IF(E88="",0,
  IF('Delivery Report'!A$2*100+'Delivery Report'!A$5 &lt; YEAR(E88)*100+WEEKNUM(E88), 0,
    IF(OR(G88="", 'Delivery Report'!A$2*100+'Delivery Report'!A$5 &lt;= YEAR(G88)*100+WEEKNUM(G88)),
      IF(LOWER(W88)="hourly", U88*X88*56,
      IF(LOWER(W88)="daily", U88*X88*7,
      IF(LOWER(W88)="weekly", U88*X88,
      IF(LOWER(W88)="monthly", U88*X88*12/52,
      IF(LOWER(W88)="yearly", U88*X88/52,
      IF(LOWER(W88)="one-off", U88*X88,
      0)))))),
    0)))</f>
        <v>0</v>
      </c>
    </row>
    <row r="89" spans="1:48" x14ac:dyDescent="0.3">
      <c r="A89" s="24"/>
      <c r="E89" s="1"/>
      <c r="F89" s="1"/>
      <c r="G89" s="1"/>
      <c r="H89" s="164" t="s">
        <v>317</v>
      </c>
      <c r="P89" s="153" t="str">
        <f t="shared" si="13"/>
        <v/>
      </c>
      <c r="Q89" s="155">
        <f>IF(Table13[[#This Row],[HGVs (Collection)]]="",O89,Table13[[#This Row],[HGVs (Delivery)]]+Table13[[#This Row],[HGVs (Collection)]])</f>
        <v>0</v>
      </c>
      <c r="W89" s="153" t="str" cm="1">
        <f t="array" ref="W89">IF(Table13[[#This Row],[QUANTITY]]="","",IFERROR(IF(V89&lt;&gt;"",_xlfn.XLOOKUP(I89&amp;J89,PRICES!C:C&amp;PRICES!B:B,IF(PRICES!F:F&lt;&gt;"",PRICES!F:F,PRICES!E:E),"")),""))</f>
        <v/>
      </c>
      <c r="X89" s="154" t="str" cm="1">
        <f t="array" ref="X89">IF(Table13[[#This Row],[QUANTITY]]="","",IFERROR(IF(U89&lt;&gt;"",_xlfn.XLOOKUP(I89&amp;J89&amp;V89,PRICES!C:C&amp;PRICES!B:B&amp;PRICES!D:D,PRICES!G:G,"")),""))</f>
        <v/>
      </c>
      <c r="Y89" s="154" t="str">
        <f t="shared" ca="1" si="14"/>
        <v/>
      </c>
      <c r="Z89" s="154" t="str">
        <f t="shared" ca="1" si="15"/>
        <v/>
      </c>
      <c r="AA89" s="154" t="str">
        <f t="shared" ca="1" si="16"/>
        <v/>
      </c>
      <c r="AB89" s="154" t="str">
        <f t="shared" ca="1" si="17"/>
        <v/>
      </c>
      <c r="AC89" s="154" t="str">
        <f t="shared" ca="1" si="12"/>
        <v/>
      </c>
      <c r="AD89" s="154" t="str">
        <f>IF(Table13[[#This Row],[QUANTITY]]="","",
  IF(AND(Y89="",Z89="",AA89="",AB89="",AC89=""),
    U89*X89,
  ""))</f>
        <v/>
      </c>
      <c r="AE89" s="154" t="str">
        <f t="shared" ca="1" si="18"/>
        <v/>
      </c>
      <c r="AF89" s="154" t="str">
        <f t="shared" si="19"/>
        <v/>
      </c>
      <c r="AG89" s="154" t="str" cm="1">
        <f t="array" aca="1" ref="AG89" ca="1">IF(Table13[[#This Row],[TOTAL HIRE COST]]="","",IFERROR(IF(U89&lt;&gt;"",_xlfn.XLOOKUP(J89&amp;I89&amp;V89,PRICES!B:B&amp;PRICES!C:C&amp;PRICES!D:D,PRICES!H:H,"")),""))</f>
        <v/>
      </c>
      <c r="AH89" s="154" t="str" cm="1">
        <f t="array" aca="1" ref="AH89" ca="1">IF(Table13[[#This Row],[TOTAL HIRE COST]]="","",IFERROR(IF(U89&lt;&gt;"",_xlfn.XLOOKUP(J89&amp;I89&amp;V89,PRICES!B:B&amp;PRICES!C:C&amp;PRICES!D:D,PRICES!I:I,"")),""))</f>
        <v/>
      </c>
      <c r="AI89" s="154" t="str">
        <f ca="1">IF(Table13[[#This Row],[TOTAL HIRE COST]]="","",Table13[[#This Row],[TOTAL HIRE COST]]+Table13[[#This Row],[DELIVERY COST]]+Table13[[#This Row],[COLLECTION COST]])</f>
        <v/>
      </c>
      <c r="AJ89" s="153" t="str">
        <f>IF(Table13[[#This Row],[Date to Hire (DH)]]="","",YEAR(Table13[[#This Row],[Date to Hire (DH)]]))</f>
        <v/>
      </c>
      <c r="AK89" s="153" t="str">
        <f>IF(Table13[[#This Row],[Date to Hire (DH)]]="","",MONTH(Table13[[#This Row],[Date to Hire (DH)]]))</f>
        <v/>
      </c>
      <c r="AL89" s="153" t="str">
        <f>IF(Table13[[#This Row],[Date to Hire (DH)]]="","",WEEKNUM(Table13[[#This Row],[Date to Hire (DH)]]))</f>
        <v/>
      </c>
      <c r="AM89" s="153" t="str">
        <f>TEXT(Table13[[#This Row],[YEAR]],"0000")&amp;"-"&amp;Table13[[#This Row],[MONTH]]</f>
        <v>-</v>
      </c>
      <c r="AN89" s="153" t="str">
        <f>IF(Table13[[#This Row],[Date of Planned Offhire (DoPO) / If Applicable]]="","",YEAR(Table13[[#This Row],[Date of Planned Offhire (DoPO) / If Applicable]]))</f>
        <v/>
      </c>
      <c r="AO89" s="153" t="str">
        <f>IF(Table13[[#This Row],[Date of Planned Offhire (DoPO) / If Applicable]]="","",MONTH(Table13[[#This Row],[Date of Planned Offhire (DoPO) / If Applicable]]))</f>
        <v/>
      </c>
      <c r="AP89" s="153" t="str">
        <f>IF(Table13[[#This Row],[Date of Planned Offhire (DoPO) / If Applicable]]="","",WEEKNUM(Table13[[#This Row],[Date of Planned Offhire (DoPO) / If Applicable]]))</f>
        <v/>
      </c>
      <c r="AQ89" s="153" t="str">
        <f>TEXT(Table13[[#This Row],[YEAR2]],"0000")&amp;"-"&amp;Table13[[#This Row],[MONTH2]]</f>
        <v>-</v>
      </c>
      <c r="AR89" s="153" t="str">
        <f>IF(Table13[[#This Row],[Actual Date to Offhire (ADtO)]]="","",YEAR(Table13[[#This Row],[Actual Date to Offhire (ADtO)]]))</f>
        <v/>
      </c>
      <c r="AS89" s="153" t="str">
        <f>IF(Table13[[#This Row],[Actual Date to Offhire (ADtO)]]="","",MONTH(Table13[[#This Row],[Actual Date to Offhire (ADtO)]]))</f>
        <v/>
      </c>
      <c r="AT89" s="153" t="str">
        <f>IF(Table13[[#This Row],[Actual Date to Offhire (ADtO)]]="","",WEEKNUM(Table13[[#This Row],[Actual Date to Offhire (ADtO)]]))</f>
        <v/>
      </c>
      <c r="AU89" s="153" t="str">
        <f>TEXT(Table13[[#This Row],[YEAR3]],"0000")&amp;"-"&amp;Table13[[#This Row],[MONTH3]]</f>
        <v>-</v>
      </c>
      <c r="AV89" s="153">
        <f>IF(E89="",0,
  IF('Delivery Report'!A$2*100+'Delivery Report'!A$5 &lt; YEAR(E89)*100+WEEKNUM(E89), 0,
    IF(OR(G89="", 'Delivery Report'!A$2*100+'Delivery Report'!A$5 &lt;= YEAR(G89)*100+WEEKNUM(G89)),
      IF(LOWER(W89)="hourly", U89*X89*56,
      IF(LOWER(W89)="daily", U89*X89*7,
      IF(LOWER(W89)="weekly", U89*X89,
      IF(LOWER(W89)="monthly", U89*X89*12/52,
      IF(LOWER(W89)="yearly", U89*X89/52,
      IF(LOWER(W89)="one-off", U89*X89,
      0)))))),
    0)))</f>
        <v>0</v>
      </c>
    </row>
    <row r="90" spans="1:48" x14ac:dyDescent="0.3">
      <c r="A90" s="24"/>
      <c r="C90" s="176"/>
      <c r="E90" s="1"/>
      <c r="F90" s="1"/>
      <c r="G90" s="1"/>
      <c r="H90" s="164" t="s">
        <v>315</v>
      </c>
      <c r="P90" s="153" t="str">
        <f t="shared" si="13"/>
        <v/>
      </c>
      <c r="Q90" s="155">
        <f>IF(Table13[[#This Row],[HGVs (Collection)]]="",O90,Table13[[#This Row],[HGVs (Delivery)]]+Table13[[#This Row],[HGVs (Collection)]])</f>
        <v>0</v>
      </c>
      <c r="W90" s="153" t="str" cm="1">
        <f t="array" ref="W90">IF(Table13[[#This Row],[QUANTITY]]="","",IFERROR(IF(V90&lt;&gt;"",_xlfn.XLOOKUP(I90&amp;J90,PRICES!C:C&amp;PRICES!B:B,IF(PRICES!F:F&lt;&gt;"",PRICES!F:F,PRICES!E:E),"")),""))</f>
        <v/>
      </c>
      <c r="X90" s="154" t="str" cm="1">
        <f t="array" ref="X90">IF(Table13[[#This Row],[QUANTITY]]="","",IFERROR(IF(U90&lt;&gt;"",_xlfn.XLOOKUP(I90&amp;J90&amp;V90,PRICES!C:C&amp;PRICES!B:B&amp;PRICES!D:D,PRICES!G:G,"")),""))</f>
        <v/>
      </c>
      <c r="Y90" s="154" t="str">
        <f t="shared" ca="1" si="14"/>
        <v/>
      </c>
      <c r="Z90" s="154" t="str">
        <f t="shared" ca="1" si="15"/>
        <v/>
      </c>
      <c r="AA90" s="154" t="str">
        <f t="shared" ca="1" si="16"/>
        <v/>
      </c>
      <c r="AB90" s="154" t="str">
        <f t="shared" ca="1" si="17"/>
        <v/>
      </c>
      <c r="AC90" s="154" t="str">
        <f t="shared" ca="1" si="12"/>
        <v/>
      </c>
      <c r="AD90" s="154" t="str">
        <f>IF(Table13[[#This Row],[QUANTITY]]="","",
  IF(AND(Y90="",Z90="",AA90="",AB90="",AC90=""),
    U90*X90,
  ""))</f>
        <v/>
      </c>
      <c r="AE90" s="154" t="str">
        <f t="shared" ca="1" si="18"/>
        <v/>
      </c>
      <c r="AF90" s="154" t="str">
        <f t="shared" si="19"/>
        <v/>
      </c>
      <c r="AG90" s="154" t="str" cm="1">
        <f t="array" aca="1" ref="AG90" ca="1">IF(Table13[[#This Row],[TOTAL HIRE COST]]="","",IFERROR(IF(U90&lt;&gt;"",_xlfn.XLOOKUP(J90&amp;I90&amp;V90,PRICES!B:B&amp;PRICES!C:C&amp;PRICES!D:D,PRICES!H:H,"")),""))</f>
        <v/>
      </c>
      <c r="AH90" s="154" t="str" cm="1">
        <f t="array" aca="1" ref="AH90" ca="1">IF(Table13[[#This Row],[TOTAL HIRE COST]]="","",IFERROR(IF(U90&lt;&gt;"",_xlfn.XLOOKUP(J90&amp;I90&amp;V90,PRICES!B:B&amp;PRICES!C:C&amp;PRICES!D:D,PRICES!I:I,"")),""))</f>
        <v/>
      </c>
      <c r="AI90" s="154" t="str">
        <f ca="1">IF(Table13[[#This Row],[TOTAL HIRE COST]]="","",Table13[[#This Row],[TOTAL HIRE COST]]+Table13[[#This Row],[DELIVERY COST]]+Table13[[#This Row],[COLLECTION COST]])</f>
        <v/>
      </c>
      <c r="AJ90" s="153" t="str">
        <f>IF(Table13[[#This Row],[Date to Hire (DH)]]="","",YEAR(Table13[[#This Row],[Date to Hire (DH)]]))</f>
        <v/>
      </c>
      <c r="AK90" s="153" t="str">
        <f>IF(Table13[[#This Row],[Date to Hire (DH)]]="","",MONTH(Table13[[#This Row],[Date to Hire (DH)]]))</f>
        <v/>
      </c>
      <c r="AL90" s="153" t="str">
        <f>IF(Table13[[#This Row],[Date to Hire (DH)]]="","",WEEKNUM(Table13[[#This Row],[Date to Hire (DH)]]))</f>
        <v/>
      </c>
      <c r="AM90" s="153" t="str">
        <f>TEXT(Table13[[#This Row],[YEAR]],"0000")&amp;"-"&amp;Table13[[#This Row],[MONTH]]</f>
        <v>-</v>
      </c>
      <c r="AN90" s="153" t="str">
        <f>IF(Table13[[#This Row],[Date of Planned Offhire (DoPO) / If Applicable]]="","",YEAR(Table13[[#This Row],[Date of Planned Offhire (DoPO) / If Applicable]]))</f>
        <v/>
      </c>
      <c r="AO90" s="153" t="str">
        <f>IF(Table13[[#This Row],[Date of Planned Offhire (DoPO) / If Applicable]]="","",MONTH(Table13[[#This Row],[Date of Planned Offhire (DoPO) / If Applicable]]))</f>
        <v/>
      </c>
      <c r="AP90" s="153" t="str">
        <f>IF(Table13[[#This Row],[Date of Planned Offhire (DoPO) / If Applicable]]="","",WEEKNUM(Table13[[#This Row],[Date of Planned Offhire (DoPO) / If Applicable]]))</f>
        <v/>
      </c>
      <c r="AQ90" s="153" t="str">
        <f>TEXT(Table13[[#This Row],[YEAR2]],"0000")&amp;"-"&amp;Table13[[#This Row],[MONTH2]]</f>
        <v>-</v>
      </c>
      <c r="AR90" s="153" t="str">
        <f>IF(Table13[[#This Row],[Actual Date to Offhire (ADtO)]]="","",YEAR(Table13[[#This Row],[Actual Date to Offhire (ADtO)]]))</f>
        <v/>
      </c>
      <c r="AS90" s="153" t="str">
        <f>IF(Table13[[#This Row],[Actual Date to Offhire (ADtO)]]="","",MONTH(Table13[[#This Row],[Actual Date to Offhire (ADtO)]]))</f>
        <v/>
      </c>
      <c r="AT90" s="153" t="str">
        <f>IF(Table13[[#This Row],[Actual Date to Offhire (ADtO)]]="","",WEEKNUM(Table13[[#This Row],[Actual Date to Offhire (ADtO)]]))</f>
        <v/>
      </c>
      <c r="AU90" s="153" t="str">
        <f>TEXT(Table13[[#This Row],[YEAR3]],"0000")&amp;"-"&amp;Table13[[#This Row],[MONTH3]]</f>
        <v>-</v>
      </c>
      <c r="AV90" s="153">
        <f>IF(E90="",0,
  IF('Delivery Report'!A$2*100+'Delivery Report'!A$5 &lt; YEAR(E90)*100+WEEKNUM(E90), 0,
    IF(OR(G90="", 'Delivery Report'!A$2*100+'Delivery Report'!A$5 &lt;= YEAR(G90)*100+WEEKNUM(G90)),
      IF(LOWER(W90)="hourly", U90*X90*56,
      IF(LOWER(W90)="daily", U90*X90*7,
      IF(LOWER(W90)="weekly", U90*X90,
      IF(LOWER(W90)="monthly", U90*X90*12/52,
      IF(LOWER(W90)="yearly", U90*X90/52,
      IF(LOWER(W90)="one-off", U90*X90,
      0)))))),
    0)))</f>
        <v>0</v>
      </c>
    </row>
    <row r="91" spans="1:48" x14ac:dyDescent="0.3">
      <c r="A91" s="24"/>
      <c r="E91" s="1"/>
      <c r="F91" s="1"/>
      <c r="G91" s="1"/>
      <c r="H91" s="164" t="s">
        <v>317</v>
      </c>
      <c r="P91" s="153" t="str">
        <f t="shared" si="13"/>
        <v/>
      </c>
      <c r="Q91" s="155">
        <f>IF(Table13[[#This Row],[HGVs (Collection)]]="",O91,Table13[[#This Row],[HGVs (Delivery)]]+Table13[[#This Row],[HGVs (Collection)]])</f>
        <v>0</v>
      </c>
      <c r="W91" s="153" t="str" cm="1">
        <f t="array" ref="W91">IF(Table13[[#This Row],[QUANTITY]]="","",IFERROR(IF(V91&lt;&gt;"",_xlfn.XLOOKUP(I91&amp;J91,PRICES!C:C&amp;PRICES!B:B,IF(PRICES!F:F&lt;&gt;"",PRICES!F:F,PRICES!E:E),"")),""))</f>
        <v/>
      </c>
      <c r="X91" s="154" t="str" cm="1">
        <f t="array" ref="X91">IF(Table13[[#This Row],[QUANTITY]]="","",IFERROR(IF(U91&lt;&gt;"",_xlfn.XLOOKUP(I91&amp;J91&amp;V91,PRICES!C:C&amp;PRICES!B:B&amp;PRICES!D:D,PRICES!G:G,"")),""))</f>
        <v/>
      </c>
      <c r="Y91" s="154" t="str">
        <f t="shared" ca="1" si="14"/>
        <v/>
      </c>
      <c r="Z91" s="154" t="str">
        <f t="shared" ca="1" si="15"/>
        <v/>
      </c>
      <c r="AA91" s="154" t="str">
        <f t="shared" ca="1" si="16"/>
        <v/>
      </c>
      <c r="AB91" s="154" t="str">
        <f t="shared" ca="1" si="17"/>
        <v/>
      </c>
      <c r="AC91" s="154" t="str">
        <f t="shared" ca="1" si="12"/>
        <v/>
      </c>
      <c r="AD91" s="154" t="str">
        <f>IF(Table13[[#This Row],[QUANTITY]]="","",
  IF(AND(Y91="",Z91="",AA91="",AB91="",AC91=""),
    U91*X91,
  ""))</f>
        <v/>
      </c>
      <c r="AE91" s="154" t="str">
        <f t="shared" ca="1" si="18"/>
        <v/>
      </c>
      <c r="AF91" s="154" t="str">
        <f t="shared" si="19"/>
        <v/>
      </c>
      <c r="AG91" s="154" t="str" cm="1">
        <f t="array" aca="1" ref="AG91" ca="1">IF(Table13[[#This Row],[TOTAL HIRE COST]]="","",IFERROR(IF(U91&lt;&gt;"",_xlfn.XLOOKUP(J91&amp;I91&amp;V91,PRICES!B:B&amp;PRICES!C:C&amp;PRICES!D:D,PRICES!H:H,"")),""))</f>
        <v/>
      </c>
      <c r="AH91" s="154" t="str" cm="1">
        <f t="array" aca="1" ref="AH91" ca="1">IF(Table13[[#This Row],[TOTAL HIRE COST]]="","",IFERROR(IF(U91&lt;&gt;"",_xlfn.XLOOKUP(J91&amp;I91&amp;V91,PRICES!B:B&amp;PRICES!C:C&amp;PRICES!D:D,PRICES!I:I,"")),""))</f>
        <v/>
      </c>
      <c r="AI91" s="154" t="str">
        <f ca="1">IF(Table13[[#This Row],[TOTAL HIRE COST]]="","",Table13[[#This Row],[TOTAL HIRE COST]]+Table13[[#This Row],[DELIVERY COST]]+Table13[[#This Row],[COLLECTION COST]])</f>
        <v/>
      </c>
      <c r="AJ91" s="153" t="str">
        <f>IF(Table13[[#This Row],[Date to Hire (DH)]]="","",YEAR(Table13[[#This Row],[Date to Hire (DH)]]))</f>
        <v/>
      </c>
      <c r="AK91" s="153" t="str">
        <f>IF(Table13[[#This Row],[Date to Hire (DH)]]="","",MONTH(Table13[[#This Row],[Date to Hire (DH)]]))</f>
        <v/>
      </c>
      <c r="AL91" s="153" t="str">
        <f>IF(Table13[[#This Row],[Date to Hire (DH)]]="","",WEEKNUM(Table13[[#This Row],[Date to Hire (DH)]]))</f>
        <v/>
      </c>
      <c r="AM91" s="153" t="str">
        <f>TEXT(Table13[[#This Row],[YEAR]],"0000")&amp;"-"&amp;Table13[[#This Row],[MONTH]]</f>
        <v>-</v>
      </c>
      <c r="AN91" s="153" t="str">
        <f>IF(Table13[[#This Row],[Date of Planned Offhire (DoPO) / If Applicable]]="","",YEAR(Table13[[#This Row],[Date of Planned Offhire (DoPO) / If Applicable]]))</f>
        <v/>
      </c>
      <c r="AO91" s="153" t="str">
        <f>IF(Table13[[#This Row],[Date of Planned Offhire (DoPO) / If Applicable]]="","",MONTH(Table13[[#This Row],[Date of Planned Offhire (DoPO) / If Applicable]]))</f>
        <v/>
      </c>
      <c r="AP91" s="153" t="str">
        <f>IF(Table13[[#This Row],[Date of Planned Offhire (DoPO) / If Applicable]]="","",WEEKNUM(Table13[[#This Row],[Date of Planned Offhire (DoPO) / If Applicable]]))</f>
        <v/>
      </c>
      <c r="AQ91" s="153" t="str">
        <f>TEXT(Table13[[#This Row],[YEAR2]],"0000")&amp;"-"&amp;Table13[[#This Row],[MONTH2]]</f>
        <v>-</v>
      </c>
      <c r="AR91" s="153" t="str">
        <f>IF(Table13[[#This Row],[Actual Date to Offhire (ADtO)]]="","",YEAR(Table13[[#This Row],[Actual Date to Offhire (ADtO)]]))</f>
        <v/>
      </c>
      <c r="AS91" s="153" t="str">
        <f>IF(Table13[[#This Row],[Actual Date to Offhire (ADtO)]]="","",MONTH(Table13[[#This Row],[Actual Date to Offhire (ADtO)]]))</f>
        <v/>
      </c>
      <c r="AT91" s="153" t="str">
        <f>IF(Table13[[#This Row],[Actual Date to Offhire (ADtO)]]="","",WEEKNUM(Table13[[#This Row],[Actual Date to Offhire (ADtO)]]))</f>
        <v/>
      </c>
      <c r="AU91" s="153" t="str">
        <f>TEXT(Table13[[#This Row],[YEAR3]],"0000")&amp;"-"&amp;Table13[[#This Row],[MONTH3]]</f>
        <v>-</v>
      </c>
      <c r="AV91" s="153">
        <f>IF(E91="",0,
  IF('Delivery Report'!A$2*100+'Delivery Report'!A$5 &lt; YEAR(E91)*100+WEEKNUM(E91), 0,
    IF(OR(G91="", 'Delivery Report'!A$2*100+'Delivery Report'!A$5 &lt;= YEAR(G91)*100+WEEKNUM(G91)),
      IF(LOWER(W91)="hourly", U91*X91*56,
      IF(LOWER(W91)="daily", U91*X91*7,
      IF(LOWER(W91)="weekly", U91*X91,
      IF(LOWER(W91)="monthly", U91*X91*12/52,
      IF(LOWER(W91)="yearly", U91*X91/52,
      IF(LOWER(W91)="one-off", U91*X91,
      0)))))),
    0)))</f>
        <v>0</v>
      </c>
    </row>
    <row r="92" spans="1:48" x14ac:dyDescent="0.3">
      <c r="A92" s="24"/>
      <c r="E92" s="1"/>
      <c r="F92" s="1"/>
      <c r="G92" s="1"/>
      <c r="H92" s="164" t="s">
        <v>317</v>
      </c>
      <c r="P92" s="153" t="str">
        <f t="shared" si="13"/>
        <v/>
      </c>
      <c r="Q92" s="155">
        <f>IF(Table13[[#This Row],[HGVs (Collection)]]="",O92,Table13[[#This Row],[HGVs (Delivery)]]+Table13[[#This Row],[HGVs (Collection)]])</f>
        <v>0</v>
      </c>
      <c r="W92" s="153" t="str" cm="1">
        <f t="array" ref="W92">IF(Table13[[#This Row],[QUANTITY]]="","",IFERROR(IF(V92&lt;&gt;"",_xlfn.XLOOKUP(I92&amp;J92,PRICES!C:C&amp;PRICES!B:B,IF(PRICES!F:F&lt;&gt;"",PRICES!F:F,PRICES!E:E),"")),""))</f>
        <v/>
      </c>
      <c r="X92" s="154" t="str" cm="1">
        <f t="array" ref="X92">IF(Table13[[#This Row],[QUANTITY]]="","",IFERROR(IF(U92&lt;&gt;"",_xlfn.XLOOKUP(I92&amp;J92&amp;V92,PRICES!C:C&amp;PRICES!B:B&amp;PRICES!D:D,PRICES!G:G,"")),""))</f>
        <v/>
      </c>
      <c r="Y92" s="154" t="str">
        <f t="shared" ca="1" si="14"/>
        <v/>
      </c>
      <c r="Z92" s="154" t="str">
        <f t="shared" ca="1" si="15"/>
        <v/>
      </c>
      <c r="AA92" s="154" t="str">
        <f t="shared" ca="1" si="16"/>
        <v/>
      </c>
      <c r="AB92" s="154" t="str">
        <f t="shared" ca="1" si="17"/>
        <v/>
      </c>
      <c r="AC92" s="154" t="str">
        <f t="shared" ca="1" si="12"/>
        <v/>
      </c>
      <c r="AD92" s="154" t="str">
        <f>IF(Table13[[#This Row],[QUANTITY]]="","",
  IF(AND(Y92="",Z92="",AA92="",AB92="",AC92=""),
    U92*X92,
  ""))</f>
        <v/>
      </c>
      <c r="AE92" s="154" t="str">
        <f t="shared" ca="1" si="18"/>
        <v/>
      </c>
      <c r="AF92" s="154" t="str">
        <f t="shared" si="19"/>
        <v/>
      </c>
      <c r="AG92" s="154" t="str" cm="1">
        <f t="array" aca="1" ref="AG92" ca="1">IF(Table13[[#This Row],[TOTAL HIRE COST]]="","",IFERROR(IF(U92&lt;&gt;"",_xlfn.XLOOKUP(J92&amp;I92&amp;V92,PRICES!B:B&amp;PRICES!C:C&amp;PRICES!D:D,PRICES!H:H,"")),""))</f>
        <v/>
      </c>
      <c r="AH92" s="154" t="str" cm="1">
        <f t="array" aca="1" ref="AH92" ca="1">IF(Table13[[#This Row],[TOTAL HIRE COST]]="","",IFERROR(IF(U92&lt;&gt;"",_xlfn.XLOOKUP(J92&amp;I92&amp;V92,PRICES!B:B&amp;PRICES!C:C&amp;PRICES!D:D,PRICES!I:I,"")),""))</f>
        <v/>
      </c>
      <c r="AI92" s="154" t="str">
        <f ca="1">IF(Table13[[#This Row],[TOTAL HIRE COST]]="","",Table13[[#This Row],[TOTAL HIRE COST]]+Table13[[#This Row],[DELIVERY COST]]+Table13[[#This Row],[COLLECTION COST]])</f>
        <v/>
      </c>
      <c r="AJ92" s="153" t="str">
        <f>IF(Table13[[#This Row],[Date to Hire (DH)]]="","",YEAR(Table13[[#This Row],[Date to Hire (DH)]]))</f>
        <v/>
      </c>
      <c r="AK92" s="153" t="str">
        <f>IF(Table13[[#This Row],[Date to Hire (DH)]]="","",MONTH(Table13[[#This Row],[Date to Hire (DH)]]))</f>
        <v/>
      </c>
      <c r="AL92" s="153" t="str">
        <f>IF(Table13[[#This Row],[Date to Hire (DH)]]="","",WEEKNUM(Table13[[#This Row],[Date to Hire (DH)]]))</f>
        <v/>
      </c>
      <c r="AM92" s="153" t="str">
        <f>TEXT(Table13[[#This Row],[YEAR]],"0000")&amp;"-"&amp;Table13[[#This Row],[MONTH]]</f>
        <v>-</v>
      </c>
      <c r="AN92" s="153" t="str">
        <f>IF(Table13[[#This Row],[Date of Planned Offhire (DoPO) / If Applicable]]="","",YEAR(Table13[[#This Row],[Date of Planned Offhire (DoPO) / If Applicable]]))</f>
        <v/>
      </c>
      <c r="AO92" s="153" t="str">
        <f>IF(Table13[[#This Row],[Date of Planned Offhire (DoPO) / If Applicable]]="","",MONTH(Table13[[#This Row],[Date of Planned Offhire (DoPO) / If Applicable]]))</f>
        <v/>
      </c>
      <c r="AP92" s="153" t="str">
        <f>IF(Table13[[#This Row],[Date of Planned Offhire (DoPO) / If Applicable]]="","",WEEKNUM(Table13[[#This Row],[Date of Planned Offhire (DoPO) / If Applicable]]))</f>
        <v/>
      </c>
      <c r="AQ92" s="153" t="str">
        <f>TEXT(Table13[[#This Row],[YEAR2]],"0000")&amp;"-"&amp;Table13[[#This Row],[MONTH2]]</f>
        <v>-</v>
      </c>
      <c r="AR92" s="153" t="str">
        <f>IF(Table13[[#This Row],[Actual Date to Offhire (ADtO)]]="","",YEAR(Table13[[#This Row],[Actual Date to Offhire (ADtO)]]))</f>
        <v/>
      </c>
      <c r="AS92" s="153" t="str">
        <f>IF(Table13[[#This Row],[Actual Date to Offhire (ADtO)]]="","",MONTH(Table13[[#This Row],[Actual Date to Offhire (ADtO)]]))</f>
        <v/>
      </c>
      <c r="AT92" s="153" t="str">
        <f>IF(Table13[[#This Row],[Actual Date to Offhire (ADtO)]]="","",WEEKNUM(Table13[[#This Row],[Actual Date to Offhire (ADtO)]]))</f>
        <v/>
      </c>
      <c r="AU92" s="153" t="str">
        <f>TEXT(Table13[[#This Row],[YEAR3]],"0000")&amp;"-"&amp;Table13[[#This Row],[MONTH3]]</f>
        <v>-</v>
      </c>
      <c r="AV92" s="153">
        <f>IF(E92="",0,
  IF('Delivery Report'!A$2*100+'Delivery Report'!A$5 &lt; YEAR(E92)*100+WEEKNUM(E92), 0,
    IF(OR(G92="", 'Delivery Report'!A$2*100+'Delivery Report'!A$5 &lt;= YEAR(G92)*100+WEEKNUM(G92)),
      IF(LOWER(W92)="hourly", U92*X92*56,
      IF(LOWER(W92)="daily", U92*X92*7,
      IF(LOWER(W92)="weekly", U92*X92,
      IF(LOWER(W92)="monthly", U92*X92*12/52,
      IF(LOWER(W92)="yearly", U92*X92/52,
      IF(LOWER(W92)="one-off", U92*X92,
      0)))))),
    0)))</f>
        <v>0</v>
      </c>
    </row>
    <row r="93" spans="1:48" x14ac:dyDescent="0.3">
      <c r="A93" s="24"/>
      <c r="E93" s="1"/>
      <c r="F93" s="1"/>
      <c r="G93" s="1"/>
      <c r="H93" s="164" t="s">
        <v>317</v>
      </c>
      <c r="P93" s="153" t="str">
        <f t="shared" si="13"/>
        <v/>
      </c>
      <c r="Q93" s="155">
        <f>IF(Table13[[#This Row],[HGVs (Collection)]]="",O93,Table13[[#This Row],[HGVs (Delivery)]]+Table13[[#This Row],[HGVs (Collection)]])</f>
        <v>0</v>
      </c>
      <c r="W93" s="153" t="str" cm="1">
        <f t="array" ref="W93">IF(Table13[[#This Row],[QUANTITY]]="","",IFERROR(IF(V93&lt;&gt;"",_xlfn.XLOOKUP(I93&amp;J93,PRICES!C:C&amp;PRICES!B:B,IF(PRICES!F:F&lt;&gt;"",PRICES!F:F,PRICES!E:E),"")),""))</f>
        <v/>
      </c>
      <c r="X93" s="154" t="str" cm="1">
        <f t="array" ref="X93">IF(Table13[[#This Row],[QUANTITY]]="","",IFERROR(IF(U93&lt;&gt;"",_xlfn.XLOOKUP(I93&amp;J93&amp;V93,PRICES!C:C&amp;PRICES!B:B&amp;PRICES!D:D,PRICES!G:G,"")),""))</f>
        <v/>
      </c>
      <c r="Y93" s="154" t="str">
        <f t="shared" ca="1" si="14"/>
        <v/>
      </c>
      <c r="Z93" s="154" t="str">
        <f t="shared" ca="1" si="15"/>
        <v/>
      </c>
      <c r="AA93" s="154" t="str">
        <f t="shared" ca="1" si="16"/>
        <v/>
      </c>
      <c r="AB93" s="154" t="str">
        <f t="shared" ca="1" si="17"/>
        <v/>
      </c>
      <c r="AC93" s="154" t="str">
        <f t="shared" ca="1" si="12"/>
        <v/>
      </c>
      <c r="AD93" s="154" t="str">
        <f>IF(Table13[[#This Row],[QUANTITY]]="","",
  IF(AND(Y93="",Z93="",AA93="",AB93="",AC93=""),
    U93*X93,
  ""))</f>
        <v/>
      </c>
      <c r="AE93" s="154" t="str">
        <f t="shared" ca="1" si="18"/>
        <v/>
      </c>
      <c r="AF93" s="154" t="str">
        <f t="shared" si="19"/>
        <v/>
      </c>
      <c r="AG93" s="154" t="str" cm="1">
        <f t="array" aca="1" ref="AG93" ca="1">IF(Table13[[#This Row],[TOTAL HIRE COST]]="","",IFERROR(IF(U93&lt;&gt;"",_xlfn.XLOOKUP(J93&amp;I93&amp;V93,PRICES!B:B&amp;PRICES!C:C&amp;PRICES!D:D,PRICES!H:H,"")),""))</f>
        <v/>
      </c>
      <c r="AH93" s="154" t="str" cm="1">
        <f t="array" aca="1" ref="AH93" ca="1">IF(Table13[[#This Row],[TOTAL HIRE COST]]="","",IFERROR(IF(U93&lt;&gt;"",_xlfn.XLOOKUP(J93&amp;I93&amp;V93,PRICES!B:B&amp;PRICES!C:C&amp;PRICES!D:D,PRICES!I:I,"")),""))</f>
        <v/>
      </c>
      <c r="AI93" s="154" t="str">
        <f ca="1">IF(Table13[[#This Row],[TOTAL HIRE COST]]="","",Table13[[#This Row],[TOTAL HIRE COST]]+Table13[[#This Row],[DELIVERY COST]]+Table13[[#This Row],[COLLECTION COST]])</f>
        <v/>
      </c>
      <c r="AJ93" s="153" t="str">
        <f>IF(Table13[[#This Row],[Date to Hire (DH)]]="","",YEAR(Table13[[#This Row],[Date to Hire (DH)]]))</f>
        <v/>
      </c>
      <c r="AK93" s="153" t="str">
        <f>IF(Table13[[#This Row],[Date to Hire (DH)]]="","",MONTH(Table13[[#This Row],[Date to Hire (DH)]]))</f>
        <v/>
      </c>
      <c r="AL93" s="153" t="str">
        <f>IF(Table13[[#This Row],[Date to Hire (DH)]]="","",WEEKNUM(Table13[[#This Row],[Date to Hire (DH)]]))</f>
        <v/>
      </c>
      <c r="AM93" s="153" t="str">
        <f>TEXT(Table13[[#This Row],[YEAR]],"0000")&amp;"-"&amp;Table13[[#This Row],[MONTH]]</f>
        <v>-</v>
      </c>
      <c r="AN93" s="153" t="str">
        <f>IF(Table13[[#This Row],[Date of Planned Offhire (DoPO) / If Applicable]]="","",YEAR(Table13[[#This Row],[Date of Planned Offhire (DoPO) / If Applicable]]))</f>
        <v/>
      </c>
      <c r="AO93" s="153" t="str">
        <f>IF(Table13[[#This Row],[Date of Planned Offhire (DoPO) / If Applicable]]="","",MONTH(Table13[[#This Row],[Date of Planned Offhire (DoPO) / If Applicable]]))</f>
        <v/>
      </c>
      <c r="AP93" s="153" t="str">
        <f>IF(Table13[[#This Row],[Date of Planned Offhire (DoPO) / If Applicable]]="","",WEEKNUM(Table13[[#This Row],[Date of Planned Offhire (DoPO) / If Applicable]]))</f>
        <v/>
      </c>
      <c r="AQ93" s="153" t="str">
        <f>TEXT(Table13[[#This Row],[YEAR2]],"0000")&amp;"-"&amp;Table13[[#This Row],[MONTH2]]</f>
        <v>-</v>
      </c>
      <c r="AR93" s="153" t="str">
        <f>IF(Table13[[#This Row],[Actual Date to Offhire (ADtO)]]="","",YEAR(Table13[[#This Row],[Actual Date to Offhire (ADtO)]]))</f>
        <v/>
      </c>
      <c r="AS93" s="153" t="str">
        <f>IF(Table13[[#This Row],[Actual Date to Offhire (ADtO)]]="","",MONTH(Table13[[#This Row],[Actual Date to Offhire (ADtO)]]))</f>
        <v/>
      </c>
      <c r="AT93" s="153" t="str">
        <f>IF(Table13[[#This Row],[Actual Date to Offhire (ADtO)]]="","",WEEKNUM(Table13[[#This Row],[Actual Date to Offhire (ADtO)]]))</f>
        <v/>
      </c>
      <c r="AU93" s="153" t="str">
        <f>TEXT(Table13[[#This Row],[YEAR3]],"0000")&amp;"-"&amp;Table13[[#This Row],[MONTH3]]</f>
        <v>-</v>
      </c>
      <c r="AV93" s="153">
        <f>IF(E93="",0,
  IF('Delivery Report'!A$2*100+'Delivery Report'!A$5 &lt; YEAR(E93)*100+WEEKNUM(E93), 0,
    IF(OR(G93="", 'Delivery Report'!A$2*100+'Delivery Report'!A$5 &lt;= YEAR(G93)*100+WEEKNUM(G93)),
      IF(LOWER(W93)="hourly", U93*X93*56,
      IF(LOWER(W93)="daily", U93*X93*7,
      IF(LOWER(W93)="weekly", U93*X93,
      IF(LOWER(W93)="monthly", U93*X93*12/52,
      IF(LOWER(W93)="yearly", U93*X93/52,
      IF(LOWER(W93)="one-off", U93*X93,
      0)))))),
    0)))</f>
        <v>0</v>
      </c>
    </row>
    <row r="94" spans="1:48" x14ac:dyDescent="0.3">
      <c r="A94" s="24"/>
      <c r="E94" s="1"/>
      <c r="F94" s="1"/>
      <c r="G94" s="1"/>
      <c r="H94" s="164" t="s">
        <v>317</v>
      </c>
      <c r="P94" s="153" t="str">
        <f t="shared" si="13"/>
        <v/>
      </c>
      <c r="Q94" s="155">
        <f>IF(Table13[[#This Row],[HGVs (Collection)]]="",O94,Table13[[#This Row],[HGVs (Delivery)]]+Table13[[#This Row],[HGVs (Collection)]])</f>
        <v>0</v>
      </c>
      <c r="W94" s="153" t="str" cm="1">
        <f t="array" ref="W94">IF(Table13[[#This Row],[QUANTITY]]="","",IFERROR(IF(V94&lt;&gt;"",_xlfn.XLOOKUP(I94&amp;J94,PRICES!C:C&amp;PRICES!B:B,IF(PRICES!F:F&lt;&gt;"",PRICES!F:F,PRICES!E:E),"")),""))</f>
        <v/>
      </c>
      <c r="X94" s="154" t="str" cm="1">
        <f t="array" ref="X94">IF(Table13[[#This Row],[QUANTITY]]="","",IFERROR(IF(U94&lt;&gt;"",_xlfn.XLOOKUP(I94&amp;J94&amp;V94,PRICES!C:C&amp;PRICES!B:B&amp;PRICES!D:D,PRICES!G:G,"")),""))</f>
        <v/>
      </c>
      <c r="Y94" s="154" t="str">
        <f t="shared" ca="1" si="14"/>
        <v/>
      </c>
      <c r="Z94" s="154" t="str">
        <f t="shared" ca="1" si="15"/>
        <v/>
      </c>
      <c r="AA94" s="154" t="str">
        <f t="shared" ca="1" si="16"/>
        <v/>
      </c>
      <c r="AB94" s="154" t="str">
        <f t="shared" ca="1" si="17"/>
        <v/>
      </c>
      <c r="AC94" s="154" t="str">
        <f t="shared" ca="1" si="12"/>
        <v/>
      </c>
      <c r="AD94" s="154" t="str">
        <f>IF(Table13[[#This Row],[QUANTITY]]="","",
  IF(AND(Y94="",Z94="",AA94="",AB94="",AC94=""),
    U94*X94,
  ""))</f>
        <v/>
      </c>
      <c r="AE94" s="154" t="str">
        <f t="shared" ca="1" si="18"/>
        <v/>
      </c>
      <c r="AF94" s="154" t="str">
        <f t="shared" si="19"/>
        <v/>
      </c>
      <c r="AG94" s="154" t="str" cm="1">
        <f t="array" aca="1" ref="AG94" ca="1">IF(Table13[[#This Row],[TOTAL HIRE COST]]="","",IFERROR(IF(U94&lt;&gt;"",_xlfn.XLOOKUP(J94&amp;I94&amp;V94,PRICES!B:B&amp;PRICES!C:C&amp;PRICES!D:D,PRICES!H:H,"")),""))</f>
        <v/>
      </c>
      <c r="AH94" s="154" t="str" cm="1">
        <f t="array" aca="1" ref="AH94" ca="1">IF(Table13[[#This Row],[TOTAL HIRE COST]]="","",IFERROR(IF(U94&lt;&gt;"",_xlfn.XLOOKUP(J94&amp;I94&amp;V94,PRICES!B:B&amp;PRICES!C:C&amp;PRICES!D:D,PRICES!I:I,"")),""))</f>
        <v/>
      </c>
      <c r="AI94" s="154" t="str">
        <f ca="1">IF(Table13[[#This Row],[TOTAL HIRE COST]]="","",Table13[[#This Row],[TOTAL HIRE COST]]+Table13[[#This Row],[DELIVERY COST]]+Table13[[#This Row],[COLLECTION COST]])</f>
        <v/>
      </c>
      <c r="AJ94" s="153" t="str">
        <f>IF(Table13[[#This Row],[Date to Hire (DH)]]="","",YEAR(Table13[[#This Row],[Date to Hire (DH)]]))</f>
        <v/>
      </c>
      <c r="AK94" s="153" t="str">
        <f>IF(Table13[[#This Row],[Date to Hire (DH)]]="","",MONTH(Table13[[#This Row],[Date to Hire (DH)]]))</f>
        <v/>
      </c>
      <c r="AL94" s="153" t="str">
        <f>IF(Table13[[#This Row],[Date to Hire (DH)]]="","",WEEKNUM(Table13[[#This Row],[Date to Hire (DH)]]))</f>
        <v/>
      </c>
      <c r="AM94" s="153" t="str">
        <f>TEXT(Table13[[#This Row],[YEAR]],"0000")&amp;"-"&amp;Table13[[#This Row],[MONTH]]</f>
        <v>-</v>
      </c>
      <c r="AN94" s="153" t="str">
        <f>IF(Table13[[#This Row],[Date of Planned Offhire (DoPO) / If Applicable]]="","",YEAR(Table13[[#This Row],[Date of Planned Offhire (DoPO) / If Applicable]]))</f>
        <v/>
      </c>
      <c r="AO94" s="153" t="str">
        <f>IF(Table13[[#This Row],[Date of Planned Offhire (DoPO) / If Applicable]]="","",MONTH(Table13[[#This Row],[Date of Planned Offhire (DoPO) / If Applicable]]))</f>
        <v/>
      </c>
      <c r="AP94" s="153" t="str">
        <f>IF(Table13[[#This Row],[Date of Planned Offhire (DoPO) / If Applicable]]="","",WEEKNUM(Table13[[#This Row],[Date of Planned Offhire (DoPO) / If Applicable]]))</f>
        <v/>
      </c>
      <c r="AQ94" s="153" t="str">
        <f>TEXT(Table13[[#This Row],[YEAR2]],"0000")&amp;"-"&amp;Table13[[#This Row],[MONTH2]]</f>
        <v>-</v>
      </c>
      <c r="AR94" s="153" t="str">
        <f>IF(Table13[[#This Row],[Actual Date to Offhire (ADtO)]]="","",YEAR(Table13[[#This Row],[Actual Date to Offhire (ADtO)]]))</f>
        <v/>
      </c>
      <c r="AS94" s="153" t="str">
        <f>IF(Table13[[#This Row],[Actual Date to Offhire (ADtO)]]="","",MONTH(Table13[[#This Row],[Actual Date to Offhire (ADtO)]]))</f>
        <v/>
      </c>
      <c r="AT94" s="153" t="str">
        <f>IF(Table13[[#This Row],[Actual Date to Offhire (ADtO)]]="","",WEEKNUM(Table13[[#This Row],[Actual Date to Offhire (ADtO)]]))</f>
        <v/>
      </c>
      <c r="AU94" s="153" t="str">
        <f>TEXT(Table13[[#This Row],[YEAR3]],"0000")&amp;"-"&amp;Table13[[#This Row],[MONTH3]]</f>
        <v>-</v>
      </c>
      <c r="AV94" s="153">
        <f>IF(E94="",0,
  IF('Delivery Report'!A$2*100+'Delivery Report'!A$5 &lt; YEAR(E94)*100+WEEKNUM(E94), 0,
    IF(OR(G94="", 'Delivery Report'!A$2*100+'Delivery Report'!A$5 &lt;= YEAR(G94)*100+WEEKNUM(G94)),
      IF(LOWER(W94)="hourly", U94*X94*56,
      IF(LOWER(W94)="daily", U94*X94*7,
      IF(LOWER(W94)="weekly", U94*X94,
      IF(LOWER(W94)="monthly", U94*X94*12/52,
      IF(LOWER(W94)="yearly", U94*X94/52,
      IF(LOWER(W94)="one-off", U94*X94,
      0)))))),
    0)))</f>
        <v>0</v>
      </c>
    </row>
    <row r="95" spans="1:48" x14ac:dyDescent="0.3">
      <c r="A95" s="24"/>
      <c r="E95" s="1"/>
      <c r="F95" s="1"/>
      <c r="G95" s="1"/>
      <c r="H95" s="164" t="s">
        <v>317</v>
      </c>
      <c r="P95" s="153" t="str">
        <f t="shared" si="13"/>
        <v/>
      </c>
      <c r="Q95" s="155">
        <f>IF(Table13[[#This Row],[HGVs (Collection)]]="",O95,Table13[[#This Row],[HGVs (Delivery)]]+Table13[[#This Row],[HGVs (Collection)]])</f>
        <v>0</v>
      </c>
      <c r="W95" s="153" t="str" cm="1">
        <f t="array" ref="W95">IF(Table13[[#This Row],[QUANTITY]]="","",IFERROR(IF(V95&lt;&gt;"",_xlfn.XLOOKUP(I95&amp;J95,PRICES!C:C&amp;PRICES!B:B,IF(PRICES!F:F&lt;&gt;"",PRICES!F:F,PRICES!E:E),"")),""))</f>
        <v/>
      </c>
      <c r="X95" s="154" t="str" cm="1">
        <f t="array" ref="X95">IF(Table13[[#This Row],[QUANTITY]]="","",IFERROR(IF(U95&lt;&gt;"",_xlfn.XLOOKUP(I95&amp;J95&amp;V95,PRICES!C:C&amp;PRICES!B:B&amp;PRICES!D:D,PRICES!G:G,"")),""))</f>
        <v/>
      </c>
      <c r="Y95" s="154" t="str">
        <f t="shared" ca="1" si="14"/>
        <v/>
      </c>
      <c r="Z95" s="154" t="str">
        <f t="shared" ca="1" si="15"/>
        <v/>
      </c>
      <c r="AA95" s="154" t="str">
        <f t="shared" ca="1" si="16"/>
        <v/>
      </c>
      <c r="AB95" s="154" t="str">
        <f t="shared" ca="1" si="17"/>
        <v/>
      </c>
      <c r="AC95" s="154" t="str">
        <f t="shared" ca="1" si="12"/>
        <v/>
      </c>
      <c r="AD95" s="154" t="str">
        <f>IF(Table13[[#This Row],[QUANTITY]]="","",
  IF(AND(Y95="",Z95="",AA95="",AB95="",AC95=""),
    U95*X95,
  ""))</f>
        <v/>
      </c>
      <c r="AE95" s="154" t="str">
        <f t="shared" ca="1" si="18"/>
        <v/>
      </c>
      <c r="AF95" s="154" t="str">
        <f t="shared" si="19"/>
        <v/>
      </c>
      <c r="AG95" s="154" t="str" cm="1">
        <f t="array" aca="1" ref="AG95" ca="1">IF(Table13[[#This Row],[TOTAL HIRE COST]]="","",IFERROR(IF(U95&lt;&gt;"",_xlfn.XLOOKUP(J95&amp;I95&amp;V95,PRICES!B:B&amp;PRICES!C:C&amp;PRICES!D:D,PRICES!H:H,"")),""))</f>
        <v/>
      </c>
      <c r="AH95" s="154" t="str" cm="1">
        <f t="array" aca="1" ref="AH95" ca="1">IF(Table13[[#This Row],[TOTAL HIRE COST]]="","",IFERROR(IF(U95&lt;&gt;"",_xlfn.XLOOKUP(J95&amp;I95&amp;V95,PRICES!B:B&amp;PRICES!C:C&amp;PRICES!D:D,PRICES!I:I,"")),""))</f>
        <v/>
      </c>
      <c r="AI95" s="154" t="str">
        <f ca="1">IF(Table13[[#This Row],[TOTAL HIRE COST]]="","",Table13[[#This Row],[TOTAL HIRE COST]]+Table13[[#This Row],[DELIVERY COST]]+Table13[[#This Row],[COLLECTION COST]])</f>
        <v/>
      </c>
      <c r="AJ95" s="153" t="str">
        <f>IF(Table13[[#This Row],[Date to Hire (DH)]]="","",YEAR(Table13[[#This Row],[Date to Hire (DH)]]))</f>
        <v/>
      </c>
      <c r="AK95" s="153" t="str">
        <f>IF(Table13[[#This Row],[Date to Hire (DH)]]="","",MONTH(Table13[[#This Row],[Date to Hire (DH)]]))</f>
        <v/>
      </c>
      <c r="AL95" s="153" t="str">
        <f>IF(Table13[[#This Row],[Date to Hire (DH)]]="","",WEEKNUM(Table13[[#This Row],[Date to Hire (DH)]]))</f>
        <v/>
      </c>
      <c r="AM95" s="153" t="str">
        <f>TEXT(Table13[[#This Row],[YEAR]],"0000")&amp;"-"&amp;Table13[[#This Row],[MONTH]]</f>
        <v>-</v>
      </c>
      <c r="AN95" s="153" t="str">
        <f>IF(Table13[[#This Row],[Date of Planned Offhire (DoPO) / If Applicable]]="","",YEAR(Table13[[#This Row],[Date of Planned Offhire (DoPO) / If Applicable]]))</f>
        <v/>
      </c>
      <c r="AO95" s="153" t="str">
        <f>IF(Table13[[#This Row],[Date of Planned Offhire (DoPO) / If Applicable]]="","",MONTH(Table13[[#This Row],[Date of Planned Offhire (DoPO) / If Applicable]]))</f>
        <v/>
      </c>
      <c r="AP95" s="153" t="str">
        <f>IF(Table13[[#This Row],[Date of Planned Offhire (DoPO) / If Applicable]]="","",WEEKNUM(Table13[[#This Row],[Date of Planned Offhire (DoPO) / If Applicable]]))</f>
        <v/>
      </c>
      <c r="AQ95" s="153" t="str">
        <f>TEXT(Table13[[#This Row],[YEAR2]],"0000")&amp;"-"&amp;Table13[[#This Row],[MONTH2]]</f>
        <v>-</v>
      </c>
      <c r="AR95" s="153" t="str">
        <f>IF(Table13[[#This Row],[Actual Date to Offhire (ADtO)]]="","",YEAR(Table13[[#This Row],[Actual Date to Offhire (ADtO)]]))</f>
        <v/>
      </c>
      <c r="AS95" s="153" t="str">
        <f>IF(Table13[[#This Row],[Actual Date to Offhire (ADtO)]]="","",MONTH(Table13[[#This Row],[Actual Date to Offhire (ADtO)]]))</f>
        <v/>
      </c>
      <c r="AT95" s="153" t="str">
        <f>IF(Table13[[#This Row],[Actual Date to Offhire (ADtO)]]="","",WEEKNUM(Table13[[#This Row],[Actual Date to Offhire (ADtO)]]))</f>
        <v/>
      </c>
      <c r="AU95" s="153" t="str">
        <f>TEXT(Table13[[#This Row],[YEAR3]],"0000")&amp;"-"&amp;Table13[[#This Row],[MONTH3]]</f>
        <v>-</v>
      </c>
      <c r="AV95" s="153">
        <f>IF(E95="",0,
  IF('Delivery Report'!A$2*100+'Delivery Report'!A$5 &lt; YEAR(E95)*100+WEEKNUM(E95), 0,
    IF(OR(G95="", 'Delivery Report'!A$2*100+'Delivery Report'!A$5 &lt;= YEAR(G95)*100+WEEKNUM(G95)),
      IF(LOWER(W95)="hourly", U95*X95*56,
      IF(LOWER(W95)="daily", U95*X95*7,
      IF(LOWER(W95)="weekly", U95*X95,
      IF(LOWER(W95)="monthly", U95*X95*12/52,
      IF(LOWER(W95)="yearly", U95*X95/52,
      IF(LOWER(W95)="one-off", U95*X95,
      0)))))),
    0)))</f>
        <v>0</v>
      </c>
    </row>
    <row r="96" spans="1:48" x14ac:dyDescent="0.3">
      <c r="A96" s="24"/>
      <c r="E96" s="1"/>
      <c r="F96" s="1"/>
      <c r="G96" s="1"/>
      <c r="H96" s="164" t="s">
        <v>317</v>
      </c>
      <c r="P96" s="153" t="str">
        <f t="shared" si="13"/>
        <v/>
      </c>
      <c r="Q96" s="155">
        <f>IF(Table13[[#This Row],[HGVs (Collection)]]="",O96,Table13[[#This Row],[HGVs (Delivery)]]+Table13[[#This Row],[HGVs (Collection)]])</f>
        <v>0</v>
      </c>
      <c r="W96" s="153" t="str" cm="1">
        <f t="array" ref="W96">IF(Table13[[#This Row],[QUANTITY]]="","",IFERROR(IF(V96&lt;&gt;"",_xlfn.XLOOKUP(I96&amp;J96,PRICES!C:C&amp;PRICES!B:B,IF(PRICES!F:F&lt;&gt;"",PRICES!F:F,PRICES!E:E),"")),""))</f>
        <v/>
      </c>
      <c r="X96" s="154" t="str" cm="1">
        <f t="array" ref="X96">IF(Table13[[#This Row],[QUANTITY]]="","",IFERROR(IF(U96&lt;&gt;"",_xlfn.XLOOKUP(I96&amp;J96&amp;V96,PRICES!C:C&amp;PRICES!B:B&amp;PRICES!D:D,PRICES!G:G,"")),""))</f>
        <v/>
      </c>
      <c r="Y96" s="154" t="str">
        <f t="shared" ca="1" si="14"/>
        <v/>
      </c>
      <c r="Z96" s="154" t="str">
        <f t="shared" ca="1" si="15"/>
        <v/>
      </c>
      <c r="AA96" s="154" t="str">
        <f t="shared" ca="1" si="16"/>
        <v/>
      </c>
      <c r="AB96" s="154" t="str">
        <f t="shared" ca="1" si="17"/>
        <v/>
      </c>
      <c r="AC96" s="154" t="str">
        <f t="shared" ca="1" si="12"/>
        <v/>
      </c>
      <c r="AD96" s="154" t="str">
        <f>IF(Table13[[#This Row],[QUANTITY]]="","",
  IF(AND(Y96="",Z96="",AA96="",AB96="",AC96=""),
    U96*X96,
  ""))</f>
        <v/>
      </c>
      <c r="AE96" s="154" t="str">
        <f t="shared" ca="1" si="18"/>
        <v/>
      </c>
      <c r="AF96" s="154" t="str">
        <f t="shared" si="19"/>
        <v/>
      </c>
      <c r="AG96" s="154" t="str" cm="1">
        <f t="array" aca="1" ref="AG96" ca="1">IF(Table13[[#This Row],[TOTAL HIRE COST]]="","",IFERROR(IF(U96&lt;&gt;"",_xlfn.XLOOKUP(J96&amp;I96&amp;V96,PRICES!B:B&amp;PRICES!C:C&amp;PRICES!D:D,PRICES!H:H,"")),""))</f>
        <v/>
      </c>
      <c r="AH96" s="154" t="str" cm="1">
        <f t="array" aca="1" ref="AH96" ca="1">IF(Table13[[#This Row],[TOTAL HIRE COST]]="","",IFERROR(IF(U96&lt;&gt;"",_xlfn.XLOOKUP(J96&amp;I96&amp;V96,PRICES!B:B&amp;PRICES!C:C&amp;PRICES!D:D,PRICES!I:I,"")),""))</f>
        <v/>
      </c>
      <c r="AI96" s="154" t="str">
        <f ca="1">IF(Table13[[#This Row],[TOTAL HIRE COST]]="","",Table13[[#This Row],[TOTAL HIRE COST]]+Table13[[#This Row],[DELIVERY COST]]+Table13[[#This Row],[COLLECTION COST]])</f>
        <v/>
      </c>
      <c r="AJ96" s="153" t="str">
        <f>IF(Table13[[#This Row],[Date to Hire (DH)]]="","",YEAR(Table13[[#This Row],[Date to Hire (DH)]]))</f>
        <v/>
      </c>
      <c r="AK96" s="153" t="str">
        <f>IF(Table13[[#This Row],[Date to Hire (DH)]]="","",MONTH(Table13[[#This Row],[Date to Hire (DH)]]))</f>
        <v/>
      </c>
      <c r="AL96" s="153" t="str">
        <f>IF(Table13[[#This Row],[Date to Hire (DH)]]="","",WEEKNUM(Table13[[#This Row],[Date to Hire (DH)]]))</f>
        <v/>
      </c>
      <c r="AM96" s="153" t="str">
        <f>TEXT(Table13[[#This Row],[YEAR]],"0000")&amp;"-"&amp;Table13[[#This Row],[MONTH]]</f>
        <v>-</v>
      </c>
      <c r="AN96" s="153" t="str">
        <f>IF(Table13[[#This Row],[Date of Planned Offhire (DoPO) / If Applicable]]="","",YEAR(Table13[[#This Row],[Date of Planned Offhire (DoPO) / If Applicable]]))</f>
        <v/>
      </c>
      <c r="AO96" s="153" t="str">
        <f>IF(Table13[[#This Row],[Date of Planned Offhire (DoPO) / If Applicable]]="","",MONTH(Table13[[#This Row],[Date of Planned Offhire (DoPO) / If Applicable]]))</f>
        <v/>
      </c>
      <c r="AP96" s="153" t="str">
        <f>IF(Table13[[#This Row],[Date of Planned Offhire (DoPO) / If Applicable]]="","",WEEKNUM(Table13[[#This Row],[Date of Planned Offhire (DoPO) / If Applicable]]))</f>
        <v/>
      </c>
      <c r="AQ96" s="153" t="str">
        <f>TEXT(Table13[[#This Row],[YEAR2]],"0000")&amp;"-"&amp;Table13[[#This Row],[MONTH2]]</f>
        <v>-</v>
      </c>
      <c r="AR96" s="153" t="str">
        <f>IF(Table13[[#This Row],[Actual Date to Offhire (ADtO)]]="","",YEAR(Table13[[#This Row],[Actual Date to Offhire (ADtO)]]))</f>
        <v/>
      </c>
      <c r="AS96" s="153" t="str">
        <f>IF(Table13[[#This Row],[Actual Date to Offhire (ADtO)]]="","",MONTH(Table13[[#This Row],[Actual Date to Offhire (ADtO)]]))</f>
        <v/>
      </c>
      <c r="AT96" s="153" t="str">
        <f>IF(Table13[[#This Row],[Actual Date to Offhire (ADtO)]]="","",WEEKNUM(Table13[[#This Row],[Actual Date to Offhire (ADtO)]]))</f>
        <v/>
      </c>
      <c r="AU96" s="153" t="str">
        <f>TEXT(Table13[[#This Row],[YEAR3]],"0000")&amp;"-"&amp;Table13[[#This Row],[MONTH3]]</f>
        <v>-</v>
      </c>
      <c r="AV96" s="153">
        <f>IF(E96="",0,
  IF('Delivery Report'!A$2*100+'Delivery Report'!A$5 &lt; YEAR(E96)*100+WEEKNUM(E96), 0,
    IF(OR(G96="", 'Delivery Report'!A$2*100+'Delivery Report'!A$5 &lt;= YEAR(G96)*100+WEEKNUM(G96)),
      IF(LOWER(W96)="hourly", U96*X96*56,
      IF(LOWER(W96)="daily", U96*X96*7,
      IF(LOWER(W96)="weekly", U96*X96,
      IF(LOWER(W96)="monthly", U96*X96*12/52,
      IF(LOWER(W96)="yearly", U96*X96/52,
      IF(LOWER(W96)="one-off", U96*X96,
      0)))))),
    0)))</f>
        <v>0</v>
      </c>
    </row>
    <row r="97" spans="1:48" x14ac:dyDescent="0.3">
      <c r="A97" s="24"/>
      <c r="E97" s="1"/>
      <c r="F97" s="1"/>
      <c r="G97" s="1"/>
      <c r="H97" s="164" t="s">
        <v>317</v>
      </c>
      <c r="P97" s="153" t="str">
        <f t="shared" si="13"/>
        <v/>
      </c>
      <c r="Q97" s="155">
        <f>IF(Table13[[#This Row],[HGVs (Collection)]]="",O97,Table13[[#This Row],[HGVs (Delivery)]]+Table13[[#This Row],[HGVs (Collection)]])</f>
        <v>0</v>
      </c>
      <c r="W97" s="153" t="str" cm="1">
        <f t="array" ref="W97">IF(Table13[[#This Row],[QUANTITY]]="","",IFERROR(IF(V97&lt;&gt;"",_xlfn.XLOOKUP(I97&amp;J97,PRICES!C:C&amp;PRICES!B:B,IF(PRICES!F:F&lt;&gt;"",PRICES!F:F,PRICES!E:E),"")),""))</f>
        <v/>
      </c>
      <c r="X97" s="154" t="str" cm="1">
        <f t="array" ref="X97">IF(Table13[[#This Row],[QUANTITY]]="","",IFERROR(IF(U97&lt;&gt;"",_xlfn.XLOOKUP(I97&amp;J97&amp;V97,PRICES!C:C&amp;PRICES!B:B&amp;PRICES!D:D,PRICES!G:G,"")),""))</f>
        <v/>
      </c>
      <c r="Y97" s="154" t="str">
        <f t="shared" ca="1" si="14"/>
        <v/>
      </c>
      <c r="Z97" s="154" t="str">
        <f t="shared" ca="1" si="15"/>
        <v/>
      </c>
      <c r="AA97" s="154" t="str">
        <f t="shared" ca="1" si="16"/>
        <v/>
      </c>
      <c r="AB97" s="154" t="str">
        <f t="shared" ca="1" si="17"/>
        <v/>
      </c>
      <c r="AC97" s="154" t="str">
        <f t="shared" ca="1" si="12"/>
        <v/>
      </c>
      <c r="AD97" s="154" t="str">
        <f>IF(Table13[[#This Row],[QUANTITY]]="","",
  IF(AND(Y97="",Z97="",AA97="",AB97="",AC97=""),
    U97*X97,
  ""))</f>
        <v/>
      </c>
      <c r="AE97" s="154" t="str">
        <f t="shared" ca="1" si="18"/>
        <v/>
      </c>
      <c r="AF97" s="154" t="str">
        <f t="shared" si="19"/>
        <v/>
      </c>
      <c r="AG97" s="154" t="str" cm="1">
        <f t="array" aca="1" ref="AG97" ca="1">IF(Table13[[#This Row],[TOTAL HIRE COST]]="","",IFERROR(IF(U97&lt;&gt;"",_xlfn.XLOOKUP(J97&amp;I97&amp;V97,PRICES!B:B&amp;PRICES!C:C&amp;PRICES!D:D,PRICES!H:H,"")),""))</f>
        <v/>
      </c>
      <c r="AH97" s="154" t="str" cm="1">
        <f t="array" aca="1" ref="AH97" ca="1">IF(Table13[[#This Row],[TOTAL HIRE COST]]="","",IFERROR(IF(U97&lt;&gt;"",_xlfn.XLOOKUP(J97&amp;I97&amp;V97,PRICES!B:B&amp;PRICES!C:C&amp;PRICES!D:D,PRICES!I:I,"")),""))</f>
        <v/>
      </c>
      <c r="AI97" s="154" t="str">
        <f ca="1">IF(Table13[[#This Row],[TOTAL HIRE COST]]="","",Table13[[#This Row],[TOTAL HIRE COST]]+Table13[[#This Row],[DELIVERY COST]]+Table13[[#This Row],[COLLECTION COST]])</f>
        <v/>
      </c>
      <c r="AJ97" s="153" t="str">
        <f>IF(Table13[[#This Row],[Date to Hire (DH)]]="","",YEAR(Table13[[#This Row],[Date to Hire (DH)]]))</f>
        <v/>
      </c>
      <c r="AK97" s="153" t="str">
        <f>IF(Table13[[#This Row],[Date to Hire (DH)]]="","",MONTH(Table13[[#This Row],[Date to Hire (DH)]]))</f>
        <v/>
      </c>
      <c r="AL97" s="153" t="str">
        <f>IF(Table13[[#This Row],[Date to Hire (DH)]]="","",WEEKNUM(Table13[[#This Row],[Date to Hire (DH)]]))</f>
        <v/>
      </c>
      <c r="AM97" s="153" t="str">
        <f>TEXT(Table13[[#This Row],[YEAR]],"0000")&amp;"-"&amp;Table13[[#This Row],[MONTH]]</f>
        <v>-</v>
      </c>
      <c r="AN97" s="153" t="str">
        <f>IF(Table13[[#This Row],[Date of Planned Offhire (DoPO) / If Applicable]]="","",YEAR(Table13[[#This Row],[Date of Planned Offhire (DoPO) / If Applicable]]))</f>
        <v/>
      </c>
      <c r="AO97" s="153" t="str">
        <f>IF(Table13[[#This Row],[Date of Planned Offhire (DoPO) / If Applicable]]="","",MONTH(Table13[[#This Row],[Date of Planned Offhire (DoPO) / If Applicable]]))</f>
        <v/>
      </c>
      <c r="AP97" s="153" t="str">
        <f>IF(Table13[[#This Row],[Date of Planned Offhire (DoPO) / If Applicable]]="","",WEEKNUM(Table13[[#This Row],[Date of Planned Offhire (DoPO) / If Applicable]]))</f>
        <v/>
      </c>
      <c r="AQ97" s="153" t="str">
        <f>TEXT(Table13[[#This Row],[YEAR2]],"0000")&amp;"-"&amp;Table13[[#This Row],[MONTH2]]</f>
        <v>-</v>
      </c>
      <c r="AR97" s="153" t="str">
        <f>IF(Table13[[#This Row],[Actual Date to Offhire (ADtO)]]="","",YEAR(Table13[[#This Row],[Actual Date to Offhire (ADtO)]]))</f>
        <v/>
      </c>
      <c r="AS97" s="153" t="str">
        <f>IF(Table13[[#This Row],[Actual Date to Offhire (ADtO)]]="","",MONTH(Table13[[#This Row],[Actual Date to Offhire (ADtO)]]))</f>
        <v/>
      </c>
      <c r="AT97" s="153" t="str">
        <f>IF(Table13[[#This Row],[Actual Date to Offhire (ADtO)]]="","",WEEKNUM(Table13[[#This Row],[Actual Date to Offhire (ADtO)]]))</f>
        <v/>
      </c>
      <c r="AU97" s="153" t="str">
        <f>TEXT(Table13[[#This Row],[YEAR3]],"0000")&amp;"-"&amp;Table13[[#This Row],[MONTH3]]</f>
        <v>-</v>
      </c>
      <c r="AV97" s="153">
        <f>IF(E97="",0,
  IF('Delivery Report'!A$2*100+'Delivery Report'!A$5 &lt; YEAR(E97)*100+WEEKNUM(E97), 0,
    IF(OR(G97="", 'Delivery Report'!A$2*100+'Delivery Report'!A$5 &lt;= YEAR(G97)*100+WEEKNUM(G97)),
      IF(LOWER(W97)="hourly", U97*X97*56,
      IF(LOWER(W97)="daily", U97*X97*7,
      IF(LOWER(W97)="weekly", U97*X97,
      IF(LOWER(W97)="monthly", U97*X97*12/52,
      IF(LOWER(W97)="yearly", U97*X97/52,
      IF(LOWER(W97)="one-off", U97*X97,
      0)))))),
    0)))</f>
        <v>0</v>
      </c>
    </row>
    <row r="98" spans="1:48" x14ac:dyDescent="0.3">
      <c r="A98" s="24"/>
      <c r="E98" s="1"/>
      <c r="F98" s="1"/>
      <c r="G98" s="1"/>
      <c r="H98" s="164" t="s">
        <v>317</v>
      </c>
      <c r="P98" s="153" t="str">
        <f t="shared" si="13"/>
        <v/>
      </c>
      <c r="Q98" s="155">
        <f>IF(Table13[[#This Row],[HGVs (Collection)]]="",O98,Table13[[#This Row],[HGVs (Delivery)]]+Table13[[#This Row],[HGVs (Collection)]])</f>
        <v>0</v>
      </c>
      <c r="W98" s="153" t="str" cm="1">
        <f t="array" ref="W98">IF(Table13[[#This Row],[QUANTITY]]="","",IFERROR(IF(V98&lt;&gt;"",_xlfn.XLOOKUP(I98&amp;J98,PRICES!C:C&amp;PRICES!B:B,IF(PRICES!F:F&lt;&gt;"",PRICES!F:F,PRICES!E:E),"")),""))</f>
        <v/>
      </c>
      <c r="X98" s="154" t="str" cm="1">
        <f t="array" ref="X98">IF(Table13[[#This Row],[QUANTITY]]="","",IFERROR(IF(U98&lt;&gt;"",_xlfn.XLOOKUP(I98&amp;J98&amp;V98,PRICES!C:C&amp;PRICES!B:B&amp;PRICES!D:D,PRICES!G:G,"")),""))</f>
        <v/>
      </c>
      <c r="Y98" s="154" t="str">
        <f t="shared" ca="1" si="14"/>
        <v/>
      </c>
      <c r="Z98" s="154" t="str">
        <f t="shared" ca="1" si="15"/>
        <v/>
      </c>
      <c r="AA98" s="154" t="str">
        <f t="shared" ca="1" si="16"/>
        <v/>
      </c>
      <c r="AB98" s="154" t="str">
        <f t="shared" ca="1" si="17"/>
        <v/>
      </c>
      <c r="AC98" s="154" t="str">
        <f t="shared" ca="1" si="12"/>
        <v/>
      </c>
      <c r="AD98" s="154" t="str">
        <f>IF(Table13[[#This Row],[QUANTITY]]="","",
  IF(AND(Y98="",Z98="",AA98="",AB98="",AC98=""),
    U98*X98,
  ""))</f>
        <v/>
      </c>
      <c r="AE98" s="154" t="str">
        <f t="shared" ca="1" si="18"/>
        <v/>
      </c>
      <c r="AF98" s="154" t="str">
        <f t="shared" si="19"/>
        <v/>
      </c>
      <c r="AG98" s="154" t="str" cm="1">
        <f t="array" aca="1" ref="AG98" ca="1">IF(Table13[[#This Row],[TOTAL HIRE COST]]="","",IFERROR(IF(U98&lt;&gt;"",_xlfn.XLOOKUP(J98&amp;I98&amp;V98,PRICES!B:B&amp;PRICES!C:C&amp;PRICES!D:D,PRICES!H:H,"")),""))</f>
        <v/>
      </c>
      <c r="AH98" s="154" t="str" cm="1">
        <f t="array" aca="1" ref="AH98" ca="1">IF(Table13[[#This Row],[TOTAL HIRE COST]]="","",IFERROR(IF(U98&lt;&gt;"",_xlfn.XLOOKUP(J98&amp;I98&amp;V98,PRICES!B:B&amp;PRICES!C:C&amp;PRICES!D:D,PRICES!I:I,"")),""))</f>
        <v/>
      </c>
      <c r="AI98" s="154" t="str">
        <f ca="1">IF(Table13[[#This Row],[TOTAL HIRE COST]]="","",Table13[[#This Row],[TOTAL HIRE COST]]+Table13[[#This Row],[DELIVERY COST]]+Table13[[#This Row],[COLLECTION COST]])</f>
        <v/>
      </c>
      <c r="AJ98" s="153" t="str">
        <f>IF(Table13[[#This Row],[Date to Hire (DH)]]="","",YEAR(Table13[[#This Row],[Date to Hire (DH)]]))</f>
        <v/>
      </c>
      <c r="AK98" s="153" t="str">
        <f>IF(Table13[[#This Row],[Date to Hire (DH)]]="","",MONTH(Table13[[#This Row],[Date to Hire (DH)]]))</f>
        <v/>
      </c>
      <c r="AL98" s="153" t="str">
        <f>IF(Table13[[#This Row],[Date to Hire (DH)]]="","",WEEKNUM(Table13[[#This Row],[Date to Hire (DH)]]))</f>
        <v/>
      </c>
      <c r="AM98" s="153" t="str">
        <f>TEXT(Table13[[#This Row],[YEAR]],"0000")&amp;"-"&amp;Table13[[#This Row],[MONTH]]</f>
        <v>-</v>
      </c>
      <c r="AN98" s="153" t="str">
        <f>IF(Table13[[#This Row],[Date of Planned Offhire (DoPO) / If Applicable]]="","",YEAR(Table13[[#This Row],[Date of Planned Offhire (DoPO) / If Applicable]]))</f>
        <v/>
      </c>
      <c r="AO98" s="153" t="str">
        <f>IF(Table13[[#This Row],[Date of Planned Offhire (DoPO) / If Applicable]]="","",MONTH(Table13[[#This Row],[Date of Planned Offhire (DoPO) / If Applicable]]))</f>
        <v/>
      </c>
      <c r="AP98" s="153" t="str">
        <f>IF(Table13[[#This Row],[Date of Planned Offhire (DoPO) / If Applicable]]="","",WEEKNUM(Table13[[#This Row],[Date of Planned Offhire (DoPO) / If Applicable]]))</f>
        <v/>
      </c>
      <c r="AQ98" s="153" t="str">
        <f>TEXT(Table13[[#This Row],[YEAR2]],"0000")&amp;"-"&amp;Table13[[#This Row],[MONTH2]]</f>
        <v>-</v>
      </c>
      <c r="AR98" s="153" t="str">
        <f>IF(Table13[[#This Row],[Actual Date to Offhire (ADtO)]]="","",YEAR(Table13[[#This Row],[Actual Date to Offhire (ADtO)]]))</f>
        <v/>
      </c>
      <c r="AS98" s="153" t="str">
        <f>IF(Table13[[#This Row],[Actual Date to Offhire (ADtO)]]="","",MONTH(Table13[[#This Row],[Actual Date to Offhire (ADtO)]]))</f>
        <v/>
      </c>
      <c r="AT98" s="153" t="str">
        <f>IF(Table13[[#This Row],[Actual Date to Offhire (ADtO)]]="","",WEEKNUM(Table13[[#This Row],[Actual Date to Offhire (ADtO)]]))</f>
        <v/>
      </c>
      <c r="AU98" s="153" t="str">
        <f>TEXT(Table13[[#This Row],[YEAR3]],"0000")&amp;"-"&amp;Table13[[#This Row],[MONTH3]]</f>
        <v>-</v>
      </c>
      <c r="AV98" s="153">
        <f>IF(E98="",0,
  IF('Delivery Report'!A$2*100+'Delivery Report'!A$5 &lt; YEAR(E98)*100+WEEKNUM(E98), 0,
    IF(OR(G98="", 'Delivery Report'!A$2*100+'Delivery Report'!A$5 &lt;= YEAR(G98)*100+WEEKNUM(G98)),
      IF(LOWER(W98)="hourly", U98*X98*56,
      IF(LOWER(W98)="daily", U98*X98*7,
      IF(LOWER(W98)="weekly", U98*X98,
      IF(LOWER(W98)="monthly", U98*X98*12/52,
      IF(LOWER(W98)="yearly", U98*X98/52,
      IF(LOWER(W98)="one-off", U98*X98,
      0)))))),
    0)))</f>
        <v>0</v>
      </c>
    </row>
    <row r="99" spans="1:48" x14ac:dyDescent="0.3">
      <c r="A99" s="24"/>
      <c r="E99" s="1"/>
      <c r="F99" s="1"/>
      <c r="G99" s="1"/>
      <c r="H99" s="164" t="s">
        <v>315</v>
      </c>
      <c r="P99" s="153" t="str">
        <f t="shared" si="13"/>
        <v/>
      </c>
      <c r="Q99" s="155">
        <f>IF(Table13[[#This Row],[HGVs (Collection)]]="",O99,Table13[[#This Row],[HGVs (Delivery)]]+Table13[[#This Row],[HGVs (Collection)]])</f>
        <v>0</v>
      </c>
      <c r="W99" s="153" t="str" cm="1">
        <f t="array" ref="W99">IF(Table13[[#This Row],[QUANTITY]]="","",IFERROR(IF(V99&lt;&gt;"",_xlfn.XLOOKUP(I99&amp;J99,PRICES!C:C&amp;PRICES!B:B,IF(PRICES!F:F&lt;&gt;"",PRICES!F:F,PRICES!E:E),"")),""))</f>
        <v/>
      </c>
      <c r="X99" s="154" t="str" cm="1">
        <f t="array" ref="X99">IF(Table13[[#This Row],[QUANTITY]]="","",IFERROR(IF(U99&lt;&gt;"",_xlfn.XLOOKUP(I99&amp;J99&amp;V99,PRICES!C:C&amp;PRICES!B:B&amp;PRICES!D:D,PRICES!G:G,"")),""))</f>
        <v/>
      </c>
      <c r="Y99" s="154" t="str">
        <f t="shared" ca="1" si="14"/>
        <v/>
      </c>
      <c r="Z99" s="154" t="str">
        <f t="shared" ca="1" si="15"/>
        <v/>
      </c>
      <c r="AA99" s="154" t="str">
        <f t="shared" ca="1" si="16"/>
        <v/>
      </c>
      <c r="AB99" s="154" t="str">
        <f t="shared" ca="1" si="17"/>
        <v/>
      </c>
      <c r="AC99" s="154" t="str">
        <f t="shared" ca="1" si="12"/>
        <v/>
      </c>
      <c r="AD99" s="154" t="str">
        <f>IF(Table13[[#This Row],[QUANTITY]]="","",
  IF(AND(Y99="",Z99="",AA99="",AB99="",AC99=""),
    U99*X99,
  ""))</f>
        <v/>
      </c>
      <c r="AE99" s="154" t="str">
        <f t="shared" ca="1" si="18"/>
        <v/>
      </c>
      <c r="AF99" s="154" t="str">
        <f t="shared" si="19"/>
        <v/>
      </c>
      <c r="AG99" s="154" t="str" cm="1">
        <f t="array" aca="1" ref="AG99" ca="1">IF(Table13[[#This Row],[TOTAL HIRE COST]]="","",IFERROR(IF(U99&lt;&gt;"",_xlfn.XLOOKUP(J99&amp;I99&amp;V99,PRICES!B:B&amp;PRICES!C:C&amp;PRICES!D:D,PRICES!H:H,"")),""))</f>
        <v/>
      </c>
      <c r="AH99" s="154" t="str" cm="1">
        <f t="array" aca="1" ref="AH99" ca="1">IF(Table13[[#This Row],[TOTAL HIRE COST]]="","",IFERROR(IF(U99&lt;&gt;"",_xlfn.XLOOKUP(J99&amp;I99&amp;V99,PRICES!B:B&amp;PRICES!C:C&amp;PRICES!D:D,PRICES!I:I,"")),""))</f>
        <v/>
      </c>
      <c r="AI99" s="154" t="str">
        <f ca="1">IF(Table13[[#This Row],[TOTAL HIRE COST]]="","",Table13[[#This Row],[TOTAL HIRE COST]]+Table13[[#This Row],[DELIVERY COST]]+Table13[[#This Row],[COLLECTION COST]])</f>
        <v/>
      </c>
      <c r="AJ99" s="153" t="str">
        <f>IF(Table13[[#This Row],[Date to Hire (DH)]]="","",YEAR(Table13[[#This Row],[Date to Hire (DH)]]))</f>
        <v/>
      </c>
      <c r="AK99" s="153" t="str">
        <f>IF(Table13[[#This Row],[Date to Hire (DH)]]="","",MONTH(Table13[[#This Row],[Date to Hire (DH)]]))</f>
        <v/>
      </c>
      <c r="AL99" s="153" t="str">
        <f>IF(Table13[[#This Row],[Date to Hire (DH)]]="","",WEEKNUM(Table13[[#This Row],[Date to Hire (DH)]]))</f>
        <v/>
      </c>
      <c r="AM99" s="153" t="str">
        <f>TEXT(Table13[[#This Row],[YEAR]],"0000")&amp;"-"&amp;Table13[[#This Row],[MONTH]]</f>
        <v>-</v>
      </c>
      <c r="AN99" s="153" t="str">
        <f>IF(Table13[[#This Row],[Date of Planned Offhire (DoPO) / If Applicable]]="","",YEAR(Table13[[#This Row],[Date of Planned Offhire (DoPO) / If Applicable]]))</f>
        <v/>
      </c>
      <c r="AO99" s="153" t="str">
        <f>IF(Table13[[#This Row],[Date of Planned Offhire (DoPO) / If Applicable]]="","",MONTH(Table13[[#This Row],[Date of Planned Offhire (DoPO) / If Applicable]]))</f>
        <v/>
      </c>
      <c r="AP99" s="153" t="str">
        <f>IF(Table13[[#This Row],[Date of Planned Offhire (DoPO) / If Applicable]]="","",WEEKNUM(Table13[[#This Row],[Date of Planned Offhire (DoPO) / If Applicable]]))</f>
        <v/>
      </c>
      <c r="AQ99" s="153" t="str">
        <f>TEXT(Table13[[#This Row],[YEAR2]],"0000")&amp;"-"&amp;Table13[[#This Row],[MONTH2]]</f>
        <v>-</v>
      </c>
      <c r="AR99" s="153" t="str">
        <f>IF(Table13[[#This Row],[Actual Date to Offhire (ADtO)]]="","",YEAR(Table13[[#This Row],[Actual Date to Offhire (ADtO)]]))</f>
        <v/>
      </c>
      <c r="AS99" s="153" t="str">
        <f>IF(Table13[[#This Row],[Actual Date to Offhire (ADtO)]]="","",MONTH(Table13[[#This Row],[Actual Date to Offhire (ADtO)]]))</f>
        <v/>
      </c>
      <c r="AT99" s="153" t="str">
        <f>IF(Table13[[#This Row],[Actual Date to Offhire (ADtO)]]="","",WEEKNUM(Table13[[#This Row],[Actual Date to Offhire (ADtO)]]))</f>
        <v/>
      </c>
      <c r="AU99" s="153" t="str">
        <f>TEXT(Table13[[#This Row],[YEAR3]],"0000")&amp;"-"&amp;Table13[[#This Row],[MONTH3]]</f>
        <v>-</v>
      </c>
      <c r="AV99" s="153">
        <f>IF(E99="",0,
  IF('Delivery Report'!A$2*100+'Delivery Report'!A$5 &lt; YEAR(E99)*100+WEEKNUM(E99), 0,
    IF(OR(G99="", 'Delivery Report'!A$2*100+'Delivery Report'!A$5 &lt;= YEAR(G99)*100+WEEKNUM(G99)),
      IF(LOWER(W99)="hourly", U99*X99*56,
      IF(LOWER(W99)="daily", U99*X99*7,
      IF(LOWER(W99)="weekly", U99*X99,
      IF(LOWER(W99)="monthly", U99*X99*12/52,
      IF(LOWER(W99)="yearly", U99*X99/52,
      IF(LOWER(W99)="one-off", U99*X99,
      0)))))),
    0)))</f>
        <v>0</v>
      </c>
    </row>
    <row r="100" spans="1:48" x14ac:dyDescent="0.3">
      <c r="A100" s="24"/>
      <c r="E100" s="1"/>
      <c r="F100" s="1"/>
      <c r="G100" s="1"/>
      <c r="H100" s="164" t="s">
        <v>317</v>
      </c>
      <c r="P100" s="153" t="str">
        <f t="shared" si="13"/>
        <v/>
      </c>
      <c r="Q100" s="155">
        <f>IF(Table13[[#This Row],[HGVs (Collection)]]="",O100,Table13[[#This Row],[HGVs (Delivery)]]+Table13[[#This Row],[HGVs (Collection)]])</f>
        <v>0</v>
      </c>
      <c r="W100" s="153" t="str" cm="1">
        <f t="array" ref="W100">IF(Table13[[#This Row],[QUANTITY]]="","",IFERROR(IF(V100&lt;&gt;"",_xlfn.XLOOKUP(I100&amp;J100,PRICES!C:C&amp;PRICES!B:B,IF(PRICES!F:F&lt;&gt;"",PRICES!F:F,PRICES!E:E),"")),""))</f>
        <v/>
      </c>
      <c r="X100" s="154" t="str" cm="1">
        <f t="array" ref="X100">IF(Table13[[#This Row],[QUANTITY]]="","",IFERROR(IF(U100&lt;&gt;"",_xlfn.XLOOKUP(I100&amp;J100&amp;V100,PRICES!C:C&amp;PRICES!B:B&amp;PRICES!D:D,PRICES!G:G,"")),""))</f>
        <v/>
      </c>
      <c r="Y100" s="154" t="str">
        <f t="shared" ca="1" si="14"/>
        <v/>
      </c>
      <c r="Z100" s="154" t="str">
        <f t="shared" ca="1" si="15"/>
        <v/>
      </c>
      <c r="AA100" s="154" t="str">
        <f t="shared" ca="1" si="16"/>
        <v/>
      </c>
      <c r="AB100" s="154" t="str">
        <f t="shared" ca="1" si="17"/>
        <v/>
      </c>
      <c r="AC100" s="154" t="str">
        <f t="shared" ca="1" si="12"/>
        <v/>
      </c>
      <c r="AD100" s="154" t="str">
        <f>IF(Table13[[#This Row],[QUANTITY]]="","",
  IF(AND(Y100="",Z100="",AA100="",AB100="",AC100=""),
    U100*X100,
  ""))</f>
        <v/>
      </c>
      <c r="AE100" s="154" t="str">
        <f t="shared" ca="1" si="18"/>
        <v/>
      </c>
      <c r="AF100" s="154" t="str">
        <f t="shared" si="19"/>
        <v/>
      </c>
      <c r="AG100" s="154" t="str" cm="1">
        <f t="array" aca="1" ref="AG100" ca="1">IF(Table13[[#This Row],[TOTAL HIRE COST]]="","",IFERROR(IF(U100&lt;&gt;"",_xlfn.XLOOKUP(J100&amp;I100&amp;V100,PRICES!B:B&amp;PRICES!C:C&amp;PRICES!D:D,PRICES!H:H,"")),""))</f>
        <v/>
      </c>
      <c r="AH100" s="154" t="str" cm="1">
        <f t="array" aca="1" ref="AH100" ca="1">IF(Table13[[#This Row],[TOTAL HIRE COST]]="","",IFERROR(IF(U100&lt;&gt;"",_xlfn.XLOOKUP(J100&amp;I100&amp;V100,PRICES!B:B&amp;PRICES!C:C&amp;PRICES!D:D,PRICES!I:I,"")),""))</f>
        <v/>
      </c>
      <c r="AI100" s="154" t="str">
        <f ca="1">IF(Table13[[#This Row],[TOTAL HIRE COST]]="","",Table13[[#This Row],[TOTAL HIRE COST]]+Table13[[#This Row],[DELIVERY COST]]+Table13[[#This Row],[COLLECTION COST]])</f>
        <v/>
      </c>
      <c r="AJ100" s="153" t="str">
        <f>IF(Table13[[#This Row],[Date to Hire (DH)]]="","",YEAR(Table13[[#This Row],[Date to Hire (DH)]]))</f>
        <v/>
      </c>
      <c r="AK100" s="153" t="str">
        <f>IF(Table13[[#This Row],[Date to Hire (DH)]]="","",MONTH(Table13[[#This Row],[Date to Hire (DH)]]))</f>
        <v/>
      </c>
      <c r="AL100" s="153" t="str">
        <f>IF(Table13[[#This Row],[Date to Hire (DH)]]="","",WEEKNUM(Table13[[#This Row],[Date to Hire (DH)]]))</f>
        <v/>
      </c>
      <c r="AM100" s="153" t="str">
        <f>TEXT(Table13[[#This Row],[YEAR]],"0000")&amp;"-"&amp;Table13[[#This Row],[MONTH]]</f>
        <v>-</v>
      </c>
      <c r="AN100" s="153" t="str">
        <f>IF(Table13[[#This Row],[Date of Planned Offhire (DoPO) / If Applicable]]="","",YEAR(Table13[[#This Row],[Date of Planned Offhire (DoPO) / If Applicable]]))</f>
        <v/>
      </c>
      <c r="AO100" s="153" t="str">
        <f>IF(Table13[[#This Row],[Date of Planned Offhire (DoPO) / If Applicable]]="","",MONTH(Table13[[#This Row],[Date of Planned Offhire (DoPO) / If Applicable]]))</f>
        <v/>
      </c>
      <c r="AP100" s="153" t="str">
        <f>IF(Table13[[#This Row],[Date of Planned Offhire (DoPO) / If Applicable]]="","",WEEKNUM(Table13[[#This Row],[Date of Planned Offhire (DoPO) / If Applicable]]))</f>
        <v/>
      </c>
      <c r="AQ100" s="153" t="str">
        <f>TEXT(Table13[[#This Row],[YEAR2]],"0000")&amp;"-"&amp;Table13[[#This Row],[MONTH2]]</f>
        <v>-</v>
      </c>
      <c r="AR100" s="153" t="str">
        <f>IF(Table13[[#This Row],[Actual Date to Offhire (ADtO)]]="","",YEAR(Table13[[#This Row],[Actual Date to Offhire (ADtO)]]))</f>
        <v/>
      </c>
      <c r="AS100" s="153" t="str">
        <f>IF(Table13[[#This Row],[Actual Date to Offhire (ADtO)]]="","",MONTH(Table13[[#This Row],[Actual Date to Offhire (ADtO)]]))</f>
        <v/>
      </c>
      <c r="AT100" s="153" t="str">
        <f>IF(Table13[[#This Row],[Actual Date to Offhire (ADtO)]]="","",WEEKNUM(Table13[[#This Row],[Actual Date to Offhire (ADtO)]]))</f>
        <v/>
      </c>
      <c r="AU100" s="153" t="str">
        <f>TEXT(Table13[[#This Row],[YEAR3]],"0000")&amp;"-"&amp;Table13[[#This Row],[MONTH3]]</f>
        <v>-</v>
      </c>
      <c r="AV100" s="153">
        <f>IF(E100="",0,
  IF('Delivery Report'!A$2*100+'Delivery Report'!A$5 &lt; YEAR(E100)*100+WEEKNUM(E100), 0,
    IF(OR(G100="", 'Delivery Report'!A$2*100+'Delivery Report'!A$5 &lt;= YEAR(G100)*100+WEEKNUM(G100)),
      IF(LOWER(W100)="hourly", U100*X100*56,
      IF(LOWER(W100)="daily", U100*X100*7,
      IF(LOWER(W100)="weekly", U100*X100,
      IF(LOWER(W100)="monthly", U100*X100*12/52,
      IF(LOWER(W100)="yearly", U100*X100/52,
      IF(LOWER(W100)="one-off", U100*X100,
      0)))))),
    0)))</f>
        <v>0</v>
      </c>
    </row>
    <row r="101" spans="1:48" x14ac:dyDescent="0.3">
      <c r="A101" s="24"/>
      <c r="E101" s="1"/>
      <c r="F101" s="1"/>
      <c r="G101" s="1"/>
      <c r="H101" s="164" t="s">
        <v>315</v>
      </c>
      <c r="P101" s="153" t="str">
        <f t="shared" si="13"/>
        <v/>
      </c>
      <c r="Q101" s="155">
        <f>IF(Table13[[#This Row],[HGVs (Collection)]]="",O101,Table13[[#This Row],[HGVs (Delivery)]]+Table13[[#This Row],[HGVs (Collection)]])</f>
        <v>0</v>
      </c>
      <c r="W101" s="153" t="str" cm="1">
        <f t="array" ref="W101">IF(Table13[[#This Row],[QUANTITY]]="","",IFERROR(IF(V101&lt;&gt;"",_xlfn.XLOOKUP(I101&amp;J101,PRICES!C:C&amp;PRICES!B:B,IF(PRICES!F:F&lt;&gt;"",PRICES!F:F,PRICES!E:E),"")),""))</f>
        <v/>
      </c>
      <c r="X101" s="154" t="str" cm="1">
        <f t="array" ref="X101">IF(Table13[[#This Row],[QUANTITY]]="","",IFERROR(IF(U101&lt;&gt;"",_xlfn.XLOOKUP(I101&amp;J101&amp;V101,PRICES!C:C&amp;PRICES!B:B&amp;PRICES!D:D,PRICES!G:G,"")),""))</f>
        <v/>
      </c>
      <c r="Y101" s="154" t="str">
        <f t="shared" ca="1" si="14"/>
        <v/>
      </c>
      <c r="Z101" s="154" t="str">
        <f t="shared" ca="1" si="15"/>
        <v/>
      </c>
      <c r="AA101" s="154" t="str">
        <f t="shared" ca="1" si="16"/>
        <v/>
      </c>
      <c r="AB101" s="154" t="str">
        <f t="shared" ca="1" si="17"/>
        <v/>
      </c>
      <c r="AC101" s="154" t="str">
        <f t="shared" ca="1" si="12"/>
        <v/>
      </c>
      <c r="AD101" s="154" t="str">
        <f>IF(Table13[[#This Row],[QUANTITY]]="","",
  IF(AND(Y101="",Z101="",AA101="",AB101="",AC101=""),
    U101*X101,
  ""))</f>
        <v/>
      </c>
      <c r="AE101" s="154" t="str">
        <f t="shared" ca="1" si="18"/>
        <v/>
      </c>
      <c r="AF101" s="154" t="str">
        <f t="shared" si="19"/>
        <v/>
      </c>
      <c r="AG101" s="154" t="str" cm="1">
        <f t="array" aca="1" ref="AG101" ca="1">IF(Table13[[#This Row],[TOTAL HIRE COST]]="","",IFERROR(IF(U101&lt;&gt;"",_xlfn.XLOOKUP(J101&amp;I101&amp;V101,PRICES!B:B&amp;PRICES!C:C&amp;PRICES!D:D,PRICES!H:H,"")),""))</f>
        <v/>
      </c>
      <c r="AH101" s="154" t="str" cm="1">
        <f t="array" aca="1" ref="AH101" ca="1">IF(Table13[[#This Row],[TOTAL HIRE COST]]="","",IFERROR(IF(U101&lt;&gt;"",_xlfn.XLOOKUP(J101&amp;I101&amp;V101,PRICES!B:B&amp;PRICES!C:C&amp;PRICES!D:D,PRICES!I:I,"")),""))</f>
        <v/>
      </c>
      <c r="AI101" s="154" t="str">
        <f ca="1">IF(Table13[[#This Row],[TOTAL HIRE COST]]="","",Table13[[#This Row],[TOTAL HIRE COST]]+Table13[[#This Row],[DELIVERY COST]]+Table13[[#This Row],[COLLECTION COST]])</f>
        <v/>
      </c>
      <c r="AJ101" s="153" t="str">
        <f>IF(Table13[[#This Row],[Date to Hire (DH)]]="","",YEAR(Table13[[#This Row],[Date to Hire (DH)]]))</f>
        <v/>
      </c>
      <c r="AK101" s="153" t="str">
        <f>IF(Table13[[#This Row],[Date to Hire (DH)]]="","",MONTH(Table13[[#This Row],[Date to Hire (DH)]]))</f>
        <v/>
      </c>
      <c r="AL101" s="153" t="str">
        <f>IF(Table13[[#This Row],[Date to Hire (DH)]]="","",WEEKNUM(Table13[[#This Row],[Date to Hire (DH)]]))</f>
        <v/>
      </c>
      <c r="AM101" s="153" t="str">
        <f>TEXT(Table13[[#This Row],[YEAR]],"0000")&amp;"-"&amp;Table13[[#This Row],[MONTH]]</f>
        <v>-</v>
      </c>
      <c r="AN101" s="153" t="str">
        <f>IF(Table13[[#This Row],[Date of Planned Offhire (DoPO) / If Applicable]]="","",YEAR(Table13[[#This Row],[Date of Planned Offhire (DoPO) / If Applicable]]))</f>
        <v/>
      </c>
      <c r="AO101" s="153" t="str">
        <f>IF(Table13[[#This Row],[Date of Planned Offhire (DoPO) / If Applicable]]="","",MONTH(Table13[[#This Row],[Date of Planned Offhire (DoPO) / If Applicable]]))</f>
        <v/>
      </c>
      <c r="AP101" s="153" t="str">
        <f>IF(Table13[[#This Row],[Date of Planned Offhire (DoPO) / If Applicable]]="","",WEEKNUM(Table13[[#This Row],[Date of Planned Offhire (DoPO) / If Applicable]]))</f>
        <v/>
      </c>
      <c r="AQ101" s="153" t="str">
        <f>TEXT(Table13[[#This Row],[YEAR2]],"0000")&amp;"-"&amp;Table13[[#This Row],[MONTH2]]</f>
        <v>-</v>
      </c>
      <c r="AR101" s="153" t="str">
        <f>IF(Table13[[#This Row],[Actual Date to Offhire (ADtO)]]="","",YEAR(Table13[[#This Row],[Actual Date to Offhire (ADtO)]]))</f>
        <v/>
      </c>
      <c r="AS101" s="153" t="str">
        <f>IF(Table13[[#This Row],[Actual Date to Offhire (ADtO)]]="","",MONTH(Table13[[#This Row],[Actual Date to Offhire (ADtO)]]))</f>
        <v/>
      </c>
      <c r="AT101" s="153" t="str">
        <f>IF(Table13[[#This Row],[Actual Date to Offhire (ADtO)]]="","",WEEKNUM(Table13[[#This Row],[Actual Date to Offhire (ADtO)]]))</f>
        <v/>
      </c>
      <c r="AU101" s="153" t="str">
        <f>TEXT(Table13[[#This Row],[YEAR3]],"0000")&amp;"-"&amp;Table13[[#This Row],[MONTH3]]</f>
        <v>-</v>
      </c>
      <c r="AV101" s="153">
        <f>IF(E101="",0,
  IF('Delivery Report'!A$2*100+'Delivery Report'!A$5 &lt; YEAR(E101)*100+WEEKNUM(E101), 0,
    IF(OR(G101="", 'Delivery Report'!A$2*100+'Delivery Report'!A$5 &lt;= YEAR(G101)*100+WEEKNUM(G101)),
      IF(LOWER(W101)="hourly", U101*X101*56,
      IF(LOWER(W101)="daily", U101*X101*7,
      IF(LOWER(W101)="weekly", U101*X101,
      IF(LOWER(W101)="monthly", U101*X101*12/52,
      IF(LOWER(W101)="yearly", U101*X101/52,
      IF(LOWER(W101)="one-off", U101*X101,
      0)))))),
    0)))</f>
        <v>0</v>
      </c>
    </row>
    <row r="102" spans="1:48" x14ac:dyDescent="0.3">
      <c r="A102" s="24"/>
      <c r="E102" s="1"/>
      <c r="F102" s="1"/>
      <c r="G102" s="1"/>
      <c r="H102" s="164" t="s">
        <v>315</v>
      </c>
      <c r="P102" s="153" t="str">
        <f t="shared" si="13"/>
        <v/>
      </c>
      <c r="Q102" s="155">
        <f>IF(Table13[[#This Row],[HGVs (Collection)]]="",O102,Table13[[#This Row],[HGVs (Delivery)]]+Table13[[#This Row],[HGVs (Collection)]])</f>
        <v>0</v>
      </c>
      <c r="W102" s="153" t="str" cm="1">
        <f t="array" ref="W102">IF(Table13[[#This Row],[QUANTITY]]="","",IFERROR(IF(V102&lt;&gt;"",_xlfn.XLOOKUP(I102&amp;J102,PRICES!C:C&amp;PRICES!B:B,IF(PRICES!F:F&lt;&gt;"",PRICES!F:F,PRICES!E:E),"")),""))</f>
        <v/>
      </c>
      <c r="X102" s="154" t="str" cm="1">
        <f t="array" ref="X102">IF(Table13[[#This Row],[QUANTITY]]="","",IFERROR(IF(U102&lt;&gt;"",_xlfn.XLOOKUP(I102&amp;J102&amp;V102,PRICES!C:C&amp;PRICES!B:B&amp;PRICES!D:D,PRICES!G:G,"")),""))</f>
        <v/>
      </c>
      <c r="Y102" s="154" t="str">
        <f t="shared" ca="1" si="14"/>
        <v/>
      </c>
      <c r="Z102" s="154" t="str">
        <f t="shared" ca="1" si="15"/>
        <v/>
      </c>
      <c r="AA102" s="154" t="str">
        <f t="shared" ca="1" si="16"/>
        <v/>
      </c>
      <c r="AB102" s="154" t="str">
        <f t="shared" ca="1" si="17"/>
        <v/>
      </c>
      <c r="AC102" s="154" t="str">
        <f t="shared" ca="1" si="12"/>
        <v/>
      </c>
      <c r="AD102" s="154" t="str">
        <f>IF(Table13[[#This Row],[QUANTITY]]="","",
  IF(AND(Y102="",Z102="",AA102="",AB102="",AC102=""),
    U102*X102,
  ""))</f>
        <v/>
      </c>
      <c r="AE102" s="154" t="str">
        <f t="shared" ca="1" si="18"/>
        <v/>
      </c>
      <c r="AF102" s="154" t="str">
        <f t="shared" si="19"/>
        <v/>
      </c>
      <c r="AG102" s="154" t="str" cm="1">
        <f t="array" aca="1" ref="AG102" ca="1">IF(Table13[[#This Row],[TOTAL HIRE COST]]="","",IFERROR(IF(U102&lt;&gt;"",_xlfn.XLOOKUP(J102&amp;I102&amp;V102,PRICES!B:B&amp;PRICES!C:C&amp;PRICES!D:D,PRICES!H:H,"")),""))</f>
        <v/>
      </c>
      <c r="AH102" s="154" t="str" cm="1">
        <f t="array" aca="1" ref="AH102" ca="1">IF(Table13[[#This Row],[TOTAL HIRE COST]]="","",IFERROR(IF(U102&lt;&gt;"",_xlfn.XLOOKUP(J102&amp;I102&amp;V102,PRICES!B:B&amp;PRICES!C:C&amp;PRICES!D:D,PRICES!I:I,"")),""))</f>
        <v/>
      </c>
      <c r="AI102" s="154" t="str">
        <f ca="1">IF(Table13[[#This Row],[TOTAL HIRE COST]]="","",Table13[[#This Row],[TOTAL HIRE COST]]+Table13[[#This Row],[DELIVERY COST]]+Table13[[#This Row],[COLLECTION COST]])</f>
        <v/>
      </c>
      <c r="AJ102" s="153" t="str">
        <f>IF(Table13[[#This Row],[Date to Hire (DH)]]="","",YEAR(Table13[[#This Row],[Date to Hire (DH)]]))</f>
        <v/>
      </c>
      <c r="AK102" s="153" t="str">
        <f>IF(Table13[[#This Row],[Date to Hire (DH)]]="","",MONTH(Table13[[#This Row],[Date to Hire (DH)]]))</f>
        <v/>
      </c>
      <c r="AL102" s="153" t="str">
        <f>IF(Table13[[#This Row],[Date to Hire (DH)]]="","",WEEKNUM(Table13[[#This Row],[Date to Hire (DH)]]))</f>
        <v/>
      </c>
      <c r="AM102" s="153" t="str">
        <f>TEXT(Table13[[#This Row],[YEAR]],"0000")&amp;"-"&amp;Table13[[#This Row],[MONTH]]</f>
        <v>-</v>
      </c>
      <c r="AN102" s="153" t="str">
        <f>IF(Table13[[#This Row],[Date of Planned Offhire (DoPO) / If Applicable]]="","",YEAR(Table13[[#This Row],[Date of Planned Offhire (DoPO) / If Applicable]]))</f>
        <v/>
      </c>
      <c r="AO102" s="153" t="str">
        <f>IF(Table13[[#This Row],[Date of Planned Offhire (DoPO) / If Applicable]]="","",MONTH(Table13[[#This Row],[Date of Planned Offhire (DoPO) / If Applicable]]))</f>
        <v/>
      </c>
      <c r="AP102" s="153" t="str">
        <f>IF(Table13[[#This Row],[Date of Planned Offhire (DoPO) / If Applicable]]="","",WEEKNUM(Table13[[#This Row],[Date of Planned Offhire (DoPO) / If Applicable]]))</f>
        <v/>
      </c>
      <c r="AQ102" s="153" t="str">
        <f>TEXT(Table13[[#This Row],[YEAR2]],"0000")&amp;"-"&amp;Table13[[#This Row],[MONTH2]]</f>
        <v>-</v>
      </c>
      <c r="AR102" s="153" t="str">
        <f>IF(Table13[[#This Row],[Actual Date to Offhire (ADtO)]]="","",YEAR(Table13[[#This Row],[Actual Date to Offhire (ADtO)]]))</f>
        <v/>
      </c>
      <c r="AS102" s="153" t="str">
        <f>IF(Table13[[#This Row],[Actual Date to Offhire (ADtO)]]="","",MONTH(Table13[[#This Row],[Actual Date to Offhire (ADtO)]]))</f>
        <v/>
      </c>
      <c r="AT102" s="153" t="str">
        <f>IF(Table13[[#This Row],[Actual Date to Offhire (ADtO)]]="","",WEEKNUM(Table13[[#This Row],[Actual Date to Offhire (ADtO)]]))</f>
        <v/>
      </c>
      <c r="AU102" s="153" t="str">
        <f>TEXT(Table13[[#This Row],[YEAR3]],"0000")&amp;"-"&amp;Table13[[#This Row],[MONTH3]]</f>
        <v>-</v>
      </c>
      <c r="AV102" s="153">
        <f>IF(E102="",0,
  IF('Delivery Report'!A$2*100+'Delivery Report'!A$5 &lt; YEAR(E102)*100+WEEKNUM(E102), 0,
    IF(OR(G102="", 'Delivery Report'!A$2*100+'Delivery Report'!A$5 &lt;= YEAR(G102)*100+WEEKNUM(G102)),
      IF(LOWER(W102)="hourly", U102*X102*56,
      IF(LOWER(W102)="daily", U102*X102*7,
      IF(LOWER(W102)="weekly", U102*X102,
      IF(LOWER(W102)="monthly", U102*X102*12/52,
      IF(LOWER(W102)="yearly", U102*X102/52,
      IF(LOWER(W102)="one-off", U102*X102,
      0)))))),
    0)))</f>
        <v>0</v>
      </c>
    </row>
    <row r="103" spans="1:48" x14ac:dyDescent="0.3">
      <c r="A103" s="24"/>
      <c r="E103" s="1"/>
      <c r="F103" s="1"/>
      <c r="G103" s="1"/>
      <c r="H103" s="164" t="str">
        <f>IF(E103="","",IF(G103&lt;&gt;"","OFF-HIRED","ON HIRE"))</f>
        <v/>
      </c>
      <c r="P103" s="153" t="str">
        <f t="shared" si="13"/>
        <v/>
      </c>
      <c r="Q103" s="155">
        <f>IF(Table13[[#This Row],[HGVs (Collection)]]="",O103,Table13[[#This Row],[HGVs (Delivery)]]+Table13[[#This Row],[HGVs (Collection)]])</f>
        <v>0</v>
      </c>
      <c r="W103" s="153" t="str" cm="1">
        <f t="array" ref="W103">IF(Table13[[#This Row],[QUANTITY]]="","",IFERROR(IF(V103&lt;&gt;"",_xlfn.XLOOKUP(I103&amp;J103,PRICES!C:C&amp;PRICES!B:B,IF(PRICES!F:F&lt;&gt;"",PRICES!F:F,PRICES!E:E),"")),""))</f>
        <v/>
      </c>
      <c r="X103" s="154" t="str" cm="1">
        <f t="array" ref="X103">IF(Table13[[#This Row],[QUANTITY]]="","",IFERROR(IF(U103&lt;&gt;"",_xlfn.XLOOKUP(I103&amp;J103&amp;V103,PRICES!C:C&amp;PRICES!B:B&amp;PRICES!D:D,PRICES!G:G,"")),""))</f>
        <v/>
      </c>
      <c r="Y103" s="154" t="str">
        <f t="shared" ca="1" si="14"/>
        <v/>
      </c>
      <c r="Z103" s="154" t="str">
        <f t="shared" ca="1" si="15"/>
        <v/>
      </c>
      <c r="AA103" s="154" t="str">
        <f t="shared" ca="1" si="16"/>
        <v/>
      </c>
      <c r="AB103" s="154" t="str">
        <f t="shared" ca="1" si="17"/>
        <v/>
      </c>
      <c r="AC103" s="154" t="str">
        <f t="shared" ca="1" si="12"/>
        <v/>
      </c>
      <c r="AD103" s="154" t="str">
        <f>IF(Table13[[#This Row],[QUANTITY]]="","",
  IF(AND(Y103="",Z103="",AA103="",AB103="",AC103=""),
    U103*X103,
  ""))</f>
        <v/>
      </c>
      <c r="AE103" s="154" t="str">
        <f t="shared" ca="1" si="18"/>
        <v/>
      </c>
      <c r="AF103" s="154" t="str">
        <f t="shared" si="19"/>
        <v/>
      </c>
      <c r="AG103" s="154" t="str" cm="1">
        <f t="array" aca="1" ref="AG103" ca="1">IF(Table13[[#This Row],[TOTAL HIRE COST]]="","",IFERROR(IF(U103&lt;&gt;"",_xlfn.XLOOKUP(J103&amp;I103&amp;V103,PRICES!B:B&amp;PRICES!C:C&amp;PRICES!D:D,PRICES!H:H,"")),""))</f>
        <v/>
      </c>
      <c r="AH103" s="154" t="str" cm="1">
        <f t="array" aca="1" ref="AH103" ca="1">IF(Table13[[#This Row],[TOTAL HIRE COST]]="","",IFERROR(IF(U103&lt;&gt;"",_xlfn.XLOOKUP(J103&amp;I103&amp;V103,PRICES!B:B&amp;PRICES!C:C&amp;PRICES!D:D,PRICES!I:I,"")),""))</f>
        <v/>
      </c>
      <c r="AI103" s="154" t="str">
        <f ca="1">IF(Table13[[#This Row],[TOTAL HIRE COST]]="","",Table13[[#This Row],[TOTAL HIRE COST]]+Table13[[#This Row],[DELIVERY COST]]+Table13[[#This Row],[COLLECTION COST]])</f>
        <v/>
      </c>
      <c r="AJ103" s="153" t="str">
        <f>IF(Table13[[#This Row],[Date to Hire (DH)]]="","",YEAR(Table13[[#This Row],[Date to Hire (DH)]]))</f>
        <v/>
      </c>
      <c r="AK103" s="153" t="str">
        <f>IF(Table13[[#This Row],[Date to Hire (DH)]]="","",MONTH(Table13[[#This Row],[Date to Hire (DH)]]))</f>
        <v/>
      </c>
      <c r="AL103" s="153" t="str">
        <f>IF(Table13[[#This Row],[Date to Hire (DH)]]="","",WEEKNUM(Table13[[#This Row],[Date to Hire (DH)]]))</f>
        <v/>
      </c>
      <c r="AM103" s="153" t="str">
        <f>TEXT(Table13[[#This Row],[YEAR]],"0000")&amp;"-"&amp;Table13[[#This Row],[MONTH]]</f>
        <v>-</v>
      </c>
      <c r="AN103" s="153" t="str">
        <f>IF(Table13[[#This Row],[Date of Planned Offhire (DoPO) / If Applicable]]="","",YEAR(Table13[[#This Row],[Date of Planned Offhire (DoPO) / If Applicable]]))</f>
        <v/>
      </c>
      <c r="AO103" s="153" t="str">
        <f>IF(Table13[[#This Row],[Date of Planned Offhire (DoPO) / If Applicable]]="","",MONTH(Table13[[#This Row],[Date of Planned Offhire (DoPO) / If Applicable]]))</f>
        <v/>
      </c>
      <c r="AP103" s="153" t="str">
        <f>IF(Table13[[#This Row],[Date of Planned Offhire (DoPO) / If Applicable]]="","",WEEKNUM(Table13[[#This Row],[Date of Planned Offhire (DoPO) / If Applicable]]))</f>
        <v/>
      </c>
      <c r="AQ103" s="153" t="str">
        <f>TEXT(Table13[[#This Row],[YEAR2]],"0000")&amp;"-"&amp;Table13[[#This Row],[MONTH2]]</f>
        <v>-</v>
      </c>
      <c r="AR103" s="153" t="str">
        <f>IF(Table13[[#This Row],[Actual Date to Offhire (ADtO)]]="","",YEAR(Table13[[#This Row],[Actual Date to Offhire (ADtO)]]))</f>
        <v/>
      </c>
      <c r="AS103" s="153" t="str">
        <f>IF(Table13[[#This Row],[Actual Date to Offhire (ADtO)]]="","",MONTH(Table13[[#This Row],[Actual Date to Offhire (ADtO)]]))</f>
        <v/>
      </c>
      <c r="AT103" s="153" t="str">
        <f>IF(Table13[[#This Row],[Actual Date to Offhire (ADtO)]]="","",WEEKNUM(Table13[[#This Row],[Actual Date to Offhire (ADtO)]]))</f>
        <v/>
      </c>
      <c r="AU103" s="153" t="str">
        <f>TEXT(Table13[[#This Row],[YEAR3]],"0000")&amp;"-"&amp;Table13[[#This Row],[MONTH3]]</f>
        <v>-</v>
      </c>
      <c r="AV103" s="153">
        <f>IF(E103="",0,
  IF('Delivery Report'!A$2*100+'Delivery Report'!A$5 &lt; YEAR(E103)*100+WEEKNUM(E103), 0,
    IF(OR(G103="", 'Delivery Report'!A$2*100+'Delivery Report'!A$5 &lt;= YEAR(G103)*100+WEEKNUM(G103)),
      IF(LOWER(W103)="hourly", U103*X103*56,
      IF(LOWER(W103)="daily", U103*X103*7,
      IF(LOWER(W103)="weekly", U103*X103,
      IF(LOWER(W103)="monthly", U103*X103*12/52,
      IF(LOWER(W103)="yearly", U103*X103/52,
      IF(LOWER(W103)="one-off", U103*X103,
      0)))))),
    0)))</f>
        <v>0</v>
      </c>
    </row>
    <row r="104" spans="1:48" x14ac:dyDescent="0.3">
      <c r="A104" s="24"/>
      <c r="E104" s="1"/>
      <c r="F104" s="1"/>
      <c r="G104" s="1"/>
      <c r="H104" s="164" t="s">
        <v>317</v>
      </c>
      <c r="P104" s="153" t="str">
        <f t="shared" si="13"/>
        <v/>
      </c>
      <c r="Q104" s="155">
        <f>IF(Table13[[#This Row],[HGVs (Collection)]]="",O104,Table13[[#This Row],[HGVs (Delivery)]]+Table13[[#This Row],[HGVs (Collection)]])</f>
        <v>0</v>
      </c>
      <c r="W104" s="153" t="str" cm="1">
        <f t="array" ref="W104">IF(Table13[[#This Row],[QUANTITY]]="","",IFERROR(IF(V104&lt;&gt;"",_xlfn.XLOOKUP(I104&amp;J104,PRICES!C:C&amp;PRICES!B:B,IF(PRICES!F:F&lt;&gt;"",PRICES!F:F,PRICES!E:E),"")),""))</f>
        <v/>
      </c>
      <c r="X104" s="154" t="str" cm="1">
        <f t="array" ref="X104">IF(Table13[[#This Row],[QUANTITY]]="","",IFERROR(IF(U104&lt;&gt;"",_xlfn.XLOOKUP(I104&amp;J104&amp;V104,PRICES!C:C&amp;PRICES!B:B&amp;PRICES!D:D,PRICES!G:G,"")),""))</f>
        <v/>
      </c>
      <c r="Y104" s="154" t="str">
        <f t="shared" ca="1" si="14"/>
        <v/>
      </c>
      <c r="Z104" s="154" t="str">
        <f t="shared" ca="1" si="15"/>
        <v/>
      </c>
      <c r="AA104" s="154" t="str">
        <f t="shared" ca="1" si="16"/>
        <v/>
      </c>
      <c r="AB104" s="154" t="str">
        <f t="shared" ca="1" si="17"/>
        <v/>
      </c>
      <c r="AC104" s="154" t="str">
        <f t="shared" ca="1" si="12"/>
        <v/>
      </c>
      <c r="AD104" s="154" t="str">
        <f>IF(Table13[[#This Row],[QUANTITY]]="","",
  IF(AND(Y104="",Z104="",AA104="",AB104="",AC104=""),
    U104*X104,
  ""))</f>
        <v/>
      </c>
      <c r="AE104" s="154" t="str">
        <f t="shared" ca="1" si="18"/>
        <v/>
      </c>
      <c r="AF104" s="154" t="str">
        <f t="shared" si="19"/>
        <v/>
      </c>
      <c r="AG104" s="154" t="str" cm="1">
        <f t="array" aca="1" ref="AG104" ca="1">IF(Table13[[#This Row],[TOTAL HIRE COST]]="","",IFERROR(IF(U104&lt;&gt;"",_xlfn.XLOOKUP(J104&amp;I104&amp;V104,PRICES!B:B&amp;PRICES!C:C&amp;PRICES!D:D,PRICES!H:H,"")),""))</f>
        <v/>
      </c>
      <c r="AH104" s="154" t="str" cm="1">
        <f t="array" aca="1" ref="AH104" ca="1">IF(Table13[[#This Row],[TOTAL HIRE COST]]="","",IFERROR(IF(U104&lt;&gt;"",_xlfn.XLOOKUP(J104&amp;I104&amp;V104,PRICES!B:B&amp;PRICES!C:C&amp;PRICES!D:D,PRICES!I:I,"")),""))</f>
        <v/>
      </c>
      <c r="AI104" s="154" t="str">
        <f ca="1">IF(Table13[[#This Row],[TOTAL HIRE COST]]="","",Table13[[#This Row],[TOTAL HIRE COST]]+Table13[[#This Row],[DELIVERY COST]]+Table13[[#This Row],[COLLECTION COST]])</f>
        <v/>
      </c>
      <c r="AJ104" s="153" t="str">
        <f>IF(Table13[[#This Row],[Date to Hire (DH)]]="","",YEAR(Table13[[#This Row],[Date to Hire (DH)]]))</f>
        <v/>
      </c>
      <c r="AK104" s="153" t="str">
        <f>IF(Table13[[#This Row],[Date to Hire (DH)]]="","",MONTH(Table13[[#This Row],[Date to Hire (DH)]]))</f>
        <v/>
      </c>
      <c r="AL104" s="153" t="str">
        <f>IF(Table13[[#This Row],[Date to Hire (DH)]]="","",WEEKNUM(Table13[[#This Row],[Date to Hire (DH)]]))</f>
        <v/>
      </c>
      <c r="AM104" s="153" t="str">
        <f>TEXT(Table13[[#This Row],[YEAR]],"0000")&amp;"-"&amp;Table13[[#This Row],[MONTH]]</f>
        <v>-</v>
      </c>
      <c r="AN104" s="153" t="str">
        <f>IF(Table13[[#This Row],[Date of Planned Offhire (DoPO) / If Applicable]]="","",YEAR(Table13[[#This Row],[Date of Planned Offhire (DoPO) / If Applicable]]))</f>
        <v/>
      </c>
      <c r="AO104" s="153" t="str">
        <f>IF(Table13[[#This Row],[Date of Planned Offhire (DoPO) / If Applicable]]="","",MONTH(Table13[[#This Row],[Date of Planned Offhire (DoPO) / If Applicable]]))</f>
        <v/>
      </c>
      <c r="AP104" s="153" t="str">
        <f>IF(Table13[[#This Row],[Date of Planned Offhire (DoPO) / If Applicable]]="","",WEEKNUM(Table13[[#This Row],[Date of Planned Offhire (DoPO) / If Applicable]]))</f>
        <v/>
      </c>
      <c r="AQ104" s="153" t="str">
        <f>TEXT(Table13[[#This Row],[YEAR2]],"0000")&amp;"-"&amp;Table13[[#This Row],[MONTH2]]</f>
        <v>-</v>
      </c>
      <c r="AR104" s="153" t="str">
        <f>IF(Table13[[#This Row],[Actual Date to Offhire (ADtO)]]="","",YEAR(Table13[[#This Row],[Actual Date to Offhire (ADtO)]]))</f>
        <v/>
      </c>
      <c r="AS104" s="153" t="str">
        <f>IF(Table13[[#This Row],[Actual Date to Offhire (ADtO)]]="","",MONTH(Table13[[#This Row],[Actual Date to Offhire (ADtO)]]))</f>
        <v/>
      </c>
      <c r="AT104" s="153" t="str">
        <f>IF(Table13[[#This Row],[Actual Date to Offhire (ADtO)]]="","",WEEKNUM(Table13[[#This Row],[Actual Date to Offhire (ADtO)]]))</f>
        <v/>
      </c>
      <c r="AU104" s="153" t="str">
        <f>TEXT(Table13[[#This Row],[YEAR3]],"0000")&amp;"-"&amp;Table13[[#This Row],[MONTH3]]</f>
        <v>-</v>
      </c>
      <c r="AV104" s="153">
        <f>IF(E104="",0,
  IF('Delivery Report'!A$2*100+'Delivery Report'!A$5 &lt; YEAR(E104)*100+WEEKNUM(E104), 0,
    IF(OR(G104="", 'Delivery Report'!A$2*100+'Delivery Report'!A$5 &lt;= YEAR(G104)*100+WEEKNUM(G104)),
      IF(LOWER(W104)="hourly", U104*X104*56,
      IF(LOWER(W104)="daily", U104*X104*7,
      IF(LOWER(W104)="weekly", U104*X104,
      IF(LOWER(W104)="monthly", U104*X104*12/52,
      IF(LOWER(W104)="yearly", U104*X104/52,
      IF(LOWER(W104)="one-off", U104*X104,
      0)))))),
    0)))</f>
        <v>0</v>
      </c>
    </row>
    <row r="105" spans="1:48" x14ac:dyDescent="0.3">
      <c r="A105" s="24"/>
      <c r="E105" s="1"/>
      <c r="F105" s="1"/>
      <c r="G105" s="1"/>
      <c r="H105" s="164" t="s">
        <v>317</v>
      </c>
      <c r="P105" s="153" t="str">
        <f t="shared" si="13"/>
        <v/>
      </c>
      <c r="Q105" s="155">
        <f>IF(Table13[[#This Row],[HGVs (Collection)]]="",O105,Table13[[#This Row],[HGVs (Delivery)]]+Table13[[#This Row],[HGVs (Collection)]])</f>
        <v>0</v>
      </c>
      <c r="W105" s="153" t="str" cm="1">
        <f t="array" ref="W105">IF(Table13[[#This Row],[QUANTITY]]="","",IFERROR(IF(V105&lt;&gt;"",_xlfn.XLOOKUP(I105&amp;J105,PRICES!C:C&amp;PRICES!B:B,IF(PRICES!F:F&lt;&gt;"",PRICES!F:F,PRICES!E:E),"")),""))</f>
        <v/>
      </c>
      <c r="X105" s="154" t="str" cm="1">
        <f t="array" ref="X105">IF(Table13[[#This Row],[QUANTITY]]="","",IFERROR(IF(U105&lt;&gt;"",_xlfn.XLOOKUP(I105&amp;J105&amp;V105,PRICES!C:C&amp;PRICES!B:B&amp;PRICES!D:D,PRICES!G:G,"")),""))</f>
        <v/>
      </c>
      <c r="Y105" s="154" t="str">
        <f t="shared" ca="1" si="14"/>
        <v/>
      </c>
      <c r="Z105" s="154" t="str">
        <f t="shared" ca="1" si="15"/>
        <v/>
      </c>
      <c r="AA105" s="154" t="str">
        <f t="shared" ca="1" si="16"/>
        <v/>
      </c>
      <c r="AB105" s="154" t="str">
        <f t="shared" ca="1" si="17"/>
        <v/>
      </c>
      <c r="AC105" s="154" t="str">
        <f t="shared" ca="1" si="12"/>
        <v/>
      </c>
      <c r="AD105" s="154" t="str">
        <f>IF(Table13[[#This Row],[QUANTITY]]="","",
  IF(AND(Y105="",Z105="",AA105="",AB105="",AC105=""),
    U105*X105,
  ""))</f>
        <v/>
      </c>
      <c r="AE105" s="154" t="str">
        <f t="shared" ca="1" si="18"/>
        <v/>
      </c>
      <c r="AF105" s="154" t="str">
        <f t="shared" si="19"/>
        <v/>
      </c>
      <c r="AG105" s="154" t="str" cm="1">
        <f t="array" aca="1" ref="AG105" ca="1">IF(Table13[[#This Row],[TOTAL HIRE COST]]="","",IFERROR(IF(U105&lt;&gt;"",_xlfn.XLOOKUP(J105&amp;I105&amp;V105,PRICES!B:B&amp;PRICES!C:C&amp;PRICES!D:D,PRICES!H:H,"")),""))</f>
        <v/>
      </c>
      <c r="AH105" s="154" t="str" cm="1">
        <f t="array" aca="1" ref="AH105" ca="1">IF(Table13[[#This Row],[TOTAL HIRE COST]]="","",IFERROR(IF(U105&lt;&gt;"",_xlfn.XLOOKUP(J105&amp;I105&amp;V105,PRICES!B:B&amp;PRICES!C:C&amp;PRICES!D:D,PRICES!I:I,"")),""))</f>
        <v/>
      </c>
      <c r="AI105" s="154" t="str">
        <f ca="1">IF(Table13[[#This Row],[TOTAL HIRE COST]]="","",Table13[[#This Row],[TOTAL HIRE COST]]+Table13[[#This Row],[DELIVERY COST]]+Table13[[#This Row],[COLLECTION COST]])</f>
        <v/>
      </c>
      <c r="AJ105" s="153" t="str">
        <f>IF(Table13[[#This Row],[Date to Hire (DH)]]="","",YEAR(Table13[[#This Row],[Date to Hire (DH)]]))</f>
        <v/>
      </c>
      <c r="AK105" s="153" t="str">
        <f>IF(Table13[[#This Row],[Date to Hire (DH)]]="","",MONTH(Table13[[#This Row],[Date to Hire (DH)]]))</f>
        <v/>
      </c>
      <c r="AL105" s="153" t="str">
        <f>IF(Table13[[#This Row],[Date to Hire (DH)]]="","",WEEKNUM(Table13[[#This Row],[Date to Hire (DH)]]))</f>
        <v/>
      </c>
      <c r="AM105" s="153" t="str">
        <f>TEXT(Table13[[#This Row],[YEAR]],"0000")&amp;"-"&amp;Table13[[#This Row],[MONTH]]</f>
        <v>-</v>
      </c>
      <c r="AN105" s="153" t="str">
        <f>IF(Table13[[#This Row],[Date of Planned Offhire (DoPO) / If Applicable]]="","",YEAR(Table13[[#This Row],[Date of Planned Offhire (DoPO) / If Applicable]]))</f>
        <v/>
      </c>
      <c r="AO105" s="153" t="str">
        <f>IF(Table13[[#This Row],[Date of Planned Offhire (DoPO) / If Applicable]]="","",MONTH(Table13[[#This Row],[Date of Planned Offhire (DoPO) / If Applicable]]))</f>
        <v/>
      </c>
      <c r="AP105" s="153" t="str">
        <f>IF(Table13[[#This Row],[Date of Planned Offhire (DoPO) / If Applicable]]="","",WEEKNUM(Table13[[#This Row],[Date of Planned Offhire (DoPO) / If Applicable]]))</f>
        <v/>
      </c>
      <c r="AQ105" s="153" t="str">
        <f>TEXT(Table13[[#This Row],[YEAR2]],"0000")&amp;"-"&amp;Table13[[#This Row],[MONTH2]]</f>
        <v>-</v>
      </c>
      <c r="AR105" s="153" t="str">
        <f>IF(Table13[[#This Row],[Actual Date to Offhire (ADtO)]]="","",YEAR(Table13[[#This Row],[Actual Date to Offhire (ADtO)]]))</f>
        <v/>
      </c>
      <c r="AS105" s="153" t="str">
        <f>IF(Table13[[#This Row],[Actual Date to Offhire (ADtO)]]="","",MONTH(Table13[[#This Row],[Actual Date to Offhire (ADtO)]]))</f>
        <v/>
      </c>
      <c r="AT105" s="153" t="str">
        <f>IF(Table13[[#This Row],[Actual Date to Offhire (ADtO)]]="","",WEEKNUM(Table13[[#This Row],[Actual Date to Offhire (ADtO)]]))</f>
        <v/>
      </c>
      <c r="AU105" s="153" t="str">
        <f>TEXT(Table13[[#This Row],[YEAR3]],"0000")&amp;"-"&amp;Table13[[#This Row],[MONTH3]]</f>
        <v>-</v>
      </c>
      <c r="AV105" s="153">
        <f>IF(E105="",0,
  IF('Delivery Report'!A$2*100+'Delivery Report'!A$5 &lt; YEAR(E105)*100+WEEKNUM(E105), 0,
    IF(OR(G105="", 'Delivery Report'!A$2*100+'Delivery Report'!A$5 &lt;= YEAR(G105)*100+WEEKNUM(G105)),
      IF(LOWER(W105)="hourly", U105*X105*56,
      IF(LOWER(W105)="daily", U105*X105*7,
      IF(LOWER(W105)="weekly", U105*X105,
      IF(LOWER(W105)="monthly", U105*X105*12/52,
      IF(LOWER(W105)="yearly", U105*X105/52,
      IF(LOWER(W105)="one-off", U105*X105,
      0)))))),
    0)))</f>
        <v>0</v>
      </c>
    </row>
    <row r="106" spans="1:48" x14ac:dyDescent="0.3">
      <c r="A106" s="24"/>
      <c r="E106" s="1"/>
      <c r="F106" s="1"/>
      <c r="G106" s="1"/>
      <c r="H106" s="164" t="s">
        <v>317</v>
      </c>
      <c r="P106" s="153" t="str">
        <f t="shared" si="13"/>
        <v/>
      </c>
      <c r="Q106" s="155">
        <f>IF(Table13[[#This Row],[HGVs (Collection)]]="",O106,Table13[[#This Row],[HGVs (Delivery)]]+Table13[[#This Row],[HGVs (Collection)]])</f>
        <v>0</v>
      </c>
      <c r="W106" s="153" t="str" cm="1">
        <f t="array" ref="W106">IF(Table13[[#This Row],[QUANTITY]]="","",IFERROR(IF(V106&lt;&gt;"",_xlfn.XLOOKUP(I106&amp;J106,PRICES!C:C&amp;PRICES!B:B,IF(PRICES!F:F&lt;&gt;"",PRICES!F:F,PRICES!E:E),"")),""))</f>
        <v/>
      </c>
      <c r="X106" s="154" t="str" cm="1">
        <f t="array" ref="X106">IF(Table13[[#This Row],[QUANTITY]]="","",IFERROR(IF(U106&lt;&gt;"",_xlfn.XLOOKUP(I106&amp;J106&amp;V106,PRICES!C:C&amp;PRICES!B:B&amp;PRICES!D:D,PRICES!G:G,"")),""))</f>
        <v/>
      </c>
      <c r="Y106" s="154" t="str">
        <f t="shared" ca="1" si="14"/>
        <v/>
      </c>
      <c r="Z106" s="154" t="str">
        <f t="shared" ca="1" si="15"/>
        <v/>
      </c>
      <c r="AA106" s="154" t="str">
        <f t="shared" ca="1" si="16"/>
        <v/>
      </c>
      <c r="AB106" s="154" t="str">
        <f t="shared" ca="1" si="17"/>
        <v/>
      </c>
      <c r="AC106" s="154" t="str">
        <f t="shared" ca="1" si="12"/>
        <v/>
      </c>
      <c r="AD106" s="154" t="str">
        <f>IF(Table13[[#This Row],[QUANTITY]]="","",
  IF(AND(Y106="",Z106="",AA106="",AB106="",AC106=""),
    U106*X106,
  ""))</f>
        <v/>
      </c>
      <c r="AE106" s="154" t="str">
        <f t="shared" ca="1" si="18"/>
        <v/>
      </c>
      <c r="AF106" s="154" t="str">
        <f t="shared" si="19"/>
        <v/>
      </c>
      <c r="AG106" s="154" t="str" cm="1">
        <f t="array" aca="1" ref="AG106" ca="1">IF(Table13[[#This Row],[TOTAL HIRE COST]]="","",IFERROR(IF(U106&lt;&gt;"",_xlfn.XLOOKUP(J106&amp;I106&amp;V106,PRICES!B:B&amp;PRICES!C:C&amp;PRICES!D:D,PRICES!H:H,"")),""))</f>
        <v/>
      </c>
      <c r="AH106" s="154" t="str" cm="1">
        <f t="array" aca="1" ref="AH106" ca="1">IF(Table13[[#This Row],[TOTAL HIRE COST]]="","",IFERROR(IF(U106&lt;&gt;"",_xlfn.XLOOKUP(J106&amp;I106&amp;V106,PRICES!B:B&amp;PRICES!C:C&amp;PRICES!D:D,PRICES!I:I,"")),""))</f>
        <v/>
      </c>
      <c r="AI106" s="154" t="str">
        <f ca="1">IF(Table13[[#This Row],[TOTAL HIRE COST]]="","",Table13[[#This Row],[TOTAL HIRE COST]]+Table13[[#This Row],[DELIVERY COST]]+Table13[[#This Row],[COLLECTION COST]])</f>
        <v/>
      </c>
      <c r="AJ106" s="153" t="str">
        <f>IF(Table13[[#This Row],[Date to Hire (DH)]]="","",YEAR(Table13[[#This Row],[Date to Hire (DH)]]))</f>
        <v/>
      </c>
      <c r="AK106" s="153" t="str">
        <f>IF(Table13[[#This Row],[Date to Hire (DH)]]="","",MONTH(Table13[[#This Row],[Date to Hire (DH)]]))</f>
        <v/>
      </c>
      <c r="AL106" s="153" t="str">
        <f>IF(Table13[[#This Row],[Date to Hire (DH)]]="","",WEEKNUM(Table13[[#This Row],[Date to Hire (DH)]]))</f>
        <v/>
      </c>
      <c r="AM106" s="153" t="str">
        <f>TEXT(Table13[[#This Row],[YEAR]],"0000")&amp;"-"&amp;Table13[[#This Row],[MONTH]]</f>
        <v>-</v>
      </c>
      <c r="AN106" s="153" t="str">
        <f>IF(Table13[[#This Row],[Date of Planned Offhire (DoPO) / If Applicable]]="","",YEAR(Table13[[#This Row],[Date of Planned Offhire (DoPO) / If Applicable]]))</f>
        <v/>
      </c>
      <c r="AO106" s="153" t="str">
        <f>IF(Table13[[#This Row],[Date of Planned Offhire (DoPO) / If Applicable]]="","",MONTH(Table13[[#This Row],[Date of Planned Offhire (DoPO) / If Applicable]]))</f>
        <v/>
      </c>
      <c r="AP106" s="153" t="str">
        <f>IF(Table13[[#This Row],[Date of Planned Offhire (DoPO) / If Applicable]]="","",WEEKNUM(Table13[[#This Row],[Date of Planned Offhire (DoPO) / If Applicable]]))</f>
        <v/>
      </c>
      <c r="AQ106" s="153" t="str">
        <f>TEXT(Table13[[#This Row],[YEAR2]],"0000")&amp;"-"&amp;Table13[[#This Row],[MONTH2]]</f>
        <v>-</v>
      </c>
      <c r="AR106" s="153" t="str">
        <f>IF(Table13[[#This Row],[Actual Date to Offhire (ADtO)]]="","",YEAR(Table13[[#This Row],[Actual Date to Offhire (ADtO)]]))</f>
        <v/>
      </c>
      <c r="AS106" s="153" t="str">
        <f>IF(Table13[[#This Row],[Actual Date to Offhire (ADtO)]]="","",MONTH(Table13[[#This Row],[Actual Date to Offhire (ADtO)]]))</f>
        <v/>
      </c>
      <c r="AT106" s="153" t="str">
        <f>IF(Table13[[#This Row],[Actual Date to Offhire (ADtO)]]="","",WEEKNUM(Table13[[#This Row],[Actual Date to Offhire (ADtO)]]))</f>
        <v/>
      </c>
      <c r="AU106" s="153" t="str">
        <f>TEXT(Table13[[#This Row],[YEAR3]],"0000")&amp;"-"&amp;Table13[[#This Row],[MONTH3]]</f>
        <v>-</v>
      </c>
      <c r="AV106" s="153">
        <f>IF(E106="",0,
  IF('Delivery Report'!A$2*100+'Delivery Report'!A$5 &lt; YEAR(E106)*100+WEEKNUM(E106), 0,
    IF(OR(G106="", 'Delivery Report'!A$2*100+'Delivery Report'!A$5 &lt;= YEAR(G106)*100+WEEKNUM(G106)),
      IF(LOWER(W106)="hourly", U106*X106*56,
      IF(LOWER(W106)="daily", U106*X106*7,
      IF(LOWER(W106)="weekly", U106*X106,
      IF(LOWER(W106)="monthly", U106*X106*12/52,
      IF(LOWER(W106)="yearly", U106*X106/52,
      IF(LOWER(W106)="one-off", U106*X106,
      0)))))),
    0)))</f>
        <v>0</v>
      </c>
    </row>
    <row r="107" spans="1:48" x14ac:dyDescent="0.3">
      <c r="A107" s="24"/>
      <c r="E107" s="1"/>
      <c r="F107" s="1"/>
      <c r="G107" s="1"/>
      <c r="H107" s="164" t="s">
        <v>317</v>
      </c>
      <c r="P107" s="153" t="str">
        <f t="shared" si="13"/>
        <v/>
      </c>
      <c r="Q107" s="155">
        <f>IF(Table13[[#This Row],[HGVs (Collection)]]="",O107,Table13[[#This Row],[HGVs (Delivery)]]+Table13[[#This Row],[HGVs (Collection)]])</f>
        <v>0</v>
      </c>
      <c r="W107" s="153" t="str" cm="1">
        <f t="array" ref="W107">IF(Table13[[#This Row],[QUANTITY]]="","",IFERROR(IF(V107&lt;&gt;"",_xlfn.XLOOKUP(I107&amp;J107,PRICES!C:C&amp;PRICES!B:B,IF(PRICES!F:F&lt;&gt;"",PRICES!F:F,PRICES!E:E),"")),""))</f>
        <v/>
      </c>
      <c r="X107" s="154" t="str" cm="1">
        <f t="array" ref="X107">IF(Table13[[#This Row],[QUANTITY]]="","",IFERROR(IF(U107&lt;&gt;"",_xlfn.XLOOKUP(I107&amp;J107&amp;V107,PRICES!C:C&amp;PRICES!B:B&amp;PRICES!D:D,PRICES!G:G,"")),""))</f>
        <v/>
      </c>
      <c r="Y107" s="154" t="str">
        <f t="shared" ca="1" si="14"/>
        <v/>
      </c>
      <c r="Z107" s="154" t="str">
        <f t="shared" ca="1" si="15"/>
        <v/>
      </c>
      <c r="AA107" s="154" t="str">
        <f t="shared" ca="1" si="16"/>
        <v/>
      </c>
      <c r="AB107" s="154" t="str">
        <f t="shared" ca="1" si="17"/>
        <v/>
      </c>
      <c r="AC107" s="154" t="str">
        <f t="shared" ca="1" si="12"/>
        <v/>
      </c>
      <c r="AD107" s="154" t="str">
        <f>IF(Table13[[#This Row],[QUANTITY]]="","",
  IF(AND(Y107="",Z107="",AA107="",AB107="",AC107=""),
    U107*X107,
  ""))</f>
        <v/>
      </c>
      <c r="AE107" s="154" t="str">
        <f t="shared" ca="1" si="18"/>
        <v/>
      </c>
      <c r="AF107" s="154" t="str">
        <f t="shared" si="19"/>
        <v/>
      </c>
      <c r="AG107" s="154" t="str" cm="1">
        <f t="array" aca="1" ref="AG107" ca="1">IF(Table13[[#This Row],[TOTAL HIRE COST]]="","",IFERROR(IF(U107&lt;&gt;"",_xlfn.XLOOKUP(J107&amp;I107&amp;V107,PRICES!B:B&amp;PRICES!C:C&amp;PRICES!D:D,PRICES!H:H,"")),""))</f>
        <v/>
      </c>
      <c r="AH107" s="154" t="str" cm="1">
        <f t="array" aca="1" ref="AH107" ca="1">IF(Table13[[#This Row],[TOTAL HIRE COST]]="","",IFERROR(IF(U107&lt;&gt;"",_xlfn.XLOOKUP(J107&amp;I107&amp;V107,PRICES!B:B&amp;PRICES!C:C&amp;PRICES!D:D,PRICES!I:I,"")),""))</f>
        <v/>
      </c>
      <c r="AI107" s="154" t="str">
        <f ca="1">IF(Table13[[#This Row],[TOTAL HIRE COST]]="","",Table13[[#This Row],[TOTAL HIRE COST]]+Table13[[#This Row],[DELIVERY COST]]+Table13[[#This Row],[COLLECTION COST]])</f>
        <v/>
      </c>
      <c r="AJ107" s="153" t="str">
        <f>IF(Table13[[#This Row],[Date to Hire (DH)]]="","",YEAR(Table13[[#This Row],[Date to Hire (DH)]]))</f>
        <v/>
      </c>
      <c r="AK107" s="153" t="str">
        <f>IF(Table13[[#This Row],[Date to Hire (DH)]]="","",MONTH(Table13[[#This Row],[Date to Hire (DH)]]))</f>
        <v/>
      </c>
      <c r="AL107" s="153" t="str">
        <f>IF(Table13[[#This Row],[Date to Hire (DH)]]="","",WEEKNUM(Table13[[#This Row],[Date to Hire (DH)]]))</f>
        <v/>
      </c>
      <c r="AM107" s="153" t="str">
        <f>TEXT(Table13[[#This Row],[YEAR]],"0000")&amp;"-"&amp;Table13[[#This Row],[MONTH]]</f>
        <v>-</v>
      </c>
      <c r="AN107" s="153" t="str">
        <f>IF(Table13[[#This Row],[Date of Planned Offhire (DoPO) / If Applicable]]="","",YEAR(Table13[[#This Row],[Date of Planned Offhire (DoPO) / If Applicable]]))</f>
        <v/>
      </c>
      <c r="AO107" s="153" t="str">
        <f>IF(Table13[[#This Row],[Date of Planned Offhire (DoPO) / If Applicable]]="","",MONTH(Table13[[#This Row],[Date of Planned Offhire (DoPO) / If Applicable]]))</f>
        <v/>
      </c>
      <c r="AP107" s="153" t="str">
        <f>IF(Table13[[#This Row],[Date of Planned Offhire (DoPO) / If Applicable]]="","",WEEKNUM(Table13[[#This Row],[Date of Planned Offhire (DoPO) / If Applicable]]))</f>
        <v/>
      </c>
      <c r="AQ107" s="153" t="str">
        <f>TEXT(Table13[[#This Row],[YEAR2]],"0000")&amp;"-"&amp;Table13[[#This Row],[MONTH2]]</f>
        <v>-</v>
      </c>
      <c r="AR107" s="153" t="str">
        <f>IF(Table13[[#This Row],[Actual Date to Offhire (ADtO)]]="","",YEAR(Table13[[#This Row],[Actual Date to Offhire (ADtO)]]))</f>
        <v/>
      </c>
      <c r="AS107" s="153" t="str">
        <f>IF(Table13[[#This Row],[Actual Date to Offhire (ADtO)]]="","",MONTH(Table13[[#This Row],[Actual Date to Offhire (ADtO)]]))</f>
        <v/>
      </c>
      <c r="AT107" s="153" t="str">
        <f>IF(Table13[[#This Row],[Actual Date to Offhire (ADtO)]]="","",WEEKNUM(Table13[[#This Row],[Actual Date to Offhire (ADtO)]]))</f>
        <v/>
      </c>
      <c r="AU107" s="153" t="str">
        <f>TEXT(Table13[[#This Row],[YEAR3]],"0000")&amp;"-"&amp;Table13[[#This Row],[MONTH3]]</f>
        <v>-</v>
      </c>
      <c r="AV107" s="153">
        <f>IF(E107="",0,
  IF('Delivery Report'!A$2*100+'Delivery Report'!A$5 &lt; YEAR(E107)*100+WEEKNUM(E107), 0,
    IF(OR(G107="", 'Delivery Report'!A$2*100+'Delivery Report'!A$5 &lt;= YEAR(G107)*100+WEEKNUM(G107)),
      IF(LOWER(W107)="hourly", U107*X107*56,
      IF(LOWER(W107)="daily", U107*X107*7,
      IF(LOWER(W107)="weekly", U107*X107,
      IF(LOWER(W107)="monthly", U107*X107*12/52,
      IF(LOWER(W107)="yearly", U107*X107/52,
      IF(LOWER(W107)="one-off", U107*X107,
      0)))))),
    0)))</f>
        <v>0</v>
      </c>
    </row>
    <row r="108" spans="1:48" x14ac:dyDescent="0.3">
      <c r="A108" s="24"/>
      <c r="E108" s="1"/>
      <c r="F108" s="1"/>
      <c r="G108" s="1"/>
      <c r="H108" s="164" t="s">
        <v>317</v>
      </c>
      <c r="P108" s="153" t="str">
        <f t="shared" si="13"/>
        <v/>
      </c>
      <c r="Q108" s="155">
        <f>IF(Table13[[#This Row],[HGVs (Collection)]]="",O108,Table13[[#This Row],[HGVs (Delivery)]]+Table13[[#This Row],[HGVs (Collection)]])</f>
        <v>0</v>
      </c>
      <c r="W108" s="153" t="str" cm="1">
        <f t="array" ref="W108">IF(Table13[[#This Row],[QUANTITY]]="","",IFERROR(IF(V108&lt;&gt;"",_xlfn.XLOOKUP(I108&amp;J108,PRICES!C:C&amp;PRICES!B:B,IF(PRICES!F:F&lt;&gt;"",PRICES!F:F,PRICES!E:E),"")),""))</f>
        <v/>
      </c>
      <c r="X108" s="154" t="str" cm="1">
        <f t="array" ref="X108">IF(Table13[[#This Row],[QUANTITY]]="","",IFERROR(IF(U108&lt;&gt;"",_xlfn.XLOOKUP(I108&amp;J108&amp;V108,PRICES!C:C&amp;PRICES!B:B&amp;PRICES!D:D,PRICES!G:G,"")),""))</f>
        <v/>
      </c>
      <c r="Y108" s="154" t="str">
        <f t="shared" ca="1" si="14"/>
        <v/>
      </c>
      <c r="Z108" s="154" t="str">
        <f t="shared" ca="1" si="15"/>
        <v/>
      </c>
      <c r="AA108" s="154" t="str">
        <f t="shared" ca="1" si="16"/>
        <v/>
      </c>
      <c r="AB108" s="154" t="str">
        <f t="shared" ca="1" si="17"/>
        <v/>
      </c>
      <c r="AC108" s="154" t="str">
        <f t="shared" ca="1" si="12"/>
        <v/>
      </c>
      <c r="AD108" s="154" t="str">
        <f>IF(Table13[[#This Row],[QUANTITY]]="","",
  IF(AND(Y108="",Z108="",AA108="",AB108="",AC108=""),
    U108*X108,
  ""))</f>
        <v/>
      </c>
      <c r="AE108" s="154" t="str">
        <f t="shared" ca="1" si="18"/>
        <v/>
      </c>
      <c r="AF108" s="154" t="str">
        <f t="shared" si="19"/>
        <v/>
      </c>
      <c r="AG108" s="154" t="str" cm="1">
        <f t="array" aca="1" ref="AG108" ca="1">IF(Table13[[#This Row],[TOTAL HIRE COST]]="","",IFERROR(IF(U108&lt;&gt;"",_xlfn.XLOOKUP(J108&amp;I108&amp;V108,PRICES!B:B&amp;PRICES!C:C&amp;PRICES!D:D,PRICES!H:H,"")),""))</f>
        <v/>
      </c>
      <c r="AH108" s="154" t="str" cm="1">
        <f t="array" aca="1" ref="AH108" ca="1">IF(Table13[[#This Row],[TOTAL HIRE COST]]="","",IFERROR(IF(U108&lt;&gt;"",_xlfn.XLOOKUP(J108&amp;I108&amp;V108,PRICES!B:B&amp;PRICES!C:C&amp;PRICES!D:D,PRICES!I:I,"")),""))</f>
        <v/>
      </c>
      <c r="AI108" s="154" t="str">
        <f ca="1">IF(Table13[[#This Row],[TOTAL HIRE COST]]="","",Table13[[#This Row],[TOTAL HIRE COST]]+Table13[[#This Row],[DELIVERY COST]]+Table13[[#This Row],[COLLECTION COST]])</f>
        <v/>
      </c>
      <c r="AJ108" s="153" t="str">
        <f>IF(Table13[[#This Row],[Date to Hire (DH)]]="","",YEAR(Table13[[#This Row],[Date to Hire (DH)]]))</f>
        <v/>
      </c>
      <c r="AK108" s="153" t="str">
        <f>IF(Table13[[#This Row],[Date to Hire (DH)]]="","",MONTH(Table13[[#This Row],[Date to Hire (DH)]]))</f>
        <v/>
      </c>
      <c r="AL108" s="153" t="str">
        <f>IF(Table13[[#This Row],[Date to Hire (DH)]]="","",WEEKNUM(Table13[[#This Row],[Date to Hire (DH)]]))</f>
        <v/>
      </c>
      <c r="AM108" s="153" t="str">
        <f>TEXT(Table13[[#This Row],[YEAR]],"0000")&amp;"-"&amp;Table13[[#This Row],[MONTH]]</f>
        <v>-</v>
      </c>
      <c r="AN108" s="153" t="str">
        <f>IF(Table13[[#This Row],[Date of Planned Offhire (DoPO) / If Applicable]]="","",YEAR(Table13[[#This Row],[Date of Planned Offhire (DoPO) / If Applicable]]))</f>
        <v/>
      </c>
      <c r="AO108" s="153" t="str">
        <f>IF(Table13[[#This Row],[Date of Planned Offhire (DoPO) / If Applicable]]="","",MONTH(Table13[[#This Row],[Date of Planned Offhire (DoPO) / If Applicable]]))</f>
        <v/>
      </c>
      <c r="AP108" s="153" t="str">
        <f>IF(Table13[[#This Row],[Date of Planned Offhire (DoPO) / If Applicable]]="","",WEEKNUM(Table13[[#This Row],[Date of Planned Offhire (DoPO) / If Applicable]]))</f>
        <v/>
      </c>
      <c r="AQ108" s="153" t="str">
        <f>TEXT(Table13[[#This Row],[YEAR2]],"0000")&amp;"-"&amp;Table13[[#This Row],[MONTH2]]</f>
        <v>-</v>
      </c>
      <c r="AR108" s="153" t="str">
        <f>IF(Table13[[#This Row],[Actual Date to Offhire (ADtO)]]="","",YEAR(Table13[[#This Row],[Actual Date to Offhire (ADtO)]]))</f>
        <v/>
      </c>
      <c r="AS108" s="153" t="str">
        <f>IF(Table13[[#This Row],[Actual Date to Offhire (ADtO)]]="","",MONTH(Table13[[#This Row],[Actual Date to Offhire (ADtO)]]))</f>
        <v/>
      </c>
      <c r="AT108" s="153" t="str">
        <f>IF(Table13[[#This Row],[Actual Date to Offhire (ADtO)]]="","",WEEKNUM(Table13[[#This Row],[Actual Date to Offhire (ADtO)]]))</f>
        <v/>
      </c>
      <c r="AU108" s="153" t="str">
        <f>TEXT(Table13[[#This Row],[YEAR3]],"0000")&amp;"-"&amp;Table13[[#This Row],[MONTH3]]</f>
        <v>-</v>
      </c>
      <c r="AV108" s="153">
        <f>IF(E108="",0,
  IF('Delivery Report'!A$2*100+'Delivery Report'!A$5 &lt; YEAR(E108)*100+WEEKNUM(E108), 0,
    IF(OR(G108="", 'Delivery Report'!A$2*100+'Delivery Report'!A$5 &lt;= YEAR(G108)*100+WEEKNUM(G108)),
      IF(LOWER(W108)="hourly", U108*X108*56,
      IF(LOWER(W108)="daily", U108*X108*7,
      IF(LOWER(W108)="weekly", U108*X108,
      IF(LOWER(W108)="monthly", U108*X108*12/52,
      IF(LOWER(W108)="yearly", U108*X108/52,
      IF(LOWER(W108)="one-off", U108*X108,
      0)))))),
    0)))</f>
        <v>0</v>
      </c>
    </row>
    <row r="109" spans="1:48" x14ac:dyDescent="0.3">
      <c r="A109" s="24"/>
      <c r="E109" s="1"/>
      <c r="F109" s="1"/>
      <c r="G109" s="1"/>
      <c r="H109" s="164" t="s">
        <v>317</v>
      </c>
      <c r="P109" s="153" t="str">
        <f t="shared" si="13"/>
        <v/>
      </c>
      <c r="Q109" s="155">
        <f>IF(Table13[[#This Row],[HGVs (Collection)]]="",O109,Table13[[#This Row],[HGVs (Delivery)]]+Table13[[#This Row],[HGVs (Collection)]])</f>
        <v>0</v>
      </c>
      <c r="W109" s="153" t="str" cm="1">
        <f t="array" ref="W109">IF(Table13[[#This Row],[QUANTITY]]="","",IFERROR(IF(V109&lt;&gt;"",_xlfn.XLOOKUP(I109&amp;J109,PRICES!C:C&amp;PRICES!B:B,IF(PRICES!F:F&lt;&gt;"",PRICES!F:F,PRICES!E:E),"")),""))</f>
        <v/>
      </c>
      <c r="X109" s="154" t="str" cm="1">
        <f t="array" ref="X109">IF(Table13[[#This Row],[QUANTITY]]="","",IFERROR(IF(U109&lt;&gt;"",_xlfn.XLOOKUP(I109&amp;J109&amp;V109,PRICES!C:C&amp;PRICES!B:B&amp;PRICES!D:D,PRICES!G:G,"")),""))</f>
        <v/>
      </c>
      <c r="Y109" s="154" t="str">
        <f t="shared" ca="1" si="14"/>
        <v/>
      </c>
      <c r="Z109" s="154" t="str">
        <f t="shared" ca="1" si="15"/>
        <v/>
      </c>
      <c r="AA109" s="154" t="str">
        <f t="shared" ca="1" si="16"/>
        <v/>
      </c>
      <c r="AB109" s="154" t="str">
        <f t="shared" ca="1" si="17"/>
        <v/>
      </c>
      <c r="AC109" s="154" t="str">
        <f t="shared" ca="1" si="12"/>
        <v/>
      </c>
      <c r="AD109" s="154" t="str">
        <f>IF(Table13[[#This Row],[QUANTITY]]="","",
  IF(AND(Y109="",Z109="",AA109="",AB109="",AC109=""),
    U109*X109,
  ""))</f>
        <v/>
      </c>
      <c r="AE109" s="154" t="str">
        <f t="shared" ca="1" si="18"/>
        <v/>
      </c>
      <c r="AF109" s="154" t="str">
        <f t="shared" si="19"/>
        <v/>
      </c>
      <c r="AG109" s="154" t="str" cm="1">
        <f t="array" aca="1" ref="AG109" ca="1">IF(Table13[[#This Row],[TOTAL HIRE COST]]="","",IFERROR(IF(U109&lt;&gt;"",_xlfn.XLOOKUP(J109&amp;I109&amp;V109,PRICES!B:B&amp;PRICES!C:C&amp;PRICES!D:D,PRICES!H:H,"")),""))</f>
        <v/>
      </c>
      <c r="AH109" s="154" t="str" cm="1">
        <f t="array" aca="1" ref="AH109" ca="1">IF(Table13[[#This Row],[TOTAL HIRE COST]]="","",IFERROR(IF(U109&lt;&gt;"",_xlfn.XLOOKUP(J109&amp;I109&amp;V109,PRICES!B:B&amp;PRICES!C:C&amp;PRICES!D:D,PRICES!I:I,"")),""))</f>
        <v/>
      </c>
      <c r="AI109" s="154" t="str">
        <f ca="1">IF(Table13[[#This Row],[TOTAL HIRE COST]]="","",Table13[[#This Row],[TOTAL HIRE COST]]+Table13[[#This Row],[DELIVERY COST]]+Table13[[#This Row],[COLLECTION COST]])</f>
        <v/>
      </c>
      <c r="AJ109" s="153" t="str">
        <f>IF(Table13[[#This Row],[Date to Hire (DH)]]="","",YEAR(Table13[[#This Row],[Date to Hire (DH)]]))</f>
        <v/>
      </c>
      <c r="AK109" s="153" t="str">
        <f>IF(Table13[[#This Row],[Date to Hire (DH)]]="","",MONTH(Table13[[#This Row],[Date to Hire (DH)]]))</f>
        <v/>
      </c>
      <c r="AL109" s="153" t="str">
        <f>IF(Table13[[#This Row],[Date to Hire (DH)]]="","",WEEKNUM(Table13[[#This Row],[Date to Hire (DH)]]))</f>
        <v/>
      </c>
      <c r="AM109" s="153" t="str">
        <f>TEXT(Table13[[#This Row],[YEAR]],"0000")&amp;"-"&amp;Table13[[#This Row],[MONTH]]</f>
        <v>-</v>
      </c>
      <c r="AN109" s="153" t="str">
        <f>IF(Table13[[#This Row],[Date of Planned Offhire (DoPO) / If Applicable]]="","",YEAR(Table13[[#This Row],[Date of Planned Offhire (DoPO) / If Applicable]]))</f>
        <v/>
      </c>
      <c r="AO109" s="153" t="str">
        <f>IF(Table13[[#This Row],[Date of Planned Offhire (DoPO) / If Applicable]]="","",MONTH(Table13[[#This Row],[Date of Planned Offhire (DoPO) / If Applicable]]))</f>
        <v/>
      </c>
      <c r="AP109" s="153" t="str">
        <f>IF(Table13[[#This Row],[Date of Planned Offhire (DoPO) / If Applicable]]="","",WEEKNUM(Table13[[#This Row],[Date of Planned Offhire (DoPO) / If Applicable]]))</f>
        <v/>
      </c>
      <c r="AQ109" s="153" t="str">
        <f>TEXT(Table13[[#This Row],[YEAR2]],"0000")&amp;"-"&amp;Table13[[#This Row],[MONTH2]]</f>
        <v>-</v>
      </c>
      <c r="AR109" s="153" t="str">
        <f>IF(Table13[[#This Row],[Actual Date to Offhire (ADtO)]]="","",YEAR(Table13[[#This Row],[Actual Date to Offhire (ADtO)]]))</f>
        <v/>
      </c>
      <c r="AS109" s="153" t="str">
        <f>IF(Table13[[#This Row],[Actual Date to Offhire (ADtO)]]="","",MONTH(Table13[[#This Row],[Actual Date to Offhire (ADtO)]]))</f>
        <v/>
      </c>
      <c r="AT109" s="153" t="str">
        <f>IF(Table13[[#This Row],[Actual Date to Offhire (ADtO)]]="","",WEEKNUM(Table13[[#This Row],[Actual Date to Offhire (ADtO)]]))</f>
        <v/>
      </c>
      <c r="AU109" s="153" t="str">
        <f>TEXT(Table13[[#This Row],[YEAR3]],"0000")&amp;"-"&amp;Table13[[#This Row],[MONTH3]]</f>
        <v>-</v>
      </c>
      <c r="AV109" s="153">
        <f>IF(E109="",0,
  IF('Delivery Report'!A$2*100+'Delivery Report'!A$5 &lt; YEAR(E109)*100+WEEKNUM(E109), 0,
    IF(OR(G109="", 'Delivery Report'!A$2*100+'Delivery Report'!A$5 &lt;= YEAR(G109)*100+WEEKNUM(G109)),
      IF(LOWER(W109)="hourly", U109*X109*56,
      IF(LOWER(W109)="daily", U109*X109*7,
      IF(LOWER(W109)="weekly", U109*X109,
      IF(LOWER(W109)="monthly", U109*X109*12/52,
      IF(LOWER(W109)="yearly", U109*X109/52,
      IF(LOWER(W109)="one-off", U109*X109,
      0)))))),
    0)))</f>
        <v>0</v>
      </c>
    </row>
    <row r="110" spans="1:48" x14ac:dyDescent="0.3">
      <c r="A110" s="24"/>
      <c r="E110" s="1"/>
      <c r="F110" s="1"/>
      <c r="G110" s="1"/>
      <c r="H110" s="164" t="s">
        <v>317</v>
      </c>
      <c r="P110" s="153" t="str">
        <f t="shared" si="13"/>
        <v/>
      </c>
      <c r="Q110" s="155">
        <f>IF(Table13[[#This Row],[HGVs (Collection)]]="",O110,Table13[[#This Row],[HGVs (Delivery)]]+Table13[[#This Row],[HGVs (Collection)]])</f>
        <v>0</v>
      </c>
      <c r="W110" s="153" t="str" cm="1">
        <f t="array" ref="W110">IF(Table13[[#This Row],[QUANTITY]]="","",IFERROR(IF(V110&lt;&gt;"",_xlfn.XLOOKUP(I110&amp;J110,PRICES!C:C&amp;PRICES!B:B,IF(PRICES!F:F&lt;&gt;"",PRICES!F:F,PRICES!E:E),"")),""))</f>
        <v/>
      </c>
      <c r="X110" s="154" t="str" cm="1">
        <f t="array" ref="X110">IF(Table13[[#This Row],[QUANTITY]]="","",IFERROR(IF(U110&lt;&gt;"",_xlfn.XLOOKUP(I110&amp;J110&amp;V110,PRICES!C:C&amp;PRICES!B:B&amp;PRICES!D:D,PRICES!G:G,"")),""))</f>
        <v/>
      </c>
      <c r="Y110" s="154" t="str">
        <f t="shared" ca="1" si="14"/>
        <v/>
      </c>
      <c r="Z110" s="154" t="str">
        <f t="shared" ca="1" si="15"/>
        <v/>
      </c>
      <c r="AA110" s="154" t="str">
        <f t="shared" ca="1" si="16"/>
        <v/>
      </c>
      <c r="AB110" s="154" t="str">
        <f t="shared" ca="1" si="17"/>
        <v/>
      </c>
      <c r="AC110" s="154" t="str">
        <f t="shared" ca="1" si="12"/>
        <v/>
      </c>
      <c r="AD110" s="154" t="str">
        <f>IF(Table13[[#This Row],[QUANTITY]]="","",
  IF(AND(Y110="",Z110="",AA110="",AB110="",AC110=""),
    U110*X110,
  ""))</f>
        <v/>
      </c>
      <c r="AE110" s="154" t="str">
        <f t="shared" ca="1" si="18"/>
        <v/>
      </c>
      <c r="AF110" s="154" t="str">
        <f t="shared" si="19"/>
        <v/>
      </c>
      <c r="AG110" s="154" t="str" cm="1">
        <f t="array" aca="1" ref="AG110" ca="1">IF(Table13[[#This Row],[TOTAL HIRE COST]]="","",IFERROR(IF(U110&lt;&gt;"",_xlfn.XLOOKUP(J110&amp;I110&amp;V110,PRICES!B:B&amp;PRICES!C:C&amp;PRICES!D:D,PRICES!H:H,"")),""))</f>
        <v/>
      </c>
      <c r="AH110" s="154" t="str" cm="1">
        <f t="array" aca="1" ref="AH110" ca="1">IF(Table13[[#This Row],[TOTAL HIRE COST]]="","",IFERROR(IF(U110&lt;&gt;"",_xlfn.XLOOKUP(J110&amp;I110&amp;V110,PRICES!B:B&amp;PRICES!C:C&amp;PRICES!D:D,PRICES!I:I,"")),""))</f>
        <v/>
      </c>
      <c r="AI110" s="154" t="str">
        <f ca="1">IF(Table13[[#This Row],[TOTAL HIRE COST]]="","",Table13[[#This Row],[TOTAL HIRE COST]]+Table13[[#This Row],[DELIVERY COST]]+Table13[[#This Row],[COLLECTION COST]])</f>
        <v/>
      </c>
      <c r="AJ110" s="153" t="str">
        <f>IF(Table13[[#This Row],[Date to Hire (DH)]]="","",YEAR(Table13[[#This Row],[Date to Hire (DH)]]))</f>
        <v/>
      </c>
      <c r="AK110" s="153" t="str">
        <f>IF(Table13[[#This Row],[Date to Hire (DH)]]="","",MONTH(Table13[[#This Row],[Date to Hire (DH)]]))</f>
        <v/>
      </c>
      <c r="AL110" s="153" t="str">
        <f>IF(Table13[[#This Row],[Date to Hire (DH)]]="","",WEEKNUM(Table13[[#This Row],[Date to Hire (DH)]]))</f>
        <v/>
      </c>
      <c r="AM110" s="153" t="str">
        <f>TEXT(Table13[[#This Row],[YEAR]],"0000")&amp;"-"&amp;Table13[[#This Row],[MONTH]]</f>
        <v>-</v>
      </c>
      <c r="AN110" s="153" t="str">
        <f>IF(Table13[[#This Row],[Date of Planned Offhire (DoPO) / If Applicable]]="","",YEAR(Table13[[#This Row],[Date of Planned Offhire (DoPO) / If Applicable]]))</f>
        <v/>
      </c>
      <c r="AO110" s="153" t="str">
        <f>IF(Table13[[#This Row],[Date of Planned Offhire (DoPO) / If Applicable]]="","",MONTH(Table13[[#This Row],[Date of Planned Offhire (DoPO) / If Applicable]]))</f>
        <v/>
      </c>
      <c r="AP110" s="153" t="str">
        <f>IF(Table13[[#This Row],[Date of Planned Offhire (DoPO) / If Applicable]]="","",WEEKNUM(Table13[[#This Row],[Date of Planned Offhire (DoPO) / If Applicable]]))</f>
        <v/>
      </c>
      <c r="AQ110" s="153" t="str">
        <f>TEXT(Table13[[#This Row],[YEAR2]],"0000")&amp;"-"&amp;Table13[[#This Row],[MONTH2]]</f>
        <v>-</v>
      </c>
      <c r="AR110" s="153" t="str">
        <f>IF(Table13[[#This Row],[Actual Date to Offhire (ADtO)]]="","",YEAR(Table13[[#This Row],[Actual Date to Offhire (ADtO)]]))</f>
        <v/>
      </c>
      <c r="AS110" s="153" t="str">
        <f>IF(Table13[[#This Row],[Actual Date to Offhire (ADtO)]]="","",MONTH(Table13[[#This Row],[Actual Date to Offhire (ADtO)]]))</f>
        <v/>
      </c>
      <c r="AT110" s="153" t="str">
        <f>IF(Table13[[#This Row],[Actual Date to Offhire (ADtO)]]="","",WEEKNUM(Table13[[#This Row],[Actual Date to Offhire (ADtO)]]))</f>
        <v/>
      </c>
      <c r="AU110" s="153" t="str">
        <f>TEXT(Table13[[#This Row],[YEAR3]],"0000")&amp;"-"&amp;Table13[[#This Row],[MONTH3]]</f>
        <v>-</v>
      </c>
      <c r="AV110" s="153">
        <f>IF(E110="",0,
  IF('Delivery Report'!A$2*100+'Delivery Report'!A$5 &lt; YEAR(E110)*100+WEEKNUM(E110), 0,
    IF(OR(G110="", 'Delivery Report'!A$2*100+'Delivery Report'!A$5 &lt;= YEAR(G110)*100+WEEKNUM(G110)),
      IF(LOWER(W110)="hourly", U110*X110*56,
      IF(LOWER(W110)="daily", U110*X110*7,
      IF(LOWER(W110)="weekly", U110*X110,
      IF(LOWER(W110)="monthly", U110*X110*12/52,
      IF(LOWER(W110)="yearly", U110*X110/52,
      IF(LOWER(W110)="one-off", U110*X110,
      0)))))),
    0)))</f>
        <v>0</v>
      </c>
    </row>
    <row r="111" spans="1:48" x14ac:dyDescent="0.3">
      <c r="A111" s="24"/>
      <c r="E111" s="1"/>
      <c r="F111" s="1"/>
      <c r="G111" s="1"/>
      <c r="H111" s="164" t="s">
        <v>317</v>
      </c>
      <c r="P111" s="153" t="str">
        <f t="shared" si="13"/>
        <v/>
      </c>
      <c r="Q111" s="155">
        <f>IF(Table13[[#This Row],[HGVs (Collection)]]="",O111,Table13[[#This Row],[HGVs (Delivery)]]+Table13[[#This Row],[HGVs (Collection)]])</f>
        <v>0</v>
      </c>
      <c r="W111" s="153" t="str" cm="1">
        <f t="array" ref="W111">IF(Table13[[#This Row],[QUANTITY]]="","",IFERROR(IF(V111&lt;&gt;"",_xlfn.XLOOKUP(I111&amp;J111,PRICES!C:C&amp;PRICES!B:B,IF(PRICES!F:F&lt;&gt;"",PRICES!F:F,PRICES!E:E),"")),""))</f>
        <v/>
      </c>
      <c r="X111" s="154" t="str" cm="1">
        <f t="array" ref="X111">IF(Table13[[#This Row],[QUANTITY]]="","",IFERROR(IF(U111&lt;&gt;"",_xlfn.XLOOKUP(I111&amp;J111&amp;V111,PRICES!C:C&amp;PRICES!B:B&amp;PRICES!D:D,PRICES!G:G,"")),""))</f>
        <v/>
      </c>
      <c r="Y111" s="154" t="str">
        <f t="shared" ca="1" si="14"/>
        <v/>
      </c>
      <c r="Z111" s="154" t="str">
        <f t="shared" ca="1" si="15"/>
        <v/>
      </c>
      <c r="AA111" s="154" t="str">
        <f t="shared" ca="1" si="16"/>
        <v/>
      </c>
      <c r="AB111" s="154" t="str">
        <f t="shared" ca="1" si="17"/>
        <v/>
      </c>
      <c r="AC111" s="154" t="str">
        <f t="shared" ca="1" si="12"/>
        <v/>
      </c>
      <c r="AD111" s="154" t="str">
        <f>IF(Table13[[#This Row],[QUANTITY]]="","",
  IF(AND(Y111="",Z111="",AA111="",AB111="",AC111=""),
    U111*X111,
  ""))</f>
        <v/>
      </c>
      <c r="AE111" s="154" t="str">
        <f t="shared" ca="1" si="18"/>
        <v/>
      </c>
      <c r="AF111" s="154" t="str">
        <f t="shared" si="19"/>
        <v/>
      </c>
      <c r="AG111" s="154" t="str" cm="1">
        <f t="array" aca="1" ref="AG111" ca="1">IF(Table13[[#This Row],[TOTAL HIRE COST]]="","",IFERROR(IF(U111&lt;&gt;"",_xlfn.XLOOKUP(J111&amp;I111&amp;V111,PRICES!B:B&amp;PRICES!C:C&amp;PRICES!D:D,PRICES!H:H,"")),""))</f>
        <v/>
      </c>
      <c r="AH111" s="154" t="str" cm="1">
        <f t="array" aca="1" ref="AH111" ca="1">IF(Table13[[#This Row],[TOTAL HIRE COST]]="","",IFERROR(IF(U111&lt;&gt;"",_xlfn.XLOOKUP(J111&amp;I111&amp;V111,PRICES!B:B&amp;PRICES!C:C&amp;PRICES!D:D,PRICES!I:I,"")),""))</f>
        <v/>
      </c>
      <c r="AI111" s="154" t="str">
        <f ca="1">IF(Table13[[#This Row],[TOTAL HIRE COST]]="","",Table13[[#This Row],[TOTAL HIRE COST]]+Table13[[#This Row],[DELIVERY COST]]+Table13[[#This Row],[COLLECTION COST]])</f>
        <v/>
      </c>
      <c r="AJ111" s="153" t="str">
        <f>IF(Table13[[#This Row],[Date to Hire (DH)]]="","",YEAR(Table13[[#This Row],[Date to Hire (DH)]]))</f>
        <v/>
      </c>
      <c r="AK111" s="153" t="str">
        <f>IF(Table13[[#This Row],[Date to Hire (DH)]]="","",MONTH(Table13[[#This Row],[Date to Hire (DH)]]))</f>
        <v/>
      </c>
      <c r="AL111" s="153" t="str">
        <f>IF(Table13[[#This Row],[Date to Hire (DH)]]="","",WEEKNUM(Table13[[#This Row],[Date to Hire (DH)]]))</f>
        <v/>
      </c>
      <c r="AM111" s="153" t="str">
        <f>TEXT(Table13[[#This Row],[YEAR]],"0000")&amp;"-"&amp;Table13[[#This Row],[MONTH]]</f>
        <v>-</v>
      </c>
      <c r="AN111" s="153" t="str">
        <f>IF(Table13[[#This Row],[Date of Planned Offhire (DoPO) / If Applicable]]="","",YEAR(Table13[[#This Row],[Date of Planned Offhire (DoPO) / If Applicable]]))</f>
        <v/>
      </c>
      <c r="AO111" s="153" t="str">
        <f>IF(Table13[[#This Row],[Date of Planned Offhire (DoPO) / If Applicable]]="","",MONTH(Table13[[#This Row],[Date of Planned Offhire (DoPO) / If Applicable]]))</f>
        <v/>
      </c>
      <c r="AP111" s="153" t="str">
        <f>IF(Table13[[#This Row],[Date of Planned Offhire (DoPO) / If Applicable]]="","",WEEKNUM(Table13[[#This Row],[Date of Planned Offhire (DoPO) / If Applicable]]))</f>
        <v/>
      </c>
      <c r="AQ111" s="153" t="str">
        <f>TEXT(Table13[[#This Row],[YEAR2]],"0000")&amp;"-"&amp;Table13[[#This Row],[MONTH2]]</f>
        <v>-</v>
      </c>
      <c r="AR111" s="153" t="str">
        <f>IF(Table13[[#This Row],[Actual Date to Offhire (ADtO)]]="","",YEAR(Table13[[#This Row],[Actual Date to Offhire (ADtO)]]))</f>
        <v/>
      </c>
      <c r="AS111" s="153" t="str">
        <f>IF(Table13[[#This Row],[Actual Date to Offhire (ADtO)]]="","",MONTH(Table13[[#This Row],[Actual Date to Offhire (ADtO)]]))</f>
        <v/>
      </c>
      <c r="AT111" s="153" t="str">
        <f>IF(Table13[[#This Row],[Actual Date to Offhire (ADtO)]]="","",WEEKNUM(Table13[[#This Row],[Actual Date to Offhire (ADtO)]]))</f>
        <v/>
      </c>
      <c r="AU111" s="153" t="str">
        <f>TEXT(Table13[[#This Row],[YEAR3]],"0000")&amp;"-"&amp;Table13[[#This Row],[MONTH3]]</f>
        <v>-</v>
      </c>
      <c r="AV111" s="153">
        <f>IF(E111="",0,
  IF('Delivery Report'!A$2*100+'Delivery Report'!A$5 &lt; YEAR(E111)*100+WEEKNUM(E111), 0,
    IF(OR(G111="", 'Delivery Report'!A$2*100+'Delivery Report'!A$5 &lt;= YEAR(G111)*100+WEEKNUM(G111)),
      IF(LOWER(W111)="hourly", U111*X111*56,
      IF(LOWER(W111)="daily", U111*X111*7,
      IF(LOWER(W111)="weekly", U111*X111,
      IF(LOWER(W111)="monthly", U111*X111*12/52,
      IF(LOWER(W111)="yearly", U111*X111/52,
      IF(LOWER(W111)="one-off", U111*X111,
      0)))))),
    0)))</f>
        <v>0</v>
      </c>
    </row>
    <row r="112" spans="1:48" x14ac:dyDescent="0.3">
      <c r="A112" s="24"/>
      <c r="E112" s="1"/>
      <c r="F112" s="1"/>
      <c r="G112" s="1"/>
      <c r="H112" s="164" t="s">
        <v>317</v>
      </c>
      <c r="P112" s="153" t="str">
        <f t="shared" si="13"/>
        <v/>
      </c>
      <c r="Q112" s="155">
        <f>IF(Table13[[#This Row],[HGVs (Collection)]]="",O112,Table13[[#This Row],[HGVs (Delivery)]]+Table13[[#This Row],[HGVs (Collection)]])</f>
        <v>0</v>
      </c>
      <c r="W112" s="153" t="str" cm="1">
        <f t="array" ref="W112">IF(Table13[[#This Row],[QUANTITY]]="","",IFERROR(IF(V112&lt;&gt;"",_xlfn.XLOOKUP(I112&amp;J112,PRICES!C:C&amp;PRICES!B:B,IF(PRICES!F:F&lt;&gt;"",PRICES!F:F,PRICES!E:E),"")),""))</f>
        <v/>
      </c>
      <c r="X112" s="154" t="str" cm="1">
        <f t="array" ref="X112">IF(Table13[[#This Row],[QUANTITY]]="","",IFERROR(IF(U112&lt;&gt;"",_xlfn.XLOOKUP(I112&amp;J112&amp;V112,PRICES!C:C&amp;PRICES!B:B&amp;PRICES!D:D,PRICES!G:G,"")),""))</f>
        <v/>
      </c>
      <c r="Y112" s="154" t="str">
        <f t="shared" ca="1" si="14"/>
        <v/>
      </c>
      <c r="Z112" s="154" t="str">
        <f t="shared" ca="1" si="15"/>
        <v/>
      </c>
      <c r="AA112" s="154" t="str">
        <f t="shared" ca="1" si="16"/>
        <v/>
      </c>
      <c r="AB112" s="154" t="str">
        <f t="shared" ca="1" si="17"/>
        <v/>
      </c>
      <c r="AC112" s="154" t="str">
        <f t="shared" ca="1" si="12"/>
        <v/>
      </c>
      <c r="AD112" s="154" t="str">
        <f>IF(Table13[[#This Row],[QUANTITY]]="","",
  IF(AND(Y112="",Z112="",AA112="",AB112="",AC112=""),
    U112*X112,
  ""))</f>
        <v/>
      </c>
      <c r="AE112" s="154" t="str">
        <f t="shared" ca="1" si="18"/>
        <v/>
      </c>
      <c r="AF112" s="154" t="str">
        <f t="shared" si="19"/>
        <v/>
      </c>
      <c r="AG112" s="154" t="str" cm="1">
        <f t="array" aca="1" ref="AG112" ca="1">IF(Table13[[#This Row],[TOTAL HIRE COST]]="","",IFERROR(IF(U112&lt;&gt;"",_xlfn.XLOOKUP(J112&amp;I112&amp;V112,PRICES!B:B&amp;PRICES!C:C&amp;PRICES!D:D,PRICES!H:H,"")),""))</f>
        <v/>
      </c>
      <c r="AH112" s="154" t="str" cm="1">
        <f t="array" aca="1" ref="AH112" ca="1">IF(Table13[[#This Row],[TOTAL HIRE COST]]="","",IFERROR(IF(U112&lt;&gt;"",_xlfn.XLOOKUP(J112&amp;I112&amp;V112,PRICES!B:B&amp;PRICES!C:C&amp;PRICES!D:D,PRICES!I:I,"")),""))</f>
        <v/>
      </c>
      <c r="AI112" s="154" t="str">
        <f ca="1">IF(Table13[[#This Row],[TOTAL HIRE COST]]="","",Table13[[#This Row],[TOTAL HIRE COST]]+Table13[[#This Row],[DELIVERY COST]]+Table13[[#This Row],[COLLECTION COST]])</f>
        <v/>
      </c>
      <c r="AJ112" s="153" t="str">
        <f>IF(Table13[[#This Row],[Date to Hire (DH)]]="","",YEAR(Table13[[#This Row],[Date to Hire (DH)]]))</f>
        <v/>
      </c>
      <c r="AK112" s="153" t="str">
        <f>IF(Table13[[#This Row],[Date to Hire (DH)]]="","",MONTH(Table13[[#This Row],[Date to Hire (DH)]]))</f>
        <v/>
      </c>
      <c r="AL112" s="153" t="str">
        <f>IF(Table13[[#This Row],[Date to Hire (DH)]]="","",WEEKNUM(Table13[[#This Row],[Date to Hire (DH)]]))</f>
        <v/>
      </c>
      <c r="AM112" s="153" t="str">
        <f>TEXT(Table13[[#This Row],[YEAR]],"0000")&amp;"-"&amp;Table13[[#This Row],[MONTH]]</f>
        <v>-</v>
      </c>
      <c r="AN112" s="153" t="str">
        <f>IF(Table13[[#This Row],[Date of Planned Offhire (DoPO) / If Applicable]]="","",YEAR(Table13[[#This Row],[Date of Planned Offhire (DoPO) / If Applicable]]))</f>
        <v/>
      </c>
      <c r="AO112" s="153" t="str">
        <f>IF(Table13[[#This Row],[Date of Planned Offhire (DoPO) / If Applicable]]="","",MONTH(Table13[[#This Row],[Date of Planned Offhire (DoPO) / If Applicable]]))</f>
        <v/>
      </c>
      <c r="AP112" s="153" t="str">
        <f>IF(Table13[[#This Row],[Date of Planned Offhire (DoPO) / If Applicable]]="","",WEEKNUM(Table13[[#This Row],[Date of Planned Offhire (DoPO) / If Applicable]]))</f>
        <v/>
      </c>
      <c r="AQ112" s="153" t="str">
        <f>TEXT(Table13[[#This Row],[YEAR2]],"0000")&amp;"-"&amp;Table13[[#This Row],[MONTH2]]</f>
        <v>-</v>
      </c>
      <c r="AR112" s="153" t="str">
        <f>IF(Table13[[#This Row],[Actual Date to Offhire (ADtO)]]="","",YEAR(Table13[[#This Row],[Actual Date to Offhire (ADtO)]]))</f>
        <v/>
      </c>
      <c r="AS112" s="153" t="str">
        <f>IF(Table13[[#This Row],[Actual Date to Offhire (ADtO)]]="","",MONTH(Table13[[#This Row],[Actual Date to Offhire (ADtO)]]))</f>
        <v/>
      </c>
      <c r="AT112" s="153" t="str">
        <f>IF(Table13[[#This Row],[Actual Date to Offhire (ADtO)]]="","",WEEKNUM(Table13[[#This Row],[Actual Date to Offhire (ADtO)]]))</f>
        <v/>
      </c>
      <c r="AU112" s="153" t="str">
        <f>TEXT(Table13[[#This Row],[YEAR3]],"0000")&amp;"-"&amp;Table13[[#This Row],[MONTH3]]</f>
        <v>-</v>
      </c>
      <c r="AV112" s="153">
        <f>IF(E112="",0,
  IF('Delivery Report'!A$2*100+'Delivery Report'!A$5 &lt; YEAR(E112)*100+WEEKNUM(E112), 0,
    IF(OR(G112="", 'Delivery Report'!A$2*100+'Delivery Report'!A$5 &lt;= YEAR(G112)*100+WEEKNUM(G112)),
      IF(LOWER(W112)="hourly", U112*X112*56,
      IF(LOWER(W112)="daily", U112*X112*7,
      IF(LOWER(W112)="weekly", U112*X112,
      IF(LOWER(W112)="monthly", U112*X112*12/52,
      IF(LOWER(W112)="yearly", U112*X112/52,
      IF(LOWER(W112)="one-off", U112*X112,
      0)))))),
    0)))</f>
        <v>0</v>
      </c>
    </row>
    <row r="113" spans="1:48" x14ac:dyDescent="0.3">
      <c r="A113" s="24"/>
      <c r="E113" s="1"/>
      <c r="F113" s="1"/>
      <c r="G113" s="1"/>
      <c r="H113" s="164" t="s">
        <v>317</v>
      </c>
      <c r="P113" s="153" t="str">
        <f t="shared" si="13"/>
        <v/>
      </c>
      <c r="Q113" s="155">
        <f>IF(Table13[[#This Row],[HGVs (Collection)]]="",O113,Table13[[#This Row],[HGVs (Delivery)]]+Table13[[#This Row],[HGVs (Collection)]])</f>
        <v>0</v>
      </c>
      <c r="W113" s="153" t="str" cm="1">
        <f t="array" ref="W113">IF(Table13[[#This Row],[QUANTITY]]="","",IFERROR(IF(V113&lt;&gt;"",_xlfn.XLOOKUP(I113&amp;J113,PRICES!C:C&amp;PRICES!B:B,IF(PRICES!F:F&lt;&gt;"",PRICES!F:F,PRICES!E:E),"")),""))</f>
        <v/>
      </c>
      <c r="X113" s="154" t="str" cm="1">
        <f t="array" ref="X113">IF(Table13[[#This Row],[QUANTITY]]="","",IFERROR(IF(U113&lt;&gt;"",_xlfn.XLOOKUP(I113&amp;J113&amp;V113,PRICES!C:C&amp;PRICES!B:B&amp;PRICES!D:D,PRICES!G:G,"")),""))</f>
        <v/>
      </c>
      <c r="Y113" s="154" t="str">
        <f t="shared" ca="1" si="14"/>
        <v/>
      </c>
      <c r="Z113" s="154" t="str">
        <f t="shared" ca="1" si="15"/>
        <v/>
      </c>
      <c r="AA113" s="154" t="str">
        <f t="shared" ca="1" si="16"/>
        <v/>
      </c>
      <c r="AB113" s="154" t="str">
        <f t="shared" ca="1" si="17"/>
        <v/>
      </c>
      <c r="AC113" s="154" t="str">
        <f t="shared" ca="1" si="12"/>
        <v/>
      </c>
      <c r="AD113" s="154" t="str">
        <f>IF(Table13[[#This Row],[QUANTITY]]="","",
  IF(AND(Y113="",Z113="",AA113="",AB113="",AC113=""),
    U113*X113,
  ""))</f>
        <v/>
      </c>
      <c r="AE113" s="154" t="str">
        <f t="shared" ca="1" si="18"/>
        <v/>
      </c>
      <c r="AF113" s="154" t="str">
        <f t="shared" si="19"/>
        <v/>
      </c>
      <c r="AG113" s="154" t="str" cm="1">
        <f t="array" aca="1" ref="AG113" ca="1">IF(Table13[[#This Row],[TOTAL HIRE COST]]="","",IFERROR(IF(U113&lt;&gt;"",_xlfn.XLOOKUP(J113&amp;I113&amp;V113,PRICES!B:B&amp;PRICES!C:C&amp;PRICES!D:D,PRICES!H:H,"")),""))</f>
        <v/>
      </c>
      <c r="AH113" s="154" t="str" cm="1">
        <f t="array" aca="1" ref="AH113" ca="1">IF(Table13[[#This Row],[TOTAL HIRE COST]]="","",IFERROR(IF(U113&lt;&gt;"",_xlfn.XLOOKUP(J113&amp;I113&amp;V113,PRICES!B:B&amp;PRICES!C:C&amp;PRICES!D:D,PRICES!I:I,"")),""))</f>
        <v/>
      </c>
      <c r="AI113" s="154" t="str">
        <f ca="1">IF(Table13[[#This Row],[TOTAL HIRE COST]]="","",Table13[[#This Row],[TOTAL HIRE COST]]+Table13[[#This Row],[DELIVERY COST]]+Table13[[#This Row],[COLLECTION COST]])</f>
        <v/>
      </c>
      <c r="AJ113" s="153" t="str">
        <f>IF(Table13[[#This Row],[Date to Hire (DH)]]="","",YEAR(Table13[[#This Row],[Date to Hire (DH)]]))</f>
        <v/>
      </c>
      <c r="AK113" s="153" t="str">
        <f>IF(Table13[[#This Row],[Date to Hire (DH)]]="","",MONTH(Table13[[#This Row],[Date to Hire (DH)]]))</f>
        <v/>
      </c>
      <c r="AL113" s="153" t="str">
        <f>IF(Table13[[#This Row],[Date to Hire (DH)]]="","",WEEKNUM(Table13[[#This Row],[Date to Hire (DH)]]))</f>
        <v/>
      </c>
      <c r="AM113" s="153" t="str">
        <f>TEXT(Table13[[#This Row],[YEAR]],"0000")&amp;"-"&amp;Table13[[#This Row],[MONTH]]</f>
        <v>-</v>
      </c>
      <c r="AN113" s="153" t="str">
        <f>IF(Table13[[#This Row],[Date of Planned Offhire (DoPO) / If Applicable]]="","",YEAR(Table13[[#This Row],[Date of Planned Offhire (DoPO) / If Applicable]]))</f>
        <v/>
      </c>
      <c r="AO113" s="153" t="str">
        <f>IF(Table13[[#This Row],[Date of Planned Offhire (DoPO) / If Applicable]]="","",MONTH(Table13[[#This Row],[Date of Planned Offhire (DoPO) / If Applicable]]))</f>
        <v/>
      </c>
      <c r="AP113" s="153" t="str">
        <f>IF(Table13[[#This Row],[Date of Planned Offhire (DoPO) / If Applicable]]="","",WEEKNUM(Table13[[#This Row],[Date of Planned Offhire (DoPO) / If Applicable]]))</f>
        <v/>
      </c>
      <c r="AQ113" s="153" t="str">
        <f>TEXT(Table13[[#This Row],[YEAR2]],"0000")&amp;"-"&amp;Table13[[#This Row],[MONTH2]]</f>
        <v>-</v>
      </c>
      <c r="AR113" s="153" t="str">
        <f>IF(Table13[[#This Row],[Actual Date to Offhire (ADtO)]]="","",YEAR(Table13[[#This Row],[Actual Date to Offhire (ADtO)]]))</f>
        <v/>
      </c>
      <c r="AS113" s="153" t="str">
        <f>IF(Table13[[#This Row],[Actual Date to Offhire (ADtO)]]="","",MONTH(Table13[[#This Row],[Actual Date to Offhire (ADtO)]]))</f>
        <v/>
      </c>
      <c r="AT113" s="153" t="str">
        <f>IF(Table13[[#This Row],[Actual Date to Offhire (ADtO)]]="","",WEEKNUM(Table13[[#This Row],[Actual Date to Offhire (ADtO)]]))</f>
        <v/>
      </c>
      <c r="AU113" s="153" t="str">
        <f>TEXT(Table13[[#This Row],[YEAR3]],"0000")&amp;"-"&amp;Table13[[#This Row],[MONTH3]]</f>
        <v>-</v>
      </c>
      <c r="AV113" s="153">
        <f>IF(E113="",0,
  IF('Delivery Report'!A$2*100+'Delivery Report'!A$5 &lt; YEAR(E113)*100+WEEKNUM(E113), 0,
    IF(OR(G113="", 'Delivery Report'!A$2*100+'Delivery Report'!A$5 &lt;= YEAR(G113)*100+WEEKNUM(G113)),
      IF(LOWER(W113)="hourly", U113*X113*56,
      IF(LOWER(W113)="daily", U113*X113*7,
      IF(LOWER(W113)="weekly", U113*X113,
      IF(LOWER(W113)="monthly", U113*X113*12/52,
      IF(LOWER(W113)="yearly", U113*X113/52,
      IF(LOWER(W113)="one-off", U113*X113,
      0)))))),
    0)))</f>
        <v>0</v>
      </c>
    </row>
    <row r="114" spans="1:48" x14ac:dyDescent="0.3">
      <c r="A114" s="24"/>
      <c r="C114" s="176"/>
      <c r="E114" s="1"/>
      <c r="F114" s="1"/>
      <c r="G114" s="1"/>
      <c r="H114" s="164" t="s">
        <v>317</v>
      </c>
      <c r="P114" s="153" t="str">
        <f t="shared" si="13"/>
        <v/>
      </c>
      <c r="Q114" s="155">
        <f>IF(Table13[[#This Row],[HGVs (Collection)]]="",O114,Table13[[#This Row],[HGVs (Delivery)]]+Table13[[#This Row],[HGVs (Collection)]])</f>
        <v>0</v>
      </c>
      <c r="W114" s="153" t="str" cm="1">
        <f t="array" ref="W114">IF(Table13[[#This Row],[QUANTITY]]="","",IFERROR(IF(V114&lt;&gt;"",_xlfn.XLOOKUP(I114&amp;J114,PRICES!C:C&amp;PRICES!B:B,IF(PRICES!F:F&lt;&gt;"",PRICES!F:F,PRICES!E:E),"")),""))</f>
        <v/>
      </c>
      <c r="X114" s="154" t="str" cm="1">
        <f t="array" ref="X114">IF(Table13[[#This Row],[QUANTITY]]="","",IFERROR(IF(U114&lt;&gt;"",_xlfn.XLOOKUP(I114&amp;J114&amp;V114,PRICES!C:C&amp;PRICES!B:B&amp;PRICES!D:D,PRICES!G:G,"")),""))</f>
        <v/>
      </c>
      <c r="Y114" s="154" t="str">
        <f t="shared" ca="1" si="14"/>
        <v/>
      </c>
      <c r="Z114" s="154" t="str">
        <f t="shared" ca="1" si="15"/>
        <v/>
      </c>
      <c r="AA114" s="154" t="str">
        <f t="shared" ca="1" si="16"/>
        <v/>
      </c>
      <c r="AB114" s="154" t="str">
        <f t="shared" ca="1" si="17"/>
        <v/>
      </c>
      <c r="AC114" s="154" t="str">
        <f t="shared" ca="1" si="12"/>
        <v/>
      </c>
      <c r="AD114" s="154" t="str">
        <f>IF(Table13[[#This Row],[QUANTITY]]="","",
  IF(AND(Y114="",Z114="",AA114="",AB114="",AC114=""),
    U114*X114,
  ""))</f>
        <v/>
      </c>
      <c r="AE114" s="154" t="str">
        <f t="shared" ca="1" si="18"/>
        <v/>
      </c>
      <c r="AF114" s="154" t="str">
        <f t="shared" si="19"/>
        <v/>
      </c>
      <c r="AG114" s="154" t="str" cm="1">
        <f t="array" aca="1" ref="AG114" ca="1">IF(Table13[[#This Row],[TOTAL HIRE COST]]="","",IFERROR(IF(U114&lt;&gt;"",_xlfn.XLOOKUP(J114&amp;I114&amp;V114,PRICES!B:B&amp;PRICES!C:C&amp;PRICES!D:D,PRICES!H:H,"")),""))</f>
        <v/>
      </c>
      <c r="AH114" s="154" t="str" cm="1">
        <f t="array" aca="1" ref="AH114" ca="1">IF(Table13[[#This Row],[TOTAL HIRE COST]]="","",IFERROR(IF(U114&lt;&gt;"",_xlfn.XLOOKUP(J114&amp;I114&amp;V114,PRICES!B:B&amp;PRICES!C:C&amp;PRICES!D:D,PRICES!I:I,"")),""))</f>
        <v/>
      </c>
      <c r="AI114" s="154" t="str">
        <f ca="1">IF(Table13[[#This Row],[TOTAL HIRE COST]]="","",Table13[[#This Row],[TOTAL HIRE COST]]+Table13[[#This Row],[DELIVERY COST]]+Table13[[#This Row],[COLLECTION COST]])</f>
        <v/>
      </c>
      <c r="AJ114" s="153" t="str">
        <f>IF(Table13[[#This Row],[Date to Hire (DH)]]="","",YEAR(Table13[[#This Row],[Date to Hire (DH)]]))</f>
        <v/>
      </c>
      <c r="AK114" s="153" t="str">
        <f>IF(Table13[[#This Row],[Date to Hire (DH)]]="","",MONTH(Table13[[#This Row],[Date to Hire (DH)]]))</f>
        <v/>
      </c>
      <c r="AL114" s="153" t="str">
        <f>IF(Table13[[#This Row],[Date to Hire (DH)]]="","",WEEKNUM(Table13[[#This Row],[Date to Hire (DH)]]))</f>
        <v/>
      </c>
      <c r="AM114" s="153" t="str">
        <f>TEXT(Table13[[#This Row],[YEAR]],"0000")&amp;"-"&amp;Table13[[#This Row],[MONTH]]</f>
        <v>-</v>
      </c>
      <c r="AN114" s="153" t="str">
        <f>IF(Table13[[#This Row],[Date of Planned Offhire (DoPO) / If Applicable]]="","",YEAR(Table13[[#This Row],[Date of Planned Offhire (DoPO) / If Applicable]]))</f>
        <v/>
      </c>
      <c r="AO114" s="153" t="str">
        <f>IF(Table13[[#This Row],[Date of Planned Offhire (DoPO) / If Applicable]]="","",MONTH(Table13[[#This Row],[Date of Planned Offhire (DoPO) / If Applicable]]))</f>
        <v/>
      </c>
      <c r="AP114" s="153" t="str">
        <f>IF(Table13[[#This Row],[Date of Planned Offhire (DoPO) / If Applicable]]="","",WEEKNUM(Table13[[#This Row],[Date of Planned Offhire (DoPO) / If Applicable]]))</f>
        <v/>
      </c>
      <c r="AQ114" s="153" t="str">
        <f>TEXT(Table13[[#This Row],[YEAR2]],"0000")&amp;"-"&amp;Table13[[#This Row],[MONTH2]]</f>
        <v>-</v>
      </c>
      <c r="AR114" s="153" t="str">
        <f>IF(Table13[[#This Row],[Actual Date to Offhire (ADtO)]]="","",YEAR(Table13[[#This Row],[Actual Date to Offhire (ADtO)]]))</f>
        <v/>
      </c>
      <c r="AS114" s="153" t="str">
        <f>IF(Table13[[#This Row],[Actual Date to Offhire (ADtO)]]="","",MONTH(Table13[[#This Row],[Actual Date to Offhire (ADtO)]]))</f>
        <v/>
      </c>
      <c r="AT114" s="153" t="str">
        <f>IF(Table13[[#This Row],[Actual Date to Offhire (ADtO)]]="","",WEEKNUM(Table13[[#This Row],[Actual Date to Offhire (ADtO)]]))</f>
        <v/>
      </c>
      <c r="AU114" s="153" t="str">
        <f>TEXT(Table13[[#This Row],[YEAR3]],"0000")&amp;"-"&amp;Table13[[#This Row],[MONTH3]]</f>
        <v>-</v>
      </c>
      <c r="AV114" s="153">
        <f>IF(E114="",0,
  IF('Delivery Report'!A$2*100+'Delivery Report'!A$5 &lt; YEAR(E114)*100+WEEKNUM(E114), 0,
    IF(OR(G114="", 'Delivery Report'!A$2*100+'Delivery Report'!A$5 &lt;= YEAR(G114)*100+WEEKNUM(G114)),
      IF(LOWER(W114)="hourly", U114*X114*56,
      IF(LOWER(W114)="daily", U114*X114*7,
      IF(LOWER(W114)="weekly", U114*X114,
      IF(LOWER(W114)="monthly", U114*X114*12/52,
      IF(LOWER(W114)="yearly", U114*X114/52,
      IF(LOWER(W114)="one-off", U114*X114,
      0)))))),
    0)))</f>
        <v>0</v>
      </c>
    </row>
    <row r="115" spans="1:48" x14ac:dyDescent="0.3">
      <c r="A115" s="24"/>
      <c r="C115" s="176"/>
      <c r="E115" s="1"/>
      <c r="F115" s="1"/>
      <c r="G115" s="1"/>
      <c r="H115" s="164" t="s">
        <v>317</v>
      </c>
      <c r="P115" s="153" t="str">
        <f t="shared" si="13"/>
        <v/>
      </c>
      <c r="Q115" s="155">
        <f>IF(Table13[[#This Row],[HGVs (Collection)]]="",O115,Table13[[#This Row],[HGVs (Delivery)]]+Table13[[#This Row],[HGVs (Collection)]])</f>
        <v>0</v>
      </c>
      <c r="W115" s="153" t="str" cm="1">
        <f t="array" ref="W115">IF(Table13[[#This Row],[QUANTITY]]="","",IFERROR(IF(V115&lt;&gt;"",_xlfn.XLOOKUP(I115&amp;J115,PRICES!C:C&amp;PRICES!B:B,IF(PRICES!F:F&lt;&gt;"",PRICES!F:F,PRICES!E:E),"")),""))</f>
        <v/>
      </c>
      <c r="X115" s="154" t="str" cm="1">
        <f t="array" ref="X115">IF(Table13[[#This Row],[QUANTITY]]="","",IFERROR(IF(U115&lt;&gt;"",_xlfn.XLOOKUP(I115&amp;J115&amp;V115,PRICES!C:C&amp;PRICES!B:B&amp;PRICES!D:D,PRICES!G:G,"")),""))</f>
        <v/>
      </c>
      <c r="Y115" s="154" t="str">
        <f t="shared" ca="1" si="14"/>
        <v/>
      </c>
      <c r="Z115" s="154" t="str">
        <f t="shared" ca="1" si="15"/>
        <v/>
      </c>
      <c r="AA115" s="154" t="str">
        <f t="shared" ca="1" si="16"/>
        <v/>
      </c>
      <c r="AB115" s="154" t="str">
        <f t="shared" ca="1" si="17"/>
        <v/>
      </c>
      <c r="AC115" s="154" t="str">
        <f t="shared" ca="1" si="12"/>
        <v/>
      </c>
      <c r="AD115" s="154" t="str">
        <f>IF(Table13[[#This Row],[QUANTITY]]="","",
  IF(AND(Y115="",Z115="",AA115="",AB115="",AC115=""),
    U115*X115,
  ""))</f>
        <v/>
      </c>
      <c r="AE115" s="154" t="str">
        <f t="shared" ca="1" si="18"/>
        <v/>
      </c>
      <c r="AF115" s="154" t="str">
        <f t="shared" si="19"/>
        <v/>
      </c>
      <c r="AG115" s="154" t="str" cm="1">
        <f t="array" aca="1" ref="AG115" ca="1">IF(Table13[[#This Row],[TOTAL HIRE COST]]="","",IFERROR(IF(U115&lt;&gt;"",_xlfn.XLOOKUP(J115&amp;I115&amp;V115,PRICES!B:B&amp;PRICES!C:C&amp;PRICES!D:D,PRICES!H:H,"")),""))</f>
        <v/>
      </c>
      <c r="AH115" s="154" t="str" cm="1">
        <f t="array" aca="1" ref="AH115" ca="1">IF(Table13[[#This Row],[TOTAL HIRE COST]]="","",IFERROR(IF(U115&lt;&gt;"",_xlfn.XLOOKUP(J115&amp;I115&amp;V115,PRICES!B:B&amp;PRICES!C:C&amp;PRICES!D:D,PRICES!I:I,"")),""))</f>
        <v/>
      </c>
      <c r="AI115" s="154" t="str">
        <f ca="1">IF(Table13[[#This Row],[TOTAL HIRE COST]]="","",Table13[[#This Row],[TOTAL HIRE COST]]+Table13[[#This Row],[DELIVERY COST]]+Table13[[#This Row],[COLLECTION COST]])</f>
        <v/>
      </c>
      <c r="AJ115" s="153" t="str">
        <f>IF(Table13[[#This Row],[Date to Hire (DH)]]="","",YEAR(Table13[[#This Row],[Date to Hire (DH)]]))</f>
        <v/>
      </c>
      <c r="AK115" s="153" t="str">
        <f>IF(Table13[[#This Row],[Date to Hire (DH)]]="","",MONTH(Table13[[#This Row],[Date to Hire (DH)]]))</f>
        <v/>
      </c>
      <c r="AL115" s="153" t="str">
        <f>IF(Table13[[#This Row],[Date to Hire (DH)]]="","",WEEKNUM(Table13[[#This Row],[Date to Hire (DH)]]))</f>
        <v/>
      </c>
      <c r="AM115" s="153" t="str">
        <f>TEXT(Table13[[#This Row],[YEAR]],"0000")&amp;"-"&amp;Table13[[#This Row],[MONTH]]</f>
        <v>-</v>
      </c>
      <c r="AN115" s="153" t="str">
        <f>IF(Table13[[#This Row],[Date of Planned Offhire (DoPO) / If Applicable]]="","",YEAR(Table13[[#This Row],[Date of Planned Offhire (DoPO) / If Applicable]]))</f>
        <v/>
      </c>
      <c r="AO115" s="153" t="str">
        <f>IF(Table13[[#This Row],[Date of Planned Offhire (DoPO) / If Applicable]]="","",MONTH(Table13[[#This Row],[Date of Planned Offhire (DoPO) / If Applicable]]))</f>
        <v/>
      </c>
      <c r="AP115" s="153" t="str">
        <f>IF(Table13[[#This Row],[Date of Planned Offhire (DoPO) / If Applicable]]="","",WEEKNUM(Table13[[#This Row],[Date of Planned Offhire (DoPO) / If Applicable]]))</f>
        <v/>
      </c>
      <c r="AQ115" s="153" t="str">
        <f>TEXT(Table13[[#This Row],[YEAR2]],"0000")&amp;"-"&amp;Table13[[#This Row],[MONTH2]]</f>
        <v>-</v>
      </c>
      <c r="AR115" s="153" t="str">
        <f>IF(Table13[[#This Row],[Actual Date to Offhire (ADtO)]]="","",YEAR(Table13[[#This Row],[Actual Date to Offhire (ADtO)]]))</f>
        <v/>
      </c>
      <c r="AS115" s="153" t="str">
        <f>IF(Table13[[#This Row],[Actual Date to Offhire (ADtO)]]="","",MONTH(Table13[[#This Row],[Actual Date to Offhire (ADtO)]]))</f>
        <v/>
      </c>
      <c r="AT115" s="153" t="str">
        <f>IF(Table13[[#This Row],[Actual Date to Offhire (ADtO)]]="","",WEEKNUM(Table13[[#This Row],[Actual Date to Offhire (ADtO)]]))</f>
        <v/>
      </c>
      <c r="AU115" s="153" t="str">
        <f>TEXT(Table13[[#This Row],[YEAR3]],"0000")&amp;"-"&amp;Table13[[#This Row],[MONTH3]]</f>
        <v>-</v>
      </c>
      <c r="AV115" s="153">
        <f>IF(E115="",0,
  IF('Delivery Report'!A$2*100+'Delivery Report'!A$5 &lt; YEAR(E115)*100+WEEKNUM(E115), 0,
    IF(OR(G115="", 'Delivery Report'!A$2*100+'Delivery Report'!A$5 &lt;= YEAR(G115)*100+WEEKNUM(G115)),
      IF(LOWER(W115)="hourly", U115*X115*56,
      IF(LOWER(W115)="daily", U115*X115*7,
      IF(LOWER(W115)="weekly", U115*X115,
      IF(LOWER(W115)="monthly", U115*X115*12/52,
      IF(LOWER(W115)="yearly", U115*X115/52,
      IF(LOWER(W115)="one-off", U115*X115,
      0)))))),
    0)))</f>
        <v>0</v>
      </c>
    </row>
    <row r="116" spans="1:48" x14ac:dyDescent="0.3">
      <c r="A116" s="24"/>
      <c r="C116" s="176"/>
      <c r="E116" s="1"/>
      <c r="F116" s="1"/>
      <c r="G116" s="1"/>
      <c r="H116" s="164" t="s">
        <v>317</v>
      </c>
      <c r="P116" s="153" t="str">
        <f t="shared" si="13"/>
        <v/>
      </c>
      <c r="Q116" s="155">
        <f>IF(Table13[[#This Row],[HGVs (Collection)]]="",O116,Table13[[#This Row],[HGVs (Delivery)]]+Table13[[#This Row],[HGVs (Collection)]])</f>
        <v>0</v>
      </c>
      <c r="W116" s="153" t="str" cm="1">
        <f t="array" ref="W116">IF(Table13[[#This Row],[QUANTITY]]="","",IFERROR(IF(V116&lt;&gt;"",_xlfn.XLOOKUP(I116&amp;J116,PRICES!C:C&amp;PRICES!B:B,IF(PRICES!F:F&lt;&gt;"",PRICES!F:F,PRICES!E:E),"")),""))</f>
        <v/>
      </c>
      <c r="X116" s="154" t="str" cm="1">
        <f t="array" ref="X116">IF(Table13[[#This Row],[QUANTITY]]="","",IFERROR(IF(U116&lt;&gt;"",_xlfn.XLOOKUP(I116&amp;J116&amp;V116,PRICES!C:C&amp;PRICES!B:B&amp;PRICES!D:D,PRICES!G:G,"")),""))</f>
        <v/>
      </c>
      <c r="Y116" s="154" t="str">
        <f t="shared" ca="1" si="14"/>
        <v/>
      </c>
      <c r="Z116" s="154" t="str">
        <f t="shared" ca="1" si="15"/>
        <v/>
      </c>
      <c r="AA116" s="154" t="str">
        <f t="shared" ca="1" si="16"/>
        <v/>
      </c>
      <c r="AB116" s="154" t="str">
        <f t="shared" ca="1" si="17"/>
        <v/>
      </c>
      <c r="AC116" s="154" t="str">
        <f t="shared" ca="1" si="12"/>
        <v/>
      </c>
      <c r="AD116" s="154" t="str">
        <f>IF(Table13[[#This Row],[QUANTITY]]="","",
  IF(AND(Y116="",Z116="",AA116="",AB116="",AC116=""),
    U116*X116,
  ""))</f>
        <v/>
      </c>
      <c r="AE116" s="154" t="str">
        <f t="shared" ca="1" si="18"/>
        <v/>
      </c>
      <c r="AF116" s="154" t="str">
        <f t="shared" si="19"/>
        <v/>
      </c>
      <c r="AG116" s="154" t="str" cm="1">
        <f t="array" aca="1" ref="AG116" ca="1">IF(Table13[[#This Row],[TOTAL HIRE COST]]="","",IFERROR(IF(U116&lt;&gt;"",_xlfn.XLOOKUP(J116&amp;I116&amp;V116,PRICES!B:B&amp;PRICES!C:C&amp;PRICES!D:D,PRICES!H:H,"")),""))</f>
        <v/>
      </c>
      <c r="AH116" s="154" t="str" cm="1">
        <f t="array" aca="1" ref="AH116" ca="1">IF(Table13[[#This Row],[TOTAL HIRE COST]]="","",IFERROR(IF(U116&lt;&gt;"",_xlfn.XLOOKUP(J116&amp;I116&amp;V116,PRICES!B:B&amp;PRICES!C:C&amp;PRICES!D:D,PRICES!I:I,"")),""))</f>
        <v/>
      </c>
      <c r="AI116" s="154" t="str">
        <f ca="1">IF(Table13[[#This Row],[TOTAL HIRE COST]]="","",Table13[[#This Row],[TOTAL HIRE COST]]+Table13[[#This Row],[DELIVERY COST]]+Table13[[#This Row],[COLLECTION COST]])</f>
        <v/>
      </c>
      <c r="AJ116" s="153" t="str">
        <f>IF(Table13[[#This Row],[Date to Hire (DH)]]="","",YEAR(Table13[[#This Row],[Date to Hire (DH)]]))</f>
        <v/>
      </c>
      <c r="AK116" s="153" t="str">
        <f>IF(Table13[[#This Row],[Date to Hire (DH)]]="","",MONTH(Table13[[#This Row],[Date to Hire (DH)]]))</f>
        <v/>
      </c>
      <c r="AL116" s="153" t="str">
        <f>IF(Table13[[#This Row],[Date to Hire (DH)]]="","",WEEKNUM(Table13[[#This Row],[Date to Hire (DH)]]))</f>
        <v/>
      </c>
      <c r="AM116" s="153" t="str">
        <f>TEXT(Table13[[#This Row],[YEAR]],"0000")&amp;"-"&amp;Table13[[#This Row],[MONTH]]</f>
        <v>-</v>
      </c>
      <c r="AN116" s="153" t="str">
        <f>IF(Table13[[#This Row],[Date of Planned Offhire (DoPO) / If Applicable]]="","",YEAR(Table13[[#This Row],[Date of Planned Offhire (DoPO) / If Applicable]]))</f>
        <v/>
      </c>
      <c r="AO116" s="153" t="str">
        <f>IF(Table13[[#This Row],[Date of Planned Offhire (DoPO) / If Applicable]]="","",MONTH(Table13[[#This Row],[Date of Planned Offhire (DoPO) / If Applicable]]))</f>
        <v/>
      </c>
      <c r="AP116" s="153" t="str">
        <f>IF(Table13[[#This Row],[Date of Planned Offhire (DoPO) / If Applicable]]="","",WEEKNUM(Table13[[#This Row],[Date of Planned Offhire (DoPO) / If Applicable]]))</f>
        <v/>
      </c>
      <c r="AQ116" s="153" t="str">
        <f>TEXT(Table13[[#This Row],[YEAR2]],"0000")&amp;"-"&amp;Table13[[#This Row],[MONTH2]]</f>
        <v>-</v>
      </c>
      <c r="AR116" s="153" t="str">
        <f>IF(Table13[[#This Row],[Actual Date to Offhire (ADtO)]]="","",YEAR(Table13[[#This Row],[Actual Date to Offhire (ADtO)]]))</f>
        <v/>
      </c>
      <c r="AS116" s="153" t="str">
        <f>IF(Table13[[#This Row],[Actual Date to Offhire (ADtO)]]="","",MONTH(Table13[[#This Row],[Actual Date to Offhire (ADtO)]]))</f>
        <v/>
      </c>
      <c r="AT116" s="153" t="str">
        <f>IF(Table13[[#This Row],[Actual Date to Offhire (ADtO)]]="","",WEEKNUM(Table13[[#This Row],[Actual Date to Offhire (ADtO)]]))</f>
        <v/>
      </c>
      <c r="AU116" s="153" t="str">
        <f>TEXT(Table13[[#This Row],[YEAR3]],"0000")&amp;"-"&amp;Table13[[#This Row],[MONTH3]]</f>
        <v>-</v>
      </c>
      <c r="AV116" s="153">
        <f>IF(E116="",0,
  IF('Delivery Report'!A$2*100+'Delivery Report'!A$5 &lt; YEAR(E116)*100+WEEKNUM(E116), 0,
    IF(OR(G116="", 'Delivery Report'!A$2*100+'Delivery Report'!A$5 &lt;= YEAR(G116)*100+WEEKNUM(G116)),
      IF(LOWER(W116)="hourly", U116*X116*56,
      IF(LOWER(W116)="daily", U116*X116*7,
      IF(LOWER(W116)="weekly", U116*X116,
      IF(LOWER(W116)="monthly", U116*X116*12/52,
      IF(LOWER(W116)="yearly", U116*X116/52,
      IF(LOWER(W116)="one-off", U116*X116,
      0)))))),
    0)))</f>
        <v>0</v>
      </c>
    </row>
    <row r="117" spans="1:48" x14ac:dyDescent="0.3">
      <c r="A117" s="24"/>
      <c r="C117" s="176"/>
      <c r="E117" s="1"/>
      <c r="F117" s="1"/>
      <c r="G117" s="1"/>
      <c r="H117" s="164" t="s">
        <v>317</v>
      </c>
      <c r="P117" s="153" t="str">
        <f t="shared" si="13"/>
        <v/>
      </c>
      <c r="Q117" s="155">
        <f>IF(Table13[[#This Row],[HGVs (Collection)]]="",O117,Table13[[#This Row],[HGVs (Delivery)]]+Table13[[#This Row],[HGVs (Collection)]])</f>
        <v>0</v>
      </c>
      <c r="W117" s="153" t="str" cm="1">
        <f t="array" ref="W117">IF(Table13[[#This Row],[QUANTITY]]="","",IFERROR(IF(V117&lt;&gt;"",_xlfn.XLOOKUP(I117&amp;J117,PRICES!C:C&amp;PRICES!B:B,IF(PRICES!F:F&lt;&gt;"",PRICES!F:F,PRICES!E:E),"")),""))</f>
        <v/>
      </c>
      <c r="X117" s="154" t="str" cm="1">
        <f t="array" ref="X117">IF(Table13[[#This Row],[QUANTITY]]="","",IFERROR(IF(U117&lt;&gt;"",_xlfn.XLOOKUP(I117&amp;J117&amp;V117,PRICES!C:C&amp;PRICES!B:B&amp;PRICES!D:D,PRICES!G:G,"")),""))</f>
        <v/>
      </c>
      <c r="Y117" s="154" t="str">
        <f t="shared" ca="1" si="14"/>
        <v/>
      </c>
      <c r="Z117" s="154" t="str">
        <f t="shared" ca="1" si="15"/>
        <v/>
      </c>
      <c r="AA117" s="154" t="str">
        <f t="shared" ca="1" si="16"/>
        <v/>
      </c>
      <c r="AB117" s="154" t="str">
        <f t="shared" ca="1" si="17"/>
        <v/>
      </c>
      <c r="AC117" s="154" t="str">
        <f t="shared" ca="1" si="12"/>
        <v/>
      </c>
      <c r="AD117" s="154" t="str">
        <f>IF(Table13[[#This Row],[QUANTITY]]="","",
  IF(AND(Y117="",Z117="",AA117="",AB117="",AC117=""),
    U117*X117,
  ""))</f>
        <v/>
      </c>
      <c r="AE117" s="154" t="str">
        <f t="shared" ca="1" si="18"/>
        <v/>
      </c>
      <c r="AF117" s="154" t="str">
        <f t="shared" si="19"/>
        <v/>
      </c>
      <c r="AG117" s="154" t="str" cm="1">
        <f t="array" aca="1" ref="AG117" ca="1">IF(Table13[[#This Row],[TOTAL HIRE COST]]="","",IFERROR(IF(U117&lt;&gt;"",_xlfn.XLOOKUP(J117&amp;I117&amp;V117,PRICES!B:B&amp;PRICES!C:C&amp;PRICES!D:D,PRICES!H:H,"")),""))</f>
        <v/>
      </c>
      <c r="AH117" s="154" t="str" cm="1">
        <f t="array" aca="1" ref="AH117" ca="1">IF(Table13[[#This Row],[TOTAL HIRE COST]]="","",IFERROR(IF(U117&lt;&gt;"",_xlfn.XLOOKUP(J117&amp;I117&amp;V117,PRICES!B:B&amp;PRICES!C:C&amp;PRICES!D:D,PRICES!I:I,"")),""))</f>
        <v/>
      </c>
      <c r="AI117" s="154" t="str">
        <f ca="1">IF(Table13[[#This Row],[TOTAL HIRE COST]]="","",Table13[[#This Row],[TOTAL HIRE COST]]+Table13[[#This Row],[DELIVERY COST]]+Table13[[#This Row],[COLLECTION COST]])</f>
        <v/>
      </c>
      <c r="AJ117" s="153" t="str">
        <f>IF(Table13[[#This Row],[Date to Hire (DH)]]="","",YEAR(Table13[[#This Row],[Date to Hire (DH)]]))</f>
        <v/>
      </c>
      <c r="AK117" s="153" t="str">
        <f>IF(Table13[[#This Row],[Date to Hire (DH)]]="","",MONTH(Table13[[#This Row],[Date to Hire (DH)]]))</f>
        <v/>
      </c>
      <c r="AL117" s="153" t="str">
        <f>IF(Table13[[#This Row],[Date to Hire (DH)]]="","",WEEKNUM(Table13[[#This Row],[Date to Hire (DH)]]))</f>
        <v/>
      </c>
      <c r="AM117" s="153" t="str">
        <f>TEXT(Table13[[#This Row],[YEAR]],"0000")&amp;"-"&amp;Table13[[#This Row],[MONTH]]</f>
        <v>-</v>
      </c>
      <c r="AN117" s="153" t="str">
        <f>IF(Table13[[#This Row],[Date of Planned Offhire (DoPO) / If Applicable]]="","",YEAR(Table13[[#This Row],[Date of Planned Offhire (DoPO) / If Applicable]]))</f>
        <v/>
      </c>
      <c r="AO117" s="153" t="str">
        <f>IF(Table13[[#This Row],[Date of Planned Offhire (DoPO) / If Applicable]]="","",MONTH(Table13[[#This Row],[Date of Planned Offhire (DoPO) / If Applicable]]))</f>
        <v/>
      </c>
      <c r="AP117" s="153" t="str">
        <f>IF(Table13[[#This Row],[Date of Planned Offhire (DoPO) / If Applicable]]="","",WEEKNUM(Table13[[#This Row],[Date of Planned Offhire (DoPO) / If Applicable]]))</f>
        <v/>
      </c>
      <c r="AQ117" s="153" t="str">
        <f>TEXT(Table13[[#This Row],[YEAR2]],"0000")&amp;"-"&amp;Table13[[#This Row],[MONTH2]]</f>
        <v>-</v>
      </c>
      <c r="AR117" s="153" t="str">
        <f>IF(Table13[[#This Row],[Actual Date to Offhire (ADtO)]]="","",YEAR(Table13[[#This Row],[Actual Date to Offhire (ADtO)]]))</f>
        <v/>
      </c>
      <c r="AS117" s="153" t="str">
        <f>IF(Table13[[#This Row],[Actual Date to Offhire (ADtO)]]="","",MONTH(Table13[[#This Row],[Actual Date to Offhire (ADtO)]]))</f>
        <v/>
      </c>
      <c r="AT117" s="153" t="str">
        <f>IF(Table13[[#This Row],[Actual Date to Offhire (ADtO)]]="","",WEEKNUM(Table13[[#This Row],[Actual Date to Offhire (ADtO)]]))</f>
        <v/>
      </c>
      <c r="AU117" s="153" t="str">
        <f>TEXT(Table13[[#This Row],[YEAR3]],"0000")&amp;"-"&amp;Table13[[#This Row],[MONTH3]]</f>
        <v>-</v>
      </c>
      <c r="AV117" s="153">
        <f>IF(E117="",0,
  IF('Delivery Report'!A$2*100+'Delivery Report'!A$5 &lt; YEAR(E117)*100+WEEKNUM(E117), 0,
    IF(OR(G117="", 'Delivery Report'!A$2*100+'Delivery Report'!A$5 &lt;= YEAR(G117)*100+WEEKNUM(G117)),
      IF(LOWER(W117)="hourly", U117*X117*56,
      IF(LOWER(W117)="daily", U117*X117*7,
      IF(LOWER(W117)="weekly", U117*X117,
      IF(LOWER(W117)="monthly", U117*X117*12/52,
      IF(LOWER(W117)="yearly", U117*X117/52,
      IF(LOWER(W117)="one-off", U117*X117,
      0)))))),
    0)))</f>
        <v>0</v>
      </c>
    </row>
    <row r="118" spans="1:48" x14ac:dyDescent="0.3">
      <c r="A118" s="24"/>
      <c r="C118" s="176"/>
      <c r="E118" s="1"/>
      <c r="F118" s="1"/>
      <c r="G118" s="1"/>
      <c r="H118" s="164" t="s">
        <v>317</v>
      </c>
      <c r="P118" s="153" t="str">
        <f t="shared" si="13"/>
        <v/>
      </c>
      <c r="Q118" s="155">
        <f>IF(Table13[[#This Row],[HGVs (Collection)]]="",O118,Table13[[#This Row],[HGVs (Delivery)]]+Table13[[#This Row],[HGVs (Collection)]])</f>
        <v>0</v>
      </c>
      <c r="W118" s="153" t="str" cm="1">
        <f t="array" ref="W118">IF(Table13[[#This Row],[QUANTITY]]="","",IFERROR(IF(V118&lt;&gt;"",_xlfn.XLOOKUP(I118&amp;J118,PRICES!C:C&amp;PRICES!B:B,IF(PRICES!F:F&lt;&gt;"",PRICES!F:F,PRICES!E:E),"")),""))</f>
        <v/>
      </c>
      <c r="X118" s="154" t="str" cm="1">
        <f t="array" ref="X118">IF(Table13[[#This Row],[QUANTITY]]="","",IFERROR(IF(U118&lt;&gt;"",_xlfn.XLOOKUP(I118&amp;J118&amp;V118,PRICES!C:C&amp;PRICES!B:B&amp;PRICES!D:D,PRICES!G:G,"")),""))</f>
        <v/>
      </c>
      <c r="Y118" s="154" t="str">
        <f t="shared" ca="1" si="14"/>
        <v/>
      </c>
      <c r="Z118" s="154" t="str">
        <f t="shared" ca="1" si="15"/>
        <v/>
      </c>
      <c r="AA118" s="154" t="str">
        <f t="shared" ca="1" si="16"/>
        <v/>
      </c>
      <c r="AB118" s="154" t="str">
        <f t="shared" ca="1" si="17"/>
        <v/>
      </c>
      <c r="AC118" s="154" t="str">
        <f t="shared" ca="1" si="12"/>
        <v/>
      </c>
      <c r="AD118" s="154" t="str">
        <f>IF(Table13[[#This Row],[QUANTITY]]="","",
  IF(AND(Y118="",Z118="",AA118="",AB118="",AC118=""),
    U118*X118,
  ""))</f>
        <v/>
      </c>
      <c r="AE118" s="154" t="str">
        <f t="shared" ca="1" si="18"/>
        <v/>
      </c>
      <c r="AF118" s="154" t="str">
        <f t="shared" si="19"/>
        <v/>
      </c>
      <c r="AG118" s="154" t="str" cm="1">
        <f t="array" aca="1" ref="AG118" ca="1">IF(Table13[[#This Row],[TOTAL HIRE COST]]="","",IFERROR(IF(U118&lt;&gt;"",_xlfn.XLOOKUP(J118&amp;I118&amp;V118,PRICES!B:B&amp;PRICES!C:C&amp;PRICES!D:D,PRICES!H:H,"")),""))</f>
        <v/>
      </c>
      <c r="AH118" s="154" t="str" cm="1">
        <f t="array" aca="1" ref="AH118" ca="1">IF(Table13[[#This Row],[TOTAL HIRE COST]]="","",IFERROR(IF(U118&lt;&gt;"",_xlfn.XLOOKUP(J118&amp;I118&amp;V118,PRICES!B:B&amp;PRICES!C:C&amp;PRICES!D:D,PRICES!I:I,"")),""))</f>
        <v/>
      </c>
      <c r="AI118" s="154" t="str">
        <f ca="1">IF(Table13[[#This Row],[TOTAL HIRE COST]]="","",Table13[[#This Row],[TOTAL HIRE COST]]+Table13[[#This Row],[DELIVERY COST]]+Table13[[#This Row],[COLLECTION COST]])</f>
        <v/>
      </c>
      <c r="AJ118" s="153" t="str">
        <f>IF(Table13[[#This Row],[Date to Hire (DH)]]="","",YEAR(Table13[[#This Row],[Date to Hire (DH)]]))</f>
        <v/>
      </c>
      <c r="AK118" s="153" t="str">
        <f>IF(Table13[[#This Row],[Date to Hire (DH)]]="","",MONTH(Table13[[#This Row],[Date to Hire (DH)]]))</f>
        <v/>
      </c>
      <c r="AL118" s="153" t="str">
        <f>IF(Table13[[#This Row],[Date to Hire (DH)]]="","",WEEKNUM(Table13[[#This Row],[Date to Hire (DH)]]))</f>
        <v/>
      </c>
      <c r="AM118" s="153" t="str">
        <f>TEXT(Table13[[#This Row],[YEAR]],"0000")&amp;"-"&amp;Table13[[#This Row],[MONTH]]</f>
        <v>-</v>
      </c>
      <c r="AN118" s="153" t="str">
        <f>IF(Table13[[#This Row],[Date of Planned Offhire (DoPO) / If Applicable]]="","",YEAR(Table13[[#This Row],[Date of Planned Offhire (DoPO) / If Applicable]]))</f>
        <v/>
      </c>
      <c r="AO118" s="153" t="str">
        <f>IF(Table13[[#This Row],[Date of Planned Offhire (DoPO) / If Applicable]]="","",MONTH(Table13[[#This Row],[Date of Planned Offhire (DoPO) / If Applicable]]))</f>
        <v/>
      </c>
      <c r="AP118" s="153" t="str">
        <f>IF(Table13[[#This Row],[Date of Planned Offhire (DoPO) / If Applicable]]="","",WEEKNUM(Table13[[#This Row],[Date of Planned Offhire (DoPO) / If Applicable]]))</f>
        <v/>
      </c>
      <c r="AQ118" s="153" t="str">
        <f>TEXT(Table13[[#This Row],[YEAR2]],"0000")&amp;"-"&amp;Table13[[#This Row],[MONTH2]]</f>
        <v>-</v>
      </c>
      <c r="AR118" s="153" t="str">
        <f>IF(Table13[[#This Row],[Actual Date to Offhire (ADtO)]]="","",YEAR(Table13[[#This Row],[Actual Date to Offhire (ADtO)]]))</f>
        <v/>
      </c>
      <c r="AS118" s="153" t="str">
        <f>IF(Table13[[#This Row],[Actual Date to Offhire (ADtO)]]="","",MONTH(Table13[[#This Row],[Actual Date to Offhire (ADtO)]]))</f>
        <v/>
      </c>
      <c r="AT118" s="153" t="str">
        <f>IF(Table13[[#This Row],[Actual Date to Offhire (ADtO)]]="","",WEEKNUM(Table13[[#This Row],[Actual Date to Offhire (ADtO)]]))</f>
        <v/>
      </c>
      <c r="AU118" s="153" t="str">
        <f>TEXT(Table13[[#This Row],[YEAR3]],"0000")&amp;"-"&amp;Table13[[#This Row],[MONTH3]]</f>
        <v>-</v>
      </c>
      <c r="AV118" s="153">
        <f>IF(E118="",0,
  IF('Delivery Report'!A$2*100+'Delivery Report'!A$5 &lt; YEAR(E118)*100+WEEKNUM(E118), 0,
    IF(OR(G118="", 'Delivery Report'!A$2*100+'Delivery Report'!A$5 &lt;= YEAR(G118)*100+WEEKNUM(G118)),
      IF(LOWER(W118)="hourly", U118*X118*56,
      IF(LOWER(W118)="daily", U118*X118*7,
      IF(LOWER(W118)="weekly", U118*X118,
      IF(LOWER(W118)="monthly", U118*X118*12/52,
      IF(LOWER(W118)="yearly", U118*X118/52,
      IF(LOWER(W118)="one-off", U118*X118,
      0)))))),
    0)))</f>
        <v>0</v>
      </c>
    </row>
    <row r="119" spans="1:48" x14ac:dyDescent="0.3">
      <c r="A119" s="24"/>
      <c r="C119" s="176"/>
      <c r="E119" s="1"/>
      <c r="F119" s="1"/>
      <c r="G119" s="1"/>
      <c r="H119" s="164" t="s">
        <v>317</v>
      </c>
      <c r="P119" s="153" t="str">
        <f t="shared" si="13"/>
        <v/>
      </c>
      <c r="Q119" s="155">
        <f>IF(Table13[[#This Row],[HGVs (Collection)]]="",O119,Table13[[#This Row],[HGVs (Delivery)]]+Table13[[#This Row],[HGVs (Collection)]])</f>
        <v>0</v>
      </c>
      <c r="W119" s="153" t="str" cm="1">
        <f t="array" ref="W119">IF(Table13[[#This Row],[QUANTITY]]="","",IFERROR(IF(V119&lt;&gt;"",_xlfn.XLOOKUP(I119&amp;J119,PRICES!C:C&amp;PRICES!B:B,IF(PRICES!F:F&lt;&gt;"",PRICES!F:F,PRICES!E:E),"")),""))</f>
        <v/>
      </c>
      <c r="X119" s="154" t="str" cm="1">
        <f t="array" ref="X119">IF(Table13[[#This Row],[QUANTITY]]="","",IFERROR(IF(U119&lt;&gt;"",_xlfn.XLOOKUP(I119&amp;J119&amp;V119,PRICES!C:C&amp;PRICES!B:B&amp;PRICES!D:D,PRICES!G:G,"")),""))</f>
        <v/>
      </c>
      <c r="Y119" s="154" t="str">
        <f t="shared" ca="1" si="14"/>
        <v/>
      </c>
      <c r="Z119" s="154" t="str">
        <f t="shared" ca="1" si="15"/>
        <v/>
      </c>
      <c r="AA119" s="154" t="str">
        <f t="shared" ca="1" si="16"/>
        <v/>
      </c>
      <c r="AB119" s="154" t="str">
        <f t="shared" ca="1" si="17"/>
        <v/>
      </c>
      <c r="AC119" s="154" t="str">
        <f t="shared" ca="1" si="12"/>
        <v/>
      </c>
      <c r="AD119" s="154" t="str">
        <f>IF(Table13[[#This Row],[QUANTITY]]="","",
  IF(AND(Y119="",Z119="",AA119="",AB119="",AC119=""),
    U119*X119,
  ""))</f>
        <v/>
      </c>
      <c r="AE119" s="154" t="str">
        <f t="shared" ca="1" si="18"/>
        <v/>
      </c>
      <c r="AF119" s="154" t="str">
        <f t="shared" si="19"/>
        <v/>
      </c>
      <c r="AG119" s="154" t="str" cm="1">
        <f t="array" aca="1" ref="AG119" ca="1">IF(Table13[[#This Row],[TOTAL HIRE COST]]="","",IFERROR(IF(U119&lt;&gt;"",_xlfn.XLOOKUP(J119&amp;I119&amp;V119,PRICES!B:B&amp;PRICES!C:C&amp;PRICES!D:D,PRICES!H:H,"")),""))</f>
        <v/>
      </c>
      <c r="AH119" s="154" t="str" cm="1">
        <f t="array" aca="1" ref="AH119" ca="1">IF(Table13[[#This Row],[TOTAL HIRE COST]]="","",IFERROR(IF(U119&lt;&gt;"",_xlfn.XLOOKUP(J119&amp;I119&amp;V119,PRICES!B:B&amp;PRICES!C:C&amp;PRICES!D:D,PRICES!I:I,"")),""))</f>
        <v/>
      </c>
      <c r="AI119" s="154" t="str">
        <f ca="1">IF(Table13[[#This Row],[TOTAL HIRE COST]]="","",Table13[[#This Row],[TOTAL HIRE COST]]+Table13[[#This Row],[DELIVERY COST]]+Table13[[#This Row],[COLLECTION COST]])</f>
        <v/>
      </c>
      <c r="AJ119" s="153" t="str">
        <f>IF(Table13[[#This Row],[Date to Hire (DH)]]="","",YEAR(Table13[[#This Row],[Date to Hire (DH)]]))</f>
        <v/>
      </c>
      <c r="AK119" s="153" t="str">
        <f>IF(Table13[[#This Row],[Date to Hire (DH)]]="","",MONTH(Table13[[#This Row],[Date to Hire (DH)]]))</f>
        <v/>
      </c>
      <c r="AL119" s="153" t="str">
        <f>IF(Table13[[#This Row],[Date to Hire (DH)]]="","",WEEKNUM(Table13[[#This Row],[Date to Hire (DH)]]))</f>
        <v/>
      </c>
      <c r="AM119" s="153" t="str">
        <f>TEXT(Table13[[#This Row],[YEAR]],"0000")&amp;"-"&amp;Table13[[#This Row],[MONTH]]</f>
        <v>-</v>
      </c>
      <c r="AN119" s="153" t="str">
        <f>IF(Table13[[#This Row],[Date of Planned Offhire (DoPO) / If Applicable]]="","",YEAR(Table13[[#This Row],[Date of Planned Offhire (DoPO) / If Applicable]]))</f>
        <v/>
      </c>
      <c r="AO119" s="153" t="str">
        <f>IF(Table13[[#This Row],[Date of Planned Offhire (DoPO) / If Applicable]]="","",MONTH(Table13[[#This Row],[Date of Planned Offhire (DoPO) / If Applicable]]))</f>
        <v/>
      </c>
      <c r="AP119" s="153" t="str">
        <f>IF(Table13[[#This Row],[Date of Planned Offhire (DoPO) / If Applicable]]="","",WEEKNUM(Table13[[#This Row],[Date of Planned Offhire (DoPO) / If Applicable]]))</f>
        <v/>
      </c>
      <c r="AQ119" s="153" t="str">
        <f>TEXT(Table13[[#This Row],[YEAR2]],"0000")&amp;"-"&amp;Table13[[#This Row],[MONTH2]]</f>
        <v>-</v>
      </c>
      <c r="AR119" s="153" t="str">
        <f>IF(Table13[[#This Row],[Actual Date to Offhire (ADtO)]]="","",YEAR(Table13[[#This Row],[Actual Date to Offhire (ADtO)]]))</f>
        <v/>
      </c>
      <c r="AS119" s="153" t="str">
        <f>IF(Table13[[#This Row],[Actual Date to Offhire (ADtO)]]="","",MONTH(Table13[[#This Row],[Actual Date to Offhire (ADtO)]]))</f>
        <v/>
      </c>
      <c r="AT119" s="153" t="str">
        <f>IF(Table13[[#This Row],[Actual Date to Offhire (ADtO)]]="","",WEEKNUM(Table13[[#This Row],[Actual Date to Offhire (ADtO)]]))</f>
        <v/>
      </c>
      <c r="AU119" s="153" t="str">
        <f>TEXT(Table13[[#This Row],[YEAR3]],"0000")&amp;"-"&amp;Table13[[#This Row],[MONTH3]]</f>
        <v>-</v>
      </c>
      <c r="AV119" s="153">
        <f>IF(E119="",0,
  IF('Delivery Report'!A$2*100+'Delivery Report'!A$5 &lt; YEAR(E119)*100+WEEKNUM(E119), 0,
    IF(OR(G119="", 'Delivery Report'!A$2*100+'Delivery Report'!A$5 &lt;= YEAR(G119)*100+WEEKNUM(G119)),
      IF(LOWER(W119)="hourly", U119*X119*56,
      IF(LOWER(W119)="daily", U119*X119*7,
      IF(LOWER(W119)="weekly", U119*X119,
      IF(LOWER(W119)="monthly", U119*X119*12/52,
      IF(LOWER(W119)="yearly", U119*X119/52,
      IF(LOWER(W119)="one-off", U119*X119,
      0)))))),
    0)))</f>
        <v>0</v>
      </c>
    </row>
    <row r="120" spans="1:48" x14ac:dyDescent="0.3">
      <c r="A120" s="24"/>
      <c r="C120" s="176"/>
      <c r="E120" s="1"/>
      <c r="F120" s="1"/>
      <c r="G120" s="1"/>
      <c r="H120" s="164" t="s">
        <v>317</v>
      </c>
      <c r="P120" s="153" t="str">
        <f t="shared" si="13"/>
        <v/>
      </c>
      <c r="Q120" s="155">
        <f>IF(Table13[[#This Row],[HGVs (Collection)]]="",O120,Table13[[#This Row],[HGVs (Delivery)]]+Table13[[#This Row],[HGVs (Collection)]])</f>
        <v>0</v>
      </c>
      <c r="W120" s="153" t="str" cm="1">
        <f t="array" ref="W120">IF(Table13[[#This Row],[QUANTITY]]="","",IFERROR(IF(V120&lt;&gt;"",_xlfn.XLOOKUP(I120&amp;J120,PRICES!C:C&amp;PRICES!B:B,IF(PRICES!F:F&lt;&gt;"",PRICES!F:F,PRICES!E:E),"")),""))</f>
        <v/>
      </c>
      <c r="X120" s="154" t="str" cm="1">
        <f t="array" ref="X120">IF(Table13[[#This Row],[QUANTITY]]="","",IFERROR(IF(U120&lt;&gt;"",_xlfn.XLOOKUP(I120&amp;J120&amp;V120,PRICES!C:C&amp;PRICES!B:B&amp;PRICES!D:D,PRICES!G:G,"")),""))</f>
        <v/>
      </c>
      <c r="Y120" s="154" t="str">
        <f t="shared" ca="1" si="14"/>
        <v/>
      </c>
      <c r="Z120" s="154" t="str">
        <f t="shared" ca="1" si="15"/>
        <v/>
      </c>
      <c r="AA120" s="154" t="str">
        <f t="shared" ca="1" si="16"/>
        <v/>
      </c>
      <c r="AB120" s="154" t="str">
        <f t="shared" ca="1" si="17"/>
        <v/>
      </c>
      <c r="AC120" s="154" t="str">
        <f t="shared" ca="1" si="12"/>
        <v/>
      </c>
      <c r="AD120" s="154" t="str">
        <f>IF(Table13[[#This Row],[QUANTITY]]="","",
  IF(AND(Y120="",Z120="",AA120="",AB120="",AC120=""),
    U120*X120,
  ""))</f>
        <v/>
      </c>
      <c r="AE120" s="154" t="str">
        <f t="shared" ca="1" si="18"/>
        <v/>
      </c>
      <c r="AF120" s="154" t="str">
        <f t="shared" si="19"/>
        <v/>
      </c>
      <c r="AG120" s="154" t="str" cm="1">
        <f t="array" aca="1" ref="AG120" ca="1">IF(Table13[[#This Row],[TOTAL HIRE COST]]="","",IFERROR(IF(U120&lt;&gt;"",_xlfn.XLOOKUP(J120&amp;I120&amp;V120,PRICES!B:B&amp;PRICES!C:C&amp;PRICES!D:D,PRICES!H:H,"")),""))</f>
        <v/>
      </c>
      <c r="AH120" s="154" t="str" cm="1">
        <f t="array" aca="1" ref="AH120" ca="1">IF(Table13[[#This Row],[TOTAL HIRE COST]]="","",IFERROR(IF(U120&lt;&gt;"",_xlfn.XLOOKUP(J120&amp;I120&amp;V120,PRICES!B:B&amp;PRICES!C:C&amp;PRICES!D:D,PRICES!I:I,"")),""))</f>
        <v/>
      </c>
      <c r="AI120" s="154" t="str">
        <f ca="1">IF(Table13[[#This Row],[TOTAL HIRE COST]]="","",Table13[[#This Row],[TOTAL HIRE COST]]+Table13[[#This Row],[DELIVERY COST]]+Table13[[#This Row],[COLLECTION COST]])</f>
        <v/>
      </c>
      <c r="AJ120" s="153" t="str">
        <f>IF(Table13[[#This Row],[Date to Hire (DH)]]="","",YEAR(Table13[[#This Row],[Date to Hire (DH)]]))</f>
        <v/>
      </c>
      <c r="AK120" s="153" t="str">
        <f>IF(Table13[[#This Row],[Date to Hire (DH)]]="","",MONTH(Table13[[#This Row],[Date to Hire (DH)]]))</f>
        <v/>
      </c>
      <c r="AL120" s="153" t="str">
        <f>IF(Table13[[#This Row],[Date to Hire (DH)]]="","",WEEKNUM(Table13[[#This Row],[Date to Hire (DH)]]))</f>
        <v/>
      </c>
      <c r="AM120" s="153" t="str">
        <f>TEXT(Table13[[#This Row],[YEAR]],"0000")&amp;"-"&amp;Table13[[#This Row],[MONTH]]</f>
        <v>-</v>
      </c>
      <c r="AN120" s="153" t="str">
        <f>IF(Table13[[#This Row],[Date of Planned Offhire (DoPO) / If Applicable]]="","",YEAR(Table13[[#This Row],[Date of Planned Offhire (DoPO) / If Applicable]]))</f>
        <v/>
      </c>
      <c r="AO120" s="153" t="str">
        <f>IF(Table13[[#This Row],[Date of Planned Offhire (DoPO) / If Applicable]]="","",MONTH(Table13[[#This Row],[Date of Planned Offhire (DoPO) / If Applicable]]))</f>
        <v/>
      </c>
      <c r="AP120" s="153" t="str">
        <f>IF(Table13[[#This Row],[Date of Planned Offhire (DoPO) / If Applicable]]="","",WEEKNUM(Table13[[#This Row],[Date of Planned Offhire (DoPO) / If Applicable]]))</f>
        <v/>
      </c>
      <c r="AQ120" s="153" t="str">
        <f>TEXT(Table13[[#This Row],[YEAR2]],"0000")&amp;"-"&amp;Table13[[#This Row],[MONTH2]]</f>
        <v>-</v>
      </c>
      <c r="AR120" s="153" t="str">
        <f>IF(Table13[[#This Row],[Actual Date to Offhire (ADtO)]]="","",YEAR(Table13[[#This Row],[Actual Date to Offhire (ADtO)]]))</f>
        <v/>
      </c>
      <c r="AS120" s="153" t="str">
        <f>IF(Table13[[#This Row],[Actual Date to Offhire (ADtO)]]="","",MONTH(Table13[[#This Row],[Actual Date to Offhire (ADtO)]]))</f>
        <v/>
      </c>
      <c r="AT120" s="153" t="str">
        <f>IF(Table13[[#This Row],[Actual Date to Offhire (ADtO)]]="","",WEEKNUM(Table13[[#This Row],[Actual Date to Offhire (ADtO)]]))</f>
        <v/>
      </c>
      <c r="AU120" s="153" t="str">
        <f>TEXT(Table13[[#This Row],[YEAR3]],"0000")&amp;"-"&amp;Table13[[#This Row],[MONTH3]]</f>
        <v>-</v>
      </c>
      <c r="AV120" s="153">
        <f>IF(E120="",0,
  IF('Delivery Report'!A$2*100+'Delivery Report'!A$5 &lt; YEAR(E120)*100+WEEKNUM(E120), 0,
    IF(OR(G120="", 'Delivery Report'!A$2*100+'Delivery Report'!A$5 &lt;= YEAR(G120)*100+WEEKNUM(G120)),
      IF(LOWER(W120)="hourly", U120*X120*56,
      IF(LOWER(W120)="daily", U120*X120*7,
      IF(LOWER(W120)="weekly", U120*X120,
      IF(LOWER(W120)="monthly", U120*X120*12/52,
      IF(LOWER(W120)="yearly", U120*X120/52,
      IF(LOWER(W120)="one-off", U120*X120,
      0)))))),
    0)))</f>
        <v>0</v>
      </c>
    </row>
    <row r="121" spans="1:48" x14ac:dyDescent="0.3">
      <c r="A121" s="24"/>
      <c r="C121" s="176"/>
      <c r="E121" s="1"/>
      <c r="F121" s="1"/>
      <c r="G121" s="1"/>
      <c r="H121" s="164" t="s">
        <v>317</v>
      </c>
      <c r="P121" s="153" t="str">
        <f t="shared" si="13"/>
        <v/>
      </c>
      <c r="Q121" s="155">
        <f>IF(Table13[[#This Row],[HGVs (Collection)]]="",O121,Table13[[#This Row],[HGVs (Delivery)]]+Table13[[#This Row],[HGVs (Collection)]])</f>
        <v>0</v>
      </c>
      <c r="W121" s="153" t="str" cm="1">
        <f t="array" ref="W121">IF(Table13[[#This Row],[QUANTITY]]="","",IFERROR(IF(V121&lt;&gt;"",_xlfn.XLOOKUP(I121&amp;J121,PRICES!C:C&amp;PRICES!B:B,IF(PRICES!F:F&lt;&gt;"",PRICES!F:F,PRICES!E:E),"")),""))</f>
        <v/>
      </c>
      <c r="X121" s="154" t="str" cm="1">
        <f t="array" ref="X121">IF(Table13[[#This Row],[QUANTITY]]="","",IFERROR(IF(U121&lt;&gt;"",_xlfn.XLOOKUP(I121&amp;J121&amp;V121,PRICES!C:C&amp;PRICES!B:B&amp;PRICES!D:D,PRICES!G:G,"")),""))</f>
        <v/>
      </c>
      <c r="Y121" s="154" t="str">
        <f t="shared" ca="1" si="14"/>
        <v/>
      </c>
      <c r="Z121" s="154" t="str">
        <f t="shared" ca="1" si="15"/>
        <v/>
      </c>
      <c r="AA121" s="154" t="str">
        <f t="shared" ca="1" si="16"/>
        <v/>
      </c>
      <c r="AB121" s="154" t="str">
        <f t="shared" ca="1" si="17"/>
        <v/>
      </c>
      <c r="AC121" s="154" t="str">
        <f t="shared" ca="1" si="12"/>
        <v/>
      </c>
      <c r="AD121" s="154" t="str">
        <f>IF(Table13[[#This Row],[QUANTITY]]="","",
  IF(AND(Y121="",Z121="",AA121="",AB121="",AC121=""),
    U121*X121,
  ""))</f>
        <v/>
      </c>
      <c r="AE121" s="154" t="str">
        <f t="shared" ca="1" si="18"/>
        <v/>
      </c>
      <c r="AF121" s="154" t="str">
        <f t="shared" si="19"/>
        <v/>
      </c>
      <c r="AG121" s="154" t="str" cm="1">
        <f t="array" aca="1" ref="AG121" ca="1">IF(Table13[[#This Row],[TOTAL HIRE COST]]="","",IFERROR(IF(U121&lt;&gt;"",_xlfn.XLOOKUP(J121&amp;I121&amp;V121,PRICES!B:B&amp;PRICES!C:C&amp;PRICES!D:D,PRICES!H:H,"")),""))</f>
        <v/>
      </c>
      <c r="AH121" s="154" t="str" cm="1">
        <f t="array" aca="1" ref="AH121" ca="1">IF(Table13[[#This Row],[TOTAL HIRE COST]]="","",IFERROR(IF(U121&lt;&gt;"",_xlfn.XLOOKUP(J121&amp;I121&amp;V121,PRICES!B:B&amp;PRICES!C:C&amp;PRICES!D:D,PRICES!I:I,"")),""))</f>
        <v/>
      </c>
      <c r="AI121" s="154" t="str">
        <f ca="1">IF(Table13[[#This Row],[TOTAL HIRE COST]]="","",Table13[[#This Row],[TOTAL HIRE COST]]+Table13[[#This Row],[DELIVERY COST]]+Table13[[#This Row],[COLLECTION COST]])</f>
        <v/>
      </c>
      <c r="AJ121" s="153" t="str">
        <f>IF(Table13[[#This Row],[Date to Hire (DH)]]="","",YEAR(Table13[[#This Row],[Date to Hire (DH)]]))</f>
        <v/>
      </c>
      <c r="AK121" s="153" t="str">
        <f>IF(Table13[[#This Row],[Date to Hire (DH)]]="","",MONTH(Table13[[#This Row],[Date to Hire (DH)]]))</f>
        <v/>
      </c>
      <c r="AL121" s="153" t="str">
        <f>IF(Table13[[#This Row],[Date to Hire (DH)]]="","",WEEKNUM(Table13[[#This Row],[Date to Hire (DH)]]))</f>
        <v/>
      </c>
      <c r="AM121" s="153" t="str">
        <f>TEXT(Table13[[#This Row],[YEAR]],"0000")&amp;"-"&amp;Table13[[#This Row],[MONTH]]</f>
        <v>-</v>
      </c>
      <c r="AN121" s="153" t="str">
        <f>IF(Table13[[#This Row],[Date of Planned Offhire (DoPO) / If Applicable]]="","",YEAR(Table13[[#This Row],[Date of Planned Offhire (DoPO) / If Applicable]]))</f>
        <v/>
      </c>
      <c r="AO121" s="153" t="str">
        <f>IF(Table13[[#This Row],[Date of Planned Offhire (DoPO) / If Applicable]]="","",MONTH(Table13[[#This Row],[Date of Planned Offhire (DoPO) / If Applicable]]))</f>
        <v/>
      </c>
      <c r="AP121" s="153" t="str">
        <f>IF(Table13[[#This Row],[Date of Planned Offhire (DoPO) / If Applicable]]="","",WEEKNUM(Table13[[#This Row],[Date of Planned Offhire (DoPO) / If Applicable]]))</f>
        <v/>
      </c>
      <c r="AQ121" s="153" t="str">
        <f>TEXT(Table13[[#This Row],[YEAR2]],"0000")&amp;"-"&amp;Table13[[#This Row],[MONTH2]]</f>
        <v>-</v>
      </c>
      <c r="AR121" s="153" t="str">
        <f>IF(Table13[[#This Row],[Actual Date to Offhire (ADtO)]]="","",YEAR(Table13[[#This Row],[Actual Date to Offhire (ADtO)]]))</f>
        <v/>
      </c>
      <c r="AS121" s="153" t="str">
        <f>IF(Table13[[#This Row],[Actual Date to Offhire (ADtO)]]="","",MONTH(Table13[[#This Row],[Actual Date to Offhire (ADtO)]]))</f>
        <v/>
      </c>
      <c r="AT121" s="153" t="str">
        <f>IF(Table13[[#This Row],[Actual Date to Offhire (ADtO)]]="","",WEEKNUM(Table13[[#This Row],[Actual Date to Offhire (ADtO)]]))</f>
        <v/>
      </c>
      <c r="AU121" s="153" t="str">
        <f>TEXT(Table13[[#This Row],[YEAR3]],"0000")&amp;"-"&amp;Table13[[#This Row],[MONTH3]]</f>
        <v>-</v>
      </c>
      <c r="AV121" s="153">
        <f>IF(E121="",0,
  IF('Delivery Report'!A$2*100+'Delivery Report'!A$5 &lt; YEAR(E121)*100+WEEKNUM(E121), 0,
    IF(OR(G121="", 'Delivery Report'!A$2*100+'Delivery Report'!A$5 &lt;= YEAR(G121)*100+WEEKNUM(G121)),
      IF(LOWER(W121)="hourly", U121*X121*56,
      IF(LOWER(W121)="daily", U121*X121*7,
      IF(LOWER(W121)="weekly", U121*X121,
      IF(LOWER(W121)="monthly", U121*X121*12/52,
      IF(LOWER(W121)="yearly", U121*X121/52,
      IF(LOWER(W121)="one-off", U121*X121,
      0)))))),
    0)))</f>
        <v>0</v>
      </c>
    </row>
    <row r="122" spans="1:48" x14ac:dyDescent="0.3">
      <c r="A122" s="24"/>
      <c r="C122" s="176"/>
      <c r="E122" s="1"/>
      <c r="F122" s="1"/>
      <c r="G122" s="1"/>
      <c r="H122" s="164" t="s">
        <v>317</v>
      </c>
      <c r="P122" s="153" t="str">
        <f t="shared" si="13"/>
        <v/>
      </c>
      <c r="Q122" s="155">
        <f>IF(Table13[[#This Row],[HGVs (Collection)]]="",O122,Table13[[#This Row],[HGVs (Delivery)]]+Table13[[#This Row],[HGVs (Collection)]])</f>
        <v>0</v>
      </c>
      <c r="W122" s="153" t="str" cm="1">
        <f t="array" ref="W122">IF(Table13[[#This Row],[QUANTITY]]="","",IFERROR(IF(V122&lt;&gt;"",_xlfn.XLOOKUP(I122&amp;J122,PRICES!C:C&amp;PRICES!B:B,IF(PRICES!F:F&lt;&gt;"",PRICES!F:F,PRICES!E:E),"")),""))</f>
        <v/>
      </c>
      <c r="X122" s="154" t="str" cm="1">
        <f t="array" ref="X122">IF(Table13[[#This Row],[QUANTITY]]="","",IFERROR(IF(U122&lt;&gt;"",_xlfn.XLOOKUP(I122&amp;J122&amp;V122,PRICES!C:C&amp;PRICES!B:B&amp;PRICES!D:D,PRICES!G:G,"")),""))</f>
        <v/>
      </c>
      <c r="Y122" s="154" t="str">
        <f t="shared" ca="1" si="14"/>
        <v/>
      </c>
      <c r="Z122" s="154" t="str">
        <f t="shared" ca="1" si="15"/>
        <v/>
      </c>
      <c r="AA122" s="154" t="str">
        <f t="shared" ca="1" si="16"/>
        <v/>
      </c>
      <c r="AB122" s="154" t="str">
        <f t="shared" ca="1" si="17"/>
        <v/>
      </c>
      <c r="AC122" s="154" t="str">
        <f t="shared" ca="1" si="12"/>
        <v/>
      </c>
      <c r="AD122" s="154" t="str">
        <f>IF(Table13[[#This Row],[QUANTITY]]="","",
  IF(AND(Y122="",Z122="",AA122="",AB122="",AC122=""),
    U122*X122,
  ""))</f>
        <v/>
      </c>
      <c r="AE122" s="154" t="str">
        <f t="shared" ca="1" si="18"/>
        <v/>
      </c>
      <c r="AF122" s="154" t="str">
        <f t="shared" si="19"/>
        <v/>
      </c>
      <c r="AG122" s="154" t="str" cm="1">
        <f t="array" aca="1" ref="AG122" ca="1">IF(Table13[[#This Row],[TOTAL HIRE COST]]="","",IFERROR(IF(U122&lt;&gt;"",_xlfn.XLOOKUP(J122&amp;I122&amp;V122,PRICES!B:B&amp;PRICES!C:C&amp;PRICES!D:D,PRICES!H:H,"")),""))</f>
        <v/>
      </c>
      <c r="AH122" s="154" t="str" cm="1">
        <f t="array" aca="1" ref="AH122" ca="1">IF(Table13[[#This Row],[TOTAL HIRE COST]]="","",IFERROR(IF(U122&lt;&gt;"",_xlfn.XLOOKUP(J122&amp;I122&amp;V122,PRICES!B:B&amp;PRICES!C:C&amp;PRICES!D:D,PRICES!I:I,"")),""))</f>
        <v/>
      </c>
      <c r="AI122" s="154" t="str">
        <f ca="1">IF(Table13[[#This Row],[TOTAL HIRE COST]]="","",Table13[[#This Row],[TOTAL HIRE COST]]+Table13[[#This Row],[DELIVERY COST]]+Table13[[#This Row],[COLLECTION COST]])</f>
        <v/>
      </c>
      <c r="AJ122" s="153" t="str">
        <f>IF(Table13[[#This Row],[Date to Hire (DH)]]="","",YEAR(Table13[[#This Row],[Date to Hire (DH)]]))</f>
        <v/>
      </c>
      <c r="AK122" s="153" t="str">
        <f>IF(Table13[[#This Row],[Date to Hire (DH)]]="","",MONTH(Table13[[#This Row],[Date to Hire (DH)]]))</f>
        <v/>
      </c>
      <c r="AL122" s="153" t="str">
        <f>IF(Table13[[#This Row],[Date to Hire (DH)]]="","",WEEKNUM(Table13[[#This Row],[Date to Hire (DH)]]))</f>
        <v/>
      </c>
      <c r="AM122" s="153" t="str">
        <f>TEXT(Table13[[#This Row],[YEAR]],"0000")&amp;"-"&amp;Table13[[#This Row],[MONTH]]</f>
        <v>-</v>
      </c>
      <c r="AN122" s="153" t="str">
        <f>IF(Table13[[#This Row],[Date of Planned Offhire (DoPO) / If Applicable]]="","",YEAR(Table13[[#This Row],[Date of Planned Offhire (DoPO) / If Applicable]]))</f>
        <v/>
      </c>
      <c r="AO122" s="153" t="str">
        <f>IF(Table13[[#This Row],[Date of Planned Offhire (DoPO) / If Applicable]]="","",MONTH(Table13[[#This Row],[Date of Planned Offhire (DoPO) / If Applicable]]))</f>
        <v/>
      </c>
      <c r="AP122" s="153" t="str">
        <f>IF(Table13[[#This Row],[Date of Planned Offhire (DoPO) / If Applicable]]="","",WEEKNUM(Table13[[#This Row],[Date of Planned Offhire (DoPO) / If Applicable]]))</f>
        <v/>
      </c>
      <c r="AQ122" s="153" t="str">
        <f>TEXT(Table13[[#This Row],[YEAR2]],"0000")&amp;"-"&amp;Table13[[#This Row],[MONTH2]]</f>
        <v>-</v>
      </c>
      <c r="AR122" s="153" t="str">
        <f>IF(Table13[[#This Row],[Actual Date to Offhire (ADtO)]]="","",YEAR(Table13[[#This Row],[Actual Date to Offhire (ADtO)]]))</f>
        <v/>
      </c>
      <c r="AS122" s="153" t="str">
        <f>IF(Table13[[#This Row],[Actual Date to Offhire (ADtO)]]="","",MONTH(Table13[[#This Row],[Actual Date to Offhire (ADtO)]]))</f>
        <v/>
      </c>
      <c r="AT122" s="153" t="str">
        <f>IF(Table13[[#This Row],[Actual Date to Offhire (ADtO)]]="","",WEEKNUM(Table13[[#This Row],[Actual Date to Offhire (ADtO)]]))</f>
        <v/>
      </c>
      <c r="AU122" s="153" t="str">
        <f>TEXT(Table13[[#This Row],[YEAR3]],"0000")&amp;"-"&amp;Table13[[#This Row],[MONTH3]]</f>
        <v>-</v>
      </c>
      <c r="AV122" s="153">
        <f>IF(E122="",0,
  IF('Delivery Report'!A$2*100+'Delivery Report'!A$5 &lt; YEAR(E122)*100+WEEKNUM(E122), 0,
    IF(OR(G122="", 'Delivery Report'!A$2*100+'Delivery Report'!A$5 &lt;= YEAR(G122)*100+WEEKNUM(G122)),
      IF(LOWER(W122)="hourly", U122*X122*56,
      IF(LOWER(W122)="daily", U122*X122*7,
      IF(LOWER(W122)="weekly", U122*X122,
      IF(LOWER(W122)="monthly", U122*X122*12/52,
      IF(LOWER(W122)="yearly", U122*X122/52,
      IF(LOWER(W122)="one-off", U122*X122,
      0)))))),
    0)))</f>
        <v>0</v>
      </c>
    </row>
    <row r="123" spans="1:48" x14ac:dyDescent="0.3">
      <c r="A123" s="24"/>
      <c r="C123" s="176"/>
      <c r="E123" s="1"/>
      <c r="F123" s="1"/>
      <c r="G123" s="1"/>
      <c r="H123" s="164" t="s">
        <v>317</v>
      </c>
      <c r="P123" s="153" t="str">
        <f t="shared" si="13"/>
        <v/>
      </c>
      <c r="Q123" s="155">
        <f>IF(Table13[[#This Row],[HGVs (Collection)]]="",O123,Table13[[#This Row],[HGVs (Delivery)]]+Table13[[#This Row],[HGVs (Collection)]])</f>
        <v>0</v>
      </c>
      <c r="W123" s="153" t="str" cm="1">
        <f t="array" ref="W123">IF(Table13[[#This Row],[QUANTITY]]="","",IFERROR(IF(V123&lt;&gt;"",_xlfn.XLOOKUP(I123&amp;J123,PRICES!C:C&amp;PRICES!B:B,IF(PRICES!F:F&lt;&gt;"",PRICES!F:F,PRICES!E:E),"")),""))</f>
        <v/>
      </c>
      <c r="X123" s="154" t="str" cm="1">
        <f t="array" ref="X123">IF(Table13[[#This Row],[QUANTITY]]="","",IFERROR(IF(U123&lt;&gt;"",_xlfn.XLOOKUP(I123&amp;J123&amp;V123,PRICES!C:C&amp;PRICES!B:B&amp;PRICES!D:D,PRICES!G:G,"")),""))</f>
        <v/>
      </c>
      <c r="Y123" s="154" t="str">
        <f t="shared" ca="1" si="14"/>
        <v/>
      </c>
      <c r="Z123" s="154" t="str">
        <f t="shared" ca="1" si="15"/>
        <v/>
      </c>
      <c r="AA123" s="154" t="str">
        <f t="shared" ca="1" si="16"/>
        <v/>
      </c>
      <c r="AB123" s="154" t="str">
        <f t="shared" ca="1" si="17"/>
        <v/>
      </c>
      <c r="AC123" s="154" t="str">
        <f t="shared" ca="1" si="12"/>
        <v/>
      </c>
      <c r="AD123" s="154" t="str">
        <f>IF(Table13[[#This Row],[QUANTITY]]="","",
  IF(AND(Y123="",Z123="",AA123="",AB123="",AC123=""),
    U123*X123,
  ""))</f>
        <v/>
      </c>
      <c r="AE123" s="154" t="str">
        <f t="shared" ca="1" si="18"/>
        <v/>
      </c>
      <c r="AF123" s="154" t="str">
        <f t="shared" si="19"/>
        <v/>
      </c>
      <c r="AG123" s="154" t="str" cm="1">
        <f t="array" aca="1" ref="AG123" ca="1">IF(Table13[[#This Row],[TOTAL HIRE COST]]="","",IFERROR(IF(U123&lt;&gt;"",_xlfn.XLOOKUP(J123&amp;I123&amp;V123,PRICES!B:B&amp;PRICES!C:C&amp;PRICES!D:D,PRICES!H:H,"")),""))</f>
        <v/>
      </c>
      <c r="AH123" s="154" t="str" cm="1">
        <f t="array" aca="1" ref="AH123" ca="1">IF(Table13[[#This Row],[TOTAL HIRE COST]]="","",IFERROR(IF(U123&lt;&gt;"",_xlfn.XLOOKUP(J123&amp;I123&amp;V123,PRICES!B:B&amp;PRICES!C:C&amp;PRICES!D:D,PRICES!I:I,"")),""))</f>
        <v/>
      </c>
      <c r="AI123" s="154" t="str">
        <f ca="1">IF(Table13[[#This Row],[TOTAL HIRE COST]]="","",Table13[[#This Row],[TOTAL HIRE COST]]+Table13[[#This Row],[DELIVERY COST]]+Table13[[#This Row],[COLLECTION COST]])</f>
        <v/>
      </c>
      <c r="AJ123" s="153" t="str">
        <f>IF(Table13[[#This Row],[Date to Hire (DH)]]="","",YEAR(Table13[[#This Row],[Date to Hire (DH)]]))</f>
        <v/>
      </c>
      <c r="AK123" s="153" t="str">
        <f>IF(Table13[[#This Row],[Date to Hire (DH)]]="","",MONTH(Table13[[#This Row],[Date to Hire (DH)]]))</f>
        <v/>
      </c>
      <c r="AL123" s="153" t="str">
        <f>IF(Table13[[#This Row],[Date to Hire (DH)]]="","",WEEKNUM(Table13[[#This Row],[Date to Hire (DH)]]))</f>
        <v/>
      </c>
      <c r="AM123" s="153" t="str">
        <f>TEXT(Table13[[#This Row],[YEAR]],"0000")&amp;"-"&amp;Table13[[#This Row],[MONTH]]</f>
        <v>-</v>
      </c>
      <c r="AN123" s="153" t="str">
        <f>IF(Table13[[#This Row],[Date of Planned Offhire (DoPO) / If Applicable]]="","",YEAR(Table13[[#This Row],[Date of Planned Offhire (DoPO) / If Applicable]]))</f>
        <v/>
      </c>
      <c r="AO123" s="153" t="str">
        <f>IF(Table13[[#This Row],[Date of Planned Offhire (DoPO) / If Applicable]]="","",MONTH(Table13[[#This Row],[Date of Planned Offhire (DoPO) / If Applicable]]))</f>
        <v/>
      </c>
      <c r="AP123" s="153" t="str">
        <f>IF(Table13[[#This Row],[Date of Planned Offhire (DoPO) / If Applicable]]="","",WEEKNUM(Table13[[#This Row],[Date of Planned Offhire (DoPO) / If Applicable]]))</f>
        <v/>
      </c>
      <c r="AQ123" s="153" t="str">
        <f>TEXT(Table13[[#This Row],[YEAR2]],"0000")&amp;"-"&amp;Table13[[#This Row],[MONTH2]]</f>
        <v>-</v>
      </c>
      <c r="AR123" s="153" t="str">
        <f>IF(Table13[[#This Row],[Actual Date to Offhire (ADtO)]]="","",YEAR(Table13[[#This Row],[Actual Date to Offhire (ADtO)]]))</f>
        <v/>
      </c>
      <c r="AS123" s="153" t="str">
        <f>IF(Table13[[#This Row],[Actual Date to Offhire (ADtO)]]="","",MONTH(Table13[[#This Row],[Actual Date to Offhire (ADtO)]]))</f>
        <v/>
      </c>
      <c r="AT123" s="153" t="str">
        <f>IF(Table13[[#This Row],[Actual Date to Offhire (ADtO)]]="","",WEEKNUM(Table13[[#This Row],[Actual Date to Offhire (ADtO)]]))</f>
        <v/>
      </c>
      <c r="AU123" s="153" t="str">
        <f>TEXT(Table13[[#This Row],[YEAR3]],"0000")&amp;"-"&amp;Table13[[#This Row],[MONTH3]]</f>
        <v>-</v>
      </c>
      <c r="AV123" s="153">
        <f>IF(E123="",0,
  IF('Delivery Report'!A$2*100+'Delivery Report'!A$5 &lt; YEAR(E123)*100+WEEKNUM(E123), 0,
    IF(OR(G123="", 'Delivery Report'!A$2*100+'Delivery Report'!A$5 &lt;= YEAR(G123)*100+WEEKNUM(G123)),
      IF(LOWER(W123)="hourly", U123*X123*56,
      IF(LOWER(W123)="daily", U123*X123*7,
      IF(LOWER(W123)="weekly", U123*X123,
      IF(LOWER(W123)="monthly", U123*X123*12/52,
      IF(LOWER(W123)="yearly", U123*X123/52,
      IF(LOWER(W123)="one-off", U123*X123,
      0)))))),
    0)))</f>
        <v>0</v>
      </c>
    </row>
    <row r="124" spans="1:48" x14ac:dyDescent="0.3">
      <c r="A124" s="24"/>
      <c r="C124" s="176"/>
      <c r="E124" s="1"/>
      <c r="F124" s="1"/>
      <c r="G124" s="1"/>
      <c r="H124" s="164" t="str">
        <f t="shared" ref="H124:H131" si="20">IF(E124="","",IF(G124&lt;&gt;"","OFF-HIRED","ON HIRE"))</f>
        <v/>
      </c>
      <c r="P124" s="153" t="str">
        <f t="shared" si="13"/>
        <v/>
      </c>
      <c r="Q124" s="155">
        <f>IF(Table13[[#This Row],[HGVs (Collection)]]="",O124,Table13[[#This Row],[HGVs (Delivery)]]+Table13[[#This Row],[HGVs (Collection)]])</f>
        <v>0</v>
      </c>
      <c r="W124" s="153" t="str" cm="1">
        <f t="array" ref="W124">IF(Table13[[#This Row],[QUANTITY]]="","",IFERROR(IF(V124&lt;&gt;"",_xlfn.XLOOKUP(I124&amp;J124,PRICES!C:C&amp;PRICES!B:B,IF(PRICES!F:F&lt;&gt;"",PRICES!F:F,PRICES!E:E),"")),""))</f>
        <v/>
      </c>
      <c r="X124" s="154" t="str" cm="1">
        <f t="array" ref="X124">IF(Table13[[#This Row],[QUANTITY]]="","",IFERROR(IF(U124&lt;&gt;"",_xlfn.XLOOKUP(I124&amp;J124&amp;V124,PRICES!C:C&amp;PRICES!B:B&amp;PRICES!D:D,PRICES!G:G,"")),""))</f>
        <v/>
      </c>
      <c r="Y124" s="154" t="str">
        <f t="shared" ca="1" si="14"/>
        <v/>
      </c>
      <c r="Z124" s="154" t="str">
        <f t="shared" ca="1" si="15"/>
        <v/>
      </c>
      <c r="AA124" s="154" t="str">
        <f t="shared" ca="1" si="16"/>
        <v/>
      </c>
      <c r="AB124" s="154" t="str">
        <f t="shared" ca="1" si="17"/>
        <v/>
      </c>
      <c r="AC124" s="154" t="str">
        <f t="shared" ca="1" si="12"/>
        <v/>
      </c>
      <c r="AD124" s="154" t="str">
        <f>IF(Table13[[#This Row],[QUANTITY]]="","",
  IF(AND(Y124="",Z124="",AA124="",AB124="",AC124=""),
    U124*X124,
  ""))</f>
        <v/>
      </c>
      <c r="AE124" s="154" t="str">
        <f t="shared" ca="1" si="18"/>
        <v/>
      </c>
      <c r="AF124" s="154" t="str">
        <f t="shared" si="19"/>
        <v/>
      </c>
      <c r="AG124" s="154" t="str" cm="1">
        <f t="array" aca="1" ref="AG124" ca="1">IF(Table13[[#This Row],[TOTAL HIRE COST]]="","",IFERROR(IF(U124&lt;&gt;"",_xlfn.XLOOKUP(J124&amp;I124&amp;V124,PRICES!B:B&amp;PRICES!C:C&amp;PRICES!D:D,PRICES!H:H,"")),""))</f>
        <v/>
      </c>
      <c r="AH124" s="154" t="str" cm="1">
        <f t="array" aca="1" ref="AH124" ca="1">IF(Table13[[#This Row],[TOTAL HIRE COST]]="","",IFERROR(IF(U124&lt;&gt;"",_xlfn.XLOOKUP(J124&amp;I124&amp;V124,PRICES!B:B&amp;PRICES!C:C&amp;PRICES!D:D,PRICES!I:I,"")),""))</f>
        <v/>
      </c>
      <c r="AI124" s="154" t="str">
        <f ca="1">IF(Table13[[#This Row],[TOTAL HIRE COST]]="","",Table13[[#This Row],[TOTAL HIRE COST]]+Table13[[#This Row],[DELIVERY COST]]+Table13[[#This Row],[COLLECTION COST]])</f>
        <v/>
      </c>
      <c r="AJ124" s="153" t="str">
        <f>IF(Table13[[#This Row],[Date to Hire (DH)]]="","",YEAR(Table13[[#This Row],[Date to Hire (DH)]]))</f>
        <v/>
      </c>
      <c r="AK124" s="153" t="str">
        <f>IF(Table13[[#This Row],[Date to Hire (DH)]]="","",MONTH(Table13[[#This Row],[Date to Hire (DH)]]))</f>
        <v/>
      </c>
      <c r="AL124" s="153" t="str">
        <f>IF(Table13[[#This Row],[Date to Hire (DH)]]="","",WEEKNUM(Table13[[#This Row],[Date to Hire (DH)]]))</f>
        <v/>
      </c>
      <c r="AM124" s="153" t="str">
        <f>TEXT(Table13[[#This Row],[YEAR]],"0000")&amp;"-"&amp;Table13[[#This Row],[MONTH]]</f>
        <v>-</v>
      </c>
      <c r="AN124" s="153" t="str">
        <f>IF(Table13[[#This Row],[Date of Planned Offhire (DoPO) / If Applicable]]="","",YEAR(Table13[[#This Row],[Date of Planned Offhire (DoPO) / If Applicable]]))</f>
        <v/>
      </c>
      <c r="AO124" s="153" t="str">
        <f>IF(Table13[[#This Row],[Date of Planned Offhire (DoPO) / If Applicable]]="","",MONTH(Table13[[#This Row],[Date of Planned Offhire (DoPO) / If Applicable]]))</f>
        <v/>
      </c>
      <c r="AP124" s="153" t="str">
        <f>IF(Table13[[#This Row],[Date of Planned Offhire (DoPO) / If Applicable]]="","",WEEKNUM(Table13[[#This Row],[Date of Planned Offhire (DoPO) / If Applicable]]))</f>
        <v/>
      </c>
      <c r="AQ124" s="153" t="str">
        <f>TEXT(Table13[[#This Row],[YEAR2]],"0000")&amp;"-"&amp;Table13[[#This Row],[MONTH2]]</f>
        <v>-</v>
      </c>
      <c r="AR124" s="153" t="str">
        <f>IF(Table13[[#This Row],[Actual Date to Offhire (ADtO)]]="","",YEAR(Table13[[#This Row],[Actual Date to Offhire (ADtO)]]))</f>
        <v/>
      </c>
      <c r="AS124" s="153" t="str">
        <f>IF(Table13[[#This Row],[Actual Date to Offhire (ADtO)]]="","",MONTH(Table13[[#This Row],[Actual Date to Offhire (ADtO)]]))</f>
        <v/>
      </c>
      <c r="AT124" s="153" t="str">
        <f>IF(Table13[[#This Row],[Actual Date to Offhire (ADtO)]]="","",WEEKNUM(Table13[[#This Row],[Actual Date to Offhire (ADtO)]]))</f>
        <v/>
      </c>
      <c r="AU124" s="153" t="str">
        <f>TEXT(Table13[[#This Row],[YEAR3]],"0000")&amp;"-"&amp;Table13[[#This Row],[MONTH3]]</f>
        <v>-</v>
      </c>
      <c r="AV124" s="153">
        <f>IF(E124="",0,
  IF('Delivery Report'!A$2*100+'Delivery Report'!A$5 &lt; YEAR(E124)*100+WEEKNUM(E124), 0,
    IF(OR(G124="", 'Delivery Report'!A$2*100+'Delivery Report'!A$5 &lt;= YEAR(G124)*100+WEEKNUM(G124)),
      IF(LOWER(W124)="hourly", U124*X124*56,
      IF(LOWER(W124)="daily", U124*X124*7,
      IF(LOWER(W124)="weekly", U124*X124,
      IF(LOWER(W124)="monthly", U124*X124*12/52,
      IF(LOWER(W124)="yearly", U124*X124/52,
      IF(LOWER(W124)="one-off", U124*X124,
      0)))))),
    0)))</f>
        <v>0</v>
      </c>
    </row>
    <row r="125" spans="1:48" x14ac:dyDescent="0.3">
      <c r="A125" s="24"/>
      <c r="C125" s="176"/>
      <c r="E125" s="1"/>
      <c r="F125" s="1"/>
      <c r="G125" s="1"/>
      <c r="H125" s="164" t="str">
        <f t="shared" si="20"/>
        <v/>
      </c>
      <c r="P125" s="153" t="str">
        <f t="shared" si="13"/>
        <v/>
      </c>
      <c r="Q125" s="155">
        <f>IF(Table13[[#This Row],[HGVs (Collection)]]="",O125,Table13[[#This Row],[HGVs (Delivery)]]+Table13[[#This Row],[HGVs (Collection)]])</f>
        <v>0</v>
      </c>
      <c r="W125" s="153" t="str" cm="1">
        <f t="array" ref="W125">IF(Table13[[#This Row],[QUANTITY]]="","",IFERROR(IF(V125&lt;&gt;"",_xlfn.XLOOKUP(I125&amp;J125,PRICES!C:C&amp;PRICES!B:B,IF(PRICES!F:F&lt;&gt;"",PRICES!F:F,PRICES!E:E),"")),""))</f>
        <v/>
      </c>
      <c r="X125" s="154" t="str" cm="1">
        <f t="array" ref="X125">IF(Table13[[#This Row],[QUANTITY]]="","",IFERROR(IF(U125&lt;&gt;"",_xlfn.XLOOKUP(I125&amp;J125&amp;V125,PRICES!C:C&amp;PRICES!B:B&amp;PRICES!D:D,PRICES!G:G,"")),""))</f>
        <v/>
      </c>
      <c r="Y125" s="154" t="str">
        <f t="shared" ca="1" si="14"/>
        <v/>
      </c>
      <c r="Z125" s="154" t="str">
        <f t="shared" ca="1" si="15"/>
        <v/>
      </c>
      <c r="AA125" s="154" t="str">
        <f t="shared" ca="1" si="16"/>
        <v/>
      </c>
      <c r="AB125" s="154" t="str">
        <f t="shared" ca="1" si="17"/>
        <v/>
      </c>
      <c r="AC125" s="154" t="str">
        <f t="shared" ca="1" si="12"/>
        <v/>
      </c>
      <c r="AD125" s="154" t="str">
        <f>IF(Table13[[#This Row],[QUANTITY]]="","",
  IF(AND(Y125="",Z125="",AA125="",AB125="",AC125=""),
    U125*X125,
  ""))</f>
        <v/>
      </c>
      <c r="AE125" s="154" t="str">
        <f t="shared" ca="1" si="18"/>
        <v/>
      </c>
      <c r="AF125" s="154" t="str">
        <f t="shared" si="19"/>
        <v/>
      </c>
      <c r="AG125" s="154" t="str" cm="1">
        <f t="array" aca="1" ref="AG125" ca="1">IF(Table13[[#This Row],[TOTAL HIRE COST]]="","",IFERROR(IF(U125&lt;&gt;"",_xlfn.XLOOKUP(J125&amp;I125&amp;V125,PRICES!B:B&amp;PRICES!C:C&amp;PRICES!D:D,PRICES!H:H,"")),""))</f>
        <v/>
      </c>
      <c r="AH125" s="154" t="str" cm="1">
        <f t="array" aca="1" ref="AH125" ca="1">IF(Table13[[#This Row],[TOTAL HIRE COST]]="","",IFERROR(IF(U125&lt;&gt;"",_xlfn.XLOOKUP(J125&amp;I125&amp;V125,PRICES!B:B&amp;PRICES!C:C&amp;PRICES!D:D,PRICES!I:I,"")),""))</f>
        <v/>
      </c>
      <c r="AI125" s="154" t="str">
        <f ca="1">IF(Table13[[#This Row],[TOTAL HIRE COST]]="","",Table13[[#This Row],[TOTAL HIRE COST]]+Table13[[#This Row],[DELIVERY COST]]+Table13[[#This Row],[COLLECTION COST]])</f>
        <v/>
      </c>
      <c r="AJ125" s="153" t="str">
        <f>IF(Table13[[#This Row],[Date to Hire (DH)]]="","",YEAR(Table13[[#This Row],[Date to Hire (DH)]]))</f>
        <v/>
      </c>
      <c r="AK125" s="153" t="str">
        <f>IF(Table13[[#This Row],[Date to Hire (DH)]]="","",MONTH(Table13[[#This Row],[Date to Hire (DH)]]))</f>
        <v/>
      </c>
      <c r="AL125" s="153" t="str">
        <f>IF(Table13[[#This Row],[Date to Hire (DH)]]="","",WEEKNUM(Table13[[#This Row],[Date to Hire (DH)]]))</f>
        <v/>
      </c>
      <c r="AM125" s="153" t="str">
        <f>TEXT(Table13[[#This Row],[YEAR]],"0000")&amp;"-"&amp;Table13[[#This Row],[MONTH]]</f>
        <v>-</v>
      </c>
      <c r="AN125" s="153" t="str">
        <f>IF(Table13[[#This Row],[Date of Planned Offhire (DoPO) / If Applicable]]="","",YEAR(Table13[[#This Row],[Date of Planned Offhire (DoPO) / If Applicable]]))</f>
        <v/>
      </c>
      <c r="AO125" s="153" t="str">
        <f>IF(Table13[[#This Row],[Date of Planned Offhire (DoPO) / If Applicable]]="","",MONTH(Table13[[#This Row],[Date of Planned Offhire (DoPO) / If Applicable]]))</f>
        <v/>
      </c>
      <c r="AP125" s="153" t="str">
        <f>IF(Table13[[#This Row],[Date of Planned Offhire (DoPO) / If Applicable]]="","",WEEKNUM(Table13[[#This Row],[Date of Planned Offhire (DoPO) / If Applicable]]))</f>
        <v/>
      </c>
      <c r="AQ125" s="153" t="str">
        <f>TEXT(Table13[[#This Row],[YEAR2]],"0000")&amp;"-"&amp;Table13[[#This Row],[MONTH2]]</f>
        <v>-</v>
      </c>
      <c r="AR125" s="153" t="str">
        <f>IF(Table13[[#This Row],[Actual Date to Offhire (ADtO)]]="","",YEAR(Table13[[#This Row],[Actual Date to Offhire (ADtO)]]))</f>
        <v/>
      </c>
      <c r="AS125" s="153" t="str">
        <f>IF(Table13[[#This Row],[Actual Date to Offhire (ADtO)]]="","",MONTH(Table13[[#This Row],[Actual Date to Offhire (ADtO)]]))</f>
        <v/>
      </c>
      <c r="AT125" s="153" t="str">
        <f>IF(Table13[[#This Row],[Actual Date to Offhire (ADtO)]]="","",WEEKNUM(Table13[[#This Row],[Actual Date to Offhire (ADtO)]]))</f>
        <v/>
      </c>
      <c r="AU125" s="153" t="str">
        <f>TEXT(Table13[[#This Row],[YEAR3]],"0000")&amp;"-"&amp;Table13[[#This Row],[MONTH3]]</f>
        <v>-</v>
      </c>
      <c r="AV125" s="153">
        <f>IF(E125="",0,
  IF('Delivery Report'!A$2*100+'Delivery Report'!A$5 &lt; YEAR(E125)*100+WEEKNUM(E125), 0,
    IF(OR(G125="", 'Delivery Report'!A$2*100+'Delivery Report'!A$5 &lt;= YEAR(G125)*100+WEEKNUM(G125)),
      IF(LOWER(W125)="hourly", U125*X125*56,
      IF(LOWER(W125)="daily", U125*X125*7,
      IF(LOWER(W125)="weekly", U125*X125,
      IF(LOWER(W125)="monthly", U125*X125*12/52,
      IF(LOWER(W125)="yearly", U125*X125/52,
      IF(LOWER(W125)="one-off", U125*X125,
      0)))))),
    0)))</f>
        <v>0</v>
      </c>
    </row>
    <row r="126" spans="1:48" x14ac:dyDescent="0.3">
      <c r="A126" s="24"/>
      <c r="C126" s="176"/>
      <c r="E126" s="1"/>
      <c r="F126" s="1"/>
      <c r="G126" s="1"/>
      <c r="H126" s="164" t="str">
        <f t="shared" si="20"/>
        <v/>
      </c>
      <c r="P126" s="153" t="str">
        <f t="shared" si="13"/>
        <v/>
      </c>
      <c r="Q126" s="155">
        <f>IF(Table13[[#This Row],[HGVs (Collection)]]="",O126,Table13[[#This Row],[HGVs (Delivery)]]+Table13[[#This Row],[HGVs (Collection)]])</f>
        <v>0</v>
      </c>
      <c r="W126" s="153" t="str" cm="1">
        <f t="array" ref="W126">IF(Table13[[#This Row],[QUANTITY]]="","",IFERROR(IF(V126&lt;&gt;"",_xlfn.XLOOKUP(I126&amp;J126,PRICES!C:C&amp;PRICES!B:B,IF(PRICES!F:F&lt;&gt;"",PRICES!F:F,PRICES!E:E),"")),""))</f>
        <v/>
      </c>
      <c r="X126" s="154" t="str" cm="1">
        <f t="array" ref="X126">IF(Table13[[#This Row],[QUANTITY]]="","",IFERROR(IF(U126&lt;&gt;"",_xlfn.XLOOKUP(I126&amp;J126&amp;V126,PRICES!C:C&amp;PRICES!B:B&amp;PRICES!D:D,PRICES!G:G,"")),""))</f>
        <v/>
      </c>
      <c r="Y126" s="154" t="str">
        <f t="shared" ca="1" si="14"/>
        <v/>
      </c>
      <c r="Z126" s="154" t="str">
        <f t="shared" ca="1" si="15"/>
        <v/>
      </c>
      <c r="AA126" s="154" t="str">
        <f t="shared" ca="1" si="16"/>
        <v/>
      </c>
      <c r="AB126" s="154" t="str">
        <f t="shared" ca="1" si="17"/>
        <v/>
      </c>
      <c r="AC126" s="154" t="str">
        <f t="shared" ca="1" si="12"/>
        <v/>
      </c>
      <c r="AD126" s="154" t="str">
        <f>IF(Table13[[#This Row],[QUANTITY]]="","",
  IF(AND(Y126="",Z126="",AA126="",AB126="",AC126=""),
    U126*X126,
  ""))</f>
        <v/>
      </c>
      <c r="AE126" s="154" t="str">
        <f t="shared" ca="1" si="18"/>
        <v/>
      </c>
      <c r="AF126" s="154" t="str">
        <f t="shared" si="19"/>
        <v/>
      </c>
      <c r="AG126" s="154" t="str" cm="1">
        <f t="array" aca="1" ref="AG126" ca="1">IF(Table13[[#This Row],[TOTAL HIRE COST]]="","",IFERROR(IF(U126&lt;&gt;"",_xlfn.XLOOKUP(J126&amp;I126&amp;V126,PRICES!B:B&amp;PRICES!C:C&amp;PRICES!D:D,PRICES!H:H,"")),""))</f>
        <v/>
      </c>
      <c r="AH126" s="154" t="str" cm="1">
        <f t="array" aca="1" ref="AH126" ca="1">IF(Table13[[#This Row],[TOTAL HIRE COST]]="","",IFERROR(IF(U126&lt;&gt;"",_xlfn.XLOOKUP(J126&amp;I126&amp;V126,PRICES!B:B&amp;PRICES!C:C&amp;PRICES!D:D,PRICES!I:I,"")),""))</f>
        <v/>
      </c>
      <c r="AI126" s="154" t="str">
        <f ca="1">IF(Table13[[#This Row],[TOTAL HIRE COST]]="","",Table13[[#This Row],[TOTAL HIRE COST]]+Table13[[#This Row],[DELIVERY COST]]+Table13[[#This Row],[COLLECTION COST]])</f>
        <v/>
      </c>
      <c r="AJ126" s="153" t="str">
        <f>IF(Table13[[#This Row],[Date to Hire (DH)]]="","",YEAR(Table13[[#This Row],[Date to Hire (DH)]]))</f>
        <v/>
      </c>
      <c r="AK126" s="153" t="str">
        <f>IF(Table13[[#This Row],[Date to Hire (DH)]]="","",MONTH(Table13[[#This Row],[Date to Hire (DH)]]))</f>
        <v/>
      </c>
      <c r="AL126" s="153" t="str">
        <f>IF(Table13[[#This Row],[Date to Hire (DH)]]="","",WEEKNUM(Table13[[#This Row],[Date to Hire (DH)]]))</f>
        <v/>
      </c>
      <c r="AM126" s="153" t="str">
        <f>TEXT(Table13[[#This Row],[YEAR]],"0000")&amp;"-"&amp;Table13[[#This Row],[MONTH]]</f>
        <v>-</v>
      </c>
      <c r="AN126" s="153" t="str">
        <f>IF(Table13[[#This Row],[Date of Planned Offhire (DoPO) / If Applicable]]="","",YEAR(Table13[[#This Row],[Date of Planned Offhire (DoPO) / If Applicable]]))</f>
        <v/>
      </c>
      <c r="AO126" s="153" t="str">
        <f>IF(Table13[[#This Row],[Date of Planned Offhire (DoPO) / If Applicable]]="","",MONTH(Table13[[#This Row],[Date of Planned Offhire (DoPO) / If Applicable]]))</f>
        <v/>
      </c>
      <c r="AP126" s="153" t="str">
        <f>IF(Table13[[#This Row],[Date of Planned Offhire (DoPO) / If Applicable]]="","",WEEKNUM(Table13[[#This Row],[Date of Planned Offhire (DoPO) / If Applicable]]))</f>
        <v/>
      </c>
      <c r="AQ126" s="153" t="str">
        <f>TEXT(Table13[[#This Row],[YEAR2]],"0000")&amp;"-"&amp;Table13[[#This Row],[MONTH2]]</f>
        <v>-</v>
      </c>
      <c r="AR126" s="153" t="str">
        <f>IF(Table13[[#This Row],[Actual Date to Offhire (ADtO)]]="","",YEAR(Table13[[#This Row],[Actual Date to Offhire (ADtO)]]))</f>
        <v/>
      </c>
      <c r="AS126" s="153" t="str">
        <f>IF(Table13[[#This Row],[Actual Date to Offhire (ADtO)]]="","",MONTH(Table13[[#This Row],[Actual Date to Offhire (ADtO)]]))</f>
        <v/>
      </c>
      <c r="AT126" s="153" t="str">
        <f>IF(Table13[[#This Row],[Actual Date to Offhire (ADtO)]]="","",WEEKNUM(Table13[[#This Row],[Actual Date to Offhire (ADtO)]]))</f>
        <v/>
      </c>
      <c r="AU126" s="153" t="str">
        <f>TEXT(Table13[[#This Row],[YEAR3]],"0000")&amp;"-"&amp;Table13[[#This Row],[MONTH3]]</f>
        <v>-</v>
      </c>
      <c r="AV126" s="153">
        <f>IF(E126="",0,
  IF('Delivery Report'!A$2*100+'Delivery Report'!A$5 &lt; YEAR(E126)*100+WEEKNUM(E126), 0,
    IF(OR(G126="", 'Delivery Report'!A$2*100+'Delivery Report'!A$5 &lt;= YEAR(G126)*100+WEEKNUM(G126)),
      IF(LOWER(W126)="hourly", U126*X126*56,
      IF(LOWER(W126)="daily", U126*X126*7,
      IF(LOWER(W126)="weekly", U126*X126,
      IF(LOWER(W126)="monthly", U126*X126*12/52,
      IF(LOWER(W126)="yearly", U126*X126/52,
      IF(LOWER(W126)="one-off", U126*X126,
      0)))))),
    0)))</f>
        <v>0</v>
      </c>
    </row>
    <row r="127" spans="1:48" x14ac:dyDescent="0.3">
      <c r="A127" s="24"/>
      <c r="C127" s="176"/>
      <c r="E127" s="1"/>
      <c r="F127" s="1"/>
      <c r="G127" s="1"/>
      <c r="H127" s="164" t="str">
        <f t="shared" si="20"/>
        <v/>
      </c>
      <c r="P127" s="153" t="str">
        <f t="shared" si="13"/>
        <v/>
      </c>
      <c r="Q127" s="155">
        <f>IF(Table13[[#This Row],[HGVs (Collection)]]="",O127,Table13[[#This Row],[HGVs (Delivery)]]+Table13[[#This Row],[HGVs (Collection)]])</f>
        <v>0</v>
      </c>
      <c r="W127" s="153" t="str" cm="1">
        <f t="array" ref="W127">IF(Table13[[#This Row],[QUANTITY]]="","",IFERROR(IF(V127&lt;&gt;"",_xlfn.XLOOKUP(I127&amp;J127,PRICES!C:C&amp;PRICES!B:B,IF(PRICES!F:F&lt;&gt;"",PRICES!F:F,PRICES!E:E),"")),""))</f>
        <v/>
      </c>
      <c r="X127" s="154" t="str" cm="1">
        <f t="array" ref="X127">IF(Table13[[#This Row],[QUANTITY]]="","",IFERROR(IF(U127&lt;&gt;"",_xlfn.XLOOKUP(I127&amp;J127&amp;V127,PRICES!C:C&amp;PRICES!B:B&amp;PRICES!D:D,PRICES!G:G,"")),""))</f>
        <v/>
      </c>
      <c r="Y127" s="154" t="str">
        <f t="shared" ca="1" si="14"/>
        <v/>
      </c>
      <c r="Z127" s="154" t="str">
        <f t="shared" ca="1" si="15"/>
        <v/>
      </c>
      <c r="AA127" s="154" t="str">
        <f t="shared" ca="1" si="16"/>
        <v/>
      </c>
      <c r="AB127" s="154" t="str">
        <f t="shared" ca="1" si="17"/>
        <v/>
      </c>
      <c r="AC127" s="154" t="str">
        <f t="shared" ca="1" si="12"/>
        <v/>
      </c>
      <c r="AD127" s="154" t="str">
        <f>IF(Table13[[#This Row],[QUANTITY]]="","",
  IF(AND(Y127="",Z127="",AA127="",AB127="",AC127=""),
    U127*X127,
  ""))</f>
        <v/>
      </c>
      <c r="AE127" s="154" t="str">
        <f t="shared" ca="1" si="18"/>
        <v/>
      </c>
      <c r="AF127" s="154" t="str">
        <f t="shared" si="19"/>
        <v/>
      </c>
      <c r="AG127" s="154" t="str" cm="1">
        <f t="array" aca="1" ref="AG127" ca="1">IF(Table13[[#This Row],[TOTAL HIRE COST]]="","",IFERROR(IF(U127&lt;&gt;"",_xlfn.XLOOKUP(J127&amp;I127&amp;V127,PRICES!B:B&amp;PRICES!C:C&amp;PRICES!D:D,PRICES!H:H,"")),""))</f>
        <v/>
      </c>
      <c r="AH127" s="154" t="str" cm="1">
        <f t="array" aca="1" ref="AH127" ca="1">IF(Table13[[#This Row],[TOTAL HIRE COST]]="","",IFERROR(IF(U127&lt;&gt;"",_xlfn.XLOOKUP(J127&amp;I127&amp;V127,PRICES!B:B&amp;PRICES!C:C&amp;PRICES!D:D,PRICES!I:I,"")),""))</f>
        <v/>
      </c>
      <c r="AI127" s="154" t="str">
        <f ca="1">IF(Table13[[#This Row],[TOTAL HIRE COST]]="","",Table13[[#This Row],[TOTAL HIRE COST]]+Table13[[#This Row],[DELIVERY COST]]+Table13[[#This Row],[COLLECTION COST]])</f>
        <v/>
      </c>
      <c r="AJ127" s="153" t="str">
        <f>IF(Table13[[#This Row],[Date to Hire (DH)]]="","",YEAR(Table13[[#This Row],[Date to Hire (DH)]]))</f>
        <v/>
      </c>
      <c r="AK127" s="153" t="str">
        <f>IF(Table13[[#This Row],[Date to Hire (DH)]]="","",MONTH(Table13[[#This Row],[Date to Hire (DH)]]))</f>
        <v/>
      </c>
      <c r="AL127" s="153" t="str">
        <f>IF(Table13[[#This Row],[Date to Hire (DH)]]="","",WEEKNUM(Table13[[#This Row],[Date to Hire (DH)]]))</f>
        <v/>
      </c>
      <c r="AM127" s="153" t="str">
        <f>TEXT(Table13[[#This Row],[YEAR]],"0000")&amp;"-"&amp;Table13[[#This Row],[MONTH]]</f>
        <v>-</v>
      </c>
      <c r="AN127" s="153" t="str">
        <f>IF(Table13[[#This Row],[Date of Planned Offhire (DoPO) / If Applicable]]="","",YEAR(Table13[[#This Row],[Date of Planned Offhire (DoPO) / If Applicable]]))</f>
        <v/>
      </c>
      <c r="AO127" s="153" t="str">
        <f>IF(Table13[[#This Row],[Date of Planned Offhire (DoPO) / If Applicable]]="","",MONTH(Table13[[#This Row],[Date of Planned Offhire (DoPO) / If Applicable]]))</f>
        <v/>
      </c>
      <c r="AP127" s="153" t="str">
        <f>IF(Table13[[#This Row],[Date of Planned Offhire (DoPO) / If Applicable]]="","",WEEKNUM(Table13[[#This Row],[Date of Planned Offhire (DoPO) / If Applicable]]))</f>
        <v/>
      </c>
      <c r="AQ127" s="153" t="str">
        <f>TEXT(Table13[[#This Row],[YEAR2]],"0000")&amp;"-"&amp;Table13[[#This Row],[MONTH2]]</f>
        <v>-</v>
      </c>
      <c r="AR127" s="153" t="str">
        <f>IF(Table13[[#This Row],[Actual Date to Offhire (ADtO)]]="","",YEAR(Table13[[#This Row],[Actual Date to Offhire (ADtO)]]))</f>
        <v/>
      </c>
      <c r="AS127" s="153" t="str">
        <f>IF(Table13[[#This Row],[Actual Date to Offhire (ADtO)]]="","",MONTH(Table13[[#This Row],[Actual Date to Offhire (ADtO)]]))</f>
        <v/>
      </c>
      <c r="AT127" s="153" t="str">
        <f>IF(Table13[[#This Row],[Actual Date to Offhire (ADtO)]]="","",WEEKNUM(Table13[[#This Row],[Actual Date to Offhire (ADtO)]]))</f>
        <v/>
      </c>
      <c r="AU127" s="153" t="str">
        <f>TEXT(Table13[[#This Row],[YEAR3]],"0000")&amp;"-"&amp;Table13[[#This Row],[MONTH3]]</f>
        <v>-</v>
      </c>
      <c r="AV127" s="153">
        <f>IF(E127="",0,
  IF('Delivery Report'!A$2*100+'Delivery Report'!A$5 &lt; YEAR(E127)*100+WEEKNUM(E127), 0,
    IF(OR(G127="", 'Delivery Report'!A$2*100+'Delivery Report'!A$5 &lt;= YEAR(G127)*100+WEEKNUM(G127)),
      IF(LOWER(W127)="hourly", U127*X127*56,
      IF(LOWER(W127)="daily", U127*X127*7,
      IF(LOWER(W127)="weekly", U127*X127,
      IF(LOWER(W127)="monthly", U127*X127*12/52,
      IF(LOWER(W127)="yearly", U127*X127/52,
      IF(LOWER(W127)="one-off", U127*X127,
      0)))))),
    0)))</f>
        <v>0</v>
      </c>
    </row>
    <row r="128" spans="1:48" x14ac:dyDescent="0.3">
      <c r="A128" s="24"/>
      <c r="C128" s="176"/>
      <c r="E128" s="1"/>
      <c r="F128" s="1"/>
      <c r="G128" s="1"/>
      <c r="H128" s="164" t="str">
        <f t="shared" si="20"/>
        <v/>
      </c>
      <c r="P128" s="153" t="str">
        <f t="shared" si="13"/>
        <v/>
      </c>
      <c r="Q128" s="155">
        <f>IF(Table13[[#This Row],[HGVs (Collection)]]="",O128,Table13[[#This Row],[HGVs (Delivery)]]+Table13[[#This Row],[HGVs (Collection)]])</f>
        <v>0</v>
      </c>
      <c r="W128" s="153" t="str" cm="1">
        <f t="array" ref="W128">IF(Table13[[#This Row],[QUANTITY]]="","",IFERROR(IF(V128&lt;&gt;"",_xlfn.XLOOKUP(I128&amp;J128,PRICES!C:C&amp;PRICES!B:B,IF(PRICES!F:F&lt;&gt;"",PRICES!F:F,PRICES!E:E),"")),""))</f>
        <v/>
      </c>
      <c r="X128" s="154" t="str" cm="1">
        <f t="array" ref="X128">IF(Table13[[#This Row],[QUANTITY]]="","",IFERROR(IF(U128&lt;&gt;"",_xlfn.XLOOKUP(I128&amp;J128&amp;V128,PRICES!C:C&amp;PRICES!B:B&amp;PRICES!D:D,PRICES!G:G,"")),""))</f>
        <v/>
      </c>
      <c r="Y128" s="154" t="str">
        <f t="shared" ca="1" si="14"/>
        <v/>
      </c>
      <c r="Z128" s="154" t="str">
        <f t="shared" ca="1" si="15"/>
        <v/>
      </c>
      <c r="AA128" s="154" t="str">
        <f t="shared" ca="1" si="16"/>
        <v/>
      </c>
      <c r="AB128" s="154" t="str">
        <f t="shared" ca="1" si="17"/>
        <v/>
      </c>
      <c r="AC128" s="154" t="str">
        <f t="shared" ca="1" si="12"/>
        <v/>
      </c>
      <c r="AD128" s="154" t="str">
        <f>IF(Table13[[#This Row],[QUANTITY]]="","",
  IF(AND(Y128="",Z128="",AA128="",AB128="",AC128=""),
    U128*X128,
  ""))</f>
        <v/>
      </c>
      <c r="AE128" s="154" t="str">
        <f t="shared" ca="1" si="18"/>
        <v/>
      </c>
      <c r="AF128" s="154" t="str">
        <f t="shared" si="19"/>
        <v/>
      </c>
      <c r="AG128" s="154" t="str" cm="1">
        <f t="array" aca="1" ref="AG128" ca="1">IF(Table13[[#This Row],[TOTAL HIRE COST]]="","",IFERROR(IF(U128&lt;&gt;"",_xlfn.XLOOKUP(J128&amp;I128&amp;V128,PRICES!B:B&amp;PRICES!C:C&amp;PRICES!D:D,PRICES!H:H,"")),""))</f>
        <v/>
      </c>
      <c r="AH128" s="154" t="str" cm="1">
        <f t="array" aca="1" ref="AH128" ca="1">IF(Table13[[#This Row],[TOTAL HIRE COST]]="","",IFERROR(IF(U128&lt;&gt;"",_xlfn.XLOOKUP(J128&amp;I128&amp;V128,PRICES!B:B&amp;PRICES!C:C&amp;PRICES!D:D,PRICES!I:I,"")),""))</f>
        <v/>
      </c>
      <c r="AI128" s="154" t="str">
        <f ca="1">IF(Table13[[#This Row],[TOTAL HIRE COST]]="","",Table13[[#This Row],[TOTAL HIRE COST]]+Table13[[#This Row],[DELIVERY COST]]+Table13[[#This Row],[COLLECTION COST]])</f>
        <v/>
      </c>
      <c r="AJ128" s="153" t="str">
        <f>IF(Table13[[#This Row],[Date to Hire (DH)]]="","",YEAR(Table13[[#This Row],[Date to Hire (DH)]]))</f>
        <v/>
      </c>
      <c r="AK128" s="153" t="str">
        <f>IF(Table13[[#This Row],[Date to Hire (DH)]]="","",MONTH(Table13[[#This Row],[Date to Hire (DH)]]))</f>
        <v/>
      </c>
      <c r="AL128" s="153" t="str">
        <f>IF(Table13[[#This Row],[Date to Hire (DH)]]="","",WEEKNUM(Table13[[#This Row],[Date to Hire (DH)]]))</f>
        <v/>
      </c>
      <c r="AM128" s="153" t="str">
        <f>TEXT(Table13[[#This Row],[YEAR]],"0000")&amp;"-"&amp;Table13[[#This Row],[MONTH]]</f>
        <v>-</v>
      </c>
      <c r="AN128" s="153" t="str">
        <f>IF(Table13[[#This Row],[Date of Planned Offhire (DoPO) / If Applicable]]="","",YEAR(Table13[[#This Row],[Date of Planned Offhire (DoPO) / If Applicable]]))</f>
        <v/>
      </c>
      <c r="AO128" s="153" t="str">
        <f>IF(Table13[[#This Row],[Date of Planned Offhire (DoPO) / If Applicable]]="","",MONTH(Table13[[#This Row],[Date of Planned Offhire (DoPO) / If Applicable]]))</f>
        <v/>
      </c>
      <c r="AP128" s="153" t="str">
        <f>IF(Table13[[#This Row],[Date of Planned Offhire (DoPO) / If Applicable]]="","",WEEKNUM(Table13[[#This Row],[Date of Planned Offhire (DoPO) / If Applicable]]))</f>
        <v/>
      </c>
      <c r="AQ128" s="153" t="str">
        <f>TEXT(Table13[[#This Row],[YEAR2]],"0000")&amp;"-"&amp;Table13[[#This Row],[MONTH2]]</f>
        <v>-</v>
      </c>
      <c r="AR128" s="153" t="str">
        <f>IF(Table13[[#This Row],[Actual Date to Offhire (ADtO)]]="","",YEAR(Table13[[#This Row],[Actual Date to Offhire (ADtO)]]))</f>
        <v/>
      </c>
      <c r="AS128" s="153" t="str">
        <f>IF(Table13[[#This Row],[Actual Date to Offhire (ADtO)]]="","",MONTH(Table13[[#This Row],[Actual Date to Offhire (ADtO)]]))</f>
        <v/>
      </c>
      <c r="AT128" s="153" t="str">
        <f>IF(Table13[[#This Row],[Actual Date to Offhire (ADtO)]]="","",WEEKNUM(Table13[[#This Row],[Actual Date to Offhire (ADtO)]]))</f>
        <v/>
      </c>
      <c r="AU128" s="153" t="str">
        <f>TEXT(Table13[[#This Row],[YEAR3]],"0000")&amp;"-"&amp;Table13[[#This Row],[MONTH3]]</f>
        <v>-</v>
      </c>
      <c r="AV128" s="153">
        <f>IF(E128="",0,
  IF('Delivery Report'!A$2*100+'Delivery Report'!A$5 &lt; YEAR(E128)*100+WEEKNUM(E128), 0,
    IF(OR(G128="", 'Delivery Report'!A$2*100+'Delivery Report'!A$5 &lt;= YEAR(G128)*100+WEEKNUM(G128)),
      IF(LOWER(W128)="hourly", U128*X128*56,
      IF(LOWER(W128)="daily", U128*X128*7,
      IF(LOWER(W128)="weekly", U128*X128,
      IF(LOWER(W128)="monthly", U128*X128*12/52,
      IF(LOWER(W128)="yearly", U128*X128/52,
      IF(LOWER(W128)="one-off", U128*X128,
      0)))))),
    0)))</f>
        <v>0</v>
      </c>
    </row>
    <row r="129" spans="1:48" x14ac:dyDescent="0.3">
      <c r="A129" s="24"/>
      <c r="E129" s="1"/>
      <c r="F129" s="1"/>
      <c r="G129" s="1"/>
      <c r="H129" s="164" t="str">
        <f t="shared" si="20"/>
        <v/>
      </c>
      <c r="P129" s="153" t="str">
        <f t="shared" si="13"/>
        <v/>
      </c>
      <c r="Q129" s="155">
        <f>IF(Table13[[#This Row],[HGVs (Collection)]]="",O129,Table13[[#This Row],[HGVs (Delivery)]]+Table13[[#This Row],[HGVs (Collection)]])</f>
        <v>0</v>
      </c>
      <c r="W129" s="153" t="str" cm="1">
        <f t="array" ref="W129">IF(Table13[[#This Row],[QUANTITY]]="","",IFERROR(IF(V129&lt;&gt;"",_xlfn.XLOOKUP(I129&amp;J129,PRICES!C:C&amp;PRICES!B:B,IF(PRICES!F:F&lt;&gt;"",PRICES!F:F,PRICES!E:E),"")),""))</f>
        <v/>
      </c>
      <c r="X129" s="154" t="str" cm="1">
        <f t="array" ref="X129">IF(Table13[[#This Row],[QUANTITY]]="","",IFERROR(IF(U129&lt;&gt;"",_xlfn.XLOOKUP(I129&amp;J129&amp;V129,PRICES!C:C&amp;PRICES!B:B&amp;PRICES!D:D,PRICES!G:G,"")),""))</f>
        <v/>
      </c>
      <c r="Y129" s="154" t="str">
        <f t="shared" ca="1" si="14"/>
        <v/>
      </c>
      <c r="Z129" s="154" t="str">
        <f t="shared" ca="1" si="15"/>
        <v/>
      </c>
      <c r="AA129" s="154" t="str">
        <f t="shared" ca="1" si="16"/>
        <v/>
      </c>
      <c r="AB129" s="154" t="str">
        <f t="shared" ca="1" si="17"/>
        <v/>
      </c>
      <c r="AC129" s="154" t="str">
        <f t="shared" ca="1" si="12"/>
        <v/>
      </c>
      <c r="AD129" s="154" t="str">
        <f>IF(Table13[[#This Row],[QUANTITY]]="","",
  IF(AND(Y129="",Z129="",AA129="",AB129="",AC129=""),
    U129*X129,
  ""))</f>
        <v/>
      </c>
      <c r="AE129" s="154" t="str">
        <f t="shared" ca="1" si="18"/>
        <v/>
      </c>
      <c r="AF129" s="154" t="str">
        <f t="shared" si="19"/>
        <v/>
      </c>
      <c r="AG129" s="154" t="str" cm="1">
        <f t="array" aca="1" ref="AG129" ca="1">IF(Table13[[#This Row],[TOTAL HIRE COST]]="","",IFERROR(IF(U129&lt;&gt;"",_xlfn.XLOOKUP(J129&amp;I129&amp;V129,PRICES!B:B&amp;PRICES!C:C&amp;PRICES!D:D,PRICES!H:H,"")),""))</f>
        <v/>
      </c>
      <c r="AH129" s="154" t="str" cm="1">
        <f t="array" aca="1" ref="AH129" ca="1">IF(Table13[[#This Row],[TOTAL HIRE COST]]="","",IFERROR(IF(U129&lt;&gt;"",_xlfn.XLOOKUP(J129&amp;I129&amp;V129,PRICES!B:B&amp;PRICES!C:C&amp;PRICES!D:D,PRICES!I:I,"")),""))</f>
        <v/>
      </c>
      <c r="AI129" s="154" t="str">
        <f ca="1">IF(Table13[[#This Row],[TOTAL HIRE COST]]="","",Table13[[#This Row],[TOTAL HIRE COST]]+Table13[[#This Row],[DELIVERY COST]]+Table13[[#This Row],[COLLECTION COST]])</f>
        <v/>
      </c>
      <c r="AJ129" s="153" t="str">
        <f>IF(Table13[[#This Row],[Date to Hire (DH)]]="","",YEAR(Table13[[#This Row],[Date to Hire (DH)]]))</f>
        <v/>
      </c>
      <c r="AK129" s="153" t="str">
        <f>IF(Table13[[#This Row],[Date to Hire (DH)]]="","",MONTH(Table13[[#This Row],[Date to Hire (DH)]]))</f>
        <v/>
      </c>
      <c r="AL129" s="153" t="str">
        <f>IF(Table13[[#This Row],[Date to Hire (DH)]]="","",WEEKNUM(Table13[[#This Row],[Date to Hire (DH)]]))</f>
        <v/>
      </c>
      <c r="AM129" s="153" t="str">
        <f>TEXT(Table13[[#This Row],[YEAR]],"0000")&amp;"-"&amp;Table13[[#This Row],[MONTH]]</f>
        <v>-</v>
      </c>
      <c r="AN129" s="153" t="str">
        <f>IF(Table13[[#This Row],[Date of Planned Offhire (DoPO) / If Applicable]]="","",YEAR(Table13[[#This Row],[Date of Planned Offhire (DoPO) / If Applicable]]))</f>
        <v/>
      </c>
      <c r="AO129" s="153" t="str">
        <f>IF(Table13[[#This Row],[Date of Planned Offhire (DoPO) / If Applicable]]="","",MONTH(Table13[[#This Row],[Date of Planned Offhire (DoPO) / If Applicable]]))</f>
        <v/>
      </c>
      <c r="AP129" s="153" t="str">
        <f>IF(Table13[[#This Row],[Date of Planned Offhire (DoPO) / If Applicable]]="","",WEEKNUM(Table13[[#This Row],[Date of Planned Offhire (DoPO) / If Applicable]]))</f>
        <v/>
      </c>
      <c r="AQ129" s="153" t="str">
        <f>TEXT(Table13[[#This Row],[YEAR2]],"0000")&amp;"-"&amp;Table13[[#This Row],[MONTH2]]</f>
        <v>-</v>
      </c>
      <c r="AR129" s="153" t="str">
        <f>IF(Table13[[#This Row],[Actual Date to Offhire (ADtO)]]="","",YEAR(Table13[[#This Row],[Actual Date to Offhire (ADtO)]]))</f>
        <v/>
      </c>
      <c r="AS129" s="153" t="str">
        <f>IF(Table13[[#This Row],[Actual Date to Offhire (ADtO)]]="","",MONTH(Table13[[#This Row],[Actual Date to Offhire (ADtO)]]))</f>
        <v/>
      </c>
      <c r="AT129" s="153" t="str">
        <f>IF(Table13[[#This Row],[Actual Date to Offhire (ADtO)]]="","",WEEKNUM(Table13[[#This Row],[Actual Date to Offhire (ADtO)]]))</f>
        <v/>
      </c>
      <c r="AU129" s="153" t="str">
        <f>TEXT(Table13[[#This Row],[YEAR3]],"0000")&amp;"-"&amp;Table13[[#This Row],[MONTH3]]</f>
        <v>-</v>
      </c>
      <c r="AV129" s="153">
        <f>IF(E129="",0,
  IF('Delivery Report'!A$2*100+'Delivery Report'!A$5 &lt; YEAR(E129)*100+WEEKNUM(E129), 0,
    IF(OR(G129="", 'Delivery Report'!A$2*100+'Delivery Report'!A$5 &lt;= YEAR(G129)*100+WEEKNUM(G129)),
      IF(LOWER(W129)="hourly", U129*X129*56,
      IF(LOWER(W129)="daily", U129*X129*7,
      IF(LOWER(W129)="weekly", U129*X129,
      IF(LOWER(W129)="monthly", U129*X129*12/52,
      IF(LOWER(W129)="yearly", U129*X129/52,
      IF(LOWER(W129)="one-off", U129*X129,
      0)))))),
    0)))</f>
        <v>0</v>
      </c>
    </row>
    <row r="130" spans="1:48" x14ac:dyDescent="0.3">
      <c r="A130" s="24"/>
      <c r="C130" s="22"/>
      <c r="E130" s="1"/>
      <c r="F130" s="1"/>
      <c r="G130" s="1"/>
      <c r="H130" s="164" t="str">
        <f t="shared" si="20"/>
        <v/>
      </c>
      <c r="P130" s="153" t="str">
        <f t="shared" si="13"/>
        <v/>
      </c>
      <c r="Q130" s="155">
        <f>IF(Table13[[#This Row],[HGVs (Collection)]]="",O130,Table13[[#This Row],[HGVs (Delivery)]]+Table13[[#This Row],[HGVs (Collection)]])</f>
        <v>0</v>
      </c>
      <c r="W130" s="153" t="str" cm="1">
        <f t="array" ref="W130">IF(Table13[[#This Row],[QUANTITY]]="","",IFERROR(IF(V130&lt;&gt;"",_xlfn.XLOOKUP(I130&amp;J130,PRICES!C:C&amp;PRICES!B:B,IF(PRICES!F:F&lt;&gt;"",PRICES!F:F,PRICES!E:E),"")),""))</f>
        <v/>
      </c>
      <c r="X130" s="154" t="str" cm="1">
        <f t="array" ref="X130">IF(Table13[[#This Row],[QUANTITY]]="","",IFERROR(IF(U130&lt;&gt;"",_xlfn.XLOOKUP(I130&amp;J130&amp;V130,PRICES!C:C&amp;PRICES!B:B&amp;PRICES!D:D,PRICES!G:G,"")),""))</f>
        <v/>
      </c>
      <c r="Y130" s="154" t="str">
        <f t="shared" ca="1" si="14"/>
        <v/>
      </c>
      <c r="Z130" s="154" t="str">
        <f t="shared" ca="1" si="15"/>
        <v/>
      </c>
      <c r="AA130" s="154" t="str">
        <f t="shared" ca="1" si="16"/>
        <v/>
      </c>
      <c r="AB130" s="154" t="str">
        <f t="shared" ca="1" si="17"/>
        <v/>
      </c>
      <c r="AC130" s="154" t="str">
        <f t="shared" ca="1" si="12"/>
        <v/>
      </c>
      <c r="AD130" s="154" t="str">
        <f>IF(Table13[[#This Row],[QUANTITY]]="","",
  IF(AND(Y130="",Z130="",AA130="",AB130="",AC130=""),
    U130*X130,
  ""))</f>
        <v/>
      </c>
      <c r="AE130" s="154" t="str">
        <f t="shared" ca="1" si="18"/>
        <v/>
      </c>
      <c r="AF130" s="154" t="str">
        <f t="shared" si="19"/>
        <v/>
      </c>
      <c r="AG130" s="154" t="str" cm="1">
        <f t="array" aca="1" ref="AG130" ca="1">IF(Table13[[#This Row],[TOTAL HIRE COST]]="","",IFERROR(IF(U130&lt;&gt;"",_xlfn.XLOOKUP(J130&amp;I130&amp;V130,PRICES!B:B&amp;PRICES!C:C&amp;PRICES!D:D,PRICES!H:H,"")),""))</f>
        <v/>
      </c>
      <c r="AH130" s="154" t="str" cm="1">
        <f t="array" aca="1" ref="AH130" ca="1">IF(Table13[[#This Row],[TOTAL HIRE COST]]="","",IFERROR(IF(U130&lt;&gt;"",_xlfn.XLOOKUP(J130&amp;I130&amp;V130,PRICES!B:B&amp;PRICES!C:C&amp;PRICES!D:D,PRICES!I:I,"")),""))</f>
        <v/>
      </c>
      <c r="AI130" s="154" t="str">
        <f ca="1">IF(Table13[[#This Row],[TOTAL HIRE COST]]="","",Table13[[#This Row],[TOTAL HIRE COST]]+Table13[[#This Row],[DELIVERY COST]]+Table13[[#This Row],[COLLECTION COST]])</f>
        <v/>
      </c>
      <c r="AJ130" s="153" t="str">
        <f>IF(Table13[[#This Row],[Date to Hire (DH)]]="","",YEAR(Table13[[#This Row],[Date to Hire (DH)]]))</f>
        <v/>
      </c>
      <c r="AK130" s="153" t="str">
        <f>IF(Table13[[#This Row],[Date to Hire (DH)]]="","",MONTH(Table13[[#This Row],[Date to Hire (DH)]]))</f>
        <v/>
      </c>
      <c r="AL130" s="153" t="str">
        <f>IF(Table13[[#This Row],[Date to Hire (DH)]]="","",WEEKNUM(Table13[[#This Row],[Date to Hire (DH)]]))</f>
        <v/>
      </c>
      <c r="AM130" s="153" t="str">
        <f>TEXT(Table13[[#This Row],[YEAR]],"0000")&amp;"-"&amp;Table13[[#This Row],[MONTH]]</f>
        <v>-</v>
      </c>
      <c r="AN130" s="153" t="str">
        <f>IF(Table13[[#This Row],[Date of Planned Offhire (DoPO) / If Applicable]]="","",YEAR(Table13[[#This Row],[Date of Planned Offhire (DoPO) / If Applicable]]))</f>
        <v/>
      </c>
      <c r="AO130" s="153" t="str">
        <f>IF(Table13[[#This Row],[Date of Planned Offhire (DoPO) / If Applicable]]="","",MONTH(Table13[[#This Row],[Date of Planned Offhire (DoPO) / If Applicable]]))</f>
        <v/>
      </c>
      <c r="AP130" s="153" t="str">
        <f>IF(Table13[[#This Row],[Date of Planned Offhire (DoPO) / If Applicable]]="","",WEEKNUM(Table13[[#This Row],[Date of Planned Offhire (DoPO) / If Applicable]]))</f>
        <v/>
      </c>
      <c r="AQ130" s="153" t="str">
        <f>TEXT(Table13[[#This Row],[YEAR2]],"0000")&amp;"-"&amp;Table13[[#This Row],[MONTH2]]</f>
        <v>-</v>
      </c>
      <c r="AR130" s="153" t="str">
        <f>IF(Table13[[#This Row],[Actual Date to Offhire (ADtO)]]="","",YEAR(Table13[[#This Row],[Actual Date to Offhire (ADtO)]]))</f>
        <v/>
      </c>
      <c r="AS130" s="153" t="str">
        <f>IF(Table13[[#This Row],[Actual Date to Offhire (ADtO)]]="","",MONTH(Table13[[#This Row],[Actual Date to Offhire (ADtO)]]))</f>
        <v/>
      </c>
      <c r="AT130" s="153" t="str">
        <f>IF(Table13[[#This Row],[Actual Date to Offhire (ADtO)]]="","",WEEKNUM(Table13[[#This Row],[Actual Date to Offhire (ADtO)]]))</f>
        <v/>
      </c>
      <c r="AU130" s="153" t="str">
        <f>TEXT(Table13[[#This Row],[YEAR3]],"0000")&amp;"-"&amp;Table13[[#This Row],[MONTH3]]</f>
        <v>-</v>
      </c>
      <c r="AV130" s="153">
        <f>IF(E130="",0,
  IF('Delivery Report'!A$2*100+'Delivery Report'!A$5 &lt; YEAR(E130)*100+WEEKNUM(E130), 0,
    IF(OR(G130="", 'Delivery Report'!A$2*100+'Delivery Report'!A$5 &lt;= YEAR(G130)*100+WEEKNUM(G130)),
      IF(LOWER(W130)="hourly", U130*X130*56,
      IF(LOWER(W130)="daily", U130*X130*7,
      IF(LOWER(W130)="weekly", U130*X130,
      IF(LOWER(W130)="monthly", U130*X130*12/52,
      IF(LOWER(W130)="yearly", U130*X130/52,
      IF(LOWER(W130)="one-off", U130*X130,
      0)))))),
    0)))</f>
        <v>0</v>
      </c>
    </row>
    <row r="131" spans="1:48" x14ac:dyDescent="0.3">
      <c r="A131" s="24"/>
      <c r="E131" s="1"/>
      <c r="F131" s="1"/>
      <c r="G131" s="1"/>
      <c r="H131" s="164" t="str">
        <f t="shared" si="20"/>
        <v/>
      </c>
      <c r="P131" s="153" t="str">
        <f t="shared" si="13"/>
        <v/>
      </c>
      <c r="Q131" s="155">
        <f>IF(Table13[[#This Row],[HGVs (Collection)]]="",O131,Table13[[#This Row],[HGVs (Delivery)]]+Table13[[#This Row],[HGVs (Collection)]])</f>
        <v>0</v>
      </c>
      <c r="W131" s="153" t="str" cm="1">
        <f t="array" ref="W131">IF(Table13[[#This Row],[QUANTITY]]="","",IFERROR(IF(V131&lt;&gt;"",_xlfn.XLOOKUP(I131&amp;J131,PRICES!C:C&amp;PRICES!B:B,IF(PRICES!F:F&lt;&gt;"",PRICES!F:F,PRICES!E:E),"")),""))</f>
        <v/>
      </c>
      <c r="X131" s="154" t="str" cm="1">
        <f t="array" ref="X131">IF(Table13[[#This Row],[QUANTITY]]="","",IFERROR(IF(U131&lt;&gt;"",_xlfn.XLOOKUP(I131&amp;J131&amp;V131,PRICES!C:C&amp;PRICES!B:B&amp;PRICES!D:D,PRICES!G:G,"")),""))</f>
        <v/>
      </c>
      <c r="Y131" s="154" t="str">
        <f t="shared" ca="1" si="14"/>
        <v/>
      </c>
      <c r="Z131" s="154" t="str">
        <f t="shared" ca="1" si="15"/>
        <v/>
      </c>
      <c r="AA131" s="154" t="str">
        <f t="shared" ca="1" si="16"/>
        <v/>
      </c>
      <c r="AB131" s="154" t="str">
        <f t="shared" ca="1" si="17"/>
        <v/>
      </c>
      <c r="AC131" s="154" t="str">
        <f t="shared" ref="AC131:AC186" ca="1" si="21">IF(LOWER(W131)="yearly",
  IF(G131&lt;&gt;"",
    IF(G131&gt;=F131, FLOOR((G131-E131)/365,1), FLOOR((F131-E131)/365,1)),
    FLOOR((TODAY()-E131)/365,1)
  )*U131*V131*X131,
"")</f>
        <v/>
      </c>
      <c r="AD131" s="154" t="str">
        <f>IF(Table13[[#This Row],[QUANTITY]]="","",
  IF(AND(Y131="",Z131="",AA131="",AB131="",AC131=""),
    U131*X131,
  ""))</f>
        <v/>
      </c>
      <c r="AE131" s="154" t="str">
        <f t="shared" ca="1" si="18"/>
        <v/>
      </c>
      <c r="AF131" s="154" t="str">
        <f t="shared" si="19"/>
        <v/>
      </c>
      <c r="AG131" s="154" t="str" cm="1">
        <f t="array" aca="1" ref="AG131" ca="1">IF(Table13[[#This Row],[TOTAL HIRE COST]]="","",IFERROR(IF(U131&lt;&gt;"",_xlfn.XLOOKUP(J131&amp;I131&amp;V131,PRICES!B:B&amp;PRICES!C:C&amp;PRICES!D:D,PRICES!H:H,"")),""))</f>
        <v/>
      </c>
      <c r="AH131" s="154" t="str" cm="1">
        <f t="array" aca="1" ref="AH131" ca="1">IF(Table13[[#This Row],[TOTAL HIRE COST]]="","",IFERROR(IF(U131&lt;&gt;"",_xlfn.XLOOKUP(J131&amp;I131&amp;V131,PRICES!B:B&amp;PRICES!C:C&amp;PRICES!D:D,PRICES!I:I,"")),""))</f>
        <v/>
      </c>
      <c r="AI131" s="154" t="str">
        <f ca="1">IF(Table13[[#This Row],[TOTAL HIRE COST]]="","",Table13[[#This Row],[TOTAL HIRE COST]]+Table13[[#This Row],[DELIVERY COST]]+Table13[[#This Row],[COLLECTION COST]])</f>
        <v/>
      </c>
      <c r="AJ131" s="153" t="str">
        <f>IF(Table13[[#This Row],[Date to Hire (DH)]]="","",YEAR(Table13[[#This Row],[Date to Hire (DH)]]))</f>
        <v/>
      </c>
      <c r="AK131" s="153" t="str">
        <f>IF(Table13[[#This Row],[Date to Hire (DH)]]="","",MONTH(Table13[[#This Row],[Date to Hire (DH)]]))</f>
        <v/>
      </c>
      <c r="AL131" s="153" t="str">
        <f>IF(Table13[[#This Row],[Date to Hire (DH)]]="","",WEEKNUM(Table13[[#This Row],[Date to Hire (DH)]]))</f>
        <v/>
      </c>
      <c r="AM131" s="153" t="str">
        <f>TEXT(Table13[[#This Row],[YEAR]],"0000")&amp;"-"&amp;Table13[[#This Row],[MONTH]]</f>
        <v>-</v>
      </c>
      <c r="AN131" s="153" t="str">
        <f>IF(Table13[[#This Row],[Date of Planned Offhire (DoPO) / If Applicable]]="","",YEAR(Table13[[#This Row],[Date of Planned Offhire (DoPO) / If Applicable]]))</f>
        <v/>
      </c>
      <c r="AO131" s="153" t="str">
        <f>IF(Table13[[#This Row],[Date of Planned Offhire (DoPO) / If Applicable]]="","",MONTH(Table13[[#This Row],[Date of Planned Offhire (DoPO) / If Applicable]]))</f>
        <v/>
      </c>
      <c r="AP131" s="153" t="str">
        <f>IF(Table13[[#This Row],[Date of Planned Offhire (DoPO) / If Applicable]]="","",WEEKNUM(Table13[[#This Row],[Date of Planned Offhire (DoPO) / If Applicable]]))</f>
        <v/>
      </c>
      <c r="AQ131" s="153" t="str">
        <f>TEXT(Table13[[#This Row],[YEAR2]],"0000")&amp;"-"&amp;Table13[[#This Row],[MONTH2]]</f>
        <v>-</v>
      </c>
      <c r="AR131" s="153" t="str">
        <f>IF(Table13[[#This Row],[Actual Date to Offhire (ADtO)]]="","",YEAR(Table13[[#This Row],[Actual Date to Offhire (ADtO)]]))</f>
        <v/>
      </c>
      <c r="AS131" s="153" t="str">
        <f>IF(Table13[[#This Row],[Actual Date to Offhire (ADtO)]]="","",MONTH(Table13[[#This Row],[Actual Date to Offhire (ADtO)]]))</f>
        <v/>
      </c>
      <c r="AT131" s="153" t="str">
        <f>IF(Table13[[#This Row],[Actual Date to Offhire (ADtO)]]="","",WEEKNUM(Table13[[#This Row],[Actual Date to Offhire (ADtO)]]))</f>
        <v/>
      </c>
      <c r="AU131" s="153" t="str">
        <f>TEXT(Table13[[#This Row],[YEAR3]],"0000")&amp;"-"&amp;Table13[[#This Row],[MONTH3]]</f>
        <v>-</v>
      </c>
      <c r="AV131" s="153">
        <f>IF(E131="",0,
  IF('Delivery Report'!A$2*100+'Delivery Report'!A$5 &lt; YEAR(E131)*100+WEEKNUM(E131), 0,
    IF(OR(G131="", 'Delivery Report'!A$2*100+'Delivery Report'!A$5 &lt;= YEAR(G131)*100+WEEKNUM(G131)),
      IF(LOWER(W131)="hourly", U131*X131*56,
      IF(LOWER(W131)="daily", U131*X131*7,
      IF(LOWER(W131)="weekly", U131*X131,
      IF(LOWER(W131)="monthly", U131*X131*12/52,
      IF(LOWER(W131)="yearly", U131*X131/52,
      IF(LOWER(W131)="one-off", U131*X131,
      0)))))),
    0)))</f>
        <v>0</v>
      </c>
    </row>
    <row r="132" spans="1:48" x14ac:dyDescent="0.3">
      <c r="A132" s="24"/>
      <c r="E132" s="1"/>
      <c r="F132" s="1"/>
      <c r="G132" s="1"/>
      <c r="H132" s="164" t="str">
        <f t="shared" ref="H132:H186" si="22">IF(E132="","",IF(G132&lt;&gt;"","OFF-HIRED","ON HIRE"))</f>
        <v/>
      </c>
      <c r="P132" s="153" t="str">
        <f t="shared" ref="P132:P186" si="23">IF(O132=0,"",IF(G132&lt;&gt;"",O132,""))</f>
        <v/>
      </c>
      <c r="Q132" s="155">
        <f>IF(Table13[[#This Row],[HGVs (Collection)]]="",O132,Table13[[#This Row],[HGVs (Delivery)]]+Table13[[#This Row],[HGVs (Collection)]])</f>
        <v>0</v>
      </c>
      <c r="W132" s="153" t="str" cm="1">
        <f t="array" ref="W132">IF(Table13[[#This Row],[QUANTITY]]="","",IFERROR(IF(V132&lt;&gt;"",_xlfn.XLOOKUP(I132&amp;J132,PRICES!C:C&amp;PRICES!B:B,IF(PRICES!F:F&lt;&gt;"",PRICES!F:F,PRICES!E:E),"")),""))</f>
        <v/>
      </c>
      <c r="X132" s="154" t="str" cm="1">
        <f t="array" ref="X132">IF(Table13[[#This Row],[QUANTITY]]="","",IFERROR(IF(U132&lt;&gt;"",_xlfn.XLOOKUP(I132&amp;J132&amp;V132,PRICES!C:C&amp;PRICES!B:B&amp;PRICES!D:D,PRICES!G:G,"")),""))</f>
        <v/>
      </c>
      <c r="Y132" s="154" t="str">
        <f t="shared" ref="Y132:Y186" ca="1" si="24">IF(LOWER(W132)="hourly",IF(G132&lt;&gt;"",IF(G132&gt;=F132,FLOOR((G132-E132)*24,1),FLOOR((F132-E132)*24,1)),FLOOR((TODAY()-E132)*24,1))*U132*X132,"")</f>
        <v/>
      </c>
      <c r="Z132" s="154" t="str">
        <f t="shared" ref="Z132:Z186" ca="1" si="25">IF(LOWER(W132)="daily",IF(G132&lt;&gt;"",IF(G132&gt;=F132,(G132-E132),(F132-E132)),TODAY()-E132)*U132*X132,"")</f>
        <v/>
      </c>
      <c r="AA132" s="154" t="str">
        <f t="shared" ref="AA132:AA186" ca="1" si="26">IF(LOWER(W132)="weekly",IF(G132&lt;&gt;"",IF(G132&gt;=F132,FLOOR((G132-E132)/7,1),FLOOR((F132-E132)/7,1)),FLOOR((TODAY()-E132)/7,1))*U132*X132,"")</f>
        <v/>
      </c>
      <c r="AB132" s="154" t="str">
        <f t="shared" ref="AB132:AB186" ca="1" si="27">IF(LOWER(W132)="monthly",IF(G132&lt;&gt;"",IF(G132&gt;=F132,FLOOR((G132-E132)/30,1),FLOOR((F132-E132)/30,1)),FLOOR((TODAY()-E132)/30,1))*U132*X132,"")</f>
        <v/>
      </c>
      <c r="AC132" s="154" t="str">
        <f t="shared" ca="1" si="21"/>
        <v/>
      </c>
      <c r="AD132" s="154" t="str">
        <f>IF(Table13[[#This Row],[QUANTITY]]="","",
  IF(AND(Y132="",Z132="",AA132="",AB132="",AC132=""),
    U132*X132,
  ""))</f>
        <v/>
      </c>
      <c r="AE132" s="154" t="str">
        <f t="shared" ref="AE132:AE186" ca="1" si="28">IF(Y132&lt;&gt;"",Y132,IF(Z132&lt;&gt;"",Z132,IF(AA132&lt;&gt;"",AA132,IF(AB132&lt;&gt;"",AB132,IF(AC132&lt;&gt;"",AC132,IF(AD132&lt;&gt;"",AD132,""))))))</f>
        <v/>
      </c>
      <c r="AF132" s="154" t="str">
        <f t="shared" ref="AF132:AF186" si="29">IF(E132="","",
IF(OR(G132="",A$1&lt;G132),
IF(LOWER(W132)="hourly", X132*U132*8*7,
IF(LOWER(W132)="daily", X132*U132*7,
IF(LOWER(W132)="weekly", X132*U132,
IF(LOWER(W132)="monthly", X132*U132*12/52,
IF(LOWER(W132)="yearly", X132*U132/52,
IF(LOWER(W132)="one-off", X132*U132,
"")))))),
""))</f>
        <v/>
      </c>
      <c r="AG132" s="154" t="str" cm="1">
        <f t="array" aca="1" ref="AG132" ca="1">IF(Table13[[#This Row],[TOTAL HIRE COST]]="","",IFERROR(IF(U132&lt;&gt;"",_xlfn.XLOOKUP(J132&amp;I132&amp;V132,PRICES!B:B&amp;PRICES!C:C&amp;PRICES!D:D,PRICES!H:H,"")),""))</f>
        <v/>
      </c>
      <c r="AH132" s="154" t="str" cm="1">
        <f t="array" aca="1" ref="AH132" ca="1">IF(Table13[[#This Row],[TOTAL HIRE COST]]="","",IFERROR(IF(U132&lt;&gt;"",_xlfn.XLOOKUP(J132&amp;I132&amp;V132,PRICES!B:B&amp;PRICES!C:C&amp;PRICES!D:D,PRICES!I:I,"")),""))</f>
        <v/>
      </c>
      <c r="AI132" s="154" t="str">
        <f ca="1">IF(Table13[[#This Row],[TOTAL HIRE COST]]="","",Table13[[#This Row],[TOTAL HIRE COST]]+Table13[[#This Row],[DELIVERY COST]]+Table13[[#This Row],[COLLECTION COST]])</f>
        <v/>
      </c>
      <c r="AJ132" s="153" t="str">
        <f>IF(Table13[[#This Row],[Date to Hire (DH)]]="","",YEAR(Table13[[#This Row],[Date to Hire (DH)]]))</f>
        <v/>
      </c>
      <c r="AK132" s="153" t="str">
        <f>IF(Table13[[#This Row],[Date to Hire (DH)]]="","",MONTH(Table13[[#This Row],[Date to Hire (DH)]]))</f>
        <v/>
      </c>
      <c r="AL132" s="153" t="str">
        <f>IF(Table13[[#This Row],[Date to Hire (DH)]]="","",WEEKNUM(Table13[[#This Row],[Date to Hire (DH)]]))</f>
        <v/>
      </c>
      <c r="AM132" s="153" t="str">
        <f>TEXT(Table13[[#This Row],[YEAR]],"0000")&amp;"-"&amp;Table13[[#This Row],[MONTH]]</f>
        <v>-</v>
      </c>
      <c r="AN132" s="153" t="str">
        <f>IF(Table13[[#This Row],[Date of Planned Offhire (DoPO) / If Applicable]]="","",YEAR(Table13[[#This Row],[Date of Planned Offhire (DoPO) / If Applicable]]))</f>
        <v/>
      </c>
      <c r="AO132" s="153" t="str">
        <f>IF(Table13[[#This Row],[Date of Planned Offhire (DoPO) / If Applicable]]="","",MONTH(Table13[[#This Row],[Date of Planned Offhire (DoPO) / If Applicable]]))</f>
        <v/>
      </c>
      <c r="AP132" s="153" t="str">
        <f>IF(Table13[[#This Row],[Date of Planned Offhire (DoPO) / If Applicable]]="","",WEEKNUM(Table13[[#This Row],[Date of Planned Offhire (DoPO) / If Applicable]]))</f>
        <v/>
      </c>
      <c r="AQ132" s="153" t="str">
        <f>TEXT(Table13[[#This Row],[YEAR2]],"0000")&amp;"-"&amp;Table13[[#This Row],[MONTH2]]</f>
        <v>-</v>
      </c>
      <c r="AR132" s="153" t="str">
        <f>IF(Table13[[#This Row],[Actual Date to Offhire (ADtO)]]="","",YEAR(Table13[[#This Row],[Actual Date to Offhire (ADtO)]]))</f>
        <v/>
      </c>
      <c r="AS132" s="153" t="str">
        <f>IF(Table13[[#This Row],[Actual Date to Offhire (ADtO)]]="","",MONTH(Table13[[#This Row],[Actual Date to Offhire (ADtO)]]))</f>
        <v/>
      </c>
      <c r="AT132" s="153" t="str">
        <f>IF(Table13[[#This Row],[Actual Date to Offhire (ADtO)]]="","",WEEKNUM(Table13[[#This Row],[Actual Date to Offhire (ADtO)]]))</f>
        <v/>
      </c>
      <c r="AU132" s="153" t="str">
        <f>TEXT(Table13[[#This Row],[YEAR3]],"0000")&amp;"-"&amp;Table13[[#This Row],[MONTH3]]</f>
        <v>-</v>
      </c>
      <c r="AV132" s="153">
        <f>IF(E132="",0,
  IF('Delivery Report'!A$2*100+'Delivery Report'!A$5 &lt; YEAR(E132)*100+WEEKNUM(E132), 0,
    IF(OR(G132="", 'Delivery Report'!A$2*100+'Delivery Report'!A$5 &lt;= YEAR(G132)*100+WEEKNUM(G132)),
      IF(LOWER(W132)="hourly", U132*X132*56,
      IF(LOWER(W132)="daily", U132*X132*7,
      IF(LOWER(W132)="weekly", U132*X132,
      IF(LOWER(W132)="monthly", U132*X132*12/52,
      IF(LOWER(W132)="yearly", U132*X132/52,
      IF(LOWER(W132)="one-off", U132*X132,
      0)))))),
    0)))</f>
        <v>0</v>
      </c>
    </row>
    <row r="133" spans="1:48" x14ac:dyDescent="0.3">
      <c r="A133" s="24"/>
      <c r="E133" s="1"/>
      <c r="F133" s="1"/>
      <c r="G133" s="1"/>
      <c r="H133" s="164" t="str">
        <f t="shared" si="22"/>
        <v/>
      </c>
      <c r="P133" s="153" t="str">
        <f t="shared" si="23"/>
        <v/>
      </c>
      <c r="Q133" s="155">
        <f>IF(Table13[[#This Row],[HGVs (Collection)]]="",O133,Table13[[#This Row],[HGVs (Delivery)]]+Table13[[#This Row],[HGVs (Collection)]])</f>
        <v>0</v>
      </c>
      <c r="W133" s="153" t="str" cm="1">
        <f t="array" ref="W133">IF(Table13[[#This Row],[QUANTITY]]="","",IFERROR(IF(V133&lt;&gt;"",_xlfn.XLOOKUP(I133&amp;J133,PRICES!C:C&amp;PRICES!B:B,IF(PRICES!F:F&lt;&gt;"",PRICES!F:F,PRICES!E:E),"")),""))</f>
        <v/>
      </c>
      <c r="X133" s="154" t="str" cm="1">
        <f t="array" ref="X133">IF(Table13[[#This Row],[QUANTITY]]="","",IFERROR(IF(U133&lt;&gt;"",_xlfn.XLOOKUP(I133&amp;J133&amp;V133,PRICES!C:C&amp;PRICES!B:B&amp;PRICES!D:D,PRICES!G:G,"")),""))</f>
        <v/>
      </c>
      <c r="Y133" s="154" t="str">
        <f t="shared" ca="1" si="24"/>
        <v/>
      </c>
      <c r="Z133" s="154" t="str">
        <f t="shared" ca="1" si="25"/>
        <v/>
      </c>
      <c r="AA133" s="154" t="str">
        <f t="shared" ca="1" si="26"/>
        <v/>
      </c>
      <c r="AB133" s="154" t="str">
        <f t="shared" ca="1" si="27"/>
        <v/>
      </c>
      <c r="AC133" s="154" t="str">
        <f t="shared" ca="1" si="21"/>
        <v/>
      </c>
      <c r="AD133" s="154" t="str">
        <f>IF(Table13[[#This Row],[QUANTITY]]="","",
  IF(AND(Y133="",Z133="",AA133="",AB133="",AC133=""),
    U133*X133,
  ""))</f>
        <v/>
      </c>
      <c r="AE133" s="154" t="str">
        <f t="shared" ca="1" si="28"/>
        <v/>
      </c>
      <c r="AF133" s="154" t="str">
        <f t="shared" si="29"/>
        <v/>
      </c>
      <c r="AG133" s="154" t="str" cm="1">
        <f t="array" aca="1" ref="AG133" ca="1">IF(Table13[[#This Row],[TOTAL HIRE COST]]="","",IFERROR(IF(U133&lt;&gt;"",_xlfn.XLOOKUP(J133&amp;I133&amp;V133,PRICES!B:B&amp;PRICES!C:C&amp;PRICES!D:D,PRICES!H:H,"")),""))</f>
        <v/>
      </c>
      <c r="AH133" s="154" t="str" cm="1">
        <f t="array" aca="1" ref="AH133" ca="1">IF(Table13[[#This Row],[TOTAL HIRE COST]]="","",IFERROR(IF(U133&lt;&gt;"",_xlfn.XLOOKUP(J133&amp;I133&amp;V133,PRICES!B:B&amp;PRICES!C:C&amp;PRICES!D:D,PRICES!I:I,"")),""))</f>
        <v/>
      </c>
      <c r="AI133" s="154" t="str">
        <f ca="1">IF(Table13[[#This Row],[TOTAL HIRE COST]]="","",Table13[[#This Row],[TOTAL HIRE COST]]+Table13[[#This Row],[DELIVERY COST]]+Table13[[#This Row],[COLLECTION COST]])</f>
        <v/>
      </c>
      <c r="AJ133" s="153" t="str">
        <f>IF(Table13[[#This Row],[Date to Hire (DH)]]="","",YEAR(Table13[[#This Row],[Date to Hire (DH)]]))</f>
        <v/>
      </c>
      <c r="AK133" s="153" t="str">
        <f>IF(Table13[[#This Row],[Date to Hire (DH)]]="","",MONTH(Table13[[#This Row],[Date to Hire (DH)]]))</f>
        <v/>
      </c>
      <c r="AL133" s="153" t="str">
        <f>IF(Table13[[#This Row],[Date to Hire (DH)]]="","",WEEKNUM(Table13[[#This Row],[Date to Hire (DH)]]))</f>
        <v/>
      </c>
      <c r="AM133" s="153" t="str">
        <f>TEXT(Table13[[#This Row],[YEAR]],"0000")&amp;"-"&amp;Table13[[#This Row],[MONTH]]</f>
        <v>-</v>
      </c>
      <c r="AN133" s="153" t="str">
        <f>IF(Table13[[#This Row],[Date of Planned Offhire (DoPO) / If Applicable]]="","",YEAR(Table13[[#This Row],[Date of Planned Offhire (DoPO) / If Applicable]]))</f>
        <v/>
      </c>
      <c r="AO133" s="153" t="str">
        <f>IF(Table13[[#This Row],[Date of Planned Offhire (DoPO) / If Applicable]]="","",MONTH(Table13[[#This Row],[Date of Planned Offhire (DoPO) / If Applicable]]))</f>
        <v/>
      </c>
      <c r="AP133" s="153" t="str">
        <f>IF(Table13[[#This Row],[Date of Planned Offhire (DoPO) / If Applicable]]="","",WEEKNUM(Table13[[#This Row],[Date of Planned Offhire (DoPO) / If Applicable]]))</f>
        <v/>
      </c>
      <c r="AQ133" s="153" t="str">
        <f>TEXT(Table13[[#This Row],[YEAR2]],"0000")&amp;"-"&amp;Table13[[#This Row],[MONTH2]]</f>
        <v>-</v>
      </c>
      <c r="AR133" s="153" t="str">
        <f>IF(Table13[[#This Row],[Actual Date to Offhire (ADtO)]]="","",YEAR(Table13[[#This Row],[Actual Date to Offhire (ADtO)]]))</f>
        <v/>
      </c>
      <c r="AS133" s="153" t="str">
        <f>IF(Table13[[#This Row],[Actual Date to Offhire (ADtO)]]="","",MONTH(Table13[[#This Row],[Actual Date to Offhire (ADtO)]]))</f>
        <v/>
      </c>
      <c r="AT133" s="153" t="str">
        <f>IF(Table13[[#This Row],[Actual Date to Offhire (ADtO)]]="","",WEEKNUM(Table13[[#This Row],[Actual Date to Offhire (ADtO)]]))</f>
        <v/>
      </c>
      <c r="AU133" s="153" t="str">
        <f>TEXT(Table13[[#This Row],[YEAR3]],"0000")&amp;"-"&amp;Table13[[#This Row],[MONTH3]]</f>
        <v>-</v>
      </c>
      <c r="AV133" s="153">
        <f>IF(E133="",0,
  IF('Delivery Report'!A$2*100+'Delivery Report'!A$5 &lt; YEAR(E133)*100+WEEKNUM(E133), 0,
    IF(OR(G133="", 'Delivery Report'!A$2*100+'Delivery Report'!A$5 &lt;= YEAR(G133)*100+WEEKNUM(G133)),
      IF(LOWER(W133)="hourly", U133*X133*56,
      IF(LOWER(W133)="daily", U133*X133*7,
      IF(LOWER(W133)="weekly", U133*X133,
      IF(LOWER(W133)="monthly", U133*X133*12/52,
      IF(LOWER(W133)="yearly", U133*X133/52,
      IF(LOWER(W133)="one-off", U133*X133,
      0)))))),
    0)))</f>
        <v>0</v>
      </c>
    </row>
    <row r="134" spans="1:48" x14ac:dyDescent="0.3">
      <c r="A134" s="24"/>
      <c r="E134" s="1"/>
      <c r="F134" s="1"/>
      <c r="G134" s="1"/>
      <c r="H134" s="164" t="str">
        <f t="shared" si="22"/>
        <v/>
      </c>
      <c r="P134" s="153" t="str">
        <f t="shared" si="23"/>
        <v/>
      </c>
      <c r="Q134" s="155">
        <f>IF(Table13[[#This Row],[HGVs (Collection)]]="",O134,Table13[[#This Row],[HGVs (Delivery)]]+Table13[[#This Row],[HGVs (Collection)]])</f>
        <v>0</v>
      </c>
      <c r="W134" s="153" t="str" cm="1">
        <f t="array" ref="W134">IF(Table13[[#This Row],[QUANTITY]]="","",IFERROR(IF(V134&lt;&gt;"",_xlfn.XLOOKUP(I134&amp;J134,PRICES!C:C&amp;PRICES!B:B,IF(PRICES!F:F&lt;&gt;"",PRICES!F:F,PRICES!E:E),"")),""))</f>
        <v/>
      </c>
      <c r="X134" s="154" t="str" cm="1">
        <f t="array" ref="X134">IF(Table13[[#This Row],[QUANTITY]]="","",IFERROR(IF(U134&lt;&gt;"",_xlfn.XLOOKUP(I134&amp;J134&amp;V134,PRICES!C:C&amp;PRICES!B:B&amp;PRICES!D:D,PRICES!G:G,"")),""))</f>
        <v/>
      </c>
      <c r="Y134" s="154" t="str">
        <f t="shared" ca="1" si="24"/>
        <v/>
      </c>
      <c r="Z134" s="154" t="str">
        <f t="shared" ca="1" si="25"/>
        <v/>
      </c>
      <c r="AA134" s="154" t="str">
        <f t="shared" ca="1" si="26"/>
        <v/>
      </c>
      <c r="AB134" s="154" t="str">
        <f t="shared" ca="1" si="27"/>
        <v/>
      </c>
      <c r="AC134" s="154" t="str">
        <f t="shared" ca="1" si="21"/>
        <v/>
      </c>
      <c r="AD134" s="154" t="str">
        <f>IF(Table13[[#This Row],[QUANTITY]]="","",
  IF(AND(Y134="",Z134="",AA134="",AB134="",AC134=""),
    U134*X134,
  ""))</f>
        <v/>
      </c>
      <c r="AE134" s="154" t="str">
        <f t="shared" ca="1" si="28"/>
        <v/>
      </c>
      <c r="AF134" s="154" t="str">
        <f t="shared" si="29"/>
        <v/>
      </c>
      <c r="AG134" s="154" t="str" cm="1">
        <f t="array" aca="1" ref="AG134" ca="1">IF(Table13[[#This Row],[TOTAL HIRE COST]]="","",IFERROR(IF(U134&lt;&gt;"",_xlfn.XLOOKUP(J134&amp;I134&amp;V134,PRICES!B:B&amp;PRICES!C:C&amp;PRICES!D:D,PRICES!H:H,"")),""))</f>
        <v/>
      </c>
      <c r="AH134" s="154" t="str" cm="1">
        <f t="array" aca="1" ref="AH134" ca="1">IF(Table13[[#This Row],[TOTAL HIRE COST]]="","",IFERROR(IF(U134&lt;&gt;"",_xlfn.XLOOKUP(J134&amp;I134&amp;V134,PRICES!B:B&amp;PRICES!C:C&amp;PRICES!D:D,PRICES!I:I,"")),""))</f>
        <v/>
      </c>
      <c r="AI134" s="154" t="str">
        <f ca="1">IF(Table13[[#This Row],[TOTAL HIRE COST]]="","",Table13[[#This Row],[TOTAL HIRE COST]]+Table13[[#This Row],[DELIVERY COST]]+Table13[[#This Row],[COLLECTION COST]])</f>
        <v/>
      </c>
      <c r="AJ134" s="153" t="str">
        <f>IF(Table13[[#This Row],[Date to Hire (DH)]]="","",YEAR(Table13[[#This Row],[Date to Hire (DH)]]))</f>
        <v/>
      </c>
      <c r="AK134" s="153" t="str">
        <f>IF(Table13[[#This Row],[Date to Hire (DH)]]="","",MONTH(Table13[[#This Row],[Date to Hire (DH)]]))</f>
        <v/>
      </c>
      <c r="AL134" s="153" t="str">
        <f>IF(Table13[[#This Row],[Date to Hire (DH)]]="","",WEEKNUM(Table13[[#This Row],[Date to Hire (DH)]]))</f>
        <v/>
      </c>
      <c r="AM134" s="153" t="str">
        <f>TEXT(Table13[[#This Row],[YEAR]],"0000")&amp;"-"&amp;Table13[[#This Row],[MONTH]]</f>
        <v>-</v>
      </c>
      <c r="AN134" s="153" t="str">
        <f>IF(Table13[[#This Row],[Date of Planned Offhire (DoPO) / If Applicable]]="","",YEAR(Table13[[#This Row],[Date of Planned Offhire (DoPO) / If Applicable]]))</f>
        <v/>
      </c>
      <c r="AO134" s="153" t="str">
        <f>IF(Table13[[#This Row],[Date of Planned Offhire (DoPO) / If Applicable]]="","",MONTH(Table13[[#This Row],[Date of Planned Offhire (DoPO) / If Applicable]]))</f>
        <v/>
      </c>
      <c r="AP134" s="153" t="str">
        <f>IF(Table13[[#This Row],[Date of Planned Offhire (DoPO) / If Applicable]]="","",WEEKNUM(Table13[[#This Row],[Date of Planned Offhire (DoPO) / If Applicable]]))</f>
        <v/>
      </c>
      <c r="AQ134" s="153" t="str">
        <f>TEXT(Table13[[#This Row],[YEAR2]],"0000")&amp;"-"&amp;Table13[[#This Row],[MONTH2]]</f>
        <v>-</v>
      </c>
      <c r="AR134" s="153" t="str">
        <f>IF(Table13[[#This Row],[Actual Date to Offhire (ADtO)]]="","",YEAR(Table13[[#This Row],[Actual Date to Offhire (ADtO)]]))</f>
        <v/>
      </c>
      <c r="AS134" s="153" t="str">
        <f>IF(Table13[[#This Row],[Actual Date to Offhire (ADtO)]]="","",MONTH(Table13[[#This Row],[Actual Date to Offhire (ADtO)]]))</f>
        <v/>
      </c>
      <c r="AT134" s="153" t="str">
        <f>IF(Table13[[#This Row],[Actual Date to Offhire (ADtO)]]="","",WEEKNUM(Table13[[#This Row],[Actual Date to Offhire (ADtO)]]))</f>
        <v/>
      </c>
      <c r="AU134" s="153" t="str">
        <f>TEXT(Table13[[#This Row],[YEAR3]],"0000")&amp;"-"&amp;Table13[[#This Row],[MONTH3]]</f>
        <v>-</v>
      </c>
      <c r="AV134" s="153">
        <f>IF(E134="",0,
  IF('Delivery Report'!A$2*100+'Delivery Report'!A$5 &lt; YEAR(E134)*100+WEEKNUM(E134), 0,
    IF(OR(G134="", 'Delivery Report'!A$2*100+'Delivery Report'!A$5 &lt;= YEAR(G134)*100+WEEKNUM(G134)),
      IF(LOWER(W134)="hourly", U134*X134*56,
      IF(LOWER(W134)="daily", U134*X134*7,
      IF(LOWER(W134)="weekly", U134*X134,
      IF(LOWER(W134)="monthly", U134*X134*12/52,
      IF(LOWER(W134)="yearly", U134*X134/52,
      IF(LOWER(W134)="one-off", U134*X134,
      0)))))),
    0)))</f>
        <v>0</v>
      </c>
    </row>
    <row r="135" spans="1:48" x14ac:dyDescent="0.3">
      <c r="A135" s="24"/>
      <c r="E135" s="1"/>
      <c r="F135" s="1"/>
      <c r="G135" s="1"/>
      <c r="H135" s="164" t="str">
        <f t="shared" si="22"/>
        <v/>
      </c>
      <c r="P135" s="153" t="str">
        <f t="shared" si="23"/>
        <v/>
      </c>
      <c r="Q135" s="155">
        <f>IF(Table13[[#This Row],[HGVs (Collection)]]="",O135,Table13[[#This Row],[HGVs (Delivery)]]+Table13[[#This Row],[HGVs (Collection)]])</f>
        <v>0</v>
      </c>
      <c r="W135" s="153" t="str" cm="1">
        <f t="array" ref="W135">IF(Table13[[#This Row],[QUANTITY]]="","",IFERROR(IF(V135&lt;&gt;"",_xlfn.XLOOKUP(I135&amp;J135,PRICES!C:C&amp;PRICES!B:B,IF(PRICES!F:F&lt;&gt;"",PRICES!F:F,PRICES!E:E),"")),""))</f>
        <v/>
      </c>
      <c r="X135" s="154" t="str" cm="1">
        <f t="array" ref="X135">IF(Table13[[#This Row],[QUANTITY]]="","",IFERROR(IF(U135&lt;&gt;"",_xlfn.XLOOKUP(I135&amp;J135&amp;V135,PRICES!C:C&amp;PRICES!B:B&amp;PRICES!D:D,PRICES!G:G,"")),""))</f>
        <v/>
      </c>
      <c r="Y135" s="154" t="str">
        <f t="shared" ca="1" si="24"/>
        <v/>
      </c>
      <c r="Z135" s="154" t="str">
        <f t="shared" ca="1" si="25"/>
        <v/>
      </c>
      <c r="AA135" s="154" t="str">
        <f t="shared" ca="1" si="26"/>
        <v/>
      </c>
      <c r="AB135" s="154" t="str">
        <f t="shared" ca="1" si="27"/>
        <v/>
      </c>
      <c r="AC135" s="154" t="str">
        <f t="shared" ca="1" si="21"/>
        <v/>
      </c>
      <c r="AD135" s="154" t="str">
        <f>IF(Table13[[#This Row],[QUANTITY]]="","",
  IF(AND(Y135="",Z135="",AA135="",AB135="",AC135=""),
    U135*X135,
  ""))</f>
        <v/>
      </c>
      <c r="AE135" s="154" t="str">
        <f t="shared" ca="1" si="28"/>
        <v/>
      </c>
      <c r="AF135" s="154" t="str">
        <f t="shared" si="29"/>
        <v/>
      </c>
      <c r="AG135" s="154" t="str" cm="1">
        <f t="array" aca="1" ref="AG135" ca="1">IF(Table13[[#This Row],[TOTAL HIRE COST]]="","",IFERROR(IF(U135&lt;&gt;"",_xlfn.XLOOKUP(J135&amp;I135&amp;V135,PRICES!B:B&amp;PRICES!C:C&amp;PRICES!D:D,PRICES!H:H,"")),""))</f>
        <v/>
      </c>
      <c r="AH135" s="154" t="str" cm="1">
        <f t="array" aca="1" ref="AH135" ca="1">IF(Table13[[#This Row],[TOTAL HIRE COST]]="","",IFERROR(IF(U135&lt;&gt;"",_xlfn.XLOOKUP(J135&amp;I135&amp;V135,PRICES!B:B&amp;PRICES!C:C&amp;PRICES!D:D,PRICES!I:I,"")),""))</f>
        <v/>
      </c>
      <c r="AI135" s="154" t="str">
        <f ca="1">IF(Table13[[#This Row],[TOTAL HIRE COST]]="","",Table13[[#This Row],[TOTAL HIRE COST]]+Table13[[#This Row],[DELIVERY COST]]+Table13[[#This Row],[COLLECTION COST]])</f>
        <v/>
      </c>
      <c r="AJ135" s="153" t="str">
        <f>IF(Table13[[#This Row],[Date to Hire (DH)]]="","",YEAR(Table13[[#This Row],[Date to Hire (DH)]]))</f>
        <v/>
      </c>
      <c r="AK135" s="153" t="str">
        <f>IF(Table13[[#This Row],[Date to Hire (DH)]]="","",MONTH(Table13[[#This Row],[Date to Hire (DH)]]))</f>
        <v/>
      </c>
      <c r="AL135" s="153" t="str">
        <f>IF(Table13[[#This Row],[Date to Hire (DH)]]="","",WEEKNUM(Table13[[#This Row],[Date to Hire (DH)]]))</f>
        <v/>
      </c>
      <c r="AM135" s="153" t="str">
        <f>TEXT(Table13[[#This Row],[YEAR]],"0000")&amp;"-"&amp;Table13[[#This Row],[MONTH]]</f>
        <v>-</v>
      </c>
      <c r="AN135" s="153" t="str">
        <f>IF(Table13[[#This Row],[Date of Planned Offhire (DoPO) / If Applicable]]="","",YEAR(Table13[[#This Row],[Date of Planned Offhire (DoPO) / If Applicable]]))</f>
        <v/>
      </c>
      <c r="AO135" s="153" t="str">
        <f>IF(Table13[[#This Row],[Date of Planned Offhire (DoPO) / If Applicable]]="","",MONTH(Table13[[#This Row],[Date of Planned Offhire (DoPO) / If Applicable]]))</f>
        <v/>
      </c>
      <c r="AP135" s="153" t="str">
        <f>IF(Table13[[#This Row],[Date of Planned Offhire (DoPO) / If Applicable]]="","",WEEKNUM(Table13[[#This Row],[Date of Planned Offhire (DoPO) / If Applicable]]))</f>
        <v/>
      </c>
      <c r="AQ135" s="153" t="str">
        <f>TEXT(Table13[[#This Row],[YEAR2]],"0000")&amp;"-"&amp;Table13[[#This Row],[MONTH2]]</f>
        <v>-</v>
      </c>
      <c r="AR135" s="153" t="str">
        <f>IF(Table13[[#This Row],[Actual Date to Offhire (ADtO)]]="","",YEAR(Table13[[#This Row],[Actual Date to Offhire (ADtO)]]))</f>
        <v/>
      </c>
      <c r="AS135" s="153" t="str">
        <f>IF(Table13[[#This Row],[Actual Date to Offhire (ADtO)]]="","",MONTH(Table13[[#This Row],[Actual Date to Offhire (ADtO)]]))</f>
        <v/>
      </c>
      <c r="AT135" s="153" t="str">
        <f>IF(Table13[[#This Row],[Actual Date to Offhire (ADtO)]]="","",WEEKNUM(Table13[[#This Row],[Actual Date to Offhire (ADtO)]]))</f>
        <v/>
      </c>
      <c r="AU135" s="153" t="str">
        <f>TEXT(Table13[[#This Row],[YEAR3]],"0000")&amp;"-"&amp;Table13[[#This Row],[MONTH3]]</f>
        <v>-</v>
      </c>
      <c r="AV135" s="153">
        <f>IF(E135="",0,
  IF('Delivery Report'!A$2*100+'Delivery Report'!A$5 &lt; YEAR(E135)*100+WEEKNUM(E135), 0,
    IF(OR(G135="", 'Delivery Report'!A$2*100+'Delivery Report'!A$5 &lt;= YEAR(G135)*100+WEEKNUM(G135)),
      IF(LOWER(W135)="hourly", U135*X135*56,
      IF(LOWER(W135)="daily", U135*X135*7,
      IF(LOWER(W135)="weekly", U135*X135,
      IF(LOWER(W135)="monthly", U135*X135*12/52,
      IF(LOWER(W135)="yearly", U135*X135/52,
      IF(LOWER(W135)="one-off", U135*X135,
      0)))))),
    0)))</f>
        <v>0</v>
      </c>
    </row>
    <row r="136" spans="1:48" x14ac:dyDescent="0.3">
      <c r="A136" s="24"/>
      <c r="E136" s="1"/>
      <c r="F136" s="1"/>
      <c r="G136" s="1"/>
      <c r="H136" s="164" t="str">
        <f t="shared" si="22"/>
        <v/>
      </c>
      <c r="P136" s="153" t="str">
        <f t="shared" si="23"/>
        <v/>
      </c>
      <c r="Q136" s="155">
        <f>IF(Table13[[#This Row],[HGVs (Collection)]]="",O136,Table13[[#This Row],[HGVs (Delivery)]]+Table13[[#This Row],[HGVs (Collection)]])</f>
        <v>0</v>
      </c>
      <c r="W136" s="153" t="str" cm="1">
        <f t="array" ref="W136">IF(Table13[[#This Row],[QUANTITY]]="","",IFERROR(IF(V136&lt;&gt;"",_xlfn.XLOOKUP(I136&amp;J136,PRICES!C:C&amp;PRICES!B:B,IF(PRICES!F:F&lt;&gt;"",PRICES!F:F,PRICES!E:E),"")),""))</f>
        <v/>
      </c>
      <c r="X136" s="154" t="str" cm="1">
        <f t="array" ref="X136">IF(Table13[[#This Row],[QUANTITY]]="","",IFERROR(IF(U136&lt;&gt;"",_xlfn.XLOOKUP(I136&amp;J136&amp;V136,PRICES!C:C&amp;PRICES!B:B&amp;PRICES!D:D,PRICES!G:G,"")),""))</f>
        <v/>
      </c>
      <c r="Y136" s="154" t="str">
        <f t="shared" ca="1" si="24"/>
        <v/>
      </c>
      <c r="Z136" s="154" t="str">
        <f t="shared" ca="1" si="25"/>
        <v/>
      </c>
      <c r="AA136" s="154" t="str">
        <f t="shared" ca="1" si="26"/>
        <v/>
      </c>
      <c r="AB136" s="154" t="str">
        <f t="shared" ca="1" si="27"/>
        <v/>
      </c>
      <c r="AC136" s="154" t="str">
        <f t="shared" ca="1" si="21"/>
        <v/>
      </c>
      <c r="AD136" s="154" t="str">
        <f>IF(Table13[[#This Row],[QUANTITY]]="","",
  IF(AND(Y136="",Z136="",AA136="",AB136="",AC136=""),
    U136*X136,
  ""))</f>
        <v/>
      </c>
      <c r="AE136" s="154" t="str">
        <f t="shared" ca="1" si="28"/>
        <v/>
      </c>
      <c r="AF136" s="154" t="str">
        <f t="shared" si="29"/>
        <v/>
      </c>
      <c r="AG136" s="154" t="str" cm="1">
        <f t="array" aca="1" ref="AG136" ca="1">IF(Table13[[#This Row],[TOTAL HIRE COST]]="","",IFERROR(IF(U136&lt;&gt;"",_xlfn.XLOOKUP(J136&amp;I136&amp;V136,PRICES!B:B&amp;PRICES!C:C&amp;PRICES!D:D,PRICES!H:H,"")),""))</f>
        <v/>
      </c>
      <c r="AH136" s="154" t="str" cm="1">
        <f t="array" aca="1" ref="AH136" ca="1">IF(Table13[[#This Row],[TOTAL HIRE COST]]="","",IFERROR(IF(U136&lt;&gt;"",_xlfn.XLOOKUP(J136&amp;I136&amp;V136,PRICES!B:B&amp;PRICES!C:C&amp;PRICES!D:D,PRICES!I:I,"")),""))</f>
        <v/>
      </c>
      <c r="AI136" s="154" t="str">
        <f ca="1">IF(Table13[[#This Row],[TOTAL HIRE COST]]="","",Table13[[#This Row],[TOTAL HIRE COST]]+Table13[[#This Row],[DELIVERY COST]]+Table13[[#This Row],[COLLECTION COST]])</f>
        <v/>
      </c>
      <c r="AJ136" s="153" t="str">
        <f>IF(Table13[[#This Row],[Date to Hire (DH)]]="","",YEAR(Table13[[#This Row],[Date to Hire (DH)]]))</f>
        <v/>
      </c>
      <c r="AK136" s="153" t="str">
        <f>IF(Table13[[#This Row],[Date to Hire (DH)]]="","",MONTH(Table13[[#This Row],[Date to Hire (DH)]]))</f>
        <v/>
      </c>
      <c r="AL136" s="153" t="str">
        <f>IF(Table13[[#This Row],[Date to Hire (DH)]]="","",WEEKNUM(Table13[[#This Row],[Date to Hire (DH)]]))</f>
        <v/>
      </c>
      <c r="AM136" s="153" t="str">
        <f>TEXT(Table13[[#This Row],[YEAR]],"0000")&amp;"-"&amp;Table13[[#This Row],[MONTH]]</f>
        <v>-</v>
      </c>
      <c r="AN136" s="153" t="str">
        <f>IF(Table13[[#This Row],[Date of Planned Offhire (DoPO) / If Applicable]]="","",YEAR(Table13[[#This Row],[Date of Planned Offhire (DoPO) / If Applicable]]))</f>
        <v/>
      </c>
      <c r="AO136" s="153" t="str">
        <f>IF(Table13[[#This Row],[Date of Planned Offhire (DoPO) / If Applicable]]="","",MONTH(Table13[[#This Row],[Date of Planned Offhire (DoPO) / If Applicable]]))</f>
        <v/>
      </c>
      <c r="AP136" s="153" t="str">
        <f>IF(Table13[[#This Row],[Date of Planned Offhire (DoPO) / If Applicable]]="","",WEEKNUM(Table13[[#This Row],[Date of Planned Offhire (DoPO) / If Applicable]]))</f>
        <v/>
      </c>
      <c r="AQ136" s="153" t="str">
        <f>TEXT(Table13[[#This Row],[YEAR2]],"0000")&amp;"-"&amp;Table13[[#This Row],[MONTH2]]</f>
        <v>-</v>
      </c>
      <c r="AR136" s="153" t="str">
        <f>IF(Table13[[#This Row],[Actual Date to Offhire (ADtO)]]="","",YEAR(Table13[[#This Row],[Actual Date to Offhire (ADtO)]]))</f>
        <v/>
      </c>
      <c r="AS136" s="153" t="str">
        <f>IF(Table13[[#This Row],[Actual Date to Offhire (ADtO)]]="","",MONTH(Table13[[#This Row],[Actual Date to Offhire (ADtO)]]))</f>
        <v/>
      </c>
      <c r="AT136" s="153" t="str">
        <f>IF(Table13[[#This Row],[Actual Date to Offhire (ADtO)]]="","",WEEKNUM(Table13[[#This Row],[Actual Date to Offhire (ADtO)]]))</f>
        <v/>
      </c>
      <c r="AU136" s="153" t="str">
        <f>TEXT(Table13[[#This Row],[YEAR3]],"0000")&amp;"-"&amp;Table13[[#This Row],[MONTH3]]</f>
        <v>-</v>
      </c>
      <c r="AV136" s="153">
        <f>IF(E136="",0,
  IF('Delivery Report'!A$2*100+'Delivery Report'!A$5 &lt; YEAR(E136)*100+WEEKNUM(E136), 0,
    IF(OR(G136="", 'Delivery Report'!A$2*100+'Delivery Report'!A$5 &lt;= YEAR(G136)*100+WEEKNUM(G136)),
      IF(LOWER(W136)="hourly", U136*X136*56,
      IF(LOWER(W136)="daily", U136*X136*7,
      IF(LOWER(W136)="weekly", U136*X136,
      IF(LOWER(W136)="monthly", U136*X136*12/52,
      IF(LOWER(W136)="yearly", U136*X136/52,
      IF(LOWER(W136)="one-off", U136*X136,
      0)))))),
    0)))</f>
        <v>0</v>
      </c>
    </row>
    <row r="137" spans="1:48" x14ac:dyDescent="0.3">
      <c r="A137" s="24"/>
      <c r="E137" s="1"/>
      <c r="F137" s="1"/>
      <c r="G137" s="1"/>
      <c r="H137" s="164" t="str">
        <f t="shared" si="22"/>
        <v/>
      </c>
      <c r="P137" s="153" t="str">
        <f t="shared" si="23"/>
        <v/>
      </c>
      <c r="Q137" s="155">
        <f>IF(Table13[[#This Row],[HGVs (Collection)]]="",O137,Table13[[#This Row],[HGVs (Delivery)]]+Table13[[#This Row],[HGVs (Collection)]])</f>
        <v>0</v>
      </c>
      <c r="W137" s="153" t="str" cm="1">
        <f t="array" ref="W137">IF(Table13[[#This Row],[QUANTITY]]="","",IFERROR(IF(V137&lt;&gt;"",_xlfn.XLOOKUP(I137&amp;J137,PRICES!C:C&amp;PRICES!B:B,IF(PRICES!F:F&lt;&gt;"",PRICES!F:F,PRICES!E:E),"")),""))</f>
        <v/>
      </c>
      <c r="X137" s="154" t="str" cm="1">
        <f t="array" ref="X137">IF(Table13[[#This Row],[QUANTITY]]="","",IFERROR(IF(U137&lt;&gt;"",_xlfn.XLOOKUP(I137&amp;J137&amp;V137,PRICES!C:C&amp;PRICES!B:B&amp;PRICES!D:D,PRICES!G:G,"")),""))</f>
        <v/>
      </c>
      <c r="Y137" s="154" t="str">
        <f t="shared" ca="1" si="24"/>
        <v/>
      </c>
      <c r="Z137" s="154" t="str">
        <f t="shared" ca="1" si="25"/>
        <v/>
      </c>
      <c r="AA137" s="154" t="str">
        <f t="shared" ca="1" si="26"/>
        <v/>
      </c>
      <c r="AB137" s="154" t="str">
        <f t="shared" ca="1" si="27"/>
        <v/>
      </c>
      <c r="AC137" s="154" t="str">
        <f t="shared" ca="1" si="21"/>
        <v/>
      </c>
      <c r="AD137" s="154" t="str">
        <f>IF(Table13[[#This Row],[QUANTITY]]="","",
  IF(AND(Y137="",Z137="",AA137="",AB137="",AC137=""),
    U137*X137,
  ""))</f>
        <v/>
      </c>
      <c r="AE137" s="154" t="str">
        <f t="shared" ca="1" si="28"/>
        <v/>
      </c>
      <c r="AF137" s="154" t="str">
        <f t="shared" si="29"/>
        <v/>
      </c>
      <c r="AG137" s="154" t="str" cm="1">
        <f t="array" aca="1" ref="AG137" ca="1">IF(Table13[[#This Row],[TOTAL HIRE COST]]="","",IFERROR(IF(U137&lt;&gt;"",_xlfn.XLOOKUP(J137&amp;I137&amp;V137,PRICES!B:B&amp;PRICES!C:C&amp;PRICES!D:D,PRICES!H:H,"")),""))</f>
        <v/>
      </c>
      <c r="AH137" s="154" t="str" cm="1">
        <f t="array" aca="1" ref="AH137" ca="1">IF(Table13[[#This Row],[TOTAL HIRE COST]]="","",IFERROR(IF(U137&lt;&gt;"",_xlfn.XLOOKUP(J137&amp;I137&amp;V137,PRICES!B:B&amp;PRICES!C:C&amp;PRICES!D:D,PRICES!I:I,"")),""))</f>
        <v/>
      </c>
      <c r="AI137" s="154" t="str">
        <f ca="1">IF(Table13[[#This Row],[TOTAL HIRE COST]]="","",Table13[[#This Row],[TOTAL HIRE COST]]+Table13[[#This Row],[DELIVERY COST]]+Table13[[#This Row],[COLLECTION COST]])</f>
        <v/>
      </c>
      <c r="AJ137" s="153" t="str">
        <f>IF(Table13[[#This Row],[Date to Hire (DH)]]="","",YEAR(Table13[[#This Row],[Date to Hire (DH)]]))</f>
        <v/>
      </c>
      <c r="AK137" s="153" t="str">
        <f>IF(Table13[[#This Row],[Date to Hire (DH)]]="","",MONTH(Table13[[#This Row],[Date to Hire (DH)]]))</f>
        <v/>
      </c>
      <c r="AL137" s="153" t="str">
        <f>IF(Table13[[#This Row],[Date to Hire (DH)]]="","",WEEKNUM(Table13[[#This Row],[Date to Hire (DH)]]))</f>
        <v/>
      </c>
      <c r="AM137" s="153" t="str">
        <f>TEXT(Table13[[#This Row],[YEAR]],"0000")&amp;"-"&amp;Table13[[#This Row],[MONTH]]</f>
        <v>-</v>
      </c>
      <c r="AN137" s="153" t="str">
        <f>IF(Table13[[#This Row],[Date of Planned Offhire (DoPO) / If Applicable]]="","",YEAR(Table13[[#This Row],[Date of Planned Offhire (DoPO) / If Applicable]]))</f>
        <v/>
      </c>
      <c r="AO137" s="153" t="str">
        <f>IF(Table13[[#This Row],[Date of Planned Offhire (DoPO) / If Applicable]]="","",MONTH(Table13[[#This Row],[Date of Planned Offhire (DoPO) / If Applicable]]))</f>
        <v/>
      </c>
      <c r="AP137" s="153" t="str">
        <f>IF(Table13[[#This Row],[Date of Planned Offhire (DoPO) / If Applicable]]="","",WEEKNUM(Table13[[#This Row],[Date of Planned Offhire (DoPO) / If Applicable]]))</f>
        <v/>
      </c>
      <c r="AQ137" s="153" t="str">
        <f>TEXT(Table13[[#This Row],[YEAR2]],"0000")&amp;"-"&amp;Table13[[#This Row],[MONTH2]]</f>
        <v>-</v>
      </c>
      <c r="AR137" s="153" t="str">
        <f>IF(Table13[[#This Row],[Actual Date to Offhire (ADtO)]]="","",YEAR(Table13[[#This Row],[Actual Date to Offhire (ADtO)]]))</f>
        <v/>
      </c>
      <c r="AS137" s="153" t="str">
        <f>IF(Table13[[#This Row],[Actual Date to Offhire (ADtO)]]="","",MONTH(Table13[[#This Row],[Actual Date to Offhire (ADtO)]]))</f>
        <v/>
      </c>
      <c r="AT137" s="153" t="str">
        <f>IF(Table13[[#This Row],[Actual Date to Offhire (ADtO)]]="","",WEEKNUM(Table13[[#This Row],[Actual Date to Offhire (ADtO)]]))</f>
        <v/>
      </c>
      <c r="AU137" s="153" t="str">
        <f>TEXT(Table13[[#This Row],[YEAR3]],"0000")&amp;"-"&amp;Table13[[#This Row],[MONTH3]]</f>
        <v>-</v>
      </c>
      <c r="AV137" s="153">
        <f>IF(E137="",0,
  IF('Delivery Report'!A$2*100+'Delivery Report'!A$5 &lt; YEAR(E137)*100+WEEKNUM(E137), 0,
    IF(OR(G137="", 'Delivery Report'!A$2*100+'Delivery Report'!A$5 &lt;= YEAR(G137)*100+WEEKNUM(G137)),
      IF(LOWER(W137)="hourly", U137*X137*56,
      IF(LOWER(W137)="daily", U137*X137*7,
      IF(LOWER(W137)="weekly", U137*X137,
      IF(LOWER(W137)="monthly", U137*X137*12/52,
      IF(LOWER(W137)="yearly", U137*X137/52,
      IF(LOWER(W137)="one-off", U137*X137,
      0)))))),
    0)))</f>
        <v>0</v>
      </c>
    </row>
    <row r="138" spans="1:48" x14ac:dyDescent="0.3">
      <c r="A138" s="24"/>
      <c r="E138" s="1"/>
      <c r="F138" s="1"/>
      <c r="G138" s="1"/>
      <c r="H138" s="164" t="str">
        <f t="shared" si="22"/>
        <v/>
      </c>
      <c r="P138" s="153" t="str">
        <f t="shared" si="23"/>
        <v/>
      </c>
      <c r="Q138" s="155">
        <f>IF(Table13[[#This Row],[HGVs (Collection)]]="",O138,Table13[[#This Row],[HGVs (Delivery)]]+Table13[[#This Row],[HGVs (Collection)]])</f>
        <v>0</v>
      </c>
      <c r="W138" s="153" t="str" cm="1">
        <f t="array" ref="W138">IF(Table13[[#This Row],[QUANTITY]]="","",IFERROR(IF(V138&lt;&gt;"",_xlfn.XLOOKUP(I138&amp;J138,PRICES!C:C&amp;PRICES!B:B,IF(PRICES!F:F&lt;&gt;"",PRICES!F:F,PRICES!E:E),"")),""))</f>
        <v/>
      </c>
      <c r="X138" s="154" t="str" cm="1">
        <f t="array" ref="X138">IF(Table13[[#This Row],[QUANTITY]]="","",IFERROR(IF(U138&lt;&gt;"",_xlfn.XLOOKUP(I138&amp;J138&amp;V138,PRICES!C:C&amp;PRICES!B:B&amp;PRICES!D:D,PRICES!G:G,"")),""))</f>
        <v/>
      </c>
      <c r="Y138" s="154" t="str">
        <f t="shared" ca="1" si="24"/>
        <v/>
      </c>
      <c r="Z138" s="154" t="str">
        <f t="shared" ca="1" si="25"/>
        <v/>
      </c>
      <c r="AA138" s="154" t="str">
        <f t="shared" ca="1" si="26"/>
        <v/>
      </c>
      <c r="AB138" s="154" t="str">
        <f t="shared" ca="1" si="27"/>
        <v/>
      </c>
      <c r="AC138" s="154" t="str">
        <f t="shared" ca="1" si="21"/>
        <v/>
      </c>
      <c r="AD138" s="154" t="str">
        <f>IF(Table13[[#This Row],[QUANTITY]]="","",
  IF(AND(Y138="",Z138="",AA138="",AB138="",AC138=""),
    U138*X138,
  ""))</f>
        <v/>
      </c>
      <c r="AE138" s="154" t="str">
        <f t="shared" ca="1" si="28"/>
        <v/>
      </c>
      <c r="AF138" s="154" t="str">
        <f t="shared" si="29"/>
        <v/>
      </c>
      <c r="AG138" s="154" t="str" cm="1">
        <f t="array" aca="1" ref="AG138" ca="1">IF(Table13[[#This Row],[TOTAL HIRE COST]]="","",IFERROR(IF(U138&lt;&gt;"",_xlfn.XLOOKUP(J138&amp;I138&amp;V138,PRICES!B:B&amp;PRICES!C:C&amp;PRICES!D:D,PRICES!H:H,"")),""))</f>
        <v/>
      </c>
      <c r="AH138" s="154" t="str" cm="1">
        <f t="array" aca="1" ref="AH138" ca="1">IF(Table13[[#This Row],[TOTAL HIRE COST]]="","",IFERROR(IF(U138&lt;&gt;"",_xlfn.XLOOKUP(J138&amp;I138&amp;V138,PRICES!B:B&amp;PRICES!C:C&amp;PRICES!D:D,PRICES!I:I,"")),""))</f>
        <v/>
      </c>
      <c r="AI138" s="154" t="str">
        <f ca="1">IF(Table13[[#This Row],[TOTAL HIRE COST]]="","",Table13[[#This Row],[TOTAL HIRE COST]]+Table13[[#This Row],[DELIVERY COST]]+Table13[[#This Row],[COLLECTION COST]])</f>
        <v/>
      </c>
      <c r="AJ138" s="153" t="str">
        <f>IF(Table13[[#This Row],[Date to Hire (DH)]]="","",YEAR(Table13[[#This Row],[Date to Hire (DH)]]))</f>
        <v/>
      </c>
      <c r="AK138" s="153" t="str">
        <f>IF(Table13[[#This Row],[Date to Hire (DH)]]="","",MONTH(Table13[[#This Row],[Date to Hire (DH)]]))</f>
        <v/>
      </c>
      <c r="AL138" s="153" t="str">
        <f>IF(Table13[[#This Row],[Date to Hire (DH)]]="","",WEEKNUM(Table13[[#This Row],[Date to Hire (DH)]]))</f>
        <v/>
      </c>
      <c r="AM138" s="153" t="str">
        <f>TEXT(Table13[[#This Row],[YEAR]],"0000")&amp;"-"&amp;Table13[[#This Row],[MONTH]]</f>
        <v>-</v>
      </c>
      <c r="AN138" s="153" t="str">
        <f>IF(Table13[[#This Row],[Date of Planned Offhire (DoPO) / If Applicable]]="","",YEAR(Table13[[#This Row],[Date of Planned Offhire (DoPO) / If Applicable]]))</f>
        <v/>
      </c>
      <c r="AO138" s="153" t="str">
        <f>IF(Table13[[#This Row],[Date of Planned Offhire (DoPO) / If Applicable]]="","",MONTH(Table13[[#This Row],[Date of Planned Offhire (DoPO) / If Applicable]]))</f>
        <v/>
      </c>
      <c r="AP138" s="153" t="str">
        <f>IF(Table13[[#This Row],[Date of Planned Offhire (DoPO) / If Applicable]]="","",WEEKNUM(Table13[[#This Row],[Date of Planned Offhire (DoPO) / If Applicable]]))</f>
        <v/>
      </c>
      <c r="AQ138" s="153" t="str">
        <f>TEXT(Table13[[#This Row],[YEAR2]],"0000")&amp;"-"&amp;Table13[[#This Row],[MONTH2]]</f>
        <v>-</v>
      </c>
      <c r="AR138" s="153" t="str">
        <f>IF(Table13[[#This Row],[Actual Date to Offhire (ADtO)]]="","",YEAR(Table13[[#This Row],[Actual Date to Offhire (ADtO)]]))</f>
        <v/>
      </c>
      <c r="AS138" s="153" t="str">
        <f>IF(Table13[[#This Row],[Actual Date to Offhire (ADtO)]]="","",MONTH(Table13[[#This Row],[Actual Date to Offhire (ADtO)]]))</f>
        <v/>
      </c>
      <c r="AT138" s="153" t="str">
        <f>IF(Table13[[#This Row],[Actual Date to Offhire (ADtO)]]="","",WEEKNUM(Table13[[#This Row],[Actual Date to Offhire (ADtO)]]))</f>
        <v/>
      </c>
      <c r="AU138" s="153" t="str">
        <f>TEXT(Table13[[#This Row],[YEAR3]],"0000")&amp;"-"&amp;Table13[[#This Row],[MONTH3]]</f>
        <v>-</v>
      </c>
      <c r="AV138" s="153">
        <f>IF(E138="",0,
  IF('Delivery Report'!A$2*100+'Delivery Report'!A$5 &lt; YEAR(E138)*100+WEEKNUM(E138), 0,
    IF(OR(G138="", 'Delivery Report'!A$2*100+'Delivery Report'!A$5 &lt;= YEAR(G138)*100+WEEKNUM(G138)),
      IF(LOWER(W138)="hourly", U138*X138*56,
      IF(LOWER(W138)="daily", U138*X138*7,
      IF(LOWER(W138)="weekly", U138*X138,
      IF(LOWER(W138)="monthly", U138*X138*12/52,
      IF(LOWER(W138)="yearly", U138*X138/52,
      IF(LOWER(W138)="one-off", U138*X138,
      0)))))),
    0)))</f>
        <v>0</v>
      </c>
    </row>
    <row r="139" spans="1:48" x14ac:dyDescent="0.3">
      <c r="A139" s="24"/>
      <c r="E139" s="1"/>
      <c r="F139" s="1"/>
      <c r="G139" s="1"/>
      <c r="H139" s="164" t="str">
        <f t="shared" si="22"/>
        <v/>
      </c>
      <c r="P139" s="153" t="str">
        <f t="shared" si="23"/>
        <v/>
      </c>
      <c r="Q139" s="155">
        <f>IF(Table13[[#This Row],[HGVs (Collection)]]="",O139,Table13[[#This Row],[HGVs (Delivery)]]+Table13[[#This Row],[HGVs (Collection)]])</f>
        <v>0</v>
      </c>
      <c r="W139" s="153" t="str" cm="1">
        <f t="array" ref="W139">IF(Table13[[#This Row],[QUANTITY]]="","",IFERROR(IF(V139&lt;&gt;"",_xlfn.XLOOKUP(I139&amp;J139,PRICES!C:C&amp;PRICES!B:B,IF(PRICES!F:F&lt;&gt;"",PRICES!F:F,PRICES!E:E),"")),""))</f>
        <v/>
      </c>
      <c r="X139" s="154" t="str" cm="1">
        <f t="array" ref="X139">IF(Table13[[#This Row],[QUANTITY]]="","",IFERROR(IF(U139&lt;&gt;"",_xlfn.XLOOKUP(I139&amp;J139&amp;V139,PRICES!C:C&amp;PRICES!B:B&amp;PRICES!D:D,PRICES!G:G,"")),""))</f>
        <v/>
      </c>
      <c r="Y139" s="154" t="str">
        <f t="shared" ca="1" si="24"/>
        <v/>
      </c>
      <c r="Z139" s="154" t="str">
        <f t="shared" ca="1" si="25"/>
        <v/>
      </c>
      <c r="AA139" s="154" t="str">
        <f t="shared" ca="1" si="26"/>
        <v/>
      </c>
      <c r="AB139" s="154" t="str">
        <f t="shared" ca="1" si="27"/>
        <v/>
      </c>
      <c r="AC139" s="154" t="str">
        <f t="shared" ca="1" si="21"/>
        <v/>
      </c>
      <c r="AD139" s="154" t="str">
        <f>IF(Table13[[#This Row],[QUANTITY]]="","",
  IF(AND(Y139="",Z139="",AA139="",AB139="",AC139=""),
    U139*X139,
  ""))</f>
        <v/>
      </c>
      <c r="AE139" s="154" t="str">
        <f t="shared" ca="1" si="28"/>
        <v/>
      </c>
      <c r="AF139" s="154" t="str">
        <f t="shared" si="29"/>
        <v/>
      </c>
      <c r="AG139" s="154" t="str" cm="1">
        <f t="array" aca="1" ref="AG139" ca="1">IF(Table13[[#This Row],[TOTAL HIRE COST]]="","",IFERROR(IF(U139&lt;&gt;"",_xlfn.XLOOKUP(J139&amp;I139&amp;V139,PRICES!B:B&amp;PRICES!C:C&amp;PRICES!D:D,PRICES!H:H,"")),""))</f>
        <v/>
      </c>
      <c r="AH139" s="154" t="str" cm="1">
        <f t="array" aca="1" ref="AH139" ca="1">IF(Table13[[#This Row],[TOTAL HIRE COST]]="","",IFERROR(IF(U139&lt;&gt;"",_xlfn.XLOOKUP(J139&amp;I139&amp;V139,PRICES!B:B&amp;PRICES!C:C&amp;PRICES!D:D,PRICES!I:I,"")),""))</f>
        <v/>
      </c>
      <c r="AI139" s="154" t="str">
        <f ca="1">IF(Table13[[#This Row],[TOTAL HIRE COST]]="","",Table13[[#This Row],[TOTAL HIRE COST]]+Table13[[#This Row],[DELIVERY COST]]+Table13[[#This Row],[COLLECTION COST]])</f>
        <v/>
      </c>
      <c r="AJ139" s="153" t="str">
        <f>IF(Table13[[#This Row],[Date to Hire (DH)]]="","",YEAR(Table13[[#This Row],[Date to Hire (DH)]]))</f>
        <v/>
      </c>
      <c r="AK139" s="153" t="str">
        <f>IF(Table13[[#This Row],[Date to Hire (DH)]]="","",MONTH(Table13[[#This Row],[Date to Hire (DH)]]))</f>
        <v/>
      </c>
      <c r="AL139" s="153" t="str">
        <f>IF(Table13[[#This Row],[Date to Hire (DH)]]="","",WEEKNUM(Table13[[#This Row],[Date to Hire (DH)]]))</f>
        <v/>
      </c>
      <c r="AM139" s="153" t="str">
        <f>TEXT(Table13[[#This Row],[YEAR]],"0000")&amp;"-"&amp;Table13[[#This Row],[MONTH]]</f>
        <v>-</v>
      </c>
      <c r="AN139" s="153" t="str">
        <f>IF(Table13[[#This Row],[Date of Planned Offhire (DoPO) / If Applicable]]="","",YEAR(Table13[[#This Row],[Date of Planned Offhire (DoPO) / If Applicable]]))</f>
        <v/>
      </c>
      <c r="AO139" s="153" t="str">
        <f>IF(Table13[[#This Row],[Date of Planned Offhire (DoPO) / If Applicable]]="","",MONTH(Table13[[#This Row],[Date of Planned Offhire (DoPO) / If Applicable]]))</f>
        <v/>
      </c>
      <c r="AP139" s="153" t="str">
        <f>IF(Table13[[#This Row],[Date of Planned Offhire (DoPO) / If Applicable]]="","",WEEKNUM(Table13[[#This Row],[Date of Planned Offhire (DoPO) / If Applicable]]))</f>
        <v/>
      </c>
      <c r="AQ139" s="153" t="str">
        <f>TEXT(Table13[[#This Row],[YEAR2]],"0000")&amp;"-"&amp;Table13[[#This Row],[MONTH2]]</f>
        <v>-</v>
      </c>
      <c r="AR139" s="153" t="str">
        <f>IF(Table13[[#This Row],[Actual Date to Offhire (ADtO)]]="","",YEAR(Table13[[#This Row],[Actual Date to Offhire (ADtO)]]))</f>
        <v/>
      </c>
      <c r="AS139" s="153" t="str">
        <f>IF(Table13[[#This Row],[Actual Date to Offhire (ADtO)]]="","",MONTH(Table13[[#This Row],[Actual Date to Offhire (ADtO)]]))</f>
        <v/>
      </c>
      <c r="AT139" s="153" t="str">
        <f>IF(Table13[[#This Row],[Actual Date to Offhire (ADtO)]]="","",WEEKNUM(Table13[[#This Row],[Actual Date to Offhire (ADtO)]]))</f>
        <v/>
      </c>
      <c r="AU139" s="153" t="str">
        <f>TEXT(Table13[[#This Row],[YEAR3]],"0000")&amp;"-"&amp;Table13[[#This Row],[MONTH3]]</f>
        <v>-</v>
      </c>
      <c r="AV139" s="153">
        <f>IF(E139="",0,
  IF('Delivery Report'!A$2*100+'Delivery Report'!A$5 &lt; YEAR(E139)*100+WEEKNUM(E139), 0,
    IF(OR(G139="", 'Delivery Report'!A$2*100+'Delivery Report'!A$5 &lt;= YEAR(G139)*100+WEEKNUM(G139)),
      IF(LOWER(W139)="hourly", U139*X139*56,
      IF(LOWER(W139)="daily", U139*X139*7,
      IF(LOWER(W139)="weekly", U139*X139,
      IF(LOWER(W139)="monthly", U139*X139*12/52,
      IF(LOWER(W139)="yearly", U139*X139/52,
      IF(LOWER(W139)="one-off", U139*X139,
      0)))))),
    0)))</f>
        <v>0</v>
      </c>
    </row>
    <row r="140" spans="1:48" x14ac:dyDescent="0.3">
      <c r="A140" s="24"/>
      <c r="E140" s="1"/>
      <c r="F140" s="1"/>
      <c r="G140" s="1"/>
      <c r="H140" s="164" t="str">
        <f t="shared" si="22"/>
        <v/>
      </c>
      <c r="P140" s="153" t="str">
        <f t="shared" si="23"/>
        <v/>
      </c>
      <c r="Q140" s="155">
        <f>IF(Table13[[#This Row],[HGVs (Collection)]]="",O140,Table13[[#This Row],[HGVs (Delivery)]]+Table13[[#This Row],[HGVs (Collection)]])</f>
        <v>0</v>
      </c>
      <c r="W140" s="153" t="str" cm="1">
        <f t="array" ref="W140">IF(Table13[[#This Row],[QUANTITY]]="","",IFERROR(IF(V140&lt;&gt;"",_xlfn.XLOOKUP(I140&amp;J140,PRICES!C:C&amp;PRICES!B:B,IF(PRICES!F:F&lt;&gt;"",PRICES!F:F,PRICES!E:E),"")),""))</f>
        <v/>
      </c>
      <c r="X140" s="154" t="str" cm="1">
        <f t="array" ref="X140">IF(Table13[[#This Row],[QUANTITY]]="","",IFERROR(IF(U140&lt;&gt;"",_xlfn.XLOOKUP(I140&amp;J140&amp;V140,PRICES!C:C&amp;PRICES!B:B&amp;PRICES!D:D,PRICES!G:G,"")),""))</f>
        <v/>
      </c>
      <c r="Y140" s="154" t="str">
        <f t="shared" ca="1" si="24"/>
        <v/>
      </c>
      <c r="Z140" s="154" t="str">
        <f t="shared" ca="1" si="25"/>
        <v/>
      </c>
      <c r="AA140" s="154" t="str">
        <f t="shared" ca="1" si="26"/>
        <v/>
      </c>
      <c r="AB140" s="154" t="str">
        <f t="shared" ca="1" si="27"/>
        <v/>
      </c>
      <c r="AC140" s="154" t="str">
        <f t="shared" ca="1" si="21"/>
        <v/>
      </c>
      <c r="AD140" s="154" t="str">
        <f>IF(Table13[[#This Row],[QUANTITY]]="","",
  IF(AND(Y140="",Z140="",AA140="",AB140="",AC140=""),
    U140*X140,
  ""))</f>
        <v/>
      </c>
      <c r="AE140" s="154" t="str">
        <f t="shared" ca="1" si="28"/>
        <v/>
      </c>
      <c r="AF140" s="154" t="str">
        <f t="shared" si="29"/>
        <v/>
      </c>
      <c r="AG140" s="154" t="str" cm="1">
        <f t="array" aca="1" ref="AG140" ca="1">IF(Table13[[#This Row],[TOTAL HIRE COST]]="","",IFERROR(IF(U140&lt;&gt;"",_xlfn.XLOOKUP(J140&amp;I140&amp;V140,PRICES!B:B&amp;PRICES!C:C&amp;PRICES!D:D,PRICES!H:H,"")),""))</f>
        <v/>
      </c>
      <c r="AH140" s="154" t="str" cm="1">
        <f t="array" aca="1" ref="AH140" ca="1">IF(Table13[[#This Row],[TOTAL HIRE COST]]="","",IFERROR(IF(U140&lt;&gt;"",_xlfn.XLOOKUP(J140&amp;I140&amp;V140,PRICES!B:B&amp;PRICES!C:C&amp;PRICES!D:D,PRICES!I:I,"")),""))</f>
        <v/>
      </c>
      <c r="AI140" s="154" t="str">
        <f ca="1">IF(Table13[[#This Row],[TOTAL HIRE COST]]="","",Table13[[#This Row],[TOTAL HIRE COST]]+Table13[[#This Row],[DELIVERY COST]]+Table13[[#This Row],[COLLECTION COST]])</f>
        <v/>
      </c>
      <c r="AJ140" s="153" t="str">
        <f>IF(Table13[[#This Row],[Date to Hire (DH)]]="","",YEAR(Table13[[#This Row],[Date to Hire (DH)]]))</f>
        <v/>
      </c>
      <c r="AK140" s="153" t="str">
        <f>IF(Table13[[#This Row],[Date to Hire (DH)]]="","",MONTH(Table13[[#This Row],[Date to Hire (DH)]]))</f>
        <v/>
      </c>
      <c r="AL140" s="153" t="str">
        <f>IF(Table13[[#This Row],[Date to Hire (DH)]]="","",WEEKNUM(Table13[[#This Row],[Date to Hire (DH)]]))</f>
        <v/>
      </c>
      <c r="AM140" s="153" t="str">
        <f>TEXT(Table13[[#This Row],[YEAR]],"0000")&amp;"-"&amp;Table13[[#This Row],[MONTH]]</f>
        <v>-</v>
      </c>
      <c r="AN140" s="153" t="str">
        <f>IF(Table13[[#This Row],[Date of Planned Offhire (DoPO) / If Applicable]]="","",YEAR(Table13[[#This Row],[Date of Planned Offhire (DoPO) / If Applicable]]))</f>
        <v/>
      </c>
      <c r="AO140" s="153" t="str">
        <f>IF(Table13[[#This Row],[Date of Planned Offhire (DoPO) / If Applicable]]="","",MONTH(Table13[[#This Row],[Date of Planned Offhire (DoPO) / If Applicable]]))</f>
        <v/>
      </c>
      <c r="AP140" s="153" t="str">
        <f>IF(Table13[[#This Row],[Date of Planned Offhire (DoPO) / If Applicable]]="","",WEEKNUM(Table13[[#This Row],[Date of Planned Offhire (DoPO) / If Applicable]]))</f>
        <v/>
      </c>
      <c r="AQ140" s="153" t="str">
        <f>TEXT(Table13[[#This Row],[YEAR2]],"0000")&amp;"-"&amp;Table13[[#This Row],[MONTH2]]</f>
        <v>-</v>
      </c>
      <c r="AR140" s="153" t="str">
        <f>IF(Table13[[#This Row],[Actual Date to Offhire (ADtO)]]="","",YEAR(Table13[[#This Row],[Actual Date to Offhire (ADtO)]]))</f>
        <v/>
      </c>
      <c r="AS140" s="153" t="str">
        <f>IF(Table13[[#This Row],[Actual Date to Offhire (ADtO)]]="","",MONTH(Table13[[#This Row],[Actual Date to Offhire (ADtO)]]))</f>
        <v/>
      </c>
      <c r="AT140" s="153" t="str">
        <f>IF(Table13[[#This Row],[Actual Date to Offhire (ADtO)]]="","",WEEKNUM(Table13[[#This Row],[Actual Date to Offhire (ADtO)]]))</f>
        <v/>
      </c>
      <c r="AU140" s="153" t="str">
        <f>TEXT(Table13[[#This Row],[YEAR3]],"0000")&amp;"-"&amp;Table13[[#This Row],[MONTH3]]</f>
        <v>-</v>
      </c>
      <c r="AV140" s="153">
        <f>IF(E140="",0,
  IF('Delivery Report'!A$2*100+'Delivery Report'!A$5 &lt; YEAR(E140)*100+WEEKNUM(E140), 0,
    IF(OR(G140="", 'Delivery Report'!A$2*100+'Delivery Report'!A$5 &lt;= YEAR(G140)*100+WEEKNUM(G140)),
      IF(LOWER(W140)="hourly", U140*X140*56,
      IF(LOWER(W140)="daily", U140*X140*7,
      IF(LOWER(W140)="weekly", U140*X140,
      IF(LOWER(W140)="monthly", U140*X140*12/52,
      IF(LOWER(W140)="yearly", U140*X140/52,
      IF(LOWER(W140)="one-off", U140*X140,
      0)))))),
    0)))</f>
        <v>0</v>
      </c>
    </row>
    <row r="141" spans="1:48" x14ac:dyDescent="0.3">
      <c r="A141" s="24"/>
      <c r="E141" s="1"/>
      <c r="F141" s="1"/>
      <c r="G141" s="1"/>
      <c r="H141" s="164" t="str">
        <f t="shared" si="22"/>
        <v/>
      </c>
      <c r="P141" s="153" t="str">
        <f t="shared" si="23"/>
        <v/>
      </c>
      <c r="Q141" s="155">
        <f>IF(Table13[[#This Row],[HGVs (Collection)]]="",O141,Table13[[#This Row],[HGVs (Delivery)]]+Table13[[#This Row],[HGVs (Collection)]])</f>
        <v>0</v>
      </c>
      <c r="W141" s="153" t="str" cm="1">
        <f t="array" ref="W141">IF(Table13[[#This Row],[QUANTITY]]="","",IFERROR(IF(V141&lt;&gt;"",_xlfn.XLOOKUP(I141&amp;J141,PRICES!C:C&amp;PRICES!B:B,IF(PRICES!F:F&lt;&gt;"",PRICES!F:F,PRICES!E:E),"")),""))</f>
        <v/>
      </c>
      <c r="X141" s="154" t="str" cm="1">
        <f t="array" ref="X141">IF(Table13[[#This Row],[QUANTITY]]="","",IFERROR(IF(U141&lt;&gt;"",_xlfn.XLOOKUP(I141&amp;J141&amp;V141,PRICES!C:C&amp;PRICES!B:B&amp;PRICES!D:D,PRICES!G:G,"")),""))</f>
        <v/>
      </c>
      <c r="Y141" s="154" t="str">
        <f t="shared" ca="1" si="24"/>
        <v/>
      </c>
      <c r="Z141" s="154" t="str">
        <f t="shared" ca="1" si="25"/>
        <v/>
      </c>
      <c r="AA141" s="154" t="str">
        <f t="shared" ca="1" si="26"/>
        <v/>
      </c>
      <c r="AB141" s="154" t="str">
        <f t="shared" ca="1" si="27"/>
        <v/>
      </c>
      <c r="AC141" s="154" t="str">
        <f t="shared" ca="1" si="21"/>
        <v/>
      </c>
      <c r="AD141" s="154" t="str">
        <f>IF(Table13[[#This Row],[QUANTITY]]="","",
  IF(AND(Y141="",Z141="",AA141="",AB141="",AC141=""),
    U141*X141,
  ""))</f>
        <v/>
      </c>
      <c r="AE141" s="154" t="str">
        <f t="shared" ca="1" si="28"/>
        <v/>
      </c>
      <c r="AF141" s="154" t="str">
        <f t="shared" si="29"/>
        <v/>
      </c>
      <c r="AG141" s="154" t="str" cm="1">
        <f t="array" aca="1" ref="AG141" ca="1">IF(Table13[[#This Row],[TOTAL HIRE COST]]="","",IFERROR(IF(U141&lt;&gt;"",_xlfn.XLOOKUP(J141&amp;I141&amp;V141,PRICES!B:B&amp;PRICES!C:C&amp;PRICES!D:D,PRICES!H:H,"")),""))</f>
        <v/>
      </c>
      <c r="AH141" s="154" t="str" cm="1">
        <f t="array" aca="1" ref="AH141" ca="1">IF(Table13[[#This Row],[TOTAL HIRE COST]]="","",IFERROR(IF(U141&lt;&gt;"",_xlfn.XLOOKUP(J141&amp;I141&amp;V141,PRICES!B:B&amp;PRICES!C:C&amp;PRICES!D:D,PRICES!I:I,"")),""))</f>
        <v/>
      </c>
      <c r="AI141" s="154" t="str">
        <f ca="1">IF(Table13[[#This Row],[TOTAL HIRE COST]]="","",Table13[[#This Row],[TOTAL HIRE COST]]+Table13[[#This Row],[DELIVERY COST]]+Table13[[#This Row],[COLLECTION COST]])</f>
        <v/>
      </c>
      <c r="AJ141" s="153" t="str">
        <f>IF(Table13[[#This Row],[Date to Hire (DH)]]="","",YEAR(Table13[[#This Row],[Date to Hire (DH)]]))</f>
        <v/>
      </c>
      <c r="AK141" s="153" t="str">
        <f>IF(Table13[[#This Row],[Date to Hire (DH)]]="","",MONTH(Table13[[#This Row],[Date to Hire (DH)]]))</f>
        <v/>
      </c>
      <c r="AL141" s="153" t="str">
        <f>IF(Table13[[#This Row],[Date to Hire (DH)]]="","",WEEKNUM(Table13[[#This Row],[Date to Hire (DH)]]))</f>
        <v/>
      </c>
      <c r="AM141" s="153" t="str">
        <f>TEXT(Table13[[#This Row],[YEAR]],"0000")&amp;"-"&amp;Table13[[#This Row],[MONTH]]</f>
        <v>-</v>
      </c>
      <c r="AN141" s="153" t="str">
        <f>IF(Table13[[#This Row],[Date of Planned Offhire (DoPO) / If Applicable]]="","",YEAR(Table13[[#This Row],[Date of Planned Offhire (DoPO) / If Applicable]]))</f>
        <v/>
      </c>
      <c r="AO141" s="153" t="str">
        <f>IF(Table13[[#This Row],[Date of Planned Offhire (DoPO) / If Applicable]]="","",MONTH(Table13[[#This Row],[Date of Planned Offhire (DoPO) / If Applicable]]))</f>
        <v/>
      </c>
      <c r="AP141" s="153" t="str">
        <f>IF(Table13[[#This Row],[Date of Planned Offhire (DoPO) / If Applicable]]="","",WEEKNUM(Table13[[#This Row],[Date of Planned Offhire (DoPO) / If Applicable]]))</f>
        <v/>
      </c>
      <c r="AQ141" s="153" t="str">
        <f>TEXT(Table13[[#This Row],[YEAR2]],"0000")&amp;"-"&amp;Table13[[#This Row],[MONTH2]]</f>
        <v>-</v>
      </c>
      <c r="AR141" s="153" t="str">
        <f>IF(Table13[[#This Row],[Actual Date to Offhire (ADtO)]]="","",YEAR(Table13[[#This Row],[Actual Date to Offhire (ADtO)]]))</f>
        <v/>
      </c>
      <c r="AS141" s="153" t="str">
        <f>IF(Table13[[#This Row],[Actual Date to Offhire (ADtO)]]="","",MONTH(Table13[[#This Row],[Actual Date to Offhire (ADtO)]]))</f>
        <v/>
      </c>
      <c r="AT141" s="153" t="str">
        <f>IF(Table13[[#This Row],[Actual Date to Offhire (ADtO)]]="","",WEEKNUM(Table13[[#This Row],[Actual Date to Offhire (ADtO)]]))</f>
        <v/>
      </c>
      <c r="AU141" s="153" t="str">
        <f>TEXT(Table13[[#This Row],[YEAR3]],"0000")&amp;"-"&amp;Table13[[#This Row],[MONTH3]]</f>
        <v>-</v>
      </c>
      <c r="AV141" s="153">
        <f>IF(E141="",0,
  IF('Delivery Report'!A$2*100+'Delivery Report'!A$5 &lt; YEAR(E141)*100+WEEKNUM(E141), 0,
    IF(OR(G141="", 'Delivery Report'!A$2*100+'Delivery Report'!A$5 &lt;= YEAR(G141)*100+WEEKNUM(G141)),
      IF(LOWER(W141)="hourly", U141*X141*56,
      IF(LOWER(W141)="daily", U141*X141*7,
      IF(LOWER(W141)="weekly", U141*X141,
      IF(LOWER(W141)="monthly", U141*X141*12/52,
      IF(LOWER(W141)="yearly", U141*X141/52,
      IF(LOWER(W141)="one-off", U141*X141,
      0)))))),
    0)))</f>
        <v>0</v>
      </c>
    </row>
    <row r="142" spans="1:48" x14ac:dyDescent="0.3">
      <c r="A142" s="24"/>
      <c r="E142" s="1"/>
      <c r="F142" s="1"/>
      <c r="G142" s="1"/>
      <c r="H142" s="164" t="str">
        <f t="shared" si="22"/>
        <v/>
      </c>
      <c r="P142" s="153" t="str">
        <f t="shared" si="23"/>
        <v/>
      </c>
      <c r="Q142" s="155">
        <f>IF(Table13[[#This Row],[HGVs (Collection)]]="",O142,Table13[[#This Row],[HGVs (Delivery)]]+Table13[[#This Row],[HGVs (Collection)]])</f>
        <v>0</v>
      </c>
      <c r="W142" s="153" t="str" cm="1">
        <f t="array" ref="W142">IF(Table13[[#This Row],[QUANTITY]]="","",IFERROR(IF(V142&lt;&gt;"",_xlfn.XLOOKUP(I142&amp;J142,PRICES!C:C&amp;PRICES!B:B,IF(PRICES!F:F&lt;&gt;"",PRICES!F:F,PRICES!E:E),"")),""))</f>
        <v/>
      </c>
      <c r="X142" s="154" t="str" cm="1">
        <f t="array" ref="X142">IF(Table13[[#This Row],[QUANTITY]]="","",IFERROR(IF(U142&lt;&gt;"",_xlfn.XLOOKUP(I142&amp;J142&amp;V142,PRICES!C:C&amp;PRICES!B:B&amp;PRICES!D:D,PRICES!G:G,"")),""))</f>
        <v/>
      </c>
      <c r="Y142" s="154" t="str">
        <f t="shared" ca="1" si="24"/>
        <v/>
      </c>
      <c r="Z142" s="154" t="str">
        <f t="shared" ca="1" si="25"/>
        <v/>
      </c>
      <c r="AA142" s="154" t="str">
        <f t="shared" ca="1" si="26"/>
        <v/>
      </c>
      <c r="AB142" s="154" t="str">
        <f t="shared" ca="1" si="27"/>
        <v/>
      </c>
      <c r="AC142" s="154" t="str">
        <f t="shared" ca="1" si="21"/>
        <v/>
      </c>
      <c r="AD142" s="154" t="str">
        <f>IF(Table13[[#This Row],[QUANTITY]]="","",
  IF(AND(Y142="",Z142="",AA142="",AB142="",AC142=""),
    U142*X142,
  ""))</f>
        <v/>
      </c>
      <c r="AE142" s="154" t="str">
        <f t="shared" ca="1" si="28"/>
        <v/>
      </c>
      <c r="AF142" s="154" t="str">
        <f t="shared" si="29"/>
        <v/>
      </c>
      <c r="AG142" s="154" t="str" cm="1">
        <f t="array" aca="1" ref="AG142" ca="1">IF(Table13[[#This Row],[TOTAL HIRE COST]]="","",IFERROR(IF(U142&lt;&gt;"",_xlfn.XLOOKUP(J142&amp;I142&amp;V142,PRICES!B:B&amp;PRICES!C:C&amp;PRICES!D:D,PRICES!H:H,"")),""))</f>
        <v/>
      </c>
      <c r="AH142" s="154" t="str" cm="1">
        <f t="array" aca="1" ref="AH142" ca="1">IF(Table13[[#This Row],[TOTAL HIRE COST]]="","",IFERROR(IF(U142&lt;&gt;"",_xlfn.XLOOKUP(J142&amp;I142&amp;V142,PRICES!B:B&amp;PRICES!C:C&amp;PRICES!D:D,PRICES!I:I,"")),""))</f>
        <v/>
      </c>
      <c r="AI142" s="154" t="str">
        <f ca="1">IF(Table13[[#This Row],[TOTAL HIRE COST]]="","",Table13[[#This Row],[TOTAL HIRE COST]]+Table13[[#This Row],[DELIVERY COST]]+Table13[[#This Row],[COLLECTION COST]])</f>
        <v/>
      </c>
      <c r="AJ142" s="153" t="str">
        <f>IF(Table13[[#This Row],[Date to Hire (DH)]]="","",YEAR(Table13[[#This Row],[Date to Hire (DH)]]))</f>
        <v/>
      </c>
      <c r="AK142" s="153" t="str">
        <f>IF(Table13[[#This Row],[Date to Hire (DH)]]="","",MONTH(Table13[[#This Row],[Date to Hire (DH)]]))</f>
        <v/>
      </c>
      <c r="AL142" s="153" t="str">
        <f>IF(Table13[[#This Row],[Date to Hire (DH)]]="","",WEEKNUM(Table13[[#This Row],[Date to Hire (DH)]]))</f>
        <v/>
      </c>
      <c r="AM142" s="153" t="str">
        <f>TEXT(Table13[[#This Row],[YEAR]],"0000")&amp;"-"&amp;Table13[[#This Row],[MONTH]]</f>
        <v>-</v>
      </c>
      <c r="AN142" s="153" t="str">
        <f>IF(Table13[[#This Row],[Date of Planned Offhire (DoPO) / If Applicable]]="","",YEAR(Table13[[#This Row],[Date of Planned Offhire (DoPO) / If Applicable]]))</f>
        <v/>
      </c>
      <c r="AO142" s="153" t="str">
        <f>IF(Table13[[#This Row],[Date of Planned Offhire (DoPO) / If Applicable]]="","",MONTH(Table13[[#This Row],[Date of Planned Offhire (DoPO) / If Applicable]]))</f>
        <v/>
      </c>
      <c r="AP142" s="153" t="str">
        <f>IF(Table13[[#This Row],[Date of Planned Offhire (DoPO) / If Applicable]]="","",WEEKNUM(Table13[[#This Row],[Date of Planned Offhire (DoPO) / If Applicable]]))</f>
        <v/>
      </c>
      <c r="AQ142" s="153" t="str">
        <f>TEXT(Table13[[#This Row],[YEAR2]],"0000")&amp;"-"&amp;Table13[[#This Row],[MONTH2]]</f>
        <v>-</v>
      </c>
      <c r="AR142" s="153" t="str">
        <f>IF(Table13[[#This Row],[Actual Date to Offhire (ADtO)]]="","",YEAR(Table13[[#This Row],[Actual Date to Offhire (ADtO)]]))</f>
        <v/>
      </c>
      <c r="AS142" s="153" t="str">
        <f>IF(Table13[[#This Row],[Actual Date to Offhire (ADtO)]]="","",MONTH(Table13[[#This Row],[Actual Date to Offhire (ADtO)]]))</f>
        <v/>
      </c>
      <c r="AT142" s="153" t="str">
        <f>IF(Table13[[#This Row],[Actual Date to Offhire (ADtO)]]="","",WEEKNUM(Table13[[#This Row],[Actual Date to Offhire (ADtO)]]))</f>
        <v/>
      </c>
      <c r="AU142" s="153" t="str">
        <f>TEXT(Table13[[#This Row],[YEAR3]],"0000")&amp;"-"&amp;Table13[[#This Row],[MONTH3]]</f>
        <v>-</v>
      </c>
      <c r="AV142" s="153">
        <f>IF(E142="",0,
  IF('Delivery Report'!A$2*100+'Delivery Report'!A$5 &lt; YEAR(E142)*100+WEEKNUM(E142), 0,
    IF(OR(G142="", 'Delivery Report'!A$2*100+'Delivery Report'!A$5 &lt;= YEAR(G142)*100+WEEKNUM(G142)),
      IF(LOWER(W142)="hourly", U142*X142*56,
      IF(LOWER(W142)="daily", U142*X142*7,
      IF(LOWER(W142)="weekly", U142*X142,
      IF(LOWER(W142)="monthly", U142*X142*12/52,
      IF(LOWER(W142)="yearly", U142*X142/52,
      IF(LOWER(W142)="one-off", U142*X142,
      0)))))),
    0)))</f>
        <v>0</v>
      </c>
    </row>
    <row r="143" spans="1:48" x14ac:dyDescent="0.3">
      <c r="A143" s="24"/>
      <c r="E143" s="1"/>
      <c r="F143" s="1"/>
      <c r="G143" s="1"/>
      <c r="H143" s="164" t="str">
        <f t="shared" si="22"/>
        <v/>
      </c>
      <c r="P143" s="153" t="str">
        <f t="shared" si="23"/>
        <v/>
      </c>
      <c r="Q143" s="155">
        <f>IF(Table13[[#This Row],[HGVs (Collection)]]="",O143,Table13[[#This Row],[HGVs (Delivery)]]+Table13[[#This Row],[HGVs (Collection)]])</f>
        <v>0</v>
      </c>
      <c r="W143" s="153" t="str" cm="1">
        <f t="array" ref="W143">IF(Table13[[#This Row],[QUANTITY]]="","",IFERROR(IF(V143&lt;&gt;"",_xlfn.XLOOKUP(I143&amp;J143,PRICES!C:C&amp;PRICES!B:B,IF(PRICES!F:F&lt;&gt;"",PRICES!F:F,PRICES!E:E),"")),""))</f>
        <v/>
      </c>
      <c r="X143" s="154" t="str" cm="1">
        <f t="array" ref="X143">IF(Table13[[#This Row],[QUANTITY]]="","",IFERROR(IF(U143&lt;&gt;"",_xlfn.XLOOKUP(I143&amp;J143&amp;V143,PRICES!C:C&amp;PRICES!B:B&amp;PRICES!D:D,PRICES!G:G,"")),""))</f>
        <v/>
      </c>
      <c r="Y143" s="154" t="str">
        <f t="shared" ca="1" si="24"/>
        <v/>
      </c>
      <c r="Z143" s="154" t="str">
        <f t="shared" ca="1" si="25"/>
        <v/>
      </c>
      <c r="AA143" s="154" t="str">
        <f t="shared" ca="1" si="26"/>
        <v/>
      </c>
      <c r="AB143" s="154" t="str">
        <f t="shared" ca="1" si="27"/>
        <v/>
      </c>
      <c r="AC143" s="154" t="str">
        <f t="shared" ca="1" si="21"/>
        <v/>
      </c>
      <c r="AD143" s="154" t="str">
        <f>IF(Table13[[#This Row],[QUANTITY]]="","",
  IF(AND(Y143="",Z143="",AA143="",AB143="",AC143=""),
    U143*X143,
  ""))</f>
        <v/>
      </c>
      <c r="AE143" s="154" t="str">
        <f t="shared" ca="1" si="28"/>
        <v/>
      </c>
      <c r="AF143" s="154" t="str">
        <f t="shared" si="29"/>
        <v/>
      </c>
      <c r="AG143" s="154" t="str" cm="1">
        <f t="array" aca="1" ref="AG143" ca="1">IF(Table13[[#This Row],[TOTAL HIRE COST]]="","",IFERROR(IF(U143&lt;&gt;"",_xlfn.XLOOKUP(J143&amp;I143&amp;V143,PRICES!B:B&amp;PRICES!C:C&amp;PRICES!D:D,PRICES!H:H,"")),""))</f>
        <v/>
      </c>
      <c r="AH143" s="154" t="str" cm="1">
        <f t="array" aca="1" ref="AH143" ca="1">IF(Table13[[#This Row],[TOTAL HIRE COST]]="","",IFERROR(IF(U143&lt;&gt;"",_xlfn.XLOOKUP(J143&amp;I143&amp;V143,PRICES!B:B&amp;PRICES!C:C&amp;PRICES!D:D,PRICES!I:I,"")),""))</f>
        <v/>
      </c>
      <c r="AI143" s="154" t="str">
        <f ca="1">IF(Table13[[#This Row],[TOTAL HIRE COST]]="","",Table13[[#This Row],[TOTAL HIRE COST]]+Table13[[#This Row],[DELIVERY COST]]+Table13[[#This Row],[COLLECTION COST]])</f>
        <v/>
      </c>
      <c r="AJ143" s="153" t="str">
        <f>IF(Table13[[#This Row],[Date to Hire (DH)]]="","",YEAR(Table13[[#This Row],[Date to Hire (DH)]]))</f>
        <v/>
      </c>
      <c r="AK143" s="153" t="str">
        <f>IF(Table13[[#This Row],[Date to Hire (DH)]]="","",MONTH(Table13[[#This Row],[Date to Hire (DH)]]))</f>
        <v/>
      </c>
      <c r="AL143" s="153" t="str">
        <f>IF(Table13[[#This Row],[Date to Hire (DH)]]="","",WEEKNUM(Table13[[#This Row],[Date to Hire (DH)]]))</f>
        <v/>
      </c>
      <c r="AM143" s="153" t="str">
        <f>TEXT(Table13[[#This Row],[YEAR]],"0000")&amp;"-"&amp;Table13[[#This Row],[MONTH]]</f>
        <v>-</v>
      </c>
      <c r="AN143" s="153" t="str">
        <f>IF(Table13[[#This Row],[Date of Planned Offhire (DoPO) / If Applicable]]="","",YEAR(Table13[[#This Row],[Date of Planned Offhire (DoPO) / If Applicable]]))</f>
        <v/>
      </c>
      <c r="AO143" s="153" t="str">
        <f>IF(Table13[[#This Row],[Date of Planned Offhire (DoPO) / If Applicable]]="","",MONTH(Table13[[#This Row],[Date of Planned Offhire (DoPO) / If Applicable]]))</f>
        <v/>
      </c>
      <c r="AP143" s="153" t="str">
        <f>IF(Table13[[#This Row],[Date of Planned Offhire (DoPO) / If Applicable]]="","",WEEKNUM(Table13[[#This Row],[Date of Planned Offhire (DoPO) / If Applicable]]))</f>
        <v/>
      </c>
      <c r="AQ143" s="153" t="str">
        <f>TEXT(Table13[[#This Row],[YEAR2]],"0000")&amp;"-"&amp;Table13[[#This Row],[MONTH2]]</f>
        <v>-</v>
      </c>
      <c r="AR143" s="153" t="str">
        <f>IF(Table13[[#This Row],[Actual Date to Offhire (ADtO)]]="","",YEAR(Table13[[#This Row],[Actual Date to Offhire (ADtO)]]))</f>
        <v/>
      </c>
      <c r="AS143" s="153" t="str">
        <f>IF(Table13[[#This Row],[Actual Date to Offhire (ADtO)]]="","",MONTH(Table13[[#This Row],[Actual Date to Offhire (ADtO)]]))</f>
        <v/>
      </c>
      <c r="AT143" s="153" t="str">
        <f>IF(Table13[[#This Row],[Actual Date to Offhire (ADtO)]]="","",WEEKNUM(Table13[[#This Row],[Actual Date to Offhire (ADtO)]]))</f>
        <v/>
      </c>
      <c r="AU143" s="153" t="str">
        <f>TEXT(Table13[[#This Row],[YEAR3]],"0000")&amp;"-"&amp;Table13[[#This Row],[MONTH3]]</f>
        <v>-</v>
      </c>
      <c r="AV143" s="153">
        <f>IF(E143="",0,
  IF('Delivery Report'!A$2*100+'Delivery Report'!A$5 &lt; YEAR(E143)*100+WEEKNUM(E143), 0,
    IF(OR(G143="", 'Delivery Report'!A$2*100+'Delivery Report'!A$5 &lt;= YEAR(G143)*100+WEEKNUM(G143)),
      IF(LOWER(W143)="hourly", U143*X143*56,
      IF(LOWER(W143)="daily", U143*X143*7,
      IF(LOWER(W143)="weekly", U143*X143,
      IF(LOWER(W143)="monthly", U143*X143*12/52,
      IF(LOWER(W143)="yearly", U143*X143/52,
      IF(LOWER(W143)="one-off", U143*X143,
      0)))))),
    0)))</f>
        <v>0</v>
      </c>
    </row>
    <row r="144" spans="1:48" x14ac:dyDescent="0.3">
      <c r="A144" s="24"/>
      <c r="E144" s="1"/>
      <c r="F144" s="1"/>
      <c r="G144" s="1"/>
      <c r="H144" s="164" t="str">
        <f t="shared" si="22"/>
        <v/>
      </c>
      <c r="P144" s="153" t="str">
        <f t="shared" si="23"/>
        <v/>
      </c>
      <c r="Q144" s="155">
        <f>IF(Table13[[#This Row],[HGVs (Collection)]]="",O144,Table13[[#This Row],[HGVs (Delivery)]]+Table13[[#This Row],[HGVs (Collection)]])</f>
        <v>0</v>
      </c>
      <c r="W144" s="153" t="str" cm="1">
        <f t="array" ref="W144">IF(Table13[[#This Row],[QUANTITY]]="","",IFERROR(IF(V144&lt;&gt;"",_xlfn.XLOOKUP(I144&amp;J144,PRICES!C:C&amp;PRICES!B:B,IF(PRICES!F:F&lt;&gt;"",PRICES!F:F,PRICES!E:E),"")),""))</f>
        <v/>
      </c>
      <c r="X144" s="154" t="str" cm="1">
        <f t="array" ref="X144">IF(Table13[[#This Row],[QUANTITY]]="","",IFERROR(IF(U144&lt;&gt;"",_xlfn.XLOOKUP(I144&amp;J144&amp;V144,PRICES!C:C&amp;PRICES!B:B&amp;PRICES!D:D,PRICES!G:G,"")),""))</f>
        <v/>
      </c>
      <c r="Y144" s="154" t="str">
        <f t="shared" ca="1" si="24"/>
        <v/>
      </c>
      <c r="Z144" s="154" t="str">
        <f t="shared" ca="1" si="25"/>
        <v/>
      </c>
      <c r="AA144" s="154" t="str">
        <f t="shared" ca="1" si="26"/>
        <v/>
      </c>
      <c r="AB144" s="154" t="str">
        <f t="shared" ca="1" si="27"/>
        <v/>
      </c>
      <c r="AC144" s="154" t="str">
        <f t="shared" ca="1" si="21"/>
        <v/>
      </c>
      <c r="AD144" s="154" t="str">
        <f>IF(Table13[[#This Row],[QUANTITY]]="","",
  IF(AND(Y144="",Z144="",AA144="",AB144="",AC144=""),
    U144*X144,
  ""))</f>
        <v/>
      </c>
      <c r="AE144" s="154" t="str">
        <f t="shared" ca="1" si="28"/>
        <v/>
      </c>
      <c r="AF144" s="154" t="str">
        <f t="shared" si="29"/>
        <v/>
      </c>
      <c r="AG144" s="154" t="str" cm="1">
        <f t="array" aca="1" ref="AG144" ca="1">IF(Table13[[#This Row],[TOTAL HIRE COST]]="","",IFERROR(IF(U144&lt;&gt;"",_xlfn.XLOOKUP(J144&amp;I144&amp;V144,PRICES!B:B&amp;PRICES!C:C&amp;PRICES!D:D,PRICES!H:H,"")),""))</f>
        <v/>
      </c>
      <c r="AH144" s="154" t="str" cm="1">
        <f t="array" aca="1" ref="AH144" ca="1">IF(Table13[[#This Row],[TOTAL HIRE COST]]="","",IFERROR(IF(U144&lt;&gt;"",_xlfn.XLOOKUP(J144&amp;I144&amp;V144,PRICES!B:B&amp;PRICES!C:C&amp;PRICES!D:D,PRICES!I:I,"")),""))</f>
        <v/>
      </c>
      <c r="AI144" s="154" t="str">
        <f ca="1">IF(Table13[[#This Row],[TOTAL HIRE COST]]="","",Table13[[#This Row],[TOTAL HIRE COST]]+Table13[[#This Row],[DELIVERY COST]]+Table13[[#This Row],[COLLECTION COST]])</f>
        <v/>
      </c>
      <c r="AJ144" s="153" t="str">
        <f>IF(Table13[[#This Row],[Date to Hire (DH)]]="","",YEAR(Table13[[#This Row],[Date to Hire (DH)]]))</f>
        <v/>
      </c>
      <c r="AK144" s="153" t="str">
        <f>IF(Table13[[#This Row],[Date to Hire (DH)]]="","",MONTH(Table13[[#This Row],[Date to Hire (DH)]]))</f>
        <v/>
      </c>
      <c r="AL144" s="153" t="str">
        <f>IF(Table13[[#This Row],[Date to Hire (DH)]]="","",WEEKNUM(Table13[[#This Row],[Date to Hire (DH)]]))</f>
        <v/>
      </c>
      <c r="AM144" s="153" t="str">
        <f>TEXT(Table13[[#This Row],[YEAR]],"0000")&amp;"-"&amp;Table13[[#This Row],[MONTH]]</f>
        <v>-</v>
      </c>
      <c r="AN144" s="153" t="str">
        <f>IF(Table13[[#This Row],[Date of Planned Offhire (DoPO) / If Applicable]]="","",YEAR(Table13[[#This Row],[Date of Planned Offhire (DoPO) / If Applicable]]))</f>
        <v/>
      </c>
      <c r="AO144" s="153" t="str">
        <f>IF(Table13[[#This Row],[Date of Planned Offhire (DoPO) / If Applicable]]="","",MONTH(Table13[[#This Row],[Date of Planned Offhire (DoPO) / If Applicable]]))</f>
        <v/>
      </c>
      <c r="AP144" s="153" t="str">
        <f>IF(Table13[[#This Row],[Date of Planned Offhire (DoPO) / If Applicable]]="","",WEEKNUM(Table13[[#This Row],[Date of Planned Offhire (DoPO) / If Applicable]]))</f>
        <v/>
      </c>
      <c r="AQ144" s="153" t="str">
        <f>TEXT(Table13[[#This Row],[YEAR2]],"0000")&amp;"-"&amp;Table13[[#This Row],[MONTH2]]</f>
        <v>-</v>
      </c>
      <c r="AR144" s="153" t="str">
        <f>IF(Table13[[#This Row],[Actual Date to Offhire (ADtO)]]="","",YEAR(Table13[[#This Row],[Actual Date to Offhire (ADtO)]]))</f>
        <v/>
      </c>
      <c r="AS144" s="153" t="str">
        <f>IF(Table13[[#This Row],[Actual Date to Offhire (ADtO)]]="","",MONTH(Table13[[#This Row],[Actual Date to Offhire (ADtO)]]))</f>
        <v/>
      </c>
      <c r="AT144" s="153" t="str">
        <f>IF(Table13[[#This Row],[Actual Date to Offhire (ADtO)]]="","",WEEKNUM(Table13[[#This Row],[Actual Date to Offhire (ADtO)]]))</f>
        <v/>
      </c>
      <c r="AU144" s="153" t="str">
        <f>TEXT(Table13[[#This Row],[YEAR3]],"0000")&amp;"-"&amp;Table13[[#This Row],[MONTH3]]</f>
        <v>-</v>
      </c>
      <c r="AV144" s="153">
        <f>IF(E144="",0,
  IF('Delivery Report'!A$2*100+'Delivery Report'!A$5 &lt; YEAR(E144)*100+WEEKNUM(E144), 0,
    IF(OR(G144="", 'Delivery Report'!A$2*100+'Delivery Report'!A$5 &lt;= YEAR(G144)*100+WEEKNUM(G144)),
      IF(LOWER(W144)="hourly", U144*X144*56,
      IF(LOWER(W144)="daily", U144*X144*7,
      IF(LOWER(W144)="weekly", U144*X144,
      IF(LOWER(W144)="monthly", U144*X144*12/52,
      IF(LOWER(W144)="yearly", U144*X144/52,
      IF(LOWER(W144)="one-off", U144*X144,
      0)))))),
    0)))</f>
        <v>0</v>
      </c>
    </row>
    <row r="145" spans="1:48" x14ac:dyDescent="0.3">
      <c r="A145" s="24"/>
      <c r="E145" s="1"/>
      <c r="F145" s="1"/>
      <c r="G145" s="1"/>
      <c r="H145" s="164" t="str">
        <f t="shared" si="22"/>
        <v/>
      </c>
      <c r="P145" s="153" t="str">
        <f t="shared" si="23"/>
        <v/>
      </c>
      <c r="Q145" s="155">
        <f>IF(Table13[[#This Row],[HGVs (Collection)]]="",O145,Table13[[#This Row],[HGVs (Delivery)]]+Table13[[#This Row],[HGVs (Collection)]])</f>
        <v>0</v>
      </c>
      <c r="W145" s="153" t="str" cm="1">
        <f t="array" ref="W145">IF(Table13[[#This Row],[QUANTITY]]="","",IFERROR(IF(V145&lt;&gt;"",_xlfn.XLOOKUP(I145&amp;J145,PRICES!C:C&amp;PRICES!B:B,IF(PRICES!F:F&lt;&gt;"",PRICES!F:F,PRICES!E:E),"")),""))</f>
        <v/>
      </c>
      <c r="X145" s="154" t="str" cm="1">
        <f t="array" ref="X145">IF(Table13[[#This Row],[QUANTITY]]="","",IFERROR(IF(U145&lt;&gt;"",_xlfn.XLOOKUP(I145&amp;J145&amp;V145,PRICES!C:C&amp;PRICES!B:B&amp;PRICES!D:D,PRICES!G:G,"")),""))</f>
        <v/>
      </c>
      <c r="Y145" s="154" t="str">
        <f t="shared" ca="1" si="24"/>
        <v/>
      </c>
      <c r="Z145" s="154" t="str">
        <f t="shared" ca="1" si="25"/>
        <v/>
      </c>
      <c r="AA145" s="154" t="str">
        <f t="shared" ca="1" si="26"/>
        <v/>
      </c>
      <c r="AB145" s="154" t="str">
        <f t="shared" ca="1" si="27"/>
        <v/>
      </c>
      <c r="AC145" s="154" t="str">
        <f t="shared" ca="1" si="21"/>
        <v/>
      </c>
      <c r="AD145" s="154" t="str">
        <f>IF(Table13[[#This Row],[QUANTITY]]="","",
  IF(AND(Y145="",Z145="",AA145="",AB145="",AC145=""),
    U145*X145,
  ""))</f>
        <v/>
      </c>
      <c r="AE145" s="154" t="str">
        <f t="shared" ca="1" si="28"/>
        <v/>
      </c>
      <c r="AF145" s="154" t="str">
        <f t="shared" si="29"/>
        <v/>
      </c>
      <c r="AG145" s="154" t="str" cm="1">
        <f t="array" aca="1" ref="AG145" ca="1">IF(Table13[[#This Row],[TOTAL HIRE COST]]="","",IFERROR(IF(U145&lt;&gt;"",_xlfn.XLOOKUP(J145&amp;I145&amp;V145,PRICES!B:B&amp;PRICES!C:C&amp;PRICES!D:D,PRICES!H:H,"")),""))</f>
        <v/>
      </c>
      <c r="AH145" s="154" t="str" cm="1">
        <f t="array" aca="1" ref="AH145" ca="1">IF(Table13[[#This Row],[TOTAL HIRE COST]]="","",IFERROR(IF(U145&lt;&gt;"",_xlfn.XLOOKUP(J145&amp;I145&amp;V145,PRICES!B:B&amp;PRICES!C:C&amp;PRICES!D:D,PRICES!I:I,"")),""))</f>
        <v/>
      </c>
      <c r="AI145" s="154" t="str">
        <f ca="1">IF(Table13[[#This Row],[TOTAL HIRE COST]]="","",Table13[[#This Row],[TOTAL HIRE COST]]+Table13[[#This Row],[DELIVERY COST]]+Table13[[#This Row],[COLLECTION COST]])</f>
        <v/>
      </c>
      <c r="AJ145" s="153" t="str">
        <f>IF(Table13[[#This Row],[Date to Hire (DH)]]="","",YEAR(Table13[[#This Row],[Date to Hire (DH)]]))</f>
        <v/>
      </c>
      <c r="AK145" s="153" t="str">
        <f>IF(Table13[[#This Row],[Date to Hire (DH)]]="","",MONTH(Table13[[#This Row],[Date to Hire (DH)]]))</f>
        <v/>
      </c>
      <c r="AL145" s="153" t="str">
        <f>IF(Table13[[#This Row],[Date to Hire (DH)]]="","",WEEKNUM(Table13[[#This Row],[Date to Hire (DH)]]))</f>
        <v/>
      </c>
      <c r="AM145" s="153" t="str">
        <f>TEXT(Table13[[#This Row],[YEAR]],"0000")&amp;"-"&amp;Table13[[#This Row],[MONTH]]</f>
        <v>-</v>
      </c>
      <c r="AN145" s="153" t="str">
        <f>IF(Table13[[#This Row],[Date of Planned Offhire (DoPO) / If Applicable]]="","",YEAR(Table13[[#This Row],[Date of Planned Offhire (DoPO) / If Applicable]]))</f>
        <v/>
      </c>
      <c r="AO145" s="153" t="str">
        <f>IF(Table13[[#This Row],[Date of Planned Offhire (DoPO) / If Applicable]]="","",MONTH(Table13[[#This Row],[Date of Planned Offhire (DoPO) / If Applicable]]))</f>
        <v/>
      </c>
      <c r="AP145" s="153" t="str">
        <f>IF(Table13[[#This Row],[Date of Planned Offhire (DoPO) / If Applicable]]="","",WEEKNUM(Table13[[#This Row],[Date of Planned Offhire (DoPO) / If Applicable]]))</f>
        <v/>
      </c>
      <c r="AQ145" s="153" t="str">
        <f>TEXT(Table13[[#This Row],[YEAR2]],"0000")&amp;"-"&amp;Table13[[#This Row],[MONTH2]]</f>
        <v>-</v>
      </c>
      <c r="AR145" s="153" t="str">
        <f>IF(Table13[[#This Row],[Actual Date to Offhire (ADtO)]]="","",YEAR(Table13[[#This Row],[Actual Date to Offhire (ADtO)]]))</f>
        <v/>
      </c>
      <c r="AS145" s="153" t="str">
        <f>IF(Table13[[#This Row],[Actual Date to Offhire (ADtO)]]="","",MONTH(Table13[[#This Row],[Actual Date to Offhire (ADtO)]]))</f>
        <v/>
      </c>
      <c r="AT145" s="153" t="str">
        <f>IF(Table13[[#This Row],[Actual Date to Offhire (ADtO)]]="","",WEEKNUM(Table13[[#This Row],[Actual Date to Offhire (ADtO)]]))</f>
        <v/>
      </c>
      <c r="AU145" s="153" t="str">
        <f>TEXT(Table13[[#This Row],[YEAR3]],"0000")&amp;"-"&amp;Table13[[#This Row],[MONTH3]]</f>
        <v>-</v>
      </c>
      <c r="AV145" s="153">
        <f>IF(E145="",0,
  IF('Delivery Report'!A$2*100+'Delivery Report'!A$5 &lt; YEAR(E145)*100+WEEKNUM(E145), 0,
    IF(OR(G145="", 'Delivery Report'!A$2*100+'Delivery Report'!A$5 &lt;= YEAR(G145)*100+WEEKNUM(G145)),
      IF(LOWER(W145)="hourly", U145*X145*56,
      IF(LOWER(W145)="daily", U145*X145*7,
      IF(LOWER(W145)="weekly", U145*X145,
      IF(LOWER(W145)="monthly", U145*X145*12/52,
      IF(LOWER(W145)="yearly", U145*X145/52,
      IF(LOWER(W145)="one-off", U145*X145,
      0)))))),
    0)))</f>
        <v>0</v>
      </c>
    </row>
    <row r="146" spans="1:48" x14ac:dyDescent="0.3">
      <c r="A146" s="24"/>
      <c r="E146" s="1"/>
      <c r="F146" s="1"/>
      <c r="G146" s="1"/>
      <c r="H146" s="164" t="str">
        <f t="shared" si="22"/>
        <v/>
      </c>
      <c r="P146" s="153" t="str">
        <f t="shared" si="23"/>
        <v/>
      </c>
      <c r="Q146" s="155">
        <f>IF(Table13[[#This Row],[HGVs (Collection)]]="",O146,Table13[[#This Row],[HGVs (Delivery)]]+Table13[[#This Row],[HGVs (Collection)]])</f>
        <v>0</v>
      </c>
      <c r="W146" s="153" t="str" cm="1">
        <f t="array" ref="W146">IF(Table13[[#This Row],[QUANTITY]]="","",IFERROR(IF(V146&lt;&gt;"",_xlfn.XLOOKUP(I146&amp;J146,PRICES!C:C&amp;PRICES!B:B,IF(PRICES!F:F&lt;&gt;"",PRICES!F:F,PRICES!E:E),"")),""))</f>
        <v/>
      </c>
      <c r="X146" s="154" t="str" cm="1">
        <f t="array" ref="X146">IF(Table13[[#This Row],[QUANTITY]]="","",IFERROR(IF(U146&lt;&gt;"",_xlfn.XLOOKUP(I146&amp;J146&amp;V146,PRICES!C:C&amp;PRICES!B:B&amp;PRICES!D:D,PRICES!G:G,"")),""))</f>
        <v/>
      </c>
      <c r="Y146" s="154" t="str">
        <f t="shared" ca="1" si="24"/>
        <v/>
      </c>
      <c r="Z146" s="154" t="str">
        <f t="shared" ca="1" si="25"/>
        <v/>
      </c>
      <c r="AA146" s="154" t="str">
        <f t="shared" ca="1" si="26"/>
        <v/>
      </c>
      <c r="AB146" s="154" t="str">
        <f t="shared" ca="1" si="27"/>
        <v/>
      </c>
      <c r="AC146" s="154" t="str">
        <f t="shared" ca="1" si="21"/>
        <v/>
      </c>
      <c r="AD146" s="154" t="str">
        <f>IF(Table13[[#This Row],[QUANTITY]]="","",
  IF(AND(Y146="",Z146="",AA146="",AB146="",AC146=""),
    U146*X146,
  ""))</f>
        <v/>
      </c>
      <c r="AE146" s="154" t="str">
        <f t="shared" ca="1" si="28"/>
        <v/>
      </c>
      <c r="AF146" s="154" t="str">
        <f t="shared" si="29"/>
        <v/>
      </c>
      <c r="AG146" s="154" t="str" cm="1">
        <f t="array" aca="1" ref="AG146" ca="1">IF(Table13[[#This Row],[TOTAL HIRE COST]]="","",IFERROR(IF(U146&lt;&gt;"",_xlfn.XLOOKUP(J146&amp;I146&amp;V146,PRICES!B:B&amp;PRICES!C:C&amp;PRICES!D:D,PRICES!H:H,"")),""))</f>
        <v/>
      </c>
      <c r="AH146" s="154" t="str" cm="1">
        <f t="array" aca="1" ref="AH146" ca="1">IF(Table13[[#This Row],[TOTAL HIRE COST]]="","",IFERROR(IF(U146&lt;&gt;"",_xlfn.XLOOKUP(J146&amp;I146&amp;V146,PRICES!B:B&amp;PRICES!C:C&amp;PRICES!D:D,PRICES!I:I,"")),""))</f>
        <v/>
      </c>
      <c r="AI146" s="154" t="str">
        <f ca="1">IF(Table13[[#This Row],[TOTAL HIRE COST]]="","",Table13[[#This Row],[TOTAL HIRE COST]]+Table13[[#This Row],[DELIVERY COST]]+Table13[[#This Row],[COLLECTION COST]])</f>
        <v/>
      </c>
      <c r="AJ146" s="153" t="str">
        <f>IF(Table13[[#This Row],[Date to Hire (DH)]]="","",YEAR(Table13[[#This Row],[Date to Hire (DH)]]))</f>
        <v/>
      </c>
      <c r="AK146" s="153" t="str">
        <f>IF(Table13[[#This Row],[Date to Hire (DH)]]="","",MONTH(Table13[[#This Row],[Date to Hire (DH)]]))</f>
        <v/>
      </c>
      <c r="AL146" s="153" t="str">
        <f>IF(Table13[[#This Row],[Date to Hire (DH)]]="","",WEEKNUM(Table13[[#This Row],[Date to Hire (DH)]]))</f>
        <v/>
      </c>
      <c r="AM146" s="153" t="str">
        <f>TEXT(Table13[[#This Row],[YEAR]],"0000")&amp;"-"&amp;Table13[[#This Row],[MONTH]]</f>
        <v>-</v>
      </c>
      <c r="AN146" s="153" t="str">
        <f>IF(Table13[[#This Row],[Date of Planned Offhire (DoPO) / If Applicable]]="","",YEAR(Table13[[#This Row],[Date of Planned Offhire (DoPO) / If Applicable]]))</f>
        <v/>
      </c>
      <c r="AO146" s="153" t="str">
        <f>IF(Table13[[#This Row],[Date of Planned Offhire (DoPO) / If Applicable]]="","",MONTH(Table13[[#This Row],[Date of Planned Offhire (DoPO) / If Applicable]]))</f>
        <v/>
      </c>
      <c r="AP146" s="153" t="str">
        <f>IF(Table13[[#This Row],[Date of Planned Offhire (DoPO) / If Applicable]]="","",WEEKNUM(Table13[[#This Row],[Date of Planned Offhire (DoPO) / If Applicable]]))</f>
        <v/>
      </c>
      <c r="AQ146" s="153" t="str">
        <f>TEXT(Table13[[#This Row],[YEAR2]],"0000")&amp;"-"&amp;Table13[[#This Row],[MONTH2]]</f>
        <v>-</v>
      </c>
      <c r="AR146" s="153" t="str">
        <f>IF(Table13[[#This Row],[Actual Date to Offhire (ADtO)]]="","",YEAR(Table13[[#This Row],[Actual Date to Offhire (ADtO)]]))</f>
        <v/>
      </c>
      <c r="AS146" s="153" t="str">
        <f>IF(Table13[[#This Row],[Actual Date to Offhire (ADtO)]]="","",MONTH(Table13[[#This Row],[Actual Date to Offhire (ADtO)]]))</f>
        <v/>
      </c>
      <c r="AT146" s="153" t="str">
        <f>IF(Table13[[#This Row],[Actual Date to Offhire (ADtO)]]="","",WEEKNUM(Table13[[#This Row],[Actual Date to Offhire (ADtO)]]))</f>
        <v/>
      </c>
      <c r="AU146" s="153" t="str">
        <f>TEXT(Table13[[#This Row],[YEAR3]],"0000")&amp;"-"&amp;Table13[[#This Row],[MONTH3]]</f>
        <v>-</v>
      </c>
      <c r="AV146" s="153">
        <f>IF(E146="",0,
  IF('Delivery Report'!A$2*100+'Delivery Report'!A$5 &lt; YEAR(E146)*100+WEEKNUM(E146), 0,
    IF(OR(G146="", 'Delivery Report'!A$2*100+'Delivery Report'!A$5 &lt;= YEAR(G146)*100+WEEKNUM(G146)),
      IF(LOWER(W146)="hourly", U146*X146*56,
      IF(LOWER(W146)="daily", U146*X146*7,
      IF(LOWER(W146)="weekly", U146*X146,
      IF(LOWER(W146)="monthly", U146*X146*12/52,
      IF(LOWER(W146)="yearly", U146*X146/52,
      IF(LOWER(W146)="one-off", U146*X146,
      0)))))),
    0)))</f>
        <v>0</v>
      </c>
    </row>
    <row r="147" spans="1:48" x14ac:dyDescent="0.3">
      <c r="A147" s="24"/>
      <c r="E147" s="1"/>
      <c r="F147" s="1"/>
      <c r="G147" s="1"/>
      <c r="H147" s="164" t="str">
        <f t="shared" si="22"/>
        <v/>
      </c>
      <c r="P147" s="153" t="str">
        <f t="shared" si="23"/>
        <v/>
      </c>
      <c r="Q147" s="155">
        <f>IF(Table13[[#This Row],[HGVs (Collection)]]="",O147,Table13[[#This Row],[HGVs (Delivery)]]+Table13[[#This Row],[HGVs (Collection)]])</f>
        <v>0</v>
      </c>
      <c r="W147" s="153" t="str" cm="1">
        <f t="array" ref="W147">IF(Table13[[#This Row],[QUANTITY]]="","",IFERROR(IF(V147&lt;&gt;"",_xlfn.XLOOKUP(I147&amp;J147,PRICES!C:C&amp;PRICES!B:B,IF(PRICES!F:F&lt;&gt;"",PRICES!F:F,PRICES!E:E),"")),""))</f>
        <v/>
      </c>
      <c r="X147" s="154" t="str" cm="1">
        <f t="array" ref="X147">IF(Table13[[#This Row],[QUANTITY]]="","",IFERROR(IF(U147&lt;&gt;"",_xlfn.XLOOKUP(I147&amp;J147&amp;V147,PRICES!C:C&amp;PRICES!B:B&amp;PRICES!D:D,PRICES!G:G,"")),""))</f>
        <v/>
      </c>
      <c r="Y147" s="154" t="str">
        <f t="shared" ca="1" si="24"/>
        <v/>
      </c>
      <c r="Z147" s="154" t="str">
        <f t="shared" ca="1" si="25"/>
        <v/>
      </c>
      <c r="AA147" s="154" t="str">
        <f t="shared" ca="1" si="26"/>
        <v/>
      </c>
      <c r="AB147" s="154" t="str">
        <f t="shared" ca="1" si="27"/>
        <v/>
      </c>
      <c r="AC147" s="154" t="str">
        <f t="shared" ca="1" si="21"/>
        <v/>
      </c>
      <c r="AD147" s="154" t="str">
        <f>IF(Table13[[#This Row],[QUANTITY]]="","",
  IF(AND(Y147="",Z147="",AA147="",AB147="",AC147=""),
    U147*X147,
  ""))</f>
        <v/>
      </c>
      <c r="AE147" s="154" t="str">
        <f t="shared" ca="1" si="28"/>
        <v/>
      </c>
      <c r="AF147" s="154" t="str">
        <f t="shared" si="29"/>
        <v/>
      </c>
      <c r="AG147" s="154" t="str" cm="1">
        <f t="array" aca="1" ref="AG147" ca="1">IF(Table13[[#This Row],[TOTAL HIRE COST]]="","",IFERROR(IF(U147&lt;&gt;"",_xlfn.XLOOKUP(J147&amp;I147&amp;V147,PRICES!B:B&amp;PRICES!C:C&amp;PRICES!D:D,PRICES!H:H,"")),""))</f>
        <v/>
      </c>
      <c r="AH147" s="154" t="str" cm="1">
        <f t="array" aca="1" ref="AH147" ca="1">IF(Table13[[#This Row],[TOTAL HIRE COST]]="","",IFERROR(IF(U147&lt;&gt;"",_xlfn.XLOOKUP(J147&amp;I147&amp;V147,PRICES!B:B&amp;PRICES!C:C&amp;PRICES!D:D,PRICES!I:I,"")),""))</f>
        <v/>
      </c>
      <c r="AI147" s="154" t="str">
        <f ca="1">IF(Table13[[#This Row],[TOTAL HIRE COST]]="","",Table13[[#This Row],[TOTAL HIRE COST]]+Table13[[#This Row],[DELIVERY COST]]+Table13[[#This Row],[COLLECTION COST]])</f>
        <v/>
      </c>
      <c r="AJ147" s="153" t="str">
        <f>IF(Table13[[#This Row],[Date to Hire (DH)]]="","",YEAR(Table13[[#This Row],[Date to Hire (DH)]]))</f>
        <v/>
      </c>
      <c r="AK147" s="153" t="str">
        <f>IF(Table13[[#This Row],[Date to Hire (DH)]]="","",MONTH(Table13[[#This Row],[Date to Hire (DH)]]))</f>
        <v/>
      </c>
      <c r="AL147" s="153" t="str">
        <f>IF(Table13[[#This Row],[Date to Hire (DH)]]="","",WEEKNUM(Table13[[#This Row],[Date to Hire (DH)]]))</f>
        <v/>
      </c>
      <c r="AM147" s="153" t="str">
        <f>TEXT(Table13[[#This Row],[YEAR]],"0000")&amp;"-"&amp;Table13[[#This Row],[MONTH]]</f>
        <v>-</v>
      </c>
      <c r="AN147" s="153" t="str">
        <f>IF(Table13[[#This Row],[Date of Planned Offhire (DoPO) / If Applicable]]="","",YEAR(Table13[[#This Row],[Date of Planned Offhire (DoPO) / If Applicable]]))</f>
        <v/>
      </c>
      <c r="AO147" s="153" t="str">
        <f>IF(Table13[[#This Row],[Date of Planned Offhire (DoPO) / If Applicable]]="","",MONTH(Table13[[#This Row],[Date of Planned Offhire (DoPO) / If Applicable]]))</f>
        <v/>
      </c>
      <c r="AP147" s="153" t="str">
        <f>IF(Table13[[#This Row],[Date of Planned Offhire (DoPO) / If Applicable]]="","",WEEKNUM(Table13[[#This Row],[Date of Planned Offhire (DoPO) / If Applicable]]))</f>
        <v/>
      </c>
      <c r="AQ147" s="153" t="str">
        <f>TEXT(Table13[[#This Row],[YEAR2]],"0000")&amp;"-"&amp;Table13[[#This Row],[MONTH2]]</f>
        <v>-</v>
      </c>
      <c r="AR147" s="153" t="str">
        <f>IF(Table13[[#This Row],[Actual Date to Offhire (ADtO)]]="","",YEAR(Table13[[#This Row],[Actual Date to Offhire (ADtO)]]))</f>
        <v/>
      </c>
      <c r="AS147" s="153" t="str">
        <f>IF(Table13[[#This Row],[Actual Date to Offhire (ADtO)]]="","",MONTH(Table13[[#This Row],[Actual Date to Offhire (ADtO)]]))</f>
        <v/>
      </c>
      <c r="AT147" s="153" t="str">
        <f>IF(Table13[[#This Row],[Actual Date to Offhire (ADtO)]]="","",WEEKNUM(Table13[[#This Row],[Actual Date to Offhire (ADtO)]]))</f>
        <v/>
      </c>
      <c r="AU147" s="153" t="str">
        <f>TEXT(Table13[[#This Row],[YEAR3]],"0000")&amp;"-"&amp;Table13[[#This Row],[MONTH3]]</f>
        <v>-</v>
      </c>
      <c r="AV147" s="153">
        <f>IF(E147="",0,
  IF('Delivery Report'!A$2*100+'Delivery Report'!A$5 &lt; YEAR(E147)*100+WEEKNUM(E147), 0,
    IF(OR(G147="", 'Delivery Report'!A$2*100+'Delivery Report'!A$5 &lt;= YEAR(G147)*100+WEEKNUM(G147)),
      IF(LOWER(W147)="hourly", U147*X147*56,
      IF(LOWER(W147)="daily", U147*X147*7,
      IF(LOWER(W147)="weekly", U147*X147,
      IF(LOWER(W147)="monthly", U147*X147*12/52,
      IF(LOWER(W147)="yearly", U147*X147/52,
      IF(LOWER(W147)="one-off", U147*X147,
      0)))))),
    0)))</f>
        <v>0</v>
      </c>
    </row>
    <row r="148" spans="1:48" x14ac:dyDescent="0.3">
      <c r="A148" s="24"/>
      <c r="E148" s="1"/>
      <c r="F148" s="1"/>
      <c r="G148" s="1"/>
      <c r="H148" s="164" t="str">
        <f t="shared" si="22"/>
        <v/>
      </c>
      <c r="P148" s="153" t="str">
        <f t="shared" si="23"/>
        <v/>
      </c>
      <c r="Q148" s="155">
        <f>IF(Table13[[#This Row],[HGVs (Collection)]]="",O148,Table13[[#This Row],[HGVs (Delivery)]]+Table13[[#This Row],[HGVs (Collection)]])</f>
        <v>0</v>
      </c>
      <c r="W148" s="153" t="str" cm="1">
        <f t="array" ref="W148">IF(Table13[[#This Row],[QUANTITY]]="","",IFERROR(IF(V148&lt;&gt;"",_xlfn.XLOOKUP(I148&amp;J148,PRICES!C:C&amp;PRICES!B:B,IF(PRICES!F:F&lt;&gt;"",PRICES!F:F,PRICES!E:E),"")),""))</f>
        <v/>
      </c>
      <c r="X148" s="154" t="str" cm="1">
        <f t="array" ref="X148">IF(Table13[[#This Row],[QUANTITY]]="","",IFERROR(IF(U148&lt;&gt;"",_xlfn.XLOOKUP(I148&amp;J148&amp;V148,PRICES!C:C&amp;PRICES!B:B&amp;PRICES!D:D,PRICES!G:G,"")),""))</f>
        <v/>
      </c>
      <c r="Y148" s="154" t="str">
        <f t="shared" ca="1" si="24"/>
        <v/>
      </c>
      <c r="Z148" s="154" t="str">
        <f t="shared" ca="1" si="25"/>
        <v/>
      </c>
      <c r="AA148" s="154" t="str">
        <f t="shared" ca="1" si="26"/>
        <v/>
      </c>
      <c r="AB148" s="154" t="str">
        <f t="shared" ca="1" si="27"/>
        <v/>
      </c>
      <c r="AC148" s="154" t="str">
        <f t="shared" ca="1" si="21"/>
        <v/>
      </c>
      <c r="AD148" s="154" t="str">
        <f>IF(Table13[[#This Row],[QUANTITY]]="","",
  IF(AND(Y148="",Z148="",AA148="",AB148="",AC148=""),
    U148*X148,
  ""))</f>
        <v/>
      </c>
      <c r="AE148" s="154" t="str">
        <f t="shared" ca="1" si="28"/>
        <v/>
      </c>
      <c r="AF148" s="154" t="str">
        <f t="shared" si="29"/>
        <v/>
      </c>
      <c r="AG148" s="154" t="str" cm="1">
        <f t="array" aca="1" ref="AG148" ca="1">IF(Table13[[#This Row],[TOTAL HIRE COST]]="","",IFERROR(IF(U148&lt;&gt;"",_xlfn.XLOOKUP(J148&amp;I148&amp;V148,PRICES!B:B&amp;PRICES!C:C&amp;PRICES!D:D,PRICES!H:H,"")),""))</f>
        <v/>
      </c>
      <c r="AH148" s="154" t="str" cm="1">
        <f t="array" aca="1" ref="AH148" ca="1">IF(Table13[[#This Row],[TOTAL HIRE COST]]="","",IFERROR(IF(U148&lt;&gt;"",_xlfn.XLOOKUP(J148&amp;I148&amp;V148,PRICES!B:B&amp;PRICES!C:C&amp;PRICES!D:D,PRICES!I:I,"")),""))</f>
        <v/>
      </c>
      <c r="AI148" s="154" t="str">
        <f ca="1">IF(Table13[[#This Row],[TOTAL HIRE COST]]="","",Table13[[#This Row],[TOTAL HIRE COST]]+Table13[[#This Row],[DELIVERY COST]]+Table13[[#This Row],[COLLECTION COST]])</f>
        <v/>
      </c>
      <c r="AJ148" s="153" t="str">
        <f>IF(Table13[[#This Row],[Date to Hire (DH)]]="","",YEAR(Table13[[#This Row],[Date to Hire (DH)]]))</f>
        <v/>
      </c>
      <c r="AK148" s="153" t="str">
        <f>IF(Table13[[#This Row],[Date to Hire (DH)]]="","",MONTH(Table13[[#This Row],[Date to Hire (DH)]]))</f>
        <v/>
      </c>
      <c r="AL148" s="153" t="str">
        <f>IF(Table13[[#This Row],[Date to Hire (DH)]]="","",WEEKNUM(Table13[[#This Row],[Date to Hire (DH)]]))</f>
        <v/>
      </c>
      <c r="AM148" s="153" t="str">
        <f>TEXT(Table13[[#This Row],[YEAR]],"0000")&amp;"-"&amp;Table13[[#This Row],[MONTH]]</f>
        <v>-</v>
      </c>
      <c r="AN148" s="153" t="str">
        <f>IF(Table13[[#This Row],[Date of Planned Offhire (DoPO) / If Applicable]]="","",YEAR(Table13[[#This Row],[Date of Planned Offhire (DoPO) / If Applicable]]))</f>
        <v/>
      </c>
      <c r="AO148" s="153" t="str">
        <f>IF(Table13[[#This Row],[Date of Planned Offhire (DoPO) / If Applicable]]="","",MONTH(Table13[[#This Row],[Date of Planned Offhire (DoPO) / If Applicable]]))</f>
        <v/>
      </c>
      <c r="AP148" s="153" t="str">
        <f>IF(Table13[[#This Row],[Date of Planned Offhire (DoPO) / If Applicable]]="","",WEEKNUM(Table13[[#This Row],[Date of Planned Offhire (DoPO) / If Applicable]]))</f>
        <v/>
      </c>
      <c r="AQ148" s="153" t="str">
        <f>TEXT(Table13[[#This Row],[YEAR2]],"0000")&amp;"-"&amp;Table13[[#This Row],[MONTH2]]</f>
        <v>-</v>
      </c>
      <c r="AR148" s="153" t="str">
        <f>IF(Table13[[#This Row],[Actual Date to Offhire (ADtO)]]="","",YEAR(Table13[[#This Row],[Actual Date to Offhire (ADtO)]]))</f>
        <v/>
      </c>
      <c r="AS148" s="153" t="str">
        <f>IF(Table13[[#This Row],[Actual Date to Offhire (ADtO)]]="","",MONTH(Table13[[#This Row],[Actual Date to Offhire (ADtO)]]))</f>
        <v/>
      </c>
      <c r="AT148" s="153" t="str">
        <f>IF(Table13[[#This Row],[Actual Date to Offhire (ADtO)]]="","",WEEKNUM(Table13[[#This Row],[Actual Date to Offhire (ADtO)]]))</f>
        <v/>
      </c>
      <c r="AU148" s="153" t="str">
        <f>TEXT(Table13[[#This Row],[YEAR3]],"0000")&amp;"-"&amp;Table13[[#This Row],[MONTH3]]</f>
        <v>-</v>
      </c>
      <c r="AV148" s="153">
        <f>IF(E148="",0,
  IF('Delivery Report'!A$2*100+'Delivery Report'!A$5 &lt; YEAR(E148)*100+WEEKNUM(E148), 0,
    IF(OR(G148="", 'Delivery Report'!A$2*100+'Delivery Report'!A$5 &lt;= YEAR(G148)*100+WEEKNUM(G148)),
      IF(LOWER(W148)="hourly", U148*X148*56,
      IF(LOWER(W148)="daily", U148*X148*7,
      IF(LOWER(W148)="weekly", U148*X148,
      IF(LOWER(W148)="monthly", U148*X148*12/52,
      IF(LOWER(W148)="yearly", U148*X148/52,
      IF(LOWER(W148)="one-off", U148*X148,
      0)))))),
    0)))</f>
        <v>0</v>
      </c>
    </row>
    <row r="149" spans="1:48" x14ac:dyDescent="0.3">
      <c r="A149" s="24"/>
      <c r="E149" s="1"/>
      <c r="F149" s="1"/>
      <c r="G149" s="1"/>
      <c r="H149" s="164" t="str">
        <f t="shared" si="22"/>
        <v/>
      </c>
      <c r="P149" s="153" t="str">
        <f t="shared" si="23"/>
        <v/>
      </c>
      <c r="Q149" s="155">
        <f>IF(Table13[[#This Row],[HGVs (Collection)]]="",O149,Table13[[#This Row],[HGVs (Delivery)]]+Table13[[#This Row],[HGVs (Collection)]])</f>
        <v>0</v>
      </c>
      <c r="W149" s="153" t="str" cm="1">
        <f t="array" ref="W149">IF(Table13[[#This Row],[QUANTITY]]="","",IFERROR(IF(V149&lt;&gt;"",_xlfn.XLOOKUP(I149&amp;J149,PRICES!C:C&amp;PRICES!B:B,IF(PRICES!F:F&lt;&gt;"",PRICES!F:F,PRICES!E:E),"")),""))</f>
        <v/>
      </c>
      <c r="X149" s="154" t="str" cm="1">
        <f t="array" ref="X149">IF(Table13[[#This Row],[QUANTITY]]="","",IFERROR(IF(U149&lt;&gt;"",_xlfn.XLOOKUP(I149&amp;J149&amp;V149,PRICES!C:C&amp;PRICES!B:B&amp;PRICES!D:D,PRICES!G:G,"")),""))</f>
        <v/>
      </c>
      <c r="Y149" s="154" t="str">
        <f t="shared" ca="1" si="24"/>
        <v/>
      </c>
      <c r="Z149" s="154" t="str">
        <f t="shared" ca="1" si="25"/>
        <v/>
      </c>
      <c r="AA149" s="154" t="str">
        <f t="shared" ca="1" si="26"/>
        <v/>
      </c>
      <c r="AB149" s="154" t="str">
        <f t="shared" ca="1" si="27"/>
        <v/>
      </c>
      <c r="AC149" s="154" t="str">
        <f t="shared" ca="1" si="21"/>
        <v/>
      </c>
      <c r="AD149" s="154" t="str">
        <f>IF(Table13[[#This Row],[QUANTITY]]="","",
  IF(AND(Y149="",Z149="",AA149="",AB149="",AC149=""),
    U149*X149,
  ""))</f>
        <v/>
      </c>
      <c r="AE149" s="154" t="str">
        <f t="shared" ca="1" si="28"/>
        <v/>
      </c>
      <c r="AF149" s="154" t="str">
        <f t="shared" si="29"/>
        <v/>
      </c>
      <c r="AG149" s="154" t="str" cm="1">
        <f t="array" aca="1" ref="AG149" ca="1">IF(Table13[[#This Row],[TOTAL HIRE COST]]="","",IFERROR(IF(U149&lt;&gt;"",_xlfn.XLOOKUP(J149&amp;I149&amp;V149,PRICES!B:B&amp;PRICES!C:C&amp;PRICES!D:D,PRICES!H:H,"")),""))</f>
        <v/>
      </c>
      <c r="AH149" s="154" t="str" cm="1">
        <f t="array" aca="1" ref="AH149" ca="1">IF(Table13[[#This Row],[TOTAL HIRE COST]]="","",IFERROR(IF(U149&lt;&gt;"",_xlfn.XLOOKUP(J149&amp;I149&amp;V149,PRICES!B:B&amp;PRICES!C:C&amp;PRICES!D:D,PRICES!I:I,"")),""))</f>
        <v/>
      </c>
      <c r="AI149" s="154" t="str">
        <f ca="1">IF(Table13[[#This Row],[TOTAL HIRE COST]]="","",Table13[[#This Row],[TOTAL HIRE COST]]+Table13[[#This Row],[DELIVERY COST]]+Table13[[#This Row],[COLLECTION COST]])</f>
        <v/>
      </c>
      <c r="AJ149" s="153" t="str">
        <f>IF(Table13[[#This Row],[Date to Hire (DH)]]="","",YEAR(Table13[[#This Row],[Date to Hire (DH)]]))</f>
        <v/>
      </c>
      <c r="AK149" s="153" t="str">
        <f>IF(Table13[[#This Row],[Date to Hire (DH)]]="","",MONTH(Table13[[#This Row],[Date to Hire (DH)]]))</f>
        <v/>
      </c>
      <c r="AL149" s="153" t="str">
        <f>IF(Table13[[#This Row],[Date to Hire (DH)]]="","",WEEKNUM(Table13[[#This Row],[Date to Hire (DH)]]))</f>
        <v/>
      </c>
      <c r="AM149" s="153" t="str">
        <f>TEXT(Table13[[#This Row],[YEAR]],"0000")&amp;"-"&amp;Table13[[#This Row],[MONTH]]</f>
        <v>-</v>
      </c>
      <c r="AN149" s="153" t="str">
        <f>IF(Table13[[#This Row],[Date of Planned Offhire (DoPO) / If Applicable]]="","",YEAR(Table13[[#This Row],[Date of Planned Offhire (DoPO) / If Applicable]]))</f>
        <v/>
      </c>
      <c r="AO149" s="153" t="str">
        <f>IF(Table13[[#This Row],[Date of Planned Offhire (DoPO) / If Applicable]]="","",MONTH(Table13[[#This Row],[Date of Planned Offhire (DoPO) / If Applicable]]))</f>
        <v/>
      </c>
      <c r="AP149" s="153" t="str">
        <f>IF(Table13[[#This Row],[Date of Planned Offhire (DoPO) / If Applicable]]="","",WEEKNUM(Table13[[#This Row],[Date of Planned Offhire (DoPO) / If Applicable]]))</f>
        <v/>
      </c>
      <c r="AQ149" s="153" t="str">
        <f>TEXT(Table13[[#This Row],[YEAR2]],"0000")&amp;"-"&amp;Table13[[#This Row],[MONTH2]]</f>
        <v>-</v>
      </c>
      <c r="AR149" s="153" t="str">
        <f>IF(Table13[[#This Row],[Actual Date to Offhire (ADtO)]]="","",YEAR(Table13[[#This Row],[Actual Date to Offhire (ADtO)]]))</f>
        <v/>
      </c>
      <c r="AS149" s="153" t="str">
        <f>IF(Table13[[#This Row],[Actual Date to Offhire (ADtO)]]="","",MONTH(Table13[[#This Row],[Actual Date to Offhire (ADtO)]]))</f>
        <v/>
      </c>
      <c r="AT149" s="153" t="str">
        <f>IF(Table13[[#This Row],[Actual Date to Offhire (ADtO)]]="","",WEEKNUM(Table13[[#This Row],[Actual Date to Offhire (ADtO)]]))</f>
        <v/>
      </c>
      <c r="AU149" s="153" t="str">
        <f>TEXT(Table13[[#This Row],[YEAR3]],"0000")&amp;"-"&amp;Table13[[#This Row],[MONTH3]]</f>
        <v>-</v>
      </c>
      <c r="AV149" s="153">
        <f>IF(E149="",0,
  IF('Delivery Report'!A$2*100+'Delivery Report'!A$5 &lt; YEAR(E149)*100+WEEKNUM(E149), 0,
    IF(OR(G149="", 'Delivery Report'!A$2*100+'Delivery Report'!A$5 &lt;= YEAR(G149)*100+WEEKNUM(G149)),
      IF(LOWER(W149)="hourly", U149*X149*56,
      IF(LOWER(W149)="daily", U149*X149*7,
      IF(LOWER(W149)="weekly", U149*X149,
      IF(LOWER(W149)="monthly", U149*X149*12/52,
      IF(LOWER(W149)="yearly", U149*X149/52,
      IF(LOWER(W149)="one-off", U149*X149,
      0)))))),
    0)))</f>
        <v>0</v>
      </c>
    </row>
    <row r="150" spans="1:48" x14ac:dyDescent="0.3">
      <c r="E150" s="1"/>
      <c r="F150" s="1"/>
      <c r="G150" s="1"/>
      <c r="H150" s="164" t="str">
        <f t="shared" si="22"/>
        <v/>
      </c>
      <c r="P150" s="153" t="str">
        <f t="shared" si="23"/>
        <v/>
      </c>
      <c r="Q150" s="155">
        <f>IF(Table13[[#This Row],[HGVs (Collection)]]="",O150,Table13[[#This Row],[HGVs (Delivery)]]+Table13[[#This Row],[HGVs (Collection)]])</f>
        <v>0</v>
      </c>
      <c r="W150" s="153" t="str" cm="1">
        <f t="array" ref="W150">IF(Table13[[#This Row],[QUANTITY]]="","",IFERROR(IF(V150&lt;&gt;"",_xlfn.XLOOKUP(I150&amp;J150,PRICES!C:C&amp;PRICES!B:B,IF(PRICES!F:F&lt;&gt;"",PRICES!F:F,PRICES!E:E),"")),""))</f>
        <v/>
      </c>
      <c r="X150" s="154" t="str" cm="1">
        <f t="array" ref="X150">IF(Table13[[#This Row],[QUANTITY]]="","",IFERROR(IF(U150&lt;&gt;"",_xlfn.XLOOKUP(I150&amp;J150&amp;V150,PRICES!C:C&amp;PRICES!B:B&amp;PRICES!D:D,PRICES!G:G,"")),""))</f>
        <v/>
      </c>
      <c r="Y150" s="154" t="str">
        <f t="shared" ca="1" si="24"/>
        <v/>
      </c>
      <c r="Z150" s="154" t="str">
        <f t="shared" ca="1" si="25"/>
        <v/>
      </c>
      <c r="AA150" s="154" t="str">
        <f t="shared" ca="1" si="26"/>
        <v/>
      </c>
      <c r="AB150" s="154" t="str">
        <f t="shared" ca="1" si="27"/>
        <v/>
      </c>
      <c r="AC150" s="154" t="str">
        <f t="shared" ca="1" si="21"/>
        <v/>
      </c>
      <c r="AD150" s="154" t="str">
        <f>IF(Table13[[#This Row],[QUANTITY]]="","",
  IF(AND(Y150="",Z150="",AA150="",AB150="",AC150=""),
    U150*X150,
  ""))</f>
        <v/>
      </c>
      <c r="AE150" s="154" t="str">
        <f t="shared" ca="1" si="28"/>
        <v/>
      </c>
      <c r="AF150" s="154" t="str">
        <f t="shared" si="29"/>
        <v/>
      </c>
      <c r="AG150" s="154" t="str" cm="1">
        <f t="array" aca="1" ref="AG150" ca="1">IF(Table13[[#This Row],[TOTAL HIRE COST]]="","",IFERROR(IF(U150&lt;&gt;"",_xlfn.XLOOKUP(J150&amp;I150&amp;V150,PRICES!B:B&amp;PRICES!C:C&amp;PRICES!D:D,PRICES!H:H,"")),""))</f>
        <v/>
      </c>
      <c r="AH150" s="154" t="str" cm="1">
        <f t="array" aca="1" ref="AH150" ca="1">IF(Table13[[#This Row],[TOTAL HIRE COST]]="","",IFERROR(IF(U150&lt;&gt;"",_xlfn.XLOOKUP(J150&amp;I150&amp;V150,PRICES!B:B&amp;PRICES!C:C&amp;PRICES!D:D,PRICES!I:I,"")),""))</f>
        <v/>
      </c>
      <c r="AI150" s="154" t="str">
        <f ca="1">IF(Table13[[#This Row],[TOTAL HIRE COST]]="","",Table13[[#This Row],[TOTAL HIRE COST]]+Table13[[#This Row],[DELIVERY COST]]+Table13[[#This Row],[COLLECTION COST]])</f>
        <v/>
      </c>
      <c r="AJ150" s="153" t="str">
        <f>IF(Table13[[#This Row],[Date to Hire (DH)]]="","",YEAR(Table13[[#This Row],[Date to Hire (DH)]]))</f>
        <v/>
      </c>
      <c r="AK150" s="153" t="str">
        <f>IF(Table13[[#This Row],[Date to Hire (DH)]]="","",MONTH(Table13[[#This Row],[Date to Hire (DH)]]))</f>
        <v/>
      </c>
      <c r="AL150" s="153" t="str">
        <f>IF(Table13[[#This Row],[Date to Hire (DH)]]="","",WEEKNUM(Table13[[#This Row],[Date to Hire (DH)]]))</f>
        <v/>
      </c>
      <c r="AM150" s="153" t="str">
        <f>TEXT(Table13[[#This Row],[YEAR]],"0000")&amp;"-"&amp;Table13[[#This Row],[MONTH]]</f>
        <v>-</v>
      </c>
      <c r="AN150" s="153" t="str">
        <f>IF(Table13[[#This Row],[Date of Planned Offhire (DoPO) / If Applicable]]="","",YEAR(Table13[[#This Row],[Date of Planned Offhire (DoPO) / If Applicable]]))</f>
        <v/>
      </c>
      <c r="AO150" s="153" t="str">
        <f>IF(Table13[[#This Row],[Date of Planned Offhire (DoPO) / If Applicable]]="","",MONTH(Table13[[#This Row],[Date of Planned Offhire (DoPO) / If Applicable]]))</f>
        <v/>
      </c>
      <c r="AP150" s="153" t="str">
        <f>IF(Table13[[#This Row],[Date of Planned Offhire (DoPO) / If Applicable]]="","",WEEKNUM(Table13[[#This Row],[Date of Planned Offhire (DoPO) / If Applicable]]))</f>
        <v/>
      </c>
      <c r="AQ150" s="153" t="str">
        <f>TEXT(Table13[[#This Row],[YEAR2]],"0000")&amp;"-"&amp;Table13[[#This Row],[MONTH2]]</f>
        <v>-</v>
      </c>
      <c r="AR150" s="153" t="str">
        <f>IF(Table13[[#This Row],[Actual Date to Offhire (ADtO)]]="","",YEAR(Table13[[#This Row],[Actual Date to Offhire (ADtO)]]))</f>
        <v/>
      </c>
      <c r="AS150" s="153" t="str">
        <f>IF(Table13[[#This Row],[Actual Date to Offhire (ADtO)]]="","",MONTH(Table13[[#This Row],[Actual Date to Offhire (ADtO)]]))</f>
        <v/>
      </c>
      <c r="AT150" s="153" t="str">
        <f>IF(Table13[[#This Row],[Actual Date to Offhire (ADtO)]]="","",WEEKNUM(Table13[[#This Row],[Actual Date to Offhire (ADtO)]]))</f>
        <v/>
      </c>
      <c r="AU150" s="153" t="str">
        <f>TEXT(Table13[[#This Row],[YEAR3]],"0000")&amp;"-"&amp;Table13[[#This Row],[MONTH3]]</f>
        <v>-</v>
      </c>
      <c r="AV150" s="153">
        <f>IF(E150="",0,
  IF('Delivery Report'!A$2*100+'Delivery Report'!A$5 &lt; YEAR(E150)*100+WEEKNUM(E150), 0,
    IF(OR(G150="", 'Delivery Report'!A$2*100+'Delivery Report'!A$5 &lt;= YEAR(G150)*100+WEEKNUM(G150)),
      IF(LOWER(W150)="hourly", U150*X150*56,
      IF(LOWER(W150)="daily", U150*X150*7,
      IF(LOWER(W150)="weekly", U150*X150,
      IF(LOWER(W150)="monthly", U150*X150*12/52,
      IF(LOWER(W150)="yearly", U150*X150/52,
      IF(LOWER(W150)="one-off", U150*X150,
      0)))))),
    0)))</f>
        <v>0</v>
      </c>
    </row>
    <row r="151" spans="1:48" x14ac:dyDescent="0.3">
      <c r="E151" s="1"/>
      <c r="F151" s="1"/>
      <c r="G151" s="1"/>
      <c r="H151" s="164" t="str">
        <f t="shared" si="22"/>
        <v/>
      </c>
      <c r="P151" s="153" t="str">
        <f t="shared" si="23"/>
        <v/>
      </c>
      <c r="Q151" s="155">
        <f>IF(Table13[[#This Row],[HGVs (Collection)]]="",O151,Table13[[#This Row],[HGVs (Delivery)]]+Table13[[#This Row],[HGVs (Collection)]])</f>
        <v>0</v>
      </c>
      <c r="W151" s="153" t="str" cm="1">
        <f t="array" ref="W151">IF(Table13[[#This Row],[QUANTITY]]="","",IFERROR(IF(V151&lt;&gt;"",_xlfn.XLOOKUP(I151&amp;J151,PRICES!C:C&amp;PRICES!B:B,IF(PRICES!F:F&lt;&gt;"",PRICES!F:F,PRICES!E:E),"")),""))</f>
        <v/>
      </c>
      <c r="X151" s="154" t="str" cm="1">
        <f t="array" ref="X151">IF(Table13[[#This Row],[QUANTITY]]="","",IFERROR(IF(U151&lt;&gt;"",_xlfn.XLOOKUP(I151&amp;J151&amp;V151,PRICES!C:C&amp;PRICES!B:B&amp;PRICES!D:D,PRICES!G:G,"")),""))</f>
        <v/>
      </c>
      <c r="Y151" s="154" t="str">
        <f t="shared" ca="1" si="24"/>
        <v/>
      </c>
      <c r="Z151" s="154" t="str">
        <f t="shared" ca="1" si="25"/>
        <v/>
      </c>
      <c r="AA151" s="154" t="str">
        <f t="shared" ca="1" si="26"/>
        <v/>
      </c>
      <c r="AB151" s="154" t="str">
        <f t="shared" ca="1" si="27"/>
        <v/>
      </c>
      <c r="AC151" s="154" t="str">
        <f t="shared" ca="1" si="21"/>
        <v/>
      </c>
      <c r="AD151" s="154" t="str">
        <f>IF(Table13[[#This Row],[QUANTITY]]="","",
  IF(AND(Y151="",Z151="",AA151="",AB151="",AC151=""),
    U151*X151,
  ""))</f>
        <v/>
      </c>
      <c r="AE151" s="154" t="str">
        <f t="shared" ca="1" si="28"/>
        <v/>
      </c>
      <c r="AF151" s="154" t="str">
        <f t="shared" si="29"/>
        <v/>
      </c>
      <c r="AG151" s="154" t="str" cm="1">
        <f t="array" aca="1" ref="AG151" ca="1">IF(Table13[[#This Row],[TOTAL HIRE COST]]="","",IFERROR(IF(U151&lt;&gt;"",_xlfn.XLOOKUP(J151&amp;I151&amp;V151,PRICES!B:B&amp;PRICES!C:C&amp;PRICES!D:D,PRICES!H:H,"")),""))</f>
        <v/>
      </c>
      <c r="AH151" s="154" t="str" cm="1">
        <f t="array" aca="1" ref="AH151" ca="1">IF(Table13[[#This Row],[TOTAL HIRE COST]]="","",IFERROR(IF(U151&lt;&gt;"",_xlfn.XLOOKUP(J151&amp;I151&amp;V151,PRICES!B:B&amp;PRICES!C:C&amp;PRICES!D:D,PRICES!I:I,"")),""))</f>
        <v/>
      </c>
      <c r="AI151" s="154" t="str">
        <f ca="1">IF(Table13[[#This Row],[TOTAL HIRE COST]]="","",Table13[[#This Row],[TOTAL HIRE COST]]+Table13[[#This Row],[DELIVERY COST]]+Table13[[#This Row],[COLLECTION COST]])</f>
        <v/>
      </c>
      <c r="AJ151" s="153" t="str">
        <f>IF(Table13[[#This Row],[Date to Hire (DH)]]="","",YEAR(Table13[[#This Row],[Date to Hire (DH)]]))</f>
        <v/>
      </c>
      <c r="AK151" s="153" t="str">
        <f>IF(Table13[[#This Row],[Date to Hire (DH)]]="","",MONTH(Table13[[#This Row],[Date to Hire (DH)]]))</f>
        <v/>
      </c>
      <c r="AL151" s="153" t="str">
        <f>IF(Table13[[#This Row],[Date to Hire (DH)]]="","",WEEKNUM(Table13[[#This Row],[Date to Hire (DH)]]))</f>
        <v/>
      </c>
      <c r="AM151" s="153" t="str">
        <f>TEXT(Table13[[#This Row],[YEAR]],"0000")&amp;"-"&amp;Table13[[#This Row],[MONTH]]</f>
        <v>-</v>
      </c>
      <c r="AN151" s="153" t="str">
        <f>IF(Table13[[#This Row],[Date of Planned Offhire (DoPO) / If Applicable]]="","",YEAR(Table13[[#This Row],[Date of Planned Offhire (DoPO) / If Applicable]]))</f>
        <v/>
      </c>
      <c r="AO151" s="153" t="str">
        <f>IF(Table13[[#This Row],[Date of Planned Offhire (DoPO) / If Applicable]]="","",MONTH(Table13[[#This Row],[Date of Planned Offhire (DoPO) / If Applicable]]))</f>
        <v/>
      </c>
      <c r="AP151" s="153" t="str">
        <f>IF(Table13[[#This Row],[Date of Planned Offhire (DoPO) / If Applicable]]="","",WEEKNUM(Table13[[#This Row],[Date of Planned Offhire (DoPO) / If Applicable]]))</f>
        <v/>
      </c>
      <c r="AQ151" s="153" t="str">
        <f>TEXT(Table13[[#This Row],[YEAR2]],"0000")&amp;"-"&amp;Table13[[#This Row],[MONTH2]]</f>
        <v>-</v>
      </c>
      <c r="AR151" s="153" t="str">
        <f>IF(Table13[[#This Row],[Actual Date to Offhire (ADtO)]]="","",YEAR(Table13[[#This Row],[Actual Date to Offhire (ADtO)]]))</f>
        <v/>
      </c>
      <c r="AS151" s="153" t="str">
        <f>IF(Table13[[#This Row],[Actual Date to Offhire (ADtO)]]="","",MONTH(Table13[[#This Row],[Actual Date to Offhire (ADtO)]]))</f>
        <v/>
      </c>
      <c r="AT151" s="153" t="str">
        <f>IF(Table13[[#This Row],[Actual Date to Offhire (ADtO)]]="","",WEEKNUM(Table13[[#This Row],[Actual Date to Offhire (ADtO)]]))</f>
        <v/>
      </c>
      <c r="AU151" s="153" t="str">
        <f>TEXT(Table13[[#This Row],[YEAR3]],"0000")&amp;"-"&amp;Table13[[#This Row],[MONTH3]]</f>
        <v>-</v>
      </c>
      <c r="AV151" s="153">
        <f>IF(E151="",0,
  IF('Delivery Report'!A$2*100+'Delivery Report'!A$5 &lt; YEAR(E151)*100+WEEKNUM(E151), 0,
    IF(OR(G151="", 'Delivery Report'!A$2*100+'Delivery Report'!A$5 &lt;= YEAR(G151)*100+WEEKNUM(G151)),
      IF(LOWER(W151)="hourly", U151*X151*56,
      IF(LOWER(W151)="daily", U151*X151*7,
      IF(LOWER(W151)="weekly", U151*X151,
      IF(LOWER(W151)="monthly", U151*X151*12/52,
      IF(LOWER(W151)="yearly", U151*X151/52,
      IF(LOWER(W151)="one-off", U151*X151,
      0)))))),
    0)))</f>
        <v>0</v>
      </c>
    </row>
    <row r="152" spans="1:48" x14ac:dyDescent="0.3">
      <c r="E152" s="1"/>
      <c r="F152" s="1"/>
      <c r="G152" s="1"/>
      <c r="H152" s="164" t="str">
        <f t="shared" si="22"/>
        <v/>
      </c>
      <c r="P152" s="153" t="str">
        <f t="shared" si="23"/>
        <v/>
      </c>
      <c r="Q152" s="155">
        <f>IF(Table13[[#This Row],[HGVs (Collection)]]="",O152,Table13[[#This Row],[HGVs (Delivery)]]+Table13[[#This Row],[HGVs (Collection)]])</f>
        <v>0</v>
      </c>
      <c r="W152" s="153" t="str" cm="1">
        <f t="array" ref="W152">IF(Table13[[#This Row],[QUANTITY]]="","",IFERROR(IF(V152&lt;&gt;"",_xlfn.XLOOKUP(I152&amp;J152,PRICES!C:C&amp;PRICES!B:B,IF(PRICES!F:F&lt;&gt;"",PRICES!F:F,PRICES!E:E),"")),""))</f>
        <v/>
      </c>
      <c r="X152" s="154" t="str" cm="1">
        <f t="array" ref="X152">IF(Table13[[#This Row],[QUANTITY]]="","",IFERROR(IF(U152&lt;&gt;"",_xlfn.XLOOKUP(I152&amp;J152&amp;V152,PRICES!C:C&amp;PRICES!B:B&amp;PRICES!D:D,PRICES!G:G,"")),""))</f>
        <v/>
      </c>
      <c r="Y152" s="154" t="str">
        <f t="shared" ca="1" si="24"/>
        <v/>
      </c>
      <c r="Z152" s="154" t="str">
        <f t="shared" ca="1" si="25"/>
        <v/>
      </c>
      <c r="AA152" s="154" t="str">
        <f t="shared" ca="1" si="26"/>
        <v/>
      </c>
      <c r="AB152" s="154" t="str">
        <f t="shared" ca="1" si="27"/>
        <v/>
      </c>
      <c r="AC152" s="154" t="str">
        <f t="shared" ca="1" si="21"/>
        <v/>
      </c>
      <c r="AD152" s="154" t="str">
        <f>IF(Table13[[#This Row],[QUANTITY]]="","",
  IF(AND(Y152="",Z152="",AA152="",AB152="",AC152=""),
    U152*X152,
  ""))</f>
        <v/>
      </c>
      <c r="AE152" s="154" t="str">
        <f t="shared" ca="1" si="28"/>
        <v/>
      </c>
      <c r="AF152" s="154" t="str">
        <f t="shared" si="29"/>
        <v/>
      </c>
      <c r="AG152" s="154" t="str" cm="1">
        <f t="array" aca="1" ref="AG152" ca="1">IF(Table13[[#This Row],[TOTAL HIRE COST]]="","",IFERROR(IF(U152&lt;&gt;"",_xlfn.XLOOKUP(J152&amp;I152&amp;V152,PRICES!B:B&amp;PRICES!C:C&amp;PRICES!D:D,PRICES!H:H,"")),""))</f>
        <v/>
      </c>
      <c r="AH152" s="154" t="str" cm="1">
        <f t="array" aca="1" ref="AH152" ca="1">IF(Table13[[#This Row],[TOTAL HIRE COST]]="","",IFERROR(IF(U152&lt;&gt;"",_xlfn.XLOOKUP(J152&amp;I152&amp;V152,PRICES!B:B&amp;PRICES!C:C&amp;PRICES!D:D,PRICES!I:I,"")),""))</f>
        <v/>
      </c>
      <c r="AI152" s="154" t="str">
        <f ca="1">IF(Table13[[#This Row],[TOTAL HIRE COST]]="","",Table13[[#This Row],[TOTAL HIRE COST]]+Table13[[#This Row],[DELIVERY COST]]+Table13[[#This Row],[COLLECTION COST]])</f>
        <v/>
      </c>
      <c r="AJ152" s="153" t="str">
        <f>IF(Table13[[#This Row],[Date to Hire (DH)]]="","",YEAR(Table13[[#This Row],[Date to Hire (DH)]]))</f>
        <v/>
      </c>
      <c r="AK152" s="153" t="str">
        <f>IF(Table13[[#This Row],[Date to Hire (DH)]]="","",MONTH(Table13[[#This Row],[Date to Hire (DH)]]))</f>
        <v/>
      </c>
      <c r="AL152" s="153" t="str">
        <f>IF(Table13[[#This Row],[Date to Hire (DH)]]="","",WEEKNUM(Table13[[#This Row],[Date to Hire (DH)]]))</f>
        <v/>
      </c>
      <c r="AM152" s="153" t="str">
        <f>TEXT(Table13[[#This Row],[YEAR]],"0000")&amp;"-"&amp;Table13[[#This Row],[MONTH]]</f>
        <v>-</v>
      </c>
      <c r="AN152" s="153" t="str">
        <f>IF(Table13[[#This Row],[Date of Planned Offhire (DoPO) / If Applicable]]="","",YEAR(Table13[[#This Row],[Date of Planned Offhire (DoPO) / If Applicable]]))</f>
        <v/>
      </c>
      <c r="AO152" s="153" t="str">
        <f>IF(Table13[[#This Row],[Date of Planned Offhire (DoPO) / If Applicable]]="","",MONTH(Table13[[#This Row],[Date of Planned Offhire (DoPO) / If Applicable]]))</f>
        <v/>
      </c>
      <c r="AP152" s="153" t="str">
        <f>IF(Table13[[#This Row],[Date of Planned Offhire (DoPO) / If Applicable]]="","",WEEKNUM(Table13[[#This Row],[Date of Planned Offhire (DoPO) / If Applicable]]))</f>
        <v/>
      </c>
      <c r="AQ152" s="153" t="str">
        <f>TEXT(Table13[[#This Row],[YEAR2]],"0000")&amp;"-"&amp;Table13[[#This Row],[MONTH2]]</f>
        <v>-</v>
      </c>
      <c r="AR152" s="153" t="str">
        <f>IF(Table13[[#This Row],[Actual Date to Offhire (ADtO)]]="","",YEAR(Table13[[#This Row],[Actual Date to Offhire (ADtO)]]))</f>
        <v/>
      </c>
      <c r="AS152" s="153" t="str">
        <f>IF(Table13[[#This Row],[Actual Date to Offhire (ADtO)]]="","",MONTH(Table13[[#This Row],[Actual Date to Offhire (ADtO)]]))</f>
        <v/>
      </c>
      <c r="AT152" s="153" t="str">
        <f>IF(Table13[[#This Row],[Actual Date to Offhire (ADtO)]]="","",WEEKNUM(Table13[[#This Row],[Actual Date to Offhire (ADtO)]]))</f>
        <v/>
      </c>
      <c r="AU152" s="153" t="str">
        <f>TEXT(Table13[[#This Row],[YEAR3]],"0000")&amp;"-"&amp;Table13[[#This Row],[MONTH3]]</f>
        <v>-</v>
      </c>
      <c r="AV152" s="153">
        <f>IF(E152="",0,
  IF('Delivery Report'!A$2*100+'Delivery Report'!A$5 &lt; YEAR(E152)*100+WEEKNUM(E152), 0,
    IF(OR(G152="", 'Delivery Report'!A$2*100+'Delivery Report'!A$5 &lt;= YEAR(G152)*100+WEEKNUM(G152)),
      IF(LOWER(W152)="hourly", U152*X152*56,
      IF(LOWER(W152)="daily", U152*X152*7,
      IF(LOWER(W152)="weekly", U152*X152,
      IF(LOWER(W152)="monthly", U152*X152*12/52,
      IF(LOWER(W152)="yearly", U152*X152/52,
      IF(LOWER(W152)="one-off", U152*X152,
      0)))))),
    0)))</f>
        <v>0</v>
      </c>
    </row>
    <row r="153" spans="1:48" x14ac:dyDescent="0.3">
      <c r="E153" s="1"/>
      <c r="F153" s="1"/>
      <c r="G153" s="1"/>
      <c r="H153" s="164" t="str">
        <f t="shared" si="22"/>
        <v/>
      </c>
      <c r="P153" s="153" t="str">
        <f t="shared" si="23"/>
        <v/>
      </c>
      <c r="Q153" s="155">
        <f>IF(Table13[[#This Row],[HGVs (Collection)]]="",O153,Table13[[#This Row],[HGVs (Delivery)]]+Table13[[#This Row],[HGVs (Collection)]])</f>
        <v>0</v>
      </c>
      <c r="W153" s="153" t="str" cm="1">
        <f t="array" ref="W153">IF(Table13[[#This Row],[QUANTITY]]="","",IFERROR(IF(V153&lt;&gt;"",_xlfn.XLOOKUP(I153&amp;J153,PRICES!C:C&amp;PRICES!B:B,IF(PRICES!F:F&lt;&gt;"",PRICES!F:F,PRICES!E:E),"")),""))</f>
        <v/>
      </c>
      <c r="X153" s="154" t="str" cm="1">
        <f t="array" ref="X153">IF(Table13[[#This Row],[QUANTITY]]="","",IFERROR(IF(U153&lt;&gt;"",_xlfn.XLOOKUP(I153&amp;J153&amp;V153,PRICES!C:C&amp;PRICES!B:B&amp;PRICES!D:D,PRICES!G:G,"")),""))</f>
        <v/>
      </c>
      <c r="Y153" s="154" t="str">
        <f t="shared" ca="1" si="24"/>
        <v/>
      </c>
      <c r="Z153" s="154" t="str">
        <f t="shared" ca="1" si="25"/>
        <v/>
      </c>
      <c r="AA153" s="154" t="str">
        <f t="shared" ca="1" si="26"/>
        <v/>
      </c>
      <c r="AB153" s="154" t="str">
        <f t="shared" ca="1" si="27"/>
        <v/>
      </c>
      <c r="AC153" s="154" t="str">
        <f t="shared" ca="1" si="21"/>
        <v/>
      </c>
      <c r="AD153" s="154" t="str">
        <f>IF(Table13[[#This Row],[QUANTITY]]="","",
  IF(AND(Y153="",Z153="",AA153="",AB153="",AC153=""),
    U153*X153,
  ""))</f>
        <v/>
      </c>
      <c r="AE153" s="154" t="str">
        <f t="shared" ca="1" si="28"/>
        <v/>
      </c>
      <c r="AF153" s="154" t="str">
        <f t="shared" si="29"/>
        <v/>
      </c>
      <c r="AG153" s="154" t="str" cm="1">
        <f t="array" aca="1" ref="AG153" ca="1">IF(Table13[[#This Row],[TOTAL HIRE COST]]="","",IFERROR(IF(U153&lt;&gt;"",_xlfn.XLOOKUP(J153&amp;I153&amp;V153,PRICES!B:B&amp;PRICES!C:C&amp;PRICES!D:D,PRICES!H:H,"")),""))</f>
        <v/>
      </c>
      <c r="AH153" s="154" t="str" cm="1">
        <f t="array" aca="1" ref="AH153" ca="1">IF(Table13[[#This Row],[TOTAL HIRE COST]]="","",IFERROR(IF(U153&lt;&gt;"",_xlfn.XLOOKUP(J153&amp;I153&amp;V153,PRICES!B:B&amp;PRICES!C:C&amp;PRICES!D:D,PRICES!I:I,"")),""))</f>
        <v/>
      </c>
      <c r="AI153" s="154" t="str">
        <f ca="1">IF(Table13[[#This Row],[TOTAL HIRE COST]]="","",Table13[[#This Row],[TOTAL HIRE COST]]+Table13[[#This Row],[DELIVERY COST]]+Table13[[#This Row],[COLLECTION COST]])</f>
        <v/>
      </c>
      <c r="AJ153" s="153" t="str">
        <f>IF(Table13[[#This Row],[Date to Hire (DH)]]="","",YEAR(Table13[[#This Row],[Date to Hire (DH)]]))</f>
        <v/>
      </c>
      <c r="AK153" s="153" t="str">
        <f>IF(Table13[[#This Row],[Date to Hire (DH)]]="","",MONTH(Table13[[#This Row],[Date to Hire (DH)]]))</f>
        <v/>
      </c>
      <c r="AL153" s="153" t="str">
        <f>IF(Table13[[#This Row],[Date to Hire (DH)]]="","",WEEKNUM(Table13[[#This Row],[Date to Hire (DH)]]))</f>
        <v/>
      </c>
      <c r="AM153" s="153" t="str">
        <f>TEXT(Table13[[#This Row],[YEAR]],"0000")&amp;"-"&amp;Table13[[#This Row],[MONTH]]</f>
        <v>-</v>
      </c>
      <c r="AN153" s="153" t="str">
        <f>IF(Table13[[#This Row],[Date of Planned Offhire (DoPO) / If Applicable]]="","",YEAR(Table13[[#This Row],[Date of Planned Offhire (DoPO) / If Applicable]]))</f>
        <v/>
      </c>
      <c r="AO153" s="153" t="str">
        <f>IF(Table13[[#This Row],[Date of Planned Offhire (DoPO) / If Applicable]]="","",MONTH(Table13[[#This Row],[Date of Planned Offhire (DoPO) / If Applicable]]))</f>
        <v/>
      </c>
      <c r="AP153" s="153" t="str">
        <f>IF(Table13[[#This Row],[Date of Planned Offhire (DoPO) / If Applicable]]="","",WEEKNUM(Table13[[#This Row],[Date of Planned Offhire (DoPO) / If Applicable]]))</f>
        <v/>
      </c>
      <c r="AQ153" s="153" t="str">
        <f>TEXT(Table13[[#This Row],[YEAR2]],"0000")&amp;"-"&amp;Table13[[#This Row],[MONTH2]]</f>
        <v>-</v>
      </c>
      <c r="AR153" s="153" t="str">
        <f>IF(Table13[[#This Row],[Actual Date to Offhire (ADtO)]]="","",YEAR(Table13[[#This Row],[Actual Date to Offhire (ADtO)]]))</f>
        <v/>
      </c>
      <c r="AS153" s="153" t="str">
        <f>IF(Table13[[#This Row],[Actual Date to Offhire (ADtO)]]="","",MONTH(Table13[[#This Row],[Actual Date to Offhire (ADtO)]]))</f>
        <v/>
      </c>
      <c r="AT153" s="153" t="str">
        <f>IF(Table13[[#This Row],[Actual Date to Offhire (ADtO)]]="","",WEEKNUM(Table13[[#This Row],[Actual Date to Offhire (ADtO)]]))</f>
        <v/>
      </c>
      <c r="AU153" s="153" t="str">
        <f>TEXT(Table13[[#This Row],[YEAR3]],"0000")&amp;"-"&amp;Table13[[#This Row],[MONTH3]]</f>
        <v>-</v>
      </c>
      <c r="AV153" s="153">
        <f>IF(E153="",0,
  IF('Delivery Report'!A$2*100+'Delivery Report'!A$5 &lt; YEAR(E153)*100+WEEKNUM(E153), 0,
    IF(OR(G153="", 'Delivery Report'!A$2*100+'Delivery Report'!A$5 &lt;= YEAR(G153)*100+WEEKNUM(G153)),
      IF(LOWER(W153)="hourly", U153*X153*56,
      IF(LOWER(W153)="daily", U153*X153*7,
      IF(LOWER(W153)="weekly", U153*X153,
      IF(LOWER(W153)="monthly", U153*X153*12/52,
      IF(LOWER(W153)="yearly", U153*X153/52,
      IF(LOWER(W153)="one-off", U153*X153,
      0)))))),
    0)))</f>
        <v>0</v>
      </c>
    </row>
    <row r="154" spans="1:48" x14ac:dyDescent="0.3">
      <c r="C154" s="22"/>
      <c r="E154" s="1"/>
      <c r="F154" s="1"/>
      <c r="G154" s="1"/>
      <c r="H154" s="164" t="str">
        <f t="shared" si="22"/>
        <v/>
      </c>
      <c r="P154" s="153" t="str">
        <f t="shared" si="23"/>
        <v/>
      </c>
      <c r="Q154" s="155">
        <f>IF(Table13[[#This Row],[HGVs (Collection)]]="",O154,Table13[[#This Row],[HGVs (Delivery)]]+Table13[[#This Row],[HGVs (Collection)]])</f>
        <v>0</v>
      </c>
      <c r="W154" s="153" t="str" cm="1">
        <f t="array" ref="W154">IF(Table13[[#This Row],[QUANTITY]]="","",IFERROR(IF(V154&lt;&gt;"",_xlfn.XLOOKUP(I154&amp;J154,PRICES!C:C&amp;PRICES!B:B,IF(PRICES!F:F&lt;&gt;"",PRICES!F:F,PRICES!E:E),"")),""))</f>
        <v/>
      </c>
      <c r="X154" s="154" t="str" cm="1">
        <f t="array" ref="X154">IF(Table13[[#This Row],[QUANTITY]]="","",IFERROR(IF(U154&lt;&gt;"",_xlfn.XLOOKUP(I154&amp;J154&amp;V154,PRICES!C:C&amp;PRICES!B:B&amp;PRICES!D:D,PRICES!G:G,"")),""))</f>
        <v/>
      </c>
      <c r="Y154" s="154" t="str">
        <f t="shared" ca="1" si="24"/>
        <v/>
      </c>
      <c r="Z154" s="154" t="str">
        <f t="shared" ca="1" si="25"/>
        <v/>
      </c>
      <c r="AA154" s="154" t="str">
        <f t="shared" ca="1" si="26"/>
        <v/>
      </c>
      <c r="AB154" s="154" t="str">
        <f t="shared" ca="1" si="27"/>
        <v/>
      </c>
      <c r="AC154" s="154" t="str">
        <f t="shared" ca="1" si="21"/>
        <v/>
      </c>
      <c r="AD154" s="154" t="str">
        <f>IF(Table13[[#This Row],[QUANTITY]]="","",
  IF(AND(Y154="",Z154="",AA154="",AB154="",AC154=""),
    U154*X154,
  ""))</f>
        <v/>
      </c>
      <c r="AE154" s="154" t="str">
        <f t="shared" ca="1" si="28"/>
        <v/>
      </c>
      <c r="AF154" s="154" t="str">
        <f t="shared" si="29"/>
        <v/>
      </c>
      <c r="AG154" s="154" t="str" cm="1">
        <f t="array" aca="1" ref="AG154" ca="1">IF(Table13[[#This Row],[TOTAL HIRE COST]]="","",IFERROR(IF(U154&lt;&gt;"",_xlfn.XLOOKUP(J154&amp;I154&amp;V154,PRICES!B:B&amp;PRICES!C:C&amp;PRICES!D:D,PRICES!H:H,"")),""))</f>
        <v/>
      </c>
      <c r="AH154" s="154" t="str" cm="1">
        <f t="array" aca="1" ref="AH154" ca="1">IF(Table13[[#This Row],[TOTAL HIRE COST]]="","",IFERROR(IF(U154&lt;&gt;"",_xlfn.XLOOKUP(J154&amp;I154&amp;V154,PRICES!B:B&amp;PRICES!C:C&amp;PRICES!D:D,PRICES!I:I,"")),""))</f>
        <v/>
      </c>
      <c r="AI154" s="154" t="str">
        <f ca="1">IF(Table13[[#This Row],[TOTAL HIRE COST]]="","",Table13[[#This Row],[TOTAL HIRE COST]]+Table13[[#This Row],[DELIVERY COST]]+Table13[[#This Row],[COLLECTION COST]])</f>
        <v/>
      </c>
      <c r="AJ154" s="153" t="str">
        <f>IF(Table13[[#This Row],[Date to Hire (DH)]]="","",YEAR(Table13[[#This Row],[Date to Hire (DH)]]))</f>
        <v/>
      </c>
      <c r="AK154" s="153" t="str">
        <f>IF(Table13[[#This Row],[Date to Hire (DH)]]="","",MONTH(Table13[[#This Row],[Date to Hire (DH)]]))</f>
        <v/>
      </c>
      <c r="AL154" s="153" t="str">
        <f>IF(Table13[[#This Row],[Date to Hire (DH)]]="","",WEEKNUM(Table13[[#This Row],[Date to Hire (DH)]]))</f>
        <v/>
      </c>
      <c r="AM154" s="153" t="str">
        <f>TEXT(Table13[[#This Row],[YEAR]],"0000")&amp;"-"&amp;Table13[[#This Row],[MONTH]]</f>
        <v>-</v>
      </c>
      <c r="AN154" s="153" t="str">
        <f>IF(Table13[[#This Row],[Date of Planned Offhire (DoPO) / If Applicable]]="","",YEAR(Table13[[#This Row],[Date of Planned Offhire (DoPO) / If Applicable]]))</f>
        <v/>
      </c>
      <c r="AO154" s="153" t="str">
        <f>IF(Table13[[#This Row],[Date of Planned Offhire (DoPO) / If Applicable]]="","",MONTH(Table13[[#This Row],[Date of Planned Offhire (DoPO) / If Applicable]]))</f>
        <v/>
      </c>
      <c r="AP154" s="153" t="str">
        <f>IF(Table13[[#This Row],[Date of Planned Offhire (DoPO) / If Applicable]]="","",WEEKNUM(Table13[[#This Row],[Date of Planned Offhire (DoPO) / If Applicable]]))</f>
        <v/>
      </c>
      <c r="AQ154" s="153" t="str">
        <f>TEXT(Table13[[#This Row],[YEAR2]],"0000")&amp;"-"&amp;Table13[[#This Row],[MONTH2]]</f>
        <v>-</v>
      </c>
      <c r="AR154" s="153" t="str">
        <f>IF(Table13[[#This Row],[Actual Date to Offhire (ADtO)]]="","",YEAR(Table13[[#This Row],[Actual Date to Offhire (ADtO)]]))</f>
        <v/>
      </c>
      <c r="AS154" s="153" t="str">
        <f>IF(Table13[[#This Row],[Actual Date to Offhire (ADtO)]]="","",MONTH(Table13[[#This Row],[Actual Date to Offhire (ADtO)]]))</f>
        <v/>
      </c>
      <c r="AT154" s="153" t="str">
        <f>IF(Table13[[#This Row],[Actual Date to Offhire (ADtO)]]="","",WEEKNUM(Table13[[#This Row],[Actual Date to Offhire (ADtO)]]))</f>
        <v/>
      </c>
      <c r="AU154" s="153" t="str">
        <f>TEXT(Table13[[#This Row],[YEAR3]],"0000")&amp;"-"&amp;Table13[[#This Row],[MONTH3]]</f>
        <v>-</v>
      </c>
      <c r="AV154" s="153">
        <f>IF(E154="",0,
  IF('Delivery Report'!A$2*100+'Delivery Report'!A$5 &lt; YEAR(E154)*100+WEEKNUM(E154), 0,
    IF(OR(G154="", 'Delivery Report'!A$2*100+'Delivery Report'!A$5 &lt;= YEAR(G154)*100+WEEKNUM(G154)),
      IF(LOWER(W154)="hourly", U154*X154*56,
      IF(LOWER(W154)="daily", U154*X154*7,
      IF(LOWER(W154)="weekly", U154*X154,
      IF(LOWER(W154)="monthly", U154*X154*12/52,
      IF(LOWER(W154)="yearly", U154*X154/52,
      IF(LOWER(W154)="one-off", U154*X154,
      0)))))),
    0)))</f>
        <v>0</v>
      </c>
    </row>
    <row r="155" spans="1:48" x14ac:dyDescent="0.3">
      <c r="C155" s="22"/>
      <c r="E155" s="1"/>
      <c r="F155" s="1"/>
      <c r="G155" s="1"/>
      <c r="H155" s="164" t="str">
        <f t="shared" si="22"/>
        <v/>
      </c>
      <c r="P155" s="153" t="str">
        <f t="shared" si="23"/>
        <v/>
      </c>
      <c r="Q155" s="155">
        <f>IF(Table13[[#This Row],[HGVs (Collection)]]="",O155,Table13[[#This Row],[HGVs (Delivery)]]+Table13[[#This Row],[HGVs (Collection)]])</f>
        <v>0</v>
      </c>
      <c r="W155" s="153" t="str" cm="1">
        <f t="array" ref="W155">IF(Table13[[#This Row],[QUANTITY]]="","",IFERROR(IF(V155&lt;&gt;"",_xlfn.XLOOKUP(I155&amp;J155,PRICES!C:C&amp;PRICES!B:B,IF(PRICES!F:F&lt;&gt;"",PRICES!F:F,PRICES!E:E),"")),""))</f>
        <v/>
      </c>
      <c r="X155" s="154" t="str" cm="1">
        <f t="array" ref="X155">IF(Table13[[#This Row],[QUANTITY]]="","",IFERROR(IF(U155&lt;&gt;"",_xlfn.XLOOKUP(I155&amp;J155&amp;V155,PRICES!C:C&amp;PRICES!B:B&amp;PRICES!D:D,PRICES!G:G,"")),""))</f>
        <v/>
      </c>
      <c r="Y155" s="154" t="str">
        <f t="shared" ca="1" si="24"/>
        <v/>
      </c>
      <c r="Z155" s="154" t="str">
        <f t="shared" ca="1" si="25"/>
        <v/>
      </c>
      <c r="AA155" s="154" t="str">
        <f t="shared" ca="1" si="26"/>
        <v/>
      </c>
      <c r="AB155" s="154" t="str">
        <f t="shared" ca="1" si="27"/>
        <v/>
      </c>
      <c r="AC155" s="154" t="str">
        <f t="shared" ca="1" si="21"/>
        <v/>
      </c>
      <c r="AD155" s="154" t="str">
        <f>IF(Table13[[#This Row],[QUANTITY]]="","",
  IF(AND(Y155="",Z155="",AA155="",AB155="",AC155=""),
    U155*X155,
  ""))</f>
        <v/>
      </c>
      <c r="AE155" s="154" t="str">
        <f t="shared" ca="1" si="28"/>
        <v/>
      </c>
      <c r="AF155" s="154" t="str">
        <f t="shared" si="29"/>
        <v/>
      </c>
      <c r="AG155" s="154" t="str" cm="1">
        <f t="array" aca="1" ref="AG155" ca="1">IF(Table13[[#This Row],[TOTAL HIRE COST]]="","",IFERROR(IF(U155&lt;&gt;"",_xlfn.XLOOKUP(J155&amp;I155&amp;V155,PRICES!B:B&amp;PRICES!C:C&amp;PRICES!D:D,PRICES!H:H,"")),""))</f>
        <v/>
      </c>
      <c r="AH155" s="154" t="str" cm="1">
        <f t="array" aca="1" ref="AH155" ca="1">IF(Table13[[#This Row],[TOTAL HIRE COST]]="","",IFERROR(IF(U155&lt;&gt;"",_xlfn.XLOOKUP(J155&amp;I155&amp;V155,PRICES!B:B&amp;PRICES!C:C&amp;PRICES!D:D,PRICES!I:I,"")),""))</f>
        <v/>
      </c>
      <c r="AI155" s="154" t="str">
        <f ca="1">IF(Table13[[#This Row],[TOTAL HIRE COST]]="","",Table13[[#This Row],[TOTAL HIRE COST]]+Table13[[#This Row],[DELIVERY COST]]+Table13[[#This Row],[COLLECTION COST]])</f>
        <v/>
      </c>
      <c r="AJ155" s="153" t="str">
        <f>IF(Table13[[#This Row],[Date to Hire (DH)]]="","",YEAR(Table13[[#This Row],[Date to Hire (DH)]]))</f>
        <v/>
      </c>
      <c r="AK155" s="153" t="str">
        <f>IF(Table13[[#This Row],[Date to Hire (DH)]]="","",MONTH(Table13[[#This Row],[Date to Hire (DH)]]))</f>
        <v/>
      </c>
      <c r="AL155" s="153" t="str">
        <f>IF(Table13[[#This Row],[Date to Hire (DH)]]="","",WEEKNUM(Table13[[#This Row],[Date to Hire (DH)]]))</f>
        <v/>
      </c>
      <c r="AM155" s="153" t="str">
        <f>TEXT(Table13[[#This Row],[YEAR]],"0000")&amp;"-"&amp;Table13[[#This Row],[MONTH]]</f>
        <v>-</v>
      </c>
      <c r="AN155" s="153" t="str">
        <f>IF(Table13[[#This Row],[Date of Planned Offhire (DoPO) / If Applicable]]="","",YEAR(Table13[[#This Row],[Date of Planned Offhire (DoPO) / If Applicable]]))</f>
        <v/>
      </c>
      <c r="AO155" s="153" t="str">
        <f>IF(Table13[[#This Row],[Date of Planned Offhire (DoPO) / If Applicable]]="","",MONTH(Table13[[#This Row],[Date of Planned Offhire (DoPO) / If Applicable]]))</f>
        <v/>
      </c>
      <c r="AP155" s="153" t="str">
        <f>IF(Table13[[#This Row],[Date of Planned Offhire (DoPO) / If Applicable]]="","",WEEKNUM(Table13[[#This Row],[Date of Planned Offhire (DoPO) / If Applicable]]))</f>
        <v/>
      </c>
      <c r="AQ155" s="153" t="str">
        <f>TEXT(Table13[[#This Row],[YEAR2]],"0000")&amp;"-"&amp;Table13[[#This Row],[MONTH2]]</f>
        <v>-</v>
      </c>
      <c r="AR155" s="153" t="str">
        <f>IF(Table13[[#This Row],[Actual Date to Offhire (ADtO)]]="","",YEAR(Table13[[#This Row],[Actual Date to Offhire (ADtO)]]))</f>
        <v/>
      </c>
      <c r="AS155" s="153" t="str">
        <f>IF(Table13[[#This Row],[Actual Date to Offhire (ADtO)]]="","",MONTH(Table13[[#This Row],[Actual Date to Offhire (ADtO)]]))</f>
        <v/>
      </c>
      <c r="AT155" s="153" t="str">
        <f>IF(Table13[[#This Row],[Actual Date to Offhire (ADtO)]]="","",WEEKNUM(Table13[[#This Row],[Actual Date to Offhire (ADtO)]]))</f>
        <v/>
      </c>
      <c r="AU155" s="153" t="str">
        <f>TEXT(Table13[[#This Row],[YEAR3]],"0000")&amp;"-"&amp;Table13[[#This Row],[MONTH3]]</f>
        <v>-</v>
      </c>
      <c r="AV155" s="153">
        <f>IF(E155="",0,
  IF('Delivery Report'!A$2*100+'Delivery Report'!A$5 &lt; YEAR(E155)*100+WEEKNUM(E155), 0,
    IF(OR(G155="", 'Delivery Report'!A$2*100+'Delivery Report'!A$5 &lt;= YEAR(G155)*100+WEEKNUM(G155)),
      IF(LOWER(W155)="hourly", U155*X155*56,
      IF(LOWER(W155)="daily", U155*X155*7,
      IF(LOWER(W155)="weekly", U155*X155,
      IF(LOWER(W155)="monthly", U155*X155*12/52,
      IF(LOWER(W155)="yearly", U155*X155/52,
      IF(LOWER(W155)="one-off", U155*X155,
      0)))))),
    0)))</f>
        <v>0</v>
      </c>
    </row>
    <row r="156" spans="1:48" x14ac:dyDescent="0.3">
      <c r="E156" s="1"/>
      <c r="F156" s="1"/>
      <c r="G156" s="1"/>
      <c r="H156" s="164" t="str">
        <f t="shared" si="22"/>
        <v/>
      </c>
      <c r="P156" s="153" t="str">
        <f t="shared" si="23"/>
        <v/>
      </c>
      <c r="Q156" s="155">
        <f>IF(Table13[[#This Row],[HGVs (Collection)]]="",O156,Table13[[#This Row],[HGVs (Delivery)]]+Table13[[#This Row],[HGVs (Collection)]])</f>
        <v>0</v>
      </c>
      <c r="W156" s="153" t="str" cm="1">
        <f t="array" ref="W156">IF(Table13[[#This Row],[QUANTITY]]="","",IFERROR(IF(V156&lt;&gt;"",_xlfn.XLOOKUP(I156&amp;J156,PRICES!C:C&amp;PRICES!B:B,IF(PRICES!F:F&lt;&gt;"",PRICES!F:F,PRICES!E:E),"")),""))</f>
        <v/>
      </c>
      <c r="X156" s="154" t="str" cm="1">
        <f t="array" ref="X156">IF(Table13[[#This Row],[QUANTITY]]="","",IFERROR(IF(U156&lt;&gt;"",_xlfn.XLOOKUP(I156&amp;J156&amp;V156,PRICES!C:C&amp;PRICES!B:B&amp;PRICES!D:D,PRICES!G:G,"")),""))</f>
        <v/>
      </c>
      <c r="Y156" s="154" t="str">
        <f t="shared" ca="1" si="24"/>
        <v/>
      </c>
      <c r="Z156" s="154" t="str">
        <f t="shared" ca="1" si="25"/>
        <v/>
      </c>
      <c r="AA156" s="154" t="str">
        <f t="shared" ca="1" si="26"/>
        <v/>
      </c>
      <c r="AB156" s="154" t="str">
        <f t="shared" ca="1" si="27"/>
        <v/>
      </c>
      <c r="AC156" s="154" t="str">
        <f t="shared" ca="1" si="21"/>
        <v/>
      </c>
      <c r="AD156" s="154" t="str">
        <f>IF(Table13[[#This Row],[QUANTITY]]="","",
  IF(AND(Y156="",Z156="",AA156="",AB156="",AC156=""),
    U156*X156,
  ""))</f>
        <v/>
      </c>
      <c r="AE156" s="154" t="str">
        <f t="shared" ca="1" si="28"/>
        <v/>
      </c>
      <c r="AF156" s="154" t="str">
        <f t="shared" si="29"/>
        <v/>
      </c>
      <c r="AG156" s="154" t="str" cm="1">
        <f t="array" aca="1" ref="AG156" ca="1">IF(Table13[[#This Row],[TOTAL HIRE COST]]="","",IFERROR(IF(U156&lt;&gt;"",_xlfn.XLOOKUP(J156&amp;I156&amp;V156,PRICES!B:B&amp;PRICES!C:C&amp;PRICES!D:D,PRICES!H:H,"")),""))</f>
        <v/>
      </c>
      <c r="AH156" s="154" t="str" cm="1">
        <f t="array" aca="1" ref="AH156" ca="1">IF(Table13[[#This Row],[TOTAL HIRE COST]]="","",IFERROR(IF(U156&lt;&gt;"",_xlfn.XLOOKUP(J156&amp;I156&amp;V156,PRICES!B:B&amp;PRICES!C:C&amp;PRICES!D:D,PRICES!I:I,"")),""))</f>
        <v/>
      </c>
      <c r="AI156" s="154" t="str">
        <f ca="1">IF(Table13[[#This Row],[TOTAL HIRE COST]]="","",Table13[[#This Row],[TOTAL HIRE COST]]+Table13[[#This Row],[DELIVERY COST]]+Table13[[#This Row],[COLLECTION COST]])</f>
        <v/>
      </c>
      <c r="AJ156" s="153" t="str">
        <f>IF(Table13[[#This Row],[Date to Hire (DH)]]="","",YEAR(Table13[[#This Row],[Date to Hire (DH)]]))</f>
        <v/>
      </c>
      <c r="AK156" s="153" t="str">
        <f>IF(Table13[[#This Row],[Date to Hire (DH)]]="","",MONTH(Table13[[#This Row],[Date to Hire (DH)]]))</f>
        <v/>
      </c>
      <c r="AL156" s="153" t="str">
        <f>IF(Table13[[#This Row],[Date to Hire (DH)]]="","",WEEKNUM(Table13[[#This Row],[Date to Hire (DH)]]))</f>
        <v/>
      </c>
      <c r="AM156" s="153" t="str">
        <f>TEXT(Table13[[#This Row],[YEAR]],"0000")&amp;"-"&amp;Table13[[#This Row],[MONTH]]</f>
        <v>-</v>
      </c>
      <c r="AN156" s="153" t="str">
        <f>IF(Table13[[#This Row],[Date of Planned Offhire (DoPO) / If Applicable]]="","",YEAR(Table13[[#This Row],[Date of Planned Offhire (DoPO) / If Applicable]]))</f>
        <v/>
      </c>
      <c r="AO156" s="153" t="str">
        <f>IF(Table13[[#This Row],[Date of Planned Offhire (DoPO) / If Applicable]]="","",MONTH(Table13[[#This Row],[Date of Planned Offhire (DoPO) / If Applicable]]))</f>
        <v/>
      </c>
      <c r="AP156" s="153" t="str">
        <f>IF(Table13[[#This Row],[Date of Planned Offhire (DoPO) / If Applicable]]="","",WEEKNUM(Table13[[#This Row],[Date of Planned Offhire (DoPO) / If Applicable]]))</f>
        <v/>
      </c>
      <c r="AQ156" s="153" t="str">
        <f>TEXT(Table13[[#This Row],[YEAR2]],"0000")&amp;"-"&amp;Table13[[#This Row],[MONTH2]]</f>
        <v>-</v>
      </c>
      <c r="AR156" s="153" t="str">
        <f>IF(Table13[[#This Row],[Actual Date to Offhire (ADtO)]]="","",YEAR(Table13[[#This Row],[Actual Date to Offhire (ADtO)]]))</f>
        <v/>
      </c>
      <c r="AS156" s="153" t="str">
        <f>IF(Table13[[#This Row],[Actual Date to Offhire (ADtO)]]="","",MONTH(Table13[[#This Row],[Actual Date to Offhire (ADtO)]]))</f>
        <v/>
      </c>
      <c r="AT156" s="153" t="str">
        <f>IF(Table13[[#This Row],[Actual Date to Offhire (ADtO)]]="","",WEEKNUM(Table13[[#This Row],[Actual Date to Offhire (ADtO)]]))</f>
        <v/>
      </c>
      <c r="AU156" s="153" t="str">
        <f>TEXT(Table13[[#This Row],[YEAR3]],"0000")&amp;"-"&amp;Table13[[#This Row],[MONTH3]]</f>
        <v>-</v>
      </c>
      <c r="AV156" s="153">
        <f>IF(E156="",0,
  IF('Delivery Report'!A$2*100+'Delivery Report'!A$5 &lt; YEAR(E156)*100+WEEKNUM(E156), 0,
    IF(OR(G156="", 'Delivery Report'!A$2*100+'Delivery Report'!A$5 &lt;= YEAR(G156)*100+WEEKNUM(G156)),
      IF(LOWER(W156)="hourly", U156*X156*56,
      IF(LOWER(W156)="daily", U156*X156*7,
      IF(LOWER(W156)="weekly", U156*X156,
      IF(LOWER(W156)="monthly", U156*X156*12/52,
      IF(LOWER(W156)="yearly", U156*X156/52,
      IF(LOWER(W156)="one-off", U156*X156,
      0)))))),
    0)))</f>
        <v>0</v>
      </c>
    </row>
    <row r="157" spans="1:48" x14ac:dyDescent="0.3">
      <c r="E157" s="1"/>
      <c r="F157" s="1"/>
      <c r="G157" s="1"/>
      <c r="H157" s="164" t="str">
        <f t="shared" si="22"/>
        <v/>
      </c>
      <c r="P157" s="153" t="str">
        <f t="shared" si="23"/>
        <v/>
      </c>
      <c r="Q157" s="155">
        <f>IF(Table13[[#This Row],[HGVs (Collection)]]="",O157,Table13[[#This Row],[HGVs (Delivery)]]+Table13[[#This Row],[HGVs (Collection)]])</f>
        <v>0</v>
      </c>
      <c r="W157" s="153" t="str" cm="1">
        <f t="array" ref="W157">IF(Table13[[#This Row],[QUANTITY]]="","",IFERROR(IF(V157&lt;&gt;"",_xlfn.XLOOKUP(I157&amp;J157,PRICES!C:C&amp;PRICES!B:B,IF(PRICES!F:F&lt;&gt;"",PRICES!F:F,PRICES!E:E),"")),""))</f>
        <v/>
      </c>
      <c r="X157" s="154" t="str" cm="1">
        <f t="array" ref="X157">IF(Table13[[#This Row],[QUANTITY]]="","",IFERROR(IF(U157&lt;&gt;"",_xlfn.XLOOKUP(I157&amp;J157&amp;V157,PRICES!C:C&amp;PRICES!B:B&amp;PRICES!D:D,PRICES!G:G,"")),""))</f>
        <v/>
      </c>
      <c r="Y157" s="154" t="str">
        <f t="shared" ca="1" si="24"/>
        <v/>
      </c>
      <c r="Z157" s="154" t="str">
        <f t="shared" ca="1" si="25"/>
        <v/>
      </c>
      <c r="AA157" s="154" t="str">
        <f t="shared" ca="1" si="26"/>
        <v/>
      </c>
      <c r="AB157" s="154" t="str">
        <f t="shared" ca="1" si="27"/>
        <v/>
      </c>
      <c r="AC157" s="154" t="str">
        <f t="shared" ca="1" si="21"/>
        <v/>
      </c>
      <c r="AD157" s="154" t="str">
        <f>IF(Table13[[#This Row],[QUANTITY]]="","",
  IF(AND(Y157="",Z157="",AA157="",AB157="",AC157=""),
    U157*X157,
  ""))</f>
        <v/>
      </c>
      <c r="AE157" s="154" t="str">
        <f t="shared" ca="1" si="28"/>
        <v/>
      </c>
      <c r="AF157" s="154" t="str">
        <f t="shared" si="29"/>
        <v/>
      </c>
      <c r="AG157" s="154" t="str" cm="1">
        <f t="array" aca="1" ref="AG157" ca="1">IF(Table13[[#This Row],[TOTAL HIRE COST]]="","",IFERROR(IF(U157&lt;&gt;"",_xlfn.XLOOKUP(J157&amp;I157&amp;V157,PRICES!B:B&amp;PRICES!C:C&amp;PRICES!D:D,PRICES!H:H,"")),""))</f>
        <v/>
      </c>
      <c r="AH157" s="154" t="str" cm="1">
        <f t="array" aca="1" ref="AH157" ca="1">IF(Table13[[#This Row],[TOTAL HIRE COST]]="","",IFERROR(IF(U157&lt;&gt;"",_xlfn.XLOOKUP(J157&amp;I157&amp;V157,PRICES!B:B&amp;PRICES!C:C&amp;PRICES!D:D,PRICES!I:I,"")),""))</f>
        <v/>
      </c>
      <c r="AI157" s="154" t="str">
        <f ca="1">IF(Table13[[#This Row],[TOTAL HIRE COST]]="","",Table13[[#This Row],[TOTAL HIRE COST]]+Table13[[#This Row],[DELIVERY COST]]+Table13[[#This Row],[COLLECTION COST]])</f>
        <v/>
      </c>
      <c r="AJ157" s="153" t="str">
        <f>IF(Table13[[#This Row],[Date to Hire (DH)]]="","",YEAR(Table13[[#This Row],[Date to Hire (DH)]]))</f>
        <v/>
      </c>
      <c r="AK157" s="153" t="str">
        <f>IF(Table13[[#This Row],[Date to Hire (DH)]]="","",MONTH(Table13[[#This Row],[Date to Hire (DH)]]))</f>
        <v/>
      </c>
      <c r="AL157" s="153" t="str">
        <f>IF(Table13[[#This Row],[Date to Hire (DH)]]="","",WEEKNUM(Table13[[#This Row],[Date to Hire (DH)]]))</f>
        <v/>
      </c>
      <c r="AM157" s="153" t="str">
        <f>TEXT(Table13[[#This Row],[YEAR]],"0000")&amp;"-"&amp;Table13[[#This Row],[MONTH]]</f>
        <v>-</v>
      </c>
      <c r="AN157" s="153" t="str">
        <f>IF(Table13[[#This Row],[Date of Planned Offhire (DoPO) / If Applicable]]="","",YEAR(Table13[[#This Row],[Date of Planned Offhire (DoPO) / If Applicable]]))</f>
        <v/>
      </c>
      <c r="AO157" s="153" t="str">
        <f>IF(Table13[[#This Row],[Date of Planned Offhire (DoPO) / If Applicable]]="","",MONTH(Table13[[#This Row],[Date of Planned Offhire (DoPO) / If Applicable]]))</f>
        <v/>
      </c>
      <c r="AP157" s="153" t="str">
        <f>IF(Table13[[#This Row],[Date of Planned Offhire (DoPO) / If Applicable]]="","",WEEKNUM(Table13[[#This Row],[Date of Planned Offhire (DoPO) / If Applicable]]))</f>
        <v/>
      </c>
      <c r="AQ157" s="153" t="str">
        <f>TEXT(Table13[[#This Row],[YEAR2]],"0000")&amp;"-"&amp;Table13[[#This Row],[MONTH2]]</f>
        <v>-</v>
      </c>
      <c r="AR157" s="153" t="str">
        <f>IF(Table13[[#This Row],[Actual Date to Offhire (ADtO)]]="","",YEAR(Table13[[#This Row],[Actual Date to Offhire (ADtO)]]))</f>
        <v/>
      </c>
      <c r="AS157" s="153" t="str">
        <f>IF(Table13[[#This Row],[Actual Date to Offhire (ADtO)]]="","",MONTH(Table13[[#This Row],[Actual Date to Offhire (ADtO)]]))</f>
        <v/>
      </c>
      <c r="AT157" s="153" t="str">
        <f>IF(Table13[[#This Row],[Actual Date to Offhire (ADtO)]]="","",WEEKNUM(Table13[[#This Row],[Actual Date to Offhire (ADtO)]]))</f>
        <v/>
      </c>
      <c r="AU157" s="153" t="str">
        <f>TEXT(Table13[[#This Row],[YEAR3]],"0000")&amp;"-"&amp;Table13[[#This Row],[MONTH3]]</f>
        <v>-</v>
      </c>
      <c r="AV157" s="153">
        <f>IF(E157="",0,
  IF('Delivery Report'!A$2*100+'Delivery Report'!A$5 &lt; YEAR(E157)*100+WEEKNUM(E157), 0,
    IF(OR(G157="", 'Delivery Report'!A$2*100+'Delivery Report'!A$5 &lt;= YEAR(G157)*100+WEEKNUM(G157)),
      IF(LOWER(W157)="hourly", U157*X157*56,
      IF(LOWER(W157)="daily", U157*X157*7,
      IF(LOWER(W157)="weekly", U157*X157,
      IF(LOWER(W157)="monthly", U157*X157*12/52,
      IF(LOWER(W157)="yearly", U157*X157/52,
      IF(LOWER(W157)="one-off", U157*X157,
      0)))))),
    0)))</f>
        <v>0</v>
      </c>
    </row>
    <row r="158" spans="1:48" x14ac:dyDescent="0.3">
      <c r="E158" s="1"/>
      <c r="F158" s="1"/>
      <c r="G158" s="1"/>
      <c r="H158" s="164" t="str">
        <f t="shared" si="22"/>
        <v/>
      </c>
      <c r="P158" s="153" t="str">
        <f t="shared" si="23"/>
        <v/>
      </c>
      <c r="Q158" s="155">
        <f>IF(Table13[[#This Row],[HGVs (Collection)]]="",O158,Table13[[#This Row],[HGVs (Delivery)]]+Table13[[#This Row],[HGVs (Collection)]])</f>
        <v>0</v>
      </c>
      <c r="W158" s="153" t="str" cm="1">
        <f t="array" ref="W158">IF(Table13[[#This Row],[QUANTITY]]="","",IFERROR(IF(V158&lt;&gt;"",_xlfn.XLOOKUP(I158&amp;J158,PRICES!C:C&amp;PRICES!B:B,IF(PRICES!F:F&lt;&gt;"",PRICES!F:F,PRICES!E:E),"")),""))</f>
        <v/>
      </c>
      <c r="X158" s="154" t="str" cm="1">
        <f t="array" ref="X158">IF(Table13[[#This Row],[QUANTITY]]="","",IFERROR(IF(U158&lt;&gt;"",_xlfn.XLOOKUP(I158&amp;J158&amp;V158,PRICES!C:C&amp;PRICES!B:B&amp;PRICES!D:D,PRICES!G:G,"")),""))</f>
        <v/>
      </c>
      <c r="Y158" s="154" t="str">
        <f t="shared" ca="1" si="24"/>
        <v/>
      </c>
      <c r="Z158" s="154" t="str">
        <f t="shared" ca="1" si="25"/>
        <v/>
      </c>
      <c r="AA158" s="154" t="str">
        <f t="shared" ca="1" si="26"/>
        <v/>
      </c>
      <c r="AB158" s="154" t="str">
        <f t="shared" ca="1" si="27"/>
        <v/>
      </c>
      <c r="AC158" s="154" t="str">
        <f t="shared" ca="1" si="21"/>
        <v/>
      </c>
      <c r="AD158" s="154" t="str">
        <f>IF(Table13[[#This Row],[QUANTITY]]="","",
  IF(AND(Y158="",Z158="",AA158="",AB158="",AC158=""),
    U158*X158,
  ""))</f>
        <v/>
      </c>
      <c r="AE158" s="154" t="str">
        <f t="shared" ca="1" si="28"/>
        <v/>
      </c>
      <c r="AF158" s="154" t="str">
        <f t="shared" si="29"/>
        <v/>
      </c>
      <c r="AG158" s="154" t="str" cm="1">
        <f t="array" aca="1" ref="AG158" ca="1">IF(Table13[[#This Row],[TOTAL HIRE COST]]="","",IFERROR(IF(U158&lt;&gt;"",_xlfn.XLOOKUP(J158&amp;I158&amp;V158,PRICES!B:B&amp;PRICES!C:C&amp;PRICES!D:D,PRICES!H:H,"")),""))</f>
        <v/>
      </c>
      <c r="AH158" s="154" t="str" cm="1">
        <f t="array" aca="1" ref="AH158" ca="1">IF(Table13[[#This Row],[TOTAL HIRE COST]]="","",IFERROR(IF(U158&lt;&gt;"",_xlfn.XLOOKUP(J158&amp;I158&amp;V158,PRICES!B:B&amp;PRICES!C:C&amp;PRICES!D:D,PRICES!I:I,"")),""))</f>
        <v/>
      </c>
      <c r="AI158" s="154" t="str">
        <f ca="1">IF(Table13[[#This Row],[TOTAL HIRE COST]]="","",Table13[[#This Row],[TOTAL HIRE COST]]+Table13[[#This Row],[DELIVERY COST]]+Table13[[#This Row],[COLLECTION COST]])</f>
        <v/>
      </c>
      <c r="AJ158" s="153" t="str">
        <f>IF(Table13[[#This Row],[Date to Hire (DH)]]="","",YEAR(Table13[[#This Row],[Date to Hire (DH)]]))</f>
        <v/>
      </c>
      <c r="AK158" s="153" t="str">
        <f>IF(Table13[[#This Row],[Date to Hire (DH)]]="","",MONTH(Table13[[#This Row],[Date to Hire (DH)]]))</f>
        <v/>
      </c>
      <c r="AL158" s="153" t="str">
        <f>IF(Table13[[#This Row],[Date to Hire (DH)]]="","",WEEKNUM(Table13[[#This Row],[Date to Hire (DH)]]))</f>
        <v/>
      </c>
      <c r="AM158" s="153" t="str">
        <f>TEXT(Table13[[#This Row],[YEAR]],"0000")&amp;"-"&amp;Table13[[#This Row],[MONTH]]</f>
        <v>-</v>
      </c>
      <c r="AN158" s="153" t="str">
        <f>IF(Table13[[#This Row],[Date of Planned Offhire (DoPO) / If Applicable]]="","",YEAR(Table13[[#This Row],[Date of Planned Offhire (DoPO) / If Applicable]]))</f>
        <v/>
      </c>
      <c r="AO158" s="153" t="str">
        <f>IF(Table13[[#This Row],[Date of Planned Offhire (DoPO) / If Applicable]]="","",MONTH(Table13[[#This Row],[Date of Planned Offhire (DoPO) / If Applicable]]))</f>
        <v/>
      </c>
      <c r="AP158" s="153" t="str">
        <f>IF(Table13[[#This Row],[Date of Planned Offhire (DoPO) / If Applicable]]="","",WEEKNUM(Table13[[#This Row],[Date of Planned Offhire (DoPO) / If Applicable]]))</f>
        <v/>
      </c>
      <c r="AQ158" s="153" t="str">
        <f>TEXT(Table13[[#This Row],[YEAR2]],"0000")&amp;"-"&amp;Table13[[#This Row],[MONTH2]]</f>
        <v>-</v>
      </c>
      <c r="AR158" s="153" t="str">
        <f>IF(Table13[[#This Row],[Actual Date to Offhire (ADtO)]]="","",YEAR(Table13[[#This Row],[Actual Date to Offhire (ADtO)]]))</f>
        <v/>
      </c>
      <c r="AS158" s="153" t="str">
        <f>IF(Table13[[#This Row],[Actual Date to Offhire (ADtO)]]="","",MONTH(Table13[[#This Row],[Actual Date to Offhire (ADtO)]]))</f>
        <v/>
      </c>
      <c r="AT158" s="153" t="str">
        <f>IF(Table13[[#This Row],[Actual Date to Offhire (ADtO)]]="","",WEEKNUM(Table13[[#This Row],[Actual Date to Offhire (ADtO)]]))</f>
        <v/>
      </c>
      <c r="AU158" s="153" t="str">
        <f>TEXT(Table13[[#This Row],[YEAR3]],"0000")&amp;"-"&amp;Table13[[#This Row],[MONTH3]]</f>
        <v>-</v>
      </c>
      <c r="AV158" s="153">
        <f>IF(E158="",0,
  IF('Delivery Report'!A$2*100+'Delivery Report'!A$5 &lt; YEAR(E158)*100+WEEKNUM(E158), 0,
    IF(OR(G158="", 'Delivery Report'!A$2*100+'Delivery Report'!A$5 &lt;= YEAR(G158)*100+WEEKNUM(G158)),
      IF(LOWER(W158)="hourly", U158*X158*56,
      IF(LOWER(W158)="daily", U158*X158*7,
      IF(LOWER(W158)="weekly", U158*X158,
      IF(LOWER(W158)="monthly", U158*X158*12/52,
      IF(LOWER(W158)="yearly", U158*X158/52,
      IF(LOWER(W158)="one-off", U158*X158,
      0)))))),
    0)))</f>
        <v>0</v>
      </c>
    </row>
    <row r="159" spans="1:48" x14ac:dyDescent="0.3">
      <c r="C159" s="22"/>
      <c r="E159" s="1"/>
      <c r="F159" s="1"/>
      <c r="G159" s="1"/>
      <c r="H159" s="164" t="str">
        <f t="shared" si="22"/>
        <v/>
      </c>
      <c r="P159" s="153" t="str">
        <f t="shared" si="23"/>
        <v/>
      </c>
      <c r="Q159" s="155">
        <f>IF(Table13[[#This Row],[HGVs (Collection)]]="",O159,Table13[[#This Row],[HGVs (Delivery)]]+Table13[[#This Row],[HGVs (Collection)]])</f>
        <v>0</v>
      </c>
      <c r="W159" s="153" t="str" cm="1">
        <f t="array" ref="W159">IF(Table13[[#This Row],[QUANTITY]]="","",IFERROR(IF(V159&lt;&gt;"",_xlfn.XLOOKUP(I159&amp;J159,PRICES!C:C&amp;PRICES!B:B,IF(PRICES!F:F&lt;&gt;"",PRICES!F:F,PRICES!E:E),"")),""))</f>
        <v/>
      </c>
      <c r="X159" s="154" t="str" cm="1">
        <f t="array" ref="X159">IF(Table13[[#This Row],[QUANTITY]]="","",IFERROR(IF(U159&lt;&gt;"",_xlfn.XLOOKUP(I159&amp;J159&amp;V159,PRICES!C:C&amp;PRICES!B:B&amp;PRICES!D:D,PRICES!G:G,"")),""))</f>
        <v/>
      </c>
      <c r="Y159" s="154" t="str">
        <f t="shared" ca="1" si="24"/>
        <v/>
      </c>
      <c r="Z159" s="154" t="str">
        <f t="shared" ca="1" si="25"/>
        <v/>
      </c>
      <c r="AA159" s="154" t="str">
        <f t="shared" ca="1" si="26"/>
        <v/>
      </c>
      <c r="AB159" s="154" t="str">
        <f t="shared" ca="1" si="27"/>
        <v/>
      </c>
      <c r="AC159" s="154" t="str">
        <f t="shared" ca="1" si="21"/>
        <v/>
      </c>
      <c r="AD159" s="154" t="str">
        <f>IF(Table13[[#This Row],[QUANTITY]]="","",
  IF(AND(Y159="",Z159="",AA159="",AB159="",AC159=""),
    U159*X159,
  ""))</f>
        <v/>
      </c>
      <c r="AE159" s="154" t="str">
        <f t="shared" ca="1" si="28"/>
        <v/>
      </c>
      <c r="AF159" s="154" t="str">
        <f t="shared" si="29"/>
        <v/>
      </c>
      <c r="AG159" s="154" t="str" cm="1">
        <f t="array" aca="1" ref="AG159" ca="1">IF(Table13[[#This Row],[TOTAL HIRE COST]]="","",IFERROR(IF(U159&lt;&gt;"",_xlfn.XLOOKUP(J159&amp;I159&amp;V159,PRICES!B:B&amp;PRICES!C:C&amp;PRICES!D:D,PRICES!H:H,"")),""))</f>
        <v/>
      </c>
      <c r="AH159" s="154" t="str" cm="1">
        <f t="array" aca="1" ref="AH159" ca="1">IF(Table13[[#This Row],[TOTAL HIRE COST]]="","",IFERROR(IF(U159&lt;&gt;"",_xlfn.XLOOKUP(J159&amp;I159&amp;V159,PRICES!B:B&amp;PRICES!C:C&amp;PRICES!D:D,PRICES!I:I,"")),""))</f>
        <v/>
      </c>
      <c r="AI159" s="154" t="str">
        <f ca="1">IF(Table13[[#This Row],[TOTAL HIRE COST]]="","",Table13[[#This Row],[TOTAL HIRE COST]]+Table13[[#This Row],[DELIVERY COST]]+Table13[[#This Row],[COLLECTION COST]])</f>
        <v/>
      </c>
      <c r="AJ159" s="153" t="str">
        <f>IF(Table13[[#This Row],[Date to Hire (DH)]]="","",YEAR(Table13[[#This Row],[Date to Hire (DH)]]))</f>
        <v/>
      </c>
      <c r="AK159" s="153" t="str">
        <f>IF(Table13[[#This Row],[Date to Hire (DH)]]="","",MONTH(Table13[[#This Row],[Date to Hire (DH)]]))</f>
        <v/>
      </c>
      <c r="AL159" s="153" t="str">
        <f>IF(Table13[[#This Row],[Date to Hire (DH)]]="","",WEEKNUM(Table13[[#This Row],[Date to Hire (DH)]]))</f>
        <v/>
      </c>
      <c r="AM159" s="153" t="str">
        <f>TEXT(Table13[[#This Row],[YEAR]],"0000")&amp;"-"&amp;Table13[[#This Row],[MONTH]]</f>
        <v>-</v>
      </c>
      <c r="AN159" s="153" t="str">
        <f>IF(Table13[[#This Row],[Date of Planned Offhire (DoPO) / If Applicable]]="","",YEAR(Table13[[#This Row],[Date of Planned Offhire (DoPO) / If Applicable]]))</f>
        <v/>
      </c>
      <c r="AO159" s="153" t="str">
        <f>IF(Table13[[#This Row],[Date of Planned Offhire (DoPO) / If Applicable]]="","",MONTH(Table13[[#This Row],[Date of Planned Offhire (DoPO) / If Applicable]]))</f>
        <v/>
      </c>
      <c r="AP159" s="153" t="str">
        <f>IF(Table13[[#This Row],[Date of Planned Offhire (DoPO) / If Applicable]]="","",WEEKNUM(Table13[[#This Row],[Date of Planned Offhire (DoPO) / If Applicable]]))</f>
        <v/>
      </c>
      <c r="AQ159" s="153" t="str">
        <f>TEXT(Table13[[#This Row],[YEAR2]],"0000")&amp;"-"&amp;Table13[[#This Row],[MONTH2]]</f>
        <v>-</v>
      </c>
      <c r="AR159" s="153" t="str">
        <f>IF(Table13[[#This Row],[Actual Date to Offhire (ADtO)]]="","",YEAR(Table13[[#This Row],[Actual Date to Offhire (ADtO)]]))</f>
        <v/>
      </c>
      <c r="AS159" s="153" t="str">
        <f>IF(Table13[[#This Row],[Actual Date to Offhire (ADtO)]]="","",MONTH(Table13[[#This Row],[Actual Date to Offhire (ADtO)]]))</f>
        <v/>
      </c>
      <c r="AT159" s="153" t="str">
        <f>IF(Table13[[#This Row],[Actual Date to Offhire (ADtO)]]="","",WEEKNUM(Table13[[#This Row],[Actual Date to Offhire (ADtO)]]))</f>
        <v/>
      </c>
      <c r="AU159" s="153" t="str">
        <f>TEXT(Table13[[#This Row],[YEAR3]],"0000")&amp;"-"&amp;Table13[[#This Row],[MONTH3]]</f>
        <v>-</v>
      </c>
      <c r="AV159" s="153">
        <f>IF(E159="",0,
  IF('Delivery Report'!A$2*100+'Delivery Report'!A$5 &lt; YEAR(E159)*100+WEEKNUM(E159), 0,
    IF(OR(G159="", 'Delivery Report'!A$2*100+'Delivery Report'!A$5 &lt;= YEAR(G159)*100+WEEKNUM(G159)),
      IF(LOWER(W159)="hourly", U159*X159*56,
      IF(LOWER(W159)="daily", U159*X159*7,
      IF(LOWER(W159)="weekly", U159*X159,
      IF(LOWER(W159)="monthly", U159*X159*12/52,
      IF(LOWER(W159)="yearly", U159*X159/52,
      IF(LOWER(W159)="one-off", U159*X159,
      0)))))),
    0)))</f>
        <v>0</v>
      </c>
    </row>
    <row r="160" spans="1:48" x14ac:dyDescent="0.3">
      <c r="E160" s="1"/>
      <c r="F160" s="1"/>
      <c r="G160" s="1"/>
      <c r="H160" s="164" t="str">
        <f t="shared" si="22"/>
        <v/>
      </c>
      <c r="P160" s="153" t="str">
        <f t="shared" si="23"/>
        <v/>
      </c>
      <c r="Q160" s="155">
        <f>IF(Table13[[#This Row],[HGVs (Collection)]]="",O160,Table13[[#This Row],[HGVs (Delivery)]]+Table13[[#This Row],[HGVs (Collection)]])</f>
        <v>0</v>
      </c>
      <c r="W160" s="153" t="str" cm="1">
        <f t="array" ref="W160">IF(Table13[[#This Row],[QUANTITY]]="","",IFERROR(IF(V160&lt;&gt;"",_xlfn.XLOOKUP(I160&amp;J160,PRICES!C:C&amp;PRICES!B:B,IF(PRICES!F:F&lt;&gt;"",PRICES!F:F,PRICES!E:E),"")),""))</f>
        <v/>
      </c>
      <c r="X160" s="154" t="str" cm="1">
        <f t="array" ref="X160">IF(Table13[[#This Row],[QUANTITY]]="","",IFERROR(IF(U160&lt;&gt;"",_xlfn.XLOOKUP(I160&amp;J160&amp;V160,PRICES!C:C&amp;PRICES!B:B&amp;PRICES!D:D,PRICES!G:G,"")),""))</f>
        <v/>
      </c>
      <c r="Y160" s="154" t="str">
        <f t="shared" ca="1" si="24"/>
        <v/>
      </c>
      <c r="Z160" s="154" t="str">
        <f t="shared" ca="1" si="25"/>
        <v/>
      </c>
      <c r="AA160" s="154" t="str">
        <f t="shared" ca="1" si="26"/>
        <v/>
      </c>
      <c r="AB160" s="154" t="str">
        <f t="shared" ca="1" si="27"/>
        <v/>
      </c>
      <c r="AC160" s="154" t="str">
        <f t="shared" ca="1" si="21"/>
        <v/>
      </c>
      <c r="AD160" s="154" t="str">
        <f>IF(Table13[[#This Row],[QUANTITY]]="","",
  IF(AND(Y160="",Z160="",AA160="",AB160="",AC160=""),
    U160*X160,
  ""))</f>
        <v/>
      </c>
      <c r="AE160" s="154" t="str">
        <f t="shared" ca="1" si="28"/>
        <v/>
      </c>
      <c r="AF160" s="154" t="str">
        <f t="shared" si="29"/>
        <v/>
      </c>
      <c r="AG160" s="154" t="str" cm="1">
        <f t="array" aca="1" ref="AG160" ca="1">IF(Table13[[#This Row],[TOTAL HIRE COST]]="","",IFERROR(IF(U160&lt;&gt;"",_xlfn.XLOOKUP(J160&amp;I160&amp;V160,PRICES!B:B&amp;PRICES!C:C&amp;PRICES!D:D,PRICES!H:H,"")),""))</f>
        <v/>
      </c>
      <c r="AH160" s="154" t="str" cm="1">
        <f t="array" aca="1" ref="AH160" ca="1">IF(Table13[[#This Row],[TOTAL HIRE COST]]="","",IFERROR(IF(U160&lt;&gt;"",_xlfn.XLOOKUP(J160&amp;I160&amp;V160,PRICES!B:B&amp;PRICES!C:C&amp;PRICES!D:D,PRICES!I:I,"")),""))</f>
        <v/>
      </c>
      <c r="AI160" s="154" t="str">
        <f ca="1">IF(Table13[[#This Row],[TOTAL HIRE COST]]="","",Table13[[#This Row],[TOTAL HIRE COST]]+Table13[[#This Row],[DELIVERY COST]]+Table13[[#This Row],[COLLECTION COST]])</f>
        <v/>
      </c>
      <c r="AJ160" s="153" t="str">
        <f>IF(Table13[[#This Row],[Date to Hire (DH)]]="","",YEAR(Table13[[#This Row],[Date to Hire (DH)]]))</f>
        <v/>
      </c>
      <c r="AK160" s="153" t="str">
        <f>IF(Table13[[#This Row],[Date to Hire (DH)]]="","",MONTH(Table13[[#This Row],[Date to Hire (DH)]]))</f>
        <v/>
      </c>
      <c r="AL160" s="153" t="str">
        <f>IF(Table13[[#This Row],[Date to Hire (DH)]]="","",WEEKNUM(Table13[[#This Row],[Date to Hire (DH)]]))</f>
        <v/>
      </c>
      <c r="AM160" s="153" t="str">
        <f>TEXT(Table13[[#This Row],[YEAR]],"0000")&amp;"-"&amp;Table13[[#This Row],[MONTH]]</f>
        <v>-</v>
      </c>
      <c r="AN160" s="153" t="str">
        <f>IF(Table13[[#This Row],[Date of Planned Offhire (DoPO) / If Applicable]]="","",YEAR(Table13[[#This Row],[Date of Planned Offhire (DoPO) / If Applicable]]))</f>
        <v/>
      </c>
      <c r="AO160" s="153" t="str">
        <f>IF(Table13[[#This Row],[Date of Planned Offhire (DoPO) / If Applicable]]="","",MONTH(Table13[[#This Row],[Date of Planned Offhire (DoPO) / If Applicable]]))</f>
        <v/>
      </c>
      <c r="AP160" s="153" t="str">
        <f>IF(Table13[[#This Row],[Date of Planned Offhire (DoPO) / If Applicable]]="","",WEEKNUM(Table13[[#This Row],[Date of Planned Offhire (DoPO) / If Applicable]]))</f>
        <v/>
      </c>
      <c r="AQ160" s="153" t="str">
        <f>TEXT(Table13[[#This Row],[YEAR2]],"0000")&amp;"-"&amp;Table13[[#This Row],[MONTH2]]</f>
        <v>-</v>
      </c>
      <c r="AR160" s="153" t="str">
        <f>IF(Table13[[#This Row],[Actual Date to Offhire (ADtO)]]="","",YEAR(Table13[[#This Row],[Actual Date to Offhire (ADtO)]]))</f>
        <v/>
      </c>
      <c r="AS160" s="153" t="str">
        <f>IF(Table13[[#This Row],[Actual Date to Offhire (ADtO)]]="","",MONTH(Table13[[#This Row],[Actual Date to Offhire (ADtO)]]))</f>
        <v/>
      </c>
      <c r="AT160" s="153" t="str">
        <f>IF(Table13[[#This Row],[Actual Date to Offhire (ADtO)]]="","",WEEKNUM(Table13[[#This Row],[Actual Date to Offhire (ADtO)]]))</f>
        <v/>
      </c>
      <c r="AU160" s="153" t="str">
        <f>TEXT(Table13[[#This Row],[YEAR3]],"0000")&amp;"-"&amp;Table13[[#This Row],[MONTH3]]</f>
        <v>-</v>
      </c>
      <c r="AV160" s="153">
        <f>IF(E160="",0,
  IF('Delivery Report'!A$2*100+'Delivery Report'!A$5 &lt; YEAR(E160)*100+WEEKNUM(E160), 0,
    IF(OR(G160="", 'Delivery Report'!A$2*100+'Delivery Report'!A$5 &lt;= YEAR(G160)*100+WEEKNUM(G160)),
      IF(LOWER(W160)="hourly", U160*X160*56,
      IF(LOWER(W160)="daily", U160*X160*7,
      IF(LOWER(W160)="weekly", U160*X160,
      IF(LOWER(W160)="monthly", U160*X160*12/52,
      IF(LOWER(W160)="yearly", U160*X160/52,
      IF(LOWER(W160)="one-off", U160*X160,
      0)))))),
    0)))</f>
        <v>0</v>
      </c>
    </row>
    <row r="161" spans="3:48" x14ac:dyDescent="0.3">
      <c r="E161" s="1"/>
      <c r="F161" s="1"/>
      <c r="G161" s="1"/>
      <c r="H161" s="164" t="str">
        <f t="shared" si="22"/>
        <v/>
      </c>
      <c r="P161" s="153" t="str">
        <f t="shared" si="23"/>
        <v/>
      </c>
      <c r="Q161" s="155">
        <f>IF(Table13[[#This Row],[HGVs (Collection)]]="",O161,Table13[[#This Row],[HGVs (Delivery)]]+Table13[[#This Row],[HGVs (Collection)]])</f>
        <v>0</v>
      </c>
      <c r="W161" s="153" t="str" cm="1">
        <f t="array" ref="W161">IF(Table13[[#This Row],[QUANTITY]]="","",IFERROR(IF(V161&lt;&gt;"",_xlfn.XLOOKUP(I161&amp;J161,PRICES!C:C&amp;PRICES!B:B,IF(PRICES!F:F&lt;&gt;"",PRICES!F:F,PRICES!E:E),"")),""))</f>
        <v/>
      </c>
      <c r="X161" s="154" t="str" cm="1">
        <f t="array" ref="X161">IF(Table13[[#This Row],[QUANTITY]]="","",IFERROR(IF(U161&lt;&gt;"",_xlfn.XLOOKUP(I161&amp;J161&amp;V161,PRICES!C:C&amp;PRICES!B:B&amp;PRICES!D:D,PRICES!G:G,"")),""))</f>
        <v/>
      </c>
      <c r="Y161" s="154" t="str">
        <f t="shared" ca="1" si="24"/>
        <v/>
      </c>
      <c r="Z161" s="154" t="str">
        <f t="shared" ca="1" si="25"/>
        <v/>
      </c>
      <c r="AA161" s="154" t="str">
        <f t="shared" ca="1" si="26"/>
        <v/>
      </c>
      <c r="AB161" s="154" t="str">
        <f t="shared" ca="1" si="27"/>
        <v/>
      </c>
      <c r="AC161" s="154" t="str">
        <f t="shared" ca="1" si="21"/>
        <v/>
      </c>
      <c r="AD161" s="154" t="str">
        <f>IF(Table13[[#This Row],[QUANTITY]]="","",
  IF(AND(Y161="",Z161="",AA161="",AB161="",AC161=""),
    U161*X161,
  ""))</f>
        <v/>
      </c>
      <c r="AE161" s="154" t="str">
        <f t="shared" ca="1" si="28"/>
        <v/>
      </c>
      <c r="AF161" s="154" t="str">
        <f t="shared" si="29"/>
        <v/>
      </c>
      <c r="AG161" s="154" t="str" cm="1">
        <f t="array" aca="1" ref="AG161" ca="1">IF(Table13[[#This Row],[TOTAL HIRE COST]]="","",IFERROR(IF(U161&lt;&gt;"",_xlfn.XLOOKUP(J161&amp;I161&amp;V161,PRICES!B:B&amp;PRICES!C:C&amp;PRICES!D:D,PRICES!H:H,"")),""))</f>
        <v/>
      </c>
      <c r="AH161" s="154" t="str" cm="1">
        <f t="array" aca="1" ref="AH161" ca="1">IF(Table13[[#This Row],[TOTAL HIRE COST]]="","",IFERROR(IF(U161&lt;&gt;"",_xlfn.XLOOKUP(J161&amp;I161&amp;V161,PRICES!B:B&amp;PRICES!C:C&amp;PRICES!D:D,PRICES!I:I,"")),""))</f>
        <v/>
      </c>
      <c r="AI161" s="154" t="str">
        <f ca="1">IF(Table13[[#This Row],[TOTAL HIRE COST]]="","",Table13[[#This Row],[TOTAL HIRE COST]]+Table13[[#This Row],[DELIVERY COST]]+Table13[[#This Row],[COLLECTION COST]])</f>
        <v/>
      </c>
      <c r="AJ161" s="153" t="str">
        <f>IF(Table13[[#This Row],[Date to Hire (DH)]]="","",YEAR(Table13[[#This Row],[Date to Hire (DH)]]))</f>
        <v/>
      </c>
      <c r="AK161" s="153" t="str">
        <f>IF(Table13[[#This Row],[Date to Hire (DH)]]="","",MONTH(Table13[[#This Row],[Date to Hire (DH)]]))</f>
        <v/>
      </c>
      <c r="AL161" s="153" t="str">
        <f>IF(Table13[[#This Row],[Date to Hire (DH)]]="","",WEEKNUM(Table13[[#This Row],[Date to Hire (DH)]]))</f>
        <v/>
      </c>
      <c r="AM161" s="153" t="str">
        <f>TEXT(Table13[[#This Row],[YEAR]],"0000")&amp;"-"&amp;Table13[[#This Row],[MONTH]]</f>
        <v>-</v>
      </c>
      <c r="AN161" s="153" t="str">
        <f>IF(Table13[[#This Row],[Date of Planned Offhire (DoPO) / If Applicable]]="","",YEAR(Table13[[#This Row],[Date of Planned Offhire (DoPO) / If Applicable]]))</f>
        <v/>
      </c>
      <c r="AO161" s="153" t="str">
        <f>IF(Table13[[#This Row],[Date of Planned Offhire (DoPO) / If Applicable]]="","",MONTH(Table13[[#This Row],[Date of Planned Offhire (DoPO) / If Applicable]]))</f>
        <v/>
      </c>
      <c r="AP161" s="153" t="str">
        <f>IF(Table13[[#This Row],[Date of Planned Offhire (DoPO) / If Applicable]]="","",WEEKNUM(Table13[[#This Row],[Date of Planned Offhire (DoPO) / If Applicable]]))</f>
        <v/>
      </c>
      <c r="AQ161" s="153" t="str">
        <f>TEXT(Table13[[#This Row],[YEAR2]],"0000")&amp;"-"&amp;Table13[[#This Row],[MONTH2]]</f>
        <v>-</v>
      </c>
      <c r="AR161" s="153" t="str">
        <f>IF(Table13[[#This Row],[Actual Date to Offhire (ADtO)]]="","",YEAR(Table13[[#This Row],[Actual Date to Offhire (ADtO)]]))</f>
        <v/>
      </c>
      <c r="AS161" s="153" t="str">
        <f>IF(Table13[[#This Row],[Actual Date to Offhire (ADtO)]]="","",MONTH(Table13[[#This Row],[Actual Date to Offhire (ADtO)]]))</f>
        <v/>
      </c>
      <c r="AT161" s="153" t="str">
        <f>IF(Table13[[#This Row],[Actual Date to Offhire (ADtO)]]="","",WEEKNUM(Table13[[#This Row],[Actual Date to Offhire (ADtO)]]))</f>
        <v/>
      </c>
      <c r="AU161" s="153" t="str">
        <f>TEXT(Table13[[#This Row],[YEAR3]],"0000")&amp;"-"&amp;Table13[[#This Row],[MONTH3]]</f>
        <v>-</v>
      </c>
      <c r="AV161" s="153">
        <f>IF(E161="",0,
  IF('Delivery Report'!A$2*100+'Delivery Report'!A$5 &lt; YEAR(E161)*100+WEEKNUM(E161), 0,
    IF(OR(G161="", 'Delivery Report'!A$2*100+'Delivery Report'!A$5 &lt;= YEAR(G161)*100+WEEKNUM(G161)),
      IF(LOWER(W161)="hourly", U161*X161*56,
      IF(LOWER(W161)="daily", U161*X161*7,
      IF(LOWER(W161)="weekly", U161*X161,
      IF(LOWER(W161)="monthly", U161*X161*12/52,
      IF(LOWER(W161)="yearly", U161*X161/52,
      IF(LOWER(W161)="one-off", U161*X161,
      0)))))),
    0)))</f>
        <v>0</v>
      </c>
    </row>
    <row r="162" spans="3:48" x14ac:dyDescent="0.3">
      <c r="E162" s="1"/>
      <c r="F162" s="1"/>
      <c r="G162" s="1"/>
      <c r="H162" s="164" t="str">
        <f t="shared" si="22"/>
        <v/>
      </c>
      <c r="P162" s="153" t="str">
        <f t="shared" si="23"/>
        <v/>
      </c>
      <c r="Q162" s="155">
        <f>IF(Table13[[#This Row],[HGVs (Collection)]]="",O162,Table13[[#This Row],[HGVs (Delivery)]]+Table13[[#This Row],[HGVs (Collection)]])</f>
        <v>0</v>
      </c>
      <c r="W162" s="153" t="str" cm="1">
        <f t="array" ref="W162">IF(Table13[[#This Row],[QUANTITY]]="","",IFERROR(IF(V162&lt;&gt;"",_xlfn.XLOOKUP(I162&amp;J162,PRICES!C:C&amp;PRICES!B:B,IF(PRICES!F:F&lt;&gt;"",PRICES!F:F,PRICES!E:E),"")),""))</f>
        <v/>
      </c>
      <c r="X162" s="154" t="str" cm="1">
        <f t="array" ref="X162">IF(Table13[[#This Row],[QUANTITY]]="","",IFERROR(IF(U162&lt;&gt;"",_xlfn.XLOOKUP(I162&amp;J162&amp;V162,PRICES!C:C&amp;PRICES!B:B&amp;PRICES!D:D,PRICES!G:G,"")),""))</f>
        <v/>
      </c>
      <c r="Y162" s="154" t="str">
        <f t="shared" ca="1" si="24"/>
        <v/>
      </c>
      <c r="Z162" s="154" t="str">
        <f t="shared" ca="1" si="25"/>
        <v/>
      </c>
      <c r="AA162" s="154" t="str">
        <f t="shared" ca="1" si="26"/>
        <v/>
      </c>
      <c r="AB162" s="154" t="str">
        <f t="shared" ca="1" si="27"/>
        <v/>
      </c>
      <c r="AC162" s="154" t="str">
        <f t="shared" ca="1" si="21"/>
        <v/>
      </c>
      <c r="AD162" s="154" t="str">
        <f>IF(Table13[[#This Row],[QUANTITY]]="","",
  IF(AND(Y162="",Z162="",AA162="",AB162="",AC162=""),
    U162*X162,
  ""))</f>
        <v/>
      </c>
      <c r="AE162" s="154" t="str">
        <f t="shared" ca="1" si="28"/>
        <v/>
      </c>
      <c r="AF162" s="154" t="str">
        <f t="shared" si="29"/>
        <v/>
      </c>
      <c r="AG162" s="154" t="str" cm="1">
        <f t="array" aca="1" ref="AG162" ca="1">IF(Table13[[#This Row],[TOTAL HIRE COST]]="","",IFERROR(IF(U162&lt;&gt;"",_xlfn.XLOOKUP(J162&amp;I162&amp;V162,PRICES!B:B&amp;PRICES!C:C&amp;PRICES!D:D,PRICES!H:H,"")),""))</f>
        <v/>
      </c>
      <c r="AH162" s="154" t="str" cm="1">
        <f t="array" aca="1" ref="AH162" ca="1">IF(Table13[[#This Row],[TOTAL HIRE COST]]="","",IFERROR(IF(U162&lt;&gt;"",_xlfn.XLOOKUP(J162&amp;I162&amp;V162,PRICES!B:B&amp;PRICES!C:C&amp;PRICES!D:D,PRICES!I:I,"")),""))</f>
        <v/>
      </c>
      <c r="AI162" s="154" t="str">
        <f ca="1">IF(Table13[[#This Row],[TOTAL HIRE COST]]="","",Table13[[#This Row],[TOTAL HIRE COST]]+Table13[[#This Row],[DELIVERY COST]]+Table13[[#This Row],[COLLECTION COST]])</f>
        <v/>
      </c>
      <c r="AJ162" s="153" t="str">
        <f>IF(Table13[[#This Row],[Date to Hire (DH)]]="","",YEAR(Table13[[#This Row],[Date to Hire (DH)]]))</f>
        <v/>
      </c>
      <c r="AK162" s="153" t="str">
        <f>IF(Table13[[#This Row],[Date to Hire (DH)]]="","",MONTH(Table13[[#This Row],[Date to Hire (DH)]]))</f>
        <v/>
      </c>
      <c r="AL162" s="153" t="str">
        <f>IF(Table13[[#This Row],[Date to Hire (DH)]]="","",WEEKNUM(Table13[[#This Row],[Date to Hire (DH)]]))</f>
        <v/>
      </c>
      <c r="AM162" s="153" t="str">
        <f>TEXT(Table13[[#This Row],[YEAR]],"0000")&amp;"-"&amp;Table13[[#This Row],[MONTH]]</f>
        <v>-</v>
      </c>
      <c r="AN162" s="153" t="str">
        <f>IF(Table13[[#This Row],[Date of Planned Offhire (DoPO) / If Applicable]]="","",YEAR(Table13[[#This Row],[Date of Planned Offhire (DoPO) / If Applicable]]))</f>
        <v/>
      </c>
      <c r="AO162" s="153" t="str">
        <f>IF(Table13[[#This Row],[Date of Planned Offhire (DoPO) / If Applicable]]="","",MONTH(Table13[[#This Row],[Date of Planned Offhire (DoPO) / If Applicable]]))</f>
        <v/>
      </c>
      <c r="AP162" s="153" t="str">
        <f>IF(Table13[[#This Row],[Date of Planned Offhire (DoPO) / If Applicable]]="","",WEEKNUM(Table13[[#This Row],[Date of Planned Offhire (DoPO) / If Applicable]]))</f>
        <v/>
      </c>
      <c r="AQ162" s="153" t="str">
        <f>TEXT(Table13[[#This Row],[YEAR2]],"0000")&amp;"-"&amp;Table13[[#This Row],[MONTH2]]</f>
        <v>-</v>
      </c>
      <c r="AR162" s="153" t="str">
        <f>IF(Table13[[#This Row],[Actual Date to Offhire (ADtO)]]="","",YEAR(Table13[[#This Row],[Actual Date to Offhire (ADtO)]]))</f>
        <v/>
      </c>
      <c r="AS162" s="153" t="str">
        <f>IF(Table13[[#This Row],[Actual Date to Offhire (ADtO)]]="","",MONTH(Table13[[#This Row],[Actual Date to Offhire (ADtO)]]))</f>
        <v/>
      </c>
      <c r="AT162" s="153" t="str">
        <f>IF(Table13[[#This Row],[Actual Date to Offhire (ADtO)]]="","",WEEKNUM(Table13[[#This Row],[Actual Date to Offhire (ADtO)]]))</f>
        <v/>
      </c>
      <c r="AU162" s="153" t="str">
        <f>TEXT(Table13[[#This Row],[YEAR3]],"0000")&amp;"-"&amp;Table13[[#This Row],[MONTH3]]</f>
        <v>-</v>
      </c>
      <c r="AV162" s="153">
        <f>IF(E162="",0,
  IF('Delivery Report'!A$2*100+'Delivery Report'!A$5 &lt; YEAR(E162)*100+WEEKNUM(E162), 0,
    IF(OR(G162="", 'Delivery Report'!A$2*100+'Delivery Report'!A$5 &lt;= YEAR(G162)*100+WEEKNUM(G162)),
      IF(LOWER(W162)="hourly", U162*X162*56,
      IF(LOWER(W162)="daily", U162*X162*7,
      IF(LOWER(W162)="weekly", U162*X162,
      IF(LOWER(W162)="monthly", U162*X162*12/52,
      IF(LOWER(W162)="yearly", U162*X162/52,
      IF(LOWER(W162)="one-off", U162*X162,
      0)))))),
    0)))</f>
        <v>0</v>
      </c>
    </row>
    <row r="163" spans="3:48" x14ac:dyDescent="0.3">
      <c r="C163" s="22"/>
      <c r="E163" s="1"/>
      <c r="F163" s="1"/>
      <c r="G163" s="1"/>
      <c r="H163" s="164" t="str">
        <f t="shared" si="22"/>
        <v/>
      </c>
      <c r="P163" s="153" t="str">
        <f t="shared" si="23"/>
        <v/>
      </c>
      <c r="Q163" s="155">
        <f>IF(Table13[[#This Row],[HGVs (Collection)]]="",O163,Table13[[#This Row],[HGVs (Delivery)]]+Table13[[#This Row],[HGVs (Collection)]])</f>
        <v>0</v>
      </c>
      <c r="W163" s="153" t="str" cm="1">
        <f t="array" ref="W163">IF(Table13[[#This Row],[QUANTITY]]="","",IFERROR(IF(V163&lt;&gt;"",_xlfn.XLOOKUP(I163&amp;J163,PRICES!C:C&amp;PRICES!B:B,IF(PRICES!F:F&lt;&gt;"",PRICES!F:F,PRICES!E:E),"")),""))</f>
        <v/>
      </c>
      <c r="X163" s="154" t="str" cm="1">
        <f t="array" ref="X163">IF(Table13[[#This Row],[QUANTITY]]="","",IFERROR(IF(U163&lt;&gt;"",_xlfn.XLOOKUP(I163&amp;J163&amp;V163,PRICES!C:C&amp;PRICES!B:B&amp;PRICES!D:D,PRICES!G:G,"")),""))</f>
        <v/>
      </c>
      <c r="Y163" s="154" t="str">
        <f t="shared" ca="1" si="24"/>
        <v/>
      </c>
      <c r="Z163" s="154" t="str">
        <f t="shared" ca="1" si="25"/>
        <v/>
      </c>
      <c r="AA163" s="154" t="str">
        <f t="shared" ca="1" si="26"/>
        <v/>
      </c>
      <c r="AB163" s="154" t="str">
        <f t="shared" ca="1" si="27"/>
        <v/>
      </c>
      <c r="AC163" s="154" t="str">
        <f t="shared" ca="1" si="21"/>
        <v/>
      </c>
      <c r="AD163" s="154" t="str">
        <f>IF(Table13[[#This Row],[QUANTITY]]="","",
  IF(AND(Y163="",Z163="",AA163="",AB163="",AC163=""),
    U163*X163,
  ""))</f>
        <v/>
      </c>
      <c r="AE163" s="154" t="str">
        <f t="shared" ca="1" si="28"/>
        <v/>
      </c>
      <c r="AF163" s="154" t="str">
        <f t="shared" si="29"/>
        <v/>
      </c>
      <c r="AG163" s="154" t="str" cm="1">
        <f t="array" aca="1" ref="AG163" ca="1">IF(Table13[[#This Row],[TOTAL HIRE COST]]="","",IFERROR(IF(U163&lt;&gt;"",_xlfn.XLOOKUP(J163&amp;I163&amp;V163,PRICES!B:B&amp;PRICES!C:C&amp;PRICES!D:D,PRICES!H:H,"")),""))</f>
        <v/>
      </c>
      <c r="AH163" s="154" t="str" cm="1">
        <f t="array" aca="1" ref="AH163" ca="1">IF(Table13[[#This Row],[TOTAL HIRE COST]]="","",IFERROR(IF(U163&lt;&gt;"",_xlfn.XLOOKUP(J163&amp;I163&amp;V163,PRICES!B:B&amp;PRICES!C:C&amp;PRICES!D:D,PRICES!I:I,"")),""))</f>
        <v/>
      </c>
      <c r="AI163" s="154" t="str">
        <f ca="1">IF(Table13[[#This Row],[TOTAL HIRE COST]]="","",Table13[[#This Row],[TOTAL HIRE COST]]+Table13[[#This Row],[DELIVERY COST]]+Table13[[#This Row],[COLLECTION COST]])</f>
        <v/>
      </c>
      <c r="AJ163" s="153" t="str">
        <f>IF(Table13[[#This Row],[Date to Hire (DH)]]="","",YEAR(Table13[[#This Row],[Date to Hire (DH)]]))</f>
        <v/>
      </c>
      <c r="AK163" s="153" t="str">
        <f>IF(Table13[[#This Row],[Date to Hire (DH)]]="","",MONTH(Table13[[#This Row],[Date to Hire (DH)]]))</f>
        <v/>
      </c>
      <c r="AL163" s="153" t="str">
        <f>IF(Table13[[#This Row],[Date to Hire (DH)]]="","",WEEKNUM(Table13[[#This Row],[Date to Hire (DH)]]))</f>
        <v/>
      </c>
      <c r="AM163" s="153" t="str">
        <f>TEXT(Table13[[#This Row],[YEAR]],"0000")&amp;"-"&amp;Table13[[#This Row],[MONTH]]</f>
        <v>-</v>
      </c>
      <c r="AN163" s="153" t="str">
        <f>IF(Table13[[#This Row],[Date of Planned Offhire (DoPO) / If Applicable]]="","",YEAR(Table13[[#This Row],[Date of Planned Offhire (DoPO) / If Applicable]]))</f>
        <v/>
      </c>
      <c r="AO163" s="153" t="str">
        <f>IF(Table13[[#This Row],[Date of Planned Offhire (DoPO) / If Applicable]]="","",MONTH(Table13[[#This Row],[Date of Planned Offhire (DoPO) / If Applicable]]))</f>
        <v/>
      </c>
      <c r="AP163" s="153" t="str">
        <f>IF(Table13[[#This Row],[Date of Planned Offhire (DoPO) / If Applicable]]="","",WEEKNUM(Table13[[#This Row],[Date of Planned Offhire (DoPO) / If Applicable]]))</f>
        <v/>
      </c>
      <c r="AQ163" s="153" t="str">
        <f>TEXT(Table13[[#This Row],[YEAR2]],"0000")&amp;"-"&amp;Table13[[#This Row],[MONTH2]]</f>
        <v>-</v>
      </c>
      <c r="AR163" s="153" t="str">
        <f>IF(Table13[[#This Row],[Actual Date to Offhire (ADtO)]]="","",YEAR(Table13[[#This Row],[Actual Date to Offhire (ADtO)]]))</f>
        <v/>
      </c>
      <c r="AS163" s="153" t="str">
        <f>IF(Table13[[#This Row],[Actual Date to Offhire (ADtO)]]="","",MONTH(Table13[[#This Row],[Actual Date to Offhire (ADtO)]]))</f>
        <v/>
      </c>
      <c r="AT163" s="153" t="str">
        <f>IF(Table13[[#This Row],[Actual Date to Offhire (ADtO)]]="","",WEEKNUM(Table13[[#This Row],[Actual Date to Offhire (ADtO)]]))</f>
        <v/>
      </c>
      <c r="AU163" s="153" t="str">
        <f>TEXT(Table13[[#This Row],[YEAR3]],"0000")&amp;"-"&amp;Table13[[#This Row],[MONTH3]]</f>
        <v>-</v>
      </c>
      <c r="AV163" s="153">
        <f>IF(E163="",0,
  IF('Delivery Report'!A$2*100+'Delivery Report'!A$5 &lt; YEAR(E163)*100+WEEKNUM(E163), 0,
    IF(OR(G163="", 'Delivery Report'!A$2*100+'Delivery Report'!A$5 &lt;= YEAR(G163)*100+WEEKNUM(G163)),
      IF(LOWER(W163)="hourly", U163*X163*56,
      IF(LOWER(W163)="daily", U163*X163*7,
      IF(LOWER(W163)="weekly", U163*X163,
      IF(LOWER(W163)="monthly", U163*X163*12/52,
      IF(LOWER(W163)="yearly", U163*X163/52,
      IF(LOWER(W163)="one-off", U163*X163,
      0)))))),
    0)))</f>
        <v>0</v>
      </c>
    </row>
    <row r="164" spans="3:48" x14ac:dyDescent="0.3">
      <c r="C164" s="22"/>
      <c r="E164" s="1"/>
      <c r="F164" s="1"/>
      <c r="G164" s="1"/>
      <c r="H164" s="164" t="str">
        <f t="shared" si="22"/>
        <v/>
      </c>
      <c r="P164" s="153" t="str">
        <f t="shared" si="23"/>
        <v/>
      </c>
      <c r="Q164" s="155">
        <f>IF(Table13[[#This Row],[HGVs (Collection)]]="",O164,Table13[[#This Row],[HGVs (Delivery)]]+Table13[[#This Row],[HGVs (Collection)]])</f>
        <v>0</v>
      </c>
      <c r="W164" s="153" t="str" cm="1">
        <f t="array" ref="W164">IF(Table13[[#This Row],[QUANTITY]]="","",IFERROR(IF(V164&lt;&gt;"",_xlfn.XLOOKUP(I164&amp;J164,PRICES!C:C&amp;PRICES!B:B,IF(PRICES!F:F&lt;&gt;"",PRICES!F:F,PRICES!E:E),"")),""))</f>
        <v/>
      </c>
      <c r="X164" s="154" t="str" cm="1">
        <f t="array" ref="X164">IF(Table13[[#This Row],[QUANTITY]]="","",IFERROR(IF(U164&lt;&gt;"",_xlfn.XLOOKUP(I164&amp;J164&amp;V164,PRICES!C:C&amp;PRICES!B:B&amp;PRICES!D:D,PRICES!G:G,"")),""))</f>
        <v/>
      </c>
      <c r="Y164" s="154" t="str">
        <f t="shared" ca="1" si="24"/>
        <v/>
      </c>
      <c r="Z164" s="154" t="str">
        <f t="shared" ca="1" si="25"/>
        <v/>
      </c>
      <c r="AA164" s="154" t="str">
        <f t="shared" ca="1" si="26"/>
        <v/>
      </c>
      <c r="AB164" s="154" t="str">
        <f t="shared" ca="1" si="27"/>
        <v/>
      </c>
      <c r="AC164" s="154" t="str">
        <f t="shared" ca="1" si="21"/>
        <v/>
      </c>
      <c r="AD164" s="154" t="str">
        <f>IF(Table13[[#This Row],[QUANTITY]]="","",
  IF(AND(Y164="",Z164="",AA164="",AB164="",AC164=""),
    U164*X164,
  ""))</f>
        <v/>
      </c>
      <c r="AE164" s="154" t="str">
        <f t="shared" ca="1" si="28"/>
        <v/>
      </c>
      <c r="AF164" s="154" t="str">
        <f t="shared" si="29"/>
        <v/>
      </c>
      <c r="AG164" s="154" t="str" cm="1">
        <f t="array" aca="1" ref="AG164" ca="1">IF(Table13[[#This Row],[TOTAL HIRE COST]]="","",IFERROR(IF(U164&lt;&gt;"",_xlfn.XLOOKUP(J164&amp;I164&amp;V164,PRICES!B:B&amp;PRICES!C:C&amp;PRICES!D:D,PRICES!H:H,"")),""))</f>
        <v/>
      </c>
      <c r="AH164" s="154" t="str" cm="1">
        <f t="array" aca="1" ref="AH164" ca="1">IF(Table13[[#This Row],[TOTAL HIRE COST]]="","",IFERROR(IF(U164&lt;&gt;"",_xlfn.XLOOKUP(J164&amp;I164&amp;V164,PRICES!B:B&amp;PRICES!C:C&amp;PRICES!D:D,PRICES!I:I,"")),""))</f>
        <v/>
      </c>
      <c r="AI164" s="154" t="str">
        <f ca="1">IF(Table13[[#This Row],[TOTAL HIRE COST]]="","",Table13[[#This Row],[TOTAL HIRE COST]]+Table13[[#This Row],[DELIVERY COST]]+Table13[[#This Row],[COLLECTION COST]])</f>
        <v/>
      </c>
      <c r="AJ164" s="153" t="str">
        <f>IF(Table13[[#This Row],[Date to Hire (DH)]]="","",YEAR(Table13[[#This Row],[Date to Hire (DH)]]))</f>
        <v/>
      </c>
      <c r="AK164" s="153" t="str">
        <f>IF(Table13[[#This Row],[Date to Hire (DH)]]="","",MONTH(Table13[[#This Row],[Date to Hire (DH)]]))</f>
        <v/>
      </c>
      <c r="AL164" s="153" t="str">
        <f>IF(Table13[[#This Row],[Date to Hire (DH)]]="","",WEEKNUM(Table13[[#This Row],[Date to Hire (DH)]]))</f>
        <v/>
      </c>
      <c r="AM164" s="153" t="str">
        <f>TEXT(Table13[[#This Row],[YEAR]],"0000")&amp;"-"&amp;Table13[[#This Row],[MONTH]]</f>
        <v>-</v>
      </c>
      <c r="AN164" s="153" t="str">
        <f>IF(Table13[[#This Row],[Date of Planned Offhire (DoPO) / If Applicable]]="","",YEAR(Table13[[#This Row],[Date of Planned Offhire (DoPO) / If Applicable]]))</f>
        <v/>
      </c>
      <c r="AO164" s="153" t="str">
        <f>IF(Table13[[#This Row],[Date of Planned Offhire (DoPO) / If Applicable]]="","",MONTH(Table13[[#This Row],[Date of Planned Offhire (DoPO) / If Applicable]]))</f>
        <v/>
      </c>
      <c r="AP164" s="153" t="str">
        <f>IF(Table13[[#This Row],[Date of Planned Offhire (DoPO) / If Applicable]]="","",WEEKNUM(Table13[[#This Row],[Date of Planned Offhire (DoPO) / If Applicable]]))</f>
        <v/>
      </c>
      <c r="AQ164" s="153" t="str">
        <f>TEXT(Table13[[#This Row],[YEAR2]],"0000")&amp;"-"&amp;Table13[[#This Row],[MONTH2]]</f>
        <v>-</v>
      </c>
      <c r="AR164" s="153" t="str">
        <f>IF(Table13[[#This Row],[Actual Date to Offhire (ADtO)]]="","",YEAR(Table13[[#This Row],[Actual Date to Offhire (ADtO)]]))</f>
        <v/>
      </c>
      <c r="AS164" s="153" t="str">
        <f>IF(Table13[[#This Row],[Actual Date to Offhire (ADtO)]]="","",MONTH(Table13[[#This Row],[Actual Date to Offhire (ADtO)]]))</f>
        <v/>
      </c>
      <c r="AT164" s="153" t="str">
        <f>IF(Table13[[#This Row],[Actual Date to Offhire (ADtO)]]="","",WEEKNUM(Table13[[#This Row],[Actual Date to Offhire (ADtO)]]))</f>
        <v/>
      </c>
      <c r="AU164" s="153" t="str">
        <f>TEXT(Table13[[#This Row],[YEAR3]],"0000")&amp;"-"&amp;Table13[[#This Row],[MONTH3]]</f>
        <v>-</v>
      </c>
      <c r="AV164" s="153">
        <f>IF(E164="",0,
  IF('Delivery Report'!A$2*100+'Delivery Report'!A$5 &lt; YEAR(E164)*100+WEEKNUM(E164), 0,
    IF(OR(G164="", 'Delivery Report'!A$2*100+'Delivery Report'!A$5 &lt;= YEAR(G164)*100+WEEKNUM(G164)),
      IF(LOWER(W164)="hourly", U164*X164*56,
      IF(LOWER(W164)="daily", U164*X164*7,
      IF(LOWER(W164)="weekly", U164*X164,
      IF(LOWER(W164)="monthly", U164*X164*12/52,
      IF(LOWER(W164)="yearly", U164*X164/52,
      IF(LOWER(W164)="one-off", U164*X164,
      0)))))),
    0)))</f>
        <v>0</v>
      </c>
    </row>
    <row r="165" spans="3:48" x14ac:dyDescent="0.3">
      <c r="C165" s="22"/>
      <c r="E165" s="1"/>
      <c r="F165" s="1"/>
      <c r="G165" s="1"/>
      <c r="H165" s="164" t="str">
        <f t="shared" si="22"/>
        <v/>
      </c>
      <c r="P165" s="153" t="str">
        <f t="shared" si="23"/>
        <v/>
      </c>
      <c r="Q165" s="155">
        <f>IF(Table13[[#This Row],[HGVs (Collection)]]="",O165,Table13[[#This Row],[HGVs (Delivery)]]+Table13[[#This Row],[HGVs (Collection)]])</f>
        <v>0</v>
      </c>
      <c r="W165" s="153" t="str" cm="1">
        <f t="array" ref="W165">IF(Table13[[#This Row],[QUANTITY]]="","",IFERROR(IF(V165&lt;&gt;"",_xlfn.XLOOKUP(I165&amp;J165,PRICES!C:C&amp;PRICES!B:B,IF(PRICES!F:F&lt;&gt;"",PRICES!F:F,PRICES!E:E),"")),""))</f>
        <v/>
      </c>
      <c r="X165" s="154" t="str" cm="1">
        <f t="array" ref="X165">IF(Table13[[#This Row],[QUANTITY]]="","",IFERROR(IF(U165&lt;&gt;"",_xlfn.XLOOKUP(I165&amp;J165&amp;V165,PRICES!C:C&amp;PRICES!B:B&amp;PRICES!D:D,PRICES!G:G,"")),""))</f>
        <v/>
      </c>
      <c r="Y165" s="154" t="str">
        <f t="shared" ca="1" si="24"/>
        <v/>
      </c>
      <c r="Z165" s="154" t="str">
        <f t="shared" ca="1" si="25"/>
        <v/>
      </c>
      <c r="AA165" s="154" t="str">
        <f t="shared" ca="1" si="26"/>
        <v/>
      </c>
      <c r="AB165" s="154" t="str">
        <f t="shared" ca="1" si="27"/>
        <v/>
      </c>
      <c r="AC165" s="154" t="str">
        <f t="shared" ca="1" si="21"/>
        <v/>
      </c>
      <c r="AD165" s="154" t="str">
        <f>IF(Table13[[#This Row],[QUANTITY]]="","",
  IF(AND(Y165="",Z165="",AA165="",AB165="",AC165=""),
    U165*X165,
  ""))</f>
        <v/>
      </c>
      <c r="AE165" s="154" t="str">
        <f t="shared" ca="1" si="28"/>
        <v/>
      </c>
      <c r="AF165" s="154" t="str">
        <f t="shared" si="29"/>
        <v/>
      </c>
      <c r="AG165" s="154" t="str" cm="1">
        <f t="array" aca="1" ref="AG165" ca="1">IF(Table13[[#This Row],[TOTAL HIRE COST]]="","",IFERROR(IF(U165&lt;&gt;"",_xlfn.XLOOKUP(J165&amp;I165&amp;V165,PRICES!B:B&amp;PRICES!C:C&amp;PRICES!D:D,PRICES!H:H,"")),""))</f>
        <v/>
      </c>
      <c r="AH165" s="154" t="str" cm="1">
        <f t="array" aca="1" ref="AH165" ca="1">IF(Table13[[#This Row],[TOTAL HIRE COST]]="","",IFERROR(IF(U165&lt;&gt;"",_xlfn.XLOOKUP(J165&amp;I165&amp;V165,PRICES!B:B&amp;PRICES!C:C&amp;PRICES!D:D,PRICES!I:I,"")),""))</f>
        <v/>
      </c>
      <c r="AI165" s="154" t="str">
        <f ca="1">IF(Table13[[#This Row],[TOTAL HIRE COST]]="","",Table13[[#This Row],[TOTAL HIRE COST]]+Table13[[#This Row],[DELIVERY COST]]+Table13[[#This Row],[COLLECTION COST]])</f>
        <v/>
      </c>
      <c r="AJ165" s="153" t="str">
        <f>IF(Table13[[#This Row],[Date to Hire (DH)]]="","",YEAR(Table13[[#This Row],[Date to Hire (DH)]]))</f>
        <v/>
      </c>
      <c r="AK165" s="153" t="str">
        <f>IF(Table13[[#This Row],[Date to Hire (DH)]]="","",MONTH(Table13[[#This Row],[Date to Hire (DH)]]))</f>
        <v/>
      </c>
      <c r="AL165" s="153" t="str">
        <f>IF(Table13[[#This Row],[Date to Hire (DH)]]="","",WEEKNUM(Table13[[#This Row],[Date to Hire (DH)]]))</f>
        <v/>
      </c>
      <c r="AM165" s="153" t="str">
        <f>TEXT(Table13[[#This Row],[YEAR]],"0000")&amp;"-"&amp;Table13[[#This Row],[MONTH]]</f>
        <v>-</v>
      </c>
      <c r="AN165" s="153" t="str">
        <f>IF(Table13[[#This Row],[Date of Planned Offhire (DoPO) / If Applicable]]="","",YEAR(Table13[[#This Row],[Date of Planned Offhire (DoPO) / If Applicable]]))</f>
        <v/>
      </c>
      <c r="AO165" s="153" t="str">
        <f>IF(Table13[[#This Row],[Date of Planned Offhire (DoPO) / If Applicable]]="","",MONTH(Table13[[#This Row],[Date of Planned Offhire (DoPO) / If Applicable]]))</f>
        <v/>
      </c>
      <c r="AP165" s="153" t="str">
        <f>IF(Table13[[#This Row],[Date of Planned Offhire (DoPO) / If Applicable]]="","",WEEKNUM(Table13[[#This Row],[Date of Planned Offhire (DoPO) / If Applicable]]))</f>
        <v/>
      </c>
      <c r="AQ165" s="153" t="str">
        <f>TEXT(Table13[[#This Row],[YEAR2]],"0000")&amp;"-"&amp;Table13[[#This Row],[MONTH2]]</f>
        <v>-</v>
      </c>
      <c r="AR165" s="153" t="str">
        <f>IF(Table13[[#This Row],[Actual Date to Offhire (ADtO)]]="","",YEAR(Table13[[#This Row],[Actual Date to Offhire (ADtO)]]))</f>
        <v/>
      </c>
      <c r="AS165" s="153" t="str">
        <f>IF(Table13[[#This Row],[Actual Date to Offhire (ADtO)]]="","",MONTH(Table13[[#This Row],[Actual Date to Offhire (ADtO)]]))</f>
        <v/>
      </c>
      <c r="AT165" s="153" t="str">
        <f>IF(Table13[[#This Row],[Actual Date to Offhire (ADtO)]]="","",WEEKNUM(Table13[[#This Row],[Actual Date to Offhire (ADtO)]]))</f>
        <v/>
      </c>
      <c r="AU165" s="153" t="str">
        <f>TEXT(Table13[[#This Row],[YEAR3]],"0000")&amp;"-"&amp;Table13[[#This Row],[MONTH3]]</f>
        <v>-</v>
      </c>
      <c r="AV165" s="153">
        <f>IF(E165="",0,
  IF('Delivery Report'!A$2*100+'Delivery Report'!A$5 &lt; YEAR(E165)*100+WEEKNUM(E165), 0,
    IF(OR(G165="", 'Delivery Report'!A$2*100+'Delivery Report'!A$5 &lt;= YEAR(G165)*100+WEEKNUM(G165)),
      IF(LOWER(W165)="hourly", U165*X165*56,
      IF(LOWER(W165)="daily", U165*X165*7,
      IF(LOWER(W165)="weekly", U165*X165,
      IF(LOWER(W165)="monthly", U165*X165*12/52,
      IF(LOWER(W165)="yearly", U165*X165/52,
      IF(LOWER(W165)="one-off", U165*X165,
      0)))))),
    0)))</f>
        <v>0</v>
      </c>
    </row>
    <row r="166" spans="3:48" x14ac:dyDescent="0.3">
      <c r="E166" s="1"/>
      <c r="F166" s="1"/>
      <c r="G166" s="1"/>
      <c r="H166" s="164" t="str">
        <f t="shared" si="22"/>
        <v/>
      </c>
      <c r="P166" s="153" t="str">
        <f t="shared" si="23"/>
        <v/>
      </c>
      <c r="Q166" s="155">
        <f>IF(Table13[[#This Row],[HGVs (Collection)]]="",O166,Table13[[#This Row],[HGVs (Delivery)]]+Table13[[#This Row],[HGVs (Collection)]])</f>
        <v>0</v>
      </c>
      <c r="W166" s="153" t="str" cm="1">
        <f t="array" ref="W166">IF(Table13[[#This Row],[QUANTITY]]="","",IFERROR(IF(V166&lt;&gt;"",_xlfn.XLOOKUP(I166&amp;J166,PRICES!C:C&amp;PRICES!B:B,IF(PRICES!F:F&lt;&gt;"",PRICES!F:F,PRICES!E:E),"")),""))</f>
        <v/>
      </c>
      <c r="X166" s="154" t="str" cm="1">
        <f t="array" ref="X166">IF(Table13[[#This Row],[QUANTITY]]="","",IFERROR(IF(U166&lt;&gt;"",_xlfn.XLOOKUP(I166&amp;J166&amp;V166,PRICES!C:C&amp;PRICES!B:B&amp;PRICES!D:D,PRICES!G:G,"")),""))</f>
        <v/>
      </c>
      <c r="Y166" s="154" t="str">
        <f t="shared" ca="1" si="24"/>
        <v/>
      </c>
      <c r="Z166" s="154" t="str">
        <f t="shared" ca="1" si="25"/>
        <v/>
      </c>
      <c r="AA166" s="154" t="str">
        <f t="shared" ca="1" si="26"/>
        <v/>
      </c>
      <c r="AB166" s="154" t="str">
        <f t="shared" ca="1" si="27"/>
        <v/>
      </c>
      <c r="AC166" s="154" t="str">
        <f t="shared" ca="1" si="21"/>
        <v/>
      </c>
      <c r="AD166" s="154" t="str">
        <f>IF(Table13[[#This Row],[QUANTITY]]="","",
  IF(AND(Y166="",Z166="",AA166="",AB166="",AC166=""),
    U166*X166,
  ""))</f>
        <v/>
      </c>
      <c r="AE166" s="154" t="str">
        <f t="shared" ca="1" si="28"/>
        <v/>
      </c>
      <c r="AF166" s="154" t="str">
        <f t="shared" si="29"/>
        <v/>
      </c>
      <c r="AG166" s="154" t="str" cm="1">
        <f t="array" aca="1" ref="AG166" ca="1">IF(Table13[[#This Row],[TOTAL HIRE COST]]="","",IFERROR(IF(U166&lt;&gt;"",_xlfn.XLOOKUP(J166&amp;I166&amp;V166,PRICES!B:B&amp;PRICES!C:C&amp;PRICES!D:D,PRICES!H:H,"")),""))</f>
        <v/>
      </c>
      <c r="AH166" s="154" t="str" cm="1">
        <f t="array" aca="1" ref="AH166" ca="1">IF(Table13[[#This Row],[TOTAL HIRE COST]]="","",IFERROR(IF(U166&lt;&gt;"",_xlfn.XLOOKUP(J166&amp;I166&amp;V166,PRICES!B:B&amp;PRICES!C:C&amp;PRICES!D:D,PRICES!I:I,"")),""))</f>
        <v/>
      </c>
      <c r="AI166" s="154" t="str">
        <f ca="1">IF(Table13[[#This Row],[TOTAL HIRE COST]]="","",Table13[[#This Row],[TOTAL HIRE COST]]+Table13[[#This Row],[DELIVERY COST]]+Table13[[#This Row],[COLLECTION COST]])</f>
        <v/>
      </c>
      <c r="AJ166" s="153" t="str">
        <f>IF(Table13[[#This Row],[Date to Hire (DH)]]="","",YEAR(Table13[[#This Row],[Date to Hire (DH)]]))</f>
        <v/>
      </c>
      <c r="AK166" s="153" t="str">
        <f>IF(Table13[[#This Row],[Date to Hire (DH)]]="","",MONTH(Table13[[#This Row],[Date to Hire (DH)]]))</f>
        <v/>
      </c>
      <c r="AL166" s="153" t="str">
        <f>IF(Table13[[#This Row],[Date to Hire (DH)]]="","",WEEKNUM(Table13[[#This Row],[Date to Hire (DH)]]))</f>
        <v/>
      </c>
      <c r="AM166" s="153" t="str">
        <f>TEXT(Table13[[#This Row],[YEAR]],"0000")&amp;"-"&amp;Table13[[#This Row],[MONTH]]</f>
        <v>-</v>
      </c>
      <c r="AN166" s="153" t="str">
        <f>IF(Table13[[#This Row],[Date of Planned Offhire (DoPO) / If Applicable]]="","",YEAR(Table13[[#This Row],[Date of Planned Offhire (DoPO) / If Applicable]]))</f>
        <v/>
      </c>
      <c r="AO166" s="153" t="str">
        <f>IF(Table13[[#This Row],[Date of Planned Offhire (DoPO) / If Applicable]]="","",MONTH(Table13[[#This Row],[Date of Planned Offhire (DoPO) / If Applicable]]))</f>
        <v/>
      </c>
      <c r="AP166" s="153" t="str">
        <f>IF(Table13[[#This Row],[Date of Planned Offhire (DoPO) / If Applicable]]="","",WEEKNUM(Table13[[#This Row],[Date of Planned Offhire (DoPO) / If Applicable]]))</f>
        <v/>
      </c>
      <c r="AQ166" s="153" t="str">
        <f>TEXT(Table13[[#This Row],[YEAR2]],"0000")&amp;"-"&amp;Table13[[#This Row],[MONTH2]]</f>
        <v>-</v>
      </c>
      <c r="AR166" s="153" t="str">
        <f>IF(Table13[[#This Row],[Actual Date to Offhire (ADtO)]]="","",YEAR(Table13[[#This Row],[Actual Date to Offhire (ADtO)]]))</f>
        <v/>
      </c>
      <c r="AS166" s="153" t="str">
        <f>IF(Table13[[#This Row],[Actual Date to Offhire (ADtO)]]="","",MONTH(Table13[[#This Row],[Actual Date to Offhire (ADtO)]]))</f>
        <v/>
      </c>
      <c r="AT166" s="153" t="str">
        <f>IF(Table13[[#This Row],[Actual Date to Offhire (ADtO)]]="","",WEEKNUM(Table13[[#This Row],[Actual Date to Offhire (ADtO)]]))</f>
        <v/>
      </c>
      <c r="AU166" s="153" t="str">
        <f>TEXT(Table13[[#This Row],[YEAR3]],"0000")&amp;"-"&amp;Table13[[#This Row],[MONTH3]]</f>
        <v>-</v>
      </c>
      <c r="AV166" s="153">
        <f>IF(E166="",0,
  IF('Delivery Report'!A$2*100+'Delivery Report'!A$5 &lt; YEAR(E166)*100+WEEKNUM(E166), 0,
    IF(OR(G166="", 'Delivery Report'!A$2*100+'Delivery Report'!A$5 &lt;= YEAR(G166)*100+WEEKNUM(G166)),
      IF(LOWER(W166)="hourly", U166*X166*56,
      IF(LOWER(W166)="daily", U166*X166*7,
      IF(LOWER(W166)="weekly", U166*X166,
      IF(LOWER(W166)="monthly", U166*X166*12/52,
      IF(LOWER(W166)="yearly", U166*X166/52,
      IF(LOWER(W166)="one-off", U166*X166,
      0)))))),
    0)))</f>
        <v>0</v>
      </c>
    </row>
    <row r="167" spans="3:48" x14ac:dyDescent="0.3">
      <c r="E167" s="1"/>
      <c r="F167" s="1"/>
      <c r="G167" s="1"/>
      <c r="H167" s="164" t="str">
        <f t="shared" si="22"/>
        <v/>
      </c>
      <c r="P167" s="153" t="str">
        <f t="shared" si="23"/>
        <v/>
      </c>
      <c r="Q167" s="155">
        <f>IF(Table13[[#This Row],[HGVs (Collection)]]="",O167,Table13[[#This Row],[HGVs (Delivery)]]+Table13[[#This Row],[HGVs (Collection)]])</f>
        <v>0</v>
      </c>
      <c r="W167" s="153" t="str" cm="1">
        <f t="array" ref="W167">IF(Table13[[#This Row],[QUANTITY]]="","",IFERROR(IF(V167&lt;&gt;"",_xlfn.XLOOKUP(I167&amp;J167,PRICES!C:C&amp;PRICES!B:B,IF(PRICES!F:F&lt;&gt;"",PRICES!F:F,PRICES!E:E),"")),""))</f>
        <v/>
      </c>
      <c r="X167" s="154" t="str" cm="1">
        <f t="array" ref="X167">IF(Table13[[#This Row],[QUANTITY]]="","",IFERROR(IF(U167&lt;&gt;"",_xlfn.XLOOKUP(I167&amp;J167&amp;V167,PRICES!C:C&amp;PRICES!B:B&amp;PRICES!D:D,PRICES!G:G,"")),""))</f>
        <v/>
      </c>
      <c r="Y167" s="154" t="str">
        <f t="shared" ca="1" si="24"/>
        <v/>
      </c>
      <c r="Z167" s="154" t="str">
        <f t="shared" ca="1" si="25"/>
        <v/>
      </c>
      <c r="AA167" s="154" t="str">
        <f t="shared" ca="1" si="26"/>
        <v/>
      </c>
      <c r="AB167" s="154" t="str">
        <f t="shared" ca="1" si="27"/>
        <v/>
      </c>
      <c r="AC167" s="154" t="str">
        <f t="shared" ca="1" si="21"/>
        <v/>
      </c>
      <c r="AD167" s="154" t="str">
        <f>IF(Table13[[#This Row],[QUANTITY]]="","",
  IF(AND(Y167="",Z167="",AA167="",AB167="",AC167=""),
    U167*X167,
  ""))</f>
        <v/>
      </c>
      <c r="AE167" s="154" t="str">
        <f t="shared" ca="1" si="28"/>
        <v/>
      </c>
      <c r="AF167" s="154" t="str">
        <f t="shared" si="29"/>
        <v/>
      </c>
      <c r="AG167" s="154" t="str" cm="1">
        <f t="array" aca="1" ref="AG167" ca="1">IF(Table13[[#This Row],[TOTAL HIRE COST]]="","",IFERROR(IF(U167&lt;&gt;"",_xlfn.XLOOKUP(J167&amp;I167&amp;V167,PRICES!B:B&amp;PRICES!C:C&amp;PRICES!D:D,PRICES!H:H,"")),""))</f>
        <v/>
      </c>
      <c r="AH167" s="154" t="str" cm="1">
        <f t="array" aca="1" ref="AH167" ca="1">IF(Table13[[#This Row],[TOTAL HIRE COST]]="","",IFERROR(IF(U167&lt;&gt;"",_xlfn.XLOOKUP(J167&amp;I167&amp;V167,PRICES!B:B&amp;PRICES!C:C&amp;PRICES!D:D,PRICES!I:I,"")),""))</f>
        <v/>
      </c>
      <c r="AI167" s="154" t="str">
        <f ca="1">IF(Table13[[#This Row],[TOTAL HIRE COST]]="","",Table13[[#This Row],[TOTAL HIRE COST]]+Table13[[#This Row],[DELIVERY COST]]+Table13[[#This Row],[COLLECTION COST]])</f>
        <v/>
      </c>
      <c r="AJ167" s="153" t="str">
        <f>IF(Table13[[#This Row],[Date to Hire (DH)]]="","",YEAR(Table13[[#This Row],[Date to Hire (DH)]]))</f>
        <v/>
      </c>
      <c r="AK167" s="153" t="str">
        <f>IF(Table13[[#This Row],[Date to Hire (DH)]]="","",MONTH(Table13[[#This Row],[Date to Hire (DH)]]))</f>
        <v/>
      </c>
      <c r="AL167" s="153" t="str">
        <f>IF(Table13[[#This Row],[Date to Hire (DH)]]="","",WEEKNUM(Table13[[#This Row],[Date to Hire (DH)]]))</f>
        <v/>
      </c>
      <c r="AM167" s="153" t="str">
        <f>TEXT(Table13[[#This Row],[YEAR]],"0000")&amp;"-"&amp;Table13[[#This Row],[MONTH]]</f>
        <v>-</v>
      </c>
      <c r="AN167" s="153" t="str">
        <f>IF(Table13[[#This Row],[Date of Planned Offhire (DoPO) / If Applicable]]="","",YEAR(Table13[[#This Row],[Date of Planned Offhire (DoPO) / If Applicable]]))</f>
        <v/>
      </c>
      <c r="AO167" s="153" t="str">
        <f>IF(Table13[[#This Row],[Date of Planned Offhire (DoPO) / If Applicable]]="","",MONTH(Table13[[#This Row],[Date of Planned Offhire (DoPO) / If Applicable]]))</f>
        <v/>
      </c>
      <c r="AP167" s="153" t="str">
        <f>IF(Table13[[#This Row],[Date of Planned Offhire (DoPO) / If Applicable]]="","",WEEKNUM(Table13[[#This Row],[Date of Planned Offhire (DoPO) / If Applicable]]))</f>
        <v/>
      </c>
      <c r="AQ167" s="153" t="str">
        <f>TEXT(Table13[[#This Row],[YEAR2]],"0000")&amp;"-"&amp;Table13[[#This Row],[MONTH2]]</f>
        <v>-</v>
      </c>
      <c r="AR167" s="153" t="str">
        <f>IF(Table13[[#This Row],[Actual Date to Offhire (ADtO)]]="","",YEAR(Table13[[#This Row],[Actual Date to Offhire (ADtO)]]))</f>
        <v/>
      </c>
      <c r="AS167" s="153" t="str">
        <f>IF(Table13[[#This Row],[Actual Date to Offhire (ADtO)]]="","",MONTH(Table13[[#This Row],[Actual Date to Offhire (ADtO)]]))</f>
        <v/>
      </c>
      <c r="AT167" s="153" t="str">
        <f>IF(Table13[[#This Row],[Actual Date to Offhire (ADtO)]]="","",WEEKNUM(Table13[[#This Row],[Actual Date to Offhire (ADtO)]]))</f>
        <v/>
      </c>
      <c r="AU167" s="153" t="str">
        <f>TEXT(Table13[[#This Row],[YEAR3]],"0000")&amp;"-"&amp;Table13[[#This Row],[MONTH3]]</f>
        <v>-</v>
      </c>
      <c r="AV167" s="153">
        <f>IF(E167="",0,
  IF('Delivery Report'!A$2*100+'Delivery Report'!A$5 &lt; YEAR(E167)*100+WEEKNUM(E167), 0,
    IF(OR(G167="", 'Delivery Report'!A$2*100+'Delivery Report'!A$5 &lt;= YEAR(G167)*100+WEEKNUM(G167)),
      IF(LOWER(W167)="hourly", U167*X167*56,
      IF(LOWER(W167)="daily", U167*X167*7,
      IF(LOWER(W167)="weekly", U167*X167,
      IF(LOWER(W167)="monthly", U167*X167*12/52,
      IF(LOWER(W167)="yearly", U167*X167/52,
      IF(LOWER(W167)="one-off", U167*X167,
      0)))))),
    0)))</f>
        <v>0</v>
      </c>
    </row>
    <row r="168" spans="3:48" x14ac:dyDescent="0.3">
      <c r="E168" s="1"/>
      <c r="F168" s="1"/>
      <c r="G168" s="1"/>
      <c r="H168" s="164" t="str">
        <f t="shared" si="22"/>
        <v/>
      </c>
      <c r="P168" s="153" t="str">
        <f t="shared" si="23"/>
        <v/>
      </c>
      <c r="Q168" s="155">
        <f>IF(Table13[[#This Row],[HGVs (Collection)]]="",O168,Table13[[#This Row],[HGVs (Delivery)]]+Table13[[#This Row],[HGVs (Collection)]])</f>
        <v>0</v>
      </c>
      <c r="W168" s="153" t="str" cm="1">
        <f t="array" ref="W168">IF(Table13[[#This Row],[QUANTITY]]="","",IFERROR(IF(V168&lt;&gt;"",_xlfn.XLOOKUP(I168&amp;J168,PRICES!C:C&amp;PRICES!B:B,IF(PRICES!F:F&lt;&gt;"",PRICES!F:F,PRICES!E:E),"")),""))</f>
        <v/>
      </c>
      <c r="X168" s="154" t="str" cm="1">
        <f t="array" ref="X168">IF(Table13[[#This Row],[QUANTITY]]="","",IFERROR(IF(U168&lt;&gt;"",_xlfn.XLOOKUP(I168&amp;J168&amp;V168,PRICES!C:C&amp;PRICES!B:B&amp;PRICES!D:D,PRICES!G:G,"")),""))</f>
        <v/>
      </c>
      <c r="Y168" s="154" t="str">
        <f t="shared" ca="1" si="24"/>
        <v/>
      </c>
      <c r="Z168" s="154" t="str">
        <f t="shared" ca="1" si="25"/>
        <v/>
      </c>
      <c r="AA168" s="154" t="str">
        <f t="shared" ca="1" si="26"/>
        <v/>
      </c>
      <c r="AB168" s="154" t="str">
        <f t="shared" ca="1" si="27"/>
        <v/>
      </c>
      <c r="AC168" s="154" t="str">
        <f t="shared" ca="1" si="21"/>
        <v/>
      </c>
      <c r="AD168" s="154" t="str">
        <f>IF(Table13[[#This Row],[QUANTITY]]="","",
  IF(AND(Y168="",Z168="",AA168="",AB168="",AC168=""),
    U168*X168,
  ""))</f>
        <v/>
      </c>
      <c r="AE168" s="154" t="str">
        <f t="shared" ca="1" si="28"/>
        <v/>
      </c>
      <c r="AF168" s="154" t="str">
        <f t="shared" si="29"/>
        <v/>
      </c>
      <c r="AG168" s="154" t="str" cm="1">
        <f t="array" aca="1" ref="AG168" ca="1">IF(Table13[[#This Row],[TOTAL HIRE COST]]="","",IFERROR(IF(U168&lt;&gt;"",_xlfn.XLOOKUP(J168&amp;I168&amp;V168,PRICES!B:B&amp;PRICES!C:C&amp;PRICES!D:D,PRICES!H:H,"")),""))</f>
        <v/>
      </c>
      <c r="AH168" s="154" t="str" cm="1">
        <f t="array" aca="1" ref="AH168" ca="1">IF(Table13[[#This Row],[TOTAL HIRE COST]]="","",IFERROR(IF(U168&lt;&gt;"",_xlfn.XLOOKUP(J168&amp;I168&amp;V168,PRICES!B:B&amp;PRICES!C:C&amp;PRICES!D:D,PRICES!I:I,"")),""))</f>
        <v/>
      </c>
      <c r="AI168" s="154" t="str">
        <f ca="1">IF(Table13[[#This Row],[TOTAL HIRE COST]]="","",Table13[[#This Row],[TOTAL HIRE COST]]+Table13[[#This Row],[DELIVERY COST]]+Table13[[#This Row],[COLLECTION COST]])</f>
        <v/>
      </c>
      <c r="AJ168" s="153" t="str">
        <f>IF(Table13[[#This Row],[Date to Hire (DH)]]="","",YEAR(Table13[[#This Row],[Date to Hire (DH)]]))</f>
        <v/>
      </c>
      <c r="AK168" s="153" t="str">
        <f>IF(Table13[[#This Row],[Date to Hire (DH)]]="","",MONTH(Table13[[#This Row],[Date to Hire (DH)]]))</f>
        <v/>
      </c>
      <c r="AL168" s="153" t="str">
        <f>IF(Table13[[#This Row],[Date to Hire (DH)]]="","",WEEKNUM(Table13[[#This Row],[Date to Hire (DH)]]))</f>
        <v/>
      </c>
      <c r="AM168" s="153" t="str">
        <f>TEXT(Table13[[#This Row],[YEAR]],"0000")&amp;"-"&amp;Table13[[#This Row],[MONTH]]</f>
        <v>-</v>
      </c>
      <c r="AN168" s="153" t="str">
        <f>IF(Table13[[#This Row],[Date of Planned Offhire (DoPO) / If Applicable]]="","",YEAR(Table13[[#This Row],[Date of Planned Offhire (DoPO) / If Applicable]]))</f>
        <v/>
      </c>
      <c r="AO168" s="153" t="str">
        <f>IF(Table13[[#This Row],[Date of Planned Offhire (DoPO) / If Applicable]]="","",MONTH(Table13[[#This Row],[Date of Planned Offhire (DoPO) / If Applicable]]))</f>
        <v/>
      </c>
      <c r="AP168" s="153" t="str">
        <f>IF(Table13[[#This Row],[Date of Planned Offhire (DoPO) / If Applicable]]="","",WEEKNUM(Table13[[#This Row],[Date of Planned Offhire (DoPO) / If Applicable]]))</f>
        <v/>
      </c>
      <c r="AQ168" s="153" t="str">
        <f>TEXT(Table13[[#This Row],[YEAR2]],"0000")&amp;"-"&amp;Table13[[#This Row],[MONTH2]]</f>
        <v>-</v>
      </c>
      <c r="AR168" s="153" t="str">
        <f>IF(Table13[[#This Row],[Actual Date to Offhire (ADtO)]]="","",YEAR(Table13[[#This Row],[Actual Date to Offhire (ADtO)]]))</f>
        <v/>
      </c>
      <c r="AS168" s="153" t="str">
        <f>IF(Table13[[#This Row],[Actual Date to Offhire (ADtO)]]="","",MONTH(Table13[[#This Row],[Actual Date to Offhire (ADtO)]]))</f>
        <v/>
      </c>
      <c r="AT168" s="153" t="str">
        <f>IF(Table13[[#This Row],[Actual Date to Offhire (ADtO)]]="","",WEEKNUM(Table13[[#This Row],[Actual Date to Offhire (ADtO)]]))</f>
        <v/>
      </c>
      <c r="AU168" s="153" t="str">
        <f>TEXT(Table13[[#This Row],[YEAR3]],"0000")&amp;"-"&amp;Table13[[#This Row],[MONTH3]]</f>
        <v>-</v>
      </c>
      <c r="AV168" s="153">
        <f>IF(E168="",0,
  IF('Delivery Report'!A$2*100+'Delivery Report'!A$5 &lt; YEAR(E168)*100+WEEKNUM(E168), 0,
    IF(OR(G168="", 'Delivery Report'!A$2*100+'Delivery Report'!A$5 &lt;= YEAR(G168)*100+WEEKNUM(G168)),
      IF(LOWER(W168)="hourly", U168*X168*56,
      IF(LOWER(W168)="daily", U168*X168*7,
      IF(LOWER(W168)="weekly", U168*X168,
      IF(LOWER(W168)="monthly", U168*X168*12/52,
      IF(LOWER(W168)="yearly", U168*X168/52,
      IF(LOWER(W168)="one-off", U168*X168,
      0)))))),
    0)))</f>
        <v>0</v>
      </c>
    </row>
    <row r="169" spans="3:48" x14ac:dyDescent="0.3">
      <c r="E169" s="1"/>
      <c r="F169" s="1"/>
      <c r="G169" s="1"/>
      <c r="H169" s="164" t="str">
        <f t="shared" si="22"/>
        <v/>
      </c>
      <c r="P169" s="153" t="str">
        <f t="shared" si="23"/>
        <v/>
      </c>
      <c r="Q169" s="155">
        <f>IF(Table13[[#This Row],[HGVs (Collection)]]="",O169,Table13[[#This Row],[HGVs (Delivery)]]+Table13[[#This Row],[HGVs (Collection)]])</f>
        <v>0</v>
      </c>
      <c r="W169" s="153" t="str" cm="1">
        <f t="array" ref="W169">IF(Table13[[#This Row],[QUANTITY]]="","",IFERROR(IF(V169&lt;&gt;"",_xlfn.XLOOKUP(I169&amp;J169,PRICES!C:C&amp;PRICES!B:B,IF(PRICES!F:F&lt;&gt;"",PRICES!F:F,PRICES!E:E),"")),""))</f>
        <v/>
      </c>
      <c r="X169" s="154" t="str" cm="1">
        <f t="array" ref="X169">IF(Table13[[#This Row],[QUANTITY]]="","",IFERROR(IF(U169&lt;&gt;"",_xlfn.XLOOKUP(I169&amp;J169&amp;V169,PRICES!C:C&amp;PRICES!B:B&amp;PRICES!D:D,PRICES!G:G,"")),""))</f>
        <v/>
      </c>
      <c r="Y169" s="154" t="str">
        <f t="shared" ca="1" si="24"/>
        <v/>
      </c>
      <c r="Z169" s="154" t="str">
        <f t="shared" ca="1" si="25"/>
        <v/>
      </c>
      <c r="AA169" s="154" t="str">
        <f t="shared" ca="1" si="26"/>
        <v/>
      </c>
      <c r="AB169" s="154" t="str">
        <f t="shared" ca="1" si="27"/>
        <v/>
      </c>
      <c r="AC169" s="154" t="str">
        <f t="shared" ca="1" si="21"/>
        <v/>
      </c>
      <c r="AD169" s="154" t="str">
        <f>IF(Table13[[#This Row],[QUANTITY]]="","",
  IF(AND(Y169="",Z169="",AA169="",AB169="",AC169=""),
    U169*X169,
  ""))</f>
        <v/>
      </c>
      <c r="AE169" s="154" t="str">
        <f t="shared" ca="1" si="28"/>
        <v/>
      </c>
      <c r="AF169" s="154" t="str">
        <f t="shared" si="29"/>
        <v/>
      </c>
      <c r="AG169" s="154" t="str" cm="1">
        <f t="array" aca="1" ref="AG169" ca="1">IF(Table13[[#This Row],[TOTAL HIRE COST]]="","",IFERROR(IF(U169&lt;&gt;"",_xlfn.XLOOKUP(J169&amp;I169&amp;V169,PRICES!B:B&amp;PRICES!C:C&amp;PRICES!D:D,PRICES!H:H,"")),""))</f>
        <v/>
      </c>
      <c r="AH169" s="154" t="str" cm="1">
        <f t="array" aca="1" ref="AH169" ca="1">IF(Table13[[#This Row],[TOTAL HIRE COST]]="","",IFERROR(IF(U169&lt;&gt;"",_xlfn.XLOOKUP(J169&amp;I169&amp;V169,PRICES!B:B&amp;PRICES!C:C&amp;PRICES!D:D,PRICES!I:I,"")),""))</f>
        <v/>
      </c>
      <c r="AI169" s="154" t="str">
        <f ca="1">IF(Table13[[#This Row],[TOTAL HIRE COST]]="","",Table13[[#This Row],[TOTAL HIRE COST]]+Table13[[#This Row],[DELIVERY COST]]+Table13[[#This Row],[COLLECTION COST]])</f>
        <v/>
      </c>
      <c r="AJ169" s="153" t="str">
        <f>IF(Table13[[#This Row],[Date to Hire (DH)]]="","",YEAR(Table13[[#This Row],[Date to Hire (DH)]]))</f>
        <v/>
      </c>
      <c r="AK169" s="153" t="str">
        <f>IF(Table13[[#This Row],[Date to Hire (DH)]]="","",MONTH(Table13[[#This Row],[Date to Hire (DH)]]))</f>
        <v/>
      </c>
      <c r="AL169" s="153" t="str">
        <f>IF(Table13[[#This Row],[Date to Hire (DH)]]="","",WEEKNUM(Table13[[#This Row],[Date to Hire (DH)]]))</f>
        <v/>
      </c>
      <c r="AM169" s="153" t="str">
        <f>TEXT(Table13[[#This Row],[YEAR]],"0000")&amp;"-"&amp;Table13[[#This Row],[MONTH]]</f>
        <v>-</v>
      </c>
      <c r="AN169" s="153" t="str">
        <f>IF(Table13[[#This Row],[Date of Planned Offhire (DoPO) / If Applicable]]="","",YEAR(Table13[[#This Row],[Date of Planned Offhire (DoPO) / If Applicable]]))</f>
        <v/>
      </c>
      <c r="AO169" s="153" t="str">
        <f>IF(Table13[[#This Row],[Date of Planned Offhire (DoPO) / If Applicable]]="","",MONTH(Table13[[#This Row],[Date of Planned Offhire (DoPO) / If Applicable]]))</f>
        <v/>
      </c>
      <c r="AP169" s="153" t="str">
        <f>IF(Table13[[#This Row],[Date of Planned Offhire (DoPO) / If Applicable]]="","",WEEKNUM(Table13[[#This Row],[Date of Planned Offhire (DoPO) / If Applicable]]))</f>
        <v/>
      </c>
      <c r="AQ169" s="153" t="str">
        <f>TEXT(Table13[[#This Row],[YEAR2]],"0000")&amp;"-"&amp;Table13[[#This Row],[MONTH2]]</f>
        <v>-</v>
      </c>
      <c r="AR169" s="153" t="str">
        <f>IF(Table13[[#This Row],[Actual Date to Offhire (ADtO)]]="","",YEAR(Table13[[#This Row],[Actual Date to Offhire (ADtO)]]))</f>
        <v/>
      </c>
      <c r="AS169" s="153" t="str">
        <f>IF(Table13[[#This Row],[Actual Date to Offhire (ADtO)]]="","",MONTH(Table13[[#This Row],[Actual Date to Offhire (ADtO)]]))</f>
        <v/>
      </c>
      <c r="AT169" s="153" t="str">
        <f>IF(Table13[[#This Row],[Actual Date to Offhire (ADtO)]]="","",WEEKNUM(Table13[[#This Row],[Actual Date to Offhire (ADtO)]]))</f>
        <v/>
      </c>
      <c r="AU169" s="153" t="str">
        <f>TEXT(Table13[[#This Row],[YEAR3]],"0000")&amp;"-"&amp;Table13[[#This Row],[MONTH3]]</f>
        <v>-</v>
      </c>
      <c r="AV169" s="153">
        <f>IF(E169="",0,
  IF('Delivery Report'!A$2*100+'Delivery Report'!A$5 &lt; YEAR(E169)*100+WEEKNUM(E169), 0,
    IF(OR(G169="", 'Delivery Report'!A$2*100+'Delivery Report'!A$5 &lt;= YEAR(G169)*100+WEEKNUM(G169)),
      IF(LOWER(W169)="hourly", U169*X169*56,
      IF(LOWER(W169)="daily", U169*X169*7,
      IF(LOWER(W169)="weekly", U169*X169,
      IF(LOWER(W169)="monthly", U169*X169*12/52,
      IF(LOWER(W169)="yearly", U169*X169/52,
      IF(LOWER(W169)="one-off", U169*X169,
      0)))))),
    0)))</f>
        <v>0</v>
      </c>
    </row>
    <row r="170" spans="3:48" x14ac:dyDescent="0.3">
      <c r="E170" s="1"/>
      <c r="F170" s="1"/>
      <c r="G170" s="1"/>
      <c r="H170" s="164" t="str">
        <f t="shared" si="22"/>
        <v/>
      </c>
      <c r="P170" s="153" t="str">
        <f t="shared" si="23"/>
        <v/>
      </c>
      <c r="Q170" s="155">
        <f>IF(Table13[[#This Row],[HGVs (Collection)]]="",O170,Table13[[#This Row],[HGVs (Delivery)]]+Table13[[#This Row],[HGVs (Collection)]])</f>
        <v>0</v>
      </c>
      <c r="W170" s="153" t="str" cm="1">
        <f t="array" ref="W170">IF(Table13[[#This Row],[QUANTITY]]="","",IFERROR(IF(V170&lt;&gt;"",_xlfn.XLOOKUP(I170&amp;J170,PRICES!C:C&amp;PRICES!B:B,IF(PRICES!F:F&lt;&gt;"",PRICES!F:F,PRICES!E:E),"")),""))</f>
        <v/>
      </c>
      <c r="X170" s="154" t="str" cm="1">
        <f t="array" ref="X170">IF(Table13[[#This Row],[QUANTITY]]="","",IFERROR(IF(U170&lt;&gt;"",_xlfn.XLOOKUP(I170&amp;J170&amp;V170,PRICES!C:C&amp;PRICES!B:B&amp;PRICES!D:D,PRICES!G:G,"")),""))</f>
        <v/>
      </c>
      <c r="Y170" s="154" t="str">
        <f t="shared" ca="1" si="24"/>
        <v/>
      </c>
      <c r="Z170" s="154" t="str">
        <f t="shared" ca="1" si="25"/>
        <v/>
      </c>
      <c r="AA170" s="154" t="str">
        <f t="shared" ca="1" si="26"/>
        <v/>
      </c>
      <c r="AB170" s="154" t="str">
        <f t="shared" ca="1" si="27"/>
        <v/>
      </c>
      <c r="AC170" s="154" t="str">
        <f t="shared" ca="1" si="21"/>
        <v/>
      </c>
      <c r="AD170" s="154" t="str">
        <f>IF(Table13[[#This Row],[QUANTITY]]="","",
  IF(AND(Y170="",Z170="",AA170="",AB170="",AC170=""),
    U170*X170,
  ""))</f>
        <v/>
      </c>
      <c r="AE170" s="154" t="str">
        <f t="shared" ca="1" si="28"/>
        <v/>
      </c>
      <c r="AF170" s="154" t="str">
        <f t="shared" si="29"/>
        <v/>
      </c>
      <c r="AG170" s="154" t="str" cm="1">
        <f t="array" aca="1" ref="AG170" ca="1">IF(Table13[[#This Row],[TOTAL HIRE COST]]="","",IFERROR(IF(U170&lt;&gt;"",_xlfn.XLOOKUP(J170&amp;I170&amp;V170,PRICES!B:B&amp;PRICES!C:C&amp;PRICES!D:D,PRICES!H:H,"")),""))</f>
        <v/>
      </c>
      <c r="AH170" s="154" t="str" cm="1">
        <f t="array" aca="1" ref="AH170" ca="1">IF(Table13[[#This Row],[TOTAL HIRE COST]]="","",IFERROR(IF(U170&lt;&gt;"",_xlfn.XLOOKUP(J170&amp;I170&amp;V170,PRICES!B:B&amp;PRICES!C:C&amp;PRICES!D:D,PRICES!I:I,"")),""))</f>
        <v/>
      </c>
      <c r="AI170" s="154" t="str">
        <f ca="1">IF(Table13[[#This Row],[TOTAL HIRE COST]]="","",Table13[[#This Row],[TOTAL HIRE COST]]+Table13[[#This Row],[DELIVERY COST]]+Table13[[#This Row],[COLLECTION COST]])</f>
        <v/>
      </c>
      <c r="AJ170" s="153" t="str">
        <f>IF(Table13[[#This Row],[Date to Hire (DH)]]="","",YEAR(Table13[[#This Row],[Date to Hire (DH)]]))</f>
        <v/>
      </c>
      <c r="AK170" s="153" t="str">
        <f>IF(Table13[[#This Row],[Date to Hire (DH)]]="","",MONTH(Table13[[#This Row],[Date to Hire (DH)]]))</f>
        <v/>
      </c>
      <c r="AL170" s="153" t="str">
        <f>IF(Table13[[#This Row],[Date to Hire (DH)]]="","",WEEKNUM(Table13[[#This Row],[Date to Hire (DH)]]))</f>
        <v/>
      </c>
      <c r="AM170" s="153" t="str">
        <f>TEXT(Table13[[#This Row],[YEAR]],"0000")&amp;"-"&amp;Table13[[#This Row],[MONTH]]</f>
        <v>-</v>
      </c>
      <c r="AN170" s="153" t="str">
        <f>IF(Table13[[#This Row],[Date of Planned Offhire (DoPO) / If Applicable]]="","",YEAR(Table13[[#This Row],[Date of Planned Offhire (DoPO) / If Applicable]]))</f>
        <v/>
      </c>
      <c r="AO170" s="153" t="str">
        <f>IF(Table13[[#This Row],[Date of Planned Offhire (DoPO) / If Applicable]]="","",MONTH(Table13[[#This Row],[Date of Planned Offhire (DoPO) / If Applicable]]))</f>
        <v/>
      </c>
      <c r="AP170" s="153" t="str">
        <f>IF(Table13[[#This Row],[Date of Planned Offhire (DoPO) / If Applicable]]="","",WEEKNUM(Table13[[#This Row],[Date of Planned Offhire (DoPO) / If Applicable]]))</f>
        <v/>
      </c>
      <c r="AQ170" s="153" t="str">
        <f>TEXT(Table13[[#This Row],[YEAR2]],"0000")&amp;"-"&amp;Table13[[#This Row],[MONTH2]]</f>
        <v>-</v>
      </c>
      <c r="AR170" s="153" t="str">
        <f>IF(Table13[[#This Row],[Actual Date to Offhire (ADtO)]]="","",YEAR(Table13[[#This Row],[Actual Date to Offhire (ADtO)]]))</f>
        <v/>
      </c>
      <c r="AS170" s="153" t="str">
        <f>IF(Table13[[#This Row],[Actual Date to Offhire (ADtO)]]="","",MONTH(Table13[[#This Row],[Actual Date to Offhire (ADtO)]]))</f>
        <v/>
      </c>
      <c r="AT170" s="153" t="str">
        <f>IF(Table13[[#This Row],[Actual Date to Offhire (ADtO)]]="","",WEEKNUM(Table13[[#This Row],[Actual Date to Offhire (ADtO)]]))</f>
        <v/>
      </c>
      <c r="AU170" s="153" t="str">
        <f>TEXT(Table13[[#This Row],[YEAR3]],"0000")&amp;"-"&amp;Table13[[#This Row],[MONTH3]]</f>
        <v>-</v>
      </c>
      <c r="AV170" s="153">
        <f>IF(E170="",0,
  IF('Delivery Report'!A$2*100+'Delivery Report'!A$5 &lt; YEAR(E170)*100+WEEKNUM(E170), 0,
    IF(OR(G170="", 'Delivery Report'!A$2*100+'Delivery Report'!A$5 &lt;= YEAR(G170)*100+WEEKNUM(G170)),
      IF(LOWER(W170)="hourly", U170*X170*56,
      IF(LOWER(W170)="daily", U170*X170*7,
      IF(LOWER(W170)="weekly", U170*X170,
      IF(LOWER(W170)="monthly", U170*X170*12/52,
      IF(LOWER(W170)="yearly", U170*X170/52,
      IF(LOWER(W170)="one-off", U170*X170,
      0)))))),
    0)))</f>
        <v>0</v>
      </c>
    </row>
    <row r="171" spans="3:48" x14ac:dyDescent="0.3">
      <c r="E171" s="1"/>
      <c r="F171" s="1"/>
      <c r="G171" s="1"/>
      <c r="H171" s="164" t="str">
        <f t="shared" si="22"/>
        <v/>
      </c>
      <c r="P171" s="153" t="str">
        <f t="shared" si="23"/>
        <v/>
      </c>
      <c r="Q171" s="155">
        <f>IF(Table13[[#This Row],[HGVs (Collection)]]="",O171,Table13[[#This Row],[HGVs (Delivery)]]+Table13[[#This Row],[HGVs (Collection)]])</f>
        <v>0</v>
      </c>
      <c r="W171" s="153" t="str" cm="1">
        <f t="array" ref="W171">IF(Table13[[#This Row],[QUANTITY]]="","",IFERROR(IF(V171&lt;&gt;"",_xlfn.XLOOKUP(I171&amp;J171,PRICES!C:C&amp;PRICES!B:B,IF(PRICES!F:F&lt;&gt;"",PRICES!F:F,PRICES!E:E),"")),""))</f>
        <v/>
      </c>
      <c r="X171" s="154" t="str" cm="1">
        <f t="array" ref="X171">IF(Table13[[#This Row],[QUANTITY]]="","",IFERROR(IF(U171&lt;&gt;"",_xlfn.XLOOKUP(I171&amp;J171&amp;V171,PRICES!C:C&amp;PRICES!B:B&amp;PRICES!D:D,PRICES!G:G,"")),""))</f>
        <v/>
      </c>
      <c r="Y171" s="154" t="str">
        <f t="shared" ca="1" si="24"/>
        <v/>
      </c>
      <c r="Z171" s="154" t="str">
        <f t="shared" ca="1" si="25"/>
        <v/>
      </c>
      <c r="AA171" s="154" t="str">
        <f t="shared" ca="1" si="26"/>
        <v/>
      </c>
      <c r="AB171" s="154" t="str">
        <f t="shared" ca="1" si="27"/>
        <v/>
      </c>
      <c r="AC171" s="154" t="str">
        <f t="shared" ca="1" si="21"/>
        <v/>
      </c>
      <c r="AD171" s="154" t="str">
        <f>IF(Table13[[#This Row],[QUANTITY]]="","",
  IF(AND(Y171="",Z171="",AA171="",AB171="",AC171=""),
    U171*X171,
  ""))</f>
        <v/>
      </c>
      <c r="AE171" s="154" t="str">
        <f t="shared" ca="1" si="28"/>
        <v/>
      </c>
      <c r="AF171" s="154" t="str">
        <f t="shared" si="29"/>
        <v/>
      </c>
      <c r="AG171" s="154" t="str" cm="1">
        <f t="array" aca="1" ref="AG171" ca="1">IF(Table13[[#This Row],[TOTAL HIRE COST]]="","",IFERROR(IF(U171&lt;&gt;"",_xlfn.XLOOKUP(J171&amp;I171&amp;V171,PRICES!B:B&amp;PRICES!C:C&amp;PRICES!D:D,PRICES!H:H,"")),""))</f>
        <v/>
      </c>
      <c r="AH171" s="154" t="str" cm="1">
        <f t="array" aca="1" ref="AH171" ca="1">IF(Table13[[#This Row],[TOTAL HIRE COST]]="","",IFERROR(IF(U171&lt;&gt;"",_xlfn.XLOOKUP(J171&amp;I171&amp;V171,PRICES!B:B&amp;PRICES!C:C&amp;PRICES!D:D,PRICES!I:I,"")),""))</f>
        <v/>
      </c>
      <c r="AI171" s="154" t="str">
        <f ca="1">IF(Table13[[#This Row],[TOTAL HIRE COST]]="","",Table13[[#This Row],[TOTAL HIRE COST]]+Table13[[#This Row],[DELIVERY COST]]+Table13[[#This Row],[COLLECTION COST]])</f>
        <v/>
      </c>
      <c r="AJ171" s="153" t="str">
        <f>IF(Table13[[#This Row],[Date to Hire (DH)]]="","",YEAR(Table13[[#This Row],[Date to Hire (DH)]]))</f>
        <v/>
      </c>
      <c r="AK171" s="153" t="str">
        <f>IF(Table13[[#This Row],[Date to Hire (DH)]]="","",MONTH(Table13[[#This Row],[Date to Hire (DH)]]))</f>
        <v/>
      </c>
      <c r="AL171" s="153" t="str">
        <f>IF(Table13[[#This Row],[Date to Hire (DH)]]="","",WEEKNUM(Table13[[#This Row],[Date to Hire (DH)]]))</f>
        <v/>
      </c>
      <c r="AM171" s="153" t="str">
        <f>TEXT(Table13[[#This Row],[YEAR]],"0000")&amp;"-"&amp;Table13[[#This Row],[MONTH]]</f>
        <v>-</v>
      </c>
      <c r="AN171" s="153" t="str">
        <f>IF(Table13[[#This Row],[Date of Planned Offhire (DoPO) / If Applicable]]="","",YEAR(Table13[[#This Row],[Date of Planned Offhire (DoPO) / If Applicable]]))</f>
        <v/>
      </c>
      <c r="AO171" s="153" t="str">
        <f>IF(Table13[[#This Row],[Date of Planned Offhire (DoPO) / If Applicable]]="","",MONTH(Table13[[#This Row],[Date of Planned Offhire (DoPO) / If Applicable]]))</f>
        <v/>
      </c>
      <c r="AP171" s="153" t="str">
        <f>IF(Table13[[#This Row],[Date of Planned Offhire (DoPO) / If Applicable]]="","",WEEKNUM(Table13[[#This Row],[Date of Planned Offhire (DoPO) / If Applicable]]))</f>
        <v/>
      </c>
      <c r="AQ171" s="153" t="str">
        <f>TEXT(Table13[[#This Row],[YEAR2]],"0000")&amp;"-"&amp;Table13[[#This Row],[MONTH2]]</f>
        <v>-</v>
      </c>
      <c r="AR171" s="153" t="str">
        <f>IF(Table13[[#This Row],[Actual Date to Offhire (ADtO)]]="","",YEAR(Table13[[#This Row],[Actual Date to Offhire (ADtO)]]))</f>
        <v/>
      </c>
      <c r="AS171" s="153" t="str">
        <f>IF(Table13[[#This Row],[Actual Date to Offhire (ADtO)]]="","",MONTH(Table13[[#This Row],[Actual Date to Offhire (ADtO)]]))</f>
        <v/>
      </c>
      <c r="AT171" s="153" t="str">
        <f>IF(Table13[[#This Row],[Actual Date to Offhire (ADtO)]]="","",WEEKNUM(Table13[[#This Row],[Actual Date to Offhire (ADtO)]]))</f>
        <v/>
      </c>
      <c r="AU171" s="153" t="str">
        <f>TEXT(Table13[[#This Row],[YEAR3]],"0000")&amp;"-"&amp;Table13[[#This Row],[MONTH3]]</f>
        <v>-</v>
      </c>
      <c r="AV171" s="153">
        <f>IF(E171="",0,
  IF('Delivery Report'!A$2*100+'Delivery Report'!A$5 &lt; YEAR(E171)*100+WEEKNUM(E171), 0,
    IF(OR(G171="", 'Delivery Report'!A$2*100+'Delivery Report'!A$5 &lt;= YEAR(G171)*100+WEEKNUM(G171)),
      IF(LOWER(W171)="hourly", U171*X171*56,
      IF(LOWER(W171)="daily", U171*X171*7,
      IF(LOWER(W171)="weekly", U171*X171,
      IF(LOWER(W171)="monthly", U171*X171*12/52,
      IF(LOWER(W171)="yearly", U171*X171/52,
      IF(LOWER(W171)="one-off", U171*X171,
      0)))))),
    0)))</f>
        <v>0</v>
      </c>
    </row>
    <row r="172" spans="3:48" x14ac:dyDescent="0.3">
      <c r="E172" s="1"/>
      <c r="F172" s="1"/>
      <c r="G172" s="1"/>
      <c r="H172" s="164" t="str">
        <f t="shared" si="22"/>
        <v/>
      </c>
      <c r="P172" s="153" t="str">
        <f t="shared" si="23"/>
        <v/>
      </c>
      <c r="Q172" s="155">
        <f>IF(Table13[[#This Row],[HGVs (Collection)]]="",O172,Table13[[#This Row],[HGVs (Delivery)]]+Table13[[#This Row],[HGVs (Collection)]])</f>
        <v>0</v>
      </c>
      <c r="W172" s="153" t="str" cm="1">
        <f t="array" ref="W172">IF(Table13[[#This Row],[QUANTITY]]="","",IFERROR(IF(V172&lt;&gt;"",_xlfn.XLOOKUP(I172&amp;J172,PRICES!C:C&amp;PRICES!B:B,IF(PRICES!F:F&lt;&gt;"",PRICES!F:F,PRICES!E:E),"")),""))</f>
        <v/>
      </c>
      <c r="X172" s="154" t="str" cm="1">
        <f t="array" ref="X172">IF(Table13[[#This Row],[QUANTITY]]="","",IFERROR(IF(U172&lt;&gt;"",_xlfn.XLOOKUP(I172&amp;J172&amp;V172,PRICES!C:C&amp;PRICES!B:B&amp;PRICES!D:D,PRICES!G:G,"")),""))</f>
        <v/>
      </c>
      <c r="Y172" s="154" t="str">
        <f t="shared" ca="1" si="24"/>
        <v/>
      </c>
      <c r="Z172" s="154" t="str">
        <f t="shared" ca="1" si="25"/>
        <v/>
      </c>
      <c r="AA172" s="154" t="str">
        <f t="shared" ca="1" si="26"/>
        <v/>
      </c>
      <c r="AB172" s="154" t="str">
        <f t="shared" ca="1" si="27"/>
        <v/>
      </c>
      <c r="AC172" s="154" t="str">
        <f t="shared" ca="1" si="21"/>
        <v/>
      </c>
      <c r="AD172" s="154" t="str">
        <f>IF(Table13[[#This Row],[QUANTITY]]="","",
  IF(AND(Y172="",Z172="",AA172="",AB172="",AC172=""),
    U172*X172,
  ""))</f>
        <v/>
      </c>
      <c r="AE172" s="154" t="str">
        <f t="shared" ca="1" si="28"/>
        <v/>
      </c>
      <c r="AF172" s="154" t="str">
        <f t="shared" si="29"/>
        <v/>
      </c>
      <c r="AG172" s="154" t="str" cm="1">
        <f t="array" aca="1" ref="AG172" ca="1">IF(Table13[[#This Row],[TOTAL HIRE COST]]="","",IFERROR(IF(U172&lt;&gt;"",_xlfn.XLOOKUP(J172&amp;I172&amp;V172,PRICES!B:B&amp;PRICES!C:C&amp;PRICES!D:D,PRICES!H:H,"")),""))</f>
        <v/>
      </c>
      <c r="AH172" s="154" t="str" cm="1">
        <f t="array" aca="1" ref="AH172" ca="1">IF(Table13[[#This Row],[TOTAL HIRE COST]]="","",IFERROR(IF(U172&lt;&gt;"",_xlfn.XLOOKUP(J172&amp;I172&amp;V172,PRICES!B:B&amp;PRICES!C:C&amp;PRICES!D:D,PRICES!I:I,"")),""))</f>
        <v/>
      </c>
      <c r="AI172" s="154" t="str">
        <f ca="1">IF(Table13[[#This Row],[TOTAL HIRE COST]]="","",Table13[[#This Row],[TOTAL HIRE COST]]+Table13[[#This Row],[DELIVERY COST]]+Table13[[#This Row],[COLLECTION COST]])</f>
        <v/>
      </c>
      <c r="AJ172" s="153" t="str">
        <f>IF(Table13[[#This Row],[Date to Hire (DH)]]="","",YEAR(Table13[[#This Row],[Date to Hire (DH)]]))</f>
        <v/>
      </c>
      <c r="AK172" s="153" t="str">
        <f>IF(Table13[[#This Row],[Date to Hire (DH)]]="","",MONTH(Table13[[#This Row],[Date to Hire (DH)]]))</f>
        <v/>
      </c>
      <c r="AL172" s="153" t="str">
        <f>IF(Table13[[#This Row],[Date to Hire (DH)]]="","",WEEKNUM(Table13[[#This Row],[Date to Hire (DH)]]))</f>
        <v/>
      </c>
      <c r="AM172" s="153" t="str">
        <f>TEXT(Table13[[#This Row],[YEAR]],"0000")&amp;"-"&amp;Table13[[#This Row],[MONTH]]</f>
        <v>-</v>
      </c>
      <c r="AN172" s="153" t="str">
        <f>IF(Table13[[#This Row],[Date of Planned Offhire (DoPO) / If Applicable]]="","",YEAR(Table13[[#This Row],[Date of Planned Offhire (DoPO) / If Applicable]]))</f>
        <v/>
      </c>
      <c r="AO172" s="153" t="str">
        <f>IF(Table13[[#This Row],[Date of Planned Offhire (DoPO) / If Applicable]]="","",MONTH(Table13[[#This Row],[Date of Planned Offhire (DoPO) / If Applicable]]))</f>
        <v/>
      </c>
      <c r="AP172" s="153" t="str">
        <f>IF(Table13[[#This Row],[Date of Planned Offhire (DoPO) / If Applicable]]="","",WEEKNUM(Table13[[#This Row],[Date of Planned Offhire (DoPO) / If Applicable]]))</f>
        <v/>
      </c>
      <c r="AQ172" s="153" t="str">
        <f>TEXT(Table13[[#This Row],[YEAR2]],"0000")&amp;"-"&amp;Table13[[#This Row],[MONTH2]]</f>
        <v>-</v>
      </c>
      <c r="AR172" s="153" t="str">
        <f>IF(Table13[[#This Row],[Actual Date to Offhire (ADtO)]]="","",YEAR(Table13[[#This Row],[Actual Date to Offhire (ADtO)]]))</f>
        <v/>
      </c>
      <c r="AS172" s="153" t="str">
        <f>IF(Table13[[#This Row],[Actual Date to Offhire (ADtO)]]="","",MONTH(Table13[[#This Row],[Actual Date to Offhire (ADtO)]]))</f>
        <v/>
      </c>
      <c r="AT172" s="153" t="str">
        <f>IF(Table13[[#This Row],[Actual Date to Offhire (ADtO)]]="","",WEEKNUM(Table13[[#This Row],[Actual Date to Offhire (ADtO)]]))</f>
        <v/>
      </c>
      <c r="AU172" s="153" t="str">
        <f>TEXT(Table13[[#This Row],[YEAR3]],"0000")&amp;"-"&amp;Table13[[#This Row],[MONTH3]]</f>
        <v>-</v>
      </c>
      <c r="AV172" s="153">
        <f>IF(E172="",0,
  IF('Delivery Report'!A$2*100+'Delivery Report'!A$5 &lt; YEAR(E172)*100+WEEKNUM(E172), 0,
    IF(OR(G172="", 'Delivery Report'!A$2*100+'Delivery Report'!A$5 &lt;= YEAR(G172)*100+WEEKNUM(G172)),
      IF(LOWER(W172)="hourly", U172*X172*56,
      IF(LOWER(W172)="daily", U172*X172*7,
      IF(LOWER(W172)="weekly", U172*X172,
      IF(LOWER(W172)="monthly", U172*X172*12/52,
      IF(LOWER(W172)="yearly", U172*X172/52,
      IF(LOWER(W172)="one-off", U172*X172,
      0)))))),
    0)))</f>
        <v>0</v>
      </c>
    </row>
    <row r="173" spans="3:48" x14ac:dyDescent="0.3">
      <c r="E173" s="1"/>
      <c r="F173" s="1"/>
      <c r="G173" s="1"/>
      <c r="H173" s="164" t="str">
        <f t="shared" si="22"/>
        <v/>
      </c>
      <c r="P173" s="153" t="str">
        <f t="shared" si="23"/>
        <v/>
      </c>
      <c r="Q173" s="155">
        <f>IF(Table13[[#This Row],[HGVs (Collection)]]="",O173,Table13[[#This Row],[HGVs (Delivery)]]+Table13[[#This Row],[HGVs (Collection)]])</f>
        <v>0</v>
      </c>
      <c r="W173" s="153" t="str" cm="1">
        <f t="array" ref="W173">IF(Table13[[#This Row],[QUANTITY]]="","",IFERROR(IF(V173&lt;&gt;"",_xlfn.XLOOKUP(I173&amp;J173,PRICES!C:C&amp;PRICES!B:B,IF(PRICES!F:F&lt;&gt;"",PRICES!F:F,PRICES!E:E),"")),""))</f>
        <v/>
      </c>
      <c r="X173" s="154" t="str" cm="1">
        <f t="array" ref="X173">IF(Table13[[#This Row],[QUANTITY]]="","",IFERROR(IF(U173&lt;&gt;"",_xlfn.XLOOKUP(I173&amp;J173&amp;V173,PRICES!C:C&amp;PRICES!B:B&amp;PRICES!D:D,PRICES!G:G,"")),""))</f>
        <v/>
      </c>
      <c r="Y173" s="154" t="str">
        <f t="shared" ca="1" si="24"/>
        <v/>
      </c>
      <c r="Z173" s="154" t="str">
        <f t="shared" ca="1" si="25"/>
        <v/>
      </c>
      <c r="AA173" s="154" t="str">
        <f t="shared" ca="1" si="26"/>
        <v/>
      </c>
      <c r="AB173" s="154" t="str">
        <f t="shared" ca="1" si="27"/>
        <v/>
      </c>
      <c r="AC173" s="154" t="str">
        <f t="shared" ca="1" si="21"/>
        <v/>
      </c>
      <c r="AD173" s="154" t="str">
        <f>IF(Table13[[#This Row],[QUANTITY]]="","",
  IF(AND(Y173="",Z173="",AA173="",AB173="",AC173=""),
    U173*X173,
  ""))</f>
        <v/>
      </c>
      <c r="AE173" s="154" t="str">
        <f t="shared" ca="1" si="28"/>
        <v/>
      </c>
      <c r="AF173" s="154" t="str">
        <f t="shared" si="29"/>
        <v/>
      </c>
      <c r="AG173" s="154" t="str" cm="1">
        <f t="array" aca="1" ref="AG173" ca="1">IF(Table13[[#This Row],[TOTAL HIRE COST]]="","",IFERROR(IF(U173&lt;&gt;"",_xlfn.XLOOKUP(J173&amp;I173&amp;V173,PRICES!B:B&amp;PRICES!C:C&amp;PRICES!D:D,PRICES!H:H,"")),""))</f>
        <v/>
      </c>
      <c r="AH173" s="154" t="str" cm="1">
        <f t="array" aca="1" ref="AH173" ca="1">IF(Table13[[#This Row],[TOTAL HIRE COST]]="","",IFERROR(IF(U173&lt;&gt;"",_xlfn.XLOOKUP(J173&amp;I173&amp;V173,PRICES!B:B&amp;PRICES!C:C&amp;PRICES!D:D,PRICES!I:I,"")),""))</f>
        <v/>
      </c>
      <c r="AI173" s="154" t="str">
        <f ca="1">IF(Table13[[#This Row],[TOTAL HIRE COST]]="","",Table13[[#This Row],[TOTAL HIRE COST]]+Table13[[#This Row],[DELIVERY COST]]+Table13[[#This Row],[COLLECTION COST]])</f>
        <v/>
      </c>
      <c r="AJ173" s="153" t="str">
        <f>IF(Table13[[#This Row],[Date to Hire (DH)]]="","",YEAR(Table13[[#This Row],[Date to Hire (DH)]]))</f>
        <v/>
      </c>
      <c r="AK173" s="153" t="str">
        <f>IF(Table13[[#This Row],[Date to Hire (DH)]]="","",MONTH(Table13[[#This Row],[Date to Hire (DH)]]))</f>
        <v/>
      </c>
      <c r="AL173" s="153" t="str">
        <f>IF(Table13[[#This Row],[Date to Hire (DH)]]="","",WEEKNUM(Table13[[#This Row],[Date to Hire (DH)]]))</f>
        <v/>
      </c>
      <c r="AM173" s="153" t="str">
        <f>TEXT(Table13[[#This Row],[YEAR]],"0000")&amp;"-"&amp;Table13[[#This Row],[MONTH]]</f>
        <v>-</v>
      </c>
      <c r="AN173" s="153" t="str">
        <f>IF(Table13[[#This Row],[Date of Planned Offhire (DoPO) / If Applicable]]="","",YEAR(Table13[[#This Row],[Date of Planned Offhire (DoPO) / If Applicable]]))</f>
        <v/>
      </c>
      <c r="AO173" s="153" t="str">
        <f>IF(Table13[[#This Row],[Date of Planned Offhire (DoPO) / If Applicable]]="","",MONTH(Table13[[#This Row],[Date of Planned Offhire (DoPO) / If Applicable]]))</f>
        <v/>
      </c>
      <c r="AP173" s="153" t="str">
        <f>IF(Table13[[#This Row],[Date of Planned Offhire (DoPO) / If Applicable]]="","",WEEKNUM(Table13[[#This Row],[Date of Planned Offhire (DoPO) / If Applicable]]))</f>
        <v/>
      </c>
      <c r="AQ173" s="153" t="str">
        <f>TEXT(Table13[[#This Row],[YEAR2]],"0000")&amp;"-"&amp;Table13[[#This Row],[MONTH2]]</f>
        <v>-</v>
      </c>
      <c r="AR173" s="153" t="str">
        <f>IF(Table13[[#This Row],[Actual Date to Offhire (ADtO)]]="","",YEAR(Table13[[#This Row],[Actual Date to Offhire (ADtO)]]))</f>
        <v/>
      </c>
      <c r="AS173" s="153" t="str">
        <f>IF(Table13[[#This Row],[Actual Date to Offhire (ADtO)]]="","",MONTH(Table13[[#This Row],[Actual Date to Offhire (ADtO)]]))</f>
        <v/>
      </c>
      <c r="AT173" s="153" t="str">
        <f>IF(Table13[[#This Row],[Actual Date to Offhire (ADtO)]]="","",WEEKNUM(Table13[[#This Row],[Actual Date to Offhire (ADtO)]]))</f>
        <v/>
      </c>
      <c r="AU173" s="153" t="str">
        <f>TEXT(Table13[[#This Row],[YEAR3]],"0000")&amp;"-"&amp;Table13[[#This Row],[MONTH3]]</f>
        <v>-</v>
      </c>
      <c r="AV173" s="153">
        <f>IF(E173="",0,
  IF('Delivery Report'!A$2*100+'Delivery Report'!A$5 &lt; YEAR(E173)*100+WEEKNUM(E173), 0,
    IF(OR(G173="", 'Delivery Report'!A$2*100+'Delivery Report'!A$5 &lt;= YEAR(G173)*100+WEEKNUM(G173)),
      IF(LOWER(W173)="hourly", U173*X173*56,
      IF(LOWER(W173)="daily", U173*X173*7,
      IF(LOWER(W173)="weekly", U173*X173,
      IF(LOWER(W173)="monthly", U173*X173*12/52,
      IF(LOWER(W173)="yearly", U173*X173/52,
      IF(LOWER(W173)="one-off", U173*X173,
      0)))))),
    0)))</f>
        <v>0</v>
      </c>
    </row>
    <row r="174" spans="3:48" x14ac:dyDescent="0.3">
      <c r="E174" s="1"/>
      <c r="F174" s="1"/>
      <c r="G174" s="1"/>
      <c r="H174" s="164" t="str">
        <f t="shared" si="22"/>
        <v/>
      </c>
      <c r="P174" s="153" t="str">
        <f t="shared" si="23"/>
        <v/>
      </c>
      <c r="Q174" s="155">
        <f>IF(Table13[[#This Row],[HGVs (Collection)]]="",O174,Table13[[#This Row],[HGVs (Delivery)]]+Table13[[#This Row],[HGVs (Collection)]])</f>
        <v>0</v>
      </c>
      <c r="W174" s="153" t="str" cm="1">
        <f t="array" ref="W174">IF(Table13[[#This Row],[QUANTITY]]="","",IFERROR(IF(V174&lt;&gt;"",_xlfn.XLOOKUP(I174&amp;J174,PRICES!C:C&amp;PRICES!B:B,IF(PRICES!F:F&lt;&gt;"",PRICES!F:F,PRICES!E:E),"")),""))</f>
        <v/>
      </c>
      <c r="X174" s="154" t="str" cm="1">
        <f t="array" ref="X174">IF(Table13[[#This Row],[QUANTITY]]="","",IFERROR(IF(U174&lt;&gt;"",_xlfn.XLOOKUP(I174&amp;J174&amp;V174,PRICES!C:C&amp;PRICES!B:B&amp;PRICES!D:D,PRICES!G:G,"")),""))</f>
        <v/>
      </c>
      <c r="Y174" s="154" t="str">
        <f t="shared" ca="1" si="24"/>
        <v/>
      </c>
      <c r="Z174" s="154" t="str">
        <f t="shared" ca="1" si="25"/>
        <v/>
      </c>
      <c r="AA174" s="154" t="str">
        <f t="shared" ca="1" si="26"/>
        <v/>
      </c>
      <c r="AB174" s="154" t="str">
        <f t="shared" ca="1" si="27"/>
        <v/>
      </c>
      <c r="AC174" s="154" t="str">
        <f t="shared" ca="1" si="21"/>
        <v/>
      </c>
      <c r="AD174" s="154" t="str">
        <f>IF(Table13[[#This Row],[QUANTITY]]="","",
  IF(AND(Y174="",Z174="",AA174="",AB174="",AC174=""),
    U174*X174,
  ""))</f>
        <v/>
      </c>
      <c r="AE174" s="154" t="str">
        <f t="shared" ca="1" si="28"/>
        <v/>
      </c>
      <c r="AF174" s="154" t="str">
        <f t="shared" si="29"/>
        <v/>
      </c>
      <c r="AG174" s="154" t="str" cm="1">
        <f t="array" aca="1" ref="AG174" ca="1">IF(Table13[[#This Row],[TOTAL HIRE COST]]="","",IFERROR(IF(U174&lt;&gt;"",_xlfn.XLOOKUP(J174&amp;I174&amp;V174,PRICES!B:B&amp;PRICES!C:C&amp;PRICES!D:D,PRICES!H:H,"")),""))</f>
        <v/>
      </c>
      <c r="AH174" s="154" t="str" cm="1">
        <f t="array" aca="1" ref="AH174" ca="1">IF(Table13[[#This Row],[TOTAL HIRE COST]]="","",IFERROR(IF(U174&lt;&gt;"",_xlfn.XLOOKUP(J174&amp;I174&amp;V174,PRICES!B:B&amp;PRICES!C:C&amp;PRICES!D:D,PRICES!I:I,"")),""))</f>
        <v/>
      </c>
      <c r="AI174" s="154" t="str">
        <f ca="1">IF(Table13[[#This Row],[TOTAL HIRE COST]]="","",Table13[[#This Row],[TOTAL HIRE COST]]+Table13[[#This Row],[DELIVERY COST]]+Table13[[#This Row],[COLLECTION COST]])</f>
        <v/>
      </c>
      <c r="AJ174" s="153" t="str">
        <f>IF(Table13[[#This Row],[Date to Hire (DH)]]="","",YEAR(Table13[[#This Row],[Date to Hire (DH)]]))</f>
        <v/>
      </c>
      <c r="AK174" s="153" t="str">
        <f>IF(Table13[[#This Row],[Date to Hire (DH)]]="","",MONTH(Table13[[#This Row],[Date to Hire (DH)]]))</f>
        <v/>
      </c>
      <c r="AL174" s="153" t="str">
        <f>IF(Table13[[#This Row],[Date to Hire (DH)]]="","",WEEKNUM(Table13[[#This Row],[Date to Hire (DH)]]))</f>
        <v/>
      </c>
      <c r="AM174" s="153" t="str">
        <f>TEXT(Table13[[#This Row],[YEAR]],"0000")&amp;"-"&amp;Table13[[#This Row],[MONTH]]</f>
        <v>-</v>
      </c>
      <c r="AN174" s="153" t="str">
        <f>IF(Table13[[#This Row],[Date of Planned Offhire (DoPO) / If Applicable]]="","",YEAR(Table13[[#This Row],[Date of Planned Offhire (DoPO) / If Applicable]]))</f>
        <v/>
      </c>
      <c r="AO174" s="153" t="str">
        <f>IF(Table13[[#This Row],[Date of Planned Offhire (DoPO) / If Applicable]]="","",MONTH(Table13[[#This Row],[Date of Planned Offhire (DoPO) / If Applicable]]))</f>
        <v/>
      </c>
      <c r="AP174" s="153" t="str">
        <f>IF(Table13[[#This Row],[Date of Planned Offhire (DoPO) / If Applicable]]="","",WEEKNUM(Table13[[#This Row],[Date of Planned Offhire (DoPO) / If Applicable]]))</f>
        <v/>
      </c>
      <c r="AQ174" s="153" t="str">
        <f>TEXT(Table13[[#This Row],[YEAR2]],"0000")&amp;"-"&amp;Table13[[#This Row],[MONTH2]]</f>
        <v>-</v>
      </c>
      <c r="AR174" s="153" t="str">
        <f>IF(Table13[[#This Row],[Actual Date to Offhire (ADtO)]]="","",YEAR(Table13[[#This Row],[Actual Date to Offhire (ADtO)]]))</f>
        <v/>
      </c>
      <c r="AS174" s="153" t="str">
        <f>IF(Table13[[#This Row],[Actual Date to Offhire (ADtO)]]="","",MONTH(Table13[[#This Row],[Actual Date to Offhire (ADtO)]]))</f>
        <v/>
      </c>
      <c r="AT174" s="153" t="str">
        <f>IF(Table13[[#This Row],[Actual Date to Offhire (ADtO)]]="","",WEEKNUM(Table13[[#This Row],[Actual Date to Offhire (ADtO)]]))</f>
        <v/>
      </c>
      <c r="AU174" s="153" t="str">
        <f>TEXT(Table13[[#This Row],[YEAR3]],"0000")&amp;"-"&amp;Table13[[#This Row],[MONTH3]]</f>
        <v>-</v>
      </c>
      <c r="AV174" s="153">
        <f>IF(E174="",0,
  IF('Delivery Report'!A$2*100+'Delivery Report'!A$5 &lt; YEAR(E174)*100+WEEKNUM(E174), 0,
    IF(OR(G174="", 'Delivery Report'!A$2*100+'Delivery Report'!A$5 &lt;= YEAR(G174)*100+WEEKNUM(G174)),
      IF(LOWER(W174)="hourly", U174*X174*56,
      IF(LOWER(W174)="daily", U174*X174*7,
      IF(LOWER(W174)="weekly", U174*X174,
      IF(LOWER(W174)="monthly", U174*X174*12/52,
      IF(LOWER(W174)="yearly", U174*X174/52,
      IF(LOWER(W174)="one-off", U174*X174,
      0)))))),
    0)))</f>
        <v>0</v>
      </c>
    </row>
    <row r="175" spans="3:48" x14ac:dyDescent="0.3">
      <c r="E175" s="1"/>
      <c r="F175" s="1"/>
      <c r="G175" s="1"/>
      <c r="H175" s="164" t="str">
        <f t="shared" si="22"/>
        <v/>
      </c>
      <c r="P175" s="153" t="str">
        <f t="shared" si="23"/>
        <v/>
      </c>
      <c r="Q175" s="155">
        <f>IF(Table13[[#This Row],[HGVs (Collection)]]="",O175,Table13[[#This Row],[HGVs (Delivery)]]+Table13[[#This Row],[HGVs (Collection)]])</f>
        <v>0</v>
      </c>
      <c r="W175" s="153" t="str" cm="1">
        <f t="array" ref="W175">IF(Table13[[#This Row],[QUANTITY]]="","",IFERROR(IF(V175&lt;&gt;"",_xlfn.XLOOKUP(I175&amp;J175,PRICES!C:C&amp;PRICES!B:B,IF(PRICES!F:F&lt;&gt;"",PRICES!F:F,PRICES!E:E),"")),""))</f>
        <v/>
      </c>
      <c r="X175" s="154" t="str" cm="1">
        <f t="array" ref="X175">IF(Table13[[#This Row],[QUANTITY]]="","",IFERROR(IF(U175&lt;&gt;"",_xlfn.XLOOKUP(I175&amp;J175&amp;V175,PRICES!C:C&amp;PRICES!B:B&amp;PRICES!D:D,PRICES!G:G,"")),""))</f>
        <v/>
      </c>
      <c r="Y175" s="154" t="str">
        <f t="shared" ca="1" si="24"/>
        <v/>
      </c>
      <c r="Z175" s="154" t="str">
        <f t="shared" ca="1" si="25"/>
        <v/>
      </c>
      <c r="AA175" s="154" t="str">
        <f t="shared" ca="1" si="26"/>
        <v/>
      </c>
      <c r="AB175" s="154" t="str">
        <f t="shared" ca="1" si="27"/>
        <v/>
      </c>
      <c r="AC175" s="154" t="str">
        <f t="shared" ca="1" si="21"/>
        <v/>
      </c>
      <c r="AD175" s="154" t="str">
        <f>IF(Table13[[#This Row],[QUANTITY]]="","",
  IF(AND(Y175="",Z175="",AA175="",AB175="",AC175=""),
    U175*X175,
  ""))</f>
        <v/>
      </c>
      <c r="AE175" s="154" t="str">
        <f t="shared" ca="1" si="28"/>
        <v/>
      </c>
      <c r="AF175" s="154" t="str">
        <f t="shared" si="29"/>
        <v/>
      </c>
      <c r="AG175" s="154" t="str" cm="1">
        <f t="array" aca="1" ref="AG175" ca="1">IF(Table13[[#This Row],[TOTAL HIRE COST]]="","",IFERROR(IF(U175&lt;&gt;"",_xlfn.XLOOKUP(J175&amp;I175&amp;V175,PRICES!B:B&amp;PRICES!C:C&amp;PRICES!D:D,PRICES!H:H,"")),""))</f>
        <v/>
      </c>
      <c r="AH175" s="154" t="str" cm="1">
        <f t="array" aca="1" ref="AH175" ca="1">IF(Table13[[#This Row],[TOTAL HIRE COST]]="","",IFERROR(IF(U175&lt;&gt;"",_xlfn.XLOOKUP(J175&amp;I175&amp;V175,PRICES!B:B&amp;PRICES!C:C&amp;PRICES!D:D,PRICES!I:I,"")),""))</f>
        <v/>
      </c>
      <c r="AI175" s="154" t="str">
        <f ca="1">IF(Table13[[#This Row],[TOTAL HIRE COST]]="","",Table13[[#This Row],[TOTAL HIRE COST]]+Table13[[#This Row],[DELIVERY COST]]+Table13[[#This Row],[COLLECTION COST]])</f>
        <v/>
      </c>
      <c r="AJ175" s="153" t="str">
        <f>IF(Table13[[#This Row],[Date to Hire (DH)]]="","",YEAR(Table13[[#This Row],[Date to Hire (DH)]]))</f>
        <v/>
      </c>
      <c r="AK175" s="153" t="str">
        <f>IF(Table13[[#This Row],[Date to Hire (DH)]]="","",MONTH(Table13[[#This Row],[Date to Hire (DH)]]))</f>
        <v/>
      </c>
      <c r="AL175" s="153" t="str">
        <f>IF(Table13[[#This Row],[Date to Hire (DH)]]="","",WEEKNUM(Table13[[#This Row],[Date to Hire (DH)]]))</f>
        <v/>
      </c>
      <c r="AM175" s="153" t="str">
        <f>TEXT(Table13[[#This Row],[YEAR]],"0000")&amp;"-"&amp;Table13[[#This Row],[MONTH]]</f>
        <v>-</v>
      </c>
      <c r="AN175" s="153" t="str">
        <f>IF(Table13[[#This Row],[Date of Planned Offhire (DoPO) / If Applicable]]="","",YEAR(Table13[[#This Row],[Date of Planned Offhire (DoPO) / If Applicable]]))</f>
        <v/>
      </c>
      <c r="AO175" s="153" t="str">
        <f>IF(Table13[[#This Row],[Date of Planned Offhire (DoPO) / If Applicable]]="","",MONTH(Table13[[#This Row],[Date of Planned Offhire (DoPO) / If Applicable]]))</f>
        <v/>
      </c>
      <c r="AP175" s="153" t="str">
        <f>IF(Table13[[#This Row],[Date of Planned Offhire (DoPO) / If Applicable]]="","",WEEKNUM(Table13[[#This Row],[Date of Planned Offhire (DoPO) / If Applicable]]))</f>
        <v/>
      </c>
      <c r="AQ175" s="153" t="str">
        <f>TEXT(Table13[[#This Row],[YEAR2]],"0000")&amp;"-"&amp;Table13[[#This Row],[MONTH2]]</f>
        <v>-</v>
      </c>
      <c r="AR175" s="153" t="str">
        <f>IF(Table13[[#This Row],[Actual Date to Offhire (ADtO)]]="","",YEAR(Table13[[#This Row],[Actual Date to Offhire (ADtO)]]))</f>
        <v/>
      </c>
      <c r="AS175" s="153" t="str">
        <f>IF(Table13[[#This Row],[Actual Date to Offhire (ADtO)]]="","",MONTH(Table13[[#This Row],[Actual Date to Offhire (ADtO)]]))</f>
        <v/>
      </c>
      <c r="AT175" s="153" t="str">
        <f>IF(Table13[[#This Row],[Actual Date to Offhire (ADtO)]]="","",WEEKNUM(Table13[[#This Row],[Actual Date to Offhire (ADtO)]]))</f>
        <v/>
      </c>
      <c r="AU175" s="153" t="str">
        <f>TEXT(Table13[[#This Row],[YEAR3]],"0000")&amp;"-"&amp;Table13[[#This Row],[MONTH3]]</f>
        <v>-</v>
      </c>
      <c r="AV175" s="153">
        <f>IF(E175="",0,
  IF('Delivery Report'!A$2*100+'Delivery Report'!A$5 &lt; YEAR(E175)*100+WEEKNUM(E175), 0,
    IF(OR(G175="", 'Delivery Report'!A$2*100+'Delivery Report'!A$5 &lt;= YEAR(G175)*100+WEEKNUM(G175)),
      IF(LOWER(W175)="hourly", U175*X175*56,
      IF(LOWER(W175)="daily", U175*X175*7,
      IF(LOWER(W175)="weekly", U175*X175,
      IF(LOWER(W175)="monthly", U175*X175*12/52,
      IF(LOWER(W175)="yearly", U175*X175/52,
      IF(LOWER(W175)="one-off", U175*X175,
      0)))))),
    0)))</f>
        <v>0</v>
      </c>
    </row>
    <row r="176" spans="3:48" x14ac:dyDescent="0.3">
      <c r="E176" s="1"/>
      <c r="F176" s="1"/>
      <c r="G176" s="1"/>
      <c r="H176" s="164" t="str">
        <f t="shared" si="22"/>
        <v/>
      </c>
      <c r="P176" s="153" t="str">
        <f t="shared" si="23"/>
        <v/>
      </c>
      <c r="Q176" s="155">
        <f>IF(Table13[[#This Row],[HGVs (Collection)]]="",O176,Table13[[#This Row],[HGVs (Delivery)]]+Table13[[#This Row],[HGVs (Collection)]])</f>
        <v>0</v>
      </c>
      <c r="W176" s="153" t="str" cm="1">
        <f t="array" ref="W176">IF(Table13[[#This Row],[QUANTITY]]="","",IFERROR(IF(V176&lt;&gt;"",_xlfn.XLOOKUP(I176&amp;J176,PRICES!C:C&amp;PRICES!B:B,IF(PRICES!F:F&lt;&gt;"",PRICES!F:F,PRICES!E:E),"")),""))</f>
        <v/>
      </c>
      <c r="X176" s="154" t="str" cm="1">
        <f t="array" ref="X176">IF(Table13[[#This Row],[QUANTITY]]="","",IFERROR(IF(U176&lt;&gt;"",_xlfn.XLOOKUP(I176&amp;J176&amp;V176,PRICES!C:C&amp;PRICES!B:B&amp;PRICES!D:D,PRICES!G:G,"")),""))</f>
        <v/>
      </c>
      <c r="Y176" s="154" t="str">
        <f t="shared" ca="1" si="24"/>
        <v/>
      </c>
      <c r="Z176" s="154" t="str">
        <f t="shared" ca="1" si="25"/>
        <v/>
      </c>
      <c r="AA176" s="154" t="str">
        <f t="shared" ca="1" si="26"/>
        <v/>
      </c>
      <c r="AB176" s="154" t="str">
        <f t="shared" ca="1" si="27"/>
        <v/>
      </c>
      <c r="AC176" s="154" t="str">
        <f t="shared" ca="1" si="21"/>
        <v/>
      </c>
      <c r="AD176" s="154" t="str">
        <f>IF(Table13[[#This Row],[QUANTITY]]="","",
  IF(AND(Y176="",Z176="",AA176="",AB176="",AC176=""),
    U176*X176,
  ""))</f>
        <v/>
      </c>
      <c r="AE176" s="154" t="str">
        <f t="shared" ca="1" si="28"/>
        <v/>
      </c>
      <c r="AF176" s="154" t="str">
        <f t="shared" si="29"/>
        <v/>
      </c>
      <c r="AG176" s="154" t="str" cm="1">
        <f t="array" aca="1" ref="AG176" ca="1">IF(Table13[[#This Row],[TOTAL HIRE COST]]="","",IFERROR(IF(U176&lt;&gt;"",_xlfn.XLOOKUP(J176&amp;I176&amp;V176,PRICES!B:B&amp;PRICES!C:C&amp;PRICES!D:D,PRICES!H:H,"")),""))</f>
        <v/>
      </c>
      <c r="AH176" s="154" t="str" cm="1">
        <f t="array" aca="1" ref="AH176" ca="1">IF(Table13[[#This Row],[TOTAL HIRE COST]]="","",IFERROR(IF(U176&lt;&gt;"",_xlfn.XLOOKUP(J176&amp;I176&amp;V176,PRICES!B:B&amp;PRICES!C:C&amp;PRICES!D:D,PRICES!I:I,"")),""))</f>
        <v/>
      </c>
      <c r="AI176" s="154" t="str">
        <f ca="1">IF(Table13[[#This Row],[TOTAL HIRE COST]]="","",Table13[[#This Row],[TOTAL HIRE COST]]+Table13[[#This Row],[DELIVERY COST]]+Table13[[#This Row],[COLLECTION COST]])</f>
        <v/>
      </c>
      <c r="AJ176" s="153" t="str">
        <f>IF(Table13[[#This Row],[Date to Hire (DH)]]="","",YEAR(Table13[[#This Row],[Date to Hire (DH)]]))</f>
        <v/>
      </c>
      <c r="AK176" s="153" t="str">
        <f>IF(Table13[[#This Row],[Date to Hire (DH)]]="","",MONTH(Table13[[#This Row],[Date to Hire (DH)]]))</f>
        <v/>
      </c>
      <c r="AL176" s="153" t="str">
        <f>IF(Table13[[#This Row],[Date to Hire (DH)]]="","",WEEKNUM(Table13[[#This Row],[Date to Hire (DH)]]))</f>
        <v/>
      </c>
      <c r="AM176" s="153" t="str">
        <f>TEXT(Table13[[#This Row],[YEAR]],"0000")&amp;"-"&amp;Table13[[#This Row],[MONTH]]</f>
        <v>-</v>
      </c>
      <c r="AN176" s="153" t="str">
        <f>IF(Table13[[#This Row],[Date of Planned Offhire (DoPO) / If Applicable]]="","",YEAR(Table13[[#This Row],[Date of Planned Offhire (DoPO) / If Applicable]]))</f>
        <v/>
      </c>
      <c r="AO176" s="153" t="str">
        <f>IF(Table13[[#This Row],[Date of Planned Offhire (DoPO) / If Applicable]]="","",MONTH(Table13[[#This Row],[Date of Planned Offhire (DoPO) / If Applicable]]))</f>
        <v/>
      </c>
      <c r="AP176" s="153" t="str">
        <f>IF(Table13[[#This Row],[Date of Planned Offhire (DoPO) / If Applicable]]="","",WEEKNUM(Table13[[#This Row],[Date of Planned Offhire (DoPO) / If Applicable]]))</f>
        <v/>
      </c>
      <c r="AQ176" s="153" t="str">
        <f>TEXT(Table13[[#This Row],[YEAR2]],"0000")&amp;"-"&amp;Table13[[#This Row],[MONTH2]]</f>
        <v>-</v>
      </c>
      <c r="AR176" s="153" t="str">
        <f>IF(Table13[[#This Row],[Actual Date to Offhire (ADtO)]]="","",YEAR(Table13[[#This Row],[Actual Date to Offhire (ADtO)]]))</f>
        <v/>
      </c>
      <c r="AS176" s="153" t="str">
        <f>IF(Table13[[#This Row],[Actual Date to Offhire (ADtO)]]="","",MONTH(Table13[[#This Row],[Actual Date to Offhire (ADtO)]]))</f>
        <v/>
      </c>
      <c r="AT176" s="153" t="str">
        <f>IF(Table13[[#This Row],[Actual Date to Offhire (ADtO)]]="","",WEEKNUM(Table13[[#This Row],[Actual Date to Offhire (ADtO)]]))</f>
        <v/>
      </c>
      <c r="AU176" s="153" t="str">
        <f>TEXT(Table13[[#This Row],[YEAR3]],"0000")&amp;"-"&amp;Table13[[#This Row],[MONTH3]]</f>
        <v>-</v>
      </c>
      <c r="AV176" s="153">
        <f>IF(E176="",0,
  IF('Delivery Report'!A$2*100+'Delivery Report'!A$5 &lt; YEAR(E176)*100+WEEKNUM(E176), 0,
    IF(OR(G176="", 'Delivery Report'!A$2*100+'Delivery Report'!A$5 &lt;= YEAR(G176)*100+WEEKNUM(G176)),
      IF(LOWER(W176)="hourly", U176*X176*56,
      IF(LOWER(W176)="daily", U176*X176*7,
      IF(LOWER(W176)="weekly", U176*X176,
      IF(LOWER(W176)="monthly", U176*X176*12/52,
      IF(LOWER(W176)="yearly", U176*X176/52,
      IF(LOWER(W176)="one-off", U176*X176,
      0)))))),
    0)))</f>
        <v>0</v>
      </c>
    </row>
    <row r="177" spans="3:48" x14ac:dyDescent="0.3">
      <c r="E177" s="1"/>
      <c r="F177" s="1"/>
      <c r="G177" s="1"/>
      <c r="H177" s="164" t="str">
        <f t="shared" si="22"/>
        <v/>
      </c>
      <c r="P177" s="153" t="str">
        <f t="shared" si="23"/>
        <v/>
      </c>
      <c r="Q177" s="155">
        <f>IF(Table13[[#This Row],[HGVs (Collection)]]="",O177,Table13[[#This Row],[HGVs (Delivery)]]+Table13[[#This Row],[HGVs (Collection)]])</f>
        <v>0</v>
      </c>
      <c r="W177" s="153" t="str" cm="1">
        <f t="array" ref="W177">IF(Table13[[#This Row],[QUANTITY]]="","",IFERROR(IF(V177&lt;&gt;"",_xlfn.XLOOKUP(I177&amp;J177,PRICES!C:C&amp;PRICES!B:B,IF(PRICES!F:F&lt;&gt;"",PRICES!F:F,PRICES!E:E),"")),""))</f>
        <v/>
      </c>
      <c r="X177" s="154" t="str" cm="1">
        <f t="array" ref="X177">IF(Table13[[#This Row],[QUANTITY]]="","",IFERROR(IF(U177&lt;&gt;"",_xlfn.XLOOKUP(I177&amp;J177&amp;V177,PRICES!C:C&amp;PRICES!B:B&amp;PRICES!D:D,PRICES!G:G,"")),""))</f>
        <v/>
      </c>
      <c r="Y177" s="154" t="str">
        <f t="shared" ca="1" si="24"/>
        <v/>
      </c>
      <c r="Z177" s="154" t="str">
        <f t="shared" ca="1" si="25"/>
        <v/>
      </c>
      <c r="AA177" s="154" t="str">
        <f t="shared" ca="1" si="26"/>
        <v/>
      </c>
      <c r="AB177" s="154" t="str">
        <f t="shared" ca="1" si="27"/>
        <v/>
      </c>
      <c r="AC177" s="154" t="str">
        <f t="shared" ca="1" si="21"/>
        <v/>
      </c>
      <c r="AD177" s="154" t="str">
        <f>IF(Table13[[#This Row],[QUANTITY]]="","",
  IF(AND(Y177="",Z177="",AA177="",AB177="",AC177=""),
    U177*X177,
  ""))</f>
        <v/>
      </c>
      <c r="AE177" s="154" t="str">
        <f t="shared" ca="1" si="28"/>
        <v/>
      </c>
      <c r="AF177" s="154" t="str">
        <f t="shared" si="29"/>
        <v/>
      </c>
      <c r="AG177" s="154" t="str" cm="1">
        <f t="array" aca="1" ref="AG177" ca="1">IF(Table13[[#This Row],[TOTAL HIRE COST]]="","",IFERROR(IF(U177&lt;&gt;"",_xlfn.XLOOKUP(J177&amp;I177&amp;V177,PRICES!B:B&amp;PRICES!C:C&amp;PRICES!D:D,PRICES!H:H,"")),""))</f>
        <v/>
      </c>
      <c r="AH177" s="154" t="str" cm="1">
        <f t="array" aca="1" ref="AH177" ca="1">IF(Table13[[#This Row],[TOTAL HIRE COST]]="","",IFERROR(IF(U177&lt;&gt;"",_xlfn.XLOOKUP(J177&amp;I177&amp;V177,PRICES!B:B&amp;PRICES!C:C&amp;PRICES!D:D,PRICES!I:I,"")),""))</f>
        <v/>
      </c>
      <c r="AI177" s="154" t="str">
        <f ca="1">IF(Table13[[#This Row],[TOTAL HIRE COST]]="","",Table13[[#This Row],[TOTAL HIRE COST]]+Table13[[#This Row],[DELIVERY COST]]+Table13[[#This Row],[COLLECTION COST]])</f>
        <v/>
      </c>
      <c r="AJ177" s="153" t="str">
        <f>IF(Table13[[#This Row],[Date to Hire (DH)]]="","",YEAR(Table13[[#This Row],[Date to Hire (DH)]]))</f>
        <v/>
      </c>
      <c r="AK177" s="153" t="str">
        <f>IF(Table13[[#This Row],[Date to Hire (DH)]]="","",MONTH(Table13[[#This Row],[Date to Hire (DH)]]))</f>
        <v/>
      </c>
      <c r="AL177" s="153" t="str">
        <f>IF(Table13[[#This Row],[Date to Hire (DH)]]="","",WEEKNUM(Table13[[#This Row],[Date to Hire (DH)]]))</f>
        <v/>
      </c>
      <c r="AM177" s="153" t="str">
        <f>TEXT(Table13[[#This Row],[YEAR]],"0000")&amp;"-"&amp;Table13[[#This Row],[MONTH]]</f>
        <v>-</v>
      </c>
      <c r="AN177" s="153" t="str">
        <f>IF(Table13[[#This Row],[Date of Planned Offhire (DoPO) / If Applicable]]="","",YEAR(Table13[[#This Row],[Date of Planned Offhire (DoPO) / If Applicable]]))</f>
        <v/>
      </c>
      <c r="AO177" s="153" t="str">
        <f>IF(Table13[[#This Row],[Date of Planned Offhire (DoPO) / If Applicable]]="","",MONTH(Table13[[#This Row],[Date of Planned Offhire (DoPO) / If Applicable]]))</f>
        <v/>
      </c>
      <c r="AP177" s="153" t="str">
        <f>IF(Table13[[#This Row],[Date of Planned Offhire (DoPO) / If Applicable]]="","",WEEKNUM(Table13[[#This Row],[Date of Planned Offhire (DoPO) / If Applicable]]))</f>
        <v/>
      </c>
      <c r="AQ177" s="153" t="str">
        <f>TEXT(Table13[[#This Row],[YEAR2]],"0000")&amp;"-"&amp;Table13[[#This Row],[MONTH2]]</f>
        <v>-</v>
      </c>
      <c r="AR177" s="153" t="str">
        <f>IF(Table13[[#This Row],[Actual Date to Offhire (ADtO)]]="","",YEAR(Table13[[#This Row],[Actual Date to Offhire (ADtO)]]))</f>
        <v/>
      </c>
      <c r="AS177" s="153" t="str">
        <f>IF(Table13[[#This Row],[Actual Date to Offhire (ADtO)]]="","",MONTH(Table13[[#This Row],[Actual Date to Offhire (ADtO)]]))</f>
        <v/>
      </c>
      <c r="AT177" s="153" t="str">
        <f>IF(Table13[[#This Row],[Actual Date to Offhire (ADtO)]]="","",WEEKNUM(Table13[[#This Row],[Actual Date to Offhire (ADtO)]]))</f>
        <v/>
      </c>
      <c r="AU177" s="153" t="str">
        <f>TEXT(Table13[[#This Row],[YEAR3]],"0000")&amp;"-"&amp;Table13[[#This Row],[MONTH3]]</f>
        <v>-</v>
      </c>
      <c r="AV177" s="153">
        <f>IF(E177="",0,
  IF('Delivery Report'!A$2*100+'Delivery Report'!A$5 &lt; YEAR(E177)*100+WEEKNUM(E177), 0,
    IF(OR(G177="", 'Delivery Report'!A$2*100+'Delivery Report'!A$5 &lt;= YEAR(G177)*100+WEEKNUM(G177)),
      IF(LOWER(W177)="hourly", U177*X177*56,
      IF(LOWER(W177)="daily", U177*X177*7,
      IF(LOWER(W177)="weekly", U177*X177,
      IF(LOWER(W177)="monthly", U177*X177*12/52,
      IF(LOWER(W177)="yearly", U177*X177/52,
      IF(LOWER(W177)="one-off", U177*X177,
      0)))))),
    0)))</f>
        <v>0</v>
      </c>
    </row>
    <row r="178" spans="3:48" x14ac:dyDescent="0.3">
      <c r="E178" s="1"/>
      <c r="F178" s="1"/>
      <c r="G178" s="1"/>
      <c r="H178" s="164" t="str">
        <f t="shared" si="22"/>
        <v/>
      </c>
      <c r="P178" s="153" t="str">
        <f t="shared" si="23"/>
        <v/>
      </c>
      <c r="Q178" s="155">
        <f>IF(Table13[[#This Row],[HGVs (Collection)]]="",O178,Table13[[#This Row],[HGVs (Delivery)]]+Table13[[#This Row],[HGVs (Collection)]])</f>
        <v>0</v>
      </c>
      <c r="W178" s="153" t="str" cm="1">
        <f t="array" ref="W178">IF(Table13[[#This Row],[QUANTITY]]="","",IFERROR(IF(V178&lt;&gt;"",_xlfn.XLOOKUP(I178&amp;J178,PRICES!C:C&amp;PRICES!B:B,IF(PRICES!F:F&lt;&gt;"",PRICES!F:F,PRICES!E:E),"")),""))</f>
        <v/>
      </c>
      <c r="X178" s="154" t="str" cm="1">
        <f t="array" ref="X178">IF(Table13[[#This Row],[QUANTITY]]="","",IFERROR(IF(U178&lt;&gt;"",_xlfn.XLOOKUP(I178&amp;J178&amp;V178,PRICES!C:C&amp;PRICES!B:B&amp;PRICES!D:D,PRICES!G:G,"")),""))</f>
        <v/>
      </c>
      <c r="Y178" s="154" t="str">
        <f t="shared" ca="1" si="24"/>
        <v/>
      </c>
      <c r="Z178" s="154" t="str">
        <f t="shared" ca="1" si="25"/>
        <v/>
      </c>
      <c r="AA178" s="154" t="str">
        <f t="shared" ca="1" si="26"/>
        <v/>
      </c>
      <c r="AB178" s="154" t="str">
        <f t="shared" ca="1" si="27"/>
        <v/>
      </c>
      <c r="AC178" s="154" t="str">
        <f t="shared" ca="1" si="21"/>
        <v/>
      </c>
      <c r="AD178" s="154" t="str">
        <f>IF(Table13[[#This Row],[QUANTITY]]="","",
  IF(AND(Y178="",Z178="",AA178="",AB178="",AC178=""),
    U178*X178,
  ""))</f>
        <v/>
      </c>
      <c r="AE178" s="154" t="str">
        <f t="shared" ca="1" si="28"/>
        <v/>
      </c>
      <c r="AF178" s="154" t="str">
        <f t="shared" si="29"/>
        <v/>
      </c>
      <c r="AG178" s="154" t="str" cm="1">
        <f t="array" aca="1" ref="AG178" ca="1">IF(Table13[[#This Row],[TOTAL HIRE COST]]="","",IFERROR(IF(U178&lt;&gt;"",_xlfn.XLOOKUP(J178&amp;I178&amp;V178,PRICES!B:B&amp;PRICES!C:C&amp;PRICES!D:D,PRICES!H:H,"")),""))</f>
        <v/>
      </c>
      <c r="AH178" s="154" t="str" cm="1">
        <f t="array" aca="1" ref="AH178" ca="1">IF(Table13[[#This Row],[TOTAL HIRE COST]]="","",IFERROR(IF(U178&lt;&gt;"",_xlfn.XLOOKUP(J178&amp;I178&amp;V178,PRICES!B:B&amp;PRICES!C:C&amp;PRICES!D:D,PRICES!I:I,"")),""))</f>
        <v/>
      </c>
      <c r="AI178" s="154" t="str">
        <f ca="1">IF(Table13[[#This Row],[TOTAL HIRE COST]]="","",Table13[[#This Row],[TOTAL HIRE COST]]+Table13[[#This Row],[DELIVERY COST]]+Table13[[#This Row],[COLLECTION COST]])</f>
        <v/>
      </c>
      <c r="AJ178" s="153" t="str">
        <f>IF(Table13[[#This Row],[Date to Hire (DH)]]="","",YEAR(Table13[[#This Row],[Date to Hire (DH)]]))</f>
        <v/>
      </c>
      <c r="AK178" s="153" t="str">
        <f>IF(Table13[[#This Row],[Date to Hire (DH)]]="","",MONTH(Table13[[#This Row],[Date to Hire (DH)]]))</f>
        <v/>
      </c>
      <c r="AL178" s="153" t="str">
        <f>IF(Table13[[#This Row],[Date to Hire (DH)]]="","",WEEKNUM(Table13[[#This Row],[Date to Hire (DH)]]))</f>
        <v/>
      </c>
      <c r="AM178" s="153" t="str">
        <f>TEXT(Table13[[#This Row],[YEAR]],"0000")&amp;"-"&amp;Table13[[#This Row],[MONTH]]</f>
        <v>-</v>
      </c>
      <c r="AN178" s="153" t="str">
        <f>IF(Table13[[#This Row],[Date of Planned Offhire (DoPO) / If Applicable]]="","",YEAR(Table13[[#This Row],[Date of Planned Offhire (DoPO) / If Applicable]]))</f>
        <v/>
      </c>
      <c r="AO178" s="153" t="str">
        <f>IF(Table13[[#This Row],[Date of Planned Offhire (DoPO) / If Applicable]]="","",MONTH(Table13[[#This Row],[Date of Planned Offhire (DoPO) / If Applicable]]))</f>
        <v/>
      </c>
      <c r="AP178" s="153" t="str">
        <f>IF(Table13[[#This Row],[Date of Planned Offhire (DoPO) / If Applicable]]="","",WEEKNUM(Table13[[#This Row],[Date of Planned Offhire (DoPO) / If Applicable]]))</f>
        <v/>
      </c>
      <c r="AQ178" s="153" t="str">
        <f>TEXT(Table13[[#This Row],[YEAR2]],"0000")&amp;"-"&amp;Table13[[#This Row],[MONTH2]]</f>
        <v>-</v>
      </c>
      <c r="AR178" s="153" t="str">
        <f>IF(Table13[[#This Row],[Actual Date to Offhire (ADtO)]]="","",YEAR(Table13[[#This Row],[Actual Date to Offhire (ADtO)]]))</f>
        <v/>
      </c>
      <c r="AS178" s="153" t="str">
        <f>IF(Table13[[#This Row],[Actual Date to Offhire (ADtO)]]="","",MONTH(Table13[[#This Row],[Actual Date to Offhire (ADtO)]]))</f>
        <v/>
      </c>
      <c r="AT178" s="153" t="str">
        <f>IF(Table13[[#This Row],[Actual Date to Offhire (ADtO)]]="","",WEEKNUM(Table13[[#This Row],[Actual Date to Offhire (ADtO)]]))</f>
        <v/>
      </c>
      <c r="AU178" s="153" t="str">
        <f>TEXT(Table13[[#This Row],[YEAR3]],"0000")&amp;"-"&amp;Table13[[#This Row],[MONTH3]]</f>
        <v>-</v>
      </c>
      <c r="AV178" s="153">
        <f>IF(E178="",0,
  IF('Delivery Report'!A$2*100+'Delivery Report'!A$5 &lt; YEAR(E178)*100+WEEKNUM(E178), 0,
    IF(OR(G178="", 'Delivery Report'!A$2*100+'Delivery Report'!A$5 &lt;= YEAR(G178)*100+WEEKNUM(G178)),
      IF(LOWER(W178)="hourly", U178*X178*56,
      IF(LOWER(W178)="daily", U178*X178*7,
      IF(LOWER(W178)="weekly", U178*X178,
      IF(LOWER(W178)="monthly", U178*X178*12/52,
      IF(LOWER(W178)="yearly", U178*X178/52,
      IF(LOWER(W178)="one-off", U178*X178,
      0)))))),
    0)))</f>
        <v>0</v>
      </c>
    </row>
    <row r="179" spans="3:48" x14ac:dyDescent="0.3">
      <c r="C179" s="22"/>
      <c r="E179" s="1"/>
      <c r="F179" s="1"/>
      <c r="G179" s="1"/>
      <c r="H179" s="164" t="str">
        <f t="shared" si="22"/>
        <v/>
      </c>
      <c r="P179" s="153" t="str">
        <f t="shared" si="23"/>
        <v/>
      </c>
      <c r="Q179" s="155">
        <f>IF(Table13[[#This Row],[HGVs (Collection)]]="",O179,Table13[[#This Row],[HGVs (Delivery)]]+Table13[[#This Row],[HGVs (Collection)]])</f>
        <v>0</v>
      </c>
      <c r="W179" s="153" t="str" cm="1">
        <f t="array" ref="W179">IF(Table13[[#This Row],[QUANTITY]]="","",IFERROR(IF(V179&lt;&gt;"",_xlfn.XLOOKUP(I179&amp;J179,PRICES!C:C&amp;PRICES!B:B,IF(PRICES!F:F&lt;&gt;"",PRICES!F:F,PRICES!E:E),"")),""))</f>
        <v/>
      </c>
      <c r="X179" s="154" t="str" cm="1">
        <f t="array" ref="X179">IF(Table13[[#This Row],[QUANTITY]]="","",IFERROR(IF(U179&lt;&gt;"",_xlfn.XLOOKUP(I179&amp;J179&amp;V179,PRICES!C:C&amp;PRICES!B:B&amp;PRICES!D:D,PRICES!G:G,"")),""))</f>
        <v/>
      </c>
      <c r="Y179" s="154" t="str">
        <f t="shared" ca="1" si="24"/>
        <v/>
      </c>
      <c r="Z179" s="154" t="str">
        <f t="shared" ca="1" si="25"/>
        <v/>
      </c>
      <c r="AA179" s="154" t="str">
        <f t="shared" ca="1" si="26"/>
        <v/>
      </c>
      <c r="AB179" s="154" t="str">
        <f t="shared" ca="1" si="27"/>
        <v/>
      </c>
      <c r="AC179" s="154" t="str">
        <f t="shared" ca="1" si="21"/>
        <v/>
      </c>
      <c r="AD179" s="154" t="str">
        <f>IF(Table13[[#This Row],[QUANTITY]]="","",
  IF(AND(Y179="",Z179="",AA179="",AB179="",AC179=""),
    U179*X179,
  ""))</f>
        <v/>
      </c>
      <c r="AE179" s="154" t="str">
        <f t="shared" ca="1" si="28"/>
        <v/>
      </c>
      <c r="AF179" s="154" t="str">
        <f t="shared" si="29"/>
        <v/>
      </c>
      <c r="AG179" s="154" t="str" cm="1">
        <f t="array" aca="1" ref="AG179" ca="1">IF(Table13[[#This Row],[TOTAL HIRE COST]]="","",IFERROR(IF(U179&lt;&gt;"",_xlfn.XLOOKUP(J179&amp;I179&amp;V179,PRICES!B:B&amp;PRICES!C:C&amp;PRICES!D:D,PRICES!H:H,"")),""))</f>
        <v/>
      </c>
      <c r="AH179" s="154" t="str" cm="1">
        <f t="array" aca="1" ref="AH179" ca="1">IF(Table13[[#This Row],[TOTAL HIRE COST]]="","",IFERROR(IF(U179&lt;&gt;"",_xlfn.XLOOKUP(J179&amp;I179&amp;V179,PRICES!B:B&amp;PRICES!C:C&amp;PRICES!D:D,PRICES!I:I,"")),""))</f>
        <v/>
      </c>
      <c r="AI179" s="154" t="str">
        <f ca="1">IF(Table13[[#This Row],[TOTAL HIRE COST]]="","",Table13[[#This Row],[TOTAL HIRE COST]]+Table13[[#This Row],[DELIVERY COST]]+Table13[[#This Row],[COLLECTION COST]])</f>
        <v/>
      </c>
      <c r="AJ179" s="153" t="str">
        <f>IF(Table13[[#This Row],[Date to Hire (DH)]]="","",YEAR(Table13[[#This Row],[Date to Hire (DH)]]))</f>
        <v/>
      </c>
      <c r="AK179" s="153" t="str">
        <f>IF(Table13[[#This Row],[Date to Hire (DH)]]="","",MONTH(Table13[[#This Row],[Date to Hire (DH)]]))</f>
        <v/>
      </c>
      <c r="AL179" s="153" t="str">
        <f>IF(Table13[[#This Row],[Date to Hire (DH)]]="","",WEEKNUM(Table13[[#This Row],[Date to Hire (DH)]]))</f>
        <v/>
      </c>
      <c r="AM179" s="153" t="str">
        <f>TEXT(Table13[[#This Row],[YEAR]],"0000")&amp;"-"&amp;Table13[[#This Row],[MONTH]]</f>
        <v>-</v>
      </c>
      <c r="AN179" s="153" t="str">
        <f>IF(Table13[[#This Row],[Date of Planned Offhire (DoPO) / If Applicable]]="","",YEAR(Table13[[#This Row],[Date of Planned Offhire (DoPO) / If Applicable]]))</f>
        <v/>
      </c>
      <c r="AO179" s="153" t="str">
        <f>IF(Table13[[#This Row],[Date of Planned Offhire (DoPO) / If Applicable]]="","",MONTH(Table13[[#This Row],[Date of Planned Offhire (DoPO) / If Applicable]]))</f>
        <v/>
      </c>
      <c r="AP179" s="153" t="str">
        <f>IF(Table13[[#This Row],[Date of Planned Offhire (DoPO) / If Applicable]]="","",WEEKNUM(Table13[[#This Row],[Date of Planned Offhire (DoPO) / If Applicable]]))</f>
        <v/>
      </c>
      <c r="AQ179" s="153" t="str">
        <f>TEXT(Table13[[#This Row],[YEAR2]],"0000")&amp;"-"&amp;Table13[[#This Row],[MONTH2]]</f>
        <v>-</v>
      </c>
      <c r="AR179" s="153" t="str">
        <f>IF(Table13[[#This Row],[Actual Date to Offhire (ADtO)]]="","",YEAR(Table13[[#This Row],[Actual Date to Offhire (ADtO)]]))</f>
        <v/>
      </c>
      <c r="AS179" s="153" t="str">
        <f>IF(Table13[[#This Row],[Actual Date to Offhire (ADtO)]]="","",MONTH(Table13[[#This Row],[Actual Date to Offhire (ADtO)]]))</f>
        <v/>
      </c>
      <c r="AT179" s="153" t="str">
        <f>IF(Table13[[#This Row],[Actual Date to Offhire (ADtO)]]="","",WEEKNUM(Table13[[#This Row],[Actual Date to Offhire (ADtO)]]))</f>
        <v/>
      </c>
      <c r="AU179" s="153" t="str">
        <f>TEXT(Table13[[#This Row],[YEAR3]],"0000")&amp;"-"&amp;Table13[[#This Row],[MONTH3]]</f>
        <v>-</v>
      </c>
      <c r="AV179" s="153">
        <f>IF(E179="",0,
  IF('Delivery Report'!A$2*100+'Delivery Report'!A$5 &lt; YEAR(E179)*100+WEEKNUM(E179), 0,
    IF(OR(G179="", 'Delivery Report'!A$2*100+'Delivery Report'!A$5 &lt;= YEAR(G179)*100+WEEKNUM(G179)),
      IF(LOWER(W179)="hourly", U179*X179*56,
      IF(LOWER(W179)="daily", U179*X179*7,
      IF(LOWER(W179)="weekly", U179*X179,
      IF(LOWER(W179)="monthly", U179*X179*12/52,
      IF(LOWER(W179)="yearly", U179*X179/52,
      IF(LOWER(W179)="one-off", U179*X179,
      0)))))),
    0)))</f>
        <v>0</v>
      </c>
    </row>
    <row r="180" spans="3:48" x14ac:dyDescent="0.3">
      <c r="E180" s="1"/>
      <c r="F180" s="1"/>
      <c r="G180" s="1"/>
      <c r="H180" s="164" t="str">
        <f t="shared" si="22"/>
        <v/>
      </c>
      <c r="P180" s="153" t="str">
        <f t="shared" si="23"/>
        <v/>
      </c>
      <c r="Q180" s="155">
        <f>IF(Table13[[#This Row],[HGVs (Collection)]]="",O180,Table13[[#This Row],[HGVs (Delivery)]]+Table13[[#This Row],[HGVs (Collection)]])</f>
        <v>0</v>
      </c>
      <c r="W180" s="153" t="str" cm="1">
        <f t="array" ref="W180">IF(Table13[[#This Row],[QUANTITY]]="","",IFERROR(IF(V180&lt;&gt;"",_xlfn.XLOOKUP(I180&amp;J180,PRICES!C:C&amp;PRICES!B:B,IF(PRICES!F:F&lt;&gt;"",PRICES!F:F,PRICES!E:E),"")),""))</f>
        <v/>
      </c>
      <c r="X180" s="154" t="str" cm="1">
        <f t="array" ref="X180">IF(Table13[[#This Row],[QUANTITY]]="","",IFERROR(IF(U180&lt;&gt;"",_xlfn.XLOOKUP(I180&amp;J180&amp;V180,PRICES!C:C&amp;PRICES!B:B&amp;PRICES!D:D,PRICES!G:G,"")),""))</f>
        <v/>
      </c>
      <c r="Y180" s="154" t="str">
        <f t="shared" ca="1" si="24"/>
        <v/>
      </c>
      <c r="Z180" s="154" t="str">
        <f t="shared" ca="1" si="25"/>
        <v/>
      </c>
      <c r="AA180" s="154" t="str">
        <f t="shared" ca="1" si="26"/>
        <v/>
      </c>
      <c r="AB180" s="154" t="str">
        <f t="shared" ca="1" si="27"/>
        <v/>
      </c>
      <c r="AC180" s="154" t="str">
        <f t="shared" ca="1" si="21"/>
        <v/>
      </c>
      <c r="AD180" s="154" t="str">
        <f>IF(Table13[[#This Row],[QUANTITY]]="","",
  IF(AND(Y180="",Z180="",AA180="",AB180="",AC180=""),
    U180*X180,
  ""))</f>
        <v/>
      </c>
      <c r="AE180" s="154" t="str">
        <f t="shared" ca="1" si="28"/>
        <v/>
      </c>
      <c r="AF180" s="154" t="str">
        <f t="shared" si="29"/>
        <v/>
      </c>
      <c r="AG180" s="154" t="str" cm="1">
        <f t="array" aca="1" ref="AG180" ca="1">IF(Table13[[#This Row],[TOTAL HIRE COST]]="","",IFERROR(IF(U180&lt;&gt;"",_xlfn.XLOOKUP(J180&amp;I180&amp;V180,PRICES!B:B&amp;PRICES!C:C&amp;PRICES!D:D,PRICES!H:H,"")),""))</f>
        <v/>
      </c>
      <c r="AH180" s="154" t="str" cm="1">
        <f t="array" aca="1" ref="AH180" ca="1">IF(Table13[[#This Row],[TOTAL HIRE COST]]="","",IFERROR(IF(U180&lt;&gt;"",_xlfn.XLOOKUP(J180&amp;I180&amp;V180,PRICES!B:B&amp;PRICES!C:C&amp;PRICES!D:D,PRICES!I:I,"")),""))</f>
        <v/>
      </c>
      <c r="AI180" s="154" t="str">
        <f ca="1">IF(Table13[[#This Row],[TOTAL HIRE COST]]="","",Table13[[#This Row],[TOTAL HIRE COST]]+Table13[[#This Row],[DELIVERY COST]]+Table13[[#This Row],[COLLECTION COST]])</f>
        <v/>
      </c>
      <c r="AJ180" s="153" t="str">
        <f>IF(Table13[[#This Row],[Date to Hire (DH)]]="","",YEAR(Table13[[#This Row],[Date to Hire (DH)]]))</f>
        <v/>
      </c>
      <c r="AK180" s="153" t="str">
        <f>IF(Table13[[#This Row],[Date to Hire (DH)]]="","",MONTH(Table13[[#This Row],[Date to Hire (DH)]]))</f>
        <v/>
      </c>
      <c r="AL180" s="153" t="str">
        <f>IF(Table13[[#This Row],[Date to Hire (DH)]]="","",WEEKNUM(Table13[[#This Row],[Date to Hire (DH)]]))</f>
        <v/>
      </c>
      <c r="AM180" s="153" t="str">
        <f>TEXT(Table13[[#This Row],[YEAR]],"0000")&amp;"-"&amp;Table13[[#This Row],[MONTH]]</f>
        <v>-</v>
      </c>
      <c r="AN180" s="153" t="str">
        <f>IF(Table13[[#This Row],[Date of Planned Offhire (DoPO) / If Applicable]]="","",YEAR(Table13[[#This Row],[Date of Planned Offhire (DoPO) / If Applicable]]))</f>
        <v/>
      </c>
      <c r="AO180" s="153" t="str">
        <f>IF(Table13[[#This Row],[Date of Planned Offhire (DoPO) / If Applicable]]="","",MONTH(Table13[[#This Row],[Date of Planned Offhire (DoPO) / If Applicable]]))</f>
        <v/>
      </c>
      <c r="AP180" s="153" t="str">
        <f>IF(Table13[[#This Row],[Date of Planned Offhire (DoPO) / If Applicable]]="","",WEEKNUM(Table13[[#This Row],[Date of Planned Offhire (DoPO) / If Applicable]]))</f>
        <v/>
      </c>
      <c r="AQ180" s="153" t="str">
        <f>TEXT(Table13[[#This Row],[YEAR2]],"0000")&amp;"-"&amp;Table13[[#This Row],[MONTH2]]</f>
        <v>-</v>
      </c>
      <c r="AR180" s="153" t="str">
        <f>IF(Table13[[#This Row],[Actual Date to Offhire (ADtO)]]="","",YEAR(Table13[[#This Row],[Actual Date to Offhire (ADtO)]]))</f>
        <v/>
      </c>
      <c r="AS180" s="153" t="str">
        <f>IF(Table13[[#This Row],[Actual Date to Offhire (ADtO)]]="","",MONTH(Table13[[#This Row],[Actual Date to Offhire (ADtO)]]))</f>
        <v/>
      </c>
      <c r="AT180" s="153" t="str">
        <f>IF(Table13[[#This Row],[Actual Date to Offhire (ADtO)]]="","",WEEKNUM(Table13[[#This Row],[Actual Date to Offhire (ADtO)]]))</f>
        <v/>
      </c>
      <c r="AU180" s="153" t="str">
        <f>TEXT(Table13[[#This Row],[YEAR3]],"0000")&amp;"-"&amp;Table13[[#This Row],[MONTH3]]</f>
        <v>-</v>
      </c>
      <c r="AV180" s="153">
        <f>IF(E180="",0,
  IF('Delivery Report'!A$2*100+'Delivery Report'!A$5 &lt; YEAR(E180)*100+WEEKNUM(E180), 0,
    IF(OR(G180="", 'Delivery Report'!A$2*100+'Delivery Report'!A$5 &lt;= YEAR(G180)*100+WEEKNUM(G180)),
      IF(LOWER(W180)="hourly", U180*X180*56,
      IF(LOWER(W180)="daily", U180*X180*7,
      IF(LOWER(W180)="weekly", U180*X180,
      IF(LOWER(W180)="monthly", U180*X180*12/52,
      IF(LOWER(W180)="yearly", U180*X180/52,
      IF(LOWER(W180)="one-off", U180*X180,
      0)))))),
    0)))</f>
        <v>0</v>
      </c>
    </row>
    <row r="181" spans="3:48" x14ac:dyDescent="0.3">
      <c r="E181" s="1"/>
      <c r="F181" s="1"/>
      <c r="G181" s="1"/>
      <c r="H181" s="164" t="str">
        <f t="shared" si="22"/>
        <v/>
      </c>
      <c r="P181" s="153" t="str">
        <f t="shared" si="23"/>
        <v/>
      </c>
      <c r="Q181" s="155">
        <f>IF(Table13[[#This Row],[HGVs (Collection)]]="",O181,Table13[[#This Row],[HGVs (Delivery)]]+Table13[[#This Row],[HGVs (Collection)]])</f>
        <v>0</v>
      </c>
      <c r="W181" s="153" t="str" cm="1">
        <f t="array" ref="W181">IF(Table13[[#This Row],[QUANTITY]]="","",IFERROR(IF(V181&lt;&gt;"",_xlfn.XLOOKUP(I181&amp;J181,PRICES!C:C&amp;PRICES!B:B,IF(PRICES!F:F&lt;&gt;"",PRICES!F:F,PRICES!E:E),"")),""))</f>
        <v/>
      </c>
      <c r="X181" s="154" t="str" cm="1">
        <f t="array" ref="X181">IF(Table13[[#This Row],[QUANTITY]]="","",IFERROR(IF(U181&lt;&gt;"",_xlfn.XLOOKUP(I181&amp;J181&amp;V181,PRICES!C:C&amp;PRICES!B:B&amp;PRICES!D:D,PRICES!G:G,"")),""))</f>
        <v/>
      </c>
      <c r="Y181" s="154" t="str">
        <f t="shared" ca="1" si="24"/>
        <v/>
      </c>
      <c r="Z181" s="154" t="str">
        <f t="shared" ca="1" si="25"/>
        <v/>
      </c>
      <c r="AA181" s="154" t="str">
        <f t="shared" ca="1" si="26"/>
        <v/>
      </c>
      <c r="AB181" s="154" t="str">
        <f t="shared" ca="1" si="27"/>
        <v/>
      </c>
      <c r="AC181" s="154" t="str">
        <f t="shared" ca="1" si="21"/>
        <v/>
      </c>
      <c r="AD181" s="154" t="str">
        <f>IF(Table13[[#This Row],[QUANTITY]]="","",
  IF(AND(Y181="",Z181="",AA181="",AB181="",AC181=""),
    U181*X181,
  ""))</f>
        <v/>
      </c>
      <c r="AE181" s="154" t="str">
        <f t="shared" ca="1" si="28"/>
        <v/>
      </c>
      <c r="AF181" s="154" t="str">
        <f t="shared" si="29"/>
        <v/>
      </c>
      <c r="AG181" s="154" t="str" cm="1">
        <f t="array" aca="1" ref="AG181" ca="1">IF(Table13[[#This Row],[TOTAL HIRE COST]]="","",IFERROR(IF(U181&lt;&gt;"",_xlfn.XLOOKUP(J181&amp;I181&amp;V181,PRICES!B:B&amp;PRICES!C:C&amp;PRICES!D:D,PRICES!H:H,"")),""))</f>
        <v/>
      </c>
      <c r="AH181" s="154" t="str" cm="1">
        <f t="array" aca="1" ref="AH181" ca="1">IF(Table13[[#This Row],[TOTAL HIRE COST]]="","",IFERROR(IF(U181&lt;&gt;"",_xlfn.XLOOKUP(J181&amp;I181&amp;V181,PRICES!B:B&amp;PRICES!C:C&amp;PRICES!D:D,PRICES!I:I,"")),""))</f>
        <v/>
      </c>
      <c r="AI181" s="154" t="str">
        <f ca="1">IF(Table13[[#This Row],[TOTAL HIRE COST]]="","",Table13[[#This Row],[TOTAL HIRE COST]]+Table13[[#This Row],[DELIVERY COST]]+Table13[[#This Row],[COLLECTION COST]])</f>
        <v/>
      </c>
      <c r="AJ181" s="153" t="str">
        <f>IF(Table13[[#This Row],[Date to Hire (DH)]]="","",YEAR(Table13[[#This Row],[Date to Hire (DH)]]))</f>
        <v/>
      </c>
      <c r="AK181" s="153" t="str">
        <f>IF(Table13[[#This Row],[Date to Hire (DH)]]="","",MONTH(Table13[[#This Row],[Date to Hire (DH)]]))</f>
        <v/>
      </c>
      <c r="AL181" s="153" t="str">
        <f>IF(Table13[[#This Row],[Date to Hire (DH)]]="","",WEEKNUM(Table13[[#This Row],[Date to Hire (DH)]]))</f>
        <v/>
      </c>
      <c r="AM181" s="153" t="str">
        <f>TEXT(Table13[[#This Row],[YEAR]],"0000")&amp;"-"&amp;Table13[[#This Row],[MONTH]]</f>
        <v>-</v>
      </c>
      <c r="AN181" s="153" t="str">
        <f>IF(Table13[[#This Row],[Date of Planned Offhire (DoPO) / If Applicable]]="","",YEAR(Table13[[#This Row],[Date of Planned Offhire (DoPO) / If Applicable]]))</f>
        <v/>
      </c>
      <c r="AO181" s="153" t="str">
        <f>IF(Table13[[#This Row],[Date of Planned Offhire (DoPO) / If Applicable]]="","",MONTH(Table13[[#This Row],[Date of Planned Offhire (DoPO) / If Applicable]]))</f>
        <v/>
      </c>
      <c r="AP181" s="153" t="str">
        <f>IF(Table13[[#This Row],[Date of Planned Offhire (DoPO) / If Applicable]]="","",WEEKNUM(Table13[[#This Row],[Date of Planned Offhire (DoPO) / If Applicable]]))</f>
        <v/>
      </c>
      <c r="AQ181" s="153" t="str">
        <f>TEXT(Table13[[#This Row],[YEAR2]],"0000")&amp;"-"&amp;Table13[[#This Row],[MONTH2]]</f>
        <v>-</v>
      </c>
      <c r="AR181" s="153" t="str">
        <f>IF(Table13[[#This Row],[Actual Date to Offhire (ADtO)]]="","",YEAR(Table13[[#This Row],[Actual Date to Offhire (ADtO)]]))</f>
        <v/>
      </c>
      <c r="AS181" s="153" t="str">
        <f>IF(Table13[[#This Row],[Actual Date to Offhire (ADtO)]]="","",MONTH(Table13[[#This Row],[Actual Date to Offhire (ADtO)]]))</f>
        <v/>
      </c>
      <c r="AT181" s="153" t="str">
        <f>IF(Table13[[#This Row],[Actual Date to Offhire (ADtO)]]="","",WEEKNUM(Table13[[#This Row],[Actual Date to Offhire (ADtO)]]))</f>
        <v/>
      </c>
      <c r="AU181" s="153" t="str">
        <f>TEXT(Table13[[#This Row],[YEAR3]],"0000")&amp;"-"&amp;Table13[[#This Row],[MONTH3]]</f>
        <v>-</v>
      </c>
      <c r="AV181" s="153">
        <f>IF(E181="",0,
  IF('Delivery Report'!A$2*100+'Delivery Report'!A$5 &lt; YEAR(E181)*100+WEEKNUM(E181), 0,
    IF(OR(G181="", 'Delivery Report'!A$2*100+'Delivery Report'!A$5 &lt;= YEAR(G181)*100+WEEKNUM(G181)),
      IF(LOWER(W181)="hourly", U181*X181*56,
      IF(LOWER(W181)="daily", U181*X181*7,
      IF(LOWER(W181)="weekly", U181*X181,
      IF(LOWER(W181)="monthly", U181*X181*12/52,
      IF(LOWER(W181)="yearly", U181*X181/52,
      IF(LOWER(W181)="one-off", U181*X181,
      0)))))),
    0)))</f>
        <v>0</v>
      </c>
    </row>
    <row r="182" spans="3:48" x14ac:dyDescent="0.3">
      <c r="E182" s="1"/>
      <c r="F182" s="1"/>
      <c r="G182" s="1"/>
      <c r="H182" s="164" t="str">
        <f t="shared" si="22"/>
        <v/>
      </c>
      <c r="P182" s="153" t="str">
        <f t="shared" si="23"/>
        <v/>
      </c>
      <c r="Q182" s="155">
        <f>IF(Table13[[#This Row],[HGVs (Collection)]]="",O182,Table13[[#This Row],[HGVs (Delivery)]]+Table13[[#This Row],[HGVs (Collection)]])</f>
        <v>0</v>
      </c>
      <c r="W182" s="153" t="str" cm="1">
        <f t="array" ref="W182">IF(Table13[[#This Row],[QUANTITY]]="","",IFERROR(IF(V182&lt;&gt;"",_xlfn.XLOOKUP(I182&amp;J182,PRICES!C:C&amp;PRICES!B:B,IF(PRICES!F:F&lt;&gt;"",PRICES!F:F,PRICES!E:E),"")),""))</f>
        <v/>
      </c>
      <c r="X182" s="154" t="str" cm="1">
        <f t="array" ref="X182">IF(Table13[[#This Row],[QUANTITY]]="","",IFERROR(IF(U182&lt;&gt;"",_xlfn.XLOOKUP(I182&amp;J182&amp;V182,PRICES!C:C&amp;PRICES!B:B&amp;PRICES!D:D,PRICES!G:G,"")),""))</f>
        <v/>
      </c>
      <c r="Y182" s="154" t="str">
        <f t="shared" ca="1" si="24"/>
        <v/>
      </c>
      <c r="Z182" s="154" t="str">
        <f t="shared" ca="1" si="25"/>
        <v/>
      </c>
      <c r="AA182" s="154" t="str">
        <f t="shared" ca="1" si="26"/>
        <v/>
      </c>
      <c r="AB182" s="154" t="str">
        <f t="shared" ca="1" si="27"/>
        <v/>
      </c>
      <c r="AC182" s="154" t="str">
        <f t="shared" ca="1" si="21"/>
        <v/>
      </c>
      <c r="AD182" s="154" t="str">
        <f>IF(Table13[[#This Row],[QUANTITY]]="","",
  IF(AND(Y182="",Z182="",AA182="",AB182="",AC182=""),
    U182*X182,
  ""))</f>
        <v/>
      </c>
      <c r="AE182" s="154" t="str">
        <f t="shared" ca="1" si="28"/>
        <v/>
      </c>
      <c r="AF182" s="154" t="str">
        <f t="shared" si="29"/>
        <v/>
      </c>
      <c r="AG182" s="154" t="str" cm="1">
        <f t="array" aca="1" ref="AG182" ca="1">IF(Table13[[#This Row],[TOTAL HIRE COST]]="","",IFERROR(IF(U182&lt;&gt;"",_xlfn.XLOOKUP(J182&amp;I182&amp;V182,PRICES!B:B&amp;PRICES!C:C&amp;PRICES!D:D,PRICES!H:H,"")),""))</f>
        <v/>
      </c>
      <c r="AH182" s="154" t="str" cm="1">
        <f t="array" aca="1" ref="AH182" ca="1">IF(Table13[[#This Row],[TOTAL HIRE COST]]="","",IFERROR(IF(U182&lt;&gt;"",_xlfn.XLOOKUP(J182&amp;I182&amp;V182,PRICES!B:B&amp;PRICES!C:C&amp;PRICES!D:D,PRICES!I:I,"")),""))</f>
        <v/>
      </c>
      <c r="AI182" s="154" t="str">
        <f ca="1">IF(Table13[[#This Row],[TOTAL HIRE COST]]="","",Table13[[#This Row],[TOTAL HIRE COST]]+Table13[[#This Row],[DELIVERY COST]]+Table13[[#This Row],[COLLECTION COST]])</f>
        <v/>
      </c>
      <c r="AJ182" s="153" t="str">
        <f>IF(Table13[[#This Row],[Date to Hire (DH)]]="","",YEAR(Table13[[#This Row],[Date to Hire (DH)]]))</f>
        <v/>
      </c>
      <c r="AK182" s="153" t="str">
        <f>IF(Table13[[#This Row],[Date to Hire (DH)]]="","",MONTH(Table13[[#This Row],[Date to Hire (DH)]]))</f>
        <v/>
      </c>
      <c r="AL182" s="153" t="str">
        <f>IF(Table13[[#This Row],[Date to Hire (DH)]]="","",WEEKNUM(Table13[[#This Row],[Date to Hire (DH)]]))</f>
        <v/>
      </c>
      <c r="AM182" s="153" t="str">
        <f>TEXT(Table13[[#This Row],[YEAR]],"0000")&amp;"-"&amp;Table13[[#This Row],[MONTH]]</f>
        <v>-</v>
      </c>
      <c r="AN182" s="153" t="str">
        <f>IF(Table13[[#This Row],[Date of Planned Offhire (DoPO) / If Applicable]]="","",YEAR(Table13[[#This Row],[Date of Planned Offhire (DoPO) / If Applicable]]))</f>
        <v/>
      </c>
      <c r="AO182" s="153" t="str">
        <f>IF(Table13[[#This Row],[Date of Planned Offhire (DoPO) / If Applicable]]="","",MONTH(Table13[[#This Row],[Date of Planned Offhire (DoPO) / If Applicable]]))</f>
        <v/>
      </c>
      <c r="AP182" s="153" t="str">
        <f>IF(Table13[[#This Row],[Date of Planned Offhire (DoPO) / If Applicable]]="","",WEEKNUM(Table13[[#This Row],[Date of Planned Offhire (DoPO) / If Applicable]]))</f>
        <v/>
      </c>
      <c r="AQ182" s="153" t="str">
        <f>TEXT(Table13[[#This Row],[YEAR2]],"0000")&amp;"-"&amp;Table13[[#This Row],[MONTH2]]</f>
        <v>-</v>
      </c>
      <c r="AR182" s="153" t="str">
        <f>IF(Table13[[#This Row],[Actual Date to Offhire (ADtO)]]="","",YEAR(Table13[[#This Row],[Actual Date to Offhire (ADtO)]]))</f>
        <v/>
      </c>
      <c r="AS182" s="153" t="str">
        <f>IF(Table13[[#This Row],[Actual Date to Offhire (ADtO)]]="","",MONTH(Table13[[#This Row],[Actual Date to Offhire (ADtO)]]))</f>
        <v/>
      </c>
      <c r="AT182" s="153" t="str">
        <f>IF(Table13[[#This Row],[Actual Date to Offhire (ADtO)]]="","",WEEKNUM(Table13[[#This Row],[Actual Date to Offhire (ADtO)]]))</f>
        <v/>
      </c>
      <c r="AU182" s="153" t="str">
        <f>TEXT(Table13[[#This Row],[YEAR3]],"0000")&amp;"-"&amp;Table13[[#This Row],[MONTH3]]</f>
        <v>-</v>
      </c>
      <c r="AV182" s="153">
        <f>IF(E182="",0,
  IF('Delivery Report'!A$2*100+'Delivery Report'!A$5 &lt; YEAR(E182)*100+WEEKNUM(E182), 0,
    IF(OR(G182="", 'Delivery Report'!A$2*100+'Delivery Report'!A$5 &lt;= YEAR(G182)*100+WEEKNUM(G182)),
      IF(LOWER(W182)="hourly", U182*X182*56,
      IF(LOWER(W182)="daily", U182*X182*7,
      IF(LOWER(W182)="weekly", U182*X182,
      IF(LOWER(W182)="monthly", U182*X182*12/52,
      IF(LOWER(W182)="yearly", U182*X182/52,
      IF(LOWER(W182)="one-off", U182*X182,
      0)))))),
    0)))</f>
        <v>0</v>
      </c>
    </row>
    <row r="183" spans="3:48" x14ac:dyDescent="0.3">
      <c r="E183" s="1"/>
      <c r="F183" s="1"/>
      <c r="G183" s="1"/>
      <c r="H183" s="164" t="str">
        <f t="shared" si="22"/>
        <v/>
      </c>
      <c r="P183" s="153" t="str">
        <f t="shared" si="23"/>
        <v/>
      </c>
      <c r="Q183" s="155">
        <f>IF(Table13[[#This Row],[HGVs (Collection)]]="",O183,Table13[[#This Row],[HGVs (Delivery)]]+Table13[[#This Row],[HGVs (Collection)]])</f>
        <v>0</v>
      </c>
      <c r="W183" s="153" t="str" cm="1">
        <f t="array" ref="W183">IF(Table13[[#This Row],[QUANTITY]]="","",IFERROR(IF(V183&lt;&gt;"",_xlfn.XLOOKUP(I183&amp;J183,PRICES!C:C&amp;PRICES!B:B,IF(PRICES!F:F&lt;&gt;"",PRICES!F:F,PRICES!E:E),"")),""))</f>
        <v/>
      </c>
      <c r="X183" s="154" t="str" cm="1">
        <f t="array" ref="X183">IF(Table13[[#This Row],[QUANTITY]]="","",IFERROR(IF(U183&lt;&gt;"",_xlfn.XLOOKUP(I183&amp;J183&amp;V183,PRICES!C:C&amp;PRICES!B:B&amp;PRICES!D:D,PRICES!G:G,"")),""))</f>
        <v/>
      </c>
      <c r="Y183" s="154" t="str">
        <f t="shared" ca="1" si="24"/>
        <v/>
      </c>
      <c r="Z183" s="154" t="str">
        <f t="shared" ca="1" si="25"/>
        <v/>
      </c>
      <c r="AA183" s="154" t="str">
        <f t="shared" ca="1" si="26"/>
        <v/>
      </c>
      <c r="AB183" s="154" t="str">
        <f t="shared" ca="1" si="27"/>
        <v/>
      </c>
      <c r="AC183" s="154" t="str">
        <f t="shared" ca="1" si="21"/>
        <v/>
      </c>
      <c r="AD183" s="154" t="str">
        <f>IF(Table13[[#This Row],[QUANTITY]]="","",
  IF(AND(Y183="",Z183="",AA183="",AB183="",AC183=""),
    U183*X183,
  ""))</f>
        <v/>
      </c>
      <c r="AE183" s="154" t="str">
        <f t="shared" ca="1" si="28"/>
        <v/>
      </c>
      <c r="AF183" s="154" t="str">
        <f t="shared" si="29"/>
        <v/>
      </c>
      <c r="AG183" s="154" t="str" cm="1">
        <f t="array" aca="1" ref="AG183" ca="1">IF(Table13[[#This Row],[TOTAL HIRE COST]]="","",IFERROR(IF(U183&lt;&gt;"",_xlfn.XLOOKUP(J183&amp;I183&amp;V183,PRICES!B:B&amp;PRICES!C:C&amp;PRICES!D:D,PRICES!H:H,"")),""))</f>
        <v/>
      </c>
      <c r="AH183" s="154" t="str" cm="1">
        <f t="array" aca="1" ref="AH183" ca="1">IF(Table13[[#This Row],[TOTAL HIRE COST]]="","",IFERROR(IF(U183&lt;&gt;"",_xlfn.XLOOKUP(J183&amp;I183&amp;V183,PRICES!B:B&amp;PRICES!C:C&amp;PRICES!D:D,PRICES!I:I,"")),""))</f>
        <v/>
      </c>
      <c r="AI183" s="154" t="str">
        <f ca="1">IF(Table13[[#This Row],[TOTAL HIRE COST]]="","",Table13[[#This Row],[TOTAL HIRE COST]]+Table13[[#This Row],[DELIVERY COST]]+Table13[[#This Row],[COLLECTION COST]])</f>
        <v/>
      </c>
      <c r="AJ183" s="153" t="str">
        <f>IF(Table13[[#This Row],[Date to Hire (DH)]]="","",YEAR(Table13[[#This Row],[Date to Hire (DH)]]))</f>
        <v/>
      </c>
      <c r="AK183" s="153" t="str">
        <f>IF(Table13[[#This Row],[Date to Hire (DH)]]="","",MONTH(Table13[[#This Row],[Date to Hire (DH)]]))</f>
        <v/>
      </c>
      <c r="AL183" s="153" t="str">
        <f>IF(Table13[[#This Row],[Date to Hire (DH)]]="","",WEEKNUM(Table13[[#This Row],[Date to Hire (DH)]]))</f>
        <v/>
      </c>
      <c r="AM183" s="153" t="str">
        <f>TEXT(Table13[[#This Row],[YEAR]],"0000")&amp;"-"&amp;Table13[[#This Row],[MONTH]]</f>
        <v>-</v>
      </c>
      <c r="AN183" s="153" t="str">
        <f>IF(Table13[[#This Row],[Date of Planned Offhire (DoPO) / If Applicable]]="","",YEAR(Table13[[#This Row],[Date of Planned Offhire (DoPO) / If Applicable]]))</f>
        <v/>
      </c>
      <c r="AO183" s="153" t="str">
        <f>IF(Table13[[#This Row],[Date of Planned Offhire (DoPO) / If Applicable]]="","",MONTH(Table13[[#This Row],[Date of Planned Offhire (DoPO) / If Applicable]]))</f>
        <v/>
      </c>
      <c r="AP183" s="153" t="str">
        <f>IF(Table13[[#This Row],[Date of Planned Offhire (DoPO) / If Applicable]]="","",WEEKNUM(Table13[[#This Row],[Date of Planned Offhire (DoPO) / If Applicable]]))</f>
        <v/>
      </c>
      <c r="AQ183" s="153" t="str">
        <f>TEXT(Table13[[#This Row],[YEAR2]],"0000")&amp;"-"&amp;Table13[[#This Row],[MONTH2]]</f>
        <v>-</v>
      </c>
      <c r="AR183" s="153" t="str">
        <f>IF(Table13[[#This Row],[Actual Date to Offhire (ADtO)]]="","",YEAR(Table13[[#This Row],[Actual Date to Offhire (ADtO)]]))</f>
        <v/>
      </c>
      <c r="AS183" s="153" t="str">
        <f>IF(Table13[[#This Row],[Actual Date to Offhire (ADtO)]]="","",MONTH(Table13[[#This Row],[Actual Date to Offhire (ADtO)]]))</f>
        <v/>
      </c>
      <c r="AT183" s="153" t="str">
        <f>IF(Table13[[#This Row],[Actual Date to Offhire (ADtO)]]="","",WEEKNUM(Table13[[#This Row],[Actual Date to Offhire (ADtO)]]))</f>
        <v/>
      </c>
      <c r="AU183" s="153" t="str">
        <f>TEXT(Table13[[#This Row],[YEAR3]],"0000")&amp;"-"&amp;Table13[[#This Row],[MONTH3]]</f>
        <v>-</v>
      </c>
      <c r="AV183" s="153">
        <f>IF(E183="",0,
  IF('Delivery Report'!A$2*100+'Delivery Report'!A$5 &lt; YEAR(E183)*100+WEEKNUM(E183), 0,
    IF(OR(G183="", 'Delivery Report'!A$2*100+'Delivery Report'!A$5 &lt;= YEAR(G183)*100+WEEKNUM(G183)),
      IF(LOWER(W183)="hourly", U183*X183*56,
      IF(LOWER(W183)="daily", U183*X183*7,
      IF(LOWER(W183)="weekly", U183*X183,
      IF(LOWER(W183)="monthly", U183*X183*12/52,
      IF(LOWER(W183)="yearly", U183*X183/52,
      IF(LOWER(W183)="one-off", U183*X183,
      0)))))),
    0)))</f>
        <v>0</v>
      </c>
    </row>
    <row r="184" spans="3:48" x14ac:dyDescent="0.3">
      <c r="E184" s="1"/>
      <c r="F184" s="1"/>
      <c r="G184" s="1"/>
      <c r="H184" s="164" t="str">
        <f t="shared" si="22"/>
        <v/>
      </c>
      <c r="P184" s="153" t="str">
        <f t="shared" si="23"/>
        <v/>
      </c>
      <c r="Q184" s="155">
        <f>IF(Table13[[#This Row],[HGVs (Collection)]]="",O184,Table13[[#This Row],[HGVs (Delivery)]]+Table13[[#This Row],[HGVs (Collection)]])</f>
        <v>0</v>
      </c>
      <c r="W184" s="153" t="str" cm="1">
        <f t="array" ref="W184">IF(Table13[[#This Row],[QUANTITY]]="","",IFERROR(IF(V184&lt;&gt;"",_xlfn.XLOOKUP(I184&amp;J184,PRICES!C:C&amp;PRICES!B:B,IF(PRICES!F:F&lt;&gt;"",PRICES!F:F,PRICES!E:E),"")),""))</f>
        <v/>
      </c>
      <c r="X184" s="154" t="str" cm="1">
        <f t="array" ref="X184">IF(Table13[[#This Row],[QUANTITY]]="","",IFERROR(IF(U184&lt;&gt;"",_xlfn.XLOOKUP(I184&amp;J184&amp;V184,PRICES!C:C&amp;PRICES!B:B&amp;PRICES!D:D,PRICES!G:G,"")),""))</f>
        <v/>
      </c>
      <c r="Y184" s="154" t="str">
        <f t="shared" ca="1" si="24"/>
        <v/>
      </c>
      <c r="Z184" s="154" t="str">
        <f t="shared" ca="1" si="25"/>
        <v/>
      </c>
      <c r="AA184" s="154" t="str">
        <f t="shared" ca="1" si="26"/>
        <v/>
      </c>
      <c r="AB184" s="154" t="str">
        <f t="shared" ca="1" si="27"/>
        <v/>
      </c>
      <c r="AC184" s="154" t="str">
        <f t="shared" ca="1" si="21"/>
        <v/>
      </c>
      <c r="AD184" s="154" t="str">
        <f>IF(Table13[[#This Row],[QUANTITY]]="","",
  IF(AND(Y184="",Z184="",AA184="",AB184="",AC184=""),
    U184*X184,
  ""))</f>
        <v/>
      </c>
      <c r="AE184" s="154" t="str">
        <f t="shared" ca="1" si="28"/>
        <v/>
      </c>
      <c r="AF184" s="154" t="str">
        <f t="shared" si="29"/>
        <v/>
      </c>
      <c r="AG184" s="154" t="str" cm="1">
        <f t="array" aca="1" ref="AG184" ca="1">IF(Table13[[#This Row],[TOTAL HIRE COST]]="","",IFERROR(IF(U184&lt;&gt;"",_xlfn.XLOOKUP(J184&amp;I184&amp;V184,PRICES!B:B&amp;PRICES!C:C&amp;PRICES!D:D,PRICES!H:H,"")),""))</f>
        <v/>
      </c>
      <c r="AH184" s="154" t="str" cm="1">
        <f t="array" aca="1" ref="AH184" ca="1">IF(Table13[[#This Row],[TOTAL HIRE COST]]="","",IFERROR(IF(U184&lt;&gt;"",_xlfn.XLOOKUP(J184&amp;I184&amp;V184,PRICES!B:B&amp;PRICES!C:C&amp;PRICES!D:D,PRICES!I:I,"")),""))</f>
        <v/>
      </c>
      <c r="AI184" s="154" t="str">
        <f ca="1">IF(Table13[[#This Row],[TOTAL HIRE COST]]="","",Table13[[#This Row],[TOTAL HIRE COST]]+Table13[[#This Row],[DELIVERY COST]]+Table13[[#This Row],[COLLECTION COST]])</f>
        <v/>
      </c>
      <c r="AJ184" s="153" t="str">
        <f>IF(Table13[[#This Row],[Date to Hire (DH)]]="","",YEAR(Table13[[#This Row],[Date to Hire (DH)]]))</f>
        <v/>
      </c>
      <c r="AK184" s="153" t="str">
        <f>IF(Table13[[#This Row],[Date to Hire (DH)]]="","",MONTH(Table13[[#This Row],[Date to Hire (DH)]]))</f>
        <v/>
      </c>
      <c r="AL184" s="153" t="str">
        <f>IF(Table13[[#This Row],[Date to Hire (DH)]]="","",WEEKNUM(Table13[[#This Row],[Date to Hire (DH)]]))</f>
        <v/>
      </c>
      <c r="AM184" s="153" t="str">
        <f>TEXT(Table13[[#This Row],[YEAR]],"0000")&amp;"-"&amp;Table13[[#This Row],[MONTH]]</f>
        <v>-</v>
      </c>
      <c r="AN184" s="153" t="str">
        <f>IF(Table13[[#This Row],[Date of Planned Offhire (DoPO) / If Applicable]]="","",YEAR(Table13[[#This Row],[Date of Planned Offhire (DoPO) / If Applicable]]))</f>
        <v/>
      </c>
      <c r="AO184" s="153" t="str">
        <f>IF(Table13[[#This Row],[Date of Planned Offhire (DoPO) / If Applicable]]="","",MONTH(Table13[[#This Row],[Date of Planned Offhire (DoPO) / If Applicable]]))</f>
        <v/>
      </c>
      <c r="AP184" s="153" t="str">
        <f>IF(Table13[[#This Row],[Date of Planned Offhire (DoPO) / If Applicable]]="","",WEEKNUM(Table13[[#This Row],[Date of Planned Offhire (DoPO) / If Applicable]]))</f>
        <v/>
      </c>
      <c r="AQ184" s="153" t="str">
        <f>TEXT(Table13[[#This Row],[YEAR2]],"0000")&amp;"-"&amp;Table13[[#This Row],[MONTH2]]</f>
        <v>-</v>
      </c>
      <c r="AR184" s="153" t="str">
        <f>IF(Table13[[#This Row],[Actual Date to Offhire (ADtO)]]="","",YEAR(Table13[[#This Row],[Actual Date to Offhire (ADtO)]]))</f>
        <v/>
      </c>
      <c r="AS184" s="153" t="str">
        <f>IF(Table13[[#This Row],[Actual Date to Offhire (ADtO)]]="","",MONTH(Table13[[#This Row],[Actual Date to Offhire (ADtO)]]))</f>
        <v/>
      </c>
      <c r="AT184" s="153" t="str">
        <f>IF(Table13[[#This Row],[Actual Date to Offhire (ADtO)]]="","",WEEKNUM(Table13[[#This Row],[Actual Date to Offhire (ADtO)]]))</f>
        <v/>
      </c>
      <c r="AU184" s="153" t="str">
        <f>TEXT(Table13[[#This Row],[YEAR3]],"0000")&amp;"-"&amp;Table13[[#This Row],[MONTH3]]</f>
        <v>-</v>
      </c>
      <c r="AV184" s="153">
        <f>IF(E184="",0,
  IF('Delivery Report'!A$2*100+'Delivery Report'!A$5 &lt; YEAR(E184)*100+WEEKNUM(E184), 0,
    IF(OR(G184="", 'Delivery Report'!A$2*100+'Delivery Report'!A$5 &lt;= YEAR(G184)*100+WEEKNUM(G184)),
      IF(LOWER(W184)="hourly", U184*X184*56,
      IF(LOWER(W184)="daily", U184*X184*7,
      IF(LOWER(W184)="weekly", U184*X184,
      IF(LOWER(W184)="monthly", U184*X184*12/52,
      IF(LOWER(W184)="yearly", U184*X184/52,
      IF(LOWER(W184)="one-off", U184*X184,
      0)))))),
    0)))</f>
        <v>0</v>
      </c>
    </row>
    <row r="185" spans="3:48" x14ac:dyDescent="0.3">
      <c r="E185" s="1"/>
      <c r="F185" s="1"/>
      <c r="G185" s="1"/>
      <c r="H185" s="164" t="str">
        <f t="shared" si="22"/>
        <v/>
      </c>
      <c r="P185" s="153" t="str">
        <f t="shared" si="23"/>
        <v/>
      </c>
      <c r="Q185" s="155">
        <f>IF(Table13[[#This Row],[HGVs (Collection)]]="",O185,Table13[[#This Row],[HGVs (Delivery)]]+Table13[[#This Row],[HGVs (Collection)]])</f>
        <v>0</v>
      </c>
      <c r="W185" s="153" t="str" cm="1">
        <f t="array" ref="W185">IF(Table13[[#This Row],[QUANTITY]]="","",IFERROR(IF(V185&lt;&gt;"",_xlfn.XLOOKUP(I185&amp;J185,PRICES!C:C&amp;PRICES!B:B,IF(PRICES!F:F&lt;&gt;"",PRICES!F:F,PRICES!E:E),"")),""))</f>
        <v/>
      </c>
      <c r="X185" s="154" t="str" cm="1">
        <f t="array" ref="X185">IF(Table13[[#This Row],[QUANTITY]]="","",IFERROR(IF(U185&lt;&gt;"",_xlfn.XLOOKUP(I185&amp;J185&amp;V185,PRICES!C:C&amp;PRICES!B:B&amp;PRICES!D:D,PRICES!G:G,"")),""))</f>
        <v/>
      </c>
      <c r="Y185" s="154" t="str">
        <f t="shared" ca="1" si="24"/>
        <v/>
      </c>
      <c r="Z185" s="154" t="str">
        <f t="shared" ca="1" si="25"/>
        <v/>
      </c>
      <c r="AA185" s="154" t="str">
        <f t="shared" ca="1" si="26"/>
        <v/>
      </c>
      <c r="AB185" s="154" t="str">
        <f t="shared" ca="1" si="27"/>
        <v/>
      </c>
      <c r="AC185" s="154" t="str">
        <f t="shared" ca="1" si="21"/>
        <v/>
      </c>
      <c r="AD185" s="154" t="str">
        <f>IF(Table13[[#This Row],[QUANTITY]]="","",
  IF(AND(Y185="",Z185="",AA185="",AB185="",AC185=""),
    U185*X185,
  ""))</f>
        <v/>
      </c>
      <c r="AE185" s="154" t="str">
        <f t="shared" ca="1" si="28"/>
        <v/>
      </c>
      <c r="AF185" s="154" t="str">
        <f t="shared" si="29"/>
        <v/>
      </c>
      <c r="AG185" s="154" t="str" cm="1">
        <f t="array" aca="1" ref="AG185" ca="1">IF(Table13[[#This Row],[TOTAL HIRE COST]]="","",IFERROR(IF(U185&lt;&gt;"",_xlfn.XLOOKUP(J185&amp;I185&amp;V185,PRICES!B:B&amp;PRICES!C:C&amp;PRICES!D:D,PRICES!H:H,"")),""))</f>
        <v/>
      </c>
      <c r="AH185" s="154" t="str" cm="1">
        <f t="array" aca="1" ref="AH185" ca="1">IF(Table13[[#This Row],[TOTAL HIRE COST]]="","",IFERROR(IF(U185&lt;&gt;"",_xlfn.XLOOKUP(J185&amp;I185&amp;V185,PRICES!B:B&amp;PRICES!C:C&amp;PRICES!D:D,PRICES!I:I,"")),""))</f>
        <v/>
      </c>
      <c r="AI185" s="154" t="str">
        <f ca="1">IF(Table13[[#This Row],[TOTAL HIRE COST]]="","",Table13[[#This Row],[TOTAL HIRE COST]]+Table13[[#This Row],[DELIVERY COST]]+Table13[[#This Row],[COLLECTION COST]])</f>
        <v/>
      </c>
      <c r="AJ185" s="153" t="str">
        <f>IF(Table13[[#This Row],[Date to Hire (DH)]]="","",YEAR(Table13[[#This Row],[Date to Hire (DH)]]))</f>
        <v/>
      </c>
      <c r="AK185" s="153" t="str">
        <f>IF(Table13[[#This Row],[Date to Hire (DH)]]="","",MONTH(Table13[[#This Row],[Date to Hire (DH)]]))</f>
        <v/>
      </c>
      <c r="AL185" s="153" t="str">
        <f>IF(Table13[[#This Row],[Date to Hire (DH)]]="","",WEEKNUM(Table13[[#This Row],[Date to Hire (DH)]]))</f>
        <v/>
      </c>
      <c r="AM185" s="153" t="str">
        <f>TEXT(Table13[[#This Row],[YEAR]],"0000")&amp;"-"&amp;Table13[[#This Row],[MONTH]]</f>
        <v>-</v>
      </c>
      <c r="AN185" s="153" t="str">
        <f>IF(Table13[[#This Row],[Date of Planned Offhire (DoPO) / If Applicable]]="","",YEAR(Table13[[#This Row],[Date of Planned Offhire (DoPO) / If Applicable]]))</f>
        <v/>
      </c>
      <c r="AO185" s="153" t="str">
        <f>IF(Table13[[#This Row],[Date of Planned Offhire (DoPO) / If Applicable]]="","",MONTH(Table13[[#This Row],[Date of Planned Offhire (DoPO) / If Applicable]]))</f>
        <v/>
      </c>
      <c r="AP185" s="153" t="str">
        <f>IF(Table13[[#This Row],[Date of Planned Offhire (DoPO) / If Applicable]]="","",WEEKNUM(Table13[[#This Row],[Date of Planned Offhire (DoPO) / If Applicable]]))</f>
        <v/>
      </c>
      <c r="AQ185" s="153" t="str">
        <f>TEXT(Table13[[#This Row],[YEAR2]],"0000")&amp;"-"&amp;Table13[[#This Row],[MONTH2]]</f>
        <v>-</v>
      </c>
      <c r="AR185" s="153" t="str">
        <f>IF(Table13[[#This Row],[Actual Date to Offhire (ADtO)]]="","",YEAR(Table13[[#This Row],[Actual Date to Offhire (ADtO)]]))</f>
        <v/>
      </c>
      <c r="AS185" s="153" t="str">
        <f>IF(Table13[[#This Row],[Actual Date to Offhire (ADtO)]]="","",MONTH(Table13[[#This Row],[Actual Date to Offhire (ADtO)]]))</f>
        <v/>
      </c>
      <c r="AT185" s="153" t="str">
        <f>IF(Table13[[#This Row],[Actual Date to Offhire (ADtO)]]="","",WEEKNUM(Table13[[#This Row],[Actual Date to Offhire (ADtO)]]))</f>
        <v/>
      </c>
      <c r="AU185" s="153" t="str">
        <f>TEXT(Table13[[#This Row],[YEAR3]],"0000")&amp;"-"&amp;Table13[[#This Row],[MONTH3]]</f>
        <v>-</v>
      </c>
      <c r="AV185" s="153">
        <f>IF(E185="",0,
  IF('Delivery Report'!A$2*100+'Delivery Report'!A$5 &lt; YEAR(E185)*100+WEEKNUM(E185), 0,
    IF(OR(G185="", 'Delivery Report'!A$2*100+'Delivery Report'!A$5 &lt;= YEAR(G185)*100+WEEKNUM(G185)),
      IF(LOWER(W185)="hourly", U185*X185*56,
      IF(LOWER(W185)="daily", U185*X185*7,
      IF(LOWER(W185)="weekly", U185*X185,
      IF(LOWER(W185)="monthly", U185*X185*12/52,
      IF(LOWER(W185)="yearly", U185*X185/52,
      IF(LOWER(W185)="one-off", U185*X185,
      0)))))),
    0)))</f>
        <v>0</v>
      </c>
    </row>
    <row r="186" spans="3:48" x14ac:dyDescent="0.3">
      <c r="E186" s="1"/>
      <c r="F186" s="1"/>
      <c r="G186" s="1"/>
      <c r="H186" s="164" t="str">
        <f t="shared" si="22"/>
        <v/>
      </c>
      <c r="P186" s="153" t="str">
        <f t="shared" si="23"/>
        <v/>
      </c>
      <c r="Q186" s="155">
        <f>IF(Table13[[#This Row],[HGVs (Collection)]]="",O186,Table13[[#This Row],[HGVs (Delivery)]]+Table13[[#This Row],[HGVs (Collection)]])</f>
        <v>0</v>
      </c>
      <c r="W186" s="153" t="str" cm="1">
        <f t="array" ref="W186">IF(Table13[[#This Row],[QUANTITY]]="","",IFERROR(IF(V186&lt;&gt;"",_xlfn.XLOOKUP(I186&amp;J186,PRICES!C:C&amp;PRICES!B:B,IF(PRICES!F:F&lt;&gt;"",PRICES!F:F,PRICES!E:E),"")),""))</f>
        <v/>
      </c>
      <c r="X186" s="154" t="str" cm="1">
        <f t="array" ref="X186">IF(Table13[[#This Row],[QUANTITY]]="","",IFERROR(IF(U186&lt;&gt;"",_xlfn.XLOOKUP(I186&amp;J186&amp;V186,PRICES!C:C&amp;PRICES!B:B&amp;PRICES!D:D,PRICES!G:G,"")),""))</f>
        <v/>
      </c>
      <c r="Y186" s="154" t="str">
        <f t="shared" ca="1" si="24"/>
        <v/>
      </c>
      <c r="Z186" s="154" t="str">
        <f t="shared" ca="1" si="25"/>
        <v/>
      </c>
      <c r="AA186" s="154" t="str">
        <f t="shared" ca="1" si="26"/>
        <v/>
      </c>
      <c r="AB186" s="154" t="str">
        <f t="shared" ca="1" si="27"/>
        <v/>
      </c>
      <c r="AC186" s="154" t="str">
        <f t="shared" ca="1" si="21"/>
        <v/>
      </c>
      <c r="AD186" s="154" t="str">
        <f>IF(Table13[[#This Row],[QUANTITY]]="","",
  IF(AND(Y186="",Z186="",AA186="",AB186="",AC186=""),
    U186*X186,
  ""))</f>
        <v/>
      </c>
      <c r="AE186" s="154" t="str">
        <f t="shared" ca="1" si="28"/>
        <v/>
      </c>
      <c r="AF186" s="154" t="str">
        <f t="shared" si="29"/>
        <v/>
      </c>
      <c r="AG186" s="154" t="str" cm="1">
        <f t="array" aca="1" ref="AG186" ca="1">IF(Table13[[#This Row],[TOTAL HIRE COST]]="","",IFERROR(IF(U186&lt;&gt;"",_xlfn.XLOOKUP(J186&amp;I186&amp;V186,PRICES!B:B&amp;PRICES!C:C&amp;PRICES!D:D,PRICES!H:H,"")),""))</f>
        <v/>
      </c>
      <c r="AH186" s="154" t="str" cm="1">
        <f t="array" aca="1" ref="AH186" ca="1">IF(Table13[[#This Row],[TOTAL HIRE COST]]="","",IFERROR(IF(U186&lt;&gt;"",_xlfn.XLOOKUP(J186&amp;I186&amp;V186,PRICES!B:B&amp;PRICES!C:C&amp;PRICES!D:D,PRICES!I:I,"")),""))</f>
        <v/>
      </c>
      <c r="AI186" s="154" t="str">
        <f ca="1">IF(Table13[[#This Row],[TOTAL HIRE COST]]="","",Table13[[#This Row],[TOTAL HIRE COST]]+Table13[[#This Row],[DELIVERY COST]]+Table13[[#This Row],[COLLECTION COST]])</f>
        <v/>
      </c>
      <c r="AJ186" s="153" t="str">
        <f>IF(Table13[[#This Row],[Date to Hire (DH)]]="","",YEAR(Table13[[#This Row],[Date to Hire (DH)]]))</f>
        <v/>
      </c>
      <c r="AK186" s="153" t="str">
        <f>IF(Table13[[#This Row],[Date to Hire (DH)]]="","",MONTH(Table13[[#This Row],[Date to Hire (DH)]]))</f>
        <v/>
      </c>
      <c r="AL186" s="153" t="str">
        <f>IF(Table13[[#This Row],[Date to Hire (DH)]]="","",WEEKNUM(Table13[[#This Row],[Date to Hire (DH)]]))</f>
        <v/>
      </c>
      <c r="AM186" s="153" t="str">
        <f>TEXT(Table13[[#This Row],[YEAR]],"0000")&amp;"-"&amp;Table13[[#This Row],[MONTH]]</f>
        <v>-</v>
      </c>
      <c r="AN186" s="153" t="str">
        <f>IF(Table13[[#This Row],[Date of Planned Offhire (DoPO) / If Applicable]]="","",YEAR(Table13[[#This Row],[Date of Planned Offhire (DoPO) / If Applicable]]))</f>
        <v/>
      </c>
      <c r="AO186" s="153" t="str">
        <f>IF(Table13[[#This Row],[Date of Planned Offhire (DoPO) / If Applicable]]="","",MONTH(Table13[[#This Row],[Date of Planned Offhire (DoPO) / If Applicable]]))</f>
        <v/>
      </c>
      <c r="AP186" s="153" t="str">
        <f>IF(Table13[[#This Row],[Date of Planned Offhire (DoPO) / If Applicable]]="","",WEEKNUM(Table13[[#This Row],[Date of Planned Offhire (DoPO) / If Applicable]]))</f>
        <v/>
      </c>
      <c r="AQ186" s="153" t="str">
        <f>TEXT(Table13[[#This Row],[YEAR2]],"0000")&amp;"-"&amp;Table13[[#This Row],[MONTH2]]</f>
        <v>-</v>
      </c>
      <c r="AR186" s="153" t="str">
        <f>IF(Table13[[#This Row],[Actual Date to Offhire (ADtO)]]="","",YEAR(Table13[[#This Row],[Actual Date to Offhire (ADtO)]]))</f>
        <v/>
      </c>
      <c r="AS186" s="153" t="str">
        <f>IF(Table13[[#This Row],[Actual Date to Offhire (ADtO)]]="","",MONTH(Table13[[#This Row],[Actual Date to Offhire (ADtO)]]))</f>
        <v/>
      </c>
      <c r="AT186" s="153" t="str">
        <f>IF(Table13[[#This Row],[Actual Date to Offhire (ADtO)]]="","",WEEKNUM(Table13[[#This Row],[Actual Date to Offhire (ADtO)]]))</f>
        <v/>
      </c>
      <c r="AU186" s="153" t="str">
        <f>TEXT(Table13[[#This Row],[YEAR3]],"0000")&amp;"-"&amp;Table13[[#This Row],[MONTH3]]</f>
        <v>-</v>
      </c>
      <c r="AV186" s="153">
        <f>IF(E186="",0,
  IF('Delivery Report'!A$2*100+'Delivery Report'!A$5 &lt; YEAR(E186)*100+WEEKNUM(E186), 0,
    IF(OR(G186="", 'Delivery Report'!A$2*100+'Delivery Report'!A$5 &lt;= YEAR(G186)*100+WEEKNUM(G186)),
      IF(LOWER(W186)="hourly", U186*X186*56,
      IF(LOWER(W186)="daily", U186*X186*7,
      IF(LOWER(W186)="weekly", U186*X186,
      IF(LOWER(W186)="monthly", U186*X186*12/52,
      IF(LOWER(W186)="yearly", U186*X186/52,
      IF(LOWER(W186)="one-off", U186*X186,
      0)))))),
    0)))</f>
        <v>0</v>
      </c>
    </row>
  </sheetData>
  <mergeCells count="3">
    <mergeCell ref="AR1:AU1"/>
    <mergeCell ref="AJ1:AM1"/>
    <mergeCell ref="AN1:AQ1"/>
  </mergeCells>
  <phoneticPr fontId="16" type="noConversion"/>
  <conditionalFormatting sqref="O2:Q2">
    <cfRule type="expression" dxfId="19" priority="1">
      <formula>AND(#REF!="Muck Away backloaded",#REF!&lt;&gt;"",#REF!&lt;&gt;0)</formula>
    </cfRule>
  </conditionalFormatting>
  <dataValidations count="2">
    <dataValidation type="list" allowBlank="1" showInputMessage="1" showErrorMessage="1" sqref="C187:C1048576" xr:uid="{8660680A-B518-4298-A2C6-5C4C17B46DD2}">
      <formula1>"Hire Equipment, Waste Cost"</formula1>
    </dataValidation>
    <dataValidation showInputMessage="1" showErrorMessage="1" sqref="K3:L49 K50 K51:L186" xr:uid="{1FABC7F9-CE14-464D-B647-5F83803730D0}"/>
  </dataValidations>
  <pageMargins left="0.7" right="0.7" top="0.75" bottom="0.75" header="0.3" footer="0.3"/>
  <pageSetup paperSize="9" orientation="portrait" r:id="rId1"/>
  <headerFooter>
    <oddHeader>&amp;L&amp;"Calibri"&amp;10&amp;K0000FF [RESTRICTED INTERNAL]&amp;1#_x000D_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CAlculate">
                <anchor moveWithCells="1" sizeWithCells="1">
                  <from>
                    <xdr:col>0</xdr:col>
                    <xdr:colOff>99060</xdr:colOff>
                    <xdr:row>1</xdr:row>
                    <xdr:rowOff>68580</xdr:rowOff>
                  </from>
                  <to>
                    <xdr:col>0</xdr:col>
                    <xdr:colOff>1264920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Button 7">
              <controlPr defaultSize="0" print="0" autoFill="0" autoPict="0" macro="[0]!ClearFiltersDateToHireSheet">
                <anchor moveWithCells="1" sizeWithCells="1">
                  <from>
                    <xdr:col>0</xdr:col>
                    <xdr:colOff>99060</xdr:colOff>
                    <xdr:row>1</xdr:row>
                    <xdr:rowOff>441960</xdr:rowOff>
                  </from>
                  <to>
                    <xdr:col>0</xdr:col>
                    <xdr:colOff>1264920</xdr:colOff>
                    <xdr:row>1</xdr:row>
                    <xdr:rowOff>1028700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29CF8E8-90A7-448B-B37A-F7595D8D3A5E}">
          <x14:formula1>
            <xm:f>'CATEGORY TABLES'!$E$2:$E$30</xm:f>
          </x14:formula1>
          <xm:sqref>D3:D186</xm:sqref>
        </x14:dataValidation>
        <x14:dataValidation type="list" allowBlank="1" showInputMessage="1" showErrorMessage="1" xr:uid="{562E83BF-BE9E-4457-A369-B3DB61A5CE57}">
          <x14:formula1>
            <xm:f>SUPPLIERS!$B$2:$B$100</xm:f>
          </x14:formula1>
          <xm:sqref>I3:I186</xm:sqref>
        </x14:dataValidation>
        <x14:dataValidation type="list" allowBlank="1" showInputMessage="1" showErrorMessage="1" xr:uid="{1C9B5132-7CCA-486B-888B-F6A4A4D02B10}">
          <x14:formula1>
            <xm:f>'CATEGORY TABLES'!$G$2:$G$22</xm:f>
          </x14:formula1>
          <xm:sqref>B3:B186</xm:sqref>
        </x14:dataValidation>
        <x14:dataValidation type="list" allowBlank="1" showInputMessage="1" showErrorMessage="1" xr:uid="{38993073-70D9-4CEA-A889-957BAB22D495}">
          <x14:formula1>
            <xm:f>'CATEGORY TABLES'!$Y$2:$Y$6</xm:f>
          </x14:formula1>
          <xm:sqref>C3:C186</xm:sqref>
        </x14:dataValidation>
        <x14:dataValidation type="list" allowBlank="1" showInputMessage="1" showErrorMessage="1" xr:uid="{B04BA3DB-8904-4EE6-9EFF-60AA3BD9B17D}">
          <x14:formula1>
            <xm:f>'CATEGORY TABLES'!$O$2:$O$5</xm:f>
          </x14:formula1>
          <xm:sqref>T3:T186</xm:sqref>
        </x14:dataValidation>
        <x14:dataValidation type="list" showInputMessage="1" showErrorMessage="1" xr:uid="{F2A6C919-9163-4877-8D1F-CB8CD7EF9AD9}">
          <x14:formula1>
            <xm:f>'CATEGORY TABLES'!$M$2:$M$350</xm:f>
          </x14:formula1>
          <xm:sqref>J3:J186</xm:sqref>
        </x14:dataValidation>
        <x14:dataValidation type="list" showInputMessage="1" showErrorMessage="1" xr:uid="{14944316-4950-4372-B38B-95D4192CEFCF}">
          <x14:formula1>
            <xm:f>'CATEGORY TABLES'!$W$2:$W$17</xm:f>
          </x14:formula1>
          <xm:sqref>M3:M186</xm:sqref>
        </x14:dataValidation>
        <x14:dataValidation type="list" allowBlank="1" showInputMessage="1" showErrorMessage="1" xr:uid="{E8638D0B-A08D-4A76-8709-AF647986349B}">
          <x14:formula1>
            <xm:f>'CATEGORY TABLES'!$Q$2:$Q$10</xm:f>
          </x14:formula1>
          <xm:sqref>R3:R186</xm:sqref>
        </x14:dataValidation>
        <x14:dataValidation type="list" showInputMessage="1" showErrorMessage="1" xr:uid="{3BBC3794-D993-4680-958E-E1A71039C504}">
          <x14:formula1>
            <xm:f>'CATEGORY TABLES'!$AC$2:$AC$14</xm:f>
          </x14:formula1>
          <xm:sqref>N3:N186</xm:sqref>
        </x14:dataValidation>
        <x14:dataValidation type="list" allowBlank="1" showInputMessage="1" showErrorMessage="1" xr:uid="{D18A8982-9FC6-43DA-8677-5A5F25B5D76A}">
          <x14:formula1>
            <xm:f>'CATEGORY TABLES'!$I$2:$I$18</xm:f>
          </x14:formula1>
          <xm:sqref>S3:S186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5DC6C-A68F-4D6B-B0D7-7B2B279477E6}">
  <sheetPr codeName="Sheet15">
    <tabColor theme="4" tint="-0.499984740745262"/>
  </sheetPr>
  <dimension ref="A1:T48"/>
  <sheetViews>
    <sheetView zoomScale="70" zoomScaleNormal="70" workbookViewId="0">
      <selection activeCell="H15" sqref="H15"/>
    </sheetView>
  </sheetViews>
  <sheetFormatPr defaultRowHeight="14.4" x14ac:dyDescent="0.3"/>
  <cols>
    <col min="1" max="1" width="23.33203125" customWidth="1"/>
    <col min="2" max="2" width="29" customWidth="1"/>
    <col min="3" max="3" width="22.5546875" customWidth="1"/>
    <col min="4" max="4" width="22.33203125" customWidth="1"/>
    <col min="5" max="5" width="13.6640625" style="2" customWidth="1"/>
    <col min="6" max="6" width="17.6640625" customWidth="1"/>
    <col min="7" max="7" width="17" customWidth="1"/>
    <col min="8" max="8" width="38.5546875" customWidth="1"/>
    <col min="9" max="9" width="16.109375" customWidth="1"/>
    <col min="10" max="10" width="11" customWidth="1"/>
    <col min="11" max="11" width="8.33203125" customWidth="1"/>
    <col min="12" max="12" width="18.5546875" customWidth="1"/>
    <col min="13" max="13" width="18.88671875" customWidth="1"/>
    <col min="14" max="14" width="22.6640625" customWidth="1"/>
    <col min="15" max="15" width="19.33203125" customWidth="1"/>
    <col min="16" max="16" width="26.33203125" customWidth="1"/>
    <col min="17" max="17" width="0" hidden="1" customWidth="1"/>
    <col min="18" max="18" width="9.6640625" hidden="1" customWidth="1"/>
    <col min="19" max="19" width="0" hidden="1" customWidth="1"/>
    <col min="20" max="20" width="16.6640625" hidden="1" customWidth="1"/>
  </cols>
  <sheetData>
    <row r="1" spans="1:20" ht="35.4" customHeight="1" x14ac:dyDescent="0.35">
      <c r="A1" t="str">
        <f>"Version: "&amp;INDEX(Version!A:A,MATCH("zzz",Version!A:A,1))</f>
        <v>Version: v1.0</v>
      </c>
      <c r="B1" s="285" t="s">
        <v>27</v>
      </c>
      <c r="C1" s="286"/>
      <c r="D1" s="287"/>
      <c r="E1" s="211" t="s">
        <v>331</v>
      </c>
      <c r="F1" s="278" t="s">
        <v>329</v>
      </c>
      <c r="G1" s="278"/>
      <c r="H1" s="278"/>
      <c r="I1" s="278"/>
      <c r="J1" s="288" t="s">
        <v>32</v>
      </c>
      <c r="K1" s="289"/>
      <c r="L1" s="289"/>
      <c r="M1" s="290"/>
      <c r="N1" s="279" t="s">
        <v>30</v>
      </c>
      <c r="O1" s="280"/>
      <c r="P1" s="281"/>
      <c r="Q1" s="275" t="s">
        <v>33</v>
      </c>
      <c r="R1" s="276"/>
      <c r="S1" s="276"/>
      <c r="T1" s="277"/>
    </row>
    <row r="2" spans="1:20" ht="58.2" customHeight="1" x14ac:dyDescent="0.3">
      <c r="A2" s="181"/>
      <c r="B2" s="138" t="s">
        <v>34</v>
      </c>
      <c r="C2" s="138" t="s">
        <v>35</v>
      </c>
      <c r="D2" s="140" t="s">
        <v>36</v>
      </c>
      <c r="E2" s="215" t="s">
        <v>334</v>
      </c>
      <c r="F2" s="207" t="s">
        <v>332</v>
      </c>
      <c r="G2" s="207" t="s">
        <v>333</v>
      </c>
      <c r="H2" s="207" t="s">
        <v>328</v>
      </c>
      <c r="I2" s="207" t="s">
        <v>223</v>
      </c>
      <c r="J2" s="212" t="s">
        <v>335</v>
      </c>
      <c r="K2" s="208" t="s">
        <v>46</v>
      </c>
      <c r="L2" s="208" t="s">
        <v>47</v>
      </c>
      <c r="M2" s="208" t="s">
        <v>32</v>
      </c>
      <c r="N2" s="209" t="s">
        <v>73</v>
      </c>
      <c r="O2" s="209" t="s">
        <v>330</v>
      </c>
      <c r="P2" s="209" t="s">
        <v>42</v>
      </c>
      <c r="Q2" s="210" t="s">
        <v>0</v>
      </c>
      <c r="R2" s="210" t="s">
        <v>19</v>
      </c>
      <c r="S2" s="210" t="s">
        <v>1</v>
      </c>
      <c r="T2" s="210" t="s">
        <v>109</v>
      </c>
    </row>
    <row r="3" spans="1:20" ht="18" x14ac:dyDescent="0.35">
      <c r="E3" s="217"/>
      <c r="L3" s="3"/>
      <c r="M3" s="3"/>
      <c r="Q3" s="40" t="str">
        <f>IF(Table24[[#This Row],[Contract Signature Date]]=0,"",YEAR(E3))</f>
        <v/>
      </c>
      <c r="R3" s="40" t="str">
        <f>IF(E3=0,"",MONTH(E3))</f>
        <v/>
      </c>
      <c r="S3" s="40" t="str">
        <f>IF(E3=0,"",WEEKNUM(E3))</f>
        <v/>
      </c>
      <c r="T3" s="40" t="str">
        <f>TEXT(Table24[[#This Row],[YEAR]],"0000")&amp;"-"&amp;Table24[[#This Row],[MONTH]]</f>
        <v>-</v>
      </c>
    </row>
    <row r="4" spans="1:20" ht="18" x14ac:dyDescent="0.35">
      <c r="E4" s="217"/>
      <c r="L4" s="3"/>
      <c r="M4" s="3"/>
      <c r="Q4" s="40" t="str">
        <f>IF(Table24[[#This Row],[Contract Signature Date]]=0,"",YEAR(E4))</f>
        <v/>
      </c>
      <c r="R4" s="40" t="str">
        <f t="shared" ref="R4:R48" si="0">IF(E4=0,"",MONTH(E4))</f>
        <v/>
      </c>
      <c r="S4" s="40" t="str">
        <f t="shared" ref="S4:S48" si="1">IF(E4=0,"",WEEKNUM(E4))</f>
        <v/>
      </c>
      <c r="T4" s="40" t="str">
        <f>TEXT(Table24[[#This Row],[YEAR]],"0000")&amp;"-"&amp;Table24[[#This Row],[MONTH]]</f>
        <v>-</v>
      </c>
    </row>
    <row r="5" spans="1:20" ht="18" x14ac:dyDescent="0.35">
      <c r="E5" s="217"/>
      <c r="L5" s="3"/>
      <c r="M5" s="3"/>
      <c r="Q5" s="40" t="str">
        <f>IF(Table24[[#This Row],[Contract Signature Date]]=0,"",YEAR(E5))</f>
        <v/>
      </c>
      <c r="R5" s="40" t="str">
        <f t="shared" si="0"/>
        <v/>
      </c>
      <c r="S5" s="40" t="str">
        <f t="shared" si="1"/>
        <v/>
      </c>
      <c r="T5" s="40" t="str">
        <f>TEXT(Table24[[#This Row],[YEAR]],"0000")&amp;"-"&amp;Table24[[#This Row],[MONTH]]</f>
        <v>-</v>
      </c>
    </row>
    <row r="6" spans="1:20" ht="18" x14ac:dyDescent="0.35">
      <c r="E6" s="217"/>
      <c r="L6" s="3"/>
      <c r="M6" s="3"/>
      <c r="Q6" s="40" t="str">
        <f>IF(Table24[[#This Row],[Contract Signature Date]]=0,"",YEAR(E6))</f>
        <v/>
      </c>
      <c r="R6" s="40" t="str">
        <f t="shared" si="0"/>
        <v/>
      </c>
      <c r="S6" s="40" t="str">
        <f t="shared" si="1"/>
        <v/>
      </c>
      <c r="T6" s="40" t="str">
        <f>TEXT(Table24[[#This Row],[YEAR]],"0000")&amp;"-"&amp;Table24[[#This Row],[MONTH]]</f>
        <v>-</v>
      </c>
    </row>
    <row r="7" spans="1:20" ht="18" x14ac:dyDescent="0.35">
      <c r="E7" s="217"/>
      <c r="L7" s="3"/>
      <c r="M7" s="3"/>
      <c r="Q7" s="40" t="str">
        <f>IF(Table24[[#This Row],[Contract Signature Date]]=0,"",YEAR(E7))</f>
        <v/>
      </c>
      <c r="R7" s="40" t="str">
        <f t="shared" si="0"/>
        <v/>
      </c>
      <c r="S7" s="40" t="str">
        <f t="shared" si="1"/>
        <v/>
      </c>
      <c r="T7" s="40" t="str">
        <f>TEXT(Table24[[#This Row],[YEAR]],"0000")&amp;"-"&amp;Table24[[#This Row],[MONTH]]</f>
        <v>-</v>
      </c>
    </row>
    <row r="8" spans="1:20" ht="18" x14ac:dyDescent="0.35">
      <c r="E8" s="217"/>
      <c r="L8" s="3"/>
      <c r="M8" s="3"/>
      <c r="Q8" s="40" t="str">
        <f>IF(Table24[[#This Row],[Contract Signature Date]]=0,"",YEAR(E8))</f>
        <v/>
      </c>
      <c r="R8" s="40" t="str">
        <f t="shared" si="0"/>
        <v/>
      </c>
      <c r="S8" s="40" t="str">
        <f t="shared" si="1"/>
        <v/>
      </c>
      <c r="T8" s="40" t="str">
        <f>TEXT(Table24[[#This Row],[YEAR]],"0000")&amp;"-"&amp;Table24[[#This Row],[MONTH]]</f>
        <v>-</v>
      </c>
    </row>
    <row r="9" spans="1:20" ht="18" x14ac:dyDescent="0.35">
      <c r="E9" s="217"/>
      <c r="L9" s="3"/>
      <c r="M9" s="3"/>
      <c r="Q9" s="40" t="str">
        <f>IF(Table24[[#This Row],[Contract Signature Date]]=0,"",YEAR(E9))</f>
        <v/>
      </c>
      <c r="R9" s="40" t="str">
        <f t="shared" si="0"/>
        <v/>
      </c>
      <c r="S9" s="40" t="str">
        <f t="shared" si="1"/>
        <v/>
      </c>
      <c r="T9" s="40" t="str">
        <f>TEXT(Table24[[#This Row],[YEAR]],"0000")&amp;"-"&amp;Table24[[#This Row],[MONTH]]</f>
        <v>-</v>
      </c>
    </row>
    <row r="10" spans="1:20" ht="18" x14ac:dyDescent="0.35">
      <c r="E10" s="217"/>
      <c r="L10" s="3"/>
      <c r="M10" s="3"/>
      <c r="Q10" s="40" t="str">
        <f>IF(Table24[[#This Row],[Contract Signature Date]]=0,"",YEAR(E10))</f>
        <v/>
      </c>
      <c r="R10" s="40" t="str">
        <f t="shared" si="0"/>
        <v/>
      </c>
      <c r="S10" s="40" t="str">
        <f t="shared" si="1"/>
        <v/>
      </c>
      <c r="T10" s="40" t="str">
        <f>TEXT(Table24[[#This Row],[YEAR]],"0000")&amp;"-"&amp;Table24[[#This Row],[MONTH]]</f>
        <v>-</v>
      </c>
    </row>
    <row r="11" spans="1:20" ht="18" x14ac:dyDescent="0.35">
      <c r="E11" s="217"/>
      <c r="L11" s="3"/>
      <c r="M11" s="3"/>
      <c r="Q11" s="40" t="str">
        <f>IF(Table24[[#This Row],[Contract Signature Date]]=0,"",YEAR(E11))</f>
        <v/>
      </c>
      <c r="R11" s="40" t="str">
        <f t="shared" si="0"/>
        <v/>
      </c>
      <c r="S11" s="40" t="str">
        <f t="shared" si="1"/>
        <v/>
      </c>
      <c r="T11" s="40" t="str">
        <f>TEXT(Table24[[#This Row],[YEAR]],"0000")&amp;"-"&amp;Table24[[#This Row],[MONTH]]</f>
        <v>-</v>
      </c>
    </row>
    <row r="12" spans="1:20" ht="18" x14ac:dyDescent="0.35">
      <c r="E12" s="217"/>
      <c r="L12" s="3"/>
      <c r="M12" s="3"/>
      <c r="Q12" s="40" t="str">
        <f>IF(Table24[[#This Row],[Contract Signature Date]]=0,"",YEAR(E12))</f>
        <v/>
      </c>
      <c r="R12" s="40" t="str">
        <f t="shared" si="0"/>
        <v/>
      </c>
      <c r="S12" s="40" t="str">
        <f t="shared" si="1"/>
        <v/>
      </c>
      <c r="T12" s="40" t="str">
        <f>TEXT(Table24[[#This Row],[YEAR]],"0000")&amp;"-"&amp;Table24[[#This Row],[MONTH]]</f>
        <v>-</v>
      </c>
    </row>
    <row r="13" spans="1:20" ht="18" x14ac:dyDescent="0.35">
      <c r="E13" s="217"/>
      <c r="L13" s="3"/>
      <c r="M13" s="3"/>
      <c r="Q13" s="40" t="str">
        <f>IF(Table24[[#This Row],[Contract Signature Date]]=0,"",YEAR(E13))</f>
        <v/>
      </c>
      <c r="R13" s="40" t="str">
        <f t="shared" si="0"/>
        <v/>
      </c>
      <c r="S13" s="40" t="str">
        <f t="shared" si="1"/>
        <v/>
      </c>
      <c r="T13" s="40" t="str">
        <f>TEXT(Table24[[#This Row],[YEAR]],"0000")&amp;"-"&amp;Table24[[#This Row],[MONTH]]</f>
        <v>-</v>
      </c>
    </row>
    <row r="14" spans="1:20" ht="18" x14ac:dyDescent="0.35">
      <c r="E14" s="217"/>
      <c r="L14" s="3"/>
      <c r="M14" s="3"/>
      <c r="Q14" s="40" t="str">
        <f>IF(Table24[[#This Row],[Contract Signature Date]]=0,"",YEAR(E14))</f>
        <v/>
      </c>
      <c r="R14" s="40" t="str">
        <f t="shared" si="0"/>
        <v/>
      </c>
      <c r="S14" s="40" t="str">
        <f t="shared" si="1"/>
        <v/>
      </c>
      <c r="T14" s="40" t="str">
        <f>TEXT(Table24[[#This Row],[YEAR]],"0000")&amp;"-"&amp;Table24[[#This Row],[MONTH]]</f>
        <v>-</v>
      </c>
    </row>
    <row r="15" spans="1:20" ht="18" x14ac:dyDescent="0.35">
      <c r="E15" s="213"/>
      <c r="L15" s="3"/>
      <c r="M15" s="3">
        <f>Table24[[#This Row],[Quantity]]*Table24[[#This Row],[UNIT PRICE]]</f>
        <v>0</v>
      </c>
      <c r="Q15" s="40" t="str">
        <f>IF(Table24[[#This Row],[Contract Signature Date]]=0,"",YEAR(E15))</f>
        <v/>
      </c>
      <c r="R15" s="40" t="str">
        <f t="shared" si="0"/>
        <v/>
      </c>
      <c r="S15" s="40" t="str">
        <f t="shared" si="1"/>
        <v/>
      </c>
      <c r="T15" s="40" t="str">
        <f>TEXT(Table24[[#This Row],[YEAR]],"0000")&amp;"-"&amp;Table24[[#This Row],[MONTH]]</f>
        <v>-</v>
      </c>
    </row>
    <row r="16" spans="1:20" ht="18" x14ac:dyDescent="0.35">
      <c r="E16" s="213"/>
      <c r="L16" s="3"/>
      <c r="M16" s="3">
        <f>Table24[[#This Row],[Quantity]]*Table24[[#This Row],[UNIT PRICE]]</f>
        <v>0</v>
      </c>
      <c r="Q16" s="40" t="str">
        <f>IF(Table24[[#This Row],[Contract Signature Date]]=0,"",YEAR(E16))</f>
        <v/>
      </c>
      <c r="R16" s="40" t="str">
        <f t="shared" si="0"/>
        <v/>
      </c>
      <c r="S16" s="40" t="str">
        <f t="shared" si="1"/>
        <v/>
      </c>
      <c r="T16" s="40" t="str">
        <f>TEXT(Table24[[#This Row],[YEAR]],"0000")&amp;"-"&amp;Table24[[#This Row],[MONTH]]</f>
        <v>-</v>
      </c>
    </row>
    <row r="17" spans="5:20" ht="18" x14ac:dyDescent="0.35">
      <c r="E17" s="213"/>
      <c r="L17" s="3"/>
      <c r="M17" s="3">
        <f>Table24[[#This Row],[Quantity]]*Table24[[#This Row],[UNIT PRICE]]</f>
        <v>0</v>
      </c>
      <c r="Q17" s="40" t="str">
        <f>IF(Table24[[#This Row],[Contract Signature Date]]=0,"",YEAR(E17))</f>
        <v/>
      </c>
      <c r="R17" s="40" t="str">
        <f t="shared" si="0"/>
        <v/>
      </c>
      <c r="S17" s="40" t="str">
        <f t="shared" si="1"/>
        <v/>
      </c>
      <c r="T17" s="40" t="str">
        <f>TEXT(Table24[[#This Row],[YEAR]],"0000")&amp;"-"&amp;Table24[[#This Row],[MONTH]]</f>
        <v>-</v>
      </c>
    </row>
    <row r="18" spans="5:20" ht="18" x14ac:dyDescent="0.35">
      <c r="E18" s="213"/>
      <c r="L18" s="3"/>
      <c r="M18" s="3">
        <f>Table24[[#This Row],[Quantity]]*Table24[[#This Row],[UNIT PRICE]]</f>
        <v>0</v>
      </c>
      <c r="Q18" s="40" t="str">
        <f>IF(Table24[[#This Row],[Contract Signature Date]]=0,"",YEAR(E18))</f>
        <v/>
      </c>
      <c r="R18" s="40" t="str">
        <f t="shared" si="0"/>
        <v/>
      </c>
      <c r="S18" s="40" t="str">
        <f t="shared" si="1"/>
        <v/>
      </c>
      <c r="T18" s="40" t="str">
        <f>TEXT(Table24[[#This Row],[YEAR]],"0000")&amp;"-"&amp;Table24[[#This Row],[MONTH]]</f>
        <v>-</v>
      </c>
    </row>
    <row r="19" spans="5:20" ht="18" x14ac:dyDescent="0.35">
      <c r="E19" s="213"/>
      <c r="L19" s="3"/>
      <c r="M19" s="3">
        <f>Table24[[#This Row],[Quantity]]*Table24[[#This Row],[UNIT PRICE]]</f>
        <v>0</v>
      </c>
      <c r="Q19" s="40" t="str">
        <f>IF(Table24[[#This Row],[Contract Signature Date]]=0,"",YEAR(E19))</f>
        <v/>
      </c>
      <c r="R19" s="40" t="str">
        <f t="shared" si="0"/>
        <v/>
      </c>
      <c r="S19" s="40" t="str">
        <f t="shared" si="1"/>
        <v/>
      </c>
      <c r="T19" s="40" t="str">
        <f>TEXT(Table24[[#This Row],[YEAR]],"0000")&amp;"-"&amp;Table24[[#This Row],[MONTH]]</f>
        <v>-</v>
      </c>
    </row>
    <row r="20" spans="5:20" ht="18" x14ac:dyDescent="0.35">
      <c r="E20" s="213"/>
      <c r="L20" s="3"/>
      <c r="M20" s="3">
        <f>Table24[[#This Row],[Quantity]]*Table24[[#This Row],[UNIT PRICE]]</f>
        <v>0</v>
      </c>
      <c r="Q20" s="40" t="str">
        <f>IF(Table24[[#This Row],[Contract Signature Date]]=0,"",YEAR(E20))</f>
        <v/>
      </c>
      <c r="R20" s="40" t="str">
        <f t="shared" si="0"/>
        <v/>
      </c>
      <c r="S20" s="40" t="str">
        <f t="shared" si="1"/>
        <v/>
      </c>
      <c r="T20" s="40" t="str">
        <f>TEXT(Table24[[#This Row],[YEAR]],"0000")&amp;"-"&amp;Table24[[#This Row],[MONTH]]</f>
        <v>-</v>
      </c>
    </row>
    <row r="21" spans="5:20" ht="18" x14ac:dyDescent="0.35">
      <c r="E21" s="213"/>
      <c r="L21" s="3"/>
      <c r="M21" s="3">
        <f>Table24[[#This Row],[Quantity]]*Table24[[#This Row],[UNIT PRICE]]</f>
        <v>0</v>
      </c>
      <c r="Q21" s="40" t="str">
        <f>IF(Table24[[#This Row],[Contract Signature Date]]=0,"",YEAR(E21))</f>
        <v/>
      </c>
      <c r="R21" s="40" t="str">
        <f t="shared" si="0"/>
        <v/>
      </c>
      <c r="S21" s="40" t="str">
        <f t="shared" si="1"/>
        <v/>
      </c>
      <c r="T21" s="40" t="str">
        <f>TEXT(Table24[[#This Row],[YEAR]],"0000")&amp;"-"&amp;Table24[[#This Row],[MONTH]]</f>
        <v>-</v>
      </c>
    </row>
    <row r="22" spans="5:20" ht="18" x14ac:dyDescent="0.35">
      <c r="E22" s="213"/>
      <c r="L22" s="3"/>
      <c r="M22" s="3">
        <f>Table24[[#This Row],[Quantity]]*Table24[[#This Row],[UNIT PRICE]]</f>
        <v>0</v>
      </c>
      <c r="Q22" s="40" t="str">
        <f>IF(Table24[[#This Row],[Contract Signature Date]]=0,"",YEAR(E22))</f>
        <v/>
      </c>
      <c r="R22" s="40" t="str">
        <f t="shared" si="0"/>
        <v/>
      </c>
      <c r="S22" s="40" t="str">
        <f t="shared" si="1"/>
        <v/>
      </c>
      <c r="T22" s="40" t="str">
        <f>TEXT(Table24[[#This Row],[YEAR]],"0000")&amp;"-"&amp;Table24[[#This Row],[MONTH]]</f>
        <v>-</v>
      </c>
    </row>
    <row r="23" spans="5:20" ht="18" x14ac:dyDescent="0.35">
      <c r="E23" s="213"/>
      <c r="L23" s="3"/>
      <c r="M23" s="3">
        <f>Table24[[#This Row],[Quantity]]*Table24[[#This Row],[UNIT PRICE]]</f>
        <v>0</v>
      </c>
      <c r="Q23" s="40" t="str">
        <f>IF(Table24[[#This Row],[Contract Signature Date]]=0,"",YEAR(E23))</f>
        <v/>
      </c>
      <c r="R23" s="40" t="str">
        <f t="shared" si="0"/>
        <v/>
      </c>
      <c r="S23" s="40" t="str">
        <f t="shared" si="1"/>
        <v/>
      </c>
      <c r="T23" s="40" t="str">
        <f>TEXT(Table24[[#This Row],[YEAR]],"0000")&amp;"-"&amp;Table24[[#This Row],[MONTH]]</f>
        <v>-</v>
      </c>
    </row>
    <row r="24" spans="5:20" ht="18" x14ac:dyDescent="0.35">
      <c r="E24" s="213"/>
      <c r="L24" s="3"/>
      <c r="M24" s="3">
        <f>Table24[[#This Row],[Quantity]]*Table24[[#This Row],[UNIT PRICE]]</f>
        <v>0</v>
      </c>
      <c r="Q24" s="40" t="str">
        <f>IF(Table24[[#This Row],[Contract Signature Date]]=0,"",YEAR(E24))</f>
        <v/>
      </c>
      <c r="R24" s="40" t="str">
        <f t="shared" si="0"/>
        <v/>
      </c>
      <c r="S24" s="40" t="str">
        <f t="shared" si="1"/>
        <v/>
      </c>
      <c r="T24" s="40" t="str">
        <f>TEXT(Table24[[#This Row],[YEAR]],"0000")&amp;"-"&amp;Table24[[#This Row],[MONTH]]</f>
        <v>-</v>
      </c>
    </row>
    <row r="25" spans="5:20" ht="18" x14ac:dyDescent="0.35">
      <c r="E25" s="213"/>
      <c r="L25" s="3"/>
      <c r="M25" s="3">
        <f>Table24[[#This Row],[Quantity]]*Table24[[#This Row],[UNIT PRICE]]</f>
        <v>0</v>
      </c>
      <c r="Q25" s="40" t="str">
        <f>IF(Table24[[#This Row],[Contract Signature Date]]=0,"",YEAR(E25))</f>
        <v/>
      </c>
      <c r="R25" s="40" t="str">
        <f t="shared" si="0"/>
        <v/>
      </c>
      <c r="S25" s="40" t="str">
        <f t="shared" si="1"/>
        <v/>
      </c>
      <c r="T25" s="40" t="str">
        <f>TEXT(Table24[[#This Row],[YEAR]],"0000")&amp;"-"&amp;Table24[[#This Row],[MONTH]]</f>
        <v>-</v>
      </c>
    </row>
    <row r="26" spans="5:20" ht="18" x14ac:dyDescent="0.35">
      <c r="E26" s="213"/>
      <c r="L26" s="3"/>
      <c r="M26" s="3">
        <f>Table24[[#This Row],[Quantity]]*Table24[[#This Row],[UNIT PRICE]]</f>
        <v>0</v>
      </c>
      <c r="Q26" s="40" t="str">
        <f>IF(Table24[[#This Row],[Contract Signature Date]]=0,"",YEAR(E26))</f>
        <v/>
      </c>
      <c r="R26" s="40" t="str">
        <f t="shared" si="0"/>
        <v/>
      </c>
      <c r="S26" s="40" t="str">
        <f t="shared" si="1"/>
        <v/>
      </c>
      <c r="T26" s="40" t="str">
        <f>TEXT(Table24[[#This Row],[YEAR]],"0000")&amp;"-"&amp;Table24[[#This Row],[MONTH]]</f>
        <v>-</v>
      </c>
    </row>
    <row r="27" spans="5:20" ht="18" x14ac:dyDescent="0.35">
      <c r="E27" s="213"/>
      <c r="L27" s="3"/>
      <c r="M27" s="3">
        <f>Table24[[#This Row],[Quantity]]*Table24[[#This Row],[UNIT PRICE]]</f>
        <v>0</v>
      </c>
      <c r="Q27" s="40" t="str">
        <f>IF(Table24[[#This Row],[Contract Signature Date]]=0,"",YEAR(E27))</f>
        <v/>
      </c>
      <c r="R27" s="40" t="str">
        <f t="shared" si="0"/>
        <v/>
      </c>
      <c r="S27" s="40" t="str">
        <f t="shared" si="1"/>
        <v/>
      </c>
      <c r="T27" s="40" t="str">
        <f>TEXT(Table24[[#This Row],[YEAR]],"0000")&amp;"-"&amp;Table24[[#This Row],[MONTH]]</f>
        <v>-</v>
      </c>
    </row>
    <row r="28" spans="5:20" ht="18" x14ac:dyDescent="0.35">
      <c r="E28" s="213"/>
      <c r="L28" s="3"/>
      <c r="M28" s="3">
        <f>Table24[[#This Row],[Quantity]]*Table24[[#This Row],[UNIT PRICE]]</f>
        <v>0</v>
      </c>
      <c r="Q28" s="40" t="str">
        <f>IF(Table24[[#This Row],[Contract Signature Date]]=0,"",YEAR(E28))</f>
        <v/>
      </c>
      <c r="R28" s="40" t="str">
        <f t="shared" si="0"/>
        <v/>
      </c>
      <c r="S28" s="40" t="str">
        <f t="shared" si="1"/>
        <v/>
      </c>
      <c r="T28" s="40" t="str">
        <f>TEXT(Table24[[#This Row],[YEAR]],"0000")&amp;"-"&amp;Table24[[#This Row],[MONTH]]</f>
        <v>-</v>
      </c>
    </row>
    <row r="29" spans="5:20" ht="18" x14ac:dyDescent="0.35">
      <c r="E29" s="213"/>
      <c r="L29" s="3"/>
      <c r="M29" s="3">
        <f>Table24[[#This Row],[Quantity]]*Table24[[#This Row],[UNIT PRICE]]</f>
        <v>0</v>
      </c>
      <c r="Q29" s="40" t="str">
        <f>IF(Table24[[#This Row],[Contract Signature Date]]=0,"",YEAR(E29))</f>
        <v/>
      </c>
      <c r="R29" s="40" t="str">
        <f t="shared" si="0"/>
        <v/>
      </c>
      <c r="S29" s="40" t="str">
        <f t="shared" si="1"/>
        <v/>
      </c>
      <c r="T29" s="40" t="str">
        <f>TEXT(Table24[[#This Row],[YEAR]],"0000")&amp;"-"&amp;Table24[[#This Row],[MONTH]]</f>
        <v>-</v>
      </c>
    </row>
    <row r="30" spans="5:20" ht="18" x14ac:dyDescent="0.35">
      <c r="E30" s="213"/>
      <c r="L30" s="3"/>
      <c r="M30" s="3">
        <f>Table24[[#This Row],[Quantity]]*Table24[[#This Row],[UNIT PRICE]]</f>
        <v>0</v>
      </c>
      <c r="Q30" s="40" t="str">
        <f>IF(Table24[[#This Row],[Contract Signature Date]]=0,"",YEAR(E30))</f>
        <v/>
      </c>
      <c r="R30" s="40" t="str">
        <f t="shared" si="0"/>
        <v/>
      </c>
      <c r="S30" s="40" t="str">
        <f t="shared" si="1"/>
        <v/>
      </c>
      <c r="T30" s="40" t="str">
        <f>TEXT(Table24[[#This Row],[YEAR]],"0000")&amp;"-"&amp;Table24[[#This Row],[MONTH]]</f>
        <v>-</v>
      </c>
    </row>
    <row r="31" spans="5:20" ht="18" x14ac:dyDescent="0.35">
      <c r="E31" s="213"/>
      <c r="L31" s="3"/>
      <c r="M31" s="3">
        <f>Table24[[#This Row],[Quantity]]*Table24[[#This Row],[UNIT PRICE]]</f>
        <v>0</v>
      </c>
      <c r="Q31" s="40" t="str">
        <f>IF(Table24[[#This Row],[Contract Signature Date]]=0,"",YEAR(E31))</f>
        <v/>
      </c>
      <c r="R31" s="40" t="str">
        <f t="shared" si="0"/>
        <v/>
      </c>
      <c r="S31" s="40" t="str">
        <f t="shared" si="1"/>
        <v/>
      </c>
      <c r="T31" s="40" t="str">
        <f>TEXT(Table24[[#This Row],[YEAR]],"0000")&amp;"-"&amp;Table24[[#This Row],[MONTH]]</f>
        <v>-</v>
      </c>
    </row>
    <row r="32" spans="5:20" ht="18" x14ac:dyDescent="0.35">
      <c r="E32" s="214"/>
      <c r="L32" s="3"/>
      <c r="M32" s="3">
        <f>Table24[[#This Row],[Quantity]]*Table24[[#This Row],[UNIT PRICE]]</f>
        <v>0</v>
      </c>
      <c r="Q32" s="40" t="str">
        <f>IF(Table24[[#This Row],[Contract Signature Date]]=0,"",YEAR(E32))</f>
        <v/>
      </c>
      <c r="R32" s="40" t="str">
        <f t="shared" si="0"/>
        <v/>
      </c>
      <c r="S32" s="40" t="str">
        <f t="shared" si="1"/>
        <v/>
      </c>
      <c r="T32" s="40" t="str">
        <f>TEXT(Table24[[#This Row],[YEAR]],"0000")&amp;"-"&amp;Table24[[#This Row],[MONTH]]</f>
        <v>-</v>
      </c>
    </row>
    <row r="33" spans="5:20" ht="18" x14ac:dyDescent="0.35">
      <c r="E33" s="213"/>
      <c r="L33" s="3"/>
      <c r="M33" s="3">
        <f>Table24[[#This Row],[Quantity]]*Table24[[#This Row],[UNIT PRICE]]</f>
        <v>0</v>
      </c>
      <c r="Q33" s="40" t="str">
        <f>IF(Table24[[#This Row],[Contract Signature Date]]=0,"",YEAR(E33))</f>
        <v/>
      </c>
      <c r="R33" s="40" t="str">
        <f t="shared" si="0"/>
        <v/>
      </c>
      <c r="S33" s="40" t="str">
        <f t="shared" si="1"/>
        <v/>
      </c>
      <c r="T33" s="40" t="str">
        <f>TEXT(Table24[[#This Row],[YEAR]],"0000")&amp;"-"&amp;Table24[[#This Row],[MONTH]]</f>
        <v>-</v>
      </c>
    </row>
    <row r="34" spans="5:20" ht="18" x14ac:dyDescent="0.35">
      <c r="E34" s="213"/>
      <c r="L34" s="3"/>
      <c r="M34" s="3">
        <f>Table24[[#This Row],[Quantity]]*Table24[[#This Row],[UNIT PRICE]]</f>
        <v>0</v>
      </c>
      <c r="Q34" s="40" t="str">
        <f>IF(Table24[[#This Row],[Contract Signature Date]]=0,"",YEAR(E34))</f>
        <v/>
      </c>
      <c r="R34" s="40" t="str">
        <f t="shared" si="0"/>
        <v/>
      </c>
      <c r="S34" s="40" t="str">
        <f t="shared" si="1"/>
        <v/>
      </c>
      <c r="T34" s="40" t="str">
        <f>TEXT(Table24[[#This Row],[YEAR]],"0000")&amp;"-"&amp;Table24[[#This Row],[MONTH]]</f>
        <v>-</v>
      </c>
    </row>
    <row r="35" spans="5:20" ht="18" x14ac:dyDescent="0.35">
      <c r="E35" s="213"/>
      <c r="L35" s="3"/>
      <c r="M35" s="3">
        <f>Table24[[#This Row],[Quantity]]*Table24[[#This Row],[UNIT PRICE]]</f>
        <v>0</v>
      </c>
      <c r="Q35" s="40" t="str">
        <f>IF(Table24[[#This Row],[Contract Signature Date]]=0,"",YEAR(E35))</f>
        <v/>
      </c>
      <c r="R35" s="40" t="str">
        <f t="shared" si="0"/>
        <v/>
      </c>
      <c r="S35" s="40" t="str">
        <f t="shared" si="1"/>
        <v/>
      </c>
      <c r="T35" s="40" t="str">
        <f>TEXT(Table24[[#This Row],[YEAR]],"0000")&amp;"-"&amp;Table24[[#This Row],[MONTH]]</f>
        <v>-</v>
      </c>
    </row>
    <row r="36" spans="5:20" ht="18" x14ac:dyDescent="0.35">
      <c r="E36" s="213"/>
      <c r="L36" s="3"/>
      <c r="M36" s="3">
        <f>Table24[[#This Row],[Quantity]]*Table24[[#This Row],[UNIT PRICE]]</f>
        <v>0</v>
      </c>
      <c r="Q36" s="40" t="str">
        <f>IF(Table24[[#This Row],[Contract Signature Date]]=0,"",YEAR(E36))</f>
        <v/>
      </c>
      <c r="R36" s="40" t="str">
        <f t="shared" si="0"/>
        <v/>
      </c>
      <c r="S36" s="40" t="str">
        <f t="shared" si="1"/>
        <v/>
      </c>
      <c r="T36" s="40" t="str">
        <f>TEXT(Table24[[#This Row],[YEAR]],"0000")&amp;"-"&amp;Table24[[#This Row],[MONTH]]</f>
        <v>-</v>
      </c>
    </row>
    <row r="37" spans="5:20" ht="18" x14ac:dyDescent="0.35">
      <c r="E37" s="213"/>
      <c r="L37" s="3"/>
      <c r="M37" s="3">
        <f>Table24[[#This Row],[Quantity]]*Table24[[#This Row],[UNIT PRICE]]</f>
        <v>0</v>
      </c>
      <c r="Q37" s="40" t="str">
        <f>IF(Table24[[#This Row],[Contract Signature Date]]=0,"",YEAR(E37))</f>
        <v/>
      </c>
      <c r="R37" s="40" t="str">
        <f t="shared" si="0"/>
        <v/>
      </c>
      <c r="S37" s="40" t="str">
        <f t="shared" si="1"/>
        <v/>
      </c>
      <c r="T37" s="40" t="str">
        <f>TEXT(Table24[[#This Row],[YEAR]],"0000")&amp;"-"&amp;Table24[[#This Row],[MONTH]]</f>
        <v>-</v>
      </c>
    </row>
    <row r="38" spans="5:20" ht="18" x14ac:dyDescent="0.35">
      <c r="E38" s="213"/>
      <c r="L38" s="3"/>
      <c r="M38" s="3">
        <f>Table24[[#This Row],[Quantity]]*Table24[[#This Row],[UNIT PRICE]]</f>
        <v>0</v>
      </c>
      <c r="Q38" s="40" t="str">
        <f>IF(Table24[[#This Row],[Contract Signature Date]]=0,"",YEAR(E38))</f>
        <v/>
      </c>
      <c r="R38" s="40" t="str">
        <f t="shared" si="0"/>
        <v/>
      </c>
      <c r="S38" s="40" t="str">
        <f t="shared" si="1"/>
        <v/>
      </c>
      <c r="T38" s="40" t="str">
        <f>TEXT(Table24[[#This Row],[YEAR]],"0000")&amp;"-"&amp;Table24[[#This Row],[MONTH]]</f>
        <v>-</v>
      </c>
    </row>
    <row r="39" spans="5:20" ht="18" x14ac:dyDescent="0.35">
      <c r="E39" s="213"/>
      <c r="L39" s="3"/>
      <c r="M39" s="3">
        <f>Table24[[#This Row],[Quantity]]*Table24[[#This Row],[UNIT PRICE]]</f>
        <v>0</v>
      </c>
      <c r="Q39" s="40" t="str">
        <f>IF(Table24[[#This Row],[Contract Signature Date]]=0,"",YEAR(E39))</f>
        <v/>
      </c>
      <c r="R39" s="40" t="str">
        <f t="shared" si="0"/>
        <v/>
      </c>
      <c r="S39" s="40" t="str">
        <f t="shared" si="1"/>
        <v/>
      </c>
      <c r="T39" s="40" t="str">
        <f>TEXT(Table24[[#This Row],[YEAR]],"0000")&amp;"-"&amp;Table24[[#This Row],[MONTH]]</f>
        <v>-</v>
      </c>
    </row>
    <row r="40" spans="5:20" ht="18" x14ac:dyDescent="0.35">
      <c r="E40" s="213"/>
      <c r="L40" s="3"/>
      <c r="M40" s="3">
        <f>Table24[[#This Row],[Quantity]]*Table24[[#This Row],[UNIT PRICE]]</f>
        <v>0</v>
      </c>
      <c r="Q40" s="40" t="str">
        <f>IF(Table24[[#This Row],[Contract Signature Date]]=0,"",YEAR(E40))</f>
        <v/>
      </c>
      <c r="R40" s="40" t="str">
        <f t="shared" si="0"/>
        <v/>
      </c>
      <c r="S40" s="40" t="str">
        <f t="shared" si="1"/>
        <v/>
      </c>
      <c r="T40" s="40" t="str">
        <f>TEXT(Table24[[#This Row],[YEAR]],"0000")&amp;"-"&amp;Table24[[#This Row],[MONTH]]</f>
        <v>-</v>
      </c>
    </row>
    <row r="41" spans="5:20" ht="18" x14ac:dyDescent="0.35">
      <c r="E41" s="213"/>
      <c r="L41" s="3"/>
      <c r="M41" s="3">
        <f>Table24[[#This Row],[Quantity]]*Table24[[#This Row],[UNIT PRICE]]</f>
        <v>0</v>
      </c>
      <c r="Q41" s="40" t="str">
        <f>IF(Table24[[#This Row],[Contract Signature Date]]=0,"",YEAR(E41))</f>
        <v/>
      </c>
      <c r="R41" s="40" t="str">
        <f t="shared" si="0"/>
        <v/>
      </c>
      <c r="S41" s="40" t="str">
        <f t="shared" si="1"/>
        <v/>
      </c>
      <c r="T41" s="40" t="str">
        <f>TEXT(Table24[[#This Row],[YEAR]],"0000")&amp;"-"&amp;Table24[[#This Row],[MONTH]]</f>
        <v>-</v>
      </c>
    </row>
    <row r="42" spans="5:20" ht="18" x14ac:dyDescent="0.35">
      <c r="E42" s="213"/>
      <c r="L42" s="3"/>
      <c r="M42" s="3">
        <f>Table24[[#This Row],[Quantity]]*Table24[[#This Row],[UNIT PRICE]]</f>
        <v>0</v>
      </c>
      <c r="Q42" s="40" t="str">
        <f>IF(Table24[[#This Row],[Contract Signature Date]]=0,"",YEAR(E42))</f>
        <v/>
      </c>
      <c r="R42" s="40" t="str">
        <f t="shared" si="0"/>
        <v/>
      </c>
      <c r="S42" s="40" t="str">
        <f t="shared" si="1"/>
        <v/>
      </c>
      <c r="T42" s="40" t="str">
        <f>TEXT(Table24[[#This Row],[YEAR]],"0000")&amp;"-"&amp;Table24[[#This Row],[MONTH]]</f>
        <v>-</v>
      </c>
    </row>
    <row r="43" spans="5:20" ht="18" x14ac:dyDescent="0.35">
      <c r="E43" s="213"/>
      <c r="L43" s="3"/>
      <c r="M43" s="3">
        <f>Table24[[#This Row],[Quantity]]*Table24[[#This Row],[UNIT PRICE]]</f>
        <v>0</v>
      </c>
      <c r="Q43" s="40" t="str">
        <f>IF(Table24[[#This Row],[Contract Signature Date]]=0,"",YEAR(E43))</f>
        <v/>
      </c>
      <c r="R43" s="40" t="str">
        <f t="shared" si="0"/>
        <v/>
      </c>
      <c r="S43" s="40" t="str">
        <f t="shared" si="1"/>
        <v/>
      </c>
      <c r="T43" s="40" t="str">
        <f>TEXT(Table24[[#This Row],[YEAR]],"0000")&amp;"-"&amp;Table24[[#This Row],[MONTH]]</f>
        <v>-</v>
      </c>
    </row>
    <row r="44" spans="5:20" ht="18" x14ac:dyDescent="0.35">
      <c r="E44" s="213"/>
      <c r="L44" s="3"/>
      <c r="M44" s="3">
        <f>Table24[[#This Row],[Quantity]]*Table24[[#This Row],[UNIT PRICE]]</f>
        <v>0</v>
      </c>
      <c r="Q44" s="40" t="str">
        <f>IF(Table24[[#This Row],[Contract Signature Date]]=0,"",YEAR(E44))</f>
        <v/>
      </c>
      <c r="R44" s="40" t="str">
        <f t="shared" si="0"/>
        <v/>
      </c>
      <c r="S44" s="40" t="str">
        <f t="shared" si="1"/>
        <v/>
      </c>
      <c r="T44" s="40" t="str">
        <f>TEXT(Table24[[#This Row],[YEAR]],"0000")&amp;"-"&amp;Table24[[#This Row],[MONTH]]</f>
        <v>-</v>
      </c>
    </row>
    <row r="45" spans="5:20" ht="18" x14ac:dyDescent="0.35">
      <c r="E45" s="213"/>
      <c r="L45" s="3"/>
      <c r="M45" s="3">
        <f>Table24[[#This Row],[Quantity]]*Table24[[#This Row],[UNIT PRICE]]</f>
        <v>0</v>
      </c>
      <c r="Q45" s="40" t="str">
        <f>IF(Table24[[#This Row],[Contract Signature Date]]=0,"",YEAR(E45))</f>
        <v/>
      </c>
      <c r="R45" s="40" t="str">
        <f t="shared" si="0"/>
        <v/>
      </c>
      <c r="S45" s="40" t="str">
        <f t="shared" si="1"/>
        <v/>
      </c>
      <c r="T45" s="40" t="str">
        <f>TEXT(Table24[[#This Row],[YEAR]],"0000")&amp;"-"&amp;Table24[[#This Row],[MONTH]]</f>
        <v>-</v>
      </c>
    </row>
    <row r="46" spans="5:20" ht="18" x14ac:dyDescent="0.35">
      <c r="E46" s="213"/>
      <c r="L46" s="3"/>
      <c r="M46" s="3">
        <f>Table24[[#This Row],[Quantity]]*Table24[[#This Row],[UNIT PRICE]]</f>
        <v>0</v>
      </c>
      <c r="Q46" s="40" t="str">
        <f>IF(Table24[[#This Row],[Contract Signature Date]]=0,"",YEAR(E46))</f>
        <v/>
      </c>
      <c r="R46" s="40" t="str">
        <f t="shared" si="0"/>
        <v/>
      </c>
      <c r="S46" s="40" t="str">
        <f t="shared" si="1"/>
        <v/>
      </c>
      <c r="T46" s="40" t="str">
        <f>TEXT(Table24[[#This Row],[YEAR]],"0000")&amp;"-"&amp;Table24[[#This Row],[MONTH]]</f>
        <v>-</v>
      </c>
    </row>
    <row r="47" spans="5:20" ht="18" x14ac:dyDescent="0.35">
      <c r="E47" s="213"/>
      <c r="L47" s="3"/>
      <c r="M47" s="3">
        <f>Table24[[#This Row],[Quantity]]*Table24[[#This Row],[UNIT PRICE]]</f>
        <v>0</v>
      </c>
      <c r="Q47" s="40" t="str">
        <f>IF(Table24[[#This Row],[Contract Signature Date]]=0,"",YEAR(E47))</f>
        <v/>
      </c>
      <c r="R47" s="40" t="str">
        <f t="shared" si="0"/>
        <v/>
      </c>
      <c r="S47" s="40" t="str">
        <f t="shared" si="1"/>
        <v/>
      </c>
      <c r="T47" s="40" t="str">
        <f>TEXT(Table24[[#This Row],[YEAR]],"0000")&amp;"-"&amp;Table24[[#This Row],[MONTH]]</f>
        <v>-</v>
      </c>
    </row>
    <row r="48" spans="5:20" ht="18" x14ac:dyDescent="0.35">
      <c r="E48" s="213"/>
      <c r="L48" s="3"/>
      <c r="M48" s="3">
        <f>Table24[[#This Row],[Quantity]]*Table24[[#This Row],[UNIT PRICE]]</f>
        <v>0</v>
      </c>
      <c r="Q48" s="40" t="str">
        <f>IF(Table24[[#This Row],[Contract Signature Date]]=0,"",YEAR(E48))</f>
        <v/>
      </c>
      <c r="R48" s="40" t="str">
        <f t="shared" si="0"/>
        <v/>
      </c>
      <c r="S48" s="40" t="str">
        <f t="shared" si="1"/>
        <v/>
      </c>
      <c r="T48" s="40" t="str">
        <f>TEXT(Table24[[#This Row],[YEAR]],"0000")&amp;"-"&amp;Table24[[#This Row],[MONTH]]</f>
        <v>-</v>
      </c>
    </row>
  </sheetData>
  <mergeCells count="5">
    <mergeCell ref="B1:D1"/>
    <mergeCell ref="F1:I1"/>
    <mergeCell ref="N1:P1"/>
    <mergeCell ref="Q1:T1"/>
    <mergeCell ref="J1:M1"/>
  </mergeCells>
  <phoneticPr fontId="16" type="noConversion"/>
  <conditionalFormatting sqref="H1:H2">
    <cfRule type="duplicateValues" dxfId="18" priority="3"/>
  </conditionalFormatting>
  <conditionalFormatting sqref="G2">
    <cfRule type="duplicateValues" dxfId="17" priority="2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CAlculate">
                <anchor moveWithCells="1" sizeWithCells="1">
                  <from>
                    <xdr:col>0</xdr:col>
                    <xdr:colOff>38100</xdr:colOff>
                    <xdr:row>1</xdr:row>
                    <xdr:rowOff>76200</xdr:rowOff>
                  </from>
                  <to>
                    <xdr:col>0</xdr:col>
                    <xdr:colOff>1554480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CAE3E75-F173-4BE3-BCC0-8CD245A52C63}">
          <x14:formula1>
            <xm:f>'CATEGORY TABLES'!$G$2:$G$22</xm:f>
          </x14:formula1>
          <xm:sqref>B3:B48</xm:sqref>
        </x14:dataValidation>
        <x14:dataValidation type="list" allowBlank="1" showInputMessage="1" showErrorMessage="1" xr:uid="{AD43DF0B-E4BB-4B1F-BF72-FE1CECE8AC7E}">
          <x14:formula1>
            <xm:f>'CATEGORY TABLES'!$E$2:$E$30</xm:f>
          </x14:formula1>
          <xm:sqref>D3:D48</xm:sqref>
        </x14:dataValidation>
        <x14:dataValidation type="list" allowBlank="1" showInputMessage="1" showErrorMessage="1" xr:uid="{CB8C5BDC-8F04-4BA1-BA18-24000CB4B1B9}">
          <x14:formula1>
            <xm:f>SUPPLIERS!$B$2:$B$100</xm:f>
          </x14:formula1>
          <xm:sqref>F3:F48</xm:sqref>
        </x14:dataValidation>
        <x14:dataValidation type="list" allowBlank="1" showInputMessage="1" showErrorMessage="1" xr:uid="{93CC6C2C-4185-489A-AA0D-D58774047ECE}">
          <x14:formula1>
            <xm:f>'CATEGORY TABLES'!$Q$2:$Q$10</xm:f>
          </x14:formula1>
          <xm:sqref>N3:N48</xm:sqref>
        </x14:dataValidation>
        <x14:dataValidation type="list" allowBlank="1" showInputMessage="1" showErrorMessage="1" xr:uid="{43C8A619-9C6B-4F82-AC7B-A358625EB3AA}">
          <x14:formula1>
            <xm:f>'CATEGORY TABLES'!$I$2:$I$18</xm:f>
          </x14:formula1>
          <xm:sqref>O3:O48</xm:sqref>
        </x14:dataValidation>
        <x14:dataValidation type="list" allowBlank="1" showInputMessage="1" showErrorMessage="1" xr:uid="{BFFA8B06-2F41-44EB-A245-CB945D00C9F9}">
          <x14:formula1>
            <xm:f>'CATEGORY TABLES'!$O$2:$O$5</xm:f>
          </x14:formula1>
          <xm:sqref>P3:P48</xm:sqref>
        </x14:dataValidation>
        <x14:dataValidation type="list" allowBlank="1" showInputMessage="1" showErrorMessage="1" xr:uid="{95E772CC-EB77-4FD0-A3C0-829B9DDB343A}">
          <x14:formula1>
            <xm:f>'CATEGORY TABLES'!$K$2:$K$27</xm:f>
          </x14:formula1>
          <xm:sqref>C3:C48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DC4C8-3627-41B9-A568-D14D586B986E}">
  <sheetPr codeName="Sheet29"/>
  <dimension ref="A1:B2"/>
  <sheetViews>
    <sheetView workbookViewId="0">
      <selection activeCell="U24" sqref="U24"/>
    </sheetView>
  </sheetViews>
  <sheetFormatPr defaultRowHeight="14.4" x14ac:dyDescent="0.3"/>
  <cols>
    <col min="1" max="1" width="12.77734375" bestFit="1" customWidth="1"/>
    <col min="2" max="2" width="18.21875" bestFit="1" customWidth="1"/>
  </cols>
  <sheetData>
    <row r="1" spans="1:2" x14ac:dyDescent="0.3">
      <c r="A1" s="90" t="s">
        <v>106</v>
      </c>
      <c r="B1" t="s">
        <v>327</v>
      </c>
    </row>
    <row r="2" spans="1:2" x14ac:dyDescent="0.3">
      <c r="A2" s="4" t="s">
        <v>107</v>
      </c>
      <c r="B2" s="293"/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18A59-F652-4122-A402-58C9E23F3E91}">
  <sheetPr codeName="Sheet16"/>
  <dimension ref="A1:D1"/>
  <sheetViews>
    <sheetView topLeftCell="A2329" workbookViewId="0">
      <selection activeCell="D2346" sqref="A2:D2346"/>
    </sheetView>
  </sheetViews>
  <sheetFormatPr defaultRowHeight="14.4" x14ac:dyDescent="0.3"/>
  <cols>
    <col min="1" max="1" width="21.88671875" bestFit="1" customWidth="1"/>
    <col min="2" max="2" width="13.77734375" bestFit="1" customWidth="1"/>
    <col min="3" max="3" width="18.44140625" bestFit="1" customWidth="1"/>
    <col min="4" max="4" width="15.21875" bestFit="1" customWidth="1"/>
    <col min="5" max="5" width="8.6640625" bestFit="1" customWidth="1"/>
    <col min="6" max="6" width="16.33203125" bestFit="1" customWidth="1"/>
    <col min="7" max="7" width="8.6640625" bestFit="1" customWidth="1"/>
  </cols>
  <sheetData>
    <row r="1" spans="1:4" x14ac:dyDescent="0.3">
      <c r="A1" t="s">
        <v>36</v>
      </c>
      <c r="B1" t="s">
        <v>325</v>
      </c>
      <c r="C1" t="s">
        <v>326</v>
      </c>
      <c r="D1" t="s">
        <v>109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A3A9-FF24-4A4A-8ECD-727AADDCA781}">
  <sheetPr codeName="Sheet11">
    <tabColor rgb="FFFF0000"/>
  </sheetPr>
  <dimension ref="A1:L658"/>
  <sheetViews>
    <sheetView workbookViewId="0">
      <pane xSplit="1" ySplit="1" topLeftCell="B446" activePane="bottomRight" state="frozen"/>
      <selection pane="topRight" activeCell="B1" sqref="B1"/>
      <selection pane="bottomLeft" activeCell="A2" sqref="A2"/>
      <selection pane="bottomRight" activeCell="G182" sqref="G182"/>
    </sheetView>
  </sheetViews>
  <sheetFormatPr defaultRowHeight="14.4" x14ac:dyDescent="0.3"/>
  <cols>
    <col min="1" max="1" width="15.33203125" customWidth="1"/>
    <col min="2" max="2" width="51" customWidth="1"/>
    <col min="3" max="3" width="31.88671875" customWidth="1"/>
    <col min="4" max="4" width="8.6640625" customWidth="1"/>
    <col min="5" max="5" width="9.88671875" customWidth="1"/>
    <col min="6" max="6" width="12.44140625" customWidth="1"/>
    <col min="7" max="7" width="14.33203125" customWidth="1"/>
    <col min="8" max="8" width="11.5546875" customWidth="1"/>
    <col min="9" max="9" width="12.109375" style="3" customWidth="1"/>
    <col min="10" max="10" width="13.6640625" customWidth="1"/>
    <col min="11" max="11" width="9.88671875" customWidth="1"/>
    <col min="12" max="12" width="15.88671875" style="96" customWidth="1"/>
    <col min="15" max="15" width="83.88671875" customWidth="1"/>
  </cols>
  <sheetData>
    <row r="1" spans="1:12" ht="103.95" customHeight="1" x14ac:dyDescent="0.3">
      <c r="A1" s="191" t="str">
        <f>'MAIN TABLE-1 AUTOMATED'!A1</f>
        <v>Version: v1.0</v>
      </c>
      <c r="B1" t="s">
        <v>89</v>
      </c>
      <c r="C1" t="s">
        <v>90</v>
      </c>
      <c r="D1" s="165" t="s">
        <v>91</v>
      </c>
      <c r="E1" s="157" t="s">
        <v>92</v>
      </c>
      <c r="F1" s="174" t="s">
        <v>216</v>
      </c>
      <c r="G1" s="175" t="s">
        <v>47</v>
      </c>
      <c r="H1" s="173" t="s">
        <v>250</v>
      </c>
      <c r="I1" s="173" t="s">
        <v>251</v>
      </c>
      <c r="J1" s="11"/>
      <c r="L1"/>
    </row>
    <row r="2" spans="1:12" x14ac:dyDescent="0.3">
      <c r="A2" s="190"/>
      <c r="G2" s="96"/>
      <c r="H2" s="96"/>
      <c r="J2" s="96"/>
      <c r="L2"/>
    </row>
    <row r="3" spans="1:12" x14ac:dyDescent="0.3">
      <c r="G3" s="96"/>
      <c r="H3" s="96"/>
      <c r="J3" s="96"/>
      <c r="L3"/>
    </row>
    <row r="4" spans="1:12" x14ac:dyDescent="0.3">
      <c r="G4" s="96"/>
      <c r="H4" s="96"/>
      <c r="J4" s="96"/>
      <c r="L4"/>
    </row>
    <row r="5" spans="1:12" x14ac:dyDescent="0.3">
      <c r="G5" s="96"/>
      <c r="H5" s="96"/>
      <c r="J5" s="96"/>
      <c r="L5"/>
    </row>
    <row r="6" spans="1:12" x14ac:dyDescent="0.3">
      <c r="G6" s="96"/>
      <c r="H6" s="96"/>
      <c r="J6" s="96"/>
      <c r="L6"/>
    </row>
    <row r="7" spans="1:12" x14ac:dyDescent="0.3">
      <c r="G7" s="96"/>
      <c r="H7" s="96"/>
      <c r="J7" s="96"/>
      <c r="L7"/>
    </row>
    <row r="8" spans="1:12" x14ac:dyDescent="0.3">
      <c r="G8" s="96"/>
      <c r="H8" s="96"/>
      <c r="J8" s="96"/>
      <c r="L8"/>
    </row>
    <row r="9" spans="1:12" x14ac:dyDescent="0.3">
      <c r="G9" s="96"/>
      <c r="H9" s="96"/>
      <c r="J9" s="96"/>
      <c r="L9"/>
    </row>
    <row r="10" spans="1:12" x14ac:dyDescent="0.3">
      <c r="G10" s="96"/>
      <c r="H10" s="96"/>
      <c r="J10" s="96"/>
      <c r="L10"/>
    </row>
    <row r="11" spans="1:12" x14ac:dyDescent="0.3">
      <c r="G11" s="96"/>
      <c r="H11" s="96"/>
      <c r="J11" s="96"/>
      <c r="L11"/>
    </row>
    <row r="12" spans="1:12" x14ac:dyDescent="0.3">
      <c r="G12" s="96"/>
      <c r="H12" s="96"/>
      <c r="J12" s="96"/>
      <c r="L12"/>
    </row>
    <row r="13" spans="1:12" x14ac:dyDescent="0.3">
      <c r="G13" s="96"/>
      <c r="H13" s="96"/>
      <c r="J13" s="96"/>
      <c r="L13"/>
    </row>
    <row r="14" spans="1:12" x14ac:dyDescent="0.3">
      <c r="G14" s="96"/>
      <c r="H14" s="96"/>
      <c r="J14" s="96"/>
      <c r="L14"/>
    </row>
    <row r="15" spans="1:12" x14ac:dyDescent="0.3">
      <c r="G15" s="96"/>
      <c r="H15" s="96"/>
      <c r="J15" s="96"/>
      <c r="L15"/>
    </row>
    <row r="16" spans="1:12" x14ac:dyDescent="0.3">
      <c r="G16" s="96"/>
      <c r="H16" s="96"/>
      <c r="J16" s="96"/>
      <c r="L16"/>
    </row>
    <row r="17" spans="7:12" x14ac:dyDescent="0.3">
      <c r="G17" s="96"/>
      <c r="H17" s="96"/>
      <c r="J17" s="96"/>
      <c r="L17"/>
    </row>
    <row r="18" spans="7:12" x14ac:dyDescent="0.3">
      <c r="G18" s="96"/>
      <c r="H18" s="96"/>
      <c r="J18" s="96"/>
      <c r="L18"/>
    </row>
    <row r="19" spans="7:12" x14ac:dyDescent="0.3">
      <c r="G19" s="96"/>
      <c r="H19" s="96"/>
      <c r="J19" s="96"/>
      <c r="L19"/>
    </row>
    <row r="20" spans="7:12" x14ac:dyDescent="0.3">
      <c r="G20" s="96"/>
      <c r="H20" s="96"/>
      <c r="J20" s="96"/>
      <c r="L20"/>
    </row>
    <row r="21" spans="7:12" x14ac:dyDescent="0.3">
      <c r="G21" s="96"/>
      <c r="H21" s="96"/>
      <c r="J21" s="96"/>
      <c r="L21"/>
    </row>
    <row r="22" spans="7:12" x14ac:dyDescent="0.3">
      <c r="G22" s="96"/>
      <c r="H22" s="96"/>
      <c r="J22" s="96"/>
      <c r="L22"/>
    </row>
    <row r="23" spans="7:12" x14ac:dyDescent="0.3">
      <c r="G23" s="96"/>
      <c r="H23" s="96"/>
      <c r="J23" s="96"/>
      <c r="L23"/>
    </row>
    <row r="24" spans="7:12" x14ac:dyDescent="0.3">
      <c r="G24" s="96"/>
      <c r="H24" s="96"/>
      <c r="J24" s="96"/>
      <c r="L24"/>
    </row>
    <row r="25" spans="7:12" x14ac:dyDescent="0.3">
      <c r="G25" s="96"/>
      <c r="H25" s="96"/>
      <c r="J25" s="96"/>
      <c r="L25"/>
    </row>
    <row r="26" spans="7:12" x14ac:dyDescent="0.3">
      <c r="G26" s="96"/>
      <c r="H26" s="96"/>
      <c r="J26" s="96"/>
      <c r="L26"/>
    </row>
    <row r="27" spans="7:12" x14ac:dyDescent="0.3">
      <c r="G27" s="96"/>
      <c r="H27" s="96"/>
      <c r="J27" s="96"/>
      <c r="L27"/>
    </row>
    <row r="28" spans="7:12" x14ac:dyDescent="0.3">
      <c r="G28" s="96"/>
      <c r="H28" s="96"/>
      <c r="J28" s="96"/>
      <c r="L28"/>
    </row>
    <row r="29" spans="7:12" x14ac:dyDescent="0.3">
      <c r="G29" s="96"/>
      <c r="H29" s="96"/>
      <c r="J29" s="96"/>
      <c r="L29"/>
    </row>
    <row r="30" spans="7:12" x14ac:dyDescent="0.3">
      <c r="G30" s="96"/>
      <c r="H30" s="96"/>
      <c r="J30" s="96"/>
      <c r="L30"/>
    </row>
    <row r="31" spans="7:12" x14ac:dyDescent="0.3">
      <c r="G31" s="96"/>
      <c r="H31" s="96"/>
      <c r="J31" s="96"/>
      <c r="L31"/>
    </row>
    <row r="32" spans="7:12" x14ac:dyDescent="0.3">
      <c r="G32" s="96"/>
      <c r="H32" s="96"/>
      <c r="J32" s="96"/>
      <c r="L32"/>
    </row>
    <row r="33" spans="7:12" x14ac:dyDescent="0.3">
      <c r="G33" s="96"/>
      <c r="H33" s="96"/>
      <c r="J33" s="96"/>
      <c r="L33"/>
    </row>
    <row r="34" spans="7:12" x14ac:dyDescent="0.3">
      <c r="G34" s="96"/>
      <c r="H34" s="96"/>
      <c r="J34" s="96"/>
      <c r="L34"/>
    </row>
    <row r="35" spans="7:12" x14ac:dyDescent="0.3">
      <c r="G35" s="96"/>
      <c r="H35" s="96"/>
      <c r="J35" s="96"/>
      <c r="L35"/>
    </row>
    <row r="36" spans="7:12" x14ac:dyDescent="0.3">
      <c r="G36" s="96"/>
      <c r="H36" s="96"/>
      <c r="J36" s="96"/>
      <c r="L36"/>
    </row>
    <row r="37" spans="7:12" x14ac:dyDescent="0.3">
      <c r="G37" s="96"/>
      <c r="H37" s="96"/>
      <c r="J37" s="96"/>
      <c r="L37"/>
    </row>
    <row r="38" spans="7:12" x14ac:dyDescent="0.3">
      <c r="G38" s="96"/>
      <c r="H38" s="96"/>
      <c r="J38" s="96"/>
      <c r="L38"/>
    </row>
    <row r="39" spans="7:12" x14ac:dyDescent="0.3">
      <c r="G39" s="96"/>
      <c r="H39" s="96"/>
      <c r="J39" s="96"/>
      <c r="L39"/>
    </row>
    <row r="40" spans="7:12" x14ac:dyDescent="0.3">
      <c r="G40" s="96"/>
      <c r="H40" s="96"/>
      <c r="J40" s="96"/>
      <c r="L40"/>
    </row>
    <row r="41" spans="7:12" x14ac:dyDescent="0.3">
      <c r="G41" s="96"/>
      <c r="H41" s="96"/>
      <c r="J41" s="96"/>
      <c r="L41"/>
    </row>
    <row r="42" spans="7:12" x14ac:dyDescent="0.3">
      <c r="G42" s="96"/>
      <c r="H42" s="96"/>
      <c r="J42" s="96"/>
      <c r="L42"/>
    </row>
    <row r="43" spans="7:12" x14ac:dyDescent="0.3">
      <c r="G43" s="96"/>
      <c r="H43" s="96"/>
      <c r="J43" s="96"/>
      <c r="L43"/>
    </row>
    <row r="44" spans="7:12" x14ac:dyDescent="0.3">
      <c r="G44" s="96"/>
      <c r="H44" s="96"/>
      <c r="J44" s="96"/>
      <c r="L44"/>
    </row>
    <row r="45" spans="7:12" x14ac:dyDescent="0.3">
      <c r="G45" s="96"/>
      <c r="H45" s="96"/>
      <c r="J45" s="96"/>
      <c r="L45"/>
    </row>
    <row r="46" spans="7:12" x14ac:dyDescent="0.3">
      <c r="G46" s="96"/>
      <c r="H46" s="96"/>
      <c r="J46" s="96"/>
      <c r="L46"/>
    </row>
    <row r="47" spans="7:12" x14ac:dyDescent="0.3">
      <c r="G47" s="96"/>
      <c r="H47" s="96"/>
      <c r="J47" s="96"/>
      <c r="L47"/>
    </row>
    <row r="48" spans="7:12" x14ac:dyDescent="0.3">
      <c r="G48" s="96"/>
      <c r="H48" s="96"/>
      <c r="J48" s="96"/>
      <c r="L48"/>
    </row>
    <row r="49" spans="7:12" x14ac:dyDescent="0.3">
      <c r="G49" s="96"/>
      <c r="H49" s="96"/>
      <c r="J49" s="96"/>
      <c r="L49"/>
    </row>
    <row r="50" spans="7:12" x14ac:dyDescent="0.3">
      <c r="G50" s="96"/>
      <c r="H50" s="96"/>
      <c r="J50" s="96"/>
      <c r="L50"/>
    </row>
    <row r="51" spans="7:12" x14ac:dyDescent="0.3">
      <c r="G51" s="96"/>
      <c r="H51" s="96"/>
      <c r="J51" s="96"/>
      <c r="L51"/>
    </row>
    <row r="52" spans="7:12" x14ac:dyDescent="0.3">
      <c r="G52" s="96"/>
      <c r="H52" s="96"/>
      <c r="J52" s="96"/>
      <c r="L52"/>
    </row>
    <row r="53" spans="7:12" x14ac:dyDescent="0.3">
      <c r="G53" s="96"/>
      <c r="H53" s="96"/>
      <c r="J53" s="96"/>
      <c r="L53"/>
    </row>
    <row r="54" spans="7:12" x14ac:dyDescent="0.3">
      <c r="G54" s="96"/>
      <c r="H54" s="96"/>
      <c r="J54" s="96"/>
      <c r="L54"/>
    </row>
    <row r="55" spans="7:12" x14ac:dyDescent="0.3">
      <c r="G55" s="96"/>
      <c r="H55" s="96"/>
      <c r="J55" s="96"/>
      <c r="L55"/>
    </row>
    <row r="56" spans="7:12" x14ac:dyDescent="0.3">
      <c r="G56" s="96"/>
      <c r="H56" s="96"/>
      <c r="J56" s="96"/>
      <c r="L56"/>
    </row>
    <row r="57" spans="7:12" x14ac:dyDescent="0.3">
      <c r="G57" s="96"/>
      <c r="H57" s="96"/>
      <c r="J57" s="96"/>
      <c r="L57"/>
    </row>
    <row r="58" spans="7:12" x14ac:dyDescent="0.3">
      <c r="G58" s="96"/>
      <c r="H58" s="96"/>
      <c r="J58" s="96"/>
      <c r="L58"/>
    </row>
    <row r="59" spans="7:12" x14ac:dyDescent="0.3">
      <c r="G59" s="96"/>
      <c r="H59" s="96"/>
      <c r="J59" s="96"/>
      <c r="L59"/>
    </row>
    <row r="60" spans="7:12" x14ac:dyDescent="0.3">
      <c r="G60" s="96"/>
      <c r="H60" s="96"/>
      <c r="J60" s="96"/>
      <c r="L60"/>
    </row>
    <row r="61" spans="7:12" x14ac:dyDescent="0.3">
      <c r="G61" s="96"/>
      <c r="H61" s="96"/>
      <c r="J61" s="96"/>
      <c r="L61"/>
    </row>
    <row r="62" spans="7:12" x14ac:dyDescent="0.3">
      <c r="G62" s="96"/>
      <c r="H62" s="96"/>
      <c r="J62" s="96"/>
      <c r="L62"/>
    </row>
    <row r="63" spans="7:12" x14ac:dyDescent="0.3">
      <c r="G63" s="96"/>
      <c r="H63" s="96"/>
      <c r="J63" s="96"/>
      <c r="L63" s="24"/>
    </row>
    <row r="64" spans="7:12" x14ac:dyDescent="0.3">
      <c r="G64" s="96"/>
      <c r="H64" s="96"/>
      <c r="J64" s="96"/>
      <c r="L64" s="24"/>
    </row>
    <row r="65" spans="7:12" x14ac:dyDescent="0.3">
      <c r="G65" s="96"/>
      <c r="H65" s="96"/>
      <c r="J65" s="96"/>
      <c r="L65" s="24"/>
    </row>
    <row r="66" spans="7:12" x14ac:dyDescent="0.3">
      <c r="G66" s="96"/>
      <c r="H66" s="96"/>
      <c r="J66" s="96"/>
      <c r="L66" s="24"/>
    </row>
    <row r="67" spans="7:12" x14ac:dyDescent="0.3">
      <c r="G67" s="96"/>
      <c r="H67" s="96"/>
      <c r="J67" s="96"/>
      <c r="L67" s="24"/>
    </row>
    <row r="68" spans="7:12" x14ac:dyDescent="0.3">
      <c r="G68" s="96"/>
      <c r="H68" s="96"/>
      <c r="J68" s="96"/>
      <c r="L68" s="24"/>
    </row>
    <row r="69" spans="7:12" x14ac:dyDescent="0.3">
      <c r="G69" s="96"/>
      <c r="H69" s="96"/>
      <c r="J69" s="96"/>
      <c r="L69"/>
    </row>
    <row r="70" spans="7:12" x14ac:dyDescent="0.3">
      <c r="G70" s="96"/>
      <c r="H70" s="96"/>
      <c r="J70" s="96"/>
      <c r="L70"/>
    </row>
    <row r="71" spans="7:12" x14ac:dyDescent="0.3">
      <c r="G71" s="96"/>
      <c r="H71" s="96"/>
      <c r="J71" s="96"/>
      <c r="L71"/>
    </row>
    <row r="72" spans="7:12" x14ac:dyDescent="0.3">
      <c r="G72" s="96"/>
      <c r="H72" s="96"/>
      <c r="J72" s="96"/>
      <c r="L72"/>
    </row>
    <row r="73" spans="7:12" x14ac:dyDescent="0.3">
      <c r="G73" s="96"/>
      <c r="H73" s="96"/>
      <c r="J73" s="96"/>
      <c r="L73"/>
    </row>
    <row r="74" spans="7:12" x14ac:dyDescent="0.3">
      <c r="G74" s="96"/>
      <c r="H74" s="96"/>
      <c r="J74" s="96"/>
      <c r="L74" s="24"/>
    </row>
    <row r="75" spans="7:12" x14ac:dyDescent="0.3">
      <c r="G75" s="96"/>
      <c r="H75" s="96"/>
      <c r="J75" s="96"/>
      <c r="L75"/>
    </row>
    <row r="76" spans="7:12" x14ac:dyDescent="0.3">
      <c r="G76" s="96"/>
      <c r="H76" s="96"/>
      <c r="J76" s="96"/>
      <c r="L76"/>
    </row>
    <row r="77" spans="7:12" x14ac:dyDescent="0.3">
      <c r="G77" s="96"/>
      <c r="H77" s="96"/>
      <c r="J77" s="96"/>
      <c r="L77"/>
    </row>
    <row r="78" spans="7:12" x14ac:dyDescent="0.3">
      <c r="G78" s="96"/>
      <c r="H78" s="96"/>
      <c r="J78" s="96"/>
      <c r="L78"/>
    </row>
    <row r="79" spans="7:12" x14ac:dyDescent="0.3">
      <c r="G79" s="96"/>
      <c r="H79" s="96"/>
      <c r="J79" s="96"/>
      <c r="L79"/>
    </row>
    <row r="80" spans="7:12" x14ac:dyDescent="0.3">
      <c r="G80" s="96"/>
      <c r="H80" s="96"/>
      <c r="J80" s="96"/>
      <c r="L80"/>
    </row>
    <row r="81" spans="7:12" x14ac:dyDescent="0.3">
      <c r="G81" s="96"/>
      <c r="H81" s="96"/>
      <c r="J81" s="96"/>
      <c r="L81"/>
    </row>
    <row r="82" spans="7:12" x14ac:dyDescent="0.3">
      <c r="G82" s="96"/>
      <c r="H82" s="96"/>
      <c r="J82" s="96"/>
      <c r="L82"/>
    </row>
    <row r="83" spans="7:12" x14ac:dyDescent="0.3">
      <c r="G83" s="96"/>
      <c r="H83" s="96"/>
      <c r="J83" s="96"/>
      <c r="L83"/>
    </row>
    <row r="84" spans="7:12" x14ac:dyDescent="0.3">
      <c r="G84" s="96"/>
      <c r="H84" s="96"/>
      <c r="J84" s="96"/>
      <c r="L84"/>
    </row>
    <row r="85" spans="7:12" x14ac:dyDescent="0.3">
      <c r="G85" s="96"/>
      <c r="H85" s="96"/>
      <c r="J85" s="96"/>
      <c r="L85"/>
    </row>
    <row r="86" spans="7:12" x14ac:dyDescent="0.3">
      <c r="G86" s="96"/>
      <c r="H86" s="96"/>
      <c r="J86" s="96"/>
      <c r="L86"/>
    </row>
    <row r="87" spans="7:12" x14ac:dyDescent="0.3">
      <c r="G87" s="96"/>
      <c r="H87" s="96"/>
      <c r="J87" s="96"/>
      <c r="L87"/>
    </row>
    <row r="88" spans="7:12" x14ac:dyDescent="0.3">
      <c r="G88" s="96"/>
      <c r="H88" s="96"/>
      <c r="J88" s="96"/>
      <c r="L88"/>
    </row>
    <row r="89" spans="7:12" x14ac:dyDescent="0.3">
      <c r="G89" s="96"/>
      <c r="H89" s="96"/>
      <c r="J89" s="96"/>
      <c r="L89"/>
    </row>
    <row r="90" spans="7:12" x14ac:dyDescent="0.3">
      <c r="G90" s="96"/>
      <c r="H90" s="96"/>
      <c r="J90" s="96"/>
      <c r="L90"/>
    </row>
    <row r="91" spans="7:12" x14ac:dyDescent="0.3">
      <c r="G91" s="96"/>
      <c r="H91" s="96"/>
      <c r="J91" s="96"/>
      <c r="L91"/>
    </row>
    <row r="92" spans="7:12" x14ac:dyDescent="0.3">
      <c r="G92" s="96"/>
      <c r="H92" s="96"/>
      <c r="J92" s="96"/>
      <c r="L92"/>
    </row>
    <row r="93" spans="7:12" x14ac:dyDescent="0.3">
      <c r="G93" s="96"/>
      <c r="H93" s="96"/>
      <c r="J93" s="96"/>
      <c r="L93"/>
    </row>
    <row r="94" spans="7:12" x14ac:dyDescent="0.3">
      <c r="G94" s="96"/>
      <c r="H94" s="96"/>
      <c r="J94" s="96"/>
      <c r="L94"/>
    </row>
    <row r="95" spans="7:12" x14ac:dyDescent="0.3">
      <c r="G95" s="96"/>
      <c r="H95" s="96"/>
      <c r="J95" s="96"/>
      <c r="L95"/>
    </row>
    <row r="96" spans="7:12" x14ac:dyDescent="0.3">
      <c r="G96" s="96"/>
      <c r="H96" s="96"/>
      <c r="J96" s="96"/>
      <c r="L96"/>
    </row>
    <row r="97" spans="7:12" x14ac:dyDescent="0.3">
      <c r="G97" s="96"/>
      <c r="H97" s="96"/>
      <c r="J97" s="96"/>
      <c r="L97"/>
    </row>
    <row r="98" spans="7:12" x14ac:dyDescent="0.3">
      <c r="G98" s="96"/>
      <c r="H98" s="96"/>
      <c r="J98" s="96"/>
      <c r="L98" s="24"/>
    </row>
    <row r="99" spans="7:12" x14ac:dyDescent="0.3">
      <c r="G99" s="96"/>
      <c r="H99" s="96"/>
      <c r="J99" s="96"/>
      <c r="L99"/>
    </row>
    <row r="100" spans="7:12" x14ac:dyDescent="0.3">
      <c r="G100" s="96"/>
      <c r="H100" s="96"/>
      <c r="J100" s="96"/>
      <c r="L100"/>
    </row>
    <row r="101" spans="7:12" x14ac:dyDescent="0.3">
      <c r="G101" s="96"/>
      <c r="H101" s="96"/>
      <c r="J101" s="96"/>
      <c r="L101"/>
    </row>
    <row r="102" spans="7:12" x14ac:dyDescent="0.3">
      <c r="G102" s="96"/>
      <c r="H102" s="96"/>
      <c r="J102" s="96"/>
      <c r="L102"/>
    </row>
    <row r="103" spans="7:12" x14ac:dyDescent="0.3">
      <c r="G103" s="96"/>
      <c r="H103" s="96"/>
      <c r="J103" s="96"/>
      <c r="L103"/>
    </row>
    <row r="104" spans="7:12" x14ac:dyDescent="0.3">
      <c r="G104" s="96"/>
      <c r="H104" s="96"/>
      <c r="J104" s="96"/>
      <c r="L104"/>
    </row>
    <row r="105" spans="7:12" x14ac:dyDescent="0.3">
      <c r="G105" s="96"/>
      <c r="H105" s="96"/>
      <c r="J105" s="96"/>
      <c r="L105"/>
    </row>
    <row r="106" spans="7:12" x14ac:dyDescent="0.3">
      <c r="G106" s="96"/>
      <c r="H106" s="96"/>
      <c r="J106" s="96"/>
      <c r="L106"/>
    </row>
    <row r="107" spans="7:12" x14ac:dyDescent="0.3">
      <c r="G107" s="96"/>
      <c r="H107" s="166"/>
      <c r="J107" s="166"/>
      <c r="L107"/>
    </row>
    <row r="108" spans="7:12" x14ac:dyDescent="0.3">
      <c r="G108" s="96"/>
      <c r="H108" s="96"/>
      <c r="J108" s="96"/>
      <c r="L108"/>
    </row>
    <row r="109" spans="7:12" x14ac:dyDescent="0.3">
      <c r="G109" s="96"/>
      <c r="H109" s="96"/>
      <c r="J109" s="96"/>
      <c r="L109"/>
    </row>
    <row r="110" spans="7:12" x14ac:dyDescent="0.3">
      <c r="G110" s="96"/>
      <c r="H110" s="96"/>
      <c r="J110" s="96"/>
      <c r="L110"/>
    </row>
    <row r="111" spans="7:12" x14ac:dyDescent="0.3">
      <c r="G111" s="96"/>
      <c r="H111" s="96"/>
      <c r="J111" s="96"/>
      <c r="L111"/>
    </row>
    <row r="112" spans="7:12" x14ac:dyDescent="0.3">
      <c r="G112" s="96"/>
      <c r="H112" s="96"/>
      <c r="J112" s="96"/>
    </row>
    <row r="113" spans="7:12" x14ac:dyDescent="0.3">
      <c r="G113" s="96"/>
      <c r="H113" s="96"/>
      <c r="J113" s="96"/>
    </row>
    <row r="114" spans="7:12" x14ac:dyDescent="0.3">
      <c r="G114" s="96"/>
      <c r="H114" s="96"/>
      <c r="J114" s="96"/>
      <c r="L114"/>
    </row>
    <row r="115" spans="7:12" x14ac:dyDescent="0.3">
      <c r="G115" s="96"/>
      <c r="H115" s="96"/>
      <c r="J115" s="96"/>
      <c r="L115"/>
    </row>
    <row r="116" spans="7:12" x14ac:dyDescent="0.3">
      <c r="G116" s="96"/>
      <c r="H116" s="96"/>
      <c r="J116" s="96"/>
      <c r="L116"/>
    </row>
    <row r="117" spans="7:12" x14ac:dyDescent="0.3">
      <c r="G117" s="96"/>
      <c r="H117" s="96"/>
      <c r="J117" s="96"/>
      <c r="L117"/>
    </row>
    <row r="118" spans="7:12" x14ac:dyDescent="0.3">
      <c r="G118" s="96"/>
      <c r="H118" s="96"/>
      <c r="J118" s="96"/>
      <c r="L118"/>
    </row>
    <row r="119" spans="7:12" x14ac:dyDescent="0.3">
      <c r="G119" s="96"/>
      <c r="H119" s="96"/>
      <c r="J119" s="96"/>
      <c r="L119"/>
    </row>
    <row r="120" spans="7:12" x14ac:dyDescent="0.3">
      <c r="G120" s="96"/>
      <c r="H120" s="96"/>
      <c r="J120" s="96"/>
      <c r="L120"/>
    </row>
    <row r="121" spans="7:12" x14ac:dyDescent="0.3">
      <c r="G121" s="96"/>
      <c r="H121" s="96"/>
      <c r="J121" s="96"/>
      <c r="L121"/>
    </row>
    <row r="122" spans="7:12" x14ac:dyDescent="0.3">
      <c r="G122" s="96"/>
      <c r="H122" s="96"/>
      <c r="J122" s="96"/>
      <c r="L122"/>
    </row>
    <row r="123" spans="7:12" x14ac:dyDescent="0.3">
      <c r="G123" s="96"/>
      <c r="H123" s="96"/>
      <c r="J123" s="96"/>
      <c r="L123"/>
    </row>
    <row r="124" spans="7:12" x14ac:dyDescent="0.3">
      <c r="G124" s="96"/>
      <c r="H124" s="96"/>
      <c r="J124" s="96"/>
      <c r="L124"/>
    </row>
    <row r="125" spans="7:12" x14ac:dyDescent="0.3">
      <c r="G125" s="96"/>
      <c r="H125" s="96"/>
      <c r="J125" s="96"/>
      <c r="L125"/>
    </row>
    <row r="126" spans="7:12" x14ac:dyDescent="0.3">
      <c r="G126" s="96"/>
      <c r="H126" s="96"/>
      <c r="J126" s="96"/>
      <c r="L126"/>
    </row>
    <row r="127" spans="7:12" x14ac:dyDescent="0.3">
      <c r="G127" s="96"/>
      <c r="H127" s="96"/>
      <c r="J127" s="96"/>
      <c r="L127"/>
    </row>
    <row r="128" spans="7:12" x14ac:dyDescent="0.3">
      <c r="G128" s="96"/>
      <c r="H128" s="96"/>
      <c r="J128" s="96"/>
      <c r="L128"/>
    </row>
    <row r="129" spans="7:12" x14ac:dyDescent="0.3">
      <c r="G129" s="96"/>
      <c r="H129" s="96"/>
      <c r="J129" s="96"/>
      <c r="L129"/>
    </row>
    <row r="130" spans="7:12" x14ac:dyDescent="0.3">
      <c r="G130" s="96"/>
      <c r="H130" s="96"/>
      <c r="J130" s="96"/>
      <c r="L130"/>
    </row>
    <row r="131" spans="7:12" x14ac:dyDescent="0.3">
      <c r="G131" s="96"/>
      <c r="H131" s="96"/>
      <c r="J131" s="96"/>
      <c r="L131"/>
    </row>
    <row r="132" spans="7:12" x14ac:dyDescent="0.3">
      <c r="G132" s="96"/>
      <c r="H132" s="96"/>
      <c r="J132" s="96"/>
      <c r="L132"/>
    </row>
    <row r="133" spans="7:12" x14ac:dyDescent="0.3">
      <c r="G133" s="96"/>
      <c r="H133" s="96"/>
      <c r="J133" s="96"/>
      <c r="L133"/>
    </row>
    <row r="134" spans="7:12" x14ac:dyDescent="0.3">
      <c r="G134" s="96"/>
      <c r="H134" s="96"/>
      <c r="J134" s="96"/>
      <c r="L134"/>
    </row>
    <row r="135" spans="7:12" x14ac:dyDescent="0.3">
      <c r="G135" s="96"/>
      <c r="H135" s="96"/>
      <c r="J135" s="96"/>
      <c r="L135"/>
    </row>
    <row r="136" spans="7:12" x14ac:dyDescent="0.3">
      <c r="G136" s="96"/>
      <c r="H136" s="96"/>
      <c r="J136" s="96"/>
      <c r="L136"/>
    </row>
    <row r="137" spans="7:12" x14ac:dyDescent="0.3">
      <c r="G137" s="96"/>
      <c r="H137" s="96"/>
      <c r="J137" s="96"/>
      <c r="L137"/>
    </row>
    <row r="138" spans="7:12" x14ac:dyDescent="0.3">
      <c r="G138" s="96"/>
      <c r="H138" s="96"/>
      <c r="J138" s="96"/>
      <c r="L138"/>
    </row>
    <row r="139" spans="7:12" x14ac:dyDescent="0.3">
      <c r="G139" s="96"/>
      <c r="H139" s="96"/>
      <c r="J139" s="96"/>
      <c r="L139"/>
    </row>
    <row r="140" spans="7:12" x14ac:dyDescent="0.3">
      <c r="G140" s="96"/>
      <c r="H140" s="96"/>
      <c r="J140" s="96"/>
      <c r="L140"/>
    </row>
    <row r="141" spans="7:12" x14ac:dyDescent="0.3">
      <c r="G141" s="96"/>
      <c r="H141" s="96"/>
      <c r="J141" s="96"/>
      <c r="L141"/>
    </row>
    <row r="142" spans="7:12" x14ac:dyDescent="0.3">
      <c r="G142" s="96"/>
      <c r="H142" s="96"/>
      <c r="J142" s="96"/>
      <c r="L142"/>
    </row>
    <row r="143" spans="7:12" x14ac:dyDescent="0.3">
      <c r="G143" s="96"/>
      <c r="H143" s="96"/>
      <c r="J143" s="96"/>
      <c r="L143"/>
    </row>
    <row r="144" spans="7:12" x14ac:dyDescent="0.3">
      <c r="G144" s="96"/>
      <c r="H144" s="96"/>
      <c r="J144" s="96"/>
      <c r="L144"/>
    </row>
    <row r="145" spans="7:12" x14ac:dyDescent="0.3">
      <c r="G145" s="96"/>
      <c r="H145" s="96"/>
      <c r="J145" s="96"/>
      <c r="L145"/>
    </row>
    <row r="146" spans="7:12" x14ac:dyDescent="0.3">
      <c r="G146" s="96"/>
      <c r="H146" s="96"/>
      <c r="J146" s="96"/>
      <c r="L146"/>
    </row>
    <row r="147" spans="7:12" x14ac:dyDescent="0.3">
      <c r="G147" s="96"/>
      <c r="H147" s="96"/>
      <c r="J147" s="96"/>
      <c r="L147"/>
    </row>
    <row r="148" spans="7:12" x14ac:dyDescent="0.3">
      <c r="G148" s="96"/>
      <c r="H148" s="96"/>
      <c r="J148" s="96"/>
      <c r="L148"/>
    </row>
    <row r="149" spans="7:12" x14ac:dyDescent="0.3">
      <c r="G149" s="96"/>
      <c r="H149" s="96"/>
      <c r="J149" s="96"/>
      <c r="L149"/>
    </row>
    <row r="150" spans="7:12" x14ac:dyDescent="0.3">
      <c r="G150" s="96"/>
      <c r="H150" s="96"/>
      <c r="J150" s="96"/>
      <c r="L150"/>
    </row>
    <row r="151" spans="7:12" x14ac:dyDescent="0.3">
      <c r="G151" s="96"/>
      <c r="H151" s="96"/>
      <c r="J151" s="96"/>
      <c r="L151"/>
    </row>
    <row r="152" spans="7:12" x14ac:dyDescent="0.3">
      <c r="G152" s="96"/>
      <c r="H152" s="96"/>
      <c r="J152" s="96"/>
      <c r="L152"/>
    </row>
    <row r="153" spans="7:12" x14ac:dyDescent="0.3">
      <c r="G153" s="96"/>
      <c r="H153" s="96"/>
      <c r="J153" s="96"/>
      <c r="L153"/>
    </row>
    <row r="154" spans="7:12" x14ac:dyDescent="0.3">
      <c r="G154" s="96"/>
      <c r="H154" s="96"/>
      <c r="J154" s="96"/>
      <c r="L154"/>
    </row>
    <row r="155" spans="7:12" x14ac:dyDescent="0.3">
      <c r="G155" s="96"/>
      <c r="H155" s="96"/>
      <c r="J155" s="96"/>
      <c r="L155"/>
    </row>
    <row r="156" spans="7:12" x14ac:dyDescent="0.3">
      <c r="G156" s="96"/>
      <c r="H156" s="96"/>
      <c r="J156" s="96"/>
      <c r="L156"/>
    </row>
    <row r="157" spans="7:12" x14ac:dyDescent="0.3">
      <c r="G157" s="96"/>
      <c r="H157" s="96"/>
      <c r="J157" s="96"/>
      <c r="L157"/>
    </row>
    <row r="158" spans="7:12" x14ac:dyDescent="0.3">
      <c r="G158" s="96"/>
      <c r="H158" s="96"/>
      <c r="J158" s="96"/>
      <c r="L158"/>
    </row>
    <row r="159" spans="7:12" x14ac:dyDescent="0.3">
      <c r="G159" s="96"/>
      <c r="H159" s="96"/>
      <c r="J159" s="96"/>
      <c r="L159"/>
    </row>
    <row r="160" spans="7:12" x14ac:dyDescent="0.3">
      <c r="G160" s="96"/>
      <c r="H160" s="96"/>
      <c r="J160" s="96"/>
      <c r="L160"/>
    </row>
    <row r="161" spans="7:12" x14ac:dyDescent="0.3">
      <c r="G161" s="96"/>
      <c r="H161" s="96"/>
      <c r="J161" s="96"/>
      <c r="L161"/>
    </row>
    <row r="162" spans="7:12" x14ac:dyDescent="0.3">
      <c r="G162" s="96"/>
      <c r="H162" s="96"/>
      <c r="J162" s="96"/>
      <c r="L162"/>
    </row>
    <row r="163" spans="7:12" x14ac:dyDescent="0.3">
      <c r="G163" s="96"/>
      <c r="H163" s="96"/>
      <c r="J163" s="96"/>
      <c r="L163"/>
    </row>
    <row r="164" spans="7:12" x14ac:dyDescent="0.3">
      <c r="G164" s="96"/>
      <c r="H164" s="96"/>
      <c r="J164" s="96"/>
      <c r="L164"/>
    </row>
    <row r="165" spans="7:12" x14ac:dyDescent="0.3">
      <c r="G165" s="96"/>
      <c r="H165" s="96"/>
      <c r="J165" s="96"/>
      <c r="L165"/>
    </row>
    <row r="166" spans="7:12" x14ac:dyDescent="0.3">
      <c r="G166" s="96"/>
      <c r="H166" s="96"/>
      <c r="J166" s="96"/>
      <c r="L166"/>
    </row>
    <row r="167" spans="7:12" x14ac:dyDescent="0.3">
      <c r="G167" s="96"/>
      <c r="H167" s="96"/>
      <c r="J167" s="96"/>
      <c r="L167"/>
    </row>
    <row r="168" spans="7:12" x14ac:dyDescent="0.3">
      <c r="G168" s="96"/>
      <c r="H168" s="96"/>
      <c r="J168" s="96"/>
      <c r="L168"/>
    </row>
    <row r="169" spans="7:12" x14ac:dyDescent="0.3">
      <c r="G169" s="96"/>
      <c r="H169" s="96"/>
      <c r="J169" s="96"/>
      <c r="L169"/>
    </row>
    <row r="170" spans="7:12" x14ac:dyDescent="0.3">
      <c r="G170" s="96"/>
      <c r="H170" s="96"/>
      <c r="J170" s="96"/>
      <c r="L170"/>
    </row>
    <row r="171" spans="7:12" x14ac:dyDescent="0.3">
      <c r="G171" s="96"/>
      <c r="H171" s="96"/>
      <c r="J171" s="96"/>
      <c r="L171"/>
    </row>
    <row r="172" spans="7:12" x14ac:dyDescent="0.3">
      <c r="G172" s="96"/>
      <c r="H172" s="96"/>
      <c r="J172" s="96"/>
      <c r="L172"/>
    </row>
    <row r="173" spans="7:12" x14ac:dyDescent="0.3">
      <c r="G173" s="96"/>
      <c r="H173" s="96"/>
      <c r="J173" s="96"/>
      <c r="L173"/>
    </row>
    <row r="174" spans="7:12" x14ac:dyDescent="0.3">
      <c r="G174" s="96"/>
      <c r="H174" s="96"/>
      <c r="J174" s="96"/>
      <c r="L174"/>
    </row>
    <row r="175" spans="7:12" x14ac:dyDescent="0.3">
      <c r="G175" s="96"/>
      <c r="H175" s="96"/>
      <c r="J175" s="96"/>
      <c r="L175"/>
    </row>
    <row r="176" spans="7:12" x14ac:dyDescent="0.3">
      <c r="G176" s="96"/>
      <c r="H176" s="96"/>
      <c r="J176" s="96"/>
      <c r="L176"/>
    </row>
    <row r="177" spans="7:12" x14ac:dyDescent="0.3">
      <c r="G177" s="96"/>
      <c r="H177" s="96"/>
      <c r="J177" s="96"/>
      <c r="L177"/>
    </row>
    <row r="178" spans="7:12" x14ac:dyDescent="0.3">
      <c r="G178" s="96"/>
      <c r="H178" s="96"/>
      <c r="J178" s="96"/>
      <c r="L178"/>
    </row>
    <row r="179" spans="7:12" x14ac:dyDescent="0.3">
      <c r="G179" s="96"/>
      <c r="H179" s="96"/>
      <c r="J179" s="96"/>
      <c r="L179"/>
    </row>
    <row r="180" spans="7:12" x14ac:dyDescent="0.3">
      <c r="G180" s="96"/>
      <c r="H180" s="96"/>
      <c r="J180" s="96"/>
      <c r="L180"/>
    </row>
    <row r="181" spans="7:12" x14ac:dyDescent="0.3">
      <c r="G181" s="96"/>
      <c r="H181" s="96"/>
      <c r="J181" s="96"/>
      <c r="L181"/>
    </row>
    <row r="182" spans="7:12" x14ac:dyDescent="0.3">
      <c r="G182" s="96"/>
      <c r="H182" s="96"/>
      <c r="J182" s="96"/>
      <c r="K182" s="96"/>
      <c r="L182"/>
    </row>
    <row r="183" spans="7:12" x14ac:dyDescent="0.3">
      <c r="G183" s="96"/>
      <c r="H183" s="96"/>
      <c r="J183" s="96"/>
      <c r="L183"/>
    </row>
    <row r="184" spans="7:12" x14ac:dyDescent="0.3">
      <c r="G184" s="96"/>
      <c r="H184" s="96"/>
      <c r="J184" s="96"/>
      <c r="L184"/>
    </row>
    <row r="185" spans="7:12" x14ac:dyDescent="0.3">
      <c r="G185" s="96"/>
      <c r="H185" s="96"/>
      <c r="J185" s="96"/>
      <c r="L185"/>
    </row>
    <row r="186" spans="7:12" x14ac:dyDescent="0.3">
      <c r="G186" s="96"/>
      <c r="H186" s="96"/>
      <c r="J186" s="96"/>
      <c r="L186"/>
    </row>
    <row r="187" spans="7:12" x14ac:dyDescent="0.3">
      <c r="G187" s="96"/>
      <c r="H187" s="96"/>
      <c r="J187" s="96"/>
      <c r="L187"/>
    </row>
    <row r="188" spans="7:12" x14ac:dyDescent="0.3">
      <c r="G188" s="96"/>
      <c r="H188" s="96"/>
      <c r="J188" s="96"/>
      <c r="L188"/>
    </row>
    <row r="189" spans="7:12" x14ac:dyDescent="0.3">
      <c r="G189" s="96"/>
      <c r="H189" s="96"/>
      <c r="J189" s="96"/>
      <c r="L189"/>
    </row>
    <row r="190" spans="7:12" x14ac:dyDescent="0.3">
      <c r="G190" s="96"/>
      <c r="H190" s="96"/>
      <c r="J190" s="96"/>
      <c r="L190"/>
    </row>
    <row r="191" spans="7:12" x14ac:dyDescent="0.3">
      <c r="G191" s="96"/>
      <c r="H191" s="96"/>
      <c r="J191" s="96"/>
      <c r="L191"/>
    </row>
    <row r="192" spans="7:12" x14ac:dyDescent="0.3">
      <c r="G192" s="96"/>
      <c r="H192" s="96"/>
      <c r="J192" s="96"/>
      <c r="L192"/>
    </row>
    <row r="193" spans="7:12" x14ac:dyDescent="0.3">
      <c r="G193" s="96"/>
      <c r="H193" s="96"/>
      <c r="J193" s="96"/>
      <c r="L193"/>
    </row>
    <row r="194" spans="7:12" x14ac:dyDescent="0.3">
      <c r="G194" s="96"/>
      <c r="H194" s="96"/>
      <c r="J194" s="96"/>
      <c r="L194"/>
    </row>
    <row r="195" spans="7:12" x14ac:dyDescent="0.3">
      <c r="G195" s="96"/>
      <c r="H195" s="96"/>
      <c r="J195" s="96"/>
      <c r="L195"/>
    </row>
    <row r="196" spans="7:12" x14ac:dyDescent="0.3">
      <c r="G196" s="96"/>
      <c r="H196" s="96"/>
      <c r="J196" s="96"/>
      <c r="L196"/>
    </row>
    <row r="197" spans="7:12" x14ac:dyDescent="0.3">
      <c r="G197" s="96"/>
      <c r="H197" s="96"/>
      <c r="J197" s="96"/>
      <c r="L197"/>
    </row>
    <row r="198" spans="7:12" x14ac:dyDescent="0.3">
      <c r="G198" s="96"/>
      <c r="H198" s="96"/>
      <c r="J198" s="96"/>
      <c r="L198"/>
    </row>
    <row r="199" spans="7:12" x14ac:dyDescent="0.3">
      <c r="G199" s="96"/>
      <c r="H199" s="96"/>
      <c r="J199" s="96"/>
      <c r="L199"/>
    </row>
    <row r="200" spans="7:12" x14ac:dyDescent="0.3">
      <c r="G200" s="96"/>
      <c r="H200" s="96"/>
      <c r="J200" s="96"/>
      <c r="L200"/>
    </row>
    <row r="201" spans="7:12" x14ac:dyDescent="0.3">
      <c r="G201" s="96"/>
      <c r="H201" s="96"/>
      <c r="J201" s="96"/>
      <c r="L201"/>
    </row>
    <row r="202" spans="7:12" x14ac:dyDescent="0.3">
      <c r="G202" s="96"/>
      <c r="H202" s="96"/>
      <c r="J202" s="96"/>
      <c r="L202"/>
    </row>
    <row r="203" spans="7:12" x14ac:dyDescent="0.3">
      <c r="G203" s="96"/>
      <c r="H203" s="96"/>
      <c r="J203" s="96"/>
      <c r="L203"/>
    </row>
    <row r="204" spans="7:12" x14ac:dyDescent="0.3">
      <c r="G204" s="96"/>
      <c r="H204" s="96"/>
      <c r="J204" s="96"/>
      <c r="L204"/>
    </row>
    <row r="205" spans="7:12" x14ac:dyDescent="0.3">
      <c r="G205" s="96"/>
      <c r="H205" s="96"/>
      <c r="J205" s="96"/>
      <c r="L205"/>
    </row>
    <row r="206" spans="7:12" x14ac:dyDescent="0.3">
      <c r="G206" s="96"/>
      <c r="H206" s="96"/>
      <c r="J206" s="96"/>
      <c r="L206"/>
    </row>
    <row r="207" spans="7:12" x14ac:dyDescent="0.3">
      <c r="G207" s="96"/>
      <c r="H207" s="96"/>
      <c r="J207" s="96"/>
      <c r="L207"/>
    </row>
    <row r="208" spans="7:12" x14ac:dyDescent="0.3">
      <c r="G208" s="96"/>
      <c r="H208" s="96"/>
      <c r="J208" s="96"/>
      <c r="L208"/>
    </row>
    <row r="209" spans="7:12" x14ac:dyDescent="0.3">
      <c r="G209" s="96"/>
      <c r="H209" s="96"/>
      <c r="J209" s="96"/>
      <c r="L209"/>
    </row>
    <row r="210" spans="7:12" x14ac:dyDescent="0.3">
      <c r="G210" s="96"/>
      <c r="H210" s="96"/>
      <c r="J210" s="96"/>
      <c r="L210"/>
    </row>
    <row r="211" spans="7:12" x14ac:dyDescent="0.3">
      <c r="G211" s="96"/>
      <c r="H211" s="96"/>
      <c r="J211" s="96"/>
      <c r="L211"/>
    </row>
    <row r="212" spans="7:12" x14ac:dyDescent="0.3">
      <c r="G212" s="96"/>
      <c r="H212" s="96"/>
      <c r="J212" s="96"/>
      <c r="L212"/>
    </row>
    <row r="213" spans="7:12" x14ac:dyDescent="0.3">
      <c r="G213" s="96"/>
      <c r="H213" s="96"/>
      <c r="J213" s="96"/>
      <c r="L213"/>
    </row>
    <row r="214" spans="7:12" x14ac:dyDescent="0.3">
      <c r="G214" s="96"/>
      <c r="H214" s="96"/>
      <c r="J214" s="96"/>
      <c r="L214"/>
    </row>
    <row r="215" spans="7:12" x14ac:dyDescent="0.3">
      <c r="G215" s="96"/>
      <c r="H215" s="96"/>
      <c r="J215" s="96"/>
      <c r="L215"/>
    </row>
    <row r="216" spans="7:12" x14ac:dyDescent="0.3">
      <c r="G216" s="3"/>
      <c r="H216" s="96"/>
      <c r="J216" s="96"/>
      <c r="L216"/>
    </row>
    <row r="217" spans="7:12" x14ac:dyDescent="0.3">
      <c r="G217" s="3"/>
      <c r="H217" s="96"/>
      <c r="J217" s="96"/>
      <c r="L217"/>
    </row>
    <row r="218" spans="7:12" x14ac:dyDescent="0.3">
      <c r="G218" s="3"/>
      <c r="H218" s="96"/>
      <c r="J218" s="96"/>
      <c r="L218"/>
    </row>
    <row r="219" spans="7:12" x14ac:dyDescent="0.3">
      <c r="G219" s="3"/>
      <c r="H219" s="96"/>
      <c r="J219" s="96"/>
      <c r="L219"/>
    </row>
    <row r="220" spans="7:12" x14ac:dyDescent="0.3">
      <c r="G220" s="3"/>
      <c r="H220" s="96"/>
      <c r="J220" s="96"/>
      <c r="L220"/>
    </row>
    <row r="221" spans="7:12" x14ac:dyDescent="0.3">
      <c r="G221" s="3"/>
      <c r="H221" s="96"/>
      <c r="J221" s="96"/>
      <c r="L221"/>
    </row>
    <row r="222" spans="7:12" x14ac:dyDescent="0.3">
      <c r="G222" s="3"/>
      <c r="H222" s="96"/>
      <c r="J222" s="96"/>
      <c r="L222"/>
    </row>
    <row r="223" spans="7:12" x14ac:dyDescent="0.3">
      <c r="G223" s="3"/>
      <c r="H223" s="96"/>
      <c r="J223" s="96"/>
      <c r="L223"/>
    </row>
    <row r="224" spans="7:12" x14ac:dyDescent="0.3">
      <c r="G224" s="3"/>
      <c r="H224" s="96"/>
      <c r="J224" s="96"/>
      <c r="L224"/>
    </row>
    <row r="225" spans="7:12" x14ac:dyDescent="0.3">
      <c r="G225" s="3"/>
      <c r="H225" s="96"/>
      <c r="J225" s="96"/>
      <c r="L225"/>
    </row>
    <row r="226" spans="7:12" x14ac:dyDescent="0.3">
      <c r="G226" s="3"/>
      <c r="H226" s="96"/>
      <c r="J226" s="96"/>
      <c r="L226"/>
    </row>
    <row r="227" spans="7:12" x14ac:dyDescent="0.3">
      <c r="G227" s="3"/>
      <c r="H227" s="96"/>
      <c r="J227" s="96"/>
      <c r="L227"/>
    </row>
    <row r="228" spans="7:12" x14ac:dyDescent="0.3">
      <c r="G228" s="3"/>
      <c r="H228" s="96"/>
      <c r="J228" s="96"/>
      <c r="L228"/>
    </row>
    <row r="229" spans="7:12" x14ac:dyDescent="0.3">
      <c r="G229" s="3"/>
      <c r="H229" s="96"/>
      <c r="J229" s="96"/>
      <c r="L229"/>
    </row>
    <row r="230" spans="7:12" x14ac:dyDescent="0.3">
      <c r="G230" s="3"/>
      <c r="H230" s="96"/>
      <c r="J230" s="96"/>
      <c r="L230"/>
    </row>
    <row r="231" spans="7:12" x14ac:dyDescent="0.3">
      <c r="G231" s="3"/>
      <c r="H231" s="96"/>
      <c r="J231" s="96"/>
      <c r="L231"/>
    </row>
    <row r="232" spans="7:12" x14ac:dyDescent="0.3">
      <c r="G232" s="3"/>
      <c r="H232" s="96"/>
      <c r="J232" s="96"/>
      <c r="L232"/>
    </row>
    <row r="233" spans="7:12" x14ac:dyDescent="0.3">
      <c r="G233" s="3"/>
      <c r="H233" s="96"/>
      <c r="J233" s="96"/>
      <c r="L233"/>
    </row>
    <row r="234" spans="7:12" x14ac:dyDescent="0.3">
      <c r="G234" s="3"/>
      <c r="H234" s="96"/>
      <c r="J234" s="96"/>
      <c r="L234"/>
    </row>
    <row r="235" spans="7:12" x14ac:dyDescent="0.3">
      <c r="G235" s="3"/>
      <c r="H235" s="96"/>
      <c r="J235" s="96"/>
      <c r="L235"/>
    </row>
    <row r="236" spans="7:12" x14ac:dyDescent="0.3">
      <c r="G236" s="3"/>
      <c r="H236" s="96"/>
      <c r="J236" s="96"/>
      <c r="L236"/>
    </row>
    <row r="237" spans="7:12" x14ac:dyDescent="0.3">
      <c r="G237" s="3"/>
      <c r="H237" s="96"/>
      <c r="J237" s="96"/>
      <c r="L237"/>
    </row>
    <row r="238" spans="7:12" x14ac:dyDescent="0.3">
      <c r="G238" s="3"/>
      <c r="H238" s="96"/>
      <c r="J238" s="96"/>
      <c r="L238"/>
    </row>
    <row r="239" spans="7:12" x14ac:dyDescent="0.3">
      <c r="G239" s="3"/>
      <c r="H239" s="96"/>
      <c r="J239" s="96"/>
      <c r="L239"/>
    </row>
    <row r="240" spans="7:12" x14ac:dyDescent="0.3">
      <c r="G240" s="3"/>
      <c r="H240" s="96"/>
      <c r="J240" s="96"/>
      <c r="L240"/>
    </row>
    <row r="241" spans="7:12" x14ac:dyDescent="0.3">
      <c r="G241" s="3"/>
      <c r="H241" s="96"/>
      <c r="J241" s="96"/>
      <c r="L241"/>
    </row>
    <row r="242" spans="7:12" x14ac:dyDescent="0.3">
      <c r="G242" s="3"/>
      <c r="H242" s="96"/>
      <c r="J242" s="96"/>
      <c r="L242"/>
    </row>
    <row r="243" spans="7:12" x14ac:dyDescent="0.3">
      <c r="G243" s="3"/>
      <c r="H243" s="96"/>
      <c r="J243" s="96"/>
      <c r="L243"/>
    </row>
    <row r="244" spans="7:12" x14ac:dyDescent="0.3">
      <c r="G244" s="3"/>
      <c r="H244" s="96"/>
      <c r="J244" s="96"/>
      <c r="L244"/>
    </row>
    <row r="245" spans="7:12" x14ac:dyDescent="0.3">
      <c r="G245" s="3"/>
      <c r="H245" s="96"/>
      <c r="J245" s="96"/>
      <c r="L245"/>
    </row>
    <row r="246" spans="7:12" x14ac:dyDescent="0.3">
      <c r="G246" s="3"/>
      <c r="H246" s="96"/>
      <c r="J246" s="96"/>
      <c r="L246"/>
    </row>
    <row r="247" spans="7:12" x14ac:dyDescent="0.3">
      <c r="G247" s="3"/>
      <c r="H247" s="96"/>
      <c r="J247" s="96"/>
      <c r="L247"/>
    </row>
    <row r="248" spans="7:12" x14ac:dyDescent="0.3">
      <c r="G248" s="3"/>
      <c r="H248" s="96"/>
      <c r="J248" s="96"/>
      <c r="L248"/>
    </row>
    <row r="249" spans="7:12" x14ac:dyDescent="0.3">
      <c r="G249" s="3"/>
      <c r="H249" s="96"/>
      <c r="J249" s="96"/>
      <c r="L249"/>
    </row>
    <row r="250" spans="7:12" x14ac:dyDescent="0.3">
      <c r="G250" s="3"/>
      <c r="H250" s="96"/>
      <c r="J250" s="96"/>
      <c r="L250"/>
    </row>
    <row r="251" spans="7:12" x14ac:dyDescent="0.3">
      <c r="G251" s="3"/>
      <c r="H251" s="96"/>
      <c r="J251" s="96"/>
      <c r="L251"/>
    </row>
    <row r="252" spans="7:12" x14ac:dyDescent="0.3">
      <c r="G252" s="3"/>
      <c r="H252" s="96"/>
      <c r="J252" s="96"/>
      <c r="L252"/>
    </row>
    <row r="253" spans="7:12" x14ac:dyDescent="0.3">
      <c r="G253" s="3"/>
      <c r="H253" s="96"/>
      <c r="J253" s="96"/>
      <c r="L253"/>
    </row>
    <row r="254" spans="7:12" x14ac:dyDescent="0.3">
      <c r="G254" s="3"/>
      <c r="H254" s="96"/>
      <c r="J254" s="96"/>
      <c r="L254"/>
    </row>
    <row r="255" spans="7:12" x14ac:dyDescent="0.3">
      <c r="G255" s="3"/>
      <c r="H255" s="96"/>
      <c r="J255" s="96"/>
      <c r="L255"/>
    </row>
    <row r="256" spans="7:12" x14ac:dyDescent="0.3">
      <c r="G256" s="3"/>
      <c r="H256" s="96"/>
      <c r="J256" s="96"/>
      <c r="L256"/>
    </row>
    <row r="257" spans="7:12" x14ac:dyDescent="0.3">
      <c r="G257" s="3"/>
      <c r="H257" s="96"/>
      <c r="J257" s="96"/>
      <c r="L257"/>
    </row>
    <row r="258" spans="7:12" x14ac:dyDescent="0.3">
      <c r="G258" s="3"/>
      <c r="H258" s="96"/>
      <c r="J258" s="96"/>
      <c r="L258"/>
    </row>
    <row r="259" spans="7:12" x14ac:dyDescent="0.3">
      <c r="G259" s="3"/>
      <c r="H259" s="96"/>
      <c r="J259" s="96"/>
      <c r="L259"/>
    </row>
    <row r="260" spans="7:12" x14ac:dyDescent="0.3">
      <c r="G260" s="96"/>
      <c r="H260" s="96"/>
      <c r="J260" s="96"/>
      <c r="L260"/>
    </row>
    <row r="261" spans="7:12" x14ac:dyDescent="0.3">
      <c r="G261" s="96"/>
      <c r="H261" s="96"/>
      <c r="J261" s="96"/>
      <c r="L261"/>
    </row>
    <row r="262" spans="7:12" x14ac:dyDescent="0.3">
      <c r="G262" s="96"/>
      <c r="H262" s="96"/>
      <c r="J262" s="96"/>
      <c r="L262"/>
    </row>
    <row r="263" spans="7:12" x14ac:dyDescent="0.3">
      <c r="G263" s="96"/>
      <c r="H263" s="96"/>
      <c r="J263" s="96"/>
      <c r="L263"/>
    </row>
    <row r="264" spans="7:12" x14ac:dyDescent="0.3">
      <c r="G264" s="96"/>
      <c r="H264" s="96"/>
      <c r="J264" s="96"/>
      <c r="L264"/>
    </row>
    <row r="265" spans="7:12" x14ac:dyDescent="0.3">
      <c r="G265" s="96"/>
      <c r="H265" s="96"/>
      <c r="J265" s="96"/>
      <c r="L265"/>
    </row>
    <row r="266" spans="7:12" x14ac:dyDescent="0.3">
      <c r="G266" s="96"/>
      <c r="H266" s="96"/>
      <c r="J266" s="96"/>
      <c r="L266"/>
    </row>
    <row r="267" spans="7:12" x14ac:dyDescent="0.3">
      <c r="G267" s="96"/>
      <c r="H267" s="96"/>
      <c r="J267" s="96"/>
      <c r="L267"/>
    </row>
    <row r="268" spans="7:12" x14ac:dyDescent="0.3">
      <c r="G268" s="96"/>
      <c r="H268" s="96"/>
      <c r="J268" s="96"/>
      <c r="L268"/>
    </row>
    <row r="269" spans="7:12" x14ac:dyDescent="0.3">
      <c r="G269" s="96"/>
      <c r="H269" s="96"/>
      <c r="J269" s="96"/>
      <c r="L269"/>
    </row>
    <row r="270" spans="7:12" x14ac:dyDescent="0.3">
      <c r="G270" s="96"/>
      <c r="H270" s="96"/>
      <c r="J270" s="96"/>
      <c r="L270"/>
    </row>
    <row r="271" spans="7:12" x14ac:dyDescent="0.3">
      <c r="G271" s="96"/>
      <c r="H271" s="96"/>
      <c r="J271" s="96"/>
      <c r="L271"/>
    </row>
    <row r="272" spans="7:12" x14ac:dyDescent="0.3">
      <c r="G272" s="96"/>
      <c r="H272" s="96"/>
      <c r="J272" s="96"/>
      <c r="L272"/>
    </row>
    <row r="273" spans="7:12" x14ac:dyDescent="0.3">
      <c r="G273" s="96"/>
      <c r="H273" s="96"/>
      <c r="J273" s="96"/>
      <c r="L273"/>
    </row>
    <row r="274" spans="7:12" x14ac:dyDescent="0.3">
      <c r="G274" s="96"/>
      <c r="H274" s="96"/>
      <c r="J274" s="96"/>
      <c r="L274"/>
    </row>
    <row r="275" spans="7:12" x14ac:dyDescent="0.3">
      <c r="G275" s="96"/>
      <c r="H275" s="96"/>
      <c r="J275" s="96"/>
      <c r="L275"/>
    </row>
    <row r="276" spans="7:12" x14ac:dyDescent="0.3">
      <c r="G276" s="96"/>
      <c r="H276" s="96"/>
      <c r="J276" s="96"/>
      <c r="L276"/>
    </row>
    <row r="277" spans="7:12" x14ac:dyDescent="0.3">
      <c r="G277" s="96"/>
      <c r="H277" s="96"/>
      <c r="J277" s="96"/>
      <c r="L277"/>
    </row>
    <row r="278" spans="7:12" x14ac:dyDescent="0.3">
      <c r="G278" s="96"/>
      <c r="H278" s="96"/>
      <c r="J278" s="96"/>
      <c r="L278"/>
    </row>
    <row r="279" spans="7:12" x14ac:dyDescent="0.3">
      <c r="G279" s="96"/>
      <c r="H279" s="96"/>
      <c r="J279" s="96"/>
      <c r="L279"/>
    </row>
    <row r="280" spans="7:12" x14ac:dyDescent="0.3">
      <c r="G280" s="96"/>
      <c r="H280" s="96"/>
      <c r="J280" s="96"/>
      <c r="L280"/>
    </row>
    <row r="281" spans="7:12" x14ac:dyDescent="0.3">
      <c r="G281" s="96"/>
      <c r="H281" s="96"/>
      <c r="J281" s="96"/>
      <c r="L281"/>
    </row>
    <row r="282" spans="7:12" x14ac:dyDescent="0.3">
      <c r="G282" s="96"/>
      <c r="H282" s="96"/>
      <c r="J282" s="96"/>
      <c r="L282"/>
    </row>
    <row r="283" spans="7:12" x14ac:dyDescent="0.3">
      <c r="G283" s="96"/>
      <c r="H283" s="96"/>
      <c r="J283" s="96"/>
      <c r="L283"/>
    </row>
    <row r="284" spans="7:12" x14ac:dyDescent="0.3">
      <c r="G284" s="96"/>
      <c r="H284" s="96"/>
      <c r="J284" s="96"/>
      <c r="L284"/>
    </row>
    <row r="285" spans="7:12" x14ac:dyDescent="0.3">
      <c r="G285" s="96"/>
      <c r="H285" s="96"/>
      <c r="J285" s="96"/>
      <c r="L285"/>
    </row>
    <row r="286" spans="7:12" x14ac:dyDescent="0.3">
      <c r="G286" s="96"/>
      <c r="H286" s="96"/>
      <c r="J286" s="96"/>
      <c r="L286"/>
    </row>
    <row r="287" spans="7:12" x14ac:dyDescent="0.3">
      <c r="G287" s="96"/>
      <c r="H287" s="96"/>
      <c r="J287" s="96"/>
      <c r="L287"/>
    </row>
    <row r="288" spans="7:12" x14ac:dyDescent="0.3">
      <c r="G288" s="96"/>
      <c r="H288" s="96"/>
      <c r="J288" s="96"/>
      <c r="L288"/>
    </row>
    <row r="289" spans="7:12" x14ac:dyDescent="0.3">
      <c r="G289" s="96"/>
      <c r="H289" s="96"/>
      <c r="J289" s="96"/>
      <c r="L289"/>
    </row>
    <row r="290" spans="7:12" x14ac:dyDescent="0.3">
      <c r="G290" s="96"/>
      <c r="H290" s="96"/>
      <c r="J290" s="96"/>
      <c r="L290"/>
    </row>
    <row r="291" spans="7:12" x14ac:dyDescent="0.3">
      <c r="G291" s="96"/>
      <c r="H291" s="96"/>
      <c r="J291" s="96"/>
      <c r="L291"/>
    </row>
    <row r="292" spans="7:12" x14ac:dyDescent="0.3">
      <c r="G292" s="96"/>
      <c r="H292" s="96"/>
      <c r="J292" s="96"/>
      <c r="L292"/>
    </row>
    <row r="293" spans="7:12" x14ac:dyDescent="0.3">
      <c r="G293" s="96"/>
      <c r="H293" s="96"/>
      <c r="J293" s="96"/>
      <c r="L293"/>
    </row>
    <row r="294" spans="7:12" x14ac:dyDescent="0.3">
      <c r="G294" s="96"/>
      <c r="H294" s="96"/>
      <c r="J294" s="96"/>
      <c r="L294"/>
    </row>
    <row r="295" spans="7:12" x14ac:dyDescent="0.3">
      <c r="G295" s="96"/>
      <c r="H295" s="96"/>
      <c r="J295" s="96"/>
      <c r="L295"/>
    </row>
    <row r="296" spans="7:12" x14ac:dyDescent="0.3">
      <c r="G296" s="96"/>
      <c r="H296" s="96"/>
      <c r="J296" s="96"/>
      <c r="L296"/>
    </row>
    <row r="297" spans="7:12" x14ac:dyDescent="0.3">
      <c r="G297" s="96"/>
      <c r="H297" s="96"/>
      <c r="J297" s="96"/>
      <c r="L297"/>
    </row>
    <row r="298" spans="7:12" x14ac:dyDescent="0.3">
      <c r="G298" s="96"/>
      <c r="H298" s="96"/>
      <c r="J298" s="96"/>
      <c r="L298"/>
    </row>
    <row r="299" spans="7:12" x14ac:dyDescent="0.3">
      <c r="G299" s="96"/>
      <c r="H299" s="96"/>
      <c r="J299" s="96"/>
      <c r="L299"/>
    </row>
    <row r="300" spans="7:12" x14ac:dyDescent="0.3">
      <c r="G300" s="96"/>
      <c r="H300" s="96"/>
      <c r="J300" s="96"/>
      <c r="L300"/>
    </row>
    <row r="301" spans="7:12" x14ac:dyDescent="0.3">
      <c r="G301" s="96"/>
      <c r="H301" s="96"/>
      <c r="J301" s="96"/>
      <c r="L301"/>
    </row>
    <row r="302" spans="7:12" x14ac:dyDescent="0.3">
      <c r="G302" s="96"/>
      <c r="H302" s="96"/>
      <c r="J302" s="96"/>
      <c r="L302"/>
    </row>
    <row r="303" spans="7:12" x14ac:dyDescent="0.3">
      <c r="G303" s="96"/>
      <c r="H303" s="96"/>
      <c r="J303" s="96"/>
      <c r="L303"/>
    </row>
    <row r="304" spans="7:12" x14ac:dyDescent="0.3">
      <c r="G304" s="96"/>
      <c r="H304" s="96"/>
      <c r="J304" s="96"/>
      <c r="L304"/>
    </row>
    <row r="305" spans="7:12" x14ac:dyDescent="0.3">
      <c r="G305" s="96"/>
      <c r="H305" s="96"/>
      <c r="J305" s="96"/>
      <c r="L305"/>
    </row>
    <row r="306" spans="7:12" x14ac:dyDescent="0.3">
      <c r="G306" s="96"/>
      <c r="H306" s="96"/>
      <c r="J306" s="96"/>
      <c r="L306"/>
    </row>
    <row r="307" spans="7:12" x14ac:dyDescent="0.3">
      <c r="G307" s="96"/>
      <c r="H307" s="96"/>
      <c r="J307" s="96"/>
      <c r="L307"/>
    </row>
    <row r="308" spans="7:12" x14ac:dyDescent="0.3">
      <c r="G308" s="96"/>
      <c r="H308" s="96"/>
      <c r="J308" s="96"/>
      <c r="L308"/>
    </row>
    <row r="309" spans="7:12" x14ac:dyDescent="0.3">
      <c r="G309" s="96"/>
      <c r="H309" s="96"/>
      <c r="J309" s="96"/>
      <c r="L309"/>
    </row>
    <row r="310" spans="7:12" x14ac:dyDescent="0.3">
      <c r="G310" s="96"/>
      <c r="H310" s="96"/>
      <c r="J310" s="96"/>
      <c r="L310"/>
    </row>
    <row r="311" spans="7:12" x14ac:dyDescent="0.3">
      <c r="G311" s="96"/>
      <c r="H311" s="96"/>
      <c r="J311" s="96"/>
      <c r="L311"/>
    </row>
    <row r="312" spans="7:12" x14ac:dyDescent="0.3">
      <c r="G312" s="96"/>
      <c r="H312" s="96"/>
      <c r="J312" s="96"/>
      <c r="L312"/>
    </row>
    <row r="313" spans="7:12" x14ac:dyDescent="0.3">
      <c r="G313" s="96"/>
      <c r="H313" s="96"/>
      <c r="J313" s="96"/>
      <c r="L313"/>
    </row>
    <row r="314" spans="7:12" x14ac:dyDescent="0.3">
      <c r="G314" s="96"/>
      <c r="H314" s="96"/>
      <c r="J314" s="96"/>
      <c r="L314"/>
    </row>
    <row r="315" spans="7:12" x14ac:dyDescent="0.3">
      <c r="G315" s="96"/>
      <c r="H315" s="96"/>
      <c r="J315" s="96"/>
      <c r="L315"/>
    </row>
    <row r="316" spans="7:12" x14ac:dyDescent="0.3">
      <c r="G316" s="96"/>
      <c r="H316" s="96"/>
      <c r="J316" s="96"/>
      <c r="L316"/>
    </row>
    <row r="317" spans="7:12" x14ac:dyDescent="0.3">
      <c r="G317" s="96"/>
      <c r="H317" s="96"/>
      <c r="J317" s="96"/>
      <c r="L317"/>
    </row>
    <row r="318" spans="7:12" x14ac:dyDescent="0.3">
      <c r="G318" s="96"/>
      <c r="H318" s="96"/>
      <c r="J318" s="96"/>
      <c r="L318"/>
    </row>
    <row r="319" spans="7:12" x14ac:dyDescent="0.3">
      <c r="G319" s="96"/>
      <c r="H319" s="96"/>
      <c r="J319" s="96"/>
      <c r="L319"/>
    </row>
    <row r="320" spans="7:12" x14ac:dyDescent="0.3">
      <c r="G320" s="96"/>
      <c r="H320" s="96"/>
      <c r="J320" s="96"/>
      <c r="L320"/>
    </row>
    <row r="321" spans="7:12" x14ac:dyDescent="0.3">
      <c r="G321" s="96"/>
      <c r="H321" s="96"/>
      <c r="J321" s="96"/>
      <c r="L321"/>
    </row>
    <row r="322" spans="7:12" x14ac:dyDescent="0.3">
      <c r="G322" s="96"/>
      <c r="H322" s="96"/>
      <c r="J322" s="96"/>
      <c r="L322"/>
    </row>
    <row r="323" spans="7:12" x14ac:dyDescent="0.3">
      <c r="G323" s="96"/>
      <c r="H323" s="96"/>
      <c r="J323" s="96"/>
      <c r="L323"/>
    </row>
    <row r="324" spans="7:12" x14ac:dyDescent="0.3">
      <c r="G324" s="96"/>
      <c r="H324" s="96"/>
      <c r="J324" s="96"/>
      <c r="L324"/>
    </row>
    <row r="325" spans="7:12" x14ac:dyDescent="0.3">
      <c r="G325" s="96"/>
      <c r="H325" s="96"/>
      <c r="J325" s="96"/>
      <c r="L325"/>
    </row>
    <row r="326" spans="7:12" x14ac:dyDescent="0.3">
      <c r="G326" s="96"/>
      <c r="H326" s="96"/>
      <c r="J326" s="96"/>
      <c r="L326"/>
    </row>
    <row r="327" spans="7:12" x14ac:dyDescent="0.3">
      <c r="G327" s="96"/>
      <c r="H327" s="96"/>
      <c r="J327" s="96"/>
      <c r="L327"/>
    </row>
    <row r="328" spans="7:12" x14ac:dyDescent="0.3">
      <c r="G328" s="96"/>
      <c r="H328" s="96"/>
      <c r="J328" s="96"/>
      <c r="L328"/>
    </row>
    <row r="329" spans="7:12" x14ac:dyDescent="0.3">
      <c r="G329" s="96"/>
      <c r="H329" s="96"/>
      <c r="J329" s="96"/>
      <c r="L329"/>
    </row>
    <row r="330" spans="7:12" x14ac:dyDescent="0.3">
      <c r="G330" s="96"/>
      <c r="H330" s="96"/>
      <c r="J330" s="96"/>
      <c r="L330"/>
    </row>
    <row r="331" spans="7:12" x14ac:dyDescent="0.3">
      <c r="G331" s="96"/>
      <c r="H331" s="96"/>
      <c r="J331" s="96"/>
      <c r="L331"/>
    </row>
    <row r="332" spans="7:12" x14ac:dyDescent="0.3">
      <c r="G332" s="96"/>
      <c r="H332" s="96"/>
      <c r="J332" s="96"/>
      <c r="L332"/>
    </row>
    <row r="333" spans="7:12" x14ac:dyDescent="0.3">
      <c r="G333" s="96"/>
      <c r="H333" s="96"/>
      <c r="J333" s="96"/>
      <c r="L333"/>
    </row>
    <row r="334" spans="7:12" x14ac:dyDescent="0.3">
      <c r="G334" s="96"/>
      <c r="H334" s="96"/>
      <c r="J334" s="96"/>
      <c r="L334"/>
    </row>
    <row r="335" spans="7:12" x14ac:dyDescent="0.3">
      <c r="G335" s="96"/>
      <c r="H335" s="96"/>
      <c r="J335" s="96"/>
      <c r="L335"/>
    </row>
    <row r="336" spans="7:12" x14ac:dyDescent="0.3">
      <c r="G336" s="96"/>
      <c r="H336" s="96"/>
      <c r="J336" s="96"/>
      <c r="L336"/>
    </row>
    <row r="337" spans="7:12" x14ac:dyDescent="0.3">
      <c r="G337" s="96"/>
      <c r="H337" s="96"/>
      <c r="J337" s="96"/>
      <c r="L337"/>
    </row>
    <row r="338" spans="7:12" x14ac:dyDescent="0.3">
      <c r="G338" s="96"/>
      <c r="H338" s="96"/>
      <c r="J338" s="96"/>
      <c r="L338"/>
    </row>
    <row r="339" spans="7:12" x14ac:dyDescent="0.3">
      <c r="G339" s="96"/>
      <c r="H339" s="96"/>
      <c r="J339" s="96"/>
      <c r="L339"/>
    </row>
    <row r="340" spans="7:12" x14ac:dyDescent="0.3">
      <c r="G340" s="96"/>
      <c r="H340" s="96"/>
      <c r="J340" s="96"/>
      <c r="L340"/>
    </row>
    <row r="341" spans="7:12" x14ac:dyDescent="0.3">
      <c r="G341" s="96"/>
      <c r="H341" s="96"/>
      <c r="J341" s="96"/>
      <c r="L341"/>
    </row>
    <row r="342" spans="7:12" x14ac:dyDescent="0.3">
      <c r="G342" s="96"/>
      <c r="H342" s="96"/>
      <c r="J342" s="96"/>
      <c r="L342"/>
    </row>
    <row r="343" spans="7:12" x14ac:dyDescent="0.3">
      <c r="G343" s="96"/>
      <c r="H343" s="96"/>
      <c r="J343" s="96"/>
      <c r="L343"/>
    </row>
    <row r="344" spans="7:12" x14ac:dyDescent="0.3">
      <c r="G344" s="96"/>
      <c r="H344" s="96"/>
      <c r="J344" s="96"/>
      <c r="L344"/>
    </row>
    <row r="345" spans="7:12" x14ac:dyDescent="0.3">
      <c r="G345" s="96"/>
      <c r="H345" s="96"/>
      <c r="J345" s="96"/>
      <c r="L345"/>
    </row>
    <row r="346" spans="7:12" x14ac:dyDescent="0.3">
      <c r="G346" s="96"/>
      <c r="H346" s="96"/>
      <c r="J346" s="96"/>
      <c r="L346"/>
    </row>
    <row r="347" spans="7:12" x14ac:dyDescent="0.3">
      <c r="G347" s="96"/>
      <c r="H347" s="96"/>
      <c r="J347" s="96"/>
      <c r="L347"/>
    </row>
    <row r="348" spans="7:12" x14ac:dyDescent="0.3">
      <c r="G348" s="96"/>
      <c r="H348" s="96"/>
      <c r="J348" s="96"/>
      <c r="L348"/>
    </row>
    <row r="349" spans="7:12" x14ac:dyDescent="0.3">
      <c r="G349" s="96"/>
      <c r="H349" s="96"/>
      <c r="J349" s="96"/>
      <c r="L349"/>
    </row>
    <row r="350" spans="7:12" x14ac:dyDescent="0.3">
      <c r="G350" s="96"/>
      <c r="H350" s="96"/>
      <c r="J350" s="96"/>
      <c r="L350"/>
    </row>
    <row r="351" spans="7:12" x14ac:dyDescent="0.3">
      <c r="G351" s="96"/>
      <c r="H351" s="96"/>
      <c r="J351" s="96"/>
      <c r="L351"/>
    </row>
    <row r="352" spans="7:12" x14ac:dyDescent="0.3">
      <c r="G352" s="96"/>
      <c r="H352" s="96"/>
      <c r="J352" s="96"/>
      <c r="L352"/>
    </row>
    <row r="353" spans="7:12" x14ac:dyDescent="0.3">
      <c r="G353" s="96"/>
      <c r="H353" s="96"/>
      <c r="J353" s="96"/>
      <c r="L353"/>
    </row>
    <row r="354" spans="7:12" x14ac:dyDescent="0.3">
      <c r="G354" s="96"/>
      <c r="H354" s="96"/>
      <c r="J354" s="96"/>
      <c r="L354"/>
    </row>
    <row r="355" spans="7:12" x14ac:dyDescent="0.3">
      <c r="G355" s="96"/>
      <c r="H355" s="96"/>
      <c r="J355" s="96"/>
      <c r="L355"/>
    </row>
    <row r="356" spans="7:12" x14ac:dyDescent="0.3">
      <c r="G356" s="96"/>
      <c r="H356" s="96"/>
      <c r="J356" s="96"/>
      <c r="L356"/>
    </row>
    <row r="357" spans="7:12" x14ac:dyDescent="0.3">
      <c r="G357" s="96"/>
      <c r="H357" s="96"/>
      <c r="J357" s="96"/>
      <c r="L357"/>
    </row>
    <row r="358" spans="7:12" x14ac:dyDescent="0.3">
      <c r="G358" s="96"/>
      <c r="H358" s="96"/>
      <c r="J358" s="96"/>
      <c r="L358"/>
    </row>
    <row r="359" spans="7:12" x14ac:dyDescent="0.3">
      <c r="G359" s="96"/>
      <c r="H359" s="96"/>
      <c r="J359" s="96"/>
      <c r="L359"/>
    </row>
    <row r="360" spans="7:12" x14ac:dyDescent="0.3">
      <c r="G360" s="96"/>
      <c r="H360" s="96"/>
      <c r="J360" s="96"/>
      <c r="L360"/>
    </row>
    <row r="361" spans="7:12" x14ac:dyDescent="0.3">
      <c r="G361" s="96"/>
      <c r="H361" s="96"/>
      <c r="J361" s="96"/>
      <c r="L361"/>
    </row>
    <row r="362" spans="7:12" x14ac:dyDescent="0.3">
      <c r="G362" s="96"/>
      <c r="H362" s="96"/>
      <c r="J362" s="96"/>
      <c r="L362"/>
    </row>
    <row r="363" spans="7:12" x14ac:dyDescent="0.3">
      <c r="G363" s="96"/>
      <c r="H363" s="96"/>
      <c r="J363" s="96"/>
      <c r="L363"/>
    </row>
    <row r="364" spans="7:12" x14ac:dyDescent="0.3">
      <c r="G364" s="96"/>
      <c r="H364" s="96"/>
      <c r="J364" s="96"/>
      <c r="L364"/>
    </row>
    <row r="365" spans="7:12" x14ac:dyDescent="0.3">
      <c r="G365" s="96"/>
      <c r="H365" s="96"/>
      <c r="J365" s="96"/>
      <c r="L365"/>
    </row>
    <row r="366" spans="7:12" x14ac:dyDescent="0.3">
      <c r="G366" s="96"/>
      <c r="H366" s="96"/>
      <c r="J366" s="96"/>
      <c r="L366"/>
    </row>
    <row r="367" spans="7:12" x14ac:dyDescent="0.3">
      <c r="G367" s="96"/>
      <c r="H367" s="96"/>
      <c r="J367" s="96"/>
      <c r="L367"/>
    </row>
    <row r="368" spans="7:12" x14ac:dyDescent="0.3">
      <c r="G368" s="96"/>
      <c r="H368" s="96"/>
      <c r="J368" s="96"/>
      <c r="L368"/>
    </row>
    <row r="369" spans="7:12" x14ac:dyDescent="0.3">
      <c r="G369" s="96"/>
      <c r="H369" s="96"/>
      <c r="J369" s="96"/>
      <c r="L369"/>
    </row>
    <row r="370" spans="7:12" x14ac:dyDescent="0.3">
      <c r="G370" s="96"/>
      <c r="H370" s="96"/>
      <c r="J370" s="96"/>
      <c r="L370"/>
    </row>
    <row r="371" spans="7:12" x14ac:dyDescent="0.3">
      <c r="G371" s="96"/>
      <c r="H371" s="96"/>
      <c r="J371" s="96"/>
      <c r="L371"/>
    </row>
    <row r="372" spans="7:12" x14ac:dyDescent="0.3">
      <c r="G372" s="96"/>
      <c r="H372" s="96"/>
      <c r="J372" s="96"/>
      <c r="L372"/>
    </row>
    <row r="373" spans="7:12" x14ac:dyDescent="0.3">
      <c r="G373" s="96"/>
      <c r="H373" s="96"/>
      <c r="J373" s="96"/>
      <c r="L373"/>
    </row>
    <row r="374" spans="7:12" x14ac:dyDescent="0.3">
      <c r="G374" s="96"/>
      <c r="H374" s="96"/>
      <c r="J374" s="96"/>
      <c r="L374"/>
    </row>
    <row r="375" spans="7:12" x14ac:dyDescent="0.3">
      <c r="G375" s="96"/>
      <c r="H375" s="96"/>
      <c r="J375" s="96"/>
      <c r="L375"/>
    </row>
    <row r="376" spans="7:12" x14ac:dyDescent="0.3">
      <c r="G376" s="96"/>
      <c r="H376" s="96"/>
      <c r="J376" s="96"/>
      <c r="L376"/>
    </row>
    <row r="377" spans="7:12" x14ac:dyDescent="0.3">
      <c r="G377" s="96"/>
      <c r="H377" s="96"/>
      <c r="J377" s="96"/>
      <c r="L377"/>
    </row>
    <row r="378" spans="7:12" x14ac:dyDescent="0.3">
      <c r="G378" s="96"/>
      <c r="H378" s="96"/>
      <c r="J378" s="96"/>
      <c r="L378"/>
    </row>
    <row r="379" spans="7:12" x14ac:dyDescent="0.3">
      <c r="G379" s="96"/>
      <c r="H379" s="96"/>
      <c r="J379" s="96"/>
      <c r="L379"/>
    </row>
    <row r="380" spans="7:12" x14ac:dyDescent="0.3">
      <c r="G380" s="96"/>
      <c r="H380" s="96"/>
      <c r="J380" s="96"/>
      <c r="L380"/>
    </row>
    <row r="381" spans="7:12" x14ac:dyDescent="0.3">
      <c r="G381" s="96"/>
      <c r="H381" s="96"/>
      <c r="J381" s="96"/>
      <c r="L381"/>
    </row>
    <row r="382" spans="7:12" x14ac:dyDescent="0.3">
      <c r="G382" s="96"/>
      <c r="H382" s="96"/>
      <c r="J382" s="96"/>
      <c r="L382"/>
    </row>
    <row r="383" spans="7:12" x14ac:dyDescent="0.3">
      <c r="G383" s="96"/>
      <c r="H383" s="96"/>
      <c r="J383" s="96"/>
      <c r="L383"/>
    </row>
    <row r="384" spans="7:12" x14ac:dyDescent="0.3">
      <c r="G384" s="96"/>
      <c r="H384" s="96"/>
      <c r="J384" s="96"/>
      <c r="L384"/>
    </row>
    <row r="385" spans="7:12" x14ac:dyDescent="0.3">
      <c r="G385" s="96"/>
      <c r="H385" s="96"/>
      <c r="J385" s="96"/>
      <c r="L385"/>
    </row>
    <row r="386" spans="7:12" x14ac:dyDescent="0.3">
      <c r="G386" s="96"/>
      <c r="H386" s="96"/>
      <c r="J386" s="96"/>
      <c r="L386"/>
    </row>
    <row r="387" spans="7:12" x14ac:dyDescent="0.3">
      <c r="G387" s="96"/>
      <c r="H387" s="96"/>
      <c r="J387" s="96"/>
      <c r="L387"/>
    </row>
    <row r="388" spans="7:12" x14ac:dyDescent="0.3">
      <c r="G388" s="96"/>
      <c r="H388" s="96"/>
      <c r="J388" s="96"/>
      <c r="L388"/>
    </row>
    <row r="389" spans="7:12" x14ac:dyDescent="0.3">
      <c r="G389" s="96"/>
      <c r="H389" s="96"/>
      <c r="J389" s="96"/>
      <c r="L389"/>
    </row>
    <row r="390" spans="7:12" x14ac:dyDescent="0.3">
      <c r="G390" s="96"/>
      <c r="H390" s="96"/>
      <c r="J390" s="96"/>
      <c r="L390"/>
    </row>
    <row r="391" spans="7:12" x14ac:dyDescent="0.3">
      <c r="G391" s="96"/>
      <c r="H391" s="96"/>
      <c r="J391" s="96"/>
      <c r="L391"/>
    </row>
    <row r="392" spans="7:12" x14ac:dyDescent="0.3">
      <c r="G392" s="96"/>
      <c r="H392" s="96"/>
      <c r="J392" s="96"/>
      <c r="L392"/>
    </row>
    <row r="393" spans="7:12" x14ac:dyDescent="0.3">
      <c r="G393" s="96"/>
      <c r="H393" s="96"/>
      <c r="J393" s="96"/>
      <c r="L393"/>
    </row>
    <row r="394" spans="7:12" x14ac:dyDescent="0.3">
      <c r="G394" s="96"/>
      <c r="H394" s="96"/>
      <c r="J394" s="96"/>
      <c r="L394"/>
    </row>
    <row r="395" spans="7:12" x14ac:dyDescent="0.3">
      <c r="G395" s="96"/>
      <c r="H395" s="96"/>
      <c r="J395" s="96"/>
      <c r="L395"/>
    </row>
    <row r="396" spans="7:12" x14ac:dyDescent="0.3">
      <c r="G396" s="96"/>
      <c r="H396" s="96"/>
      <c r="J396" s="96"/>
      <c r="L396"/>
    </row>
    <row r="397" spans="7:12" x14ac:dyDescent="0.3">
      <c r="G397" s="96"/>
      <c r="H397" s="96"/>
      <c r="J397" s="96"/>
      <c r="L397"/>
    </row>
    <row r="398" spans="7:12" x14ac:dyDescent="0.3">
      <c r="G398" s="96"/>
      <c r="H398" s="96"/>
      <c r="J398" s="96"/>
      <c r="L398"/>
    </row>
    <row r="399" spans="7:12" x14ac:dyDescent="0.3">
      <c r="G399" s="96"/>
      <c r="H399" s="96"/>
      <c r="J399" s="96"/>
      <c r="L399"/>
    </row>
    <row r="400" spans="7:12" x14ac:dyDescent="0.3">
      <c r="G400" s="96"/>
      <c r="H400" s="96"/>
      <c r="J400" s="96"/>
      <c r="L400"/>
    </row>
    <row r="401" spans="7:12" x14ac:dyDescent="0.3">
      <c r="G401" s="96"/>
      <c r="H401" s="96"/>
      <c r="J401" s="96"/>
      <c r="L401"/>
    </row>
    <row r="402" spans="7:12" x14ac:dyDescent="0.3">
      <c r="G402" s="96"/>
      <c r="H402" s="96"/>
      <c r="J402" s="96"/>
      <c r="L402"/>
    </row>
    <row r="403" spans="7:12" x14ac:dyDescent="0.3">
      <c r="G403" s="96"/>
      <c r="H403" s="96"/>
      <c r="J403" s="96"/>
      <c r="L403"/>
    </row>
    <row r="404" spans="7:12" x14ac:dyDescent="0.3">
      <c r="G404" s="96"/>
      <c r="H404" s="96"/>
      <c r="J404" s="96"/>
      <c r="L404"/>
    </row>
    <row r="405" spans="7:12" x14ac:dyDescent="0.3">
      <c r="G405" s="96"/>
      <c r="H405" s="96"/>
      <c r="J405" s="96"/>
      <c r="L405"/>
    </row>
    <row r="406" spans="7:12" x14ac:dyDescent="0.3">
      <c r="G406" s="96"/>
      <c r="H406" s="96"/>
      <c r="J406" s="96"/>
      <c r="L406"/>
    </row>
    <row r="407" spans="7:12" x14ac:dyDescent="0.3">
      <c r="G407" s="96"/>
      <c r="H407" s="96"/>
      <c r="J407" s="96"/>
      <c r="L407"/>
    </row>
    <row r="408" spans="7:12" x14ac:dyDescent="0.3">
      <c r="G408" s="96"/>
      <c r="H408" s="96"/>
      <c r="J408" s="96"/>
      <c r="L408"/>
    </row>
    <row r="409" spans="7:12" x14ac:dyDescent="0.3">
      <c r="G409" s="96"/>
      <c r="H409" s="96"/>
      <c r="J409" s="96"/>
      <c r="L409"/>
    </row>
    <row r="410" spans="7:12" x14ac:dyDescent="0.3">
      <c r="G410" s="96"/>
      <c r="H410" s="96"/>
      <c r="J410" s="96"/>
      <c r="L410"/>
    </row>
    <row r="411" spans="7:12" x14ac:dyDescent="0.3">
      <c r="G411" s="96"/>
      <c r="H411" s="96"/>
      <c r="J411" s="96"/>
      <c r="L411"/>
    </row>
    <row r="412" spans="7:12" x14ac:dyDescent="0.3">
      <c r="G412" s="96"/>
      <c r="H412" s="96"/>
      <c r="J412" s="96"/>
      <c r="L412"/>
    </row>
    <row r="413" spans="7:12" x14ac:dyDescent="0.3">
      <c r="G413" s="96"/>
      <c r="H413" s="96"/>
      <c r="J413" s="96"/>
      <c r="L413"/>
    </row>
    <row r="414" spans="7:12" x14ac:dyDescent="0.3">
      <c r="G414" s="96"/>
      <c r="H414" s="96"/>
      <c r="J414" s="96"/>
      <c r="L414"/>
    </row>
    <row r="415" spans="7:12" x14ac:dyDescent="0.3">
      <c r="G415" s="96"/>
      <c r="H415" s="96"/>
      <c r="J415" s="96"/>
      <c r="L415"/>
    </row>
    <row r="416" spans="7:12" x14ac:dyDescent="0.3">
      <c r="G416" s="96"/>
      <c r="H416" s="96"/>
      <c r="J416" s="96"/>
      <c r="L416"/>
    </row>
    <row r="417" spans="7:12" x14ac:dyDescent="0.3">
      <c r="G417" s="96"/>
      <c r="H417" s="96"/>
      <c r="J417" s="96"/>
      <c r="L417"/>
    </row>
    <row r="418" spans="7:12" x14ac:dyDescent="0.3">
      <c r="G418" s="96"/>
      <c r="H418" s="96"/>
      <c r="J418" s="96"/>
      <c r="L418"/>
    </row>
    <row r="419" spans="7:12" x14ac:dyDescent="0.3">
      <c r="G419" s="96"/>
      <c r="H419" s="96"/>
      <c r="J419" s="96"/>
      <c r="L419"/>
    </row>
    <row r="420" spans="7:12" x14ac:dyDescent="0.3">
      <c r="G420" s="96"/>
      <c r="H420" s="96"/>
      <c r="J420" s="96"/>
      <c r="L420"/>
    </row>
    <row r="421" spans="7:12" x14ac:dyDescent="0.3">
      <c r="G421" s="96"/>
      <c r="H421" s="96"/>
      <c r="J421" s="96"/>
      <c r="L421"/>
    </row>
    <row r="422" spans="7:12" x14ac:dyDescent="0.3">
      <c r="G422" s="96"/>
      <c r="H422" s="96"/>
      <c r="J422" s="96"/>
      <c r="L422"/>
    </row>
    <row r="423" spans="7:12" x14ac:dyDescent="0.3">
      <c r="G423" s="96"/>
      <c r="H423" s="96"/>
      <c r="J423" s="96"/>
      <c r="L423"/>
    </row>
    <row r="424" spans="7:12" x14ac:dyDescent="0.3">
      <c r="G424" s="96"/>
      <c r="H424" s="96"/>
      <c r="J424" s="96"/>
      <c r="L424"/>
    </row>
    <row r="425" spans="7:12" x14ac:dyDescent="0.3">
      <c r="G425" s="96"/>
      <c r="H425" s="96"/>
      <c r="J425" s="96"/>
      <c r="L425"/>
    </row>
    <row r="426" spans="7:12" x14ac:dyDescent="0.3">
      <c r="G426" s="96"/>
      <c r="H426" s="96"/>
      <c r="J426" s="96"/>
      <c r="L426"/>
    </row>
    <row r="427" spans="7:12" x14ac:dyDescent="0.3">
      <c r="G427" s="96"/>
      <c r="H427" s="96"/>
      <c r="J427" s="96"/>
      <c r="L427"/>
    </row>
    <row r="428" spans="7:12" x14ac:dyDescent="0.3">
      <c r="G428" s="96"/>
      <c r="H428" s="96"/>
      <c r="J428" s="96"/>
      <c r="L428"/>
    </row>
    <row r="429" spans="7:12" x14ac:dyDescent="0.3">
      <c r="G429" s="96"/>
      <c r="H429" s="96"/>
      <c r="J429" s="96"/>
      <c r="L429"/>
    </row>
    <row r="430" spans="7:12" x14ac:dyDescent="0.3">
      <c r="G430" s="96"/>
      <c r="H430" s="96"/>
      <c r="J430" s="96"/>
      <c r="L430"/>
    </row>
    <row r="431" spans="7:12" x14ac:dyDescent="0.3">
      <c r="G431" s="96"/>
      <c r="H431" s="96"/>
      <c r="J431" s="96"/>
      <c r="L431"/>
    </row>
    <row r="432" spans="7:12" x14ac:dyDescent="0.3">
      <c r="G432" s="96"/>
      <c r="H432" s="96"/>
      <c r="J432" s="96"/>
      <c r="L432"/>
    </row>
    <row r="433" spans="7:12" x14ac:dyDescent="0.3">
      <c r="G433" s="96"/>
      <c r="H433" s="96"/>
      <c r="J433" s="96"/>
      <c r="L433"/>
    </row>
    <row r="434" spans="7:12" x14ac:dyDescent="0.3">
      <c r="G434" s="96"/>
      <c r="H434" s="96"/>
      <c r="J434" s="96"/>
      <c r="L434"/>
    </row>
    <row r="435" spans="7:12" x14ac:dyDescent="0.3">
      <c r="G435" s="96"/>
      <c r="H435" s="96"/>
      <c r="J435" s="96"/>
      <c r="L435"/>
    </row>
    <row r="436" spans="7:12" x14ac:dyDescent="0.3">
      <c r="G436" s="96"/>
      <c r="H436" s="96"/>
      <c r="J436" s="96"/>
      <c r="L436"/>
    </row>
    <row r="437" spans="7:12" x14ac:dyDescent="0.3">
      <c r="G437" s="96"/>
      <c r="H437" s="96"/>
      <c r="J437" s="96"/>
      <c r="L437"/>
    </row>
    <row r="438" spans="7:12" x14ac:dyDescent="0.3">
      <c r="G438" s="96"/>
      <c r="H438" s="96"/>
      <c r="J438" s="96"/>
      <c r="L438"/>
    </row>
    <row r="439" spans="7:12" x14ac:dyDescent="0.3">
      <c r="G439" s="96"/>
      <c r="H439" s="96"/>
      <c r="J439" s="96"/>
      <c r="L439"/>
    </row>
    <row r="440" spans="7:12" x14ac:dyDescent="0.3">
      <c r="G440" s="96"/>
      <c r="H440" s="96"/>
      <c r="J440" s="96"/>
      <c r="L440"/>
    </row>
    <row r="441" spans="7:12" x14ac:dyDescent="0.3">
      <c r="G441" s="96"/>
      <c r="H441" s="96"/>
      <c r="J441" s="96"/>
      <c r="L441"/>
    </row>
    <row r="442" spans="7:12" x14ac:dyDescent="0.3">
      <c r="G442" s="96"/>
      <c r="H442" s="96"/>
      <c r="J442" s="96"/>
      <c r="L442"/>
    </row>
    <row r="443" spans="7:12" x14ac:dyDescent="0.3">
      <c r="G443" s="96"/>
      <c r="H443" s="96"/>
      <c r="J443" s="96"/>
      <c r="L443"/>
    </row>
    <row r="444" spans="7:12" x14ac:dyDescent="0.3">
      <c r="G444" s="96"/>
      <c r="H444" s="96"/>
      <c r="J444" s="96"/>
      <c r="L444"/>
    </row>
    <row r="445" spans="7:12" x14ac:dyDescent="0.3">
      <c r="G445" s="96"/>
      <c r="H445" s="96"/>
      <c r="J445" s="96"/>
      <c r="L445"/>
    </row>
    <row r="446" spans="7:12" x14ac:dyDescent="0.3">
      <c r="G446" s="96"/>
      <c r="H446" s="96"/>
      <c r="J446" s="96"/>
      <c r="L446"/>
    </row>
    <row r="447" spans="7:12" x14ac:dyDescent="0.3">
      <c r="G447" s="96"/>
      <c r="H447" s="96"/>
      <c r="J447" s="96"/>
      <c r="L447"/>
    </row>
    <row r="448" spans="7:12" x14ac:dyDescent="0.3">
      <c r="G448" s="96"/>
      <c r="H448" s="96"/>
      <c r="J448" s="96"/>
      <c r="L448"/>
    </row>
    <row r="449" spans="7:12" x14ac:dyDescent="0.3">
      <c r="G449" s="96"/>
      <c r="H449" s="96"/>
      <c r="J449" s="96"/>
      <c r="L449"/>
    </row>
    <row r="450" spans="7:12" x14ac:dyDescent="0.3">
      <c r="G450" s="96"/>
      <c r="H450" s="96"/>
      <c r="J450" s="96"/>
      <c r="L450"/>
    </row>
    <row r="451" spans="7:12" x14ac:dyDescent="0.3">
      <c r="G451" s="96"/>
      <c r="H451" s="96"/>
      <c r="J451" s="96"/>
      <c r="L451"/>
    </row>
    <row r="452" spans="7:12" x14ac:dyDescent="0.3">
      <c r="G452" s="96"/>
      <c r="H452" s="96"/>
      <c r="J452" s="96"/>
      <c r="L452"/>
    </row>
    <row r="453" spans="7:12" x14ac:dyDescent="0.3">
      <c r="G453" s="96"/>
      <c r="H453" s="96"/>
      <c r="J453" s="96"/>
      <c r="L453"/>
    </row>
    <row r="454" spans="7:12" x14ac:dyDescent="0.3">
      <c r="G454" s="96"/>
      <c r="H454" s="96"/>
      <c r="J454" s="96"/>
      <c r="L454"/>
    </row>
    <row r="455" spans="7:12" x14ac:dyDescent="0.3">
      <c r="G455" s="96"/>
      <c r="H455" s="96"/>
      <c r="J455" s="96"/>
      <c r="L455"/>
    </row>
    <row r="456" spans="7:12" x14ac:dyDescent="0.3">
      <c r="G456" s="96"/>
      <c r="H456" s="96"/>
      <c r="J456" s="96"/>
      <c r="L456"/>
    </row>
    <row r="457" spans="7:12" x14ac:dyDescent="0.3">
      <c r="G457" s="96"/>
      <c r="H457" s="96"/>
      <c r="J457" s="96"/>
      <c r="L457"/>
    </row>
    <row r="458" spans="7:12" x14ac:dyDescent="0.3">
      <c r="G458" s="96"/>
      <c r="H458" s="96"/>
      <c r="J458" s="96"/>
      <c r="L458"/>
    </row>
    <row r="459" spans="7:12" x14ac:dyDescent="0.3">
      <c r="G459" s="96"/>
      <c r="H459" s="96"/>
      <c r="J459" s="96"/>
      <c r="L459"/>
    </row>
    <row r="460" spans="7:12" x14ac:dyDescent="0.3">
      <c r="G460" s="96"/>
      <c r="H460" s="96"/>
      <c r="J460" s="96"/>
      <c r="L460"/>
    </row>
    <row r="461" spans="7:12" x14ac:dyDescent="0.3">
      <c r="G461" s="96"/>
      <c r="H461" s="96"/>
      <c r="J461" s="96"/>
      <c r="L461"/>
    </row>
    <row r="462" spans="7:12" x14ac:dyDescent="0.3">
      <c r="G462" s="96"/>
      <c r="H462" s="96"/>
      <c r="J462" s="96"/>
      <c r="L462"/>
    </row>
    <row r="463" spans="7:12" x14ac:dyDescent="0.3">
      <c r="G463" s="96"/>
      <c r="H463" s="96"/>
      <c r="J463" s="96"/>
      <c r="L463"/>
    </row>
    <row r="464" spans="7:12" x14ac:dyDescent="0.3">
      <c r="G464" s="96"/>
      <c r="H464" s="96"/>
      <c r="J464" s="96"/>
      <c r="L464"/>
    </row>
    <row r="465" spans="7:12" x14ac:dyDescent="0.3">
      <c r="G465" s="96"/>
      <c r="H465" s="96"/>
      <c r="J465" s="96"/>
      <c r="L465"/>
    </row>
    <row r="466" spans="7:12" x14ac:dyDescent="0.3">
      <c r="G466" s="96"/>
      <c r="H466" s="96"/>
      <c r="J466" s="96"/>
      <c r="L466"/>
    </row>
    <row r="467" spans="7:12" x14ac:dyDescent="0.3">
      <c r="G467" s="96"/>
      <c r="H467" s="96"/>
      <c r="J467" s="96"/>
      <c r="L467"/>
    </row>
    <row r="468" spans="7:12" x14ac:dyDescent="0.3">
      <c r="G468" s="96"/>
      <c r="H468" s="96"/>
      <c r="J468" s="96"/>
      <c r="L468"/>
    </row>
    <row r="469" spans="7:12" x14ac:dyDescent="0.3">
      <c r="G469" s="96"/>
      <c r="H469" s="96"/>
      <c r="J469" s="96"/>
      <c r="L469"/>
    </row>
    <row r="470" spans="7:12" x14ac:dyDescent="0.3">
      <c r="G470" s="96"/>
      <c r="H470" s="96"/>
      <c r="J470" s="96"/>
      <c r="L470"/>
    </row>
    <row r="471" spans="7:12" x14ac:dyDescent="0.3">
      <c r="G471" s="96"/>
      <c r="H471" s="96"/>
      <c r="J471" s="96"/>
      <c r="L471"/>
    </row>
    <row r="472" spans="7:12" x14ac:dyDescent="0.3">
      <c r="G472" s="96"/>
      <c r="H472" s="96"/>
      <c r="J472" s="96"/>
      <c r="L472"/>
    </row>
    <row r="473" spans="7:12" x14ac:dyDescent="0.3">
      <c r="G473" s="96"/>
      <c r="H473" s="96"/>
      <c r="J473" s="96"/>
      <c r="L473"/>
    </row>
    <row r="474" spans="7:12" x14ac:dyDescent="0.3">
      <c r="G474" s="96"/>
      <c r="H474" s="96"/>
      <c r="J474" s="96"/>
      <c r="L474"/>
    </row>
    <row r="475" spans="7:12" x14ac:dyDescent="0.3">
      <c r="G475" s="96"/>
      <c r="H475" s="96"/>
      <c r="J475" s="96"/>
      <c r="L475"/>
    </row>
    <row r="476" spans="7:12" x14ac:dyDescent="0.3">
      <c r="G476" s="96"/>
      <c r="H476" s="96"/>
      <c r="J476" s="96"/>
      <c r="L476"/>
    </row>
    <row r="477" spans="7:12" x14ac:dyDescent="0.3">
      <c r="G477" s="96"/>
      <c r="H477" s="96"/>
      <c r="J477" s="96"/>
      <c r="L477"/>
    </row>
    <row r="478" spans="7:12" x14ac:dyDescent="0.3">
      <c r="G478" s="96"/>
      <c r="H478" s="96"/>
      <c r="J478" s="96"/>
      <c r="L478"/>
    </row>
    <row r="479" spans="7:12" x14ac:dyDescent="0.3">
      <c r="G479" s="96"/>
      <c r="H479" s="96"/>
      <c r="J479" s="96"/>
      <c r="L479"/>
    </row>
    <row r="480" spans="7:12" x14ac:dyDescent="0.3">
      <c r="G480" s="96"/>
      <c r="H480" s="96"/>
      <c r="J480" s="96"/>
      <c r="L480"/>
    </row>
    <row r="481" spans="7:12" x14ac:dyDescent="0.3">
      <c r="G481" s="96"/>
      <c r="H481" s="96"/>
      <c r="J481" s="96"/>
      <c r="L481"/>
    </row>
    <row r="482" spans="7:12" x14ac:dyDescent="0.3">
      <c r="G482" s="96"/>
      <c r="H482" s="96"/>
      <c r="J482" s="96"/>
      <c r="L482"/>
    </row>
    <row r="483" spans="7:12" x14ac:dyDescent="0.3">
      <c r="G483" s="96"/>
      <c r="H483" s="96"/>
      <c r="J483" s="96"/>
      <c r="L483"/>
    </row>
    <row r="484" spans="7:12" x14ac:dyDescent="0.3">
      <c r="G484" s="96"/>
      <c r="H484" s="96"/>
      <c r="J484" s="96"/>
      <c r="L484"/>
    </row>
    <row r="485" spans="7:12" x14ac:dyDescent="0.3">
      <c r="G485" s="96"/>
      <c r="H485" s="96"/>
      <c r="J485" s="96"/>
      <c r="L485"/>
    </row>
    <row r="486" spans="7:12" x14ac:dyDescent="0.3">
      <c r="G486" s="96"/>
      <c r="H486" s="96"/>
      <c r="J486" s="96"/>
      <c r="L486"/>
    </row>
    <row r="487" spans="7:12" x14ac:dyDescent="0.3">
      <c r="G487" s="96"/>
      <c r="H487" s="96"/>
      <c r="J487" s="96"/>
      <c r="L487"/>
    </row>
    <row r="488" spans="7:12" x14ac:dyDescent="0.3">
      <c r="G488" s="96"/>
      <c r="H488" s="96"/>
      <c r="J488" s="96"/>
      <c r="L488"/>
    </row>
    <row r="489" spans="7:12" x14ac:dyDescent="0.3">
      <c r="G489" s="96"/>
      <c r="H489" s="96"/>
      <c r="J489" s="96"/>
      <c r="L489"/>
    </row>
    <row r="490" spans="7:12" x14ac:dyDescent="0.3">
      <c r="G490" s="96"/>
      <c r="H490" s="96"/>
      <c r="J490" s="96"/>
      <c r="L490"/>
    </row>
    <row r="491" spans="7:12" x14ac:dyDescent="0.3">
      <c r="G491" s="96"/>
      <c r="H491" s="96"/>
      <c r="J491" s="96"/>
      <c r="L491"/>
    </row>
    <row r="492" spans="7:12" x14ac:dyDescent="0.3">
      <c r="G492" s="96"/>
      <c r="H492" s="96"/>
      <c r="J492" s="96"/>
      <c r="L492"/>
    </row>
    <row r="493" spans="7:12" x14ac:dyDescent="0.3">
      <c r="G493" s="96"/>
      <c r="H493" s="96"/>
      <c r="J493" s="96"/>
      <c r="L493"/>
    </row>
    <row r="494" spans="7:12" x14ac:dyDescent="0.3">
      <c r="G494" s="96"/>
      <c r="H494" s="96"/>
      <c r="J494" s="96"/>
      <c r="L494"/>
    </row>
    <row r="495" spans="7:12" x14ac:dyDescent="0.3">
      <c r="G495" s="96"/>
      <c r="H495" s="96"/>
      <c r="J495" s="96"/>
      <c r="L495"/>
    </row>
    <row r="496" spans="7:12" x14ac:dyDescent="0.3">
      <c r="G496" s="96"/>
      <c r="H496" s="96"/>
      <c r="J496" s="96"/>
      <c r="L496"/>
    </row>
    <row r="497" spans="7:12" x14ac:dyDescent="0.3">
      <c r="G497" s="96"/>
      <c r="H497" s="96"/>
      <c r="J497" s="96"/>
      <c r="L497"/>
    </row>
    <row r="498" spans="7:12" x14ac:dyDescent="0.3">
      <c r="G498" s="96"/>
      <c r="H498" s="96"/>
      <c r="J498" s="96"/>
      <c r="L498"/>
    </row>
    <row r="499" spans="7:12" x14ac:dyDescent="0.3">
      <c r="G499" s="96"/>
      <c r="H499" s="96"/>
      <c r="J499" s="96"/>
      <c r="L499"/>
    </row>
    <row r="500" spans="7:12" x14ac:dyDescent="0.3">
      <c r="G500" s="96"/>
      <c r="H500" s="96"/>
      <c r="J500" s="96"/>
      <c r="L500"/>
    </row>
    <row r="501" spans="7:12" x14ac:dyDescent="0.3">
      <c r="G501" s="96"/>
      <c r="H501" s="96"/>
      <c r="J501" s="96"/>
      <c r="L501"/>
    </row>
    <row r="502" spans="7:12" x14ac:dyDescent="0.3">
      <c r="G502" s="96"/>
      <c r="H502" s="96"/>
      <c r="J502" s="96"/>
      <c r="L502"/>
    </row>
    <row r="503" spans="7:12" x14ac:dyDescent="0.3">
      <c r="G503" s="96"/>
      <c r="H503" s="96"/>
      <c r="J503" s="96"/>
      <c r="L503"/>
    </row>
    <row r="504" spans="7:12" x14ac:dyDescent="0.3">
      <c r="G504" s="96"/>
      <c r="H504" s="96"/>
      <c r="J504" s="96"/>
      <c r="L504"/>
    </row>
    <row r="505" spans="7:12" x14ac:dyDescent="0.3">
      <c r="G505" s="96"/>
      <c r="H505" s="96"/>
      <c r="J505" s="96"/>
      <c r="L505"/>
    </row>
    <row r="506" spans="7:12" x14ac:dyDescent="0.3">
      <c r="G506" s="96"/>
      <c r="H506" s="96"/>
      <c r="J506" s="96"/>
      <c r="L506"/>
    </row>
    <row r="507" spans="7:12" x14ac:dyDescent="0.3">
      <c r="G507" s="96"/>
      <c r="H507" s="96"/>
      <c r="J507" s="96"/>
      <c r="L507"/>
    </row>
    <row r="508" spans="7:12" x14ac:dyDescent="0.3">
      <c r="G508" s="96"/>
      <c r="H508" s="96"/>
      <c r="J508" s="96"/>
      <c r="L508"/>
    </row>
    <row r="509" spans="7:12" x14ac:dyDescent="0.3">
      <c r="G509" s="96"/>
      <c r="H509" s="96"/>
      <c r="J509" s="96"/>
      <c r="L509"/>
    </row>
    <row r="510" spans="7:12" x14ac:dyDescent="0.3">
      <c r="G510" s="96"/>
      <c r="H510" s="96"/>
      <c r="J510" s="96"/>
      <c r="L510"/>
    </row>
    <row r="511" spans="7:12" x14ac:dyDescent="0.3">
      <c r="G511" s="96"/>
      <c r="H511" s="96"/>
      <c r="J511" s="96"/>
      <c r="L511"/>
    </row>
    <row r="512" spans="7:12" x14ac:dyDescent="0.3">
      <c r="G512" s="96"/>
      <c r="H512" s="96"/>
      <c r="J512" s="96"/>
      <c r="L512"/>
    </row>
    <row r="513" spans="7:12" x14ac:dyDescent="0.3">
      <c r="G513" s="96"/>
      <c r="H513" s="96"/>
      <c r="J513" s="96"/>
      <c r="L513"/>
    </row>
    <row r="514" spans="7:12" x14ac:dyDescent="0.3">
      <c r="G514" s="96"/>
      <c r="H514" s="96"/>
      <c r="J514" s="96"/>
      <c r="L514"/>
    </row>
    <row r="515" spans="7:12" x14ac:dyDescent="0.3">
      <c r="G515" s="96"/>
      <c r="H515" s="96"/>
      <c r="J515" s="96"/>
      <c r="L515"/>
    </row>
    <row r="516" spans="7:12" x14ac:dyDescent="0.3">
      <c r="G516" s="96"/>
      <c r="H516" s="96"/>
      <c r="J516" s="96"/>
      <c r="L516"/>
    </row>
    <row r="517" spans="7:12" x14ac:dyDescent="0.3">
      <c r="G517" s="96"/>
      <c r="H517" s="96"/>
      <c r="J517" s="96"/>
      <c r="L517"/>
    </row>
    <row r="518" spans="7:12" x14ac:dyDescent="0.3">
      <c r="G518" s="96"/>
      <c r="H518" s="96"/>
      <c r="J518" s="96"/>
      <c r="L518"/>
    </row>
    <row r="519" spans="7:12" x14ac:dyDescent="0.3">
      <c r="G519" s="96"/>
      <c r="H519" s="96"/>
      <c r="J519" s="96"/>
      <c r="L519"/>
    </row>
    <row r="520" spans="7:12" x14ac:dyDescent="0.3">
      <c r="G520" s="96"/>
      <c r="H520" s="96"/>
      <c r="J520" s="96"/>
      <c r="L520"/>
    </row>
    <row r="521" spans="7:12" x14ac:dyDescent="0.3">
      <c r="G521" s="96"/>
      <c r="H521" s="96"/>
      <c r="J521" s="96"/>
      <c r="L521"/>
    </row>
    <row r="522" spans="7:12" x14ac:dyDescent="0.3">
      <c r="G522" s="96"/>
      <c r="H522" s="96"/>
      <c r="J522" s="96"/>
      <c r="L522"/>
    </row>
    <row r="523" spans="7:12" x14ac:dyDescent="0.3">
      <c r="G523" s="96"/>
      <c r="H523" s="96"/>
      <c r="J523" s="96"/>
      <c r="L523"/>
    </row>
    <row r="524" spans="7:12" x14ac:dyDescent="0.3">
      <c r="G524" s="96"/>
      <c r="H524" s="96"/>
      <c r="J524" s="96"/>
      <c r="L524"/>
    </row>
    <row r="525" spans="7:12" x14ac:dyDescent="0.3">
      <c r="G525" s="96"/>
      <c r="H525" s="96"/>
      <c r="J525" s="96"/>
      <c r="L525"/>
    </row>
    <row r="526" spans="7:12" x14ac:dyDescent="0.3">
      <c r="G526" s="96"/>
      <c r="H526" s="96"/>
      <c r="J526" s="96"/>
      <c r="L526"/>
    </row>
    <row r="527" spans="7:12" x14ac:dyDescent="0.3">
      <c r="G527" s="96"/>
      <c r="H527" s="96"/>
      <c r="J527" s="96"/>
      <c r="L527"/>
    </row>
    <row r="528" spans="7:12" x14ac:dyDescent="0.3">
      <c r="G528" s="96"/>
      <c r="H528" s="96"/>
      <c r="J528" s="96"/>
      <c r="L528"/>
    </row>
    <row r="529" spans="7:12" x14ac:dyDescent="0.3">
      <c r="G529" s="96"/>
      <c r="H529" s="96"/>
      <c r="J529" s="96"/>
      <c r="L529"/>
    </row>
    <row r="530" spans="7:12" x14ac:dyDescent="0.3">
      <c r="G530" s="96"/>
      <c r="H530" s="96"/>
      <c r="J530" s="96"/>
      <c r="L530"/>
    </row>
    <row r="531" spans="7:12" x14ac:dyDescent="0.3">
      <c r="G531" s="96"/>
      <c r="H531" s="96"/>
      <c r="J531" s="96"/>
      <c r="L531"/>
    </row>
    <row r="532" spans="7:12" x14ac:dyDescent="0.3">
      <c r="G532" s="96"/>
      <c r="H532" s="96"/>
      <c r="J532" s="96"/>
      <c r="L532"/>
    </row>
    <row r="533" spans="7:12" x14ac:dyDescent="0.3">
      <c r="G533" s="96"/>
      <c r="H533" s="96"/>
      <c r="J533" s="96"/>
      <c r="L533"/>
    </row>
    <row r="534" spans="7:12" x14ac:dyDescent="0.3">
      <c r="G534" s="96"/>
      <c r="H534" s="96"/>
      <c r="J534" s="96"/>
      <c r="L534"/>
    </row>
    <row r="535" spans="7:12" x14ac:dyDescent="0.3">
      <c r="G535" s="96"/>
      <c r="H535" s="96"/>
      <c r="J535" s="96"/>
      <c r="L535"/>
    </row>
    <row r="536" spans="7:12" x14ac:dyDescent="0.3">
      <c r="G536" s="96"/>
      <c r="H536" s="96"/>
      <c r="J536" s="96"/>
      <c r="L536"/>
    </row>
    <row r="537" spans="7:12" x14ac:dyDescent="0.3">
      <c r="G537" s="96"/>
      <c r="H537" s="96"/>
      <c r="J537" s="96"/>
      <c r="L537"/>
    </row>
    <row r="538" spans="7:12" x14ac:dyDescent="0.3">
      <c r="G538" s="96"/>
      <c r="H538" s="96"/>
      <c r="J538" s="96"/>
      <c r="L538"/>
    </row>
    <row r="539" spans="7:12" x14ac:dyDescent="0.3">
      <c r="G539" s="96"/>
      <c r="H539" s="96"/>
      <c r="J539" s="96"/>
      <c r="L539"/>
    </row>
    <row r="540" spans="7:12" x14ac:dyDescent="0.3">
      <c r="G540" s="96"/>
      <c r="H540" s="96"/>
      <c r="J540" s="96"/>
      <c r="L540"/>
    </row>
    <row r="541" spans="7:12" x14ac:dyDescent="0.3">
      <c r="G541" s="96"/>
      <c r="H541" s="96"/>
      <c r="J541" s="96"/>
      <c r="L541"/>
    </row>
    <row r="542" spans="7:12" x14ac:dyDescent="0.3">
      <c r="G542" s="96"/>
      <c r="H542" s="96"/>
      <c r="J542" s="96"/>
      <c r="L542"/>
    </row>
    <row r="543" spans="7:12" x14ac:dyDescent="0.3">
      <c r="G543" s="96"/>
      <c r="H543" s="96"/>
      <c r="J543" s="96"/>
      <c r="L543"/>
    </row>
    <row r="544" spans="7:12" x14ac:dyDescent="0.3">
      <c r="G544" s="96"/>
      <c r="H544" s="96"/>
      <c r="J544" s="96"/>
      <c r="L544"/>
    </row>
    <row r="545" spans="7:12" x14ac:dyDescent="0.3">
      <c r="G545" s="96"/>
      <c r="H545" s="96"/>
      <c r="J545" s="96"/>
      <c r="L545"/>
    </row>
    <row r="546" spans="7:12" x14ac:dyDescent="0.3">
      <c r="G546" s="96"/>
      <c r="H546" s="96"/>
      <c r="J546" s="96"/>
      <c r="L546"/>
    </row>
    <row r="547" spans="7:12" x14ac:dyDescent="0.3">
      <c r="G547" s="96"/>
      <c r="H547" s="96"/>
      <c r="J547" s="96"/>
      <c r="L547"/>
    </row>
    <row r="548" spans="7:12" x14ac:dyDescent="0.3">
      <c r="G548" s="96"/>
      <c r="H548" s="96"/>
      <c r="J548" s="96"/>
      <c r="L548"/>
    </row>
    <row r="549" spans="7:12" x14ac:dyDescent="0.3">
      <c r="G549" s="96"/>
      <c r="H549" s="96"/>
      <c r="J549" s="96"/>
      <c r="L549"/>
    </row>
    <row r="550" spans="7:12" x14ac:dyDescent="0.3">
      <c r="G550" s="96"/>
      <c r="H550" s="96"/>
      <c r="J550" s="96"/>
      <c r="L550"/>
    </row>
    <row r="551" spans="7:12" x14ac:dyDescent="0.3">
      <c r="G551" s="96"/>
      <c r="H551" s="96"/>
      <c r="J551" s="96"/>
      <c r="L551"/>
    </row>
    <row r="552" spans="7:12" x14ac:dyDescent="0.3">
      <c r="G552" s="96"/>
      <c r="H552" s="96"/>
      <c r="J552" s="96"/>
      <c r="L552"/>
    </row>
    <row r="553" spans="7:12" x14ac:dyDescent="0.3">
      <c r="G553" s="96"/>
      <c r="H553" s="96"/>
      <c r="J553" s="96"/>
      <c r="L553"/>
    </row>
    <row r="554" spans="7:12" x14ac:dyDescent="0.3">
      <c r="G554" s="96"/>
      <c r="H554" s="96"/>
      <c r="J554" s="96"/>
      <c r="L554"/>
    </row>
    <row r="555" spans="7:12" x14ac:dyDescent="0.3">
      <c r="G555" s="96"/>
      <c r="H555" s="96"/>
      <c r="J555" s="96"/>
      <c r="L555"/>
    </row>
    <row r="556" spans="7:12" x14ac:dyDescent="0.3">
      <c r="G556" s="96"/>
      <c r="H556" s="96"/>
      <c r="J556" s="96"/>
      <c r="L556"/>
    </row>
    <row r="557" spans="7:12" x14ac:dyDescent="0.3">
      <c r="G557" s="96"/>
      <c r="H557" s="96"/>
      <c r="J557" s="96"/>
      <c r="L557"/>
    </row>
    <row r="558" spans="7:12" x14ac:dyDescent="0.3">
      <c r="G558" s="96"/>
      <c r="H558" s="96"/>
      <c r="J558" s="96"/>
      <c r="L558"/>
    </row>
    <row r="559" spans="7:12" x14ac:dyDescent="0.3">
      <c r="G559" s="96"/>
      <c r="H559" s="96"/>
      <c r="J559" s="96"/>
      <c r="L559"/>
    </row>
    <row r="560" spans="7:12" x14ac:dyDescent="0.3">
      <c r="G560" s="96"/>
      <c r="H560" s="96"/>
      <c r="J560" s="96"/>
      <c r="L560"/>
    </row>
    <row r="561" spans="7:12" x14ac:dyDescent="0.3">
      <c r="G561" s="96"/>
      <c r="H561" s="96"/>
      <c r="J561" s="96"/>
      <c r="L561"/>
    </row>
    <row r="562" spans="7:12" x14ac:dyDescent="0.3">
      <c r="G562" s="96"/>
      <c r="H562" s="96"/>
      <c r="J562" s="96"/>
      <c r="L562"/>
    </row>
    <row r="563" spans="7:12" x14ac:dyDescent="0.3">
      <c r="G563" s="96"/>
      <c r="H563" s="96"/>
      <c r="J563" s="96"/>
      <c r="L563"/>
    </row>
    <row r="564" spans="7:12" x14ac:dyDescent="0.3">
      <c r="G564" s="96"/>
      <c r="H564" s="96"/>
      <c r="J564" s="96"/>
      <c r="L564"/>
    </row>
    <row r="565" spans="7:12" x14ac:dyDescent="0.3">
      <c r="G565" s="96"/>
      <c r="H565" s="96"/>
      <c r="J565" s="96"/>
      <c r="L565"/>
    </row>
    <row r="566" spans="7:12" x14ac:dyDescent="0.3">
      <c r="G566" s="96"/>
      <c r="H566" s="96"/>
      <c r="J566" s="96"/>
      <c r="L566"/>
    </row>
    <row r="567" spans="7:12" x14ac:dyDescent="0.3">
      <c r="G567" s="96"/>
      <c r="H567" s="96"/>
      <c r="J567" s="96"/>
      <c r="L567"/>
    </row>
    <row r="568" spans="7:12" x14ac:dyDescent="0.3">
      <c r="G568" s="96"/>
      <c r="H568" s="96"/>
      <c r="J568" s="96"/>
      <c r="L568"/>
    </row>
    <row r="569" spans="7:12" x14ac:dyDescent="0.3">
      <c r="G569" s="96"/>
      <c r="H569" s="96"/>
      <c r="J569" s="96"/>
      <c r="L569"/>
    </row>
    <row r="570" spans="7:12" x14ac:dyDescent="0.3">
      <c r="G570" s="96"/>
      <c r="H570" s="96"/>
      <c r="J570" s="96"/>
      <c r="L570"/>
    </row>
    <row r="571" spans="7:12" x14ac:dyDescent="0.3">
      <c r="G571" s="96"/>
      <c r="H571" s="96"/>
      <c r="J571" s="96"/>
      <c r="L571"/>
    </row>
    <row r="572" spans="7:12" x14ac:dyDescent="0.3">
      <c r="G572" s="96"/>
      <c r="H572" s="96"/>
      <c r="J572" s="96"/>
      <c r="L572"/>
    </row>
    <row r="573" spans="7:12" x14ac:dyDescent="0.3">
      <c r="G573" s="96"/>
      <c r="H573" s="96"/>
      <c r="J573" s="96"/>
      <c r="L573"/>
    </row>
    <row r="574" spans="7:12" x14ac:dyDescent="0.3">
      <c r="G574" s="96"/>
      <c r="H574" s="96"/>
      <c r="J574" s="96"/>
      <c r="L574"/>
    </row>
    <row r="575" spans="7:12" x14ac:dyDescent="0.3">
      <c r="G575" s="96"/>
      <c r="H575" s="96"/>
      <c r="J575" s="96"/>
      <c r="L575"/>
    </row>
    <row r="576" spans="7:12" x14ac:dyDescent="0.3">
      <c r="G576" s="96"/>
      <c r="H576" s="96"/>
      <c r="J576" s="96"/>
      <c r="L576"/>
    </row>
    <row r="577" spans="7:12" x14ac:dyDescent="0.3">
      <c r="G577" s="96"/>
      <c r="H577" s="96"/>
      <c r="J577" s="96"/>
      <c r="L577"/>
    </row>
    <row r="578" spans="7:12" x14ac:dyDescent="0.3">
      <c r="G578" s="96"/>
      <c r="H578" s="96"/>
      <c r="J578" s="96"/>
      <c r="L578"/>
    </row>
    <row r="579" spans="7:12" x14ac:dyDescent="0.3">
      <c r="G579" s="96"/>
      <c r="H579" s="96"/>
      <c r="J579" s="96"/>
      <c r="L579"/>
    </row>
    <row r="580" spans="7:12" x14ac:dyDescent="0.3">
      <c r="G580" s="96"/>
      <c r="H580" s="96"/>
      <c r="J580" s="96"/>
      <c r="L580"/>
    </row>
    <row r="581" spans="7:12" x14ac:dyDescent="0.3">
      <c r="G581" s="96"/>
      <c r="H581" s="96"/>
      <c r="J581" s="96"/>
      <c r="L581"/>
    </row>
    <row r="582" spans="7:12" x14ac:dyDescent="0.3">
      <c r="G582" s="96"/>
      <c r="H582" s="96"/>
      <c r="J582" s="96"/>
      <c r="L582"/>
    </row>
    <row r="583" spans="7:12" x14ac:dyDescent="0.3">
      <c r="G583" s="96"/>
      <c r="H583" s="96"/>
      <c r="J583" s="96"/>
      <c r="L583"/>
    </row>
    <row r="584" spans="7:12" x14ac:dyDescent="0.3">
      <c r="G584" s="96"/>
      <c r="H584" s="96"/>
      <c r="J584" s="96"/>
      <c r="L584"/>
    </row>
    <row r="585" spans="7:12" x14ac:dyDescent="0.3">
      <c r="G585" s="96"/>
      <c r="H585" s="96"/>
      <c r="J585" s="96"/>
      <c r="L585"/>
    </row>
    <row r="586" spans="7:12" x14ac:dyDescent="0.3">
      <c r="G586" s="96"/>
      <c r="H586" s="96"/>
      <c r="J586" s="96"/>
      <c r="L586"/>
    </row>
    <row r="587" spans="7:12" x14ac:dyDescent="0.3">
      <c r="G587" s="96"/>
      <c r="H587" s="96"/>
      <c r="J587" s="96"/>
      <c r="L587"/>
    </row>
    <row r="588" spans="7:12" x14ac:dyDescent="0.3">
      <c r="G588" s="96"/>
      <c r="H588" s="96"/>
      <c r="J588" s="96"/>
      <c r="L588"/>
    </row>
    <row r="589" spans="7:12" x14ac:dyDescent="0.3">
      <c r="G589" s="96"/>
      <c r="H589" s="96"/>
      <c r="J589" s="96"/>
      <c r="L589"/>
    </row>
    <row r="590" spans="7:12" x14ac:dyDescent="0.3">
      <c r="G590" s="96"/>
      <c r="H590" s="96"/>
      <c r="J590" s="96"/>
      <c r="L590"/>
    </row>
    <row r="591" spans="7:12" x14ac:dyDescent="0.3">
      <c r="G591" s="96"/>
      <c r="H591" s="96"/>
      <c r="J591" s="96"/>
      <c r="L591"/>
    </row>
    <row r="592" spans="7:12" x14ac:dyDescent="0.3">
      <c r="G592" s="96"/>
      <c r="H592" s="96"/>
      <c r="J592" s="96"/>
      <c r="L592"/>
    </row>
    <row r="593" spans="7:12" x14ac:dyDescent="0.3">
      <c r="G593" s="96"/>
      <c r="H593" s="96"/>
      <c r="J593" s="96"/>
      <c r="L593"/>
    </row>
    <row r="594" spans="7:12" x14ac:dyDescent="0.3">
      <c r="G594" s="96"/>
      <c r="H594" s="96"/>
      <c r="J594" s="96"/>
      <c r="L594"/>
    </row>
    <row r="595" spans="7:12" x14ac:dyDescent="0.3">
      <c r="G595" s="96"/>
      <c r="H595" s="96"/>
      <c r="J595" s="96"/>
      <c r="L595"/>
    </row>
    <row r="596" spans="7:12" x14ac:dyDescent="0.3">
      <c r="G596" s="96"/>
      <c r="H596" s="96"/>
      <c r="J596" s="96"/>
      <c r="L596"/>
    </row>
    <row r="597" spans="7:12" x14ac:dyDescent="0.3">
      <c r="G597" s="96"/>
      <c r="H597" s="96"/>
      <c r="J597" s="96"/>
      <c r="L597"/>
    </row>
    <row r="598" spans="7:12" x14ac:dyDescent="0.3">
      <c r="G598" s="96"/>
      <c r="H598" s="96"/>
      <c r="J598" s="96"/>
      <c r="L598"/>
    </row>
    <row r="599" spans="7:12" x14ac:dyDescent="0.3">
      <c r="G599" s="96"/>
      <c r="H599" s="96"/>
      <c r="J599" s="96"/>
      <c r="L599"/>
    </row>
    <row r="600" spans="7:12" x14ac:dyDescent="0.3">
      <c r="G600" s="96"/>
      <c r="H600" s="96"/>
      <c r="J600" s="96"/>
      <c r="L600"/>
    </row>
    <row r="601" spans="7:12" x14ac:dyDescent="0.3">
      <c r="G601" s="96"/>
      <c r="H601" s="96"/>
      <c r="J601" s="96"/>
      <c r="L601"/>
    </row>
    <row r="602" spans="7:12" x14ac:dyDescent="0.3">
      <c r="G602" s="96"/>
      <c r="H602" s="96"/>
      <c r="J602" s="96"/>
      <c r="L602"/>
    </row>
    <row r="603" spans="7:12" x14ac:dyDescent="0.3">
      <c r="G603" s="96"/>
      <c r="H603" s="96"/>
      <c r="J603" s="96"/>
      <c r="L603"/>
    </row>
    <row r="604" spans="7:12" x14ac:dyDescent="0.3">
      <c r="G604" s="96"/>
      <c r="H604" s="96"/>
      <c r="J604" s="96"/>
      <c r="L604"/>
    </row>
    <row r="605" spans="7:12" x14ac:dyDescent="0.3">
      <c r="G605" s="96"/>
      <c r="H605" s="96"/>
      <c r="J605" s="96"/>
      <c r="L605"/>
    </row>
    <row r="606" spans="7:12" x14ac:dyDescent="0.3">
      <c r="G606" s="96"/>
      <c r="H606" s="96"/>
      <c r="J606" s="96"/>
      <c r="L606"/>
    </row>
    <row r="607" spans="7:12" x14ac:dyDescent="0.3">
      <c r="G607" s="96"/>
      <c r="H607" s="96"/>
      <c r="J607" s="96"/>
      <c r="L607"/>
    </row>
    <row r="608" spans="7:12" x14ac:dyDescent="0.3">
      <c r="G608" s="96"/>
      <c r="H608" s="96"/>
      <c r="J608" s="96"/>
      <c r="L608"/>
    </row>
    <row r="609" spans="7:12" x14ac:dyDescent="0.3">
      <c r="G609" s="96"/>
      <c r="H609" s="96"/>
      <c r="J609" s="96"/>
      <c r="L609"/>
    </row>
    <row r="610" spans="7:12" x14ac:dyDescent="0.3">
      <c r="G610" s="96"/>
      <c r="H610" s="96"/>
      <c r="J610" s="96"/>
      <c r="L610"/>
    </row>
    <row r="611" spans="7:12" x14ac:dyDescent="0.3">
      <c r="G611" s="96"/>
      <c r="H611" s="96"/>
      <c r="J611" s="96"/>
      <c r="L611"/>
    </row>
    <row r="612" spans="7:12" x14ac:dyDescent="0.3">
      <c r="G612" s="96"/>
      <c r="H612" s="96"/>
      <c r="J612" s="96"/>
      <c r="L612"/>
    </row>
    <row r="613" spans="7:12" x14ac:dyDescent="0.3">
      <c r="G613" s="96"/>
      <c r="H613" s="96"/>
      <c r="J613" s="96"/>
      <c r="L613"/>
    </row>
    <row r="614" spans="7:12" x14ac:dyDescent="0.3">
      <c r="G614" s="96"/>
      <c r="H614" s="96"/>
      <c r="J614" s="96"/>
      <c r="L614"/>
    </row>
    <row r="615" spans="7:12" x14ac:dyDescent="0.3">
      <c r="G615" s="96"/>
      <c r="H615" s="96"/>
      <c r="J615" s="96"/>
      <c r="L615"/>
    </row>
    <row r="616" spans="7:12" x14ac:dyDescent="0.3">
      <c r="G616" s="96"/>
      <c r="H616" s="96"/>
      <c r="J616" s="96"/>
      <c r="L616"/>
    </row>
    <row r="617" spans="7:12" x14ac:dyDescent="0.3">
      <c r="G617" s="96"/>
      <c r="H617" s="96"/>
      <c r="J617" s="96"/>
      <c r="L617"/>
    </row>
    <row r="618" spans="7:12" x14ac:dyDescent="0.3">
      <c r="G618" s="96"/>
      <c r="H618" s="96"/>
      <c r="J618" s="96"/>
      <c r="L618"/>
    </row>
    <row r="619" spans="7:12" x14ac:dyDescent="0.3">
      <c r="G619" s="96"/>
      <c r="H619" s="96"/>
      <c r="J619" s="96"/>
      <c r="L619"/>
    </row>
    <row r="620" spans="7:12" x14ac:dyDescent="0.3">
      <c r="G620" s="96"/>
      <c r="H620" s="96"/>
      <c r="J620" s="96"/>
      <c r="L620"/>
    </row>
    <row r="621" spans="7:12" x14ac:dyDescent="0.3">
      <c r="G621" s="96"/>
      <c r="H621" s="96"/>
      <c r="J621" s="96"/>
      <c r="L621"/>
    </row>
    <row r="622" spans="7:12" x14ac:dyDescent="0.3">
      <c r="G622" s="96"/>
      <c r="H622" s="96"/>
      <c r="J622" s="96"/>
      <c r="L622"/>
    </row>
    <row r="623" spans="7:12" x14ac:dyDescent="0.3">
      <c r="G623" s="96"/>
      <c r="H623" s="96"/>
      <c r="J623" s="96"/>
      <c r="L623"/>
    </row>
    <row r="624" spans="7:12" x14ac:dyDescent="0.3">
      <c r="G624" s="96"/>
      <c r="H624" s="96"/>
      <c r="J624" s="96"/>
      <c r="L624"/>
    </row>
    <row r="625" spans="7:12" x14ac:dyDescent="0.3">
      <c r="G625" s="96"/>
      <c r="H625" s="96"/>
      <c r="J625" s="96"/>
      <c r="L625"/>
    </row>
    <row r="626" spans="7:12" x14ac:dyDescent="0.3">
      <c r="G626" s="96"/>
      <c r="H626" s="96"/>
      <c r="J626" s="96"/>
      <c r="L626"/>
    </row>
    <row r="627" spans="7:12" x14ac:dyDescent="0.3">
      <c r="G627" s="96"/>
      <c r="H627" s="96"/>
      <c r="J627" s="96"/>
      <c r="L627"/>
    </row>
    <row r="628" spans="7:12" x14ac:dyDescent="0.3">
      <c r="G628" s="96"/>
      <c r="H628" s="96"/>
      <c r="J628" s="96"/>
      <c r="L628"/>
    </row>
    <row r="629" spans="7:12" x14ac:dyDescent="0.3">
      <c r="G629" s="96"/>
      <c r="H629" s="96"/>
      <c r="J629" s="96"/>
      <c r="L629"/>
    </row>
    <row r="630" spans="7:12" x14ac:dyDescent="0.3">
      <c r="G630" s="96"/>
      <c r="H630" s="96"/>
      <c r="J630" s="96"/>
      <c r="L630"/>
    </row>
    <row r="631" spans="7:12" x14ac:dyDescent="0.3">
      <c r="G631" s="96"/>
      <c r="H631" s="96"/>
      <c r="J631" s="96"/>
      <c r="L631"/>
    </row>
    <row r="632" spans="7:12" x14ac:dyDescent="0.3">
      <c r="G632" s="96"/>
      <c r="H632" s="96"/>
      <c r="J632" s="96"/>
      <c r="L632"/>
    </row>
    <row r="633" spans="7:12" x14ac:dyDescent="0.3">
      <c r="G633" s="96"/>
      <c r="H633" s="96"/>
      <c r="J633" s="96"/>
      <c r="L633"/>
    </row>
    <row r="634" spans="7:12" x14ac:dyDescent="0.3">
      <c r="G634" s="96"/>
      <c r="H634" s="96"/>
      <c r="J634" s="96"/>
      <c r="L634"/>
    </row>
    <row r="635" spans="7:12" x14ac:dyDescent="0.3">
      <c r="G635" s="96"/>
      <c r="H635" s="96"/>
      <c r="J635" s="96"/>
      <c r="L635"/>
    </row>
    <row r="636" spans="7:12" x14ac:dyDescent="0.3">
      <c r="G636" s="96"/>
      <c r="H636" s="96"/>
      <c r="J636" s="96"/>
      <c r="L636"/>
    </row>
    <row r="637" spans="7:12" x14ac:dyDescent="0.3">
      <c r="G637" s="96"/>
      <c r="H637" s="96"/>
      <c r="J637" s="96"/>
      <c r="L637"/>
    </row>
    <row r="638" spans="7:12" x14ac:dyDescent="0.3">
      <c r="G638" s="96"/>
      <c r="H638" s="96"/>
      <c r="J638" s="96"/>
      <c r="L638"/>
    </row>
    <row r="639" spans="7:12" x14ac:dyDescent="0.3">
      <c r="G639" s="96"/>
      <c r="H639" s="96"/>
      <c r="J639" s="96"/>
      <c r="L639"/>
    </row>
    <row r="640" spans="7:12" x14ac:dyDescent="0.3">
      <c r="G640" s="96"/>
      <c r="H640" s="96"/>
      <c r="J640" s="96"/>
      <c r="L640"/>
    </row>
    <row r="641" spans="7:12" x14ac:dyDescent="0.3">
      <c r="G641" s="96"/>
      <c r="H641" s="96"/>
      <c r="J641" s="96"/>
      <c r="L641"/>
    </row>
    <row r="642" spans="7:12" x14ac:dyDescent="0.3">
      <c r="G642" s="96"/>
      <c r="H642" s="96"/>
      <c r="J642" s="96"/>
      <c r="L642"/>
    </row>
    <row r="643" spans="7:12" x14ac:dyDescent="0.3">
      <c r="G643" s="96"/>
      <c r="H643" s="96"/>
      <c r="J643" s="96"/>
      <c r="L643"/>
    </row>
    <row r="644" spans="7:12" x14ac:dyDescent="0.3">
      <c r="G644" s="96"/>
      <c r="H644" s="96"/>
      <c r="J644" s="96"/>
      <c r="L644"/>
    </row>
    <row r="645" spans="7:12" x14ac:dyDescent="0.3">
      <c r="G645" s="96"/>
      <c r="H645" s="96"/>
      <c r="J645" s="96"/>
      <c r="L645"/>
    </row>
    <row r="646" spans="7:12" x14ac:dyDescent="0.3">
      <c r="G646" s="96"/>
      <c r="H646" s="96"/>
      <c r="J646" s="96"/>
      <c r="L646"/>
    </row>
    <row r="647" spans="7:12" x14ac:dyDescent="0.3">
      <c r="G647" s="96"/>
      <c r="H647" s="96"/>
      <c r="J647" s="96"/>
      <c r="L647"/>
    </row>
    <row r="648" spans="7:12" x14ac:dyDescent="0.3">
      <c r="G648" s="96"/>
      <c r="H648" s="96"/>
      <c r="J648" s="96"/>
      <c r="L648"/>
    </row>
    <row r="649" spans="7:12" x14ac:dyDescent="0.3">
      <c r="G649" s="96"/>
      <c r="H649" s="96"/>
      <c r="J649" s="96"/>
      <c r="L649"/>
    </row>
    <row r="650" spans="7:12" x14ac:dyDescent="0.3">
      <c r="G650" s="96"/>
      <c r="H650" s="96"/>
      <c r="J650" s="96"/>
      <c r="L650"/>
    </row>
    <row r="651" spans="7:12" x14ac:dyDescent="0.3">
      <c r="G651" s="96"/>
      <c r="H651" s="96"/>
      <c r="J651" s="96"/>
      <c r="L651"/>
    </row>
    <row r="652" spans="7:12" x14ac:dyDescent="0.3">
      <c r="G652" s="96"/>
      <c r="H652" s="96"/>
      <c r="J652" s="96"/>
      <c r="L652"/>
    </row>
    <row r="653" spans="7:12" x14ac:dyDescent="0.3">
      <c r="G653" s="96"/>
      <c r="H653" s="96"/>
      <c r="J653" s="96"/>
      <c r="L653"/>
    </row>
    <row r="654" spans="7:12" x14ac:dyDescent="0.3">
      <c r="G654" s="96"/>
      <c r="H654" s="96"/>
      <c r="J654" s="96"/>
      <c r="L654"/>
    </row>
    <row r="655" spans="7:12" x14ac:dyDescent="0.3">
      <c r="G655" s="96"/>
      <c r="H655" s="96"/>
      <c r="J655" s="96"/>
      <c r="L655"/>
    </row>
    <row r="656" spans="7:12" x14ac:dyDescent="0.3">
      <c r="G656" s="96"/>
      <c r="H656" s="96"/>
      <c r="J656" s="96"/>
      <c r="L656"/>
    </row>
    <row r="657" spans="7:12" x14ac:dyDescent="0.3">
      <c r="G657" s="96"/>
      <c r="H657" s="96"/>
      <c r="J657" s="96"/>
      <c r="L657"/>
    </row>
    <row r="658" spans="7:12" x14ac:dyDescent="0.3">
      <c r="G658" s="96"/>
      <c r="H658" s="96"/>
      <c r="J658" s="96"/>
      <c r="L658"/>
    </row>
  </sheetData>
  <sheetProtection formatCells="0" formatColumns="0" formatRows="0" insertColumns="0" insertRows="0" insertHyperlinks="0" deleteColumns="0" deleteRows="0" sort="0" autoFilter="0" pivotTables="0"/>
  <conditionalFormatting sqref="B2:D2">
    <cfRule type="duplicateValues" dxfId="16" priority="7"/>
  </conditionalFormatting>
  <conditionalFormatting sqref="B22:C24 C25:C27">
    <cfRule type="expression" dxfId="15" priority="66">
      <formula>COUNTIFS($B$2:$B$658,$B22,$C$2:$C$658,$C22,$D$2:$D$658,#REF!)&gt;1</formula>
    </cfRule>
  </conditionalFormatting>
  <conditionalFormatting sqref="B25:B27 B28:D30 D26:D27 B2:F21 E22:F24 D25:F25 E26:F30 I2:I135 G114:J135 B31:F135 C247:I247 B248:I249 B208:I246 F272:J273 B250:D251 F250:I251 G260:J271 F252:F271 G281:J283 B252:C270 D260:D270 B271:D273 E250:E273 B274:J279 C280:J280 B281:E281 C282:E283 C284:J285 B286:J658 G2:J111 B136:J207">
    <cfRule type="expression" dxfId="14" priority="68">
      <formula>COUNTIFS($B$2:$B$658,$B2,$C$2:$C$658,$C2,$D$2:$D$658,$D2)&gt;1</formula>
    </cfRule>
  </conditionalFormatting>
  <conditionalFormatting sqref="J247">
    <cfRule type="expression" dxfId="13" priority="80">
      <formula>COUNTIFS($B$2:$B$658,#REF!,$C$2:$C$658,#REF!,$D$2:$D$658,#REF!)&gt;1</formula>
    </cfRule>
  </conditionalFormatting>
  <conditionalFormatting sqref="B247">
    <cfRule type="duplicateValues" dxfId="12" priority="4"/>
  </conditionalFormatting>
  <conditionalFormatting sqref="J248:J259 J216:J246">
    <cfRule type="expression" dxfId="11" priority="95">
      <formula>COUNTIFS($B$2:$B$658,$B208,$C$2:$C$658,$C208,$D$2:$D$658,$D208)&gt;1</formula>
    </cfRule>
  </conditionalFormatting>
  <conditionalFormatting sqref="J208:J215">
    <cfRule type="expression" dxfId="10" priority="104">
      <formula>COUNTIFS($B$2:$B$658,#REF!,$C$2:$C$658,#REF!,$D$2:$D$658,#REF!)&gt;1</formula>
    </cfRule>
  </conditionalFormatting>
  <conditionalFormatting sqref="F282:F283">
    <cfRule type="expression" dxfId="9" priority="106">
      <formula>COUNTIFS($B$2:$B$658,$B281,$C$2:$C$658,$C281,$D$2:$D$658,$D281)&gt;1</formula>
    </cfRule>
  </conditionalFormatting>
  <conditionalFormatting sqref="B280">
    <cfRule type="duplicateValues" dxfId="8" priority="3"/>
  </conditionalFormatting>
  <conditionalFormatting sqref="B280">
    <cfRule type="duplicateValues" dxfId="7" priority="2"/>
  </conditionalFormatting>
  <conditionalFormatting sqref="B282:B285">
    <cfRule type="expression" dxfId="6" priority="1">
      <formula>COUNTIFS($B$2:$B$658,$B282,$C$2:$C$658,$C282,$D$2:$D$658,$D282)&gt;1</formula>
    </cfRule>
  </conditionalFormatting>
  <pageMargins left="0.7" right="0.7" top="0.75" bottom="0.75" header="0.3" footer="0.3"/>
  <pageSetup paperSize="9" orientation="portrait" r:id="rId1"/>
  <headerFooter>
    <oddHeader>&amp;L&amp;"Calibri"&amp;10&amp;K0000FF [RESTRICTED INTERNAL]&amp;1#_x000D_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culate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0</xdr:col>
                    <xdr:colOff>990600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ClearFiltersPriceSheet">
                <anchor moveWithCells="1" sizeWithCells="1">
                  <from>
                    <xdr:col>0</xdr:col>
                    <xdr:colOff>68580</xdr:colOff>
                    <xdr:row>0</xdr:row>
                    <xdr:rowOff>312420</xdr:rowOff>
                  </from>
                  <to>
                    <xdr:col>0</xdr:col>
                    <xdr:colOff>990600</xdr:colOff>
                    <xdr:row>0</xdr:row>
                    <xdr:rowOff>792480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F720771-BB9A-46CD-8236-80DC34260AD2}">
          <x14:formula1>
            <xm:f>'CATEGORY TABLES'!$AA$2:$AA$10</xm:f>
          </x14:formula1>
          <xm:sqref>F282:F658 F2:F280</xm:sqref>
        </x14:dataValidation>
        <x14:dataValidation type="list" allowBlank="1" showInputMessage="1" showErrorMessage="1" xr:uid="{A953013F-A6F9-4736-AD32-525A3CE23355}">
          <x14:formula1>
            <xm:f>SUPPLIERS!$B$2:$B$100</xm:f>
          </x14:formula1>
          <xm:sqref>C2:C658</xm:sqref>
        </x14:dataValidation>
        <x14:dataValidation type="list" allowBlank="1" showInputMessage="1" showErrorMessage="1" xr:uid="{16D20BDC-D624-49F6-8C7F-31E6E5276CF6}">
          <x14:formula1>
            <xm:f>'CATEGORY TABLES'!$C$2:$C$350</xm:f>
          </x14:formula1>
          <xm:sqref>B2:B279 B281:B658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1C730-A904-4DF2-8B62-71BF6210FA0B}">
  <sheetPr codeName="Sheet8">
    <tabColor theme="6" tint="-0.499984740745262"/>
  </sheetPr>
  <dimension ref="A3:O5"/>
  <sheetViews>
    <sheetView zoomScale="85" zoomScaleNormal="85" workbookViewId="0"/>
  </sheetViews>
  <sheetFormatPr defaultRowHeight="14.4" x14ac:dyDescent="0.3"/>
  <cols>
    <col min="1" max="1" width="17.88671875" bestFit="1" customWidth="1"/>
    <col min="2" max="2" width="15.5546875" bestFit="1" customWidth="1"/>
    <col min="3" max="3" width="12.109375" bestFit="1" customWidth="1"/>
    <col min="4" max="4" width="14.6640625" bestFit="1" customWidth="1"/>
    <col min="5" max="5" width="11" bestFit="1" customWidth="1"/>
    <col min="6" max="6" width="38.109375" bestFit="1" customWidth="1"/>
    <col min="7" max="7" width="18.88671875" bestFit="1" customWidth="1"/>
    <col min="8" max="8" width="11.44140625" bestFit="1" customWidth="1"/>
    <col min="9" max="9" width="14" bestFit="1" customWidth="1"/>
    <col min="10" max="10" width="30.5546875" bestFit="1" customWidth="1"/>
    <col min="11" max="11" width="12.88671875" bestFit="1" customWidth="1"/>
    <col min="12" max="12" width="20.88671875" bestFit="1" customWidth="1"/>
    <col min="13" max="13" width="53.33203125" hidden="1" customWidth="1"/>
    <col min="14" max="14" width="26.6640625" hidden="1" customWidth="1"/>
    <col min="15" max="15" width="15.6640625" hidden="1" customWidth="1"/>
    <col min="16" max="16" width="17.88671875" bestFit="1" customWidth="1"/>
    <col min="17" max="17" width="18.88671875" bestFit="1" customWidth="1"/>
    <col min="18" max="18" width="29.33203125" bestFit="1" customWidth="1"/>
    <col min="19" max="19" width="18.88671875" bestFit="1" customWidth="1"/>
    <col min="20" max="20" width="17.88671875" bestFit="1" customWidth="1"/>
    <col min="21" max="21" width="18.88671875" bestFit="1" customWidth="1"/>
    <col min="22" max="22" width="19.88671875" bestFit="1" customWidth="1"/>
    <col min="23" max="23" width="18.88671875" bestFit="1" customWidth="1"/>
    <col min="24" max="24" width="17.88671875" bestFit="1" customWidth="1"/>
    <col min="25" max="25" width="18.88671875" bestFit="1" customWidth="1"/>
    <col min="26" max="26" width="18.6640625" bestFit="1" customWidth="1"/>
    <col min="27" max="27" width="18.88671875" bestFit="1" customWidth="1"/>
    <col min="28" max="28" width="22.6640625" bestFit="1" customWidth="1"/>
    <col min="29" max="29" width="23.6640625" bestFit="1" customWidth="1"/>
  </cols>
  <sheetData>
    <row r="3" spans="1:2" x14ac:dyDescent="0.3">
      <c r="A3" s="90" t="s">
        <v>327</v>
      </c>
      <c r="B3" s="90" t="s">
        <v>108</v>
      </c>
    </row>
    <row r="4" spans="1:2" x14ac:dyDescent="0.3">
      <c r="A4" s="90" t="s">
        <v>106</v>
      </c>
      <c r="B4" t="s">
        <v>107</v>
      </c>
    </row>
    <row r="5" spans="1:2" x14ac:dyDescent="0.3">
      <c r="A5" s="4" t="s">
        <v>107</v>
      </c>
      <c r="B5" s="29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AZ370"/>
  <sheetViews>
    <sheetView topLeftCell="A163" zoomScale="85" zoomScaleNormal="85" workbookViewId="0">
      <selection activeCell="C24" sqref="C24"/>
    </sheetView>
  </sheetViews>
  <sheetFormatPr defaultColWidth="8.88671875" defaultRowHeight="15" customHeight="1" x14ac:dyDescent="0.3"/>
  <cols>
    <col min="1" max="1" width="13" style="252" customWidth="1"/>
    <col min="2" max="2" width="48.6640625" style="252" customWidth="1"/>
    <col min="3" max="3" width="50.44140625" style="252" customWidth="1"/>
    <col min="4" max="4" width="25.44140625" style="252" customWidth="1"/>
    <col min="5" max="5" width="25.6640625" style="252" customWidth="1"/>
    <col min="6" max="6" width="32.6640625" style="252" customWidth="1"/>
    <col min="7" max="7" width="38.109375" style="252" customWidth="1"/>
    <col min="8" max="16384" width="8.88671875" style="252"/>
  </cols>
  <sheetData>
    <row r="1" spans="2:52" ht="69" customHeight="1" x14ac:dyDescent="0.3">
      <c r="AZ1" s="252">
        <v>2</v>
      </c>
    </row>
    <row r="2" spans="2:52" ht="14.4" hidden="1" x14ac:dyDescent="0.3">
      <c r="B2" s="253" t="s">
        <v>18</v>
      </c>
    </row>
    <row r="3" spans="2:52" ht="14.4" hidden="1" x14ac:dyDescent="0.3">
      <c r="B3" s="254" t="s">
        <v>390</v>
      </c>
    </row>
    <row r="4" spans="2:52" ht="14.4" hidden="1" x14ac:dyDescent="0.3">
      <c r="B4" s="255"/>
    </row>
    <row r="5" spans="2:52" ht="14.4" hidden="1" x14ac:dyDescent="0.3">
      <c r="B5" s="253" t="s">
        <v>0</v>
      </c>
    </row>
    <row r="6" spans="2:52" ht="14.4" hidden="1" x14ac:dyDescent="0.3">
      <c r="B6" s="254">
        <v>2026</v>
      </c>
    </row>
    <row r="7" spans="2:52" ht="14.4" hidden="1" x14ac:dyDescent="0.3">
      <c r="B7" s="255"/>
    </row>
    <row r="8" spans="2:52" ht="14.4" hidden="1" x14ac:dyDescent="0.3">
      <c r="B8" s="253" t="s">
        <v>19</v>
      </c>
    </row>
    <row r="9" spans="2:52" ht="15" hidden="1" customHeight="1" x14ac:dyDescent="0.3">
      <c r="B9" s="254">
        <v>6</v>
      </c>
    </row>
    <row r="10" spans="2:52" ht="15" customHeight="1" x14ac:dyDescent="0.3">
      <c r="B10" s="256"/>
    </row>
    <row r="11" spans="2:52" ht="15" customHeight="1" x14ac:dyDescent="0.3">
      <c r="B11" s="256"/>
    </row>
    <row r="12" spans="2:52" ht="15" customHeight="1" x14ac:dyDescent="0.3">
      <c r="B12" s="256"/>
    </row>
    <row r="13" spans="2:52" ht="15" customHeight="1" x14ac:dyDescent="0.3">
      <c r="B13" s="256"/>
    </row>
    <row r="14" spans="2:52" ht="15" customHeight="1" x14ac:dyDescent="0.3">
      <c r="B14" s="256"/>
    </row>
    <row r="15" spans="2:52" ht="15" customHeight="1" x14ac:dyDescent="0.3">
      <c r="B15" s="256"/>
    </row>
    <row r="16" spans="2:52" ht="15" customHeight="1" x14ac:dyDescent="0.3">
      <c r="B16" s="256"/>
    </row>
    <row r="17" spans="2:5" ht="15" customHeight="1" x14ac:dyDescent="0.3">
      <c r="B17" s="256"/>
    </row>
    <row r="18" spans="2:5" ht="15" customHeight="1" x14ac:dyDescent="0.3">
      <c r="B18" s="256"/>
    </row>
    <row r="19" spans="2:5" ht="14.4" hidden="1" x14ac:dyDescent="0.3">
      <c r="C19" s="257" t="s">
        <v>20</v>
      </c>
      <c r="D19" s="257" t="s">
        <v>21</v>
      </c>
      <c r="E19" s="257" t="s">
        <v>21</v>
      </c>
    </row>
    <row r="20" spans="2:5" ht="14.4" hidden="1" x14ac:dyDescent="0.3">
      <c r="B20" s="258" t="str">
        <f>'MAIN TABLE-1 AUTOMATED'!A1</f>
        <v>Version: v1.0</v>
      </c>
      <c r="C20" s="259">
        <f>SUM(C22:C53)</f>
        <v>0</v>
      </c>
      <c r="D20" s="259">
        <f>SUM(D22:D53)</f>
        <v>0</v>
      </c>
      <c r="E20" s="259">
        <f>SUM(E22:E53)</f>
        <v>0</v>
      </c>
    </row>
    <row r="21" spans="2:5" ht="51.75" customHeight="1" x14ac:dyDescent="0.3">
      <c r="B21" s="260" t="s">
        <v>22</v>
      </c>
      <c r="C21" s="261" t="s">
        <v>23</v>
      </c>
      <c r="D21" s="261" t="s">
        <v>24</v>
      </c>
      <c r="E21" s="261" t="s">
        <v>25</v>
      </c>
    </row>
    <row r="22" spans="2:5" thickBot="1" x14ac:dyDescent="0.35">
      <c r="B22" s="262" t="str">
        <f>IF('CATEGORY TABLES'!C2=0,"",'CATEGORY TABLES'!C2)</f>
        <v>Sharp Sand</v>
      </c>
      <c r="C22" s="263">
        <f>IF(B22=0,"",SUMIFS(Table1[COST],Table1[MATERIAL &amp; SERVICE],Table12[[#This Row],[MATERIALS / SERVICES]]))</f>
        <v>0</v>
      </c>
      <c r="D22" s="264">
        <f>IF(B22=0,"",SUMIFS(Table1[COST],Table1[YEAR],'CHART1- MATERIAL&amp;SERVICE BASED'!$B$6,Table1[MONTH],'CHART1- MATERIAL&amp;SERVICE BASED'!$B$9,Table1[MATERIAL &amp; SERVICE],Table12[[#This Row],[MATERIALS / SERVICES]]))</f>
        <v>0</v>
      </c>
      <c r="E22" s="265">
        <f>IF(B22=0,"",SUMIFS(Table1[COST],Table1[SUPPLIER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" spans="2:5" thickBot="1" x14ac:dyDescent="0.35">
      <c r="B23" s="262" t="str">
        <f>IF('CATEGORY TABLES'!C3=0,"",'CATEGORY TABLES'!C3)</f>
        <v>6F5 RC</v>
      </c>
      <c r="C23" s="266">
        <f>IF(B23=0,"",SUMIFS(Table1[COST],Table1[MATERIAL &amp; SERVICE],Table12[[#This Row],[MATERIALS / SERVICES]]))</f>
        <v>0</v>
      </c>
      <c r="D23" s="267">
        <f>IF(B23=0,"",SUMIFS(Table1[COST],Table1[YEAR],'CHART1- MATERIAL&amp;SERVICE BASED'!$B$6,Table1[MONTH],'CHART1- MATERIAL&amp;SERVICE BASED'!$B$9,Table1[MATERIAL &amp; SERVICE],Table12[[#This Row],[MATERIALS / SERVICES]]))</f>
        <v>0</v>
      </c>
      <c r="E23" s="268">
        <f>IF(B23=0,"",SUMIFS(Table1[COST],Table1[SUPPLIER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" spans="2:5" thickBot="1" x14ac:dyDescent="0.35">
      <c r="B24" s="262" t="str">
        <f>IF('CATEGORY TABLES'!C4=0,"",'CATEGORY TABLES'!C4)</f>
        <v>100/200 Clean Stone Pr.</v>
      </c>
      <c r="C24" s="266">
        <f>IF(B24=0,"",SUMIFS(Table1[COST],Table1[MATERIAL &amp; SERVICE],Table12[[#This Row],[MATERIALS / SERVICES]]))</f>
        <v>0</v>
      </c>
      <c r="D24" s="267">
        <f>IF(B24=0,"",SUMIFS(Table1[COST],Table1[YEAR],'CHART1- MATERIAL&amp;SERVICE BASED'!$B$6,Table1[MONTH],'CHART1- MATERIAL&amp;SERVICE BASED'!$B$9,Table1[MATERIAL &amp; SERVICE],Table12[[#This Row],[MATERIALS / SERVICES]]))</f>
        <v>0</v>
      </c>
      <c r="E24" s="268">
        <f>IF(B24=0,"",SUMIFS(Table1[COST],Table1[SUPPLIER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" spans="2:5" thickBot="1" x14ac:dyDescent="0.35">
      <c r="B25" s="262" t="str">
        <f>IF('CATEGORY TABLES'!C5=0,"",'CATEGORY TABLES'!C5)</f>
        <v>6F5 PR.</v>
      </c>
      <c r="C25" s="266">
        <f>IF(B25=0,"",SUMIFS(Table1[COST],Table1[MATERIAL &amp; SERVICE],Table12[[#This Row],[MATERIALS / SERVICES]]))</f>
        <v>0</v>
      </c>
      <c r="D25" s="267">
        <f>IF(B25=0,"",SUMIFS(Table1[COST],Table1[YEAR],'CHART1- MATERIAL&amp;SERVICE BASED'!$B$6,Table1[MONTH],'CHART1- MATERIAL&amp;SERVICE BASED'!$B$9,Table1[MATERIAL &amp; SERVICE],Table12[[#This Row],[MATERIALS / SERVICES]]))</f>
        <v>0</v>
      </c>
      <c r="E25" s="268">
        <f>IF(B25=0,"",SUMIFS(Table1[COST],Table1[SUPPLIER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" spans="2:5" thickBot="1" x14ac:dyDescent="0.35">
      <c r="B26" s="262" t="str">
        <f>IF('CATEGORY TABLES'!C6=0,"",'CATEGORY TABLES'!C6)</f>
        <v>Type 1 PR.</v>
      </c>
      <c r="C26" s="266">
        <f>IF(B26=0,"",SUMIFS(Table1[COST],Table1[MATERIAL &amp; SERVICE],Table12[[#This Row],[MATERIALS / SERVICES]]))</f>
        <v>0</v>
      </c>
      <c r="D26" s="267">
        <f>IF(B26=0,"",SUMIFS(Table1[COST],Table1[YEAR],'CHART1- MATERIAL&amp;SERVICE BASED'!$B$6,Table1[MONTH],'CHART1- MATERIAL&amp;SERVICE BASED'!$B$9,Table1[MATERIAL &amp; SERVICE],Table12[[#This Row],[MATERIALS / SERVICES]]))</f>
        <v>0</v>
      </c>
      <c r="E26" s="268">
        <f>IF(B26=0,"",SUMIFS(Table1[COST],Table1[SUPPLIER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" spans="2:5" thickBot="1" x14ac:dyDescent="0.35">
      <c r="B27" s="262" t="str">
        <f>IF('CATEGORY TABLES'!C7=0,"",'CATEGORY TABLES'!C7)</f>
        <v>10/20 Gravel</v>
      </c>
      <c r="C27" s="266">
        <f>IF(B27=0,"",SUMIFS(Table1[COST],Table1[MATERIAL &amp; SERVICE],Table12[[#This Row],[MATERIALS / SERVICES]]))</f>
        <v>0</v>
      </c>
      <c r="D27" s="267">
        <f>IF(B27=0,"",SUMIFS(Table1[COST],Table1[YEAR],'CHART1- MATERIAL&amp;SERVICE BASED'!$B$6,Table1[MONTH],'CHART1- MATERIAL&amp;SERVICE BASED'!$B$9,Table1[MATERIAL &amp; SERVICE],Table12[[#This Row],[MATERIALS / SERVICES]]))</f>
        <v>0</v>
      </c>
      <c r="E27" s="268">
        <f>IF(B27=0,"",SUMIFS(Table1[COST],Table1[SUPPLIER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" spans="2:5" thickBot="1" x14ac:dyDescent="0.35">
      <c r="B28" s="262" t="str">
        <f>IF('CATEGORY TABLES'!C8=0,"",'CATEGORY TABLES'!C8)</f>
        <v>20/40 Gravel</v>
      </c>
      <c r="C28" s="266">
        <f>IF(B28=0,"",SUMIFS(Table1[COST],Table1[MATERIAL &amp; SERVICE],Table12[[#This Row],[MATERIALS / SERVICES]]))</f>
        <v>0</v>
      </c>
      <c r="D28" s="267">
        <f>IF(B28=0,"",SUMIFS(Table1[COST],Table1[YEAR],'CHART1- MATERIAL&amp;SERVICE BASED'!$B$6,Table1[MONTH],'CHART1- MATERIAL&amp;SERVICE BASED'!$B$9,Table1[MATERIAL &amp; SERVICE],Table12[[#This Row],[MATERIALS / SERVICES]]))</f>
        <v>0</v>
      </c>
      <c r="E28" s="268">
        <f>IF(B28=0,"",SUMIFS(Table1[COST],Table1[SUPPLIER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" spans="2:5" thickBot="1" x14ac:dyDescent="0.35">
      <c r="B29" s="262" t="str">
        <f>IF('CATEGORY TABLES'!C9=0,"",'CATEGORY TABLES'!C9)</f>
        <v>20/40 Gravel RC</v>
      </c>
      <c r="C29" s="266">
        <f>IF(B29=0,"",SUMIFS(Table1[COST],Table1[MATERIAL &amp; SERVICE],Table12[[#This Row],[MATERIALS / SERVICES]]))</f>
        <v>0</v>
      </c>
      <c r="D29" s="267">
        <f>IF(B29=0,"",SUMIFS(Table1[COST],Table1[YEAR],'CHART1- MATERIAL&amp;SERVICE BASED'!$B$6,Table1[MONTH],'CHART1- MATERIAL&amp;SERVICE BASED'!$B$9,Table1[MATERIAL &amp; SERVICE],Table12[[#This Row],[MATERIALS / SERVICES]]))</f>
        <v>0</v>
      </c>
      <c r="E29" s="268">
        <f>IF(B29=0,"",SUMIFS(Table1[COST],Table1[SUPPLIER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" spans="2:5" thickBot="1" x14ac:dyDescent="0.35">
      <c r="B30" s="262" t="str">
        <f>IF('CATEGORY TABLES'!C10=0,"",'CATEGORY TABLES'!C10)</f>
        <v>Tarmac Planing</v>
      </c>
      <c r="C30" s="266">
        <f>IF(B30=0,"",SUMIFS(Table1[COST],Table1[MATERIAL &amp; SERVICE],Table12[[#This Row],[MATERIALS / SERVICES]]))</f>
        <v>0</v>
      </c>
      <c r="D30" s="267">
        <f>IF(B30=0,"",SUMIFS(Table1[COST],Table1[YEAR],'CHART1- MATERIAL&amp;SERVICE BASED'!$B$6,Table1[MONTH],'CHART1- MATERIAL&amp;SERVICE BASED'!$B$9,Table1[MATERIAL &amp; SERVICE],Table12[[#This Row],[MATERIALS / SERVICES]]))</f>
        <v>0</v>
      </c>
      <c r="E30" s="268">
        <f>IF(B30=0,"",SUMIFS(Table1[COST],Table1[SUPPLIER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" spans="2:5" thickBot="1" x14ac:dyDescent="0.35">
      <c r="B31" s="262" t="str">
        <f>IF('CATEGORY TABLES'!C11=0,"",'CATEGORY TABLES'!C11)</f>
        <v>20/40 Crushed Grey</v>
      </c>
      <c r="C31" s="266">
        <f>IF(B31=0,"",SUMIFS(Table1[COST],Table1[MATERIAL &amp; SERVICE],Table12[[#This Row],[MATERIALS / SERVICES]]))</f>
        <v>0</v>
      </c>
      <c r="D31" s="267">
        <f>IF(B31=0,"",SUMIFS(Table1[COST],Table1[YEAR],'CHART1- MATERIAL&amp;SERVICE BASED'!$B$6,Table1[MONTH],'CHART1- MATERIAL&amp;SERVICE BASED'!$B$9,Table1[MATERIAL &amp; SERVICE],Table12[[#This Row],[MATERIALS / SERVICES]]))</f>
        <v>0</v>
      </c>
      <c r="E31" s="268">
        <f>IF(B31=0,"",SUMIFS(Table1[COST],Table1[SUPPLIER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" spans="2:5" thickBot="1" x14ac:dyDescent="0.35">
      <c r="B32" s="262" t="str">
        <f>IF('CATEGORY TABLES'!C12=0,"",'CATEGORY TABLES'!C12)</f>
        <v>75/100 Graded Clean stone</v>
      </c>
      <c r="C32" s="266">
        <f>IF(B32=0,"",SUMIFS(Table1[COST],Table1[MATERIAL &amp; SERVICE],Table12[[#This Row],[MATERIALS / SERVICES]]))</f>
        <v>0</v>
      </c>
      <c r="D32" s="267">
        <f>IF(B32=0,"",SUMIFS(Table1[COST],Table1[YEAR],'CHART1- MATERIAL&amp;SERVICE BASED'!$B$6,Table1[MONTH],'CHART1- MATERIAL&amp;SERVICE BASED'!$B$9,Table1[MATERIAL &amp; SERVICE],Table12[[#This Row],[MATERIALS / SERVICES]]))</f>
        <v>0</v>
      </c>
      <c r="E32" s="268">
        <f>IF(B32=0,"",SUMIFS(Table1[COST],Table1[SUPPLIER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" spans="2:5" thickBot="1" x14ac:dyDescent="0.35">
      <c r="B33" s="262" t="str">
        <f>IF('CATEGORY TABLES'!C13=0,"",'CATEGORY TABLES'!C13)</f>
        <v>40/80 Crushed RC</v>
      </c>
      <c r="C33" s="266">
        <f>IF(B33=0,"",SUMIFS(Table1[COST],Table1[MATERIAL &amp; SERVICE],Table12[[#This Row],[MATERIALS / SERVICES]]))</f>
        <v>0</v>
      </c>
      <c r="D33" s="267">
        <f>IF(B33=0,"",SUMIFS(Table1[COST],Table1[YEAR],'CHART1- MATERIAL&amp;SERVICE BASED'!$B$6,Table1[MONTH],'CHART1- MATERIAL&amp;SERVICE BASED'!$B$9,Table1[MATERIAL &amp; SERVICE],Table12[[#This Row],[MATERIALS / SERVICES]]))</f>
        <v>0</v>
      </c>
      <c r="E33" s="268">
        <f>IF(B33=0,"",SUMIFS(Table1[COST],Table1[SUPPLIER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" spans="2:5" thickBot="1" x14ac:dyDescent="0.35">
      <c r="B34" s="262" t="str">
        <f>IF('CATEGORY TABLES'!C14=0,"",'CATEGORY TABLES'!C14)</f>
        <v>Type 1 - Tarmac %50/50</v>
      </c>
      <c r="C34" s="266">
        <f>IF(B34=0,"",SUMIFS(Table1[COST],Table1[MATERIAL &amp; SERVICE],Table12[[#This Row],[MATERIALS / SERVICES]]))</f>
        <v>0</v>
      </c>
      <c r="D34" s="267">
        <f>IF(B34=0,"",SUMIFS(Table1[COST],Table1[YEAR],'CHART1- MATERIAL&amp;SERVICE BASED'!$B$6,Table1[MONTH],'CHART1- MATERIAL&amp;SERVICE BASED'!$B$9,Table1[MATERIAL &amp; SERVICE],Table12[[#This Row],[MATERIALS / SERVICES]]))</f>
        <v>0</v>
      </c>
      <c r="E34" s="268">
        <f>IF(B34=0,"",SUMIFS(Table1[COST],Table1[SUPPLIER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" spans="2:5" thickBot="1" x14ac:dyDescent="0.35">
      <c r="B35" s="262" t="str">
        <f>IF('CATEGORY TABLES'!C15=0,"",'CATEGORY TABLES'!C15)</f>
        <v>100 Clean stone RC</v>
      </c>
      <c r="C35" s="266">
        <f>IF(B35=0,"",SUMIFS(Table1[COST],Table1[MATERIAL &amp; SERVICE],Table12[[#This Row],[MATERIALS / SERVICES]]))</f>
        <v>0</v>
      </c>
      <c r="D35" s="267">
        <f>IF(B35=0,"",SUMIFS(Table1[COST],Table1[YEAR],'CHART1- MATERIAL&amp;SERVICE BASED'!$B$6,Table1[MONTH],'CHART1- MATERIAL&amp;SERVICE BASED'!$B$9,Table1[MATERIAL &amp; SERVICE],Table12[[#This Row],[MATERIALS / SERVICES]]))</f>
        <v>0</v>
      </c>
      <c r="E35" s="268">
        <f>IF(B35=0,"",SUMIFS(Table1[COST],Table1[SUPPLIER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" spans="2:5" thickBot="1" x14ac:dyDescent="0.35">
      <c r="B36" s="262" t="str">
        <f>IF('CATEGORY TABLES'!C16=0,"",'CATEGORY TABLES'!C16)</f>
        <v>Type 1 RC</v>
      </c>
      <c r="C36" s="266">
        <f>IF(B36=0,"",SUMIFS(Table1[COST],Table1[MATERIAL &amp; SERVICE],Table12[[#This Row],[MATERIALS / SERVICES]]))</f>
        <v>0</v>
      </c>
      <c r="D36" s="267">
        <f>IF(B36=0,"",SUMIFS(Table1[COST],Table1[YEAR],'CHART1- MATERIAL&amp;SERVICE BASED'!$B$6,Table1[MONTH],'CHART1- MATERIAL&amp;SERVICE BASED'!$B$9,Table1[MATERIAL &amp; SERVICE],Table12[[#This Row],[MATERIALS / SERVICES]]))</f>
        <v>0</v>
      </c>
      <c r="E36" s="268">
        <f>IF(B36=0,"",SUMIFS(Table1[COST],Table1[SUPPLIER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7" spans="2:5" thickBot="1" x14ac:dyDescent="0.35">
      <c r="B37" s="262" t="str">
        <f>IF('CATEGORY TABLES'!C17=0,"",'CATEGORY TABLES'!C17)</f>
        <v>300/500 Clean Stone Pr.</v>
      </c>
      <c r="C37" s="266">
        <f>IF(B37=0,"",SUMIFS(Table1[COST],Table1[MATERIAL &amp; SERVICE],Table12[[#This Row],[MATERIALS / SERVICES]]))</f>
        <v>0</v>
      </c>
      <c r="D37" s="267">
        <f>IF(B37=0,"",SUMIFS(Table1[COST],Table1[YEAR],'CHART1- MATERIAL&amp;SERVICE BASED'!$B$6,Table1[MONTH],'CHART1- MATERIAL&amp;SERVICE BASED'!$B$9,Table1[MATERIAL &amp; SERVICE],Table12[[#This Row],[MATERIALS / SERVICES]]))</f>
        <v>0</v>
      </c>
      <c r="E37" s="268">
        <f>IF(B37=0,"",SUMIFS(Table1[COST],Table1[SUPPLIER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8" spans="2:5" thickBot="1" x14ac:dyDescent="0.35">
      <c r="B38" s="262" t="str">
        <f>IF('CATEGORY TABLES'!C18=0,"",'CATEGORY TABLES'!C18)</f>
        <v>White Diesel</v>
      </c>
      <c r="C38" s="266">
        <f>IF(B38=0,"",SUMIFS(Table1[COST],Table1[MATERIAL &amp; SERVICE],Table12[[#This Row],[MATERIALS / SERVICES]]))</f>
        <v>0</v>
      </c>
      <c r="D38" s="267">
        <f>IF(B38=0,"",SUMIFS(Table1[COST],Table1[YEAR],'CHART1- MATERIAL&amp;SERVICE BASED'!$B$6,Table1[MONTH],'CHART1- MATERIAL&amp;SERVICE BASED'!$B$9,Table1[MATERIAL &amp; SERVICE],Table12[[#This Row],[MATERIALS / SERVICES]]))</f>
        <v>0</v>
      </c>
      <c r="E38" s="268">
        <f>IF(B38=0,"",SUMIFS(Table1[COST],Table1[SUPPLIER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9" spans="2:5" thickBot="1" x14ac:dyDescent="0.35">
      <c r="B39" s="262" t="str">
        <f>IF('CATEGORY TABLES'!C19=0,"",'CATEGORY TABLES'!C19)</f>
        <v>Muck Away</v>
      </c>
      <c r="C39" s="266">
        <f>IF(B39=0,"",SUMIFS(Table1[COST],Table1[MATERIAL &amp; SERVICE],Table12[[#This Row],[MATERIALS / SERVICES]]))</f>
        <v>0</v>
      </c>
      <c r="D39" s="267">
        <f>IF(B39=0,"",SUMIFS(Table1[COST],Table1[YEAR],'CHART1- MATERIAL&amp;SERVICE BASED'!$B$6,Table1[MONTH],'CHART1- MATERIAL&amp;SERVICE BASED'!$B$9,Table1[MATERIAL &amp; SERVICE],Table12[[#This Row],[MATERIALS / SERVICES]]))</f>
        <v>0</v>
      </c>
      <c r="E39" s="268">
        <f>IF(B39=0,"",SUMIFS(Table1[COST],Table1[SUPPLIER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0" spans="2:5" thickBot="1" x14ac:dyDescent="0.35">
      <c r="B40" s="262" t="str">
        <f>IF('CATEGORY TABLES'!C20=0,"",'CATEGORY TABLES'!C20)</f>
        <v>Muck Away backloaded</v>
      </c>
      <c r="C40" s="266">
        <f>IF(B40=0,"",SUMIFS(Table1[COST],Table1[MATERIAL &amp; SERVICE],Table12[[#This Row],[MATERIALS / SERVICES]]))</f>
        <v>0</v>
      </c>
      <c r="D40" s="267">
        <f>IF(B40=0,"",SUMIFS(Table1[COST],Table1[YEAR],'CHART1- MATERIAL&amp;SERVICE BASED'!$B$6,Table1[MONTH],'CHART1- MATERIAL&amp;SERVICE BASED'!$B$9,Table1[MATERIAL &amp; SERVICE],Table12[[#This Row],[MATERIALS / SERVICES]]))</f>
        <v>0</v>
      </c>
      <c r="E40" s="268">
        <f>IF(B40=0,"",SUMIFS(Table1[COST],Table1[SUPPLIER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1" spans="2:5" thickBot="1" x14ac:dyDescent="0.35">
      <c r="B41" s="262" t="str">
        <f>IF('CATEGORY TABLES'!C21=0,"",'CATEGORY TABLES'!C21)</f>
        <v>Topsoil Away</v>
      </c>
      <c r="C41" s="266">
        <f>IF(B41=0,"",SUMIFS(Table1[COST],Table1[MATERIAL &amp; SERVICE],Table12[[#This Row],[MATERIALS / SERVICES]]))</f>
        <v>0</v>
      </c>
      <c r="D41" s="267">
        <f>IF(B41=0,"",SUMIFS(Table1[COST],Table1[YEAR],'CHART1- MATERIAL&amp;SERVICE BASED'!$B$6,Table1[MONTH],'CHART1- MATERIAL&amp;SERVICE BASED'!$B$9,Table1[MATERIAL &amp; SERVICE],Table12[[#This Row],[MATERIALS / SERVICES]]))</f>
        <v>0</v>
      </c>
      <c r="E41" s="268">
        <f>IF(B41=0,"",SUMIFS(Table1[COST],Table1[SUPPLIER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2" spans="2:5" thickBot="1" x14ac:dyDescent="0.35">
      <c r="B42" s="262" t="str">
        <f>IF('CATEGORY TABLES'!C22=0,"",'CATEGORY TABLES'!C22)</f>
        <v>Mounting Structure</v>
      </c>
      <c r="C42" s="266">
        <f>IF(B42=0,"",SUMIFS(Table1[COST],Table1[MATERIAL &amp; SERVICE],Table12[[#This Row],[MATERIALS / SERVICES]]))</f>
        <v>0</v>
      </c>
      <c r="D42" s="267">
        <f>IF(B42=0,"",SUMIFS(Table1[COST],Table1[YEAR],'CHART1- MATERIAL&amp;SERVICE BASED'!$B$6,Table1[MONTH],'CHART1- MATERIAL&amp;SERVICE BASED'!$B$9,Table1[MATERIAL &amp; SERVICE],Table12[[#This Row],[MATERIALS / SERVICES]]))</f>
        <v>0</v>
      </c>
      <c r="E42" s="268">
        <f>IF(B42=0,"",SUMIFS(Table1[COST],Table1[SUPPLIER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3" spans="2:5" thickBot="1" x14ac:dyDescent="0.35">
      <c r="B43" s="262" t="str">
        <f>IF('CATEGORY TABLES'!C23=0,"",'CATEGORY TABLES'!C23)</f>
        <v>C25/30 SEMIDRY</v>
      </c>
      <c r="C43" s="266">
        <f>IF(B43=0,"",SUMIFS(Table1[COST],Table1[MATERIAL &amp; SERVICE],Table12[[#This Row],[MATERIALS / SERVICES]]))</f>
        <v>0</v>
      </c>
      <c r="D43" s="267">
        <f>IF(B43=0,"",SUMIFS(Table1[COST],Table1[YEAR],'CHART1- MATERIAL&amp;SERVICE BASED'!$B$6,Table1[MONTH],'CHART1- MATERIAL&amp;SERVICE BASED'!$B$9,Table1[MATERIAL &amp; SERVICE],Table12[[#This Row],[MATERIALS / SERVICES]]))</f>
        <v>0</v>
      </c>
      <c r="E43" s="268">
        <f>IF(B43=0,"",SUMIFS(Table1[COST],Table1[SUPPLIER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4" spans="2:5" thickBot="1" x14ac:dyDescent="0.35">
      <c r="B44" s="262" t="str">
        <f>IF('CATEGORY TABLES'!C24=0,"",'CATEGORY TABLES'!C24)</f>
        <v>C25/30 S3 Dmx:10</v>
      </c>
      <c r="C44" s="266">
        <f>IF(B44=0,"",SUMIFS(Table1[COST],Table1[MATERIAL &amp; SERVICE],Table12[[#This Row],[MATERIALS / SERVICES]]))</f>
        <v>0</v>
      </c>
      <c r="D44" s="267">
        <f>IF(B44=0,"",SUMIFS(Table1[COST],Table1[YEAR],'CHART1- MATERIAL&amp;SERVICE BASED'!$B$6,Table1[MONTH],'CHART1- MATERIAL&amp;SERVICE BASED'!$B$9,Table1[MATERIAL &amp; SERVICE],Table12[[#This Row],[MATERIALS / SERVICES]]))</f>
        <v>0</v>
      </c>
      <c r="E44" s="268">
        <f>IF(B44=0,"",SUMIFS(Table1[COST],Table1[SUPPLIER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5" spans="2:5" thickBot="1" x14ac:dyDescent="0.35">
      <c r="B45" s="262" t="str">
        <f>IF('CATEGORY TABLES'!C25=0,"",'CATEGORY TABLES'!C25)</f>
        <v>C8/10 S3 Dmx:20</v>
      </c>
      <c r="C45" s="266">
        <f>IF(B45=0,"",SUMIFS(Table1[COST],Table1[MATERIAL &amp; SERVICE],Table12[[#This Row],[MATERIALS / SERVICES]]))</f>
        <v>0</v>
      </c>
      <c r="D45" s="267">
        <f>IF(B45=0,"",SUMIFS(Table1[COST],Table1[YEAR],'CHART1- MATERIAL&amp;SERVICE BASED'!$B$6,Table1[MONTH],'CHART1- MATERIAL&amp;SERVICE BASED'!$B$9,Table1[MATERIAL &amp; SERVICE],Table12[[#This Row],[MATERIALS / SERVICES]]))</f>
        <v>0</v>
      </c>
      <c r="E45" s="268">
        <f>IF(B45=0,"",SUMIFS(Table1[COST],Table1[SUPPLIER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6" spans="2:5" thickBot="1" x14ac:dyDescent="0.35">
      <c r="B46" s="262" t="str">
        <f>IF('CATEGORY TABLES'!C26=0,"",'CATEGORY TABLES'!C26)</f>
        <v>Drinking Water</v>
      </c>
      <c r="C46" s="266">
        <f>IF(B46=0,"",SUMIFS(Table1[COST],Table1[MATERIAL &amp; SERVICE],Table12[[#This Row],[MATERIALS / SERVICES]]))</f>
        <v>0</v>
      </c>
      <c r="D46" s="267">
        <f>IF(B46=0,"",SUMIFS(Table1[COST],Table1[YEAR],'CHART1- MATERIAL&amp;SERVICE BASED'!$B$6,Table1[MONTH],'CHART1- MATERIAL&amp;SERVICE BASED'!$B$9,Table1[MATERIAL &amp; SERVICE],Table12[[#This Row],[MATERIALS / SERVICES]]))</f>
        <v>0</v>
      </c>
      <c r="E46" s="268">
        <f>IF(B46=0,"",SUMIFS(Table1[COST],Table1[SUPPLIER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7" spans="2:5" thickBot="1" x14ac:dyDescent="0.35">
      <c r="B47" s="262" t="str">
        <f>IF('CATEGORY TABLES'!C27=0,"",'CATEGORY TABLES'!C27)</f>
        <v>GroundHog service</v>
      </c>
      <c r="C47" s="266">
        <f>IF(B47=0,"",SUMIFS(Table1[COST],Table1[MATERIAL &amp; SERVICE],Table12[[#This Row],[MATERIALS / SERVICES]]))</f>
        <v>0</v>
      </c>
      <c r="D47" s="267">
        <f>IF(B47=0,"",SUMIFS(Table1[COST],Table1[YEAR],'CHART1- MATERIAL&amp;SERVICE BASED'!$B$6,Table1[MONTH],'CHART1- MATERIAL&amp;SERVICE BASED'!$B$9,Table1[MATERIAL &amp; SERVICE],Table12[[#This Row],[MATERIALS / SERVICES]]))</f>
        <v>0</v>
      </c>
      <c r="E47" s="268">
        <f>IF(B47=0,"",SUMIFS(Table1[COST],Table1[SUPPLIER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8" spans="2:5" thickBot="1" x14ac:dyDescent="0.35">
      <c r="B48" s="262" t="str">
        <f>IF('CATEGORY TABLES'!C28=0,"",'CATEGORY TABLES'!C28)</f>
        <v>Grey water Refill</v>
      </c>
      <c r="C48" s="266">
        <f>IF(B48=0,"",SUMIFS(Table1[COST],Table1[MATERIAL &amp; SERVICE],Table12[[#This Row],[MATERIALS / SERVICES]]))</f>
        <v>0</v>
      </c>
      <c r="D48" s="267">
        <f>IF(B48=0,"",SUMIFS(Table1[COST],Table1[YEAR],'CHART1- MATERIAL&amp;SERVICE BASED'!$B$6,Table1[MONTH],'CHART1- MATERIAL&amp;SERVICE BASED'!$B$9,Table1[MATERIAL &amp; SERVICE],Table12[[#This Row],[MATERIALS / SERVICES]]))</f>
        <v>0</v>
      </c>
      <c r="E48" s="268">
        <f>IF(B48=0,"",SUMIFS(Table1[COST],Table1[SUPPLIER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49" spans="2:5" thickBot="1" x14ac:dyDescent="0.35">
      <c r="B49" s="262" t="str">
        <f>IF('CATEGORY TABLES'!C29=0,"",'CATEGORY TABLES'!C29)</f>
        <v>Effluent Removal</v>
      </c>
      <c r="C49" s="266">
        <f>IF(B49=0,"",SUMIFS(Table1[COST],Table1[MATERIAL &amp; SERVICE],Table12[[#This Row],[MATERIALS / SERVICES]]))</f>
        <v>0</v>
      </c>
      <c r="D49" s="267">
        <f>IF(B49=0,"",SUMIFS(Table1[COST],Table1[YEAR],'CHART1- MATERIAL&amp;SERVICE BASED'!$B$6,Table1[MONTH],'CHART1- MATERIAL&amp;SERVICE BASED'!$B$9,Table1[MATERIAL &amp; SERVICE],Table12[[#This Row],[MATERIALS / SERVICES]]))</f>
        <v>0</v>
      </c>
      <c r="E49" s="268">
        <f>IF(B49=0,"",SUMIFS(Table1[COST],Table1[SUPPLIER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0" spans="2:5" thickBot="1" x14ac:dyDescent="0.35">
      <c r="B50" s="262" t="str">
        <f>IF('CATEGORY TABLES'!C30=0,"",'CATEGORY TABLES'!C30)</f>
        <v>Road Sweeper</v>
      </c>
      <c r="C50" s="266">
        <f>IF(B50=0,"",SUMIFS(Table1[COST],Table1[MATERIAL &amp; SERVICE],Table12[[#This Row],[MATERIALS / SERVICES]]))</f>
        <v>0</v>
      </c>
      <c r="D50" s="267">
        <f>IF(B50=0,"",SUMIFS(Table1[COST],Table1[YEAR],'CHART1- MATERIAL&amp;SERVICE BASED'!$B$6,Table1[MONTH],'CHART1- MATERIAL&amp;SERVICE BASED'!$B$9,Table1[MATERIAL &amp; SERVICE],Table12[[#This Row],[MATERIALS / SERVICES]]))</f>
        <v>0</v>
      </c>
      <c r="E50" s="268">
        <f>IF(B50=0,"",SUMIFS(Table1[COST],Table1[SUPPLIER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1" spans="2:5" thickBot="1" x14ac:dyDescent="0.35">
      <c r="B51" s="262" t="str">
        <f>IF('CATEGORY TABLES'!C31=0,"",'CATEGORY TABLES'!C31)</f>
        <v>Site visit- service fee</v>
      </c>
      <c r="C51" s="266">
        <f>IF(B51=0,"",SUMIFS(Table1[COST],Table1[MATERIAL &amp; SERVICE],Table12[[#This Row],[MATERIALS / SERVICES]]))</f>
        <v>0</v>
      </c>
      <c r="D51" s="267">
        <f>IF(B51=0,"",SUMIFS(Table1[COST],Table1[YEAR],'CHART1- MATERIAL&amp;SERVICE BASED'!$B$6,Table1[MONTH],'CHART1- MATERIAL&amp;SERVICE BASED'!$B$9,Table1[MATERIAL &amp; SERVICE],Table12[[#This Row],[MATERIALS / SERVICES]]))</f>
        <v>0</v>
      </c>
      <c r="E51" s="268">
        <f>IF(B51=0,"",SUMIFS(Table1[COST],Table1[SUPPLIER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2" spans="2:5" thickBot="1" x14ac:dyDescent="0.35">
      <c r="B52" s="262" t="str">
        <f>IF('CATEGORY TABLES'!C32=0,"",'CATEGORY TABLES'!C32)</f>
        <v>Transportation / Delivery fee</v>
      </c>
      <c r="C52" s="266">
        <f>IF(B52=0,"",SUMIFS(Table1[COST],Table1[MATERIAL &amp; SERVICE],Table12[[#This Row],[MATERIALS / SERVICES]]))</f>
        <v>0</v>
      </c>
      <c r="D52" s="267">
        <f>IF(B52=0,"",SUMIFS(Table1[COST],Table1[YEAR],'CHART1- MATERIAL&amp;SERVICE BASED'!$B$6,Table1[MONTH],'CHART1- MATERIAL&amp;SERVICE BASED'!$B$9,Table1[MATERIAL &amp; SERVICE],Table12[[#This Row],[MATERIALS / SERVICES]]))</f>
        <v>0</v>
      </c>
      <c r="E52" s="268">
        <f>IF(B52=0,"",SUMIFS(Table1[COST],Table1[SUPPLIER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3" spans="2:5" thickBot="1" x14ac:dyDescent="0.35">
      <c r="B53" s="262" t="str">
        <f>IF('CATEGORY TABLES'!C33=0,"",'CATEGORY TABLES'!C33)</f>
        <v>Lifting Operation</v>
      </c>
      <c r="C53" s="266">
        <f>IF(B53=0,"",SUMIFS(Table1[COST],Table1[MATERIAL &amp; SERVICE],Table12[[#This Row],[MATERIALS / SERVICES]]))</f>
        <v>0</v>
      </c>
      <c r="D53" s="267">
        <f>IF(B53=0,"",SUMIFS(Table1[COST],Table1[YEAR],'CHART1- MATERIAL&amp;SERVICE BASED'!$B$6,Table1[MONTH],'CHART1- MATERIAL&amp;SERVICE BASED'!$B$9,Table1[MATERIAL &amp; SERVICE],Table12[[#This Row],[MATERIALS / SERVICES]]))</f>
        <v>0</v>
      </c>
      <c r="E53" s="268">
        <f>IF(B53=0,"",SUMIFS(Table1[COST],Table1[SUPPLIER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4" spans="2:5" ht="15" customHeight="1" thickBot="1" x14ac:dyDescent="0.35">
      <c r="B54" s="262" t="str">
        <f>IF('CATEGORY TABLES'!C34=0,"",'CATEGORY TABLES'!C34)</f>
        <v>Concrete Pump</v>
      </c>
      <c r="C54" s="266">
        <f>IF(B54=0,"",SUMIFS(Table1[COST],Table1[MATERIAL &amp; SERVICE],Table12[[#This Row],[MATERIALS / SERVICES]]))</f>
        <v>0</v>
      </c>
      <c r="D54" s="267">
        <f>IF(B54=0,"",SUMIFS(Table1[COST],Table1[YEAR],'CHART1- MATERIAL&amp;SERVICE BASED'!$B$6,Table1[MONTH],'CHART1- MATERIAL&amp;SERVICE BASED'!$B$9,Table1[MATERIAL &amp; SERVICE],Table12[[#This Row],[MATERIALS / SERVICES]]))</f>
        <v>0</v>
      </c>
      <c r="E54" s="268">
        <f>IF(B54=0,"",SUMIFS(Table1[COST],Table1[SUPPLIER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5" spans="2:5" ht="15" customHeight="1" thickBot="1" x14ac:dyDescent="0.35">
      <c r="B55" s="262" t="str">
        <f>IF('CATEGORY TABLES'!C35=0,"",'CATEGORY TABLES'!C35)</f>
        <v>Site visit- Cleaning Service</v>
      </c>
      <c r="C55" s="266">
        <f>IF(B55=0,"",SUMIFS(Table1[COST],Table1[MATERIAL &amp; SERVICE],Table12[[#This Row],[MATERIALS / SERVICES]]))</f>
        <v>0</v>
      </c>
      <c r="D55" s="267">
        <f>IF(B55=0,"",SUMIFS(Table1[COST],Table1[YEAR],'CHART1- MATERIAL&amp;SERVICE BASED'!$B$6,Table1[MONTH],'CHART1- MATERIAL&amp;SERVICE BASED'!$B$9,Table1[MATERIAL &amp; SERVICE],Table12[[#This Row],[MATERIALS / SERVICES]]))</f>
        <v>0</v>
      </c>
      <c r="E55" s="268">
        <f>IF(B55=0,"",SUMIFS(Table1[COST],Table1[SUPPLIER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6" spans="2:5" ht="15" customHeight="1" thickBot="1" x14ac:dyDescent="0.35">
      <c r="B56" s="262" t="str">
        <f>IF('CATEGORY TABLES'!C36=0,"",'CATEGORY TABLES'!C36)</f>
        <v>Internet Service 1</v>
      </c>
      <c r="C56" s="266">
        <f>IF(B56=0,"",SUMIFS(Table1[COST],Table1[MATERIAL &amp; SERVICE],Table12[[#This Row],[MATERIALS / SERVICES]]))</f>
        <v>0</v>
      </c>
      <c r="D56" s="267">
        <f>IF(B56=0,"",SUMIFS(Table1[COST],Table1[YEAR],'CHART1- MATERIAL&amp;SERVICE BASED'!$B$6,Table1[MONTH],'CHART1- MATERIAL&amp;SERVICE BASED'!$B$9,Table1[MATERIAL &amp; SERVICE],Table12[[#This Row],[MATERIALS / SERVICES]]))</f>
        <v>0</v>
      </c>
      <c r="E56" s="268">
        <f>IF(B56=0,"",SUMIFS(Table1[COST],Table1[SUPPLIER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7" spans="2:5" ht="15" customHeight="1" thickBot="1" x14ac:dyDescent="0.35">
      <c r="B57" s="262" t="str">
        <f>IF('CATEGORY TABLES'!C37=0,"",'CATEGORY TABLES'!C37)</f>
        <v>40/80 Clean Tarmac+Concrete RC</v>
      </c>
      <c r="C57" s="266">
        <f>IF(B57=0,"",SUMIFS(Table1[COST],Table1[MATERIAL &amp; SERVICE],Table12[[#This Row],[MATERIALS / SERVICES]]))</f>
        <v>0</v>
      </c>
      <c r="D57" s="267">
        <f>IF(B57=0,"",SUMIFS(Table1[COST],Table1[YEAR],'CHART1- MATERIAL&amp;SERVICE BASED'!$B$6,Table1[MONTH],'CHART1- MATERIAL&amp;SERVICE BASED'!$B$9,Table1[MATERIAL &amp; SERVICE],Table12[[#This Row],[MATERIALS / SERVICES]]))</f>
        <v>0</v>
      </c>
      <c r="E57" s="268">
        <f>IF(B57=0,"",SUMIFS(Table1[COST],Table1[SUPPLIER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8" spans="2:5" ht="15" customHeight="1" thickBot="1" x14ac:dyDescent="0.35">
      <c r="B58" s="262" t="str">
        <f>IF('CATEGORY TABLES'!C38=0,"",'CATEGORY TABLES'!C38)</f>
        <v>Terram 1000 Geotextile 4,5X100M</v>
      </c>
      <c r="C58" s="266">
        <f>IF(B58=0,"",SUMIFS(Table1[COST],Table1[MATERIAL &amp; SERVICE],Table12[[#This Row],[MATERIALS / SERVICES]]))</f>
        <v>0</v>
      </c>
      <c r="D58" s="267">
        <f>IF(B58=0,"",SUMIFS(Table1[COST],Table1[YEAR],'CHART1- MATERIAL&amp;SERVICE BASED'!$B$6,Table1[MONTH],'CHART1- MATERIAL&amp;SERVICE BASED'!$B$9,Table1[MATERIAL &amp; SERVICE],Table12[[#This Row],[MATERIALS / SERVICES]]))</f>
        <v>0</v>
      </c>
      <c r="E58" s="268">
        <f>IF(B58=0,"",SUMIFS(Table1[COST],Table1[SUPPLIER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59" spans="2:5" ht="15" customHeight="1" thickBot="1" x14ac:dyDescent="0.35">
      <c r="B59" s="262" t="str">
        <f>IF('CATEGORY TABLES'!C39=0,"",'CATEGORY TABLES'!C39)</f>
        <v>Tensar Geogrid HX165 3,8X50M</v>
      </c>
      <c r="C59" s="266">
        <f>IF(B59=0,"",SUMIFS(Table1[COST],Table1[MATERIAL &amp; SERVICE],Table12[[#This Row],[MATERIALS / SERVICES]]))</f>
        <v>0</v>
      </c>
      <c r="D59" s="267">
        <f>IF(B59=0,"",SUMIFS(Table1[COST],Table1[YEAR],'CHART1- MATERIAL&amp;SERVICE BASED'!$B$6,Table1[MONTH],'CHART1- MATERIAL&amp;SERVICE BASED'!$B$9,Table1[MATERIAL &amp; SERVICE],Table12[[#This Row],[MATERIALS / SERVICES]]))</f>
        <v>0</v>
      </c>
      <c r="E59" s="268">
        <f>IF(B59=0,"",SUMIFS(Table1[COST],Table1[SUPPLIER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0" spans="2:5" ht="15" customHeight="1" thickBot="1" x14ac:dyDescent="0.35">
      <c r="B60" s="262" t="str">
        <f>IF('CATEGORY TABLES'!C40=0,"",'CATEGORY TABLES'!C40)</f>
        <v>Tensar Interax NX850 3,8X50M</v>
      </c>
      <c r="C60" s="266">
        <f>IF(B60=0,"",SUMIFS(Table1[COST],Table1[MATERIAL &amp; SERVICE],Table12[[#This Row],[MATERIALS / SERVICES]]))</f>
        <v>0</v>
      </c>
      <c r="D60" s="267">
        <f>IF(B60=0,"",SUMIFS(Table1[COST],Table1[YEAR],'CHART1- MATERIAL&amp;SERVICE BASED'!$B$6,Table1[MONTH],'CHART1- MATERIAL&amp;SERVICE BASED'!$B$9,Table1[MATERIAL &amp; SERVICE],Table12[[#This Row],[MATERIALS / SERVICES]]))</f>
        <v>0</v>
      </c>
      <c r="E60" s="268">
        <f>IF(B60=0,"",SUMIFS(Table1[COST],Table1[SUPPLIER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1" spans="2:5" ht="15" customHeight="1" thickBot="1" x14ac:dyDescent="0.35">
      <c r="B61" s="262" t="str">
        <f>IF('CATEGORY TABLES'!C41=0,"",'CATEGORY TABLES'!C41)</f>
        <v>US 1000 Geotextile non-wowen white 4,5X100M</v>
      </c>
      <c r="C61" s="266">
        <f>IF(B61=0,"",SUMIFS(Table1[COST],Table1[MATERIAL &amp; SERVICE],Table12[[#This Row],[MATERIALS / SERVICES]]))</f>
        <v>0</v>
      </c>
      <c r="D61" s="267">
        <f>IF(B61=0,"",SUMIFS(Table1[COST],Table1[YEAR],'CHART1- MATERIAL&amp;SERVICE BASED'!$B$6,Table1[MONTH],'CHART1- MATERIAL&amp;SERVICE BASED'!$B$9,Table1[MATERIAL &amp; SERVICE],Table12[[#This Row],[MATERIALS / SERVICES]]))</f>
        <v>0</v>
      </c>
      <c r="E61" s="268">
        <f>IF(B61=0,"",SUMIFS(Table1[COST],Table1[SUPPLIER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2" spans="2:5" ht="15" customHeight="1" thickBot="1" x14ac:dyDescent="0.35">
      <c r="B62" s="262" t="str">
        <f>IF('CATEGORY TABLES'!C42=0,"",'CATEGORY TABLES'!C42)</f>
        <v>Lotrak 100NW 4,5 X100M non wowen</v>
      </c>
      <c r="C62" s="266">
        <f>IF(B62=0,"",SUMIFS(Table1[COST],Table1[MATERIAL &amp; SERVICE],Table12[[#This Row],[MATERIALS / SERVICES]]))</f>
        <v>0</v>
      </c>
      <c r="D62" s="267">
        <f>IF(B62=0,"",SUMIFS(Table1[COST],Table1[YEAR],'CHART1- MATERIAL&amp;SERVICE BASED'!$B$6,Table1[MONTH],'CHART1- MATERIAL&amp;SERVICE BASED'!$B$9,Table1[MATERIAL &amp; SERVICE],Table12[[#This Row],[MATERIALS / SERVICES]]))</f>
        <v>0</v>
      </c>
      <c r="E62" s="268">
        <f>IF(B62=0,"",SUMIFS(Table1[COST],Table1[SUPPLIER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3" spans="2:5" ht="15" customHeight="1" thickBot="1" x14ac:dyDescent="0.35">
      <c r="B63" s="262" t="str">
        <f>IF('CATEGORY TABLES'!C43=0,"",'CATEGORY TABLES'!C43)</f>
        <v>Rebar Cut &amp; Bent</v>
      </c>
      <c r="C63" s="266">
        <f>IF(B63=0,"",SUMIFS(Table1[COST],Table1[MATERIAL &amp; SERVICE],Table12[[#This Row],[MATERIALS / SERVICES]]))</f>
        <v>0</v>
      </c>
      <c r="D63" s="267">
        <f>IF(B63=0,"",SUMIFS(Table1[COST],Table1[YEAR],'CHART1- MATERIAL&amp;SERVICE BASED'!$B$6,Table1[MONTH],'CHART1- MATERIAL&amp;SERVICE BASED'!$B$9,Table1[MATERIAL &amp; SERVICE],Table12[[#This Row],[MATERIALS / SERVICES]]))</f>
        <v>0</v>
      </c>
      <c r="E63" s="268">
        <f>IF(B63=0,"",SUMIFS(Table1[COST],Table1[SUPPLIER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4" spans="2:5" ht="15" customHeight="1" thickBot="1" x14ac:dyDescent="0.35">
      <c r="B64" s="262" t="str">
        <f>IF('CATEGORY TABLES'!C44=0,"",'CATEGORY TABLES'!C44)</f>
        <v>Rebar Prefabricate</v>
      </c>
      <c r="C64" s="266">
        <f>IF(B64=0,"",SUMIFS(Table1[COST],Table1[MATERIAL &amp; SERVICE],Table12[[#This Row],[MATERIALS / SERVICES]]))</f>
        <v>0</v>
      </c>
      <c r="D64" s="267">
        <f>IF(B64=0,"",SUMIFS(Table1[COST],Table1[YEAR],'CHART1- MATERIAL&amp;SERVICE BASED'!$B$6,Table1[MONTH],'CHART1- MATERIAL&amp;SERVICE BASED'!$B$9,Table1[MATERIAL &amp; SERVICE],Table12[[#This Row],[MATERIALS / SERVICES]]))</f>
        <v>0</v>
      </c>
      <c r="E64" s="268">
        <f>IF(B64=0,"",SUMIFS(Table1[COST],Table1[SUPPLIER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5" spans="2:5" ht="15" customHeight="1" thickBot="1" x14ac:dyDescent="0.35">
      <c r="B65" s="262" t="str">
        <f>IF('CATEGORY TABLES'!C45=0,"",'CATEGORY TABLES'!C45)</f>
        <v>Bentonite water bar (20mmx 25mm x 5 mtr)</v>
      </c>
      <c r="C65" s="266">
        <f>IF(B65=0,"",SUMIFS(Table1[COST],Table1[MATERIAL &amp; SERVICE],Table12[[#This Row],[MATERIALS / SERVICES]]))</f>
        <v>0</v>
      </c>
      <c r="D65" s="267">
        <f>IF(B65=0,"",SUMIFS(Table1[COST],Table1[YEAR],'CHART1- MATERIAL&amp;SERVICE BASED'!$B$6,Table1[MONTH],'CHART1- MATERIAL&amp;SERVICE BASED'!$B$9,Table1[MATERIAL &amp; SERVICE],Table12[[#This Row],[MATERIALS / SERVICES]]))</f>
        <v>0</v>
      </c>
      <c r="E65" s="268">
        <f>IF(B65=0,"",SUMIFS(Table1[COST],Table1[SUPPLIER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6" spans="2:5" ht="15" customHeight="1" thickBot="1" x14ac:dyDescent="0.35">
      <c r="B66" s="262" t="str">
        <f>IF('CATEGORY TABLES'!C46=0,"",'CATEGORY TABLES'!C46)</f>
        <v>Bentonite WB adhesive 310 ml</v>
      </c>
      <c r="C66" s="266">
        <f>IF(B66=0,"",SUMIFS(Table1[COST],Table1[MATERIAL &amp; SERVICE],Table12[[#This Row],[MATERIALS / SERVICES]]))</f>
        <v>0</v>
      </c>
      <c r="D66" s="267">
        <f>IF(B66=0,"",SUMIFS(Table1[COST],Table1[YEAR],'CHART1- MATERIAL&amp;SERVICE BASED'!$B$6,Table1[MONTH],'CHART1- MATERIAL&amp;SERVICE BASED'!$B$9,Table1[MATERIAL &amp; SERVICE],Table12[[#This Row],[MATERIALS / SERVICES]]))</f>
        <v>0</v>
      </c>
      <c r="E66" s="268">
        <f>IF(B66=0,"",SUMIFS(Table1[COST],Table1[SUPPLIER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7" spans="2:5" ht="15" customHeight="1" thickBot="1" x14ac:dyDescent="0.35">
      <c r="B67" s="262" t="str">
        <f>IF('CATEGORY TABLES'!C47=0,"",'CATEGORY TABLES'!C47)</f>
        <v>MCP WALL SLEEVE BWS150/160/250</v>
      </c>
      <c r="C67" s="266">
        <f>IF(B67=0,"",SUMIFS(Table1[COST],Table1[MATERIAL &amp; SERVICE],Table12[[#This Row],[MATERIALS / SERVICES]]))</f>
        <v>0</v>
      </c>
      <c r="D67" s="267">
        <f>IF(B67=0,"",SUMIFS(Table1[COST],Table1[YEAR],'CHART1- MATERIAL&amp;SERVICE BASED'!$B$6,Table1[MONTH],'CHART1- MATERIAL&amp;SERVICE BASED'!$B$9,Table1[MATERIAL &amp; SERVICE],Table12[[#This Row],[MATERIALS / SERVICES]]))</f>
        <v>0</v>
      </c>
      <c r="E67" s="268">
        <f>IF(B67=0,"",SUMIFS(Table1[COST],Table1[SUPPLIER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8" spans="2:5" ht="15" customHeight="1" thickBot="1" x14ac:dyDescent="0.35">
      <c r="B68" s="262" t="str">
        <f>IF('CATEGORY TABLES'!C48=0,"",'CATEGORY TABLES'!C48)</f>
        <v>MCP WALL SLEEVE BWS200/200/250</v>
      </c>
      <c r="C68" s="266">
        <f>IF(B68=0,"",SUMIFS(Table1[COST],Table1[MATERIAL &amp; SERVICE],Table12[[#This Row],[MATERIALS / SERVICES]]))</f>
        <v>0</v>
      </c>
      <c r="D68" s="267">
        <f>IF(B68=0,"",SUMIFS(Table1[COST],Table1[YEAR],'CHART1- MATERIAL&amp;SERVICE BASED'!$B$6,Table1[MONTH],'CHART1- MATERIAL&amp;SERVICE BASED'!$B$9,Table1[MATERIAL &amp; SERVICE],Table12[[#This Row],[MATERIALS / SERVICES]]))</f>
        <v>0</v>
      </c>
      <c r="E68" s="268">
        <f>IF(B68=0,"",SUMIFS(Table1[COST],Table1[SUPPLIER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69" spans="2:5" ht="15" customHeight="1" thickBot="1" x14ac:dyDescent="0.35">
      <c r="B69" s="262" t="str">
        <f>IF('CATEGORY TABLES'!C49=0,"",'CATEGORY TABLES'!C49)</f>
        <v>SOLUFORM Underwater Bagwork 32N – Pallet of 50</v>
      </c>
      <c r="C69" s="266">
        <f>IF(B69=0,"",SUMIFS(Table1[COST],Table1[MATERIAL &amp; SERVICE],Table12[[#This Row],[MATERIALS / SERVICES]]))</f>
        <v>0</v>
      </c>
      <c r="D69" s="267">
        <f>IF(B69=0,"",SUMIFS(Table1[COST],Table1[YEAR],'CHART1- MATERIAL&amp;SERVICE BASED'!$B$6,Table1[MONTH],'CHART1- MATERIAL&amp;SERVICE BASED'!$B$9,Table1[MATERIAL &amp; SERVICE],Table12[[#This Row],[MATERIALS / SERVICES]]))</f>
        <v>0</v>
      </c>
      <c r="E69" s="268">
        <f>IF(B69=0,"",SUMIFS(Table1[COST],Table1[SUPPLIER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0" spans="2:5" ht="15" customHeight="1" thickBot="1" x14ac:dyDescent="0.35">
      <c r="B70" s="262" t="str">
        <f>IF('CATEGORY TABLES'!C50=0,"",'CATEGORY TABLES'!C50)</f>
        <v>SOLUFORM Above Water Bagwork 32N – Pallet of 50</v>
      </c>
      <c r="C70" s="266">
        <f>IF(B70=0,"",SUMIFS(Table1[COST],Table1[MATERIAL &amp; SERVICE],Table12[[#This Row],[MATERIALS / SERVICES]]))</f>
        <v>0</v>
      </c>
      <c r="D70" s="267">
        <f>IF(B70=0,"",SUMIFS(Table1[COST],Table1[YEAR],'CHART1- MATERIAL&amp;SERVICE BASED'!$B$6,Table1[MONTH],'CHART1- MATERIAL&amp;SERVICE BASED'!$B$9,Table1[MATERIAL &amp; SERVICE],Table12[[#This Row],[MATERIALS / SERVICES]]))</f>
        <v>0</v>
      </c>
      <c r="E70" s="268">
        <f>IF(B70=0,"",SUMIFS(Table1[COST],Table1[SUPPLIER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1" spans="2:5" ht="15" customHeight="1" thickBot="1" x14ac:dyDescent="0.35">
      <c r="B71" s="262" t="str">
        <f>IF('CATEGORY TABLES'!C51=0,"",'CATEGORY TABLES'!C51)</f>
        <v>Galvanised Steel U-Shape Rebar Pins 300×100×300 × 8mm</v>
      </c>
      <c r="C71" s="266">
        <f>IF(B71=0,"",SUMIFS(Table1[COST],Table1[MATERIAL &amp; SERVICE],Table12[[#This Row],[MATERIALS / SERVICES]]))</f>
        <v>0</v>
      </c>
      <c r="D71" s="267">
        <f>IF(B71=0,"",SUMIFS(Table1[COST],Table1[YEAR],'CHART1- MATERIAL&amp;SERVICE BASED'!$B$6,Table1[MONTH],'CHART1- MATERIAL&amp;SERVICE BASED'!$B$9,Table1[MATERIAL &amp; SERVICE],Table12[[#This Row],[MATERIALS / SERVICES]]))</f>
        <v>0</v>
      </c>
      <c r="E71" s="268">
        <f>IF(B71=0,"",SUMIFS(Table1[COST],Table1[SUPPLIER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2" spans="2:5" ht="15" customHeight="1" thickBot="1" x14ac:dyDescent="0.35">
      <c r="B72" s="262" t="str">
        <f>IF('CATEGORY TABLES'!C52=0,"",'CATEGORY TABLES'!C52)</f>
        <v>Soluform Prefilled Sandbags – 50 bags per pack</v>
      </c>
      <c r="C72" s="266">
        <f>IF(B72=0,"",SUMIFS(Table1[COST],Table1[MATERIAL &amp; SERVICE],Table12[[#This Row],[MATERIALS / SERVICES]]))</f>
        <v>0</v>
      </c>
      <c r="D72" s="267">
        <f>IF(B72=0,"",SUMIFS(Table1[COST],Table1[YEAR],'CHART1- MATERIAL&amp;SERVICE BASED'!$B$6,Table1[MONTH],'CHART1- MATERIAL&amp;SERVICE BASED'!$B$9,Table1[MATERIAL &amp; SERVICE],Table12[[#This Row],[MATERIALS / SERVICES]]))</f>
        <v>0</v>
      </c>
      <c r="E72" s="268">
        <f>IF(B72=0,"",SUMIFS(Table1[COST],Table1[SUPPLIER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3" spans="2:5" ht="15" customHeight="1" thickBot="1" x14ac:dyDescent="0.35">
      <c r="B73" s="262" t="str">
        <f>IF('CATEGORY TABLES'!C53=0,"",'CATEGORY TABLES'!C53)</f>
        <v>HEIDELBERG CEMENT GY 25KG</v>
      </c>
      <c r="C73" s="266">
        <f>IF(B73=0,"",SUMIFS(Table1[COST],Table1[MATERIAL &amp; SERVICE],Table12[[#This Row],[MATERIALS / SERVICES]]))</f>
        <v>0</v>
      </c>
      <c r="D73" s="267">
        <f>IF(B73=0,"",SUMIFS(Table1[COST],Table1[YEAR],'CHART1- MATERIAL&amp;SERVICE BASED'!$B$6,Table1[MONTH],'CHART1- MATERIAL&amp;SERVICE BASED'!$B$9,Table1[MATERIAL &amp; SERVICE],Table12[[#This Row],[MATERIALS / SERVICES]]))</f>
        <v>0</v>
      </c>
      <c r="E73" s="268">
        <f>IF(B73=0,"",SUMIFS(Table1[COST],Table1[SUPPLIER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4" spans="2:5" ht="15" customHeight="1" thickBot="1" x14ac:dyDescent="0.35">
      <c r="B74" s="262" t="str">
        <f>IF('CATEGORY TABLES'!C54=0,"",'CATEGORY TABLES'!C54)</f>
        <v>MCCANN Integral Seal Concrete Pipe CL H 450 x 2.5m</v>
      </c>
      <c r="C74" s="266">
        <f>IF(B74=0,"",SUMIFS(Table1[COST],Table1[MATERIAL &amp; SERVICE],Table12[[#This Row],[MATERIALS / SERVICES]]))</f>
        <v>0</v>
      </c>
      <c r="D74" s="267">
        <f>IF(B74=0,"",SUMIFS(Table1[COST],Table1[YEAR],'CHART1- MATERIAL&amp;SERVICE BASED'!$B$6,Table1[MONTH],'CHART1- MATERIAL&amp;SERVICE BASED'!$B$9,Table1[MATERIAL &amp; SERVICE],Table12[[#This Row],[MATERIALS / SERVICES]]))</f>
        <v>0</v>
      </c>
      <c r="E74" s="268">
        <f>IF(B74=0,"",SUMIFS(Table1[COST],Table1[SUPPLIER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5" spans="2:5" ht="15" customHeight="1" thickBot="1" x14ac:dyDescent="0.35">
      <c r="B75" s="262" t="str">
        <f>IF('CATEGORY TABLES'!C55=0,"",'CATEGORY TABLES'!C55)</f>
        <v>CPM Trelleborg Pipe Lubricant 2.5kg</v>
      </c>
      <c r="C75" s="266">
        <f>IF(B75=0,"",SUMIFS(Table1[COST],Table1[MATERIAL &amp; SERVICE],Table12[[#This Row],[MATERIALS / SERVICES]]))</f>
        <v>0</v>
      </c>
      <c r="D75" s="267">
        <f>IF(B75=0,"",SUMIFS(Table1[COST],Table1[YEAR],'CHART1- MATERIAL&amp;SERVICE BASED'!$B$6,Table1[MONTH],'CHART1- MATERIAL&amp;SERVICE BASED'!$B$9,Table1[MATERIAL &amp; SERVICE],Table12[[#This Row],[MATERIALS / SERVICES]]))</f>
        <v>0</v>
      </c>
      <c r="E75" s="268">
        <f>IF(B75=0,"",SUMIFS(Table1[COST],Table1[SUPPLIER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6" spans="2:5" ht="15" customHeight="1" thickBot="1" x14ac:dyDescent="0.35">
      <c r="B76" s="262" t="str">
        <f>IF('CATEGORY TABLES'!C56=0,"",'CATEGORY TABLES'!C56)</f>
        <v>900mm S&amp;S Concrete Pipe CH 2.5m SR4</v>
      </c>
      <c r="C76" s="266">
        <f>IF(B76=0,"",SUMIFS(Table1[COST],Table1[MATERIAL &amp; SERVICE],Table12[[#This Row],[MATERIALS / SERVICES]]))</f>
        <v>0</v>
      </c>
      <c r="D76" s="267">
        <f>IF(B76=0,"",SUMIFS(Table1[COST],Table1[YEAR],'CHART1- MATERIAL&amp;SERVICE BASED'!$B$6,Table1[MONTH],'CHART1- MATERIAL&amp;SERVICE BASED'!$B$9,Table1[MATERIAL &amp; SERVICE],Table12[[#This Row],[MATERIALS / SERVICES]]))</f>
        <v>0</v>
      </c>
      <c r="E76" s="268">
        <f>IF(B76=0,"",SUMIFS(Table1[COST],Table1[SUPPLIER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7" spans="2:5" ht="15" customHeight="1" thickBot="1" x14ac:dyDescent="0.35">
      <c r="B77" s="262" t="str">
        <f>IF('CATEGORY TABLES'!C57=0,"",'CATEGORY TABLES'!C57)</f>
        <v>Strataweb 200mm 2.56m x 8.35m</v>
      </c>
      <c r="C77" s="266">
        <f>IF(B77=0,"",SUMIFS(Table1[COST],Table1[MATERIAL &amp; SERVICE],Table12[[#This Row],[MATERIALS / SERVICES]]))</f>
        <v>0</v>
      </c>
      <c r="D77" s="267">
        <f>IF(B77=0,"",SUMIFS(Table1[COST],Table1[YEAR],'CHART1- MATERIAL&amp;SERVICE BASED'!$B$6,Table1[MONTH],'CHART1- MATERIAL&amp;SERVICE BASED'!$B$9,Table1[MATERIAL &amp; SERVICE],Table12[[#This Row],[MATERIALS / SERVICES]]))</f>
        <v>0</v>
      </c>
      <c r="E77" s="268">
        <f>IF(B77=0,"",SUMIFS(Table1[COST],Table1[SUPPLIER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8" spans="2:5" ht="15" customHeight="1" thickBot="1" x14ac:dyDescent="0.35">
      <c r="B78" s="262" t="str">
        <f>IF('CATEGORY TABLES'!C58=0,"",'CATEGORY TABLES'!C58)</f>
        <v>Strataweb Fixing Pins 700mm</v>
      </c>
      <c r="C78" s="266">
        <f>IF(B78=0,"",SUMIFS(Table1[COST],Table1[MATERIAL &amp; SERVICE],Table12[[#This Row],[MATERIALS / SERVICES]]))</f>
        <v>0</v>
      </c>
      <c r="D78" s="267">
        <f>IF(B78=0,"",SUMIFS(Table1[COST],Table1[YEAR],'CHART1- MATERIAL&amp;SERVICE BASED'!$B$6,Table1[MONTH],'CHART1- MATERIAL&amp;SERVICE BASED'!$B$9,Table1[MATERIAL &amp; SERVICE],Table12[[#This Row],[MATERIALS / SERVICES]]))</f>
        <v>0</v>
      </c>
      <c r="E78" s="268">
        <f>IF(B78=0,"",SUMIFS(Table1[COST],Table1[SUPPLIER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79" spans="2:5" ht="15" customHeight="1" thickBot="1" x14ac:dyDescent="0.35">
      <c r="B79" s="262" t="str">
        <f>IF('CATEGORY TABLES'!C59=0,"",'CATEGORY TABLES'!C59)</f>
        <v>StrataLock</v>
      </c>
      <c r="C79" s="266">
        <f>IF(B79=0,"",SUMIFS(Table1[COST],Table1[MATERIAL &amp; SERVICE],Table12[[#This Row],[MATERIALS / SERVICES]]))</f>
        <v>0</v>
      </c>
      <c r="D79" s="267">
        <f>IF(B79=0,"",SUMIFS(Table1[COST],Table1[YEAR],'CHART1- MATERIAL&amp;SERVICE BASED'!$B$6,Table1[MONTH],'CHART1- MATERIAL&amp;SERVICE BASED'!$B$9,Table1[MATERIAL &amp; SERVICE],Table12[[#This Row],[MATERIALS / SERVICES]]))</f>
        <v>0</v>
      </c>
      <c r="E79" s="268">
        <f>IF(B79=0,"",SUMIFS(Table1[COST],Table1[SUPPLIER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0" spans="2:5" ht="15" customHeight="1" thickBot="1" x14ac:dyDescent="0.35">
      <c r="B80" s="262" t="str">
        <f>IF('CATEGORY TABLES'!C60=0,"",'CATEGORY TABLES'!C60)</f>
        <v>BSS PRESSED SLAB 450X450X50MM NATURAL Concrete Slabs</v>
      </c>
      <c r="C80" s="266">
        <f>IF(B80=0,"",SUMIFS(Table1[COST],Table1[MATERIAL &amp; SERVICE],Table12[[#This Row],[MATERIALS / SERVICES]]))</f>
        <v>0</v>
      </c>
      <c r="D80" s="267">
        <f>IF(B80=0,"",SUMIFS(Table1[COST],Table1[YEAR],'CHART1- MATERIAL&amp;SERVICE BASED'!$B$6,Table1[MONTH],'CHART1- MATERIAL&amp;SERVICE BASED'!$B$9,Table1[MATERIAL &amp; SERVICE],Table12[[#This Row],[MATERIALS / SERVICES]]))</f>
        <v>0</v>
      </c>
      <c r="E80" s="268">
        <f>IF(B80=0,"",SUMIFS(Table1[COST],Table1[SUPPLIER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1" spans="2:5" ht="15" customHeight="1" thickBot="1" x14ac:dyDescent="0.35">
      <c r="B81" s="262" t="str">
        <f>IF('CATEGORY TABLES'!C61=0,"",'CATEGORY TABLES'!C61)</f>
        <v>A393 Mesh 4.8m x 2.4m (incl. slings)</v>
      </c>
      <c r="C81" s="266">
        <f>IF(B81=0,"",SUMIFS(Table1[COST],Table1[MATERIAL &amp; SERVICE],Table12[[#This Row],[MATERIALS / SERVICES]]))</f>
        <v>0</v>
      </c>
      <c r="D81" s="267">
        <f>IF(B81=0,"",SUMIFS(Table1[COST],Table1[YEAR],'CHART1- MATERIAL&amp;SERVICE BASED'!$B$6,Table1[MONTH],'CHART1- MATERIAL&amp;SERVICE BASED'!$B$9,Table1[MATERIAL &amp; SERVICE],Table12[[#This Row],[MATERIALS / SERVICES]]))</f>
        <v>0</v>
      </c>
      <c r="E81" s="268">
        <f>IF(B81=0,"",SUMIFS(Table1[COST],Table1[SUPPLIER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2" spans="2:5" ht="15" customHeight="1" thickBot="1" x14ac:dyDescent="0.35">
      <c r="B82" s="262" t="str">
        <f>IF('CATEGORY TABLES'!C62=0,"",'CATEGORY TABLES'!C62)</f>
        <v>Natcem Cement 25kg</v>
      </c>
      <c r="C82" s="266">
        <f>IF(B82=0,"",SUMIFS(Table1[COST],Table1[MATERIAL &amp; SERVICE],Table12[[#This Row],[MATERIALS / SERVICES]]))</f>
        <v>0</v>
      </c>
      <c r="D82" s="267">
        <f>IF(B82=0,"",SUMIFS(Table1[COST],Table1[YEAR],'CHART1- MATERIAL&amp;SERVICE BASED'!$B$6,Table1[MONTH],'CHART1- MATERIAL&amp;SERVICE BASED'!$B$9,Table1[MATERIAL &amp; SERVICE],Table12[[#This Row],[MATERIALS / SERVICES]]))</f>
        <v>0</v>
      </c>
      <c r="E82" s="268">
        <f>IF(B82=0,"",SUMIFS(Table1[COST],Table1[SUPPLIER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3" spans="2:5" ht="15" customHeight="1" thickBot="1" x14ac:dyDescent="0.35">
      <c r="B83" s="262" t="str">
        <f>IF('CATEGORY TABLES'!C63=0,"",'CATEGORY TABLES'!C63)</f>
        <v>Water tank 20.000 lt</v>
      </c>
      <c r="C83" s="266">
        <f>IF(B83=0,"",SUMIFS(Table1[COST],Table1[MATERIAL &amp; SERVICE],Table12[[#This Row],[MATERIALS / SERVICES]]))</f>
        <v>0</v>
      </c>
      <c r="D83" s="267">
        <f>IF(B83=0,"",SUMIFS(Table1[COST],Table1[YEAR],'CHART1- MATERIAL&amp;SERVICE BASED'!$B$6,Table1[MONTH],'CHART1- MATERIAL&amp;SERVICE BASED'!$B$9,Table1[MATERIAL &amp; SERVICE],Table12[[#This Row],[MATERIALS / SERVICES]]))</f>
        <v>0</v>
      </c>
      <c r="E83" s="268">
        <f>IF(B83=0,"",SUMIFS(Table1[COST],Table1[SUPPLIER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4" spans="2:5" ht="15" customHeight="1" thickBot="1" x14ac:dyDescent="0.35">
      <c r="B84" s="262" t="str">
        <f>IF('CATEGORY TABLES'!C64=0,"",'CATEGORY TABLES'!C64)</f>
        <v>Althon Headwall H6C B – for 450mm</v>
      </c>
      <c r="C84" s="266">
        <f>IF(B84=0,"",SUMIFS(Table1[COST],Table1[MATERIAL &amp; SERVICE],Table12[[#This Row],[MATERIALS / SERVICES]]))</f>
        <v>0</v>
      </c>
      <c r="D84" s="267">
        <f>IF(B84=0,"",SUMIFS(Table1[COST],Table1[YEAR],'CHART1- MATERIAL&amp;SERVICE BASED'!$B$6,Table1[MONTH],'CHART1- MATERIAL&amp;SERVICE BASED'!$B$9,Table1[MATERIAL &amp; SERVICE],Table12[[#This Row],[MATERIALS / SERVICES]]))</f>
        <v>0</v>
      </c>
      <c r="E84" s="268">
        <f>IF(B84=0,"",SUMIFS(Table1[COST],Table1[SUPPLIER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5" spans="2:5" ht="15" customHeight="1" thickBot="1" x14ac:dyDescent="0.35">
      <c r="B85" s="262" t="str">
        <f>IF('CATEGORY TABLES'!C65=0,"",'CATEGORY TABLES'!C65)</f>
        <v>Standard M20 Lifting Loops</v>
      </c>
      <c r="C85" s="266">
        <f>IF(B85=0,"",SUMIFS(Table1[COST],Table1[MATERIAL &amp; SERVICE],Table12[[#This Row],[MATERIALS / SERVICES]]))</f>
        <v>0</v>
      </c>
      <c r="D85" s="267">
        <f>IF(B85=0,"",SUMIFS(Table1[COST],Table1[YEAR],'CHART1- MATERIAL&amp;SERVICE BASED'!$B$6,Table1[MONTH],'CHART1- MATERIAL&amp;SERVICE BASED'!$B$9,Table1[MATERIAL &amp; SERVICE],Table12[[#This Row],[MATERIALS / SERVICES]]))</f>
        <v>0</v>
      </c>
      <c r="E85" s="268">
        <f>IF(B85=0,"",SUMIFS(Table1[COST],Table1[SUPPLIER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6" spans="2:5" ht="15" customHeight="1" thickBot="1" x14ac:dyDescent="0.35">
      <c r="B86" s="262" t="str">
        <f>IF('CATEGORY TABLES'!C66=0,"",'CATEGORY TABLES'!C66)</f>
        <v>Premium M20 Swivel Lifting Eye</v>
      </c>
      <c r="C86" s="266">
        <f>IF(B86=0,"",SUMIFS(Table1[COST],Table1[MATERIAL &amp; SERVICE],Table12[[#This Row],[MATERIALS / SERVICES]]))</f>
        <v>0</v>
      </c>
      <c r="D86" s="267">
        <f>IF(B86=0,"",SUMIFS(Table1[COST],Table1[YEAR],'CHART1- MATERIAL&amp;SERVICE BASED'!$B$6,Table1[MONTH],'CHART1- MATERIAL&amp;SERVICE BASED'!$B$9,Table1[MATERIAL &amp; SERVICE],Table12[[#This Row],[MATERIALS / SERVICES]]))</f>
        <v>0</v>
      </c>
      <c r="E86" s="268">
        <f>IF(B86=0,"",SUMIFS(Table1[COST],Table1[SUPPLIER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7" spans="2:5" ht="15" customHeight="1" thickBot="1" x14ac:dyDescent="0.35">
      <c r="B87" s="262" t="str">
        <f>IF('CATEGORY TABLES'!C67=0,"",'CATEGORY TABLES'!C67)</f>
        <v>24ft Welfare/Office/Changing room</v>
      </c>
      <c r="C87" s="266">
        <f>IF(B87=0,"",SUMIFS(Table1[COST],Table1[MATERIAL &amp; SERVICE],Table12[[#This Row],[MATERIALS / SERVICES]]))</f>
        <v>0</v>
      </c>
      <c r="D87" s="267">
        <f>IF(B87=0,"",SUMIFS(Table1[COST],Table1[YEAR],'CHART1- MATERIAL&amp;SERVICE BASED'!$B$6,Table1[MONTH],'CHART1- MATERIAL&amp;SERVICE BASED'!$B$9,Table1[MATERIAL &amp; SERVICE],Table12[[#This Row],[MATERIALS / SERVICES]]))</f>
        <v>0</v>
      </c>
      <c r="E87" s="268">
        <f>IF(B87=0,"",SUMIFS(Table1[COST],Table1[SUPPLIER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8" spans="2:5" ht="15" customHeight="1" thickBot="1" x14ac:dyDescent="0.35">
      <c r="B88" s="262" t="str">
        <f>IF('CATEGORY TABLES'!C68=0,"",'CATEGORY TABLES'!C68)</f>
        <v>1xDesk 1xChair 1xPoly Chair 1x Filing Cabinet</v>
      </c>
      <c r="C88" s="266">
        <f>IF(B88=0,"",SUMIFS(Table1[COST],Table1[MATERIAL &amp; SERVICE],Table12[[#This Row],[MATERIALS / SERVICES]]))</f>
        <v>0</v>
      </c>
      <c r="D88" s="267">
        <f>IF(B88=0,"",SUMIFS(Table1[COST],Table1[YEAR],'CHART1- MATERIAL&amp;SERVICE BASED'!$B$6,Table1[MONTH],'CHART1- MATERIAL&amp;SERVICE BASED'!$B$9,Table1[MATERIAL &amp; SERVICE],Table12[[#This Row],[MATERIALS / SERVICES]]))</f>
        <v>0</v>
      </c>
      <c r="E88" s="268">
        <f>IF(B88=0,"",SUMIFS(Table1[COST],Table1[SUPPLIER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89" spans="2:5" ht="15" customHeight="1" thickBot="1" x14ac:dyDescent="0.35">
      <c r="B89" s="262" t="str">
        <f>IF('CATEGORY TABLES'!C69=0,"",'CATEGORY TABLES'!C69)</f>
        <v>10kva Welfare Generator</v>
      </c>
      <c r="C89" s="266">
        <f>IF(B89=0,"",SUMIFS(Table1[COST],Table1[MATERIAL &amp; SERVICE],Table12[[#This Row],[MATERIALS / SERVICES]]))</f>
        <v>0</v>
      </c>
      <c r="D89" s="267">
        <f>IF(B89=0,"",SUMIFS(Table1[COST],Table1[YEAR],'CHART1- MATERIAL&amp;SERVICE BASED'!$B$6,Table1[MONTH],'CHART1- MATERIAL&amp;SERVICE BASED'!$B$9,Table1[MATERIAL &amp; SERVICE],Table12[[#This Row],[MATERIALS / SERVICES]]))</f>
        <v>0</v>
      </c>
      <c r="E89" s="268">
        <f>IF(B89=0,"",SUMIFS(Table1[COST],Table1[SUPPLIER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0" spans="2:5" ht="15" customHeight="1" thickBot="1" x14ac:dyDescent="0.35">
      <c r="B90" s="262" t="str">
        <f>IF('CATEGORY TABLES'!C70=0,"",'CATEGORY TABLES'!C70)</f>
        <v>Solar Fuel Cell Tower – Fully autonomous</v>
      </c>
      <c r="C90" s="266">
        <f>IF(B90=0,"",SUMIFS(Table1[COST],Table1[MATERIAL &amp; SERVICE],Table12[[#This Row],[MATERIALS / SERVICES]]))</f>
        <v>0</v>
      </c>
      <c r="D90" s="267">
        <f>IF(B90=0,"",SUMIFS(Table1[COST],Table1[YEAR],'CHART1- MATERIAL&amp;SERVICE BASED'!$B$6,Table1[MONTH],'CHART1- MATERIAL&amp;SERVICE BASED'!$B$9,Table1[MATERIAL &amp; SERVICE],Table12[[#This Row],[MATERIALS / SERVICES]]))</f>
        <v>0</v>
      </c>
      <c r="E90" s="268">
        <f>IF(B90=0,"",SUMIFS(Table1[COST],Table1[SUPPLIER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1" spans="2:5" ht="15" customHeight="1" thickBot="1" x14ac:dyDescent="0.35">
      <c r="B91" s="262" t="str">
        <f>IF('CATEGORY TABLES'!C71=0,"",'CATEGORY TABLES'!C71)</f>
        <v xml:space="preserve">1125 Litre 3000psi Pressure washer </v>
      </c>
      <c r="C91" s="266">
        <f>IF(B91=0,"",SUMIFS(Table1[COST],Table1[MATERIAL &amp; SERVICE],Table12[[#This Row],[MATERIALS / SERVICES]]))</f>
        <v>0</v>
      </c>
      <c r="D91" s="267">
        <f>IF(B91=0,"",SUMIFS(Table1[COST],Table1[YEAR],'CHART1- MATERIAL&amp;SERVICE BASED'!$B$6,Table1[MONTH],'CHART1- MATERIAL&amp;SERVICE BASED'!$B$9,Table1[MATERIAL &amp; SERVICE],Table12[[#This Row],[MATERIALS / SERVICES]]))</f>
        <v>0</v>
      </c>
      <c r="E91" s="268">
        <f>IF(B91=0,"",SUMIFS(Table1[COST],Table1[SUPPLIER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2" spans="2:5" ht="15" customHeight="1" thickBot="1" x14ac:dyDescent="0.35">
      <c r="B92" s="262" t="str">
        <f>IF('CATEGORY TABLES'!C72=0,"",'CATEGORY TABLES'!C72)</f>
        <v>Track Pads (yellow)</v>
      </c>
      <c r="C92" s="266">
        <f>IF(B92=0,"",SUMIFS(Table1[COST],Table1[MATERIAL &amp; SERVICE],Table12[[#This Row],[MATERIALS / SERVICES]]))</f>
        <v>0</v>
      </c>
      <c r="D92" s="267">
        <f>IF(B92=0,"",SUMIFS(Table1[COST],Table1[YEAR],'CHART1- MATERIAL&amp;SERVICE BASED'!$B$6,Table1[MONTH],'CHART1- MATERIAL&amp;SERVICE BASED'!$B$9,Table1[MATERIAL &amp; SERVICE],Table12[[#This Row],[MATERIALS / SERVICES]]))</f>
        <v>0</v>
      </c>
      <c r="E92" s="268">
        <f>IF(B92=0,"",SUMIFS(Table1[COST],Table1[SUPPLIER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3" spans="2:5" ht="15" customHeight="1" thickBot="1" x14ac:dyDescent="0.35">
      <c r="B93" s="262" t="str">
        <f>IF('CATEGORY TABLES'!C73=0,"",'CATEGORY TABLES'!C73)</f>
        <v>16ft Mobile Welfare Eco Groundhog</v>
      </c>
      <c r="C93" s="266">
        <f>IF(B93=0,"",SUMIFS(Table1[COST],Table1[MATERIAL &amp; SERVICE],Table12[[#This Row],[MATERIALS / SERVICES]]))</f>
        <v>0</v>
      </c>
      <c r="D93" s="267">
        <f>IF(B93=0,"",SUMIFS(Table1[COST],Table1[YEAR],'CHART1- MATERIAL&amp;SERVICE BASED'!$B$6,Table1[MONTH],'CHART1- MATERIAL&amp;SERVICE BASED'!$B$9,Table1[MATERIAL &amp; SERVICE],Table12[[#This Row],[MATERIALS / SERVICES]]))</f>
        <v>0</v>
      </c>
      <c r="E93" s="268">
        <f>IF(B93=0,"",SUMIFS(Table1[COST],Table1[SUPPLIER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4" spans="2:5" ht="15" customHeight="1" thickBot="1" x14ac:dyDescent="0.35">
      <c r="B94" s="262" t="str">
        <f>IF('CATEGORY TABLES'!C74=0,"",'CATEGORY TABLES'!C74)</f>
        <v>Sim card</v>
      </c>
      <c r="C94" s="266">
        <f>IF(B94=0,"",SUMIFS(Table1[COST],Table1[MATERIAL &amp; SERVICE],Table12[[#This Row],[MATERIALS / SERVICES]]))</f>
        <v>0</v>
      </c>
      <c r="D94" s="267">
        <f>IF(B94=0,"",SUMIFS(Table1[COST],Table1[YEAR],'CHART1- MATERIAL&amp;SERVICE BASED'!$B$6,Table1[MONTH],'CHART1- MATERIAL&amp;SERVICE BASED'!$B$9,Table1[MATERIAL &amp; SERVICE],Table12[[#This Row],[MATERIALS / SERVICES]]))</f>
        <v>0</v>
      </c>
      <c r="E94" s="268">
        <f>IF(B94=0,"",SUMIFS(Table1[COST],Table1[SUPPLIER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5" spans="2:5" ht="15" customHeight="1" thickBot="1" x14ac:dyDescent="0.35">
      <c r="B95" s="262" t="str">
        <f>IF('CATEGORY TABLES'!C75=0,"",'CATEGORY TABLES'!C75)</f>
        <v>60KVA Generator</v>
      </c>
      <c r="C95" s="266">
        <f>IF(B95=0,"",SUMIFS(Table1[COST],Table1[MATERIAL &amp; SERVICE],Table12[[#This Row],[MATERIALS / SERVICES]]))</f>
        <v>0</v>
      </c>
      <c r="D95" s="267">
        <f>IF(B95=0,"",SUMIFS(Table1[COST],Table1[YEAR],'CHART1- MATERIAL&amp;SERVICE BASED'!$B$6,Table1[MONTH],'CHART1- MATERIAL&amp;SERVICE BASED'!$B$9,Table1[MATERIAL &amp; SERVICE],Table12[[#This Row],[MATERIALS / SERVICES]]))</f>
        <v>0</v>
      </c>
      <c r="E95" s="268">
        <f>IF(B95=0,"",SUMIFS(Table1[COST],Table1[SUPPLIER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6" spans="2:5" ht="15" customHeight="1" thickBot="1" x14ac:dyDescent="0.35">
      <c r="B96" s="262" t="str">
        <f>IF('CATEGORY TABLES'!C76=0,"",'CATEGORY TABLES'!C76)</f>
        <v>Wheel washing unit</v>
      </c>
      <c r="C96" s="266">
        <f>IF(B96=0,"",SUMIFS(Table1[COST],Table1[MATERIAL &amp; SERVICE],Table12[[#This Row],[MATERIALS / SERVICES]]))</f>
        <v>0</v>
      </c>
      <c r="D96" s="267">
        <f>IF(B96=0,"",SUMIFS(Table1[COST],Table1[YEAR],'CHART1- MATERIAL&amp;SERVICE BASED'!$B$6,Table1[MONTH],'CHART1- MATERIAL&amp;SERVICE BASED'!$B$9,Table1[MATERIAL &amp; SERVICE],Table12[[#This Row],[MATERIALS / SERVICES]]))</f>
        <v>0</v>
      </c>
      <c r="E96" s="268">
        <f>IF(B96=0,"",SUMIFS(Table1[COST],Table1[SUPPLIER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7" spans="2:5" ht="15" customHeight="1" thickBot="1" x14ac:dyDescent="0.35">
      <c r="B97" s="262" t="str">
        <f>IF('CATEGORY TABLES'!C77=0,"",'CATEGORY TABLES'!C77)</f>
        <v>Water Dispenser</v>
      </c>
      <c r="C97" s="266">
        <f>IF(B97=0,"",SUMIFS(Table1[COST],Table1[MATERIAL &amp; SERVICE],Table12[[#This Row],[MATERIALS / SERVICES]]))</f>
        <v>0</v>
      </c>
      <c r="D97" s="267">
        <f>IF(B97=0,"",SUMIFS(Table1[COST],Table1[YEAR],'CHART1- MATERIAL&amp;SERVICE BASED'!$B$6,Table1[MONTH],'CHART1- MATERIAL&amp;SERVICE BASED'!$B$9,Table1[MATERIAL &amp; SERVICE],Table12[[#This Row],[MATERIALS / SERVICES]]))</f>
        <v>0</v>
      </c>
      <c r="E97" s="268">
        <f>IF(B97=0,"",SUMIFS(Table1[COST],Table1[SUPPLIER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8" spans="2:5" ht="15" customHeight="1" thickBot="1" x14ac:dyDescent="0.35">
      <c r="B98" s="262" t="str">
        <f>IF('CATEGORY TABLES'!C78=0,"",'CATEGORY TABLES'!C78)</f>
        <v>Portal toilet</v>
      </c>
      <c r="C98" s="266">
        <f>IF(B98=0,"",SUMIFS(Table1[COST],Table1[MATERIAL &amp; SERVICE],Table12[[#This Row],[MATERIALS / SERVICES]]))</f>
        <v>0</v>
      </c>
      <c r="D98" s="267">
        <f>IF(B98=0,"",SUMIFS(Table1[COST],Table1[YEAR],'CHART1- MATERIAL&amp;SERVICE BASED'!$B$6,Table1[MONTH],'CHART1- MATERIAL&amp;SERVICE BASED'!$B$9,Table1[MATERIAL &amp; SERVICE],Table12[[#This Row],[MATERIALS / SERVICES]]))</f>
        <v>0</v>
      </c>
      <c r="E98" s="268">
        <f>IF(B98=0,"",SUMIFS(Table1[COST],Table1[SUPPLIER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99" spans="2:5" ht="15" customHeight="1" thickBot="1" x14ac:dyDescent="0.35">
      <c r="B99" s="262" t="str">
        <f>IF('CATEGORY TABLES'!C79=0,"",'CATEGORY TABLES'!C79)</f>
        <v>COSHH Cabinet</v>
      </c>
      <c r="C99" s="266">
        <f>IF(B99=0,"",SUMIFS(Table1[COST],Table1[MATERIAL &amp; SERVICE],Table12[[#This Row],[MATERIALS / SERVICES]]))</f>
        <v>0</v>
      </c>
      <c r="D99" s="267">
        <f>IF(B99=0,"",SUMIFS(Table1[COST],Table1[YEAR],'CHART1- MATERIAL&amp;SERVICE BASED'!$B$6,Table1[MONTH],'CHART1- MATERIAL&amp;SERVICE BASED'!$B$9,Table1[MATERIAL &amp; SERVICE],Table12[[#This Row],[MATERIALS / SERVICES]]))</f>
        <v>0</v>
      </c>
      <c r="E99" s="268">
        <f>IF(B99=0,"",SUMIFS(Table1[COST],Table1[SUPPLIER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0" spans="2:5" ht="15" customHeight="1" thickBot="1" x14ac:dyDescent="0.35">
      <c r="B100" s="262" t="str">
        <f>IF('CATEGORY TABLES'!C80=0,"",'CATEGORY TABLES'!C80)</f>
        <v>Gator</v>
      </c>
      <c r="C100" s="266">
        <f>IF(B100=0,"",SUMIFS(Table1[COST],Table1[MATERIAL &amp; SERVICE],Table12[[#This Row],[MATERIALS / SERVICES]]))</f>
        <v>0</v>
      </c>
      <c r="D100" s="267">
        <f>IF(B100=0,"",SUMIFS(Table1[COST],Table1[YEAR],'CHART1- MATERIAL&amp;SERVICE BASED'!$B$6,Table1[MONTH],'CHART1- MATERIAL&amp;SERVICE BASED'!$B$9,Table1[MATERIAL &amp; SERVICE],Table12[[#This Row],[MATERIALS / SERVICES]]))</f>
        <v>0</v>
      </c>
      <c r="E100" s="268">
        <f>IF(B100=0,"",SUMIFS(Table1[COST],Table1[SUPPLIER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1" spans="2:5" ht="15" customHeight="1" thickBot="1" x14ac:dyDescent="0.35">
      <c r="B101" s="262" t="str">
        <f>IF('CATEGORY TABLES'!C81=0,"",'CATEGORY TABLES'!C81)</f>
        <v>Tower Light</v>
      </c>
      <c r="C101" s="266">
        <f>IF(B101=0,"",SUMIFS(Table1[COST],Table1[MATERIAL &amp; SERVICE],Table12[[#This Row],[MATERIALS / SERVICES]]))</f>
        <v>0</v>
      </c>
      <c r="D101" s="267">
        <f>IF(B101=0,"",SUMIFS(Table1[COST],Table1[YEAR],'CHART1- MATERIAL&amp;SERVICE BASED'!$B$6,Table1[MONTH],'CHART1- MATERIAL&amp;SERVICE BASED'!$B$9,Table1[MATERIAL &amp; SERVICE],Table12[[#This Row],[MATERIALS / SERVICES]]))</f>
        <v>0</v>
      </c>
      <c r="E101" s="268">
        <f>IF(B101=0,"",SUMIFS(Table1[COST],Table1[SUPPLIER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2" spans="2:5" ht="15" customHeight="1" thickBot="1" x14ac:dyDescent="0.35">
      <c r="B102" s="262" t="str">
        <f>IF('CATEGORY TABLES'!C82=0,"",'CATEGORY TABLES'!C82)</f>
        <v>20ft Anti Vandal Store</v>
      </c>
      <c r="C102" s="266">
        <f>IF(B102=0,"",SUMIFS(Table1[COST],Table1[MATERIAL &amp; SERVICE],Table12[[#This Row],[MATERIALS / SERVICES]]))</f>
        <v>0</v>
      </c>
      <c r="D102" s="267">
        <f>IF(B102=0,"",SUMIFS(Table1[COST],Table1[YEAR],'CHART1- MATERIAL&amp;SERVICE BASED'!$B$6,Table1[MONTH],'CHART1- MATERIAL&amp;SERVICE BASED'!$B$9,Table1[MATERIAL &amp; SERVICE],Table12[[#This Row],[MATERIALS / SERVICES]]))</f>
        <v>0</v>
      </c>
      <c r="E102" s="268">
        <f>IF(B102=0,"",SUMIFS(Table1[COST],Table1[SUPPLIER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3" spans="2:5" ht="15" customHeight="1" thickBot="1" x14ac:dyDescent="0.35">
      <c r="B103" s="262" t="str">
        <f>IF('CATEGORY TABLES'!C83=0,"",'CATEGORY TABLES'!C83)</f>
        <v>16ft Standard Tank (Grey Waste)</v>
      </c>
      <c r="C103" s="266">
        <f>IF(B103=0,"",SUMIFS(Table1[COST],Table1[MATERIAL &amp; SERVICE],Table12[[#This Row],[MATERIALS / SERVICES]]))</f>
        <v>0</v>
      </c>
      <c r="D103" s="267">
        <f>IF(B103=0,"",SUMIFS(Table1[COST],Table1[YEAR],'CHART1- MATERIAL&amp;SERVICE BASED'!$B$6,Table1[MONTH],'CHART1- MATERIAL&amp;SERVICE BASED'!$B$9,Table1[MATERIAL &amp; SERVICE],Table12[[#This Row],[MATERIALS / SERVICES]]))</f>
        <v>0</v>
      </c>
      <c r="E103" s="268">
        <f>IF(B103=0,"",SUMIFS(Table1[COST],Table1[SUPPLIER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4" spans="2:5" ht="15" customHeight="1" thickBot="1" x14ac:dyDescent="0.35">
      <c r="B104" s="262" t="str">
        <f>IF('CATEGORY TABLES'!C84=0,"",'CATEGORY TABLES'!C84)</f>
        <v>Double side racking for the storage container</v>
      </c>
      <c r="C104" s="266">
        <f>IF(B104=0,"",SUMIFS(Table1[COST],Table1[MATERIAL &amp; SERVICE],Table12[[#This Row],[MATERIALS / SERVICES]]))</f>
        <v>0</v>
      </c>
      <c r="D104" s="267">
        <f>IF(B104=0,"",SUMIFS(Table1[COST],Table1[YEAR],'CHART1- MATERIAL&amp;SERVICE BASED'!$B$6,Table1[MONTH],'CHART1- MATERIAL&amp;SERVICE BASED'!$B$9,Table1[MATERIAL &amp; SERVICE],Table12[[#This Row],[MATERIALS / SERVICES]]))</f>
        <v>0</v>
      </c>
      <c r="E104" s="268">
        <f>IF(B104=0,"",SUMIFS(Table1[COST],Table1[SUPPLIER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5" spans="2:5" ht="15" customHeight="1" thickBot="1" x14ac:dyDescent="0.35">
      <c r="B105" s="262" t="str">
        <f>IF('CATEGORY TABLES'!C85=0,"",'CATEGORY TABLES'!C85)</f>
        <v>12ft Secure Office</v>
      </c>
      <c r="C105" s="266">
        <f>IF(B105=0,"",SUMIFS(Table1[COST],Table1[MATERIAL &amp; SERVICE],Table12[[#This Row],[MATERIALS / SERVICES]]))</f>
        <v>0</v>
      </c>
      <c r="D105" s="267">
        <f>IF(B105=0,"",SUMIFS(Table1[COST],Table1[YEAR],'CHART1- MATERIAL&amp;SERVICE BASED'!$B$6,Table1[MONTH],'CHART1- MATERIAL&amp;SERVICE BASED'!$B$9,Table1[MATERIAL &amp; SERVICE],Table12[[#This Row],[MATERIALS / SERVICES]]))</f>
        <v>0</v>
      </c>
      <c r="E105" s="268">
        <f>IF(B105=0,"",SUMIFS(Table1[COST],Table1[SUPPLIER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6" spans="2:5" ht="15" customHeight="1" thickBot="1" x14ac:dyDescent="0.35">
      <c r="B106" s="262" t="str">
        <f>IF('CATEGORY TABLES'!C86=0,"",'CATEGORY TABLES'!C86)</f>
        <v>1xDesk 1xOff-Chair 1xPoly Chair 1xFiling Cabinet</v>
      </c>
      <c r="C106" s="266">
        <f>IF(B106=0,"",SUMIFS(Table1[COST],Table1[MATERIAL &amp; SERVICE],Table12[[#This Row],[MATERIALS / SERVICES]]))</f>
        <v>0</v>
      </c>
      <c r="D106" s="267">
        <f>IF(B106=0,"",SUMIFS(Table1[COST],Table1[YEAR],'CHART1- MATERIAL&amp;SERVICE BASED'!$B$6,Table1[MONTH],'CHART1- MATERIAL&amp;SERVICE BASED'!$B$9,Table1[MATERIAL &amp; SERVICE],Table12[[#This Row],[MATERIALS / SERVICES]]))</f>
        <v>0</v>
      </c>
      <c r="E106" s="268">
        <f>IF(B106=0,"",SUMIFS(Table1[COST],Table1[SUPPLIER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7" spans="2:5" ht="15" customHeight="1" thickBot="1" x14ac:dyDescent="0.35">
      <c r="B107" s="262" t="str">
        <f>IF('CATEGORY TABLES'!C87=0,"",'CATEGORY TABLES'!C87)</f>
        <v>Stair Case Landing</v>
      </c>
      <c r="C107" s="266">
        <f>IF(B107=0,"",SUMIFS(Table1[COST],Table1[MATERIAL &amp; SERVICE],Table12[[#This Row],[MATERIALS / SERVICES]]))</f>
        <v>0</v>
      </c>
      <c r="D107" s="267">
        <f>IF(B107=0,"",SUMIFS(Table1[COST],Table1[YEAR],'CHART1- MATERIAL&amp;SERVICE BASED'!$B$6,Table1[MONTH],'CHART1- MATERIAL&amp;SERVICE BASED'!$B$9,Table1[MATERIAL &amp; SERVICE],Table12[[#This Row],[MATERIALS / SERVICES]]))</f>
        <v>0</v>
      </c>
      <c r="E107" s="268">
        <f>IF(B107=0,"",SUMIFS(Table1[COST],Table1[SUPPLIER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8" spans="2:5" ht="15" customHeight="1" thickBot="1" x14ac:dyDescent="0.35">
      <c r="B108" s="262" t="str">
        <f>IF('CATEGORY TABLES'!C88=0,"",'CATEGORY TABLES'!C88)</f>
        <v xml:space="preserve">Distribution Board </v>
      </c>
      <c r="C108" s="266">
        <f>IF(B108=0,"",SUMIFS(Table1[COST],Table1[MATERIAL &amp; SERVICE],Table12[[#This Row],[MATERIALS / SERVICES]]))</f>
        <v>0</v>
      </c>
      <c r="D108" s="267">
        <f>IF(B108=0,"",SUMIFS(Table1[COST],Table1[YEAR],'CHART1- MATERIAL&amp;SERVICE BASED'!$B$6,Table1[MONTH],'CHART1- MATERIAL&amp;SERVICE BASED'!$B$9,Table1[MATERIAL &amp; SERVICE],Table12[[#This Row],[MATERIALS / SERVICES]]))</f>
        <v>0</v>
      </c>
      <c r="E108" s="268">
        <f>IF(B108=0,"",SUMIFS(Table1[COST],Table1[SUPPLIER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09" spans="2:5" ht="15" customHeight="1" thickBot="1" x14ac:dyDescent="0.35">
      <c r="B109" s="262" t="str">
        <f>IF('CATEGORY TABLES'!C89=0,"",'CATEGORY TABLES'!C89)</f>
        <v>32ft Anti Vandal Meeting Room</v>
      </c>
      <c r="C109" s="266">
        <f>IF(B109=0,"",SUMIFS(Table1[COST],Table1[MATERIAL &amp; SERVICE],Table12[[#This Row],[MATERIALS / SERVICES]]))</f>
        <v>0</v>
      </c>
      <c r="D109" s="267">
        <f>IF(B109=0,"",SUMIFS(Table1[COST],Table1[YEAR],'CHART1- MATERIAL&amp;SERVICE BASED'!$B$6,Table1[MONTH],'CHART1- MATERIAL&amp;SERVICE BASED'!$B$9,Table1[MATERIAL &amp; SERVICE],Table12[[#This Row],[MATERIALS / SERVICES]]))</f>
        <v>0</v>
      </c>
      <c r="E109" s="268">
        <f>IF(B109=0,"",SUMIFS(Table1[COST],Table1[SUPPLIER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0" spans="2:5" ht="15" customHeight="1" thickBot="1" x14ac:dyDescent="0.35">
      <c r="B110" s="262" t="str">
        <f>IF('CATEGORY TABLES'!C90=0,"",'CATEGORY TABLES'!C90)</f>
        <v>15xPadded Chairs 6xOffice Tables</v>
      </c>
      <c r="C110" s="266">
        <f>IF(B110=0,"",SUMIFS(Table1[COST],Table1[MATERIAL &amp; SERVICE],Table12[[#This Row],[MATERIALS / SERVICES]]))</f>
        <v>0</v>
      </c>
      <c r="D110" s="267">
        <f>IF(B110=0,"",SUMIFS(Table1[COST],Table1[YEAR],'CHART1- MATERIAL&amp;SERVICE BASED'!$B$6,Table1[MONTH],'CHART1- MATERIAL&amp;SERVICE BASED'!$B$9,Table1[MATERIAL &amp; SERVICE],Table12[[#This Row],[MATERIALS / SERVICES]]))</f>
        <v>0</v>
      </c>
      <c r="E110" s="268">
        <f>IF(B110=0,"",SUMIFS(Table1[COST],Table1[SUPPLIER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1" spans="2:5" ht="15" customHeight="1" thickBot="1" x14ac:dyDescent="0.35">
      <c r="B111" s="262" t="str">
        <f>IF('CATEGORY TABLES'!C91=0,"",'CATEGORY TABLES'!C91)</f>
        <v>32ft Anti Vandal Office</v>
      </c>
      <c r="C111" s="266">
        <f>IF(B111=0,"",SUMIFS(Table1[COST],Table1[MATERIAL &amp; SERVICE],Table12[[#This Row],[MATERIALS / SERVICES]]))</f>
        <v>0</v>
      </c>
      <c r="D111" s="267">
        <f>IF(B111=0,"",SUMIFS(Table1[COST],Table1[YEAR],'CHART1- MATERIAL&amp;SERVICE BASED'!$B$6,Table1[MONTH],'CHART1- MATERIAL&amp;SERVICE BASED'!$B$9,Table1[MATERIAL &amp; SERVICE],Table12[[#This Row],[MATERIALS / SERVICES]]))</f>
        <v>0</v>
      </c>
      <c r="E111" s="268">
        <f>IF(B111=0,"",SUMIFS(Table1[COST],Table1[SUPPLIER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2" spans="2:5" ht="15" customHeight="1" thickBot="1" x14ac:dyDescent="0.35">
      <c r="B112" s="262" t="str">
        <f>IF('CATEGORY TABLES'!C92=0,"",'CATEGORY TABLES'!C92)</f>
        <v>4xDesks 4xOff-Chair 4xPad-Chair 4xPoly Chairs 2xFiling Cabinets</v>
      </c>
      <c r="C112" s="266">
        <f>IF(B112=0,"",SUMIFS(Table1[COST],Table1[MATERIAL &amp; SERVICE],Table12[[#This Row],[MATERIALS / SERVICES]]))</f>
        <v>0</v>
      </c>
      <c r="D112" s="267">
        <f>IF(B112=0,"",SUMIFS(Table1[COST],Table1[YEAR],'CHART1- MATERIAL&amp;SERVICE BASED'!$B$6,Table1[MONTH],'CHART1- MATERIAL&amp;SERVICE BASED'!$B$9,Table1[MATERIAL &amp; SERVICE],Table12[[#This Row],[MATERIALS / SERVICES]]))</f>
        <v>0</v>
      </c>
      <c r="E112" s="268">
        <f>IF(B112=0,"",SUMIFS(Table1[COST],Table1[SUPPLIER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3" spans="2:5" ht="15" customHeight="1" thickBot="1" x14ac:dyDescent="0.35">
      <c r="B113" s="262" t="str">
        <f>IF('CATEGORY TABLES'!C93=0,"",'CATEGORY TABLES'!C93)</f>
        <v>32ft Anti Vandal Canteen</v>
      </c>
      <c r="C113" s="266">
        <f>IF(B113=0,"",SUMIFS(Table1[COST],Table1[MATERIAL &amp; SERVICE],Table12[[#This Row],[MATERIALS / SERVICES]]))</f>
        <v>0</v>
      </c>
      <c r="D113" s="267">
        <f>IF(B113=0,"",SUMIFS(Table1[COST],Table1[YEAR],'CHART1- MATERIAL&amp;SERVICE BASED'!$B$6,Table1[MONTH],'CHART1- MATERIAL&amp;SERVICE BASED'!$B$9,Table1[MATERIAL &amp; SERVICE],Table12[[#This Row],[MATERIALS / SERVICES]]))</f>
        <v>0</v>
      </c>
      <c r="E113" s="268">
        <f>IF(B113=0,"",SUMIFS(Table1[COST],Table1[SUPPLIER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4" spans="2:5" ht="15" customHeight="1" thickBot="1" x14ac:dyDescent="0.35">
      <c r="B114" s="262" t="str">
        <f>IF('CATEGORY TABLES'!C94=0,"",'CATEGORY TABLES'!C94)</f>
        <v>4xTables 24xPoly Chairs</v>
      </c>
      <c r="C114" s="266">
        <f>IF(B114=0,"",SUMIFS(Table1[COST],Table1[MATERIAL &amp; SERVICE],Table12[[#This Row],[MATERIALS / SERVICES]]))</f>
        <v>0</v>
      </c>
      <c r="D114" s="267">
        <f>IF(B114=0,"",SUMIFS(Table1[COST],Table1[YEAR],'CHART1- MATERIAL&amp;SERVICE BASED'!$B$6,Table1[MONTH],'CHART1- MATERIAL&amp;SERVICE BASED'!$B$9,Table1[MATERIAL &amp; SERVICE],Table12[[#This Row],[MATERIALS / SERVICES]]))</f>
        <v>0</v>
      </c>
      <c r="E114" s="268">
        <f>IF(B114=0,"",SUMIFS(Table1[COST],Table1[SUPPLIER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5" spans="2:5" ht="15" customHeight="1" thickBot="1" x14ac:dyDescent="0.35">
      <c r="B115" s="262" t="str">
        <f>IF('CATEGORY TABLES'!C95=0,"",'CATEGORY TABLES'!C95)</f>
        <v>Fridge, Microwave &amp; Kettle</v>
      </c>
      <c r="C115" s="266">
        <f>IF(B115=0,"",SUMIFS(Table1[COST],Table1[MATERIAL &amp; SERVICE],Table12[[#This Row],[MATERIALS / SERVICES]]))</f>
        <v>0</v>
      </c>
      <c r="D115" s="267">
        <f>IF(B115=0,"",SUMIFS(Table1[COST],Table1[YEAR],'CHART1- MATERIAL&amp;SERVICE BASED'!$B$6,Table1[MONTH],'CHART1- MATERIAL&amp;SERVICE BASED'!$B$9,Table1[MATERIAL &amp; SERVICE],Table12[[#This Row],[MATERIALS / SERVICES]]))</f>
        <v>0</v>
      </c>
      <c r="E115" s="268">
        <f>IF(B115=0,"",SUMIFS(Table1[COST],Table1[SUPPLIER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6" spans="2:5" ht="15" customHeight="1" thickBot="1" x14ac:dyDescent="0.35">
      <c r="B116" s="262" t="str">
        <f>IF('CATEGORY TABLES'!C96=0,"",'CATEGORY TABLES'!C96)</f>
        <v>32ft Security Changing Room</v>
      </c>
      <c r="C116" s="266">
        <f>IF(B116=0,"",SUMIFS(Table1[COST],Table1[MATERIAL &amp; SERVICE],Table12[[#This Row],[MATERIALS / SERVICES]]))</f>
        <v>0</v>
      </c>
      <c r="D116" s="267">
        <f>IF(B116=0,"",SUMIFS(Table1[COST],Table1[YEAR],'CHART1- MATERIAL&amp;SERVICE BASED'!$B$6,Table1[MONTH],'CHART1- MATERIAL&amp;SERVICE BASED'!$B$9,Table1[MATERIAL &amp; SERVICE],Table12[[#This Row],[MATERIALS / SERVICES]]))</f>
        <v>0</v>
      </c>
      <c r="E116" s="268">
        <f>IF(B116=0,"",SUMIFS(Table1[COST],Table1[SUPPLIER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7" spans="2:5" ht="15" customHeight="1" thickBot="1" x14ac:dyDescent="0.35">
      <c r="B117" s="262" t="str">
        <f>IF('CATEGORY TABLES'!C97=0,"",'CATEGORY TABLES'!C97)</f>
        <v>4x 1.5m Double Sided Cloakroom Benches</v>
      </c>
      <c r="C117" s="266">
        <f>IF(B117=0,"",SUMIFS(Table1[COST],Table1[MATERIAL &amp; SERVICE],Table12[[#This Row],[MATERIALS / SERVICES]]))</f>
        <v>0</v>
      </c>
      <c r="D117" s="267">
        <f>IF(B117=0,"",SUMIFS(Table1[COST],Table1[YEAR],'CHART1- MATERIAL&amp;SERVICE BASED'!$B$6,Table1[MONTH],'CHART1- MATERIAL&amp;SERVICE BASED'!$B$9,Table1[MATERIAL &amp; SERVICE],Table12[[#This Row],[MATERIALS / SERVICES]]))</f>
        <v>0</v>
      </c>
      <c r="E117" s="268">
        <f>IF(B117=0,"",SUMIFS(Table1[COST],Table1[SUPPLIER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8" spans="2:5" ht="15" customHeight="1" thickBot="1" x14ac:dyDescent="0.35">
      <c r="B118" s="262" t="str">
        <f>IF('CATEGORY TABLES'!C98=0,"",'CATEGORY TABLES'!C98)</f>
        <v>6kva Welfare Generator</v>
      </c>
      <c r="C118" s="266">
        <f>IF(B118=0,"",SUMIFS(Table1[COST],Table1[MATERIAL &amp; SERVICE],Table12[[#This Row],[MATERIALS / SERVICES]]))</f>
        <v>0</v>
      </c>
      <c r="D118" s="267">
        <f>IF(B118=0,"",SUMIFS(Table1[COST],Table1[YEAR],'CHART1- MATERIAL&amp;SERVICE BASED'!$B$6,Table1[MONTH],'CHART1- MATERIAL&amp;SERVICE BASED'!$B$9,Table1[MATERIAL &amp; SERVICE],Table12[[#This Row],[MATERIALS / SERVICES]]))</f>
        <v>0</v>
      </c>
      <c r="E118" s="268">
        <f>IF(B118=0,"",SUMIFS(Table1[COST],Table1[SUPPLIER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19" spans="2:5" ht="15" customHeight="1" thickBot="1" x14ac:dyDescent="0.35">
      <c r="B119" s="262" t="str">
        <f>IF('CATEGORY TABLES'!C99=0,"",'CATEGORY TABLES'!C99)</f>
        <v>Dehumidifier</v>
      </c>
      <c r="C119" s="266">
        <f>IF(B119=0,"",SUMIFS(Table1[COST],Table1[MATERIAL &amp; SERVICE],Table12[[#This Row],[MATERIALS / SERVICES]]))</f>
        <v>0</v>
      </c>
      <c r="D119" s="267">
        <f>IF(B119=0,"",SUMIFS(Table1[COST],Table1[YEAR],'CHART1- MATERIAL&amp;SERVICE BASED'!$B$6,Table1[MONTH],'CHART1- MATERIAL&amp;SERVICE BASED'!$B$9,Table1[MATERIAL &amp; SERVICE],Table12[[#This Row],[MATERIALS / SERVICES]]))</f>
        <v>0</v>
      </c>
      <c r="E119" s="268">
        <f>IF(B119=0,"",SUMIFS(Table1[COST],Table1[SUPPLIER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0" spans="2:5" ht="15" customHeight="1" thickBot="1" x14ac:dyDescent="0.35">
      <c r="B120" s="262" t="str">
        <f>IF('CATEGORY TABLES'!C100=0,"",'CATEGORY TABLES'!C100)</f>
        <v>3+1 Mains Toilet Block</v>
      </c>
      <c r="C120" s="266">
        <f>IF(B120=0,"",SUMIFS(Table1[COST],Table1[MATERIAL &amp; SERVICE],Table12[[#This Row],[MATERIALS / SERVICES]]))</f>
        <v>0</v>
      </c>
      <c r="D120" s="267">
        <f>IF(B120=0,"",SUMIFS(Table1[COST],Table1[YEAR],'CHART1- MATERIAL&amp;SERVICE BASED'!$B$6,Table1[MONTH],'CHART1- MATERIAL&amp;SERVICE BASED'!$B$9,Table1[MATERIAL &amp; SERVICE],Table12[[#This Row],[MATERIALS / SERVICES]]))</f>
        <v>0</v>
      </c>
      <c r="E120" s="268">
        <f>IF(B120=0,"",SUMIFS(Table1[COST],Table1[SUPPLIER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1" spans="2:5" ht="15" customHeight="1" thickBot="1" x14ac:dyDescent="0.35">
      <c r="B121" s="262" t="str">
        <f>IF('CATEGORY TABLES'!C101=0,"",'CATEGORY TABLES'!C101)</f>
        <v>Furniture Pack for 32-OFF</v>
      </c>
      <c r="C121" s="266">
        <f>IF(B121=0,"",SUMIFS(Table1[COST],Table1[MATERIAL &amp; SERVICE],Table12[[#This Row],[MATERIALS / SERVICES]]))</f>
        <v>0</v>
      </c>
      <c r="D121" s="267">
        <f>IF(B121=0,"",SUMIFS(Table1[COST],Table1[YEAR],'CHART1- MATERIAL&amp;SERVICE BASED'!$B$6,Table1[MONTH],'CHART1- MATERIAL&amp;SERVICE BASED'!$B$9,Table1[MATERIAL &amp; SERVICE],Table12[[#This Row],[MATERIALS / SERVICES]]))</f>
        <v>0</v>
      </c>
      <c r="E121" s="268">
        <f>IF(B121=0,"",SUMIFS(Table1[COST],Table1[SUPPLIER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2" spans="2:5" ht="15" customHeight="1" thickBot="1" x14ac:dyDescent="0.35">
      <c r="B122" s="262" t="str">
        <f>IF('CATEGORY TABLES'!C102=0,"",'CATEGORY TABLES'!C102)</f>
        <v>Smoking Shelter</v>
      </c>
      <c r="C122" s="266">
        <f>IF(B122=0,"",SUMIFS(Table1[COST],Table1[MATERIAL &amp; SERVICE],Table12[[#This Row],[MATERIALS / SERVICES]]))</f>
        <v>0</v>
      </c>
      <c r="D122" s="267">
        <f>IF(B122=0,"",SUMIFS(Table1[COST],Table1[YEAR],'CHART1- MATERIAL&amp;SERVICE BASED'!$B$6,Table1[MONTH],'CHART1- MATERIAL&amp;SERVICE BASED'!$B$9,Table1[MATERIAL &amp; SERVICE],Table12[[#This Row],[MATERIALS / SERVICES]]))</f>
        <v>0</v>
      </c>
      <c r="E122" s="268">
        <f>IF(B122=0,"",SUMIFS(Table1[COST],Table1[SUPPLIER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3" spans="2:5" ht="15" customHeight="1" thickBot="1" x14ac:dyDescent="0.35">
      <c r="B123" s="262" t="str">
        <f>IF('CATEGORY TABLES'!C103=0,"",'CATEGORY TABLES'!C103)</f>
        <v>3 Station Boot Wash</v>
      </c>
      <c r="C123" s="266">
        <f>IF(B123=0,"",SUMIFS(Table1[COST],Table1[MATERIAL &amp; SERVICE],Table12[[#This Row],[MATERIALS / SERVICES]]))</f>
        <v>0</v>
      </c>
      <c r="D123" s="267">
        <f>IF(B123=0,"",SUMIFS(Table1[COST],Table1[YEAR],'CHART1- MATERIAL&amp;SERVICE BASED'!$B$6,Table1[MONTH],'CHART1- MATERIAL&amp;SERVICE BASED'!$B$9,Table1[MATERIAL &amp; SERVICE],Table12[[#This Row],[MATERIALS / SERVICES]]))</f>
        <v>0</v>
      </c>
      <c r="E123" s="268">
        <f>IF(B123=0,"",SUMIFS(Table1[COST],Table1[SUPPLIER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4" spans="2:5" ht="15" customHeight="1" thickBot="1" x14ac:dyDescent="0.35">
      <c r="B124" s="262" t="str">
        <f>IF('CATEGORY TABLES'!C104=0,"",'CATEGORY TABLES'!C104)</f>
        <v>950ltr  fuel cube</v>
      </c>
      <c r="C124" s="266">
        <f>IF(B124=0,"",SUMIFS(Table1[COST],Table1[MATERIAL &amp; SERVICE],Table12[[#This Row],[MATERIALS / SERVICES]]))</f>
        <v>0</v>
      </c>
      <c r="D124" s="267">
        <f>IF(B124=0,"",SUMIFS(Table1[COST],Table1[YEAR],'CHART1- MATERIAL&amp;SERVICE BASED'!$B$6,Table1[MONTH],'CHART1- MATERIAL&amp;SERVICE BASED'!$B$9,Table1[MATERIAL &amp; SERVICE],Table12[[#This Row],[MATERIALS / SERVICES]]))</f>
        <v>0</v>
      </c>
      <c r="E124" s="268">
        <f>IF(B124=0,"",SUMIFS(Table1[COST],Table1[SUPPLIER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5" spans="2:5" ht="15" customHeight="1" thickBot="1" x14ac:dyDescent="0.35">
      <c r="B125" s="262" t="str">
        <f>IF('CATEGORY TABLES'!C105=0,"",'CATEGORY TABLES'!C105)</f>
        <v>16ft Anti vandal power pod c/w100kwa gen</v>
      </c>
      <c r="C125" s="266">
        <f>IF(B125=0,"",SUMIFS(Table1[COST],Table1[MATERIAL &amp; SERVICE],Table12[[#This Row],[MATERIALS / SERVICES]]))</f>
        <v>0</v>
      </c>
      <c r="D125" s="267">
        <f>IF(B125=0,"",SUMIFS(Table1[COST],Table1[YEAR],'CHART1- MATERIAL&amp;SERVICE BASED'!$B$6,Table1[MONTH],'CHART1- MATERIAL&amp;SERVICE BASED'!$B$9,Table1[MATERIAL &amp; SERVICE],Table12[[#This Row],[MATERIALS / SERVICES]]))</f>
        <v>0</v>
      </c>
      <c r="E125" s="268">
        <f>IF(B125=0,"",SUMIFS(Table1[COST],Table1[SUPPLIER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6" spans="2:5" ht="15" customHeight="1" thickBot="1" x14ac:dyDescent="0.35">
      <c r="B126" s="262" t="str">
        <f>IF('CATEGORY TABLES'!C106=0,"",'CATEGORY TABLES'!C106)</f>
        <v xml:space="preserve">100 kwa Generator </v>
      </c>
      <c r="C126" s="266">
        <f>IF(B126=0,"",SUMIFS(Table1[COST],Table1[MATERIAL &amp; SERVICE],Table12[[#This Row],[MATERIALS / SERVICES]]))</f>
        <v>0</v>
      </c>
      <c r="D126" s="267">
        <f>IF(B126=0,"",SUMIFS(Table1[COST],Table1[YEAR],'CHART1- MATERIAL&amp;SERVICE BASED'!$B$6,Table1[MONTH],'CHART1- MATERIAL&amp;SERVICE BASED'!$B$9,Table1[MATERIAL &amp; SERVICE],Table12[[#This Row],[MATERIALS / SERVICES]]))</f>
        <v>0</v>
      </c>
      <c r="E126" s="268">
        <f>IF(B126=0,"",SUMIFS(Table1[COST],Table1[SUPPLIER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7" spans="2:5" ht="15" customHeight="1" thickBot="1" x14ac:dyDescent="0.35">
      <c r="B127" s="262" t="str">
        <f>IF('CATEGORY TABLES'!C107=0,"",'CATEGORY TABLES'!C107)</f>
        <v>20M 32amp lead</v>
      </c>
      <c r="C127" s="266">
        <f>IF(B127=0,"",SUMIFS(Table1[COST],Table1[MATERIAL &amp; SERVICE],Table12[[#This Row],[MATERIALS / SERVICES]]))</f>
        <v>0</v>
      </c>
      <c r="D127" s="267">
        <f>IF(B127=0,"",SUMIFS(Table1[COST],Table1[YEAR],'CHART1- MATERIAL&amp;SERVICE BASED'!$B$6,Table1[MONTH],'CHART1- MATERIAL&amp;SERVICE BASED'!$B$9,Table1[MATERIAL &amp; SERVICE],Table12[[#This Row],[MATERIALS / SERVICES]]))</f>
        <v>0</v>
      </c>
      <c r="E127" s="268">
        <f>IF(B127=0,"",SUMIFS(Table1[COST],Table1[SUPPLIER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8" spans="2:5" ht="15" customHeight="1" thickBot="1" x14ac:dyDescent="0.35">
      <c r="B128" s="262" t="str">
        <f>IF('CATEGORY TABLES'!C108=0,"",'CATEGORY TABLES'!C108)</f>
        <v xml:space="preserve">Furniture Pack </v>
      </c>
      <c r="C128" s="266">
        <f>IF(B128=0,"",SUMIFS(Table1[COST],Table1[MATERIAL &amp; SERVICE],Table12[[#This Row],[MATERIALS / SERVICES]]))</f>
        <v>0</v>
      </c>
      <c r="D128" s="267">
        <f>IF(B128=0,"",SUMIFS(Table1[COST],Table1[YEAR],'CHART1- MATERIAL&amp;SERVICE BASED'!$B$6,Table1[MONTH],'CHART1- MATERIAL&amp;SERVICE BASED'!$B$9,Table1[MATERIAL &amp; SERVICE],Table12[[#This Row],[MATERIALS / SERVICES]]))</f>
        <v>0</v>
      </c>
      <c r="E128" s="268">
        <f>IF(B128=0,"",SUMIFS(Table1[COST],Table1[SUPPLIER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29" spans="2:5" ht="15" customHeight="1" thickBot="1" x14ac:dyDescent="0.35">
      <c r="B129" s="262" t="str">
        <f>IF('CATEGORY TABLES'!C109=0,"",'CATEGORY TABLES'!C109)</f>
        <v>20ft Anti Vandal Tank (Grey Waste)</v>
      </c>
      <c r="C129" s="266">
        <f>IF(B129=0,"",SUMIFS(Table1[COST],Table1[MATERIAL &amp; SERVICE],Table12[[#This Row],[MATERIALS / SERVICES]]))</f>
        <v>0</v>
      </c>
      <c r="D129" s="267">
        <f>IF(B129=0,"",SUMIFS(Table1[COST],Table1[YEAR],'CHART1- MATERIAL&amp;SERVICE BASED'!$B$6,Table1[MONTH],'CHART1- MATERIAL&amp;SERVICE BASED'!$B$9,Table1[MATERIAL &amp; SERVICE],Table12[[#This Row],[MATERIALS / SERVICES]]))</f>
        <v>0</v>
      </c>
      <c r="E129" s="268">
        <f>IF(B129=0,"",SUMIFS(Table1[COST],Table1[SUPPLIER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0" spans="2:5" ht="15" customHeight="1" thickBot="1" x14ac:dyDescent="0.35">
      <c r="B130" s="262" t="str">
        <f>IF('CATEGORY TABLES'!C110=0,"",'CATEGORY TABLES'!C110)</f>
        <v xml:space="preserve">Eco Tower – Requires 110/240 power supply </v>
      </c>
      <c r="C130" s="266">
        <f>IF(B130=0,"",SUMIFS(Table1[COST],Table1[MATERIAL &amp; SERVICE],Table12[[#This Row],[MATERIALS / SERVICES]]))</f>
        <v>0</v>
      </c>
      <c r="D130" s="267">
        <f>IF(B130=0,"",SUMIFS(Table1[COST],Table1[YEAR],'CHART1- MATERIAL&amp;SERVICE BASED'!$B$6,Table1[MONTH],'CHART1- MATERIAL&amp;SERVICE BASED'!$B$9,Table1[MATERIAL &amp; SERVICE],Table12[[#This Row],[MATERIALS / SERVICES]]))</f>
        <v>0</v>
      </c>
      <c r="E130" s="268">
        <f>IF(B130=0,"",SUMIFS(Table1[COST],Table1[SUPPLIER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1" spans="2:5" ht="15" customHeight="1" thickBot="1" x14ac:dyDescent="0.35">
      <c r="B131" s="262" t="str">
        <f>IF('CATEGORY TABLES'!C111=0,"",'CATEGORY TABLES'!C111)</f>
        <v>32ft  Changing Room</v>
      </c>
      <c r="C131" s="266">
        <f>IF(B131=0,"",SUMIFS(Table1[COST],Table1[MATERIAL &amp; SERVICE],Table12[[#This Row],[MATERIALS / SERVICES]]))</f>
        <v>0</v>
      </c>
      <c r="D131" s="267">
        <f>IF(B131=0,"",SUMIFS(Table1[COST],Table1[YEAR],'CHART1- MATERIAL&amp;SERVICE BASED'!$B$6,Table1[MONTH],'CHART1- MATERIAL&amp;SERVICE BASED'!$B$9,Table1[MATERIAL &amp; SERVICE],Table12[[#This Row],[MATERIALS / SERVICES]]))</f>
        <v>0</v>
      </c>
      <c r="E131" s="268">
        <f>IF(B131=0,"",SUMIFS(Table1[COST],Table1[SUPPLIER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2" spans="2:5" ht="15" customHeight="1" thickBot="1" x14ac:dyDescent="0.35">
      <c r="B132" s="262" t="str">
        <f>IF('CATEGORY TABLES'!C112=0,"",'CATEGORY TABLES'!C112)</f>
        <v>12ft Mobile Welfare Groundhog</v>
      </c>
      <c r="C132" s="266">
        <f>IF(B132=0,"",SUMIFS(Table1[COST],Table1[MATERIAL &amp; SERVICE],Table12[[#This Row],[MATERIALS / SERVICES]]))</f>
        <v>0</v>
      </c>
      <c r="D132" s="267">
        <f>IF(B132=0,"",SUMIFS(Table1[COST],Table1[YEAR],'CHART1- MATERIAL&amp;SERVICE BASED'!$B$6,Table1[MONTH],'CHART1- MATERIAL&amp;SERVICE BASED'!$B$9,Table1[MATERIAL &amp; SERVICE],Table12[[#This Row],[MATERIALS / SERVICES]]))</f>
        <v>0</v>
      </c>
      <c r="E132" s="268">
        <f>IF(B132=0,"",SUMIFS(Table1[COST],Table1[SUPPLIER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3" spans="2:5" ht="15" customHeight="1" thickBot="1" x14ac:dyDescent="0.35">
      <c r="B133" s="262" t="str">
        <f>IF('CATEGORY TABLES'!C113=0,"",'CATEGORY TABLES'!C113)</f>
        <v>Soundex Premium Curtain Plus Generator Surround Package</v>
      </c>
      <c r="C133" s="266">
        <f>IF(B133=0,"",SUMIFS(Table1[COST],Table1[MATERIAL &amp; SERVICE],Table12[[#This Row],[MATERIALS / SERVICES]]))</f>
        <v>0</v>
      </c>
      <c r="D133" s="267">
        <f>IF(B133=0,"",SUMIFS(Table1[COST],Table1[YEAR],'CHART1- MATERIAL&amp;SERVICE BASED'!$B$6,Table1[MONTH],'CHART1- MATERIAL&amp;SERVICE BASED'!$B$9,Table1[MATERIAL &amp; SERVICE],Table12[[#This Row],[MATERIALS / SERVICES]]))</f>
        <v>0</v>
      </c>
      <c r="E133" s="268">
        <f>IF(B133=0,"",SUMIFS(Table1[COST],Table1[SUPPLIER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4" spans="2:5" ht="15" customHeight="1" thickBot="1" x14ac:dyDescent="0.35">
      <c r="B134" s="262" t="str">
        <f>IF('CATEGORY TABLES'!C114=0,"",'CATEGORY TABLES'!C114)</f>
        <v>Discharge  pump 3''</v>
      </c>
      <c r="C134" s="266">
        <f>IF(B134=0,"",SUMIFS(Table1[COST],Table1[MATERIAL &amp; SERVICE],Table12[[#This Row],[MATERIALS / SERVICES]]))</f>
        <v>0</v>
      </c>
      <c r="D134" s="267">
        <f>IF(B134=0,"",SUMIFS(Table1[COST],Table1[YEAR],'CHART1- MATERIAL&amp;SERVICE BASED'!$B$6,Table1[MONTH],'CHART1- MATERIAL&amp;SERVICE BASED'!$B$9,Table1[MATERIAL &amp; SERVICE],Table12[[#This Row],[MATERIALS / SERVICES]]))</f>
        <v>0</v>
      </c>
      <c r="E134" s="268">
        <f>IF(B134=0,"",SUMIFS(Table1[COST],Table1[SUPPLIER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5" spans="2:5" ht="15" customHeight="1" thickBot="1" x14ac:dyDescent="0.35">
      <c r="B135" s="262" t="str">
        <f>IF('CATEGORY TABLES'!C115=0,"",'CATEGORY TABLES'!C115)</f>
        <v>GPS kit</v>
      </c>
      <c r="C135" s="266">
        <f>IF(B135=0,"",SUMIFS(Table1[COST],Table1[MATERIAL &amp; SERVICE],Table12[[#This Row],[MATERIALS / SERVICES]]))</f>
        <v>0</v>
      </c>
      <c r="D135" s="267">
        <f>IF(B135=0,"",SUMIFS(Table1[COST],Table1[YEAR],'CHART1- MATERIAL&amp;SERVICE BASED'!$B$6,Table1[MONTH],'CHART1- MATERIAL&amp;SERVICE BASED'!$B$9,Table1[MATERIAL &amp; SERVICE],Table12[[#This Row],[MATERIALS / SERVICES]]))</f>
        <v>0</v>
      </c>
      <c r="E135" s="268">
        <f>IF(B135=0,"",SUMIFS(Table1[COST],Table1[SUPPLIER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6" spans="2:5" ht="15" customHeight="1" thickBot="1" x14ac:dyDescent="0.35">
      <c r="B136" s="262" t="str">
        <f>IF('CATEGORY TABLES'!C116=0,"",'CATEGORY TABLES'!C116)</f>
        <v>COSHH Storage Container</v>
      </c>
      <c r="C136" s="266">
        <f>IF(B136=0,"",SUMIFS(Table1[COST],Table1[MATERIAL &amp; SERVICE],Table12[[#This Row],[MATERIALS / SERVICES]]))</f>
        <v>0</v>
      </c>
      <c r="D136" s="267">
        <f>IF(B136=0,"",SUMIFS(Table1[COST],Table1[YEAR],'CHART1- MATERIAL&amp;SERVICE BASED'!$B$6,Table1[MONTH],'CHART1- MATERIAL&amp;SERVICE BASED'!$B$9,Table1[MATERIAL &amp; SERVICE],Table12[[#This Row],[MATERIALS / SERVICES]]))</f>
        <v>0</v>
      </c>
      <c r="E136" s="268">
        <f>IF(B136=0,"",SUMIFS(Table1[COST],Table1[SUPPLIER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7" spans="2:5" ht="15" customHeight="1" thickBot="1" x14ac:dyDescent="0.35">
      <c r="B137" s="262" t="str">
        <f>IF('CATEGORY TABLES'!C117=0,"",'CATEGORY TABLES'!C117)</f>
        <v>Track Pads flex</v>
      </c>
      <c r="C137" s="266">
        <f>IF(B137=0,"",SUMIFS(Table1[COST],Table1[MATERIAL &amp; SERVICE],Table12[[#This Row],[MATERIALS / SERVICES]]))</f>
        <v>0</v>
      </c>
      <c r="D137" s="267">
        <f>IF(B137=0,"",SUMIFS(Table1[COST],Table1[YEAR],'CHART1- MATERIAL&amp;SERVICE BASED'!$B$6,Table1[MONTH],'CHART1- MATERIAL&amp;SERVICE BASED'!$B$9,Table1[MATERIAL &amp; SERVICE],Table12[[#This Row],[MATERIALS / SERVICES]]))</f>
        <v>0</v>
      </c>
      <c r="E137" s="268">
        <f>IF(B137=0,"",SUMIFS(Table1[COST],Table1[SUPPLIER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8" spans="2:5" ht="15" customHeight="1" thickBot="1" x14ac:dyDescent="0.35">
      <c r="B138" s="262" t="str">
        <f>IF('CATEGORY TABLES'!C118=0,"",'CATEGORY TABLES'!C118)</f>
        <v>Track Pads (black 40mm)</v>
      </c>
      <c r="C138" s="266">
        <f>IF(B138=0,"",SUMIFS(Table1[COST],Table1[MATERIAL &amp; SERVICE],Table12[[#This Row],[MATERIALS / SERVICES]]))</f>
        <v>0</v>
      </c>
      <c r="D138" s="267">
        <f>IF(B138=0,"",SUMIFS(Table1[COST],Table1[YEAR],'CHART1- MATERIAL&amp;SERVICE BASED'!$B$6,Table1[MONTH],'CHART1- MATERIAL&amp;SERVICE BASED'!$B$9,Table1[MATERIAL &amp; SERVICE],Table12[[#This Row],[MATERIALS / SERVICES]]))</f>
        <v>0</v>
      </c>
      <c r="E138" s="268">
        <f>IF(B138=0,"",SUMIFS(Table1[COST],Table1[SUPPLIER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39" spans="2:5" ht="15" customHeight="1" thickBot="1" x14ac:dyDescent="0.35">
      <c r="B139" s="262" t="str">
        <f>IF('CATEGORY TABLES'!C119=0,"",'CATEGORY TABLES'!C119)</f>
        <v>Noise measurment  Equipment</v>
      </c>
      <c r="C139" s="266">
        <f>IF(B139=0,"",SUMIFS(Table1[COST],Table1[MATERIAL &amp; SERVICE],Table12[[#This Row],[MATERIALS / SERVICES]]))</f>
        <v>0</v>
      </c>
      <c r="D139" s="267">
        <f>IF(B139=0,"",SUMIFS(Table1[COST],Table1[YEAR],'CHART1- MATERIAL&amp;SERVICE BASED'!$B$6,Table1[MONTH],'CHART1- MATERIAL&amp;SERVICE BASED'!$B$9,Table1[MATERIAL &amp; SERVICE],Table12[[#This Row],[MATERIALS / SERVICES]]))</f>
        <v>0</v>
      </c>
      <c r="E139" s="268">
        <f>IF(B139=0,"",SUMIFS(Table1[COST],Table1[SUPPLIER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0" spans="2:5" ht="15" customHeight="1" thickBot="1" x14ac:dyDescent="0.35">
      <c r="B140" s="262" t="str">
        <f>IF('CATEGORY TABLES'!C120=0,"",'CATEGORY TABLES'!C120)</f>
        <v>Dust Supression 1500lt</v>
      </c>
      <c r="C140" s="266">
        <f>IF(B140=0,"",SUMIFS(Table1[COST],Table1[MATERIAL &amp; SERVICE],Table12[[#This Row],[MATERIALS / SERVICES]]))</f>
        <v>0</v>
      </c>
      <c r="D140" s="267">
        <f>IF(B140=0,"",SUMIFS(Table1[COST],Table1[YEAR],'CHART1- MATERIAL&amp;SERVICE BASED'!$B$6,Table1[MONTH],'CHART1- MATERIAL&amp;SERVICE BASED'!$B$9,Table1[MATERIAL &amp; SERVICE],Table12[[#This Row],[MATERIALS / SERVICES]]))</f>
        <v>0</v>
      </c>
      <c r="E140" s="268">
        <f>IF(B140=0,"",SUMIFS(Table1[COST],Table1[SUPPLIER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1" spans="2:5" ht="15" customHeight="1" thickBot="1" x14ac:dyDescent="0.35">
      <c r="B141" s="262" t="str">
        <f>IF('CATEGORY TABLES'!C121=0,"",'CATEGORY TABLES'!C121)</f>
        <v>8 yard skip - metal</v>
      </c>
      <c r="C141" s="266">
        <f>IF(B141=0,"",SUMIFS(Table1[COST],Table1[MATERIAL &amp; SERVICE],Table12[[#This Row],[MATERIALS / SERVICES]]))</f>
        <v>0</v>
      </c>
      <c r="D141" s="267">
        <f>IF(B141=0,"",SUMIFS(Table1[COST],Table1[YEAR],'CHART1- MATERIAL&amp;SERVICE BASED'!$B$6,Table1[MONTH],'CHART1- MATERIAL&amp;SERVICE BASED'!$B$9,Table1[MATERIAL &amp; SERVICE],Table12[[#This Row],[MATERIALS / SERVICES]]))</f>
        <v>0</v>
      </c>
      <c r="E141" s="268">
        <f>IF(B141=0,"",SUMIFS(Table1[COST],Table1[SUPPLIER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2" spans="2:5" ht="15" customHeight="1" thickBot="1" x14ac:dyDescent="0.35">
      <c r="B142" s="262" t="str">
        <f>IF('CATEGORY TABLES'!C122=0,"",'CATEGORY TABLES'!C122)</f>
        <v>8 yard skip - general</v>
      </c>
      <c r="C142" s="266">
        <f>IF(B142=0,"",SUMIFS(Table1[COST],Table1[MATERIAL &amp; SERVICE],Table12[[#This Row],[MATERIALS / SERVICES]]))</f>
        <v>0</v>
      </c>
      <c r="D142" s="267">
        <f>IF(B142=0,"",SUMIFS(Table1[COST],Table1[YEAR],'CHART1- MATERIAL&amp;SERVICE BASED'!$B$6,Table1[MONTH],'CHART1- MATERIAL&amp;SERVICE BASED'!$B$9,Table1[MATERIAL &amp; SERVICE],Table12[[#This Row],[MATERIALS / SERVICES]]))</f>
        <v>0</v>
      </c>
      <c r="E142" s="268">
        <f>IF(B142=0,"",SUMIFS(Table1[COST],Table1[SUPPLIER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3" spans="2:5" ht="15" customHeight="1" thickBot="1" x14ac:dyDescent="0.35">
      <c r="B143" s="262" t="str">
        <f>IF('CATEGORY TABLES'!C123=0,"",'CATEGORY TABLES'!C123)</f>
        <v>Contractual Costs</v>
      </c>
      <c r="C143" s="266">
        <f>IF(B143=0,"",SUMIFS(Table1[COST],Table1[MATERIAL &amp; SERVICE],Table12[[#This Row],[MATERIALS / SERVICES]]))</f>
        <v>0</v>
      </c>
      <c r="D143" s="267">
        <f>IF(B143=0,"",SUMIFS(Table1[COST],Table1[YEAR],'CHART1- MATERIAL&amp;SERVICE BASED'!$B$6,Table1[MONTH],'CHART1- MATERIAL&amp;SERVICE BASED'!$B$9,Table1[MATERIAL &amp; SERVICE],Table12[[#This Row],[MATERIALS / SERVICES]]))</f>
        <v>0</v>
      </c>
      <c r="E143" s="268">
        <f>IF(B143=0,"",SUMIFS(Table1[COST],Table1[SUPPLIER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4" spans="2:5" ht="15" customHeight="1" thickBot="1" x14ac:dyDescent="0.35">
      <c r="B144" s="262" t="str">
        <f>IF('CATEGORY TABLES'!C124=0,"",'CATEGORY TABLES'!C124)</f>
        <v xml:space="preserve">6 yard skip - Concrete </v>
      </c>
      <c r="C144" s="266">
        <f>IF(B144=0,"",SUMIFS(Table1[COST],Table1[MATERIAL &amp; SERVICE],Table12[[#This Row],[MATERIALS / SERVICES]]))</f>
        <v>0</v>
      </c>
      <c r="D144" s="267">
        <f>IF(B144=0,"",SUMIFS(Table1[COST],Table1[YEAR],'CHART1- MATERIAL&amp;SERVICE BASED'!$B$6,Table1[MONTH],'CHART1- MATERIAL&amp;SERVICE BASED'!$B$9,Table1[MATERIAL &amp; SERVICE],Table12[[#This Row],[MATERIALS / SERVICES]]))</f>
        <v>0</v>
      </c>
      <c r="E144" s="268">
        <f>IF(B144=0,"",SUMIFS(Table1[COST],Table1[SUPPLIER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5" spans="2:5" ht="15" customHeight="1" thickBot="1" x14ac:dyDescent="0.35">
      <c r="B145" s="262" t="str">
        <f>IF('CATEGORY TABLES'!C125=0,"",'CATEGORY TABLES'!C125)</f>
        <v>Security Services</v>
      </c>
      <c r="C145" s="266">
        <f>IF(B145=0,"",SUMIFS(Table1[COST],Table1[MATERIAL &amp; SERVICE],Table12[[#This Row],[MATERIALS / SERVICES]]))</f>
        <v>0</v>
      </c>
      <c r="D145" s="267">
        <f>IF(B145=0,"",SUMIFS(Table1[COST],Table1[YEAR],'CHART1- MATERIAL&amp;SERVICE BASED'!$B$6,Table1[MONTH],'CHART1- MATERIAL&amp;SERVICE BASED'!$B$9,Table1[MATERIAL &amp; SERVICE],Table12[[#This Row],[MATERIALS / SERVICES]]))</f>
        <v>0</v>
      </c>
      <c r="E145" s="268">
        <f>IF(B145=0,"",SUMIFS(Table1[COST],Table1[SUPPLIER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6" spans="2:5" ht="15" customHeight="1" thickBot="1" x14ac:dyDescent="0.35">
      <c r="B146" s="262" t="str">
        <f>IF('CATEGORY TABLES'!C126=0,"",'CATEGORY TABLES'!C126)</f>
        <v>Banksman Services</v>
      </c>
      <c r="C146" s="266">
        <f>IF(B146=0,"",SUMIFS(Table1[COST],Table1[MATERIAL &amp; SERVICE],Table12[[#This Row],[MATERIALS / SERVICES]]))</f>
        <v>0</v>
      </c>
      <c r="D146" s="267">
        <f>IF(B146=0,"",SUMIFS(Table1[COST],Table1[YEAR],'CHART1- MATERIAL&amp;SERVICE BASED'!$B$6,Table1[MONTH],'CHART1- MATERIAL&amp;SERVICE BASED'!$B$9,Table1[MATERIAL &amp; SERVICE],Table12[[#This Row],[MATERIALS / SERVICES]]))</f>
        <v>0</v>
      </c>
      <c r="E146" s="268">
        <f>IF(B146=0,"",SUMIFS(Table1[COST],Table1[SUPPLIER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7" spans="2:5" ht="15" customHeight="1" thickBot="1" x14ac:dyDescent="0.35">
      <c r="B147" s="262" t="str">
        <f>IF('CATEGORY TABLES'!C127=0,"",'CATEGORY TABLES'!C127)</f>
        <v>Dog Unit Services</v>
      </c>
      <c r="C147" s="266">
        <f>IF(B147=0,"",SUMIFS(Table1[COST],Table1[MATERIAL &amp; SERVICE],Table12[[#This Row],[MATERIALS / SERVICES]]))</f>
        <v>0</v>
      </c>
      <c r="D147" s="267">
        <f>IF(B147=0,"",SUMIFS(Table1[COST],Table1[YEAR],'CHART1- MATERIAL&amp;SERVICE BASED'!$B$6,Table1[MONTH],'CHART1- MATERIAL&amp;SERVICE BASED'!$B$9,Table1[MATERIAL &amp; SERVICE],Table12[[#This Row],[MATERIALS / SERVICES]]))</f>
        <v>0</v>
      </c>
      <c r="E147" s="268">
        <f>IF(B147=0,"",SUMIFS(Table1[COST],Table1[SUPPLIER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8" spans="2:5" ht="15" customHeight="1" thickBot="1" x14ac:dyDescent="0.35">
      <c r="B148" s="262" t="str">
        <f>IF('CATEGORY TABLES'!C128=0,"",'CATEGORY TABLES'!C128)</f>
        <v xml:space="preserve">DPM - Black Jack 908 - </v>
      </c>
      <c r="C148" s="266">
        <f>IF(B148=0,"",SUMIFS(Table1[COST],Table1[MATERIAL &amp; SERVICE],Table12[[#This Row],[MATERIALS / SERVICES]]))</f>
        <v>0</v>
      </c>
      <c r="D148" s="267">
        <f>IF(B148=0,"",SUMIFS(Table1[COST],Table1[YEAR],'CHART1- MATERIAL&amp;SERVICE BASED'!$B$6,Table1[MONTH],'CHART1- MATERIAL&amp;SERVICE BASED'!$B$9,Table1[MATERIAL &amp; SERVICE],Table12[[#This Row],[MATERIALS / SERVICES]]))</f>
        <v>0</v>
      </c>
      <c r="E148" s="268">
        <f>IF(B148=0,"",SUMIFS(Table1[COST],Table1[SUPPLIER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49" spans="2:5" ht="15" customHeight="1" thickBot="1" x14ac:dyDescent="0.35">
      <c r="B149" s="262" t="str">
        <f>IF('CATEGORY TABLES'!C129=0,"",'CATEGORY TABLES'!C129)</f>
        <v>760mm Square Composite Cover and Frame D400</v>
      </c>
      <c r="C149" s="266">
        <f>IF(B149=0,"",SUMIFS(Table1[COST],Table1[MATERIAL &amp; SERVICE],Table12[[#This Row],[MATERIALS / SERVICES]]))</f>
        <v>0</v>
      </c>
      <c r="D149" s="267">
        <f>IF(B149=0,"",SUMIFS(Table1[COST],Table1[YEAR],'CHART1- MATERIAL&amp;SERVICE BASED'!$B$6,Table1[MONTH],'CHART1- MATERIAL&amp;SERVICE BASED'!$B$9,Table1[MATERIAL &amp; SERVICE],Table12[[#This Row],[MATERIALS / SERVICES]]))</f>
        <v>0</v>
      </c>
      <c r="E149" s="268">
        <f>IF(B149=0,"",SUMIFS(Table1[COST],Table1[SUPPLIER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0" spans="2:5" ht="15" customHeight="1" thickBot="1" x14ac:dyDescent="0.35">
      <c r="B150" s="262" t="str">
        <f>IF('CATEGORY TABLES'!C130=0,"",'CATEGORY TABLES'!C130)</f>
        <v>Assisted Lift Stick</v>
      </c>
      <c r="C150" s="266">
        <f>IF(B150=0,"",SUMIFS(Table1[COST],Table1[MATERIAL &amp; SERVICE],Table12[[#This Row],[MATERIALS / SERVICES]]))</f>
        <v>0</v>
      </c>
      <c r="D150" s="267">
        <f>IF(B150=0,"",SUMIFS(Table1[COST],Table1[YEAR],'CHART1- MATERIAL&amp;SERVICE BASED'!$B$6,Table1[MONTH],'CHART1- MATERIAL&amp;SERVICE BASED'!$B$9,Table1[MATERIAL &amp; SERVICE],Table12[[#This Row],[MATERIALS / SERVICES]]))</f>
        <v>0</v>
      </c>
      <c r="E150" s="268">
        <f>IF(B150=0,"",SUMIFS(Table1[COST],Table1[SUPPLIER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1" spans="2:5" ht="15" customHeight="1" thickBot="1" x14ac:dyDescent="0.35">
      <c r="B151" s="262" t="str">
        <f>IF('CATEGORY TABLES'!C131=0,"",'CATEGORY TABLES'!C131)</f>
        <v>Tipper Hire</v>
      </c>
      <c r="C151" s="266">
        <f>IF(B151=0,"",SUMIFS(Table1[COST],Table1[MATERIAL &amp; SERVICE],Table12[[#This Row],[MATERIALS / SERVICES]]))</f>
        <v>0</v>
      </c>
      <c r="D151" s="267">
        <f>IF(B151=0,"",SUMIFS(Table1[COST],Table1[YEAR],'CHART1- MATERIAL&amp;SERVICE BASED'!$B$6,Table1[MONTH],'CHART1- MATERIAL&amp;SERVICE BASED'!$B$9,Table1[MATERIAL &amp; SERVICE],Table12[[#This Row],[MATERIALS / SERVICES]]))</f>
        <v>0</v>
      </c>
      <c r="E151" s="268">
        <f>IF(B151=0,"",SUMIFS(Table1[COST],Table1[SUPPLIER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2" spans="2:5" ht="15" customHeight="1" thickBot="1" x14ac:dyDescent="0.35">
      <c r="B152" s="262" t="str">
        <f>IF('CATEGORY TABLES'!C132=0,"",'CATEGORY TABLES'!C132)</f>
        <v>12 yard  skip - general</v>
      </c>
      <c r="C152" s="266">
        <f>IF(B152=0,"",SUMIFS(Table1[COST],Table1[MATERIAL &amp; SERVICE],Table12[[#This Row],[MATERIALS / SERVICES]]))</f>
        <v>0</v>
      </c>
      <c r="D152" s="267">
        <f>IF(B152=0,"",SUMIFS(Table1[COST],Table1[YEAR],'CHART1- MATERIAL&amp;SERVICE BASED'!$B$6,Table1[MONTH],'CHART1- MATERIAL&amp;SERVICE BASED'!$B$9,Table1[MATERIAL &amp; SERVICE],Table12[[#This Row],[MATERIALS / SERVICES]]))</f>
        <v>0</v>
      </c>
      <c r="E152" s="268">
        <f>IF(B152=0,"",SUMIFS(Table1[COST],Table1[SUPPLIER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3" spans="2:5" ht="15" customHeight="1" thickBot="1" x14ac:dyDescent="0.35">
      <c r="B153" s="262" t="str">
        <f>IF('CATEGORY TABLES'!C133=0,"",'CATEGORY TABLES'!C133)</f>
        <v>C25/30 S4 Dmx:10</v>
      </c>
      <c r="C153" s="266">
        <f>IF(B153=0,"",SUMIFS(Table1[COST],Table1[MATERIAL &amp; SERVICE],Table12[[#This Row],[MATERIALS / SERVICES]]))</f>
        <v>0</v>
      </c>
      <c r="D153" s="267">
        <f>IF(B153=0,"",SUMIFS(Table1[COST],Table1[YEAR],'CHART1- MATERIAL&amp;SERVICE BASED'!$B$6,Table1[MONTH],'CHART1- MATERIAL&amp;SERVICE BASED'!$B$9,Table1[MATERIAL &amp; SERVICE],Table12[[#This Row],[MATERIALS / SERVICES]]))</f>
        <v>0</v>
      </c>
      <c r="E153" s="268">
        <f>IF(B153=0,"",SUMIFS(Table1[COST],Table1[SUPPLIER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4" spans="2:5" ht="15" customHeight="1" thickBot="1" x14ac:dyDescent="0.35">
      <c r="B154" s="262" t="str">
        <f>IF('CATEGORY TABLES'!C134=0,"",'CATEGORY TABLES'!C134)</f>
        <v xml:space="preserve"> Concrete Pipe CL H 450 x 2.5m</v>
      </c>
      <c r="C154" s="266">
        <f>IF(B154=0,"",SUMIFS(Table1[COST],Table1[MATERIAL &amp; SERVICE],Table12[[#This Row],[MATERIALS / SERVICES]]))</f>
        <v>0</v>
      </c>
      <c r="D154" s="267">
        <f>IF(B154=0,"",SUMIFS(Table1[COST],Table1[YEAR],'CHART1- MATERIAL&amp;SERVICE BASED'!$B$6,Table1[MONTH],'CHART1- MATERIAL&amp;SERVICE BASED'!$B$9,Table1[MATERIAL &amp; SERVICE],Table12[[#This Row],[MATERIALS / SERVICES]]))</f>
        <v>0</v>
      </c>
      <c r="E154" s="268">
        <f>IF(B154=0,"",SUMIFS(Table1[COST],Table1[SUPPLIER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5" spans="2:5" ht="15" customHeight="1" thickBot="1" x14ac:dyDescent="0.35">
      <c r="B155" s="262" t="str">
        <f>IF('CATEGORY TABLES'!C135=0,"",'CATEGORY TABLES'!C135)</f>
        <v>Electric Cable Below Warning Tape 150mm x 365mtr</v>
      </c>
      <c r="C155" s="266">
        <f>IF(B155=0,"",SUMIFS(Table1[COST],Table1[MATERIAL &amp; SERVICE],Table12[[#This Row],[MATERIALS / SERVICES]]))</f>
        <v>0</v>
      </c>
      <c r="D155" s="267">
        <f>IF(B155=0,"",SUMIFS(Table1[COST],Table1[YEAR],'CHART1- MATERIAL&amp;SERVICE BASED'!$B$6,Table1[MONTH],'CHART1- MATERIAL&amp;SERVICE BASED'!$B$9,Table1[MATERIAL &amp; SERVICE],Table12[[#This Row],[MATERIALS / SERVICES]]))</f>
        <v>0</v>
      </c>
      <c r="E155" s="268">
        <f>IF(B155=0,"",SUMIFS(Table1[COST],Table1[SUPPLIER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6" spans="2:5" ht="15" customHeight="1" thickBot="1" x14ac:dyDescent="0.35">
      <c r="B156" s="262" t="str">
        <f>IF('CATEGORY TABLES'!C136=0,"",'CATEGORY TABLES'!C136)</f>
        <v xml:space="preserve">Vegetation Clearence </v>
      </c>
      <c r="C156" s="266">
        <f>IF(B156=0,"",SUMIFS(Table1[COST],Table1[MATERIAL &amp; SERVICE],Table12[[#This Row],[MATERIALS / SERVICES]]))</f>
        <v>0</v>
      </c>
      <c r="D156" s="267">
        <f>IF(B156=0,"",SUMIFS(Table1[COST],Table1[YEAR],'CHART1- MATERIAL&amp;SERVICE BASED'!$B$6,Table1[MONTH],'CHART1- MATERIAL&amp;SERVICE BASED'!$B$9,Table1[MATERIAL &amp; SERVICE],Table12[[#This Row],[MATERIALS / SERVICES]]))</f>
        <v>0</v>
      </c>
      <c r="E156" s="268">
        <f>IF(B156=0,"",SUMIFS(Table1[COST],Table1[SUPPLIER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7" spans="2:5" ht="15" customHeight="1" thickBot="1" x14ac:dyDescent="0.35">
      <c r="B157" s="262" t="str">
        <f>IF('CATEGORY TABLES'!C137=0,"",'CATEGORY TABLES'!C137)</f>
        <v xml:space="preserve">32ft Storage Container  with Racks </v>
      </c>
      <c r="C157" s="266">
        <f>IF(B157=0,"",SUMIFS(Table1[COST],Table1[MATERIAL &amp; SERVICE],Table12[[#This Row],[MATERIALS / SERVICES]]))</f>
        <v>0</v>
      </c>
      <c r="D157" s="267">
        <f>IF(B157=0,"",SUMIFS(Table1[COST],Table1[YEAR],'CHART1- MATERIAL&amp;SERVICE BASED'!$B$6,Table1[MONTH],'CHART1- MATERIAL&amp;SERVICE BASED'!$B$9,Table1[MATERIAL &amp; SERVICE],Table12[[#This Row],[MATERIALS / SERVICES]]))</f>
        <v>0</v>
      </c>
      <c r="E157" s="268">
        <f>IF(B157=0,"",SUMIFS(Table1[COST],Table1[SUPPLIER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8" spans="2:5" ht="15" customHeight="1" thickBot="1" x14ac:dyDescent="0.35">
      <c r="B158" s="262" t="str">
        <f>IF('CATEGORY TABLES'!C138=0,"",'CATEGORY TABLES'!C138)</f>
        <v xml:space="preserve">32ft Storage Container  - Dual Doors </v>
      </c>
      <c r="C158" s="266">
        <f>IF(B158=0,"",SUMIFS(Table1[COST],Table1[MATERIAL &amp; SERVICE],Table12[[#This Row],[MATERIALS / SERVICES]]))</f>
        <v>0</v>
      </c>
      <c r="D158" s="267">
        <f>IF(B158=0,"",SUMIFS(Table1[COST],Table1[YEAR],'CHART1- MATERIAL&amp;SERVICE BASED'!$B$6,Table1[MONTH],'CHART1- MATERIAL&amp;SERVICE BASED'!$B$9,Table1[MATERIAL &amp; SERVICE],Table12[[#This Row],[MATERIALS / SERVICES]]))</f>
        <v>0</v>
      </c>
      <c r="E158" s="268">
        <f>IF(B158=0,"",SUMIFS(Table1[COST],Table1[SUPPLIER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59" spans="2:5" ht="15" customHeight="1" thickBot="1" x14ac:dyDescent="0.35">
      <c r="B159" s="262" t="str">
        <f>IF('CATEGORY TABLES'!C139=0,"",'CATEGORY TABLES'!C139)</f>
        <v>Dehumidifier PP005</v>
      </c>
      <c r="C159" s="266">
        <f>IF(B159=0,"",SUMIFS(Table1[COST],Table1[MATERIAL &amp; SERVICE],Table12[[#This Row],[MATERIALS / SERVICES]]))</f>
        <v>0</v>
      </c>
      <c r="D159" s="267">
        <f>IF(B159=0,"",SUMIFS(Table1[COST],Table1[YEAR],'CHART1- MATERIAL&amp;SERVICE BASED'!$B$6,Table1[MONTH],'CHART1- MATERIAL&amp;SERVICE BASED'!$B$9,Table1[MATERIAL &amp; SERVICE],Table12[[#This Row],[MATERIALS / SERVICES]]))</f>
        <v>0</v>
      </c>
      <c r="E159" s="268">
        <f>IF(B159=0,"",SUMIFS(Table1[COST],Table1[SUPPLIER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0" spans="2:5" ht="15" customHeight="1" thickBot="1" x14ac:dyDescent="0.35">
      <c r="B160" s="262" t="str">
        <f>IF('CATEGORY TABLES'!C140=0,"",'CATEGORY TABLES'!C140)</f>
        <v>Expansion Foam Sheet  25x200 (2m)</v>
      </c>
      <c r="C160" s="266">
        <f>IF(B160=0,"",SUMIFS(Table1[COST],Table1[MATERIAL &amp; SERVICE],Table12[[#This Row],[MATERIALS / SERVICES]]))</f>
        <v>0</v>
      </c>
      <c r="D160" s="267">
        <f>IF(B160=0,"",SUMIFS(Table1[COST],Table1[YEAR],'CHART1- MATERIAL&amp;SERVICE BASED'!$B$6,Table1[MONTH],'CHART1- MATERIAL&amp;SERVICE BASED'!$B$9,Table1[MATERIAL &amp; SERVICE],Table12[[#This Row],[MATERIALS / SERVICES]]))</f>
        <v>0</v>
      </c>
      <c r="E160" s="268">
        <f>IF(B160=0,"",SUMIFS(Table1[COST],Table1[SUPPLIER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1" spans="2:5" ht="15" customHeight="1" thickBot="1" x14ac:dyDescent="0.35">
      <c r="B161" s="262" t="str">
        <f>IF('CATEGORY TABLES'!C141=0,"",'CATEGORY TABLES'!C141)</f>
        <v>Internet Service</v>
      </c>
      <c r="C161" s="266">
        <f>IF(B161=0,"",SUMIFS(Table1[COST],Table1[MATERIAL &amp; SERVICE],Table12[[#This Row],[MATERIALS / SERVICES]]))</f>
        <v>0</v>
      </c>
      <c r="D161" s="267">
        <f>IF(B161=0,"",SUMIFS(Table1[COST],Table1[YEAR],'CHART1- MATERIAL&amp;SERVICE BASED'!$B$6,Table1[MONTH],'CHART1- MATERIAL&amp;SERVICE BASED'!$B$9,Table1[MATERIAL &amp; SERVICE],Table12[[#This Row],[MATERIALS / SERVICES]]))</f>
        <v>0</v>
      </c>
      <c r="E161" s="268">
        <f>IF(B161=0,"",SUMIFS(Table1[COST],Table1[SUPPLIER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2" spans="2:5" ht="15" customHeight="1" thickBot="1" x14ac:dyDescent="0.35">
      <c r="B162" s="262" t="str">
        <f>IF('CATEGORY TABLES'!C142=0,"",'CATEGORY TABLES'!C142)</f>
        <v>HydroTank PVC Waterstop - Internal Expansion XTCB 250mm x 12m</v>
      </c>
      <c r="C162" s="266">
        <f>IF(B162=0,"",SUMIFS(Table1[COST],Table1[MATERIAL &amp; SERVICE],Table12[[#This Row],[MATERIALS / SERVICES]]))</f>
        <v>0</v>
      </c>
      <c r="D162" s="267">
        <f>IF(B162=0,"",SUMIFS(Table1[COST],Table1[YEAR],'CHART1- MATERIAL&amp;SERVICE BASED'!$B$6,Table1[MONTH],'CHART1- MATERIAL&amp;SERVICE BASED'!$B$9,Table1[MATERIAL &amp; SERVICE],Table12[[#This Row],[MATERIALS / SERVICES]]))</f>
        <v>0</v>
      </c>
      <c r="E162" s="268">
        <f>IF(B162=0,"",SUMIFS(Table1[COST],Table1[SUPPLIER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3" spans="2:5" ht="15" customHeight="1" thickBot="1" x14ac:dyDescent="0.35">
      <c r="B163" s="262" t="str">
        <f>IF('CATEGORY TABLES'!C143=0,"",'CATEGORY TABLES'!C143)</f>
        <v>PVC Waterstop 22" Welding Blade 110V 350W c/w 110V Yellow Plug</v>
      </c>
      <c r="C163" s="266">
        <f>IF(B163=0,"",SUMIFS(Table1[COST],Table1[MATERIAL &amp; SERVICE],Table12[[#This Row],[MATERIALS / SERVICES]]))</f>
        <v>0</v>
      </c>
      <c r="D163" s="267">
        <f>IF(B163=0,"",SUMIFS(Table1[COST],Table1[YEAR],'CHART1- MATERIAL&amp;SERVICE BASED'!$B$6,Table1[MONTH],'CHART1- MATERIAL&amp;SERVICE BASED'!$B$9,Table1[MATERIAL &amp; SERVICE],Table12[[#This Row],[MATERIALS / SERVICES]]))</f>
        <v>0</v>
      </c>
      <c r="E163" s="268">
        <f>IF(B163=0,"",SUMIFS(Table1[COST],Table1[SUPPLIER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4" spans="2:5" ht="15" customHeight="1" thickBot="1" x14ac:dyDescent="0.35">
      <c r="B164" s="262" t="str">
        <f>IF('CATEGORY TABLES'!C144=0,"",'CATEGORY TABLES'!C144)</f>
        <v>HydroTank PVC Waterstop - Internal Expansion XTCB 250mm Jointing Jig</v>
      </c>
      <c r="C164" s="266">
        <f>IF(B164=0,"",SUMIFS(Table1[COST],Table1[MATERIAL &amp; SERVICE],Table12[[#This Row],[MATERIALS / SERVICES]]))</f>
        <v>0</v>
      </c>
      <c r="D164" s="267">
        <f>IF(B164=0,"",SUMIFS(Table1[COST],Table1[YEAR],'CHART1- MATERIAL&amp;SERVICE BASED'!$B$6,Table1[MONTH],'CHART1- MATERIAL&amp;SERVICE BASED'!$B$9,Table1[MATERIAL &amp; SERVICE],Table12[[#This Row],[MATERIALS / SERVICES]]))</f>
        <v>0</v>
      </c>
      <c r="E164" s="268">
        <f>IF(B164=0,"",SUMIFS(Table1[COST],Table1[SUPPLIER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5" spans="2:5" ht="15" customHeight="1" thickBot="1" x14ac:dyDescent="0.35">
      <c r="B165" s="262" t="str">
        <f>IF('CATEGORY TABLES'!C145=0,"",'CATEGORY TABLES'!C145)</f>
        <v>PRECON 1.6mm (16g) TYING WIRE</v>
      </c>
      <c r="C165" s="266">
        <f>IF(B165=0,"",SUMIFS(Table1[COST],Table1[MATERIAL &amp; SERVICE],Table12[[#This Row],[MATERIALS / SERVICES]]))</f>
        <v>0</v>
      </c>
      <c r="D165" s="267">
        <f>IF(B165=0,"",SUMIFS(Table1[COST],Table1[YEAR],'CHART1- MATERIAL&amp;SERVICE BASED'!$B$6,Table1[MONTH],'CHART1- MATERIAL&amp;SERVICE BASED'!$B$9,Table1[MATERIAL &amp; SERVICE],Table12[[#This Row],[MATERIALS / SERVICES]]))</f>
        <v>0</v>
      </c>
      <c r="E165" s="268">
        <f>IF(B165=0,"",SUMIFS(Table1[COST],Table1[SUPPLIER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6" spans="2:5" ht="15" customHeight="1" thickBot="1" x14ac:dyDescent="0.35">
      <c r="B166" s="262" t="str">
        <f>IF('CATEGORY TABLES'!C146=0,"",'CATEGORY TABLES'!C146)</f>
        <v>50mm CONCRETE CONCAVE BAR</v>
      </c>
      <c r="C166" s="266">
        <f>IF(B166=0,"",SUMIFS(Table1[COST],Table1[MATERIAL &amp; SERVICE],Table12[[#This Row],[MATERIALS / SERVICES]]))</f>
        <v>0</v>
      </c>
      <c r="D166" s="267">
        <f>IF(B166=0,"",SUMIFS(Table1[COST],Table1[YEAR],'CHART1- MATERIAL&amp;SERVICE BASED'!$B$6,Table1[MONTH],'CHART1- MATERIAL&amp;SERVICE BASED'!$B$9,Table1[MATERIAL &amp; SERVICE],Table12[[#This Row],[MATERIALS / SERVICES]]))</f>
        <v>0</v>
      </c>
      <c r="E166" s="268">
        <f>IF(B166=0,"",SUMIFS(Table1[COST],Table1[SUPPLIER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7" spans="2:5" ht="15" customHeight="1" thickBot="1" x14ac:dyDescent="0.35">
      <c r="B167" s="262" t="str">
        <f>IF('CATEGORY TABLES'!C147=0,"",'CATEGORY TABLES'!C147)</f>
        <v>40/50 CONCRETE SPACER BLOCKS</v>
      </c>
      <c r="C167" s="266">
        <f>IF(B167=0,"",SUMIFS(Table1[COST],Table1[MATERIAL &amp; SERVICE],Table12[[#This Row],[MATERIALS / SERVICES]]))</f>
        <v>0</v>
      </c>
      <c r="D167" s="267">
        <f>IF(B167=0,"",SUMIFS(Table1[COST],Table1[YEAR],'CHART1- MATERIAL&amp;SERVICE BASED'!$B$6,Table1[MONTH],'CHART1- MATERIAL&amp;SERVICE BASED'!$B$9,Table1[MATERIAL &amp; SERVICE],Table12[[#This Row],[MATERIALS / SERVICES]]))</f>
        <v>0</v>
      </c>
      <c r="E167" s="268">
        <f>IF(B167=0,"",SUMIFS(Table1[COST],Table1[SUPPLIER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8" spans="2:5" ht="15" customHeight="1" thickBot="1" x14ac:dyDescent="0.35">
      <c r="B168" s="262" t="str">
        <f>IF('CATEGORY TABLES'!C148=0,"",'CATEGORY TABLES'!C148)</f>
        <v>SIKAFLEX-415 UNIVERSAL 600ML</v>
      </c>
      <c r="C168" s="266">
        <f>IF(B168=0,"",SUMIFS(Table1[COST],Table1[MATERIAL &amp; SERVICE],Table12[[#This Row],[MATERIALS / SERVICES]]))</f>
        <v>0</v>
      </c>
      <c r="D168" s="267">
        <f>IF(B168=0,"",SUMIFS(Table1[COST],Table1[YEAR],'CHART1- MATERIAL&amp;SERVICE BASED'!$B$6,Table1[MONTH],'CHART1- MATERIAL&amp;SERVICE BASED'!$B$9,Table1[MATERIAL &amp; SERVICE],Table12[[#This Row],[MATERIALS / SERVICES]]))</f>
        <v>0</v>
      </c>
      <c r="E168" s="268">
        <f>IF(B168=0,"",SUMIFS(Table1[COST],Table1[SUPPLIER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69" spans="2:5" ht="15" customHeight="1" thickBot="1" x14ac:dyDescent="0.35">
      <c r="B169" s="262" t="str">
        <f>IF('CATEGORY TABLES'!C149=0,"",'CATEGORY TABLES'!C149)</f>
        <v>600cc BARREL GUN</v>
      </c>
      <c r="C169" s="266">
        <f>IF(B169=0,"",SUMIFS(Table1[COST],Table1[MATERIAL &amp; SERVICE],Table12[[#This Row],[MATERIALS / SERVICES]]))</f>
        <v>0</v>
      </c>
      <c r="D169" s="267">
        <f>IF(B169=0,"",SUMIFS(Table1[COST],Table1[YEAR],'CHART1- MATERIAL&amp;SERVICE BASED'!$B$6,Table1[MONTH],'CHART1- MATERIAL&amp;SERVICE BASED'!$B$9,Table1[MATERIAL &amp; SERVICE],Table12[[#This Row],[MATERIALS / SERVICES]]))</f>
        <v>0</v>
      </c>
      <c r="E169" s="268">
        <f>IF(B169=0,"",SUMIFS(Table1[COST],Table1[SUPPLIER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0" spans="2:5" ht="15" customHeight="1" thickBot="1" x14ac:dyDescent="0.35">
      <c r="B170" s="262" t="str">
        <f>IF('CATEGORY TABLES'!C150=0,"",'CATEGORY TABLES'!C150)</f>
        <v xml:space="preserve">Mechanical Seal </v>
      </c>
      <c r="C170" s="266">
        <f>IF(B170=0,"",SUMIFS(Table1[COST],Table1[MATERIAL &amp; SERVICE],Table12[[#This Row],[MATERIALS / SERVICES]]))</f>
        <v>0</v>
      </c>
      <c r="D170" s="267">
        <f>IF(B170=0,"",SUMIFS(Table1[COST],Table1[YEAR],'CHART1- MATERIAL&amp;SERVICE BASED'!$B$6,Table1[MONTH],'CHART1- MATERIAL&amp;SERVICE BASED'!$B$9,Table1[MATERIAL &amp; SERVICE],Table12[[#This Row],[MATERIALS / SERVICES]]))</f>
        <v>0</v>
      </c>
      <c r="E170" s="268">
        <f>IF(B170=0,"",SUMIFS(Table1[COST],Table1[SUPPLIER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1" spans="2:5" ht="15" customHeight="1" thickBot="1" x14ac:dyDescent="0.35">
      <c r="B171" s="262" t="str">
        <f>IF('CATEGORY TABLES'!C151=0,"",'CATEGORY TABLES'!C151)</f>
        <v>Arboriculturist</v>
      </c>
      <c r="C171" s="266">
        <f>IF(B171=0,"",SUMIFS(Table1[COST],Table1[MATERIAL &amp; SERVICE],Table12[[#This Row],[MATERIALS / SERVICES]]))</f>
        <v>0</v>
      </c>
      <c r="D171" s="267">
        <f>IF(B171=0,"",SUMIFS(Table1[COST],Table1[YEAR],'CHART1- MATERIAL&amp;SERVICE BASED'!$B$6,Table1[MONTH],'CHART1- MATERIAL&amp;SERVICE BASED'!$B$9,Table1[MATERIAL &amp; SERVICE],Table12[[#This Row],[MATERIALS / SERVICES]]))</f>
        <v>0</v>
      </c>
      <c r="E171" s="268">
        <f>IF(B171=0,"",SUMIFS(Table1[COST],Table1[SUPPLIER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2" spans="2:5" ht="15" customHeight="1" thickBot="1" x14ac:dyDescent="0.35">
      <c r="B172" s="262" t="str">
        <f>IF('CATEGORY TABLES'!C152=0,"",'CATEGORY TABLES'!C152)</f>
        <v>Cadweld Horizontal Tee Mold 70mm² Conductors</v>
      </c>
      <c r="C172" s="266">
        <f>IF(B172=0,"",SUMIFS(Table1[COST],Table1[MATERIAL &amp; SERVICE],Table12[[#This Row],[MATERIALS / SERVICES]]))</f>
        <v>0</v>
      </c>
      <c r="D172" s="267">
        <f>IF(B172=0,"",SUMIFS(Table1[COST],Table1[YEAR],'CHART1- MATERIAL&amp;SERVICE BASED'!$B$6,Table1[MONTH],'CHART1- MATERIAL&amp;SERVICE BASED'!$B$9,Table1[MATERIAL &amp; SERVICE],Table12[[#This Row],[MATERIALS / SERVICES]]))</f>
        <v>0</v>
      </c>
      <c r="E172" s="268">
        <f>IF(B172=0,"",SUMIFS(Table1[COST],Table1[SUPPLIER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3" spans="2:5" ht="15" customHeight="1" thickBot="1" x14ac:dyDescent="0.35">
      <c r="B173" s="262" t="str">
        <f>IF('CATEGORY TABLES'!C153=0,"",'CATEGORY TABLES'!C153)</f>
        <v>nVent ERICO Cadweld Plus Welding F20</v>
      </c>
      <c r="C173" s="266">
        <f>IF(B173=0,"",SUMIFS(Table1[COST],Table1[MATERIAL &amp; SERVICE],Table12[[#This Row],[MATERIALS / SERVICES]]))</f>
        <v>0</v>
      </c>
      <c r="D173" s="267">
        <f>IF(B173=0,"",SUMIFS(Table1[COST],Table1[YEAR],'CHART1- MATERIAL&amp;SERVICE BASED'!$B$6,Table1[MONTH],'CHART1- MATERIAL&amp;SERVICE BASED'!$B$9,Table1[MATERIAL &amp; SERVICE],Table12[[#This Row],[MATERIALS / SERVICES]]))</f>
        <v>0</v>
      </c>
      <c r="E173" s="268">
        <f>IF(B173=0,"",SUMIFS(Table1[COST],Table1[SUPPLIER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4" spans="2:5" ht="15" customHeight="1" thickBot="1" x14ac:dyDescent="0.35">
      <c r="B174" s="262" t="str">
        <f>IF('CATEGORY TABLES'!C154=0,"",'CATEGORY TABLES'!C154)</f>
        <v>nVent ERICO Handle Clamp CLAMP.HANDLE.E-Z CHANGE 3</v>
      </c>
      <c r="C174" s="266">
        <f>IF(B174=0,"",SUMIFS(Table1[COST],Table1[MATERIAL &amp; SERVICE],Table12[[#This Row],[MATERIALS / SERVICES]]))</f>
        <v>0</v>
      </c>
      <c r="D174" s="267">
        <f>IF(B174=0,"",SUMIFS(Table1[COST],Table1[YEAR],'CHART1- MATERIAL&amp;SERVICE BASED'!$B$6,Table1[MONTH],'CHART1- MATERIAL&amp;SERVICE BASED'!$B$9,Table1[MATERIAL &amp; SERVICE],Table12[[#This Row],[MATERIALS / SERVICES]]))</f>
        <v>0</v>
      </c>
      <c r="E174" s="268">
        <f>IF(B174=0,"",SUMIFS(Table1[COST],Table1[SUPPLIER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5" spans="2:5" ht="15" customHeight="1" thickBot="1" x14ac:dyDescent="0.35">
      <c r="B175" s="262" t="str">
        <f>IF('CATEGORY TABLES'!C155=0,"",'CATEGORY TABLES'!C155)</f>
        <v>nVent ERICO CADWELD Plus Impulse Control Unit</v>
      </c>
      <c r="C175" s="266">
        <f>IF(B175=0,"",SUMIFS(Table1[COST],Table1[MATERIAL &amp; SERVICE],Table12[[#This Row],[MATERIALS / SERVICES]]))</f>
        <v>0</v>
      </c>
      <c r="D175" s="267">
        <f>IF(B175=0,"",SUMIFS(Table1[COST],Table1[YEAR],'CHART1- MATERIAL&amp;SERVICE BASED'!$B$6,Table1[MONTH],'CHART1- MATERIAL&amp;SERVICE BASED'!$B$9,Table1[MATERIAL &amp; SERVICE],Table12[[#This Row],[MATERIALS / SERVICES]]))</f>
        <v>0</v>
      </c>
      <c r="E175" s="268">
        <f>IF(B175=0,"",SUMIFS(Table1[COST],Table1[SUPPLIER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6" spans="2:5" ht="15" customHeight="1" thickBot="1" x14ac:dyDescent="0.35">
      <c r="B176" s="262" t="str">
        <f>IF('CATEGORY TABLES'!C156=0,"",'CATEGORY TABLES'!C156)</f>
        <v>nVent ERICO TSCSTP Cadweld Cleaning Kit</v>
      </c>
      <c r="C176" s="266">
        <f>IF(B176=0,"",SUMIFS(Table1[COST],Table1[MATERIAL &amp; SERVICE],Table12[[#This Row],[MATERIALS / SERVICES]]))</f>
        <v>0</v>
      </c>
      <c r="D176" s="267">
        <f>IF(B176=0,"",SUMIFS(Table1[COST],Table1[YEAR],'CHART1- MATERIAL&amp;SERVICE BASED'!$B$6,Table1[MONTH],'CHART1- MATERIAL&amp;SERVICE BASED'!$B$9,Table1[MATERIAL &amp; SERVICE],Table12[[#This Row],[MATERIALS / SERVICES]]))</f>
        <v>0</v>
      </c>
      <c r="E176" s="268">
        <f>IF(B176=0,"",SUMIFS(Table1[COST],Table1[SUPPLIER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7" spans="2:5" ht="15" customHeight="1" thickBot="1" x14ac:dyDescent="0.35">
      <c r="B177" s="262" t="str">
        <f>IF('CATEGORY TABLES'!C157=0,"",'CATEGORY TABLES'!C157)</f>
        <v>nVent ERICO B136B Mold Cleaner Tool B136B</v>
      </c>
      <c r="C177" s="266">
        <f>IF(B177=0,"",SUMIFS(Table1[COST],Table1[MATERIAL &amp; SERVICE],Table12[[#This Row],[MATERIALS / SERVICES]]))</f>
        <v>0</v>
      </c>
      <c r="D177" s="267">
        <f>IF(B177=0,"",SUMIFS(Table1[COST],Table1[YEAR],'CHART1- MATERIAL&amp;SERVICE BASED'!$B$6,Table1[MONTH],'CHART1- MATERIAL&amp;SERVICE BASED'!$B$9,Table1[MATERIAL &amp; SERVICE],Table12[[#This Row],[MATERIALS / SERVICES]]))</f>
        <v>0</v>
      </c>
      <c r="E177" s="268">
        <f>IF(B177=0,"",SUMIFS(Table1[COST],Table1[SUPPLIER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8" spans="2:5" ht="15" customHeight="1" thickBot="1" x14ac:dyDescent="0.35">
      <c r="B178" s="262" t="str">
        <f>IF('CATEGORY TABLES'!C158=0,"",'CATEGORY TABLES'!C158)</f>
        <v xml:space="preserve"> Cable Cover 150mm x 2.5mm x 40m  Caution Cable below </v>
      </c>
      <c r="C178" s="266">
        <f>IF(B178=0,"",SUMIFS(Table1[COST],Table1[MATERIAL &amp; SERVICE],Table12[[#This Row],[MATERIALS / SERVICES]]))</f>
        <v>0</v>
      </c>
      <c r="D178" s="267">
        <f>IF(B178=0,"",SUMIFS(Table1[COST],Table1[YEAR],'CHART1- MATERIAL&amp;SERVICE BASED'!$B$6,Table1[MONTH],'CHART1- MATERIAL&amp;SERVICE BASED'!$B$9,Table1[MATERIAL &amp; SERVICE],Table12[[#This Row],[MATERIALS / SERVICES]]))</f>
        <v>0</v>
      </c>
      <c r="E178" s="268">
        <f>IF(B178=0,"",SUMIFS(Table1[COST],Table1[SUPPLIER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79" spans="2:5" ht="15" customHeight="1" thickBot="1" x14ac:dyDescent="0.35">
      <c r="B179" s="262" t="str">
        <f>IF('CATEGORY TABLES'!C159=0,"",'CATEGORY TABLES'!C159)</f>
        <v>BWS200/200/250 WALL SLEEVE</v>
      </c>
      <c r="C179" s="266">
        <f>IF(B179=0,"",SUMIFS(Table1[COST],Table1[MATERIAL &amp; SERVICE],Table12[[#This Row],[MATERIALS / SERVICES]]))</f>
        <v>0</v>
      </c>
      <c r="D179" s="267">
        <f>IF(B179=0,"",SUMIFS(Table1[COST],Table1[YEAR],'CHART1- MATERIAL&amp;SERVICE BASED'!$B$6,Table1[MONTH],'CHART1- MATERIAL&amp;SERVICE BASED'!$B$9,Table1[MATERIAL &amp; SERVICE],Table12[[#This Row],[MATERIALS / SERVICES]]))</f>
        <v>0</v>
      </c>
      <c r="E179" s="268">
        <f>IF(B179=0,"",SUMIFS(Table1[COST],Table1[SUPPLIER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0" spans="2:5" ht="15" customHeight="1" thickBot="1" x14ac:dyDescent="0.35">
      <c r="B180" s="262" t="str">
        <f>IF('CATEGORY TABLES'!C160=0,"",'CATEGORY TABLES'!C160)</f>
        <v>BWS150/160/250 WALL SLEEVE</v>
      </c>
      <c r="C180" s="266">
        <f>IF(B180=0,"",SUMIFS(Table1[COST],Table1[MATERIAL &amp; SERVICE],Table12[[#This Row],[MATERIALS / SERVICES]]))</f>
        <v>0</v>
      </c>
      <c r="D180" s="267">
        <f>IF(B180=0,"",SUMIFS(Table1[COST],Table1[YEAR],'CHART1- MATERIAL&amp;SERVICE BASED'!$B$6,Table1[MONTH],'CHART1- MATERIAL&amp;SERVICE BASED'!$B$9,Table1[MATERIAL &amp; SERVICE],Table12[[#This Row],[MATERIALS / SERVICES]]))</f>
        <v>0</v>
      </c>
      <c r="E180" s="268">
        <f>IF(B180=0,"",SUMIFS(Table1[COST],Table1[SUPPLIER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1" spans="2:5" ht="15" customHeight="1" thickBot="1" x14ac:dyDescent="0.35">
      <c r="B181" s="262" t="str">
        <f>IF('CATEGORY TABLES'!C161=0,"",'CATEGORY TABLES'!C161)</f>
        <v>BWS200/200/200 WALL SLEEVE</v>
      </c>
      <c r="C181" s="266">
        <f>IF(B181=0,"",SUMIFS(Table1[COST],Table1[MATERIAL &amp; SERVICE],Table12[[#This Row],[MATERIALS / SERVICES]]))</f>
        <v>0</v>
      </c>
      <c r="D181" s="267">
        <f>IF(B181=0,"",SUMIFS(Table1[COST],Table1[YEAR],'CHART1- MATERIAL&amp;SERVICE BASED'!$B$6,Table1[MONTH],'CHART1- MATERIAL&amp;SERVICE BASED'!$B$9,Table1[MATERIAL &amp; SERVICE],Table12[[#This Row],[MATERIALS / SERVICES]]))</f>
        <v>0</v>
      </c>
      <c r="E181" s="268">
        <f>IF(B181=0,"",SUMIFS(Table1[COST],Table1[SUPPLIER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2" spans="2:5" ht="15" customHeight="1" thickBot="1" x14ac:dyDescent="0.35">
      <c r="B182" s="262" t="str">
        <f>IF('CATEGORY TABLES'!C162=0,"",'CATEGORY TABLES'!C162)</f>
        <v>BWS150/160/200 WALL SLEEVE</v>
      </c>
      <c r="C182" s="266">
        <f>IF(B182=0,"",SUMIFS(Table1[COST],Table1[MATERIAL &amp; SERVICE],Table12[[#This Row],[MATERIALS / SERVICES]]))</f>
        <v>0</v>
      </c>
      <c r="D182" s="267">
        <f>IF(B182=0,"",SUMIFS(Table1[COST],Table1[YEAR],'CHART1- MATERIAL&amp;SERVICE BASED'!$B$6,Table1[MONTH],'CHART1- MATERIAL&amp;SERVICE BASED'!$B$9,Table1[MATERIAL &amp; SERVICE],Table12[[#This Row],[MATERIALS / SERVICES]]))</f>
        <v>0</v>
      </c>
      <c r="E182" s="268">
        <f>IF(B182=0,"",SUMIFS(Table1[COST],Table1[SUPPLIER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3" spans="2:5" ht="15" customHeight="1" thickBot="1" x14ac:dyDescent="0.35">
      <c r="B183" s="262" t="str">
        <f>IF('CATEGORY TABLES'!C163=0,"",'CATEGORY TABLES'!C163)</f>
        <v>50mm OD 40mm ID Black Polypipe Ridgicoil 50m c/w Coupler</v>
      </c>
      <c r="C183" s="266">
        <f>IF(B183=0,"",SUMIFS(Table1[COST],Table1[MATERIAL &amp; SERVICE],Table12[[#This Row],[MATERIALS / SERVICES]]))</f>
        <v>0</v>
      </c>
      <c r="D183" s="267">
        <f>IF(B183=0,"",SUMIFS(Table1[COST],Table1[YEAR],'CHART1- MATERIAL&amp;SERVICE BASED'!$B$6,Table1[MONTH],'CHART1- MATERIAL&amp;SERVICE BASED'!$B$9,Table1[MATERIAL &amp; SERVICE],Table12[[#This Row],[MATERIALS / SERVICES]]))</f>
        <v>0</v>
      </c>
      <c r="E183" s="268">
        <f>IF(B183=0,"",SUMIFS(Table1[COST],Table1[SUPPLIER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4" spans="2:5" ht="15" customHeight="1" thickBot="1" x14ac:dyDescent="0.35">
      <c r="B184" s="262" t="str">
        <f>IF('CATEGORY TABLES'!C164=0,"",'CATEGORY TABLES'!C164)</f>
        <v>63mm Black Twinwall Duct in 50m Coil c/w Coupler</v>
      </c>
      <c r="C184" s="266">
        <f>IF(B184=0,"",SUMIFS(Table1[COST],Table1[MATERIAL &amp; SERVICE],Table12[[#This Row],[MATERIALS / SERVICES]]))</f>
        <v>0</v>
      </c>
      <c r="D184" s="267">
        <f>IF(B184=0,"",SUMIFS(Table1[COST],Table1[YEAR],'CHART1- MATERIAL&amp;SERVICE BASED'!$B$6,Table1[MONTH],'CHART1- MATERIAL&amp;SERVICE BASED'!$B$9,Table1[MATERIAL &amp; SERVICE],Table12[[#This Row],[MATERIALS / SERVICES]]))</f>
        <v>0</v>
      </c>
      <c r="E184" s="268">
        <f>IF(B184=0,"",SUMIFS(Table1[COST],Table1[SUPPLIER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5" spans="2:5" ht="15" customHeight="1" thickBot="1" x14ac:dyDescent="0.35">
      <c r="B185" s="262" t="str">
        <f>IF('CATEGORY TABLES'!C165=0,"",'CATEGORY TABLES'!C165)</f>
        <v>160mm OD × 137mm ID Black Twinwall Duct in 25m Coil c/w Coupler</v>
      </c>
      <c r="C185" s="266">
        <f>IF(B185=0,"",SUMIFS(Table1[COST],Table1[MATERIAL &amp; SERVICE],Table12[[#This Row],[MATERIALS / SERVICES]]))</f>
        <v>0</v>
      </c>
      <c r="D185" s="267">
        <f>IF(B185=0,"",SUMIFS(Table1[COST],Table1[YEAR],'CHART1- MATERIAL&amp;SERVICE BASED'!$B$6,Table1[MONTH],'CHART1- MATERIAL&amp;SERVICE BASED'!$B$9,Table1[MATERIAL &amp; SERVICE],Table12[[#This Row],[MATERIALS / SERVICES]]))</f>
        <v>0</v>
      </c>
      <c r="E185" s="268">
        <f>IF(B185=0,"",SUMIFS(Table1[COST],Table1[SUPPLIER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6" spans="2:5" ht="15" customHeight="1" thickBot="1" x14ac:dyDescent="0.35">
      <c r="B186" s="262" t="str">
        <f>IF('CATEGORY TABLES'!C166=0,"",'CATEGORY TABLES'!C166)</f>
        <v>50mm Twinwall Duct Coupler</v>
      </c>
      <c r="C186" s="266">
        <f>IF(B186=0,"",SUMIFS(Table1[COST],Table1[MATERIAL &amp; SERVICE],Table12[[#This Row],[MATERIALS / SERVICES]]))</f>
        <v>0</v>
      </c>
      <c r="D186" s="267">
        <f>IF(B186=0,"",SUMIFS(Table1[COST],Table1[YEAR],'CHART1- MATERIAL&amp;SERVICE BASED'!$B$6,Table1[MONTH],'CHART1- MATERIAL&amp;SERVICE BASED'!$B$9,Table1[MATERIAL &amp; SERVICE],Table12[[#This Row],[MATERIALS / SERVICES]]))</f>
        <v>0</v>
      </c>
      <c r="E186" s="268">
        <f>IF(B186=0,"",SUMIFS(Table1[COST],Table1[SUPPLIER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7" spans="2:5" ht="15" customHeight="1" thickBot="1" x14ac:dyDescent="0.35">
      <c r="B187" s="262" t="str">
        <f>IF('CATEGORY TABLES'!C167=0,"",'CATEGORY TABLES'!C167)</f>
        <v>63mm Twinwall Duct Coupler</v>
      </c>
      <c r="C187" s="266">
        <f>IF(B187=0,"",SUMIFS(Table1[COST],Table1[MATERIAL &amp; SERVICE],Table12[[#This Row],[MATERIALS / SERVICES]]))</f>
        <v>0</v>
      </c>
      <c r="D187" s="267">
        <f>IF(B187=0,"",SUMIFS(Table1[COST],Table1[YEAR],'CHART1- MATERIAL&amp;SERVICE BASED'!$B$6,Table1[MONTH],'CHART1- MATERIAL&amp;SERVICE BASED'!$B$9,Table1[MATERIAL &amp; SERVICE],Table12[[#This Row],[MATERIALS / SERVICES]]))</f>
        <v>0</v>
      </c>
      <c r="E187" s="268">
        <f>IF(B187=0,"",SUMIFS(Table1[COST],Table1[SUPPLIER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8" spans="2:5" ht="15" customHeight="1" thickBot="1" x14ac:dyDescent="0.35">
      <c r="B188" s="262" t="str">
        <f>IF('CATEGORY TABLES'!C168=0,"",'CATEGORY TABLES'!C168)</f>
        <v>160mm Twinwall Duct Coupler</v>
      </c>
      <c r="C188" s="266">
        <f>IF(B188=0,"",SUMIFS(Table1[COST],Table1[MATERIAL &amp; SERVICE],Table12[[#This Row],[MATERIALS / SERVICES]]))</f>
        <v>0</v>
      </c>
      <c r="D188" s="267">
        <f>IF(B188=0,"",SUMIFS(Table1[COST],Table1[YEAR],'CHART1- MATERIAL&amp;SERVICE BASED'!$B$6,Table1[MONTH],'CHART1- MATERIAL&amp;SERVICE BASED'!$B$9,Table1[MATERIAL &amp; SERVICE],Table12[[#This Row],[MATERIALS / SERVICES]]))</f>
        <v>0</v>
      </c>
      <c r="E188" s="268">
        <f>IF(B188=0,"",SUMIFS(Table1[COST],Table1[SUPPLIER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89" spans="2:5" ht="15" customHeight="1" thickBot="1" x14ac:dyDescent="0.35">
      <c r="B189" s="262" t="str">
        <f>IF('CATEGORY TABLES'!C169=0,"",'CATEGORY TABLES'!C169)</f>
        <v xml:space="preserve">MHC 150 </v>
      </c>
      <c r="C189" s="266">
        <f>IF(B189=0,"",SUMIFS(Table1[COST],Table1[MATERIAL &amp; SERVICE],Table12[[#This Row],[MATERIALS / SERVICES]]))</f>
        <v>0</v>
      </c>
      <c r="D189" s="267">
        <f>IF(B189=0,"",SUMIFS(Table1[COST],Table1[YEAR],'CHART1- MATERIAL&amp;SERVICE BASED'!$B$6,Table1[MONTH],'CHART1- MATERIAL&amp;SERVICE BASED'!$B$9,Table1[MATERIAL &amp; SERVICE],Table12[[#This Row],[MATERIALS / SERVICES]]))</f>
        <v>0</v>
      </c>
      <c r="E189" s="268">
        <f>IF(B189=0,"",SUMIFS(Table1[COST],Table1[SUPPLIER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0" spans="2:5" ht="15" customHeight="1" thickBot="1" x14ac:dyDescent="0.35">
      <c r="B190" s="262" t="str">
        <f>IF('CATEGORY TABLES'!C170=0,"",'CATEGORY TABLES'!C170)</f>
        <v>MHC 200</v>
      </c>
      <c r="C190" s="266">
        <f>IF(B190=0,"",SUMIFS(Table1[COST],Table1[MATERIAL &amp; SERVICE],Table12[[#This Row],[MATERIALS / SERVICES]]))</f>
        <v>0</v>
      </c>
      <c r="D190" s="267">
        <f>IF(B190=0,"",SUMIFS(Table1[COST],Table1[YEAR],'CHART1- MATERIAL&amp;SERVICE BASED'!$B$6,Table1[MONTH],'CHART1- MATERIAL&amp;SERVICE BASED'!$B$9,Table1[MATERIAL &amp; SERVICE],Table12[[#This Row],[MATERIALS / SERVICES]]))</f>
        <v>0</v>
      </c>
      <c r="E190" s="268">
        <f>IF(B190=0,"",SUMIFS(Table1[COST],Table1[SUPPLIER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1" spans="2:5" ht="15" customHeight="1" thickBot="1" x14ac:dyDescent="0.35">
      <c r="B191" s="262" t="str">
        <f>IF('CATEGORY TABLES'!C171=0,"",'CATEGORY TABLES'!C171)</f>
        <v/>
      </c>
      <c r="C191" s="266">
        <f>IF(B191=0,"",SUMIFS(Table1[COST],Table1[MATERIAL &amp; SERVICE],Table12[[#This Row],[MATERIALS / SERVICES]]))</f>
        <v>0</v>
      </c>
      <c r="D191" s="267">
        <f>IF(B191=0,"",SUMIFS(Table1[COST],Table1[YEAR],'CHART1- MATERIAL&amp;SERVICE BASED'!$B$6,Table1[MONTH],'CHART1- MATERIAL&amp;SERVICE BASED'!$B$9,Table1[MATERIAL &amp; SERVICE],Table12[[#This Row],[MATERIALS / SERVICES]]))</f>
        <v>0</v>
      </c>
      <c r="E191" s="268">
        <f>IF(B191=0,"",SUMIFS(Table1[COST],Table1[SUPPLIER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2" spans="2:5" ht="15" customHeight="1" thickBot="1" x14ac:dyDescent="0.35">
      <c r="B192" s="262" t="str">
        <f>IF('CATEGORY TABLES'!C172=0,"",'CATEGORY TABLES'!C172)</f>
        <v/>
      </c>
      <c r="C192" s="266">
        <f>IF(B192=0,"",SUMIFS(Table1[COST],Table1[MATERIAL &amp; SERVICE],Table12[[#This Row],[MATERIALS / SERVICES]]))</f>
        <v>0</v>
      </c>
      <c r="D192" s="267">
        <f>IF(B192=0,"",SUMIFS(Table1[COST],Table1[YEAR],'CHART1- MATERIAL&amp;SERVICE BASED'!$B$6,Table1[MONTH],'CHART1- MATERIAL&amp;SERVICE BASED'!$B$9,Table1[MATERIAL &amp; SERVICE],Table12[[#This Row],[MATERIALS / SERVICES]]))</f>
        <v>0</v>
      </c>
      <c r="E192" s="268">
        <f>IF(B192=0,"",SUMIFS(Table1[COST],Table1[SUPPLIER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3" spans="2:5" ht="15" customHeight="1" thickBot="1" x14ac:dyDescent="0.35">
      <c r="B193" s="262" t="str">
        <f>IF('CATEGORY TABLES'!C173=0,"",'CATEGORY TABLES'!C173)</f>
        <v/>
      </c>
      <c r="C193" s="266">
        <f>IF(B193=0,"",SUMIFS(Table1[COST],Table1[MATERIAL &amp; SERVICE],Table12[[#This Row],[MATERIALS / SERVICES]]))</f>
        <v>0</v>
      </c>
      <c r="D193" s="267">
        <f>IF(B193=0,"",SUMIFS(Table1[COST],Table1[YEAR],'CHART1- MATERIAL&amp;SERVICE BASED'!$B$6,Table1[MONTH],'CHART1- MATERIAL&amp;SERVICE BASED'!$B$9,Table1[MATERIAL &amp; SERVICE],Table12[[#This Row],[MATERIALS / SERVICES]]))</f>
        <v>0</v>
      </c>
      <c r="E193" s="268">
        <f>IF(B193=0,"",SUMIFS(Table1[COST],Table1[SUPPLIER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4" spans="2:5" ht="15" customHeight="1" thickBot="1" x14ac:dyDescent="0.35">
      <c r="B194" s="262" t="str">
        <f>IF('CATEGORY TABLES'!C174=0,"",'CATEGORY TABLES'!C174)</f>
        <v/>
      </c>
      <c r="C194" s="266">
        <f>IF(B194=0,"",SUMIFS(Table1[COST],Table1[MATERIAL &amp; SERVICE],Table12[[#This Row],[MATERIALS / SERVICES]]))</f>
        <v>0</v>
      </c>
      <c r="D194" s="267">
        <f>IF(B194=0,"",SUMIFS(Table1[COST],Table1[YEAR],'CHART1- MATERIAL&amp;SERVICE BASED'!$B$6,Table1[MONTH],'CHART1- MATERIAL&amp;SERVICE BASED'!$B$9,Table1[MATERIAL &amp; SERVICE],Table12[[#This Row],[MATERIALS / SERVICES]]))</f>
        <v>0</v>
      </c>
      <c r="E194" s="268">
        <f>IF(B194=0,"",SUMIFS(Table1[COST],Table1[SUPPLIER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5" spans="2:5" ht="15" customHeight="1" thickBot="1" x14ac:dyDescent="0.35">
      <c r="B195" s="262" t="str">
        <f>IF('CATEGORY TABLES'!C175=0,"",'CATEGORY TABLES'!C175)</f>
        <v/>
      </c>
      <c r="C195" s="266">
        <f>IF(B195=0,"",SUMIFS(Table1[COST],Table1[MATERIAL &amp; SERVICE],Table12[[#This Row],[MATERIALS / SERVICES]]))</f>
        <v>0</v>
      </c>
      <c r="D195" s="267">
        <f>IF(B195=0,"",SUMIFS(Table1[COST],Table1[YEAR],'CHART1- MATERIAL&amp;SERVICE BASED'!$B$6,Table1[MONTH],'CHART1- MATERIAL&amp;SERVICE BASED'!$B$9,Table1[MATERIAL &amp; SERVICE],Table12[[#This Row],[MATERIALS / SERVICES]]))</f>
        <v>0</v>
      </c>
      <c r="E195" s="268">
        <f>IF(B195=0,"",SUMIFS(Table1[COST],Table1[SUPPLIER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6" spans="2:5" ht="15" customHeight="1" thickBot="1" x14ac:dyDescent="0.35">
      <c r="B196" s="262" t="str">
        <f>IF('CATEGORY TABLES'!C176=0,"",'CATEGORY TABLES'!C176)</f>
        <v/>
      </c>
      <c r="C196" s="266">
        <f>IF(B196=0,"",SUMIFS(Table1[COST],Table1[MATERIAL &amp; SERVICE],Table12[[#This Row],[MATERIALS / SERVICES]]))</f>
        <v>0</v>
      </c>
      <c r="D196" s="267">
        <f>IF(B196=0,"",SUMIFS(Table1[COST],Table1[YEAR],'CHART1- MATERIAL&amp;SERVICE BASED'!$B$6,Table1[MONTH],'CHART1- MATERIAL&amp;SERVICE BASED'!$B$9,Table1[MATERIAL &amp; SERVICE],Table12[[#This Row],[MATERIALS / SERVICES]]))</f>
        <v>0</v>
      </c>
      <c r="E196" s="268">
        <f>IF(B196=0,"",SUMIFS(Table1[COST],Table1[SUPPLIER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7" spans="2:5" ht="15" customHeight="1" thickBot="1" x14ac:dyDescent="0.35">
      <c r="B197" s="262" t="str">
        <f>IF('CATEGORY TABLES'!C177=0,"",'CATEGORY TABLES'!C177)</f>
        <v/>
      </c>
      <c r="C197" s="266">
        <f>IF(B197=0,"",SUMIFS(Table1[COST],Table1[MATERIAL &amp; SERVICE],Table12[[#This Row],[MATERIALS / SERVICES]]))</f>
        <v>0</v>
      </c>
      <c r="D197" s="267">
        <f>IF(B197=0,"",SUMIFS(Table1[COST],Table1[YEAR],'CHART1- MATERIAL&amp;SERVICE BASED'!$B$6,Table1[MONTH],'CHART1- MATERIAL&amp;SERVICE BASED'!$B$9,Table1[MATERIAL &amp; SERVICE],Table12[[#This Row],[MATERIALS / SERVICES]]))</f>
        <v>0</v>
      </c>
      <c r="E197" s="268">
        <f>IF(B197=0,"",SUMIFS(Table1[COST],Table1[SUPPLIER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8" spans="2:5" ht="15" customHeight="1" thickBot="1" x14ac:dyDescent="0.35">
      <c r="B198" s="262" t="str">
        <f>IF('CATEGORY TABLES'!C178=0,"",'CATEGORY TABLES'!C178)</f>
        <v/>
      </c>
      <c r="C198" s="266">
        <f>IF(B198=0,"",SUMIFS(Table1[COST],Table1[MATERIAL &amp; SERVICE],Table12[[#This Row],[MATERIALS / SERVICES]]))</f>
        <v>0</v>
      </c>
      <c r="D198" s="267">
        <f>IF(B198=0,"",SUMIFS(Table1[COST],Table1[YEAR],'CHART1- MATERIAL&amp;SERVICE BASED'!$B$6,Table1[MONTH],'CHART1- MATERIAL&amp;SERVICE BASED'!$B$9,Table1[MATERIAL &amp; SERVICE],Table12[[#This Row],[MATERIALS / SERVICES]]))</f>
        <v>0</v>
      </c>
      <c r="E198" s="268">
        <f>IF(B198=0,"",SUMIFS(Table1[COST],Table1[SUPPLIER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199" spans="2:5" ht="15" customHeight="1" thickBot="1" x14ac:dyDescent="0.35">
      <c r="B199" s="262" t="str">
        <f>IF('CATEGORY TABLES'!C179=0,"",'CATEGORY TABLES'!C179)</f>
        <v/>
      </c>
      <c r="C199" s="266">
        <f>IF(B199=0,"",SUMIFS(Table1[COST],Table1[MATERIAL &amp; SERVICE],Table12[[#This Row],[MATERIALS / SERVICES]]))</f>
        <v>0</v>
      </c>
      <c r="D199" s="267">
        <f>IF(B199=0,"",SUMIFS(Table1[COST],Table1[YEAR],'CHART1- MATERIAL&amp;SERVICE BASED'!$B$6,Table1[MONTH],'CHART1- MATERIAL&amp;SERVICE BASED'!$B$9,Table1[MATERIAL &amp; SERVICE],Table12[[#This Row],[MATERIALS / SERVICES]]))</f>
        <v>0</v>
      </c>
      <c r="E199" s="268">
        <f>IF(B199=0,"",SUMIFS(Table1[COST],Table1[SUPPLIER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0" spans="2:5" ht="15" customHeight="1" thickBot="1" x14ac:dyDescent="0.35">
      <c r="B200" s="262" t="str">
        <f>IF('CATEGORY TABLES'!C180=0,"",'CATEGORY TABLES'!C180)</f>
        <v/>
      </c>
      <c r="C200" s="266">
        <f>IF(B200=0,"",SUMIFS(Table1[COST],Table1[MATERIAL &amp; SERVICE],Table12[[#This Row],[MATERIALS / SERVICES]]))</f>
        <v>0</v>
      </c>
      <c r="D200" s="267">
        <f>IF(B200=0,"",SUMIFS(Table1[COST],Table1[YEAR],'CHART1- MATERIAL&amp;SERVICE BASED'!$B$6,Table1[MONTH],'CHART1- MATERIAL&amp;SERVICE BASED'!$B$9,Table1[MATERIAL &amp; SERVICE],Table12[[#This Row],[MATERIALS / SERVICES]]))</f>
        <v>0</v>
      </c>
      <c r="E200" s="268">
        <f>IF(B200=0,"",SUMIFS(Table1[COST],Table1[SUPPLIER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1" spans="2:5" ht="15" customHeight="1" thickBot="1" x14ac:dyDescent="0.35">
      <c r="B201" s="262" t="str">
        <f>IF('CATEGORY TABLES'!C181=0,"",'CATEGORY TABLES'!C181)</f>
        <v/>
      </c>
      <c r="C201" s="266">
        <f>IF(B201=0,"",SUMIFS(Table1[COST],Table1[MATERIAL &amp; SERVICE],Table12[[#This Row],[MATERIALS / SERVICES]]))</f>
        <v>0</v>
      </c>
      <c r="D201" s="267">
        <f>IF(B201=0,"",SUMIFS(Table1[COST],Table1[YEAR],'CHART1- MATERIAL&amp;SERVICE BASED'!$B$6,Table1[MONTH],'CHART1- MATERIAL&amp;SERVICE BASED'!$B$9,Table1[MATERIAL &amp; SERVICE],Table12[[#This Row],[MATERIALS / SERVICES]]))</f>
        <v>0</v>
      </c>
      <c r="E201" s="268">
        <f>IF(B201=0,"",SUMIFS(Table1[COST],Table1[SUPPLIER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2" spans="2:5" ht="15" customHeight="1" thickBot="1" x14ac:dyDescent="0.35">
      <c r="B202" s="262" t="str">
        <f>IF('CATEGORY TABLES'!C182=0,"",'CATEGORY TABLES'!C182)</f>
        <v/>
      </c>
      <c r="C202" s="266">
        <f>IF(B202=0,"",SUMIFS(Table1[COST],Table1[MATERIAL &amp; SERVICE],Table12[[#This Row],[MATERIALS / SERVICES]]))</f>
        <v>0</v>
      </c>
      <c r="D202" s="267">
        <f>IF(B202=0,"",SUMIFS(Table1[COST],Table1[YEAR],'CHART1- MATERIAL&amp;SERVICE BASED'!$B$6,Table1[MONTH],'CHART1- MATERIAL&amp;SERVICE BASED'!$B$9,Table1[MATERIAL &amp; SERVICE],Table12[[#This Row],[MATERIALS / SERVICES]]))</f>
        <v>0</v>
      </c>
      <c r="E202" s="268">
        <f>IF(B202=0,"",SUMIFS(Table1[COST],Table1[SUPPLIER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3" spans="2:5" ht="15" customHeight="1" thickBot="1" x14ac:dyDescent="0.35">
      <c r="B203" s="262" t="str">
        <f>IF('CATEGORY TABLES'!C183=0,"",'CATEGORY TABLES'!C183)</f>
        <v/>
      </c>
      <c r="C203" s="266">
        <f>IF(B203=0,"",SUMIFS(Table1[COST],Table1[MATERIAL &amp; SERVICE],Table12[[#This Row],[MATERIALS / SERVICES]]))</f>
        <v>0</v>
      </c>
      <c r="D203" s="267">
        <f>IF(B203=0,"",SUMIFS(Table1[COST],Table1[YEAR],'CHART1- MATERIAL&amp;SERVICE BASED'!$B$6,Table1[MONTH],'CHART1- MATERIAL&amp;SERVICE BASED'!$B$9,Table1[MATERIAL &amp; SERVICE],Table12[[#This Row],[MATERIALS / SERVICES]]))</f>
        <v>0</v>
      </c>
      <c r="E203" s="268">
        <f>IF(B203=0,"",SUMIFS(Table1[COST],Table1[SUPPLIER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4" spans="2:5" ht="15" customHeight="1" thickBot="1" x14ac:dyDescent="0.35">
      <c r="B204" s="262" t="str">
        <f>IF('CATEGORY TABLES'!C184=0,"",'CATEGORY TABLES'!C184)</f>
        <v/>
      </c>
      <c r="C204" s="266">
        <f>IF(B204=0,"",SUMIFS(Table1[COST],Table1[MATERIAL &amp; SERVICE],Table12[[#This Row],[MATERIALS / SERVICES]]))</f>
        <v>0</v>
      </c>
      <c r="D204" s="267">
        <f>IF(B204=0,"",SUMIFS(Table1[COST],Table1[YEAR],'CHART1- MATERIAL&amp;SERVICE BASED'!$B$6,Table1[MONTH],'CHART1- MATERIAL&amp;SERVICE BASED'!$B$9,Table1[MATERIAL &amp; SERVICE],Table12[[#This Row],[MATERIALS / SERVICES]]))</f>
        <v>0</v>
      </c>
      <c r="E204" s="268">
        <f>IF(B204=0,"",SUMIFS(Table1[COST],Table1[SUPPLIER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5" spans="2:5" ht="15" customHeight="1" thickBot="1" x14ac:dyDescent="0.35">
      <c r="B205" s="262" t="str">
        <f>IF('CATEGORY TABLES'!C185=0,"",'CATEGORY TABLES'!C185)</f>
        <v/>
      </c>
      <c r="C205" s="266">
        <f>IF(B205=0,"",SUMIFS(Table1[COST],Table1[MATERIAL &amp; SERVICE],Table12[[#This Row],[MATERIALS / SERVICES]]))</f>
        <v>0</v>
      </c>
      <c r="D205" s="267">
        <f>IF(B205=0,"",SUMIFS(Table1[COST],Table1[YEAR],'CHART1- MATERIAL&amp;SERVICE BASED'!$B$6,Table1[MONTH],'CHART1- MATERIAL&amp;SERVICE BASED'!$B$9,Table1[MATERIAL &amp; SERVICE],Table12[[#This Row],[MATERIALS / SERVICES]]))</f>
        <v>0</v>
      </c>
      <c r="E205" s="268">
        <f>IF(B205=0,"",SUMIFS(Table1[COST],Table1[SUPPLIER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6" spans="2:5" ht="15" customHeight="1" thickBot="1" x14ac:dyDescent="0.35">
      <c r="B206" s="262" t="str">
        <f>IF('CATEGORY TABLES'!C186=0,"",'CATEGORY TABLES'!C186)</f>
        <v/>
      </c>
      <c r="C206" s="266">
        <f>IF(B206=0,"",SUMIFS(Table1[COST],Table1[MATERIAL &amp; SERVICE],Table12[[#This Row],[MATERIALS / SERVICES]]))</f>
        <v>0</v>
      </c>
      <c r="D206" s="267">
        <f>IF(B206=0,"",SUMIFS(Table1[COST],Table1[YEAR],'CHART1- MATERIAL&amp;SERVICE BASED'!$B$6,Table1[MONTH],'CHART1- MATERIAL&amp;SERVICE BASED'!$B$9,Table1[MATERIAL &amp; SERVICE],Table12[[#This Row],[MATERIALS / SERVICES]]))</f>
        <v>0</v>
      </c>
      <c r="E206" s="268">
        <f>IF(B206=0,"",SUMIFS(Table1[COST],Table1[SUPPLIER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7" spans="2:5" ht="15" customHeight="1" thickBot="1" x14ac:dyDescent="0.35">
      <c r="B207" s="262" t="str">
        <f>IF('CATEGORY TABLES'!C187=0,"",'CATEGORY TABLES'!C187)</f>
        <v/>
      </c>
      <c r="C207" s="266">
        <f>IF(B207=0,"",SUMIFS(Table1[COST],Table1[MATERIAL &amp; SERVICE],Table12[[#This Row],[MATERIALS / SERVICES]]))</f>
        <v>0</v>
      </c>
      <c r="D207" s="267">
        <f>IF(B207=0,"",SUMIFS(Table1[COST],Table1[YEAR],'CHART1- MATERIAL&amp;SERVICE BASED'!$B$6,Table1[MONTH],'CHART1- MATERIAL&amp;SERVICE BASED'!$B$9,Table1[MATERIAL &amp; SERVICE],Table12[[#This Row],[MATERIALS / SERVICES]]))</f>
        <v>0</v>
      </c>
      <c r="E207" s="268">
        <f>IF(B207=0,"",SUMIFS(Table1[COST],Table1[SUPPLIER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8" spans="2:5" ht="15" customHeight="1" thickBot="1" x14ac:dyDescent="0.35">
      <c r="B208" s="262" t="str">
        <f>IF('CATEGORY TABLES'!C188=0,"",'CATEGORY TABLES'!C188)</f>
        <v/>
      </c>
      <c r="C208" s="266">
        <f>IF(B208=0,"",SUMIFS(Table1[COST],Table1[MATERIAL &amp; SERVICE],Table12[[#This Row],[MATERIALS / SERVICES]]))</f>
        <v>0</v>
      </c>
      <c r="D208" s="267">
        <f>IF(B208=0,"",SUMIFS(Table1[COST],Table1[YEAR],'CHART1- MATERIAL&amp;SERVICE BASED'!$B$6,Table1[MONTH],'CHART1- MATERIAL&amp;SERVICE BASED'!$B$9,Table1[MATERIAL &amp; SERVICE],Table12[[#This Row],[MATERIALS / SERVICES]]))</f>
        <v>0</v>
      </c>
      <c r="E208" s="268">
        <f>IF(B208=0,"",SUMIFS(Table1[COST],Table1[SUPPLIER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09" spans="2:5" ht="15" customHeight="1" thickBot="1" x14ac:dyDescent="0.35">
      <c r="B209" s="262" t="str">
        <f>IF('CATEGORY TABLES'!C189=0,"",'CATEGORY TABLES'!C189)</f>
        <v/>
      </c>
      <c r="C209" s="266">
        <f>IF(B209=0,"",SUMIFS(Table1[COST],Table1[MATERIAL &amp; SERVICE],Table12[[#This Row],[MATERIALS / SERVICES]]))</f>
        <v>0</v>
      </c>
      <c r="D209" s="267">
        <f>IF(B209=0,"",SUMIFS(Table1[COST],Table1[YEAR],'CHART1- MATERIAL&amp;SERVICE BASED'!$B$6,Table1[MONTH],'CHART1- MATERIAL&amp;SERVICE BASED'!$B$9,Table1[MATERIAL &amp; SERVICE],Table12[[#This Row],[MATERIALS / SERVICES]]))</f>
        <v>0</v>
      </c>
      <c r="E209" s="268">
        <f>IF(B209=0,"",SUMIFS(Table1[COST],Table1[SUPPLIER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0" spans="2:5" ht="15" customHeight="1" thickBot="1" x14ac:dyDescent="0.35">
      <c r="B210" s="262" t="str">
        <f>IF('CATEGORY TABLES'!C190=0,"",'CATEGORY TABLES'!C190)</f>
        <v/>
      </c>
      <c r="C210" s="266">
        <f>IF(B210=0,"",SUMIFS(Table1[COST],Table1[MATERIAL &amp; SERVICE],Table12[[#This Row],[MATERIALS / SERVICES]]))</f>
        <v>0</v>
      </c>
      <c r="D210" s="267">
        <f>IF(B210=0,"",SUMIFS(Table1[COST],Table1[YEAR],'CHART1- MATERIAL&amp;SERVICE BASED'!$B$6,Table1[MONTH],'CHART1- MATERIAL&amp;SERVICE BASED'!$B$9,Table1[MATERIAL &amp; SERVICE],Table12[[#This Row],[MATERIALS / SERVICES]]))</f>
        <v>0</v>
      </c>
      <c r="E210" s="268">
        <f>IF(B210=0,"",SUMIFS(Table1[COST],Table1[SUPPLIER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1" spans="2:5" ht="15" customHeight="1" thickBot="1" x14ac:dyDescent="0.35">
      <c r="B211" s="262" t="str">
        <f>IF('CATEGORY TABLES'!C191=0,"",'CATEGORY TABLES'!C191)</f>
        <v/>
      </c>
      <c r="C211" s="266">
        <f>IF(B211=0,"",SUMIFS(Table1[COST],Table1[MATERIAL &amp; SERVICE],Table12[[#This Row],[MATERIALS / SERVICES]]))</f>
        <v>0</v>
      </c>
      <c r="D211" s="267">
        <f>IF(B211=0,"",SUMIFS(Table1[COST],Table1[YEAR],'CHART1- MATERIAL&amp;SERVICE BASED'!$B$6,Table1[MONTH],'CHART1- MATERIAL&amp;SERVICE BASED'!$B$9,Table1[MATERIAL &amp; SERVICE],Table12[[#This Row],[MATERIALS / SERVICES]]))</f>
        <v>0</v>
      </c>
      <c r="E211" s="268">
        <f>IF(B211=0,"",SUMIFS(Table1[COST],Table1[SUPPLIER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2" spans="2:5" ht="15" customHeight="1" thickBot="1" x14ac:dyDescent="0.35">
      <c r="B212" s="262" t="str">
        <f>IF('CATEGORY TABLES'!C192=0,"",'CATEGORY TABLES'!C192)</f>
        <v/>
      </c>
      <c r="C212" s="266">
        <f>IF(B212=0,"",SUMIFS(Table1[COST],Table1[MATERIAL &amp; SERVICE],Table12[[#This Row],[MATERIALS / SERVICES]]))</f>
        <v>0</v>
      </c>
      <c r="D212" s="267">
        <f>IF(B212=0,"",SUMIFS(Table1[COST],Table1[YEAR],'CHART1- MATERIAL&amp;SERVICE BASED'!$B$6,Table1[MONTH],'CHART1- MATERIAL&amp;SERVICE BASED'!$B$9,Table1[MATERIAL &amp; SERVICE],Table12[[#This Row],[MATERIALS / SERVICES]]))</f>
        <v>0</v>
      </c>
      <c r="E212" s="268">
        <f>IF(B212=0,"",SUMIFS(Table1[COST],Table1[SUPPLIER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3" spans="2:5" ht="15" customHeight="1" thickBot="1" x14ac:dyDescent="0.35">
      <c r="B213" s="262" t="str">
        <f>IF('CATEGORY TABLES'!C193=0,"",'CATEGORY TABLES'!C193)</f>
        <v/>
      </c>
      <c r="C213" s="266">
        <f>IF(B213=0,"",SUMIFS(Table1[COST],Table1[MATERIAL &amp; SERVICE],Table12[[#This Row],[MATERIALS / SERVICES]]))</f>
        <v>0</v>
      </c>
      <c r="D213" s="267">
        <f>IF(B213=0,"",SUMIFS(Table1[COST],Table1[YEAR],'CHART1- MATERIAL&amp;SERVICE BASED'!$B$6,Table1[MONTH],'CHART1- MATERIAL&amp;SERVICE BASED'!$B$9,Table1[MATERIAL &amp; SERVICE],Table12[[#This Row],[MATERIALS / SERVICES]]))</f>
        <v>0</v>
      </c>
      <c r="E213" s="268">
        <f>IF(B213=0,"",SUMIFS(Table1[COST],Table1[SUPPLIER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4" spans="2:5" ht="15" customHeight="1" thickBot="1" x14ac:dyDescent="0.35">
      <c r="B214" s="262" t="str">
        <f>IF('CATEGORY TABLES'!C194=0,"",'CATEGORY TABLES'!C194)</f>
        <v/>
      </c>
      <c r="C214" s="266">
        <f>IF(B214=0,"",SUMIFS(Table1[COST],Table1[MATERIAL &amp; SERVICE],Table12[[#This Row],[MATERIALS / SERVICES]]))</f>
        <v>0</v>
      </c>
      <c r="D214" s="267">
        <f>IF(B214=0,"",SUMIFS(Table1[COST],Table1[YEAR],'CHART1- MATERIAL&amp;SERVICE BASED'!$B$6,Table1[MONTH],'CHART1- MATERIAL&amp;SERVICE BASED'!$B$9,Table1[MATERIAL &amp; SERVICE],Table12[[#This Row],[MATERIALS / SERVICES]]))</f>
        <v>0</v>
      </c>
      <c r="E214" s="268">
        <f>IF(B214=0,"",SUMIFS(Table1[COST],Table1[SUPPLIER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5" spans="2:5" ht="15" customHeight="1" thickBot="1" x14ac:dyDescent="0.35">
      <c r="B215" s="262" t="str">
        <f>IF('CATEGORY TABLES'!C195=0,"",'CATEGORY TABLES'!C195)</f>
        <v/>
      </c>
      <c r="C215" s="266">
        <f>IF(B215=0,"",SUMIFS(Table1[COST],Table1[MATERIAL &amp; SERVICE],Table12[[#This Row],[MATERIALS / SERVICES]]))</f>
        <v>0</v>
      </c>
      <c r="D215" s="267">
        <f>IF(B215=0,"",SUMIFS(Table1[COST],Table1[YEAR],'CHART1- MATERIAL&amp;SERVICE BASED'!$B$6,Table1[MONTH],'CHART1- MATERIAL&amp;SERVICE BASED'!$B$9,Table1[MATERIAL &amp; SERVICE],Table12[[#This Row],[MATERIALS / SERVICES]]))</f>
        <v>0</v>
      </c>
      <c r="E215" s="268">
        <f>IF(B215=0,"",SUMIFS(Table1[COST],Table1[SUPPLIER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6" spans="2:5" ht="15" customHeight="1" thickBot="1" x14ac:dyDescent="0.35">
      <c r="B216" s="262" t="str">
        <f>IF('CATEGORY TABLES'!C196=0,"",'CATEGORY TABLES'!C196)</f>
        <v/>
      </c>
      <c r="C216" s="266">
        <f>IF(B216=0,"",SUMIFS(Table1[COST],Table1[MATERIAL &amp; SERVICE],Table12[[#This Row],[MATERIALS / SERVICES]]))</f>
        <v>0</v>
      </c>
      <c r="D216" s="267">
        <f>IF(B216=0,"",SUMIFS(Table1[COST],Table1[YEAR],'CHART1- MATERIAL&amp;SERVICE BASED'!$B$6,Table1[MONTH],'CHART1- MATERIAL&amp;SERVICE BASED'!$B$9,Table1[MATERIAL &amp; SERVICE],Table12[[#This Row],[MATERIALS / SERVICES]]))</f>
        <v>0</v>
      </c>
      <c r="E216" s="268">
        <f>IF(B216=0,"",SUMIFS(Table1[COST],Table1[SUPPLIER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7" spans="2:5" ht="15" customHeight="1" thickBot="1" x14ac:dyDescent="0.35">
      <c r="B217" s="262" t="str">
        <f>IF('CATEGORY TABLES'!C197=0,"",'CATEGORY TABLES'!C197)</f>
        <v/>
      </c>
      <c r="C217" s="266">
        <f>IF(B217=0,"",SUMIFS(Table1[COST],Table1[MATERIAL &amp; SERVICE],Table12[[#This Row],[MATERIALS / SERVICES]]))</f>
        <v>0</v>
      </c>
      <c r="D217" s="267">
        <f>IF(B217=0,"",SUMIFS(Table1[COST],Table1[YEAR],'CHART1- MATERIAL&amp;SERVICE BASED'!$B$6,Table1[MONTH],'CHART1- MATERIAL&amp;SERVICE BASED'!$B$9,Table1[MATERIAL &amp; SERVICE],Table12[[#This Row],[MATERIALS / SERVICES]]))</f>
        <v>0</v>
      </c>
      <c r="E217" s="268">
        <f>IF(B217=0,"",SUMIFS(Table1[COST],Table1[SUPPLIER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8" spans="2:5" ht="15" customHeight="1" thickBot="1" x14ac:dyDescent="0.35">
      <c r="B218" s="262" t="str">
        <f>IF('CATEGORY TABLES'!C198=0,"",'CATEGORY TABLES'!C198)</f>
        <v/>
      </c>
      <c r="C218" s="266">
        <f>IF(B218=0,"",SUMIFS(Table1[COST],Table1[MATERIAL &amp; SERVICE],Table12[[#This Row],[MATERIALS / SERVICES]]))</f>
        <v>0</v>
      </c>
      <c r="D218" s="267">
        <f>IF(B218=0,"",SUMIFS(Table1[COST],Table1[YEAR],'CHART1- MATERIAL&amp;SERVICE BASED'!$B$6,Table1[MONTH],'CHART1- MATERIAL&amp;SERVICE BASED'!$B$9,Table1[MATERIAL &amp; SERVICE],Table12[[#This Row],[MATERIALS / SERVICES]]))</f>
        <v>0</v>
      </c>
      <c r="E218" s="268">
        <f>IF(B218=0,"",SUMIFS(Table1[COST],Table1[SUPPLIER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19" spans="2:5" ht="15" customHeight="1" thickBot="1" x14ac:dyDescent="0.35">
      <c r="B219" s="262" t="str">
        <f>IF('CATEGORY TABLES'!C199=0,"",'CATEGORY TABLES'!C199)</f>
        <v/>
      </c>
      <c r="C219" s="266">
        <f>IF(B219=0,"",SUMIFS(Table1[COST],Table1[MATERIAL &amp; SERVICE],Table12[[#This Row],[MATERIALS / SERVICES]]))</f>
        <v>0</v>
      </c>
      <c r="D219" s="267">
        <f>IF(B219=0,"",SUMIFS(Table1[COST],Table1[YEAR],'CHART1- MATERIAL&amp;SERVICE BASED'!$B$6,Table1[MONTH],'CHART1- MATERIAL&amp;SERVICE BASED'!$B$9,Table1[MATERIAL &amp; SERVICE],Table12[[#This Row],[MATERIALS / SERVICES]]))</f>
        <v>0</v>
      </c>
      <c r="E219" s="268">
        <f>IF(B219=0,"",SUMIFS(Table1[COST],Table1[SUPPLIER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0" spans="2:5" ht="15" customHeight="1" thickBot="1" x14ac:dyDescent="0.35">
      <c r="B220" s="262" t="str">
        <f>IF('CATEGORY TABLES'!C200=0,"",'CATEGORY TABLES'!C200)</f>
        <v/>
      </c>
      <c r="C220" s="266">
        <f>IF(B220=0,"",SUMIFS(Table1[COST],Table1[MATERIAL &amp; SERVICE],Table12[[#This Row],[MATERIALS / SERVICES]]))</f>
        <v>0</v>
      </c>
      <c r="D220" s="267">
        <f>IF(B220=0,"",SUMIFS(Table1[COST],Table1[YEAR],'CHART1- MATERIAL&amp;SERVICE BASED'!$B$6,Table1[MONTH],'CHART1- MATERIAL&amp;SERVICE BASED'!$B$9,Table1[MATERIAL &amp; SERVICE],Table12[[#This Row],[MATERIALS / SERVICES]]))</f>
        <v>0</v>
      </c>
      <c r="E220" s="268">
        <f>IF(B220=0,"",SUMIFS(Table1[COST],Table1[SUPPLIER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1" spans="2:5" ht="15" customHeight="1" thickBot="1" x14ac:dyDescent="0.35">
      <c r="B221" s="262" t="str">
        <f>IF('CATEGORY TABLES'!C201=0,"",'CATEGORY TABLES'!C201)</f>
        <v/>
      </c>
      <c r="C221" s="266">
        <f>IF(B221=0,"",SUMIFS(Table1[COST],Table1[MATERIAL &amp; SERVICE],Table12[[#This Row],[MATERIALS / SERVICES]]))</f>
        <v>0</v>
      </c>
      <c r="D221" s="267">
        <f>IF(B221=0,"",SUMIFS(Table1[COST],Table1[YEAR],'CHART1- MATERIAL&amp;SERVICE BASED'!$B$6,Table1[MONTH],'CHART1- MATERIAL&amp;SERVICE BASED'!$B$9,Table1[MATERIAL &amp; SERVICE],Table12[[#This Row],[MATERIALS / SERVICES]]))</f>
        <v>0</v>
      </c>
      <c r="E221" s="268">
        <f>IF(B221=0,"",SUMIFS(Table1[COST],Table1[SUPPLIER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2" spans="2:5" ht="15" customHeight="1" thickBot="1" x14ac:dyDescent="0.35">
      <c r="B222" s="262" t="str">
        <f>IF('CATEGORY TABLES'!C202=0,"",'CATEGORY TABLES'!C202)</f>
        <v/>
      </c>
      <c r="C222" s="266">
        <f>IF(B222=0,"",SUMIFS(Table1[COST],Table1[MATERIAL &amp; SERVICE],Table12[[#This Row],[MATERIALS / SERVICES]]))</f>
        <v>0</v>
      </c>
      <c r="D222" s="267">
        <f>IF(B222=0,"",SUMIFS(Table1[COST],Table1[YEAR],'CHART1- MATERIAL&amp;SERVICE BASED'!$B$6,Table1[MONTH],'CHART1- MATERIAL&amp;SERVICE BASED'!$B$9,Table1[MATERIAL &amp; SERVICE],Table12[[#This Row],[MATERIALS / SERVICES]]))</f>
        <v>0</v>
      </c>
      <c r="E222" s="268">
        <f>IF(B222=0,"",SUMIFS(Table1[COST],Table1[SUPPLIER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3" spans="2:5" ht="15" customHeight="1" thickBot="1" x14ac:dyDescent="0.35">
      <c r="B223" s="262" t="str">
        <f>IF('CATEGORY TABLES'!C203=0,"",'CATEGORY TABLES'!C203)</f>
        <v/>
      </c>
      <c r="C223" s="266">
        <f>IF(B223=0,"",SUMIFS(Table1[COST],Table1[MATERIAL &amp; SERVICE],Table12[[#This Row],[MATERIALS / SERVICES]]))</f>
        <v>0</v>
      </c>
      <c r="D223" s="267">
        <f>IF(B223=0,"",SUMIFS(Table1[COST],Table1[YEAR],'CHART1- MATERIAL&amp;SERVICE BASED'!$B$6,Table1[MONTH],'CHART1- MATERIAL&amp;SERVICE BASED'!$B$9,Table1[MATERIAL &amp; SERVICE],Table12[[#This Row],[MATERIALS / SERVICES]]))</f>
        <v>0</v>
      </c>
      <c r="E223" s="268">
        <f>IF(B223=0,"",SUMIFS(Table1[COST],Table1[SUPPLIER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4" spans="2:5" ht="15" customHeight="1" thickBot="1" x14ac:dyDescent="0.35">
      <c r="B224" s="262" t="str">
        <f>IF('CATEGORY TABLES'!C204=0,"",'CATEGORY TABLES'!C204)</f>
        <v/>
      </c>
      <c r="C224" s="266">
        <f>IF(B224=0,"",SUMIFS(Table1[COST],Table1[MATERIAL &amp; SERVICE],Table12[[#This Row],[MATERIALS / SERVICES]]))</f>
        <v>0</v>
      </c>
      <c r="D224" s="267">
        <f>IF(B224=0,"",SUMIFS(Table1[COST],Table1[YEAR],'CHART1- MATERIAL&amp;SERVICE BASED'!$B$6,Table1[MONTH],'CHART1- MATERIAL&amp;SERVICE BASED'!$B$9,Table1[MATERIAL &amp; SERVICE],Table12[[#This Row],[MATERIALS / SERVICES]]))</f>
        <v>0</v>
      </c>
      <c r="E224" s="268">
        <f>IF(B224=0,"",SUMIFS(Table1[COST],Table1[SUPPLIER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5" spans="2:5" ht="15" customHeight="1" thickBot="1" x14ac:dyDescent="0.35">
      <c r="B225" s="262" t="str">
        <f>IF('CATEGORY TABLES'!C205=0,"",'CATEGORY TABLES'!C205)</f>
        <v/>
      </c>
      <c r="C225" s="266">
        <f>IF(B225=0,"",SUMIFS(Table1[COST],Table1[MATERIAL &amp; SERVICE],Table12[[#This Row],[MATERIALS / SERVICES]]))</f>
        <v>0</v>
      </c>
      <c r="D225" s="267">
        <f>IF(B225=0,"",SUMIFS(Table1[COST],Table1[YEAR],'CHART1- MATERIAL&amp;SERVICE BASED'!$B$6,Table1[MONTH],'CHART1- MATERIAL&amp;SERVICE BASED'!$B$9,Table1[MATERIAL &amp; SERVICE],Table12[[#This Row],[MATERIALS / SERVICES]]))</f>
        <v>0</v>
      </c>
      <c r="E225" s="268">
        <f>IF(B225=0,"",SUMIFS(Table1[COST],Table1[SUPPLIER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6" spans="2:5" ht="15" customHeight="1" thickBot="1" x14ac:dyDescent="0.35">
      <c r="B226" s="262" t="str">
        <f>IF('CATEGORY TABLES'!C206=0,"",'CATEGORY TABLES'!C206)</f>
        <v/>
      </c>
      <c r="C226" s="266">
        <f>IF(B226=0,"",SUMIFS(Table1[COST],Table1[MATERIAL &amp; SERVICE],Table12[[#This Row],[MATERIALS / SERVICES]]))</f>
        <v>0</v>
      </c>
      <c r="D226" s="267">
        <f>IF(B226=0,"",SUMIFS(Table1[COST],Table1[YEAR],'CHART1- MATERIAL&amp;SERVICE BASED'!$B$6,Table1[MONTH],'CHART1- MATERIAL&amp;SERVICE BASED'!$B$9,Table1[MATERIAL &amp; SERVICE],Table12[[#This Row],[MATERIALS / SERVICES]]))</f>
        <v>0</v>
      </c>
      <c r="E226" s="268">
        <f>IF(B226=0,"",SUMIFS(Table1[COST],Table1[SUPPLIER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7" spans="2:5" ht="15" customHeight="1" thickBot="1" x14ac:dyDescent="0.35">
      <c r="B227" s="262" t="str">
        <f>IF('CATEGORY TABLES'!C207=0,"",'CATEGORY TABLES'!C207)</f>
        <v/>
      </c>
      <c r="C227" s="266">
        <f>IF(B227=0,"",SUMIFS(Table1[COST],Table1[MATERIAL &amp; SERVICE],Table12[[#This Row],[MATERIALS / SERVICES]]))</f>
        <v>0</v>
      </c>
      <c r="D227" s="267">
        <f>IF(B227=0,"",SUMIFS(Table1[COST],Table1[YEAR],'CHART1- MATERIAL&amp;SERVICE BASED'!$B$6,Table1[MONTH],'CHART1- MATERIAL&amp;SERVICE BASED'!$B$9,Table1[MATERIAL &amp; SERVICE],Table12[[#This Row],[MATERIALS / SERVICES]]))</f>
        <v>0</v>
      </c>
      <c r="E227" s="268">
        <f>IF(B227=0,"",SUMIFS(Table1[COST],Table1[SUPPLIER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8" spans="2:5" ht="15" customHeight="1" thickBot="1" x14ac:dyDescent="0.35">
      <c r="B228" s="262" t="str">
        <f>IF('CATEGORY TABLES'!C208=0,"",'CATEGORY TABLES'!C208)</f>
        <v/>
      </c>
      <c r="C228" s="266">
        <f>IF(B228=0,"",SUMIFS(Table1[COST],Table1[MATERIAL &amp; SERVICE],Table12[[#This Row],[MATERIALS / SERVICES]]))</f>
        <v>0</v>
      </c>
      <c r="D228" s="267">
        <f>IF(B228=0,"",SUMIFS(Table1[COST],Table1[YEAR],'CHART1- MATERIAL&amp;SERVICE BASED'!$B$6,Table1[MONTH],'CHART1- MATERIAL&amp;SERVICE BASED'!$B$9,Table1[MATERIAL &amp; SERVICE],Table12[[#This Row],[MATERIALS / SERVICES]]))</f>
        <v>0</v>
      </c>
      <c r="E228" s="268">
        <f>IF(B228=0,"",SUMIFS(Table1[COST],Table1[SUPPLIER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29" spans="2:5" ht="15" customHeight="1" thickBot="1" x14ac:dyDescent="0.35">
      <c r="B229" s="262" t="str">
        <f>IF('CATEGORY TABLES'!C209=0,"",'CATEGORY TABLES'!C209)</f>
        <v/>
      </c>
      <c r="C229" s="266">
        <f>IF(B229=0,"",SUMIFS(Table1[COST],Table1[MATERIAL &amp; SERVICE],Table12[[#This Row],[MATERIALS / SERVICES]]))</f>
        <v>0</v>
      </c>
      <c r="D229" s="267">
        <f>IF(B229=0,"",SUMIFS(Table1[COST],Table1[YEAR],'CHART1- MATERIAL&amp;SERVICE BASED'!$B$6,Table1[MONTH],'CHART1- MATERIAL&amp;SERVICE BASED'!$B$9,Table1[MATERIAL &amp; SERVICE],Table12[[#This Row],[MATERIALS / SERVICES]]))</f>
        <v>0</v>
      </c>
      <c r="E229" s="268">
        <f>IF(B229=0,"",SUMIFS(Table1[COST],Table1[SUPPLIER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0" spans="2:5" ht="15" customHeight="1" thickBot="1" x14ac:dyDescent="0.35">
      <c r="B230" s="262" t="str">
        <f>IF('CATEGORY TABLES'!C210=0,"",'CATEGORY TABLES'!C210)</f>
        <v/>
      </c>
      <c r="C230" s="266">
        <f>IF(B230=0,"",SUMIFS(Table1[COST],Table1[MATERIAL &amp; SERVICE],Table12[[#This Row],[MATERIALS / SERVICES]]))</f>
        <v>0</v>
      </c>
      <c r="D230" s="267">
        <f>IF(B230=0,"",SUMIFS(Table1[COST],Table1[YEAR],'CHART1- MATERIAL&amp;SERVICE BASED'!$B$6,Table1[MONTH],'CHART1- MATERIAL&amp;SERVICE BASED'!$B$9,Table1[MATERIAL &amp; SERVICE],Table12[[#This Row],[MATERIALS / SERVICES]]))</f>
        <v>0</v>
      </c>
      <c r="E230" s="268">
        <f>IF(B230=0,"",SUMIFS(Table1[COST],Table1[SUPPLIER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1" spans="2:5" ht="15" customHeight="1" thickBot="1" x14ac:dyDescent="0.35">
      <c r="B231" s="262" t="str">
        <f>IF('CATEGORY TABLES'!C211=0,"",'CATEGORY TABLES'!C211)</f>
        <v/>
      </c>
      <c r="C231" s="266">
        <f>IF(B231=0,"",SUMIFS(Table1[COST],Table1[MATERIAL &amp; SERVICE],Table12[[#This Row],[MATERIALS / SERVICES]]))</f>
        <v>0</v>
      </c>
      <c r="D231" s="267">
        <f>IF(B231=0,"",SUMIFS(Table1[COST],Table1[YEAR],'CHART1- MATERIAL&amp;SERVICE BASED'!$B$6,Table1[MONTH],'CHART1- MATERIAL&amp;SERVICE BASED'!$B$9,Table1[MATERIAL &amp; SERVICE],Table12[[#This Row],[MATERIALS / SERVICES]]))</f>
        <v>0</v>
      </c>
      <c r="E231" s="268">
        <f>IF(B231=0,"",SUMIFS(Table1[COST],Table1[SUPPLIER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2" spans="2:5" ht="15" customHeight="1" thickBot="1" x14ac:dyDescent="0.35">
      <c r="B232" s="262" t="str">
        <f>IF('CATEGORY TABLES'!C212=0,"",'CATEGORY TABLES'!C212)</f>
        <v/>
      </c>
      <c r="C232" s="266">
        <f>IF(B232=0,"",SUMIFS(Table1[COST],Table1[MATERIAL &amp; SERVICE],Table12[[#This Row],[MATERIALS / SERVICES]]))</f>
        <v>0</v>
      </c>
      <c r="D232" s="267">
        <f>IF(B232=0,"",SUMIFS(Table1[COST],Table1[YEAR],'CHART1- MATERIAL&amp;SERVICE BASED'!$B$6,Table1[MONTH],'CHART1- MATERIAL&amp;SERVICE BASED'!$B$9,Table1[MATERIAL &amp; SERVICE],Table12[[#This Row],[MATERIALS / SERVICES]]))</f>
        <v>0</v>
      </c>
      <c r="E232" s="268">
        <f>IF(B232=0,"",SUMIFS(Table1[COST],Table1[SUPPLIER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3" spans="2:5" ht="15" customHeight="1" thickBot="1" x14ac:dyDescent="0.35">
      <c r="B233" s="262" t="str">
        <f>IF('CATEGORY TABLES'!C213=0,"",'CATEGORY TABLES'!C213)</f>
        <v/>
      </c>
      <c r="C233" s="266">
        <f>IF(B233=0,"",SUMIFS(Table1[COST],Table1[MATERIAL &amp; SERVICE],Table12[[#This Row],[MATERIALS / SERVICES]]))</f>
        <v>0</v>
      </c>
      <c r="D233" s="267">
        <f>IF(B233=0,"",SUMIFS(Table1[COST],Table1[YEAR],'CHART1- MATERIAL&amp;SERVICE BASED'!$B$6,Table1[MONTH],'CHART1- MATERIAL&amp;SERVICE BASED'!$B$9,Table1[MATERIAL &amp; SERVICE],Table12[[#This Row],[MATERIALS / SERVICES]]))</f>
        <v>0</v>
      </c>
      <c r="E233" s="268">
        <f>IF(B233=0,"",SUMIFS(Table1[COST],Table1[SUPPLIER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4" spans="2:5" ht="15" customHeight="1" thickBot="1" x14ac:dyDescent="0.35">
      <c r="B234" s="262" t="str">
        <f>IF('CATEGORY TABLES'!C214=0,"",'CATEGORY TABLES'!C214)</f>
        <v/>
      </c>
      <c r="C234" s="266">
        <f>IF(B234=0,"",SUMIFS(Table1[COST],Table1[MATERIAL &amp; SERVICE],Table12[[#This Row],[MATERIALS / SERVICES]]))</f>
        <v>0</v>
      </c>
      <c r="D234" s="267">
        <f>IF(B234=0,"",SUMIFS(Table1[COST],Table1[YEAR],'CHART1- MATERIAL&amp;SERVICE BASED'!$B$6,Table1[MONTH],'CHART1- MATERIAL&amp;SERVICE BASED'!$B$9,Table1[MATERIAL &amp; SERVICE],Table12[[#This Row],[MATERIALS / SERVICES]]))</f>
        <v>0</v>
      </c>
      <c r="E234" s="268">
        <f>IF(B234=0,"",SUMIFS(Table1[COST],Table1[SUPPLIER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5" spans="2:5" ht="15" customHeight="1" thickBot="1" x14ac:dyDescent="0.35">
      <c r="B235" s="262" t="str">
        <f>IF('CATEGORY TABLES'!C215=0,"",'CATEGORY TABLES'!C215)</f>
        <v/>
      </c>
      <c r="C235" s="266">
        <f>IF(B235=0,"",SUMIFS(Table1[COST],Table1[MATERIAL &amp; SERVICE],Table12[[#This Row],[MATERIALS / SERVICES]]))</f>
        <v>0</v>
      </c>
      <c r="D235" s="267">
        <f>IF(B235=0,"",SUMIFS(Table1[COST],Table1[YEAR],'CHART1- MATERIAL&amp;SERVICE BASED'!$B$6,Table1[MONTH],'CHART1- MATERIAL&amp;SERVICE BASED'!$B$9,Table1[MATERIAL &amp; SERVICE],Table12[[#This Row],[MATERIALS / SERVICES]]))</f>
        <v>0</v>
      </c>
      <c r="E235" s="268">
        <f>IF(B235=0,"",SUMIFS(Table1[COST],Table1[SUPPLIER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6" spans="2:5" ht="15" customHeight="1" thickBot="1" x14ac:dyDescent="0.35">
      <c r="B236" s="262" t="str">
        <f>IF('CATEGORY TABLES'!C216=0,"",'CATEGORY TABLES'!C216)</f>
        <v/>
      </c>
      <c r="C236" s="266">
        <f>IF(B236=0,"",SUMIFS(Table1[COST],Table1[MATERIAL &amp; SERVICE],Table12[[#This Row],[MATERIALS / SERVICES]]))</f>
        <v>0</v>
      </c>
      <c r="D236" s="267">
        <f>IF(B236=0,"",SUMIFS(Table1[COST],Table1[YEAR],'CHART1- MATERIAL&amp;SERVICE BASED'!$B$6,Table1[MONTH],'CHART1- MATERIAL&amp;SERVICE BASED'!$B$9,Table1[MATERIAL &amp; SERVICE],Table12[[#This Row],[MATERIALS / SERVICES]]))</f>
        <v>0</v>
      </c>
      <c r="E236" s="268">
        <f>IF(B236=0,"",SUMIFS(Table1[COST],Table1[SUPPLIER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7" spans="2:5" ht="15" customHeight="1" thickBot="1" x14ac:dyDescent="0.35">
      <c r="B237" s="262" t="str">
        <f>IF('CATEGORY TABLES'!C217=0,"",'CATEGORY TABLES'!C217)</f>
        <v/>
      </c>
      <c r="C237" s="266">
        <f>IF(B237=0,"",SUMIFS(Table1[COST],Table1[MATERIAL &amp; SERVICE],Table12[[#This Row],[MATERIALS / SERVICES]]))</f>
        <v>0</v>
      </c>
      <c r="D237" s="267">
        <f>IF(B237=0,"",SUMIFS(Table1[COST],Table1[YEAR],'CHART1- MATERIAL&amp;SERVICE BASED'!$B$6,Table1[MONTH],'CHART1- MATERIAL&amp;SERVICE BASED'!$B$9,Table1[MATERIAL &amp; SERVICE],Table12[[#This Row],[MATERIALS / SERVICES]]))</f>
        <v>0</v>
      </c>
      <c r="E237" s="268">
        <f>IF(B237=0,"",SUMIFS(Table1[COST],Table1[SUPPLIER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8" spans="2:5" ht="15" customHeight="1" thickBot="1" x14ac:dyDescent="0.35">
      <c r="B238" s="262" t="str">
        <f>IF('CATEGORY TABLES'!C218=0,"",'CATEGORY TABLES'!C218)</f>
        <v/>
      </c>
      <c r="C238" s="266">
        <f>IF(B238=0,"",SUMIFS(Table1[COST],Table1[MATERIAL &amp; SERVICE],Table12[[#This Row],[MATERIALS / SERVICES]]))</f>
        <v>0</v>
      </c>
      <c r="D238" s="267">
        <f>IF(B238=0,"",SUMIFS(Table1[COST],Table1[YEAR],'CHART1- MATERIAL&amp;SERVICE BASED'!$B$6,Table1[MONTH],'CHART1- MATERIAL&amp;SERVICE BASED'!$B$9,Table1[MATERIAL &amp; SERVICE],Table12[[#This Row],[MATERIALS / SERVICES]]))</f>
        <v>0</v>
      </c>
      <c r="E238" s="268">
        <f>IF(B238=0,"",SUMIFS(Table1[COST],Table1[SUPPLIER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39" spans="2:5" ht="15" customHeight="1" thickBot="1" x14ac:dyDescent="0.35">
      <c r="B239" s="262" t="str">
        <f>IF('CATEGORY TABLES'!C219=0,"",'CATEGORY TABLES'!C219)</f>
        <v/>
      </c>
      <c r="C239" s="266">
        <f>IF(B239=0,"",SUMIFS(Table1[COST],Table1[MATERIAL &amp; SERVICE],Table12[[#This Row],[MATERIALS / SERVICES]]))</f>
        <v>0</v>
      </c>
      <c r="D239" s="267">
        <f>IF(B239=0,"",SUMIFS(Table1[COST],Table1[YEAR],'CHART1- MATERIAL&amp;SERVICE BASED'!$B$6,Table1[MONTH],'CHART1- MATERIAL&amp;SERVICE BASED'!$B$9,Table1[MATERIAL &amp; SERVICE],Table12[[#This Row],[MATERIALS / SERVICES]]))</f>
        <v>0</v>
      </c>
      <c r="E239" s="268">
        <f>IF(B239=0,"",SUMIFS(Table1[COST],Table1[SUPPLIER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0" spans="2:5" ht="15" customHeight="1" thickBot="1" x14ac:dyDescent="0.35">
      <c r="B240" s="262" t="str">
        <f>IF('CATEGORY TABLES'!C220=0,"",'CATEGORY TABLES'!C220)</f>
        <v/>
      </c>
      <c r="C240" s="266">
        <f>IF(B240=0,"",SUMIFS(Table1[COST],Table1[MATERIAL &amp; SERVICE],Table12[[#This Row],[MATERIALS / SERVICES]]))</f>
        <v>0</v>
      </c>
      <c r="D240" s="267">
        <f>IF(B240=0,"",SUMIFS(Table1[COST],Table1[YEAR],'CHART1- MATERIAL&amp;SERVICE BASED'!$B$6,Table1[MONTH],'CHART1- MATERIAL&amp;SERVICE BASED'!$B$9,Table1[MATERIAL &amp; SERVICE],Table12[[#This Row],[MATERIALS / SERVICES]]))</f>
        <v>0</v>
      </c>
      <c r="E240" s="268">
        <f>IF(B240=0,"",SUMIFS(Table1[COST],Table1[SUPPLIER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1" spans="2:5" ht="15" customHeight="1" thickBot="1" x14ac:dyDescent="0.35">
      <c r="B241" s="262" t="str">
        <f>IF('CATEGORY TABLES'!C221=0,"",'CATEGORY TABLES'!C221)</f>
        <v/>
      </c>
      <c r="C241" s="266">
        <f>IF(B241=0,"",SUMIFS(Table1[COST],Table1[MATERIAL &amp; SERVICE],Table12[[#This Row],[MATERIALS / SERVICES]]))</f>
        <v>0</v>
      </c>
      <c r="D241" s="267">
        <f>IF(B241=0,"",SUMIFS(Table1[COST],Table1[YEAR],'CHART1- MATERIAL&amp;SERVICE BASED'!$B$6,Table1[MONTH],'CHART1- MATERIAL&amp;SERVICE BASED'!$B$9,Table1[MATERIAL &amp; SERVICE],Table12[[#This Row],[MATERIALS / SERVICES]]))</f>
        <v>0</v>
      </c>
      <c r="E241" s="268">
        <f>IF(B241=0,"",SUMIFS(Table1[COST],Table1[SUPPLIER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2" spans="2:5" ht="15" customHeight="1" thickBot="1" x14ac:dyDescent="0.35">
      <c r="B242" s="262" t="str">
        <f>IF('CATEGORY TABLES'!C222=0,"",'CATEGORY TABLES'!C222)</f>
        <v/>
      </c>
      <c r="C242" s="266">
        <f>IF(B242=0,"",SUMIFS(Table1[COST],Table1[MATERIAL &amp; SERVICE],Table12[[#This Row],[MATERIALS / SERVICES]]))</f>
        <v>0</v>
      </c>
      <c r="D242" s="267">
        <f>IF(B242=0,"",SUMIFS(Table1[COST],Table1[YEAR],'CHART1- MATERIAL&amp;SERVICE BASED'!$B$6,Table1[MONTH],'CHART1- MATERIAL&amp;SERVICE BASED'!$B$9,Table1[MATERIAL &amp; SERVICE],Table12[[#This Row],[MATERIALS / SERVICES]]))</f>
        <v>0</v>
      </c>
      <c r="E242" s="268">
        <f>IF(B242=0,"",SUMIFS(Table1[COST],Table1[SUPPLIER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3" spans="2:5" ht="15" customHeight="1" thickBot="1" x14ac:dyDescent="0.35">
      <c r="B243" s="262" t="str">
        <f>IF('CATEGORY TABLES'!C223=0,"",'CATEGORY TABLES'!C223)</f>
        <v/>
      </c>
      <c r="C243" s="266">
        <f>IF(B243=0,"",SUMIFS(Table1[COST],Table1[MATERIAL &amp; SERVICE],Table12[[#This Row],[MATERIALS / SERVICES]]))</f>
        <v>0</v>
      </c>
      <c r="D243" s="267">
        <f>IF(B243=0,"",SUMIFS(Table1[COST],Table1[YEAR],'CHART1- MATERIAL&amp;SERVICE BASED'!$B$6,Table1[MONTH],'CHART1- MATERIAL&amp;SERVICE BASED'!$B$9,Table1[MATERIAL &amp; SERVICE],Table12[[#This Row],[MATERIALS / SERVICES]]))</f>
        <v>0</v>
      </c>
      <c r="E243" s="268">
        <f>IF(B243=0,"",SUMIFS(Table1[COST],Table1[SUPPLIER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4" spans="2:5" ht="15" customHeight="1" thickBot="1" x14ac:dyDescent="0.35">
      <c r="B244" s="262" t="str">
        <f>IF('CATEGORY TABLES'!C224=0,"",'CATEGORY TABLES'!C224)</f>
        <v/>
      </c>
      <c r="C244" s="266">
        <f>IF(B244=0,"",SUMIFS(Table1[COST],Table1[MATERIAL &amp; SERVICE],Table12[[#This Row],[MATERIALS / SERVICES]]))</f>
        <v>0</v>
      </c>
      <c r="D244" s="267">
        <f>IF(B244=0,"",SUMIFS(Table1[COST],Table1[YEAR],'CHART1- MATERIAL&amp;SERVICE BASED'!$B$6,Table1[MONTH],'CHART1- MATERIAL&amp;SERVICE BASED'!$B$9,Table1[MATERIAL &amp; SERVICE],Table12[[#This Row],[MATERIALS / SERVICES]]))</f>
        <v>0</v>
      </c>
      <c r="E244" s="268">
        <f>IF(B244=0,"",SUMIFS(Table1[COST],Table1[SUPPLIER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5" spans="2:5" ht="15" customHeight="1" thickBot="1" x14ac:dyDescent="0.35">
      <c r="B245" s="262" t="str">
        <f>IF('CATEGORY TABLES'!C225=0,"",'CATEGORY TABLES'!C225)</f>
        <v/>
      </c>
      <c r="C245" s="266">
        <f>IF(B245=0,"",SUMIFS(Table1[COST],Table1[MATERIAL &amp; SERVICE],Table12[[#This Row],[MATERIALS / SERVICES]]))</f>
        <v>0</v>
      </c>
      <c r="D245" s="267">
        <f>IF(B245=0,"",SUMIFS(Table1[COST],Table1[YEAR],'CHART1- MATERIAL&amp;SERVICE BASED'!$B$6,Table1[MONTH],'CHART1- MATERIAL&amp;SERVICE BASED'!$B$9,Table1[MATERIAL &amp; SERVICE],Table12[[#This Row],[MATERIALS / SERVICES]]))</f>
        <v>0</v>
      </c>
      <c r="E245" s="268">
        <f>IF(B245=0,"",SUMIFS(Table1[COST],Table1[SUPPLIER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6" spans="2:5" ht="15" customHeight="1" thickBot="1" x14ac:dyDescent="0.35">
      <c r="B246" s="262" t="str">
        <f>IF('CATEGORY TABLES'!C226=0,"",'CATEGORY TABLES'!C226)</f>
        <v/>
      </c>
      <c r="C246" s="266">
        <f>IF(B246=0,"",SUMIFS(Table1[COST],Table1[MATERIAL &amp; SERVICE],Table12[[#This Row],[MATERIALS / SERVICES]]))</f>
        <v>0</v>
      </c>
      <c r="D246" s="267">
        <f>IF(B246=0,"",SUMIFS(Table1[COST],Table1[YEAR],'CHART1- MATERIAL&amp;SERVICE BASED'!$B$6,Table1[MONTH],'CHART1- MATERIAL&amp;SERVICE BASED'!$B$9,Table1[MATERIAL &amp; SERVICE],Table12[[#This Row],[MATERIALS / SERVICES]]))</f>
        <v>0</v>
      </c>
      <c r="E246" s="268">
        <f>IF(B246=0,"",SUMIFS(Table1[COST],Table1[SUPPLIER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7" spans="2:5" ht="15" customHeight="1" thickBot="1" x14ac:dyDescent="0.35">
      <c r="B247" s="262" t="str">
        <f>IF('CATEGORY TABLES'!C227=0,"",'CATEGORY TABLES'!C227)</f>
        <v/>
      </c>
      <c r="C247" s="266">
        <f>IF(B247=0,"",SUMIFS(Table1[COST],Table1[MATERIAL &amp; SERVICE],Table12[[#This Row],[MATERIALS / SERVICES]]))</f>
        <v>0</v>
      </c>
      <c r="D247" s="267">
        <f>IF(B247=0,"",SUMIFS(Table1[COST],Table1[YEAR],'CHART1- MATERIAL&amp;SERVICE BASED'!$B$6,Table1[MONTH],'CHART1- MATERIAL&amp;SERVICE BASED'!$B$9,Table1[MATERIAL &amp; SERVICE],Table12[[#This Row],[MATERIALS / SERVICES]]))</f>
        <v>0</v>
      </c>
      <c r="E247" s="268">
        <f>IF(B247=0,"",SUMIFS(Table1[COST],Table1[SUPPLIER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8" spans="2:5" ht="15" customHeight="1" thickBot="1" x14ac:dyDescent="0.35">
      <c r="B248" s="262" t="str">
        <f>IF('CATEGORY TABLES'!C228=0,"",'CATEGORY TABLES'!C228)</f>
        <v/>
      </c>
      <c r="C248" s="266">
        <f>IF(B248=0,"",SUMIFS(Table1[COST],Table1[MATERIAL &amp; SERVICE],Table12[[#This Row],[MATERIALS / SERVICES]]))</f>
        <v>0</v>
      </c>
      <c r="D248" s="267">
        <f>IF(B248=0,"",SUMIFS(Table1[COST],Table1[YEAR],'CHART1- MATERIAL&amp;SERVICE BASED'!$B$6,Table1[MONTH],'CHART1- MATERIAL&amp;SERVICE BASED'!$B$9,Table1[MATERIAL &amp; SERVICE],Table12[[#This Row],[MATERIALS / SERVICES]]))</f>
        <v>0</v>
      </c>
      <c r="E248" s="268">
        <f>IF(B248=0,"",SUMIFS(Table1[COST],Table1[SUPPLIER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49" spans="2:5" ht="15" customHeight="1" thickBot="1" x14ac:dyDescent="0.35">
      <c r="B249" s="262" t="str">
        <f>IF('CATEGORY TABLES'!C229=0,"",'CATEGORY TABLES'!C229)</f>
        <v/>
      </c>
      <c r="C249" s="266">
        <f>IF(B249=0,"",SUMIFS(Table1[COST],Table1[MATERIAL &amp; SERVICE],Table12[[#This Row],[MATERIALS / SERVICES]]))</f>
        <v>0</v>
      </c>
      <c r="D249" s="267">
        <f>IF(B249=0,"",SUMIFS(Table1[COST],Table1[YEAR],'CHART1- MATERIAL&amp;SERVICE BASED'!$B$6,Table1[MONTH],'CHART1- MATERIAL&amp;SERVICE BASED'!$B$9,Table1[MATERIAL &amp; SERVICE],Table12[[#This Row],[MATERIALS / SERVICES]]))</f>
        <v>0</v>
      </c>
      <c r="E249" s="268">
        <f>IF(B249=0,"",SUMIFS(Table1[COST],Table1[SUPPLIER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0" spans="2:5" ht="15" customHeight="1" thickBot="1" x14ac:dyDescent="0.35">
      <c r="B250" s="262" t="str">
        <f>IF('CATEGORY TABLES'!C230=0,"",'CATEGORY TABLES'!C230)</f>
        <v/>
      </c>
      <c r="C250" s="266">
        <f>IF(B250=0,"",SUMIFS(Table1[COST],Table1[MATERIAL &amp; SERVICE],Table12[[#This Row],[MATERIALS / SERVICES]]))</f>
        <v>0</v>
      </c>
      <c r="D250" s="267">
        <f>IF(B250=0,"",SUMIFS(Table1[COST],Table1[YEAR],'CHART1- MATERIAL&amp;SERVICE BASED'!$B$6,Table1[MONTH],'CHART1- MATERIAL&amp;SERVICE BASED'!$B$9,Table1[MATERIAL &amp; SERVICE],Table12[[#This Row],[MATERIALS / SERVICES]]))</f>
        <v>0</v>
      </c>
      <c r="E250" s="268">
        <f>IF(B250=0,"",SUMIFS(Table1[COST],Table1[SUPPLIER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1" spans="2:5" ht="15" customHeight="1" thickBot="1" x14ac:dyDescent="0.35">
      <c r="B251" s="262" t="str">
        <f>IF('CATEGORY TABLES'!C231=0,"",'CATEGORY TABLES'!C231)</f>
        <v/>
      </c>
      <c r="C251" s="266">
        <f>IF(B251=0,"",SUMIFS(Table1[COST],Table1[MATERIAL &amp; SERVICE],Table12[[#This Row],[MATERIALS / SERVICES]]))</f>
        <v>0</v>
      </c>
      <c r="D251" s="267">
        <f>IF(B251=0,"",SUMIFS(Table1[COST],Table1[YEAR],'CHART1- MATERIAL&amp;SERVICE BASED'!$B$6,Table1[MONTH],'CHART1- MATERIAL&amp;SERVICE BASED'!$B$9,Table1[MATERIAL &amp; SERVICE],Table12[[#This Row],[MATERIALS / SERVICES]]))</f>
        <v>0</v>
      </c>
      <c r="E251" s="268">
        <f>IF(B251=0,"",SUMIFS(Table1[COST],Table1[SUPPLIER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2" spans="2:5" ht="15" customHeight="1" thickBot="1" x14ac:dyDescent="0.35">
      <c r="B252" s="262" t="str">
        <f>IF('CATEGORY TABLES'!C232=0,"",'CATEGORY TABLES'!C232)</f>
        <v/>
      </c>
      <c r="C252" s="266">
        <f>IF(B252=0,"",SUMIFS(Table1[COST],Table1[MATERIAL &amp; SERVICE],Table12[[#This Row],[MATERIALS / SERVICES]]))</f>
        <v>0</v>
      </c>
      <c r="D252" s="267">
        <f>IF(B252=0,"",SUMIFS(Table1[COST],Table1[YEAR],'CHART1- MATERIAL&amp;SERVICE BASED'!$B$6,Table1[MONTH],'CHART1- MATERIAL&amp;SERVICE BASED'!$B$9,Table1[MATERIAL &amp; SERVICE],Table12[[#This Row],[MATERIALS / SERVICES]]))</f>
        <v>0</v>
      </c>
      <c r="E252" s="268">
        <f>IF(B252=0,"",SUMIFS(Table1[COST],Table1[SUPPLIER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3" spans="2:5" ht="15" customHeight="1" thickBot="1" x14ac:dyDescent="0.35">
      <c r="B253" s="262" t="str">
        <f>IF('CATEGORY TABLES'!C233=0,"",'CATEGORY TABLES'!C233)</f>
        <v/>
      </c>
      <c r="C253" s="266">
        <f>IF(B253=0,"",SUMIFS(Table1[COST],Table1[MATERIAL &amp; SERVICE],Table12[[#This Row],[MATERIALS / SERVICES]]))</f>
        <v>0</v>
      </c>
      <c r="D253" s="267">
        <f>IF(B253=0,"",SUMIFS(Table1[COST],Table1[YEAR],'CHART1- MATERIAL&amp;SERVICE BASED'!$B$6,Table1[MONTH],'CHART1- MATERIAL&amp;SERVICE BASED'!$B$9,Table1[MATERIAL &amp; SERVICE],Table12[[#This Row],[MATERIALS / SERVICES]]))</f>
        <v>0</v>
      </c>
      <c r="E253" s="268">
        <f>IF(B253=0,"",SUMIFS(Table1[COST],Table1[SUPPLIER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4" spans="2:5" ht="15" customHeight="1" thickBot="1" x14ac:dyDescent="0.35">
      <c r="B254" s="262" t="str">
        <f>IF('CATEGORY TABLES'!C234=0,"",'CATEGORY TABLES'!C234)</f>
        <v/>
      </c>
      <c r="C254" s="266">
        <f>IF(B254=0,"",SUMIFS(Table1[COST],Table1[MATERIAL &amp; SERVICE],Table12[[#This Row],[MATERIALS / SERVICES]]))</f>
        <v>0</v>
      </c>
      <c r="D254" s="267">
        <f>IF(B254=0,"",SUMIFS(Table1[COST],Table1[YEAR],'CHART1- MATERIAL&amp;SERVICE BASED'!$B$6,Table1[MONTH],'CHART1- MATERIAL&amp;SERVICE BASED'!$B$9,Table1[MATERIAL &amp; SERVICE],Table12[[#This Row],[MATERIALS / SERVICES]]))</f>
        <v>0</v>
      </c>
      <c r="E254" s="268">
        <f>IF(B254=0,"",SUMIFS(Table1[COST],Table1[SUPPLIER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5" spans="2:5" ht="15" customHeight="1" thickBot="1" x14ac:dyDescent="0.35">
      <c r="B255" s="262" t="str">
        <f>IF('CATEGORY TABLES'!C235=0,"",'CATEGORY TABLES'!C235)</f>
        <v/>
      </c>
      <c r="C255" s="266">
        <f>IF(B255=0,"",SUMIFS(Table1[COST],Table1[MATERIAL &amp; SERVICE],Table12[[#This Row],[MATERIALS / SERVICES]]))</f>
        <v>0</v>
      </c>
      <c r="D255" s="267">
        <f>IF(B255=0,"",SUMIFS(Table1[COST],Table1[YEAR],'CHART1- MATERIAL&amp;SERVICE BASED'!$B$6,Table1[MONTH],'CHART1- MATERIAL&amp;SERVICE BASED'!$B$9,Table1[MATERIAL &amp; SERVICE],Table12[[#This Row],[MATERIALS / SERVICES]]))</f>
        <v>0</v>
      </c>
      <c r="E255" s="268">
        <f>IF(B255=0,"",SUMIFS(Table1[COST],Table1[SUPPLIER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6" spans="2:5" ht="15" customHeight="1" thickBot="1" x14ac:dyDescent="0.35">
      <c r="B256" s="262" t="str">
        <f>IF('CATEGORY TABLES'!C236=0,"",'CATEGORY TABLES'!C236)</f>
        <v/>
      </c>
      <c r="C256" s="266">
        <f>IF(B256=0,"",SUMIFS(Table1[COST],Table1[MATERIAL &amp; SERVICE],Table12[[#This Row],[MATERIALS / SERVICES]]))</f>
        <v>0</v>
      </c>
      <c r="D256" s="267">
        <f>IF(B256=0,"",SUMIFS(Table1[COST],Table1[YEAR],'CHART1- MATERIAL&amp;SERVICE BASED'!$B$6,Table1[MONTH],'CHART1- MATERIAL&amp;SERVICE BASED'!$B$9,Table1[MATERIAL &amp; SERVICE],Table12[[#This Row],[MATERIALS / SERVICES]]))</f>
        <v>0</v>
      </c>
      <c r="E256" s="268">
        <f>IF(B256=0,"",SUMIFS(Table1[COST],Table1[SUPPLIER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7" spans="2:5" ht="15" customHeight="1" thickBot="1" x14ac:dyDescent="0.35">
      <c r="B257" s="262" t="str">
        <f>IF('CATEGORY TABLES'!C237=0,"",'CATEGORY TABLES'!C237)</f>
        <v/>
      </c>
      <c r="C257" s="266">
        <f>IF(B257=0,"",SUMIFS(Table1[COST],Table1[MATERIAL &amp; SERVICE],Table12[[#This Row],[MATERIALS / SERVICES]]))</f>
        <v>0</v>
      </c>
      <c r="D257" s="267">
        <f>IF(B257=0,"",SUMIFS(Table1[COST],Table1[YEAR],'CHART1- MATERIAL&amp;SERVICE BASED'!$B$6,Table1[MONTH],'CHART1- MATERIAL&amp;SERVICE BASED'!$B$9,Table1[MATERIAL &amp; SERVICE],Table12[[#This Row],[MATERIALS / SERVICES]]))</f>
        <v>0</v>
      </c>
      <c r="E257" s="268">
        <f>IF(B257=0,"",SUMIFS(Table1[COST],Table1[SUPPLIER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8" spans="2:5" ht="15" customHeight="1" thickBot="1" x14ac:dyDescent="0.35">
      <c r="B258" s="262" t="str">
        <f>IF('CATEGORY TABLES'!C238=0,"",'CATEGORY TABLES'!C238)</f>
        <v/>
      </c>
      <c r="C258" s="266">
        <f>IF(B258=0,"",SUMIFS(Table1[COST],Table1[MATERIAL &amp; SERVICE],Table12[[#This Row],[MATERIALS / SERVICES]]))</f>
        <v>0</v>
      </c>
      <c r="D258" s="267">
        <f>IF(B258=0,"",SUMIFS(Table1[COST],Table1[YEAR],'CHART1- MATERIAL&amp;SERVICE BASED'!$B$6,Table1[MONTH],'CHART1- MATERIAL&amp;SERVICE BASED'!$B$9,Table1[MATERIAL &amp; SERVICE],Table12[[#This Row],[MATERIALS / SERVICES]]))</f>
        <v>0</v>
      </c>
      <c r="E258" s="268">
        <f>IF(B258=0,"",SUMIFS(Table1[COST],Table1[SUPPLIER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59" spans="2:5" ht="15" customHeight="1" thickBot="1" x14ac:dyDescent="0.35">
      <c r="B259" s="262" t="str">
        <f>IF('CATEGORY TABLES'!C239=0,"",'CATEGORY TABLES'!C239)</f>
        <v/>
      </c>
      <c r="C259" s="266">
        <f>IF(B259=0,"",SUMIFS(Table1[COST],Table1[MATERIAL &amp; SERVICE],Table12[[#This Row],[MATERIALS / SERVICES]]))</f>
        <v>0</v>
      </c>
      <c r="D259" s="267">
        <f>IF(B259=0,"",SUMIFS(Table1[COST],Table1[YEAR],'CHART1- MATERIAL&amp;SERVICE BASED'!$B$6,Table1[MONTH],'CHART1- MATERIAL&amp;SERVICE BASED'!$B$9,Table1[MATERIAL &amp; SERVICE],Table12[[#This Row],[MATERIALS / SERVICES]]))</f>
        <v>0</v>
      </c>
      <c r="E259" s="268">
        <f>IF(B259=0,"",SUMIFS(Table1[COST],Table1[SUPPLIER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0" spans="2:5" ht="15" customHeight="1" thickBot="1" x14ac:dyDescent="0.35">
      <c r="B260" s="262" t="str">
        <f>IF('CATEGORY TABLES'!C240=0,"",'CATEGORY TABLES'!C240)</f>
        <v/>
      </c>
      <c r="C260" s="266">
        <f>IF(B260=0,"",SUMIFS(Table1[COST],Table1[MATERIAL &amp; SERVICE],Table12[[#This Row],[MATERIALS / SERVICES]]))</f>
        <v>0</v>
      </c>
      <c r="D260" s="267">
        <f>IF(B260=0,"",SUMIFS(Table1[COST],Table1[YEAR],'CHART1- MATERIAL&amp;SERVICE BASED'!$B$6,Table1[MONTH],'CHART1- MATERIAL&amp;SERVICE BASED'!$B$9,Table1[MATERIAL &amp; SERVICE],Table12[[#This Row],[MATERIALS / SERVICES]]))</f>
        <v>0</v>
      </c>
      <c r="E260" s="268">
        <f>IF(B260=0,"",SUMIFS(Table1[COST],Table1[SUPPLIER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1" spans="2:5" ht="15" customHeight="1" thickBot="1" x14ac:dyDescent="0.35">
      <c r="B261" s="262" t="str">
        <f>IF('CATEGORY TABLES'!C241=0,"",'CATEGORY TABLES'!C241)</f>
        <v/>
      </c>
      <c r="C261" s="266">
        <f>IF(B261=0,"",SUMIFS(Table1[COST],Table1[MATERIAL &amp; SERVICE],Table12[[#This Row],[MATERIALS / SERVICES]]))</f>
        <v>0</v>
      </c>
      <c r="D261" s="267">
        <f>IF(B261=0,"",SUMIFS(Table1[COST],Table1[YEAR],'CHART1- MATERIAL&amp;SERVICE BASED'!$B$6,Table1[MONTH],'CHART1- MATERIAL&amp;SERVICE BASED'!$B$9,Table1[MATERIAL &amp; SERVICE],Table12[[#This Row],[MATERIALS / SERVICES]]))</f>
        <v>0</v>
      </c>
      <c r="E261" s="268">
        <f>IF(B261=0,"",SUMIFS(Table1[COST],Table1[SUPPLIER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2" spans="2:5" ht="15" customHeight="1" thickBot="1" x14ac:dyDescent="0.35">
      <c r="B262" s="262" t="str">
        <f>IF('CATEGORY TABLES'!C242=0,"",'CATEGORY TABLES'!C242)</f>
        <v/>
      </c>
      <c r="C262" s="266">
        <f>IF(B262=0,"",SUMIFS(Table1[COST],Table1[MATERIAL &amp; SERVICE],Table12[[#This Row],[MATERIALS / SERVICES]]))</f>
        <v>0</v>
      </c>
      <c r="D262" s="267">
        <f>IF(B262=0,"",SUMIFS(Table1[COST],Table1[YEAR],'CHART1- MATERIAL&amp;SERVICE BASED'!$B$6,Table1[MONTH],'CHART1- MATERIAL&amp;SERVICE BASED'!$B$9,Table1[MATERIAL &amp; SERVICE],Table12[[#This Row],[MATERIALS / SERVICES]]))</f>
        <v>0</v>
      </c>
      <c r="E262" s="268">
        <f>IF(B262=0,"",SUMIFS(Table1[COST],Table1[SUPPLIER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3" spans="2:5" ht="15" customHeight="1" thickBot="1" x14ac:dyDescent="0.35">
      <c r="B263" s="262" t="str">
        <f>IF('CATEGORY TABLES'!C243=0,"",'CATEGORY TABLES'!C243)</f>
        <v/>
      </c>
      <c r="C263" s="266">
        <f>IF(B263=0,"",SUMIFS(Table1[COST],Table1[MATERIAL &amp; SERVICE],Table12[[#This Row],[MATERIALS / SERVICES]]))</f>
        <v>0</v>
      </c>
      <c r="D263" s="267">
        <f>IF(B263=0,"",SUMIFS(Table1[COST],Table1[YEAR],'CHART1- MATERIAL&amp;SERVICE BASED'!$B$6,Table1[MONTH],'CHART1- MATERIAL&amp;SERVICE BASED'!$B$9,Table1[MATERIAL &amp; SERVICE],Table12[[#This Row],[MATERIALS / SERVICES]]))</f>
        <v>0</v>
      </c>
      <c r="E263" s="268">
        <f>IF(B263=0,"",SUMIFS(Table1[COST],Table1[SUPPLIER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4" spans="2:5" ht="15" customHeight="1" thickBot="1" x14ac:dyDescent="0.35">
      <c r="B264" s="262" t="str">
        <f>IF('CATEGORY TABLES'!C244=0,"",'CATEGORY TABLES'!C244)</f>
        <v/>
      </c>
      <c r="C264" s="266">
        <f>IF(B264=0,"",SUMIFS(Table1[COST],Table1[MATERIAL &amp; SERVICE],Table12[[#This Row],[MATERIALS / SERVICES]]))</f>
        <v>0</v>
      </c>
      <c r="D264" s="267">
        <f>IF(B264=0,"",SUMIFS(Table1[COST],Table1[YEAR],'CHART1- MATERIAL&amp;SERVICE BASED'!$B$6,Table1[MONTH],'CHART1- MATERIAL&amp;SERVICE BASED'!$B$9,Table1[MATERIAL &amp; SERVICE],Table12[[#This Row],[MATERIALS / SERVICES]]))</f>
        <v>0</v>
      </c>
      <c r="E264" s="268">
        <f>IF(B264=0,"",SUMIFS(Table1[COST],Table1[SUPPLIER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5" spans="2:5" ht="15" customHeight="1" thickBot="1" x14ac:dyDescent="0.35">
      <c r="B265" s="262" t="str">
        <f>IF('CATEGORY TABLES'!C245=0,"",'CATEGORY TABLES'!C245)</f>
        <v/>
      </c>
      <c r="C265" s="266">
        <f>IF(B265=0,"",SUMIFS(Table1[COST],Table1[MATERIAL &amp; SERVICE],Table12[[#This Row],[MATERIALS / SERVICES]]))</f>
        <v>0</v>
      </c>
      <c r="D265" s="267">
        <f>IF(B265=0,"",SUMIFS(Table1[COST],Table1[YEAR],'CHART1- MATERIAL&amp;SERVICE BASED'!$B$6,Table1[MONTH],'CHART1- MATERIAL&amp;SERVICE BASED'!$B$9,Table1[MATERIAL &amp; SERVICE],Table12[[#This Row],[MATERIALS / SERVICES]]))</f>
        <v>0</v>
      </c>
      <c r="E265" s="268">
        <f>IF(B265=0,"",SUMIFS(Table1[COST],Table1[SUPPLIER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6" spans="2:5" ht="15" customHeight="1" thickBot="1" x14ac:dyDescent="0.35">
      <c r="B266" s="262" t="str">
        <f>IF('CATEGORY TABLES'!C246=0,"",'CATEGORY TABLES'!C246)</f>
        <v/>
      </c>
      <c r="C266" s="266">
        <f>IF(B266=0,"",SUMIFS(Table1[COST],Table1[MATERIAL &amp; SERVICE],Table12[[#This Row],[MATERIALS / SERVICES]]))</f>
        <v>0</v>
      </c>
      <c r="D266" s="267">
        <f>IF(B266=0,"",SUMIFS(Table1[COST],Table1[YEAR],'CHART1- MATERIAL&amp;SERVICE BASED'!$B$6,Table1[MONTH],'CHART1- MATERIAL&amp;SERVICE BASED'!$B$9,Table1[MATERIAL &amp; SERVICE],Table12[[#This Row],[MATERIALS / SERVICES]]))</f>
        <v>0</v>
      </c>
      <c r="E266" s="268">
        <f>IF(B266=0,"",SUMIFS(Table1[COST],Table1[SUPPLIER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7" spans="2:5" ht="15" customHeight="1" thickBot="1" x14ac:dyDescent="0.35">
      <c r="B267" s="262" t="str">
        <f>IF('CATEGORY TABLES'!C247=0,"",'CATEGORY TABLES'!C247)</f>
        <v/>
      </c>
      <c r="C267" s="266">
        <f>IF(B267=0,"",SUMIFS(Table1[COST],Table1[MATERIAL &amp; SERVICE],Table12[[#This Row],[MATERIALS / SERVICES]]))</f>
        <v>0</v>
      </c>
      <c r="D267" s="267">
        <f>IF(B267=0,"",SUMIFS(Table1[COST],Table1[YEAR],'CHART1- MATERIAL&amp;SERVICE BASED'!$B$6,Table1[MONTH],'CHART1- MATERIAL&amp;SERVICE BASED'!$B$9,Table1[MATERIAL &amp; SERVICE],Table12[[#This Row],[MATERIALS / SERVICES]]))</f>
        <v>0</v>
      </c>
      <c r="E267" s="268">
        <f>IF(B267=0,"",SUMIFS(Table1[COST],Table1[SUPPLIER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8" spans="2:5" ht="15" customHeight="1" thickBot="1" x14ac:dyDescent="0.35">
      <c r="B268" s="262" t="str">
        <f>IF('CATEGORY TABLES'!C248=0,"",'CATEGORY TABLES'!C248)</f>
        <v/>
      </c>
      <c r="C268" s="266">
        <f>IF(B268=0,"",SUMIFS(Table1[COST],Table1[MATERIAL &amp; SERVICE],Table12[[#This Row],[MATERIALS / SERVICES]]))</f>
        <v>0</v>
      </c>
      <c r="D268" s="267">
        <f>IF(B268=0,"",SUMIFS(Table1[COST],Table1[YEAR],'CHART1- MATERIAL&amp;SERVICE BASED'!$B$6,Table1[MONTH],'CHART1- MATERIAL&amp;SERVICE BASED'!$B$9,Table1[MATERIAL &amp; SERVICE],Table12[[#This Row],[MATERIALS / SERVICES]]))</f>
        <v>0</v>
      </c>
      <c r="E268" s="268">
        <f>IF(B268=0,"",SUMIFS(Table1[COST],Table1[SUPPLIER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69" spans="2:5" ht="15" customHeight="1" thickBot="1" x14ac:dyDescent="0.35">
      <c r="B269" s="262" t="str">
        <f>IF('CATEGORY TABLES'!C249=0,"",'CATEGORY TABLES'!C249)</f>
        <v/>
      </c>
      <c r="C269" s="266">
        <f>IF(B269=0,"",SUMIFS(Table1[COST],Table1[MATERIAL &amp; SERVICE],Table12[[#This Row],[MATERIALS / SERVICES]]))</f>
        <v>0</v>
      </c>
      <c r="D269" s="267">
        <f>IF(B269=0,"",SUMIFS(Table1[COST],Table1[YEAR],'CHART1- MATERIAL&amp;SERVICE BASED'!$B$6,Table1[MONTH],'CHART1- MATERIAL&amp;SERVICE BASED'!$B$9,Table1[MATERIAL &amp; SERVICE],Table12[[#This Row],[MATERIALS / SERVICES]]))</f>
        <v>0</v>
      </c>
      <c r="E269" s="268">
        <f>IF(B269=0,"",SUMIFS(Table1[COST],Table1[SUPPLIER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0" spans="2:5" ht="15" customHeight="1" thickBot="1" x14ac:dyDescent="0.35">
      <c r="B270" s="262" t="str">
        <f>IF('CATEGORY TABLES'!C250=0,"",'CATEGORY TABLES'!C250)</f>
        <v/>
      </c>
      <c r="C270" s="266">
        <f>IF(B270=0,"",SUMIFS(Table1[COST],Table1[MATERIAL &amp; SERVICE],Table12[[#This Row],[MATERIALS / SERVICES]]))</f>
        <v>0</v>
      </c>
      <c r="D270" s="267">
        <f>IF(B270=0,"",SUMIFS(Table1[COST],Table1[YEAR],'CHART1- MATERIAL&amp;SERVICE BASED'!$B$6,Table1[MONTH],'CHART1- MATERIAL&amp;SERVICE BASED'!$B$9,Table1[MATERIAL &amp; SERVICE],Table12[[#This Row],[MATERIALS / SERVICES]]))</f>
        <v>0</v>
      </c>
      <c r="E270" s="268">
        <f>IF(B270=0,"",SUMIFS(Table1[COST],Table1[SUPPLIER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1" spans="2:5" ht="15" customHeight="1" thickBot="1" x14ac:dyDescent="0.35">
      <c r="B271" s="262" t="str">
        <f>IF('CATEGORY TABLES'!C251=0,"",'CATEGORY TABLES'!C251)</f>
        <v/>
      </c>
      <c r="C271" s="266">
        <f>IF(B271=0,"",SUMIFS(Table1[COST],Table1[MATERIAL &amp; SERVICE],Table12[[#This Row],[MATERIALS / SERVICES]]))</f>
        <v>0</v>
      </c>
      <c r="D271" s="267">
        <f>IF(B271=0,"",SUMIFS(Table1[COST],Table1[YEAR],'CHART1- MATERIAL&amp;SERVICE BASED'!$B$6,Table1[MONTH],'CHART1- MATERIAL&amp;SERVICE BASED'!$B$9,Table1[MATERIAL &amp; SERVICE],Table12[[#This Row],[MATERIALS / SERVICES]]))</f>
        <v>0</v>
      </c>
      <c r="E271" s="268">
        <f>IF(B271=0,"",SUMIFS(Table1[COST],Table1[SUPPLIER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2" spans="2:5" ht="15" customHeight="1" thickBot="1" x14ac:dyDescent="0.35">
      <c r="B272" s="262" t="str">
        <f>IF('CATEGORY TABLES'!C252=0,"",'CATEGORY TABLES'!C252)</f>
        <v/>
      </c>
      <c r="C272" s="266">
        <f>IF(B272=0,"",SUMIFS(Table1[COST],Table1[MATERIAL &amp; SERVICE],Table12[[#This Row],[MATERIALS / SERVICES]]))</f>
        <v>0</v>
      </c>
      <c r="D272" s="267">
        <f>IF(B272=0,"",SUMIFS(Table1[COST],Table1[YEAR],'CHART1- MATERIAL&amp;SERVICE BASED'!$B$6,Table1[MONTH],'CHART1- MATERIAL&amp;SERVICE BASED'!$B$9,Table1[MATERIAL &amp; SERVICE],Table12[[#This Row],[MATERIALS / SERVICES]]))</f>
        <v>0</v>
      </c>
      <c r="E272" s="268">
        <f>IF(B272=0,"",SUMIFS(Table1[COST],Table1[SUPPLIER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3" spans="2:5" ht="15" customHeight="1" thickBot="1" x14ac:dyDescent="0.35">
      <c r="B273" s="262" t="str">
        <f>IF('CATEGORY TABLES'!C253=0,"",'CATEGORY TABLES'!C253)</f>
        <v/>
      </c>
      <c r="C273" s="266">
        <f>IF(B273=0,"",SUMIFS(Table1[COST],Table1[MATERIAL &amp; SERVICE],Table12[[#This Row],[MATERIALS / SERVICES]]))</f>
        <v>0</v>
      </c>
      <c r="D273" s="267">
        <f>IF(B273=0,"",SUMIFS(Table1[COST],Table1[YEAR],'CHART1- MATERIAL&amp;SERVICE BASED'!$B$6,Table1[MONTH],'CHART1- MATERIAL&amp;SERVICE BASED'!$B$9,Table1[MATERIAL &amp; SERVICE],Table12[[#This Row],[MATERIALS / SERVICES]]))</f>
        <v>0</v>
      </c>
      <c r="E273" s="268">
        <f>IF(B273=0,"",SUMIFS(Table1[COST],Table1[SUPPLIER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4" spans="2:5" ht="15" customHeight="1" thickBot="1" x14ac:dyDescent="0.35">
      <c r="B274" s="262" t="str">
        <f>IF('CATEGORY TABLES'!C254=0,"",'CATEGORY TABLES'!C254)</f>
        <v/>
      </c>
      <c r="C274" s="266">
        <f>IF(B274=0,"",SUMIFS(Table1[COST],Table1[MATERIAL &amp; SERVICE],Table12[[#This Row],[MATERIALS / SERVICES]]))</f>
        <v>0</v>
      </c>
      <c r="D274" s="267">
        <f>IF(B274=0,"",SUMIFS(Table1[COST],Table1[YEAR],'CHART1- MATERIAL&amp;SERVICE BASED'!$B$6,Table1[MONTH],'CHART1- MATERIAL&amp;SERVICE BASED'!$B$9,Table1[MATERIAL &amp; SERVICE],Table12[[#This Row],[MATERIALS / SERVICES]]))</f>
        <v>0</v>
      </c>
      <c r="E274" s="268">
        <f>IF(B274=0,"",SUMIFS(Table1[COST],Table1[SUPPLIER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5" spans="2:5" ht="15" customHeight="1" thickBot="1" x14ac:dyDescent="0.35">
      <c r="B275" s="262" t="str">
        <f>IF('CATEGORY TABLES'!C255=0,"",'CATEGORY TABLES'!C255)</f>
        <v/>
      </c>
      <c r="C275" s="266">
        <f>IF(B275=0,"",SUMIFS(Table1[COST],Table1[MATERIAL &amp; SERVICE],Table12[[#This Row],[MATERIALS / SERVICES]]))</f>
        <v>0</v>
      </c>
      <c r="D275" s="267">
        <f>IF(B275=0,"",SUMIFS(Table1[COST],Table1[YEAR],'CHART1- MATERIAL&amp;SERVICE BASED'!$B$6,Table1[MONTH],'CHART1- MATERIAL&amp;SERVICE BASED'!$B$9,Table1[MATERIAL &amp; SERVICE],Table12[[#This Row],[MATERIALS / SERVICES]]))</f>
        <v>0</v>
      </c>
      <c r="E275" s="268">
        <f>IF(B275=0,"",SUMIFS(Table1[COST],Table1[SUPPLIER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6" spans="2:5" ht="15" customHeight="1" thickBot="1" x14ac:dyDescent="0.35">
      <c r="B276" s="262" t="str">
        <f>IF('CATEGORY TABLES'!C256=0,"",'CATEGORY TABLES'!C256)</f>
        <v/>
      </c>
      <c r="C276" s="266">
        <f>IF(B276=0,"",SUMIFS(Table1[COST],Table1[MATERIAL &amp; SERVICE],Table12[[#This Row],[MATERIALS / SERVICES]]))</f>
        <v>0</v>
      </c>
      <c r="D276" s="267">
        <f>IF(B276=0,"",SUMIFS(Table1[COST],Table1[YEAR],'CHART1- MATERIAL&amp;SERVICE BASED'!$B$6,Table1[MONTH],'CHART1- MATERIAL&amp;SERVICE BASED'!$B$9,Table1[MATERIAL &amp; SERVICE],Table12[[#This Row],[MATERIALS / SERVICES]]))</f>
        <v>0</v>
      </c>
      <c r="E276" s="268">
        <f>IF(B276=0,"",SUMIFS(Table1[COST],Table1[SUPPLIER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7" spans="2:5" ht="15" customHeight="1" thickBot="1" x14ac:dyDescent="0.35">
      <c r="B277" s="262" t="str">
        <f>IF('CATEGORY TABLES'!C257=0,"",'CATEGORY TABLES'!C257)</f>
        <v/>
      </c>
      <c r="C277" s="266">
        <f>IF(B277=0,"",SUMIFS(Table1[COST],Table1[MATERIAL &amp; SERVICE],Table12[[#This Row],[MATERIALS / SERVICES]]))</f>
        <v>0</v>
      </c>
      <c r="D277" s="267">
        <f>IF(B277=0,"",SUMIFS(Table1[COST],Table1[YEAR],'CHART1- MATERIAL&amp;SERVICE BASED'!$B$6,Table1[MONTH],'CHART1- MATERIAL&amp;SERVICE BASED'!$B$9,Table1[MATERIAL &amp; SERVICE],Table12[[#This Row],[MATERIALS / SERVICES]]))</f>
        <v>0</v>
      </c>
      <c r="E277" s="268">
        <f>IF(B277=0,"",SUMIFS(Table1[COST],Table1[SUPPLIER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8" spans="2:5" ht="15" customHeight="1" thickBot="1" x14ac:dyDescent="0.35">
      <c r="B278" s="262" t="str">
        <f>IF('CATEGORY TABLES'!C258=0,"",'CATEGORY TABLES'!C258)</f>
        <v/>
      </c>
      <c r="C278" s="266">
        <f>IF(B278=0,"",SUMIFS(Table1[COST],Table1[MATERIAL &amp; SERVICE],Table12[[#This Row],[MATERIALS / SERVICES]]))</f>
        <v>0</v>
      </c>
      <c r="D278" s="267">
        <f>IF(B278=0,"",SUMIFS(Table1[COST],Table1[YEAR],'CHART1- MATERIAL&amp;SERVICE BASED'!$B$6,Table1[MONTH],'CHART1- MATERIAL&amp;SERVICE BASED'!$B$9,Table1[MATERIAL &amp; SERVICE],Table12[[#This Row],[MATERIALS / SERVICES]]))</f>
        <v>0</v>
      </c>
      <c r="E278" s="268">
        <f>IF(B278=0,"",SUMIFS(Table1[COST],Table1[SUPPLIER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79" spans="2:5" ht="15" customHeight="1" thickBot="1" x14ac:dyDescent="0.35">
      <c r="B279" s="262" t="str">
        <f>IF('CATEGORY TABLES'!C259=0,"",'CATEGORY TABLES'!C259)</f>
        <v/>
      </c>
      <c r="C279" s="266">
        <f>IF(B279=0,"",SUMIFS(Table1[COST],Table1[MATERIAL &amp; SERVICE],Table12[[#This Row],[MATERIALS / SERVICES]]))</f>
        <v>0</v>
      </c>
      <c r="D279" s="267">
        <f>IF(B279=0,"",SUMIFS(Table1[COST],Table1[YEAR],'CHART1- MATERIAL&amp;SERVICE BASED'!$B$6,Table1[MONTH],'CHART1- MATERIAL&amp;SERVICE BASED'!$B$9,Table1[MATERIAL &amp; SERVICE],Table12[[#This Row],[MATERIALS / SERVICES]]))</f>
        <v>0</v>
      </c>
      <c r="E279" s="268">
        <f>IF(B279=0,"",SUMIFS(Table1[COST],Table1[SUPPLIER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0" spans="2:5" ht="15" customHeight="1" thickBot="1" x14ac:dyDescent="0.35">
      <c r="B280" s="262" t="str">
        <f>IF('CATEGORY TABLES'!C260=0,"",'CATEGORY TABLES'!C260)</f>
        <v/>
      </c>
      <c r="C280" s="266">
        <f>IF(B280=0,"",SUMIFS(Table1[COST],Table1[MATERIAL &amp; SERVICE],Table12[[#This Row],[MATERIALS / SERVICES]]))</f>
        <v>0</v>
      </c>
      <c r="D280" s="267">
        <f>IF(B280=0,"",SUMIFS(Table1[COST],Table1[YEAR],'CHART1- MATERIAL&amp;SERVICE BASED'!$B$6,Table1[MONTH],'CHART1- MATERIAL&amp;SERVICE BASED'!$B$9,Table1[MATERIAL &amp; SERVICE],Table12[[#This Row],[MATERIALS / SERVICES]]))</f>
        <v>0</v>
      </c>
      <c r="E280" s="268">
        <f>IF(B280=0,"",SUMIFS(Table1[COST],Table1[SUPPLIER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1" spans="2:5" ht="15" customHeight="1" thickBot="1" x14ac:dyDescent="0.35">
      <c r="B281" s="262" t="str">
        <f>IF('CATEGORY TABLES'!C261=0,"",'CATEGORY TABLES'!C261)</f>
        <v/>
      </c>
      <c r="C281" s="266">
        <f>IF(B281=0,"",SUMIFS(Table1[COST],Table1[MATERIAL &amp; SERVICE],Table12[[#This Row],[MATERIALS / SERVICES]]))</f>
        <v>0</v>
      </c>
      <c r="D281" s="267">
        <f>IF(B281=0,"",SUMIFS(Table1[COST],Table1[YEAR],'CHART1- MATERIAL&amp;SERVICE BASED'!$B$6,Table1[MONTH],'CHART1- MATERIAL&amp;SERVICE BASED'!$B$9,Table1[MATERIAL &amp; SERVICE],Table12[[#This Row],[MATERIALS / SERVICES]]))</f>
        <v>0</v>
      </c>
      <c r="E281" s="268">
        <f>IF(B281=0,"",SUMIFS(Table1[COST],Table1[SUPPLIER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2" spans="2:5" ht="15" customHeight="1" thickBot="1" x14ac:dyDescent="0.35">
      <c r="B282" s="262" t="str">
        <f>IF('CATEGORY TABLES'!C262=0,"",'CATEGORY TABLES'!C262)</f>
        <v/>
      </c>
      <c r="C282" s="266">
        <f>IF(B282=0,"",SUMIFS(Table1[COST],Table1[MATERIAL &amp; SERVICE],Table12[[#This Row],[MATERIALS / SERVICES]]))</f>
        <v>0</v>
      </c>
      <c r="D282" s="267">
        <f>IF(B282=0,"",SUMIFS(Table1[COST],Table1[YEAR],'CHART1- MATERIAL&amp;SERVICE BASED'!$B$6,Table1[MONTH],'CHART1- MATERIAL&amp;SERVICE BASED'!$B$9,Table1[MATERIAL &amp; SERVICE],Table12[[#This Row],[MATERIALS / SERVICES]]))</f>
        <v>0</v>
      </c>
      <c r="E282" s="268">
        <f>IF(B282=0,"",SUMIFS(Table1[COST],Table1[SUPPLIER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3" spans="2:5" ht="15" customHeight="1" thickBot="1" x14ac:dyDescent="0.35">
      <c r="B283" s="262" t="str">
        <f>IF('CATEGORY TABLES'!C263=0,"",'CATEGORY TABLES'!C263)</f>
        <v/>
      </c>
      <c r="C283" s="266">
        <f>IF(B283=0,"",SUMIFS(Table1[COST],Table1[MATERIAL &amp; SERVICE],Table12[[#This Row],[MATERIALS / SERVICES]]))</f>
        <v>0</v>
      </c>
      <c r="D283" s="267">
        <f>IF(B283=0,"",SUMIFS(Table1[COST],Table1[YEAR],'CHART1- MATERIAL&amp;SERVICE BASED'!$B$6,Table1[MONTH],'CHART1- MATERIAL&amp;SERVICE BASED'!$B$9,Table1[MATERIAL &amp; SERVICE],Table12[[#This Row],[MATERIALS / SERVICES]]))</f>
        <v>0</v>
      </c>
      <c r="E283" s="268">
        <f>IF(B283=0,"",SUMIFS(Table1[COST],Table1[SUPPLIER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4" spans="2:5" ht="15" customHeight="1" thickBot="1" x14ac:dyDescent="0.35">
      <c r="B284" s="262" t="str">
        <f>IF('CATEGORY TABLES'!C264=0,"",'CATEGORY TABLES'!C264)</f>
        <v/>
      </c>
      <c r="C284" s="266">
        <f>IF(B284=0,"",SUMIFS(Table1[COST],Table1[MATERIAL &amp; SERVICE],Table12[[#This Row],[MATERIALS / SERVICES]]))</f>
        <v>0</v>
      </c>
      <c r="D284" s="267">
        <f>IF(B284=0,"",SUMIFS(Table1[COST],Table1[YEAR],'CHART1- MATERIAL&amp;SERVICE BASED'!$B$6,Table1[MONTH],'CHART1- MATERIAL&amp;SERVICE BASED'!$B$9,Table1[MATERIAL &amp; SERVICE],Table12[[#This Row],[MATERIALS / SERVICES]]))</f>
        <v>0</v>
      </c>
      <c r="E284" s="268">
        <f>IF(B284=0,"",SUMIFS(Table1[COST],Table1[SUPPLIER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5" spans="2:5" ht="15" customHeight="1" thickBot="1" x14ac:dyDescent="0.35">
      <c r="B285" s="262" t="str">
        <f>IF('CATEGORY TABLES'!C265=0,"",'CATEGORY TABLES'!C265)</f>
        <v/>
      </c>
      <c r="C285" s="266">
        <f>IF(B285=0,"",SUMIFS(Table1[COST],Table1[MATERIAL &amp; SERVICE],Table12[[#This Row],[MATERIALS / SERVICES]]))</f>
        <v>0</v>
      </c>
      <c r="D285" s="267">
        <f>IF(B285=0,"",SUMIFS(Table1[COST],Table1[YEAR],'CHART1- MATERIAL&amp;SERVICE BASED'!$B$6,Table1[MONTH],'CHART1- MATERIAL&amp;SERVICE BASED'!$B$9,Table1[MATERIAL &amp; SERVICE],Table12[[#This Row],[MATERIALS / SERVICES]]))</f>
        <v>0</v>
      </c>
      <c r="E285" s="268">
        <f>IF(B285=0,"",SUMIFS(Table1[COST],Table1[SUPPLIER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6" spans="2:5" ht="15" customHeight="1" thickBot="1" x14ac:dyDescent="0.35">
      <c r="B286" s="262" t="str">
        <f>IF('CATEGORY TABLES'!C266=0,"",'CATEGORY TABLES'!C266)</f>
        <v/>
      </c>
      <c r="C286" s="266">
        <f>IF(B286=0,"",SUMIFS(Table1[COST],Table1[MATERIAL &amp; SERVICE],Table12[[#This Row],[MATERIALS / SERVICES]]))</f>
        <v>0</v>
      </c>
      <c r="D286" s="267">
        <f>IF(B286=0,"",SUMIFS(Table1[COST],Table1[YEAR],'CHART1- MATERIAL&amp;SERVICE BASED'!$B$6,Table1[MONTH],'CHART1- MATERIAL&amp;SERVICE BASED'!$B$9,Table1[MATERIAL &amp; SERVICE],Table12[[#This Row],[MATERIALS / SERVICES]]))</f>
        <v>0</v>
      </c>
      <c r="E286" s="268">
        <f>IF(B286=0,"",SUMIFS(Table1[COST],Table1[SUPPLIER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7" spans="2:5" ht="15" customHeight="1" thickBot="1" x14ac:dyDescent="0.35">
      <c r="B287" s="262" t="str">
        <f>IF('CATEGORY TABLES'!C267=0,"",'CATEGORY TABLES'!C267)</f>
        <v/>
      </c>
      <c r="C287" s="266">
        <f>IF(B287=0,"",SUMIFS(Table1[COST],Table1[MATERIAL &amp; SERVICE],Table12[[#This Row],[MATERIALS / SERVICES]]))</f>
        <v>0</v>
      </c>
      <c r="D287" s="267">
        <f>IF(B287=0,"",SUMIFS(Table1[COST],Table1[YEAR],'CHART1- MATERIAL&amp;SERVICE BASED'!$B$6,Table1[MONTH],'CHART1- MATERIAL&amp;SERVICE BASED'!$B$9,Table1[MATERIAL &amp; SERVICE],Table12[[#This Row],[MATERIALS / SERVICES]]))</f>
        <v>0</v>
      </c>
      <c r="E287" s="268">
        <f>IF(B287=0,"",SUMIFS(Table1[COST],Table1[SUPPLIER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8" spans="2:5" ht="15" customHeight="1" thickBot="1" x14ac:dyDescent="0.35">
      <c r="B288" s="262" t="str">
        <f>IF('CATEGORY TABLES'!C268=0,"",'CATEGORY TABLES'!C268)</f>
        <v/>
      </c>
      <c r="C288" s="266">
        <f>IF(B288=0,"",SUMIFS(Table1[COST],Table1[MATERIAL &amp; SERVICE],Table12[[#This Row],[MATERIALS / SERVICES]]))</f>
        <v>0</v>
      </c>
      <c r="D288" s="267">
        <f>IF(B288=0,"",SUMIFS(Table1[COST],Table1[YEAR],'CHART1- MATERIAL&amp;SERVICE BASED'!$B$6,Table1[MONTH],'CHART1- MATERIAL&amp;SERVICE BASED'!$B$9,Table1[MATERIAL &amp; SERVICE],Table12[[#This Row],[MATERIALS / SERVICES]]))</f>
        <v>0</v>
      </c>
      <c r="E288" s="268">
        <f>IF(B288=0,"",SUMIFS(Table1[COST],Table1[SUPPLIER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89" spans="2:5" ht="15" customHeight="1" thickBot="1" x14ac:dyDescent="0.35">
      <c r="B289" s="262" t="str">
        <f>IF('CATEGORY TABLES'!C269=0,"",'CATEGORY TABLES'!C269)</f>
        <v/>
      </c>
      <c r="C289" s="266">
        <f>IF(B289=0,"",SUMIFS(Table1[COST],Table1[MATERIAL &amp; SERVICE],Table12[[#This Row],[MATERIALS / SERVICES]]))</f>
        <v>0</v>
      </c>
      <c r="D289" s="267">
        <f>IF(B289=0,"",SUMIFS(Table1[COST],Table1[YEAR],'CHART1- MATERIAL&amp;SERVICE BASED'!$B$6,Table1[MONTH],'CHART1- MATERIAL&amp;SERVICE BASED'!$B$9,Table1[MATERIAL &amp; SERVICE],Table12[[#This Row],[MATERIALS / SERVICES]]))</f>
        <v>0</v>
      </c>
      <c r="E289" s="268">
        <f>IF(B289=0,"",SUMIFS(Table1[COST],Table1[SUPPLIER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0" spans="2:5" ht="15" customHeight="1" thickBot="1" x14ac:dyDescent="0.35">
      <c r="B290" s="262" t="str">
        <f>IF('CATEGORY TABLES'!C270=0,"",'CATEGORY TABLES'!C270)</f>
        <v/>
      </c>
      <c r="C290" s="266">
        <f>IF(B290=0,"",SUMIFS(Table1[COST],Table1[MATERIAL &amp; SERVICE],Table12[[#This Row],[MATERIALS / SERVICES]]))</f>
        <v>0</v>
      </c>
      <c r="D290" s="267">
        <f>IF(B290=0,"",SUMIFS(Table1[COST],Table1[YEAR],'CHART1- MATERIAL&amp;SERVICE BASED'!$B$6,Table1[MONTH],'CHART1- MATERIAL&amp;SERVICE BASED'!$B$9,Table1[MATERIAL &amp; SERVICE],Table12[[#This Row],[MATERIALS / SERVICES]]))</f>
        <v>0</v>
      </c>
      <c r="E290" s="268">
        <f>IF(B290=0,"",SUMIFS(Table1[COST],Table1[SUPPLIER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1" spans="2:5" ht="15" customHeight="1" thickBot="1" x14ac:dyDescent="0.35">
      <c r="B291" s="262" t="str">
        <f>IF('CATEGORY TABLES'!C271=0,"",'CATEGORY TABLES'!C271)</f>
        <v/>
      </c>
      <c r="C291" s="266">
        <f>IF(B291=0,"",SUMIFS(Table1[COST],Table1[MATERIAL &amp; SERVICE],Table12[[#This Row],[MATERIALS / SERVICES]]))</f>
        <v>0</v>
      </c>
      <c r="D291" s="267">
        <f>IF(B291=0,"",SUMIFS(Table1[COST],Table1[YEAR],'CHART1- MATERIAL&amp;SERVICE BASED'!$B$6,Table1[MONTH],'CHART1- MATERIAL&amp;SERVICE BASED'!$B$9,Table1[MATERIAL &amp; SERVICE],Table12[[#This Row],[MATERIALS / SERVICES]]))</f>
        <v>0</v>
      </c>
      <c r="E291" s="268">
        <f>IF(B291=0,"",SUMIFS(Table1[COST],Table1[SUPPLIER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2" spans="2:5" ht="15" customHeight="1" thickBot="1" x14ac:dyDescent="0.35">
      <c r="B292" s="262" t="str">
        <f>IF('CATEGORY TABLES'!C272=0,"",'CATEGORY TABLES'!C272)</f>
        <v/>
      </c>
      <c r="C292" s="266">
        <f>IF(B292=0,"",SUMIFS(Table1[COST],Table1[MATERIAL &amp; SERVICE],Table12[[#This Row],[MATERIALS / SERVICES]]))</f>
        <v>0</v>
      </c>
      <c r="D292" s="267">
        <f>IF(B292=0,"",SUMIFS(Table1[COST],Table1[YEAR],'CHART1- MATERIAL&amp;SERVICE BASED'!$B$6,Table1[MONTH],'CHART1- MATERIAL&amp;SERVICE BASED'!$B$9,Table1[MATERIAL &amp; SERVICE],Table12[[#This Row],[MATERIALS / SERVICES]]))</f>
        <v>0</v>
      </c>
      <c r="E292" s="268">
        <f>IF(B292=0,"",SUMIFS(Table1[COST],Table1[SUPPLIER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3" spans="2:5" ht="15" customHeight="1" thickBot="1" x14ac:dyDescent="0.35">
      <c r="B293" s="262" t="str">
        <f>IF('CATEGORY TABLES'!C273=0,"",'CATEGORY TABLES'!C273)</f>
        <v/>
      </c>
      <c r="C293" s="266">
        <f>IF(B293=0,"",SUMIFS(Table1[COST],Table1[MATERIAL &amp; SERVICE],Table12[[#This Row],[MATERIALS / SERVICES]]))</f>
        <v>0</v>
      </c>
      <c r="D293" s="267">
        <f>IF(B293=0,"",SUMIFS(Table1[COST],Table1[YEAR],'CHART1- MATERIAL&amp;SERVICE BASED'!$B$6,Table1[MONTH],'CHART1- MATERIAL&amp;SERVICE BASED'!$B$9,Table1[MATERIAL &amp; SERVICE],Table12[[#This Row],[MATERIALS / SERVICES]]))</f>
        <v>0</v>
      </c>
      <c r="E293" s="268">
        <f>IF(B293=0,"",SUMIFS(Table1[COST],Table1[SUPPLIER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4" spans="2:5" ht="15" customHeight="1" thickBot="1" x14ac:dyDescent="0.35">
      <c r="B294" s="262" t="str">
        <f>IF('CATEGORY TABLES'!C274=0,"",'CATEGORY TABLES'!C274)</f>
        <v/>
      </c>
      <c r="C294" s="266">
        <f>IF(B294=0,"",SUMIFS(Table1[COST],Table1[MATERIAL &amp; SERVICE],Table12[[#This Row],[MATERIALS / SERVICES]]))</f>
        <v>0</v>
      </c>
      <c r="D294" s="267">
        <f>IF(B294=0,"",SUMIFS(Table1[COST],Table1[YEAR],'CHART1- MATERIAL&amp;SERVICE BASED'!$B$6,Table1[MONTH],'CHART1- MATERIAL&amp;SERVICE BASED'!$B$9,Table1[MATERIAL &amp; SERVICE],Table12[[#This Row],[MATERIALS / SERVICES]]))</f>
        <v>0</v>
      </c>
      <c r="E294" s="268">
        <f>IF(B294=0,"",SUMIFS(Table1[COST],Table1[SUPPLIER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5" spans="2:5" ht="15" customHeight="1" thickBot="1" x14ac:dyDescent="0.35">
      <c r="B295" s="262" t="str">
        <f>IF('CATEGORY TABLES'!C275=0,"",'CATEGORY TABLES'!C275)</f>
        <v/>
      </c>
      <c r="C295" s="266">
        <f>IF(B295=0,"",SUMIFS(Table1[COST],Table1[MATERIAL &amp; SERVICE],Table12[[#This Row],[MATERIALS / SERVICES]]))</f>
        <v>0</v>
      </c>
      <c r="D295" s="267">
        <f>IF(B295=0,"",SUMIFS(Table1[COST],Table1[YEAR],'CHART1- MATERIAL&amp;SERVICE BASED'!$B$6,Table1[MONTH],'CHART1- MATERIAL&amp;SERVICE BASED'!$B$9,Table1[MATERIAL &amp; SERVICE],Table12[[#This Row],[MATERIALS / SERVICES]]))</f>
        <v>0</v>
      </c>
      <c r="E295" s="268">
        <f>IF(B295=0,"",SUMIFS(Table1[COST],Table1[SUPPLIER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6" spans="2:5" ht="15" customHeight="1" thickBot="1" x14ac:dyDescent="0.35">
      <c r="B296" s="262" t="str">
        <f>IF('CATEGORY TABLES'!C276=0,"",'CATEGORY TABLES'!C276)</f>
        <v/>
      </c>
      <c r="C296" s="266">
        <f>IF(B296=0,"",SUMIFS(Table1[COST],Table1[MATERIAL &amp; SERVICE],Table12[[#This Row],[MATERIALS / SERVICES]]))</f>
        <v>0</v>
      </c>
      <c r="D296" s="267">
        <f>IF(B296=0,"",SUMIFS(Table1[COST],Table1[YEAR],'CHART1- MATERIAL&amp;SERVICE BASED'!$B$6,Table1[MONTH],'CHART1- MATERIAL&amp;SERVICE BASED'!$B$9,Table1[MATERIAL &amp; SERVICE],Table12[[#This Row],[MATERIALS / SERVICES]]))</f>
        <v>0</v>
      </c>
      <c r="E296" s="268">
        <f>IF(B296=0,"",SUMIFS(Table1[COST],Table1[SUPPLIER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7" spans="2:5" ht="15" customHeight="1" thickBot="1" x14ac:dyDescent="0.35">
      <c r="B297" s="262" t="str">
        <f>IF('CATEGORY TABLES'!C277=0,"",'CATEGORY TABLES'!C277)</f>
        <v/>
      </c>
      <c r="C297" s="266">
        <f>IF(B297=0,"",SUMIFS(Table1[COST],Table1[MATERIAL &amp; SERVICE],Table12[[#This Row],[MATERIALS / SERVICES]]))</f>
        <v>0</v>
      </c>
      <c r="D297" s="267">
        <f>IF(B297=0,"",SUMIFS(Table1[COST],Table1[YEAR],'CHART1- MATERIAL&amp;SERVICE BASED'!$B$6,Table1[MONTH],'CHART1- MATERIAL&amp;SERVICE BASED'!$B$9,Table1[MATERIAL &amp; SERVICE],Table12[[#This Row],[MATERIALS / SERVICES]]))</f>
        <v>0</v>
      </c>
      <c r="E297" s="268">
        <f>IF(B297=0,"",SUMIFS(Table1[COST],Table1[SUPPLIER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8" spans="2:5" ht="15" customHeight="1" thickBot="1" x14ac:dyDescent="0.35">
      <c r="B298" s="262" t="str">
        <f>IF('CATEGORY TABLES'!C278=0,"",'CATEGORY TABLES'!C278)</f>
        <v/>
      </c>
      <c r="C298" s="266">
        <f>IF(B298=0,"",SUMIFS(Table1[COST],Table1[MATERIAL &amp; SERVICE],Table12[[#This Row],[MATERIALS / SERVICES]]))</f>
        <v>0</v>
      </c>
      <c r="D298" s="267">
        <f>IF(B298=0,"",SUMIFS(Table1[COST],Table1[YEAR],'CHART1- MATERIAL&amp;SERVICE BASED'!$B$6,Table1[MONTH],'CHART1- MATERIAL&amp;SERVICE BASED'!$B$9,Table1[MATERIAL &amp; SERVICE],Table12[[#This Row],[MATERIALS / SERVICES]]))</f>
        <v>0</v>
      </c>
      <c r="E298" s="268">
        <f>IF(B298=0,"",SUMIFS(Table1[COST],Table1[SUPPLIER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299" spans="2:5" ht="15" customHeight="1" thickBot="1" x14ac:dyDescent="0.35">
      <c r="B299" s="262" t="str">
        <f>IF('CATEGORY TABLES'!C279=0,"",'CATEGORY TABLES'!C279)</f>
        <v/>
      </c>
      <c r="C299" s="266">
        <f>IF(B299=0,"",SUMIFS(Table1[COST],Table1[MATERIAL &amp; SERVICE],Table12[[#This Row],[MATERIALS / SERVICES]]))</f>
        <v>0</v>
      </c>
      <c r="D299" s="267">
        <f>IF(B299=0,"",SUMIFS(Table1[COST],Table1[YEAR],'CHART1- MATERIAL&amp;SERVICE BASED'!$B$6,Table1[MONTH],'CHART1- MATERIAL&amp;SERVICE BASED'!$B$9,Table1[MATERIAL &amp; SERVICE],Table12[[#This Row],[MATERIALS / SERVICES]]))</f>
        <v>0</v>
      </c>
      <c r="E299" s="268">
        <f>IF(B299=0,"",SUMIFS(Table1[COST],Table1[SUPPLIER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0" spans="2:5" ht="15" customHeight="1" thickBot="1" x14ac:dyDescent="0.35">
      <c r="B300" s="262" t="str">
        <f>IF('CATEGORY TABLES'!C280=0,"",'CATEGORY TABLES'!C280)</f>
        <v/>
      </c>
      <c r="C300" s="266">
        <f>IF(B300=0,"",SUMIFS(Table1[COST],Table1[MATERIAL &amp; SERVICE],Table12[[#This Row],[MATERIALS / SERVICES]]))</f>
        <v>0</v>
      </c>
      <c r="D300" s="267">
        <f>IF(B300=0,"",SUMIFS(Table1[COST],Table1[YEAR],'CHART1- MATERIAL&amp;SERVICE BASED'!$B$6,Table1[MONTH],'CHART1- MATERIAL&amp;SERVICE BASED'!$B$9,Table1[MATERIAL &amp; SERVICE],Table12[[#This Row],[MATERIALS / SERVICES]]))</f>
        <v>0</v>
      </c>
      <c r="E300" s="268">
        <f>IF(B300=0,"",SUMIFS(Table1[COST],Table1[SUPPLIER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1" spans="2:5" ht="15" customHeight="1" thickBot="1" x14ac:dyDescent="0.35">
      <c r="B301" s="262" t="str">
        <f>IF('CATEGORY TABLES'!C281=0,"",'CATEGORY TABLES'!C281)</f>
        <v/>
      </c>
      <c r="C301" s="266">
        <f>IF(B301=0,"",SUMIFS(Table1[COST],Table1[MATERIAL &amp; SERVICE],Table12[[#This Row],[MATERIALS / SERVICES]]))</f>
        <v>0</v>
      </c>
      <c r="D301" s="267">
        <f>IF(B301=0,"",SUMIFS(Table1[COST],Table1[YEAR],'CHART1- MATERIAL&amp;SERVICE BASED'!$B$6,Table1[MONTH],'CHART1- MATERIAL&amp;SERVICE BASED'!$B$9,Table1[MATERIAL &amp; SERVICE],Table12[[#This Row],[MATERIALS / SERVICES]]))</f>
        <v>0</v>
      </c>
      <c r="E301" s="268">
        <f>IF(B301=0,"",SUMIFS(Table1[COST],Table1[SUPPLIER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2" spans="2:5" ht="15" customHeight="1" thickBot="1" x14ac:dyDescent="0.35">
      <c r="B302" s="262" t="str">
        <f>IF('CATEGORY TABLES'!C282=0,"",'CATEGORY TABLES'!C282)</f>
        <v/>
      </c>
      <c r="C302" s="266">
        <f>IF(B302=0,"",SUMIFS(Table1[COST],Table1[MATERIAL &amp; SERVICE],Table12[[#This Row],[MATERIALS / SERVICES]]))</f>
        <v>0</v>
      </c>
      <c r="D302" s="267">
        <f>IF(B302=0,"",SUMIFS(Table1[COST],Table1[YEAR],'CHART1- MATERIAL&amp;SERVICE BASED'!$B$6,Table1[MONTH],'CHART1- MATERIAL&amp;SERVICE BASED'!$B$9,Table1[MATERIAL &amp; SERVICE],Table12[[#This Row],[MATERIALS / SERVICES]]))</f>
        <v>0</v>
      </c>
      <c r="E302" s="268">
        <f>IF(B302=0,"",SUMIFS(Table1[COST],Table1[SUPPLIER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3" spans="2:5" ht="15" customHeight="1" thickBot="1" x14ac:dyDescent="0.35">
      <c r="B303" s="262" t="str">
        <f>IF('CATEGORY TABLES'!C283=0,"",'CATEGORY TABLES'!C283)</f>
        <v/>
      </c>
      <c r="C303" s="266">
        <f>IF(B303=0,"",SUMIFS(Table1[COST],Table1[MATERIAL &amp; SERVICE],Table12[[#This Row],[MATERIALS / SERVICES]]))</f>
        <v>0</v>
      </c>
      <c r="D303" s="267">
        <f>IF(B303=0,"",SUMIFS(Table1[COST],Table1[YEAR],'CHART1- MATERIAL&amp;SERVICE BASED'!$B$6,Table1[MONTH],'CHART1- MATERIAL&amp;SERVICE BASED'!$B$9,Table1[MATERIAL &amp; SERVICE],Table12[[#This Row],[MATERIALS / SERVICES]]))</f>
        <v>0</v>
      </c>
      <c r="E303" s="268">
        <f>IF(B303=0,"",SUMIFS(Table1[COST],Table1[SUPPLIER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4" spans="2:5" ht="15" customHeight="1" thickBot="1" x14ac:dyDescent="0.35">
      <c r="B304" s="262" t="str">
        <f>IF('CATEGORY TABLES'!C284=0,"",'CATEGORY TABLES'!C284)</f>
        <v/>
      </c>
      <c r="C304" s="266">
        <f>IF(B304=0,"",SUMIFS(Table1[COST],Table1[MATERIAL &amp; SERVICE],Table12[[#This Row],[MATERIALS / SERVICES]]))</f>
        <v>0</v>
      </c>
      <c r="D304" s="267">
        <f>IF(B304=0,"",SUMIFS(Table1[COST],Table1[YEAR],'CHART1- MATERIAL&amp;SERVICE BASED'!$B$6,Table1[MONTH],'CHART1- MATERIAL&amp;SERVICE BASED'!$B$9,Table1[MATERIAL &amp; SERVICE],Table12[[#This Row],[MATERIALS / SERVICES]]))</f>
        <v>0</v>
      </c>
      <c r="E304" s="268">
        <f>IF(B304=0,"",SUMIFS(Table1[COST],Table1[SUPPLIER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5" spans="2:5" ht="15" customHeight="1" thickBot="1" x14ac:dyDescent="0.35">
      <c r="B305" s="262" t="str">
        <f>IF('CATEGORY TABLES'!C285=0,"",'CATEGORY TABLES'!C285)</f>
        <v/>
      </c>
      <c r="C305" s="266">
        <f>IF(B305=0,"",SUMIFS(Table1[COST],Table1[MATERIAL &amp; SERVICE],Table12[[#This Row],[MATERIALS / SERVICES]]))</f>
        <v>0</v>
      </c>
      <c r="D305" s="267">
        <f>IF(B305=0,"",SUMIFS(Table1[COST],Table1[YEAR],'CHART1- MATERIAL&amp;SERVICE BASED'!$B$6,Table1[MONTH],'CHART1- MATERIAL&amp;SERVICE BASED'!$B$9,Table1[MATERIAL &amp; SERVICE],Table12[[#This Row],[MATERIALS / SERVICES]]))</f>
        <v>0</v>
      </c>
      <c r="E305" s="268">
        <f>IF(B305=0,"",SUMIFS(Table1[COST],Table1[SUPPLIER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6" spans="2:5" ht="15" customHeight="1" thickBot="1" x14ac:dyDescent="0.35">
      <c r="B306" s="262" t="str">
        <f>IF('CATEGORY TABLES'!C286=0,"",'CATEGORY TABLES'!C286)</f>
        <v/>
      </c>
      <c r="C306" s="266">
        <f>IF(B306=0,"",SUMIFS(Table1[COST],Table1[MATERIAL &amp; SERVICE],Table12[[#This Row],[MATERIALS / SERVICES]]))</f>
        <v>0</v>
      </c>
      <c r="D306" s="267">
        <f>IF(B306=0,"",SUMIFS(Table1[COST],Table1[YEAR],'CHART1- MATERIAL&amp;SERVICE BASED'!$B$6,Table1[MONTH],'CHART1- MATERIAL&amp;SERVICE BASED'!$B$9,Table1[MATERIAL &amp; SERVICE],Table12[[#This Row],[MATERIALS / SERVICES]]))</f>
        <v>0</v>
      </c>
      <c r="E306" s="268">
        <f>IF(B306=0,"",SUMIFS(Table1[COST],Table1[SUPPLIER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7" spans="2:5" ht="15" customHeight="1" thickBot="1" x14ac:dyDescent="0.35">
      <c r="B307" s="262" t="str">
        <f>IF('CATEGORY TABLES'!C287=0,"",'CATEGORY TABLES'!C287)</f>
        <v/>
      </c>
      <c r="C307" s="266">
        <f>IF(B307=0,"",SUMIFS(Table1[COST],Table1[MATERIAL &amp; SERVICE],Table12[[#This Row],[MATERIALS / SERVICES]]))</f>
        <v>0</v>
      </c>
      <c r="D307" s="267">
        <f>IF(B307=0,"",SUMIFS(Table1[COST],Table1[YEAR],'CHART1- MATERIAL&amp;SERVICE BASED'!$B$6,Table1[MONTH],'CHART1- MATERIAL&amp;SERVICE BASED'!$B$9,Table1[MATERIAL &amp; SERVICE],Table12[[#This Row],[MATERIALS / SERVICES]]))</f>
        <v>0</v>
      </c>
      <c r="E307" s="268">
        <f>IF(B307=0,"",SUMIFS(Table1[COST],Table1[SUPPLIER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8" spans="2:5" ht="15" customHeight="1" thickBot="1" x14ac:dyDescent="0.35">
      <c r="B308" s="262" t="str">
        <f>IF('CATEGORY TABLES'!C288=0,"",'CATEGORY TABLES'!C288)</f>
        <v/>
      </c>
      <c r="C308" s="266">
        <f>IF(B308=0,"",SUMIFS(Table1[COST],Table1[MATERIAL &amp; SERVICE],Table12[[#This Row],[MATERIALS / SERVICES]]))</f>
        <v>0</v>
      </c>
      <c r="D308" s="267">
        <f>IF(B308=0,"",SUMIFS(Table1[COST],Table1[YEAR],'CHART1- MATERIAL&amp;SERVICE BASED'!$B$6,Table1[MONTH],'CHART1- MATERIAL&amp;SERVICE BASED'!$B$9,Table1[MATERIAL &amp; SERVICE],Table12[[#This Row],[MATERIALS / SERVICES]]))</f>
        <v>0</v>
      </c>
      <c r="E308" s="268">
        <f>IF(B308=0,"",SUMIFS(Table1[COST],Table1[SUPPLIER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09" spans="2:5" ht="15" customHeight="1" thickBot="1" x14ac:dyDescent="0.35">
      <c r="B309" s="262" t="str">
        <f>IF('CATEGORY TABLES'!C289=0,"",'CATEGORY TABLES'!C289)</f>
        <v/>
      </c>
      <c r="C309" s="266">
        <f>IF(B309=0,"",SUMIFS(Table1[COST],Table1[MATERIAL &amp; SERVICE],Table12[[#This Row],[MATERIALS / SERVICES]]))</f>
        <v>0</v>
      </c>
      <c r="D309" s="267">
        <f>IF(B309=0,"",SUMIFS(Table1[COST],Table1[YEAR],'CHART1- MATERIAL&amp;SERVICE BASED'!$B$6,Table1[MONTH],'CHART1- MATERIAL&amp;SERVICE BASED'!$B$9,Table1[MATERIAL &amp; SERVICE],Table12[[#This Row],[MATERIALS / SERVICES]]))</f>
        <v>0</v>
      </c>
      <c r="E309" s="268">
        <f>IF(B309=0,"",SUMIFS(Table1[COST],Table1[SUPPLIER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0" spans="2:5" ht="15" customHeight="1" thickBot="1" x14ac:dyDescent="0.35">
      <c r="B310" s="262" t="str">
        <f>IF('CATEGORY TABLES'!C290=0,"",'CATEGORY TABLES'!C290)</f>
        <v/>
      </c>
      <c r="C310" s="266">
        <f>IF(B310=0,"",SUMIFS(Table1[COST],Table1[MATERIAL &amp; SERVICE],Table12[[#This Row],[MATERIALS / SERVICES]]))</f>
        <v>0</v>
      </c>
      <c r="D310" s="267">
        <f>IF(B310=0,"",SUMIFS(Table1[COST],Table1[YEAR],'CHART1- MATERIAL&amp;SERVICE BASED'!$B$6,Table1[MONTH],'CHART1- MATERIAL&amp;SERVICE BASED'!$B$9,Table1[MATERIAL &amp; SERVICE],Table12[[#This Row],[MATERIALS / SERVICES]]))</f>
        <v>0</v>
      </c>
      <c r="E310" s="268">
        <f>IF(B310=0,"",SUMIFS(Table1[COST],Table1[SUPPLIER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1" spans="2:5" ht="15" customHeight="1" thickBot="1" x14ac:dyDescent="0.35">
      <c r="B311" s="262" t="str">
        <f>IF('CATEGORY TABLES'!C291=0,"",'CATEGORY TABLES'!C291)</f>
        <v/>
      </c>
      <c r="C311" s="266">
        <f>IF(B311=0,"",SUMIFS(Table1[COST],Table1[MATERIAL &amp; SERVICE],Table12[[#This Row],[MATERIALS / SERVICES]]))</f>
        <v>0</v>
      </c>
      <c r="D311" s="267">
        <f>IF(B311=0,"",SUMIFS(Table1[COST],Table1[YEAR],'CHART1- MATERIAL&amp;SERVICE BASED'!$B$6,Table1[MONTH],'CHART1- MATERIAL&amp;SERVICE BASED'!$B$9,Table1[MATERIAL &amp; SERVICE],Table12[[#This Row],[MATERIALS / SERVICES]]))</f>
        <v>0</v>
      </c>
      <c r="E311" s="268">
        <f>IF(B311=0,"",SUMIFS(Table1[COST],Table1[SUPPLIER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2" spans="2:5" ht="15" customHeight="1" thickBot="1" x14ac:dyDescent="0.35">
      <c r="B312" s="262" t="str">
        <f>IF('CATEGORY TABLES'!C292=0,"",'CATEGORY TABLES'!C292)</f>
        <v/>
      </c>
      <c r="C312" s="266">
        <f>IF(B312=0,"",SUMIFS(Table1[COST],Table1[MATERIAL &amp; SERVICE],Table12[[#This Row],[MATERIALS / SERVICES]]))</f>
        <v>0</v>
      </c>
      <c r="D312" s="267">
        <f>IF(B312=0,"",SUMIFS(Table1[COST],Table1[YEAR],'CHART1- MATERIAL&amp;SERVICE BASED'!$B$6,Table1[MONTH],'CHART1- MATERIAL&amp;SERVICE BASED'!$B$9,Table1[MATERIAL &amp; SERVICE],Table12[[#This Row],[MATERIALS / SERVICES]]))</f>
        <v>0</v>
      </c>
      <c r="E312" s="268">
        <f>IF(B312=0,"",SUMIFS(Table1[COST],Table1[SUPPLIER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3" spans="2:5" ht="15" customHeight="1" thickBot="1" x14ac:dyDescent="0.35">
      <c r="B313" s="262" t="str">
        <f>IF('CATEGORY TABLES'!C293=0,"",'CATEGORY TABLES'!C293)</f>
        <v/>
      </c>
      <c r="C313" s="266">
        <f>IF(B313=0,"",SUMIFS(Table1[COST],Table1[MATERIAL &amp; SERVICE],Table12[[#This Row],[MATERIALS / SERVICES]]))</f>
        <v>0</v>
      </c>
      <c r="D313" s="267">
        <f>IF(B313=0,"",SUMIFS(Table1[COST],Table1[YEAR],'CHART1- MATERIAL&amp;SERVICE BASED'!$B$6,Table1[MONTH],'CHART1- MATERIAL&amp;SERVICE BASED'!$B$9,Table1[MATERIAL &amp; SERVICE],Table12[[#This Row],[MATERIALS / SERVICES]]))</f>
        <v>0</v>
      </c>
      <c r="E313" s="268">
        <f>IF(B313=0,"",SUMIFS(Table1[COST],Table1[SUPPLIER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4" spans="2:5" ht="15" customHeight="1" thickBot="1" x14ac:dyDescent="0.35">
      <c r="B314" s="262" t="str">
        <f>IF('CATEGORY TABLES'!C294=0,"",'CATEGORY TABLES'!C294)</f>
        <v/>
      </c>
      <c r="C314" s="266">
        <f>IF(B314=0,"",SUMIFS(Table1[COST],Table1[MATERIAL &amp; SERVICE],Table12[[#This Row],[MATERIALS / SERVICES]]))</f>
        <v>0</v>
      </c>
      <c r="D314" s="267">
        <f>IF(B314=0,"",SUMIFS(Table1[COST],Table1[YEAR],'CHART1- MATERIAL&amp;SERVICE BASED'!$B$6,Table1[MONTH],'CHART1- MATERIAL&amp;SERVICE BASED'!$B$9,Table1[MATERIAL &amp; SERVICE],Table12[[#This Row],[MATERIALS / SERVICES]]))</f>
        <v>0</v>
      </c>
      <c r="E314" s="268">
        <f>IF(B314=0,"",SUMIFS(Table1[COST],Table1[SUPPLIER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5" spans="2:5" ht="15" customHeight="1" thickBot="1" x14ac:dyDescent="0.35">
      <c r="B315" s="262" t="str">
        <f>IF('CATEGORY TABLES'!C295=0,"",'CATEGORY TABLES'!C295)</f>
        <v/>
      </c>
      <c r="C315" s="266">
        <f>IF(B315=0,"",SUMIFS(Table1[COST],Table1[MATERIAL &amp; SERVICE],Table12[[#This Row],[MATERIALS / SERVICES]]))</f>
        <v>0</v>
      </c>
      <c r="D315" s="267">
        <f>IF(B315=0,"",SUMIFS(Table1[COST],Table1[YEAR],'CHART1- MATERIAL&amp;SERVICE BASED'!$B$6,Table1[MONTH],'CHART1- MATERIAL&amp;SERVICE BASED'!$B$9,Table1[MATERIAL &amp; SERVICE],Table12[[#This Row],[MATERIALS / SERVICES]]))</f>
        <v>0</v>
      </c>
      <c r="E315" s="268">
        <f>IF(B315=0,"",SUMIFS(Table1[COST],Table1[SUPPLIER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6" spans="2:5" ht="15" customHeight="1" thickBot="1" x14ac:dyDescent="0.35">
      <c r="B316" s="262" t="str">
        <f>IF('CATEGORY TABLES'!C296=0,"",'CATEGORY TABLES'!C296)</f>
        <v/>
      </c>
      <c r="C316" s="266">
        <f>IF(B316=0,"",SUMIFS(Table1[COST],Table1[MATERIAL &amp; SERVICE],Table12[[#This Row],[MATERIALS / SERVICES]]))</f>
        <v>0</v>
      </c>
      <c r="D316" s="267">
        <f>IF(B316=0,"",SUMIFS(Table1[COST],Table1[YEAR],'CHART1- MATERIAL&amp;SERVICE BASED'!$B$6,Table1[MONTH],'CHART1- MATERIAL&amp;SERVICE BASED'!$B$9,Table1[MATERIAL &amp; SERVICE],Table12[[#This Row],[MATERIALS / SERVICES]]))</f>
        <v>0</v>
      </c>
      <c r="E316" s="268">
        <f>IF(B316=0,"",SUMIFS(Table1[COST],Table1[SUPPLIER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7" spans="2:5" ht="15" customHeight="1" thickBot="1" x14ac:dyDescent="0.35">
      <c r="B317" s="262" t="str">
        <f>IF('CATEGORY TABLES'!C297=0,"",'CATEGORY TABLES'!C297)</f>
        <v/>
      </c>
      <c r="C317" s="266">
        <f>IF(B317=0,"",SUMIFS(Table1[COST],Table1[MATERIAL &amp; SERVICE],Table12[[#This Row],[MATERIALS / SERVICES]]))</f>
        <v>0</v>
      </c>
      <c r="D317" s="267">
        <f>IF(B317=0,"",SUMIFS(Table1[COST],Table1[YEAR],'CHART1- MATERIAL&amp;SERVICE BASED'!$B$6,Table1[MONTH],'CHART1- MATERIAL&amp;SERVICE BASED'!$B$9,Table1[MATERIAL &amp; SERVICE],Table12[[#This Row],[MATERIALS / SERVICES]]))</f>
        <v>0</v>
      </c>
      <c r="E317" s="268">
        <f>IF(B317=0,"",SUMIFS(Table1[COST],Table1[SUPPLIER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8" spans="2:5" ht="15" customHeight="1" thickBot="1" x14ac:dyDescent="0.35">
      <c r="B318" s="262" t="str">
        <f>IF('CATEGORY TABLES'!C298=0,"",'CATEGORY TABLES'!C298)</f>
        <v/>
      </c>
      <c r="C318" s="266">
        <f>IF(B318=0,"",SUMIFS(Table1[COST],Table1[MATERIAL &amp; SERVICE],Table12[[#This Row],[MATERIALS / SERVICES]]))</f>
        <v>0</v>
      </c>
      <c r="D318" s="267">
        <f>IF(B318=0,"",SUMIFS(Table1[COST],Table1[YEAR],'CHART1- MATERIAL&amp;SERVICE BASED'!$B$6,Table1[MONTH],'CHART1- MATERIAL&amp;SERVICE BASED'!$B$9,Table1[MATERIAL &amp; SERVICE],Table12[[#This Row],[MATERIALS / SERVICES]]))</f>
        <v>0</v>
      </c>
      <c r="E318" s="268">
        <f>IF(B318=0,"",SUMIFS(Table1[COST],Table1[SUPPLIER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19" spans="2:5" ht="15" customHeight="1" thickBot="1" x14ac:dyDescent="0.35">
      <c r="B319" s="262" t="str">
        <f>IF('CATEGORY TABLES'!C299=0,"",'CATEGORY TABLES'!C299)</f>
        <v/>
      </c>
      <c r="C319" s="266">
        <f>IF(B319=0,"",SUMIFS(Table1[COST],Table1[MATERIAL &amp; SERVICE],Table12[[#This Row],[MATERIALS / SERVICES]]))</f>
        <v>0</v>
      </c>
      <c r="D319" s="267">
        <f>IF(B319=0,"",SUMIFS(Table1[COST],Table1[YEAR],'CHART1- MATERIAL&amp;SERVICE BASED'!$B$6,Table1[MONTH],'CHART1- MATERIAL&amp;SERVICE BASED'!$B$9,Table1[MATERIAL &amp; SERVICE],Table12[[#This Row],[MATERIALS / SERVICES]]))</f>
        <v>0</v>
      </c>
      <c r="E319" s="268">
        <f>IF(B319=0,"",SUMIFS(Table1[COST],Table1[SUPPLIER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0" spans="2:5" ht="15" customHeight="1" thickBot="1" x14ac:dyDescent="0.35">
      <c r="B320" s="262" t="str">
        <f>IF('CATEGORY TABLES'!C300=0,"",'CATEGORY TABLES'!C300)</f>
        <v/>
      </c>
      <c r="C320" s="266">
        <f>IF(B320=0,"",SUMIFS(Table1[COST],Table1[MATERIAL &amp; SERVICE],Table12[[#This Row],[MATERIALS / SERVICES]]))</f>
        <v>0</v>
      </c>
      <c r="D320" s="267">
        <f>IF(B320=0,"",SUMIFS(Table1[COST],Table1[YEAR],'CHART1- MATERIAL&amp;SERVICE BASED'!$B$6,Table1[MONTH],'CHART1- MATERIAL&amp;SERVICE BASED'!$B$9,Table1[MATERIAL &amp; SERVICE],Table12[[#This Row],[MATERIALS / SERVICES]]))</f>
        <v>0</v>
      </c>
      <c r="E320" s="268">
        <f>IF(B320=0,"",SUMIFS(Table1[COST],Table1[SUPPLIER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1" spans="2:5" ht="15" customHeight="1" thickBot="1" x14ac:dyDescent="0.35">
      <c r="B321" s="262" t="str">
        <f>IF('CATEGORY TABLES'!C301=0,"",'CATEGORY TABLES'!C301)</f>
        <v/>
      </c>
      <c r="C321" s="266">
        <f>IF(B321=0,"",SUMIFS(Table1[COST],Table1[MATERIAL &amp; SERVICE],Table12[[#This Row],[MATERIALS / SERVICES]]))</f>
        <v>0</v>
      </c>
      <c r="D321" s="267">
        <f>IF(B321=0,"",SUMIFS(Table1[COST],Table1[YEAR],'CHART1- MATERIAL&amp;SERVICE BASED'!$B$6,Table1[MONTH],'CHART1- MATERIAL&amp;SERVICE BASED'!$B$9,Table1[MATERIAL &amp; SERVICE],Table12[[#This Row],[MATERIALS / SERVICES]]))</f>
        <v>0</v>
      </c>
      <c r="E321" s="268">
        <f>IF(B321=0,"",SUMIFS(Table1[COST],Table1[SUPPLIER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2" spans="2:5" ht="15" customHeight="1" thickBot="1" x14ac:dyDescent="0.35">
      <c r="B322" s="262" t="str">
        <f>IF('CATEGORY TABLES'!C302=0,"",'CATEGORY TABLES'!C302)</f>
        <v/>
      </c>
      <c r="C322" s="266">
        <f>IF(B322=0,"",SUMIFS(Table1[COST],Table1[MATERIAL &amp; SERVICE],Table12[[#This Row],[MATERIALS / SERVICES]]))</f>
        <v>0</v>
      </c>
      <c r="D322" s="267">
        <f>IF(B322=0,"",SUMIFS(Table1[COST],Table1[YEAR],'CHART1- MATERIAL&amp;SERVICE BASED'!$B$6,Table1[MONTH],'CHART1- MATERIAL&amp;SERVICE BASED'!$B$9,Table1[MATERIAL &amp; SERVICE],Table12[[#This Row],[MATERIALS / SERVICES]]))</f>
        <v>0</v>
      </c>
      <c r="E322" s="268">
        <f>IF(B322=0,"",SUMIFS(Table1[COST],Table1[SUPPLIER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3" spans="2:5" ht="15" customHeight="1" thickBot="1" x14ac:dyDescent="0.35">
      <c r="B323" s="262" t="str">
        <f>IF('CATEGORY TABLES'!C303=0,"",'CATEGORY TABLES'!C303)</f>
        <v/>
      </c>
      <c r="C323" s="266">
        <f>IF(B323=0,"",SUMIFS(Table1[COST],Table1[MATERIAL &amp; SERVICE],Table12[[#This Row],[MATERIALS / SERVICES]]))</f>
        <v>0</v>
      </c>
      <c r="D323" s="267">
        <f>IF(B323=0,"",SUMIFS(Table1[COST],Table1[YEAR],'CHART1- MATERIAL&amp;SERVICE BASED'!$B$6,Table1[MONTH],'CHART1- MATERIAL&amp;SERVICE BASED'!$B$9,Table1[MATERIAL &amp; SERVICE],Table12[[#This Row],[MATERIALS / SERVICES]]))</f>
        <v>0</v>
      </c>
      <c r="E323" s="268">
        <f>IF(B323=0,"",SUMIFS(Table1[COST],Table1[SUPPLIER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4" spans="2:5" ht="15" customHeight="1" thickBot="1" x14ac:dyDescent="0.35">
      <c r="B324" s="262" t="str">
        <f>IF('CATEGORY TABLES'!C304=0,"",'CATEGORY TABLES'!C304)</f>
        <v/>
      </c>
      <c r="C324" s="266">
        <f>IF(B324=0,"",SUMIFS(Table1[COST],Table1[MATERIAL &amp; SERVICE],Table12[[#This Row],[MATERIALS / SERVICES]]))</f>
        <v>0</v>
      </c>
      <c r="D324" s="267">
        <f>IF(B324=0,"",SUMIFS(Table1[COST],Table1[YEAR],'CHART1- MATERIAL&amp;SERVICE BASED'!$B$6,Table1[MONTH],'CHART1- MATERIAL&amp;SERVICE BASED'!$B$9,Table1[MATERIAL &amp; SERVICE],Table12[[#This Row],[MATERIALS / SERVICES]]))</f>
        <v>0</v>
      </c>
      <c r="E324" s="268">
        <f>IF(B324=0,"",SUMIFS(Table1[COST],Table1[SUPPLIER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5" spans="2:5" ht="15" customHeight="1" thickBot="1" x14ac:dyDescent="0.35">
      <c r="B325" s="262" t="str">
        <f>IF('CATEGORY TABLES'!C305=0,"",'CATEGORY TABLES'!C305)</f>
        <v/>
      </c>
      <c r="C325" s="266">
        <f>IF(B325=0,"",SUMIFS(Table1[COST],Table1[MATERIAL &amp; SERVICE],Table12[[#This Row],[MATERIALS / SERVICES]]))</f>
        <v>0</v>
      </c>
      <c r="D325" s="267">
        <f>IF(B325=0,"",SUMIFS(Table1[COST],Table1[YEAR],'CHART1- MATERIAL&amp;SERVICE BASED'!$B$6,Table1[MONTH],'CHART1- MATERIAL&amp;SERVICE BASED'!$B$9,Table1[MATERIAL &amp; SERVICE],Table12[[#This Row],[MATERIALS / SERVICES]]))</f>
        <v>0</v>
      </c>
      <c r="E325" s="268">
        <f>IF(B325=0,"",SUMIFS(Table1[COST],Table1[SUPPLIER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6" spans="2:5" ht="15" customHeight="1" thickBot="1" x14ac:dyDescent="0.35">
      <c r="B326" s="262" t="str">
        <f>IF('CATEGORY TABLES'!C306=0,"",'CATEGORY TABLES'!C306)</f>
        <v/>
      </c>
      <c r="C326" s="266">
        <f>IF(B326=0,"",SUMIFS(Table1[COST],Table1[MATERIAL &amp; SERVICE],Table12[[#This Row],[MATERIALS / SERVICES]]))</f>
        <v>0</v>
      </c>
      <c r="D326" s="267">
        <f>IF(B326=0,"",SUMIFS(Table1[COST],Table1[YEAR],'CHART1- MATERIAL&amp;SERVICE BASED'!$B$6,Table1[MONTH],'CHART1- MATERIAL&amp;SERVICE BASED'!$B$9,Table1[MATERIAL &amp; SERVICE],Table12[[#This Row],[MATERIALS / SERVICES]]))</f>
        <v>0</v>
      </c>
      <c r="E326" s="268">
        <f>IF(B326=0,"",SUMIFS(Table1[COST],Table1[SUPPLIER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7" spans="2:5" ht="15" customHeight="1" thickBot="1" x14ac:dyDescent="0.35">
      <c r="B327" s="262" t="str">
        <f>IF('CATEGORY TABLES'!C307=0,"",'CATEGORY TABLES'!C307)</f>
        <v/>
      </c>
      <c r="C327" s="266">
        <f>IF(B327=0,"",SUMIFS(Table1[COST],Table1[MATERIAL &amp; SERVICE],Table12[[#This Row],[MATERIALS / SERVICES]]))</f>
        <v>0</v>
      </c>
      <c r="D327" s="267">
        <f>IF(B327=0,"",SUMIFS(Table1[COST],Table1[YEAR],'CHART1- MATERIAL&amp;SERVICE BASED'!$B$6,Table1[MONTH],'CHART1- MATERIAL&amp;SERVICE BASED'!$B$9,Table1[MATERIAL &amp; SERVICE],Table12[[#This Row],[MATERIALS / SERVICES]]))</f>
        <v>0</v>
      </c>
      <c r="E327" s="268">
        <f>IF(B327=0,"",SUMIFS(Table1[COST],Table1[SUPPLIER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8" spans="2:5" ht="15" customHeight="1" thickBot="1" x14ac:dyDescent="0.35">
      <c r="B328" s="262" t="str">
        <f>IF('CATEGORY TABLES'!C308=0,"",'CATEGORY TABLES'!C308)</f>
        <v/>
      </c>
      <c r="C328" s="266">
        <f>IF(B328=0,"",SUMIFS(Table1[COST],Table1[MATERIAL &amp; SERVICE],Table12[[#This Row],[MATERIALS / SERVICES]]))</f>
        <v>0</v>
      </c>
      <c r="D328" s="267">
        <f>IF(B328=0,"",SUMIFS(Table1[COST],Table1[YEAR],'CHART1- MATERIAL&amp;SERVICE BASED'!$B$6,Table1[MONTH],'CHART1- MATERIAL&amp;SERVICE BASED'!$B$9,Table1[MATERIAL &amp; SERVICE],Table12[[#This Row],[MATERIALS / SERVICES]]))</f>
        <v>0</v>
      </c>
      <c r="E328" s="268">
        <f>IF(B328=0,"",SUMIFS(Table1[COST],Table1[SUPPLIER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29" spans="2:5" ht="15" customHeight="1" thickBot="1" x14ac:dyDescent="0.35">
      <c r="B329" s="262" t="str">
        <f>IF('CATEGORY TABLES'!C309=0,"",'CATEGORY TABLES'!C309)</f>
        <v/>
      </c>
      <c r="C329" s="266">
        <f>IF(B329=0,"",SUMIFS(Table1[COST],Table1[MATERIAL &amp; SERVICE],Table12[[#This Row],[MATERIALS / SERVICES]]))</f>
        <v>0</v>
      </c>
      <c r="D329" s="267">
        <f>IF(B329=0,"",SUMIFS(Table1[COST],Table1[YEAR],'CHART1- MATERIAL&amp;SERVICE BASED'!$B$6,Table1[MONTH],'CHART1- MATERIAL&amp;SERVICE BASED'!$B$9,Table1[MATERIAL &amp; SERVICE],Table12[[#This Row],[MATERIALS / SERVICES]]))</f>
        <v>0</v>
      </c>
      <c r="E329" s="268">
        <f>IF(B329=0,"",SUMIFS(Table1[COST],Table1[SUPPLIER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0" spans="2:5" ht="15" customHeight="1" thickBot="1" x14ac:dyDescent="0.35">
      <c r="B330" s="262" t="str">
        <f>IF('CATEGORY TABLES'!C310=0,"",'CATEGORY TABLES'!C310)</f>
        <v/>
      </c>
      <c r="C330" s="266">
        <f>IF(B330=0,"",SUMIFS(Table1[COST],Table1[MATERIAL &amp; SERVICE],Table12[[#This Row],[MATERIALS / SERVICES]]))</f>
        <v>0</v>
      </c>
      <c r="D330" s="267">
        <f>IF(B330=0,"",SUMIFS(Table1[COST],Table1[YEAR],'CHART1- MATERIAL&amp;SERVICE BASED'!$B$6,Table1[MONTH],'CHART1- MATERIAL&amp;SERVICE BASED'!$B$9,Table1[MATERIAL &amp; SERVICE],Table12[[#This Row],[MATERIALS / SERVICES]]))</f>
        <v>0</v>
      </c>
      <c r="E330" s="268">
        <f>IF(B330=0,"",SUMIFS(Table1[COST],Table1[SUPPLIER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1" spans="2:5" ht="15" customHeight="1" thickBot="1" x14ac:dyDescent="0.35">
      <c r="B331" s="262" t="str">
        <f>IF('CATEGORY TABLES'!C311=0,"",'CATEGORY TABLES'!C311)</f>
        <v/>
      </c>
      <c r="C331" s="266">
        <f>IF(B331=0,"",SUMIFS(Table1[COST],Table1[MATERIAL &amp; SERVICE],Table12[[#This Row],[MATERIALS / SERVICES]]))</f>
        <v>0</v>
      </c>
      <c r="D331" s="267">
        <f>IF(B331=0,"",SUMIFS(Table1[COST],Table1[YEAR],'CHART1- MATERIAL&amp;SERVICE BASED'!$B$6,Table1[MONTH],'CHART1- MATERIAL&amp;SERVICE BASED'!$B$9,Table1[MATERIAL &amp; SERVICE],Table12[[#This Row],[MATERIALS / SERVICES]]))</f>
        <v>0</v>
      </c>
      <c r="E331" s="268">
        <f>IF(B331=0,"",SUMIFS(Table1[COST],Table1[SUPPLIER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2" spans="2:5" ht="15" customHeight="1" thickBot="1" x14ac:dyDescent="0.35">
      <c r="B332" s="262" t="str">
        <f>IF('CATEGORY TABLES'!C312=0,"",'CATEGORY TABLES'!C312)</f>
        <v/>
      </c>
      <c r="C332" s="266">
        <f>IF(B332=0,"",SUMIFS(Table1[COST],Table1[MATERIAL &amp; SERVICE],Table12[[#This Row],[MATERIALS / SERVICES]]))</f>
        <v>0</v>
      </c>
      <c r="D332" s="267">
        <f>IF(B332=0,"",SUMIFS(Table1[COST],Table1[YEAR],'CHART1- MATERIAL&amp;SERVICE BASED'!$B$6,Table1[MONTH],'CHART1- MATERIAL&amp;SERVICE BASED'!$B$9,Table1[MATERIAL &amp; SERVICE],Table12[[#This Row],[MATERIALS / SERVICES]]))</f>
        <v>0</v>
      </c>
      <c r="E332" s="268">
        <f>IF(B332=0,"",SUMIFS(Table1[COST],Table1[SUPPLIER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3" spans="2:5" ht="15" customHeight="1" thickBot="1" x14ac:dyDescent="0.35">
      <c r="B333" s="262" t="str">
        <f>IF('CATEGORY TABLES'!C313=0,"",'CATEGORY TABLES'!C313)</f>
        <v/>
      </c>
      <c r="C333" s="266">
        <f>IF(B333=0,"",SUMIFS(Table1[COST],Table1[MATERIAL &amp; SERVICE],Table12[[#This Row],[MATERIALS / SERVICES]]))</f>
        <v>0</v>
      </c>
      <c r="D333" s="267">
        <f>IF(B333=0,"",SUMIFS(Table1[COST],Table1[YEAR],'CHART1- MATERIAL&amp;SERVICE BASED'!$B$6,Table1[MONTH],'CHART1- MATERIAL&amp;SERVICE BASED'!$B$9,Table1[MATERIAL &amp; SERVICE],Table12[[#This Row],[MATERIALS / SERVICES]]))</f>
        <v>0</v>
      </c>
      <c r="E333" s="268">
        <f>IF(B333=0,"",SUMIFS(Table1[COST],Table1[SUPPLIER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4" spans="2:5" ht="15" customHeight="1" thickBot="1" x14ac:dyDescent="0.35">
      <c r="B334" s="262" t="str">
        <f>IF('CATEGORY TABLES'!C314=0,"",'CATEGORY TABLES'!C314)</f>
        <v/>
      </c>
      <c r="C334" s="266">
        <f>IF(B334=0,"",SUMIFS(Table1[COST],Table1[MATERIAL &amp; SERVICE],Table12[[#This Row],[MATERIALS / SERVICES]]))</f>
        <v>0</v>
      </c>
      <c r="D334" s="267">
        <f>IF(B334=0,"",SUMIFS(Table1[COST],Table1[YEAR],'CHART1- MATERIAL&amp;SERVICE BASED'!$B$6,Table1[MONTH],'CHART1- MATERIAL&amp;SERVICE BASED'!$B$9,Table1[MATERIAL &amp; SERVICE],Table12[[#This Row],[MATERIALS / SERVICES]]))</f>
        <v>0</v>
      </c>
      <c r="E334" s="268">
        <f>IF(B334=0,"",SUMIFS(Table1[COST],Table1[SUPPLIER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5" spans="2:5" ht="15" customHeight="1" thickBot="1" x14ac:dyDescent="0.35">
      <c r="B335" s="262" t="str">
        <f>IF('CATEGORY TABLES'!C315=0,"",'CATEGORY TABLES'!C315)</f>
        <v/>
      </c>
      <c r="C335" s="266">
        <f>IF(B335=0,"",SUMIFS(Table1[COST],Table1[MATERIAL &amp; SERVICE],Table12[[#This Row],[MATERIALS / SERVICES]]))</f>
        <v>0</v>
      </c>
      <c r="D335" s="267">
        <f>IF(B335=0,"",SUMIFS(Table1[COST],Table1[YEAR],'CHART1- MATERIAL&amp;SERVICE BASED'!$B$6,Table1[MONTH],'CHART1- MATERIAL&amp;SERVICE BASED'!$B$9,Table1[MATERIAL &amp; SERVICE],Table12[[#This Row],[MATERIALS / SERVICES]]))</f>
        <v>0</v>
      </c>
      <c r="E335" s="268">
        <f>IF(B335=0,"",SUMIFS(Table1[COST],Table1[SUPPLIER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6" spans="2:5" ht="15" customHeight="1" thickBot="1" x14ac:dyDescent="0.35">
      <c r="B336" s="262" t="str">
        <f>IF('CATEGORY TABLES'!C316=0,"",'CATEGORY TABLES'!C316)</f>
        <v/>
      </c>
      <c r="C336" s="266">
        <f>IF(B336=0,"",SUMIFS(Table1[COST],Table1[MATERIAL &amp; SERVICE],Table12[[#This Row],[MATERIALS / SERVICES]]))</f>
        <v>0</v>
      </c>
      <c r="D336" s="267">
        <f>IF(B336=0,"",SUMIFS(Table1[COST],Table1[YEAR],'CHART1- MATERIAL&amp;SERVICE BASED'!$B$6,Table1[MONTH],'CHART1- MATERIAL&amp;SERVICE BASED'!$B$9,Table1[MATERIAL &amp; SERVICE],Table12[[#This Row],[MATERIALS / SERVICES]]))</f>
        <v>0</v>
      </c>
      <c r="E336" s="268">
        <f>IF(B336=0,"",SUMIFS(Table1[COST],Table1[SUPPLIER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7" spans="2:5" ht="15" customHeight="1" thickBot="1" x14ac:dyDescent="0.35">
      <c r="B337" s="262" t="str">
        <f>IF('CATEGORY TABLES'!C317=0,"",'CATEGORY TABLES'!C317)</f>
        <v/>
      </c>
      <c r="C337" s="266">
        <f>IF(B337=0,"",SUMIFS(Table1[COST],Table1[MATERIAL &amp; SERVICE],Table12[[#This Row],[MATERIALS / SERVICES]]))</f>
        <v>0</v>
      </c>
      <c r="D337" s="267">
        <f>IF(B337=0,"",SUMIFS(Table1[COST],Table1[YEAR],'CHART1- MATERIAL&amp;SERVICE BASED'!$B$6,Table1[MONTH],'CHART1- MATERIAL&amp;SERVICE BASED'!$B$9,Table1[MATERIAL &amp; SERVICE],Table12[[#This Row],[MATERIALS / SERVICES]]))</f>
        <v>0</v>
      </c>
      <c r="E337" s="268">
        <f>IF(B337=0,"",SUMIFS(Table1[COST],Table1[SUPPLIER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8" spans="2:5" ht="15" customHeight="1" thickBot="1" x14ac:dyDescent="0.35">
      <c r="B338" s="262" t="str">
        <f>IF('CATEGORY TABLES'!C318=0,"",'CATEGORY TABLES'!C318)</f>
        <v/>
      </c>
      <c r="C338" s="266">
        <f>IF(B338=0,"",SUMIFS(Table1[COST],Table1[MATERIAL &amp; SERVICE],Table12[[#This Row],[MATERIALS / SERVICES]]))</f>
        <v>0</v>
      </c>
      <c r="D338" s="267">
        <f>IF(B338=0,"",SUMIFS(Table1[COST],Table1[YEAR],'CHART1- MATERIAL&amp;SERVICE BASED'!$B$6,Table1[MONTH],'CHART1- MATERIAL&amp;SERVICE BASED'!$B$9,Table1[MATERIAL &amp; SERVICE],Table12[[#This Row],[MATERIALS / SERVICES]]))</f>
        <v>0</v>
      </c>
      <c r="E338" s="268">
        <f>IF(B338=0,"",SUMIFS(Table1[COST],Table1[SUPPLIER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39" spans="2:5" ht="15" customHeight="1" thickBot="1" x14ac:dyDescent="0.35">
      <c r="B339" s="262" t="str">
        <f>IF('CATEGORY TABLES'!C319=0,"",'CATEGORY TABLES'!C319)</f>
        <v/>
      </c>
      <c r="C339" s="266">
        <f>IF(B339=0,"",SUMIFS(Table1[COST],Table1[MATERIAL &amp; SERVICE],Table12[[#This Row],[MATERIALS / SERVICES]]))</f>
        <v>0</v>
      </c>
      <c r="D339" s="267">
        <f>IF(B339=0,"",SUMIFS(Table1[COST],Table1[YEAR],'CHART1- MATERIAL&amp;SERVICE BASED'!$B$6,Table1[MONTH],'CHART1- MATERIAL&amp;SERVICE BASED'!$B$9,Table1[MATERIAL &amp; SERVICE],Table12[[#This Row],[MATERIALS / SERVICES]]))</f>
        <v>0</v>
      </c>
      <c r="E339" s="268">
        <f>IF(B339=0,"",SUMIFS(Table1[COST],Table1[SUPPLIER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0" spans="2:5" ht="15" customHeight="1" thickBot="1" x14ac:dyDescent="0.35">
      <c r="B340" s="262" t="str">
        <f>IF('CATEGORY TABLES'!C320=0,"",'CATEGORY TABLES'!C320)</f>
        <v/>
      </c>
      <c r="C340" s="266">
        <f>IF(B340=0,"",SUMIFS(Table1[COST],Table1[MATERIAL &amp; SERVICE],Table12[[#This Row],[MATERIALS / SERVICES]]))</f>
        <v>0</v>
      </c>
      <c r="D340" s="267">
        <f>IF(B340=0,"",SUMIFS(Table1[COST],Table1[YEAR],'CHART1- MATERIAL&amp;SERVICE BASED'!$B$6,Table1[MONTH],'CHART1- MATERIAL&amp;SERVICE BASED'!$B$9,Table1[MATERIAL &amp; SERVICE],Table12[[#This Row],[MATERIALS / SERVICES]]))</f>
        <v>0</v>
      </c>
      <c r="E340" s="268">
        <f>IF(B340=0,"",SUMIFS(Table1[COST],Table1[SUPPLIER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1" spans="2:5" ht="15" customHeight="1" thickBot="1" x14ac:dyDescent="0.35">
      <c r="B341" s="262" t="str">
        <f>IF('CATEGORY TABLES'!C321=0,"",'CATEGORY TABLES'!C321)</f>
        <v/>
      </c>
      <c r="C341" s="266">
        <f>IF(B341=0,"",SUMIFS(Table1[COST],Table1[MATERIAL &amp; SERVICE],Table12[[#This Row],[MATERIALS / SERVICES]]))</f>
        <v>0</v>
      </c>
      <c r="D341" s="267">
        <f>IF(B341=0,"",SUMIFS(Table1[COST],Table1[YEAR],'CHART1- MATERIAL&amp;SERVICE BASED'!$B$6,Table1[MONTH],'CHART1- MATERIAL&amp;SERVICE BASED'!$B$9,Table1[MATERIAL &amp; SERVICE],Table12[[#This Row],[MATERIALS / SERVICES]]))</f>
        <v>0</v>
      </c>
      <c r="E341" s="268">
        <f>IF(B341=0,"",SUMIFS(Table1[COST],Table1[SUPPLIER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2" spans="2:5" ht="15" customHeight="1" thickBot="1" x14ac:dyDescent="0.35">
      <c r="B342" s="262" t="str">
        <f>IF('CATEGORY TABLES'!C322=0,"",'CATEGORY TABLES'!C322)</f>
        <v/>
      </c>
      <c r="C342" s="266">
        <f>IF(B342=0,"",SUMIFS(Table1[COST],Table1[MATERIAL &amp; SERVICE],Table12[[#This Row],[MATERIALS / SERVICES]]))</f>
        <v>0</v>
      </c>
      <c r="D342" s="267">
        <f>IF(B342=0,"",SUMIFS(Table1[COST],Table1[YEAR],'CHART1- MATERIAL&amp;SERVICE BASED'!$B$6,Table1[MONTH],'CHART1- MATERIAL&amp;SERVICE BASED'!$B$9,Table1[MATERIAL &amp; SERVICE],Table12[[#This Row],[MATERIALS / SERVICES]]))</f>
        <v>0</v>
      </c>
      <c r="E342" s="268">
        <f>IF(B342=0,"",SUMIFS(Table1[COST],Table1[SUPPLIER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3" spans="2:5" ht="15" customHeight="1" thickBot="1" x14ac:dyDescent="0.35">
      <c r="B343" s="262" t="str">
        <f>IF('CATEGORY TABLES'!C323=0,"",'CATEGORY TABLES'!C323)</f>
        <v/>
      </c>
      <c r="C343" s="266">
        <f>IF(B343=0,"",SUMIFS(Table1[COST],Table1[MATERIAL &amp; SERVICE],Table12[[#This Row],[MATERIALS / SERVICES]]))</f>
        <v>0</v>
      </c>
      <c r="D343" s="267">
        <f>IF(B343=0,"",SUMIFS(Table1[COST],Table1[YEAR],'CHART1- MATERIAL&amp;SERVICE BASED'!$B$6,Table1[MONTH],'CHART1- MATERIAL&amp;SERVICE BASED'!$B$9,Table1[MATERIAL &amp; SERVICE],Table12[[#This Row],[MATERIALS / SERVICES]]))</f>
        <v>0</v>
      </c>
      <c r="E343" s="268">
        <f>IF(B343=0,"",SUMIFS(Table1[COST],Table1[SUPPLIER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4" spans="2:5" ht="15" customHeight="1" thickBot="1" x14ac:dyDescent="0.35">
      <c r="B344" s="262" t="str">
        <f>IF('CATEGORY TABLES'!C324=0,"",'CATEGORY TABLES'!C324)</f>
        <v/>
      </c>
      <c r="C344" s="266">
        <f>IF(B344=0,"",SUMIFS(Table1[COST],Table1[MATERIAL &amp; SERVICE],Table12[[#This Row],[MATERIALS / SERVICES]]))</f>
        <v>0</v>
      </c>
      <c r="D344" s="267">
        <f>IF(B344=0,"",SUMIFS(Table1[COST],Table1[YEAR],'CHART1- MATERIAL&amp;SERVICE BASED'!$B$6,Table1[MONTH],'CHART1- MATERIAL&amp;SERVICE BASED'!$B$9,Table1[MATERIAL &amp; SERVICE],Table12[[#This Row],[MATERIALS / SERVICES]]))</f>
        <v>0</v>
      </c>
      <c r="E344" s="268">
        <f>IF(B344=0,"",SUMIFS(Table1[COST],Table1[SUPPLIER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5" spans="2:5" ht="15" customHeight="1" thickBot="1" x14ac:dyDescent="0.35">
      <c r="B345" s="262" t="str">
        <f>IF('CATEGORY TABLES'!C325=0,"",'CATEGORY TABLES'!C325)</f>
        <v/>
      </c>
      <c r="C345" s="266">
        <f>IF(B345=0,"",SUMIFS(Table1[COST],Table1[MATERIAL &amp; SERVICE],Table12[[#This Row],[MATERIALS / SERVICES]]))</f>
        <v>0</v>
      </c>
      <c r="D345" s="267">
        <f>IF(B345=0,"",SUMIFS(Table1[COST],Table1[YEAR],'CHART1- MATERIAL&amp;SERVICE BASED'!$B$6,Table1[MONTH],'CHART1- MATERIAL&amp;SERVICE BASED'!$B$9,Table1[MATERIAL &amp; SERVICE],Table12[[#This Row],[MATERIALS / SERVICES]]))</f>
        <v>0</v>
      </c>
      <c r="E345" s="268">
        <f>IF(B345=0,"",SUMIFS(Table1[COST],Table1[SUPPLIER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6" spans="2:5" ht="15" customHeight="1" thickBot="1" x14ac:dyDescent="0.35">
      <c r="B346" s="262" t="str">
        <f>IF('CATEGORY TABLES'!C326=0,"",'CATEGORY TABLES'!C326)</f>
        <v/>
      </c>
      <c r="C346" s="266">
        <f>IF(B346=0,"",SUMIFS(Table1[COST],Table1[MATERIAL &amp; SERVICE],Table12[[#This Row],[MATERIALS / SERVICES]]))</f>
        <v>0</v>
      </c>
      <c r="D346" s="267">
        <f>IF(B346=0,"",SUMIFS(Table1[COST],Table1[YEAR],'CHART1- MATERIAL&amp;SERVICE BASED'!$B$6,Table1[MONTH],'CHART1- MATERIAL&amp;SERVICE BASED'!$B$9,Table1[MATERIAL &amp; SERVICE],Table12[[#This Row],[MATERIALS / SERVICES]]))</f>
        <v>0</v>
      </c>
      <c r="E346" s="268">
        <f>IF(B346=0,"",SUMIFS(Table1[COST],Table1[SUPPLIER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7" spans="2:5" ht="15" customHeight="1" thickBot="1" x14ac:dyDescent="0.35">
      <c r="B347" s="262" t="str">
        <f>IF('CATEGORY TABLES'!C327=0,"",'CATEGORY TABLES'!C327)</f>
        <v/>
      </c>
      <c r="C347" s="266">
        <f>IF(B347=0,"",SUMIFS(Table1[COST],Table1[MATERIAL &amp; SERVICE],Table12[[#This Row],[MATERIALS / SERVICES]]))</f>
        <v>0</v>
      </c>
      <c r="D347" s="267">
        <f>IF(B347=0,"",SUMIFS(Table1[COST],Table1[YEAR],'CHART1- MATERIAL&amp;SERVICE BASED'!$B$6,Table1[MONTH],'CHART1- MATERIAL&amp;SERVICE BASED'!$B$9,Table1[MATERIAL &amp; SERVICE],Table12[[#This Row],[MATERIALS / SERVICES]]))</f>
        <v>0</v>
      </c>
      <c r="E347" s="268">
        <f>IF(B347=0,"",SUMIFS(Table1[COST],Table1[SUPPLIER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8" spans="2:5" ht="15" customHeight="1" thickBot="1" x14ac:dyDescent="0.35">
      <c r="B348" s="262" t="str">
        <f>IF('CATEGORY TABLES'!C328=0,"",'CATEGORY TABLES'!C328)</f>
        <v/>
      </c>
      <c r="C348" s="266">
        <f>IF(B348=0,"",SUMIFS(Table1[COST],Table1[MATERIAL &amp; SERVICE],Table12[[#This Row],[MATERIALS / SERVICES]]))</f>
        <v>0</v>
      </c>
      <c r="D348" s="267">
        <f>IF(B348=0,"",SUMIFS(Table1[COST],Table1[YEAR],'CHART1- MATERIAL&amp;SERVICE BASED'!$B$6,Table1[MONTH],'CHART1- MATERIAL&amp;SERVICE BASED'!$B$9,Table1[MATERIAL &amp; SERVICE],Table12[[#This Row],[MATERIALS / SERVICES]]))</f>
        <v>0</v>
      </c>
      <c r="E348" s="268">
        <f>IF(B348=0,"",SUMIFS(Table1[COST],Table1[SUPPLIER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49" spans="2:5" ht="15" customHeight="1" thickBot="1" x14ac:dyDescent="0.35">
      <c r="B349" s="262" t="str">
        <f>IF('CATEGORY TABLES'!C329=0,"",'CATEGORY TABLES'!C329)</f>
        <v/>
      </c>
      <c r="C349" s="266">
        <f>IF(B349=0,"",SUMIFS(Table1[COST],Table1[MATERIAL &amp; SERVICE],Table12[[#This Row],[MATERIALS / SERVICES]]))</f>
        <v>0</v>
      </c>
      <c r="D349" s="267">
        <f>IF(B349=0,"",SUMIFS(Table1[COST],Table1[YEAR],'CHART1- MATERIAL&amp;SERVICE BASED'!$B$6,Table1[MONTH],'CHART1- MATERIAL&amp;SERVICE BASED'!$B$9,Table1[MATERIAL &amp; SERVICE],Table12[[#This Row],[MATERIALS / SERVICES]]))</f>
        <v>0</v>
      </c>
      <c r="E349" s="268">
        <f>IF(B349=0,"",SUMIFS(Table1[COST],Table1[SUPPLIER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0" spans="2:5" ht="15" customHeight="1" thickBot="1" x14ac:dyDescent="0.35">
      <c r="B350" s="262" t="str">
        <f>IF('CATEGORY TABLES'!C330=0,"",'CATEGORY TABLES'!C330)</f>
        <v/>
      </c>
      <c r="C350" s="266">
        <f>IF(B350=0,"",SUMIFS(Table1[COST],Table1[MATERIAL &amp; SERVICE],Table12[[#This Row],[MATERIALS / SERVICES]]))</f>
        <v>0</v>
      </c>
      <c r="D350" s="267">
        <f>IF(B350=0,"",SUMIFS(Table1[COST],Table1[YEAR],'CHART1- MATERIAL&amp;SERVICE BASED'!$B$6,Table1[MONTH],'CHART1- MATERIAL&amp;SERVICE BASED'!$B$9,Table1[MATERIAL &amp; SERVICE],Table12[[#This Row],[MATERIALS / SERVICES]]))</f>
        <v>0</v>
      </c>
      <c r="E350" s="268">
        <f>IF(B350=0,"",SUMIFS(Table1[COST],Table1[SUPPLIER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1" spans="2:5" ht="15" customHeight="1" thickBot="1" x14ac:dyDescent="0.35">
      <c r="B351" s="262" t="str">
        <f>IF('CATEGORY TABLES'!C331=0,"",'CATEGORY TABLES'!C331)</f>
        <v/>
      </c>
      <c r="C351" s="266">
        <f>IF(B351=0,"",SUMIFS(Table1[COST],Table1[MATERIAL &amp; SERVICE],Table12[[#This Row],[MATERIALS / SERVICES]]))</f>
        <v>0</v>
      </c>
      <c r="D351" s="267">
        <f>IF(B351=0,"",SUMIFS(Table1[COST],Table1[YEAR],'CHART1- MATERIAL&amp;SERVICE BASED'!$B$6,Table1[MONTH],'CHART1- MATERIAL&amp;SERVICE BASED'!$B$9,Table1[MATERIAL &amp; SERVICE],Table12[[#This Row],[MATERIALS / SERVICES]]))</f>
        <v>0</v>
      </c>
      <c r="E351" s="268">
        <f>IF(B351=0,"",SUMIFS(Table1[COST],Table1[SUPPLIER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2" spans="2:5" ht="15" customHeight="1" thickBot="1" x14ac:dyDescent="0.35">
      <c r="B352" s="262" t="str">
        <f>IF('CATEGORY TABLES'!C332=0,"",'CATEGORY TABLES'!C332)</f>
        <v/>
      </c>
      <c r="C352" s="266">
        <f>IF(B352=0,"",SUMIFS(Table1[COST],Table1[MATERIAL &amp; SERVICE],Table12[[#This Row],[MATERIALS / SERVICES]]))</f>
        <v>0</v>
      </c>
      <c r="D352" s="267">
        <f>IF(B352=0,"",SUMIFS(Table1[COST],Table1[YEAR],'CHART1- MATERIAL&amp;SERVICE BASED'!$B$6,Table1[MONTH],'CHART1- MATERIAL&amp;SERVICE BASED'!$B$9,Table1[MATERIAL &amp; SERVICE],Table12[[#This Row],[MATERIALS / SERVICES]]))</f>
        <v>0</v>
      </c>
      <c r="E352" s="268">
        <f>IF(B352=0,"",SUMIFS(Table1[COST],Table1[SUPPLIER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3" spans="2:5" ht="15" customHeight="1" thickBot="1" x14ac:dyDescent="0.35">
      <c r="B353" s="262" t="str">
        <f>IF('CATEGORY TABLES'!C333=0,"",'CATEGORY TABLES'!C333)</f>
        <v/>
      </c>
      <c r="C353" s="266">
        <f>IF(B353=0,"",SUMIFS(Table1[COST],Table1[MATERIAL &amp; SERVICE],Table12[[#This Row],[MATERIALS / SERVICES]]))</f>
        <v>0</v>
      </c>
      <c r="D353" s="267">
        <f>IF(B353=0,"",SUMIFS(Table1[COST],Table1[YEAR],'CHART1- MATERIAL&amp;SERVICE BASED'!$B$6,Table1[MONTH],'CHART1- MATERIAL&amp;SERVICE BASED'!$B$9,Table1[MATERIAL &amp; SERVICE],Table12[[#This Row],[MATERIALS / SERVICES]]))</f>
        <v>0</v>
      </c>
      <c r="E353" s="268">
        <f>IF(B353=0,"",SUMIFS(Table1[COST],Table1[SUPPLIER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4" spans="2:5" ht="15" customHeight="1" thickBot="1" x14ac:dyDescent="0.35">
      <c r="B354" s="262" t="str">
        <f>IF('CATEGORY TABLES'!C334=0,"",'CATEGORY TABLES'!C334)</f>
        <v/>
      </c>
      <c r="C354" s="266">
        <f>IF(B354=0,"",SUMIFS(Table1[COST],Table1[MATERIAL &amp; SERVICE],Table12[[#This Row],[MATERIALS / SERVICES]]))</f>
        <v>0</v>
      </c>
      <c r="D354" s="267">
        <f>IF(B354=0,"",SUMIFS(Table1[COST],Table1[YEAR],'CHART1- MATERIAL&amp;SERVICE BASED'!$B$6,Table1[MONTH],'CHART1- MATERIAL&amp;SERVICE BASED'!$B$9,Table1[MATERIAL &amp; SERVICE],Table12[[#This Row],[MATERIALS / SERVICES]]))</f>
        <v>0</v>
      </c>
      <c r="E354" s="268">
        <f>IF(B354=0,"",SUMIFS(Table1[COST],Table1[SUPPLIER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5" spans="2:5" ht="15" customHeight="1" thickBot="1" x14ac:dyDescent="0.35">
      <c r="B355" s="262" t="str">
        <f>IF('CATEGORY TABLES'!C335=0,"",'CATEGORY TABLES'!C335)</f>
        <v/>
      </c>
      <c r="C355" s="266">
        <f>IF(B355=0,"",SUMIFS(Table1[COST],Table1[MATERIAL &amp; SERVICE],Table12[[#This Row],[MATERIALS / SERVICES]]))</f>
        <v>0</v>
      </c>
      <c r="D355" s="267">
        <f>IF(B355=0,"",SUMIFS(Table1[COST],Table1[YEAR],'CHART1- MATERIAL&amp;SERVICE BASED'!$B$6,Table1[MONTH],'CHART1- MATERIAL&amp;SERVICE BASED'!$B$9,Table1[MATERIAL &amp; SERVICE],Table12[[#This Row],[MATERIALS / SERVICES]]))</f>
        <v>0</v>
      </c>
      <c r="E355" s="268">
        <f>IF(B355=0,"",SUMIFS(Table1[COST],Table1[SUPPLIER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6" spans="2:5" ht="15" customHeight="1" thickBot="1" x14ac:dyDescent="0.35">
      <c r="B356" s="262" t="str">
        <f>IF('CATEGORY TABLES'!C336=0,"",'CATEGORY TABLES'!C336)</f>
        <v/>
      </c>
      <c r="C356" s="266">
        <f>IF(B356=0,"",SUMIFS(Table1[COST],Table1[MATERIAL &amp; SERVICE],Table12[[#This Row],[MATERIALS / SERVICES]]))</f>
        <v>0</v>
      </c>
      <c r="D356" s="267">
        <f>IF(B356=0,"",SUMIFS(Table1[COST],Table1[YEAR],'CHART1- MATERIAL&amp;SERVICE BASED'!$B$6,Table1[MONTH],'CHART1- MATERIAL&amp;SERVICE BASED'!$B$9,Table1[MATERIAL &amp; SERVICE],Table12[[#This Row],[MATERIALS / SERVICES]]))</f>
        <v>0</v>
      </c>
      <c r="E356" s="268">
        <f>IF(B356=0,"",SUMIFS(Table1[COST],Table1[SUPPLIER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7" spans="2:5" ht="15" customHeight="1" thickBot="1" x14ac:dyDescent="0.35">
      <c r="B357" s="262" t="str">
        <f>IF('CATEGORY TABLES'!C337=0,"",'CATEGORY TABLES'!C337)</f>
        <v/>
      </c>
      <c r="C357" s="266">
        <f>IF(B357=0,"",SUMIFS(Table1[COST],Table1[MATERIAL &amp; SERVICE],Table12[[#This Row],[MATERIALS / SERVICES]]))</f>
        <v>0</v>
      </c>
      <c r="D357" s="267">
        <f>IF(B357=0,"",SUMIFS(Table1[COST],Table1[YEAR],'CHART1- MATERIAL&amp;SERVICE BASED'!$B$6,Table1[MONTH],'CHART1- MATERIAL&amp;SERVICE BASED'!$B$9,Table1[MATERIAL &amp; SERVICE],Table12[[#This Row],[MATERIALS / SERVICES]]))</f>
        <v>0</v>
      </c>
      <c r="E357" s="268">
        <f>IF(B357=0,"",SUMIFS(Table1[COST],Table1[SUPPLIER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8" spans="2:5" ht="15" customHeight="1" thickBot="1" x14ac:dyDescent="0.35">
      <c r="B358" s="262" t="str">
        <f>IF('CATEGORY TABLES'!C338=0,"",'CATEGORY TABLES'!C338)</f>
        <v/>
      </c>
      <c r="C358" s="266">
        <f>IF(B358=0,"",SUMIFS(Table1[COST],Table1[MATERIAL &amp; SERVICE],Table12[[#This Row],[MATERIALS / SERVICES]]))</f>
        <v>0</v>
      </c>
      <c r="D358" s="267">
        <f>IF(B358=0,"",SUMIFS(Table1[COST],Table1[YEAR],'CHART1- MATERIAL&amp;SERVICE BASED'!$B$6,Table1[MONTH],'CHART1- MATERIAL&amp;SERVICE BASED'!$B$9,Table1[MATERIAL &amp; SERVICE],Table12[[#This Row],[MATERIALS / SERVICES]]))</f>
        <v>0</v>
      </c>
      <c r="E358" s="268">
        <f>IF(B358=0,"",SUMIFS(Table1[COST],Table1[SUPPLIER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59" spans="2:5" ht="15" customHeight="1" thickBot="1" x14ac:dyDescent="0.35">
      <c r="B359" s="262" t="str">
        <f>IF('CATEGORY TABLES'!C339=0,"",'CATEGORY TABLES'!C339)</f>
        <v/>
      </c>
      <c r="C359" s="266">
        <f>IF(B359=0,"",SUMIFS(Table1[COST],Table1[MATERIAL &amp; SERVICE],Table12[[#This Row],[MATERIALS / SERVICES]]))</f>
        <v>0</v>
      </c>
      <c r="D359" s="267">
        <f>IF(B359=0,"",SUMIFS(Table1[COST],Table1[YEAR],'CHART1- MATERIAL&amp;SERVICE BASED'!$B$6,Table1[MONTH],'CHART1- MATERIAL&amp;SERVICE BASED'!$B$9,Table1[MATERIAL &amp; SERVICE],Table12[[#This Row],[MATERIALS / SERVICES]]))</f>
        <v>0</v>
      </c>
      <c r="E359" s="268">
        <f>IF(B359=0,"",SUMIFS(Table1[COST],Table1[SUPPLIER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0" spans="2:5" ht="15" customHeight="1" thickBot="1" x14ac:dyDescent="0.35">
      <c r="B360" s="262" t="str">
        <f>IF('CATEGORY TABLES'!C340=0,"",'CATEGORY TABLES'!C340)</f>
        <v/>
      </c>
      <c r="C360" s="266">
        <f>IF(B360=0,"",SUMIFS(Table1[COST],Table1[MATERIAL &amp; SERVICE],Table12[[#This Row],[MATERIALS / SERVICES]]))</f>
        <v>0</v>
      </c>
      <c r="D360" s="267">
        <f>IF(B360=0,"",SUMIFS(Table1[COST],Table1[YEAR],'CHART1- MATERIAL&amp;SERVICE BASED'!$B$6,Table1[MONTH],'CHART1- MATERIAL&amp;SERVICE BASED'!$B$9,Table1[MATERIAL &amp; SERVICE],Table12[[#This Row],[MATERIALS / SERVICES]]))</f>
        <v>0</v>
      </c>
      <c r="E360" s="268">
        <f>IF(B360=0,"",SUMIFS(Table1[COST],Table1[SUPPLIER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1" spans="2:5" ht="15" customHeight="1" thickBot="1" x14ac:dyDescent="0.35">
      <c r="B361" s="262" t="str">
        <f>IF('CATEGORY TABLES'!C341=0,"",'CATEGORY TABLES'!C341)</f>
        <v/>
      </c>
      <c r="C361" s="266">
        <f>IF(B361=0,"",SUMIFS(Table1[COST],Table1[MATERIAL &amp; SERVICE],Table12[[#This Row],[MATERIALS / SERVICES]]))</f>
        <v>0</v>
      </c>
      <c r="D361" s="267">
        <f>IF(B361=0,"",SUMIFS(Table1[COST],Table1[YEAR],'CHART1- MATERIAL&amp;SERVICE BASED'!$B$6,Table1[MONTH],'CHART1- MATERIAL&amp;SERVICE BASED'!$B$9,Table1[MATERIAL &amp; SERVICE],Table12[[#This Row],[MATERIALS / SERVICES]]))</f>
        <v>0</v>
      </c>
      <c r="E361" s="268">
        <f>IF(B361=0,"",SUMIFS(Table1[COST],Table1[SUPPLIER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2" spans="2:5" ht="15" customHeight="1" thickBot="1" x14ac:dyDescent="0.35">
      <c r="B362" s="262" t="str">
        <f>IF('CATEGORY TABLES'!C342=0,"",'CATEGORY TABLES'!C342)</f>
        <v/>
      </c>
      <c r="C362" s="266">
        <f>IF(B362=0,"",SUMIFS(Table1[COST],Table1[MATERIAL &amp; SERVICE],Table12[[#This Row],[MATERIALS / SERVICES]]))</f>
        <v>0</v>
      </c>
      <c r="D362" s="267">
        <f>IF(B362=0,"",SUMIFS(Table1[COST],Table1[YEAR],'CHART1- MATERIAL&amp;SERVICE BASED'!$B$6,Table1[MONTH],'CHART1- MATERIAL&amp;SERVICE BASED'!$B$9,Table1[MATERIAL &amp; SERVICE],Table12[[#This Row],[MATERIALS / SERVICES]]))</f>
        <v>0</v>
      </c>
      <c r="E362" s="268">
        <f>IF(B362=0,"",SUMIFS(Table1[COST],Table1[SUPPLIER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3" spans="2:5" ht="15" customHeight="1" thickBot="1" x14ac:dyDescent="0.35">
      <c r="B363" s="262" t="str">
        <f>IF('CATEGORY TABLES'!C343=0,"",'CATEGORY TABLES'!C343)</f>
        <v/>
      </c>
      <c r="C363" s="266">
        <f>IF(B363=0,"",SUMIFS(Table1[COST],Table1[MATERIAL &amp; SERVICE],Table12[[#This Row],[MATERIALS / SERVICES]]))</f>
        <v>0</v>
      </c>
      <c r="D363" s="267">
        <f>IF(B363=0,"",SUMIFS(Table1[COST],Table1[YEAR],'CHART1- MATERIAL&amp;SERVICE BASED'!$B$6,Table1[MONTH],'CHART1- MATERIAL&amp;SERVICE BASED'!$B$9,Table1[MATERIAL &amp; SERVICE],Table12[[#This Row],[MATERIALS / SERVICES]]))</f>
        <v>0</v>
      </c>
      <c r="E363" s="268">
        <f>IF(B363=0,"",SUMIFS(Table1[COST],Table1[SUPPLIER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4" spans="2:5" ht="15" customHeight="1" thickBot="1" x14ac:dyDescent="0.35">
      <c r="B364" s="262" t="str">
        <f>IF('CATEGORY TABLES'!C344=0,"",'CATEGORY TABLES'!C344)</f>
        <v/>
      </c>
      <c r="C364" s="266">
        <f>IF(B364=0,"",SUMIFS(Table1[COST],Table1[MATERIAL &amp; SERVICE],Table12[[#This Row],[MATERIALS / SERVICES]]))</f>
        <v>0</v>
      </c>
      <c r="D364" s="267">
        <f>IF(B364=0,"",SUMIFS(Table1[COST],Table1[YEAR],'CHART1- MATERIAL&amp;SERVICE BASED'!$B$6,Table1[MONTH],'CHART1- MATERIAL&amp;SERVICE BASED'!$B$9,Table1[MATERIAL &amp; SERVICE],Table12[[#This Row],[MATERIALS / SERVICES]]))</f>
        <v>0</v>
      </c>
      <c r="E364" s="268">
        <f>IF(B364=0,"",SUMIFS(Table1[COST],Table1[SUPPLIER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5" spans="2:5" ht="15" customHeight="1" thickBot="1" x14ac:dyDescent="0.35">
      <c r="B365" s="262" t="str">
        <f>IF('CATEGORY TABLES'!C345=0,"",'CATEGORY TABLES'!C345)</f>
        <v/>
      </c>
      <c r="C365" s="266">
        <f>IF(B365=0,"",SUMIFS(Table1[COST],Table1[MATERIAL &amp; SERVICE],Table12[[#This Row],[MATERIALS / SERVICES]]))</f>
        <v>0</v>
      </c>
      <c r="D365" s="267">
        <f>IF(B365=0,"",SUMIFS(Table1[COST],Table1[YEAR],'CHART1- MATERIAL&amp;SERVICE BASED'!$B$6,Table1[MONTH],'CHART1- MATERIAL&amp;SERVICE BASED'!$B$9,Table1[MATERIAL &amp; SERVICE],Table12[[#This Row],[MATERIALS / SERVICES]]))</f>
        <v>0</v>
      </c>
      <c r="E365" s="268">
        <f>IF(B365=0,"",SUMIFS(Table1[COST],Table1[SUPPLIER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6" spans="2:5" ht="15" customHeight="1" thickBot="1" x14ac:dyDescent="0.35">
      <c r="B366" s="262" t="str">
        <f>IF('CATEGORY TABLES'!C346=0,"",'CATEGORY TABLES'!C346)</f>
        <v/>
      </c>
      <c r="C366" s="266">
        <f>IF(B366=0,"",SUMIFS(Table1[COST],Table1[MATERIAL &amp; SERVICE],Table12[[#This Row],[MATERIALS / SERVICES]]))</f>
        <v>0</v>
      </c>
      <c r="D366" s="267">
        <f>IF(B366=0,"",SUMIFS(Table1[COST],Table1[YEAR],'CHART1- MATERIAL&amp;SERVICE BASED'!$B$6,Table1[MONTH],'CHART1- MATERIAL&amp;SERVICE BASED'!$B$9,Table1[MATERIAL &amp; SERVICE],Table12[[#This Row],[MATERIALS / SERVICES]]))</f>
        <v>0</v>
      </c>
      <c r="E366" s="268">
        <f>IF(B366=0,"",SUMIFS(Table1[COST],Table1[SUPPLIER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7" spans="2:5" ht="15" customHeight="1" thickBot="1" x14ac:dyDescent="0.35">
      <c r="B367" s="262" t="str">
        <f>IF('CATEGORY TABLES'!C347=0,"",'CATEGORY TABLES'!C347)</f>
        <v/>
      </c>
      <c r="C367" s="266">
        <f>IF(B367=0,"",SUMIFS(Table1[COST],Table1[MATERIAL &amp; SERVICE],Table12[[#This Row],[MATERIALS / SERVICES]]))</f>
        <v>0</v>
      </c>
      <c r="D367" s="267">
        <f>IF(B367=0,"",SUMIFS(Table1[COST],Table1[YEAR],'CHART1- MATERIAL&amp;SERVICE BASED'!$B$6,Table1[MONTH],'CHART1- MATERIAL&amp;SERVICE BASED'!$B$9,Table1[MATERIAL &amp; SERVICE],Table12[[#This Row],[MATERIALS / SERVICES]]))</f>
        <v>0</v>
      </c>
      <c r="E367" s="268">
        <f>IF(B367=0,"",SUMIFS(Table1[COST],Table1[SUPPLIER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8" spans="2:5" ht="15" customHeight="1" thickBot="1" x14ac:dyDescent="0.35">
      <c r="B368" s="262" t="str">
        <f>IF('CATEGORY TABLES'!C348=0,"",'CATEGORY TABLES'!C348)</f>
        <v/>
      </c>
      <c r="C368" s="266">
        <f>IF(B368=0,"",SUMIFS(Table1[COST],Table1[MATERIAL &amp; SERVICE],Table12[[#This Row],[MATERIALS / SERVICES]]))</f>
        <v>0</v>
      </c>
      <c r="D368" s="267">
        <f>IF(B368=0,"",SUMIFS(Table1[COST],Table1[YEAR],'CHART1- MATERIAL&amp;SERVICE BASED'!$B$6,Table1[MONTH],'CHART1- MATERIAL&amp;SERVICE BASED'!$B$9,Table1[MATERIAL &amp; SERVICE],Table12[[#This Row],[MATERIALS / SERVICES]]))</f>
        <v>0</v>
      </c>
      <c r="E368" s="268">
        <f>IF(B368=0,"",SUMIFS(Table1[COST],Table1[SUPPLIER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69" spans="2:5" ht="15" customHeight="1" thickBot="1" x14ac:dyDescent="0.35">
      <c r="B369" s="262" t="str">
        <f>IF('CATEGORY TABLES'!C349=0,"",'CATEGORY TABLES'!C349)</f>
        <v/>
      </c>
      <c r="C369" s="266">
        <f>IF(B369=0,"",SUMIFS(Table1[COST],Table1[MATERIAL &amp; SERVICE],Table12[[#This Row],[MATERIALS / SERVICES]]))</f>
        <v>0</v>
      </c>
      <c r="D369" s="267">
        <f>IF(B369=0,"",SUMIFS(Table1[COST],Table1[YEAR],'CHART1- MATERIAL&amp;SERVICE BASED'!$B$6,Table1[MONTH],'CHART1- MATERIAL&amp;SERVICE BASED'!$B$9,Table1[MATERIAL &amp; SERVICE],Table12[[#This Row],[MATERIALS / SERVICES]]))</f>
        <v>0</v>
      </c>
      <c r="E369" s="268">
        <f>IF(B369=0,"",SUMIFS(Table1[COST],Table1[SUPPLIER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  <row r="370" spans="2:5" ht="15" customHeight="1" x14ac:dyDescent="0.3">
      <c r="B370" s="262" t="str">
        <f>IF('CATEGORY TABLES'!C350=0,"",'CATEGORY TABLES'!C350)</f>
        <v/>
      </c>
      <c r="C370" s="266">
        <f>IF(B370=0,"",SUMIFS(Table1[COST],Table1[MATERIAL &amp; SERVICE],Table12[[#This Row],[MATERIALS / SERVICES]]))</f>
        <v>0</v>
      </c>
      <c r="D370" s="267">
        <f>IF(B370=0,"",SUMIFS(Table1[COST],Table1[YEAR],'CHART1- MATERIAL&amp;SERVICE BASED'!$B$6,Table1[MONTH],'CHART1- MATERIAL&amp;SERVICE BASED'!$B$9,Table1[MATERIAL &amp; SERVICE],Table12[[#This Row],[MATERIALS / SERVICES]]))</f>
        <v>0</v>
      </c>
      <c r="E370" s="268">
        <f>IF(B370=0,"",SUMIFS(Table1[COST],Table1[SUPPLIER NAME],'CHART1- MATERIAL&amp;SERVICE BASED'!$B$3,Table1[YEAR],'CHART1- MATERIAL&amp;SERVICE BASED'!$B$6,Table1[MONTH],'CHART1- MATERIAL&amp;SERVICE BASED'!$B$9,Table1[MATERIAL &amp; SERVICE],Table12[[#This Row],[MATERIALS / SERVICES]]))</f>
        <v>0</v>
      </c>
    </row>
  </sheetData>
  <conditionalFormatting sqref="C22:C370 C20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{715BFD40-9EAC-4BCD-A500-B39F5ECCCA3E}</x14:id>
        </ext>
      </extLst>
    </cfRule>
  </conditionalFormatting>
  <conditionalFormatting sqref="C22:C370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{9CEE7CCE-B500-4B8D-AC3B-B9FA543375F2}</x14:id>
        </ext>
      </extLst>
    </cfRule>
  </conditionalFormatting>
  <conditionalFormatting sqref="C20:D20 D22:D370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{AF19B7AC-84F3-4CB6-BA00-636B9DE81F4A}</x14:id>
        </ext>
      </extLst>
    </cfRule>
  </conditionalFormatting>
  <conditionalFormatting sqref="E22:E370 E20">
    <cfRule type="dataBar" priority="1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{09763003-E597-47A5-A976-E426298F0560}</x14:id>
        </ext>
      </extLst>
    </cfRule>
  </conditionalFormatting>
  <dataValidations count="1">
    <dataValidation allowBlank="1" showInputMessage="1" showErrorMessage="1" sqref="B4:C5 B7:C7" xr:uid="{9454A36F-8F4B-4114-8A1C-59A5A2B9EA7C}"/>
  </dataValidations>
  <pageMargins left="0.7" right="0.7" top="0.75" bottom="0.75" header="0.3" footer="0.3"/>
  <pageSetup paperSize="9" orientation="landscape" r:id="rId1"/>
  <headerFooter>
    <oddHeader>&amp;L&amp;"Calibri"&amp;10&amp;K0000FF [RESTRICTED INTERNAL]&amp;1#_x000D_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Spinner 9">
              <controlPr defaultSize="0" autoPict="0">
                <anchor moveWithCells="1" sizeWithCells="1">
                  <from>
                    <xdr:col>1</xdr:col>
                    <xdr:colOff>2743200</xdr:colOff>
                    <xdr:row>0</xdr:row>
                    <xdr:rowOff>876300</xdr:rowOff>
                  </from>
                  <to>
                    <xdr:col>1</xdr:col>
                    <xdr:colOff>2887980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Spinner 11">
              <controlPr defaultSize="0" autoPict="0">
                <anchor moveWithCells="1" sizeWithCells="1">
                  <from>
                    <xdr:col>2</xdr:col>
                    <xdr:colOff>2118360</xdr:colOff>
                    <xdr:row>0</xdr:row>
                    <xdr:rowOff>868680</xdr:rowOff>
                  </from>
                  <to>
                    <xdr:col>2</xdr:col>
                    <xdr:colOff>2255520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Drop Down 12">
              <controlPr defaultSize="0" autoLine="0" autoPict="0" macro="[0]!CompanySelected">
                <anchor moveWithCells="1">
                  <from>
                    <xdr:col>1</xdr:col>
                    <xdr:colOff>2941320</xdr:colOff>
                    <xdr:row>12</xdr:row>
                    <xdr:rowOff>106680</xdr:rowOff>
                  </from>
                  <to>
                    <xdr:col>2</xdr:col>
                    <xdr:colOff>2164080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5BFD40-9EAC-4BCD-A500-B39F5ECCCA3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C22:C370 C20</xm:sqref>
        </x14:conditionalFormatting>
        <x14:conditionalFormatting xmlns:xm="http://schemas.microsoft.com/office/excel/2006/main">
          <x14:cfRule type="dataBar" id="{9CEE7CCE-B500-4B8D-AC3B-B9FA543375F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C22:C370</xm:sqref>
        </x14:conditionalFormatting>
        <x14:conditionalFormatting xmlns:xm="http://schemas.microsoft.com/office/excel/2006/main">
          <x14:cfRule type="dataBar" id="{AF19B7AC-84F3-4CB6-BA00-636B9DE81F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C20:D20 D22:D370</xm:sqref>
        </x14:conditionalFormatting>
        <x14:conditionalFormatting xmlns:xm="http://schemas.microsoft.com/office/excel/2006/main">
          <x14:cfRule type="dataBar" id="{09763003-E597-47A5-A976-E426298F0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E22:E370 E20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FC7EB7-699B-41E2-B45D-65B22AE4BDBD}">
          <x14:formula1>
            <xm:f>SUPPLIERS!$B$2:$B$100</xm:f>
          </x14:formula1>
          <xm:sqref>B3:C3</xm:sqref>
        </x14:dataValidation>
        <x14:dataValidation type="list" allowBlank="1" showInputMessage="1" showErrorMessage="1" xr:uid="{5D8E3F90-EAB0-4F44-A6F7-34A8A7AB7523}">
          <x14:formula1>
            <xm:f>Time!$B$6:$B$17</xm:f>
          </x14:formula1>
          <xm:sqref>B9:C9</xm:sqref>
        </x14:dataValidation>
        <x14:dataValidation type="list" allowBlank="1" showInputMessage="1" showErrorMessage="1" xr:uid="{8C7F0BDE-6F5E-4E8C-9227-81D0E0EB31D8}">
          <x14:formula1>
            <xm:f>Time!$D$6:$D$8</xm:f>
          </x14:formula1>
          <xm:sqref>B6:C6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E1EF6-C983-48B1-A794-3455346FBC7A}">
  <sheetPr codeName="Sheet25">
    <tabColor rgb="FF002060"/>
  </sheetPr>
  <dimension ref="A1:B3"/>
  <sheetViews>
    <sheetView workbookViewId="0"/>
  </sheetViews>
  <sheetFormatPr defaultRowHeight="14.4" x14ac:dyDescent="0.3"/>
  <cols>
    <col min="1" max="1" width="12.77734375" bestFit="1" customWidth="1"/>
    <col min="2" max="2" width="18.44140625" bestFit="1" customWidth="1"/>
  </cols>
  <sheetData>
    <row r="1" spans="1:2" x14ac:dyDescent="0.3">
      <c r="A1" s="90" t="s">
        <v>106</v>
      </c>
      <c r="B1" t="s">
        <v>379</v>
      </c>
    </row>
    <row r="2" spans="1:2" x14ac:dyDescent="0.3">
      <c r="A2" s="4">
        <v>0</v>
      </c>
      <c r="B2" s="293">
        <v>0</v>
      </c>
    </row>
    <row r="3" spans="1:2" x14ac:dyDescent="0.3">
      <c r="A3" s="4" t="s">
        <v>107</v>
      </c>
      <c r="B3" s="293">
        <v>0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37AA3-A06C-4EBB-94FF-32457A45AFBF}">
  <sheetPr codeName="Sheet17">
    <tabColor rgb="FF002060"/>
  </sheetPr>
  <dimension ref="A1:C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RowHeight="14.4" x14ac:dyDescent="0.3"/>
  <cols>
    <col min="1" max="1" width="17.44140625" customWidth="1"/>
    <col min="2" max="2" width="34.33203125" customWidth="1"/>
    <col min="3" max="3" width="20.109375" customWidth="1"/>
  </cols>
  <sheetData>
    <row r="1" spans="1:3" ht="70.95" customHeight="1" x14ac:dyDescent="0.3">
      <c r="A1" s="181"/>
    </row>
    <row r="2" spans="1:3" ht="29.4" customHeight="1" x14ac:dyDescent="0.3">
      <c r="A2" t="str">
        <f>'MAIN TABLE-1 AUTOMATED'!A1</f>
        <v>Version: v1.0</v>
      </c>
      <c r="B2" s="184" t="s">
        <v>123</v>
      </c>
      <c r="C2" s="184" t="s">
        <v>26</v>
      </c>
    </row>
    <row r="3" spans="1:3" x14ac:dyDescent="0.3">
      <c r="B3" t="str">
        <f>'CATEGORY TABLES'!G2</f>
        <v>Activity A</v>
      </c>
      <c r="C3" s="3">
        <f>IF(B3=0,"",SUMIFS(Table1[COST],Table1[SPECIFIC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>0</v>
      </c>
    </row>
    <row r="4" spans="1:3" x14ac:dyDescent="0.3">
      <c r="B4" t="str">
        <f>'CATEGORY TABLES'!G3</f>
        <v>Activity B</v>
      </c>
      <c r="C4" s="3">
        <f>IF(B4=0,"",SUMIFS(Table1[COST],Table1[SPECIFIC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>0</v>
      </c>
    </row>
    <row r="5" spans="1:3" x14ac:dyDescent="0.3">
      <c r="B5" t="str">
        <f>'CATEGORY TABLES'!G4</f>
        <v>Activity C</v>
      </c>
      <c r="C5" s="3">
        <f>IF(B5=0,"",SUMIFS(Table1[COST],Table1[SPECIFIC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>0</v>
      </c>
    </row>
    <row r="6" spans="1:3" x14ac:dyDescent="0.3">
      <c r="B6">
        <f>'CATEGORY TABLES'!G5</f>
        <v>0</v>
      </c>
      <c r="C6" s="3" t="str">
        <f>IF(B6=0,"",SUMIFS(Table1[COST],Table1[SPECIFIC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7" spans="1:3" x14ac:dyDescent="0.3">
      <c r="B7">
        <f>'CATEGORY TABLES'!G6</f>
        <v>0</v>
      </c>
      <c r="C7" s="3" t="str">
        <f>IF(B7=0,"",SUMIFS(Table1[COST],Table1[SPECIFIC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8" spans="1:3" x14ac:dyDescent="0.3">
      <c r="B8">
        <f>'CATEGORY TABLES'!G7</f>
        <v>0</v>
      </c>
      <c r="C8" s="3" t="str">
        <f>IF(B8=0,"",SUMIFS(Table1[COST],Table1[SPECIFIC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9" spans="1:3" x14ac:dyDescent="0.3">
      <c r="B9">
        <f>'CATEGORY TABLES'!G8</f>
        <v>0</v>
      </c>
      <c r="C9" s="3" t="str">
        <f>IF(B9=0,"",SUMIFS(Table1[COST],Table1[SPECIFIC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0" spans="1:3" x14ac:dyDescent="0.3">
      <c r="B10">
        <f>'CATEGORY TABLES'!G9</f>
        <v>0</v>
      </c>
      <c r="C10" s="3" t="str">
        <f>IF(B10=0,"",SUMIFS(Table1[COST],Table1[SPECIFIC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1" spans="1:3" x14ac:dyDescent="0.3">
      <c r="B11">
        <f>'CATEGORY TABLES'!G10</f>
        <v>0</v>
      </c>
      <c r="C11" s="3" t="str">
        <f>IF(B11=0,"",SUMIFS(Table1[COST],Table1[SPECIFIC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2" spans="1:3" x14ac:dyDescent="0.3">
      <c r="B12">
        <f>'CATEGORY TABLES'!G11</f>
        <v>0</v>
      </c>
      <c r="C12" s="3" t="str">
        <f>IF(B12=0,"",SUMIFS(Table1[COST],Table1[SPECIFIC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3" spans="1:3" x14ac:dyDescent="0.3">
      <c r="B13">
        <f>'CATEGORY TABLES'!G12</f>
        <v>0</v>
      </c>
      <c r="C13" s="3" t="str">
        <f>IF(B13=0,"",SUMIFS(Table1[COST],Table1[SPECIFIC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4" spans="1:3" x14ac:dyDescent="0.3">
      <c r="B14">
        <f>'CATEGORY TABLES'!G13</f>
        <v>0</v>
      </c>
      <c r="C14" s="3" t="str">
        <f>IF(B14=0,"",SUMIFS(Table1[COST],Table1[SPECIFIC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5" spans="1:3" x14ac:dyDescent="0.3">
      <c r="B15">
        <f>'CATEGORY TABLES'!G14</f>
        <v>0</v>
      </c>
      <c r="C15" s="3" t="str">
        <f>IF(B15=0,"",SUMIFS(Table1[COST],Table1[SPECIFIC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6" spans="1:3" x14ac:dyDescent="0.3">
      <c r="B16">
        <f>'CATEGORY TABLES'!G15</f>
        <v>0</v>
      </c>
      <c r="C16" s="3" t="str">
        <f>IF(B16=0,"",SUMIFS(Table1[COST],Table1[SPECIFIC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7" spans="2:3" x14ac:dyDescent="0.3">
      <c r="B17">
        <f>'CATEGORY TABLES'!G16</f>
        <v>0</v>
      </c>
      <c r="C17" s="3" t="str">
        <f>IF(B17=0,"",SUMIFS(Table1[COST],Table1[SPECIFIC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8" spans="2:3" x14ac:dyDescent="0.3">
      <c r="B18">
        <f>'CATEGORY TABLES'!G17</f>
        <v>0</v>
      </c>
      <c r="C18" s="3" t="str">
        <f>IF(B18=0,"",SUMIFS(Table1[COST],Table1[SPECIFIC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19" spans="2:3" x14ac:dyDescent="0.3">
      <c r="B19">
        <f>'CATEGORY TABLES'!G18</f>
        <v>0</v>
      </c>
      <c r="C19" s="3" t="str">
        <f>IF(B19=0,"",SUMIFS(Table1[COST],Table1[SPECIFIC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20" spans="2:3" x14ac:dyDescent="0.3">
      <c r="B20">
        <f>'CATEGORY TABLES'!G19</f>
        <v>0</v>
      </c>
      <c r="C20" s="3" t="str">
        <f>IF(B20=0,"",SUMIFS(Table1[COST],Table1[SPECIFIC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21" spans="2:3" x14ac:dyDescent="0.3">
      <c r="B21">
        <f>'CATEGORY TABLES'!G20</f>
        <v>0</v>
      </c>
      <c r="C21" s="3" t="str">
        <f>IF(B21=0,"",SUMIFS(Table1[COST],Table1[SPECIFIC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  <row r="22" spans="2:3" x14ac:dyDescent="0.3">
      <c r="B22">
        <f>'CATEGORY TABLES'!G21</f>
        <v>0</v>
      </c>
      <c r="C22" s="3" t="str">
        <f>IF(B22=0,"",SUMIFS(Table1[COST],Table1[SPECIFIC COST NAME / WORK BASED],Table6[[#This Row],[SPECIFIC WORKS - BUDGET BASED]])+SUMIFS(Table111[COST],Table111[SPECIFIC NAME OF WORK],Table6[[#This Row],[SPECIFIC WORKS - BUDGET BASED]])+SUMIFS(Table13[TOTAL COST],Table13[SPECIFIC COST NAME / WORK BASED],Table6[[#This Row],[SPECIFIC WORKS - BUDGET BASED]])+SUMIFS(Table24[COST],Table24[SPECIFIC COST NAME / WORK BASED],Table6[[#This Row],[SPECIFIC WORKS - BUDGET BASED]]))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Alculate">
                <anchor moveWithCells="1" sizeWithCells="1">
                  <from>
                    <xdr:col>0</xdr:col>
                    <xdr:colOff>114300</xdr:colOff>
                    <xdr:row>0</xdr:row>
                    <xdr:rowOff>114300</xdr:rowOff>
                  </from>
                  <to>
                    <xdr:col>0</xdr:col>
                    <xdr:colOff>1112520</xdr:colOff>
                    <xdr:row>0</xdr:row>
                    <xdr:rowOff>769620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C3E-F4E8-4A6F-9C72-0729FDA81882}">
  <sheetPr codeName="Sheet18">
    <tabColor rgb="FF002060"/>
  </sheetPr>
  <dimension ref="A1:C36"/>
  <sheetViews>
    <sheetView workbookViewId="0">
      <selection activeCell="F16" sqref="F16"/>
    </sheetView>
  </sheetViews>
  <sheetFormatPr defaultRowHeight="14.4" x14ac:dyDescent="0.3"/>
  <cols>
    <col min="1" max="1" width="15.6640625" customWidth="1"/>
    <col min="2" max="2" width="33.44140625" customWidth="1"/>
    <col min="3" max="3" width="23.109375" customWidth="1"/>
  </cols>
  <sheetData>
    <row r="1" spans="1:3" ht="65.400000000000006" customHeight="1" x14ac:dyDescent="0.3">
      <c r="A1" s="181"/>
      <c r="B1" t="str">
        <f>'MAIN TABLE-1 AUTOMATED'!A1</f>
        <v>Version: v1.0</v>
      </c>
    </row>
    <row r="2" spans="1:3" ht="49.95" customHeight="1" x14ac:dyDescent="0.3">
      <c r="B2" s="185" t="s">
        <v>123</v>
      </c>
      <c r="C2" s="185" t="s">
        <v>26</v>
      </c>
    </row>
    <row r="3" spans="1:3" x14ac:dyDescent="0.3">
      <c r="B3" t="str">
        <f>'CATEGORY TABLES'!E2</f>
        <v>DESIGN</v>
      </c>
      <c r="C3" s="3">
        <f>IF(B3=0,"",SUMIFS(Table1[COST],Table1[PRINCIPLE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4" spans="1:3" x14ac:dyDescent="0.3">
      <c r="B4" t="str">
        <f>'CATEGORY TABLES'!E3</f>
        <v>CIVIL</v>
      </c>
      <c r="C4" s="3">
        <f>IF(B4=0,"",SUMIFS(Table1[COST],Table1[PRINCIPLE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5" spans="1:3" x14ac:dyDescent="0.3">
      <c r="B5" t="str">
        <f>'CATEGORY TABLES'!E4</f>
        <v>ELECTRICAL</v>
      </c>
      <c r="C5" s="3">
        <f>IF(B5=0,"",SUMIFS(Table1[COST],Table1[PRINCIPLE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6" spans="1:3" x14ac:dyDescent="0.3">
      <c r="B6" t="str">
        <f>'CATEGORY TABLES'!E5</f>
        <v>MECHANICAL</v>
      </c>
      <c r="C6" s="3">
        <f>IF(B6=0,"",SUMIFS(Table1[COST],Table1[PRINCIPLE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7" spans="1:3" x14ac:dyDescent="0.3">
      <c r="B7" t="str">
        <f>'CATEGORY TABLES'!E6</f>
        <v>LANDSCAPING</v>
      </c>
      <c r="C7" s="3">
        <f>IF(B7=0,"",SUMIFS(Table1[COST],Table1[PRINCIPLE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8" spans="1:3" x14ac:dyDescent="0.3">
      <c r="B8" t="str">
        <f>'CATEGORY TABLES'!E7</f>
        <v>LOGISTIC &amp; OPERATIONAL COSTs</v>
      </c>
      <c r="C8" s="3">
        <f>IF(B8=0,"",SUMIFS(Table1[COST],Table1[PRINCIPLE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9" spans="1:3" x14ac:dyDescent="0.3">
      <c r="B9" t="str">
        <f>'CATEGORY TABLES'!E8</f>
        <v>COMPOUND</v>
      </c>
      <c r="C9" s="3">
        <f>IF(B9=0,"",SUMIFS(Table1[COST],Table1[PRINCIPLE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0" spans="1:3" x14ac:dyDescent="0.3">
      <c r="B10" t="str">
        <f>'CATEGORY TABLES'!E9</f>
        <v>CONSUMABLES</v>
      </c>
      <c r="C10" s="3">
        <f>IF(B10=0,"",SUMIFS(Table1[COST],Table1[PRINCIPLE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1" spans="1:3" x14ac:dyDescent="0.3">
      <c r="B11" t="str">
        <f>'CATEGORY TABLES'!E10</f>
        <v>INVENTORY</v>
      </c>
      <c r="C11" s="3">
        <f>IF(B11=0,"",SUMIFS(Table1[COST],Table1[PRINCIPLE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2" spans="1:3" x14ac:dyDescent="0.3">
      <c r="B12" t="str">
        <f>'CATEGORY TABLES'!E11</f>
        <v>SUNDRIES</v>
      </c>
      <c r="C12" s="3">
        <f>IF(B12=0,"",SUMIFS(Table1[COST],Table1[PRINCIPLE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3" spans="1:3" x14ac:dyDescent="0.3">
      <c r="B13" t="str">
        <f>'CATEGORY TABLES'!E12</f>
        <v>HIRED EQUIPMENTS</v>
      </c>
      <c r="C13" s="3">
        <f>IF(B13=0,"",SUMIFS(Table1[COST],Table1[PRINCIPLE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4" spans="1:3" x14ac:dyDescent="0.3">
      <c r="B14" t="str">
        <f>'CATEGORY TABLES'!E13</f>
        <v>TRAFFIC MANAGEMENT</v>
      </c>
      <c r="C14" s="3">
        <f>IF(B14=0,"",SUMIFS(Table1[COST],Table1[PRINCIPLE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5" spans="1:3" x14ac:dyDescent="0.3">
      <c r="B15" t="str">
        <f>'CATEGORY TABLES'!E14</f>
        <v>PUBLIC ENGAGEMENT</v>
      </c>
      <c r="C15" s="3">
        <f>IF(B15=0,"",SUMIFS(Table1[COST],Table1[PRINCIPLE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6" spans="1:3" x14ac:dyDescent="0.3">
      <c r="B16" t="str">
        <f>'CATEGORY TABLES'!E15</f>
        <v>TEMPORARY WORKS</v>
      </c>
      <c r="C16" s="3">
        <f>IF(B16=0,"",SUMIFS(Table1[COST],Table1[PRINCIPLE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7" spans="2:3" x14ac:dyDescent="0.3">
      <c r="B17" t="str">
        <f>'CATEGORY TABLES'!E16</f>
        <v>HSE</v>
      </c>
      <c r="C17" s="3">
        <f>IF(B17=0,"",SUMIFS(Table1[COST],Table1[PRINCIPLE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8" spans="2:3" x14ac:dyDescent="0.3">
      <c r="B18" t="str">
        <f>'CATEGORY TABLES'!E17</f>
        <v>QUALITY</v>
      </c>
      <c r="C18" s="3">
        <f>IF(B18=0,"",SUMIFS(Table1[COST],Table1[PRINCIPLE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19" spans="2:3" x14ac:dyDescent="0.3">
      <c r="B19" t="str">
        <f>'CATEGORY TABLES'!E18</f>
        <v>SANITARY PRODUCTS</v>
      </c>
      <c r="C19" s="3">
        <f>IF(B19=0,"",SUMIFS(Table1[COST],Table1[PRINCIPLE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0" spans="2:3" x14ac:dyDescent="0.3">
      <c r="B20" t="str">
        <f>'CATEGORY TABLES'!E19</f>
        <v>STATIONARY</v>
      </c>
      <c r="C20" s="3">
        <f>IF(B20=0,"",SUMIFS(Table1[COST],Table1[PRINCIPLE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1" spans="2:3" x14ac:dyDescent="0.3">
      <c r="B21" t="str">
        <f>'CATEGORY TABLES'!E20</f>
        <v>ADMINSTIRATIVE</v>
      </c>
      <c r="C21" s="3">
        <f>IF(B21=0,"",SUMIFS(Table1[COST],Table1[PRINCIPLE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2" spans="2:3" x14ac:dyDescent="0.3">
      <c r="B22" t="str">
        <f>'CATEGORY TABLES'!E21</f>
        <v>PPE</v>
      </c>
      <c r="C22" s="3">
        <f>IF(B22=0,"",SUMIFS(Table1[COST],Table1[PRINCIPLE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3" spans="2:3" x14ac:dyDescent="0.3">
      <c r="B23" t="str">
        <f>'CATEGORY TABLES'!E22</f>
        <v>ENVIROMENTAL - WASTE MANAGEMENT</v>
      </c>
      <c r="C23" s="3">
        <f>IF(B23=0,"",SUMIFS(Table1[COST],Table1[PRINCIPLE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4" spans="2:3" x14ac:dyDescent="0.3">
      <c r="B24" t="str">
        <f>'CATEGORY TABLES'!E23</f>
        <v>SECURITY</v>
      </c>
      <c r="C24" s="3">
        <f>IF(B24=0,"",SUMIFS(Table1[COST],Table1[PRINCIPLE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5" spans="2:3" x14ac:dyDescent="0.3">
      <c r="B25" t="str">
        <f>'CATEGORY TABLES'!E24</f>
        <v>SURVEY</v>
      </c>
      <c r="C25" s="3">
        <f>IF(B25=0,"",SUMIFS(Table1[COST],Table1[PRINCIPLE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6" spans="2:3" x14ac:dyDescent="0.3">
      <c r="B26" t="str">
        <f>'CATEGORY TABLES'!E25</f>
        <v>OTHERS</v>
      </c>
      <c r="C26" s="3">
        <f>IF(B26=0,"",SUMIFS(Table1[COST],Table1[PRINCIPLE OF WORKS],Table622[[#This Row],[SPECIFIC WORKS - BUDGET BASED]])+SUMIFS(Table111[COST],Table111[PRINCIPLE OF WORKS],Table622[[#This Row],[SPECIFIC WORKS - BUDGET BASED]])+SUMIFS(Table13[TOTAL COST],Table13[PRINCIPLE OF WORKS],Table622[[#This Row],[SPECIFIC WORKS - BUDGET BASED]])+SUMIFS(Table24[COST],Table24[PRINCIPLE OF WORKS],Table622[[#This Row],[SPECIFIC WORKS - BUDGET BASED]]))</f>
        <v>0</v>
      </c>
    </row>
    <row r="27" spans="2:3" x14ac:dyDescent="0.3">
      <c r="C27" s="3"/>
    </row>
    <row r="28" spans="2:3" x14ac:dyDescent="0.3">
      <c r="C28" s="3"/>
    </row>
    <row r="29" spans="2:3" x14ac:dyDescent="0.3">
      <c r="C29" s="3"/>
    </row>
    <row r="30" spans="2:3" x14ac:dyDescent="0.3">
      <c r="C30" s="3"/>
    </row>
    <row r="31" spans="2:3" x14ac:dyDescent="0.3">
      <c r="C31" s="3"/>
    </row>
    <row r="32" spans="2:3" x14ac:dyDescent="0.3">
      <c r="C32" s="3"/>
    </row>
    <row r="33" spans="3:3" x14ac:dyDescent="0.3">
      <c r="C33" s="3"/>
    </row>
    <row r="34" spans="3:3" x14ac:dyDescent="0.3">
      <c r="C34" s="3"/>
    </row>
    <row r="35" spans="3:3" x14ac:dyDescent="0.3">
      <c r="C35" s="3"/>
    </row>
    <row r="36" spans="3:3" x14ac:dyDescent="0.3">
      <c r="C36" s="3"/>
    </row>
  </sheetData>
  <conditionalFormatting sqref="C3:C2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{DD873A21-2C0C-4CD6-9C24-65B9520B1E33}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CAlculate">
                <anchor moveWithCells="1" sizeWithCells="1">
                  <from>
                    <xdr:col>0</xdr:col>
                    <xdr:colOff>99060</xdr:colOff>
                    <xdr:row>0</xdr:row>
                    <xdr:rowOff>83820</xdr:rowOff>
                  </from>
                  <to>
                    <xdr:col>0</xdr:col>
                    <xdr:colOff>1013460</xdr:colOff>
                    <xdr:row>0</xdr:row>
                    <xdr:rowOff>746760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873A21-2C0C-4CD6-9C24-65B9520B1E3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C3:C26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6910D-1AEC-4BE5-8998-740C29DD9B8E}">
  <sheetPr codeName="Sheet27"/>
  <dimension ref="A1:B14"/>
  <sheetViews>
    <sheetView workbookViewId="0">
      <selection activeCell="G21" sqref="G21"/>
    </sheetView>
  </sheetViews>
  <sheetFormatPr defaultRowHeight="14.4" x14ac:dyDescent="0.3"/>
  <cols>
    <col min="1" max="1" width="21.33203125" bestFit="1" customWidth="1"/>
    <col min="2" max="2" width="17.44140625" bestFit="1" customWidth="1"/>
  </cols>
  <sheetData>
    <row r="1" spans="1:2" x14ac:dyDescent="0.3">
      <c r="A1" s="90" t="s">
        <v>106</v>
      </c>
      <c r="B1" t="s">
        <v>380</v>
      </c>
    </row>
    <row r="2" spans="1:2" x14ac:dyDescent="0.3">
      <c r="A2" s="4" t="s">
        <v>6</v>
      </c>
      <c r="B2" s="293">
        <v>0</v>
      </c>
    </row>
    <row r="3" spans="1:2" x14ac:dyDescent="0.3">
      <c r="A3" s="4" t="s">
        <v>11</v>
      </c>
      <c r="B3" s="293">
        <v>0</v>
      </c>
    </row>
    <row r="4" spans="1:2" x14ac:dyDescent="0.3">
      <c r="A4" s="4" t="s">
        <v>9</v>
      </c>
      <c r="B4" s="293">
        <v>0</v>
      </c>
    </row>
    <row r="5" spans="1:2" x14ac:dyDescent="0.3">
      <c r="A5" s="4" t="s">
        <v>14</v>
      </c>
      <c r="B5" s="293">
        <v>0</v>
      </c>
    </row>
    <row r="6" spans="1:2" x14ac:dyDescent="0.3">
      <c r="A6" s="4" t="s">
        <v>15</v>
      </c>
      <c r="B6" s="293">
        <v>0</v>
      </c>
    </row>
    <row r="7" spans="1:2" x14ac:dyDescent="0.3">
      <c r="A7" s="4" t="s">
        <v>13</v>
      </c>
      <c r="B7" s="293">
        <v>0</v>
      </c>
    </row>
    <row r="8" spans="1:2" x14ac:dyDescent="0.3">
      <c r="A8" s="4" t="s">
        <v>16</v>
      </c>
      <c r="B8" s="293">
        <v>0</v>
      </c>
    </row>
    <row r="9" spans="1:2" x14ac:dyDescent="0.3">
      <c r="A9" s="4" t="s">
        <v>12</v>
      </c>
      <c r="B9" s="293">
        <v>0</v>
      </c>
    </row>
    <row r="10" spans="1:2" x14ac:dyDescent="0.3">
      <c r="A10" s="4" t="s">
        <v>5</v>
      </c>
      <c r="B10" s="293">
        <v>0</v>
      </c>
    </row>
    <row r="11" spans="1:2" x14ac:dyDescent="0.3">
      <c r="A11" s="4" t="s">
        <v>8</v>
      </c>
      <c r="B11" s="293">
        <v>0</v>
      </c>
    </row>
    <row r="12" spans="1:2" x14ac:dyDescent="0.3">
      <c r="A12" s="4" t="s">
        <v>7</v>
      </c>
      <c r="B12" s="293">
        <v>0</v>
      </c>
    </row>
    <row r="13" spans="1:2" x14ac:dyDescent="0.3">
      <c r="A13" s="4" t="s">
        <v>10</v>
      </c>
      <c r="B13" s="293">
        <v>0</v>
      </c>
    </row>
    <row r="14" spans="1:2" x14ac:dyDescent="0.3">
      <c r="A14" s="4" t="s">
        <v>107</v>
      </c>
      <c r="B14" s="293">
        <v>0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5342B-55BB-40E4-A560-BAB2FD897C0C}">
  <sheetPr codeName="Sheet28"/>
  <dimension ref="A1:B14"/>
  <sheetViews>
    <sheetView workbookViewId="0">
      <selection activeCell="M21" sqref="M21"/>
    </sheetView>
  </sheetViews>
  <sheetFormatPr defaultRowHeight="14.4" x14ac:dyDescent="0.3"/>
  <cols>
    <col min="1" max="1" width="21.33203125" bestFit="1" customWidth="1"/>
    <col min="2" max="2" width="18" bestFit="1" customWidth="1"/>
  </cols>
  <sheetData>
    <row r="1" spans="1:2" x14ac:dyDescent="0.3">
      <c r="A1" s="90" t="s">
        <v>106</v>
      </c>
      <c r="B1" t="s">
        <v>381</v>
      </c>
    </row>
    <row r="2" spans="1:2" x14ac:dyDescent="0.3">
      <c r="A2" s="4" t="s">
        <v>6</v>
      </c>
      <c r="B2" s="293">
        <v>0</v>
      </c>
    </row>
    <row r="3" spans="1:2" x14ac:dyDescent="0.3">
      <c r="A3" s="4" t="s">
        <v>11</v>
      </c>
      <c r="B3" s="293">
        <v>0</v>
      </c>
    </row>
    <row r="4" spans="1:2" x14ac:dyDescent="0.3">
      <c r="A4" s="4" t="s">
        <v>9</v>
      </c>
      <c r="B4" s="293">
        <v>0</v>
      </c>
    </row>
    <row r="5" spans="1:2" x14ac:dyDescent="0.3">
      <c r="A5" s="4" t="s">
        <v>14</v>
      </c>
      <c r="B5" s="293">
        <v>0</v>
      </c>
    </row>
    <row r="6" spans="1:2" x14ac:dyDescent="0.3">
      <c r="A6" s="4" t="s">
        <v>15</v>
      </c>
      <c r="B6" s="293">
        <v>0</v>
      </c>
    </row>
    <row r="7" spans="1:2" x14ac:dyDescent="0.3">
      <c r="A7" s="4" t="s">
        <v>13</v>
      </c>
      <c r="B7" s="293">
        <v>0</v>
      </c>
    </row>
    <row r="8" spans="1:2" x14ac:dyDescent="0.3">
      <c r="A8" s="4" t="s">
        <v>16</v>
      </c>
      <c r="B8" s="293">
        <v>0</v>
      </c>
    </row>
    <row r="9" spans="1:2" x14ac:dyDescent="0.3">
      <c r="A9" s="4" t="s">
        <v>12</v>
      </c>
      <c r="B9" s="293">
        <v>0</v>
      </c>
    </row>
    <row r="10" spans="1:2" x14ac:dyDescent="0.3">
      <c r="A10" s="4" t="s">
        <v>5</v>
      </c>
      <c r="B10" s="293">
        <v>0</v>
      </c>
    </row>
    <row r="11" spans="1:2" x14ac:dyDescent="0.3">
      <c r="A11" s="4" t="s">
        <v>8</v>
      </c>
      <c r="B11" s="293">
        <v>0</v>
      </c>
    </row>
    <row r="12" spans="1:2" x14ac:dyDescent="0.3">
      <c r="A12" s="4" t="s">
        <v>7</v>
      </c>
      <c r="B12" s="293">
        <v>0</v>
      </c>
    </row>
    <row r="13" spans="1:2" x14ac:dyDescent="0.3">
      <c r="A13" s="4" t="s">
        <v>10</v>
      </c>
      <c r="B13" s="293">
        <v>0</v>
      </c>
    </row>
    <row r="14" spans="1:2" x14ac:dyDescent="0.3">
      <c r="A14" s="4" t="s">
        <v>107</v>
      </c>
      <c r="B14" s="293">
        <v>0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D2DD-BF76-4372-8F96-9F7F0E8C0880}">
  <sheetPr codeName="Sheet3">
    <tabColor theme="0" tint="-0.34998626667073579"/>
  </sheetPr>
  <dimension ref="A1:E55"/>
  <sheetViews>
    <sheetView workbookViewId="0">
      <selection activeCell="A9" sqref="A9:C30"/>
    </sheetView>
  </sheetViews>
  <sheetFormatPr defaultRowHeight="14.4" x14ac:dyDescent="0.3"/>
  <cols>
    <col min="1" max="1" width="46.44140625" customWidth="1"/>
    <col min="2" max="2" width="15.44140625" customWidth="1"/>
    <col min="3" max="3" width="16.33203125" customWidth="1"/>
  </cols>
  <sheetData>
    <row r="1" spans="1:5" x14ac:dyDescent="0.3">
      <c r="A1" s="50" t="s">
        <v>0</v>
      </c>
      <c r="B1" s="91" t="str">
        <f>'MAIN TABLE-1 AUTOMATED'!A1</f>
        <v>Version: v1.0</v>
      </c>
      <c r="C1" s="51"/>
      <c r="D1" s="24"/>
      <c r="E1" s="24"/>
    </row>
    <row r="2" spans="1:5" x14ac:dyDescent="0.3">
      <c r="A2" s="52">
        <v>2026</v>
      </c>
      <c r="B2" s="24"/>
      <c r="C2" s="53"/>
      <c r="D2" s="24"/>
      <c r="E2" s="24"/>
    </row>
    <row r="3" spans="1:5" x14ac:dyDescent="0.3">
      <c r="A3" s="54"/>
      <c r="B3" s="24"/>
      <c r="C3" s="55"/>
      <c r="D3" s="24"/>
      <c r="E3" s="24"/>
    </row>
    <row r="4" spans="1:5" x14ac:dyDescent="0.3">
      <c r="A4" s="56" t="s">
        <v>1</v>
      </c>
      <c r="B4" s="24"/>
      <c r="C4" s="55"/>
      <c r="D4" s="24"/>
      <c r="E4" s="24"/>
    </row>
    <row r="5" spans="1:5" x14ac:dyDescent="0.3">
      <c r="A5" s="52">
        <v>26</v>
      </c>
      <c r="B5" s="24"/>
      <c r="C5" s="55"/>
      <c r="D5" s="24"/>
      <c r="E5" s="24"/>
    </row>
    <row r="6" spans="1:5" ht="15" customHeight="1" x14ac:dyDescent="0.3">
      <c r="A6" s="57"/>
      <c r="B6" s="24"/>
      <c r="C6" s="55"/>
      <c r="D6" s="24"/>
      <c r="E6" s="24"/>
    </row>
    <row r="7" spans="1:5" x14ac:dyDescent="0.3">
      <c r="A7" s="57"/>
      <c r="B7" s="58"/>
      <c r="C7" s="55"/>
      <c r="D7" s="24"/>
      <c r="E7" s="24"/>
    </row>
    <row r="8" spans="1:5" ht="18" customHeight="1" x14ac:dyDescent="0.35">
      <c r="A8" s="59" t="s">
        <v>2</v>
      </c>
      <c r="B8" s="47" t="s">
        <v>3</v>
      </c>
      <c r="C8" s="60" t="s">
        <v>4</v>
      </c>
    </row>
    <row r="9" spans="1:5" x14ac:dyDescent="0.3">
      <c r="A9" s="45" t="s">
        <v>5</v>
      </c>
      <c r="B9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9" s="9">
        <f>IF(A9="","",(SUMIF(Table1[ADDRESSING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</row>
    <row r="10" spans="1:5" x14ac:dyDescent="0.3">
      <c r="A10" s="25" t="s">
        <v>6</v>
      </c>
      <c r="B10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0" s="9">
        <f>IF(A10="","",(SUMIF(Table1[ADDRESSING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</row>
    <row r="11" spans="1:5" x14ac:dyDescent="0.3">
      <c r="A11" s="45" t="s">
        <v>7</v>
      </c>
      <c r="B11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1" s="9">
        <f>IF(A11="","",(SUMIF(Table1[ADDRESSING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</row>
    <row r="12" spans="1:5" x14ac:dyDescent="0.3">
      <c r="A12" s="25" t="s">
        <v>8</v>
      </c>
      <c r="B12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2" s="9">
        <f>IF(A12="","",(SUMIF(Table1[ADDRESSING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</row>
    <row r="13" spans="1:5" x14ac:dyDescent="0.3">
      <c r="A13" s="45" t="s">
        <v>9</v>
      </c>
      <c r="B13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3" s="9">
        <f>IF(A13="","",(SUMIF(Table1[ADDRESSING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13" s="24"/>
    </row>
    <row r="14" spans="1:5" x14ac:dyDescent="0.3">
      <c r="A14" s="25" t="s">
        <v>10</v>
      </c>
      <c r="B14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4" s="9">
        <f>IF(A14="","",(SUMIF(Table1[ADDRESSING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14" s="24"/>
    </row>
    <row r="15" spans="1:5" x14ac:dyDescent="0.3">
      <c r="A15" s="45" t="s">
        <v>11</v>
      </c>
      <c r="B15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5" s="9">
        <f>IF(A15="","",(SUMIF(Table1[ADDRESSING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15" s="24"/>
    </row>
    <row r="16" spans="1:5" x14ac:dyDescent="0.3">
      <c r="A16" s="25" t="s">
        <v>12</v>
      </c>
      <c r="B16" s="9">
        <f>SUM('TABLE-3 HIRED EQUIPMENT'!AV3:AV1000)</f>
        <v>0</v>
      </c>
      <c r="C16" s="9">
        <f>IF(A16="","",(SUMIF(Table1[ADDRESSING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16" s="24"/>
    </row>
    <row r="17" spans="1:5" x14ac:dyDescent="0.3">
      <c r="A17" s="45" t="s">
        <v>13</v>
      </c>
      <c r="B17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7" s="9">
        <f>IF(A17="","",(SUMIF(Table1[ADDRESSING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17" s="24"/>
    </row>
    <row r="18" spans="1:5" x14ac:dyDescent="0.3">
      <c r="A18" s="25" t="s">
        <v>14</v>
      </c>
      <c r="B18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8" s="9">
        <f>IF(A18="","",(SUMIF(Table1[ADDRESSING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18" s="24"/>
    </row>
    <row r="19" spans="1:5" x14ac:dyDescent="0.3">
      <c r="A19" s="45" t="s">
        <v>15</v>
      </c>
      <c r="B19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19" s="9">
        <f>IF(A19="","",(SUMIF(Table1[ADDRESSING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19" s="24"/>
    </row>
    <row r="20" spans="1:5" x14ac:dyDescent="0.3">
      <c r="A20" s="46" t="s">
        <v>16</v>
      </c>
      <c r="B20" s="9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>0</v>
      </c>
      <c r="C20" s="9">
        <f>IF(A20="","",(SUMIF(Table1[ADDRESSING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>0</v>
      </c>
      <c r="E20" s="24"/>
    </row>
    <row r="21" spans="1:5" x14ac:dyDescent="0.3">
      <c r="A21" s="25"/>
      <c r="B21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1" s="9" t="str">
        <f>IF(A21="","",(SUMIF(Table1[ADDRESSING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1" s="24"/>
    </row>
    <row r="22" spans="1:5" x14ac:dyDescent="0.3">
      <c r="A22" s="25"/>
      <c r="B22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2" s="9" t="str">
        <f>IF(A22="","",(SUMIF(Table1[ADDRESSING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2" s="24"/>
    </row>
    <row r="23" spans="1:5" x14ac:dyDescent="0.3">
      <c r="A23" s="25"/>
      <c r="B23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3" s="9" t="str">
        <f>IF(A23="","",(SUMIF(Table1[ADDRESSING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3" s="24"/>
    </row>
    <row r="24" spans="1:5" x14ac:dyDescent="0.3">
      <c r="A24" s="25"/>
      <c r="B24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4" s="9" t="str">
        <f>IF(A24="","",(SUMIF(Table1[ADDRESSING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4" s="24"/>
    </row>
    <row r="25" spans="1:5" x14ac:dyDescent="0.3">
      <c r="A25" s="25"/>
      <c r="B25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5" s="9" t="str">
        <f>IF(A25="","",(SUMIF(Table1[ADDRESSING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5" s="24"/>
    </row>
    <row r="26" spans="1:5" x14ac:dyDescent="0.3">
      <c r="A26" s="25"/>
      <c r="B26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6" s="9" t="str">
        <f>IF(A26="","",(SUMIF(Table1[ADDRESSING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6" s="24"/>
    </row>
    <row r="27" spans="1:5" x14ac:dyDescent="0.3">
      <c r="A27" s="25"/>
      <c r="B27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7" s="9" t="str">
        <f>IF(A27="","",(SUMIF(Table1[ADDRESSING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7" s="24"/>
    </row>
    <row r="28" spans="1:5" x14ac:dyDescent="0.3">
      <c r="A28" s="25"/>
      <c r="B28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8" s="9" t="str">
        <f>IF(A28="","",(SUMIF(Table1[ADDRESSING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8" s="24"/>
    </row>
    <row r="29" spans="1:5" x14ac:dyDescent="0.3">
      <c r="A29" s="46"/>
      <c r="B29" s="9" t="str">
        <f>IF(Table18[[#This Row],[SAMPLE PROJECT ]]="","",(SUMIFS(Table1[COST],Table1[YEAR],'Delivery Report'!$A$2,Table1[WEEK],'Delivery Report'!$A$5,Table1[ADDRESSING THE COST ITEM],Table18[[#This Row],[SAMPLE PROJECT ]])+SUMIFS(Table111[COST],Table111[YEAR],'Delivery Report'!$A$2,Table111[WEEK],'Delivery Report'!$A$5,Table111[ADDRESSING THE COST ITEM],Table18[[#This Row],[SAMPLE PROJECT ]])+SUMIF(Table13[ADDRESSING THE COST ITEM],Table18[[#This Row],[SAMPLE PROJECT ]],Table13[date slicer])))</f>
        <v/>
      </c>
      <c r="C29" s="9" t="str">
        <f>IF(A29="","",(SUMIF(Table1[ADDRESSING THE COST ITEM],Table18[[#This Row],[SAMPLE PROJECT ]],Table1[COST])+SUMIF(Table111[ADDRESSING THE COST ITEM],Table18[[#This Row],[SAMPLE PROJECT ]],Table111[COST])+SUMIF(Table13[ADDRESSING THE COST ITEM],Table18[[#This Row],[SAMPLE PROJECT ]],Table13[TOTAL COST])))</f>
        <v/>
      </c>
      <c r="E29" s="24"/>
    </row>
    <row r="30" spans="1:5" x14ac:dyDescent="0.3">
      <c r="A30" s="48" t="s">
        <v>17</v>
      </c>
      <c r="B30" s="49">
        <f>SUM(B9:B29)</f>
        <v>0</v>
      </c>
      <c r="C30" s="49">
        <f>SUM(C9:C29)</f>
        <v>0</v>
      </c>
    </row>
    <row r="31" spans="1:5" x14ac:dyDescent="0.3">
      <c r="B31" s="15"/>
    </row>
    <row r="32" spans="1:5" x14ac:dyDescent="0.3">
      <c r="B32" s="15"/>
    </row>
    <row r="33" spans="2:2" x14ac:dyDescent="0.3">
      <c r="B33" s="15"/>
    </row>
    <row r="34" spans="2:2" x14ac:dyDescent="0.3">
      <c r="B34" s="15"/>
    </row>
    <row r="35" spans="2:2" x14ac:dyDescent="0.3">
      <c r="B35" s="15"/>
    </row>
    <row r="36" spans="2:2" x14ac:dyDescent="0.3">
      <c r="B36" s="15"/>
    </row>
    <row r="37" spans="2:2" x14ac:dyDescent="0.3">
      <c r="B37" s="15"/>
    </row>
    <row r="38" spans="2:2" x14ac:dyDescent="0.3">
      <c r="B38" s="15"/>
    </row>
    <row r="39" spans="2:2" x14ac:dyDescent="0.3">
      <c r="B39" s="15"/>
    </row>
    <row r="40" spans="2:2" x14ac:dyDescent="0.3">
      <c r="B40" s="15"/>
    </row>
    <row r="41" spans="2:2" x14ac:dyDescent="0.3">
      <c r="B41" s="15"/>
    </row>
    <row r="42" spans="2:2" x14ac:dyDescent="0.3">
      <c r="B42" s="15"/>
    </row>
    <row r="43" spans="2:2" x14ac:dyDescent="0.3">
      <c r="B43" s="15"/>
    </row>
    <row r="44" spans="2:2" x14ac:dyDescent="0.3">
      <c r="B44" s="15"/>
    </row>
    <row r="45" spans="2:2" x14ac:dyDescent="0.3">
      <c r="B45" s="15"/>
    </row>
    <row r="46" spans="2:2" x14ac:dyDescent="0.3">
      <c r="B46" s="15"/>
    </row>
    <row r="47" spans="2:2" x14ac:dyDescent="0.3">
      <c r="B47" s="15"/>
    </row>
    <row r="48" spans="2:2" x14ac:dyDescent="0.3">
      <c r="B48" s="15"/>
    </row>
    <row r="49" spans="2:2" x14ac:dyDescent="0.3">
      <c r="B49" s="15"/>
    </row>
    <row r="50" spans="2:2" x14ac:dyDescent="0.3">
      <c r="B50" s="15"/>
    </row>
    <row r="51" spans="2:2" x14ac:dyDescent="0.3">
      <c r="B51" s="15"/>
    </row>
    <row r="52" spans="2:2" x14ac:dyDescent="0.3">
      <c r="B52" s="15"/>
    </row>
    <row r="53" spans="2:2" x14ac:dyDescent="0.3">
      <c r="B53" s="15"/>
    </row>
    <row r="54" spans="2:2" x14ac:dyDescent="0.3">
      <c r="B54" s="15"/>
    </row>
    <row r="55" spans="2:2" x14ac:dyDescent="0.3">
      <c r="B55" s="15"/>
    </row>
  </sheetData>
  <dataValidations count="1">
    <dataValidation allowBlank="1" showInputMessage="1" showErrorMessage="1" sqref="A1 A3 A6:A7" xr:uid="{1A97BEDF-A741-4DCB-B4F3-2B9144B4FFD3}"/>
  </dataValidations>
  <pageMargins left="0.7" right="0.7" top="0.75" bottom="0.75" header="0.3" footer="0.3"/>
  <headerFooter>
    <oddHeader>&amp;L&amp;"Calibri"&amp;10&amp;K0000FF [RESTRICTED INTERNAL]&amp;1#_x000D_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culate">
                <anchor moveWithCells="1" sizeWithCells="1">
                  <from>
                    <xdr:col>0</xdr:col>
                    <xdr:colOff>0</xdr:colOff>
                    <xdr:row>5</xdr:row>
                    <xdr:rowOff>60960</xdr:rowOff>
                  </from>
                  <to>
                    <xdr:col>1</xdr:col>
                    <xdr:colOff>3185160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586FC1C-E3C7-4552-9340-A50FF660D669}">
          <x14:formula1>
            <xm:f>Time!$D$6:$D$16</xm:f>
          </x14:formula1>
          <xm:sqref>A2</xm:sqref>
        </x14:dataValidation>
        <x14:dataValidation type="list" allowBlank="1" showInputMessage="1" showErrorMessage="1" xr:uid="{0F00D421-4EBD-4505-AA3A-D9B6CAD432B3}">
          <x14:formula1>
            <xm:f>Time!$F$6:$F$57</xm:f>
          </x14:formula1>
          <xm:sqref>A5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D9973-62EC-42A5-9057-07A0BF203447}">
  <sheetPr codeName="Sheet2">
    <tabColor rgb="FFFFC000"/>
  </sheetPr>
  <dimension ref="A1:G100"/>
  <sheetViews>
    <sheetView zoomScale="85" zoomScaleNormal="85" workbookViewId="0">
      <pane ySplit="1" topLeftCell="A2" activePane="bottomLeft" state="frozen"/>
      <selection pane="bottomLeft" activeCell="B11" sqref="B11"/>
    </sheetView>
  </sheetViews>
  <sheetFormatPr defaultRowHeight="14.4" x14ac:dyDescent="0.3"/>
  <cols>
    <col min="1" max="1" width="16.44140625" customWidth="1"/>
    <col min="2" max="2" width="30.33203125" customWidth="1"/>
    <col min="3" max="3" width="20.5546875" customWidth="1"/>
    <col min="4" max="4" width="27.88671875" customWidth="1"/>
    <col min="5" max="6" width="30" customWidth="1"/>
    <col min="7" max="7" width="29.6640625" customWidth="1"/>
  </cols>
  <sheetData>
    <row r="1" spans="1:7" ht="39.6" customHeight="1" x14ac:dyDescent="0.3">
      <c r="A1" t="str">
        <f>'MAIN TABLE-1 AUTOMATED'!A1</f>
        <v>Version: v1.0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</row>
    <row r="2" spans="1:7" ht="15.6" x14ac:dyDescent="0.3">
      <c r="B2" s="44" t="s">
        <v>389</v>
      </c>
      <c r="D2" s="5"/>
      <c r="E2" s="14"/>
      <c r="F2" s="14"/>
    </row>
    <row r="3" spans="1:7" ht="15.6" x14ac:dyDescent="0.3">
      <c r="B3" s="44" t="s">
        <v>390</v>
      </c>
      <c r="E3" s="14"/>
      <c r="F3" s="14"/>
      <c r="G3" s="14"/>
    </row>
    <row r="4" spans="1:7" ht="15.6" x14ac:dyDescent="0.3">
      <c r="B4" s="44" t="s">
        <v>391</v>
      </c>
      <c r="D4" s="1"/>
      <c r="E4" s="14"/>
    </row>
    <row r="5" spans="1:7" ht="15.6" x14ac:dyDescent="0.3">
      <c r="B5" s="44" t="s">
        <v>392</v>
      </c>
      <c r="D5" s="10"/>
      <c r="E5" s="14"/>
      <c r="F5" s="14"/>
      <c r="G5" s="11"/>
    </row>
    <row r="6" spans="1:7" ht="14.4" customHeight="1" x14ac:dyDescent="0.3">
      <c r="B6" s="44" t="s">
        <v>393</v>
      </c>
      <c r="E6" s="14"/>
      <c r="F6" s="14"/>
      <c r="G6" s="11"/>
    </row>
    <row r="7" spans="1:7" ht="15.6" x14ac:dyDescent="0.3">
      <c r="B7" s="44" t="s">
        <v>394</v>
      </c>
      <c r="D7" s="4"/>
      <c r="E7" s="14"/>
      <c r="F7" s="14"/>
      <c r="G7" s="11"/>
    </row>
    <row r="8" spans="1:7" ht="15.6" x14ac:dyDescent="0.3">
      <c r="B8" s="44"/>
      <c r="D8" s="4"/>
      <c r="E8" s="14"/>
      <c r="F8" s="14"/>
    </row>
    <row r="9" spans="1:7" ht="15.6" x14ac:dyDescent="0.3">
      <c r="B9" s="44"/>
    </row>
    <row r="10" spans="1:7" ht="15.6" x14ac:dyDescent="0.3">
      <c r="B10" s="44"/>
    </row>
    <row r="11" spans="1:7" ht="15.6" x14ac:dyDescent="0.3">
      <c r="B11" s="44"/>
      <c r="D11" s="4"/>
    </row>
    <row r="12" spans="1:7" ht="15.6" x14ac:dyDescent="0.3">
      <c r="B12" s="44"/>
    </row>
    <row r="13" spans="1:7" ht="15.6" x14ac:dyDescent="0.3">
      <c r="B13" s="44"/>
      <c r="D13" s="4"/>
      <c r="E13" s="14"/>
    </row>
    <row r="14" spans="1:7" ht="15.6" x14ac:dyDescent="0.3">
      <c r="B14" s="44"/>
      <c r="D14" s="13"/>
      <c r="E14" s="14"/>
      <c r="F14" s="14"/>
    </row>
    <row r="15" spans="1:7" ht="15.6" x14ac:dyDescent="0.3">
      <c r="B15" s="44"/>
    </row>
    <row r="16" spans="1:7" ht="15.6" x14ac:dyDescent="0.3">
      <c r="B16" s="44"/>
      <c r="D16" s="4"/>
      <c r="E16" s="14"/>
    </row>
    <row r="17" spans="2:6" ht="15.6" x14ac:dyDescent="0.3">
      <c r="B17" s="44"/>
    </row>
    <row r="18" spans="2:6" ht="15.6" x14ac:dyDescent="0.3">
      <c r="B18" s="44"/>
    </row>
    <row r="19" spans="2:6" ht="15.6" x14ac:dyDescent="0.3">
      <c r="B19" s="44"/>
    </row>
    <row r="20" spans="2:6" ht="15.6" x14ac:dyDescent="0.3">
      <c r="B20" s="44"/>
    </row>
    <row r="21" spans="2:6" ht="15.6" x14ac:dyDescent="0.3">
      <c r="B21" s="44"/>
    </row>
    <row r="22" spans="2:6" ht="15.6" x14ac:dyDescent="0.3">
      <c r="B22" s="44"/>
    </row>
    <row r="23" spans="2:6" ht="15.6" x14ac:dyDescent="0.3">
      <c r="B23" s="44"/>
    </row>
    <row r="24" spans="2:6" ht="15.6" x14ac:dyDescent="0.3">
      <c r="B24" s="44"/>
      <c r="E24" s="14"/>
      <c r="F24" s="14"/>
    </row>
    <row r="25" spans="2:6" ht="15.6" x14ac:dyDescent="0.3">
      <c r="B25" s="44"/>
      <c r="E25" s="14"/>
    </row>
    <row r="26" spans="2:6" ht="15.6" x14ac:dyDescent="0.3">
      <c r="B26" s="44"/>
    </row>
    <row r="27" spans="2:6" ht="15.6" x14ac:dyDescent="0.3">
      <c r="B27" s="44"/>
    </row>
    <row r="28" spans="2:6" ht="15.6" x14ac:dyDescent="0.3">
      <c r="B28" s="44"/>
    </row>
    <row r="29" spans="2:6" ht="15.6" x14ac:dyDescent="0.3">
      <c r="B29" s="44"/>
    </row>
    <row r="30" spans="2:6" ht="15.6" x14ac:dyDescent="0.3">
      <c r="B30" s="44"/>
    </row>
    <row r="31" spans="2:6" ht="15.6" x14ac:dyDescent="0.3">
      <c r="B31" s="44"/>
    </row>
    <row r="32" spans="2:6" ht="15.6" x14ac:dyDescent="0.3">
      <c r="B32" s="44"/>
    </row>
    <row r="33" spans="2:2" ht="15.6" x14ac:dyDescent="0.3">
      <c r="B33" s="44"/>
    </row>
    <row r="34" spans="2:2" ht="15.6" x14ac:dyDescent="0.3">
      <c r="B34" s="44"/>
    </row>
    <row r="35" spans="2:2" ht="15.6" x14ac:dyDescent="0.3">
      <c r="B35" s="44"/>
    </row>
    <row r="36" spans="2:2" ht="15.6" x14ac:dyDescent="0.3">
      <c r="B36" s="44"/>
    </row>
    <row r="37" spans="2:2" ht="15.6" x14ac:dyDescent="0.3">
      <c r="B37" s="44"/>
    </row>
    <row r="38" spans="2:2" ht="15.6" x14ac:dyDescent="0.3">
      <c r="B38" s="44"/>
    </row>
    <row r="39" spans="2:2" ht="15.6" x14ac:dyDescent="0.3">
      <c r="B39" s="44"/>
    </row>
    <row r="40" spans="2:2" ht="15.6" x14ac:dyDescent="0.3">
      <c r="B40" s="44"/>
    </row>
    <row r="41" spans="2:2" ht="15.6" x14ac:dyDescent="0.3">
      <c r="B41" s="44"/>
    </row>
    <row r="42" spans="2:2" ht="15.6" x14ac:dyDescent="0.3">
      <c r="B42" s="44"/>
    </row>
    <row r="43" spans="2:2" ht="15.6" x14ac:dyDescent="0.3">
      <c r="B43" s="44"/>
    </row>
    <row r="44" spans="2:2" ht="15.6" x14ac:dyDescent="0.3">
      <c r="B44" s="44"/>
    </row>
    <row r="45" spans="2:2" ht="15.6" x14ac:dyDescent="0.3">
      <c r="B45" s="44"/>
    </row>
    <row r="46" spans="2:2" ht="15.6" x14ac:dyDescent="0.3">
      <c r="B46" s="44"/>
    </row>
    <row r="47" spans="2:2" ht="15.6" x14ac:dyDescent="0.3">
      <c r="B47" s="44"/>
    </row>
    <row r="48" spans="2:2" ht="15.6" x14ac:dyDescent="0.3">
      <c r="B48" s="44"/>
    </row>
    <row r="49" spans="2:2" ht="15.6" x14ac:dyDescent="0.3">
      <c r="B49" s="44"/>
    </row>
    <row r="50" spans="2:2" ht="15.6" x14ac:dyDescent="0.3">
      <c r="B50" s="44"/>
    </row>
    <row r="51" spans="2:2" ht="15.6" x14ac:dyDescent="0.3">
      <c r="B51" s="44"/>
    </row>
    <row r="52" spans="2:2" ht="15.6" x14ac:dyDescent="0.3">
      <c r="B52" s="44"/>
    </row>
    <row r="53" spans="2:2" ht="15.6" x14ac:dyDescent="0.3">
      <c r="B53" s="44"/>
    </row>
    <row r="54" spans="2:2" ht="15.6" x14ac:dyDescent="0.3">
      <c r="B54" s="44"/>
    </row>
    <row r="55" spans="2:2" ht="15.6" x14ac:dyDescent="0.3">
      <c r="B55" s="44"/>
    </row>
    <row r="56" spans="2:2" ht="15.6" x14ac:dyDescent="0.3">
      <c r="B56" s="44"/>
    </row>
    <row r="57" spans="2:2" ht="15.6" x14ac:dyDescent="0.3">
      <c r="B57" s="44"/>
    </row>
    <row r="58" spans="2:2" ht="15.6" x14ac:dyDescent="0.3">
      <c r="B58" s="44"/>
    </row>
    <row r="59" spans="2:2" ht="15.6" x14ac:dyDescent="0.3">
      <c r="B59" s="44"/>
    </row>
    <row r="60" spans="2:2" ht="15.6" x14ac:dyDescent="0.3">
      <c r="B60" s="44"/>
    </row>
    <row r="61" spans="2:2" ht="15.6" x14ac:dyDescent="0.3">
      <c r="B61" s="44"/>
    </row>
    <row r="62" spans="2:2" ht="15.6" x14ac:dyDescent="0.3">
      <c r="B62" s="44"/>
    </row>
    <row r="63" spans="2:2" ht="15.6" x14ac:dyDescent="0.3">
      <c r="B63" s="44"/>
    </row>
    <row r="64" spans="2:2" ht="15.6" x14ac:dyDescent="0.3">
      <c r="B64" s="44"/>
    </row>
    <row r="65" spans="2:2" ht="15.6" x14ac:dyDescent="0.3">
      <c r="B65" s="44"/>
    </row>
    <row r="66" spans="2:2" ht="15.6" x14ac:dyDescent="0.3">
      <c r="B66" s="44"/>
    </row>
    <row r="67" spans="2:2" ht="15.6" x14ac:dyDescent="0.3">
      <c r="B67" s="44"/>
    </row>
    <row r="68" spans="2:2" ht="15.6" x14ac:dyDescent="0.3">
      <c r="B68" s="44"/>
    </row>
    <row r="69" spans="2:2" ht="15.6" x14ac:dyDescent="0.3">
      <c r="B69" s="44"/>
    </row>
    <row r="70" spans="2:2" ht="15.6" x14ac:dyDescent="0.3">
      <c r="B70" s="44"/>
    </row>
    <row r="71" spans="2:2" ht="15.6" x14ac:dyDescent="0.3">
      <c r="B71" s="44"/>
    </row>
    <row r="72" spans="2:2" ht="15.6" x14ac:dyDescent="0.3">
      <c r="B72" s="44"/>
    </row>
    <row r="73" spans="2:2" ht="15.6" x14ac:dyDescent="0.3">
      <c r="B73" s="44"/>
    </row>
    <row r="74" spans="2:2" ht="15.6" x14ac:dyDescent="0.3">
      <c r="B74" s="44"/>
    </row>
    <row r="75" spans="2:2" ht="15.6" x14ac:dyDescent="0.3">
      <c r="B75" s="44"/>
    </row>
    <row r="76" spans="2:2" ht="15.6" x14ac:dyDescent="0.3">
      <c r="B76" s="44"/>
    </row>
    <row r="77" spans="2:2" ht="15.6" x14ac:dyDescent="0.3">
      <c r="B77" s="44"/>
    </row>
    <row r="78" spans="2:2" ht="15.6" x14ac:dyDescent="0.3">
      <c r="B78" s="44"/>
    </row>
    <row r="79" spans="2:2" ht="15.6" x14ac:dyDescent="0.3">
      <c r="B79" s="44"/>
    </row>
    <row r="80" spans="2:2" ht="15.6" x14ac:dyDescent="0.3">
      <c r="B80" s="44"/>
    </row>
    <row r="81" spans="2:2" ht="15.6" x14ac:dyDescent="0.3">
      <c r="B81" s="44"/>
    </row>
    <row r="82" spans="2:2" ht="15.6" x14ac:dyDescent="0.3">
      <c r="B82" s="44"/>
    </row>
    <row r="83" spans="2:2" ht="15.6" x14ac:dyDescent="0.3">
      <c r="B83" s="44"/>
    </row>
    <row r="84" spans="2:2" ht="15.6" x14ac:dyDescent="0.3">
      <c r="B84" s="44"/>
    </row>
    <row r="85" spans="2:2" ht="15.6" x14ac:dyDescent="0.3">
      <c r="B85" s="44"/>
    </row>
    <row r="86" spans="2:2" ht="15.6" x14ac:dyDescent="0.3">
      <c r="B86" s="44"/>
    </row>
    <row r="87" spans="2:2" ht="15.6" x14ac:dyDescent="0.3">
      <c r="B87" s="44"/>
    </row>
    <row r="88" spans="2:2" ht="15.6" x14ac:dyDescent="0.3">
      <c r="B88" s="44"/>
    </row>
    <row r="89" spans="2:2" ht="15.6" x14ac:dyDescent="0.3">
      <c r="B89" s="44"/>
    </row>
    <row r="90" spans="2:2" ht="15.6" x14ac:dyDescent="0.3">
      <c r="B90" s="44"/>
    </row>
    <row r="91" spans="2:2" ht="15.6" x14ac:dyDescent="0.3">
      <c r="B91" s="44"/>
    </row>
    <row r="92" spans="2:2" ht="15.6" x14ac:dyDescent="0.3">
      <c r="B92" s="44"/>
    </row>
    <row r="93" spans="2:2" ht="15.6" x14ac:dyDescent="0.3">
      <c r="B93" s="44"/>
    </row>
    <row r="94" spans="2:2" ht="15.6" x14ac:dyDescent="0.3">
      <c r="B94" s="44"/>
    </row>
    <row r="95" spans="2:2" ht="15.6" x14ac:dyDescent="0.3">
      <c r="B95" s="44"/>
    </row>
    <row r="96" spans="2:2" ht="15.6" x14ac:dyDescent="0.3">
      <c r="B96" s="44"/>
    </row>
    <row r="97" spans="2:2" ht="15.6" x14ac:dyDescent="0.3">
      <c r="B97" s="44"/>
    </row>
    <row r="98" spans="2:2" ht="15.6" x14ac:dyDescent="0.3">
      <c r="B98" s="44"/>
    </row>
    <row r="99" spans="2:2" ht="15.6" x14ac:dyDescent="0.3">
      <c r="B99" s="44"/>
    </row>
    <row r="100" spans="2:2" ht="15.6" x14ac:dyDescent="0.3">
      <c r="B100" s="44"/>
    </row>
  </sheetData>
  <sheetProtection formatCells="0" formatColumns="0" formatRows="0" insertColumns="0" insertRows="0" insertHyperlinks="0" deleteColumns="0" deleteRows="0" sort="0" autoFilter="0" pivotTables="0"/>
  <conditionalFormatting sqref="B2:B100">
    <cfRule type="duplicateValues" dxfId="5" priority="1"/>
  </conditionalFormatting>
  <pageMargins left="0.7" right="0.7" top="0.75" bottom="0.75" header="0.3" footer="0.3"/>
  <pageSetup paperSize="9" orientation="portrait" r:id="rId1"/>
  <headerFooter>
    <oddHeader>&amp;L&amp;"Calibri"&amp;10&amp;K0000FF [RESTRICTED INTERNAL]&amp;1#_x000D_</oddHeader>
  </headerFooter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B9DEE-611E-425E-AB2F-7CAD1DC682FF}">
  <sheetPr codeName="Sheet10">
    <tabColor rgb="FF92D050"/>
  </sheetPr>
  <dimension ref="A1:AE350"/>
  <sheetViews>
    <sheetView zoomScale="70" zoomScaleNormal="70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G10" sqref="G10"/>
    </sheetView>
  </sheetViews>
  <sheetFormatPr defaultRowHeight="14.4" x14ac:dyDescent="0.3"/>
  <cols>
    <col min="1" max="1" width="18.6640625" customWidth="1"/>
    <col min="2" max="2" width="8.109375" customWidth="1"/>
    <col min="3" max="3" width="63.44140625" customWidth="1"/>
    <col min="4" max="4" width="1.5546875" customWidth="1"/>
    <col min="5" max="5" width="54.33203125" customWidth="1"/>
    <col min="6" max="6" width="1.33203125" customWidth="1"/>
    <col min="7" max="7" width="57.33203125" customWidth="1"/>
    <col min="8" max="8" width="1.33203125" customWidth="1"/>
    <col min="9" max="9" width="30.88671875" customWidth="1"/>
    <col min="10" max="10" width="1.33203125" customWidth="1"/>
    <col min="11" max="11" width="55.6640625" customWidth="1"/>
    <col min="12" max="12" width="1.33203125" customWidth="1"/>
    <col min="13" max="13" width="57.6640625" customWidth="1"/>
    <col min="14" max="14" width="1.33203125" customWidth="1"/>
    <col min="15" max="15" width="25.44140625" customWidth="1"/>
    <col min="16" max="16" width="1.33203125" customWidth="1"/>
    <col min="17" max="17" width="26.6640625" customWidth="1"/>
    <col min="18" max="18" width="1.33203125" customWidth="1"/>
    <col min="19" max="19" width="18.6640625" customWidth="1"/>
    <col min="20" max="20" width="1.6640625" customWidth="1"/>
    <col min="21" max="21" width="14.44140625" customWidth="1"/>
    <col min="22" max="22" width="1.5546875" customWidth="1"/>
    <col min="23" max="23" width="22.109375" customWidth="1"/>
    <col min="24" max="24" width="1.5546875" customWidth="1"/>
    <col min="25" max="25" width="35.33203125" customWidth="1"/>
    <col min="26" max="26" width="1.5546875" customWidth="1"/>
    <col min="27" max="27" width="26.33203125" customWidth="1"/>
    <col min="28" max="28" width="1.5546875" customWidth="1"/>
    <col min="29" max="29" width="20.6640625" customWidth="1"/>
    <col min="30" max="30" width="1.5546875" customWidth="1"/>
    <col min="31" max="31" width="26.5546875" customWidth="1"/>
  </cols>
  <sheetData>
    <row r="1" spans="1:31" ht="76.95" customHeight="1" x14ac:dyDescent="0.3">
      <c r="A1" s="249" t="str">
        <f>'MAIN TABLE-1 AUTOMATED'!A1</f>
        <v>Version: v1.0</v>
      </c>
      <c r="B1" s="159" t="s">
        <v>338</v>
      </c>
      <c r="C1" s="2" t="s">
        <v>70</v>
      </c>
      <c r="E1" s="33" t="s">
        <v>71</v>
      </c>
      <c r="G1" s="21" t="s">
        <v>55</v>
      </c>
      <c r="I1" s="33" t="s">
        <v>127</v>
      </c>
      <c r="K1" s="12" t="s">
        <v>383</v>
      </c>
      <c r="M1" t="s">
        <v>72</v>
      </c>
      <c r="O1" s="33" t="s">
        <v>42</v>
      </c>
      <c r="Q1" s="33" t="s">
        <v>73</v>
      </c>
      <c r="S1" s="102" t="s">
        <v>128</v>
      </c>
      <c r="U1" s="102" t="s">
        <v>130</v>
      </c>
      <c r="W1" s="33" t="s">
        <v>156</v>
      </c>
      <c r="Y1" s="187" t="s">
        <v>188</v>
      </c>
      <c r="AA1" s="33" t="s">
        <v>211</v>
      </c>
      <c r="AC1" s="33" t="s">
        <v>27</v>
      </c>
      <c r="AE1" s="33" t="s">
        <v>339</v>
      </c>
    </row>
    <row r="2" spans="1:31" x14ac:dyDescent="0.3">
      <c r="C2" t="s">
        <v>49</v>
      </c>
      <c r="E2" s="31" t="s">
        <v>336</v>
      </c>
      <c r="G2" t="s">
        <v>396</v>
      </c>
      <c r="I2" s="31"/>
      <c r="K2" s="189" t="s">
        <v>5</v>
      </c>
      <c r="M2" s="158" t="str">
        <f>IF(B2="YES",C2,"")</f>
        <v/>
      </c>
      <c r="O2" s="31" t="s">
        <v>384</v>
      </c>
      <c r="Q2" s="31" t="s">
        <v>74</v>
      </c>
      <c r="S2" s="103" t="s">
        <v>62</v>
      </c>
      <c r="U2" s="103" t="s">
        <v>131</v>
      </c>
      <c r="W2" s="31" t="s">
        <v>162</v>
      </c>
      <c r="Y2" s="188" t="str">
        <f>K7</f>
        <v>Waste Cost</v>
      </c>
      <c r="AA2" s="31" t="s">
        <v>212</v>
      </c>
      <c r="AC2" s="31" t="s">
        <v>292</v>
      </c>
      <c r="AE2" s="31" t="s">
        <v>386</v>
      </c>
    </row>
    <row r="3" spans="1:31" x14ac:dyDescent="0.3">
      <c r="C3" t="s">
        <v>75</v>
      </c>
      <c r="E3" s="32" t="s">
        <v>50</v>
      </c>
      <c r="G3" t="s">
        <v>397</v>
      </c>
      <c r="I3" s="32"/>
      <c r="K3" s="189" t="s">
        <v>6</v>
      </c>
      <c r="M3" s="158" t="str">
        <f t="shared" ref="M3:M66" si="0">IF(B3="YES",C3,"")</f>
        <v/>
      </c>
      <c r="O3" s="32" t="s">
        <v>385</v>
      </c>
      <c r="Q3" s="32" t="s">
        <v>77</v>
      </c>
      <c r="S3" s="104" t="s">
        <v>129</v>
      </c>
      <c r="U3" s="104" t="s">
        <v>132</v>
      </c>
      <c r="W3" s="135" t="s">
        <v>157</v>
      </c>
      <c r="Y3" s="189" t="str">
        <f>K9</f>
        <v>Hire Equipment</v>
      </c>
      <c r="AA3" s="135" t="s">
        <v>213</v>
      </c>
      <c r="AC3" s="32" t="s">
        <v>293</v>
      </c>
      <c r="AE3" s="32" t="s">
        <v>387</v>
      </c>
    </row>
    <row r="4" spans="1:31" x14ac:dyDescent="0.3">
      <c r="C4" t="s">
        <v>51</v>
      </c>
      <c r="E4" s="31" t="s">
        <v>76</v>
      </c>
      <c r="G4" t="s">
        <v>398</v>
      </c>
      <c r="I4" s="31"/>
      <c r="K4" s="189" t="s">
        <v>7</v>
      </c>
      <c r="M4" s="158" t="str">
        <f t="shared" si="0"/>
        <v/>
      </c>
      <c r="O4" s="31"/>
      <c r="Q4" s="31" t="s">
        <v>79</v>
      </c>
      <c r="S4" s="103"/>
      <c r="U4" s="103"/>
      <c r="W4" s="32" t="s">
        <v>158</v>
      </c>
      <c r="Y4" s="188"/>
      <c r="AA4" s="32" t="s">
        <v>190</v>
      </c>
      <c r="AC4" s="31" t="s">
        <v>294</v>
      </c>
      <c r="AE4" s="31" t="s">
        <v>388</v>
      </c>
    </row>
    <row r="5" spans="1:31" x14ac:dyDescent="0.3">
      <c r="C5" t="s">
        <v>52</v>
      </c>
      <c r="E5" s="32" t="s">
        <v>78</v>
      </c>
      <c r="I5" s="32"/>
      <c r="K5" s="189" t="s">
        <v>8</v>
      </c>
      <c r="M5" s="158" t="str">
        <f t="shared" si="0"/>
        <v/>
      </c>
      <c r="O5" s="35"/>
      <c r="Q5" s="32" t="s">
        <v>94</v>
      </c>
      <c r="S5" s="104"/>
      <c r="U5" s="104"/>
      <c r="W5" s="135" t="s">
        <v>159</v>
      </c>
      <c r="Y5" s="189"/>
      <c r="AA5" s="135" t="s">
        <v>214</v>
      </c>
      <c r="AC5" s="32" t="s">
        <v>295</v>
      </c>
      <c r="AE5" s="32"/>
    </row>
    <row r="6" spans="1:31" x14ac:dyDescent="0.3">
      <c r="C6" t="s">
        <v>95</v>
      </c>
      <c r="E6" s="34" t="s">
        <v>80</v>
      </c>
      <c r="I6" s="31"/>
      <c r="K6" s="189" t="s">
        <v>9</v>
      </c>
      <c r="M6" s="158" t="str">
        <f t="shared" si="0"/>
        <v/>
      </c>
      <c r="Q6" s="31" t="s">
        <v>118</v>
      </c>
      <c r="S6" s="103"/>
      <c r="U6" s="103" t="s">
        <v>63</v>
      </c>
      <c r="W6" s="32" t="s">
        <v>160</v>
      </c>
      <c r="Y6" s="188"/>
      <c r="AA6" s="32" t="s">
        <v>258</v>
      </c>
      <c r="AC6" s="31" t="s">
        <v>296</v>
      </c>
      <c r="AE6" s="31"/>
    </row>
    <row r="7" spans="1:31" x14ac:dyDescent="0.3">
      <c r="C7" t="s">
        <v>96</v>
      </c>
      <c r="E7" s="32" t="s">
        <v>81</v>
      </c>
      <c r="I7" s="32"/>
      <c r="K7" s="189" t="s">
        <v>10</v>
      </c>
      <c r="M7" s="158" t="str">
        <f t="shared" si="0"/>
        <v/>
      </c>
      <c r="Q7" s="32" t="s">
        <v>305</v>
      </c>
      <c r="W7" s="135" t="s">
        <v>161</v>
      </c>
      <c r="AA7" s="32" t="s">
        <v>215</v>
      </c>
      <c r="AC7" s="32" t="s">
        <v>297</v>
      </c>
      <c r="AE7" s="32"/>
    </row>
    <row r="8" spans="1:31" x14ac:dyDescent="0.3">
      <c r="C8" t="s">
        <v>97</v>
      </c>
      <c r="E8" s="34" t="s">
        <v>82</v>
      </c>
      <c r="I8" s="31"/>
      <c r="K8" s="189" t="s">
        <v>11</v>
      </c>
      <c r="M8" s="158" t="str">
        <f t="shared" si="0"/>
        <v/>
      </c>
      <c r="Q8" s="31"/>
      <c r="W8" s="31" t="s">
        <v>290</v>
      </c>
      <c r="AA8" s="31"/>
      <c r="AC8" s="31" t="s">
        <v>298</v>
      </c>
      <c r="AE8" s="31"/>
    </row>
    <row r="9" spans="1:31" x14ac:dyDescent="0.3">
      <c r="C9" t="s">
        <v>98</v>
      </c>
      <c r="E9" s="32" t="s">
        <v>88</v>
      </c>
      <c r="I9" s="32"/>
      <c r="K9" s="189" t="s">
        <v>12</v>
      </c>
      <c r="M9" s="158" t="str">
        <f t="shared" si="0"/>
        <v/>
      </c>
      <c r="Q9" s="32"/>
      <c r="W9" s="32" t="s">
        <v>310</v>
      </c>
      <c r="AA9" s="32"/>
      <c r="AC9" s="32" t="s">
        <v>299</v>
      </c>
      <c r="AE9" s="32"/>
    </row>
    <row r="10" spans="1:31" x14ac:dyDescent="0.3">
      <c r="C10" t="s">
        <v>103</v>
      </c>
      <c r="E10" s="34" t="s">
        <v>83</v>
      </c>
      <c r="I10" s="31"/>
      <c r="K10" s="189" t="s">
        <v>13</v>
      </c>
      <c r="M10" s="158" t="str">
        <f t="shared" si="0"/>
        <v/>
      </c>
      <c r="Q10" s="34"/>
      <c r="W10" s="31" t="s">
        <v>311</v>
      </c>
      <c r="AA10" s="34" t="s">
        <v>63</v>
      </c>
      <c r="AC10" s="34" t="s">
        <v>300</v>
      </c>
      <c r="AE10" s="34"/>
    </row>
    <row r="11" spans="1:31" x14ac:dyDescent="0.3">
      <c r="C11" t="s">
        <v>99</v>
      </c>
      <c r="E11" s="32" t="s">
        <v>84</v>
      </c>
      <c r="I11" s="32"/>
      <c r="K11" s="189" t="s">
        <v>14</v>
      </c>
      <c r="M11" s="158" t="str">
        <f t="shared" si="0"/>
        <v/>
      </c>
      <c r="W11" s="32" t="s">
        <v>314</v>
      </c>
      <c r="AC11" s="31"/>
      <c r="AE11" s="31"/>
    </row>
    <row r="12" spans="1:31" x14ac:dyDescent="0.3">
      <c r="C12" t="s">
        <v>100</v>
      </c>
      <c r="E12" s="34" t="s">
        <v>85</v>
      </c>
      <c r="I12" s="31"/>
      <c r="K12" s="189" t="s">
        <v>15</v>
      </c>
      <c r="M12" s="158" t="str">
        <f t="shared" si="0"/>
        <v/>
      </c>
      <c r="W12" s="31" t="s">
        <v>316</v>
      </c>
      <c r="AC12" s="31"/>
      <c r="AE12" s="31"/>
    </row>
    <row r="13" spans="1:31" x14ac:dyDescent="0.3">
      <c r="C13" t="s">
        <v>101</v>
      </c>
      <c r="E13" s="32" t="s">
        <v>86</v>
      </c>
      <c r="I13" s="32"/>
      <c r="K13" s="189" t="s">
        <v>16</v>
      </c>
      <c r="M13" s="158" t="str">
        <f t="shared" si="0"/>
        <v/>
      </c>
      <c r="W13" s="32"/>
      <c r="AC13" s="31"/>
      <c r="AE13" s="31"/>
    </row>
    <row r="14" spans="1:31" x14ac:dyDescent="0.3">
      <c r="C14" t="s">
        <v>102</v>
      </c>
      <c r="E14" s="34" t="s">
        <v>87</v>
      </c>
      <c r="I14" s="34"/>
      <c r="K14" t="s">
        <v>395</v>
      </c>
      <c r="M14" s="158" t="str">
        <f t="shared" si="0"/>
        <v/>
      </c>
      <c r="W14" s="31"/>
      <c r="AC14" s="34"/>
      <c r="AE14" s="34"/>
    </row>
    <row r="15" spans="1:31" x14ac:dyDescent="0.3">
      <c r="C15" t="s">
        <v>104</v>
      </c>
      <c r="E15" s="32" t="s">
        <v>140</v>
      </c>
      <c r="I15" s="32"/>
      <c r="M15" s="158" t="str">
        <f t="shared" si="0"/>
        <v/>
      </c>
      <c r="W15" s="32"/>
    </row>
    <row r="16" spans="1:31" x14ac:dyDescent="0.3">
      <c r="C16" t="s">
        <v>105</v>
      </c>
      <c r="E16" s="34" t="s">
        <v>151</v>
      </c>
      <c r="I16" s="34"/>
      <c r="M16" s="158" t="str">
        <f t="shared" si="0"/>
        <v/>
      </c>
      <c r="W16" s="31"/>
    </row>
    <row r="17" spans="3:23" x14ac:dyDescent="0.3">
      <c r="C17" t="s">
        <v>113</v>
      </c>
      <c r="E17" s="32" t="s">
        <v>180</v>
      </c>
      <c r="I17" s="32"/>
      <c r="M17" s="158" t="str">
        <f t="shared" si="0"/>
        <v/>
      </c>
      <c r="W17" s="32"/>
    </row>
    <row r="18" spans="3:23" x14ac:dyDescent="0.3">
      <c r="C18" t="s">
        <v>114</v>
      </c>
      <c r="E18" s="31" t="s">
        <v>181</v>
      </c>
      <c r="I18" s="34"/>
      <c r="M18" s="158" t="str">
        <f t="shared" si="0"/>
        <v/>
      </c>
      <c r="W18" s="205"/>
    </row>
    <row r="19" spans="3:23" x14ac:dyDescent="0.3">
      <c r="C19" t="s">
        <v>8</v>
      </c>
      <c r="E19" s="135" t="s">
        <v>182</v>
      </c>
      <c r="M19" s="158" t="str">
        <f t="shared" si="0"/>
        <v/>
      </c>
    </row>
    <row r="20" spans="3:23" x14ac:dyDescent="0.3">
      <c r="C20" t="s">
        <v>115</v>
      </c>
      <c r="E20" s="31" t="s">
        <v>183</v>
      </c>
      <c r="M20" s="158" t="str">
        <f t="shared" si="0"/>
        <v/>
      </c>
    </row>
    <row r="21" spans="3:23" x14ac:dyDescent="0.3">
      <c r="C21" t="s">
        <v>116</v>
      </c>
      <c r="E21" s="135" t="s">
        <v>184</v>
      </c>
      <c r="M21" s="158" t="str">
        <f t="shared" si="0"/>
        <v/>
      </c>
    </row>
    <row r="22" spans="3:23" x14ac:dyDescent="0.3">
      <c r="C22" t="s">
        <v>117</v>
      </c>
      <c r="E22" s="31" t="s">
        <v>286</v>
      </c>
      <c r="G22" t="s">
        <v>63</v>
      </c>
      <c r="M22" s="158" t="str">
        <f t="shared" si="0"/>
        <v/>
      </c>
    </row>
    <row r="23" spans="3:23" x14ac:dyDescent="0.3">
      <c r="C23" t="s">
        <v>119</v>
      </c>
      <c r="E23" s="32" t="s">
        <v>301</v>
      </c>
      <c r="M23" s="158" t="str">
        <f t="shared" si="0"/>
        <v/>
      </c>
    </row>
    <row r="24" spans="3:23" x14ac:dyDescent="0.3">
      <c r="C24" t="s">
        <v>120</v>
      </c>
      <c r="E24" s="32" t="s">
        <v>337</v>
      </c>
      <c r="M24" s="158" t="str">
        <f t="shared" si="0"/>
        <v/>
      </c>
    </row>
    <row r="25" spans="3:23" x14ac:dyDescent="0.3">
      <c r="C25" t="s">
        <v>121</v>
      </c>
      <c r="E25" s="31" t="s">
        <v>48</v>
      </c>
      <c r="M25" s="158" t="str">
        <f t="shared" si="0"/>
        <v/>
      </c>
    </row>
    <row r="26" spans="3:23" x14ac:dyDescent="0.3">
      <c r="C26" t="s">
        <v>14</v>
      </c>
      <c r="E26" s="31"/>
      <c r="M26" s="158" t="str">
        <f t="shared" si="0"/>
        <v/>
      </c>
    </row>
    <row r="27" spans="3:23" x14ac:dyDescent="0.3">
      <c r="C27" t="s">
        <v>122</v>
      </c>
      <c r="E27" s="32"/>
      <c r="M27" s="158" t="str">
        <f t="shared" si="0"/>
        <v/>
      </c>
    </row>
    <row r="28" spans="3:23" x14ac:dyDescent="0.3">
      <c r="C28" t="s">
        <v>124</v>
      </c>
      <c r="E28" s="31"/>
      <c r="M28" s="158" t="str">
        <f t="shared" si="0"/>
        <v/>
      </c>
    </row>
    <row r="29" spans="3:23" x14ac:dyDescent="0.3">
      <c r="C29" t="s">
        <v>125</v>
      </c>
      <c r="E29" s="32"/>
      <c r="M29" s="158" t="str">
        <f t="shared" si="0"/>
        <v/>
      </c>
    </row>
    <row r="30" spans="3:23" x14ac:dyDescent="0.3">
      <c r="C30" t="s">
        <v>133</v>
      </c>
      <c r="E30" s="34"/>
      <c r="M30" s="158" t="str">
        <f t="shared" si="0"/>
        <v/>
      </c>
    </row>
    <row r="31" spans="3:23" x14ac:dyDescent="0.3">
      <c r="C31" t="s">
        <v>134</v>
      </c>
      <c r="M31" s="158" t="str">
        <f t="shared" si="0"/>
        <v/>
      </c>
    </row>
    <row r="32" spans="3:23" x14ac:dyDescent="0.3">
      <c r="C32" t="s">
        <v>135</v>
      </c>
      <c r="M32" s="158" t="str">
        <f t="shared" si="0"/>
        <v/>
      </c>
    </row>
    <row r="33" spans="3:13" x14ac:dyDescent="0.3">
      <c r="C33" t="s">
        <v>136</v>
      </c>
      <c r="K33" s="12"/>
      <c r="M33" s="158" t="str">
        <f t="shared" si="0"/>
        <v/>
      </c>
    </row>
    <row r="34" spans="3:13" x14ac:dyDescent="0.3">
      <c r="C34" t="s">
        <v>137</v>
      </c>
      <c r="M34" s="158" t="str">
        <f t="shared" si="0"/>
        <v/>
      </c>
    </row>
    <row r="35" spans="3:13" x14ac:dyDescent="0.3">
      <c r="C35" t="s">
        <v>138</v>
      </c>
      <c r="K35" s="12"/>
      <c r="M35" s="158" t="str">
        <f t="shared" si="0"/>
        <v/>
      </c>
    </row>
    <row r="36" spans="3:13" x14ac:dyDescent="0.3">
      <c r="C36" s="17" t="s">
        <v>355</v>
      </c>
      <c r="M36" s="158" t="str">
        <f t="shared" si="0"/>
        <v/>
      </c>
    </row>
    <row r="37" spans="3:13" x14ac:dyDescent="0.3">
      <c r="C37" t="s">
        <v>142</v>
      </c>
      <c r="M37" s="158" t="str">
        <f t="shared" si="0"/>
        <v/>
      </c>
    </row>
    <row r="38" spans="3:13" x14ac:dyDescent="0.3">
      <c r="C38" s="11" t="s">
        <v>143</v>
      </c>
      <c r="M38" s="158" t="str">
        <f t="shared" si="0"/>
        <v/>
      </c>
    </row>
    <row r="39" spans="3:13" x14ac:dyDescent="0.3">
      <c r="C39" t="s">
        <v>144</v>
      </c>
      <c r="M39" s="158" t="str">
        <f t="shared" si="0"/>
        <v/>
      </c>
    </row>
    <row r="40" spans="3:13" x14ac:dyDescent="0.3">
      <c r="C40" t="s">
        <v>145</v>
      </c>
      <c r="M40" s="158" t="str">
        <f t="shared" si="0"/>
        <v/>
      </c>
    </row>
    <row r="41" spans="3:13" x14ac:dyDescent="0.3">
      <c r="C41" t="s">
        <v>146</v>
      </c>
      <c r="M41" s="158" t="str">
        <f t="shared" si="0"/>
        <v/>
      </c>
    </row>
    <row r="42" spans="3:13" x14ac:dyDescent="0.3">
      <c r="C42" t="s">
        <v>147</v>
      </c>
      <c r="M42" s="158" t="str">
        <f t="shared" si="0"/>
        <v/>
      </c>
    </row>
    <row r="43" spans="3:13" x14ac:dyDescent="0.3">
      <c r="C43" t="s">
        <v>148</v>
      </c>
      <c r="M43" s="158" t="str">
        <f t="shared" si="0"/>
        <v/>
      </c>
    </row>
    <row r="44" spans="3:13" x14ac:dyDescent="0.3">
      <c r="C44" t="s">
        <v>149</v>
      </c>
      <c r="M44" s="158" t="str">
        <f t="shared" si="0"/>
        <v/>
      </c>
    </row>
    <row r="45" spans="3:13" x14ac:dyDescent="0.3">
      <c r="C45" t="s">
        <v>152</v>
      </c>
      <c r="M45" s="158" t="str">
        <f t="shared" si="0"/>
        <v/>
      </c>
    </row>
    <row r="46" spans="3:13" x14ac:dyDescent="0.3">
      <c r="C46" t="s">
        <v>153</v>
      </c>
      <c r="M46" s="158" t="str">
        <f t="shared" si="0"/>
        <v/>
      </c>
    </row>
    <row r="47" spans="3:13" x14ac:dyDescent="0.3">
      <c r="C47" t="s">
        <v>163</v>
      </c>
      <c r="M47" s="158" t="str">
        <f t="shared" si="0"/>
        <v/>
      </c>
    </row>
    <row r="48" spans="3:13" x14ac:dyDescent="0.3">
      <c r="C48" t="s">
        <v>164</v>
      </c>
      <c r="M48" s="158" t="str">
        <f t="shared" si="0"/>
        <v/>
      </c>
    </row>
    <row r="49" spans="3:13" x14ac:dyDescent="0.3">
      <c r="C49" t="s">
        <v>165</v>
      </c>
      <c r="M49" s="158" t="str">
        <f t="shared" si="0"/>
        <v/>
      </c>
    </row>
    <row r="50" spans="3:13" x14ac:dyDescent="0.3">
      <c r="C50" t="s">
        <v>166</v>
      </c>
      <c r="M50" s="158" t="str">
        <f t="shared" si="0"/>
        <v/>
      </c>
    </row>
    <row r="51" spans="3:13" x14ac:dyDescent="0.3">
      <c r="C51" t="s">
        <v>167</v>
      </c>
      <c r="M51" s="158" t="str">
        <f t="shared" si="0"/>
        <v/>
      </c>
    </row>
    <row r="52" spans="3:13" x14ac:dyDescent="0.3">
      <c r="C52" t="s">
        <v>168</v>
      </c>
      <c r="M52" s="158" t="str">
        <f t="shared" si="0"/>
        <v/>
      </c>
    </row>
    <row r="53" spans="3:13" x14ac:dyDescent="0.3">
      <c r="C53" t="s">
        <v>176</v>
      </c>
      <c r="M53" s="158" t="str">
        <f t="shared" si="0"/>
        <v/>
      </c>
    </row>
    <row r="54" spans="3:13" x14ac:dyDescent="0.3">
      <c r="C54" t="s">
        <v>169</v>
      </c>
      <c r="M54" s="158" t="str">
        <f t="shared" si="0"/>
        <v/>
      </c>
    </row>
    <row r="55" spans="3:13" x14ac:dyDescent="0.3">
      <c r="C55" t="s">
        <v>170</v>
      </c>
      <c r="M55" s="158" t="str">
        <f t="shared" si="0"/>
        <v/>
      </c>
    </row>
    <row r="56" spans="3:13" x14ac:dyDescent="0.3">
      <c r="C56" t="s">
        <v>171</v>
      </c>
      <c r="M56" s="158" t="str">
        <f t="shared" si="0"/>
        <v/>
      </c>
    </row>
    <row r="57" spans="3:13" x14ac:dyDescent="0.3">
      <c r="C57" t="s">
        <v>172</v>
      </c>
      <c r="M57" s="158" t="str">
        <f t="shared" si="0"/>
        <v/>
      </c>
    </row>
    <row r="58" spans="3:13" x14ac:dyDescent="0.3">
      <c r="C58" t="s">
        <v>173</v>
      </c>
      <c r="M58" s="158" t="str">
        <f t="shared" si="0"/>
        <v/>
      </c>
    </row>
    <row r="59" spans="3:13" x14ac:dyDescent="0.3">
      <c r="C59" t="s">
        <v>174</v>
      </c>
      <c r="M59" s="158" t="str">
        <f t="shared" si="0"/>
        <v/>
      </c>
    </row>
    <row r="60" spans="3:13" x14ac:dyDescent="0.3">
      <c r="C60" t="s">
        <v>175</v>
      </c>
      <c r="M60" s="158" t="str">
        <f t="shared" si="0"/>
        <v/>
      </c>
    </row>
    <row r="61" spans="3:13" x14ac:dyDescent="0.3">
      <c r="C61" t="s">
        <v>177</v>
      </c>
      <c r="M61" s="158" t="str">
        <f t="shared" si="0"/>
        <v/>
      </c>
    </row>
    <row r="62" spans="3:13" x14ac:dyDescent="0.3">
      <c r="C62" t="s">
        <v>178</v>
      </c>
      <c r="M62" s="158" t="str">
        <f t="shared" si="0"/>
        <v/>
      </c>
    </row>
    <row r="63" spans="3:13" x14ac:dyDescent="0.3">
      <c r="C63" t="s">
        <v>179</v>
      </c>
      <c r="M63" s="158" t="str">
        <f t="shared" si="0"/>
        <v/>
      </c>
    </row>
    <row r="64" spans="3:13" x14ac:dyDescent="0.3">
      <c r="C64" t="s">
        <v>187</v>
      </c>
      <c r="M64" s="158" t="str">
        <f t="shared" si="0"/>
        <v/>
      </c>
    </row>
    <row r="65" spans="2:13" x14ac:dyDescent="0.3">
      <c r="C65" t="s">
        <v>185</v>
      </c>
      <c r="M65" s="158" t="str">
        <f t="shared" si="0"/>
        <v/>
      </c>
    </row>
    <row r="66" spans="2:13" ht="15" thickBot="1" x14ac:dyDescent="0.35">
      <c r="C66" s="147" t="s">
        <v>186</v>
      </c>
      <c r="M66" s="158" t="str">
        <f t="shared" si="0"/>
        <v/>
      </c>
    </row>
    <row r="67" spans="2:13" x14ac:dyDescent="0.3">
      <c r="B67" t="s">
        <v>131</v>
      </c>
      <c r="C67" t="s">
        <v>189</v>
      </c>
      <c r="M67" s="158" t="str">
        <f t="shared" ref="M67:M109" si="1">IF(B67="YES",C67,"")</f>
        <v>24ft Welfare/Office/Changing room</v>
      </c>
    </row>
    <row r="68" spans="2:13" x14ac:dyDescent="0.3">
      <c r="B68" t="s">
        <v>131</v>
      </c>
      <c r="C68" t="s">
        <v>218</v>
      </c>
      <c r="M68" s="158" t="str">
        <f t="shared" si="1"/>
        <v>1xDesk 1xChair 1xPoly Chair 1x Filing Cabinet</v>
      </c>
    </row>
    <row r="69" spans="2:13" x14ac:dyDescent="0.3">
      <c r="B69" t="s">
        <v>131</v>
      </c>
      <c r="C69" t="s">
        <v>219</v>
      </c>
      <c r="M69" s="158" t="str">
        <f t="shared" si="1"/>
        <v>10kva Welfare Generator</v>
      </c>
    </row>
    <row r="70" spans="2:13" x14ac:dyDescent="0.3">
      <c r="B70" t="s">
        <v>131</v>
      </c>
      <c r="C70" s="160" t="s">
        <v>220</v>
      </c>
      <c r="M70" s="158" t="str">
        <f t="shared" si="1"/>
        <v>Solar Fuel Cell Tower – Fully autonomous</v>
      </c>
    </row>
    <row r="71" spans="2:13" x14ac:dyDescent="0.3">
      <c r="B71" t="s">
        <v>131</v>
      </c>
      <c r="C71" t="s">
        <v>221</v>
      </c>
      <c r="M71" s="158" t="str">
        <f t="shared" si="1"/>
        <v xml:space="preserve">1125 Litre 3000psi Pressure washer </v>
      </c>
    </row>
    <row r="72" spans="2:13" x14ac:dyDescent="0.3">
      <c r="B72" t="s">
        <v>131</v>
      </c>
      <c r="C72" t="s">
        <v>225</v>
      </c>
      <c r="M72" s="158" t="str">
        <f t="shared" si="1"/>
        <v>Track Pads (yellow)</v>
      </c>
    </row>
    <row r="73" spans="2:13" x14ac:dyDescent="0.3">
      <c r="B73" t="s">
        <v>131</v>
      </c>
      <c r="C73" t="s">
        <v>226</v>
      </c>
      <c r="M73" s="158" t="str">
        <f t="shared" si="1"/>
        <v>16ft Mobile Welfare Eco Groundhog</v>
      </c>
    </row>
    <row r="74" spans="2:13" x14ac:dyDescent="0.3">
      <c r="B74" t="s">
        <v>131</v>
      </c>
      <c r="C74" s="160" t="s">
        <v>227</v>
      </c>
      <c r="M74" s="158" t="str">
        <f t="shared" si="1"/>
        <v>Sim card</v>
      </c>
    </row>
    <row r="75" spans="2:13" x14ac:dyDescent="0.3">
      <c r="B75" t="s">
        <v>131</v>
      </c>
      <c r="C75" t="s">
        <v>274</v>
      </c>
      <c r="M75" s="158" t="str">
        <f t="shared" si="1"/>
        <v>60KVA Generator</v>
      </c>
    </row>
    <row r="76" spans="2:13" x14ac:dyDescent="0.3">
      <c r="B76" t="s">
        <v>131</v>
      </c>
      <c r="C76" t="s">
        <v>228</v>
      </c>
      <c r="M76" s="158" t="str">
        <f t="shared" si="1"/>
        <v>Wheel washing unit</v>
      </c>
    </row>
    <row r="77" spans="2:13" x14ac:dyDescent="0.3">
      <c r="B77" t="s">
        <v>131</v>
      </c>
      <c r="C77" t="s">
        <v>229</v>
      </c>
      <c r="M77" s="158" t="str">
        <f t="shared" si="1"/>
        <v>Water Dispenser</v>
      </c>
    </row>
    <row r="78" spans="2:13" x14ac:dyDescent="0.3">
      <c r="B78" t="s">
        <v>131</v>
      </c>
      <c r="C78" t="s">
        <v>230</v>
      </c>
      <c r="M78" s="158" t="str">
        <f t="shared" si="1"/>
        <v>Portal toilet</v>
      </c>
    </row>
    <row r="79" spans="2:13" x14ac:dyDescent="0.3">
      <c r="B79" t="s">
        <v>131</v>
      </c>
      <c r="C79" t="s">
        <v>231</v>
      </c>
      <c r="M79" s="158" t="str">
        <f t="shared" si="1"/>
        <v>COSHH Cabinet</v>
      </c>
    </row>
    <row r="80" spans="2:13" x14ac:dyDescent="0.3">
      <c r="B80" t="s">
        <v>131</v>
      </c>
      <c r="C80" t="s">
        <v>232</v>
      </c>
      <c r="M80" s="158" t="str">
        <f t="shared" si="1"/>
        <v>Gator</v>
      </c>
    </row>
    <row r="81" spans="2:13" x14ac:dyDescent="0.3">
      <c r="B81" t="s">
        <v>131</v>
      </c>
      <c r="C81" t="s">
        <v>233</v>
      </c>
      <c r="M81" s="158" t="str">
        <f t="shared" si="1"/>
        <v>Tower Light</v>
      </c>
    </row>
    <row r="82" spans="2:13" x14ac:dyDescent="0.3">
      <c r="B82" t="s">
        <v>131</v>
      </c>
      <c r="C82" t="s">
        <v>234</v>
      </c>
      <c r="M82" s="158" t="str">
        <f t="shared" si="1"/>
        <v>20ft Anti Vandal Store</v>
      </c>
    </row>
    <row r="83" spans="2:13" x14ac:dyDescent="0.3">
      <c r="B83" t="s">
        <v>131</v>
      </c>
      <c r="C83" t="s">
        <v>235</v>
      </c>
      <c r="M83" s="158" t="str">
        <f t="shared" si="1"/>
        <v>16ft Standard Tank (Grey Waste)</v>
      </c>
    </row>
    <row r="84" spans="2:13" x14ac:dyDescent="0.3">
      <c r="B84" t="s">
        <v>131</v>
      </c>
      <c r="C84" t="s">
        <v>236</v>
      </c>
      <c r="M84" s="158" t="str">
        <f t="shared" si="1"/>
        <v>Double side racking for the storage container</v>
      </c>
    </row>
    <row r="85" spans="2:13" x14ac:dyDescent="0.3">
      <c r="B85" t="s">
        <v>131</v>
      </c>
      <c r="C85" t="s">
        <v>237</v>
      </c>
      <c r="M85" s="158" t="str">
        <f t="shared" si="1"/>
        <v>12ft Secure Office</v>
      </c>
    </row>
    <row r="86" spans="2:13" x14ac:dyDescent="0.3">
      <c r="B86" t="s">
        <v>131</v>
      </c>
      <c r="C86" t="s">
        <v>238</v>
      </c>
      <c r="M86" s="158" t="str">
        <f t="shared" si="1"/>
        <v>1xDesk 1xOff-Chair 1xPoly Chair 1xFiling Cabinet</v>
      </c>
    </row>
    <row r="87" spans="2:13" x14ac:dyDescent="0.3">
      <c r="B87" t="s">
        <v>131</v>
      </c>
      <c r="C87" t="s">
        <v>239</v>
      </c>
      <c r="M87" s="158" t="str">
        <f t="shared" si="1"/>
        <v>Stair Case Landing</v>
      </c>
    </row>
    <row r="88" spans="2:13" x14ac:dyDescent="0.3">
      <c r="B88" t="s">
        <v>131</v>
      </c>
      <c r="C88" t="s">
        <v>240</v>
      </c>
      <c r="M88" s="158" t="str">
        <f t="shared" si="1"/>
        <v xml:space="preserve">Distribution Board </v>
      </c>
    </row>
    <row r="89" spans="2:13" x14ac:dyDescent="0.3">
      <c r="B89" t="s">
        <v>131</v>
      </c>
      <c r="C89" t="s">
        <v>241</v>
      </c>
      <c r="M89" s="158" t="str">
        <f t="shared" si="1"/>
        <v>32ft Anti Vandal Meeting Room</v>
      </c>
    </row>
    <row r="90" spans="2:13" x14ac:dyDescent="0.3">
      <c r="B90" t="s">
        <v>131</v>
      </c>
      <c r="C90" t="s">
        <v>242</v>
      </c>
      <c r="M90" s="158" t="str">
        <f t="shared" si="1"/>
        <v>15xPadded Chairs 6xOffice Tables</v>
      </c>
    </row>
    <row r="91" spans="2:13" x14ac:dyDescent="0.3">
      <c r="B91" t="s">
        <v>131</v>
      </c>
      <c r="C91" t="s">
        <v>243</v>
      </c>
      <c r="M91" s="158" t="str">
        <f t="shared" si="1"/>
        <v>32ft Anti Vandal Office</v>
      </c>
    </row>
    <row r="92" spans="2:13" x14ac:dyDescent="0.3">
      <c r="B92" t="s">
        <v>131</v>
      </c>
      <c r="C92" t="s">
        <v>244</v>
      </c>
      <c r="M92" s="158" t="str">
        <f t="shared" si="1"/>
        <v>4xDesks 4xOff-Chair 4xPad-Chair 4xPoly Chairs 2xFiling Cabinets</v>
      </c>
    </row>
    <row r="93" spans="2:13" x14ac:dyDescent="0.3">
      <c r="B93" t="s">
        <v>131</v>
      </c>
      <c r="C93" t="s">
        <v>245</v>
      </c>
      <c r="M93" s="158" t="str">
        <f t="shared" si="1"/>
        <v>32ft Anti Vandal Canteen</v>
      </c>
    </row>
    <row r="94" spans="2:13" x14ac:dyDescent="0.3">
      <c r="B94" t="s">
        <v>131</v>
      </c>
      <c r="C94" t="s">
        <v>246</v>
      </c>
      <c r="M94" s="158" t="str">
        <f t="shared" si="1"/>
        <v>4xTables 24xPoly Chairs</v>
      </c>
    </row>
    <row r="95" spans="2:13" x14ac:dyDescent="0.3">
      <c r="B95" t="s">
        <v>131</v>
      </c>
      <c r="C95" t="s">
        <v>247</v>
      </c>
      <c r="M95" s="158" t="str">
        <f t="shared" si="1"/>
        <v>Fridge, Microwave &amp; Kettle</v>
      </c>
    </row>
    <row r="96" spans="2:13" x14ac:dyDescent="0.3">
      <c r="B96" t="s">
        <v>131</v>
      </c>
      <c r="C96" t="s">
        <v>248</v>
      </c>
      <c r="M96" s="158" t="str">
        <f t="shared" si="1"/>
        <v>32ft Security Changing Room</v>
      </c>
    </row>
    <row r="97" spans="2:13" x14ac:dyDescent="0.3">
      <c r="B97" t="s">
        <v>131</v>
      </c>
      <c r="C97" t="s">
        <v>249</v>
      </c>
      <c r="M97" s="158" t="str">
        <f t="shared" si="1"/>
        <v>4x 1.5m Double Sided Cloakroom Benches</v>
      </c>
    </row>
    <row r="98" spans="2:13" x14ac:dyDescent="0.3">
      <c r="B98" t="s">
        <v>131</v>
      </c>
      <c r="C98" t="s">
        <v>252</v>
      </c>
      <c r="M98" s="158" t="str">
        <f t="shared" si="1"/>
        <v>6kva Welfare Generator</v>
      </c>
    </row>
    <row r="99" spans="2:13" x14ac:dyDescent="0.3">
      <c r="B99" t="s">
        <v>131</v>
      </c>
      <c r="C99" t="s">
        <v>259</v>
      </c>
      <c r="M99" s="158" t="str">
        <f t="shared" si="1"/>
        <v>Dehumidifier</v>
      </c>
    </row>
    <row r="100" spans="2:13" x14ac:dyDescent="0.3">
      <c r="B100" t="s">
        <v>131</v>
      </c>
      <c r="C100" t="s">
        <v>260</v>
      </c>
      <c r="M100" s="158" t="str">
        <f t="shared" si="1"/>
        <v>3+1 Mains Toilet Block</v>
      </c>
    </row>
    <row r="101" spans="2:13" x14ac:dyDescent="0.3">
      <c r="B101" t="s">
        <v>131</v>
      </c>
      <c r="C101" t="s">
        <v>261</v>
      </c>
      <c r="M101" s="158" t="str">
        <f t="shared" si="1"/>
        <v>Furniture Pack for 32-OFF</v>
      </c>
    </row>
    <row r="102" spans="2:13" x14ac:dyDescent="0.3">
      <c r="B102" t="s">
        <v>131</v>
      </c>
      <c r="C102" t="s">
        <v>262</v>
      </c>
      <c r="M102" s="158" t="str">
        <f t="shared" si="1"/>
        <v>Smoking Shelter</v>
      </c>
    </row>
    <row r="103" spans="2:13" x14ac:dyDescent="0.3">
      <c r="B103" t="s">
        <v>131</v>
      </c>
      <c r="C103" t="s">
        <v>263</v>
      </c>
      <c r="M103" s="158" t="str">
        <f t="shared" si="1"/>
        <v>3 Station Boot Wash</v>
      </c>
    </row>
    <row r="104" spans="2:13" x14ac:dyDescent="0.3">
      <c r="B104" t="s">
        <v>131</v>
      </c>
      <c r="C104" t="s">
        <v>264</v>
      </c>
      <c r="M104" s="158" t="str">
        <f t="shared" si="1"/>
        <v>950ltr  fuel cube</v>
      </c>
    </row>
    <row r="105" spans="2:13" x14ac:dyDescent="0.3">
      <c r="B105" t="s">
        <v>131</v>
      </c>
      <c r="C105" t="s">
        <v>265</v>
      </c>
      <c r="M105" s="158" t="str">
        <f t="shared" si="1"/>
        <v>16ft Anti vandal power pod c/w100kwa gen</v>
      </c>
    </row>
    <row r="106" spans="2:13" x14ac:dyDescent="0.3">
      <c r="B106" t="s">
        <v>131</v>
      </c>
      <c r="C106" t="s">
        <v>266</v>
      </c>
      <c r="M106" s="158" t="str">
        <f t="shared" si="1"/>
        <v xml:space="preserve">100 kwa Generator </v>
      </c>
    </row>
    <row r="107" spans="2:13" x14ac:dyDescent="0.3">
      <c r="B107" t="s">
        <v>131</v>
      </c>
      <c r="C107" t="s">
        <v>267</v>
      </c>
      <c r="M107" s="158" t="str">
        <f t="shared" si="1"/>
        <v>20M 32amp lead</v>
      </c>
    </row>
    <row r="108" spans="2:13" x14ac:dyDescent="0.3">
      <c r="B108" t="s">
        <v>131</v>
      </c>
      <c r="C108" t="s">
        <v>268</v>
      </c>
      <c r="M108" s="158" t="str">
        <f t="shared" si="1"/>
        <v xml:space="preserve">Furniture Pack </v>
      </c>
    </row>
    <row r="109" spans="2:13" x14ac:dyDescent="0.3">
      <c r="B109" t="s">
        <v>131</v>
      </c>
      <c r="C109" t="s">
        <v>269</v>
      </c>
      <c r="M109" s="158" t="str">
        <f t="shared" si="1"/>
        <v>20ft Anti Vandal Tank (Grey Waste)</v>
      </c>
    </row>
    <row r="110" spans="2:13" x14ac:dyDescent="0.3">
      <c r="B110" t="s">
        <v>131</v>
      </c>
      <c r="C110" t="s">
        <v>270</v>
      </c>
      <c r="M110" s="158" t="str">
        <f t="shared" ref="M110:M173" si="2">IF(B110="YES",C110,"")</f>
        <v xml:space="preserve">Eco Tower – Requires 110/240 power supply </v>
      </c>
    </row>
    <row r="111" spans="2:13" x14ac:dyDescent="0.3">
      <c r="B111" t="s">
        <v>131</v>
      </c>
      <c r="C111" t="s">
        <v>271</v>
      </c>
      <c r="M111" s="158" t="str">
        <f t="shared" si="2"/>
        <v>32ft  Changing Room</v>
      </c>
    </row>
    <row r="112" spans="2:13" x14ac:dyDescent="0.3">
      <c r="B112" t="s">
        <v>131</v>
      </c>
      <c r="C112" t="s">
        <v>272</v>
      </c>
      <c r="M112" s="158" t="str">
        <f t="shared" si="2"/>
        <v>12ft Mobile Welfare Groundhog</v>
      </c>
    </row>
    <row r="113" spans="2:13" x14ac:dyDescent="0.3">
      <c r="B113" t="s">
        <v>131</v>
      </c>
      <c r="C113" t="s">
        <v>273</v>
      </c>
      <c r="M113" s="158" t="str">
        <f t="shared" si="2"/>
        <v>Soundex Premium Curtain Plus Generator Surround Package</v>
      </c>
    </row>
    <row r="114" spans="2:13" x14ac:dyDescent="0.3">
      <c r="B114" t="s">
        <v>131</v>
      </c>
      <c r="C114" t="s">
        <v>275</v>
      </c>
      <c r="M114" s="158" t="str">
        <f t="shared" si="2"/>
        <v>Discharge  pump 3''</v>
      </c>
    </row>
    <row r="115" spans="2:13" x14ac:dyDescent="0.3">
      <c r="B115" t="s">
        <v>131</v>
      </c>
      <c r="C115" t="s">
        <v>276</v>
      </c>
      <c r="M115" s="158" t="str">
        <f t="shared" si="2"/>
        <v>GPS kit</v>
      </c>
    </row>
    <row r="116" spans="2:13" x14ac:dyDescent="0.3">
      <c r="B116" t="s">
        <v>131</v>
      </c>
      <c r="C116" t="s">
        <v>277</v>
      </c>
      <c r="M116" s="158" t="str">
        <f t="shared" si="2"/>
        <v>COSHH Storage Container</v>
      </c>
    </row>
    <row r="117" spans="2:13" x14ac:dyDescent="0.3">
      <c r="B117" t="s">
        <v>131</v>
      </c>
      <c r="C117" t="s">
        <v>278</v>
      </c>
      <c r="M117" s="158" t="str">
        <f t="shared" si="2"/>
        <v>Track Pads flex</v>
      </c>
    </row>
    <row r="118" spans="2:13" x14ac:dyDescent="0.3">
      <c r="B118" t="s">
        <v>131</v>
      </c>
      <c r="C118" t="s">
        <v>279</v>
      </c>
      <c r="M118" s="158" t="str">
        <f t="shared" si="2"/>
        <v>Track Pads (black 40mm)</v>
      </c>
    </row>
    <row r="119" spans="2:13" x14ac:dyDescent="0.3">
      <c r="B119" t="s">
        <v>131</v>
      </c>
      <c r="C119" t="s">
        <v>280</v>
      </c>
      <c r="M119" s="158" t="str">
        <f t="shared" si="2"/>
        <v>Noise measurment  Equipment</v>
      </c>
    </row>
    <row r="120" spans="2:13" x14ac:dyDescent="0.3">
      <c r="B120" t="s">
        <v>131</v>
      </c>
      <c r="C120" t="s">
        <v>281</v>
      </c>
      <c r="M120" s="158" t="str">
        <f t="shared" si="2"/>
        <v>Dust Supression 1500lt</v>
      </c>
    </row>
    <row r="121" spans="2:13" x14ac:dyDescent="0.3">
      <c r="B121" t="s">
        <v>131</v>
      </c>
      <c r="C121" t="s">
        <v>282</v>
      </c>
      <c r="M121" s="158" t="str">
        <f t="shared" si="2"/>
        <v>8 yard skip - metal</v>
      </c>
    </row>
    <row r="122" spans="2:13" x14ac:dyDescent="0.3">
      <c r="B122" t="s">
        <v>131</v>
      </c>
      <c r="C122" t="s">
        <v>283</v>
      </c>
      <c r="M122" s="158" t="str">
        <f t="shared" si="2"/>
        <v>8 yard skip - general</v>
      </c>
    </row>
    <row r="123" spans="2:13" x14ac:dyDescent="0.3">
      <c r="C123" t="s">
        <v>287</v>
      </c>
      <c r="M123" s="158" t="str">
        <f t="shared" si="2"/>
        <v/>
      </c>
    </row>
    <row r="124" spans="2:13" x14ac:dyDescent="0.3">
      <c r="B124" t="s">
        <v>131</v>
      </c>
      <c r="C124" t="s">
        <v>288</v>
      </c>
      <c r="M124" s="158" t="str">
        <f t="shared" si="2"/>
        <v xml:space="preserve">6 yard skip - Concrete </v>
      </c>
    </row>
    <row r="125" spans="2:13" x14ac:dyDescent="0.3">
      <c r="C125" t="s">
        <v>302</v>
      </c>
      <c r="M125" s="158" t="str">
        <f t="shared" si="2"/>
        <v/>
      </c>
    </row>
    <row r="126" spans="2:13" x14ac:dyDescent="0.3">
      <c r="C126" t="s">
        <v>303</v>
      </c>
      <c r="M126" s="158" t="str">
        <f t="shared" si="2"/>
        <v/>
      </c>
    </row>
    <row r="127" spans="2:13" x14ac:dyDescent="0.3">
      <c r="C127" t="s">
        <v>304</v>
      </c>
      <c r="M127" s="158" t="str">
        <f t="shared" si="2"/>
        <v/>
      </c>
    </row>
    <row r="128" spans="2:13" x14ac:dyDescent="0.3">
      <c r="C128" t="s">
        <v>307</v>
      </c>
      <c r="M128" s="158" t="str">
        <f t="shared" si="2"/>
        <v/>
      </c>
    </row>
    <row r="129" spans="2:13" x14ac:dyDescent="0.3">
      <c r="C129" t="s">
        <v>308</v>
      </c>
      <c r="M129" s="158" t="str">
        <f t="shared" si="2"/>
        <v/>
      </c>
    </row>
    <row r="130" spans="2:13" x14ac:dyDescent="0.3">
      <c r="C130" t="s">
        <v>309</v>
      </c>
      <c r="M130" s="158" t="str">
        <f t="shared" si="2"/>
        <v/>
      </c>
    </row>
    <row r="131" spans="2:13" x14ac:dyDescent="0.3">
      <c r="C131" t="s">
        <v>312</v>
      </c>
      <c r="M131" s="158" t="str">
        <f t="shared" si="2"/>
        <v/>
      </c>
    </row>
    <row r="132" spans="2:13" x14ac:dyDescent="0.3">
      <c r="B132" t="s">
        <v>131</v>
      </c>
      <c r="C132" t="s">
        <v>313</v>
      </c>
      <c r="M132" s="158" t="str">
        <f t="shared" si="2"/>
        <v>12 yard  skip - general</v>
      </c>
    </row>
    <row r="133" spans="2:13" x14ac:dyDescent="0.3">
      <c r="C133" t="s">
        <v>318</v>
      </c>
      <c r="M133" s="158" t="str">
        <f t="shared" si="2"/>
        <v/>
      </c>
    </row>
    <row r="134" spans="2:13" x14ac:dyDescent="0.3">
      <c r="C134" t="s">
        <v>319</v>
      </c>
      <c r="M134" s="158" t="str">
        <f t="shared" si="2"/>
        <v/>
      </c>
    </row>
    <row r="135" spans="2:13" x14ac:dyDescent="0.3">
      <c r="C135" t="s">
        <v>320</v>
      </c>
      <c r="M135" s="158" t="str">
        <f t="shared" si="2"/>
        <v/>
      </c>
    </row>
    <row r="136" spans="2:13" x14ac:dyDescent="0.3">
      <c r="C136" t="s">
        <v>322</v>
      </c>
      <c r="M136" s="158" t="str">
        <f t="shared" si="2"/>
        <v/>
      </c>
    </row>
    <row r="137" spans="2:13" x14ac:dyDescent="0.3">
      <c r="B137" t="s">
        <v>131</v>
      </c>
      <c r="C137" t="s">
        <v>323</v>
      </c>
      <c r="M137" s="158" t="str">
        <f>IF(B137="YES",C137,"")</f>
        <v xml:space="preserve">32ft Storage Container  with Racks </v>
      </c>
    </row>
    <row r="138" spans="2:13" x14ac:dyDescent="0.3">
      <c r="B138" t="s">
        <v>131</v>
      </c>
      <c r="C138" t="s">
        <v>324</v>
      </c>
      <c r="M138" s="158" t="str">
        <f>IF(B138="YES",C138,"")</f>
        <v xml:space="preserve">32ft Storage Container  - Dual Doors </v>
      </c>
    </row>
    <row r="139" spans="2:13" x14ac:dyDescent="0.3">
      <c r="B139" t="s">
        <v>131</v>
      </c>
      <c r="C139" s="158" t="s">
        <v>342</v>
      </c>
      <c r="M139" s="158" t="str">
        <f t="shared" ref="M139:M140" si="3">IF(B139="YES",C139,"")</f>
        <v>Dehumidifier PP005</v>
      </c>
    </row>
    <row r="140" spans="2:13" x14ac:dyDescent="0.3">
      <c r="C140" t="s">
        <v>343</v>
      </c>
      <c r="M140" s="158" t="str">
        <f t="shared" si="3"/>
        <v/>
      </c>
    </row>
    <row r="141" spans="2:13" x14ac:dyDescent="0.3">
      <c r="B141" t="s">
        <v>131</v>
      </c>
      <c r="C141" t="s">
        <v>139</v>
      </c>
      <c r="M141" s="158" t="str">
        <f t="shared" si="2"/>
        <v>Internet Service</v>
      </c>
    </row>
    <row r="142" spans="2:13" x14ac:dyDescent="0.3">
      <c r="C142" t="s">
        <v>344</v>
      </c>
      <c r="M142" s="158"/>
    </row>
    <row r="143" spans="2:13" x14ac:dyDescent="0.3">
      <c r="C143" t="s">
        <v>345</v>
      </c>
      <c r="M143" s="158" t="str">
        <f t="shared" si="2"/>
        <v/>
      </c>
    </row>
    <row r="144" spans="2:13" x14ac:dyDescent="0.3">
      <c r="C144" t="s">
        <v>346</v>
      </c>
      <c r="M144" s="158" t="str">
        <f t="shared" si="2"/>
        <v/>
      </c>
    </row>
    <row r="145" spans="3:13" x14ac:dyDescent="0.3">
      <c r="C145" t="s">
        <v>347</v>
      </c>
      <c r="M145" s="158" t="str">
        <f t="shared" si="2"/>
        <v/>
      </c>
    </row>
    <row r="146" spans="3:13" x14ac:dyDescent="0.3">
      <c r="C146" t="s">
        <v>348</v>
      </c>
      <c r="M146" s="158" t="str">
        <f t="shared" si="2"/>
        <v/>
      </c>
    </row>
    <row r="147" spans="3:13" x14ac:dyDescent="0.3">
      <c r="C147" t="s">
        <v>349</v>
      </c>
      <c r="M147" s="158" t="str">
        <f t="shared" si="2"/>
        <v/>
      </c>
    </row>
    <row r="148" spans="3:13" x14ac:dyDescent="0.3">
      <c r="C148" t="s">
        <v>350</v>
      </c>
      <c r="M148" s="158" t="str">
        <f t="shared" si="2"/>
        <v/>
      </c>
    </row>
    <row r="149" spans="3:13" x14ac:dyDescent="0.3">
      <c r="C149" t="s">
        <v>351</v>
      </c>
      <c r="M149" s="158" t="str">
        <f t="shared" si="2"/>
        <v/>
      </c>
    </row>
    <row r="150" spans="3:13" x14ac:dyDescent="0.3">
      <c r="C150" t="s">
        <v>352</v>
      </c>
      <c r="M150" s="158" t="str">
        <f t="shared" si="2"/>
        <v/>
      </c>
    </row>
    <row r="151" spans="3:13" x14ac:dyDescent="0.3">
      <c r="C151" t="s">
        <v>356</v>
      </c>
      <c r="M151" s="158" t="str">
        <f t="shared" si="2"/>
        <v/>
      </c>
    </row>
    <row r="152" spans="3:13" x14ac:dyDescent="0.3">
      <c r="C152" t="s">
        <v>357</v>
      </c>
      <c r="M152" s="158" t="str">
        <f t="shared" si="2"/>
        <v/>
      </c>
    </row>
    <row r="153" spans="3:13" x14ac:dyDescent="0.3">
      <c r="C153" t="s">
        <v>358</v>
      </c>
      <c r="M153" s="158" t="str">
        <f t="shared" si="2"/>
        <v/>
      </c>
    </row>
    <row r="154" spans="3:13" x14ac:dyDescent="0.3">
      <c r="C154" t="s">
        <v>359</v>
      </c>
      <c r="M154" s="158" t="str">
        <f t="shared" si="2"/>
        <v/>
      </c>
    </row>
    <row r="155" spans="3:13" x14ac:dyDescent="0.3">
      <c r="C155" t="s">
        <v>360</v>
      </c>
      <c r="M155" s="158" t="str">
        <f t="shared" si="2"/>
        <v/>
      </c>
    </row>
    <row r="156" spans="3:13" x14ac:dyDescent="0.3">
      <c r="C156" t="s">
        <v>361</v>
      </c>
      <c r="M156" s="158" t="str">
        <f t="shared" si="2"/>
        <v/>
      </c>
    </row>
    <row r="157" spans="3:13" x14ac:dyDescent="0.3">
      <c r="C157" t="s">
        <v>362</v>
      </c>
      <c r="M157" s="158" t="str">
        <f t="shared" si="2"/>
        <v/>
      </c>
    </row>
    <row r="158" spans="3:13" x14ac:dyDescent="0.3">
      <c r="C158" t="s">
        <v>363</v>
      </c>
      <c r="M158" s="158" t="str">
        <f t="shared" si="2"/>
        <v/>
      </c>
    </row>
    <row r="159" spans="3:13" x14ac:dyDescent="0.3">
      <c r="C159" t="s">
        <v>364</v>
      </c>
      <c r="M159" s="158" t="str">
        <f t="shared" si="2"/>
        <v/>
      </c>
    </row>
    <row r="160" spans="3:13" x14ac:dyDescent="0.3">
      <c r="C160" t="s">
        <v>365</v>
      </c>
      <c r="M160" s="158" t="str">
        <f t="shared" si="2"/>
        <v/>
      </c>
    </row>
    <row r="161" spans="3:13" x14ac:dyDescent="0.3">
      <c r="C161" t="s">
        <v>366</v>
      </c>
      <c r="M161" s="158" t="str">
        <f t="shared" si="2"/>
        <v/>
      </c>
    </row>
    <row r="162" spans="3:13" x14ac:dyDescent="0.3">
      <c r="C162" t="s">
        <v>367</v>
      </c>
      <c r="M162" s="158" t="str">
        <f t="shared" si="2"/>
        <v/>
      </c>
    </row>
    <row r="163" spans="3:13" x14ac:dyDescent="0.3">
      <c r="C163" t="s">
        <v>368</v>
      </c>
      <c r="M163" s="158" t="str">
        <f t="shared" si="2"/>
        <v/>
      </c>
    </row>
    <row r="164" spans="3:13" x14ac:dyDescent="0.3">
      <c r="C164" t="s">
        <v>154</v>
      </c>
      <c r="M164" s="158" t="str">
        <f t="shared" si="2"/>
        <v/>
      </c>
    </row>
    <row r="165" spans="3:13" x14ac:dyDescent="0.3">
      <c r="C165" t="s">
        <v>369</v>
      </c>
      <c r="M165" s="158" t="str">
        <f t="shared" si="2"/>
        <v/>
      </c>
    </row>
    <row r="166" spans="3:13" x14ac:dyDescent="0.3">
      <c r="C166" t="s">
        <v>370</v>
      </c>
      <c r="M166" s="158" t="str">
        <f t="shared" si="2"/>
        <v/>
      </c>
    </row>
    <row r="167" spans="3:13" x14ac:dyDescent="0.3">
      <c r="C167" t="s">
        <v>371</v>
      </c>
      <c r="M167" s="158" t="str">
        <f t="shared" si="2"/>
        <v/>
      </c>
    </row>
    <row r="168" spans="3:13" x14ac:dyDescent="0.3">
      <c r="C168" t="s">
        <v>372</v>
      </c>
      <c r="M168" s="158" t="str">
        <f t="shared" si="2"/>
        <v/>
      </c>
    </row>
    <row r="169" spans="3:13" x14ac:dyDescent="0.3">
      <c r="C169" t="s">
        <v>373</v>
      </c>
      <c r="M169" s="158" t="str">
        <f t="shared" si="2"/>
        <v/>
      </c>
    </row>
    <row r="170" spans="3:13" x14ac:dyDescent="0.3">
      <c r="C170" t="s">
        <v>374</v>
      </c>
      <c r="M170" s="158" t="str">
        <f t="shared" si="2"/>
        <v/>
      </c>
    </row>
    <row r="171" spans="3:13" x14ac:dyDescent="0.3">
      <c r="M171" s="158" t="str">
        <f t="shared" si="2"/>
        <v/>
      </c>
    </row>
    <row r="172" spans="3:13" x14ac:dyDescent="0.3">
      <c r="M172" s="158" t="str">
        <f t="shared" si="2"/>
        <v/>
      </c>
    </row>
    <row r="173" spans="3:13" x14ac:dyDescent="0.3">
      <c r="M173" s="158" t="str">
        <f t="shared" si="2"/>
        <v/>
      </c>
    </row>
    <row r="174" spans="3:13" x14ac:dyDescent="0.3">
      <c r="M174" s="158" t="str">
        <f t="shared" ref="M174:M237" si="4">IF(B174="YES",C174,"")</f>
        <v/>
      </c>
    </row>
    <row r="175" spans="3:13" x14ac:dyDescent="0.3">
      <c r="M175" s="158" t="str">
        <f t="shared" si="4"/>
        <v/>
      </c>
    </row>
    <row r="176" spans="3:13" x14ac:dyDescent="0.3">
      <c r="M176" s="158" t="str">
        <f t="shared" si="4"/>
        <v/>
      </c>
    </row>
    <row r="177" spans="13:13" x14ac:dyDescent="0.3">
      <c r="M177" s="158" t="str">
        <f t="shared" si="4"/>
        <v/>
      </c>
    </row>
    <row r="178" spans="13:13" x14ac:dyDescent="0.3">
      <c r="M178" s="158" t="str">
        <f t="shared" si="4"/>
        <v/>
      </c>
    </row>
    <row r="179" spans="13:13" x14ac:dyDescent="0.3">
      <c r="M179" s="158" t="str">
        <f t="shared" si="4"/>
        <v/>
      </c>
    </row>
    <row r="180" spans="13:13" x14ac:dyDescent="0.3">
      <c r="M180" s="158" t="str">
        <f t="shared" si="4"/>
        <v/>
      </c>
    </row>
    <row r="181" spans="13:13" x14ac:dyDescent="0.3">
      <c r="M181" s="158" t="str">
        <f t="shared" si="4"/>
        <v/>
      </c>
    </row>
    <row r="182" spans="13:13" x14ac:dyDescent="0.3">
      <c r="M182" s="158" t="str">
        <f t="shared" si="4"/>
        <v/>
      </c>
    </row>
    <row r="183" spans="13:13" x14ac:dyDescent="0.3">
      <c r="M183" s="158" t="str">
        <f t="shared" si="4"/>
        <v/>
      </c>
    </row>
    <row r="184" spans="13:13" x14ac:dyDescent="0.3">
      <c r="M184" s="158" t="str">
        <f t="shared" si="4"/>
        <v/>
      </c>
    </row>
    <row r="185" spans="13:13" x14ac:dyDescent="0.3">
      <c r="M185" s="158" t="str">
        <f t="shared" si="4"/>
        <v/>
      </c>
    </row>
    <row r="186" spans="13:13" x14ac:dyDescent="0.3">
      <c r="M186" s="158" t="str">
        <f t="shared" si="4"/>
        <v/>
      </c>
    </row>
    <row r="187" spans="13:13" x14ac:dyDescent="0.3">
      <c r="M187" s="158" t="str">
        <f t="shared" si="4"/>
        <v/>
      </c>
    </row>
    <row r="188" spans="13:13" x14ac:dyDescent="0.3">
      <c r="M188" s="158" t="str">
        <f t="shared" si="4"/>
        <v/>
      </c>
    </row>
    <row r="189" spans="13:13" x14ac:dyDescent="0.3">
      <c r="M189" s="158" t="str">
        <f t="shared" si="4"/>
        <v/>
      </c>
    </row>
    <row r="190" spans="13:13" x14ac:dyDescent="0.3">
      <c r="M190" s="158" t="str">
        <f t="shared" si="4"/>
        <v/>
      </c>
    </row>
    <row r="191" spans="13:13" x14ac:dyDescent="0.3">
      <c r="M191" s="158" t="str">
        <f t="shared" si="4"/>
        <v/>
      </c>
    </row>
    <row r="192" spans="13:13" x14ac:dyDescent="0.3">
      <c r="M192" s="158" t="str">
        <f t="shared" si="4"/>
        <v/>
      </c>
    </row>
    <row r="193" spans="13:13" x14ac:dyDescent="0.3">
      <c r="M193" s="158" t="str">
        <f t="shared" si="4"/>
        <v/>
      </c>
    </row>
    <row r="194" spans="13:13" x14ac:dyDescent="0.3">
      <c r="M194" s="158" t="str">
        <f t="shared" si="4"/>
        <v/>
      </c>
    </row>
    <row r="195" spans="13:13" x14ac:dyDescent="0.3">
      <c r="M195" s="158" t="str">
        <f t="shared" si="4"/>
        <v/>
      </c>
    </row>
    <row r="196" spans="13:13" x14ac:dyDescent="0.3">
      <c r="M196" s="158" t="str">
        <f t="shared" si="4"/>
        <v/>
      </c>
    </row>
    <row r="197" spans="13:13" x14ac:dyDescent="0.3">
      <c r="M197" s="158" t="str">
        <f t="shared" si="4"/>
        <v/>
      </c>
    </row>
    <row r="198" spans="13:13" x14ac:dyDescent="0.3">
      <c r="M198" s="158" t="str">
        <f t="shared" si="4"/>
        <v/>
      </c>
    </row>
    <row r="199" spans="13:13" x14ac:dyDescent="0.3">
      <c r="M199" s="158" t="str">
        <f t="shared" si="4"/>
        <v/>
      </c>
    </row>
    <row r="200" spans="13:13" x14ac:dyDescent="0.3">
      <c r="M200" s="158" t="str">
        <f t="shared" si="4"/>
        <v/>
      </c>
    </row>
    <row r="201" spans="13:13" x14ac:dyDescent="0.3">
      <c r="M201" s="158" t="str">
        <f t="shared" si="4"/>
        <v/>
      </c>
    </row>
    <row r="202" spans="13:13" x14ac:dyDescent="0.3">
      <c r="M202" s="158" t="str">
        <f t="shared" si="4"/>
        <v/>
      </c>
    </row>
    <row r="203" spans="13:13" x14ac:dyDescent="0.3">
      <c r="M203" s="158" t="str">
        <f t="shared" si="4"/>
        <v/>
      </c>
    </row>
    <row r="204" spans="13:13" x14ac:dyDescent="0.3">
      <c r="M204" s="158" t="str">
        <f t="shared" si="4"/>
        <v/>
      </c>
    </row>
    <row r="205" spans="13:13" x14ac:dyDescent="0.3">
      <c r="M205" s="158" t="str">
        <f t="shared" si="4"/>
        <v/>
      </c>
    </row>
    <row r="206" spans="13:13" x14ac:dyDescent="0.3">
      <c r="M206" s="158" t="str">
        <f t="shared" si="4"/>
        <v/>
      </c>
    </row>
    <row r="207" spans="13:13" x14ac:dyDescent="0.3">
      <c r="M207" s="158" t="str">
        <f t="shared" si="4"/>
        <v/>
      </c>
    </row>
    <row r="208" spans="13:13" x14ac:dyDescent="0.3">
      <c r="M208" s="158" t="str">
        <f t="shared" si="4"/>
        <v/>
      </c>
    </row>
    <row r="209" spans="13:13" x14ac:dyDescent="0.3">
      <c r="M209" s="158" t="str">
        <f t="shared" si="4"/>
        <v/>
      </c>
    </row>
    <row r="210" spans="13:13" x14ac:dyDescent="0.3">
      <c r="M210" s="158" t="str">
        <f t="shared" si="4"/>
        <v/>
      </c>
    </row>
    <row r="211" spans="13:13" x14ac:dyDescent="0.3">
      <c r="M211" s="158" t="str">
        <f t="shared" si="4"/>
        <v/>
      </c>
    </row>
    <row r="212" spans="13:13" x14ac:dyDescent="0.3">
      <c r="M212" s="158" t="str">
        <f t="shared" si="4"/>
        <v/>
      </c>
    </row>
    <row r="213" spans="13:13" x14ac:dyDescent="0.3">
      <c r="M213" s="158" t="str">
        <f t="shared" si="4"/>
        <v/>
      </c>
    </row>
    <row r="214" spans="13:13" x14ac:dyDescent="0.3">
      <c r="M214" s="158" t="str">
        <f t="shared" si="4"/>
        <v/>
      </c>
    </row>
    <row r="215" spans="13:13" x14ac:dyDescent="0.3">
      <c r="M215" s="158" t="str">
        <f t="shared" si="4"/>
        <v/>
      </c>
    </row>
    <row r="216" spans="13:13" x14ac:dyDescent="0.3">
      <c r="M216" s="158" t="str">
        <f t="shared" si="4"/>
        <v/>
      </c>
    </row>
    <row r="217" spans="13:13" x14ac:dyDescent="0.3">
      <c r="M217" s="158" t="str">
        <f t="shared" si="4"/>
        <v/>
      </c>
    </row>
    <row r="218" spans="13:13" x14ac:dyDescent="0.3">
      <c r="M218" s="158" t="str">
        <f t="shared" si="4"/>
        <v/>
      </c>
    </row>
    <row r="219" spans="13:13" x14ac:dyDescent="0.3">
      <c r="M219" s="158" t="str">
        <f t="shared" si="4"/>
        <v/>
      </c>
    </row>
    <row r="220" spans="13:13" x14ac:dyDescent="0.3">
      <c r="M220" s="158" t="str">
        <f t="shared" si="4"/>
        <v/>
      </c>
    </row>
    <row r="221" spans="13:13" x14ac:dyDescent="0.3">
      <c r="M221" s="158" t="str">
        <f t="shared" si="4"/>
        <v/>
      </c>
    </row>
    <row r="222" spans="13:13" x14ac:dyDescent="0.3">
      <c r="M222" s="158" t="str">
        <f t="shared" si="4"/>
        <v/>
      </c>
    </row>
    <row r="223" spans="13:13" x14ac:dyDescent="0.3">
      <c r="M223" s="158" t="str">
        <f t="shared" si="4"/>
        <v/>
      </c>
    </row>
    <row r="224" spans="13:13" x14ac:dyDescent="0.3">
      <c r="M224" s="158" t="str">
        <f t="shared" si="4"/>
        <v/>
      </c>
    </row>
    <row r="225" spans="13:13" x14ac:dyDescent="0.3">
      <c r="M225" s="158" t="str">
        <f t="shared" si="4"/>
        <v/>
      </c>
    </row>
    <row r="226" spans="13:13" x14ac:dyDescent="0.3">
      <c r="M226" s="158" t="str">
        <f t="shared" si="4"/>
        <v/>
      </c>
    </row>
    <row r="227" spans="13:13" x14ac:dyDescent="0.3">
      <c r="M227" s="158" t="str">
        <f t="shared" si="4"/>
        <v/>
      </c>
    </row>
    <row r="228" spans="13:13" x14ac:dyDescent="0.3">
      <c r="M228" s="158" t="str">
        <f t="shared" si="4"/>
        <v/>
      </c>
    </row>
    <row r="229" spans="13:13" x14ac:dyDescent="0.3">
      <c r="M229" s="158" t="str">
        <f t="shared" si="4"/>
        <v/>
      </c>
    </row>
    <row r="230" spans="13:13" x14ac:dyDescent="0.3">
      <c r="M230" s="158" t="str">
        <f t="shared" si="4"/>
        <v/>
      </c>
    </row>
    <row r="231" spans="13:13" x14ac:dyDescent="0.3">
      <c r="M231" s="158" t="str">
        <f t="shared" si="4"/>
        <v/>
      </c>
    </row>
    <row r="232" spans="13:13" x14ac:dyDescent="0.3">
      <c r="M232" s="158" t="str">
        <f t="shared" si="4"/>
        <v/>
      </c>
    </row>
    <row r="233" spans="13:13" x14ac:dyDescent="0.3">
      <c r="M233" s="158" t="str">
        <f t="shared" si="4"/>
        <v/>
      </c>
    </row>
    <row r="234" spans="13:13" x14ac:dyDescent="0.3">
      <c r="M234" s="158" t="str">
        <f t="shared" si="4"/>
        <v/>
      </c>
    </row>
    <row r="235" spans="13:13" x14ac:dyDescent="0.3">
      <c r="M235" s="158" t="str">
        <f t="shared" si="4"/>
        <v/>
      </c>
    </row>
    <row r="236" spans="13:13" x14ac:dyDescent="0.3">
      <c r="M236" s="158" t="str">
        <f t="shared" si="4"/>
        <v/>
      </c>
    </row>
    <row r="237" spans="13:13" x14ac:dyDescent="0.3">
      <c r="M237" s="158" t="str">
        <f t="shared" si="4"/>
        <v/>
      </c>
    </row>
    <row r="238" spans="13:13" x14ac:dyDescent="0.3">
      <c r="M238" s="158" t="str">
        <f t="shared" ref="M238:M301" si="5">IF(B238="YES",C238,"")</f>
        <v/>
      </c>
    </row>
    <row r="239" spans="13:13" x14ac:dyDescent="0.3">
      <c r="M239" s="158" t="str">
        <f t="shared" si="5"/>
        <v/>
      </c>
    </row>
    <row r="240" spans="13:13" x14ac:dyDescent="0.3">
      <c r="M240" s="158" t="str">
        <f t="shared" si="5"/>
        <v/>
      </c>
    </row>
    <row r="241" spans="13:13" x14ac:dyDescent="0.3">
      <c r="M241" s="158" t="str">
        <f t="shared" si="5"/>
        <v/>
      </c>
    </row>
    <row r="242" spans="13:13" x14ac:dyDescent="0.3">
      <c r="M242" s="158" t="str">
        <f t="shared" si="5"/>
        <v/>
      </c>
    </row>
    <row r="243" spans="13:13" x14ac:dyDescent="0.3">
      <c r="M243" s="158" t="str">
        <f t="shared" si="5"/>
        <v/>
      </c>
    </row>
    <row r="244" spans="13:13" x14ac:dyDescent="0.3">
      <c r="M244" s="158" t="str">
        <f t="shared" si="5"/>
        <v/>
      </c>
    </row>
    <row r="245" spans="13:13" x14ac:dyDescent="0.3">
      <c r="M245" s="158" t="str">
        <f t="shared" si="5"/>
        <v/>
      </c>
    </row>
    <row r="246" spans="13:13" x14ac:dyDescent="0.3">
      <c r="M246" s="158" t="str">
        <f t="shared" si="5"/>
        <v/>
      </c>
    </row>
    <row r="247" spans="13:13" x14ac:dyDescent="0.3">
      <c r="M247" s="158" t="str">
        <f t="shared" si="5"/>
        <v/>
      </c>
    </row>
    <row r="248" spans="13:13" x14ac:dyDescent="0.3">
      <c r="M248" s="158" t="str">
        <f t="shared" si="5"/>
        <v/>
      </c>
    </row>
    <row r="249" spans="13:13" x14ac:dyDescent="0.3">
      <c r="M249" s="158" t="str">
        <f t="shared" si="5"/>
        <v/>
      </c>
    </row>
    <row r="250" spans="13:13" x14ac:dyDescent="0.3">
      <c r="M250" s="158" t="str">
        <f t="shared" si="5"/>
        <v/>
      </c>
    </row>
    <row r="251" spans="13:13" x14ac:dyDescent="0.3">
      <c r="M251" s="158" t="str">
        <f t="shared" si="5"/>
        <v/>
      </c>
    </row>
    <row r="252" spans="13:13" x14ac:dyDescent="0.3">
      <c r="M252" s="158" t="str">
        <f t="shared" si="5"/>
        <v/>
      </c>
    </row>
    <row r="253" spans="13:13" x14ac:dyDescent="0.3">
      <c r="M253" s="158" t="str">
        <f t="shared" si="5"/>
        <v/>
      </c>
    </row>
    <row r="254" spans="13:13" x14ac:dyDescent="0.3">
      <c r="M254" s="158" t="str">
        <f t="shared" si="5"/>
        <v/>
      </c>
    </row>
    <row r="255" spans="13:13" x14ac:dyDescent="0.3">
      <c r="M255" s="158" t="str">
        <f t="shared" si="5"/>
        <v/>
      </c>
    </row>
    <row r="256" spans="13:13" x14ac:dyDescent="0.3">
      <c r="M256" s="158" t="str">
        <f t="shared" si="5"/>
        <v/>
      </c>
    </row>
    <row r="257" spans="13:13" x14ac:dyDescent="0.3">
      <c r="M257" s="158" t="str">
        <f t="shared" si="5"/>
        <v/>
      </c>
    </row>
    <row r="258" spans="13:13" x14ac:dyDescent="0.3">
      <c r="M258" s="158" t="str">
        <f t="shared" si="5"/>
        <v/>
      </c>
    </row>
    <row r="259" spans="13:13" x14ac:dyDescent="0.3">
      <c r="M259" s="158" t="str">
        <f t="shared" si="5"/>
        <v/>
      </c>
    </row>
    <row r="260" spans="13:13" x14ac:dyDescent="0.3">
      <c r="M260" s="158" t="str">
        <f t="shared" si="5"/>
        <v/>
      </c>
    </row>
    <row r="261" spans="13:13" x14ac:dyDescent="0.3">
      <c r="M261" s="158" t="str">
        <f t="shared" si="5"/>
        <v/>
      </c>
    </row>
    <row r="262" spans="13:13" x14ac:dyDescent="0.3">
      <c r="M262" s="158" t="str">
        <f t="shared" si="5"/>
        <v/>
      </c>
    </row>
    <row r="263" spans="13:13" x14ac:dyDescent="0.3">
      <c r="M263" s="158" t="str">
        <f t="shared" si="5"/>
        <v/>
      </c>
    </row>
    <row r="264" spans="13:13" x14ac:dyDescent="0.3">
      <c r="M264" s="158" t="str">
        <f t="shared" si="5"/>
        <v/>
      </c>
    </row>
    <row r="265" spans="13:13" x14ac:dyDescent="0.3">
      <c r="M265" s="158" t="str">
        <f t="shared" si="5"/>
        <v/>
      </c>
    </row>
    <row r="266" spans="13:13" x14ac:dyDescent="0.3">
      <c r="M266" s="158" t="str">
        <f t="shared" si="5"/>
        <v/>
      </c>
    </row>
    <row r="267" spans="13:13" x14ac:dyDescent="0.3">
      <c r="M267" s="158" t="str">
        <f t="shared" si="5"/>
        <v/>
      </c>
    </row>
    <row r="268" spans="13:13" x14ac:dyDescent="0.3">
      <c r="M268" s="158" t="str">
        <f t="shared" si="5"/>
        <v/>
      </c>
    </row>
    <row r="269" spans="13:13" x14ac:dyDescent="0.3">
      <c r="M269" s="158" t="str">
        <f t="shared" si="5"/>
        <v/>
      </c>
    </row>
    <row r="270" spans="13:13" x14ac:dyDescent="0.3">
      <c r="M270" s="158" t="str">
        <f t="shared" si="5"/>
        <v/>
      </c>
    </row>
    <row r="271" spans="13:13" x14ac:dyDescent="0.3">
      <c r="M271" s="158" t="str">
        <f t="shared" si="5"/>
        <v/>
      </c>
    </row>
    <row r="272" spans="13:13" x14ac:dyDescent="0.3">
      <c r="M272" s="158" t="str">
        <f t="shared" si="5"/>
        <v/>
      </c>
    </row>
    <row r="273" spans="13:13" x14ac:dyDescent="0.3">
      <c r="M273" s="158" t="str">
        <f t="shared" si="5"/>
        <v/>
      </c>
    </row>
    <row r="274" spans="13:13" x14ac:dyDescent="0.3">
      <c r="M274" s="158" t="str">
        <f t="shared" si="5"/>
        <v/>
      </c>
    </row>
    <row r="275" spans="13:13" x14ac:dyDescent="0.3">
      <c r="M275" s="158" t="str">
        <f t="shared" si="5"/>
        <v/>
      </c>
    </row>
    <row r="276" spans="13:13" x14ac:dyDescent="0.3">
      <c r="M276" s="158" t="str">
        <f t="shared" si="5"/>
        <v/>
      </c>
    </row>
    <row r="277" spans="13:13" x14ac:dyDescent="0.3">
      <c r="M277" s="158" t="str">
        <f t="shared" si="5"/>
        <v/>
      </c>
    </row>
    <row r="278" spans="13:13" x14ac:dyDescent="0.3">
      <c r="M278" s="158" t="str">
        <f t="shared" si="5"/>
        <v/>
      </c>
    </row>
    <row r="279" spans="13:13" x14ac:dyDescent="0.3">
      <c r="M279" s="158" t="str">
        <f t="shared" si="5"/>
        <v/>
      </c>
    </row>
    <row r="280" spans="13:13" x14ac:dyDescent="0.3">
      <c r="M280" s="158" t="str">
        <f t="shared" si="5"/>
        <v/>
      </c>
    </row>
    <row r="281" spans="13:13" x14ac:dyDescent="0.3">
      <c r="M281" s="158" t="str">
        <f t="shared" si="5"/>
        <v/>
      </c>
    </row>
    <row r="282" spans="13:13" x14ac:dyDescent="0.3">
      <c r="M282" s="158" t="str">
        <f t="shared" si="5"/>
        <v/>
      </c>
    </row>
    <row r="283" spans="13:13" x14ac:dyDescent="0.3">
      <c r="M283" s="158" t="str">
        <f t="shared" si="5"/>
        <v/>
      </c>
    </row>
    <row r="284" spans="13:13" x14ac:dyDescent="0.3">
      <c r="M284" s="158" t="str">
        <f t="shared" si="5"/>
        <v/>
      </c>
    </row>
    <row r="285" spans="13:13" x14ac:dyDescent="0.3">
      <c r="M285" s="158" t="str">
        <f t="shared" si="5"/>
        <v/>
      </c>
    </row>
    <row r="286" spans="13:13" x14ac:dyDescent="0.3">
      <c r="M286" s="158" t="str">
        <f t="shared" si="5"/>
        <v/>
      </c>
    </row>
    <row r="287" spans="13:13" x14ac:dyDescent="0.3">
      <c r="M287" s="158" t="str">
        <f t="shared" si="5"/>
        <v/>
      </c>
    </row>
    <row r="288" spans="13:13" x14ac:dyDescent="0.3">
      <c r="M288" s="158" t="str">
        <f t="shared" si="5"/>
        <v/>
      </c>
    </row>
    <row r="289" spans="13:13" x14ac:dyDescent="0.3">
      <c r="M289" s="158" t="str">
        <f t="shared" si="5"/>
        <v/>
      </c>
    </row>
    <row r="290" spans="13:13" x14ac:dyDescent="0.3">
      <c r="M290" s="158" t="str">
        <f t="shared" si="5"/>
        <v/>
      </c>
    </row>
    <row r="291" spans="13:13" x14ac:dyDescent="0.3">
      <c r="M291" s="158" t="str">
        <f t="shared" si="5"/>
        <v/>
      </c>
    </row>
    <row r="292" spans="13:13" x14ac:dyDescent="0.3">
      <c r="M292" s="158" t="str">
        <f t="shared" si="5"/>
        <v/>
      </c>
    </row>
    <row r="293" spans="13:13" x14ac:dyDescent="0.3">
      <c r="M293" s="158" t="str">
        <f t="shared" si="5"/>
        <v/>
      </c>
    </row>
    <row r="294" spans="13:13" x14ac:dyDescent="0.3">
      <c r="M294" s="158" t="str">
        <f t="shared" si="5"/>
        <v/>
      </c>
    </row>
    <row r="295" spans="13:13" x14ac:dyDescent="0.3">
      <c r="M295" s="158" t="str">
        <f t="shared" si="5"/>
        <v/>
      </c>
    </row>
    <row r="296" spans="13:13" x14ac:dyDescent="0.3">
      <c r="M296" s="158" t="str">
        <f t="shared" si="5"/>
        <v/>
      </c>
    </row>
    <row r="297" spans="13:13" x14ac:dyDescent="0.3">
      <c r="M297" s="158" t="str">
        <f t="shared" si="5"/>
        <v/>
      </c>
    </row>
    <row r="298" spans="13:13" x14ac:dyDescent="0.3">
      <c r="M298" s="158" t="str">
        <f t="shared" si="5"/>
        <v/>
      </c>
    </row>
    <row r="299" spans="13:13" x14ac:dyDescent="0.3">
      <c r="M299" s="158" t="str">
        <f t="shared" si="5"/>
        <v/>
      </c>
    </row>
    <row r="300" spans="13:13" x14ac:dyDescent="0.3">
      <c r="M300" s="158" t="str">
        <f t="shared" si="5"/>
        <v/>
      </c>
    </row>
    <row r="301" spans="13:13" x14ac:dyDescent="0.3">
      <c r="M301" s="158" t="str">
        <f t="shared" si="5"/>
        <v/>
      </c>
    </row>
    <row r="302" spans="13:13" x14ac:dyDescent="0.3">
      <c r="M302" s="158" t="str">
        <f t="shared" ref="M302:M350" si="6">IF(B302="YES",C302,"")</f>
        <v/>
      </c>
    </row>
    <row r="303" spans="13:13" x14ac:dyDescent="0.3">
      <c r="M303" s="158" t="str">
        <f t="shared" si="6"/>
        <v/>
      </c>
    </row>
    <row r="304" spans="13:13" x14ac:dyDescent="0.3">
      <c r="M304" s="158" t="str">
        <f t="shared" si="6"/>
        <v/>
      </c>
    </row>
    <row r="305" spans="13:13" x14ac:dyDescent="0.3">
      <c r="M305" s="158" t="str">
        <f t="shared" si="6"/>
        <v/>
      </c>
    </row>
    <row r="306" spans="13:13" x14ac:dyDescent="0.3">
      <c r="M306" s="158" t="str">
        <f t="shared" si="6"/>
        <v/>
      </c>
    </row>
    <row r="307" spans="13:13" x14ac:dyDescent="0.3">
      <c r="M307" s="158" t="str">
        <f t="shared" si="6"/>
        <v/>
      </c>
    </row>
    <row r="308" spans="13:13" x14ac:dyDescent="0.3">
      <c r="M308" s="158" t="str">
        <f t="shared" si="6"/>
        <v/>
      </c>
    </row>
    <row r="309" spans="13:13" x14ac:dyDescent="0.3">
      <c r="M309" s="158" t="str">
        <f t="shared" si="6"/>
        <v/>
      </c>
    </row>
    <row r="310" spans="13:13" x14ac:dyDescent="0.3">
      <c r="M310" s="158" t="str">
        <f t="shared" si="6"/>
        <v/>
      </c>
    </row>
    <row r="311" spans="13:13" x14ac:dyDescent="0.3">
      <c r="M311" s="158" t="str">
        <f t="shared" si="6"/>
        <v/>
      </c>
    </row>
    <row r="312" spans="13:13" x14ac:dyDescent="0.3">
      <c r="M312" s="158" t="str">
        <f t="shared" si="6"/>
        <v/>
      </c>
    </row>
    <row r="313" spans="13:13" x14ac:dyDescent="0.3">
      <c r="M313" s="158" t="str">
        <f t="shared" si="6"/>
        <v/>
      </c>
    </row>
    <row r="314" spans="13:13" x14ac:dyDescent="0.3">
      <c r="M314" s="158" t="str">
        <f t="shared" si="6"/>
        <v/>
      </c>
    </row>
    <row r="315" spans="13:13" x14ac:dyDescent="0.3">
      <c r="M315" s="158" t="str">
        <f t="shared" si="6"/>
        <v/>
      </c>
    </row>
    <row r="316" spans="13:13" x14ac:dyDescent="0.3">
      <c r="M316" s="158" t="str">
        <f t="shared" si="6"/>
        <v/>
      </c>
    </row>
    <row r="317" spans="13:13" x14ac:dyDescent="0.3">
      <c r="M317" s="158" t="str">
        <f t="shared" si="6"/>
        <v/>
      </c>
    </row>
    <row r="318" spans="13:13" x14ac:dyDescent="0.3">
      <c r="M318" s="158" t="str">
        <f t="shared" si="6"/>
        <v/>
      </c>
    </row>
    <row r="319" spans="13:13" x14ac:dyDescent="0.3">
      <c r="M319" s="158" t="str">
        <f t="shared" si="6"/>
        <v/>
      </c>
    </row>
    <row r="320" spans="13:13" x14ac:dyDescent="0.3">
      <c r="M320" s="158" t="str">
        <f t="shared" si="6"/>
        <v/>
      </c>
    </row>
    <row r="321" spans="13:13" x14ac:dyDescent="0.3">
      <c r="M321" s="158" t="str">
        <f t="shared" si="6"/>
        <v/>
      </c>
    </row>
    <row r="322" spans="13:13" x14ac:dyDescent="0.3">
      <c r="M322" s="158" t="str">
        <f t="shared" si="6"/>
        <v/>
      </c>
    </row>
    <row r="323" spans="13:13" x14ac:dyDescent="0.3">
      <c r="M323" s="158" t="str">
        <f t="shared" si="6"/>
        <v/>
      </c>
    </row>
    <row r="324" spans="13:13" x14ac:dyDescent="0.3">
      <c r="M324" s="158" t="str">
        <f t="shared" si="6"/>
        <v/>
      </c>
    </row>
    <row r="325" spans="13:13" x14ac:dyDescent="0.3">
      <c r="M325" s="158" t="str">
        <f t="shared" si="6"/>
        <v/>
      </c>
    </row>
    <row r="326" spans="13:13" x14ac:dyDescent="0.3">
      <c r="M326" s="158" t="str">
        <f t="shared" si="6"/>
        <v/>
      </c>
    </row>
    <row r="327" spans="13:13" x14ac:dyDescent="0.3">
      <c r="M327" s="158" t="str">
        <f t="shared" si="6"/>
        <v/>
      </c>
    </row>
    <row r="328" spans="13:13" x14ac:dyDescent="0.3">
      <c r="M328" s="158" t="str">
        <f t="shared" si="6"/>
        <v/>
      </c>
    </row>
    <row r="329" spans="13:13" x14ac:dyDescent="0.3">
      <c r="M329" s="158" t="str">
        <f t="shared" si="6"/>
        <v/>
      </c>
    </row>
    <row r="330" spans="13:13" x14ac:dyDescent="0.3">
      <c r="M330" s="158" t="str">
        <f t="shared" si="6"/>
        <v/>
      </c>
    </row>
    <row r="331" spans="13:13" x14ac:dyDescent="0.3">
      <c r="M331" s="158" t="str">
        <f t="shared" si="6"/>
        <v/>
      </c>
    </row>
    <row r="332" spans="13:13" x14ac:dyDescent="0.3">
      <c r="M332" s="158" t="str">
        <f t="shared" si="6"/>
        <v/>
      </c>
    </row>
    <row r="333" spans="13:13" x14ac:dyDescent="0.3">
      <c r="M333" s="158" t="str">
        <f t="shared" si="6"/>
        <v/>
      </c>
    </row>
    <row r="334" spans="13:13" x14ac:dyDescent="0.3">
      <c r="M334" s="158" t="str">
        <f t="shared" si="6"/>
        <v/>
      </c>
    </row>
    <row r="335" spans="13:13" x14ac:dyDescent="0.3">
      <c r="M335" s="158" t="str">
        <f t="shared" si="6"/>
        <v/>
      </c>
    </row>
    <row r="336" spans="13:13" x14ac:dyDescent="0.3">
      <c r="M336" s="158" t="str">
        <f t="shared" si="6"/>
        <v/>
      </c>
    </row>
    <row r="337" spans="13:13" x14ac:dyDescent="0.3">
      <c r="M337" s="158" t="str">
        <f t="shared" si="6"/>
        <v/>
      </c>
    </row>
    <row r="338" spans="13:13" x14ac:dyDescent="0.3">
      <c r="M338" s="158" t="str">
        <f t="shared" si="6"/>
        <v/>
      </c>
    </row>
    <row r="339" spans="13:13" x14ac:dyDescent="0.3">
      <c r="M339" s="158" t="str">
        <f t="shared" si="6"/>
        <v/>
      </c>
    </row>
    <row r="340" spans="13:13" x14ac:dyDescent="0.3">
      <c r="M340" s="158" t="str">
        <f t="shared" si="6"/>
        <v/>
      </c>
    </row>
    <row r="341" spans="13:13" x14ac:dyDescent="0.3">
      <c r="M341" s="158" t="str">
        <f t="shared" si="6"/>
        <v/>
      </c>
    </row>
    <row r="342" spans="13:13" x14ac:dyDescent="0.3">
      <c r="M342" s="158" t="str">
        <f t="shared" si="6"/>
        <v/>
      </c>
    </row>
    <row r="343" spans="13:13" x14ac:dyDescent="0.3">
      <c r="M343" s="158" t="str">
        <f t="shared" si="6"/>
        <v/>
      </c>
    </row>
    <row r="344" spans="13:13" x14ac:dyDescent="0.3">
      <c r="M344" s="158" t="str">
        <f t="shared" si="6"/>
        <v/>
      </c>
    </row>
    <row r="345" spans="13:13" x14ac:dyDescent="0.3">
      <c r="M345" s="158" t="str">
        <f t="shared" si="6"/>
        <v/>
      </c>
    </row>
    <row r="346" spans="13:13" x14ac:dyDescent="0.3">
      <c r="M346" s="158" t="str">
        <f t="shared" si="6"/>
        <v/>
      </c>
    </row>
    <row r="347" spans="13:13" x14ac:dyDescent="0.3">
      <c r="M347" s="158" t="str">
        <f t="shared" si="6"/>
        <v/>
      </c>
    </row>
    <row r="348" spans="13:13" x14ac:dyDescent="0.3">
      <c r="M348" s="158" t="str">
        <f t="shared" si="6"/>
        <v/>
      </c>
    </row>
    <row r="349" spans="13:13" x14ac:dyDescent="0.3">
      <c r="M349" s="158" t="str">
        <f t="shared" si="6"/>
        <v/>
      </c>
    </row>
    <row r="350" spans="13:13" x14ac:dyDescent="0.3">
      <c r="M350" s="158" t="str">
        <f t="shared" si="6"/>
        <v/>
      </c>
    </row>
  </sheetData>
  <sheetProtection formatCells="0" formatColumns="0" formatRows="0" insertColumns="0" insertRows="0" insertHyperlinks="0" deleteColumns="0" deleteRows="0" sort="0" autoFilter="0" pivotTables="0"/>
  <conditionalFormatting sqref="C2:C67 C70:C138 C140 C142:C144 C150 C152 C154 C156 C164 C166 C168 C170 C172:C350 C158:C159">
    <cfRule type="duplicateValues" dxfId="4" priority="43"/>
  </conditionalFormatting>
  <conditionalFormatting sqref="C141">
    <cfRule type="expression" dxfId="3" priority="4">
      <formula>COUNTIFS($B$2:$B$658,$B141,$C$2:$C$658,$C141,$D$2:$D$658,$D141)&gt;1</formula>
    </cfRule>
  </conditionalFormatting>
  <conditionalFormatting sqref="C163:C350 C2:C159">
    <cfRule type="duplicateValues" dxfId="2" priority="3"/>
  </conditionalFormatting>
  <conditionalFormatting sqref="C160:C162">
    <cfRule type="duplicateValues" dxfId="1" priority="2"/>
  </conditionalFormatting>
  <conditionalFormatting sqref="C160:C162">
    <cfRule type="duplicateValues" dxfId="0" priority="1"/>
  </conditionalFormatting>
  <dataValidations count="2">
    <dataValidation type="list" allowBlank="1" showInputMessage="1" showErrorMessage="1" sqref="B2:B350" xr:uid="{E0E97289-207E-4C66-882E-F86173982F7F}">
      <formula1>"YES,NO"</formula1>
    </dataValidation>
    <dataValidation type="list" allowBlank="1" showInputMessage="1" showErrorMessage="1" sqref="C135 C141 C159:C162" xr:uid="{AC160A93-B59F-4F97-B5E1-89939B5B4904}">
      <formula1>$C$2:$C$350</formula1>
    </dataValidation>
  </dataValidations>
  <pageMargins left="0.7" right="0.7" top="0.75" bottom="0.75" header="0.3" footer="0.3"/>
  <headerFooter>
    <oddHeader>&amp;L&amp;"Calibri"&amp;10&amp;K0000FF [RESTRICTED INTERNAL]&amp;1#_x000D_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CAlculate">
                <anchor moveWithCells="1" sizeWithCells="1">
                  <from>
                    <xdr:col>0</xdr:col>
                    <xdr:colOff>114300</xdr:colOff>
                    <xdr:row>0</xdr:row>
                    <xdr:rowOff>68580</xdr:rowOff>
                  </from>
                  <to>
                    <xdr:col>0</xdr:col>
                    <xdr:colOff>1181100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  <tableParts count="13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8FBF3-BE23-4BD8-8174-1B57EC81C21F}">
  <sheetPr codeName="Sheet14">
    <tabColor rgb="FFFCFBD9"/>
  </sheetPr>
  <dimension ref="A1:C13"/>
  <sheetViews>
    <sheetView workbookViewId="0">
      <selection activeCell="C6" sqref="C6"/>
    </sheetView>
  </sheetViews>
  <sheetFormatPr defaultRowHeight="14.4" x14ac:dyDescent="0.3"/>
  <cols>
    <col min="1" max="1" width="18" customWidth="1"/>
    <col min="2" max="2" width="16.6640625" customWidth="1"/>
    <col min="3" max="3" width="108.5546875" customWidth="1"/>
  </cols>
  <sheetData>
    <row r="1" spans="1:3" ht="40.950000000000003" customHeight="1" x14ac:dyDescent="0.3">
      <c r="A1" t="s">
        <v>112</v>
      </c>
      <c r="B1" t="s">
        <v>111</v>
      </c>
      <c r="C1" t="s">
        <v>93</v>
      </c>
    </row>
    <row r="2" spans="1:3" ht="34.950000000000003" customHeight="1" x14ac:dyDescent="0.3">
      <c r="A2" s="157" t="s">
        <v>110</v>
      </c>
      <c r="B2" s="193">
        <v>46214</v>
      </c>
      <c r="C2" s="165" t="s">
        <v>399</v>
      </c>
    </row>
    <row r="3" spans="1:3" x14ac:dyDescent="0.3">
      <c r="B3" s="1"/>
    </row>
    <row r="4" spans="1:3" x14ac:dyDescent="0.3">
      <c r="B4" s="1"/>
    </row>
    <row r="5" spans="1:3" x14ac:dyDescent="0.3">
      <c r="B5" s="1"/>
    </row>
    <row r="6" spans="1:3" x14ac:dyDescent="0.3">
      <c r="B6" s="1"/>
    </row>
    <row r="7" spans="1:3" x14ac:dyDescent="0.3">
      <c r="B7" s="1"/>
    </row>
    <row r="8" spans="1:3" x14ac:dyDescent="0.3">
      <c r="B8" s="1"/>
    </row>
    <row r="9" spans="1:3" x14ac:dyDescent="0.3">
      <c r="B9" s="1"/>
    </row>
    <row r="10" spans="1:3" x14ac:dyDescent="0.3">
      <c r="B10" s="1"/>
      <c r="C10" s="11"/>
    </row>
    <row r="11" spans="1:3" x14ac:dyDescent="0.3">
      <c r="B11" s="1"/>
      <c r="C11" s="11"/>
    </row>
    <row r="12" spans="1:3" x14ac:dyDescent="0.3">
      <c r="B12" s="1"/>
    </row>
    <row r="13" spans="1:3" x14ac:dyDescent="0.3">
      <c r="B13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5B3C3B-6A42-494F-842B-B866351D3AB3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c343f4a9-c67f-4b8a-948f-2d1f80f757ec}" enabled="1" method="Privileged" siteId="{779f4bb4-07c5-4d0f-82a7-8a095110e77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Time</vt:lpstr>
      <vt:lpstr>DASHBOARD</vt:lpstr>
      <vt:lpstr>INVENTORY LIST</vt:lpstr>
      <vt:lpstr>SUPPLY CHAIN CHART</vt:lpstr>
      <vt:lpstr>ACTIVITY COSTS</vt:lpstr>
      <vt:lpstr>PRINCIPLE BASED</vt:lpstr>
      <vt:lpstr>PV Vs BESS</vt:lpstr>
      <vt:lpstr>HGV</vt:lpstr>
      <vt:lpstr>UI</vt:lpstr>
      <vt:lpstr>MAIN TABLE-1 AUTOMATED</vt:lpstr>
      <vt:lpstr>PIE CHART BESS PV</vt:lpstr>
      <vt:lpstr>MASTER LIST</vt:lpstr>
      <vt:lpstr>AUX. TABLE-2 MANUEL</vt:lpstr>
      <vt:lpstr>TABLE-3 HIRED EQUIPMENT</vt:lpstr>
      <vt:lpstr>CONTRACT TABLE-4 MANUAL</vt:lpstr>
      <vt:lpstr>Sheet4</vt:lpstr>
      <vt:lpstr>Append1</vt:lpstr>
      <vt:lpstr>PRICES</vt:lpstr>
      <vt:lpstr>HGVs Schedule</vt:lpstr>
      <vt:lpstr>CHART1- MATERIAL&amp;SERVICE BASED</vt:lpstr>
      <vt:lpstr>Sheet2</vt:lpstr>
      <vt:lpstr>CHART2-WORK BASED</vt:lpstr>
      <vt:lpstr>CHART3- PRINCIPLE BASED</vt:lpstr>
      <vt:lpstr>Sheet1</vt:lpstr>
      <vt:lpstr>Sheet3</vt:lpstr>
      <vt:lpstr>Delivery Report</vt:lpstr>
      <vt:lpstr>SUPPLIERS</vt:lpstr>
      <vt:lpstr>CATEGORY TABLES</vt:lpstr>
      <vt:lpstr>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Akat, Mehmet Baran</dc:creator>
  <cp:keywords/>
  <dc:description/>
  <cp:lastModifiedBy>Mehmet Baran Akat</cp:lastModifiedBy>
  <cp:revision/>
  <cp:lastPrinted>2026-06-02T10:11:01Z</cp:lastPrinted>
  <dcterms:created xsi:type="dcterms:W3CDTF">2015-06-05T18:19:34Z</dcterms:created>
  <dcterms:modified xsi:type="dcterms:W3CDTF">2026-07-11T19:24:00Z</dcterms:modified>
  <cp:category/>
  <cp:contentStatus/>
</cp:coreProperties>
</file>